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6.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8.xml" ContentType="application/vnd.openxmlformats-officedocument.spreadsheetml.pivotTab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9600" windowHeight="2685" activeTab="3"/>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Time" sheetId="26" r:id="rId10"/>
    <sheet name="Fuel CON - Annual" sheetId="10" r:id="rId11"/>
    <sheet name="Emissions - Annual" sheetId="11" r:id="rId12"/>
    <sheet name="HE STO - Time" sheetId="16" r:id="rId13"/>
    <sheet name="HY STO - Time" sheetId="18" r:id="rId14"/>
    <sheet name="EL TRAN - Time" sheetId="19" r:id="rId15"/>
    <sheet name="EL TRAN - Annual" sheetId="20" r:id="rId16"/>
    <sheet name="EL DEM - Time" sheetId="21" r:id="rId17"/>
    <sheet name="EL DEM - Annual" sheetId="23" r:id="rId18"/>
    <sheet name="EL GEN CAP Exo" sheetId="22" r:id="rId19"/>
    <sheet name="EL GEN CAP ENDO" sheetId="27" r:id="rId20"/>
  </sheets>
  <definedNames>
    <definedName name="C_filter">Control!$G$11</definedName>
    <definedName name="CountryCB">Control!$F$15:$F$501</definedName>
    <definedName name="DE">Control!$B$23</definedName>
    <definedName name="IGK">Control!$B$21</definedName>
    <definedName name="O_Model">Control!$B$14</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62913"/>
  <pivotCaches>
    <pivotCache cacheId="330" r:id="rId21"/>
    <pivotCache cacheId="333" r:id="rId22"/>
    <pivotCache cacheId="336" r:id="rId23"/>
    <pivotCache cacheId="339" r:id="rId24"/>
    <pivotCache cacheId="343" r:id="rId25"/>
    <pivotCache cacheId="346" r:id="rId26"/>
    <pivotCache cacheId="349" r:id="rId27"/>
    <pivotCache cacheId="352" r:id="rId28"/>
    <pivotCache cacheId="355" r:id="rId29"/>
    <pivotCache cacheId="358" r:id="rId30"/>
    <pivotCache cacheId="361" r:id="rId31"/>
    <pivotCache cacheId="364" r:id="rId32"/>
    <pivotCache cacheId="367" r:id="rId33"/>
    <pivotCache cacheId="370" r:id="rId34"/>
    <pivotCache cacheId="373" r:id="rId35"/>
    <pivotCache cacheId="376" r:id="rId36"/>
    <pivotCache cacheId="379" r:id="rId37"/>
    <pivotCache cacheId="382" r:id="rId3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1" i="5" l="1"/>
  <c r="C80" i="5"/>
  <c r="C79" i="5"/>
  <c r="F9" i="11" l="1"/>
  <c r="E48" i="5" l="1"/>
  <c r="C48" i="5"/>
  <c r="E41" i="5"/>
  <c r="C41" i="5"/>
  <c r="E34" i="5"/>
  <c r="C34" i="5"/>
  <c r="E24" i="5"/>
  <c r="C24" i="5"/>
  <c r="E48" i="13"/>
  <c r="E41" i="13"/>
  <c r="E34" i="13"/>
  <c r="E24" i="13"/>
  <c r="C48" i="13"/>
  <c r="C41" i="13"/>
  <c r="C34" i="13"/>
  <c r="C24" i="13"/>
  <c r="E8" i="5"/>
  <c r="C8" i="5"/>
  <c r="E8" i="13"/>
  <c r="C8" i="13"/>
  <c r="C7" i="5"/>
  <c r="C7" i="13"/>
  <c r="C81" i="13" l="1"/>
  <c r="C80" i="13"/>
  <c r="C79" i="13"/>
  <c r="C78" i="13" l="1"/>
  <c r="C76" i="13"/>
  <c r="C77" i="13"/>
  <c r="C76" i="5"/>
  <c r="C77" i="5"/>
  <c r="C78" i="5"/>
  <c r="C17" i="13" l="1"/>
  <c r="C16" i="13"/>
  <c r="C15" i="13"/>
  <c r="C16" i="5"/>
  <c r="C17" i="5"/>
  <c r="C15" i="5"/>
  <c r="C75" i="5" l="1"/>
  <c r="C74" i="5"/>
  <c r="C73" i="5"/>
  <c r="C72" i="5"/>
  <c r="C71" i="5"/>
  <c r="C70" i="5"/>
  <c r="C69" i="5"/>
  <c r="C68" i="5"/>
  <c r="C67" i="5"/>
  <c r="C66" i="5"/>
  <c r="C65" i="5"/>
  <c r="C64" i="5"/>
  <c r="C63" i="5"/>
  <c r="C62" i="5"/>
  <c r="C61" i="5"/>
  <c r="C60" i="5"/>
  <c r="C59" i="5"/>
  <c r="C58" i="5"/>
  <c r="C57" i="5"/>
  <c r="C56" i="5"/>
  <c r="C55" i="5"/>
  <c r="C54" i="5"/>
  <c r="C53" i="5"/>
  <c r="C52" i="5"/>
  <c r="C51" i="5"/>
  <c r="C50" i="5"/>
  <c r="C49" i="5"/>
  <c r="C47" i="5"/>
  <c r="C46" i="5"/>
  <c r="C45" i="5"/>
  <c r="C44" i="5"/>
  <c r="C43" i="5"/>
  <c r="C42" i="5"/>
  <c r="C40" i="5"/>
  <c r="C39" i="5"/>
  <c r="C38" i="5"/>
  <c r="C37" i="5"/>
  <c r="C36" i="5"/>
  <c r="C35" i="5"/>
  <c r="C33" i="5"/>
  <c r="C32" i="5"/>
  <c r="C31" i="5"/>
  <c r="C30" i="5"/>
  <c r="C29" i="5"/>
  <c r="C28" i="5"/>
  <c r="C27" i="5"/>
  <c r="C26" i="5"/>
  <c r="C25" i="5"/>
  <c r="C23" i="5"/>
  <c r="C22" i="5"/>
  <c r="C21" i="5"/>
  <c r="C20" i="5"/>
  <c r="C19" i="5"/>
  <c r="C18" i="5"/>
  <c r="C14" i="5"/>
  <c r="C13" i="5"/>
  <c r="C12" i="5"/>
  <c r="C11" i="5"/>
  <c r="C10" i="5"/>
  <c r="C9" i="5"/>
  <c r="C6" i="5"/>
  <c r="C5" i="5"/>
  <c r="C4" i="5"/>
  <c r="C3" i="5"/>
  <c r="C2" i="5"/>
  <c r="C1" i="5"/>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7" i="13"/>
  <c r="C46" i="13"/>
  <c r="C45" i="13"/>
  <c r="C44" i="13"/>
  <c r="C43" i="13"/>
  <c r="C42" i="13"/>
  <c r="C40" i="13"/>
  <c r="C39" i="13"/>
  <c r="C38" i="13"/>
  <c r="C37" i="13"/>
  <c r="C36" i="13"/>
  <c r="C35" i="13"/>
  <c r="C33" i="13"/>
  <c r="C32" i="13"/>
  <c r="C31" i="13"/>
  <c r="C30" i="13"/>
  <c r="C29" i="13"/>
  <c r="C28" i="13"/>
  <c r="C27" i="13"/>
  <c r="C26" i="13"/>
  <c r="C25" i="13"/>
  <c r="C23" i="13"/>
  <c r="C22" i="13"/>
  <c r="C21" i="13"/>
  <c r="C20" i="13"/>
  <c r="C19" i="13"/>
  <c r="C18" i="13"/>
  <c r="C14" i="13"/>
  <c r="C13" i="13"/>
  <c r="C12" i="13"/>
  <c r="C11" i="13"/>
  <c r="C10" i="13"/>
  <c r="C9" i="13"/>
  <c r="C6" i="13"/>
  <c r="C5" i="13"/>
  <c r="C4" i="13"/>
  <c r="C3" i="13"/>
  <c r="C2" i="13"/>
  <c r="C1" i="13"/>
</calcChain>
</file>

<file path=xl/connections.xml><?xml version="1.0" encoding="utf-8"?>
<connections xmlns="http://schemas.openxmlformats.org/spreadsheetml/2006/main">
  <connection id="1" odcFile="C:\Doc\Balmorel\temp\BASE-results.db" name="Countries" type="1" refreshedVersion="6">
    <dbPr connection="Driver={SQLite3 ODBC Driver};Database=C:\Doc\Balmorel\temp\BASE-results.db;StepAPI=0;SyncPragma=NORMAL;NoTXN=0;Timeout=1000;ShortNames=;LongNames=0;NoCreat=;NoWCHAR=;FKSupport=;JournalMode=;OEMCP=;LoadExt=;BigInt=;JDConv=;" command="SELECT * FROM &quot;main&quot;.&quot;C&quot;"/>
  </connection>
  <connection id="2" odcFile="C:\Doc\Balmorel\temp\BASE-results.db" name="main El Transmission between Countries" type="1" refreshedVersion="6">
    <dbPr connection="Driver={SQLite3 ODBC Driver};Database=C:\Doc\Balmorel\temp\BASE-results.db;StepAPI=0;SyncPragma=NORMAL;NoTXN=0;Timeout=1000;ShortNames=;LongNames=0;NoCreat=;NoWCHAR=;FKSupport=;JournalMode=;OEMCP=;LoadExt=;BigInt=;JDConv=;" command="SELECT * FROM &quot;main&quot;.&quot;El Transmission between Countries&quot;"/>
  </connection>
  <connection id="3" odcFile="C:\Doc\Balmorel\temp\BASE-results.db" name="main El Transmission between regions net - Term" type="1" refreshedVersion="6">
    <dbPr connection="Driver={SQLite3 ODBC Driver};Database=C:\Doc\Balmorel\temp\BASE-results.db;StepAPI=0;SyncPragma=NORMAL;NoTXN=0;Timeout=1000;ShortNames=;LongNames=0;NoCreat=;NoWCHAR=;FKSupport=;JournalMode=;OEMCP=;LoadExt=;BigInt=;JDConv=;" command="SELECT * FROM &quot;main&quot;.&quot;El Transmission between regions net - Term&quot;"/>
  </connection>
  <connection id="4" odcFile="C:\Doc\Balmorel\temp\BASE-results.db" name="main Electricity Demand - Annual" type="1" refreshedVersion="6">
    <dbPr connection="Driver={SQLite3 ODBC Driver};Database=C:\Doc\Balmorel\temp\BASE-results.db;StepAPI=0;SyncPragma=NORMAL;NoTXN=0;Timeout=1000;ShortNames=;LongNames=0;NoCreat=;NoWCHAR=;FKSupport=;JournalMode=;OEMCP=;LoadExt=;BigInt=;JDConv=;" command="SELECT * FROM &quot;main&quot;.&quot;Electricity Demand - Annual&quot;"/>
  </connection>
  <connection id="5" odcFile="C:\Doc\Balmorel\temp\BASE-results.db" name="main Electricity Demand - Term" type="1" refreshedVersion="6">
    <dbPr connection="Driver={SQLite3 ODBC Driver};Database=C:\Doc\Balmorel\temp\BASE-results.db;StepAPI=0;SyncPragma=NORMAL;NoTXN=0;Timeout=1000;ShortNames=;LongNames=0;NoCreat=;NoWCHAR=;FKSupport=;JournalMode=;OEMCP=;LoadExt=;BigInt=;JDConv=;" command="SELECT * FROM &quot;main&quot;.&quot;Electricity Demand - Term&quot;"/>
  </connection>
  <connection id="6" odcFile="C:\Doc\Balmorel\temp\BASE-results.db" name="main Electricity generation - Annual" type="1" refreshedVersion="5">
    <dbPr connection="DRIVER=SQLite3 ODBC Driver;Database=C:\Doc\Balmorel\temp\BASE-results.db;LongNames=0;Timeout=1000;NoTXN=0;SyncPragma=NORMAL;StepAPI=0" command="SELECT * FROM &quot;main&quot;.&quot;Electricity generation - Annual&quot;"/>
  </connection>
  <connection id="7" odcFile="C:\Doc\Balmorel\temp\BASE-results.db" name="main Electricity generation - Annual1" type="1" refreshedVersion="6">
    <dbPr connection="Driver={SQLite3 ODBC Driver};Database=C:\Doc\Balmorel\temp\BASE-results.db;StepAPI=0;SyncPragma=NORMAL;NoTXN=0;Timeout=1000;ShortNames=;LongNames=0;NoCreat=;NoWCHAR=;FKSupport=;JournalMode=;OEMCP=;LoadExt=;BigInt=;JDConv=;" command="SELECT * FROM &quot;main&quot;.&quot;Electricity generation - Annual&quot;"/>
  </connection>
  <connection id="8" odcFile="C:\Doc\Balmorel\temp\BASE-results.db" name="main Electricity generation - Term" type="1" refreshedVersion="6">
    <dbPr connection="Driver={SQLite3 ODBC Driver};Database=C:\Doc\Balmorel\temp\BASE-results.db;StepAPI=0;SyncPragma=NORMAL;NoTXN=0;Timeout=1000;ShortNames=;LongNames=0;NoCreat=;NoWCHAR=;FKSupport=;JournalMode=;OEMCP=;LoadExt=;BigInt=;JDConv=;" command="SELECT * FROM &quot;main&quot;.&quot;Electricity generation - Term&quot;"/>
  </connection>
  <connection id="9" odcFile="C:\Doc\Balmorel\temp\BASE-results.db" name="main Electricity generation - Timestep" type="1" refreshedVersion="5">
    <dbPr connection="DRIVER=SQLite3 ODBC Driver;Database=C:\Doc\Balmorel\temp\BASE-results.db;LongNames=0;Timeout=1000;NoTXN=0;SyncPragma=NORMAL;StepAPI=0" command="SELECT * FROM &quot;main&quot;.&quot;Electricity generation - Timestep&quot;"/>
  </connection>
  <connection id="10" odcFile="C:\Doc\Balmorel\temp\BASE-results.db" name="main Electricity_price" type="1" refreshedVersion="6">
    <dbPr connection="Driver={SQLite3 ODBC Driver};Database=C:\Doc\Balmorel\temp\BASE-results.db;StepAPI=0;SyncPragma=NORMAL;NoTXN=0;Timeout=1000;ShortNames=;LongNames=0;NoCreat=;NoWCHAR=;FKSupport=;JournalMode=;OEMCP=;LoadExt=;BigInt=;JDConv=;" command="SELECT * FROM &quot;main&quot;.&quot;Electricity_price&quot;"/>
  </connection>
  <connection id="11" odcFile="C:\Doc\Balmorel\temp\BASE-results.db" name="main Emissions - Annual" type="1" refreshedVersion="6">
    <dbPr connection="Driver={SQLite3 ODBC Driver};Database=C:\Doc\Balmorel\temp\BASE-results.db;StepAPI=0;SyncPragma=NORMAL;NoTXN=0;Timeout=1000;ShortNames=;LongNames=0;NoCreat=;NoWCHAR=;FKSupport=;JournalMode=;OEMCP=;LoadExt=;BigInt=;JDConv=;" command="SELECT * FROM &quot;main&quot;.&quot;Emissions - Annual&quot;"/>
  </connection>
  <connection id="12" odcFile="C:\Doc\Balmorel\temp\BASE-results.db" name="main Endogenous Generation Technology - MW" type="1" refreshedVersion="6">
    <dbPr connection="Driver={SQLite3 ODBC Driver};Database=C:\Doc\Balmorel\temp\BASE-results.db;StepAPI=0;SyncPragma=NORMAL;NoTXN=0;Timeout=1000;ShortNames=;LongNames=0;NoCreat=;NoWCHAR=;FKSupport=;JournalMode=;OEMCP=;LoadExt=;BigInt=;JDConv=;" command="SELECT * FROM &quot;main&quot;.&quot;Endogenous Generation Technology - MW&quot;"/>
  </connection>
  <connection id="13" odcFile="C:\Doc\Balmorel\temp\BASE-results.db" name="main Exogenous Electricity Generation Technology - MW" type="1" refreshedVersion="6">
    <dbPr connection="Driver={SQLite3 ODBC Driver};Database=C:\Doc\Balmorel\temp\BASE-results.db;StepAPI=0;SyncPragma=NORMAL;NoTXN=0;Timeout=1000;ShortNames=;LongNames=0;NoCreat=;NoWCHAR=;FKSupport=;JournalMode=;OEMCP=;LoadExt=;BigInt=;JDConv=;" command="SELECT * FROM &quot;main&quot;.&quot;Exogenous Electricity Generation Technology - MW&quot;"/>
  </connection>
  <connection id="14" odcFile="C:\Doc\Balmorel\temp\BASE-results.db" name="main Fuel Consumption - Annual" type="1" refreshedVersion="6">
    <dbPr connection="Driver={SQLite3 ODBC Driver};Database=C:\Doc\Balmorel\temp\BASE-results.db;StepAPI=0;SyncPragma=NORMAL;NoTXN=0;Timeout=1000;ShortNames=;LongNames=0;NoCreat=;NoWCHAR=;FKSupport=;JournalMode=;OEMCP=;LoadExt=;BigInt=;JDConv=;" command="SELECT * FROM &quot;main&quot;.&quot;Fuel Consumption - Annual&quot;"/>
  </connection>
  <connection id="15" odcFile="C:\Doc\Balmorel\temp\BASE-results.db" name="main Fuel Consumption - Term" type="1" refreshedVersion="6">
    <dbPr connection="Driver={SQLite3 ODBC Driver};Database=C:\Doc\Balmorel\temp\BASE-results.db;StepAPI=0;SyncPragma=NORMAL;NoTXN=0;Timeout=1000;ShortNames=;LongNames=0;NoCreat=;NoWCHAR=;FKSupport=;JournalMode=;OEMCP=;LoadExt=;BigInt=;JDConv=;" command="SELECT * FROM &quot;main&quot;.&quot;Fuel Consumption - Term&quot;"/>
  </connection>
  <connection id="16" odcFile="C:\Doc\Balmorel\temp\BASE-results.db" name="main Fuel_Con" type="1" refreshedVersion="5">
    <dbPr connection="DRIVER=SQLite3 ODBC Driver;Database=C:\Doc\Balmorel\temp\BASE-results.db;LongNames=0;Timeout=1000;NoTXN=0;SyncPragma=NORMAL;StepAPI=0" command="SELECT * FROM &quot;main&quot;.&quot;Fuel_Con&quot;"/>
  </connection>
  <connection id="17" odcFile="C:\Doc\Balmorel\temp\BASE-results.db" name="main Heat Generation - Annual" type="1" refreshedVersion="6">
    <dbPr connection="Driver={SQLite3 ODBC Driver};Database=C:\Doc\Balmorel\temp\BASE-results.db;StepAPI=0;SyncPragma=NORMAL;NoTXN=0;Timeout=1000;ShortNames=;LongNames=0;NoCreat=;NoWCHAR=;FKSupport=;JournalMode=;OEMCP=;LoadExt=;BigInt=;JDConv=;" command="SELECT * FROM &quot;main&quot;.&quot;Heat Generation - Annual&quot;"/>
  </connection>
  <connection id="18" odcFile="C:\Doc\Balmorel\temp\BASE-results.db" name="main Heat Generation - Term" type="1" refreshedVersion="6">
    <dbPr connection="Driver={SQLite3 ODBC Driver};Database=C:\Doc\Balmorel\temp\BASE-results.db;StepAPI=0;SyncPragma=NORMAL;NoTXN=0;Timeout=1000;ShortNames=;LongNames=0;NoCreat=;NoWCHAR=;FKSupport=;JournalMode=;OEMCP=;LoadExt=;BigInt=;JDConv=;" command="SELECT * FROM &quot;main&quot;.&quot;Heat Generation - Term&quot;"/>
  </connection>
  <connection id="19" odcFile="C:\Doc\Balmorel\temp\BASE-results.db" name="main Heat price - Marginal" type="1" refreshedVersion="6">
    <dbPr connection="Driver={SQLite3 ODBC Driver};Database=C:\Doc\Balmorel\temp\BASE-results.db;StepAPI=0;SyncPragma=NORMAL;NoTXN=0;Timeout=1000;ShortNames=;LongNames=0;NoCreat=;NoWCHAR=;FKSupport=;JournalMode=;OEMCP=;LoadExt=;BigInt=;JDConv=;" command="SELECT * FROM &quot;main&quot;.&quot;Heat price - Marginal&quot;"/>
  </connection>
  <connection id="20" odcFile="C:\Doc\Balmorel\temp\BASE-results.db" name="main Heat Storage volume" type="1" refreshedVersion="6">
    <dbPr connection="Driver={SQLite3 ODBC Driver};Database=C:\Doc\Balmorel\temp\BASE-results.db;StepAPI=0;SyncPragma=NORMAL;NoTXN=0;Timeout=1000;ShortNames=;LongNames=0;NoCreat=;NoWCHAR=;FKSupport=;JournalMode=;OEMCP=;LoadExt=;BigInt=;JDConv=;" command="SELECT * FROM &quot;main&quot;.&quot;Heat Storage volume&quot;"/>
  </connection>
  <connection id="21" odcFile="C:\Doc\Balmorel\temp\BASE-results.db" name="main Weekly Hydro Storage Volume" type="1" refreshedVersion="6">
    <dbPr connection="Driver={SQLite3 ODBC Driver};Database=C:\Doc\Balmorel\temp\BASE-results.db;StepAPI=0;SyncPragma=NORMAL;NoTXN=0;Timeout=1000;ShortNames=;LongNames=0;NoCreat=;NoWCHAR=;FKSupport=;JournalMode=;OEMCP=;LoadExt=;BigInt=;JDConv=;" command="SELECT * FROM &quot;main&quot;.&quot;Weekly Hydro Storage Volume&quot;"/>
  </connection>
  <connection id="22" odcFile="C:\Doc\Balmorel\temp\BASE-results.db" name="main VGE_T" type="1" refreshedVersion="5" background="1" saveData="1">
    <dbPr connection="DRIVER=SQLite3 ODBC Driver;Database=C:\Doc\Balmorel\temp\BASE-results.db;LongNames=0;Timeout=1000;NoTXN=0;SyncPragma=NORMAL;StepAPI=0" command="SELECT * FROM &quot;main&quot;.&quot;VGE_T&quot;"/>
  </connection>
  <connection id="23" odcFile="C:\Doc\Balmorel\temp\BASE-results.db" name="main WND_VAR_T" type="1" refreshedVersion="5">
    <dbPr connection="DRIVER=SQLite3 ODBC Driver;Database=C:\Doc\Balmorel\temp\BASE-results.db;LongNames=0;Timeout=1000;NoTXN=0;SyncPragma=NORMAL;StepAPI=0" command="SELECT * FROM &quot;main&quot;.&quot;WND_VAR_T&quot;"/>
  </connection>
</connections>
</file>

<file path=xl/sharedStrings.xml><?xml version="1.0" encoding="utf-8"?>
<sst xmlns="http://schemas.openxmlformats.org/spreadsheetml/2006/main" count="9506" uniqueCount="428">
  <si>
    <t>Grand Total</t>
  </si>
  <si>
    <t xml:space="preserve">Create </t>
  </si>
  <si>
    <t>Drop</t>
  </si>
  <si>
    <t>Populate</t>
  </si>
  <si>
    <t>El_Gen</t>
  </si>
  <si>
    <t>Electricity generation - annual</t>
  </si>
  <si>
    <t>DENMARK</t>
  </si>
  <si>
    <t>NORWAY</t>
  </si>
  <si>
    <t>SWEDEN</t>
  </si>
  <si>
    <t>SUN</t>
  </si>
  <si>
    <t>WATER</t>
  </si>
  <si>
    <t>Country</t>
  </si>
  <si>
    <t>Fuel</t>
  </si>
  <si>
    <t>Sum of TWh</t>
  </si>
  <si>
    <t>Sum of MW</t>
  </si>
  <si>
    <t>Season</t>
  </si>
  <si>
    <t>COAL</t>
  </si>
  <si>
    <t>ESTONIA</t>
  </si>
  <si>
    <t>FINLAND</t>
  </si>
  <si>
    <t>GERMANY</t>
  </si>
  <si>
    <t>LATVIA</t>
  </si>
  <si>
    <t>LITHUANIA</t>
  </si>
  <si>
    <t>POLAND</t>
  </si>
  <si>
    <t>Electricity_Price</t>
  </si>
  <si>
    <t>CREATE TABLE `Electricity_price`(`Case1`TEXT, `Year1` TEXT, `Year2` TEXT, `Country` TEXT, `Region` TEXT, `Season` TEXT, `Term` TEXT, `OMONEY/MWh` REAL);</t>
  </si>
  <si>
    <t>DROP TABLE if exists `El_Gen`;</t>
  </si>
  <si>
    <t>DROP TABLE if exists `Electricity generation - Annual`;</t>
  </si>
  <si>
    <t>DROP TABLE if exists `Electricity_price`;</t>
  </si>
  <si>
    <t>CREATE TABLE `El_Gen` (`Case1` TEXT,    `Y1`    TEXT,    `Y2`    TEXT,    `Area`  TEXT,    `Technology`    TEXT, `Season` TEXT, `Term` TEXT,    `Generation_MW`    REAL);</t>
  </si>
  <si>
    <t>INSERT INTO EL_Gen(Case1, Y1, Y2, Area, Technology, Season, Term, Generation_MW) SELECT  VGE_T, VGE_T2, VGE_T3, VGE_T4, VGE_T5, VGE_T6, VGE_T7, level FROM VGE_T WHERE level &gt;0;</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</si>
  <si>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</si>
  <si>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</si>
  <si>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</si>
  <si>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</si>
  <si>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</si>
  <si>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</si>
  <si>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</si>
  <si>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</si>
  <si>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CREATE TABLE `Heat Generation - Term` (`Case` TEXT,    `Year1`    TEXT,    `Year2`    TEXT, `Country` TEXT, `Region` TEXT,   `Area`  TEXT, `Fuel` TEXT,   `Technology`    TEXT, `Season` TEXT, `Term` TEXT,    `MW`    REAL, `MWh`REAL, `GJ` REAL);</t>
  </si>
  <si>
    <t>Electricity generation - Term</t>
  </si>
  <si>
    <t>INSERT INTO `Heat generation - Term`(`Case`, Year1, Year2, Country, Region, Area, Fuel, Technology, Season, Term, MW, MWh, GJ) SELECT [Heat_Gen].Case1 AS [Case], [Heat_Gen].Y1 AS [Year1], [Heat_Gen].Y2 AS [Year2],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</si>
  <si>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DROP TABLE if exists `Heat Generation - Annual`;</t>
  </si>
  <si>
    <t>CREATE TABLE `Heat Generation - Annual` (`Case` TEXT,    `Year1`    TEXT,    `Year2`    TEXT, `Country` TEXT, `Region` TEXT,   `Area`  TEXT, `Fuel` TEXT,   `Technology`    TEXT,  `TWh`REAL, `PJ` REAL);</t>
  </si>
  <si>
    <t>INSERT INTO `Heat Generation - Annual`(`Case`, Year1, Year2, Country, Region, Area, Fuel, Technology, TWh, PJ)  SELECT [Heat Generation - Term].`Case`, [Heat Generation - Term].Year1, [Heat Generation - Term].Year2,[Heat Generation - Term].Country, [Heat Generation - Term].Region, [Heat Generation - Term].Area, [Heat Generation - Term].Fuel, [Heat Generation - Term].Technology, Sum([MWh]/1000000) AS TWh, Sum([GJ]/1000000) AS PJ FROM [Heat Generation - Term] GROUP BY [Heat Generation - Term].`Case`, [Heat Generation - Term].Year1,[Heat Generation - Term].Year2, [Heat Generation - Term].Country, [Heat Generation - Term].Region, [Heat Generation - Term].Area, [Heat Generation - Term].Fuel, [Heat Generation - Term].Technology;</t>
  </si>
  <si>
    <t>Column Labels</t>
  </si>
  <si>
    <t>Row Labels</t>
  </si>
  <si>
    <t>T001</t>
  </si>
  <si>
    <t>T002</t>
  </si>
  <si>
    <t>T003</t>
  </si>
  <si>
    <t>T004</t>
  </si>
  <si>
    <t>T005</t>
  </si>
  <si>
    <t>T006</t>
  </si>
  <si>
    <t>Fuel_Con</t>
  </si>
  <si>
    <t>DROP TABLE if exists `Fuel_Con`;</t>
  </si>
  <si>
    <t>Fuel Consumption - Term</t>
  </si>
  <si>
    <t>Fuel Consumption - Annual</t>
  </si>
  <si>
    <t>DROP TABLE if exists `Fuel Consumption - Term`;</t>
  </si>
  <si>
    <t>CREATE TABLE `Fuel Consumption - Term` (`Case` TEXT,    `Year1`    TEXT,    `Year2`    TEXT, `Country` TEXT, `Region` TEXT,   `Area`  TEXT, `Fuel` TEXT,   `Technology`    TEXT, `Season` TEXT, `Term` TEXT,    `MJ/s`    REAL, `MWh`REAL, `GJ` REAL);</t>
  </si>
  <si>
    <t>DROP TABLE if exists `Fuel Consumption - Annual`;</t>
  </si>
  <si>
    <t>CREATE TABLE `Fuel Consumption - Annual` (`Case` TEXT,    `Year1`    TEXT,    `Year2`    TEXT, `Country` TEXT, `Region` TEXT,   `Area`  TEXT, `Fuel` TEXT,   `Technology`    TEXT,  `TWh`REAL, `PJ` REAL);</t>
  </si>
  <si>
    <t>INSERT INTO `Fuel Consumption - Annual`(`Case`, Year1, Year2, Country, Region, Area, Fuel, Technology, TWh, PJ)  SELECT [Fuel Consumption - Term].`Case`, [Fuel Consumption - Term].Year1, [Fuel Consumption - Term].Year2,[Fuel Consumption - Term].Country, [Fuel Consumption - Term].Region, [Fuel Consumption - Term].Area, [Fuel Consumption - Term].Fuel, [Fuel Consumption - Term].Technology, Sum([MWh]/1000000) AS TWh, Sum([GJ]/1000000) AS PJ FROM [Fuel Consumption - Term] GROUP BY [Fuel Consumption - Term].`Case`, [Fuel Consumption - Term].Year1,[Fuel Consumption - Term].Year2, [Fuel Consumption - Term].Country, [Fuel Consumption - Term].Region, [Fuel Consumption - Term].Area, [Fuel Consumption - Term].Fuel, [Fuel Consumption - Term].Technology;</t>
  </si>
  <si>
    <t>DROP TABLE if exists `Emissions - Term`;</t>
  </si>
  <si>
    <t>Emissions - Term</t>
  </si>
  <si>
    <t>CREATE TABLE `Fuel_Con`(`Case1` TEXT, `Year1`TEXT, `Year2` TEXT, `Area` TEXT, `Technology` TEXT, `Season` TEXT, `Term` TEXT, `MW`  REAL);</t>
  </si>
  <si>
    <t>INSERT INTO Fuel_Con(Case1, Year1, Year2, Area, Technology, Season,Term, MW) SELECT  VGF_T, VGF_T2, VGF_T3, VGF_T4, VGF_T5, VGF_T6, VGF_T7, level FROM VGF_T WHERE level &gt;0;</t>
  </si>
  <si>
    <t>INSERT INTO `Fuel Consumption - Term`(`Case`, Year1, Year2, Country, Region, Area, Fuel, Technology, Season, Term,`MJ/s`, MWh, GJ) SELECT Fuel_Con.Case1 AS `Case`, Fuel_Con.Year1 AS Year1, Fuel_Con.Year2 AS Year2,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[Fuel_Con].Year1,[Fuel_Con].Year2, ICA.ICA3, RRRAAA.RRRAAA3, [Fuel_Con].Area, IGF.IGF4, [Fuel_Con].Technology, [Fuel_Con].Season, [Fuel_Con].Term;</t>
  </si>
  <si>
    <t>CREATE TABLE `Emissions - Term`(`Case` TEXT, `Year1`TEXT, `Year2` TEXT,`Country` TEXT, `Region` TEXT, `Area` TEXT,`Fuel` TEXT, `Technology` TEXT, `Season` TEXT, `Term` TEXT, `CO2 t/h`  REAL,`CO2 tons`  REAL, `SO2 t/h`  REAL,`SO2 tons`  REAL, `N2O t/h`  REAL,`N2O tons`  REAL);</t>
  </si>
  <si>
    <t>Emissions - Annual</t>
  </si>
  <si>
    <t>DROP TABLE if exists `Emissions - Annual`;</t>
  </si>
  <si>
    <t>CREATE TABLE `Emissions - Annual`(`Case` TEXT, `Year1`TEXT, `Year2` TEXT,`Country` TEXT, `Region` TEXT, `Area` TEXT,`Fuel` TEXT, `Technology` TEXT,`CO2 kilotons`  REAL,`CO2 megatons`  REAL, `SO2 kilotons`  REAL,`SO2 megatons`  REAL, `N2O kilotons`  REAL,`N2O megatons`  REAL);</t>
  </si>
  <si>
    <t>INSERT INTO `Emissions - Annual`(`Case`,Year1,Year2,Country,Region, Area,Fuel,Technology,`CO2 kilotons`,`CO2 megatons`, `SO2 kilotons`,`SO2 megatons`, `N2O kilotons`,`N2O megatons`) SELECT [Emissions - Term].`Case`, [Emissions - Term].Year1, [Emissions - Term].Year2,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Term].Year2, [Emissions - Term].Country, [Emissions - Term].Region, [Emissions - Term].Area, [Emissions - Term].Fuel, [Emissions - Term].Technology;</t>
  </si>
  <si>
    <t>Sum of CO2 megatons</t>
  </si>
  <si>
    <t>CREATE TABLE `El_Gen` (`Case1` TEXT,    `Y1`    TEXT,     `Area`  TEXT,    `Technology`    TEXT, `Season` TEXT, `Term` TEXT,    `Generation_MW`    REAL);</t>
  </si>
  <si>
    <t>CREATE TABLE `Heat_Gen` (`Case1` TEXT,    `Y1`    TEXT,     `Area`  TEXT,    `Technology`    TEXT, `Season` TEXT, `Term` TEXT,    `Generation_MW`    REAL);</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</si>
  <si>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</si>
  <si>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</si>
  <si>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</si>
  <si>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</si>
  <si>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</si>
  <si>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</si>
  <si>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</si>
  <si>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</si>
  <si>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</si>
  <si>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</si>
  <si>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</si>
  <si>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</si>
  <si>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</si>
  <si>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</si>
  <si>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</si>
  <si>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</si>
  <si>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</si>
  <si>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</si>
  <si>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</si>
  <si>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`Year1`TEXT, `Year2` TEXT,`Country` TEXT, `Region` TEXT, `Area` TEXT,`Season` TEXT, `Term` TEXT, `MWh` REAL, `GJ` REAL);</t>
  </si>
  <si>
    <t>INSERT INTO `Heat Storage volume`(`Case`, Year1, Year2, Country,Region,Area,Season,Term,MWh,GJ) SELECT VHSTOVOLT.VHSTOVOLT AS `Case`, VHSTOVOLT.VHSTOVOLT2 AS Year1, VHSTOVOLT.VHSTOVOLT3 AS Year2,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</si>
  <si>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`Year1`TEXT, `Year2` TEXT,`Country` TEXT, `Region` TEXT, `Area` TEXT,`Week` TEXT, `MWh` REAL);</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</si>
  <si>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</si>
  <si>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</si>
  <si>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</si>
  <si>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</si>
  <si>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INSERT INTO `Weekly Hydro Storage Volume`(`Case`,Year1,Year2,Country, Region,Area,Week,MWh) SELECT VHYRS_S.VHYRS_S AS [Case], VHYRS_S.VHYRS_S2 AS [Year1],VHYRS_S.VHYRS_S3 AS [Year2], ICA.ICA3 AS Country, RRRAAA.RRRAAA3 AS Region, VHYRS_S.VHYRS_S4 AS Area, VHYRS_S.VHYRS_S5 AS Week, VHYRS_S.level AS MWh FROM (VHYRS_S INNER JOIN ICA ON VHYRS_S.VHYRS_S4 = ICA.ICA4) INNER JOIN RRRAAA ON VHYRS_S.VHYRS_S4 = RRRAAA.RRRAAA4;</t>
  </si>
  <si>
    <t>DROP TABLE if exists `Electricity Demand - Term`;</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</si>
  <si>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</si>
  <si>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</si>
  <si>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</si>
  <si>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</si>
  <si>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</si>
  <si>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</si>
  <si>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</si>
  <si>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Heat Price - Marginal</t>
  </si>
  <si>
    <t>DROP TABLE if exists`Heat Price - Marginal`;</t>
  </si>
  <si>
    <t>Sum of MWh</t>
  </si>
  <si>
    <t>Sum of SO2 kilotons</t>
  </si>
  <si>
    <t>Sum of N2O kilotons</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</si>
  <si>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</si>
  <si>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</si>
  <si>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</si>
  <si>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Exogenous Generation Technology - MW</t>
  </si>
  <si>
    <t>DROP TABLE if exists `Exogenous Generation Technology - MW`;</t>
  </si>
  <si>
    <t>INSERT INTO `Exogenous Generation Technology - 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</si>
  <si>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Exogenous Electricity Generation Technology - MW</t>
  </si>
  <si>
    <t>DROP TABLE if exists `Exogenous Electricity Generation Technology - MW`;</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</si>
  <si>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</si>
  <si>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</si>
  <si>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</si>
  <si>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</si>
  <si>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</si>
  <si>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</si>
  <si>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</si>
  <si>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</si>
  <si>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</si>
  <si>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</si>
  <si>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CREATE TABLE `Electricity generation - Annual` (`Case` TEXT,    `Year1`    TEXT,    `Year2`    TEXT, `Country` TEXT, `Region` TEXT,   `Area`  TEXT, `Fuel` TEXT, `Technology Type` TEXT,   `Technology`    TEXT,  `TWh`REAL, `PJ` REAL);</t>
  </si>
  <si>
    <t>INSERT INTO `Electricity generation - annual`(`Case`, Year1, Year2, Country, Region, Area, Fuel, `Technology Type`,Technology, TWh, PJ)  SELECT [Electricity generation - Term].`Case`, [Electricity generation - Term].Year1, [Electricity generation - Term].Year2,[Electricity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Term].Year1,[Electricity generation - Term].Year2, [Electricity generation - Term].Country, [Electricity generation - Term].Region, [Electricity generation - Term].Area, [Electricity generation - Term].Fuel, [Electricity generation - Term].[Technology Type],[Electricity generation - Term].Technology;</t>
  </si>
  <si>
    <t>CREATE TABLE `Electricity generation - Term` (`Case` TEXT,    `Year1`    TEXT,    `Year2`    TEXT, `Country` TEXT, `Region` TEXT,   `Area`  TEXT, `Fuel` TEXT, `Technology Type` TEXT,  `Technology`    TEXT, `Season` TEXT, `Term` TEXT,    `MW`    REAL, `MWh`REAL, `GJ` REAL);</t>
  </si>
  <si>
    <t>INSERT INTO `Electricity generation - Term`(`Case`, Year1, Year2, Country, Region, Area, Fuel,`Technology Type`, Technology, Season, Term, MW, MWh, GJ)  SELECT [El_Gen].Case1 AS [Case], [El_Gen].Y1 AS [Year1], [El_Gen].Y2 AS [Year2],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</si>
  <si>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</si>
  <si>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S12</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</si>
  <si>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</si>
  <si>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</si>
  <si>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</si>
  <si>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</si>
  <si>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</si>
  <si>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</si>
  <si>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</si>
  <si>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</si>
  <si>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</si>
  <si>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BB4 Model</t>
  </si>
  <si>
    <t>CREATE TABLE `El Transmission between regions net - Term`(`Case` TEXT, Year1 TEXT,Year2 TEXT, Source TEXT, Destination TEXT, Season TEXT, Term TEXT, GW REAL);</t>
  </si>
  <si>
    <t>INSERT INTO `El Transmission between regions net - Term`(`Case` , Year1, Year2, Source, Destination, Season, Term, GW)  SELECT VX_T.VX_T AS [Case], VX_T.VX_T2 AS [Year1], VX_T.VX_T3 AS [Year2],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</si>
  <si>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</si>
  <si>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CREATE TABLE `El Transmission between Countries`(`Case` TEXT, Year1 TEXT,Year2 TEXT,Country1 TEXT, Region1 TEXT,Country2 TEXT,Region2 TEXT,GWh REAL);</t>
  </si>
  <si>
    <t>INSERT INTO `El Transmission between Countries`(`Case`,Year1,Year2,Country1,Region1,Country2,Region2,GWh)  SELECT VX_T.VX_T AS [`Case`], VX_T.VX_T2 AS [Year1], VX_T.VX_T2 AS [Year2],CCCRRR.CCCRRR3 AS Country1, VX_T.VX_T4 AS Region1, CCCRRR_1.CCCRRR3 AS Country2, VX_T.VX_T5 AS Region2, Sum(VX_T.level*IHOURSINST.value)/1000 AS GWh   FROM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GROUP BY VX_T.VX_T, VX_T.VX_T2,  VX_T.VX_T3,CCCRRR.CCCRRR3, VX_T.VX_T4, CCCRRR_1.CCCRRR3, VX_T.VX_T5;</t>
  </si>
  <si>
    <t>Sum of GW</t>
  </si>
  <si>
    <t>Source</t>
  </si>
  <si>
    <t>Sum of GWh</t>
  </si>
  <si>
    <t>BIOGAS</t>
  </si>
  <si>
    <t>WOOD</t>
  </si>
  <si>
    <t>LIGHTOIL</t>
  </si>
  <si>
    <t>LIGNITE</t>
  </si>
  <si>
    <t>CREATE TABLE `Exogenous Generation Technology - MW`(`Case` TEXT,`Year` TEXT,`Country` TEXT, `Region` TEXT, `Area` TEXT, `Fuel` TEXT, `Technology` TEXT, `MW` REAL);</t>
  </si>
  <si>
    <t>todo</t>
  </si>
  <si>
    <t>in generation capacity, add option for GW</t>
  </si>
  <si>
    <t>Destination</t>
  </si>
  <si>
    <t xml:space="preserve">(OMONEY INNER JOIN </t>
  </si>
  <si>
    <t>CREATE TABLE `Heat price - Marginal`(`Case` TEXT, Year1 TEXT, Year2 TEXT,  Country TEXT,Region TEXT, Area TEXT, Season TEXT, Term TEXT, `OMONEY/GJ` REAL,`OMONEY/MWh` REAL);</t>
  </si>
  <si>
    <t xml:space="preserve">(RRRAAA INNER JOIN </t>
  </si>
  <si>
    <t>(QHEQ INNER JOIN IHOURSINST ON (QHEQ.QHEQ6 = IHOURSINST.IHOURSINST4) AND (QHEQ.QHEQ = IHOURSINST.IHOURSINST) AND (QHEQ.QHEQ5 = IHOURSINST.IHOURSINST3)) ON (OMONEY.OMONEY = QHEQ.QHEQ)) ON (RRRAAA.RRRAAA4 = QHEQ.QHEQ4) AND (RRRAAA.RRRAAA = QHEQ.QHEQ)) ON (QHEQ.QHEQ4=ICA.ICA4) AND (QHEQ.QHEQ=ICA.ICA) GROUP BY QHEQ.QHEQ, QHEQ.QHEQ2,ICA.ICA3, RRRAAA.RRRAAA3, QHEQ.QHEQ3, QHEQ.QHEQ4, QHEQ.QHEQ5, QHEQ.QHEQ6;</t>
  </si>
  <si>
    <t>CREATE TABLE `Heat price - Marginal`(`Case` TEXT, Year TEXT,  Country TEXT,Region TEXT, Area TEXT, Season TEXT, Term TEXT, `OMONEY/GJ` REAL,`OMONEY/MWh` REAL);</t>
  </si>
  <si>
    <t>Sum of OMONEY/MWh</t>
  </si>
  <si>
    <t>Area</t>
  </si>
  <si>
    <t>INSERT INTO `Heat price - Marginal`(`Case`,Year1,Year2,Country,Region,Area,Season,Term,`OMONEY/GJ`,`OMONEY/MWh`) SELECT QHEQ.QHEQ AS [`Case`], QHEQ.QHEQ2 AS [Year1], QHEQ.QHEQ3 AS [Year2],ICA.ICA3 AS Country, RRRAAA.RRRAAA3 AS Region,QHEQ.QHEQ4 AS Area, QHEQ.QHEQ5 AS Season, QHEQ.QHEQ6 AS TERM,  (Avg([QHEQ].[marginal]*[OMONEY].[value]/[IHOURSINST].[value]))/3.6 AS [OMONEY/GJ], (Avg([QHEQ].[marginal]*[OMONEY].[value]/[IHOURSINST].[value])) AS [OMONEY/MWh] FROM ICA INNER JOIN (RRRAAA INNER JOIN (OMONEY INNER JOIN (QHEQ INNER JOIN IHOURSINST ON (QHEQ.QHEQ6 = IHOURSINST.IHOURSINST4) AND (QHEQ.QHEQ = IHOURSINST.IHOURSINST) AND (QHEQ.QHEQ5 = IHOURSINST.IHOURSINST3)) ON (OMONEY.OMONEY = QHEQ.QHEQ)) ON (RRRAAA.RRRAAA4 = QHEQ.QHEQ4) AND (RRRAAA.RRRAAA = QHEQ.QHEQ)) ON (QHEQ.QHEQ4=ICA.ICA4) AND (QHEQ.QHEQ=ICA.ICA) WHERE QHEQ.level &lt;&gt;0 GROUP BY QHEQ.QHEQ, QHEQ.QHEQ2,ICA.ICA3, RRRAAA.RRRAAA3, QHEQ.QHEQ3, QHEQ.QHEQ4, QHEQ.QHEQ5, QHEQ.QHEQ6;</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</si>
  <si>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</si>
  <si>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CREATE TABLE `Exogenous Electricity Generation Technology - MW`(`Case` TEXT,`Year` TEXT,`Country` TEXT, `Region` TEXT, `Area` TEXT, `Fuel` TEXT, `Technology` TEXT, `MW` REAL, `GW` REAL);</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</si>
  <si>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 [Exogenous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</si>
  <si>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</si>
  <si>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BB1/BB2/BB3 Model</t>
  </si>
  <si>
    <t>CREATE TABLE `Electricity transmission`(`Case` TEXT, Year1 TEXT,Year2 TEXT,Source TEXT, Destination TEXT,Season TEXT,Term TEXT,MW REAL,MWh REAL,`Capacity (MW)` REAL, `Marginal value [€/MWh]` REAL, `Congestion rent €` REAL);</t>
  </si>
  <si>
    <t>EV</t>
  </si>
  <si>
    <t>[..] - none of add-on queries exist currently</t>
  </si>
  <si>
    <t>DROP TABLE if exists `Electricity transmission`;</t>
  </si>
  <si>
    <t>Electricity transmisson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</si>
  <si>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</si>
  <si>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</si>
  <si>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</si>
  <si>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INSERT INTO `Electricity transmission`(`Case`,Year1,Year2,Source,Destination,Season,Term,MW,MWh,`Capacity (MW)`, `Marginal value [€/MWh]`, `Congestion rent €`) SELECT VX_T.VX_T AS [Case], VX_T.VX_T2 AS [Year1],VX_T.VX_T3 AS Year2, VX_T.VX_T4 AS Source, VX_T.VX_T5 AS Destination, VX_T.VX_T6 AS Season, VX_T.VX_T7 AS Term, VX_T.level AS MW, [VX_T].[level]*[IHOURSINST].[value] AS MWh, XKINI.value AS [Capacity (MW)],[QXK_UP].[marginal]*[OMONEY].[value] AS [Marginal Value €/MW], [VX_T].[level]*[QXK_UP].[marginal]*[OMONEY].[value] AS [Congestion rent €] FROM XKINI INNER JOIN (QXK_UP INNER JOIN (OMONEY INNER JOIN (VX_T INNER JOIN IHOURSINST ON (VX_T.VX_T7 = IHOURSINST.IHOURSINST4) AND (VX_T.VX_T6 = IHOURSINST.IHOURSINST3) AND (VX_T.VX_T = IHOURSINST.IHOURSINST)) ON OMONEY.OMONEY = VX_T.VX_T) ON (QXK_UP.QXK_UP5 = VX_T.VX_T5) AND (QXK_UP.QXK_UP4 = VX_T.VX_T4) AND (QXK_UP.QXK_UP2 = VX_T.VX_T2)AND (QXK_UP.QXK_UP3 = VX_T.VX_T3) AND (QXK_UP.QXK_UP7 = VX_T.VX_T7) AND (QXK_UP.QXK_UP6 = VX_T.VX_T6) AND (QXK_UP.QXK_UP = VX_T.VX_T)) ON (XKINI.XKINI5 = VX_T.VX_T5) AND (XKINI.XKINI4 = VX_T.VX_T4) AND (XKINI.XKINI3 = VX_T.VX_T3) AND (XKINI.XKINI = VX_T.VX_T) GROUP BY VX_T.VX_T, VX_T.VX_T2, VX_T.VX_T3, VX_T.VX_T4, VX_T.VX_T5, VX_T.VX_T6,VX_T.VX_T7,XKINI.value, [QXK_UP].[marginal]*[OMONEY].[value]*1000000/[IHOURSINST].[value], [QXK_UP].[marginal]*[OMONEY].[value], [VX_T].[level]*[QXK_UP].[marginal]*[OMONEY].[value];</t>
  </si>
  <si>
    <t>SHALE</t>
  </si>
  <si>
    <t>FUELOIL</t>
  </si>
  <si>
    <t>2030</t>
  </si>
  <si>
    <t>Year1</t>
  </si>
  <si>
    <t>Endogenous Generation Technology - MW</t>
  </si>
  <si>
    <t>DROP TABLE if exists `Endogenous Generation Technology - MW`;</t>
  </si>
  <si>
    <t>CREATE TABLE `Endogenous Generation Technology - MW`(`Case` TEXT, Year TEXT,Country TEXT, Region TEXT,Area TEXT, Fuel TEXT,`Technology Type` TEXT, Technology TEXT,`MW` REAL);</t>
  </si>
  <si>
    <t>INSERT INTO `Endogenous Generation Technology - 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</si>
  <si>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Investments</t>
  </si>
  <si>
    <t>Case</t>
  </si>
  <si>
    <t>T007</t>
  </si>
  <si>
    <t>T008</t>
  </si>
  <si>
    <t>T009</t>
  </si>
  <si>
    <t>T010</t>
  </si>
  <si>
    <t>T011</t>
  </si>
  <si>
    <t>Sum of GJ</t>
  </si>
  <si>
    <t>NETHERLANDS</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</si>
  <si>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</si>
  <si>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</si>
  <si>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</si>
  <si>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</si>
  <si>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</si>
  <si>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</si>
  <si>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</si>
  <si>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</si>
  <si>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</si>
  <si>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</si>
  <si>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</si>
  <si>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</si>
  <si>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</si>
  <si>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</si>
  <si>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</si>
  <si>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</si>
  <si>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</si>
  <si>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 'Electricity generation - Term' SET MW = MW *(-1), MWh = MWh *(-1), GJ = GJ *(-1) WHERE FUEL = 'ELECTRIC';</t>
  </si>
  <si>
    <t>Update</t>
  </si>
  <si>
    <t>Note: Please reserve this column for Country filter checkboxes</t>
  </si>
  <si>
    <t>(All)</t>
  </si>
  <si>
    <t>DK1</t>
  </si>
  <si>
    <t>DK2</t>
  </si>
  <si>
    <t>ELECTRIC</t>
  </si>
  <si>
    <t>NUCLEAR</t>
  </si>
  <si>
    <t>STRAW</t>
  </si>
  <si>
    <t>WIND</t>
  </si>
  <si>
    <t>NATGAS</t>
  </si>
  <si>
    <t>PEAT</t>
  </si>
  <si>
    <t>WOODCHIPS</t>
  </si>
  <si>
    <t>WOODWASTE</t>
  </si>
  <si>
    <t>BIOOIL</t>
  </si>
  <si>
    <t>MUNIWASTE</t>
  </si>
  <si>
    <t>RECYCLEDWOOD</t>
  </si>
  <si>
    <t>WOODPELLETS</t>
  </si>
  <si>
    <t>HEAVYFUELOIL</t>
  </si>
  <si>
    <t>UNITED_KINGDOM</t>
  </si>
  <si>
    <t>T012</t>
  </si>
  <si>
    <t>DK1_Large</t>
  </si>
  <si>
    <t>DK1_MedSmall</t>
  </si>
  <si>
    <t>DK1_Medium</t>
  </si>
  <si>
    <t>DK1_Rural</t>
  </si>
  <si>
    <t>DK1_Small</t>
  </si>
  <si>
    <t>DK2_Large</t>
  </si>
  <si>
    <t>DK2_MedSmall</t>
  </si>
  <si>
    <t>DK2_Medium</t>
  </si>
  <si>
    <t>DK2_Rural</t>
  </si>
  <si>
    <t>DK2_Small</t>
  </si>
  <si>
    <t>BASE</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</si>
  <si>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</si>
  <si>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</si>
  <si>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INSERT INTO Fuel_Con(Case1, Year1, Area, Technology, Season,Term, MW) SELECT  VGF_T, VGF_T2, VGF_T3, VGF_T4, VGF_T5, VGF_T6, level FROM VGF_T WHERE level &gt;0 UNION SELECT VGFN_T, VGFN_T2, VGFN_T3, VGFN_T4, VGFN_T5, VGFN_T6,  level FROM VGFN_T WHERE VGFN_T.level &gt;0;</t>
  </si>
  <si>
    <t>Case1</t>
  </si>
  <si>
    <t>INSERT INTO `Electricity_price`(`Case1`,`Year1`,`Year2`,`Country`,`Region`,`Season`,`Term`,`OMONEY/MWh`) SELECT QEEQ.QEEQ AS [Case1], QEEQ.QEEQ2 AS [Year1],QEEQ.QEEQ3 AS [Year2], CCCRRR.CCCRRR3 AS Country, QEEQ.QEEQ4 AS Region, QEEQ.QEEQ5 AS Season, QEEQ.QEEQ6 AS Term, Avg([QEEQ].[marginal]/[IHOURSINST].[value]*[OMONEY].[value]) AS [OMONEY/MWh] FROM CCCRRR INNER JOIN (OMONEY INNER JOIN (QEEQ INNER JOIN IHOURSINST ON (QEEQ.QEEQ6 = IHOURSINST.IHOURSINST4) AND (QEEQ.QEEQ = IHOURSINST.IHOURSINST) AND (QEEQ.QEEQ5 = IHOURSINST.IHOURSINST3)) ON OMONEY.OMONEY = QEEQ.QEEQ) ON (CCCRRR.CCCRRR4 = QEEQ.QEEQ4) AND (CCCRRR.CCCRRR = QEEQ.QEEQ) GROUP BY QEEQ.QEEQ, QEEQ.QEEQ2, CCCRRR.CCCRRR3, QEEQ.QEEQ3, QEEQ.QEEQ4, QEEQ.QEEQ5, QEEQ.QEEQ6;</t>
  </si>
  <si>
    <t>Year2</t>
  </si>
  <si>
    <t>'DENMARK' , 'NORWAY' , 'GERMANY' , 'SWEDEN'</t>
  </si>
  <si>
    <t>2016</t>
  </si>
  <si>
    <t>GNR_ST_COAL_BP_E-35</t>
  </si>
  <si>
    <t>GNR_ST_COAL_CND_E-44</t>
  </si>
  <si>
    <t>GNR_ST_COAL_CND_E-45</t>
  </si>
  <si>
    <t>GNR_ST_COAL_CND_E-46</t>
  </si>
  <si>
    <t>GNR_ST_COAL_EXT_E-47</t>
  </si>
  <si>
    <t>GNR_ST_LIGN_BP_E-33</t>
  </si>
  <si>
    <t>GNR_ST_LIGN_BP_E-37</t>
  </si>
  <si>
    <t>GNR_ST_LIGN_BP_E-39</t>
  </si>
  <si>
    <t>GNR_ST_LIGN_CND_E-32</t>
  </si>
  <si>
    <t>GNR_ST_LIGN_CND_E-41</t>
  </si>
  <si>
    <t>GNR_ST_LIGN_CND_E-43</t>
  </si>
  <si>
    <t>INSERT INTO `Emissions - Term`(`Case`,Year1,Year2,Country,Region,Area,`Fuel`,Technology,Season, `Term`, `CO2 t/h`,`CO2 tons`, `SO2 t/h`,`SO2 tons`, `N2O t/h`,`N2O tons`) SELECT Fuel_con.Case1 AS `Case`, Fuel_con.Year1 AS Year1, Fuel_con.Year2 AS Year2,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[Fuel_con].Year1,Fuel_con.Year2, ICA.ICA3, RRRAAA.RRRAAA3, [Fuel_con].Area, IGF.IGF4, [Fuel_con].Technology, [Fuel_con].Season, [Fuel_con].Term;</t>
  </si>
  <si>
    <t>Technology</t>
  </si>
  <si>
    <t>Technology Type</t>
  </si>
  <si>
    <t>2.19e+303</t>
  </si>
  <si>
    <t>2.21e+303</t>
  </si>
  <si>
    <t>2.26e+303</t>
  </si>
  <si>
    <t>CREATE TABLE `Electricity Demand - Term`(`Case` TEXT, Year TEXT, Country TEXT, Region TEXT, UserGroup TEXT, Season TEXT, Term TEXT, MW REAL, MWh REAL);</t>
  </si>
  <si>
    <t>INSERT INTO `Electricity Demand - Term`(`Case`,Year,Country,Region,UserGroup,Season,Term,MW,MWh)  SELECT DE.DE AS [Case], DE.DE3 AS [Year], CCCRRR.CCCRRR3 AS Country, DE.DE4 AS Region, DE.DE5 AS UserGroup, DE_VAR_T.DE_VAR_T5 AS Season, DE_VAR_T.DE_VAR_T6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AND (DE_VAR_T.DE_VAR_T4 = DE.DE5))  INNER JOIN IDE_SUMST ON (DE.DE = IDE_SUMST.IDE_SUMST) AND (DE.DE5 = IDE_SUMST.IDE_SUMST4) AND  (DE_VAR_T.DE_VAR_T3 = IDE_SUMST.IDE_SUMST3) AND  (DE_VAR_T.DE_VAR_T4 = IDE_SUMST.IDE_SUMST4)) ON (Y.Y = DE.DE) AND (Y.Y3 = DE.DE3)) ON (DE_VAR_T.DE_VAR_T6 = IHOURSINST.IHOURSINST4) AND (DE_VAR_T.DE_VAR_T5 = IHOURSINST.IHOURSINST3) AND (IHOURSINST.IHOURSINST = DE_VAR_T.DE_VAR_T)  GROUP BY DE.DE, DE.DE3, CCCRRR.CCCRRR3, DE.DE4, DE.DE5, DE_VAR_T.DE_VAR_T5, DE_VAR_T.DE_VAR_T6;</t>
  </si>
  <si>
    <t>CREATE TABLE `Electricity Demand - Annual`(`Case` TEXT, Year TEXT, Country TEXT, Region TEXT,UserGroup TEXT, TWh REAL, GWh REAL);</t>
  </si>
  <si>
    <t>INSERT INTO `Electricity Demand - Annual`(`Case` , Year , Country , Region, UserGroup, TWh , GWh) SELECT [Electricity demand - Term].`Case`, [Electricity demand - Term].Year, [Electricity demand - Term].Country, [Electricity demand - Term].Region, [Electricity demand - Term].UserGroup,Sum([MWH])/1000000 AS TWh, Sum([MWH])/1000 AS GWh FROM [Electricity demand - Term] GROUP BY [Electricity demand - Term].`Case`, [Electricity demand - Term].Year, [Electricity demand - Term].Country, [Electricity demand - Term].Region,[Electricity demand - Term].UserGroup;</t>
  </si>
  <si>
    <t>CREATE TABLE `Heat Demand - Term`(`Case` TEXT, Year TEXT, Country TEXT, Region TEXT, Area TEXT,UserGroup TEXT,Season TEXT, Term TEXT, MW REAL, MWh REAL, GJ REAL);</t>
  </si>
  <si>
    <t>INSERT INTO `Heat Demand - Term`(`Case`,Year,Country,Region,Area,UserGroup,Season,Term,MW,MWh,GJ)   SELECT DH.DH AS [Case], DH.DH3 AS [Year], ICA.ICA3 AS Country, RRRAAA.RRRAAA3 AS Region, DH.DH4 AS Area,DH.DH5 AS UserGroup, DH_VAR_T.DH_VAR_T5 AS Season, DH_VAR_T.DH_VAR_T6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and (IDH_SUMST.IDH_SUMST4 = DH_VAR_T.DH_VAR_T4)) ON (DH.DH = IDH_SUMST.IDH_SUMST) AND (DH.DH = DH_VAR_T.DH_VAR_T) AND (DH.DH4 = DH_VAR_T.DH_VAR_T3) AND (DH.DH5 = DH_VAR_T.DH_VAR_T4)) ON (Y.Y = DH.DH) AND (Y.Y3 = DH.DH3)) ON (ICA.ICA = DH.DH) AND (ICA.ICA4 = DH.DH4)) ON (C.C = DH.DH) AND (C.C3 = ICA.ICA3))  INNER JOIN RRRAAA ON (DH.DH4 = RRRAAA.RRRAAA4) AND (DH.DH = RRRAAA.RRRAAA)) ON (DH_VAR_T.DH_VAR_T6 = IHOURSINST.IHOURSINST4) AND (DH_VAR_T.DH_VAR_T5 = IHOURSINST.IHOURSINST3) AND (IHOURSINST.IHOURSINST = DH_VAR_T.DH_VAR_T)  GROUP BY DH.DH, DH.DH3, ICA.ICA3, RRRAAA.RRRAAA3, DH.DH4,DH.DH5, DH_VAR_T.DH_VAR_T4, DH_VAR_T.DH_VAR_T;</t>
  </si>
  <si>
    <t>CREATE TABLE `Heat Demand - Annual`(`Case` TEXT, Year TEXT, Country TEXT, Region TEXT, UserGroup TEXT, Area TEXT, TWh REAL, PJ REAL);</t>
  </si>
  <si>
    <t>INSERT INTO `Heat Demand - Annual`(`Case`, Year, Country, Region,UserGroup,Area,TWh,PJ) SELECT [Heat demand - Term].`Case`, [Heat demand - Term].Year, [Heat demand - Term].Country, [Heat demand - Term].Region,[Heat demand - Term].UserGroup, [Heat demand - Term].Area, Sum([MWh]/1000000) AS TWh, Sum([MWh]/1000000)*3.6 AS PJ FROM [Heat demand - Term] GROUP BY [Heat demand - Term].`Case`, [Heat demand - Term].Year, [Heat demand - Term].Country, [Heat demand - Term].Region,[Heat demand - Term].UserGroup, [Heat demand - Term].Area;</t>
  </si>
  <si>
    <t>C:\Doc\Balmorel\temp\BASE-results.db</t>
  </si>
  <si>
    <t>CREATE TABLE `Endogenous Generation Technology - MW`(`Case` TEXT, BaseYear TEXT,ModelYear TEXT,Country TEXT, Region TEXT,Area TEXT, Fuel TEXT,`Technology Type` TEXT, Technology TEXT,`MW` REAL);</t>
  </si>
  <si>
    <t>INSERT INTO `Endogenous Generation Technology - MW`(`Case`, BaseYear,ModelYear,Country, Region,Area, Fuel,`Technology Type`, Technology,`MW`)  SELECT VGKN.VGKN AS [Case], VGKN.VGKN2 AS [BaseYear], VGKN.VGKN3 AS [ModelYear],ICA.ICA3 AS Country, RRRAAA.RRRAAA3 AS Region, VGKN.VGKN4 AS Area, IGF.IGF4 AS Fuel, GDATA.value AS `Technology Type`, VGKN.VGKN5 AS Technology, VGKN.level AS MW FROM GDATA INNER JOIN (((RRRAAA INNER JOIN [VGKN] ON (RRRAAA.RRRAAA = [VGKN].VGKN) AND (RRRAAA.RRRAAA4 = [VGKN].VGKN4)) INNER JOIN ICA ON (ICA.ICA4 = [VGKN].VGKN4) AND ([VGKN].VGKN = ICA.ICA)) INNER JOIN IGF ON (IGF.IGF3 = [VGKN].VGKN5) AND ([VGKN].VGKN = IGF.IGF))   ON  (GDATA.GDATA = [VGKN].VGKN) AND (GDATA.GDATA3 = [VGKN].VGKN5) AND (GDATA.GDATA4 = "GDTYPE") WHERE VGKN.level &gt; 0 GROUP BY VGKN.VGKN, VGKN.VGKN2, ICA.ICA3, RRRAAA.RRRAAA3, VGKN.VGKN3, VGKN.VGKN4, IGF.IGF4, GDATA.value, VGKN.VGKN4, VGKN.level ;</t>
  </si>
  <si>
    <t>DE4-E</t>
  </si>
  <si>
    <t>DE4-N</t>
  </si>
  <si>
    <t>DE4-S</t>
  </si>
  <si>
    <t>DE4-W</t>
  </si>
  <si>
    <t>NO1</t>
  </si>
  <si>
    <t>NO2</t>
  </si>
  <si>
    <t>NO3</t>
  </si>
  <si>
    <t>NO4</t>
  </si>
  <si>
    <t>NO5</t>
  </si>
  <si>
    <t>SE1</t>
  </si>
  <si>
    <t>SE2</t>
  </si>
  <si>
    <t>SE3</t>
  </si>
  <si>
    <t>SE4</t>
  </si>
  <si>
    <t>T013</t>
  </si>
  <si>
    <t>T014</t>
  </si>
  <si>
    <t>T015</t>
  </si>
  <si>
    <t>T016</t>
  </si>
  <si>
    <t>T017</t>
  </si>
  <si>
    <t>T018</t>
  </si>
  <si>
    <t>T019</t>
  </si>
  <si>
    <t>T020</t>
  </si>
  <si>
    <t>T021</t>
  </si>
  <si>
    <t>T022</t>
  </si>
  <si>
    <t>T023</t>
  </si>
  <si>
    <t>T024</t>
  </si>
  <si>
    <t>NO1_A1</t>
  </si>
  <si>
    <t>NO1_A2</t>
  </si>
  <si>
    <t>NO2_A1</t>
  </si>
  <si>
    <t>NO3_A1</t>
  </si>
  <si>
    <t>NO3_A2</t>
  </si>
  <si>
    <t>NO4_A1</t>
  </si>
  <si>
    <t>NO5_A1</t>
  </si>
  <si>
    <t>SE1_EL</t>
  </si>
  <si>
    <t>SE1_OTHER</t>
  </si>
  <si>
    <t>SE2_EL</t>
  </si>
  <si>
    <t>SE2_OTHER</t>
  </si>
  <si>
    <t>SE3_EL</t>
  </si>
  <si>
    <t>SE3_GOT</t>
  </si>
  <si>
    <t>SE3_HP</t>
  </si>
  <si>
    <t>SE3_OTHER</t>
  </si>
  <si>
    <t>SE3_STO</t>
  </si>
  <si>
    <t>SE4_EL</t>
  </si>
  <si>
    <t>SE4_HP</t>
  </si>
  <si>
    <t>SE4_MAL</t>
  </si>
  <si>
    <t>SE4_OTHER</t>
  </si>
  <si>
    <t>WASTEHEAT</t>
  </si>
  <si>
    <t>GNR_ROR_WTR</t>
  </si>
  <si>
    <t>GHYRR_WATER</t>
  </si>
  <si>
    <t>GNR_RES_WTR_NOPMP</t>
  </si>
  <si>
    <t>GHYRS_WATER</t>
  </si>
  <si>
    <t>GNR_ST_COAL_EXT_E-43</t>
  </si>
  <si>
    <t>GNR_ST_COAL_EXT_E-42</t>
  </si>
  <si>
    <t>GEXT_WOODWASTE_HORNEBORG</t>
  </si>
  <si>
    <t>GEXT_COAL_LINK</t>
  </si>
  <si>
    <t>GEXT_PEAT</t>
  </si>
  <si>
    <t>GEXT_WOODWASTE</t>
  </si>
  <si>
    <t>2.44e+303</t>
  </si>
  <si>
    <t>GNR_BO_ELEC_E-100</t>
  </si>
  <si>
    <t>GNR_HP_ELEC_COP-300</t>
  </si>
  <si>
    <t>GNR_HP_ELEC_COP-350</t>
  </si>
  <si>
    <t>GNR_HP_ELEC_COP-400</t>
  </si>
  <si>
    <t>GNR_HP_ELEC_COP-430</t>
  </si>
  <si>
    <t>GNR_HP_ELEC_COP-450</t>
  </si>
  <si>
    <t>GNR_HP_ELEC_COP-460</t>
  </si>
  <si>
    <t>GNR_HP_ELEC_COP-470</t>
  </si>
  <si>
    <t>GNR_HP_ELEC_COP-500</t>
  </si>
  <si>
    <t>GNR_HP_ELEC_COP-530</t>
  </si>
  <si>
    <t>GNR_HP_ELEC_COP-600</t>
  </si>
  <si>
    <t>GETOH_HEATPUMP</t>
  </si>
  <si>
    <t>GETOH_ELECTRICBOILER</t>
  </si>
  <si>
    <t>GETOH_HEATPUMP33</t>
  </si>
  <si>
    <t>GETOH_HEATPUMP2</t>
  </si>
  <si>
    <t>GETOH_HEATPUMP1</t>
  </si>
  <si>
    <t>GNR_BO_ELEC_E-99_LS-10-MW-FEED_Y-2030</t>
  </si>
  <si>
    <t>GNR_HP_ELEC_COP-1200_Y-2030</t>
  </si>
  <si>
    <t>GNR_BO_ELEC_E-99_SS-1-MW-FEED_Y-2030</t>
  </si>
  <si>
    <t>2.29e+303</t>
  </si>
  <si>
    <t>GNR_ST_MSW_BP_E-17</t>
  </si>
  <si>
    <t>GNR_ST_MSW_BP_E-20</t>
  </si>
  <si>
    <t>GNR_ST_MSW_BP_E-21</t>
  </si>
  <si>
    <t>GNR_ST_MSW_BP_E-22</t>
  </si>
  <si>
    <t>GNR_ST_MSW_BP_E-26</t>
  </si>
  <si>
    <t>GNR_ST_WOODCHI_BP_E-30</t>
  </si>
  <si>
    <t>GNR_ST_STRW_BP_E-26</t>
  </si>
  <si>
    <t>GNR_ENG_NGAS_BP_E-43</t>
  </si>
  <si>
    <t>GNR_ENG_NGAS_BP_E-45</t>
  </si>
  <si>
    <t>GNR_ENG_NGAS_BP_E-46</t>
  </si>
  <si>
    <t>GNR_ST_STRW_BP_E-24</t>
  </si>
  <si>
    <t>GNR_ST_STRW_BP_E-27</t>
  </si>
  <si>
    <t>GNR_ST_STRW_BP_E-28</t>
  </si>
  <si>
    <t>GNR_ST_MSW_BP_E-16</t>
  </si>
  <si>
    <t>GNR_ST_MSW_BP_E-27</t>
  </si>
  <si>
    <t>GNR_ST_WOODCHI_BP_E-27</t>
  </si>
  <si>
    <t>GNR_ST_MSW_BP_E-28</t>
  </si>
  <si>
    <t>GNR_ST_COAL_BP_E-38</t>
  </si>
  <si>
    <t>GBPR_MUNIWASTE</t>
  </si>
  <si>
    <t>GBPR_PEAT_38</t>
  </si>
  <si>
    <t>GBPR_WOODWASTE</t>
  </si>
  <si>
    <t>GBPR_MUNIWASTE_24</t>
  </si>
  <si>
    <t>GBPR_WOODWASTE_25</t>
  </si>
  <si>
    <t>GBPR_WOODWASTE_36</t>
  </si>
  <si>
    <t>GBPR_MUNIWASTE_LINK</t>
  </si>
  <si>
    <t>GBPR_RECYCLEDWOOD_SE3EL</t>
  </si>
  <si>
    <t>GBPR_WOODWASTE_ABY</t>
  </si>
  <si>
    <t>GBPR_WOODWASTE_GOT</t>
  </si>
  <si>
    <t>GBPR_COAL_SE3</t>
  </si>
  <si>
    <t>GBPR_RECYCLEDWOOD_SE3OTHER</t>
  </si>
  <si>
    <t>GBPR_COAL_VARTAN</t>
  </si>
  <si>
    <t>GBPR_MUNIWASTE_HOGDALEN</t>
  </si>
  <si>
    <t>GBPR_WOODWASTE_BRISTA</t>
  </si>
  <si>
    <t>GBPR_RECYCLEDWOOD</t>
  </si>
  <si>
    <t>GBPR_RECYCLEDWOOD_SE4EL</t>
  </si>
  <si>
    <t>GBPR_MUNIWASTE_65</t>
  </si>
  <si>
    <t>GBPR_NATGAS_MAL</t>
  </si>
  <si>
    <t>GBPR_MUNIWASTE_19</t>
  </si>
  <si>
    <t>GBPR_WOODCHIPS_25</t>
  </si>
  <si>
    <t>GNR_ST_WOODCHI_BP_E-23</t>
  </si>
  <si>
    <t>2.22e+303</t>
  </si>
  <si>
    <t>GNR_PV_SUN</t>
  </si>
  <si>
    <t>GNR_PV_SUN_LS-4-MW_Y-2030</t>
  </si>
  <si>
    <t>GNR_PV_SUN_LS-4-MW_Y-2020</t>
  </si>
  <si>
    <t>2.24e+303</t>
  </si>
  <si>
    <t>GNR_WT_WIND_ONS</t>
  </si>
  <si>
    <t>GNR_WT_WIND_OFF</t>
  </si>
  <si>
    <t>2.65e+303</t>
  </si>
  <si>
    <t>AGG-DE4-E_RES_WTR_PMP</t>
  </si>
  <si>
    <t>AGG-DE4-N_RES_WTR_PMP</t>
  </si>
  <si>
    <t>AGG-DE4-S_RES_WTR_PMP</t>
  </si>
  <si>
    <t>AGG-DE4-W_RES_WTR_PMP</t>
  </si>
  <si>
    <t>2.1e+303</t>
  </si>
  <si>
    <t>GNR_ST_MSW_CND_E-33</t>
  </si>
  <si>
    <t>GNR_GEO_HEAT_EO</t>
  </si>
  <si>
    <t>GNR_ST_NUCL_CND_E-33</t>
  </si>
  <si>
    <t>GCND_NUCLEAR</t>
  </si>
  <si>
    <t>2.49e+303</t>
  </si>
  <si>
    <t>AGG-DE4-N_ES_ELEC</t>
  </si>
  <si>
    <t>LPG</t>
  </si>
  <si>
    <t>OTHERGAS</t>
  </si>
  <si>
    <t>GNR_BO_COAL_E-91</t>
  </si>
  <si>
    <t>GHOB_PEAT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</si>
</sst>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
    <numFmt numFmtId="173" formatCode="0.00000000000"/>
  </numFmts>
  <fonts count="5" x14ac:knownFonts="1">
    <font>
      <sz val="11"/>
      <color theme="1"/>
      <name val="Calibri"/>
      <family val="2"/>
      <charset val="186"/>
      <scheme val="minor"/>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
      <sz val="8"/>
      <name val="Segoe UI"/>
      <family val="2"/>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2">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2" fillId="0" borderId="0" xfId="0" applyFont="1" applyProtection="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3" fillId="2" borderId="0" xfId="0" quotePrefix="1" applyNumberFormat="1" applyFont="1" applyFill="1" applyProtection="1">
      <protection locked="0"/>
    </xf>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indent="4"/>
    </xf>
    <xf numFmtId="0" fontId="0" fillId="0" borderId="0" xfId="0" applyAlignment="1">
      <alignment horizontal="left" indent="5"/>
    </xf>
    <xf numFmtId="173" fontId="0" fillId="0" borderId="0" xfId="0" applyNumberFormat="1"/>
  </cellXfs>
  <cellStyles count="1">
    <cellStyle name="Normal" xfId="0" builtinId="0"/>
  </cellStyles>
  <dxfs count="9">
    <dxf>
      <font>
        <color rgb="FF006100"/>
      </font>
      <fill>
        <patternFill>
          <bgColor rgb="FFC6EFCE"/>
        </patternFill>
      </fill>
    </dxf>
    <dxf>
      <numFmt numFmtId="164" formatCode="0.000"/>
    </dxf>
    <dxf>
      <numFmt numFmtId="164" formatCode="0.000"/>
    </dxf>
    <dxf>
      <numFmt numFmtId="164" formatCode="0.00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6.xml"/><Relationship Id="rId39" Type="http://schemas.openxmlformats.org/officeDocument/2006/relationships/theme" Target="theme/theme1.xml"/><Relationship Id="rId21" Type="http://schemas.openxmlformats.org/officeDocument/2006/relationships/pivotCacheDefinition" Target="pivotCache/pivotCacheDefinition1.xml"/><Relationship Id="rId34" Type="http://schemas.openxmlformats.org/officeDocument/2006/relationships/pivotCacheDefinition" Target="pivotCache/pivotCacheDefinition1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pivotCacheDefinition" Target="pivotCache/pivotCacheDefinition12.xml"/><Relationship Id="rId37" Type="http://schemas.openxmlformats.org/officeDocument/2006/relationships/pivotCacheDefinition" Target="pivotCache/pivotCacheDefinition17.xml"/><Relationship Id="rId40"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pivotCacheDefinition" Target="pivotCache/pivotCacheDefinition8.xml"/><Relationship Id="rId36" Type="http://schemas.openxmlformats.org/officeDocument/2006/relationships/pivotCacheDefinition" Target="pivotCache/pivotCacheDefinition1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openxmlformats.org/officeDocument/2006/relationships/pivotCacheDefinition" Target="pivotCache/pivotCacheDefinition10.xml"/><Relationship Id="rId35" Type="http://schemas.openxmlformats.org/officeDocument/2006/relationships/pivotCacheDefinition" Target="pivotCache/pivotCacheDefinition1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openxmlformats.org/officeDocument/2006/relationships/pivotCacheDefinition" Target="pivotCache/pivotCacheDefinition13.xml"/><Relationship Id="rId38" Type="http://schemas.openxmlformats.org/officeDocument/2006/relationships/pivotCacheDefinition" Target="pivotCache/pivotCacheDefinition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ln w="28575" cap="rnd">
            <a:solidFill>
              <a:schemeClr val="accent1"/>
            </a:solidFill>
            <a:round/>
          </a:ln>
          <a:effectLst/>
        </c:spPr>
        <c:marker>
          <c:symbol val="none"/>
        </c:marker>
      </c:pivotFmt>
      <c:pivotFmt>
        <c:idx val="166"/>
        <c:spPr>
          <a:ln w="28575" cap="rnd">
            <a:solidFill>
              <a:schemeClr val="accent1"/>
            </a:solidFill>
            <a:round/>
          </a:ln>
          <a:effectLst/>
        </c:spPr>
        <c:marker>
          <c:symbol val="none"/>
        </c:marker>
      </c:pivotFmt>
      <c:pivotFmt>
        <c:idx val="167"/>
        <c:spPr>
          <a:ln w="28575" cap="rnd">
            <a:solidFill>
              <a:schemeClr val="accent1"/>
            </a:solidFill>
            <a:round/>
          </a:ln>
          <a:effectLst/>
        </c:spPr>
        <c:marker>
          <c:symbol val="none"/>
        </c:marker>
      </c:pivotFmt>
      <c:pivotFmt>
        <c:idx val="168"/>
        <c:spPr>
          <a:ln w="28575" cap="rnd">
            <a:solidFill>
              <a:schemeClr val="accent1"/>
            </a:solidFill>
            <a:round/>
          </a:ln>
          <a:effectLst/>
        </c:spPr>
        <c:marker>
          <c:symbol val="none"/>
        </c:marker>
      </c:pivotFmt>
      <c:pivotFmt>
        <c:idx val="169"/>
        <c:spPr>
          <a:ln w="28575" cap="rnd">
            <a:solidFill>
              <a:schemeClr val="accent1"/>
            </a:solidFill>
            <a:round/>
          </a:ln>
          <a:effectLst/>
        </c:spPr>
        <c:marker>
          <c:symbol val="none"/>
        </c:marker>
      </c:pivotFmt>
      <c:pivotFmt>
        <c:idx val="170"/>
        <c:spPr>
          <a:ln w="28575" cap="rnd">
            <a:solidFill>
              <a:schemeClr val="accent1"/>
            </a:solidFill>
            <a:round/>
          </a:ln>
          <a:effectLst/>
        </c:spPr>
        <c:marker>
          <c:symbol val="none"/>
        </c:marker>
      </c:pivotFmt>
      <c:pivotFmt>
        <c:idx val="171"/>
        <c:spPr>
          <a:ln w="28575" cap="rnd">
            <a:solidFill>
              <a:schemeClr val="accent1"/>
            </a:solidFill>
            <a:round/>
          </a:ln>
          <a:effectLst/>
        </c:spPr>
        <c:marker>
          <c:symbol val="none"/>
        </c:marker>
      </c:pivotFmt>
      <c:pivotFmt>
        <c:idx val="172"/>
        <c:spPr>
          <a:ln w="28575" cap="rnd">
            <a:solidFill>
              <a:schemeClr val="accent1"/>
            </a:solidFill>
            <a:round/>
          </a:ln>
          <a:effectLst/>
        </c:spPr>
        <c:marker>
          <c:symbol val="none"/>
        </c:marker>
      </c:pivotFmt>
      <c:pivotFmt>
        <c:idx val="173"/>
        <c:spPr>
          <a:ln w="28575" cap="rnd">
            <a:solidFill>
              <a:schemeClr val="accent1"/>
            </a:solidFill>
            <a:round/>
          </a:ln>
          <a:effectLst/>
        </c:spPr>
        <c:marker>
          <c:symbol val="none"/>
        </c:marker>
      </c:pivotFmt>
      <c:pivotFmt>
        <c:idx val="174"/>
        <c:spPr>
          <a:ln w="28575" cap="rnd">
            <a:solidFill>
              <a:schemeClr val="accent1"/>
            </a:solidFill>
            <a:round/>
          </a:ln>
          <a:effectLst/>
        </c:spPr>
        <c:marker>
          <c:symbol val="none"/>
        </c:marker>
      </c:pivotFmt>
      <c:pivotFmt>
        <c:idx val="175"/>
        <c:spPr>
          <a:ln w="28575" cap="rnd">
            <a:solidFill>
              <a:schemeClr val="accent1"/>
            </a:solidFill>
            <a:round/>
          </a:ln>
          <a:effectLst/>
        </c:spPr>
        <c:marker>
          <c:symbol val="none"/>
        </c:marker>
      </c:pivotFmt>
      <c:pivotFmt>
        <c:idx val="176"/>
        <c:spPr>
          <a:ln w="28575" cap="rnd">
            <a:solidFill>
              <a:schemeClr val="accent1"/>
            </a:solidFill>
            <a:round/>
          </a:ln>
          <a:effectLst/>
        </c:spPr>
        <c:marker>
          <c:symbol val="none"/>
        </c:marker>
      </c:pivotFmt>
      <c:pivotFmt>
        <c:idx val="177"/>
        <c:spPr>
          <a:ln w="28575" cap="rnd">
            <a:solidFill>
              <a:schemeClr val="accent1"/>
            </a:solidFill>
            <a:round/>
          </a:ln>
          <a:effectLst/>
        </c:spPr>
        <c:marker>
          <c:symbol val="none"/>
        </c:marker>
      </c:pivotFmt>
    </c:pivotFmts>
    <c:plotArea>
      <c:layout>
        <c:manualLayout>
          <c:layoutTarget val="inner"/>
          <c:xMode val="edge"/>
          <c:yMode val="edge"/>
          <c:x val="4.8079367244556165E-2"/>
          <c:y val="8.1483767006810301E-2"/>
          <c:w val="0.89211264190121098"/>
          <c:h val="0.79117014702302235"/>
        </c:manualLayout>
      </c:layout>
      <c:lineChart>
        <c:grouping val="standard"/>
        <c:varyColors val="0"/>
        <c:ser>
          <c:idx val="0"/>
          <c:order val="0"/>
          <c:tx>
            <c:strRef>
              <c:f>'EL Prices'!$F$4:$F$7</c:f>
              <c:strCache>
                <c:ptCount val="1"/>
                <c:pt idx="0">
                  <c:v>DE4-E - GERMANY - BASE</c:v>
                </c:pt>
              </c:strCache>
            </c:strRef>
          </c:tx>
          <c:spPr>
            <a:ln w="28575" cap="rnd">
              <a:solidFill>
                <a:schemeClr val="accent1"/>
              </a:solidFill>
              <a:round/>
            </a:ln>
            <a:effectLst/>
          </c:spPr>
          <c:marker>
            <c:symbol val="none"/>
          </c:marker>
          <c:cat>
            <c:multiLvlStrRef>
              <c:f>'EL Prices'!$B$8:$E$56</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S12</c:v>
                  </c:pt>
                  <c:pt idx="24">
                    <c:v>S12</c:v>
                  </c:pt>
                </c:lvl>
                <c:lvl>
                  <c:pt idx="0">
                    <c:v>2030</c:v>
                  </c:pt>
                  <c:pt idx="24">
                    <c:v>2016</c:v>
                  </c:pt>
                </c:lvl>
                <c:lvl>
                  <c:pt idx="0">
                    <c:v>2016</c:v>
                  </c:pt>
                </c:lvl>
              </c:multiLvlStrCache>
            </c:multiLvlStrRef>
          </c:cat>
          <c:val>
            <c:numRef>
              <c:f>'EL Prices'!$F$8:$F$56</c:f>
              <c:numCache>
                <c:formatCode>General</c:formatCode>
                <c:ptCount val="48"/>
                <c:pt idx="0">
                  <c:v>301.64030808082703</c:v>
                </c:pt>
                <c:pt idx="1">
                  <c:v>301.64030808082703</c:v>
                </c:pt>
                <c:pt idx="2">
                  <c:v>301.64030808082703</c:v>
                </c:pt>
                <c:pt idx="3">
                  <c:v>301.64030808082703</c:v>
                </c:pt>
                <c:pt idx="4">
                  <c:v>301.64030808082703</c:v>
                </c:pt>
                <c:pt idx="5">
                  <c:v>301.64030808082703</c:v>
                </c:pt>
                <c:pt idx="6">
                  <c:v>301.64030808082703</c:v>
                </c:pt>
                <c:pt idx="7">
                  <c:v>301.64030808082703</c:v>
                </c:pt>
                <c:pt idx="8">
                  <c:v>301.64030808082703</c:v>
                </c:pt>
                <c:pt idx="9">
                  <c:v>301.64030808082703</c:v>
                </c:pt>
                <c:pt idx="10">
                  <c:v>301.64030808082703</c:v>
                </c:pt>
                <c:pt idx="11">
                  <c:v>301.64030808082703</c:v>
                </c:pt>
                <c:pt idx="12">
                  <c:v>301.64030808082703</c:v>
                </c:pt>
                <c:pt idx="13">
                  <c:v>301.64030808082703</c:v>
                </c:pt>
                <c:pt idx="14">
                  <c:v>301.64030808082703</c:v>
                </c:pt>
                <c:pt idx="15">
                  <c:v>301.64030808082703</c:v>
                </c:pt>
                <c:pt idx="16">
                  <c:v>301.64030808082703</c:v>
                </c:pt>
                <c:pt idx="17">
                  <c:v>301.64030808082703</c:v>
                </c:pt>
                <c:pt idx="18">
                  <c:v>301.64030808082703</c:v>
                </c:pt>
                <c:pt idx="19">
                  <c:v>301.64030808082703</c:v>
                </c:pt>
                <c:pt idx="20">
                  <c:v>301.64030808082703</c:v>
                </c:pt>
                <c:pt idx="21">
                  <c:v>301.64030808082703</c:v>
                </c:pt>
                <c:pt idx="22">
                  <c:v>301.64030808082703</c:v>
                </c:pt>
                <c:pt idx="23">
                  <c:v>301.64030808082703</c:v>
                </c:pt>
                <c:pt idx="24">
                  <c:v>372.29089143597002</c:v>
                </c:pt>
                <c:pt idx="25">
                  <c:v>372.29089143597002</c:v>
                </c:pt>
                <c:pt idx="26">
                  <c:v>372.29089143597002</c:v>
                </c:pt>
                <c:pt idx="27">
                  <c:v>372.29089143597002</c:v>
                </c:pt>
                <c:pt idx="28">
                  <c:v>372.29089143597002</c:v>
                </c:pt>
                <c:pt idx="29">
                  <c:v>372.29089143597002</c:v>
                </c:pt>
                <c:pt idx="30">
                  <c:v>372.29089143597002</c:v>
                </c:pt>
                <c:pt idx="31">
                  <c:v>372.29089143597002</c:v>
                </c:pt>
                <c:pt idx="32">
                  <c:v>372.29089143597002</c:v>
                </c:pt>
                <c:pt idx="33">
                  <c:v>372.29089143597002</c:v>
                </c:pt>
                <c:pt idx="34">
                  <c:v>372.29089143597002</c:v>
                </c:pt>
                <c:pt idx="35">
                  <c:v>372.29089143597002</c:v>
                </c:pt>
                <c:pt idx="36">
                  <c:v>372.29089143597002</c:v>
                </c:pt>
                <c:pt idx="37">
                  <c:v>372.29089143597002</c:v>
                </c:pt>
                <c:pt idx="38">
                  <c:v>372.29089143597002</c:v>
                </c:pt>
                <c:pt idx="39">
                  <c:v>372.29089143597002</c:v>
                </c:pt>
                <c:pt idx="40">
                  <c:v>372.29089143597002</c:v>
                </c:pt>
                <c:pt idx="41">
                  <c:v>372.29089143597002</c:v>
                </c:pt>
                <c:pt idx="42">
                  <c:v>372.29089143597002</c:v>
                </c:pt>
                <c:pt idx="43">
                  <c:v>372.29089143597002</c:v>
                </c:pt>
                <c:pt idx="44">
                  <c:v>372.29089143597002</c:v>
                </c:pt>
                <c:pt idx="45">
                  <c:v>372.29089143597002</c:v>
                </c:pt>
                <c:pt idx="46">
                  <c:v>372.29089143597002</c:v>
                </c:pt>
                <c:pt idx="47">
                  <c:v>372.29089143597002</c:v>
                </c:pt>
              </c:numCache>
            </c:numRef>
          </c:val>
          <c:smooth val="0"/>
          <c:extLst>
            <c:ext xmlns:c16="http://schemas.microsoft.com/office/drawing/2014/chart" uri="{C3380CC4-5D6E-409C-BE32-E72D297353CC}">
              <c16:uniqueId val="{00000000-6DE6-4D97-8700-F0F3A39CA130}"/>
            </c:ext>
          </c:extLst>
        </c:ser>
        <c:ser>
          <c:idx val="1"/>
          <c:order val="1"/>
          <c:tx>
            <c:strRef>
              <c:f>'EL Prices'!$G$4:$G$7</c:f>
              <c:strCache>
                <c:ptCount val="1"/>
                <c:pt idx="0">
                  <c:v>DE4-N - GERMANY - BASE</c:v>
                </c:pt>
              </c:strCache>
            </c:strRef>
          </c:tx>
          <c:spPr>
            <a:ln w="28575" cap="rnd">
              <a:solidFill>
                <a:schemeClr val="accent2"/>
              </a:solidFill>
              <a:round/>
            </a:ln>
            <a:effectLst/>
          </c:spPr>
          <c:marker>
            <c:symbol val="none"/>
          </c:marker>
          <c:cat>
            <c:multiLvlStrRef>
              <c:f>'EL Prices'!$B$8:$E$56</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S12</c:v>
                  </c:pt>
                  <c:pt idx="24">
                    <c:v>S12</c:v>
                  </c:pt>
                </c:lvl>
                <c:lvl>
                  <c:pt idx="0">
                    <c:v>2030</c:v>
                  </c:pt>
                  <c:pt idx="24">
                    <c:v>2016</c:v>
                  </c:pt>
                </c:lvl>
                <c:lvl>
                  <c:pt idx="0">
                    <c:v>2016</c:v>
                  </c:pt>
                </c:lvl>
              </c:multiLvlStrCache>
            </c:multiLvlStrRef>
          </c:cat>
          <c:val>
            <c:numRef>
              <c:f>'EL Prices'!$G$8:$G$56</c:f>
              <c:numCache>
                <c:formatCode>General</c:formatCode>
                <c:ptCount val="48"/>
                <c:pt idx="0">
                  <c:v>123.736290944239</c:v>
                </c:pt>
                <c:pt idx="1">
                  <c:v>123.736290944239</c:v>
                </c:pt>
                <c:pt idx="2">
                  <c:v>123.736290944239</c:v>
                </c:pt>
                <c:pt idx="3">
                  <c:v>123.736290944239</c:v>
                </c:pt>
                <c:pt idx="4">
                  <c:v>123.736290944239</c:v>
                </c:pt>
                <c:pt idx="5">
                  <c:v>123.736290944239</c:v>
                </c:pt>
                <c:pt idx="6">
                  <c:v>123.736290944239</c:v>
                </c:pt>
                <c:pt idx="7">
                  <c:v>123.736290944239</c:v>
                </c:pt>
                <c:pt idx="8">
                  <c:v>123.736290944239</c:v>
                </c:pt>
                <c:pt idx="9">
                  <c:v>123.736290944239</c:v>
                </c:pt>
                <c:pt idx="10">
                  <c:v>123.736290944239</c:v>
                </c:pt>
                <c:pt idx="11">
                  <c:v>123.736290944239</c:v>
                </c:pt>
                <c:pt idx="12">
                  <c:v>123.736290944239</c:v>
                </c:pt>
                <c:pt idx="13">
                  <c:v>123.736290944239</c:v>
                </c:pt>
                <c:pt idx="14">
                  <c:v>123.736290944239</c:v>
                </c:pt>
                <c:pt idx="15">
                  <c:v>123.736290944239</c:v>
                </c:pt>
                <c:pt idx="16">
                  <c:v>123.736290944239</c:v>
                </c:pt>
                <c:pt idx="17">
                  <c:v>288.970500779605</c:v>
                </c:pt>
                <c:pt idx="18">
                  <c:v>288.970500779605</c:v>
                </c:pt>
                <c:pt idx="19">
                  <c:v>288.970500779605</c:v>
                </c:pt>
                <c:pt idx="20">
                  <c:v>288.970500779605</c:v>
                </c:pt>
                <c:pt idx="21">
                  <c:v>288.970500779605</c:v>
                </c:pt>
                <c:pt idx="22">
                  <c:v>288.970500779605</c:v>
                </c:pt>
                <c:pt idx="23">
                  <c:v>123.736290944239</c:v>
                </c:pt>
                <c:pt idx="24">
                  <c:v>372.29089143597002</c:v>
                </c:pt>
                <c:pt idx="25">
                  <c:v>372.29089143597002</c:v>
                </c:pt>
                <c:pt idx="26">
                  <c:v>372.29089143597002</c:v>
                </c:pt>
                <c:pt idx="27">
                  <c:v>372.29089143597002</c:v>
                </c:pt>
                <c:pt idx="28">
                  <c:v>372.29089143597002</c:v>
                </c:pt>
                <c:pt idx="29">
                  <c:v>372.29089143597002</c:v>
                </c:pt>
                <c:pt idx="30">
                  <c:v>372.29089143597002</c:v>
                </c:pt>
                <c:pt idx="31">
                  <c:v>372.29089143597002</c:v>
                </c:pt>
                <c:pt idx="32">
                  <c:v>372.29089143597002</c:v>
                </c:pt>
                <c:pt idx="33">
                  <c:v>372.29089143597002</c:v>
                </c:pt>
                <c:pt idx="34">
                  <c:v>372.29089143597002</c:v>
                </c:pt>
                <c:pt idx="35">
                  <c:v>372.29089143597002</c:v>
                </c:pt>
                <c:pt idx="36">
                  <c:v>372.29089143597002</c:v>
                </c:pt>
                <c:pt idx="37">
                  <c:v>372.29089143597002</c:v>
                </c:pt>
                <c:pt idx="38">
                  <c:v>372.29089143597002</c:v>
                </c:pt>
                <c:pt idx="39">
                  <c:v>372.29089143597002</c:v>
                </c:pt>
                <c:pt idx="40">
                  <c:v>372.29089143597002</c:v>
                </c:pt>
                <c:pt idx="41">
                  <c:v>372.29089143597002</c:v>
                </c:pt>
                <c:pt idx="42">
                  <c:v>372.29089143597002</c:v>
                </c:pt>
                <c:pt idx="43">
                  <c:v>372.29089143597002</c:v>
                </c:pt>
                <c:pt idx="44">
                  <c:v>372.29089143597002</c:v>
                </c:pt>
                <c:pt idx="45">
                  <c:v>372.29089143597002</c:v>
                </c:pt>
                <c:pt idx="46">
                  <c:v>372.29089143597002</c:v>
                </c:pt>
                <c:pt idx="47">
                  <c:v>372.29089143597002</c:v>
                </c:pt>
              </c:numCache>
            </c:numRef>
          </c:val>
          <c:smooth val="0"/>
          <c:extLst>
            <c:ext xmlns:c16="http://schemas.microsoft.com/office/drawing/2014/chart" uri="{C3380CC4-5D6E-409C-BE32-E72D297353CC}">
              <c16:uniqueId val="{00000001-6DE6-4D97-8700-F0F3A39CA130}"/>
            </c:ext>
          </c:extLst>
        </c:ser>
        <c:ser>
          <c:idx val="2"/>
          <c:order val="2"/>
          <c:tx>
            <c:strRef>
              <c:f>'EL Prices'!$H$4:$H$7</c:f>
              <c:strCache>
                <c:ptCount val="1"/>
                <c:pt idx="0">
                  <c:v>DE4-S - GERMANY - BASE</c:v>
                </c:pt>
              </c:strCache>
            </c:strRef>
          </c:tx>
          <c:spPr>
            <a:ln w="28575" cap="rnd">
              <a:solidFill>
                <a:schemeClr val="accent3"/>
              </a:solidFill>
              <a:round/>
            </a:ln>
            <a:effectLst/>
          </c:spPr>
          <c:marker>
            <c:symbol val="none"/>
          </c:marker>
          <c:cat>
            <c:multiLvlStrRef>
              <c:f>'EL Prices'!$B$8:$E$56</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S12</c:v>
                  </c:pt>
                  <c:pt idx="24">
                    <c:v>S12</c:v>
                  </c:pt>
                </c:lvl>
                <c:lvl>
                  <c:pt idx="0">
                    <c:v>2030</c:v>
                  </c:pt>
                  <c:pt idx="24">
                    <c:v>2016</c:v>
                  </c:pt>
                </c:lvl>
                <c:lvl>
                  <c:pt idx="0">
                    <c:v>2016</c:v>
                  </c:pt>
                </c:lvl>
              </c:multiLvlStrCache>
            </c:multiLvlStrRef>
          </c:cat>
          <c:val>
            <c:numRef>
              <c:f>'EL Prices'!$H$8:$H$56</c:f>
              <c:numCache>
                <c:formatCode>General</c:formatCode>
                <c:ptCount val="48"/>
                <c:pt idx="0">
                  <c:v>436.32531202774499</c:v>
                </c:pt>
                <c:pt idx="1">
                  <c:v>436.32531202774499</c:v>
                </c:pt>
                <c:pt idx="2">
                  <c:v>436.32531202774499</c:v>
                </c:pt>
                <c:pt idx="3">
                  <c:v>436.32531202774499</c:v>
                </c:pt>
                <c:pt idx="4">
                  <c:v>436.32531202774499</c:v>
                </c:pt>
                <c:pt idx="5">
                  <c:v>436.32531202774499</c:v>
                </c:pt>
                <c:pt idx="6">
                  <c:v>436.32531202774499</c:v>
                </c:pt>
                <c:pt idx="7">
                  <c:v>436.32531202774499</c:v>
                </c:pt>
                <c:pt idx="8">
                  <c:v>436.32531202774499</c:v>
                </c:pt>
                <c:pt idx="9">
                  <c:v>436.32531202774499</c:v>
                </c:pt>
                <c:pt idx="10">
                  <c:v>436.32531202774499</c:v>
                </c:pt>
                <c:pt idx="11">
                  <c:v>436.32531202774499</c:v>
                </c:pt>
                <c:pt idx="12">
                  <c:v>436.32531202774499</c:v>
                </c:pt>
                <c:pt idx="13">
                  <c:v>436.32531202774499</c:v>
                </c:pt>
                <c:pt idx="14">
                  <c:v>436.32531202774499</c:v>
                </c:pt>
                <c:pt idx="15">
                  <c:v>436.32531202774499</c:v>
                </c:pt>
                <c:pt idx="16">
                  <c:v>436.32531202774499</c:v>
                </c:pt>
                <c:pt idx="17">
                  <c:v>436.32531202774499</c:v>
                </c:pt>
                <c:pt idx="18">
                  <c:v>436.32531202774499</c:v>
                </c:pt>
                <c:pt idx="19">
                  <c:v>436.32531202774499</c:v>
                </c:pt>
                <c:pt idx="20">
                  <c:v>436.32531202774499</c:v>
                </c:pt>
                <c:pt idx="21">
                  <c:v>436.32531202774499</c:v>
                </c:pt>
                <c:pt idx="22">
                  <c:v>436.32531202774499</c:v>
                </c:pt>
                <c:pt idx="23">
                  <c:v>436.32531202774499</c:v>
                </c:pt>
                <c:pt idx="24">
                  <c:v>405.65297063555602</c:v>
                </c:pt>
                <c:pt idx="25">
                  <c:v>405.65297063555602</c:v>
                </c:pt>
                <c:pt idx="26">
                  <c:v>405.65297063555602</c:v>
                </c:pt>
                <c:pt idx="27">
                  <c:v>405.65297063555602</c:v>
                </c:pt>
                <c:pt idx="28">
                  <c:v>405.65297063555602</c:v>
                </c:pt>
                <c:pt idx="29">
                  <c:v>405.65297063555602</c:v>
                </c:pt>
                <c:pt idx="30">
                  <c:v>405.65297063555602</c:v>
                </c:pt>
                <c:pt idx="31">
                  <c:v>405.65297063555602</c:v>
                </c:pt>
                <c:pt idx="32">
                  <c:v>405.65297063555602</c:v>
                </c:pt>
                <c:pt idx="33">
                  <c:v>405.65297063555602</c:v>
                </c:pt>
                <c:pt idx="34">
                  <c:v>405.65297063555602</c:v>
                </c:pt>
                <c:pt idx="35">
                  <c:v>405.65297063555602</c:v>
                </c:pt>
                <c:pt idx="36">
                  <c:v>405.65297063555602</c:v>
                </c:pt>
                <c:pt idx="37">
                  <c:v>405.65297063555602</c:v>
                </c:pt>
                <c:pt idx="38">
                  <c:v>405.65297063555602</c:v>
                </c:pt>
                <c:pt idx="39">
                  <c:v>405.65297063555602</c:v>
                </c:pt>
                <c:pt idx="40">
                  <c:v>405.65297063555602</c:v>
                </c:pt>
                <c:pt idx="41">
                  <c:v>405.65297063555602</c:v>
                </c:pt>
                <c:pt idx="42">
                  <c:v>405.65297063555602</c:v>
                </c:pt>
                <c:pt idx="43">
                  <c:v>405.65297063555602</c:v>
                </c:pt>
                <c:pt idx="44">
                  <c:v>405.65297063555602</c:v>
                </c:pt>
                <c:pt idx="45">
                  <c:v>405.65297063555602</c:v>
                </c:pt>
                <c:pt idx="46">
                  <c:v>405.65297063555602</c:v>
                </c:pt>
                <c:pt idx="47">
                  <c:v>405.65297063555602</c:v>
                </c:pt>
              </c:numCache>
            </c:numRef>
          </c:val>
          <c:smooth val="0"/>
          <c:extLst>
            <c:ext xmlns:c16="http://schemas.microsoft.com/office/drawing/2014/chart" uri="{C3380CC4-5D6E-409C-BE32-E72D297353CC}">
              <c16:uniqueId val="{00000000-4B14-4DA7-884A-F017B4329A20}"/>
            </c:ext>
          </c:extLst>
        </c:ser>
        <c:ser>
          <c:idx val="3"/>
          <c:order val="3"/>
          <c:tx>
            <c:strRef>
              <c:f>'EL Prices'!$I$4:$I$7</c:f>
              <c:strCache>
                <c:ptCount val="1"/>
                <c:pt idx="0">
                  <c:v>DE4-W - GERMANY - BASE</c:v>
                </c:pt>
              </c:strCache>
            </c:strRef>
          </c:tx>
          <c:spPr>
            <a:ln w="28575" cap="rnd">
              <a:solidFill>
                <a:schemeClr val="accent4"/>
              </a:solidFill>
              <a:round/>
            </a:ln>
            <a:effectLst/>
          </c:spPr>
          <c:marker>
            <c:symbol val="none"/>
          </c:marker>
          <c:cat>
            <c:multiLvlStrRef>
              <c:f>'EL Prices'!$B$8:$E$56</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S12</c:v>
                  </c:pt>
                  <c:pt idx="24">
                    <c:v>S12</c:v>
                  </c:pt>
                </c:lvl>
                <c:lvl>
                  <c:pt idx="0">
                    <c:v>2030</c:v>
                  </c:pt>
                  <c:pt idx="24">
                    <c:v>2016</c:v>
                  </c:pt>
                </c:lvl>
                <c:lvl>
                  <c:pt idx="0">
                    <c:v>2016</c:v>
                  </c:pt>
                </c:lvl>
              </c:multiLvlStrCache>
            </c:multiLvlStrRef>
          </c:cat>
          <c:val>
            <c:numRef>
              <c:f>'EL Prices'!$I$8:$I$56</c:f>
              <c:numCache>
                <c:formatCode>General</c:formatCode>
                <c:ptCount val="48"/>
                <c:pt idx="0">
                  <c:v>301.64030808082703</c:v>
                </c:pt>
                <c:pt idx="1">
                  <c:v>301.64030808082703</c:v>
                </c:pt>
                <c:pt idx="2">
                  <c:v>301.64030808082703</c:v>
                </c:pt>
                <c:pt idx="3">
                  <c:v>301.64030808082703</c:v>
                </c:pt>
                <c:pt idx="4">
                  <c:v>301.64030808082703</c:v>
                </c:pt>
                <c:pt idx="5">
                  <c:v>301.64030808082703</c:v>
                </c:pt>
                <c:pt idx="6">
                  <c:v>301.64030808082703</c:v>
                </c:pt>
                <c:pt idx="7">
                  <c:v>301.64030808082703</c:v>
                </c:pt>
                <c:pt idx="8">
                  <c:v>301.64030808082703</c:v>
                </c:pt>
                <c:pt idx="9">
                  <c:v>301.64030808082703</c:v>
                </c:pt>
                <c:pt idx="10">
                  <c:v>301.64030808082703</c:v>
                </c:pt>
                <c:pt idx="11">
                  <c:v>301.64030808082703</c:v>
                </c:pt>
                <c:pt idx="12">
                  <c:v>301.64030808082703</c:v>
                </c:pt>
                <c:pt idx="13">
                  <c:v>301.64030808082703</c:v>
                </c:pt>
                <c:pt idx="14">
                  <c:v>301.64030808082703</c:v>
                </c:pt>
                <c:pt idx="15">
                  <c:v>301.64030808082703</c:v>
                </c:pt>
                <c:pt idx="16">
                  <c:v>301.64030808082703</c:v>
                </c:pt>
                <c:pt idx="17">
                  <c:v>301.64030808082703</c:v>
                </c:pt>
                <c:pt idx="18">
                  <c:v>301.64030808082703</c:v>
                </c:pt>
                <c:pt idx="19">
                  <c:v>301.64030808082703</c:v>
                </c:pt>
                <c:pt idx="20">
                  <c:v>301.64030808082703</c:v>
                </c:pt>
                <c:pt idx="21">
                  <c:v>301.64030808082703</c:v>
                </c:pt>
                <c:pt idx="22">
                  <c:v>301.64030808082703</c:v>
                </c:pt>
                <c:pt idx="23">
                  <c:v>301.64030808082703</c:v>
                </c:pt>
                <c:pt idx="24">
                  <c:v>388.61411506886202</c:v>
                </c:pt>
                <c:pt idx="25">
                  <c:v>388.61411506886202</c:v>
                </c:pt>
                <c:pt idx="26">
                  <c:v>388.61411506886202</c:v>
                </c:pt>
                <c:pt idx="27">
                  <c:v>388.61411506886202</c:v>
                </c:pt>
                <c:pt idx="28">
                  <c:v>388.61411506886202</c:v>
                </c:pt>
                <c:pt idx="29">
                  <c:v>388.61411506886202</c:v>
                </c:pt>
                <c:pt idx="30">
                  <c:v>388.61411506886202</c:v>
                </c:pt>
                <c:pt idx="31">
                  <c:v>388.61411506886202</c:v>
                </c:pt>
                <c:pt idx="32">
                  <c:v>388.61411506886202</c:v>
                </c:pt>
                <c:pt idx="33">
                  <c:v>388.61411506886202</c:v>
                </c:pt>
                <c:pt idx="34">
                  <c:v>388.61411506886202</c:v>
                </c:pt>
                <c:pt idx="35">
                  <c:v>388.61411506886202</c:v>
                </c:pt>
                <c:pt idx="36">
                  <c:v>388.61411506886202</c:v>
                </c:pt>
                <c:pt idx="37">
                  <c:v>388.61411506886202</c:v>
                </c:pt>
                <c:pt idx="38">
                  <c:v>388.61411506886202</c:v>
                </c:pt>
                <c:pt idx="39">
                  <c:v>388.61411506886202</c:v>
                </c:pt>
                <c:pt idx="40">
                  <c:v>388.61411506886202</c:v>
                </c:pt>
                <c:pt idx="41">
                  <c:v>388.61411506886202</c:v>
                </c:pt>
                <c:pt idx="42">
                  <c:v>388.61411506886202</c:v>
                </c:pt>
                <c:pt idx="43">
                  <c:v>388.61411506886202</c:v>
                </c:pt>
                <c:pt idx="44">
                  <c:v>388.61411506886202</c:v>
                </c:pt>
                <c:pt idx="45">
                  <c:v>388.61411506886202</c:v>
                </c:pt>
                <c:pt idx="46">
                  <c:v>388.61411506886202</c:v>
                </c:pt>
                <c:pt idx="47">
                  <c:v>388.61411506886202</c:v>
                </c:pt>
              </c:numCache>
            </c:numRef>
          </c:val>
          <c:smooth val="0"/>
          <c:extLst>
            <c:ext xmlns:c16="http://schemas.microsoft.com/office/drawing/2014/chart" uri="{C3380CC4-5D6E-409C-BE32-E72D297353CC}">
              <c16:uniqueId val="{00000001-4B14-4DA7-884A-F017B4329A20}"/>
            </c:ext>
          </c:extLst>
        </c:ser>
        <c:ser>
          <c:idx val="4"/>
          <c:order val="4"/>
          <c:tx>
            <c:strRef>
              <c:f>'EL Prices'!$J$4:$J$7</c:f>
              <c:strCache>
                <c:ptCount val="1"/>
                <c:pt idx="0">
                  <c:v>DK1 - DENMARK - BASE</c:v>
                </c:pt>
              </c:strCache>
            </c:strRef>
          </c:tx>
          <c:spPr>
            <a:ln w="28575" cap="rnd">
              <a:solidFill>
                <a:schemeClr val="accent5"/>
              </a:solidFill>
              <a:round/>
            </a:ln>
            <a:effectLst/>
          </c:spPr>
          <c:marker>
            <c:symbol val="none"/>
          </c:marker>
          <c:cat>
            <c:multiLvlStrRef>
              <c:f>'EL Prices'!$B$8:$E$56</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S12</c:v>
                  </c:pt>
                  <c:pt idx="24">
                    <c:v>S12</c:v>
                  </c:pt>
                </c:lvl>
                <c:lvl>
                  <c:pt idx="0">
                    <c:v>2030</c:v>
                  </c:pt>
                  <c:pt idx="24">
                    <c:v>2016</c:v>
                  </c:pt>
                </c:lvl>
                <c:lvl>
                  <c:pt idx="0">
                    <c:v>2016</c:v>
                  </c:pt>
                </c:lvl>
              </c:multiLvlStrCache>
            </c:multiLvlStrRef>
          </c:cat>
          <c:val>
            <c:numRef>
              <c:f>'EL Prices'!$J$8:$J$56</c:f>
              <c:numCache>
                <c:formatCode>General</c:formatCode>
                <c:ptCount val="48"/>
                <c:pt idx="0">
                  <c:v>9.5444867150819095E-4</c:v>
                </c:pt>
                <c:pt idx="1">
                  <c:v>9.5444867150819095E-4</c:v>
                </c:pt>
                <c:pt idx="2">
                  <c:v>9.5444867150819095E-4</c:v>
                </c:pt>
                <c:pt idx="3">
                  <c:v>9.5444867150819095E-4</c:v>
                </c:pt>
                <c:pt idx="4">
                  <c:v>9.5444867150819095E-4</c:v>
                </c:pt>
                <c:pt idx="5">
                  <c:v>9.5444867150819095E-4</c:v>
                </c:pt>
                <c:pt idx="6">
                  <c:v>1.9507416480303099E-3</c:v>
                </c:pt>
                <c:pt idx="7">
                  <c:v>86.436862732438001</c:v>
                </c:pt>
                <c:pt idx="8">
                  <c:v>118.538452362754</c:v>
                </c:pt>
                <c:pt idx="9">
                  <c:v>118.538452362754</c:v>
                </c:pt>
                <c:pt idx="10">
                  <c:v>118.538452362754</c:v>
                </c:pt>
                <c:pt idx="11">
                  <c:v>118.538452362754</c:v>
                </c:pt>
                <c:pt idx="12">
                  <c:v>118.538452362754</c:v>
                </c:pt>
                <c:pt idx="13">
                  <c:v>118.538452362754</c:v>
                </c:pt>
                <c:pt idx="14">
                  <c:v>118.538452362754</c:v>
                </c:pt>
                <c:pt idx="15">
                  <c:v>118.538452362754</c:v>
                </c:pt>
                <c:pt idx="16">
                  <c:v>118.538452362754</c:v>
                </c:pt>
                <c:pt idx="17">
                  <c:v>276.83282538503403</c:v>
                </c:pt>
                <c:pt idx="18">
                  <c:v>276.83282538503403</c:v>
                </c:pt>
                <c:pt idx="19">
                  <c:v>276.83282538503403</c:v>
                </c:pt>
                <c:pt idx="20">
                  <c:v>276.83282538503403</c:v>
                </c:pt>
                <c:pt idx="21">
                  <c:v>276.83282538503403</c:v>
                </c:pt>
                <c:pt idx="22">
                  <c:v>276.83282538503403</c:v>
                </c:pt>
                <c:pt idx="23">
                  <c:v>1.9507416480303099E-3</c:v>
                </c:pt>
                <c:pt idx="24">
                  <c:v>341.67237618144202</c:v>
                </c:pt>
                <c:pt idx="25">
                  <c:v>341.67237618144202</c:v>
                </c:pt>
                <c:pt idx="26">
                  <c:v>341.67237618144202</c:v>
                </c:pt>
                <c:pt idx="27">
                  <c:v>341.67237618144202</c:v>
                </c:pt>
                <c:pt idx="28">
                  <c:v>341.67237618144202</c:v>
                </c:pt>
                <c:pt idx="29">
                  <c:v>341.67237618144202</c:v>
                </c:pt>
                <c:pt idx="30">
                  <c:v>341.67237618144202</c:v>
                </c:pt>
                <c:pt idx="31">
                  <c:v>341.67237618144202</c:v>
                </c:pt>
                <c:pt idx="32">
                  <c:v>341.67237618144202</c:v>
                </c:pt>
                <c:pt idx="33">
                  <c:v>341.67237618144202</c:v>
                </c:pt>
                <c:pt idx="34">
                  <c:v>341.67237618144202</c:v>
                </c:pt>
                <c:pt idx="35">
                  <c:v>341.67237618144202</c:v>
                </c:pt>
                <c:pt idx="36">
                  <c:v>341.67237618144202</c:v>
                </c:pt>
                <c:pt idx="37">
                  <c:v>341.67237618144202</c:v>
                </c:pt>
                <c:pt idx="38">
                  <c:v>341.67237618144202</c:v>
                </c:pt>
                <c:pt idx="39">
                  <c:v>341.67237618144202</c:v>
                </c:pt>
                <c:pt idx="40">
                  <c:v>341.67237618144202</c:v>
                </c:pt>
                <c:pt idx="41">
                  <c:v>347.67507060161199</c:v>
                </c:pt>
                <c:pt idx="42">
                  <c:v>356.653243195659</c:v>
                </c:pt>
                <c:pt idx="43">
                  <c:v>356.653243195659</c:v>
                </c:pt>
                <c:pt idx="44">
                  <c:v>356.653243195659</c:v>
                </c:pt>
                <c:pt idx="45">
                  <c:v>356.653243195659</c:v>
                </c:pt>
                <c:pt idx="46">
                  <c:v>341.67237618144202</c:v>
                </c:pt>
                <c:pt idx="47">
                  <c:v>341.67237618144202</c:v>
                </c:pt>
              </c:numCache>
            </c:numRef>
          </c:val>
          <c:smooth val="0"/>
          <c:extLst>
            <c:ext xmlns:c16="http://schemas.microsoft.com/office/drawing/2014/chart" uri="{C3380CC4-5D6E-409C-BE32-E72D297353CC}">
              <c16:uniqueId val="{00000002-4B14-4DA7-884A-F017B4329A20}"/>
            </c:ext>
          </c:extLst>
        </c:ser>
        <c:ser>
          <c:idx val="5"/>
          <c:order val="5"/>
          <c:tx>
            <c:strRef>
              <c:f>'EL Prices'!$K$4:$K$7</c:f>
              <c:strCache>
                <c:ptCount val="1"/>
                <c:pt idx="0">
                  <c:v>DK2 - DENMARK - BASE</c:v>
                </c:pt>
              </c:strCache>
            </c:strRef>
          </c:tx>
          <c:spPr>
            <a:ln w="28575" cap="rnd">
              <a:solidFill>
                <a:schemeClr val="accent6"/>
              </a:solidFill>
              <a:round/>
            </a:ln>
            <a:effectLst/>
          </c:spPr>
          <c:marker>
            <c:symbol val="none"/>
          </c:marker>
          <c:cat>
            <c:multiLvlStrRef>
              <c:f>'EL Prices'!$B$8:$E$56</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S12</c:v>
                  </c:pt>
                  <c:pt idx="24">
                    <c:v>S12</c:v>
                  </c:pt>
                </c:lvl>
                <c:lvl>
                  <c:pt idx="0">
                    <c:v>2030</c:v>
                  </c:pt>
                  <c:pt idx="24">
                    <c:v>2016</c:v>
                  </c:pt>
                </c:lvl>
                <c:lvl>
                  <c:pt idx="0">
                    <c:v>2016</c:v>
                  </c:pt>
                </c:lvl>
              </c:multiLvlStrCache>
            </c:multiLvlStrRef>
          </c:cat>
          <c:val>
            <c:numRef>
              <c:f>'EL Prices'!$K$8:$K$56</c:f>
              <c:numCache>
                <c:formatCode>General</c:formatCode>
                <c:ptCount val="48"/>
                <c:pt idx="0">
                  <c:v>9.5444867150819095E-4</c:v>
                </c:pt>
                <c:pt idx="1">
                  <c:v>9.5444867150819095E-4</c:v>
                </c:pt>
                <c:pt idx="2">
                  <c:v>9.5444867150819095E-4</c:v>
                </c:pt>
                <c:pt idx="3">
                  <c:v>9.5444867150819095E-4</c:v>
                </c:pt>
                <c:pt idx="4">
                  <c:v>9.5444867150819095E-4</c:v>
                </c:pt>
                <c:pt idx="5">
                  <c:v>9.5444867150819095E-4</c:v>
                </c:pt>
                <c:pt idx="6">
                  <c:v>9.5444867150819095E-4</c:v>
                </c:pt>
                <c:pt idx="7">
                  <c:v>82.805600135848294</c:v>
                </c:pt>
                <c:pt idx="8">
                  <c:v>113.558923001691</c:v>
                </c:pt>
                <c:pt idx="9">
                  <c:v>113.558923001691</c:v>
                </c:pt>
                <c:pt idx="10">
                  <c:v>9.5444867150819095E-4</c:v>
                </c:pt>
                <c:pt idx="11">
                  <c:v>9.5444867150819095E-4</c:v>
                </c:pt>
                <c:pt idx="12">
                  <c:v>9.5444867150819095E-4</c:v>
                </c:pt>
                <c:pt idx="13">
                  <c:v>113.558923001691</c:v>
                </c:pt>
                <c:pt idx="14">
                  <c:v>113.558923001691</c:v>
                </c:pt>
                <c:pt idx="15">
                  <c:v>113.558923001691</c:v>
                </c:pt>
                <c:pt idx="16">
                  <c:v>59.878483759990999</c:v>
                </c:pt>
                <c:pt idx="17">
                  <c:v>265.20493235703498</c:v>
                </c:pt>
                <c:pt idx="18">
                  <c:v>265.20493235703498</c:v>
                </c:pt>
                <c:pt idx="19">
                  <c:v>265.20493235703498</c:v>
                </c:pt>
                <c:pt idx="20">
                  <c:v>265.20493235703498</c:v>
                </c:pt>
                <c:pt idx="21">
                  <c:v>265.20493235703498</c:v>
                </c:pt>
                <c:pt idx="22">
                  <c:v>265.20493235703498</c:v>
                </c:pt>
                <c:pt idx="23">
                  <c:v>9.5444867150819095E-4</c:v>
                </c:pt>
                <c:pt idx="24">
                  <c:v>356.653243195659</c:v>
                </c:pt>
                <c:pt idx="25">
                  <c:v>356.653243195659</c:v>
                </c:pt>
                <c:pt idx="26">
                  <c:v>356.653243195659</c:v>
                </c:pt>
                <c:pt idx="27">
                  <c:v>356.653243195659</c:v>
                </c:pt>
                <c:pt idx="28">
                  <c:v>356.653243195659</c:v>
                </c:pt>
                <c:pt idx="29">
                  <c:v>356.653243195659</c:v>
                </c:pt>
                <c:pt idx="30">
                  <c:v>356.653243195659</c:v>
                </c:pt>
                <c:pt idx="31">
                  <c:v>356.653243195659</c:v>
                </c:pt>
                <c:pt idx="32">
                  <c:v>356.653243195659</c:v>
                </c:pt>
                <c:pt idx="33">
                  <c:v>356.653243195659</c:v>
                </c:pt>
                <c:pt idx="34">
                  <c:v>356.653243195659</c:v>
                </c:pt>
                <c:pt idx="35">
                  <c:v>356.653243195659</c:v>
                </c:pt>
                <c:pt idx="36">
                  <c:v>356.653243195659</c:v>
                </c:pt>
                <c:pt idx="37">
                  <c:v>356.653243195659</c:v>
                </c:pt>
                <c:pt idx="38">
                  <c:v>356.653243195659</c:v>
                </c:pt>
                <c:pt idx="39">
                  <c:v>356.653243195659</c:v>
                </c:pt>
                <c:pt idx="40">
                  <c:v>356.653243195659</c:v>
                </c:pt>
                <c:pt idx="41">
                  <c:v>356.653243195659</c:v>
                </c:pt>
                <c:pt idx="42">
                  <c:v>356.653243195659</c:v>
                </c:pt>
                <c:pt idx="43">
                  <c:v>356.653243195659</c:v>
                </c:pt>
                <c:pt idx="44">
                  <c:v>356.653243195659</c:v>
                </c:pt>
                <c:pt idx="45">
                  <c:v>356.653243195659</c:v>
                </c:pt>
                <c:pt idx="46">
                  <c:v>356.653243195659</c:v>
                </c:pt>
                <c:pt idx="47">
                  <c:v>356.653243195659</c:v>
                </c:pt>
              </c:numCache>
            </c:numRef>
          </c:val>
          <c:smooth val="0"/>
          <c:extLst>
            <c:ext xmlns:c16="http://schemas.microsoft.com/office/drawing/2014/chart" uri="{C3380CC4-5D6E-409C-BE32-E72D297353CC}">
              <c16:uniqueId val="{00000003-4B14-4DA7-884A-F017B4329A20}"/>
            </c:ext>
          </c:extLst>
        </c:ser>
        <c:ser>
          <c:idx val="6"/>
          <c:order val="6"/>
          <c:tx>
            <c:strRef>
              <c:f>'EL Prices'!$L$4:$L$7</c:f>
              <c:strCache>
                <c:ptCount val="1"/>
                <c:pt idx="0">
                  <c:v>NO1 - NORWAY - BASE</c:v>
                </c:pt>
              </c:strCache>
            </c:strRef>
          </c:tx>
          <c:spPr>
            <a:ln w="28575" cap="rnd">
              <a:solidFill>
                <a:schemeClr val="accent1">
                  <a:lumMod val="60000"/>
                </a:schemeClr>
              </a:solidFill>
              <a:round/>
            </a:ln>
            <a:effectLst/>
          </c:spPr>
          <c:marker>
            <c:symbol val="none"/>
          </c:marker>
          <c:cat>
            <c:multiLvlStrRef>
              <c:f>'EL Prices'!$B$8:$E$56</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S12</c:v>
                  </c:pt>
                  <c:pt idx="24">
                    <c:v>S12</c:v>
                  </c:pt>
                </c:lvl>
                <c:lvl>
                  <c:pt idx="0">
                    <c:v>2030</c:v>
                  </c:pt>
                  <c:pt idx="24">
                    <c:v>2016</c:v>
                  </c:pt>
                </c:lvl>
                <c:lvl>
                  <c:pt idx="0">
                    <c:v>2016</c:v>
                  </c:pt>
                </c:lvl>
              </c:multiLvlStrCache>
            </c:multiLvlStrRef>
          </c:cat>
          <c:val>
            <c:numRef>
              <c:f>'EL Prices'!$L$8:$L$56</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313.57180514738502</c:v>
                </c:pt>
                <c:pt idx="25">
                  <c:v>313.57180514738502</c:v>
                </c:pt>
                <c:pt idx="26">
                  <c:v>313.57180514738502</c:v>
                </c:pt>
                <c:pt idx="27">
                  <c:v>313.57180514738502</c:v>
                </c:pt>
                <c:pt idx="28">
                  <c:v>313.57180514738502</c:v>
                </c:pt>
                <c:pt idx="29">
                  <c:v>313.57180514738502</c:v>
                </c:pt>
                <c:pt idx="30">
                  <c:v>313.57180514738502</c:v>
                </c:pt>
                <c:pt idx="31">
                  <c:v>313.57180514738502</c:v>
                </c:pt>
                <c:pt idx="32">
                  <c:v>313.57180514738502</c:v>
                </c:pt>
                <c:pt idx="33">
                  <c:v>313.57180514738502</c:v>
                </c:pt>
                <c:pt idx="34">
                  <c:v>313.57180514738502</c:v>
                </c:pt>
                <c:pt idx="35">
                  <c:v>313.57180514738502</c:v>
                </c:pt>
                <c:pt idx="36">
                  <c:v>313.57180514738502</c:v>
                </c:pt>
                <c:pt idx="37">
                  <c:v>313.57180514738502</c:v>
                </c:pt>
                <c:pt idx="38">
                  <c:v>313.57180514738502</c:v>
                </c:pt>
                <c:pt idx="39">
                  <c:v>313.57180514738502</c:v>
                </c:pt>
                <c:pt idx="40">
                  <c:v>313.57180514738502</c:v>
                </c:pt>
                <c:pt idx="41">
                  <c:v>313.57180514738502</c:v>
                </c:pt>
                <c:pt idx="42">
                  <c:v>313.57180514738502</c:v>
                </c:pt>
                <c:pt idx="43">
                  <c:v>313.57180514738502</c:v>
                </c:pt>
                <c:pt idx="44">
                  <c:v>313.57180514738502</c:v>
                </c:pt>
                <c:pt idx="45">
                  <c:v>313.57180514738502</c:v>
                </c:pt>
                <c:pt idx="46">
                  <c:v>313.57180514738502</c:v>
                </c:pt>
                <c:pt idx="47">
                  <c:v>313.57180514738502</c:v>
                </c:pt>
              </c:numCache>
            </c:numRef>
          </c:val>
          <c:smooth val="0"/>
          <c:extLst>
            <c:ext xmlns:c16="http://schemas.microsoft.com/office/drawing/2014/chart" uri="{C3380CC4-5D6E-409C-BE32-E72D297353CC}">
              <c16:uniqueId val="{00000004-4B14-4DA7-884A-F017B4329A20}"/>
            </c:ext>
          </c:extLst>
        </c:ser>
        <c:ser>
          <c:idx val="7"/>
          <c:order val="7"/>
          <c:tx>
            <c:strRef>
              <c:f>'EL Prices'!$M$4:$M$7</c:f>
              <c:strCache>
                <c:ptCount val="1"/>
                <c:pt idx="0">
                  <c:v>NO2 - NORWAY - BASE</c:v>
                </c:pt>
              </c:strCache>
            </c:strRef>
          </c:tx>
          <c:spPr>
            <a:ln w="28575" cap="rnd">
              <a:solidFill>
                <a:schemeClr val="accent2">
                  <a:lumMod val="60000"/>
                </a:schemeClr>
              </a:solidFill>
              <a:round/>
            </a:ln>
            <a:effectLst/>
          </c:spPr>
          <c:marker>
            <c:symbol val="none"/>
          </c:marker>
          <c:cat>
            <c:multiLvlStrRef>
              <c:f>'EL Prices'!$B$8:$E$56</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S12</c:v>
                  </c:pt>
                  <c:pt idx="24">
                    <c:v>S12</c:v>
                  </c:pt>
                </c:lvl>
                <c:lvl>
                  <c:pt idx="0">
                    <c:v>2030</c:v>
                  </c:pt>
                  <c:pt idx="24">
                    <c:v>2016</c:v>
                  </c:pt>
                </c:lvl>
                <c:lvl>
                  <c:pt idx="0">
                    <c:v>2016</c:v>
                  </c:pt>
                </c:lvl>
              </c:multiLvlStrCache>
            </c:multiLvlStrRef>
          </c:cat>
          <c:val>
            <c:numRef>
              <c:f>'EL Prices'!$M$8:$M$56</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327.32070558182102</c:v>
                </c:pt>
                <c:pt idx="25">
                  <c:v>327.32070558182102</c:v>
                </c:pt>
                <c:pt idx="26">
                  <c:v>327.32070558182102</c:v>
                </c:pt>
                <c:pt idx="27">
                  <c:v>327.32070558182102</c:v>
                </c:pt>
                <c:pt idx="28">
                  <c:v>327.32070558182102</c:v>
                </c:pt>
                <c:pt idx="29">
                  <c:v>327.32070558182102</c:v>
                </c:pt>
                <c:pt idx="30">
                  <c:v>327.32070558182102</c:v>
                </c:pt>
                <c:pt idx="31">
                  <c:v>327.32070558182102</c:v>
                </c:pt>
                <c:pt idx="32">
                  <c:v>327.32070558182102</c:v>
                </c:pt>
                <c:pt idx="33">
                  <c:v>327.32070558182102</c:v>
                </c:pt>
                <c:pt idx="34">
                  <c:v>327.32070558182102</c:v>
                </c:pt>
                <c:pt idx="35">
                  <c:v>327.32070558182102</c:v>
                </c:pt>
                <c:pt idx="36">
                  <c:v>327.32070558182102</c:v>
                </c:pt>
                <c:pt idx="37">
                  <c:v>327.32070558182102</c:v>
                </c:pt>
                <c:pt idx="38">
                  <c:v>327.32070558182102</c:v>
                </c:pt>
                <c:pt idx="39">
                  <c:v>327.32070558182102</c:v>
                </c:pt>
                <c:pt idx="40">
                  <c:v>327.32070558182102</c:v>
                </c:pt>
                <c:pt idx="41">
                  <c:v>327.32070558182102</c:v>
                </c:pt>
                <c:pt idx="42">
                  <c:v>327.32070558182102</c:v>
                </c:pt>
                <c:pt idx="43">
                  <c:v>327.32070558182102</c:v>
                </c:pt>
                <c:pt idx="44">
                  <c:v>327.32070558182102</c:v>
                </c:pt>
                <c:pt idx="45">
                  <c:v>327.32070558182102</c:v>
                </c:pt>
                <c:pt idx="46">
                  <c:v>327.32070558182102</c:v>
                </c:pt>
                <c:pt idx="47">
                  <c:v>327.32070558182102</c:v>
                </c:pt>
              </c:numCache>
            </c:numRef>
          </c:val>
          <c:smooth val="0"/>
          <c:extLst>
            <c:ext xmlns:c16="http://schemas.microsoft.com/office/drawing/2014/chart" uri="{C3380CC4-5D6E-409C-BE32-E72D297353CC}">
              <c16:uniqueId val="{00000005-4B14-4DA7-884A-F017B4329A20}"/>
            </c:ext>
          </c:extLst>
        </c:ser>
        <c:ser>
          <c:idx val="8"/>
          <c:order val="8"/>
          <c:tx>
            <c:strRef>
              <c:f>'EL Prices'!$N$4:$N$7</c:f>
              <c:strCache>
                <c:ptCount val="1"/>
                <c:pt idx="0">
                  <c:v>NO3 - NORWAY - BASE</c:v>
                </c:pt>
              </c:strCache>
            </c:strRef>
          </c:tx>
          <c:spPr>
            <a:ln w="28575" cap="rnd">
              <a:solidFill>
                <a:schemeClr val="accent3">
                  <a:lumMod val="60000"/>
                </a:schemeClr>
              </a:solidFill>
              <a:round/>
            </a:ln>
            <a:effectLst/>
          </c:spPr>
          <c:marker>
            <c:symbol val="none"/>
          </c:marker>
          <c:cat>
            <c:multiLvlStrRef>
              <c:f>'EL Prices'!$B$8:$E$56</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S12</c:v>
                  </c:pt>
                  <c:pt idx="24">
                    <c:v>S12</c:v>
                  </c:pt>
                </c:lvl>
                <c:lvl>
                  <c:pt idx="0">
                    <c:v>2030</c:v>
                  </c:pt>
                  <c:pt idx="24">
                    <c:v>2016</c:v>
                  </c:pt>
                </c:lvl>
                <c:lvl>
                  <c:pt idx="0">
                    <c:v>2016</c:v>
                  </c:pt>
                </c:lvl>
              </c:multiLvlStrCache>
            </c:multiLvlStrRef>
          </c:cat>
          <c:val>
            <c:numRef>
              <c:f>'EL Prices'!$N$8:$N$56</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327.32070558182102</c:v>
                </c:pt>
                <c:pt idx="25">
                  <c:v>327.32070558182102</c:v>
                </c:pt>
                <c:pt idx="26">
                  <c:v>327.32070558182102</c:v>
                </c:pt>
                <c:pt idx="27">
                  <c:v>327.32070558182102</c:v>
                </c:pt>
                <c:pt idx="28">
                  <c:v>327.32070558182102</c:v>
                </c:pt>
                <c:pt idx="29">
                  <c:v>327.32070558182102</c:v>
                </c:pt>
                <c:pt idx="30">
                  <c:v>327.32070558182102</c:v>
                </c:pt>
                <c:pt idx="31">
                  <c:v>327.32070558182102</c:v>
                </c:pt>
                <c:pt idx="32">
                  <c:v>327.32070558182102</c:v>
                </c:pt>
                <c:pt idx="33">
                  <c:v>327.32070558182102</c:v>
                </c:pt>
                <c:pt idx="34">
                  <c:v>327.32070558182102</c:v>
                </c:pt>
                <c:pt idx="35">
                  <c:v>327.32070558182102</c:v>
                </c:pt>
                <c:pt idx="36">
                  <c:v>327.32070558182102</c:v>
                </c:pt>
                <c:pt idx="37">
                  <c:v>327.32070558182102</c:v>
                </c:pt>
                <c:pt idx="38">
                  <c:v>327.32070558182102</c:v>
                </c:pt>
                <c:pt idx="39">
                  <c:v>327.32070558182102</c:v>
                </c:pt>
                <c:pt idx="40">
                  <c:v>327.32070558182102</c:v>
                </c:pt>
                <c:pt idx="41">
                  <c:v>327.32070558182102</c:v>
                </c:pt>
                <c:pt idx="42">
                  <c:v>327.32070558182102</c:v>
                </c:pt>
                <c:pt idx="43">
                  <c:v>327.32070558182102</c:v>
                </c:pt>
                <c:pt idx="44">
                  <c:v>327.32070558182102</c:v>
                </c:pt>
                <c:pt idx="45">
                  <c:v>327.32070558182102</c:v>
                </c:pt>
                <c:pt idx="46">
                  <c:v>327.32070558182102</c:v>
                </c:pt>
                <c:pt idx="47">
                  <c:v>327.32070558182102</c:v>
                </c:pt>
              </c:numCache>
            </c:numRef>
          </c:val>
          <c:smooth val="0"/>
          <c:extLst>
            <c:ext xmlns:c16="http://schemas.microsoft.com/office/drawing/2014/chart" uri="{C3380CC4-5D6E-409C-BE32-E72D297353CC}">
              <c16:uniqueId val="{00000006-4B14-4DA7-884A-F017B4329A20}"/>
            </c:ext>
          </c:extLst>
        </c:ser>
        <c:ser>
          <c:idx val="9"/>
          <c:order val="9"/>
          <c:tx>
            <c:strRef>
              <c:f>'EL Prices'!$O$4:$O$7</c:f>
              <c:strCache>
                <c:ptCount val="1"/>
                <c:pt idx="0">
                  <c:v>NO4 - NORWAY - BASE</c:v>
                </c:pt>
              </c:strCache>
            </c:strRef>
          </c:tx>
          <c:spPr>
            <a:ln w="28575" cap="rnd">
              <a:solidFill>
                <a:schemeClr val="accent4">
                  <a:lumMod val="60000"/>
                </a:schemeClr>
              </a:solidFill>
              <a:round/>
            </a:ln>
            <a:effectLst/>
          </c:spPr>
          <c:marker>
            <c:symbol val="none"/>
          </c:marker>
          <c:cat>
            <c:multiLvlStrRef>
              <c:f>'EL Prices'!$B$8:$E$56</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S12</c:v>
                  </c:pt>
                  <c:pt idx="24">
                    <c:v>S12</c:v>
                  </c:pt>
                </c:lvl>
                <c:lvl>
                  <c:pt idx="0">
                    <c:v>2030</c:v>
                  </c:pt>
                  <c:pt idx="24">
                    <c:v>2016</c:v>
                  </c:pt>
                </c:lvl>
                <c:lvl>
                  <c:pt idx="0">
                    <c:v>2016</c:v>
                  </c:pt>
                </c:lvl>
              </c:multiLvlStrCache>
            </c:multiLvlStrRef>
          </c:cat>
          <c:val>
            <c:numRef>
              <c:f>'EL Prices'!$O$8:$O$56</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313.57180514738502</c:v>
                </c:pt>
                <c:pt idx="25">
                  <c:v>313.57180514738502</c:v>
                </c:pt>
                <c:pt idx="26">
                  <c:v>313.57180514738502</c:v>
                </c:pt>
                <c:pt idx="27">
                  <c:v>313.57180514738502</c:v>
                </c:pt>
                <c:pt idx="28">
                  <c:v>313.57180514738502</c:v>
                </c:pt>
                <c:pt idx="29">
                  <c:v>313.57180514738502</c:v>
                </c:pt>
                <c:pt idx="30">
                  <c:v>313.57180514738502</c:v>
                </c:pt>
                <c:pt idx="31">
                  <c:v>313.57180514738502</c:v>
                </c:pt>
                <c:pt idx="32">
                  <c:v>313.57180514738502</c:v>
                </c:pt>
                <c:pt idx="33">
                  <c:v>313.57180514738502</c:v>
                </c:pt>
                <c:pt idx="34">
                  <c:v>313.57180514738502</c:v>
                </c:pt>
                <c:pt idx="35">
                  <c:v>313.57180514738502</c:v>
                </c:pt>
                <c:pt idx="36">
                  <c:v>313.57180514738502</c:v>
                </c:pt>
                <c:pt idx="37">
                  <c:v>313.57180514738502</c:v>
                </c:pt>
                <c:pt idx="38">
                  <c:v>313.57180514738502</c:v>
                </c:pt>
                <c:pt idx="39">
                  <c:v>313.57180514738502</c:v>
                </c:pt>
                <c:pt idx="40">
                  <c:v>313.57180514738502</c:v>
                </c:pt>
                <c:pt idx="41">
                  <c:v>313.57180514738502</c:v>
                </c:pt>
                <c:pt idx="42">
                  <c:v>313.57180514738502</c:v>
                </c:pt>
                <c:pt idx="43">
                  <c:v>313.57180514738502</c:v>
                </c:pt>
                <c:pt idx="44">
                  <c:v>313.57180514738502</c:v>
                </c:pt>
                <c:pt idx="45">
                  <c:v>313.57180514738502</c:v>
                </c:pt>
                <c:pt idx="46">
                  <c:v>313.57180514738502</c:v>
                </c:pt>
                <c:pt idx="47">
                  <c:v>313.57180514738502</c:v>
                </c:pt>
              </c:numCache>
            </c:numRef>
          </c:val>
          <c:smooth val="0"/>
          <c:extLst>
            <c:ext xmlns:c16="http://schemas.microsoft.com/office/drawing/2014/chart" uri="{C3380CC4-5D6E-409C-BE32-E72D297353CC}">
              <c16:uniqueId val="{00000007-4B14-4DA7-884A-F017B4329A20}"/>
            </c:ext>
          </c:extLst>
        </c:ser>
        <c:ser>
          <c:idx val="10"/>
          <c:order val="10"/>
          <c:tx>
            <c:strRef>
              <c:f>'EL Prices'!$P$4:$P$7</c:f>
              <c:strCache>
                <c:ptCount val="1"/>
                <c:pt idx="0">
                  <c:v>NO5 - NORWAY - BASE</c:v>
                </c:pt>
              </c:strCache>
            </c:strRef>
          </c:tx>
          <c:spPr>
            <a:ln w="28575" cap="rnd">
              <a:solidFill>
                <a:schemeClr val="accent5">
                  <a:lumMod val="60000"/>
                </a:schemeClr>
              </a:solidFill>
              <a:round/>
            </a:ln>
            <a:effectLst/>
          </c:spPr>
          <c:marker>
            <c:symbol val="none"/>
          </c:marker>
          <c:cat>
            <c:multiLvlStrRef>
              <c:f>'EL Prices'!$B$8:$E$56</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S12</c:v>
                  </c:pt>
                  <c:pt idx="24">
                    <c:v>S12</c:v>
                  </c:pt>
                </c:lvl>
                <c:lvl>
                  <c:pt idx="0">
                    <c:v>2030</c:v>
                  </c:pt>
                  <c:pt idx="24">
                    <c:v>2016</c:v>
                  </c:pt>
                </c:lvl>
                <c:lvl>
                  <c:pt idx="0">
                    <c:v>2016</c:v>
                  </c:pt>
                </c:lvl>
              </c:multiLvlStrCache>
            </c:multiLvlStrRef>
          </c:cat>
          <c:val>
            <c:numRef>
              <c:f>'EL Prices'!$P$8:$P$56</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341.67237618144202</c:v>
                </c:pt>
                <c:pt idx="25">
                  <c:v>341.67237618144202</c:v>
                </c:pt>
                <c:pt idx="26">
                  <c:v>341.67237618144202</c:v>
                </c:pt>
                <c:pt idx="27">
                  <c:v>341.67237618144202</c:v>
                </c:pt>
                <c:pt idx="28">
                  <c:v>341.67237618144202</c:v>
                </c:pt>
                <c:pt idx="29">
                  <c:v>341.67237618144202</c:v>
                </c:pt>
                <c:pt idx="30">
                  <c:v>341.67237618144202</c:v>
                </c:pt>
                <c:pt idx="31">
                  <c:v>341.67237618144202</c:v>
                </c:pt>
                <c:pt idx="32">
                  <c:v>341.67237618144202</c:v>
                </c:pt>
                <c:pt idx="33">
                  <c:v>341.67237618144202</c:v>
                </c:pt>
                <c:pt idx="34">
                  <c:v>341.67237618144202</c:v>
                </c:pt>
                <c:pt idx="35">
                  <c:v>341.67237618144202</c:v>
                </c:pt>
                <c:pt idx="36">
                  <c:v>341.67237618144202</c:v>
                </c:pt>
                <c:pt idx="37">
                  <c:v>341.67237618144202</c:v>
                </c:pt>
                <c:pt idx="38">
                  <c:v>341.67237618144202</c:v>
                </c:pt>
                <c:pt idx="39">
                  <c:v>341.67237618144202</c:v>
                </c:pt>
                <c:pt idx="40">
                  <c:v>341.67237618144202</c:v>
                </c:pt>
                <c:pt idx="41">
                  <c:v>341.67237618144202</c:v>
                </c:pt>
                <c:pt idx="42">
                  <c:v>341.67237618144202</c:v>
                </c:pt>
                <c:pt idx="43">
                  <c:v>341.67237618144202</c:v>
                </c:pt>
                <c:pt idx="44">
                  <c:v>341.67237618144202</c:v>
                </c:pt>
                <c:pt idx="45">
                  <c:v>341.67237618144202</c:v>
                </c:pt>
                <c:pt idx="46">
                  <c:v>341.67237618144202</c:v>
                </c:pt>
                <c:pt idx="47">
                  <c:v>341.67237618144202</c:v>
                </c:pt>
              </c:numCache>
            </c:numRef>
          </c:val>
          <c:smooth val="0"/>
          <c:extLst>
            <c:ext xmlns:c16="http://schemas.microsoft.com/office/drawing/2014/chart" uri="{C3380CC4-5D6E-409C-BE32-E72D297353CC}">
              <c16:uniqueId val="{00000008-4B14-4DA7-884A-F017B4329A20}"/>
            </c:ext>
          </c:extLst>
        </c:ser>
        <c:ser>
          <c:idx val="11"/>
          <c:order val="11"/>
          <c:tx>
            <c:strRef>
              <c:f>'EL Prices'!$Q$4:$Q$7</c:f>
              <c:strCache>
                <c:ptCount val="1"/>
                <c:pt idx="0">
                  <c:v>SE1 - SWEDEN - BASE</c:v>
                </c:pt>
              </c:strCache>
            </c:strRef>
          </c:tx>
          <c:spPr>
            <a:ln w="28575" cap="rnd">
              <a:solidFill>
                <a:schemeClr val="accent6">
                  <a:lumMod val="60000"/>
                </a:schemeClr>
              </a:solidFill>
              <a:round/>
            </a:ln>
            <a:effectLst/>
          </c:spPr>
          <c:marker>
            <c:symbol val="none"/>
          </c:marker>
          <c:cat>
            <c:multiLvlStrRef>
              <c:f>'EL Prices'!$B$8:$E$56</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S12</c:v>
                  </c:pt>
                  <c:pt idx="24">
                    <c:v>S12</c:v>
                  </c:pt>
                </c:lvl>
                <c:lvl>
                  <c:pt idx="0">
                    <c:v>2030</c:v>
                  </c:pt>
                  <c:pt idx="24">
                    <c:v>2016</c:v>
                  </c:pt>
                </c:lvl>
                <c:lvl>
                  <c:pt idx="0">
                    <c:v>2016</c:v>
                  </c:pt>
                </c:lvl>
              </c:multiLvlStrCache>
            </c:multiLvlStrRef>
          </c:cat>
          <c:val>
            <c:numRef>
              <c:f>'EL Prices'!$Q$8:$Q$56</c:f>
              <c:numCache>
                <c:formatCode>General</c:formatCode>
                <c:ptCount val="48"/>
                <c:pt idx="0">
                  <c:v>-9.1436182730484695E-4</c:v>
                </c:pt>
                <c:pt idx="1">
                  <c:v>-9.1436182730484695E-4</c:v>
                </c:pt>
                <c:pt idx="2">
                  <c:v>-9.1436182730484695E-4</c:v>
                </c:pt>
                <c:pt idx="3">
                  <c:v>-9.1436182730484695E-4</c:v>
                </c:pt>
                <c:pt idx="4">
                  <c:v>-9.1436182730484695E-4</c:v>
                </c:pt>
                <c:pt idx="5">
                  <c:v>-9.1436182730484695E-4</c:v>
                </c:pt>
                <c:pt idx="6">
                  <c:v>-9.1436182730484695E-4</c:v>
                </c:pt>
                <c:pt idx="7">
                  <c:v>0</c:v>
                </c:pt>
                <c:pt idx="8">
                  <c:v>0</c:v>
                </c:pt>
                <c:pt idx="9">
                  <c:v>0</c:v>
                </c:pt>
                <c:pt idx="10">
                  <c:v>0</c:v>
                </c:pt>
                <c:pt idx="11">
                  <c:v>0</c:v>
                </c:pt>
                <c:pt idx="12">
                  <c:v>0</c:v>
                </c:pt>
                <c:pt idx="13">
                  <c:v>0</c:v>
                </c:pt>
                <c:pt idx="14">
                  <c:v>0</c:v>
                </c:pt>
                <c:pt idx="15">
                  <c:v>0</c:v>
                </c:pt>
                <c:pt idx="16">
                  <c:v>0</c:v>
                </c:pt>
                <c:pt idx="17">
                  <c:v>-9.1436182730484695E-4</c:v>
                </c:pt>
                <c:pt idx="18">
                  <c:v>-9.1436182730484695E-4</c:v>
                </c:pt>
                <c:pt idx="19">
                  <c:v>-9.1436182730484695E-4</c:v>
                </c:pt>
                <c:pt idx="20">
                  <c:v>-9.1436182730484695E-4</c:v>
                </c:pt>
                <c:pt idx="21">
                  <c:v>-9.1436182730484695E-4</c:v>
                </c:pt>
                <c:pt idx="22">
                  <c:v>-9.1436182730484695E-4</c:v>
                </c:pt>
                <c:pt idx="23">
                  <c:v>-9.1436182730484695E-4</c:v>
                </c:pt>
                <c:pt idx="24">
                  <c:v>300.400358531194</c:v>
                </c:pt>
                <c:pt idx="25">
                  <c:v>300.400358531194</c:v>
                </c:pt>
                <c:pt idx="26">
                  <c:v>300.400358531194</c:v>
                </c:pt>
                <c:pt idx="27">
                  <c:v>300.400358531194</c:v>
                </c:pt>
                <c:pt idx="28">
                  <c:v>300.400358531194</c:v>
                </c:pt>
                <c:pt idx="29">
                  <c:v>300.400358531194</c:v>
                </c:pt>
                <c:pt idx="30">
                  <c:v>300.400358531194</c:v>
                </c:pt>
                <c:pt idx="31">
                  <c:v>300.400358531194</c:v>
                </c:pt>
                <c:pt idx="32">
                  <c:v>300.400358531194</c:v>
                </c:pt>
                <c:pt idx="33">
                  <c:v>300.400358531194</c:v>
                </c:pt>
                <c:pt idx="34">
                  <c:v>300.400358531194</c:v>
                </c:pt>
                <c:pt idx="35">
                  <c:v>300.400358531194</c:v>
                </c:pt>
                <c:pt idx="36">
                  <c:v>300.400358531194</c:v>
                </c:pt>
                <c:pt idx="37">
                  <c:v>300.400358531194</c:v>
                </c:pt>
                <c:pt idx="38">
                  <c:v>300.400358531194</c:v>
                </c:pt>
                <c:pt idx="39">
                  <c:v>300.400358531194</c:v>
                </c:pt>
                <c:pt idx="40">
                  <c:v>300.400358531194</c:v>
                </c:pt>
                <c:pt idx="41">
                  <c:v>300.400358531194</c:v>
                </c:pt>
                <c:pt idx="42">
                  <c:v>300.400358531194</c:v>
                </c:pt>
                <c:pt idx="43">
                  <c:v>300.400358531194</c:v>
                </c:pt>
                <c:pt idx="44">
                  <c:v>300.400358531194</c:v>
                </c:pt>
                <c:pt idx="45">
                  <c:v>300.400358531194</c:v>
                </c:pt>
                <c:pt idx="46">
                  <c:v>300.400358531194</c:v>
                </c:pt>
                <c:pt idx="47">
                  <c:v>300.400358531194</c:v>
                </c:pt>
              </c:numCache>
            </c:numRef>
          </c:val>
          <c:smooth val="0"/>
          <c:extLst>
            <c:ext xmlns:c16="http://schemas.microsoft.com/office/drawing/2014/chart" uri="{C3380CC4-5D6E-409C-BE32-E72D297353CC}">
              <c16:uniqueId val="{00000009-4B14-4DA7-884A-F017B4329A20}"/>
            </c:ext>
          </c:extLst>
        </c:ser>
        <c:ser>
          <c:idx val="12"/>
          <c:order val="12"/>
          <c:tx>
            <c:strRef>
              <c:f>'EL Prices'!$R$4:$R$7</c:f>
              <c:strCache>
                <c:ptCount val="1"/>
                <c:pt idx="0">
                  <c:v>SE2 - SWEDEN - BASE</c:v>
                </c:pt>
              </c:strCache>
            </c:strRef>
          </c:tx>
          <c:spPr>
            <a:ln w="28575" cap="rnd">
              <a:solidFill>
                <a:schemeClr val="accent1">
                  <a:lumMod val="80000"/>
                  <a:lumOff val="20000"/>
                </a:schemeClr>
              </a:solidFill>
              <a:round/>
            </a:ln>
            <a:effectLst/>
          </c:spPr>
          <c:marker>
            <c:symbol val="none"/>
          </c:marker>
          <c:cat>
            <c:multiLvlStrRef>
              <c:f>'EL Prices'!$B$8:$E$56</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S12</c:v>
                  </c:pt>
                  <c:pt idx="24">
                    <c:v>S12</c:v>
                  </c:pt>
                </c:lvl>
                <c:lvl>
                  <c:pt idx="0">
                    <c:v>2030</c:v>
                  </c:pt>
                  <c:pt idx="24">
                    <c:v>2016</c:v>
                  </c:pt>
                </c:lvl>
                <c:lvl>
                  <c:pt idx="0">
                    <c:v>2016</c:v>
                  </c:pt>
                </c:lvl>
              </c:multiLvlStrCache>
            </c:multiLvlStrRef>
          </c:cat>
          <c:val>
            <c:numRef>
              <c:f>'EL Prices'!$R$8:$R$56</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-9.1436182730484695E-4</c:v>
                </c:pt>
                <c:pt idx="13">
                  <c:v>-9.1436182730484695E-4</c:v>
                </c:pt>
                <c:pt idx="14">
                  <c:v>-9.1436182730484695E-4</c:v>
                </c:pt>
                <c:pt idx="15">
                  <c:v>-9.1436182730484695E-4</c:v>
                </c:pt>
                <c:pt idx="16">
                  <c:v>-9.1436182730484695E-4</c:v>
                </c:pt>
                <c:pt idx="17">
                  <c:v>-9.1436182730484695E-4</c:v>
                </c:pt>
                <c:pt idx="18">
                  <c:v>-9.1436182730484695E-4</c:v>
                </c:pt>
                <c:pt idx="19">
                  <c:v>0</c:v>
                </c:pt>
                <c:pt idx="20">
                  <c:v>0</c:v>
                </c:pt>
                <c:pt idx="21">
                  <c:v>0</c:v>
                </c:pt>
                <c:pt idx="22">
                  <c:v>0</c:v>
                </c:pt>
                <c:pt idx="23">
                  <c:v>0</c:v>
                </c:pt>
                <c:pt idx="24">
                  <c:v>313.57180514738502</c:v>
                </c:pt>
                <c:pt idx="25">
                  <c:v>313.57180514738502</c:v>
                </c:pt>
                <c:pt idx="26">
                  <c:v>313.57180514738502</c:v>
                </c:pt>
                <c:pt idx="27">
                  <c:v>313.57180514738502</c:v>
                </c:pt>
                <c:pt idx="28">
                  <c:v>313.57180514738502</c:v>
                </c:pt>
                <c:pt idx="29">
                  <c:v>313.57180514738502</c:v>
                </c:pt>
                <c:pt idx="30">
                  <c:v>313.57180514738502</c:v>
                </c:pt>
                <c:pt idx="31">
                  <c:v>313.57180514738502</c:v>
                </c:pt>
                <c:pt idx="32">
                  <c:v>313.57180514738502</c:v>
                </c:pt>
                <c:pt idx="33">
                  <c:v>313.57180514738502</c:v>
                </c:pt>
                <c:pt idx="34">
                  <c:v>313.57180514738502</c:v>
                </c:pt>
                <c:pt idx="35">
                  <c:v>313.57180514738502</c:v>
                </c:pt>
                <c:pt idx="36">
                  <c:v>313.57180514738502</c:v>
                </c:pt>
                <c:pt idx="37">
                  <c:v>313.57180514738502</c:v>
                </c:pt>
                <c:pt idx="38">
                  <c:v>313.57180514738502</c:v>
                </c:pt>
                <c:pt idx="39">
                  <c:v>313.57180514738502</c:v>
                </c:pt>
                <c:pt idx="40">
                  <c:v>313.57180514738502</c:v>
                </c:pt>
                <c:pt idx="41">
                  <c:v>313.57180514738502</c:v>
                </c:pt>
                <c:pt idx="42">
                  <c:v>313.57180514738502</c:v>
                </c:pt>
                <c:pt idx="43">
                  <c:v>313.57180514738502</c:v>
                </c:pt>
                <c:pt idx="44">
                  <c:v>313.57180514738502</c:v>
                </c:pt>
                <c:pt idx="45">
                  <c:v>313.57180514738502</c:v>
                </c:pt>
                <c:pt idx="46">
                  <c:v>313.57180514738502</c:v>
                </c:pt>
                <c:pt idx="47">
                  <c:v>313.57180514738502</c:v>
                </c:pt>
              </c:numCache>
            </c:numRef>
          </c:val>
          <c:smooth val="0"/>
          <c:extLst>
            <c:ext xmlns:c16="http://schemas.microsoft.com/office/drawing/2014/chart" uri="{C3380CC4-5D6E-409C-BE32-E72D297353CC}">
              <c16:uniqueId val="{0000000A-4B14-4DA7-884A-F017B4329A20}"/>
            </c:ext>
          </c:extLst>
        </c:ser>
        <c:ser>
          <c:idx val="13"/>
          <c:order val="13"/>
          <c:tx>
            <c:strRef>
              <c:f>'EL Prices'!$S$4:$S$7</c:f>
              <c:strCache>
                <c:ptCount val="1"/>
                <c:pt idx="0">
                  <c:v>SE3 - SWEDEN - BASE</c:v>
                </c:pt>
              </c:strCache>
            </c:strRef>
          </c:tx>
          <c:spPr>
            <a:ln w="28575" cap="rnd">
              <a:solidFill>
                <a:schemeClr val="accent2">
                  <a:lumMod val="80000"/>
                  <a:lumOff val="20000"/>
                </a:schemeClr>
              </a:solidFill>
              <a:round/>
            </a:ln>
            <a:effectLst/>
          </c:spPr>
          <c:marker>
            <c:symbol val="none"/>
          </c:marker>
          <c:cat>
            <c:multiLvlStrRef>
              <c:f>'EL Prices'!$B$8:$E$56</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S12</c:v>
                  </c:pt>
                  <c:pt idx="24">
                    <c:v>S12</c:v>
                  </c:pt>
                </c:lvl>
                <c:lvl>
                  <c:pt idx="0">
                    <c:v>2030</c:v>
                  </c:pt>
                  <c:pt idx="24">
                    <c:v>2016</c:v>
                  </c:pt>
                </c:lvl>
                <c:lvl>
                  <c:pt idx="0">
                    <c:v>2016</c:v>
                  </c:pt>
                </c:lvl>
              </c:multiLvlStrCache>
            </c:multiLvlStrRef>
          </c:cat>
          <c:val>
            <c:numRef>
              <c:f>'EL Prices'!$S$8:$S$56</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327.32070558182102</c:v>
                </c:pt>
                <c:pt idx="25">
                  <c:v>327.32070558182102</c:v>
                </c:pt>
                <c:pt idx="26">
                  <c:v>327.32070558182102</c:v>
                </c:pt>
                <c:pt idx="27">
                  <c:v>327.32070558182102</c:v>
                </c:pt>
                <c:pt idx="28">
                  <c:v>327.32070558182102</c:v>
                </c:pt>
                <c:pt idx="29">
                  <c:v>327.32070558182102</c:v>
                </c:pt>
                <c:pt idx="30">
                  <c:v>327.32070558182102</c:v>
                </c:pt>
                <c:pt idx="31">
                  <c:v>327.32070558182102</c:v>
                </c:pt>
                <c:pt idx="32">
                  <c:v>327.32070558182102</c:v>
                </c:pt>
                <c:pt idx="33">
                  <c:v>327.32070558182102</c:v>
                </c:pt>
                <c:pt idx="34">
                  <c:v>327.32070558182102</c:v>
                </c:pt>
                <c:pt idx="35">
                  <c:v>327.32070558182102</c:v>
                </c:pt>
                <c:pt idx="36">
                  <c:v>327.32070558182102</c:v>
                </c:pt>
                <c:pt idx="37">
                  <c:v>327.32070558182102</c:v>
                </c:pt>
                <c:pt idx="38">
                  <c:v>327.32070558182102</c:v>
                </c:pt>
                <c:pt idx="39">
                  <c:v>327.32070558182102</c:v>
                </c:pt>
                <c:pt idx="40">
                  <c:v>327.32070558182102</c:v>
                </c:pt>
                <c:pt idx="41">
                  <c:v>327.32070558182102</c:v>
                </c:pt>
                <c:pt idx="42">
                  <c:v>327.32070558182102</c:v>
                </c:pt>
                <c:pt idx="43">
                  <c:v>327.32070558182102</c:v>
                </c:pt>
                <c:pt idx="44">
                  <c:v>327.32070558182102</c:v>
                </c:pt>
                <c:pt idx="45">
                  <c:v>327.32070558182102</c:v>
                </c:pt>
                <c:pt idx="46">
                  <c:v>327.32070558182102</c:v>
                </c:pt>
                <c:pt idx="47">
                  <c:v>327.32070558182102</c:v>
                </c:pt>
              </c:numCache>
            </c:numRef>
          </c:val>
          <c:smooth val="0"/>
          <c:extLst>
            <c:ext xmlns:c16="http://schemas.microsoft.com/office/drawing/2014/chart" uri="{C3380CC4-5D6E-409C-BE32-E72D297353CC}">
              <c16:uniqueId val="{0000000B-4B14-4DA7-884A-F017B4329A20}"/>
            </c:ext>
          </c:extLst>
        </c:ser>
        <c:ser>
          <c:idx val="14"/>
          <c:order val="14"/>
          <c:tx>
            <c:strRef>
              <c:f>'EL Prices'!$T$4:$T$7</c:f>
              <c:strCache>
                <c:ptCount val="1"/>
                <c:pt idx="0">
                  <c:v>SE4 - SWEDEN - BASE</c:v>
                </c:pt>
              </c:strCache>
            </c:strRef>
          </c:tx>
          <c:spPr>
            <a:ln w="28575" cap="rnd">
              <a:solidFill>
                <a:schemeClr val="accent3">
                  <a:lumMod val="80000"/>
                  <a:lumOff val="20000"/>
                </a:schemeClr>
              </a:solidFill>
              <a:round/>
            </a:ln>
            <a:effectLst/>
          </c:spPr>
          <c:marker>
            <c:symbol val="none"/>
          </c:marker>
          <c:cat>
            <c:multiLvlStrRef>
              <c:f>'EL Prices'!$B$8:$E$56</c:f>
              <c:multiLvlStrCache>
                <c:ptCount val="48"/>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lvl>
                <c:lvl>
                  <c:pt idx="0">
                    <c:v>S12</c:v>
                  </c:pt>
                  <c:pt idx="24">
                    <c:v>S12</c:v>
                  </c:pt>
                </c:lvl>
                <c:lvl>
                  <c:pt idx="0">
                    <c:v>2030</c:v>
                  </c:pt>
                  <c:pt idx="24">
                    <c:v>2016</c:v>
                  </c:pt>
                </c:lvl>
                <c:lvl>
                  <c:pt idx="0">
                    <c:v>2016</c:v>
                  </c:pt>
                </c:lvl>
              </c:multiLvlStrCache>
            </c:multiLvlStrRef>
          </c:cat>
          <c:val>
            <c:numRef>
              <c:f>'EL Prices'!$T$8:$T$56</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341.67237618144202</c:v>
                </c:pt>
                <c:pt idx="25">
                  <c:v>341.67237618144202</c:v>
                </c:pt>
                <c:pt idx="26">
                  <c:v>341.67237618144202</c:v>
                </c:pt>
                <c:pt idx="27">
                  <c:v>341.67237618144202</c:v>
                </c:pt>
                <c:pt idx="28">
                  <c:v>341.67237618144202</c:v>
                </c:pt>
                <c:pt idx="29">
                  <c:v>341.67237618144202</c:v>
                </c:pt>
                <c:pt idx="30">
                  <c:v>341.67237618144202</c:v>
                </c:pt>
                <c:pt idx="31">
                  <c:v>341.67237618144202</c:v>
                </c:pt>
                <c:pt idx="32">
                  <c:v>341.67237618144202</c:v>
                </c:pt>
                <c:pt idx="33">
                  <c:v>341.67237618144202</c:v>
                </c:pt>
                <c:pt idx="34">
                  <c:v>341.67237618144202</c:v>
                </c:pt>
                <c:pt idx="35">
                  <c:v>341.67237618144202</c:v>
                </c:pt>
                <c:pt idx="36">
                  <c:v>341.67237618144202</c:v>
                </c:pt>
                <c:pt idx="37">
                  <c:v>341.67237618144202</c:v>
                </c:pt>
                <c:pt idx="38">
                  <c:v>341.67237618144202</c:v>
                </c:pt>
                <c:pt idx="39">
                  <c:v>341.67237618144202</c:v>
                </c:pt>
                <c:pt idx="40">
                  <c:v>341.67237618144202</c:v>
                </c:pt>
                <c:pt idx="41">
                  <c:v>341.67237618144202</c:v>
                </c:pt>
                <c:pt idx="42">
                  <c:v>341.67237618144202</c:v>
                </c:pt>
                <c:pt idx="43">
                  <c:v>341.67237618144202</c:v>
                </c:pt>
                <c:pt idx="44">
                  <c:v>341.67237618144202</c:v>
                </c:pt>
                <c:pt idx="45">
                  <c:v>341.67237618144202</c:v>
                </c:pt>
                <c:pt idx="46">
                  <c:v>341.67237618144202</c:v>
                </c:pt>
                <c:pt idx="47">
                  <c:v>341.67237618144202</c:v>
                </c:pt>
              </c:numCache>
            </c:numRef>
          </c:val>
          <c:smooth val="0"/>
          <c:extLst>
            <c:ext xmlns:c16="http://schemas.microsoft.com/office/drawing/2014/chart" uri="{C3380CC4-5D6E-409C-BE32-E72D297353CC}">
              <c16:uniqueId val="{0000000C-4B14-4DA7-884A-F017B4329A20}"/>
            </c:ext>
          </c:extLst>
        </c:ser>
        <c:dLbls>
          <c:showLegendKey val="0"/>
          <c:showVal val="0"/>
          <c:showCatName val="0"/>
          <c:showSerName val="0"/>
          <c:showPercent val="0"/>
          <c:showBubbleSize val="0"/>
        </c:dLbls>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ln w="28575" cap="rnd">
            <a:solidFill>
              <a:schemeClr val="accent1"/>
            </a:solidFill>
            <a:round/>
          </a:ln>
          <a:effectLst/>
        </c:spPr>
        <c:marker>
          <c:symbol val="none"/>
        </c:marker>
      </c:pivotFmt>
      <c:pivotFmt>
        <c:idx val="91"/>
        <c:spPr>
          <a:ln w="28575" cap="rnd">
            <a:solidFill>
              <a:schemeClr val="accent1"/>
            </a:solidFill>
            <a:round/>
          </a:ln>
          <a:effectLst/>
        </c:spPr>
        <c:marker>
          <c:symbol val="none"/>
        </c:marker>
      </c:pivotFmt>
      <c:pivotFmt>
        <c:idx val="92"/>
        <c:spPr>
          <a:ln w="28575" cap="rnd">
            <a:solidFill>
              <a:schemeClr val="accent1"/>
            </a:solidFill>
            <a:round/>
          </a:ln>
          <a:effectLst/>
        </c:spPr>
        <c:marker>
          <c:symbol val="none"/>
        </c:marker>
      </c:pivotFmt>
      <c:pivotFmt>
        <c:idx val="93"/>
        <c:spPr>
          <a:ln w="28575" cap="rnd">
            <a:solidFill>
              <a:schemeClr val="accent1"/>
            </a:solidFill>
            <a:round/>
          </a:ln>
          <a:effectLst/>
        </c:spPr>
        <c:marker>
          <c:symbol val="none"/>
        </c:marker>
      </c:pivotFmt>
      <c:pivotFmt>
        <c:idx val="94"/>
        <c:spPr>
          <a:ln w="28575" cap="rnd">
            <a:solidFill>
              <a:schemeClr val="accent1"/>
            </a:solidFill>
            <a:round/>
          </a:ln>
          <a:effectLst/>
        </c:spPr>
        <c:marker>
          <c:symbol val="none"/>
        </c:marker>
      </c:pivotFmt>
      <c:pivotFmt>
        <c:idx val="95"/>
        <c:spPr>
          <a:ln w="28575" cap="rnd">
            <a:solidFill>
              <a:schemeClr val="accent1"/>
            </a:solidFill>
            <a:round/>
          </a:ln>
          <a:effectLst/>
        </c:spPr>
        <c:marker>
          <c:symbol val="none"/>
        </c:marker>
      </c:pivotFmt>
      <c:pivotFmt>
        <c:idx val="96"/>
        <c:spPr>
          <a:ln w="28575" cap="rnd">
            <a:solidFill>
              <a:schemeClr val="accent1"/>
            </a:solidFill>
            <a:round/>
          </a:ln>
          <a:effectLst/>
        </c:spPr>
        <c:marker>
          <c:symbol val="none"/>
        </c:marker>
      </c:pivotFmt>
      <c:pivotFmt>
        <c:idx val="97"/>
        <c:spPr>
          <a:ln w="28575" cap="rnd">
            <a:solidFill>
              <a:schemeClr val="accent1"/>
            </a:solidFill>
            <a:round/>
          </a:ln>
          <a:effectLst/>
        </c:spPr>
        <c:marker>
          <c:symbol val="none"/>
        </c:marker>
      </c:pivotFmt>
      <c:pivotFmt>
        <c:idx val="98"/>
        <c:spPr>
          <a:ln w="28575" cap="rnd">
            <a:solidFill>
              <a:schemeClr val="accent1"/>
            </a:solidFill>
            <a:round/>
          </a:ln>
          <a:effectLst/>
        </c:spPr>
        <c:marker>
          <c:symbol val="none"/>
        </c:marker>
      </c:pivotFmt>
      <c:pivotFmt>
        <c:idx val="99"/>
        <c:spPr>
          <a:ln w="28575" cap="rnd">
            <a:solidFill>
              <a:schemeClr val="accent1"/>
            </a:solidFill>
            <a:round/>
          </a:ln>
          <a:effectLst/>
        </c:spPr>
        <c:marker>
          <c:symbol val="none"/>
        </c:marker>
      </c:pivotFmt>
      <c:pivotFmt>
        <c:idx val="100"/>
        <c:spPr>
          <a:ln w="28575" cap="rnd">
            <a:solidFill>
              <a:schemeClr val="accent1"/>
            </a:solidFill>
            <a:round/>
          </a:ln>
          <a:effectLst/>
        </c:spPr>
        <c:marker>
          <c:symbol val="none"/>
        </c:marker>
      </c:pivotFmt>
      <c:pivotFmt>
        <c:idx val="101"/>
        <c:spPr>
          <a:ln w="28575" cap="rnd">
            <a:solidFill>
              <a:schemeClr val="accent1"/>
            </a:solidFill>
            <a:round/>
          </a:ln>
          <a:effectLst/>
        </c:spPr>
        <c:marker>
          <c:symbol val="none"/>
        </c:marker>
      </c:pivotFmt>
      <c:pivotFmt>
        <c:idx val="102"/>
        <c:spPr>
          <a:ln w="28575" cap="rnd">
            <a:solidFill>
              <a:schemeClr val="accent1"/>
            </a:solidFill>
            <a:round/>
          </a:ln>
          <a:effectLst/>
        </c:spPr>
        <c:marker>
          <c:symbol val="none"/>
        </c:marker>
      </c:pivotFmt>
      <c:pivotFmt>
        <c:idx val="103"/>
        <c:spPr>
          <a:ln w="28575" cap="rnd">
            <a:solidFill>
              <a:schemeClr val="accent1"/>
            </a:solidFill>
            <a:round/>
          </a:ln>
          <a:effectLst/>
        </c:spPr>
        <c:marker>
          <c:symbol val="none"/>
        </c:marker>
      </c:pivotFmt>
      <c:pivotFmt>
        <c:idx val="104"/>
        <c:spPr>
          <a:ln w="28575" cap="rnd">
            <a:solidFill>
              <a:schemeClr val="accent1"/>
            </a:solidFill>
            <a:round/>
          </a:ln>
          <a:effectLst/>
        </c:spPr>
        <c:marker>
          <c:symbol val="none"/>
        </c:marker>
      </c:pivotFmt>
      <c:pivotFmt>
        <c:idx val="105"/>
        <c:spPr>
          <a:ln w="28575" cap="rnd">
            <a:solidFill>
              <a:schemeClr val="accent1"/>
            </a:solidFill>
            <a:round/>
          </a:ln>
          <a:effectLst/>
        </c:spPr>
        <c:marker>
          <c:symbol val="none"/>
        </c:marker>
      </c:pivotFmt>
      <c:pivotFmt>
        <c:idx val="106"/>
        <c:spPr>
          <a:ln w="28575" cap="rnd">
            <a:solidFill>
              <a:schemeClr val="accent1"/>
            </a:solidFill>
            <a:round/>
          </a:ln>
          <a:effectLst/>
        </c:spPr>
        <c:marker>
          <c:symbol val="none"/>
        </c:marker>
      </c:pivotFmt>
      <c:pivotFmt>
        <c:idx val="107"/>
        <c:spPr>
          <a:ln w="28575" cap="rnd">
            <a:solidFill>
              <a:schemeClr val="accent1"/>
            </a:solidFill>
            <a:round/>
          </a:ln>
          <a:effectLst/>
        </c:spPr>
        <c:marker>
          <c:symbol val="none"/>
        </c:marker>
      </c:pivotFmt>
      <c:pivotFmt>
        <c:idx val="108"/>
        <c:spPr>
          <a:ln w="28575" cap="rnd">
            <a:solidFill>
              <a:schemeClr val="accent1"/>
            </a:solidFill>
            <a:round/>
          </a:ln>
          <a:effectLst/>
        </c:spPr>
        <c:marker>
          <c:symbol val="none"/>
        </c:marker>
      </c:pivotFmt>
      <c:pivotFmt>
        <c:idx val="109"/>
        <c:spPr>
          <a:ln w="28575" cap="rnd">
            <a:solidFill>
              <a:schemeClr val="accent1"/>
            </a:solidFill>
            <a:round/>
          </a:ln>
          <a:effectLst/>
        </c:spPr>
        <c:marker>
          <c:symbol val="none"/>
        </c:marker>
      </c:pivotFmt>
      <c:pivotFmt>
        <c:idx val="110"/>
        <c:spPr>
          <a:ln w="28575" cap="rnd">
            <a:solidFill>
              <a:schemeClr val="accent1"/>
            </a:solidFill>
            <a:round/>
          </a:ln>
          <a:effectLst/>
        </c:spPr>
        <c:marker>
          <c:symbol val="none"/>
        </c:marker>
      </c:pivotFmt>
      <c:pivotFmt>
        <c:idx val="111"/>
        <c:spPr>
          <a:ln w="28575" cap="rnd">
            <a:solidFill>
              <a:schemeClr val="accent1"/>
            </a:solidFill>
            <a:round/>
          </a:ln>
          <a:effectLst/>
        </c:spPr>
        <c:marker>
          <c:symbol val="none"/>
        </c:marker>
      </c:pivotFmt>
      <c:pivotFmt>
        <c:idx val="112"/>
        <c:spPr>
          <a:ln w="28575" cap="rnd">
            <a:solidFill>
              <a:schemeClr val="accent1"/>
            </a:solidFill>
            <a:round/>
          </a:ln>
          <a:effectLst/>
        </c:spPr>
        <c:marker>
          <c:symbol val="none"/>
        </c:marker>
      </c:pivotFmt>
      <c:pivotFmt>
        <c:idx val="113"/>
        <c:spPr>
          <a:ln w="28575" cap="rnd">
            <a:solidFill>
              <a:schemeClr val="accent1"/>
            </a:solidFill>
            <a:round/>
          </a:ln>
          <a:effectLst/>
        </c:spPr>
        <c:marker>
          <c:symbol val="none"/>
        </c:marker>
      </c:pivotFmt>
      <c:pivotFmt>
        <c:idx val="114"/>
        <c:spPr>
          <a:ln w="28575" cap="rnd">
            <a:solidFill>
              <a:schemeClr val="accent1"/>
            </a:solidFill>
            <a:round/>
          </a:ln>
          <a:effectLst/>
        </c:spPr>
        <c:marker>
          <c:symbol val="none"/>
        </c:marker>
      </c:pivotFmt>
      <c:pivotFmt>
        <c:idx val="115"/>
        <c:spPr>
          <a:ln w="28575" cap="rnd">
            <a:solidFill>
              <a:schemeClr val="accent1"/>
            </a:solidFill>
            <a:round/>
          </a:ln>
          <a:effectLst/>
        </c:spPr>
        <c:marker>
          <c:symbol val="none"/>
        </c:marker>
      </c:pivotFmt>
      <c:pivotFmt>
        <c:idx val="116"/>
        <c:spPr>
          <a:ln w="28575" cap="rnd">
            <a:solidFill>
              <a:schemeClr val="accent1"/>
            </a:solidFill>
            <a:round/>
          </a:ln>
          <a:effectLst/>
        </c:spPr>
        <c:marker>
          <c:symbol val="none"/>
        </c:marker>
      </c:pivotFmt>
      <c:pivotFmt>
        <c:idx val="117"/>
        <c:spPr>
          <a:ln w="28575" cap="rnd">
            <a:solidFill>
              <a:schemeClr val="accent1"/>
            </a:solidFill>
            <a:round/>
          </a:ln>
          <a:effectLst/>
        </c:spPr>
        <c:marker>
          <c:symbol val="none"/>
        </c:marker>
      </c:pivotFmt>
      <c:pivotFmt>
        <c:idx val="118"/>
        <c:spPr>
          <a:ln w="28575" cap="rnd">
            <a:solidFill>
              <a:schemeClr val="accent1"/>
            </a:solidFill>
            <a:round/>
          </a:ln>
          <a:effectLst/>
        </c:spPr>
        <c:marker>
          <c:symbol val="none"/>
        </c:marker>
      </c:pivotFmt>
      <c:pivotFmt>
        <c:idx val="119"/>
        <c:spPr>
          <a:ln w="28575" cap="rnd">
            <a:solidFill>
              <a:schemeClr val="accent1"/>
            </a:solidFill>
            <a:round/>
          </a:ln>
          <a:effectLst/>
        </c:spPr>
        <c:marker>
          <c:symbol val="none"/>
        </c:marker>
      </c:pivotFmt>
    </c:pivotFmts>
    <c:plotArea>
      <c:layout/>
      <c:lineChart>
        <c:grouping val="standard"/>
        <c:varyColors val="0"/>
        <c:ser>
          <c:idx val="0"/>
          <c:order val="0"/>
          <c:tx>
            <c:strRef>
              <c:f>'HE Prices'!$D$5:$D$6</c:f>
              <c:strCache>
                <c:ptCount val="1"/>
                <c:pt idx="0">
                  <c:v>DK1_Large</c:v>
                </c:pt>
              </c:strCache>
            </c:strRef>
          </c:tx>
          <c:spPr>
            <a:ln w="28575" cap="rnd">
              <a:solidFill>
                <a:schemeClr val="accent1"/>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Prices'!$D$7:$D$31</c:f>
              <c:numCache>
                <c:formatCode>General</c:formatCode>
                <c:ptCount val="24"/>
                <c:pt idx="0">
                  <c:v>101.69256127579318</c:v>
                </c:pt>
                <c:pt idx="1">
                  <c:v>101.69256127579318</c:v>
                </c:pt>
                <c:pt idx="2">
                  <c:v>101.69256127579318</c:v>
                </c:pt>
                <c:pt idx="3">
                  <c:v>101.69256127579318</c:v>
                </c:pt>
                <c:pt idx="4">
                  <c:v>104.90437013729425</c:v>
                </c:pt>
                <c:pt idx="5">
                  <c:v>160.3900844722917</c:v>
                </c:pt>
                <c:pt idx="6">
                  <c:v>222.06437784555499</c:v>
                </c:pt>
                <c:pt idx="7">
                  <c:v>196.78426358333968</c:v>
                </c:pt>
                <c:pt idx="8">
                  <c:v>229.21011169476998</c:v>
                </c:pt>
                <c:pt idx="9">
                  <c:v>223.44186805137701</c:v>
                </c:pt>
                <c:pt idx="10">
                  <c:v>223.44186805137701</c:v>
                </c:pt>
                <c:pt idx="11">
                  <c:v>111.5706861019667</c:v>
                </c:pt>
                <c:pt idx="12">
                  <c:v>111.5706861019667</c:v>
                </c:pt>
                <c:pt idx="13">
                  <c:v>111.5706861019667</c:v>
                </c:pt>
                <c:pt idx="14">
                  <c:v>111.5706861019667</c:v>
                </c:pt>
                <c:pt idx="15">
                  <c:v>111.5706861019667</c:v>
                </c:pt>
                <c:pt idx="16">
                  <c:v>160.3900844722917</c:v>
                </c:pt>
                <c:pt idx="17">
                  <c:v>311.57142071995486</c:v>
                </c:pt>
                <c:pt idx="18">
                  <c:v>342.38404718082109</c:v>
                </c:pt>
                <c:pt idx="19">
                  <c:v>329.61386514690912</c:v>
                </c:pt>
                <c:pt idx="20">
                  <c:v>232.6175607893351</c:v>
                </c:pt>
                <c:pt idx="21">
                  <c:v>113.5262335931606</c:v>
                </c:pt>
                <c:pt idx="22">
                  <c:v>124.76188385382339</c:v>
                </c:pt>
                <c:pt idx="23">
                  <c:v>101.6926443002079</c:v>
                </c:pt>
              </c:numCache>
            </c:numRef>
          </c:val>
          <c:smooth val="0"/>
          <c:extLst>
            <c:ext xmlns:c16="http://schemas.microsoft.com/office/drawing/2014/chart" uri="{C3380CC4-5D6E-409C-BE32-E72D297353CC}">
              <c16:uniqueId val="{00000000-C400-45D4-8D08-174664CD4F1F}"/>
            </c:ext>
          </c:extLst>
        </c:ser>
        <c:ser>
          <c:idx val="1"/>
          <c:order val="1"/>
          <c:tx>
            <c:strRef>
              <c:f>'HE Prices'!$E$5:$E$6</c:f>
              <c:strCache>
                <c:ptCount val="1"/>
                <c:pt idx="0">
                  <c:v>DK1_MedSmall</c:v>
                </c:pt>
              </c:strCache>
            </c:strRef>
          </c:tx>
          <c:spPr>
            <a:ln w="28575" cap="rnd">
              <a:solidFill>
                <a:schemeClr val="accent2"/>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Prices'!$E$7:$E$31</c:f>
              <c:numCache>
                <c:formatCode>General</c:formatCode>
                <c:ptCount val="24"/>
                <c:pt idx="0">
                  <c:v>385.53192241640119</c:v>
                </c:pt>
                <c:pt idx="1">
                  <c:v>385.53192241640119</c:v>
                </c:pt>
                <c:pt idx="2">
                  <c:v>385.53192241640119</c:v>
                </c:pt>
                <c:pt idx="3">
                  <c:v>385.53192241640119</c:v>
                </c:pt>
                <c:pt idx="4">
                  <c:v>385.53192241640119</c:v>
                </c:pt>
                <c:pt idx="5">
                  <c:v>385.53192241640119</c:v>
                </c:pt>
                <c:pt idx="6">
                  <c:v>385.53200544081585</c:v>
                </c:pt>
                <c:pt idx="7">
                  <c:v>392.73491477338172</c:v>
                </c:pt>
                <c:pt idx="8">
                  <c:v>440.87347674866362</c:v>
                </c:pt>
                <c:pt idx="9">
                  <c:v>585.04795376040397</c:v>
                </c:pt>
                <c:pt idx="10">
                  <c:v>585.04795376040397</c:v>
                </c:pt>
                <c:pt idx="11">
                  <c:v>585.04795376040397</c:v>
                </c:pt>
                <c:pt idx="12">
                  <c:v>510.96961299073905</c:v>
                </c:pt>
                <c:pt idx="13">
                  <c:v>395.41004724257465</c:v>
                </c:pt>
                <c:pt idx="14">
                  <c:v>395.41004724257465</c:v>
                </c:pt>
                <c:pt idx="15">
                  <c:v>395.41004724257465</c:v>
                </c:pt>
                <c:pt idx="16">
                  <c:v>585.04795376040397</c:v>
                </c:pt>
                <c:pt idx="17">
                  <c:v>585.04795376040397</c:v>
                </c:pt>
                <c:pt idx="18">
                  <c:v>585.04795376040397</c:v>
                </c:pt>
                <c:pt idx="19">
                  <c:v>585.04795376040397</c:v>
                </c:pt>
                <c:pt idx="20">
                  <c:v>408.6012449944314</c:v>
                </c:pt>
                <c:pt idx="21">
                  <c:v>408.6012449944314</c:v>
                </c:pt>
                <c:pt idx="22">
                  <c:v>408.6012449944314</c:v>
                </c:pt>
                <c:pt idx="23">
                  <c:v>385.53200544081585</c:v>
                </c:pt>
              </c:numCache>
            </c:numRef>
          </c:val>
          <c:smooth val="0"/>
          <c:extLst>
            <c:ext xmlns:c16="http://schemas.microsoft.com/office/drawing/2014/chart" uri="{C3380CC4-5D6E-409C-BE32-E72D297353CC}">
              <c16:uniqueId val="{00000001-C400-45D4-8D08-174664CD4F1F}"/>
            </c:ext>
          </c:extLst>
        </c:ser>
        <c:ser>
          <c:idx val="2"/>
          <c:order val="2"/>
          <c:tx>
            <c:strRef>
              <c:f>'HE Prices'!$F$5:$F$6</c:f>
              <c:strCache>
                <c:ptCount val="1"/>
                <c:pt idx="0">
                  <c:v>DK1_Medium</c:v>
                </c:pt>
              </c:strCache>
            </c:strRef>
          </c:tx>
          <c:spPr>
            <a:ln w="28575" cap="rnd">
              <a:solidFill>
                <a:schemeClr val="accent3"/>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Prices'!$F$7:$F$31</c:f>
              <c:numCache>
                <c:formatCode>General</c:formatCode>
                <c:ptCount val="24"/>
                <c:pt idx="0">
                  <c:v>349.95281472240623</c:v>
                </c:pt>
                <c:pt idx="1">
                  <c:v>349.95281472240623</c:v>
                </c:pt>
                <c:pt idx="2">
                  <c:v>349.95281472240623</c:v>
                </c:pt>
                <c:pt idx="3">
                  <c:v>349.95281472240623</c:v>
                </c:pt>
                <c:pt idx="4">
                  <c:v>349.95281472240623</c:v>
                </c:pt>
                <c:pt idx="5">
                  <c:v>349.95281472240623</c:v>
                </c:pt>
                <c:pt idx="6">
                  <c:v>357.73095332156288</c:v>
                </c:pt>
                <c:pt idx="7">
                  <c:v>364.93386265412875</c:v>
                </c:pt>
                <c:pt idx="8">
                  <c:v>479.48017707273198</c:v>
                </c:pt>
                <c:pt idx="9">
                  <c:v>479.48017707273198</c:v>
                </c:pt>
                <c:pt idx="10">
                  <c:v>479.48017707273198</c:v>
                </c:pt>
                <c:pt idx="11">
                  <c:v>479.48017707273198</c:v>
                </c:pt>
                <c:pt idx="12">
                  <c:v>479.48017707273198</c:v>
                </c:pt>
                <c:pt idx="13">
                  <c:v>367.60899512332168</c:v>
                </c:pt>
                <c:pt idx="14">
                  <c:v>367.60899512332168</c:v>
                </c:pt>
                <c:pt idx="15">
                  <c:v>479.48017707273198</c:v>
                </c:pt>
                <c:pt idx="16">
                  <c:v>479.48017707273198</c:v>
                </c:pt>
                <c:pt idx="17">
                  <c:v>570.33638940186495</c:v>
                </c:pt>
                <c:pt idx="18">
                  <c:v>567.68099871448294</c:v>
                </c:pt>
                <c:pt idx="19">
                  <c:v>567.68099871448294</c:v>
                </c:pt>
                <c:pt idx="20">
                  <c:v>435.05578777828077</c:v>
                </c:pt>
                <c:pt idx="21">
                  <c:v>376.3694410332244</c:v>
                </c:pt>
                <c:pt idx="22">
                  <c:v>380.80019287517842</c:v>
                </c:pt>
                <c:pt idx="23">
                  <c:v>357.73095332156288</c:v>
                </c:pt>
              </c:numCache>
            </c:numRef>
          </c:val>
          <c:smooth val="0"/>
          <c:extLst>
            <c:ext xmlns:c16="http://schemas.microsoft.com/office/drawing/2014/chart" uri="{C3380CC4-5D6E-409C-BE32-E72D297353CC}">
              <c16:uniqueId val="{00000002-C400-45D4-8D08-174664CD4F1F}"/>
            </c:ext>
          </c:extLst>
        </c:ser>
        <c:ser>
          <c:idx val="3"/>
          <c:order val="3"/>
          <c:tx>
            <c:strRef>
              <c:f>'HE Prices'!$G$5:$G$6</c:f>
              <c:strCache>
                <c:ptCount val="1"/>
                <c:pt idx="0">
                  <c:v>DK1_Rural</c:v>
                </c:pt>
              </c:strCache>
            </c:strRef>
          </c:tx>
          <c:spPr>
            <a:ln w="28575" cap="rnd">
              <a:solidFill>
                <a:schemeClr val="accent4"/>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Prices'!$G$7:$G$31</c:f>
              <c:numCache>
                <c:formatCode>General</c:formatCode>
                <c:ptCount val="24"/>
                <c:pt idx="0">
                  <c:v>309.6885894326162</c:v>
                </c:pt>
                <c:pt idx="1">
                  <c:v>309.6885894326162</c:v>
                </c:pt>
                <c:pt idx="2">
                  <c:v>309.6885894326162</c:v>
                </c:pt>
                <c:pt idx="3">
                  <c:v>309.6885894326162</c:v>
                </c:pt>
                <c:pt idx="4">
                  <c:v>309.6885894326162</c:v>
                </c:pt>
                <c:pt idx="5">
                  <c:v>309.6885894326162</c:v>
                </c:pt>
                <c:pt idx="6">
                  <c:v>309.68867245703086</c:v>
                </c:pt>
                <c:pt idx="7">
                  <c:v>369.40957424407691</c:v>
                </c:pt>
                <c:pt idx="8">
                  <c:v>460.47012893547299</c:v>
                </c:pt>
                <c:pt idx="9">
                  <c:v>460.47012893547299</c:v>
                </c:pt>
                <c:pt idx="10">
                  <c:v>460.47012893547299</c:v>
                </c:pt>
                <c:pt idx="11">
                  <c:v>460.47012893547299</c:v>
                </c:pt>
                <c:pt idx="12">
                  <c:v>460.47012893547299</c:v>
                </c:pt>
                <c:pt idx="13">
                  <c:v>371.52875095350021</c:v>
                </c:pt>
                <c:pt idx="14">
                  <c:v>376.43985909833333</c:v>
                </c:pt>
                <c:pt idx="15">
                  <c:v>460.47012893547299</c:v>
                </c:pt>
                <c:pt idx="16">
                  <c:v>460.47012893547299</c:v>
                </c:pt>
                <c:pt idx="17">
                  <c:v>519.08744244343802</c:v>
                </c:pt>
                <c:pt idx="18">
                  <c:v>519.08744244343802</c:v>
                </c:pt>
                <c:pt idx="19">
                  <c:v>519.08744244343802</c:v>
                </c:pt>
                <c:pt idx="20">
                  <c:v>446.65070393207202</c:v>
                </c:pt>
                <c:pt idx="21">
                  <c:v>340.89779034539544</c:v>
                </c:pt>
                <c:pt idx="22">
                  <c:v>340.89779034539544</c:v>
                </c:pt>
                <c:pt idx="23">
                  <c:v>316.67710352217898</c:v>
                </c:pt>
              </c:numCache>
            </c:numRef>
          </c:val>
          <c:smooth val="0"/>
          <c:extLst>
            <c:ext xmlns:c16="http://schemas.microsoft.com/office/drawing/2014/chart" uri="{C3380CC4-5D6E-409C-BE32-E72D297353CC}">
              <c16:uniqueId val="{00000003-C400-45D4-8D08-174664CD4F1F}"/>
            </c:ext>
          </c:extLst>
        </c:ser>
        <c:ser>
          <c:idx val="4"/>
          <c:order val="4"/>
          <c:tx>
            <c:strRef>
              <c:f>'HE Prices'!$H$5:$H$6</c:f>
              <c:strCache>
                <c:ptCount val="1"/>
                <c:pt idx="0">
                  <c:v>DK1_Small</c:v>
                </c:pt>
              </c:strCache>
            </c:strRef>
          </c:tx>
          <c:spPr>
            <a:ln w="28575" cap="rnd">
              <a:solidFill>
                <a:schemeClr val="accent5"/>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Prices'!$H$7:$H$31</c:f>
              <c:numCache>
                <c:formatCode>General</c:formatCode>
                <c:ptCount val="24"/>
                <c:pt idx="0">
                  <c:v>95.10637913133499</c:v>
                </c:pt>
                <c:pt idx="1">
                  <c:v>95.10637913133499</c:v>
                </c:pt>
                <c:pt idx="2">
                  <c:v>95.10637913133499</c:v>
                </c:pt>
                <c:pt idx="3">
                  <c:v>95.10637913133499</c:v>
                </c:pt>
                <c:pt idx="4">
                  <c:v>95.10637913133499</c:v>
                </c:pt>
                <c:pt idx="5">
                  <c:v>95.10637913133499</c:v>
                </c:pt>
                <c:pt idx="6">
                  <c:v>95.106462155749711</c:v>
                </c:pt>
                <c:pt idx="7">
                  <c:v>127.1221403129381</c:v>
                </c:pt>
                <c:pt idx="8">
                  <c:v>127.1221403129381</c:v>
                </c:pt>
                <c:pt idx="9">
                  <c:v>290.98119590735314</c:v>
                </c:pt>
                <c:pt idx="10">
                  <c:v>290.98119590735314</c:v>
                </c:pt>
                <c:pt idx="11">
                  <c:v>290.98119590735314</c:v>
                </c:pt>
                <c:pt idx="12">
                  <c:v>290.98119590735314</c:v>
                </c:pt>
                <c:pt idx="13">
                  <c:v>127.1221403129381</c:v>
                </c:pt>
                <c:pt idx="14">
                  <c:v>127.1221403129381</c:v>
                </c:pt>
                <c:pt idx="15">
                  <c:v>127.1221403129381</c:v>
                </c:pt>
                <c:pt idx="16">
                  <c:v>290.98119590735314</c:v>
                </c:pt>
                <c:pt idx="17">
                  <c:v>284.82809379690013</c:v>
                </c:pt>
                <c:pt idx="18">
                  <c:v>290.98119590735314</c:v>
                </c:pt>
                <c:pt idx="19">
                  <c:v>142.8042654901783</c:v>
                </c:pt>
                <c:pt idx="20">
                  <c:v>127.1221403129381</c:v>
                </c:pt>
                <c:pt idx="21">
                  <c:v>118.1757017093652</c:v>
                </c:pt>
                <c:pt idx="22">
                  <c:v>118.1757017093652</c:v>
                </c:pt>
                <c:pt idx="23">
                  <c:v>95.106462155749711</c:v>
                </c:pt>
              </c:numCache>
            </c:numRef>
          </c:val>
          <c:smooth val="0"/>
          <c:extLst>
            <c:ext xmlns:c16="http://schemas.microsoft.com/office/drawing/2014/chart" uri="{C3380CC4-5D6E-409C-BE32-E72D297353CC}">
              <c16:uniqueId val="{00000004-C400-45D4-8D08-174664CD4F1F}"/>
            </c:ext>
          </c:extLst>
        </c:ser>
        <c:ser>
          <c:idx val="5"/>
          <c:order val="5"/>
          <c:tx>
            <c:strRef>
              <c:f>'HE Prices'!$I$5:$I$6</c:f>
              <c:strCache>
                <c:ptCount val="1"/>
                <c:pt idx="0">
                  <c:v>DK2_Large</c:v>
                </c:pt>
              </c:strCache>
            </c:strRef>
          </c:tx>
          <c:spPr>
            <a:ln w="28575" cap="rnd">
              <a:solidFill>
                <a:schemeClr val="accent6"/>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Prices'!$I$7:$I$31</c:f>
              <c:numCache>
                <c:formatCode>General</c:formatCode>
                <c:ptCount val="24"/>
                <c:pt idx="0">
                  <c:v>353.99258569072123</c:v>
                </c:pt>
                <c:pt idx="1">
                  <c:v>353.99258569072123</c:v>
                </c:pt>
                <c:pt idx="2">
                  <c:v>353.99258569072123</c:v>
                </c:pt>
                <c:pt idx="3">
                  <c:v>355.89687058841923</c:v>
                </c:pt>
                <c:pt idx="4">
                  <c:v>393.31462645751679</c:v>
                </c:pt>
                <c:pt idx="5">
                  <c:v>393.31462645751679</c:v>
                </c:pt>
                <c:pt idx="6">
                  <c:v>556.81755178500396</c:v>
                </c:pt>
                <c:pt idx="7">
                  <c:v>476.95568270719036</c:v>
                </c:pt>
                <c:pt idx="8">
                  <c:v>508.01964519794097</c:v>
                </c:pt>
                <c:pt idx="9">
                  <c:v>508.01964519794097</c:v>
                </c:pt>
                <c:pt idx="10">
                  <c:v>393.31462645751679</c:v>
                </c:pt>
                <c:pt idx="11">
                  <c:v>355.89687058841923</c:v>
                </c:pt>
                <c:pt idx="12">
                  <c:v>355.89687058841923</c:v>
                </c:pt>
                <c:pt idx="13">
                  <c:v>365.36003463450413</c:v>
                </c:pt>
                <c:pt idx="14">
                  <c:v>363.45574973680613</c:v>
                </c:pt>
                <c:pt idx="15">
                  <c:v>365.36003463450413</c:v>
                </c:pt>
                <c:pt idx="16">
                  <c:v>384.76720807647621</c:v>
                </c:pt>
                <c:pt idx="17">
                  <c:v>597.38333436340497</c:v>
                </c:pt>
                <c:pt idx="18">
                  <c:v>661.19743242556092</c:v>
                </c:pt>
                <c:pt idx="19">
                  <c:v>661.19743242556092</c:v>
                </c:pt>
                <c:pt idx="20">
                  <c:v>576.785093683627</c:v>
                </c:pt>
                <c:pt idx="21">
                  <c:v>377.99720208078281</c:v>
                </c:pt>
                <c:pt idx="22">
                  <c:v>377.99720208078281</c:v>
                </c:pt>
                <c:pt idx="23">
                  <c:v>353.99258569072123</c:v>
                </c:pt>
              </c:numCache>
            </c:numRef>
          </c:val>
          <c:smooth val="0"/>
          <c:extLst>
            <c:ext xmlns:c16="http://schemas.microsoft.com/office/drawing/2014/chart" uri="{C3380CC4-5D6E-409C-BE32-E72D297353CC}">
              <c16:uniqueId val="{00000005-C400-45D4-8D08-174664CD4F1F}"/>
            </c:ext>
          </c:extLst>
        </c:ser>
        <c:ser>
          <c:idx val="6"/>
          <c:order val="6"/>
          <c:tx>
            <c:strRef>
              <c:f>'HE Prices'!$J$5:$J$6</c:f>
              <c:strCache>
                <c:ptCount val="1"/>
                <c:pt idx="0">
                  <c:v>DK2_MedSmall</c:v>
                </c:pt>
              </c:strCache>
            </c:strRef>
          </c:tx>
          <c:spPr>
            <a:ln w="28575" cap="rnd">
              <a:solidFill>
                <a:schemeClr val="accent1">
                  <a:lumMod val="6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Prices'!$J$7:$J$31</c:f>
              <c:numCache>
                <c:formatCode>General</c:formatCode>
                <c:ptCount val="24"/>
                <c:pt idx="0">
                  <c:v>304.50426215988921</c:v>
                </c:pt>
                <c:pt idx="1">
                  <c:v>304.50426215988921</c:v>
                </c:pt>
                <c:pt idx="2">
                  <c:v>304.50426215988921</c:v>
                </c:pt>
                <c:pt idx="3">
                  <c:v>304.50426215988921</c:v>
                </c:pt>
                <c:pt idx="4">
                  <c:v>304.50426215988921</c:v>
                </c:pt>
                <c:pt idx="5">
                  <c:v>304.50426215988921</c:v>
                </c:pt>
                <c:pt idx="6">
                  <c:v>351.62864581771623</c:v>
                </c:pt>
                <c:pt idx="7">
                  <c:v>358.5290329583143</c:v>
                </c:pt>
                <c:pt idx="8">
                  <c:v>474.11636859925602</c:v>
                </c:pt>
                <c:pt idx="9">
                  <c:v>534.87783050598898</c:v>
                </c:pt>
                <c:pt idx="10">
                  <c:v>471.302248317519</c:v>
                </c:pt>
                <c:pt idx="11">
                  <c:v>534.87783050598898</c:v>
                </c:pt>
                <c:pt idx="12">
                  <c:v>359.41134985883184</c:v>
                </c:pt>
                <c:pt idx="13">
                  <c:v>361.09180986380113</c:v>
                </c:pt>
                <c:pt idx="14">
                  <c:v>361.09180986380113</c:v>
                </c:pt>
                <c:pt idx="15">
                  <c:v>474.11636859925602</c:v>
                </c:pt>
                <c:pt idx="16">
                  <c:v>419.89370269854851</c:v>
                </c:pt>
                <c:pt idx="17">
                  <c:v>534.87783050598898</c:v>
                </c:pt>
                <c:pt idx="18">
                  <c:v>534.87783050598898</c:v>
                </c:pt>
                <c:pt idx="19">
                  <c:v>534.87783050598898</c:v>
                </c:pt>
                <c:pt idx="20">
                  <c:v>532.18581904321309</c:v>
                </c:pt>
                <c:pt idx="21">
                  <c:v>373.72897731007981</c:v>
                </c:pt>
                <c:pt idx="22">
                  <c:v>373.72897731007981</c:v>
                </c:pt>
                <c:pt idx="23">
                  <c:v>351.62864581771623</c:v>
                </c:pt>
              </c:numCache>
            </c:numRef>
          </c:val>
          <c:smooth val="0"/>
          <c:extLst>
            <c:ext xmlns:c16="http://schemas.microsoft.com/office/drawing/2014/chart" uri="{C3380CC4-5D6E-409C-BE32-E72D297353CC}">
              <c16:uniqueId val="{00000006-C400-45D4-8D08-174664CD4F1F}"/>
            </c:ext>
          </c:extLst>
        </c:ser>
        <c:ser>
          <c:idx val="7"/>
          <c:order val="7"/>
          <c:tx>
            <c:strRef>
              <c:f>'HE Prices'!$K$5:$K$6</c:f>
              <c:strCache>
                <c:ptCount val="1"/>
                <c:pt idx="0">
                  <c:v>DK2_Medium</c:v>
                </c:pt>
              </c:strCache>
            </c:strRef>
          </c:tx>
          <c:spPr>
            <a:ln w="28575" cap="rnd">
              <a:solidFill>
                <a:schemeClr val="accent2">
                  <a:lumMod val="6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Prices'!$K$7:$K$31</c:f>
              <c:numCache>
                <c:formatCode>General</c:formatCode>
                <c:ptCount val="24"/>
                <c:pt idx="0">
                  <c:v>95.396257579507989</c:v>
                </c:pt>
                <c:pt idx="1">
                  <c:v>95.396257579507989</c:v>
                </c:pt>
                <c:pt idx="2">
                  <c:v>95.396257579507989</c:v>
                </c:pt>
                <c:pt idx="3">
                  <c:v>95.396257579507989</c:v>
                </c:pt>
                <c:pt idx="4">
                  <c:v>95.396257579507989</c:v>
                </c:pt>
                <c:pt idx="5">
                  <c:v>95.396257579507989</c:v>
                </c:pt>
                <c:pt idx="6">
                  <c:v>95.396257579507989</c:v>
                </c:pt>
                <c:pt idx="7">
                  <c:v>102.29664472010606</c:v>
                </c:pt>
                <c:pt idx="8">
                  <c:v>217.8839803610478</c:v>
                </c:pt>
                <c:pt idx="9">
                  <c:v>129.6154450300393</c:v>
                </c:pt>
                <c:pt idx="10">
                  <c:v>103.17896162062361</c:v>
                </c:pt>
                <c:pt idx="11">
                  <c:v>97.008432275131767</c:v>
                </c:pt>
                <c:pt idx="12">
                  <c:v>103.17896162062361</c:v>
                </c:pt>
                <c:pt idx="13">
                  <c:v>217.8839803610478</c:v>
                </c:pt>
                <c:pt idx="14">
                  <c:v>253.82431502411779</c:v>
                </c:pt>
                <c:pt idx="15">
                  <c:v>217.8839803610478</c:v>
                </c:pt>
                <c:pt idx="16">
                  <c:v>291.22390512475681</c:v>
                </c:pt>
                <c:pt idx="17">
                  <c:v>291.22390512475681</c:v>
                </c:pt>
                <c:pt idx="18">
                  <c:v>291.22390512475681</c:v>
                </c:pt>
                <c:pt idx="19">
                  <c:v>291.22390512475681</c:v>
                </c:pt>
                <c:pt idx="20">
                  <c:v>291.22390512475681</c:v>
                </c:pt>
                <c:pt idx="21">
                  <c:v>117.4965890718716</c:v>
                </c:pt>
                <c:pt idx="22">
                  <c:v>117.4965890718716</c:v>
                </c:pt>
                <c:pt idx="23">
                  <c:v>95.396257579507989</c:v>
                </c:pt>
              </c:numCache>
            </c:numRef>
          </c:val>
          <c:smooth val="0"/>
          <c:extLst>
            <c:ext xmlns:c16="http://schemas.microsoft.com/office/drawing/2014/chart" uri="{C3380CC4-5D6E-409C-BE32-E72D297353CC}">
              <c16:uniqueId val="{00000007-C400-45D4-8D08-174664CD4F1F}"/>
            </c:ext>
          </c:extLst>
        </c:ser>
        <c:ser>
          <c:idx val="8"/>
          <c:order val="8"/>
          <c:tx>
            <c:strRef>
              <c:f>'HE Prices'!$L$5:$L$6</c:f>
              <c:strCache>
                <c:ptCount val="1"/>
                <c:pt idx="0">
                  <c:v>DK2_Rural</c:v>
                </c:pt>
              </c:strCache>
            </c:strRef>
          </c:tx>
          <c:spPr>
            <a:ln w="28575" cap="rnd">
              <a:solidFill>
                <a:schemeClr val="accent3">
                  <a:lumMod val="6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Prices'!$L$7:$L$31</c:f>
              <c:numCache>
                <c:formatCode>General</c:formatCode>
                <c:ptCount val="24"/>
                <c:pt idx="0">
                  <c:v>556.17168404392487</c:v>
                </c:pt>
                <c:pt idx="1">
                  <c:v>556.17168404392487</c:v>
                </c:pt>
                <c:pt idx="2">
                  <c:v>556.17168404392487</c:v>
                </c:pt>
                <c:pt idx="3">
                  <c:v>556.17168404392487</c:v>
                </c:pt>
                <c:pt idx="4">
                  <c:v>556.17168404392487</c:v>
                </c:pt>
                <c:pt idx="5">
                  <c:v>556.17168404392487</c:v>
                </c:pt>
                <c:pt idx="6">
                  <c:v>566.65903025669047</c:v>
                </c:pt>
                <c:pt idx="7">
                  <c:v>594.86562320301823</c:v>
                </c:pt>
                <c:pt idx="8">
                  <c:v>958.31400022358002</c:v>
                </c:pt>
                <c:pt idx="9">
                  <c:v>958.31400022358002</c:v>
                </c:pt>
                <c:pt idx="10">
                  <c:v>810.15922758159195</c:v>
                </c:pt>
                <c:pt idx="11">
                  <c:v>810.15922758159195</c:v>
                </c:pt>
                <c:pt idx="12">
                  <c:v>810.15922758159195</c:v>
                </c:pt>
                <c:pt idx="13">
                  <c:v>605.34144195237798</c:v>
                </c:pt>
                <c:pt idx="14">
                  <c:v>605.34144195237798</c:v>
                </c:pt>
                <c:pt idx="15">
                  <c:v>689.129101640964</c:v>
                </c:pt>
                <c:pt idx="16">
                  <c:v>929.91428620423198</c:v>
                </c:pt>
                <c:pt idx="17">
                  <c:v>958.31400022358002</c:v>
                </c:pt>
                <c:pt idx="18">
                  <c:v>958.31400022358002</c:v>
                </c:pt>
                <c:pt idx="19">
                  <c:v>958.31400022358002</c:v>
                </c:pt>
                <c:pt idx="20">
                  <c:v>790.004574072644</c:v>
                </c:pt>
                <c:pt idx="21">
                  <c:v>656.99817234864884</c:v>
                </c:pt>
                <c:pt idx="22">
                  <c:v>656.99817234864884</c:v>
                </c:pt>
                <c:pt idx="23">
                  <c:v>566.65903025669047</c:v>
                </c:pt>
              </c:numCache>
            </c:numRef>
          </c:val>
          <c:smooth val="0"/>
          <c:extLst>
            <c:ext xmlns:c16="http://schemas.microsoft.com/office/drawing/2014/chart" uri="{C3380CC4-5D6E-409C-BE32-E72D297353CC}">
              <c16:uniqueId val="{00000008-C400-45D4-8D08-174664CD4F1F}"/>
            </c:ext>
          </c:extLst>
        </c:ser>
        <c:ser>
          <c:idx val="9"/>
          <c:order val="9"/>
          <c:tx>
            <c:strRef>
              <c:f>'HE Prices'!$M$5:$M$6</c:f>
              <c:strCache>
                <c:ptCount val="1"/>
                <c:pt idx="0">
                  <c:v>DK2_Small</c:v>
                </c:pt>
              </c:strCache>
            </c:strRef>
          </c:tx>
          <c:spPr>
            <a:ln w="28575" cap="rnd">
              <a:solidFill>
                <a:schemeClr val="accent4">
                  <a:lumMod val="6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Prices'!$M$7:$M$31</c:f>
              <c:numCache>
                <c:formatCode>General</c:formatCode>
                <c:ptCount val="24"/>
                <c:pt idx="0">
                  <c:v>374.89235376614823</c:v>
                </c:pt>
                <c:pt idx="1">
                  <c:v>374.89235376614823</c:v>
                </c:pt>
                <c:pt idx="2">
                  <c:v>374.89235376614823</c:v>
                </c:pt>
                <c:pt idx="3">
                  <c:v>374.89235376614823</c:v>
                </c:pt>
                <c:pt idx="4">
                  <c:v>374.89235376614823</c:v>
                </c:pt>
                <c:pt idx="5">
                  <c:v>385.53192241640119</c:v>
                </c:pt>
                <c:pt idx="6">
                  <c:v>385.53192241640119</c:v>
                </c:pt>
                <c:pt idx="7">
                  <c:v>392.43230955699926</c:v>
                </c:pt>
                <c:pt idx="8">
                  <c:v>508.01964519794097</c:v>
                </c:pt>
                <c:pt idx="9">
                  <c:v>629.31033197045394</c:v>
                </c:pt>
                <c:pt idx="10">
                  <c:v>393.31462645751679</c:v>
                </c:pt>
                <c:pt idx="11">
                  <c:v>620.14278069758097</c:v>
                </c:pt>
                <c:pt idx="12">
                  <c:v>393.31462645751679</c:v>
                </c:pt>
                <c:pt idx="13">
                  <c:v>394.99508646248609</c:v>
                </c:pt>
                <c:pt idx="14">
                  <c:v>394.99508646248609</c:v>
                </c:pt>
                <c:pt idx="15">
                  <c:v>484.88881233373297</c:v>
                </c:pt>
                <c:pt idx="16">
                  <c:v>453.79697929723346</c:v>
                </c:pt>
                <c:pt idx="17">
                  <c:v>629.31033197045394</c:v>
                </c:pt>
                <c:pt idx="18">
                  <c:v>629.31033197045394</c:v>
                </c:pt>
                <c:pt idx="19">
                  <c:v>629.31033197045394</c:v>
                </c:pt>
                <c:pt idx="20">
                  <c:v>407.63225390876477</c:v>
                </c:pt>
                <c:pt idx="21">
                  <c:v>407.63225390876477</c:v>
                </c:pt>
                <c:pt idx="22">
                  <c:v>407.63225390876477</c:v>
                </c:pt>
                <c:pt idx="23">
                  <c:v>385.53192241640119</c:v>
                </c:pt>
              </c:numCache>
            </c:numRef>
          </c:val>
          <c:smooth val="0"/>
          <c:extLst>
            <c:ext xmlns:c16="http://schemas.microsoft.com/office/drawing/2014/chart" uri="{C3380CC4-5D6E-409C-BE32-E72D297353CC}">
              <c16:uniqueId val="{00000009-C400-45D4-8D08-174664CD4F1F}"/>
            </c:ext>
          </c:extLst>
        </c:ser>
        <c:ser>
          <c:idx val="10"/>
          <c:order val="10"/>
          <c:tx>
            <c:strRef>
              <c:f>'HE Prices'!$N$5:$N$6</c:f>
              <c:strCache>
                <c:ptCount val="1"/>
                <c:pt idx="0">
                  <c:v>NO1_A1</c:v>
                </c:pt>
              </c:strCache>
            </c:strRef>
          </c:tx>
          <c:spPr>
            <a:ln w="28575" cap="rnd">
              <a:solidFill>
                <a:schemeClr val="accent5">
                  <a:lumMod val="6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Prices'!$N$7:$N$31</c:f>
              <c:numCache>
                <c:formatCode>General</c:formatCode>
                <c:ptCount val="24"/>
                <c:pt idx="0">
                  <c:v>39.422613207604101</c:v>
                </c:pt>
                <c:pt idx="1">
                  <c:v>39.422613207604101</c:v>
                </c:pt>
                <c:pt idx="2">
                  <c:v>39.422613207604101</c:v>
                </c:pt>
                <c:pt idx="3">
                  <c:v>39.422613207604101</c:v>
                </c:pt>
                <c:pt idx="4">
                  <c:v>39.422613207604101</c:v>
                </c:pt>
                <c:pt idx="5">
                  <c:v>39.422613207604101</c:v>
                </c:pt>
                <c:pt idx="6">
                  <c:v>116.13770561014201</c:v>
                </c:pt>
                <c:pt idx="7">
                  <c:v>116.13770561014201</c:v>
                </c:pt>
                <c:pt idx="8">
                  <c:v>116.13770561014201</c:v>
                </c:pt>
                <c:pt idx="9">
                  <c:v>116.13770561014201</c:v>
                </c:pt>
                <c:pt idx="10">
                  <c:v>116.13770561014201</c:v>
                </c:pt>
                <c:pt idx="11">
                  <c:v>116.13770561014201</c:v>
                </c:pt>
                <c:pt idx="12">
                  <c:v>116.13770561014201</c:v>
                </c:pt>
                <c:pt idx="13">
                  <c:v>116.13770561014201</c:v>
                </c:pt>
                <c:pt idx="14">
                  <c:v>116.13770561014201</c:v>
                </c:pt>
                <c:pt idx="15">
                  <c:v>39.422613207604101</c:v>
                </c:pt>
                <c:pt idx="16">
                  <c:v>39.422613207604101</c:v>
                </c:pt>
                <c:pt idx="17">
                  <c:v>39.422613207604101</c:v>
                </c:pt>
                <c:pt idx="18">
                  <c:v>39.422613207604101</c:v>
                </c:pt>
                <c:pt idx="19">
                  <c:v>39.422613207604101</c:v>
                </c:pt>
                <c:pt idx="20">
                  <c:v>39.422613207604101</c:v>
                </c:pt>
                <c:pt idx="21">
                  <c:v>39.422613207604101</c:v>
                </c:pt>
                <c:pt idx="22">
                  <c:v>39.422613207604101</c:v>
                </c:pt>
                <c:pt idx="23">
                  <c:v>39.422613207604101</c:v>
                </c:pt>
              </c:numCache>
            </c:numRef>
          </c:val>
          <c:smooth val="0"/>
          <c:extLst>
            <c:ext xmlns:c16="http://schemas.microsoft.com/office/drawing/2014/chart" uri="{C3380CC4-5D6E-409C-BE32-E72D297353CC}">
              <c16:uniqueId val="{0000000A-C400-45D4-8D08-174664CD4F1F}"/>
            </c:ext>
          </c:extLst>
        </c:ser>
        <c:ser>
          <c:idx val="11"/>
          <c:order val="11"/>
          <c:tx>
            <c:strRef>
              <c:f>'HE Prices'!$O$5:$O$6</c:f>
              <c:strCache>
                <c:ptCount val="1"/>
                <c:pt idx="0">
                  <c:v>NO1_A2</c:v>
                </c:pt>
              </c:strCache>
            </c:strRef>
          </c:tx>
          <c:spPr>
            <a:ln w="28575" cap="rnd">
              <a:solidFill>
                <a:schemeClr val="accent6">
                  <a:lumMod val="6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Prices'!$O$7:$O$31</c:f>
              <c:numCache>
                <c:formatCode>General</c:formatCode>
                <c:ptCount val="24"/>
                <c:pt idx="0">
                  <c:v>22.369059868235301</c:v>
                </c:pt>
                <c:pt idx="1">
                  <c:v>22.369059868235301</c:v>
                </c:pt>
                <c:pt idx="2">
                  <c:v>22.369059868235301</c:v>
                </c:pt>
                <c:pt idx="3">
                  <c:v>22.369059868235301</c:v>
                </c:pt>
                <c:pt idx="4">
                  <c:v>120.01029687872723</c:v>
                </c:pt>
                <c:pt idx="5">
                  <c:v>125.18896410265464</c:v>
                </c:pt>
                <c:pt idx="6">
                  <c:v>345.16450109366673</c:v>
                </c:pt>
                <c:pt idx="7">
                  <c:v>503.632588342502</c:v>
                </c:pt>
                <c:pt idx="8">
                  <c:v>426.59464618837001</c:v>
                </c:pt>
                <c:pt idx="9">
                  <c:v>372.67504546808038</c:v>
                </c:pt>
                <c:pt idx="10">
                  <c:v>345.16450109366673</c:v>
                </c:pt>
                <c:pt idx="11">
                  <c:v>329.02248823474167</c:v>
                </c:pt>
                <c:pt idx="12">
                  <c:v>125.18896410265464</c:v>
                </c:pt>
                <c:pt idx="13">
                  <c:v>125.18896410265464</c:v>
                </c:pt>
                <c:pt idx="14">
                  <c:v>120.01029687872723</c:v>
                </c:pt>
                <c:pt idx="15">
                  <c:v>43.295204476189333</c:v>
                </c:pt>
                <c:pt idx="16">
                  <c:v>43.295204476189333</c:v>
                </c:pt>
                <c:pt idx="17">
                  <c:v>39.422613207604101</c:v>
                </c:pt>
                <c:pt idx="18">
                  <c:v>39.422613207604101</c:v>
                </c:pt>
                <c:pt idx="19">
                  <c:v>43.295204476189333</c:v>
                </c:pt>
                <c:pt idx="20">
                  <c:v>39.422613207604101</c:v>
                </c:pt>
                <c:pt idx="21">
                  <c:v>22.369059868235301</c:v>
                </c:pt>
                <c:pt idx="22">
                  <c:v>22.369059868235301</c:v>
                </c:pt>
                <c:pt idx="23">
                  <c:v>22.369059868235301</c:v>
                </c:pt>
              </c:numCache>
            </c:numRef>
          </c:val>
          <c:smooth val="0"/>
          <c:extLst>
            <c:ext xmlns:c16="http://schemas.microsoft.com/office/drawing/2014/chart" uri="{C3380CC4-5D6E-409C-BE32-E72D297353CC}">
              <c16:uniqueId val="{0000000B-C400-45D4-8D08-174664CD4F1F}"/>
            </c:ext>
          </c:extLst>
        </c:ser>
        <c:ser>
          <c:idx val="12"/>
          <c:order val="12"/>
          <c:tx>
            <c:strRef>
              <c:f>'HE Prices'!$P$5:$P$6</c:f>
              <c:strCache>
                <c:ptCount val="1"/>
                <c:pt idx="0">
                  <c:v>NO2_A1</c:v>
                </c:pt>
              </c:strCache>
            </c:strRef>
          </c:tx>
          <c:spPr>
            <a:ln w="28575" cap="rnd">
              <a:solidFill>
                <a:schemeClr val="accent1">
                  <a:lumMod val="80000"/>
                  <a:lumOff val="2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Prices'!$P$7:$P$31</c:f>
              <c:numCache>
                <c:formatCode>General</c:formatCode>
                <c:ptCount val="24"/>
                <c:pt idx="0">
                  <c:v>-18.998106730364501</c:v>
                </c:pt>
                <c:pt idx="1">
                  <c:v>-18.998106730364501</c:v>
                </c:pt>
                <c:pt idx="2">
                  <c:v>-18.998106730364501</c:v>
                </c:pt>
                <c:pt idx="3">
                  <c:v>5.0476063496271797</c:v>
                </c:pt>
                <c:pt idx="4">
                  <c:v>5.0476063496271797</c:v>
                </c:pt>
                <c:pt idx="5">
                  <c:v>22.369059868235301</c:v>
                </c:pt>
                <c:pt idx="6">
                  <c:v>22.369059868235301</c:v>
                </c:pt>
                <c:pt idx="7">
                  <c:v>22.369059868235301</c:v>
                </c:pt>
                <c:pt idx="8">
                  <c:v>22.369059868235301</c:v>
                </c:pt>
                <c:pt idx="9">
                  <c:v>22.369059868235301</c:v>
                </c:pt>
                <c:pt idx="10">
                  <c:v>22.369059868235301</c:v>
                </c:pt>
                <c:pt idx="11">
                  <c:v>22.369059868235301</c:v>
                </c:pt>
                <c:pt idx="12">
                  <c:v>22.369059868235301</c:v>
                </c:pt>
                <c:pt idx="13">
                  <c:v>22.369059868235301</c:v>
                </c:pt>
                <c:pt idx="14">
                  <c:v>22.369059868235301</c:v>
                </c:pt>
                <c:pt idx="15">
                  <c:v>22.369059868235301</c:v>
                </c:pt>
                <c:pt idx="16">
                  <c:v>22.369059868235301</c:v>
                </c:pt>
                <c:pt idx="17">
                  <c:v>22.369059868235301</c:v>
                </c:pt>
                <c:pt idx="18">
                  <c:v>5.0476063496271797</c:v>
                </c:pt>
                <c:pt idx="19">
                  <c:v>22.369059868235301</c:v>
                </c:pt>
                <c:pt idx="20">
                  <c:v>5.0476063496271797</c:v>
                </c:pt>
                <c:pt idx="21">
                  <c:v>5.0476063496271797</c:v>
                </c:pt>
                <c:pt idx="22">
                  <c:v>5.0476063496271797</c:v>
                </c:pt>
                <c:pt idx="23">
                  <c:v>-18.998106730364501</c:v>
                </c:pt>
              </c:numCache>
            </c:numRef>
          </c:val>
          <c:smooth val="0"/>
          <c:extLst>
            <c:ext xmlns:c16="http://schemas.microsoft.com/office/drawing/2014/chart" uri="{C3380CC4-5D6E-409C-BE32-E72D297353CC}">
              <c16:uniqueId val="{00000000-BC5E-47F8-A4BE-F3F99D5880DE}"/>
            </c:ext>
          </c:extLst>
        </c:ser>
        <c:ser>
          <c:idx val="13"/>
          <c:order val="13"/>
          <c:tx>
            <c:strRef>
              <c:f>'HE Prices'!$Q$5:$Q$6</c:f>
              <c:strCache>
                <c:ptCount val="1"/>
                <c:pt idx="0">
                  <c:v>NO3_A1</c:v>
                </c:pt>
              </c:strCache>
            </c:strRef>
          </c:tx>
          <c:spPr>
            <a:ln w="28575" cap="rnd">
              <a:solidFill>
                <a:schemeClr val="accent2">
                  <a:lumMod val="80000"/>
                  <a:lumOff val="2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Prices'!$Q$7:$Q$31</c:f>
              <c:numCache>
                <c:formatCode>General</c:formatCode>
                <c:ptCount val="24"/>
                <c:pt idx="0">
                  <c:v>22.369059868235301</c:v>
                </c:pt>
                <c:pt idx="1">
                  <c:v>22.369059868235301</c:v>
                </c:pt>
                <c:pt idx="2">
                  <c:v>22.369059868235301</c:v>
                </c:pt>
                <c:pt idx="3">
                  <c:v>22.369059868235301</c:v>
                </c:pt>
                <c:pt idx="4">
                  <c:v>22.369059868235301</c:v>
                </c:pt>
                <c:pt idx="5">
                  <c:v>22.369059868235301</c:v>
                </c:pt>
                <c:pt idx="6">
                  <c:v>22.369059868235301</c:v>
                </c:pt>
                <c:pt idx="7">
                  <c:v>22.369059868235301</c:v>
                </c:pt>
                <c:pt idx="8">
                  <c:v>22.369059868235301</c:v>
                </c:pt>
                <c:pt idx="9">
                  <c:v>22.369059868235301</c:v>
                </c:pt>
                <c:pt idx="10">
                  <c:v>22.369059868235301</c:v>
                </c:pt>
                <c:pt idx="11">
                  <c:v>22.369059868235301</c:v>
                </c:pt>
                <c:pt idx="12">
                  <c:v>22.369059868235301</c:v>
                </c:pt>
                <c:pt idx="13">
                  <c:v>22.369059868235301</c:v>
                </c:pt>
                <c:pt idx="14">
                  <c:v>22.369059868235301</c:v>
                </c:pt>
                <c:pt idx="15">
                  <c:v>22.369059868235301</c:v>
                </c:pt>
                <c:pt idx="16">
                  <c:v>22.369059868235301</c:v>
                </c:pt>
                <c:pt idx="17">
                  <c:v>22.369059868235301</c:v>
                </c:pt>
                <c:pt idx="18">
                  <c:v>22.369059868235301</c:v>
                </c:pt>
                <c:pt idx="19">
                  <c:v>22.369059868235301</c:v>
                </c:pt>
                <c:pt idx="20">
                  <c:v>22.369059868235301</c:v>
                </c:pt>
                <c:pt idx="21">
                  <c:v>22.369059868235301</c:v>
                </c:pt>
                <c:pt idx="22">
                  <c:v>22.369059868235301</c:v>
                </c:pt>
                <c:pt idx="23">
                  <c:v>5.0476063496271797</c:v>
                </c:pt>
              </c:numCache>
            </c:numRef>
          </c:val>
          <c:smooth val="0"/>
          <c:extLst>
            <c:ext xmlns:c16="http://schemas.microsoft.com/office/drawing/2014/chart" uri="{C3380CC4-5D6E-409C-BE32-E72D297353CC}">
              <c16:uniqueId val="{00000001-BC5E-47F8-A4BE-F3F99D5880DE}"/>
            </c:ext>
          </c:extLst>
        </c:ser>
        <c:ser>
          <c:idx val="14"/>
          <c:order val="14"/>
          <c:tx>
            <c:strRef>
              <c:f>'HE Prices'!$R$5:$R$6</c:f>
              <c:strCache>
                <c:ptCount val="1"/>
                <c:pt idx="0">
                  <c:v>NO3_A2</c:v>
                </c:pt>
              </c:strCache>
            </c:strRef>
          </c:tx>
          <c:spPr>
            <a:ln w="28575" cap="rnd">
              <a:solidFill>
                <a:schemeClr val="accent3">
                  <a:lumMod val="80000"/>
                  <a:lumOff val="2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Prices'!$R$7:$R$31</c:f>
              <c:numCache>
                <c:formatCode>General</c:formatCode>
                <c:ptCount val="24"/>
                <c:pt idx="0">
                  <c:v>9.9324500921146406</c:v>
                </c:pt>
                <c:pt idx="1">
                  <c:v>9.9324500921146406</c:v>
                </c:pt>
                <c:pt idx="2">
                  <c:v>9.9324500921146406</c:v>
                </c:pt>
                <c:pt idx="3">
                  <c:v>9.9324500921146406</c:v>
                </c:pt>
                <c:pt idx="4">
                  <c:v>9.9324500921146406</c:v>
                </c:pt>
                <c:pt idx="5">
                  <c:v>26.241651136820529</c:v>
                </c:pt>
                <c:pt idx="6">
                  <c:v>26.241651136820529</c:v>
                </c:pt>
                <c:pt idx="7">
                  <c:v>26.241651136820529</c:v>
                </c:pt>
                <c:pt idx="8">
                  <c:v>26.241651136820529</c:v>
                </c:pt>
                <c:pt idx="9">
                  <c:v>26.241651136820529</c:v>
                </c:pt>
                <c:pt idx="10">
                  <c:v>26.241651136820529</c:v>
                </c:pt>
                <c:pt idx="11">
                  <c:v>26.241651136820529</c:v>
                </c:pt>
                <c:pt idx="12">
                  <c:v>26.241651136820529</c:v>
                </c:pt>
                <c:pt idx="13">
                  <c:v>26.241651136820529</c:v>
                </c:pt>
                <c:pt idx="14">
                  <c:v>26.241651136820529</c:v>
                </c:pt>
                <c:pt idx="15">
                  <c:v>26.241651136820529</c:v>
                </c:pt>
                <c:pt idx="16">
                  <c:v>9.9324500921146406</c:v>
                </c:pt>
                <c:pt idx="17">
                  <c:v>9.9324500921146406</c:v>
                </c:pt>
                <c:pt idx="18">
                  <c:v>9.9324500921146406</c:v>
                </c:pt>
                <c:pt idx="19">
                  <c:v>9.9324500921146406</c:v>
                </c:pt>
                <c:pt idx="20">
                  <c:v>9.9324500921146406</c:v>
                </c:pt>
                <c:pt idx="21">
                  <c:v>9.9324500921146406</c:v>
                </c:pt>
                <c:pt idx="22">
                  <c:v>6.0598588235294102</c:v>
                </c:pt>
                <c:pt idx="23">
                  <c:v>6.0598588235294102</c:v>
                </c:pt>
              </c:numCache>
            </c:numRef>
          </c:val>
          <c:smooth val="0"/>
          <c:extLst>
            <c:ext xmlns:c16="http://schemas.microsoft.com/office/drawing/2014/chart" uri="{C3380CC4-5D6E-409C-BE32-E72D297353CC}">
              <c16:uniqueId val="{00000002-BC5E-47F8-A4BE-F3F99D5880DE}"/>
            </c:ext>
          </c:extLst>
        </c:ser>
        <c:ser>
          <c:idx val="15"/>
          <c:order val="15"/>
          <c:tx>
            <c:strRef>
              <c:f>'HE Prices'!$S$5:$S$6</c:f>
              <c:strCache>
                <c:ptCount val="1"/>
                <c:pt idx="0">
                  <c:v>NO4_A1</c:v>
                </c:pt>
              </c:strCache>
            </c:strRef>
          </c:tx>
          <c:spPr>
            <a:ln w="28575" cap="rnd">
              <a:solidFill>
                <a:schemeClr val="accent4">
                  <a:lumMod val="80000"/>
                  <a:lumOff val="2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Prices'!$S$7:$S$31</c:f>
              <c:numCache>
                <c:formatCode>General</c:formatCode>
                <c:ptCount val="24"/>
                <c:pt idx="0">
                  <c:v>6.0598588235294102</c:v>
                </c:pt>
                <c:pt idx="1">
                  <c:v>6.0598588235294102</c:v>
                </c:pt>
                <c:pt idx="2">
                  <c:v>6.0598588235294102</c:v>
                </c:pt>
                <c:pt idx="3">
                  <c:v>6.0598588235294102</c:v>
                </c:pt>
                <c:pt idx="4">
                  <c:v>6.0598588235294102</c:v>
                </c:pt>
                <c:pt idx="5">
                  <c:v>22.369059868235301</c:v>
                </c:pt>
                <c:pt idx="6">
                  <c:v>22.369059868235301</c:v>
                </c:pt>
                <c:pt idx="7">
                  <c:v>22.369059868235301</c:v>
                </c:pt>
                <c:pt idx="8">
                  <c:v>22.369059868235301</c:v>
                </c:pt>
                <c:pt idx="9">
                  <c:v>22.369059868235301</c:v>
                </c:pt>
                <c:pt idx="10">
                  <c:v>22.369059868235301</c:v>
                </c:pt>
                <c:pt idx="11">
                  <c:v>22.369059868235301</c:v>
                </c:pt>
                <c:pt idx="12">
                  <c:v>22.369059868235301</c:v>
                </c:pt>
                <c:pt idx="13">
                  <c:v>22.369059868235301</c:v>
                </c:pt>
                <c:pt idx="14">
                  <c:v>22.369059868235301</c:v>
                </c:pt>
                <c:pt idx="15">
                  <c:v>22.369059868235301</c:v>
                </c:pt>
                <c:pt idx="16">
                  <c:v>22.369059868235301</c:v>
                </c:pt>
                <c:pt idx="17">
                  <c:v>6.0598588235294102</c:v>
                </c:pt>
                <c:pt idx="18">
                  <c:v>6.0598588235294102</c:v>
                </c:pt>
                <c:pt idx="19">
                  <c:v>6.0598588235294102</c:v>
                </c:pt>
                <c:pt idx="20">
                  <c:v>6.0598588235294102</c:v>
                </c:pt>
                <c:pt idx="21">
                  <c:v>6.0598588235294102</c:v>
                </c:pt>
                <c:pt idx="22">
                  <c:v>6.0598588235294102</c:v>
                </c:pt>
                <c:pt idx="23">
                  <c:v>6.0598588235294102</c:v>
                </c:pt>
              </c:numCache>
            </c:numRef>
          </c:val>
          <c:smooth val="0"/>
          <c:extLst>
            <c:ext xmlns:c16="http://schemas.microsoft.com/office/drawing/2014/chart" uri="{C3380CC4-5D6E-409C-BE32-E72D297353CC}">
              <c16:uniqueId val="{00000003-BC5E-47F8-A4BE-F3F99D5880DE}"/>
            </c:ext>
          </c:extLst>
        </c:ser>
        <c:ser>
          <c:idx val="16"/>
          <c:order val="16"/>
          <c:tx>
            <c:strRef>
              <c:f>'HE Prices'!$T$5:$T$6</c:f>
              <c:strCache>
                <c:ptCount val="1"/>
                <c:pt idx="0">
                  <c:v>NO5_A1</c:v>
                </c:pt>
              </c:strCache>
            </c:strRef>
          </c:tx>
          <c:spPr>
            <a:ln w="28575" cap="rnd">
              <a:solidFill>
                <a:schemeClr val="accent5">
                  <a:lumMod val="80000"/>
                  <a:lumOff val="2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Prices'!$T$7:$T$31</c:f>
              <c:numCache>
                <c:formatCode>General</c:formatCode>
                <c:ptCount val="24"/>
                <c:pt idx="0">
                  <c:v>22.369059868235301</c:v>
                </c:pt>
                <c:pt idx="1">
                  <c:v>22.369059868235301</c:v>
                </c:pt>
                <c:pt idx="2">
                  <c:v>22.369059868235301</c:v>
                </c:pt>
                <c:pt idx="3">
                  <c:v>22.369059868235301</c:v>
                </c:pt>
                <c:pt idx="4">
                  <c:v>22.369059868235301</c:v>
                </c:pt>
                <c:pt idx="5">
                  <c:v>22.369059868235301</c:v>
                </c:pt>
                <c:pt idx="6">
                  <c:v>22.369059868235301</c:v>
                </c:pt>
                <c:pt idx="7">
                  <c:v>22.369059868235301</c:v>
                </c:pt>
                <c:pt idx="8">
                  <c:v>22.369059868235301</c:v>
                </c:pt>
                <c:pt idx="9">
                  <c:v>22.369059868235301</c:v>
                </c:pt>
                <c:pt idx="10">
                  <c:v>22.369059868235301</c:v>
                </c:pt>
                <c:pt idx="11">
                  <c:v>22.369059868235301</c:v>
                </c:pt>
                <c:pt idx="12">
                  <c:v>22.369059868235301</c:v>
                </c:pt>
                <c:pt idx="13">
                  <c:v>22.369059868235301</c:v>
                </c:pt>
                <c:pt idx="14">
                  <c:v>22.369059868235301</c:v>
                </c:pt>
                <c:pt idx="15">
                  <c:v>22.369059868235301</c:v>
                </c:pt>
                <c:pt idx="16">
                  <c:v>22.369059868235301</c:v>
                </c:pt>
                <c:pt idx="17">
                  <c:v>22.369059868235301</c:v>
                </c:pt>
                <c:pt idx="18">
                  <c:v>22.369059868235301</c:v>
                </c:pt>
                <c:pt idx="19">
                  <c:v>22.369059868235301</c:v>
                </c:pt>
                <c:pt idx="20">
                  <c:v>22.369059868235301</c:v>
                </c:pt>
                <c:pt idx="21">
                  <c:v>22.369059868235301</c:v>
                </c:pt>
                <c:pt idx="22">
                  <c:v>22.369059868235301</c:v>
                </c:pt>
                <c:pt idx="23">
                  <c:v>22.369059868235301</c:v>
                </c:pt>
              </c:numCache>
            </c:numRef>
          </c:val>
          <c:smooth val="0"/>
          <c:extLst>
            <c:ext xmlns:c16="http://schemas.microsoft.com/office/drawing/2014/chart" uri="{C3380CC4-5D6E-409C-BE32-E72D297353CC}">
              <c16:uniqueId val="{00000004-BC5E-47F8-A4BE-F3F99D5880DE}"/>
            </c:ext>
          </c:extLst>
        </c:ser>
        <c:ser>
          <c:idx val="17"/>
          <c:order val="17"/>
          <c:tx>
            <c:strRef>
              <c:f>'HE Prices'!$U$5:$U$6</c:f>
              <c:strCache>
                <c:ptCount val="1"/>
                <c:pt idx="0">
                  <c:v>SE1_EL</c:v>
                </c:pt>
              </c:strCache>
            </c:strRef>
          </c:tx>
          <c:spPr>
            <a:ln w="28575" cap="rnd">
              <a:solidFill>
                <a:schemeClr val="accent6">
                  <a:lumMod val="80000"/>
                  <a:lumOff val="2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Prices'!$U$7:$U$31</c:f>
              <c:numCache>
                <c:formatCode>General</c:formatCode>
                <c:ptCount val="24"/>
                <c:pt idx="0">
                  <c:v>7.9292995862151496</c:v>
                </c:pt>
                <c:pt idx="1">
                  <c:v>7.9292995862151496</c:v>
                </c:pt>
                <c:pt idx="2">
                  <c:v>7.9292995862151496</c:v>
                </c:pt>
                <c:pt idx="3">
                  <c:v>7.9292995862151496</c:v>
                </c:pt>
                <c:pt idx="4">
                  <c:v>7.9292995862151496</c:v>
                </c:pt>
                <c:pt idx="5">
                  <c:v>7.9292995862151496</c:v>
                </c:pt>
                <c:pt idx="6">
                  <c:v>7.9292995862151496</c:v>
                </c:pt>
                <c:pt idx="7">
                  <c:v>7.9292995862151496</c:v>
                </c:pt>
                <c:pt idx="8">
                  <c:v>7.9292995862151496</c:v>
                </c:pt>
                <c:pt idx="9">
                  <c:v>7.9292995862151496</c:v>
                </c:pt>
                <c:pt idx="10">
                  <c:v>7.9292995862151496</c:v>
                </c:pt>
                <c:pt idx="11">
                  <c:v>7.9292995862151496</c:v>
                </c:pt>
                <c:pt idx="12">
                  <c:v>7.9292995862151496</c:v>
                </c:pt>
                <c:pt idx="13">
                  <c:v>7.9292995862151496</c:v>
                </c:pt>
                <c:pt idx="14">
                  <c:v>7.9292995862151496</c:v>
                </c:pt>
                <c:pt idx="15">
                  <c:v>7.9292995862151496</c:v>
                </c:pt>
                <c:pt idx="16">
                  <c:v>7.9292995862151496</c:v>
                </c:pt>
                <c:pt idx="17">
                  <c:v>7.9292995862151496</c:v>
                </c:pt>
                <c:pt idx="18">
                  <c:v>7.9292995862151496</c:v>
                </c:pt>
                <c:pt idx="19">
                  <c:v>7.9292995862151496</c:v>
                </c:pt>
                <c:pt idx="20">
                  <c:v>7.9292995862151496</c:v>
                </c:pt>
                <c:pt idx="21">
                  <c:v>7.9292995862151496</c:v>
                </c:pt>
                <c:pt idx="22">
                  <c:v>7.9292995862151496</c:v>
                </c:pt>
                <c:pt idx="23">
                  <c:v>7.9292995862151496</c:v>
                </c:pt>
              </c:numCache>
            </c:numRef>
          </c:val>
          <c:smooth val="0"/>
          <c:extLst>
            <c:ext xmlns:c16="http://schemas.microsoft.com/office/drawing/2014/chart" uri="{C3380CC4-5D6E-409C-BE32-E72D297353CC}">
              <c16:uniqueId val="{00000005-BC5E-47F8-A4BE-F3F99D5880DE}"/>
            </c:ext>
          </c:extLst>
        </c:ser>
        <c:ser>
          <c:idx val="18"/>
          <c:order val="18"/>
          <c:tx>
            <c:strRef>
              <c:f>'HE Prices'!$V$5:$V$6</c:f>
              <c:strCache>
                <c:ptCount val="1"/>
                <c:pt idx="0">
                  <c:v>SE1_OTHER</c:v>
                </c:pt>
              </c:strCache>
            </c:strRef>
          </c:tx>
          <c:spPr>
            <a:ln w="28575" cap="rnd">
              <a:solidFill>
                <a:schemeClr val="accent1">
                  <a:lumMod val="8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Prices'!$V$7:$V$31</c:f>
              <c:numCache>
                <c:formatCode>General</c:formatCode>
                <c:ptCount val="24"/>
                <c:pt idx="0">
                  <c:v>48.472948102311371</c:v>
                </c:pt>
                <c:pt idx="1">
                  <c:v>48.472948102311371</c:v>
                </c:pt>
                <c:pt idx="2">
                  <c:v>48.472948102311371</c:v>
                </c:pt>
                <c:pt idx="3">
                  <c:v>48.472948102311371</c:v>
                </c:pt>
                <c:pt idx="4">
                  <c:v>172.28507831720927</c:v>
                </c:pt>
                <c:pt idx="5">
                  <c:v>198.67821868513528</c:v>
                </c:pt>
                <c:pt idx="6">
                  <c:v>214.82115514186569</c:v>
                </c:pt>
                <c:pt idx="7">
                  <c:v>280.30149566207717</c:v>
                </c:pt>
                <c:pt idx="8">
                  <c:v>271.46778121805858</c:v>
                </c:pt>
                <c:pt idx="9">
                  <c:v>214.82115514186569</c:v>
                </c:pt>
                <c:pt idx="10">
                  <c:v>214.82115514186569</c:v>
                </c:pt>
                <c:pt idx="11">
                  <c:v>214.82115514186569</c:v>
                </c:pt>
                <c:pt idx="12">
                  <c:v>214.82115514186569</c:v>
                </c:pt>
                <c:pt idx="13">
                  <c:v>214.82115514186569</c:v>
                </c:pt>
                <c:pt idx="14">
                  <c:v>214.82115514186569</c:v>
                </c:pt>
                <c:pt idx="15">
                  <c:v>214.82115514186569</c:v>
                </c:pt>
                <c:pt idx="16">
                  <c:v>214.82115514186569</c:v>
                </c:pt>
                <c:pt idx="17">
                  <c:v>214.82115514186569</c:v>
                </c:pt>
                <c:pt idx="18">
                  <c:v>214.82115514186569</c:v>
                </c:pt>
                <c:pt idx="19">
                  <c:v>214.82115514186569</c:v>
                </c:pt>
                <c:pt idx="20">
                  <c:v>198.67821868513528</c:v>
                </c:pt>
                <c:pt idx="21">
                  <c:v>172.28507831720927</c:v>
                </c:pt>
                <c:pt idx="22">
                  <c:v>172.28507831720927</c:v>
                </c:pt>
                <c:pt idx="23">
                  <c:v>172.28507831720927</c:v>
                </c:pt>
              </c:numCache>
            </c:numRef>
          </c:val>
          <c:smooth val="0"/>
          <c:extLst>
            <c:ext xmlns:c16="http://schemas.microsoft.com/office/drawing/2014/chart" uri="{C3380CC4-5D6E-409C-BE32-E72D297353CC}">
              <c16:uniqueId val="{00000006-BC5E-47F8-A4BE-F3F99D5880DE}"/>
            </c:ext>
          </c:extLst>
        </c:ser>
        <c:ser>
          <c:idx val="19"/>
          <c:order val="19"/>
          <c:tx>
            <c:strRef>
              <c:f>'HE Prices'!$W$5:$W$6</c:f>
              <c:strCache>
                <c:ptCount val="1"/>
                <c:pt idx="0">
                  <c:v>SE2_EL</c:v>
                </c:pt>
              </c:strCache>
            </c:strRef>
          </c:tx>
          <c:spPr>
            <a:ln w="28575" cap="rnd">
              <a:solidFill>
                <a:schemeClr val="accent2">
                  <a:lumMod val="8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Prices'!$W$7:$W$31</c:f>
              <c:numCache>
                <c:formatCode>General</c:formatCode>
                <c:ptCount val="24"/>
                <c:pt idx="0">
                  <c:v>49.796632811438627</c:v>
                </c:pt>
                <c:pt idx="1">
                  <c:v>49.796632811438627</c:v>
                </c:pt>
                <c:pt idx="2">
                  <c:v>49.796632811438627</c:v>
                </c:pt>
                <c:pt idx="3">
                  <c:v>49.796632811438627</c:v>
                </c:pt>
                <c:pt idx="4">
                  <c:v>49.796632811438627</c:v>
                </c:pt>
                <c:pt idx="5">
                  <c:v>78.400505847818295</c:v>
                </c:pt>
                <c:pt idx="6">
                  <c:v>96.923352069860101</c:v>
                </c:pt>
                <c:pt idx="7">
                  <c:v>96.923352069860101</c:v>
                </c:pt>
                <c:pt idx="8">
                  <c:v>96.923352069860101</c:v>
                </c:pt>
                <c:pt idx="9">
                  <c:v>96.923352069860101</c:v>
                </c:pt>
                <c:pt idx="10">
                  <c:v>84.690902300999994</c:v>
                </c:pt>
                <c:pt idx="11">
                  <c:v>84.690902300999994</c:v>
                </c:pt>
                <c:pt idx="12">
                  <c:v>78.400782625143393</c:v>
                </c:pt>
                <c:pt idx="13">
                  <c:v>78.400782625143393</c:v>
                </c:pt>
                <c:pt idx="14">
                  <c:v>78.400782625143393</c:v>
                </c:pt>
                <c:pt idx="15">
                  <c:v>62.942419661581994</c:v>
                </c:pt>
                <c:pt idx="16">
                  <c:v>49.795709213633266</c:v>
                </c:pt>
                <c:pt idx="17">
                  <c:v>49.795709213633266</c:v>
                </c:pt>
                <c:pt idx="18">
                  <c:v>49.795709213633266</c:v>
                </c:pt>
                <c:pt idx="19">
                  <c:v>49.796632811438627</c:v>
                </c:pt>
                <c:pt idx="20">
                  <c:v>49.796632811438627</c:v>
                </c:pt>
                <c:pt idx="21">
                  <c:v>49.796632811438627</c:v>
                </c:pt>
                <c:pt idx="22">
                  <c:v>49.796632811438627</c:v>
                </c:pt>
                <c:pt idx="23">
                  <c:v>49.796632811438627</c:v>
                </c:pt>
              </c:numCache>
            </c:numRef>
          </c:val>
          <c:smooth val="0"/>
          <c:extLst>
            <c:ext xmlns:c16="http://schemas.microsoft.com/office/drawing/2014/chart" uri="{C3380CC4-5D6E-409C-BE32-E72D297353CC}">
              <c16:uniqueId val="{00000007-BC5E-47F8-A4BE-F3F99D5880DE}"/>
            </c:ext>
          </c:extLst>
        </c:ser>
        <c:ser>
          <c:idx val="20"/>
          <c:order val="20"/>
          <c:tx>
            <c:strRef>
              <c:f>'HE Prices'!$X$5:$X$6</c:f>
              <c:strCache>
                <c:ptCount val="1"/>
                <c:pt idx="0">
                  <c:v>SE2_OTHER</c:v>
                </c:pt>
              </c:strCache>
            </c:strRef>
          </c:tx>
          <c:spPr>
            <a:ln w="28575" cap="rnd">
              <a:solidFill>
                <a:schemeClr val="accent3">
                  <a:lumMod val="8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Prices'!$X$7:$X$31</c:f>
              <c:numCache>
                <c:formatCode>General</c:formatCode>
                <c:ptCount val="24"/>
                <c:pt idx="0">
                  <c:v>48.473871700116732</c:v>
                </c:pt>
                <c:pt idx="1">
                  <c:v>48.473871700116732</c:v>
                </c:pt>
                <c:pt idx="2">
                  <c:v>57.603977490629205</c:v>
                </c:pt>
                <c:pt idx="3">
                  <c:v>64.615884559041803</c:v>
                </c:pt>
                <c:pt idx="4">
                  <c:v>64.615884559041803</c:v>
                </c:pt>
                <c:pt idx="5">
                  <c:v>64.615884559041803</c:v>
                </c:pt>
                <c:pt idx="6">
                  <c:v>64.615884559041803</c:v>
                </c:pt>
                <c:pt idx="7">
                  <c:v>64.615884559041803</c:v>
                </c:pt>
                <c:pt idx="8">
                  <c:v>64.615884559041803</c:v>
                </c:pt>
                <c:pt idx="9">
                  <c:v>64.615884559041803</c:v>
                </c:pt>
                <c:pt idx="10">
                  <c:v>64.615884559041803</c:v>
                </c:pt>
                <c:pt idx="11">
                  <c:v>64.615884559041803</c:v>
                </c:pt>
                <c:pt idx="12">
                  <c:v>64.615884559041803</c:v>
                </c:pt>
                <c:pt idx="13">
                  <c:v>64.615884559041803</c:v>
                </c:pt>
                <c:pt idx="14">
                  <c:v>64.615884559041803</c:v>
                </c:pt>
                <c:pt idx="15">
                  <c:v>64.615884559041803</c:v>
                </c:pt>
                <c:pt idx="16">
                  <c:v>64.615884559041803</c:v>
                </c:pt>
                <c:pt idx="17">
                  <c:v>64.615884559041803</c:v>
                </c:pt>
                <c:pt idx="18">
                  <c:v>64.615884559041803</c:v>
                </c:pt>
                <c:pt idx="19">
                  <c:v>64.615884559041803</c:v>
                </c:pt>
                <c:pt idx="20">
                  <c:v>64.615884559041803</c:v>
                </c:pt>
                <c:pt idx="21">
                  <c:v>64.615884559041803</c:v>
                </c:pt>
                <c:pt idx="22">
                  <c:v>64.615884559041803</c:v>
                </c:pt>
                <c:pt idx="23">
                  <c:v>64.615884559041803</c:v>
                </c:pt>
              </c:numCache>
            </c:numRef>
          </c:val>
          <c:smooth val="0"/>
          <c:extLst>
            <c:ext xmlns:c16="http://schemas.microsoft.com/office/drawing/2014/chart" uri="{C3380CC4-5D6E-409C-BE32-E72D297353CC}">
              <c16:uniqueId val="{00000008-BC5E-47F8-A4BE-F3F99D5880DE}"/>
            </c:ext>
          </c:extLst>
        </c:ser>
        <c:ser>
          <c:idx val="21"/>
          <c:order val="21"/>
          <c:tx>
            <c:strRef>
              <c:f>'HE Prices'!$Y$5:$Y$6</c:f>
              <c:strCache>
                <c:ptCount val="1"/>
                <c:pt idx="0">
                  <c:v>SE3_EL</c:v>
                </c:pt>
              </c:strCache>
            </c:strRef>
          </c:tx>
          <c:spPr>
            <a:ln w="28575" cap="rnd">
              <a:solidFill>
                <a:schemeClr val="accent4">
                  <a:lumMod val="8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Prices'!$Y$7:$Y$31</c:f>
              <c:numCache>
                <c:formatCode>General</c:formatCode>
                <c:ptCount val="24"/>
                <c:pt idx="0">
                  <c:v>120.75987532489063</c:v>
                </c:pt>
                <c:pt idx="1">
                  <c:v>146.95004540326264</c:v>
                </c:pt>
                <c:pt idx="2">
                  <c:v>146.95004540326264</c:v>
                </c:pt>
                <c:pt idx="3">
                  <c:v>146.95004540326264</c:v>
                </c:pt>
                <c:pt idx="4">
                  <c:v>146.95004540326264</c:v>
                </c:pt>
                <c:pt idx="5">
                  <c:v>162.40898269458464</c:v>
                </c:pt>
                <c:pt idx="6">
                  <c:v>235.8945922520532</c:v>
                </c:pt>
                <c:pt idx="7">
                  <c:v>383.88830127920238</c:v>
                </c:pt>
                <c:pt idx="8">
                  <c:v>383.88830127920238</c:v>
                </c:pt>
                <c:pt idx="9">
                  <c:v>239.51546508818041</c:v>
                </c:pt>
                <c:pt idx="10">
                  <c:v>235.8945922520532</c:v>
                </c:pt>
                <c:pt idx="11">
                  <c:v>203.00118577543421</c:v>
                </c:pt>
                <c:pt idx="12">
                  <c:v>203.00118577543421</c:v>
                </c:pt>
                <c:pt idx="13">
                  <c:v>203.00118577543421</c:v>
                </c:pt>
                <c:pt idx="14">
                  <c:v>178.55099555350972</c:v>
                </c:pt>
                <c:pt idx="15">
                  <c:v>162.40898269458464</c:v>
                </c:pt>
                <c:pt idx="16">
                  <c:v>162.40898269458464</c:v>
                </c:pt>
                <c:pt idx="17">
                  <c:v>162.40898269458464</c:v>
                </c:pt>
                <c:pt idx="18">
                  <c:v>162.40898269458464</c:v>
                </c:pt>
                <c:pt idx="19">
                  <c:v>178.55099555350972</c:v>
                </c:pt>
                <c:pt idx="20">
                  <c:v>169.65757972802911</c:v>
                </c:pt>
                <c:pt idx="21">
                  <c:v>162.40898269458464</c:v>
                </c:pt>
                <c:pt idx="22">
                  <c:v>162.05627003577564</c:v>
                </c:pt>
                <c:pt idx="23">
                  <c:v>146.95004540326264</c:v>
                </c:pt>
              </c:numCache>
            </c:numRef>
          </c:val>
          <c:smooth val="0"/>
          <c:extLst>
            <c:ext xmlns:c16="http://schemas.microsoft.com/office/drawing/2014/chart" uri="{C3380CC4-5D6E-409C-BE32-E72D297353CC}">
              <c16:uniqueId val="{00000009-BC5E-47F8-A4BE-F3F99D5880DE}"/>
            </c:ext>
          </c:extLst>
        </c:ser>
        <c:ser>
          <c:idx val="22"/>
          <c:order val="22"/>
          <c:tx>
            <c:strRef>
              <c:f>'HE Prices'!$Z$5:$Z$6</c:f>
              <c:strCache>
                <c:ptCount val="1"/>
                <c:pt idx="0">
                  <c:v>SE3_GOT</c:v>
                </c:pt>
              </c:strCache>
            </c:strRef>
          </c:tx>
          <c:spPr>
            <a:ln w="28575" cap="rnd">
              <a:solidFill>
                <a:schemeClr val="accent5">
                  <a:lumMod val="8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Prices'!$Z$7:$Z$31</c:f>
              <c:numCache>
                <c:formatCode>General</c:formatCode>
                <c:ptCount val="24"/>
                <c:pt idx="0">
                  <c:v>108.23935109306443</c:v>
                </c:pt>
                <c:pt idx="1">
                  <c:v>108.23935109306443</c:v>
                </c:pt>
                <c:pt idx="2">
                  <c:v>108.23935109306443</c:v>
                </c:pt>
                <c:pt idx="3">
                  <c:v>108.23935109306443</c:v>
                </c:pt>
                <c:pt idx="4">
                  <c:v>108.23935109306443</c:v>
                </c:pt>
                <c:pt idx="5">
                  <c:v>108.23935109306443</c:v>
                </c:pt>
                <c:pt idx="6">
                  <c:v>488.15436209091837</c:v>
                </c:pt>
                <c:pt idx="7">
                  <c:v>488.15436209091837</c:v>
                </c:pt>
                <c:pt idx="8">
                  <c:v>488.15436209091837</c:v>
                </c:pt>
                <c:pt idx="9">
                  <c:v>488.15436209091837</c:v>
                </c:pt>
                <c:pt idx="10">
                  <c:v>488.15436209091837</c:v>
                </c:pt>
                <c:pt idx="11">
                  <c:v>149.07567389830419</c:v>
                </c:pt>
                <c:pt idx="12">
                  <c:v>149.07567389830419</c:v>
                </c:pt>
                <c:pt idx="13">
                  <c:v>108.23935109306443</c:v>
                </c:pt>
                <c:pt idx="14">
                  <c:v>108.23935109306443</c:v>
                </c:pt>
                <c:pt idx="15">
                  <c:v>108.23935109306443</c:v>
                </c:pt>
                <c:pt idx="16">
                  <c:v>108.23935109306443</c:v>
                </c:pt>
                <c:pt idx="17">
                  <c:v>108.23935109306443</c:v>
                </c:pt>
                <c:pt idx="18">
                  <c:v>108.23935109306443</c:v>
                </c:pt>
                <c:pt idx="19">
                  <c:v>149.07567389830419</c:v>
                </c:pt>
                <c:pt idx="20">
                  <c:v>129.6676096637232</c:v>
                </c:pt>
                <c:pt idx="21">
                  <c:v>108.23935109306443</c:v>
                </c:pt>
                <c:pt idx="22">
                  <c:v>108.23935109306443</c:v>
                </c:pt>
                <c:pt idx="23">
                  <c:v>108.23935109306443</c:v>
                </c:pt>
              </c:numCache>
            </c:numRef>
          </c:val>
          <c:smooth val="0"/>
          <c:extLst>
            <c:ext xmlns:c16="http://schemas.microsoft.com/office/drawing/2014/chart" uri="{C3380CC4-5D6E-409C-BE32-E72D297353CC}">
              <c16:uniqueId val="{0000000A-BC5E-47F8-A4BE-F3F99D5880DE}"/>
            </c:ext>
          </c:extLst>
        </c:ser>
        <c:ser>
          <c:idx val="23"/>
          <c:order val="23"/>
          <c:tx>
            <c:strRef>
              <c:f>'HE Prices'!$AA$5:$AA$6</c:f>
              <c:strCache>
                <c:ptCount val="1"/>
                <c:pt idx="0">
                  <c:v>SE3_HP</c:v>
                </c:pt>
              </c:strCache>
            </c:strRef>
          </c:tx>
          <c:spPr>
            <a:ln w="28575" cap="rnd">
              <a:solidFill>
                <a:schemeClr val="accent6">
                  <a:lumMod val="8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Prices'!$AA$7:$AA$31</c:f>
              <c:numCache>
                <c:formatCode>General</c:formatCode>
                <c:ptCount val="24"/>
                <c:pt idx="0">
                  <c:v>74.515399608876834</c:v>
                </c:pt>
                <c:pt idx="1">
                  <c:v>74.515399608876834</c:v>
                </c:pt>
                <c:pt idx="2">
                  <c:v>74.515399608876834</c:v>
                </c:pt>
                <c:pt idx="3">
                  <c:v>74.515399608876834</c:v>
                </c:pt>
                <c:pt idx="4">
                  <c:v>74.515399608876834</c:v>
                </c:pt>
                <c:pt idx="5">
                  <c:v>74.515399608876834</c:v>
                </c:pt>
                <c:pt idx="6">
                  <c:v>125.95151048602062</c:v>
                </c:pt>
                <c:pt idx="7">
                  <c:v>157.3512981155653</c:v>
                </c:pt>
                <c:pt idx="8">
                  <c:v>157.3512981155653</c:v>
                </c:pt>
                <c:pt idx="9">
                  <c:v>157.3512981155653</c:v>
                </c:pt>
                <c:pt idx="10">
                  <c:v>157.3512981155653</c:v>
                </c:pt>
                <c:pt idx="11">
                  <c:v>157.3512981155653</c:v>
                </c:pt>
                <c:pt idx="12">
                  <c:v>157.3512981155653</c:v>
                </c:pt>
                <c:pt idx="13">
                  <c:v>157.3512981155653</c:v>
                </c:pt>
                <c:pt idx="14">
                  <c:v>157.3512981155653</c:v>
                </c:pt>
                <c:pt idx="15">
                  <c:v>157.3512981155653</c:v>
                </c:pt>
                <c:pt idx="16">
                  <c:v>143.04622425592021</c:v>
                </c:pt>
                <c:pt idx="17">
                  <c:v>142.09352334494571</c:v>
                </c:pt>
                <c:pt idx="18">
                  <c:v>142.09352334494571</c:v>
                </c:pt>
                <c:pt idx="19">
                  <c:v>142.09352334494571</c:v>
                </c:pt>
                <c:pt idx="20">
                  <c:v>125.95151048602062</c:v>
                </c:pt>
                <c:pt idx="21">
                  <c:v>125.95151048602062</c:v>
                </c:pt>
                <c:pt idx="22">
                  <c:v>125.95151048602062</c:v>
                </c:pt>
                <c:pt idx="23">
                  <c:v>74.515399608876834</c:v>
                </c:pt>
              </c:numCache>
            </c:numRef>
          </c:val>
          <c:smooth val="0"/>
          <c:extLst>
            <c:ext xmlns:c16="http://schemas.microsoft.com/office/drawing/2014/chart" uri="{C3380CC4-5D6E-409C-BE32-E72D297353CC}">
              <c16:uniqueId val="{0000000B-BC5E-47F8-A4BE-F3F99D5880DE}"/>
            </c:ext>
          </c:extLst>
        </c:ser>
        <c:ser>
          <c:idx val="24"/>
          <c:order val="24"/>
          <c:tx>
            <c:strRef>
              <c:f>'HE Prices'!$AB$5:$AB$6</c:f>
              <c:strCache>
                <c:ptCount val="1"/>
                <c:pt idx="0">
                  <c:v>SE3_OTHER</c:v>
                </c:pt>
              </c:strCache>
            </c:strRef>
          </c:tx>
          <c:spPr>
            <a:ln w="28575" cap="rnd">
              <a:solidFill>
                <a:schemeClr val="accent1">
                  <a:lumMod val="60000"/>
                  <a:lumOff val="4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Prices'!$AB$7:$AB$31</c:f>
              <c:numCache>
                <c:formatCode>General</c:formatCode>
                <c:ptCount val="24"/>
                <c:pt idx="0">
                  <c:v>48.473871700116732</c:v>
                </c:pt>
                <c:pt idx="1">
                  <c:v>48.473871700116732</c:v>
                </c:pt>
                <c:pt idx="2">
                  <c:v>48.473871700116732</c:v>
                </c:pt>
                <c:pt idx="3">
                  <c:v>48.473871700116732</c:v>
                </c:pt>
                <c:pt idx="4">
                  <c:v>165.78573580632164</c:v>
                </c:pt>
                <c:pt idx="5">
                  <c:v>197.28145301920568</c:v>
                </c:pt>
                <c:pt idx="6">
                  <c:v>380.03167135143769</c:v>
                </c:pt>
                <c:pt idx="7">
                  <c:v>404.72598129775236</c:v>
                </c:pt>
                <c:pt idx="8">
                  <c:v>404.72598129775236</c:v>
                </c:pt>
                <c:pt idx="9">
                  <c:v>404.34767386965859</c:v>
                </c:pt>
                <c:pt idx="10">
                  <c:v>380.03167135143769</c:v>
                </c:pt>
                <c:pt idx="11">
                  <c:v>380.03167135143769</c:v>
                </c:pt>
                <c:pt idx="12">
                  <c:v>380.03167135143769</c:v>
                </c:pt>
                <c:pt idx="13">
                  <c:v>197.28145301920568</c:v>
                </c:pt>
                <c:pt idx="14">
                  <c:v>197.28145301920568</c:v>
                </c:pt>
                <c:pt idx="15">
                  <c:v>197.28145301920568</c:v>
                </c:pt>
                <c:pt idx="16">
                  <c:v>197.28145301920568</c:v>
                </c:pt>
                <c:pt idx="17">
                  <c:v>188.2542913580977</c:v>
                </c:pt>
                <c:pt idx="18">
                  <c:v>188.2542913580977</c:v>
                </c:pt>
                <c:pt idx="19">
                  <c:v>197.28145301920568</c:v>
                </c:pt>
                <c:pt idx="20">
                  <c:v>197.28145301920568</c:v>
                </c:pt>
                <c:pt idx="21">
                  <c:v>188.2542913580977</c:v>
                </c:pt>
                <c:pt idx="22">
                  <c:v>165.78573580632164</c:v>
                </c:pt>
                <c:pt idx="23">
                  <c:v>48.473871700116732</c:v>
                </c:pt>
              </c:numCache>
            </c:numRef>
          </c:val>
          <c:smooth val="0"/>
          <c:extLst>
            <c:ext xmlns:c16="http://schemas.microsoft.com/office/drawing/2014/chart" uri="{C3380CC4-5D6E-409C-BE32-E72D297353CC}">
              <c16:uniqueId val="{0000000C-BC5E-47F8-A4BE-F3F99D5880DE}"/>
            </c:ext>
          </c:extLst>
        </c:ser>
        <c:ser>
          <c:idx val="25"/>
          <c:order val="25"/>
          <c:tx>
            <c:strRef>
              <c:f>'HE Prices'!$AC$5:$AC$6</c:f>
              <c:strCache>
                <c:ptCount val="1"/>
                <c:pt idx="0">
                  <c:v>SE3_STO</c:v>
                </c:pt>
              </c:strCache>
            </c:strRef>
          </c:tx>
          <c:spPr>
            <a:ln w="28575" cap="rnd">
              <a:solidFill>
                <a:schemeClr val="accent2">
                  <a:lumMod val="60000"/>
                  <a:lumOff val="4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Prices'!$AC$7:$AC$31</c:f>
              <c:numCache>
                <c:formatCode>General</c:formatCode>
                <c:ptCount val="24"/>
                <c:pt idx="0">
                  <c:v>99.188092600551798</c:v>
                </c:pt>
                <c:pt idx="1">
                  <c:v>99.188092600551798</c:v>
                </c:pt>
                <c:pt idx="2">
                  <c:v>99.188092600551798</c:v>
                </c:pt>
                <c:pt idx="3">
                  <c:v>99.188092600551798</c:v>
                </c:pt>
                <c:pt idx="4">
                  <c:v>99.188092600551798</c:v>
                </c:pt>
                <c:pt idx="5">
                  <c:v>103.06068386913702</c:v>
                </c:pt>
                <c:pt idx="6">
                  <c:v>153.07820552070862</c:v>
                </c:pt>
                <c:pt idx="7">
                  <c:v>391.13004695145679</c:v>
                </c:pt>
                <c:pt idx="8">
                  <c:v>343.05197847396266</c:v>
                </c:pt>
                <c:pt idx="9">
                  <c:v>343.05197847396266</c:v>
                </c:pt>
                <c:pt idx="10">
                  <c:v>391.13004695145679</c:v>
                </c:pt>
                <c:pt idx="11">
                  <c:v>391.13004695145679</c:v>
                </c:pt>
                <c:pt idx="12">
                  <c:v>391.13004695145679</c:v>
                </c:pt>
                <c:pt idx="13">
                  <c:v>391.13004695145679</c:v>
                </c:pt>
                <c:pt idx="14">
                  <c:v>391.13004695145679</c:v>
                </c:pt>
                <c:pt idx="15">
                  <c:v>343.05197847396266</c:v>
                </c:pt>
                <c:pt idx="16">
                  <c:v>354.62434014408052</c:v>
                </c:pt>
                <c:pt idx="17">
                  <c:v>391.13004695145679</c:v>
                </c:pt>
                <c:pt idx="18">
                  <c:v>343.05197847396266</c:v>
                </c:pt>
                <c:pt idx="19">
                  <c:v>343.05197847396266</c:v>
                </c:pt>
                <c:pt idx="20">
                  <c:v>343.05197847396266</c:v>
                </c:pt>
                <c:pt idx="21">
                  <c:v>153.07820552070862</c:v>
                </c:pt>
                <c:pt idx="22">
                  <c:v>153.07820552070862</c:v>
                </c:pt>
                <c:pt idx="23">
                  <c:v>147.89953829678123</c:v>
                </c:pt>
              </c:numCache>
            </c:numRef>
          </c:val>
          <c:smooth val="0"/>
          <c:extLst>
            <c:ext xmlns:c16="http://schemas.microsoft.com/office/drawing/2014/chart" uri="{C3380CC4-5D6E-409C-BE32-E72D297353CC}">
              <c16:uniqueId val="{0000000D-BC5E-47F8-A4BE-F3F99D5880DE}"/>
            </c:ext>
          </c:extLst>
        </c:ser>
        <c:ser>
          <c:idx val="26"/>
          <c:order val="26"/>
          <c:tx>
            <c:strRef>
              <c:f>'HE Prices'!$AD$5:$AD$6</c:f>
              <c:strCache>
                <c:ptCount val="1"/>
                <c:pt idx="0">
                  <c:v>SE4_EL</c:v>
                </c:pt>
              </c:strCache>
            </c:strRef>
          </c:tx>
          <c:spPr>
            <a:ln w="28575" cap="rnd">
              <a:solidFill>
                <a:schemeClr val="accent3">
                  <a:lumMod val="60000"/>
                  <a:lumOff val="4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Prices'!$AD$7:$AD$31</c:f>
              <c:numCache>
                <c:formatCode>General</c:formatCode>
                <c:ptCount val="24"/>
                <c:pt idx="0">
                  <c:v>143.95156616919701</c:v>
                </c:pt>
                <c:pt idx="1">
                  <c:v>143.95156616919701</c:v>
                </c:pt>
                <c:pt idx="2">
                  <c:v>110.21689554240101</c:v>
                </c:pt>
                <c:pt idx="3">
                  <c:v>143.95156616919701</c:v>
                </c:pt>
                <c:pt idx="4">
                  <c:v>143.95156616919701</c:v>
                </c:pt>
                <c:pt idx="5">
                  <c:v>143.95156616919701</c:v>
                </c:pt>
                <c:pt idx="6">
                  <c:v>167.15967814182099</c:v>
                </c:pt>
                <c:pt idx="7">
                  <c:v>373.83855316923569</c:v>
                </c:pt>
                <c:pt idx="8">
                  <c:v>167.15967814182099</c:v>
                </c:pt>
                <c:pt idx="9">
                  <c:v>317.49709815465798</c:v>
                </c:pt>
                <c:pt idx="10">
                  <c:v>167.15967814182099</c:v>
                </c:pt>
                <c:pt idx="11">
                  <c:v>167.15967814182099</c:v>
                </c:pt>
                <c:pt idx="12">
                  <c:v>143.95156616919701</c:v>
                </c:pt>
                <c:pt idx="13">
                  <c:v>143.95156616919701</c:v>
                </c:pt>
                <c:pt idx="14">
                  <c:v>143.95156616919701</c:v>
                </c:pt>
                <c:pt idx="15">
                  <c:v>143.95156616919701</c:v>
                </c:pt>
                <c:pt idx="16">
                  <c:v>143.95156616919701</c:v>
                </c:pt>
                <c:pt idx="17">
                  <c:v>143.95156616919701</c:v>
                </c:pt>
                <c:pt idx="18">
                  <c:v>143.95156616919701</c:v>
                </c:pt>
                <c:pt idx="19">
                  <c:v>143.95156616919701</c:v>
                </c:pt>
                <c:pt idx="20">
                  <c:v>143.95156616919701</c:v>
                </c:pt>
                <c:pt idx="21">
                  <c:v>143.95156616919701</c:v>
                </c:pt>
                <c:pt idx="22">
                  <c:v>143.95156616919701</c:v>
                </c:pt>
                <c:pt idx="23">
                  <c:v>143.95156616919701</c:v>
                </c:pt>
              </c:numCache>
            </c:numRef>
          </c:val>
          <c:smooth val="0"/>
          <c:extLst>
            <c:ext xmlns:c16="http://schemas.microsoft.com/office/drawing/2014/chart" uri="{C3380CC4-5D6E-409C-BE32-E72D297353CC}">
              <c16:uniqueId val="{0000000E-BC5E-47F8-A4BE-F3F99D5880DE}"/>
            </c:ext>
          </c:extLst>
        </c:ser>
        <c:ser>
          <c:idx val="27"/>
          <c:order val="27"/>
          <c:tx>
            <c:strRef>
              <c:f>'HE Prices'!$AE$5:$AE$6</c:f>
              <c:strCache>
                <c:ptCount val="1"/>
                <c:pt idx="0">
                  <c:v>SE4_HP</c:v>
                </c:pt>
              </c:strCache>
            </c:strRef>
          </c:tx>
          <c:spPr>
            <a:ln w="28575" cap="rnd">
              <a:solidFill>
                <a:schemeClr val="accent4">
                  <a:lumMod val="60000"/>
                  <a:lumOff val="4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Prices'!$AE$7:$AE$31</c:f>
              <c:numCache>
                <c:formatCode>General</c:formatCode>
                <c:ptCount val="24"/>
                <c:pt idx="0">
                  <c:v>447.31803928567865</c:v>
                </c:pt>
                <c:pt idx="1">
                  <c:v>447.31803928567865</c:v>
                </c:pt>
                <c:pt idx="2">
                  <c:v>447.31803928567865</c:v>
                </c:pt>
                <c:pt idx="3">
                  <c:v>447.31803928567865</c:v>
                </c:pt>
                <c:pt idx="4">
                  <c:v>447.31803928567865</c:v>
                </c:pt>
                <c:pt idx="5">
                  <c:v>463.46005214460371</c:v>
                </c:pt>
                <c:pt idx="6">
                  <c:v>503.84481104746959</c:v>
                </c:pt>
                <c:pt idx="7">
                  <c:v>503.84481104746959</c:v>
                </c:pt>
                <c:pt idx="8">
                  <c:v>503.84481104746959</c:v>
                </c:pt>
                <c:pt idx="9">
                  <c:v>463.46005214460371</c:v>
                </c:pt>
                <c:pt idx="10">
                  <c:v>463.46005214460371</c:v>
                </c:pt>
                <c:pt idx="11">
                  <c:v>447.31803928567865</c:v>
                </c:pt>
                <c:pt idx="12">
                  <c:v>447.31803928567865</c:v>
                </c:pt>
                <c:pt idx="13">
                  <c:v>447.31803928567865</c:v>
                </c:pt>
                <c:pt idx="14">
                  <c:v>447.31803928567865</c:v>
                </c:pt>
                <c:pt idx="15">
                  <c:v>463.46005214460371</c:v>
                </c:pt>
                <c:pt idx="16">
                  <c:v>463.46005214460371</c:v>
                </c:pt>
                <c:pt idx="17">
                  <c:v>463.46005214460371</c:v>
                </c:pt>
                <c:pt idx="18">
                  <c:v>463.46005214460371</c:v>
                </c:pt>
                <c:pt idx="19">
                  <c:v>463.46005214460371</c:v>
                </c:pt>
                <c:pt idx="20">
                  <c:v>464.43643642363179</c:v>
                </c:pt>
                <c:pt idx="21">
                  <c:v>463.46005214460371</c:v>
                </c:pt>
                <c:pt idx="22">
                  <c:v>463.46005214460371</c:v>
                </c:pt>
                <c:pt idx="23">
                  <c:v>447.31803928567865</c:v>
                </c:pt>
              </c:numCache>
            </c:numRef>
          </c:val>
          <c:smooth val="0"/>
          <c:extLst>
            <c:ext xmlns:c16="http://schemas.microsoft.com/office/drawing/2014/chart" uri="{C3380CC4-5D6E-409C-BE32-E72D297353CC}">
              <c16:uniqueId val="{0000000F-BC5E-47F8-A4BE-F3F99D5880DE}"/>
            </c:ext>
          </c:extLst>
        </c:ser>
        <c:ser>
          <c:idx val="28"/>
          <c:order val="28"/>
          <c:tx>
            <c:strRef>
              <c:f>'HE Prices'!$AF$5:$AF$6</c:f>
              <c:strCache>
                <c:ptCount val="1"/>
                <c:pt idx="0">
                  <c:v>SE4_MAL</c:v>
                </c:pt>
              </c:strCache>
            </c:strRef>
          </c:tx>
          <c:spPr>
            <a:ln w="28575" cap="rnd">
              <a:solidFill>
                <a:schemeClr val="accent5">
                  <a:lumMod val="60000"/>
                  <a:lumOff val="4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Prices'!$AF$7:$AF$31</c:f>
              <c:numCache>
                <c:formatCode>General</c:formatCode>
                <c:ptCount val="24"/>
                <c:pt idx="0">
                  <c:v>363.88965849251258</c:v>
                </c:pt>
                <c:pt idx="1">
                  <c:v>363.88965849251258</c:v>
                </c:pt>
                <c:pt idx="2">
                  <c:v>363.88965849251258</c:v>
                </c:pt>
                <c:pt idx="3">
                  <c:v>363.88965849251258</c:v>
                </c:pt>
                <c:pt idx="4">
                  <c:v>363.88965849251258</c:v>
                </c:pt>
                <c:pt idx="5">
                  <c:v>487.94856770505362</c:v>
                </c:pt>
                <c:pt idx="6">
                  <c:v>528.78489051029339</c:v>
                </c:pt>
                <c:pt idx="7">
                  <c:v>528.78489051029339</c:v>
                </c:pt>
                <c:pt idx="8">
                  <c:v>528.78489051029339</c:v>
                </c:pt>
                <c:pt idx="9">
                  <c:v>528.78489051029339</c:v>
                </c:pt>
                <c:pt idx="10">
                  <c:v>487.94856770505362</c:v>
                </c:pt>
                <c:pt idx="11">
                  <c:v>487.94856770505362</c:v>
                </c:pt>
                <c:pt idx="12">
                  <c:v>487.94856770505362</c:v>
                </c:pt>
                <c:pt idx="13">
                  <c:v>487.94856770505362</c:v>
                </c:pt>
                <c:pt idx="14">
                  <c:v>487.94856770505362</c:v>
                </c:pt>
                <c:pt idx="15">
                  <c:v>487.94856770505362</c:v>
                </c:pt>
                <c:pt idx="16">
                  <c:v>487.94856770505362</c:v>
                </c:pt>
                <c:pt idx="17">
                  <c:v>509.3768262757124</c:v>
                </c:pt>
                <c:pt idx="18">
                  <c:v>528.78489051029339</c:v>
                </c:pt>
                <c:pt idx="19">
                  <c:v>528.78489051029339</c:v>
                </c:pt>
                <c:pt idx="20">
                  <c:v>528.78489051029339</c:v>
                </c:pt>
                <c:pt idx="21">
                  <c:v>528.78489051029339</c:v>
                </c:pt>
                <c:pt idx="22">
                  <c:v>487.94856770505362</c:v>
                </c:pt>
                <c:pt idx="23">
                  <c:v>487.94856770505362</c:v>
                </c:pt>
              </c:numCache>
            </c:numRef>
          </c:val>
          <c:smooth val="0"/>
          <c:extLst>
            <c:ext xmlns:c16="http://schemas.microsoft.com/office/drawing/2014/chart" uri="{C3380CC4-5D6E-409C-BE32-E72D297353CC}">
              <c16:uniqueId val="{00000010-BC5E-47F8-A4BE-F3F99D5880DE}"/>
            </c:ext>
          </c:extLst>
        </c:ser>
        <c:ser>
          <c:idx val="29"/>
          <c:order val="29"/>
          <c:tx>
            <c:strRef>
              <c:f>'HE Prices'!$AG$5:$AG$6</c:f>
              <c:strCache>
                <c:ptCount val="1"/>
                <c:pt idx="0">
                  <c:v>SE4_OTHER</c:v>
                </c:pt>
              </c:strCache>
            </c:strRef>
          </c:tx>
          <c:spPr>
            <a:ln w="28575" cap="rnd">
              <a:solidFill>
                <a:schemeClr val="accent6">
                  <a:lumMod val="60000"/>
                  <a:lumOff val="40000"/>
                </a:schemeClr>
              </a:solidFill>
              <a:round/>
            </a:ln>
            <a:effectLst/>
          </c:spPr>
          <c:marker>
            <c:symbol val="none"/>
          </c:marker>
          <c:cat>
            <c:multiLvlStrRef>
              <c:f>'HE Prices'!$B$7:$C$31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Prices'!$AG$7:$AG$31</c:f>
              <c:numCache>
                <c:formatCode>General</c:formatCode>
                <c:ptCount val="24"/>
                <c:pt idx="0">
                  <c:v>48.473871700116732</c:v>
                </c:pt>
                <c:pt idx="1">
                  <c:v>48.473871700116732</c:v>
                </c:pt>
                <c:pt idx="2">
                  <c:v>48.473871700116732</c:v>
                </c:pt>
                <c:pt idx="3">
                  <c:v>181.92774866524672</c:v>
                </c:pt>
                <c:pt idx="4">
                  <c:v>181.92774866524672</c:v>
                </c:pt>
                <c:pt idx="5">
                  <c:v>380.03167135143769</c:v>
                </c:pt>
                <c:pt idx="6">
                  <c:v>380.03167135143769</c:v>
                </c:pt>
                <c:pt idx="7">
                  <c:v>456.19538464486362</c:v>
                </c:pt>
                <c:pt idx="8">
                  <c:v>380.03167135143769</c:v>
                </c:pt>
                <c:pt idx="9">
                  <c:v>380.03167135143769</c:v>
                </c:pt>
                <c:pt idx="10">
                  <c:v>380.03167135143769</c:v>
                </c:pt>
                <c:pt idx="11">
                  <c:v>380.03167135143769</c:v>
                </c:pt>
                <c:pt idx="12">
                  <c:v>181.92774866524672</c:v>
                </c:pt>
                <c:pt idx="13">
                  <c:v>181.92774866524672</c:v>
                </c:pt>
                <c:pt idx="14">
                  <c:v>181.92774866524672</c:v>
                </c:pt>
                <c:pt idx="15">
                  <c:v>380.03167135143769</c:v>
                </c:pt>
                <c:pt idx="16">
                  <c:v>380.03167135143769</c:v>
                </c:pt>
                <c:pt idx="17">
                  <c:v>380.03167135143769</c:v>
                </c:pt>
                <c:pt idx="18">
                  <c:v>380.03167135143769</c:v>
                </c:pt>
                <c:pt idx="19">
                  <c:v>380.03167135143769</c:v>
                </c:pt>
                <c:pt idx="20">
                  <c:v>380.03167135143769</c:v>
                </c:pt>
                <c:pt idx="21">
                  <c:v>380.03167135143769</c:v>
                </c:pt>
                <c:pt idx="22">
                  <c:v>380.03167135143769</c:v>
                </c:pt>
                <c:pt idx="23">
                  <c:v>181.92774866524672</c:v>
                </c:pt>
              </c:numCache>
            </c:numRef>
          </c:val>
          <c:smooth val="0"/>
          <c:extLst>
            <c:ext xmlns:c16="http://schemas.microsoft.com/office/drawing/2014/chart" uri="{C3380CC4-5D6E-409C-BE32-E72D297353CC}">
              <c16:uniqueId val="{00000011-BC5E-47F8-A4BE-F3F99D5880DE}"/>
            </c:ext>
          </c:extLst>
        </c:ser>
        <c:dLbls>
          <c:showLegendKey val="0"/>
          <c:showVal val="0"/>
          <c:showCatName val="0"/>
          <c:showSerName val="0"/>
          <c:showPercent val="0"/>
          <c:showBubbleSize val="0"/>
        </c:dLbls>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s>
    <c:plotArea>
      <c:layout/>
      <c:barChart>
        <c:barDir val="col"/>
        <c:grouping val="stacked"/>
        <c:varyColors val="0"/>
        <c:ser>
          <c:idx val="0"/>
          <c:order val="0"/>
          <c:tx>
            <c:strRef>
              <c:f>'EL GEN - Annual'!$C$3:$C$4</c:f>
              <c:strCache>
                <c:ptCount val="1"/>
                <c:pt idx="0">
                  <c:v>SUN</c:v>
                </c:pt>
              </c:strCache>
            </c:strRef>
          </c:tx>
          <c:spPr>
            <a:solidFill>
              <a:schemeClr val="accent1"/>
            </a:solidFill>
            <a:ln>
              <a:noFill/>
            </a:ln>
            <a:effectLst/>
          </c:spPr>
          <c:invertIfNegative val="0"/>
          <c:cat>
            <c:strRef>
              <c:f>'EL GEN - Annual'!$B$5:$B$9</c:f>
              <c:strCache>
                <c:ptCount val="4"/>
                <c:pt idx="0">
                  <c:v>DENMARK</c:v>
                </c:pt>
                <c:pt idx="1">
                  <c:v>GERMANY</c:v>
                </c:pt>
                <c:pt idx="2">
                  <c:v>NORWAY</c:v>
                </c:pt>
                <c:pt idx="3">
                  <c:v>SWEDEN</c:v>
                </c:pt>
              </c:strCache>
            </c:strRef>
          </c:cat>
          <c:val>
            <c:numRef>
              <c:f>'EL GEN - Annual'!$C$5:$C$9</c:f>
              <c:numCache>
                <c:formatCode>0.000</c:formatCode>
                <c:ptCount val="4"/>
                <c:pt idx="0">
                  <c:v>1.7215209011234092</c:v>
                </c:pt>
                <c:pt idx="1">
                  <c:v>98.570847987340073</c:v>
                </c:pt>
                <c:pt idx="2">
                  <c:v>118.57678040734537</c:v>
                </c:pt>
                <c:pt idx="3">
                  <c:v>476.20402530746196</c:v>
                </c:pt>
              </c:numCache>
            </c:numRef>
          </c:val>
          <c:extLst>
            <c:ext xmlns:c16="http://schemas.microsoft.com/office/drawing/2014/chart" uri="{C3380CC4-5D6E-409C-BE32-E72D297353CC}">
              <c16:uniqueId val="{00000000-BF6E-492A-8A93-28F303A6814F}"/>
            </c:ext>
          </c:extLst>
        </c:ser>
        <c:ser>
          <c:idx val="1"/>
          <c:order val="1"/>
          <c:tx>
            <c:strRef>
              <c:f>'EL GEN - Annual'!$D$3:$D$4</c:f>
              <c:strCache>
                <c:ptCount val="1"/>
                <c:pt idx="0">
                  <c:v>ELECTRIC</c:v>
                </c:pt>
              </c:strCache>
            </c:strRef>
          </c:tx>
          <c:spPr>
            <a:solidFill>
              <a:schemeClr val="accent2"/>
            </a:solidFill>
            <a:ln>
              <a:noFill/>
            </a:ln>
            <a:effectLst/>
          </c:spPr>
          <c:invertIfNegative val="0"/>
          <c:cat>
            <c:strRef>
              <c:f>'EL GEN - Annual'!$B$5:$B$9</c:f>
              <c:strCache>
                <c:ptCount val="4"/>
                <c:pt idx="0">
                  <c:v>DENMARK</c:v>
                </c:pt>
                <c:pt idx="1">
                  <c:v>GERMANY</c:v>
                </c:pt>
                <c:pt idx="2">
                  <c:v>NORWAY</c:v>
                </c:pt>
                <c:pt idx="3">
                  <c:v>SWEDEN</c:v>
                </c:pt>
              </c:strCache>
            </c:strRef>
          </c:cat>
          <c:val>
            <c:numRef>
              <c:f>'EL GEN - Annual'!$D$5:$D$9</c:f>
              <c:numCache>
                <c:formatCode>0.000</c:formatCode>
                <c:ptCount val="4"/>
                <c:pt idx="0">
                  <c:v>-3.737570217290521</c:v>
                </c:pt>
                <c:pt idx="1">
                  <c:v>-818.96889621320008</c:v>
                </c:pt>
                <c:pt idx="2">
                  <c:v>-3.3503171279357447</c:v>
                </c:pt>
                <c:pt idx="3">
                  <c:v>-36.041247928962498</c:v>
                </c:pt>
              </c:numCache>
            </c:numRef>
          </c:val>
          <c:extLst>
            <c:ext xmlns:c16="http://schemas.microsoft.com/office/drawing/2014/chart" uri="{C3380CC4-5D6E-409C-BE32-E72D297353CC}">
              <c16:uniqueId val="{00000001-BF6E-492A-8A93-28F303A6814F}"/>
            </c:ext>
          </c:extLst>
        </c:ser>
        <c:ser>
          <c:idx val="2"/>
          <c:order val="2"/>
          <c:tx>
            <c:strRef>
              <c:f>'EL GEN - Annual'!$E$3:$E$4</c:f>
              <c:strCache>
                <c:ptCount val="1"/>
                <c:pt idx="0">
                  <c:v>WIND</c:v>
                </c:pt>
              </c:strCache>
            </c:strRef>
          </c:tx>
          <c:spPr>
            <a:solidFill>
              <a:schemeClr val="accent3"/>
            </a:solidFill>
            <a:ln>
              <a:noFill/>
            </a:ln>
            <a:effectLst/>
          </c:spPr>
          <c:invertIfNegative val="0"/>
          <c:cat>
            <c:strRef>
              <c:f>'EL GEN - Annual'!$B$5:$B$9</c:f>
              <c:strCache>
                <c:ptCount val="4"/>
                <c:pt idx="0">
                  <c:v>DENMARK</c:v>
                </c:pt>
                <c:pt idx="1">
                  <c:v>GERMANY</c:v>
                </c:pt>
                <c:pt idx="2">
                  <c:v>NORWAY</c:v>
                </c:pt>
                <c:pt idx="3">
                  <c:v>SWEDEN</c:v>
                </c:pt>
              </c:strCache>
            </c:strRef>
          </c:cat>
          <c:val>
            <c:numRef>
              <c:f>'EL GEN - Annual'!$E$5:$E$9</c:f>
              <c:numCache>
                <c:formatCode>0.000</c:formatCode>
                <c:ptCount val="4"/>
                <c:pt idx="0">
                  <c:v>33.349508513000302</c:v>
                </c:pt>
                <c:pt idx="1">
                  <c:v>244.10377007</c:v>
                </c:pt>
                <c:pt idx="2">
                  <c:v>11.384365000000001</c:v>
                </c:pt>
                <c:pt idx="3">
                  <c:v>38.251841509999998</c:v>
                </c:pt>
              </c:numCache>
            </c:numRef>
          </c:val>
          <c:extLst>
            <c:ext xmlns:c16="http://schemas.microsoft.com/office/drawing/2014/chart" uri="{C3380CC4-5D6E-409C-BE32-E72D297353CC}">
              <c16:uniqueId val="{00000002-BF6E-492A-8A93-28F303A6814F}"/>
            </c:ext>
          </c:extLst>
        </c:ser>
        <c:ser>
          <c:idx val="3"/>
          <c:order val="3"/>
          <c:tx>
            <c:strRef>
              <c:f>'EL GEN - Annual'!$F$3:$F$4</c:f>
              <c:strCache>
                <c:ptCount val="1"/>
                <c:pt idx="0">
                  <c:v>COAL</c:v>
                </c:pt>
              </c:strCache>
            </c:strRef>
          </c:tx>
          <c:spPr>
            <a:solidFill>
              <a:schemeClr val="accent4"/>
            </a:solidFill>
            <a:ln>
              <a:noFill/>
            </a:ln>
            <a:effectLst/>
          </c:spPr>
          <c:invertIfNegative val="0"/>
          <c:cat>
            <c:strRef>
              <c:f>'EL GEN - Annual'!$B$5:$B$9</c:f>
              <c:strCache>
                <c:ptCount val="4"/>
                <c:pt idx="0">
                  <c:v>DENMARK</c:v>
                </c:pt>
                <c:pt idx="1">
                  <c:v>GERMANY</c:v>
                </c:pt>
                <c:pt idx="2">
                  <c:v>NORWAY</c:v>
                </c:pt>
                <c:pt idx="3">
                  <c:v>SWEDEN</c:v>
                </c:pt>
              </c:strCache>
            </c:strRef>
          </c:cat>
          <c:val>
            <c:numRef>
              <c:f>'EL GEN - Annual'!$F$5:$F$9</c:f>
              <c:numCache>
                <c:formatCode>General</c:formatCode>
                <c:ptCount val="4"/>
                <c:pt idx="0">
                  <c:v>10.619174450000001</c:v>
                </c:pt>
                <c:pt idx="1">
                  <c:v>36.585827495345271</c:v>
                </c:pt>
                <c:pt idx="3">
                  <c:v>0.54584037306437594</c:v>
                </c:pt>
              </c:numCache>
            </c:numRef>
          </c:val>
          <c:extLst>
            <c:ext xmlns:c16="http://schemas.microsoft.com/office/drawing/2014/chart" uri="{C3380CC4-5D6E-409C-BE32-E72D297353CC}">
              <c16:uniqueId val="{00000003-BF6E-492A-8A93-28F303A6814F}"/>
            </c:ext>
          </c:extLst>
        </c:ser>
        <c:ser>
          <c:idx val="4"/>
          <c:order val="4"/>
          <c:tx>
            <c:strRef>
              <c:f>'EL GEN - Annual'!$G$3:$G$4</c:f>
              <c:strCache>
                <c:ptCount val="1"/>
                <c:pt idx="0">
                  <c:v>NATGAS</c:v>
                </c:pt>
              </c:strCache>
            </c:strRef>
          </c:tx>
          <c:spPr>
            <a:solidFill>
              <a:schemeClr val="accent5"/>
            </a:solidFill>
            <a:ln>
              <a:noFill/>
            </a:ln>
            <a:effectLst/>
          </c:spPr>
          <c:invertIfNegative val="0"/>
          <c:cat>
            <c:strRef>
              <c:f>'EL GEN - Annual'!$B$5:$B$9</c:f>
              <c:strCache>
                <c:ptCount val="4"/>
                <c:pt idx="0">
                  <c:v>DENMARK</c:v>
                </c:pt>
                <c:pt idx="1">
                  <c:v>GERMANY</c:v>
                </c:pt>
                <c:pt idx="2">
                  <c:v>NORWAY</c:v>
                </c:pt>
                <c:pt idx="3">
                  <c:v>SWEDEN</c:v>
                </c:pt>
              </c:strCache>
            </c:strRef>
          </c:cat>
          <c:val>
            <c:numRef>
              <c:f>'EL GEN - Annual'!$G$5:$G$9</c:f>
              <c:numCache>
                <c:formatCode>General</c:formatCode>
                <c:ptCount val="4"/>
                <c:pt idx="0">
                  <c:v>2.5628839999999996E-2</c:v>
                </c:pt>
                <c:pt idx="3">
                  <c:v>9.4736639378685303E-2</c:v>
                </c:pt>
              </c:numCache>
            </c:numRef>
          </c:val>
          <c:extLst>
            <c:ext xmlns:c16="http://schemas.microsoft.com/office/drawing/2014/chart" uri="{C3380CC4-5D6E-409C-BE32-E72D297353CC}">
              <c16:uniqueId val="{00000000-8A97-42AF-8FAB-D11DC7B3AA1E}"/>
            </c:ext>
          </c:extLst>
        </c:ser>
        <c:ser>
          <c:idx val="5"/>
          <c:order val="5"/>
          <c:tx>
            <c:strRef>
              <c:f>'EL GEN - Annual'!$H$3:$H$4</c:f>
              <c:strCache>
                <c:ptCount val="1"/>
                <c:pt idx="0">
                  <c:v>MUNIWASTE</c:v>
                </c:pt>
              </c:strCache>
            </c:strRef>
          </c:tx>
          <c:spPr>
            <a:solidFill>
              <a:schemeClr val="accent6"/>
            </a:solidFill>
            <a:ln>
              <a:noFill/>
            </a:ln>
            <a:effectLst/>
          </c:spPr>
          <c:invertIfNegative val="0"/>
          <c:cat>
            <c:strRef>
              <c:f>'EL GEN - Annual'!$B$5:$B$9</c:f>
              <c:strCache>
                <c:ptCount val="4"/>
                <c:pt idx="0">
                  <c:v>DENMARK</c:v>
                </c:pt>
                <c:pt idx="1">
                  <c:v>GERMANY</c:v>
                </c:pt>
                <c:pt idx="2">
                  <c:v>NORWAY</c:v>
                </c:pt>
                <c:pt idx="3">
                  <c:v>SWEDEN</c:v>
                </c:pt>
              </c:strCache>
            </c:strRef>
          </c:cat>
          <c:val>
            <c:numRef>
              <c:f>'EL GEN - Annual'!$H$5:$H$9</c:f>
              <c:numCache>
                <c:formatCode>General</c:formatCode>
                <c:ptCount val="4"/>
                <c:pt idx="0">
                  <c:v>1.2543033054264414</c:v>
                </c:pt>
                <c:pt idx="1">
                  <c:v>3.6949679999999998</c:v>
                </c:pt>
                <c:pt idx="2">
                  <c:v>0.38166453036712944</c:v>
                </c:pt>
                <c:pt idx="3">
                  <c:v>2.8206496563707342</c:v>
                </c:pt>
              </c:numCache>
            </c:numRef>
          </c:val>
          <c:extLst>
            <c:ext xmlns:c16="http://schemas.microsoft.com/office/drawing/2014/chart" uri="{C3380CC4-5D6E-409C-BE32-E72D297353CC}">
              <c16:uniqueId val="{00000001-8A97-42AF-8FAB-D11DC7B3AA1E}"/>
            </c:ext>
          </c:extLst>
        </c:ser>
        <c:ser>
          <c:idx val="6"/>
          <c:order val="6"/>
          <c:tx>
            <c:strRef>
              <c:f>'EL GEN - Annual'!$I$3:$I$4</c:f>
              <c:strCache>
                <c:ptCount val="1"/>
                <c:pt idx="0">
                  <c:v>WOODCHIPS</c:v>
                </c:pt>
              </c:strCache>
            </c:strRef>
          </c:tx>
          <c:spPr>
            <a:solidFill>
              <a:schemeClr val="accent1">
                <a:lumMod val="60000"/>
              </a:schemeClr>
            </a:solidFill>
            <a:ln>
              <a:noFill/>
            </a:ln>
            <a:effectLst/>
          </c:spPr>
          <c:invertIfNegative val="0"/>
          <c:cat>
            <c:strRef>
              <c:f>'EL GEN - Annual'!$B$5:$B$9</c:f>
              <c:strCache>
                <c:ptCount val="4"/>
                <c:pt idx="0">
                  <c:v>DENMARK</c:v>
                </c:pt>
                <c:pt idx="1">
                  <c:v>GERMANY</c:v>
                </c:pt>
                <c:pt idx="2">
                  <c:v>NORWAY</c:v>
                </c:pt>
                <c:pt idx="3">
                  <c:v>SWEDEN</c:v>
                </c:pt>
              </c:strCache>
            </c:strRef>
          </c:cat>
          <c:val>
            <c:numRef>
              <c:f>'EL GEN - Annual'!$I$5:$I$9</c:f>
              <c:numCache>
                <c:formatCode>General</c:formatCode>
                <c:ptCount val="4"/>
                <c:pt idx="0">
                  <c:v>0.92454627188355565</c:v>
                </c:pt>
                <c:pt idx="3">
                  <c:v>9.857911244146231E-4</c:v>
                </c:pt>
              </c:numCache>
            </c:numRef>
          </c:val>
          <c:extLst>
            <c:ext xmlns:c16="http://schemas.microsoft.com/office/drawing/2014/chart" uri="{C3380CC4-5D6E-409C-BE32-E72D297353CC}">
              <c16:uniqueId val="{00000002-8A97-42AF-8FAB-D11DC7B3AA1E}"/>
            </c:ext>
          </c:extLst>
        </c:ser>
        <c:ser>
          <c:idx val="7"/>
          <c:order val="7"/>
          <c:tx>
            <c:strRef>
              <c:f>'EL GEN - Annual'!$J$3:$J$4</c:f>
              <c:strCache>
                <c:ptCount val="1"/>
                <c:pt idx="0">
                  <c:v>WATER</c:v>
                </c:pt>
              </c:strCache>
            </c:strRef>
          </c:tx>
          <c:spPr>
            <a:solidFill>
              <a:schemeClr val="accent2">
                <a:lumMod val="60000"/>
              </a:schemeClr>
            </a:solidFill>
            <a:ln>
              <a:noFill/>
            </a:ln>
            <a:effectLst/>
          </c:spPr>
          <c:invertIfNegative val="0"/>
          <c:cat>
            <c:strRef>
              <c:f>'EL GEN - Annual'!$B$5:$B$9</c:f>
              <c:strCache>
                <c:ptCount val="4"/>
                <c:pt idx="0">
                  <c:v>DENMARK</c:v>
                </c:pt>
                <c:pt idx="1">
                  <c:v>GERMANY</c:v>
                </c:pt>
                <c:pt idx="2">
                  <c:v>NORWAY</c:v>
                </c:pt>
                <c:pt idx="3">
                  <c:v>SWEDEN</c:v>
                </c:pt>
              </c:strCache>
            </c:strRef>
          </c:cat>
          <c:val>
            <c:numRef>
              <c:f>'EL GEN - Annual'!$J$5:$J$9</c:f>
              <c:numCache>
                <c:formatCode>General</c:formatCode>
                <c:ptCount val="4"/>
                <c:pt idx="0">
                  <c:v>3.3642627272098262E-2</c:v>
                </c:pt>
                <c:pt idx="1">
                  <c:v>86.447283221029792</c:v>
                </c:pt>
                <c:pt idx="2">
                  <c:v>174.17261404482053</c:v>
                </c:pt>
                <c:pt idx="3">
                  <c:v>98.673582541594044</c:v>
                </c:pt>
              </c:numCache>
            </c:numRef>
          </c:val>
          <c:extLst>
            <c:ext xmlns:c16="http://schemas.microsoft.com/office/drawing/2014/chart" uri="{C3380CC4-5D6E-409C-BE32-E72D297353CC}">
              <c16:uniqueId val="{00000000-A512-43A9-A66F-57C12DC744D0}"/>
            </c:ext>
          </c:extLst>
        </c:ser>
        <c:ser>
          <c:idx val="8"/>
          <c:order val="8"/>
          <c:tx>
            <c:strRef>
              <c:f>'EL GEN - Annual'!$K$3:$K$4</c:f>
              <c:strCache>
                <c:ptCount val="1"/>
                <c:pt idx="0">
                  <c:v>STRAW</c:v>
                </c:pt>
              </c:strCache>
            </c:strRef>
          </c:tx>
          <c:spPr>
            <a:solidFill>
              <a:schemeClr val="accent3">
                <a:lumMod val="60000"/>
              </a:schemeClr>
            </a:solidFill>
            <a:ln>
              <a:noFill/>
            </a:ln>
            <a:effectLst/>
          </c:spPr>
          <c:invertIfNegative val="0"/>
          <c:cat>
            <c:strRef>
              <c:f>'EL GEN - Annual'!$B$5:$B$9</c:f>
              <c:strCache>
                <c:ptCount val="4"/>
                <c:pt idx="0">
                  <c:v>DENMARK</c:v>
                </c:pt>
                <c:pt idx="1">
                  <c:v>GERMANY</c:v>
                </c:pt>
                <c:pt idx="2">
                  <c:v>NORWAY</c:v>
                </c:pt>
                <c:pt idx="3">
                  <c:v>SWEDEN</c:v>
                </c:pt>
              </c:strCache>
            </c:strRef>
          </c:cat>
          <c:val>
            <c:numRef>
              <c:f>'EL GEN - Annual'!$K$5:$K$9</c:f>
              <c:numCache>
                <c:formatCode>General</c:formatCode>
                <c:ptCount val="4"/>
                <c:pt idx="0">
                  <c:v>0.47568260000000001</c:v>
                </c:pt>
              </c:numCache>
            </c:numRef>
          </c:val>
          <c:extLst>
            <c:ext xmlns:c16="http://schemas.microsoft.com/office/drawing/2014/chart" uri="{C3380CC4-5D6E-409C-BE32-E72D297353CC}">
              <c16:uniqueId val="{00000001-A512-43A9-A66F-57C12DC744D0}"/>
            </c:ext>
          </c:extLst>
        </c:ser>
        <c:ser>
          <c:idx val="9"/>
          <c:order val="9"/>
          <c:tx>
            <c:strRef>
              <c:f>'EL GEN - Annual'!$L$3:$L$4</c:f>
              <c:strCache>
                <c:ptCount val="1"/>
                <c:pt idx="0">
                  <c:v>LIGNITE</c:v>
                </c:pt>
              </c:strCache>
            </c:strRef>
          </c:tx>
          <c:spPr>
            <a:solidFill>
              <a:schemeClr val="accent4">
                <a:lumMod val="60000"/>
              </a:schemeClr>
            </a:solidFill>
            <a:ln>
              <a:noFill/>
            </a:ln>
            <a:effectLst/>
          </c:spPr>
          <c:invertIfNegative val="0"/>
          <c:cat>
            <c:strRef>
              <c:f>'EL GEN - Annual'!$B$5:$B$9</c:f>
              <c:strCache>
                <c:ptCount val="4"/>
                <c:pt idx="0">
                  <c:v>DENMARK</c:v>
                </c:pt>
                <c:pt idx="1">
                  <c:v>GERMANY</c:v>
                </c:pt>
                <c:pt idx="2">
                  <c:v>NORWAY</c:v>
                </c:pt>
                <c:pt idx="3">
                  <c:v>SWEDEN</c:v>
                </c:pt>
              </c:strCache>
            </c:strRef>
          </c:cat>
          <c:val>
            <c:numRef>
              <c:f>'EL GEN - Annual'!$L$5:$L$9</c:f>
              <c:numCache>
                <c:formatCode>General</c:formatCode>
                <c:ptCount val="4"/>
                <c:pt idx="1">
                  <c:v>198.00753599999999</c:v>
                </c:pt>
              </c:numCache>
            </c:numRef>
          </c:val>
          <c:extLst>
            <c:ext xmlns:c16="http://schemas.microsoft.com/office/drawing/2014/chart" uri="{C3380CC4-5D6E-409C-BE32-E72D297353CC}">
              <c16:uniqueId val="{00000002-A512-43A9-A66F-57C12DC744D0}"/>
            </c:ext>
          </c:extLst>
        </c:ser>
        <c:ser>
          <c:idx val="10"/>
          <c:order val="10"/>
          <c:tx>
            <c:strRef>
              <c:f>'EL GEN - Annual'!$M$3:$M$4</c:f>
              <c:strCache>
                <c:ptCount val="1"/>
                <c:pt idx="0">
                  <c:v>WASTEHEAT</c:v>
                </c:pt>
              </c:strCache>
            </c:strRef>
          </c:tx>
          <c:spPr>
            <a:solidFill>
              <a:schemeClr val="accent5">
                <a:lumMod val="60000"/>
              </a:schemeClr>
            </a:solidFill>
            <a:ln>
              <a:noFill/>
            </a:ln>
            <a:effectLst/>
          </c:spPr>
          <c:invertIfNegative val="0"/>
          <c:cat>
            <c:strRef>
              <c:f>'EL GEN - Annual'!$B$5:$B$9</c:f>
              <c:strCache>
                <c:ptCount val="4"/>
                <c:pt idx="0">
                  <c:v>DENMARK</c:v>
                </c:pt>
                <c:pt idx="1">
                  <c:v>GERMANY</c:v>
                </c:pt>
                <c:pt idx="2">
                  <c:v>NORWAY</c:v>
                </c:pt>
                <c:pt idx="3">
                  <c:v>SWEDEN</c:v>
                </c:pt>
              </c:strCache>
            </c:strRef>
          </c:cat>
          <c:val>
            <c:numRef>
              <c:f>'EL GEN - Annual'!$M$5:$M$9</c:f>
              <c:numCache>
                <c:formatCode>General</c:formatCode>
                <c:ptCount val="4"/>
                <c:pt idx="1">
                  <c:v>0.78621000000000008</c:v>
                </c:pt>
              </c:numCache>
            </c:numRef>
          </c:val>
          <c:extLst>
            <c:ext xmlns:c16="http://schemas.microsoft.com/office/drawing/2014/chart" uri="{C3380CC4-5D6E-409C-BE32-E72D297353CC}">
              <c16:uniqueId val="{00000003-A512-43A9-A66F-57C12DC744D0}"/>
            </c:ext>
          </c:extLst>
        </c:ser>
        <c:ser>
          <c:idx val="11"/>
          <c:order val="11"/>
          <c:tx>
            <c:strRef>
              <c:f>'EL GEN - Annual'!$N$3:$N$4</c:f>
              <c:strCache>
                <c:ptCount val="1"/>
                <c:pt idx="0">
                  <c:v>NUCLEAR</c:v>
                </c:pt>
              </c:strCache>
            </c:strRef>
          </c:tx>
          <c:spPr>
            <a:solidFill>
              <a:schemeClr val="accent6">
                <a:lumMod val="60000"/>
              </a:schemeClr>
            </a:solidFill>
            <a:ln>
              <a:noFill/>
            </a:ln>
            <a:effectLst/>
          </c:spPr>
          <c:invertIfNegative val="0"/>
          <c:cat>
            <c:strRef>
              <c:f>'EL GEN - Annual'!$B$5:$B$9</c:f>
              <c:strCache>
                <c:ptCount val="4"/>
                <c:pt idx="0">
                  <c:v>DENMARK</c:v>
                </c:pt>
                <c:pt idx="1">
                  <c:v>GERMANY</c:v>
                </c:pt>
                <c:pt idx="2">
                  <c:v>NORWAY</c:v>
                </c:pt>
                <c:pt idx="3">
                  <c:v>SWEDEN</c:v>
                </c:pt>
              </c:strCache>
            </c:strRef>
          </c:cat>
          <c:val>
            <c:numRef>
              <c:f>'EL GEN - Annual'!$N$5:$N$9</c:f>
              <c:numCache>
                <c:formatCode>General</c:formatCode>
                <c:ptCount val="4"/>
                <c:pt idx="1">
                  <c:v>94.608000000000004</c:v>
                </c:pt>
                <c:pt idx="3">
                  <c:v>61.241716002154199</c:v>
                </c:pt>
              </c:numCache>
            </c:numRef>
          </c:val>
          <c:extLst>
            <c:ext xmlns:c16="http://schemas.microsoft.com/office/drawing/2014/chart" uri="{C3380CC4-5D6E-409C-BE32-E72D297353CC}">
              <c16:uniqueId val="{00000004-A512-43A9-A66F-57C12DC744D0}"/>
            </c:ext>
          </c:extLst>
        </c:ser>
        <c:ser>
          <c:idx val="12"/>
          <c:order val="12"/>
          <c:tx>
            <c:strRef>
              <c:f>'EL GEN - Annual'!$O$3:$O$4</c:f>
              <c:strCache>
                <c:ptCount val="1"/>
                <c:pt idx="0">
                  <c:v>PEAT</c:v>
                </c:pt>
              </c:strCache>
            </c:strRef>
          </c:tx>
          <c:spPr>
            <a:solidFill>
              <a:schemeClr val="accent1">
                <a:lumMod val="80000"/>
                <a:lumOff val="20000"/>
              </a:schemeClr>
            </a:solidFill>
            <a:ln>
              <a:noFill/>
            </a:ln>
            <a:effectLst/>
          </c:spPr>
          <c:invertIfNegative val="0"/>
          <c:cat>
            <c:strRef>
              <c:f>'EL GEN - Annual'!$B$5:$B$9</c:f>
              <c:strCache>
                <c:ptCount val="4"/>
                <c:pt idx="0">
                  <c:v>DENMARK</c:v>
                </c:pt>
                <c:pt idx="1">
                  <c:v>GERMANY</c:v>
                </c:pt>
                <c:pt idx="2">
                  <c:v>NORWAY</c:v>
                </c:pt>
                <c:pt idx="3">
                  <c:v>SWEDEN</c:v>
                </c:pt>
              </c:strCache>
            </c:strRef>
          </c:cat>
          <c:val>
            <c:numRef>
              <c:f>'EL GEN - Annual'!$O$5:$O$9</c:f>
              <c:numCache>
                <c:formatCode>General</c:formatCode>
                <c:ptCount val="4"/>
                <c:pt idx="3">
                  <c:v>0.4147381080638074</c:v>
                </c:pt>
              </c:numCache>
            </c:numRef>
          </c:val>
          <c:extLst>
            <c:ext xmlns:c16="http://schemas.microsoft.com/office/drawing/2014/chart" uri="{C3380CC4-5D6E-409C-BE32-E72D297353CC}">
              <c16:uniqueId val="{00000005-A512-43A9-A66F-57C12DC744D0}"/>
            </c:ext>
          </c:extLst>
        </c:ser>
        <c:ser>
          <c:idx val="13"/>
          <c:order val="13"/>
          <c:tx>
            <c:strRef>
              <c:f>'EL GEN - Annual'!$P$3:$P$4</c:f>
              <c:strCache>
                <c:ptCount val="1"/>
                <c:pt idx="0">
                  <c:v>WOODWASTE</c:v>
                </c:pt>
              </c:strCache>
            </c:strRef>
          </c:tx>
          <c:spPr>
            <a:solidFill>
              <a:schemeClr val="accent2">
                <a:lumMod val="80000"/>
                <a:lumOff val="20000"/>
              </a:schemeClr>
            </a:solidFill>
            <a:ln>
              <a:noFill/>
            </a:ln>
            <a:effectLst/>
          </c:spPr>
          <c:invertIfNegative val="0"/>
          <c:cat>
            <c:strRef>
              <c:f>'EL GEN - Annual'!$B$5:$B$9</c:f>
              <c:strCache>
                <c:ptCount val="4"/>
                <c:pt idx="0">
                  <c:v>DENMARK</c:v>
                </c:pt>
                <c:pt idx="1">
                  <c:v>GERMANY</c:v>
                </c:pt>
                <c:pt idx="2">
                  <c:v>NORWAY</c:v>
                </c:pt>
                <c:pt idx="3">
                  <c:v>SWEDEN</c:v>
                </c:pt>
              </c:strCache>
            </c:strRef>
          </c:cat>
          <c:val>
            <c:numRef>
              <c:f>'EL GEN - Annual'!$P$5:$P$9</c:f>
              <c:numCache>
                <c:formatCode>General</c:formatCode>
                <c:ptCount val="4"/>
                <c:pt idx="3">
                  <c:v>5.6083425156411435</c:v>
                </c:pt>
              </c:numCache>
            </c:numRef>
          </c:val>
          <c:extLst>
            <c:ext xmlns:c16="http://schemas.microsoft.com/office/drawing/2014/chart" uri="{C3380CC4-5D6E-409C-BE32-E72D297353CC}">
              <c16:uniqueId val="{00000006-A512-43A9-A66F-57C12DC744D0}"/>
            </c:ext>
          </c:extLst>
        </c:ser>
        <c:ser>
          <c:idx val="14"/>
          <c:order val="14"/>
          <c:tx>
            <c:strRef>
              <c:f>'EL GEN - Annual'!$Q$3:$Q$4</c:f>
              <c:strCache>
                <c:ptCount val="1"/>
                <c:pt idx="0">
                  <c:v>RECYCLEDWOOD</c:v>
                </c:pt>
              </c:strCache>
            </c:strRef>
          </c:tx>
          <c:spPr>
            <a:solidFill>
              <a:schemeClr val="accent3">
                <a:lumMod val="80000"/>
                <a:lumOff val="20000"/>
              </a:schemeClr>
            </a:solidFill>
            <a:ln>
              <a:noFill/>
            </a:ln>
            <a:effectLst/>
          </c:spPr>
          <c:invertIfNegative val="0"/>
          <c:cat>
            <c:strRef>
              <c:f>'EL GEN - Annual'!$B$5:$B$9</c:f>
              <c:strCache>
                <c:ptCount val="4"/>
                <c:pt idx="0">
                  <c:v>DENMARK</c:v>
                </c:pt>
                <c:pt idx="1">
                  <c:v>GERMANY</c:v>
                </c:pt>
                <c:pt idx="2">
                  <c:v>NORWAY</c:v>
                </c:pt>
                <c:pt idx="3">
                  <c:v>SWEDEN</c:v>
                </c:pt>
              </c:strCache>
            </c:strRef>
          </c:cat>
          <c:val>
            <c:numRef>
              <c:f>'EL GEN - Annual'!$Q$5:$Q$9</c:f>
              <c:numCache>
                <c:formatCode>General</c:formatCode>
                <c:ptCount val="4"/>
                <c:pt idx="3">
                  <c:v>0.48803691436072755</c:v>
                </c:pt>
              </c:numCache>
            </c:numRef>
          </c:val>
          <c:extLst>
            <c:ext xmlns:c16="http://schemas.microsoft.com/office/drawing/2014/chart" uri="{C3380CC4-5D6E-409C-BE32-E72D297353CC}">
              <c16:uniqueId val="{00000007-A512-43A9-A66F-57C12DC744D0}"/>
            </c:ext>
          </c:extLst>
        </c:ser>
        <c:dLbls>
          <c:showLegendKey val="0"/>
          <c:showVal val="0"/>
          <c:showCatName val="0"/>
          <c:showSerName val="0"/>
          <c:showPercent val="0"/>
          <c:showBubbleSize val="0"/>
        </c:dLbls>
        <c:gapWidth val="219"/>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
        <c:idx val="719"/>
        <c:spPr>
          <a:solidFill>
            <a:schemeClr val="accent1"/>
          </a:solidFill>
          <a:ln w="25400">
            <a:noFill/>
          </a:ln>
          <a:effectLst/>
        </c:spPr>
        <c:marker>
          <c:symbol val="none"/>
        </c:marker>
      </c:pivotFmt>
      <c:pivotFmt>
        <c:idx val="720"/>
        <c:spPr>
          <a:solidFill>
            <a:schemeClr val="accent1"/>
          </a:solidFill>
          <a:ln w="25400">
            <a:noFill/>
          </a:ln>
          <a:effectLst/>
        </c:spPr>
        <c:marker>
          <c:symbol val="none"/>
        </c:marker>
      </c:pivotFmt>
      <c:pivotFmt>
        <c:idx val="721"/>
        <c:spPr>
          <a:solidFill>
            <a:schemeClr val="accent1"/>
          </a:solidFill>
          <a:ln w="25400">
            <a:noFill/>
          </a:ln>
          <a:effectLst/>
        </c:spPr>
        <c:marker>
          <c:symbol val="none"/>
        </c:marker>
      </c:pivotFmt>
    </c:pivotFmts>
    <c:plotArea>
      <c:layout/>
      <c:areaChart>
        <c:grouping val="stacked"/>
        <c:varyColors val="0"/>
        <c:ser>
          <c:idx val="0"/>
          <c:order val="0"/>
          <c:tx>
            <c:strRef>
              <c:f>'EL GEN - Time'!$F$4:$F$5</c:f>
              <c:strCache>
                <c:ptCount val="1"/>
                <c:pt idx="0">
                  <c:v>DENMARK</c:v>
                </c:pt>
              </c:strCache>
            </c:strRef>
          </c:tx>
          <c:spPr>
            <a:solidFill>
              <a:schemeClr val="accent1"/>
            </a:solidFill>
            <a:ln>
              <a:noFill/>
            </a:ln>
            <a:effectLst/>
          </c:spPr>
          <c:cat>
            <c:multiLvlStrRef>
              <c:f>'EL GEN - Time'!$B$6:$E$2036</c:f>
              <c:multiLvlStrCache>
                <c:ptCount val="2030"/>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pt idx="48">
                    <c:v>T001</c:v>
                  </c:pt>
                  <c:pt idx="49">
                    <c:v>T002</c:v>
                  </c:pt>
                  <c:pt idx="50">
                    <c:v>T003</c:v>
                  </c:pt>
                  <c:pt idx="51">
                    <c:v>T005</c:v>
                  </c:pt>
                  <c:pt idx="52">
                    <c:v>T007</c:v>
                  </c:pt>
                  <c:pt idx="53">
                    <c:v>T010</c:v>
                  </c:pt>
                  <c:pt idx="54">
                    <c:v>T012</c:v>
                  </c:pt>
                  <c:pt idx="55">
                    <c:v>T013</c:v>
                  </c:pt>
                  <c:pt idx="56">
                    <c:v>T014</c:v>
                  </c:pt>
                  <c:pt idx="57">
                    <c:v>T015</c:v>
                  </c:pt>
                  <c:pt idx="58">
                    <c:v>T016</c:v>
                  </c:pt>
                  <c:pt idx="59">
                    <c:v>T017</c:v>
                  </c:pt>
                  <c:pt idx="60">
                    <c:v>T018</c:v>
                  </c:pt>
                  <c:pt idx="61">
                    <c:v>T019</c:v>
                  </c:pt>
                  <c:pt idx="62">
                    <c:v>T020</c:v>
                  </c:pt>
                  <c:pt idx="63">
                    <c:v>T021</c:v>
                  </c:pt>
                  <c:pt idx="64">
                    <c:v>T022</c:v>
                  </c:pt>
                  <c:pt idx="65">
                    <c:v>T023</c:v>
                  </c:pt>
                  <c:pt idx="66">
                    <c:v>T024</c:v>
                  </c:pt>
                  <c:pt idx="67">
                    <c:v>T001</c:v>
                  </c:pt>
                  <c:pt idx="68">
                    <c:v>T002</c:v>
                  </c:pt>
                  <c:pt idx="69">
                    <c:v>T003</c:v>
                  </c:pt>
                  <c:pt idx="70">
                    <c:v>T004</c:v>
                  </c:pt>
                  <c:pt idx="71">
                    <c:v>T005</c:v>
                  </c:pt>
                  <c:pt idx="72">
                    <c:v>T006</c:v>
                  </c:pt>
                  <c:pt idx="73">
                    <c:v>T007</c:v>
                  </c:pt>
                  <c:pt idx="74">
                    <c:v>T008</c:v>
                  </c:pt>
                  <c:pt idx="75">
                    <c:v>T009</c:v>
                  </c:pt>
                  <c:pt idx="76">
                    <c:v>T010</c:v>
                  </c:pt>
                  <c:pt idx="77">
                    <c:v>T011</c:v>
                  </c:pt>
                  <c:pt idx="78">
                    <c:v>T012</c:v>
                  </c:pt>
                  <c:pt idx="79">
                    <c:v>T013</c:v>
                  </c:pt>
                  <c:pt idx="80">
                    <c:v>T014</c:v>
                  </c:pt>
                  <c:pt idx="81">
                    <c:v>T015</c:v>
                  </c:pt>
                  <c:pt idx="82">
                    <c:v>T016</c:v>
                  </c:pt>
                  <c:pt idx="83">
                    <c:v>T017</c:v>
                  </c:pt>
                  <c:pt idx="84">
                    <c:v>T018</c:v>
                  </c:pt>
                  <c:pt idx="85">
                    <c:v>T019</c:v>
                  </c:pt>
                  <c:pt idx="86">
                    <c:v>T020</c:v>
                  </c:pt>
                  <c:pt idx="87">
                    <c:v>T021</c:v>
                  </c:pt>
                  <c:pt idx="88">
                    <c:v>T022</c:v>
                  </c:pt>
                  <c:pt idx="89">
                    <c:v>T023</c:v>
                  </c:pt>
                  <c:pt idx="90">
                    <c:v>T024</c:v>
                  </c:pt>
                  <c:pt idx="91">
                    <c:v>T001</c:v>
                  </c:pt>
                  <c:pt idx="92">
                    <c:v>T002</c:v>
                  </c:pt>
                  <c:pt idx="93">
                    <c:v>T003</c:v>
                  </c:pt>
                  <c:pt idx="94">
                    <c:v>T004</c:v>
                  </c:pt>
                  <c:pt idx="95">
                    <c:v>T005</c:v>
                  </c:pt>
                  <c:pt idx="96">
                    <c:v>T006</c:v>
                  </c:pt>
                  <c:pt idx="97">
                    <c:v>T007</c:v>
                  </c:pt>
                  <c:pt idx="98">
                    <c:v>T008</c:v>
                  </c:pt>
                  <c:pt idx="99">
                    <c:v>T009</c:v>
                  </c:pt>
                  <c:pt idx="100">
                    <c:v>T010</c:v>
                  </c:pt>
                  <c:pt idx="101">
                    <c:v>T011</c:v>
                  </c:pt>
                  <c:pt idx="102">
                    <c:v>T012</c:v>
                  </c:pt>
                  <c:pt idx="103">
                    <c:v>T013</c:v>
                  </c:pt>
                  <c:pt idx="104">
                    <c:v>T014</c:v>
                  </c:pt>
                  <c:pt idx="105">
                    <c:v>T015</c:v>
                  </c:pt>
                  <c:pt idx="106">
                    <c:v>T016</c:v>
                  </c:pt>
                  <c:pt idx="107">
                    <c:v>T017</c:v>
                  </c:pt>
                  <c:pt idx="108">
                    <c:v>T018</c:v>
                  </c:pt>
                  <c:pt idx="109">
                    <c:v>T019</c:v>
                  </c:pt>
                  <c:pt idx="110">
                    <c:v>T020</c:v>
                  </c:pt>
                  <c:pt idx="111">
                    <c:v>T021</c:v>
                  </c:pt>
                  <c:pt idx="112">
                    <c:v>T022</c:v>
                  </c:pt>
                  <c:pt idx="113">
                    <c:v>T023</c:v>
                  </c:pt>
                  <c:pt idx="114">
                    <c:v>T024</c:v>
                  </c:pt>
                  <c:pt idx="115">
                    <c:v>T001</c:v>
                  </c:pt>
                  <c:pt idx="116">
                    <c:v>T002</c:v>
                  </c:pt>
                  <c:pt idx="117">
                    <c:v>T003</c:v>
                  </c:pt>
                  <c:pt idx="118">
                    <c:v>T004</c:v>
                  </c:pt>
                  <c:pt idx="119">
                    <c:v>T005</c:v>
                  </c:pt>
                  <c:pt idx="120">
                    <c:v>T006</c:v>
                  </c:pt>
                  <c:pt idx="121">
                    <c:v>T007</c:v>
                  </c:pt>
                  <c:pt idx="122">
                    <c:v>T008</c:v>
                  </c:pt>
                  <c:pt idx="123">
                    <c:v>T009</c:v>
                  </c:pt>
                  <c:pt idx="124">
                    <c:v>T010</c:v>
                  </c:pt>
                  <c:pt idx="125">
                    <c:v>T011</c:v>
                  </c:pt>
                  <c:pt idx="126">
                    <c:v>T012</c:v>
                  </c:pt>
                  <c:pt idx="127">
                    <c:v>T013</c:v>
                  </c:pt>
                  <c:pt idx="128">
                    <c:v>T014</c:v>
                  </c:pt>
                  <c:pt idx="129">
                    <c:v>T015</c:v>
                  </c:pt>
                  <c:pt idx="130">
                    <c:v>T016</c:v>
                  </c:pt>
                  <c:pt idx="131">
                    <c:v>T017</c:v>
                  </c:pt>
                  <c:pt idx="132">
                    <c:v>T018</c:v>
                  </c:pt>
                  <c:pt idx="133">
                    <c:v>T019</c:v>
                  </c:pt>
                  <c:pt idx="134">
                    <c:v>T020</c:v>
                  </c:pt>
                  <c:pt idx="135">
                    <c:v>T021</c:v>
                  </c:pt>
                  <c:pt idx="136">
                    <c:v>T022</c:v>
                  </c:pt>
                  <c:pt idx="137">
                    <c:v>T023</c:v>
                  </c:pt>
                  <c:pt idx="138">
                    <c:v>T024</c:v>
                  </c:pt>
                  <c:pt idx="139">
                    <c:v>T001</c:v>
                  </c:pt>
                  <c:pt idx="140">
                    <c:v>T002</c:v>
                  </c:pt>
                  <c:pt idx="141">
                    <c:v>T003</c:v>
                  </c:pt>
                  <c:pt idx="142">
                    <c:v>T004</c:v>
                  </c:pt>
                  <c:pt idx="143">
                    <c:v>T005</c:v>
                  </c:pt>
                  <c:pt idx="144">
                    <c:v>T006</c:v>
                  </c:pt>
                  <c:pt idx="145">
                    <c:v>T007</c:v>
                  </c:pt>
                  <c:pt idx="146">
                    <c:v>T008</c:v>
                  </c:pt>
                  <c:pt idx="147">
                    <c:v>T009</c:v>
                  </c:pt>
                  <c:pt idx="148">
                    <c:v>T010</c:v>
                  </c:pt>
                  <c:pt idx="149">
                    <c:v>T011</c:v>
                  </c:pt>
                  <c:pt idx="150">
                    <c:v>T012</c:v>
                  </c:pt>
                  <c:pt idx="151">
                    <c:v>T013</c:v>
                  </c:pt>
                  <c:pt idx="152">
                    <c:v>T014</c:v>
                  </c:pt>
                  <c:pt idx="153">
                    <c:v>T015</c:v>
                  </c:pt>
                  <c:pt idx="154">
                    <c:v>T016</c:v>
                  </c:pt>
                  <c:pt idx="155">
                    <c:v>T017</c:v>
                  </c:pt>
                  <c:pt idx="156">
                    <c:v>T018</c:v>
                  </c:pt>
                  <c:pt idx="157">
                    <c:v>T019</c:v>
                  </c:pt>
                  <c:pt idx="158">
                    <c:v>T020</c:v>
                  </c:pt>
                  <c:pt idx="159">
                    <c:v>T021</c:v>
                  </c:pt>
                  <c:pt idx="160">
                    <c:v>T022</c:v>
                  </c:pt>
                  <c:pt idx="161">
                    <c:v>T023</c:v>
                  </c:pt>
                  <c:pt idx="162">
                    <c:v>T024</c:v>
                  </c:pt>
                  <c:pt idx="163">
                    <c:v>T001</c:v>
                  </c:pt>
                  <c:pt idx="164">
                    <c:v>T002</c:v>
                  </c:pt>
                  <c:pt idx="165">
                    <c:v>T003</c:v>
                  </c:pt>
                  <c:pt idx="166">
                    <c:v>T004</c:v>
                  </c:pt>
                  <c:pt idx="167">
                    <c:v>T005</c:v>
                  </c:pt>
                  <c:pt idx="168">
                    <c:v>T006</c:v>
                  </c:pt>
                  <c:pt idx="169">
                    <c:v>T007</c:v>
                  </c:pt>
                  <c:pt idx="170">
                    <c:v>T008</c:v>
                  </c:pt>
                  <c:pt idx="171">
                    <c:v>T009</c:v>
                  </c:pt>
                  <c:pt idx="172">
                    <c:v>T010</c:v>
                  </c:pt>
                  <c:pt idx="173">
                    <c:v>T011</c:v>
                  </c:pt>
                  <c:pt idx="174">
                    <c:v>T012</c:v>
                  </c:pt>
                  <c:pt idx="175">
                    <c:v>T013</c:v>
                  </c:pt>
                  <c:pt idx="176">
                    <c:v>T014</c:v>
                  </c:pt>
                  <c:pt idx="177">
                    <c:v>T015</c:v>
                  </c:pt>
                  <c:pt idx="178">
                    <c:v>T016</c:v>
                  </c:pt>
                  <c:pt idx="179">
                    <c:v>T017</c:v>
                  </c:pt>
                  <c:pt idx="180">
                    <c:v>T018</c:v>
                  </c:pt>
                  <c:pt idx="181">
                    <c:v>T019</c:v>
                  </c:pt>
                  <c:pt idx="182">
                    <c:v>T020</c:v>
                  </c:pt>
                  <c:pt idx="183">
                    <c:v>T021</c:v>
                  </c:pt>
                  <c:pt idx="184">
                    <c:v>T022</c:v>
                  </c:pt>
                  <c:pt idx="185">
                    <c:v>T023</c:v>
                  </c:pt>
                  <c:pt idx="186">
                    <c:v>T024</c:v>
                  </c:pt>
                  <c:pt idx="187">
                    <c:v>T001</c:v>
                  </c:pt>
                  <c:pt idx="188">
                    <c:v>T002</c:v>
                  </c:pt>
                  <c:pt idx="189">
                    <c:v>T003</c:v>
                  </c:pt>
                  <c:pt idx="190">
                    <c:v>T004</c:v>
                  </c:pt>
                  <c:pt idx="191">
                    <c:v>T005</c:v>
                  </c:pt>
                  <c:pt idx="192">
                    <c:v>T006</c:v>
                  </c:pt>
                  <c:pt idx="193">
                    <c:v>T007</c:v>
                  </c:pt>
                  <c:pt idx="194">
                    <c:v>T008</c:v>
                  </c:pt>
                  <c:pt idx="195">
                    <c:v>T009</c:v>
                  </c:pt>
                  <c:pt idx="196">
                    <c:v>T010</c:v>
                  </c:pt>
                  <c:pt idx="197">
                    <c:v>T011</c:v>
                  </c:pt>
                  <c:pt idx="198">
                    <c:v>T012</c:v>
                  </c:pt>
                  <c:pt idx="199">
                    <c:v>T013</c:v>
                  </c:pt>
                  <c:pt idx="200">
                    <c:v>T014</c:v>
                  </c:pt>
                  <c:pt idx="201">
                    <c:v>T015</c:v>
                  </c:pt>
                  <c:pt idx="202">
                    <c:v>T016</c:v>
                  </c:pt>
                  <c:pt idx="203">
                    <c:v>T017</c:v>
                  </c:pt>
                  <c:pt idx="204">
                    <c:v>T018</c:v>
                  </c:pt>
                  <c:pt idx="205">
                    <c:v>T019</c:v>
                  </c:pt>
                  <c:pt idx="206">
                    <c:v>T020</c:v>
                  </c:pt>
                  <c:pt idx="207">
                    <c:v>T021</c:v>
                  </c:pt>
                  <c:pt idx="208">
                    <c:v>T022</c:v>
                  </c:pt>
                  <c:pt idx="209">
                    <c:v>T023</c:v>
                  </c:pt>
                  <c:pt idx="210">
                    <c:v>T024</c:v>
                  </c:pt>
                  <c:pt idx="211">
                    <c:v>T002</c:v>
                  </c:pt>
                  <c:pt idx="212">
                    <c:v>T003</c:v>
                  </c:pt>
                  <c:pt idx="213">
                    <c:v>T004</c:v>
                  </c:pt>
                  <c:pt idx="214">
                    <c:v>T005</c:v>
                  </c:pt>
                  <c:pt idx="215">
                    <c:v>T006</c:v>
                  </c:pt>
                  <c:pt idx="216">
                    <c:v>T007</c:v>
                  </c:pt>
                  <c:pt idx="217">
                    <c:v>T008</c:v>
                  </c:pt>
                  <c:pt idx="218">
                    <c:v>T009</c:v>
                  </c:pt>
                  <c:pt idx="219">
                    <c:v>T010</c:v>
                  </c:pt>
                  <c:pt idx="220">
                    <c:v>T011</c:v>
                  </c:pt>
                  <c:pt idx="221">
                    <c:v>T012</c:v>
                  </c:pt>
                  <c:pt idx="222">
                    <c:v>T013</c:v>
                  </c:pt>
                  <c:pt idx="223">
                    <c:v>T014</c:v>
                  </c:pt>
                  <c:pt idx="224">
                    <c:v>T015</c:v>
                  </c:pt>
                  <c:pt idx="225">
                    <c:v>T016</c:v>
                  </c:pt>
                  <c:pt idx="226">
                    <c:v>T017</c:v>
                  </c:pt>
                  <c:pt idx="227">
                    <c:v>T018</c:v>
                  </c:pt>
                  <c:pt idx="228">
                    <c:v>T019</c:v>
                  </c:pt>
                  <c:pt idx="229">
                    <c:v>T020</c:v>
                  </c:pt>
                  <c:pt idx="230">
                    <c:v>T021</c:v>
                  </c:pt>
                  <c:pt idx="231">
                    <c:v>T022</c:v>
                  </c:pt>
                  <c:pt idx="232">
                    <c:v>T023</c:v>
                  </c:pt>
                  <c:pt idx="233">
                    <c:v>T024</c:v>
                  </c:pt>
                  <c:pt idx="234">
                    <c:v>T001</c:v>
                  </c:pt>
                  <c:pt idx="235">
                    <c:v>T002</c:v>
                  </c:pt>
                  <c:pt idx="236">
                    <c:v>T003</c:v>
                  </c:pt>
                  <c:pt idx="237">
                    <c:v>T004</c:v>
                  </c:pt>
                  <c:pt idx="238">
                    <c:v>T005</c:v>
                  </c:pt>
                  <c:pt idx="239">
                    <c:v>T006</c:v>
                  </c:pt>
                  <c:pt idx="240">
                    <c:v>T007</c:v>
                  </c:pt>
                  <c:pt idx="241">
                    <c:v>T008</c:v>
                  </c:pt>
                  <c:pt idx="242">
                    <c:v>T009</c:v>
                  </c:pt>
                  <c:pt idx="243">
                    <c:v>T010</c:v>
                  </c:pt>
                  <c:pt idx="244">
                    <c:v>T011</c:v>
                  </c:pt>
                  <c:pt idx="245">
                    <c:v>T012</c:v>
                  </c:pt>
                  <c:pt idx="246">
                    <c:v>T013</c:v>
                  </c:pt>
                  <c:pt idx="247">
                    <c:v>T014</c:v>
                  </c:pt>
                  <c:pt idx="248">
                    <c:v>T015</c:v>
                  </c:pt>
                  <c:pt idx="249">
                    <c:v>T016</c:v>
                  </c:pt>
                  <c:pt idx="250">
                    <c:v>T017</c:v>
                  </c:pt>
                  <c:pt idx="251">
                    <c:v>T018</c:v>
                  </c:pt>
                  <c:pt idx="252">
                    <c:v>T019</c:v>
                  </c:pt>
                  <c:pt idx="253">
                    <c:v>T020</c:v>
                  </c:pt>
                  <c:pt idx="254">
                    <c:v>T021</c:v>
                  </c:pt>
                  <c:pt idx="255">
                    <c:v>T022</c:v>
                  </c:pt>
                  <c:pt idx="256">
                    <c:v>T023</c:v>
                  </c:pt>
                  <c:pt idx="257">
                    <c:v>T024</c:v>
                  </c:pt>
                  <c:pt idx="258">
                    <c:v>T001</c:v>
                  </c:pt>
                  <c:pt idx="259">
                    <c:v>T002</c:v>
                  </c:pt>
                  <c:pt idx="260">
                    <c:v>T003</c:v>
                  </c:pt>
                  <c:pt idx="261">
                    <c:v>T004</c:v>
                  </c:pt>
                  <c:pt idx="262">
                    <c:v>T005</c:v>
                  </c:pt>
                  <c:pt idx="263">
                    <c:v>T006</c:v>
                  </c:pt>
                  <c:pt idx="264">
                    <c:v>T007</c:v>
                  </c:pt>
                  <c:pt idx="265">
                    <c:v>T008</c:v>
                  </c:pt>
                  <c:pt idx="266">
                    <c:v>T009</c:v>
                  </c:pt>
                  <c:pt idx="267">
                    <c:v>T010</c:v>
                  </c:pt>
                  <c:pt idx="268">
                    <c:v>T011</c:v>
                  </c:pt>
                  <c:pt idx="269">
                    <c:v>T012</c:v>
                  </c:pt>
                  <c:pt idx="270">
                    <c:v>T013</c:v>
                  </c:pt>
                  <c:pt idx="271">
                    <c:v>T014</c:v>
                  </c:pt>
                  <c:pt idx="272">
                    <c:v>T015</c:v>
                  </c:pt>
                  <c:pt idx="273">
                    <c:v>T016</c:v>
                  </c:pt>
                  <c:pt idx="274">
                    <c:v>T017</c:v>
                  </c:pt>
                  <c:pt idx="275">
                    <c:v>T018</c:v>
                  </c:pt>
                  <c:pt idx="276">
                    <c:v>T019</c:v>
                  </c:pt>
                  <c:pt idx="277">
                    <c:v>T020</c:v>
                  </c:pt>
                  <c:pt idx="278">
                    <c:v>T021</c:v>
                  </c:pt>
                  <c:pt idx="279">
                    <c:v>T022</c:v>
                  </c:pt>
                  <c:pt idx="280">
                    <c:v>T023</c:v>
                  </c:pt>
                  <c:pt idx="281">
                    <c:v>T024</c:v>
                  </c:pt>
                  <c:pt idx="282">
                    <c:v>T001</c:v>
                  </c:pt>
                  <c:pt idx="283">
                    <c:v>T002</c:v>
                  </c:pt>
                  <c:pt idx="284">
                    <c:v>T003</c:v>
                  </c:pt>
                  <c:pt idx="285">
                    <c:v>T004</c:v>
                  </c:pt>
                  <c:pt idx="286">
                    <c:v>T005</c:v>
                  </c:pt>
                  <c:pt idx="287">
                    <c:v>T006</c:v>
                  </c:pt>
                  <c:pt idx="288">
                    <c:v>T007</c:v>
                  </c:pt>
                  <c:pt idx="289">
                    <c:v>T008</c:v>
                  </c:pt>
                  <c:pt idx="290">
                    <c:v>T009</c:v>
                  </c:pt>
                  <c:pt idx="291">
                    <c:v>T010</c:v>
                  </c:pt>
                  <c:pt idx="292">
                    <c:v>T011</c:v>
                  </c:pt>
                  <c:pt idx="293">
                    <c:v>T012</c:v>
                  </c:pt>
                  <c:pt idx="294">
                    <c:v>T013</c:v>
                  </c:pt>
                  <c:pt idx="295">
                    <c:v>T014</c:v>
                  </c:pt>
                  <c:pt idx="296">
                    <c:v>T015</c:v>
                  </c:pt>
                  <c:pt idx="297">
                    <c:v>T016</c:v>
                  </c:pt>
                  <c:pt idx="298">
                    <c:v>T017</c:v>
                  </c:pt>
                  <c:pt idx="299">
                    <c:v>T018</c:v>
                  </c:pt>
                  <c:pt idx="300">
                    <c:v>T019</c:v>
                  </c:pt>
                  <c:pt idx="301">
                    <c:v>T020</c:v>
                  </c:pt>
                  <c:pt idx="302">
                    <c:v>T021</c:v>
                  </c:pt>
                  <c:pt idx="303">
                    <c:v>T022</c:v>
                  </c:pt>
                  <c:pt idx="304">
                    <c:v>T023</c:v>
                  </c:pt>
                  <c:pt idx="305">
                    <c:v>T024</c:v>
                  </c:pt>
                  <c:pt idx="306">
                    <c:v>T001</c:v>
                  </c:pt>
                  <c:pt idx="307">
                    <c:v>T002</c:v>
                  </c:pt>
                  <c:pt idx="308">
                    <c:v>T003</c:v>
                  </c:pt>
                  <c:pt idx="309">
                    <c:v>T004</c:v>
                  </c:pt>
                  <c:pt idx="310">
                    <c:v>T005</c:v>
                  </c:pt>
                  <c:pt idx="311">
                    <c:v>T006</c:v>
                  </c:pt>
                  <c:pt idx="312">
                    <c:v>T007</c:v>
                  </c:pt>
                  <c:pt idx="313">
                    <c:v>T008</c:v>
                  </c:pt>
                  <c:pt idx="314">
                    <c:v>T009</c:v>
                  </c:pt>
                  <c:pt idx="315">
                    <c:v>T010</c:v>
                  </c:pt>
                  <c:pt idx="316">
                    <c:v>T011</c:v>
                  </c:pt>
                  <c:pt idx="317">
                    <c:v>T012</c:v>
                  </c:pt>
                  <c:pt idx="318">
                    <c:v>T013</c:v>
                  </c:pt>
                  <c:pt idx="319">
                    <c:v>T014</c:v>
                  </c:pt>
                  <c:pt idx="320">
                    <c:v>T015</c:v>
                  </c:pt>
                  <c:pt idx="321">
                    <c:v>T016</c:v>
                  </c:pt>
                  <c:pt idx="322">
                    <c:v>T017</c:v>
                  </c:pt>
                  <c:pt idx="323">
                    <c:v>T018</c:v>
                  </c:pt>
                  <c:pt idx="324">
                    <c:v>T019</c:v>
                  </c:pt>
                  <c:pt idx="325">
                    <c:v>T020</c:v>
                  </c:pt>
                  <c:pt idx="326">
                    <c:v>T021</c:v>
                  </c:pt>
                  <c:pt idx="327">
                    <c:v>T022</c:v>
                  </c:pt>
                  <c:pt idx="328">
                    <c:v>T023</c:v>
                  </c:pt>
                  <c:pt idx="329">
                    <c:v>T024</c:v>
                  </c:pt>
                  <c:pt idx="330">
                    <c:v>T001</c:v>
                  </c:pt>
                  <c:pt idx="331">
                    <c:v>T002</c:v>
                  </c:pt>
                  <c:pt idx="332">
                    <c:v>T003</c:v>
                  </c:pt>
                  <c:pt idx="333">
                    <c:v>T004</c:v>
                  </c:pt>
                  <c:pt idx="334">
                    <c:v>T005</c:v>
                  </c:pt>
                  <c:pt idx="335">
                    <c:v>T006</c:v>
                  </c:pt>
                  <c:pt idx="336">
                    <c:v>T007</c:v>
                  </c:pt>
                  <c:pt idx="337">
                    <c:v>T008</c:v>
                  </c:pt>
                  <c:pt idx="338">
                    <c:v>T009</c:v>
                  </c:pt>
                  <c:pt idx="339">
                    <c:v>T010</c:v>
                  </c:pt>
                  <c:pt idx="340">
                    <c:v>T011</c:v>
                  </c:pt>
                  <c:pt idx="341">
                    <c:v>T012</c:v>
                  </c:pt>
                  <c:pt idx="342">
                    <c:v>T013</c:v>
                  </c:pt>
                  <c:pt idx="343">
                    <c:v>T014</c:v>
                  </c:pt>
                  <c:pt idx="344">
                    <c:v>T015</c:v>
                  </c:pt>
                  <c:pt idx="345">
                    <c:v>T016</c:v>
                  </c:pt>
                  <c:pt idx="346">
                    <c:v>T017</c:v>
                  </c:pt>
                  <c:pt idx="347">
                    <c:v>T018</c:v>
                  </c:pt>
                  <c:pt idx="348">
                    <c:v>T019</c:v>
                  </c:pt>
                  <c:pt idx="349">
                    <c:v>T020</c:v>
                  </c:pt>
                  <c:pt idx="350">
                    <c:v>T021</c:v>
                  </c:pt>
                  <c:pt idx="351">
                    <c:v>T022</c:v>
                  </c:pt>
                  <c:pt idx="352">
                    <c:v>T023</c:v>
                  </c:pt>
                  <c:pt idx="353">
                    <c:v>T024</c:v>
                  </c:pt>
                  <c:pt idx="354">
                    <c:v>T001</c:v>
                  </c:pt>
                  <c:pt idx="355">
                    <c:v>T002</c:v>
                  </c:pt>
                  <c:pt idx="356">
                    <c:v>T003</c:v>
                  </c:pt>
                  <c:pt idx="357">
                    <c:v>T004</c:v>
                  </c:pt>
                  <c:pt idx="358">
                    <c:v>T005</c:v>
                  </c:pt>
                  <c:pt idx="359">
                    <c:v>T006</c:v>
                  </c:pt>
                  <c:pt idx="360">
                    <c:v>T007</c:v>
                  </c:pt>
                  <c:pt idx="361">
                    <c:v>T008</c:v>
                  </c:pt>
                  <c:pt idx="362">
                    <c:v>T009</c:v>
                  </c:pt>
                  <c:pt idx="363">
                    <c:v>T010</c:v>
                  </c:pt>
                  <c:pt idx="364">
                    <c:v>T011</c:v>
                  </c:pt>
                  <c:pt idx="365">
                    <c:v>T012</c:v>
                  </c:pt>
                  <c:pt idx="366">
                    <c:v>T013</c:v>
                  </c:pt>
                  <c:pt idx="367">
                    <c:v>T014</c:v>
                  </c:pt>
                  <c:pt idx="368">
                    <c:v>T015</c:v>
                  </c:pt>
                  <c:pt idx="369">
                    <c:v>T016</c:v>
                  </c:pt>
                  <c:pt idx="370">
                    <c:v>T017</c:v>
                  </c:pt>
                  <c:pt idx="371">
                    <c:v>T018</c:v>
                  </c:pt>
                  <c:pt idx="372">
                    <c:v>T019</c:v>
                  </c:pt>
                  <c:pt idx="373">
                    <c:v>T020</c:v>
                  </c:pt>
                  <c:pt idx="374">
                    <c:v>T021</c:v>
                  </c:pt>
                  <c:pt idx="375">
                    <c:v>T022</c:v>
                  </c:pt>
                  <c:pt idx="376">
                    <c:v>T023</c:v>
                  </c:pt>
                  <c:pt idx="377">
                    <c:v>T024</c:v>
                  </c:pt>
                  <c:pt idx="378">
                    <c:v>T001</c:v>
                  </c:pt>
                  <c:pt idx="379">
                    <c:v>T002</c:v>
                  </c:pt>
                  <c:pt idx="380">
                    <c:v>T003</c:v>
                  </c:pt>
                  <c:pt idx="381">
                    <c:v>T004</c:v>
                  </c:pt>
                  <c:pt idx="382">
                    <c:v>T005</c:v>
                  </c:pt>
                  <c:pt idx="383">
                    <c:v>T006</c:v>
                  </c:pt>
                  <c:pt idx="384">
                    <c:v>T007</c:v>
                  </c:pt>
                  <c:pt idx="385">
                    <c:v>T008</c:v>
                  </c:pt>
                  <c:pt idx="386">
                    <c:v>T009</c:v>
                  </c:pt>
                  <c:pt idx="387">
                    <c:v>T010</c:v>
                  </c:pt>
                  <c:pt idx="388">
                    <c:v>T011</c:v>
                  </c:pt>
                  <c:pt idx="389">
                    <c:v>T012</c:v>
                  </c:pt>
                  <c:pt idx="390">
                    <c:v>T013</c:v>
                  </c:pt>
                  <c:pt idx="391">
                    <c:v>T014</c:v>
                  </c:pt>
                  <c:pt idx="392">
                    <c:v>T015</c:v>
                  </c:pt>
                  <c:pt idx="393">
                    <c:v>T016</c:v>
                  </c:pt>
                  <c:pt idx="394">
                    <c:v>T017</c:v>
                  </c:pt>
                  <c:pt idx="395">
                    <c:v>T018</c:v>
                  </c:pt>
                  <c:pt idx="396">
                    <c:v>T019</c:v>
                  </c:pt>
                  <c:pt idx="397">
                    <c:v>T020</c:v>
                  </c:pt>
                  <c:pt idx="398">
                    <c:v>T021</c:v>
                  </c:pt>
                  <c:pt idx="399">
                    <c:v>T022</c:v>
                  </c:pt>
                  <c:pt idx="400">
                    <c:v>T023</c:v>
                  </c:pt>
                  <c:pt idx="401">
                    <c:v>T024</c:v>
                  </c:pt>
                  <c:pt idx="402">
                    <c:v>T001</c:v>
                  </c:pt>
                  <c:pt idx="403">
                    <c:v>T002</c:v>
                  </c:pt>
                  <c:pt idx="404">
                    <c:v>T003</c:v>
                  </c:pt>
                  <c:pt idx="405">
                    <c:v>T004</c:v>
                  </c:pt>
                  <c:pt idx="406">
                    <c:v>T005</c:v>
                  </c:pt>
                  <c:pt idx="407">
                    <c:v>T006</c:v>
                  </c:pt>
                  <c:pt idx="408">
                    <c:v>T007</c:v>
                  </c:pt>
                  <c:pt idx="409">
                    <c:v>T008</c:v>
                  </c:pt>
                  <c:pt idx="410">
                    <c:v>T009</c:v>
                  </c:pt>
                  <c:pt idx="411">
                    <c:v>T010</c:v>
                  </c:pt>
                  <c:pt idx="412">
                    <c:v>T011</c:v>
                  </c:pt>
                  <c:pt idx="413">
                    <c:v>T012</c:v>
                  </c:pt>
                  <c:pt idx="414">
                    <c:v>T013</c:v>
                  </c:pt>
                  <c:pt idx="415">
                    <c:v>T014</c:v>
                  </c:pt>
                  <c:pt idx="416">
                    <c:v>T015</c:v>
                  </c:pt>
                  <c:pt idx="417">
                    <c:v>T016</c:v>
                  </c:pt>
                  <c:pt idx="418">
                    <c:v>T017</c:v>
                  </c:pt>
                  <c:pt idx="419">
                    <c:v>T018</c:v>
                  </c:pt>
                  <c:pt idx="420">
                    <c:v>T019</c:v>
                  </c:pt>
                  <c:pt idx="421">
                    <c:v>T020</c:v>
                  </c:pt>
                  <c:pt idx="422">
                    <c:v>T021</c:v>
                  </c:pt>
                  <c:pt idx="423">
                    <c:v>T022</c:v>
                  </c:pt>
                  <c:pt idx="424">
                    <c:v>T023</c:v>
                  </c:pt>
                  <c:pt idx="425">
                    <c:v>T024</c:v>
                  </c:pt>
                  <c:pt idx="426">
                    <c:v>T001</c:v>
                  </c:pt>
                  <c:pt idx="427">
                    <c:v>T002</c:v>
                  </c:pt>
                  <c:pt idx="428">
                    <c:v>T003</c:v>
                  </c:pt>
                  <c:pt idx="429">
                    <c:v>T004</c:v>
                  </c:pt>
                  <c:pt idx="430">
                    <c:v>T005</c:v>
                  </c:pt>
                  <c:pt idx="431">
                    <c:v>T006</c:v>
                  </c:pt>
                  <c:pt idx="432">
                    <c:v>T007</c:v>
                  </c:pt>
                  <c:pt idx="433">
                    <c:v>T008</c:v>
                  </c:pt>
                  <c:pt idx="434">
                    <c:v>T009</c:v>
                  </c:pt>
                  <c:pt idx="435">
                    <c:v>T010</c:v>
                  </c:pt>
                  <c:pt idx="436">
                    <c:v>T011</c:v>
                  </c:pt>
                  <c:pt idx="437">
                    <c:v>T012</c:v>
                  </c:pt>
                  <c:pt idx="438">
                    <c:v>T013</c:v>
                  </c:pt>
                  <c:pt idx="439">
                    <c:v>T014</c:v>
                  </c:pt>
                  <c:pt idx="440">
                    <c:v>T015</c:v>
                  </c:pt>
                  <c:pt idx="441">
                    <c:v>T016</c:v>
                  </c:pt>
                  <c:pt idx="442">
                    <c:v>T017</c:v>
                  </c:pt>
                  <c:pt idx="443">
                    <c:v>T018</c:v>
                  </c:pt>
                  <c:pt idx="444">
                    <c:v>T019</c:v>
                  </c:pt>
                  <c:pt idx="445">
                    <c:v>T020</c:v>
                  </c:pt>
                  <c:pt idx="446">
                    <c:v>T021</c:v>
                  </c:pt>
                  <c:pt idx="447">
                    <c:v>T022</c:v>
                  </c:pt>
                  <c:pt idx="448">
                    <c:v>T023</c:v>
                  </c:pt>
                  <c:pt idx="449">
                    <c:v>T024</c:v>
                  </c:pt>
                  <c:pt idx="450">
                    <c:v>T001</c:v>
                  </c:pt>
                  <c:pt idx="451">
                    <c:v>T002</c:v>
                  </c:pt>
                  <c:pt idx="452">
                    <c:v>T003</c:v>
                  </c:pt>
                  <c:pt idx="453">
                    <c:v>T004</c:v>
                  </c:pt>
                  <c:pt idx="454">
                    <c:v>T005</c:v>
                  </c:pt>
                  <c:pt idx="455">
                    <c:v>T006</c:v>
                  </c:pt>
                  <c:pt idx="456">
                    <c:v>T007</c:v>
                  </c:pt>
                  <c:pt idx="457">
                    <c:v>T008</c:v>
                  </c:pt>
                  <c:pt idx="458">
                    <c:v>T009</c:v>
                  </c:pt>
                  <c:pt idx="459">
                    <c:v>T010</c:v>
                  </c:pt>
                  <c:pt idx="460">
                    <c:v>T011</c:v>
                  </c:pt>
                  <c:pt idx="461">
                    <c:v>T012</c:v>
                  </c:pt>
                  <c:pt idx="462">
                    <c:v>T013</c:v>
                  </c:pt>
                  <c:pt idx="463">
                    <c:v>T014</c:v>
                  </c:pt>
                  <c:pt idx="464">
                    <c:v>T015</c:v>
                  </c:pt>
                  <c:pt idx="465">
                    <c:v>T016</c:v>
                  </c:pt>
                  <c:pt idx="466">
                    <c:v>T017</c:v>
                  </c:pt>
                  <c:pt idx="467">
                    <c:v>T018</c:v>
                  </c:pt>
                  <c:pt idx="468">
                    <c:v>T019</c:v>
                  </c:pt>
                  <c:pt idx="469">
                    <c:v>T020</c:v>
                  </c:pt>
                  <c:pt idx="470">
                    <c:v>T021</c:v>
                  </c:pt>
                  <c:pt idx="471">
                    <c:v>T022</c:v>
                  </c:pt>
                  <c:pt idx="472">
                    <c:v>T023</c:v>
                  </c:pt>
                  <c:pt idx="473">
                    <c:v>T024</c:v>
                  </c:pt>
                  <c:pt idx="474">
                    <c:v>T001</c:v>
                  </c:pt>
                  <c:pt idx="475">
                    <c:v>T002</c:v>
                  </c:pt>
                  <c:pt idx="476">
                    <c:v>T003</c:v>
                  </c:pt>
                  <c:pt idx="477">
                    <c:v>T004</c:v>
                  </c:pt>
                  <c:pt idx="478">
                    <c:v>T005</c:v>
                  </c:pt>
                  <c:pt idx="479">
                    <c:v>T006</c:v>
                  </c:pt>
                  <c:pt idx="480">
                    <c:v>T007</c:v>
                  </c:pt>
                  <c:pt idx="481">
                    <c:v>T008</c:v>
                  </c:pt>
                  <c:pt idx="482">
                    <c:v>T009</c:v>
                  </c:pt>
                  <c:pt idx="483">
                    <c:v>T010</c:v>
                  </c:pt>
                  <c:pt idx="484">
                    <c:v>T011</c:v>
                  </c:pt>
                  <c:pt idx="485">
                    <c:v>T012</c:v>
                  </c:pt>
                  <c:pt idx="486">
                    <c:v>T013</c:v>
                  </c:pt>
                  <c:pt idx="487">
                    <c:v>T014</c:v>
                  </c:pt>
                  <c:pt idx="488">
                    <c:v>T015</c:v>
                  </c:pt>
                  <c:pt idx="489">
                    <c:v>T016</c:v>
                  </c:pt>
                  <c:pt idx="490">
                    <c:v>T017</c:v>
                  </c:pt>
                  <c:pt idx="491">
                    <c:v>T018</c:v>
                  </c:pt>
                  <c:pt idx="492">
                    <c:v>T019</c:v>
                  </c:pt>
                  <c:pt idx="493">
                    <c:v>T020</c:v>
                  </c:pt>
                  <c:pt idx="494">
                    <c:v>T021</c:v>
                  </c:pt>
                  <c:pt idx="495">
                    <c:v>T022</c:v>
                  </c:pt>
                  <c:pt idx="496">
                    <c:v>T023</c:v>
                  </c:pt>
                  <c:pt idx="497">
                    <c:v>T024</c:v>
                  </c:pt>
                  <c:pt idx="498">
                    <c:v>T001</c:v>
                  </c:pt>
                  <c:pt idx="499">
                    <c:v>T002</c:v>
                  </c:pt>
                  <c:pt idx="500">
                    <c:v>T003</c:v>
                  </c:pt>
                  <c:pt idx="501">
                    <c:v>T004</c:v>
                  </c:pt>
                  <c:pt idx="502">
                    <c:v>T005</c:v>
                  </c:pt>
                  <c:pt idx="503">
                    <c:v>T006</c:v>
                  </c:pt>
                  <c:pt idx="504">
                    <c:v>T007</c:v>
                  </c:pt>
                  <c:pt idx="505">
                    <c:v>T008</c:v>
                  </c:pt>
                  <c:pt idx="506">
                    <c:v>T009</c:v>
                  </c:pt>
                  <c:pt idx="507">
                    <c:v>T010</c:v>
                  </c:pt>
                  <c:pt idx="508">
                    <c:v>T011</c:v>
                  </c:pt>
                  <c:pt idx="509">
                    <c:v>T012</c:v>
                  </c:pt>
                  <c:pt idx="510">
                    <c:v>T013</c:v>
                  </c:pt>
                  <c:pt idx="511">
                    <c:v>T014</c:v>
                  </c:pt>
                  <c:pt idx="512">
                    <c:v>T015</c:v>
                  </c:pt>
                  <c:pt idx="513">
                    <c:v>T016</c:v>
                  </c:pt>
                  <c:pt idx="514">
                    <c:v>T017</c:v>
                  </c:pt>
                  <c:pt idx="515">
                    <c:v>T018</c:v>
                  </c:pt>
                  <c:pt idx="516">
                    <c:v>T019</c:v>
                  </c:pt>
                  <c:pt idx="517">
                    <c:v>T020</c:v>
                  </c:pt>
                  <c:pt idx="518">
                    <c:v>T021</c:v>
                  </c:pt>
                  <c:pt idx="519">
                    <c:v>T022</c:v>
                  </c:pt>
                  <c:pt idx="520">
                    <c:v>T023</c:v>
                  </c:pt>
                  <c:pt idx="521">
                    <c:v>T024</c:v>
                  </c:pt>
                  <c:pt idx="522">
                    <c:v>T001</c:v>
                  </c:pt>
                  <c:pt idx="523">
                    <c:v>T002</c:v>
                  </c:pt>
                  <c:pt idx="524">
                    <c:v>T003</c:v>
                  </c:pt>
                  <c:pt idx="525">
                    <c:v>T004</c:v>
                  </c:pt>
                  <c:pt idx="526">
                    <c:v>T005</c:v>
                  </c:pt>
                  <c:pt idx="527">
                    <c:v>T006</c:v>
                  </c:pt>
                  <c:pt idx="528">
                    <c:v>T007</c:v>
                  </c:pt>
                  <c:pt idx="529">
                    <c:v>T008</c:v>
                  </c:pt>
                  <c:pt idx="530">
                    <c:v>T009</c:v>
                  </c:pt>
                  <c:pt idx="531">
                    <c:v>T010</c:v>
                  </c:pt>
                  <c:pt idx="532">
                    <c:v>T011</c:v>
                  </c:pt>
                  <c:pt idx="533">
                    <c:v>T012</c:v>
                  </c:pt>
                  <c:pt idx="534">
                    <c:v>T013</c:v>
                  </c:pt>
                  <c:pt idx="535">
                    <c:v>T014</c:v>
                  </c:pt>
                  <c:pt idx="536">
                    <c:v>T015</c:v>
                  </c:pt>
                  <c:pt idx="537">
                    <c:v>T016</c:v>
                  </c:pt>
                  <c:pt idx="538">
                    <c:v>T017</c:v>
                  </c:pt>
                  <c:pt idx="539">
                    <c:v>T018</c:v>
                  </c:pt>
                  <c:pt idx="540">
                    <c:v>T019</c:v>
                  </c:pt>
                  <c:pt idx="541">
                    <c:v>T020</c:v>
                  </c:pt>
                  <c:pt idx="542">
                    <c:v>T021</c:v>
                  </c:pt>
                  <c:pt idx="543">
                    <c:v>T022</c:v>
                  </c:pt>
                  <c:pt idx="544">
                    <c:v>T023</c:v>
                  </c:pt>
                  <c:pt idx="545">
                    <c:v>T024</c:v>
                  </c:pt>
                  <c:pt idx="546">
                    <c:v>T001</c:v>
                  </c:pt>
                  <c:pt idx="547">
                    <c:v>T002</c:v>
                  </c:pt>
                  <c:pt idx="548">
                    <c:v>T003</c:v>
                  </c:pt>
                  <c:pt idx="549">
                    <c:v>T004</c:v>
                  </c:pt>
                  <c:pt idx="550">
                    <c:v>T005</c:v>
                  </c:pt>
                  <c:pt idx="551">
                    <c:v>T006</c:v>
                  </c:pt>
                  <c:pt idx="552">
                    <c:v>T007</c:v>
                  </c:pt>
                  <c:pt idx="553">
                    <c:v>T008</c:v>
                  </c:pt>
                  <c:pt idx="554">
                    <c:v>T009</c:v>
                  </c:pt>
                  <c:pt idx="555">
                    <c:v>T010</c:v>
                  </c:pt>
                  <c:pt idx="556">
                    <c:v>T011</c:v>
                  </c:pt>
                  <c:pt idx="557">
                    <c:v>T012</c:v>
                  </c:pt>
                  <c:pt idx="558">
                    <c:v>T013</c:v>
                  </c:pt>
                  <c:pt idx="559">
                    <c:v>T014</c:v>
                  </c:pt>
                  <c:pt idx="560">
                    <c:v>T015</c:v>
                  </c:pt>
                  <c:pt idx="561">
                    <c:v>T016</c:v>
                  </c:pt>
                  <c:pt idx="562">
                    <c:v>T017</c:v>
                  </c:pt>
                  <c:pt idx="563">
                    <c:v>T018</c:v>
                  </c:pt>
                  <c:pt idx="564">
                    <c:v>T019</c:v>
                  </c:pt>
                  <c:pt idx="565">
                    <c:v>T020</c:v>
                  </c:pt>
                  <c:pt idx="566">
                    <c:v>T021</c:v>
                  </c:pt>
                  <c:pt idx="567">
                    <c:v>T022</c:v>
                  </c:pt>
                  <c:pt idx="568">
                    <c:v>T023</c:v>
                  </c:pt>
                  <c:pt idx="569">
                    <c:v>T024</c:v>
                  </c:pt>
                  <c:pt idx="570">
                    <c:v>T001</c:v>
                  </c:pt>
                  <c:pt idx="571">
                    <c:v>T002</c:v>
                  </c:pt>
                  <c:pt idx="572">
                    <c:v>T003</c:v>
                  </c:pt>
                  <c:pt idx="573">
                    <c:v>T004</c:v>
                  </c:pt>
                  <c:pt idx="574">
                    <c:v>T005</c:v>
                  </c:pt>
                  <c:pt idx="575">
                    <c:v>T006</c:v>
                  </c:pt>
                  <c:pt idx="576">
                    <c:v>T007</c:v>
                  </c:pt>
                  <c:pt idx="577">
                    <c:v>T008</c:v>
                  </c:pt>
                  <c:pt idx="578">
                    <c:v>T009</c:v>
                  </c:pt>
                  <c:pt idx="579">
                    <c:v>T010</c:v>
                  </c:pt>
                  <c:pt idx="580">
                    <c:v>T011</c:v>
                  </c:pt>
                  <c:pt idx="581">
                    <c:v>T012</c:v>
                  </c:pt>
                  <c:pt idx="582">
                    <c:v>T013</c:v>
                  </c:pt>
                  <c:pt idx="583">
                    <c:v>T014</c:v>
                  </c:pt>
                  <c:pt idx="584">
                    <c:v>T015</c:v>
                  </c:pt>
                  <c:pt idx="585">
                    <c:v>T016</c:v>
                  </c:pt>
                  <c:pt idx="586">
                    <c:v>T017</c:v>
                  </c:pt>
                  <c:pt idx="587">
                    <c:v>T018</c:v>
                  </c:pt>
                  <c:pt idx="588">
                    <c:v>T019</c:v>
                  </c:pt>
                  <c:pt idx="589">
                    <c:v>T020</c:v>
                  </c:pt>
                  <c:pt idx="590">
                    <c:v>T021</c:v>
                  </c:pt>
                  <c:pt idx="591">
                    <c:v>T022</c:v>
                  </c:pt>
                  <c:pt idx="592">
                    <c:v>T023</c:v>
                  </c:pt>
                  <c:pt idx="593">
                    <c:v>T024</c:v>
                  </c:pt>
                  <c:pt idx="594">
                    <c:v>T001</c:v>
                  </c:pt>
                  <c:pt idx="595">
                    <c:v>T002</c:v>
                  </c:pt>
                  <c:pt idx="596">
                    <c:v>T003</c:v>
                  </c:pt>
                  <c:pt idx="597">
                    <c:v>T004</c:v>
                  </c:pt>
                  <c:pt idx="598">
                    <c:v>T005</c:v>
                  </c:pt>
                  <c:pt idx="599">
                    <c:v>T006</c:v>
                  </c:pt>
                  <c:pt idx="600">
                    <c:v>T007</c:v>
                  </c:pt>
                  <c:pt idx="601">
                    <c:v>T008</c:v>
                  </c:pt>
                  <c:pt idx="602">
                    <c:v>T009</c:v>
                  </c:pt>
                  <c:pt idx="603">
                    <c:v>T010</c:v>
                  </c:pt>
                  <c:pt idx="604">
                    <c:v>T011</c:v>
                  </c:pt>
                  <c:pt idx="605">
                    <c:v>T012</c:v>
                  </c:pt>
                  <c:pt idx="606">
                    <c:v>T013</c:v>
                  </c:pt>
                  <c:pt idx="607">
                    <c:v>T014</c:v>
                  </c:pt>
                  <c:pt idx="608">
                    <c:v>T015</c:v>
                  </c:pt>
                  <c:pt idx="609">
                    <c:v>T016</c:v>
                  </c:pt>
                  <c:pt idx="610">
                    <c:v>T017</c:v>
                  </c:pt>
                  <c:pt idx="611">
                    <c:v>T018</c:v>
                  </c:pt>
                  <c:pt idx="612">
                    <c:v>T019</c:v>
                  </c:pt>
                  <c:pt idx="613">
                    <c:v>T020</c:v>
                  </c:pt>
                  <c:pt idx="614">
                    <c:v>T021</c:v>
                  </c:pt>
                  <c:pt idx="615">
                    <c:v>T022</c:v>
                  </c:pt>
                  <c:pt idx="616">
                    <c:v>T023</c:v>
                  </c:pt>
                  <c:pt idx="617">
                    <c:v>T024</c:v>
                  </c:pt>
                  <c:pt idx="618">
                    <c:v>T001</c:v>
                  </c:pt>
                  <c:pt idx="619">
                    <c:v>T002</c:v>
                  </c:pt>
                  <c:pt idx="620">
                    <c:v>T003</c:v>
                  </c:pt>
                  <c:pt idx="621">
                    <c:v>T004</c:v>
                  </c:pt>
                  <c:pt idx="622">
                    <c:v>T005</c:v>
                  </c:pt>
                  <c:pt idx="623">
                    <c:v>T006</c:v>
                  </c:pt>
                  <c:pt idx="624">
                    <c:v>T007</c:v>
                  </c:pt>
                  <c:pt idx="625">
                    <c:v>T008</c:v>
                  </c:pt>
                  <c:pt idx="626">
                    <c:v>T009</c:v>
                  </c:pt>
                  <c:pt idx="627">
                    <c:v>T010</c:v>
                  </c:pt>
                  <c:pt idx="628">
                    <c:v>T011</c:v>
                  </c:pt>
                  <c:pt idx="629">
                    <c:v>T012</c:v>
                  </c:pt>
                  <c:pt idx="630">
                    <c:v>T013</c:v>
                  </c:pt>
                  <c:pt idx="631">
                    <c:v>T014</c:v>
                  </c:pt>
                  <c:pt idx="632">
                    <c:v>T015</c:v>
                  </c:pt>
                  <c:pt idx="633">
                    <c:v>T016</c:v>
                  </c:pt>
                  <c:pt idx="634">
                    <c:v>T017</c:v>
                  </c:pt>
                  <c:pt idx="635">
                    <c:v>T018</c:v>
                  </c:pt>
                  <c:pt idx="636">
                    <c:v>T019</c:v>
                  </c:pt>
                  <c:pt idx="637">
                    <c:v>T020</c:v>
                  </c:pt>
                  <c:pt idx="638">
                    <c:v>T021</c:v>
                  </c:pt>
                  <c:pt idx="639">
                    <c:v>T022</c:v>
                  </c:pt>
                  <c:pt idx="640">
                    <c:v>T023</c:v>
                  </c:pt>
                  <c:pt idx="641">
                    <c:v>T024</c:v>
                  </c:pt>
                  <c:pt idx="642">
                    <c:v>T005</c:v>
                  </c:pt>
                  <c:pt idx="643">
                    <c:v>T006</c:v>
                  </c:pt>
                  <c:pt idx="644">
                    <c:v>T007</c:v>
                  </c:pt>
                  <c:pt idx="645">
                    <c:v>T008</c:v>
                  </c:pt>
                  <c:pt idx="646">
                    <c:v>T009</c:v>
                  </c:pt>
                  <c:pt idx="647">
                    <c:v>T010</c:v>
                  </c:pt>
                  <c:pt idx="648">
                    <c:v>T011</c:v>
                  </c:pt>
                  <c:pt idx="649">
                    <c:v>T013</c:v>
                  </c:pt>
                  <c:pt idx="650">
                    <c:v>T014</c:v>
                  </c:pt>
                  <c:pt idx="651">
                    <c:v>T015</c:v>
                  </c:pt>
                  <c:pt idx="652">
                    <c:v>T016</c:v>
                  </c:pt>
                  <c:pt idx="653">
                    <c:v>T017</c:v>
                  </c:pt>
                  <c:pt idx="654">
                    <c:v>T019</c:v>
                  </c:pt>
                  <c:pt idx="655">
                    <c:v>T020</c:v>
                  </c:pt>
                  <c:pt idx="656">
                    <c:v>T001</c:v>
                  </c:pt>
                  <c:pt idx="657">
                    <c:v>T002</c:v>
                  </c:pt>
                  <c:pt idx="658">
                    <c:v>T003</c:v>
                  </c:pt>
                  <c:pt idx="659">
                    <c:v>T004</c:v>
                  </c:pt>
                  <c:pt idx="660">
                    <c:v>T005</c:v>
                  </c:pt>
                  <c:pt idx="661">
                    <c:v>T006</c:v>
                  </c:pt>
                  <c:pt idx="662">
                    <c:v>T007</c:v>
                  </c:pt>
                  <c:pt idx="663">
                    <c:v>T008</c:v>
                  </c:pt>
                  <c:pt idx="664">
                    <c:v>T009</c:v>
                  </c:pt>
                  <c:pt idx="665">
                    <c:v>T010</c:v>
                  </c:pt>
                  <c:pt idx="666">
                    <c:v>T011</c:v>
                  </c:pt>
                  <c:pt idx="667">
                    <c:v>T012</c:v>
                  </c:pt>
                  <c:pt idx="668">
                    <c:v>T013</c:v>
                  </c:pt>
                  <c:pt idx="669">
                    <c:v>T014</c:v>
                  </c:pt>
                  <c:pt idx="670">
                    <c:v>T015</c:v>
                  </c:pt>
                  <c:pt idx="671">
                    <c:v>T016</c:v>
                  </c:pt>
                  <c:pt idx="672">
                    <c:v>T017</c:v>
                  </c:pt>
                  <c:pt idx="673">
                    <c:v>T018</c:v>
                  </c:pt>
                  <c:pt idx="674">
                    <c:v>T019</c:v>
                  </c:pt>
                  <c:pt idx="675">
                    <c:v>T020</c:v>
                  </c:pt>
                  <c:pt idx="676">
                    <c:v>T021</c:v>
                  </c:pt>
                  <c:pt idx="677">
                    <c:v>T022</c:v>
                  </c:pt>
                  <c:pt idx="678">
                    <c:v>T023</c:v>
                  </c:pt>
                  <c:pt idx="679">
                    <c:v>T024</c:v>
                  </c:pt>
                  <c:pt idx="680">
                    <c:v>T001</c:v>
                  </c:pt>
                  <c:pt idx="681">
                    <c:v>T002</c:v>
                  </c:pt>
                  <c:pt idx="682">
                    <c:v>T003</c:v>
                  </c:pt>
                  <c:pt idx="683">
                    <c:v>T004</c:v>
                  </c:pt>
                  <c:pt idx="684">
                    <c:v>T005</c:v>
                  </c:pt>
                  <c:pt idx="685">
                    <c:v>T006</c:v>
                  </c:pt>
                  <c:pt idx="686">
                    <c:v>T007</c:v>
                  </c:pt>
                  <c:pt idx="687">
                    <c:v>T008</c:v>
                  </c:pt>
                  <c:pt idx="688">
                    <c:v>T009</c:v>
                  </c:pt>
                  <c:pt idx="689">
                    <c:v>T010</c:v>
                  </c:pt>
                  <c:pt idx="690">
                    <c:v>T011</c:v>
                  </c:pt>
                  <c:pt idx="691">
                    <c:v>T012</c:v>
                  </c:pt>
                  <c:pt idx="692">
                    <c:v>T013</c:v>
                  </c:pt>
                  <c:pt idx="693">
                    <c:v>T014</c:v>
                  </c:pt>
                  <c:pt idx="694">
                    <c:v>T015</c:v>
                  </c:pt>
                  <c:pt idx="695">
                    <c:v>T016</c:v>
                  </c:pt>
                  <c:pt idx="696">
                    <c:v>T017</c:v>
                  </c:pt>
                  <c:pt idx="697">
                    <c:v>T018</c:v>
                  </c:pt>
                  <c:pt idx="698">
                    <c:v>T019</c:v>
                  </c:pt>
                  <c:pt idx="699">
                    <c:v>T020</c:v>
                  </c:pt>
                  <c:pt idx="700">
                    <c:v>T021</c:v>
                  </c:pt>
                  <c:pt idx="701">
                    <c:v>T022</c:v>
                  </c:pt>
                  <c:pt idx="702">
                    <c:v>T023</c:v>
                  </c:pt>
                  <c:pt idx="703">
                    <c:v>T024</c:v>
                  </c:pt>
                  <c:pt idx="704">
                    <c:v>T001</c:v>
                  </c:pt>
                  <c:pt idx="705">
                    <c:v>T002</c:v>
                  </c:pt>
                  <c:pt idx="706">
                    <c:v>T003</c:v>
                  </c:pt>
                  <c:pt idx="707">
                    <c:v>T004</c:v>
                  </c:pt>
                  <c:pt idx="708">
                    <c:v>T005</c:v>
                  </c:pt>
                  <c:pt idx="709">
                    <c:v>T006</c:v>
                  </c:pt>
                  <c:pt idx="710">
                    <c:v>T007</c:v>
                  </c:pt>
                  <c:pt idx="711">
                    <c:v>T008</c:v>
                  </c:pt>
                  <c:pt idx="712">
                    <c:v>T009</c:v>
                  </c:pt>
                  <c:pt idx="713">
                    <c:v>T010</c:v>
                  </c:pt>
                  <c:pt idx="714">
                    <c:v>T011</c:v>
                  </c:pt>
                  <c:pt idx="715">
                    <c:v>T012</c:v>
                  </c:pt>
                  <c:pt idx="716">
                    <c:v>T013</c:v>
                  </c:pt>
                  <c:pt idx="717">
                    <c:v>T014</c:v>
                  </c:pt>
                  <c:pt idx="718">
                    <c:v>T015</c:v>
                  </c:pt>
                  <c:pt idx="719">
                    <c:v>T016</c:v>
                  </c:pt>
                  <c:pt idx="720">
                    <c:v>T017</c:v>
                  </c:pt>
                  <c:pt idx="721">
                    <c:v>T018</c:v>
                  </c:pt>
                  <c:pt idx="722">
                    <c:v>T019</c:v>
                  </c:pt>
                  <c:pt idx="723">
                    <c:v>T020</c:v>
                  </c:pt>
                  <c:pt idx="724">
                    <c:v>T021</c:v>
                  </c:pt>
                  <c:pt idx="725">
                    <c:v>T022</c:v>
                  </c:pt>
                  <c:pt idx="726">
                    <c:v>T023</c:v>
                  </c:pt>
                  <c:pt idx="727">
                    <c:v>T024</c:v>
                  </c:pt>
                  <c:pt idx="728">
                    <c:v>T001</c:v>
                  </c:pt>
                  <c:pt idx="729">
                    <c:v>T002</c:v>
                  </c:pt>
                  <c:pt idx="730">
                    <c:v>T003</c:v>
                  </c:pt>
                  <c:pt idx="731">
                    <c:v>T004</c:v>
                  </c:pt>
                  <c:pt idx="732">
                    <c:v>T005</c:v>
                  </c:pt>
                  <c:pt idx="733">
                    <c:v>T006</c:v>
                  </c:pt>
                  <c:pt idx="734">
                    <c:v>T007</c:v>
                  </c:pt>
                  <c:pt idx="735">
                    <c:v>T008</c:v>
                  </c:pt>
                  <c:pt idx="736">
                    <c:v>T009</c:v>
                  </c:pt>
                  <c:pt idx="737">
                    <c:v>T010</c:v>
                  </c:pt>
                  <c:pt idx="738">
                    <c:v>T011</c:v>
                  </c:pt>
                  <c:pt idx="739">
                    <c:v>T012</c:v>
                  </c:pt>
                  <c:pt idx="740">
                    <c:v>T013</c:v>
                  </c:pt>
                  <c:pt idx="741">
                    <c:v>T014</c:v>
                  </c:pt>
                  <c:pt idx="742">
                    <c:v>T015</c:v>
                  </c:pt>
                  <c:pt idx="743">
                    <c:v>T016</c:v>
                  </c:pt>
                  <c:pt idx="744">
                    <c:v>T017</c:v>
                  </c:pt>
                  <c:pt idx="745">
                    <c:v>T018</c:v>
                  </c:pt>
                  <c:pt idx="746">
                    <c:v>T019</c:v>
                  </c:pt>
                  <c:pt idx="747">
                    <c:v>T020</c:v>
                  </c:pt>
                  <c:pt idx="748">
                    <c:v>T021</c:v>
                  </c:pt>
                  <c:pt idx="749">
                    <c:v>T022</c:v>
                  </c:pt>
                  <c:pt idx="750">
                    <c:v>T023</c:v>
                  </c:pt>
                  <c:pt idx="751">
                    <c:v>T024</c:v>
                  </c:pt>
                  <c:pt idx="752">
                    <c:v>T001</c:v>
                  </c:pt>
                  <c:pt idx="753">
                    <c:v>T002</c:v>
                  </c:pt>
                  <c:pt idx="754">
                    <c:v>T003</c:v>
                  </c:pt>
                  <c:pt idx="755">
                    <c:v>T004</c:v>
                  </c:pt>
                  <c:pt idx="756">
                    <c:v>T005</c:v>
                  </c:pt>
                  <c:pt idx="757">
                    <c:v>T006</c:v>
                  </c:pt>
                  <c:pt idx="758">
                    <c:v>T007</c:v>
                  </c:pt>
                  <c:pt idx="759">
                    <c:v>T008</c:v>
                  </c:pt>
                  <c:pt idx="760">
                    <c:v>T009</c:v>
                  </c:pt>
                  <c:pt idx="761">
                    <c:v>T010</c:v>
                  </c:pt>
                  <c:pt idx="762">
                    <c:v>T011</c:v>
                  </c:pt>
                  <c:pt idx="763">
                    <c:v>T012</c:v>
                  </c:pt>
                  <c:pt idx="764">
                    <c:v>T013</c:v>
                  </c:pt>
                  <c:pt idx="765">
                    <c:v>T014</c:v>
                  </c:pt>
                  <c:pt idx="766">
                    <c:v>T015</c:v>
                  </c:pt>
                  <c:pt idx="767">
                    <c:v>T016</c:v>
                  </c:pt>
                  <c:pt idx="768">
                    <c:v>T017</c:v>
                  </c:pt>
                  <c:pt idx="769">
                    <c:v>T018</c:v>
                  </c:pt>
                  <c:pt idx="770">
                    <c:v>T019</c:v>
                  </c:pt>
                  <c:pt idx="771">
                    <c:v>T020</c:v>
                  </c:pt>
                  <c:pt idx="772">
                    <c:v>T021</c:v>
                  </c:pt>
                  <c:pt idx="773">
                    <c:v>T022</c:v>
                  </c:pt>
                  <c:pt idx="774">
                    <c:v>T023</c:v>
                  </c:pt>
                  <c:pt idx="775">
                    <c:v>T024</c:v>
                  </c:pt>
                  <c:pt idx="776">
                    <c:v>T001</c:v>
                  </c:pt>
                  <c:pt idx="777">
                    <c:v>T002</c:v>
                  </c:pt>
                  <c:pt idx="778">
                    <c:v>T003</c:v>
                  </c:pt>
                  <c:pt idx="779">
                    <c:v>T004</c:v>
                  </c:pt>
                  <c:pt idx="780">
                    <c:v>T005</c:v>
                  </c:pt>
                  <c:pt idx="781">
                    <c:v>T006</c:v>
                  </c:pt>
                  <c:pt idx="782">
                    <c:v>T007</c:v>
                  </c:pt>
                  <c:pt idx="783">
                    <c:v>T008</c:v>
                  </c:pt>
                  <c:pt idx="784">
                    <c:v>T009</c:v>
                  </c:pt>
                  <c:pt idx="785">
                    <c:v>T010</c:v>
                  </c:pt>
                  <c:pt idx="786">
                    <c:v>T011</c:v>
                  </c:pt>
                  <c:pt idx="787">
                    <c:v>T012</c:v>
                  </c:pt>
                  <c:pt idx="788">
                    <c:v>T013</c:v>
                  </c:pt>
                  <c:pt idx="789">
                    <c:v>T014</c:v>
                  </c:pt>
                  <c:pt idx="790">
                    <c:v>T015</c:v>
                  </c:pt>
                  <c:pt idx="791">
                    <c:v>T016</c:v>
                  </c:pt>
                  <c:pt idx="792">
                    <c:v>T017</c:v>
                  </c:pt>
                  <c:pt idx="793">
                    <c:v>T018</c:v>
                  </c:pt>
                  <c:pt idx="794">
                    <c:v>T019</c:v>
                  </c:pt>
                  <c:pt idx="795">
                    <c:v>T020</c:v>
                  </c:pt>
                  <c:pt idx="796">
                    <c:v>T021</c:v>
                  </c:pt>
                  <c:pt idx="797">
                    <c:v>T022</c:v>
                  </c:pt>
                  <c:pt idx="798">
                    <c:v>T023</c:v>
                  </c:pt>
                  <c:pt idx="799">
                    <c:v>T024</c:v>
                  </c:pt>
                  <c:pt idx="800">
                    <c:v>T001</c:v>
                  </c:pt>
                  <c:pt idx="801">
                    <c:v>T002</c:v>
                  </c:pt>
                  <c:pt idx="802">
                    <c:v>T003</c:v>
                  </c:pt>
                  <c:pt idx="803">
                    <c:v>T004</c:v>
                  </c:pt>
                  <c:pt idx="804">
                    <c:v>T005</c:v>
                  </c:pt>
                  <c:pt idx="805">
                    <c:v>T006</c:v>
                  </c:pt>
                  <c:pt idx="806">
                    <c:v>T007</c:v>
                  </c:pt>
                  <c:pt idx="807">
                    <c:v>T008</c:v>
                  </c:pt>
                  <c:pt idx="808">
                    <c:v>T009</c:v>
                  </c:pt>
                  <c:pt idx="809">
                    <c:v>T010</c:v>
                  </c:pt>
                  <c:pt idx="810">
                    <c:v>T011</c:v>
                  </c:pt>
                  <c:pt idx="811">
                    <c:v>T012</c:v>
                  </c:pt>
                  <c:pt idx="812">
                    <c:v>T013</c:v>
                  </c:pt>
                  <c:pt idx="813">
                    <c:v>T014</c:v>
                  </c:pt>
                  <c:pt idx="814">
                    <c:v>T015</c:v>
                  </c:pt>
                  <c:pt idx="815">
                    <c:v>T016</c:v>
                  </c:pt>
                  <c:pt idx="816">
                    <c:v>T017</c:v>
                  </c:pt>
                  <c:pt idx="817">
                    <c:v>T018</c:v>
                  </c:pt>
                  <c:pt idx="818">
                    <c:v>T019</c:v>
                  </c:pt>
                  <c:pt idx="819">
                    <c:v>T020</c:v>
                  </c:pt>
                  <c:pt idx="820">
                    <c:v>T021</c:v>
                  </c:pt>
                  <c:pt idx="821">
                    <c:v>T022</c:v>
                  </c:pt>
                  <c:pt idx="822">
                    <c:v>T023</c:v>
                  </c:pt>
                  <c:pt idx="823">
                    <c:v>T024</c:v>
                  </c:pt>
                  <c:pt idx="824">
                    <c:v>T001</c:v>
                  </c:pt>
                  <c:pt idx="825">
                    <c:v>T002</c:v>
                  </c:pt>
                  <c:pt idx="826">
                    <c:v>T003</c:v>
                  </c:pt>
                  <c:pt idx="827">
                    <c:v>T004</c:v>
                  </c:pt>
                  <c:pt idx="828">
                    <c:v>T005</c:v>
                  </c:pt>
                  <c:pt idx="829">
                    <c:v>T006</c:v>
                  </c:pt>
                  <c:pt idx="830">
                    <c:v>T007</c:v>
                  </c:pt>
                  <c:pt idx="831">
                    <c:v>T008</c:v>
                  </c:pt>
                  <c:pt idx="832">
                    <c:v>T009</c:v>
                  </c:pt>
                  <c:pt idx="833">
                    <c:v>T010</c:v>
                  </c:pt>
                  <c:pt idx="834">
                    <c:v>T011</c:v>
                  </c:pt>
                  <c:pt idx="835">
                    <c:v>T012</c:v>
                  </c:pt>
                  <c:pt idx="836">
                    <c:v>T013</c:v>
                  </c:pt>
                  <c:pt idx="837">
                    <c:v>T014</c:v>
                  </c:pt>
                  <c:pt idx="838">
                    <c:v>T015</c:v>
                  </c:pt>
                  <c:pt idx="839">
                    <c:v>T016</c:v>
                  </c:pt>
                  <c:pt idx="840">
                    <c:v>T017</c:v>
                  </c:pt>
                  <c:pt idx="841">
                    <c:v>T018</c:v>
                  </c:pt>
                  <c:pt idx="842">
                    <c:v>T019</c:v>
                  </c:pt>
                  <c:pt idx="843">
                    <c:v>T020</c:v>
                  </c:pt>
                  <c:pt idx="844">
                    <c:v>T021</c:v>
                  </c:pt>
                  <c:pt idx="845">
                    <c:v>T022</c:v>
                  </c:pt>
                  <c:pt idx="846">
                    <c:v>T023</c:v>
                  </c:pt>
                  <c:pt idx="847">
                    <c:v>T024</c:v>
                  </c:pt>
                  <c:pt idx="848">
                    <c:v>T008</c:v>
                  </c:pt>
                  <c:pt idx="849">
                    <c:v>T009</c:v>
                  </c:pt>
                  <c:pt idx="850">
                    <c:v>T010</c:v>
                  </c:pt>
                  <c:pt idx="851">
                    <c:v>T011</c:v>
                  </c:pt>
                  <c:pt idx="852">
                    <c:v>T012</c:v>
                  </c:pt>
                  <c:pt idx="853">
                    <c:v>T013</c:v>
                  </c:pt>
                  <c:pt idx="854">
                    <c:v>T014</c:v>
                  </c:pt>
                  <c:pt idx="855">
                    <c:v>T015</c:v>
                  </c:pt>
                  <c:pt idx="856">
                    <c:v>T016</c:v>
                  </c:pt>
                  <c:pt idx="857">
                    <c:v>T017</c:v>
                  </c:pt>
                  <c:pt idx="858">
                    <c:v>T018</c:v>
                  </c:pt>
                  <c:pt idx="859">
                    <c:v>T019</c:v>
                  </c:pt>
                  <c:pt idx="860">
                    <c:v>T020</c:v>
                  </c:pt>
                  <c:pt idx="861">
                    <c:v>T021</c:v>
                  </c:pt>
                  <c:pt idx="862">
                    <c:v>T001</c:v>
                  </c:pt>
                  <c:pt idx="863">
                    <c:v>T002</c:v>
                  </c:pt>
                  <c:pt idx="864">
                    <c:v>T003</c:v>
                  </c:pt>
                  <c:pt idx="865">
                    <c:v>T004</c:v>
                  </c:pt>
                  <c:pt idx="866">
                    <c:v>T005</c:v>
                  </c:pt>
                  <c:pt idx="867">
                    <c:v>T006</c:v>
                  </c:pt>
                  <c:pt idx="868">
                    <c:v>T007</c:v>
                  </c:pt>
                  <c:pt idx="869">
                    <c:v>T008</c:v>
                  </c:pt>
                  <c:pt idx="870">
                    <c:v>T009</c:v>
                  </c:pt>
                  <c:pt idx="871">
                    <c:v>T010</c:v>
                  </c:pt>
                  <c:pt idx="872">
                    <c:v>T011</c:v>
                  </c:pt>
                  <c:pt idx="873">
                    <c:v>T012</c:v>
                  </c:pt>
                  <c:pt idx="874">
                    <c:v>T013</c:v>
                  </c:pt>
                  <c:pt idx="875">
                    <c:v>T014</c:v>
                  </c:pt>
                  <c:pt idx="876">
                    <c:v>T015</c:v>
                  </c:pt>
                  <c:pt idx="877">
                    <c:v>T016</c:v>
                  </c:pt>
                  <c:pt idx="878">
                    <c:v>T017</c:v>
                  </c:pt>
                  <c:pt idx="879">
                    <c:v>T018</c:v>
                  </c:pt>
                  <c:pt idx="880">
                    <c:v>T019</c:v>
                  </c:pt>
                  <c:pt idx="881">
                    <c:v>T020</c:v>
                  </c:pt>
                  <c:pt idx="882">
                    <c:v>T021</c:v>
                  </c:pt>
                  <c:pt idx="883">
                    <c:v>T022</c:v>
                  </c:pt>
                  <c:pt idx="884">
                    <c:v>T023</c:v>
                  </c:pt>
                  <c:pt idx="885">
                    <c:v>T024</c:v>
                  </c:pt>
                  <c:pt idx="886">
                    <c:v>T019</c:v>
                  </c:pt>
                  <c:pt idx="887">
                    <c:v>T020</c:v>
                  </c:pt>
                  <c:pt idx="888">
                    <c:v>T021</c:v>
                  </c:pt>
                  <c:pt idx="889">
                    <c:v>T022</c:v>
                  </c:pt>
                  <c:pt idx="890">
                    <c:v>T001</c:v>
                  </c:pt>
                  <c:pt idx="891">
                    <c:v>T002</c:v>
                  </c:pt>
                  <c:pt idx="892">
                    <c:v>T003</c:v>
                  </c:pt>
                  <c:pt idx="893">
                    <c:v>T004</c:v>
                  </c:pt>
                  <c:pt idx="894">
                    <c:v>T005</c:v>
                  </c:pt>
                  <c:pt idx="895">
                    <c:v>T006</c:v>
                  </c:pt>
                  <c:pt idx="896">
                    <c:v>T007</c:v>
                  </c:pt>
                  <c:pt idx="897">
                    <c:v>T008</c:v>
                  </c:pt>
                  <c:pt idx="898">
                    <c:v>T009</c:v>
                  </c:pt>
                  <c:pt idx="899">
                    <c:v>T010</c:v>
                  </c:pt>
                  <c:pt idx="900">
                    <c:v>T011</c:v>
                  </c:pt>
                  <c:pt idx="901">
                    <c:v>T012</c:v>
                  </c:pt>
                  <c:pt idx="902">
                    <c:v>T013</c:v>
                  </c:pt>
                  <c:pt idx="903">
                    <c:v>T014</c:v>
                  </c:pt>
                  <c:pt idx="904">
                    <c:v>T015</c:v>
                  </c:pt>
                  <c:pt idx="905">
                    <c:v>T016</c:v>
                  </c:pt>
                  <c:pt idx="906">
                    <c:v>T017</c:v>
                  </c:pt>
                  <c:pt idx="907">
                    <c:v>T018</c:v>
                  </c:pt>
                  <c:pt idx="908">
                    <c:v>T019</c:v>
                  </c:pt>
                  <c:pt idx="909">
                    <c:v>T020</c:v>
                  </c:pt>
                  <c:pt idx="910">
                    <c:v>T021</c:v>
                  </c:pt>
                  <c:pt idx="911">
                    <c:v>T022</c:v>
                  </c:pt>
                  <c:pt idx="912">
                    <c:v>T023</c:v>
                  </c:pt>
                  <c:pt idx="913">
                    <c:v>T024</c:v>
                  </c:pt>
                  <c:pt idx="914">
                    <c:v>T001</c:v>
                  </c:pt>
                  <c:pt idx="915">
                    <c:v>T002</c:v>
                  </c:pt>
                  <c:pt idx="916">
                    <c:v>T003</c:v>
                  </c:pt>
                  <c:pt idx="917">
                    <c:v>T004</c:v>
                  </c:pt>
                  <c:pt idx="918">
                    <c:v>T005</c:v>
                  </c:pt>
                  <c:pt idx="919">
                    <c:v>T006</c:v>
                  </c:pt>
                  <c:pt idx="920">
                    <c:v>T007</c:v>
                  </c:pt>
                  <c:pt idx="921">
                    <c:v>T008</c:v>
                  </c:pt>
                  <c:pt idx="922">
                    <c:v>T009</c:v>
                  </c:pt>
                  <c:pt idx="923">
                    <c:v>T010</c:v>
                  </c:pt>
                  <c:pt idx="924">
                    <c:v>T011</c:v>
                  </c:pt>
                  <c:pt idx="925">
                    <c:v>T012</c:v>
                  </c:pt>
                  <c:pt idx="926">
                    <c:v>T013</c:v>
                  </c:pt>
                  <c:pt idx="927">
                    <c:v>T014</c:v>
                  </c:pt>
                  <c:pt idx="928">
                    <c:v>T015</c:v>
                  </c:pt>
                  <c:pt idx="929">
                    <c:v>T016</c:v>
                  </c:pt>
                  <c:pt idx="930">
                    <c:v>T017</c:v>
                  </c:pt>
                  <c:pt idx="931">
                    <c:v>T018</c:v>
                  </c:pt>
                  <c:pt idx="932">
                    <c:v>T019</c:v>
                  </c:pt>
                  <c:pt idx="933">
                    <c:v>T020</c:v>
                  </c:pt>
                  <c:pt idx="934">
                    <c:v>T021</c:v>
                  </c:pt>
                  <c:pt idx="935">
                    <c:v>T022</c:v>
                  </c:pt>
                  <c:pt idx="936">
                    <c:v>T023</c:v>
                  </c:pt>
                  <c:pt idx="937">
                    <c:v>T024</c:v>
                  </c:pt>
                  <c:pt idx="938">
                    <c:v>T001</c:v>
                  </c:pt>
                  <c:pt idx="939">
                    <c:v>T002</c:v>
                  </c:pt>
                  <c:pt idx="940">
                    <c:v>T003</c:v>
                  </c:pt>
                  <c:pt idx="941">
                    <c:v>T004</c:v>
                  </c:pt>
                  <c:pt idx="942">
                    <c:v>T005</c:v>
                  </c:pt>
                  <c:pt idx="943">
                    <c:v>T006</c:v>
                  </c:pt>
                  <c:pt idx="944">
                    <c:v>T007</c:v>
                  </c:pt>
                  <c:pt idx="945">
                    <c:v>T008</c:v>
                  </c:pt>
                  <c:pt idx="946">
                    <c:v>T009</c:v>
                  </c:pt>
                  <c:pt idx="947">
                    <c:v>T010</c:v>
                  </c:pt>
                  <c:pt idx="948">
                    <c:v>T011</c:v>
                  </c:pt>
                  <c:pt idx="949">
                    <c:v>T012</c:v>
                  </c:pt>
                  <c:pt idx="950">
                    <c:v>T013</c:v>
                  </c:pt>
                  <c:pt idx="951">
                    <c:v>T014</c:v>
                  </c:pt>
                  <c:pt idx="952">
                    <c:v>T015</c:v>
                  </c:pt>
                  <c:pt idx="953">
                    <c:v>T016</c:v>
                  </c:pt>
                  <c:pt idx="954">
                    <c:v>T017</c:v>
                  </c:pt>
                  <c:pt idx="955">
                    <c:v>T018</c:v>
                  </c:pt>
                  <c:pt idx="956">
                    <c:v>T019</c:v>
                  </c:pt>
                  <c:pt idx="957">
                    <c:v>T020</c:v>
                  </c:pt>
                  <c:pt idx="958">
                    <c:v>T021</c:v>
                  </c:pt>
                  <c:pt idx="959">
                    <c:v>T022</c:v>
                  </c:pt>
                  <c:pt idx="960">
                    <c:v>T023</c:v>
                  </c:pt>
                  <c:pt idx="961">
                    <c:v>T024</c:v>
                  </c:pt>
                  <c:pt idx="962">
                    <c:v>T001</c:v>
                  </c:pt>
                  <c:pt idx="963">
                    <c:v>T002</c:v>
                  </c:pt>
                  <c:pt idx="964">
                    <c:v>T003</c:v>
                  </c:pt>
                  <c:pt idx="965">
                    <c:v>T004</c:v>
                  </c:pt>
                  <c:pt idx="966">
                    <c:v>T005</c:v>
                  </c:pt>
                  <c:pt idx="967">
                    <c:v>T006</c:v>
                  </c:pt>
                  <c:pt idx="968">
                    <c:v>T007</c:v>
                  </c:pt>
                  <c:pt idx="969">
                    <c:v>T008</c:v>
                  </c:pt>
                  <c:pt idx="970">
                    <c:v>T009</c:v>
                  </c:pt>
                  <c:pt idx="971">
                    <c:v>T010</c:v>
                  </c:pt>
                  <c:pt idx="972">
                    <c:v>T011</c:v>
                  </c:pt>
                  <c:pt idx="973">
                    <c:v>T012</c:v>
                  </c:pt>
                  <c:pt idx="974">
                    <c:v>T013</c:v>
                  </c:pt>
                  <c:pt idx="975">
                    <c:v>T014</c:v>
                  </c:pt>
                  <c:pt idx="976">
                    <c:v>T015</c:v>
                  </c:pt>
                  <c:pt idx="977">
                    <c:v>T016</c:v>
                  </c:pt>
                  <c:pt idx="978">
                    <c:v>T017</c:v>
                  </c:pt>
                  <c:pt idx="979">
                    <c:v>T018</c:v>
                  </c:pt>
                  <c:pt idx="980">
                    <c:v>T019</c:v>
                  </c:pt>
                  <c:pt idx="981">
                    <c:v>T020</c:v>
                  </c:pt>
                  <c:pt idx="982">
                    <c:v>T021</c:v>
                  </c:pt>
                  <c:pt idx="983">
                    <c:v>T022</c:v>
                  </c:pt>
                  <c:pt idx="984">
                    <c:v>T023</c:v>
                  </c:pt>
                  <c:pt idx="985">
                    <c:v>T024</c:v>
                  </c:pt>
                  <c:pt idx="986">
                    <c:v>T001</c:v>
                  </c:pt>
                  <c:pt idx="987">
                    <c:v>T002</c:v>
                  </c:pt>
                  <c:pt idx="988">
                    <c:v>T003</c:v>
                  </c:pt>
                  <c:pt idx="989">
                    <c:v>T004</c:v>
                  </c:pt>
                  <c:pt idx="990">
                    <c:v>T005</c:v>
                  </c:pt>
                  <c:pt idx="991">
                    <c:v>T006</c:v>
                  </c:pt>
                  <c:pt idx="992">
                    <c:v>T007</c:v>
                  </c:pt>
                  <c:pt idx="993">
                    <c:v>T008</c:v>
                  </c:pt>
                  <c:pt idx="994">
                    <c:v>T009</c:v>
                  </c:pt>
                  <c:pt idx="995">
                    <c:v>T010</c:v>
                  </c:pt>
                  <c:pt idx="996">
                    <c:v>T011</c:v>
                  </c:pt>
                  <c:pt idx="997">
                    <c:v>T012</c:v>
                  </c:pt>
                  <c:pt idx="998">
                    <c:v>T013</c:v>
                  </c:pt>
                  <c:pt idx="999">
                    <c:v>T014</c:v>
                  </c:pt>
                  <c:pt idx="1000">
                    <c:v>T015</c:v>
                  </c:pt>
                  <c:pt idx="1001">
                    <c:v>T016</c:v>
                  </c:pt>
                  <c:pt idx="1002">
                    <c:v>T017</c:v>
                  </c:pt>
                  <c:pt idx="1003">
                    <c:v>T018</c:v>
                  </c:pt>
                  <c:pt idx="1004">
                    <c:v>T019</c:v>
                  </c:pt>
                  <c:pt idx="1005">
                    <c:v>T020</c:v>
                  </c:pt>
                  <c:pt idx="1006">
                    <c:v>T021</c:v>
                  </c:pt>
                  <c:pt idx="1007">
                    <c:v>T022</c:v>
                  </c:pt>
                  <c:pt idx="1008">
                    <c:v>T023</c:v>
                  </c:pt>
                  <c:pt idx="1009">
                    <c:v>T024</c:v>
                  </c:pt>
                  <c:pt idx="1010">
                    <c:v>T004</c:v>
                  </c:pt>
                  <c:pt idx="1011">
                    <c:v>T005</c:v>
                  </c:pt>
                  <c:pt idx="1012">
                    <c:v>T006</c:v>
                  </c:pt>
                  <c:pt idx="1013">
                    <c:v>T007</c:v>
                  </c:pt>
                  <c:pt idx="1014">
                    <c:v>T008</c:v>
                  </c:pt>
                  <c:pt idx="1015">
                    <c:v>T009</c:v>
                  </c:pt>
                  <c:pt idx="1016">
                    <c:v>T010</c:v>
                  </c:pt>
                  <c:pt idx="1017">
                    <c:v>T011</c:v>
                  </c:pt>
                  <c:pt idx="1018">
                    <c:v>T012</c:v>
                  </c:pt>
                  <c:pt idx="1019">
                    <c:v>T013</c:v>
                  </c:pt>
                  <c:pt idx="1020">
                    <c:v>T014</c:v>
                  </c:pt>
                  <c:pt idx="1021">
                    <c:v>T016</c:v>
                  </c:pt>
                  <c:pt idx="1022">
                    <c:v>T017</c:v>
                  </c:pt>
                  <c:pt idx="1023">
                    <c:v>T018</c:v>
                  </c:pt>
                  <c:pt idx="1024">
                    <c:v>T019</c:v>
                  </c:pt>
                  <c:pt idx="1025">
                    <c:v>T020</c:v>
                  </c:pt>
                  <c:pt idx="1026">
                    <c:v>T021</c:v>
                  </c:pt>
                  <c:pt idx="1027">
                    <c:v>T022</c:v>
                  </c:pt>
                  <c:pt idx="1028">
                    <c:v>T023</c:v>
                  </c:pt>
                  <c:pt idx="1029">
                    <c:v>T001</c:v>
                  </c:pt>
                  <c:pt idx="1030">
                    <c:v>T002</c:v>
                  </c:pt>
                  <c:pt idx="1031">
                    <c:v>T003</c:v>
                  </c:pt>
                  <c:pt idx="1032">
                    <c:v>T004</c:v>
                  </c:pt>
                  <c:pt idx="1033">
                    <c:v>T005</c:v>
                  </c:pt>
                  <c:pt idx="1034">
                    <c:v>T006</c:v>
                  </c:pt>
                  <c:pt idx="1035">
                    <c:v>T007</c:v>
                  </c:pt>
                  <c:pt idx="1036">
                    <c:v>T008</c:v>
                  </c:pt>
                  <c:pt idx="1037">
                    <c:v>T009</c:v>
                  </c:pt>
                  <c:pt idx="1038">
                    <c:v>T010</c:v>
                  </c:pt>
                  <c:pt idx="1039">
                    <c:v>T011</c:v>
                  </c:pt>
                  <c:pt idx="1040">
                    <c:v>T012</c:v>
                  </c:pt>
                  <c:pt idx="1041">
                    <c:v>T013</c:v>
                  </c:pt>
                  <c:pt idx="1042">
                    <c:v>T014</c:v>
                  </c:pt>
                  <c:pt idx="1043">
                    <c:v>T015</c:v>
                  </c:pt>
                  <c:pt idx="1044">
                    <c:v>T016</c:v>
                  </c:pt>
                  <c:pt idx="1045">
                    <c:v>T017</c:v>
                  </c:pt>
                  <c:pt idx="1046">
                    <c:v>T018</c:v>
                  </c:pt>
                  <c:pt idx="1047">
                    <c:v>T019</c:v>
                  </c:pt>
                  <c:pt idx="1048">
                    <c:v>T020</c:v>
                  </c:pt>
                  <c:pt idx="1049">
                    <c:v>T021</c:v>
                  </c:pt>
                  <c:pt idx="1050">
                    <c:v>T022</c:v>
                  </c:pt>
                  <c:pt idx="1051">
                    <c:v>T023</c:v>
                  </c:pt>
                  <c:pt idx="1052">
                    <c:v>T024</c:v>
                  </c:pt>
                  <c:pt idx="1053">
                    <c:v>T001</c:v>
                  </c:pt>
                  <c:pt idx="1054">
                    <c:v>T002</c:v>
                  </c:pt>
                  <c:pt idx="1055">
                    <c:v>T003</c:v>
                  </c:pt>
                  <c:pt idx="1056">
                    <c:v>T004</c:v>
                  </c:pt>
                  <c:pt idx="1057">
                    <c:v>T005</c:v>
                  </c:pt>
                  <c:pt idx="1058">
                    <c:v>T006</c:v>
                  </c:pt>
                  <c:pt idx="1059">
                    <c:v>T007</c:v>
                  </c:pt>
                  <c:pt idx="1060">
                    <c:v>T008</c:v>
                  </c:pt>
                  <c:pt idx="1061">
                    <c:v>T009</c:v>
                  </c:pt>
                  <c:pt idx="1062">
                    <c:v>T010</c:v>
                  </c:pt>
                  <c:pt idx="1063">
                    <c:v>T011</c:v>
                  </c:pt>
                  <c:pt idx="1064">
                    <c:v>T012</c:v>
                  </c:pt>
                  <c:pt idx="1065">
                    <c:v>T013</c:v>
                  </c:pt>
                  <c:pt idx="1066">
                    <c:v>T014</c:v>
                  </c:pt>
                  <c:pt idx="1067">
                    <c:v>T015</c:v>
                  </c:pt>
                  <c:pt idx="1068">
                    <c:v>T016</c:v>
                  </c:pt>
                  <c:pt idx="1069">
                    <c:v>T017</c:v>
                  </c:pt>
                  <c:pt idx="1070">
                    <c:v>T018</c:v>
                  </c:pt>
                  <c:pt idx="1071">
                    <c:v>T019</c:v>
                  </c:pt>
                  <c:pt idx="1072">
                    <c:v>T020</c:v>
                  </c:pt>
                  <c:pt idx="1073">
                    <c:v>T021</c:v>
                  </c:pt>
                  <c:pt idx="1074">
                    <c:v>T022</c:v>
                  </c:pt>
                  <c:pt idx="1075">
                    <c:v>T023</c:v>
                  </c:pt>
                  <c:pt idx="1076">
                    <c:v>T024</c:v>
                  </c:pt>
                  <c:pt idx="1077">
                    <c:v>T007</c:v>
                  </c:pt>
                  <c:pt idx="1078">
                    <c:v>T008</c:v>
                  </c:pt>
                  <c:pt idx="1079">
                    <c:v>T009</c:v>
                  </c:pt>
                  <c:pt idx="1080">
                    <c:v>T010</c:v>
                  </c:pt>
                  <c:pt idx="1081">
                    <c:v>T011</c:v>
                  </c:pt>
                  <c:pt idx="1082">
                    <c:v>T012</c:v>
                  </c:pt>
                  <c:pt idx="1083">
                    <c:v>T013</c:v>
                  </c:pt>
                  <c:pt idx="1084">
                    <c:v>T014</c:v>
                  </c:pt>
                  <c:pt idx="1085">
                    <c:v>T015</c:v>
                  </c:pt>
                  <c:pt idx="1086">
                    <c:v>T016</c:v>
                  </c:pt>
                  <c:pt idx="1087">
                    <c:v>T017</c:v>
                  </c:pt>
                  <c:pt idx="1088">
                    <c:v>T018</c:v>
                  </c:pt>
                  <c:pt idx="1089">
                    <c:v>T019</c:v>
                  </c:pt>
                  <c:pt idx="1090">
                    <c:v>T020</c:v>
                  </c:pt>
                  <c:pt idx="1091">
                    <c:v>T021</c:v>
                  </c:pt>
                  <c:pt idx="1092">
                    <c:v>T022</c:v>
                  </c:pt>
                  <c:pt idx="1093">
                    <c:v>T023</c:v>
                  </c:pt>
                  <c:pt idx="1094">
                    <c:v>T024</c:v>
                  </c:pt>
                  <c:pt idx="1095">
                    <c:v>T001</c:v>
                  </c:pt>
                  <c:pt idx="1096">
                    <c:v>T002</c:v>
                  </c:pt>
                  <c:pt idx="1097">
                    <c:v>T003</c:v>
                  </c:pt>
                  <c:pt idx="1098">
                    <c:v>T004</c:v>
                  </c:pt>
                  <c:pt idx="1099">
                    <c:v>T005</c:v>
                  </c:pt>
                  <c:pt idx="1100">
                    <c:v>T006</c:v>
                  </c:pt>
                  <c:pt idx="1101">
                    <c:v>T007</c:v>
                  </c:pt>
                  <c:pt idx="1102">
                    <c:v>T008</c:v>
                  </c:pt>
                  <c:pt idx="1103">
                    <c:v>T009</c:v>
                  </c:pt>
                  <c:pt idx="1104">
                    <c:v>T010</c:v>
                  </c:pt>
                  <c:pt idx="1105">
                    <c:v>T011</c:v>
                  </c:pt>
                  <c:pt idx="1106">
                    <c:v>T012</c:v>
                  </c:pt>
                  <c:pt idx="1107">
                    <c:v>T013</c:v>
                  </c:pt>
                  <c:pt idx="1108">
                    <c:v>T014</c:v>
                  </c:pt>
                  <c:pt idx="1109">
                    <c:v>T015</c:v>
                  </c:pt>
                  <c:pt idx="1110">
                    <c:v>T016</c:v>
                  </c:pt>
                  <c:pt idx="1111">
                    <c:v>T017</c:v>
                  </c:pt>
                  <c:pt idx="1112">
                    <c:v>T018</c:v>
                  </c:pt>
                  <c:pt idx="1113">
                    <c:v>T019</c:v>
                  </c:pt>
                  <c:pt idx="1114">
                    <c:v>T020</c:v>
                  </c:pt>
                  <c:pt idx="1115">
                    <c:v>T021</c:v>
                  </c:pt>
                  <c:pt idx="1116">
                    <c:v>T022</c:v>
                  </c:pt>
                  <c:pt idx="1117">
                    <c:v>T023</c:v>
                  </c:pt>
                  <c:pt idx="1118">
                    <c:v>T024</c:v>
                  </c:pt>
                  <c:pt idx="1119">
                    <c:v>T001</c:v>
                  </c:pt>
                  <c:pt idx="1120">
                    <c:v>T002</c:v>
                  </c:pt>
                  <c:pt idx="1121">
                    <c:v>T003</c:v>
                  </c:pt>
                  <c:pt idx="1122">
                    <c:v>T004</c:v>
                  </c:pt>
                  <c:pt idx="1123">
                    <c:v>T005</c:v>
                  </c:pt>
                  <c:pt idx="1124">
                    <c:v>T006</c:v>
                  </c:pt>
                  <c:pt idx="1125">
                    <c:v>T007</c:v>
                  </c:pt>
                  <c:pt idx="1126">
                    <c:v>T008</c:v>
                  </c:pt>
                  <c:pt idx="1127">
                    <c:v>T009</c:v>
                  </c:pt>
                  <c:pt idx="1128">
                    <c:v>T010</c:v>
                  </c:pt>
                  <c:pt idx="1129">
                    <c:v>T011</c:v>
                  </c:pt>
                  <c:pt idx="1130">
                    <c:v>T012</c:v>
                  </c:pt>
                  <c:pt idx="1131">
                    <c:v>T013</c:v>
                  </c:pt>
                  <c:pt idx="1132">
                    <c:v>T014</c:v>
                  </c:pt>
                  <c:pt idx="1133">
                    <c:v>T015</c:v>
                  </c:pt>
                  <c:pt idx="1134">
                    <c:v>T016</c:v>
                  </c:pt>
                  <c:pt idx="1135">
                    <c:v>T017</c:v>
                  </c:pt>
                  <c:pt idx="1136">
                    <c:v>T018</c:v>
                  </c:pt>
                  <c:pt idx="1137">
                    <c:v>T019</c:v>
                  </c:pt>
                  <c:pt idx="1138">
                    <c:v>T020</c:v>
                  </c:pt>
                  <c:pt idx="1139">
                    <c:v>T021</c:v>
                  </c:pt>
                  <c:pt idx="1140">
                    <c:v>T022</c:v>
                  </c:pt>
                  <c:pt idx="1141">
                    <c:v>T023</c:v>
                  </c:pt>
                  <c:pt idx="1142">
                    <c:v>T024</c:v>
                  </c:pt>
                  <c:pt idx="1143">
                    <c:v>T001</c:v>
                  </c:pt>
                  <c:pt idx="1144">
                    <c:v>T002</c:v>
                  </c:pt>
                  <c:pt idx="1145">
                    <c:v>T003</c:v>
                  </c:pt>
                  <c:pt idx="1146">
                    <c:v>T004</c:v>
                  </c:pt>
                  <c:pt idx="1147">
                    <c:v>T005</c:v>
                  </c:pt>
                  <c:pt idx="1148">
                    <c:v>T006</c:v>
                  </c:pt>
                  <c:pt idx="1149">
                    <c:v>T007</c:v>
                  </c:pt>
                  <c:pt idx="1150">
                    <c:v>T008</c:v>
                  </c:pt>
                  <c:pt idx="1151">
                    <c:v>T009</c:v>
                  </c:pt>
                  <c:pt idx="1152">
                    <c:v>T010</c:v>
                  </c:pt>
                  <c:pt idx="1153">
                    <c:v>T011</c:v>
                  </c:pt>
                  <c:pt idx="1154">
                    <c:v>T012</c:v>
                  </c:pt>
                  <c:pt idx="1155">
                    <c:v>T013</c:v>
                  </c:pt>
                  <c:pt idx="1156">
                    <c:v>T014</c:v>
                  </c:pt>
                  <c:pt idx="1157">
                    <c:v>T015</c:v>
                  </c:pt>
                  <c:pt idx="1158">
                    <c:v>T016</c:v>
                  </c:pt>
                  <c:pt idx="1159">
                    <c:v>T017</c:v>
                  </c:pt>
                  <c:pt idx="1160">
                    <c:v>T018</c:v>
                  </c:pt>
                  <c:pt idx="1161">
                    <c:v>T019</c:v>
                  </c:pt>
                  <c:pt idx="1162">
                    <c:v>T020</c:v>
                  </c:pt>
                  <c:pt idx="1163">
                    <c:v>T021</c:v>
                  </c:pt>
                  <c:pt idx="1164">
                    <c:v>T022</c:v>
                  </c:pt>
                  <c:pt idx="1165">
                    <c:v>T023</c:v>
                  </c:pt>
                  <c:pt idx="1166">
                    <c:v>T024</c:v>
                  </c:pt>
                  <c:pt idx="1167">
                    <c:v>T001</c:v>
                  </c:pt>
                  <c:pt idx="1168">
                    <c:v>T002</c:v>
                  </c:pt>
                  <c:pt idx="1169">
                    <c:v>T003</c:v>
                  </c:pt>
                  <c:pt idx="1170">
                    <c:v>T004</c:v>
                  </c:pt>
                  <c:pt idx="1171">
                    <c:v>T005</c:v>
                  </c:pt>
                  <c:pt idx="1172">
                    <c:v>T006</c:v>
                  </c:pt>
                  <c:pt idx="1173">
                    <c:v>T007</c:v>
                  </c:pt>
                  <c:pt idx="1174">
                    <c:v>T008</c:v>
                  </c:pt>
                  <c:pt idx="1175">
                    <c:v>T009</c:v>
                  </c:pt>
                  <c:pt idx="1176">
                    <c:v>T010</c:v>
                  </c:pt>
                  <c:pt idx="1177">
                    <c:v>T011</c:v>
                  </c:pt>
                  <c:pt idx="1178">
                    <c:v>T012</c:v>
                  </c:pt>
                  <c:pt idx="1179">
                    <c:v>T013</c:v>
                  </c:pt>
                  <c:pt idx="1180">
                    <c:v>T014</c:v>
                  </c:pt>
                  <c:pt idx="1181">
                    <c:v>T015</c:v>
                  </c:pt>
                  <c:pt idx="1182">
                    <c:v>T016</c:v>
                  </c:pt>
                  <c:pt idx="1183">
                    <c:v>T017</c:v>
                  </c:pt>
                  <c:pt idx="1184">
                    <c:v>T018</c:v>
                  </c:pt>
                  <c:pt idx="1185">
                    <c:v>T019</c:v>
                  </c:pt>
                  <c:pt idx="1186">
                    <c:v>T020</c:v>
                  </c:pt>
                  <c:pt idx="1187">
                    <c:v>T021</c:v>
                  </c:pt>
                  <c:pt idx="1188">
                    <c:v>T022</c:v>
                  </c:pt>
                  <c:pt idx="1189">
                    <c:v>T023</c:v>
                  </c:pt>
                  <c:pt idx="1190">
                    <c:v>T024</c:v>
                  </c:pt>
                  <c:pt idx="1191">
                    <c:v>T001</c:v>
                  </c:pt>
                  <c:pt idx="1192">
                    <c:v>T002</c:v>
                  </c:pt>
                  <c:pt idx="1193">
                    <c:v>T003</c:v>
                  </c:pt>
                  <c:pt idx="1194">
                    <c:v>T004</c:v>
                  </c:pt>
                  <c:pt idx="1195">
                    <c:v>T005</c:v>
                  </c:pt>
                  <c:pt idx="1196">
                    <c:v>T006</c:v>
                  </c:pt>
                  <c:pt idx="1197">
                    <c:v>T007</c:v>
                  </c:pt>
                  <c:pt idx="1198">
                    <c:v>T008</c:v>
                  </c:pt>
                  <c:pt idx="1199">
                    <c:v>T009</c:v>
                  </c:pt>
                  <c:pt idx="1200">
                    <c:v>T010</c:v>
                  </c:pt>
                  <c:pt idx="1201">
                    <c:v>T011</c:v>
                  </c:pt>
                  <c:pt idx="1202">
                    <c:v>T012</c:v>
                  </c:pt>
                  <c:pt idx="1203">
                    <c:v>T013</c:v>
                  </c:pt>
                  <c:pt idx="1204">
                    <c:v>T014</c:v>
                  </c:pt>
                  <c:pt idx="1205">
                    <c:v>T015</c:v>
                  </c:pt>
                  <c:pt idx="1206">
                    <c:v>T016</c:v>
                  </c:pt>
                  <c:pt idx="1207">
                    <c:v>T017</c:v>
                  </c:pt>
                  <c:pt idx="1208">
                    <c:v>T018</c:v>
                  </c:pt>
                  <c:pt idx="1209">
                    <c:v>T019</c:v>
                  </c:pt>
                  <c:pt idx="1210">
                    <c:v>T020</c:v>
                  </c:pt>
                  <c:pt idx="1211">
                    <c:v>T021</c:v>
                  </c:pt>
                  <c:pt idx="1212">
                    <c:v>T022</c:v>
                  </c:pt>
                  <c:pt idx="1213">
                    <c:v>T023</c:v>
                  </c:pt>
                  <c:pt idx="1214">
                    <c:v>T024</c:v>
                  </c:pt>
                  <c:pt idx="1215">
                    <c:v>T005</c:v>
                  </c:pt>
                  <c:pt idx="1216">
                    <c:v>T006</c:v>
                  </c:pt>
                  <c:pt idx="1217">
                    <c:v>T007</c:v>
                  </c:pt>
                  <c:pt idx="1218">
                    <c:v>T008</c:v>
                  </c:pt>
                  <c:pt idx="1219">
                    <c:v>T009</c:v>
                  </c:pt>
                  <c:pt idx="1220">
                    <c:v>T010</c:v>
                  </c:pt>
                  <c:pt idx="1221">
                    <c:v>T011</c:v>
                  </c:pt>
                  <c:pt idx="1222">
                    <c:v>T012</c:v>
                  </c:pt>
                  <c:pt idx="1223">
                    <c:v>T013</c:v>
                  </c:pt>
                  <c:pt idx="1224">
                    <c:v>T014</c:v>
                  </c:pt>
                  <c:pt idx="1225">
                    <c:v>T015</c:v>
                  </c:pt>
                  <c:pt idx="1226">
                    <c:v>T016</c:v>
                  </c:pt>
                  <c:pt idx="1227">
                    <c:v>T017</c:v>
                  </c:pt>
                  <c:pt idx="1228">
                    <c:v>T018</c:v>
                  </c:pt>
                  <c:pt idx="1229">
                    <c:v>T019</c:v>
                  </c:pt>
                  <c:pt idx="1230">
                    <c:v>T020</c:v>
                  </c:pt>
                  <c:pt idx="1231">
                    <c:v>T021</c:v>
                  </c:pt>
                  <c:pt idx="1232">
                    <c:v>T022</c:v>
                  </c:pt>
                  <c:pt idx="1233">
                    <c:v>T023</c:v>
                  </c:pt>
                  <c:pt idx="1234">
                    <c:v>T024</c:v>
                  </c:pt>
                  <c:pt idx="1235">
                    <c:v>T001</c:v>
                  </c:pt>
                  <c:pt idx="1236">
                    <c:v>T002</c:v>
                  </c:pt>
                  <c:pt idx="1237">
                    <c:v>T003</c:v>
                  </c:pt>
                  <c:pt idx="1238">
                    <c:v>T004</c:v>
                  </c:pt>
                  <c:pt idx="1239">
                    <c:v>T005</c:v>
                  </c:pt>
                  <c:pt idx="1240">
                    <c:v>T006</c:v>
                  </c:pt>
                  <c:pt idx="1241">
                    <c:v>T007</c:v>
                  </c:pt>
                  <c:pt idx="1242">
                    <c:v>T008</c:v>
                  </c:pt>
                  <c:pt idx="1243">
                    <c:v>T009</c:v>
                  </c:pt>
                  <c:pt idx="1244">
                    <c:v>T010</c:v>
                  </c:pt>
                  <c:pt idx="1245">
                    <c:v>T011</c:v>
                  </c:pt>
                  <c:pt idx="1246">
                    <c:v>T012</c:v>
                  </c:pt>
                  <c:pt idx="1247">
                    <c:v>T013</c:v>
                  </c:pt>
                  <c:pt idx="1248">
                    <c:v>T014</c:v>
                  </c:pt>
                  <c:pt idx="1249">
                    <c:v>T015</c:v>
                  </c:pt>
                  <c:pt idx="1250">
                    <c:v>T016</c:v>
                  </c:pt>
                  <c:pt idx="1251">
                    <c:v>T017</c:v>
                  </c:pt>
                  <c:pt idx="1252">
                    <c:v>T018</c:v>
                  </c:pt>
                  <c:pt idx="1253">
                    <c:v>T019</c:v>
                  </c:pt>
                  <c:pt idx="1254">
                    <c:v>T020</c:v>
                  </c:pt>
                  <c:pt idx="1255">
                    <c:v>T021</c:v>
                  </c:pt>
                  <c:pt idx="1256">
                    <c:v>T022</c:v>
                  </c:pt>
                  <c:pt idx="1257">
                    <c:v>T023</c:v>
                  </c:pt>
                  <c:pt idx="1258">
                    <c:v>T024</c:v>
                  </c:pt>
                  <c:pt idx="1259">
                    <c:v>T001</c:v>
                  </c:pt>
                  <c:pt idx="1260">
                    <c:v>T002</c:v>
                  </c:pt>
                  <c:pt idx="1261">
                    <c:v>T003</c:v>
                  </c:pt>
                  <c:pt idx="1262">
                    <c:v>T004</c:v>
                  </c:pt>
                  <c:pt idx="1263">
                    <c:v>T005</c:v>
                  </c:pt>
                  <c:pt idx="1264">
                    <c:v>T006</c:v>
                  </c:pt>
                  <c:pt idx="1265">
                    <c:v>T007</c:v>
                  </c:pt>
                  <c:pt idx="1266">
                    <c:v>T008</c:v>
                  </c:pt>
                  <c:pt idx="1267">
                    <c:v>T009</c:v>
                  </c:pt>
                  <c:pt idx="1268">
                    <c:v>T010</c:v>
                  </c:pt>
                  <c:pt idx="1269">
                    <c:v>T011</c:v>
                  </c:pt>
                  <c:pt idx="1270">
                    <c:v>T012</c:v>
                  </c:pt>
                  <c:pt idx="1271">
                    <c:v>T013</c:v>
                  </c:pt>
                  <c:pt idx="1272">
                    <c:v>T014</c:v>
                  </c:pt>
                  <c:pt idx="1273">
                    <c:v>T015</c:v>
                  </c:pt>
                  <c:pt idx="1274">
                    <c:v>T016</c:v>
                  </c:pt>
                  <c:pt idx="1275">
                    <c:v>T017</c:v>
                  </c:pt>
                  <c:pt idx="1276">
                    <c:v>T018</c:v>
                  </c:pt>
                  <c:pt idx="1277">
                    <c:v>T019</c:v>
                  </c:pt>
                  <c:pt idx="1278">
                    <c:v>T020</c:v>
                  </c:pt>
                  <c:pt idx="1279">
                    <c:v>T021</c:v>
                  </c:pt>
                  <c:pt idx="1280">
                    <c:v>T022</c:v>
                  </c:pt>
                  <c:pt idx="1281">
                    <c:v>T023</c:v>
                  </c:pt>
                  <c:pt idx="1282">
                    <c:v>T024</c:v>
                  </c:pt>
                  <c:pt idx="1283">
                    <c:v>T001</c:v>
                  </c:pt>
                  <c:pt idx="1284">
                    <c:v>T002</c:v>
                  </c:pt>
                  <c:pt idx="1285">
                    <c:v>T003</c:v>
                  </c:pt>
                  <c:pt idx="1286">
                    <c:v>T004</c:v>
                  </c:pt>
                  <c:pt idx="1287">
                    <c:v>T005</c:v>
                  </c:pt>
                  <c:pt idx="1288">
                    <c:v>T006</c:v>
                  </c:pt>
                  <c:pt idx="1289">
                    <c:v>T007</c:v>
                  </c:pt>
                  <c:pt idx="1290">
                    <c:v>T008</c:v>
                  </c:pt>
                  <c:pt idx="1291">
                    <c:v>T009</c:v>
                  </c:pt>
                  <c:pt idx="1292">
                    <c:v>T010</c:v>
                  </c:pt>
                  <c:pt idx="1293">
                    <c:v>T011</c:v>
                  </c:pt>
                  <c:pt idx="1294">
                    <c:v>T012</c:v>
                  </c:pt>
                  <c:pt idx="1295">
                    <c:v>T013</c:v>
                  </c:pt>
                  <c:pt idx="1296">
                    <c:v>T014</c:v>
                  </c:pt>
                  <c:pt idx="1297">
                    <c:v>T015</c:v>
                  </c:pt>
                  <c:pt idx="1298">
                    <c:v>T016</c:v>
                  </c:pt>
                  <c:pt idx="1299">
                    <c:v>T017</c:v>
                  </c:pt>
                  <c:pt idx="1300">
                    <c:v>T018</c:v>
                  </c:pt>
                  <c:pt idx="1301">
                    <c:v>T019</c:v>
                  </c:pt>
                  <c:pt idx="1302">
                    <c:v>T020</c:v>
                  </c:pt>
                  <c:pt idx="1303">
                    <c:v>T021</c:v>
                  </c:pt>
                  <c:pt idx="1304">
                    <c:v>T022</c:v>
                  </c:pt>
                  <c:pt idx="1305">
                    <c:v>T023</c:v>
                  </c:pt>
                  <c:pt idx="1306">
                    <c:v>T024</c:v>
                  </c:pt>
                  <c:pt idx="1307">
                    <c:v>T001</c:v>
                  </c:pt>
                  <c:pt idx="1308">
                    <c:v>T002</c:v>
                  </c:pt>
                  <c:pt idx="1309">
                    <c:v>T003</c:v>
                  </c:pt>
                  <c:pt idx="1310">
                    <c:v>T004</c:v>
                  </c:pt>
                  <c:pt idx="1311">
                    <c:v>T005</c:v>
                  </c:pt>
                  <c:pt idx="1312">
                    <c:v>T006</c:v>
                  </c:pt>
                  <c:pt idx="1313">
                    <c:v>T007</c:v>
                  </c:pt>
                  <c:pt idx="1314">
                    <c:v>T008</c:v>
                  </c:pt>
                  <c:pt idx="1315">
                    <c:v>T009</c:v>
                  </c:pt>
                  <c:pt idx="1316">
                    <c:v>T010</c:v>
                  </c:pt>
                  <c:pt idx="1317">
                    <c:v>T011</c:v>
                  </c:pt>
                  <c:pt idx="1318">
                    <c:v>T012</c:v>
                  </c:pt>
                  <c:pt idx="1319">
                    <c:v>T013</c:v>
                  </c:pt>
                  <c:pt idx="1320">
                    <c:v>T014</c:v>
                  </c:pt>
                  <c:pt idx="1321">
                    <c:v>T015</c:v>
                  </c:pt>
                  <c:pt idx="1322">
                    <c:v>T016</c:v>
                  </c:pt>
                  <c:pt idx="1323">
                    <c:v>T017</c:v>
                  </c:pt>
                  <c:pt idx="1324">
                    <c:v>T018</c:v>
                  </c:pt>
                  <c:pt idx="1325">
                    <c:v>T019</c:v>
                  </c:pt>
                  <c:pt idx="1326">
                    <c:v>T020</c:v>
                  </c:pt>
                  <c:pt idx="1327">
                    <c:v>T021</c:v>
                  </c:pt>
                  <c:pt idx="1328">
                    <c:v>T022</c:v>
                  </c:pt>
                  <c:pt idx="1329">
                    <c:v>T023</c:v>
                  </c:pt>
                  <c:pt idx="1330">
                    <c:v>T024</c:v>
                  </c:pt>
                  <c:pt idx="1331">
                    <c:v>T001</c:v>
                  </c:pt>
                  <c:pt idx="1332">
                    <c:v>T002</c:v>
                  </c:pt>
                  <c:pt idx="1333">
                    <c:v>T003</c:v>
                  </c:pt>
                  <c:pt idx="1334">
                    <c:v>T004</c:v>
                  </c:pt>
                  <c:pt idx="1335">
                    <c:v>T005</c:v>
                  </c:pt>
                  <c:pt idx="1336">
                    <c:v>T006</c:v>
                  </c:pt>
                  <c:pt idx="1337">
                    <c:v>T007</c:v>
                  </c:pt>
                  <c:pt idx="1338">
                    <c:v>T008</c:v>
                  </c:pt>
                  <c:pt idx="1339">
                    <c:v>T009</c:v>
                  </c:pt>
                  <c:pt idx="1340">
                    <c:v>T010</c:v>
                  </c:pt>
                  <c:pt idx="1341">
                    <c:v>T011</c:v>
                  </c:pt>
                  <c:pt idx="1342">
                    <c:v>T012</c:v>
                  </c:pt>
                  <c:pt idx="1343">
                    <c:v>T013</c:v>
                  </c:pt>
                  <c:pt idx="1344">
                    <c:v>T014</c:v>
                  </c:pt>
                  <c:pt idx="1345">
                    <c:v>T015</c:v>
                  </c:pt>
                  <c:pt idx="1346">
                    <c:v>T016</c:v>
                  </c:pt>
                  <c:pt idx="1347">
                    <c:v>T017</c:v>
                  </c:pt>
                  <c:pt idx="1348">
                    <c:v>T018</c:v>
                  </c:pt>
                  <c:pt idx="1349">
                    <c:v>T019</c:v>
                  </c:pt>
                  <c:pt idx="1350">
                    <c:v>T020</c:v>
                  </c:pt>
                  <c:pt idx="1351">
                    <c:v>T021</c:v>
                  </c:pt>
                  <c:pt idx="1352">
                    <c:v>T022</c:v>
                  </c:pt>
                  <c:pt idx="1353">
                    <c:v>T023</c:v>
                  </c:pt>
                  <c:pt idx="1354">
                    <c:v>T024</c:v>
                  </c:pt>
                  <c:pt idx="1355">
                    <c:v>T006</c:v>
                  </c:pt>
                  <c:pt idx="1356">
                    <c:v>T007</c:v>
                  </c:pt>
                  <c:pt idx="1357">
                    <c:v>T008</c:v>
                  </c:pt>
                  <c:pt idx="1358">
                    <c:v>T009</c:v>
                  </c:pt>
                  <c:pt idx="1359">
                    <c:v>T010</c:v>
                  </c:pt>
                  <c:pt idx="1360">
                    <c:v>T011</c:v>
                  </c:pt>
                  <c:pt idx="1361">
                    <c:v>T012</c:v>
                  </c:pt>
                  <c:pt idx="1362">
                    <c:v>T013</c:v>
                  </c:pt>
                  <c:pt idx="1363">
                    <c:v>T014</c:v>
                  </c:pt>
                  <c:pt idx="1364">
                    <c:v>T015</c:v>
                  </c:pt>
                  <c:pt idx="1365">
                    <c:v>T016</c:v>
                  </c:pt>
                  <c:pt idx="1366">
                    <c:v>T017</c:v>
                  </c:pt>
                  <c:pt idx="1367">
                    <c:v>T018</c:v>
                  </c:pt>
                  <c:pt idx="1368">
                    <c:v>T019</c:v>
                  </c:pt>
                  <c:pt idx="1369">
                    <c:v>T020</c:v>
                  </c:pt>
                  <c:pt idx="1370">
                    <c:v>T021</c:v>
                  </c:pt>
                  <c:pt idx="1371">
                    <c:v>T022</c:v>
                  </c:pt>
                  <c:pt idx="1372">
                    <c:v>T001</c:v>
                  </c:pt>
                  <c:pt idx="1373">
                    <c:v>T002</c:v>
                  </c:pt>
                  <c:pt idx="1374">
                    <c:v>T003</c:v>
                  </c:pt>
                  <c:pt idx="1375">
                    <c:v>T004</c:v>
                  </c:pt>
                  <c:pt idx="1376">
                    <c:v>T005</c:v>
                  </c:pt>
                  <c:pt idx="1377">
                    <c:v>T006</c:v>
                  </c:pt>
                  <c:pt idx="1378">
                    <c:v>T007</c:v>
                  </c:pt>
                  <c:pt idx="1379">
                    <c:v>T008</c:v>
                  </c:pt>
                  <c:pt idx="1380">
                    <c:v>T009</c:v>
                  </c:pt>
                  <c:pt idx="1381">
                    <c:v>T010</c:v>
                  </c:pt>
                  <c:pt idx="1382">
                    <c:v>T011</c:v>
                  </c:pt>
                  <c:pt idx="1383">
                    <c:v>T012</c:v>
                  </c:pt>
                  <c:pt idx="1384">
                    <c:v>T013</c:v>
                  </c:pt>
                  <c:pt idx="1385">
                    <c:v>T014</c:v>
                  </c:pt>
                  <c:pt idx="1386">
                    <c:v>T015</c:v>
                  </c:pt>
                  <c:pt idx="1387">
                    <c:v>T016</c:v>
                  </c:pt>
                  <c:pt idx="1388">
                    <c:v>T017</c:v>
                  </c:pt>
                  <c:pt idx="1389">
                    <c:v>T018</c:v>
                  </c:pt>
                  <c:pt idx="1390">
                    <c:v>T019</c:v>
                  </c:pt>
                  <c:pt idx="1391">
                    <c:v>T020</c:v>
                  </c:pt>
                  <c:pt idx="1392">
                    <c:v>T021</c:v>
                  </c:pt>
                  <c:pt idx="1393">
                    <c:v>T022</c:v>
                  </c:pt>
                  <c:pt idx="1394">
                    <c:v>T023</c:v>
                  </c:pt>
                  <c:pt idx="1395">
                    <c:v>T024</c:v>
                  </c:pt>
                  <c:pt idx="1396">
                    <c:v>T001</c:v>
                  </c:pt>
                  <c:pt idx="1397">
                    <c:v>T002</c:v>
                  </c:pt>
                  <c:pt idx="1398">
                    <c:v>T003</c:v>
                  </c:pt>
                  <c:pt idx="1399">
                    <c:v>T004</c:v>
                  </c:pt>
                  <c:pt idx="1400">
                    <c:v>T005</c:v>
                  </c:pt>
                  <c:pt idx="1401">
                    <c:v>T006</c:v>
                  </c:pt>
                  <c:pt idx="1402">
                    <c:v>T007</c:v>
                  </c:pt>
                  <c:pt idx="1403">
                    <c:v>T008</c:v>
                  </c:pt>
                  <c:pt idx="1404">
                    <c:v>T009</c:v>
                  </c:pt>
                  <c:pt idx="1405">
                    <c:v>T010</c:v>
                  </c:pt>
                  <c:pt idx="1406">
                    <c:v>T011</c:v>
                  </c:pt>
                  <c:pt idx="1407">
                    <c:v>T012</c:v>
                  </c:pt>
                  <c:pt idx="1408">
                    <c:v>T013</c:v>
                  </c:pt>
                  <c:pt idx="1409">
                    <c:v>T014</c:v>
                  </c:pt>
                  <c:pt idx="1410">
                    <c:v>T015</c:v>
                  </c:pt>
                  <c:pt idx="1411">
                    <c:v>T016</c:v>
                  </c:pt>
                  <c:pt idx="1412">
                    <c:v>T017</c:v>
                  </c:pt>
                  <c:pt idx="1413">
                    <c:v>T018</c:v>
                  </c:pt>
                  <c:pt idx="1414">
                    <c:v>T019</c:v>
                  </c:pt>
                  <c:pt idx="1415">
                    <c:v>T020</c:v>
                  </c:pt>
                  <c:pt idx="1416">
                    <c:v>T021</c:v>
                  </c:pt>
                  <c:pt idx="1417">
                    <c:v>T022</c:v>
                  </c:pt>
                  <c:pt idx="1418">
                    <c:v>T023</c:v>
                  </c:pt>
                  <c:pt idx="1419">
                    <c:v>T024</c:v>
                  </c:pt>
                  <c:pt idx="1420">
                    <c:v>T006</c:v>
                  </c:pt>
                  <c:pt idx="1421">
                    <c:v>T007</c:v>
                  </c:pt>
                  <c:pt idx="1422">
                    <c:v>T008</c:v>
                  </c:pt>
                  <c:pt idx="1423">
                    <c:v>T009</c:v>
                  </c:pt>
                  <c:pt idx="1424">
                    <c:v>T010</c:v>
                  </c:pt>
                  <c:pt idx="1425">
                    <c:v>T011</c:v>
                  </c:pt>
                  <c:pt idx="1426">
                    <c:v>T012</c:v>
                  </c:pt>
                  <c:pt idx="1427">
                    <c:v>T013</c:v>
                  </c:pt>
                  <c:pt idx="1428">
                    <c:v>T014</c:v>
                  </c:pt>
                  <c:pt idx="1429">
                    <c:v>T015</c:v>
                  </c:pt>
                  <c:pt idx="1430">
                    <c:v>T016</c:v>
                  </c:pt>
                  <c:pt idx="1431">
                    <c:v>T017</c:v>
                  </c:pt>
                  <c:pt idx="1432">
                    <c:v>T018</c:v>
                  </c:pt>
                  <c:pt idx="1433">
                    <c:v>T019</c:v>
                  </c:pt>
                  <c:pt idx="1434">
                    <c:v>T020</c:v>
                  </c:pt>
                  <c:pt idx="1435">
                    <c:v>T021</c:v>
                  </c:pt>
                  <c:pt idx="1436">
                    <c:v>T022</c:v>
                  </c:pt>
                  <c:pt idx="1437">
                    <c:v>T006</c:v>
                  </c:pt>
                  <c:pt idx="1438">
                    <c:v>T007</c:v>
                  </c:pt>
                  <c:pt idx="1439">
                    <c:v>T008</c:v>
                  </c:pt>
                  <c:pt idx="1440">
                    <c:v>T009</c:v>
                  </c:pt>
                  <c:pt idx="1441">
                    <c:v>T010</c:v>
                  </c:pt>
                  <c:pt idx="1442">
                    <c:v>T011</c:v>
                  </c:pt>
                  <c:pt idx="1443">
                    <c:v>T012</c:v>
                  </c:pt>
                  <c:pt idx="1444">
                    <c:v>T013</c:v>
                  </c:pt>
                  <c:pt idx="1445">
                    <c:v>T014</c:v>
                  </c:pt>
                  <c:pt idx="1446">
                    <c:v>T015</c:v>
                  </c:pt>
                  <c:pt idx="1447">
                    <c:v>T016</c:v>
                  </c:pt>
                  <c:pt idx="1448">
                    <c:v>T017</c:v>
                  </c:pt>
                  <c:pt idx="1449">
                    <c:v>T020</c:v>
                  </c:pt>
                  <c:pt idx="1450">
                    <c:v>T021</c:v>
                  </c:pt>
                  <c:pt idx="1451">
                    <c:v>T007</c:v>
                  </c:pt>
                  <c:pt idx="1452">
                    <c:v>T008</c:v>
                  </c:pt>
                  <c:pt idx="1453">
                    <c:v>T009</c:v>
                  </c:pt>
                  <c:pt idx="1454">
                    <c:v>T010</c:v>
                  </c:pt>
                  <c:pt idx="1455">
                    <c:v>T011</c:v>
                  </c:pt>
                  <c:pt idx="1456">
                    <c:v>T012</c:v>
                  </c:pt>
                  <c:pt idx="1457">
                    <c:v>T013</c:v>
                  </c:pt>
                  <c:pt idx="1458">
                    <c:v>T014</c:v>
                  </c:pt>
                  <c:pt idx="1459">
                    <c:v>T015</c:v>
                  </c:pt>
                  <c:pt idx="1460">
                    <c:v>T016</c:v>
                  </c:pt>
                  <c:pt idx="1461">
                    <c:v>T017</c:v>
                  </c:pt>
                  <c:pt idx="1462">
                    <c:v>T018</c:v>
                  </c:pt>
                  <c:pt idx="1463">
                    <c:v>T019</c:v>
                  </c:pt>
                  <c:pt idx="1464">
                    <c:v>T020</c:v>
                  </c:pt>
                  <c:pt idx="1465">
                    <c:v>T021</c:v>
                  </c:pt>
                  <c:pt idx="1466">
                    <c:v>T022</c:v>
                  </c:pt>
                  <c:pt idx="1467">
                    <c:v>T023</c:v>
                  </c:pt>
                  <c:pt idx="1468">
                    <c:v>T024</c:v>
                  </c:pt>
                  <c:pt idx="1469">
                    <c:v>T001</c:v>
                  </c:pt>
                  <c:pt idx="1470">
                    <c:v>T002</c:v>
                  </c:pt>
                  <c:pt idx="1471">
                    <c:v>T003</c:v>
                  </c:pt>
                  <c:pt idx="1472">
                    <c:v>T004</c:v>
                  </c:pt>
                  <c:pt idx="1473">
                    <c:v>T005</c:v>
                  </c:pt>
                  <c:pt idx="1474">
                    <c:v>T006</c:v>
                  </c:pt>
                  <c:pt idx="1475">
                    <c:v>T007</c:v>
                  </c:pt>
                  <c:pt idx="1476">
                    <c:v>T008</c:v>
                  </c:pt>
                  <c:pt idx="1477">
                    <c:v>T009</c:v>
                  </c:pt>
                  <c:pt idx="1478">
                    <c:v>T010</c:v>
                  </c:pt>
                  <c:pt idx="1479">
                    <c:v>T011</c:v>
                  </c:pt>
                  <c:pt idx="1480">
                    <c:v>T012</c:v>
                  </c:pt>
                  <c:pt idx="1481">
                    <c:v>T013</c:v>
                  </c:pt>
                  <c:pt idx="1482">
                    <c:v>T014</c:v>
                  </c:pt>
                  <c:pt idx="1483">
                    <c:v>T015</c:v>
                  </c:pt>
                  <c:pt idx="1484">
                    <c:v>T016</c:v>
                  </c:pt>
                  <c:pt idx="1485">
                    <c:v>T017</c:v>
                  </c:pt>
                  <c:pt idx="1486">
                    <c:v>T018</c:v>
                  </c:pt>
                  <c:pt idx="1487">
                    <c:v>T019</c:v>
                  </c:pt>
                  <c:pt idx="1488">
                    <c:v>T020</c:v>
                  </c:pt>
                  <c:pt idx="1489">
                    <c:v>T021</c:v>
                  </c:pt>
                  <c:pt idx="1490">
                    <c:v>T022</c:v>
                  </c:pt>
                  <c:pt idx="1491">
                    <c:v>T023</c:v>
                  </c:pt>
                  <c:pt idx="1492">
                    <c:v>T024</c:v>
                  </c:pt>
                  <c:pt idx="1493">
                    <c:v>T001</c:v>
                  </c:pt>
                  <c:pt idx="1494">
                    <c:v>T002</c:v>
                  </c:pt>
                  <c:pt idx="1495">
                    <c:v>T003</c:v>
                  </c:pt>
                  <c:pt idx="1496">
                    <c:v>T004</c:v>
                  </c:pt>
                  <c:pt idx="1497">
                    <c:v>T005</c:v>
                  </c:pt>
                  <c:pt idx="1498">
                    <c:v>T006</c:v>
                  </c:pt>
                  <c:pt idx="1499">
                    <c:v>T007</c:v>
                  </c:pt>
                  <c:pt idx="1500">
                    <c:v>T008</c:v>
                  </c:pt>
                  <c:pt idx="1501">
                    <c:v>T009</c:v>
                  </c:pt>
                  <c:pt idx="1502">
                    <c:v>T010</c:v>
                  </c:pt>
                  <c:pt idx="1503">
                    <c:v>T011</c:v>
                  </c:pt>
                  <c:pt idx="1504">
                    <c:v>T012</c:v>
                  </c:pt>
                  <c:pt idx="1505">
                    <c:v>T013</c:v>
                  </c:pt>
                  <c:pt idx="1506">
                    <c:v>T014</c:v>
                  </c:pt>
                  <c:pt idx="1507">
                    <c:v>T015</c:v>
                  </c:pt>
                  <c:pt idx="1508">
                    <c:v>T016</c:v>
                  </c:pt>
                  <c:pt idx="1509">
                    <c:v>T017</c:v>
                  </c:pt>
                  <c:pt idx="1510">
                    <c:v>T018</c:v>
                  </c:pt>
                  <c:pt idx="1511">
                    <c:v>T019</c:v>
                  </c:pt>
                  <c:pt idx="1512">
                    <c:v>T020</c:v>
                  </c:pt>
                  <c:pt idx="1513">
                    <c:v>T021</c:v>
                  </c:pt>
                  <c:pt idx="1514">
                    <c:v>T022</c:v>
                  </c:pt>
                  <c:pt idx="1515">
                    <c:v>T023</c:v>
                  </c:pt>
                  <c:pt idx="1516">
                    <c:v>T024</c:v>
                  </c:pt>
                  <c:pt idx="1517">
                    <c:v>T001</c:v>
                  </c:pt>
                  <c:pt idx="1518">
                    <c:v>T002</c:v>
                  </c:pt>
                  <c:pt idx="1519">
                    <c:v>T004</c:v>
                  </c:pt>
                  <c:pt idx="1520">
                    <c:v>T005</c:v>
                  </c:pt>
                  <c:pt idx="1521">
                    <c:v>T006</c:v>
                  </c:pt>
                  <c:pt idx="1522">
                    <c:v>T007</c:v>
                  </c:pt>
                  <c:pt idx="1523">
                    <c:v>T008</c:v>
                  </c:pt>
                  <c:pt idx="1524">
                    <c:v>T009</c:v>
                  </c:pt>
                  <c:pt idx="1525">
                    <c:v>T010</c:v>
                  </c:pt>
                  <c:pt idx="1526">
                    <c:v>T011</c:v>
                  </c:pt>
                  <c:pt idx="1527">
                    <c:v>T012</c:v>
                  </c:pt>
                  <c:pt idx="1528">
                    <c:v>T013</c:v>
                  </c:pt>
                  <c:pt idx="1529">
                    <c:v>T014</c:v>
                  </c:pt>
                  <c:pt idx="1530">
                    <c:v>T015</c:v>
                  </c:pt>
                  <c:pt idx="1531">
                    <c:v>T016</c:v>
                  </c:pt>
                  <c:pt idx="1532">
                    <c:v>T017</c:v>
                  </c:pt>
                  <c:pt idx="1533">
                    <c:v>T018</c:v>
                  </c:pt>
                  <c:pt idx="1534">
                    <c:v>T019</c:v>
                  </c:pt>
                  <c:pt idx="1535">
                    <c:v>T020</c:v>
                  </c:pt>
                  <c:pt idx="1536">
                    <c:v>T021</c:v>
                  </c:pt>
                  <c:pt idx="1537">
                    <c:v>T022</c:v>
                  </c:pt>
                  <c:pt idx="1538">
                    <c:v>T023</c:v>
                  </c:pt>
                  <c:pt idx="1539">
                    <c:v>T024</c:v>
                  </c:pt>
                  <c:pt idx="1540">
                    <c:v>T007</c:v>
                  </c:pt>
                  <c:pt idx="1541">
                    <c:v>T008</c:v>
                  </c:pt>
                  <c:pt idx="1542">
                    <c:v>T009</c:v>
                  </c:pt>
                  <c:pt idx="1543">
                    <c:v>T010</c:v>
                  </c:pt>
                  <c:pt idx="1544">
                    <c:v>T011</c:v>
                  </c:pt>
                  <c:pt idx="1545">
                    <c:v>T012</c:v>
                  </c:pt>
                  <c:pt idx="1546">
                    <c:v>T001</c:v>
                  </c:pt>
                  <c:pt idx="1547">
                    <c:v>T002</c:v>
                  </c:pt>
                  <c:pt idx="1548">
                    <c:v>T003</c:v>
                  </c:pt>
                  <c:pt idx="1549">
                    <c:v>T004</c:v>
                  </c:pt>
                  <c:pt idx="1550">
                    <c:v>T005</c:v>
                  </c:pt>
                  <c:pt idx="1551">
                    <c:v>T006</c:v>
                  </c:pt>
                  <c:pt idx="1552">
                    <c:v>T007</c:v>
                  </c:pt>
                  <c:pt idx="1553">
                    <c:v>T008</c:v>
                  </c:pt>
                  <c:pt idx="1554">
                    <c:v>T009</c:v>
                  </c:pt>
                  <c:pt idx="1555">
                    <c:v>T010</c:v>
                  </c:pt>
                  <c:pt idx="1556">
                    <c:v>T011</c:v>
                  </c:pt>
                  <c:pt idx="1557">
                    <c:v>T012</c:v>
                  </c:pt>
                  <c:pt idx="1558">
                    <c:v>T013</c:v>
                  </c:pt>
                  <c:pt idx="1559">
                    <c:v>T014</c:v>
                  </c:pt>
                  <c:pt idx="1560">
                    <c:v>T015</c:v>
                  </c:pt>
                  <c:pt idx="1561">
                    <c:v>T016</c:v>
                  </c:pt>
                  <c:pt idx="1562">
                    <c:v>T017</c:v>
                  </c:pt>
                  <c:pt idx="1563">
                    <c:v>T018</c:v>
                  </c:pt>
                  <c:pt idx="1564">
                    <c:v>T019</c:v>
                  </c:pt>
                  <c:pt idx="1565">
                    <c:v>T020</c:v>
                  </c:pt>
                  <c:pt idx="1566">
                    <c:v>T021</c:v>
                  </c:pt>
                  <c:pt idx="1567">
                    <c:v>T022</c:v>
                  </c:pt>
                  <c:pt idx="1568">
                    <c:v>T023</c:v>
                  </c:pt>
                  <c:pt idx="1569">
                    <c:v>T024</c:v>
                  </c:pt>
                  <c:pt idx="1570">
                    <c:v>T006</c:v>
                  </c:pt>
                  <c:pt idx="1571">
                    <c:v>T007</c:v>
                  </c:pt>
                  <c:pt idx="1572">
                    <c:v>T008</c:v>
                  </c:pt>
                  <c:pt idx="1573">
                    <c:v>T009</c:v>
                  </c:pt>
                  <c:pt idx="1574">
                    <c:v>T010</c:v>
                  </c:pt>
                  <c:pt idx="1575">
                    <c:v>T011</c:v>
                  </c:pt>
                  <c:pt idx="1576">
                    <c:v>T012</c:v>
                  </c:pt>
                  <c:pt idx="1577">
                    <c:v>T013</c:v>
                  </c:pt>
                  <c:pt idx="1578">
                    <c:v>T014</c:v>
                  </c:pt>
                  <c:pt idx="1579">
                    <c:v>T015</c:v>
                  </c:pt>
                  <c:pt idx="1580">
                    <c:v>T016</c:v>
                  </c:pt>
                  <c:pt idx="1581">
                    <c:v>T017</c:v>
                  </c:pt>
                  <c:pt idx="1582">
                    <c:v>T018</c:v>
                  </c:pt>
                  <c:pt idx="1583">
                    <c:v>T019</c:v>
                  </c:pt>
                  <c:pt idx="1584">
                    <c:v>T020</c:v>
                  </c:pt>
                  <c:pt idx="1585">
                    <c:v>T021</c:v>
                  </c:pt>
                  <c:pt idx="1586">
                    <c:v>T022</c:v>
                  </c:pt>
                  <c:pt idx="1587">
                    <c:v>T023</c:v>
                  </c:pt>
                  <c:pt idx="1588">
                    <c:v>T024</c:v>
                  </c:pt>
                  <c:pt idx="1589">
                    <c:v>T001</c:v>
                  </c:pt>
                  <c:pt idx="1590">
                    <c:v>T002</c:v>
                  </c:pt>
                  <c:pt idx="1591">
                    <c:v>T003</c:v>
                  </c:pt>
                  <c:pt idx="1592">
                    <c:v>T004</c:v>
                  </c:pt>
                  <c:pt idx="1593">
                    <c:v>T005</c:v>
                  </c:pt>
                  <c:pt idx="1594">
                    <c:v>T006</c:v>
                  </c:pt>
                  <c:pt idx="1595">
                    <c:v>T007</c:v>
                  </c:pt>
                  <c:pt idx="1596">
                    <c:v>T008</c:v>
                  </c:pt>
                  <c:pt idx="1597">
                    <c:v>T009</c:v>
                  </c:pt>
                  <c:pt idx="1598">
                    <c:v>T010</c:v>
                  </c:pt>
                  <c:pt idx="1599">
                    <c:v>T011</c:v>
                  </c:pt>
                  <c:pt idx="1600">
                    <c:v>T012</c:v>
                  </c:pt>
                  <c:pt idx="1601">
                    <c:v>T013</c:v>
                  </c:pt>
                  <c:pt idx="1602">
                    <c:v>T014</c:v>
                  </c:pt>
                  <c:pt idx="1603">
                    <c:v>T015</c:v>
                  </c:pt>
                  <c:pt idx="1604">
                    <c:v>T016</c:v>
                  </c:pt>
                  <c:pt idx="1605">
                    <c:v>T017</c:v>
                  </c:pt>
                  <c:pt idx="1606">
                    <c:v>T018</c:v>
                  </c:pt>
                  <c:pt idx="1607">
                    <c:v>T019</c:v>
                  </c:pt>
                  <c:pt idx="1608">
                    <c:v>T020</c:v>
                  </c:pt>
                  <c:pt idx="1609">
                    <c:v>T021</c:v>
                  </c:pt>
                  <c:pt idx="1610">
                    <c:v>T022</c:v>
                  </c:pt>
                  <c:pt idx="1611">
                    <c:v>T023</c:v>
                  </c:pt>
                  <c:pt idx="1612">
                    <c:v>T024</c:v>
                  </c:pt>
                  <c:pt idx="1613">
                    <c:v>T008</c:v>
                  </c:pt>
                  <c:pt idx="1614">
                    <c:v>T019</c:v>
                  </c:pt>
                  <c:pt idx="1615">
                    <c:v>T007</c:v>
                  </c:pt>
                  <c:pt idx="1616">
                    <c:v>T008</c:v>
                  </c:pt>
                  <c:pt idx="1617">
                    <c:v>T009</c:v>
                  </c:pt>
                  <c:pt idx="1618">
                    <c:v>T010</c:v>
                  </c:pt>
                  <c:pt idx="1619">
                    <c:v>T011</c:v>
                  </c:pt>
                  <c:pt idx="1620">
                    <c:v>T012</c:v>
                  </c:pt>
                  <c:pt idx="1621">
                    <c:v>T013</c:v>
                  </c:pt>
                  <c:pt idx="1622">
                    <c:v>T014</c:v>
                  </c:pt>
                  <c:pt idx="1623">
                    <c:v>T015</c:v>
                  </c:pt>
                  <c:pt idx="1624">
                    <c:v>T016</c:v>
                  </c:pt>
                  <c:pt idx="1625">
                    <c:v>T017</c:v>
                  </c:pt>
                  <c:pt idx="1626">
                    <c:v>T018</c:v>
                  </c:pt>
                  <c:pt idx="1627">
                    <c:v>T019</c:v>
                  </c:pt>
                  <c:pt idx="1628">
                    <c:v>T007</c:v>
                  </c:pt>
                  <c:pt idx="1629">
                    <c:v>T008</c:v>
                  </c:pt>
                  <c:pt idx="1630">
                    <c:v>T009</c:v>
                  </c:pt>
                  <c:pt idx="1631">
                    <c:v>T010</c:v>
                  </c:pt>
                  <c:pt idx="1632">
                    <c:v>T011</c:v>
                  </c:pt>
                  <c:pt idx="1633">
                    <c:v>T012</c:v>
                  </c:pt>
                  <c:pt idx="1634">
                    <c:v>T013</c:v>
                  </c:pt>
                  <c:pt idx="1635">
                    <c:v>T014</c:v>
                  </c:pt>
                  <c:pt idx="1636">
                    <c:v>T015</c:v>
                  </c:pt>
                  <c:pt idx="1637">
                    <c:v>T016</c:v>
                  </c:pt>
                  <c:pt idx="1638">
                    <c:v>T017</c:v>
                  </c:pt>
                  <c:pt idx="1639">
                    <c:v>T018</c:v>
                  </c:pt>
                  <c:pt idx="1640">
                    <c:v>T019</c:v>
                  </c:pt>
                  <c:pt idx="1641">
                    <c:v>T001</c:v>
                  </c:pt>
                  <c:pt idx="1642">
                    <c:v>T002</c:v>
                  </c:pt>
                  <c:pt idx="1643">
                    <c:v>T003</c:v>
                  </c:pt>
                  <c:pt idx="1644">
                    <c:v>T004</c:v>
                  </c:pt>
                  <c:pt idx="1645">
                    <c:v>T005</c:v>
                  </c:pt>
                  <c:pt idx="1646">
                    <c:v>T006</c:v>
                  </c:pt>
                  <c:pt idx="1647">
                    <c:v>T007</c:v>
                  </c:pt>
                  <c:pt idx="1648">
                    <c:v>T008</c:v>
                  </c:pt>
                  <c:pt idx="1649">
                    <c:v>T009</c:v>
                  </c:pt>
                  <c:pt idx="1650">
                    <c:v>T010</c:v>
                  </c:pt>
                  <c:pt idx="1651">
                    <c:v>T011</c:v>
                  </c:pt>
                  <c:pt idx="1652">
                    <c:v>T012</c:v>
                  </c:pt>
                  <c:pt idx="1653">
                    <c:v>T013</c:v>
                  </c:pt>
                  <c:pt idx="1654">
                    <c:v>T014</c:v>
                  </c:pt>
                  <c:pt idx="1655">
                    <c:v>T015</c:v>
                  </c:pt>
                  <c:pt idx="1656">
                    <c:v>T016</c:v>
                  </c:pt>
                  <c:pt idx="1657">
                    <c:v>T017</c:v>
                  </c:pt>
                  <c:pt idx="1658">
                    <c:v>T018</c:v>
                  </c:pt>
                  <c:pt idx="1659">
                    <c:v>T019</c:v>
                  </c:pt>
                  <c:pt idx="1660">
                    <c:v>T020</c:v>
                  </c:pt>
                  <c:pt idx="1661">
                    <c:v>T021</c:v>
                  </c:pt>
                  <c:pt idx="1662">
                    <c:v>T022</c:v>
                  </c:pt>
                  <c:pt idx="1663">
                    <c:v>T023</c:v>
                  </c:pt>
                  <c:pt idx="1664">
                    <c:v>T024</c:v>
                  </c:pt>
                  <c:pt idx="1665">
                    <c:v>T001</c:v>
                  </c:pt>
                  <c:pt idx="1666">
                    <c:v>T002</c:v>
                  </c:pt>
                  <c:pt idx="1667">
                    <c:v>T003</c:v>
                  </c:pt>
                  <c:pt idx="1668">
                    <c:v>T004</c:v>
                  </c:pt>
                  <c:pt idx="1669">
                    <c:v>T005</c:v>
                  </c:pt>
                  <c:pt idx="1670">
                    <c:v>T006</c:v>
                  </c:pt>
                  <c:pt idx="1671">
                    <c:v>T007</c:v>
                  </c:pt>
                  <c:pt idx="1672">
                    <c:v>T008</c:v>
                  </c:pt>
                  <c:pt idx="1673">
                    <c:v>T009</c:v>
                  </c:pt>
                  <c:pt idx="1674">
                    <c:v>T010</c:v>
                  </c:pt>
                  <c:pt idx="1675">
                    <c:v>T011</c:v>
                  </c:pt>
                  <c:pt idx="1676">
                    <c:v>T012</c:v>
                  </c:pt>
                  <c:pt idx="1677">
                    <c:v>T013</c:v>
                  </c:pt>
                  <c:pt idx="1678">
                    <c:v>T014</c:v>
                  </c:pt>
                  <c:pt idx="1679">
                    <c:v>T015</c:v>
                  </c:pt>
                  <c:pt idx="1680">
                    <c:v>T016</c:v>
                  </c:pt>
                  <c:pt idx="1681">
                    <c:v>T017</c:v>
                  </c:pt>
                  <c:pt idx="1682">
                    <c:v>T018</c:v>
                  </c:pt>
                  <c:pt idx="1683">
                    <c:v>T019</c:v>
                  </c:pt>
                  <c:pt idx="1684">
                    <c:v>T020</c:v>
                  </c:pt>
                  <c:pt idx="1685">
                    <c:v>T021</c:v>
                  </c:pt>
                  <c:pt idx="1686">
                    <c:v>T022</c:v>
                  </c:pt>
                  <c:pt idx="1687">
                    <c:v>T023</c:v>
                  </c:pt>
                  <c:pt idx="1688">
                    <c:v>T024</c:v>
                  </c:pt>
                  <c:pt idx="1689">
                    <c:v>T001</c:v>
                  </c:pt>
                  <c:pt idx="1690">
                    <c:v>T002</c:v>
                  </c:pt>
                  <c:pt idx="1691">
                    <c:v>T003</c:v>
                  </c:pt>
                  <c:pt idx="1692">
                    <c:v>T004</c:v>
                  </c:pt>
                  <c:pt idx="1693">
                    <c:v>T005</c:v>
                  </c:pt>
                  <c:pt idx="1694">
                    <c:v>T006</c:v>
                  </c:pt>
                  <c:pt idx="1695">
                    <c:v>T007</c:v>
                  </c:pt>
                  <c:pt idx="1696">
                    <c:v>T008</c:v>
                  </c:pt>
                  <c:pt idx="1697">
                    <c:v>T009</c:v>
                  </c:pt>
                  <c:pt idx="1698">
                    <c:v>T010</c:v>
                  </c:pt>
                  <c:pt idx="1699">
                    <c:v>T011</c:v>
                  </c:pt>
                  <c:pt idx="1700">
                    <c:v>T012</c:v>
                  </c:pt>
                  <c:pt idx="1701">
                    <c:v>T013</c:v>
                  </c:pt>
                  <c:pt idx="1702">
                    <c:v>T014</c:v>
                  </c:pt>
                  <c:pt idx="1703">
                    <c:v>T015</c:v>
                  </c:pt>
                  <c:pt idx="1704">
                    <c:v>T016</c:v>
                  </c:pt>
                  <c:pt idx="1705">
                    <c:v>T017</c:v>
                  </c:pt>
                  <c:pt idx="1706">
                    <c:v>T018</c:v>
                  </c:pt>
                  <c:pt idx="1707">
                    <c:v>T019</c:v>
                  </c:pt>
                  <c:pt idx="1708">
                    <c:v>T020</c:v>
                  </c:pt>
                  <c:pt idx="1709">
                    <c:v>T021</c:v>
                  </c:pt>
                  <c:pt idx="1710">
                    <c:v>T022</c:v>
                  </c:pt>
                  <c:pt idx="1711">
                    <c:v>T023</c:v>
                  </c:pt>
                  <c:pt idx="1712">
                    <c:v>T024</c:v>
                  </c:pt>
                  <c:pt idx="1713">
                    <c:v>T001</c:v>
                  </c:pt>
                  <c:pt idx="1714">
                    <c:v>T002</c:v>
                  </c:pt>
                  <c:pt idx="1715">
                    <c:v>T003</c:v>
                  </c:pt>
                  <c:pt idx="1716">
                    <c:v>T004</c:v>
                  </c:pt>
                  <c:pt idx="1717">
                    <c:v>T005</c:v>
                  </c:pt>
                  <c:pt idx="1718">
                    <c:v>T006</c:v>
                  </c:pt>
                  <c:pt idx="1719">
                    <c:v>T007</c:v>
                  </c:pt>
                  <c:pt idx="1720">
                    <c:v>T008</c:v>
                  </c:pt>
                  <c:pt idx="1721">
                    <c:v>T009</c:v>
                  </c:pt>
                  <c:pt idx="1722">
                    <c:v>T010</c:v>
                  </c:pt>
                  <c:pt idx="1723">
                    <c:v>T011</c:v>
                  </c:pt>
                  <c:pt idx="1724">
                    <c:v>T012</c:v>
                  </c:pt>
                  <c:pt idx="1725">
                    <c:v>T013</c:v>
                  </c:pt>
                  <c:pt idx="1726">
                    <c:v>T014</c:v>
                  </c:pt>
                  <c:pt idx="1727">
                    <c:v>T015</c:v>
                  </c:pt>
                  <c:pt idx="1728">
                    <c:v>T016</c:v>
                  </c:pt>
                  <c:pt idx="1729">
                    <c:v>T017</c:v>
                  </c:pt>
                  <c:pt idx="1730">
                    <c:v>T018</c:v>
                  </c:pt>
                  <c:pt idx="1731">
                    <c:v>T019</c:v>
                  </c:pt>
                  <c:pt idx="1732">
                    <c:v>T020</c:v>
                  </c:pt>
                  <c:pt idx="1733">
                    <c:v>T021</c:v>
                  </c:pt>
                  <c:pt idx="1734">
                    <c:v>T022</c:v>
                  </c:pt>
                  <c:pt idx="1735">
                    <c:v>T023</c:v>
                  </c:pt>
                  <c:pt idx="1736">
                    <c:v>T024</c:v>
                  </c:pt>
                  <c:pt idx="1737">
                    <c:v>T001</c:v>
                  </c:pt>
                  <c:pt idx="1738">
                    <c:v>T002</c:v>
                  </c:pt>
                  <c:pt idx="1739">
                    <c:v>T003</c:v>
                  </c:pt>
                  <c:pt idx="1740">
                    <c:v>T004</c:v>
                  </c:pt>
                  <c:pt idx="1741">
                    <c:v>T005</c:v>
                  </c:pt>
                  <c:pt idx="1742">
                    <c:v>T006</c:v>
                  </c:pt>
                  <c:pt idx="1743">
                    <c:v>T007</c:v>
                  </c:pt>
                  <c:pt idx="1744">
                    <c:v>T008</c:v>
                  </c:pt>
                  <c:pt idx="1745">
                    <c:v>T009</c:v>
                  </c:pt>
                  <c:pt idx="1746">
                    <c:v>T010</c:v>
                  </c:pt>
                  <c:pt idx="1747">
                    <c:v>T011</c:v>
                  </c:pt>
                  <c:pt idx="1748">
                    <c:v>T012</c:v>
                  </c:pt>
                  <c:pt idx="1749">
                    <c:v>T013</c:v>
                  </c:pt>
                  <c:pt idx="1750">
                    <c:v>T014</c:v>
                  </c:pt>
                  <c:pt idx="1751">
                    <c:v>T015</c:v>
                  </c:pt>
                  <c:pt idx="1752">
                    <c:v>T016</c:v>
                  </c:pt>
                  <c:pt idx="1753">
                    <c:v>T017</c:v>
                  </c:pt>
                  <c:pt idx="1754">
                    <c:v>T018</c:v>
                  </c:pt>
                  <c:pt idx="1755">
                    <c:v>T019</c:v>
                  </c:pt>
                  <c:pt idx="1756">
                    <c:v>T020</c:v>
                  </c:pt>
                  <c:pt idx="1757">
                    <c:v>T021</c:v>
                  </c:pt>
                  <c:pt idx="1758">
                    <c:v>T022</c:v>
                  </c:pt>
                  <c:pt idx="1759">
                    <c:v>T023</c:v>
                  </c:pt>
                  <c:pt idx="1760">
                    <c:v>T024</c:v>
                  </c:pt>
                  <c:pt idx="1761">
                    <c:v>T001</c:v>
                  </c:pt>
                  <c:pt idx="1762">
                    <c:v>T002</c:v>
                  </c:pt>
                  <c:pt idx="1763">
                    <c:v>T003</c:v>
                  </c:pt>
                  <c:pt idx="1764">
                    <c:v>T004</c:v>
                  </c:pt>
                  <c:pt idx="1765">
                    <c:v>T005</c:v>
                  </c:pt>
                  <c:pt idx="1766">
                    <c:v>T006</c:v>
                  </c:pt>
                  <c:pt idx="1767">
                    <c:v>T007</c:v>
                  </c:pt>
                  <c:pt idx="1768">
                    <c:v>T008</c:v>
                  </c:pt>
                  <c:pt idx="1769">
                    <c:v>T009</c:v>
                  </c:pt>
                  <c:pt idx="1770">
                    <c:v>T010</c:v>
                  </c:pt>
                  <c:pt idx="1771">
                    <c:v>T011</c:v>
                  </c:pt>
                  <c:pt idx="1772">
                    <c:v>T012</c:v>
                  </c:pt>
                  <c:pt idx="1773">
                    <c:v>T013</c:v>
                  </c:pt>
                  <c:pt idx="1774">
                    <c:v>T014</c:v>
                  </c:pt>
                  <c:pt idx="1775">
                    <c:v>T015</c:v>
                  </c:pt>
                  <c:pt idx="1776">
                    <c:v>T016</c:v>
                  </c:pt>
                  <c:pt idx="1777">
                    <c:v>T017</c:v>
                  </c:pt>
                  <c:pt idx="1778">
                    <c:v>T018</c:v>
                  </c:pt>
                  <c:pt idx="1779">
                    <c:v>T019</c:v>
                  </c:pt>
                  <c:pt idx="1780">
                    <c:v>T020</c:v>
                  </c:pt>
                  <c:pt idx="1781">
                    <c:v>T021</c:v>
                  </c:pt>
                  <c:pt idx="1782">
                    <c:v>T022</c:v>
                  </c:pt>
                  <c:pt idx="1783">
                    <c:v>T023</c:v>
                  </c:pt>
                  <c:pt idx="1784">
                    <c:v>T024</c:v>
                  </c:pt>
                  <c:pt idx="1785">
                    <c:v>T001</c:v>
                  </c:pt>
                  <c:pt idx="1786">
                    <c:v>T002</c:v>
                  </c:pt>
                  <c:pt idx="1787">
                    <c:v>T003</c:v>
                  </c:pt>
                  <c:pt idx="1788">
                    <c:v>T004</c:v>
                  </c:pt>
                  <c:pt idx="1789">
                    <c:v>T005</c:v>
                  </c:pt>
                  <c:pt idx="1790">
                    <c:v>T006</c:v>
                  </c:pt>
                  <c:pt idx="1791">
                    <c:v>T007</c:v>
                  </c:pt>
                  <c:pt idx="1792">
                    <c:v>T008</c:v>
                  </c:pt>
                  <c:pt idx="1793">
                    <c:v>T009</c:v>
                  </c:pt>
                  <c:pt idx="1794">
                    <c:v>T010</c:v>
                  </c:pt>
                  <c:pt idx="1795">
                    <c:v>T011</c:v>
                  </c:pt>
                  <c:pt idx="1796">
                    <c:v>T012</c:v>
                  </c:pt>
                  <c:pt idx="1797">
                    <c:v>T013</c:v>
                  </c:pt>
                  <c:pt idx="1798">
                    <c:v>T014</c:v>
                  </c:pt>
                  <c:pt idx="1799">
                    <c:v>T015</c:v>
                  </c:pt>
                  <c:pt idx="1800">
                    <c:v>T016</c:v>
                  </c:pt>
                  <c:pt idx="1801">
                    <c:v>T017</c:v>
                  </c:pt>
                  <c:pt idx="1802">
                    <c:v>T018</c:v>
                  </c:pt>
                  <c:pt idx="1803">
                    <c:v>T019</c:v>
                  </c:pt>
                  <c:pt idx="1804">
                    <c:v>T020</c:v>
                  </c:pt>
                  <c:pt idx="1805">
                    <c:v>T021</c:v>
                  </c:pt>
                  <c:pt idx="1806">
                    <c:v>T022</c:v>
                  </c:pt>
                  <c:pt idx="1807">
                    <c:v>T023</c:v>
                  </c:pt>
                  <c:pt idx="1808">
                    <c:v>T024</c:v>
                  </c:pt>
                  <c:pt idx="1809">
                    <c:v>T001</c:v>
                  </c:pt>
                  <c:pt idx="1810">
                    <c:v>T002</c:v>
                  </c:pt>
                  <c:pt idx="1811">
                    <c:v>T003</c:v>
                  </c:pt>
                  <c:pt idx="1812">
                    <c:v>T004</c:v>
                  </c:pt>
                  <c:pt idx="1813">
                    <c:v>T005</c:v>
                  </c:pt>
                  <c:pt idx="1814">
                    <c:v>T006</c:v>
                  </c:pt>
                  <c:pt idx="1815">
                    <c:v>T007</c:v>
                  </c:pt>
                  <c:pt idx="1816">
                    <c:v>T008</c:v>
                  </c:pt>
                  <c:pt idx="1817">
                    <c:v>T009</c:v>
                  </c:pt>
                  <c:pt idx="1818">
                    <c:v>T010</c:v>
                  </c:pt>
                  <c:pt idx="1819">
                    <c:v>T011</c:v>
                  </c:pt>
                  <c:pt idx="1820">
                    <c:v>T012</c:v>
                  </c:pt>
                  <c:pt idx="1821">
                    <c:v>T013</c:v>
                  </c:pt>
                  <c:pt idx="1822">
                    <c:v>T014</c:v>
                  </c:pt>
                  <c:pt idx="1823">
                    <c:v>T015</c:v>
                  </c:pt>
                  <c:pt idx="1824">
                    <c:v>T016</c:v>
                  </c:pt>
                  <c:pt idx="1825">
                    <c:v>T017</c:v>
                  </c:pt>
                  <c:pt idx="1826">
                    <c:v>T018</c:v>
                  </c:pt>
                  <c:pt idx="1827">
                    <c:v>T019</c:v>
                  </c:pt>
                  <c:pt idx="1828">
                    <c:v>T020</c:v>
                  </c:pt>
                  <c:pt idx="1829">
                    <c:v>T021</c:v>
                  </c:pt>
                  <c:pt idx="1830">
                    <c:v>T022</c:v>
                  </c:pt>
                  <c:pt idx="1831">
                    <c:v>T023</c:v>
                  </c:pt>
                  <c:pt idx="1832">
                    <c:v>T024</c:v>
                  </c:pt>
                  <c:pt idx="1833">
                    <c:v>T001</c:v>
                  </c:pt>
                  <c:pt idx="1834">
                    <c:v>T002</c:v>
                  </c:pt>
                  <c:pt idx="1835">
                    <c:v>T003</c:v>
                  </c:pt>
                  <c:pt idx="1836">
                    <c:v>T004</c:v>
                  </c:pt>
                  <c:pt idx="1837">
                    <c:v>T005</c:v>
                  </c:pt>
                  <c:pt idx="1838">
                    <c:v>T006</c:v>
                  </c:pt>
                  <c:pt idx="1839">
                    <c:v>T007</c:v>
                  </c:pt>
                  <c:pt idx="1840">
                    <c:v>T008</c:v>
                  </c:pt>
                  <c:pt idx="1841">
                    <c:v>T009</c:v>
                  </c:pt>
                  <c:pt idx="1842">
                    <c:v>T010</c:v>
                  </c:pt>
                  <c:pt idx="1843">
                    <c:v>T011</c:v>
                  </c:pt>
                  <c:pt idx="1844">
                    <c:v>T012</c:v>
                  </c:pt>
                  <c:pt idx="1845">
                    <c:v>T013</c:v>
                  </c:pt>
                  <c:pt idx="1846">
                    <c:v>T014</c:v>
                  </c:pt>
                  <c:pt idx="1847">
                    <c:v>T015</c:v>
                  </c:pt>
                  <c:pt idx="1848">
                    <c:v>T016</c:v>
                  </c:pt>
                  <c:pt idx="1849">
                    <c:v>T017</c:v>
                  </c:pt>
                  <c:pt idx="1850">
                    <c:v>T018</c:v>
                  </c:pt>
                  <c:pt idx="1851">
                    <c:v>T019</c:v>
                  </c:pt>
                  <c:pt idx="1852">
                    <c:v>T020</c:v>
                  </c:pt>
                  <c:pt idx="1853">
                    <c:v>T021</c:v>
                  </c:pt>
                  <c:pt idx="1854">
                    <c:v>T022</c:v>
                  </c:pt>
                  <c:pt idx="1855">
                    <c:v>T023</c:v>
                  </c:pt>
                  <c:pt idx="1856">
                    <c:v>T024</c:v>
                  </c:pt>
                  <c:pt idx="1857">
                    <c:v>T001</c:v>
                  </c:pt>
                  <c:pt idx="1858">
                    <c:v>T002</c:v>
                  </c:pt>
                  <c:pt idx="1859">
                    <c:v>T003</c:v>
                  </c:pt>
                  <c:pt idx="1860">
                    <c:v>T004</c:v>
                  </c:pt>
                  <c:pt idx="1861">
                    <c:v>T005</c:v>
                  </c:pt>
                  <c:pt idx="1862">
                    <c:v>T006</c:v>
                  </c:pt>
                  <c:pt idx="1863">
                    <c:v>T007</c:v>
                  </c:pt>
                  <c:pt idx="1864">
                    <c:v>T008</c:v>
                  </c:pt>
                  <c:pt idx="1865">
                    <c:v>T009</c:v>
                  </c:pt>
                  <c:pt idx="1866">
                    <c:v>T010</c:v>
                  </c:pt>
                  <c:pt idx="1867">
                    <c:v>T011</c:v>
                  </c:pt>
                  <c:pt idx="1868">
                    <c:v>T012</c:v>
                  </c:pt>
                  <c:pt idx="1869">
                    <c:v>T013</c:v>
                  </c:pt>
                  <c:pt idx="1870">
                    <c:v>T014</c:v>
                  </c:pt>
                  <c:pt idx="1871">
                    <c:v>T015</c:v>
                  </c:pt>
                  <c:pt idx="1872">
                    <c:v>T016</c:v>
                  </c:pt>
                  <c:pt idx="1873">
                    <c:v>T017</c:v>
                  </c:pt>
                  <c:pt idx="1874">
                    <c:v>T018</c:v>
                  </c:pt>
                  <c:pt idx="1875">
                    <c:v>T019</c:v>
                  </c:pt>
                  <c:pt idx="1876">
                    <c:v>T020</c:v>
                  </c:pt>
                  <c:pt idx="1877">
                    <c:v>T021</c:v>
                  </c:pt>
                  <c:pt idx="1878">
                    <c:v>T022</c:v>
                  </c:pt>
                  <c:pt idx="1879">
                    <c:v>T023</c:v>
                  </c:pt>
                  <c:pt idx="1880">
                    <c:v>T024</c:v>
                  </c:pt>
                  <c:pt idx="1881">
                    <c:v>T018</c:v>
                  </c:pt>
                  <c:pt idx="1882">
                    <c:v>T020</c:v>
                  </c:pt>
                  <c:pt idx="1883">
                    <c:v>T021</c:v>
                  </c:pt>
                  <c:pt idx="1884">
                    <c:v>T022</c:v>
                  </c:pt>
                  <c:pt idx="1885">
                    <c:v>T001</c:v>
                  </c:pt>
                  <c:pt idx="1886">
                    <c:v>T002</c:v>
                  </c:pt>
                  <c:pt idx="1887">
                    <c:v>T003</c:v>
                  </c:pt>
                  <c:pt idx="1888">
                    <c:v>T004</c:v>
                  </c:pt>
                  <c:pt idx="1889">
                    <c:v>T005</c:v>
                  </c:pt>
                  <c:pt idx="1890">
                    <c:v>T006</c:v>
                  </c:pt>
                  <c:pt idx="1891">
                    <c:v>T007</c:v>
                  </c:pt>
                  <c:pt idx="1892">
                    <c:v>T008</c:v>
                  </c:pt>
                  <c:pt idx="1893">
                    <c:v>T009</c:v>
                  </c:pt>
                  <c:pt idx="1894">
                    <c:v>T010</c:v>
                  </c:pt>
                  <c:pt idx="1895">
                    <c:v>T011</c:v>
                  </c:pt>
                  <c:pt idx="1896">
                    <c:v>T012</c:v>
                  </c:pt>
                  <c:pt idx="1897">
                    <c:v>T013</c:v>
                  </c:pt>
                  <c:pt idx="1898">
                    <c:v>T014</c:v>
                  </c:pt>
                  <c:pt idx="1899">
                    <c:v>T015</c:v>
                  </c:pt>
                  <c:pt idx="1900">
                    <c:v>T016</c:v>
                  </c:pt>
                  <c:pt idx="1901">
                    <c:v>T017</c:v>
                  </c:pt>
                  <c:pt idx="1902">
                    <c:v>T018</c:v>
                  </c:pt>
                  <c:pt idx="1903">
                    <c:v>T019</c:v>
                  </c:pt>
                  <c:pt idx="1904">
                    <c:v>T020</c:v>
                  </c:pt>
                  <c:pt idx="1905">
                    <c:v>T021</c:v>
                  </c:pt>
                  <c:pt idx="1906">
                    <c:v>T022</c:v>
                  </c:pt>
                  <c:pt idx="1907">
                    <c:v>T023</c:v>
                  </c:pt>
                  <c:pt idx="1908">
                    <c:v>T024</c:v>
                  </c:pt>
                  <c:pt idx="1909">
                    <c:v>T001</c:v>
                  </c:pt>
                  <c:pt idx="1910">
                    <c:v>T002</c:v>
                  </c:pt>
                  <c:pt idx="1911">
                    <c:v>T003</c:v>
                  </c:pt>
                  <c:pt idx="1912">
                    <c:v>T004</c:v>
                  </c:pt>
                  <c:pt idx="1913">
                    <c:v>T005</c:v>
                  </c:pt>
                  <c:pt idx="1914">
                    <c:v>T006</c:v>
                  </c:pt>
                  <c:pt idx="1915">
                    <c:v>T007</c:v>
                  </c:pt>
                  <c:pt idx="1916">
                    <c:v>T008</c:v>
                  </c:pt>
                  <c:pt idx="1917">
                    <c:v>T009</c:v>
                  </c:pt>
                  <c:pt idx="1918">
                    <c:v>T010</c:v>
                  </c:pt>
                  <c:pt idx="1919">
                    <c:v>T011</c:v>
                  </c:pt>
                  <c:pt idx="1920">
                    <c:v>T012</c:v>
                  </c:pt>
                  <c:pt idx="1921">
                    <c:v>T013</c:v>
                  </c:pt>
                  <c:pt idx="1922">
                    <c:v>T014</c:v>
                  </c:pt>
                  <c:pt idx="1923">
                    <c:v>T015</c:v>
                  </c:pt>
                  <c:pt idx="1924">
                    <c:v>T016</c:v>
                  </c:pt>
                  <c:pt idx="1925">
                    <c:v>T017</c:v>
                  </c:pt>
                  <c:pt idx="1926">
                    <c:v>T018</c:v>
                  </c:pt>
                  <c:pt idx="1927">
                    <c:v>T019</c:v>
                  </c:pt>
                  <c:pt idx="1928">
                    <c:v>T020</c:v>
                  </c:pt>
                  <c:pt idx="1929">
                    <c:v>T021</c:v>
                  </c:pt>
                  <c:pt idx="1930">
                    <c:v>T022</c:v>
                  </c:pt>
                  <c:pt idx="1931">
                    <c:v>T023</c:v>
                  </c:pt>
                  <c:pt idx="1932">
                    <c:v>T024</c:v>
                  </c:pt>
                  <c:pt idx="1933">
                    <c:v>T001</c:v>
                  </c:pt>
                  <c:pt idx="1934">
                    <c:v>T002</c:v>
                  </c:pt>
                  <c:pt idx="1935">
                    <c:v>T003</c:v>
                  </c:pt>
                  <c:pt idx="1936">
                    <c:v>T004</c:v>
                  </c:pt>
                  <c:pt idx="1937">
                    <c:v>T005</c:v>
                  </c:pt>
                  <c:pt idx="1938">
                    <c:v>T006</c:v>
                  </c:pt>
                  <c:pt idx="1939">
                    <c:v>T007</c:v>
                  </c:pt>
                  <c:pt idx="1940">
                    <c:v>T008</c:v>
                  </c:pt>
                  <c:pt idx="1941">
                    <c:v>T009</c:v>
                  </c:pt>
                  <c:pt idx="1942">
                    <c:v>T010</c:v>
                  </c:pt>
                  <c:pt idx="1943">
                    <c:v>T011</c:v>
                  </c:pt>
                  <c:pt idx="1944">
                    <c:v>T012</c:v>
                  </c:pt>
                  <c:pt idx="1945">
                    <c:v>T013</c:v>
                  </c:pt>
                  <c:pt idx="1946">
                    <c:v>T014</c:v>
                  </c:pt>
                  <c:pt idx="1947">
                    <c:v>T015</c:v>
                  </c:pt>
                  <c:pt idx="1948">
                    <c:v>T016</c:v>
                  </c:pt>
                  <c:pt idx="1949">
                    <c:v>T017</c:v>
                  </c:pt>
                  <c:pt idx="1950">
                    <c:v>T018</c:v>
                  </c:pt>
                  <c:pt idx="1951">
                    <c:v>T019</c:v>
                  </c:pt>
                  <c:pt idx="1952">
                    <c:v>T020</c:v>
                  </c:pt>
                  <c:pt idx="1953">
                    <c:v>T021</c:v>
                  </c:pt>
                  <c:pt idx="1954">
                    <c:v>T022</c:v>
                  </c:pt>
                  <c:pt idx="1955">
                    <c:v>T023</c:v>
                  </c:pt>
                  <c:pt idx="1956">
                    <c:v>T024</c:v>
                  </c:pt>
                  <c:pt idx="1957">
                    <c:v>T001</c:v>
                  </c:pt>
                  <c:pt idx="1958">
                    <c:v>T002</c:v>
                  </c:pt>
                  <c:pt idx="1959">
                    <c:v>T003</c:v>
                  </c:pt>
                  <c:pt idx="1960">
                    <c:v>T004</c:v>
                  </c:pt>
                  <c:pt idx="1961">
                    <c:v>T005</c:v>
                  </c:pt>
                  <c:pt idx="1962">
                    <c:v>T006</c:v>
                  </c:pt>
                  <c:pt idx="1963">
                    <c:v>T007</c:v>
                  </c:pt>
                  <c:pt idx="1964">
                    <c:v>T008</c:v>
                  </c:pt>
                  <c:pt idx="1965">
                    <c:v>T009</c:v>
                  </c:pt>
                  <c:pt idx="1966">
                    <c:v>T010</c:v>
                  </c:pt>
                  <c:pt idx="1967">
                    <c:v>T011</c:v>
                  </c:pt>
                  <c:pt idx="1968">
                    <c:v>T012</c:v>
                  </c:pt>
                  <c:pt idx="1969">
                    <c:v>T013</c:v>
                  </c:pt>
                  <c:pt idx="1970">
                    <c:v>T014</c:v>
                  </c:pt>
                  <c:pt idx="1971">
                    <c:v>T015</c:v>
                  </c:pt>
                  <c:pt idx="1972">
                    <c:v>T016</c:v>
                  </c:pt>
                  <c:pt idx="1973">
                    <c:v>T017</c:v>
                  </c:pt>
                  <c:pt idx="1974">
                    <c:v>T018</c:v>
                  </c:pt>
                  <c:pt idx="1975">
                    <c:v>T019</c:v>
                  </c:pt>
                  <c:pt idx="1976">
                    <c:v>T020</c:v>
                  </c:pt>
                  <c:pt idx="1977">
                    <c:v>T021</c:v>
                  </c:pt>
                  <c:pt idx="1978">
                    <c:v>T022</c:v>
                  </c:pt>
                  <c:pt idx="1979">
                    <c:v>T023</c:v>
                  </c:pt>
                  <c:pt idx="1980">
                    <c:v>T024</c:v>
                  </c:pt>
                  <c:pt idx="1981">
                    <c:v>T001</c:v>
                  </c:pt>
                  <c:pt idx="1982">
                    <c:v>T002</c:v>
                  </c:pt>
                  <c:pt idx="1983">
                    <c:v>T003</c:v>
                  </c:pt>
                  <c:pt idx="1984">
                    <c:v>T004</c:v>
                  </c:pt>
                  <c:pt idx="1985">
                    <c:v>T005</c:v>
                  </c:pt>
                  <c:pt idx="1986">
                    <c:v>T006</c:v>
                  </c:pt>
                  <c:pt idx="1987">
                    <c:v>T007</c:v>
                  </c:pt>
                  <c:pt idx="1988">
                    <c:v>T008</c:v>
                  </c:pt>
                  <c:pt idx="1989">
                    <c:v>T009</c:v>
                  </c:pt>
                  <c:pt idx="1990">
                    <c:v>T010</c:v>
                  </c:pt>
                  <c:pt idx="1991">
                    <c:v>T011</c:v>
                  </c:pt>
                  <c:pt idx="1992">
                    <c:v>T012</c:v>
                  </c:pt>
                  <c:pt idx="1993">
                    <c:v>T013</c:v>
                  </c:pt>
                  <c:pt idx="1994">
                    <c:v>T014</c:v>
                  </c:pt>
                  <c:pt idx="1995">
                    <c:v>T015</c:v>
                  </c:pt>
                  <c:pt idx="1996">
                    <c:v>T016</c:v>
                  </c:pt>
                  <c:pt idx="1997">
                    <c:v>T017</c:v>
                  </c:pt>
                  <c:pt idx="1998">
                    <c:v>T018</c:v>
                  </c:pt>
                  <c:pt idx="1999">
                    <c:v>T019</c:v>
                  </c:pt>
                  <c:pt idx="2000">
                    <c:v>T020</c:v>
                  </c:pt>
                  <c:pt idx="2001">
                    <c:v>T021</c:v>
                  </c:pt>
                  <c:pt idx="2002">
                    <c:v>T022</c:v>
                  </c:pt>
                  <c:pt idx="2003">
                    <c:v>T023</c:v>
                  </c:pt>
                  <c:pt idx="2004">
                    <c:v>T024</c:v>
                  </c:pt>
                  <c:pt idx="2005">
                    <c:v>T001</c:v>
                  </c:pt>
                  <c:pt idx="2006">
                    <c:v>T002</c:v>
                  </c:pt>
                  <c:pt idx="2007">
                    <c:v>T003</c:v>
                  </c:pt>
                  <c:pt idx="2008">
                    <c:v>T004</c:v>
                  </c:pt>
                  <c:pt idx="2009">
                    <c:v>T005</c:v>
                  </c:pt>
                  <c:pt idx="2010">
                    <c:v>T006</c:v>
                  </c:pt>
                  <c:pt idx="2011">
                    <c:v>T007</c:v>
                  </c:pt>
                  <c:pt idx="2012">
                    <c:v>T008</c:v>
                  </c:pt>
                  <c:pt idx="2013">
                    <c:v>T009</c:v>
                  </c:pt>
                  <c:pt idx="2014">
                    <c:v>T010</c:v>
                  </c:pt>
                  <c:pt idx="2015">
                    <c:v>T011</c:v>
                  </c:pt>
                  <c:pt idx="2016">
                    <c:v>T012</c:v>
                  </c:pt>
                  <c:pt idx="2017">
                    <c:v>T013</c:v>
                  </c:pt>
                  <c:pt idx="2018">
                    <c:v>T014</c:v>
                  </c:pt>
                  <c:pt idx="2019">
                    <c:v>T015</c:v>
                  </c:pt>
                  <c:pt idx="2020">
                    <c:v>T016</c:v>
                  </c:pt>
                  <c:pt idx="2021">
                    <c:v>T017</c:v>
                  </c:pt>
                  <c:pt idx="2022">
                    <c:v>T018</c:v>
                  </c:pt>
                  <c:pt idx="2023">
                    <c:v>T019</c:v>
                  </c:pt>
                  <c:pt idx="2024">
                    <c:v>T020</c:v>
                  </c:pt>
                  <c:pt idx="2025">
                    <c:v>T021</c:v>
                  </c:pt>
                  <c:pt idx="2026">
                    <c:v>T022</c:v>
                  </c:pt>
                  <c:pt idx="2027">
                    <c:v>T023</c:v>
                  </c:pt>
                  <c:pt idx="2028">
                    <c:v>T024</c:v>
                  </c:pt>
                  <c:pt idx="2029">
                    <c:v>T020</c:v>
                  </c:pt>
                </c:lvl>
                <c:lvl>
                  <c:pt idx="0">
                    <c:v>GNR_ROR_WTR</c:v>
                  </c:pt>
                  <c:pt idx="24">
                    <c:v>GHYRR_WATER</c:v>
                  </c:pt>
                  <c:pt idx="48">
                    <c:v>GNR_RES_WTR_NOPMP</c:v>
                  </c:pt>
                  <c:pt idx="67">
                    <c:v>GHYRS_WATER</c:v>
                  </c:pt>
                  <c:pt idx="91">
                    <c:v>GNR_ST_COAL_EXT_E-43</c:v>
                  </c:pt>
                  <c:pt idx="115">
                    <c:v>GNR_ST_COAL_EXT_E-47</c:v>
                  </c:pt>
                  <c:pt idx="139">
                    <c:v>GNR_ST_COAL_EXT_E-42</c:v>
                  </c:pt>
                  <c:pt idx="163">
                    <c:v>GEXT_WOODWASTE_HORNEBORG</c:v>
                  </c:pt>
                  <c:pt idx="187">
                    <c:v>GEXT_COAL_LINK</c:v>
                  </c:pt>
                  <c:pt idx="211">
                    <c:v>GEXT_PEAT</c:v>
                  </c:pt>
                  <c:pt idx="234">
                    <c:v>GEXT_WOODWASTE</c:v>
                  </c:pt>
                  <c:pt idx="258">
                    <c:v>GNR_BO_ELEC_E-100</c:v>
                  </c:pt>
                  <c:pt idx="282">
                    <c:v>GNR_HP_ELEC_COP-300</c:v>
                  </c:pt>
                  <c:pt idx="306">
                    <c:v>GNR_HP_ELEC_COP-350</c:v>
                  </c:pt>
                  <c:pt idx="330">
                    <c:v>GNR_HP_ELEC_COP-400</c:v>
                  </c:pt>
                  <c:pt idx="354">
                    <c:v>GNR_HP_ELEC_COP-430</c:v>
                  </c:pt>
                  <c:pt idx="378">
                    <c:v>GNR_HP_ELEC_COP-450</c:v>
                  </c:pt>
                  <c:pt idx="402">
                    <c:v>GNR_HP_ELEC_COP-460</c:v>
                  </c:pt>
                  <c:pt idx="426">
                    <c:v>GNR_HP_ELEC_COP-470</c:v>
                  </c:pt>
                  <c:pt idx="450">
                    <c:v>GNR_HP_ELEC_COP-500</c:v>
                  </c:pt>
                  <c:pt idx="474">
                    <c:v>GNR_HP_ELEC_COP-530</c:v>
                  </c:pt>
                  <c:pt idx="498">
                    <c:v>GNR_HP_ELEC_COP-600</c:v>
                  </c:pt>
                  <c:pt idx="522">
                    <c:v>GETOH_HEATPUMP</c:v>
                  </c:pt>
                  <c:pt idx="546">
                    <c:v>GETOH_ELECTRICBOILER</c:v>
                  </c:pt>
                  <c:pt idx="570">
                    <c:v>GETOH_HEATPUMP33</c:v>
                  </c:pt>
                  <c:pt idx="594">
                    <c:v>GETOH_HEATPUMP2</c:v>
                  </c:pt>
                  <c:pt idx="618">
                    <c:v>GETOH_HEATPUMP1</c:v>
                  </c:pt>
                  <c:pt idx="642">
                    <c:v>GNR_BO_ELEC_E-99_LS-10-MW-FEED_Y-2030</c:v>
                  </c:pt>
                  <c:pt idx="656">
                    <c:v>GNR_HP_ELEC_COP-1200_Y-2030</c:v>
                  </c:pt>
                  <c:pt idx="680">
                    <c:v>GNR_BO_ELEC_E-99_SS-1-MW-FEED_Y-2030</c:v>
                  </c:pt>
                  <c:pt idx="704">
                    <c:v>GNR_ST_MSW_BP_E-17</c:v>
                  </c:pt>
                  <c:pt idx="728">
                    <c:v>GNR_ST_MSW_BP_E-20</c:v>
                  </c:pt>
                  <c:pt idx="752">
                    <c:v>GNR_ST_MSW_BP_E-21</c:v>
                  </c:pt>
                  <c:pt idx="776">
                    <c:v>GNR_ST_MSW_BP_E-22</c:v>
                  </c:pt>
                  <c:pt idx="800">
                    <c:v>GNR_ST_MSW_BP_E-26</c:v>
                  </c:pt>
                  <c:pt idx="824">
                    <c:v>GNR_ST_WOODCHI_BP_E-30</c:v>
                  </c:pt>
                  <c:pt idx="848">
                    <c:v>GNR_ST_STRW_BP_E-26</c:v>
                  </c:pt>
                  <c:pt idx="862">
                    <c:v>GNR_ST_COAL_BP_E-35</c:v>
                  </c:pt>
                  <c:pt idx="886">
                    <c:v>GNR_ENG_NGAS_BP_E-43</c:v>
                  </c:pt>
                  <c:pt idx="890">
                    <c:v>GNR_ENG_NGAS_BP_E-45</c:v>
                  </c:pt>
                  <c:pt idx="914">
                    <c:v>GNR_ENG_NGAS_BP_E-46</c:v>
                  </c:pt>
                  <c:pt idx="938">
                    <c:v>GNR_ST_STRW_BP_E-24</c:v>
                  </c:pt>
                  <c:pt idx="962">
                    <c:v>GNR_ST_STRW_BP_E-27</c:v>
                  </c:pt>
                  <c:pt idx="986">
                    <c:v>GNR_ST_STRW_BP_E-28</c:v>
                  </c:pt>
                  <c:pt idx="1010">
                    <c:v>GNR_ST_MSW_BP_E-16</c:v>
                  </c:pt>
                  <c:pt idx="1029">
                    <c:v>GNR_ST_MSW_BP_E-27</c:v>
                  </c:pt>
                  <c:pt idx="1053">
                    <c:v>GNR_ST_WOODCHI_BP_E-27</c:v>
                  </c:pt>
                  <c:pt idx="1077">
                    <c:v>GNR_ST_MSW_BP_E-28</c:v>
                  </c:pt>
                  <c:pt idx="1095">
                    <c:v>GNR_ST_COAL_BP_E-38</c:v>
                  </c:pt>
                  <c:pt idx="1119">
                    <c:v>GNR_ST_LIGN_BP_E-39</c:v>
                  </c:pt>
                  <c:pt idx="1143">
                    <c:v>GNR_ST_LIGN_BP_E-33</c:v>
                  </c:pt>
                  <c:pt idx="1167">
                    <c:v>GNR_ST_LIGN_BP_E-37</c:v>
                  </c:pt>
                  <c:pt idx="1191">
                    <c:v>GBPR_MUNIWASTE</c:v>
                  </c:pt>
                  <c:pt idx="1215">
                    <c:v>GBPR_PEAT_38</c:v>
                  </c:pt>
                  <c:pt idx="1235">
                    <c:v>GBPR_WOODWASTE</c:v>
                  </c:pt>
                  <c:pt idx="1259">
                    <c:v>GBPR_MUNIWASTE_24</c:v>
                  </c:pt>
                  <c:pt idx="1283">
                    <c:v>GBPR_WOODWASTE_25</c:v>
                  </c:pt>
                  <c:pt idx="1307">
                    <c:v>GBPR_WOODWASTE_36</c:v>
                  </c:pt>
                  <c:pt idx="1331">
                    <c:v>GBPR_MUNIWASTE_LINK</c:v>
                  </c:pt>
                  <c:pt idx="1355">
                    <c:v>GBPR_RECYCLEDWOOD_SE3EL</c:v>
                  </c:pt>
                  <c:pt idx="1372">
                    <c:v>GBPR_WOODWASTE_ABY</c:v>
                  </c:pt>
                  <c:pt idx="1396">
                    <c:v>GBPR_WOODWASTE_GOT</c:v>
                  </c:pt>
                  <c:pt idx="1420">
                    <c:v>GBPR_COAL_SE3</c:v>
                  </c:pt>
                  <c:pt idx="1437">
                    <c:v>GBPR_RECYCLEDWOOD_SE3OTHER</c:v>
                  </c:pt>
                  <c:pt idx="1451">
                    <c:v>GBPR_COAL_VARTAN</c:v>
                  </c:pt>
                  <c:pt idx="1469">
                    <c:v>GBPR_MUNIWASTE_HOGDALEN</c:v>
                  </c:pt>
                  <c:pt idx="1493">
                    <c:v>GBPR_WOODWASTE_BRISTA</c:v>
                  </c:pt>
                  <c:pt idx="1517">
                    <c:v>GBPR_RECYCLEDWOOD</c:v>
                  </c:pt>
                  <c:pt idx="1540">
                    <c:v>GBPR_RECYCLEDWOOD_SE4EL</c:v>
                  </c:pt>
                  <c:pt idx="1546">
                    <c:v>GBPR_MUNIWASTE_65</c:v>
                  </c:pt>
                  <c:pt idx="1570">
                    <c:v>GBPR_NATGAS_MAL</c:v>
                  </c:pt>
                  <c:pt idx="1589">
                    <c:v>GBPR_MUNIWASTE_19</c:v>
                  </c:pt>
                  <c:pt idx="1613">
                    <c:v>GBPR_WOODCHIPS_25</c:v>
                  </c:pt>
                  <c:pt idx="1614">
                    <c:v>GNR_ST_WOODCHI_BP_E-23</c:v>
                  </c:pt>
                  <c:pt idx="1615">
                    <c:v>GNR_PV_SUN</c:v>
                  </c:pt>
                  <c:pt idx="1628">
                    <c:v>GNR_PV_SUN_LS-4-MW_Y-2030</c:v>
                  </c:pt>
                  <c:pt idx="1641">
                    <c:v>GNR_PV_SUN_LS-4-MW_Y-2020</c:v>
                  </c:pt>
                  <c:pt idx="1665">
                    <c:v>GNR_WT_WIND_ONS</c:v>
                  </c:pt>
                  <c:pt idx="1689">
                    <c:v>GNR_WT_WIND_OFF</c:v>
                  </c:pt>
                  <c:pt idx="1713">
                    <c:v>AGG-DE4-E_RES_WTR_PMP</c:v>
                  </c:pt>
                  <c:pt idx="1737">
                    <c:v>AGG-DE4-N_RES_WTR_PMP</c:v>
                  </c:pt>
                  <c:pt idx="1761">
                    <c:v>AGG-DE4-S_RES_WTR_PMP</c:v>
                  </c:pt>
                  <c:pt idx="1785">
                    <c:v>AGG-DE4-W_RES_WTR_PMP</c:v>
                  </c:pt>
                  <c:pt idx="1809">
                    <c:v>GNR_ST_LIGN_CND_E-43</c:v>
                  </c:pt>
                  <c:pt idx="1833">
                    <c:v>GNR_ST_MSW_CND_E-33</c:v>
                  </c:pt>
                  <c:pt idx="1857">
                    <c:v>GNR_GEO_HEAT_EO</c:v>
                  </c:pt>
                  <c:pt idx="1881">
                    <c:v>GNR_ST_COAL_CND_E-46</c:v>
                  </c:pt>
                  <c:pt idx="1885">
                    <c:v>GNR_ST_NUCL_CND_E-33</c:v>
                  </c:pt>
                  <c:pt idx="1909">
                    <c:v>GNR_ST_COAL_CND_E-44</c:v>
                  </c:pt>
                  <c:pt idx="1933">
                    <c:v>GNR_ST_COAL_CND_E-45</c:v>
                  </c:pt>
                  <c:pt idx="1957">
                    <c:v>GNR_ST_LIGN_CND_E-32</c:v>
                  </c:pt>
                  <c:pt idx="1981">
                    <c:v>GNR_ST_LIGN_CND_E-41</c:v>
                  </c:pt>
                  <c:pt idx="2005">
                    <c:v>GCND_NUCLEAR</c:v>
                  </c:pt>
                  <c:pt idx="2029">
                    <c:v>AGG-DE4-N_ES_ELEC</c:v>
                  </c:pt>
                </c:lvl>
                <c:lvl>
                  <c:pt idx="0">
                    <c:v>2.19e+303</c:v>
                  </c:pt>
                  <c:pt idx="48">
                    <c:v>2.21e+303</c:v>
                  </c:pt>
                  <c:pt idx="91">
                    <c:v>2.26e+303</c:v>
                  </c:pt>
                  <c:pt idx="258">
                    <c:v>2.44e+303</c:v>
                  </c:pt>
                  <c:pt idx="704">
                    <c:v>2.29e+303</c:v>
                  </c:pt>
                  <c:pt idx="1615">
                    <c:v>2.22e+303</c:v>
                  </c:pt>
                  <c:pt idx="1665">
                    <c:v>2.24e+303</c:v>
                  </c:pt>
                  <c:pt idx="1713">
                    <c:v>2.65e+303</c:v>
                  </c:pt>
                  <c:pt idx="1809">
                    <c:v>2.1e+303</c:v>
                  </c:pt>
                  <c:pt idx="2029">
                    <c:v>2.49e+303</c:v>
                  </c:pt>
                </c:lvl>
                <c:lvl>
                  <c:pt idx="0">
                    <c:v>S12</c:v>
                  </c:pt>
                </c:lvl>
              </c:multiLvlStrCache>
            </c:multiLvlStrRef>
          </c:cat>
          <c:val>
            <c:numRef>
              <c:f>'EL GEN - Time'!$F$6:$F$2036</c:f>
              <c:numCache>
                <c:formatCode>General</c:formatCode>
                <c:ptCount val="2030"/>
                <c:pt idx="0">
                  <c:v>3.8404825653080241</c:v>
                </c:pt>
                <c:pt idx="1">
                  <c:v>3.8404825653080241</c:v>
                </c:pt>
                <c:pt idx="2">
                  <c:v>3.8404825653080241</c:v>
                </c:pt>
                <c:pt idx="3">
                  <c:v>3.8404825653080241</c:v>
                </c:pt>
                <c:pt idx="4">
                  <c:v>3.8404825653080241</c:v>
                </c:pt>
                <c:pt idx="5">
                  <c:v>3.8404825653080241</c:v>
                </c:pt>
                <c:pt idx="6">
                  <c:v>3.8404825653080241</c:v>
                </c:pt>
                <c:pt idx="7">
                  <c:v>3.8404825653080241</c:v>
                </c:pt>
                <c:pt idx="8">
                  <c:v>3.8404825653080241</c:v>
                </c:pt>
                <c:pt idx="9">
                  <c:v>3.8404825653080241</c:v>
                </c:pt>
                <c:pt idx="10">
                  <c:v>3.8404825653080241</c:v>
                </c:pt>
                <c:pt idx="11">
                  <c:v>3.8404825653080241</c:v>
                </c:pt>
                <c:pt idx="12">
                  <c:v>3.8404825653080241</c:v>
                </c:pt>
                <c:pt idx="13">
                  <c:v>3.8404825653080241</c:v>
                </c:pt>
                <c:pt idx="14">
                  <c:v>3.8404825653080241</c:v>
                </c:pt>
                <c:pt idx="15">
                  <c:v>3.8404825653080241</c:v>
                </c:pt>
                <c:pt idx="16">
                  <c:v>3.8404825653080241</c:v>
                </c:pt>
                <c:pt idx="17">
                  <c:v>3.8404825653080241</c:v>
                </c:pt>
                <c:pt idx="18">
                  <c:v>3.8404825653080241</c:v>
                </c:pt>
                <c:pt idx="19">
                  <c:v>3.8404825653080241</c:v>
                </c:pt>
                <c:pt idx="20">
                  <c:v>3.8404825653080241</c:v>
                </c:pt>
                <c:pt idx="21">
                  <c:v>3.8404825653080241</c:v>
                </c:pt>
                <c:pt idx="22">
                  <c:v>3.8404825653080241</c:v>
                </c:pt>
                <c:pt idx="23">
                  <c:v>3.8404825653080241</c:v>
                </c:pt>
                <c:pt idx="91">
                  <c:v>168.39834942411099</c:v>
                </c:pt>
                <c:pt idx="92">
                  <c:v>168.39834942411099</c:v>
                </c:pt>
                <c:pt idx="93">
                  <c:v>176.15064456092199</c:v>
                </c:pt>
                <c:pt idx="94">
                  <c:v>221.03235324771799</c:v>
                </c:pt>
                <c:pt idx="95">
                  <c:v>289.17094734494401</c:v>
                </c:pt>
                <c:pt idx="96">
                  <c:v>402.191250128967</c:v>
                </c:pt>
                <c:pt idx="97">
                  <c:v>417.28782486907102</c:v>
                </c:pt>
                <c:pt idx="98">
                  <c:v>409.53552973226101</c:v>
                </c:pt>
                <c:pt idx="99">
                  <c:v>387.09467538886298</c:v>
                </c:pt>
                <c:pt idx="100">
                  <c:v>334.46067156525697</c:v>
                </c:pt>
                <c:pt idx="101">
                  <c:v>296.51522694823802</c:v>
                </c:pt>
                <c:pt idx="102">
                  <c:v>258.97779786473598</c:v>
                </c:pt>
                <c:pt idx="103">
                  <c:v>221.03235324771799</c:v>
                </c:pt>
                <c:pt idx="104">
                  <c:v>213.68807364442401</c:v>
                </c:pt>
                <c:pt idx="105">
                  <c:v>198.59149890431999</c:v>
                </c:pt>
                <c:pt idx="106">
                  <c:v>213.68807364442401</c:v>
                </c:pt>
                <c:pt idx="107">
                  <c:v>274.07437260483999</c:v>
                </c:pt>
                <c:pt idx="108">
                  <c:v>326.70837642844702</c:v>
                </c:pt>
                <c:pt idx="109">
                  <c:v>385.401525908655</c:v>
                </c:pt>
                <c:pt idx="110">
                  <c:v>370.30495116855099</c:v>
                </c:pt>
                <c:pt idx="111">
                  <c:v>309.91865220813401</c:v>
                </c:pt>
                <c:pt idx="112">
                  <c:v>272.38122312463202</c:v>
                </c:pt>
                <c:pt idx="113">
                  <c:v>205.935778507614</c:v>
                </c:pt>
                <c:pt idx="114">
                  <c:v>168.39834942411099</c:v>
                </c:pt>
                <c:pt idx="115">
                  <c:v>320.83333333333297</c:v>
                </c:pt>
                <c:pt idx="116">
                  <c:v>320.83333333333297</c:v>
                </c:pt>
                <c:pt idx="117">
                  <c:v>320.83333333333297</c:v>
                </c:pt>
                <c:pt idx="118">
                  <c:v>320.83333333333297</c:v>
                </c:pt>
                <c:pt idx="119">
                  <c:v>320.83333333333297</c:v>
                </c:pt>
                <c:pt idx="120">
                  <c:v>320.83333333333297</c:v>
                </c:pt>
                <c:pt idx="121">
                  <c:v>320.83333333333297</c:v>
                </c:pt>
                <c:pt idx="122">
                  <c:v>320.83333333333297</c:v>
                </c:pt>
                <c:pt idx="123">
                  <c:v>320.83333333333297</c:v>
                </c:pt>
                <c:pt idx="124">
                  <c:v>320.83333333333297</c:v>
                </c:pt>
                <c:pt idx="125">
                  <c:v>320.83333333333297</c:v>
                </c:pt>
                <c:pt idx="126">
                  <c:v>320.83333333333297</c:v>
                </c:pt>
                <c:pt idx="127">
                  <c:v>320.83333333333297</c:v>
                </c:pt>
                <c:pt idx="128">
                  <c:v>320.83333333333297</c:v>
                </c:pt>
                <c:pt idx="129">
                  <c:v>320.83333333333297</c:v>
                </c:pt>
                <c:pt idx="130">
                  <c:v>320.83333333333297</c:v>
                </c:pt>
                <c:pt idx="131">
                  <c:v>320.83333333333297</c:v>
                </c:pt>
                <c:pt idx="132">
                  <c:v>320.83333333333297</c:v>
                </c:pt>
                <c:pt idx="133">
                  <c:v>320.83333333333297</c:v>
                </c:pt>
                <c:pt idx="134">
                  <c:v>320.83333333333297</c:v>
                </c:pt>
                <c:pt idx="135">
                  <c:v>320.83333333333297</c:v>
                </c:pt>
                <c:pt idx="136">
                  <c:v>320.83333333333297</c:v>
                </c:pt>
                <c:pt idx="137">
                  <c:v>320.83333333333297</c:v>
                </c:pt>
                <c:pt idx="138">
                  <c:v>320.83333333333297</c:v>
                </c:pt>
                <c:pt idx="139">
                  <c:v>416.66666666666703</c:v>
                </c:pt>
                <c:pt idx="140">
                  <c:v>416.66666666666703</c:v>
                </c:pt>
                <c:pt idx="141">
                  <c:v>416.66666666666703</c:v>
                </c:pt>
                <c:pt idx="142">
                  <c:v>416.66666666666703</c:v>
                </c:pt>
                <c:pt idx="143">
                  <c:v>416.66666666666703</c:v>
                </c:pt>
                <c:pt idx="144">
                  <c:v>416.66666666666703</c:v>
                </c:pt>
                <c:pt idx="145">
                  <c:v>416.66666666666703</c:v>
                </c:pt>
                <c:pt idx="146">
                  <c:v>416.66666666666703</c:v>
                </c:pt>
                <c:pt idx="147">
                  <c:v>416.66666666666703</c:v>
                </c:pt>
                <c:pt idx="148">
                  <c:v>416.66666666666703</c:v>
                </c:pt>
                <c:pt idx="149">
                  <c:v>416.66666666666703</c:v>
                </c:pt>
                <c:pt idx="150">
                  <c:v>416.66666666666703</c:v>
                </c:pt>
                <c:pt idx="151">
                  <c:v>416.66666666666703</c:v>
                </c:pt>
                <c:pt idx="152">
                  <c:v>416.66666666666703</c:v>
                </c:pt>
                <c:pt idx="153">
                  <c:v>416.66666666666703</c:v>
                </c:pt>
                <c:pt idx="154">
                  <c:v>416.66666666666703</c:v>
                </c:pt>
                <c:pt idx="155">
                  <c:v>416.66666666666703</c:v>
                </c:pt>
                <c:pt idx="156">
                  <c:v>416.66666666666703</c:v>
                </c:pt>
                <c:pt idx="157">
                  <c:v>416.66666666666703</c:v>
                </c:pt>
                <c:pt idx="158">
                  <c:v>416.66666666666703</c:v>
                </c:pt>
                <c:pt idx="159">
                  <c:v>416.66666666666703</c:v>
                </c:pt>
                <c:pt idx="160">
                  <c:v>416.66666666666703</c:v>
                </c:pt>
                <c:pt idx="161">
                  <c:v>416.66666666666703</c:v>
                </c:pt>
                <c:pt idx="162">
                  <c:v>416.66666666666703</c:v>
                </c:pt>
                <c:pt idx="258">
                  <c:v>-14.450731334714201</c:v>
                </c:pt>
                <c:pt idx="259">
                  <c:v>-10.41812862254665</c:v>
                </c:pt>
                <c:pt idx="260">
                  <c:v>-7.4608866336237698</c:v>
                </c:pt>
                <c:pt idx="261">
                  <c:v>-9.6116080801131698</c:v>
                </c:pt>
                <c:pt idx="262">
                  <c:v>-78.570217439034906</c:v>
                </c:pt>
                <c:pt idx="263">
                  <c:v>-130.84274037527271</c:v>
                </c:pt>
                <c:pt idx="264">
                  <c:v>-133.94999999999999</c:v>
                </c:pt>
                <c:pt idx="265">
                  <c:v>-133.94999999999999</c:v>
                </c:pt>
                <c:pt idx="266">
                  <c:v>-145.46714323311929</c:v>
                </c:pt>
                <c:pt idx="267">
                  <c:v>-149.256783205321</c:v>
                </c:pt>
                <c:pt idx="268">
                  <c:v>-101.61026218283851</c:v>
                </c:pt>
                <c:pt idx="269">
                  <c:v>-62.120121615560677</c:v>
                </c:pt>
                <c:pt idx="270">
                  <c:v>-51.92607025069259</c:v>
                </c:pt>
                <c:pt idx="271">
                  <c:v>-31</c:v>
                </c:pt>
                <c:pt idx="272">
                  <c:v>-31</c:v>
                </c:pt>
                <c:pt idx="273">
                  <c:v>-33.559365162915363</c:v>
                </c:pt>
                <c:pt idx="274">
                  <c:v>-54.869808103432433</c:v>
                </c:pt>
                <c:pt idx="275">
                  <c:v>-35.462270301211504</c:v>
                </c:pt>
                <c:pt idx="276">
                  <c:v>-21</c:v>
                </c:pt>
                <c:pt idx="277">
                  <c:v>-21</c:v>
                </c:pt>
                <c:pt idx="278">
                  <c:v>-5.4823056049673697</c:v>
                </c:pt>
                <c:pt idx="279">
                  <c:v>-1</c:v>
                </c:pt>
                <c:pt idx="280">
                  <c:v>-31</c:v>
                </c:pt>
                <c:pt idx="281">
                  <c:v>-31</c:v>
                </c:pt>
                <c:pt idx="282">
                  <c:v>-0.61333333333333295</c:v>
                </c:pt>
                <c:pt idx="283">
                  <c:v>-0.61333333333333295</c:v>
                </c:pt>
                <c:pt idx="284">
                  <c:v>-0.61333333333333295</c:v>
                </c:pt>
                <c:pt idx="285">
                  <c:v>-0.61333333333333295</c:v>
                </c:pt>
                <c:pt idx="286">
                  <c:v>-0.72666666666666591</c:v>
                </c:pt>
                <c:pt idx="287">
                  <c:v>-0.72666666666666591</c:v>
                </c:pt>
                <c:pt idx="288">
                  <c:v>-0.72666666666666591</c:v>
                </c:pt>
                <c:pt idx="289">
                  <c:v>-0.72666666666666591</c:v>
                </c:pt>
                <c:pt idx="290">
                  <c:v>-1.2266666666666659</c:v>
                </c:pt>
                <c:pt idx="291">
                  <c:v>-1.2266666666666659</c:v>
                </c:pt>
                <c:pt idx="292">
                  <c:v>-1.2266666666666659</c:v>
                </c:pt>
                <c:pt idx="293">
                  <c:v>-1.1133333333333328</c:v>
                </c:pt>
                <c:pt idx="294">
                  <c:v>-1.1133333333333328</c:v>
                </c:pt>
                <c:pt idx="295">
                  <c:v>-0.61333333333333295</c:v>
                </c:pt>
                <c:pt idx="296">
                  <c:v>-0.61333333333333295</c:v>
                </c:pt>
                <c:pt idx="297">
                  <c:v>-1.1133333333333328</c:v>
                </c:pt>
                <c:pt idx="298">
                  <c:v>-1.2266666666666659</c:v>
                </c:pt>
                <c:pt idx="299">
                  <c:v>-1.2266666666666659</c:v>
                </c:pt>
                <c:pt idx="300">
                  <c:v>-1.2266666666666659</c:v>
                </c:pt>
                <c:pt idx="301">
                  <c:v>-1.2266666666666659</c:v>
                </c:pt>
                <c:pt idx="302">
                  <c:v>-1.2266666666666659</c:v>
                </c:pt>
                <c:pt idx="303">
                  <c:v>-0.61333333333333295</c:v>
                </c:pt>
                <c:pt idx="304">
                  <c:v>-0.61333333333333295</c:v>
                </c:pt>
                <c:pt idx="305">
                  <c:v>-0.61333333333333295</c:v>
                </c:pt>
                <c:pt idx="306">
                  <c:v>-0.625428571428571</c:v>
                </c:pt>
                <c:pt idx="307">
                  <c:v>-0.625428571428571</c:v>
                </c:pt>
                <c:pt idx="308">
                  <c:v>-0.625428571428571</c:v>
                </c:pt>
                <c:pt idx="309">
                  <c:v>-0.625428571428571</c:v>
                </c:pt>
                <c:pt idx="310">
                  <c:v>-0.625428571428571</c:v>
                </c:pt>
                <c:pt idx="311">
                  <c:v>-0.625428571428571</c:v>
                </c:pt>
                <c:pt idx="312">
                  <c:v>-0.625428571428571</c:v>
                </c:pt>
                <c:pt idx="313">
                  <c:v>-1.250857142857142</c:v>
                </c:pt>
                <c:pt idx="314">
                  <c:v>-1.250857142857142</c:v>
                </c:pt>
                <c:pt idx="315">
                  <c:v>-1.250857142857142</c:v>
                </c:pt>
                <c:pt idx="316">
                  <c:v>-1.250857142857142</c:v>
                </c:pt>
                <c:pt idx="317">
                  <c:v>-1.250857142857142</c:v>
                </c:pt>
                <c:pt idx="318">
                  <c:v>-1.250857142857142</c:v>
                </c:pt>
                <c:pt idx="319">
                  <c:v>-0.625428571428571</c:v>
                </c:pt>
                <c:pt idx="320">
                  <c:v>-0.83959704427457904</c:v>
                </c:pt>
                <c:pt idx="321">
                  <c:v>-1.250857142857142</c:v>
                </c:pt>
                <c:pt idx="322">
                  <c:v>-1.250857142857142</c:v>
                </c:pt>
                <c:pt idx="323">
                  <c:v>-1.250857142857142</c:v>
                </c:pt>
                <c:pt idx="324">
                  <c:v>-1.250857142857142</c:v>
                </c:pt>
                <c:pt idx="325">
                  <c:v>-1.250857142857142</c:v>
                </c:pt>
                <c:pt idx="326">
                  <c:v>-1.250857142857142</c:v>
                </c:pt>
                <c:pt idx="327">
                  <c:v>-0.625428571428571</c:v>
                </c:pt>
                <c:pt idx="328">
                  <c:v>-0.625428571428571</c:v>
                </c:pt>
                <c:pt idx="329">
                  <c:v>-0.625428571428571</c:v>
                </c:pt>
                <c:pt idx="330">
                  <c:v>-0.91199999999999992</c:v>
                </c:pt>
                <c:pt idx="331">
                  <c:v>-0.91199999999999992</c:v>
                </c:pt>
                <c:pt idx="332">
                  <c:v>-0.91199999999999992</c:v>
                </c:pt>
                <c:pt idx="333">
                  <c:v>-0.91199999999999992</c:v>
                </c:pt>
                <c:pt idx="334">
                  <c:v>-0.91199999999999992</c:v>
                </c:pt>
                <c:pt idx="335">
                  <c:v>-0.91199999999999992</c:v>
                </c:pt>
                <c:pt idx="336">
                  <c:v>-0.91199999999999992</c:v>
                </c:pt>
                <c:pt idx="337">
                  <c:v>-1.4239999999999999</c:v>
                </c:pt>
                <c:pt idx="338">
                  <c:v>-1.8239999999999998</c:v>
                </c:pt>
                <c:pt idx="339">
                  <c:v>-1.8239999999999998</c:v>
                </c:pt>
                <c:pt idx="340">
                  <c:v>-1.8239999999999998</c:v>
                </c:pt>
                <c:pt idx="341">
                  <c:v>-1.8239999999999998</c:v>
                </c:pt>
                <c:pt idx="342">
                  <c:v>-1.8239999999999998</c:v>
                </c:pt>
                <c:pt idx="343">
                  <c:v>-0.91199999999999992</c:v>
                </c:pt>
                <c:pt idx="344">
                  <c:v>-1.4239999999999999</c:v>
                </c:pt>
                <c:pt idx="345">
                  <c:v>-1.690447898287168</c:v>
                </c:pt>
                <c:pt idx="346">
                  <c:v>-1.8239999999999998</c:v>
                </c:pt>
                <c:pt idx="347">
                  <c:v>-1.8239999999999998</c:v>
                </c:pt>
                <c:pt idx="348">
                  <c:v>-1.8239999999999998</c:v>
                </c:pt>
                <c:pt idx="349">
                  <c:v>-1.8239999999999998</c:v>
                </c:pt>
                <c:pt idx="350">
                  <c:v>-1.4239999999999999</c:v>
                </c:pt>
                <c:pt idx="351">
                  <c:v>-0.91199999999999992</c:v>
                </c:pt>
                <c:pt idx="352">
                  <c:v>-0.91199999999999992</c:v>
                </c:pt>
                <c:pt idx="353">
                  <c:v>-0.91199999999999992</c:v>
                </c:pt>
                <c:pt idx="354">
                  <c:v>-0.30232558139534899</c:v>
                </c:pt>
                <c:pt idx="355">
                  <c:v>-0.30232558139534899</c:v>
                </c:pt>
                <c:pt idx="356">
                  <c:v>-0.30232558139534899</c:v>
                </c:pt>
                <c:pt idx="357">
                  <c:v>-0.30232558139534899</c:v>
                </c:pt>
                <c:pt idx="358">
                  <c:v>-0.30232558139534899</c:v>
                </c:pt>
                <c:pt idx="359">
                  <c:v>-0.30232558139534899</c:v>
                </c:pt>
                <c:pt idx="360">
                  <c:v>-0.30232558139534899</c:v>
                </c:pt>
                <c:pt idx="361">
                  <c:v>-0.60465116279069797</c:v>
                </c:pt>
                <c:pt idx="362">
                  <c:v>-0.60465116279069797</c:v>
                </c:pt>
                <c:pt idx="363">
                  <c:v>-0.60465116279069797</c:v>
                </c:pt>
                <c:pt idx="364">
                  <c:v>-0.60465116279069797</c:v>
                </c:pt>
                <c:pt idx="365">
                  <c:v>-0.60465116279069797</c:v>
                </c:pt>
                <c:pt idx="366">
                  <c:v>-0.60465116279069797</c:v>
                </c:pt>
                <c:pt idx="367">
                  <c:v>-0.60465116279069797</c:v>
                </c:pt>
                <c:pt idx="368">
                  <c:v>-0.60465116279069797</c:v>
                </c:pt>
                <c:pt idx="369">
                  <c:v>-0.60465116279069797</c:v>
                </c:pt>
                <c:pt idx="370">
                  <c:v>-0.60465116279069797</c:v>
                </c:pt>
                <c:pt idx="371">
                  <c:v>-0.60465116279069797</c:v>
                </c:pt>
                <c:pt idx="372">
                  <c:v>-0.60465116279069797</c:v>
                </c:pt>
                <c:pt idx="373">
                  <c:v>-0.60465116279069797</c:v>
                </c:pt>
                <c:pt idx="374">
                  <c:v>-0.60465116279069797</c:v>
                </c:pt>
                <c:pt idx="375">
                  <c:v>-0.30232558139534899</c:v>
                </c:pt>
                <c:pt idx="376">
                  <c:v>-0.30232558139534899</c:v>
                </c:pt>
                <c:pt idx="377">
                  <c:v>-0.30232558139534899</c:v>
                </c:pt>
                <c:pt idx="378">
                  <c:v>-0.12</c:v>
                </c:pt>
                <c:pt idx="379">
                  <c:v>-0.12</c:v>
                </c:pt>
                <c:pt idx="380">
                  <c:v>-0.12</c:v>
                </c:pt>
                <c:pt idx="381">
                  <c:v>-0.12</c:v>
                </c:pt>
                <c:pt idx="382">
                  <c:v>-0.12</c:v>
                </c:pt>
                <c:pt idx="383">
                  <c:v>-0.12</c:v>
                </c:pt>
                <c:pt idx="384">
                  <c:v>-0.12</c:v>
                </c:pt>
                <c:pt idx="385">
                  <c:v>-0.24</c:v>
                </c:pt>
                <c:pt idx="386">
                  <c:v>-0.24</c:v>
                </c:pt>
                <c:pt idx="387">
                  <c:v>-0.24</c:v>
                </c:pt>
                <c:pt idx="388">
                  <c:v>-0.24</c:v>
                </c:pt>
                <c:pt idx="389">
                  <c:v>-0.24</c:v>
                </c:pt>
                <c:pt idx="390">
                  <c:v>-0.24</c:v>
                </c:pt>
                <c:pt idx="391">
                  <c:v>-0.24</c:v>
                </c:pt>
                <c:pt idx="392">
                  <c:v>-0.24</c:v>
                </c:pt>
                <c:pt idx="393">
                  <c:v>-0.24</c:v>
                </c:pt>
                <c:pt idx="394">
                  <c:v>-0.24</c:v>
                </c:pt>
                <c:pt idx="395">
                  <c:v>-0.24</c:v>
                </c:pt>
                <c:pt idx="396">
                  <c:v>-0.24</c:v>
                </c:pt>
                <c:pt idx="397">
                  <c:v>-0.24</c:v>
                </c:pt>
                <c:pt idx="398">
                  <c:v>-0.24</c:v>
                </c:pt>
                <c:pt idx="399">
                  <c:v>-0.12</c:v>
                </c:pt>
                <c:pt idx="400">
                  <c:v>-0.12</c:v>
                </c:pt>
                <c:pt idx="401">
                  <c:v>-0.12</c:v>
                </c:pt>
                <c:pt idx="402">
                  <c:v>-0.78260869565217395</c:v>
                </c:pt>
                <c:pt idx="403">
                  <c:v>-0.78260869565217395</c:v>
                </c:pt>
                <c:pt idx="404">
                  <c:v>-0.78260869565217395</c:v>
                </c:pt>
                <c:pt idx="405">
                  <c:v>-0.78260869565217395</c:v>
                </c:pt>
                <c:pt idx="406">
                  <c:v>-0.78260869565217395</c:v>
                </c:pt>
                <c:pt idx="407">
                  <c:v>-0.78260869565217395</c:v>
                </c:pt>
                <c:pt idx="408">
                  <c:v>-0.78260869565217395</c:v>
                </c:pt>
                <c:pt idx="409">
                  <c:v>-1.5652173913043479</c:v>
                </c:pt>
                <c:pt idx="410">
                  <c:v>-1.5652173913043479</c:v>
                </c:pt>
                <c:pt idx="411">
                  <c:v>-1.5652173913043479</c:v>
                </c:pt>
                <c:pt idx="412">
                  <c:v>-1.5652173913043479</c:v>
                </c:pt>
                <c:pt idx="413">
                  <c:v>-1.5652173913043479</c:v>
                </c:pt>
                <c:pt idx="414">
                  <c:v>-1.5652173913043479</c:v>
                </c:pt>
                <c:pt idx="415">
                  <c:v>-1.5652173913043479</c:v>
                </c:pt>
                <c:pt idx="416">
                  <c:v>-1.5652173913043479</c:v>
                </c:pt>
                <c:pt idx="417">
                  <c:v>-1.5652173913043479</c:v>
                </c:pt>
                <c:pt idx="418">
                  <c:v>-1.5652173913043479</c:v>
                </c:pt>
                <c:pt idx="419">
                  <c:v>-1.5652173913043479</c:v>
                </c:pt>
                <c:pt idx="420">
                  <c:v>-1.5652173913043479</c:v>
                </c:pt>
                <c:pt idx="421">
                  <c:v>-1.5652173913043479</c:v>
                </c:pt>
                <c:pt idx="422">
                  <c:v>-1.5652173913043479</c:v>
                </c:pt>
                <c:pt idx="423">
                  <c:v>-0.78260869565217395</c:v>
                </c:pt>
                <c:pt idx="424">
                  <c:v>-0.78260869565217395</c:v>
                </c:pt>
                <c:pt idx="425">
                  <c:v>-0.78260869565217395</c:v>
                </c:pt>
                <c:pt idx="426">
                  <c:v>-0.20212765957446799</c:v>
                </c:pt>
                <c:pt idx="427">
                  <c:v>-0.20212765957446799</c:v>
                </c:pt>
                <c:pt idx="428">
                  <c:v>-0.20212765957446799</c:v>
                </c:pt>
                <c:pt idx="429">
                  <c:v>-0.20212765957446799</c:v>
                </c:pt>
                <c:pt idx="430">
                  <c:v>-0.20212765957446799</c:v>
                </c:pt>
                <c:pt idx="431">
                  <c:v>-0.20212765957446799</c:v>
                </c:pt>
                <c:pt idx="432">
                  <c:v>-0.20212765957446799</c:v>
                </c:pt>
                <c:pt idx="433">
                  <c:v>-0.40425531914893598</c:v>
                </c:pt>
                <c:pt idx="434">
                  <c:v>-0.40425531914893598</c:v>
                </c:pt>
                <c:pt idx="435">
                  <c:v>-0.40425531914893598</c:v>
                </c:pt>
                <c:pt idx="436">
                  <c:v>-0.40425531914893598</c:v>
                </c:pt>
                <c:pt idx="437">
                  <c:v>-0.40425531914893598</c:v>
                </c:pt>
                <c:pt idx="438">
                  <c:v>-0.40425531914893598</c:v>
                </c:pt>
                <c:pt idx="439">
                  <c:v>-0.40425531914893598</c:v>
                </c:pt>
                <c:pt idx="440">
                  <c:v>-0.40425531914893598</c:v>
                </c:pt>
                <c:pt idx="441">
                  <c:v>-0.40425531914893598</c:v>
                </c:pt>
                <c:pt idx="442">
                  <c:v>-0.40425531914893598</c:v>
                </c:pt>
                <c:pt idx="443">
                  <c:v>-0.40425531914893598</c:v>
                </c:pt>
                <c:pt idx="444">
                  <c:v>-0.40425531914893598</c:v>
                </c:pt>
                <c:pt idx="445">
                  <c:v>-0.40425531914893598</c:v>
                </c:pt>
                <c:pt idx="446">
                  <c:v>-0.40425531914893598</c:v>
                </c:pt>
                <c:pt idx="447">
                  <c:v>-0.20212765957446799</c:v>
                </c:pt>
                <c:pt idx="448">
                  <c:v>-0.20212765957446799</c:v>
                </c:pt>
                <c:pt idx="449">
                  <c:v>-0.20212765957446799</c:v>
                </c:pt>
                <c:pt idx="450">
                  <c:v>-0.1</c:v>
                </c:pt>
                <c:pt idx="451">
                  <c:v>-0.1</c:v>
                </c:pt>
                <c:pt idx="452">
                  <c:v>-0.1</c:v>
                </c:pt>
                <c:pt idx="453">
                  <c:v>-0.1</c:v>
                </c:pt>
                <c:pt idx="454">
                  <c:v>-0.1</c:v>
                </c:pt>
                <c:pt idx="455">
                  <c:v>-0.1</c:v>
                </c:pt>
                <c:pt idx="456">
                  <c:v>-0.1</c:v>
                </c:pt>
                <c:pt idx="457">
                  <c:v>-0.2</c:v>
                </c:pt>
                <c:pt idx="458">
                  <c:v>-0.2</c:v>
                </c:pt>
                <c:pt idx="459">
                  <c:v>-0.2</c:v>
                </c:pt>
                <c:pt idx="460">
                  <c:v>-0.2</c:v>
                </c:pt>
                <c:pt idx="461">
                  <c:v>-0.2</c:v>
                </c:pt>
                <c:pt idx="462">
                  <c:v>-0.2</c:v>
                </c:pt>
                <c:pt idx="463">
                  <c:v>-0.2</c:v>
                </c:pt>
                <c:pt idx="464">
                  <c:v>-0.2</c:v>
                </c:pt>
                <c:pt idx="465">
                  <c:v>-0.2</c:v>
                </c:pt>
                <c:pt idx="466">
                  <c:v>-0.2</c:v>
                </c:pt>
                <c:pt idx="467">
                  <c:v>-0.2</c:v>
                </c:pt>
                <c:pt idx="468">
                  <c:v>-0.2</c:v>
                </c:pt>
                <c:pt idx="469">
                  <c:v>-0.2</c:v>
                </c:pt>
                <c:pt idx="470">
                  <c:v>-0.2</c:v>
                </c:pt>
                <c:pt idx="471">
                  <c:v>-0.1</c:v>
                </c:pt>
                <c:pt idx="472">
                  <c:v>-0.1</c:v>
                </c:pt>
                <c:pt idx="473">
                  <c:v>-0.1</c:v>
                </c:pt>
                <c:pt idx="474">
                  <c:v>-0.25471698113207603</c:v>
                </c:pt>
                <c:pt idx="475">
                  <c:v>-0.25471698113207603</c:v>
                </c:pt>
                <c:pt idx="476">
                  <c:v>-0.25471698113207603</c:v>
                </c:pt>
                <c:pt idx="477">
                  <c:v>-0.25471698113207603</c:v>
                </c:pt>
                <c:pt idx="478">
                  <c:v>-0.25471698113207603</c:v>
                </c:pt>
                <c:pt idx="479">
                  <c:v>-0.25471698113207603</c:v>
                </c:pt>
                <c:pt idx="480">
                  <c:v>-0.25471698113207603</c:v>
                </c:pt>
                <c:pt idx="481">
                  <c:v>-0.50943396226415205</c:v>
                </c:pt>
                <c:pt idx="482">
                  <c:v>-0.50943396226415205</c:v>
                </c:pt>
                <c:pt idx="483">
                  <c:v>-0.50943396226415205</c:v>
                </c:pt>
                <c:pt idx="484">
                  <c:v>-0.50943396226415205</c:v>
                </c:pt>
                <c:pt idx="485">
                  <c:v>-0.50943396226415205</c:v>
                </c:pt>
                <c:pt idx="486">
                  <c:v>-0.50943396226415205</c:v>
                </c:pt>
                <c:pt idx="487">
                  <c:v>-0.50943396226415205</c:v>
                </c:pt>
                <c:pt idx="488">
                  <c:v>-0.50943396226415205</c:v>
                </c:pt>
                <c:pt idx="489">
                  <c:v>-0.50943396226415205</c:v>
                </c:pt>
                <c:pt idx="490">
                  <c:v>-0.50943396226415205</c:v>
                </c:pt>
                <c:pt idx="491">
                  <c:v>-0.50943396226415205</c:v>
                </c:pt>
                <c:pt idx="492">
                  <c:v>-0.50943396226415205</c:v>
                </c:pt>
                <c:pt idx="493">
                  <c:v>-0.50943396226415205</c:v>
                </c:pt>
                <c:pt idx="494">
                  <c:v>-0.50943396226415205</c:v>
                </c:pt>
                <c:pt idx="495">
                  <c:v>-0.25471698113207603</c:v>
                </c:pt>
                <c:pt idx="496">
                  <c:v>-0.25471698113207603</c:v>
                </c:pt>
                <c:pt idx="497">
                  <c:v>-0.25471698113207603</c:v>
                </c:pt>
                <c:pt idx="498">
                  <c:v>-0.05</c:v>
                </c:pt>
                <c:pt idx="499">
                  <c:v>-0.05</c:v>
                </c:pt>
                <c:pt idx="500">
                  <c:v>-0.05</c:v>
                </c:pt>
                <c:pt idx="501">
                  <c:v>-0.05</c:v>
                </c:pt>
                <c:pt idx="502">
                  <c:v>-0.05</c:v>
                </c:pt>
                <c:pt idx="503">
                  <c:v>-0.05</c:v>
                </c:pt>
                <c:pt idx="504">
                  <c:v>-0.05</c:v>
                </c:pt>
                <c:pt idx="505">
                  <c:v>-0.1</c:v>
                </c:pt>
                <c:pt idx="506">
                  <c:v>-0.1</c:v>
                </c:pt>
                <c:pt idx="507">
                  <c:v>-0.1</c:v>
                </c:pt>
                <c:pt idx="508">
                  <c:v>-0.1</c:v>
                </c:pt>
                <c:pt idx="509">
                  <c:v>-0.1</c:v>
                </c:pt>
                <c:pt idx="510">
                  <c:v>-0.1</c:v>
                </c:pt>
                <c:pt idx="511">
                  <c:v>-0.1</c:v>
                </c:pt>
                <c:pt idx="512">
                  <c:v>-0.1</c:v>
                </c:pt>
                <c:pt idx="513">
                  <c:v>-0.1</c:v>
                </c:pt>
                <c:pt idx="514">
                  <c:v>-0.1</c:v>
                </c:pt>
                <c:pt idx="515">
                  <c:v>-0.1</c:v>
                </c:pt>
                <c:pt idx="516">
                  <c:v>-0.1</c:v>
                </c:pt>
                <c:pt idx="517">
                  <c:v>-0.1</c:v>
                </c:pt>
                <c:pt idx="518">
                  <c:v>-0.1</c:v>
                </c:pt>
                <c:pt idx="519">
                  <c:v>-0.05</c:v>
                </c:pt>
                <c:pt idx="520">
                  <c:v>-0.05</c:v>
                </c:pt>
                <c:pt idx="521">
                  <c:v>-0.05</c:v>
                </c:pt>
                <c:pt idx="642">
                  <c:v>-9.6592221538687699</c:v>
                </c:pt>
                <c:pt idx="643">
                  <c:v>-258.26015945523199</c:v>
                </c:pt>
                <c:pt idx="644">
                  <c:v>-270.67561172487297</c:v>
                </c:pt>
                <c:pt idx="645">
                  <c:v>-250.21585690320541</c:v>
                </c:pt>
                <c:pt idx="646">
                  <c:v>-190.83784532532266</c:v>
                </c:pt>
                <c:pt idx="647">
                  <c:v>-61.595138933267997</c:v>
                </c:pt>
                <c:pt idx="648">
                  <c:v>-20.349636633756759</c:v>
                </c:pt>
                <c:pt idx="649">
                  <c:v>-0.81029835244846005</c:v>
                </c:pt>
                <c:pt idx="650">
                  <c:v>-2.9710939589776499</c:v>
                </c:pt>
                <c:pt idx="651">
                  <c:v>-3.7813923114261101</c:v>
                </c:pt>
                <c:pt idx="652">
                  <c:v>-3.5112928606099398</c:v>
                </c:pt>
                <c:pt idx="653">
                  <c:v>-3.7813923114261101</c:v>
                </c:pt>
                <c:pt idx="654">
                  <c:v>-24.361851257222298</c:v>
                </c:pt>
                <c:pt idx="655">
                  <c:v>-5.21912626030828</c:v>
                </c:pt>
                <c:pt idx="656">
                  <c:v>-282.41530659223577</c:v>
                </c:pt>
                <c:pt idx="657">
                  <c:v>-280.78811942746216</c:v>
                </c:pt>
                <c:pt idx="658">
                  <c:v>-281.57988800864672</c:v>
                </c:pt>
                <c:pt idx="659">
                  <c:v>-292.33317609681251</c:v>
                </c:pt>
                <c:pt idx="660">
                  <c:v>-304.15689896075077</c:v>
                </c:pt>
                <c:pt idx="661">
                  <c:v>-307.47363204862143</c:v>
                </c:pt>
                <c:pt idx="662">
                  <c:v>-326.16658881485915</c:v>
                </c:pt>
                <c:pt idx="663">
                  <c:v>-333.13025368223555</c:v>
                </c:pt>
                <c:pt idx="664">
                  <c:v>-335.04358303749888</c:v>
                </c:pt>
                <c:pt idx="665">
                  <c:v>-335.04358303749888</c:v>
                </c:pt>
                <c:pt idx="666">
                  <c:v>-335.04358303749888</c:v>
                </c:pt>
                <c:pt idx="667">
                  <c:v>-334.46605679147842</c:v>
                </c:pt>
                <c:pt idx="668">
                  <c:v>-326.11828373725353</c:v>
                </c:pt>
                <c:pt idx="669">
                  <c:v>-321.90512463919981</c:v>
                </c:pt>
                <c:pt idx="670">
                  <c:v>-319.35043835376075</c:v>
                </c:pt>
                <c:pt idx="671">
                  <c:v>-323.15890553598467</c:v>
                </c:pt>
                <c:pt idx="672">
                  <c:v>-335.04358303749888</c:v>
                </c:pt>
                <c:pt idx="673">
                  <c:v>-335.04358303749888</c:v>
                </c:pt>
                <c:pt idx="674">
                  <c:v>-335.04358303749888</c:v>
                </c:pt>
                <c:pt idx="675">
                  <c:v>-335.04358303749888</c:v>
                </c:pt>
                <c:pt idx="676">
                  <c:v>-334.84623415153891</c:v>
                </c:pt>
                <c:pt idx="677">
                  <c:v>-320.44946297683077</c:v>
                </c:pt>
                <c:pt idx="678">
                  <c:v>-310.99356547923094</c:v>
                </c:pt>
                <c:pt idx="679">
                  <c:v>-308.01499299551136</c:v>
                </c:pt>
                <c:pt idx="688">
                  <c:v>-0.97931248432916396</c:v>
                </c:pt>
                <c:pt idx="689">
                  <c:v>-1.899046393868504</c:v>
                </c:pt>
                <c:pt idx="690">
                  <c:v>-1.8882389472533609</c:v>
                </c:pt>
                <c:pt idx="691">
                  <c:v>-1.899046393868504</c:v>
                </c:pt>
                <c:pt idx="692">
                  <c:v>-1.320159907925734</c:v>
                </c:pt>
                <c:pt idx="695">
                  <c:v>-0.18400182927047901</c:v>
                </c:pt>
                <c:pt idx="696">
                  <c:v>-1.490583619724005</c:v>
                </c:pt>
                <c:pt idx="704">
                  <c:v>2.4</c:v>
                </c:pt>
                <c:pt idx="705">
                  <c:v>2.4</c:v>
                </c:pt>
                <c:pt idx="706">
                  <c:v>2.4</c:v>
                </c:pt>
                <c:pt idx="707">
                  <c:v>2.4</c:v>
                </c:pt>
                <c:pt idx="708">
                  <c:v>2.4</c:v>
                </c:pt>
                <c:pt idx="709">
                  <c:v>2.4</c:v>
                </c:pt>
                <c:pt idx="710">
                  <c:v>2.4</c:v>
                </c:pt>
                <c:pt idx="711">
                  <c:v>2.4</c:v>
                </c:pt>
                <c:pt idx="712">
                  <c:v>2.4</c:v>
                </c:pt>
                <c:pt idx="713">
                  <c:v>2.4</c:v>
                </c:pt>
                <c:pt idx="714">
                  <c:v>2.4</c:v>
                </c:pt>
                <c:pt idx="715">
                  <c:v>2.4</c:v>
                </c:pt>
                <c:pt idx="716">
                  <c:v>2.4</c:v>
                </c:pt>
                <c:pt idx="717">
                  <c:v>2.4</c:v>
                </c:pt>
                <c:pt idx="718">
                  <c:v>2.4</c:v>
                </c:pt>
                <c:pt idx="719">
                  <c:v>2.4</c:v>
                </c:pt>
                <c:pt idx="720">
                  <c:v>2.4</c:v>
                </c:pt>
                <c:pt idx="721">
                  <c:v>2.4</c:v>
                </c:pt>
                <c:pt idx="722">
                  <c:v>2.4</c:v>
                </c:pt>
                <c:pt idx="723">
                  <c:v>2.4</c:v>
                </c:pt>
                <c:pt idx="724">
                  <c:v>2.4</c:v>
                </c:pt>
                <c:pt idx="725">
                  <c:v>2.4</c:v>
                </c:pt>
                <c:pt idx="726">
                  <c:v>2.4</c:v>
                </c:pt>
                <c:pt idx="727">
                  <c:v>2.4</c:v>
                </c:pt>
                <c:pt idx="728">
                  <c:v>29.6580950221222</c:v>
                </c:pt>
                <c:pt idx="729">
                  <c:v>29.6580950221222</c:v>
                </c:pt>
                <c:pt idx="730">
                  <c:v>32.513059382409999</c:v>
                </c:pt>
                <c:pt idx="731">
                  <c:v>42.3</c:v>
                </c:pt>
                <c:pt idx="732">
                  <c:v>42.3</c:v>
                </c:pt>
                <c:pt idx="733">
                  <c:v>42.3</c:v>
                </c:pt>
                <c:pt idx="734">
                  <c:v>42.3</c:v>
                </c:pt>
                <c:pt idx="735">
                  <c:v>42.3</c:v>
                </c:pt>
                <c:pt idx="736">
                  <c:v>42.3</c:v>
                </c:pt>
                <c:pt idx="737">
                  <c:v>42.3</c:v>
                </c:pt>
                <c:pt idx="738">
                  <c:v>42.3</c:v>
                </c:pt>
                <c:pt idx="739">
                  <c:v>42.3</c:v>
                </c:pt>
                <c:pt idx="740">
                  <c:v>42.3</c:v>
                </c:pt>
                <c:pt idx="741">
                  <c:v>42.3</c:v>
                </c:pt>
                <c:pt idx="742">
                  <c:v>41.077952463273597</c:v>
                </c:pt>
                <c:pt idx="743">
                  <c:v>42.3</c:v>
                </c:pt>
                <c:pt idx="744">
                  <c:v>42.3</c:v>
                </c:pt>
                <c:pt idx="745">
                  <c:v>42.3</c:v>
                </c:pt>
                <c:pt idx="746">
                  <c:v>42.3</c:v>
                </c:pt>
                <c:pt idx="747">
                  <c:v>42.3</c:v>
                </c:pt>
                <c:pt idx="748">
                  <c:v>42.3</c:v>
                </c:pt>
                <c:pt idx="749">
                  <c:v>42.3</c:v>
                </c:pt>
                <c:pt idx="750">
                  <c:v>42.3</c:v>
                </c:pt>
                <c:pt idx="751">
                  <c:v>29.6580950221222</c:v>
                </c:pt>
                <c:pt idx="752">
                  <c:v>23.7</c:v>
                </c:pt>
                <c:pt idx="753">
                  <c:v>23.7</c:v>
                </c:pt>
                <c:pt idx="754">
                  <c:v>23.7</c:v>
                </c:pt>
                <c:pt idx="755">
                  <c:v>23.7</c:v>
                </c:pt>
                <c:pt idx="756">
                  <c:v>23.7</c:v>
                </c:pt>
                <c:pt idx="757">
                  <c:v>23.7</c:v>
                </c:pt>
                <c:pt idx="758">
                  <c:v>23.7</c:v>
                </c:pt>
                <c:pt idx="759">
                  <c:v>23.7</c:v>
                </c:pt>
                <c:pt idx="760">
                  <c:v>23.7</c:v>
                </c:pt>
                <c:pt idx="761">
                  <c:v>23.7</c:v>
                </c:pt>
                <c:pt idx="762">
                  <c:v>23.7</c:v>
                </c:pt>
                <c:pt idx="763">
                  <c:v>23.7</c:v>
                </c:pt>
                <c:pt idx="764">
                  <c:v>23.7</c:v>
                </c:pt>
                <c:pt idx="765">
                  <c:v>23.7</c:v>
                </c:pt>
                <c:pt idx="766">
                  <c:v>23.7</c:v>
                </c:pt>
                <c:pt idx="767">
                  <c:v>23.7</c:v>
                </c:pt>
                <c:pt idx="768">
                  <c:v>23.7</c:v>
                </c:pt>
                <c:pt idx="769">
                  <c:v>23.7</c:v>
                </c:pt>
                <c:pt idx="770">
                  <c:v>23.7</c:v>
                </c:pt>
                <c:pt idx="771">
                  <c:v>23.7</c:v>
                </c:pt>
                <c:pt idx="772">
                  <c:v>23.7</c:v>
                </c:pt>
                <c:pt idx="773">
                  <c:v>23.7</c:v>
                </c:pt>
                <c:pt idx="774">
                  <c:v>23.7</c:v>
                </c:pt>
                <c:pt idx="775">
                  <c:v>23.7</c:v>
                </c:pt>
                <c:pt idx="776">
                  <c:v>4.5</c:v>
                </c:pt>
                <c:pt idx="777">
                  <c:v>4.5</c:v>
                </c:pt>
                <c:pt idx="778">
                  <c:v>4.5</c:v>
                </c:pt>
                <c:pt idx="779">
                  <c:v>4.5</c:v>
                </c:pt>
                <c:pt idx="780">
                  <c:v>4.5</c:v>
                </c:pt>
                <c:pt idx="781">
                  <c:v>4.5</c:v>
                </c:pt>
                <c:pt idx="782">
                  <c:v>18.131757001586202</c:v>
                </c:pt>
                <c:pt idx="783">
                  <c:v>32.046420412467896</c:v>
                </c:pt>
                <c:pt idx="784">
                  <c:v>35.385939631079495</c:v>
                </c:pt>
                <c:pt idx="785">
                  <c:v>37.1352116027332</c:v>
                </c:pt>
                <c:pt idx="786">
                  <c:v>36.658137428645801</c:v>
                </c:pt>
                <c:pt idx="787">
                  <c:v>36.7376497909937</c:v>
                </c:pt>
                <c:pt idx="788">
                  <c:v>35.863013805166801</c:v>
                </c:pt>
                <c:pt idx="789">
                  <c:v>32.364469861859405</c:v>
                </c:pt>
                <c:pt idx="790">
                  <c:v>33.318618210034202</c:v>
                </c:pt>
                <c:pt idx="791">
                  <c:v>34.2727665582089</c:v>
                </c:pt>
                <c:pt idx="792">
                  <c:v>36.101550892210497</c:v>
                </c:pt>
                <c:pt idx="793">
                  <c:v>37.341831939623297</c:v>
                </c:pt>
                <c:pt idx="794">
                  <c:v>44.89485978463</c:v>
                </c:pt>
                <c:pt idx="795">
                  <c:v>44.576810335238498</c:v>
                </c:pt>
                <c:pt idx="796">
                  <c:v>42.8275383635848</c:v>
                </c:pt>
                <c:pt idx="797">
                  <c:v>32.1728818089668</c:v>
                </c:pt>
                <c:pt idx="798">
                  <c:v>22.504936930720401</c:v>
                </c:pt>
                <c:pt idx="799">
                  <c:v>20.517127872023</c:v>
                </c:pt>
                <c:pt idx="800">
                  <c:v>7</c:v>
                </c:pt>
                <c:pt idx="801">
                  <c:v>7</c:v>
                </c:pt>
                <c:pt idx="802">
                  <c:v>7</c:v>
                </c:pt>
                <c:pt idx="803">
                  <c:v>7</c:v>
                </c:pt>
                <c:pt idx="804">
                  <c:v>7</c:v>
                </c:pt>
                <c:pt idx="805">
                  <c:v>7</c:v>
                </c:pt>
                <c:pt idx="806">
                  <c:v>7</c:v>
                </c:pt>
                <c:pt idx="807">
                  <c:v>7</c:v>
                </c:pt>
                <c:pt idx="808">
                  <c:v>7</c:v>
                </c:pt>
                <c:pt idx="809">
                  <c:v>7</c:v>
                </c:pt>
                <c:pt idx="810">
                  <c:v>7</c:v>
                </c:pt>
                <c:pt idx="811">
                  <c:v>7</c:v>
                </c:pt>
                <c:pt idx="812">
                  <c:v>7</c:v>
                </c:pt>
                <c:pt idx="813">
                  <c:v>7</c:v>
                </c:pt>
                <c:pt idx="814">
                  <c:v>7</c:v>
                </c:pt>
                <c:pt idx="815">
                  <c:v>7</c:v>
                </c:pt>
                <c:pt idx="816">
                  <c:v>7</c:v>
                </c:pt>
                <c:pt idx="817">
                  <c:v>7</c:v>
                </c:pt>
                <c:pt idx="818">
                  <c:v>7</c:v>
                </c:pt>
                <c:pt idx="819">
                  <c:v>7</c:v>
                </c:pt>
                <c:pt idx="820">
                  <c:v>7</c:v>
                </c:pt>
                <c:pt idx="821">
                  <c:v>7</c:v>
                </c:pt>
                <c:pt idx="822">
                  <c:v>7</c:v>
                </c:pt>
                <c:pt idx="823">
                  <c:v>7</c:v>
                </c:pt>
                <c:pt idx="824">
                  <c:v>90.4</c:v>
                </c:pt>
                <c:pt idx="825">
                  <c:v>90.4</c:v>
                </c:pt>
                <c:pt idx="826">
                  <c:v>90.4</c:v>
                </c:pt>
                <c:pt idx="827">
                  <c:v>90.4</c:v>
                </c:pt>
                <c:pt idx="828">
                  <c:v>90.4</c:v>
                </c:pt>
                <c:pt idx="829">
                  <c:v>90.4</c:v>
                </c:pt>
                <c:pt idx="830">
                  <c:v>90.4</c:v>
                </c:pt>
                <c:pt idx="831">
                  <c:v>90.4</c:v>
                </c:pt>
                <c:pt idx="832">
                  <c:v>90.4</c:v>
                </c:pt>
                <c:pt idx="833">
                  <c:v>90.4</c:v>
                </c:pt>
                <c:pt idx="834">
                  <c:v>90.4</c:v>
                </c:pt>
                <c:pt idx="835">
                  <c:v>90.4</c:v>
                </c:pt>
                <c:pt idx="836">
                  <c:v>90.4</c:v>
                </c:pt>
                <c:pt idx="837">
                  <c:v>90.4</c:v>
                </c:pt>
                <c:pt idx="838">
                  <c:v>90.4</c:v>
                </c:pt>
                <c:pt idx="839">
                  <c:v>90.4</c:v>
                </c:pt>
                <c:pt idx="840">
                  <c:v>90.4</c:v>
                </c:pt>
                <c:pt idx="841">
                  <c:v>90.4</c:v>
                </c:pt>
                <c:pt idx="842">
                  <c:v>90.4</c:v>
                </c:pt>
                <c:pt idx="843">
                  <c:v>90.4</c:v>
                </c:pt>
                <c:pt idx="844">
                  <c:v>90.4</c:v>
                </c:pt>
                <c:pt idx="845">
                  <c:v>90.4</c:v>
                </c:pt>
                <c:pt idx="846">
                  <c:v>90.4</c:v>
                </c:pt>
                <c:pt idx="847">
                  <c:v>90.4</c:v>
                </c:pt>
                <c:pt idx="848">
                  <c:v>2.2999999999999998</c:v>
                </c:pt>
                <c:pt idx="849">
                  <c:v>2.2999999999999998</c:v>
                </c:pt>
                <c:pt idx="850">
                  <c:v>2.2999999999999998</c:v>
                </c:pt>
                <c:pt idx="851">
                  <c:v>2.2999999999999998</c:v>
                </c:pt>
                <c:pt idx="852">
                  <c:v>2.2999999999999998</c:v>
                </c:pt>
                <c:pt idx="853">
                  <c:v>2.2999999999999998</c:v>
                </c:pt>
                <c:pt idx="854">
                  <c:v>2.2999999999999998</c:v>
                </c:pt>
                <c:pt idx="855">
                  <c:v>2.2999999999999998</c:v>
                </c:pt>
                <c:pt idx="856">
                  <c:v>2.2999999999999998</c:v>
                </c:pt>
                <c:pt idx="857">
                  <c:v>2.2999999999999998</c:v>
                </c:pt>
                <c:pt idx="858">
                  <c:v>2.2999999999999998</c:v>
                </c:pt>
                <c:pt idx="859">
                  <c:v>2.2999999999999998</c:v>
                </c:pt>
                <c:pt idx="860">
                  <c:v>2.2999999999999998</c:v>
                </c:pt>
                <c:pt idx="861">
                  <c:v>2.2999999999999998</c:v>
                </c:pt>
                <c:pt idx="862">
                  <c:v>74</c:v>
                </c:pt>
                <c:pt idx="863">
                  <c:v>74</c:v>
                </c:pt>
                <c:pt idx="864">
                  <c:v>74</c:v>
                </c:pt>
                <c:pt idx="865">
                  <c:v>74</c:v>
                </c:pt>
                <c:pt idx="866">
                  <c:v>74</c:v>
                </c:pt>
                <c:pt idx="867">
                  <c:v>74</c:v>
                </c:pt>
                <c:pt idx="868">
                  <c:v>74</c:v>
                </c:pt>
                <c:pt idx="869">
                  <c:v>74</c:v>
                </c:pt>
                <c:pt idx="870">
                  <c:v>74</c:v>
                </c:pt>
                <c:pt idx="871">
                  <c:v>74</c:v>
                </c:pt>
                <c:pt idx="872">
                  <c:v>74</c:v>
                </c:pt>
                <c:pt idx="873">
                  <c:v>74</c:v>
                </c:pt>
                <c:pt idx="874">
                  <c:v>74</c:v>
                </c:pt>
                <c:pt idx="875">
                  <c:v>74</c:v>
                </c:pt>
                <c:pt idx="876">
                  <c:v>74</c:v>
                </c:pt>
                <c:pt idx="877">
                  <c:v>74</c:v>
                </c:pt>
                <c:pt idx="878">
                  <c:v>74</c:v>
                </c:pt>
                <c:pt idx="879">
                  <c:v>74</c:v>
                </c:pt>
                <c:pt idx="880">
                  <c:v>74</c:v>
                </c:pt>
                <c:pt idx="881">
                  <c:v>74</c:v>
                </c:pt>
                <c:pt idx="882">
                  <c:v>74</c:v>
                </c:pt>
                <c:pt idx="883">
                  <c:v>74</c:v>
                </c:pt>
                <c:pt idx="884">
                  <c:v>74</c:v>
                </c:pt>
                <c:pt idx="885">
                  <c:v>74</c:v>
                </c:pt>
                <c:pt idx="886">
                  <c:v>4.9539999999999997</c:v>
                </c:pt>
                <c:pt idx="887">
                  <c:v>4.9539999999999997</c:v>
                </c:pt>
                <c:pt idx="888">
                  <c:v>4.9539999999999997</c:v>
                </c:pt>
                <c:pt idx="889">
                  <c:v>4.9539999999999997</c:v>
                </c:pt>
                <c:pt idx="890">
                  <c:v>1</c:v>
                </c:pt>
                <c:pt idx="891">
                  <c:v>1</c:v>
                </c:pt>
                <c:pt idx="892">
                  <c:v>1</c:v>
                </c:pt>
                <c:pt idx="893">
                  <c:v>1</c:v>
                </c:pt>
                <c:pt idx="894">
                  <c:v>1</c:v>
                </c:pt>
                <c:pt idx="895">
                  <c:v>1</c:v>
                </c:pt>
                <c:pt idx="896">
                  <c:v>1</c:v>
                </c:pt>
                <c:pt idx="897">
                  <c:v>1</c:v>
                </c:pt>
                <c:pt idx="898">
                  <c:v>1</c:v>
                </c:pt>
                <c:pt idx="899">
                  <c:v>1</c:v>
                </c:pt>
                <c:pt idx="900">
                  <c:v>1</c:v>
                </c:pt>
                <c:pt idx="901">
                  <c:v>1</c:v>
                </c:pt>
                <c:pt idx="902">
                  <c:v>1</c:v>
                </c:pt>
                <c:pt idx="903">
                  <c:v>1</c:v>
                </c:pt>
                <c:pt idx="904">
                  <c:v>1</c:v>
                </c:pt>
                <c:pt idx="905">
                  <c:v>1</c:v>
                </c:pt>
                <c:pt idx="906">
                  <c:v>1</c:v>
                </c:pt>
                <c:pt idx="907">
                  <c:v>1</c:v>
                </c:pt>
                <c:pt idx="908">
                  <c:v>1</c:v>
                </c:pt>
                <c:pt idx="909">
                  <c:v>1</c:v>
                </c:pt>
                <c:pt idx="910">
                  <c:v>1</c:v>
                </c:pt>
                <c:pt idx="911">
                  <c:v>1</c:v>
                </c:pt>
                <c:pt idx="912">
                  <c:v>1</c:v>
                </c:pt>
                <c:pt idx="913">
                  <c:v>1</c:v>
                </c:pt>
                <c:pt idx="914">
                  <c:v>1.1000000000000001</c:v>
                </c:pt>
                <c:pt idx="915">
                  <c:v>1.1000000000000001</c:v>
                </c:pt>
                <c:pt idx="916">
                  <c:v>1.1000000000000001</c:v>
                </c:pt>
                <c:pt idx="917">
                  <c:v>1.1000000000000001</c:v>
                </c:pt>
                <c:pt idx="918">
                  <c:v>1.1000000000000001</c:v>
                </c:pt>
                <c:pt idx="919">
                  <c:v>1.1000000000000001</c:v>
                </c:pt>
                <c:pt idx="920">
                  <c:v>1.1000000000000001</c:v>
                </c:pt>
                <c:pt idx="921">
                  <c:v>1.1000000000000001</c:v>
                </c:pt>
                <c:pt idx="922">
                  <c:v>1.1000000000000001</c:v>
                </c:pt>
                <c:pt idx="923">
                  <c:v>1.1000000000000001</c:v>
                </c:pt>
                <c:pt idx="924">
                  <c:v>1.1000000000000001</c:v>
                </c:pt>
                <c:pt idx="925">
                  <c:v>1.1000000000000001</c:v>
                </c:pt>
                <c:pt idx="926">
                  <c:v>1.1000000000000001</c:v>
                </c:pt>
                <c:pt idx="927">
                  <c:v>1.1000000000000001</c:v>
                </c:pt>
                <c:pt idx="928">
                  <c:v>1.1000000000000001</c:v>
                </c:pt>
                <c:pt idx="929">
                  <c:v>1.1000000000000001</c:v>
                </c:pt>
                <c:pt idx="930">
                  <c:v>1.1000000000000001</c:v>
                </c:pt>
                <c:pt idx="931">
                  <c:v>1.1000000000000001</c:v>
                </c:pt>
                <c:pt idx="932">
                  <c:v>1.1000000000000001</c:v>
                </c:pt>
                <c:pt idx="933">
                  <c:v>1.1000000000000001</c:v>
                </c:pt>
                <c:pt idx="934">
                  <c:v>1.1000000000000001</c:v>
                </c:pt>
                <c:pt idx="935">
                  <c:v>1.1000000000000001</c:v>
                </c:pt>
                <c:pt idx="936">
                  <c:v>1.1000000000000001</c:v>
                </c:pt>
                <c:pt idx="937">
                  <c:v>1.1000000000000001</c:v>
                </c:pt>
                <c:pt idx="938">
                  <c:v>10</c:v>
                </c:pt>
                <c:pt idx="939">
                  <c:v>10</c:v>
                </c:pt>
                <c:pt idx="940">
                  <c:v>10</c:v>
                </c:pt>
                <c:pt idx="941">
                  <c:v>10</c:v>
                </c:pt>
                <c:pt idx="942">
                  <c:v>10</c:v>
                </c:pt>
                <c:pt idx="943">
                  <c:v>10</c:v>
                </c:pt>
                <c:pt idx="944">
                  <c:v>10</c:v>
                </c:pt>
                <c:pt idx="945">
                  <c:v>10</c:v>
                </c:pt>
                <c:pt idx="946">
                  <c:v>10</c:v>
                </c:pt>
                <c:pt idx="947">
                  <c:v>10</c:v>
                </c:pt>
                <c:pt idx="948">
                  <c:v>10</c:v>
                </c:pt>
                <c:pt idx="949">
                  <c:v>10</c:v>
                </c:pt>
                <c:pt idx="950">
                  <c:v>10</c:v>
                </c:pt>
                <c:pt idx="951">
                  <c:v>10</c:v>
                </c:pt>
                <c:pt idx="952">
                  <c:v>10</c:v>
                </c:pt>
                <c:pt idx="953">
                  <c:v>10</c:v>
                </c:pt>
                <c:pt idx="954">
                  <c:v>10</c:v>
                </c:pt>
                <c:pt idx="955">
                  <c:v>10</c:v>
                </c:pt>
                <c:pt idx="956">
                  <c:v>10</c:v>
                </c:pt>
                <c:pt idx="957">
                  <c:v>10</c:v>
                </c:pt>
                <c:pt idx="958">
                  <c:v>10</c:v>
                </c:pt>
                <c:pt idx="959">
                  <c:v>10</c:v>
                </c:pt>
                <c:pt idx="960">
                  <c:v>10</c:v>
                </c:pt>
                <c:pt idx="961">
                  <c:v>10</c:v>
                </c:pt>
                <c:pt idx="962">
                  <c:v>19.96</c:v>
                </c:pt>
                <c:pt idx="963">
                  <c:v>19.96</c:v>
                </c:pt>
                <c:pt idx="964">
                  <c:v>19.96</c:v>
                </c:pt>
                <c:pt idx="965">
                  <c:v>19.96</c:v>
                </c:pt>
                <c:pt idx="966">
                  <c:v>19.96</c:v>
                </c:pt>
                <c:pt idx="967">
                  <c:v>19.96</c:v>
                </c:pt>
                <c:pt idx="968">
                  <c:v>19.96</c:v>
                </c:pt>
                <c:pt idx="969">
                  <c:v>19.96</c:v>
                </c:pt>
                <c:pt idx="970">
                  <c:v>19.96</c:v>
                </c:pt>
                <c:pt idx="971">
                  <c:v>19.96</c:v>
                </c:pt>
                <c:pt idx="972">
                  <c:v>19.96</c:v>
                </c:pt>
                <c:pt idx="973">
                  <c:v>19.96</c:v>
                </c:pt>
                <c:pt idx="974">
                  <c:v>19.96</c:v>
                </c:pt>
                <c:pt idx="975">
                  <c:v>19.96</c:v>
                </c:pt>
                <c:pt idx="976">
                  <c:v>19.96</c:v>
                </c:pt>
                <c:pt idx="977">
                  <c:v>19.96</c:v>
                </c:pt>
                <c:pt idx="978">
                  <c:v>19.96</c:v>
                </c:pt>
                <c:pt idx="979">
                  <c:v>19.96</c:v>
                </c:pt>
                <c:pt idx="980">
                  <c:v>19.96</c:v>
                </c:pt>
                <c:pt idx="981">
                  <c:v>19.96</c:v>
                </c:pt>
                <c:pt idx="982">
                  <c:v>19.96</c:v>
                </c:pt>
                <c:pt idx="983">
                  <c:v>19.96</c:v>
                </c:pt>
                <c:pt idx="984">
                  <c:v>19.96</c:v>
                </c:pt>
                <c:pt idx="985">
                  <c:v>19.96</c:v>
                </c:pt>
                <c:pt idx="986">
                  <c:v>23</c:v>
                </c:pt>
                <c:pt idx="987">
                  <c:v>23</c:v>
                </c:pt>
                <c:pt idx="988">
                  <c:v>23</c:v>
                </c:pt>
                <c:pt idx="989">
                  <c:v>23</c:v>
                </c:pt>
                <c:pt idx="990">
                  <c:v>23</c:v>
                </c:pt>
                <c:pt idx="991">
                  <c:v>23</c:v>
                </c:pt>
                <c:pt idx="992">
                  <c:v>23</c:v>
                </c:pt>
                <c:pt idx="993">
                  <c:v>23</c:v>
                </c:pt>
                <c:pt idx="994">
                  <c:v>23</c:v>
                </c:pt>
                <c:pt idx="995">
                  <c:v>23</c:v>
                </c:pt>
                <c:pt idx="996">
                  <c:v>23</c:v>
                </c:pt>
                <c:pt idx="997">
                  <c:v>23</c:v>
                </c:pt>
                <c:pt idx="998">
                  <c:v>23</c:v>
                </c:pt>
                <c:pt idx="999">
                  <c:v>23</c:v>
                </c:pt>
                <c:pt idx="1000">
                  <c:v>23</c:v>
                </c:pt>
                <c:pt idx="1001">
                  <c:v>23</c:v>
                </c:pt>
                <c:pt idx="1002">
                  <c:v>23</c:v>
                </c:pt>
                <c:pt idx="1003">
                  <c:v>23</c:v>
                </c:pt>
                <c:pt idx="1004">
                  <c:v>23</c:v>
                </c:pt>
                <c:pt idx="1005">
                  <c:v>23</c:v>
                </c:pt>
                <c:pt idx="1006">
                  <c:v>23</c:v>
                </c:pt>
                <c:pt idx="1007">
                  <c:v>23</c:v>
                </c:pt>
                <c:pt idx="1008">
                  <c:v>23</c:v>
                </c:pt>
                <c:pt idx="1009">
                  <c:v>23</c:v>
                </c:pt>
                <c:pt idx="1010">
                  <c:v>7.1644102716191203</c:v>
                </c:pt>
                <c:pt idx="1011">
                  <c:v>28.5</c:v>
                </c:pt>
                <c:pt idx="1012">
                  <c:v>28.5</c:v>
                </c:pt>
                <c:pt idx="1013">
                  <c:v>28.5</c:v>
                </c:pt>
                <c:pt idx="1014">
                  <c:v>28.5</c:v>
                </c:pt>
                <c:pt idx="1015">
                  <c:v>28.5</c:v>
                </c:pt>
                <c:pt idx="1016">
                  <c:v>28.5</c:v>
                </c:pt>
                <c:pt idx="1017">
                  <c:v>28.5</c:v>
                </c:pt>
                <c:pt idx="1018">
                  <c:v>21.439232073058399</c:v>
                </c:pt>
                <c:pt idx="1019">
                  <c:v>7.1644102716191203</c:v>
                </c:pt>
                <c:pt idx="1020">
                  <c:v>4.3094459113313004</c:v>
                </c:pt>
                <c:pt idx="1021">
                  <c:v>4.3094459113313004</c:v>
                </c:pt>
                <c:pt idx="1022">
                  <c:v>26.970725521116101</c:v>
                </c:pt>
                <c:pt idx="1023">
                  <c:v>28.5</c:v>
                </c:pt>
                <c:pt idx="1024">
                  <c:v>28.5</c:v>
                </c:pt>
                <c:pt idx="1025">
                  <c:v>28.5</c:v>
                </c:pt>
                <c:pt idx="1026">
                  <c:v>28.5</c:v>
                </c:pt>
                <c:pt idx="1027">
                  <c:v>15.729303352482701</c:v>
                </c:pt>
                <c:pt idx="1028">
                  <c:v>1.63291682356143</c:v>
                </c:pt>
                <c:pt idx="1029">
                  <c:v>19.399999999999999</c:v>
                </c:pt>
                <c:pt idx="1030">
                  <c:v>19.399999999999999</c:v>
                </c:pt>
                <c:pt idx="1031">
                  <c:v>19.399999999999999</c:v>
                </c:pt>
                <c:pt idx="1032">
                  <c:v>19.399999999999999</c:v>
                </c:pt>
                <c:pt idx="1033">
                  <c:v>19.399999999999999</c:v>
                </c:pt>
                <c:pt idx="1034">
                  <c:v>19.399999999999999</c:v>
                </c:pt>
                <c:pt idx="1035">
                  <c:v>19.399999999999999</c:v>
                </c:pt>
                <c:pt idx="1036">
                  <c:v>19.399999999999999</c:v>
                </c:pt>
                <c:pt idx="1037">
                  <c:v>19.399999999999999</c:v>
                </c:pt>
                <c:pt idx="1038">
                  <c:v>19.399999999999999</c:v>
                </c:pt>
                <c:pt idx="1039">
                  <c:v>19.399999999999999</c:v>
                </c:pt>
                <c:pt idx="1040">
                  <c:v>19.399999999999999</c:v>
                </c:pt>
                <c:pt idx="1041">
                  <c:v>19.399999999999999</c:v>
                </c:pt>
                <c:pt idx="1042">
                  <c:v>19.399999999999999</c:v>
                </c:pt>
                <c:pt idx="1043">
                  <c:v>19.399999999999999</c:v>
                </c:pt>
                <c:pt idx="1044">
                  <c:v>19.399999999999999</c:v>
                </c:pt>
                <c:pt idx="1045">
                  <c:v>19.399999999999999</c:v>
                </c:pt>
                <c:pt idx="1046">
                  <c:v>55.3999261518195</c:v>
                </c:pt>
                <c:pt idx="1047">
                  <c:v>56.699999999999996</c:v>
                </c:pt>
                <c:pt idx="1048">
                  <c:v>56.699999999999996</c:v>
                </c:pt>
                <c:pt idx="1049">
                  <c:v>20.323162325820434</c:v>
                </c:pt>
                <c:pt idx="1050">
                  <c:v>19.399999999999999</c:v>
                </c:pt>
                <c:pt idx="1051">
                  <c:v>19.399999999999999</c:v>
                </c:pt>
                <c:pt idx="1052">
                  <c:v>19.399999999999999</c:v>
                </c:pt>
                <c:pt idx="1053">
                  <c:v>15</c:v>
                </c:pt>
                <c:pt idx="1054">
                  <c:v>15</c:v>
                </c:pt>
                <c:pt idx="1055">
                  <c:v>15</c:v>
                </c:pt>
                <c:pt idx="1056">
                  <c:v>15</c:v>
                </c:pt>
                <c:pt idx="1057">
                  <c:v>15</c:v>
                </c:pt>
                <c:pt idx="1058">
                  <c:v>15</c:v>
                </c:pt>
                <c:pt idx="1059">
                  <c:v>15</c:v>
                </c:pt>
                <c:pt idx="1060">
                  <c:v>15</c:v>
                </c:pt>
                <c:pt idx="1061">
                  <c:v>15</c:v>
                </c:pt>
                <c:pt idx="1062">
                  <c:v>15</c:v>
                </c:pt>
                <c:pt idx="1063">
                  <c:v>15</c:v>
                </c:pt>
                <c:pt idx="1064">
                  <c:v>15</c:v>
                </c:pt>
                <c:pt idx="1065">
                  <c:v>15</c:v>
                </c:pt>
                <c:pt idx="1066">
                  <c:v>15</c:v>
                </c:pt>
                <c:pt idx="1067">
                  <c:v>15</c:v>
                </c:pt>
                <c:pt idx="1068">
                  <c:v>15</c:v>
                </c:pt>
                <c:pt idx="1069">
                  <c:v>15</c:v>
                </c:pt>
                <c:pt idx="1070">
                  <c:v>15</c:v>
                </c:pt>
                <c:pt idx="1071">
                  <c:v>15</c:v>
                </c:pt>
                <c:pt idx="1072">
                  <c:v>15</c:v>
                </c:pt>
                <c:pt idx="1073">
                  <c:v>15</c:v>
                </c:pt>
                <c:pt idx="1074">
                  <c:v>15</c:v>
                </c:pt>
                <c:pt idx="1075">
                  <c:v>15</c:v>
                </c:pt>
                <c:pt idx="1076">
                  <c:v>15</c:v>
                </c:pt>
                <c:pt idx="1077">
                  <c:v>0.82794092591103896</c:v>
                </c:pt>
                <c:pt idx="1078">
                  <c:v>3.15409481571329</c:v>
                </c:pt>
                <c:pt idx="1079">
                  <c:v>3.7123717492658299</c:v>
                </c:pt>
                <c:pt idx="1080">
                  <c:v>4.0048025239838303</c:v>
                </c:pt>
                <c:pt idx="1081">
                  <c:v>3.92504867633347</c:v>
                </c:pt>
                <c:pt idx="1082">
                  <c:v>3.93834098427519</c:v>
                </c:pt>
                <c:pt idx="1083">
                  <c:v>3.7921255969161898</c:v>
                </c:pt>
                <c:pt idx="1084">
                  <c:v>3.2072640474802001</c:v>
                </c:pt>
                <c:pt idx="1085">
                  <c:v>3.3667717427809198</c:v>
                </c:pt>
                <c:pt idx="1086">
                  <c:v>3.5262794380816498</c:v>
                </c:pt>
                <c:pt idx="1087">
                  <c:v>3.8320025207413799</c:v>
                </c:pt>
                <c:pt idx="1088">
                  <c:v>3.76554098103274</c:v>
                </c:pt>
                <c:pt idx="1089">
                  <c:v>3.8187102127996502</c:v>
                </c:pt>
                <c:pt idx="1090">
                  <c:v>3.76554098103274</c:v>
                </c:pt>
                <c:pt idx="1091">
                  <c:v>3.4731102063147401</c:v>
                </c:pt>
                <c:pt idx="1092">
                  <c:v>1.6919409421233</c:v>
                </c:pt>
                <c:pt idx="1093">
                  <c:v>1.55901786270603</c:v>
                </c:pt>
                <c:pt idx="1094">
                  <c:v>1.2267101641628499</c:v>
                </c:pt>
                <c:pt idx="1095">
                  <c:v>102.558561603429</c:v>
                </c:pt>
                <c:pt idx="1096">
                  <c:v>100.57939118231999</c:v>
                </c:pt>
                <c:pt idx="1097">
                  <c:v>101.76689343498499</c:v>
                </c:pt>
                <c:pt idx="1098">
                  <c:v>102.75647864554</c:v>
                </c:pt>
                <c:pt idx="1099">
                  <c:v>102.360644561318</c:v>
                </c:pt>
                <c:pt idx="1100">
                  <c:v>107.704404698313</c:v>
                </c:pt>
                <c:pt idx="1101">
                  <c:v>121.558597646076</c:v>
                </c:pt>
                <c:pt idx="1102">
                  <c:v>126.90235778307</c:v>
                </c:pt>
                <c:pt idx="1103">
                  <c:v>129.475279330512</c:v>
                </c:pt>
                <c:pt idx="1104">
                  <c:v>129.27736228840101</c:v>
                </c:pt>
                <c:pt idx="1105">
                  <c:v>129.871113414734</c:v>
                </c:pt>
                <c:pt idx="1106">
                  <c:v>127.89194299362499</c:v>
                </c:pt>
                <c:pt idx="1107">
                  <c:v>129.871113414734</c:v>
                </c:pt>
                <c:pt idx="1108">
                  <c:v>131.45444975162101</c:v>
                </c:pt>
                <c:pt idx="1109">
                  <c:v>132.048200877954</c:v>
                </c:pt>
                <c:pt idx="1110">
                  <c:v>131.85028383584299</c:v>
                </c:pt>
                <c:pt idx="1111">
                  <c:v>132.24611792006499</c:v>
                </c:pt>
                <c:pt idx="1112">
                  <c:v>133.23570313061899</c:v>
                </c:pt>
                <c:pt idx="1113">
                  <c:v>133.23570313061899</c:v>
                </c:pt>
                <c:pt idx="1114">
                  <c:v>132.048200877954</c:v>
                </c:pt>
                <c:pt idx="1115">
                  <c:v>129.67319637262301</c:v>
                </c:pt>
                <c:pt idx="1116">
                  <c:v>121.756514688187</c:v>
                </c:pt>
                <c:pt idx="1117">
                  <c:v>119.77734426707801</c:v>
                </c:pt>
                <c:pt idx="1118">
                  <c:v>118.391924972301</c:v>
                </c:pt>
                <c:pt idx="1614">
                  <c:v>3.4034846124810301</c:v>
                </c:pt>
                <c:pt idx="1615">
                  <c:v>8.1060483680878299</c:v>
                </c:pt>
                <c:pt idx="1616">
                  <c:v>86.458766955796293</c:v>
                </c:pt>
                <c:pt idx="1617">
                  <c:v>252.30506718458889</c:v>
                </c:pt>
                <c:pt idx="1618">
                  <c:v>411.90798547881207</c:v>
                </c:pt>
                <c:pt idx="1619">
                  <c:v>548.96919054518173</c:v>
                </c:pt>
                <c:pt idx="1620">
                  <c:v>636.73872276901</c:v>
                </c:pt>
                <c:pt idx="1621">
                  <c:v>673.47464409672602</c:v>
                </c:pt>
                <c:pt idx="1622">
                  <c:v>677.303458432291</c:v>
                </c:pt>
                <c:pt idx="1623">
                  <c:v>583.08358133683635</c:v>
                </c:pt>
                <c:pt idx="1624">
                  <c:v>441.36571018667132</c:v>
                </c:pt>
                <c:pt idx="1625">
                  <c:v>281.2281376383832</c:v>
                </c:pt>
                <c:pt idx="1626">
                  <c:v>106.8101224331231</c:v>
                </c:pt>
                <c:pt idx="1627">
                  <c:v>8.7441840906819799</c:v>
                </c:pt>
                <c:pt idx="1665">
                  <c:v>1944.363872796248</c:v>
                </c:pt>
                <c:pt idx="1666">
                  <c:v>2104.8142677138658</c:v>
                </c:pt>
                <c:pt idx="1667">
                  <c:v>2237.3555739754147</c:v>
                </c:pt>
                <c:pt idx="1668">
                  <c:v>2481.1127787705636</c:v>
                </c:pt>
                <c:pt idx="1669">
                  <c:v>2664.9710153366809</c:v>
                </c:pt>
                <c:pt idx="1670">
                  <c:v>2830.1083479814679</c:v>
                </c:pt>
                <c:pt idx="1671">
                  <c:v>2905.5899551916764</c:v>
                </c:pt>
                <c:pt idx="1672">
                  <c:v>2904.246819657084</c:v>
                </c:pt>
                <c:pt idx="1673">
                  <c:v>2719.4343658667649</c:v>
                </c:pt>
                <c:pt idx="1674">
                  <c:v>2588.1602735009642</c:v>
                </c:pt>
                <c:pt idx="1675">
                  <c:v>2346.1538142528125</c:v>
                </c:pt>
                <c:pt idx="1676">
                  <c:v>2155.6990506803049</c:v>
                </c:pt>
                <c:pt idx="1677">
                  <c:v>2078.599849498773</c:v>
                </c:pt>
                <c:pt idx="1678">
                  <c:v>2045.4303689163507</c:v>
                </c:pt>
                <c:pt idx="1679">
                  <c:v>2013.8784823052529</c:v>
                </c:pt>
                <c:pt idx="1680">
                  <c:v>1979.1883307540015</c:v>
                </c:pt>
                <c:pt idx="1681">
                  <c:v>1904.1914100258493</c:v>
                </c:pt>
                <c:pt idx="1682">
                  <c:v>1596.1087568021187</c:v>
                </c:pt>
                <c:pt idx="1683">
                  <c:v>1196.714245937658</c:v>
                </c:pt>
                <c:pt idx="1684">
                  <c:v>1051.3291109080553</c:v>
                </c:pt>
                <c:pt idx="1685">
                  <c:v>1046.0944111382582</c:v>
                </c:pt>
                <c:pt idx="1686">
                  <c:v>1147.1795989603693</c:v>
                </c:pt>
                <c:pt idx="1687">
                  <c:v>1313.7686813896971</c:v>
                </c:pt>
                <c:pt idx="1688">
                  <c:v>1606.3913107912942</c:v>
                </c:pt>
                <c:pt idx="1689">
                  <c:v>1663.8618951619442</c:v>
                </c:pt>
                <c:pt idx="1690">
                  <c:v>1777.3980822309618</c:v>
                </c:pt>
                <c:pt idx="1691">
                  <c:v>1874.6732919344151</c:v>
                </c:pt>
                <c:pt idx="1692">
                  <c:v>2016.830069661095</c:v>
                </c:pt>
                <c:pt idx="1693">
                  <c:v>2207.9864862062673</c:v>
                </c:pt>
                <c:pt idx="1694">
                  <c:v>2365.025180940534</c:v>
                </c:pt>
                <c:pt idx="1695">
                  <c:v>2444.8765309950049</c:v>
                </c:pt>
                <c:pt idx="1696">
                  <c:v>2487.0876354428019</c:v>
                </c:pt>
                <c:pt idx="1697">
                  <c:v>2388.7780643899609</c:v>
                </c:pt>
                <c:pt idx="1698">
                  <c:v>2298.9606195012479</c:v>
                </c:pt>
                <c:pt idx="1699">
                  <c:v>2123.4771488173628</c:v>
                </c:pt>
                <c:pt idx="1700">
                  <c:v>1957.175466638402</c:v>
                </c:pt>
                <c:pt idx="1701">
                  <c:v>1853.0644005699969</c:v>
                </c:pt>
                <c:pt idx="1702">
                  <c:v>1755.1398636720191</c:v>
                </c:pt>
                <c:pt idx="1703">
                  <c:v>1681.4750427879781</c:v>
                </c:pt>
                <c:pt idx="1704">
                  <c:v>1702.5434889659898</c:v>
                </c:pt>
                <c:pt idx="1705">
                  <c:v>1699.2441300927831</c:v>
                </c:pt>
                <c:pt idx="1706">
                  <c:v>1500.4409250794381</c:v>
                </c:pt>
                <c:pt idx="1707">
                  <c:v>1166.356869527021</c:v>
                </c:pt>
                <c:pt idx="1708">
                  <c:v>1018.256630801989</c:v>
                </c:pt>
                <c:pt idx="1709">
                  <c:v>959.14893116646408</c:v>
                </c:pt>
                <c:pt idx="1710">
                  <c:v>1008.6755701226029</c:v>
                </c:pt>
                <c:pt idx="1711">
                  <c:v>1160.6973404942421</c:v>
                </c:pt>
                <c:pt idx="1712">
                  <c:v>1396.458115621449</c:v>
                </c:pt>
              </c:numCache>
            </c:numRef>
          </c:val>
          <c:extLst>
            <c:ext xmlns:c16="http://schemas.microsoft.com/office/drawing/2014/chart" uri="{C3380CC4-5D6E-409C-BE32-E72D297353CC}">
              <c16:uniqueId val="{00000000-422C-4272-A169-BD2915ED7009}"/>
            </c:ext>
          </c:extLst>
        </c:ser>
        <c:ser>
          <c:idx val="1"/>
          <c:order val="1"/>
          <c:tx>
            <c:strRef>
              <c:f>'EL GEN - Time'!$G$4:$G$5</c:f>
              <c:strCache>
                <c:ptCount val="1"/>
                <c:pt idx="0">
                  <c:v>GERMANY</c:v>
                </c:pt>
              </c:strCache>
            </c:strRef>
          </c:tx>
          <c:spPr>
            <a:solidFill>
              <a:schemeClr val="accent2"/>
            </a:solidFill>
            <a:ln w="25400">
              <a:noFill/>
            </a:ln>
            <a:effectLst/>
          </c:spPr>
          <c:cat>
            <c:multiLvlStrRef>
              <c:f>'EL GEN - Time'!$B$6:$E$2036</c:f>
              <c:multiLvlStrCache>
                <c:ptCount val="2030"/>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pt idx="48">
                    <c:v>T001</c:v>
                  </c:pt>
                  <c:pt idx="49">
                    <c:v>T002</c:v>
                  </c:pt>
                  <c:pt idx="50">
                    <c:v>T003</c:v>
                  </c:pt>
                  <c:pt idx="51">
                    <c:v>T005</c:v>
                  </c:pt>
                  <c:pt idx="52">
                    <c:v>T007</c:v>
                  </c:pt>
                  <c:pt idx="53">
                    <c:v>T010</c:v>
                  </c:pt>
                  <c:pt idx="54">
                    <c:v>T012</c:v>
                  </c:pt>
                  <c:pt idx="55">
                    <c:v>T013</c:v>
                  </c:pt>
                  <c:pt idx="56">
                    <c:v>T014</c:v>
                  </c:pt>
                  <c:pt idx="57">
                    <c:v>T015</c:v>
                  </c:pt>
                  <c:pt idx="58">
                    <c:v>T016</c:v>
                  </c:pt>
                  <c:pt idx="59">
                    <c:v>T017</c:v>
                  </c:pt>
                  <c:pt idx="60">
                    <c:v>T018</c:v>
                  </c:pt>
                  <c:pt idx="61">
                    <c:v>T019</c:v>
                  </c:pt>
                  <c:pt idx="62">
                    <c:v>T020</c:v>
                  </c:pt>
                  <c:pt idx="63">
                    <c:v>T021</c:v>
                  </c:pt>
                  <c:pt idx="64">
                    <c:v>T022</c:v>
                  </c:pt>
                  <c:pt idx="65">
                    <c:v>T023</c:v>
                  </c:pt>
                  <c:pt idx="66">
                    <c:v>T024</c:v>
                  </c:pt>
                  <c:pt idx="67">
                    <c:v>T001</c:v>
                  </c:pt>
                  <c:pt idx="68">
                    <c:v>T002</c:v>
                  </c:pt>
                  <c:pt idx="69">
                    <c:v>T003</c:v>
                  </c:pt>
                  <c:pt idx="70">
                    <c:v>T004</c:v>
                  </c:pt>
                  <c:pt idx="71">
                    <c:v>T005</c:v>
                  </c:pt>
                  <c:pt idx="72">
                    <c:v>T006</c:v>
                  </c:pt>
                  <c:pt idx="73">
                    <c:v>T007</c:v>
                  </c:pt>
                  <c:pt idx="74">
                    <c:v>T008</c:v>
                  </c:pt>
                  <c:pt idx="75">
                    <c:v>T009</c:v>
                  </c:pt>
                  <c:pt idx="76">
                    <c:v>T010</c:v>
                  </c:pt>
                  <c:pt idx="77">
                    <c:v>T011</c:v>
                  </c:pt>
                  <c:pt idx="78">
                    <c:v>T012</c:v>
                  </c:pt>
                  <c:pt idx="79">
                    <c:v>T013</c:v>
                  </c:pt>
                  <c:pt idx="80">
                    <c:v>T014</c:v>
                  </c:pt>
                  <c:pt idx="81">
                    <c:v>T015</c:v>
                  </c:pt>
                  <c:pt idx="82">
                    <c:v>T016</c:v>
                  </c:pt>
                  <c:pt idx="83">
                    <c:v>T017</c:v>
                  </c:pt>
                  <c:pt idx="84">
                    <c:v>T018</c:v>
                  </c:pt>
                  <c:pt idx="85">
                    <c:v>T019</c:v>
                  </c:pt>
                  <c:pt idx="86">
                    <c:v>T020</c:v>
                  </c:pt>
                  <c:pt idx="87">
                    <c:v>T021</c:v>
                  </c:pt>
                  <c:pt idx="88">
                    <c:v>T022</c:v>
                  </c:pt>
                  <c:pt idx="89">
                    <c:v>T023</c:v>
                  </c:pt>
                  <c:pt idx="90">
                    <c:v>T024</c:v>
                  </c:pt>
                  <c:pt idx="91">
                    <c:v>T001</c:v>
                  </c:pt>
                  <c:pt idx="92">
                    <c:v>T002</c:v>
                  </c:pt>
                  <c:pt idx="93">
                    <c:v>T003</c:v>
                  </c:pt>
                  <c:pt idx="94">
                    <c:v>T004</c:v>
                  </c:pt>
                  <c:pt idx="95">
                    <c:v>T005</c:v>
                  </c:pt>
                  <c:pt idx="96">
                    <c:v>T006</c:v>
                  </c:pt>
                  <c:pt idx="97">
                    <c:v>T007</c:v>
                  </c:pt>
                  <c:pt idx="98">
                    <c:v>T008</c:v>
                  </c:pt>
                  <c:pt idx="99">
                    <c:v>T009</c:v>
                  </c:pt>
                  <c:pt idx="100">
                    <c:v>T010</c:v>
                  </c:pt>
                  <c:pt idx="101">
                    <c:v>T011</c:v>
                  </c:pt>
                  <c:pt idx="102">
                    <c:v>T012</c:v>
                  </c:pt>
                  <c:pt idx="103">
                    <c:v>T013</c:v>
                  </c:pt>
                  <c:pt idx="104">
                    <c:v>T014</c:v>
                  </c:pt>
                  <c:pt idx="105">
                    <c:v>T015</c:v>
                  </c:pt>
                  <c:pt idx="106">
                    <c:v>T016</c:v>
                  </c:pt>
                  <c:pt idx="107">
                    <c:v>T017</c:v>
                  </c:pt>
                  <c:pt idx="108">
                    <c:v>T018</c:v>
                  </c:pt>
                  <c:pt idx="109">
                    <c:v>T019</c:v>
                  </c:pt>
                  <c:pt idx="110">
                    <c:v>T020</c:v>
                  </c:pt>
                  <c:pt idx="111">
                    <c:v>T021</c:v>
                  </c:pt>
                  <c:pt idx="112">
                    <c:v>T022</c:v>
                  </c:pt>
                  <c:pt idx="113">
                    <c:v>T023</c:v>
                  </c:pt>
                  <c:pt idx="114">
                    <c:v>T024</c:v>
                  </c:pt>
                  <c:pt idx="115">
                    <c:v>T001</c:v>
                  </c:pt>
                  <c:pt idx="116">
                    <c:v>T002</c:v>
                  </c:pt>
                  <c:pt idx="117">
                    <c:v>T003</c:v>
                  </c:pt>
                  <c:pt idx="118">
                    <c:v>T004</c:v>
                  </c:pt>
                  <c:pt idx="119">
                    <c:v>T005</c:v>
                  </c:pt>
                  <c:pt idx="120">
                    <c:v>T006</c:v>
                  </c:pt>
                  <c:pt idx="121">
                    <c:v>T007</c:v>
                  </c:pt>
                  <c:pt idx="122">
                    <c:v>T008</c:v>
                  </c:pt>
                  <c:pt idx="123">
                    <c:v>T009</c:v>
                  </c:pt>
                  <c:pt idx="124">
                    <c:v>T010</c:v>
                  </c:pt>
                  <c:pt idx="125">
                    <c:v>T011</c:v>
                  </c:pt>
                  <c:pt idx="126">
                    <c:v>T012</c:v>
                  </c:pt>
                  <c:pt idx="127">
                    <c:v>T013</c:v>
                  </c:pt>
                  <c:pt idx="128">
                    <c:v>T014</c:v>
                  </c:pt>
                  <c:pt idx="129">
                    <c:v>T015</c:v>
                  </c:pt>
                  <c:pt idx="130">
                    <c:v>T016</c:v>
                  </c:pt>
                  <c:pt idx="131">
                    <c:v>T017</c:v>
                  </c:pt>
                  <c:pt idx="132">
                    <c:v>T018</c:v>
                  </c:pt>
                  <c:pt idx="133">
                    <c:v>T019</c:v>
                  </c:pt>
                  <c:pt idx="134">
                    <c:v>T020</c:v>
                  </c:pt>
                  <c:pt idx="135">
                    <c:v>T021</c:v>
                  </c:pt>
                  <c:pt idx="136">
                    <c:v>T022</c:v>
                  </c:pt>
                  <c:pt idx="137">
                    <c:v>T023</c:v>
                  </c:pt>
                  <c:pt idx="138">
                    <c:v>T024</c:v>
                  </c:pt>
                  <c:pt idx="139">
                    <c:v>T001</c:v>
                  </c:pt>
                  <c:pt idx="140">
                    <c:v>T002</c:v>
                  </c:pt>
                  <c:pt idx="141">
                    <c:v>T003</c:v>
                  </c:pt>
                  <c:pt idx="142">
                    <c:v>T004</c:v>
                  </c:pt>
                  <c:pt idx="143">
                    <c:v>T005</c:v>
                  </c:pt>
                  <c:pt idx="144">
                    <c:v>T006</c:v>
                  </c:pt>
                  <c:pt idx="145">
                    <c:v>T007</c:v>
                  </c:pt>
                  <c:pt idx="146">
                    <c:v>T008</c:v>
                  </c:pt>
                  <c:pt idx="147">
                    <c:v>T009</c:v>
                  </c:pt>
                  <c:pt idx="148">
                    <c:v>T010</c:v>
                  </c:pt>
                  <c:pt idx="149">
                    <c:v>T011</c:v>
                  </c:pt>
                  <c:pt idx="150">
                    <c:v>T012</c:v>
                  </c:pt>
                  <c:pt idx="151">
                    <c:v>T013</c:v>
                  </c:pt>
                  <c:pt idx="152">
                    <c:v>T014</c:v>
                  </c:pt>
                  <c:pt idx="153">
                    <c:v>T015</c:v>
                  </c:pt>
                  <c:pt idx="154">
                    <c:v>T016</c:v>
                  </c:pt>
                  <c:pt idx="155">
                    <c:v>T017</c:v>
                  </c:pt>
                  <c:pt idx="156">
                    <c:v>T018</c:v>
                  </c:pt>
                  <c:pt idx="157">
                    <c:v>T019</c:v>
                  </c:pt>
                  <c:pt idx="158">
                    <c:v>T020</c:v>
                  </c:pt>
                  <c:pt idx="159">
                    <c:v>T021</c:v>
                  </c:pt>
                  <c:pt idx="160">
                    <c:v>T022</c:v>
                  </c:pt>
                  <c:pt idx="161">
                    <c:v>T023</c:v>
                  </c:pt>
                  <c:pt idx="162">
                    <c:v>T024</c:v>
                  </c:pt>
                  <c:pt idx="163">
                    <c:v>T001</c:v>
                  </c:pt>
                  <c:pt idx="164">
                    <c:v>T002</c:v>
                  </c:pt>
                  <c:pt idx="165">
                    <c:v>T003</c:v>
                  </c:pt>
                  <c:pt idx="166">
                    <c:v>T004</c:v>
                  </c:pt>
                  <c:pt idx="167">
                    <c:v>T005</c:v>
                  </c:pt>
                  <c:pt idx="168">
                    <c:v>T006</c:v>
                  </c:pt>
                  <c:pt idx="169">
                    <c:v>T007</c:v>
                  </c:pt>
                  <c:pt idx="170">
                    <c:v>T008</c:v>
                  </c:pt>
                  <c:pt idx="171">
                    <c:v>T009</c:v>
                  </c:pt>
                  <c:pt idx="172">
                    <c:v>T010</c:v>
                  </c:pt>
                  <c:pt idx="173">
                    <c:v>T011</c:v>
                  </c:pt>
                  <c:pt idx="174">
                    <c:v>T012</c:v>
                  </c:pt>
                  <c:pt idx="175">
                    <c:v>T013</c:v>
                  </c:pt>
                  <c:pt idx="176">
                    <c:v>T014</c:v>
                  </c:pt>
                  <c:pt idx="177">
                    <c:v>T015</c:v>
                  </c:pt>
                  <c:pt idx="178">
                    <c:v>T016</c:v>
                  </c:pt>
                  <c:pt idx="179">
                    <c:v>T017</c:v>
                  </c:pt>
                  <c:pt idx="180">
                    <c:v>T018</c:v>
                  </c:pt>
                  <c:pt idx="181">
                    <c:v>T019</c:v>
                  </c:pt>
                  <c:pt idx="182">
                    <c:v>T020</c:v>
                  </c:pt>
                  <c:pt idx="183">
                    <c:v>T021</c:v>
                  </c:pt>
                  <c:pt idx="184">
                    <c:v>T022</c:v>
                  </c:pt>
                  <c:pt idx="185">
                    <c:v>T023</c:v>
                  </c:pt>
                  <c:pt idx="186">
                    <c:v>T024</c:v>
                  </c:pt>
                  <c:pt idx="187">
                    <c:v>T001</c:v>
                  </c:pt>
                  <c:pt idx="188">
                    <c:v>T002</c:v>
                  </c:pt>
                  <c:pt idx="189">
                    <c:v>T003</c:v>
                  </c:pt>
                  <c:pt idx="190">
                    <c:v>T004</c:v>
                  </c:pt>
                  <c:pt idx="191">
                    <c:v>T005</c:v>
                  </c:pt>
                  <c:pt idx="192">
                    <c:v>T006</c:v>
                  </c:pt>
                  <c:pt idx="193">
                    <c:v>T007</c:v>
                  </c:pt>
                  <c:pt idx="194">
                    <c:v>T008</c:v>
                  </c:pt>
                  <c:pt idx="195">
                    <c:v>T009</c:v>
                  </c:pt>
                  <c:pt idx="196">
                    <c:v>T010</c:v>
                  </c:pt>
                  <c:pt idx="197">
                    <c:v>T011</c:v>
                  </c:pt>
                  <c:pt idx="198">
                    <c:v>T012</c:v>
                  </c:pt>
                  <c:pt idx="199">
                    <c:v>T013</c:v>
                  </c:pt>
                  <c:pt idx="200">
                    <c:v>T014</c:v>
                  </c:pt>
                  <c:pt idx="201">
                    <c:v>T015</c:v>
                  </c:pt>
                  <c:pt idx="202">
                    <c:v>T016</c:v>
                  </c:pt>
                  <c:pt idx="203">
                    <c:v>T017</c:v>
                  </c:pt>
                  <c:pt idx="204">
                    <c:v>T018</c:v>
                  </c:pt>
                  <c:pt idx="205">
                    <c:v>T019</c:v>
                  </c:pt>
                  <c:pt idx="206">
                    <c:v>T020</c:v>
                  </c:pt>
                  <c:pt idx="207">
                    <c:v>T021</c:v>
                  </c:pt>
                  <c:pt idx="208">
                    <c:v>T022</c:v>
                  </c:pt>
                  <c:pt idx="209">
                    <c:v>T023</c:v>
                  </c:pt>
                  <c:pt idx="210">
                    <c:v>T024</c:v>
                  </c:pt>
                  <c:pt idx="211">
                    <c:v>T002</c:v>
                  </c:pt>
                  <c:pt idx="212">
                    <c:v>T003</c:v>
                  </c:pt>
                  <c:pt idx="213">
                    <c:v>T004</c:v>
                  </c:pt>
                  <c:pt idx="214">
                    <c:v>T005</c:v>
                  </c:pt>
                  <c:pt idx="215">
                    <c:v>T006</c:v>
                  </c:pt>
                  <c:pt idx="216">
                    <c:v>T007</c:v>
                  </c:pt>
                  <c:pt idx="217">
                    <c:v>T008</c:v>
                  </c:pt>
                  <c:pt idx="218">
                    <c:v>T009</c:v>
                  </c:pt>
                  <c:pt idx="219">
                    <c:v>T010</c:v>
                  </c:pt>
                  <c:pt idx="220">
                    <c:v>T011</c:v>
                  </c:pt>
                  <c:pt idx="221">
                    <c:v>T012</c:v>
                  </c:pt>
                  <c:pt idx="222">
                    <c:v>T013</c:v>
                  </c:pt>
                  <c:pt idx="223">
                    <c:v>T014</c:v>
                  </c:pt>
                  <c:pt idx="224">
                    <c:v>T015</c:v>
                  </c:pt>
                  <c:pt idx="225">
                    <c:v>T016</c:v>
                  </c:pt>
                  <c:pt idx="226">
                    <c:v>T017</c:v>
                  </c:pt>
                  <c:pt idx="227">
                    <c:v>T018</c:v>
                  </c:pt>
                  <c:pt idx="228">
                    <c:v>T019</c:v>
                  </c:pt>
                  <c:pt idx="229">
                    <c:v>T020</c:v>
                  </c:pt>
                  <c:pt idx="230">
                    <c:v>T021</c:v>
                  </c:pt>
                  <c:pt idx="231">
                    <c:v>T022</c:v>
                  </c:pt>
                  <c:pt idx="232">
                    <c:v>T023</c:v>
                  </c:pt>
                  <c:pt idx="233">
                    <c:v>T024</c:v>
                  </c:pt>
                  <c:pt idx="234">
                    <c:v>T001</c:v>
                  </c:pt>
                  <c:pt idx="235">
                    <c:v>T002</c:v>
                  </c:pt>
                  <c:pt idx="236">
                    <c:v>T003</c:v>
                  </c:pt>
                  <c:pt idx="237">
                    <c:v>T004</c:v>
                  </c:pt>
                  <c:pt idx="238">
                    <c:v>T005</c:v>
                  </c:pt>
                  <c:pt idx="239">
                    <c:v>T006</c:v>
                  </c:pt>
                  <c:pt idx="240">
                    <c:v>T007</c:v>
                  </c:pt>
                  <c:pt idx="241">
                    <c:v>T008</c:v>
                  </c:pt>
                  <c:pt idx="242">
                    <c:v>T009</c:v>
                  </c:pt>
                  <c:pt idx="243">
                    <c:v>T010</c:v>
                  </c:pt>
                  <c:pt idx="244">
                    <c:v>T011</c:v>
                  </c:pt>
                  <c:pt idx="245">
                    <c:v>T012</c:v>
                  </c:pt>
                  <c:pt idx="246">
                    <c:v>T013</c:v>
                  </c:pt>
                  <c:pt idx="247">
                    <c:v>T014</c:v>
                  </c:pt>
                  <c:pt idx="248">
                    <c:v>T015</c:v>
                  </c:pt>
                  <c:pt idx="249">
                    <c:v>T016</c:v>
                  </c:pt>
                  <c:pt idx="250">
                    <c:v>T017</c:v>
                  </c:pt>
                  <c:pt idx="251">
                    <c:v>T018</c:v>
                  </c:pt>
                  <c:pt idx="252">
                    <c:v>T019</c:v>
                  </c:pt>
                  <c:pt idx="253">
                    <c:v>T020</c:v>
                  </c:pt>
                  <c:pt idx="254">
                    <c:v>T021</c:v>
                  </c:pt>
                  <c:pt idx="255">
                    <c:v>T022</c:v>
                  </c:pt>
                  <c:pt idx="256">
                    <c:v>T023</c:v>
                  </c:pt>
                  <c:pt idx="257">
                    <c:v>T024</c:v>
                  </c:pt>
                  <c:pt idx="258">
                    <c:v>T001</c:v>
                  </c:pt>
                  <c:pt idx="259">
                    <c:v>T002</c:v>
                  </c:pt>
                  <c:pt idx="260">
                    <c:v>T003</c:v>
                  </c:pt>
                  <c:pt idx="261">
                    <c:v>T004</c:v>
                  </c:pt>
                  <c:pt idx="262">
                    <c:v>T005</c:v>
                  </c:pt>
                  <c:pt idx="263">
                    <c:v>T006</c:v>
                  </c:pt>
                  <c:pt idx="264">
                    <c:v>T007</c:v>
                  </c:pt>
                  <c:pt idx="265">
                    <c:v>T008</c:v>
                  </c:pt>
                  <c:pt idx="266">
                    <c:v>T009</c:v>
                  </c:pt>
                  <c:pt idx="267">
                    <c:v>T010</c:v>
                  </c:pt>
                  <c:pt idx="268">
                    <c:v>T011</c:v>
                  </c:pt>
                  <c:pt idx="269">
                    <c:v>T012</c:v>
                  </c:pt>
                  <c:pt idx="270">
                    <c:v>T013</c:v>
                  </c:pt>
                  <c:pt idx="271">
                    <c:v>T014</c:v>
                  </c:pt>
                  <c:pt idx="272">
                    <c:v>T015</c:v>
                  </c:pt>
                  <c:pt idx="273">
                    <c:v>T016</c:v>
                  </c:pt>
                  <c:pt idx="274">
                    <c:v>T017</c:v>
                  </c:pt>
                  <c:pt idx="275">
                    <c:v>T018</c:v>
                  </c:pt>
                  <c:pt idx="276">
                    <c:v>T019</c:v>
                  </c:pt>
                  <c:pt idx="277">
                    <c:v>T020</c:v>
                  </c:pt>
                  <c:pt idx="278">
                    <c:v>T021</c:v>
                  </c:pt>
                  <c:pt idx="279">
                    <c:v>T022</c:v>
                  </c:pt>
                  <c:pt idx="280">
                    <c:v>T023</c:v>
                  </c:pt>
                  <c:pt idx="281">
                    <c:v>T024</c:v>
                  </c:pt>
                  <c:pt idx="282">
                    <c:v>T001</c:v>
                  </c:pt>
                  <c:pt idx="283">
                    <c:v>T002</c:v>
                  </c:pt>
                  <c:pt idx="284">
                    <c:v>T003</c:v>
                  </c:pt>
                  <c:pt idx="285">
                    <c:v>T004</c:v>
                  </c:pt>
                  <c:pt idx="286">
                    <c:v>T005</c:v>
                  </c:pt>
                  <c:pt idx="287">
                    <c:v>T006</c:v>
                  </c:pt>
                  <c:pt idx="288">
                    <c:v>T007</c:v>
                  </c:pt>
                  <c:pt idx="289">
                    <c:v>T008</c:v>
                  </c:pt>
                  <c:pt idx="290">
                    <c:v>T009</c:v>
                  </c:pt>
                  <c:pt idx="291">
                    <c:v>T010</c:v>
                  </c:pt>
                  <c:pt idx="292">
                    <c:v>T011</c:v>
                  </c:pt>
                  <c:pt idx="293">
                    <c:v>T012</c:v>
                  </c:pt>
                  <c:pt idx="294">
                    <c:v>T013</c:v>
                  </c:pt>
                  <c:pt idx="295">
                    <c:v>T014</c:v>
                  </c:pt>
                  <c:pt idx="296">
                    <c:v>T015</c:v>
                  </c:pt>
                  <c:pt idx="297">
                    <c:v>T016</c:v>
                  </c:pt>
                  <c:pt idx="298">
                    <c:v>T017</c:v>
                  </c:pt>
                  <c:pt idx="299">
                    <c:v>T018</c:v>
                  </c:pt>
                  <c:pt idx="300">
                    <c:v>T019</c:v>
                  </c:pt>
                  <c:pt idx="301">
                    <c:v>T020</c:v>
                  </c:pt>
                  <c:pt idx="302">
                    <c:v>T021</c:v>
                  </c:pt>
                  <c:pt idx="303">
                    <c:v>T022</c:v>
                  </c:pt>
                  <c:pt idx="304">
                    <c:v>T023</c:v>
                  </c:pt>
                  <c:pt idx="305">
                    <c:v>T024</c:v>
                  </c:pt>
                  <c:pt idx="306">
                    <c:v>T001</c:v>
                  </c:pt>
                  <c:pt idx="307">
                    <c:v>T002</c:v>
                  </c:pt>
                  <c:pt idx="308">
                    <c:v>T003</c:v>
                  </c:pt>
                  <c:pt idx="309">
                    <c:v>T004</c:v>
                  </c:pt>
                  <c:pt idx="310">
                    <c:v>T005</c:v>
                  </c:pt>
                  <c:pt idx="311">
                    <c:v>T006</c:v>
                  </c:pt>
                  <c:pt idx="312">
                    <c:v>T007</c:v>
                  </c:pt>
                  <c:pt idx="313">
                    <c:v>T008</c:v>
                  </c:pt>
                  <c:pt idx="314">
                    <c:v>T009</c:v>
                  </c:pt>
                  <c:pt idx="315">
                    <c:v>T010</c:v>
                  </c:pt>
                  <c:pt idx="316">
                    <c:v>T011</c:v>
                  </c:pt>
                  <c:pt idx="317">
                    <c:v>T012</c:v>
                  </c:pt>
                  <c:pt idx="318">
                    <c:v>T013</c:v>
                  </c:pt>
                  <c:pt idx="319">
                    <c:v>T014</c:v>
                  </c:pt>
                  <c:pt idx="320">
                    <c:v>T015</c:v>
                  </c:pt>
                  <c:pt idx="321">
                    <c:v>T016</c:v>
                  </c:pt>
                  <c:pt idx="322">
                    <c:v>T017</c:v>
                  </c:pt>
                  <c:pt idx="323">
                    <c:v>T018</c:v>
                  </c:pt>
                  <c:pt idx="324">
                    <c:v>T019</c:v>
                  </c:pt>
                  <c:pt idx="325">
                    <c:v>T020</c:v>
                  </c:pt>
                  <c:pt idx="326">
                    <c:v>T021</c:v>
                  </c:pt>
                  <c:pt idx="327">
                    <c:v>T022</c:v>
                  </c:pt>
                  <c:pt idx="328">
                    <c:v>T023</c:v>
                  </c:pt>
                  <c:pt idx="329">
                    <c:v>T024</c:v>
                  </c:pt>
                  <c:pt idx="330">
                    <c:v>T001</c:v>
                  </c:pt>
                  <c:pt idx="331">
                    <c:v>T002</c:v>
                  </c:pt>
                  <c:pt idx="332">
                    <c:v>T003</c:v>
                  </c:pt>
                  <c:pt idx="333">
                    <c:v>T004</c:v>
                  </c:pt>
                  <c:pt idx="334">
                    <c:v>T005</c:v>
                  </c:pt>
                  <c:pt idx="335">
                    <c:v>T006</c:v>
                  </c:pt>
                  <c:pt idx="336">
                    <c:v>T007</c:v>
                  </c:pt>
                  <c:pt idx="337">
                    <c:v>T008</c:v>
                  </c:pt>
                  <c:pt idx="338">
                    <c:v>T009</c:v>
                  </c:pt>
                  <c:pt idx="339">
                    <c:v>T010</c:v>
                  </c:pt>
                  <c:pt idx="340">
                    <c:v>T011</c:v>
                  </c:pt>
                  <c:pt idx="341">
                    <c:v>T012</c:v>
                  </c:pt>
                  <c:pt idx="342">
                    <c:v>T013</c:v>
                  </c:pt>
                  <c:pt idx="343">
                    <c:v>T014</c:v>
                  </c:pt>
                  <c:pt idx="344">
                    <c:v>T015</c:v>
                  </c:pt>
                  <c:pt idx="345">
                    <c:v>T016</c:v>
                  </c:pt>
                  <c:pt idx="346">
                    <c:v>T017</c:v>
                  </c:pt>
                  <c:pt idx="347">
                    <c:v>T018</c:v>
                  </c:pt>
                  <c:pt idx="348">
                    <c:v>T019</c:v>
                  </c:pt>
                  <c:pt idx="349">
                    <c:v>T020</c:v>
                  </c:pt>
                  <c:pt idx="350">
                    <c:v>T021</c:v>
                  </c:pt>
                  <c:pt idx="351">
                    <c:v>T022</c:v>
                  </c:pt>
                  <c:pt idx="352">
                    <c:v>T023</c:v>
                  </c:pt>
                  <c:pt idx="353">
                    <c:v>T024</c:v>
                  </c:pt>
                  <c:pt idx="354">
                    <c:v>T001</c:v>
                  </c:pt>
                  <c:pt idx="355">
                    <c:v>T002</c:v>
                  </c:pt>
                  <c:pt idx="356">
                    <c:v>T003</c:v>
                  </c:pt>
                  <c:pt idx="357">
                    <c:v>T004</c:v>
                  </c:pt>
                  <c:pt idx="358">
                    <c:v>T005</c:v>
                  </c:pt>
                  <c:pt idx="359">
                    <c:v>T006</c:v>
                  </c:pt>
                  <c:pt idx="360">
                    <c:v>T007</c:v>
                  </c:pt>
                  <c:pt idx="361">
                    <c:v>T008</c:v>
                  </c:pt>
                  <c:pt idx="362">
                    <c:v>T009</c:v>
                  </c:pt>
                  <c:pt idx="363">
                    <c:v>T010</c:v>
                  </c:pt>
                  <c:pt idx="364">
                    <c:v>T011</c:v>
                  </c:pt>
                  <c:pt idx="365">
                    <c:v>T012</c:v>
                  </c:pt>
                  <c:pt idx="366">
                    <c:v>T013</c:v>
                  </c:pt>
                  <c:pt idx="367">
                    <c:v>T014</c:v>
                  </c:pt>
                  <c:pt idx="368">
                    <c:v>T015</c:v>
                  </c:pt>
                  <c:pt idx="369">
                    <c:v>T016</c:v>
                  </c:pt>
                  <c:pt idx="370">
                    <c:v>T017</c:v>
                  </c:pt>
                  <c:pt idx="371">
                    <c:v>T018</c:v>
                  </c:pt>
                  <c:pt idx="372">
                    <c:v>T019</c:v>
                  </c:pt>
                  <c:pt idx="373">
                    <c:v>T020</c:v>
                  </c:pt>
                  <c:pt idx="374">
                    <c:v>T021</c:v>
                  </c:pt>
                  <c:pt idx="375">
                    <c:v>T022</c:v>
                  </c:pt>
                  <c:pt idx="376">
                    <c:v>T023</c:v>
                  </c:pt>
                  <c:pt idx="377">
                    <c:v>T024</c:v>
                  </c:pt>
                  <c:pt idx="378">
                    <c:v>T001</c:v>
                  </c:pt>
                  <c:pt idx="379">
                    <c:v>T002</c:v>
                  </c:pt>
                  <c:pt idx="380">
                    <c:v>T003</c:v>
                  </c:pt>
                  <c:pt idx="381">
                    <c:v>T004</c:v>
                  </c:pt>
                  <c:pt idx="382">
                    <c:v>T005</c:v>
                  </c:pt>
                  <c:pt idx="383">
                    <c:v>T006</c:v>
                  </c:pt>
                  <c:pt idx="384">
                    <c:v>T007</c:v>
                  </c:pt>
                  <c:pt idx="385">
                    <c:v>T008</c:v>
                  </c:pt>
                  <c:pt idx="386">
                    <c:v>T009</c:v>
                  </c:pt>
                  <c:pt idx="387">
                    <c:v>T010</c:v>
                  </c:pt>
                  <c:pt idx="388">
                    <c:v>T011</c:v>
                  </c:pt>
                  <c:pt idx="389">
                    <c:v>T012</c:v>
                  </c:pt>
                  <c:pt idx="390">
                    <c:v>T013</c:v>
                  </c:pt>
                  <c:pt idx="391">
                    <c:v>T014</c:v>
                  </c:pt>
                  <c:pt idx="392">
                    <c:v>T015</c:v>
                  </c:pt>
                  <c:pt idx="393">
                    <c:v>T016</c:v>
                  </c:pt>
                  <c:pt idx="394">
                    <c:v>T017</c:v>
                  </c:pt>
                  <c:pt idx="395">
                    <c:v>T018</c:v>
                  </c:pt>
                  <c:pt idx="396">
                    <c:v>T019</c:v>
                  </c:pt>
                  <c:pt idx="397">
                    <c:v>T020</c:v>
                  </c:pt>
                  <c:pt idx="398">
                    <c:v>T021</c:v>
                  </c:pt>
                  <c:pt idx="399">
                    <c:v>T022</c:v>
                  </c:pt>
                  <c:pt idx="400">
                    <c:v>T023</c:v>
                  </c:pt>
                  <c:pt idx="401">
                    <c:v>T024</c:v>
                  </c:pt>
                  <c:pt idx="402">
                    <c:v>T001</c:v>
                  </c:pt>
                  <c:pt idx="403">
                    <c:v>T002</c:v>
                  </c:pt>
                  <c:pt idx="404">
                    <c:v>T003</c:v>
                  </c:pt>
                  <c:pt idx="405">
                    <c:v>T004</c:v>
                  </c:pt>
                  <c:pt idx="406">
                    <c:v>T005</c:v>
                  </c:pt>
                  <c:pt idx="407">
                    <c:v>T006</c:v>
                  </c:pt>
                  <c:pt idx="408">
                    <c:v>T007</c:v>
                  </c:pt>
                  <c:pt idx="409">
                    <c:v>T008</c:v>
                  </c:pt>
                  <c:pt idx="410">
                    <c:v>T009</c:v>
                  </c:pt>
                  <c:pt idx="411">
                    <c:v>T010</c:v>
                  </c:pt>
                  <c:pt idx="412">
                    <c:v>T011</c:v>
                  </c:pt>
                  <c:pt idx="413">
                    <c:v>T012</c:v>
                  </c:pt>
                  <c:pt idx="414">
                    <c:v>T013</c:v>
                  </c:pt>
                  <c:pt idx="415">
                    <c:v>T014</c:v>
                  </c:pt>
                  <c:pt idx="416">
                    <c:v>T015</c:v>
                  </c:pt>
                  <c:pt idx="417">
                    <c:v>T016</c:v>
                  </c:pt>
                  <c:pt idx="418">
                    <c:v>T017</c:v>
                  </c:pt>
                  <c:pt idx="419">
                    <c:v>T018</c:v>
                  </c:pt>
                  <c:pt idx="420">
                    <c:v>T019</c:v>
                  </c:pt>
                  <c:pt idx="421">
                    <c:v>T020</c:v>
                  </c:pt>
                  <c:pt idx="422">
                    <c:v>T021</c:v>
                  </c:pt>
                  <c:pt idx="423">
                    <c:v>T022</c:v>
                  </c:pt>
                  <c:pt idx="424">
                    <c:v>T023</c:v>
                  </c:pt>
                  <c:pt idx="425">
                    <c:v>T024</c:v>
                  </c:pt>
                  <c:pt idx="426">
                    <c:v>T001</c:v>
                  </c:pt>
                  <c:pt idx="427">
                    <c:v>T002</c:v>
                  </c:pt>
                  <c:pt idx="428">
                    <c:v>T003</c:v>
                  </c:pt>
                  <c:pt idx="429">
                    <c:v>T004</c:v>
                  </c:pt>
                  <c:pt idx="430">
                    <c:v>T005</c:v>
                  </c:pt>
                  <c:pt idx="431">
                    <c:v>T006</c:v>
                  </c:pt>
                  <c:pt idx="432">
                    <c:v>T007</c:v>
                  </c:pt>
                  <c:pt idx="433">
                    <c:v>T008</c:v>
                  </c:pt>
                  <c:pt idx="434">
                    <c:v>T009</c:v>
                  </c:pt>
                  <c:pt idx="435">
                    <c:v>T010</c:v>
                  </c:pt>
                  <c:pt idx="436">
                    <c:v>T011</c:v>
                  </c:pt>
                  <c:pt idx="437">
                    <c:v>T012</c:v>
                  </c:pt>
                  <c:pt idx="438">
                    <c:v>T013</c:v>
                  </c:pt>
                  <c:pt idx="439">
                    <c:v>T014</c:v>
                  </c:pt>
                  <c:pt idx="440">
                    <c:v>T015</c:v>
                  </c:pt>
                  <c:pt idx="441">
                    <c:v>T016</c:v>
                  </c:pt>
                  <c:pt idx="442">
                    <c:v>T017</c:v>
                  </c:pt>
                  <c:pt idx="443">
                    <c:v>T018</c:v>
                  </c:pt>
                  <c:pt idx="444">
                    <c:v>T019</c:v>
                  </c:pt>
                  <c:pt idx="445">
                    <c:v>T020</c:v>
                  </c:pt>
                  <c:pt idx="446">
                    <c:v>T021</c:v>
                  </c:pt>
                  <c:pt idx="447">
                    <c:v>T022</c:v>
                  </c:pt>
                  <c:pt idx="448">
                    <c:v>T023</c:v>
                  </c:pt>
                  <c:pt idx="449">
                    <c:v>T024</c:v>
                  </c:pt>
                  <c:pt idx="450">
                    <c:v>T001</c:v>
                  </c:pt>
                  <c:pt idx="451">
                    <c:v>T002</c:v>
                  </c:pt>
                  <c:pt idx="452">
                    <c:v>T003</c:v>
                  </c:pt>
                  <c:pt idx="453">
                    <c:v>T004</c:v>
                  </c:pt>
                  <c:pt idx="454">
                    <c:v>T005</c:v>
                  </c:pt>
                  <c:pt idx="455">
                    <c:v>T006</c:v>
                  </c:pt>
                  <c:pt idx="456">
                    <c:v>T007</c:v>
                  </c:pt>
                  <c:pt idx="457">
                    <c:v>T008</c:v>
                  </c:pt>
                  <c:pt idx="458">
                    <c:v>T009</c:v>
                  </c:pt>
                  <c:pt idx="459">
                    <c:v>T010</c:v>
                  </c:pt>
                  <c:pt idx="460">
                    <c:v>T011</c:v>
                  </c:pt>
                  <c:pt idx="461">
                    <c:v>T012</c:v>
                  </c:pt>
                  <c:pt idx="462">
                    <c:v>T013</c:v>
                  </c:pt>
                  <c:pt idx="463">
                    <c:v>T014</c:v>
                  </c:pt>
                  <c:pt idx="464">
                    <c:v>T015</c:v>
                  </c:pt>
                  <c:pt idx="465">
                    <c:v>T016</c:v>
                  </c:pt>
                  <c:pt idx="466">
                    <c:v>T017</c:v>
                  </c:pt>
                  <c:pt idx="467">
                    <c:v>T018</c:v>
                  </c:pt>
                  <c:pt idx="468">
                    <c:v>T019</c:v>
                  </c:pt>
                  <c:pt idx="469">
                    <c:v>T020</c:v>
                  </c:pt>
                  <c:pt idx="470">
                    <c:v>T021</c:v>
                  </c:pt>
                  <c:pt idx="471">
                    <c:v>T022</c:v>
                  </c:pt>
                  <c:pt idx="472">
                    <c:v>T023</c:v>
                  </c:pt>
                  <c:pt idx="473">
                    <c:v>T024</c:v>
                  </c:pt>
                  <c:pt idx="474">
                    <c:v>T001</c:v>
                  </c:pt>
                  <c:pt idx="475">
                    <c:v>T002</c:v>
                  </c:pt>
                  <c:pt idx="476">
                    <c:v>T003</c:v>
                  </c:pt>
                  <c:pt idx="477">
                    <c:v>T004</c:v>
                  </c:pt>
                  <c:pt idx="478">
                    <c:v>T005</c:v>
                  </c:pt>
                  <c:pt idx="479">
                    <c:v>T006</c:v>
                  </c:pt>
                  <c:pt idx="480">
                    <c:v>T007</c:v>
                  </c:pt>
                  <c:pt idx="481">
                    <c:v>T008</c:v>
                  </c:pt>
                  <c:pt idx="482">
                    <c:v>T009</c:v>
                  </c:pt>
                  <c:pt idx="483">
                    <c:v>T010</c:v>
                  </c:pt>
                  <c:pt idx="484">
                    <c:v>T011</c:v>
                  </c:pt>
                  <c:pt idx="485">
                    <c:v>T012</c:v>
                  </c:pt>
                  <c:pt idx="486">
                    <c:v>T013</c:v>
                  </c:pt>
                  <c:pt idx="487">
                    <c:v>T014</c:v>
                  </c:pt>
                  <c:pt idx="488">
                    <c:v>T015</c:v>
                  </c:pt>
                  <c:pt idx="489">
                    <c:v>T016</c:v>
                  </c:pt>
                  <c:pt idx="490">
                    <c:v>T017</c:v>
                  </c:pt>
                  <c:pt idx="491">
                    <c:v>T018</c:v>
                  </c:pt>
                  <c:pt idx="492">
                    <c:v>T019</c:v>
                  </c:pt>
                  <c:pt idx="493">
                    <c:v>T020</c:v>
                  </c:pt>
                  <c:pt idx="494">
                    <c:v>T021</c:v>
                  </c:pt>
                  <c:pt idx="495">
                    <c:v>T022</c:v>
                  </c:pt>
                  <c:pt idx="496">
                    <c:v>T023</c:v>
                  </c:pt>
                  <c:pt idx="497">
                    <c:v>T024</c:v>
                  </c:pt>
                  <c:pt idx="498">
                    <c:v>T001</c:v>
                  </c:pt>
                  <c:pt idx="499">
                    <c:v>T002</c:v>
                  </c:pt>
                  <c:pt idx="500">
                    <c:v>T003</c:v>
                  </c:pt>
                  <c:pt idx="501">
                    <c:v>T004</c:v>
                  </c:pt>
                  <c:pt idx="502">
                    <c:v>T005</c:v>
                  </c:pt>
                  <c:pt idx="503">
                    <c:v>T006</c:v>
                  </c:pt>
                  <c:pt idx="504">
                    <c:v>T007</c:v>
                  </c:pt>
                  <c:pt idx="505">
                    <c:v>T008</c:v>
                  </c:pt>
                  <c:pt idx="506">
                    <c:v>T009</c:v>
                  </c:pt>
                  <c:pt idx="507">
                    <c:v>T010</c:v>
                  </c:pt>
                  <c:pt idx="508">
                    <c:v>T011</c:v>
                  </c:pt>
                  <c:pt idx="509">
                    <c:v>T012</c:v>
                  </c:pt>
                  <c:pt idx="510">
                    <c:v>T013</c:v>
                  </c:pt>
                  <c:pt idx="511">
                    <c:v>T014</c:v>
                  </c:pt>
                  <c:pt idx="512">
                    <c:v>T015</c:v>
                  </c:pt>
                  <c:pt idx="513">
                    <c:v>T016</c:v>
                  </c:pt>
                  <c:pt idx="514">
                    <c:v>T017</c:v>
                  </c:pt>
                  <c:pt idx="515">
                    <c:v>T018</c:v>
                  </c:pt>
                  <c:pt idx="516">
                    <c:v>T019</c:v>
                  </c:pt>
                  <c:pt idx="517">
                    <c:v>T020</c:v>
                  </c:pt>
                  <c:pt idx="518">
                    <c:v>T021</c:v>
                  </c:pt>
                  <c:pt idx="519">
                    <c:v>T022</c:v>
                  </c:pt>
                  <c:pt idx="520">
                    <c:v>T023</c:v>
                  </c:pt>
                  <c:pt idx="521">
                    <c:v>T024</c:v>
                  </c:pt>
                  <c:pt idx="522">
                    <c:v>T001</c:v>
                  </c:pt>
                  <c:pt idx="523">
                    <c:v>T002</c:v>
                  </c:pt>
                  <c:pt idx="524">
                    <c:v>T003</c:v>
                  </c:pt>
                  <c:pt idx="525">
                    <c:v>T004</c:v>
                  </c:pt>
                  <c:pt idx="526">
                    <c:v>T005</c:v>
                  </c:pt>
                  <c:pt idx="527">
                    <c:v>T006</c:v>
                  </c:pt>
                  <c:pt idx="528">
                    <c:v>T007</c:v>
                  </c:pt>
                  <c:pt idx="529">
                    <c:v>T008</c:v>
                  </c:pt>
                  <c:pt idx="530">
                    <c:v>T009</c:v>
                  </c:pt>
                  <c:pt idx="531">
                    <c:v>T010</c:v>
                  </c:pt>
                  <c:pt idx="532">
                    <c:v>T011</c:v>
                  </c:pt>
                  <c:pt idx="533">
                    <c:v>T012</c:v>
                  </c:pt>
                  <c:pt idx="534">
                    <c:v>T013</c:v>
                  </c:pt>
                  <c:pt idx="535">
                    <c:v>T014</c:v>
                  </c:pt>
                  <c:pt idx="536">
                    <c:v>T015</c:v>
                  </c:pt>
                  <c:pt idx="537">
                    <c:v>T016</c:v>
                  </c:pt>
                  <c:pt idx="538">
                    <c:v>T017</c:v>
                  </c:pt>
                  <c:pt idx="539">
                    <c:v>T018</c:v>
                  </c:pt>
                  <c:pt idx="540">
                    <c:v>T019</c:v>
                  </c:pt>
                  <c:pt idx="541">
                    <c:v>T020</c:v>
                  </c:pt>
                  <c:pt idx="542">
                    <c:v>T021</c:v>
                  </c:pt>
                  <c:pt idx="543">
                    <c:v>T022</c:v>
                  </c:pt>
                  <c:pt idx="544">
                    <c:v>T023</c:v>
                  </c:pt>
                  <c:pt idx="545">
                    <c:v>T024</c:v>
                  </c:pt>
                  <c:pt idx="546">
                    <c:v>T001</c:v>
                  </c:pt>
                  <c:pt idx="547">
                    <c:v>T002</c:v>
                  </c:pt>
                  <c:pt idx="548">
                    <c:v>T003</c:v>
                  </c:pt>
                  <c:pt idx="549">
                    <c:v>T004</c:v>
                  </c:pt>
                  <c:pt idx="550">
                    <c:v>T005</c:v>
                  </c:pt>
                  <c:pt idx="551">
                    <c:v>T006</c:v>
                  </c:pt>
                  <c:pt idx="552">
                    <c:v>T007</c:v>
                  </c:pt>
                  <c:pt idx="553">
                    <c:v>T008</c:v>
                  </c:pt>
                  <c:pt idx="554">
                    <c:v>T009</c:v>
                  </c:pt>
                  <c:pt idx="555">
                    <c:v>T010</c:v>
                  </c:pt>
                  <c:pt idx="556">
                    <c:v>T011</c:v>
                  </c:pt>
                  <c:pt idx="557">
                    <c:v>T012</c:v>
                  </c:pt>
                  <c:pt idx="558">
                    <c:v>T013</c:v>
                  </c:pt>
                  <c:pt idx="559">
                    <c:v>T014</c:v>
                  </c:pt>
                  <c:pt idx="560">
                    <c:v>T015</c:v>
                  </c:pt>
                  <c:pt idx="561">
                    <c:v>T016</c:v>
                  </c:pt>
                  <c:pt idx="562">
                    <c:v>T017</c:v>
                  </c:pt>
                  <c:pt idx="563">
                    <c:v>T018</c:v>
                  </c:pt>
                  <c:pt idx="564">
                    <c:v>T019</c:v>
                  </c:pt>
                  <c:pt idx="565">
                    <c:v>T020</c:v>
                  </c:pt>
                  <c:pt idx="566">
                    <c:v>T021</c:v>
                  </c:pt>
                  <c:pt idx="567">
                    <c:v>T022</c:v>
                  </c:pt>
                  <c:pt idx="568">
                    <c:v>T023</c:v>
                  </c:pt>
                  <c:pt idx="569">
                    <c:v>T024</c:v>
                  </c:pt>
                  <c:pt idx="570">
                    <c:v>T001</c:v>
                  </c:pt>
                  <c:pt idx="571">
                    <c:v>T002</c:v>
                  </c:pt>
                  <c:pt idx="572">
                    <c:v>T003</c:v>
                  </c:pt>
                  <c:pt idx="573">
                    <c:v>T004</c:v>
                  </c:pt>
                  <c:pt idx="574">
                    <c:v>T005</c:v>
                  </c:pt>
                  <c:pt idx="575">
                    <c:v>T006</c:v>
                  </c:pt>
                  <c:pt idx="576">
                    <c:v>T007</c:v>
                  </c:pt>
                  <c:pt idx="577">
                    <c:v>T008</c:v>
                  </c:pt>
                  <c:pt idx="578">
                    <c:v>T009</c:v>
                  </c:pt>
                  <c:pt idx="579">
                    <c:v>T010</c:v>
                  </c:pt>
                  <c:pt idx="580">
                    <c:v>T011</c:v>
                  </c:pt>
                  <c:pt idx="581">
                    <c:v>T012</c:v>
                  </c:pt>
                  <c:pt idx="582">
                    <c:v>T013</c:v>
                  </c:pt>
                  <c:pt idx="583">
                    <c:v>T014</c:v>
                  </c:pt>
                  <c:pt idx="584">
                    <c:v>T015</c:v>
                  </c:pt>
                  <c:pt idx="585">
                    <c:v>T016</c:v>
                  </c:pt>
                  <c:pt idx="586">
                    <c:v>T017</c:v>
                  </c:pt>
                  <c:pt idx="587">
                    <c:v>T018</c:v>
                  </c:pt>
                  <c:pt idx="588">
                    <c:v>T019</c:v>
                  </c:pt>
                  <c:pt idx="589">
                    <c:v>T020</c:v>
                  </c:pt>
                  <c:pt idx="590">
                    <c:v>T021</c:v>
                  </c:pt>
                  <c:pt idx="591">
                    <c:v>T022</c:v>
                  </c:pt>
                  <c:pt idx="592">
                    <c:v>T023</c:v>
                  </c:pt>
                  <c:pt idx="593">
                    <c:v>T024</c:v>
                  </c:pt>
                  <c:pt idx="594">
                    <c:v>T001</c:v>
                  </c:pt>
                  <c:pt idx="595">
                    <c:v>T002</c:v>
                  </c:pt>
                  <c:pt idx="596">
                    <c:v>T003</c:v>
                  </c:pt>
                  <c:pt idx="597">
                    <c:v>T004</c:v>
                  </c:pt>
                  <c:pt idx="598">
                    <c:v>T005</c:v>
                  </c:pt>
                  <c:pt idx="599">
                    <c:v>T006</c:v>
                  </c:pt>
                  <c:pt idx="600">
                    <c:v>T007</c:v>
                  </c:pt>
                  <c:pt idx="601">
                    <c:v>T008</c:v>
                  </c:pt>
                  <c:pt idx="602">
                    <c:v>T009</c:v>
                  </c:pt>
                  <c:pt idx="603">
                    <c:v>T010</c:v>
                  </c:pt>
                  <c:pt idx="604">
                    <c:v>T011</c:v>
                  </c:pt>
                  <c:pt idx="605">
                    <c:v>T012</c:v>
                  </c:pt>
                  <c:pt idx="606">
                    <c:v>T013</c:v>
                  </c:pt>
                  <c:pt idx="607">
                    <c:v>T014</c:v>
                  </c:pt>
                  <c:pt idx="608">
                    <c:v>T015</c:v>
                  </c:pt>
                  <c:pt idx="609">
                    <c:v>T016</c:v>
                  </c:pt>
                  <c:pt idx="610">
                    <c:v>T017</c:v>
                  </c:pt>
                  <c:pt idx="611">
                    <c:v>T018</c:v>
                  </c:pt>
                  <c:pt idx="612">
                    <c:v>T019</c:v>
                  </c:pt>
                  <c:pt idx="613">
                    <c:v>T020</c:v>
                  </c:pt>
                  <c:pt idx="614">
                    <c:v>T021</c:v>
                  </c:pt>
                  <c:pt idx="615">
                    <c:v>T022</c:v>
                  </c:pt>
                  <c:pt idx="616">
                    <c:v>T023</c:v>
                  </c:pt>
                  <c:pt idx="617">
                    <c:v>T024</c:v>
                  </c:pt>
                  <c:pt idx="618">
                    <c:v>T001</c:v>
                  </c:pt>
                  <c:pt idx="619">
                    <c:v>T002</c:v>
                  </c:pt>
                  <c:pt idx="620">
                    <c:v>T003</c:v>
                  </c:pt>
                  <c:pt idx="621">
                    <c:v>T004</c:v>
                  </c:pt>
                  <c:pt idx="622">
                    <c:v>T005</c:v>
                  </c:pt>
                  <c:pt idx="623">
                    <c:v>T006</c:v>
                  </c:pt>
                  <c:pt idx="624">
                    <c:v>T007</c:v>
                  </c:pt>
                  <c:pt idx="625">
                    <c:v>T008</c:v>
                  </c:pt>
                  <c:pt idx="626">
                    <c:v>T009</c:v>
                  </c:pt>
                  <c:pt idx="627">
                    <c:v>T010</c:v>
                  </c:pt>
                  <c:pt idx="628">
                    <c:v>T011</c:v>
                  </c:pt>
                  <c:pt idx="629">
                    <c:v>T012</c:v>
                  </c:pt>
                  <c:pt idx="630">
                    <c:v>T013</c:v>
                  </c:pt>
                  <c:pt idx="631">
                    <c:v>T014</c:v>
                  </c:pt>
                  <c:pt idx="632">
                    <c:v>T015</c:v>
                  </c:pt>
                  <c:pt idx="633">
                    <c:v>T016</c:v>
                  </c:pt>
                  <c:pt idx="634">
                    <c:v>T017</c:v>
                  </c:pt>
                  <c:pt idx="635">
                    <c:v>T018</c:v>
                  </c:pt>
                  <c:pt idx="636">
                    <c:v>T019</c:v>
                  </c:pt>
                  <c:pt idx="637">
                    <c:v>T020</c:v>
                  </c:pt>
                  <c:pt idx="638">
                    <c:v>T021</c:v>
                  </c:pt>
                  <c:pt idx="639">
                    <c:v>T022</c:v>
                  </c:pt>
                  <c:pt idx="640">
                    <c:v>T023</c:v>
                  </c:pt>
                  <c:pt idx="641">
                    <c:v>T024</c:v>
                  </c:pt>
                  <c:pt idx="642">
                    <c:v>T005</c:v>
                  </c:pt>
                  <c:pt idx="643">
                    <c:v>T006</c:v>
                  </c:pt>
                  <c:pt idx="644">
                    <c:v>T007</c:v>
                  </c:pt>
                  <c:pt idx="645">
                    <c:v>T008</c:v>
                  </c:pt>
                  <c:pt idx="646">
                    <c:v>T009</c:v>
                  </c:pt>
                  <c:pt idx="647">
                    <c:v>T010</c:v>
                  </c:pt>
                  <c:pt idx="648">
                    <c:v>T011</c:v>
                  </c:pt>
                  <c:pt idx="649">
                    <c:v>T013</c:v>
                  </c:pt>
                  <c:pt idx="650">
                    <c:v>T014</c:v>
                  </c:pt>
                  <c:pt idx="651">
                    <c:v>T015</c:v>
                  </c:pt>
                  <c:pt idx="652">
                    <c:v>T016</c:v>
                  </c:pt>
                  <c:pt idx="653">
                    <c:v>T017</c:v>
                  </c:pt>
                  <c:pt idx="654">
                    <c:v>T019</c:v>
                  </c:pt>
                  <c:pt idx="655">
                    <c:v>T020</c:v>
                  </c:pt>
                  <c:pt idx="656">
                    <c:v>T001</c:v>
                  </c:pt>
                  <c:pt idx="657">
                    <c:v>T002</c:v>
                  </c:pt>
                  <c:pt idx="658">
                    <c:v>T003</c:v>
                  </c:pt>
                  <c:pt idx="659">
                    <c:v>T004</c:v>
                  </c:pt>
                  <c:pt idx="660">
                    <c:v>T005</c:v>
                  </c:pt>
                  <c:pt idx="661">
                    <c:v>T006</c:v>
                  </c:pt>
                  <c:pt idx="662">
                    <c:v>T007</c:v>
                  </c:pt>
                  <c:pt idx="663">
                    <c:v>T008</c:v>
                  </c:pt>
                  <c:pt idx="664">
                    <c:v>T009</c:v>
                  </c:pt>
                  <c:pt idx="665">
                    <c:v>T010</c:v>
                  </c:pt>
                  <c:pt idx="666">
                    <c:v>T011</c:v>
                  </c:pt>
                  <c:pt idx="667">
                    <c:v>T012</c:v>
                  </c:pt>
                  <c:pt idx="668">
                    <c:v>T013</c:v>
                  </c:pt>
                  <c:pt idx="669">
                    <c:v>T014</c:v>
                  </c:pt>
                  <c:pt idx="670">
                    <c:v>T015</c:v>
                  </c:pt>
                  <c:pt idx="671">
                    <c:v>T016</c:v>
                  </c:pt>
                  <c:pt idx="672">
                    <c:v>T017</c:v>
                  </c:pt>
                  <c:pt idx="673">
                    <c:v>T018</c:v>
                  </c:pt>
                  <c:pt idx="674">
                    <c:v>T019</c:v>
                  </c:pt>
                  <c:pt idx="675">
                    <c:v>T020</c:v>
                  </c:pt>
                  <c:pt idx="676">
                    <c:v>T021</c:v>
                  </c:pt>
                  <c:pt idx="677">
                    <c:v>T022</c:v>
                  </c:pt>
                  <c:pt idx="678">
                    <c:v>T023</c:v>
                  </c:pt>
                  <c:pt idx="679">
                    <c:v>T024</c:v>
                  </c:pt>
                  <c:pt idx="680">
                    <c:v>T001</c:v>
                  </c:pt>
                  <c:pt idx="681">
                    <c:v>T002</c:v>
                  </c:pt>
                  <c:pt idx="682">
                    <c:v>T003</c:v>
                  </c:pt>
                  <c:pt idx="683">
                    <c:v>T004</c:v>
                  </c:pt>
                  <c:pt idx="684">
                    <c:v>T005</c:v>
                  </c:pt>
                  <c:pt idx="685">
                    <c:v>T006</c:v>
                  </c:pt>
                  <c:pt idx="686">
                    <c:v>T007</c:v>
                  </c:pt>
                  <c:pt idx="687">
                    <c:v>T008</c:v>
                  </c:pt>
                  <c:pt idx="688">
                    <c:v>T009</c:v>
                  </c:pt>
                  <c:pt idx="689">
                    <c:v>T010</c:v>
                  </c:pt>
                  <c:pt idx="690">
                    <c:v>T011</c:v>
                  </c:pt>
                  <c:pt idx="691">
                    <c:v>T012</c:v>
                  </c:pt>
                  <c:pt idx="692">
                    <c:v>T013</c:v>
                  </c:pt>
                  <c:pt idx="693">
                    <c:v>T014</c:v>
                  </c:pt>
                  <c:pt idx="694">
                    <c:v>T015</c:v>
                  </c:pt>
                  <c:pt idx="695">
                    <c:v>T016</c:v>
                  </c:pt>
                  <c:pt idx="696">
                    <c:v>T017</c:v>
                  </c:pt>
                  <c:pt idx="697">
                    <c:v>T018</c:v>
                  </c:pt>
                  <c:pt idx="698">
                    <c:v>T019</c:v>
                  </c:pt>
                  <c:pt idx="699">
                    <c:v>T020</c:v>
                  </c:pt>
                  <c:pt idx="700">
                    <c:v>T021</c:v>
                  </c:pt>
                  <c:pt idx="701">
                    <c:v>T022</c:v>
                  </c:pt>
                  <c:pt idx="702">
                    <c:v>T023</c:v>
                  </c:pt>
                  <c:pt idx="703">
                    <c:v>T024</c:v>
                  </c:pt>
                  <c:pt idx="704">
                    <c:v>T001</c:v>
                  </c:pt>
                  <c:pt idx="705">
                    <c:v>T002</c:v>
                  </c:pt>
                  <c:pt idx="706">
                    <c:v>T003</c:v>
                  </c:pt>
                  <c:pt idx="707">
                    <c:v>T004</c:v>
                  </c:pt>
                  <c:pt idx="708">
                    <c:v>T005</c:v>
                  </c:pt>
                  <c:pt idx="709">
                    <c:v>T006</c:v>
                  </c:pt>
                  <c:pt idx="710">
                    <c:v>T007</c:v>
                  </c:pt>
                  <c:pt idx="711">
                    <c:v>T008</c:v>
                  </c:pt>
                  <c:pt idx="712">
                    <c:v>T009</c:v>
                  </c:pt>
                  <c:pt idx="713">
                    <c:v>T010</c:v>
                  </c:pt>
                  <c:pt idx="714">
                    <c:v>T011</c:v>
                  </c:pt>
                  <c:pt idx="715">
                    <c:v>T012</c:v>
                  </c:pt>
                  <c:pt idx="716">
                    <c:v>T013</c:v>
                  </c:pt>
                  <c:pt idx="717">
                    <c:v>T014</c:v>
                  </c:pt>
                  <c:pt idx="718">
                    <c:v>T015</c:v>
                  </c:pt>
                  <c:pt idx="719">
                    <c:v>T016</c:v>
                  </c:pt>
                  <c:pt idx="720">
                    <c:v>T017</c:v>
                  </c:pt>
                  <c:pt idx="721">
                    <c:v>T018</c:v>
                  </c:pt>
                  <c:pt idx="722">
                    <c:v>T019</c:v>
                  </c:pt>
                  <c:pt idx="723">
                    <c:v>T020</c:v>
                  </c:pt>
                  <c:pt idx="724">
                    <c:v>T021</c:v>
                  </c:pt>
                  <c:pt idx="725">
                    <c:v>T022</c:v>
                  </c:pt>
                  <c:pt idx="726">
                    <c:v>T023</c:v>
                  </c:pt>
                  <c:pt idx="727">
                    <c:v>T024</c:v>
                  </c:pt>
                  <c:pt idx="728">
                    <c:v>T001</c:v>
                  </c:pt>
                  <c:pt idx="729">
                    <c:v>T002</c:v>
                  </c:pt>
                  <c:pt idx="730">
                    <c:v>T003</c:v>
                  </c:pt>
                  <c:pt idx="731">
                    <c:v>T004</c:v>
                  </c:pt>
                  <c:pt idx="732">
                    <c:v>T005</c:v>
                  </c:pt>
                  <c:pt idx="733">
                    <c:v>T006</c:v>
                  </c:pt>
                  <c:pt idx="734">
                    <c:v>T007</c:v>
                  </c:pt>
                  <c:pt idx="735">
                    <c:v>T008</c:v>
                  </c:pt>
                  <c:pt idx="736">
                    <c:v>T009</c:v>
                  </c:pt>
                  <c:pt idx="737">
                    <c:v>T010</c:v>
                  </c:pt>
                  <c:pt idx="738">
                    <c:v>T011</c:v>
                  </c:pt>
                  <c:pt idx="739">
                    <c:v>T012</c:v>
                  </c:pt>
                  <c:pt idx="740">
                    <c:v>T013</c:v>
                  </c:pt>
                  <c:pt idx="741">
                    <c:v>T014</c:v>
                  </c:pt>
                  <c:pt idx="742">
                    <c:v>T015</c:v>
                  </c:pt>
                  <c:pt idx="743">
                    <c:v>T016</c:v>
                  </c:pt>
                  <c:pt idx="744">
                    <c:v>T017</c:v>
                  </c:pt>
                  <c:pt idx="745">
                    <c:v>T018</c:v>
                  </c:pt>
                  <c:pt idx="746">
                    <c:v>T019</c:v>
                  </c:pt>
                  <c:pt idx="747">
                    <c:v>T020</c:v>
                  </c:pt>
                  <c:pt idx="748">
                    <c:v>T021</c:v>
                  </c:pt>
                  <c:pt idx="749">
                    <c:v>T022</c:v>
                  </c:pt>
                  <c:pt idx="750">
                    <c:v>T023</c:v>
                  </c:pt>
                  <c:pt idx="751">
                    <c:v>T024</c:v>
                  </c:pt>
                  <c:pt idx="752">
                    <c:v>T001</c:v>
                  </c:pt>
                  <c:pt idx="753">
                    <c:v>T002</c:v>
                  </c:pt>
                  <c:pt idx="754">
                    <c:v>T003</c:v>
                  </c:pt>
                  <c:pt idx="755">
                    <c:v>T004</c:v>
                  </c:pt>
                  <c:pt idx="756">
                    <c:v>T005</c:v>
                  </c:pt>
                  <c:pt idx="757">
                    <c:v>T006</c:v>
                  </c:pt>
                  <c:pt idx="758">
                    <c:v>T007</c:v>
                  </c:pt>
                  <c:pt idx="759">
                    <c:v>T008</c:v>
                  </c:pt>
                  <c:pt idx="760">
                    <c:v>T009</c:v>
                  </c:pt>
                  <c:pt idx="761">
                    <c:v>T010</c:v>
                  </c:pt>
                  <c:pt idx="762">
                    <c:v>T011</c:v>
                  </c:pt>
                  <c:pt idx="763">
                    <c:v>T012</c:v>
                  </c:pt>
                  <c:pt idx="764">
                    <c:v>T013</c:v>
                  </c:pt>
                  <c:pt idx="765">
                    <c:v>T014</c:v>
                  </c:pt>
                  <c:pt idx="766">
                    <c:v>T015</c:v>
                  </c:pt>
                  <c:pt idx="767">
                    <c:v>T016</c:v>
                  </c:pt>
                  <c:pt idx="768">
                    <c:v>T017</c:v>
                  </c:pt>
                  <c:pt idx="769">
                    <c:v>T018</c:v>
                  </c:pt>
                  <c:pt idx="770">
                    <c:v>T019</c:v>
                  </c:pt>
                  <c:pt idx="771">
                    <c:v>T020</c:v>
                  </c:pt>
                  <c:pt idx="772">
                    <c:v>T021</c:v>
                  </c:pt>
                  <c:pt idx="773">
                    <c:v>T022</c:v>
                  </c:pt>
                  <c:pt idx="774">
                    <c:v>T023</c:v>
                  </c:pt>
                  <c:pt idx="775">
                    <c:v>T024</c:v>
                  </c:pt>
                  <c:pt idx="776">
                    <c:v>T001</c:v>
                  </c:pt>
                  <c:pt idx="777">
                    <c:v>T002</c:v>
                  </c:pt>
                  <c:pt idx="778">
                    <c:v>T003</c:v>
                  </c:pt>
                  <c:pt idx="779">
                    <c:v>T004</c:v>
                  </c:pt>
                  <c:pt idx="780">
                    <c:v>T005</c:v>
                  </c:pt>
                  <c:pt idx="781">
                    <c:v>T006</c:v>
                  </c:pt>
                  <c:pt idx="782">
                    <c:v>T007</c:v>
                  </c:pt>
                  <c:pt idx="783">
                    <c:v>T008</c:v>
                  </c:pt>
                  <c:pt idx="784">
                    <c:v>T009</c:v>
                  </c:pt>
                  <c:pt idx="785">
                    <c:v>T010</c:v>
                  </c:pt>
                  <c:pt idx="786">
                    <c:v>T011</c:v>
                  </c:pt>
                  <c:pt idx="787">
                    <c:v>T012</c:v>
                  </c:pt>
                  <c:pt idx="788">
                    <c:v>T013</c:v>
                  </c:pt>
                  <c:pt idx="789">
                    <c:v>T014</c:v>
                  </c:pt>
                  <c:pt idx="790">
                    <c:v>T015</c:v>
                  </c:pt>
                  <c:pt idx="791">
                    <c:v>T016</c:v>
                  </c:pt>
                  <c:pt idx="792">
                    <c:v>T017</c:v>
                  </c:pt>
                  <c:pt idx="793">
                    <c:v>T018</c:v>
                  </c:pt>
                  <c:pt idx="794">
                    <c:v>T019</c:v>
                  </c:pt>
                  <c:pt idx="795">
                    <c:v>T020</c:v>
                  </c:pt>
                  <c:pt idx="796">
                    <c:v>T021</c:v>
                  </c:pt>
                  <c:pt idx="797">
                    <c:v>T022</c:v>
                  </c:pt>
                  <c:pt idx="798">
                    <c:v>T023</c:v>
                  </c:pt>
                  <c:pt idx="799">
                    <c:v>T024</c:v>
                  </c:pt>
                  <c:pt idx="800">
                    <c:v>T001</c:v>
                  </c:pt>
                  <c:pt idx="801">
                    <c:v>T002</c:v>
                  </c:pt>
                  <c:pt idx="802">
                    <c:v>T003</c:v>
                  </c:pt>
                  <c:pt idx="803">
                    <c:v>T004</c:v>
                  </c:pt>
                  <c:pt idx="804">
                    <c:v>T005</c:v>
                  </c:pt>
                  <c:pt idx="805">
                    <c:v>T006</c:v>
                  </c:pt>
                  <c:pt idx="806">
                    <c:v>T007</c:v>
                  </c:pt>
                  <c:pt idx="807">
                    <c:v>T008</c:v>
                  </c:pt>
                  <c:pt idx="808">
                    <c:v>T009</c:v>
                  </c:pt>
                  <c:pt idx="809">
                    <c:v>T010</c:v>
                  </c:pt>
                  <c:pt idx="810">
                    <c:v>T011</c:v>
                  </c:pt>
                  <c:pt idx="811">
                    <c:v>T012</c:v>
                  </c:pt>
                  <c:pt idx="812">
                    <c:v>T013</c:v>
                  </c:pt>
                  <c:pt idx="813">
                    <c:v>T014</c:v>
                  </c:pt>
                  <c:pt idx="814">
                    <c:v>T015</c:v>
                  </c:pt>
                  <c:pt idx="815">
                    <c:v>T016</c:v>
                  </c:pt>
                  <c:pt idx="816">
                    <c:v>T017</c:v>
                  </c:pt>
                  <c:pt idx="817">
                    <c:v>T018</c:v>
                  </c:pt>
                  <c:pt idx="818">
                    <c:v>T019</c:v>
                  </c:pt>
                  <c:pt idx="819">
                    <c:v>T020</c:v>
                  </c:pt>
                  <c:pt idx="820">
                    <c:v>T021</c:v>
                  </c:pt>
                  <c:pt idx="821">
                    <c:v>T022</c:v>
                  </c:pt>
                  <c:pt idx="822">
                    <c:v>T023</c:v>
                  </c:pt>
                  <c:pt idx="823">
                    <c:v>T024</c:v>
                  </c:pt>
                  <c:pt idx="824">
                    <c:v>T001</c:v>
                  </c:pt>
                  <c:pt idx="825">
                    <c:v>T002</c:v>
                  </c:pt>
                  <c:pt idx="826">
                    <c:v>T003</c:v>
                  </c:pt>
                  <c:pt idx="827">
                    <c:v>T004</c:v>
                  </c:pt>
                  <c:pt idx="828">
                    <c:v>T005</c:v>
                  </c:pt>
                  <c:pt idx="829">
                    <c:v>T006</c:v>
                  </c:pt>
                  <c:pt idx="830">
                    <c:v>T007</c:v>
                  </c:pt>
                  <c:pt idx="831">
                    <c:v>T008</c:v>
                  </c:pt>
                  <c:pt idx="832">
                    <c:v>T009</c:v>
                  </c:pt>
                  <c:pt idx="833">
                    <c:v>T010</c:v>
                  </c:pt>
                  <c:pt idx="834">
                    <c:v>T011</c:v>
                  </c:pt>
                  <c:pt idx="835">
                    <c:v>T012</c:v>
                  </c:pt>
                  <c:pt idx="836">
                    <c:v>T013</c:v>
                  </c:pt>
                  <c:pt idx="837">
                    <c:v>T014</c:v>
                  </c:pt>
                  <c:pt idx="838">
                    <c:v>T015</c:v>
                  </c:pt>
                  <c:pt idx="839">
                    <c:v>T016</c:v>
                  </c:pt>
                  <c:pt idx="840">
                    <c:v>T017</c:v>
                  </c:pt>
                  <c:pt idx="841">
                    <c:v>T018</c:v>
                  </c:pt>
                  <c:pt idx="842">
                    <c:v>T019</c:v>
                  </c:pt>
                  <c:pt idx="843">
                    <c:v>T020</c:v>
                  </c:pt>
                  <c:pt idx="844">
                    <c:v>T021</c:v>
                  </c:pt>
                  <c:pt idx="845">
                    <c:v>T022</c:v>
                  </c:pt>
                  <c:pt idx="846">
                    <c:v>T023</c:v>
                  </c:pt>
                  <c:pt idx="847">
                    <c:v>T024</c:v>
                  </c:pt>
                  <c:pt idx="848">
                    <c:v>T008</c:v>
                  </c:pt>
                  <c:pt idx="849">
                    <c:v>T009</c:v>
                  </c:pt>
                  <c:pt idx="850">
                    <c:v>T010</c:v>
                  </c:pt>
                  <c:pt idx="851">
                    <c:v>T011</c:v>
                  </c:pt>
                  <c:pt idx="852">
                    <c:v>T012</c:v>
                  </c:pt>
                  <c:pt idx="853">
                    <c:v>T013</c:v>
                  </c:pt>
                  <c:pt idx="854">
                    <c:v>T014</c:v>
                  </c:pt>
                  <c:pt idx="855">
                    <c:v>T015</c:v>
                  </c:pt>
                  <c:pt idx="856">
                    <c:v>T016</c:v>
                  </c:pt>
                  <c:pt idx="857">
                    <c:v>T017</c:v>
                  </c:pt>
                  <c:pt idx="858">
                    <c:v>T018</c:v>
                  </c:pt>
                  <c:pt idx="859">
                    <c:v>T019</c:v>
                  </c:pt>
                  <c:pt idx="860">
                    <c:v>T020</c:v>
                  </c:pt>
                  <c:pt idx="861">
                    <c:v>T021</c:v>
                  </c:pt>
                  <c:pt idx="862">
                    <c:v>T001</c:v>
                  </c:pt>
                  <c:pt idx="863">
                    <c:v>T002</c:v>
                  </c:pt>
                  <c:pt idx="864">
                    <c:v>T003</c:v>
                  </c:pt>
                  <c:pt idx="865">
                    <c:v>T004</c:v>
                  </c:pt>
                  <c:pt idx="866">
                    <c:v>T005</c:v>
                  </c:pt>
                  <c:pt idx="867">
                    <c:v>T006</c:v>
                  </c:pt>
                  <c:pt idx="868">
                    <c:v>T007</c:v>
                  </c:pt>
                  <c:pt idx="869">
                    <c:v>T008</c:v>
                  </c:pt>
                  <c:pt idx="870">
                    <c:v>T009</c:v>
                  </c:pt>
                  <c:pt idx="871">
                    <c:v>T010</c:v>
                  </c:pt>
                  <c:pt idx="872">
                    <c:v>T011</c:v>
                  </c:pt>
                  <c:pt idx="873">
                    <c:v>T012</c:v>
                  </c:pt>
                  <c:pt idx="874">
                    <c:v>T013</c:v>
                  </c:pt>
                  <c:pt idx="875">
                    <c:v>T014</c:v>
                  </c:pt>
                  <c:pt idx="876">
                    <c:v>T015</c:v>
                  </c:pt>
                  <c:pt idx="877">
                    <c:v>T016</c:v>
                  </c:pt>
                  <c:pt idx="878">
                    <c:v>T017</c:v>
                  </c:pt>
                  <c:pt idx="879">
                    <c:v>T018</c:v>
                  </c:pt>
                  <c:pt idx="880">
                    <c:v>T019</c:v>
                  </c:pt>
                  <c:pt idx="881">
                    <c:v>T020</c:v>
                  </c:pt>
                  <c:pt idx="882">
                    <c:v>T021</c:v>
                  </c:pt>
                  <c:pt idx="883">
                    <c:v>T022</c:v>
                  </c:pt>
                  <c:pt idx="884">
                    <c:v>T023</c:v>
                  </c:pt>
                  <c:pt idx="885">
                    <c:v>T024</c:v>
                  </c:pt>
                  <c:pt idx="886">
                    <c:v>T019</c:v>
                  </c:pt>
                  <c:pt idx="887">
                    <c:v>T020</c:v>
                  </c:pt>
                  <c:pt idx="888">
                    <c:v>T021</c:v>
                  </c:pt>
                  <c:pt idx="889">
                    <c:v>T022</c:v>
                  </c:pt>
                  <c:pt idx="890">
                    <c:v>T001</c:v>
                  </c:pt>
                  <c:pt idx="891">
                    <c:v>T002</c:v>
                  </c:pt>
                  <c:pt idx="892">
                    <c:v>T003</c:v>
                  </c:pt>
                  <c:pt idx="893">
                    <c:v>T004</c:v>
                  </c:pt>
                  <c:pt idx="894">
                    <c:v>T005</c:v>
                  </c:pt>
                  <c:pt idx="895">
                    <c:v>T006</c:v>
                  </c:pt>
                  <c:pt idx="896">
                    <c:v>T007</c:v>
                  </c:pt>
                  <c:pt idx="897">
                    <c:v>T008</c:v>
                  </c:pt>
                  <c:pt idx="898">
                    <c:v>T009</c:v>
                  </c:pt>
                  <c:pt idx="899">
                    <c:v>T010</c:v>
                  </c:pt>
                  <c:pt idx="900">
                    <c:v>T011</c:v>
                  </c:pt>
                  <c:pt idx="901">
                    <c:v>T012</c:v>
                  </c:pt>
                  <c:pt idx="902">
                    <c:v>T013</c:v>
                  </c:pt>
                  <c:pt idx="903">
                    <c:v>T014</c:v>
                  </c:pt>
                  <c:pt idx="904">
                    <c:v>T015</c:v>
                  </c:pt>
                  <c:pt idx="905">
                    <c:v>T016</c:v>
                  </c:pt>
                  <c:pt idx="906">
                    <c:v>T017</c:v>
                  </c:pt>
                  <c:pt idx="907">
                    <c:v>T018</c:v>
                  </c:pt>
                  <c:pt idx="908">
                    <c:v>T019</c:v>
                  </c:pt>
                  <c:pt idx="909">
                    <c:v>T020</c:v>
                  </c:pt>
                  <c:pt idx="910">
                    <c:v>T021</c:v>
                  </c:pt>
                  <c:pt idx="911">
                    <c:v>T022</c:v>
                  </c:pt>
                  <c:pt idx="912">
                    <c:v>T023</c:v>
                  </c:pt>
                  <c:pt idx="913">
                    <c:v>T024</c:v>
                  </c:pt>
                  <c:pt idx="914">
                    <c:v>T001</c:v>
                  </c:pt>
                  <c:pt idx="915">
                    <c:v>T002</c:v>
                  </c:pt>
                  <c:pt idx="916">
                    <c:v>T003</c:v>
                  </c:pt>
                  <c:pt idx="917">
                    <c:v>T004</c:v>
                  </c:pt>
                  <c:pt idx="918">
                    <c:v>T005</c:v>
                  </c:pt>
                  <c:pt idx="919">
                    <c:v>T006</c:v>
                  </c:pt>
                  <c:pt idx="920">
                    <c:v>T007</c:v>
                  </c:pt>
                  <c:pt idx="921">
                    <c:v>T008</c:v>
                  </c:pt>
                  <c:pt idx="922">
                    <c:v>T009</c:v>
                  </c:pt>
                  <c:pt idx="923">
                    <c:v>T010</c:v>
                  </c:pt>
                  <c:pt idx="924">
                    <c:v>T011</c:v>
                  </c:pt>
                  <c:pt idx="925">
                    <c:v>T012</c:v>
                  </c:pt>
                  <c:pt idx="926">
                    <c:v>T013</c:v>
                  </c:pt>
                  <c:pt idx="927">
                    <c:v>T014</c:v>
                  </c:pt>
                  <c:pt idx="928">
                    <c:v>T015</c:v>
                  </c:pt>
                  <c:pt idx="929">
                    <c:v>T016</c:v>
                  </c:pt>
                  <c:pt idx="930">
                    <c:v>T017</c:v>
                  </c:pt>
                  <c:pt idx="931">
                    <c:v>T018</c:v>
                  </c:pt>
                  <c:pt idx="932">
                    <c:v>T019</c:v>
                  </c:pt>
                  <c:pt idx="933">
                    <c:v>T020</c:v>
                  </c:pt>
                  <c:pt idx="934">
                    <c:v>T021</c:v>
                  </c:pt>
                  <c:pt idx="935">
                    <c:v>T022</c:v>
                  </c:pt>
                  <c:pt idx="936">
                    <c:v>T023</c:v>
                  </c:pt>
                  <c:pt idx="937">
                    <c:v>T024</c:v>
                  </c:pt>
                  <c:pt idx="938">
                    <c:v>T001</c:v>
                  </c:pt>
                  <c:pt idx="939">
                    <c:v>T002</c:v>
                  </c:pt>
                  <c:pt idx="940">
                    <c:v>T003</c:v>
                  </c:pt>
                  <c:pt idx="941">
                    <c:v>T004</c:v>
                  </c:pt>
                  <c:pt idx="942">
                    <c:v>T005</c:v>
                  </c:pt>
                  <c:pt idx="943">
                    <c:v>T006</c:v>
                  </c:pt>
                  <c:pt idx="944">
                    <c:v>T007</c:v>
                  </c:pt>
                  <c:pt idx="945">
                    <c:v>T008</c:v>
                  </c:pt>
                  <c:pt idx="946">
                    <c:v>T009</c:v>
                  </c:pt>
                  <c:pt idx="947">
                    <c:v>T010</c:v>
                  </c:pt>
                  <c:pt idx="948">
                    <c:v>T011</c:v>
                  </c:pt>
                  <c:pt idx="949">
                    <c:v>T012</c:v>
                  </c:pt>
                  <c:pt idx="950">
                    <c:v>T013</c:v>
                  </c:pt>
                  <c:pt idx="951">
                    <c:v>T014</c:v>
                  </c:pt>
                  <c:pt idx="952">
                    <c:v>T015</c:v>
                  </c:pt>
                  <c:pt idx="953">
                    <c:v>T016</c:v>
                  </c:pt>
                  <c:pt idx="954">
                    <c:v>T017</c:v>
                  </c:pt>
                  <c:pt idx="955">
                    <c:v>T018</c:v>
                  </c:pt>
                  <c:pt idx="956">
                    <c:v>T019</c:v>
                  </c:pt>
                  <c:pt idx="957">
                    <c:v>T020</c:v>
                  </c:pt>
                  <c:pt idx="958">
                    <c:v>T021</c:v>
                  </c:pt>
                  <c:pt idx="959">
                    <c:v>T022</c:v>
                  </c:pt>
                  <c:pt idx="960">
                    <c:v>T023</c:v>
                  </c:pt>
                  <c:pt idx="961">
                    <c:v>T024</c:v>
                  </c:pt>
                  <c:pt idx="962">
                    <c:v>T001</c:v>
                  </c:pt>
                  <c:pt idx="963">
                    <c:v>T002</c:v>
                  </c:pt>
                  <c:pt idx="964">
                    <c:v>T003</c:v>
                  </c:pt>
                  <c:pt idx="965">
                    <c:v>T004</c:v>
                  </c:pt>
                  <c:pt idx="966">
                    <c:v>T005</c:v>
                  </c:pt>
                  <c:pt idx="967">
                    <c:v>T006</c:v>
                  </c:pt>
                  <c:pt idx="968">
                    <c:v>T007</c:v>
                  </c:pt>
                  <c:pt idx="969">
                    <c:v>T008</c:v>
                  </c:pt>
                  <c:pt idx="970">
                    <c:v>T009</c:v>
                  </c:pt>
                  <c:pt idx="971">
                    <c:v>T010</c:v>
                  </c:pt>
                  <c:pt idx="972">
                    <c:v>T011</c:v>
                  </c:pt>
                  <c:pt idx="973">
                    <c:v>T012</c:v>
                  </c:pt>
                  <c:pt idx="974">
                    <c:v>T013</c:v>
                  </c:pt>
                  <c:pt idx="975">
                    <c:v>T014</c:v>
                  </c:pt>
                  <c:pt idx="976">
                    <c:v>T015</c:v>
                  </c:pt>
                  <c:pt idx="977">
                    <c:v>T016</c:v>
                  </c:pt>
                  <c:pt idx="978">
                    <c:v>T017</c:v>
                  </c:pt>
                  <c:pt idx="979">
                    <c:v>T018</c:v>
                  </c:pt>
                  <c:pt idx="980">
                    <c:v>T019</c:v>
                  </c:pt>
                  <c:pt idx="981">
                    <c:v>T020</c:v>
                  </c:pt>
                  <c:pt idx="982">
                    <c:v>T021</c:v>
                  </c:pt>
                  <c:pt idx="983">
                    <c:v>T022</c:v>
                  </c:pt>
                  <c:pt idx="984">
                    <c:v>T023</c:v>
                  </c:pt>
                  <c:pt idx="985">
                    <c:v>T024</c:v>
                  </c:pt>
                  <c:pt idx="986">
                    <c:v>T001</c:v>
                  </c:pt>
                  <c:pt idx="987">
                    <c:v>T002</c:v>
                  </c:pt>
                  <c:pt idx="988">
                    <c:v>T003</c:v>
                  </c:pt>
                  <c:pt idx="989">
                    <c:v>T004</c:v>
                  </c:pt>
                  <c:pt idx="990">
                    <c:v>T005</c:v>
                  </c:pt>
                  <c:pt idx="991">
                    <c:v>T006</c:v>
                  </c:pt>
                  <c:pt idx="992">
                    <c:v>T007</c:v>
                  </c:pt>
                  <c:pt idx="993">
                    <c:v>T008</c:v>
                  </c:pt>
                  <c:pt idx="994">
                    <c:v>T009</c:v>
                  </c:pt>
                  <c:pt idx="995">
                    <c:v>T010</c:v>
                  </c:pt>
                  <c:pt idx="996">
                    <c:v>T011</c:v>
                  </c:pt>
                  <c:pt idx="997">
                    <c:v>T012</c:v>
                  </c:pt>
                  <c:pt idx="998">
                    <c:v>T013</c:v>
                  </c:pt>
                  <c:pt idx="999">
                    <c:v>T014</c:v>
                  </c:pt>
                  <c:pt idx="1000">
                    <c:v>T015</c:v>
                  </c:pt>
                  <c:pt idx="1001">
                    <c:v>T016</c:v>
                  </c:pt>
                  <c:pt idx="1002">
                    <c:v>T017</c:v>
                  </c:pt>
                  <c:pt idx="1003">
                    <c:v>T018</c:v>
                  </c:pt>
                  <c:pt idx="1004">
                    <c:v>T019</c:v>
                  </c:pt>
                  <c:pt idx="1005">
                    <c:v>T020</c:v>
                  </c:pt>
                  <c:pt idx="1006">
                    <c:v>T021</c:v>
                  </c:pt>
                  <c:pt idx="1007">
                    <c:v>T022</c:v>
                  </c:pt>
                  <c:pt idx="1008">
                    <c:v>T023</c:v>
                  </c:pt>
                  <c:pt idx="1009">
                    <c:v>T024</c:v>
                  </c:pt>
                  <c:pt idx="1010">
                    <c:v>T004</c:v>
                  </c:pt>
                  <c:pt idx="1011">
                    <c:v>T005</c:v>
                  </c:pt>
                  <c:pt idx="1012">
                    <c:v>T006</c:v>
                  </c:pt>
                  <c:pt idx="1013">
                    <c:v>T007</c:v>
                  </c:pt>
                  <c:pt idx="1014">
                    <c:v>T008</c:v>
                  </c:pt>
                  <c:pt idx="1015">
                    <c:v>T009</c:v>
                  </c:pt>
                  <c:pt idx="1016">
                    <c:v>T010</c:v>
                  </c:pt>
                  <c:pt idx="1017">
                    <c:v>T011</c:v>
                  </c:pt>
                  <c:pt idx="1018">
                    <c:v>T012</c:v>
                  </c:pt>
                  <c:pt idx="1019">
                    <c:v>T013</c:v>
                  </c:pt>
                  <c:pt idx="1020">
                    <c:v>T014</c:v>
                  </c:pt>
                  <c:pt idx="1021">
                    <c:v>T016</c:v>
                  </c:pt>
                  <c:pt idx="1022">
                    <c:v>T017</c:v>
                  </c:pt>
                  <c:pt idx="1023">
                    <c:v>T018</c:v>
                  </c:pt>
                  <c:pt idx="1024">
                    <c:v>T019</c:v>
                  </c:pt>
                  <c:pt idx="1025">
                    <c:v>T020</c:v>
                  </c:pt>
                  <c:pt idx="1026">
                    <c:v>T021</c:v>
                  </c:pt>
                  <c:pt idx="1027">
                    <c:v>T022</c:v>
                  </c:pt>
                  <c:pt idx="1028">
                    <c:v>T023</c:v>
                  </c:pt>
                  <c:pt idx="1029">
                    <c:v>T001</c:v>
                  </c:pt>
                  <c:pt idx="1030">
                    <c:v>T002</c:v>
                  </c:pt>
                  <c:pt idx="1031">
                    <c:v>T003</c:v>
                  </c:pt>
                  <c:pt idx="1032">
                    <c:v>T004</c:v>
                  </c:pt>
                  <c:pt idx="1033">
                    <c:v>T005</c:v>
                  </c:pt>
                  <c:pt idx="1034">
                    <c:v>T006</c:v>
                  </c:pt>
                  <c:pt idx="1035">
                    <c:v>T007</c:v>
                  </c:pt>
                  <c:pt idx="1036">
                    <c:v>T008</c:v>
                  </c:pt>
                  <c:pt idx="1037">
                    <c:v>T009</c:v>
                  </c:pt>
                  <c:pt idx="1038">
                    <c:v>T010</c:v>
                  </c:pt>
                  <c:pt idx="1039">
                    <c:v>T011</c:v>
                  </c:pt>
                  <c:pt idx="1040">
                    <c:v>T012</c:v>
                  </c:pt>
                  <c:pt idx="1041">
                    <c:v>T013</c:v>
                  </c:pt>
                  <c:pt idx="1042">
                    <c:v>T014</c:v>
                  </c:pt>
                  <c:pt idx="1043">
                    <c:v>T015</c:v>
                  </c:pt>
                  <c:pt idx="1044">
                    <c:v>T016</c:v>
                  </c:pt>
                  <c:pt idx="1045">
                    <c:v>T017</c:v>
                  </c:pt>
                  <c:pt idx="1046">
                    <c:v>T018</c:v>
                  </c:pt>
                  <c:pt idx="1047">
                    <c:v>T019</c:v>
                  </c:pt>
                  <c:pt idx="1048">
                    <c:v>T020</c:v>
                  </c:pt>
                  <c:pt idx="1049">
                    <c:v>T021</c:v>
                  </c:pt>
                  <c:pt idx="1050">
                    <c:v>T022</c:v>
                  </c:pt>
                  <c:pt idx="1051">
                    <c:v>T023</c:v>
                  </c:pt>
                  <c:pt idx="1052">
                    <c:v>T024</c:v>
                  </c:pt>
                  <c:pt idx="1053">
                    <c:v>T001</c:v>
                  </c:pt>
                  <c:pt idx="1054">
                    <c:v>T002</c:v>
                  </c:pt>
                  <c:pt idx="1055">
                    <c:v>T003</c:v>
                  </c:pt>
                  <c:pt idx="1056">
                    <c:v>T004</c:v>
                  </c:pt>
                  <c:pt idx="1057">
                    <c:v>T005</c:v>
                  </c:pt>
                  <c:pt idx="1058">
                    <c:v>T006</c:v>
                  </c:pt>
                  <c:pt idx="1059">
                    <c:v>T007</c:v>
                  </c:pt>
                  <c:pt idx="1060">
                    <c:v>T008</c:v>
                  </c:pt>
                  <c:pt idx="1061">
                    <c:v>T009</c:v>
                  </c:pt>
                  <c:pt idx="1062">
                    <c:v>T010</c:v>
                  </c:pt>
                  <c:pt idx="1063">
                    <c:v>T011</c:v>
                  </c:pt>
                  <c:pt idx="1064">
                    <c:v>T012</c:v>
                  </c:pt>
                  <c:pt idx="1065">
                    <c:v>T013</c:v>
                  </c:pt>
                  <c:pt idx="1066">
                    <c:v>T014</c:v>
                  </c:pt>
                  <c:pt idx="1067">
                    <c:v>T015</c:v>
                  </c:pt>
                  <c:pt idx="1068">
                    <c:v>T016</c:v>
                  </c:pt>
                  <c:pt idx="1069">
                    <c:v>T017</c:v>
                  </c:pt>
                  <c:pt idx="1070">
                    <c:v>T018</c:v>
                  </c:pt>
                  <c:pt idx="1071">
                    <c:v>T019</c:v>
                  </c:pt>
                  <c:pt idx="1072">
                    <c:v>T020</c:v>
                  </c:pt>
                  <c:pt idx="1073">
                    <c:v>T021</c:v>
                  </c:pt>
                  <c:pt idx="1074">
                    <c:v>T022</c:v>
                  </c:pt>
                  <c:pt idx="1075">
                    <c:v>T023</c:v>
                  </c:pt>
                  <c:pt idx="1076">
                    <c:v>T024</c:v>
                  </c:pt>
                  <c:pt idx="1077">
                    <c:v>T007</c:v>
                  </c:pt>
                  <c:pt idx="1078">
                    <c:v>T008</c:v>
                  </c:pt>
                  <c:pt idx="1079">
                    <c:v>T009</c:v>
                  </c:pt>
                  <c:pt idx="1080">
                    <c:v>T010</c:v>
                  </c:pt>
                  <c:pt idx="1081">
                    <c:v>T011</c:v>
                  </c:pt>
                  <c:pt idx="1082">
                    <c:v>T012</c:v>
                  </c:pt>
                  <c:pt idx="1083">
                    <c:v>T013</c:v>
                  </c:pt>
                  <c:pt idx="1084">
                    <c:v>T014</c:v>
                  </c:pt>
                  <c:pt idx="1085">
                    <c:v>T015</c:v>
                  </c:pt>
                  <c:pt idx="1086">
                    <c:v>T016</c:v>
                  </c:pt>
                  <c:pt idx="1087">
                    <c:v>T017</c:v>
                  </c:pt>
                  <c:pt idx="1088">
                    <c:v>T018</c:v>
                  </c:pt>
                  <c:pt idx="1089">
                    <c:v>T019</c:v>
                  </c:pt>
                  <c:pt idx="1090">
                    <c:v>T020</c:v>
                  </c:pt>
                  <c:pt idx="1091">
                    <c:v>T021</c:v>
                  </c:pt>
                  <c:pt idx="1092">
                    <c:v>T022</c:v>
                  </c:pt>
                  <c:pt idx="1093">
                    <c:v>T023</c:v>
                  </c:pt>
                  <c:pt idx="1094">
                    <c:v>T024</c:v>
                  </c:pt>
                  <c:pt idx="1095">
                    <c:v>T001</c:v>
                  </c:pt>
                  <c:pt idx="1096">
                    <c:v>T002</c:v>
                  </c:pt>
                  <c:pt idx="1097">
                    <c:v>T003</c:v>
                  </c:pt>
                  <c:pt idx="1098">
                    <c:v>T004</c:v>
                  </c:pt>
                  <c:pt idx="1099">
                    <c:v>T005</c:v>
                  </c:pt>
                  <c:pt idx="1100">
                    <c:v>T006</c:v>
                  </c:pt>
                  <c:pt idx="1101">
                    <c:v>T007</c:v>
                  </c:pt>
                  <c:pt idx="1102">
                    <c:v>T008</c:v>
                  </c:pt>
                  <c:pt idx="1103">
                    <c:v>T009</c:v>
                  </c:pt>
                  <c:pt idx="1104">
                    <c:v>T010</c:v>
                  </c:pt>
                  <c:pt idx="1105">
                    <c:v>T011</c:v>
                  </c:pt>
                  <c:pt idx="1106">
                    <c:v>T012</c:v>
                  </c:pt>
                  <c:pt idx="1107">
                    <c:v>T013</c:v>
                  </c:pt>
                  <c:pt idx="1108">
                    <c:v>T014</c:v>
                  </c:pt>
                  <c:pt idx="1109">
                    <c:v>T015</c:v>
                  </c:pt>
                  <c:pt idx="1110">
                    <c:v>T016</c:v>
                  </c:pt>
                  <c:pt idx="1111">
                    <c:v>T017</c:v>
                  </c:pt>
                  <c:pt idx="1112">
                    <c:v>T018</c:v>
                  </c:pt>
                  <c:pt idx="1113">
                    <c:v>T019</c:v>
                  </c:pt>
                  <c:pt idx="1114">
                    <c:v>T020</c:v>
                  </c:pt>
                  <c:pt idx="1115">
                    <c:v>T021</c:v>
                  </c:pt>
                  <c:pt idx="1116">
                    <c:v>T022</c:v>
                  </c:pt>
                  <c:pt idx="1117">
                    <c:v>T023</c:v>
                  </c:pt>
                  <c:pt idx="1118">
                    <c:v>T024</c:v>
                  </c:pt>
                  <c:pt idx="1119">
                    <c:v>T001</c:v>
                  </c:pt>
                  <c:pt idx="1120">
                    <c:v>T002</c:v>
                  </c:pt>
                  <c:pt idx="1121">
                    <c:v>T003</c:v>
                  </c:pt>
                  <c:pt idx="1122">
                    <c:v>T004</c:v>
                  </c:pt>
                  <c:pt idx="1123">
                    <c:v>T005</c:v>
                  </c:pt>
                  <c:pt idx="1124">
                    <c:v>T006</c:v>
                  </c:pt>
                  <c:pt idx="1125">
                    <c:v>T007</c:v>
                  </c:pt>
                  <c:pt idx="1126">
                    <c:v>T008</c:v>
                  </c:pt>
                  <c:pt idx="1127">
                    <c:v>T009</c:v>
                  </c:pt>
                  <c:pt idx="1128">
                    <c:v>T010</c:v>
                  </c:pt>
                  <c:pt idx="1129">
                    <c:v>T011</c:v>
                  </c:pt>
                  <c:pt idx="1130">
                    <c:v>T012</c:v>
                  </c:pt>
                  <c:pt idx="1131">
                    <c:v>T013</c:v>
                  </c:pt>
                  <c:pt idx="1132">
                    <c:v>T014</c:v>
                  </c:pt>
                  <c:pt idx="1133">
                    <c:v>T015</c:v>
                  </c:pt>
                  <c:pt idx="1134">
                    <c:v>T016</c:v>
                  </c:pt>
                  <c:pt idx="1135">
                    <c:v>T017</c:v>
                  </c:pt>
                  <c:pt idx="1136">
                    <c:v>T018</c:v>
                  </c:pt>
                  <c:pt idx="1137">
                    <c:v>T019</c:v>
                  </c:pt>
                  <c:pt idx="1138">
                    <c:v>T020</c:v>
                  </c:pt>
                  <c:pt idx="1139">
                    <c:v>T021</c:v>
                  </c:pt>
                  <c:pt idx="1140">
                    <c:v>T022</c:v>
                  </c:pt>
                  <c:pt idx="1141">
                    <c:v>T023</c:v>
                  </c:pt>
                  <c:pt idx="1142">
                    <c:v>T024</c:v>
                  </c:pt>
                  <c:pt idx="1143">
                    <c:v>T001</c:v>
                  </c:pt>
                  <c:pt idx="1144">
                    <c:v>T002</c:v>
                  </c:pt>
                  <c:pt idx="1145">
                    <c:v>T003</c:v>
                  </c:pt>
                  <c:pt idx="1146">
                    <c:v>T004</c:v>
                  </c:pt>
                  <c:pt idx="1147">
                    <c:v>T005</c:v>
                  </c:pt>
                  <c:pt idx="1148">
                    <c:v>T006</c:v>
                  </c:pt>
                  <c:pt idx="1149">
                    <c:v>T007</c:v>
                  </c:pt>
                  <c:pt idx="1150">
                    <c:v>T008</c:v>
                  </c:pt>
                  <c:pt idx="1151">
                    <c:v>T009</c:v>
                  </c:pt>
                  <c:pt idx="1152">
                    <c:v>T010</c:v>
                  </c:pt>
                  <c:pt idx="1153">
                    <c:v>T011</c:v>
                  </c:pt>
                  <c:pt idx="1154">
                    <c:v>T012</c:v>
                  </c:pt>
                  <c:pt idx="1155">
                    <c:v>T013</c:v>
                  </c:pt>
                  <c:pt idx="1156">
                    <c:v>T014</c:v>
                  </c:pt>
                  <c:pt idx="1157">
                    <c:v>T015</c:v>
                  </c:pt>
                  <c:pt idx="1158">
                    <c:v>T016</c:v>
                  </c:pt>
                  <c:pt idx="1159">
                    <c:v>T017</c:v>
                  </c:pt>
                  <c:pt idx="1160">
                    <c:v>T018</c:v>
                  </c:pt>
                  <c:pt idx="1161">
                    <c:v>T019</c:v>
                  </c:pt>
                  <c:pt idx="1162">
                    <c:v>T020</c:v>
                  </c:pt>
                  <c:pt idx="1163">
                    <c:v>T021</c:v>
                  </c:pt>
                  <c:pt idx="1164">
                    <c:v>T022</c:v>
                  </c:pt>
                  <c:pt idx="1165">
                    <c:v>T023</c:v>
                  </c:pt>
                  <c:pt idx="1166">
                    <c:v>T024</c:v>
                  </c:pt>
                  <c:pt idx="1167">
                    <c:v>T001</c:v>
                  </c:pt>
                  <c:pt idx="1168">
                    <c:v>T002</c:v>
                  </c:pt>
                  <c:pt idx="1169">
                    <c:v>T003</c:v>
                  </c:pt>
                  <c:pt idx="1170">
                    <c:v>T004</c:v>
                  </c:pt>
                  <c:pt idx="1171">
                    <c:v>T005</c:v>
                  </c:pt>
                  <c:pt idx="1172">
                    <c:v>T006</c:v>
                  </c:pt>
                  <c:pt idx="1173">
                    <c:v>T007</c:v>
                  </c:pt>
                  <c:pt idx="1174">
                    <c:v>T008</c:v>
                  </c:pt>
                  <c:pt idx="1175">
                    <c:v>T009</c:v>
                  </c:pt>
                  <c:pt idx="1176">
                    <c:v>T010</c:v>
                  </c:pt>
                  <c:pt idx="1177">
                    <c:v>T011</c:v>
                  </c:pt>
                  <c:pt idx="1178">
                    <c:v>T012</c:v>
                  </c:pt>
                  <c:pt idx="1179">
                    <c:v>T013</c:v>
                  </c:pt>
                  <c:pt idx="1180">
                    <c:v>T014</c:v>
                  </c:pt>
                  <c:pt idx="1181">
                    <c:v>T015</c:v>
                  </c:pt>
                  <c:pt idx="1182">
                    <c:v>T016</c:v>
                  </c:pt>
                  <c:pt idx="1183">
                    <c:v>T017</c:v>
                  </c:pt>
                  <c:pt idx="1184">
                    <c:v>T018</c:v>
                  </c:pt>
                  <c:pt idx="1185">
                    <c:v>T019</c:v>
                  </c:pt>
                  <c:pt idx="1186">
                    <c:v>T020</c:v>
                  </c:pt>
                  <c:pt idx="1187">
                    <c:v>T021</c:v>
                  </c:pt>
                  <c:pt idx="1188">
                    <c:v>T022</c:v>
                  </c:pt>
                  <c:pt idx="1189">
                    <c:v>T023</c:v>
                  </c:pt>
                  <c:pt idx="1190">
                    <c:v>T024</c:v>
                  </c:pt>
                  <c:pt idx="1191">
                    <c:v>T001</c:v>
                  </c:pt>
                  <c:pt idx="1192">
                    <c:v>T002</c:v>
                  </c:pt>
                  <c:pt idx="1193">
                    <c:v>T003</c:v>
                  </c:pt>
                  <c:pt idx="1194">
                    <c:v>T004</c:v>
                  </c:pt>
                  <c:pt idx="1195">
                    <c:v>T005</c:v>
                  </c:pt>
                  <c:pt idx="1196">
                    <c:v>T006</c:v>
                  </c:pt>
                  <c:pt idx="1197">
                    <c:v>T007</c:v>
                  </c:pt>
                  <c:pt idx="1198">
                    <c:v>T008</c:v>
                  </c:pt>
                  <c:pt idx="1199">
                    <c:v>T009</c:v>
                  </c:pt>
                  <c:pt idx="1200">
                    <c:v>T010</c:v>
                  </c:pt>
                  <c:pt idx="1201">
                    <c:v>T011</c:v>
                  </c:pt>
                  <c:pt idx="1202">
                    <c:v>T012</c:v>
                  </c:pt>
                  <c:pt idx="1203">
                    <c:v>T013</c:v>
                  </c:pt>
                  <c:pt idx="1204">
                    <c:v>T014</c:v>
                  </c:pt>
                  <c:pt idx="1205">
                    <c:v>T015</c:v>
                  </c:pt>
                  <c:pt idx="1206">
                    <c:v>T016</c:v>
                  </c:pt>
                  <c:pt idx="1207">
                    <c:v>T017</c:v>
                  </c:pt>
                  <c:pt idx="1208">
                    <c:v>T018</c:v>
                  </c:pt>
                  <c:pt idx="1209">
                    <c:v>T019</c:v>
                  </c:pt>
                  <c:pt idx="1210">
                    <c:v>T020</c:v>
                  </c:pt>
                  <c:pt idx="1211">
                    <c:v>T021</c:v>
                  </c:pt>
                  <c:pt idx="1212">
                    <c:v>T022</c:v>
                  </c:pt>
                  <c:pt idx="1213">
                    <c:v>T023</c:v>
                  </c:pt>
                  <c:pt idx="1214">
                    <c:v>T024</c:v>
                  </c:pt>
                  <c:pt idx="1215">
                    <c:v>T005</c:v>
                  </c:pt>
                  <c:pt idx="1216">
                    <c:v>T006</c:v>
                  </c:pt>
                  <c:pt idx="1217">
                    <c:v>T007</c:v>
                  </c:pt>
                  <c:pt idx="1218">
                    <c:v>T008</c:v>
                  </c:pt>
                  <c:pt idx="1219">
                    <c:v>T009</c:v>
                  </c:pt>
                  <c:pt idx="1220">
                    <c:v>T010</c:v>
                  </c:pt>
                  <c:pt idx="1221">
                    <c:v>T011</c:v>
                  </c:pt>
                  <c:pt idx="1222">
                    <c:v>T012</c:v>
                  </c:pt>
                  <c:pt idx="1223">
                    <c:v>T013</c:v>
                  </c:pt>
                  <c:pt idx="1224">
                    <c:v>T014</c:v>
                  </c:pt>
                  <c:pt idx="1225">
                    <c:v>T015</c:v>
                  </c:pt>
                  <c:pt idx="1226">
                    <c:v>T016</c:v>
                  </c:pt>
                  <c:pt idx="1227">
                    <c:v>T017</c:v>
                  </c:pt>
                  <c:pt idx="1228">
                    <c:v>T018</c:v>
                  </c:pt>
                  <c:pt idx="1229">
                    <c:v>T019</c:v>
                  </c:pt>
                  <c:pt idx="1230">
                    <c:v>T020</c:v>
                  </c:pt>
                  <c:pt idx="1231">
                    <c:v>T021</c:v>
                  </c:pt>
                  <c:pt idx="1232">
                    <c:v>T022</c:v>
                  </c:pt>
                  <c:pt idx="1233">
                    <c:v>T023</c:v>
                  </c:pt>
                  <c:pt idx="1234">
                    <c:v>T024</c:v>
                  </c:pt>
                  <c:pt idx="1235">
                    <c:v>T001</c:v>
                  </c:pt>
                  <c:pt idx="1236">
                    <c:v>T002</c:v>
                  </c:pt>
                  <c:pt idx="1237">
                    <c:v>T003</c:v>
                  </c:pt>
                  <c:pt idx="1238">
                    <c:v>T004</c:v>
                  </c:pt>
                  <c:pt idx="1239">
                    <c:v>T005</c:v>
                  </c:pt>
                  <c:pt idx="1240">
                    <c:v>T006</c:v>
                  </c:pt>
                  <c:pt idx="1241">
                    <c:v>T007</c:v>
                  </c:pt>
                  <c:pt idx="1242">
                    <c:v>T008</c:v>
                  </c:pt>
                  <c:pt idx="1243">
                    <c:v>T009</c:v>
                  </c:pt>
                  <c:pt idx="1244">
                    <c:v>T010</c:v>
                  </c:pt>
                  <c:pt idx="1245">
                    <c:v>T011</c:v>
                  </c:pt>
                  <c:pt idx="1246">
                    <c:v>T012</c:v>
                  </c:pt>
                  <c:pt idx="1247">
                    <c:v>T013</c:v>
                  </c:pt>
                  <c:pt idx="1248">
                    <c:v>T014</c:v>
                  </c:pt>
                  <c:pt idx="1249">
                    <c:v>T015</c:v>
                  </c:pt>
                  <c:pt idx="1250">
                    <c:v>T016</c:v>
                  </c:pt>
                  <c:pt idx="1251">
                    <c:v>T017</c:v>
                  </c:pt>
                  <c:pt idx="1252">
                    <c:v>T018</c:v>
                  </c:pt>
                  <c:pt idx="1253">
                    <c:v>T019</c:v>
                  </c:pt>
                  <c:pt idx="1254">
                    <c:v>T020</c:v>
                  </c:pt>
                  <c:pt idx="1255">
                    <c:v>T021</c:v>
                  </c:pt>
                  <c:pt idx="1256">
                    <c:v>T022</c:v>
                  </c:pt>
                  <c:pt idx="1257">
                    <c:v>T023</c:v>
                  </c:pt>
                  <c:pt idx="1258">
                    <c:v>T024</c:v>
                  </c:pt>
                  <c:pt idx="1259">
                    <c:v>T001</c:v>
                  </c:pt>
                  <c:pt idx="1260">
                    <c:v>T002</c:v>
                  </c:pt>
                  <c:pt idx="1261">
                    <c:v>T003</c:v>
                  </c:pt>
                  <c:pt idx="1262">
                    <c:v>T004</c:v>
                  </c:pt>
                  <c:pt idx="1263">
                    <c:v>T005</c:v>
                  </c:pt>
                  <c:pt idx="1264">
                    <c:v>T006</c:v>
                  </c:pt>
                  <c:pt idx="1265">
                    <c:v>T007</c:v>
                  </c:pt>
                  <c:pt idx="1266">
                    <c:v>T008</c:v>
                  </c:pt>
                  <c:pt idx="1267">
                    <c:v>T009</c:v>
                  </c:pt>
                  <c:pt idx="1268">
                    <c:v>T010</c:v>
                  </c:pt>
                  <c:pt idx="1269">
                    <c:v>T011</c:v>
                  </c:pt>
                  <c:pt idx="1270">
                    <c:v>T012</c:v>
                  </c:pt>
                  <c:pt idx="1271">
                    <c:v>T013</c:v>
                  </c:pt>
                  <c:pt idx="1272">
                    <c:v>T014</c:v>
                  </c:pt>
                  <c:pt idx="1273">
                    <c:v>T015</c:v>
                  </c:pt>
                  <c:pt idx="1274">
                    <c:v>T016</c:v>
                  </c:pt>
                  <c:pt idx="1275">
                    <c:v>T017</c:v>
                  </c:pt>
                  <c:pt idx="1276">
                    <c:v>T018</c:v>
                  </c:pt>
                  <c:pt idx="1277">
                    <c:v>T019</c:v>
                  </c:pt>
                  <c:pt idx="1278">
                    <c:v>T020</c:v>
                  </c:pt>
                  <c:pt idx="1279">
                    <c:v>T021</c:v>
                  </c:pt>
                  <c:pt idx="1280">
                    <c:v>T022</c:v>
                  </c:pt>
                  <c:pt idx="1281">
                    <c:v>T023</c:v>
                  </c:pt>
                  <c:pt idx="1282">
                    <c:v>T024</c:v>
                  </c:pt>
                  <c:pt idx="1283">
                    <c:v>T001</c:v>
                  </c:pt>
                  <c:pt idx="1284">
                    <c:v>T002</c:v>
                  </c:pt>
                  <c:pt idx="1285">
                    <c:v>T003</c:v>
                  </c:pt>
                  <c:pt idx="1286">
                    <c:v>T004</c:v>
                  </c:pt>
                  <c:pt idx="1287">
                    <c:v>T005</c:v>
                  </c:pt>
                  <c:pt idx="1288">
                    <c:v>T006</c:v>
                  </c:pt>
                  <c:pt idx="1289">
                    <c:v>T007</c:v>
                  </c:pt>
                  <c:pt idx="1290">
                    <c:v>T008</c:v>
                  </c:pt>
                  <c:pt idx="1291">
                    <c:v>T009</c:v>
                  </c:pt>
                  <c:pt idx="1292">
                    <c:v>T010</c:v>
                  </c:pt>
                  <c:pt idx="1293">
                    <c:v>T011</c:v>
                  </c:pt>
                  <c:pt idx="1294">
                    <c:v>T012</c:v>
                  </c:pt>
                  <c:pt idx="1295">
                    <c:v>T013</c:v>
                  </c:pt>
                  <c:pt idx="1296">
                    <c:v>T014</c:v>
                  </c:pt>
                  <c:pt idx="1297">
                    <c:v>T015</c:v>
                  </c:pt>
                  <c:pt idx="1298">
                    <c:v>T016</c:v>
                  </c:pt>
                  <c:pt idx="1299">
                    <c:v>T017</c:v>
                  </c:pt>
                  <c:pt idx="1300">
                    <c:v>T018</c:v>
                  </c:pt>
                  <c:pt idx="1301">
                    <c:v>T019</c:v>
                  </c:pt>
                  <c:pt idx="1302">
                    <c:v>T020</c:v>
                  </c:pt>
                  <c:pt idx="1303">
                    <c:v>T021</c:v>
                  </c:pt>
                  <c:pt idx="1304">
                    <c:v>T022</c:v>
                  </c:pt>
                  <c:pt idx="1305">
                    <c:v>T023</c:v>
                  </c:pt>
                  <c:pt idx="1306">
                    <c:v>T024</c:v>
                  </c:pt>
                  <c:pt idx="1307">
                    <c:v>T001</c:v>
                  </c:pt>
                  <c:pt idx="1308">
                    <c:v>T002</c:v>
                  </c:pt>
                  <c:pt idx="1309">
                    <c:v>T003</c:v>
                  </c:pt>
                  <c:pt idx="1310">
                    <c:v>T004</c:v>
                  </c:pt>
                  <c:pt idx="1311">
                    <c:v>T005</c:v>
                  </c:pt>
                  <c:pt idx="1312">
                    <c:v>T006</c:v>
                  </c:pt>
                  <c:pt idx="1313">
                    <c:v>T007</c:v>
                  </c:pt>
                  <c:pt idx="1314">
                    <c:v>T008</c:v>
                  </c:pt>
                  <c:pt idx="1315">
                    <c:v>T009</c:v>
                  </c:pt>
                  <c:pt idx="1316">
                    <c:v>T010</c:v>
                  </c:pt>
                  <c:pt idx="1317">
                    <c:v>T011</c:v>
                  </c:pt>
                  <c:pt idx="1318">
                    <c:v>T012</c:v>
                  </c:pt>
                  <c:pt idx="1319">
                    <c:v>T013</c:v>
                  </c:pt>
                  <c:pt idx="1320">
                    <c:v>T014</c:v>
                  </c:pt>
                  <c:pt idx="1321">
                    <c:v>T015</c:v>
                  </c:pt>
                  <c:pt idx="1322">
                    <c:v>T016</c:v>
                  </c:pt>
                  <c:pt idx="1323">
                    <c:v>T017</c:v>
                  </c:pt>
                  <c:pt idx="1324">
                    <c:v>T018</c:v>
                  </c:pt>
                  <c:pt idx="1325">
                    <c:v>T019</c:v>
                  </c:pt>
                  <c:pt idx="1326">
                    <c:v>T020</c:v>
                  </c:pt>
                  <c:pt idx="1327">
                    <c:v>T021</c:v>
                  </c:pt>
                  <c:pt idx="1328">
                    <c:v>T022</c:v>
                  </c:pt>
                  <c:pt idx="1329">
                    <c:v>T023</c:v>
                  </c:pt>
                  <c:pt idx="1330">
                    <c:v>T024</c:v>
                  </c:pt>
                  <c:pt idx="1331">
                    <c:v>T001</c:v>
                  </c:pt>
                  <c:pt idx="1332">
                    <c:v>T002</c:v>
                  </c:pt>
                  <c:pt idx="1333">
                    <c:v>T003</c:v>
                  </c:pt>
                  <c:pt idx="1334">
                    <c:v>T004</c:v>
                  </c:pt>
                  <c:pt idx="1335">
                    <c:v>T005</c:v>
                  </c:pt>
                  <c:pt idx="1336">
                    <c:v>T006</c:v>
                  </c:pt>
                  <c:pt idx="1337">
                    <c:v>T007</c:v>
                  </c:pt>
                  <c:pt idx="1338">
                    <c:v>T008</c:v>
                  </c:pt>
                  <c:pt idx="1339">
                    <c:v>T009</c:v>
                  </c:pt>
                  <c:pt idx="1340">
                    <c:v>T010</c:v>
                  </c:pt>
                  <c:pt idx="1341">
                    <c:v>T011</c:v>
                  </c:pt>
                  <c:pt idx="1342">
                    <c:v>T012</c:v>
                  </c:pt>
                  <c:pt idx="1343">
                    <c:v>T013</c:v>
                  </c:pt>
                  <c:pt idx="1344">
                    <c:v>T014</c:v>
                  </c:pt>
                  <c:pt idx="1345">
                    <c:v>T015</c:v>
                  </c:pt>
                  <c:pt idx="1346">
                    <c:v>T016</c:v>
                  </c:pt>
                  <c:pt idx="1347">
                    <c:v>T017</c:v>
                  </c:pt>
                  <c:pt idx="1348">
                    <c:v>T018</c:v>
                  </c:pt>
                  <c:pt idx="1349">
                    <c:v>T019</c:v>
                  </c:pt>
                  <c:pt idx="1350">
                    <c:v>T020</c:v>
                  </c:pt>
                  <c:pt idx="1351">
                    <c:v>T021</c:v>
                  </c:pt>
                  <c:pt idx="1352">
                    <c:v>T022</c:v>
                  </c:pt>
                  <c:pt idx="1353">
                    <c:v>T023</c:v>
                  </c:pt>
                  <c:pt idx="1354">
                    <c:v>T024</c:v>
                  </c:pt>
                  <c:pt idx="1355">
                    <c:v>T006</c:v>
                  </c:pt>
                  <c:pt idx="1356">
                    <c:v>T007</c:v>
                  </c:pt>
                  <c:pt idx="1357">
                    <c:v>T008</c:v>
                  </c:pt>
                  <c:pt idx="1358">
                    <c:v>T009</c:v>
                  </c:pt>
                  <c:pt idx="1359">
                    <c:v>T010</c:v>
                  </c:pt>
                  <c:pt idx="1360">
                    <c:v>T011</c:v>
                  </c:pt>
                  <c:pt idx="1361">
                    <c:v>T012</c:v>
                  </c:pt>
                  <c:pt idx="1362">
                    <c:v>T013</c:v>
                  </c:pt>
                  <c:pt idx="1363">
                    <c:v>T014</c:v>
                  </c:pt>
                  <c:pt idx="1364">
                    <c:v>T015</c:v>
                  </c:pt>
                  <c:pt idx="1365">
                    <c:v>T016</c:v>
                  </c:pt>
                  <c:pt idx="1366">
                    <c:v>T017</c:v>
                  </c:pt>
                  <c:pt idx="1367">
                    <c:v>T018</c:v>
                  </c:pt>
                  <c:pt idx="1368">
                    <c:v>T019</c:v>
                  </c:pt>
                  <c:pt idx="1369">
                    <c:v>T020</c:v>
                  </c:pt>
                  <c:pt idx="1370">
                    <c:v>T021</c:v>
                  </c:pt>
                  <c:pt idx="1371">
                    <c:v>T022</c:v>
                  </c:pt>
                  <c:pt idx="1372">
                    <c:v>T001</c:v>
                  </c:pt>
                  <c:pt idx="1373">
                    <c:v>T002</c:v>
                  </c:pt>
                  <c:pt idx="1374">
                    <c:v>T003</c:v>
                  </c:pt>
                  <c:pt idx="1375">
                    <c:v>T004</c:v>
                  </c:pt>
                  <c:pt idx="1376">
                    <c:v>T005</c:v>
                  </c:pt>
                  <c:pt idx="1377">
                    <c:v>T006</c:v>
                  </c:pt>
                  <c:pt idx="1378">
                    <c:v>T007</c:v>
                  </c:pt>
                  <c:pt idx="1379">
                    <c:v>T008</c:v>
                  </c:pt>
                  <c:pt idx="1380">
                    <c:v>T009</c:v>
                  </c:pt>
                  <c:pt idx="1381">
                    <c:v>T010</c:v>
                  </c:pt>
                  <c:pt idx="1382">
                    <c:v>T011</c:v>
                  </c:pt>
                  <c:pt idx="1383">
                    <c:v>T012</c:v>
                  </c:pt>
                  <c:pt idx="1384">
                    <c:v>T013</c:v>
                  </c:pt>
                  <c:pt idx="1385">
                    <c:v>T014</c:v>
                  </c:pt>
                  <c:pt idx="1386">
                    <c:v>T015</c:v>
                  </c:pt>
                  <c:pt idx="1387">
                    <c:v>T016</c:v>
                  </c:pt>
                  <c:pt idx="1388">
                    <c:v>T017</c:v>
                  </c:pt>
                  <c:pt idx="1389">
                    <c:v>T018</c:v>
                  </c:pt>
                  <c:pt idx="1390">
                    <c:v>T019</c:v>
                  </c:pt>
                  <c:pt idx="1391">
                    <c:v>T020</c:v>
                  </c:pt>
                  <c:pt idx="1392">
                    <c:v>T021</c:v>
                  </c:pt>
                  <c:pt idx="1393">
                    <c:v>T022</c:v>
                  </c:pt>
                  <c:pt idx="1394">
                    <c:v>T023</c:v>
                  </c:pt>
                  <c:pt idx="1395">
                    <c:v>T024</c:v>
                  </c:pt>
                  <c:pt idx="1396">
                    <c:v>T001</c:v>
                  </c:pt>
                  <c:pt idx="1397">
                    <c:v>T002</c:v>
                  </c:pt>
                  <c:pt idx="1398">
                    <c:v>T003</c:v>
                  </c:pt>
                  <c:pt idx="1399">
                    <c:v>T004</c:v>
                  </c:pt>
                  <c:pt idx="1400">
                    <c:v>T005</c:v>
                  </c:pt>
                  <c:pt idx="1401">
                    <c:v>T006</c:v>
                  </c:pt>
                  <c:pt idx="1402">
                    <c:v>T007</c:v>
                  </c:pt>
                  <c:pt idx="1403">
                    <c:v>T008</c:v>
                  </c:pt>
                  <c:pt idx="1404">
                    <c:v>T009</c:v>
                  </c:pt>
                  <c:pt idx="1405">
                    <c:v>T010</c:v>
                  </c:pt>
                  <c:pt idx="1406">
                    <c:v>T011</c:v>
                  </c:pt>
                  <c:pt idx="1407">
                    <c:v>T012</c:v>
                  </c:pt>
                  <c:pt idx="1408">
                    <c:v>T013</c:v>
                  </c:pt>
                  <c:pt idx="1409">
                    <c:v>T014</c:v>
                  </c:pt>
                  <c:pt idx="1410">
                    <c:v>T015</c:v>
                  </c:pt>
                  <c:pt idx="1411">
                    <c:v>T016</c:v>
                  </c:pt>
                  <c:pt idx="1412">
                    <c:v>T017</c:v>
                  </c:pt>
                  <c:pt idx="1413">
                    <c:v>T018</c:v>
                  </c:pt>
                  <c:pt idx="1414">
                    <c:v>T019</c:v>
                  </c:pt>
                  <c:pt idx="1415">
                    <c:v>T020</c:v>
                  </c:pt>
                  <c:pt idx="1416">
                    <c:v>T021</c:v>
                  </c:pt>
                  <c:pt idx="1417">
                    <c:v>T022</c:v>
                  </c:pt>
                  <c:pt idx="1418">
                    <c:v>T023</c:v>
                  </c:pt>
                  <c:pt idx="1419">
                    <c:v>T024</c:v>
                  </c:pt>
                  <c:pt idx="1420">
                    <c:v>T006</c:v>
                  </c:pt>
                  <c:pt idx="1421">
                    <c:v>T007</c:v>
                  </c:pt>
                  <c:pt idx="1422">
                    <c:v>T008</c:v>
                  </c:pt>
                  <c:pt idx="1423">
                    <c:v>T009</c:v>
                  </c:pt>
                  <c:pt idx="1424">
                    <c:v>T010</c:v>
                  </c:pt>
                  <c:pt idx="1425">
                    <c:v>T011</c:v>
                  </c:pt>
                  <c:pt idx="1426">
                    <c:v>T012</c:v>
                  </c:pt>
                  <c:pt idx="1427">
                    <c:v>T013</c:v>
                  </c:pt>
                  <c:pt idx="1428">
                    <c:v>T014</c:v>
                  </c:pt>
                  <c:pt idx="1429">
                    <c:v>T015</c:v>
                  </c:pt>
                  <c:pt idx="1430">
                    <c:v>T016</c:v>
                  </c:pt>
                  <c:pt idx="1431">
                    <c:v>T017</c:v>
                  </c:pt>
                  <c:pt idx="1432">
                    <c:v>T018</c:v>
                  </c:pt>
                  <c:pt idx="1433">
                    <c:v>T019</c:v>
                  </c:pt>
                  <c:pt idx="1434">
                    <c:v>T020</c:v>
                  </c:pt>
                  <c:pt idx="1435">
                    <c:v>T021</c:v>
                  </c:pt>
                  <c:pt idx="1436">
                    <c:v>T022</c:v>
                  </c:pt>
                  <c:pt idx="1437">
                    <c:v>T006</c:v>
                  </c:pt>
                  <c:pt idx="1438">
                    <c:v>T007</c:v>
                  </c:pt>
                  <c:pt idx="1439">
                    <c:v>T008</c:v>
                  </c:pt>
                  <c:pt idx="1440">
                    <c:v>T009</c:v>
                  </c:pt>
                  <c:pt idx="1441">
                    <c:v>T010</c:v>
                  </c:pt>
                  <c:pt idx="1442">
                    <c:v>T011</c:v>
                  </c:pt>
                  <c:pt idx="1443">
                    <c:v>T012</c:v>
                  </c:pt>
                  <c:pt idx="1444">
                    <c:v>T013</c:v>
                  </c:pt>
                  <c:pt idx="1445">
                    <c:v>T014</c:v>
                  </c:pt>
                  <c:pt idx="1446">
                    <c:v>T015</c:v>
                  </c:pt>
                  <c:pt idx="1447">
                    <c:v>T016</c:v>
                  </c:pt>
                  <c:pt idx="1448">
                    <c:v>T017</c:v>
                  </c:pt>
                  <c:pt idx="1449">
                    <c:v>T020</c:v>
                  </c:pt>
                  <c:pt idx="1450">
                    <c:v>T021</c:v>
                  </c:pt>
                  <c:pt idx="1451">
                    <c:v>T007</c:v>
                  </c:pt>
                  <c:pt idx="1452">
                    <c:v>T008</c:v>
                  </c:pt>
                  <c:pt idx="1453">
                    <c:v>T009</c:v>
                  </c:pt>
                  <c:pt idx="1454">
                    <c:v>T010</c:v>
                  </c:pt>
                  <c:pt idx="1455">
                    <c:v>T011</c:v>
                  </c:pt>
                  <c:pt idx="1456">
                    <c:v>T012</c:v>
                  </c:pt>
                  <c:pt idx="1457">
                    <c:v>T013</c:v>
                  </c:pt>
                  <c:pt idx="1458">
                    <c:v>T014</c:v>
                  </c:pt>
                  <c:pt idx="1459">
                    <c:v>T015</c:v>
                  </c:pt>
                  <c:pt idx="1460">
                    <c:v>T016</c:v>
                  </c:pt>
                  <c:pt idx="1461">
                    <c:v>T017</c:v>
                  </c:pt>
                  <c:pt idx="1462">
                    <c:v>T018</c:v>
                  </c:pt>
                  <c:pt idx="1463">
                    <c:v>T019</c:v>
                  </c:pt>
                  <c:pt idx="1464">
                    <c:v>T020</c:v>
                  </c:pt>
                  <c:pt idx="1465">
                    <c:v>T021</c:v>
                  </c:pt>
                  <c:pt idx="1466">
                    <c:v>T022</c:v>
                  </c:pt>
                  <c:pt idx="1467">
                    <c:v>T023</c:v>
                  </c:pt>
                  <c:pt idx="1468">
                    <c:v>T024</c:v>
                  </c:pt>
                  <c:pt idx="1469">
                    <c:v>T001</c:v>
                  </c:pt>
                  <c:pt idx="1470">
                    <c:v>T002</c:v>
                  </c:pt>
                  <c:pt idx="1471">
                    <c:v>T003</c:v>
                  </c:pt>
                  <c:pt idx="1472">
                    <c:v>T004</c:v>
                  </c:pt>
                  <c:pt idx="1473">
                    <c:v>T005</c:v>
                  </c:pt>
                  <c:pt idx="1474">
                    <c:v>T006</c:v>
                  </c:pt>
                  <c:pt idx="1475">
                    <c:v>T007</c:v>
                  </c:pt>
                  <c:pt idx="1476">
                    <c:v>T008</c:v>
                  </c:pt>
                  <c:pt idx="1477">
                    <c:v>T009</c:v>
                  </c:pt>
                  <c:pt idx="1478">
                    <c:v>T010</c:v>
                  </c:pt>
                  <c:pt idx="1479">
                    <c:v>T011</c:v>
                  </c:pt>
                  <c:pt idx="1480">
                    <c:v>T012</c:v>
                  </c:pt>
                  <c:pt idx="1481">
                    <c:v>T013</c:v>
                  </c:pt>
                  <c:pt idx="1482">
                    <c:v>T014</c:v>
                  </c:pt>
                  <c:pt idx="1483">
                    <c:v>T015</c:v>
                  </c:pt>
                  <c:pt idx="1484">
                    <c:v>T016</c:v>
                  </c:pt>
                  <c:pt idx="1485">
                    <c:v>T017</c:v>
                  </c:pt>
                  <c:pt idx="1486">
                    <c:v>T018</c:v>
                  </c:pt>
                  <c:pt idx="1487">
                    <c:v>T019</c:v>
                  </c:pt>
                  <c:pt idx="1488">
                    <c:v>T020</c:v>
                  </c:pt>
                  <c:pt idx="1489">
                    <c:v>T021</c:v>
                  </c:pt>
                  <c:pt idx="1490">
                    <c:v>T022</c:v>
                  </c:pt>
                  <c:pt idx="1491">
                    <c:v>T023</c:v>
                  </c:pt>
                  <c:pt idx="1492">
                    <c:v>T024</c:v>
                  </c:pt>
                  <c:pt idx="1493">
                    <c:v>T001</c:v>
                  </c:pt>
                  <c:pt idx="1494">
                    <c:v>T002</c:v>
                  </c:pt>
                  <c:pt idx="1495">
                    <c:v>T003</c:v>
                  </c:pt>
                  <c:pt idx="1496">
                    <c:v>T004</c:v>
                  </c:pt>
                  <c:pt idx="1497">
                    <c:v>T005</c:v>
                  </c:pt>
                  <c:pt idx="1498">
                    <c:v>T006</c:v>
                  </c:pt>
                  <c:pt idx="1499">
                    <c:v>T007</c:v>
                  </c:pt>
                  <c:pt idx="1500">
                    <c:v>T008</c:v>
                  </c:pt>
                  <c:pt idx="1501">
                    <c:v>T009</c:v>
                  </c:pt>
                  <c:pt idx="1502">
                    <c:v>T010</c:v>
                  </c:pt>
                  <c:pt idx="1503">
                    <c:v>T011</c:v>
                  </c:pt>
                  <c:pt idx="1504">
                    <c:v>T012</c:v>
                  </c:pt>
                  <c:pt idx="1505">
                    <c:v>T013</c:v>
                  </c:pt>
                  <c:pt idx="1506">
                    <c:v>T014</c:v>
                  </c:pt>
                  <c:pt idx="1507">
                    <c:v>T015</c:v>
                  </c:pt>
                  <c:pt idx="1508">
                    <c:v>T016</c:v>
                  </c:pt>
                  <c:pt idx="1509">
                    <c:v>T017</c:v>
                  </c:pt>
                  <c:pt idx="1510">
                    <c:v>T018</c:v>
                  </c:pt>
                  <c:pt idx="1511">
                    <c:v>T019</c:v>
                  </c:pt>
                  <c:pt idx="1512">
                    <c:v>T020</c:v>
                  </c:pt>
                  <c:pt idx="1513">
                    <c:v>T021</c:v>
                  </c:pt>
                  <c:pt idx="1514">
                    <c:v>T022</c:v>
                  </c:pt>
                  <c:pt idx="1515">
                    <c:v>T023</c:v>
                  </c:pt>
                  <c:pt idx="1516">
                    <c:v>T024</c:v>
                  </c:pt>
                  <c:pt idx="1517">
                    <c:v>T001</c:v>
                  </c:pt>
                  <c:pt idx="1518">
                    <c:v>T002</c:v>
                  </c:pt>
                  <c:pt idx="1519">
                    <c:v>T004</c:v>
                  </c:pt>
                  <c:pt idx="1520">
                    <c:v>T005</c:v>
                  </c:pt>
                  <c:pt idx="1521">
                    <c:v>T006</c:v>
                  </c:pt>
                  <c:pt idx="1522">
                    <c:v>T007</c:v>
                  </c:pt>
                  <c:pt idx="1523">
                    <c:v>T008</c:v>
                  </c:pt>
                  <c:pt idx="1524">
                    <c:v>T009</c:v>
                  </c:pt>
                  <c:pt idx="1525">
                    <c:v>T010</c:v>
                  </c:pt>
                  <c:pt idx="1526">
                    <c:v>T011</c:v>
                  </c:pt>
                  <c:pt idx="1527">
                    <c:v>T012</c:v>
                  </c:pt>
                  <c:pt idx="1528">
                    <c:v>T013</c:v>
                  </c:pt>
                  <c:pt idx="1529">
                    <c:v>T014</c:v>
                  </c:pt>
                  <c:pt idx="1530">
                    <c:v>T015</c:v>
                  </c:pt>
                  <c:pt idx="1531">
                    <c:v>T016</c:v>
                  </c:pt>
                  <c:pt idx="1532">
                    <c:v>T017</c:v>
                  </c:pt>
                  <c:pt idx="1533">
                    <c:v>T018</c:v>
                  </c:pt>
                  <c:pt idx="1534">
                    <c:v>T019</c:v>
                  </c:pt>
                  <c:pt idx="1535">
                    <c:v>T020</c:v>
                  </c:pt>
                  <c:pt idx="1536">
                    <c:v>T021</c:v>
                  </c:pt>
                  <c:pt idx="1537">
                    <c:v>T022</c:v>
                  </c:pt>
                  <c:pt idx="1538">
                    <c:v>T023</c:v>
                  </c:pt>
                  <c:pt idx="1539">
                    <c:v>T024</c:v>
                  </c:pt>
                  <c:pt idx="1540">
                    <c:v>T007</c:v>
                  </c:pt>
                  <c:pt idx="1541">
                    <c:v>T008</c:v>
                  </c:pt>
                  <c:pt idx="1542">
                    <c:v>T009</c:v>
                  </c:pt>
                  <c:pt idx="1543">
                    <c:v>T010</c:v>
                  </c:pt>
                  <c:pt idx="1544">
                    <c:v>T011</c:v>
                  </c:pt>
                  <c:pt idx="1545">
                    <c:v>T012</c:v>
                  </c:pt>
                  <c:pt idx="1546">
                    <c:v>T001</c:v>
                  </c:pt>
                  <c:pt idx="1547">
                    <c:v>T002</c:v>
                  </c:pt>
                  <c:pt idx="1548">
                    <c:v>T003</c:v>
                  </c:pt>
                  <c:pt idx="1549">
                    <c:v>T004</c:v>
                  </c:pt>
                  <c:pt idx="1550">
                    <c:v>T005</c:v>
                  </c:pt>
                  <c:pt idx="1551">
                    <c:v>T006</c:v>
                  </c:pt>
                  <c:pt idx="1552">
                    <c:v>T007</c:v>
                  </c:pt>
                  <c:pt idx="1553">
                    <c:v>T008</c:v>
                  </c:pt>
                  <c:pt idx="1554">
                    <c:v>T009</c:v>
                  </c:pt>
                  <c:pt idx="1555">
                    <c:v>T010</c:v>
                  </c:pt>
                  <c:pt idx="1556">
                    <c:v>T011</c:v>
                  </c:pt>
                  <c:pt idx="1557">
                    <c:v>T012</c:v>
                  </c:pt>
                  <c:pt idx="1558">
                    <c:v>T013</c:v>
                  </c:pt>
                  <c:pt idx="1559">
                    <c:v>T014</c:v>
                  </c:pt>
                  <c:pt idx="1560">
                    <c:v>T015</c:v>
                  </c:pt>
                  <c:pt idx="1561">
                    <c:v>T016</c:v>
                  </c:pt>
                  <c:pt idx="1562">
                    <c:v>T017</c:v>
                  </c:pt>
                  <c:pt idx="1563">
                    <c:v>T018</c:v>
                  </c:pt>
                  <c:pt idx="1564">
                    <c:v>T019</c:v>
                  </c:pt>
                  <c:pt idx="1565">
                    <c:v>T020</c:v>
                  </c:pt>
                  <c:pt idx="1566">
                    <c:v>T021</c:v>
                  </c:pt>
                  <c:pt idx="1567">
                    <c:v>T022</c:v>
                  </c:pt>
                  <c:pt idx="1568">
                    <c:v>T023</c:v>
                  </c:pt>
                  <c:pt idx="1569">
                    <c:v>T024</c:v>
                  </c:pt>
                  <c:pt idx="1570">
                    <c:v>T006</c:v>
                  </c:pt>
                  <c:pt idx="1571">
                    <c:v>T007</c:v>
                  </c:pt>
                  <c:pt idx="1572">
                    <c:v>T008</c:v>
                  </c:pt>
                  <c:pt idx="1573">
                    <c:v>T009</c:v>
                  </c:pt>
                  <c:pt idx="1574">
                    <c:v>T010</c:v>
                  </c:pt>
                  <c:pt idx="1575">
                    <c:v>T011</c:v>
                  </c:pt>
                  <c:pt idx="1576">
                    <c:v>T012</c:v>
                  </c:pt>
                  <c:pt idx="1577">
                    <c:v>T013</c:v>
                  </c:pt>
                  <c:pt idx="1578">
                    <c:v>T014</c:v>
                  </c:pt>
                  <c:pt idx="1579">
                    <c:v>T015</c:v>
                  </c:pt>
                  <c:pt idx="1580">
                    <c:v>T016</c:v>
                  </c:pt>
                  <c:pt idx="1581">
                    <c:v>T017</c:v>
                  </c:pt>
                  <c:pt idx="1582">
                    <c:v>T018</c:v>
                  </c:pt>
                  <c:pt idx="1583">
                    <c:v>T019</c:v>
                  </c:pt>
                  <c:pt idx="1584">
                    <c:v>T020</c:v>
                  </c:pt>
                  <c:pt idx="1585">
                    <c:v>T021</c:v>
                  </c:pt>
                  <c:pt idx="1586">
                    <c:v>T022</c:v>
                  </c:pt>
                  <c:pt idx="1587">
                    <c:v>T023</c:v>
                  </c:pt>
                  <c:pt idx="1588">
                    <c:v>T024</c:v>
                  </c:pt>
                  <c:pt idx="1589">
                    <c:v>T001</c:v>
                  </c:pt>
                  <c:pt idx="1590">
                    <c:v>T002</c:v>
                  </c:pt>
                  <c:pt idx="1591">
                    <c:v>T003</c:v>
                  </c:pt>
                  <c:pt idx="1592">
                    <c:v>T004</c:v>
                  </c:pt>
                  <c:pt idx="1593">
                    <c:v>T005</c:v>
                  </c:pt>
                  <c:pt idx="1594">
                    <c:v>T006</c:v>
                  </c:pt>
                  <c:pt idx="1595">
                    <c:v>T007</c:v>
                  </c:pt>
                  <c:pt idx="1596">
                    <c:v>T008</c:v>
                  </c:pt>
                  <c:pt idx="1597">
                    <c:v>T009</c:v>
                  </c:pt>
                  <c:pt idx="1598">
                    <c:v>T010</c:v>
                  </c:pt>
                  <c:pt idx="1599">
                    <c:v>T011</c:v>
                  </c:pt>
                  <c:pt idx="1600">
                    <c:v>T012</c:v>
                  </c:pt>
                  <c:pt idx="1601">
                    <c:v>T013</c:v>
                  </c:pt>
                  <c:pt idx="1602">
                    <c:v>T014</c:v>
                  </c:pt>
                  <c:pt idx="1603">
                    <c:v>T015</c:v>
                  </c:pt>
                  <c:pt idx="1604">
                    <c:v>T016</c:v>
                  </c:pt>
                  <c:pt idx="1605">
                    <c:v>T017</c:v>
                  </c:pt>
                  <c:pt idx="1606">
                    <c:v>T018</c:v>
                  </c:pt>
                  <c:pt idx="1607">
                    <c:v>T019</c:v>
                  </c:pt>
                  <c:pt idx="1608">
                    <c:v>T020</c:v>
                  </c:pt>
                  <c:pt idx="1609">
                    <c:v>T021</c:v>
                  </c:pt>
                  <c:pt idx="1610">
                    <c:v>T022</c:v>
                  </c:pt>
                  <c:pt idx="1611">
                    <c:v>T023</c:v>
                  </c:pt>
                  <c:pt idx="1612">
                    <c:v>T024</c:v>
                  </c:pt>
                  <c:pt idx="1613">
                    <c:v>T008</c:v>
                  </c:pt>
                  <c:pt idx="1614">
                    <c:v>T019</c:v>
                  </c:pt>
                  <c:pt idx="1615">
                    <c:v>T007</c:v>
                  </c:pt>
                  <c:pt idx="1616">
                    <c:v>T008</c:v>
                  </c:pt>
                  <c:pt idx="1617">
                    <c:v>T009</c:v>
                  </c:pt>
                  <c:pt idx="1618">
                    <c:v>T010</c:v>
                  </c:pt>
                  <c:pt idx="1619">
                    <c:v>T011</c:v>
                  </c:pt>
                  <c:pt idx="1620">
                    <c:v>T012</c:v>
                  </c:pt>
                  <c:pt idx="1621">
                    <c:v>T013</c:v>
                  </c:pt>
                  <c:pt idx="1622">
                    <c:v>T014</c:v>
                  </c:pt>
                  <c:pt idx="1623">
                    <c:v>T015</c:v>
                  </c:pt>
                  <c:pt idx="1624">
                    <c:v>T016</c:v>
                  </c:pt>
                  <c:pt idx="1625">
                    <c:v>T017</c:v>
                  </c:pt>
                  <c:pt idx="1626">
                    <c:v>T018</c:v>
                  </c:pt>
                  <c:pt idx="1627">
                    <c:v>T019</c:v>
                  </c:pt>
                  <c:pt idx="1628">
                    <c:v>T007</c:v>
                  </c:pt>
                  <c:pt idx="1629">
                    <c:v>T008</c:v>
                  </c:pt>
                  <c:pt idx="1630">
                    <c:v>T009</c:v>
                  </c:pt>
                  <c:pt idx="1631">
                    <c:v>T010</c:v>
                  </c:pt>
                  <c:pt idx="1632">
                    <c:v>T011</c:v>
                  </c:pt>
                  <c:pt idx="1633">
                    <c:v>T012</c:v>
                  </c:pt>
                  <c:pt idx="1634">
                    <c:v>T013</c:v>
                  </c:pt>
                  <c:pt idx="1635">
                    <c:v>T014</c:v>
                  </c:pt>
                  <c:pt idx="1636">
                    <c:v>T015</c:v>
                  </c:pt>
                  <c:pt idx="1637">
                    <c:v>T016</c:v>
                  </c:pt>
                  <c:pt idx="1638">
                    <c:v>T017</c:v>
                  </c:pt>
                  <c:pt idx="1639">
                    <c:v>T018</c:v>
                  </c:pt>
                  <c:pt idx="1640">
                    <c:v>T019</c:v>
                  </c:pt>
                  <c:pt idx="1641">
                    <c:v>T001</c:v>
                  </c:pt>
                  <c:pt idx="1642">
                    <c:v>T002</c:v>
                  </c:pt>
                  <c:pt idx="1643">
                    <c:v>T003</c:v>
                  </c:pt>
                  <c:pt idx="1644">
                    <c:v>T004</c:v>
                  </c:pt>
                  <c:pt idx="1645">
                    <c:v>T005</c:v>
                  </c:pt>
                  <c:pt idx="1646">
                    <c:v>T006</c:v>
                  </c:pt>
                  <c:pt idx="1647">
                    <c:v>T007</c:v>
                  </c:pt>
                  <c:pt idx="1648">
                    <c:v>T008</c:v>
                  </c:pt>
                  <c:pt idx="1649">
                    <c:v>T009</c:v>
                  </c:pt>
                  <c:pt idx="1650">
                    <c:v>T010</c:v>
                  </c:pt>
                  <c:pt idx="1651">
                    <c:v>T011</c:v>
                  </c:pt>
                  <c:pt idx="1652">
                    <c:v>T012</c:v>
                  </c:pt>
                  <c:pt idx="1653">
                    <c:v>T013</c:v>
                  </c:pt>
                  <c:pt idx="1654">
                    <c:v>T014</c:v>
                  </c:pt>
                  <c:pt idx="1655">
                    <c:v>T015</c:v>
                  </c:pt>
                  <c:pt idx="1656">
                    <c:v>T016</c:v>
                  </c:pt>
                  <c:pt idx="1657">
                    <c:v>T017</c:v>
                  </c:pt>
                  <c:pt idx="1658">
                    <c:v>T018</c:v>
                  </c:pt>
                  <c:pt idx="1659">
                    <c:v>T019</c:v>
                  </c:pt>
                  <c:pt idx="1660">
                    <c:v>T020</c:v>
                  </c:pt>
                  <c:pt idx="1661">
                    <c:v>T021</c:v>
                  </c:pt>
                  <c:pt idx="1662">
                    <c:v>T022</c:v>
                  </c:pt>
                  <c:pt idx="1663">
                    <c:v>T023</c:v>
                  </c:pt>
                  <c:pt idx="1664">
                    <c:v>T024</c:v>
                  </c:pt>
                  <c:pt idx="1665">
                    <c:v>T001</c:v>
                  </c:pt>
                  <c:pt idx="1666">
                    <c:v>T002</c:v>
                  </c:pt>
                  <c:pt idx="1667">
                    <c:v>T003</c:v>
                  </c:pt>
                  <c:pt idx="1668">
                    <c:v>T004</c:v>
                  </c:pt>
                  <c:pt idx="1669">
                    <c:v>T005</c:v>
                  </c:pt>
                  <c:pt idx="1670">
                    <c:v>T006</c:v>
                  </c:pt>
                  <c:pt idx="1671">
                    <c:v>T007</c:v>
                  </c:pt>
                  <c:pt idx="1672">
                    <c:v>T008</c:v>
                  </c:pt>
                  <c:pt idx="1673">
                    <c:v>T009</c:v>
                  </c:pt>
                  <c:pt idx="1674">
                    <c:v>T010</c:v>
                  </c:pt>
                  <c:pt idx="1675">
                    <c:v>T011</c:v>
                  </c:pt>
                  <c:pt idx="1676">
                    <c:v>T012</c:v>
                  </c:pt>
                  <c:pt idx="1677">
                    <c:v>T013</c:v>
                  </c:pt>
                  <c:pt idx="1678">
                    <c:v>T014</c:v>
                  </c:pt>
                  <c:pt idx="1679">
                    <c:v>T015</c:v>
                  </c:pt>
                  <c:pt idx="1680">
                    <c:v>T016</c:v>
                  </c:pt>
                  <c:pt idx="1681">
                    <c:v>T017</c:v>
                  </c:pt>
                  <c:pt idx="1682">
                    <c:v>T018</c:v>
                  </c:pt>
                  <c:pt idx="1683">
                    <c:v>T019</c:v>
                  </c:pt>
                  <c:pt idx="1684">
                    <c:v>T020</c:v>
                  </c:pt>
                  <c:pt idx="1685">
                    <c:v>T021</c:v>
                  </c:pt>
                  <c:pt idx="1686">
                    <c:v>T022</c:v>
                  </c:pt>
                  <c:pt idx="1687">
                    <c:v>T023</c:v>
                  </c:pt>
                  <c:pt idx="1688">
                    <c:v>T024</c:v>
                  </c:pt>
                  <c:pt idx="1689">
                    <c:v>T001</c:v>
                  </c:pt>
                  <c:pt idx="1690">
                    <c:v>T002</c:v>
                  </c:pt>
                  <c:pt idx="1691">
                    <c:v>T003</c:v>
                  </c:pt>
                  <c:pt idx="1692">
                    <c:v>T004</c:v>
                  </c:pt>
                  <c:pt idx="1693">
                    <c:v>T005</c:v>
                  </c:pt>
                  <c:pt idx="1694">
                    <c:v>T006</c:v>
                  </c:pt>
                  <c:pt idx="1695">
                    <c:v>T007</c:v>
                  </c:pt>
                  <c:pt idx="1696">
                    <c:v>T008</c:v>
                  </c:pt>
                  <c:pt idx="1697">
                    <c:v>T009</c:v>
                  </c:pt>
                  <c:pt idx="1698">
                    <c:v>T010</c:v>
                  </c:pt>
                  <c:pt idx="1699">
                    <c:v>T011</c:v>
                  </c:pt>
                  <c:pt idx="1700">
                    <c:v>T012</c:v>
                  </c:pt>
                  <c:pt idx="1701">
                    <c:v>T013</c:v>
                  </c:pt>
                  <c:pt idx="1702">
                    <c:v>T014</c:v>
                  </c:pt>
                  <c:pt idx="1703">
                    <c:v>T015</c:v>
                  </c:pt>
                  <c:pt idx="1704">
                    <c:v>T016</c:v>
                  </c:pt>
                  <c:pt idx="1705">
                    <c:v>T017</c:v>
                  </c:pt>
                  <c:pt idx="1706">
                    <c:v>T018</c:v>
                  </c:pt>
                  <c:pt idx="1707">
                    <c:v>T019</c:v>
                  </c:pt>
                  <c:pt idx="1708">
                    <c:v>T020</c:v>
                  </c:pt>
                  <c:pt idx="1709">
                    <c:v>T021</c:v>
                  </c:pt>
                  <c:pt idx="1710">
                    <c:v>T022</c:v>
                  </c:pt>
                  <c:pt idx="1711">
                    <c:v>T023</c:v>
                  </c:pt>
                  <c:pt idx="1712">
                    <c:v>T024</c:v>
                  </c:pt>
                  <c:pt idx="1713">
                    <c:v>T001</c:v>
                  </c:pt>
                  <c:pt idx="1714">
                    <c:v>T002</c:v>
                  </c:pt>
                  <c:pt idx="1715">
                    <c:v>T003</c:v>
                  </c:pt>
                  <c:pt idx="1716">
                    <c:v>T004</c:v>
                  </c:pt>
                  <c:pt idx="1717">
                    <c:v>T005</c:v>
                  </c:pt>
                  <c:pt idx="1718">
                    <c:v>T006</c:v>
                  </c:pt>
                  <c:pt idx="1719">
                    <c:v>T007</c:v>
                  </c:pt>
                  <c:pt idx="1720">
                    <c:v>T008</c:v>
                  </c:pt>
                  <c:pt idx="1721">
                    <c:v>T009</c:v>
                  </c:pt>
                  <c:pt idx="1722">
                    <c:v>T010</c:v>
                  </c:pt>
                  <c:pt idx="1723">
                    <c:v>T011</c:v>
                  </c:pt>
                  <c:pt idx="1724">
                    <c:v>T012</c:v>
                  </c:pt>
                  <c:pt idx="1725">
                    <c:v>T013</c:v>
                  </c:pt>
                  <c:pt idx="1726">
                    <c:v>T014</c:v>
                  </c:pt>
                  <c:pt idx="1727">
                    <c:v>T015</c:v>
                  </c:pt>
                  <c:pt idx="1728">
                    <c:v>T016</c:v>
                  </c:pt>
                  <c:pt idx="1729">
                    <c:v>T017</c:v>
                  </c:pt>
                  <c:pt idx="1730">
                    <c:v>T018</c:v>
                  </c:pt>
                  <c:pt idx="1731">
                    <c:v>T019</c:v>
                  </c:pt>
                  <c:pt idx="1732">
                    <c:v>T020</c:v>
                  </c:pt>
                  <c:pt idx="1733">
                    <c:v>T021</c:v>
                  </c:pt>
                  <c:pt idx="1734">
                    <c:v>T022</c:v>
                  </c:pt>
                  <c:pt idx="1735">
                    <c:v>T023</c:v>
                  </c:pt>
                  <c:pt idx="1736">
                    <c:v>T024</c:v>
                  </c:pt>
                  <c:pt idx="1737">
                    <c:v>T001</c:v>
                  </c:pt>
                  <c:pt idx="1738">
                    <c:v>T002</c:v>
                  </c:pt>
                  <c:pt idx="1739">
                    <c:v>T003</c:v>
                  </c:pt>
                  <c:pt idx="1740">
                    <c:v>T004</c:v>
                  </c:pt>
                  <c:pt idx="1741">
                    <c:v>T005</c:v>
                  </c:pt>
                  <c:pt idx="1742">
                    <c:v>T006</c:v>
                  </c:pt>
                  <c:pt idx="1743">
                    <c:v>T007</c:v>
                  </c:pt>
                  <c:pt idx="1744">
                    <c:v>T008</c:v>
                  </c:pt>
                  <c:pt idx="1745">
                    <c:v>T009</c:v>
                  </c:pt>
                  <c:pt idx="1746">
                    <c:v>T010</c:v>
                  </c:pt>
                  <c:pt idx="1747">
                    <c:v>T011</c:v>
                  </c:pt>
                  <c:pt idx="1748">
                    <c:v>T012</c:v>
                  </c:pt>
                  <c:pt idx="1749">
                    <c:v>T013</c:v>
                  </c:pt>
                  <c:pt idx="1750">
                    <c:v>T014</c:v>
                  </c:pt>
                  <c:pt idx="1751">
                    <c:v>T015</c:v>
                  </c:pt>
                  <c:pt idx="1752">
                    <c:v>T016</c:v>
                  </c:pt>
                  <c:pt idx="1753">
                    <c:v>T017</c:v>
                  </c:pt>
                  <c:pt idx="1754">
                    <c:v>T018</c:v>
                  </c:pt>
                  <c:pt idx="1755">
                    <c:v>T019</c:v>
                  </c:pt>
                  <c:pt idx="1756">
                    <c:v>T020</c:v>
                  </c:pt>
                  <c:pt idx="1757">
                    <c:v>T021</c:v>
                  </c:pt>
                  <c:pt idx="1758">
                    <c:v>T022</c:v>
                  </c:pt>
                  <c:pt idx="1759">
                    <c:v>T023</c:v>
                  </c:pt>
                  <c:pt idx="1760">
                    <c:v>T024</c:v>
                  </c:pt>
                  <c:pt idx="1761">
                    <c:v>T001</c:v>
                  </c:pt>
                  <c:pt idx="1762">
                    <c:v>T002</c:v>
                  </c:pt>
                  <c:pt idx="1763">
                    <c:v>T003</c:v>
                  </c:pt>
                  <c:pt idx="1764">
                    <c:v>T004</c:v>
                  </c:pt>
                  <c:pt idx="1765">
                    <c:v>T005</c:v>
                  </c:pt>
                  <c:pt idx="1766">
                    <c:v>T006</c:v>
                  </c:pt>
                  <c:pt idx="1767">
                    <c:v>T007</c:v>
                  </c:pt>
                  <c:pt idx="1768">
                    <c:v>T008</c:v>
                  </c:pt>
                  <c:pt idx="1769">
                    <c:v>T009</c:v>
                  </c:pt>
                  <c:pt idx="1770">
                    <c:v>T010</c:v>
                  </c:pt>
                  <c:pt idx="1771">
                    <c:v>T011</c:v>
                  </c:pt>
                  <c:pt idx="1772">
                    <c:v>T012</c:v>
                  </c:pt>
                  <c:pt idx="1773">
                    <c:v>T013</c:v>
                  </c:pt>
                  <c:pt idx="1774">
                    <c:v>T014</c:v>
                  </c:pt>
                  <c:pt idx="1775">
                    <c:v>T015</c:v>
                  </c:pt>
                  <c:pt idx="1776">
                    <c:v>T016</c:v>
                  </c:pt>
                  <c:pt idx="1777">
                    <c:v>T017</c:v>
                  </c:pt>
                  <c:pt idx="1778">
                    <c:v>T018</c:v>
                  </c:pt>
                  <c:pt idx="1779">
                    <c:v>T019</c:v>
                  </c:pt>
                  <c:pt idx="1780">
                    <c:v>T020</c:v>
                  </c:pt>
                  <c:pt idx="1781">
                    <c:v>T021</c:v>
                  </c:pt>
                  <c:pt idx="1782">
                    <c:v>T022</c:v>
                  </c:pt>
                  <c:pt idx="1783">
                    <c:v>T023</c:v>
                  </c:pt>
                  <c:pt idx="1784">
                    <c:v>T024</c:v>
                  </c:pt>
                  <c:pt idx="1785">
                    <c:v>T001</c:v>
                  </c:pt>
                  <c:pt idx="1786">
                    <c:v>T002</c:v>
                  </c:pt>
                  <c:pt idx="1787">
                    <c:v>T003</c:v>
                  </c:pt>
                  <c:pt idx="1788">
                    <c:v>T004</c:v>
                  </c:pt>
                  <c:pt idx="1789">
                    <c:v>T005</c:v>
                  </c:pt>
                  <c:pt idx="1790">
                    <c:v>T006</c:v>
                  </c:pt>
                  <c:pt idx="1791">
                    <c:v>T007</c:v>
                  </c:pt>
                  <c:pt idx="1792">
                    <c:v>T008</c:v>
                  </c:pt>
                  <c:pt idx="1793">
                    <c:v>T009</c:v>
                  </c:pt>
                  <c:pt idx="1794">
                    <c:v>T010</c:v>
                  </c:pt>
                  <c:pt idx="1795">
                    <c:v>T011</c:v>
                  </c:pt>
                  <c:pt idx="1796">
                    <c:v>T012</c:v>
                  </c:pt>
                  <c:pt idx="1797">
                    <c:v>T013</c:v>
                  </c:pt>
                  <c:pt idx="1798">
                    <c:v>T014</c:v>
                  </c:pt>
                  <c:pt idx="1799">
                    <c:v>T015</c:v>
                  </c:pt>
                  <c:pt idx="1800">
                    <c:v>T016</c:v>
                  </c:pt>
                  <c:pt idx="1801">
                    <c:v>T017</c:v>
                  </c:pt>
                  <c:pt idx="1802">
                    <c:v>T018</c:v>
                  </c:pt>
                  <c:pt idx="1803">
                    <c:v>T019</c:v>
                  </c:pt>
                  <c:pt idx="1804">
                    <c:v>T020</c:v>
                  </c:pt>
                  <c:pt idx="1805">
                    <c:v>T021</c:v>
                  </c:pt>
                  <c:pt idx="1806">
                    <c:v>T022</c:v>
                  </c:pt>
                  <c:pt idx="1807">
                    <c:v>T023</c:v>
                  </c:pt>
                  <c:pt idx="1808">
                    <c:v>T024</c:v>
                  </c:pt>
                  <c:pt idx="1809">
                    <c:v>T001</c:v>
                  </c:pt>
                  <c:pt idx="1810">
                    <c:v>T002</c:v>
                  </c:pt>
                  <c:pt idx="1811">
                    <c:v>T003</c:v>
                  </c:pt>
                  <c:pt idx="1812">
                    <c:v>T004</c:v>
                  </c:pt>
                  <c:pt idx="1813">
                    <c:v>T005</c:v>
                  </c:pt>
                  <c:pt idx="1814">
                    <c:v>T006</c:v>
                  </c:pt>
                  <c:pt idx="1815">
                    <c:v>T007</c:v>
                  </c:pt>
                  <c:pt idx="1816">
                    <c:v>T008</c:v>
                  </c:pt>
                  <c:pt idx="1817">
                    <c:v>T009</c:v>
                  </c:pt>
                  <c:pt idx="1818">
                    <c:v>T010</c:v>
                  </c:pt>
                  <c:pt idx="1819">
                    <c:v>T011</c:v>
                  </c:pt>
                  <c:pt idx="1820">
                    <c:v>T012</c:v>
                  </c:pt>
                  <c:pt idx="1821">
                    <c:v>T013</c:v>
                  </c:pt>
                  <c:pt idx="1822">
                    <c:v>T014</c:v>
                  </c:pt>
                  <c:pt idx="1823">
                    <c:v>T015</c:v>
                  </c:pt>
                  <c:pt idx="1824">
                    <c:v>T016</c:v>
                  </c:pt>
                  <c:pt idx="1825">
                    <c:v>T017</c:v>
                  </c:pt>
                  <c:pt idx="1826">
                    <c:v>T018</c:v>
                  </c:pt>
                  <c:pt idx="1827">
                    <c:v>T019</c:v>
                  </c:pt>
                  <c:pt idx="1828">
                    <c:v>T020</c:v>
                  </c:pt>
                  <c:pt idx="1829">
                    <c:v>T021</c:v>
                  </c:pt>
                  <c:pt idx="1830">
                    <c:v>T022</c:v>
                  </c:pt>
                  <c:pt idx="1831">
                    <c:v>T023</c:v>
                  </c:pt>
                  <c:pt idx="1832">
                    <c:v>T024</c:v>
                  </c:pt>
                  <c:pt idx="1833">
                    <c:v>T001</c:v>
                  </c:pt>
                  <c:pt idx="1834">
                    <c:v>T002</c:v>
                  </c:pt>
                  <c:pt idx="1835">
                    <c:v>T003</c:v>
                  </c:pt>
                  <c:pt idx="1836">
                    <c:v>T004</c:v>
                  </c:pt>
                  <c:pt idx="1837">
                    <c:v>T005</c:v>
                  </c:pt>
                  <c:pt idx="1838">
                    <c:v>T006</c:v>
                  </c:pt>
                  <c:pt idx="1839">
                    <c:v>T007</c:v>
                  </c:pt>
                  <c:pt idx="1840">
                    <c:v>T008</c:v>
                  </c:pt>
                  <c:pt idx="1841">
                    <c:v>T009</c:v>
                  </c:pt>
                  <c:pt idx="1842">
                    <c:v>T010</c:v>
                  </c:pt>
                  <c:pt idx="1843">
                    <c:v>T011</c:v>
                  </c:pt>
                  <c:pt idx="1844">
                    <c:v>T012</c:v>
                  </c:pt>
                  <c:pt idx="1845">
                    <c:v>T013</c:v>
                  </c:pt>
                  <c:pt idx="1846">
                    <c:v>T014</c:v>
                  </c:pt>
                  <c:pt idx="1847">
                    <c:v>T015</c:v>
                  </c:pt>
                  <c:pt idx="1848">
                    <c:v>T016</c:v>
                  </c:pt>
                  <c:pt idx="1849">
                    <c:v>T017</c:v>
                  </c:pt>
                  <c:pt idx="1850">
                    <c:v>T018</c:v>
                  </c:pt>
                  <c:pt idx="1851">
                    <c:v>T019</c:v>
                  </c:pt>
                  <c:pt idx="1852">
                    <c:v>T020</c:v>
                  </c:pt>
                  <c:pt idx="1853">
                    <c:v>T021</c:v>
                  </c:pt>
                  <c:pt idx="1854">
                    <c:v>T022</c:v>
                  </c:pt>
                  <c:pt idx="1855">
                    <c:v>T023</c:v>
                  </c:pt>
                  <c:pt idx="1856">
                    <c:v>T024</c:v>
                  </c:pt>
                  <c:pt idx="1857">
                    <c:v>T001</c:v>
                  </c:pt>
                  <c:pt idx="1858">
                    <c:v>T002</c:v>
                  </c:pt>
                  <c:pt idx="1859">
                    <c:v>T003</c:v>
                  </c:pt>
                  <c:pt idx="1860">
                    <c:v>T004</c:v>
                  </c:pt>
                  <c:pt idx="1861">
                    <c:v>T005</c:v>
                  </c:pt>
                  <c:pt idx="1862">
                    <c:v>T006</c:v>
                  </c:pt>
                  <c:pt idx="1863">
                    <c:v>T007</c:v>
                  </c:pt>
                  <c:pt idx="1864">
                    <c:v>T008</c:v>
                  </c:pt>
                  <c:pt idx="1865">
                    <c:v>T009</c:v>
                  </c:pt>
                  <c:pt idx="1866">
                    <c:v>T010</c:v>
                  </c:pt>
                  <c:pt idx="1867">
                    <c:v>T011</c:v>
                  </c:pt>
                  <c:pt idx="1868">
                    <c:v>T012</c:v>
                  </c:pt>
                  <c:pt idx="1869">
                    <c:v>T013</c:v>
                  </c:pt>
                  <c:pt idx="1870">
                    <c:v>T014</c:v>
                  </c:pt>
                  <c:pt idx="1871">
                    <c:v>T015</c:v>
                  </c:pt>
                  <c:pt idx="1872">
                    <c:v>T016</c:v>
                  </c:pt>
                  <c:pt idx="1873">
                    <c:v>T017</c:v>
                  </c:pt>
                  <c:pt idx="1874">
                    <c:v>T018</c:v>
                  </c:pt>
                  <c:pt idx="1875">
                    <c:v>T019</c:v>
                  </c:pt>
                  <c:pt idx="1876">
                    <c:v>T020</c:v>
                  </c:pt>
                  <c:pt idx="1877">
                    <c:v>T021</c:v>
                  </c:pt>
                  <c:pt idx="1878">
                    <c:v>T022</c:v>
                  </c:pt>
                  <c:pt idx="1879">
                    <c:v>T023</c:v>
                  </c:pt>
                  <c:pt idx="1880">
                    <c:v>T024</c:v>
                  </c:pt>
                  <c:pt idx="1881">
                    <c:v>T018</c:v>
                  </c:pt>
                  <c:pt idx="1882">
                    <c:v>T020</c:v>
                  </c:pt>
                  <c:pt idx="1883">
                    <c:v>T021</c:v>
                  </c:pt>
                  <c:pt idx="1884">
                    <c:v>T022</c:v>
                  </c:pt>
                  <c:pt idx="1885">
                    <c:v>T001</c:v>
                  </c:pt>
                  <c:pt idx="1886">
                    <c:v>T002</c:v>
                  </c:pt>
                  <c:pt idx="1887">
                    <c:v>T003</c:v>
                  </c:pt>
                  <c:pt idx="1888">
                    <c:v>T004</c:v>
                  </c:pt>
                  <c:pt idx="1889">
                    <c:v>T005</c:v>
                  </c:pt>
                  <c:pt idx="1890">
                    <c:v>T006</c:v>
                  </c:pt>
                  <c:pt idx="1891">
                    <c:v>T007</c:v>
                  </c:pt>
                  <c:pt idx="1892">
                    <c:v>T008</c:v>
                  </c:pt>
                  <c:pt idx="1893">
                    <c:v>T009</c:v>
                  </c:pt>
                  <c:pt idx="1894">
                    <c:v>T010</c:v>
                  </c:pt>
                  <c:pt idx="1895">
                    <c:v>T011</c:v>
                  </c:pt>
                  <c:pt idx="1896">
                    <c:v>T012</c:v>
                  </c:pt>
                  <c:pt idx="1897">
                    <c:v>T013</c:v>
                  </c:pt>
                  <c:pt idx="1898">
                    <c:v>T014</c:v>
                  </c:pt>
                  <c:pt idx="1899">
                    <c:v>T015</c:v>
                  </c:pt>
                  <c:pt idx="1900">
                    <c:v>T016</c:v>
                  </c:pt>
                  <c:pt idx="1901">
                    <c:v>T017</c:v>
                  </c:pt>
                  <c:pt idx="1902">
                    <c:v>T018</c:v>
                  </c:pt>
                  <c:pt idx="1903">
                    <c:v>T019</c:v>
                  </c:pt>
                  <c:pt idx="1904">
                    <c:v>T020</c:v>
                  </c:pt>
                  <c:pt idx="1905">
                    <c:v>T021</c:v>
                  </c:pt>
                  <c:pt idx="1906">
                    <c:v>T022</c:v>
                  </c:pt>
                  <c:pt idx="1907">
                    <c:v>T023</c:v>
                  </c:pt>
                  <c:pt idx="1908">
                    <c:v>T024</c:v>
                  </c:pt>
                  <c:pt idx="1909">
                    <c:v>T001</c:v>
                  </c:pt>
                  <c:pt idx="1910">
                    <c:v>T002</c:v>
                  </c:pt>
                  <c:pt idx="1911">
                    <c:v>T003</c:v>
                  </c:pt>
                  <c:pt idx="1912">
                    <c:v>T004</c:v>
                  </c:pt>
                  <c:pt idx="1913">
                    <c:v>T005</c:v>
                  </c:pt>
                  <c:pt idx="1914">
                    <c:v>T006</c:v>
                  </c:pt>
                  <c:pt idx="1915">
                    <c:v>T007</c:v>
                  </c:pt>
                  <c:pt idx="1916">
                    <c:v>T008</c:v>
                  </c:pt>
                  <c:pt idx="1917">
                    <c:v>T009</c:v>
                  </c:pt>
                  <c:pt idx="1918">
                    <c:v>T010</c:v>
                  </c:pt>
                  <c:pt idx="1919">
                    <c:v>T011</c:v>
                  </c:pt>
                  <c:pt idx="1920">
                    <c:v>T012</c:v>
                  </c:pt>
                  <c:pt idx="1921">
                    <c:v>T013</c:v>
                  </c:pt>
                  <c:pt idx="1922">
                    <c:v>T014</c:v>
                  </c:pt>
                  <c:pt idx="1923">
                    <c:v>T015</c:v>
                  </c:pt>
                  <c:pt idx="1924">
                    <c:v>T016</c:v>
                  </c:pt>
                  <c:pt idx="1925">
                    <c:v>T017</c:v>
                  </c:pt>
                  <c:pt idx="1926">
                    <c:v>T018</c:v>
                  </c:pt>
                  <c:pt idx="1927">
                    <c:v>T019</c:v>
                  </c:pt>
                  <c:pt idx="1928">
                    <c:v>T020</c:v>
                  </c:pt>
                  <c:pt idx="1929">
                    <c:v>T021</c:v>
                  </c:pt>
                  <c:pt idx="1930">
                    <c:v>T022</c:v>
                  </c:pt>
                  <c:pt idx="1931">
                    <c:v>T023</c:v>
                  </c:pt>
                  <c:pt idx="1932">
                    <c:v>T024</c:v>
                  </c:pt>
                  <c:pt idx="1933">
                    <c:v>T001</c:v>
                  </c:pt>
                  <c:pt idx="1934">
                    <c:v>T002</c:v>
                  </c:pt>
                  <c:pt idx="1935">
                    <c:v>T003</c:v>
                  </c:pt>
                  <c:pt idx="1936">
                    <c:v>T004</c:v>
                  </c:pt>
                  <c:pt idx="1937">
                    <c:v>T005</c:v>
                  </c:pt>
                  <c:pt idx="1938">
                    <c:v>T006</c:v>
                  </c:pt>
                  <c:pt idx="1939">
                    <c:v>T007</c:v>
                  </c:pt>
                  <c:pt idx="1940">
                    <c:v>T008</c:v>
                  </c:pt>
                  <c:pt idx="1941">
                    <c:v>T009</c:v>
                  </c:pt>
                  <c:pt idx="1942">
                    <c:v>T010</c:v>
                  </c:pt>
                  <c:pt idx="1943">
                    <c:v>T011</c:v>
                  </c:pt>
                  <c:pt idx="1944">
                    <c:v>T012</c:v>
                  </c:pt>
                  <c:pt idx="1945">
                    <c:v>T013</c:v>
                  </c:pt>
                  <c:pt idx="1946">
                    <c:v>T014</c:v>
                  </c:pt>
                  <c:pt idx="1947">
                    <c:v>T015</c:v>
                  </c:pt>
                  <c:pt idx="1948">
                    <c:v>T016</c:v>
                  </c:pt>
                  <c:pt idx="1949">
                    <c:v>T017</c:v>
                  </c:pt>
                  <c:pt idx="1950">
                    <c:v>T018</c:v>
                  </c:pt>
                  <c:pt idx="1951">
                    <c:v>T019</c:v>
                  </c:pt>
                  <c:pt idx="1952">
                    <c:v>T020</c:v>
                  </c:pt>
                  <c:pt idx="1953">
                    <c:v>T021</c:v>
                  </c:pt>
                  <c:pt idx="1954">
                    <c:v>T022</c:v>
                  </c:pt>
                  <c:pt idx="1955">
                    <c:v>T023</c:v>
                  </c:pt>
                  <c:pt idx="1956">
                    <c:v>T024</c:v>
                  </c:pt>
                  <c:pt idx="1957">
                    <c:v>T001</c:v>
                  </c:pt>
                  <c:pt idx="1958">
                    <c:v>T002</c:v>
                  </c:pt>
                  <c:pt idx="1959">
                    <c:v>T003</c:v>
                  </c:pt>
                  <c:pt idx="1960">
                    <c:v>T004</c:v>
                  </c:pt>
                  <c:pt idx="1961">
                    <c:v>T005</c:v>
                  </c:pt>
                  <c:pt idx="1962">
                    <c:v>T006</c:v>
                  </c:pt>
                  <c:pt idx="1963">
                    <c:v>T007</c:v>
                  </c:pt>
                  <c:pt idx="1964">
                    <c:v>T008</c:v>
                  </c:pt>
                  <c:pt idx="1965">
                    <c:v>T009</c:v>
                  </c:pt>
                  <c:pt idx="1966">
                    <c:v>T010</c:v>
                  </c:pt>
                  <c:pt idx="1967">
                    <c:v>T011</c:v>
                  </c:pt>
                  <c:pt idx="1968">
                    <c:v>T012</c:v>
                  </c:pt>
                  <c:pt idx="1969">
                    <c:v>T013</c:v>
                  </c:pt>
                  <c:pt idx="1970">
                    <c:v>T014</c:v>
                  </c:pt>
                  <c:pt idx="1971">
                    <c:v>T015</c:v>
                  </c:pt>
                  <c:pt idx="1972">
                    <c:v>T016</c:v>
                  </c:pt>
                  <c:pt idx="1973">
                    <c:v>T017</c:v>
                  </c:pt>
                  <c:pt idx="1974">
                    <c:v>T018</c:v>
                  </c:pt>
                  <c:pt idx="1975">
                    <c:v>T019</c:v>
                  </c:pt>
                  <c:pt idx="1976">
                    <c:v>T020</c:v>
                  </c:pt>
                  <c:pt idx="1977">
                    <c:v>T021</c:v>
                  </c:pt>
                  <c:pt idx="1978">
                    <c:v>T022</c:v>
                  </c:pt>
                  <c:pt idx="1979">
                    <c:v>T023</c:v>
                  </c:pt>
                  <c:pt idx="1980">
                    <c:v>T024</c:v>
                  </c:pt>
                  <c:pt idx="1981">
                    <c:v>T001</c:v>
                  </c:pt>
                  <c:pt idx="1982">
                    <c:v>T002</c:v>
                  </c:pt>
                  <c:pt idx="1983">
                    <c:v>T003</c:v>
                  </c:pt>
                  <c:pt idx="1984">
                    <c:v>T004</c:v>
                  </c:pt>
                  <c:pt idx="1985">
                    <c:v>T005</c:v>
                  </c:pt>
                  <c:pt idx="1986">
                    <c:v>T006</c:v>
                  </c:pt>
                  <c:pt idx="1987">
                    <c:v>T007</c:v>
                  </c:pt>
                  <c:pt idx="1988">
                    <c:v>T008</c:v>
                  </c:pt>
                  <c:pt idx="1989">
                    <c:v>T009</c:v>
                  </c:pt>
                  <c:pt idx="1990">
                    <c:v>T010</c:v>
                  </c:pt>
                  <c:pt idx="1991">
                    <c:v>T011</c:v>
                  </c:pt>
                  <c:pt idx="1992">
                    <c:v>T012</c:v>
                  </c:pt>
                  <c:pt idx="1993">
                    <c:v>T013</c:v>
                  </c:pt>
                  <c:pt idx="1994">
                    <c:v>T014</c:v>
                  </c:pt>
                  <c:pt idx="1995">
                    <c:v>T015</c:v>
                  </c:pt>
                  <c:pt idx="1996">
                    <c:v>T016</c:v>
                  </c:pt>
                  <c:pt idx="1997">
                    <c:v>T017</c:v>
                  </c:pt>
                  <c:pt idx="1998">
                    <c:v>T018</c:v>
                  </c:pt>
                  <c:pt idx="1999">
                    <c:v>T019</c:v>
                  </c:pt>
                  <c:pt idx="2000">
                    <c:v>T020</c:v>
                  </c:pt>
                  <c:pt idx="2001">
                    <c:v>T021</c:v>
                  </c:pt>
                  <c:pt idx="2002">
                    <c:v>T022</c:v>
                  </c:pt>
                  <c:pt idx="2003">
                    <c:v>T023</c:v>
                  </c:pt>
                  <c:pt idx="2004">
                    <c:v>T024</c:v>
                  </c:pt>
                  <c:pt idx="2005">
                    <c:v>T001</c:v>
                  </c:pt>
                  <c:pt idx="2006">
                    <c:v>T002</c:v>
                  </c:pt>
                  <c:pt idx="2007">
                    <c:v>T003</c:v>
                  </c:pt>
                  <c:pt idx="2008">
                    <c:v>T004</c:v>
                  </c:pt>
                  <c:pt idx="2009">
                    <c:v>T005</c:v>
                  </c:pt>
                  <c:pt idx="2010">
                    <c:v>T006</c:v>
                  </c:pt>
                  <c:pt idx="2011">
                    <c:v>T007</c:v>
                  </c:pt>
                  <c:pt idx="2012">
                    <c:v>T008</c:v>
                  </c:pt>
                  <c:pt idx="2013">
                    <c:v>T009</c:v>
                  </c:pt>
                  <c:pt idx="2014">
                    <c:v>T010</c:v>
                  </c:pt>
                  <c:pt idx="2015">
                    <c:v>T011</c:v>
                  </c:pt>
                  <c:pt idx="2016">
                    <c:v>T012</c:v>
                  </c:pt>
                  <c:pt idx="2017">
                    <c:v>T013</c:v>
                  </c:pt>
                  <c:pt idx="2018">
                    <c:v>T014</c:v>
                  </c:pt>
                  <c:pt idx="2019">
                    <c:v>T015</c:v>
                  </c:pt>
                  <c:pt idx="2020">
                    <c:v>T016</c:v>
                  </c:pt>
                  <c:pt idx="2021">
                    <c:v>T017</c:v>
                  </c:pt>
                  <c:pt idx="2022">
                    <c:v>T018</c:v>
                  </c:pt>
                  <c:pt idx="2023">
                    <c:v>T019</c:v>
                  </c:pt>
                  <c:pt idx="2024">
                    <c:v>T020</c:v>
                  </c:pt>
                  <c:pt idx="2025">
                    <c:v>T021</c:v>
                  </c:pt>
                  <c:pt idx="2026">
                    <c:v>T022</c:v>
                  </c:pt>
                  <c:pt idx="2027">
                    <c:v>T023</c:v>
                  </c:pt>
                  <c:pt idx="2028">
                    <c:v>T024</c:v>
                  </c:pt>
                  <c:pt idx="2029">
                    <c:v>T020</c:v>
                  </c:pt>
                </c:lvl>
                <c:lvl>
                  <c:pt idx="0">
                    <c:v>GNR_ROR_WTR</c:v>
                  </c:pt>
                  <c:pt idx="24">
                    <c:v>GHYRR_WATER</c:v>
                  </c:pt>
                  <c:pt idx="48">
                    <c:v>GNR_RES_WTR_NOPMP</c:v>
                  </c:pt>
                  <c:pt idx="67">
                    <c:v>GHYRS_WATER</c:v>
                  </c:pt>
                  <c:pt idx="91">
                    <c:v>GNR_ST_COAL_EXT_E-43</c:v>
                  </c:pt>
                  <c:pt idx="115">
                    <c:v>GNR_ST_COAL_EXT_E-47</c:v>
                  </c:pt>
                  <c:pt idx="139">
                    <c:v>GNR_ST_COAL_EXT_E-42</c:v>
                  </c:pt>
                  <c:pt idx="163">
                    <c:v>GEXT_WOODWASTE_HORNEBORG</c:v>
                  </c:pt>
                  <c:pt idx="187">
                    <c:v>GEXT_COAL_LINK</c:v>
                  </c:pt>
                  <c:pt idx="211">
                    <c:v>GEXT_PEAT</c:v>
                  </c:pt>
                  <c:pt idx="234">
                    <c:v>GEXT_WOODWASTE</c:v>
                  </c:pt>
                  <c:pt idx="258">
                    <c:v>GNR_BO_ELEC_E-100</c:v>
                  </c:pt>
                  <c:pt idx="282">
                    <c:v>GNR_HP_ELEC_COP-300</c:v>
                  </c:pt>
                  <c:pt idx="306">
                    <c:v>GNR_HP_ELEC_COP-350</c:v>
                  </c:pt>
                  <c:pt idx="330">
                    <c:v>GNR_HP_ELEC_COP-400</c:v>
                  </c:pt>
                  <c:pt idx="354">
                    <c:v>GNR_HP_ELEC_COP-430</c:v>
                  </c:pt>
                  <c:pt idx="378">
                    <c:v>GNR_HP_ELEC_COP-450</c:v>
                  </c:pt>
                  <c:pt idx="402">
                    <c:v>GNR_HP_ELEC_COP-460</c:v>
                  </c:pt>
                  <c:pt idx="426">
                    <c:v>GNR_HP_ELEC_COP-470</c:v>
                  </c:pt>
                  <c:pt idx="450">
                    <c:v>GNR_HP_ELEC_COP-500</c:v>
                  </c:pt>
                  <c:pt idx="474">
                    <c:v>GNR_HP_ELEC_COP-530</c:v>
                  </c:pt>
                  <c:pt idx="498">
                    <c:v>GNR_HP_ELEC_COP-600</c:v>
                  </c:pt>
                  <c:pt idx="522">
                    <c:v>GETOH_HEATPUMP</c:v>
                  </c:pt>
                  <c:pt idx="546">
                    <c:v>GETOH_ELECTRICBOILER</c:v>
                  </c:pt>
                  <c:pt idx="570">
                    <c:v>GETOH_HEATPUMP33</c:v>
                  </c:pt>
                  <c:pt idx="594">
                    <c:v>GETOH_HEATPUMP2</c:v>
                  </c:pt>
                  <c:pt idx="618">
                    <c:v>GETOH_HEATPUMP1</c:v>
                  </c:pt>
                  <c:pt idx="642">
                    <c:v>GNR_BO_ELEC_E-99_LS-10-MW-FEED_Y-2030</c:v>
                  </c:pt>
                  <c:pt idx="656">
                    <c:v>GNR_HP_ELEC_COP-1200_Y-2030</c:v>
                  </c:pt>
                  <c:pt idx="680">
                    <c:v>GNR_BO_ELEC_E-99_SS-1-MW-FEED_Y-2030</c:v>
                  </c:pt>
                  <c:pt idx="704">
                    <c:v>GNR_ST_MSW_BP_E-17</c:v>
                  </c:pt>
                  <c:pt idx="728">
                    <c:v>GNR_ST_MSW_BP_E-20</c:v>
                  </c:pt>
                  <c:pt idx="752">
                    <c:v>GNR_ST_MSW_BP_E-21</c:v>
                  </c:pt>
                  <c:pt idx="776">
                    <c:v>GNR_ST_MSW_BP_E-22</c:v>
                  </c:pt>
                  <c:pt idx="800">
                    <c:v>GNR_ST_MSW_BP_E-26</c:v>
                  </c:pt>
                  <c:pt idx="824">
                    <c:v>GNR_ST_WOODCHI_BP_E-30</c:v>
                  </c:pt>
                  <c:pt idx="848">
                    <c:v>GNR_ST_STRW_BP_E-26</c:v>
                  </c:pt>
                  <c:pt idx="862">
                    <c:v>GNR_ST_COAL_BP_E-35</c:v>
                  </c:pt>
                  <c:pt idx="886">
                    <c:v>GNR_ENG_NGAS_BP_E-43</c:v>
                  </c:pt>
                  <c:pt idx="890">
                    <c:v>GNR_ENG_NGAS_BP_E-45</c:v>
                  </c:pt>
                  <c:pt idx="914">
                    <c:v>GNR_ENG_NGAS_BP_E-46</c:v>
                  </c:pt>
                  <c:pt idx="938">
                    <c:v>GNR_ST_STRW_BP_E-24</c:v>
                  </c:pt>
                  <c:pt idx="962">
                    <c:v>GNR_ST_STRW_BP_E-27</c:v>
                  </c:pt>
                  <c:pt idx="986">
                    <c:v>GNR_ST_STRW_BP_E-28</c:v>
                  </c:pt>
                  <c:pt idx="1010">
                    <c:v>GNR_ST_MSW_BP_E-16</c:v>
                  </c:pt>
                  <c:pt idx="1029">
                    <c:v>GNR_ST_MSW_BP_E-27</c:v>
                  </c:pt>
                  <c:pt idx="1053">
                    <c:v>GNR_ST_WOODCHI_BP_E-27</c:v>
                  </c:pt>
                  <c:pt idx="1077">
                    <c:v>GNR_ST_MSW_BP_E-28</c:v>
                  </c:pt>
                  <c:pt idx="1095">
                    <c:v>GNR_ST_COAL_BP_E-38</c:v>
                  </c:pt>
                  <c:pt idx="1119">
                    <c:v>GNR_ST_LIGN_BP_E-39</c:v>
                  </c:pt>
                  <c:pt idx="1143">
                    <c:v>GNR_ST_LIGN_BP_E-33</c:v>
                  </c:pt>
                  <c:pt idx="1167">
                    <c:v>GNR_ST_LIGN_BP_E-37</c:v>
                  </c:pt>
                  <c:pt idx="1191">
                    <c:v>GBPR_MUNIWASTE</c:v>
                  </c:pt>
                  <c:pt idx="1215">
                    <c:v>GBPR_PEAT_38</c:v>
                  </c:pt>
                  <c:pt idx="1235">
                    <c:v>GBPR_WOODWASTE</c:v>
                  </c:pt>
                  <c:pt idx="1259">
                    <c:v>GBPR_MUNIWASTE_24</c:v>
                  </c:pt>
                  <c:pt idx="1283">
                    <c:v>GBPR_WOODWASTE_25</c:v>
                  </c:pt>
                  <c:pt idx="1307">
                    <c:v>GBPR_WOODWASTE_36</c:v>
                  </c:pt>
                  <c:pt idx="1331">
                    <c:v>GBPR_MUNIWASTE_LINK</c:v>
                  </c:pt>
                  <c:pt idx="1355">
                    <c:v>GBPR_RECYCLEDWOOD_SE3EL</c:v>
                  </c:pt>
                  <c:pt idx="1372">
                    <c:v>GBPR_WOODWASTE_ABY</c:v>
                  </c:pt>
                  <c:pt idx="1396">
                    <c:v>GBPR_WOODWASTE_GOT</c:v>
                  </c:pt>
                  <c:pt idx="1420">
                    <c:v>GBPR_COAL_SE3</c:v>
                  </c:pt>
                  <c:pt idx="1437">
                    <c:v>GBPR_RECYCLEDWOOD_SE3OTHER</c:v>
                  </c:pt>
                  <c:pt idx="1451">
                    <c:v>GBPR_COAL_VARTAN</c:v>
                  </c:pt>
                  <c:pt idx="1469">
                    <c:v>GBPR_MUNIWASTE_HOGDALEN</c:v>
                  </c:pt>
                  <c:pt idx="1493">
                    <c:v>GBPR_WOODWASTE_BRISTA</c:v>
                  </c:pt>
                  <c:pt idx="1517">
                    <c:v>GBPR_RECYCLEDWOOD</c:v>
                  </c:pt>
                  <c:pt idx="1540">
                    <c:v>GBPR_RECYCLEDWOOD_SE4EL</c:v>
                  </c:pt>
                  <c:pt idx="1546">
                    <c:v>GBPR_MUNIWASTE_65</c:v>
                  </c:pt>
                  <c:pt idx="1570">
                    <c:v>GBPR_NATGAS_MAL</c:v>
                  </c:pt>
                  <c:pt idx="1589">
                    <c:v>GBPR_MUNIWASTE_19</c:v>
                  </c:pt>
                  <c:pt idx="1613">
                    <c:v>GBPR_WOODCHIPS_25</c:v>
                  </c:pt>
                  <c:pt idx="1614">
                    <c:v>GNR_ST_WOODCHI_BP_E-23</c:v>
                  </c:pt>
                  <c:pt idx="1615">
                    <c:v>GNR_PV_SUN</c:v>
                  </c:pt>
                  <c:pt idx="1628">
                    <c:v>GNR_PV_SUN_LS-4-MW_Y-2030</c:v>
                  </c:pt>
                  <c:pt idx="1641">
                    <c:v>GNR_PV_SUN_LS-4-MW_Y-2020</c:v>
                  </c:pt>
                  <c:pt idx="1665">
                    <c:v>GNR_WT_WIND_ONS</c:v>
                  </c:pt>
                  <c:pt idx="1689">
                    <c:v>GNR_WT_WIND_OFF</c:v>
                  </c:pt>
                  <c:pt idx="1713">
                    <c:v>AGG-DE4-E_RES_WTR_PMP</c:v>
                  </c:pt>
                  <c:pt idx="1737">
                    <c:v>AGG-DE4-N_RES_WTR_PMP</c:v>
                  </c:pt>
                  <c:pt idx="1761">
                    <c:v>AGG-DE4-S_RES_WTR_PMP</c:v>
                  </c:pt>
                  <c:pt idx="1785">
                    <c:v>AGG-DE4-W_RES_WTR_PMP</c:v>
                  </c:pt>
                  <c:pt idx="1809">
                    <c:v>GNR_ST_LIGN_CND_E-43</c:v>
                  </c:pt>
                  <c:pt idx="1833">
                    <c:v>GNR_ST_MSW_CND_E-33</c:v>
                  </c:pt>
                  <c:pt idx="1857">
                    <c:v>GNR_GEO_HEAT_EO</c:v>
                  </c:pt>
                  <c:pt idx="1881">
                    <c:v>GNR_ST_COAL_CND_E-46</c:v>
                  </c:pt>
                  <c:pt idx="1885">
                    <c:v>GNR_ST_NUCL_CND_E-33</c:v>
                  </c:pt>
                  <c:pt idx="1909">
                    <c:v>GNR_ST_COAL_CND_E-44</c:v>
                  </c:pt>
                  <c:pt idx="1933">
                    <c:v>GNR_ST_COAL_CND_E-45</c:v>
                  </c:pt>
                  <c:pt idx="1957">
                    <c:v>GNR_ST_LIGN_CND_E-32</c:v>
                  </c:pt>
                  <c:pt idx="1981">
                    <c:v>GNR_ST_LIGN_CND_E-41</c:v>
                  </c:pt>
                  <c:pt idx="2005">
                    <c:v>GCND_NUCLEAR</c:v>
                  </c:pt>
                  <c:pt idx="2029">
                    <c:v>AGG-DE4-N_ES_ELEC</c:v>
                  </c:pt>
                </c:lvl>
                <c:lvl>
                  <c:pt idx="0">
                    <c:v>2.19e+303</c:v>
                  </c:pt>
                  <c:pt idx="48">
                    <c:v>2.21e+303</c:v>
                  </c:pt>
                  <c:pt idx="91">
                    <c:v>2.26e+303</c:v>
                  </c:pt>
                  <c:pt idx="258">
                    <c:v>2.44e+303</c:v>
                  </c:pt>
                  <c:pt idx="704">
                    <c:v>2.29e+303</c:v>
                  </c:pt>
                  <c:pt idx="1615">
                    <c:v>2.22e+303</c:v>
                  </c:pt>
                  <c:pt idx="1665">
                    <c:v>2.24e+303</c:v>
                  </c:pt>
                  <c:pt idx="1713">
                    <c:v>2.65e+303</c:v>
                  </c:pt>
                  <c:pt idx="1809">
                    <c:v>2.1e+303</c:v>
                  </c:pt>
                  <c:pt idx="2029">
                    <c:v>2.49e+303</c:v>
                  </c:pt>
                </c:lvl>
                <c:lvl>
                  <c:pt idx="0">
                    <c:v>S12</c:v>
                  </c:pt>
                </c:lvl>
              </c:multiLvlStrCache>
            </c:multiLvlStrRef>
          </c:cat>
          <c:val>
            <c:numRef>
              <c:f>'EL GEN - Time'!$G$6:$G$2036</c:f>
              <c:numCache>
                <c:formatCode>General</c:formatCode>
                <c:ptCount val="2030"/>
                <c:pt idx="0">
                  <c:v>9731.9586509287328</c:v>
                </c:pt>
                <c:pt idx="1">
                  <c:v>9731.9586509287328</c:v>
                </c:pt>
                <c:pt idx="2">
                  <c:v>9731.9586509287328</c:v>
                </c:pt>
                <c:pt idx="3">
                  <c:v>9731.9586509287328</c:v>
                </c:pt>
                <c:pt idx="4">
                  <c:v>9731.9586509287328</c:v>
                </c:pt>
                <c:pt idx="5">
                  <c:v>9731.9586509287328</c:v>
                </c:pt>
                <c:pt idx="6">
                  <c:v>9731.9586509287328</c:v>
                </c:pt>
                <c:pt idx="7">
                  <c:v>9731.9586509287328</c:v>
                </c:pt>
                <c:pt idx="8">
                  <c:v>9731.9586509287328</c:v>
                </c:pt>
                <c:pt idx="9">
                  <c:v>9731.9586509287328</c:v>
                </c:pt>
                <c:pt idx="10">
                  <c:v>9731.9586509287328</c:v>
                </c:pt>
                <c:pt idx="11">
                  <c:v>9731.9586509287328</c:v>
                </c:pt>
                <c:pt idx="12">
                  <c:v>9731.9586509287328</c:v>
                </c:pt>
                <c:pt idx="13">
                  <c:v>9731.9586509287328</c:v>
                </c:pt>
                <c:pt idx="14">
                  <c:v>9731.9586509287328</c:v>
                </c:pt>
                <c:pt idx="15">
                  <c:v>9731.9586509287328</c:v>
                </c:pt>
                <c:pt idx="16">
                  <c:v>9731.9586509287328</c:v>
                </c:pt>
                <c:pt idx="17">
                  <c:v>9731.9586509287328</c:v>
                </c:pt>
                <c:pt idx="18">
                  <c:v>9731.9586509287328</c:v>
                </c:pt>
                <c:pt idx="19">
                  <c:v>9731.9586509287328</c:v>
                </c:pt>
                <c:pt idx="20">
                  <c:v>9731.9586509287328</c:v>
                </c:pt>
                <c:pt idx="21">
                  <c:v>9731.9586509287328</c:v>
                </c:pt>
                <c:pt idx="22">
                  <c:v>9731.9586509287328</c:v>
                </c:pt>
                <c:pt idx="23">
                  <c:v>9731.9586509287328</c:v>
                </c:pt>
                <c:pt idx="48">
                  <c:v>124</c:v>
                </c:pt>
                <c:pt idx="49">
                  <c:v>124</c:v>
                </c:pt>
                <c:pt idx="50">
                  <c:v>124</c:v>
                </c:pt>
                <c:pt idx="51">
                  <c:v>124</c:v>
                </c:pt>
                <c:pt idx="52">
                  <c:v>124</c:v>
                </c:pt>
                <c:pt idx="53">
                  <c:v>124</c:v>
                </c:pt>
                <c:pt idx="54">
                  <c:v>25.432108074022501</c:v>
                </c:pt>
                <c:pt idx="55">
                  <c:v>248</c:v>
                </c:pt>
                <c:pt idx="56">
                  <c:v>248</c:v>
                </c:pt>
                <c:pt idx="57">
                  <c:v>124</c:v>
                </c:pt>
                <c:pt idx="58">
                  <c:v>248</c:v>
                </c:pt>
                <c:pt idx="59">
                  <c:v>124</c:v>
                </c:pt>
                <c:pt idx="60">
                  <c:v>248</c:v>
                </c:pt>
                <c:pt idx="61">
                  <c:v>149.43210807402249</c:v>
                </c:pt>
                <c:pt idx="62">
                  <c:v>248</c:v>
                </c:pt>
                <c:pt idx="63">
                  <c:v>248</c:v>
                </c:pt>
                <c:pt idx="64">
                  <c:v>248</c:v>
                </c:pt>
                <c:pt idx="65">
                  <c:v>248</c:v>
                </c:pt>
                <c:pt idx="66">
                  <c:v>124</c:v>
                </c:pt>
                <c:pt idx="1119">
                  <c:v>9321.4</c:v>
                </c:pt>
                <c:pt idx="1120">
                  <c:v>9321.4</c:v>
                </c:pt>
                <c:pt idx="1121">
                  <c:v>9321.4</c:v>
                </c:pt>
                <c:pt idx="1122">
                  <c:v>9321.4</c:v>
                </c:pt>
                <c:pt idx="1123">
                  <c:v>9321.4</c:v>
                </c:pt>
                <c:pt idx="1124">
                  <c:v>9321.4</c:v>
                </c:pt>
                <c:pt idx="1125">
                  <c:v>9321.4</c:v>
                </c:pt>
                <c:pt idx="1126">
                  <c:v>9321.4</c:v>
                </c:pt>
                <c:pt idx="1127">
                  <c:v>9321.4</c:v>
                </c:pt>
                <c:pt idx="1128">
                  <c:v>9321.4</c:v>
                </c:pt>
                <c:pt idx="1129">
                  <c:v>9321.4</c:v>
                </c:pt>
                <c:pt idx="1130">
                  <c:v>9321.4</c:v>
                </c:pt>
                <c:pt idx="1131">
                  <c:v>9321.4</c:v>
                </c:pt>
                <c:pt idx="1132">
                  <c:v>9321.4</c:v>
                </c:pt>
                <c:pt idx="1133">
                  <c:v>9321.4</c:v>
                </c:pt>
                <c:pt idx="1134">
                  <c:v>9321.4</c:v>
                </c:pt>
                <c:pt idx="1135">
                  <c:v>9321.4</c:v>
                </c:pt>
                <c:pt idx="1136">
                  <c:v>9321.4</c:v>
                </c:pt>
                <c:pt idx="1137">
                  <c:v>9321.4</c:v>
                </c:pt>
                <c:pt idx="1138">
                  <c:v>9321.4</c:v>
                </c:pt>
                <c:pt idx="1139">
                  <c:v>9321.4</c:v>
                </c:pt>
                <c:pt idx="1140">
                  <c:v>9321.4</c:v>
                </c:pt>
                <c:pt idx="1141">
                  <c:v>9321.4</c:v>
                </c:pt>
                <c:pt idx="1142">
                  <c:v>9321.4</c:v>
                </c:pt>
                <c:pt idx="1143">
                  <c:v>786.5</c:v>
                </c:pt>
                <c:pt idx="1144">
                  <c:v>786.5</c:v>
                </c:pt>
                <c:pt idx="1145">
                  <c:v>786.5</c:v>
                </c:pt>
                <c:pt idx="1146">
                  <c:v>786.5</c:v>
                </c:pt>
                <c:pt idx="1147">
                  <c:v>786.5</c:v>
                </c:pt>
                <c:pt idx="1148">
                  <c:v>786.5</c:v>
                </c:pt>
                <c:pt idx="1149">
                  <c:v>786.5</c:v>
                </c:pt>
                <c:pt idx="1150">
                  <c:v>786.5</c:v>
                </c:pt>
                <c:pt idx="1151">
                  <c:v>786.5</c:v>
                </c:pt>
                <c:pt idx="1152">
                  <c:v>786.5</c:v>
                </c:pt>
                <c:pt idx="1153">
                  <c:v>786.5</c:v>
                </c:pt>
                <c:pt idx="1154">
                  <c:v>786.5</c:v>
                </c:pt>
                <c:pt idx="1155">
                  <c:v>786.5</c:v>
                </c:pt>
                <c:pt idx="1156">
                  <c:v>786.5</c:v>
                </c:pt>
                <c:pt idx="1157">
                  <c:v>786.5</c:v>
                </c:pt>
                <c:pt idx="1158">
                  <c:v>786.5</c:v>
                </c:pt>
                <c:pt idx="1159">
                  <c:v>786.5</c:v>
                </c:pt>
                <c:pt idx="1160">
                  <c:v>786.5</c:v>
                </c:pt>
                <c:pt idx="1161">
                  <c:v>786.5</c:v>
                </c:pt>
                <c:pt idx="1162">
                  <c:v>786.5</c:v>
                </c:pt>
                <c:pt idx="1163">
                  <c:v>786.5</c:v>
                </c:pt>
                <c:pt idx="1164">
                  <c:v>786.5</c:v>
                </c:pt>
                <c:pt idx="1165">
                  <c:v>786.5</c:v>
                </c:pt>
                <c:pt idx="1166">
                  <c:v>786.5</c:v>
                </c:pt>
                <c:pt idx="1167">
                  <c:v>3286.7</c:v>
                </c:pt>
                <c:pt idx="1168">
                  <c:v>3286.7</c:v>
                </c:pt>
                <c:pt idx="1169">
                  <c:v>3286.7</c:v>
                </c:pt>
                <c:pt idx="1170">
                  <c:v>3286.7</c:v>
                </c:pt>
                <c:pt idx="1171">
                  <c:v>3286.7</c:v>
                </c:pt>
                <c:pt idx="1172">
                  <c:v>3286.7</c:v>
                </c:pt>
                <c:pt idx="1173">
                  <c:v>3286.7</c:v>
                </c:pt>
                <c:pt idx="1174">
                  <c:v>3286.7</c:v>
                </c:pt>
                <c:pt idx="1175">
                  <c:v>3286.7</c:v>
                </c:pt>
                <c:pt idx="1176">
                  <c:v>3286.7</c:v>
                </c:pt>
                <c:pt idx="1177">
                  <c:v>3286.7</c:v>
                </c:pt>
                <c:pt idx="1178">
                  <c:v>3286.7</c:v>
                </c:pt>
                <c:pt idx="1179">
                  <c:v>3286.7</c:v>
                </c:pt>
                <c:pt idx="1180">
                  <c:v>3286.7</c:v>
                </c:pt>
                <c:pt idx="1181">
                  <c:v>3286.7</c:v>
                </c:pt>
                <c:pt idx="1182">
                  <c:v>3286.7</c:v>
                </c:pt>
                <c:pt idx="1183">
                  <c:v>3286.7</c:v>
                </c:pt>
                <c:pt idx="1184">
                  <c:v>3286.7</c:v>
                </c:pt>
                <c:pt idx="1185">
                  <c:v>3286.7</c:v>
                </c:pt>
                <c:pt idx="1186">
                  <c:v>3286.7</c:v>
                </c:pt>
                <c:pt idx="1187">
                  <c:v>3286.7</c:v>
                </c:pt>
                <c:pt idx="1188">
                  <c:v>3286.7</c:v>
                </c:pt>
                <c:pt idx="1189">
                  <c:v>3286.7</c:v>
                </c:pt>
                <c:pt idx="1190">
                  <c:v>3286.7</c:v>
                </c:pt>
                <c:pt idx="1615">
                  <c:v>432.80208176164416</c:v>
                </c:pt>
                <c:pt idx="1616">
                  <c:v>4616.2485869598368</c:v>
                </c:pt>
                <c:pt idx="1617">
                  <c:v>13471.19500870445</c:v>
                </c:pt>
                <c:pt idx="1618">
                  <c:v>21992.791741943307</c:v>
                </c:pt>
                <c:pt idx="1619">
                  <c:v>29310.830345687547</c:v>
                </c:pt>
                <c:pt idx="1620">
                  <c:v>33997.063950123716</c:v>
                </c:pt>
                <c:pt idx="1621">
                  <c:v>35958.486150447781</c:v>
                </c:pt>
                <c:pt idx="1622">
                  <c:v>36162.916069918167</c:v>
                </c:pt>
                <c:pt idx="1623">
                  <c:v>31132.282511058896</c:v>
                </c:pt>
                <c:pt idx="1624">
                  <c:v>23565.612924174988</c:v>
                </c:pt>
                <c:pt idx="1625">
                  <c:v>15015.469670649738</c:v>
                </c:pt>
                <c:pt idx="1626">
                  <c:v>5702.8580688295042</c:v>
                </c:pt>
                <c:pt idx="1627">
                  <c:v>466.87373500671032</c:v>
                </c:pt>
                <c:pt idx="1628">
                  <c:v>31.3340556197811</c:v>
                </c:pt>
                <c:pt idx="1629">
                  <c:v>334.20770387651601</c:v>
                </c:pt>
                <c:pt idx="1630">
                  <c:v>975.28914821654803</c:v>
                </c:pt>
                <c:pt idx="1631">
                  <c:v>1592.2367029090001</c:v>
                </c:pt>
                <c:pt idx="1632">
                  <c:v>2122.0489156970898</c:v>
                </c:pt>
                <c:pt idx="1633">
                  <c:v>2461.3234030355302</c:v>
                </c:pt>
                <c:pt idx="1634">
                  <c:v>2603.3266763762399</c:v>
                </c:pt>
                <c:pt idx="1635">
                  <c:v>2618.1270175413301</c:v>
                </c:pt>
                <c:pt idx="1636">
                  <c:v>2253.9186221139598</c:v>
                </c:pt>
                <c:pt idx="1637">
                  <c:v>1706.1059943953601</c:v>
                </c:pt>
                <c:pt idx="1638">
                  <c:v>1087.0917253960599</c:v>
                </c:pt>
                <c:pt idx="1639">
                  <c:v>412.876183943201</c:v>
                </c:pt>
                <c:pt idx="1640">
                  <c:v>33.800779147295799</c:v>
                </c:pt>
                <c:pt idx="1665">
                  <c:v>30947.402141952265</c:v>
                </c:pt>
                <c:pt idx="1666">
                  <c:v>28667.498263593028</c:v>
                </c:pt>
                <c:pt idx="1667">
                  <c:v>27186.871032244802</c:v>
                </c:pt>
                <c:pt idx="1668">
                  <c:v>24570.386516670918</c:v>
                </c:pt>
                <c:pt idx="1669">
                  <c:v>21905.58507264041</c:v>
                </c:pt>
                <c:pt idx="1670">
                  <c:v>20819.682578852931</c:v>
                </c:pt>
                <c:pt idx="1671">
                  <c:v>20477.36942470272</c:v>
                </c:pt>
                <c:pt idx="1672">
                  <c:v>21053.896842218863</c:v>
                </c:pt>
                <c:pt idx="1673">
                  <c:v>25197.687655616002</c:v>
                </c:pt>
                <c:pt idx="1674">
                  <c:v>28528.279995158748</c:v>
                </c:pt>
                <c:pt idx="1675">
                  <c:v>27570.949666925277</c:v>
                </c:pt>
                <c:pt idx="1676">
                  <c:v>25217.341999394961</c:v>
                </c:pt>
                <c:pt idx="1677">
                  <c:v>25635.81573568863</c:v>
                </c:pt>
                <c:pt idx="1678">
                  <c:v>26001.877888571755</c:v>
                </c:pt>
                <c:pt idx="1679">
                  <c:v>26131.268985116563</c:v>
                </c:pt>
                <c:pt idx="1680">
                  <c:v>24447.546868052406</c:v>
                </c:pt>
                <c:pt idx="1681">
                  <c:v>22098.033855476049</c:v>
                </c:pt>
                <c:pt idx="1682">
                  <c:v>18309.659092081718</c:v>
                </c:pt>
                <c:pt idx="1683">
                  <c:v>14067.596559789779</c:v>
                </c:pt>
                <c:pt idx="1684">
                  <c:v>14129.835315089818</c:v>
                </c:pt>
                <c:pt idx="1685">
                  <c:v>14850.494586984969</c:v>
                </c:pt>
                <c:pt idx="1686">
                  <c:v>16064.15031533569</c:v>
                </c:pt>
                <c:pt idx="1687">
                  <c:v>16774.163484350567</c:v>
                </c:pt>
                <c:pt idx="1688">
                  <c:v>16977.258370066487</c:v>
                </c:pt>
                <c:pt idx="1689">
                  <c:v>7549.1468767088681</c:v>
                </c:pt>
                <c:pt idx="1690">
                  <c:v>6992.9990888084349</c:v>
                </c:pt>
                <c:pt idx="1691">
                  <c:v>6631.8226518386073</c:v>
                </c:pt>
                <c:pt idx="1692">
                  <c:v>5993.5711495606229</c:v>
                </c:pt>
                <c:pt idx="1693">
                  <c:v>5343.5334693063069</c:v>
                </c:pt>
                <c:pt idx="1694">
                  <c:v>5078.6441134313163</c:v>
                </c:pt>
                <c:pt idx="1695">
                  <c:v>4995.1420389548912</c:v>
                </c:pt>
                <c:pt idx="1696">
                  <c:v>5135.7771117572993</c:v>
                </c:pt>
                <c:pt idx="1697">
                  <c:v>6146.5916975246118</c:v>
                </c:pt>
                <c:pt idx="1698">
                  <c:v>6959.0389149782932</c:v>
                </c:pt>
                <c:pt idx="1699">
                  <c:v>6725.5127784640772</c:v>
                </c:pt>
                <c:pt idx="1700">
                  <c:v>6151.3860750065069</c:v>
                </c:pt>
                <c:pt idx="1701">
                  <c:v>6253.4663622253065</c:v>
                </c:pt>
                <c:pt idx="1702">
                  <c:v>6342.7616428256961</c:v>
                </c:pt>
                <c:pt idx="1703">
                  <c:v>6374.3246279148698</c:v>
                </c:pt>
                <c:pt idx="1704">
                  <c:v>5963.6062902987514</c:v>
                </c:pt>
                <c:pt idx="1705">
                  <c:v>5390.4784154832505</c:v>
                </c:pt>
                <c:pt idx="1706">
                  <c:v>4466.362155846964</c:v>
                </c:pt>
                <c:pt idx="1707">
                  <c:v>3431.5756826701477</c:v>
                </c:pt>
                <c:pt idx="1708">
                  <c:v>3446.7578780294953</c:v>
                </c:pt>
                <c:pt idx="1709">
                  <c:v>3622.5517190325108</c:v>
                </c:pt>
                <c:pt idx="1710">
                  <c:v>3918.6045285398554</c:v>
                </c:pt>
                <c:pt idx="1711">
                  <c:v>4091.801415073498</c:v>
                </c:pt>
                <c:pt idx="1712">
                  <c:v>4141.3433157198015</c:v>
                </c:pt>
                <c:pt idx="1713">
                  <c:v>-38640</c:v>
                </c:pt>
                <c:pt idx="1714">
                  <c:v>-38640</c:v>
                </c:pt>
                <c:pt idx="1715">
                  <c:v>-38640</c:v>
                </c:pt>
                <c:pt idx="1716">
                  <c:v>-38640</c:v>
                </c:pt>
                <c:pt idx="1717">
                  <c:v>-38640</c:v>
                </c:pt>
                <c:pt idx="1718">
                  <c:v>-38640</c:v>
                </c:pt>
                <c:pt idx="1719">
                  <c:v>-38640</c:v>
                </c:pt>
                <c:pt idx="1720">
                  <c:v>-38640</c:v>
                </c:pt>
                <c:pt idx="1721">
                  <c:v>-38640</c:v>
                </c:pt>
                <c:pt idx="1722">
                  <c:v>-38640</c:v>
                </c:pt>
                <c:pt idx="1723">
                  <c:v>-38640</c:v>
                </c:pt>
                <c:pt idx="1724">
                  <c:v>-38640</c:v>
                </c:pt>
                <c:pt idx="1725">
                  <c:v>-38640</c:v>
                </c:pt>
                <c:pt idx="1726">
                  <c:v>-38640</c:v>
                </c:pt>
                <c:pt idx="1727">
                  <c:v>-38640</c:v>
                </c:pt>
                <c:pt idx="1728">
                  <c:v>-38640</c:v>
                </c:pt>
                <c:pt idx="1729">
                  <c:v>-38640</c:v>
                </c:pt>
                <c:pt idx="1730">
                  <c:v>-38640</c:v>
                </c:pt>
                <c:pt idx="1731">
                  <c:v>-38640</c:v>
                </c:pt>
                <c:pt idx="1732">
                  <c:v>-38640</c:v>
                </c:pt>
                <c:pt idx="1733">
                  <c:v>-38640</c:v>
                </c:pt>
                <c:pt idx="1734">
                  <c:v>-38640</c:v>
                </c:pt>
                <c:pt idx="1735">
                  <c:v>-38640</c:v>
                </c:pt>
                <c:pt idx="1736">
                  <c:v>-38640</c:v>
                </c:pt>
                <c:pt idx="1737">
                  <c:v>-1905.6</c:v>
                </c:pt>
                <c:pt idx="1738">
                  <c:v>-1905.6</c:v>
                </c:pt>
                <c:pt idx="1739">
                  <c:v>-1905.6</c:v>
                </c:pt>
                <c:pt idx="1740">
                  <c:v>-1905.6</c:v>
                </c:pt>
                <c:pt idx="1741">
                  <c:v>-1905.6</c:v>
                </c:pt>
                <c:pt idx="1742">
                  <c:v>-1905.6</c:v>
                </c:pt>
                <c:pt idx="1743">
                  <c:v>-1905.6</c:v>
                </c:pt>
                <c:pt idx="1744">
                  <c:v>-1905.6</c:v>
                </c:pt>
                <c:pt idx="1745">
                  <c:v>-1905.6</c:v>
                </c:pt>
                <c:pt idx="1746">
                  <c:v>-1905.6</c:v>
                </c:pt>
                <c:pt idx="1747">
                  <c:v>-1905.6</c:v>
                </c:pt>
                <c:pt idx="1748">
                  <c:v>-1905.6</c:v>
                </c:pt>
                <c:pt idx="1749">
                  <c:v>-1905.6</c:v>
                </c:pt>
                <c:pt idx="1750">
                  <c:v>-1905.6</c:v>
                </c:pt>
                <c:pt idx="1751">
                  <c:v>-1905.6</c:v>
                </c:pt>
                <c:pt idx="1752">
                  <c:v>-1905.6</c:v>
                </c:pt>
                <c:pt idx="1753">
                  <c:v>-1905.6</c:v>
                </c:pt>
                <c:pt idx="1754">
                  <c:v>-1905.6</c:v>
                </c:pt>
                <c:pt idx="1755">
                  <c:v>-1905.6</c:v>
                </c:pt>
                <c:pt idx="1756">
                  <c:v>-1905.6</c:v>
                </c:pt>
                <c:pt idx="1757">
                  <c:v>-1905.6</c:v>
                </c:pt>
                <c:pt idx="1758">
                  <c:v>-1905.6</c:v>
                </c:pt>
                <c:pt idx="1759">
                  <c:v>-1905.6</c:v>
                </c:pt>
                <c:pt idx="1760">
                  <c:v>-1905.6</c:v>
                </c:pt>
                <c:pt idx="1761">
                  <c:v>-34608</c:v>
                </c:pt>
                <c:pt idx="1762">
                  <c:v>-34608</c:v>
                </c:pt>
                <c:pt idx="1763">
                  <c:v>-34608</c:v>
                </c:pt>
                <c:pt idx="1764">
                  <c:v>-34608</c:v>
                </c:pt>
                <c:pt idx="1765">
                  <c:v>-34608</c:v>
                </c:pt>
                <c:pt idx="1766">
                  <c:v>-34608</c:v>
                </c:pt>
                <c:pt idx="1767">
                  <c:v>-34608</c:v>
                </c:pt>
                <c:pt idx="1768">
                  <c:v>-34608</c:v>
                </c:pt>
                <c:pt idx="1769">
                  <c:v>-34608</c:v>
                </c:pt>
                <c:pt idx="1770">
                  <c:v>-34608</c:v>
                </c:pt>
                <c:pt idx="1771">
                  <c:v>-34608</c:v>
                </c:pt>
                <c:pt idx="1772">
                  <c:v>-34608</c:v>
                </c:pt>
                <c:pt idx="1773">
                  <c:v>-34608</c:v>
                </c:pt>
                <c:pt idx="1774">
                  <c:v>-34608</c:v>
                </c:pt>
                <c:pt idx="1775">
                  <c:v>-34608</c:v>
                </c:pt>
                <c:pt idx="1776">
                  <c:v>-34608</c:v>
                </c:pt>
                <c:pt idx="1777">
                  <c:v>-34608</c:v>
                </c:pt>
                <c:pt idx="1778">
                  <c:v>-34608</c:v>
                </c:pt>
                <c:pt idx="1779">
                  <c:v>-34608</c:v>
                </c:pt>
                <c:pt idx="1780">
                  <c:v>-34608</c:v>
                </c:pt>
                <c:pt idx="1781">
                  <c:v>-34608</c:v>
                </c:pt>
                <c:pt idx="1782">
                  <c:v>-34608</c:v>
                </c:pt>
                <c:pt idx="1783">
                  <c:v>-34608</c:v>
                </c:pt>
                <c:pt idx="1784">
                  <c:v>-34608</c:v>
                </c:pt>
                <c:pt idx="1785">
                  <c:v>-18336</c:v>
                </c:pt>
                <c:pt idx="1786">
                  <c:v>-18336</c:v>
                </c:pt>
                <c:pt idx="1787">
                  <c:v>-18336</c:v>
                </c:pt>
                <c:pt idx="1788">
                  <c:v>-18336</c:v>
                </c:pt>
                <c:pt idx="1789">
                  <c:v>-18336</c:v>
                </c:pt>
                <c:pt idx="1790">
                  <c:v>-18336</c:v>
                </c:pt>
                <c:pt idx="1791">
                  <c:v>-18336</c:v>
                </c:pt>
                <c:pt idx="1792">
                  <c:v>-18336</c:v>
                </c:pt>
                <c:pt idx="1793">
                  <c:v>-18336</c:v>
                </c:pt>
                <c:pt idx="1794">
                  <c:v>-18336</c:v>
                </c:pt>
                <c:pt idx="1795">
                  <c:v>-18336</c:v>
                </c:pt>
                <c:pt idx="1796">
                  <c:v>-18336</c:v>
                </c:pt>
                <c:pt idx="1797">
                  <c:v>-18336</c:v>
                </c:pt>
                <c:pt idx="1798">
                  <c:v>-18336</c:v>
                </c:pt>
                <c:pt idx="1799">
                  <c:v>-18336</c:v>
                </c:pt>
                <c:pt idx="1800">
                  <c:v>-18336</c:v>
                </c:pt>
                <c:pt idx="1801">
                  <c:v>-18336</c:v>
                </c:pt>
                <c:pt idx="1802">
                  <c:v>-18336</c:v>
                </c:pt>
                <c:pt idx="1803">
                  <c:v>-18336</c:v>
                </c:pt>
                <c:pt idx="1804">
                  <c:v>-18336</c:v>
                </c:pt>
                <c:pt idx="1805">
                  <c:v>-18336</c:v>
                </c:pt>
                <c:pt idx="1806">
                  <c:v>-18336</c:v>
                </c:pt>
                <c:pt idx="1807">
                  <c:v>-18336</c:v>
                </c:pt>
                <c:pt idx="1808">
                  <c:v>-18336</c:v>
                </c:pt>
                <c:pt idx="1809">
                  <c:v>640</c:v>
                </c:pt>
                <c:pt idx="1810">
                  <c:v>640</c:v>
                </c:pt>
                <c:pt idx="1811">
                  <c:v>640</c:v>
                </c:pt>
                <c:pt idx="1812">
                  <c:v>640</c:v>
                </c:pt>
                <c:pt idx="1813">
                  <c:v>640</c:v>
                </c:pt>
                <c:pt idx="1814">
                  <c:v>640</c:v>
                </c:pt>
                <c:pt idx="1815">
                  <c:v>640</c:v>
                </c:pt>
                <c:pt idx="1816">
                  <c:v>640</c:v>
                </c:pt>
                <c:pt idx="1817">
                  <c:v>640</c:v>
                </c:pt>
                <c:pt idx="1818">
                  <c:v>640</c:v>
                </c:pt>
                <c:pt idx="1819">
                  <c:v>640</c:v>
                </c:pt>
                <c:pt idx="1820">
                  <c:v>640</c:v>
                </c:pt>
                <c:pt idx="1821">
                  <c:v>640</c:v>
                </c:pt>
                <c:pt idx="1822">
                  <c:v>640</c:v>
                </c:pt>
                <c:pt idx="1823">
                  <c:v>640</c:v>
                </c:pt>
                <c:pt idx="1824">
                  <c:v>640</c:v>
                </c:pt>
                <c:pt idx="1825">
                  <c:v>640</c:v>
                </c:pt>
                <c:pt idx="1826">
                  <c:v>640</c:v>
                </c:pt>
                <c:pt idx="1827">
                  <c:v>640</c:v>
                </c:pt>
                <c:pt idx="1828">
                  <c:v>640</c:v>
                </c:pt>
                <c:pt idx="1829">
                  <c:v>640</c:v>
                </c:pt>
                <c:pt idx="1830">
                  <c:v>640</c:v>
                </c:pt>
                <c:pt idx="1831">
                  <c:v>640</c:v>
                </c:pt>
                <c:pt idx="1832">
                  <c:v>640</c:v>
                </c:pt>
                <c:pt idx="1833">
                  <c:v>421.79999999999995</c:v>
                </c:pt>
                <c:pt idx="1834">
                  <c:v>421.79999999999995</c:v>
                </c:pt>
                <c:pt idx="1835">
                  <c:v>421.79999999999995</c:v>
                </c:pt>
                <c:pt idx="1836">
                  <c:v>421.79999999999995</c:v>
                </c:pt>
                <c:pt idx="1837">
                  <c:v>421.79999999999995</c:v>
                </c:pt>
                <c:pt idx="1838">
                  <c:v>421.79999999999995</c:v>
                </c:pt>
                <c:pt idx="1839">
                  <c:v>421.79999999999995</c:v>
                </c:pt>
                <c:pt idx="1840">
                  <c:v>421.79999999999995</c:v>
                </c:pt>
                <c:pt idx="1841">
                  <c:v>421.79999999999995</c:v>
                </c:pt>
                <c:pt idx="1842">
                  <c:v>421.79999999999995</c:v>
                </c:pt>
                <c:pt idx="1843">
                  <c:v>421.79999999999995</c:v>
                </c:pt>
                <c:pt idx="1844">
                  <c:v>421.79999999999995</c:v>
                </c:pt>
                <c:pt idx="1845">
                  <c:v>421.79999999999995</c:v>
                </c:pt>
                <c:pt idx="1846">
                  <c:v>421.79999999999995</c:v>
                </c:pt>
                <c:pt idx="1847">
                  <c:v>421.79999999999995</c:v>
                </c:pt>
                <c:pt idx="1848">
                  <c:v>421.79999999999995</c:v>
                </c:pt>
                <c:pt idx="1849">
                  <c:v>421.79999999999995</c:v>
                </c:pt>
                <c:pt idx="1850">
                  <c:v>421.79999999999995</c:v>
                </c:pt>
                <c:pt idx="1851">
                  <c:v>421.79999999999995</c:v>
                </c:pt>
                <c:pt idx="1852">
                  <c:v>421.79999999999995</c:v>
                </c:pt>
                <c:pt idx="1853">
                  <c:v>421.79999999999995</c:v>
                </c:pt>
                <c:pt idx="1854">
                  <c:v>421.79999999999995</c:v>
                </c:pt>
                <c:pt idx="1855">
                  <c:v>421.79999999999995</c:v>
                </c:pt>
                <c:pt idx="1856">
                  <c:v>421.79999999999995</c:v>
                </c:pt>
                <c:pt idx="1857">
                  <c:v>89.75</c:v>
                </c:pt>
                <c:pt idx="1858">
                  <c:v>89.75</c:v>
                </c:pt>
                <c:pt idx="1859">
                  <c:v>89.75</c:v>
                </c:pt>
                <c:pt idx="1860">
                  <c:v>89.75</c:v>
                </c:pt>
                <c:pt idx="1861">
                  <c:v>89.75</c:v>
                </c:pt>
                <c:pt idx="1862">
                  <c:v>89.75</c:v>
                </c:pt>
                <c:pt idx="1863">
                  <c:v>89.75</c:v>
                </c:pt>
                <c:pt idx="1864">
                  <c:v>89.75</c:v>
                </c:pt>
                <c:pt idx="1865">
                  <c:v>89.75</c:v>
                </c:pt>
                <c:pt idx="1866">
                  <c:v>89.75</c:v>
                </c:pt>
                <c:pt idx="1867">
                  <c:v>89.75</c:v>
                </c:pt>
                <c:pt idx="1868">
                  <c:v>89.75</c:v>
                </c:pt>
                <c:pt idx="1869">
                  <c:v>89.75</c:v>
                </c:pt>
                <c:pt idx="1870">
                  <c:v>89.75</c:v>
                </c:pt>
                <c:pt idx="1871">
                  <c:v>89.75</c:v>
                </c:pt>
                <c:pt idx="1872">
                  <c:v>89.75</c:v>
                </c:pt>
                <c:pt idx="1873">
                  <c:v>89.75</c:v>
                </c:pt>
                <c:pt idx="1874">
                  <c:v>89.75</c:v>
                </c:pt>
                <c:pt idx="1875">
                  <c:v>89.75</c:v>
                </c:pt>
                <c:pt idx="1876">
                  <c:v>89.75</c:v>
                </c:pt>
                <c:pt idx="1877">
                  <c:v>89.75</c:v>
                </c:pt>
                <c:pt idx="1878">
                  <c:v>89.75</c:v>
                </c:pt>
                <c:pt idx="1879">
                  <c:v>89.75</c:v>
                </c:pt>
                <c:pt idx="1880">
                  <c:v>89.75</c:v>
                </c:pt>
                <c:pt idx="1881">
                  <c:v>820.53813758375702</c:v>
                </c:pt>
                <c:pt idx="1882">
                  <c:v>1600</c:v>
                </c:pt>
                <c:pt idx="1883">
                  <c:v>1600</c:v>
                </c:pt>
                <c:pt idx="1884">
                  <c:v>790.60568527998896</c:v>
                </c:pt>
                <c:pt idx="1885">
                  <c:v>10800</c:v>
                </c:pt>
                <c:pt idx="1886">
                  <c:v>10800</c:v>
                </c:pt>
                <c:pt idx="1887">
                  <c:v>10800</c:v>
                </c:pt>
                <c:pt idx="1888">
                  <c:v>10800</c:v>
                </c:pt>
                <c:pt idx="1889">
                  <c:v>10800</c:v>
                </c:pt>
                <c:pt idx="1890">
                  <c:v>10800</c:v>
                </c:pt>
                <c:pt idx="1891">
                  <c:v>10800</c:v>
                </c:pt>
                <c:pt idx="1892">
                  <c:v>10800</c:v>
                </c:pt>
                <c:pt idx="1893">
                  <c:v>10800</c:v>
                </c:pt>
                <c:pt idx="1894">
                  <c:v>10800</c:v>
                </c:pt>
                <c:pt idx="1895">
                  <c:v>10800</c:v>
                </c:pt>
                <c:pt idx="1896">
                  <c:v>10800</c:v>
                </c:pt>
                <c:pt idx="1897">
                  <c:v>10800</c:v>
                </c:pt>
                <c:pt idx="1898">
                  <c:v>10800</c:v>
                </c:pt>
                <c:pt idx="1899">
                  <c:v>10800</c:v>
                </c:pt>
                <c:pt idx="1900">
                  <c:v>10800</c:v>
                </c:pt>
                <c:pt idx="1901">
                  <c:v>10800</c:v>
                </c:pt>
                <c:pt idx="1902">
                  <c:v>10800</c:v>
                </c:pt>
                <c:pt idx="1903">
                  <c:v>10800</c:v>
                </c:pt>
                <c:pt idx="1904">
                  <c:v>10800</c:v>
                </c:pt>
                <c:pt idx="1905">
                  <c:v>10800</c:v>
                </c:pt>
                <c:pt idx="1906">
                  <c:v>10800</c:v>
                </c:pt>
                <c:pt idx="1907">
                  <c:v>10800</c:v>
                </c:pt>
                <c:pt idx="1908">
                  <c:v>10800</c:v>
                </c:pt>
                <c:pt idx="1909">
                  <c:v>527</c:v>
                </c:pt>
                <c:pt idx="1910">
                  <c:v>527</c:v>
                </c:pt>
                <c:pt idx="1911">
                  <c:v>527</c:v>
                </c:pt>
                <c:pt idx="1912">
                  <c:v>527</c:v>
                </c:pt>
                <c:pt idx="1913">
                  <c:v>527</c:v>
                </c:pt>
                <c:pt idx="1914">
                  <c:v>527</c:v>
                </c:pt>
                <c:pt idx="1915">
                  <c:v>527</c:v>
                </c:pt>
                <c:pt idx="1916">
                  <c:v>527</c:v>
                </c:pt>
                <c:pt idx="1917">
                  <c:v>527</c:v>
                </c:pt>
                <c:pt idx="1918">
                  <c:v>527</c:v>
                </c:pt>
                <c:pt idx="1919">
                  <c:v>527</c:v>
                </c:pt>
                <c:pt idx="1920">
                  <c:v>527</c:v>
                </c:pt>
                <c:pt idx="1921">
                  <c:v>527</c:v>
                </c:pt>
                <c:pt idx="1922">
                  <c:v>527</c:v>
                </c:pt>
                <c:pt idx="1923">
                  <c:v>527</c:v>
                </c:pt>
                <c:pt idx="1924">
                  <c:v>527</c:v>
                </c:pt>
                <c:pt idx="1925">
                  <c:v>527</c:v>
                </c:pt>
                <c:pt idx="1926">
                  <c:v>527</c:v>
                </c:pt>
                <c:pt idx="1927">
                  <c:v>527</c:v>
                </c:pt>
                <c:pt idx="1928">
                  <c:v>527</c:v>
                </c:pt>
                <c:pt idx="1929">
                  <c:v>527</c:v>
                </c:pt>
                <c:pt idx="1930">
                  <c:v>527</c:v>
                </c:pt>
                <c:pt idx="1931">
                  <c:v>527</c:v>
                </c:pt>
                <c:pt idx="1932">
                  <c:v>527</c:v>
                </c:pt>
                <c:pt idx="1933">
                  <c:v>3449</c:v>
                </c:pt>
                <c:pt idx="1934">
                  <c:v>3449</c:v>
                </c:pt>
                <c:pt idx="1935">
                  <c:v>3449</c:v>
                </c:pt>
                <c:pt idx="1936">
                  <c:v>3449</c:v>
                </c:pt>
                <c:pt idx="1937">
                  <c:v>3449</c:v>
                </c:pt>
                <c:pt idx="1938">
                  <c:v>3449</c:v>
                </c:pt>
                <c:pt idx="1939">
                  <c:v>3449</c:v>
                </c:pt>
                <c:pt idx="1940">
                  <c:v>3449</c:v>
                </c:pt>
                <c:pt idx="1941">
                  <c:v>3449</c:v>
                </c:pt>
                <c:pt idx="1942">
                  <c:v>3449</c:v>
                </c:pt>
                <c:pt idx="1943">
                  <c:v>3449</c:v>
                </c:pt>
                <c:pt idx="1944">
                  <c:v>3449</c:v>
                </c:pt>
                <c:pt idx="1945">
                  <c:v>3449</c:v>
                </c:pt>
                <c:pt idx="1946">
                  <c:v>3449</c:v>
                </c:pt>
                <c:pt idx="1947">
                  <c:v>3449</c:v>
                </c:pt>
                <c:pt idx="1948">
                  <c:v>3449</c:v>
                </c:pt>
                <c:pt idx="1949">
                  <c:v>3449</c:v>
                </c:pt>
                <c:pt idx="1950">
                  <c:v>3449</c:v>
                </c:pt>
                <c:pt idx="1951">
                  <c:v>3449</c:v>
                </c:pt>
                <c:pt idx="1952">
                  <c:v>3449</c:v>
                </c:pt>
                <c:pt idx="1953">
                  <c:v>3449</c:v>
                </c:pt>
                <c:pt idx="1954">
                  <c:v>3449</c:v>
                </c:pt>
                <c:pt idx="1955">
                  <c:v>3449</c:v>
                </c:pt>
                <c:pt idx="1956">
                  <c:v>3449</c:v>
                </c:pt>
                <c:pt idx="1957">
                  <c:v>4539</c:v>
                </c:pt>
                <c:pt idx="1958">
                  <c:v>4539</c:v>
                </c:pt>
                <c:pt idx="1959">
                  <c:v>4539</c:v>
                </c:pt>
                <c:pt idx="1960">
                  <c:v>4539</c:v>
                </c:pt>
                <c:pt idx="1961">
                  <c:v>4539</c:v>
                </c:pt>
                <c:pt idx="1962">
                  <c:v>4539</c:v>
                </c:pt>
                <c:pt idx="1963">
                  <c:v>4539</c:v>
                </c:pt>
                <c:pt idx="1964">
                  <c:v>4539</c:v>
                </c:pt>
                <c:pt idx="1965">
                  <c:v>4539</c:v>
                </c:pt>
                <c:pt idx="1966">
                  <c:v>4539</c:v>
                </c:pt>
                <c:pt idx="1967">
                  <c:v>4539</c:v>
                </c:pt>
                <c:pt idx="1968">
                  <c:v>4539</c:v>
                </c:pt>
                <c:pt idx="1969">
                  <c:v>4539</c:v>
                </c:pt>
                <c:pt idx="1970">
                  <c:v>4539</c:v>
                </c:pt>
                <c:pt idx="1971">
                  <c:v>4539</c:v>
                </c:pt>
                <c:pt idx="1972">
                  <c:v>4539</c:v>
                </c:pt>
                <c:pt idx="1973">
                  <c:v>4539</c:v>
                </c:pt>
                <c:pt idx="1974">
                  <c:v>4539</c:v>
                </c:pt>
                <c:pt idx="1975">
                  <c:v>4539</c:v>
                </c:pt>
                <c:pt idx="1976">
                  <c:v>4539</c:v>
                </c:pt>
                <c:pt idx="1977">
                  <c:v>4539</c:v>
                </c:pt>
                <c:pt idx="1978">
                  <c:v>4539</c:v>
                </c:pt>
                <c:pt idx="1979">
                  <c:v>4539</c:v>
                </c:pt>
                <c:pt idx="1980">
                  <c:v>4539</c:v>
                </c:pt>
                <c:pt idx="1981">
                  <c:v>4030</c:v>
                </c:pt>
                <c:pt idx="1982">
                  <c:v>4030</c:v>
                </c:pt>
                <c:pt idx="1983">
                  <c:v>4030</c:v>
                </c:pt>
                <c:pt idx="1984">
                  <c:v>4030</c:v>
                </c:pt>
                <c:pt idx="1985">
                  <c:v>4030</c:v>
                </c:pt>
                <c:pt idx="1986">
                  <c:v>4030</c:v>
                </c:pt>
                <c:pt idx="1987">
                  <c:v>4030</c:v>
                </c:pt>
                <c:pt idx="1988">
                  <c:v>4030</c:v>
                </c:pt>
                <c:pt idx="1989">
                  <c:v>4030</c:v>
                </c:pt>
                <c:pt idx="1990">
                  <c:v>4030</c:v>
                </c:pt>
                <c:pt idx="1991">
                  <c:v>4030</c:v>
                </c:pt>
                <c:pt idx="1992">
                  <c:v>4030</c:v>
                </c:pt>
                <c:pt idx="1993">
                  <c:v>4030</c:v>
                </c:pt>
                <c:pt idx="1994">
                  <c:v>4030</c:v>
                </c:pt>
                <c:pt idx="1995">
                  <c:v>4030</c:v>
                </c:pt>
                <c:pt idx="1996">
                  <c:v>4030</c:v>
                </c:pt>
                <c:pt idx="1997">
                  <c:v>4030</c:v>
                </c:pt>
                <c:pt idx="1998">
                  <c:v>4030</c:v>
                </c:pt>
                <c:pt idx="1999">
                  <c:v>4030</c:v>
                </c:pt>
                <c:pt idx="2000">
                  <c:v>4030</c:v>
                </c:pt>
                <c:pt idx="2001">
                  <c:v>4030</c:v>
                </c:pt>
                <c:pt idx="2002">
                  <c:v>4030</c:v>
                </c:pt>
                <c:pt idx="2003">
                  <c:v>4030</c:v>
                </c:pt>
                <c:pt idx="2004">
                  <c:v>4030</c:v>
                </c:pt>
                <c:pt idx="2029">
                  <c:v>-5.8410958904109604E-4</c:v>
                </c:pt>
              </c:numCache>
            </c:numRef>
          </c:val>
          <c:extLst>
            <c:ext xmlns:c16="http://schemas.microsoft.com/office/drawing/2014/chart" uri="{C3380CC4-5D6E-409C-BE32-E72D297353CC}">
              <c16:uniqueId val="{00000000-EB26-47B6-B1D5-B237ADD7038C}"/>
            </c:ext>
          </c:extLst>
        </c:ser>
        <c:ser>
          <c:idx val="2"/>
          <c:order val="2"/>
          <c:tx>
            <c:strRef>
              <c:f>'EL GEN - Time'!$H$4:$H$5</c:f>
              <c:strCache>
                <c:ptCount val="1"/>
                <c:pt idx="0">
                  <c:v>NORWAY</c:v>
                </c:pt>
              </c:strCache>
            </c:strRef>
          </c:tx>
          <c:spPr>
            <a:solidFill>
              <a:schemeClr val="accent3"/>
            </a:solidFill>
            <a:ln w="25400">
              <a:noFill/>
            </a:ln>
            <a:effectLst/>
          </c:spPr>
          <c:cat>
            <c:multiLvlStrRef>
              <c:f>'EL GEN - Time'!$B$6:$E$2036</c:f>
              <c:multiLvlStrCache>
                <c:ptCount val="2030"/>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pt idx="48">
                    <c:v>T001</c:v>
                  </c:pt>
                  <c:pt idx="49">
                    <c:v>T002</c:v>
                  </c:pt>
                  <c:pt idx="50">
                    <c:v>T003</c:v>
                  </c:pt>
                  <c:pt idx="51">
                    <c:v>T005</c:v>
                  </c:pt>
                  <c:pt idx="52">
                    <c:v>T007</c:v>
                  </c:pt>
                  <c:pt idx="53">
                    <c:v>T010</c:v>
                  </c:pt>
                  <c:pt idx="54">
                    <c:v>T012</c:v>
                  </c:pt>
                  <c:pt idx="55">
                    <c:v>T013</c:v>
                  </c:pt>
                  <c:pt idx="56">
                    <c:v>T014</c:v>
                  </c:pt>
                  <c:pt idx="57">
                    <c:v>T015</c:v>
                  </c:pt>
                  <c:pt idx="58">
                    <c:v>T016</c:v>
                  </c:pt>
                  <c:pt idx="59">
                    <c:v>T017</c:v>
                  </c:pt>
                  <c:pt idx="60">
                    <c:v>T018</c:v>
                  </c:pt>
                  <c:pt idx="61">
                    <c:v>T019</c:v>
                  </c:pt>
                  <c:pt idx="62">
                    <c:v>T020</c:v>
                  </c:pt>
                  <c:pt idx="63">
                    <c:v>T021</c:v>
                  </c:pt>
                  <c:pt idx="64">
                    <c:v>T022</c:v>
                  </c:pt>
                  <c:pt idx="65">
                    <c:v>T023</c:v>
                  </c:pt>
                  <c:pt idx="66">
                    <c:v>T024</c:v>
                  </c:pt>
                  <c:pt idx="67">
                    <c:v>T001</c:v>
                  </c:pt>
                  <c:pt idx="68">
                    <c:v>T002</c:v>
                  </c:pt>
                  <c:pt idx="69">
                    <c:v>T003</c:v>
                  </c:pt>
                  <c:pt idx="70">
                    <c:v>T004</c:v>
                  </c:pt>
                  <c:pt idx="71">
                    <c:v>T005</c:v>
                  </c:pt>
                  <c:pt idx="72">
                    <c:v>T006</c:v>
                  </c:pt>
                  <c:pt idx="73">
                    <c:v>T007</c:v>
                  </c:pt>
                  <c:pt idx="74">
                    <c:v>T008</c:v>
                  </c:pt>
                  <c:pt idx="75">
                    <c:v>T009</c:v>
                  </c:pt>
                  <c:pt idx="76">
                    <c:v>T010</c:v>
                  </c:pt>
                  <c:pt idx="77">
                    <c:v>T011</c:v>
                  </c:pt>
                  <c:pt idx="78">
                    <c:v>T012</c:v>
                  </c:pt>
                  <c:pt idx="79">
                    <c:v>T013</c:v>
                  </c:pt>
                  <c:pt idx="80">
                    <c:v>T014</c:v>
                  </c:pt>
                  <c:pt idx="81">
                    <c:v>T015</c:v>
                  </c:pt>
                  <c:pt idx="82">
                    <c:v>T016</c:v>
                  </c:pt>
                  <c:pt idx="83">
                    <c:v>T017</c:v>
                  </c:pt>
                  <c:pt idx="84">
                    <c:v>T018</c:v>
                  </c:pt>
                  <c:pt idx="85">
                    <c:v>T019</c:v>
                  </c:pt>
                  <c:pt idx="86">
                    <c:v>T020</c:v>
                  </c:pt>
                  <c:pt idx="87">
                    <c:v>T021</c:v>
                  </c:pt>
                  <c:pt idx="88">
                    <c:v>T022</c:v>
                  </c:pt>
                  <c:pt idx="89">
                    <c:v>T023</c:v>
                  </c:pt>
                  <c:pt idx="90">
                    <c:v>T024</c:v>
                  </c:pt>
                  <c:pt idx="91">
                    <c:v>T001</c:v>
                  </c:pt>
                  <c:pt idx="92">
                    <c:v>T002</c:v>
                  </c:pt>
                  <c:pt idx="93">
                    <c:v>T003</c:v>
                  </c:pt>
                  <c:pt idx="94">
                    <c:v>T004</c:v>
                  </c:pt>
                  <c:pt idx="95">
                    <c:v>T005</c:v>
                  </c:pt>
                  <c:pt idx="96">
                    <c:v>T006</c:v>
                  </c:pt>
                  <c:pt idx="97">
                    <c:v>T007</c:v>
                  </c:pt>
                  <c:pt idx="98">
                    <c:v>T008</c:v>
                  </c:pt>
                  <c:pt idx="99">
                    <c:v>T009</c:v>
                  </c:pt>
                  <c:pt idx="100">
                    <c:v>T010</c:v>
                  </c:pt>
                  <c:pt idx="101">
                    <c:v>T011</c:v>
                  </c:pt>
                  <c:pt idx="102">
                    <c:v>T012</c:v>
                  </c:pt>
                  <c:pt idx="103">
                    <c:v>T013</c:v>
                  </c:pt>
                  <c:pt idx="104">
                    <c:v>T014</c:v>
                  </c:pt>
                  <c:pt idx="105">
                    <c:v>T015</c:v>
                  </c:pt>
                  <c:pt idx="106">
                    <c:v>T016</c:v>
                  </c:pt>
                  <c:pt idx="107">
                    <c:v>T017</c:v>
                  </c:pt>
                  <c:pt idx="108">
                    <c:v>T018</c:v>
                  </c:pt>
                  <c:pt idx="109">
                    <c:v>T019</c:v>
                  </c:pt>
                  <c:pt idx="110">
                    <c:v>T020</c:v>
                  </c:pt>
                  <c:pt idx="111">
                    <c:v>T021</c:v>
                  </c:pt>
                  <c:pt idx="112">
                    <c:v>T022</c:v>
                  </c:pt>
                  <c:pt idx="113">
                    <c:v>T023</c:v>
                  </c:pt>
                  <c:pt idx="114">
                    <c:v>T024</c:v>
                  </c:pt>
                  <c:pt idx="115">
                    <c:v>T001</c:v>
                  </c:pt>
                  <c:pt idx="116">
                    <c:v>T002</c:v>
                  </c:pt>
                  <c:pt idx="117">
                    <c:v>T003</c:v>
                  </c:pt>
                  <c:pt idx="118">
                    <c:v>T004</c:v>
                  </c:pt>
                  <c:pt idx="119">
                    <c:v>T005</c:v>
                  </c:pt>
                  <c:pt idx="120">
                    <c:v>T006</c:v>
                  </c:pt>
                  <c:pt idx="121">
                    <c:v>T007</c:v>
                  </c:pt>
                  <c:pt idx="122">
                    <c:v>T008</c:v>
                  </c:pt>
                  <c:pt idx="123">
                    <c:v>T009</c:v>
                  </c:pt>
                  <c:pt idx="124">
                    <c:v>T010</c:v>
                  </c:pt>
                  <c:pt idx="125">
                    <c:v>T011</c:v>
                  </c:pt>
                  <c:pt idx="126">
                    <c:v>T012</c:v>
                  </c:pt>
                  <c:pt idx="127">
                    <c:v>T013</c:v>
                  </c:pt>
                  <c:pt idx="128">
                    <c:v>T014</c:v>
                  </c:pt>
                  <c:pt idx="129">
                    <c:v>T015</c:v>
                  </c:pt>
                  <c:pt idx="130">
                    <c:v>T016</c:v>
                  </c:pt>
                  <c:pt idx="131">
                    <c:v>T017</c:v>
                  </c:pt>
                  <c:pt idx="132">
                    <c:v>T018</c:v>
                  </c:pt>
                  <c:pt idx="133">
                    <c:v>T019</c:v>
                  </c:pt>
                  <c:pt idx="134">
                    <c:v>T020</c:v>
                  </c:pt>
                  <c:pt idx="135">
                    <c:v>T021</c:v>
                  </c:pt>
                  <c:pt idx="136">
                    <c:v>T022</c:v>
                  </c:pt>
                  <c:pt idx="137">
                    <c:v>T023</c:v>
                  </c:pt>
                  <c:pt idx="138">
                    <c:v>T024</c:v>
                  </c:pt>
                  <c:pt idx="139">
                    <c:v>T001</c:v>
                  </c:pt>
                  <c:pt idx="140">
                    <c:v>T002</c:v>
                  </c:pt>
                  <c:pt idx="141">
                    <c:v>T003</c:v>
                  </c:pt>
                  <c:pt idx="142">
                    <c:v>T004</c:v>
                  </c:pt>
                  <c:pt idx="143">
                    <c:v>T005</c:v>
                  </c:pt>
                  <c:pt idx="144">
                    <c:v>T006</c:v>
                  </c:pt>
                  <c:pt idx="145">
                    <c:v>T007</c:v>
                  </c:pt>
                  <c:pt idx="146">
                    <c:v>T008</c:v>
                  </c:pt>
                  <c:pt idx="147">
                    <c:v>T009</c:v>
                  </c:pt>
                  <c:pt idx="148">
                    <c:v>T010</c:v>
                  </c:pt>
                  <c:pt idx="149">
                    <c:v>T011</c:v>
                  </c:pt>
                  <c:pt idx="150">
                    <c:v>T012</c:v>
                  </c:pt>
                  <c:pt idx="151">
                    <c:v>T013</c:v>
                  </c:pt>
                  <c:pt idx="152">
                    <c:v>T014</c:v>
                  </c:pt>
                  <c:pt idx="153">
                    <c:v>T015</c:v>
                  </c:pt>
                  <c:pt idx="154">
                    <c:v>T016</c:v>
                  </c:pt>
                  <c:pt idx="155">
                    <c:v>T017</c:v>
                  </c:pt>
                  <c:pt idx="156">
                    <c:v>T018</c:v>
                  </c:pt>
                  <c:pt idx="157">
                    <c:v>T019</c:v>
                  </c:pt>
                  <c:pt idx="158">
                    <c:v>T020</c:v>
                  </c:pt>
                  <c:pt idx="159">
                    <c:v>T021</c:v>
                  </c:pt>
                  <c:pt idx="160">
                    <c:v>T022</c:v>
                  </c:pt>
                  <c:pt idx="161">
                    <c:v>T023</c:v>
                  </c:pt>
                  <c:pt idx="162">
                    <c:v>T024</c:v>
                  </c:pt>
                  <c:pt idx="163">
                    <c:v>T001</c:v>
                  </c:pt>
                  <c:pt idx="164">
                    <c:v>T002</c:v>
                  </c:pt>
                  <c:pt idx="165">
                    <c:v>T003</c:v>
                  </c:pt>
                  <c:pt idx="166">
                    <c:v>T004</c:v>
                  </c:pt>
                  <c:pt idx="167">
                    <c:v>T005</c:v>
                  </c:pt>
                  <c:pt idx="168">
                    <c:v>T006</c:v>
                  </c:pt>
                  <c:pt idx="169">
                    <c:v>T007</c:v>
                  </c:pt>
                  <c:pt idx="170">
                    <c:v>T008</c:v>
                  </c:pt>
                  <c:pt idx="171">
                    <c:v>T009</c:v>
                  </c:pt>
                  <c:pt idx="172">
                    <c:v>T010</c:v>
                  </c:pt>
                  <c:pt idx="173">
                    <c:v>T011</c:v>
                  </c:pt>
                  <c:pt idx="174">
                    <c:v>T012</c:v>
                  </c:pt>
                  <c:pt idx="175">
                    <c:v>T013</c:v>
                  </c:pt>
                  <c:pt idx="176">
                    <c:v>T014</c:v>
                  </c:pt>
                  <c:pt idx="177">
                    <c:v>T015</c:v>
                  </c:pt>
                  <c:pt idx="178">
                    <c:v>T016</c:v>
                  </c:pt>
                  <c:pt idx="179">
                    <c:v>T017</c:v>
                  </c:pt>
                  <c:pt idx="180">
                    <c:v>T018</c:v>
                  </c:pt>
                  <c:pt idx="181">
                    <c:v>T019</c:v>
                  </c:pt>
                  <c:pt idx="182">
                    <c:v>T020</c:v>
                  </c:pt>
                  <c:pt idx="183">
                    <c:v>T021</c:v>
                  </c:pt>
                  <c:pt idx="184">
                    <c:v>T022</c:v>
                  </c:pt>
                  <c:pt idx="185">
                    <c:v>T023</c:v>
                  </c:pt>
                  <c:pt idx="186">
                    <c:v>T024</c:v>
                  </c:pt>
                  <c:pt idx="187">
                    <c:v>T001</c:v>
                  </c:pt>
                  <c:pt idx="188">
                    <c:v>T002</c:v>
                  </c:pt>
                  <c:pt idx="189">
                    <c:v>T003</c:v>
                  </c:pt>
                  <c:pt idx="190">
                    <c:v>T004</c:v>
                  </c:pt>
                  <c:pt idx="191">
                    <c:v>T005</c:v>
                  </c:pt>
                  <c:pt idx="192">
                    <c:v>T006</c:v>
                  </c:pt>
                  <c:pt idx="193">
                    <c:v>T007</c:v>
                  </c:pt>
                  <c:pt idx="194">
                    <c:v>T008</c:v>
                  </c:pt>
                  <c:pt idx="195">
                    <c:v>T009</c:v>
                  </c:pt>
                  <c:pt idx="196">
                    <c:v>T010</c:v>
                  </c:pt>
                  <c:pt idx="197">
                    <c:v>T011</c:v>
                  </c:pt>
                  <c:pt idx="198">
                    <c:v>T012</c:v>
                  </c:pt>
                  <c:pt idx="199">
                    <c:v>T013</c:v>
                  </c:pt>
                  <c:pt idx="200">
                    <c:v>T014</c:v>
                  </c:pt>
                  <c:pt idx="201">
                    <c:v>T015</c:v>
                  </c:pt>
                  <c:pt idx="202">
                    <c:v>T016</c:v>
                  </c:pt>
                  <c:pt idx="203">
                    <c:v>T017</c:v>
                  </c:pt>
                  <c:pt idx="204">
                    <c:v>T018</c:v>
                  </c:pt>
                  <c:pt idx="205">
                    <c:v>T019</c:v>
                  </c:pt>
                  <c:pt idx="206">
                    <c:v>T020</c:v>
                  </c:pt>
                  <c:pt idx="207">
                    <c:v>T021</c:v>
                  </c:pt>
                  <c:pt idx="208">
                    <c:v>T022</c:v>
                  </c:pt>
                  <c:pt idx="209">
                    <c:v>T023</c:v>
                  </c:pt>
                  <c:pt idx="210">
                    <c:v>T024</c:v>
                  </c:pt>
                  <c:pt idx="211">
                    <c:v>T002</c:v>
                  </c:pt>
                  <c:pt idx="212">
                    <c:v>T003</c:v>
                  </c:pt>
                  <c:pt idx="213">
                    <c:v>T004</c:v>
                  </c:pt>
                  <c:pt idx="214">
                    <c:v>T005</c:v>
                  </c:pt>
                  <c:pt idx="215">
                    <c:v>T006</c:v>
                  </c:pt>
                  <c:pt idx="216">
                    <c:v>T007</c:v>
                  </c:pt>
                  <c:pt idx="217">
                    <c:v>T008</c:v>
                  </c:pt>
                  <c:pt idx="218">
                    <c:v>T009</c:v>
                  </c:pt>
                  <c:pt idx="219">
                    <c:v>T010</c:v>
                  </c:pt>
                  <c:pt idx="220">
                    <c:v>T011</c:v>
                  </c:pt>
                  <c:pt idx="221">
                    <c:v>T012</c:v>
                  </c:pt>
                  <c:pt idx="222">
                    <c:v>T013</c:v>
                  </c:pt>
                  <c:pt idx="223">
                    <c:v>T014</c:v>
                  </c:pt>
                  <c:pt idx="224">
                    <c:v>T015</c:v>
                  </c:pt>
                  <c:pt idx="225">
                    <c:v>T016</c:v>
                  </c:pt>
                  <c:pt idx="226">
                    <c:v>T017</c:v>
                  </c:pt>
                  <c:pt idx="227">
                    <c:v>T018</c:v>
                  </c:pt>
                  <c:pt idx="228">
                    <c:v>T019</c:v>
                  </c:pt>
                  <c:pt idx="229">
                    <c:v>T020</c:v>
                  </c:pt>
                  <c:pt idx="230">
                    <c:v>T021</c:v>
                  </c:pt>
                  <c:pt idx="231">
                    <c:v>T022</c:v>
                  </c:pt>
                  <c:pt idx="232">
                    <c:v>T023</c:v>
                  </c:pt>
                  <c:pt idx="233">
                    <c:v>T024</c:v>
                  </c:pt>
                  <c:pt idx="234">
                    <c:v>T001</c:v>
                  </c:pt>
                  <c:pt idx="235">
                    <c:v>T002</c:v>
                  </c:pt>
                  <c:pt idx="236">
                    <c:v>T003</c:v>
                  </c:pt>
                  <c:pt idx="237">
                    <c:v>T004</c:v>
                  </c:pt>
                  <c:pt idx="238">
                    <c:v>T005</c:v>
                  </c:pt>
                  <c:pt idx="239">
                    <c:v>T006</c:v>
                  </c:pt>
                  <c:pt idx="240">
                    <c:v>T007</c:v>
                  </c:pt>
                  <c:pt idx="241">
                    <c:v>T008</c:v>
                  </c:pt>
                  <c:pt idx="242">
                    <c:v>T009</c:v>
                  </c:pt>
                  <c:pt idx="243">
                    <c:v>T010</c:v>
                  </c:pt>
                  <c:pt idx="244">
                    <c:v>T011</c:v>
                  </c:pt>
                  <c:pt idx="245">
                    <c:v>T012</c:v>
                  </c:pt>
                  <c:pt idx="246">
                    <c:v>T013</c:v>
                  </c:pt>
                  <c:pt idx="247">
                    <c:v>T014</c:v>
                  </c:pt>
                  <c:pt idx="248">
                    <c:v>T015</c:v>
                  </c:pt>
                  <c:pt idx="249">
                    <c:v>T016</c:v>
                  </c:pt>
                  <c:pt idx="250">
                    <c:v>T017</c:v>
                  </c:pt>
                  <c:pt idx="251">
                    <c:v>T018</c:v>
                  </c:pt>
                  <c:pt idx="252">
                    <c:v>T019</c:v>
                  </c:pt>
                  <c:pt idx="253">
                    <c:v>T020</c:v>
                  </c:pt>
                  <c:pt idx="254">
                    <c:v>T021</c:v>
                  </c:pt>
                  <c:pt idx="255">
                    <c:v>T022</c:v>
                  </c:pt>
                  <c:pt idx="256">
                    <c:v>T023</c:v>
                  </c:pt>
                  <c:pt idx="257">
                    <c:v>T024</c:v>
                  </c:pt>
                  <c:pt idx="258">
                    <c:v>T001</c:v>
                  </c:pt>
                  <c:pt idx="259">
                    <c:v>T002</c:v>
                  </c:pt>
                  <c:pt idx="260">
                    <c:v>T003</c:v>
                  </c:pt>
                  <c:pt idx="261">
                    <c:v>T004</c:v>
                  </c:pt>
                  <c:pt idx="262">
                    <c:v>T005</c:v>
                  </c:pt>
                  <c:pt idx="263">
                    <c:v>T006</c:v>
                  </c:pt>
                  <c:pt idx="264">
                    <c:v>T007</c:v>
                  </c:pt>
                  <c:pt idx="265">
                    <c:v>T008</c:v>
                  </c:pt>
                  <c:pt idx="266">
                    <c:v>T009</c:v>
                  </c:pt>
                  <c:pt idx="267">
                    <c:v>T010</c:v>
                  </c:pt>
                  <c:pt idx="268">
                    <c:v>T011</c:v>
                  </c:pt>
                  <c:pt idx="269">
                    <c:v>T012</c:v>
                  </c:pt>
                  <c:pt idx="270">
                    <c:v>T013</c:v>
                  </c:pt>
                  <c:pt idx="271">
                    <c:v>T014</c:v>
                  </c:pt>
                  <c:pt idx="272">
                    <c:v>T015</c:v>
                  </c:pt>
                  <c:pt idx="273">
                    <c:v>T016</c:v>
                  </c:pt>
                  <c:pt idx="274">
                    <c:v>T017</c:v>
                  </c:pt>
                  <c:pt idx="275">
                    <c:v>T018</c:v>
                  </c:pt>
                  <c:pt idx="276">
                    <c:v>T019</c:v>
                  </c:pt>
                  <c:pt idx="277">
                    <c:v>T020</c:v>
                  </c:pt>
                  <c:pt idx="278">
                    <c:v>T021</c:v>
                  </c:pt>
                  <c:pt idx="279">
                    <c:v>T022</c:v>
                  </c:pt>
                  <c:pt idx="280">
                    <c:v>T023</c:v>
                  </c:pt>
                  <c:pt idx="281">
                    <c:v>T024</c:v>
                  </c:pt>
                  <c:pt idx="282">
                    <c:v>T001</c:v>
                  </c:pt>
                  <c:pt idx="283">
                    <c:v>T002</c:v>
                  </c:pt>
                  <c:pt idx="284">
                    <c:v>T003</c:v>
                  </c:pt>
                  <c:pt idx="285">
                    <c:v>T004</c:v>
                  </c:pt>
                  <c:pt idx="286">
                    <c:v>T005</c:v>
                  </c:pt>
                  <c:pt idx="287">
                    <c:v>T006</c:v>
                  </c:pt>
                  <c:pt idx="288">
                    <c:v>T007</c:v>
                  </c:pt>
                  <c:pt idx="289">
                    <c:v>T008</c:v>
                  </c:pt>
                  <c:pt idx="290">
                    <c:v>T009</c:v>
                  </c:pt>
                  <c:pt idx="291">
                    <c:v>T010</c:v>
                  </c:pt>
                  <c:pt idx="292">
                    <c:v>T011</c:v>
                  </c:pt>
                  <c:pt idx="293">
                    <c:v>T012</c:v>
                  </c:pt>
                  <c:pt idx="294">
                    <c:v>T013</c:v>
                  </c:pt>
                  <c:pt idx="295">
                    <c:v>T014</c:v>
                  </c:pt>
                  <c:pt idx="296">
                    <c:v>T015</c:v>
                  </c:pt>
                  <c:pt idx="297">
                    <c:v>T016</c:v>
                  </c:pt>
                  <c:pt idx="298">
                    <c:v>T017</c:v>
                  </c:pt>
                  <c:pt idx="299">
                    <c:v>T018</c:v>
                  </c:pt>
                  <c:pt idx="300">
                    <c:v>T019</c:v>
                  </c:pt>
                  <c:pt idx="301">
                    <c:v>T020</c:v>
                  </c:pt>
                  <c:pt idx="302">
                    <c:v>T021</c:v>
                  </c:pt>
                  <c:pt idx="303">
                    <c:v>T022</c:v>
                  </c:pt>
                  <c:pt idx="304">
                    <c:v>T023</c:v>
                  </c:pt>
                  <c:pt idx="305">
                    <c:v>T024</c:v>
                  </c:pt>
                  <c:pt idx="306">
                    <c:v>T001</c:v>
                  </c:pt>
                  <c:pt idx="307">
                    <c:v>T002</c:v>
                  </c:pt>
                  <c:pt idx="308">
                    <c:v>T003</c:v>
                  </c:pt>
                  <c:pt idx="309">
                    <c:v>T004</c:v>
                  </c:pt>
                  <c:pt idx="310">
                    <c:v>T005</c:v>
                  </c:pt>
                  <c:pt idx="311">
                    <c:v>T006</c:v>
                  </c:pt>
                  <c:pt idx="312">
                    <c:v>T007</c:v>
                  </c:pt>
                  <c:pt idx="313">
                    <c:v>T008</c:v>
                  </c:pt>
                  <c:pt idx="314">
                    <c:v>T009</c:v>
                  </c:pt>
                  <c:pt idx="315">
                    <c:v>T010</c:v>
                  </c:pt>
                  <c:pt idx="316">
                    <c:v>T011</c:v>
                  </c:pt>
                  <c:pt idx="317">
                    <c:v>T012</c:v>
                  </c:pt>
                  <c:pt idx="318">
                    <c:v>T013</c:v>
                  </c:pt>
                  <c:pt idx="319">
                    <c:v>T014</c:v>
                  </c:pt>
                  <c:pt idx="320">
                    <c:v>T015</c:v>
                  </c:pt>
                  <c:pt idx="321">
                    <c:v>T016</c:v>
                  </c:pt>
                  <c:pt idx="322">
                    <c:v>T017</c:v>
                  </c:pt>
                  <c:pt idx="323">
                    <c:v>T018</c:v>
                  </c:pt>
                  <c:pt idx="324">
                    <c:v>T019</c:v>
                  </c:pt>
                  <c:pt idx="325">
                    <c:v>T020</c:v>
                  </c:pt>
                  <c:pt idx="326">
                    <c:v>T021</c:v>
                  </c:pt>
                  <c:pt idx="327">
                    <c:v>T022</c:v>
                  </c:pt>
                  <c:pt idx="328">
                    <c:v>T023</c:v>
                  </c:pt>
                  <c:pt idx="329">
                    <c:v>T024</c:v>
                  </c:pt>
                  <c:pt idx="330">
                    <c:v>T001</c:v>
                  </c:pt>
                  <c:pt idx="331">
                    <c:v>T002</c:v>
                  </c:pt>
                  <c:pt idx="332">
                    <c:v>T003</c:v>
                  </c:pt>
                  <c:pt idx="333">
                    <c:v>T004</c:v>
                  </c:pt>
                  <c:pt idx="334">
                    <c:v>T005</c:v>
                  </c:pt>
                  <c:pt idx="335">
                    <c:v>T006</c:v>
                  </c:pt>
                  <c:pt idx="336">
                    <c:v>T007</c:v>
                  </c:pt>
                  <c:pt idx="337">
                    <c:v>T008</c:v>
                  </c:pt>
                  <c:pt idx="338">
                    <c:v>T009</c:v>
                  </c:pt>
                  <c:pt idx="339">
                    <c:v>T010</c:v>
                  </c:pt>
                  <c:pt idx="340">
                    <c:v>T011</c:v>
                  </c:pt>
                  <c:pt idx="341">
                    <c:v>T012</c:v>
                  </c:pt>
                  <c:pt idx="342">
                    <c:v>T013</c:v>
                  </c:pt>
                  <c:pt idx="343">
                    <c:v>T014</c:v>
                  </c:pt>
                  <c:pt idx="344">
                    <c:v>T015</c:v>
                  </c:pt>
                  <c:pt idx="345">
                    <c:v>T016</c:v>
                  </c:pt>
                  <c:pt idx="346">
                    <c:v>T017</c:v>
                  </c:pt>
                  <c:pt idx="347">
                    <c:v>T018</c:v>
                  </c:pt>
                  <c:pt idx="348">
                    <c:v>T019</c:v>
                  </c:pt>
                  <c:pt idx="349">
                    <c:v>T020</c:v>
                  </c:pt>
                  <c:pt idx="350">
                    <c:v>T021</c:v>
                  </c:pt>
                  <c:pt idx="351">
                    <c:v>T022</c:v>
                  </c:pt>
                  <c:pt idx="352">
                    <c:v>T023</c:v>
                  </c:pt>
                  <c:pt idx="353">
                    <c:v>T024</c:v>
                  </c:pt>
                  <c:pt idx="354">
                    <c:v>T001</c:v>
                  </c:pt>
                  <c:pt idx="355">
                    <c:v>T002</c:v>
                  </c:pt>
                  <c:pt idx="356">
                    <c:v>T003</c:v>
                  </c:pt>
                  <c:pt idx="357">
                    <c:v>T004</c:v>
                  </c:pt>
                  <c:pt idx="358">
                    <c:v>T005</c:v>
                  </c:pt>
                  <c:pt idx="359">
                    <c:v>T006</c:v>
                  </c:pt>
                  <c:pt idx="360">
                    <c:v>T007</c:v>
                  </c:pt>
                  <c:pt idx="361">
                    <c:v>T008</c:v>
                  </c:pt>
                  <c:pt idx="362">
                    <c:v>T009</c:v>
                  </c:pt>
                  <c:pt idx="363">
                    <c:v>T010</c:v>
                  </c:pt>
                  <c:pt idx="364">
                    <c:v>T011</c:v>
                  </c:pt>
                  <c:pt idx="365">
                    <c:v>T012</c:v>
                  </c:pt>
                  <c:pt idx="366">
                    <c:v>T013</c:v>
                  </c:pt>
                  <c:pt idx="367">
                    <c:v>T014</c:v>
                  </c:pt>
                  <c:pt idx="368">
                    <c:v>T015</c:v>
                  </c:pt>
                  <c:pt idx="369">
                    <c:v>T016</c:v>
                  </c:pt>
                  <c:pt idx="370">
                    <c:v>T017</c:v>
                  </c:pt>
                  <c:pt idx="371">
                    <c:v>T018</c:v>
                  </c:pt>
                  <c:pt idx="372">
                    <c:v>T019</c:v>
                  </c:pt>
                  <c:pt idx="373">
                    <c:v>T020</c:v>
                  </c:pt>
                  <c:pt idx="374">
                    <c:v>T021</c:v>
                  </c:pt>
                  <c:pt idx="375">
                    <c:v>T022</c:v>
                  </c:pt>
                  <c:pt idx="376">
                    <c:v>T023</c:v>
                  </c:pt>
                  <c:pt idx="377">
                    <c:v>T024</c:v>
                  </c:pt>
                  <c:pt idx="378">
                    <c:v>T001</c:v>
                  </c:pt>
                  <c:pt idx="379">
                    <c:v>T002</c:v>
                  </c:pt>
                  <c:pt idx="380">
                    <c:v>T003</c:v>
                  </c:pt>
                  <c:pt idx="381">
                    <c:v>T004</c:v>
                  </c:pt>
                  <c:pt idx="382">
                    <c:v>T005</c:v>
                  </c:pt>
                  <c:pt idx="383">
                    <c:v>T006</c:v>
                  </c:pt>
                  <c:pt idx="384">
                    <c:v>T007</c:v>
                  </c:pt>
                  <c:pt idx="385">
                    <c:v>T008</c:v>
                  </c:pt>
                  <c:pt idx="386">
                    <c:v>T009</c:v>
                  </c:pt>
                  <c:pt idx="387">
                    <c:v>T010</c:v>
                  </c:pt>
                  <c:pt idx="388">
                    <c:v>T011</c:v>
                  </c:pt>
                  <c:pt idx="389">
                    <c:v>T012</c:v>
                  </c:pt>
                  <c:pt idx="390">
                    <c:v>T013</c:v>
                  </c:pt>
                  <c:pt idx="391">
                    <c:v>T014</c:v>
                  </c:pt>
                  <c:pt idx="392">
                    <c:v>T015</c:v>
                  </c:pt>
                  <c:pt idx="393">
                    <c:v>T016</c:v>
                  </c:pt>
                  <c:pt idx="394">
                    <c:v>T017</c:v>
                  </c:pt>
                  <c:pt idx="395">
                    <c:v>T018</c:v>
                  </c:pt>
                  <c:pt idx="396">
                    <c:v>T019</c:v>
                  </c:pt>
                  <c:pt idx="397">
                    <c:v>T020</c:v>
                  </c:pt>
                  <c:pt idx="398">
                    <c:v>T021</c:v>
                  </c:pt>
                  <c:pt idx="399">
                    <c:v>T022</c:v>
                  </c:pt>
                  <c:pt idx="400">
                    <c:v>T023</c:v>
                  </c:pt>
                  <c:pt idx="401">
                    <c:v>T024</c:v>
                  </c:pt>
                  <c:pt idx="402">
                    <c:v>T001</c:v>
                  </c:pt>
                  <c:pt idx="403">
                    <c:v>T002</c:v>
                  </c:pt>
                  <c:pt idx="404">
                    <c:v>T003</c:v>
                  </c:pt>
                  <c:pt idx="405">
                    <c:v>T004</c:v>
                  </c:pt>
                  <c:pt idx="406">
                    <c:v>T005</c:v>
                  </c:pt>
                  <c:pt idx="407">
                    <c:v>T006</c:v>
                  </c:pt>
                  <c:pt idx="408">
                    <c:v>T007</c:v>
                  </c:pt>
                  <c:pt idx="409">
                    <c:v>T008</c:v>
                  </c:pt>
                  <c:pt idx="410">
                    <c:v>T009</c:v>
                  </c:pt>
                  <c:pt idx="411">
                    <c:v>T010</c:v>
                  </c:pt>
                  <c:pt idx="412">
                    <c:v>T011</c:v>
                  </c:pt>
                  <c:pt idx="413">
                    <c:v>T012</c:v>
                  </c:pt>
                  <c:pt idx="414">
                    <c:v>T013</c:v>
                  </c:pt>
                  <c:pt idx="415">
                    <c:v>T014</c:v>
                  </c:pt>
                  <c:pt idx="416">
                    <c:v>T015</c:v>
                  </c:pt>
                  <c:pt idx="417">
                    <c:v>T016</c:v>
                  </c:pt>
                  <c:pt idx="418">
                    <c:v>T017</c:v>
                  </c:pt>
                  <c:pt idx="419">
                    <c:v>T018</c:v>
                  </c:pt>
                  <c:pt idx="420">
                    <c:v>T019</c:v>
                  </c:pt>
                  <c:pt idx="421">
                    <c:v>T020</c:v>
                  </c:pt>
                  <c:pt idx="422">
                    <c:v>T021</c:v>
                  </c:pt>
                  <c:pt idx="423">
                    <c:v>T022</c:v>
                  </c:pt>
                  <c:pt idx="424">
                    <c:v>T023</c:v>
                  </c:pt>
                  <c:pt idx="425">
                    <c:v>T024</c:v>
                  </c:pt>
                  <c:pt idx="426">
                    <c:v>T001</c:v>
                  </c:pt>
                  <c:pt idx="427">
                    <c:v>T002</c:v>
                  </c:pt>
                  <c:pt idx="428">
                    <c:v>T003</c:v>
                  </c:pt>
                  <c:pt idx="429">
                    <c:v>T004</c:v>
                  </c:pt>
                  <c:pt idx="430">
                    <c:v>T005</c:v>
                  </c:pt>
                  <c:pt idx="431">
                    <c:v>T006</c:v>
                  </c:pt>
                  <c:pt idx="432">
                    <c:v>T007</c:v>
                  </c:pt>
                  <c:pt idx="433">
                    <c:v>T008</c:v>
                  </c:pt>
                  <c:pt idx="434">
                    <c:v>T009</c:v>
                  </c:pt>
                  <c:pt idx="435">
                    <c:v>T010</c:v>
                  </c:pt>
                  <c:pt idx="436">
                    <c:v>T011</c:v>
                  </c:pt>
                  <c:pt idx="437">
                    <c:v>T012</c:v>
                  </c:pt>
                  <c:pt idx="438">
                    <c:v>T013</c:v>
                  </c:pt>
                  <c:pt idx="439">
                    <c:v>T014</c:v>
                  </c:pt>
                  <c:pt idx="440">
                    <c:v>T015</c:v>
                  </c:pt>
                  <c:pt idx="441">
                    <c:v>T016</c:v>
                  </c:pt>
                  <c:pt idx="442">
                    <c:v>T017</c:v>
                  </c:pt>
                  <c:pt idx="443">
                    <c:v>T018</c:v>
                  </c:pt>
                  <c:pt idx="444">
                    <c:v>T019</c:v>
                  </c:pt>
                  <c:pt idx="445">
                    <c:v>T020</c:v>
                  </c:pt>
                  <c:pt idx="446">
                    <c:v>T021</c:v>
                  </c:pt>
                  <c:pt idx="447">
                    <c:v>T022</c:v>
                  </c:pt>
                  <c:pt idx="448">
                    <c:v>T023</c:v>
                  </c:pt>
                  <c:pt idx="449">
                    <c:v>T024</c:v>
                  </c:pt>
                  <c:pt idx="450">
                    <c:v>T001</c:v>
                  </c:pt>
                  <c:pt idx="451">
                    <c:v>T002</c:v>
                  </c:pt>
                  <c:pt idx="452">
                    <c:v>T003</c:v>
                  </c:pt>
                  <c:pt idx="453">
                    <c:v>T004</c:v>
                  </c:pt>
                  <c:pt idx="454">
                    <c:v>T005</c:v>
                  </c:pt>
                  <c:pt idx="455">
                    <c:v>T006</c:v>
                  </c:pt>
                  <c:pt idx="456">
                    <c:v>T007</c:v>
                  </c:pt>
                  <c:pt idx="457">
                    <c:v>T008</c:v>
                  </c:pt>
                  <c:pt idx="458">
                    <c:v>T009</c:v>
                  </c:pt>
                  <c:pt idx="459">
                    <c:v>T010</c:v>
                  </c:pt>
                  <c:pt idx="460">
                    <c:v>T011</c:v>
                  </c:pt>
                  <c:pt idx="461">
                    <c:v>T012</c:v>
                  </c:pt>
                  <c:pt idx="462">
                    <c:v>T013</c:v>
                  </c:pt>
                  <c:pt idx="463">
                    <c:v>T014</c:v>
                  </c:pt>
                  <c:pt idx="464">
                    <c:v>T015</c:v>
                  </c:pt>
                  <c:pt idx="465">
                    <c:v>T016</c:v>
                  </c:pt>
                  <c:pt idx="466">
                    <c:v>T017</c:v>
                  </c:pt>
                  <c:pt idx="467">
                    <c:v>T018</c:v>
                  </c:pt>
                  <c:pt idx="468">
                    <c:v>T019</c:v>
                  </c:pt>
                  <c:pt idx="469">
                    <c:v>T020</c:v>
                  </c:pt>
                  <c:pt idx="470">
                    <c:v>T021</c:v>
                  </c:pt>
                  <c:pt idx="471">
                    <c:v>T022</c:v>
                  </c:pt>
                  <c:pt idx="472">
                    <c:v>T023</c:v>
                  </c:pt>
                  <c:pt idx="473">
                    <c:v>T024</c:v>
                  </c:pt>
                  <c:pt idx="474">
                    <c:v>T001</c:v>
                  </c:pt>
                  <c:pt idx="475">
                    <c:v>T002</c:v>
                  </c:pt>
                  <c:pt idx="476">
                    <c:v>T003</c:v>
                  </c:pt>
                  <c:pt idx="477">
                    <c:v>T004</c:v>
                  </c:pt>
                  <c:pt idx="478">
                    <c:v>T005</c:v>
                  </c:pt>
                  <c:pt idx="479">
                    <c:v>T006</c:v>
                  </c:pt>
                  <c:pt idx="480">
                    <c:v>T007</c:v>
                  </c:pt>
                  <c:pt idx="481">
                    <c:v>T008</c:v>
                  </c:pt>
                  <c:pt idx="482">
                    <c:v>T009</c:v>
                  </c:pt>
                  <c:pt idx="483">
                    <c:v>T010</c:v>
                  </c:pt>
                  <c:pt idx="484">
                    <c:v>T011</c:v>
                  </c:pt>
                  <c:pt idx="485">
                    <c:v>T012</c:v>
                  </c:pt>
                  <c:pt idx="486">
                    <c:v>T013</c:v>
                  </c:pt>
                  <c:pt idx="487">
                    <c:v>T014</c:v>
                  </c:pt>
                  <c:pt idx="488">
                    <c:v>T015</c:v>
                  </c:pt>
                  <c:pt idx="489">
                    <c:v>T016</c:v>
                  </c:pt>
                  <c:pt idx="490">
                    <c:v>T017</c:v>
                  </c:pt>
                  <c:pt idx="491">
                    <c:v>T018</c:v>
                  </c:pt>
                  <c:pt idx="492">
                    <c:v>T019</c:v>
                  </c:pt>
                  <c:pt idx="493">
                    <c:v>T020</c:v>
                  </c:pt>
                  <c:pt idx="494">
                    <c:v>T021</c:v>
                  </c:pt>
                  <c:pt idx="495">
                    <c:v>T022</c:v>
                  </c:pt>
                  <c:pt idx="496">
                    <c:v>T023</c:v>
                  </c:pt>
                  <c:pt idx="497">
                    <c:v>T024</c:v>
                  </c:pt>
                  <c:pt idx="498">
                    <c:v>T001</c:v>
                  </c:pt>
                  <c:pt idx="499">
                    <c:v>T002</c:v>
                  </c:pt>
                  <c:pt idx="500">
                    <c:v>T003</c:v>
                  </c:pt>
                  <c:pt idx="501">
                    <c:v>T004</c:v>
                  </c:pt>
                  <c:pt idx="502">
                    <c:v>T005</c:v>
                  </c:pt>
                  <c:pt idx="503">
                    <c:v>T006</c:v>
                  </c:pt>
                  <c:pt idx="504">
                    <c:v>T007</c:v>
                  </c:pt>
                  <c:pt idx="505">
                    <c:v>T008</c:v>
                  </c:pt>
                  <c:pt idx="506">
                    <c:v>T009</c:v>
                  </c:pt>
                  <c:pt idx="507">
                    <c:v>T010</c:v>
                  </c:pt>
                  <c:pt idx="508">
                    <c:v>T011</c:v>
                  </c:pt>
                  <c:pt idx="509">
                    <c:v>T012</c:v>
                  </c:pt>
                  <c:pt idx="510">
                    <c:v>T013</c:v>
                  </c:pt>
                  <c:pt idx="511">
                    <c:v>T014</c:v>
                  </c:pt>
                  <c:pt idx="512">
                    <c:v>T015</c:v>
                  </c:pt>
                  <c:pt idx="513">
                    <c:v>T016</c:v>
                  </c:pt>
                  <c:pt idx="514">
                    <c:v>T017</c:v>
                  </c:pt>
                  <c:pt idx="515">
                    <c:v>T018</c:v>
                  </c:pt>
                  <c:pt idx="516">
                    <c:v>T019</c:v>
                  </c:pt>
                  <c:pt idx="517">
                    <c:v>T020</c:v>
                  </c:pt>
                  <c:pt idx="518">
                    <c:v>T021</c:v>
                  </c:pt>
                  <c:pt idx="519">
                    <c:v>T022</c:v>
                  </c:pt>
                  <c:pt idx="520">
                    <c:v>T023</c:v>
                  </c:pt>
                  <c:pt idx="521">
                    <c:v>T024</c:v>
                  </c:pt>
                  <c:pt idx="522">
                    <c:v>T001</c:v>
                  </c:pt>
                  <c:pt idx="523">
                    <c:v>T002</c:v>
                  </c:pt>
                  <c:pt idx="524">
                    <c:v>T003</c:v>
                  </c:pt>
                  <c:pt idx="525">
                    <c:v>T004</c:v>
                  </c:pt>
                  <c:pt idx="526">
                    <c:v>T005</c:v>
                  </c:pt>
                  <c:pt idx="527">
                    <c:v>T006</c:v>
                  </c:pt>
                  <c:pt idx="528">
                    <c:v>T007</c:v>
                  </c:pt>
                  <c:pt idx="529">
                    <c:v>T008</c:v>
                  </c:pt>
                  <c:pt idx="530">
                    <c:v>T009</c:v>
                  </c:pt>
                  <c:pt idx="531">
                    <c:v>T010</c:v>
                  </c:pt>
                  <c:pt idx="532">
                    <c:v>T011</c:v>
                  </c:pt>
                  <c:pt idx="533">
                    <c:v>T012</c:v>
                  </c:pt>
                  <c:pt idx="534">
                    <c:v>T013</c:v>
                  </c:pt>
                  <c:pt idx="535">
                    <c:v>T014</c:v>
                  </c:pt>
                  <c:pt idx="536">
                    <c:v>T015</c:v>
                  </c:pt>
                  <c:pt idx="537">
                    <c:v>T016</c:v>
                  </c:pt>
                  <c:pt idx="538">
                    <c:v>T017</c:v>
                  </c:pt>
                  <c:pt idx="539">
                    <c:v>T018</c:v>
                  </c:pt>
                  <c:pt idx="540">
                    <c:v>T019</c:v>
                  </c:pt>
                  <c:pt idx="541">
                    <c:v>T020</c:v>
                  </c:pt>
                  <c:pt idx="542">
                    <c:v>T021</c:v>
                  </c:pt>
                  <c:pt idx="543">
                    <c:v>T022</c:v>
                  </c:pt>
                  <c:pt idx="544">
                    <c:v>T023</c:v>
                  </c:pt>
                  <c:pt idx="545">
                    <c:v>T024</c:v>
                  </c:pt>
                  <c:pt idx="546">
                    <c:v>T001</c:v>
                  </c:pt>
                  <c:pt idx="547">
                    <c:v>T002</c:v>
                  </c:pt>
                  <c:pt idx="548">
                    <c:v>T003</c:v>
                  </c:pt>
                  <c:pt idx="549">
                    <c:v>T004</c:v>
                  </c:pt>
                  <c:pt idx="550">
                    <c:v>T005</c:v>
                  </c:pt>
                  <c:pt idx="551">
                    <c:v>T006</c:v>
                  </c:pt>
                  <c:pt idx="552">
                    <c:v>T007</c:v>
                  </c:pt>
                  <c:pt idx="553">
                    <c:v>T008</c:v>
                  </c:pt>
                  <c:pt idx="554">
                    <c:v>T009</c:v>
                  </c:pt>
                  <c:pt idx="555">
                    <c:v>T010</c:v>
                  </c:pt>
                  <c:pt idx="556">
                    <c:v>T011</c:v>
                  </c:pt>
                  <c:pt idx="557">
                    <c:v>T012</c:v>
                  </c:pt>
                  <c:pt idx="558">
                    <c:v>T013</c:v>
                  </c:pt>
                  <c:pt idx="559">
                    <c:v>T014</c:v>
                  </c:pt>
                  <c:pt idx="560">
                    <c:v>T015</c:v>
                  </c:pt>
                  <c:pt idx="561">
                    <c:v>T016</c:v>
                  </c:pt>
                  <c:pt idx="562">
                    <c:v>T017</c:v>
                  </c:pt>
                  <c:pt idx="563">
                    <c:v>T018</c:v>
                  </c:pt>
                  <c:pt idx="564">
                    <c:v>T019</c:v>
                  </c:pt>
                  <c:pt idx="565">
                    <c:v>T020</c:v>
                  </c:pt>
                  <c:pt idx="566">
                    <c:v>T021</c:v>
                  </c:pt>
                  <c:pt idx="567">
                    <c:v>T022</c:v>
                  </c:pt>
                  <c:pt idx="568">
                    <c:v>T023</c:v>
                  </c:pt>
                  <c:pt idx="569">
                    <c:v>T024</c:v>
                  </c:pt>
                  <c:pt idx="570">
                    <c:v>T001</c:v>
                  </c:pt>
                  <c:pt idx="571">
                    <c:v>T002</c:v>
                  </c:pt>
                  <c:pt idx="572">
                    <c:v>T003</c:v>
                  </c:pt>
                  <c:pt idx="573">
                    <c:v>T004</c:v>
                  </c:pt>
                  <c:pt idx="574">
                    <c:v>T005</c:v>
                  </c:pt>
                  <c:pt idx="575">
                    <c:v>T006</c:v>
                  </c:pt>
                  <c:pt idx="576">
                    <c:v>T007</c:v>
                  </c:pt>
                  <c:pt idx="577">
                    <c:v>T008</c:v>
                  </c:pt>
                  <c:pt idx="578">
                    <c:v>T009</c:v>
                  </c:pt>
                  <c:pt idx="579">
                    <c:v>T010</c:v>
                  </c:pt>
                  <c:pt idx="580">
                    <c:v>T011</c:v>
                  </c:pt>
                  <c:pt idx="581">
                    <c:v>T012</c:v>
                  </c:pt>
                  <c:pt idx="582">
                    <c:v>T013</c:v>
                  </c:pt>
                  <c:pt idx="583">
                    <c:v>T014</c:v>
                  </c:pt>
                  <c:pt idx="584">
                    <c:v>T015</c:v>
                  </c:pt>
                  <c:pt idx="585">
                    <c:v>T016</c:v>
                  </c:pt>
                  <c:pt idx="586">
                    <c:v>T017</c:v>
                  </c:pt>
                  <c:pt idx="587">
                    <c:v>T018</c:v>
                  </c:pt>
                  <c:pt idx="588">
                    <c:v>T019</c:v>
                  </c:pt>
                  <c:pt idx="589">
                    <c:v>T020</c:v>
                  </c:pt>
                  <c:pt idx="590">
                    <c:v>T021</c:v>
                  </c:pt>
                  <c:pt idx="591">
                    <c:v>T022</c:v>
                  </c:pt>
                  <c:pt idx="592">
                    <c:v>T023</c:v>
                  </c:pt>
                  <c:pt idx="593">
                    <c:v>T024</c:v>
                  </c:pt>
                  <c:pt idx="594">
                    <c:v>T001</c:v>
                  </c:pt>
                  <c:pt idx="595">
                    <c:v>T002</c:v>
                  </c:pt>
                  <c:pt idx="596">
                    <c:v>T003</c:v>
                  </c:pt>
                  <c:pt idx="597">
                    <c:v>T004</c:v>
                  </c:pt>
                  <c:pt idx="598">
                    <c:v>T005</c:v>
                  </c:pt>
                  <c:pt idx="599">
                    <c:v>T006</c:v>
                  </c:pt>
                  <c:pt idx="600">
                    <c:v>T007</c:v>
                  </c:pt>
                  <c:pt idx="601">
                    <c:v>T008</c:v>
                  </c:pt>
                  <c:pt idx="602">
                    <c:v>T009</c:v>
                  </c:pt>
                  <c:pt idx="603">
                    <c:v>T010</c:v>
                  </c:pt>
                  <c:pt idx="604">
                    <c:v>T011</c:v>
                  </c:pt>
                  <c:pt idx="605">
                    <c:v>T012</c:v>
                  </c:pt>
                  <c:pt idx="606">
                    <c:v>T013</c:v>
                  </c:pt>
                  <c:pt idx="607">
                    <c:v>T014</c:v>
                  </c:pt>
                  <c:pt idx="608">
                    <c:v>T015</c:v>
                  </c:pt>
                  <c:pt idx="609">
                    <c:v>T016</c:v>
                  </c:pt>
                  <c:pt idx="610">
                    <c:v>T017</c:v>
                  </c:pt>
                  <c:pt idx="611">
                    <c:v>T018</c:v>
                  </c:pt>
                  <c:pt idx="612">
                    <c:v>T019</c:v>
                  </c:pt>
                  <c:pt idx="613">
                    <c:v>T020</c:v>
                  </c:pt>
                  <c:pt idx="614">
                    <c:v>T021</c:v>
                  </c:pt>
                  <c:pt idx="615">
                    <c:v>T022</c:v>
                  </c:pt>
                  <c:pt idx="616">
                    <c:v>T023</c:v>
                  </c:pt>
                  <c:pt idx="617">
                    <c:v>T024</c:v>
                  </c:pt>
                  <c:pt idx="618">
                    <c:v>T001</c:v>
                  </c:pt>
                  <c:pt idx="619">
                    <c:v>T002</c:v>
                  </c:pt>
                  <c:pt idx="620">
                    <c:v>T003</c:v>
                  </c:pt>
                  <c:pt idx="621">
                    <c:v>T004</c:v>
                  </c:pt>
                  <c:pt idx="622">
                    <c:v>T005</c:v>
                  </c:pt>
                  <c:pt idx="623">
                    <c:v>T006</c:v>
                  </c:pt>
                  <c:pt idx="624">
                    <c:v>T007</c:v>
                  </c:pt>
                  <c:pt idx="625">
                    <c:v>T008</c:v>
                  </c:pt>
                  <c:pt idx="626">
                    <c:v>T009</c:v>
                  </c:pt>
                  <c:pt idx="627">
                    <c:v>T010</c:v>
                  </c:pt>
                  <c:pt idx="628">
                    <c:v>T011</c:v>
                  </c:pt>
                  <c:pt idx="629">
                    <c:v>T012</c:v>
                  </c:pt>
                  <c:pt idx="630">
                    <c:v>T013</c:v>
                  </c:pt>
                  <c:pt idx="631">
                    <c:v>T014</c:v>
                  </c:pt>
                  <c:pt idx="632">
                    <c:v>T015</c:v>
                  </c:pt>
                  <c:pt idx="633">
                    <c:v>T016</c:v>
                  </c:pt>
                  <c:pt idx="634">
                    <c:v>T017</c:v>
                  </c:pt>
                  <c:pt idx="635">
                    <c:v>T018</c:v>
                  </c:pt>
                  <c:pt idx="636">
                    <c:v>T019</c:v>
                  </c:pt>
                  <c:pt idx="637">
                    <c:v>T020</c:v>
                  </c:pt>
                  <c:pt idx="638">
                    <c:v>T021</c:v>
                  </c:pt>
                  <c:pt idx="639">
                    <c:v>T022</c:v>
                  </c:pt>
                  <c:pt idx="640">
                    <c:v>T023</c:v>
                  </c:pt>
                  <c:pt idx="641">
                    <c:v>T024</c:v>
                  </c:pt>
                  <c:pt idx="642">
                    <c:v>T005</c:v>
                  </c:pt>
                  <c:pt idx="643">
                    <c:v>T006</c:v>
                  </c:pt>
                  <c:pt idx="644">
                    <c:v>T007</c:v>
                  </c:pt>
                  <c:pt idx="645">
                    <c:v>T008</c:v>
                  </c:pt>
                  <c:pt idx="646">
                    <c:v>T009</c:v>
                  </c:pt>
                  <c:pt idx="647">
                    <c:v>T010</c:v>
                  </c:pt>
                  <c:pt idx="648">
                    <c:v>T011</c:v>
                  </c:pt>
                  <c:pt idx="649">
                    <c:v>T013</c:v>
                  </c:pt>
                  <c:pt idx="650">
                    <c:v>T014</c:v>
                  </c:pt>
                  <c:pt idx="651">
                    <c:v>T015</c:v>
                  </c:pt>
                  <c:pt idx="652">
                    <c:v>T016</c:v>
                  </c:pt>
                  <c:pt idx="653">
                    <c:v>T017</c:v>
                  </c:pt>
                  <c:pt idx="654">
                    <c:v>T019</c:v>
                  </c:pt>
                  <c:pt idx="655">
                    <c:v>T020</c:v>
                  </c:pt>
                  <c:pt idx="656">
                    <c:v>T001</c:v>
                  </c:pt>
                  <c:pt idx="657">
                    <c:v>T002</c:v>
                  </c:pt>
                  <c:pt idx="658">
                    <c:v>T003</c:v>
                  </c:pt>
                  <c:pt idx="659">
                    <c:v>T004</c:v>
                  </c:pt>
                  <c:pt idx="660">
                    <c:v>T005</c:v>
                  </c:pt>
                  <c:pt idx="661">
                    <c:v>T006</c:v>
                  </c:pt>
                  <c:pt idx="662">
                    <c:v>T007</c:v>
                  </c:pt>
                  <c:pt idx="663">
                    <c:v>T008</c:v>
                  </c:pt>
                  <c:pt idx="664">
                    <c:v>T009</c:v>
                  </c:pt>
                  <c:pt idx="665">
                    <c:v>T010</c:v>
                  </c:pt>
                  <c:pt idx="666">
                    <c:v>T011</c:v>
                  </c:pt>
                  <c:pt idx="667">
                    <c:v>T012</c:v>
                  </c:pt>
                  <c:pt idx="668">
                    <c:v>T013</c:v>
                  </c:pt>
                  <c:pt idx="669">
                    <c:v>T014</c:v>
                  </c:pt>
                  <c:pt idx="670">
                    <c:v>T015</c:v>
                  </c:pt>
                  <c:pt idx="671">
                    <c:v>T016</c:v>
                  </c:pt>
                  <c:pt idx="672">
                    <c:v>T017</c:v>
                  </c:pt>
                  <c:pt idx="673">
                    <c:v>T018</c:v>
                  </c:pt>
                  <c:pt idx="674">
                    <c:v>T019</c:v>
                  </c:pt>
                  <c:pt idx="675">
                    <c:v>T020</c:v>
                  </c:pt>
                  <c:pt idx="676">
                    <c:v>T021</c:v>
                  </c:pt>
                  <c:pt idx="677">
                    <c:v>T022</c:v>
                  </c:pt>
                  <c:pt idx="678">
                    <c:v>T023</c:v>
                  </c:pt>
                  <c:pt idx="679">
                    <c:v>T024</c:v>
                  </c:pt>
                  <c:pt idx="680">
                    <c:v>T001</c:v>
                  </c:pt>
                  <c:pt idx="681">
                    <c:v>T002</c:v>
                  </c:pt>
                  <c:pt idx="682">
                    <c:v>T003</c:v>
                  </c:pt>
                  <c:pt idx="683">
                    <c:v>T004</c:v>
                  </c:pt>
                  <c:pt idx="684">
                    <c:v>T005</c:v>
                  </c:pt>
                  <c:pt idx="685">
                    <c:v>T006</c:v>
                  </c:pt>
                  <c:pt idx="686">
                    <c:v>T007</c:v>
                  </c:pt>
                  <c:pt idx="687">
                    <c:v>T008</c:v>
                  </c:pt>
                  <c:pt idx="688">
                    <c:v>T009</c:v>
                  </c:pt>
                  <c:pt idx="689">
                    <c:v>T010</c:v>
                  </c:pt>
                  <c:pt idx="690">
                    <c:v>T011</c:v>
                  </c:pt>
                  <c:pt idx="691">
                    <c:v>T012</c:v>
                  </c:pt>
                  <c:pt idx="692">
                    <c:v>T013</c:v>
                  </c:pt>
                  <c:pt idx="693">
                    <c:v>T014</c:v>
                  </c:pt>
                  <c:pt idx="694">
                    <c:v>T015</c:v>
                  </c:pt>
                  <c:pt idx="695">
                    <c:v>T016</c:v>
                  </c:pt>
                  <c:pt idx="696">
                    <c:v>T017</c:v>
                  </c:pt>
                  <c:pt idx="697">
                    <c:v>T018</c:v>
                  </c:pt>
                  <c:pt idx="698">
                    <c:v>T019</c:v>
                  </c:pt>
                  <c:pt idx="699">
                    <c:v>T020</c:v>
                  </c:pt>
                  <c:pt idx="700">
                    <c:v>T021</c:v>
                  </c:pt>
                  <c:pt idx="701">
                    <c:v>T022</c:v>
                  </c:pt>
                  <c:pt idx="702">
                    <c:v>T023</c:v>
                  </c:pt>
                  <c:pt idx="703">
                    <c:v>T024</c:v>
                  </c:pt>
                  <c:pt idx="704">
                    <c:v>T001</c:v>
                  </c:pt>
                  <c:pt idx="705">
                    <c:v>T002</c:v>
                  </c:pt>
                  <c:pt idx="706">
                    <c:v>T003</c:v>
                  </c:pt>
                  <c:pt idx="707">
                    <c:v>T004</c:v>
                  </c:pt>
                  <c:pt idx="708">
                    <c:v>T005</c:v>
                  </c:pt>
                  <c:pt idx="709">
                    <c:v>T006</c:v>
                  </c:pt>
                  <c:pt idx="710">
                    <c:v>T007</c:v>
                  </c:pt>
                  <c:pt idx="711">
                    <c:v>T008</c:v>
                  </c:pt>
                  <c:pt idx="712">
                    <c:v>T009</c:v>
                  </c:pt>
                  <c:pt idx="713">
                    <c:v>T010</c:v>
                  </c:pt>
                  <c:pt idx="714">
                    <c:v>T011</c:v>
                  </c:pt>
                  <c:pt idx="715">
                    <c:v>T012</c:v>
                  </c:pt>
                  <c:pt idx="716">
                    <c:v>T013</c:v>
                  </c:pt>
                  <c:pt idx="717">
                    <c:v>T014</c:v>
                  </c:pt>
                  <c:pt idx="718">
                    <c:v>T015</c:v>
                  </c:pt>
                  <c:pt idx="719">
                    <c:v>T016</c:v>
                  </c:pt>
                  <c:pt idx="720">
                    <c:v>T017</c:v>
                  </c:pt>
                  <c:pt idx="721">
                    <c:v>T018</c:v>
                  </c:pt>
                  <c:pt idx="722">
                    <c:v>T019</c:v>
                  </c:pt>
                  <c:pt idx="723">
                    <c:v>T020</c:v>
                  </c:pt>
                  <c:pt idx="724">
                    <c:v>T021</c:v>
                  </c:pt>
                  <c:pt idx="725">
                    <c:v>T022</c:v>
                  </c:pt>
                  <c:pt idx="726">
                    <c:v>T023</c:v>
                  </c:pt>
                  <c:pt idx="727">
                    <c:v>T024</c:v>
                  </c:pt>
                  <c:pt idx="728">
                    <c:v>T001</c:v>
                  </c:pt>
                  <c:pt idx="729">
                    <c:v>T002</c:v>
                  </c:pt>
                  <c:pt idx="730">
                    <c:v>T003</c:v>
                  </c:pt>
                  <c:pt idx="731">
                    <c:v>T004</c:v>
                  </c:pt>
                  <c:pt idx="732">
                    <c:v>T005</c:v>
                  </c:pt>
                  <c:pt idx="733">
                    <c:v>T006</c:v>
                  </c:pt>
                  <c:pt idx="734">
                    <c:v>T007</c:v>
                  </c:pt>
                  <c:pt idx="735">
                    <c:v>T008</c:v>
                  </c:pt>
                  <c:pt idx="736">
                    <c:v>T009</c:v>
                  </c:pt>
                  <c:pt idx="737">
                    <c:v>T010</c:v>
                  </c:pt>
                  <c:pt idx="738">
                    <c:v>T011</c:v>
                  </c:pt>
                  <c:pt idx="739">
                    <c:v>T012</c:v>
                  </c:pt>
                  <c:pt idx="740">
                    <c:v>T013</c:v>
                  </c:pt>
                  <c:pt idx="741">
                    <c:v>T014</c:v>
                  </c:pt>
                  <c:pt idx="742">
                    <c:v>T015</c:v>
                  </c:pt>
                  <c:pt idx="743">
                    <c:v>T016</c:v>
                  </c:pt>
                  <c:pt idx="744">
                    <c:v>T017</c:v>
                  </c:pt>
                  <c:pt idx="745">
                    <c:v>T018</c:v>
                  </c:pt>
                  <c:pt idx="746">
                    <c:v>T019</c:v>
                  </c:pt>
                  <c:pt idx="747">
                    <c:v>T020</c:v>
                  </c:pt>
                  <c:pt idx="748">
                    <c:v>T021</c:v>
                  </c:pt>
                  <c:pt idx="749">
                    <c:v>T022</c:v>
                  </c:pt>
                  <c:pt idx="750">
                    <c:v>T023</c:v>
                  </c:pt>
                  <c:pt idx="751">
                    <c:v>T024</c:v>
                  </c:pt>
                  <c:pt idx="752">
                    <c:v>T001</c:v>
                  </c:pt>
                  <c:pt idx="753">
                    <c:v>T002</c:v>
                  </c:pt>
                  <c:pt idx="754">
                    <c:v>T003</c:v>
                  </c:pt>
                  <c:pt idx="755">
                    <c:v>T004</c:v>
                  </c:pt>
                  <c:pt idx="756">
                    <c:v>T005</c:v>
                  </c:pt>
                  <c:pt idx="757">
                    <c:v>T006</c:v>
                  </c:pt>
                  <c:pt idx="758">
                    <c:v>T007</c:v>
                  </c:pt>
                  <c:pt idx="759">
                    <c:v>T008</c:v>
                  </c:pt>
                  <c:pt idx="760">
                    <c:v>T009</c:v>
                  </c:pt>
                  <c:pt idx="761">
                    <c:v>T010</c:v>
                  </c:pt>
                  <c:pt idx="762">
                    <c:v>T011</c:v>
                  </c:pt>
                  <c:pt idx="763">
                    <c:v>T012</c:v>
                  </c:pt>
                  <c:pt idx="764">
                    <c:v>T013</c:v>
                  </c:pt>
                  <c:pt idx="765">
                    <c:v>T014</c:v>
                  </c:pt>
                  <c:pt idx="766">
                    <c:v>T015</c:v>
                  </c:pt>
                  <c:pt idx="767">
                    <c:v>T016</c:v>
                  </c:pt>
                  <c:pt idx="768">
                    <c:v>T017</c:v>
                  </c:pt>
                  <c:pt idx="769">
                    <c:v>T018</c:v>
                  </c:pt>
                  <c:pt idx="770">
                    <c:v>T019</c:v>
                  </c:pt>
                  <c:pt idx="771">
                    <c:v>T020</c:v>
                  </c:pt>
                  <c:pt idx="772">
                    <c:v>T021</c:v>
                  </c:pt>
                  <c:pt idx="773">
                    <c:v>T022</c:v>
                  </c:pt>
                  <c:pt idx="774">
                    <c:v>T023</c:v>
                  </c:pt>
                  <c:pt idx="775">
                    <c:v>T024</c:v>
                  </c:pt>
                  <c:pt idx="776">
                    <c:v>T001</c:v>
                  </c:pt>
                  <c:pt idx="777">
                    <c:v>T002</c:v>
                  </c:pt>
                  <c:pt idx="778">
                    <c:v>T003</c:v>
                  </c:pt>
                  <c:pt idx="779">
                    <c:v>T004</c:v>
                  </c:pt>
                  <c:pt idx="780">
                    <c:v>T005</c:v>
                  </c:pt>
                  <c:pt idx="781">
                    <c:v>T006</c:v>
                  </c:pt>
                  <c:pt idx="782">
                    <c:v>T007</c:v>
                  </c:pt>
                  <c:pt idx="783">
                    <c:v>T008</c:v>
                  </c:pt>
                  <c:pt idx="784">
                    <c:v>T009</c:v>
                  </c:pt>
                  <c:pt idx="785">
                    <c:v>T010</c:v>
                  </c:pt>
                  <c:pt idx="786">
                    <c:v>T011</c:v>
                  </c:pt>
                  <c:pt idx="787">
                    <c:v>T012</c:v>
                  </c:pt>
                  <c:pt idx="788">
                    <c:v>T013</c:v>
                  </c:pt>
                  <c:pt idx="789">
                    <c:v>T014</c:v>
                  </c:pt>
                  <c:pt idx="790">
                    <c:v>T015</c:v>
                  </c:pt>
                  <c:pt idx="791">
                    <c:v>T016</c:v>
                  </c:pt>
                  <c:pt idx="792">
                    <c:v>T017</c:v>
                  </c:pt>
                  <c:pt idx="793">
                    <c:v>T018</c:v>
                  </c:pt>
                  <c:pt idx="794">
                    <c:v>T019</c:v>
                  </c:pt>
                  <c:pt idx="795">
                    <c:v>T020</c:v>
                  </c:pt>
                  <c:pt idx="796">
                    <c:v>T021</c:v>
                  </c:pt>
                  <c:pt idx="797">
                    <c:v>T022</c:v>
                  </c:pt>
                  <c:pt idx="798">
                    <c:v>T023</c:v>
                  </c:pt>
                  <c:pt idx="799">
                    <c:v>T024</c:v>
                  </c:pt>
                  <c:pt idx="800">
                    <c:v>T001</c:v>
                  </c:pt>
                  <c:pt idx="801">
                    <c:v>T002</c:v>
                  </c:pt>
                  <c:pt idx="802">
                    <c:v>T003</c:v>
                  </c:pt>
                  <c:pt idx="803">
                    <c:v>T004</c:v>
                  </c:pt>
                  <c:pt idx="804">
                    <c:v>T005</c:v>
                  </c:pt>
                  <c:pt idx="805">
                    <c:v>T006</c:v>
                  </c:pt>
                  <c:pt idx="806">
                    <c:v>T007</c:v>
                  </c:pt>
                  <c:pt idx="807">
                    <c:v>T008</c:v>
                  </c:pt>
                  <c:pt idx="808">
                    <c:v>T009</c:v>
                  </c:pt>
                  <c:pt idx="809">
                    <c:v>T010</c:v>
                  </c:pt>
                  <c:pt idx="810">
                    <c:v>T011</c:v>
                  </c:pt>
                  <c:pt idx="811">
                    <c:v>T012</c:v>
                  </c:pt>
                  <c:pt idx="812">
                    <c:v>T013</c:v>
                  </c:pt>
                  <c:pt idx="813">
                    <c:v>T014</c:v>
                  </c:pt>
                  <c:pt idx="814">
                    <c:v>T015</c:v>
                  </c:pt>
                  <c:pt idx="815">
                    <c:v>T016</c:v>
                  </c:pt>
                  <c:pt idx="816">
                    <c:v>T017</c:v>
                  </c:pt>
                  <c:pt idx="817">
                    <c:v>T018</c:v>
                  </c:pt>
                  <c:pt idx="818">
                    <c:v>T019</c:v>
                  </c:pt>
                  <c:pt idx="819">
                    <c:v>T020</c:v>
                  </c:pt>
                  <c:pt idx="820">
                    <c:v>T021</c:v>
                  </c:pt>
                  <c:pt idx="821">
                    <c:v>T022</c:v>
                  </c:pt>
                  <c:pt idx="822">
                    <c:v>T023</c:v>
                  </c:pt>
                  <c:pt idx="823">
                    <c:v>T024</c:v>
                  </c:pt>
                  <c:pt idx="824">
                    <c:v>T001</c:v>
                  </c:pt>
                  <c:pt idx="825">
                    <c:v>T002</c:v>
                  </c:pt>
                  <c:pt idx="826">
                    <c:v>T003</c:v>
                  </c:pt>
                  <c:pt idx="827">
                    <c:v>T004</c:v>
                  </c:pt>
                  <c:pt idx="828">
                    <c:v>T005</c:v>
                  </c:pt>
                  <c:pt idx="829">
                    <c:v>T006</c:v>
                  </c:pt>
                  <c:pt idx="830">
                    <c:v>T007</c:v>
                  </c:pt>
                  <c:pt idx="831">
                    <c:v>T008</c:v>
                  </c:pt>
                  <c:pt idx="832">
                    <c:v>T009</c:v>
                  </c:pt>
                  <c:pt idx="833">
                    <c:v>T010</c:v>
                  </c:pt>
                  <c:pt idx="834">
                    <c:v>T011</c:v>
                  </c:pt>
                  <c:pt idx="835">
                    <c:v>T012</c:v>
                  </c:pt>
                  <c:pt idx="836">
                    <c:v>T013</c:v>
                  </c:pt>
                  <c:pt idx="837">
                    <c:v>T014</c:v>
                  </c:pt>
                  <c:pt idx="838">
                    <c:v>T015</c:v>
                  </c:pt>
                  <c:pt idx="839">
                    <c:v>T016</c:v>
                  </c:pt>
                  <c:pt idx="840">
                    <c:v>T017</c:v>
                  </c:pt>
                  <c:pt idx="841">
                    <c:v>T018</c:v>
                  </c:pt>
                  <c:pt idx="842">
                    <c:v>T019</c:v>
                  </c:pt>
                  <c:pt idx="843">
                    <c:v>T020</c:v>
                  </c:pt>
                  <c:pt idx="844">
                    <c:v>T021</c:v>
                  </c:pt>
                  <c:pt idx="845">
                    <c:v>T022</c:v>
                  </c:pt>
                  <c:pt idx="846">
                    <c:v>T023</c:v>
                  </c:pt>
                  <c:pt idx="847">
                    <c:v>T024</c:v>
                  </c:pt>
                  <c:pt idx="848">
                    <c:v>T008</c:v>
                  </c:pt>
                  <c:pt idx="849">
                    <c:v>T009</c:v>
                  </c:pt>
                  <c:pt idx="850">
                    <c:v>T010</c:v>
                  </c:pt>
                  <c:pt idx="851">
                    <c:v>T011</c:v>
                  </c:pt>
                  <c:pt idx="852">
                    <c:v>T012</c:v>
                  </c:pt>
                  <c:pt idx="853">
                    <c:v>T013</c:v>
                  </c:pt>
                  <c:pt idx="854">
                    <c:v>T014</c:v>
                  </c:pt>
                  <c:pt idx="855">
                    <c:v>T015</c:v>
                  </c:pt>
                  <c:pt idx="856">
                    <c:v>T016</c:v>
                  </c:pt>
                  <c:pt idx="857">
                    <c:v>T017</c:v>
                  </c:pt>
                  <c:pt idx="858">
                    <c:v>T018</c:v>
                  </c:pt>
                  <c:pt idx="859">
                    <c:v>T019</c:v>
                  </c:pt>
                  <c:pt idx="860">
                    <c:v>T020</c:v>
                  </c:pt>
                  <c:pt idx="861">
                    <c:v>T021</c:v>
                  </c:pt>
                  <c:pt idx="862">
                    <c:v>T001</c:v>
                  </c:pt>
                  <c:pt idx="863">
                    <c:v>T002</c:v>
                  </c:pt>
                  <c:pt idx="864">
                    <c:v>T003</c:v>
                  </c:pt>
                  <c:pt idx="865">
                    <c:v>T004</c:v>
                  </c:pt>
                  <c:pt idx="866">
                    <c:v>T005</c:v>
                  </c:pt>
                  <c:pt idx="867">
                    <c:v>T006</c:v>
                  </c:pt>
                  <c:pt idx="868">
                    <c:v>T007</c:v>
                  </c:pt>
                  <c:pt idx="869">
                    <c:v>T008</c:v>
                  </c:pt>
                  <c:pt idx="870">
                    <c:v>T009</c:v>
                  </c:pt>
                  <c:pt idx="871">
                    <c:v>T010</c:v>
                  </c:pt>
                  <c:pt idx="872">
                    <c:v>T011</c:v>
                  </c:pt>
                  <c:pt idx="873">
                    <c:v>T012</c:v>
                  </c:pt>
                  <c:pt idx="874">
                    <c:v>T013</c:v>
                  </c:pt>
                  <c:pt idx="875">
                    <c:v>T014</c:v>
                  </c:pt>
                  <c:pt idx="876">
                    <c:v>T015</c:v>
                  </c:pt>
                  <c:pt idx="877">
                    <c:v>T016</c:v>
                  </c:pt>
                  <c:pt idx="878">
                    <c:v>T017</c:v>
                  </c:pt>
                  <c:pt idx="879">
                    <c:v>T018</c:v>
                  </c:pt>
                  <c:pt idx="880">
                    <c:v>T019</c:v>
                  </c:pt>
                  <c:pt idx="881">
                    <c:v>T020</c:v>
                  </c:pt>
                  <c:pt idx="882">
                    <c:v>T021</c:v>
                  </c:pt>
                  <c:pt idx="883">
                    <c:v>T022</c:v>
                  </c:pt>
                  <c:pt idx="884">
                    <c:v>T023</c:v>
                  </c:pt>
                  <c:pt idx="885">
                    <c:v>T024</c:v>
                  </c:pt>
                  <c:pt idx="886">
                    <c:v>T019</c:v>
                  </c:pt>
                  <c:pt idx="887">
                    <c:v>T020</c:v>
                  </c:pt>
                  <c:pt idx="888">
                    <c:v>T021</c:v>
                  </c:pt>
                  <c:pt idx="889">
                    <c:v>T022</c:v>
                  </c:pt>
                  <c:pt idx="890">
                    <c:v>T001</c:v>
                  </c:pt>
                  <c:pt idx="891">
                    <c:v>T002</c:v>
                  </c:pt>
                  <c:pt idx="892">
                    <c:v>T003</c:v>
                  </c:pt>
                  <c:pt idx="893">
                    <c:v>T004</c:v>
                  </c:pt>
                  <c:pt idx="894">
                    <c:v>T005</c:v>
                  </c:pt>
                  <c:pt idx="895">
                    <c:v>T006</c:v>
                  </c:pt>
                  <c:pt idx="896">
                    <c:v>T007</c:v>
                  </c:pt>
                  <c:pt idx="897">
                    <c:v>T008</c:v>
                  </c:pt>
                  <c:pt idx="898">
                    <c:v>T009</c:v>
                  </c:pt>
                  <c:pt idx="899">
                    <c:v>T010</c:v>
                  </c:pt>
                  <c:pt idx="900">
                    <c:v>T011</c:v>
                  </c:pt>
                  <c:pt idx="901">
                    <c:v>T012</c:v>
                  </c:pt>
                  <c:pt idx="902">
                    <c:v>T013</c:v>
                  </c:pt>
                  <c:pt idx="903">
                    <c:v>T014</c:v>
                  </c:pt>
                  <c:pt idx="904">
                    <c:v>T015</c:v>
                  </c:pt>
                  <c:pt idx="905">
                    <c:v>T016</c:v>
                  </c:pt>
                  <c:pt idx="906">
                    <c:v>T017</c:v>
                  </c:pt>
                  <c:pt idx="907">
                    <c:v>T018</c:v>
                  </c:pt>
                  <c:pt idx="908">
                    <c:v>T019</c:v>
                  </c:pt>
                  <c:pt idx="909">
                    <c:v>T020</c:v>
                  </c:pt>
                  <c:pt idx="910">
                    <c:v>T021</c:v>
                  </c:pt>
                  <c:pt idx="911">
                    <c:v>T022</c:v>
                  </c:pt>
                  <c:pt idx="912">
                    <c:v>T023</c:v>
                  </c:pt>
                  <c:pt idx="913">
                    <c:v>T024</c:v>
                  </c:pt>
                  <c:pt idx="914">
                    <c:v>T001</c:v>
                  </c:pt>
                  <c:pt idx="915">
                    <c:v>T002</c:v>
                  </c:pt>
                  <c:pt idx="916">
                    <c:v>T003</c:v>
                  </c:pt>
                  <c:pt idx="917">
                    <c:v>T004</c:v>
                  </c:pt>
                  <c:pt idx="918">
                    <c:v>T005</c:v>
                  </c:pt>
                  <c:pt idx="919">
                    <c:v>T006</c:v>
                  </c:pt>
                  <c:pt idx="920">
                    <c:v>T007</c:v>
                  </c:pt>
                  <c:pt idx="921">
                    <c:v>T008</c:v>
                  </c:pt>
                  <c:pt idx="922">
                    <c:v>T009</c:v>
                  </c:pt>
                  <c:pt idx="923">
                    <c:v>T010</c:v>
                  </c:pt>
                  <c:pt idx="924">
                    <c:v>T011</c:v>
                  </c:pt>
                  <c:pt idx="925">
                    <c:v>T012</c:v>
                  </c:pt>
                  <c:pt idx="926">
                    <c:v>T013</c:v>
                  </c:pt>
                  <c:pt idx="927">
                    <c:v>T014</c:v>
                  </c:pt>
                  <c:pt idx="928">
                    <c:v>T015</c:v>
                  </c:pt>
                  <c:pt idx="929">
                    <c:v>T016</c:v>
                  </c:pt>
                  <c:pt idx="930">
                    <c:v>T017</c:v>
                  </c:pt>
                  <c:pt idx="931">
                    <c:v>T018</c:v>
                  </c:pt>
                  <c:pt idx="932">
                    <c:v>T019</c:v>
                  </c:pt>
                  <c:pt idx="933">
                    <c:v>T020</c:v>
                  </c:pt>
                  <c:pt idx="934">
                    <c:v>T021</c:v>
                  </c:pt>
                  <c:pt idx="935">
                    <c:v>T022</c:v>
                  </c:pt>
                  <c:pt idx="936">
                    <c:v>T023</c:v>
                  </c:pt>
                  <c:pt idx="937">
                    <c:v>T024</c:v>
                  </c:pt>
                  <c:pt idx="938">
                    <c:v>T001</c:v>
                  </c:pt>
                  <c:pt idx="939">
                    <c:v>T002</c:v>
                  </c:pt>
                  <c:pt idx="940">
                    <c:v>T003</c:v>
                  </c:pt>
                  <c:pt idx="941">
                    <c:v>T004</c:v>
                  </c:pt>
                  <c:pt idx="942">
                    <c:v>T005</c:v>
                  </c:pt>
                  <c:pt idx="943">
                    <c:v>T006</c:v>
                  </c:pt>
                  <c:pt idx="944">
                    <c:v>T007</c:v>
                  </c:pt>
                  <c:pt idx="945">
                    <c:v>T008</c:v>
                  </c:pt>
                  <c:pt idx="946">
                    <c:v>T009</c:v>
                  </c:pt>
                  <c:pt idx="947">
                    <c:v>T010</c:v>
                  </c:pt>
                  <c:pt idx="948">
                    <c:v>T011</c:v>
                  </c:pt>
                  <c:pt idx="949">
                    <c:v>T012</c:v>
                  </c:pt>
                  <c:pt idx="950">
                    <c:v>T013</c:v>
                  </c:pt>
                  <c:pt idx="951">
                    <c:v>T014</c:v>
                  </c:pt>
                  <c:pt idx="952">
                    <c:v>T015</c:v>
                  </c:pt>
                  <c:pt idx="953">
                    <c:v>T016</c:v>
                  </c:pt>
                  <c:pt idx="954">
                    <c:v>T017</c:v>
                  </c:pt>
                  <c:pt idx="955">
                    <c:v>T018</c:v>
                  </c:pt>
                  <c:pt idx="956">
                    <c:v>T019</c:v>
                  </c:pt>
                  <c:pt idx="957">
                    <c:v>T020</c:v>
                  </c:pt>
                  <c:pt idx="958">
                    <c:v>T021</c:v>
                  </c:pt>
                  <c:pt idx="959">
                    <c:v>T022</c:v>
                  </c:pt>
                  <c:pt idx="960">
                    <c:v>T023</c:v>
                  </c:pt>
                  <c:pt idx="961">
                    <c:v>T024</c:v>
                  </c:pt>
                  <c:pt idx="962">
                    <c:v>T001</c:v>
                  </c:pt>
                  <c:pt idx="963">
                    <c:v>T002</c:v>
                  </c:pt>
                  <c:pt idx="964">
                    <c:v>T003</c:v>
                  </c:pt>
                  <c:pt idx="965">
                    <c:v>T004</c:v>
                  </c:pt>
                  <c:pt idx="966">
                    <c:v>T005</c:v>
                  </c:pt>
                  <c:pt idx="967">
                    <c:v>T006</c:v>
                  </c:pt>
                  <c:pt idx="968">
                    <c:v>T007</c:v>
                  </c:pt>
                  <c:pt idx="969">
                    <c:v>T008</c:v>
                  </c:pt>
                  <c:pt idx="970">
                    <c:v>T009</c:v>
                  </c:pt>
                  <c:pt idx="971">
                    <c:v>T010</c:v>
                  </c:pt>
                  <c:pt idx="972">
                    <c:v>T011</c:v>
                  </c:pt>
                  <c:pt idx="973">
                    <c:v>T012</c:v>
                  </c:pt>
                  <c:pt idx="974">
                    <c:v>T013</c:v>
                  </c:pt>
                  <c:pt idx="975">
                    <c:v>T014</c:v>
                  </c:pt>
                  <c:pt idx="976">
                    <c:v>T015</c:v>
                  </c:pt>
                  <c:pt idx="977">
                    <c:v>T016</c:v>
                  </c:pt>
                  <c:pt idx="978">
                    <c:v>T017</c:v>
                  </c:pt>
                  <c:pt idx="979">
                    <c:v>T018</c:v>
                  </c:pt>
                  <c:pt idx="980">
                    <c:v>T019</c:v>
                  </c:pt>
                  <c:pt idx="981">
                    <c:v>T020</c:v>
                  </c:pt>
                  <c:pt idx="982">
                    <c:v>T021</c:v>
                  </c:pt>
                  <c:pt idx="983">
                    <c:v>T022</c:v>
                  </c:pt>
                  <c:pt idx="984">
                    <c:v>T023</c:v>
                  </c:pt>
                  <c:pt idx="985">
                    <c:v>T024</c:v>
                  </c:pt>
                  <c:pt idx="986">
                    <c:v>T001</c:v>
                  </c:pt>
                  <c:pt idx="987">
                    <c:v>T002</c:v>
                  </c:pt>
                  <c:pt idx="988">
                    <c:v>T003</c:v>
                  </c:pt>
                  <c:pt idx="989">
                    <c:v>T004</c:v>
                  </c:pt>
                  <c:pt idx="990">
                    <c:v>T005</c:v>
                  </c:pt>
                  <c:pt idx="991">
                    <c:v>T006</c:v>
                  </c:pt>
                  <c:pt idx="992">
                    <c:v>T007</c:v>
                  </c:pt>
                  <c:pt idx="993">
                    <c:v>T008</c:v>
                  </c:pt>
                  <c:pt idx="994">
                    <c:v>T009</c:v>
                  </c:pt>
                  <c:pt idx="995">
                    <c:v>T010</c:v>
                  </c:pt>
                  <c:pt idx="996">
                    <c:v>T011</c:v>
                  </c:pt>
                  <c:pt idx="997">
                    <c:v>T012</c:v>
                  </c:pt>
                  <c:pt idx="998">
                    <c:v>T013</c:v>
                  </c:pt>
                  <c:pt idx="999">
                    <c:v>T014</c:v>
                  </c:pt>
                  <c:pt idx="1000">
                    <c:v>T015</c:v>
                  </c:pt>
                  <c:pt idx="1001">
                    <c:v>T016</c:v>
                  </c:pt>
                  <c:pt idx="1002">
                    <c:v>T017</c:v>
                  </c:pt>
                  <c:pt idx="1003">
                    <c:v>T018</c:v>
                  </c:pt>
                  <c:pt idx="1004">
                    <c:v>T019</c:v>
                  </c:pt>
                  <c:pt idx="1005">
                    <c:v>T020</c:v>
                  </c:pt>
                  <c:pt idx="1006">
                    <c:v>T021</c:v>
                  </c:pt>
                  <c:pt idx="1007">
                    <c:v>T022</c:v>
                  </c:pt>
                  <c:pt idx="1008">
                    <c:v>T023</c:v>
                  </c:pt>
                  <c:pt idx="1009">
                    <c:v>T024</c:v>
                  </c:pt>
                  <c:pt idx="1010">
                    <c:v>T004</c:v>
                  </c:pt>
                  <c:pt idx="1011">
                    <c:v>T005</c:v>
                  </c:pt>
                  <c:pt idx="1012">
                    <c:v>T006</c:v>
                  </c:pt>
                  <c:pt idx="1013">
                    <c:v>T007</c:v>
                  </c:pt>
                  <c:pt idx="1014">
                    <c:v>T008</c:v>
                  </c:pt>
                  <c:pt idx="1015">
                    <c:v>T009</c:v>
                  </c:pt>
                  <c:pt idx="1016">
                    <c:v>T010</c:v>
                  </c:pt>
                  <c:pt idx="1017">
                    <c:v>T011</c:v>
                  </c:pt>
                  <c:pt idx="1018">
                    <c:v>T012</c:v>
                  </c:pt>
                  <c:pt idx="1019">
                    <c:v>T013</c:v>
                  </c:pt>
                  <c:pt idx="1020">
                    <c:v>T014</c:v>
                  </c:pt>
                  <c:pt idx="1021">
                    <c:v>T016</c:v>
                  </c:pt>
                  <c:pt idx="1022">
                    <c:v>T017</c:v>
                  </c:pt>
                  <c:pt idx="1023">
                    <c:v>T018</c:v>
                  </c:pt>
                  <c:pt idx="1024">
                    <c:v>T019</c:v>
                  </c:pt>
                  <c:pt idx="1025">
                    <c:v>T020</c:v>
                  </c:pt>
                  <c:pt idx="1026">
                    <c:v>T021</c:v>
                  </c:pt>
                  <c:pt idx="1027">
                    <c:v>T022</c:v>
                  </c:pt>
                  <c:pt idx="1028">
                    <c:v>T023</c:v>
                  </c:pt>
                  <c:pt idx="1029">
                    <c:v>T001</c:v>
                  </c:pt>
                  <c:pt idx="1030">
                    <c:v>T002</c:v>
                  </c:pt>
                  <c:pt idx="1031">
                    <c:v>T003</c:v>
                  </c:pt>
                  <c:pt idx="1032">
                    <c:v>T004</c:v>
                  </c:pt>
                  <c:pt idx="1033">
                    <c:v>T005</c:v>
                  </c:pt>
                  <c:pt idx="1034">
                    <c:v>T006</c:v>
                  </c:pt>
                  <c:pt idx="1035">
                    <c:v>T007</c:v>
                  </c:pt>
                  <c:pt idx="1036">
                    <c:v>T008</c:v>
                  </c:pt>
                  <c:pt idx="1037">
                    <c:v>T009</c:v>
                  </c:pt>
                  <c:pt idx="1038">
                    <c:v>T010</c:v>
                  </c:pt>
                  <c:pt idx="1039">
                    <c:v>T011</c:v>
                  </c:pt>
                  <c:pt idx="1040">
                    <c:v>T012</c:v>
                  </c:pt>
                  <c:pt idx="1041">
                    <c:v>T013</c:v>
                  </c:pt>
                  <c:pt idx="1042">
                    <c:v>T014</c:v>
                  </c:pt>
                  <c:pt idx="1043">
                    <c:v>T015</c:v>
                  </c:pt>
                  <c:pt idx="1044">
                    <c:v>T016</c:v>
                  </c:pt>
                  <c:pt idx="1045">
                    <c:v>T017</c:v>
                  </c:pt>
                  <c:pt idx="1046">
                    <c:v>T018</c:v>
                  </c:pt>
                  <c:pt idx="1047">
                    <c:v>T019</c:v>
                  </c:pt>
                  <c:pt idx="1048">
                    <c:v>T020</c:v>
                  </c:pt>
                  <c:pt idx="1049">
                    <c:v>T021</c:v>
                  </c:pt>
                  <c:pt idx="1050">
                    <c:v>T022</c:v>
                  </c:pt>
                  <c:pt idx="1051">
                    <c:v>T023</c:v>
                  </c:pt>
                  <c:pt idx="1052">
                    <c:v>T024</c:v>
                  </c:pt>
                  <c:pt idx="1053">
                    <c:v>T001</c:v>
                  </c:pt>
                  <c:pt idx="1054">
                    <c:v>T002</c:v>
                  </c:pt>
                  <c:pt idx="1055">
                    <c:v>T003</c:v>
                  </c:pt>
                  <c:pt idx="1056">
                    <c:v>T004</c:v>
                  </c:pt>
                  <c:pt idx="1057">
                    <c:v>T005</c:v>
                  </c:pt>
                  <c:pt idx="1058">
                    <c:v>T006</c:v>
                  </c:pt>
                  <c:pt idx="1059">
                    <c:v>T007</c:v>
                  </c:pt>
                  <c:pt idx="1060">
                    <c:v>T008</c:v>
                  </c:pt>
                  <c:pt idx="1061">
                    <c:v>T009</c:v>
                  </c:pt>
                  <c:pt idx="1062">
                    <c:v>T010</c:v>
                  </c:pt>
                  <c:pt idx="1063">
                    <c:v>T011</c:v>
                  </c:pt>
                  <c:pt idx="1064">
                    <c:v>T012</c:v>
                  </c:pt>
                  <c:pt idx="1065">
                    <c:v>T013</c:v>
                  </c:pt>
                  <c:pt idx="1066">
                    <c:v>T014</c:v>
                  </c:pt>
                  <c:pt idx="1067">
                    <c:v>T015</c:v>
                  </c:pt>
                  <c:pt idx="1068">
                    <c:v>T016</c:v>
                  </c:pt>
                  <c:pt idx="1069">
                    <c:v>T017</c:v>
                  </c:pt>
                  <c:pt idx="1070">
                    <c:v>T018</c:v>
                  </c:pt>
                  <c:pt idx="1071">
                    <c:v>T019</c:v>
                  </c:pt>
                  <c:pt idx="1072">
                    <c:v>T020</c:v>
                  </c:pt>
                  <c:pt idx="1073">
                    <c:v>T021</c:v>
                  </c:pt>
                  <c:pt idx="1074">
                    <c:v>T022</c:v>
                  </c:pt>
                  <c:pt idx="1075">
                    <c:v>T023</c:v>
                  </c:pt>
                  <c:pt idx="1076">
                    <c:v>T024</c:v>
                  </c:pt>
                  <c:pt idx="1077">
                    <c:v>T007</c:v>
                  </c:pt>
                  <c:pt idx="1078">
                    <c:v>T008</c:v>
                  </c:pt>
                  <c:pt idx="1079">
                    <c:v>T009</c:v>
                  </c:pt>
                  <c:pt idx="1080">
                    <c:v>T010</c:v>
                  </c:pt>
                  <c:pt idx="1081">
                    <c:v>T011</c:v>
                  </c:pt>
                  <c:pt idx="1082">
                    <c:v>T012</c:v>
                  </c:pt>
                  <c:pt idx="1083">
                    <c:v>T013</c:v>
                  </c:pt>
                  <c:pt idx="1084">
                    <c:v>T014</c:v>
                  </c:pt>
                  <c:pt idx="1085">
                    <c:v>T015</c:v>
                  </c:pt>
                  <c:pt idx="1086">
                    <c:v>T016</c:v>
                  </c:pt>
                  <c:pt idx="1087">
                    <c:v>T017</c:v>
                  </c:pt>
                  <c:pt idx="1088">
                    <c:v>T018</c:v>
                  </c:pt>
                  <c:pt idx="1089">
                    <c:v>T019</c:v>
                  </c:pt>
                  <c:pt idx="1090">
                    <c:v>T020</c:v>
                  </c:pt>
                  <c:pt idx="1091">
                    <c:v>T021</c:v>
                  </c:pt>
                  <c:pt idx="1092">
                    <c:v>T022</c:v>
                  </c:pt>
                  <c:pt idx="1093">
                    <c:v>T023</c:v>
                  </c:pt>
                  <c:pt idx="1094">
                    <c:v>T024</c:v>
                  </c:pt>
                  <c:pt idx="1095">
                    <c:v>T001</c:v>
                  </c:pt>
                  <c:pt idx="1096">
                    <c:v>T002</c:v>
                  </c:pt>
                  <c:pt idx="1097">
                    <c:v>T003</c:v>
                  </c:pt>
                  <c:pt idx="1098">
                    <c:v>T004</c:v>
                  </c:pt>
                  <c:pt idx="1099">
                    <c:v>T005</c:v>
                  </c:pt>
                  <c:pt idx="1100">
                    <c:v>T006</c:v>
                  </c:pt>
                  <c:pt idx="1101">
                    <c:v>T007</c:v>
                  </c:pt>
                  <c:pt idx="1102">
                    <c:v>T008</c:v>
                  </c:pt>
                  <c:pt idx="1103">
                    <c:v>T009</c:v>
                  </c:pt>
                  <c:pt idx="1104">
                    <c:v>T010</c:v>
                  </c:pt>
                  <c:pt idx="1105">
                    <c:v>T011</c:v>
                  </c:pt>
                  <c:pt idx="1106">
                    <c:v>T012</c:v>
                  </c:pt>
                  <c:pt idx="1107">
                    <c:v>T013</c:v>
                  </c:pt>
                  <c:pt idx="1108">
                    <c:v>T014</c:v>
                  </c:pt>
                  <c:pt idx="1109">
                    <c:v>T015</c:v>
                  </c:pt>
                  <c:pt idx="1110">
                    <c:v>T016</c:v>
                  </c:pt>
                  <c:pt idx="1111">
                    <c:v>T017</c:v>
                  </c:pt>
                  <c:pt idx="1112">
                    <c:v>T018</c:v>
                  </c:pt>
                  <c:pt idx="1113">
                    <c:v>T019</c:v>
                  </c:pt>
                  <c:pt idx="1114">
                    <c:v>T020</c:v>
                  </c:pt>
                  <c:pt idx="1115">
                    <c:v>T021</c:v>
                  </c:pt>
                  <c:pt idx="1116">
                    <c:v>T022</c:v>
                  </c:pt>
                  <c:pt idx="1117">
                    <c:v>T023</c:v>
                  </c:pt>
                  <c:pt idx="1118">
                    <c:v>T024</c:v>
                  </c:pt>
                  <c:pt idx="1119">
                    <c:v>T001</c:v>
                  </c:pt>
                  <c:pt idx="1120">
                    <c:v>T002</c:v>
                  </c:pt>
                  <c:pt idx="1121">
                    <c:v>T003</c:v>
                  </c:pt>
                  <c:pt idx="1122">
                    <c:v>T004</c:v>
                  </c:pt>
                  <c:pt idx="1123">
                    <c:v>T005</c:v>
                  </c:pt>
                  <c:pt idx="1124">
                    <c:v>T006</c:v>
                  </c:pt>
                  <c:pt idx="1125">
                    <c:v>T007</c:v>
                  </c:pt>
                  <c:pt idx="1126">
                    <c:v>T008</c:v>
                  </c:pt>
                  <c:pt idx="1127">
                    <c:v>T009</c:v>
                  </c:pt>
                  <c:pt idx="1128">
                    <c:v>T010</c:v>
                  </c:pt>
                  <c:pt idx="1129">
                    <c:v>T011</c:v>
                  </c:pt>
                  <c:pt idx="1130">
                    <c:v>T012</c:v>
                  </c:pt>
                  <c:pt idx="1131">
                    <c:v>T013</c:v>
                  </c:pt>
                  <c:pt idx="1132">
                    <c:v>T014</c:v>
                  </c:pt>
                  <c:pt idx="1133">
                    <c:v>T015</c:v>
                  </c:pt>
                  <c:pt idx="1134">
                    <c:v>T016</c:v>
                  </c:pt>
                  <c:pt idx="1135">
                    <c:v>T017</c:v>
                  </c:pt>
                  <c:pt idx="1136">
                    <c:v>T018</c:v>
                  </c:pt>
                  <c:pt idx="1137">
                    <c:v>T019</c:v>
                  </c:pt>
                  <c:pt idx="1138">
                    <c:v>T020</c:v>
                  </c:pt>
                  <c:pt idx="1139">
                    <c:v>T021</c:v>
                  </c:pt>
                  <c:pt idx="1140">
                    <c:v>T022</c:v>
                  </c:pt>
                  <c:pt idx="1141">
                    <c:v>T023</c:v>
                  </c:pt>
                  <c:pt idx="1142">
                    <c:v>T024</c:v>
                  </c:pt>
                  <c:pt idx="1143">
                    <c:v>T001</c:v>
                  </c:pt>
                  <c:pt idx="1144">
                    <c:v>T002</c:v>
                  </c:pt>
                  <c:pt idx="1145">
                    <c:v>T003</c:v>
                  </c:pt>
                  <c:pt idx="1146">
                    <c:v>T004</c:v>
                  </c:pt>
                  <c:pt idx="1147">
                    <c:v>T005</c:v>
                  </c:pt>
                  <c:pt idx="1148">
                    <c:v>T006</c:v>
                  </c:pt>
                  <c:pt idx="1149">
                    <c:v>T007</c:v>
                  </c:pt>
                  <c:pt idx="1150">
                    <c:v>T008</c:v>
                  </c:pt>
                  <c:pt idx="1151">
                    <c:v>T009</c:v>
                  </c:pt>
                  <c:pt idx="1152">
                    <c:v>T010</c:v>
                  </c:pt>
                  <c:pt idx="1153">
                    <c:v>T011</c:v>
                  </c:pt>
                  <c:pt idx="1154">
                    <c:v>T012</c:v>
                  </c:pt>
                  <c:pt idx="1155">
                    <c:v>T013</c:v>
                  </c:pt>
                  <c:pt idx="1156">
                    <c:v>T014</c:v>
                  </c:pt>
                  <c:pt idx="1157">
                    <c:v>T015</c:v>
                  </c:pt>
                  <c:pt idx="1158">
                    <c:v>T016</c:v>
                  </c:pt>
                  <c:pt idx="1159">
                    <c:v>T017</c:v>
                  </c:pt>
                  <c:pt idx="1160">
                    <c:v>T018</c:v>
                  </c:pt>
                  <c:pt idx="1161">
                    <c:v>T019</c:v>
                  </c:pt>
                  <c:pt idx="1162">
                    <c:v>T020</c:v>
                  </c:pt>
                  <c:pt idx="1163">
                    <c:v>T021</c:v>
                  </c:pt>
                  <c:pt idx="1164">
                    <c:v>T022</c:v>
                  </c:pt>
                  <c:pt idx="1165">
                    <c:v>T023</c:v>
                  </c:pt>
                  <c:pt idx="1166">
                    <c:v>T024</c:v>
                  </c:pt>
                  <c:pt idx="1167">
                    <c:v>T001</c:v>
                  </c:pt>
                  <c:pt idx="1168">
                    <c:v>T002</c:v>
                  </c:pt>
                  <c:pt idx="1169">
                    <c:v>T003</c:v>
                  </c:pt>
                  <c:pt idx="1170">
                    <c:v>T004</c:v>
                  </c:pt>
                  <c:pt idx="1171">
                    <c:v>T005</c:v>
                  </c:pt>
                  <c:pt idx="1172">
                    <c:v>T006</c:v>
                  </c:pt>
                  <c:pt idx="1173">
                    <c:v>T007</c:v>
                  </c:pt>
                  <c:pt idx="1174">
                    <c:v>T008</c:v>
                  </c:pt>
                  <c:pt idx="1175">
                    <c:v>T009</c:v>
                  </c:pt>
                  <c:pt idx="1176">
                    <c:v>T010</c:v>
                  </c:pt>
                  <c:pt idx="1177">
                    <c:v>T011</c:v>
                  </c:pt>
                  <c:pt idx="1178">
                    <c:v>T012</c:v>
                  </c:pt>
                  <c:pt idx="1179">
                    <c:v>T013</c:v>
                  </c:pt>
                  <c:pt idx="1180">
                    <c:v>T014</c:v>
                  </c:pt>
                  <c:pt idx="1181">
                    <c:v>T015</c:v>
                  </c:pt>
                  <c:pt idx="1182">
                    <c:v>T016</c:v>
                  </c:pt>
                  <c:pt idx="1183">
                    <c:v>T017</c:v>
                  </c:pt>
                  <c:pt idx="1184">
                    <c:v>T018</c:v>
                  </c:pt>
                  <c:pt idx="1185">
                    <c:v>T019</c:v>
                  </c:pt>
                  <c:pt idx="1186">
                    <c:v>T020</c:v>
                  </c:pt>
                  <c:pt idx="1187">
                    <c:v>T021</c:v>
                  </c:pt>
                  <c:pt idx="1188">
                    <c:v>T022</c:v>
                  </c:pt>
                  <c:pt idx="1189">
                    <c:v>T023</c:v>
                  </c:pt>
                  <c:pt idx="1190">
                    <c:v>T024</c:v>
                  </c:pt>
                  <c:pt idx="1191">
                    <c:v>T001</c:v>
                  </c:pt>
                  <c:pt idx="1192">
                    <c:v>T002</c:v>
                  </c:pt>
                  <c:pt idx="1193">
                    <c:v>T003</c:v>
                  </c:pt>
                  <c:pt idx="1194">
                    <c:v>T004</c:v>
                  </c:pt>
                  <c:pt idx="1195">
                    <c:v>T005</c:v>
                  </c:pt>
                  <c:pt idx="1196">
                    <c:v>T006</c:v>
                  </c:pt>
                  <c:pt idx="1197">
                    <c:v>T007</c:v>
                  </c:pt>
                  <c:pt idx="1198">
                    <c:v>T008</c:v>
                  </c:pt>
                  <c:pt idx="1199">
                    <c:v>T009</c:v>
                  </c:pt>
                  <c:pt idx="1200">
                    <c:v>T010</c:v>
                  </c:pt>
                  <c:pt idx="1201">
                    <c:v>T011</c:v>
                  </c:pt>
                  <c:pt idx="1202">
                    <c:v>T012</c:v>
                  </c:pt>
                  <c:pt idx="1203">
                    <c:v>T013</c:v>
                  </c:pt>
                  <c:pt idx="1204">
                    <c:v>T014</c:v>
                  </c:pt>
                  <c:pt idx="1205">
                    <c:v>T015</c:v>
                  </c:pt>
                  <c:pt idx="1206">
                    <c:v>T016</c:v>
                  </c:pt>
                  <c:pt idx="1207">
                    <c:v>T017</c:v>
                  </c:pt>
                  <c:pt idx="1208">
                    <c:v>T018</c:v>
                  </c:pt>
                  <c:pt idx="1209">
                    <c:v>T019</c:v>
                  </c:pt>
                  <c:pt idx="1210">
                    <c:v>T020</c:v>
                  </c:pt>
                  <c:pt idx="1211">
                    <c:v>T021</c:v>
                  </c:pt>
                  <c:pt idx="1212">
                    <c:v>T022</c:v>
                  </c:pt>
                  <c:pt idx="1213">
                    <c:v>T023</c:v>
                  </c:pt>
                  <c:pt idx="1214">
                    <c:v>T024</c:v>
                  </c:pt>
                  <c:pt idx="1215">
                    <c:v>T005</c:v>
                  </c:pt>
                  <c:pt idx="1216">
                    <c:v>T006</c:v>
                  </c:pt>
                  <c:pt idx="1217">
                    <c:v>T007</c:v>
                  </c:pt>
                  <c:pt idx="1218">
                    <c:v>T008</c:v>
                  </c:pt>
                  <c:pt idx="1219">
                    <c:v>T009</c:v>
                  </c:pt>
                  <c:pt idx="1220">
                    <c:v>T010</c:v>
                  </c:pt>
                  <c:pt idx="1221">
                    <c:v>T011</c:v>
                  </c:pt>
                  <c:pt idx="1222">
                    <c:v>T012</c:v>
                  </c:pt>
                  <c:pt idx="1223">
                    <c:v>T013</c:v>
                  </c:pt>
                  <c:pt idx="1224">
                    <c:v>T014</c:v>
                  </c:pt>
                  <c:pt idx="1225">
                    <c:v>T015</c:v>
                  </c:pt>
                  <c:pt idx="1226">
                    <c:v>T016</c:v>
                  </c:pt>
                  <c:pt idx="1227">
                    <c:v>T017</c:v>
                  </c:pt>
                  <c:pt idx="1228">
                    <c:v>T018</c:v>
                  </c:pt>
                  <c:pt idx="1229">
                    <c:v>T019</c:v>
                  </c:pt>
                  <c:pt idx="1230">
                    <c:v>T020</c:v>
                  </c:pt>
                  <c:pt idx="1231">
                    <c:v>T021</c:v>
                  </c:pt>
                  <c:pt idx="1232">
                    <c:v>T022</c:v>
                  </c:pt>
                  <c:pt idx="1233">
                    <c:v>T023</c:v>
                  </c:pt>
                  <c:pt idx="1234">
                    <c:v>T024</c:v>
                  </c:pt>
                  <c:pt idx="1235">
                    <c:v>T001</c:v>
                  </c:pt>
                  <c:pt idx="1236">
                    <c:v>T002</c:v>
                  </c:pt>
                  <c:pt idx="1237">
                    <c:v>T003</c:v>
                  </c:pt>
                  <c:pt idx="1238">
                    <c:v>T004</c:v>
                  </c:pt>
                  <c:pt idx="1239">
                    <c:v>T005</c:v>
                  </c:pt>
                  <c:pt idx="1240">
                    <c:v>T006</c:v>
                  </c:pt>
                  <c:pt idx="1241">
                    <c:v>T007</c:v>
                  </c:pt>
                  <c:pt idx="1242">
                    <c:v>T008</c:v>
                  </c:pt>
                  <c:pt idx="1243">
                    <c:v>T009</c:v>
                  </c:pt>
                  <c:pt idx="1244">
                    <c:v>T010</c:v>
                  </c:pt>
                  <c:pt idx="1245">
                    <c:v>T011</c:v>
                  </c:pt>
                  <c:pt idx="1246">
                    <c:v>T012</c:v>
                  </c:pt>
                  <c:pt idx="1247">
                    <c:v>T013</c:v>
                  </c:pt>
                  <c:pt idx="1248">
                    <c:v>T014</c:v>
                  </c:pt>
                  <c:pt idx="1249">
                    <c:v>T015</c:v>
                  </c:pt>
                  <c:pt idx="1250">
                    <c:v>T016</c:v>
                  </c:pt>
                  <c:pt idx="1251">
                    <c:v>T017</c:v>
                  </c:pt>
                  <c:pt idx="1252">
                    <c:v>T018</c:v>
                  </c:pt>
                  <c:pt idx="1253">
                    <c:v>T019</c:v>
                  </c:pt>
                  <c:pt idx="1254">
                    <c:v>T020</c:v>
                  </c:pt>
                  <c:pt idx="1255">
                    <c:v>T021</c:v>
                  </c:pt>
                  <c:pt idx="1256">
                    <c:v>T022</c:v>
                  </c:pt>
                  <c:pt idx="1257">
                    <c:v>T023</c:v>
                  </c:pt>
                  <c:pt idx="1258">
                    <c:v>T024</c:v>
                  </c:pt>
                  <c:pt idx="1259">
                    <c:v>T001</c:v>
                  </c:pt>
                  <c:pt idx="1260">
                    <c:v>T002</c:v>
                  </c:pt>
                  <c:pt idx="1261">
                    <c:v>T003</c:v>
                  </c:pt>
                  <c:pt idx="1262">
                    <c:v>T004</c:v>
                  </c:pt>
                  <c:pt idx="1263">
                    <c:v>T005</c:v>
                  </c:pt>
                  <c:pt idx="1264">
                    <c:v>T006</c:v>
                  </c:pt>
                  <c:pt idx="1265">
                    <c:v>T007</c:v>
                  </c:pt>
                  <c:pt idx="1266">
                    <c:v>T008</c:v>
                  </c:pt>
                  <c:pt idx="1267">
                    <c:v>T009</c:v>
                  </c:pt>
                  <c:pt idx="1268">
                    <c:v>T010</c:v>
                  </c:pt>
                  <c:pt idx="1269">
                    <c:v>T011</c:v>
                  </c:pt>
                  <c:pt idx="1270">
                    <c:v>T012</c:v>
                  </c:pt>
                  <c:pt idx="1271">
                    <c:v>T013</c:v>
                  </c:pt>
                  <c:pt idx="1272">
                    <c:v>T014</c:v>
                  </c:pt>
                  <c:pt idx="1273">
                    <c:v>T015</c:v>
                  </c:pt>
                  <c:pt idx="1274">
                    <c:v>T016</c:v>
                  </c:pt>
                  <c:pt idx="1275">
                    <c:v>T017</c:v>
                  </c:pt>
                  <c:pt idx="1276">
                    <c:v>T018</c:v>
                  </c:pt>
                  <c:pt idx="1277">
                    <c:v>T019</c:v>
                  </c:pt>
                  <c:pt idx="1278">
                    <c:v>T020</c:v>
                  </c:pt>
                  <c:pt idx="1279">
                    <c:v>T021</c:v>
                  </c:pt>
                  <c:pt idx="1280">
                    <c:v>T022</c:v>
                  </c:pt>
                  <c:pt idx="1281">
                    <c:v>T023</c:v>
                  </c:pt>
                  <c:pt idx="1282">
                    <c:v>T024</c:v>
                  </c:pt>
                  <c:pt idx="1283">
                    <c:v>T001</c:v>
                  </c:pt>
                  <c:pt idx="1284">
                    <c:v>T002</c:v>
                  </c:pt>
                  <c:pt idx="1285">
                    <c:v>T003</c:v>
                  </c:pt>
                  <c:pt idx="1286">
                    <c:v>T004</c:v>
                  </c:pt>
                  <c:pt idx="1287">
                    <c:v>T005</c:v>
                  </c:pt>
                  <c:pt idx="1288">
                    <c:v>T006</c:v>
                  </c:pt>
                  <c:pt idx="1289">
                    <c:v>T007</c:v>
                  </c:pt>
                  <c:pt idx="1290">
                    <c:v>T008</c:v>
                  </c:pt>
                  <c:pt idx="1291">
                    <c:v>T009</c:v>
                  </c:pt>
                  <c:pt idx="1292">
                    <c:v>T010</c:v>
                  </c:pt>
                  <c:pt idx="1293">
                    <c:v>T011</c:v>
                  </c:pt>
                  <c:pt idx="1294">
                    <c:v>T012</c:v>
                  </c:pt>
                  <c:pt idx="1295">
                    <c:v>T013</c:v>
                  </c:pt>
                  <c:pt idx="1296">
                    <c:v>T014</c:v>
                  </c:pt>
                  <c:pt idx="1297">
                    <c:v>T015</c:v>
                  </c:pt>
                  <c:pt idx="1298">
                    <c:v>T016</c:v>
                  </c:pt>
                  <c:pt idx="1299">
                    <c:v>T017</c:v>
                  </c:pt>
                  <c:pt idx="1300">
                    <c:v>T018</c:v>
                  </c:pt>
                  <c:pt idx="1301">
                    <c:v>T019</c:v>
                  </c:pt>
                  <c:pt idx="1302">
                    <c:v>T020</c:v>
                  </c:pt>
                  <c:pt idx="1303">
                    <c:v>T021</c:v>
                  </c:pt>
                  <c:pt idx="1304">
                    <c:v>T022</c:v>
                  </c:pt>
                  <c:pt idx="1305">
                    <c:v>T023</c:v>
                  </c:pt>
                  <c:pt idx="1306">
                    <c:v>T024</c:v>
                  </c:pt>
                  <c:pt idx="1307">
                    <c:v>T001</c:v>
                  </c:pt>
                  <c:pt idx="1308">
                    <c:v>T002</c:v>
                  </c:pt>
                  <c:pt idx="1309">
                    <c:v>T003</c:v>
                  </c:pt>
                  <c:pt idx="1310">
                    <c:v>T004</c:v>
                  </c:pt>
                  <c:pt idx="1311">
                    <c:v>T005</c:v>
                  </c:pt>
                  <c:pt idx="1312">
                    <c:v>T006</c:v>
                  </c:pt>
                  <c:pt idx="1313">
                    <c:v>T007</c:v>
                  </c:pt>
                  <c:pt idx="1314">
                    <c:v>T008</c:v>
                  </c:pt>
                  <c:pt idx="1315">
                    <c:v>T009</c:v>
                  </c:pt>
                  <c:pt idx="1316">
                    <c:v>T010</c:v>
                  </c:pt>
                  <c:pt idx="1317">
                    <c:v>T011</c:v>
                  </c:pt>
                  <c:pt idx="1318">
                    <c:v>T012</c:v>
                  </c:pt>
                  <c:pt idx="1319">
                    <c:v>T013</c:v>
                  </c:pt>
                  <c:pt idx="1320">
                    <c:v>T014</c:v>
                  </c:pt>
                  <c:pt idx="1321">
                    <c:v>T015</c:v>
                  </c:pt>
                  <c:pt idx="1322">
                    <c:v>T016</c:v>
                  </c:pt>
                  <c:pt idx="1323">
                    <c:v>T017</c:v>
                  </c:pt>
                  <c:pt idx="1324">
                    <c:v>T018</c:v>
                  </c:pt>
                  <c:pt idx="1325">
                    <c:v>T019</c:v>
                  </c:pt>
                  <c:pt idx="1326">
                    <c:v>T020</c:v>
                  </c:pt>
                  <c:pt idx="1327">
                    <c:v>T021</c:v>
                  </c:pt>
                  <c:pt idx="1328">
                    <c:v>T022</c:v>
                  </c:pt>
                  <c:pt idx="1329">
                    <c:v>T023</c:v>
                  </c:pt>
                  <c:pt idx="1330">
                    <c:v>T024</c:v>
                  </c:pt>
                  <c:pt idx="1331">
                    <c:v>T001</c:v>
                  </c:pt>
                  <c:pt idx="1332">
                    <c:v>T002</c:v>
                  </c:pt>
                  <c:pt idx="1333">
                    <c:v>T003</c:v>
                  </c:pt>
                  <c:pt idx="1334">
                    <c:v>T004</c:v>
                  </c:pt>
                  <c:pt idx="1335">
                    <c:v>T005</c:v>
                  </c:pt>
                  <c:pt idx="1336">
                    <c:v>T006</c:v>
                  </c:pt>
                  <c:pt idx="1337">
                    <c:v>T007</c:v>
                  </c:pt>
                  <c:pt idx="1338">
                    <c:v>T008</c:v>
                  </c:pt>
                  <c:pt idx="1339">
                    <c:v>T009</c:v>
                  </c:pt>
                  <c:pt idx="1340">
                    <c:v>T010</c:v>
                  </c:pt>
                  <c:pt idx="1341">
                    <c:v>T011</c:v>
                  </c:pt>
                  <c:pt idx="1342">
                    <c:v>T012</c:v>
                  </c:pt>
                  <c:pt idx="1343">
                    <c:v>T013</c:v>
                  </c:pt>
                  <c:pt idx="1344">
                    <c:v>T014</c:v>
                  </c:pt>
                  <c:pt idx="1345">
                    <c:v>T015</c:v>
                  </c:pt>
                  <c:pt idx="1346">
                    <c:v>T016</c:v>
                  </c:pt>
                  <c:pt idx="1347">
                    <c:v>T017</c:v>
                  </c:pt>
                  <c:pt idx="1348">
                    <c:v>T018</c:v>
                  </c:pt>
                  <c:pt idx="1349">
                    <c:v>T019</c:v>
                  </c:pt>
                  <c:pt idx="1350">
                    <c:v>T020</c:v>
                  </c:pt>
                  <c:pt idx="1351">
                    <c:v>T021</c:v>
                  </c:pt>
                  <c:pt idx="1352">
                    <c:v>T022</c:v>
                  </c:pt>
                  <c:pt idx="1353">
                    <c:v>T023</c:v>
                  </c:pt>
                  <c:pt idx="1354">
                    <c:v>T024</c:v>
                  </c:pt>
                  <c:pt idx="1355">
                    <c:v>T006</c:v>
                  </c:pt>
                  <c:pt idx="1356">
                    <c:v>T007</c:v>
                  </c:pt>
                  <c:pt idx="1357">
                    <c:v>T008</c:v>
                  </c:pt>
                  <c:pt idx="1358">
                    <c:v>T009</c:v>
                  </c:pt>
                  <c:pt idx="1359">
                    <c:v>T010</c:v>
                  </c:pt>
                  <c:pt idx="1360">
                    <c:v>T011</c:v>
                  </c:pt>
                  <c:pt idx="1361">
                    <c:v>T012</c:v>
                  </c:pt>
                  <c:pt idx="1362">
                    <c:v>T013</c:v>
                  </c:pt>
                  <c:pt idx="1363">
                    <c:v>T014</c:v>
                  </c:pt>
                  <c:pt idx="1364">
                    <c:v>T015</c:v>
                  </c:pt>
                  <c:pt idx="1365">
                    <c:v>T016</c:v>
                  </c:pt>
                  <c:pt idx="1366">
                    <c:v>T017</c:v>
                  </c:pt>
                  <c:pt idx="1367">
                    <c:v>T018</c:v>
                  </c:pt>
                  <c:pt idx="1368">
                    <c:v>T019</c:v>
                  </c:pt>
                  <c:pt idx="1369">
                    <c:v>T020</c:v>
                  </c:pt>
                  <c:pt idx="1370">
                    <c:v>T021</c:v>
                  </c:pt>
                  <c:pt idx="1371">
                    <c:v>T022</c:v>
                  </c:pt>
                  <c:pt idx="1372">
                    <c:v>T001</c:v>
                  </c:pt>
                  <c:pt idx="1373">
                    <c:v>T002</c:v>
                  </c:pt>
                  <c:pt idx="1374">
                    <c:v>T003</c:v>
                  </c:pt>
                  <c:pt idx="1375">
                    <c:v>T004</c:v>
                  </c:pt>
                  <c:pt idx="1376">
                    <c:v>T005</c:v>
                  </c:pt>
                  <c:pt idx="1377">
                    <c:v>T006</c:v>
                  </c:pt>
                  <c:pt idx="1378">
                    <c:v>T007</c:v>
                  </c:pt>
                  <c:pt idx="1379">
                    <c:v>T008</c:v>
                  </c:pt>
                  <c:pt idx="1380">
                    <c:v>T009</c:v>
                  </c:pt>
                  <c:pt idx="1381">
                    <c:v>T010</c:v>
                  </c:pt>
                  <c:pt idx="1382">
                    <c:v>T011</c:v>
                  </c:pt>
                  <c:pt idx="1383">
                    <c:v>T012</c:v>
                  </c:pt>
                  <c:pt idx="1384">
                    <c:v>T013</c:v>
                  </c:pt>
                  <c:pt idx="1385">
                    <c:v>T014</c:v>
                  </c:pt>
                  <c:pt idx="1386">
                    <c:v>T015</c:v>
                  </c:pt>
                  <c:pt idx="1387">
                    <c:v>T016</c:v>
                  </c:pt>
                  <c:pt idx="1388">
                    <c:v>T017</c:v>
                  </c:pt>
                  <c:pt idx="1389">
                    <c:v>T018</c:v>
                  </c:pt>
                  <c:pt idx="1390">
                    <c:v>T019</c:v>
                  </c:pt>
                  <c:pt idx="1391">
                    <c:v>T020</c:v>
                  </c:pt>
                  <c:pt idx="1392">
                    <c:v>T021</c:v>
                  </c:pt>
                  <c:pt idx="1393">
                    <c:v>T022</c:v>
                  </c:pt>
                  <c:pt idx="1394">
                    <c:v>T023</c:v>
                  </c:pt>
                  <c:pt idx="1395">
                    <c:v>T024</c:v>
                  </c:pt>
                  <c:pt idx="1396">
                    <c:v>T001</c:v>
                  </c:pt>
                  <c:pt idx="1397">
                    <c:v>T002</c:v>
                  </c:pt>
                  <c:pt idx="1398">
                    <c:v>T003</c:v>
                  </c:pt>
                  <c:pt idx="1399">
                    <c:v>T004</c:v>
                  </c:pt>
                  <c:pt idx="1400">
                    <c:v>T005</c:v>
                  </c:pt>
                  <c:pt idx="1401">
                    <c:v>T006</c:v>
                  </c:pt>
                  <c:pt idx="1402">
                    <c:v>T007</c:v>
                  </c:pt>
                  <c:pt idx="1403">
                    <c:v>T008</c:v>
                  </c:pt>
                  <c:pt idx="1404">
                    <c:v>T009</c:v>
                  </c:pt>
                  <c:pt idx="1405">
                    <c:v>T010</c:v>
                  </c:pt>
                  <c:pt idx="1406">
                    <c:v>T011</c:v>
                  </c:pt>
                  <c:pt idx="1407">
                    <c:v>T012</c:v>
                  </c:pt>
                  <c:pt idx="1408">
                    <c:v>T013</c:v>
                  </c:pt>
                  <c:pt idx="1409">
                    <c:v>T014</c:v>
                  </c:pt>
                  <c:pt idx="1410">
                    <c:v>T015</c:v>
                  </c:pt>
                  <c:pt idx="1411">
                    <c:v>T016</c:v>
                  </c:pt>
                  <c:pt idx="1412">
                    <c:v>T017</c:v>
                  </c:pt>
                  <c:pt idx="1413">
                    <c:v>T018</c:v>
                  </c:pt>
                  <c:pt idx="1414">
                    <c:v>T019</c:v>
                  </c:pt>
                  <c:pt idx="1415">
                    <c:v>T020</c:v>
                  </c:pt>
                  <c:pt idx="1416">
                    <c:v>T021</c:v>
                  </c:pt>
                  <c:pt idx="1417">
                    <c:v>T022</c:v>
                  </c:pt>
                  <c:pt idx="1418">
                    <c:v>T023</c:v>
                  </c:pt>
                  <c:pt idx="1419">
                    <c:v>T024</c:v>
                  </c:pt>
                  <c:pt idx="1420">
                    <c:v>T006</c:v>
                  </c:pt>
                  <c:pt idx="1421">
                    <c:v>T007</c:v>
                  </c:pt>
                  <c:pt idx="1422">
                    <c:v>T008</c:v>
                  </c:pt>
                  <c:pt idx="1423">
                    <c:v>T009</c:v>
                  </c:pt>
                  <c:pt idx="1424">
                    <c:v>T010</c:v>
                  </c:pt>
                  <c:pt idx="1425">
                    <c:v>T011</c:v>
                  </c:pt>
                  <c:pt idx="1426">
                    <c:v>T012</c:v>
                  </c:pt>
                  <c:pt idx="1427">
                    <c:v>T013</c:v>
                  </c:pt>
                  <c:pt idx="1428">
                    <c:v>T014</c:v>
                  </c:pt>
                  <c:pt idx="1429">
                    <c:v>T015</c:v>
                  </c:pt>
                  <c:pt idx="1430">
                    <c:v>T016</c:v>
                  </c:pt>
                  <c:pt idx="1431">
                    <c:v>T017</c:v>
                  </c:pt>
                  <c:pt idx="1432">
                    <c:v>T018</c:v>
                  </c:pt>
                  <c:pt idx="1433">
                    <c:v>T019</c:v>
                  </c:pt>
                  <c:pt idx="1434">
                    <c:v>T020</c:v>
                  </c:pt>
                  <c:pt idx="1435">
                    <c:v>T021</c:v>
                  </c:pt>
                  <c:pt idx="1436">
                    <c:v>T022</c:v>
                  </c:pt>
                  <c:pt idx="1437">
                    <c:v>T006</c:v>
                  </c:pt>
                  <c:pt idx="1438">
                    <c:v>T007</c:v>
                  </c:pt>
                  <c:pt idx="1439">
                    <c:v>T008</c:v>
                  </c:pt>
                  <c:pt idx="1440">
                    <c:v>T009</c:v>
                  </c:pt>
                  <c:pt idx="1441">
                    <c:v>T010</c:v>
                  </c:pt>
                  <c:pt idx="1442">
                    <c:v>T011</c:v>
                  </c:pt>
                  <c:pt idx="1443">
                    <c:v>T012</c:v>
                  </c:pt>
                  <c:pt idx="1444">
                    <c:v>T013</c:v>
                  </c:pt>
                  <c:pt idx="1445">
                    <c:v>T014</c:v>
                  </c:pt>
                  <c:pt idx="1446">
                    <c:v>T015</c:v>
                  </c:pt>
                  <c:pt idx="1447">
                    <c:v>T016</c:v>
                  </c:pt>
                  <c:pt idx="1448">
                    <c:v>T017</c:v>
                  </c:pt>
                  <c:pt idx="1449">
                    <c:v>T020</c:v>
                  </c:pt>
                  <c:pt idx="1450">
                    <c:v>T021</c:v>
                  </c:pt>
                  <c:pt idx="1451">
                    <c:v>T007</c:v>
                  </c:pt>
                  <c:pt idx="1452">
                    <c:v>T008</c:v>
                  </c:pt>
                  <c:pt idx="1453">
                    <c:v>T009</c:v>
                  </c:pt>
                  <c:pt idx="1454">
                    <c:v>T010</c:v>
                  </c:pt>
                  <c:pt idx="1455">
                    <c:v>T011</c:v>
                  </c:pt>
                  <c:pt idx="1456">
                    <c:v>T012</c:v>
                  </c:pt>
                  <c:pt idx="1457">
                    <c:v>T013</c:v>
                  </c:pt>
                  <c:pt idx="1458">
                    <c:v>T014</c:v>
                  </c:pt>
                  <c:pt idx="1459">
                    <c:v>T015</c:v>
                  </c:pt>
                  <c:pt idx="1460">
                    <c:v>T016</c:v>
                  </c:pt>
                  <c:pt idx="1461">
                    <c:v>T017</c:v>
                  </c:pt>
                  <c:pt idx="1462">
                    <c:v>T018</c:v>
                  </c:pt>
                  <c:pt idx="1463">
                    <c:v>T019</c:v>
                  </c:pt>
                  <c:pt idx="1464">
                    <c:v>T020</c:v>
                  </c:pt>
                  <c:pt idx="1465">
                    <c:v>T021</c:v>
                  </c:pt>
                  <c:pt idx="1466">
                    <c:v>T022</c:v>
                  </c:pt>
                  <c:pt idx="1467">
                    <c:v>T023</c:v>
                  </c:pt>
                  <c:pt idx="1468">
                    <c:v>T024</c:v>
                  </c:pt>
                  <c:pt idx="1469">
                    <c:v>T001</c:v>
                  </c:pt>
                  <c:pt idx="1470">
                    <c:v>T002</c:v>
                  </c:pt>
                  <c:pt idx="1471">
                    <c:v>T003</c:v>
                  </c:pt>
                  <c:pt idx="1472">
                    <c:v>T004</c:v>
                  </c:pt>
                  <c:pt idx="1473">
                    <c:v>T005</c:v>
                  </c:pt>
                  <c:pt idx="1474">
                    <c:v>T006</c:v>
                  </c:pt>
                  <c:pt idx="1475">
                    <c:v>T007</c:v>
                  </c:pt>
                  <c:pt idx="1476">
                    <c:v>T008</c:v>
                  </c:pt>
                  <c:pt idx="1477">
                    <c:v>T009</c:v>
                  </c:pt>
                  <c:pt idx="1478">
                    <c:v>T010</c:v>
                  </c:pt>
                  <c:pt idx="1479">
                    <c:v>T011</c:v>
                  </c:pt>
                  <c:pt idx="1480">
                    <c:v>T012</c:v>
                  </c:pt>
                  <c:pt idx="1481">
                    <c:v>T013</c:v>
                  </c:pt>
                  <c:pt idx="1482">
                    <c:v>T014</c:v>
                  </c:pt>
                  <c:pt idx="1483">
                    <c:v>T015</c:v>
                  </c:pt>
                  <c:pt idx="1484">
                    <c:v>T016</c:v>
                  </c:pt>
                  <c:pt idx="1485">
                    <c:v>T017</c:v>
                  </c:pt>
                  <c:pt idx="1486">
                    <c:v>T018</c:v>
                  </c:pt>
                  <c:pt idx="1487">
                    <c:v>T019</c:v>
                  </c:pt>
                  <c:pt idx="1488">
                    <c:v>T020</c:v>
                  </c:pt>
                  <c:pt idx="1489">
                    <c:v>T021</c:v>
                  </c:pt>
                  <c:pt idx="1490">
                    <c:v>T022</c:v>
                  </c:pt>
                  <c:pt idx="1491">
                    <c:v>T023</c:v>
                  </c:pt>
                  <c:pt idx="1492">
                    <c:v>T024</c:v>
                  </c:pt>
                  <c:pt idx="1493">
                    <c:v>T001</c:v>
                  </c:pt>
                  <c:pt idx="1494">
                    <c:v>T002</c:v>
                  </c:pt>
                  <c:pt idx="1495">
                    <c:v>T003</c:v>
                  </c:pt>
                  <c:pt idx="1496">
                    <c:v>T004</c:v>
                  </c:pt>
                  <c:pt idx="1497">
                    <c:v>T005</c:v>
                  </c:pt>
                  <c:pt idx="1498">
                    <c:v>T006</c:v>
                  </c:pt>
                  <c:pt idx="1499">
                    <c:v>T007</c:v>
                  </c:pt>
                  <c:pt idx="1500">
                    <c:v>T008</c:v>
                  </c:pt>
                  <c:pt idx="1501">
                    <c:v>T009</c:v>
                  </c:pt>
                  <c:pt idx="1502">
                    <c:v>T010</c:v>
                  </c:pt>
                  <c:pt idx="1503">
                    <c:v>T011</c:v>
                  </c:pt>
                  <c:pt idx="1504">
                    <c:v>T012</c:v>
                  </c:pt>
                  <c:pt idx="1505">
                    <c:v>T013</c:v>
                  </c:pt>
                  <c:pt idx="1506">
                    <c:v>T014</c:v>
                  </c:pt>
                  <c:pt idx="1507">
                    <c:v>T015</c:v>
                  </c:pt>
                  <c:pt idx="1508">
                    <c:v>T016</c:v>
                  </c:pt>
                  <c:pt idx="1509">
                    <c:v>T017</c:v>
                  </c:pt>
                  <c:pt idx="1510">
                    <c:v>T018</c:v>
                  </c:pt>
                  <c:pt idx="1511">
                    <c:v>T019</c:v>
                  </c:pt>
                  <c:pt idx="1512">
                    <c:v>T020</c:v>
                  </c:pt>
                  <c:pt idx="1513">
                    <c:v>T021</c:v>
                  </c:pt>
                  <c:pt idx="1514">
                    <c:v>T022</c:v>
                  </c:pt>
                  <c:pt idx="1515">
                    <c:v>T023</c:v>
                  </c:pt>
                  <c:pt idx="1516">
                    <c:v>T024</c:v>
                  </c:pt>
                  <c:pt idx="1517">
                    <c:v>T001</c:v>
                  </c:pt>
                  <c:pt idx="1518">
                    <c:v>T002</c:v>
                  </c:pt>
                  <c:pt idx="1519">
                    <c:v>T004</c:v>
                  </c:pt>
                  <c:pt idx="1520">
                    <c:v>T005</c:v>
                  </c:pt>
                  <c:pt idx="1521">
                    <c:v>T006</c:v>
                  </c:pt>
                  <c:pt idx="1522">
                    <c:v>T007</c:v>
                  </c:pt>
                  <c:pt idx="1523">
                    <c:v>T008</c:v>
                  </c:pt>
                  <c:pt idx="1524">
                    <c:v>T009</c:v>
                  </c:pt>
                  <c:pt idx="1525">
                    <c:v>T010</c:v>
                  </c:pt>
                  <c:pt idx="1526">
                    <c:v>T011</c:v>
                  </c:pt>
                  <c:pt idx="1527">
                    <c:v>T012</c:v>
                  </c:pt>
                  <c:pt idx="1528">
                    <c:v>T013</c:v>
                  </c:pt>
                  <c:pt idx="1529">
                    <c:v>T014</c:v>
                  </c:pt>
                  <c:pt idx="1530">
                    <c:v>T015</c:v>
                  </c:pt>
                  <c:pt idx="1531">
                    <c:v>T016</c:v>
                  </c:pt>
                  <c:pt idx="1532">
                    <c:v>T017</c:v>
                  </c:pt>
                  <c:pt idx="1533">
                    <c:v>T018</c:v>
                  </c:pt>
                  <c:pt idx="1534">
                    <c:v>T019</c:v>
                  </c:pt>
                  <c:pt idx="1535">
                    <c:v>T020</c:v>
                  </c:pt>
                  <c:pt idx="1536">
                    <c:v>T021</c:v>
                  </c:pt>
                  <c:pt idx="1537">
                    <c:v>T022</c:v>
                  </c:pt>
                  <c:pt idx="1538">
                    <c:v>T023</c:v>
                  </c:pt>
                  <c:pt idx="1539">
                    <c:v>T024</c:v>
                  </c:pt>
                  <c:pt idx="1540">
                    <c:v>T007</c:v>
                  </c:pt>
                  <c:pt idx="1541">
                    <c:v>T008</c:v>
                  </c:pt>
                  <c:pt idx="1542">
                    <c:v>T009</c:v>
                  </c:pt>
                  <c:pt idx="1543">
                    <c:v>T010</c:v>
                  </c:pt>
                  <c:pt idx="1544">
                    <c:v>T011</c:v>
                  </c:pt>
                  <c:pt idx="1545">
                    <c:v>T012</c:v>
                  </c:pt>
                  <c:pt idx="1546">
                    <c:v>T001</c:v>
                  </c:pt>
                  <c:pt idx="1547">
                    <c:v>T002</c:v>
                  </c:pt>
                  <c:pt idx="1548">
                    <c:v>T003</c:v>
                  </c:pt>
                  <c:pt idx="1549">
                    <c:v>T004</c:v>
                  </c:pt>
                  <c:pt idx="1550">
                    <c:v>T005</c:v>
                  </c:pt>
                  <c:pt idx="1551">
                    <c:v>T006</c:v>
                  </c:pt>
                  <c:pt idx="1552">
                    <c:v>T007</c:v>
                  </c:pt>
                  <c:pt idx="1553">
                    <c:v>T008</c:v>
                  </c:pt>
                  <c:pt idx="1554">
                    <c:v>T009</c:v>
                  </c:pt>
                  <c:pt idx="1555">
                    <c:v>T010</c:v>
                  </c:pt>
                  <c:pt idx="1556">
                    <c:v>T011</c:v>
                  </c:pt>
                  <c:pt idx="1557">
                    <c:v>T012</c:v>
                  </c:pt>
                  <c:pt idx="1558">
                    <c:v>T013</c:v>
                  </c:pt>
                  <c:pt idx="1559">
                    <c:v>T014</c:v>
                  </c:pt>
                  <c:pt idx="1560">
                    <c:v>T015</c:v>
                  </c:pt>
                  <c:pt idx="1561">
                    <c:v>T016</c:v>
                  </c:pt>
                  <c:pt idx="1562">
                    <c:v>T017</c:v>
                  </c:pt>
                  <c:pt idx="1563">
                    <c:v>T018</c:v>
                  </c:pt>
                  <c:pt idx="1564">
                    <c:v>T019</c:v>
                  </c:pt>
                  <c:pt idx="1565">
                    <c:v>T020</c:v>
                  </c:pt>
                  <c:pt idx="1566">
                    <c:v>T021</c:v>
                  </c:pt>
                  <c:pt idx="1567">
                    <c:v>T022</c:v>
                  </c:pt>
                  <c:pt idx="1568">
                    <c:v>T023</c:v>
                  </c:pt>
                  <c:pt idx="1569">
                    <c:v>T024</c:v>
                  </c:pt>
                  <c:pt idx="1570">
                    <c:v>T006</c:v>
                  </c:pt>
                  <c:pt idx="1571">
                    <c:v>T007</c:v>
                  </c:pt>
                  <c:pt idx="1572">
                    <c:v>T008</c:v>
                  </c:pt>
                  <c:pt idx="1573">
                    <c:v>T009</c:v>
                  </c:pt>
                  <c:pt idx="1574">
                    <c:v>T010</c:v>
                  </c:pt>
                  <c:pt idx="1575">
                    <c:v>T011</c:v>
                  </c:pt>
                  <c:pt idx="1576">
                    <c:v>T012</c:v>
                  </c:pt>
                  <c:pt idx="1577">
                    <c:v>T013</c:v>
                  </c:pt>
                  <c:pt idx="1578">
                    <c:v>T014</c:v>
                  </c:pt>
                  <c:pt idx="1579">
                    <c:v>T015</c:v>
                  </c:pt>
                  <c:pt idx="1580">
                    <c:v>T016</c:v>
                  </c:pt>
                  <c:pt idx="1581">
                    <c:v>T017</c:v>
                  </c:pt>
                  <c:pt idx="1582">
                    <c:v>T018</c:v>
                  </c:pt>
                  <c:pt idx="1583">
                    <c:v>T019</c:v>
                  </c:pt>
                  <c:pt idx="1584">
                    <c:v>T020</c:v>
                  </c:pt>
                  <c:pt idx="1585">
                    <c:v>T021</c:v>
                  </c:pt>
                  <c:pt idx="1586">
                    <c:v>T022</c:v>
                  </c:pt>
                  <c:pt idx="1587">
                    <c:v>T023</c:v>
                  </c:pt>
                  <c:pt idx="1588">
                    <c:v>T024</c:v>
                  </c:pt>
                  <c:pt idx="1589">
                    <c:v>T001</c:v>
                  </c:pt>
                  <c:pt idx="1590">
                    <c:v>T002</c:v>
                  </c:pt>
                  <c:pt idx="1591">
                    <c:v>T003</c:v>
                  </c:pt>
                  <c:pt idx="1592">
                    <c:v>T004</c:v>
                  </c:pt>
                  <c:pt idx="1593">
                    <c:v>T005</c:v>
                  </c:pt>
                  <c:pt idx="1594">
                    <c:v>T006</c:v>
                  </c:pt>
                  <c:pt idx="1595">
                    <c:v>T007</c:v>
                  </c:pt>
                  <c:pt idx="1596">
                    <c:v>T008</c:v>
                  </c:pt>
                  <c:pt idx="1597">
                    <c:v>T009</c:v>
                  </c:pt>
                  <c:pt idx="1598">
                    <c:v>T010</c:v>
                  </c:pt>
                  <c:pt idx="1599">
                    <c:v>T011</c:v>
                  </c:pt>
                  <c:pt idx="1600">
                    <c:v>T012</c:v>
                  </c:pt>
                  <c:pt idx="1601">
                    <c:v>T013</c:v>
                  </c:pt>
                  <c:pt idx="1602">
                    <c:v>T014</c:v>
                  </c:pt>
                  <c:pt idx="1603">
                    <c:v>T015</c:v>
                  </c:pt>
                  <c:pt idx="1604">
                    <c:v>T016</c:v>
                  </c:pt>
                  <c:pt idx="1605">
                    <c:v>T017</c:v>
                  </c:pt>
                  <c:pt idx="1606">
                    <c:v>T018</c:v>
                  </c:pt>
                  <c:pt idx="1607">
                    <c:v>T019</c:v>
                  </c:pt>
                  <c:pt idx="1608">
                    <c:v>T020</c:v>
                  </c:pt>
                  <c:pt idx="1609">
                    <c:v>T021</c:v>
                  </c:pt>
                  <c:pt idx="1610">
                    <c:v>T022</c:v>
                  </c:pt>
                  <c:pt idx="1611">
                    <c:v>T023</c:v>
                  </c:pt>
                  <c:pt idx="1612">
                    <c:v>T024</c:v>
                  </c:pt>
                  <c:pt idx="1613">
                    <c:v>T008</c:v>
                  </c:pt>
                  <c:pt idx="1614">
                    <c:v>T019</c:v>
                  </c:pt>
                  <c:pt idx="1615">
                    <c:v>T007</c:v>
                  </c:pt>
                  <c:pt idx="1616">
                    <c:v>T008</c:v>
                  </c:pt>
                  <c:pt idx="1617">
                    <c:v>T009</c:v>
                  </c:pt>
                  <c:pt idx="1618">
                    <c:v>T010</c:v>
                  </c:pt>
                  <c:pt idx="1619">
                    <c:v>T011</c:v>
                  </c:pt>
                  <c:pt idx="1620">
                    <c:v>T012</c:v>
                  </c:pt>
                  <c:pt idx="1621">
                    <c:v>T013</c:v>
                  </c:pt>
                  <c:pt idx="1622">
                    <c:v>T014</c:v>
                  </c:pt>
                  <c:pt idx="1623">
                    <c:v>T015</c:v>
                  </c:pt>
                  <c:pt idx="1624">
                    <c:v>T016</c:v>
                  </c:pt>
                  <c:pt idx="1625">
                    <c:v>T017</c:v>
                  </c:pt>
                  <c:pt idx="1626">
                    <c:v>T018</c:v>
                  </c:pt>
                  <c:pt idx="1627">
                    <c:v>T019</c:v>
                  </c:pt>
                  <c:pt idx="1628">
                    <c:v>T007</c:v>
                  </c:pt>
                  <c:pt idx="1629">
                    <c:v>T008</c:v>
                  </c:pt>
                  <c:pt idx="1630">
                    <c:v>T009</c:v>
                  </c:pt>
                  <c:pt idx="1631">
                    <c:v>T010</c:v>
                  </c:pt>
                  <c:pt idx="1632">
                    <c:v>T011</c:v>
                  </c:pt>
                  <c:pt idx="1633">
                    <c:v>T012</c:v>
                  </c:pt>
                  <c:pt idx="1634">
                    <c:v>T013</c:v>
                  </c:pt>
                  <c:pt idx="1635">
                    <c:v>T014</c:v>
                  </c:pt>
                  <c:pt idx="1636">
                    <c:v>T015</c:v>
                  </c:pt>
                  <c:pt idx="1637">
                    <c:v>T016</c:v>
                  </c:pt>
                  <c:pt idx="1638">
                    <c:v>T017</c:v>
                  </c:pt>
                  <c:pt idx="1639">
                    <c:v>T018</c:v>
                  </c:pt>
                  <c:pt idx="1640">
                    <c:v>T019</c:v>
                  </c:pt>
                  <c:pt idx="1641">
                    <c:v>T001</c:v>
                  </c:pt>
                  <c:pt idx="1642">
                    <c:v>T002</c:v>
                  </c:pt>
                  <c:pt idx="1643">
                    <c:v>T003</c:v>
                  </c:pt>
                  <c:pt idx="1644">
                    <c:v>T004</c:v>
                  </c:pt>
                  <c:pt idx="1645">
                    <c:v>T005</c:v>
                  </c:pt>
                  <c:pt idx="1646">
                    <c:v>T006</c:v>
                  </c:pt>
                  <c:pt idx="1647">
                    <c:v>T007</c:v>
                  </c:pt>
                  <c:pt idx="1648">
                    <c:v>T008</c:v>
                  </c:pt>
                  <c:pt idx="1649">
                    <c:v>T009</c:v>
                  </c:pt>
                  <c:pt idx="1650">
                    <c:v>T010</c:v>
                  </c:pt>
                  <c:pt idx="1651">
                    <c:v>T011</c:v>
                  </c:pt>
                  <c:pt idx="1652">
                    <c:v>T012</c:v>
                  </c:pt>
                  <c:pt idx="1653">
                    <c:v>T013</c:v>
                  </c:pt>
                  <c:pt idx="1654">
                    <c:v>T014</c:v>
                  </c:pt>
                  <c:pt idx="1655">
                    <c:v>T015</c:v>
                  </c:pt>
                  <c:pt idx="1656">
                    <c:v>T016</c:v>
                  </c:pt>
                  <c:pt idx="1657">
                    <c:v>T017</c:v>
                  </c:pt>
                  <c:pt idx="1658">
                    <c:v>T018</c:v>
                  </c:pt>
                  <c:pt idx="1659">
                    <c:v>T019</c:v>
                  </c:pt>
                  <c:pt idx="1660">
                    <c:v>T020</c:v>
                  </c:pt>
                  <c:pt idx="1661">
                    <c:v>T021</c:v>
                  </c:pt>
                  <c:pt idx="1662">
                    <c:v>T022</c:v>
                  </c:pt>
                  <c:pt idx="1663">
                    <c:v>T023</c:v>
                  </c:pt>
                  <c:pt idx="1664">
                    <c:v>T024</c:v>
                  </c:pt>
                  <c:pt idx="1665">
                    <c:v>T001</c:v>
                  </c:pt>
                  <c:pt idx="1666">
                    <c:v>T002</c:v>
                  </c:pt>
                  <c:pt idx="1667">
                    <c:v>T003</c:v>
                  </c:pt>
                  <c:pt idx="1668">
                    <c:v>T004</c:v>
                  </c:pt>
                  <c:pt idx="1669">
                    <c:v>T005</c:v>
                  </c:pt>
                  <c:pt idx="1670">
                    <c:v>T006</c:v>
                  </c:pt>
                  <c:pt idx="1671">
                    <c:v>T007</c:v>
                  </c:pt>
                  <c:pt idx="1672">
                    <c:v>T008</c:v>
                  </c:pt>
                  <c:pt idx="1673">
                    <c:v>T009</c:v>
                  </c:pt>
                  <c:pt idx="1674">
                    <c:v>T010</c:v>
                  </c:pt>
                  <c:pt idx="1675">
                    <c:v>T011</c:v>
                  </c:pt>
                  <c:pt idx="1676">
                    <c:v>T012</c:v>
                  </c:pt>
                  <c:pt idx="1677">
                    <c:v>T013</c:v>
                  </c:pt>
                  <c:pt idx="1678">
                    <c:v>T014</c:v>
                  </c:pt>
                  <c:pt idx="1679">
                    <c:v>T015</c:v>
                  </c:pt>
                  <c:pt idx="1680">
                    <c:v>T016</c:v>
                  </c:pt>
                  <c:pt idx="1681">
                    <c:v>T017</c:v>
                  </c:pt>
                  <c:pt idx="1682">
                    <c:v>T018</c:v>
                  </c:pt>
                  <c:pt idx="1683">
                    <c:v>T019</c:v>
                  </c:pt>
                  <c:pt idx="1684">
                    <c:v>T020</c:v>
                  </c:pt>
                  <c:pt idx="1685">
                    <c:v>T021</c:v>
                  </c:pt>
                  <c:pt idx="1686">
                    <c:v>T022</c:v>
                  </c:pt>
                  <c:pt idx="1687">
                    <c:v>T023</c:v>
                  </c:pt>
                  <c:pt idx="1688">
                    <c:v>T024</c:v>
                  </c:pt>
                  <c:pt idx="1689">
                    <c:v>T001</c:v>
                  </c:pt>
                  <c:pt idx="1690">
                    <c:v>T002</c:v>
                  </c:pt>
                  <c:pt idx="1691">
                    <c:v>T003</c:v>
                  </c:pt>
                  <c:pt idx="1692">
                    <c:v>T004</c:v>
                  </c:pt>
                  <c:pt idx="1693">
                    <c:v>T005</c:v>
                  </c:pt>
                  <c:pt idx="1694">
                    <c:v>T006</c:v>
                  </c:pt>
                  <c:pt idx="1695">
                    <c:v>T007</c:v>
                  </c:pt>
                  <c:pt idx="1696">
                    <c:v>T008</c:v>
                  </c:pt>
                  <c:pt idx="1697">
                    <c:v>T009</c:v>
                  </c:pt>
                  <c:pt idx="1698">
                    <c:v>T010</c:v>
                  </c:pt>
                  <c:pt idx="1699">
                    <c:v>T011</c:v>
                  </c:pt>
                  <c:pt idx="1700">
                    <c:v>T012</c:v>
                  </c:pt>
                  <c:pt idx="1701">
                    <c:v>T013</c:v>
                  </c:pt>
                  <c:pt idx="1702">
                    <c:v>T014</c:v>
                  </c:pt>
                  <c:pt idx="1703">
                    <c:v>T015</c:v>
                  </c:pt>
                  <c:pt idx="1704">
                    <c:v>T016</c:v>
                  </c:pt>
                  <c:pt idx="1705">
                    <c:v>T017</c:v>
                  </c:pt>
                  <c:pt idx="1706">
                    <c:v>T018</c:v>
                  </c:pt>
                  <c:pt idx="1707">
                    <c:v>T019</c:v>
                  </c:pt>
                  <c:pt idx="1708">
                    <c:v>T020</c:v>
                  </c:pt>
                  <c:pt idx="1709">
                    <c:v>T021</c:v>
                  </c:pt>
                  <c:pt idx="1710">
                    <c:v>T022</c:v>
                  </c:pt>
                  <c:pt idx="1711">
                    <c:v>T023</c:v>
                  </c:pt>
                  <c:pt idx="1712">
                    <c:v>T024</c:v>
                  </c:pt>
                  <c:pt idx="1713">
                    <c:v>T001</c:v>
                  </c:pt>
                  <c:pt idx="1714">
                    <c:v>T002</c:v>
                  </c:pt>
                  <c:pt idx="1715">
                    <c:v>T003</c:v>
                  </c:pt>
                  <c:pt idx="1716">
                    <c:v>T004</c:v>
                  </c:pt>
                  <c:pt idx="1717">
                    <c:v>T005</c:v>
                  </c:pt>
                  <c:pt idx="1718">
                    <c:v>T006</c:v>
                  </c:pt>
                  <c:pt idx="1719">
                    <c:v>T007</c:v>
                  </c:pt>
                  <c:pt idx="1720">
                    <c:v>T008</c:v>
                  </c:pt>
                  <c:pt idx="1721">
                    <c:v>T009</c:v>
                  </c:pt>
                  <c:pt idx="1722">
                    <c:v>T010</c:v>
                  </c:pt>
                  <c:pt idx="1723">
                    <c:v>T011</c:v>
                  </c:pt>
                  <c:pt idx="1724">
                    <c:v>T012</c:v>
                  </c:pt>
                  <c:pt idx="1725">
                    <c:v>T013</c:v>
                  </c:pt>
                  <c:pt idx="1726">
                    <c:v>T014</c:v>
                  </c:pt>
                  <c:pt idx="1727">
                    <c:v>T015</c:v>
                  </c:pt>
                  <c:pt idx="1728">
                    <c:v>T016</c:v>
                  </c:pt>
                  <c:pt idx="1729">
                    <c:v>T017</c:v>
                  </c:pt>
                  <c:pt idx="1730">
                    <c:v>T018</c:v>
                  </c:pt>
                  <c:pt idx="1731">
                    <c:v>T019</c:v>
                  </c:pt>
                  <c:pt idx="1732">
                    <c:v>T020</c:v>
                  </c:pt>
                  <c:pt idx="1733">
                    <c:v>T021</c:v>
                  </c:pt>
                  <c:pt idx="1734">
                    <c:v>T022</c:v>
                  </c:pt>
                  <c:pt idx="1735">
                    <c:v>T023</c:v>
                  </c:pt>
                  <c:pt idx="1736">
                    <c:v>T024</c:v>
                  </c:pt>
                  <c:pt idx="1737">
                    <c:v>T001</c:v>
                  </c:pt>
                  <c:pt idx="1738">
                    <c:v>T002</c:v>
                  </c:pt>
                  <c:pt idx="1739">
                    <c:v>T003</c:v>
                  </c:pt>
                  <c:pt idx="1740">
                    <c:v>T004</c:v>
                  </c:pt>
                  <c:pt idx="1741">
                    <c:v>T005</c:v>
                  </c:pt>
                  <c:pt idx="1742">
                    <c:v>T006</c:v>
                  </c:pt>
                  <c:pt idx="1743">
                    <c:v>T007</c:v>
                  </c:pt>
                  <c:pt idx="1744">
                    <c:v>T008</c:v>
                  </c:pt>
                  <c:pt idx="1745">
                    <c:v>T009</c:v>
                  </c:pt>
                  <c:pt idx="1746">
                    <c:v>T010</c:v>
                  </c:pt>
                  <c:pt idx="1747">
                    <c:v>T011</c:v>
                  </c:pt>
                  <c:pt idx="1748">
                    <c:v>T012</c:v>
                  </c:pt>
                  <c:pt idx="1749">
                    <c:v>T013</c:v>
                  </c:pt>
                  <c:pt idx="1750">
                    <c:v>T014</c:v>
                  </c:pt>
                  <c:pt idx="1751">
                    <c:v>T015</c:v>
                  </c:pt>
                  <c:pt idx="1752">
                    <c:v>T016</c:v>
                  </c:pt>
                  <c:pt idx="1753">
                    <c:v>T017</c:v>
                  </c:pt>
                  <c:pt idx="1754">
                    <c:v>T018</c:v>
                  </c:pt>
                  <c:pt idx="1755">
                    <c:v>T019</c:v>
                  </c:pt>
                  <c:pt idx="1756">
                    <c:v>T020</c:v>
                  </c:pt>
                  <c:pt idx="1757">
                    <c:v>T021</c:v>
                  </c:pt>
                  <c:pt idx="1758">
                    <c:v>T022</c:v>
                  </c:pt>
                  <c:pt idx="1759">
                    <c:v>T023</c:v>
                  </c:pt>
                  <c:pt idx="1760">
                    <c:v>T024</c:v>
                  </c:pt>
                  <c:pt idx="1761">
                    <c:v>T001</c:v>
                  </c:pt>
                  <c:pt idx="1762">
                    <c:v>T002</c:v>
                  </c:pt>
                  <c:pt idx="1763">
                    <c:v>T003</c:v>
                  </c:pt>
                  <c:pt idx="1764">
                    <c:v>T004</c:v>
                  </c:pt>
                  <c:pt idx="1765">
                    <c:v>T005</c:v>
                  </c:pt>
                  <c:pt idx="1766">
                    <c:v>T006</c:v>
                  </c:pt>
                  <c:pt idx="1767">
                    <c:v>T007</c:v>
                  </c:pt>
                  <c:pt idx="1768">
                    <c:v>T008</c:v>
                  </c:pt>
                  <c:pt idx="1769">
                    <c:v>T009</c:v>
                  </c:pt>
                  <c:pt idx="1770">
                    <c:v>T010</c:v>
                  </c:pt>
                  <c:pt idx="1771">
                    <c:v>T011</c:v>
                  </c:pt>
                  <c:pt idx="1772">
                    <c:v>T012</c:v>
                  </c:pt>
                  <c:pt idx="1773">
                    <c:v>T013</c:v>
                  </c:pt>
                  <c:pt idx="1774">
                    <c:v>T014</c:v>
                  </c:pt>
                  <c:pt idx="1775">
                    <c:v>T015</c:v>
                  </c:pt>
                  <c:pt idx="1776">
                    <c:v>T016</c:v>
                  </c:pt>
                  <c:pt idx="1777">
                    <c:v>T017</c:v>
                  </c:pt>
                  <c:pt idx="1778">
                    <c:v>T018</c:v>
                  </c:pt>
                  <c:pt idx="1779">
                    <c:v>T019</c:v>
                  </c:pt>
                  <c:pt idx="1780">
                    <c:v>T020</c:v>
                  </c:pt>
                  <c:pt idx="1781">
                    <c:v>T021</c:v>
                  </c:pt>
                  <c:pt idx="1782">
                    <c:v>T022</c:v>
                  </c:pt>
                  <c:pt idx="1783">
                    <c:v>T023</c:v>
                  </c:pt>
                  <c:pt idx="1784">
                    <c:v>T024</c:v>
                  </c:pt>
                  <c:pt idx="1785">
                    <c:v>T001</c:v>
                  </c:pt>
                  <c:pt idx="1786">
                    <c:v>T002</c:v>
                  </c:pt>
                  <c:pt idx="1787">
                    <c:v>T003</c:v>
                  </c:pt>
                  <c:pt idx="1788">
                    <c:v>T004</c:v>
                  </c:pt>
                  <c:pt idx="1789">
                    <c:v>T005</c:v>
                  </c:pt>
                  <c:pt idx="1790">
                    <c:v>T006</c:v>
                  </c:pt>
                  <c:pt idx="1791">
                    <c:v>T007</c:v>
                  </c:pt>
                  <c:pt idx="1792">
                    <c:v>T008</c:v>
                  </c:pt>
                  <c:pt idx="1793">
                    <c:v>T009</c:v>
                  </c:pt>
                  <c:pt idx="1794">
                    <c:v>T010</c:v>
                  </c:pt>
                  <c:pt idx="1795">
                    <c:v>T011</c:v>
                  </c:pt>
                  <c:pt idx="1796">
                    <c:v>T012</c:v>
                  </c:pt>
                  <c:pt idx="1797">
                    <c:v>T013</c:v>
                  </c:pt>
                  <c:pt idx="1798">
                    <c:v>T014</c:v>
                  </c:pt>
                  <c:pt idx="1799">
                    <c:v>T015</c:v>
                  </c:pt>
                  <c:pt idx="1800">
                    <c:v>T016</c:v>
                  </c:pt>
                  <c:pt idx="1801">
                    <c:v>T017</c:v>
                  </c:pt>
                  <c:pt idx="1802">
                    <c:v>T018</c:v>
                  </c:pt>
                  <c:pt idx="1803">
                    <c:v>T019</c:v>
                  </c:pt>
                  <c:pt idx="1804">
                    <c:v>T020</c:v>
                  </c:pt>
                  <c:pt idx="1805">
                    <c:v>T021</c:v>
                  </c:pt>
                  <c:pt idx="1806">
                    <c:v>T022</c:v>
                  </c:pt>
                  <c:pt idx="1807">
                    <c:v>T023</c:v>
                  </c:pt>
                  <c:pt idx="1808">
                    <c:v>T024</c:v>
                  </c:pt>
                  <c:pt idx="1809">
                    <c:v>T001</c:v>
                  </c:pt>
                  <c:pt idx="1810">
                    <c:v>T002</c:v>
                  </c:pt>
                  <c:pt idx="1811">
                    <c:v>T003</c:v>
                  </c:pt>
                  <c:pt idx="1812">
                    <c:v>T004</c:v>
                  </c:pt>
                  <c:pt idx="1813">
                    <c:v>T005</c:v>
                  </c:pt>
                  <c:pt idx="1814">
                    <c:v>T006</c:v>
                  </c:pt>
                  <c:pt idx="1815">
                    <c:v>T007</c:v>
                  </c:pt>
                  <c:pt idx="1816">
                    <c:v>T008</c:v>
                  </c:pt>
                  <c:pt idx="1817">
                    <c:v>T009</c:v>
                  </c:pt>
                  <c:pt idx="1818">
                    <c:v>T010</c:v>
                  </c:pt>
                  <c:pt idx="1819">
                    <c:v>T011</c:v>
                  </c:pt>
                  <c:pt idx="1820">
                    <c:v>T012</c:v>
                  </c:pt>
                  <c:pt idx="1821">
                    <c:v>T013</c:v>
                  </c:pt>
                  <c:pt idx="1822">
                    <c:v>T014</c:v>
                  </c:pt>
                  <c:pt idx="1823">
                    <c:v>T015</c:v>
                  </c:pt>
                  <c:pt idx="1824">
                    <c:v>T016</c:v>
                  </c:pt>
                  <c:pt idx="1825">
                    <c:v>T017</c:v>
                  </c:pt>
                  <c:pt idx="1826">
                    <c:v>T018</c:v>
                  </c:pt>
                  <c:pt idx="1827">
                    <c:v>T019</c:v>
                  </c:pt>
                  <c:pt idx="1828">
                    <c:v>T020</c:v>
                  </c:pt>
                  <c:pt idx="1829">
                    <c:v>T021</c:v>
                  </c:pt>
                  <c:pt idx="1830">
                    <c:v>T022</c:v>
                  </c:pt>
                  <c:pt idx="1831">
                    <c:v>T023</c:v>
                  </c:pt>
                  <c:pt idx="1832">
                    <c:v>T024</c:v>
                  </c:pt>
                  <c:pt idx="1833">
                    <c:v>T001</c:v>
                  </c:pt>
                  <c:pt idx="1834">
                    <c:v>T002</c:v>
                  </c:pt>
                  <c:pt idx="1835">
                    <c:v>T003</c:v>
                  </c:pt>
                  <c:pt idx="1836">
                    <c:v>T004</c:v>
                  </c:pt>
                  <c:pt idx="1837">
                    <c:v>T005</c:v>
                  </c:pt>
                  <c:pt idx="1838">
                    <c:v>T006</c:v>
                  </c:pt>
                  <c:pt idx="1839">
                    <c:v>T007</c:v>
                  </c:pt>
                  <c:pt idx="1840">
                    <c:v>T008</c:v>
                  </c:pt>
                  <c:pt idx="1841">
                    <c:v>T009</c:v>
                  </c:pt>
                  <c:pt idx="1842">
                    <c:v>T010</c:v>
                  </c:pt>
                  <c:pt idx="1843">
                    <c:v>T011</c:v>
                  </c:pt>
                  <c:pt idx="1844">
                    <c:v>T012</c:v>
                  </c:pt>
                  <c:pt idx="1845">
                    <c:v>T013</c:v>
                  </c:pt>
                  <c:pt idx="1846">
                    <c:v>T014</c:v>
                  </c:pt>
                  <c:pt idx="1847">
                    <c:v>T015</c:v>
                  </c:pt>
                  <c:pt idx="1848">
                    <c:v>T016</c:v>
                  </c:pt>
                  <c:pt idx="1849">
                    <c:v>T017</c:v>
                  </c:pt>
                  <c:pt idx="1850">
                    <c:v>T018</c:v>
                  </c:pt>
                  <c:pt idx="1851">
                    <c:v>T019</c:v>
                  </c:pt>
                  <c:pt idx="1852">
                    <c:v>T020</c:v>
                  </c:pt>
                  <c:pt idx="1853">
                    <c:v>T021</c:v>
                  </c:pt>
                  <c:pt idx="1854">
                    <c:v>T022</c:v>
                  </c:pt>
                  <c:pt idx="1855">
                    <c:v>T023</c:v>
                  </c:pt>
                  <c:pt idx="1856">
                    <c:v>T024</c:v>
                  </c:pt>
                  <c:pt idx="1857">
                    <c:v>T001</c:v>
                  </c:pt>
                  <c:pt idx="1858">
                    <c:v>T002</c:v>
                  </c:pt>
                  <c:pt idx="1859">
                    <c:v>T003</c:v>
                  </c:pt>
                  <c:pt idx="1860">
                    <c:v>T004</c:v>
                  </c:pt>
                  <c:pt idx="1861">
                    <c:v>T005</c:v>
                  </c:pt>
                  <c:pt idx="1862">
                    <c:v>T006</c:v>
                  </c:pt>
                  <c:pt idx="1863">
                    <c:v>T007</c:v>
                  </c:pt>
                  <c:pt idx="1864">
                    <c:v>T008</c:v>
                  </c:pt>
                  <c:pt idx="1865">
                    <c:v>T009</c:v>
                  </c:pt>
                  <c:pt idx="1866">
                    <c:v>T010</c:v>
                  </c:pt>
                  <c:pt idx="1867">
                    <c:v>T011</c:v>
                  </c:pt>
                  <c:pt idx="1868">
                    <c:v>T012</c:v>
                  </c:pt>
                  <c:pt idx="1869">
                    <c:v>T013</c:v>
                  </c:pt>
                  <c:pt idx="1870">
                    <c:v>T014</c:v>
                  </c:pt>
                  <c:pt idx="1871">
                    <c:v>T015</c:v>
                  </c:pt>
                  <c:pt idx="1872">
                    <c:v>T016</c:v>
                  </c:pt>
                  <c:pt idx="1873">
                    <c:v>T017</c:v>
                  </c:pt>
                  <c:pt idx="1874">
                    <c:v>T018</c:v>
                  </c:pt>
                  <c:pt idx="1875">
                    <c:v>T019</c:v>
                  </c:pt>
                  <c:pt idx="1876">
                    <c:v>T020</c:v>
                  </c:pt>
                  <c:pt idx="1877">
                    <c:v>T021</c:v>
                  </c:pt>
                  <c:pt idx="1878">
                    <c:v>T022</c:v>
                  </c:pt>
                  <c:pt idx="1879">
                    <c:v>T023</c:v>
                  </c:pt>
                  <c:pt idx="1880">
                    <c:v>T024</c:v>
                  </c:pt>
                  <c:pt idx="1881">
                    <c:v>T018</c:v>
                  </c:pt>
                  <c:pt idx="1882">
                    <c:v>T020</c:v>
                  </c:pt>
                  <c:pt idx="1883">
                    <c:v>T021</c:v>
                  </c:pt>
                  <c:pt idx="1884">
                    <c:v>T022</c:v>
                  </c:pt>
                  <c:pt idx="1885">
                    <c:v>T001</c:v>
                  </c:pt>
                  <c:pt idx="1886">
                    <c:v>T002</c:v>
                  </c:pt>
                  <c:pt idx="1887">
                    <c:v>T003</c:v>
                  </c:pt>
                  <c:pt idx="1888">
                    <c:v>T004</c:v>
                  </c:pt>
                  <c:pt idx="1889">
                    <c:v>T005</c:v>
                  </c:pt>
                  <c:pt idx="1890">
                    <c:v>T006</c:v>
                  </c:pt>
                  <c:pt idx="1891">
                    <c:v>T007</c:v>
                  </c:pt>
                  <c:pt idx="1892">
                    <c:v>T008</c:v>
                  </c:pt>
                  <c:pt idx="1893">
                    <c:v>T009</c:v>
                  </c:pt>
                  <c:pt idx="1894">
                    <c:v>T010</c:v>
                  </c:pt>
                  <c:pt idx="1895">
                    <c:v>T011</c:v>
                  </c:pt>
                  <c:pt idx="1896">
                    <c:v>T012</c:v>
                  </c:pt>
                  <c:pt idx="1897">
                    <c:v>T013</c:v>
                  </c:pt>
                  <c:pt idx="1898">
                    <c:v>T014</c:v>
                  </c:pt>
                  <c:pt idx="1899">
                    <c:v>T015</c:v>
                  </c:pt>
                  <c:pt idx="1900">
                    <c:v>T016</c:v>
                  </c:pt>
                  <c:pt idx="1901">
                    <c:v>T017</c:v>
                  </c:pt>
                  <c:pt idx="1902">
                    <c:v>T018</c:v>
                  </c:pt>
                  <c:pt idx="1903">
                    <c:v>T019</c:v>
                  </c:pt>
                  <c:pt idx="1904">
                    <c:v>T020</c:v>
                  </c:pt>
                  <c:pt idx="1905">
                    <c:v>T021</c:v>
                  </c:pt>
                  <c:pt idx="1906">
                    <c:v>T022</c:v>
                  </c:pt>
                  <c:pt idx="1907">
                    <c:v>T023</c:v>
                  </c:pt>
                  <c:pt idx="1908">
                    <c:v>T024</c:v>
                  </c:pt>
                  <c:pt idx="1909">
                    <c:v>T001</c:v>
                  </c:pt>
                  <c:pt idx="1910">
                    <c:v>T002</c:v>
                  </c:pt>
                  <c:pt idx="1911">
                    <c:v>T003</c:v>
                  </c:pt>
                  <c:pt idx="1912">
                    <c:v>T004</c:v>
                  </c:pt>
                  <c:pt idx="1913">
                    <c:v>T005</c:v>
                  </c:pt>
                  <c:pt idx="1914">
                    <c:v>T006</c:v>
                  </c:pt>
                  <c:pt idx="1915">
                    <c:v>T007</c:v>
                  </c:pt>
                  <c:pt idx="1916">
                    <c:v>T008</c:v>
                  </c:pt>
                  <c:pt idx="1917">
                    <c:v>T009</c:v>
                  </c:pt>
                  <c:pt idx="1918">
                    <c:v>T010</c:v>
                  </c:pt>
                  <c:pt idx="1919">
                    <c:v>T011</c:v>
                  </c:pt>
                  <c:pt idx="1920">
                    <c:v>T012</c:v>
                  </c:pt>
                  <c:pt idx="1921">
                    <c:v>T013</c:v>
                  </c:pt>
                  <c:pt idx="1922">
                    <c:v>T014</c:v>
                  </c:pt>
                  <c:pt idx="1923">
                    <c:v>T015</c:v>
                  </c:pt>
                  <c:pt idx="1924">
                    <c:v>T016</c:v>
                  </c:pt>
                  <c:pt idx="1925">
                    <c:v>T017</c:v>
                  </c:pt>
                  <c:pt idx="1926">
                    <c:v>T018</c:v>
                  </c:pt>
                  <c:pt idx="1927">
                    <c:v>T019</c:v>
                  </c:pt>
                  <c:pt idx="1928">
                    <c:v>T020</c:v>
                  </c:pt>
                  <c:pt idx="1929">
                    <c:v>T021</c:v>
                  </c:pt>
                  <c:pt idx="1930">
                    <c:v>T022</c:v>
                  </c:pt>
                  <c:pt idx="1931">
                    <c:v>T023</c:v>
                  </c:pt>
                  <c:pt idx="1932">
                    <c:v>T024</c:v>
                  </c:pt>
                  <c:pt idx="1933">
                    <c:v>T001</c:v>
                  </c:pt>
                  <c:pt idx="1934">
                    <c:v>T002</c:v>
                  </c:pt>
                  <c:pt idx="1935">
                    <c:v>T003</c:v>
                  </c:pt>
                  <c:pt idx="1936">
                    <c:v>T004</c:v>
                  </c:pt>
                  <c:pt idx="1937">
                    <c:v>T005</c:v>
                  </c:pt>
                  <c:pt idx="1938">
                    <c:v>T006</c:v>
                  </c:pt>
                  <c:pt idx="1939">
                    <c:v>T007</c:v>
                  </c:pt>
                  <c:pt idx="1940">
                    <c:v>T008</c:v>
                  </c:pt>
                  <c:pt idx="1941">
                    <c:v>T009</c:v>
                  </c:pt>
                  <c:pt idx="1942">
                    <c:v>T010</c:v>
                  </c:pt>
                  <c:pt idx="1943">
                    <c:v>T011</c:v>
                  </c:pt>
                  <c:pt idx="1944">
                    <c:v>T012</c:v>
                  </c:pt>
                  <c:pt idx="1945">
                    <c:v>T013</c:v>
                  </c:pt>
                  <c:pt idx="1946">
                    <c:v>T014</c:v>
                  </c:pt>
                  <c:pt idx="1947">
                    <c:v>T015</c:v>
                  </c:pt>
                  <c:pt idx="1948">
                    <c:v>T016</c:v>
                  </c:pt>
                  <c:pt idx="1949">
                    <c:v>T017</c:v>
                  </c:pt>
                  <c:pt idx="1950">
                    <c:v>T018</c:v>
                  </c:pt>
                  <c:pt idx="1951">
                    <c:v>T019</c:v>
                  </c:pt>
                  <c:pt idx="1952">
                    <c:v>T020</c:v>
                  </c:pt>
                  <c:pt idx="1953">
                    <c:v>T021</c:v>
                  </c:pt>
                  <c:pt idx="1954">
                    <c:v>T022</c:v>
                  </c:pt>
                  <c:pt idx="1955">
                    <c:v>T023</c:v>
                  </c:pt>
                  <c:pt idx="1956">
                    <c:v>T024</c:v>
                  </c:pt>
                  <c:pt idx="1957">
                    <c:v>T001</c:v>
                  </c:pt>
                  <c:pt idx="1958">
                    <c:v>T002</c:v>
                  </c:pt>
                  <c:pt idx="1959">
                    <c:v>T003</c:v>
                  </c:pt>
                  <c:pt idx="1960">
                    <c:v>T004</c:v>
                  </c:pt>
                  <c:pt idx="1961">
                    <c:v>T005</c:v>
                  </c:pt>
                  <c:pt idx="1962">
                    <c:v>T006</c:v>
                  </c:pt>
                  <c:pt idx="1963">
                    <c:v>T007</c:v>
                  </c:pt>
                  <c:pt idx="1964">
                    <c:v>T008</c:v>
                  </c:pt>
                  <c:pt idx="1965">
                    <c:v>T009</c:v>
                  </c:pt>
                  <c:pt idx="1966">
                    <c:v>T010</c:v>
                  </c:pt>
                  <c:pt idx="1967">
                    <c:v>T011</c:v>
                  </c:pt>
                  <c:pt idx="1968">
                    <c:v>T012</c:v>
                  </c:pt>
                  <c:pt idx="1969">
                    <c:v>T013</c:v>
                  </c:pt>
                  <c:pt idx="1970">
                    <c:v>T014</c:v>
                  </c:pt>
                  <c:pt idx="1971">
                    <c:v>T015</c:v>
                  </c:pt>
                  <c:pt idx="1972">
                    <c:v>T016</c:v>
                  </c:pt>
                  <c:pt idx="1973">
                    <c:v>T017</c:v>
                  </c:pt>
                  <c:pt idx="1974">
                    <c:v>T018</c:v>
                  </c:pt>
                  <c:pt idx="1975">
                    <c:v>T019</c:v>
                  </c:pt>
                  <c:pt idx="1976">
                    <c:v>T020</c:v>
                  </c:pt>
                  <c:pt idx="1977">
                    <c:v>T021</c:v>
                  </c:pt>
                  <c:pt idx="1978">
                    <c:v>T022</c:v>
                  </c:pt>
                  <c:pt idx="1979">
                    <c:v>T023</c:v>
                  </c:pt>
                  <c:pt idx="1980">
                    <c:v>T024</c:v>
                  </c:pt>
                  <c:pt idx="1981">
                    <c:v>T001</c:v>
                  </c:pt>
                  <c:pt idx="1982">
                    <c:v>T002</c:v>
                  </c:pt>
                  <c:pt idx="1983">
                    <c:v>T003</c:v>
                  </c:pt>
                  <c:pt idx="1984">
                    <c:v>T004</c:v>
                  </c:pt>
                  <c:pt idx="1985">
                    <c:v>T005</c:v>
                  </c:pt>
                  <c:pt idx="1986">
                    <c:v>T006</c:v>
                  </c:pt>
                  <c:pt idx="1987">
                    <c:v>T007</c:v>
                  </c:pt>
                  <c:pt idx="1988">
                    <c:v>T008</c:v>
                  </c:pt>
                  <c:pt idx="1989">
                    <c:v>T009</c:v>
                  </c:pt>
                  <c:pt idx="1990">
                    <c:v>T010</c:v>
                  </c:pt>
                  <c:pt idx="1991">
                    <c:v>T011</c:v>
                  </c:pt>
                  <c:pt idx="1992">
                    <c:v>T012</c:v>
                  </c:pt>
                  <c:pt idx="1993">
                    <c:v>T013</c:v>
                  </c:pt>
                  <c:pt idx="1994">
                    <c:v>T014</c:v>
                  </c:pt>
                  <c:pt idx="1995">
                    <c:v>T015</c:v>
                  </c:pt>
                  <c:pt idx="1996">
                    <c:v>T016</c:v>
                  </c:pt>
                  <c:pt idx="1997">
                    <c:v>T017</c:v>
                  </c:pt>
                  <c:pt idx="1998">
                    <c:v>T018</c:v>
                  </c:pt>
                  <c:pt idx="1999">
                    <c:v>T019</c:v>
                  </c:pt>
                  <c:pt idx="2000">
                    <c:v>T020</c:v>
                  </c:pt>
                  <c:pt idx="2001">
                    <c:v>T021</c:v>
                  </c:pt>
                  <c:pt idx="2002">
                    <c:v>T022</c:v>
                  </c:pt>
                  <c:pt idx="2003">
                    <c:v>T023</c:v>
                  </c:pt>
                  <c:pt idx="2004">
                    <c:v>T024</c:v>
                  </c:pt>
                  <c:pt idx="2005">
                    <c:v>T001</c:v>
                  </c:pt>
                  <c:pt idx="2006">
                    <c:v>T002</c:v>
                  </c:pt>
                  <c:pt idx="2007">
                    <c:v>T003</c:v>
                  </c:pt>
                  <c:pt idx="2008">
                    <c:v>T004</c:v>
                  </c:pt>
                  <c:pt idx="2009">
                    <c:v>T005</c:v>
                  </c:pt>
                  <c:pt idx="2010">
                    <c:v>T006</c:v>
                  </c:pt>
                  <c:pt idx="2011">
                    <c:v>T007</c:v>
                  </c:pt>
                  <c:pt idx="2012">
                    <c:v>T008</c:v>
                  </c:pt>
                  <c:pt idx="2013">
                    <c:v>T009</c:v>
                  </c:pt>
                  <c:pt idx="2014">
                    <c:v>T010</c:v>
                  </c:pt>
                  <c:pt idx="2015">
                    <c:v>T011</c:v>
                  </c:pt>
                  <c:pt idx="2016">
                    <c:v>T012</c:v>
                  </c:pt>
                  <c:pt idx="2017">
                    <c:v>T013</c:v>
                  </c:pt>
                  <c:pt idx="2018">
                    <c:v>T014</c:v>
                  </c:pt>
                  <c:pt idx="2019">
                    <c:v>T015</c:v>
                  </c:pt>
                  <c:pt idx="2020">
                    <c:v>T016</c:v>
                  </c:pt>
                  <c:pt idx="2021">
                    <c:v>T017</c:v>
                  </c:pt>
                  <c:pt idx="2022">
                    <c:v>T018</c:v>
                  </c:pt>
                  <c:pt idx="2023">
                    <c:v>T019</c:v>
                  </c:pt>
                  <c:pt idx="2024">
                    <c:v>T020</c:v>
                  </c:pt>
                  <c:pt idx="2025">
                    <c:v>T021</c:v>
                  </c:pt>
                  <c:pt idx="2026">
                    <c:v>T022</c:v>
                  </c:pt>
                  <c:pt idx="2027">
                    <c:v>T023</c:v>
                  </c:pt>
                  <c:pt idx="2028">
                    <c:v>T024</c:v>
                  </c:pt>
                  <c:pt idx="2029">
                    <c:v>T020</c:v>
                  </c:pt>
                </c:lvl>
                <c:lvl>
                  <c:pt idx="0">
                    <c:v>GNR_ROR_WTR</c:v>
                  </c:pt>
                  <c:pt idx="24">
                    <c:v>GHYRR_WATER</c:v>
                  </c:pt>
                  <c:pt idx="48">
                    <c:v>GNR_RES_WTR_NOPMP</c:v>
                  </c:pt>
                  <c:pt idx="67">
                    <c:v>GHYRS_WATER</c:v>
                  </c:pt>
                  <c:pt idx="91">
                    <c:v>GNR_ST_COAL_EXT_E-43</c:v>
                  </c:pt>
                  <c:pt idx="115">
                    <c:v>GNR_ST_COAL_EXT_E-47</c:v>
                  </c:pt>
                  <c:pt idx="139">
                    <c:v>GNR_ST_COAL_EXT_E-42</c:v>
                  </c:pt>
                  <c:pt idx="163">
                    <c:v>GEXT_WOODWASTE_HORNEBORG</c:v>
                  </c:pt>
                  <c:pt idx="187">
                    <c:v>GEXT_COAL_LINK</c:v>
                  </c:pt>
                  <c:pt idx="211">
                    <c:v>GEXT_PEAT</c:v>
                  </c:pt>
                  <c:pt idx="234">
                    <c:v>GEXT_WOODWASTE</c:v>
                  </c:pt>
                  <c:pt idx="258">
                    <c:v>GNR_BO_ELEC_E-100</c:v>
                  </c:pt>
                  <c:pt idx="282">
                    <c:v>GNR_HP_ELEC_COP-300</c:v>
                  </c:pt>
                  <c:pt idx="306">
                    <c:v>GNR_HP_ELEC_COP-350</c:v>
                  </c:pt>
                  <c:pt idx="330">
                    <c:v>GNR_HP_ELEC_COP-400</c:v>
                  </c:pt>
                  <c:pt idx="354">
                    <c:v>GNR_HP_ELEC_COP-430</c:v>
                  </c:pt>
                  <c:pt idx="378">
                    <c:v>GNR_HP_ELEC_COP-450</c:v>
                  </c:pt>
                  <c:pt idx="402">
                    <c:v>GNR_HP_ELEC_COP-460</c:v>
                  </c:pt>
                  <c:pt idx="426">
                    <c:v>GNR_HP_ELEC_COP-470</c:v>
                  </c:pt>
                  <c:pt idx="450">
                    <c:v>GNR_HP_ELEC_COP-500</c:v>
                  </c:pt>
                  <c:pt idx="474">
                    <c:v>GNR_HP_ELEC_COP-530</c:v>
                  </c:pt>
                  <c:pt idx="498">
                    <c:v>GNR_HP_ELEC_COP-600</c:v>
                  </c:pt>
                  <c:pt idx="522">
                    <c:v>GETOH_HEATPUMP</c:v>
                  </c:pt>
                  <c:pt idx="546">
                    <c:v>GETOH_ELECTRICBOILER</c:v>
                  </c:pt>
                  <c:pt idx="570">
                    <c:v>GETOH_HEATPUMP33</c:v>
                  </c:pt>
                  <c:pt idx="594">
                    <c:v>GETOH_HEATPUMP2</c:v>
                  </c:pt>
                  <c:pt idx="618">
                    <c:v>GETOH_HEATPUMP1</c:v>
                  </c:pt>
                  <c:pt idx="642">
                    <c:v>GNR_BO_ELEC_E-99_LS-10-MW-FEED_Y-2030</c:v>
                  </c:pt>
                  <c:pt idx="656">
                    <c:v>GNR_HP_ELEC_COP-1200_Y-2030</c:v>
                  </c:pt>
                  <c:pt idx="680">
                    <c:v>GNR_BO_ELEC_E-99_SS-1-MW-FEED_Y-2030</c:v>
                  </c:pt>
                  <c:pt idx="704">
                    <c:v>GNR_ST_MSW_BP_E-17</c:v>
                  </c:pt>
                  <c:pt idx="728">
                    <c:v>GNR_ST_MSW_BP_E-20</c:v>
                  </c:pt>
                  <c:pt idx="752">
                    <c:v>GNR_ST_MSW_BP_E-21</c:v>
                  </c:pt>
                  <c:pt idx="776">
                    <c:v>GNR_ST_MSW_BP_E-22</c:v>
                  </c:pt>
                  <c:pt idx="800">
                    <c:v>GNR_ST_MSW_BP_E-26</c:v>
                  </c:pt>
                  <c:pt idx="824">
                    <c:v>GNR_ST_WOODCHI_BP_E-30</c:v>
                  </c:pt>
                  <c:pt idx="848">
                    <c:v>GNR_ST_STRW_BP_E-26</c:v>
                  </c:pt>
                  <c:pt idx="862">
                    <c:v>GNR_ST_COAL_BP_E-35</c:v>
                  </c:pt>
                  <c:pt idx="886">
                    <c:v>GNR_ENG_NGAS_BP_E-43</c:v>
                  </c:pt>
                  <c:pt idx="890">
                    <c:v>GNR_ENG_NGAS_BP_E-45</c:v>
                  </c:pt>
                  <c:pt idx="914">
                    <c:v>GNR_ENG_NGAS_BP_E-46</c:v>
                  </c:pt>
                  <c:pt idx="938">
                    <c:v>GNR_ST_STRW_BP_E-24</c:v>
                  </c:pt>
                  <c:pt idx="962">
                    <c:v>GNR_ST_STRW_BP_E-27</c:v>
                  </c:pt>
                  <c:pt idx="986">
                    <c:v>GNR_ST_STRW_BP_E-28</c:v>
                  </c:pt>
                  <c:pt idx="1010">
                    <c:v>GNR_ST_MSW_BP_E-16</c:v>
                  </c:pt>
                  <c:pt idx="1029">
                    <c:v>GNR_ST_MSW_BP_E-27</c:v>
                  </c:pt>
                  <c:pt idx="1053">
                    <c:v>GNR_ST_WOODCHI_BP_E-27</c:v>
                  </c:pt>
                  <c:pt idx="1077">
                    <c:v>GNR_ST_MSW_BP_E-28</c:v>
                  </c:pt>
                  <c:pt idx="1095">
                    <c:v>GNR_ST_COAL_BP_E-38</c:v>
                  </c:pt>
                  <c:pt idx="1119">
                    <c:v>GNR_ST_LIGN_BP_E-39</c:v>
                  </c:pt>
                  <c:pt idx="1143">
                    <c:v>GNR_ST_LIGN_BP_E-33</c:v>
                  </c:pt>
                  <c:pt idx="1167">
                    <c:v>GNR_ST_LIGN_BP_E-37</c:v>
                  </c:pt>
                  <c:pt idx="1191">
                    <c:v>GBPR_MUNIWASTE</c:v>
                  </c:pt>
                  <c:pt idx="1215">
                    <c:v>GBPR_PEAT_38</c:v>
                  </c:pt>
                  <c:pt idx="1235">
                    <c:v>GBPR_WOODWASTE</c:v>
                  </c:pt>
                  <c:pt idx="1259">
                    <c:v>GBPR_MUNIWASTE_24</c:v>
                  </c:pt>
                  <c:pt idx="1283">
                    <c:v>GBPR_WOODWASTE_25</c:v>
                  </c:pt>
                  <c:pt idx="1307">
                    <c:v>GBPR_WOODWASTE_36</c:v>
                  </c:pt>
                  <c:pt idx="1331">
                    <c:v>GBPR_MUNIWASTE_LINK</c:v>
                  </c:pt>
                  <c:pt idx="1355">
                    <c:v>GBPR_RECYCLEDWOOD_SE3EL</c:v>
                  </c:pt>
                  <c:pt idx="1372">
                    <c:v>GBPR_WOODWASTE_ABY</c:v>
                  </c:pt>
                  <c:pt idx="1396">
                    <c:v>GBPR_WOODWASTE_GOT</c:v>
                  </c:pt>
                  <c:pt idx="1420">
                    <c:v>GBPR_COAL_SE3</c:v>
                  </c:pt>
                  <c:pt idx="1437">
                    <c:v>GBPR_RECYCLEDWOOD_SE3OTHER</c:v>
                  </c:pt>
                  <c:pt idx="1451">
                    <c:v>GBPR_COAL_VARTAN</c:v>
                  </c:pt>
                  <c:pt idx="1469">
                    <c:v>GBPR_MUNIWASTE_HOGDALEN</c:v>
                  </c:pt>
                  <c:pt idx="1493">
                    <c:v>GBPR_WOODWASTE_BRISTA</c:v>
                  </c:pt>
                  <c:pt idx="1517">
                    <c:v>GBPR_RECYCLEDWOOD</c:v>
                  </c:pt>
                  <c:pt idx="1540">
                    <c:v>GBPR_RECYCLEDWOOD_SE4EL</c:v>
                  </c:pt>
                  <c:pt idx="1546">
                    <c:v>GBPR_MUNIWASTE_65</c:v>
                  </c:pt>
                  <c:pt idx="1570">
                    <c:v>GBPR_NATGAS_MAL</c:v>
                  </c:pt>
                  <c:pt idx="1589">
                    <c:v>GBPR_MUNIWASTE_19</c:v>
                  </c:pt>
                  <c:pt idx="1613">
                    <c:v>GBPR_WOODCHIPS_25</c:v>
                  </c:pt>
                  <c:pt idx="1614">
                    <c:v>GNR_ST_WOODCHI_BP_E-23</c:v>
                  </c:pt>
                  <c:pt idx="1615">
                    <c:v>GNR_PV_SUN</c:v>
                  </c:pt>
                  <c:pt idx="1628">
                    <c:v>GNR_PV_SUN_LS-4-MW_Y-2030</c:v>
                  </c:pt>
                  <c:pt idx="1641">
                    <c:v>GNR_PV_SUN_LS-4-MW_Y-2020</c:v>
                  </c:pt>
                  <c:pt idx="1665">
                    <c:v>GNR_WT_WIND_ONS</c:v>
                  </c:pt>
                  <c:pt idx="1689">
                    <c:v>GNR_WT_WIND_OFF</c:v>
                  </c:pt>
                  <c:pt idx="1713">
                    <c:v>AGG-DE4-E_RES_WTR_PMP</c:v>
                  </c:pt>
                  <c:pt idx="1737">
                    <c:v>AGG-DE4-N_RES_WTR_PMP</c:v>
                  </c:pt>
                  <c:pt idx="1761">
                    <c:v>AGG-DE4-S_RES_WTR_PMP</c:v>
                  </c:pt>
                  <c:pt idx="1785">
                    <c:v>AGG-DE4-W_RES_WTR_PMP</c:v>
                  </c:pt>
                  <c:pt idx="1809">
                    <c:v>GNR_ST_LIGN_CND_E-43</c:v>
                  </c:pt>
                  <c:pt idx="1833">
                    <c:v>GNR_ST_MSW_CND_E-33</c:v>
                  </c:pt>
                  <c:pt idx="1857">
                    <c:v>GNR_GEO_HEAT_EO</c:v>
                  </c:pt>
                  <c:pt idx="1881">
                    <c:v>GNR_ST_COAL_CND_E-46</c:v>
                  </c:pt>
                  <c:pt idx="1885">
                    <c:v>GNR_ST_NUCL_CND_E-33</c:v>
                  </c:pt>
                  <c:pt idx="1909">
                    <c:v>GNR_ST_COAL_CND_E-44</c:v>
                  </c:pt>
                  <c:pt idx="1933">
                    <c:v>GNR_ST_COAL_CND_E-45</c:v>
                  </c:pt>
                  <c:pt idx="1957">
                    <c:v>GNR_ST_LIGN_CND_E-32</c:v>
                  </c:pt>
                  <c:pt idx="1981">
                    <c:v>GNR_ST_LIGN_CND_E-41</c:v>
                  </c:pt>
                  <c:pt idx="2005">
                    <c:v>GCND_NUCLEAR</c:v>
                  </c:pt>
                  <c:pt idx="2029">
                    <c:v>AGG-DE4-N_ES_ELEC</c:v>
                  </c:pt>
                </c:lvl>
                <c:lvl>
                  <c:pt idx="0">
                    <c:v>2.19e+303</c:v>
                  </c:pt>
                  <c:pt idx="48">
                    <c:v>2.21e+303</c:v>
                  </c:pt>
                  <c:pt idx="91">
                    <c:v>2.26e+303</c:v>
                  </c:pt>
                  <c:pt idx="258">
                    <c:v>2.44e+303</c:v>
                  </c:pt>
                  <c:pt idx="704">
                    <c:v>2.29e+303</c:v>
                  </c:pt>
                  <c:pt idx="1615">
                    <c:v>2.22e+303</c:v>
                  </c:pt>
                  <c:pt idx="1665">
                    <c:v>2.24e+303</c:v>
                  </c:pt>
                  <c:pt idx="1713">
                    <c:v>2.65e+303</c:v>
                  </c:pt>
                  <c:pt idx="1809">
                    <c:v>2.1e+303</c:v>
                  </c:pt>
                  <c:pt idx="2029">
                    <c:v>2.49e+303</c:v>
                  </c:pt>
                </c:lvl>
                <c:lvl>
                  <c:pt idx="0">
                    <c:v>S12</c:v>
                  </c:pt>
                </c:lvl>
              </c:multiLvlStrCache>
            </c:multiLvlStrRef>
          </c:cat>
          <c:val>
            <c:numRef>
              <c:f>'EL GEN - Time'!$H$6:$H$2036</c:f>
              <c:numCache>
                <c:formatCode>General</c:formatCode>
                <c:ptCount val="2030"/>
                <c:pt idx="24">
                  <c:v>9508.6358673464038</c:v>
                </c:pt>
                <c:pt idx="25">
                  <c:v>9508.6358673464038</c:v>
                </c:pt>
                <c:pt idx="26">
                  <c:v>9508.6358673464038</c:v>
                </c:pt>
                <c:pt idx="27">
                  <c:v>9508.6358673464038</c:v>
                </c:pt>
                <c:pt idx="28">
                  <c:v>9508.6358673464038</c:v>
                </c:pt>
                <c:pt idx="29">
                  <c:v>9508.6358673464038</c:v>
                </c:pt>
                <c:pt idx="30">
                  <c:v>9508.6358673464038</c:v>
                </c:pt>
                <c:pt idx="31">
                  <c:v>9508.6358673464038</c:v>
                </c:pt>
                <c:pt idx="32">
                  <c:v>9508.6358673464038</c:v>
                </c:pt>
                <c:pt idx="33">
                  <c:v>9508.6358673464038</c:v>
                </c:pt>
                <c:pt idx="34">
                  <c:v>9508.6358673464038</c:v>
                </c:pt>
                <c:pt idx="35">
                  <c:v>9508.6358673464038</c:v>
                </c:pt>
                <c:pt idx="36">
                  <c:v>9508.6358673464038</c:v>
                </c:pt>
                <c:pt idx="37">
                  <c:v>9508.6358673464038</c:v>
                </c:pt>
                <c:pt idx="38">
                  <c:v>9508.6358673464038</c:v>
                </c:pt>
                <c:pt idx="39">
                  <c:v>9508.6358673464038</c:v>
                </c:pt>
                <c:pt idx="40">
                  <c:v>9508.6358673464038</c:v>
                </c:pt>
                <c:pt idx="41">
                  <c:v>9508.6358673464038</c:v>
                </c:pt>
                <c:pt idx="42">
                  <c:v>9508.6358673464038</c:v>
                </c:pt>
                <c:pt idx="43">
                  <c:v>9508.6358673464038</c:v>
                </c:pt>
                <c:pt idx="44">
                  <c:v>9508.6358673464038</c:v>
                </c:pt>
                <c:pt idx="45">
                  <c:v>9508.6358673464038</c:v>
                </c:pt>
                <c:pt idx="46">
                  <c:v>9508.6358673464038</c:v>
                </c:pt>
                <c:pt idx="47">
                  <c:v>9508.6358673464038</c:v>
                </c:pt>
                <c:pt idx="67">
                  <c:v>9771.4001357198813</c:v>
                </c:pt>
                <c:pt idx="68">
                  <c:v>6621.0365487027675</c:v>
                </c:pt>
                <c:pt idx="69">
                  <c:v>7792.6714239133489</c:v>
                </c:pt>
                <c:pt idx="70">
                  <c:v>7139.9396174375015</c:v>
                </c:pt>
                <c:pt idx="71">
                  <c:v>6799.3392828485494</c:v>
                </c:pt>
                <c:pt idx="72">
                  <c:v>7216.7563995625496</c:v>
                </c:pt>
                <c:pt idx="73">
                  <c:v>8704.0414540760357</c:v>
                </c:pt>
                <c:pt idx="74">
                  <c:v>11471.667277279579</c:v>
                </c:pt>
                <c:pt idx="75">
                  <c:v>12628.628597224031</c:v>
                </c:pt>
                <c:pt idx="76">
                  <c:v>12533.138558998313</c:v>
                </c:pt>
                <c:pt idx="77">
                  <c:v>12665.931528726771</c:v>
                </c:pt>
                <c:pt idx="78">
                  <c:v>11477.140908442569</c:v>
                </c:pt>
                <c:pt idx="79">
                  <c:v>10779.048075569979</c:v>
                </c:pt>
                <c:pt idx="80">
                  <c:v>9935.2577374754801</c:v>
                </c:pt>
                <c:pt idx="81">
                  <c:v>10549.779578784808</c:v>
                </c:pt>
                <c:pt idx="82">
                  <c:v>10595.760908202035</c:v>
                </c:pt>
                <c:pt idx="83">
                  <c:v>10760.963355603093</c:v>
                </c:pt>
                <c:pt idx="84">
                  <c:v>11181.420030059564</c:v>
                </c:pt>
                <c:pt idx="85">
                  <c:v>12448.590203479351</c:v>
                </c:pt>
                <c:pt idx="86">
                  <c:v>12662.82101062931</c:v>
                </c:pt>
                <c:pt idx="87">
                  <c:v>12549.885184893627</c:v>
                </c:pt>
                <c:pt idx="88">
                  <c:v>11673.522483603478</c:v>
                </c:pt>
                <c:pt idx="89">
                  <c:v>11199.521016219911</c:v>
                </c:pt>
                <c:pt idx="90">
                  <c:v>9819.7218246459506</c:v>
                </c:pt>
                <c:pt idx="522">
                  <c:v>-11.48148148148147</c:v>
                </c:pt>
                <c:pt idx="523">
                  <c:v>-11.48148148148147</c:v>
                </c:pt>
                <c:pt idx="524">
                  <c:v>-11.48148148148147</c:v>
                </c:pt>
                <c:pt idx="525">
                  <c:v>-9.0705316219645997</c:v>
                </c:pt>
                <c:pt idx="526">
                  <c:v>-11.552309866932186</c:v>
                </c:pt>
                <c:pt idx="527">
                  <c:v>-18.57308375375337</c:v>
                </c:pt>
                <c:pt idx="528">
                  <c:v>-30.19937539625888</c:v>
                </c:pt>
                <c:pt idx="529">
                  <c:v>-37.11879405706847</c:v>
                </c:pt>
                <c:pt idx="530">
                  <c:v>-38.107201299529464</c:v>
                </c:pt>
                <c:pt idx="531">
                  <c:v>-35.606284368434771</c:v>
                </c:pt>
                <c:pt idx="532">
                  <c:v>-32.736977866384663</c:v>
                </c:pt>
                <c:pt idx="533">
                  <c:v>-28.46190084958257</c:v>
                </c:pt>
                <c:pt idx="534">
                  <c:v>-22.305097986071448</c:v>
                </c:pt>
                <c:pt idx="535">
                  <c:v>-18.122996226438861</c:v>
                </c:pt>
                <c:pt idx="536">
                  <c:v>-13.035006742712705</c:v>
                </c:pt>
                <c:pt idx="537">
                  <c:v>-11.48148148148147</c:v>
                </c:pt>
                <c:pt idx="538">
                  <c:v>-11.48148148148147</c:v>
                </c:pt>
                <c:pt idx="539">
                  <c:v>-10.64855108835927</c:v>
                </c:pt>
                <c:pt idx="540">
                  <c:v>-11.31429385251827</c:v>
                </c:pt>
                <c:pt idx="541">
                  <c:v>-11.48148148148147</c:v>
                </c:pt>
                <c:pt idx="542">
                  <c:v>-11.48148148148147</c:v>
                </c:pt>
                <c:pt idx="543">
                  <c:v>-11.48148148148147</c:v>
                </c:pt>
                <c:pt idx="544">
                  <c:v>-4.3597513994284602</c:v>
                </c:pt>
                <c:pt idx="545">
                  <c:v>-0.37037037037037002</c:v>
                </c:pt>
                <c:pt idx="546">
                  <c:v>-308.11517010990661</c:v>
                </c:pt>
                <c:pt idx="547">
                  <c:v>-311.13785285859359</c:v>
                </c:pt>
                <c:pt idx="548">
                  <c:v>-313.4906655094556</c:v>
                </c:pt>
                <c:pt idx="549">
                  <c:v>-341.3265306122446</c:v>
                </c:pt>
                <c:pt idx="550">
                  <c:v>-341.3265306122446</c:v>
                </c:pt>
                <c:pt idx="551">
                  <c:v>-341.3265306122446</c:v>
                </c:pt>
                <c:pt idx="552">
                  <c:v>-371.45738635153276</c:v>
                </c:pt>
                <c:pt idx="553">
                  <c:v>-395.03891982935966</c:v>
                </c:pt>
                <c:pt idx="554">
                  <c:v>-394.32309269829665</c:v>
                </c:pt>
                <c:pt idx="555">
                  <c:v>-380.7353578269985</c:v>
                </c:pt>
                <c:pt idx="556">
                  <c:v>-363.12184714838725</c:v>
                </c:pt>
                <c:pt idx="557">
                  <c:v>-345.43495208353141</c:v>
                </c:pt>
                <c:pt idx="558">
                  <c:v>-341.3265306122446</c:v>
                </c:pt>
                <c:pt idx="559">
                  <c:v>-341.3265306122446</c:v>
                </c:pt>
                <c:pt idx="560">
                  <c:v>-341.3265306122446</c:v>
                </c:pt>
                <c:pt idx="561">
                  <c:v>-341.3265306122446</c:v>
                </c:pt>
                <c:pt idx="562">
                  <c:v>-341.3265306122446</c:v>
                </c:pt>
                <c:pt idx="563">
                  <c:v>-341.3265306122446</c:v>
                </c:pt>
                <c:pt idx="564">
                  <c:v>-341.3265306122446</c:v>
                </c:pt>
                <c:pt idx="565">
                  <c:v>-341.3265306122446</c:v>
                </c:pt>
                <c:pt idx="566">
                  <c:v>-338.6902108095976</c:v>
                </c:pt>
                <c:pt idx="567">
                  <c:v>-332.31922541957061</c:v>
                </c:pt>
                <c:pt idx="568">
                  <c:v>-340.7670023205809</c:v>
                </c:pt>
                <c:pt idx="569">
                  <c:v>-333.92806983041231</c:v>
                </c:pt>
                <c:pt idx="685">
                  <c:v>-22.596753915547598</c:v>
                </c:pt>
                <c:pt idx="686">
                  <c:v>-73.541327782219099</c:v>
                </c:pt>
                <c:pt idx="687">
                  <c:v>-73.541327782219099</c:v>
                </c:pt>
                <c:pt idx="688">
                  <c:v>-73.541327782219099</c:v>
                </c:pt>
                <c:pt idx="689">
                  <c:v>-73.541327782219099</c:v>
                </c:pt>
                <c:pt idx="690">
                  <c:v>-73.541327782219099</c:v>
                </c:pt>
                <c:pt idx="691">
                  <c:v>-47.064103903316997</c:v>
                </c:pt>
                <c:pt idx="692">
                  <c:v>-28.930181945545701</c:v>
                </c:pt>
                <c:pt idx="693">
                  <c:v>-16.0673886363032</c:v>
                </c:pt>
                <c:pt idx="1191">
                  <c:v>41.870898129975004</c:v>
                </c:pt>
                <c:pt idx="1192">
                  <c:v>42.119235744697498</c:v>
                </c:pt>
                <c:pt idx="1193">
                  <c:v>42.248407226526602</c:v>
                </c:pt>
                <c:pt idx="1194">
                  <c:v>42.519413333333205</c:v>
                </c:pt>
                <c:pt idx="1195">
                  <c:v>42.519413333333205</c:v>
                </c:pt>
                <c:pt idx="1196">
                  <c:v>42.519413333333205</c:v>
                </c:pt>
                <c:pt idx="1197">
                  <c:v>42.519413333333205</c:v>
                </c:pt>
                <c:pt idx="1198">
                  <c:v>53.612746666666403</c:v>
                </c:pt>
                <c:pt idx="1199">
                  <c:v>53.612746666666403</c:v>
                </c:pt>
                <c:pt idx="1200">
                  <c:v>46.892497861978207</c:v>
                </c:pt>
                <c:pt idx="1201">
                  <c:v>42.519413333333205</c:v>
                </c:pt>
                <c:pt idx="1202">
                  <c:v>42.519413333333205</c:v>
                </c:pt>
                <c:pt idx="1203">
                  <c:v>42.519413333333205</c:v>
                </c:pt>
                <c:pt idx="1204">
                  <c:v>42.519413333333205</c:v>
                </c:pt>
                <c:pt idx="1205">
                  <c:v>42.519413333333205</c:v>
                </c:pt>
                <c:pt idx="1206">
                  <c:v>42.519413333333205</c:v>
                </c:pt>
                <c:pt idx="1207">
                  <c:v>42.519413333333205</c:v>
                </c:pt>
                <c:pt idx="1208">
                  <c:v>42.519413333333205</c:v>
                </c:pt>
                <c:pt idx="1209">
                  <c:v>42.519413333333205</c:v>
                </c:pt>
                <c:pt idx="1210">
                  <c:v>42.519413333333205</c:v>
                </c:pt>
                <c:pt idx="1211">
                  <c:v>42.519413333333205</c:v>
                </c:pt>
                <c:pt idx="1212">
                  <c:v>42.519413333333205</c:v>
                </c:pt>
                <c:pt idx="1213">
                  <c:v>42.519413333333205</c:v>
                </c:pt>
                <c:pt idx="1214">
                  <c:v>42.469688618002202</c:v>
                </c:pt>
                <c:pt idx="1641">
                  <c:v>11636.590997453543</c:v>
                </c:pt>
                <c:pt idx="1642">
                  <c:v>10854.282070946407</c:v>
                </c:pt>
                <c:pt idx="1643">
                  <c:v>10729.295879463745</c:v>
                </c:pt>
                <c:pt idx="1644">
                  <c:v>10759.052441204782</c:v>
                </c:pt>
                <c:pt idx="1645">
                  <c:v>11387.808386908071</c:v>
                </c:pt>
                <c:pt idx="1646">
                  <c:v>11948.802417583391</c:v>
                </c:pt>
                <c:pt idx="1647">
                  <c:v>13737.310100762941</c:v>
                </c:pt>
                <c:pt idx="1648">
                  <c:v>15378.472767151179</c:v>
                </c:pt>
                <c:pt idx="1649">
                  <c:v>15717.44796006298</c:v>
                </c:pt>
                <c:pt idx="1650">
                  <c:v>15790.41495766548</c:v>
                </c:pt>
                <c:pt idx="1651">
                  <c:v>15655.879184423091</c:v>
                </c:pt>
                <c:pt idx="1652">
                  <c:v>15220.456197322341</c:v>
                </c:pt>
                <c:pt idx="1653">
                  <c:v>14598.553111313342</c:v>
                </c:pt>
                <c:pt idx="1654">
                  <c:v>14154.650106579829</c:v>
                </c:pt>
                <c:pt idx="1655">
                  <c:v>13732.55850820542</c:v>
                </c:pt>
                <c:pt idx="1656">
                  <c:v>13579.5889220791</c:v>
                </c:pt>
                <c:pt idx="1657">
                  <c:v>13401.344946292553</c:v>
                </c:pt>
                <c:pt idx="1658">
                  <c:v>13330.31477382909</c:v>
                </c:pt>
                <c:pt idx="1659">
                  <c:v>13775.848513718369</c:v>
                </c:pt>
                <c:pt idx="1660">
                  <c:v>14564.983583674841</c:v>
                </c:pt>
                <c:pt idx="1661">
                  <c:v>14502.717385272728</c:v>
                </c:pt>
                <c:pt idx="1662">
                  <c:v>14150.048305643089</c:v>
                </c:pt>
                <c:pt idx="1663">
                  <c:v>13585.570444595858</c:v>
                </c:pt>
                <c:pt idx="1664">
                  <c:v>12675.899564821348</c:v>
                </c:pt>
                <c:pt idx="1665">
                  <c:v>1616.4767635900157</c:v>
                </c:pt>
                <c:pt idx="1666">
                  <c:v>1532.4663397528877</c:v>
                </c:pt>
                <c:pt idx="1667">
                  <c:v>1670.8063806418063</c:v>
                </c:pt>
                <c:pt idx="1668">
                  <c:v>1543.4263482607282</c:v>
                </c:pt>
                <c:pt idx="1669">
                  <c:v>1584.7216687675052</c:v>
                </c:pt>
                <c:pt idx="1670">
                  <c:v>1617.8244620456605</c:v>
                </c:pt>
                <c:pt idx="1671">
                  <c:v>1320.0336454668636</c:v>
                </c:pt>
                <c:pt idx="1672">
                  <c:v>1244.2049124035459</c:v>
                </c:pt>
                <c:pt idx="1673">
                  <c:v>1168.938859050696</c:v>
                </c:pt>
                <c:pt idx="1674">
                  <c:v>586.76267423118611</c:v>
                </c:pt>
                <c:pt idx="1675">
                  <c:v>457.43558365597346</c:v>
                </c:pt>
                <c:pt idx="1676">
                  <c:v>485.89809830978959</c:v>
                </c:pt>
                <c:pt idx="1677">
                  <c:v>568.22115010615948</c:v>
                </c:pt>
                <c:pt idx="1678">
                  <c:v>887.95687925593791</c:v>
                </c:pt>
                <c:pt idx="1679">
                  <c:v>1309.934027154316</c:v>
                </c:pt>
                <c:pt idx="1680">
                  <c:v>1475.9916655215127</c:v>
                </c:pt>
                <c:pt idx="1681">
                  <c:v>1593.8834830897913</c:v>
                </c:pt>
                <c:pt idx="1682">
                  <c:v>1791.5052837127369</c:v>
                </c:pt>
                <c:pt idx="1683">
                  <c:v>1840.0759028434559</c:v>
                </c:pt>
                <c:pt idx="1684">
                  <c:v>1693.6844274528239</c:v>
                </c:pt>
                <c:pt idx="1685">
                  <c:v>1544.2375687458311</c:v>
                </c:pt>
                <c:pt idx="1686">
                  <c:v>1352.3317090469934</c:v>
                </c:pt>
                <c:pt idx="1687">
                  <c:v>1195.1214358966765</c:v>
                </c:pt>
                <c:pt idx="1688">
                  <c:v>1108.1018268875157</c:v>
                </c:pt>
              </c:numCache>
            </c:numRef>
          </c:val>
          <c:extLst>
            <c:ext xmlns:c16="http://schemas.microsoft.com/office/drawing/2014/chart" uri="{C3380CC4-5D6E-409C-BE32-E72D297353CC}">
              <c16:uniqueId val="{00000001-EB26-47B6-B1D5-B237ADD7038C}"/>
            </c:ext>
          </c:extLst>
        </c:ser>
        <c:ser>
          <c:idx val="3"/>
          <c:order val="3"/>
          <c:tx>
            <c:strRef>
              <c:f>'EL GEN - Time'!$I$4:$I$5</c:f>
              <c:strCache>
                <c:ptCount val="1"/>
                <c:pt idx="0">
                  <c:v>SWEDEN</c:v>
                </c:pt>
              </c:strCache>
            </c:strRef>
          </c:tx>
          <c:spPr>
            <a:solidFill>
              <a:schemeClr val="accent4"/>
            </a:solidFill>
            <a:ln w="25400">
              <a:noFill/>
            </a:ln>
            <a:effectLst/>
          </c:spPr>
          <c:cat>
            <c:multiLvlStrRef>
              <c:f>'EL GEN - Time'!$B$6:$E$2036</c:f>
              <c:multiLvlStrCache>
                <c:ptCount val="2030"/>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T013</c:v>
                  </c:pt>
                  <c:pt idx="37">
                    <c:v>T014</c:v>
                  </c:pt>
                  <c:pt idx="38">
                    <c:v>T015</c:v>
                  </c:pt>
                  <c:pt idx="39">
                    <c:v>T016</c:v>
                  </c:pt>
                  <c:pt idx="40">
                    <c:v>T017</c:v>
                  </c:pt>
                  <c:pt idx="41">
                    <c:v>T018</c:v>
                  </c:pt>
                  <c:pt idx="42">
                    <c:v>T019</c:v>
                  </c:pt>
                  <c:pt idx="43">
                    <c:v>T020</c:v>
                  </c:pt>
                  <c:pt idx="44">
                    <c:v>T021</c:v>
                  </c:pt>
                  <c:pt idx="45">
                    <c:v>T022</c:v>
                  </c:pt>
                  <c:pt idx="46">
                    <c:v>T023</c:v>
                  </c:pt>
                  <c:pt idx="47">
                    <c:v>T024</c:v>
                  </c:pt>
                  <c:pt idx="48">
                    <c:v>T001</c:v>
                  </c:pt>
                  <c:pt idx="49">
                    <c:v>T002</c:v>
                  </c:pt>
                  <c:pt idx="50">
                    <c:v>T003</c:v>
                  </c:pt>
                  <c:pt idx="51">
                    <c:v>T005</c:v>
                  </c:pt>
                  <c:pt idx="52">
                    <c:v>T007</c:v>
                  </c:pt>
                  <c:pt idx="53">
                    <c:v>T010</c:v>
                  </c:pt>
                  <c:pt idx="54">
                    <c:v>T012</c:v>
                  </c:pt>
                  <c:pt idx="55">
                    <c:v>T013</c:v>
                  </c:pt>
                  <c:pt idx="56">
                    <c:v>T014</c:v>
                  </c:pt>
                  <c:pt idx="57">
                    <c:v>T015</c:v>
                  </c:pt>
                  <c:pt idx="58">
                    <c:v>T016</c:v>
                  </c:pt>
                  <c:pt idx="59">
                    <c:v>T017</c:v>
                  </c:pt>
                  <c:pt idx="60">
                    <c:v>T018</c:v>
                  </c:pt>
                  <c:pt idx="61">
                    <c:v>T019</c:v>
                  </c:pt>
                  <c:pt idx="62">
                    <c:v>T020</c:v>
                  </c:pt>
                  <c:pt idx="63">
                    <c:v>T021</c:v>
                  </c:pt>
                  <c:pt idx="64">
                    <c:v>T022</c:v>
                  </c:pt>
                  <c:pt idx="65">
                    <c:v>T023</c:v>
                  </c:pt>
                  <c:pt idx="66">
                    <c:v>T024</c:v>
                  </c:pt>
                  <c:pt idx="67">
                    <c:v>T001</c:v>
                  </c:pt>
                  <c:pt idx="68">
                    <c:v>T002</c:v>
                  </c:pt>
                  <c:pt idx="69">
                    <c:v>T003</c:v>
                  </c:pt>
                  <c:pt idx="70">
                    <c:v>T004</c:v>
                  </c:pt>
                  <c:pt idx="71">
                    <c:v>T005</c:v>
                  </c:pt>
                  <c:pt idx="72">
                    <c:v>T006</c:v>
                  </c:pt>
                  <c:pt idx="73">
                    <c:v>T007</c:v>
                  </c:pt>
                  <c:pt idx="74">
                    <c:v>T008</c:v>
                  </c:pt>
                  <c:pt idx="75">
                    <c:v>T009</c:v>
                  </c:pt>
                  <c:pt idx="76">
                    <c:v>T010</c:v>
                  </c:pt>
                  <c:pt idx="77">
                    <c:v>T011</c:v>
                  </c:pt>
                  <c:pt idx="78">
                    <c:v>T012</c:v>
                  </c:pt>
                  <c:pt idx="79">
                    <c:v>T013</c:v>
                  </c:pt>
                  <c:pt idx="80">
                    <c:v>T014</c:v>
                  </c:pt>
                  <c:pt idx="81">
                    <c:v>T015</c:v>
                  </c:pt>
                  <c:pt idx="82">
                    <c:v>T016</c:v>
                  </c:pt>
                  <c:pt idx="83">
                    <c:v>T017</c:v>
                  </c:pt>
                  <c:pt idx="84">
                    <c:v>T018</c:v>
                  </c:pt>
                  <c:pt idx="85">
                    <c:v>T019</c:v>
                  </c:pt>
                  <c:pt idx="86">
                    <c:v>T020</c:v>
                  </c:pt>
                  <c:pt idx="87">
                    <c:v>T021</c:v>
                  </c:pt>
                  <c:pt idx="88">
                    <c:v>T022</c:v>
                  </c:pt>
                  <c:pt idx="89">
                    <c:v>T023</c:v>
                  </c:pt>
                  <c:pt idx="90">
                    <c:v>T024</c:v>
                  </c:pt>
                  <c:pt idx="91">
                    <c:v>T001</c:v>
                  </c:pt>
                  <c:pt idx="92">
                    <c:v>T002</c:v>
                  </c:pt>
                  <c:pt idx="93">
                    <c:v>T003</c:v>
                  </c:pt>
                  <c:pt idx="94">
                    <c:v>T004</c:v>
                  </c:pt>
                  <c:pt idx="95">
                    <c:v>T005</c:v>
                  </c:pt>
                  <c:pt idx="96">
                    <c:v>T006</c:v>
                  </c:pt>
                  <c:pt idx="97">
                    <c:v>T007</c:v>
                  </c:pt>
                  <c:pt idx="98">
                    <c:v>T008</c:v>
                  </c:pt>
                  <c:pt idx="99">
                    <c:v>T009</c:v>
                  </c:pt>
                  <c:pt idx="100">
                    <c:v>T010</c:v>
                  </c:pt>
                  <c:pt idx="101">
                    <c:v>T011</c:v>
                  </c:pt>
                  <c:pt idx="102">
                    <c:v>T012</c:v>
                  </c:pt>
                  <c:pt idx="103">
                    <c:v>T013</c:v>
                  </c:pt>
                  <c:pt idx="104">
                    <c:v>T014</c:v>
                  </c:pt>
                  <c:pt idx="105">
                    <c:v>T015</c:v>
                  </c:pt>
                  <c:pt idx="106">
                    <c:v>T016</c:v>
                  </c:pt>
                  <c:pt idx="107">
                    <c:v>T017</c:v>
                  </c:pt>
                  <c:pt idx="108">
                    <c:v>T018</c:v>
                  </c:pt>
                  <c:pt idx="109">
                    <c:v>T019</c:v>
                  </c:pt>
                  <c:pt idx="110">
                    <c:v>T020</c:v>
                  </c:pt>
                  <c:pt idx="111">
                    <c:v>T021</c:v>
                  </c:pt>
                  <c:pt idx="112">
                    <c:v>T022</c:v>
                  </c:pt>
                  <c:pt idx="113">
                    <c:v>T023</c:v>
                  </c:pt>
                  <c:pt idx="114">
                    <c:v>T024</c:v>
                  </c:pt>
                  <c:pt idx="115">
                    <c:v>T001</c:v>
                  </c:pt>
                  <c:pt idx="116">
                    <c:v>T002</c:v>
                  </c:pt>
                  <c:pt idx="117">
                    <c:v>T003</c:v>
                  </c:pt>
                  <c:pt idx="118">
                    <c:v>T004</c:v>
                  </c:pt>
                  <c:pt idx="119">
                    <c:v>T005</c:v>
                  </c:pt>
                  <c:pt idx="120">
                    <c:v>T006</c:v>
                  </c:pt>
                  <c:pt idx="121">
                    <c:v>T007</c:v>
                  </c:pt>
                  <c:pt idx="122">
                    <c:v>T008</c:v>
                  </c:pt>
                  <c:pt idx="123">
                    <c:v>T009</c:v>
                  </c:pt>
                  <c:pt idx="124">
                    <c:v>T010</c:v>
                  </c:pt>
                  <c:pt idx="125">
                    <c:v>T011</c:v>
                  </c:pt>
                  <c:pt idx="126">
                    <c:v>T012</c:v>
                  </c:pt>
                  <c:pt idx="127">
                    <c:v>T013</c:v>
                  </c:pt>
                  <c:pt idx="128">
                    <c:v>T014</c:v>
                  </c:pt>
                  <c:pt idx="129">
                    <c:v>T015</c:v>
                  </c:pt>
                  <c:pt idx="130">
                    <c:v>T016</c:v>
                  </c:pt>
                  <c:pt idx="131">
                    <c:v>T017</c:v>
                  </c:pt>
                  <c:pt idx="132">
                    <c:v>T018</c:v>
                  </c:pt>
                  <c:pt idx="133">
                    <c:v>T019</c:v>
                  </c:pt>
                  <c:pt idx="134">
                    <c:v>T020</c:v>
                  </c:pt>
                  <c:pt idx="135">
                    <c:v>T021</c:v>
                  </c:pt>
                  <c:pt idx="136">
                    <c:v>T022</c:v>
                  </c:pt>
                  <c:pt idx="137">
                    <c:v>T023</c:v>
                  </c:pt>
                  <c:pt idx="138">
                    <c:v>T024</c:v>
                  </c:pt>
                  <c:pt idx="139">
                    <c:v>T001</c:v>
                  </c:pt>
                  <c:pt idx="140">
                    <c:v>T002</c:v>
                  </c:pt>
                  <c:pt idx="141">
                    <c:v>T003</c:v>
                  </c:pt>
                  <c:pt idx="142">
                    <c:v>T004</c:v>
                  </c:pt>
                  <c:pt idx="143">
                    <c:v>T005</c:v>
                  </c:pt>
                  <c:pt idx="144">
                    <c:v>T006</c:v>
                  </c:pt>
                  <c:pt idx="145">
                    <c:v>T007</c:v>
                  </c:pt>
                  <c:pt idx="146">
                    <c:v>T008</c:v>
                  </c:pt>
                  <c:pt idx="147">
                    <c:v>T009</c:v>
                  </c:pt>
                  <c:pt idx="148">
                    <c:v>T010</c:v>
                  </c:pt>
                  <c:pt idx="149">
                    <c:v>T011</c:v>
                  </c:pt>
                  <c:pt idx="150">
                    <c:v>T012</c:v>
                  </c:pt>
                  <c:pt idx="151">
                    <c:v>T013</c:v>
                  </c:pt>
                  <c:pt idx="152">
                    <c:v>T014</c:v>
                  </c:pt>
                  <c:pt idx="153">
                    <c:v>T015</c:v>
                  </c:pt>
                  <c:pt idx="154">
                    <c:v>T016</c:v>
                  </c:pt>
                  <c:pt idx="155">
                    <c:v>T017</c:v>
                  </c:pt>
                  <c:pt idx="156">
                    <c:v>T018</c:v>
                  </c:pt>
                  <c:pt idx="157">
                    <c:v>T019</c:v>
                  </c:pt>
                  <c:pt idx="158">
                    <c:v>T020</c:v>
                  </c:pt>
                  <c:pt idx="159">
                    <c:v>T021</c:v>
                  </c:pt>
                  <c:pt idx="160">
                    <c:v>T022</c:v>
                  </c:pt>
                  <c:pt idx="161">
                    <c:v>T023</c:v>
                  </c:pt>
                  <c:pt idx="162">
                    <c:v>T024</c:v>
                  </c:pt>
                  <c:pt idx="163">
                    <c:v>T001</c:v>
                  </c:pt>
                  <c:pt idx="164">
                    <c:v>T002</c:v>
                  </c:pt>
                  <c:pt idx="165">
                    <c:v>T003</c:v>
                  </c:pt>
                  <c:pt idx="166">
                    <c:v>T004</c:v>
                  </c:pt>
                  <c:pt idx="167">
                    <c:v>T005</c:v>
                  </c:pt>
                  <c:pt idx="168">
                    <c:v>T006</c:v>
                  </c:pt>
                  <c:pt idx="169">
                    <c:v>T007</c:v>
                  </c:pt>
                  <c:pt idx="170">
                    <c:v>T008</c:v>
                  </c:pt>
                  <c:pt idx="171">
                    <c:v>T009</c:v>
                  </c:pt>
                  <c:pt idx="172">
                    <c:v>T010</c:v>
                  </c:pt>
                  <c:pt idx="173">
                    <c:v>T011</c:v>
                  </c:pt>
                  <c:pt idx="174">
                    <c:v>T012</c:v>
                  </c:pt>
                  <c:pt idx="175">
                    <c:v>T013</c:v>
                  </c:pt>
                  <c:pt idx="176">
                    <c:v>T014</c:v>
                  </c:pt>
                  <c:pt idx="177">
                    <c:v>T015</c:v>
                  </c:pt>
                  <c:pt idx="178">
                    <c:v>T016</c:v>
                  </c:pt>
                  <c:pt idx="179">
                    <c:v>T017</c:v>
                  </c:pt>
                  <c:pt idx="180">
                    <c:v>T018</c:v>
                  </c:pt>
                  <c:pt idx="181">
                    <c:v>T019</c:v>
                  </c:pt>
                  <c:pt idx="182">
                    <c:v>T020</c:v>
                  </c:pt>
                  <c:pt idx="183">
                    <c:v>T021</c:v>
                  </c:pt>
                  <c:pt idx="184">
                    <c:v>T022</c:v>
                  </c:pt>
                  <c:pt idx="185">
                    <c:v>T023</c:v>
                  </c:pt>
                  <c:pt idx="186">
                    <c:v>T024</c:v>
                  </c:pt>
                  <c:pt idx="187">
                    <c:v>T001</c:v>
                  </c:pt>
                  <c:pt idx="188">
                    <c:v>T002</c:v>
                  </c:pt>
                  <c:pt idx="189">
                    <c:v>T003</c:v>
                  </c:pt>
                  <c:pt idx="190">
                    <c:v>T004</c:v>
                  </c:pt>
                  <c:pt idx="191">
                    <c:v>T005</c:v>
                  </c:pt>
                  <c:pt idx="192">
                    <c:v>T006</c:v>
                  </c:pt>
                  <c:pt idx="193">
                    <c:v>T007</c:v>
                  </c:pt>
                  <c:pt idx="194">
                    <c:v>T008</c:v>
                  </c:pt>
                  <c:pt idx="195">
                    <c:v>T009</c:v>
                  </c:pt>
                  <c:pt idx="196">
                    <c:v>T010</c:v>
                  </c:pt>
                  <c:pt idx="197">
                    <c:v>T011</c:v>
                  </c:pt>
                  <c:pt idx="198">
                    <c:v>T012</c:v>
                  </c:pt>
                  <c:pt idx="199">
                    <c:v>T013</c:v>
                  </c:pt>
                  <c:pt idx="200">
                    <c:v>T014</c:v>
                  </c:pt>
                  <c:pt idx="201">
                    <c:v>T015</c:v>
                  </c:pt>
                  <c:pt idx="202">
                    <c:v>T016</c:v>
                  </c:pt>
                  <c:pt idx="203">
                    <c:v>T017</c:v>
                  </c:pt>
                  <c:pt idx="204">
                    <c:v>T018</c:v>
                  </c:pt>
                  <c:pt idx="205">
                    <c:v>T019</c:v>
                  </c:pt>
                  <c:pt idx="206">
                    <c:v>T020</c:v>
                  </c:pt>
                  <c:pt idx="207">
                    <c:v>T021</c:v>
                  </c:pt>
                  <c:pt idx="208">
                    <c:v>T022</c:v>
                  </c:pt>
                  <c:pt idx="209">
                    <c:v>T023</c:v>
                  </c:pt>
                  <c:pt idx="210">
                    <c:v>T024</c:v>
                  </c:pt>
                  <c:pt idx="211">
                    <c:v>T002</c:v>
                  </c:pt>
                  <c:pt idx="212">
                    <c:v>T003</c:v>
                  </c:pt>
                  <c:pt idx="213">
                    <c:v>T004</c:v>
                  </c:pt>
                  <c:pt idx="214">
                    <c:v>T005</c:v>
                  </c:pt>
                  <c:pt idx="215">
                    <c:v>T006</c:v>
                  </c:pt>
                  <c:pt idx="216">
                    <c:v>T007</c:v>
                  </c:pt>
                  <c:pt idx="217">
                    <c:v>T008</c:v>
                  </c:pt>
                  <c:pt idx="218">
                    <c:v>T009</c:v>
                  </c:pt>
                  <c:pt idx="219">
                    <c:v>T010</c:v>
                  </c:pt>
                  <c:pt idx="220">
                    <c:v>T011</c:v>
                  </c:pt>
                  <c:pt idx="221">
                    <c:v>T012</c:v>
                  </c:pt>
                  <c:pt idx="222">
                    <c:v>T013</c:v>
                  </c:pt>
                  <c:pt idx="223">
                    <c:v>T014</c:v>
                  </c:pt>
                  <c:pt idx="224">
                    <c:v>T015</c:v>
                  </c:pt>
                  <c:pt idx="225">
                    <c:v>T016</c:v>
                  </c:pt>
                  <c:pt idx="226">
                    <c:v>T017</c:v>
                  </c:pt>
                  <c:pt idx="227">
                    <c:v>T018</c:v>
                  </c:pt>
                  <c:pt idx="228">
                    <c:v>T019</c:v>
                  </c:pt>
                  <c:pt idx="229">
                    <c:v>T020</c:v>
                  </c:pt>
                  <c:pt idx="230">
                    <c:v>T021</c:v>
                  </c:pt>
                  <c:pt idx="231">
                    <c:v>T022</c:v>
                  </c:pt>
                  <c:pt idx="232">
                    <c:v>T023</c:v>
                  </c:pt>
                  <c:pt idx="233">
                    <c:v>T024</c:v>
                  </c:pt>
                  <c:pt idx="234">
                    <c:v>T001</c:v>
                  </c:pt>
                  <c:pt idx="235">
                    <c:v>T002</c:v>
                  </c:pt>
                  <c:pt idx="236">
                    <c:v>T003</c:v>
                  </c:pt>
                  <c:pt idx="237">
                    <c:v>T004</c:v>
                  </c:pt>
                  <c:pt idx="238">
                    <c:v>T005</c:v>
                  </c:pt>
                  <c:pt idx="239">
                    <c:v>T006</c:v>
                  </c:pt>
                  <c:pt idx="240">
                    <c:v>T007</c:v>
                  </c:pt>
                  <c:pt idx="241">
                    <c:v>T008</c:v>
                  </c:pt>
                  <c:pt idx="242">
                    <c:v>T009</c:v>
                  </c:pt>
                  <c:pt idx="243">
                    <c:v>T010</c:v>
                  </c:pt>
                  <c:pt idx="244">
                    <c:v>T011</c:v>
                  </c:pt>
                  <c:pt idx="245">
                    <c:v>T012</c:v>
                  </c:pt>
                  <c:pt idx="246">
                    <c:v>T013</c:v>
                  </c:pt>
                  <c:pt idx="247">
                    <c:v>T014</c:v>
                  </c:pt>
                  <c:pt idx="248">
                    <c:v>T015</c:v>
                  </c:pt>
                  <c:pt idx="249">
                    <c:v>T016</c:v>
                  </c:pt>
                  <c:pt idx="250">
                    <c:v>T017</c:v>
                  </c:pt>
                  <c:pt idx="251">
                    <c:v>T018</c:v>
                  </c:pt>
                  <c:pt idx="252">
                    <c:v>T019</c:v>
                  </c:pt>
                  <c:pt idx="253">
                    <c:v>T020</c:v>
                  </c:pt>
                  <c:pt idx="254">
                    <c:v>T021</c:v>
                  </c:pt>
                  <c:pt idx="255">
                    <c:v>T022</c:v>
                  </c:pt>
                  <c:pt idx="256">
                    <c:v>T023</c:v>
                  </c:pt>
                  <c:pt idx="257">
                    <c:v>T024</c:v>
                  </c:pt>
                  <c:pt idx="258">
                    <c:v>T001</c:v>
                  </c:pt>
                  <c:pt idx="259">
                    <c:v>T002</c:v>
                  </c:pt>
                  <c:pt idx="260">
                    <c:v>T003</c:v>
                  </c:pt>
                  <c:pt idx="261">
                    <c:v>T004</c:v>
                  </c:pt>
                  <c:pt idx="262">
                    <c:v>T005</c:v>
                  </c:pt>
                  <c:pt idx="263">
                    <c:v>T006</c:v>
                  </c:pt>
                  <c:pt idx="264">
                    <c:v>T007</c:v>
                  </c:pt>
                  <c:pt idx="265">
                    <c:v>T008</c:v>
                  </c:pt>
                  <c:pt idx="266">
                    <c:v>T009</c:v>
                  </c:pt>
                  <c:pt idx="267">
                    <c:v>T010</c:v>
                  </c:pt>
                  <c:pt idx="268">
                    <c:v>T011</c:v>
                  </c:pt>
                  <c:pt idx="269">
                    <c:v>T012</c:v>
                  </c:pt>
                  <c:pt idx="270">
                    <c:v>T013</c:v>
                  </c:pt>
                  <c:pt idx="271">
                    <c:v>T014</c:v>
                  </c:pt>
                  <c:pt idx="272">
                    <c:v>T015</c:v>
                  </c:pt>
                  <c:pt idx="273">
                    <c:v>T016</c:v>
                  </c:pt>
                  <c:pt idx="274">
                    <c:v>T017</c:v>
                  </c:pt>
                  <c:pt idx="275">
                    <c:v>T018</c:v>
                  </c:pt>
                  <c:pt idx="276">
                    <c:v>T019</c:v>
                  </c:pt>
                  <c:pt idx="277">
                    <c:v>T020</c:v>
                  </c:pt>
                  <c:pt idx="278">
                    <c:v>T021</c:v>
                  </c:pt>
                  <c:pt idx="279">
                    <c:v>T022</c:v>
                  </c:pt>
                  <c:pt idx="280">
                    <c:v>T023</c:v>
                  </c:pt>
                  <c:pt idx="281">
                    <c:v>T024</c:v>
                  </c:pt>
                  <c:pt idx="282">
                    <c:v>T001</c:v>
                  </c:pt>
                  <c:pt idx="283">
                    <c:v>T002</c:v>
                  </c:pt>
                  <c:pt idx="284">
                    <c:v>T003</c:v>
                  </c:pt>
                  <c:pt idx="285">
                    <c:v>T004</c:v>
                  </c:pt>
                  <c:pt idx="286">
                    <c:v>T005</c:v>
                  </c:pt>
                  <c:pt idx="287">
                    <c:v>T006</c:v>
                  </c:pt>
                  <c:pt idx="288">
                    <c:v>T007</c:v>
                  </c:pt>
                  <c:pt idx="289">
                    <c:v>T008</c:v>
                  </c:pt>
                  <c:pt idx="290">
                    <c:v>T009</c:v>
                  </c:pt>
                  <c:pt idx="291">
                    <c:v>T010</c:v>
                  </c:pt>
                  <c:pt idx="292">
                    <c:v>T011</c:v>
                  </c:pt>
                  <c:pt idx="293">
                    <c:v>T012</c:v>
                  </c:pt>
                  <c:pt idx="294">
                    <c:v>T013</c:v>
                  </c:pt>
                  <c:pt idx="295">
                    <c:v>T014</c:v>
                  </c:pt>
                  <c:pt idx="296">
                    <c:v>T015</c:v>
                  </c:pt>
                  <c:pt idx="297">
                    <c:v>T016</c:v>
                  </c:pt>
                  <c:pt idx="298">
                    <c:v>T017</c:v>
                  </c:pt>
                  <c:pt idx="299">
                    <c:v>T018</c:v>
                  </c:pt>
                  <c:pt idx="300">
                    <c:v>T019</c:v>
                  </c:pt>
                  <c:pt idx="301">
                    <c:v>T020</c:v>
                  </c:pt>
                  <c:pt idx="302">
                    <c:v>T021</c:v>
                  </c:pt>
                  <c:pt idx="303">
                    <c:v>T022</c:v>
                  </c:pt>
                  <c:pt idx="304">
                    <c:v>T023</c:v>
                  </c:pt>
                  <c:pt idx="305">
                    <c:v>T024</c:v>
                  </c:pt>
                  <c:pt idx="306">
                    <c:v>T001</c:v>
                  </c:pt>
                  <c:pt idx="307">
                    <c:v>T002</c:v>
                  </c:pt>
                  <c:pt idx="308">
                    <c:v>T003</c:v>
                  </c:pt>
                  <c:pt idx="309">
                    <c:v>T004</c:v>
                  </c:pt>
                  <c:pt idx="310">
                    <c:v>T005</c:v>
                  </c:pt>
                  <c:pt idx="311">
                    <c:v>T006</c:v>
                  </c:pt>
                  <c:pt idx="312">
                    <c:v>T007</c:v>
                  </c:pt>
                  <c:pt idx="313">
                    <c:v>T008</c:v>
                  </c:pt>
                  <c:pt idx="314">
                    <c:v>T009</c:v>
                  </c:pt>
                  <c:pt idx="315">
                    <c:v>T010</c:v>
                  </c:pt>
                  <c:pt idx="316">
                    <c:v>T011</c:v>
                  </c:pt>
                  <c:pt idx="317">
                    <c:v>T012</c:v>
                  </c:pt>
                  <c:pt idx="318">
                    <c:v>T013</c:v>
                  </c:pt>
                  <c:pt idx="319">
                    <c:v>T014</c:v>
                  </c:pt>
                  <c:pt idx="320">
                    <c:v>T015</c:v>
                  </c:pt>
                  <c:pt idx="321">
                    <c:v>T016</c:v>
                  </c:pt>
                  <c:pt idx="322">
                    <c:v>T017</c:v>
                  </c:pt>
                  <c:pt idx="323">
                    <c:v>T018</c:v>
                  </c:pt>
                  <c:pt idx="324">
                    <c:v>T019</c:v>
                  </c:pt>
                  <c:pt idx="325">
                    <c:v>T020</c:v>
                  </c:pt>
                  <c:pt idx="326">
                    <c:v>T021</c:v>
                  </c:pt>
                  <c:pt idx="327">
                    <c:v>T022</c:v>
                  </c:pt>
                  <c:pt idx="328">
                    <c:v>T023</c:v>
                  </c:pt>
                  <c:pt idx="329">
                    <c:v>T024</c:v>
                  </c:pt>
                  <c:pt idx="330">
                    <c:v>T001</c:v>
                  </c:pt>
                  <c:pt idx="331">
                    <c:v>T002</c:v>
                  </c:pt>
                  <c:pt idx="332">
                    <c:v>T003</c:v>
                  </c:pt>
                  <c:pt idx="333">
                    <c:v>T004</c:v>
                  </c:pt>
                  <c:pt idx="334">
                    <c:v>T005</c:v>
                  </c:pt>
                  <c:pt idx="335">
                    <c:v>T006</c:v>
                  </c:pt>
                  <c:pt idx="336">
                    <c:v>T007</c:v>
                  </c:pt>
                  <c:pt idx="337">
                    <c:v>T008</c:v>
                  </c:pt>
                  <c:pt idx="338">
                    <c:v>T009</c:v>
                  </c:pt>
                  <c:pt idx="339">
                    <c:v>T010</c:v>
                  </c:pt>
                  <c:pt idx="340">
                    <c:v>T011</c:v>
                  </c:pt>
                  <c:pt idx="341">
                    <c:v>T012</c:v>
                  </c:pt>
                  <c:pt idx="342">
                    <c:v>T013</c:v>
                  </c:pt>
                  <c:pt idx="343">
                    <c:v>T014</c:v>
                  </c:pt>
                  <c:pt idx="344">
                    <c:v>T015</c:v>
                  </c:pt>
                  <c:pt idx="345">
                    <c:v>T016</c:v>
                  </c:pt>
                  <c:pt idx="346">
                    <c:v>T017</c:v>
                  </c:pt>
                  <c:pt idx="347">
                    <c:v>T018</c:v>
                  </c:pt>
                  <c:pt idx="348">
                    <c:v>T019</c:v>
                  </c:pt>
                  <c:pt idx="349">
                    <c:v>T020</c:v>
                  </c:pt>
                  <c:pt idx="350">
                    <c:v>T021</c:v>
                  </c:pt>
                  <c:pt idx="351">
                    <c:v>T022</c:v>
                  </c:pt>
                  <c:pt idx="352">
                    <c:v>T023</c:v>
                  </c:pt>
                  <c:pt idx="353">
                    <c:v>T024</c:v>
                  </c:pt>
                  <c:pt idx="354">
                    <c:v>T001</c:v>
                  </c:pt>
                  <c:pt idx="355">
                    <c:v>T002</c:v>
                  </c:pt>
                  <c:pt idx="356">
                    <c:v>T003</c:v>
                  </c:pt>
                  <c:pt idx="357">
                    <c:v>T004</c:v>
                  </c:pt>
                  <c:pt idx="358">
                    <c:v>T005</c:v>
                  </c:pt>
                  <c:pt idx="359">
                    <c:v>T006</c:v>
                  </c:pt>
                  <c:pt idx="360">
                    <c:v>T007</c:v>
                  </c:pt>
                  <c:pt idx="361">
                    <c:v>T008</c:v>
                  </c:pt>
                  <c:pt idx="362">
                    <c:v>T009</c:v>
                  </c:pt>
                  <c:pt idx="363">
                    <c:v>T010</c:v>
                  </c:pt>
                  <c:pt idx="364">
                    <c:v>T011</c:v>
                  </c:pt>
                  <c:pt idx="365">
                    <c:v>T012</c:v>
                  </c:pt>
                  <c:pt idx="366">
                    <c:v>T013</c:v>
                  </c:pt>
                  <c:pt idx="367">
                    <c:v>T014</c:v>
                  </c:pt>
                  <c:pt idx="368">
                    <c:v>T015</c:v>
                  </c:pt>
                  <c:pt idx="369">
                    <c:v>T016</c:v>
                  </c:pt>
                  <c:pt idx="370">
                    <c:v>T017</c:v>
                  </c:pt>
                  <c:pt idx="371">
                    <c:v>T018</c:v>
                  </c:pt>
                  <c:pt idx="372">
                    <c:v>T019</c:v>
                  </c:pt>
                  <c:pt idx="373">
                    <c:v>T020</c:v>
                  </c:pt>
                  <c:pt idx="374">
                    <c:v>T021</c:v>
                  </c:pt>
                  <c:pt idx="375">
                    <c:v>T022</c:v>
                  </c:pt>
                  <c:pt idx="376">
                    <c:v>T023</c:v>
                  </c:pt>
                  <c:pt idx="377">
                    <c:v>T024</c:v>
                  </c:pt>
                  <c:pt idx="378">
                    <c:v>T001</c:v>
                  </c:pt>
                  <c:pt idx="379">
                    <c:v>T002</c:v>
                  </c:pt>
                  <c:pt idx="380">
                    <c:v>T003</c:v>
                  </c:pt>
                  <c:pt idx="381">
                    <c:v>T004</c:v>
                  </c:pt>
                  <c:pt idx="382">
                    <c:v>T005</c:v>
                  </c:pt>
                  <c:pt idx="383">
                    <c:v>T006</c:v>
                  </c:pt>
                  <c:pt idx="384">
                    <c:v>T007</c:v>
                  </c:pt>
                  <c:pt idx="385">
                    <c:v>T008</c:v>
                  </c:pt>
                  <c:pt idx="386">
                    <c:v>T009</c:v>
                  </c:pt>
                  <c:pt idx="387">
                    <c:v>T010</c:v>
                  </c:pt>
                  <c:pt idx="388">
                    <c:v>T011</c:v>
                  </c:pt>
                  <c:pt idx="389">
                    <c:v>T012</c:v>
                  </c:pt>
                  <c:pt idx="390">
                    <c:v>T013</c:v>
                  </c:pt>
                  <c:pt idx="391">
                    <c:v>T014</c:v>
                  </c:pt>
                  <c:pt idx="392">
                    <c:v>T015</c:v>
                  </c:pt>
                  <c:pt idx="393">
                    <c:v>T016</c:v>
                  </c:pt>
                  <c:pt idx="394">
                    <c:v>T017</c:v>
                  </c:pt>
                  <c:pt idx="395">
                    <c:v>T018</c:v>
                  </c:pt>
                  <c:pt idx="396">
                    <c:v>T019</c:v>
                  </c:pt>
                  <c:pt idx="397">
                    <c:v>T020</c:v>
                  </c:pt>
                  <c:pt idx="398">
                    <c:v>T021</c:v>
                  </c:pt>
                  <c:pt idx="399">
                    <c:v>T022</c:v>
                  </c:pt>
                  <c:pt idx="400">
                    <c:v>T023</c:v>
                  </c:pt>
                  <c:pt idx="401">
                    <c:v>T024</c:v>
                  </c:pt>
                  <c:pt idx="402">
                    <c:v>T001</c:v>
                  </c:pt>
                  <c:pt idx="403">
                    <c:v>T002</c:v>
                  </c:pt>
                  <c:pt idx="404">
                    <c:v>T003</c:v>
                  </c:pt>
                  <c:pt idx="405">
                    <c:v>T004</c:v>
                  </c:pt>
                  <c:pt idx="406">
                    <c:v>T005</c:v>
                  </c:pt>
                  <c:pt idx="407">
                    <c:v>T006</c:v>
                  </c:pt>
                  <c:pt idx="408">
                    <c:v>T007</c:v>
                  </c:pt>
                  <c:pt idx="409">
                    <c:v>T008</c:v>
                  </c:pt>
                  <c:pt idx="410">
                    <c:v>T009</c:v>
                  </c:pt>
                  <c:pt idx="411">
                    <c:v>T010</c:v>
                  </c:pt>
                  <c:pt idx="412">
                    <c:v>T011</c:v>
                  </c:pt>
                  <c:pt idx="413">
                    <c:v>T012</c:v>
                  </c:pt>
                  <c:pt idx="414">
                    <c:v>T013</c:v>
                  </c:pt>
                  <c:pt idx="415">
                    <c:v>T014</c:v>
                  </c:pt>
                  <c:pt idx="416">
                    <c:v>T015</c:v>
                  </c:pt>
                  <c:pt idx="417">
                    <c:v>T016</c:v>
                  </c:pt>
                  <c:pt idx="418">
                    <c:v>T017</c:v>
                  </c:pt>
                  <c:pt idx="419">
                    <c:v>T018</c:v>
                  </c:pt>
                  <c:pt idx="420">
                    <c:v>T019</c:v>
                  </c:pt>
                  <c:pt idx="421">
                    <c:v>T020</c:v>
                  </c:pt>
                  <c:pt idx="422">
                    <c:v>T021</c:v>
                  </c:pt>
                  <c:pt idx="423">
                    <c:v>T022</c:v>
                  </c:pt>
                  <c:pt idx="424">
                    <c:v>T023</c:v>
                  </c:pt>
                  <c:pt idx="425">
                    <c:v>T024</c:v>
                  </c:pt>
                  <c:pt idx="426">
                    <c:v>T001</c:v>
                  </c:pt>
                  <c:pt idx="427">
                    <c:v>T002</c:v>
                  </c:pt>
                  <c:pt idx="428">
                    <c:v>T003</c:v>
                  </c:pt>
                  <c:pt idx="429">
                    <c:v>T004</c:v>
                  </c:pt>
                  <c:pt idx="430">
                    <c:v>T005</c:v>
                  </c:pt>
                  <c:pt idx="431">
                    <c:v>T006</c:v>
                  </c:pt>
                  <c:pt idx="432">
                    <c:v>T007</c:v>
                  </c:pt>
                  <c:pt idx="433">
                    <c:v>T008</c:v>
                  </c:pt>
                  <c:pt idx="434">
                    <c:v>T009</c:v>
                  </c:pt>
                  <c:pt idx="435">
                    <c:v>T010</c:v>
                  </c:pt>
                  <c:pt idx="436">
                    <c:v>T011</c:v>
                  </c:pt>
                  <c:pt idx="437">
                    <c:v>T012</c:v>
                  </c:pt>
                  <c:pt idx="438">
                    <c:v>T013</c:v>
                  </c:pt>
                  <c:pt idx="439">
                    <c:v>T014</c:v>
                  </c:pt>
                  <c:pt idx="440">
                    <c:v>T015</c:v>
                  </c:pt>
                  <c:pt idx="441">
                    <c:v>T016</c:v>
                  </c:pt>
                  <c:pt idx="442">
                    <c:v>T017</c:v>
                  </c:pt>
                  <c:pt idx="443">
                    <c:v>T018</c:v>
                  </c:pt>
                  <c:pt idx="444">
                    <c:v>T019</c:v>
                  </c:pt>
                  <c:pt idx="445">
                    <c:v>T020</c:v>
                  </c:pt>
                  <c:pt idx="446">
                    <c:v>T021</c:v>
                  </c:pt>
                  <c:pt idx="447">
                    <c:v>T022</c:v>
                  </c:pt>
                  <c:pt idx="448">
                    <c:v>T023</c:v>
                  </c:pt>
                  <c:pt idx="449">
                    <c:v>T024</c:v>
                  </c:pt>
                  <c:pt idx="450">
                    <c:v>T001</c:v>
                  </c:pt>
                  <c:pt idx="451">
                    <c:v>T002</c:v>
                  </c:pt>
                  <c:pt idx="452">
                    <c:v>T003</c:v>
                  </c:pt>
                  <c:pt idx="453">
                    <c:v>T004</c:v>
                  </c:pt>
                  <c:pt idx="454">
                    <c:v>T005</c:v>
                  </c:pt>
                  <c:pt idx="455">
                    <c:v>T006</c:v>
                  </c:pt>
                  <c:pt idx="456">
                    <c:v>T007</c:v>
                  </c:pt>
                  <c:pt idx="457">
                    <c:v>T008</c:v>
                  </c:pt>
                  <c:pt idx="458">
                    <c:v>T009</c:v>
                  </c:pt>
                  <c:pt idx="459">
                    <c:v>T010</c:v>
                  </c:pt>
                  <c:pt idx="460">
                    <c:v>T011</c:v>
                  </c:pt>
                  <c:pt idx="461">
                    <c:v>T012</c:v>
                  </c:pt>
                  <c:pt idx="462">
                    <c:v>T013</c:v>
                  </c:pt>
                  <c:pt idx="463">
                    <c:v>T014</c:v>
                  </c:pt>
                  <c:pt idx="464">
                    <c:v>T015</c:v>
                  </c:pt>
                  <c:pt idx="465">
                    <c:v>T016</c:v>
                  </c:pt>
                  <c:pt idx="466">
                    <c:v>T017</c:v>
                  </c:pt>
                  <c:pt idx="467">
                    <c:v>T018</c:v>
                  </c:pt>
                  <c:pt idx="468">
                    <c:v>T019</c:v>
                  </c:pt>
                  <c:pt idx="469">
                    <c:v>T020</c:v>
                  </c:pt>
                  <c:pt idx="470">
                    <c:v>T021</c:v>
                  </c:pt>
                  <c:pt idx="471">
                    <c:v>T022</c:v>
                  </c:pt>
                  <c:pt idx="472">
                    <c:v>T023</c:v>
                  </c:pt>
                  <c:pt idx="473">
                    <c:v>T024</c:v>
                  </c:pt>
                  <c:pt idx="474">
                    <c:v>T001</c:v>
                  </c:pt>
                  <c:pt idx="475">
                    <c:v>T002</c:v>
                  </c:pt>
                  <c:pt idx="476">
                    <c:v>T003</c:v>
                  </c:pt>
                  <c:pt idx="477">
                    <c:v>T004</c:v>
                  </c:pt>
                  <c:pt idx="478">
                    <c:v>T005</c:v>
                  </c:pt>
                  <c:pt idx="479">
                    <c:v>T006</c:v>
                  </c:pt>
                  <c:pt idx="480">
                    <c:v>T007</c:v>
                  </c:pt>
                  <c:pt idx="481">
                    <c:v>T008</c:v>
                  </c:pt>
                  <c:pt idx="482">
                    <c:v>T009</c:v>
                  </c:pt>
                  <c:pt idx="483">
                    <c:v>T010</c:v>
                  </c:pt>
                  <c:pt idx="484">
                    <c:v>T011</c:v>
                  </c:pt>
                  <c:pt idx="485">
                    <c:v>T012</c:v>
                  </c:pt>
                  <c:pt idx="486">
                    <c:v>T013</c:v>
                  </c:pt>
                  <c:pt idx="487">
                    <c:v>T014</c:v>
                  </c:pt>
                  <c:pt idx="488">
                    <c:v>T015</c:v>
                  </c:pt>
                  <c:pt idx="489">
                    <c:v>T016</c:v>
                  </c:pt>
                  <c:pt idx="490">
                    <c:v>T017</c:v>
                  </c:pt>
                  <c:pt idx="491">
                    <c:v>T018</c:v>
                  </c:pt>
                  <c:pt idx="492">
                    <c:v>T019</c:v>
                  </c:pt>
                  <c:pt idx="493">
                    <c:v>T020</c:v>
                  </c:pt>
                  <c:pt idx="494">
                    <c:v>T021</c:v>
                  </c:pt>
                  <c:pt idx="495">
                    <c:v>T022</c:v>
                  </c:pt>
                  <c:pt idx="496">
                    <c:v>T023</c:v>
                  </c:pt>
                  <c:pt idx="497">
                    <c:v>T024</c:v>
                  </c:pt>
                  <c:pt idx="498">
                    <c:v>T001</c:v>
                  </c:pt>
                  <c:pt idx="499">
                    <c:v>T002</c:v>
                  </c:pt>
                  <c:pt idx="500">
                    <c:v>T003</c:v>
                  </c:pt>
                  <c:pt idx="501">
                    <c:v>T004</c:v>
                  </c:pt>
                  <c:pt idx="502">
                    <c:v>T005</c:v>
                  </c:pt>
                  <c:pt idx="503">
                    <c:v>T006</c:v>
                  </c:pt>
                  <c:pt idx="504">
                    <c:v>T007</c:v>
                  </c:pt>
                  <c:pt idx="505">
                    <c:v>T008</c:v>
                  </c:pt>
                  <c:pt idx="506">
                    <c:v>T009</c:v>
                  </c:pt>
                  <c:pt idx="507">
                    <c:v>T010</c:v>
                  </c:pt>
                  <c:pt idx="508">
                    <c:v>T011</c:v>
                  </c:pt>
                  <c:pt idx="509">
                    <c:v>T012</c:v>
                  </c:pt>
                  <c:pt idx="510">
                    <c:v>T013</c:v>
                  </c:pt>
                  <c:pt idx="511">
                    <c:v>T014</c:v>
                  </c:pt>
                  <c:pt idx="512">
                    <c:v>T015</c:v>
                  </c:pt>
                  <c:pt idx="513">
                    <c:v>T016</c:v>
                  </c:pt>
                  <c:pt idx="514">
                    <c:v>T017</c:v>
                  </c:pt>
                  <c:pt idx="515">
                    <c:v>T018</c:v>
                  </c:pt>
                  <c:pt idx="516">
                    <c:v>T019</c:v>
                  </c:pt>
                  <c:pt idx="517">
                    <c:v>T020</c:v>
                  </c:pt>
                  <c:pt idx="518">
                    <c:v>T021</c:v>
                  </c:pt>
                  <c:pt idx="519">
                    <c:v>T022</c:v>
                  </c:pt>
                  <c:pt idx="520">
                    <c:v>T023</c:v>
                  </c:pt>
                  <c:pt idx="521">
                    <c:v>T024</c:v>
                  </c:pt>
                  <c:pt idx="522">
                    <c:v>T001</c:v>
                  </c:pt>
                  <c:pt idx="523">
                    <c:v>T002</c:v>
                  </c:pt>
                  <c:pt idx="524">
                    <c:v>T003</c:v>
                  </c:pt>
                  <c:pt idx="525">
                    <c:v>T004</c:v>
                  </c:pt>
                  <c:pt idx="526">
                    <c:v>T005</c:v>
                  </c:pt>
                  <c:pt idx="527">
                    <c:v>T006</c:v>
                  </c:pt>
                  <c:pt idx="528">
                    <c:v>T007</c:v>
                  </c:pt>
                  <c:pt idx="529">
                    <c:v>T008</c:v>
                  </c:pt>
                  <c:pt idx="530">
                    <c:v>T009</c:v>
                  </c:pt>
                  <c:pt idx="531">
                    <c:v>T010</c:v>
                  </c:pt>
                  <c:pt idx="532">
                    <c:v>T011</c:v>
                  </c:pt>
                  <c:pt idx="533">
                    <c:v>T012</c:v>
                  </c:pt>
                  <c:pt idx="534">
                    <c:v>T013</c:v>
                  </c:pt>
                  <c:pt idx="535">
                    <c:v>T014</c:v>
                  </c:pt>
                  <c:pt idx="536">
                    <c:v>T015</c:v>
                  </c:pt>
                  <c:pt idx="537">
                    <c:v>T016</c:v>
                  </c:pt>
                  <c:pt idx="538">
                    <c:v>T017</c:v>
                  </c:pt>
                  <c:pt idx="539">
                    <c:v>T018</c:v>
                  </c:pt>
                  <c:pt idx="540">
                    <c:v>T019</c:v>
                  </c:pt>
                  <c:pt idx="541">
                    <c:v>T020</c:v>
                  </c:pt>
                  <c:pt idx="542">
                    <c:v>T021</c:v>
                  </c:pt>
                  <c:pt idx="543">
                    <c:v>T022</c:v>
                  </c:pt>
                  <c:pt idx="544">
                    <c:v>T023</c:v>
                  </c:pt>
                  <c:pt idx="545">
                    <c:v>T024</c:v>
                  </c:pt>
                  <c:pt idx="546">
                    <c:v>T001</c:v>
                  </c:pt>
                  <c:pt idx="547">
                    <c:v>T002</c:v>
                  </c:pt>
                  <c:pt idx="548">
                    <c:v>T003</c:v>
                  </c:pt>
                  <c:pt idx="549">
                    <c:v>T004</c:v>
                  </c:pt>
                  <c:pt idx="550">
                    <c:v>T005</c:v>
                  </c:pt>
                  <c:pt idx="551">
                    <c:v>T006</c:v>
                  </c:pt>
                  <c:pt idx="552">
                    <c:v>T007</c:v>
                  </c:pt>
                  <c:pt idx="553">
                    <c:v>T008</c:v>
                  </c:pt>
                  <c:pt idx="554">
                    <c:v>T009</c:v>
                  </c:pt>
                  <c:pt idx="555">
                    <c:v>T010</c:v>
                  </c:pt>
                  <c:pt idx="556">
                    <c:v>T011</c:v>
                  </c:pt>
                  <c:pt idx="557">
                    <c:v>T012</c:v>
                  </c:pt>
                  <c:pt idx="558">
                    <c:v>T013</c:v>
                  </c:pt>
                  <c:pt idx="559">
                    <c:v>T014</c:v>
                  </c:pt>
                  <c:pt idx="560">
                    <c:v>T015</c:v>
                  </c:pt>
                  <c:pt idx="561">
                    <c:v>T016</c:v>
                  </c:pt>
                  <c:pt idx="562">
                    <c:v>T017</c:v>
                  </c:pt>
                  <c:pt idx="563">
                    <c:v>T018</c:v>
                  </c:pt>
                  <c:pt idx="564">
                    <c:v>T019</c:v>
                  </c:pt>
                  <c:pt idx="565">
                    <c:v>T020</c:v>
                  </c:pt>
                  <c:pt idx="566">
                    <c:v>T021</c:v>
                  </c:pt>
                  <c:pt idx="567">
                    <c:v>T022</c:v>
                  </c:pt>
                  <c:pt idx="568">
                    <c:v>T023</c:v>
                  </c:pt>
                  <c:pt idx="569">
                    <c:v>T024</c:v>
                  </c:pt>
                  <c:pt idx="570">
                    <c:v>T001</c:v>
                  </c:pt>
                  <c:pt idx="571">
                    <c:v>T002</c:v>
                  </c:pt>
                  <c:pt idx="572">
                    <c:v>T003</c:v>
                  </c:pt>
                  <c:pt idx="573">
                    <c:v>T004</c:v>
                  </c:pt>
                  <c:pt idx="574">
                    <c:v>T005</c:v>
                  </c:pt>
                  <c:pt idx="575">
                    <c:v>T006</c:v>
                  </c:pt>
                  <c:pt idx="576">
                    <c:v>T007</c:v>
                  </c:pt>
                  <c:pt idx="577">
                    <c:v>T008</c:v>
                  </c:pt>
                  <c:pt idx="578">
                    <c:v>T009</c:v>
                  </c:pt>
                  <c:pt idx="579">
                    <c:v>T010</c:v>
                  </c:pt>
                  <c:pt idx="580">
                    <c:v>T011</c:v>
                  </c:pt>
                  <c:pt idx="581">
                    <c:v>T012</c:v>
                  </c:pt>
                  <c:pt idx="582">
                    <c:v>T013</c:v>
                  </c:pt>
                  <c:pt idx="583">
                    <c:v>T014</c:v>
                  </c:pt>
                  <c:pt idx="584">
                    <c:v>T015</c:v>
                  </c:pt>
                  <c:pt idx="585">
                    <c:v>T016</c:v>
                  </c:pt>
                  <c:pt idx="586">
                    <c:v>T017</c:v>
                  </c:pt>
                  <c:pt idx="587">
                    <c:v>T018</c:v>
                  </c:pt>
                  <c:pt idx="588">
                    <c:v>T019</c:v>
                  </c:pt>
                  <c:pt idx="589">
                    <c:v>T020</c:v>
                  </c:pt>
                  <c:pt idx="590">
                    <c:v>T021</c:v>
                  </c:pt>
                  <c:pt idx="591">
                    <c:v>T022</c:v>
                  </c:pt>
                  <c:pt idx="592">
                    <c:v>T023</c:v>
                  </c:pt>
                  <c:pt idx="593">
                    <c:v>T024</c:v>
                  </c:pt>
                  <c:pt idx="594">
                    <c:v>T001</c:v>
                  </c:pt>
                  <c:pt idx="595">
                    <c:v>T002</c:v>
                  </c:pt>
                  <c:pt idx="596">
                    <c:v>T003</c:v>
                  </c:pt>
                  <c:pt idx="597">
                    <c:v>T004</c:v>
                  </c:pt>
                  <c:pt idx="598">
                    <c:v>T005</c:v>
                  </c:pt>
                  <c:pt idx="599">
                    <c:v>T006</c:v>
                  </c:pt>
                  <c:pt idx="600">
                    <c:v>T007</c:v>
                  </c:pt>
                  <c:pt idx="601">
                    <c:v>T008</c:v>
                  </c:pt>
                  <c:pt idx="602">
                    <c:v>T009</c:v>
                  </c:pt>
                  <c:pt idx="603">
                    <c:v>T010</c:v>
                  </c:pt>
                  <c:pt idx="604">
                    <c:v>T011</c:v>
                  </c:pt>
                  <c:pt idx="605">
                    <c:v>T012</c:v>
                  </c:pt>
                  <c:pt idx="606">
                    <c:v>T013</c:v>
                  </c:pt>
                  <c:pt idx="607">
                    <c:v>T014</c:v>
                  </c:pt>
                  <c:pt idx="608">
                    <c:v>T015</c:v>
                  </c:pt>
                  <c:pt idx="609">
                    <c:v>T016</c:v>
                  </c:pt>
                  <c:pt idx="610">
                    <c:v>T017</c:v>
                  </c:pt>
                  <c:pt idx="611">
                    <c:v>T018</c:v>
                  </c:pt>
                  <c:pt idx="612">
                    <c:v>T019</c:v>
                  </c:pt>
                  <c:pt idx="613">
                    <c:v>T020</c:v>
                  </c:pt>
                  <c:pt idx="614">
                    <c:v>T021</c:v>
                  </c:pt>
                  <c:pt idx="615">
                    <c:v>T022</c:v>
                  </c:pt>
                  <c:pt idx="616">
                    <c:v>T023</c:v>
                  </c:pt>
                  <c:pt idx="617">
                    <c:v>T024</c:v>
                  </c:pt>
                  <c:pt idx="618">
                    <c:v>T001</c:v>
                  </c:pt>
                  <c:pt idx="619">
                    <c:v>T002</c:v>
                  </c:pt>
                  <c:pt idx="620">
                    <c:v>T003</c:v>
                  </c:pt>
                  <c:pt idx="621">
                    <c:v>T004</c:v>
                  </c:pt>
                  <c:pt idx="622">
                    <c:v>T005</c:v>
                  </c:pt>
                  <c:pt idx="623">
                    <c:v>T006</c:v>
                  </c:pt>
                  <c:pt idx="624">
                    <c:v>T007</c:v>
                  </c:pt>
                  <c:pt idx="625">
                    <c:v>T008</c:v>
                  </c:pt>
                  <c:pt idx="626">
                    <c:v>T009</c:v>
                  </c:pt>
                  <c:pt idx="627">
                    <c:v>T010</c:v>
                  </c:pt>
                  <c:pt idx="628">
                    <c:v>T011</c:v>
                  </c:pt>
                  <c:pt idx="629">
                    <c:v>T012</c:v>
                  </c:pt>
                  <c:pt idx="630">
                    <c:v>T013</c:v>
                  </c:pt>
                  <c:pt idx="631">
                    <c:v>T014</c:v>
                  </c:pt>
                  <c:pt idx="632">
                    <c:v>T015</c:v>
                  </c:pt>
                  <c:pt idx="633">
                    <c:v>T016</c:v>
                  </c:pt>
                  <c:pt idx="634">
                    <c:v>T017</c:v>
                  </c:pt>
                  <c:pt idx="635">
                    <c:v>T018</c:v>
                  </c:pt>
                  <c:pt idx="636">
                    <c:v>T019</c:v>
                  </c:pt>
                  <c:pt idx="637">
                    <c:v>T020</c:v>
                  </c:pt>
                  <c:pt idx="638">
                    <c:v>T021</c:v>
                  </c:pt>
                  <c:pt idx="639">
                    <c:v>T022</c:v>
                  </c:pt>
                  <c:pt idx="640">
                    <c:v>T023</c:v>
                  </c:pt>
                  <c:pt idx="641">
                    <c:v>T024</c:v>
                  </c:pt>
                  <c:pt idx="642">
                    <c:v>T005</c:v>
                  </c:pt>
                  <c:pt idx="643">
                    <c:v>T006</c:v>
                  </c:pt>
                  <c:pt idx="644">
                    <c:v>T007</c:v>
                  </c:pt>
                  <c:pt idx="645">
                    <c:v>T008</c:v>
                  </c:pt>
                  <c:pt idx="646">
                    <c:v>T009</c:v>
                  </c:pt>
                  <c:pt idx="647">
                    <c:v>T010</c:v>
                  </c:pt>
                  <c:pt idx="648">
                    <c:v>T011</c:v>
                  </c:pt>
                  <c:pt idx="649">
                    <c:v>T013</c:v>
                  </c:pt>
                  <c:pt idx="650">
                    <c:v>T014</c:v>
                  </c:pt>
                  <c:pt idx="651">
                    <c:v>T015</c:v>
                  </c:pt>
                  <c:pt idx="652">
                    <c:v>T016</c:v>
                  </c:pt>
                  <c:pt idx="653">
                    <c:v>T017</c:v>
                  </c:pt>
                  <c:pt idx="654">
                    <c:v>T019</c:v>
                  </c:pt>
                  <c:pt idx="655">
                    <c:v>T020</c:v>
                  </c:pt>
                  <c:pt idx="656">
                    <c:v>T001</c:v>
                  </c:pt>
                  <c:pt idx="657">
                    <c:v>T002</c:v>
                  </c:pt>
                  <c:pt idx="658">
                    <c:v>T003</c:v>
                  </c:pt>
                  <c:pt idx="659">
                    <c:v>T004</c:v>
                  </c:pt>
                  <c:pt idx="660">
                    <c:v>T005</c:v>
                  </c:pt>
                  <c:pt idx="661">
                    <c:v>T006</c:v>
                  </c:pt>
                  <c:pt idx="662">
                    <c:v>T007</c:v>
                  </c:pt>
                  <c:pt idx="663">
                    <c:v>T008</c:v>
                  </c:pt>
                  <c:pt idx="664">
                    <c:v>T009</c:v>
                  </c:pt>
                  <c:pt idx="665">
                    <c:v>T010</c:v>
                  </c:pt>
                  <c:pt idx="666">
                    <c:v>T011</c:v>
                  </c:pt>
                  <c:pt idx="667">
                    <c:v>T012</c:v>
                  </c:pt>
                  <c:pt idx="668">
                    <c:v>T013</c:v>
                  </c:pt>
                  <c:pt idx="669">
                    <c:v>T014</c:v>
                  </c:pt>
                  <c:pt idx="670">
                    <c:v>T015</c:v>
                  </c:pt>
                  <c:pt idx="671">
                    <c:v>T016</c:v>
                  </c:pt>
                  <c:pt idx="672">
                    <c:v>T017</c:v>
                  </c:pt>
                  <c:pt idx="673">
                    <c:v>T018</c:v>
                  </c:pt>
                  <c:pt idx="674">
                    <c:v>T019</c:v>
                  </c:pt>
                  <c:pt idx="675">
                    <c:v>T020</c:v>
                  </c:pt>
                  <c:pt idx="676">
                    <c:v>T021</c:v>
                  </c:pt>
                  <c:pt idx="677">
                    <c:v>T022</c:v>
                  </c:pt>
                  <c:pt idx="678">
                    <c:v>T023</c:v>
                  </c:pt>
                  <c:pt idx="679">
                    <c:v>T024</c:v>
                  </c:pt>
                  <c:pt idx="680">
                    <c:v>T001</c:v>
                  </c:pt>
                  <c:pt idx="681">
                    <c:v>T002</c:v>
                  </c:pt>
                  <c:pt idx="682">
                    <c:v>T003</c:v>
                  </c:pt>
                  <c:pt idx="683">
                    <c:v>T004</c:v>
                  </c:pt>
                  <c:pt idx="684">
                    <c:v>T005</c:v>
                  </c:pt>
                  <c:pt idx="685">
                    <c:v>T006</c:v>
                  </c:pt>
                  <c:pt idx="686">
                    <c:v>T007</c:v>
                  </c:pt>
                  <c:pt idx="687">
                    <c:v>T008</c:v>
                  </c:pt>
                  <c:pt idx="688">
                    <c:v>T009</c:v>
                  </c:pt>
                  <c:pt idx="689">
                    <c:v>T010</c:v>
                  </c:pt>
                  <c:pt idx="690">
                    <c:v>T011</c:v>
                  </c:pt>
                  <c:pt idx="691">
                    <c:v>T012</c:v>
                  </c:pt>
                  <c:pt idx="692">
                    <c:v>T013</c:v>
                  </c:pt>
                  <c:pt idx="693">
                    <c:v>T014</c:v>
                  </c:pt>
                  <c:pt idx="694">
                    <c:v>T015</c:v>
                  </c:pt>
                  <c:pt idx="695">
                    <c:v>T016</c:v>
                  </c:pt>
                  <c:pt idx="696">
                    <c:v>T017</c:v>
                  </c:pt>
                  <c:pt idx="697">
                    <c:v>T018</c:v>
                  </c:pt>
                  <c:pt idx="698">
                    <c:v>T019</c:v>
                  </c:pt>
                  <c:pt idx="699">
                    <c:v>T020</c:v>
                  </c:pt>
                  <c:pt idx="700">
                    <c:v>T021</c:v>
                  </c:pt>
                  <c:pt idx="701">
                    <c:v>T022</c:v>
                  </c:pt>
                  <c:pt idx="702">
                    <c:v>T023</c:v>
                  </c:pt>
                  <c:pt idx="703">
                    <c:v>T024</c:v>
                  </c:pt>
                  <c:pt idx="704">
                    <c:v>T001</c:v>
                  </c:pt>
                  <c:pt idx="705">
                    <c:v>T002</c:v>
                  </c:pt>
                  <c:pt idx="706">
                    <c:v>T003</c:v>
                  </c:pt>
                  <c:pt idx="707">
                    <c:v>T004</c:v>
                  </c:pt>
                  <c:pt idx="708">
                    <c:v>T005</c:v>
                  </c:pt>
                  <c:pt idx="709">
                    <c:v>T006</c:v>
                  </c:pt>
                  <c:pt idx="710">
                    <c:v>T007</c:v>
                  </c:pt>
                  <c:pt idx="711">
                    <c:v>T008</c:v>
                  </c:pt>
                  <c:pt idx="712">
                    <c:v>T009</c:v>
                  </c:pt>
                  <c:pt idx="713">
                    <c:v>T010</c:v>
                  </c:pt>
                  <c:pt idx="714">
                    <c:v>T011</c:v>
                  </c:pt>
                  <c:pt idx="715">
                    <c:v>T012</c:v>
                  </c:pt>
                  <c:pt idx="716">
                    <c:v>T013</c:v>
                  </c:pt>
                  <c:pt idx="717">
                    <c:v>T014</c:v>
                  </c:pt>
                  <c:pt idx="718">
                    <c:v>T015</c:v>
                  </c:pt>
                  <c:pt idx="719">
                    <c:v>T016</c:v>
                  </c:pt>
                  <c:pt idx="720">
                    <c:v>T017</c:v>
                  </c:pt>
                  <c:pt idx="721">
                    <c:v>T018</c:v>
                  </c:pt>
                  <c:pt idx="722">
                    <c:v>T019</c:v>
                  </c:pt>
                  <c:pt idx="723">
                    <c:v>T020</c:v>
                  </c:pt>
                  <c:pt idx="724">
                    <c:v>T021</c:v>
                  </c:pt>
                  <c:pt idx="725">
                    <c:v>T022</c:v>
                  </c:pt>
                  <c:pt idx="726">
                    <c:v>T023</c:v>
                  </c:pt>
                  <c:pt idx="727">
                    <c:v>T024</c:v>
                  </c:pt>
                  <c:pt idx="728">
                    <c:v>T001</c:v>
                  </c:pt>
                  <c:pt idx="729">
                    <c:v>T002</c:v>
                  </c:pt>
                  <c:pt idx="730">
                    <c:v>T003</c:v>
                  </c:pt>
                  <c:pt idx="731">
                    <c:v>T004</c:v>
                  </c:pt>
                  <c:pt idx="732">
                    <c:v>T005</c:v>
                  </c:pt>
                  <c:pt idx="733">
                    <c:v>T006</c:v>
                  </c:pt>
                  <c:pt idx="734">
                    <c:v>T007</c:v>
                  </c:pt>
                  <c:pt idx="735">
                    <c:v>T008</c:v>
                  </c:pt>
                  <c:pt idx="736">
                    <c:v>T009</c:v>
                  </c:pt>
                  <c:pt idx="737">
                    <c:v>T010</c:v>
                  </c:pt>
                  <c:pt idx="738">
                    <c:v>T011</c:v>
                  </c:pt>
                  <c:pt idx="739">
                    <c:v>T012</c:v>
                  </c:pt>
                  <c:pt idx="740">
                    <c:v>T013</c:v>
                  </c:pt>
                  <c:pt idx="741">
                    <c:v>T014</c:v>
                  </c:pt>
                  <c:pt idx="742">
                    <c:v>T015</c:v>
                  </c:pt>
                  <c:pt idx="743">
                    <c:v>T016</c:v>
                  </c:pt>
                  <c:pt idx="744">
                    <c:v>T017</c:v>
                  </c:pt>
                  <c:pt idx="745">
                    <c:v>T018</c:v>
                  </c:pt>
                  <c:pt idx="746">
                    <c:v>T019</c:v>
                  </c:pt>
                  <c:pt idx="747">
                    <c:v>T020</c:v>
                  </c:pt>
                  <c:pt idx="748">
                    <c:v>T021</c:v>
                  </c:pt>
                  <c:pt idx="749">
                    <c:v>T022</c:v>
                  </c:pt>
                  <c:pt idx="750">
                    <c:v>T023</c:v>
                  </c:pt>
                  <c:pt idx="751">
                    <c:v>T024</c:v>
                  </c:pt>
                  <c:pt idx="752">
                    <c:v>T001</c:v>
                  </c:pt>
                  <c:pt idx="753">
                    <c:v>T002</c:v>
                  </c:pt>
                  <c:pt idx="754">
                    <c:v>T003</c:v>
                  </c:pt>
                  <c:pt idx="755">
                    <c:v>T004</c:v>
                  </c:pt>
                  <c:pt idx="756">
                    <c:v>T005</c:v>
                  </c:pt>
                  <c:pt idx="757">
                    <c:v>T006</c:v>
                  </c:pt>
                  <c:pt idx="758">
                    <c:v>T007</c:v>
                  </c:pt>
                  <c:pt idx="759">
                    <c:v>T008</c:v>
                  </c:pt>
                  <c:pt idx="760">
                    <c:v>T009</c:v>
                  </c:pt>
                  <c:pt idx="761">
                    <c:v>T010</c:v>
                  </c:pt>
                  <c:pt idx="762">
                    <c:v>T011</c:v>
                  </c:pt>
                  <c:pt idx="763">
                    <c:v>T012</c:v>
                  </c:pt>
                  <c:pt idx="764">
                    <c:v>T013</c:v>
                  </c:pt>
                  <c:pt idx="765">
                    <c:v>T014</c:v>
                  </c:pt>
                  <c:pt idx="766">
                    <c:v>T015</c:v>
                  </c:pt>
                  <c:pt idx="767">
                    <c:v>T016</c:v>
                  </c:pt>
                  <c:pt idx="768">
                    <c:v>T017</c:v>
                  </c:pt>
                  <c:pt idx="769">
                    <c:v>T018</c:v>
                  </c:pt>
                  <c:pt idx="770">
                    <c:v>T019</c:v>
                  </c:pt>
                  <c:pt idx="771">
                    <c:v>T020</c:v>
                  </c:pt>
                  <c:pt idx="772">
                    <c:v>T021</c:v>
                  </c:pt>
                  <c:pt idx="773">
                    <c:v>T022</c:v>
                  </c:pt>
                  <c:pt idx="774">
                    <c:v>T023</c:v>
                  </c:pt>
                  <c:pt idx="775">
                    <c:v>T024</c:v>
                  </c:pt>
                  <c:pt idx="776">
                    <c:v>T001</c:v>
                  </c:pt>
                  <c:pt idx="777">
                    <c:v>T002</c:v>
                  </c:pt>
                  <c:pt idx="778">
                    <c:v>T003</c:v>
                  </c:pt>
                  <c:pt idx="779">
                    <c:v>T004</c:v>
                  </c:pt>
                  <c:pt idx="780">
                    <c:v>T005</c:v>
                  </c:pt>
                  <c:pt idx="781">
                    <c:v>T006</c:v>
                  </c:pt>
                  <c:pt idx="782">
                    <c:v>T007</c:v>
                  </c:pt>
                  <c:pt idx="783">
                    <c:v>T008</c:v>
                  </c:pt>
                  <c:pt idx="784">
                    <c:v>T009</c:v>
                  </c:pt>
                  <c:pt idx="785">
                    <c:v>T010</c:v>
                  </c:pt>
                  <c:pt idx="786">
                    <c:v>T011</c:v>
                  </c:pt>
                  <c:pt idx="787">
                    <c:v>T012</c:v>
                  </c:pt>
                  <c:pt idx="788">
                    <c:v>T013</c:v>
                  </c:pt>
                  <c:pt idx="789">
                    <c:v>T014</c:v>
                  </c:pt>
                  <c:pt idx="790">
                    <c:v>T015</c:v>
                  </c:pt>
                  <c:pt idx="791">
                    <c:v>T016</c:v>
                  </c:pt>
                  <c:pt idx="792">
                    <c:v>T017</c:v>
                  </c:pt>
                  <c:pt idx="793">
                    <c:v>T018</c:v>
                  </c:pt>
                  <c:pt idx="794">
                    <c:v>T019</c:v>
                  </c:pt>
                  <c:pt idx="795">
                    <c:v>T020</c:v>
                  </c:pt>
                  <c:pt idx="796">
                    <c:v>T021</c:v>
                  </c:pt>
                  <c:pt idx="797">
                    <c:v>T022</c:v>
                  </c:pt>
                  <c:pt idx="798">
                    <c:v>T023</c:v>
                  </c:pt>
                  <c:pt idx="799">
                    <c:v>T024</c:v>
                  </c:pt>
                  <c:pt idx="800">
                    <c:v>T001</c:v>
                  </c:pt>
                  <c:pt idx="801">
                    <c:v>T002</c:v>
                  </c:pt>
                  <c:pt idx="802">
                    <c:v>T003</c:v>
                  </c:pt>
                  <c:pt idx="803">
                    <c:v>T004</c:v>
                  </c:pt>
                  <c:pt idx="804">
                    <c:v>T005</c:v>
                  </c:pt>
                  <c:pt idx="805">
                    <c:v>T006</c:v>
                  </c:pt>
                  <c:pt idx="806">
                    <c:v>T007</c:v>
                  </c:pt>
                  <c:pt idx="807">
                    <c:v>T008</c:v>
                  </c:pt>
                  <c:pt idx="808">
                    <c:v>T009</c:v>
                  </c:pt>
                  <c:pt idx="809">
                    <c:v>T010</c:v>
                  </c:pt>
                  <c:pt idx="810">
                    <c:v>T011</c:v>
                  </c:pt>
                  <c:pt idx="811">
                    <c:v>T012</c:v>
                  </c:pt>
                  <c:pt idx="812">
                    <c:v>T013</c:v>
                  </c:pt>
                  <c:pt idx="813">
                    <c:v>T014</c:v>
                  </c:pt>
                  <c:pt idx="814">
                    <c:v>T015</c:v>
                  </c:pt>
                  <c:pt idx="815">
                    <c:v>T016</c:v>
                  </c:pt>
                  <c:pt idx="816">
                    <c:v>T017</c:v>
                  </c:pt>
                  <c:pt idx="817">
                    <c:v>T018</c:v>
                  </c:pt>
                  <c:pt idx="818">
                    <c:v>T019</c:v>
                  </c:pt>
                  <c:pt idx="819">
                    <c:v>T020</c:v>
                  </c:pt>
                  <c:pt idx="820">
                    <c:v>T021</c:v>
                  </c:pt>
                  <c:pt idx="821">
                    <c:v>T022</c:v>
                  </c:pt>
                  <c:pt idx="822">
                    <c:v>T023</c:v>
                  </c:pt>
                  <c:pt idx="823">
                    <c:v>T024</c:v>
                  </c:pt>
                  <c:pt idx="824">
                    <c:v>T001</c:v>
                  </c:pt>
                  <c:pt idx="825">
                    <c:v>T002</c:v>
                  </c:pt>
                  <c:pt idx="826">
                    <c:v>T003</c:v>
                  </c:pt>
                  <c:pt idx="827">
                    <c:v>T004</c:v>
                  </c:pt>
                  <c:pt idx="828">
                    <c:v>T005</c:v>
                  </c:pt>
                  <c:pt idx="829">
                    <c:v>T006</c:v>
                  </c:pt>
                  <c:pt idx="830">
                    <c:v>T007</c:v>
                  </c:pt>
                  <c:pt idx="831">
                    <c:v>T008</c:v>
                  </c:pt>
                  <c:pt idx="832">
                    <c:v>T009</c:v>
                  </c:pt>
                  <c:pt idx="833">
                    <c:v>T010</c:v>
                  </c:pt>
                  <c:pt idx="834">
                    <c:v>T011</c:v>
                  </c:pt>
                  <c:pt idx="835">
                    <c:v>T012</c:v>
                  </c:pt>
                  <c:pt idx="836">
                    <c:v>T013</c:v>
                  </c:pt>
                  <c:pt idx="837">
                    <c:v>T014</c:v>
                  </c:pt>
                  <c:pt idx="838">
                    <c:v>T015</c:v>
                  </c:pt>
                  <c:pt idx="839">
                    <c:v>T016</c:v>
                  </c:pt>
                  <c:pt idx="840">
                    <c:v>T017</c:v>
                  </c:pt>
                  <c:pt idx="841">
                    <c:v>T018</c:v>
                  </c:pt>
                  <c:pt idx="842">
                    <c:v>T019</c:v>
                  </c:pt>
                  <c:pt idx="843">
                    <c:v>T020</c:v>
                  </c:pt>
                  <c:pt idx="844">
                    <c:v>T021</c:v>
                  </c:pt>
                  <c:pt idx="845">
                    <c:v>T022</c:v>
                  </c:pt>
                  <c:pt idx="846">
                    <c:v>T023</c:v>
                  </c:pt>
                  <c:pt idx="847">
                    <c:v>T024</c:v>
                  </c:pt>
                  <c:pt idx="848">
                    <c:v>T008</c:v>
                  </c:pt>
                  <c:pt idx="849">
                    <c:v>T009</c:v>
                  </c:pt>
                  <c:pt idx="850">
                    <c:v>T010</c:v>
                  </c:pt>
                  <c:pt idx="851">
                    <c:v>T011</c:v>
                  </c:pt>
                  <c:pt idx="852">
                    <c:v>T012</c:v>
                  </c:pt>
                  <c:pt idx="853">
                    <c:v>T013</c:v>
                  </c:pt>
                  <c:pt idx="854">
                    <c:v>T014</c:v>
                  </c:pt>
                  <c:pt idx="855">
                    <c:v>T015</c:v>
                  </c:pt>
                  <c:pt idx="856">
                    <c:v>T016</c:v>
                  </c:pt>
                  <c:pt idx="857">
                    <c:v>T017</c:v>
                  </c:pt>
                  <c:pt idx="858">
                    <c:v>T018</c:v>
                  </c:pt>
                  <c:pt idx="859">
                    <c:v>T019</c:v>
                  </c:pt>
                  <c:pt idx="860">
                    <c:v>T020</c:v>
                  </c:pt>
                  <c:pt idx="861">
                    <c:v>T021</c:v>
                  </c:pt>
                  <c:pt idx="862">
                    <c:v>T001</c:v>
                  </c:pt>
                  <c:pt idx="863">
                    <c:v>T002</c:v>
                  </c:pt>
                  <c:pt idx="864">
                    <c:v>T003</c:v>
                  </c:pt>
                  <c:pt idx="865">
                    <c:v>T004</c:v>
                  </c:pt>
                  <c:pt idx="866">
                    <c:v>T005</c:v>
                  </c:pt>
                  <c:pt idx="867">
                    <c:v>T006</c:v>
                  </c:pt>
                  <c:pt idx="868">
                    <c:v>T007</c:v>
                  </c:pt>
                  <c:pt idx="869">
                    <c:v>T008</c:v>
                  </c:pt>
                  <c:pt idx="870">
                    <c:v>T009</c:v>
                  </c:pt>
                  <c:pt idx="871">
                    <c:v>T010</c:v>
                  </c:pt>
                  <c:pt idx="872">
                    <c:v>T011</c:v>
                  </c:pt>
                  <c:pt idx="873">
                    <c:v>T012</c:v>
                  </c:pt>
                  <c:pt idx="874">
                    <c:v>T013</c:v>
                  </c:pt>
                  <c:pt idx="875">
                    <c:v>T014</c:v>
                  </c:pt>
                  <c:pt idx="876">
                    <c:v>T015</c:v>
                  </c:pt>
                  <c:pt idx="877">
                    <c:v>T016</c:v>
                  </c:pt>
                  <c:pt idx="878">
                    <c:v>T017</c:v>
                  </c:pt>
                  <c:pt idx="879">
                    <c:v>T018</c:v>
                  </c:pt>
                  <c:pt idx="880">
                    <c:v>T019</c:v>
                  </c:pt>
                  <c:pt idx="881">
                    <c:v>T020</c:v>
                  </c:pt>
                  <c:pt idx="882">
                    <c:v>T021</c:v>
                  </c:pt>
                  <c:pt idx="883">
                    <c:v>T022</c:v>
                  </c:pt>
                  <c:pt idx="884">
                    <c:v>T023</c:v>
                  </c:pt>
                  <c:pt idx="885">
                    <c:v>T024</c:v>
                  </c:pt>
                  <c:pt idx="886">
                    <c:v>T019</c:v>
                  </c:pt>
                  <c:pt idx="887">
                    <c:v>T020</c:v>
                  </c:pt>
                  <c:pt idx="888">
                    <c:v>T021</c:v>
                  </c:pt>
                  <c:pt idx="889">
                    <c:v>T022</c:v>
                  </c:pt>
                  <c:pt idx="890">
                    <c:v>T001</c:v>
                  </c:pt>
                  <c:pt idx="891">
                    <c:v>T002</c:v>
                  </c:pt>
                  <c:pt idx="892">
                    <c:v>T003</c:v>
                  </c:pt>
                  <c:pt idx="893">
                    <c:v>T004</c:v>
                  </c:pt>
                  <c:pt idx="894">
                    <c:v>T005</c:v>
                  </c:pt>
                  <c:pt idx="895">
                    <c:v>T006</c:v>
                  </c:pt>
                  <c:pt idx="896">
                    <c:v>T007</c:v>
                  </c:pt>
                  <c:pt idx="897">
                    <c:v>T008</c:v>
                  </c:pt>
                  <c:pt idx="898">
                    <c:v>T009</c:v>
                  </c:pt>
                  <c:pt idx="899">
                    <c:v>T010</c:v>
                  </c:pt>
                  <c:pt idx="900">
                    <c:v>T011</c:v>
                  </c:pt>
                  <c:pt idx="901">
                    <c:v>T012</c:v>
                  </c:pt>
                  <c:pt idx="902">
                    <c:v>T013</c:v>
                  </c:pt>
                  <c:pt idx="903">
                    <c:v>T014</c:v>
                  </c:pt>
                  <c:pt idx="904">
                    <c:v>T015</c:v>
                  </c:pt>
                  <c:pt idx="905">
                    <c:v>T016</c:v>
                  </c:pt>
                  <c:pt idx="906">
                    <c:v>T017</c:v>
                  </c:pt>
                  <c:pt idx="907">
                    <c:v>T018</c:v>
                  </c:pt>
                  <c:pt idx="908">
                    <c:v>T019</c:v>
                  </c:pt>
                  <c:pt idx="909">
                    <c:v>T020</c:v>
                  </c:pt>
                  <c:pt idx="910">
                    <c:v>T021</c:v>
                  </c:pt>
                  <c:pt idx="911">
                    <c:v>T022</c:v>
                  </c:pt>
                  <c:pt idx="912">
                    <c:v>T023</c:v>
                  </c:pt>
                  <c:pt idx="913">
                    <c:v>T024</c:v>
                  </c:pt>
                  <c:pt idx="914">
                    <c:v>T001</c:v>
                  </c:pt>
                  <c:pt idx="915">
                    <c:v>T002</c:v>
                  </c:pt>
                  <c:pt idx="916">
                    <c:v>T003</c:v>
                  </c:pt>
                  <c:pt idx="917">
                    <c:v>T004</c:v>
                  </c:pt>
                  <c:pt idx="918">
                    <c:v>T005</c:v>
                  </c:pt>
                  <c:pt idx="919">
                    <c:v>T006</c:v>
                  </c:pt>
                  <c:pt idx="920">
                    <c:v>T007</c:v>
                  </c:pt>
                  <c:pt idx="921">
                    <c:v>T008</c:v>
                  </c:pt>
                  <c:pt idx="922">
                    <c:v>T009</c:v>
                  </c:pt>
                  <c:pt idx="923">
                    <c:v>T010</c:v>
                  </c:pt>
                  <c:pt idx="924">
                    <c:v>T011</c:v>
                  </c:pt>
                  <c:pt idx="925">
                    <c:v>T012</c:v>
                  </c:pt>
                  <c:pt idx="926">
                    <c:v>T013</c:v>
                  </c:pt>
                  <c:pt idx="927">
                    <c:v>T014</c:v>
                  </c:pt>
                  <c:pt idx="928">
                    <c:v>T015</c:v>
                  </c:pt>
                  <c:pt idx="929">
                    <c:v>T016</c:v>
                  </c:pt>
                  <c:pt idx="930">
                    <c:v>T017</c:v>
                  </c:pt>
                  <c:pt idx="931">
                    <c:v>T018</c:v>
                  </c:pt>
                  <c:pt idx="932">
                    <c:v>T019</c:v>
                  </c:pt>
                  <c:pt idx="933">
                    <c:v>T020</c:v>
                  </c:pt>
                  <c:pt idx="934">
                    <c:v>T021</c:v>
                  </c:pt>
                  <c:pt idx="935">
                    <c:v>T022</c:v>
                  </c:pt>
                  <c:pt idx="936">
                    <c:v>T023</c:v>
                  </c:pt>
                  <c:pt idx="937">
                    <c:v>T024</c:v>
                  </c:pt>
                  <c:pt idx="938">
                    <c:v>T001</c:v>
                  </c:pt>
                  <c:pt idx="939">
                    <c:v>T002</c:v>
                  </c:pt>
                  <c:pt idx="940">
                    <c:v>T003</c:v>
                  </c:pt>
                  <c:pt idx="941">
                    <c:v>T004</c:v>
                  </c:pt>
                  <c:pt idx="942">
                    <c:v>T005</c:v>
                  </c:pt>
                  <c:pt idx="943">
                    <c:v>T006</c:v>
                  </c:pt>
                  <c:pt idx="944">
                    <c:v>T007</c:v>
                  </c:pt>
                  <c:pt idx="945">
                    <c:v>T008</c:v>
                  </c:pt>
                  <c:pt idx="946">
                    <c:v>T009</c:v>
                  </c:pt>
                  <c:pt idx="947">
                    <c:v>T010</c:v>
                  </c:pt>
                  <c:pt idx="948">
                    <c:v>T011</c:v>
                  </c:pt>
                  <c:pt idx="949">
                    <c:v>T012</c:v>
                  </c:pt>
                  <c:pt idx="950">
                    <c:v>T013</c:v>
                  </c:pt>
                  <c:pt idx="951">
                    <c:v>T014</c:v>
                  </c:pt>
                  <c:pt idx="952">
                    <c:v>T015</c:v>
                  </c:pt>
                  <c:pt idx="953">
                    <c:v>T016</c:v>
                  </c:pt>
                  <c:pt idx="954">
                    <c:v>T017</c:v>
                  </c:pt>
                  <c:pt idx="955">
                    <c:v>T018</c:v>
                  </c:pt>
                  <c:pt idx="956">
                    <c:v>T019</c:v>
                  </c:pt>
                  <c:pt idx="957">
                    <c:v>T020</c:v>
                  </c:pt>
                  <c:pt idx="958">
                    <c:v>T021</c:v>
                  </c:pt>
                  <c:pt idx="959">
                    <c:v>T022</c:v>
                  </c:pt>
                  <c:pt idx="960">
                    <c:v>T023</c:v>
                  </c:pt>
                  <c:pt idx="961">
                    <c:v>T024</c:v>
                  </c:pt>
                  <c:pt idx="962">
                    <c:v>T001</c:v>
                  </c:pt>
                  <c:pt idx="963">
                    <c:v>T002</c:v>
                  </c:pt>
                  <c:pt idx="964">
                    <c:v>T003</c:v>
                  </c:pt>
                  <c:pt idx="965">
                    <c:v>T004</c:v>
                  </c:pt>
                  <c:pt idx="966">
                    <c:v>T005</c:v>
                  </c:pt>
                  <c:pt idx="967">
                    <c:v>T006</c:v>
                  </c:pt>
                  <c:pt idx="968">
                    <c:v>T007</c:v>
                  </c:pt>
                  <c:pt idx="969">
                    <c:v>T008</c:v>
                  </c:pt>
                  <c:pt idx="970">
                    <c:v>T009</c:v>
                  </c:pt>
                  <c:pt idx="971">
                    <c:v>T010</c:v>
                  </c:pt>
                  <c:pt idx="972">
                    <c:v>T011</c:v>
                  </c:pt>
                  <c:pt idx="973">
                    <c:v>T012</c:v>
                  </c:pt>
                  <c:pt idx="974">
                    <c:v>T013</c:v>
                  </c:pt>
                  <c:pt idx="975">
                    <c:v>T014</c:v>
                  </c:pt>
                  <c:pt idx="976">
                    <c:v>T015</c:v>
                  </c:pt>
                  <c:pt idx="977">
                    <c:v>T016</c:v>
                  </c:pt>
                  <c:pt idx="978">
                    <c:v>T017</c:v>
                  </c:pt>
                  <c:pt idx="979">
                    <c:v>T018</c:v>
                  </c:pt>
                  <c:pt idx="980">
                    <c:v>T019</c:v>
                  </c:pt>
                  <c:pt idx="981">
                    <c:v>T020</c:v>
                  </c:pt>
                  <c:pt idx="982">
                    <c:v>T021</c:v>
                  </c:pt>
                  <c:pt idx="983">
                    <c:v>T022</c:v>
                  </c:pt>
                  <c:pt idx="984">
                    <c:v>T023</c:v>
                  </c:pt>
                  <c:pt idx="985">
                    <c:v>T024</c:v>
                  </c:pt>
                  <c:pt idx="986">
                    <c:v>T001</c:v>
                  </c:pt>
                  <c:pt idx="987">
                    <c:v>T002</c:v>
                  </c:pt>
                  <c:pt idx="988">
                    <c:v>T003</c:v>
                  </c:pt>
                  <c:pt idx="989">
                    <c:v>T004</c:v>
                  </c:pt>
                  <c:pt idx="990">
                    <c:v>T005</c:v>
                  </c:pt>
                  <c:pt idx="991">
                    <c:v>T006</c:v>
                  </c:pt>
                  <c:pt idx="992">
                    <c:v>T007</c:v>
                  </c:pt>
                  <c:pt idx="993">
                    <c:v>T008</c:v>
                  </c:pt>
                  <c:pt idx="994">
                    <c:v>T009</c:v>
                  </c:pt>
                  <c:pt idx="995">
                    <c:v>T010</c:v>
                  </c:pt>
                  <c:pt idx="996">
                    <c:v>T011</c:v>
                  </c:pt>
                  <c:pt idx="997">
                    <c:v>T012</c:v>
                  </c:pt>
                  <c:pt idx="998">
                    <c:v>T013</c:v>
                  </c:pt>
                  <c:pt idx="999">
                    <c:v>T014</c:v>
                  </c:pt>
                  <c:pt idx="1000">
                    <c:v>T015</c:v>
                  </c:pt>
                  <c:pt idx="1001">
                    <c:v>T016</c:v>
                  </c:pt>
                  <c:pt idx="1002">
                    <c:v>T017</c:v>
                  </c:pt>
                  <c:pt idx="1003">
                    <c:v>T018</c:v>
                  </c:pt>
                  <c:pt idx="1004">
                    <c:v>T019</c:v>
                  </c:pt>
                  <c:pt idx="1005">
                    <c:v>T020</c:v>
                  </c:pt>
                  <c:pt idx="1006">
                    <c:v>T021</c:v>
                  </c:pt>
                  <c:pt idx="1007">
                    <c:v>T022</c:v>
                  </c:pt>
                  <c:pt idx="1008">
                    <c:v>T023</c:v>
                  </c:pt>
                  <c:pt idx="1009">
                    <c:v>T024</c:v>
                  </c:pt>
                  <c:pt idx="1010">
                    <c:v>T004</c:v>
                  </c:pt>
                  <c:pt idx="1011">
                    <c:v>T005</c:v>
                  </c:pt>
                  <c:pt idx="1012">
                    <c:v>T006</c:v>
                  </c:pt>
                  <c:pt idx="1013">
                    <c:v>T007</c:v>
                  </c:pt>
                  <c:pt idx="1014">
                    <c:v>T008</c:v>
                  </c:pt>
                  <c:pt idx="1015">
                    <c:v>T009</c:v>
                  </c:pt>
                  <c:pt idx="1016">
                    <c:v>T010</c:v>
                  </c:pt>
                  <c:pt idx="1017">
                    <c:v>T011</c:v>
                  </c:pt>
                  <c:pt idx="1018">
                    <c:v>T012</c:v>
                  </c:pt>
                  <c:pt idx="1019">
                    <c:v>T013</c:v>
                  </c:pt>
                  <c:pt idx="1020">
                    <c:v>T014</c:v>
                  </c:pt>
                  <c:pt idx="1021">
                    <c:v>T016</c:v>
                  </c:pt>
                  <c:pt idx="1022">
                    <c:v>T017</c:v>
                  </c:pt>
                  <c:pt idx="1023">
                    <c:v>T018</c:v>
                  </c:pt>
                  <c:pt idx="1024">
                    <c:v>T019</c:v>
                  </c:pt>
                  <c:pt idx="1025">
                    <c:v>T020</c:v>
                  </c:pt>
                  <c:pt idx="1026">
                    <c:v>T021</c:v>
                  </c:pt>
                  <c:pt idx="1027">
                    <c:v>T022</c:v>
                  </c:pt>
                  <c:pt idx="1028">
                    <c:v>T023</c:v>
                  </c:pt>
                  <c:pt idx="1029">
                    <c:v>T001</c:v>
                  </c:pt>
                  <c:pt idx="1030">
                    <c:v>T002</c:v>
                  </c:pt>
                  <c:pt idx="1031">
                    <c:v>T003</c:v>
                  </c:pt>
                  <c:pt idx="1032">
                    <c:v>T004</c:v>
                  </c:pt>
                  <c:pt idx="1033">
                    <c:v>T005</c:v>
                  </c:pt>
                  <c:pt idx="1034">
                    <c:v>T006</c:v>
                  </c:pt>
                  <c:pt idx="1035">
                    <c:v>T007</c:v>
                  </c:pt>
                  <c:pt idx="1036">
                    <c:v>T008</c:v>
                  </c:pt>
                  <c:pt idx="1037">
                    <c:v>T009</c:v>
                  </c:pt>
                  <c:pt idx="1038">
                    <c:v>T010</c:v>
                  </c:pt>
                  <c:pt idx="1039">
                    <c:v>T011</c:v>
                  </c:pt>
                  <c:pt idx="1040">
                    <c:v>T012</c:v>
                  </c:pt>
                  <c:pt idx="1041">
                    <c:v>T013</c:v>
                  </c:pt>
                  <c:pt idx="1042">
                    <c:v>T014</c:v>
                  </c:pt>
                  <c:pt idx="1043">
                    <c:v>T015</c:v>
                  </c:pt>
                  <c:pt idx="1044">
                    <c:v>T016</c:v>
                  </c:pt>
                  <c:pt idx="1045">
                    <c:v>T017</c:v>
                  </c:pt>
                  <c:pt idx="1046">
                    <c:v>T018</c:v>
                  </c:pt>
                  <c:pt idx="1047">
                    <c:v>T019</c:v>
                  </c:pt>
                  <c:pt idx="1048">
                    <c:v>T020</c:v>
                  </c:pt>
                  <c:pt idx="1049">
                    <c:v>T021</c:v>
                  </c:pt>
                  <c:pt idx="1050">
                    <c:v>T022</c:v>
                  </c:pt>
                  <c:pt idx="1051">
                    <c:v>T023</c:v>
                  </c:pt>
                  <c:pt idx="1052">
                    <c:v>T024</c:v>
                  </c:pt>
                  <c:pt idx="1053">
                    <c:v>T001</c:v>
                  </c:pt>
                  <c:pt idx="1054">
                    <c:v>T002</c:v>
                  </c:pt>
                  <c:pt idx="1055">
                    <c:v>T003</c:v>
                  </c:pt>
                  <c:pt idx="1056">
                    <c:v>T004</c:v>
                  </c:pt>
                  <c:pt idx="1057">
                    <c:v>T005</c:v>
                  </c:pt>
                  <c:pt idx="1058">
                    <c:v>T006</c:v>
                  </c:pt>
                  <c:pt idx="1059">
                    <c:v>T007</c:v>
                  </c:pt>
                  <c:pt idx="1060">
                    <c:v>T008</c:v>
                  </c:pt>
                  <c:pt idx="1061">
                    <c:v>T009</c:v>
                  </c:pt>
                  <c:pt idx="1062">
                    <c:v>T010</c:v>
                  </c:pt>
                  <c:pt idx="1063">
                    <c:v>T011</c:v>
                  </c:pt>
                  <c:pt idx="1064">
                    <c:v>T012</c:v>
                  </c:pt>
                  <c:pt idx="1065">
                    <c:v>T013</c:v>
                  </c:pt>
                  <c:pt idx="1066">
                    <c:v>T014</c:v>
                  </c:pt>
                  <c:pt idx="1067">
                    <c:v>T015</c:v>
                  </c:pt>
                  <c:pt idx="1068">
                    <c:v>T016</c:v>
                  </c:pt>
                  <c:pt idx="1069">
                    <c:v>T017</c:v>
                  </c:pt>
                  <c:pt idx="1070">
                    <c:v>T018</c:v>
                  </c:pt>
                  <c:pt idx="1071">
                    <c:v>T019</c:v>
                  </c:pt>
                  <c:pt idx="1072">
                    <c:v>T020</c:v>
                  </c:pt>
                  <c:pt idx="1073">
                    <c:v>T021</c:v>
                  </c:pt>
                  <c:pt idx="1074">
                    <c:v>T022</c:v>
                  </c:pt>
                  <c:pt idx="1075">
                    <c:v>T023</c:v>
                  </c:pt>
                  <c:pt idx="1076">
                    <c:v>T024</c:v>
                  </c:pt>
                  <c:pt idx="1077">
                    <c:v>T007</c:v>
                  </c:pt>
                  <c:pt idx="1078">
                    <c:v>T008</c:v>
                  </c:pt>
                  <c:pt idx="1079">
                    <c:v>T009</c:v>
                  </c:pt>
                  <c:pt idx="1080">
                    <c:v>T010</c:v>
                  </c:pt>
                  <c:pt idx="1081">
                    <c:v>T011</c:v>
                  </c:pt>
                  <c:pt idx="1082">
                    <c:v>T012</c:v>
                  </c:pt>
                  <c:pt idx="1083">
                    <c:v>T013</c:v>
                  </c:pt>
                  <c:pt idx="1084">
                    <c:v>T014</c:v>
                  </c:pt>
                  <c:pt idx="1085">
                    <c:v>T015</c:v>
                  </c:pt>
                  <c:pt idx="1086">
                    <c:v>T016</c:v>
                  </c:pt>
                  <c:pt idx="1087">
                    <c:v>T017</c:v>
                  </c:pt>
                  <c:pt idx="1088">
                    <c:v>T018</c:v>
                  </c:pt>
                  <c:pt idx="1089">
                    <c:v>T019</c:v>
                  </c:pt>
                  <c:pt idx="1090">
                    <c:v>T020</c:v>
                  </c:pt>
                  <c:pt idx="1091">
                    <c:v>T021</c:v>
                  </c:pt>
                  <c:pt idx="1092">
                    <c:v>T022</c:v>
                  </c:pt>
                  <c:pt idx="1093">
                    <c:v>T023</c:v>
                  </c:pt>
                  <c:pt idx="1094">
                    <c:v>T024</c:v>
                  </c:pt>
                  <c:pt idx="1095">
                    <c:v>T001</c:v>
                  </c:pt>
                  <c:pt idx="1096">
                    <c:v>T002</c:v>
                  </c:pt>
                  <c:pt idx="1097">
                    <c:v>T003</c:v>
                  </c:pt>
                  <c:pt idx="1098">
                    <c:v>T004</c:v>
                  </c:pt>
                  <c:pt idx="1099">
                    <c:v>T005</c:v>
                  </c:pt>
                  <c:pt idx="1100">
                    <c:v>T006</c:v>
                  </c:pt>
                  <c:pt idx="1101">
                    <c:v>T007</c:v>
                  </c:pt>
                  <c:pt idx="1102">
                    <c:v>T008</c:v>
                  </c:pt>
                  <c:pt idx="1103">
                    <c:v>T009</c:v>
                  </c:pt>
                  <c:pt idx="1104">
                    <c:v>T010</c:v>
                  </c:pt>
                  <c:pt idx="1105">
                    <c:v>T011</c:v>
                  </c:pt>
                  <c:pt idx="1106">
                    <c:v>T012</c:v>
                  </c:pt>
                  <c:pt idx="1107">
                    <c:v>T013</c:v>
                  </c:pt>
                  <c:pt idx="1108">
                    <c:v>T014</c:v>
                  </c:pt>
                  <c:pt idx="1109">
                    <c:v>T015</c:v>
                  </c:pt>
                  <c:pt idx="1110">
                    <c:v>T016</c:v>
                  </c:pt>
                  <c:pt idx="1111">
                    <c:v>T017</c:v>
                  </c:pt>
                  <c:pt idx="1112">
                    <c:v>T018</c:v>
                  </c:pt>
                  <c:pt idx="1113">
                    <c:v>T019</c:v>
                  </c:pt>
                  <c:pt idx="1114">
                    <c:v>T020</c:v>
                  </c:pt>
                  <c:pt idx="1115">
                    <c:v>T021</c:v>
                  </c:pt>
                  <c:pt idx="1116">
                    <c:v>T022</c:v>
                  </c:pt>
                  <c:pt idx="1117">
                    <c:v>T023</c:v>
                  </c:pt>
                  <c:pt idx="1118">
                    <c:v>T024</c:v>
                  </c:pt>
                  <c:pt idx="1119">
                    <c:v>T001</c:v>
                  </c:pt>
                  <c:pt idx="1120">
                    <c:v>T002</c:v>
                  </c:pt>
                  <c:pt idx="1121">
                    <c:v>T003</c:v>
                  </c:pt>
                  <c:pt idx="1122">
                    <c:v>T004</c:v>
                  </c:pt>
                  <c:pt idx="1123">
                    <c:v>T005</c:v>
                  </c:pt>
                  <c:pt idx="1124">
                    <c:v>T006</c:v>
                  </c:pt>
                  <c:pt idx="1125">
                    <c:v>T007</c:v>
                  </c:pt>
                  <c:pt idx="1126">
                    <c:v>T008</c:v>
                  </c:pt>
                  <c:pt idx="1127">
                    <c:v>T009</c:v>
                  </c:pt>
                  <c:pt idx="1128">
                    <c:v>T010</c:v>
                  </c:pt>
                  <c:pt idx="1129">
                    <c:v>T011</c:v>
                  </c:pt>
                  <c:pt idx="1130">
                    <c:v>T012</c:v>
                  </c:pt>
                  <c:pt idx="1131">
                    <c:v>T013</c:v>
                  </c:pt>
                  <c:pt idx="1132">
                    <c:v>T014</c:v>
                  </c:pt>
                  <c:pt idx="1133">
                    <c:v>T015</c:v>
                  </c:pt>
                  <c:pt idx="1134">
                    <c:v>T016</c:v>
                  </c:pt>
                  <c:pt idx="1135">
                    <c:v>T017</c:v>
                  </c:pt>
                  <c:pt idx="1136">
                    <c:v>T018</c:v>
                  </c:pt>
                  <c:pt idx="1137">
                    <c:v>T019</c:v>
                  </c:pt>
                  <c:pt idx="1138">
                    <c:v>T020</c:v>
                  </c:pt>
                  <c:pt idx="1139">
                    <c:v>T021</c:v>
                  </c:pt>
                  <c:pt idx="1140">
                    <c:v>T022</c:v>
                  </c:pt>
                  <c:pt idx="1141">
                    <c:v>T023</c:v>
                  </c:pt>
                  <c:pt idx="1142">
                    <c:v>T024</c:v>
                  </c:pt>
                  <c:pt idx="1143">
                    <c:v>T001</c:v>
                  </c:pt>
                  <c:pt idx="1144">
                    <c:v>T002</c:v>
                  </c:pt>
                  <c:pt idx="1145">
                    <c:v>T003</c:v>
                  </c:pt>
                  <c:pt idx="1146">
                    <c:v>T004</c:v>
                  </c:pt>
                  <c:pt idx="1147">
                    <c:v>T005</c:v>
                  </c:pt>
                  <c:pt idx="1148">
                    <c:v>T006</c:v>
                  </c:pt>
                  <c:pt idx="1149">
                    <c:v>T007</c:v>
                  </c:pt>
                  <c:pt idx="1150">
                    <c:v>T008</c:v>
                  </c:pt>
                  <c:pt idx="1151">
                    <c:v>T009</c:v>
                  </c:pt>
                  <c:pt idx="1152">
                    <c:v>T010</c:v>
                  </c:pt>
                  <c:pt idx="1153">
                    <c:v>T011</c:v>
                  </c:pt>
                  <c:pt idx="1154">
                    <c:v>T012</c:v>
                  </c:pt>
                  <c:pt idx="1155">
                    <c:v>T013</c:v>
                  </c:pt>
                  <c:pt idx="1156">
                    <c:v>T014</c:v>
                  </c:pt>
                  <c:pt idx="1157">
                    <c:v>T015</c:v>
                  </c:pt>
                  <c:pt idx="1158">
                    <c:v>T016</c:v>
                  </c:pt>
                  <c:pt idx="1159">
                    <c:v>T017</c:v>
                  </c:pt>
                  <c:pt idx="1160">
                    <c:v>T018</c:v>
                  </c:pt>
                  <c:pt idx="1161">
                    <c:v>T019</c:v>
                  </c:pt>
                  <c:pt idx="1162">
                    <c:v>T020</c:v>
                  </c:pt>
                  <c:pt idx="1163">
                    <c:v>T021</c:v>
                  </c:pt>
                  <c:pt idx="1164">
                    <c:v>T022</c:v>
                  </c:pt>
                  <c:pt idx="1165">
                    <c:v>T023</c:v>
                  </c:pt>
                  <c:pt idx="1166">
                    <c:v>T024</c:v>
                  </c:pt>
                  <c:pt idx="1167">
                    <c:v>T001</c:v>
                  </c:pt>
                  <c:pt idx="1168">
                    <c:v>T002</c:v>
                  </c:pt>
                  <c:pt idx="1169">
                    <c:v>T003</c:v>
                  </c:pt>
                  <c:pt idx="1170">
                    <c:v>T004</c:v>
                  </c:pt>
                  <c:pt idx="1171">
                    <c:v>T005</c:v>
                  </c:pt>
                  <c:pt idx="1172">
                    <c:v>T006</c:v>
                  </c:pt>
                  <c:pt idx="1173">
                    <c:v>T007</c:v>
                  </c:pt>
                  <c:pt idx="1174">
                    <c:v>T008</c:v>
                  </c:pt>
                  <c:pt idx="1175">
                    <c:v>T009</c:v>
                  </c:pt>
                  <c:pt idx="1176">
                    <c:v>T010</c:v>
                  </c:pt>
                  <c:pt idx="1177">
                    <c:v>T011</c:v>
                  </c:pt>
                  <c:pt idx="1178">
                    <c:v>T012</c:v>
                  </c:pt>
                  <c:pt idx="1179">
                    <c:v>T013</c:v>
                  </c:pt>
                  <c:pt idx="1180">
                    <c:v>T014</c:v>
                  </c:pt>
                  <c:pt idx="1181">
                    <c:v>T015</c:v>
                  </c:pt>
                  <c:pt idx="1182">
                    <c:v>T016</c:v>
                  </c:pt>
                  <c:pt idx="1183">
                    <c:v>T017</c:v>
                  </c:pt>
                  <c:pt idx="1184">
                    <c:v>T018</c:v>
                  </c:pt>
                  <c:pt idx="1185">
                    <c:v>T019</c:v>
                  </c:pt>
                  <c:pt idx="1186">
                    <c:v>T020</c:v>
                  </c:pt>
                  <c:pt idx="1187">
                    <c:v>T021</c:v>
                  </c:pt>
                  <c:pt idx="1188">
                    <c:v>T022</c:v>
                  </c:pt>
                  <c:pt idx="1189">
                    <c:v>T023</c:v>
                  </c:pt>
                  <c:pt idx="1190">
                    <c:v>T024</c:v>
                  </c:pt>
                  <c:pt idx="1191">
                    <c:v>T001</c:v>
                  </c:pt>
                  <c:pt idx="1192">
                    <c:v>T002</c:v>
                  </c:pt>
                  <c:pt idx="1193">
                    <c:v>T003</c:v>
                  </c:pt>
                  <c:pt idx="1194">
                    <c:v>T004</c:v>
                  </c:pt>
                  <c:pt idx="1195">
                    <c:v>T005</c:v>
                  </c:pt>
                  <c:pt idx="1196">
                    <c:v>T006</c:v>
                  </c:pt>
                  <c:pt idx="1197">
                    <c:v>T007</c:v>
                  </c:pt>
                  <c:pt idx="1198">
                    <c:v>T008</c:v>
                  </c:pt>
                  <c:pt idx="1199">
                    <c:v>T009</c:v>
                  </c:pt>
                  <c:pt idx="1200">
                    <c:v>T010</c:v>
                  </c:pt>
                  <c:pt idx="1201">
                    <c:v>T011</c:v>
                  </c:pt>
                  <c:pt idx="1202">
                    <c:v>T012</c:v>
                  </c:pt>
                  <c:pt idx="1203">
                    <c:v>T013</c:v>
                  </c:pt>
                  <c:pt idx="1204">
                    <c:v>T014</c:v>
                  </c:pt>
                  <c:pt idx="1205">
                    <c:v>T015</c:v>
                  </c:pt>
                  <c:pt idx="1206">
                    <c:v>T016</c:v>
                  </c:pt>
                  <c:pt idx="1207">
                    <c:v>T017</c:v>
                  </c:pt>
                  <c:pt idx="1208">
                    <c:v>T018</c:v>
                  </c:pt>
                  <c:pt idx="1209">
                    <c:v>T019</c:v>
                  </c:pt>
                  <c:pt idx="1210">
                    <c:v>T020</c:v>
                  </c:pt>
                  <c:pt idx="1211">
                    <c:v>T021</c:v>
                  </c:pt>
                  <c:pt idx="1212">
                    <c:v>T022</c:v>
                  </c:pt>
                  <c:pt idx="1213">
                    <c:v>T023</c:v>
                  </c:pt>
                  <c:pt idx="1214">
                    <c:v>T024</c:v>
                  </c:pt>
                  <c:pt idx="1215">
                    <c:v>T005</c:v>
                  </c:pt>
                  <c:pt idx="1216">
                    <c:v>T006</c:v>
                  </c:pt>
                  <c:pt idx="1217">
                    <c:v>T007</c:v>
                  </c:pt>
                  <c:pt idx="1218">
                    <c:v>T008</c:v>
                  </c:pt>
                  <c:pt idx="1219">
                    <c:v>T009</c:v>
                  </c:pt>
                  <c:pt idx="1220">
                    <c:v>T010</c:v>
                  </c:pt>
                  <c:pt idx="1221">
                    <c:v>T011</c:v>
                  </c:pt>
                  <c:pt idx="1222">
                    <c:v>T012</c:v>
                  </c:pt>
                  <c:pt idx="1223">
                    <c:v>T013</c:v>
                  </c:pt>
                  <c:pt idx="1224">
                    <c:v>T014</c:v>
                  </c:pt>
                  <c:pt idx="1225">
                    <c:v>T015</c:v>
                  </c:pt>
                  <c:pt idx="1226">
                    <c:v>T016</c:v>
                  </c:pt>
                  <c:pt idx="1227">
                    <c:v>T017</c:v>
                  </c:pt>
                  <c:pt idx="1228">
                    <c:v>T018</c:v>
                  </c:pt>
                  <c:pt idx="1229">
                    <c:v>T019</c:v>
                  </c:pt>
                  <c:pt idx="1230">
                    <c:v>T020</c:v>
                  </c:pt>
                  <c:pt idx="1231">
                    <c:v>T021</c:v>
                  </c:pt>
                  <c:pt idx="1232">
                    <c:v>T022</c:v>
                  </c:pt>
                  <c:pt idx="1233">
                    <c:v>T023</c:v>
                  </c:pt>
                  <c:pt idx="1234">
                    <c:v>T024</c:v>
                  </c:pt>
                  <c:pt idx="1235">
                    <c:v>T001</c:v>
                  </c:pt>
                  <c:pt idx="1236">
                    <c:v>T002</c:v>
                  </c:pt>
                  <c:pt idx="1237">
                    <c:v>T003</c:v>
                  </c:pt>
                  <c:pt idx="1238">
                    <c:v>T004</c:v>
                  </c:pt>
                  <c:pt idx="1239">
                    <c:v>T005</c:v>
                  </c:pt>
                  <c:pt idx="1240">
                    <c:v>T006</c:v>
                  </c:pt>
                  <c:pt idx="1241">
                    <c:v>T007</c:v>
                  </c:pt>
                  <c:pt idx="1242">
                    <c:v>T008</c:v>
                  </c:pt>
                  <c:pt idx="1243">
                    <c:v>T009</c:v>
                  </c:pt>
                  <c:pt idx="1244">
                    <c:v>T010</c:v>
                  </c:pt>
                  <c:pt idx="1245">
                    <c:v>T011</c:v>
                  </c:pt>
                  <c:pt idx="1246">
                    <c:v>T012</c:v>
                  </c:pt>
                  <c:pt idx="1247">
                    <c:v>T013</c:v>
                  </c:pt>
                  <c:pt idx="1248">
                    <c:v>T014</c:v>
                  </c:pt>
                  <c:pt idx="1249">
                    <c:v>T015</c:v>
                  </c:pt>
                  <c:pt idx="1250">
                    <c:v>T016</c:v>
                  </c:pt>
                  <c:pt idx="1251">
                    <c:v>T017</c:v>
                  </c:pt>
                  <c:pt idx="1252">
                    <c:v>T018</c:v>
                  </c:pt>
                  <c:pt idx="1253">
                    <c:v>T019</c:v>
                  </c:pt>
                  <c:pt idx="1254">
                    <c:v>T020</c:v>
                  </c:pt>
                  <c:pt idx="1255">
                    <c:v>T021</c:v>
                  </c:pt>
                  <c:pt idx="1256">
                    <c:v>T022</c:v>
                  </c:pt>
                  <c:pt idx="1257">
                    <c:v>T023</c:v>
                  </c:pt>
                  <c:pt idx="1258">
                    <c:v>T024</c:v>
                  </c:pt>
                  <c:pt idx="1259">
                    <c:v>T001</c:v>
                  </c:pt>
                  <c:pt idx="1260">
                    <c:v>T002</c:v>
                  </c:pt>
                  <c:pt idx="1261">
                    <c:v>T003</c:v>
                  </c:pt>
                  <c:pt idx="1262">
                    <c:v>T004</c:v>
                  </c:pt>
                  <c:pt idx="1263">
                    <c:v>T005</c:v>
                  </c:pt>
                  <c:pt idx="1264">
                    <c:v>T006</c:v>
                  </c:pt>
                  <c:pt idx="1265">
                    <c:v>T007</c:v>
                  </c:pt>
                  <c:pt idx="1266">
                    <c:v>T008</c:v>
                  </c:pt>
                  <c:pt idx="1267">
                    <c:v>T009</c:v>
                  </c:pt>
                  <c:pt idx="1268">
                    <c:v>T010</c:v>
                  </c:pt>
                  <c:pt idx="1269">
                    <c:v>T011</c:v>
                  </c:pt>
                  <c:pt idx="1270">
                    <c:v>T012</c:v>
                  </c:pt>
                  <c:pt idx="1271">
                    <c:v>T013</c:v>
                  </c:pt>
                  <c:pt idx="1272">
                    <c:v>T014</c:v>
                  </c:pt>
                  <c:pt idx="1273">
                    <c:v>T015</c:v>
                  </c:pt>
                  <c:pt idx="1274">
                    <c:v>T016</c:v>
                  </c:pt>
                  <c:pt idx="1275">
                    <c:v>T017</c:v>
                  </c:pt>
                  <c:pt idx="1276">
                    <c:v>T018</c:v>
                  </c:pt>
                  <c:pt idx="1277">
                    <c:v>T019</c:v>
                  </c:pt>
                  <c:pt idx="1278">
                    <c:v>T020</c:v>
                  </c:pt>
                  <c:pt idx="1279">
                    <c:v>T021</c:v>
                  </c:pt>
                  <c:pt idx="1280">
                    <c:v>T022</c:v>
                  </c:pt>
                  <c:pt idx="1281">
                    <c:v>T023</c:v>
                  </c:pt>
                  <c:pt idx="1282">
                    <c:v>T024</c:v>
                  </c:pt>
                  <c:pt idx="1283">
                    <c:v>T001</c:v>
                  </c:pt>
                  <c:pt idx="1284">
                    <c:v>T002</c:v>
                  </c:pt>
                  <c:pt idx="1285">
                    <c:v>T003</c:v>
                  </c:pt>
                  <c:pt idx="1286">
                    <c:v>T004</c:v>
                  </c:pt>
                  <c:pt idx="1287">
                    <c:v>T005</c:v>
                  </c:pt>
                  <c:pt idx="1288">
                    <c:v>T006</c:v>
                  </c:pt>
                  <c:pt idx="1289">
                    <c:v>T007</c:v>
                  </c:pt>
                  <c:pt idx="1290">
                    <c:v>T008</c:v>
                  </c:pt>
                  <c:pt idx="1291">
                    <c:v>T009</c:v>
                  </c:pt>
                  <c:pt idx="1292">
                    <c:v>T010</c:v>
                  </c:pt>
                  <c:pt idx="1293">
                    <c:v>T011</c:v>
                  </c:pt>
                  <c:pt idx="1294">
                    <c:v>T012</c:v>
                  </c:pt>
                  <c:pt idx="1295">
                    <c:v>T013</c:v>
                  </c:pt>
                  <c:pt idx="1296">
                    <c:v>T014</c:v>
                  </c:pt>
                  <c:pt idx="1297">
                    <c:v>T015</c:v>
                  </c:pt>
                  <c:pt idx="1298">
                    <c:v>T016</c:v>
                  </c:pt>
                  <c:pt idx="1299">
                    <c:v>T017</c:v>
                  </c:pt>
                  <c:pt idx="1300">
                    <c:v>T018</c:v>
                  </c:pt>
                  <c:pt idx="1301">
                    <c:v>T019</c:v>
                  </c:pt>
                  <c:pt idx="1302">
                    <c:v>T020</c:v>
                  </c:pt>
                  <c:pt idx="1303">
                    <c:v>T021</c:v>
                  </c:pt>
                  <c:pt idx="1304">
                    <c:v>T022</c:v>
                  </c:pt>
                  <c:pt idx="1305">
                    <c:v>T023</c:v>
                  </c:pt>
                  <c:pt idx="1306">
                    <c:v>T024</c:v>
                  </c:pt>
                  <c:pt idx="1307">
                    <c:v>T001</c:v>
                  </c:pt>
                  <c:pt idx="1308">
                    <c:v>T002</c:v>
                  </c:pt>
                  <c:pt idx="1309">
                    <c:v>T003</c:v>
                  </c:pt>
                  <c:pt idx="1310">
                    <c:v>T004</c:v>
                  </c:pt>
                  <c:pt idx="1311">
                    <c:v>T005</c:v>
                  </c:pt>
                  <c:pt idx="1312">
                    <c:v>T006</c:v>
                  </c:pt>
                  <c:pt idx="1313">
                    <c:v>T007</c:v>
                  </c:pt>
                  <c:pt idx="1314">
                    <c:v>T008</c:v>
                  </c:pt>
                  <c:pt idx="1315">
                    <c:v>T009</c:v>
                  </c:pt>
                  <c:pt idx="1316">
                    <c:v>T010</c:v>
                  </c:pt>
                  <c:pt idx="1317">
                    <c:v>T011</c:v>
                  </c:pt>
                  <c:pt idx="1318">
                    <c:v>T012</c:v>
                  </c:pt>
                  <c:pt idx="1319">
                    <c:v>T013</c:v>
                  </c:pt>
                  <c:pt idx="1320">
                    <c:v>T014</c:v>
                  </c:pt>
                  <c:pt idx="1321">
                    <c:v>T015</c:v>
                  </c:pt>
                  <c:pt idx="1322">
                    <c:v>T016</c:v>
                  </c:pt>
                  <c:pt idx="1323">
                    <c:v>T017</c:v>
                  </c:pt>
                  <c:pt idx="1324">
                    <c:v>T018</c:v>
                  </c:pt>
                  <c:pt idx="1325">
                    <c:v>T019</c:v>
                  </c:pt>
                  <c:pt idx="1326">
                    <c:v>T020</c:v>
                  </c:pt>
                  <c:pt idx="1327">
                    <c:v>T021</c:v>
                  </c:pt>
                  <c:pt idx="1328">
                    <c:v>T022</c:v>
                  </c:pt>
                  <c:pt idx="1329">
                    <c:v>T023</c:v>
                  </c:pt>
                  <c:pt idx="1330">
                    <c:v>T024</c:v>
                  </c:pt>
                  <c:pt idx="1331">
                    <c:v>T001</c:v>
                  </c:pt>
                  <c:pt idx="1332">
                    <c:v>T002</c:v>
                  </c:pt>
                  <c:pt idx="1333">
                    <c:v>T003</c:v>
                  </c:pt>
                  <c:pt idx="1334">
                    <c:v>T004</c:v>
                  </c:pt>
                  <c:pt idx="1335">
                    <c:v>T005</c:v>
                  </c:pt>
                  <c:pt idx="1336">
                    <c:v>T006</c:v>
                  </c:pt>
                  <c:pt idx="1337">
                    <c:v>T007</c:v>
                  </c:pt>
                  <c:pt idx="1338">
                    <c:v>T008</c:v>
                  </c:pt>
                  <c:pt idx="1339">
                    <c:v>T009</c:v>
                  </c:pt>
                  <c:pt idx="1340">
                    <c:v>T010</c:v>
                  </c:pt>
                  <c:pt idx="1341">
                    <c:v>T011</c:v>
                  </c:pt>
                  <c:pt idx="1342">
                    <c:v>T012</c:v>
                  </c:pt>
                  <c:pt idx="1343">
                    <c:v>T013</c:v>
                  </c:pt>
                  <c:pt idx="1344">
                    <c:v>T014</c:v>
                  </c:pt>
                  <c:pt idx="1345">
                    <c:v>T015</c:v>
                  </c:pt>
                  <c:pt idx="1346">
                    <c:v>T016</c:v>
                  </c:pt>
                  <c:pt idx="1347">
                    <c:v>T017</c:v>
                  </c:pt>
                  <c:pt idx="1348">
                    <c:v>T018</c:v>
                  </c:pt>
                  <c:pt idx="1349">
                    <c:v>T019</c:v>
                  </c:pt>
                  <c:pt idx="1350">
                    <c:v>T020</c:v>
                  </c:pt>
                  <c:pt idx="1351">
                    <c:v>T021</c:v>
                  </c:pt>
                  <c:pt idx="1352">
                    <c:v>T022</c:v>
                  </c:pt>
                  <c:pt idx="1353">
                    <c:v>T023</c:v>
                  </c:pt>
                  <c:pt idx="1354">
                    <c:v>T024</c:v>
                  </c:pt>
                  <c:pt idx="1355">
                    <c:v>T006</c:v>
                  </c:pt>
                  <c:pt idx="1356">
                    <c:v>T007</c:v>
                  </c:pt>
                  <c:pt idx="1357">
                    <c:v>T008</c:v>
                  </c:pt>
                  <c:pt idx="1358">
                    <c:v>T009</c:v>
                  </c:pt>
                  <c:pt idx="1359">
                    <c:v>T010</c:v>
                  </c:pt>
                  <c:pt idx="1360">
                    <c:v>T011</c:v>
                  </c:pt>
                  <c:pt idx="1361">
                    <c:v>T012</c:v>
                  </c:pt>
                  <c:pt idx="1362">
                    <c:v>T013</c:v>
                  </c:pt>
                  <c:pt idx="1363">
                    <c:v>T014</c:v>
                  </c:pt>
                  <c:pt idx="1364">
                    <c:v>T015</c:v>
                  </c:pt>
                  <c:pt idx="1365">
                    <c:v>T016</c:v>
                  </c:pt>
                  <c:pt idx="1366">
                    <c:v>T017</c:v>
                  </c:pt>
                  <c:pt idx="1367">
                    <c:v>T018</c:v>
                  </c:pt>
                  <c:pt idx="1368">
                    <c:v>T019</c:v>
                  </c:pt>
                  <c:pt idx="1369">
                    <c:v>T020</c:v>
                  </c:pt>
                  <c:pt idx="1370">
                    <c:v>T021</c:v>
                  </c:pt>
                  <c:pt idx="1371">
                    <c:v>T022</c:v>
                  </c:pt>
                  <c:pt idx="1372">
                    <c:v>T001</c:v>
                  </c:pt>
                  <c:pt idx="1373">
                    <c:v>T002</c:v>
                  </c:pt>
                  <c:pt idx="1374">
                    <c:v>T003</c:v>
                  </c:pt>
                  <c:pt idx="1375">
                    <c:v>T004</c:v>
                  </c:pt>
                  <c:pt idx="1376">
                    <c:v>T005</c:v>
                  </c:pt>
                  <c:pt idx="1377">
                    <c:v>T006</c:v>
                  </c:pt>
                  <c:pt idx="1378">
                    <c:v>T007</c:v>
                  </c:pt>
                  <c:pt idx="1379">
                    <c:v>T008</c:v>
                  </c:pt>
                  <c:pt idx="1380">
                    <c:v>T009</c:v>
                  </c:pt>
                  <c:pt idx="1381">
                    <c:v>T010</c:v>
                  </c:pt>
                  <c:pt idx="1382">
                    <c:v>T011</c:v>
                  </c:pt>
                  <c:pt idx="1383">
                    <c:v>T012</c:v>
                  </c:pt>
                  <c:pt idx="1384">
                    <c:v>T013</c:v>
                  </c:pt>
                  <c:pt idx="1385">
                    <c:v>T014</c:v>
                  </c:pt>
                  <c:pt idx="1386">
                    <c:v>T015</c:v>
                  </c:pt>
                  <c:pt idx="1387">
                    <c:v>T016</c:v>
                  </c:pt>
                  <c:pt idx="1388">
                    <c:v>T017</c:v>
                  </c:pt>
                  <c:pt idx="1389">
                    <c:v>T018</c:v>
                  </c:pt>
                  <c:pt idx="1390">
                    <c:v>T019</c:v>
                  </c:pt>
                  <c:pt idx="1391">
                    <c:v>T020</c:v>
                  </c:pt>
                  <c:pt idx="1392">
                    <c:v>T021</c:v>
                  </c:pt>
                  <c:pt idx="1393">
                    <c:v>T022</c:v>
                  </c:pt>
                  <c:pt idx="1394">
                    <c:v>T023</c:v>
                  </c:pt>
                  <c:pt idx="1395">
                    <c:v>T024</c:v>
                  </c:pt>
                  <c:pt idx="1396">
                    <c:v>T001</c:v>
                  </c:pt>
                  <c:pt idx="1397">
                    <c:v>T002</c:v>
                  </c:pt>
                  <c:pt idx="1398">
                    <c:v>T003</c:v>
                  </c:pt>
                  <c:pt idx="1399">
                    <c:v>T004</c:v>
                  </c:pt>
                  <c:pt idx="1400">
                    <c:v>T005</c:v>
                  </c:pt>
                  <c:pt idx="1401">
                    <c:v>T006</c:v>
                  </c:pt>
                  <c:pt idx="1402">
                    <c:v>T007</c:v>
                  </c:pt>
                  <c:pt idx="1403">
                    <c:v>T008</c:v>
                  </c:pt>
                  <c:pt idx="1404">
                    <c:v>T009</c:v>
                  </c:pt>
                  <c:pt idx="1405">
                    <c:v>T010</c:v>
                  </c:pt>
                  <c:pt idx="1406">
                    <c:v>T011</c:v>
                  </c:pt>
                  <c:pt idx="1407">
                    <c:v>T012</c:v>
                  </c:pt>
                  <c:pt idx="1408">
                    <c:v>T013</c:v>
                  </c:pt>
                  <c:pt idx="1409">
                    <c:v>T014</c:v>
                  </c:pt>
                  <c:pt idx="1410">
                    <c:v>T015</c:v>
                  </c:pt>
                  <c:pt idx="1411">
                    <c:v>T016</c:v>
                  </c:pt>
                  <c:pt idx="1412">
                    <c:v>T017</c:v>
                  </c:pt>
                  <c:pt idx="1413">
                    <c:v>T018</c:v>
                  </c:pt>
                  <c:pt idx="1414">
                    <c:v>T019</c:v>
                  </c:pt>
                  <c:pt idx="1415">
                    <c:v>T020</c:v>
                  </c:pt>
                  <c:pt idx="1416">
                    <c:v>T021</c:v>
                  </c:pt>
                  <c:pt idx="1417">
                    <c:v>T022</c:v>
                  </c:pt>
                  <c:pt idx="1418">
                    <c:v>T023</c:v>
                  </c:pt>
                  <c:pt idx="1419">
                    <c:v>T024</c:v>
                  </c:pt>
                  <c:pt idx="1420">
                    <c:v>T006</c:v>
                  </c:pt>
                  <c:pt idx="1421">
                    <c:v>T007</c:v>
                  </c:pt>
                  <c:pt idx="1422">
                    <c:v>T008</c:v>
                  </c:pt>
                  <c:pt idx="1423">
                    <c:v>T009</c:v>
                  </c:pt>
                  <c:pt idx="1424">
                    <c:v>T010</c:v>
                  </c:pt>
                  <c:pt idx="1425">
                    <c:v>T011</c:v>
                  </c:pt>
                  <c:pt idx="1426">
                    <c:v>T012</c:v>
                  </c:pt>
                  <c:pt idx="1427">
                    <c:v>T013</c:v>
                  </c:pt>
                  <c:pt idx="1428">
                    <c:v>T014</c:v>
                  </c:pt>
                  <c:pt idx="1429">
                    <c:v>T015</c:v>
                  </c:pt>
                  <c:pt idx="1430">
                    <c:v>T016</c:v>
                  </c:pt>
                  <c:pt idx="1431">
                    <c:v>T017</c:v>
                  </c:pt>
                  <c:pt idx="1432">
                    <c:v>T018</c:v>
                  </c:pt>
                  <c:pt idx="1433">
                    <c:v>T019</c:v>
                  </c:pt>
                  <c:pt idx="1434">
                    <c:v>T020</c:v>
                  </c:pt>
                  <c:pt idx="1435">
                    <c:v>T021</c:v>
                  </c:pt>
                  <c:pt idx="1436">
                    <c:v>T022</c:v>
                  </c:pt>
                  <c:pt idx="1437">
                    <c:v>T006</c:v>
                  </c:pt>
                  <c:pt idx="1438">
                    <c:v>T007</c:v>
                  </c:pt>
                  <c:pt idx="1439">
                    <c:v>T008</c:v>
                  </c:pt>
                  <c:pt idx="1440">
                    <c:v>T009</c:v>
                  </c:pt>
                  <c:pt idx="1441">
                    <c:v>T010</c:v>
                  </c:pt>
                  <c:pt idx="1442">
                    <c:v>T011</c:v>
                  </c:pt>
                  <c:pt idx="1443">
                    <c:v>T012</c:v>
                  </c:pt>
                  <c:pt idx="1444">
                    <c:v>T013</c:v>
                  </c:pt>
                  <c:pt idx="1445">
                    <c:v>T014</c:v>
                  </c:pt>
                  <c:pt idx="1446">
                    <c:v>T015</c:v>
                  </c:pt>
                  <c:pt idx="1447">
                    <c:v>T016</c:v>
                  </c:pt>
                  <c:pt idx="1448">
                    <c:v>T017</c:v>
                  </c:pt>
                  <c:pt idx="1449">
                    <c:v>T020</c:v>
                  </c:pt>
                  <c:pt idx="1450">
                    <c:v>T021</c:v>
                  </c:pt>
                  <c:pt idx="1451">
                    <c:v>T007</c:v>
                  </c:pt>
                  <c:pt idx="1452">
                    <c:v>T008</c:v>
                  </c:pt>
                  <c:pt idx="1453">
                    <c:v>T009</c:v>
                  </c:pt>
                  <c:pt idx="1454">
                    <c:v>T010</c:v>
                  </c:pt>
                  <c:pt idx="1455">
                    <c:v>T011</c:v>
                  </c:pt>
                  <c:pt idx="1456">
                    <c:v>T012</c:v>
                  </c:pt>
                  <c:pt idx="1457">
                    <c:v>T013</c:v>
                  </c:pt>
                  <c:pt idx="1458">
                    <c:v>T014</c:v>
                  </c:pt>
                  <c:pt idx="1459">
                    <c:v>T015</c:v>
                  </c:pt>
                  <c:pt idx="1460">
                    <c:v>T016</c:v>
                  </c:pt>
                  <c:pt idx="1461">
                    <c:v>T017</c:v>
                  </c:pt>
                  <c:pt idx="1462">
                    <c:v>T018</c:v>
                  </c:pt>
                  <c:pt idx="1463">
                    <c:v>T019</c:v>
                  </c:pt>
                  <c:pt idx="1464">
                    <c:v>T020</c:v>
                  </c:pt>
                  <c:pt idx="1465">
                    <c:v>T021</c:v>
                  </c:pt>
                  <c:pt idx="1466">
                    <c:v>T022</c:v>
                  </c:pt>
                  <c:pt idx="1467">
                    <c:v>T023</c:v>
                  </c:pt>
                  <c:pt idx="1468">
                    <c:v>T024</c:v>
                  </c:pt>
                  <c:pt idx="1469">
                    <c:v>T001</c:v>
                  </c:pt>
                  <c:pt idx="1470">
                    <c:v>T002</c:v>
                  </c:pt>
                  <c:pt idx="1471">
                    <c:v>T003</c:v>
                  </c:pt>
                  <c:pt idx="1472">
                    <c:v>T004</c:v>
                  </c:pt>
                  <c:pt idx="1473">
                    <c:v>T005</c:v>
                  </c:pt>
                  <c:pt idx="1474">
                    <c:v>T006</c:v>
                  </c:pt>
                  <c:pt idx="1475">
                    <c:v>T007</c:v>
                  </c:pt>
                  <c:pt idx="1476">
                    <c:v>T008</c:v>
                  </c:pt>
                  <c:pt idx="1477">
                    <c:v>T009</c:v>
                  </c:pt>
                  <c:pt idx="1478">
                    <c:v>T010</c:v>
                  </c:pt>
                  <c:pt idx="1479">
                    <c:v>T011</c:v>
                  </c:pt>
                  <c:pt idx="1480">
                    <c:v>T012</c:v>
                  </c:pt>
                  <c:pt idx="1481">
                    <c:v>T013</c:v>
                  </c:pt>
                  <c:pt idx="1482">
                    <c:v>T014</c:v>
                  </c:pt>
                  <c:pt idx="1483">
                    <c:v>T015</c:v>
                  </c:pt>
                  <c:pt idx="1484">
                    <c:v>T016</c:v>
                  </c:pt>
                  <c:pt idx="1485">
                    <c:v>T017</c:v>
                  </c:pt>
                  <c:pt idx="1486">
                    <c:v>T018</c:v>
                  </c:pt>
                  <c:pt idx="1487">
                    <c:v>T019</c:v>
                  </c:pt>
                  <c:pt idx="1488">
                    <c:v>T020</c:v>
                  </c:pt>
                  <c:pt idx="1489">
                    <c:v>T021</c:v>
                  </c:pt>
                  <c:pt idx="1490">
                    <c:v>T022</c:v>
                  </c:pt>
                  <c:pt idx="1491">
                    <c:v>T023</c:v>
                  </c:pt>
                  <c:pt idx="1492">
                    <c:v>T024</c:v>
                  </c:pt>
                  <c:pt idx="1493">
                    <c:v>T001</c:v>
                  </c:pt>
                  <c:pt idx="1494">
                    <c:v>T002</c:v>
                  </c:pt>
                  <c:pt idx="1495">
                    <c:v>T003</c:v>
                  </c:pt>
                  <c:pt idx="1496">
                    <c:v>T004</c:v>
                  </c:pt>
                  <c:pt idx="1497">
                    <c:v>T005</c:v>
                  </c:pt>
                  <c:pt idx="1498">
                    <c:v>T006</c:v>
                  </c:pt>
                  <c:pt idx="1499">
                    <c:v>T007</c:v>
                  </c:pt>
                  <c:pt idx="1500">
                    <c:v>T008</c:v>
                  </c:pt>
                  <c:pt idx="1501">
                    <c:v>T009</c:v>
                  </c:pt>
                  <c:pt idx="1502">
                    <c:v>T010</c:v>
                  </c:pt>
                  <c:pt idx="1503">
                    <c:v>T011</c:v>
                  </c:pt>
                  <c:pt idx="1504">
                    <c:v>T012</c:v>
                  </c:pt>
                  <c:pt idx="1505">
                    <c:v>T013</c:v>
                  </c:pt>
                  <c:pt idx="1506">
                    <c:v>T014</c:v>
                  </c:pt>
                  <c:pt idx="1507">
                    <c:v>T015</c:v>
                  </c:pt>
                  <c:pt idx="1508">
                    <c:v>T016</c:v>
                  </c:pt>
                  <c:pt idx="1509">
                    <c:v>T017</c:v>
                  </c:pt>
                  <c:pt idx="1510">
                    <c:v>T018</c:v>
                  </c:pt>
                  <c:pt idx="1511">
                    <c:v>T019</c:v>
                  </c:pt>
                  <c:pt idx="1512">
                    <c:v>T020</c:v>
                  </c:pt>
                  <c:pt idx="1513">
                    <c:v>T021</c:v>
                  </c:pt>
                  <c:pt idx="1514">
                    <c:v>T022</c:v>
                  </c:pt>
                  <c:pt idx="1515">
                    <c:v>T023</c:v>
                  </c:pt>
                  <c:pt idx="1516">
                    <c:v>T024</c:v>
                  </c:pt>
                  <c:pt idx="1517">
                    <c:v>T001</c:v>
                  </c:pt>
                  <c:pt idx="1518">
                    <c:v>T002</c:v>
                  </c:pt>
                  <c:pt idx="1519">
                    <c:v>T004</c:v>
                  </c:pt>
                  <c:pt idx="1520">
                    <c:v>T005</c:v>
                  </c:pt>
                  <c:pt idx="1521">
                    <c:v>T006</c:v>
                  </c:pt>
                  <c:pt idx="1522">
                    <c:v>T007</c:v>
                  </c:pt>
                  <c:pt idx="1523">
                    <c:v>T008</c:v>
                  </c:pt>
                  <c:pt idx="1524">
                    <c:v>T009</c:v>
                  </c:pt>
                  <c:pt idx="1525">
                    <c:v>T010</c:v>
                  </c:pt>
                  <c:pt idx="1526">
                    <c:v>T011</c:v>
                  </c:pt>
                  <c:pt idx="1527">
                    <c:v>T012</c:v>
                  </c:pt>
                  <c:pt idx="1528">
                    <c:v>T013</c:v>
                  </c:pt>
                  <c:pt idx="1529">
                    <c:v>T014</c:v>
                  </c:pt>
                  <c:pt idx="1530">
                    <c:v>T015</c:v>
                  </c:pt>
                  <c:pt idx="1531">
                    <c:v>T016</c:v>
                  </c:pt>
                  <c:pt idx="1532">
                    <c:v>T017</c:v>
                  </c:pt>
                  <c:pt idx="1533">
                    <c:v>T018</c:v>
                  </c:pt>
                  <c:pt idx="1534">
                    <c:v>T019</c:v>
                  </c:pt>
                  <c:pt idx="1535">
                    <c:v>T020</c:v>
                  </c:pt>
                  <c:pt idx="1536">
                    <c:v>T021</c:v>
                  </c:pt>
                  <c:pt idx="1537">
                    <c:v>T022</c:v>
                  </c:pt>
                  <c:pt idx="1538">
                    <c:v>T023</c:v>
                  </c:pt>
                  <c:pt idx="1539">
                    <c:v>T024</c:v>
                  </c:pt>
                  <c:pt idx="1540">
                    <c:v>T007</c:v>
                  </c:pt>
                  <c:pt idx="1541">
                    <c:v>T008</c:v>
                  </c:pt>
                  <c:pt idx="1542">
                    <c:v>T009</c:v>
                  </c:pt>
                  <c:pt idx="1543">
                    <c:v>T010</c:v>
                  </c:pt>
                  <c:pt idx="1544">
                    <c:v>T011</c:v>
                  </c:pt>
                  <c:pt idx="1545">
                    <c:v>T012</c:v>
                  </c:pt>
                  <c:pt idx="1546">
                    <c:v>T001</c:v>
                  </c:pt>
                  <c:pt idx="1547">
                    <c:v>T002</c:v>
                  </c:pt>
                  <c:pt idx="1548">
                    <c:v>T003</c:v>
                  </c:pt>
                  <c:pt idx="1549">
                    <c:v>T004</c:v>
                  </c:pt>
                  <c:pt idx="1550">
                    <c:v>T005</c:v>
                  </c:pt>
                  <c:pt idx="1551">
                    <c:v>T006</c:v>
                  </c:pt>
                  <c:pt idx="1552">
                    <c:v>T007</c:v>
                  </c:pt>
                  <c:pt idx="1553">
                    <c:v>T008</c:v>
                  </c:pt>
                  <c:pt idx="1554">
                    <c:v>T009</c:v>
                  </c:pt>
                  <c:pt idx="1555">
                    <c:v>T010</c:v>
                  </c:pt>
                  <c:pt idx="1556">
                    <c:v>T011</c:v>
                  </c:pt>
                  <c:pt idx="1557">
                    <c:v>T012</c:v>
                  </c:pt>
                  <c:pt idx="1558">
                    <c:v>T013</c:v>
                  </c:pt>
                  <c:pt idx="1559">
                    <c:v>T014</c:v>
                  </c:pt>
                  <c:pt idx="1560">
                    <c:v>T015</c:v>
                  </c:pt>
                  <c:pt idx="1561">
                    <c:v>T016</c:v>
                  </c:pt>
                  <c:pt idx="1562">
                    <c:v>T017</c:v>
                  </c:pt>
                  <c:pt idx="1563">
                    <c:v>T018</c:v>
                  </c:pt>
                  <c:pt idx="1564">
                    <c:v>T019</c:v>
                  </c:pt>
                  <c:pt idx="1565">
                    <c:v>T020</c:v>
                  </c:pt>
                  <c:pt idx="1566">
                    <c:v>T021</c:v>
                  </c:pt>
                  <c:pt idx="1567">
                    <c:v>T022</c:v>
                  </c:pt>
                  <c:pt idx="1568">
                    <c:v>T023</c:v>
                  </c:pt>
                  <c:pt idx="1569">
                    <c:v>T024</c:v>
                  </c:pt>
                  <c:pt idx="1570">
                    <c:v>T006</c:v>
                  </c:pt>
                  <c:pt idx="1571">
                    <c:v>T007</c:v>
                  </c:pt>
                  <c:pt idx="1572">
                    <c:v>T008</c:v>
                  </c:pt>
                  <c:pt idx="1573">
                    <c:v>T009</c:v>
                  </c:pt>
                  <c:pt idx="1574">
                    <c:v>T010</c:v>
                  </c:pt>
                  <c:pt idx="1575">
                    <c:v>T011</c:v>
                  </c:pt>
                  <c:pt idx="1576">
                    <c:v>T012</c:v>
                  </c:pt>
                  <c:pt idx="1577">
                    <c:v>T013</c:v>
                  </c:pt>
                  <c:pt idx="1578">
                    <c:v>T014</c:v>
                  </c:pt>
                  <c:pt idx="1579">
                    <c:v>T015</c:v>
                  </c:pt>
                  <c:pt idx="1580">
                    <c:v>T016</c:v>
                  </c:pt>
                  <c:pt idx="1581">
                    <c:v>T017</c:v>
                  </c:pt>
                  <c:pt idx="1582">
                    <c:v>T018</c:v>
                  </c:pt>
                  <c:pt idx="1583">
                    <c:v>T019</c:v>
                  </c:pt>
                  <c:pt idx="1584">
                    <c:v>T020</c:v>
                  </c:pt>
                  <c:pt idx="1585">
                    <c:v>T021</c:v>
                  </c:pt>
                  <c:pt idx="1586">
                    <c:v>T022</c:v>
                  </c:pt>
                  <c:pt idx="1587">
                    <c:v>T023</c:v>
                  </c:pt>
                  <c:pt idx="1588">
                    <c:v>T024</c:v>
                  </c:pt>
                  <c:pt idx="1589">
                    <c:v>T001</c:v>
                  </c:pt>
                  <c:pt idx="1590">
                    <c:v>T002</c:v>
                  </c:pt>
                  <c:pt idx="1591">
                    <c:v>T003</c:v>
                  </c:pt>
                  <c:pt idx="1592">
                    <c:v>T004</c:v>
                  </c:pt>
                  <c:pt idx="1593">
                    <c:v>T005</c:v>
                  </c:pt>
                  <c:pt idx="1594">
                    <c:v>T006</c:v>
                  </c:pt>
                  <c:pt idx="1595">
                    <c:v>T007</c:v>
                  </c:pt>
                  <c:pt idx="1596">
                    <c:v>T008</c:v>
                  </c:pt>
                  <c:pt idx="1597">
                    <c:v>T009</c:v>
                  </c:pt>
                  <c:pt idx="1598">
                    <c:v>T010</c:v>
                  </c:pt>
                  <c:pt idx="1599">
                    <c:v>T011</c:v>
                  </c:pt>
                  <c:pt idx="1600">
                    <c:v>T012</c:v>
                  </c:pt>
                  <c:pt idx="1601">
                    <c:v>T013</c:v>
                  </c:pt>
                  <c:pt idx="1602">
                    <c:v>T014</c:v>
                  </c:pt>
                  <c:pt idx="1603">
                    <c:v>T015</c:v>
                  </c:pt>
                  <c:pt idx="1604">
                    <c:v>T016</c:v>
                  </c:pt>
                  <c:pt idx="1605">
                    <c:v>T017</c:v>
                  </c:pt>
                  <c:pt idx="1606">
                    <c:v>T018</c:v>
                  </c:pt>
                  <c:pt idx="1607">
                    <c:v>T019</c:v>
                  </c:pt>
                  <c:pt idx="1608">
                    <c:v>T020</c:v>
                  </c:pt>
                  <c:pt idx="1609">
                    <c:v>T021</c:v>
                  </c:pt>
                  <c:pt idx="1610">
                    <c:v>T022</c:v>
                  </c:pt>
                  <c:pt idx="1611">
                    <c:v>T023</c:v>
                  </c:pt>
                  <c:pt idx="1612">
                    <c:v>T024</c:v>
                  </c:pt>
                  <c:pt idx="1613">
                    <c:v>T008</c:v>
                  </c:pt>
                  <c:pt idx="1614">
                    <c:v>T019</c:v>
                  </c:pt>
                  <c:pt idx="1615">
                    <c:v>T007</c:v>
                  </c:pt>
                  <c:pt idx="1616">
                    <c:v>T008</c:v>
                  </c:pt>
                  <c:pt idx="1617">
                    <c:v>T009</c:v>
                  </c:pt>
                  <c:pt idx="1618">
                    <c:v>T010</c:v>
                  </c:pt>
                  <c:pt idx="1619">
                    <c:v>T011</c:v>
                  </c:pt>
                  <c:pt idx="1620">
                    <c:v>T012</c:v>
                  </c:pt>
                  <c:pt idx="1621">
                    <c:v>T013</c:v>
                  </c:pt>
                  <c:pt idx="1622">
                    <c:v>T014</c:v>
                  </c:pt>
                  <c:pt idx="1623">
                    <c:v>T015</c:v>
                  </c:pt>
                  <c:pt idx="1624">
                    <c:v>T016</c:v>
                  </c:pt>
                  <c:pt idx="1625">
                    <c:v>T017</c:v>
                  </c:pt>
                  <c:pt idx="1626">
                    <c:v>T018</c:v>
                  </c:pt>
                  <c:pt idx="1627">
                    <c:v>T019</c:v>
                  </c:pt>
                  <c:pt idx="1628">
                    <c:v>T007</c:v>
                  </c:pt>
                  <c:pt idx="1629">
                    <c:v>T008</c:v>
                  </c:pt>
                  <c:pt idx="1630">
                    <c:v>T009</c:v>
                  </c:pt>
                  <c:pt idx="1631">
                    <c:v>T010</c:v>
                  </c:pt>
                  <c:pt idx="1632">
                    <c:v>T011</c:v>
                  </c:pt>
                  <c:pt idx="1633">
                    <c:v>T012</c:v>
                  </c:pt>
                  <c:pt idx="1634">
                    <c:v>T013</c:v>
                  </c:pt>
                  <c:pt idx="1635">
                    <c:v>T014</c:v>
                  </c:pt>
                  <c:pt idx="1636">
                    <c:v>T015</c:v>
                  </c:pt>
                  <c:pt idx="1637">
                    <c:v>T016</c:v>
                  </c:pt>
                  <c:pt idx="1638">
                    <c:v>T017</c:v>
                  </c:pt>
                  <c:pt idx="1639">
                    <c:v>T018</c:v>
                  </c:pt>
                  <c:pt idx="1640">
                    <c:v>T019</c:v>
                  </c:pt>
                  <c:pt idx="1641">
                    <c:v>T001</c:v>
                  </c:pt>
                  <c:pt idx="1642">
                    <c:v>T002</c:v>
                  </c:pt>
                  <c:pt idx="1643">
                    <c:v>T003</c:v>
                  </c:pt>
                  <c:pt idx="1644">
                    <c:v>T004</c:v>
                  </c:pt>
                  <c:pt idx="1645">
                    <c:v>T005</c:v>
                  </c:pt>
                  <c:pt idx="1646">
                    <c:v>T006</c:v>
                  </c:pt>
                  <c:pt idx="1647">
                    <c:v>T007</c:v>
                  </c:pt>
                  <c:pt idx="1648">
                    <c:v>T008</c:v>
                  </c:pt>
                  <c:pt idx="1649">
                    <c:v>T009</c:v>
                  </c:pt>
                  <c:pt idx="1650">
                    <c:v>T010</c:v>
                  </c:pt>
                  <c:pt idx="1651">
                    <c:v>T011</c:v>
                  </c:pt>
                  <c:pt idx="1652">
                    <c:v>T012</c:v>
                  </c:pt>
                  <c:pt idx="1653">
                    <c:v>T013</c:v>
                  </c:pt>
                  <c:pt idx="1654">
                    <c:v>T014</c:v>
                  </c:pt>
                  <c:pt idx="1655">
                    <c:v>T015</c:v>
                  </c:pt>
                  <c:pt idx="1656">
                    <c:v>T016</c:v>
                  </c:pt>
                  <c:pt idx="1657">
                    <c:v>T017</c:v>
                  </c:pt>
                  <c:pt idx="1658">
                    <c:v>T018</c:v>
                  </c:pt>
                  <c:pt idx="1659">
                    <c:v>T019</c:v>
                  </c:pt>
                  <c:pt idx="1660">
                    <c:v>T020</c:v>
                  </c:pt>
                  <c:pt idx="1661">
                    <c:v>T021</c:v>
                  </c:pt>
                  <c:pt idx="1662">
                    <c:v>T022</c:v>
                  </c:pt>
                  <c:pt idx="1663">
                    <c:v>T023</c:v>
                  </c:pt>
                  <c:pt idx="1664">
                    <c:v>T024</c:v>
                  </c:pt>
                  <c:pt idx="1665">
                    <c:v>T001</c:v>
                  </c:pt>
                  <c:pt idx="1666">
                    <c:v>T002</c:v>
                  </c:pt>
                  <c:pt idx="1667">
                    <c:v>T003</c:v>
                  </c:pt>
                  <c:pt idx="1668">
                    <c:v>T004</c:v>
                  </c:pt>
                  <c:pt idx="1669">
                    <c:v>T005</c:v>
                  </c:pt>
                  <c:pt idx="1670">
                    <c:v>T006</c:v>
                  </c:pt>
                  <c:pt idx="1671">
                    <c:v>T007</c:v>
                  </c:pt>
                  <c:pt idx="1672">
                    <c:v>T008</c:v>
                  </c:pt>
                  <c:pt idx="1673">
                    <c:v>T009</c:v>
                  </c:pt>
                  <c:pt idx="1674">
                    <c:v>T010</c:v>
                  </c:pt>
                  <c:pt idx="1675">
                    <c:v>T011</c:v>
                  </c:pt>
                  <c:pt idx="1676">
                    <c:v>T012</c:v>
                  </c:pt>
                  <c:pt idx="1677">
                    <c:v>T013</c:v>
                  </c:pt>
                  <c:pt idx="1678">
                    <c:v>T014</c:v>
                  </c:pt>
                  <c:pt idx="1679">
                    <c:v>T015</c:v>
                  </c:pt>
                  <c:pt idx="1680">
                    <c:v>T016</c:v>
                  </c:pt>
                  <c:pt idx="1681">
                    <c:v>T017</c:v>
                  </c:pt>
                  <c:pt idx="1682">
                    <c:v>T018</c:v>
                  </c:pt>
                  <c:pt idx="1683">
                    <c:v>T019</c:v>
                  </c:pt>
                  <c:pt idx="1684">
                    <c:v>T020</c:v>
                  </c:pt>
                  <c:pt idx="1685">
                    <c:v>T021</c:v>
                  </c:pt>
                  <c:pt idx="1686">
                    <c:v>T022</c:v>
                  </c:pt>
                  <c:pt idx="1687">
                    <c:v>T023</c:v>
                  </c:pt>
                  <c:pt idx="1688">
                    <c:v>T024</c:v>
                  </c:pt>
                  <c:pt idx="1689">
                    <c:v>T001</c:v>
                  </c:pt>
                  <c:pt idx="1690">
                    <c:v>T002</c:v>
                  </c:pt>
                  <c:pt idx="1691">
                    <c:v>T003</c:v>
                  </c:pt>
                  <c:pt idx="1692">
                    <c:v>T004</c:v>
                  </c:pt>
                  <c:pt idx="1693">
                    <c:v>T005</c:v>
                  </c:pt>
                  <c:pt idx="1694">
                    <c:v>T006</c:v>
                  </c:pt>
                  <c:pt idx="1695">
                    <c:v>T007</c:v>
                  </c:pt>
                  <c:pt idx="1696">
                    <c:v>T008</c:v>
                  </c:pt>
                  <c:pt idx="1697">
                    <c:v>T009</c:v>
                  </c:pt>
                  <c:pt idx="1698">
                    <c:v>T010</c:v>
                  </c:pt>
                  <c:pt idx="1699">
                    <c:v>T011</c:v>
                  </c:pt>
                  <c:pt idx="1700">
                    <c:v>T012</c:v>
                  </c:pt>
                  <c:pt idx="1701">
                    <c:v>T013</c:v>
                  </c:pt>
                  <c:pt idx="1702">
                    <c:v>T014</c:v>
                  </c:pt>
                  <c:pt idx="1703">
                    <c:v>T015</c:v>
                  </c:pt>
                  <c:pt idx="1704">
                    <c:v>T016</c:v>
                  </c:pt>
                  <c:pt idx="1705">
                    <c:v>T017</c:v>
                  </c:pt>
                  <c:pt idx="1706">
                    <c:v>T018</c:v>
                  </c:pt>
                  <c:pt idx="1707">
                    <c:v>T019</c:v>
                  </c:pt>
                  <c:pt idx="1708">
                    <c:v>T020</c:v>
                  </c:pt>
                  <c:pt idx="1709">
                    <c:v>T021</c:v>
                  </c:pt>
                  <c:pt idx="1710">
                    <c:v>T022</c:v>
                  </c:pt>
                  <c:pt idx="1711">
                    <c:v>T023</c:v>
                  </c:pt>
                  <c:pt idx="1712">
                    <c:v>T024</c:v>
                  </c:pt>
                  <c:pt idx="1713">
                    <c:v>T001</c:v>
                  </c:pt>
                  <c:pt idx="1714">
                    <c:v>T002</c:v>
                  </c:pt>
                  <c:pt idx="1715">
                    <c:v>T003</c:v>
                  </c:pt>
                  <c:pt idx="1716">
                    <c:v>T004</c:v>
                  </c:pt>
                  <c:pt idx="1717">
                    <c:v>T005</c:v>
                  </c:pt>
                  <c:pt idx="1718">
                    <c:v>T006</c:v>
                  </c:pt>
                  <c:pt idx="1719">
                    <c:v>T007</c:v>
                  </c:pt>
                  <c:pt idx="1720">
                    <c:v>T008</c:v>
                  </c:pt>
                  <c:pt idx="1721">
                    <c:v>T009</c:v>
                  </c:pt>
                  <c:pt idx="1722">
                    <c:v>T010</c:v>
                  </c:pt>
                  <c:pt idx="1723">
                    <c:v>T011</c:v>
                  </c:pt>
                  <c:pt idx="1724">
                    <c:v>T012</c:v>
                  </c:pt>
                  <c:pt idx="1725">
                    <c:v>T013</c:v>
                  </c:pt>
                  <c:pt idx="1726">
                    <c:v>T014</c:v>
                  </c:pt>
                  <c:pt idx="1727">
                    <c:v>T015</c:v>
                  </c:pt>
                  <c:pt idx="1728">
                    <c:v>T016</c:v>
                  </c:pt>
                  <c:pt idx="1729">
                    <c:v>T017</c:v>
                  </c:pt>
                  <c:pt idx="1730">
                    <c:v>T018</c:v>
                  </c:pt>
                  <c:pt idx="1731">
                    <c:v>T019</c:v>
                  </c:pt>
                  <c:pt idx="1732">
                    <c:v>T020</c:v>
                  </c:pt>
                  <c:pt idx="1733">
                    <c:v>T021</c:v>
                  </c:pt>
                  <c:pt idx="1734">
                    <c:v>T022</c:v>
                  </c:pt>
                  <c:pt idx="1735">
                    <c:v>T023</c:v>
                  </c:pt>
                  <c:pt idx="1736">
                    <c:v>T024</c:v>
                  </c:pt>
                  <c:pt idx="1737">
                    <c:v>T001</c:v>
                  </c:pt>
                  <c:pt idx="1738">
                    <c:v>T002</c:v>
                  </c:pt>
                  <c:pt idx="1739">
                    <c:v>T003</c:v>
                  </c:pt>
                  <c:pt idx="1740">
                    <c:v>T004</c:v>
                  </c:pt>
                  <c:pt idx="1741">
                    <c:v>T005</c:v>
                  </c:pt>
                  <c:pt idx="1742">
                    <c:v>T006</c:v>
                  </c:pt>
                  <c:pt idx="1743">
                    <c:v>T007</c:v>
                  </c:pt>
                  <c:pt idx="1744">
                    <c:v>T008</c:v>
                  </c:pt>
                  <c:pt idx="1745">
                    <c:v>T009</c:v>
                  </c:pt>
                  <c:pt idx="1746">
                    <c:v>T010</c:v>
                  </c:pt>
                  <c:pt idx="1747">
                    <c:v>T011</c:v>
                  </c:pt>
                  <c:pt idx="1748">
                    <c:v>T012</c:v>
                  </c:pt>
                  <c:pt idx="1749">
                    <c:v>T013</c:v>
                  </c:pt>
                  <c:pt idx="1750">
                    <c:v>T014</c:v>
                  </c:pt>
                  <c:pt idx="1751">
                    <c:v>T015</c:v>
                  </c:pt>
                  <c:pt idx="1752">
                    <c:v>T016</c:v>
                  </c:pt>
                  <c:pt idx="1753">
                    <c:v>T017</c:v>
                  </c:pt>
                  <c:pt idx="1754">
                    <c:v>T018</c:v>
                  </c:pt>
                  <c:pt idx="1755">
                    <c:v>T019</c:v>
                  </c:pt>
                  <c:pt idx="1756">
                    <c:v>T020</c:v>
                  </c:pt>
                  <c:pt idx="1757">
                    <c:v>T021</c:v>
                  </c:pt>
                  <c:pt idx="1758">
                    <c:v>T022</c:v>
                  </c:pt>
                  <c:pt idx="1759">
                    <c:v>T023</c:v>
                  </c:pt>
                  <c:pt idx="1760">
                    <c:v>T024</c:v>
                  </c:pt>
                  <c:pt idx="1761">
                    <c:v>T001</c:v>
                  </c:pt>
                  <c:pt idx="1762">
                    <c:v>T002</c:v>
                  </c:pt>
                  <c:pt idx="1763">
                    <c:v>T003</c:v>
                  </c:pt>
                  <c:pt idx="1764">
                    <c:v>T004</c:v>
                  </c:pt>
                  <c:pt idx="1765">
                    <c:v>T005</c:v>
                  </c:pt>
                  <c:pt idx="1766">
                    <c:v>T006</c:v>
                  </c:pt>
                  <c:pt idx="1767">
                    <c:v>T007</c:v>
                  </c:pt>
                  <c:pt idx="1768">
                    <c:v>T008</c:v>
                  </c:pt>
                  <c:pt idx="1769">
                    <c:v>T009</c:v>
                  </c:pt>
                  <c:pt idx="1770">
                    <c:v>T010</c:v>
                  </c:pt>
                  <c:pt idx="1771">
                    <c:v>T011</c:v>
                  </c:pt>
                  <c:pt idx="1772">
                    <c:v>T012</c:v>
                  </c:pt>
                  <c:pt idx="1773">
                    <c:v>T013</c:v>
                  </c:pt>
                  <c:pt idx="1774">
                    <c:v>T014</c:v>
                  </c:pt>
                  <c:pt idx="1775">
                    <c:v>T015</c:v>
                  </c:pt>
                  <c:pt idx="1776">
                    <c:v>T016</c:v>
                  </c:pt>
                  <c:pt idx="1777">
                    <c:v>T017</c:v>
                  </c:pt>
                  <c:pt idx="1778">
                    <c:v>T018</c:v>
                  </c:pt>
                  <c:pt idx="1779">
                    <c:v>T019</c:v>
                  </c:pt>
                  <c:pt idx="1780">
                    <c:v>T020</c:v>
                  </c:pt>
                  <c:pt idx="1781">
                    <c:v>T021</c:v>
                  </c:pt>
                  <c:pt idx="1782">
                    <c:v>T022</c:v>
                  </c:pt>
                  <c:pt idx="1783">
                    <c:v>T023</c:v>
                  </c:pt>
                  <c:pt idx="1784">
                    <c:v>T024</c:v>
                  </c:pt>
                  <c:pt idx="1785">
                    <c:v>T001</c:v>
                  </c:pt>
                  <c:pt idx="1786">
                    <c:v>T002</c:v>
                  </c:pt>
                  <c:pt idx="1787">
                    <c:v>T003</c:v>
                  </c:pt>
                  <c:pt idx="1788">
                    <c:v>T004</c:v>
                  </c:pt>
                  <c:pt idx="1789">
                    <c:v>T005</c:v>
                  </c:pt>
                  <c:pt idx="1790">
                    <c:v>T006</c:v>
                  </c:pt>
                  <c:pt idx="1791">
                    <c:v>T007</c:v>
                  </c:pt>
                  <c:pt idx="1792">
                    <c:v>T008</c:v>
                  </c:pt>
                  <c:pt idx="1793">
                    <c:v>T009</c:v>
                  </c:pt>
                  <c:pt idx="1794">
                    <c:v>T010</c:v>
                  </c:pt>
                  <c:pt idx="1795">
                    <c:v>T011</c:v>
                  </c:pt>
                  <c:pt idx="1796">
                    <c:v>T012</c:v>
                  </c:pt>
                  <c:pt idx="1797">
                    <c:v>T013</c:v>
                  </c:pt>
                  <c:pt idx="1798">
                    <c:v>T014</c:v>
                  </c:pt>
                  <c:pt idx="1799">
                    <c:v>T015</c:v>
                  </c:pt>
                  <c:pt idx="1800">
                    <c:v>T016</c:v>
                  </c:pt>
                  <c:pt idx="1801">
                    <c:v>T017</c:v>
                  </c:pt>
                  <c:pt idx="1802">
                    <c:v>T018</c:v>
                  </c:pt>
                  <c:pt idx="1803">
                    <c:v>T019</c:v>
                  </c:pt>
                  <c:pt idx="1804">
                    <c:v>T020</c:v>
                  </c:pt>
                  <c:pt idx="1805">
                    <c:v>T021</c:v>
                  </c:pt>
                  <c:pt idx="1806">
                    <c:v>T022</c:v>
                  </c:pt>
                  <c:pt idx="1807">
                    <c:v>T023</c:v>
                  </c:pt>
                  <c:pt idx="1808">
                    <c:v>T024</c:v>
                  </c:pt>
                  <c:pt idx="1809">
                    <c:v>T001</c:v>
                  </c:pt>
                  <c:pt idx="1810">
                    <c:v>T002</c:v>
                  </c:pt>
                  <c:pt idx="1811">
                    <c:v>T003</c:v>
                  </c:pt>
                  <c:pt idx="1812">
                    <c:v>T004</c:v>
                  </c:pt>
                  <c:pt idx="1813">
                    <c:v>T005</c:v>
                  </c:pt>
                  <c:pt idx="1814">
                    <c:v>T006</c:v>
                  </c:pt>
                  <c:pt idx="1815">
                    <c:v>T007</c:v>
                  </c:pt>
                  <c:pt idx="1816">
                    <c:v>T008</c:v>
                  </c:pt>
                  <c:pt idx="1817">
                    <c:v>T009</c:v>
                  </c:pt>
                  <c:pt idx="1818">
                    <c:v>T010</c:v>
                  </c:pt>
                  <c:pt idx="1819">
                    <c:v>T011</c:v>
                  </c:pt>
                  <c:pt idx="1820">
                    <c:v>T012</c:v>
                  </c:pt>
                  <c:pt idx="1821">
                    <c:v>T013</c:v>
                  </c:pt>
                  <c:pt idx="1822">
                    <c:v>T014</c:v>
                  </c:pt>
                  <c:pt idx="1823">
                    <c:v>T015</c:v>
                  </c:pt>
                  <c:pt idx="1824">
                    <c:v>T016</c:v>
                  </c:pt>
                  <c:pt idx="1825">
                    <c:v>T017</c:v>
                  </c:pt>
                  <c:pt idx="1826">
                    <c:v>T018</c:v>
                  </c:pt>
                  <c:pt idx="1827">
                    <c:v>T019</c:v>
                  </c:pt>
                  <c:pt idx="1828">
                    <c:v>T020</c:v>
                  </c:pt>
                  <c:pt idx="1829">
                    <c:v>T021</c:v>
                  </c:pt>
                  <c:pt idx="1830">
                    <c:v>T022</c:v>
                  </c:pt>
                  <c:pt idx="1831">
                    <c:v>T023</c:v>
                  </c:pt>
                  <c:pt idx="1832">
                    <c:v>T024</c:v>
                  </c:pt>
                  <c:pt idx="1833">
                    <c:v>T001</c:v>
                  </c:pt>
                  <c:pt idx="1834">
                    <c:v>T002</c:v>
                  </c:pt>
                  <c:pt idx="1835">
                    <c:v>T003</c:v>
                  </c:pt>
                  <c:pt idx="1836">
                    <c:v>T004</c:v>
                  </c:pt>
                  <c:pt idx="1837">
                    <c:v>T005</c:v>
                  </c:pt>
                  <c:pt idx="1838">
                    <c:v>T006</c:v>
                  </c:pt>
                  <c:pt idx="1839">
                    <c:v>T007</c:v>
                  </c:pt>
                  <c:pt idx="1840">
                    <c:v>T008</c:v>
                  </c:pt>
                  <c:pt idx="1841">
                    <c:v>T009</c:v>
                  </c:pt>
                  <c:pt idx="1842">
                    <c:v>T010</c:v>
                  </c:pt>
                  <c:pt idx="1843">
                    <c:v>T011</c:v>
                  </c:pt>
                  <c:pt idx="1844">
                    <c:v>T012</c:v>
                  </c:pt>
                  <c:pt idx="1845">
                    <c:v>T013</c:v>
                  </c:pt>
                  <c:pt idx="1846">
                    <c:v>T014</c:v>
                  </c:pt>
                  <c:pt idx="1847">
                    <c:v>T015</c:v>
                  </c:pt>
                  <c:pt idx="1848">
                    <c:v>T016</c:v>
                  </c:pt>
                  <c:pt idx="1849">
                    <c:v>T017</c:v>
                  </c:pt>
                  <c:pt idx="1850">
                    <c:v>T018</c:v>
                  </c:pt>
                  <c:pt idx="1851">
                    <c:v>T019</c:v>
                  </c:pt>
                  <c:pt idx="1852">
                    <c:v>T020</c:v>
                  </c:pt>
                  <c:pt idx="1853">
                    <c:v>T021</c:v>
                  </c:pt>
                  <c:pt idx="1854">
                    <c:v>T022</c:v>
                  </c:pt>
                  <c:pt idx="1855">
                    <c:v>T023</c:v>
                  </c:pt>
                  <c:pt idx="1856">
                    <c:v>T024</c:v>
                  </c:pt>
                  <c:pt idx="1857">
                    <c:v>T001</c:v>
                  </c:pt>
                  <c:pt idx="1858">
                    <c:v>T002</c:v>
                  </c:pt>
                  <c:pt idx="1859">
                    <c:v>T003</c:v>
                  </c:pt>
                  <c:pt idx="1860">
                    <c:v>T004</c:v>
                  </c:pt>
                  <c:pt idx="1861">
                    <c:v>T005</c:v>
                  </c:pt>
                  <c:pt idx="1862">
                    <c:v>T006</c:v>
                  </c:pt>
                  <c:pt idx="1863">
                    <c:v>T007</c:v>
                  </c:pt>
                  <c:pt idx="1864">
                    <c:v>T008</c:v>
                  </c:pt>
                  <c:pt idx="1865">
                    <c:v>T009</c:v>
                  </c:pt>
                  <c:pt idx="1866">
                    <c:v>T010</c:v>
                  </c:pt>
                  <c:pt idx="1867">
                    <c:v>T011</c:v>
                  </c:pt>
                  <c:pt idx="1868">
                    <c:v>T012</c:v>
                  </c:pt>
                  <c:pt idx="1869">
                    <c:v>T013</c:v>
                  </c:pt>
                  <c:pt idx="1870">
                    <c:v>T014</c:v>
                  </c:pt>
                  <c:pt idx="1871">
                    <c:v>T015</c:v>
                  </c:pt>
                  <c:pt idx="1872">
                    <c:v>T016</c:v>
                  </c:pt>
                  <c:pt idx="1873">
                    <c:v>T017</c:v>
                  </c:pt>
                  <c:pt idx="1874">
                    <c:v>T018</c:v>
                  </c:pt>
                  <c:pt idx="1875">
                    <c:v>T019</c:v>
                  </c:pt>
                  <c:pt idx="1876">
                    <c:v>T020</c:v>
                  </c:pt>
                  <c:pt idx="1877">
                    <c:v>T021</c:v>
                  </c:pt>
                  <c:pt idx="1878">
                    <c:v>T022</c:v>
                  </c:pt>
                  <c:pt idx="1879">
                    <c:v>T023</c:v>
                  </c:pt>
                  <c:pt idx="1880">
                    <c:v>T024</c:v>
                  </c:pt>
                  <c:pt idx="1881">
                    <c:v>T018</c:v>
                  </c:pt>
                  <c:pt idx="1882">
                    <c:v>T020</c:v>
                  </c:pt>
                  <c:pt idx="1883">
                    <c:v>T021</c:v>
                  </c:pt>
                  <c:pt idx="1884">
                    <c:v>T022</c:v>
                  </c:pt>
                  <c:pt idx="1885">
                    <c:v>T001</c:v>
                  </c:pt>
                  <c:pt idx="1886">
                    <c:v>T002</c:v>
                  </c:pt>
                  <c:pt idx="1887">
                    <c:v>T003</c:v>
                  </c:pt>
                  <c:pt idx="1888">
                    <c:v>T004</c:v>
                  </c:pt>
                  <c:pt idx="1889">
                    <c:v>T005</c:v>
                  </c:pt>
                  <c:pt idx="1890">
                    <c:v>T006</c:v>
                  </c:pt>
                  <c:pt idx="1891">
                    <c:v>T007</c:v>
                  </c:pt>
                  <c:pt idx="1892">
                    <c:v>T008</c:v>
                  </c:pt>
                  <c:pt idx="1893">
                    <c:v>T009</c:v>
                  </c:pt>
                  <c:pt idx="1894">
                    <c:v>T010</c:v>
                  </c:pt>
                  <c:pt idx="1895">
                    <c:v>T011</c:v>
                  </c:pt>
                  <c:pt idx="1896">
                    <c:v>T012</c:v>
                  </c:pt>
                  <c:pt idx="1897">
                    <c:v>T013</c:v>
                  </c:pt>
                  <c:pt idx="1898">
                    <c:v>T014</c:v>
                  </c:pt>
                  <c:pt idx="1899">
                    <c:v>T015</c:v>
                  </c:pt>
                  <c:pt idx="1900">
                    <c:v>T016</c:v>
                  </c:pt>
                  <c:pt idx="1901">
                    <c:v>T017</c:v>
                  </c:pt>
                  <c:pt idx="1902">
                    <c:v>T018</c:v>
                  </c:pt>
                  <c:pt idx="1903">
                    <c:v>T019</c:v>
                  </c:pt>
                  <c:pt idx="1904">
                    <c:v>T020</c:v>
                  </c:pt>
                  <c:pt idx="1905">
                    <c:v>T021</c:v>
                  </c:pt>
                  <c:pt idx="1906">
                    <c:v>T022</c:v>
                  </c:pt>
                  <c:pt idx="1907">
                    <c:v>T023</c:v>
                  </c:pt>
                  <c:pt idx="1908">
                    <c:v>T024</c:v>
                  </c:pt>
                  <c:pt idx="1909">
                    <c:v>T001</c:v>
                  </c:pt>
                  <c:pt idx="1910">
                    <c:v>T002</c:v>
                  </c:pt>
                  <c:pt idx="1911">
                    <c:v>T003</c:v>
                  </c:pt>
                  <c:pt idx="1912">
                    <c:v>T004</c:v>
                  </c:pt>
                  <c:pt idx="1913">
                    <c:v>T005</c:v>
                  </c:pt>
                  <c:pt idx="1914">
                    <c:v>T006</c:v>
                  </c:pt>
                  <c:pt idx="1915">
                    <c:v>T007</c:v>
                  </c:pt>
                  <c:pt idx="1916">
                    <c:v>T008</c:v>
                  </c:pt>
                  <c:pt idx="1917">
                    <c:v>T009</c:v>
                  </c:pt>
                  <c:pt idx="1918">
                    <c:v>T010</c:v>
                  </c:pt>
                  <c:pt idx="1919">
                    <c:v>T011</c:v>
                  </c:pt>
                  <c:pt idx="1920">
                    <c:v>T012</c:v>
                  </c:pt>
                  <c:pt idx="1921">
                    <c:v>T013</c:v>
                  </c:pt>
                  <c:pt idx="1922">
                    <c:v>T014</c:v>
                  </c:pt>
                  <c:pt idx="1923">
                    <c:v>T015</c:v>
                  </c:pt>
                  <c:pt idx="1924">
                    <c:v>T016</c:v>
                  </c:pt>
                  <c:pt idx="1925">
                    <c:v>T017</c:v>
                  </c:pt>
                  <c:pt idx="1926">
                    <c:v>T018</c:v>
                  </c:pt>
                  <c:pt idx="1927">
                    <c:v>T019</c:v>
                  </c:pt>
                  <c:pt idx="1928">
                    <c:v>T020</c:v>
                  </c:pt>
                  <c:pt idx="1929">
                    <c:v>T021</c:v>
                  </c:pt>
                  <c:pt idx="1930">
                    <c:v>T022</c:v>
                  </c:pt>
                  <c:pt idx="1931">
                    <c:v>T023</c:v>
                  </c:pt>
                  <c:pt idx="1932">
                    <c:v>T024</c:v>
                  </c:pt>
                  <c:pt idx="1933">
                    <c:v>T001</c:v>
                  </c:pt>
                  <c:pt idx="1934">
                    <c:v>T002</c:v>
                  </c:pt>
                  <c:pt idx="1935">
                    <c:v>T003</c:v>
                  </c:pt>
                  <c:pt idx="1936">
                    <c:v>T004</c:v>
                  </c:pt>
                  <c:pt idx="1937">
                    <c:v>T005</c:v>
                  </c:pt>
                  <c:pt idx="1938">
                    <c:v>T006</c:v>
                  </c:pt>
                  <c:pt idx="1939">
                    <c:v>T007</c:v>
                  </c:pt>
                  <c:pt idx="1940">
                    <c:v>T008</c:v>
                  </c:pt>
                  <c:pt idx="1941">
                    <c:v>T009</c:v>
                  </c:pt>
                  <c:pt idx="1942">
                    <c:v>T010</c:v>
                  </c:pt>
                  <c:pt idx="1943">
                    <c:v>T011</c:v>
                  </c:pt>
                  <c:pt idx="1944">
                    <c:v>T012</c:v>
                  </c:pt>
                  <c:pt idx="1945">
                    <c:v>T013</c:v>
                  </c:pt>
                  <c:pt idx="1946">
                    <c:v>T014</c:v>
                  </c:pt>
                  <c:pt idx="1947">
                    <c:v>T015</c:v>
                  </c:pt>
                  <c:pt idx="1948">
                    <c:v>T016</c:v>
                  </c:pt>
                  <c:pt idx="1949">
                    <c:v>T017</c:v>
                  </c:pt>
                  <c:pt idx="1950">
                    <c:v>T018</c:v>
                  </c:pt>
                  <c:pt idx="1951">
                    <c:v>T019</c:v>
                  </c:pt>
                  <c:pt idx="1952">
                    <c:v>T020</c:v>
                  </c:pt>
                  <c:pt idx="1953">
                    <c:v>T021</c:v>
                  </c:pt>
                  <c:pt idx="1954">
                    <c:v>T022</c:v>
                  </c:pt>
                  <c:pt idx="1955">
                    <c:v>T023</c:v>
                  </c:pt>
                  <c:pt idx="1956">
                    <c:v>T024</c:v>
                  </c:pt>
                  <c:pt idx="1957">
                    <c:v>T001</c:v>
                  </c:pt>
                  <c:pt idx="1958">
                    <c:v>T002</c:v>
                  </c:pt>
                  <c:pt idx="1959">
                    <c:v>T003</c:v>
                  </c:pt>
                  <c:pt idx="1960">
                    <c:v>T004</c:v>
                  </c:pt>
                  <c:pt idx="1961">
                    <c:v>T005</c:v>
                  </c:pt>
                  <c:pt idx="1962">
                    <c:v>T006</c:v>
                  </c:pt>
                  <c:pt idx="1963">
                    <c:v>T007</c:v>
                  </c:pt>
                  <c:pt idx="1964">
                    <c:v>T008</c:v>
                  </c:pt>
                  <c:pt idx="1965">
                    <c:v>T009</c:v>
                  </c:pt>
                  <c:pt idx="1966">
                    <c:v>T010</c:v>
                  </c:pt>
                  <c:pt idx="1967">
                    <c:v>T011</c:v>
                  </c:pt>
                  <c:pt idx="1968">
                    <c:v>T012</c:v>
                  </c:pt>
                  <c:pt idx="1969">
                    <c:v>T013</c:v>
                  </c:pt>
                  <c:pt idx="1970">
                    <c:v>T014</c:v>
                  </c:pt>
                  <c:pt idx="1971">
                    <c:v>T015</c:v>
                  </c:pt>
                  <c:pt idx="1972">
                    <c:v>T016</c:v>
                  </c:pt>
                  <c:pt idx="1973">
                    <c:v>T017</c:v>
                  </c:pt>
                  <c:pt idx="1974">
                    <c:v>T018</c:v>
                  </c:pt>
                  <c:pt idx="1975">
                    <c:v>T019</c:v>
                  </c:pt>
                  <c:pt idx="1976">
                    <c:v>T020</c:v>
                  </c:pt>
                  <c:pt idx="1977">
                    <c:v>T021</c:v>
                  </c:pt>
                  <c:pt idx="1978">
                    <c:v>T022</c:v>
                  </c:pt>
                  <c:pt idx="1979">
                    <c:v>T023</c:v>
                  </c:pt>
                  <c:pt idx="1980">
                    <c:v>T024</c:v>
                  </c:pt>
                  <c:pt idx="1981">
                    <c:v>T001</c:v>
                  </c:pt>
                  <c:pt idx="1982">
                    <c:v>T002</c:v>
                  </c:pt>
                  <c:pt idx="1983">
                    <c:v>T003</c:v>
                  </c:pt>
                  <c:pt idx="1984">
                    <c:v>T004</c:v>
                  </c:pt>
                  <c:pt idx="1985">
                    <c:v>T005</c:v>
                  </c:pt>
                  <c:pt idx="1986">
                    <c:v>T006</c:v>
                  </c:pt>
                  <c:pt idx="1987">
                    <c:v>T007</c:v>
                  </c:pt>
                  <c:pt idx="1988">
                    <c:v>T008</c:v>
                  </c:pt>
                  <c:pt idx="1989">
                    <c:v>T009</c:v>
                  </c:pt>
                  <c:pt idx="1990">
                    <c:v>T010</c:v>
                  </c:pt>
                  <c:pt idx="1991">
                    <c:v>T011</c:v>
                  </c:pt>
                  <c:pt idx="1992">
                    <c:v>T012</c:v>
                  </c:pt>
                  <c:pt idx="1993">
                    <c:v>T013</c:v>
                  </c:pt>
                  <c:pt idx="1994">
                    <c:v>T014</c:v>
                  </c:pt>
                  <c:pt idx="1995">
                    <c:v>T015</c:v>
                  </c:pt>
                  <c:pt idx="1996">
                    <c:v>T016</c:v>
                  </c:pt>
                  <c:pt idx="1997">
                    <c:v>T017</c:v>
                  </c:pt>
                  <c:pt idx="1998">
                    <c:v>T018</c:v>
                  </c:pt>
                  <c:pt idx="1999">
                    <c:v>T019</c:v>
                  </c:pt>
                  <c:pt idx="2000">
                    <c:v>T020</c:v>
                  </c:pt>
                  <c:pt idx="2001">
                    <c:v>T021</c:v>
                  </c:pt>
                  <c:pt idx="2002">
                    <c:v>T022</c:v>
                  </c:pt>
                  <c:pt idx="2003">
                    <c:v>T023</c:v>
                  </c:pt>
                  <c:pt idx="2004">
                    <c:v>T024</c:v>
                  </c:pt>
                  <c:pt idx="2005">
                    <c:v>T001</c:v>
                  </c:pt>
                  <c:pt idx="2006">
                    <c:v>T002</c:v>
                  </c:pt>
                  <c:pt idx="2007">
                    <c:v>T003</c:v>
                  </c:pt>
                  <c:pt idx="2008">
                    <c:v>T004</c:v>
                  </c:pt>
                  <c:pt idx="2009">
                    <c:v>T005</c:v>
                  </c:pt>
                  <c:pt idx="2010">
                    <c:v>T006</c:v>
                  </c:pt>
                  <c:pt idx="2011">
                    <c:v>T007</c:v>
                  </c:pt>
                  <c:pt idx="2012">
                    <c:v>T008</c:v>
                  </c:pt>
                  <c:pt idx="2013">
                    <c:v>T009</c:v>
                  </c:pt>
                  <c:pt idx="2014">
                    <c:v>T010</c:v>
                  </c:pt>
                  <c:pt idx="2015">
                    <c:v>T011</c:v>
                  </c:pt>
                  <c:pt idx="2016">
                    <c:v>T012</c:v>
                  </c:pt>
                  <c:pt idx="2017">
                    <c:v>T013</c:v>
                  </c:pt>
                  <c:pt idx="2018">
                    <c:v>T014</c:v>
                  </c:pt>
                  <c:pt idx="2019">
                    <c:v>T015</c:v>
                  </c:pt>
                  <c:pt idx="2020">
                    <c:v>T016</c:v>
                  </c:pt>
                  <c:pt idx="2021">
                    <c:v>T017</c:v>
                  </c:pt>
                  <c:pt idx="2022">
                    <c:v>T018</c:v>
                  </c:pt>
                  <c:pt idx="2023">
                    <c:v>T019</c:v>
                  </c:pt>
                  <c:pt idx="2024">
                    <c:v>T020</c:v>
                  </c:pt>
                  <c:pt idx="2025">
                    <c:v>T021</c:v>
                  </c:pt>
                  <c:pt idx="2026">
                    <c:v>T022</c:v>
                  </c:pt>
                  <c:pt idx="2027">
                    <c:v>T023</c:v>
                  </c:pt>
                  <c:pt idx="2028">
                    <c:v>T024</c:v>
                  </c:pt>
                  <c:pt idx="2029">
                    <c:v>T020</c:v>
                  </c:pt>
                </c:lvl>
                <c:lvl>
                  <c:pt idx="0">
                    <c:v>GNR_ROR_WTR</c:v>
                  </c:pt>
                  <c:pt idx="24">
                    <c:v>GHYRR_WATER</c:v>
                  </c:pt>
                  <c:pt idx="48">
                    <c:v>GNR_RES_WTR_NOPMP</c:v>
                  </c:pt>
                  <c:pt idx="67">
                    <c:v>GHYRS_WATER</c:v>
                  </c:pt>
                  <c:pt idx="91">
                    <c:v>GNR_ST_COAL_EXT_E-43</c:v>
                  </c:pt>
                  <c:pt idx="115">
                    <c:v>GNR_ST_COAL_EXT_E-47</c:v>
                  </c:pt>
                  <c:pt idx="139">
                    <c:v>GNR_ST_COAL_EXT_E-42</c:v>
                  </c:pt>
                  <c:pt idx="163">
                    <c:v>GEXT_WOODWASTE_HORNEBORG</c:v>
                  </c:pt>
                  <c:pt idx="187">
                    <c:v>GEXT_COAL_LINK</c:v>
                  </c:pt>
                  <c:pt idx="211">
                    <c:v>GEXT_PEAT</c:v>
                  </c:pt>
                  <c:pt idx="234">
                    <c:v>GEXT_WOODWASTE</c:v>
                  </c:pt>
                  <c:pt idx="258">
                    <c:v>GNR_BO_ELEC_E-100</c:v>
                  </c:pt>
                  <c:pt idx="282">
                    <c:v>GNR_HP_ELEC_COP-300</c:v>
                  </c:pt>
                  <c:pt idx="306">
                    <c:v>GNR_HP_ELEC_COP-350</c:v>
                  </c:pt>
                  <c:pt idx="330">
                    <c:v>GNR_HP_ELEC_COP-400</c:v>
                  </c:pt>
                  <c:pt idx="354">
                    <c:v>GNR_HP_ELEC_COP-430</c:v>
                  </c:pt>
                  <c:pt idx="378">
                    <c:v>GNR_HP_ELEC_COP-450</c:v>
                  </c:pt>
                  <c:pt idx="402">
                    <c:v>GNR_HP_ELEC_COP-460</c:v>
                  </c:pt>
                  <c:pt idx="426">
                    <c:v>GNR_HP_ELEC_COP-470</c:v>
                  </c:pt>
                  <c:pt idx="450">
                    <c:v>GNR_HP_ELEC_COP-500</c:v>
                  </c:pt>
                  <c:pt idx="474">
                    <c:v>GNR_HP_ELEC_COP-530</c:v>
                  </c:pt>
                  <c:pt idx="498">
                    <c:v>GNR_HP_ELEC_COP-600</c:v>
                  </c:pt>
                  <c:pt idx="522">
                    <c:v>GETOH_HEATPUMP</c:v>
                  </c:pt>
                  <c:pt idx="546">
                    <c:v>GETOH_ELECTRICBOILER</c:v>
                  </c:pt>
                  <c:pt idx="570">
                    <c:v>GETOH_HEATPUMP33</c:v>
                  </c:pt>
                  <c:pt idx="594">
                    <c:v>GETOH_HEATPUMP2</c:v>
                  </c:pt>
                  <c:pt idx="618">
                    <c:v>GETOH_HEATPUMP1</c:v>
                  </c:pt>
                  <c:pt idx="642">
                    <c:v>GNR_BO_ELEC_E-99_LS-10-MW-FEED_Y-2030</c:v>
                  </c:pt>
                  <c:pt idx="656">
                    <c:v>GNR_HP_ELEC_COP-1200_Y-2030</c:v>
                  </c:pt>
                  <c:pt idx="680">
                    <c:v>GNR_BO_ELEC_E-99_SS-1-MW-FEED_Y-2030</c:v>
                  </c:pt>
                  <c:pt idx="704">
                    <c:v>GNR_ST_MSW_BP_E-17</c:v>
                  </c:pt>
                  <c:pt idx="728">
                    <c:v>GNR_ST_MSW_BP_E-20</c:v>
                  </c:pt>
                  <c:pt idx="752">
                    <c:v>GNR_ST_MSW_BP_E-21</c:v>
                  </c:pt>
                  <c:pt idx="776">
                    <c:v>GNR_ST_MSW_BP_E-22</c:v>
                  </c:pt>
                  <c:pt idx="800">
                    <c:v>GNR_ST_MSW_BP_E-26</c:v>
                  </c:pt>
                  <c:pt idx="824">
                    <c:v>GNR_ST_WOODCHI_BP_E-30</c:v>
                  </c:pt>
                  <c:pt idx="848">
                    <c:v>GNR_ST_STRW_BP_E-26</c:v>
                  </c:pt>
                  <c:pt idx="862">
                    <c:v>GNR_ST_COAL_BP_E-35</c:v>
                  </c:pt>
                  <c:pt idx="886">
                    <c:v>GNR_ENG_NGAS_BP_E-43</c:v>
                  </c:pt>
                  <c:pt idx="890">
                    <c:v>GNR_ENG_NGAS_BP_E-45</c:v>
                  </c:pt>
                  <c:pt idx="914">
                    <c:v>GNR_ENG_NGAS_BP_E-46</c:v>
                  </c:pt>
                  <c:pt idx="938">
                    <c:v>GNR_ST_STRW_BP_E-24</c:v>
                  </c:pt>
                  <c:pt idx="962">
                    <c:v>GNR_ST_STRW_BP_E-27</c:v>
                  </c:pt>
                  <c:pt idx="986">
                    <c:v>GNR_ST_STRW_BP_E-28</c:v>
                  </c:pt>
                  <c:pt idx="1010">
                    <c:v>GNR_ST_MSW_BP_E-16</c:v>
                  </c:pt>
                  <c:pt idx="1029">
                    <c:v>GNR_ST_MSW_BP_E-27</c:v>
                  </c:pt>
                  <c:pt idx="1053">
                    <c:v>GNR_ST_WOODCHI_BP_E-27</c:v>
                  </c:pt>
                  <c:pt idx="1077">
                    <c:v>GNR_ST_MSW_BP_E-28</c:v>
                  </c:pt>
                  <c:pt idx="1095">
                    <c:v>GNR_ST_COAL_BP_E-38</c:v>
                  </c:pt>
                  <c:pt idx="1119">
                    <c:v>GNR_ST_LIGN_BP_E-39</c:v>
                  </c:pt>
                  <c:pt idx="1143">
                    <c:v>GNR_ST_LIGN_BP_E-33</c:v>
                  </c:pt>
                  <c:pt idx="1167">
                    <c:v>GNR_ST_LIGN_BP_E-37</c:v>
                  </c:pt>
                  <c:pt idx="1191">
                    <c:v>GBPR_MUNIWASTE</c:v>
                  </c:pt>
                  <c:pt idx="1215">
                    <c:v>GBPR_PEAT_38</c:v>
                  </c:pt>
                  <c:pt idx="1235">
                    <c:v>GBPR_WOODWASTE</c:v>
                  </c:pt>
                  <c:pt idx="1259">
                    <c:v>GBPR_MUNIWASTE_24</c:v>
                  </c:pt>
                  <c:pt idx="1283">
                    <c:v>GBPR_WOODWASTE_25</c:v>
                  </c:pt>
                  <c:pt idx="1307">
                    <c:v>GBPR_WOODWASTE_36</c:v>
                  </c:pt>
                  <c:pt idx="1331">
                    <c:v>GBPR_MUNIWASTE_LINK</c:v>
                  </c:pt>
                  <c:pt idx="1355">
                    <c:v>GBPR_RECYCLEDWOOD_SE3EL</c:v>
                  </c:pt>
                  <c:pt idx="1372">
                    <c:v>GBPR_WOODWASTE_ABY</c:v>
                  </c:pt>
                  <c:pt idx="1396">
                    <c:v>GBPR_WOODWASTE_GOT</c:v>
                  </c:pt>
                  <c:pt idx="1420">
                    <c:v>GBPR_COAL_SE3</c:v>
                  </c:pt>
                  <c:pt idx="1437">
                    <c:v>GBPR_RECYCLEDWOOD_SE3OTHER</c:v>
                  </c:pt>
                  <c:pt idx="1451">
                    <c:v>GBPR_COAL_VARTAN</c:v>
                  </c:pt>
                  <c:pt idx="1469">
                    <c:v>GBPR_MUNIWASTE_HOGDALEN</c:v>
                  </c:pt>
                  <c:pt idx="1493">
                    <c:v>GBPR_WOODWASTE_BRISTA</c:v>
                  </c:pt>
                  <c:pt idx="1517">
                    <c:v>GBPR_RECYCLEDWOOD</c:v>
                  </c:pt>
                  <c:pt idx="1540">
                    <c:v>GBPR_RECYCLEDWOOD_SE4EL</c:v>
                  </c:pt>
                  <c:pt idx="1546">
                    <c:v>GBPR_MUNIWASTE_65</c:v>
                  </c:pt>
                  <c:pt idx="1570">
                    <c:v>GBPR_NATGAS_MAL</c:v>
                  </c:pt>
                  <c:pt idx="1589">
                    <c:v>GBPR_MUNIWASTE_19</c:v>
                  </c:pt>
                  <c:pt idx="1613">
                    <c:v>GBPR_WOODCHIPS_25</c:v>
                  </c:pt>
                  <c:pt idx="1614">
                    <c:v>GNR_ST_WOODCHI_BP_E-23</c:v>
                  </c:pt>
                  <c:pt idx="1615">
                    <c:v>GNR_PV_SUN</c:v>
                  </c:pt>
                  <c:pt idx="1628">
                    <c:v>GNR_PV_SUN_LS-4-MW_Y-2030</c:v>
                  </c:pt>
                  <c:pt idx="1641">
                    <c:v>GNR_PV_SUN_LS-4-MW_Y-2020</c:v>
                  </c:pt>
                  <c:pt idx="1665">
                    <c:v>GNR_WT_WIND_ONS</c:v>
                  </c:pt>
                  <c:pt idx="1689">
                    <c:v>GNR_WT_WIND_OFF</c:v>
                  </c:pt>
                  <c:pt idx="1713">
                    <c:v>AGG-DE4-E_RES_WTR_PMP</c:v>
                  </c:pt>
                  <c:pt idx="1737">
                    <c:v>AGG-DE4-N_RES_WTR_PMP</c:v>
                  </c:pt>
                  <c:pt idx="1761">
                    <c:v>AGG-DE4-S_RES_WTR_PMP</c:v>
                  </c:pt>
                  <c:pt idx="1785">
                    <c:v>AGG-DE4-W_RES_WTR_PMP</c:v>
                  </c:pt>
                  <c:pt idx="1809">
                    <c:v>GNR_ST_LIGN_CND_E-43</c:v>
                  </c:pt>
                  <c:pt idx="1833">
                    <c:v>GNR_ST_MSW_CND_E-33</c:v>
                  </c:pt>
                  <c:pt idx="1857">
                    <c:v>GNR_GEO_HEAT_EO</c:v>
                  </c:pt>
                  <c:pt idx="1881">
                    <c:v>GNR_ST_COAL_CND_E-46</c:v>
                  </c:pt>
                  <c:pt idx="1885">
                    <c:v>GNR_ST_NUCL_CND_E-33</c:v>
                  </c:pt>
                  <c:pt idx="1909">
                    <c:v>GNR_ST_COAL_CND_E-44</c:v>
                  </c:pt>
                  <c:pt idx="1933">
                    <c:v>GNR_ST_COAL_CND_E-45</c:v>
                  </c:pt>
                  <c:pt idx="1957">
                    <c:v>GNR_ST_LIGN_CND_E-32</c:v>
                  </c:pt>
                  <c:pt idx="1981">
                    <c:v>GNR_ST_LIGN_CND_E-41</c:v>
                  </c:pt>
                  <c:pt idx="2005">
                    <c:v>GCND_NUCLEAR</c:v>
                  </c:pt>
                  <c:pt idx="2029">
                    <c:v>AGG-DE4-N_ES_ELEC</c:v>
                  </c:pt>
                </c:lvl>
                <c:lvl>
                  <c:pt idx="0">
                    <c:v>2.19e+303</c:v>
                  </c:pt>
                  <c:pt idx="48">
                    <c:v>2.21e+303</c:v>
                  </c:pt>
                  <c:pt idx="91">
                    <c:v>2.26e+303</c:v>
                  </c:pt>
                  <c:pt idx="258">
                    <c:v>2.44e+303</c:v>
                  </c:pt>
                  <c:pt idx="704">
                    <c:v>2.29e+303</c:v>
                  </c:pt>
                  <c:pt idx="1615">
                    <c:v>2.22e+303</c:v>
                  </c:pt>
                  <c:pt idx="1665">
                    <c:v>2.24e+303</c:v>
                  </c:pt>
                  <c:pt idx="1713">
                    <c:v>2.65e+303</c:v>
                  </c:pt>
                  <c:pt idx="1809">
                    <c:v>2.1e+303</c:v>
                  </c:pt>
                  <c:pt idx="2029">
                    <c:v>2.49e+303</c:v>
                  </c:pt>
                </c:lvl>
                <c:lvl>
                  <c:pt idx="0">
                    <c:v>S12</c:v>
                  </c:pt>
                </c:lvl>
              </c:multiLvlStrCache>
            </c:multiLvlStrRef>
          </c:cat>
          <c:val>
            <c:numRef>
              <c:f>'EL GEN - Time'!$I$6:$I$2036</c:f>
              <c:numCache>
                <c:formatCode>General</c:formatCode>
                <c:ptCount val="2030"/>
                <c:pt idx="24">
                  <c:v>4064.6728970083595</c:v>
                </c:pt>
                <c:pt idx="25">
                  <c:v>4064.6728970083595</c:v>
                </c:pt>
                <c:pt idx="26">
                  <c:v>4064.6728970083595</c:v>
                </c:pt>
                <c:pt idx="27">
                  <c:v>4064.6728970083595</c:v>
                </c:pt>
                <c:pt idx="28">
                  <c:v>4064.6728970083595</c:v>
                </c:pt>
                <c:pt idx="29">
                  <c:v>4064.6728970083595</c:v>
                </c:pt>
                <c:pt idx="30">
                  <c:v>4064.6728970083595</c:v>
                </c:pt>
                <c:pt idx="31">
                  <c:v>4064.6728970083595</c:v>
                </c:pt>
                <c:pt idx="32">
                  <c:v>4064.6728970083595</c:v>
                </c:pt>
                <c:pt idx="33">
                  <c:v>4064.6728970083595</c:v>
                </c:pt>
                <c:pt idx="34">
                  <c:v>4064.6728970083595</c:v>
                </c:pt>
                <c:pt idx="35">
                  <c:v>4064.6728970083595</c:v>
                </c:pt>
                <c:pt idx="36">
                  <c:v>4064.6728970083595</c:v>
                </c:pt>
                <c:pt idx="37">
                  <c:v>4064.6728970083595</c:v>
                </c:pt>
                <c:pt idx="38">
                  <c:v>4064.6728970083595</c:v>
                </c:pt>
                <c:pt idx="39">
                  <c:v>4064.6728970083595</c:v>
                </c:pt>
                <c:pt idx="40">
                  <c:v>4064.6728970083595</c:v>
                </c:pt>
                <c:pt idx="41">
                  <c:v>4064.6728970083595</c:v>
                </c:pt>
                <c:pt idx="42">
                  <c:v>4064.6728970083595</c:v>
                </c:pt>
                <c:pt idx="43">
                  <c:v>4064.6728970083595</c:v>
                </c:pt>
                <c:pt idx="44">
                  <c:v>4064.6728970083595</c:v>
                </c:pt>
                <c:pt idx="45">
                  <c:v>4064.6728970083595</c:v>
                </c:pt>
                <c:pt idx="46">
                  <c:v>4064.6728970083595</c:v>
                </c:pt>
                <c:pt idx="47">
                  <c:v>4064.6728970083595</c:v>
                </c:pt>
                <c:pt idx="67">
                  <c:v>2948.5744797677703</c:v>
                </c:pt>
                <c:pt idx="68">
                  <c:v>5227.2559999692103</c:v>
                </c:pt>
                <c:pt idx="69">
                  <c:v>2657.6694585903288</c:v>
                </c:pt>
                <c:pt idx="70">
                  <c:v>4014.2789253042188</c:v>
                </c:pt>
                <c:pt idx="71">
                  <c:v>4573.3653281472198</c:v>
                </c:pt>
                <c:pt idx="72">
                  <c:v>5260.6069519086996</c:v>
                </c:pt>
                <c:pt idx="73">
                  <c:v>7138.0420057752799</c:v>
                </c:pt>
                <c:pt idx="74">
                  <c:v>8380.789477759261</c:v>
                </c:pt>
                <c:pt idx="75">
                  <c:v>8211.0874722108583</c:v>
                </c:pt>
                <c:pt idx="76">
                  <c:v>8549.1104412510795</c:v>
                </c:pt>
                <c:pt idx="77">
                  <c:v>8465.0986369143302</c:v>
                </c:pt>
                <c:pt idx="78">
                  <c:v>9613.6841214224005</c:v>
                </c:pt>
                <c:pt idx="79">
                  <c:v>8989.039457537463</c:v>
                </c:pt>
                <c:pt idx="80">
                  <c:v>9328.3710850010302</c:v>
                </c:pt>
                <c:pt idx="81">
                  <c:v>8230.8278882189588</c:v>
                </c:pt>
                <c:pt idx="82">
                  <c:v>8070.1439192561775</c:v>
                </c:pt>
                <c:pt idx="83">
                  <c:v>7660.32817956505</c:v>
                </c:pt>
                <c:pt idx="84">
                  <c:v>8260.0669869005251</c:v>
                </c:pt>
                <c:pt idx="85">
                  <c:v>8259.8048742039427</c:v>
                </c:pt>
                <c:pt idx="86">
                  <c:v>9036.9595921204746</c:v>
                </c:pt>
                <c:pt idx="87">
                  <c:v>8496.5415506710888</c:v>
                </c:pt>
                <c:pt idx="88">
                  <c:v>8623.9328528755996</c:v>
                </c:pt>
                <c:pt idx="89">
                  <c:v>6869.7090478378705</c:v>
                </c:pt>
                <c:pt idx="90">
                  <c:v>5921.144044327737</c:v>
                </c:pt>
                <c:pt idx="163">
                  <c:v>27.723467600700499</c:v>
                </c:pt>
                <c:pt idx="164">
                  <c:v>27.723467600700499</c:v>
                </c:pt>
                <c:pt idx="165">
                  <c:v>27.723467600700499</c:v>
                </c:pt>
                <c:pt idx="166">
                  <c:v>27.723467600700499</c:v>
                </c:pt>
                <c:pt idx="167">
                  <c:v>27.723467600700499</c:v>
                </c:pt>
                <c:pt idx="168">
                  <c:v>32.755680602383435</c:v>
                </c:pt>
                <c:pt idx="169">
                  <c:v>41.5256610030616</c:v>
                </c:pt>
                <c:pt idx="170">
                  <c:v>38.386089913007297</c:v>
                </c:pt>
                <c:pt idx="171">
                  <c:v>39.8475442093102</c:v>
                </c:pt>
                <c:pt idx="172">
                  <c:v>42.2892477965718</c:v>
                </c:pt>
                <c:pt idx="173">
                  <c:v>40.597686656685397</c:v>
                </c:pt>
                <c:pt idx="174">
                  <c:v>39.263049984534398</c:v>
                </c:pt>
                <c:pt idx="175">
                  <c:v>35.888085478747399</c:v>
                </c:pt>
                <c:pt idx="176">
                  <c:v>33.786218451499401</c:v>
                </c:pt>
                <c:pt idx="177">
                  <c:v>31.00067688758358</c:v>
                </c:pt>
                <c:pt idx="178">
                  <c:v>27.723467600700499</c:v>
                </c:pt>
                <c:pt idx="179">
                  <c:v>27.723467600700499</c:v>
                </c:pt>
                <c:pt idx="180">
                  <c:v>27.723467600700499</c:v>
                </c:pt>
                <c:pt idx="181">
                  <c:v>27.723467600700499</c:v>
                </c:pt>
                <c:pt idx="182">
                  <c:v>27.723467600700499</c:v>
                </c:pt>
                <c:pt idx="183">
                  <c:v>27.723467600700499</c:v>
                </c:pt>
                <c:pt idx="184">
                  <c:v>27.723467600700499</c:v>
                </c:pt>
                <c:pt idx="185">
                  <c:v>27.723467600700499</c:v>
                </c:pt>
                <c:pt idx="186">
                  <c:v>27.723467600700499</c:v>
                </c:pt>
                <c:pt idx="187">
                  <c:v>5.3937412570715502</c:v>
                </c:pt>
                <c:pt idx="188">
                  <c:v>6.7840092490952699</c:v>
                </c:pt>
                <c:pt idx="189">
                  <c:v>6.7840092490952699</c:v>
                </c:pt>
                <c:pt idx="190">
                  <c:v>6.7840092490952699</c:v>
                </c:pt>
                <c:pt idx="191">
                  <c:v>6.7840092490952699</c:v>
                </c:pt>
                <c:pt idx="192">
                  <c:v>6.7840092490952699</c:v>
                </c:pt>
                <c:pt idx="193">
                  <c:v>6.7840092490952699</c:v>
                </c:pt>
                <c:pt idx="194">
                  <c:v>6.7840092490952699</c:v>
                </c:pt>
                <c:pt idx="195">
                  <c:v>6.7840092490952699</c:v>
                </c:pt>
                <c:pt idx="196">
                  <c:v>6.7840092490952699</c:v>
                </c:pt>
                <c:pt idx="197">
                  <c:v>6.7840092490952699</c:v>
                </c:pt>
                <c:pt idx="198">
                  <c:v>6.7840092490952699</c:v>
                </c:pt>
                <c:pt idx="199">
                  <c:v>6.7840092490952699</c:v>
                </c:pt>
                <c:pt idx="200">
                  <c:v>6.7840092490952699</c:v>
                </c:pt>
                <c:pt idx="201">
                  <c:v>6.7840092490952699</c:v>
                </c:pt>
                <c:pt idx="202">
                  <c:v>6.7840092490952699</c:v>
                </c:pt>
                <c:pt idx="203">
                  <c:v>6.7840092490952699</c:v>
                </c:pt>
                <c:pt idx="204">
                  <c:v>6.7840092490952699</c:v>
                </c:pt>
                <c:pt idx="205">
                  <c:v>6.7840092490952699</c:v>
                </c:pt>
                <c:pt idx="206">
                  <c:v>6.7840092490952699</c:v>
                </c:pt>
                <c:pt idx="207">
                  <c:v>6.7840092490952699</c:v>
                </c:pt>
                <c:pt idx="208">
                  <c:v>6.7840092490952699</c:v>
                </c:pt>
                <c:pt idx="209">
                  <c:v>6.7840092490952699</c:v>
                </c:pt>
                <c:pt idx="210">
                  <c:v>6.7840092490952699</c:v>
                </c:pt>
                <c:pt idx="211">
                  <c:v>4.58188389674359</c:v>
                </c:pt>
                <c:pt idx="212">
                  <c:v>7.5954672281743498</c:v>
                </c:pt>
                <c:pt idx="213">
                  <c:v>20.476697565687399</c:v>
                </c:pt>
                <c:pt idx="214">
                  <c:v>33.401296930373697</c:v>
                </c:pt>
                <c:pt idx="215">
                  <c:v>39.693764579578698</c:v>
                </c:pt>
                <c:pt idx="216">
                  <c:v>39.693764579578698</c:v>
                </c:pt>
                <c:pt idx="217">
                  <c:v>39.693764579578698</c:v>
                </c:pt>
                <c:pt idx="218">
                  <c:v>39.693764579578698</c:v>
                </c:pt>
                <c:pt idx="219">
                  <c:v>39.693764579578698</c:v>
                </c:pt>
                <c:pt idx="220">
                  <c:v>39.693764579578698</c:v>
                </c:pt>
                <c:pt idx="221">
                  <c:v>39.693764579578698</c:v>
                </c:pt>
                <c:pt idx="222">
                  <c:v>39.693764579578698</c:v>
                </c:pt>
                <c:pt idx="223">
                  <c:v>39.693764579578698</c:v>
                </c:pt>
                <c:pt idx="224">
                  <c:v>39.693764579578698</c:v>
                </c:pt>
                <c:pt idx="225">
                  <c:v>39.693764579578698</c:v>
                </c:pt>
                <c:pt idx="226">
                  <c:v>39.693764579578698</c:v>
                </c:pt>
                <c:pt idx="227">
                  <c:v>39.693764579578698</c:v>
                </c:pt>
                <c:pt idx="228">
                  <c:v>39.693764579578698</c:v>
                </c:pt>
                <c:pt idx="229">
                  <c:v>39.693764579578698</c:v>
                </c:pt>
                <c:pt idx="230">
                  <c:v>39.693764579578698</c:v>
                </c:pt>
                <c:pt idx="231">
                  <c:v>39.693764579578698</c:v>
                </c:pt>
                <c:pt idx="232">
                  <c:v>39.693764579578698</c:v>
                </c:pt>
                <c:pt idx="233">
                  <c:v>24.576122855325099</c:v>
                </c:pt>
                <c:pt idx="234">
                  <c:v>91.782553471115193</c:v>
                </c:pt>
                <c:pt idx="235">
                  <c:v>90.510866472759602</c:v>
                </c:pt>
                <c:pt idx="236">
                  <c:v>90.374928297296705</c:v>
                </c:pt>
                <c:pt idx="237">
                  <c:v>87.2179941166617</c:v>
                </c:pt>
                <c:pt idx="238">
                  <c:v>83.618369224391103</c:v>
                </c:pt>
                <c:pt idx="239">
                  <c:v>74.647959444020799</c:v>
                </c:pt>
                <c:pt idx="240">
                  <c:v>67.583478341930203</c:v>
                </c:pt>
                <c:pt idx="241">
                  <c:v>71.089790843174498</c:v>
                </c:pt>
                <c:pt idx="242">
                  <c:v>70.729321337999579</c:v>
                </c:pt>
                <c:pt idx="243">
                  <c:v>69.554381308700769</c:v>
                </c:pt>
                <c:pt idx="244">
                  <c:v>71.237124286140016</c:v>
                </c:pt>
                <c:pt idx="245">
                  <c:v>76.167569820280917</c:v>
                </c:pt>
                <c:pt idx="246">
                  <c:v>74.991330783525441</c:v>
                </c:pt>
                <c:pt idx="247">
                  <c:v>73.43137333782154</c:v>
                </c:pt>
                <c:pt idx="248">
                  <c:v>70.887614234935555</c:v>
                </c:pt>
                <c:pt idx="249">
                  <c:v>68.724822935226527</c:v>
                </c:pt>
                <c:pt idx="250">
                  <c:v>67.583478341930203</c:v>
                </c:pt>
                <c:pt idx="251">
                  <c:v>67.583478341930203</c:v>
                </c:pt>
                <c:pt idx="252">
                  <c:v>67.583478341930203</c:v>
                </c:pt>
                <c:pt idx="253">
                  <c:v>67.583478341930203</c:v>
                </c:pt>
                <c:pt idx="254">
                  <c:v>67.583478341930203</c:v>
                </c:pt>
                <c:pt idx="255">
                  <c:v>67.583478341930203</c:v>
                </c:pt>
                <c:pt idx="256">
                  <c:v>67.583478341930203</c:v>
                </c:pt>
                <c:pt idx="257">
                  <c:v>70.990965207118293</c:v>
                </c:pt>
                <c:pt idx="522">
                  <c:v>-2.4444444444444402</c:v>
                </c:pt>
                <c:pt idx="523">
                  <c:v>-2.4444444444444402</c:v>
                </c:pt>
                <c:pt idx="524">
                  <c:v>-2.4444444444444402</c:v>
                </c:pt>
                <c:pt idx="525">
                  <c:v>-2.4444444444444402</c:v>
                </c:pt>
                <c:pt idx="526">
                  <c:v>-2.4444444444444402</c:v>
                </c:pt>
                <c:pt idx="527">
                  <c:v>-2.4444444444444402</c:v>
                </c:pt>
                <c:pt idx="528">
                  <c:v>-2.4444444444444402</c:v>
                </c:pt>
                <c:pt idx="529">
                  <c:v>-2.4444444444444402</c:v>
                </c:pt>
                <c:pt idx="530">
                  <c:v>-2.4444444444444402</c:v>
                </c:pt>
                <c:pt idx="531">
                  <c:v>-2.4444444444444402</c:v>
                </c:pt>
                <c:pt idx="532">
                  <c:v>-2.4444444444444402</c:v>
                </c:pt>
                <c:pt idx="533">
                  <c:v>-2.4444444444444402</c:v>
                </c:pt>
                <c:pt idx="534">
                  <c:v>-2.4444444444444402</c:v>
                </c:pt>
                <c:pt idx="535">
                  <c:v>-2.4444444444444402</c:v>
                </c:pt>
                <c:pt idx="536">
                  <c:v>-2.4444444444444402</c:v>
                </c:pt>
                <c:pt idx="537">
                  <c:v>-2.4444444444444402</c:v>
                </c:pt>
                <c:pt idx="538">
                  <c:v>-2.4444444444444402</c:v>
                </c:pt>
                <c:pt idx="539">
                  <c:v>-2.4444444444444402</c:v>
                </c:pt>
                <c:pt idx="540">
                  <c:v>-2.4444444444444402</c:v>
                </c:pt>
                <c:pt idx="541">
                  <c:v>-2.4444444444444402</c:v>
                </c:pt>
                <c:pt idx="542">
                  <c:v>-2.4444444444444402</c:v>
                </c:pt>
                <c:pt idx="543">
                  <c:v>-2.4444444444444402</c:v>
                </c:pt>
                <c:pt idx="544">
                  <c:v>-2.4444444444444402</c:v>
                </c:pt>
                <c:pt idx="545">
                  <c:v>-2.4444444444444402</c:v>
                </c:pt>
                <c:pt idx="546">
                  <c:v>-969.33452550049742</c:v>
                </c:pt>
                <c:pt idx="547">
                  <c:v>-1088.9030612244896</c:v>
                </c:pt>
                <c:pt idx="548">
                  <c:v>-1047.4074018985984</c:v>
                </c:pt>
                <c:pt idx="549">
                  <c:v>-1051.3479617574924</c:v>
                </c:pt>
                <c:pt idx="550">
                  <c:v>-1056.5901629258185</c:v>
                </c:pt>
                <c:pt idx="551">
                  <c:v>-1088.9030612244896</c:v>
                </c:pt>
                <c:pt idx="552">
                  <c:v>-1088.9030612244896</c:v>
                </c:pt>
                <c:pt idx="553">
                  <c:v>-1173.1251016475628</c:v>
                </c:pt>
                <c:pt idx="554">
                  <c:v>-1141.7710406485255</c:v>
                </c:pt>
                <c:pt idx="555">
                  <c:v>-1117.1199092497361</c:v>
                </c:pt>
                <c:pt idx="556">
                  <c:v>-1133.0622245126128</c:v>
                </c:pt>
                <c:pt idx="557">
                  <c:v>-1164.5583242739028</c:v>
                </c:pt>
                <c:pt idx="558">
                  <c:v>-1153.7630934745603</c:v>
                </c:pt>
                <c:pt idx="559">
                  <c:v>-1142.8273886358716</c:v>
                </c:pt>
                <c:pt idx="560">
                  <c:v>-1130.5660764387167</c:v>
                </c:pt>
                <c:pt idx="561">
                  <c:v>-1108.6873056414854</c:v>
                </c:pt>
                <c:pt idx="562">
                  <c:v>-1124.6347077036921</c:v>
                </c:pt>
                <c:pt idx="563">
                  <c:v>-1126.3217954495749</c:v>
                </c:pt>
                <c:pt idx="564">
                  <c:v>-1105.5319357865619</c:v>
                </c:pt>
                <c:pt idx="565">
                  <c:v>-1106.1632133188853</c:v>
                </c:pt>
                <c:pt idx="566">
                  <c:v>-1097.4937213650248</c:v>
                </c:pt>
                <c:pt idx="567">
                  <c:v>-1088.9030612244896</c:v>
                </c:pt>
                <c:pt idx="568">
                  <c:v>-1071.1486965551751</c:v>
                </c:pt>
                <c:pt idx="569">
                  <c:v>-1064.4310697815006</c:v>
                </c:pt>
                <c:pt idx="570">
                  <c:v>-231.34531581942977</c:v>
                </c:pt>
                <c:pt idx="571">
                  <c:v>-204.14768157016496</c:v>
                </c:pt>
                <c:pt idx="572">
                  <c:v>-203.11102046792124</c:v>
                </c:pt>
                <c:pt idx="573">
                  <c:v>-218.40166935405466</c:v>
                </c:pt>
                <c:pt idx="574">
                  <c:v>-236.67743237292379</c:v>
                </c:pt>
                <c:pt idx="575">
                  <c:v>-299.14428196137817</c:v>
                </c:pt>
                <c:pt idx="576">
                  <c:v>-335.96363636363691</c:v>
                </c:pt>
                <c:pt idx="577">
                  <c:v>-335.96363636363691</c:v>
                </c:pt>
                <c:pt idx="578">
                  <c:v>-335.96363636363691</c:v>
                </c:pt>
                <c:pt idx="579">
                  <c:v>-335.96363636363691</c:v>
                </c:pt>
                <c:pt idx="580">
                  <c:v>-335.96363636363691</c:v>
                </c:pt>
                <c:pt idx="581">
                  <c:v>-332.25548671166615</c:v>
                </c:pt>
                <c:pt idx="582">
                  <c:v>-326.58520441314766</c:v>
                </c:pt>
                <c:pt idx="583">
                  <c:v>-325.00875488162393</c:v>
                </c:pt>
                <c:pt idx="584">
                  <c:v>-322.89534160296256</c:v>
                </c:pt>
                <c:pt idx="585">
                  <c:v>-321.99935381618957</c:v>
                </c:pt>
                <c:pt idx="586">
                  <c:v>-323.99935604250919</c:v>
                </c:pt>
                <c:pt idx="587">
                  <c:v>-324.22738509018694</c:v>
                </c:pt>
                <c:pt idx="588">
                  <c:v>-325.46914945738257</c:v>
                </c:pt>
                <c:pt idx="589">
                  <c:v>-327.29566423469504</c:v>
                </c:pt>
                <c:pt idx="590">
                  <c:v>-326.00242671521715</c:v>
                </c:pt>
                <c:pt idx="591">
                  <c:v>-322.84916241003799</c:v>
                </c:pt>
                <c:pt idx="592">
                  <c:v>-317.49593261668008</c:v>
                </c:pt>
                <c:pt idx="593">
                  <c:v>-304.02846849754388</c:v>
                </c:pt>
                <c:pt idx="594">
                  <c:v>-58.285714285714299</c:v>
                </c:pt>
                <c:pt idx="595">
                  <c:v>-58.285714285714299</c:v>
                </c:pt>
                <c:pt idx="596">
                  <c:v>-58.285714285714299</c:v>
                </c:pt>
                <c:pt idx="597">
                  <c:v>-58.285714285714299</c:v>
                </c:pt>
                <c:pt idx="598">
                  <c:v>-58.285714285714299</c:v>
                </c:pt>
                <c:pt idx="599">
                  <c:v>-58.285714285714299</c:v>
                </c:pt>
                <c:pt idx="600">
                  <c:v>-76.289805235456896</c:v>
                </c:pt>
                <c:pt idx="601">
                  <c:v>-88.9156679652002</c:v>
                </c:pt>
                <c:pt idx="602">
                  <c:v>-88.451875577449101</c:v>
                </c:pt>
                <c:pt idx="603">
                  <c:v>-86.9401575712659</c:v>
                </c:pt>
                <c:pt idx="604">
                  <c:v>-89.105232209408399</c:v>
                </c:pt>
                <c:pt idx="605">
                  <c:v>-95.448911977399803</c:v>
                </c:pt>
                <c:pt idx="606">
                  <c:v>-93.935522623817207</c:v>
                </c:pt>
                <c:pt idx="607">
                  <c:v>-91.928428048141399</c:v>
                </c:pt>
                <c:pt idx="608">
                  <c:v>-88.655540629776795</c:v>
                </c:pt>
                <c:pt idx="609">
                  <c:v>-85.872819410092404</c:v>
                </c:pt>
                <c:pt idx="610">
                  <c:v>-84.404326440305994</c:v>
                </c:pt>
                <c:pt idx="611">
                  <c:v>-81.845375130450691</c:v>
                </c:pt>
                <c:pt idx="612">
                  <c:v>-80.149405702985604</c:v>
                </c:pt>
                <c:pt idx="613">
                  <c:v>-80.185862601223704</c:v>
                </c:pt>
                <c:pt idx="614">
                  <c:v>-76.571338463085297</c:v>
                </c:pt>
                <c:pt idx="615">
                  <c:v>-71.794966489087898</c:v>
                </c:pt>
                <c:pt idx="616">
                  <c:v>-65.065634822934314</c:v>
                </c:pt>
                <c:pt idx="617">
                  <c:v>-58.285714285714299</c:v>
                </c:pt>
                <c:pt idx="618">
                  <c:v>-31.977206213866101</c:v>
                </c:pt>
                <c:pt idx="619">
                  <c:v>-32.030200586405691</c:v>
                </c:pt>
                <c:pt idx="620">
                  <c:v>-44.561326193711736</c:v>
                </c:pt>
                <c:pt idx="621">
                  <c:v>-44.670967741935542</c:v>
                </c:pt>
                <c:pt idx="622">
                  <c:v>-44.670967741935542</c:v>
                </c:pt>
                <c:pt idx="623">
                  <c:v>-38.795575143135025</c:v>
                </c:pt>
                <c:pt idx="624">
                  <c:v>-44.670967741935542</c:v>
                </c:pt>
                <c:pt idx="625">
                  <c:v>-44.670967741935542</c:v>
                </c:pt>
                <c:pt idx="626">
                  <c:v>-44.670967741935542</c:v>
                </c:pt>
                <c:pt idx="627">
                  <c:v>-44.670967741935542</c:v>
                </c:pt>
                <c:pt idx="628">
                  <c:v>-44.670967741935542</c:v>
                </c:pt>
                <c:pt idx="629">
                  <c:v>-44.670967741935542</c:v>
                </c:pt>
                <c:pt idx="630">
                  <c:v>-44.021928503295143</c:v>
                </c:pt>
                <c:pt idx="631">
                  <c:v>-42.749208495893839</c:v>
                </c:pt>
                <c:pt idx="632">
                  <c:v>-41.214533764216938</c:v>
                </c:pt>
                <c:pt idx="633">
                  <c:v>-44.670967741935542</c:v>
                </c:pt>
                <c:pt idx="634">
                  <c:v>-40.472795336176077</c:v>
                </c:pt>
                <c:pt idx="635">
                  <c:v>-40.288354205220955</c:v>
                </c:pt>
                <c:pt idx="636">
                  <c:v>-44.670967741935542</c:v>
                </c:pt>
                <c:pt idx="637">
                  <c:v>-44.670967741935542</c:v>
                </c:pt>
                <c:pt idx="638">
                  <c:v>-40.801184330614745</c:v>
                </c:pt>
                <c:pt idx="639">
                  <c:v>-40.228960540442074</c:v>
                </c:pt>
                <c:pt idx="640">
                  <c:v>-44.670967741935542</c:v>
                </c:pt>
                <c:pt idx="641">
                  <c:v>-44.670967741935542</c:v>
                </c:pt>
                <c:pt idx="680">
                  <c:v>-1872.6927981715498</c:v>
                </c:pt>
                <c:pt idx="681">
                  <c:v>-1946.7983756675876</c:v>
                </c:pt>
                <c:pt idx="682">
                  <c:v>-1974.2921672065665</c:v>
                </c:pt>
                <c:pt idx="683">
                  <c:v>-2122.3211183366902</c:v>
                </c:pt>
                <c:pt idx="684">
                  <c:v>-2273.7102456728271</c:v>
                </c:pt>
                <c:pt idx="685">
                  <c:v>-2567.0793417650848</c:v>
                </c:pt>
                <c:pt idx="686">
                  <c:v>-2758.0038522314344</c:v>
                </c:pt>
                <c:pt idx="687">
                  <c:v>-2821.0630085809125</c:v>
                </c:pt>
                <c:pt idx="688">
                  <c:v>-2819.3547693170849</c:v>
                </c:pt>
                <c:pt idx="689">
                  <c:v>-2814.1800700510698</c:v>
                </c:pt>
                <c:pt idx="690">
                  <c:v>-2808.2287199838029</c:v>
                </c:pt>
                <c:pt idx="691">
                  <c:v>-2797.9446838437634</c:v>
                </c:pt>
                <c:pt idx="692">
                  <c:v>-2786.6128518118499</c:v>
                </c:pt>
                <c:pt idx="693">
                  <c:v>-2784.6025945742058</c:v>
                </c:pt>
                <c:pt idx="694">
                  <c:v>-2786.2708912640287</c:v>
                </c:pt>
                <c:pt idx="695">
                  <c:v>-2791.0682332180827</c:v>
                </c:pt>
                <c:pt idx="696">
                  <c:v>-2798.1325962073565</c:v>
                </c:pt>
                <c:pt idx="697">
                  <c:v>-2783.1335516541021</c:v>
                </c:pt>
                <c:pt idx="698">
                  <c:v>-2784.0754960388404</c:v>
                </c:pt>
                <c:pt idx="699">
                  <c:v>-2796.0100263892518</c:v>
                </c:pt>
                <c:pt idx="700">
                  <c:v>-2766.8817474820116</c:v>
                </c:pt>
                <c:pt idx="701">
                  <c:v>-2688.4735362705446</c:v>
                </c:pt>
                <c:pt idx="702">
                  <c:v>-2547.9664778731481</c:v>
                </c:pt>
                <c:pt idx="703">
                  <c:v>-2229.9012944037431</c:v>
                </c:pt>
                <c:pt idx="1191">
                  <c:v>3.5591167074711301</c:v>
                </c:pt>
                <c:pt idx="1192">
                  <c:v>3.5591167074711301</c:v>
                </c:pt>
                <c:pt idx="1193">
                  <c:v>3.5591167074711301</c:v>
                </c:pt>
                <c:pt idx="1194">
                  <c:v>3.5591167074711301</c:v>
                </c:pt>
                <c:pt idx="1195">
                  <c:v>3.5591167074711301</c:v>
                </c:pt>
                <c:pt idx="1196">
                  <c:v>3.5591167074711301</c:v>
                </c:pt>
                <c:pt idx="1197">
                  <c:v>3.5591167074711301</c:v>
                </c:pt>
                <c:pt idx="1198">
                  <c:v>3.5591167074711301</c:v>
                </c:pt>
                <c:pt idx="1199">
                  <c:v>3.5591167074711301</c:v>
                </c:pt>
                <c:pt idx="1200">
                  <c:v>3.5591167074711301</c:v>
                </c:pt>
                <c:pt idx="1201">
                  <c:v>3.5591167074711301</c:v>
                </c:pt>
                <c:pt idx="1202">
                  <c:v>3.5591167074711301</c:v>
                </c:pt>
                <c:pt idx="1203">
                  <c:v>3.5591167074711301</c:v>
                </c:pt>
                <c:pt idx="1204">
                  <c:v>3.5591167074711301</c:v>
                </c:pt>
                <c:pt idx="1205">
                  <c:v>3.5591167074711301</c:v>
                </c:pt>
                <c:pt idx="1206">
                  <c:v>3.5591167074711301</c:v>
                </c:pt>
                <c:pt idx="1207">
                  <c:v>3.5591167074711301</c:v>
                </c:pt>
                <c:pt idx="1208">
                  <c:v>3.5591167074711301</c:v>
                </c:pt>
                <c:pt idx="1209">
                  <c:v>3.5591167074711301</c:v>
                </c:pt>
                <c:pt idx="1210">
                  <c:v>3.5591167074711301</c:v>
                </c:pt>
                <c:pt idx="1211">
                  <c:v>3.5591167074711301</c:v>
                </c:pt>
                <c:pt idx="1212">
                  <c:v>3.5591167074711301</c:v>
                </c:pt>
                <c:pt idx="1213">
                  <c:v>3.5591167074711301</c:v>
                </c:pt>
                <c:pt idx="1214">
                  <c:v>3.5591167074711301</c:v>
                </c:pt>
                <c:pt idx="1215">
                  <c:v>1.6466971309791101</c:v>
                </c:pt>
                <c:pt idx="1216">
                  <c:v>18.605334037660839</c:v>
                </c:pt>
                <c:pt idx="1217">
                  <c:v>18.605334037660839</c:v>
                </c:pt>
                <c:pt idx="1218">
                  <c:v>18.605334037660839</c:v>
                </c:pt>
                <c:pt idx="1219">
                  <c:v>18.605334037660839</c:v>
                </c:pt>
                <c:pt idx="1220">
                  <c:v>18.605334037660839</c:v>
                </c:pt>
                <c:pt idx="1221">
                  <c:v>18.605334037660839</c:v>
                </c:pt>
                <c:pt idx="1222">
                  <c:v>18.605334037660839</c:v>
                </c:pt>
                <c:pt idx="1223">
                  <c:v>18.605334037660839</c:v>
                </c:pt>
                <c:pt idx="1224">
                  <c:v>18.605334037660839</c:v>
                </c:pt>
                <c:pt idx="1225">
                  <c:v>18.605334037660839</c:v>
                </c:pt>
                <c:pt idx="1226">
                  <c:v>18.605334037660839</c:v>
                </c:pt>
                <c:pt idx="1227">
                  <c:v>18.605334037660839</c:v>
                </c:pt>
                <c:pt idx="1228">
                  <c:v>18.605334037660839</c:v>
                </c:pt>
                <c:pt idx="1229">
                  <c:v>18.605334037660839</c:v>
                </c:pt>
                <c:pt idx="1230">
                  <c:v>18.605334037660839</c:v>
                </c:pt>
                <c:pt idx="1231">
                  <c:v>18.605334037660839</c:v>
                </c:pt>
                <c:pt idx="1232">
                  <c:v>18.285707676771167</c:v>
                </c:pt>
                <c:pt idx="1233">
                  <c:v>12.89183396251336</c:v>
                </c:pt>
                <c:pt idx="1234">
                  <c:v>0.63997493435360198</c:v>
                </c:pt>
                <c:pt idx="1235">
                  <c:v>102.1035026269703</c:v>
                </c:pt>
                <c:pt idx="1236">
                  <c:v>102.1035026269703</c:v>
                </c:pt>
                <c:pt idx="1237">
                  <c:v>102.1035026269703</c:v>
                </c:pt>
                <c:pt idx="1238">
                  <c:v>102.1035026269703</c:v>
                </c:pt>
                <c:pt idx="1239">
                  <c:v>102.1035026269703</c:v>
                </c:pt>
                <c:pt idx="1240">
                  <c:v>102.1035026269703</c:v>
                </c:pt>
                <c:pt idx="1241">
                  <c:v>102.1035026269703</c:v>
                </c:pt>
                <c:pt idx="1242">
                  <c:v>103.19891475987275</c:v>
                </c:pt>
                <c:pt idx="1243">
                  <c:v>102.1035026269703</c:v>
                </c:pt>
                <c:pt idx="1244">
                  <c:v>102.1035026269703</c:v>
                </c:pt>
                <c:pt idx="1245">
                  <c:v>102.1035026269703</c:v>
                </c:pt>
                <c:pt idx="1246">
                  <c:v>102.1035026269703</c:v>
                </c:pt>
                <c:pt idx="1247">
                  <c:v>102.1035026269703</c:v>
                </c:pt>
                <c:pt idx="1248">
                  <c:v>102.1035026269703</c:v>
                </c:pt>
                <c:pt idx="1249">
                  <c:v>102.1035026269703</c:v>
                </c:pt>
                <c:pt idx="1250">
                  <c:v>102.1035026269703</c:v>
                </c:pt>
                <c:pt idx="1251">
                  <c:v>102.1035026269703</c:v>
                </c:pt>
                <c:pt idx="1252">
                  <c:v>102.1035026269703</c:v>
                </c:pt>
                <c:pt idx="1253">
                  <c:v>102.1035026269703</c:v>
                </c:pt>
                <c:pt idx="1254">
                  <c:v>102.1035026269703</c:v>
                </c:pt>
                <c:pt idx="1255">
                  <c:v>102.1035026269703</c:v>
                </c:pt>
                <c:pt idx="1256">
                  <c:v>102.1035026269703</c:v>
                </c:pt>
                <c:pt idx="1257">
                  <c:v>102.1035026269703</c:v>
                </c:pt>
                <c:pt idx="1258">
                  <c:v>102.1035026269703</c:v>
                </c:pt>
                <c:pt idx="1259">
                  <c:v>202.08497152324043</c:v>
                </c:pt>
                <c:pt idx="1260">
                  <c:v>202.08497152324043</c:v>
                </c:pt>
                <c:pt idx="1261">
                  <c:v>202.08497152324043</c:v>
                </c:pt>
                <c:pt idx="1262">
                  <c:v>202.08497152324043</c:v>
                </c:pt>
                <c:pt idx="1263">
                  <c:v>202.08497152324043</c:v>
                </c:pt>
                <c:pt idx="1264">
                  <c:v>202.08497152324043</c:v>
                </c:pt>
                <c:pt idx="1265">
                  <c:v>229.61067507567594</c:v>
                </c:pt>
                <c:pt idx="1266">
                  <c:v>281.74049519570906</c:v>
                </c:pt>
                <c:pt idx="1267">
                  <c:v>256.48350321988079</c:v>
                </c:pt>
                <c:pt idx="1268">
                  <c:v>215.033755075512</c:v>
                </c:pt>
                <c:pt idx="1269">
                  <c:v>210.03646569781634</c:v>
                </c:pt>
                <c:pt idx="1270">
                  <c:v>206.66727042716624</c:v>
                </c:pt>
                <c:pt idx="1271">
                  <c:v>202.51203628960693</c:v>
                </c:pt>
                <c:pt idx="1272">
                  <c:v>202.08497152324043</c:v>
                </c:pt>
                <c:pt idx="1273">
                  <c:v>202.08497152324043</c:v>
                </c:pt>
                <c:pt idx="1274">
                  <c:v>202.08497152324043</c:v>
                </c:pt>
                <c:pt idx="1275">
                  <c:v>202.08497152324043</c:v>
                </c:pt>
                <c:pt idx="1276">
                  <c:v>202.08497152324043</c:v>
                </c:pt>
                <c:pt idx="1277">
                  <c:v>203.66225037639262</c:v>
                </c:pt>
                <c:pt idx="1278">
                  <c:v>205.7411921627594</c:v>
                </c:pt>
                <c:pt idx="1279">
                  <c:v>204.85888173659313</c:v>
                </c:pt>
                <c:pt idx="1280">
                  <c:v>203.8389548049702</c:v>
                </c:pt>
                <c:pt idx="1281">
                  <c:v>202.08497152324043</c:v>
                </c:pt>
                <c:pt idx="1282">
                  <c:v>202.08497152324043</c:v>
                </c:pt>
                <c:pt idx="1283">
                  <c:v>183.65061719096781</c:v>
                </c:pt>
                <c:pt idx="1284">
                  <c:v>184.30281196875259</c:v>
                </c:pt>
                <c:pt idx="1285">
                  <c:v>185.46750390532048</c:v>
                </c:pt>
                <c:pt idx="1286">
                  <c:v>188.36696499376188</c:v>
                </c:pt>
                <c:pt idx="1287">
                  <c:v>192.66501813062848</c:v>
                </c:pt>
                <c:pt idx="1288">
                  <c:v>198.52131335638219</c:v>
                </c:pt>
                <c:pt idx="1289">
                  <c:v>204.29874158210799</c:v>
                </c:pt>
                <c:pt idx="1290">
                  <c:v>204.29874158210799</c:v>
                </c:pt>
                <c:pt idx="1291">
                  <c:v>204.29874158210799</c:v>
                </c:pt>
                <c:pt idx="1292">
                  <c:v>204.29874158210799</c:v>
                </c:pt>
                <c:pt idx="1293">
                  <c:v>204.29874158210799</c:v>
                </c:pt>
                <c:pt idx="1294">
                  <c:v>204.29874158210799</c:v>
                </c:pt>
                <c:pt idx="1295">
                  <c:v>201.31733072651139</c:v>
                </c:pt>
                <c:pt idx="1296">
                  <c:v>199.44118222405189</c:v>
                </c:pt>
                <c:pt idx="1297">
                  <c:v>196.95477867619189</c:v>
                </c:pt>
                <c:pt idx="1298">
                  <c:v>194.02950737399991</c:v>
                </c:pt>
                <c:pt idx="1299">
                  <c:v>191.95190898825251</c:v>
                </c:pt>
                <c:pt idx="1300">
                  <c:v>188.71056294158421</c:v>
                </c:pt>
                <c:pt idx="1301">
                  <c:v>188.24839144969098</c:v>
                </c:pt>
                <c:pt idx="1302">
                  <c:v>188.9632014380783</c:v>
                </c:pt>
                <c:pt idx="1303">
                  <c:v>188.28963090242041</c:v>
                </c:pt>
                <c:pt idx="1304">
                  <c:v>187.18758146503251</c:v>
                </c:pt>
                <c:pt idx="1305">
                  <c:v>184.9282746857923</c:v>
                </c:pt>
                <c:pt idx="1306">
                  <c:v>182.95803458968868</c:v>
                </c:pt>
                <c:pt idx="1307">
                  <c:v>113.1713633193492</c:v>
                </c:pt>
                <c:pt idx="1308">
                  <c:v>113.1713633193492</c:v>
                </c:pt>
                <c:pt idx="1309">
                  <c:v>113.1713633193492</c:v>
                </c:pt>
                <c:pt idx="1310">
                  <c:v>113.1713633193492</c:v>
                </c:pt>
                <c:pt idx="1311">
                  <c:v>113.1713633193492</c:v>
                </c:pt>
                <c:pt idx="1312">
                  <c:v>113.1713633193492</c:v>
                </c:pt>
                <c:pt idx="1313">
                  <c:v>113.1713633193492</c:v>
                </c:pt>
                <c:pt idx="1314">
                  <c:v>113.1713633193492</c:v>
                </c:pt>
                <c:pt idx="1315">
                  <c:v>113.1713633193492</c:v>
                </c:pt>
                <c:pt idx="1316">
                  <c:v>113.1713633193492</c:v>
                </c:pt>
                <c:pt idx="1317">
                  <c:v>113.1713633193492</c:v>
                </c:pt>
                <c:pt idx="1318">
                  <c:v>113.1713633193492</c:v>
                </c:pt>
                <c:pt idx="1319">
                  <c:v>113.1713633193492</c:v>
                </c:pt>
                <c:pt idx="1320">
                  <c:v>113.1713633193492</c:v>
                </c:pt>
                <c:pt idx="1321">
                  <c:v>113.1713633193492</c:v>
                </c:pt>
                <c:pt idx="1322">
                  <c:v>113.1713633193492</c:v>
                </c:pt>
                <c:pt idx="1323">
                  <c:v>113.1713633193492</c:v>
                </c:pt>
                <c:pt idx="1324">
                  <c:v>113.1713633193492</c:v>
                </c:pt>
                <c:pt idx="1325">
                  <c:v>113.1713633193492</c:v>
                </c:pt>
                <c:pt idx="1326">
                  <c:v>113.1713633193492</c:v>
                </c:pt>
                <c:pt idx="1327">
                  <c:v>113.1713633193492</c:v>
                </c:pt>
                <c:pt idx="1328">
                  <c:v>113.1713633193492</c:v>
                </c:pt>
                <c:pt idx="1329">
                  <c:v>113.1713633193492</c:v>
                </c:pt>
                <c:pt idx="1330">
                  <c:v>113.1713633193492</c:v>
                </c:pt>
                <c:pt idx="1331">
                  <c:v>25.546548811403898</c:v>
                </c:pt>
                <c:pt idx="1332">
                  <c:v>25.546548811403898</c:v>
                </c:pt>
                <c:pt idx="1333">
                  <c:v>25.546548811403898</c:v>
                </c:pt>
                <c:pt idx="1334">
                  <c:v>25.546548811403898</c:v>
                </c:pt>
                <c:pt idx="1335">
                  <c:v>25.546548811403898</c:v>
                </c:pt>
                <c:pt idx="1336">
                  <c:v>25.546548811403898</c:v>
                </c:pt>
                <c:pt idx="1337">
                  <c:v>49.680470683883399</c:v>
                </c:pt>
                <c:pt idx="1338">
                  <c:v>51.093097622807797</c:v>
                </c:pt>
                <c:pt idx="1339">
                  <c:v>51.093097622807797</c:v>
                </c:pt>
                <c:pt idx="1340">
                  <c:v>51.093097622807797</c:v>
                </c:pt>
                <c:pt idx="1341">
                  <c:v>44.276874407354896</c:v>
                </c:pt>
                <c:pt idx="1342">
                  <c:v>39.170291203278396</c:v>
                </c:pt>
                <c:pt idx="1343">
                  <c:v>31.651642565608107</c:v>
                </c:pt>
                <c:pt idx="1344">
                  <c:v>27.866744646915549</c:v>
                </c:pt>
                <c:pt idx="1345">
                  <c:v>25.546548811403898</c:v>
                </c:pt>
                <c:pt idx="1346">
                  <c:v>25.546548811403898</c:v>
                </c:pt>
                <c:pt idx="1347">
                  <c:v>25.546548811403898</c:v>
                </c:pt>
                <c:pt idx="1348">
                  <c:v>25.546548811403898</c:v>
                </c:pt>
                <c:pt idx="1349">
                  <c:v>25.546548811403898</c:v>
                </c:pt>
                <c:pt idx="1350">
                  <c:v>25.546548811403898</c:v>
                </c:pt>
                <c:pt idx="1351">
                  <c:v>25.546548811403898</c:v>
                </c:pt>
                <c:pt idx="1352">
                  <c:v>25.546548811403898</c:v>
                </c:pt>
                <c:pt idx="1353">
                  <c:v>25.546548811403898</c:v>
                </c:pt>
                <c:pt idx="1354">
                  <c:v>25.546548811403898</c:v>
                </c:pt>
                <c:pt idx="1355">
                  <c:v>25.879090166851999</c:v>
                </c:pt>
                <c:pt idx="1356">
                  <c:v>57.635500224831198</c:v>
                </c:pt>
                <c:pt idx="1357">
                  <c:v>57.635500224831198</c:v>
                </c:pt>
                <c:pt idx="1358">
                  <c:v>57.635500224831198</c:v>
                </c:pt>
                <c:pt idx="1359">
                  <c:v>57.635500224831198</c:v>
                </c:pt>
                <c:pt idx="1360">
                  <c:v>57.635500224831198</c:v>
                </c:pt>
                <c:pt idx="1361">
                  <c:v>57.635500224831198</c:v>
                </c:pt>
                <c:pt idx="1362">
                  <c:v>57.635500224831198</c:v>
                </c:pt>
                <c:pt idx="1363">
                  <c:v>57.635500224831198</c:v>
                </c:pt>
                <c:pt idx="1364">
                  <c:v>37.509400930962101</c:v>
                </c:pt>
                <c:pt idx="1365">
                  <c:v>26.6407356200415</c:v>
                </c:pt>
                <c:pt idx="1366">
                  <c:v>25.688922991606201</c:v>
                </c:pt>
                <c:pt idx="1367">
                  <c:v>20.642250859262301</c:v>
                </c:pt>
                <c:pt idx="1368">
                  <c:v>22.665416398032299</c:v>
                </c:pt>
                <c:pt idx="1369">
                  <c:v>31.435489664927701</c:v>
                </c:pt>
                <c:pt idx="1370">
                  <c:v>26.9044664026341</c:v>
                </c:pt>
                <c:pt idx="1371">
                  <c:v>14.582266640568299</c:v>
                </c:pt>
                <c:pt idx="1372">
                  <c:v>83.403992994746105</c:v>
                </c:pt>
                <c:pt idx="1373">
                  <c:v>83.403992994746105</c:v>
                </c:pt>
                <c:pt idx="1374">
                  <c:v>83.403992994746105</c:v>
                </c:pt>
                <c:pt idx="1375">
                  <c:v>83.403992994746105</c:v>
                </c:pt>
                <c:pt idx="1376">
                  <c:v>83.403992994746105</c:v>
                </c:pt>
                <c:pt idx="1377">
                  <c:v>83.403992994746105</c:v>
                </c:pt>
                <c:pt idx="1378">
                  <c:v>83.403992994746105</c:v>
                </c:pt>
                <c:pt idx="1379">
                  <c:v>83.403992994746105</c:v>
                </c:pt>
                <c:pt idx="1380">
                  <c:v>83.403992994746105</c:v>
                </c:pt>
                <c:pt idx="1381">
                  <c:v>83.403992994746105</c:v>
                </c:pt>
                <c:pt idx="1382">
                  <c:v>83.403992994746105</c:v>
                </c:pt>
                <c:pt idx="1383">
                  <c:v>83.403992994746105</c:v>
                </c:pt>
                <c:pt idx="1384">
                  <c:v>83.403992994746105</c:v>
                </c:pt>
                <c:pt idx="1385">
                  <c:v>83.403992994746105</c:v>
                </c:pt>
                <c:pt idx="1386">
                  <c:v>83.403992994746105</c:v>
                </c:pt>
                <c:pt idx="1387">
                  <c:v>83.403992994746105</c:v>
                </c:pt>
                <c:pt idx="1388">
                  <c:v>83.403992994746105</c:v>
                </c:pt>
                <c:pt idx="1389">
                  <c:v>83.403992994746105</c:v>
                </c:pt>
                <c:pt idx="1390">
                  <c:v>83.403992994746105</c:v>
                </c:pt>
                <c:pt idx="1391">
                  <c:v>83.403992994746105</c:v>
                </c:pt>
                <c:pt idx="1392">
                  <c:v>83.403992994746105</c:v>
                </c:pt>
                <c:pt idx="1393">
                  <c:v>83.403992994746105</c:v>
                </c:pt>
                <c:pt idx="1394">
                  <c:v>83.403992994746105</c:v>
                </c:pt>
                <c:pt idx="1395">
                  <c:v>83.403992994746105</c:v>
                </c:pt>
                <c:pt idx="1396">
                  <c:v>8.7903677758318803</c:v>
                </c:pt>
                <c:pt idx="1397">
                  <c:v>8.7903677758318803</c:v>
                </c:pt>
                <c:pt idx="1398">
                  <c:v>8.7903677758318803</c:v>
                </c:pt>
                <c:pt idx="1399">
                  <c:v>8.7903677758318803</c:v>
                </c:pt>
                <c:pt idx="1400">
                  <c:v>8.7903677758318803</c:v>
                </c:pt>
                <c:pt idx="1401">
                  <c:v>8.7903677758318803</c:v>
                </c:pt>
                <c:pt idx="1402">
                  <c:v>8.7903677758318803</c:v>
                </c:pt>
                <c:pt idx="1403">
                  <c:v>8.7903677758318803</c:v>
                </c:pt>
                <c:pt idx="1404">
                  <c:v>8.7903677758318803</c:v>
                </c:pt>
                <c:pt idx="1405">
                  <c:v>8.7903677758318803</c:v>
                </c:pt>
                <c:pt idx="1406">
                  <c:v>8.7903677758318803</c:v>
                </c:pt>
                <c:pt idx="1407">
                  <c:v>8.7903677758318803</c:v>
                </c:pt>
                <c:pt idx="1408">
                  <c:v>8.7903677758318803</c:v>
                </c:pt>
                <c:pt idx="1409">
                  <c:v>8.7903677758318803</c:v>
                </c:pt>
                <c:pt idx="1410">
                  <c:v>8.7903677758318803</c:v>
                </c:pt>
                <c:pt idx="1411">
                  <c:v>8.7903677758318803</c:v>
                </c:pt>
                <c:pt idx="1412">
                  <c:v>8.7903677758318803</c:v>
                </c:pt>
                <c:pt idx="1413">
                  <c:v>8.7903677758318803</c:v>
                </c:pt>
                <c:pt idx="1414">
                  <c:v>8.7903677758318803</c:v>
                </c:pt>
                <c:pt idx="1415">
                  <c:v>8.7903677758318803</c:v>
                </c:pt>
                <c:pt idx="1416">
                  <c:v>8.7903677758318803</c:v>
                </c:pt>
                <c:pt idx="1417">
                  <c:v>8.7903677758318803</c:v>
                </c:pt>
                <c:pt idx="1418">
                  <c:v>8.7903677758318803</c:v>
                </c:pt>
                <c:pt idx="1419">
                  <c:v>8.7903677758318803</c:v>
                </c:pt>
                <c:pt idx="1420">
                  <c:v>19.911618082563201</c:v>
                </c:pt>
                <c:pt idx="1421">
                  <c:v>19.911618082563201</c:v>
                </c:pt>
                <c:pt idx="1422">
                  <c:v>19.911618082563201</c:v>
                </c:pt>
                <c:pt idx="1423">
                  <c:v>19.911618082563201</c:v>
                </c:pt>
                <c:pt idx="1424">
                  <c:v>19.911618082563201</c:v>
                </c:pt>
                <c:pt idx="1425">
                  <c:v>19.911618082563201</c:v>
                </c:pt>
                <c:pt idx="1426">
                  <c:v>19.911618082563201</c:v>
                </c:pt>
                <c:pt idx="1427">
                  <c:v>19.911618082563201</c:v>
                </c:pt>
                <c:pt idx="1428">
                  <c:v>19.911618082563201</c:v>
                </c:pt>
                <c:pt idx="1429">
                  <c:v>19.911618082563201</c:v>
                </c:pt>
                <c:pt idx="1430">
                  <c:v>19.911618082563201</c:v>
                </c:pt>
                <c:pt idx="1431">
                  <c:v>19.911618082563201</c:v>
                </c:pt>
                <c:pt idx="1432">
                  <c:v>15.836746012891799</c:v>
                </c:pt>
                <c:pt idx="1433">
                  <c:v>17.568782912311701</c:v>
                </c:pt>
                <c:pt idx="1434">
                  <c:v>19.911618082563201</c:v>
                </c:pt>
                <c:pt idx="1435">
                  <c:v>19.911618082563201</c:v>
                </c:pt>
                <c:pt idx="1436">
                  <c:v>10.7289049202741</c:v>
                </c:pt>
                <c:pt idx="1437">
                  <c:v>6.6405676697907703</c:v>
                </c:pt>
                <c:pt idx="1438">
                  <c:v>34.702379388107403</c:v>
                </c:pt>
                <c:pt idx="1439">
                  <c:v>34.702379388107403</c:v>
                </c:pt>
                <c:pt idx="1440">
                  <c:v>34.702379388107403</c:v>
                </c:pt>
                <c:pt idx="1441">
                  <c:v>34.702379388107403</c:v>
                </c:pt>
                <c:pt idx="1442">
                  <c:v>34.702379388107403</c:v>
                </c:pt>
                <c:pt idx="1443">
                  <c:v>34.702379388107403</c:v>
                </c:pt>
                <c:pt idx="1444">
                  <c:v>34.702379388107403</c:v>
                </c:pt>
                <c:pt idx="1445">
                  <c:v>31.4049279416862</c:v>
                </c:pt>
                <c:pt idx="1446">
                  <c:v>14.4142652880822</c:v>
                </c:pt>
                <c:pt idx="1447">
                  <c:v>4.7907674669537403</c:v>
                </c:pt>
                <c:pt idx="1448">
                  <c:v>2.9049204821457502</c:v>
                </c:pt>
                <c:pt idx="1449">
                  <c:v>4.9724035074994903</c:v>
                </c:pt>
                <c:pt idx="1450">
                  <c:v>1.4606952930028101</c:v>
                </c:pt>
                <c:pt idx="1451">
                  <c:v>50.295665121193203</c:v>
                </c:pt>
                <c:pt idx="1452">
                  <c:v>62.102590765023898</c:v>
                </c:pt>
                <c:pt idx="1453">
                  <c:v>62.102590765023898</c:v>
                </c:pt>
                <c:pt idx="1454">
                  <c:v>62.102590765023898</c:v>
                </c:pt>
                <c:pt idx="1455">
                  <c:v>62.102590765023898</c:v>
                </c:pt>
                <c:pt idx="1456">
                  <c:v>62.102590765023898</c:v>
                </c:pt>
                <c:pt idx="1457">
                  <c:v>62.102590765023898</c:v>
                </c:pt>
                <c:pt idx="1458">
                  <c:v>62.102590765023898</c:v>
                </c:pt>
                <c:pt idx="1459">
                  <c:v>62.102590765023898</c:v>
                </c:pt>
                <c:pt idx="1460">
                  <c:v>62.102590765023898</c:v>
                </c:pt>
                <c:pt idx="1461">
                  <c:v>62.102590765023898</c:v>
                </c:pt>
                <c:pt idx="1462">
                  <c:v>62.102590765023898</c:v>
                </c:pt>
                <c:pt idx="1463">
                  <c:v>62.102590765023898</c:v>
                </c:pt>
                <c:pt idx="1464">
                  <c:v>62.102590765023898</c:v>
                </c:pt>
                <c:pt idx="1465">
                  <c:v>62.102590765023898</c:v>
                </c:pt>
                <c:pt idx="1466">
                  <c:v>54.032843264565301</c:v>
                </c:pt>
                <c:pt idx="1467">
                  <c:v>36.348653177848298</c:v>
                </c:pt>
                <c:pt idx="1468">
                  <c:v>1.0166036271358201</c:v>
                </c:pt>
                <c:pt idx="1469">
                  <c:v>45.398510890853899</c:v>
                </c:pt>
                <c:pt idx="1470">
                  <c:v>45.398510890853899</c:v>
                </c:pt>
                <c:pt idx="1471">
                  <c:v>45.398510890853899</c:v>
                </c:pt>
                <c:pt idx="1472">
                  <c:v>45.398510890853899</c:v>
                </c:pt>
                <c:pt idx="1473">
                  <c:v>45.398510890853899</c:v>
                </c:pt>
                <c:pt idx="1474">
                  <c:v>45.398510890853899</c:v>
                </c:pt>
                <c:pt idx="1475">
                  <c:v>45.398510890853899</c:v>
                </c:pt>
                <c:pt idx="1476">
                  <c:v>46.26970294165482</c:v>
                </c:pt>
                <c:pt idx="1477">
                  <c:v>45.398510890853899</c:v>
                </c:pt>
                <c:pt idx="1478">
                  <c:v>45.398510890853899</c:v>
                </c:pt>
                <c:pt idx="1479">
                  <c:v>48.608035175002811</c:v>
                </c:pt>
                <c:pt idx="1480">
                  <c:v>60.602967885529495</c:v>
                </c:pt>
                <c:pt idx="1481">
                  <c:v>56.491726556789999</c:v>
                </c:pt>
                <c:pt idx="1482">
                  <c:v>52.326987281882388</c:v>
                </c:pt>
                <c:pt idx="1483">
                  <c:v>47.657405465012637</c:v>
                </c:pt>
                <c:pt idx="1484">
                  <c:v>45.398510890853899</c:v>
                </c:pt>
                <c:pt idx="1485">
                  <c:v>45.398510890853899</c:v>
                </c:pt>
                <c:pt idx="1486">
                  <c:v>46.041019142414918</c:v>
                </c:pt>
                <c:pt idx="1487">
                  <c:v>45.398510890853899</c:v>
                </c:pt>
                <c:pt idx="1488">
                  <c:v>45.398510890853899</c:v>
                </c:pt>
                <c:pt idx="1489">
                  <c:v>45.398510890853899</c:v>
                </c:pt>
                <c:pt idx="1490">
                  <c:v>45.398510890853899</c:v>
                </c:pt>
                <c:pt idx="1491">
                  <c:v>45.398510890853899</c:v>
                </c:pt>
                <c:pt idx="1492">
                  <c:v>45.398510890853899</c:v>
                </c:pt>
                <c:pt idx="1493">
                  <c:v>33.046865148861599</c:v>
                </c:pt>
                <c:pt idx="1494">
                  <c:v>33.046865148861599</c:v>
                </c:pt>
                <c:pt idx="1495">
                  <c:v>33.046865148861599</c:v>
                </c:pt>
                <c:pt idx="1496">
                  <c:v>33.046865148861599</c:v>
                </c:pt>
                <c:pt idx="1497">
                  <c:v>33.046865148861599</c:v>
                </c:pt>
                <c:pt idx="1498">
                  <c:v>33.046865148861599</c:v>
                </c:pt>
                <c:pt idx="1499">
                  <c:v>33.046865148861599</c:v>
                </c:pt>
                <c:pt idx="1500">
                  <c:v>33.046865148861599</c:v>
                </c:pt>
                <c:pt idx="1501">
                  <c:v>33.046865148861599</c:v>
                </c:pt>
                <c:pt idx="1502">
                  <c:v>33.046865148861599</c:v>
                </c:pt>
                <c:pt idx="1503">
                  <c:v>33.046865148861599</c:v>
                </c:pt>
                <c:pt idx="1504">
                  <c:v>33.046865148861599</c:v>
                </c:pt>
                <c:pt idx="1505">
                  <c:v>33.046865148861599</c:v>
                </c:pt>
                <c:pt idx="1506">
                  <c:v>33.046865148861599</c:v>
                </c:pt>
                <c:pt idx="1507">
                  <c:v>33.046865148861599</c:v>
                </c:pt>
                <c:pt idx="1508">
                  <c:v>33.046865148861599</c:v>
                </c:pt>
                <c:pt idx="1509">
                  <c:v>33.046865148861599</c:v>
                </c:pt>
                <c:pt idx="1510">
                  <c:v>33.046865148861599</c:v>
                </c:pt>
                <c:pt idx="1511">
                  <c:v>33.046865148861599</c:v>
                </c:pt>
                <c:pt idx="1512">
                  <c:v>33.046865148861599</c:v>
                </c:pt>
                <c:pt idx="1513">
                  <c:v>33.046865148861599</c:v>
                </c:pt>
                <c:pt idx="1514">
                  <c:v>33.046865148861599</c:v>
                </c:pt>
                <c:pt idx="1515">
                  <c:v>33.046865148861599</c:v>
                </c:pt>
                <c:pt idx="1516">
                  <c:v>33.046865148861599</c:v>
                </c:pt>
                <c:pt idx="1517">
                  <c:v>0.52773263852880603</c:v>
                </c:pt>
                <c:pt idx="1518">
                  <c:v>0.61437804765234605</c:v>
                </c:pt>
                <c:pt idx="1519">
                  <c:v>1.87088608642784</c:v>
                </c:pt>
                <c:pt idx="1520">
                  <c:v>4.5804154821912304</c:v>
                </c:pt>
                <c:pt idx="1521">
                  <c:v>11.6757156623942</c:v>
                </c:pt>
                <c:pt idx="1522">
                  <c:v>21.750157656768</c:v>
                </c:pt>
                <c:pt idx="1523">
                  <c:v>21.750157656768</c:v>
                </c:pt>
                <c:pt idx="1524">
                  <c:v>21.750157656768</c:v>
                </c:pt>
                <c:pt idx="1525">
                  <c:v>21.750157656768</c:v>
                </c:pt>
                <c:pt idx="1526">
                  <c:v>21.750157656768</c:v>
                </c:pt>
                <c:pt idx="1527">
                  <c:v>21.750157656768</c:v>
                </c:pt>
                <c:pt idx="1528">
                  <c:v>20.220764946202099</c:v>
                </c:pt>
                <c:pt idx="1529">
                  <c:v>18.139877099881801</c:v>
                </c:pt>
                <c:pt idx="1530">
                  <c:v>15.6306952070615</c:v>
                </c:pt>
                <c:pt idx="1531">
                  <c:v>14.222562991422199</c:v>
                </c:pt>
                <c:pt idx="1532">
                  <c:v>14.417958335571299</c:v>
                </c:pt>
                <c:pt idx="1533">
                  <c:v>14.1163984437379</c:v>
                </c:pt>
                <c:pt idx="1534">
                  <c:v>14.3547703714104</c:v>
                </c:pt>
                <c:pt idx="1535">
                  <c:v>15.1842213627236</c:v>
                </c:pt>
                <c:pt idx="1536">
                  <c:v>14.954871924906699</c:v>
                </c:pt>
                <c:pt idx="1537">
                  <c:v>14.019290238894699</c:v>
                </c:pt>
                <c:pt idx="1538">
                  <c:v>12.105264979820699</c:v>
                </c:pt>
                <c:pt idx="1539">
                  <c:v>8.6331343559495792</c:v>
                </c:pt>
                <c:pt idx="1540">
                  <c:v>1.0979262308186299</c:v>
                </c:pt>
                <c:pt idx="1541">
                  <c:v>2.2597566396642099</c:v>
                </c:pt>
                <c:pt idx="1542">
                  <c:v>1.4031761727077099</c:v>
                </c:pt>
                <c:pt idx="1543">
                  <c:v>2.2597566396642099</c:v>
                </c:pt>
                <c:pt idx="1544">
                  <c:v>1.6231286116016701</c:v>
                </c:pt>
                <c:pt idx="1545">
                  <c:v>0.13656335544370299</c:v>
                </c:pt>
                <c:pt idx="1546">
                  <c:v>18</c:v>
                </c:pt>
                <c:pt idx="1547">
                  <c:v>18</c:v>
                </c:pt>
                <c:pt idx="1548">
                  <c:v>18</c:v>
                </c:pt>
                <c:pt idx="1549">
                  <c:v>18</c:v>
                </c:pt>
                <c:pt idx="1550">
                  <c:v>18</c:v>
                </c:pt>
                <c:pt idx="1551">
                  <c:v>18</c:v>
                </c:pt>
                <c:pt idx="1552">
                  <c:v>28.714982554682898</c:v>
                </c:pt>
                <c:pt idx="1553">
                  <c:v>30.482101002957499</c:v>
                </c:pt>
                <c:pt idx="1554">
                  <c:v>22.931390889463849</c:v>
                </c:pt>
                <c:pt idx="1555">
                  <c:v>18</c:v>
                </c:pt>
                <c:pt idx="1556">
                  <c:v>18</c:v>
                </c:pt>
                <c:pt idx="1557">
                  <c:v>18</c:v>
                </c:pt>
                <c:pt idx="1558">
                  <c:v>18</c:v>
                </c:pt>
                <c:pt idx="1559">
                  <c:v>18</c:v>
                </c:pt>
                <c:pt idx="1560">
                  <c:v>18</c:v>
                </c:pt>
                <c:pt idx="1561">
                  <c:v>18</c:v>
                </c:pt>
                <c:pt idx="1562">
                  <c:v>18</c:v>
                </c:pt>
                <c:pt idx="1563">
                  <c:v>18</c:v>
                </c:pt>
                <c:pt idx="1564">
                  <c:v>18</c:v>
                </c:pt>
                <c:pt idx="1565">
                  <c:v>18</c:v>
                </c:pt>
                <c:pt idx="1566">
                  <c:v>18</c:v>
                </c:pt>
                <c:pt idx="1567">
                  <c:v>18</c:v>
                </c:pt>
                <c:pt idx="1568">
                  <c:v>18</c:v>
                </c:pt>
                <c:pt idx="1569">
                  <c:v>18</c:v>
                </c:pt>
                <c:pt idx="1570">
                  <c:v>10.292280747301</c:v>
                </c:pt>
                <c:pt idx="1571">
                  <c:v>32.482093778951999</c:v>
                </c:pt>
                <c:pt idx="1572">
                  <c:v>34.407736412165697</c:v>
                </c:pt>
                <c:pt idx="1573">
                  <c:v>23.8962146334779</c:v>
                </c:pt>
                <c:pt idx="1574">
                  <c:v>14.6138066891116</c:v>
                </c:pt>
                <c:pt idx="1575">
                  <c:v>8.6341537860848199</c:v>
                </c:pt>
                <c:pt idx="1576">
                  <c:v>4.3351824561427801</c:v>
                </c:pt>
                <c:pt idx="1577">
                  <c:v>0.86806431511247295</c:v>
                </c:pt>
                <c:pt idx="1578">
                  <c:v>1.2280260319154099</c:v>
                </c:pt>
                <c:pt idx="1579">
                  <c:v>3.8836872447817199</c:v>
                </c:pt>
                <c:pt idx="1580">
                  <c:v>7.6275656113352204</c:v>
                </c:pt>
                <c:pt idx="1581">
                  <c:v>11.527507482268</c:v>
                </c:pt>
                <c:pt idx="1582">
                  <c:v>14.539015424264001</c:v>
                </c:pt>
                <c:pt idx="1583">
                  <c:v>17.593232981287098</c:v>
                </c:pt>
                <c:pt idx="1584">
                  <c:v>19.783758952627199</c:v>
                </c:pt>
                <c:pt idx="1585">
                  <c:v>19.910370817950898</c:v>
                </c:pt>
                <c:pt idx="1586">
                  <c:v>17.935400612005399</c:v>
                </c:pt>
                <c:pt idx="1587">
                  <c:v>13.390034309400001</c:v>
                </c:pt>
                <c:pt idx="1588">
                  <c:v>2.60430436774912</c:v>
                </c:pt>
                <c:pt idx="1589">
                  <c:v>10.438636061945401</c:v>
                </c:pt>
                <c:pt idx="1590">
                  <c:v>10.438636061945401</c:v>
                </c:pt>
                <c:pt idx="1591">
                  <c:v>10.438636061945401</c:v>
                </c:pt>
                <c:pt idx="1592">
                  <c:v>10.438636061945401</c:v>
                </c:pt>
                <c:pt idx="1593">
                  <c:v>10.438636061945401</c:v>
                </c:pt>
                <c:pt idx="1594">
                  <c:v>10.438636061945401</c:v>
                </c:pt>
                <c:pt idx="1595">
                  <c:v>10.438636061945401</c:v>
                </c:pt>
                <c:pt idx="1596">
                  <c:v>10.438636061945401</c:v>
                </c:pt>
                <c:pt idx="1597">
                  <c:v>10.438636061945401</c:v>
                </c:pt>
                <c:pt idx="1598">
                  <c:v>10.438636061945401</c:v>
                </c:pt>
                <c:pt idx="1599">
                  <c:v>10.438636061945401</c:v>
                </c:pt>
                <c:pt idx="1600">
                  <c:v>10.438636061945401</c:v>
                </c:pt>
                <c:pt idx="1601">
                  <c:v>10.438636061945401</c:v>
                </c:pt>
                <c:pt idx="1602">
                  <c:v>10.438636061945401</c:v>
                </c:pt>
                <c:pt idx="1603">
                  <c:v>10.438636061945401</c:v>
                </c:pt>
                <c:pt idx="1604">
                  <c:v>10.438636061945401</c:v>
                </c:pt>
                <c:pt idx="1605">
                  <c:v>10.438636061945401</c:v>
                </c:pt>
                <c:pt idx="1606">
                  <c:v>10.438636061945401</c:v>
                </c:pt>
                <c:pt idx="1607">
                  <c:v>10.438636061945401</c:v>
                </c:pt>
                <c:pt idx="1608">
                  <c:v>10.438636061945401</c:v>
                </c:pt>
                <c:pt idx="1609">
                  <c:v>10.438636061945401</c:v>
                </c:pt>
                <c:pt idx="1610">
                  <c:v>10.438636061945401</c:v>
                </c:pt>
                <c:pt idx="1611">
                  <c:v>10.438636061945401</c:v>
                </c:pt>
                <c:pt idx="1612">
                  <c:v>10.438636061945401</c:v>
                </c:pt>
                <c:pt idx="1613">
                  <c:v>2.70079760113595</c:v>
                </c:pt>
                <c:pt idx="1641">
                  <c:v>50583.705699651779</c:v>
                </c:pt>
                <c:pt idx="1642">
                  <c:v>50517.888769333127</c:v>
                </c:pt>
                <c:pt idx="1643">
                  <c:v>49904.538684965373</c:v>
                </c:pt>
                <c:pt idx="1644">
                  <c:v>50256.312970914565</c:v>
                </c:pt>
                <c:pt idx="1645">
                  <c:v>50064.914773935358</c:v>
                </c:pt>
                <c:pt idx="1646">
                  <c:v>51448.213853250498</c:v>
                </c:pt>
                <c:pt idx="1647">
                  <c:v>53438.594791684169</c:v>
                </c:pt>
                <c:pt idx="1648">
                  <c:v>55868.007146342992</c:v>
                </c:pt>
                <c:pt idx="1649">
                  <c:v>56272.659399507866</c:v>
                </c:pt>
                <c:pt idx="1650">
                  <c:v>56723.710279489766</c:v>
                </c:pt>
                <c:pt idx="1651">
                  <c:v>56755.092853148606</c:v>
                </c:pt>
                <c:pt idx="1652">
                  <c:v>56754.929465702691</c:v>
                </c:pt>
                <c:pt idx="1653">
                  <c:v>56274.107256219322</c:v>
                </c:pt>
                <c:pt idx="1654">
                  <c:v>55848.11469185201</c:v>
                </c:pt>
                <c:pt idx="1655">
                  <c:v>55641.047469702811</c:v>
                </c:pt>
                <c:pt idx="1656">
                  <c:v>55372.904611682403</c:v>
                </c:pt>
                <c:pt idx="1657">
                  <c:v>55090.224047294701</c:v>
                </c:pt>
                <c:pt idx="1658">
                  <c:v>55495.3928750173</c:v>
                </c:pt>
                <c:pt idx="1659">
                  <c:v>56286.4847840652</c:v>
                </c:pt>
                <c:pt idx="1660">
                  <c:v>56606.072365224609</c:v>
                </c:pt>
                <c:pt idx="1661">
                  <c:v>56257.32788565036</c:v>
                </c:pt>
                <c:pt idx="1662">
                  <c:v>55581.551471356586</c:v>
                </c:pt>
                <c:pt idx="1663">
                  <c:v>54541.86369231256</c:v>
                </c:pt>
                <c:pt idx="1664">
                  <c:v>53084.902647894007</c:v>
                </c:pt>
                <c:pt idx="1665">
                  <c:v>3146.429069107327</c:v>
                </c:pt>
                <c:pt idx="1666">
                  <c:v>3448.8685000274863</c:v>
                </c:pt>
                <c:pt idx="1667">
                  <c:v>4153.6520860019173</c:v>
                </c:pt>
                <c:pt idx="1668">
                  <c:v>4411.1278530342051</c:v>
                </c:pt>
                <c:pt idx="1669">
                  <c:v>4565.4106962613387</c:v>
                </c:pt>
                <c:pt idx="1670">
                  <c:v>4439.4503373790676</c:v>
                </c:pt>
                <c:pt idx="1671">
                  <c:v>4569.0722026144331</c:v>
                </c:pt>
                <c:pt idx="1672">
                  <c:v>4484.8589315694489</c:v>
                </c:pt>
                <c:pt idx="1673">
                  <c:v>4413.1840404025352</c:v>
                </c:pt>
                <c:pt idx="1674">
                  <c:v>4212.5634939880092</c:v>
                </c:pt>
                <c:pt idx="1675">
                  <c:v>4231.5726034785639</c:v>
                </c:pt>
                <c:pt idx="1676">
                  <c:v>4282.5198893709758</c:v>
                </c:pt>
                <c:pt idx="1677">
                  <c:v>4466.6225665909242</c:v>
                </c:pt>
                <c:pt idx="1678">
                  <c:v>4785.6465997736304</c:v>
                </c:pt>
                <c:pt idx="1679">
                  <c:v>4928.7625659605037</c:v>
                </c:pt>
                <c:pt idx="1680">
                  <c:v>5035.5607424487816</c:v>
                </c:pt>
                <c:pt idx="1681">
                  <c:v>5207.6594259234007</c:v>
                </c:pt>
                <c:pt idx="1682">
                  <c:v>5207.5470872876012</c:v>
                </c:pt>
                <c:pt idx="1683">
                  <c:v>4940.5783138955167</c:v>
                </c:pt>
                <c:pt idx="1684">
                  <c:v>4547.6188403437454</c:v>
                </c:pt>
                <c:pt idx="1685">
                  <c:v>4208.3231759996343</c:v>
                </c:pt>
                <c:pt idx="1686">
                  <c:v>3997.5389623480901</c:v>
                </c:pt>
                <c:pt idx="1687">
                  <c:v>3729.2155080103762</c:v>
                </c:pt>
                <c:pt idx="1688">
                  <c:v>3385.7822890043863</c:v>
                </c:pt>
                <c:pt idx="2005">
                  <c:v>6991.0634705655502</c:v>
                </c:pt>
                <c:pt idx="2006">
                  <c:v>6991.0634705655502</c:v>
                </c:pt>
                <c:pt idx="2007">
                  <c:v>6991.0634705655502</c:v>
                </c:pt>
                <c:pt idx="2008">
                  <c:v>6991.0634705655502</c:v>
                </c:pt>
                <c:pt idx="2009">
                  <c:v>6991.0634705655502</c:v>
                </c:pt>
                <c:pt idx="2010">
                  <c:v>6991.0634705655502</c:v>
                </c:pt>
                <c:pt idx="2011">
                  <c:v>6991.0634705655502</c:v>
                </c:pt>
                <c:pt idx="2012">
                  <c:v>6991.0634705655502</c:v>
                </c:pt>
                <c:pt idx="2013">
                  <c:v>6991.0634705655502</c:v>
                </c:pt>
                <c:pt idx="2014">
                  <c:v>6991.0634705655502</c:v>
                </c:pt>
                <c:pt idx="2015">
                  <c:v>6991.0634705655502</c:v>
                </c:pt>
                <c:pt idx="2016">
                  <c:v>6991.0634705655502</c:v>
                </c:pt>
                <c:pt idx="2017">
                  <c:v>6991.0634705655502</c:v>
                </c:pt>
                <c:pt idx="2018">
                  <c:v>6991.0634705655502</c:v>
                </c:pt>
                <c:pt idx="2019">
                  <c:v>6991.0634705655502</c:v>
                </c:pt>
                <c:pt idx="2020">
                  <c:v>6991.0634705655502</c:v>
                </c:pt>
                <c:pt idx="2021">
                  <c:v>6991.0634705655502</c:v>
                </c:pt>
                <c:pt idx="2022">
                  <c:v>6991.0634705655502</c:v>
                </c:pt>
                <c:pt idx="2023">
                  <c:v>6991.0634705655502</c:v>
                </c:pt>
                <c:pt idx="2024">
                  <c:v>6991.0634705655502</c:v>
                </c:pt>
                <c:pt idx="2025">
                  <c:v>6991.0634705655502</c:v>
                </c:pt>
                <c:pt idx="2026">
                  <c:v>6991.0634705655502</c:v>
                </c:pt>
                <c:pt idx="2027">
                  <c:v>6991.0634705655502</c:v>
                </c:pt>
                <c:pt idx="2028">
                  <c:v>6991.0634705655502</c:v>
                </c:pt>
              </c:numCache>
            </c:numRef>
          </c:val>
          <c:extLst>
            <c:ext xmlns:c16="http://schemas.microsoft.com/office/drawing/2014/chart" uri="{C3380CC4-5D6E-409C-BE32-E72D297353CC}">
              <c16:uniqueId val="{00000002-EB26-47B6-B1D5-B237ADD7038C}"/>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s>
    <c:plotArea>
      <c:layout/>
      <c:barChart>
        <c:barDir val="col"/>
        <c:grouping val="stacked"/>
        <c:varyColors val="0"/>
        <c:ser>
          <c:idx val="0"/>
          <c:order val="0"/>
          <c:tx>
            <c:strRef>
              <c:f>'HE GEN - Annual'!$C$2</c:f>
              <c:strCache>
                <c:ptCount val="1"/>
                <c:pt idx="0">
                  <c:v>Total</c:v>
                </c:pt>
              </c:strCache>
            </c:strRef>
          </c:tx>
          <c:spPr>
            <a:solidFill>
              <a:schemeClr val="accent1"/>
            </a:solidFill>
            <a:ln>
              <a:noFill/>
            </a:ln>
            <a:effectLst/>
          </c:spPr>
          <c:invertIfNegative val="0"/>
          <c:cat>
            <c:multiLvlStrRef>
              <c:f>'HE GEN - Annual'!$B$3:$B$33</c:f>
              <c:multiLvlStrCache>
                <c:ptCount val="26"/>
                <c:lvl>
                  <c:pt idx="0">
                    <c:v>COAL</c:v>
                  </c:pt>
                  <c:pt idx="1">
                    <c:v>ELECTRIC</c:v>
                  </c:pt>
                  <c:pt idx="2">
                    <c:v>STRAW</c:v>
                  </c:pt>
                  <c:pt idx="3">
                    <c:v>NATGAS</c:v>
                  </c:pt>
                  <c:pt idx="4">
                    <c:v>MUNIWASTE</c:v>
                  </c:pt>
                  <c:pt idx="5">
                    <c:v>WOODWASTE</c:v>
                  </c:pt>
                  <c:pt idx="6">
                    <c:v>WASTEHEAT</c:v>
                  </c:pt>
                  <c:pt idx="7">
                    <c:v>WOODCHIPS</c:v>
                  </c:pt>
                  <c:pt idx="8">
                    <c:v>LIGNITE</c:v>
                  </c:pt>
                  <c:pt idx="9">
                    <c:v>ELECTRIC</c:v>
                  </c:pt>
                  <c:pt idx="10">
                    <c:v>MUNIWASTE</c:v>
                  </c:pt>
                  <c:pt idx="11">
                    <c:v>WOODWASTE</c:v>
                  </c:pt>
                  <c:pt idx="12">
                    <c:v>WASTEHEAT</c:v>
                  </c:pt>
                  <c:pt idx="13">
                    <c:v>LPG</c:v>
                  </c:pt>
                  <c:pt idx="14">
                    <c:v>SUN</c:v>
                  </c:pt>
                  <c:pt idx="15">
                    <c:v>COAL</c:v>
                  </c:pt>
                  <c:pt idx="16">
                    <c:v>ELECTRIC</c:v>
                  </c:pt>
                  <c:pt idx="17">
                    <c:v>STRAW</c:v>
                  </c:pt>
                  <c:pt idx="18">
                    <c:v>NATGAS</c:v>
                  </c:pt>
                  <c:pt idx="19">
                    <c:v>MUNIWASTE</c:v>
                  </c:pt>
                  <c:pt idx="20">
                    <c:v>WOODWASTE</c:v>
                  </c:pt>
                  <c:pt idx="21">
                    <c:v>WASTEHEAT</c:v>
                  </c:pt>
                  <c:pt idx="22">
                    <c:v>WOODCHIPS</c:v>
                  </c:pt>
                  <c:pt idx="23">
                    <c:v>PEAT</c:v>
                  </c:pt>
                  <c:pt idx="24">
                    <c:v>RECYCLEDWOOD</c:v>
                  </c:pt>
                  <c:pt idx="25">
                    <c:v>OTHERGAS</c:v>
                  </c:pt>
                </c:lvl>
                <c:lvl>
                  <c:pt idx="0">
                    <c:v>DENMARK</c:v>
                  </c:pt>
                  <c:pt idx="8">
                    <c:v>GERMANY</c:v>
                  </c:pt>
                  <c:pt idx="9">
                    <c:v>NORWAY</c:v>
                  </c:pt>
                  <c:pt idx="15">
                    <c:v>SWEDEN</c:v>
                  </c:pt>
                </c:lvl>
              </c:multiLvlStrCache>
            </c:multiLvlStrRef>
          </c:cat>
          <c:val>
            <c:numRef>
              <c:f>'HE GEN - Annual'!$C$3:$C$33</c:f>
              <c:numCache>
                <c:formatCode>General</c:formatCode>
                <c:ptCount val="26"/>
                <c:pt idx="0">
                  <c:v>14.246499266666669</c:v>
                </c:pt>
                <c:pt idx="1">
                  <c:v>34.624199790191497</c:v>
                </c:pt>
                <c:pt idx="2">
                  <c:v>4.4755519274725968</c:v>
                </c:pt>
                <c:pt idx="3">
                  <c:v>0.95692020480661544</c:v>
                </c:pt>
                <c:pt idx="4">
                  <c:v>5.5238668944679805</c:v>
                </c:pt>
                <c:pt idx="5">
                  <c:v>0.95771912816451255</c:v>
                </c:pt>
                <c:pt idx="6">
                  <c:v>3.7486449610524168</c:v>
                </c:pt>
                <c:pt idx="7">
                  <c:v>5.7375168271777355</c:v>
                </c:pt>
                <c:pt idx="8">
                  <c:v>156.448928</c:v>
                </c:pt>
                <c:pt idx="9">
                  <c:v>3.5446255207563282</c:v>
                </c:pt>
                <c:pt idx="10">
                  <c:v>2.6383531417181949</c:v>
                </c:pt>
                <c:pt idx="11">
                  <c:v>0.4446769045414149</c:v>
                </c:pt>
                <c:pt idx="12">
                  <c:v>0.19036229751415568</c:v>
                </c:pt>
                <c:pt idx="13">
                  <c:v>1.6714551354699101</c:v>
                </c:pt>
                <c:pt idx="14">
                  <c:v>4.0037140000000004</c:v>
                </c:pt>
                <c:pt idx="15">
                  <c:v>1.3308450267983241</c:v>
                </c:pt>
                <c:pt idx="16">
                  <c:v>43.748215910894501</c:v>
                </c:pt>
                <c:pt idx="17">
                  <c:v>6.9235760038715713E-3</c:v>
                </c:pt>
                <c:pt idx="18">
                  <c:v>0.48618150051056486</c:v>
                </c:pt>
                <c:pt idx="19">
                  <c:v>18.598062497214258</c:v>
                </c:pt>
                <c:pt idx="20">
                  <c:v>24.083796806769026</c:v>
                </c:pt>
                <c:pt idx="21">
                  <c:v>9.5481567803797969</c:v>
                </c:pt>
                <c:pt idx="22">
                  <c:v>1.2757324621502786</c:v>
                </c:pt>
                <c:pt idx="23">
                  <c:v>1.5400242954923176</c:v>
                </c:pt>
                <c:pt idx="24">
                  <c:v>2.1716901437870932</c:v>
                </c:pt>
                <c:pt idx="25">
                  <c:v>0.17519999999999999</c:v>
                </c:pt>
              </c:numCache>
            </c:numRef>
          </c:val>
          <c:extLst>
            <c:ext xmlns:c16="http://schemas.microsoft.com/office/drawing/2014/chart" uri="{C3380CC4-5D6E-409C-BE32-E72D297353CC}">
              <c16:uniqueId val="{00000000-C23E-490F-98BC-81548CC429A8}"/>
            </c:ext>
          </c:extLst>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s>
    <c:plotArea>
      <c:layout/>
      <c:areaChart>
        <c:grouping val="stacked"/>
        <c:varyColors val="0"/>
        <c:ser>
          <c:idx val="0"/>
          <c:order val="0"/>
          <c:tx>
            <c:strRef>
              <c:f>'HE GEN - Time'!$D$3:$D$4</c:f>
              <c:strCache>
                <c:ptCount val="1"/>
                <c:pt idx="0">
                  <c:v>COAL</c:v>
                </c:pt>
              </c:strCache>
            </c:strRef>
          </c:tx>
          <c:spPr>
            <a:solidFill>
              <a:schemeClr val="accent1"/>
            </a:solidFill>
            <a:ln w="25400">
              <a:noFill/>
            </a:ln>
            <a:effectLst/>
          </c:spPr>
          <c:cat>
            <c:multiLvlStrRef>
              <c:f>'HE GEN - Time'!$B$5:$C$29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GEN - Time'!$D$5:$D$29</c:f>
              <c:numCache>
                <c:formatCode>General</c:formatCode>
                <c:ptCount val="24"/>
                <c:pt idx="0">
                  <c:v>1473.2527008406898</c:v>
                </c:pt>
                <c:pt idx="1">
                  <c:v>1475.7629476570767</c:v>
                </c:pt>
                <c:pt idx="2">
                  <c:v>1487.6826775097106</c:v>
                </c:pt>
                <c:pt idx="3">
                  <c:v>1548.8444027061778</c:v>
                </c:pt>
                <c:pt idx="4">
                  <c:v>1639.1680827235189</c:v>
                </c:pt>
                <c:pt idx="5">
                  <c:v>1852.296883514216</c:v>
                </c:pt>
                <c:pt idx="6">
                  <c:v>1997.9099605473866</c:v>
                </c:pt>
                <c:pt idx="7">
                  <c:v>2019.8196989387611</c:v>
                </c:pt>
                <c:pt idx="8">
                  <c:v>1993.3291218774859</c:v>
                </c:pt>
                <c:pt idx="9">
                  <c:v>1922.8865607231969</c:v>
                </c:pt>
                <c:pt idx="10">
                  <c:v>1873.0843027356148</c:v>
                </c:pt>
                <c:pt idx="11">
                  <c:v>1820.3955033961336</c:v>
                </c:pt>
                <c:pt idx="12">
                  <c:v>1772.4404711349209</c:v>
                </c:pt>
                <c:pt idx="13">
                  <c:v>1764.7592134463789</c:v>
                </c:pt>
                <c:pt idx="14">
                  <c:v>1745.4221152946836</c:v>
                </c:pt>
                <c:pt idx="15">
                  <c:v>1765.286992225341</c:v>
                </c:pt>
                <c:pt idx="16">
                  <c:v>1846.32983628486</c:v>
                </c:pt>
                <c:pt idx="17">
                  <c:v>1906.5088659146531</c:v>
                </c:pt>
                <c:pt idx="18">
                  <c:v>1989.577612164431</c:v>
                </c:pt>
                <c:pt idx="19">
                  <c:v>1974.3733849803259</c:v>
                </c:pt>
                <c:pt idx="20">
                  <c:v>1890.691647025996</c:v>
                </c:pt>
                <c:pt idx="21">
                  <c:v>1787.4089539072738</c:v>
                </c:pt>
                <c:pt idx="22">
                  <c:v>1628.7476838342914</c:v>
                </c:pt>
                <c:pt idx="23">
                  <c:v>1501.6759791510992</c:v>
                </c:pt>
              </c:numCache>
            </c:numRef>
          </c:val>
          <c:extLst>
            <c:ext xmlns:c16="http://schemas.microsoft.com/office/drawing/2014/chart" uri="{C3380CC4-5D6E-409C-BE32-E72D297353CC}">
              <c16:uniqueId val="{00000000-177D-44E0-A469-C45A999AF873}"/>
            </c:ext>
          </c:extLst>
        </c:ser>
        <c:ser>
          <c:idx val="1"/>
          <c:order val="1"/>
          <c:tx>
            <c:strRef>
              <c:f>'HE GEN - Time'!$E$3:$E$4</c:f>
              <c:strCache>
                <c:ptCount val="1"/>
                <c:pt idx="0">
                  <c:v>ELECTRIC</c:v>
                </c:pt>
              </c:strCache>
            </c:strRef>
          </c:tx>
          <c:spPr>
            <a:solidFill>
              <a:schemeClr val="accent2"/>
            </a:solidFill>
            <a:ln>
              <a:noFill/>
            </a:ln>
            <a:effectLst/>
          </c:spPr>
          <c:cat>
            <c:multiLvlStrRef>
              <c:f>'HE GEN - Time'!$B$5:$C$29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GEN - Time'!$E$5:$E$29</c:f>
              <c:numCache>
                <c:formatCode>General</c:formatCode>
                <c:ptCount val="24"/>
                <c:pt idx="0">
                  <c:v>7588.8868637966752</c:v>
                </c:pt>
                <c:pt idx="1">
                  <c:v>7669.2440204638269</c:v>
                </c:pt>
                <c:pt idx="2">
                  <c:v>7700.0723730764221</c:v>
                </c:pt>
                <c:pt idx="3">
                  <c:v>8053.2415751652143</c:v>
                </c:pt>
                <c:pt idx="4">
                  <c:v>8496.0109012551457</c:v>
                </c:pt>
                <c:pt idx="5">
                  <c:v>9385.554957094635</c:v>
                </c:pt>
                <c:pt idx="6">
                  <c:v>10115.767656453136</c:v>
                </c:pt>
                <c:pt idx="7">
                  <c:v>10413.964390824533</c:v>
                </c:pt>
                <c:pt idx="8">
                  <c:v>10361.977207848448</c:v>
                </c:pt>
                <c:pt idx="9">
                  <c:v>10185.144777713649</c:v>
                </c:pt>
                <c:pt idx="10">
                  <c:v>10087.439983399749</c:v>
                </c:pt>
                <c:pt idx="11">
                  <c:v>9991.6661617222144</c:v>
                </c:pt>
                <c:pt idx="12">
                  <c:v>9796.1664446330797</c:v>
                </c:pt>
                <c:pt idx="13">
                  <c:v>9666.67712872415</c:v>
                </c:pt>
                <c:pt idx="14">
                  <c:v>9578.7160794772808</c:v>
                </c:pt>
                <c:pt idx="15">
                  <c:v>9609.9772372871012</c:v>
                </c:pt>
                <c:pt idx="16">
                  <c:v>9788.4349990354422</c:v>
                </c:pt>
                <c:pt idx="17">
                  <c:v>9741.379249566975</c:v>
                </c:pt>
                <c:pt idx="18">
                  <c:v>9746.3263899234407</c:v>
                </c:pt>
                <c:pt idx="19">
                  <c:v>9746.3899138834768</c:v>
                </c:pt>
                <c:pt idx="20">
                  <c:v>9655.4357262435133</c:v>
                </c:pt>
                <c:pt idx="21">
                  <c:v>9345.7351173389306</c:v>
                </c:pt>
                <c:pt idx="22">
                  <c:v>9072.0756676611436</c:v>
                </c:pt>
                <c:pt idx="23">
                  <c:v>8633.9651002674163</c:v>
                </c:pt>
              </c:numCache>
            </c:numRef>
          </c:val>
          <c:extLst>
            <c:ext xmlns:c16="http://schemas.microsoft.com/office/drawing/2014/chart" uri="{C3380CC4-5D6E-409C-BE32-E72D297353CC}">
              <c16:uniqueId val="{00000001-177D-44E0-A469-C45A999AF873}"/>
            </c:ext>
          </c:extLst>
        </c:ser>
        <c:ser>
          <c:idx val="2"/>
          <c:order val="2"/>
          <c:tx>
            <c:strRef>
              <c:f>'HE GEN - Time'!$F$3:$F$4</c:f>
              <c:strCache>
                <c:ptCount val="1"/>
                <c:pt idx="0">
                  <c:v>MUNIWASTE</c:v>
                </c:pt>
              </c:strCache>
            </c:strRef>
          </c:tx>
          <c:spPr>
            <a:solidFill>
              <a:schemeClr val="accent3"/>
            </a:solidFill>
            <a:ln>
              <a:noFill/>
            </a:ln>
            <a:effectLst/>
          </c:spPr>
          <c:cat>
            <c:multiLvlStrRef>
              <c:f>'HE GEN - Time'!$B$5:$C$29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GEN - Time'!$F$5:$F$29</c:f>
              <c:numCache>
                <c:formatCode>General</c:formatCode>
                <c:ptCount val="24"/>
                <c:pt idx="0">
                  <c:v>2634.1550343430117</c:v>
                </c:pt>
                <c:pt idx="1">
                  <c:v>2639.1360698875255</c:v>
                </c:pt>
                <c:pt idx="2">
                  <c:v>2653.7475857050376</c:v>
                </c:pt>
                <c:pt idx="3">
                  <c:v>2719.1879186967299</c:v>
                </c:pt>
                <c:pt idx="4">
                  <c:v>2829.4257131864128</c:v>
                </c:pt>
                <c:pt idx="5">
                  <c:v>2878.3670897305551</c:v>
                </c:pt>
                <c:pt idx="6">
                  <c:v>3352.4333229132931</c:v>
                </c:pt>
                <c:pt idx="7">
                  <c:v>3696.4233032906436</c:v>
                </c:pt>
                <c:pt idx="8">
                  <c:v>3596.6703686393498</c:v>
                </c:pt>
                <c:pt idx="9">
                  <c:v>3395.8888351791775</c:v>
                </c:pt>
                <c:pt idx="10">
                  <c:v>3311.6884897093328</c:v>
                </c:pt>
                <c:pt idx="11">
                  <c:v>3232.5799258930565</c:v>
                </c:pt>
                <c:pt idx="12">
                  <c:v>3097.2827016244169</c:v>
                </c:pt>
                <c:pt idx="13">
                  <c:v>3031.777324731614</c:v>
                </c:pt>
                <c:pt idx="14">
                  <c:v>2989.0783851830442</c:v>
                </c:pt>
                <c:pt idx="15">
                  <c:v>2987.0600626511145</c:v>
                </c:pt>
                <c:pt idx="16">
                  <c:v>3072.034402638365</c:v>
                </c:pt>
                <c:pt idx="17">
                  <c:v>3198.8947356890385</c:v>
                </c:pt>
                <c:pt idx="18">
                  <c:v>3189.5197637823148</c:v>
                </c:pt>
                <c:pt idx="19">
                  <c:v>3196.4880527851974</c:v>
                </c:pt>
                <c:pt idx="20">
                  <c:v>3054.9289510207473</c:v>
                </c:pt>
                <c:pt idx="21">
                  <c:v>2921.2637970515516</c:v>
                </c:pt>
                <c:pt idx="22">
                  <c:v>2861.384700951804</c:v>
                </c:pt>
                <c:pt idx="23">
                  <c:v>2776.4260219780886</c:v>
                </c:pt>
              </c:numCache>
            </c:numRef>
          </c:val>
          <c:extLst>
            <c:ext xmlns:c16="http://schemas.microsoft.com/office/drawing/2014/chart" uri="{C3380CC4-5D6E-409C-BE32-E72D297353CC}">
              <c16:uniqueId val="{00000002-177D-44E0-A469-C45A999AF873}"/>
            </c:ext>
          </c:extLst>
        </c:ser>
        <c:ser>
          <c:idx val="3"/>
          <c:order val="3"/>
          <c:tx>
            <c:strRef>
              <c:f>'HE GEN - Time'!$G$3:$G$4</c:f>
              <c:strCache>
                <c:ptCount val="1"/>
                <c:pt idx="0">
                  <c:v>NATGAS</c:v>
                </c:pt>
              </c:strCache>
            </c:strRef>
          </c:tx>
          <c:spPr>
            <a:solidFill>
              <a:schemeClr val="accent4"/>
            </a:solidFill>
            <a:ln w="25400">
              <a:noFill/>
            </a:ln>
            <a:effectLst/>
          </c:spPr>
          <c:cat>
            <c:multiLvlStrRef>
              <c:f>'HE GEN - Time'!$B$5:$C$29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GEN - Time'!$G$5:$G$29</c:f>
              <c:numCache>
                <c:formatCode>General</c:formatCode>
                <c:ptCount val="24"/>
                <c:pt idx="0">
                  <c:v>31.659043634592337</c:v>
                </c:pt>
                <c:pt idx="1">
                  <c:v>31.715625144974442</c:v>
                </c:pt>
                <c:pt idx="2">
                  <c:v>29.766041896907453</c:v>
                </c:pt>
                <c:pt idx="3">
                  <c:v>33.75730747142731</c:v>
                </c:pt>
                <c:pt idx="4">
                  <c:v>46.473315964625058</c:v>
                </c:pt>
                <c:pt idx="5">
                  <c:v>231.84875579696649</c:v>
                </c:pt>
                <c:pt idx="6">
                  <c:v>396.7126692905195</c:v>
                </c:pt>
                <c:pt idx="7">
                  <c:v>445.97848368460575</c:v>
                </c:pt>
                <c:pt idx="8">
                  <c:v>363.93475497035553</c:v>
                </c:pt>
                <c:pt idx="9">
                  <c:v>241.35791967468688</c:v>
                </c:pt>
                <c:pt idx="10">
                  <c:v>152.21690023379844</c:v>
                </c:pt>
                <c:pt idx="11">
                  <c:v>120.64247316039524</c:v>
                </c:pt>
                <c:pt idx="12">
                  <c:v>106.99923757215674</c:v>
                </c:pt>
                <c:pt idx="13">
                  <c:v>102.05316233312926</c:v>
                </c:pt>
                <c:pt idx="14">
                  <c:v>112.46906910102776</c:v>
                </c:pt>
                <c:pt idx="15">
                  <c:v>126.99168421091709</c:v>
                </c:pt>
                <c:pt idx="16">
                  <c:v>143.19990001189052</c:v>
                </c:pt>
                <c:pt idx="17">
                  <c:v>203.36453312207968</c:v>
                </c:pt>
                <c:pt idx="18">
                  <c:v>258.07052692057999</c:v>
                </c:pt>
                <c:pt idx="19">
                  <c:v>246.5124336895409</c:v>
                </c:pt>
                <c:pt idx="20">
                  <c:v>172.7498233378634</c:v>
                </c:pt>
                <c:pt idx="21">
                  <c:v>147.4272530036381</c:v>
                </c:pt>
                <c:pt idx="22">
                  <c:v>124.76570605570859</c:v>
                </c:pt>
                <c:pt idx="23">
                  <c:v>83.036681956463681</c:v>
                </c:pt>
              </c:numCache>
            </c:numRef>
          </c:val>
          <c:extLst>
            <c:ext xmlns:c16="http://schemas.microsoft.com/office/drawing/2014/chart" uri="{C3380CC4-5D6E-409C-BE32-E72D297353CC}">
              <c16:uniqueId val="{00000003-177D-44E0-A469-C45A999AF873}"/>
            </c:ext>
          </c:extLst>
        </c:ser>
        <c:ser>
          <c:idx val="4"/>
          <c:order val="4"/>
          <c:tx>
            <c:strRef>
              <c:f>'HE GEN - Time'!$H$3:$H$4</c:f>
              <c:strCache>
                <c:ptCount val="1"/>
                <c:pt idx="0">
                  <c:v>STRAW</c:v>
                </c:pt>
              </c:strCache>
            </c:strRef>
          </c:tx>
          <c:spPr>
            <a:solidFill>
              <a:schemeClr val="accent5"/>
            </a:solidFill>
            <a:ln w="25400">
              <a:noFill/>
            </a:ln>
            <a:effectLst/>
          </c:spPr>
          <c:cat>
            <c:multiLvlStrRef>
              <c:f>'HE GEN - Time'!$B$5:$C$29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GEN - Time'!$H$5:$H$29</c:f>
              <c:numCache>
                <c:formatCode>General</c:formatCode>
                <c:ptCount val="24"/>
                <c:pt idx="0">
                  <c:v>427.81717749519629</c:v>
                </c:pt>
                <c:pt idx="1">
                  <c:v>423.87290831501286</c:v>
                </c:pt>
                <c:pt idx="2">
                  <c:v>420.98044424954486</c:v>
                </c:pt>
                <c:pt idx="3">
                  <c:v>423.08405447897604</c:v>
                </c:pt>
                <c:pt idx="4">
                  <c:v>433.3391543474533</c:v>
                </c:pt>
                <c:pt idx="5">
                  <c:v>440.9647414291415</c:v>
                </c:pt>
                <c:pt idx="6">
                  <c:v>491.42232542738049</c:v>
                </c:pt>
                <c:pt idx="7">
                  <c:v>545.11133154960908</c:v>
                </c:pt>
                <c:pt idx="8">
                  <c:v>553.65528525412287</c:v>
                </c:pt>
                <c:pt idx="9">
                  <c:v>559.59991162627375</c:v>
                </c:pt>
                <c:pt idx="10">
                  <c:v>557.86250571298524</c:v>
                </c:pt>
                <c:pt idx="11">
                  <c:v>558.12545699166424</c:v>
                </c:pt>
                <c:pt idx="12">
                  <c:v>555.23299292619618</c:v>
                </c:pt>
                <c:pt idx="13">
                  <c:v>541.32563666432463</c:v>
                </c:pt>
                <c:pt idx="14">
                  <c:v>544.48105200847147</c:v>
                </c:pt>
                <c:pt idx="15">
                  <c:v>547.6364673526183</c:v>
                </c:pt>
                <c:pt idx="16">
                  <c:v>553.68434676223308</c:v>
                </c:pt>
                <c:pt idx="17">
                  <c:v>552.56217906752022</c:v>
                </c:pt>
                <c:pt idx="18">
                  <c:v>559.60233722638736</c:v>
                </c:pt>
                <c:pt idx="19">
                  <c:v>548.12155372702034</c:v>
                </c:pt>
                <c:pt idx="20">
                  <c:v>541.08021779345825</c:v>
                </c:pt>
                <c:pt idx="21">
                  <c:v>500.67221409706468</c:v>
                </c:pt>
                <c:pt idx="22">
                  <c:v>503.54714575472008</c:v>
                </c:pt>
                <c:pt idx="23">
                  <c:v>496.97336378774747</c:v>
                </c:pt>
              </c:numCache>
            </c:numRef>
          </c:val>
          <c:extLst>
            <c:ext xmlns:c16="http://schemas.microsoft.com/office/drawing/2014/chart" uri="{C3380CC4-5D6E-409C-BE32-E72D297353CC}">
              <c16:uniqueId val="{00000004-177D-44E0-A469-C45A999AF873}"/>
            </c:ext>
          </c:extLst>
        </c:ser>
        <c:ser>
          <c:idx val="5"/>
          <c:order val="5"/>
          <c:tx>
            <c:strRef>
              <c:f>'HE GEN - Time'!$I$3:$I$4</c:f>
              <c:strCache>
                <c:ptCount val="1"/>
                <c:pt idx="0">
                  <c:v>WOODWASTE</c:v>
                </c:pt>
              </c:strCache>
            </c:strRef>
          </c:tx>
          <c:spPr>
            <a:solidFill>
              <a:schemeClr val="accent6"/>
            </a:solidFill>
            <a:ln w="25400">
              <a:noFill/>
            </a:ln>
            <a:effectLst/>
          </c:spPr>
          <c:cat>
            <c:multiLvlStrRef>
              <c:f>'HE GEN - Time'!$B$5:$C$29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GEN - Time'!$I$5:$I$29</c:f>
              <c:numCache>
                <c:formatCode>General</c:formatCode>
                <c:ptCount val="24"/>
                <c:pt idx="0">
                  <c:v>2228.7758618812468</c:v>
                </c:pt>
                <c:pt idx="1">
                  <c:v>2278.5488028231125</c:v>
                </c:pt>
                <c:pt idx="2">
                  <c:v>2303.8268270099525</c:v>
                </c:pt>
                <c:pt idx="3">
                  <c:v>2435.6019344022216</c:v>
                </c:pt>
                <c:pt idx="4">
                  <c:v>2567.4515606888667</c:v>
                </c:pt>
                <c:pt idx="5">
                  <c:v>2830.0314446593266</c:v>
                </c:pt>
                <c:pt idx="6">
                  <c:v>3487.6685153571125</c:v>
                </c:pt>
                <c:pt idx="7">
                  <c:v>3634.6638513917219</c:v>
                </c:pt>
                <c:pt idx="8">
                  <c:v>3578.5204093231059</c:v>
                </c:pt>
                <c:pt idx="9">
                  <c:v>3494.4740639138213</c:v>
                </c:pt>
                <c:pt idx="10">
                  <c:v>3339.3191541074666</c:v>
                </c:pt>
                <c:pt idx="11">
                  <c:v>3262.1288900275622</c:v>
                </c:pt>
                <c:pt idx="12">
                  <c:v>3139.76912408099</c:v>
                </c:pt>
                <c:pt idx="13">
                  <c:v>3078.7984290476747</c:v>
                </c:pt>
                <c:pt idx="14">
                  <c:v>2984.1512475940031</c:v>
                </c:pt>
                <c:pt idx="15">
                  <c:v>2912.5377419882984</c:v>
                </c:pt>
                <c:pt idx="16">
                  <c:v>2891.8996849832988</c:v>
                </c:pt>
                <c:pt idx="17">
                  <c:v>2843.6236659392234</c:v>
                </c:pt>
                <c:pt idx="18">
                  <c:v>2849.1717817690796</c:v>
                </c:pt>
                <c:pt idx="19">
                  <c:v>2896.1138346615248</c:v>
                </c:pt>
                <c:pt idx="20">
                  <c:v>2854.511001683773</c:v>
                </c:pt>
                <c:pt idx="21">
                  <c:v>2751.0527888833008</c:v>
                </c:pt>
                <c:pt idx="22">
                  <c:v>2666.579254135916</c:v>
                </c:pt>
                <c:pt idx="23">
                  <c:v>2515.965991222623</c:v>
                </c:pt>
              </c:numCache>
            </c:numRef>
          </c:val>
          <c:extLst>
            <c:ext xmlns:c16="http://schemas.microsoft.com/office/drawing/2014/chart" uri="{C3380CC4-5D6E-409C-BE32-E72D297353CC}">
              <c16:uniqueId val="{00000005-177D-44E0-A469-C45A999AF873}"/>
            </c:ext>
          </c:extLst>
        </c:ser>
        <c:ser>
          <c:idx val="6"/>
          <c:order val="6"/>
          <c:tx>
            <c:strRef>
              <c:f>'HE GEN - Time'!$J$3:$J$4</c:f>
              <c:strCache>
                <c:ptCount val="1"/>
                <c:pt idx="0">
                  <c:v>WASTEHEAT</c:v>
                </c:pt>
              </c:strCache>
            </c:strRef>
          </c:tx>
          <c:spPr>
            <a:solidFill>
              <a:schemeClr val="accent1">
                <a:lumMod val="60000"/>
              </a:schemeClr>
            </a:solidFill>
            <a:ln>
              <a:noFill/>
            </a:ln>
            <a:effectLst/>
          </c:spPr>
          <c:cat>
            <c:multiLvlStrRef>
              <c:f>'HE GEN - Time'!$B$5:$C$29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GEN - Time'!$J$5:$J$29</c:f>
              <c:numCache>
                <c:formatCode>General</c:formatCode>
                <c:ptCount val="24"/>
                <c:pt idx="0">
                  <c:v>1415.3406815194232</c:v>
                </c:pt>
                <c:pt idx="1">
                  <c:v>1417.6406273444022</c:v>
                </c:pt>
                <c:pt idx="2">
                  <c:v>1424.606488537298</c:v>
                </c:pt>
                <c:pt idx="3">
                  <c:v>1435.7944115864223</c:v>
                </c:pt>
                <c:pt idx="4">
                  <c:v>1475.7595254142007</c:v>
                </c:pt>
                <c:pt idx="5">
                  <c:v>1495.0400841381052</c:v>
                </c:pt>
                <c:pt idx="6">
                  <c:v>1548.3604979281688</c:v>
                </c:pt>
                <c:pt idx="7">
                  <c:v>1646.0767709466124</c:v>
                </c:pt>
                <c:pt idx="8">
                  <c:v>1630.9902684586195</c:v>
                </c:pt>
                <c:pt idx="9">
                  <c:v>1619.8788804361914</c:v>
                </c:pt>
                <c:pt idx="10">
                  <c:v>1610.3355167093748</c:v>
                </c:pt>
                <c:pt idx="11">
                  <c:v>1587.9183288948007</c:v>
                </c:pt>
                <c:pt idx="12">
                  <c:v>1576.7073710317979</c:v>
                </c:pt>
                <c:pt idx="13">
                  <c:v>1586.2802538737221</c:v>
                </c:pt>
                <c:pt idx="14">
                  <c:v>1582.6565749986194</c:v>
                </c:pt>
                <c:pt idx="15">
                  <c:v>1576.3630590391697</c:v>
                </c:pt>
                <c:pt idx="16">
                  <c:v>1570.3679411889768</c:v>
                </c:pt>
                <c:pt idx="17">
                  <c:v>1561.2297969578522</c:v>
                </c:pt>
                <c:pt idx="18">
                  <c:v>1558.4027599205956</c:v>
                </c:pt>
                <c:pt idx="19">
                  <c:v>1560.1253872260327</c:v>
                </c:pt>
                <c:pt idx="20">
                  <c:v>1555.855130358545</c:v>
                </c:pt>
                <c:pt idx="21">
                  <c:v>1550.4468346981316</c:v>
                </c:pt>
                <c:pt idx="22">
                  <c:v>1539.1108742402964</c:v>
                </c:pt>
                <c:pt idx="23">
                  <c:v>1425.8462878303244</c:v>
                </c:pt>
              </c:numCache>
            </c:numRef>
          </c:val>
          <c:extLst>
            <c:ext xmlns:c16="http://schemas.microsoft.com/office/drawing/2014/chart" uri="{C3380CC4-5D6E-409C-BE32-E72D297353CC}">
              <c16:uniqueId val="{00000006-177D-44E0-A469-C45A999AF873}"/>
            </c:ext>
          </c:extLst>
        </c:ser>
        <c:ser>
          <c:idx val="7"/>
          <c:order val="7"/>
          <c:tx>
            <c:strRef>
              <c:f>'HE GEN - Time'!$K$3:$K$4</c:f>
              <c:strCache>
                <c:ptCount val="1"/>
                <c:pt idx="0">
                  <c:v>WOODCHIPS</c:v>
                </c:pt>
              </c:strCache>
            </c:strRef>
          </c:tx>
          <c:spPr>
            <a:solidFill>
              <a:schemeClr val="accent2">
                <a:lumMod val="60000"/>
              </a:schemeClr>
            </a:solidFill>
            <a:ln>
              <a:noFill/>
            </a:ln>
            <a:effectLst/>
          </c:spPr>
          <c:cat>
            <c:multiLvlStrRef>
              <c:f>'HE GEN - Time'!$B$5:$C$29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GEN - Time'!$K$5:$K$29</c:f>
              <c:numCache>
                <c:formatCode>General</c:formatCode>
                <c:ptCount val="24"/>
                <c:pt idx="0">
                  <c:v>591.67423227152449</c:v>
                </c:pt>
                <c:pt idx="1">
                  <c:v>589.6426296947518</c:v>
                </c:pt>
                <c:pt idx="2">
                  <c:v>584.02485980938604</c:v>
                </c:pt>
                <c:pt idx="3">
                  <c:v>590.11639866169651</c:v>
                </c:pt>
                <c:pt idx="4">
                  <c:v>610.65275343545045</c:v>
                </c:pt>
                <c:pt idx="5">
                  <c:v>657.43520317633943</c:v>
                </c:pt>
                <c:pt idx="6">
                  <c:v>1015.0969156385696</c:v>
                </c:pt>
                <c:pt idx="7">
                  <c:v>1202.8158563511122</c:v>
                </c:pt>
                <c:pt idx="8">
                  <c:v>1135.9297449033077</c:v>
                </c:pt>
                <c:pt idx="9">
                  <c:v>1033.8726930745468</c:v>
                </c:pt>
                <c:pt idx="10">
                  <c:v>923.68333838500405</c:v>
                </c:pt>
                <c:pt idx="11">
                  <c:v>860.72399258803512</c:v>
                </c:pt>
                <c:pt idx="12">
                  <c:v>791.71571477301086</c:v>
                </c:pt>
                <c:pt idx="13">
                  <c:v>756.99224370087995</c:v>
                </c:pt>
                <c:pt idx="14">
                  <c:v>761.34349799052939</c:v>
                </c:pt>
                <c:pt idx="15">
                  <c:v>773.99674342438936</c:v>
                </c:pt>
                <c:pt idx="16">
                  <c:v>793.30256498062045</c:v>
                </c:pt>
                <c:pt idx="17">
                  <c:v>816.72740182253006</c:v>
                </c:pt>
                <c:pt idx="18">
                  <c:v>865.56390034333469</c:v>
                </c:pt>
                <c:pt idx="19">
                  <c:v>860.30471862190427</c:v>
                </c:pt>
                <c:pt idx="20">
                  <c:v>810.03207792952344</c:v>
                </c:pt>
                <c:pt idx="21">
                  <c:v>753.94653761905465</c:v>
                </c:pt>
                <c:pt idx="22">
                  <c:v>726.65089344395369</c:v>
                </c:pt>
                <c:pt idx="23">
                  <c:v>708.13670195782265</c:v>
                </c:pt>
              </c:numCache>
            </c:numRef>
          </c:val>
          <c:extLst>
            <c:ext xmlns:c16="http://schemas.microsoft.com/office/drawing/2014/chart" uri="{C3380CC4-5D6E-409C-BE32-E72D297353CC}">
              <c16:uniqueId val="{00000007-177D-44E0-A469-C45A999AF873}"/>
            </c:ext>
          </c:extLst>
        </c:ser>
        <c:ser>
          <c:idx val="8"/>
          <c:order val="8"/>
          <c:tx>
            <c:strRef>
              <c:f>'HE GEN - Time'!$L$3:$L$4</c:f>
              <c:strCache>
                <c:ptCount val="1"/>
                <c:pt idx="0">
                  <c:v>LIGNITE</c:v>
                </c:pt>
              </c:strCache>
            </c:strRef>
          </c:tx>
          <c:spPr>
            <a:solidFill>
              <a:schemeClr val="accent3">
                <a:lumMod val="60000"/>
              </a:schemeClr>
            </a:solidFill>
            <a:ln>
              <a:noFill/>
            </a:ln>
            <a:effectLst/>
          </c:spPr>
          <c:cat>
            <c:multiLvlStrRef>
              <c:f>'HE GEN - Time'!$B$5:$C$29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GEN - Time'!$L$5:$L$29</c:f>
              <c:numCache>
                <c:formatCode>General</c:formatCode>
                <c:ptCount val="24"/>
                <c:pt idx="0">
                  <c:v>17859.466666666638</c:v>
                </c:pt>
                <c:pt idx="1">
                  <c:v>17859.466666666638</c:v>
                </c:pt>
                <c:pt idx="2">
                  <c:v>17859.466666666638</c:v>
                </c:pt>
                <c:pt idx="3">
                  <c:v>17859.466666666638</c:v>
                </c:pt>
                <c:pt idx="4">
                  <c:v>17859.466666666638</c:v>
                </c:pt>
                <c:pt idx="5">
                  <c:v>17859.466666666638</c:v>
                </c:pt>
                <c:pt idx="6">
                  <c:v>17859.466666666638</c:v>
                </c:pt>
                <c:pt idx="7">
                  <c:v>17859.466666666638</c:v>
                </c:pt>
                <c:pt idx="8">
                  <c:v>17859.466666666638</c:v>
                </c:pt>
                <c:pt idx="9">
                  <c:v>17859.466666666638</c:v>
                </c:pt>
                <c:pt idx="10">
                  <c:v>17859.466666666638</c:v>
                </c:pt>
                <c:pt idx="11">
                  <c:v>17859.466666666638</c:v>
                </c:pt>
                <c:pt idx="12">
                  <c:v>17859.466666666638</c:v>
                </c:pt>
                <c:pt idx="13">
                  <c:v>17859.466666666638</c:v>
                </c:pt>
                <c:pt idx="14">
                  <c:v>17859.466666666638</c:v>
                </c:pt>
                <c:pt idx="15">
                  <c:v>17859.466666666638</c:v>
                </c:pt>
                <c:pt idx="16">
                  <c:v>17859.466666666638</c:v>
                </c:pt>
                <c:pt idx="17">
                  <c:v>17859.466666666638</c:v>
                </c:pt>
                <c:pt idx="18">
                  <c:v>17859.466666666638</c:v>
                </c:pt>
                <c:pt idx="19">
                  <c:v>17859.466666666638</c:v>
                </c:pt>
                <c:pt idx="20">
                  <c:v>17859.466666666638</c:v>
                </c:pt>
                <c:pt idx="21">
                  <c:v>17859.466666666638</c:v>
                </c:pt>
                <c:pt idx="22">
                  <c:v>17859.466666666638</c:v>
                </c:pt>
                <c:pt idx="23">
                  <c:v>17859.466666666638</c:v>
                </c:pt>
              </c:numCache>
            </c:numRef>
          </c:val>
          <c:extLst>
            <c:ext xmlns:c16="http://schemas.microsoft.com/office/drawing/2014/chart" uri="{C3380CC4-5D6E-409C-BE32-E72D297353CC}">
              <c16:uniqueId val="{00000008-177D-44E0-A469-C45A999AF873}"/>
            </c:ext>
          </c:extLst>
        </c:ser>
        <c:ser>
          <c:idx val="9"/>
          <c:order val="9"/>
          <c:tx>
            <c:strRef>
              <c:f>'HE GEN - Time'!$M$3:$M$4</c:f>
              <c:strCache>
                <c:ptCount val="1"/>
                <c:pt idx="0">
                  <c:v>LPG</c:v>
                </c:pt>
              </c:strCache>
            </c:strRef>
          </c:tx>
          <c:spPr>
            <a:solidFill>
              <a:schemeClr val="accent4">
                <a:lumMod val="60000"/>
              </a:schemeClr>
            </a:solidFill>
            <a:ln w="25400">
              <a:noFill/>
            </a:ln>
            <a:effectLst/>
          </c:spPr>
          <c:cat>
            <c:multiLvlStrRef>
              <c:f>'HE GEN - Time'!$B$5:$C$29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GEN - Time'!$M$5:$M$29</c:f>
              <c:numCache>
                <c:formatCode>General</c:formatCode>
                <c:ptCount val="24"/>
                <c:pt idx="0">
                  <c:v>151.24833739346872</c:v>
                </c:pt>
                <c:pt idx="1">
                  <c:v>154.35473603384182</c:v>
                </c:pt>
                <c:pt idx="2">
                  <c:v>157.01088500570737</c:v>
                </c:pt>
                <c:pt idx="3">
                  <c:v>171.95346171989038</c:v>
                </c:pt>
                <c:pt idx="4">
                  <c:v>178.13968739923538</c:v>
                </c:pt>
                <c:pt idx="5">
                  <c:v>191.32000889454253</c:v>
                </c:pt>
                <c:pt idx="6">
                  <c:v>227.63498442332312</c:v>
                </c:pt>
                <c:pt idx="7">
                  <c:v>255.76701410287251</c:v>
                </c:pt>
                <c:pt idx="8">
                  <c:v>258.67623859381263</c:v>
                </c:pt>
                <c:pt idx="9">
                  <c:v>245.63229371774338</c:v>
                </c:pt>
                <c:pt idx="10">
                  <c:v>229.41687016176641</c:v>
                </c:pt>
                <c:pt idx="11">
                  <c:v>217.5133583896486</c:v>
                </c:pt>
                <c:pt idx="12">
                  <c:v>207.64144109110012</c:v>
                </c:pt>
                <c:pt idx="13">
                  <c:v>201.20540658956898</c:v>
                </c:pt>
                <c:pt idx="14">
                  <c:v>198.37532845078198</c:v>
                </c:pt>
                <c:pt idx="15">
                  <c:v>187.52012788769184</c:v>
                </c:pt>
                <c:pt idx="16">
                  <c:v>177.8558967665904</c:v>
                </c:pt>
                <c:pt idx="17">
                  <c:v>175.04892075084879</c:v>
                </c:pt>
                <c:pt idx="18">
                  <c:v>174.50250810594045</c:v>
                </c:pt>
                <c:pt idx="19">
                  <c:v>174.84574212040781</c:v>
                </c:pt>
                <c:pt idx="20">
                  <c:v>172.96916402455537</c:v>
                </c:pt>
                <c:pt idx="21">
                  <c:v>166.81550825762579</c:v>
                </c:pt>
                <c:pt idx="22">
                  <c:v>157.42812940577284</c:v>
                </c:pt>
                <c:pt idx="23">
                  <c:v>146.45308898698966</c:v>
                </c:pt>
              </c:numCache>
            </c:numRef>
          </c:val>
          <c:extLst>
            <c:ext xmlns:c16="http://schemas.microsoft.com/office/drawing/2014/chart" uri="{C3380CC4-5D6E-409C-BE32-E72D297353CC}">
              <c16:uniqueId val="{00000000-AE00-4C16-A2D2-8F2E92CF0C69}"/>
            </c:ext>
          </c:extLst>
        </c:ser>
        <c:ser>
          <c:idx val="10"/>
          <c:order val="10"/>
          <c:tx>
            <c:strRef>
              <c:f>'HE GEN - Time'!$N$3:$N$4</c:f>
              <c:strCache>
                <c:ptCount val="1"/>
                <c:pt idx="0">
                  <c:v>PEAT</c:v>
                </c:pt>
              </c:strCache>
            </c:strRef>
          </c:tx>
          <c:spPr>
            <a:solidFill>
              <a:schemeClr val="accent5">
                <a:lumMod val="60000"/>
              </a:schemeClr>
            </a:solidFill>
            <a:ln w="25400">
              <a:noFill/>
            </a:ln>
            <a:effectLst/>
          </c:spPr>
          <c:cat>
            <c:multiLvlStrRef>
              <c:f>'HE GEN - Time'!$B$5:$C$29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GEN - Time'!$N$5:$N$29</c:f>
              <c:numCache>
                <c:formatCode>General</c:formatCode>
                <c:ptCount val="24"/>
                <c:pt idx="1">
                  <c:v>15.2729463224786</c:v>
                </c:pt>
                <c:pt idx="2">
                  <c:v>25.318224093914498</c:v>
                </c:pt>
                <c:pt idx="3">
                  <c:v>68.255658552291194</c:v>
                </c:pt>
                <c:pt idx="4">
                  <c:v>115.67106993715561</c:v>
                </c:pt>
                <c:pt idx="5">
                  <c:v>181.28233829507349</c:v>
                </c:pt>
                <c:pt idx="6">
                  <c:v>274.05453501048891</c:v>
                </c:pt>
                <c:pt idx="7">
                  <c:v>331.98725369592051</c:v>
                </c:pt>
                <c:pt idx="8">
                  <c:v>329.56124220911147</c:v>
                </c:pt>
                <c:pt idx="9">
                  <c:v>288.0800135981234</c:v>
                </c:pt>
                <c:pt idx="10">
                  <c:v>233.69752075776711</c:v>
                </c:pt>
                <c:pt idx="11">
                  <c:v>200.53769362386572</c:v>
                </c:pt>
                <c:pt idx="12">
                  <c:v>197.12738045083401</c:v>
                </c:pt>
                <c:pt idx="13">
                  <c:v>195.95642102016052</c:v>
                </c:pt>
                <c:pt idx="14">
                  <c:v>196.29633909258501</c:v>
                </c:pt>
                <c:pt idx="15">
                  <c:v>195.62560898837631</c:v>
                </c:pt>
                <c:pt idx="16">
                  <c:v>192.7694930713607</c:v>
                </c:pt>
                <c:pt idx="17">
                  <c:v>188.91304510889168</c:v>
                </c:pt>
                <c:pt idx="18">
                  <c:v>187.32185634961994</c:v>
                </c:pt>
                <c:pt idx="19">
                  <c:v>187.15485623127196</c:v>
                </c:pt>
                <c:pt idx="20">
                  <c:v>184.08533528747498</c:v>
                </c:pt>
                <c:pt idx="21">
                  <c:v>180.43283195852001</c:v>
                </c:pt>
                <c:pt idx="22">
                  <c:v>166.23842744731533</c:v>
                </c:pt>
                <c:pt idx="23">
                  <c:v>83.604554081838629</c:v>
                </c:pt>
              </c:numCache>
            </c:numRef>
          </c:val>
          <c:extLst>
            <c:ext xmlns:c16="http://schemas.microsoft.com/office/drawing/2014/chart" uri="{C3380CC4-5D6E-409C-BE32-E72D297353CC}">
              <c16:uniqueId val="{00000001-AE00-4C16-A2D2-8F2E92CF0C69}"/>
            </c:ext>
          </c:extLst>
        </c:ser>
        <c:ser>
          <c:idx val="11"/>
          <c:order val="11"/>
          <c:tx>
            <c:strRef>
              <c:f>'HE GEN - Time'!$O$3:$O$4</c:f>
              <c:strCache>
                <c:ptCount val="1"/>
                <c:pt idx="0">
                  <c:v>RECYCLEDWOOD</c:v>
                </c:pt>
              </c:strCache>
            </c:strRef>
          </c:tx>
          <c:spPr>
            <a:solidFill>
              <a:schemeClr val="accent6">
                <a:lumMod val="60000"/>
              </a:schemeClr>
            </a:solidFill>
            <a:ln w="25400">
              <a:noFill/>
            </a:ln>
            <a:effectLst/>
          </c:spPr>
          <c:cat>
            <c:multiLvlStrRef>
              <c:f>'HE GEN - Time'!$B$5:$C$29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GEN - Time'!$O$5:$O$29</c:f>
              <c:numCache>
                <c:formatCode>General</c:formatCode>
                <c:ptCount val="24"/>
                <c:pt idx="0">
                  <c:v>1.0814193412475499</c:v>
                </c:pt>
                <c:pt idx="1">
                  <c:v>1.2589714091236599</c:v>
                </c:pt>
                <c:pt idx="3">
                  <c:v>8.4003369800585688</c:v>
                </c:pt>
                <c:pt idx="4">
                  <c:v>49.87738028146439</c:v>
                </c:pt>
                <c:pt idx="5">
                  <c:v>223.2059742423364</c:v>
                </c:pt>
                <c:pt idx="6">
                  <c:v>497.12224631576123</c:v>
                </c:pt>
                <c:pt idx="7">
                  <c:v>500.60808612627903</c:v>
                </c:pt>
                <c:pt idx="8">
                  <c:v>498.03808772556948</c:v>
                </c:pt>
                <c:pt idx="9">
                  <c:v>500.60808612627903</c:v>
                </c:pt>
                <c:pt idx="10">
                  <c:v>498.69801103458224</c:v>
                </c:pt>
                <c:pt idx="11">
                  <c:v>489.51917591956783</c:v>
                </c:pt>
                <c:pt idx="12">
                  <c:v>411.49339395196921</c:v>
                </c:pt>
                <c:pt idx="13">
                  <c:v>369.94126456160279</c:v>
                </c:pt>
                <c:pt idx="14">
                  <c:v>274.41492896045793</c:v>
                </c:pt>
                <c:pt idx="15">
                  <c:v>224.05101289382711</c:v>
                </c:pt>
                <c:pt idx="16">
                  <c:v>216.28028377981127</c:v>
                </c:pt>
                <c:pt idx="17">
                  <c:v>195.38557235655779</c:v>
                </c:pt>
                <c:pt idx="18">
                  <c:v>200.21932623153359</c:v>
                </c:pt>
                <c:pt idx="19">
                  <c:v>236.90974616828441</c:v>
                </c:pt>
                <c:pt idx="20">
                  <c:v>215.2991301138795</c:v>
                </c:pt>
                <c:pt idx="21">
                  <c:v>182.17115011055012</c:v>
                </c:pt>
                <c:pt idx="22">
                  <c:v>130.39268029148499</c:v>
                </c:pt>
                <c:pt idx="23">
                  <c:v>24.859745453371378</c:v>
                </c:pt>
              </c:numCache>
            </c:numRef>
          </c:val>
          <c:extLst>
            <c:ext xmlns:c16="http://schemas.microsoft.com/office/drawing/2014/chart" uri="{C3380CC4-5D6E-409C-BE32-E72D297353CC}">
              <c16:uniqueId val="{00000002-AE00-4C16-A2D2-8F2E92CF0C69}"/>
            </c:ext>
          </c:extLst>
        </c:ser>
        <c:ser>
          <c:idx val="12"/>
          <c:order val="12"/>
          <c:tx>
            <c:strRef>
              <c:f>'HE GEN - Time'!$P$3:$P$4</c:f>
              <c:strCache>
                <c:ptCount val="1"/>
                <c:pt idx="0">
                  <c:v>OTHERGAS</c:v>
                </c:pt>
              </c:strCache>
            </c:strRef>
          </c:tx>
          <c:spPr>
            <a:solidFill>
              <a:schemeClr val="accent1">
                <a:lumMod val="80000"/>
                <a:lumOff val="20000"/>
              </a:schemeClr>
            </a:solidFill>
            <a:ln w="25400">
              <a:noFill/>
            </a:ln>
            <a:effectLst/>
          </c:spPr>
          <c:cat>
            <c:multiLvlStrRef>
              <c:f>'HE GEN - Time'!$B$5:$C$29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GEN - Time'!$P$5:$P$29</c:f>
              <c:numCache>
                <c:formatCode>General</c:formatCode>
                <c:ptCount val="24"/>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numCache>
            </c:numRef>
          </c:val>
          <c:extLst>
            <c:ext xmlns:c16="http://schemas.microsoft.com/office/drawing/2014/chart" uri="{C3380CC4-5D6E-409C-BE32-E72D297353CC}">
              <c16:uniqueId val="{00000003-AE00-4C16-A2D2-8F2E92CF0C69}"/>
            </c:ext>
          </c:extLst>
        </c:ser>
        <c:ser>
          <c:idx val="13"/>
          <c:order val="13"/>
          <c:tx>
            <c:strRef>
              <c:f>'HE GEN - Time'!$Q$3:$Q$4</c:f>
              <c:strCache>
                <c:ptCount val="1"/>
                <c:pt idx="0">
                  <c:v>SUN</c:v>
                </c:pt>
              </c:strCache>
            </c:strRef>
          </c:tx>
          <c:spPr>
            <a:solidFill>
              <a:schemeClr val="accent2">
                <a:lumMod val="80000"/>
                <a:lumOff val="20000"/>
              </a:schemeClr>
            </a:solidFill>
            <a:ln w="25400">
              <a:noFill/>
            </a:ln>
            <a:effectLst/>
          </c:spPr>
          <c:cat>
            <c:multiLvlStrRef>
              <c:f>'HE GEN - Time'!$B$5:$C$29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GEN - Time'!$Q$5:$Q$29</c:f>
              <c:numCache>
                <c:formatCode>General</c:formatCode>
                <c:ptCount val="24"/>
                <c:pt idx="0">
                  <c:v>352.15296600361376</c:v>
                </c:pt>
                <c:pt idx="1">
                  <c:v>360.10349643892039</c:v>
                </c:pt>
                <c:pt idx="2">
                  <c:v>366.68316209689448</c:v>
                </c:pt>
                <c:pt idx="3">
                  <c:v>384.87693377539767</c:v>
                </c:pt>
                <c:pt idx="4">
                  <c:v>412.10840375963511</c:v>
                </c:pt>
                <c:pt idx="5">
                  <c:v>457.74173391006121</c:v>
                </c:pt>
                <c:pt idx="6">
                  <c:v>545.34516639014737</c:v>
                </c:pt>
                <c:pt idx="7">
                  <c:v>603.39681503248823</c:v>
                </c:pt>
                <c:pt idx="8">
                  <c:v>609.28836441962153</c:v>
                </c:pt>
                <c:pt idx="9">
                  <c:v>583.22137449386207</c:v>
                </c:pt>
                <c:pt idx="10">
                  <c:v>553.61165138505169</c:v>
                </c:pt>
                <c:pt idx="11">
                  <c:v>523.49911107079129</c:v>
                </c:pt>
                <c:pt idx="12">
                  <c:v>497.77256082211215</c:v>
                </c:pt>
                <c:pt idx="13">
                  <c:v>485.3846925992118</c:v>
                </c:pt>
                <c:pt idx="14">
                  <c:v>475.87141237064253</c:v>
                </c:pt>
                <c:pt idx="15">
                  <c:v>460.80028653040591</c:v>
                </c:pt>
                <c:pt idx="16">
                  <c:v>444.25283564493611</c:v>
                </c:pt>
                <c:pt idx="17">
                  <c:v>432.85964699368935</c:v>
                </c:pt>
                <c:pt idx="18">
                  <c:v>427.40150716493861</c:v>
                </c:pt>
                <c:pt idx="19">
                  <c:v>427.41098425614928</c:v>
                </c:pt>
                <c:pt idx="20">
                  <c:v>418.54107404779597</c:v>
                </c:pt>
                <c:pt idx="21">
                  <c:v>402.84666079655699</c:v>
                </c:pt>
                <c:pt idx="22">
                  <c:v>382.7041185043405</c:v>
                </c:pt>
                <c:pt idx="23">
                  <c:v>361.20449354753049</c:v>
                </c:pt>
              </c:numCache>
            </c:numRef>
          </c:val>
          <c:extLst>
            <c:ext xmlns:c16="http://schemas.microsoft.com/office/drawing/2014/chart" uri="{C3380CC4-5D6E-409C-BE32-E72D297353CC}">
              <c16:uniqueId val="{00000004-AE00-4C16-A2D2-8F2E92CF0C69}"/>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Time!PivotTable2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'Fuel CON - Time'!$C$3:$C$4</c:f>
              <c:strCache>
                <c:ptCount val="1"/>
                <c:pt idx="0">
                  <c:v>DENMARK</c:v>
                </c:pt>
              </c:strCache>
            </c:strRef>
          </c:tx>
          <c:spPr>
            <a:solidFill>
              <a:schemeClr val="accent1"/>
            </a:solidFill>
            <a:ln>
              <a:noFill/>
            </a:ln>
            <a:effectLst/>
          </c:spPr>
          <c:invertIfNegative val="0"/>
          <c:cat>
            <c:strRef>
              <c:f>'Fuel CON - Time'!$B$5:$B$22</c:f>
              <c:strCache>
                <c:ptCount val="17"/>
                <c:pt idx="0">
                  <c:v>SUN</c:v>
                </c:pt>
                <c:pt idx="1">
                  <c:v>COAL</c:v>
                </c:pt>
                <c:pt idx="2">
                  <c:v>ELECTRIC</c:v>
                </c:pt>
                <c:pt idx="3">
                  <c:v>MUNIWASTE</c:v>
                </c:pt>
                <c:pt idx="4">
                  <c:v>NATGAS</c:v>
                </c:pt>
                <c:pt idx="5">
                  <c:v>STRAW</c:v>
                </c:pt>
                <c:pt idx="6">
                  <c:v>WIND</c:v>
                </c:pt>
                <c:pt idx="7">
                  <c:v>WOODWASTE</c:v>
                </c:pt>
                <c:pt idx="8">
                  <c:v>WASTEHEAT</c:v>
                </c:pt>
                <c:pt idx="9">
                  <c:v>WOODCHIPS</c:v>
                </c:pt>
                <c:pt idx="10">
                  <c:v>WATER</c:v>
                </c:pt>
                <c:pt idx="11">
                  <c:v>LIGNITE</c:v>
                </c:pt>
                <c:pt idx="12">
                  <c:v>NUCLEAR</c:v>
                </c:pt>
                <c:pt idx="13">
                  <c:v>LPG</c:v>
                </c:pt>
                <c:pt idx="14">
                  <c:v>PEAT</c:v>
                </c:pt>
                <c:pt idx="15">
                  <c:v>RECYCLEDWOOD</c:v>
                </c:pt>
                <c:pt idx="16">
                  <c:v>OTHERGAS</c:v>
                </c:pt>
              </c:strCache>
            </c:strRef>
          </c:cat>
          <c:val>
            <c:numRef>
              <c:f>'Fuel CON - Time'!$C$5:$C$22</c:f>
              <c:numCache>
                <c:formatCode>General</c:formatCode>
                <c:ptCount val="17"/>
                <c:pt idx="0">
                  <c:v>6197475.2440442732</c:v>
                </c:pt>
                <c:pt idx="1">
                  <c:v>105045066.27034892</c:v>
                </c:pt>
                <c:pt idx="3">
                  <c:v>25800502.056827385</c:v>
                </c:pt>
                <c:pt idx="4">
                  <c:v>3499616.9981514998</c:v>
                </c:pt>
                <c:pt idx="5">
                  <c:v>18464460.356969461</c:v>
                </c:pt>
                <c:pt idx="6">
                  <c:v>120058230.64680113</c:v>
                </c:pt>
                <c:pt idx="7">
                  <c:v>3606862.0147716245</c:v>
                </c:pt>
                <c:pt idx="8">
                  <c:v>13495121.859788712</c:v>
                </c:pt>
                <c:pt idx="9">
                  <c:v>21267370.069263708</c:v>
                </c:pt>
                <c:pt idx="10">
                  <c:v>134570.50908839368</c:v>
                </c:pt>
              </c:numCache>
            </c:numRef>
          </c:val>
          <c:extLst>
            <c:ext xmlns:c16="http://schemas.microsoft.com/office/drawing/2014/chart" uri="{C3380CC4-5D6E-409C-BE32-E72D297353CC}">
              <c16:uniqueId val="{00000000-C276-4130-A710-9D626C89CFEA}"/>
            </c:ext>
          </c:extLst>
        </c:ser>
        <c:ser>
          <c:idx val="1"/>
          <c:order val="1"/>
          <c:tx>
            <c:strRef>
              <c:f>'Fuel CON - Time'!$D$3:$D$4</c:f>
              <c:strCache>
                <c:ptCount val="1"/>
                <c:pt idx="0">
                  <c:v>GERMANY</c:v>
                </c:pt>
              </c:strCache>
            </c:strRef>
          </c:tx>
          <c:spPr>
            <a:solidFill>
              <a:schemeClr val="accent2"/>
            </a:solidFill>
            <a:ln>
              <a:noFill/>
            </a:ln>
            <a:effectLst/>
          </c:spPr>
          <c:invertIfNegative val="0"/>
          <c:cat>
            <c:strRef>
              <c:f>'Fuel CON - Time'!$B$5:$B$22</c:f>
              <c:strCache>
                <c:ptCount val="17"/>
                <c:pt idx="0">
                  <c:v>SUN</c:v>
                </c:pt>
                <c:pt idx="1">
                  <c:v>COAL</c:v>
                </c:pt>
                <c:pt idx="2">
                  <c:v>ELECTRIC</c:v>
                </c:pt>
                <c:pt idx="3">
                  <c:v>MUNIWASTE</c:v>
                </c:pt>
                <c:pt idx="4">
                  <c:v>NATGAS</c:v>
                </c:pt>
                <c:pt idx="5">
                  <c:v>STRAW</c:v>
                </c:pt>
                <c:pt idx="6">
                  <c:v>WIND</c:v>
                </c:pt>
                <c:pt idx="7">
                  <c:v>WOODWASTE</c:v>
                </c:pt>
                <c:pt idx="8">
                  <c:v>WASTEHEAT</c:v>
                </c:pt>
                <c:pt idx="9">
                  <c:v>WOODCHIPS</c:v>
                </c:pt>
                <c:pt idx="10">
                  <c:v>WATER</c:v>
                </c:pt>
                <c:pt idx="11">
                  <c:v>LIGNITE</c:v>
                </c:pt>
                <c:pt idx="12">
                  <c:v>NUCLEAR</c:v>
                </c:pt>
                <c:pt idx="13">
                  <c:v>LPG</c:v>
                </c:pt>
                <c:pt idx="14">
                  <c:v>PEAT</c:v>
                </c:pt>
                <c:pt idx="15">
                  <c:v>RECYCLEDWOOD</c:v>
                </c:pt>
                <c:pt idx="16">
                  <c:v>OTHERGAS</c:v>
                </c:pt>
              </c:strCache>
            </c:strRef>
          </c:cat>
          <c:val>
            <c:numRef>
              <c:f>'Fuel CON - Time'!$D$5:$D$22</c:f>
              <c:numCache>
                <c:formatCode>General</c:formatCode>
                <c:ptCount val="17"/>
                <c:pt idx="0">
                  <c:v>354855052.7544238</c:v>
                </c:pt>
                <c:pt idx="1">
                  <c:v>293220584.19282079</c:v>
                </c:pt>
                <c:pt idx="2">
                  <c:v>2948288026.3675222</c:v>
                </c:pt>
                <c:pt idx="3">
                  <c:v>40308741.818181753</c:v>
                </c:pt>
                <c:pt idx="6">
                  <c:v>878773572.25200009</c:v>
                </c:pt>
                <c:pt idx="8">
                  <c:v>2830355.9999999977</c:v>
                </c:pt>
                <c:pt idx="10">
                  <c:v>345311002.70856065</c:v>
                </c:pt>
                <c:pt idx="11">
                  <c:v>1913268537.4946899</c:v>
                </c:pt>
                <c:pt idx="12">
                  <c:v>1032087272.7272707</c:v>
                </c:pt>
              </c:numCache>
            </c:numRef>
          </c:val>
          <c:extLst>
            <c:ext xmlns:c16="http://schemas.microsoft.com/office/drawing/2014/chart" uri="{C3380CC4-5D6E-409C-BE32-E72D297353CC}">
              <c16:uniqueId val="{00000000-3339-4B6D-A0C0-6908B7D38E50}"/>
            </c:ext>
          </c:extLst>
        </c:ser>
        <c:ser>
          <c:idx val="2"/>
          <c:order val="2"/>
          <c:tx>
            <c:strRef>
              <c:f>'Fuel CON - Time'!$E$3:$E$4</c:f>
              <c:strCache>
                <c:ptCount val="1"/>
                <c:pt idx="0">
                  <c:v>NORWAY</c:v>
                </c:pt>
              </c:strCache>
            </c:strRef>
          </c:tx>
          <c:spPr>
            <a:solidFill>
              <a:schemeClr val="accent3"/>
            </a:solidFill>
            <a:ln>
              <a:noFill/>
            </a:ln>
            <a:effectLst/>
          </c:spPr>
          <c:invertIfNegative val="0"/>
          <c:cat>
            <c:strRef>
              <c:f>'Fuel CON - Time'!$B$5:$B$22</c:f>
              <c:strCache>
                <c:ptCount val="17"/>
                <c:pt idx="0">
                  <c:v>SUN</c:v>
                </c:pt>
                <c:pt idx="1">
                  <c:v>COAL</c:v>
                </c:pt>
                <c:pt idx="2">
                  <c:v>ELECTRIC</c:v>
                </c:pt>
                <c:pt idx="3">
                  <c:v>MUNIWASTE</c:v>
                </c:pt>
                <c:pt idx="4">
                  <c:v>NATGAS</c:v>
                </c:pt>
                <c:pt idx="5">
                  <c:v>STRAW</c:v>
                </c:pt>
                <c:pt idx="6">
                  <c:v>WIND</c:v>
                </c:pt>
                <c:pt idx="7">
                  <c:v>WOODWASTE</c:v>
                </c:pt>
                <c:pt idx="8">
                  <c:v>WASTEHEAT</c:v>
                </c:pt>
                <c:pt idx="9">
                  <c:v>WOODCHIPS</c:v>
                </c:pt>
                <c:pt idx="10">
                  <c:v>WATER</c:v>
                </c:pt>
                <c:pt idx="11">
                  <c:v>LIGNITE</c:v>
                </c:pt>
                <c:pt idx="12">
                  <c:v>NUCLEAR</c:v>
                </c:pt>
                <c:pt idx="13">
                  <c:v>LPG</c:v>
                </c:pt>
                <c:pt idx="14">
                  <c:v>PEAT</c:v>
                </c:pt>
                <c:pt idx="15">
                  <c:v>RECYCLEDWOOD</c:v>
                </c:pt>
                <c:pt idx="16">
                  <c:v>OTHERGAS</c:v>
                </c:pt>
              </c:strCache>
            </c:strRef>
          </c:cat>
          <c:val>
            <c:numRef>
              <c:f>'Fuel CON - Time'!$E$5:$E$22</c:f>
              <c:numCache>
                <c:formatCode>General</c:formatCode>
                <c:ptCount val="17"/>
                <c:pt idx="0">
                  <c:v>426876409.4664433</c:v>
                </c:pt>
                <c:pt idx="3">
                  <c:v>12411171.214766741</c:v>
                </c:pt>
                <c:pt idx="6">
                  <c:v>40983713.999999993</c:v>
                </c:pt>
                <c:pt idx="7">
                  <c:v>1883337.4780577559</c:v>
                </c:pt>
                <c:pt idx="8">
                  <c:v>685304.27105096052</c:v>
                </c:pt>
                <c:pt idx="10">
                  <c:v>627021410.56135213</c:v>
                </c:pt>
                <c:pt idx="13">
                  <c:v>7079104.1031666799</c:v>
                </c:pt>
              </c:numCache>
            </c:numRef>
          </c:val>
          <c:extLst>
            <c:ext xmlns:c16="http://schemas.microsoft.com/office/drawing/2014/chart" uri="{C3380CC4-5D6E-409C-BE32-E72D297353CC}">
              <c16:uniqueId val="{00000001-3339-4B6D-A0C0-6908B7D38E50}"/>
            </c:ext>
          </c:extLst>
        </c:ser>
        <c:ser>
          <c:idx val="3"/>
          <c:order val="3"/>
          <c:tx>
            <c:strRef>
              <c:f>'Fuel CON - Time'!$F$3:$F$4</c:f>
              <c:strCache>
                <c:ptCount val="1"/>
                <c:pt idx="0">
                  <c:v>SWEDEN</c:v>
                </c:pt>
              </c:strCache>
            </c:strRef>
          </c:tx>
          <c:spPr>
            <a:solidFill>
              <a:schemeClr val="accent4"/>
            </a:solidFill>
            <a:ln>
              <a:noFill/>
            </a:ln>
            <a:effectLst/>
          </c:spPr>
          <c:invertIfNegative val="0"/>
          <c:cat>
            <c:strRef>
              <c:f>'Fuel CON - Time'!$B$5:$B$22</c:f>
              <c:strCache>
                <c:ptCount val="17"/>
                <c:pt idx="0">
                  <c:v>SUN</c:v>
                </c:pt>
                <c:pt idx="1">
                  <c:v>COAL</c:v>
                </c:pt>
                <c:pt idx="2">
                  <c:v>ELECTRIC</c:v>
                </c:pt>
                <c:pt idx="3">
                  <c:v>MUNIWASTE</c:v>
                </c:pt>
                <c:pt idx="4">
                  <c:v>NATGAS</c:v>
                </c:pt>
                <c:pt idx="5">
                  <c:v>STRAW</c:v>
                </c:pt>
                <c:pt idx="6">
                  <c:v>WIND</c:v>
                </c:pt>
                <c:pt idx="7">
                  <c:v>WOODWASTE</c:v>
                </c:pt>
                <c:pt idx="8">
                  <c:v>WASTEHEAT</c:v>
                </c:pt>
                <c:pt idx="9">
                  <c:v>WOODCHIPS</c:v>
                </c:pt>
                <c:pt idx="10">
                  <c:v>WATER</c:v>
                </c:pt>
                <c:pt idx="11">
                  <c:v>LIGNITE</c:v>
                </c:pt>
                <c:pt idx="12">
                  <c:v>NUCLEAR</c:v>
                </c:pt>
                <c:pt idx="13">
                  <c:v>LPG</c:v>
                </c:pt>
                <c:pt idx="14">
                  <c:v>PEAT</c:v>
                </c:pt>
                <c:pt idx="15">
                  <c:v>RECYCLEDWOOD</c:v>
                </c:pt>
                <c:pt idx="16">
                  <c:v>OTHERGAS</c:v>
                </c:pt>
              </c:strCache>
            </c:strRef>
          </c:cat>
          <c:val>
            <c:numRef>
              <c:f>'Fuel CON - Time'!$F$5:$F$22</c:f>
              <c:numCache>
                <c:formatCode>General</c:formatCode>
                <c:ptCount val="17"/>
                <c:pt idx="0">
                  <c:v>1714334491.1068652</c:v>
                </c:pt>
                <c:pt idx="1">
                  <c:v>7304212.0281383796</c:v>
                </c:pt>
                <c:pt idx="3">
                  <c:v>87381990.55371508</c:v>
                </c:pt>
                <c:pt idx="4">
                  <c:v>2414870.0419633389</c:v>
                </c:pt>
                <c:pt idx="5">
                  <c:v>29323.380722279595</c:v>
                </c:pt>
                <c:pt idx="6">
                  <c:v>137706629.43599999</c:v>
                </c:pt>
                <c:pt idx="7">
                  <c:v>124508200.00269383</c:v>
                </c:pt>
                <c:pt idx="8">
                  <c:v>34373364.409367293</c:v>
                </c:pt>
                <c:pt idx="9">
                  <c:v>5107321.0999735026</c:v>
                </c:pt>
                <c:pt idx="10">
                  <c:v>355224897.14973879</c:v>
                </c:pt>
                <c:pt idx="12">
                  <c:v>629914793.16501343</c:v>
                </c:pt>
                <c:pt idx="14">
                  <c:v>8042013.334583845</c:v>
                </c:pt>
                <c:pt idx="15">
                  <c:v>11027943.680929245</c:v>
                </c:pt>
                <c:pt idx="16">
                  <c:v>742023.529411764</c:v>
                </c:pt>
              </c:numCache>
            </c:numRef>
          </c:val>
          <c:extLst>
            <c:ext xmlns:c16="http://schemas.microsoft.com/office/drawing/2014/chart" uri="{C3380CC4-5D6E-409C-BE32-E72D297353CC}">
              <c16:uniqueId val="{00000002-3339-4B6D-A0C0-6908B7D38E50}"/>
            </c:ext>
          </c:extLst>
        </c:ser>
        <c:dLbls>
          <c:showLegendKey val="0"/>
          <c:showVal val="0"/>
          <c:showCatName val="0"/>
          <c:showSerName val="0"/>
          <c:showPercent val="0"/>
          <c:showBubbleSize val="0"/>
        </c:dLbls>
        <c:gapWidth val="219"/>
        <c:overlap val="-27"/>
        <c:axId val="269918288"/>
        <c:axId val="269918680"/>
      </c:bar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s>
    <c:plotArea>
      <c:layout/>
      <c:barChart>
        <c:barDir val="col"/>
        <c:grouping val="stacked"/>
        <c:varyColors val="0"/>
        <c:ser>
          <c:idx val="0"/>
          <c:order val="0"/>
          <c:tx>
            <c:strRef>
              <c:f>'Fuel CON - Annual'!$C$3:$C$4</c:f>
              <c:strCache>
                <c:ptCount val="1"/>
                <c:pt idx="0">
                  <c:v>SUN</c:v>
                </c:pt>
              </c:strCache>
            </c:strRef>
          </c:tx>
          <c:spPr>
            <a:solidFill>
              <a:schemeClr val="accent1"/>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Annual'!$C$5:$C$9</c:f>
              <c:numCache>
                <c:formatCode>General</c:formatCode>
                <c:ptCount val="4"/>
                <c:pt idx="0">
                  <c:v>1.7215209011234092</c:v>
                </c:pt>
                <c:pt idx="1">
                  <c:v>98.570847987340073</c:v>
                </c:pt>
                <c:pt idx="2">
                  <c:v>118.57678040734537</c:v>
                </c:pt>
                <c:pt idx="3">
                  <c:v>476.20402530746196</c:v>
                </c:pt>
              </c:numCache>
            </c:numRef>
          </c:val>
          <c:extLst>
            <c:ext xmlns:c16="http://schemas.microsoft.com/office/drawing/2014/chart" uri="{C3380CC4-5D6E-409C-BE32-E72D297353CC}">
              <c16:uniqueId val="{00000000-9575-4B09-8D6E-5D253FEFC951}"/>
            </c:ext>
          </c:extLst>
        </c:ser>
        <c:ser>
          <c:idx val="1"/>
          <c:order val="1"/>
          <c:tx>
            <c:strRef>
              <c:f>'Fuel CON - Annual'!$D$3:$D$4</c:f>
              <c:strCache>
                <c:ptCount val="1"/>
                <c:pt idx="0">
                  <c:v>COAL</c:v>
                </c:pt>
              </c:strCache>
            </c:strRef>
          </c:tx>
          <c:spPr>
            <a:solidFill>
              <a:schemeClr val="accent2"/>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Annual'!$D$5:$D$9</c:f>
              <c:numCache>
                <c:formatCode>General</c:formatCode>
                <c:ptCount val="4"/>
                <c:pt idx="0">
                  <c:v>29.179185075096921</c:v>
                </c:pt>
                <c:pt idx="1">
                  <c:v>81.45016227578347</c:v>
                </c:pt>
                <c:pt idx="3">
                  <c:v>2.0289477855939952</c:v>
                </c:pt>
              </c:numCache>
            </c:numRef>
          </c:val>
          <c:extLst>
            <c:ext xmlns:c16="http://schemas.microsoft.com/office/drawing/2014/chart" uri="{C3380CC4-5D6E-409C-BE32-E72D297353CC}">
              <c16:uniqueId val="{00000001-9575-4B09-8D6E-5D253FEFC951}"/>
            </c:ext>
          </c:extLst>
        </c:ser>
        <c:ser>
          <c:idx val="2"/>
          <c:order val="2"/>
          <c:tx>
            <c:strRef>
              <c:f>'Fuel CON - Annual'!$E$3:$E$4</c:f>
              <c:strCache>
                <c:ptCount val="1"/>
                <c:pt idx="0">
                  <c:v>ELECTRIC</c:v>
                </c:pt>
              </c:strCache>
            </c:strRef>
          </c:tx>
          <c:spPr>
            <a:solidFill>
              <a:schemeClr val="accent3"/>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Annual'!$E$5:$E$9</c:f>
              <c:numCache>
                <c:formatCode>General</c:formatCode>
                <c:ptCount val="4"/>
                <c:pt idx="1">
                  <c:v>818.96889621320008</c:v>
                </c:pt>
              </c:numCache>
            </c:numRef>
          </c:val>
          <c:extLst>
            <c:ext xmlns:c16="http://schemas.microsoft.com/office/drawing/2014/chart" uri="{C3380CC4-5D6E-409C-BE32-E72D297353CC}">
              <c16:uniqueId val="{00000002-9575-4B09-8D6E-5D253FEFC951}"/>
            </c:ext>
          </c:extLst>
        </c:ser>
        <c:ser>
          <c:idx val="3"/>
          <c:order val="3"/>
          <c:tx>
            <c:strRef>
              <c:f>'Fuel CON - Annual'!$F$3:$F$4</c:f>
              <c:strCache>
                <c:ptCount val="1"/>
                <c:pt idx="0">
                  <c:v>STRAW</c:v>
                </c:pt>
              </c:strCache>
            </c:strRef>
          </c:tx>
          <c:spPr>
            <a:solidFill>
              <a:schemeClr val="accent4"/>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Annual'!$F$5:$F$9</c:f>
              <c:numCache>
                <c:formatCode>General</c:formatCode>
                <c:ptCount val="4"/>
                <c:pt idx="0">
                  <c:v>5.1290167658248338</c:v>
                </c:pt>
                <c:pt idx="3">
                  <c:v>8.1453835339665506E-3</c:v>
                </c:pt>
              </c:numCache>
            </c:numRef>
          </c:val>
          <c:extLst>
            <c:ext xmlns:c16="http://schemas.microsoft.com/office/drawing/2014/chart" uri="{C3380CC4-5D6E-409C-BE32-E72D297353CC}">
              <c16:uniqueId val="{00000003-9575-4B09-8D6E-5D253FEFC951}"/>
            </c:ext>
          </c:extLst>
        </c:ser>
        <c:ser>
          <c:idx val="4"/>
          <c:order val="4"/>
          <c:tx>
            <c:strRef>
              <c:f>'Fuel CON - Annual'!$G$3:$G$4</c:f>
              <c:strCache>
                <c:ptCount val="1"/>
                <c:pt idx="0">
                  <c:v>WIND</c:v>
                </c:pt>
              </c:strCache>
            </c:strRef>
          </c:tx>
          <c:spPr>
            <a:solidFill>
              <a:schemeClr val="accent5"/>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Annual'!$G$5:$G$9</c:f>
              <c:numCache>
                <c:formatCode>General</c:formatCode>
                <c:ptCount val="4"/>
                <c:pt idx="0">
                  <c:v>33.349508513000302</c:v>
                </c:pt>
                <c:pt idx="1">
                  <c:v>244.10377007</c:v>
                </c:pt>
                <c:pt idx="2">
                  <c:v>11.384365000000001</c:v>
                </c:pt>
                <c:pt idx="3">
                  <c:v>38.251841509999998</c:v>
                </c:pt>
              </c:numCache>
            </c:numRef>
          </c:val>
          <c:extLst>
            <c:ext xmlns:c16="http://schemas.microsoft.com/office/drawing/2014/chart" uri="{C3380CC4-5D6E-409C-BE32-E72D297353CC}">
              <c16:uniqueId val="{00000004-9575-4B09-8D6E-5D253FEFC951}"/>
            </c:ext>
          </c:extLst>
        </c:ser>
        <c:ser>
          <c:idx val="5"/>
          <c:order val="5"/>
          <c:tx>
            <c:strRef>
              <c:f>'Fuel CON - Annual'!$H$3:$H$4</c:f>
              <c:strCache>
                <c:ptCount val="1"/>
                <c:pt idx="0">
                  <c:v>NATGAS</c:v>
                </c:pt>
              </c:strCache>
            </c:strRef>
          </c:tx>
          <c:spPr>
            <a:solidFill>
              <a:schemeClr val="accent6"/>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Annual'!$H$5:$H$9</c:f>
              <c:numCache>
                <c:formatCode>General</c:formatCode>
                <c:ptCount val="4"/>
                <c:pt idx="0">
                  <c:v>0.9721158328198608</c:v>
                </c:pt>
                <c:pt idx="3">
                  <c:v>0.67079723387870582</c:v>
                </c:pt>
              </c:numCache>
            </c:numRef>
          </c:val>
          <c:extLst>
            <c:ext xmlns:c16="http://schemas.microsoft.com/office/drawing/2014/chart" uri="{C3380CC4-5D6E-409C-BE32-E72D297353CC}">
              <c16:uniqueId val="{00000005-9575-4B09-8D6E-5D253FEFC951}"/>
            </c:ext>
          </c:extLst>
        </c:ser>
        <c:ser>
          <c:idx val="6"/>
          <c:order val="6"/>
          <c:tx>
            <c:strRef>
              <c:f>'Fuel CON - Annual'!$I$3:$I$4</c:f>
              <c:strCache>
                <c:ptCount val="1"/>
                <c:pt idx="0">
                  <c:v>MUNIWASTE</c:v>
                </c:pt>
              </c:strCache>
            </c:strRef>
          </c:tx>
          <c:spPr>
            <a:solidFill>
              <a:schemeClr val="accent1">
                <a:lumMod val="60000"/>
              </a:schemeClr>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Annual'!$I$5:$I$9</c:f>
              <c:numCache>
                <c:formatCode>General</c:formatCode>
                <c:ptCount val="4"/>
                <c:pt idx="0">
                  <c:v>7.1668061268964998</c:v>
                </c:pt>
                <c:pt idx="1">
                  <c:v>11.196872727272726</c:v>
                </c:pt>
                <c:pt idx="2">
                  <c:v>3.4475475596574237</c:v>
                </c:pt>
                <c:pt idx="3">
                  <c:v>24.272775153810009</c:v>
                </c:pt>
              </c:numCache>
            </c:numRef>
          </c:val>
          <c:extLst>
            <c:ext xmlns:c16="http://schemas.microsoft.com/office/drawing/2014/chart" uri="{C3380CC4-5D6E-409C-BE32-E72D297353CC}">
              <c16:uniqueId val="{00000006-9575-4B09-8D6E-5D253FEFC951}"/>
            </c:ext>
          </c:extLst>
        </c:ser>
        <c:ser>
          <c:idx val="7"/>
          <c:order val="7"/>
          <c:tx>
            <c:strRef>
              <c:f>'Fuel CON - Annual'!$J$3:$J$4</c:f>
              <c:strCache>
                <c:ptCount val="1"/>
                <c:pt idx="0">
                  <c:v>WOODWASTE</c:v>
                </c:pt>
              </c:strCache>
            </c:strRef>
          </c:tx>
          <c:spPr>
            <a:solidFill>
              <a:schemeClr val="accent2">
                <a:lumMod val="60000"/>
              </a:schemeClr>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Annual'!$J$5:$J$9</c:f>
              <c:numCache>
                <c:formatCode>General</c:formatCode>
                <c:ptCount val="4"/>
                <c:pt idx="0">
                  <c:v>1.0019061152143349</c:v>
                </c:pt>
                <c:pt idx="2">
                  <c:v>0.52314929946048816</c:v>
                </c:pt>
                <c:pt idx="3">
                  <c:v>34.585611111859315</c:v>
                </c:pt>
              </c:numCache>
            </c:numRef>
          </c:val>
          <c:extLst>
            <c:ext xmlns:c16="http://schemas.microsoft.com/office/drawing/2014/chart" uri="{C3380CC4-5D6E-409C-BE32-E72D297353CC}">
              <c16:uniqueId val="{00000007-9575-4B09-8D6E-5D253FEFC951}"/>
            </c:ext>
          </c:extLst>
        </c:ser>
        <c:ser>
          <c:idx val="8"/>
          <c:order val="8"/>
          <c:tx>
            <c:strRef>
              <c:f>'Fuel CON - Annual'!$K$3:$K$4</c:f>
              <c:strCache>
                <c:ptCount val="1"/>
                <c:pt idx="0">
                  <c:v>WASTEHEAT</c:v>
                </c:pt>
              </c:strCache>
            </c:strRef>
          </c:tx>
          <c:spPr>
            <a:solidFill>
              <a:schemeClr val="accent3">
                <a:lumMod val="60000"/>
              </a:schemeClr>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Annual'!$K$5:$K$9</c:f>
              <c:numCache>
                <c:formatCode>General</c:formatCode>
                <c:ptCount val="4"/>
                <c:pt idx="0">
                  <c:v>3.7486449610524168</c:v>
                </c:pt>
                <c:pt idx="1">
                  <c:v>0.78621000000000008</c:v>
                </c:pt>
                <c:pt idx="2">
                  <c:v>0.19036229751415568</c:v>
                </c:pt>
                <c:pt idx="3">
                  <c:v>9.5481567803797969</c:v>
                </c:pt>
              </c:numCache>
            </c:numRef>
          </c:val>
          <c:extLst>
            <c:ext xmlns:c16="http://schemas.microsoft.com/office/drawing/2014/chart" uri="{C3380CC4-5D6E-409C-BE32-E72D297353CC}">
              <c16:uniqueId val="{00000008-9575-4B09-8D6E-5D253FEFC951}"/>
            </c:ext>
          </c:extLst>
        </c:ser>
        <c:ser>
          <c:idx val="9"/>
          <c:order val="9"/>
          <c:tx>
            <c:strRef>
              <c:f>'Fuel CON - Annual'!$L$3:$L$4</c:f>
              <c:strCache>
                <c:ptCount val="1"/>
                <c:pt idx="0">
                  <c:v>WOODCHIPS</c:v>
                </c:pt>
              </c:strCache>
            </c:strRef>
          </c:tx>
          <c:spPr>
            <a:solidFill>
              <a:schemeClr val="accent4">
                <a:lumMod val="60000"/>
              </a:schemeClr>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Annual'!$L$5:$L$9</c:f>
              <c:numCache>
                <c:formatCode>General</c:formatCode>
                <c:ptCount val="4"/>
                <c:pt idx="0">
                  <c:v>5.9076027970176987</c:v>
                </c:pt>
                <c:pt idx="3">
                  <c:v>1.418700305548195</c:v>
                </c:pt>
              </c:numCache>
            </c:numRef>
          </c:val>
          <c:extLst>
            <c:ext xmlns:c16="http://schemas.microsoft.com/office/drawing/2014/chart" uri="{C3380CC4-5D6E-409C-BE32-E72D297353CC}">
              <c16:uniqueId val="{00000009-9575-4B09-8D6E-5D253FEFC951}"/>
            </c:ext>
          </c:extLst>
        </c:ser>
        <c:ser>
          <c:idx val="10"/>
          <c:order val="10"/>
          <c:tx>
            <c:strRef>
              <c:f>'Fuel CON - Annual'!$M$3:$M$4</c:f>
              <c:strCache>
                <c:ptCount val="1"/>
                <c:pt idx="0">
                  <c:v>WATER</c:v>
                </c:pt>
              </c:strCache>
            </c:strRef>
          </c:tx>
          <c:spPr>
            <a:solidFill>
              <a:schemeClr val="accent5">
                <a:lumMod val="60000"/>
              </a:schemeClr>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Annual'!$M$5:$M$9</c:f>
              <c:numCache>
                <c:formatCode>General</c:formatCode>
                <c:ptCount val="4"/>
                <c:pt idx="0">
                  <c:v>3.7380696968998137E-2</c:v>
                </c:pt>
                <c:pt idx="1">
                  <c:v>95.919722974600376</c:v>
                </c:pt>
                <c:pt idx="2">
                  <c:v>174.17261404482053</c:v>
                </c:pt>
                <c:pt idx="3">
                  <c:v>98.673582541594044</c:v>
                </c:pt>
              </c:numCache>
            </c:numRef>
          </c:val>
          <c:extLst>
            <c:ext xmlns:c16="http://schemas.microsoft.com/office/drawing/2014/chart" uri="{C3380CC4-5D6E-409C-BE32-E72D297353CC}">
              <c16:uniqueId val="{0000000A-9575-4B09-8D6E-5D253FEFC951}"/>
            </c:ext>
          </c:extLst>
        </c:ser>
        <c:ser>
          <c:idx val="11"/>
          <c:order val="11"/>
          <c:tx>
            <c:strRef>
              <c:f>'Fuel CON - Annual'!$N$3:$N$4</c:f>
              <c:strCache>
                <c:ptCount val="1"/>
                <c:pt idx="0">
                  <c:v>LIGNITE</c:v>
                </c:pt>
              </c:strCache>
            </c:strRef>
          </c:tx>
          <c:spPr>
            <a:solidFill>
              <a:schemeClr val="accent6">
                <a:lumMod val="60000"/>
              </a:schemeClr>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Annual'!$N$5:$N$9</c:f>
              <c:numCache>
                <c:formatCode>General</c:formatCode>
                <c:ptCount val="4"/>
                <c:pt idx="1">
                  <c:v>531.46348263741447</c:v>
                </c:pt>
              </c:numCache>
            </c:numRef>
          </c:val>
          <c:extLst>
            <c:ext xmlns:c16="http://schemas.microsoft.com/office/drawing/2014/chart" uri="{C3380CC4-5D6E-409C-BE32-E72D297353CC}">
              <c16:uniqueId val="{00000000-81FF-4F1F-B265-5E7B5905AE22}"/>
            </c:ext>
          </c:extLst>
        </c:ser>
        <c:ser>
          <c:idx val="12"/>
          <c:order val="12"/>
          <c:tx>
            <c:strRef>
              <c:f>'Fuel CON - Annual'!$O$3:$O$4</c:f>
              <c:strCache>
                <c:ptCount val="1"/>
                <c:pt idx="0">
                  <c:v>NUCLEAR</c:v>
                </c:pt>
              </c:strCache>
            </c:strRef>
          </c:tx>
          <c:spPr>
            <a:solidFill>
              <a:schemeClr val="accent1">
                <a:lumMod val="80000"/>
                <a:lumOff val="20000"/>
              </a:schemeClr>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Annual'!$O$5:$O$9</c:f>
              <c:numCache>
                <c:formatCode>General</c:formatCode>
                <c:ptCount val="4"/>
                <c:pt idx="1">
                  <c:v>286.69090909090932</c:v>
                </c:pt>
                <c:pt idx="3">
                  <c:v>174.97633143472601</c:v>
                </c:pt>
              </c:numCache>
            </c:numRef>
          </c:val>
          <c:extLst>
            <c:ext xmlns:c16="http://schemas.microsoft.com/office/drawing/2014/chart" uri="{C3380CC4-5D6E-409C-BE32-E72D297353CC}">
              <c16:uniqueId val="{00000001-81FF-4F1F-B265-5E7B5905AE22}"/>
            </c:ext>
          </c:extLst>
        </c:ser>
        <c:ser>
          <c:idx val="13"/>
          <c:order val="13"/>
          <c:tx>
            <c:strRef>
              <c:f>'Fuel CON - Annual'!$P$3:$P$4</c:f>
              <c:strCache>
                <c:ptCount val="1"/>
                <c:pt idx="0">
                  <c:v>LPG</c:v>
                </c:pt>
              </c:strCache>
            </c:strRef>
          </c:tx>
          <c:spPr>
            <a:solidFill>
              <a:schemeClr val="accent2">
                <a:lumMod val="80000"/>
                <a:lumOff val="20000"/>
              </a:schemeClr>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Annual'!$P$5:$P$9</c:f>
              <c:numCache>
                <c:formatCode>General</c:formatCode>
                <c:ptCount val="4"/>
                <c:pt idx="2">
                  <c:v>1.9664178064351892</c:v>
                </c:pt>
              </c:numCache>
            </c:numRef>
          </c:val>
          <c:extLst>
            <c:ext xmlns:c16="http://schemas.microsoft.com/office/drawing/2014/chart" uri="{C3380CC4-5D6E-409C-BE32-E72D297353CC}">
              <c16:uniqueId val="{00000002-81FF-4F1F-B265-5E7B5905AE22}"/>
            </c:ext>
          </c:extLst>
        </c:ser>
        <c:ser>
          <c:idx val="14"/>
          <c:order val="14"/>
          <c:tx>
            <c:strRef>
              <c:f>'Fuel CON - Annual'!$Q$3:$Q$4</c:f>
              <c:strCache>
                <c:ptCount val="1"/>
                <c:pt idx="0">
                  <c:v>PEAT</c:v>
                </c:pt>
              </c:strCache>
            </c:strRef>
          </c:tx>
          <c:spPr>
            <a:solidFill>
              <a:schemeClr val="accent3">
                <a:lumMod val="80000"/>
                <a:lumOff val="20000"/>
              </a:schemeClr>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Annual'!$Q$5:$Q$9</c:f>
              <c:numCache>
                <c:formatCode>General</c:formatCode>
                <c:ptCount val="4"/>
                <c:pt idx="3">
                  <c:v>2.2338925929399545</c:v>
                </c:pt>
              </c:numCache>
            </c:numRef>
          </c:val>
          <c:extLst>
            <c:ext xmlns:c16="http://schemas.microsoft.com/office/drawing/2014/chart" uri="{C3380CC4-5D6E-409C-BE32-E72D297353CC}">
              <c16:uniqueId val="{00000003-81FF-4F1F-B265-5E7B5905AE22}"/>
            </c:ext>
          </c:extLst>
        </c:ser>
        <c:ser>
          <c:idx val="15"/>
          <c:order val="15"/>
          <c:tx>
            <c:strRef>
              <c:f>'Fuel CON - Annual'!$R$3:$R$4</c:f>
              <c:strCache>
                <c:ptCount val="1"/>
                <c:pt idx="0">
                  <c:v>RECYCLEDWOOD</c:v>
                </c:pt>
              </c:strCache>
            </c:strRef>
          </c:tx>
          <c:spPr>
            <a:solidFill>
              <a:schemeClr val="accent4">
                <a:lumMod val="80000"/>
                <a:lumOff val="20000"/>
              </a:schemeClr>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Annual'!$R$5:$R$9</c:f>
              <c:numCache>
                <c:formatCode>General</c:formatCode>
                <c:ptCount val="4"/>
                <c:pt idx="3">
                  <c:v>3.063317689147012</c:v>
                </c:pt>
              </c:numCache>
            </c:numRef>
          </c:val>
          <c:extLst>
            <c:ext xmlns:c16="http://schemas.microsoft.com/office/drawing/2014/chart" uri="{C3380CC4-5D6E-409C-BE32-E72D297353CC}">
              <c16:uniqueId val="{00000004-81FF-4F1F-B265-5E7B5905AE22}"/>
            </c:ext>
          </c:extLst>
        </c:ser>
        <c:ser>
          <c:idx val="16"/>
          <c:order val="16"/>
          <c:tx>
            <c:strRef>
              <c:f>'Fuel CON - Annual'!$S$3:$S$4</c:f>
              <c:strCache>
                <c:ptCount val="1"/>
                <c:pt idx="0">
                  <c:v>OTHERGAS</c:v>
                </c:pt>
              </c:strCache>
            </c:strRef>
          </c:tx>
          <c:spPr>
            <a:solidFill>
              <a:schemeClr val="accent5">
                <a:lumMod val="80000"/>
                <a:lumOff val="20000"/>
              </a:schemeClr>
            </a:solidFill>
            <a:ln>
              <a:noFill/>
            </a:ln>
            <a:effectLst/>
          </c:spPr>
          <c:invertIfNegative val="0"/>
          <c:cat>
            <c:strRef>
              <c:f>'Fuel CON - Annual'!$B$5:$B$9</c:f>
              <c:strCache>
                <c:ptCount val="4"/>
                <c:pt idx="0">
                  <c:v>DENMARK</c:v>
                </c:pt>
                <c:pt idx="1">
                  <c:v>GERMANY</c:v>
                </c:pt>
                <c:pt idx="2">
                  <c:v>NORWAY</c:v>
                </c:pt>
                <c:pt idx="3">
                  <c:v>SWEDEN</c:v>
                </c:pt>
              </c:strCache>
            </c:strRef>
          </c:cat>
          <c:val>
            <c:numRef>
              <c:f>'Fuel CON - Annual'!$S$5:$S$9</c:f>
              <c:numCache>
                <c:formatCode>General</c:formatCode>
                <c:ptCount val="4"/>
                <c:pt idx="3">
                  <c:v>0.20611764705882399</c:v>
                </c:pt>
              </c:numCache>
            </c:numRef>
          </c:val>
          <c:extLst>
            <c:ext xmlns:c16="http://schemas.microsoft.com/office/drawing/2014/chart" uri="{C3380CC4-5D6E-409C-BE32-E72D297353CC}">
              <c16:uniqueId val="{00000005-81FF-4F1F-B265-5E7B5905AE22}"/>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'Emissions - Annual'!$C$3</c:f>
              <c:strCache>
                <c:ptCount val="1"/>
                <c:pt idx="0">
                  <c:v>Sum of CO2 megatons</c:v>
                </c:pt>
              </c:strCache>
            </c:strRef>
          </c:tx>
          <c:spPr>
            <a:solidFill>
              <a:schemeClr val="accent1"/>
            </a:solidFill>
            <a:ln>
              <a:noFill/>
            </a:ln>
            <a:effectLst/>
          </c:spPr>
          <c:invertIfNegative val="0"/>
          <c:cat>
            <c:multiLvlStrRef>
              <c:f>'Emissions - Annual'!$B$4:$B$36</c:f>
              <c:multiLvlStrCache>
                <c:ptCount val="21"/>
                <c:lvl>
                  <c:pt idx="0">
                    <c:v>GNR_ST_COAL_BP_E-35</c:v>
                  </c:pt>
                  <c:pt idx="1">
                    <c:v>GNR_ST_COAL_EXT_E-47</c:v>
                  </c:pt>
                  <c:pt idx="2">
                    <c:v>GNR_ST_COAL_EXT_E-43</c:v>
                  </c:pt>
                  <c:pt idx="3">
                    <c:v>GNR_BO_COAL_E-91</c:v>
                  </c:pt>
                  <c:pt idx="4">
                    <c:v>GNR_ST_COAL_EXT_E-42</c:v>
                  </c:pt>
                  <c:pt idx="5">
                    <c:v>GNR_ST_COAL_BP_E-38</c:v>
                  </c:pt>
                  <c:pt idx="6">
                    <c:v>GNR_ST_COAL_CND_E-44</c:v>
                  </c:pt>
                  <c:pt idx="7">
                    <c:v>GNR_ST_COAL_CND_E-45</c:v>
                  </c:pt>
                  <c:pt idx="8">
                    <c:v>GNR_ST_COAL_CND_E-46</c:v>
                  </c:pt>
                  <c:pt idx="9">
                    <c:v>GNR_ST_LIGN_BP_E-33</c:v>
                  </c:pt>
                  <c:pt idx="10">
                    <c:v>GNR_ST_LIGN_BP_E-37</c:v>
                  </c:pt>
                  <c:pt idx="11">
                    <c:v>GNR_ST_LIGN_BP_E-39</c:v>
                  </c:pt>
                  <c:pt idx="12">
                    <c:v>GNR_ST_LIGN_CND_E-32</c:v>
                  </c:pt>
                  <c:pt idx="13">
                    <c:v>GNR_ST_LIGN_CND_E-41</c:v>
                  </c:pt>
                  <c:pt idx="14">
                    <c:v>GNR_ST_LIGN_CND_E-43</c:v>
                  </c:pt>
                  <c:pt idx="15">
                    <c:v>GEXT_COAL_LINK</c:v>
                  </c:pt>
                  <c:pt idx="16">
                    <c:v>GBPR_COAL_SE3</c:v>
                  </c:pt>
                  <c:pt idx="17">
                    <c:v>GBPR_COAL_VARTAN</c:v>
                  </c:pt>
                  <c:pt idx="18">
                    <c:v>GBPR_PEAT_38</c:v>
                  </c:pt>
                  <c:pt idx="19">
                    <c:v>GHOB_PEAT</c:v>
                  </c:pt>
                  <c:pt idx="20">
                    <c:v>GEXT_PEAT</c:v>
                  </c:pt>
                </c:lvl>
                <c:lvl>
                  <c:pt idx="0">
                    <c:v>COAL</c:v>
                  </c:pt>
                  <c:pt idx="6">
                    <c:v>COAL</c:v>
                  </c:pt>
                  <c:pt idx="9">
                    <c:v>LIGNITE</c:v>
                  </c:pt>
                  <c:pt idx="15">
                    <c:v>COAL</c:v>
                  </c:pt>
                  <c:pt idx="18">
                    <c:v>PEAT</c:v>
                  </c:pt>
                </c:lvl>
                <c:lvl>
                  <c:pt idx="0">
                    <c:v>DENMARK</c:v>
                  </c:pt>
                  <c:pt idx="6">
                    <c:v>GERMANY</c:v>
                  </c:pt>
                  <c:pt idx="15">
                    <c:v>SWEDEN</c:v>
                  </c:pt>
                </c:lvl>
                <c:lvl>
                  <c:pt idx="0">
                    <c:v>2016</c:v>
                  </c:pt>
                </c:lvl>
                <c:lvl>
                  <c:pt idx="0">
                    <c:v>2016</c:v>
                  </c:pt>
                </c:lvl>
                <c:lvl>
                  <c:pt idx="0">
                    <c:v>BASE</c:v>
                  </c:pt>
                </c:lvl>
              </c:multiLvlStrCache>
            </c:multiLvlStrRef>
          </c:cat>
          <c:val>
            <c:numRef>
              <c:f>'Emissions - Annual'!$C$4:$C$36</c:f>
              <c:numCache>
                <c:formatCode>General</c:formatCode>
                <c:ptCount val="21"/>
                <c:pt idx="0">
                  <c:v>0.63075604114285599</c:v>
                </c:pt>
                <c:pt idx="1">
                  <c:v>2.44377160851064</c:v>
                </c:pt>
                <c:pt idx="2">
                  <c:v>2.3205041956799999</c:v>
                </c:pt>
                <c:pt idx="3">
                  <c:v>3.2783578021978003E-2</c:v>
                </c:pt>
                <c:pt idx="4">
                  <c:v>3.5515542857142899</c:v>
                </c:pt>
                <c:pt idx="5">
                  <c:v>0.95789356010526305</c:v>
                </c:pt>
                <c:pt idx="6">
                  <c:v>3.5731864799999999</c:v>
                </c:pt>
                <c:pt idx="7">
                  <c:v>22.865380032000001</c:v>
                </c:pt>
                <c:pt idx="8">
                  <c:v>1.3001007526408399</c:v>
                </c:pt>
                <c:pt idx="9">
                  <c:v>8.3503648800000008</c:v>
                </c:pt>
                <c:pt idx="10">
                  <c:v>31.122824703567598</c:v>
                </c:pt>
                <c:pt idx="11">
                  <c:v>83.740818926769194</c:v>
                </c:pt>
                <c:pt idx="12">
                  <c:v>49.697079795000001</c:v>
                </c:pt>
                <c:pt idx="13">
                  <c:v>34.438311921951197</c:v>
                </c:pt>
                <c:pt idx="14">
                  <c:v>5.2147342883720897</c:v>
                </c:pt>
                <c:pt idx="15">
                  <c:v>8.8619010387996799E-2</c:v>
                </c:pt>
                <c:pt idx="16">
                  <c:v>0.17037153239567701</c:v>
                </c:pt>
                <c:pt idx="17">
                  <c:v>0.43198791507821599</c:v>
                </c:pt>
                <c:pt idx="18">
                  <c:v>0.1921392719092305</c:v>
                </c:pt>
                <c:pt idx="19">
                  <c:v>0.1167082327308897</c:v>
                </c:pt>
                <c:pt idx="20">
                  <c:v>0.55164792216035197</c:v>
                </c:pt>
              </c:numCache>
            </c:numRef>
          </c:val>
          <c:extLst>
            <c:ext xmlns:c16="http://schemas.microsoft.com/office/drawing/2014/chart" uri="{C3380CC4-5D6E-409C-BE32-E72D297353CC}">
              <c16:uniqueId val="{00000000-6BA7-479D-A0CB-94DBAADC6467}"/>
            </c:ext>
          </c:extLst>
        </c:ser>
        <c:ser>
          <c:idx val="1"/>
          <c:order val="1"/>
          <c:tx>
            <c:strRef>
              <c:f>'Emissions - Annual'!$D$3</c:f>
              <c:strCache>
                <c:ptCount val="1"/>
                <c:pt idx="0">
                  <c:v>Sum of SO2 kilotons</c:v>
                </c:pt>
              </c:strCache>
            </c:strRef>
          </c:tx>
          <c:spPr>
            <a:solidFill>
              <a:schemeClr val="accent2"/>
            </a:solidFill>
            <a:ln>
              <a:noFill/>
            </a:ln>
            <a:effectLst/>
          </c:spPr>
          <c:invertIfNegative val="0"/>
          <c:cat>
            <c:multiLvlStrRef>
              <c:f>'Emissions - Annual'!$B$4:$B$36</c:f>
              <c:multiLvlStrCache>
                <c:ptCount val="21"/>
                <c:lvl>
                  <c:pt idx="0">
                    <c:v>GNR_ST_COAL_BP_E-35</c:v>
                  </c:pt>
                  <c:pt idx="1">
                    <c:v>GNR_ST_COAL_EXT_E-47</c:v>
                  </c:pt>
                  <c:pt idx="2">
                    <c:v>GNR_ST_COAL_EXT_E-43</c:v>
                  </c:pt>
                  <c:pt idx="3">
                    <c:v>GNR_BO_COAL_E-91</c:v>
                  </c:pt>
                  <c:pt idx="4">
                    <c:v>GNR_ST_COAL_EXT_E-42</c:v>
                  </c:pt>
                  <c:pt idx="5">
                    <c:v>GNR_ST_COAL_BP_E-38</c:v>
                  </c:pt>
                  <c:pt idx="6">
                    <c:v>GNR_ST_COAL_CND_E-44</c:v>
                  </c:pt>
                  <c:pt idx="7">
                    <c:v>GNR_ST_COAL_CND_E-45</c:v>
                  </c:pt>
                  <c:pt idx="8">
                    <c:v>GNR_ST_COAL_CND_E-46</c:v>
                  </c:pt>
                  <c:pt idx="9">
                    <c:v>GNR_ST_LIGN_BP_E-33</c:v>
                  </c:pt>
                  <c:pt idx="10">
                    <c:v>GNR_ST_LIGN_BP_E-37</c:v>
                  </c:pt>
                  <c:pt idx="11">
                    <c:v>GNR_ST_LIGN_BP_E-39</c:v>
                  </c:pt>
                  <c:pt idx="12">
                    <c:v>GNR_ST_LIGN_CND_E-32</c:v>
                  </c:pt>
                  <c:pt idx="13">
                    <c:v>GNR_ST_LIGN_CND_E-41</c:v>
                  </c:pt>
                  <c:pt idx="14">
                    <c:v>GNR_ST_LIGN_CND_E-43</c:v>
                  </c:pt>
                  <c:pt idx="15">
                    <c:v>GEXT_COAL_LINK</c:v>
                  </c:pt>
                  <c:pt idx="16">
                    <c:v>GBPR_COAL_SE3</c:v>
                  </c:pt>
                  <c:pt idx="17">
                    <c:v>GBPR_COAL_VARTAN</c:v>
                  </c:pt>
                  <c:pt idx="18">
                    <c:v>GBPR_PEAT_38</c:v>
                  </c:pt>
                  <c:pt idx="19">
                    <c:v>GHOB_PEAT</c:v>
                  </c:pt>
                  <c:pt idx="20">
                    <c:v>GEXT_PEAT</c:v>
                  </c:pt>
                </c:lvl>
                <c:lvl>
                  <c:pt idx="0">
                    <c:v>COAL</c:v>
                  </c:pt>
                  <c:pt idx="6">
                    <c:v>COAL</c:v>
                  </c:pt>
                  <c:pt idx="9">
                    <c:v>LIGNITE</c:v>
                  </c:pt>
                  <c:pt idx="15">
                    <c:v>COAL</c:v>
                  </c:pt>
                  <c:pt idx="18">
                    <c:v>PEAT</c:v>
                  </c:pt>
                </c:lvl>
                <c:lvl>
                  <c:pt idx="0">
                    <c:v>DENMARK</c:v>
                  </c:pt>
                  <c:pt idx="6">
                    <c:v>GERMANY</c:v>
                  </c:pt>
                  <c:pt idx="15">
                    <c:v>SWEDEN</c:v>
                  </c:pt>
                </c:lvl>
                <c:lvl>
                  <c:pt idx="0">
                    <c:v>2016</c:v>
                  </c:pt>
                </c:lvl>
                <c:lvl>
                  <c:pt idx="0">
                    <c:v>2016</c:v>
                  </c:pt>
                </c:lvl>
                <c:lvl>
                  <c:pt idx="0">
                    <c:v>BASE</c:v>
                  </c:pt>
                </c:lvl>
              </c:multiLvlStrCache>
            </c:multiLvlStrRef>
          </c:cat>
          <c:val>
            <c:numRef>
              <c:f>'Emissions - Annual'!$D$4:$D$36</c:f>
              <c:numCache>
                <c:formatCode>General</c:formatCode>
                <c:ptCount val="21"/>
                <c:pt idx="0">
                  <c:v>4.76067456</c:v>
                </c:pt>
                <c:pt idx="1">
                  <c:v>-1770.6752762553199</c:v>
                </c:pt>
                <c:pt idx="2">
                  <c:v>-1681.35982651892</c:v>
                </c:pt>
                <c:pt idx="3">
                  <c:v>0.24743630769230801</c:v>
                </c:pt>
                <c:pt idx="4">
                  <c:v>-2573.3375999999998</c:v>
                </c:pt>
                <c:pt idx="5">
                  <c:v>7.2297674621052597</c:v>
                </c:pt>
                <c:pt idx="6">
                  <c:v>26.9688704727273</c:v>
                </c:pt>
                <c:pt idx="7">
                  <c:v>172.57802688000001</c:v>
                </c:pt>
                <c:pt idx="8">
                  <c:v>9.8125997609466804</c:v>
                </c:pt>
                <c:pt idx="9">
                  <c:v>107.32962240000001</c:v>
                </c:pt>
                <c:pt idx="10">
                  <c:v>400.03054614486501</c:v>
                </c:pt>
                <c:pt idx="11">
                  <c:v>1076.3446393107699</c:v>
                </c:pt>
                <c:pt idx="12">
                  <c:v>638.77074660000005</c:v>
                </c:pt>
                <c:pt idx="13">
                  <c:v>442.64544936585298</c:v>
                </c:pt>
                <c:pt idx="14">
                  <c:v>67.026467720930199</c:v>
                </c:pt>
                <c:pt idx="15">
                  <c:v>0.66885806994746</c:v>
                </c:pt>
                <c:pt idx="16">
                  <c:v>1.2858908470455901</c:v>
                </c:pt>
                <c:pt idx="17">
                  <c:v>3.2604584710977398</c:v>
                </c:pt>
                <c:pt idx="18">
                  <c:v>0.43096659119827296</c:v>
                </c:pt>
                <c:pt idx="19">
                  <c:v>0.26177547528423872</c:v>
                </c:pt>
                <c:pt idx="20">
                  <c:v>1.2373411338176099</c:v>
                </c:pt>
              </c:numCache>
            </c:numRef>
          </c:val>
          <c:extLst>
            <c:ext xmlns:c16="http://schemas.microsoft.com/office/drawing/2014/chart" uri="{C3380CC4-5D6E-409C-BE32-E72D297353CC}">
              <c16:uniqueId val="{00000001-6BA7-479D-A0CB-94DBAADC6467}"/>
            </c:ext>
          </c:extLst>
        </c:ser>
        <c:ser>
          <c:idx val="2"/>
          <c:order val="2"/>
          <c:tx>
            <c:strRef>
              <c:f>'Emissions - Annual'!$E$3</c:f>
              <c:strCache>
                <c:ptCount val="1"/>
                <c:pt idx="0">
                  <c:v>Sum of N2O kilotons</c:v>
                </c:pt>
              </c:strCache>
            </c:strRef>
          </c:tx>
          <c:spPr>
            <a:solidFill>
              <a:schemeClr val="accent3"/>
            </a:solidFill>
            <a:ln>
              <a:noFill/>
            </a:ln>
            <a:effectLst/>
          </c:spPr>
          <c:invertIfNegative val="0"/>
          <c:cat>
            <c:multiLvlStrRef>
              <c:f>'Emissions - Annual'!$B$4:$B$36</c:f>
              <c:multiLvlStrCache>
                <c:ptCount val="21"/>
                <c:lvl>
                  <c:pt idx="0">
                    <c:v>GNR_ST_COAL_BP_E-35</c:v>
                  </c:pt>
                  <c:pt idx="1">
                    <c:v>GNR_ST_COAL_EXT_E-47</c:v>
                  </c:pt>
                  <c:pt idx="2">
                    <c:v>GNR_ST_COAL_EXT_E-43</c:v>
                  </c:pt>
                  <c:pt idx="3">
                    <c:v>GNR_BO_COAL_E-91</c:v>
                  </c:pt>
                  <c:pt idx="4">
                    <c:v>GNR_ST_COAL_EXT_E-42</c:v>
                  </c:pt>
                  <c:pt idx="5">
                    <c:v>GNR_ST_COAL_BP_E-38</c:v>
                  </c:pt>
                  <c:pt idx="6">
                    <c:v>GNR_ST_COAL_CND_E-44</c:v>
                  </c:pt>
                  <c:pt idx="7">
                    <c:v>GNR_ST_COAL_CND_E-45</c:v>
                  </c:pt>
                  <c:pt idx="8">
                    <c:v>GNR_ST_COAL_CND_E-46</c:v>
                  </c:pt>
                  <c:pt idx="9">
                    <c:v>GNR_ST_LIGN_BP_E-33</c:v>
                  </c:pt>
                  <c:pt idx="10">
                    <c:v>GNR_ST_LIGN_BP_E-37</c:v>
                  </c:pt>
                  <c:pt idx="11">
                    <c:v>GNR_ST_LIGN_BP_E-39</c:v>
                  </c:pt>
                  <c:pt idx="12">
                    <c:v>GNR_ST_LIGN_CND_E-32</c:v>
                  </c:pt>
                  <c:pt idx="13">
                    <c:v>GNR_ST_LIGN_CND_E-41</c:v>
                  </c:pt>
                  <c:pt idx="14">
                    <c:v>GNR_ST_LIGN_CND_E-43</c:v>
                  </c:pt>
                  <c:pt idx="15">
                    <c:v>GEXT_COAL_LINK</c:v>
                  </c:pt>
                  <c:pt idx="16">
                    <c:v>GBPR_COAL_SE3</c:v>
                  </c:pt>
                  <c:pt idx="17">
                    <c:v>GBPR_COAL_VARTAN</c:v>
                  </c:pt>
                  <c:pt idx="18">
                    <c:v>GBPR_PEAT_38</c:v>
                  </c:pt>
                  <c:pt idx="19">
                    <c:v>GHOB_PEAT</c:v>
                  </c:pt>
                  <c:pt idx="20">
                    <c:v>GEXT_PEAT</c:v>
                  </c:pt>
                </c:lvl>
                <c:lvl>
                  <c:pt idx="0">
                    <c:v>COAL</c:v>
                  </c:pt>
                  <c:pt idx="6">
                    <c:v>COAL</c:v>
                  </c:pt>
                  <c:pt idx="9">
                    <c:v>LIGNITE</c:v>
                  </c:pt>
                  <c:pt idx="15">
                    <c:v>COAL</c:v>
                  </c:pt>
                  <c:pt idx="18">
                    <c:v>PEAT</c:v>
                  </c:pt>
                </c:lvl>
                <c:lvl>
                  <c:pt idx="0">
                    <c:v>DENMARK</c:v>
                  </c:pt>
                  <c:pt idx="6">
                    <c:v>GERMANY</c:v>
                  </c:pt>
                  <c:pt idx="15">
                    <c:v>SWEDEN</c:v>
                  </c:pt>
                </c:lvl>
                <c:lvl>
                  <c:pt idx="0">
                    <c:v>2016</c:v>
                  </c:pt>
                </c:lvl>
                <c:lvl>
                  <c:pt idx="0">
                    <c:v>2016</c:v>
                  </c:pt>
                </c:lvl>
                <c:lvl>
                  <c:pt idx="0">
                    <c:v>BASE</c:v>
                  </c:pt>
                </c:lvl>
              </c:multiLvlStrCache>
            </c:multiLvlStrRef>
          </c:cat>
          <c:val>
            <c:numRef>
              <c:f>'Emissions - Annual'!$E$4:$E$36</c:f>
              <c:numCache>
                <c:formatCode>General</c:formatCode>
                <c:ptCount val="21"/>
                <c:pt idx="0">
                  <c:v>2.0002834285714199E-2</c:v>
                </c:pt>
                <c:pt idx="1">
                  <c:v>7.7498042553191496E-2</c:v>
                </c:pt>
                <c:pt idx="2">
                  <c:v>7.3588927981395394E-2</c:v>
                </c:pt>
                <c:pt idx="3">
                  <c:v>1.03964835164835E-3</c:v>
                </c:pt>
                <c:pt idx="4">
                  <c:v>0.11262857142857099</c:v>
                </c:pt>
                <c:pt idx="5">
                  <c:v>3.0377174210526301E-2</c:v>
                </c:pt>
                <c:pt idx="6">
                  <c:v>0.11331458181818201</c:v>
                </c:pt>
                <c:pt idx="7">
                  <c:v>0.72511775999999994</c:v>
                </c:pt>
                <c:pt idx="8">
                  <c:v>4.1229410760280201E-2</c:v>
                </c:pt>
                <c:pt idx="9">
                  <c:v>0.2254824</c:v>
                </c:pt>
                <c:pt idx="10">
                  <c:v>0.84040030702702795</c:v>
                </c:pt>
                <c:pt idx="11">
                  <c:v>2.26122823384615</c:v>
                </c:pt>
                <c:pt idx="12">
                  <c:v>1.3419553500000001</c:v>
                </c:pt>
                <c:pt idx="13">
                  <c:v>0.92992741463414696</c:v>
                </c:pt>
                <c:pt idx="14">
                  <c:v>0.14081190697674401</c:v>
                </c:pt>
                <c:pt idx="15">
                  <c:v>2.81032802498933E-3</c:v>
                </c:pt>
                <c:pt idx="16">
                  <c:v>5.4029027186789699E-3</c:v>
                </c:pt>
                <c:pt idx="17">
                  <c:v>1.36994053407468E-2</c:v>
                </c:pt>
                <c:pt idx="18">
                  <c:v>5.3870823899784199E-3</c:v>
                </c:pt>
                <c:pt idx="19">
                  <c:v>3.2721934410529802E-3</c:v>
                </c:pt>
                <c:pt idx="20">
                  <c:v>1.54667641727201E-2</c:v>
                </c:pt>
              </c:numCache>
            </c:numRef>
          </c:val>
          <c:extLst>
            <c:ext xmlns:c16="http://schemas.microsoft.com/office/drawing/2014/chart" uri="{C3380CC4-5D6E-409C-BE32-E72D297353CC}">
              <c16:uniqueId val="{00000002-6BA7-479D-A0CB-94DBAADC6467}"/>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 STO - Time'!$E$5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'HE STO - Time'!$C$6:$D$30</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multiLvlStrCache>
            </c:multiLvlStrRef>
          </c:cat>
          <c:val>
            <c:numRef>
              <c:f>'HE STO - Time'!$E$6:$E$30</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D811-4CDC-A13F-8250ED7B7CC8}"/>
            </c:ext>
          </c:extLst>
        </c:ser>
        <c:dLbls>
          <c:showLegendKey val="0"/>
          <c:showVal val="0"/>
          <c:showCatName val="0"/>
          <c:showSerName val="0"/>
          <c:showPercent val="0"/>
          <c:showBubbleSize val="0"/>
        </c:dLbls>
        <c:marker val="1"/>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1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5"/>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'HY STO - Time'!$D$4:$D$5</c:f>
              <c:strCache>
                <c:ptCount val="1"/>
                <c:pt idx="0">
                  <c:v>GERMANY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'HY STO - Time'!$C$6:$C$7</c:f>
              <c:strCache>
                <c:ptCount val="1"/>
                <c:pt idx="0">
                  <c:v>S12</c:v>
                </c:pt>
              </c:strCache>
            </c:strRef>
          </c:cat>
          <c:val>
            <c:numRef>
              <c:f>'HY STO - Time'!$D$6:$D$7</c:f>
              <c:numCache>
                <c:formatCode>General</c:formatCode>
                <c:ptCount val="1"/>
                <c:pt idx="0">
                  <c:v>0</c:v>
                </c:pt>
              </c:numCache>
            </c:numRef>
          </c:val>
          <c:smooth val="0"/>
          <c:extLst>
            <c:ext xmlns:c16="http://schemas.microsoft.com/office/drawing/2014/chart" uri="{C3380CC4-5D6E-409C-BE32-E72D297353CC}">
              <c16:uniqueId val="{00000000-791D-4904-8726-1D04F7729FE0}"/>
            </c:ext>
          </c:extLst>
        </c:ser>
        <c:ser>
          <c:idx val="1"/>
          <c:order val="1"/>
          <c:tx>
            <c:strRef>
              <c:f>'HY STO - Time'!$E$4:$E$5</c:f>
              <c:strCache>
                <c:ptCount val="1"/>
                <c:pt idx="0">
                  <c:v>SWEDEN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'HY STO - Time'!$C$6:$C$7</c:f>
              <c:strCache>
                <c:ptCount val="1"/>
                <c:pt idx="0">
                  <c:v>S12</c:v>
                </c:pt>
              </c:strCache>
            </c:strRef>
          </c:cat>
          <c:val>
            <c:numRef>
              <c:f>'HY STO - Time'!$E$6:$E$7</c:f>
              <c:numCache>
                <c:formatCode>General</c:formatCode>
                <c:ptCount val="1"/>
                <c:pt idx="0">
                  <c:v>0</c:v>
                </c:pt>
              </c:numCache>
            </c:numRef>
          </c:val>
          <c:smooth val="0"/>
          <c:extLst>
            <c:ext xmlns:c16="http://schemas.microsoft.com/office/drawing/2014/chart" uri="{C3380CC4-5D6E-409C-BE32-E72D297353CC}">
              <c16:uniqueId val="{00000001-791D-4904-8726-1D04F7729FE0}"/>
            </c:ext>
          </c:extLst>
        </c:ser>
        <c:ser>
          <c:idx val="2"/>
          <c:order val="2"/>
          <c:tx>
            <c:strRef>
              <c:f>'HY STO - Time'!$F$4:$F$5</c:f>
              <c:strCache>
                <c:ptCount val="1"/>
                <c:pt idx="0">
                  <c:v>NORWAY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'HY STO - Time'!$C$6:$C$7</c:f>
              <c:strCache>
                <c:ptCount val="1"/>
                <c:pt idx="0">
                  <c:v>S12</c:v>
                </c:pt>
              </c:strCache>
            </c:strRef>
          </c:cat>
          <c:val>
            <c:numRef>
              <c:f>'HY STO - Time'!$F$6:$F$7</c:f>
              <c:numCache>
                <c:formatCode>General</c:formatCode>
                <c:ptCount val="1"/>
                <c:pt idx="0">
                  <c:v>0</c:v>
                </c:pt>
              </c:numCache>
            </c:numRef>
          </c:val>
          <c:smooth val="0"/>
          <c:extLst>
            <c:ext xmlns:c16="http://schemas.microsoft.com/office/drawing/2014/chart" uri="{C3380CC4-5D6E-409C-BE32-E72D297353CC}">
              <c16:uniqueId val="{00000002-791D-4904-8726-1D04F7729FE0}"/>
            </c:ext>
          </c:extLst>
        </c:ser>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ln w="28575" cap="rnd">
            <a:solidFill>
              <a:schemeClr val="accent1"/>
            </a:solidFill>
            <a:round/>
          </a:ln>
          <a:effectLst/>
        </c:spPr>
        <c:marker>
          <c:symbol val="none"/>
        </c:marker>
      </c:pivotFmt>
    </c:pivotFmts>
    <c:plotArea>
      <c:layout/>
      <c:lineChart>
        <c:grouping val="standard"/>
        <c:varyColors val="0"/>
        <c:ser>
          <c:idx val="0"/>
          <c:order val="0"/>
          <c:tx>
            <c:strRef>
              <c:f>'EL DEM - Time'!$E$3:$E$4</c:f>
              <c:strCache>
                <c:ptCount val="1"/>
                <c:pt idx="0">
                  <c:v>DENMARK</c:v>
                </c:pt>
              </c:strCache>
            </c:strRef>
          </c:tx>
          <c:spPr>
            <a:ln w="28575" cap="rnd">
              <a:solidFill>
                <a:schemeClr val="accent1"/>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lvl>
                  <c:pt idx="0">
                    <c:v>BASE</c:v>
                  </c:pt>
                </c:lvl>
              </c:multiLvlStrCache>
            </c:multiLvlStrRef>
          </c:cat>
          <c:val>
            <c:numRef>
              <c:f>'EL DEM - Time'!$E$5:$E$29</c:f>
              <c:numCache>
                <c:formatCode>General</c:formatCode>
                <c:ptCount val="24"/>
                <c:pt idx="0">
                  <c:v>5078.5503382831394</c:v>
                </c:pt>
                <c:pt idx="1">
                  <c:v>4919.9305576820207</c:v>
                </c:pt>
                <c:pt idx="2">
                  <c:v>4875.5886225650402</c:v>
                </c:pt>
                <c:pt idx="3">
                  <c:v>4952.4844928502243</c:v>
                </c:pt>
                <c:pt idx="4">
                  <c:v>5201.3857029965402</c:v>
                </c:pt>
                <c:pt idx="5">
                  <c:v>5813.7252908175406</c:v>
                </c:pt>
                <c:pt idx="6">
                  <c:v>6772.8479251148801</c:v>
                </c:pt>
                <c:pt idx="7">
                  <c:v>8002.9052178511602</c:v>
                </c:pt>
                <c:pt idx="8">
                  <c:v>8361.1069268193387</c:v>
                </c:pt>
                <c:pt idx="9">
                  <c:v>8386.6969729476405</c:v>
                </c:pt>
                <c:pt idx="10">
                  <c:v>8419.105530606219</c:v>
                </c:pt>
                <c:pt idx="11">
                  <c:v>8337.2323136587602</c:v>
                </c:pt>
                <c:pt idx="12">
                  <c:v>8118.77669352468</c:v>
                </c:pt>
                <c:pt idx="13">
                  <c:v>8062.576034265081</c:v>
                </c:pt>
                <c:pt idx="14">
                  <c:v>7874.9353416001795</c:v>
                </c:pt>
                <c:pt idx="15">
                  <c:v>7530.2488529141392</c:v>
                </c:pt>
                <c:pt idx="16">
                  <c:v>7583.1208034072206</c:v>
                </c:pt>
                <c:pt idx="17">
                  <c:v>8096.5939386005593</c:v>
                </c:pt>
                <c:pt idx="18">
                  <c:v>8224.3595005136794</c:v>
                </c:pt>
                <c:pt idx="19">
                  <c:v>8197.0540214175999</c:v>
                </c:pt>
                <c:pt idx="20">
                  <c:v>7704.1110741307803</c:v>
                </c:pt>
                <c:pt idx="21">
                  <c:v>7067.7475665176808</c:v>
                </c:pt>
                <c:pt idx="22">
                  <c:v>6383.6033996083788</c:v>
                </c:pt>
                <c:pt idx="23">
                  <c:v>5743.84438815674</c:v>
                </c:pt>
              </c:numCache>
            </c:numRef>
          </c:val>
          <c:smooth val="0"/>
          <c:extLst>
            <c:ext xmlns:c16="http://schemas.microsoft.com/office/drawing/2014/chart" uri="{C3380CC4-5D6E-409C-BE32-E72D297353CC}">
              <c16:uniqueId val="{00000000-A847-44AA-82B9-3A455AABD4F5}"/>
            </c:ext>
          </c:extLst>
        </c:ser>
        <c:ser>
          <c:idx val="1"/>
          <c:order val="1"/>
          <c:tx>
            <c:strRef>
              <c:f>'EL DEM - Time'!$F$3:$F$4</c:f>
              <c:strCache>
                <c:ptCount val="1"/>
                <c:pt idx="0">
                  <c:v>GERMANY</c:v>
                </c:pt>
              </c:strCache>
            </c:strRef>
          </c:tx>
          <c:spPr>
            <a:ln w="28575" cap="rnd">
              <a:solidFill>
                <a:schemeClr val="accent2"/>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lvl>
                  <c:pt idx="0">
                    <c:v>BASE</c:v>
                  </c:pt>
                </c:lvl>
              </c:multiLvlStrCache>
            </c:multiLvlStrRef>
          </c:cat>
          <c:val>
            <c:numRef>
              <c:f>'EL DEM - Time'!$F$5:$F$29</c:f>
              <c:numCache>
                <c:formatCode>General</c:formatCode>
                <c:ptCount val="24"/>
                <c:pt idx="0">
                  <c:v>86784.18500048267</c:v>
                </c:pt>
                <c:pt idx="1">
                  <c:v>82606.763442089825</c:v>
                </c:pt>
                <c:pt idx="2">
                  <c:v>81907.613390476021</c:v>
                </c:pt>
                <c:pt idx="3">
                  <c:v>84103.381521325733</c:v>
                </c:pt>
                <c:pt idx="4">
                  <c:v>89132.892205123018</c:v>
                </c:pt>
                <c:pt idx="5">
                  <c:v>98049.240207111201</c:v>
                </c:pt>
                <c:pt idx="6">
                  <c:v>115053.88036870747</c:v>
                </c:pt>
                <c:pt idx="7">
                  <c:v>127972.86241618497</c:v>
                </c:pt>
                <c:pt idx="8">
                  <c:v>133454.63578961973</c:v>
                </c:pt>
                <c:pt idx="9">
                  <c:v>134981.84168361378</c:v>
                </c:pt>
                <c:pt idx="10">
                  <c:v>138350.87099482826</c:v>
                </c:pt>
                <c:pt idx="11">
                  <c:v>140218.91253898409</c:v>
                </c:pt>
                <c:pt idx="12">
                  <c:v>138765.99133797374</c:v>
                </c:pt>
                <c:pt idx="13">
                  <c:v>137684.49360188365</c:v>
                </c:pt>
                <c:pt idx="14">
                  <c:v>135886.3670628893</c:v>
                </c:pt>
                <c:pt idx="15">
                  <c:v>133559.50829736187</c:v>
                </c:pt>
                <c:pt idx="16">
                  <c:v>129672.67097917099</c:v>
                </c:pt>
                <c:pt idx="17">
                  <c:v>129349.31408029959</c:v>
                </c:pt>
                <c:pt idx="18">
                  <c:v>134879.15401978302</c:v>
                </c:pt>
                <c:pt idx="19">
                  <c:v>141394.35856325983</c:v>
                </c:pt>
                <c:pt idx="20">
                  <c:v>133417.49344312772</c:v>
                </c:pt>
                <c:pt idx="21">
                  <c:v>124824.50234001105</c:v>
                </c:pt>
                <c:pt idx="22">
                  <c:v>118075.51949802585</c:v>
                </c:pt>
                <c:pt idx="23">
                  <c:v>107133.82119026889</c:v>
                </c:pt>
              </c:numCache>
            </c:numRef>
          </c:val>
          <c:smooth val="0"/>
          <c:extLst>
            <c:ext xmlns:c16="http://schemas.microsoft.com/office/drawing/2014/chart" uri="{C3380CC4-5D6E-409C-BE32-E72D297353CC}">
              <c16:uniqueId val="{00000000-0D8E-4FA7-9030-249117F0A5D4}"/>
            </c:ext>
          </c:extLst>
        </c:ser>
        <c:ser>
          <c:idx val="2"/>
          <c:order val="2"/>
          <c:tx>
            <c:strRef>
              <c:f>'EL DEM - Time'!$G$3:$G$4</c:f>
              <c:strCache>
                <c:ptCount val="1"/>
                <c:pt idx="0">
                  <c:v>NORWAY</c:v>
                </c:pt>
              </c:strCache>
            </c:strRef>
          </c:tx>
          <c:spPr>
            <a:ln w="28575" cap="rnd">
              <a:solidFill>
                <a:schemeClr val="accent3"/>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lvl>
                  <c:pt idx="0">
                    <c:v>BASE</c:v>
                  </c:pt>
                </c:lvl>
              </c:multiLvlStrCache>
            </c:multiLvlStrRef>
          </c:cat>
          <c:val>
            <c:numRef>
              <c:f>'EL DEM - Time'!$G$5:$G$29</c:f>
              <c:numCache>
                <c:formatCode>General</c:formatCode>
                <c:ptCount val="24"/>
                <c:pt idx="0">
                  <c:v>25166.014641125857</c:v>
                </c:pt>
                <c:pt idx="1">
                  <c:v>24538.749858426643</c:v>
                </c:pt>
                <c:pt idx="2">
                  <c:v>24488.599821662199</c:v>
                </c:pt>
                <c:pt idx="3">
                  <c:v>24852.364170004541</c:v>
                </c:pt>
                <c:pt idx="4">
                  <c:v>25159.141415575639</c:v>
                </c:pt>
                <c:pt idx="5">
                  <c:v>25942.788208819162</c:v>
                </c:pt>
                <c:pt idx="6">
                  <c:v>28601.348989614598</c:v>
                </c:pt>
                <c:pt idx="7">
                  <c:v>31585.520210518214</c:v>
                </c:pt>
                <c:pt idx="8">
                  <c:v>32129.665791412976</c:v>
                </c:pt>
                <c:pt idx="9">
                  <c:v>31469.404523154979</c:v>
                </c:pt>
                <c:pt idx="10">
                  <c:v>31038.565453603573</c:v>
                </c:pt>
                <c:pt idx="11">
                  <c:v>30300.66366101526</c:v>
                </c:pt>
                <c:pt idx="12">
                  <c:v>29259.480788338755</c:v>
                </c:pt>
                <c:pt idx="13">
                  <c:v>28863.570437976377</c:v>
                </c:pt>
                <c:pt idx="14">
                  <c:v>28662.308096177563</c:v>
                </c:pt>
                <c:pt idx="15">
                  <c:v>28729.586333376585</c:v>
                </c:pt>
                <c:pt idx="16">
                  <c:v>28905.121980081643</c:v>
                </c:pt>
                <c:pt idx="17">
                  <c:v>29116.981135362937</c:v>
                </c:pt>
                <c:pt idx="18">
                  <c:v>29996.97108023394</c:v>
                </c:pt>
                <c:pt idx="19">
                  <c:v>30767.926246019182</c:v>
                </c:pt>
                <c:pt idx="20">
                  <c:v>30514.398742581059</c:v>
                </c:pt>
                <c:pt idx="21">
                  <c:v>29544.452568482578</c:v>
                </c:pt>
                <c:pt idx="22">
                  <c:v>28256.094644277859</c:v>
                </c:pt>
                <c:pt idx="23">
                  <c:v>26426.801750103019</c:v>
                </c:pt>
              </c:numCache>
            </c:numRef>
          </c:val>
          <c:smooth val="0"/>
          <c:extLst>
            <c:ext xmlns:c16="http://schemas.microsoft.com/office/drawing/2014/chart" uri="{C3380CC4-5D6E-409C-BE32-E72D297353CC}">
              <c16:uniqueId val="{00000001-0D8E-4FA7-9030-249117F0A5D4}"/>
            </c:ext>
          </c:extLst>
        </c:ser>
        <c:ser>
          <c:idx val="3"/>
          <c:order val="3"/>
          <c:tx>
            <c:strRef>
              <c:f>'EL DEM - Time'!$H$3:$H$4</c:f>
              <c:strCache>
                <c:ptCount val="1"/>
                <c:pt idx="0">
                  <c:v>SWEDEN</c:v>
                </c:pt>
              </c:strCache>
            </c:strRef>
          </c:tx>
          <c:spPr>
            <a:ln w="28575" cap="rnd">
              <a:solidFill>
                <a:schemeClr val="accent4"/>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S12</c:v>
                  </c:pt>
                </c:lvl>
                <c:lvl>
                  <c:pt idx="0">
                    <c:v>BASE</c:v>
                  </c:pt>
                </c:lvl>
              </c:multiLvlStrCache>
            </c:multiLvlStrRef>
          </c:cat>
          <c:val>
            <c:numRef>
              <c:f>'EL DEM - Time'!$H$5:$H$29</c:f>
              <c:numCache>
                <c:formatCode>General</c:formatCode>
                <c:ptCount val="24"/>
                <c:pt idx="0">
                  <c:v>24593.591722451914</c:v>
                </c:pt>
                <c:pt idx="1">
                  <c:v>23843.927032018488</c:v>
                </c:pt>
                <c:pt idx="2">
                  <c:v>23767.37263698981</c:v>
                </c:pt>
                <c:pt idx="3">
                  <c:v>24098.092411434973</c:v>
                </c:pt>
                <c:pt idx="4">
                  <c:v>24431.138088607142</c:v>
                </c:pt>
                <c:pt idx="5">
                  <c:v>25575.510056264273</c:v>
                </c:pt>
                <c:pt idx="6">
                  <c:v>28568.54163854022</c:v>
                </c:pt>
                <c:pt idx="7">
                  <c:v>31924.368901141319</c:v>
                </c:pt>
                <c:pt idx="8">
                  <c:v>32499.9928079944</c:v>
                </c:pt>
                <c:pt idx="9">
                  <c:v>33002.808751475641</c:v>
                </c:pt>
                <c:pt idx="10">
                  <c:v>33064.40061754518</c:v>
                </c:pt>
                <c:pt idx="11">
                  <c:v>33167.8868279038</c:v>
                </c:pt>
                <c:pt idx="12">
                  <c:v>32399.592625323559</c:v>
                </c:pt>
                <c:pt idx="13">
                  <c:v>31966.675984895599</c:v>
                </c:pt>
                <c:pt idx="14">
                  <c:v>31752.278638630578</c:v>
                </c:pt>
                <c:pt idx="15">
                  <c:v>31302.933466552498</c:v>
                </c:pt>
                <c:pt idx="16">
                  <c:v>30628.797774441522</c:v>
                </c:pt>
                <c:pt idx="17">
                  <c:v>31399.653959770003</c:v>
                </c:pt>
                <c:pt idx="18">
                  <c:v>32695.432783212222</c:v>
                </c:pt>
                <c:pt idx="19">
                  <c:v>33375.617814599318</c:v>
                </c:pt>
                <c:pt idx="20">
                  <c:v>32301.312901800658</c:v>
                </c:pt>
                <c:pt idx="21">
                  <c:v>31023.215219732359</c:v>
                </c:pt>
                <c:pt idx="22">
                  <c:v>29004.278479710581</c:v>
                </c:pt>
                <c:pt idx="23">
                  <c:v>27309.159680881821</c:v>
                </c:pt>
              </c:numCache>
            </c:numRef>
          </c:val>
          <c:smooth val="0"/>
          <c:extLst>
            <c:ext xmlns:c16="http://schemas.microsoft.com/office/drawing/2014/chart" uri="{C3380CC4-5D6E-409C-BE32-E72D297353CC}">
              <c16:uniqueId val="{00000002-0D8E-4FA7-9030-249117F0A5D4}"/>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'EL DEM - Annual'!$D$4</c:f>
              <c:strCache>
                <c:ptCount val="1"/>
                <c:pt idx="0">
                  <c:v>Total</c:v>
                </c:pt>
              </c:strCache>
            </c:strRef>
          </c:tx>
          <c:spPr>
            <a:solidFill>
              <a:schemeClr val="accent1"/>
            </a:solidFill>
            <a:ln>
              <a:noFill/>
            </a:ln>
            <a:effectLst/>
          </c:spPr>
          <c:invertIfNegative val="0"/>
          <c:cat>
            <c:strRef>
              <c:f>'EL DEM - Annual'!$C$5:$C$9</c:f>
              <c:strCache>
                <c:ptCount val="4"/>
                <c:pt idx="0">
                  <c:v>DENMARK</c:v>
                </c:pt>
                <c:pt idx="1">
                  <c:v>GERMANY</c:v>
                </c:pt>
                <c:pt idx="2">
                  <c:v>NORWAY</c:v>
                </c:pt>
                <c:pt idx="3">
                  <c:v>SWEDEN</c:v>
                </c:pt>
              </c:strCache>
            </c:strRef>
          </c:cat>
          <c:val>
            <c:numRef>
              <c:f>'EL DEM - Annual'!$D$5:$D$9</c:f>
              <c:numCache>
                <c:formatCode>General</c:formatCode>
                <c:ptCount val="4"/>
                <c:pt idx="0">
                  <c:v>61.943613999999997</c:v>
                </c:pt>
                <c:pt idx="1">
                  <c:v>1050.2</c:v>
                </c:pt>
                <c:pt idx="2">
                  <c:v>249.77553</c:v>
                </c:pt>
                <c:pt idx="3">
                  <c:v>260.49925200000001</c:v>
                </c:pt>
              </c:numCache>
            </c:numRef>
          </c:val>
          <c:extLst>
            <c:ext xmlns:c16="http://schemas.microsoft.com/office/drawing/2014/chart" uri="{C3380CC4-5D6E-409C-BE32-E72D297353CC}">
              <c16:uniqueId val="{00000000-61C2-4C88-B3A0-5995242AC754}"/>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 Exo!PivotTable2</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bg1">
              <a:lumMod val="65000"/>
            </a:schemeClr>
          </a:solidFill>
          <a:ln>
            <a:noFill/>
          </a:ln>
          <a:effectLst/>
        </c:spPr>
        <c:marker>
          <c:symbol val="none"/>
        </c:marker>
      </c:pivotFmt>
      <c:pivotFmt>
        <c:idx val="17"/>
        <c:spPr>
          <a:solidFill>
            <a:srgbClr val="FFC000"/>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bg1">
              <a:lumMod val="65000"/>
            </a:schemeClr>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4">
              <a:lumMod val="50000"/>
            </a:schemeClr>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lumMod val="75000"/>
            </a:schemeClr>
          </a:solidFill>
          <a:ln>
            <a:noFill/>
          </a:ln>
          <a:effectLst/>
        </c:spPr>
        <c:marker>
          <c:symbol val="none"/>
        </c:marker>
      </c:pivotFmt>
      <c:pivotFmt>
        <c:idx val="30"/>
        <c:spPr>
          <a:solidFill>
            <a:schemeClr val="accent1">
              <a:lumMod val="40000"/>
              <a:lumOff val="60000"/>
            </a:schemeClr>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s>
    <c:plotArea>
      <c:layout/>
      <c:barChart>
        <c:barDir val="col"/>
        <c:grouping val="stacked"/>
        <c:varyColors val="0"/>
        <c:ser>
          <c:idx val="0"/>
          <c:order val="0"/>
          <c:tx>
            <c:strRef>
              <c:f>'EL GEN CAP Exo'!$C$4:$C$5</c:f>
              <c:strCache>
                <c:ptCount val="1"/>
                <c:pt idx="0">
                  <c:v>SUN</c:v>
                </c:pt>
              </c:strCache>
            </c:strRef>
          </c:tx>
          <c:spPr>
            <a:solidFill>
              <a:schemeClr val="accent1"/>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Exo'!$C$6:$C$39</c:f>
              <c:numCache>
                <c:formatCode>General</c:formatCode>
                <c:ptCount val="22"/>
                <c:pt idx="0">
                  <c:v>0.78287415599973897</c:v>
                </c:pt>
                <c:pt idx="1">
                  <c:v>0.78398835599973893</c:v>
                </c:pt>
                <c:pt idx="6">
                  <c:v>42.278529999999996</c:v>
                </c:pt>
                <c:pt idx="7">
                  <c:v>41.369479999999996</c:v>
                </c:pt>
                <c:pt idx="10">
                  <c:v>0.01</c:v>
                </c:pt>
                <c:pt idx="11">
                  <c:v>0.01</c:v>
                </c:pt>
                <c:pt idx="18">
                  <c:v>1.478</c:v>
                </c:pt>
                <c:pt idx="19">
                  <c:v>0.94899999999999995</c:v>
                </c:pt>
                <c:pt idx="20">
                  <c:v>23.3</c:v>
                </c:pt>
                <c:pt idx="21">
                  <c:v>8.4627999999999997</c:v>
                </c:pt>
              </c:numCache>
            </c:numRef>
          </c:val>
          <c:extLst>
            <c:ext xmlns:c16="http://schemas.microsoft.com/office/drawing/2014/chart" uri="{C3380CC4-5D6E-409C-BE32-E72D297353CC}">
              <c16:uniqueId val="{00000000-918A-436D-9023-CD4EFEB653BD}"/>
            </c:ext>
          </c:extLst>
        </c:ser>
        <c:ser>
          <c:idx val="1"/>
          <c:order val="1"/>
          <c:tx>
            <c:strRef>
              <c:f>'EL GEN CAP Exo'!$D$4:$D$5</c:f>
              <c:strCache>
                <c:ptCount val="1"/>
                <c:pt idx="0">
                  <c:v>BIOGAS</c:v>
                </c:pt>
              </c:strCache>
            </c:strRef>
          </c:tx>
          <c:spPr>
            <a:solidFill>
              <a:schemeClr val="accent2"/>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Exo'!$D$6:$D$39</c:f>
              <c:numCache>
                <c:formatCode>General</c:formatCode>
                <c:ptCount val="22"/>
                <c:pt idx="0">
                  <c:v>8.800100000000001E-2</c:v>
                </c:pt>
                <c:pt idx="1">
                  <c:v>0.12305500000000004</c:v>
                </c:pt>
                <c:pt idx="2">
                  <c:v>5.7000000000000002E-3</c:v>
                </c:pt>
                <c:pt idx="3">
                  <c:v>5.7000000000000002E-3</c:v>
                </c:pt>
                <c:pt idx="6">
                  <c:v>5.9036699999999982</c:v>
                </c:pt>
                <c:pt idx="7">
                  <c:v>8.3360400000000006</c:v>
                </c:pt>
                <c:pt idx="15">
                  <c:v>7.0000000000000007E-2</c:v>
                </c:pt>
              </c:numCache>
            </c:numRef>
          </c:val>
          <c:extLst>
            <c:ext xmlns:c16="http://schemas.microsoft.com/office/drawing/2014/chart" uri="{C3380CC4-5D6E-409C-BE32-E72D297353CC}">
              <c16:uniqueId val="{00000001-918A-436D-9023-CD4EFEB653BD}"/>
            </c:ext>
          </c:extLst>
        </c:ser>
        <c:ser>
          <c:idx val="2"/>
          <c:order val="2"/>
          <c:tx>
            <c:strRef>
              <c:f>'EL GEN CAP Exo'!$E$4:$E$5</c:f>
              <c:strCache>
                <c:ptCount val="1"/>
                <c:pt idx="0">
                  <c:v>COAL</c:v>
                </c:pt>
              </c:strCache>
            </c:strRef>
          </c:tx>
          <c:spPr>
            <a:solidFill>
              <a:schemeClr val="accent3"/>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Exo'!$E$6:$E$39</c:f>
              <c:numCache>
                <c:formatCode>General</c:formatCode>
                <c:ptCount val="22"/>
                <c:pt idx="0">
                  <c:v>0.32400000000000001</c:v>
                </c:pt>
                <c:pt idx="1">
                  <c:v>3.2</c:v>
                </c:pt>
                <c:pt idx="4">
                  <c:v>0.80630000000000002</c:v>
                </c:pt>
                <c:pt idx="5">
                  <c:v>1.3713000000000002</c:v>
                </c:pt>
                <c:pt idx="6">
                  <c:v>10.2996</c:v>
                </c:pt>
                <c:pt idx="7">
                  <c:v>33.072299999999998</c:v>
                </c:pt>
                <c:pt idx="14">
                  <c:v>7.7890000000000006</c:v>
                </c:pt>
                <c:pt idx="15">
                  <c:v>20.032000000000004</c:v>
                </c:pt>
                <c:pt idx="16">
                  <c:v>0.16713055793991421</c:v>
                </c:pt>
                <c:pt idx="17">
                  <c:v>0.16713055793991421</c:v>
                </c:pt>
                <c:pt idx="18">
                  <c:v>6.2320244698523357</c:v>
                </c:pt>
                <c:pt idx="19">
                  <c:v>5.8986244698523311</c:v>
                </c:pt>
                <c:pt idx="20">
                  <c:v>6.1424000000000056</c:v>
                </c:pt>
                <c:pt idx="21">
                  <c:v>16.587800000000023</c:v>
                </c:pt>
              </c:numCache>
            </c:numRef>
          </c:val>
          <c:extLst>
            <c:ext xmlns:c16="http://schemas.microsoft.com/office/drawing/2014/chart" uri="{C3380CC4-5D6E-409C-BE32-E72D297353CC}">
              <c16:uniqueId val="{00000002-918A-436D-9023-CD4EFEB653BD}"/>
            </c:ext>
          </c:extLst>
        </c:ser>
        <c:ser>
          <c:idx val="3"/>
          <c:order val="3"/>
          <c:tx>
            <c:strRef>
              <c:f>'EL GEN CAP Exo'!$F$4:$F$5</c:f>
              <c:strCache>
                <c:ptCount val="1"/>
                <c:pt idx="0">
                  <c:v>ELECTRIC</c:v>
                </c:pt>
              </c:strCache>
            </c:strRef>
          </c:tx>
          <c:spPr>
            <a:solidFill>
              <a:schemeClr val="accent4"/>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Exo'!$F$6:$F$39</c:f>
              <c:numCache>
                <c:formatCode>General</c:formatCode>
                <c:ptCount val="22"/>
                <c:pt idx="0">
                  <c:v>0.40862700000000007</c:v>
                </c:pt>
                <c:pt idx="1">
                  <c:v>0.59762699999999991</c:v>
                </c:pt>
                <c:pt idx="4">
                  <c:v>0.25980000000000003</c:v>
                </c:pt>
                <c:pt idx="5">
                  <c:v>0.25980000000000003</c:v>
                </c:pt>
                <c:pt idx="6">
                  <c:v>46.85192</c:v>
                </c:pt>
                <c:pt idx="7">
                  <c:v>46.890980000000006</c:v>
                </c:pt>
                <c:pt idx="12">
                  <c:v>0.77745700000000006</c:v>
                </c:pt>
                <c:pt idx="13">
                  <c:v>0.77745700000000006</c:v>
                </c:pt>
                <c:pt idx="16">
                  <c:v>2.1851750000000001</c:v>
                </c:pt>
                <c:pt idx="17">
                  <c:v>2.1851750000000001</c:v>
                </c:pt>
              </c:numCache>
            </c:numRef>
          </c:val>
          <c:extLst>
            <c:ext xmlns:c16="http://schemas.microsoft.com/office/drawing/2014/chart" uri="{C3380CC4-5D6E-409C-BE32-E72D297353CC}">
              <c16:uniqueId val="{00000003-918A-436D-9023-CD4EFEB653BD}"/>
            </c:ext>
          </c:extLst>
        </c:ser>
        <c:ser>
          <c:idx val="4"/>
          <c:order val="4"/>
          <c:tx>
            <c:strRef>
              <c:f>'EL GEN CAP Exo'!$G$4:$G$5</c:f>
              <c:strCache>
                <c:ptCount val="1"/>
                <c:pt idx="0">
                  <c:v>LIGHTOIL</c:v>
                </c:pt>
              </c:strCache>
            </c:strRef>
          </c:tx>
          <c:spPr>
            <a:solidFill>
              <a:schemeClr val="accent5"/>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Exo'!$G$6:$G$39</c:f>
              <c:numCache>
                <c:formatCode>General</c:formatCode>
                <c:ptCount val="22"/>
                <c:pt idx="0">
                  <c:v>0.16160600000000003</c:v>
                </c:pt>
                <c:pt idx="1">
                  <c:v>0.94396200000000008</c:v>
                </c:pt>
              </c:numCache>
            </c:numRef>
          </c:val>
          <c:extLst>
            <c:ext xmlns:c16="http://schemas.microsoft.com/office/drawing/2014/chart" uri="{C3380CC4-5D6E-409C-BE32-E72D297353CC}">
              <c16:uniqueId val="{00000004-918A-436D-9023-CD4EFEB653BD}"/>
            </c:ext>
          </c:extLst>
        </c:ser>
        <c:ser>
          <c:idx val="5"/>
          <c:order val="5"/>
          <c:tx>
            <c:strRef>
              <c:f>'EL GEN CAP Exo'!$H$4:$H$5</c:f>
              <c:strCache>
                <c:ptCount val="1"/>
                <c:pt idx="0">
                  <c:v>LIGNITE</c:v>
                </c:pt>
              </c:strCache>
            </c:strRef>
          </c:tx>
          <c:spPr>
            <a:solidFill>
              <a:schemeClr val="accent6"/>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Exo'!$H$6:$H$39</c:f>
              <c:numCache>
                <c:formatCode>General</c:formatCode>
                <c:ptCount val="22"/>
                <c:pt idx="6">
                  <c:v>9.0680000000000014</c:v>
                </c:pt>
                <c:pt idx="7">
                  <c:v>22.730600000000003</c:v>
                </c:pt>
                <c:pt idx="14">
                  <c:v>0.498</c:v>
                </c:pt>
                <c:pt idx="15">
                  <c:v>0.84000000000000008</c:v>
                </c:pt>
              </c:numCache>
            </c:numRef>
          </c:val>
          <c:extLst>
            <c:ext xmlns:c16="http://schemas.microsoft.com/office/drawing/2014/chart" uri="{C3380CC4-5D6E-409C-BE32-E72D297353CC}">
              <c16:uniqueId val="{00000005-918A-436D-9023-CD4EFEB653BD}"/>
            </c:ext>
          </c:extLst>
        </c:ser>
        <c:ser>
          <c:idx val="6"/>
          <c:order val="6"/>
          <c:tx>
            <c:strRef>
              <c:f>'EL GEN CAP Exo'!$I$4:$I$5</c:f>
              <c:strCache>
                <c:ptCount val="1"/>
                <c:pt idx="0">
                  <c:v>NUCLEAR</c:v>
                </c:pt>
              </c:strCache>
            </c:strRef>
          </c:tx>
          <c:spPr>
            <a:solidFill>
              <a:schemeClr val="accent1">
                <a:lumMod val="6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Exo'!$I$6:$I$39</c:f>
              <c:numCache>
                <c:formatCode>General</c:formatCode>
                <c:ptCount val="22"/>
                <c:pt idx="4">
                  <c:v>4.51</c:v>
                </c:pt>
                <c:pt idx="5">
                  <c:v>2.7519999999999998</c:v>
                </c:pt>
                <c:pt idx="7">
                  <c:v>10.799999999999999</c:v>
                </c:pt>
                <c:pt idx="16">
                  <c:v>6.673</c:v>
                </c:pt>
                <c:pt idx="17">
                  <c:v>8.89</c:v>
                </c:pt>
                <c:pt idx="18">
                  <c:v>0.61</c:v>
                </c:pt>
                <c:pt idx="19">
                  <c:v>0.51</c:v>
                </c:pt>
                <c:pt idx="20">
                  <c:v>8.4329999999999998</c:v>
                </c:pt>
                <c:pt idx="21">
                  <c:v>8.9179999999999993</c:v>
                </c:pt>
              </c:numCache>
            </c:numRef>
          </c:val>
          <c:extLst>
            <c:ext xmlns:c16="http://schemas.microsoft.com/office/drawing/2014/chart" uri="{C3380CC4-5D6E-409C-BE32-E72D297353CC}">
              <c16:uniqueId val="{00000006-918A-436D-9023-CD4EFEB653BD}"/>
            </c:ext>
          </c:extLst>
        </c:ser>
        <c:ser>
          <c:idx val="7"/>
          <c:order val="7"/>
          <c:tx>
            <c:strRef>
              <c:f>'EL GEN CAP Exo'!$J$4:$J$5</c:f>
              <c:strCache>
                <c:ptCount val="1"/>
                <c:pt idx="0">
                  <c:v>STRAW</c:v>
                </c:pt>
              </c:strCache>
            </c:strRef>
          </c:tx>
          <c:spPr>
            <a:solidFill>
              <a:schemeClr val="accent2">
                <a:lumMod val="6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Exo'!$J$6:$J$39</c:f>
              <c:numCache>
                <c:formatCode>General</c:formatCode>
                <c:ptCount val="22"/>
                <c:pt idx="0">
                  <c:v>3.1E-2</c:v>
                </c:pt>
                <c:pt idx="1">
                  <c:v>0.10376000000000001</c:v>
                </c:pt>
                <c:pt idx="14">
                  <c:v>8.2000000000000003E-2</c:v>
                </c:pt>
                <c:pt idx="15">
                  <c:v>0.41799999999999993</c:v>
                </c:pt>
              </c:numCache>
            </c:numRef>
          </c:val>
          <c:extLst>
            <c:ext xmlns:c16="http://schemas.microsoft.com/office/drawing/2014/chart" uri="{C3380CC4-5D6E-409C-BE32-E72D297353CC}">
              <c16:uniqueId val="{00000007-918A-436D-9023-CD4EFEB653BD}"/>
            </c:ext>
          </c:extLst>
        </c:ser>
        <c:ser>
          <c:idx val="8"/>
          <c:order val="8"/>
          <c:tx>
            <c:strRef>
              <c:f>'EL GEN CAP Exo'!$K$4:$K$5</c:f>
              <c:strCache>
                <c:ptCount val="1"/>
                <c:pt idx="0">
                  <c:v>WATER</c:v>
                </c:pt>
              </c:strCache>
            </c:strRef>
          </c:tx>
          <c:spPr>
            <a:solidFill>
              <a:schemeClr val="accent3">
                <a:lumMod val="6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Exo'!$K$6:$K$39</c:f>
              <c:numCache>
                <c:formatCode>General</c:formatCode>
                <c:ptCount val="22"/>
                <c:pt idx="0">
                  <c:v>2.5000000000000001E-5</c:v>
                </c:pt>
                <c:pt idx="1">
                  <c:v>6.9550000000000002E-3</c:v>
                </c:pt>
                <c:pt idx="4">
                  <c:v>3.4261999999999997</c:v>
                </c:pt>
                <c:pt idx="5">
                  <c:v>3.2425999999999999</c:v>
                </c:pt>
                <c:pt idx="6">
                  <c:v>8.9675799999999999</c:v>
                </c:pt>
                <c:pt idx="7">
                  <c:v>8.9675799999999999</c:v>
                </c:pt>
                <c:pt idx="8">
                  <c:v>1.56</c:v>
                </c:pt>
                <c:pt idx="9">
                  <c:v>1.56</c:v>
                </c:pt>
                <c:pt idx="10">
                  <c:v>9.1010000000000009</c:v>
                </c:pt>
                <c:pt idx="11">
                  <c:v>9.1010000000000009</c:v>
                </c:pt>
                <c:pt idx="12">
                  <c:v>31.644599656957059</c:v>
                </c:pt>
                <c:pt idx="13">
                  <c:v>30.931425826321028</c:v>
                </c:pt>
                <c:pt idx="14">
                  <c:v>0.95299999999999996</c:v>
                </c:pt>
                <c:pt idx="15">
                  <c:v>0.95299999999999996</c:v>
                </c:pt>
                <c:pt idx="16">
                  <c:v>16.92111963150564</c:v>
                </c:pt>
                <c:pt idx="17">
                  <c:v>16.323559815752823</c:v>
                </c:pt>
                <c:pt idx="18">
                  <c:v>3.6999999999999998E-2</c:v>
                </c:pt>
                <c:pt idx="19">
                  <c:v>3.6999999999999998E-2</c:v>
                </c:pt>
                <c:pt idx="20">
                  <c:v>4.4832000000000001</c:v>
                </c:pt>
                <c:pt idx="21">
                  <c:v>4.4724000000000004</c:v>
                </c:pt>
              </c:numCache>
            </c:numRef>
          </c:val>
          <c:extLst>
            <c:ext xmlns:c16="http://schemas.microsoft.com/office/drawing/2014/chart" uri="{C3380CC4-5D6E-409C-BE32-E72D297353CC}">
              <c16:uniqueId val="{00000008-918A-436D-9023-CD4EFEB653BD}"/>
            </c:ext>
          </c:extLst>
        </c:ser>
        <c:ser>
          <c:idx val="9"/>
          <c:order val="9"/>
          <c:tx>
            <c:strRef>
              <c:f>'EL GEN CAP Exo'!$L$4:$L$5</c:f>
              <c:strCache>
                <c:ptCount val="1"/>
                <c:pt idx="0">
                  <c:v>WIND</c:v>
                </c:pt>
              </c:strCache>
            </c:strRef>
          </c:tx>
          <c:spPr>
            <a:solidFill>
              <a:schemeClr val="accent4">
                <a:lumMod val="6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Exo'!$L$6:$L$39</c:f>
              <c:numCache>
                <c:formatCode>General</c:formatCode>
                <c:ptCount val="22"/>
                <c:pt idx="0">
                  <c:v>3.9843029999999988</c:v>
                </c:pt>
                <c:pt idx="1">
                  <c:v>5.1579440000001018</c:v>
                </c:pt>
                <c:pt idx="2">
                  <c:v>0.183</c:v>
                </c:pt>
                <c:pt idx="3">
                  <c:v>0.313</c:v>
                </c:pt>
                <c:pt idx="4">
                  <c:v>3.1535500000000001</c:v>
                </c:pt>
                <c:pt idx="5">
                  <c:v>1.5322549999999999</c:v>
                </c:pt>
                <c:pt idx="6">
                  <c:v>48.837870000000002</c:v>
                </c:pt>
                <c:pt idx="7">
                  <c:v>51.059799999999996</c:v>
                </c:pt>
                <c:pt idx="8">
                  <c:v>0.11800000000000001</c:v>
                </c:pt>
                <c:pt idx="9">
                  <c:v>0.11800000000000001</c:v>
                </c:pt>
                <c:pt idx="10">
                  <c:v>0.5</c:v>
                </c:pt>
                <c:pt idx="11">
                  <c:v>0.5</c:v>
                </c:pt>
                <c:pt idx="12">
                  <c:v>2.8069999999999999</c:v>
                </c:pt>
                <c:pt idx="13">
                  <c:v>1.1594</c:v>
                </c:pt>
                <c:pt idx="14">
                  <c:v>1.1000000000000001</c:v>
                </c:pt>
                <c:pt idx="15">
                  <c:v>1.1000000000000001</c:v>
                </c:pt>
                <c:pt idx="16">
                  <c:v>9.9714950000000009</c:v>
                </c:pt>
                <c:pt idx="17">
                  <c:v>6.3482499999999993</c:v>
                </c:pt>
                <c:pt idx="18">
                  <c:v>12.6835</c:v>
                </c:pt>
                <c:pt idx="19">
                  <c:v>3.8645714285714239</c:v>
                </c:pt>
                <c:pt idx="20">
                  <c:v>51.343892469259302</c:v>
                </c:pt>
                <c:pt idx="21">
                  <c:v>23.850020160817103</c:v>
                </c:pt>
              </c:numCache>
            </c:numRef>
          </c:val>
          <c:extLst>
            <c:ext xmlns:c16="http://schemas.microsoft.com/office/drawing/2014/chart" uri="{C3380CC4-5D6E-409C-BE32-E72D297353CC}">
              <c16:uniqueId val="{00000009-918A-436D-9023-CD4EFEB653BD}"/>
            </c:ext>
          </c:extLst>
        </c:ser>
        <c:ser>
          <c:idx val="10"/>
          <c:order val="10"/>
          <c:tx>
            <c:strRef>
              <c:f>'EL GEN CAP Exo'!$M$4:$M$5</c:f>
              <c:strCache>
                <c:ptCount val="1"/>
                <c:pt idx="0">
                  <c:v>WOOD</c:v>
                </c:pt>
              </c:strCache>
            </c:strRef>
          </c:tx>
          <c:spPr>
            <a:solidFill>
              <a:schemeClr val="accent5">
                <a:lumMod val="6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Exo'!$M$6:$M$39</c:f>
              <c:numCache>
                <c:formatCode>General</c:formatCode>
                <c:ptCount val="22"/>
                <c:pt idx="4">
                  <c:v>2.472375</c:v>
                </c:pt>
                <c:pt idx="5">
                  <c:v>2.472375</c:v>
                </c:pt>
                <c:pt idx="8">
                  <c:v>0.04</c:v>
                </c:pt>
                <c:pt idx="9">
                  <c:v>4.4999999999999998E-2</c:v>
                </c:pt>
                <c:pt idx="16">
                  <c:v>1.3204000000000002</c:v>
                </c:pt>
                <c:pt idx="17">
                  <c:v>1.3204000000000002</c:v>
                </c:pt>
                <c:pt idx="18">
                  <c:v>2.2888884683281887</c:v>
                </c:pt>
                <c:pt idx="19">
                  <c:v>1.8990884683281899</c:v>
                </c:pt>
                <c:pt idx="20">
                  <c:v>5.6655999999999969</c:v>
                </c:pt>
                <c:pt idx="21">
                  <c:v>4.6602000000000041</c:v>
                </c:pt>
              </c:numCache>
            </c:numRef>
          </c:val>
          <c:extLst>
            <c:ext xmlns:c16="http://schemas.microsoft.com/office/drawing/2014/chart" uri="{C3380CC4-5D6E-409C-BE32-E72D297353CC}">
              <c16:uniqueId val="{0000000A-918A-436D-9023-CD4EFEB653BD}"/>
            </c:ext>
          </c:extLst>
        </c:ser>
        <c:ser>
          <c:idx val="11"/>
          <c:order val="11"/>
          <c:tx>
            <c:strRef>
              <c:f>'EL GEN CAP Exo'!$N$4:$N$5</c:f>
              <c:strCache>
                <c:ptCount val="1"/>
                <c:pt idx="0">
                  <c:v>FUELOIL</c:v>
                </c:pt>
              </c:strCache>
            </c:strRef>
          </c:tx>
          <c:spPr>
            <a:solidFill>
              <a:schemeClr val="accent6">
                <a:lumMod val="6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Exo'!$N$6:$N$39</c:f>
              <c:numCache>
                <c:formatCode>General</c:formatCode>
                <c:ptCount val="22"/>
                <c:pt idx="0">
                  <c:v>4.0000000000000002E-4</c:v>
                </c:pt>
                <c:pt idx="1">
                  <c:v>7.7679999999999999E-2</c:v>
                </c:pt>
                <c:pt idx="4">
                  <c:v>101.19756634382567</c:v>
                </c:pt>
                <c:pt idx="5">
                  <c:v>101.40029588377725</c:v>
                </c:pt>
                <c:pt idx="6">
                  <c:v>8.3799999999999999E-2</c:v>
                </c:pt>
                <c:pt idx="7">
                  <c:v>3.9145999999999992</c:v>
                </c:pt>
                <c:pt idx="14">
                  <c:v>0.22</c:v>
                </c:pt>
                <c:pt idx="15">
                  <c:v>0.22</c:v>
                </c:pt>
                <c:pt idx="16">
                  <c:v>401.58092547914316</c:v>
                </c:pt>
                <c:pt idx="17">
                  <c:v>403.07032547914315</c:v>
                </c:pt>
                <c:pt idx="18">
                  <c:v>101.44766801642461</c:v>
                </c:pt>
                <c:pt idx="19">
                  <c:v>101.14686801642462</c:v>
                </c:pt>
                <c:pt idx="20">
                  <c:v>102.26957105382179</c:v>
                </c:pt>
                <c:pt idx="21">
                  <c:v>102.8861710538218</c:v>
                </c:pt>
              </c:numCache>
            </c:numRef>
          </c:val>
          <c:extLst>
            <c:ext xmlns:c16="http://schemas.microsoft.com/office/drawing/2014/chart" uri="{C3380CC4-5D6E-409C-BE32-E72D297353CC}">
              <c16:uniqueId val="{0000000B-918A-436D-9023-CD4EFEB653BD}"/>
            </c:ext>
          </c:extLst>
        </c:ser>
        <c:ser>
          <c:idx val="12"/>
          <c:order val="12"/>
          <c:tx>
            <c:strRef>
              <c:f>'EL GEN CAP Exo'!$O$4:$O$5</c:f>
              <c:strCache>
                <c:ptCount val="1"/>
                <c:pt idx="0">
                  <c:v>NATGAS</c:v>
                </c:pt>
              </c:strCache>
            </c:strRef>
          </c:tx>
          <c:spPr>
            <a:solidFill>
              <a:schemeClr val="accent1">
                <a:lumMod val="80000"/>
                <a:lumOff val="2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Exo'!$O$6:$O$39</c:f>
              <c:numCache>
                <c:formatCode>General</c:formatCode>
                <c:ptCount val="22"/>
                <c:pt idx="0">
                  <c:v>0.243395</c:v>
                </c:pt>
                <c:pt idx="1">
                  <c:v>2.1398479999999993</c:v>
                </c:pt>
                <c:pt idx="2">
                  <c:v>2.93E-2</c:v>
                </c:pt>
                <c:pt idx="3">
                  <c:v>0.12329999999999999</c:v>
                </c:pt>
                <c:pt idx="4">
                  <c:v>2.2211797483523066</c:v>
                </c:pt>
                <c:pt idx="5">
                  <c:v>2.2274197723187532</c:v>
                </c:pt>
                <c:pt idx="6">
                  <c:v>11.334899999999998</c:v>
                </c:pt>
                <c:pt idx="7">
                  <c:v>28.252199999999988</c:v>
                </c:pt>
                <c:pt idx="8">
                  <c:v>0.60899999999999999</c:v>
                </c:pt>
                <c:pt idx="9">
                  <c:v>0.63300000000000001</c:v>
                </c:pt>
                <c:pt idx="10">
                  <c:v>1.9550000000000001</c:v>
                </c:pt>
                <c:pt idx="11">
                  <c:v>1.9550000000000001</c:v>
                </c:pt>
                <c:pt idx="12">
                  <c:v>0.3</c:v>
                </c:pt>
                <c:pt idx="13">
                  <c:v>0.3</c:v>
                </c:pt>
                <c:pt idx="14">
                  <c:v>2.504</c:v>
                </c:pt>
                <c:pt idx="15">
                  <c:v>3.2440000000000002</c:v>
                </c:pt>
                <c:pt idx="16">
                  <c:v>0.93873391300000009</c:v>
                </c:pt>
                <c:pt idx="17">
                  <c:v>0.93873391300000009</c:v>
                </c:pt>
                <c:pt idx="18">
                  <c:v>18.092558618630648</c:v>
                </c:pt>
                <c:pt idx="19">
                  <c:v>18.234958618630628</c:v>
                </c:pt>
                <c:pt idx="20">
                  <c:v>41.767199999999974</c:v>
                </c:pt>
                <c:pt idx="21">
                  <c:v>39.570399999999999</c:v>
                </c:pt>
              </c:numCache>
            </c:numRef>
          </c:val>
          <c:extLst>
            <c:ext xmlns:c16="http://schemas.microsoft.com/office/drawing/2014/chart" uri="{C3380CC4-5D6E-409C-BE32-E72D297353CC}">
              <c16:uniqueId val="{0000000C-918A-436D-9023-CD4EFEB653BD}"/>
            </c:ext>
          </c:extLst>
        </c:ser>
        <c:ser>
          <c:idx val="13"/>
          <c:order val="13"/>
          <c:tx>
            <c:strRef>
              <c:f>'EL GEN CAP Exo'!$P$4:$P$5</c:f>
              <c:strCache>
                <c:ptCount val="1"/>
                <c:pt idx="0">
                  <c:v>PEAT</c:v>
                </c:pt>
              </c:strCache>
            </c:strRef>
          </c:tx>
          <c:spPr>
            <a:solidFill>
              <a:schemeClr val="accent2">
                <a:lumMod val="80000"/>
                <a:lumOff val="2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Exo'!$P$6:$P$39</c:f>
              <c:numCache>
                <c:formatCode>General</c:formatCode>
                <c:ptCount val="22"/>
                <c:pt idx="4">
                  <c:v>1.7287076280041798</c:v>
                </c:pt>
                <c:pt idx="5">
                  <c:v>1.7285984326018808</c:v>
                </c:pt>
                <c:pt idx="16">
                  <c:v>0.14213999999999999</c:v>
                </c:pt>
                <c:pt idx="17">
                  <c:v>0.14213999999999999</c:v>
                </c:pt>
              </c:numCache>
            </c:numRef>
          </c:val>
          <c:extLst>
            <c:ext xmlns:c16="http://schemas.microsoft.com/office/drawing/2014/chart" uri="{C3380CC4-5D6E-409C-BE32-E72D297353CC}">
              <c16:uniqueId val="{0000000D-918A-436D-9023-CD4EFEB653BD}"/>
            </c:ext>
          </c:extLst>
        </c:ser>
        <c:ser>
          <c:idx val="14"/>
          <c:order val="14"/>
          <c:tx>
            <c:strRef>
              <c:f>'EL GEN CAP Exo'!$Q$4:$Q$5</c:f>
              <c:strCache>
                <c:ptCount val="1"/>
                <c:pt idx="0">
                  <c:v>WOODCHIPS</c:v>
                </c:pt>
              </c:strCache>
            </c:strRef>
          </c:tx>
          <c:spPr>
            <a:solidFill>
              <a:schemeClr val="accent3">
                <a:lumMod val="80000"/>
                <a:lumOff val="2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Exo'!$Q$6:$Q$39</c:f>
              <c:numCache>
                <c:formatCode>General</c:formatCode>
                <c:ptCount val="22"/>
                <c:pt idx="0">
                  <c:v>0.10058</c:v>
                </c:pt>
                <c:pt idx="1">
                  <c:v>0.18228</c:v>
                </c:pt>
                <c:pt idx="2">
                  <c:v>7.6499999999999999E-2</c:v>
                </c:pt>
                <c:pt idx="3">
                  <c:v>7.6499999999999999E-2</c:v>
                </c:pt>
                <c:pt idx="4">
                  <c:v>0.26380762800417973</c:v>
                </c:pt>
                <c:pt idx="5">
                  <c:v>0.26369843260188086</c:v>
                </c:pt>
                <c:pt idx="16">
                  <c:v>0.14662729720852738</c:v>
                </c:pt>
                <c:pt idx="17">
                  <c:v>0.14662729720852738</c:v>
                </c:pt>
              </c:numCache>
            </c:numRef>
          </c:val>
          <c:extLst>
            <c:ext xmlns:c16="http://schemas.microsoft.com/office/drawing/2014/chart" uri="{C3380CC4-5D6E-409C-BE32-E72D297353CC}">
              <c16:uniqueId val="{0000000E-918A-436D-9023-CD4EFEB653BD}"/>
            </c:ext>
          </c:extLst>
        </c:ser>
        <c:ser>
          <c:idx val="15"/>
          <c:order val="15"/>
          <c:tx>
            <c:strRef>
              <c:f>'EL GEN CAP Exo'!$R$4:$R$5</c:f>
              <c:strCache>
                <c:ptCount val="1"/>
                <c:pt idx="0">
                  <c:v>WOODWASTE</c:v>
                </c:pt>
              </c:strCache>
            </c:strRef>
          </c:tx>
          <c:spPr>
            <a:solidFill>
              <a:schemeClr val="accent4">
                <a:lumMod val="80000"/>
                <a:lumOff val="2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Exo'!$R$6:$R$39</c:f>
              <c:numCache>
                <c:formatCode>General</c:formatCode>
                <c:ptCount val="22"/>
                <c:pt idx="4">
                  <c:v>0.18409999999999999</c:v>
                </c:pt>
                <c:pt idx="5">
                  <c:v>0.18409999999999999</c:v>
                </c:pt>
                <c:pt idx="14">
                  <c:v>0.21299999999999999</c:v>
                </c:pt>
                <c:pt idx="15">
                  <c:v>0.69099999999999995</c:v>
                </c:pt>
                <c:pt idx="16">
                  <c:v>1.0372561362725194</c:v>
                </c:pt>
                <c:pt idx="17">
                  <c:v>1.0372561362725194</c:v>
                </c:pt>
              </c:numCache>
            </c:numRef>
          </c:val>
          <c:extLst>
            <c:ext xmlns:c16="http://schemas.microsoft.com/office/drawing/2014/chart" uri="{C3380CC4-5D6E-409C-BE32-E72D297353CC}">
              <c16:uniqueId val="{0000000F-918A-436D-9023-CD4EFEB653BD}"/>
            </c:ext>
          </c:extLst>
        </c:ser>
        <c:ser>
          <c:idx val="16"/>
          <c:order val="16"/>
          <c:tx>
            <c:strRef>
              <c:f>'EL GEN CAP Exo'!$S$4:$S$5</c:f>
              <c:strCache>
                <c:ptCount val="1"/>
                <c:pt idx="0">
                  <c:v>BIOOIL</c:v>
                </c:pt>
              </c:strCache>
            </c:strRef>
          </c:tx>
          <c:spPr>
            <a:solidFill>
              <a:schemeClr val="accent5">
                <a:lumMod val="80000"/>
                <a:lumOff val="2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Exo'!$S$6:$S$39</c:f>
              <c:numCache>
                <c:formatCode>General</c:formatCode>
                <c:ptCount val="22"/>
                <c:pt idx="16">
                  <c:v>0.19</c:v>
                </c:pt>
                <c:pt idx="17">
                  <c:v>0.19</c:v>
                </c:pt>
              </c:numCache>
            </c:numRef>
          </c:val>
          <c:extLst>
            <c:ext xmlns:c16="http://schemas.microsoft.com/office/drawing/2014/chart" uri="{C3380CC4-5D6E-409C-BE32-E72D297353CC}">
              <c16:uniqueId val="{00000010-918A-436D-9023-CD4EFEB653BD}"/>
            </c:ext>
          </c:extLst>
        </c:ser>
        <c:ser>
          <c:idx val="17"/>
          <c:order val="17"/>
          <c:tx>
            <c:strRef>
              <c:f>'EL GEN CAP Exo'!$T$4:$T$5</c:f>
              <c:strCache>
                <c:ptCount val="1"/>
                <c:pt idx="0">
                  <c:v>MUNIWASTE</c:v>
                </c:pt>
              </c:strCache>
            </c:strRef>
          </c:tx>
          <c:spPr>
            <a:solidFill>
              <a:schemeClr val="accent6">
                <a:lumMod val="80000"/>
                <a:lumOff val="2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Exo'!$T$6:$T$39</c:f>
              <c:numCache>
                <c:formatCode>General</c:formatCode>
                <c:ptCount val="22"/>
                <c:pt idx="0">
                  <c:v>4.53E-2</c:v>
                </c:pt>
                <c:pt idx="1">
                  <c:v>0.36998999999999999</c:v>
                </c:pt>
                <c:pt idx="2">
                  <c:v>1.7000000000000001E-2</c:v>
                </c:pt>
                <c:pt idx="3">
                  <c:v>1.7000000000000001E-2</c:v>
                </c:pt>
                <c:pt idx="6">
                  <c:v>0.69180000000000008</c:v>
                </c:pt>
                <c:pt idx="7">
                  <c:v>1.6168</c:v>
                </c:pt>
                <c:pt idx="8">
                  <c:v>7.4999999999999997E-2</c:v>
                </c:pt>
                <c:pt idx="9">
                  <c:v>7.4999999999999997E-2</c:v>
                </c:pt>
                <c:pt idx="12">
                  <c:v>4.2551333333333205E-2</c:v>
                </c:pt>
                <c:pt idx="13">
                  <c:v>4.2551333333333205E-2</c:v>
                </c:pt>
                <c:pt idx="14">
                  <c:v>3.4000000000000002E-2</c:v>
                </c:pt>
                <c:pt idx="15">
                  <c:v>3.4000000000000002E-2</c:v>
                </c:pt>
                <c:pt idx="16">
                  <c:v>0.49508978441032075</c:v>
                </c:pt>
                <c:pt idx="17">
                  <c:v>0.49508978441032075</c:v>
                </c:pt>
              </c:numCache>
            </c:numRef>
          </c:val>
          <c:extLst>
            <c:ext xmlns:c16="http://schemas.microsoft.com/office/drawing/2014/chart" uri="{C3380CC4-5D6E-409C-BE32-E72D297353CC}">
              <c16:uniqueId val="{00000011-918A-436D-9023-CD4EFEB653BD}"/>
            </c:ext>
          </c:extLst>
        </c:ser>
        <c:ser>
          <c:idx val="18"/>
          <c:order val="18"/>
          <c:tx>
            <c:strRef>
              <c:f>'EL GEN CAP Exo'!$U$4:$U$5</c:f>
              <c:strCache>
                <c:ptCount val="1"/>
                <c:pt idx="0">
                  <c:v>RECYCLEDWOOD</c:v>
                </c:pt>
              </c:strCache>
            </c:strRef>
          </c:tx>
          <c:spPr>
            <a:solidFill>
              <a:schemeClr val="accent1">
                <a:lumMod val="8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Exo'!$U$6:$U$39</c:f>
              <c:numCache>
                <c:formatCode>General</c:formatCode>
                <c:ptCount val="22"/>
                <c:pt idx="16">
                  <c:v>0.20594747570102892</c:v>
                </c:pt>
                <c:pt idx="17">
                  <c:v>0.20594747570102892</c:v>
                </c:pt>
              </c:numCache>
            </c:numRef>
          </c:val>
          <c:extLst>
            <c:ext xmlns:c16="http://schemas.microsoft.com/office/drawing/2014/chart" uri="{C3380CC4-5D6E-409C-BE32-E72D297353CC}">
              <c16:uniqueId val="{00000012-918A-436D-9023-CD4EFEB653BD}"/>
            </c:ext>
          </c:extLst>
        </c:ser>
        <c:ser>
          <c:idx val="19"/>
          <c:order val="19"/>
          <c:tx>
            <c:strRef>
              <c:f>'EL GEN CAP Exo'!$V$4:$V$5</c:f>
              <c:strCache>
                <c:ptCount val="1"/>
                <c:pt idx="0">
                  <c:v>WOODPELLETS</c:v>
                </c:pt>
              </c:strCache>
            </c:strRef>
          </c:tx>
          <c:spPr>
            <a:solidFill>
              <a:schemeClr val="accent2">
                <a:lumMod val="8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Exo'!$V$6:$V$39</c:f>
              <c:numCache>
                <c:formatCode>General</c:formatCode>
                <c:ptCount val="22"/>
                <c:pt idx="1">
                  <c:v>0.63390999999999997</c:v>
                </c:pt>
                <c:pt idx="4">
                  <c:v>1.1000000000000001E-3</c:v>
                </c:pt>
                <c:pt idx="5">
                  <c:v>1.1000000000000001E-3</c:v>
                </c:pt>
                <c:pt idx="16">
                  <c:v>0.14400000000000002</c:v>
                </c:pt>
                <c:pt idx="17">
                  <c:v>0.14400000000000002</c:v>
                </c:pt>
              </c:numCache>
            </c:numRef>
          </c:val>
          <c:extLst>
            <c:ext xmlns:c16="http://schemas.microsoft.com/office/drawing/2014/chart" uri="{C3380CC4-5D6E-409C-BE32-E72D297353CC}">
              <c16:uniqueId val="{00000013-918A-436D-9023-CD4EFEB653BD}"/>
            </c:ext>
          </c:extLst>
        </c:ser>
        <c:ser>
          <c:idx val="20"/>
          <c:order val="20"/>
          <c:tx>
            <c:strRef>
              <c:f>'EL GEN CAP Exo'!$W$4:$W$5</c:f>
              <c:strCache>
                <c:ptCount val="1"/>
                <c:pt idx="0">
                  <c:v>HEAVYFUELOIL</c:v>
                </c:pt>
              </c:strCache>
            </c:strRef>
          </c:tx>
          <c:spPr>
            <a:solidFill>
              <a:schemeClr val="accent3">
                <a:lumMod val="8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Exo'!$W$6:$W$39</c:f>
              <c:numCache>
                <c:formatCode>General</c:formatCode>
                <c:ptCount val="22"/>
                <c:pt idx="4">
                  <c:v>5.1799999999999999E-2</c:v>
                </c:pt>
                <c:pt idx="5">
                  <c:v>5.1799999999999999E-2</c:v>
                </c:pt>
              </c:numCache>
            </c:numRef>
          </c:val>
          <c:extLst>
            <c:ext xmlns:c16="http://schemas.microsoft.com/office/drawing/2014/chart" uri="{C3380CC4-5D6E-409C-BE32-E72D297353CC}">
              <c16:uniqueId val="{00000014-918A-436D-9023-CD4EFEB653BD}"/>
            </c:ext>
          </c:extLst>
        </c:ser>
        <c:ser>
          <c:idx val="21"/>
          <c:order val="21"/>
          <c:tx>
            <c:strRef>
              <c:f>'EL GEN CAP Exo'!$X$4:$X$5</c:f>
              <c:strCache>
                <c:ptCount val="1"/>
                <c:pt idx="0">
                  <c:v>SHALE</c:v>
                </c:pt>
              </c:strCache>
            </c:strRef>
          </c:tx>
          <c:spPr>
            <a:solidFill>
              <a:schemeClr val="accent4">
                <a:lumMod val="8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Exo'!$X$6:$X$39</c:f>
              <c:numCache>
                <c:formatCode>General</c:formatCode>
                <c:ptCount val="22"/>
                <c:pt idx="2">
                  <c:v>0.8620000000000001</c:v>
                </c:pt>
                <c:pt idx="3">
                  <c:v>2.0369999999999999</c:v>
                </c:pt>
              </c:numCache>
            </c:numRef>
          </c:val>
          <c:extLst>
            <c:ext xmlns:c16="http://schemas.microsoft.com/office/drawing/2014/chart" uri="{C3380CC4-5D6E-409C-BE32-E72D297353CC}">
              <c16:uniqueId val="{00000015-918A-436D-9023-CD4EFEB653BD}"/>
            </c:ext>
          </c:extLst>
        </c:ser>
        <c:ser>
          <c:idx val="22"/>
          <c:order val="22"/>
          <c:tx>
            <c:strRef>
              <c:f>'EL GEN CAP Exo'!$Y$4:$Y$5</c:f>
              <c:strCache>
                <c:ptCount val="1"/>
                <c:pt idx="0">
                  <c:v>WASTEHEAT</c:v>
                </c:pt>
              </c:strCache>
            </c:strRef>
          </c:tx>
          <c:spPr>
            <a:solidFill>
              <a:schemeClr val="accent5">
                <a:lumMod val="80000"/>
              </a:schemeClr>
            </a:solidFill>
            <a:ln>
              <a:noFill/>
            </a:ln>
            <a:effectLst/>
          </c:spPr>
          <c:invertIfNegative val="0"/>
          <c:cat>
            <c:multiLvlStrRef>
              <c:f>'EL GEN CAP Exo'!$B$6:$B$39</c:f>
              <c:multiLvlStrCache>
                <c:ptCount val="22"/>
                <c:lvl>
                  <c:pt idx="0">
                    <c:v>2030</c:v>
                  </c:pt>
                  <c:pt idx="1">
                    <c:v>2016</c:v>
                  </c:pt>
                  <c:pt idx="2">
                    <c:v>2030</c:v>
                  </c:pt>
                  <c:pt idx="3">
                    <c:v>2016</c:v>
                  </c:pt>
                  <c:pt idx="4">
                    <c:v>2030</c:v>
                  </c:pt>
                  <c:pt idx="5">
                    <c:v>2016</c:v>
                  </c:pt>
                  <c:pt idx="6">
                    <c:v>2030</c:v>
                  </c:pt>
                  <c:pt idx="7">
                    <c:v>2016</c:v>
                  </c:pt>
                  <c:pt idx="8">
                    <c:v>2030</c:v>
                  </c:pt>
                  <c:pt idx="9">
                    <c:v>2016</c:v>
                  </c:pt>
                  <c:pt idx="10">
                    <c:v>2030</c:v>
                  </c:pt>
                  <c:pt idx="11">
                    <c:v>2016</c:v>
                  </c:pt>
                  <c:pt idx="12">
                    <c:v>2030</c:v>
                  </c:pt>
                  <c:pt idx="13">
                    <c:v>2016</c:v>
                  </c:pt>
                  <c:pt idx="14">
                    <c:v>2030</c:v>
                  </c:pt>
                  <c:pt idx="15">
                    <c:v>2016</c:v>
                  </c:pt>
                  <c:pt idx="16">
                    <c:v>2030</c:v>
                  </c:pt>
                  <c:pt idx="17">
                    <c:v>2016</c:v>
                  </c:pt>
                  <c:pt idx="18">
                    <c:v>2030</c:v>
                  </c:pt>
                  <c:pt idx="19">
                    <c:v>2016</c:v>
                  </c:pt>
                  <c:pt idx="20">
                    <c:v>2030</c:v>
                  </c:pt>
                  <c:pt idx="21">
                    <c:v>2016</c:v>
                  </c:pt>
                </c:lvl>
                <c:lvl>
                  <c:pt idx="0">
                    <c:v>DENMARK</c:v>
                  </c:pt>
                  <c:pt idx="2">
                    <c:v>ESTONIA</c:v>
                  </c:pt>
                  <c:pt idx="4">
                    <c:v>FINLAND</c:v>
                  </c:pt>
                  <c:pt idx="6">
                    <c:v>GERMANY</c:v>
                  </c:pt>
                  <c:pt idx="8">
                    <c:v>LATVIA</c:v>
                  </c:pt>
                  <c:pt idx="10">
                    <c:v>LITHUANIA</c:v>
                  </c:pt>
                  <c:pt idx="12">
                    <c:v>NORWAY</c:v>
                  </c:pt>
                  <c:pt idx="14">
                    <c:v>POLAND</c:v>
                  </c:pt>
                  <c:pt idx="16">
                    <c:v>SWEDEN</c:v>
                  </c:pt>
                  <c:pt idx="18">
                    <c:v>NETHERLANDS</c:v>
                  </c:pt>
                  <c:pt idx="20">
                    <c:v>UNITED_KINGDOM</c:v>
                  </c:pt>
                </c:lvl>
              </c:multiLvlStrCache>
            </c:multiLvlStrRef>
          </c:cat>
          <c:val>
            <c:numRef>
              <c:f>'EL GEN CAP Exo'!$Y$6:$Y$39</c:f>
              <c:numCache>
                <c:formatCode>General</c:formatCode>
                <c:ptCount val="22"/>
                <c:pt idx="6">
                  <c:v>4.4770000000000004E-2</c:v>
                </c:pt>
                <c:pt idx="7">
                  <c:v>4.4979999999999999E-2</c:v>
                </c:pt>
              </c:numCache>
            </c:numRef>
          </c:val>
          <c:extLst>
            <c:ext xmlns:c16="http://schemas.microsoft.com/office/drawing/2014/chart" uri="{C3380CC4-5D6E-409C-BE32-E72D297353CC}">
              <c16:uniqueId val="{00000016-918A-436D-9023-CD4EFEB653BD}"/>
            </c:ext>
          </c:extLst>
        </c:ser>
        <c:dLbls>
          <c:showLegendKey val="0"/>
          <c:showVal val="0"/>
          <c:showCatName val="0"/>
          <c:showSerName val="0"/>
          <c:showPercent val="0"/>
          <c:showBubbleSize val="0"/>
        </c:dLbls>
        <c:gapWidth val="150"/>
        <c:overlap val="100"/>
        <c:axId val="269705704"/>
        <c:axId val="271544240"/>
      </c:barChart>
      <c:catAx>
        <c:axId val="269705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71544240"/>
        <c:crosses val="autoZero"/>
        <c:auto val="1"/>
        <c:lblAlgn val="ctr"/>
        <c:lblOffset val="100"/>
        <c:noMultiLvlLbl val="0"/>
      </c:catAx>
      <c:valAx>
        <c:axId val="271544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5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 ENDO!PivotTable5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'EL GEN CAP ENDO'!$C$3:$C$4</c:f>
              <c:strCache>
                <c:ptCount val="1"/>
                <c:pt idx="0">
                  <c:v>ELECTRIC</c:v>
                </c:pt>
              </c:strCache>
            </c:strRef>
          </c:tx>
          <c:spPr>
            <a:solidFill>
              <a:schemeClr val="accent1"/>
            </a:solidFill>
            <a:ln>
              <a:noFill/>
            </a:ln>
            <a:effectLst/>
          </c:spPr>
          <c:invertIfNegative val="0"/>
          <c:cat>
            <c:multiLvlStrRef>
              <c:f>'EL GEN CAP ENDO'!$B$5:$B$10</c:f>
              <c:multiLvlStrCache>
                <c:ptCount val="4"/>
                <c:lvl>
                  <c:pt idx="0">
                    <c:v>DENMARK</c:v>
                  </c:pt>
                  <c:pt idx="1">
                    <c:v>GERMANY</c:v>
                  </c:pt>
                  <c:pt idx="2">
                    <c:v>NORWAY</c:v>
                  </c:pt>
                  <c:pt idx="3">
                    <c:v>SWEDEN</c:v>
                  </c:pt>
                </c:lvl>
                <c:lvl>
                  <c:pt idx="0">
                    <c:v>2016</c:v>
                  </c:pt>
                </c:lvl>
              </c:multiLvlStrCache>
            </c:multiLvlStrRef>
          </c:cat>
          <c:val>
            <c:numRef>
              <c:f>'EL GEN CAP ENDO'!$C$5:$C$10</c:f>
              <c:numCache>
                <c:formatCode>General</c:formatCode>
                <c:ptCount val="4"/>
                <c:pt idx="0">
                  <c:v>4294.1154863758529</c:v>
                </c:pt>
                <c:pt idx="2">
                  <c:v>72.805914504396895</c:v>
                </c:pt>
                <c:pt idx="3">
                  <c:v>2792.8523784951039</c:v>
                </c:pt>
              </c:numCache>
            </c:numRef>
          </c:val>
          <c:extLst>
            <c:ext xmlns:c16="http://schemas.microsoft.com/office/drawing/2014/chart" uri="{C3380CC4-5D6E-409C-BE32-E72D297353CC}">
              <c16:uniqueId val="{00000000-67CC-4F68-AE9E-AFF00E13A127}"/>
            </c:ext>
          </c:extLst>
        </c:ser>
        <c:ser>
          <c:idx val="1"/>
          <c:order val="1"/>
          <c:tx>
            <c:strRef>
              <c:f>'EL GEN CAP ENDO'!$D$3:$D$4</c:f>
              <c:strCache>
                <c:ptCount val="1"/>
                <c:pt idx="0">
                  <c:v>SUN</c:v>
                </c:pt>
              </c:strCache>
            </c:strRef>
          </c:tx>
          <c:spPr>
            <a:solidFill>
              <a:schemeClr val="accent2"/>
            </a:solidFill>
            <a:ln>
              <a:noFill/>
            </a:ln>
            <a:effectLst/>
          </c:spPr>
          <c:invertIfNegative val="0"/>
          <c:cat>
            <c:multiLvlStrRef>
              <c:f>'EL GEN CAP ENDO'!$B$5:$B$10</c:f>
              <c:multiLvlStrCache>
                <c:ptCount val="4"/>
                <c:lvl>
                  <c:pt idx="0">
                    <c:v>DENMARK</c:v>
                  </c:pt>
                  <c:pt idx="1">
                    <c:v>GERMANY</c:v>
                  </c:pt>
                  <c:pt idx="2">
                    <c:v>NORWAY</c:v>
                  </c:pt>
                  <c:pt idx="3">
                    <c:v>SWEDEN</c:v>
                  </c:pt>
                </c:lvl>
                <c:lvl>
                  <c:pt idx="0">
                    <c:v>2016</c:v>
                  </c:pt>
                </c:lvl>
              </c:multiLvlStrCache>
            </c:multiLvlStrRef>
          </c:cat>
          <c:val>
            <c:numRef>
              <c:f>'EL GEN CAP ENDO'!$D$5:$D$10</c:f>
              <c:numCache>
                <c:formatCode>General</c:formatCode>
                <c:ptCount val="4"/>
                <c:pt idx="1">
                  <c:v>5949.3464173623097</c:v>
                </c:pt>
              </c:numCache>
            </c:numRef>
          </c:val>
          <c:extLst>
            <c:ext xmlns:c16="http://schemas.microsoft.com/office/drawing/2014/chart" uri="{C3380CC4-5D6E-409C-BE32-E72D297353CC}">
              <c16:uniqueId val="{00000001-67CC-4F68-AE9E-AFF00E13A127}"/>
            </c:ext>
          </c:extLst>
        </c:ser>
        <c:dLbls>
          <c:showLegendKey val="0"/>
          <c:showVal val="0"/>
          <c:showCatName val="0"/>
          <c:showSerName val="0"/>
          <c:showPercent val="0"/>
          <c:showBubbleSize val="0"/>
        </c:dLbls>
        <c:gapWidth val="219"/>
        <c:overlap val="-27"/>
        <c:axId val="1671044639"/>
        <c:axId val="1671032991"/>
      </c:barChart>
      <c:catAx>
        <c:axId val="1671044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71032991"/>
        <c:crosses val="autoZero"/>
        <c:auto val="1"/>
        <c:lblAlgn val="ctr"/>
        <c:lblOffset val="100"/>
        <c:noMultiLvlLbl val="0"/>
      </c:catAx>
      <c:valAx>
        <c:axId val="1671032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7104463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14</xdr:row>
          <xdr:rowOff>190500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28575</xdr:colOff>
          <xdr:row>2</xdr:row>
          <xdr:rowOff>28575</xdr:rowOff>
        </xdr:from>
        <xdr:to>
          <xdr:col>8</xdr:col>
          <xdr:colOff>161925</xdr:colOff>
          <xdr:row>5</xdr:row>
          <xdr:rowOff>28575</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Clean PivotTable cache and refresh all tables</a:t>
              </a:r>
            </a:p>
            <a:p>
              <a:pPr algn="ctr" rtl="0">
                <a:defRPr sz="1000"/>
              </a:pPr>
              <a:r>
                <a:rPr lang="et-EE" sz="1100" b="0" i="0" u="none" strike="noStrike" baseline="0">
                  <a:solidFill>
                    <a:srgbClr val="000000"/>
                  </a:solidFill>
                  <a:latin typeface="Calibri"/>
                  <a:cs typeface="Calibri"/>
                </a:rPr>
                <a:t>(TEST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741" name="Check Box 693" hidden="1">
              <a:extLst>
                <a:ext uri="{63B3BB69-23CF-44E3-9099-C40C66FF867C}">
                  <a14:compatExt spid="_x0000_s274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76200</xdr:colOff>
          <xdr:row>16</xdr:row>
          <xdr:rowOff>19050</xdr:rowOff>
        </xdr:to>
        <xdr:sp macro="" textlink="">
          <xdr:nvSpPr>
            <xdr:cNvPr id="2742" name="Check Box 694" hidden="1">
              <a:extLst>
                <a:ext uri="{63B3BB69-23CF-44E3-9099-C40C66FF867C}">
                  <a14:compatExt spid="_x0000_s274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76200</xdr:colOff>
          <xdr:row>17</xdr:row>
          <xdr:rowOff>19050</xdr:rowOff>
        </xdr:to>
        <xdr:sp macro="" textlink="">
          <xdr:nvSpPr>
            <xdr:cNvPr id="2743" name="Check Box 695" hidden="1">
              <a:extLst>
                <a:ext uri="{63B3BB69-23CF-44E3-9099-C40C66FF867C}">
                  <a14:compatExt spid="_x0000_s274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76200</xdr:colOff>
          <xdr:row>18</xdr:row>
          <xdr:rowOff>19050</xdr:rowOff>
        </xdr:to>
        <xdr:sp macro="" textlink="">
          <xdr:nvSpPr>
            <xdr:cNvPr id="2744" name="Check Box 696" hidden="1">
              <a:extLst>
                <a:ext uri="{63B3BB69-23CF-44E3-9099-C40C66FF867C}">
                  <a14:compatExt spid="_x0000_s274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515469</xdr:colOff>
      <xdr:row>19</xdr:row>
      <xdr:rowOff>112060</xdr:rowOff>
    </xdr:from>
    <xdr:to>
      <xdr:col>15</xdr:col>
      <xdr:colOff>5118</xdr:colOff>
      <xdr:row>43</xdr:row>
      <xdr:rowOff>25616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885824</xdr:colOff>
      <xdr:row>9</xdr:row>
      <xdr:rowOff>9524</xdr:rowOff>
    </xdr:from>
    <xdr:to>
      <xdr:col>8</xdr:col>
      <xdr:colOff>1523999</xdr:colOff>
      <xdr:row>26</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638174</xdr:colOff>
      <xdr:row>1</xdr:row>
      <xdr:rowOff>180975</xdr:rowOff>
    </xdr:from>
    <xdr:to>
      <xdr:col>12</xdr:col>
      <xdr:colOff>180974</xdr:colOff>
      <xdr:row>27</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580865</xdr:colOff>
      <xdr:row>0</xdr:row>
      <xdr:rowOff>0</xdr:rowOff>
    </xdr:from>
    <xdr:to>
      <xdr:col>12</xdr:col>
      <xdr:colOff>126958</xdr:colOff>
      <xdr:row>38</xdr:row>
      <xdr:rowOff>140834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809625</xdr:colOff>
      <xdr:row>3</xdr:row>
      <xdr:rowOff>119061</xdr:rowOff>
    </xdr:from>
    <xdr:to>
      <xdr:col>9</xdr:col>
      <xdr:colOff>733425</xdr:colOff>
      <xdr:row>28</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268942</xdr:colOff>
      <xdr:row>10</xdr:row>
      <xdr:rowOff>145676</xdr:rowOff>
    </xdr:from>
    <xdr:to>
      <xdr:col>9</xdr:col>
      <xdr:colOff>302558</xdr:colOff>
      <xdr:row>36</xdr:row>
      <xdr:rowOff>134469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619125</xdr:colOff>
      <xdr:row>2</xdr:row>
      <xdr:rowOff>80962</xdr:rowOff>
    </xdr:from>
    <xdr:to>
      <xdr:col>9</xdr:col>
      <xdr:colOff>257175</xdr:colOff>
      <xdr:row>16</xdr:row>
      <xdr:rowOff>157162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819149</xdr:colOff>
      <xdr:row>5</xdr:row>
      <xdr:rowOff>161925</xdr:rowOff>
    </xdr:from>
    <xdr:to>
      <xdr:col>13</xdr:col>
      <xdr:colOff>742949</xdr:colOff>
      <xdr:row>32</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104775</xdr:colOff>
      <xdr:row>18</xdr:row>
      <xdr:rowOff>57150</xdr:rowOff>
    </xdr:from>
    <xdr:to>
      <xdr:col>8</xdr:col>
      <xdr:colOff>1409700</xdr:colOff>
      <xdr:row>38</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371474</xdr:colOff>
      <xdr:row>6</xdr:row>
      <xdr:rowOff>57149</xdr:rowOff>
    </xdr:from>
    <xdr:to>
      <xdr:col>15</xdr:col>
      <xdr:colOff>419099</xdr:colOff>
      <xdr:row>25</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4762</xdr:colOff>
      <xdr:row>1</xdr:row>
      <xdr:rowOff>95250</xdr:rowOff>
    </xdr:from>
    <xdr:to>
      <xdr:col>11</xdr:col>
      <xdr:colOff>247650</xdr:colOff>
      <xdr:row>24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5</xdr:col>
      <xdr:colOff>33337</xdr:colOff>
      <xdr:row>4</xdr:row>
      <xdr:rowOff>19050</xdr:rowOff>
    </xdr:from>
    <xdr:to>
      <xdr:col>12</xdr:col>
      <xdr:colOff>338137</xdr:colOff>
      <xdr:row>18</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80961</xdr:colOff>
      <xdr:row>3</xdr:row>
      <xdr:rowOff>104774</xdr:rowOff>
    </xdr:from>
    <xdr:to>
      <xdr:col>11</xdr:col>
      <xdr:colOff>619124</xdr:colOff>
      <xdr:row>31</xdr:row>
      <xdr:rowOff>38099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6</xdr:col>
      <xdr:colOff>457200</xdr:colOff>
      <xdr:row>4</xdr:row>
      <xdr:rowOff>152400</xdr:rowOff>
    </xdr:from>
    <xdr:to>
      <xdr:col>14</xdr:col>
      <xdr:colOff>152400</xdr:colOff>
      <xdr:row>19</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166.624756365738" missingItemsLimit="0" createdVersion="5" refreshedVersion="6" minRefreshableVersion="3" recordCount="4">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4">
        <s v="NORWAY"/>
        <s v="DENMARK"/>
        <s v="GERMANY"/>
        <s v="SWEDEN"/>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166.624760995372" missingItemsLimit="0" createdVersion="5" refreshedVersion="6" minRefreshableVersion="3" recordCount="720">
  <cacheSource type="external" connectionId="10"/>
  <cacheFields count="8">
    <cacheField name="Case1" numFmtId="0" sqlType="-10">
      <sharedItems count="1">
        <s v="BASE"/>
      </sharedItems>
    </cacheField>
    <cacheField name="Year1" numFmtId="0" sqlType="-10">
      <sharedItems count="1">
        <s v="2016"/>
      </sharedItems>
    </cacheField>
    <cacheField name="Year2" numFmtId="0" sqlType="-10">
      <sharedItems count="2">
        <s v="2016"/>
        <s v="2030"/>
      </sharedItems>
    </cacheField>
    <cacheField name="Country" numFmtId="0" sqlType="-10">
      <sharedItems count="4">
        <s v="DENMARK"/>
        <s v="GERMANY"/>
        <s v="NORWAY"/>
        <s v="SWEDEN"/>
      </sharedItems>
    </cacheField>
    <cacheField name="Region" numFmtId="0" sqlType="-10">
      <sharedItems count="15">
        <s v="DK1"/>
        <s v="DK2"/>
        <s v="DE4-E"/>
        <s v="DE4-N"/>
        <s v="DE4-S"/>
        <s v="DE4-W"/>
        <s v="NO1"/>
        <s v="NO2"/>
        <s v="NO3"/>
        <s v="NO4"/>
        <s v="NO5"/>
        <s v="SE1"/>
        <s v="SE2"/>
        <s v="SE3"/>
        <s v="SE4"/>
      </sharedItems>
    </cacheField>
    <cacheField name="Season" numFmtId="0" sqlType="-10">
      <sharedItems count="1">
        <s v="S1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OMONEY/MWh" numFmtId="0" sqlType="8">
      <sharedItems containsSemiMixedTypes="0" containsString="0" containsNumber="1" minValue="-9.1436182730484695E-4" maxValue="436.32531202774499" count="24">
        <n v="341.67237618144202"/>
        <n v="347.67507060161199"/>
        <n v="356.653243195659"/>
        <n v="9.5444867150819095E-4"/>
        <n v="1.9507416480303099E-3"/>
        <n v="86.436862732438001"/>
        <n v="118.538452362754"/>
        <n v="276.83282538503403"/>
        <n v="82.805600135848294"/>
        <n v="113.558923001691"/>
        <n v="59.878483759990999"/>
        <n v="265.20493235703498"/>
        <n v="372.29089143597002"/>
        <n v="405.65297063555602"/>
        <n v="388.61411506886202"/>
        <n v="301.64030808082703"/>
        <n v="123.736290944239"/>
        <n v="288.970500779605"/>
        <n v="436.32531202774499"/>
        <n v="313.57180514738502"/>
        <n v="327.32070558182102"/>
        <n v="0"/>
        <n v="300.400358531194"/>
        <n v="-9.1436182730484695E-4"/>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166.624765046297" missingItemsLimit="0" createdVersion="5" refreshedVersion="6" minRefreshableVersion="3" recordCount="1488">
  <cacheSource type="external" connectionId="19"/>
  <cacheFields count="10">
    <cacheField name="Case" numFmtId="0" sqlType="-10">
      <sharedItems count="1">
        <s v="BASE"/>
      </sharedItems>
    </cacheField>
    <cacheField name="Year1" numFmtId="0" sqlType="-10">
      <sharedItems count="1">
        <s v="2016"/>
      </sharedItems>
    </cacheField>
    <cacheField name="Year2" numFmtId="0" sqlType="-10">
      <sharedItems count="2">
        <s v="2016"/>
        <s v="2030"/>
      </sharedItems>
    </cacheField>
    <cacheField name="Country" numFmtId="0" sqlType="-10">
      <sharedItems count="3">
        <s v="DENMARK"/>
        <s v="NORWAY"/>
        <s v="SWEDEN"/>
      </sharedItems>
    </cacheField>
    <cacheField name="Region" numFmtId="0" sqlType="-10">
      <sharedItems count="11">
        <s v="DK1"/>
        <s v="DK2"/>
        <s v="NO1"/>
        <s v="NO2"/>
        <s v="NO3"/>
        <s v="NO4"/>
        <s v="NO5"/>
        <s v="SE1"/>
        <s v="SE2"/>
        <s v="SE3"/>
        <s v="SE4"/>
      </sharedItems>
    </cacheField>
    <cacheField name="Area" numFmtId="0" sqlType="-10">
      <sharedItems count="30">
        <s v="DK1_Large"/>
        <s v="DK1_MedSmall"/>
        <s v="DK1_Medium"/>
        <s v="DK1_Rural"/>
        <s v="DK1_Small"/>
        <s v="DK2_Rural"/>
        <s v="DK2_Large"/>
        <s v="DK2_MedSmall"/>
        <s v="DK2_Medium"/>
        <s v="DK2_Small"/>
        <s v="NO1_A1"/>
        <s v="NO1_A2"/>
        <s v="NO2_A1"/>
        <s v="NO3_A1"/>
        <s v="NO3_A2"/>
        <s v="NO4_A1"/>
        <s v="NO5_A1"/>
        <s v="SE1_EL"/>
        <s v="SE1_OTHER"/>
        <s v="SE2_EL"/>
        <s v="SE2_OTHER"/>
        <s v="SE3_EL"/>
        <s v="SE3_GOT"/>
        <s v="SE3_HP"/>
        <s v="SE3_OTHER"/>
        <s v="SE3_STO"/>
        <s v="SE4_EL"/>
        <s v="SE4_HP"/>
        <s v="SE4_MAL"/>
        <s v="SE4_OTHER"/>
      </sharedItems>
    </cacheField>
    <cacheField name="Season" numFmtId="0" sqlType="-10">
      <sharedItems count="1">
        <s v="S1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OMONEY/GJ" numFmtId="0" sqlType="8">
      <sharedItems containsSemiMixedTypes="0" containsString="0" containsNumber="1" minValue="-5.2772518695457" maxValue="133.02703033681701"/>
    </cacheField>
    <cacheField name="OMONEY/MWh" numFmtId="0" sqlType="8">
      <sharedItems containsSemiMixedTypes="0" containsString="0" containsNumber="1" minValue="-18.998106730364501" maxValue="478.89730921254102"/>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166.624768981485" missingItemsLimit="0" createdVersion="5" refreshedVersion="6" minRefreshableVersion="3" recordCount="317">
  <cacheSource type="external" connectionId="7"/>
  <cacheFields count="11">
    <cacheField name="Case" numFmtId="0" sqlType="-10">
      <sharedItems count="1">
        <s v="BASE"/>
      </sharedItems>
    </cacheField>
    <cacheField name="Year1" numFmtId="0" sqlType="-10">
      <sharedItems count="1">
        <s v="2016"/>
      </sharedItems>
    </cacheField>
    <cacheField name="Year2" numFmtId="0" sqlType="-10">
      <sharedItems count="2">
        <s v="2016"/>
        <s v="2030"/>
      </sharedItems>
    </cacheField>
    <cacheField name="Country" numFmtId="0" sqlType="-10">
      <sharedItems count="4">
        <s v="DENMARK"/>
        <s v="GERMANY"/>
        <s v="NORWAY"/>
        <s v="SWEDEN"/>
      </sharedItems>
    </cacheField>
    <cacheField name="Region" numFmtId="0" sqlType="-10">
      <sharedItems count="15">
        <s v="DK1"/>
        <s v="DK2"/>
        <s v="DE4-E"/>
        <s v="DE4-N"/>
        <s v="DE4-S"/>
        <s v="DE4-W"/>
        <s v="NO1"/>
        <s v="NO2"/>
        <s v="NO3"/>
        <s v="NO4"/>
        <s v="NO5"/>
        <s v="SE1"/>
        <s v="SE2"/>
        <s v="SE3"/>
        <s v="SE4"/>
      </sharedItems>
    </cacheField>
    <cacheField name="Area" numFmtId="0" sqlType="-10">
      <sharedItems/>
    </cacheField>
    <cacheField name="Fuel" numFmtId="0" sqlType="-10">
      <sharedItems count="15">
        <s v="COAL"/>
        <s v="ELECTRIC"/>
        <s v="MUNIWASTE"/>
        <s v="WOODCHIPS"/>
        <s v="SUN"/>
        <s v="WATER"/>
        <s v="WIND"/>
        <s v="STRAW"/>
        <s v="NATGAS"/>
        <s v="LIGNITE"/>
        <s v="WASTEHEAT"/>
        <s v="NUCLEAR"/>
        <s v="PEAT"/>
        <s v="WOODWASTE"/>
        <s v="RECYCLEDWOOD"/>
      </sharedItems>
    </cacheField>
    <cacheField name="Technology Type" numFmtId="0" sqlType="-10">
      <sharedItems count="10">
        <s v="2.26e+303"/>
        <s v="2.44e+303"/>
        <s v="2.29e+303"/>
        <s v="2.22e+303"/>
        <s v="2.19e+303"/>
        <s v="2.24e+303"/>
        <s v="2.65e+303"/>
        <s v="2.1e+303"/>
        <s v="2.21e+303"/>
        <s v="2.49e+303"/>
      </sharedItems>
    </cacheField>
    <cacheField name="Technology" numFmtId="0" sqlType="-10">
      <sharedItems/>
    </cacheField>
    <cacheField name="TWh" numFmtId="0" sqlType="8">
      <sharedItems containsSemiMixedTypes="0" containsString="0" containsNumber="1" minValue="-169.2432" maxValue="367.90634435157102"/>
    </cacheField>
    <cacheField name="PJ" numFmtId="0" sqlType="8">
      <sharedItems containsSemiMixedTypes="0" containsString="0" containsNumber="1" minValue="-609.27552000000003" maxValue="1324.462839665660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166.624774768519" missingItemsLimit="0" createdVersion="5" refreshedVersion="6" minRefreshableVersion="3" recordCount="6412">
  <cacheSource type="external" connectionId="8"/>
  <cacheFields count="14">
    <cacheField name="Case" numFmtId="0" sqlType="-10">
      <sharedItems count="1">
        <s v="BASE"/>
      </sharedItems>
    </cacheField>
    <cacheField name="Year1" numFmtId="0" sqlType="-10">
      <sharedItems count="1">
        <s v="2016"/>
      </sharedItems>
    </cacheField>
    <cacheField name="Year2" numFmtId="0" sqlType="-10">
      <sharedItems count="2">
        <s v="2016"/>
        <s v="2030"/>
      </sharedItems>
    </cacheField>
    <cacheField name="Country" numFmtId="0" sqlType="-10">
      <sharedItems count="4">
        <s v="DENMARK"/>
        <s v="GERMANY"/>
        <s v="NORWAY"/>
        <s v="SWEDEN"/>
      </sharedItems>
    </cacheField>
    <cacheField name="Region" numFmtId="0" sqlType="-10">
      <sharedItems count="15">
        <s v="DK1"/>
        <s v="DK2"/>
        <s v="DE4-E"/>
        <s v="DE4-N"/>
        <s v="DE4-S"/>
        <s v="DE4-W"/>
        <s v="NO1"/>
        <s v="NO2"/>
        <s v="NO3"/>
        <s v="NO4"/>
        <s v="NO5"/>
        <s v="SE1"/>
        <s v="SE2"/>
        <s v="SE3"/>
        <s v="SE4"/>
      </sharedItems>
    </cacheField>
    <cacheField name="Area" numFmtId="0" sqlType="-10">
      <sharedItems/>
    </cacheField>
    <cacheField name="Fuel" numFmtId="0" sqlType="-10">
      <sharedItems count="15">
        <s v="COAL"/>
        <s v="ELECTRIC"/>
        <s v="MUNIWASTE"/>
        <s v="WOODCHIPS"/>
        <s v="SUN"/>
        <s v="WATER"/>
        <s v="WIND"/>
        <s v="STRAW"/>
        <s v="NATGAS"/>
        <s v="LIGNITE"/>
        <s v="WASTEHEAT"/>
        <s v="NUCLEAR"/>
        <s v="PEAT"/>
        <s v="WOODWASTE"/>
        <s v="RECYCLEDWOOD"/>
      </sharedItems>
    </cacheField>
    <cacheField name="Technology Type" numFmtId="0" sqlType="-10">
      <sharedItems count="10">
        <s v="2.26e+303"/>
        <s v="2.44e+303"/>
        <s v="2.29e+303"/>
        <s v="2.22e+303"/>
        <s v="2.19e+303"/>
        <s v="2.24e+303"/>
        <s v="2.65e+303"/>
        <s v="2.1e+303"/>
        <s v="2.21e+303"/>
        <s v="2.49e+303"/>
      </sharedItems>
    </cacheField>
    <cacheField name="Technology" numFmtId="0" sqlType="-10">
      <sharedItems count="94">
        <s v="GNR_ST_COAL_EXT_E-43"/>
        <s v="GNR_ST_COAL_EXT_E-47"/>
        <s v="GNR_BO_ELEC_E-100"/>
        <s v="GNR_ST_MSW_BP_E-17"/>
        <s v="GNR_ST_MSW_BP_E-20"/>
        <s v="GNR_ST_MSW_BP_E-21"/>
        <s v="GNR_ST_MSW_BP_E-22"/>
        <s v="GNR_ST_MSW_BP_E-26"/>
        <s v="GNR_ST_WOODCHI_BP_E-30"/>
        <s v="GNR_PV_SUN"/>
        <s v="GNR_ROR_WTR"/>
        <s v="GNR_WT_WIND_ONS"/>
        <s v="GNR_WT_WIND_OFF"/>
        <s v="GNR_HP_ELEC_COP-300"/>
        <s v="GNR_HP_ELEC_COP-350"/>
        <s v="GNR_HP_ELEC_COP-400"/>
        <s v="GNR_HP_ELEC_COP-430"/>
        <s v="GNR_HP_ELEC_COP-450"/>
        <s v="GNR_HP_ELEC_COP-460"/>
        <s v="GNR_HP_ELEC_COP-470"/>
        <s v="GNR_HP_ELEC_COP-500"/>
        <s v="GNR_HP_ELEC_COP-530"/>
        <s v="GNR_HP_ELEC_COP-600"/>
        <s v="GNR_ST_STRW_BP_E-26"/>
        <s v="GNR_ST_COAL_BP_E-35"/>
        <s v="GNR_ENG_NGAS_BP_E-43"/>
        <s v="GNR_ENG_NGAS_BP_E-45"/>
        <s v="GNR_ENG_NGAS_BP_E-46"/>
        <s v="GNR_ST_STRW_BP_E-24"/>
        <s v="GNR_ST_STRW_BP_E-27"/>
        <s v="GNR_ST_STRW_BP_E-28"/>
        <s v="GNR_ST_COAL_EXT_E-42"/>
        <s v="GNR_ST_MSW_BP_E-16"/>
        <s v="GNR_ST_MSW_BP_E-27"/>
        <s v="GNR_ST_WOODCHI_BP_E-27"/>
        <s v="GNR_ST_MSW_BP_E-28"/>
        <s v="GNR_ST_COAL_BP_E-38"/>
        <s v="AGG-DE4-E_RES_WTR_PMP"/>
        <s v="GNR_ST_LIGN_BP_E-39"/>
        <s v="GNR_ST_LIGN_CND_E-43"/>
        <s v="GNR_ST_MSW_CND_E-33"/>
        <s v="GNR_GEO_HEAT_EO"/>
        <s v="GNR_ST_COAL_CND_E-46"/>
        <s v="AGG-DE4-N_RES_WTR_PMP"/>
        <s v="GNR_ST_NUCL_CND_E-33"/>
        <s v="GNR_ST_COAL_CND_E-44"/>
        <s v="AGG-DE4-S_RES_WTR_PMP"/>
        <s v="GNR_RES_WTR_NOPMP"/>
        <s v="GNR_ST_COAL_CND_E-45"/>
        <s v="AGG-DE4-W_RES_WTR_PMP"/>
        <s v="GNR_ST_LIGN_BP_E-33"/>
        <s v="GNR_ST_LIGN_BP_E-37"/>
        <s v="GNR_ST_LIGN_CND_E-32"/>
        <s v="GNR_ST_LIGN_CND_E-41"/>
        <s v="GETOH_HEATPUMP"/>
        <s v="GBPR_MUNIWASTE"/>
        <s v="GHYRR_WATER"/>
        <s v="GHYRS_WATER"/>
        <s v="GETOH_ELECTRICBOILER"/>
        <s v="GBPR_PEAT_38"/>
        <s v="GBPR_WOODWASTE"/>
        <s v="GBPR_MUNIWASTE_24"/>
        <s v="GBPR_WOODWASTE_25"/>
        <s v="GEXT_WOODWASTE_HORNEBORG"/>
        <s v="GBPR_WOODWASTE_36"/>
        <s v="GCND_NUCLEAR"/>
        <s v="GEXT_COAL_LINK"/>
        <s v="GETOH_HEATPUMP33"/>
        <s v="GBPR_MUNIWASTE_LINK"/>
        <s v="GEXT_PEAT"/>
        <s v="GBPR_RECYCLEDWOOD_SE3EL"/>
        <s v="GBPR_WOODWASTE_ABY"/>
        <s v="GBPR_WOODWASTE_GOT"/>
        <s v="GETOH_HEATPUMP2"/>
        <s v="GEXT_WOODWASTE"/>
        <s v="GBPR_COAL_SE3"/>
        <s v="GBPR_RECYCLEDWOOD_SE3OTHER"/>
        <s v="GBPR_COAL_VARTAN"/>
        <s v="GBPR_MUNIWASTE_HOGDALEN"/>
        <s v="GBPR_WOODWASTE_BRISTA"/>
        <s v="GETOH_HEATPUMP1"/>
        <s v="GBPR_RECYCLEDWOOD"/>
        <s v="GBPR_RECYCLEDWOOD_SE4EL"/>
        <s v="GBPR_MUNIWASTE_65"/>
        <s v="GBPR_NATGAS_MAL"/>
        <s v="GBPR_MUNIWASTE_19"/>
        <s v="GBPR_WOODCHIPS_25"/>
        <s v="GNR_BO_ELEC_E-99_LS-10-MW-FEED_Y-2030"/>
        <s v="GNR_HP_ELEC_COP-1200_Y-2030"/>
        <s v="GNR_ST_WOODCHI_BP_E-23"/>
        <s v="GNR_BO_ELEC_E-99_SS-1-MW-FEED_Y-2030"/>
        <s v="AGG-DE4-N_ES_ELEC"/>
        <s v="GNR_PV_SUN_LS-4-MW_Y-2030"/>
        <s v="GNR_PV_SUN_LS-4-MW_Y-2020"/>
      </sharedItems>
    </cacheField>
    <cacheField name="Season" numFmtId="0" sqlType="-10">
      <sharedItems count="1">
        <s v="S1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 numFmtId="0" sqlType="8">
      <sharedItems containsSemiMixedTypes="0" containsString="0" containsNumber="1" minValue="-19320" maxValue="42711.418366790698"/>
    </cacheField>
    <cacheField name="MWh" numFmtId="0" sqlType="8">
      <sharedItems containsSemiMixedTypes="0" containsString="0" containsNumber="1" minValue="-7051800" maxValue="15589667.7038786"/>
    </cacheField>
    <cacheField name="GJ" numFmtId="0" sqlType="8">
      <sharedItems containsSemiMixedTypes="0" containsString="0" containsNumber="1" minValue="-25386480" maxValue="56122803.733962998"/>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166.624780787039" missingItemsLimit="0" createdVersion="5" refreshedVersion="6" minRefreshableVersion="3" recordCount="388">
  <cacheSource type="external" connectionId="17"/>
  <cacheFields count="10">
    <cacheField name="Case" numFmtId="0" sqlType="-10">
      <sharedItems count="1">
        <s v="BASE"/>
      </sharedItems>
    </cacheField>
    <cacheField name="Year1" numFmtId="0" sqlType="-10">
      <sharedItems count="1">
        <s v="2016"/>
      </sharedItems>
    </cacheField>
    <cacheField name="Year2" numFmtId="0" sqlType="-10">
      <sharedItems count="2">
        <s v="2016"/>
        <s v="2030"/>
      </sharedItems>
    </cacheField>
    <cacheField name="Country" numFmtId="0" sqlType="-10">
      <sharedItems count="4">
        <s v="DENMARK"/>
        <s v="GERMANY"/>
        <s v="NORWAY"/>
        <s v="SWEDEN"/>
      </sharedItems>
    </cacheField>
    <cacheField name="Region" numFmtId="0" sqlType="-10">
      <sharedItems count="13">
        <s v="DK1"/>
        <s v="DK2"/>
        <s v="DE4-E"/>
        <s v="DE4-W"/>
        <s v="NO1"/>
        <s v="NO2"/>
        <s v="NO3"/>
        <s v="NO4"/>
        <s v="NO5"/>
        <s v="SE1"/>
        <s v="SE2"/>
        <s v="SE3"/>
        <s v="SE4"/>
      </sharedItems>
    </cacheField>
    <cacheField name="Area" numFmtId="0" sqlType="-10">
      <sharedItems/>
    </cacheField>
    <cacheField name="Fuel" numFmtId="0" sqlType="-10">
      <sharedItems count="14">
        <s v="COAL"/>
        <s v="MUNIWASTE"/>
        <s v="WASTEHEAT"/>
        <s v="ELECTRIC"/>
        <s v="NATGAS"/>
        <s v="STRAW"/>
        <s v="WOODCHIPS"/>
        <s v="WOODWASTE"/>
        <s v="LIGNITE"/>
        <s v="LPG"/>
        <s v="PEAT"/>
        <s v="RECYCLEDWOOD"/>
        <s v="OTHERGAS"/>
        <s v="SUN"/>
      </sharedItems>
    </cacheField>
    <cacheField name="Technology" numFmtId="0" sqlType="-10">
      <sharedItems/>
    </cacheField>
    <cacheField name="TWh" numFmtId="0" sqlType="8">
      <sharedItems containsSemiMixedTypes="0" containsString="0" containsNumber="1" minValue="3.0082417582417501E-5" maxValue="108.873952"/>
    </cacheField>
    <cacheField name="PJ" numFmtId="0" sqlType="8">
      <sharedItems containsSemiMixedTypes="0" containsString="0" containsNumber="1" minValue="1.08296703296703E-4" maxValue="391.9462272000000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166.624786458335" missingItemsLimit="0" createdVersion="5" refreshedVersion="6" minRefreshableVersion="3" recordCount="7274">
  <cacheSource type="external" connectionId="18"/>
  <cacheFields count="13">
    <cacheField name="Case" numFmtId="0" sqlType="-10">
      <sharedItems count="1">
        <s v="BASE"/>
      </sharedItems>
    </cacheField>
    <cacheField name="Year1" numFmtId="0" sqlType="-10">
      <sharedItems count="1">
        <s v="2016"/>
      </sharedItems>
    </cacheField>
    <cacheField name="Year2" numFmtId="0" sqlType="-10">
      <sharedItems count="2">
        <s v="2016"/>
        <s v="2030"/>
      </sharedItems>
    </cacheField>
    <cacheField name="Country" numFmtId="0" sqlType="-10">
      <sharedItems count="4">
        <s v="DENMARK"/>
        <s v="GERMANY"/>
        <s v="NORWAY"/>
        <s v="SWEDEN"/>
      </sharedItems>
    </cacheField>
    <cacheField name="Region" numFmtId="0" sqlType="-10">
      <sharedItems count="13">
        <s v="DK1"/>
        <s v="DK2"/>
        <s v="DE4-E"/>
        <s v="DE4-W"/>
        <s v="NO1"/>
        <s v="NO2"/>
        <s v="NO3"/>
        <s v="NO4"/>
        <s v="NO5"/>
        <s v="SE1"/>
        <s v="SE2"/>
        <s v="SE3"/>
        <s v="SE4"/>
      </sharedItems>
    </cacheField>
    <cacheField name="Area" numFmtId="0" sqlType="-10">
      <sharedItems/>
    </cacheField>
    <cacheField name="Fuel" numFmtId="0" sqlType="-10">
      <sharedItems count="14">
        <s v="COAL"/>
        <s v="MUNIWASTE"/>
        <s v="WASTEHEAT"/>
        <s v="ELECTRIC"/>
        <s v="NATGAS"/>
        <s v="STRAW"/>
        <s v="WOODCHIPS"/>
        <s v="WOODWASTE"/>
        <s v="LIGNITE"/>
        <s v="LPG"/>
        <s v="PEAT"/>
        <s v="RECYCLEDWOOD"/>
        <s v="OTHERGAS"/>
        <s v="SUN"/>
      </sharedItems>
    </cacheField>
    <cacheField name="Technology" numFmtId="0" sqlType="-10">
      <sharedItems/>
    </cacheField>
    <cacheField name="Season" numFmtId="0" sqlType="-10">
      <sharedItems count="1">
        <s v="S1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 numFmtId="0" sqlType="8">
      <sharedItems containsSemiMixedTypes="0" containsString="0" containsNumber="1" minValue="3.4340659340659201E-3" maxValue="12428.5333333333"/>
    </cacheField>
    <cacheField name="MWh" numFmtId="0" sqlType="8">
      <sharedItems containsSemiMixedTypes="0" containsString="0" containsNumber="1" minValue="1.2534340659340599" maxValue="4536414.6666666698"/>
    </cacheField>
    <cacheField name="GJ" numFmtId="0" sqlType="8">
      <sharedItems containsSemiMixedTypes="0" containsString="0" containsNumber="1" minValue="4.51236263736262" maxValue="16331092.80000000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166.624792245369" missingItemsLimit="0" createdVersion="5" refreshedVersion="6" minRefreshableVersion="3" recordCount="8243">
  <cacheSource type="external" connectionId="15"/>
  <cacheFields count="13">
    <cacheField name="Case" numFmtId="0" sqlType="-10">
      <sharedItems count="1">
        <s v="BASE"/>
      </sharedItems>
    </cacheField>
    <cacheField name="Year1" numFmtId="0" sqlType="-10">
      <sharedItems count="1">
        <s v="2016"/>
      </sharedItems>
    </cacheField>
    <cacheField name="Year2" numFmtId="0" sqlType="-10">
      <sharedItems count="2">
        <s v="2016"/>
        <s v="2030"/>
      </sharedItems>
    </cacheField>
    <cacheField name="Country" numFmtId="0" sqlType="-10">
      <sharedItems count="4">
        <s v="DENMARK"/>
        <s v="GERMANY"/>
        <s v="NORWAY"/>
        <s v="SWEDEN"/>
      </sharedItems>
    </cacheField>
    <cacheField name="Region" numFmtId="0" sqlType="-10">
      <sharedItems count="15">
        <s v="DK1"/>
        <s v="DK2"/>
        <s v="DE4-E"/>
        <s v="DE4-N"/>
        <s v="DE4-S"/>
        <s v="DE4-W"/>
        <s v="NO1"/>
        <s v="NO2"/>
        <s v="NO3"/>
        <s v="NO4"/>
        <s v="NO5"/>
        <s v="SE1"/>
        <s v="SE2"/>
        <s v="SE3"/>
        <s v="SE4"/>
      </sharedItems>
    </cacheField>
    <cacheField name="Area" numFmtId="0" sqlType="-10">
      <sharedItems/>
    </cacheField>
    <cacheField name="Fuel" numFmtId="0" sqlType="-10">
      <sharedItems count="17">
        <s v="COAL"/>
        <s v="MUNIWASTE"/>
        <s v="WASTEHEAT"/>
        <s v="NATGAS"/>
        <s v="STRAW"/>
        <s v="WOODCHIPS"/>
        <s v="SUN"/>
        <s v="WATER"/>
        <s v="WIND"/>
        <s v="WOODWASTE"/>
        <s v="ELECTRIC"/>
        <s v="LIGNITE"/>
        <s v="NUCLEAR"/>
        <s v="LPG"/>
        <s v="PEAT"/>
        <s v="RECYCLEDWOOD"/>
        <s v="OTHERGAS"/>
      </sharedItems>
    </cacheField>
    <cacheField name="Technology" numFmtId="0" sqlType="-10">
      <sharedItems/>
    </cacheField>
    <cacheField name="Season" numFmtId="0" sqlType="-10">
      <sharedItems count="1">
        <s v="S1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J/s" numFmtId="0" sqlType="8">
      <sharedItems containsSemiMixedTypes="0" containsString="0" containsNumber="1" minValue="5.8410958904109604E-4" maxValue="42711.418366790698"/>
    </cacheField>
    <cacheField name="MWh" numFmtId="0" sqlType="8">
      <sharedItems containsSemiMixedTypes="0" containsString="0" containsNumber="1" minValue="0.2132" maxValue="15589667.7038786"/>
    </cacheField>
    <cacheField name="GJ" numFmtId="0" sqlType="8">
      <sharedItems containsSemiMixedTypes="0" containsString="0" containsNumber="1" minValue="0.76751999999999998" maxValue="56122803.733962998"/>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166.624797222219" missingItemsLimit="0" createdVersion="5" refreshedVersion="6" minRefreshableVersion="3" recordCount="412">
  <cacheSource type="external" connectionId="14"/>
  <cacheFields count="10">
    <cacheField name="Case" numFmtId="0" sqlType="-10">
      <sharedItems count="1">
        <s v="BASE"/>
      </sharedItems>
    </cacheField>
    <cacheField name="Year1" numFmtId="0" sqlType="-10">
      <sharedItems count="1">
        <s v="2016"/>
      </sharedItems>
    </cacheField>
    <cacheField name="Year2" numFmtId="0" sqlType="-10">
      <sharedItems count="2">
        <s v="2016"/>
        <s v="2030"/>
      </sharedItems>
    </cacheField>
    <cacheField name="Country" numFmtId="0" sqlType="-10">
      <sharedItems count="4">
        <s v="DENMARK"/>
        <s v="GERMANY"/>
        <s v="NORWAY"/>
        <s v="SWEDEN"/>
      </sharedItems>
    </cacheField>
    <cacheField name="Region" numFmtId="0" sqlType="-10">
      <sharedItems count="15">
        <s v="DK1"/>
        <s v="DK2"/>
        <s v="DE4-E"/>
        <s v="DE4-N"/>
        <s v="DE4-S"/>
        <s v="DE4-W"/>
        <s v="NO1"/>
        <s v="NO2"/>
        <s v="NO3"/>
        <s v="NO4"/>
        <s v="NO5"/>
        <s v="SE1"/>
        <s v="SE2"/>
        <s v="SE3"/>
        <s v="SE4"/>
      </sharedItems>
    </cacheField>
    <cacheField name="Area" numFmtId="0" sqlType="-10">
      <sharedItems/>
    </cacheField>
    <cacheField name="Fuel" numFmtId="0" sqlType="-10">
      <sharedItems count="17">
        <s v="COAL"/>
        <s v="MUNIWASTE"/>
        <s v="WASTEHEAT"/>
        <s v="NATGAS"/>
        <s v="STRAW"/>
        <s v="WOODCHIPS"/>
        <s v="SUN"/>
        <s v="WATER"/>
        <s v="WIND"/>
        <s v="WOODWASTE"/>
        <s v="ELECTRIC"/>
        <s v="LIGNITE"/>
        <s v="NUCLEAR"/>
        <s v="LPG"/>
        <s v="PEAT"/>
        <s v="RECYCLEDWOOD"/>
        <s v="OTHERGAS"/>
      </sharedItems>
    </cacheField>
    <cacheField name="Technology" numFmtId="0" sqlType="-10">
      <sharedItems/>
    </cacheField>
    <cacheField name="TWh" numFmtId="0" sqlType="8">
      <sharedItems containsSemiMixedTypes="0" containsString="0" containsNumber="1" minValue="2.132E-7" maxValue="367.90634435157102"/>
    </cacheField>
    <cacheField name="PJ" numFmtId="0" sqlType="8">
      <sharedItems containsSemiMixedTypes="0" containsString="0" containsNumber="1" minValue="7.6751999999999998E-7" maxValue="1324.4628396656601"/>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166.62480578704" missingItemsLimit="0" createdVersion="5" refreshedVersion="6" minRefreshableVersion="3" recordCount="24">
  <cacheSource type="external" connectionId="11"/>
  <cacheFields count="14">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3">
        <s v="DENMARK"/>
        <s v="GERMANY"/>
        <s v="SWEDEN"/>
      </sharedItems>
    </cacheField>
    <cacheField name="Region" numFmtId="0" sqlType="-10">
      <sharedItems count="8">
        <s v="DK1"/>
        <s v="DK2"/>
        <s v="DE4-E"/>
        <s v="DE4-N"/>
        <s v="DE4-S"/>
        <s v="DE4-W"/>
        <s v="SE1"/>
        <s v="SE3"/>
      </sharedItems>
    </cacheField>
    <cacheField name="Area" numFmtId="0" sqlType="-10">
      <sharedItems count="13">
        <s v="DK1_Large"/>
        <s v="DK1_Rural"/>
        <s v="DK2_Rural"/>
        <s v="DK2_Large"/>
        <s v="DK2_Medium"/>
        <s v="DE4-E_A"/>
        <s v="DE4-N_A"/>
        <s v="DE4-S_A"/>
        <s v="DE4-W_A"/>
        <s v="SE1_OTHER"/>
        <s v="SE3_EL"/>
        <s v="SE3_OTHER"/>
        <s v="SE3_STO"/>
      </sharedItems>
    </cacheField>
    <cacheField name="Fuel" numFmtId="0" sqlType="-10">
      <sharedItems count="3">
        <s v="COAL"/>
        <s v="LIGNITE"/>
        <s v="PEAT"/>
      </sharedItems>
    </cacheField>
    <cacheField name="Technology" numFmtId="0" sqlType="-10">
      <sharedItems count="21">
        <s v="GNR_ST_COAL_EXT_E-43"/>
        <s v="GNR_ST_COAL_EXT_E-47"/>
        <s v="GNR_BO_COAL_E-91"/>
        <s v="GNR_ST_COAL_BP_E-35"/>
        <s v="GNR_ST_COAL_EXT_E-42"/>
        <s v="GNR_ST_COAL_BP_E-38"/>
        <s v="GNR_ST_LIGN_BP_E-39"/>
        <s v="GNR_ST_LIGN_CND_E-43"/>
        <s v="GNR_ST_COAL_CND_E-46"/>
        <s v="GNR_ST_COAL_CND_E-44"/>
        <s v="GNR_ST_COAL_CND_E-45"/>
        <s v="GNR_ST_LIGN_BP_E-33"/>
        <s v="GNR_ST_LIGN_BP_E-37"/>
        <s v="GNR_ST_LIGN_CND_E-32"/>
        <s v="GNR_ST_LIGN_CND_E-41"/>
        <s v="GBPR_PEAT_38"/>
        <s v="GHOB_PEAT"/>
        <s v="GEXT_COAL_LINK"/>
        <s v="GEXT_PEAT"/>
        <s v="GBPR_COAL_SE3"/>
        <s v="GBPR_COAL_VARTAN"/>
      </sharedItems>
    </cacheField>
    <cacheField name="CO2 kilotons" numFmtId="0" sqlType="8">
      <sharedItems containsSemiMixedTypes="0" containsString="0" containsNumber="1" minValue="32.783578021978002" maxValue="83740.818926769294" count="23">
        <n v="2320.5041956800001"/>
        <n v="2443.7716085106399"/>
        <n v="32.783578021978002"/>
        <n v="315.37802057142801"/>
        <n v="3551.55428571429"/>
        <n v="957.89356010526296"/>
        <n v="83740.818926769294"/>
        <n v="5214.7342883720903"/>
        <n v="1300.10075264084"/>
        <n v="3573.1864799999998"/>
        <n v="22865.380032000001"/>
        <n v="8350.3648799999992"/>
        <n v="31122.824703567599"/>
        <n v="49697.079794999998"/>
        <n v="34438.311921951201"/>
        <n v="57.101418113856603"/>
        <n v="41.852678010001"/>
        <n v="88.619010387996695"/>
        <n v="135.03785379537399"/>
        <n v="551.64792216035198"/>
        <n v="74.855554720888705"/>
        <n v="170.37153239567701"/>
        <n v="431.98791507821602"/>
      </sharedItems>
    </cacheField>
    <cacheField name="CO2 megatons" numFmtId="0" sqlType="8">
      <sharedItems containsSemiMixedTypes="0" containsString="0" containsNumber="1" minValue="3.2783578021978003E-2" maxValue="83.740818926769194" count="23">
        <n v="2.3205041956799999"/>
        <n v="2.44377160851064"/>
        <n v="3.2783578021978003E-2"/>
        <n v="0.315378020571428"/>
        <n v="3.5515542857142899"/>
        <n v="0.95789356010526305"/>
        <n v="83.740818926769194"/>
        <n v="5.2147342883720897"/>
        <n v="1.3001007526408399"/>
        <n v="3.5731864799999999"/>
        <n v="22.865380032000001"/>
        <n v="8.3503648800000008"/>
        <n v="31.122824703567598"/>
        <n v="49.697079795000001"/>
        <n v="34.438311921951197"/>
        <n v="5.7101418113856502E-2"/>
        <n v="4.1852678010000997E-2"/>
        <n v="8.8619010387996799E-2"/>
        <n v="0.135037853795374"/>
        <n v="0.55164792216035197"/>
        <n v="7.4855554720888701E-2"/>
        <n v="0.17037153239567701"/>
        <n v="0.43198791507821599"/>
      </sharedItems>
    </cacheField>
    <cacheField name="SO2 kilotons" numFmtId="0" sqlType="8">
      <sharedItems containsSemiMixedTypes="0" containsString="0" containsNumber="1" minValue="-2573.3375999999998" maxValue="1076.3446393107699" count="23">
        <n v="-1681.35982651892"/>
        <n v="-1770.6752762553199"/>
        <n v="0.24743630769230801"/>
        <n v="2.38033728"/>
        <n v="-2573.3375999999998"/>
        <n v="7.2297674621052597"/>
        <n v="1076.3446393107699"/>
        <n v="67.026467720930199"/>
        <n v="9.8125997609466804"/>
        <n v="26.9688704727273"/>
        <n v="172.57802688000001"/>
        <n v="107.32962240000001"/>
        <n v="400.03054614486501"/>
        <n v="638.77074660000005"/>
        <n v="442.64544936585298"/>
        <n v="0.128077947171267"/>
        <n v="9.3875165629908705E-2"/>
        <n v="0.66885806994746"/>
        <n v="0.30288864402700599"/>
        <n v="1.2373411338176099"/>
        <n v="0.16790030965433"/>
        <n v="1.2858908470455901"/>
        <n v="3.2604584710977398"/>
      </sharedItems>
    </cacheField>
    <cacheField name="SO2 megatons" numFmtId="0" sqlType="8">
      <sharedItems containsSemiMixedTypes="0" containsString="0" containsNumber="1" minValue="-2.5733375999999999" maxValue="1.0763446393107701" count="23">
        <n v="-1.68135982651892"/>
        <n v="-1.77067527625532"/>
        <n v="2.4743630769230801E-4"/>
        <n v="2.3803372799999999E-3"/>
        <n v="-2.5733375999999999"/>
        <n v="7.2297674621052601E-3"/>
        <n v="1.0763446393107701"/>
        <n v="6.7026467720930197E-2"/>
        <n v="9.8125997609466806E-3"/>
        <n v="2.6968870472727301E-2"/>
        <n v="0.17257802688000001"/>
        <n v="0.1073296224"/>
        <n v="0.400030546144865"/>
        <n v="0.63877074659999999"/>
        <n v="0.44264544936585398"/>
        <n v="1.28077947171267E-4"/>
        <n v="9.3875165629908705E-5"/>
        <n v="6.6885806994745997E-4"/>
        <n v="3.02888644027006E-4"/>
        <n v="1.2373411338176101E-3"/>
        <n v="1.6790030965433E-4"/>
        <n v="1.28589084704559E-3"/>
        <n v="3.2604584710977402E-3"/>
      </sharedItems>
    </cacheField>
    <cacheField name="N2O kilotons" numFmtId="0" sqlType="8">
      <sharedItems containsSemiMixedTypes="0" containsString="0" containsNumber="1" minValue="1.03964835164835E-3" maxValue="2.26122823384615" count="23">
        <n v="7.3588927981395394E-2"/>
        <n v="7.7498042553191496E-2"/>
        <n v="1.03964835164835E-3"/>
        <n v="1.00014171428571E-2"/>
        <n v="0.11262857142857099"/>
        <n v="3.0377174210526301E-2"/>
        <n v="2.26122823384615"/>
        <n v="0.14081190697674401"/>
        <n v="4.1229410760280201E-2"/>
        <n v="0.11331458181818201"/>
        <n v="0.72511775999999994"/>
        <n v="0.2254824"/>
        <n v="0.84040030702702795"/>
        <n v="1.3419553500000001"/>
        <n v="0.92992741463414696"/>
        <n v="1.60097433964084E-3"/>
        <n v="1.17343957037386E-3"/>
        <n v="2.81032802498933E-3"/>
        <n v="3.7861080503375799E-3"/>
        <n v="1.54667641727201E-2"/>
        <n v="2.09875387067912E-3"/>
        <n v="5.4029027186789699E-3"/>
        <n v="1.36994053407468E-2"/>
      </sharedItems>
    </cacheField>
    <cacheField name="N2O megatons" numFmtId="0" sqlType="8">
      <sharedItems containsSemiMixedTypes="0" containsString="0" containsNumber="1" minValue="1.0396483516483501E-6" maxValue="2.26122823384615E-3" count="23">
        <n v="7.3588927981395395E-5"/>
        <n v="7.7498042553191503E-5"/>
        <n v="1.0396483516483501E-6"/>
        <n v="1.0001417142857099E-5"/>
        <n v="1.12628571428571E-4"/>
        <n v="3.0377174210526299E-5"/>
        <n v="2.26122823384615E-3"/>
        <n v="1.40811906976744E-4"/>
        <n v="4.1229410760280201E-5"/>
        <n v="1.13314581818182E-4"/>
        <n v="7.2511775999999995E-4"/>
        <n v="2.2548239999999999E-4"/>
        <n v="8.4040030702702798E-4"/>
        <n v="1.34195535E-3"/>
        <n v="9.2992741463414602E-4"/>
        <n v="1.6009743396408399E-6"/>
        <n v="1.17343957037386E-6"/>
        <n v="2.8103280249893298E-6"/>
        <n v="3.7861080503375801E-6"/>
        <n v="1.5466764172720102E-5"/>
        <n v="2.09875387067912E-6"/>
        <n v="5.4029027186789701E-6"/>
        <n v="1.3699405340746799E-5"/>
      </sharedItems>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166.624812268521" missingItemsLimit="0" createdVersion="5" refreshedVersion="6" minRefreshableVersion="3" recordCount="1200">
  <cacheSource type="external" connectionId="20"/>
  <cacheFields count="10">
    <cacheField name="Case" numFmtId="0" sqlType="-10">
      <sharedItems count="1">
        <s v="BASE"/>
      </sharedItems>
    </cacheField>
    <cacheField name="Year1" numFmtId="0" sqlType="-10">
      <sharedItems count="1">
        <s v="2016"/>
      </sharedItems>
    </cacheField>
    <cacheField name="Year2" numFmtId="0" sqlType="-10">
      <sharedItems count="2">
        <s v="2016"/>
        <s v="2030"/>
      </sharedItems>
    </cacheField>
    <cacheField name="Country" numFmtId="0" sqlType="-10">
      <sharedItems count="4">
        <s v="DENMARK"/>
        <s v="GERMANY"/>
        <s v="NORWAY"/>
        <s v="SWEDEN"/>
      </sharedItems>
    </cacheField>
    <cacheField name="Region" numFmtId="0" sqlType="-10">
      <sharedItems count="15">
        <s v="DK1"/>
        <s v="DK2"/>
        <s v="DE4-E"/>
        <s v="DE4-N"/>
        <s v="DE4-S"/>
        <s v="DE4-W"/>
        <s v="NO1"/>
        <s v="NO2"/>
        <s v="NO3"/>
        <s v="NO4"/>
        <s v="NO5"/>
        <s v="SE1"/>
        <s v="SE2"/>
        <s v="SE3"/>
        <s v="SE4"/>
      </sharedItems>
    </cacheField>
    <cacheField name="Area" numFmtId="0" sqlType="-10">
      <sharedItems/>
    </cacheField>
    <cacheField name="Season" numFmtId="0" sqlType="-10">
      <sharedItems count="1">
        <s v="S1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h" numFmtId="0" sqlType="8">
      <sharedItems containsSemiMixedTypes="0" containsString="0" containsNumber="1" containsInteger="1" minValue="0" maxValue="0" count="1">
        <n v="0"/>
      </sharedItems>
    </cacheField>
    <cacheField name="GJ" numFmtId="0" sqlType="8">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166.624818055556" missingItemsLimit="0" createdVersion="5" refreshedVersion="6" minRefreshableVersion="3" recordCount="20">
  <cacheSource type="external" connectionId="21"/>
  <cacheFields count="8">
    <cacheField name="Case" numFmtId="0" sqlType="-10">
      <sharedItems count="1">
        <s v="BASE"/>
      </sharedItems>
    </cacheField>
    <cacheField name="Year1" numFmtId="0" sqlType="-10">
      <sharedItems count="1">
        <s v="2016"/>
      </sharedItems>
    </cacheField>
    <cacheField name="Year2" numFmtId="0" sqlType="-10">
      <sharedItems count="2">
        <s v="2016"/>
        <s v="2030"/>
      </sharedItems>
    </cacheField>
    <cacheField name="Country" numFmtId="0" sqlType="-10">
      <sharedItems count="3">
        <s v="GERMANY"/>
        <s v="SWEDEN"/>
        <s v="NORWAY"/>
      </sharedItems>
    </cacheField>
    <cacheField name="Region" numFmtId="0" sqlType="-10">
      <sharedItems count="10">
        <s v="DE4-S"/>
        <s v="SE1"/>
        <s v="SE2"/>
        <s v="SE3"/>
        <s v="SE4"/>
        <s v="NO1"/>
        <s v="NO2"/>
        <s v="NO3"/>
        <s v="NO4"/>
        <s v="NO5"/>
      </sharedItems>
    </cacheField>
    <cacheField name="Area" numFmtId="0" sqlType="-10">
      <sharedItems count="10">
        <s v="DE4-S_A"/>
        <s v="SE1A"/>
        <s v="SE2A"/>
        <s v="SE3A"/>
        <s v="SE4A"/>
        <s v="NO1_A1"/>
        <s v="NO2_A1"/>
        <s v="NO3_A1"/>
        <s v="NO4_A1"/>
        <s v="NO5_A1"/>
      </sharedItems>
    </cacheField>
    <cacheField name="Week" numFmtId="0" sqlType="-10">
      <sharedItems count="1">
        <s v="S12"/>
      </sharedItems>
    </cacheField>
    <cacheField name="MWh" numFmtId="0" sqlType="8">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166.624825231484" missingItemsLimit="0" createdVersion="5" refreshedVersion="6" minRefreshableVersion="3" recordCount="2640">
  <cacheSource type="external" connectionId="3"/>
  <cacheFields count="8">
    <cacheField name="Case" numFmtId="0" sqlType="-10">
      <sharedItems count="1">
        <s v="BASE"/>
      </sharedItems>
    </cacheField>
    <cacheField name="Year1" numFmtId="0" sqlType="-10">
      <sharedItems count="1">
        <s v="2016"/>
      </sharedItems>
    </cacheField>
    <cacheField name="Year2" numFmtId="0" sqlType="-10">
      <sharedItems count="2">
        <s v="2016"/>
        <s v="2030"/>
      </sharedItems>
    </cacheField>
    <cacheField name="Source" numFmtId="0" sqlType="-10">
      <sharedItems count="15">
        <s v="DE4-E"/>
        <s v="DE4-N"/>
        <s v="DE4-S"/>
        <s v="DE4-W"/>
        <s v="DK1"/>
        <s v="DK2"/>
        <s v="NO1"/>
        <s v="NO2"/>
        <s v="NO3"/>
        <s v="NO4"/>
        <s v="NO5"/>
        <s v="SE1"/>
        <s v="SE2"/>
        <s v="SE3"/>
        <s v="SE4"/>
      </sharedItems>
    </cacheField>
    <cacheField name="Destination" numFmtId="0" sqlType="-10">
      <sharedItems count="15">
        <s v="DE4-N"/>
        <s v="DE4-S"/>
        <s v="DE4-W"/>
        <s v="DK2"/>
        <s v="DE4-E"/>
        <s v="DK1"/>
        <s v="NO2"/>
        <s v="SE4"/>
        <s v="SE3"/>
        <s v="NO3"/>
        <s v="NO5"/>
        <s v="NO1"/>
        <s v="NO4"/>
        <s v="SE2"/>
        <s v="SE1"/>
      </sharedItems>
    </cacheField>
    <cacheField name="Season" numFmtId="0" sqlType="-10">
      <sharedItems count="1">
        <s v="S1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GW" numFmtId="0" sqlType="8">
      <sharedItems containsSemiMixedTypes="0" containsString="0" containsNumber="1" minValue="-36.553931789550802" maxValue="36.553931789550802"/>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166.624831597219" missingItemsLimit="0" createdVersion="5" refreshedVersion="6" minRefreshableVersion="3" recordCount="110">
  <cacheSource type="external" connectionId="2"/>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1" numFmtId="0" sqlType="-10">
      <sharedItems count="4">
        <s v="DENMARK"/>
        <s v="GERMANY"/>
        <s v="NORWAY"/>
        <s v="SWEDEN"/>
      </sharedItems>
    </cacheField>
    <cacheField name="Region1" numFmtId="0" sqlType="-10">
      <sharedItems count="15">
        <s v="DK1"/>
        <s v="DK2"/>
        <s v="DE4-E"/>
        <s v="DE4-N"/>
        <s v="DE4-S"/>
        <s v="DE4-W"/>
        <s v="NO1"/>
        <s v="NO2"/>
        <s v="NO3"/>
        <s v="NO4"/>
        <s v="NO5"/>
        <s v="SE1"/>
        <s v="SE2"/>
        <s v="SE3"/>
        <s v="SE4"/>
      </sharedItems>
    </cacheField>
    <cacheField name="Country2" numFmtId="0" sqlType="-10">
      <sharedItems count="4">
        <s v="DENMARK"/>
        <s v="GERMANY"/>
        <s v="NORWAY"/>
        <s v="SWEDEN"/>
      </sharedItems>
    </cacheField>
    <cacheField name="Region2" numFmtId="0" sqlType="-10">
      <sharedItems count="15">
        <s v="DK2"/>
        <s v="DE4-N"/>
        <s v="NO2"/>
        <s v="SE3"/>
        <s v="DK1"/>
        <s v="DE4-E"/>
        <s v="SE4"/>
        <s v="DE4-S"/>
        <s v="DE4-W"/>
        <s v="NO3"/>
        <s v="NO5"/>
        <s v="NO1"/>
        <s v="NO4"/>
        <s v="SE2"/>
        <s v="SE1"/>
      </sharedItems>
    </cacheField>
    <cacheField name="GWh" numFmtId="0" sqlType="8">
      <sharedItems containsSemiMixedTypes="0" containsString="0" containsNumber="1" minValue="0" maxValue="320212.44247646502"/>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166.624844791666" missingItemsLimit="0" createdVersion="5" refreshedVersion="6" minRefreshableVersion="3" recordCount="720">
  <cacheSource type="external" connectionId="5"/>
  <cacheFields count="9">
    <cacheField name="Case" numFmtId="0" sqlType="-10">
      <sharedItems count="1">
        <s v="BASE"/>
      </sharedItems>
    </cacheField>
    <cacheField name="Year" numFmtId="0" sqlType="-10">
      <sharedItems count="2">
        <s v="2016"/>
        <s v="2030"/>
      </sharedItems>
    </cacheField>
    <cacheField name="Country" numFmtId="0" sqlType="-10">
      <sharedItems count="4">
        <s v="DENMARK"/>
        <s v="GERMANY"/>
        <s v="NORWAY"/>
        <s v="SWEDEN"/>
      </sharedItems>
    </cacheField>
    <cacheField name="Region" numFmtId="0" sqlType="-10">
      <sharedItems count="15">
        <s v="DK1"/>
        <s v="DK2"/>
        <s v="DE4-E"/>
        <s v="DE4-N"/>
        <s v="DE4-S"/>
        <s v="DE4-W"/>
        <s v="NO1"/>
        <s v="NO2"/>
        <s v="NO3"/>
        <s v="NO4"/>
        <s v="NO5"/>
        <s v="SE1"/>
        <s v="SE2"/>
        <s v="SE3"/>
        <s v="SE4"/>
      </sharedItems>
    </cacheField>
    <cacheField name="UserGroup" numFmtId="0" sqlType="-10">
      <sharedItems count="1">
        <s v="RESE"/>
      </sharedItems>
    </cacheField>
    <cacheField name="Season" numFmtId="0" sqlType="-10">
      <sharedItems count="1">
        <s v="S1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 numFmtId="0" sqlType="8">
      <sharedItems containsSemiMixedTypes="0" containsString="0" containsNumber="1" minValue="695.47486871043498" maxValue="30116.9983739743"/>
    </cacheField>
    <cacheField name="MWh" numFmtId="0" sqlType="8">
      <sharedItems containsSemiMixedTypes="0" containsString="0" containsNumber="1" minValue="253848.32707930901" maxValue="10992704.4065006"/>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166.624851388886" missingItemsLimit="0" createdVersion="5" refreshedVersion="6" minRefreshableVersion="3" recordCount="30">
  <cacheSource type="external" connectionId="4"/>
  <cacheFields count="7">
    <cacheField name="Case" numFmtId="0" sqlType="-10">
      <sharedItems count="1">
        <s v="BASE"/>
      </sharedItems>
    </cacheField>
    <cacheField name="Year" numFmtId="0" sqlType="-10">
      <sharedItems count="2">
        <s v="2016"/>
        <s v="2030"/>
      </sharedItems>
    </cacheField>
    <cacheField name="Country" numFmtId="0" sqlType="-10">
      <sharedItems count="4">
        <s v="DENMARK"/>
        <s v="GERMANY"/>
        <s v="NORWAY"/>
        <s v="SWEDEN"/>
      </sharedItems>
    </cacheField>
    <cacheField name="Region" numFmtId="0" sqlType="-10">
      <sharedItems count="15">
        <s v="DK1"/>
        <s v="DK2"/>
        <s v="DE4-E"/>
        <s v="DE4-N"/>
        <s v="DE4-S"/>
        <s v="DE4-W"/>
        <s v="NO1"/>
        <s v="NO2"/>
        <s v="NO3"/>
        <s v="NO4"/>
        <s v="NO5"/>
        <s v="SE1"/>
        <s v="SE2"/>
        <s v="SE3"/>
        <s v="SE4"/>
      </sharedItems>
    </cacheField>
    <cacheField name="UserGroup" numFmtId="0" sqlType="-10">
      <sharedItems count="1">
        <s v="RESE"/>
      </sharedItems>
    </cacheField>
    <cacheField name="TWh" numFmtId="0" sqlType="8">
      <sharedItems containsSemiMixedTypes="0" containsString="0" containsNumber="1" minValue="9.0839719999999993" maxValue="223.6926" count="15">
        <n v="18.366678"/>
        <n v="12.605129"/>
        <n v="75.089299999999994"/>
        <n v="23.104399999999998"/>
        <n v="203.21369999999999"/>
        <n v="223.6926"/>
        <n v="34.480893999999999"/>
        <n v="33.131326999999999"/>
        <n v="23.994347999999999"/>
        <n v="17.984932000000001"/>
        <n v="15.296264000000001"/>
        <n v="9.0839719999999993"/>
        <n v="15.680241000000001"/>
        <n v="82.414223000000007"/>
        <n v="23.071190000000001"/>
      </sharedItems>
    </cacheField>
    <cacheField name="GWh" numFmtId="0" sqlType="8">
      <sharedItems containsSemiMixedTypes="0" containsString="0" containsNumber="1" minValue="9083.9719999999998" maxValue="223692.6" count="15">
        <n v="18366.678"/>
        <n v="12605.129000000001"/>
        <n v="75089.3"/>
        <n v="23104.400000000001"/>
        <n v="203213.7"/>
        <n v="223692.6"/>
        <n v="34480.894"/>
        <n v="33131.326999999997"/>
        <n v="23994.348000000002"/>
        <n v="17984.932000000001"/>
        <n v="15296.263999999999"/>
        <n v="9083.9719999999998"/>
        <n v="15680.241"/>
        <n v="82414.222999999998"/>
        <n v="23071.19"/>
      </sharedItems>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166.62485821759" missingItemsLimit="0" createdVersion="5" refreshedVersion="6" minRefreshableVersion="3" recordCount="1292">
  <cacheSource type="external" connectionId="13"/>
  <cacheFields count="9">
    <cacheField name="Case" numFmtId="0" sqlType="-10">
      <sharedItems count="1">
        <s v="BASE"/>
      </sharedItems>
    </cacheField>
    <cacheField name="Year" numFmtId="0" sqlType="-10">
      <sharedItems count="2">
        <s v="2016"/>
        <s v="2030"/>
      </sharedItems>
    </cacheField>
    <cacheField name="Country" numFmtId="0" sqlType="-10">
      <sharedItems count="11">
        <s v="NETHERLANDS"/>
        <s v="UNITED_KINGDOM"/>
        <s v="FINLAND"/>
        <s v="SWEDEN"/>
        <s v="POLAND"/>
        <s v="NORWAY"/>
        <s v="ESTONIA"/>
        <s v="LATVIA"/>
        <s v="LITHUANIA"/>
        <s v="GERMANY"/>
        <s v="DENMARK"/>
      </sharedItems>
    </cacheField>
    <cacheField name="Region" numFmtId="0" sqlType="-10">
      <sharedItems count="22">
        <s v="NE"/>
        <s v="UK"/>
        <s v="FIN"/>
        <s v="SE1"/>
        <s v="SE2"/>
        <s v="SE3"/>
        <s v="SE4"/>
        <s v="PL"/>
        <s v="NO3"/>
        <s v="NO1"/>
        <s v="NO2"/>
        <s v="NO4"/>
        <s v="NO5"/>
        <s v="EE"/>
        <s v="LV"/>
        <s v="LT"/>
        <s v="DE4-E"/>
        <s v="DE4-N"/>
        <s v="DE4-S"/>
        <s v="DE4-W"/>
        <s v="DK1"/>
        <s v="DK2"/>
      </sharedItems>
    </cacheField>
    <cacheField name="Area" numFmtId="0" sqlType="-10">
      <sharedItems/>
    </cacheField>
    <cacheField name="Fuel" numFmtId="0" sqlType="-10">
      <sharedItems count="23">
        <s v="COAL"/>
        <s v="FUELOIL"/>
        <s v="NATGAS"/>
        <s v="NUCLEAR"/>
        <s v="WOOD"/>
        <s v="PEAT"/>
        <s v="WOODCHIPS"/>
        <s v="WATER"/>
        <s v="SUN"/>
        <s v="WIND"/>
        <s v="WOODWASTE"/>
        <s v="BIOOIL"/>
        <s v="MUNIWASTE"/>
        <s v="RECYCLEDWOOD"/>
        <s v="WOODPELLETS"/>
        <s v="BIOGAS"/>
        <s v="HEAVYFUELOIL"/>
        <s v="ELECTRIC"/>
        <s v="SHALE"/>
        <s v="LIGNITE"/>
        <s v="STRAW"/>
        <s v="LIGHTOIL"/>
        <s v="WASTEHEAT"/>
      </sharedItems>
    </cacheField>
    <cacheField name="Technology" numFmtId="0" sqlType="-10">
      <sharedItems/>
    </cacheField>
    <cacheField name="MW" numFmtId="0" sqlType="8">
      <sharedItems containsSemiMixedTypes="0" containsString="0" containsNumber="1" minValue="0.01" maxValue="100000"/>
    </cacheField>
    <cacheField name="GW" numFmtId="0" sqlType="8">
      <sharedItems containsSemiMixedTypes="0" containsString="0" containsNumber="1" minValue="1.0000000000000001E-5" maxValue="100"/>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Hardi Koduvere" refreshedDate="43166.624864120371" missingItemsLimit="0" createdVersion="6" refreshedVersion="6" minRefreshableVersion="3" recordCount="29">
  <cacheSource type="external" connectionId="12"/>
  <cacheFields count="10">
    <cacheField name="Case" numFmtId="0" sqlType="-10">
      <sharedItems count="1">
        <s v="BASE"/>
      </sharedItems>
    </cacheField>
    <cacheField name="BaseYear" numFmtId="0" sqlType="-10">
      <sharedItems count="1">
        <s v="2016"/>
      </sharedItems>
    </cacheField>
    <cacheField name="ModelYear" numFmtId="0" sqlType="-10">
      <sharedItems count="1">
        <s v="2030"/>
      </sharedItems>
    </cacheField>
    <cacheField name="Country" numFmtId="0" sqlType="-10">
      <sharedItems count="4">
        <s v="DENMARK"/>
        <s v="GERMANY"/>
        <s v="NORWAY"/>
        <s v="SWEDEN"/>
      </sharedItems>
    </cacheField>
    <cacheField name="Region" numFmtId="0" sqlType="-10">
      <sharedItems count="8">
        <s v="DK1"/>
        <s v="DK2"/>
        <s v="DE4-S"/>
        <s v="NO1"/>
        <s v="SE1"/>
        <s v="SE2"/>
        <s v="SE3"/>
        <s v="SE4"/>
      </sharedItems>
    </cacheField>
    <cacheField name="Area" numFmtId="0" sqlType="-10">
      <sharedItems count="23">
        <s v="DK1_Large"/>
        <s v="DK1_MedSmall"/>
        <s v="DK1_Medium"/>
        <s v="DK1_Rural"/>
        <s v="DK1_Small"/>
        <s v="DK2_Rural"/>
        <s v="DK2_Large"/>
        <s v="DK2_MedSmall"/>
        <s v="DK2_Medium"/>
        <s v="DK2_Small"/>
        <s v="DE4-S_A"/>
        <s v="NO1_A2"/>
        <s v="SE1_OTHER"/>
        <s v="SE2_EL"/>
        <s v="SE2_OTHER"/>
        <s v="SE3_EL"/>
        <s v="SE3_GOT"/>
        <s v="SE3_HP"/>
        <s v="SE3_OTHER"/>
        <s v="SE3_STO"/>
        <s v="SE4_HP"/>
        <s v="SE4_MAL"/>
        <s v="SE4_OTHER"/>
      </sharedItems>
    </cacheField>
    <cacheField name="Fuel" numFmtId="0" sqlType="-10">
      <sharedItems count="2">
        <s v="ELECTRIC"/>
        <s v="SUN"/>
      </sharedItems>
    </cacheField>
    <cacheField name="Technology Type" numFmtId="0" sqlType="-10">
      <sharedItems count="2">
        <s v="2.44e+303"/>
        <s v="2.22e+303"/>
      </sharedItems>
    </cacheField>
    <cacheField name="Technology" numFmtId="0" sqlType="-10">
      <sharedItems count="4">
        <s v="GNR_BO_ELEC_E-99_LS-10-MW-FEED_Y-2030"/>
        <s v="GNR_HP_ELEC_COP-1200_Y-2030"/>
        <s v="GNR_BO_ELEC_E-99_SS-1-MW-FEED_Y-2030"/>
        <s v="GNR_PV_SUN_LS-4-MW_Y-2030"/>
      </sharedItems>
    </cacheField>
    <cacheField name="MW" numFmtId="0" sqlType="8">
      <sharedItems containsSemiMixedTypes="0" containsString="0" containsNumber="1" minValue="0.33168053661866997" maxValue="5949.3464173623097" count="28">
        <n v="100.617867806644"/>
        <n v="992.14156554713895"/>
        <n v="222.668102578164"/>
        <n v="475.71594071895902"/>
        <n v="583.354080650573"/>
        <n v="55.5610643483557"/>
        <n v="221.038301323014"/>
        <n v="167.35098780098099"/>
        <n v="954.01018165034304"/>
        <n v="1.5483753933111499"/>
        <n v="79.198627243346195"/>
        <n v="3.7435783883118501"/>
        <n v="196.67705303683499"/>
        <n v="0.33168053661866997"/>
        <n v="19.119778030244099"/>
        <n v="5949.3464173623097"/>
        <n v="72.805914504396895"/>
        <n v="78.811392951580302"/>
        <n v="63.675243957127201"/>
        <n v="130.710520652886"/>
        <n v="503.55222604809398"/>
        <n v="164.750019423152"/>
        <n v="193.64879072077699"/>
        <n v="923.18122598693401"/>
        <n v="127.302915337464"/>
        <n v="50.923728207707398"/>
        <n v="180.08909109492501"/>
        <n v="376.2072241144570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x v="0"/>
    <x v="0"/>
  </r>
  <r>
    <x v="0"/>
    <x v="0"/>
    <x v="1"/>
  </r>
  <r>
    <x v="0"/>
    <x v="0"/>
    <x v="2"/>
  </r>
  <r>
    <x v="0"/>
    <x v="0"/>
    <x v="3"/>
  </r>
</pivotCacheRecords>
</file>

<file path=xl/pivotCache/pivotCacheRecords2.xml><?xml version="1.0" encoding="utf-8"?>
<pivotCacheRecords xmlns="http://schemas.openxmlformats.org/spreadsheetml/2006/main" xmlns:r="http://schemas.openxmlformats.org/officeDocument/2006/relationships" count="720">
  <r>
    <x v="0"/>
    <x v="0"/>
    <x v="0"/>
    <x v="0"/>
    <x v="0"/>
    <x v="0"/>
    <x v="0"/>
    <x v="0"/>
  </r>
  <r>
    <x v="0"/>
    <x v="0"/>
    <x v="0"/>
    <x v="0"/>
    <x v="0"/>
    <x v="0"/>
    <x v="1"/>
    <x v="0"/>
  </r>
  <r>
    <x v="0"/>
    <x v="0"/>
    <x v="0"/>
    <x v="0"/>
    <x v="0"/>
    <x v="0"/>
    <x v="2"/>
    <x v="0"/>
  </r>
  <r>
    <x v="0"/>
    <x v="0"/>
    <x v="0"/>
    <x v="0"/>
    <x v="0"/>
    <x v="0"/>
    <x v="3"/>
    <x v="0"/>
  </r>
  <r>
    <x v="0"/>
    <x v="0"/>
    <x v="0"/>
    <x v="0"/>
    <x v="0"/>
    <x v="0"/>
    <x v="4"/>
    <x v="0"/>
  </r>
  <r>
    <x v="0"/>
    <x v="0"/>
    <x v="0"/>
    <x v="0"/>
    <x v="0"/>
    <x v="0"/>
    <x v="5"/>
    <x v="0"/>
  </r>
  <r>
    <x v="0"/>
    <x v="0"/>
    <x v="0"/>
    <x v="0"/>
    <x v="0"/>
    <x v="0"/>
    <x v="6"/>
    <x v="0"/>
  </r>
  <r>
    <x v="0"/>
    <x v="0"/>
    <x v="0"/>
    <x v="0"/>
    <x v="0"/>
    <x v="0"/>
    <x v="7"/>
    <x v="0"/>
  </r>
  <r>
    <x v="0"/>
    <x v="0"/>
    <x v="0"/>
    <x v="0"/>
    <x v="0"/>
    <x v="0"/>
    <x v="8"/>
    <x v="0"/>
  </r>
  <r>
    <x v="0"/>
    <x v="0"/>
    <x v="0"/>
    <x v="0"/>
    <x v="0"/>
    <x v="0"/>
    <x v="9"/>
    <x v="0"/>
  </r>
  <r>
    <x v="0"/>
    <x v="0"/>
    <x v="0"/>
    <x v="0"/>
    <x v="0"/>
    <x v="0"/>
    <x v="10"/>
    <x v="0"/>
  </r>
  <r>
    <x v="0"/>
    <x v="0"/>
    <x v="0"/>
    <x v="0"/>
    <x v="0"/>
    <x v="0"/>
    <x v="11"/>
    <x v="0"/>
  </r>
  <r>
    <x v="0"/>
    <x v="0"/>
    <x v="0"/>
    <x v="0"/>
    <x v="0"/>
    <x v="0"/>
    <x v="12"/>
    <x v="0"/>
  </r>
  <r>
    <x v="0"/>
    <x v="0"/>
    <x v="0"/>
    <x v="0"/>
    <x v="0"/>
    <x v="0"/>
    <x v="13"/>
    <x v="0"/>
  </r>
  <r>
    <x v="0"/>
    <x v="0"/>
    <x v="0"/>
    <x v="0"/>
    <x v="0"/>
    <x v="0"/>
    <x v="14"/>
    <x v="0"/>
  </r>
  <r>
    <x v="0"/>
    <x v="0"/>
    <x v="0"/>
    <x v="0"/>
    <x v="0"/>
    <x v="0"/>
    <x v="15"/>
    <x v="0"/>
  </r>
  <r>
    <x v="0"/>
    <x v="0"/>
    <x v="0"/>
    <x v="0"/>
    <x v="0"/>
    <x v="0"/>
    <x v="16"/>
    <x v="0"/>
  </r>
  <r>
    <x v="0"/>
    <x v="0"/>
    <x v="0"/>
    <x v="0"/>
    <x v="0"/>
    <x v="0"/>
    <x v="17"/>
    <x v="1"/>
  </r>
  <r>
    <x v="0"/>
    <x v="0"/>
    <x v="0"/>
    <x v="0"/>
    <x v="0"/>
    <x v="0"/>
    <x v="18"/>
    <x v="2"/>
  </r>
  <r>
    <x v="0"/>
    <x v="0"/>
    <x v="0"/>
    <x v="0"/>
    <x v="0"/>
    <x v="0"/>
    <x v="19"/>
    <x v="2"/>
  </r>
  <r>
    <x v="0"/>
    <x v="0"/>
    <x v="0"/>
    <x v="0"/>
    <x v="0"/>
    <x v="0"/>
    <x v="20"/>
    <x v="2"/>
  </r>
  <r>
    <x v="0"/>
    <x v="0"/>
    <x v="0"/>
    <x v="0"/>
    <x v="0"/>
    <x v="0"/>
    <x v="21"/>
    <x v="2"/>
  </r>
  <r>
    <x v="0"/>
    <x v="0"/>
    <x v="0"/>
    <x v="0"/>
    <x v="0"/>
    <x v="0"/>
    <x v="22"/>
    <x v="0"/>
  </r>
  <r>
    <x v="0"/>
    <x v="0"/>
    <x v="0"/>
    <x v="0"/>
    <x v="0"/>
    <x v="0"/>
    <x v="23"/>
    <x v="0"/>
  </r>
  <r>
    <x v="0"/>
    <x v="0"/>
    <x v="0"/>
    <x v="0"/>
    <x v="1"/>
    <x v="0"/>
    <x v="0"/>
    <x v="2"/>
  </r>
  <r>
    <x v="0"/>
    <x v="0"/>
    <x v="0"/>
    <x v="0"/>
    <x v="1"/>
    <x v="0"/>
    <x v="1"/>
    <x v="2"/>
  </r>
  <r>
    <x v="0"/>
    <x v="0"/>
    <x v="0"/>
    <x v="0"/>
    <x v="1"/>
    <x v="0"/>
    <x v="2"/>
    <x v="2"/>
  </r>
  <r>
    <x v="0"/>
    <x v="0"/>
    <x v="0"/>
    <x v="0"/>
    <x v="1"/>
    <x v="0"/>
    <x v="3"/>
    <x v="2"/>
  </r>
  <r>
    <x v="0"/>
    <x v="0"/>
    <x v="0"/>
    <x v="0"/>
    <x v="1"/>
    <x v="0"/>
    <x v="4"/>
    <x v="2"/>
  </r>
  <r>
    <x v="0"/>
    <x v="0"/>
    <x v="0"/>
    <x v="0"/>
    <x v="1"/>
    <x v="0"/>
    <x v="5"/>
    <x v="2"/>
  </r>
  <r>
    <x v="0"/>
    <x v="0"/>
    <x v="0"/>
    <x v="0"/>
    <x v="1"/>
    <x v="0"/>
    <x v="6"/>
    <x v="2"/>
  </r>
  <r>
    <x v="0"/>
    <x v="0"/>
    <x v="0"/>
    <x v="0"/>
    <x v="1"/>
    <x v="0"/>
    <x v="7"/>
    <x v="2"/>
  </r>
  <r>
    <x v="0"/>
    <x v="0"/>
    <x v="0"/>
    <x v="0"/>
    <x v="1"/>
    <x v="0"/>
    <x v="8"/>
    <x v="2"/>
  </r>
  <r>
    <x v="0"/>
    <x v="0"/>
    <x v="0"/>
    <x v="0"/>
    <x v="1"/>
    <x v="0"/>
    <x v="9"/>
    <x v="2"/>
  </r>
  <r>
    <x v="0"/>
    <x v="0"/>
    <x v="0"/>
    <x v="0"/>
    <x v="1"/>
    <x v="0"/>
    <x v="10"/>
    <x v="2"/>
  </r>
  <r>
    <x v="0"/>
    <x v="0"/>
    <x v="0"/>
    <x v="0"/>
    <x v="1"/>
    <x v="0"/>
    <x v="11"/>
    <x v="2"/>
  </r>
  <r>
    <x v="0"/>
    <x v="0"/>
    <x v="0"/>
    <x v="0"/>
    <x v="1"/>
    <x v="0"/>
    <x v="12"/>
    <x v="2"/>
  </r>
  <r>
    <x v="0"/>
    <x v="0"/>
    <x v="0"/>
    <x v="0"/>
    <x v="1"/>
    <x v="0"/>
    <x v="13"/>
    <x v="2"/>
  </r>
  <r>
    <x v="0"/>
    <x v="0"/>
    <x v="0"/>
    <x v="0"/>
    <x v="1"/>
    <x v="0"/>
    <x v="14"/>
    <x v="2"/>
  </r>
  <r>
    <x v="0"/>
    <x v="0"/>
    <x v="0"/>
    <x v="0"/>
    <x v="1"/>
    <x v="0"/>
    <x v="15"/>
    <x v="2"/>
  </r>
  <r>
    <x v="0"/>
    <x v="0"/>
    <x v="0"/>
    <x v="0"/>
    <x v="1"/>
    <x v="0"/>
    <x v="16"/>
    <x v="2"/>
  </r>
  <r>
    <x v="0"/>
    <x v="0"/>
    <x v="0"/>
    <x v="0"/>
    <x v="1"/>
    <x v="0"/>
    <x v="17"/>
    <x v="2"/>
  </r>
  <r>
    <x v="0"/>
    <x v="0"/>
    <x v="0"/>
    <x v="0"/>
    <x v="1"/>
    <x v="0"/>
    <x v="18"/>
    <x v="2"/>
  </r>
  <r>
    <x v="0"/>
    <x v="0"/>
    <x v="0"/>
    <x v="0"/>
    <x v="1"/>
    <x v="0"/>
    <x v="19"/>
    <x v="2"/>
  </r>
  <r>
    <x v="0"/>
    <x v="0"/>
    <x v="0"/>
    <x v="0"/>
    <x v="1"/>
    <x v="0"/>
    <x v="20"/>
    <x v="2"/>
  </r>
  <r>
    <x v="0"/>
    <x v="0"/>
    <x v="0"/>
    <x v="0"/>
    <x v="1"/>
    <x v="0"/>
    <x v="21"/>
    <x v="2"/>
  </r>
  <r>
    <x v="0"/>
    <x v="0"/>
    <x v="0"/>
    <x v="0"/>
    <x v="1"/>
    <x v="0"/>
    <x v="22"/>
    <x v="2"/>
  </r>
  <r>
    <x v="0"/>
    <x v="0"/>
    <x v="0"/>
    <x v="0"/>
    <x v="1"/>
    <x v="0"/>
    <x v="23"/>
    <x v="2"/>
  </r>
  <r>
    <x v="0"/>
    <x v="0"/>
    <x v="1"/>
    <x v="0"/>
    <x v="0"/>
    <x v="0"/>
    <x v="0"/>
    <x v="3"/>
  </r>
  <r>
    <x v="0"/>
    <x v="0"/>
    <x v="1"/>
    <x v="0"/>
    <x v="0"/>
    <x v="0"/>
    <x v="1"/>
    <x v="3"/>
  </r>
  <r>
    <x v="0"/>
    <x v="0"/>
    <x v="1"/>
    <x v="0"/>
    <x v="0"/>
    <x v="0"/>
    <x v="2"/>
    <x v="3"/>
  </r>
  <r>
    <x v="0"/>
    <x v="0"/>
    <x v="1"/>
    <x v="0"/>
    <x v="0"/>
    <x v="0"/>
    <x v="3"/>
    <x v="3"/>
  </r>
  <r>
    <x v="0"/>
    <x v="0"/>
    <x v="1"/>
    <x v="0"/>
    <x v="0"/>
    <x v="0"/>
    <x v="4"/>
    <x v="3"/>
  </r>
  <r>
    <x v="0"/>
    <x v="0"/>
    <x v="1"/>
    <x v="0"/>
    <x v="0"/>
    <x v="0"/>
    <x v="5"/>
    <x v="3"/>
  </r>
  <r>
    <x v="0"/>
    <x v="0"/>
    <x v="1"/>
    <x v="0"/>
    <x v="0"/>
    <x v="0"/>
    <x v="6"/>
    <x v="4"/>
  </r>
  <r>
    <x v="0"/>
    <x v="0"/>
    <x v="1"/>
    <x v="0"/>
    <x v="0"/>
    <x v="0"/>
    <x v="7"/>
    <x v="5"/>
  </r>
  <r>
    <x v="0"/>
    <x v="0"/>
    <x v="1"/>
    <x v="0"/>
    <x v="0"/>
    <x v="0"/>
    <x v="8"/>
    <x v="6"/>
  </r>
  <r>
    <x v="0"/>
    <x v="0"/>
    <x v="1"/>
    <x v="0"/>
    <x v="0"/>
    <x v="0"/>
    <x v="9"/>
    <x v="6"/>
  </r>
  <r>
    <x v="0"/>
    <x v="0"/>
    <x v="1"/>
    <x v="0"/>
    <x v="0"/>
    <x v="0"/>
    <x v="10"/>
    <x v="6"/>
  </r>
  <r>
    <x v="0"/>
    <x v="0"/>
    <x v="1"/>
    <x v="0"/>
    <x v="0"/>
    <x v="0"/>
    <x v="11"/>
    <x v="6"/>
  </r>
  <r>
    <x v="0"/>
    <x v="0"/>
    <x v="1"/>
    <x v="0"/>
    <x v="0"/>
    <x v="0"/>
    <x v="12"/>
    <x v="6"/>
  </r>
  <r>
    <x v="0"/>
    <x v="0"/>
    <x v="1"/>
    <x v="0"/>
    <x v="0"/>
    <x v="0"/>
    <x v="13"/>
    <x v="6"/>
  </r>
  <r>
    <x v="0"/>
    <x v="0"/>
    <x v="1"/>
    <x v="0"/>
    <x v="0"/>
    <x v="0"/>
    <x v="14"/>
    <x v="6"/>
  </r>
  <r>
    <x v="0"/>
    <x v="0"/>
    <x v="1"/>
    <x v="0"/>
    <x v="0"/>
    <x v="0"/>
    <x v="15"/>
    <x v="6"/>
  </r>
  <r>
    <x v="0"/>
    <x v="0"/>
    <x v="1"/>
    <x v="0"/>
    <x v="0"/>
    <x v="0"/>
    <x v="16"/>
    <x v="6"/>
  </r>
  <r>
    <x v="0"/>
    <x v="0"/>
    <x v="1"/>
    <x v="0"/>
    <x v="0"/>
    <x v="0"/>
    <x v="17"/>
    <x v="7"/>
  </r>
  <r>
    <x v="0"/>
    <x v="0"/>
    <x v="1"/>
    <x v="0"/>
    <x v="0"/>
    <x v="0"/>
    <x v="18"/>
    <x v="7"/>
  </r>
  <r>
    <x v="0"/>
    <x v="0"/>
    <x v="1"/>
    <x v="0"/>
    <x v="0"/>
    <x v="0"/>
    <x v="19"/>
    <x v="7"/>
  </r>
  <r>
    <x v="0"/>
    <x v="0"/>
    <x v="1"/>
    <x v="0"/>
    <x v="0"/>
    <x v="0"/>
    <x v="20"/>
    <x v="7"/>
  </r>
  <r>
    <x v="0"/>
    <x v="0"/>
    <x v="1"/>
    <x v="0"/>
    <x v="0"/>
    <x v="0"/>
    <x v="21"/>
    <x v="7"/>
  </r>
  <r>
    <x v="0"/>
    <x v="0"/>
    <x v="1"/>
    <x v="0"/>
    <x v="0"/>
    <x v="0"/>
    <x v="22"/>
    <x v="7"/>
  </r>
  <r>
    <x v="0"/>
    <x v="0"/>
    <x v="1"/>
    <x v="0"/>
    <x v="0"/>
    <x v="0"/>
    <x v="23"/>
    <x v="4"/>
  </r>
  <r>
    <x v="0"/>
    <x v="0"/>
    <x v="1"/>
    <x v="0"/>
    <x v="1"/>
    <x v="0"/>
    <x v="0"/>
    <x v="3"/>
  </r>
  <r>
    <x v="0"/>
    <x v="0"/>
    <x v="1"/>
    <x v="0"/>
    <x v="1"/>
    <x v="0"/>
    <x v="1"/>
    <x v="3"/>
  </r>
  <r>
    <x v="0"/>
    <x v="0"/>
    <x v="1"/>
    <x v="0"/>
    <x v="1"/>
    <x v="0"/>
    <x v="2"/>
    <x v="3"/>
  </r>
  <r>
    <x v="0"/>
    <x v="0"/>
    <x v="1"/>
    <x v="0"/>
    <x v="1"/>
    <x v="0"/>
    <x v="3"/>
    <x v="3"/>
  </r>
  <r>
    <x v="0"/>
    <x v="0"/>
    <x v="1"/>
    <x v="0"/>
    <x v="1"/>
    <x v="0"/>
    <x v="4"/>
    <x v="3"/>
  </r>
  <r>
    <x v="0"/>
    <x v="0"/>
    <x v="1"/>
    <x v="0"/>
    <x v="1"/>
    <x v="0"/>
    <x v="5"/>
    <x v="3"/>
  </r>
  <r>
    <x v="0"/>
    <x v="0"/>
    <x v="1"/>
    <x v="0"/>
    <x v="1"/>
    <x v="0"/>
    <x v="6"/>
    <x v="3"/>
  </r>
  <r>
    <x v="0"/>
    <x v="0"/>
    <x v="1"/>
    <x v="0"/>
    <x v="1"/>
    <x v="0"/>
    <x v="7"/>
    <x v="8"/>
  </r>
  <r>
    <x v="0"/>
    <x v="0"/>
    <x v="1"/>
    <x v="0"/>
    <x v="1"/>
    <x v="0"/>
    <x v="8"/>
    <x v="9"/>
  </r>
  <r>
    <x v="0"/>
    <x v="0"/>
    <x v="1"/>
    <x v="0"/>
    <x v="1"/>
    <x v="0"/>
    <x v="9"/>
    <x v="9"/>
  </r>
  <r>
    <x v="0"/>
    <x v="0"/>
    <x v="1"/>
    <x v="0"/>
    <x v="1"/>
    <x v="0"/>
    <x v="10"/>
    <x v="3"/>
  </r>
  <r>
    <x v="0"/>
    <x v="0"/>
    <x v="1"/>
    <x v="0"/>
    <x v="1"/>
    <x v="0"/>
    <x v="11"/>
    <x v="3"/>
  </r>
  <r>
    <x v="0"/>
    <x v="0"/>
    <x v="1"/>
    <x v="0"/>
    <x v="1"/>
    <x v="0"/>
    <x v="12"/>
    <x v="3"/>
  </r>
  <r>
    <x v="0"/>
    <x v="0"/>
    <x v="1"/>
    <x v="0"/>
    <x v="1"/>
    <x v="0"/>
    <x v="13"/>
    <x v="9"/>
  </r>
  <r>
    <x v="0"/>
    <x v="0"/>
    <x v="1"/>
    <x v="0"/>
    <x v="1"/>
    <x v="0"/>
    <x v="14"/>
    <x v="9"/>
  </r>
  <r>
    <x v="0"/>
    <x v="0"/>
    <x v="1"/>
    <x v="0"/>
    <x v="1"/>
    <x v="0"/>
    <x v="15"/>
    <x v="9"/>
  </r>
  <r>
    <x v="0"/>
    <x v="0"/>
    <x v="1"/>
    <x v="0"/>
    <x v="1"/>
    <x v="0"/>
    <x v="16"/>
    <x v="10"/>
  </r>
  <r>
    <x v="0"/>
    <x v="0"/>
    <x v="1"/>
    <x v="0"/>
    <x v="1"/>
    <x v="0"/>
    <x v="17"/>
    <x v="11"/>
  </r>
  <r>
    <x v="0"/>
    <x v="0"/>
    <x v="1"/>
    <x v="0"/>
    <x v="1"/>
    <x v="0"/>
    <x v="18"/>
    <x v="11"/>
  </r>
  <r>
    <x v="0"/>
    <x v="0"/>
    <x v="1"/>
    <x v="0"/>
    <x v="1"/>
    <x v="0"/>
    <x v="19"/>
    <x v="11"/>
  </r>
  <r>
    <x v="0"/>
    <x v="0"/>
    <x v="1"/>
    <x v="0"/>
    <x v="1"/>
    <x v="0"/>
    <x v="20"/>
    <x v="11"/>
  </r>
  <r>
    <x v="0"/>
    <x v="0"/>
    <x v="1"/>
    <x v="0"/>
    <x v="1"/>
    <x v="0"/>
    <x v="21"/>
    <x v="11"/>
  </r>
  <r>
    <x v="0"/>
    <x v="0"/>
    <x v="1"/>
    <x v="0"/>
    <x v="1"/>
    <x v="0"/>
    <x v="22"/>
    <x v="11"/>
  </r>
  <r>
    <x v="0"/>
    <x v="0"/>
    <x v="1"/>
    <x v="0"/>
    <x v="1"/>
    <x v="0"/>
    <x v="23"/>
    <x v="3"/>
  </r>
  <r>
    <x v="0"/>
    <x v="0"/>
    <x v="0"/>
    <x v="1"/>
    <x v="2"/>
    <x v="0"/>
    <x v="0"/>
    <x v="12"/>
  </r>
  <r>
    <x v="0"/>
    <x v="0"/>
    <x v="0"/>
    <x v="1"/>
    <x v="2"/>
    <x v="0"/>
    <x v="1"/>
    <x v="12"/>
  </r>
  <r>
    <x v="0"/>
    <x v="0"/>
    <x v="0"/>
    <x v="1"/>
    <x v="2"/>
    <x v="0"/>
    <x v="2"/>
    <x v="12"/>
  </r>
  <r>
    <x v="0"/>
    <x v="0"/>
    <x v="0"/>
    <x v="1"/>
    <x v="2"/>
    <x v="0"/>
    <x v="3"/>
    <x v="12"/>
  </r>
  <r>
    <x v="0"/>
    <x v="0"/>
    <x v="0"/>
    <x v="1"/>
    <x v="2"/>
    <x v="0"/>
    <x v="4"/>
    <x v="12"/>
  </r>
  <r>
    <x v="0"/>
    <x v="0"/>
    <x v="0"/>
    <x v="1"/>
    <x v="2"/>
    <x v="0"/>
    <x v="5"/>
    <x v="12"/>
  </r>
  <r>
    <x v="0"/>
    <x v="0"/>
    <x v="0"/>
    <x v="1"/>
    <x v="2"/>
    <x v="0"/>
    <x v="6"/>
    <x v="12"/>
  </r>
  <r>
    <x v="0"/>
    <x v="0"/>
    <x v="0"/>
    <x v="1"/>
    <x v="2"/>
    <x v="0"/>
    <x v="7"/>
    <x v="12"/>
  </r>
  <r>
    <x v="0"/>
    <x v="0"/>
    <x v="0"/>
    <x v="1"/>
    <x v="2"/>
    <x v="0"/>
    <x v="8"/>
    <x v="12"/>
  </r>
  <r>
    <x v="0"/>
    <x v="0"/>
    <x v="0"/>
    <x v="1"/>
    <x v="2"/>
    <x v="0"/>
    <x v="9"/>
    <x v="12"/>
  </r>
  <r>
    <x v="0"/>
    <x v="0"/>
    <x v="0"/>
    <x v="1"/>
    <x v="2"/>
    <x v="0"/>
    <x v="10"/>
    <x v="12"/>
  </r>
  <r>
    <x v="0"/>
    <x v="0"/>
    <x v="0"/>
    <x v="1"/>
    <x v="2"/>
    <x v="0"/>
    <x v="11"/>
    <x v="12"/>
  </r>
  <r>
    <x v="0"/>
    <x v="0"/>
    <x v="0"/>
    <x v="1"/>
    <x v="2"/>
    <x v="0"/>
    <x v="12"/>
    <x v="12"/>
  </r>
  <r>
    <x v="0"/>
    <x v="0"/>
    <x v="0"/>
    <x v="1"/>
    <x v="2"/>
    <x v="0"/>
    <x v="13"/>
    <x v="12"/>
  </r>
  <r>
    <x v="0"/>
    <x v="0"/>
    <x v="0"/>
    <x v="1"/>
    <x v="2"/>
    <x v="0"/>
    <x v="14"/>
    <x v="12"/>
  </r>
  <r>
    <x v="0"/>
    <x v="0"/>
    <x v="0"/>
    <x v="1"/>
    <x v="2"/>
    <x v="0"/>
    <x v="15"/>
    <x v="12"/>
  </r>
  <r>
    <x v="0"/>
    <x v="0"/>
    <x v="0"/>
    <x v="1"/>
    <x v="2"/>
    <x v="0"/>
    <x v="16"/>
    <x v="12"/>
  </r>
  <r>
    <x v="0"/>
    <x v="0"/>
    <x v="0"/>
    <x v="1"/>
    <x v="2"/>
    <x v="0"/>
    <x v="17"/>
    <x v="12"/>
  </r>
  <r>
    <x v="0"/>
    <x v="0"/>
    <x v="0"/>
    <x v="1"/>
    <x v="2"/>
    <x v="0"/>
    <x v="18"/>
    <x v="12"/>
  </r>
  <r>
    <x v="0"/>
    <x v="0"/>
    <x v="0"/>
    <x v="1"/>
    <x v="2"/>
    <x v="0"/>
    <x v="19"/>
    <x v="12"/>
  </r>
  <r>
    <x v="0"/>
    <x v="0"/>
    <x v="0"/>
    <x v="1"/>
    <x v="2"/>
    <x v="0"/>
    <x v="20"/>
    <x v="12"/>
  </r>
  <r>
    <x v="0"/>
    <x v="0"/>
    <x v="0"/>
    <x v="1"/>
    <x v="2"/>
    <x v="0"/>
    <x v="21"/>
    <x v="12"/>
  </r>
  <r>
    <x v="0"/>
    <x v="0"/>
    <x v="0"/>
    <x v="1"/>
    <x v="2"/>
    <x v="0"/>
    <x v="22"/>
    <x v="12"/>
  </r>
  <r>
    <x v="0"/>
    <x v="0"/>
    <x v="0"/>
    <x v="1"/>
    <x v="2"/>
    <x v="0"/>
    <x v="23"/>
    <x v="12"/>
  </r>
  <r>
    <x v="0"/>
    <x v="0"/>
    <x v="0"/>
    <x v="1"/>
    <x v="3"/>
    <x v="0"/>
    <x v="0"/>
    <x v="12"/>
  </r>
  <r>
    <x v="0"/>
    <x v="0"/>
    <x v="0"/>
    <x v="1"/>
    <x v="3"/>
    <x v="0"/>
    <x v="1"/>
    <x v="12"/>
  </r>
  <r>
    <x v="0"/>
    <x v="0"/>
    <x v="0"/>
    <x v="1"/>
    <x v="3"/>
    <x v="0"/>
    <x v="2"/>
    <x v="12"/>
  </r>
  <r>
    <x v="0"/>
    <x v="0"/>
    <x v="0"/>
    <x v="1"/>
    <x v="3"/>
    <x v="0"/>
    <x v="3"/>
    <x v="12"/>
  </r>
  <r>
    <x v="0"/>
    <x v="0"/>
    <x v="0"/>
    <x v="1"/>
    <x v="3"/>
    <x v="0"/>
    <x v="4"/>
    <x v="12"/>
  </r>
  <r>
    <x v="0"/>
    <x v="0"/>
    <x v="0"/>
    <x v="1"/>
    <x v="3"/>
    <x v="0"/>
    <x v="5"/>
    <x v="12"/>
  </r>
  <r>
    <x v="0"/>
    <x v="0"/>
    <x v="0"/>
    <x v="1"/>
    <x v="3"/>
    <x v="0"/>
    <x v="6"/>
    <x v="12"/>
  </r>
  <r>
    <x v="0"/>
    <x v="0"/>
    <x v="0"/>
    <x v="1"/>
    <x v="3"/>
    <x v="0"/>
    <x v="7"/>
    <x v="12"/>
  </r>
  <r>
    <x v="0"/>
    <x v="0"/>
    <x v="0"/>
    <x v="1"/>
    <x v="3"/>
    <x v="0"/>
    <x v="8"/>
    <x v="12"/>
  </r>
  <r>
    <x v="0"/>
    <x v="0"/>
    <x v="0"/>
    <x v="1"/>
    <x v="3"/>
    <x v="0"/>
    <x v="9"/>
    <x v="12"/>
  </r>
  <r>
    <x v="0"/>
    <x v="0"/>
    <x v="0"/>
    <x v="1"/>
    <x v="3"/>
    <x v="0"/>
    <x v="10"/>
    <x v="12"/>
  </r>
  <r>
    <x v="0"/>
    <x v="0"/>
    <x v="0"/>
    <x v="1"/>
    <x v="3"/>
    <x v="0"/>
    <x v="11"/>
    <x v="12"/>
  </r>
  <r>
    <x v="0"/>
    <x v="0"/>
    <x v="0"/>
    <x v="1"/>
    <x v="3"/>
    <x v="0"/>
    <x v="12"/>
    <x v="12"/>
  </r>
  <r>
    <x v="0"/>
    <x v="0"/>
    <x v="0"/>
    <x v="1"/>
    <x v="3"/>
    <x v="0"/>
    <x v="13"/>
    <x v="12"/>
  </r>
  <r>
    <x v="0"/>
    <x v="0"/>
    <x v="0"/>
    <x v="1"/>
    <x v="3"/>
    <x v="0"/>
    <x v="14"/>
    <x v="12"/>
  </r>
  <r>
    <x v="0"/>
    <x v="0"/>
    <x v="0"/>
    <x v="1"/>
    <x v="3"/>
    <x v="0"/>
    <x v="15"/>
    <x v="12"/>
  </r>
  <r>
    <x v="0"/>
    <x v="0"/>
    <x v="0"/>
    <x v="1"/>
    <x v="3"/>
    <x v="0"/>
    <x v="16"/>
    <x v="12"/>
  </r>
  <r>
    <x v="0"/>
    <x v="0"/>
    <x v="0"/>
    <x v="1"/>
    <x v="3"/>
    <x v="0"/>
    <x v="17"/>
    <x v="12"/>
  </r>
  <r>
    <x v="0"/>
    <x v="0"/>
    <x v="0"/>
    <x v="1"/>
    <x v="3"/>
    <x v="0"/>
    <x v="18"/>
    <x v="12"/>
  </r>
  <r>
    <x v="0"/>
    <x v="0"/>
    <x v="0"/>
    <x v="1"/>
    <x v="3"/>
    <x v="0"/>
    <x v="19"/>
    <x v="12"/>
  </r>
  <r>
    <x v="0"/>
    <x v="0"/>
    <x v="0"/>
    <x v="1"/>
    <x v="3"/>
    <x v="0"/>
    <x v="20"/>
    <x v="12"/>
  </r>
  <r>
    <x v="0"/>
    <x v="0"/>
    <x v="0"/>
    <x v="1"/>
    <x v="3"/>
    <x v="0"/>
    <x v="21"/>
    <x v="12"/>
  </r>
  <r>
    <x v="0"/>
    <x v="0"/>
    <x v="0"/>
    <x v="1"/>
    <x v="3"/>
    <x v="0"/>
    <x v="22"/>
    <x v="12"/>
  </r>
  <r>
    <x v="0"/>
    <x v="0"/>
    <x v="0"/>
    <x v="1"/>
    <x v="3"/>
    <x v="0"/>
    <x v="23"/>
    <x v="12"/>
  </r>
  <r>
    <x v="0"/>
    <x v="0"/>
    <x v="0"/>
    <x v="1"/>
    <x v="4"/>
    <x v="0"/>
    <x v="0"/>
    <x v="13"/>
  </r>
  <r>
    <x v="0"/>
    <x v="0"/>
    <x v="0"/>
    <x v="1"/>
    <x v="4"/>
    <x v="0"/>
    <x v="1"/>
    <x v="13"/>
  </r>
  <r>
    <x v="0"/>
    <x v="0"/>
    <x v="0"/>
    <x v="1"/>
    <x v="4"/>
    <x v="0"/>
    <x v="2"/>
    <x v="13"/>
  </r>
  <r>
    <x v="0"/>
    <x v="0"/>
    <x v="0"/>
    <x v="1"/>
    <x v="4"/>
    <x v="0"/>
    <x v="3"/>
    <x v="13"/>
  </r>
  <r>
    <x v="0"/>
    <x v="0"/>
    <x v="0"/>
    <x v="1"/>
    <x v="4"/>
    <x v="0"/>
    <x v="4"/>
    <x v="13"/>
  </r>
  <r>
    <x v="0"/>
    <x v="0"/>
    <x v="0"/>
    <x v="1"/>
    <x v="4"/>
    <x v="0"/>
    <x v="5"/>
    <x v="13"/>
  </r>
  <r>
    <x v="0"/>
    <x v="0"/>
    <x v="0"/>
    <x v="1"/>
    <x v="4"/>
    <x v="0"/>
    <x v="6"/>
    <x v="13"/>
  </r>
  <r>
    <x v="0"/>
    <x v="0"/>
    <x v="0"/>
    <x v="1"/>
    <x v="4"/>
    <x v="0"/>
    <x v="7"/>
    <x v="13"/>
  </r>
  <r>
    <x v="0"/>
    <x v="0"/>
    <x v="0"/>
    <x v="1"/>
    <x v="4"/>
    <x v="0"/>
    <x v="8"/>
    <x v="13"/>
  </r>
  <r>
    <x v="0"/>
    <x v="0"/>
    <x v="0"/>
    <x v="1"/>
    <x v="4"/>
    <x v="0"/>
    <x v="9"/>
    <x v="13"/>
  </r>
  <r>
    <x v="0"/>
    <x v="0"/>
    <x v="0"/>
    <x v="1"/>
    <x v="4"/>
    <x v="0"/>
    <x v="10"/>
    <x v="13"/>
  </r>
  <r>
    <x v="0"/>
    <x v="0"/>
    <x v="0"/>
    <x v="1"/>
    <x v="4"/>
    <x v="0"/>
    <x v="11"/>
    <x v="13"/>
  </r>
  <r>
    <x v="0"/>
    <x v="0"/>
    <x v="0"/>
    <x v="1"/>
    <x v="4"/>
    <x v="0"/>
    <x v="12"/>
    <x v="13"/>
  </r>
  <r>
    <x v="0"/>
    <x v="0"/>
    <x v="0"/>
    <x v="1"/>
    <x v="4"/>
    <x v="0"/>
    <x v="13"/>
    <x v="13"/>
  </r>
  <r>
    <x v="0"/>
    <x v="0"/>
    <x v="0"/>
    <x v="1"/>
    <x v="4"/>
    <x v="0"/>
    <x v="14"/>
    <x v="13"/>
  </r>
  <r>
    <x v="0"/>
    <x v="0"/>
    <x v="0"/>
    <x v="1"/>
    <x v="4"/>
    <x v="0"/>
    <x v="15"/>
    <x v="13"/>
  </r>
  <r>
    <x v="0"/>
    <x v="0"/>
    <x v="0"/>
    <x v="1"/>
    <x v="4"/>
    <x v="0"/>
    <x v="16"/>
    <x v="13"/>
  </r>
  <r>
    <x v="0"/>
    <x v="0"/>
    <x v="0"/>
    <x v="1"/>
    <x v="4"/>
    <x v="0"/>
    <x v="17"/>
    <x v="13"/>
  </r>
  <r>
    <x v="0"/>
    <x v="0"/>
    <x v="0"/>
    <x v="1"/>
    <x v="4"/>
    <x v="0"/>
    <x v="18"/>
    <x v="13"/>
  </r>
  <r>
    <x v="0"/>
    <x v="0"/>
    <x v="0"/>
    <x v="1"/>
    <x v="4"/>
    <x v="0"/>
    <x v="19"/>
    <x v="13"/>
  </r>
  <r>
    <x v="0"/>
    <x v="0"/>
    <x v="0"/>
    <x v="1"/>
    <x v="4"/>
    <x v="0"/>
    <x v="20"/>
    <x v="13"/>
  </r>
  <r>
    <x v="0"/>
    <x v="0"/>
    <x v="0"/>
    <x v="1"/>
    <x v="4"/>
    <x v="0"/>
    <x v="21"/>
    <x v="13"/>
  </r>
  <r>
    <x v="0"/>
    <x v="0"/>
    <x v="0"/>
    <x v="1"/>
    <x v="4"/>
    <x v="0"/>
    <x v="22"/>
    <x v="13"/>
  </r>
  <r>
    <x v="0"/>
    <x v="0"/>
    <x v="0"/>
    <x v="1"/>
    <x v="4"/>
    <x v="0"/>
    <x v="23"/>
    <x v="13"/>
  </r>
  <r>
    <x v="0"/>
    <x v="0"/>
    <x v="0"/>
    <x v="1"/>
    <x v="5"/>
    <x v="0"/>
    <x v="0"/>
    <x v="14"/>
  </r>
  <r>
    <x v="0"/>
    <x v="0"/>
    <x v="0"/>
    <x v="1"/>
    <x v="5"/>
    <x v="0"/>
    <x v="1"/>
    <x v="14"/>
  </r>
  <r>
    <x v="0"/>
    <x v="0"/>
    <x v="0"/>
    <x v="1"/>
    <x v="5"/>
    <x v="0"/>
    <x v="2"/>
    <x v="14"/>
  </r>
  <r>
    <x v="0"/>
    <x v="0"/>
    <x v="0"/>
    <x v="1"/>
    <x v="5"/>
    <x v="0"/>
    <x v="3"/>
    <x v="14"/>
  </r>
  <r>
    <x v="0"/>
    <x v="0"/>
    <x v="0"/>
    <x v="1"/>
    <x v="5"/>
    <x v="0"/>
    <x v="4"/>
    <x v="14"/>
  </r>
  <r>
    <x v="0"/>
    <x v="0"/>
    <x v="0"/>
    <x v="1"/>
    <x v="5"/>
    <x v="0"/>
    <x v="5"/>
    <x v="14"/>
  </r>
  <r>
    <x v="0"/>
    <x v="0"/>
    <x v="0"/>
    <x v="1"/>
    <x v="5"/>
    <x v="0"/>
    <x v="6"/>
    <x v="14"/>
  </r>
  <r>
    <x v="0"/>
    <x v="0"/>
    <x v="0"/>
    <x v="1"/>
    <x v="5"/>
    <x v="0"/>
    <x v="7"/>
    <x v="14"/>
  </r>
  <r>
    <x v="0"/>
    <x v="0"/>
    <x v="0"/>
    <x v="1"/>
    <x v="5"/>
    <x v="0"/>
    <x v="8"/>
    <x v="14"/>
  </r>
  <r>
    <x v="0"/>
    <x v="0"/>
    <x v="0"/>
    <x v="1"/>
    <x v="5"/>
    <x v="0"/>
    <x v="9"/>
    <x v="14"/>
  </r>
  <r>
    <x v="0"/>
    <x v="0"/>
    <x v="0"/>
    <x v="1"/>
    <x v="5"/>
    <x v="0"/>
    <x v="10"/>
    <x v="14"/>
  </r>
  <r>
    <x v="0"/>
    <x v="0"/>
    <x v="0"/>
    <x v="1"/>
    <x v="5"/>
    <x v="0"/>
    <x v="11"/>
    <x v="14"/>
  </r>
  <r>
    <x v="0"/>
    <x v="0"/>
    <x v="0"/>
    <x v="1"/>
    <x v="5"/>
    <x v="0"/>
    <x v="12"/>
    <x v="14"/>
  </r>
  <r>
    <x v="0"/>
    <x v="0"/>
    <x v="0"/>
    <x v="1"/>
    <x v="5"/>
    <x v="0"/>
    <x v="13"/>
    <x v="14"/>
  </r>
  <r>
    <x v="0"/>
    <x v="0"/>
    <x v="0"/>
    <x v="1"/>
    <x v="5"/>
    <x v="0"/>
    <x v="14"/>
    <x v="14"/>
  </r>
  <r>
    <x v="0"/>
    <x v="0"/>
    <x v="0"/>
    <x v="1"/>
    <x v="5"/>
    <x v="0"/>
    <x v="15"/>
    <x v="14"/>
  </r>
  <r>
    <x v="0"/>
    <x v="0"/>
    <x v="0"/>
    <x v="1"/>
    <x v="5"/>
    <x v="0"/>
    <x v="16"/>
    <x v="14"/>
  </r>
  <r>
    <x v="0"/>
    <x v="0"/>
    <x v="0"/>
    <x v="1"/>
    <x v="5"/>
    <x v="0"/>
    <x v="17"/>
    <x v="14"/>
  </r>
  <r>
    <x v="0"/>
    <x v="0"/>
    <x v="0"/>
    <x v="1"/>
    <x v="5"/>
    <x v="0"/>
    <x v="18"/>
    <x v="14"/>
  </r>
  <r>
    <x v="0"/>
    <x v="0"/>
    <x v="0"/>
    <x v="1"/>
    <x v="5"/>
    <x v="0"/>
    <x v="19"/>
    <x v="14"/>
  </r>
  <r>
    <x v="0"/>
    <x v="0"/>
    <x v="0"/>
    <x v="1"/>
    <x v="5"/>
    <x v="0"/>
    <x v="20"/>
    <x v="14"/>
  </r>
  <r>
    <x v="0"/>
    <x v="0"/>
    <x v="0"/>
    <x v="1"/>
    <x v="5"/>
    <x v="0"/>
    <x v="21"/>
    <x v="14"/>
  </r>
  <r>
    <x v="0"/>
    <x v="0"/>
    <x v="0"/>
    <x v="1"/>
    <x v="5"/>
    <x v="0"/>
    <x v="22"/>
    <x v="14"/>
  </r>
  <r>
    <x v="0"/>
    <x v="0"/>
    <x v="0"/>
    <x v="1"/>
    <x v="5"/>
    <x v="0"/>
    <x v="23"/>
    <x v="14"/>
  </r>
  <r>
    <x v="0"/>
    <x v="0"/>
    <x v="1"/>
    <x v="1"/>
    <x v="2"/>
    <x v="0"/>
    <x v="0"/>
    <x v="15"/>
  </r>
  <r>
    <x v="0"/>
    <x v="0"/>
    <x v="1"/>
    <x v="1"/>
    <x v="2"/>
    <x v="0"/>
    <x v="1"/>
    <x v="15"/>
  </r>
  <r>
    <x v="0"/>
    <x v="0"/>
    <x v="1"/>
    <x v="1"/>
    <x v="2"/>
    <x v="0"/>
    <x v="2"/>
    <x v="15"/>
  </r>
  <r>
    <x v="0"/>
    <x v="0"/>
    <x v="1"/>
    <x v="1"/>
    <x v="2"/>
    <x v="0"/>
    <x v="3"/>
    <x v="15"/>
  </r>
  <r>
    <x v="0"/>
    <x v="0"/>
    <x v="1"/>
    <x v="1"/>
    <x v="2"/>
    <x v="0"/>
    <x v="4"/>
    <x v="15"/>
  </r>
  <r>
    <x v="0"/>
    <x v="0"/>
    <x v="1"/>
    <x v="1"/>
    <x v="2"/>
    <x v="0"/>
    <x v="5"/>
    <x v="15"/>
  </r>
  <r>
    <x v="0"/>
    <x v="0"/>
    <x v="1"/>
    <x v="1"/>
    <x v="2"/>
    <x v="0"/>
    <x v="6"/>
    <x v="15"/>
  </r>
  <r>
    <x v="0"/>
    <x v="0"/>
    <x v="1"/>
    <x v="1"/>
    <x v="2"/>
    <x v="0"/>
    <x v="7"/>
    <x v="15"/>
  </r>
  <r>
    <x v="0"/>
    <x v="0"/>
    <x v="1"/>
    <x v="1"/>
    <x v="2"/>
    <x v="0"/>
    <x v="8"/>
    <x v="15"/>
  </r>
  <r>
    <x v="0"/>
    <x v="0"/>
    <x v="1"/>
    <x v="1"/>
    <x v="2"/>
    <x v="0"/>
    <x v="9"/>
    <x v="15"/>
  </r>
  <r>
    <x v="0"/>
    <x v="0"/>
    <x v="1"/>
    <x v="1"/>
    <x v="2"/>
    <x v="0"/>
    <x v="10"/>
    <x v="15"/>
  </r>
  <r>
    <x v="0"/>
    <x v="0"/>
    <x v="1"/>
    <x v="1"/>
    <x v="2"/>
    <x v="0"/>
    <x v="11"/>
    <x v="15"/>
  </r>
  <r>
    <x v="0"/>
    <x v="0"/>
    <x v="1"/>
    <x v="1"/>
    <x v="2"/>
    <x v="0"/>
    <x v="12"/>
    <x v="15"/>
  </r>
  <r>
    <x v="0"/>
    <x v="0"/>
    <x v="1"/>
    <x v="1"/>
    <x v="2"/>
    <x v="0"/>
    <x v="13"/>
    <x v="15"/>
  </r>
  <r>
    <x v="0"/>
    <x v="0"/>
    <x v="1"/>
    <x v="1"/>
    <x v="2"/>
    <x v="0"/>
    <x v="14"/>
    <x v="15"/>
  </r>
  <r>
    <x v="0"/>
    <x v="0"/>
    <x v="1"/>
    <x v="1"/>
    <x v="2"/>
    <x v="0"/>
    <x v="15"/>
    <x v="15"/>
  </r>
  <r>
    <x v="0"/>
    <x v="0"/>
    <x v="1"/>
    <x v="1"/>
    <x v="2"/>
    <x v="0"/>
    <x v="16"/>
    <x v="15"/>
  </r>
  <r>
    <x v="0"/>
    <x v="0"/>
    <x v="1"/>
    <x v="1"/>
    <x v="2"/>
    <x v="0"/>
    <x v="17"/>
    <x v="15"/>
  </r>
  <r>
    <x v="0"/>
    <x v="0"/>
    <x v="1"/>
    <x v="1"/>
    <x v="2"/>
    <x v="0"/>
    <x v="18"/>
    <x v="15"/>
  </r>
  <r>
    <x v="0"/>
    <x v="0"/>
    <x v="1"/>
    <x v="1"/>
    <x v="2"/>
    <x v="0"/>
    <x v="19"/>
    <x v="15"/>
  </r>
  <r>
    <x v="0"/>
    <x v="0"/>
    <x v="1"/>
    <x v="1"/>
    <x v="2"/>
    <x v="0"/>
    <x v="20"/>
    <x v="15"/>
  </r>
  <r>
    <x v="0"/>
    <x v="0"/>
    <x v="1"/>
    <x v="1"/>
    <x v="2"/>
    <x v="0"/>
    <x v="21"/>
    <x v="15"/>
  </r>
  <r>
    <x v="0"/>
    <x v="0"/>
    <x v="1"/>
    <x v="1"/>
    <x v="2"/>
    <x v="0"/>
    <x v="22"/>
    <x v="15"/>
  </r>
  <r>
    <x v="0"/>
    <x v="0"/>
    <x v="1"/>
    <x v="1"/>
    <x v="2"/>
    <x v="0"/>
    <x v="23"/>
    <x v="15"/>
  </r>
  <r>
    <x v="0"/>
    <x v="0"/>
    <x v="1"/>
    <x v="1"/>
    <x v="3"/>
    <x v="0"/>
    <x v="0"/>
    <x v="16"/>
  </r>
  <r>
    <x v="0"/>
    <x v="0"/>
    <x v="1"/>
    <x v="1"/>
    <x v="3"/>
    <x v="0"/>
    <x v="1"/>
    <x v="16"/>
  </r>
  <r>
    <x v="0"/>
    <x v="0"/>
    <x v="1"/>
    <x v="1"/>
    <x v="3"/>
    <x v="0"/>
    <x v="2"/>
    <x v="16"/>
  </r>
  <r>
    <x v="0"/>
    <x v="0"/>
    <x v="1"/>
    <x v="1"/>
    <x v="3"/>
    <x v="0"/>
    <x v="3"/>
    <x v="16"/>
  </r>
  <r>
    <x v="0"/>
    <x v="0"/>
    <x v="1"/>
    <x v="1"/>
    <x v="3"/>
    <x v="0"/>
    <x v="4"/>
    <x v="16"/>
  </r>
  <r>
    <x v="0"/>
    <x v="0"/>
    <x v="1"/>
    <x v="1"/>
    <x v="3"/>
    <x v="0"/>
    <x v="5"/>
    <x v="16"/>
  </r>
  <r>
    <x v="0"/>
    <x v="0"/>
    <x v="1"/>
    <x v="1"/>
    <x v="3"/>
    <x v="0"/>
    <x v="6"/>
    <x v="16"/>
  </r>
  <r>
    <x v="0"/>
    <x v="0"/>
    <x v="1"/>
    <x v="1"/>
    <x v="3"/>
    <x v="0"/>
    <x v="7"/>
    <x v="16"/>
  </r>
  <r>
    <x v="0"/>
    <x v="0"/>
    <x v="1"/>
    <x v="1"/>
    <x v="3"/>
    <x v="0"/>
    <x v="8"/>
    <x v="16"/>
  </r>
  <r>
    <x v="0"/>
    <x v="0"/>
    <x v="1"/>
    <x v="1"/>
    <x v="3"/>
    <x v="0"/>
    <x v="9"/>
    <x v="16"/>
  </r>
  <r>
    <x v="0"/>
    <x v="0"/>
    <x v="1"/>
    <x v="1"/>
    <x v="3"/>
    <x v="0"/>
    <x v="10"/>
    <x v="16"/>
  </r>
  <r>
    <x v="0"/>
    <x v="0"/>
    <x v="1"/>
    <x v="1"/>
    <x v="3"/>
    <x v="0"/>
    <x v="11"/>
    <x v="16"/>
  </r>
  <r>
    <x v="0"/>
    <x v="0"/>
    <x v="1"/>
    <x v="1"/>
    <x v="3"/>
    <x v="0"/>
    <x v="12"/>
    <x v="16"/>
  </r>
  <r>
    <x v="0"/>
    <x v="0"/>
    <x v="1"/>
    <x v="1"/>
    <x v="3"/>
    <x v="0"/>
    <x v="13"/>
    <x v="16"/>
  </r>
  <r>
    <x v="0"/>
    <x v="0"/>
    <x v="1"/>
    <x v="1"/>
    <x v="3"/>
    <x v="0"/>
    <x v="14"/>
    <x v="16"/>
  </r>
  <r>
    <x v="0"/>
    <x v="0"/>
    <x v="1"/>
    <x v="1"/>
    <x v="3"/>
    <x v="0"/>
    <x v="15"/>
    <x v="16"/>
  </r>
  <r>
    <x v="0"/>
    <x v="0"/>
    <x v="1"/>
    <x v="1"/>
    <x v="3"/>
    <x v="0"/>
    <x v="16"/>
    <x v="16"/>
  </r>
  <r>
    <x v="0"/>
    <x v="0"/>
    <x v="1"/>
    <x v="1"/>
    <x v="3"/>
    <x v="0"/>
    <x v="17"/>
    <x v="17"/>
  </r>
  <r>
    <x v="0"/>
    <x v="0"/>
    <x v="1"/>
    <x v="1"/>
    <x v="3"/>
    <x v="0"/>
    <x v="18"/>
    <x v="17"/>
  </r>
  <r>
    <x v="0"/>
    <x v="0"/>
    <x v="1"/>
    <x v="1"/>
    <x v="3"/>
    <x v="0"/>
    <x v="19"/>
    <x v="17"/>
  </r>
  <r>
    <x v="0"/>
    <x v="0"/>
    <x v="1"/>
    <x v="1"/>
    <x v="3"/>
    <x v="0"/>
    <x v="20"/>
    <x v="17"/>
  </r>
  <r>
    <x v="0"/>
    <x v="0"/>
    <x v="1"/>
    <x v="1"/>
    <x v="3"/>
    <x v="0"/>
    <x v="21"/>
    <x v="17"/>
  </r>
  <r>
    <x v="0"/>
    <x v="0"/>
    <x v="1"/>
    <x v="1"/>
    <x v="3"/>
    <x v="0"/>
    <x v="22"/>
    <x v="17"/>
  </r>
  <r>
    <x v="0"/>
    <x v="0"/>
    <x v="1"/>
    <x v="1"/>
    <x v="3"/>
    <x v="0"/>
    <x v="23"/>
    <x v="16"/>
  </r>
  <r>
    <x v="0"/>
    <x v="0"/>
    <x v="1"/>
    <x v="1"/>
    <x v="4"/>
    <x v="0"/>
    <x v="0"/>
    <x v="18"/>
  </r>
  <r>
    <x v="0"/>
    <x v="0"/>
    <x v="1"/>
    <x v="1"/>
    <x v="4"/>
    <x v="0"/>
    <x v="1"/>
    <x v="18"/>
  </r>
  <r>
    <x v="0"/>
    <x v="0"/>
    <x v="1"/>
    <x v="1"/>
    <x v="4"/>
    <x v="0"/>
    <x v="2"/>
    <x v="18"/>
  </r>
  <r>
    <x v="0"/>
    <x v="0"/>
    <x v="1"/>
    <x v="1"/>
    <x v="4"/>
    <x v="0"/>
    <x v="3"/>
    <x v="18"/>
  </r>
  <r>
    <x v="0"/>
    <x v="0"/>
    <x v="1"/>
    <x v="1"/>
    <x v="4"/>
    <x v="0"/>
    <x v="4"/>
    <x v="18"/>
  </r>
  <r>
    <x v="0"/>
    <x v="0"/>
    <x v="1"/>
    <x v="1"/>
    <x v="4"/>
    <x v="0"/>
    <x v="5"/>
    <x v="18"/>
  </r>
  <r>
    <x v="0"/>
    <x v="0"/>
    <x v="1"/>
    <x v="1"/>
    <x v="4"/>
    <x v="0"/>
    <x v="6"/>
    <x v="18"/>
  </r>
  <r>
    <x v="0"/>
    <x v="0"/>
    <x v="1"/>
    <x v="1"/>
    <x v="4"/>
    <x v="0"/>
    <x v="7"/>
    <x v="18"/>
  </r>
  <r>
    <x v="0"/>
    <x v="0"/>
    <x v="1"/>
    <x v="1"/>
    <x v="4"/>
    <x v="0"/>
    <x v="8"/>
    <x v="18"/>
  </r>
  <r>
    <x v="0"/>
    <x v="0"/>
    <x v="1"/>
    <x v="1"/>
    <x v="4"/>
    <x v="0"/>
    <x v="9"/>
    <x v="18"/>
  </r>
  <r>
    <x v="0"/>
    <x v="0"/>
    <x v="1"/>
    <x v="1"/>
    <x v="4"/>
    <x v="0"/>
    <x v="10"/>
    <x v="18"/>
  </r>
  <r>
    <x v="0"/>
    <x v="0"/>
    <x v="1"/>
    <x v="1"/>
    <x v="4"/>
    <x v="0"/>
    <x v="11"/>
    <x v="18"/>
  </r>
  <r>
    <x v="0"/>
    <x v="0"/>
    <x v="1"/>
    <x v="1"/>
    <x v="4"/>
    <x v="0"/>
    <x v="12"/>
    <x v="18"/>
  </r>
  <r>
    <x v="0"/>
    <x v="0"/>
    <x v="1"/>
    <x v="1"/>
    <x v="4"/>
    <x v="0"/>
    <x v="13"/>
    <x v="18"/>
  </r>
  <r>
    <x v="0"/>
    <x v="0"/>
    <x v="1"/>
    <x v="1"/>
    <x v="4"/>
    <x v="0"/>
    <x v="14"/>
    <x v="18"/>
  </r>
  <r>
    <x v="0"/>
    <x v="0"/>
    <x v="1"/>
    <x v="1"/>
    <x v="4"/>
    <x v="0"/>
    <x v="15"/>
    <x v="18"/>
  </r>
  <r>
    <x v="0"/>
    <x v="0"/>
    <x v="1"/>
    <x v="1"/>
    <x v="4"/>
    <x v="0"/>
    <x v="16"/>
    <x v="18"/>
  </r>
  <r>
    <x v="0"/>
    <x v="0"/>
    <x v="1"/>
    <x v="1"/>
    <x v="4"/>
    <x v="0"/>
    <x v="17"/>
    <x v="18"/>
  </r>
  <r>
    <x v="0"/>
    <x v="0"/>
    <x v="1"/>
    <x v="1"/>
    <x v="4"/>
    <x v="0"/>
    <x v="18"/>
    <x v="18"/>
  </r>
  <r>
    <x v="0"/>
    <x v="0"/>
    <x v="1"/>
    <x v="1"/>
    <x v="4"/>
    <x v="0"/>
    <x v="19"/>
    <x v="18"/>
  </r>
  <r>
    <x v="0"/>
    <x v="0"/>
    <x v="1"/>
    <x v="1"/>
    <x v="4"/>
    <x v="0"/>
    <x v="20"/>
    <x v="18"/>
  </r>
  <r>
    <x v="0"/>
    <x v="0"/>
    <x v="1"/>
    <x v="1"/>
    <x v="4"/>
    <x v="0"/>
    <x v="21"/>
    <x v="18"/>
  </r>
  <r>
    <x v="0"/>
    <x v="0"/>
    <x v="1"/>
    <x v="1"/>
    <x v="4"/>
    <x v="0"/>
    <x v="22"/>
    <x v="18"/>
  </r>
  <r>
    <x v="0"/>
    <x v="0"/>
    <x v="1"/>
    <x v="1"/>
    <x v="4"/>
    <x v="0"/>
    <x v="23"/>
    <x v="18"/>
  </r>
  <r>
    <x v="0"/>
    <x v="0"/>
    <x v="1"/>
    <x v="1"/>
    <x v="5"/>
    <x v="0"/>
    <x v="0"/>
    <x v="15"/>
  </r>
  <r>
    <x v="0"/>
    <x v="0"/>
    <x v="1"/>
    <x v="1"/>
    <x v="5"/>
    <x v="0"/>
    <x v="1"/>
    <x v="15"/>
  </r>
  <r>
    <x v="0"/>
    <x v="0"/>
    <x v="1"/>
    <x v="1"/>
    <x v="5"/>
    <x v="0"/>
    <x v="2"/>
    <x v="15"/>
  </r>
  <r>
    <x v="0"/>
    <x v="0"/>
    <x v="1"/>
    <x v="1"/>
    <x v="5"/>
    <x v="0"/>
    <x v="3"/>
    <x v="15"/>
  </r>
  <r>
    <x v="0"/>
    <x v="0"/>
    <x v="1"/>
    <x v="1"/>
    <x v="5"/>
    <x v="0"/>
    <x v="4"/>
    <x v="15"/>
  </r>
  <r>
    <x v="0"/>
    <x v="0"/>
    <x v="1"/>
    <x v="1"/>
    <x v="5"/>
    <x v="0"/>
    <x v="5"/>
    <x v="15"/>
  </r>
  <r>
    <x v="0"/>
    <x v="0"/>
    <x v="1"/>
    <x v="1"/>
    <x v="5"/>
    <x v="0"/>
    <x v="6"/>
    <x v="15"/>
  </r>
  <r>
    <x v="0"/>
    <x v="0"/>
    <x v="1"/>
    <x v="1"/>
    <x v="5"/>
    <x v="0"/>
    <x v="7"/>
    <x v="15"/>
  </r>
  <r>
    <x v="0"/>
    <x v="0"/>
    <x v="1"/>
    <x v="1"/>
    <x v="5"/>
    <x v="0"/>
    <x v="8"/>
    <x v="15"/>
  </r>
  <r>
    <x v="0"/>
    <x v="0"/>
    <x v="1"/>
    <x v="1"/>
    <x v="5"/>
    <x v="0"/>
    <x v="9"/>
    <x v="15"/>
  </r>
  <r>
    <x v="0"/>
    <x v="0"/>
    <x v="1"/>
    <x v="1"/>
    <x v="5"/>
    <x v="0"/>
    <x v="10"/>
    <x v="15"/>
  </r>
  <r>
    <x v="0"/>
    <x v="0"/>
    <x v="1"/>
    <x v="1"/>
    <x v="5"/>
    <x v="0"/>
    <x v="11"/>
    <x v="15"/>
  </r>
  <r>
    <x v="0"/>
    <x v="0"/>
    <x v="1"/>
    <x v="1"/>
    <x v="5"/>
    <x v="0"/>
    <x v="12"/>
    <x v="15"/>
  </r>
  <r>
    <x v="0"/>
    <x v="0"/>
    <x v="1"/>
    <x v="1"/>
    <x v="5"/>
    <x v="0"/>
    <x v="13"/>
    <x v="15"/>
  </r>
  <r>
    <x v="0"/>
    <x v="0"/>
    <x v="1"/>
    <x v="1"/>
    <x v="5"/>
    <x v="0"/>
    <x v="14"/>
    <x v="15"/>
  </r>
  <r>
    <x v="0"/>
    <x v="0"/>
    <x v="1"/>
    <x v="1"/>
    <x v="5"/>
    <x v="0"/>
    <x v="15"/>
    <x v="15"/>
  </r>
  <r>
    <x v="0"/>
    <x v="0"/>
    <x v="1"/>
    <x v="1"/>
    <x v="5"/>
    <x v="0"/>
    <x v="16"/>
    <x v="15"/>
  </r>
  <r>
    <x v="0"/>
    <x v="0"/>
    <x v="1"/>
    <x v="1"/>
    <x v="5"/>
    <x v="0"/>
    <x v="17"/>
    <x v="15"/>
  </r>
  <r>
    <x v="0"/>
    <x v="0"/>
    <x v="1"/>
    <x v="1"/>
    <x v="5"/>
    <x v="0"/>
    <x v="18"/>
    <x v="15"/>
  </r>
  <r>
    <x v="0"/>
    <x v="0"/>
    <x v="1"/>
    <x v="1"/>
    <x v="5"/>
    <x v="0"/>
    <x v="19"/>
    <x v="15"/>
  </r>
  <r>
    <x v="0"/>
    <x v="0"/>
    <x v="1"/>
    <x v="1"/>
    <x v="5"/>
    <x v="0"/>
    <x v="20"/>
    <x v="15"/>
  </r>
  <r>
    <x v="0"/>
    <x v="0"/>
    <x v="1"/>
    <x v="1"/>
    <x v="5"/>
    <x v="0"/>
    <x v="21"/>
    <x v="15"/>
  </r>
  <r>
    <x v="0"/>
    <x v="0"/>
    <x v="1"/>
    <x v="1"/>
    <x v="5"/>
    <x v="0"/>
    <x v="22"/>
    <x v="15"/>
  </r>
  <r>
    <x v="0"/>
    <x v="0"/>
    <x v="1"/>
    <x v="1"/>
    <x v="5"/>
    <x v="0"/>
    <x v="23"/>
    <x v="15"/>
  </r>
  <r>
    <x v="0"/>
    <x v="0"/>
    <x v="0"/>
    <x v="2"/>
    <x v="6"/>
    <x v="0"/>
    <x v="0"/>
    <x v="19"/>
  </r>
  <r>
    <x v="0"/>
    <x v="0"/>
    <x v="0"/>
    <x v="2"/>
    <x v="6"/>
    <x v="0"/>
    <x v="1"/>
    <x v="19"/>
  </r>
  <r>
    <x v="0"/>
    <x v="0"/>
    <x v="0"/>
    <x v="2"/>
    <x v="6"/>
    <x v="0"/>
    <x v="2"/>
    <x v="19"/>
  </r>
  <r>
    <x v="0"/>
    <x v="0"/>
    <x v="0"/>
    <x v="2"/>
    <x v="6"/>
    <x v="0"/>
    <x v="3"/>
    <x v="19"/>
  </r>
  <r>
    <x v="0"/>
    <x v="0"/>
    <x v="0"/>
    <x v="2"/>
    <x v="6"/>
    <x v="0"/>
    <x v="4"/>
    <x v="19"/>
  </r>
  <r>
    <x v="0"/>
    <x v="0"/>
    <x v="0"/>
    <x v="2"/>
    <x v="6"/>
    <x v="0"/>
    <x v="5"/>
    <x v="19"/>
  </r>
  <r>
    <x v="0"/>
    <x v="0"/>
    <x v="0"/>
    <x v="2"/>
    <x v="6"/>
    <x v="0"/>
    <x v="6"/>
    <x v="19"/>
  </r>
  <r>
    <x v="0"/>
    <x v="0"/>
    <x v="0"/>
    <x v="2"/>
    <x v="6"/>
    <x v="0"/>
    <x v="7"/>
    <x v="19"/>
  </r>
  <r>
    <x v="0"/>
    <x v="0"/>
    <x v="0"/>
    <x v="2"/>
    <x v="6"/>
    <x v="0"/>
    <x v="8"/>
    <x v="19"/>
  </r>
  <r>
    <x v="0"/>
    <x v="0"/>
    <x v="0"/>
    <x v="2"/>
    <x v="6"/>
    <x v="0"/>
    <x v="9"/>
    <x v="19"/>
  </r>
  <r>
    <x v="0"/>
    <x v="0"/>
    <x v="0"/>
    <x v="2"/>
    <x v="6"/>
    <x v="0"/>
    <x v="10"/>
    <x v="19"/>
  </r>
  <r>
    <x v="0"/>
    <x v="0"/>
    <x v="0"/>
    <x v="2"/>
    <x v="6"/>
    <x v="0"/>
    <x v="11"/>
    <x v="19"/>
  </r>
  <r>
    <x v="0"/>
    <x v="0"/>
    <x v="0"/>
    <x v="2"/>
    <x v="6"/>
    <x v="0"/>
    <x v="12"/>
    <x v="19"/>
  </r>
  <r>
    <x v="0"/>
    <x v="0"/>
    <x v="0"/>
    <x v="2"/>
    <x v="6"/>
    <x v="0"/>
    <x v="13"/>
    <x v="19"/>
  </r>
  <r>
    <x v="0"/>
    <x v="0"/>
    <x v="0"/>
    <x v="2"/>
    <x v="6"/>
    <x v="0"/>
    <x v="14"/>
    <x v="19"/>
  </r>
  <r>
    <x v="0"/>
    <x v="0"/>
    <x v="0"/>
    <x v="2"/>
    <x v="6"/>
    <x v="0"/>
    <x v="15"/>
    <x v="19"/>
  </r>
  <r>
    <x v="0"/>
    <x v="0"/>
    <x v="0"/>
    <x v="2"/>
    <x v="6"/>
    <x v="0"/>
    <x v="16"/>
    <x v="19"/>
  </r>
  <r>
    <x v="0"/>
    <x v="0"/>
    <x v="0"/>
    <x v="2"/>
    <x v="6"/>
    <x v="0"/>
    <x v="17"/>
    <x v="19"/>
  </r>
  <r>
    <x v="0"/>
    <x v="0"/>
    <x v="0"/>
    <x v="2"/>
    <x v="6"/>
    <x v="0"/>
    <x v="18"/>
    <x v="19"/>
  </r>
  <r>
    <x v="0"/>
    <x v="0"/>
    <x v="0"/>
    <x v="2"/>
    <x v="6"/>
    <x v="0"/>
    <x v="19"/>
    <x v="19"/>
  </r>
  <r>
    <x v="0"/>
    <x v="0"/>
    <x v="0"/>
    <x v="2"/>
    <x v="6"/>
    <x v="0"/>
    <x v="20"/>
    <x v="19"/>
  </r>
  <r>
    <x v="0"/>
    <x v="0"/>
    <x v="0"/>
    <x v="2"/>
    <x v="6"/>
    <x v="0"/>
    <x v="21"/>
    <x v="19"/>
  </r>
  <r>
    <x v="0"/>
    <x v="0"/>
    <x v="0"/>
    <x v="2"/>
    <x v="6"/>
    <x v="0"/>
    <x v="22"/>
    <x v="19"/>
  </r>
  <r>
    <x v="0"/>
    <x v="0"/>
    <x v="0"/>
    <x v="2"/>
    <x v="6"/>
    <x v="0"/>
    <x v="23"/>
    <x v="19"/>
  </r>
  <r>
    <x v="0"/>
    <x v="0"/>
    <x v="0"/>
    <x v="2"/>
    <x v="7"/>
    <x v="0"/>
    <x v="0"/>
    <x v="20"/>
  </r>
  <r>
    <x v="0"/>
    <x v="0"/>
    <x v="0"/>
    <x v="2"/>
    <x v="7"/>
    <x v="0"/>
    <x v="1"/>
    <x v="20"/>
  </r>
  <r>
    <x v="0"/>
    <x v="0"/>
    <x v="0"/>
    <x v="2"/>
    <x v="7"/>
    <x v="0"/>
    <x v="2"/>
    <x v="20"/>
  </r>
  <r>
    <x v="0"/>
    <x v="0"/>
    <x v="0"/>
    <x v="2"/>
    <x v="7"/>
    <x v="0"/>
    <x v="3"/>
    <x v="20"/>
  </r>
  <r>
    <x v="0"/>
    <x v="0"/>
    <x v="0"/>
    <x v="2"/>
    <x v="7"/>
    <x v="0"/>
    <x v="4"/>
    <x v="20"/>
  </r>
  <r>
    <x v="0"/>
    <x v="0"/>
    <x v="0"/>
    <x v="2"/>
    <x v="7"/>
    <x v="0"/>
    <x v="5"/>
    <x v="20"/>
  </r>
  <r>
    <x v="0"/>
    <x v="0"/>
    <x v="0"/>
    <x v="2"/>
    <x v="7"/>
    <x v="0"/>
    <x v="6"/>
    <x v="20"/>
  </r>
  <r>
    <x v="0"/>
    <x v="0"/>
    <x v="0"/>
    <x v="2"/>
    <x v="7"/>
    <x v="0"/>
    <x v="7"/>
    <x v="20"/>
  </r>
  <r>
    <x v="0"/>
    <x v="0"/>
    <x v="0"/>
    <x v="2"/>
    <x v="7"/>
    <x v="0"/>
    <x v="8"/>
    <x v="20"/>
  </r>
  <r>
    <x v="0"/>
    <x v="0"/>
    <x v="0"/>
    <x v="2"/>
    <x v="7"/>
    <x v="0"/>
    <x v="9"/>
    <x v="20"/>
  </r>
  <r>
    <x v="0"/>
    <x v="0"/>
    <x v="0"/>
    <x v="2"/>
    <x v="7"/>
    <x v="0"/>
    <x v="10"/>
    <x v="20"/>
  </r>
  <r>
    <x v="0"/>
    <x v="0"/>
    <x v="0"/>
    <x v="2"/>
    <x v="7"/>
    <x v="0"/>
    <x v="11"/>
    <x v="20"/>
  </r>
  <r>
    <x v="0"/>
    <x v="0"/>
    <x v="0"/>
    <x v="2"/>
    <x v="7"/>
    <x v="0"/>
    <x v="12"/>
    <x v="20"/>
  </r>
  <r>
    <x v="0"/>
    <x v="0"/>
    <x v="0"/>
    <x v="2"/>
    <x v="7"/>
    <x v="0"/>
    <x v="13"/>
    <x v="20"/>
  </r>
  <r>
    <x v="0"/>
    <x v="0"/>
    <x v="0"/>
    <x v="2"/>
    <x v="7"/>
    <x v="0"/>
    <x v="14"/>
    <x v="20"/>
  </r>
  <r>
    <x v="0"/>
    <x v="0"/>
    <x v="0"/>
    <x v="2"/>
    <x v="7"/>
    <x v="0"/>
    <x v="15"/>
    <x v="20"/>
  </r>
  <r>
    <x v="0"/>
    <x v="0"/>
    <x v="0"/>
    <x v="2"/>
    <x v="7"/>
    <x v="0"/>
    <x v="16"/>
    <x v="20"/>
  </r>
  <r>
    <x v="0"/>
    <x v="0"/>
    <x v="0"/>
    <x v="2"/>
    <x v="7"/>
    <x v="0"/>
    <x v="17"/>
    <x v="20"/>
  </r>
  <r>
    <x v="0"/>
    <x v="0"/>
    <x v="0"/>
    <x v="2"/>
    <x v="7"/>
    <x v="0"/>
    <x v="18"/>
    <x v="20"/>
  </r>
  <r>
    <x v="0"/>
    <x v="0"/>
    <x v="0"/>
    <x v="2"/>
    <x v="7"/>
    <x v="0"/>
    <x v="19"/>
    <x v="20"/>
  </r>
  <r>
    <x v="0"/>
    <x v="0"/>
    <x v="0"/>
    <x v="2"/>
    <x v="7"/>
    <x v="0"/>
    <x v="20"/>
    <x v="20"/>
  </r>
  <r>
    <x v="0"/>
    <x v="0"/>
    <x v="0"/>
    <x v="2"/>
    <x v="7"/>
    <x v="0"/>
    <x v="21"/>
    <x v="20"/>
  </r>
  <r>
    <x v="0"/>
    <x v="0"/>
    <x v="0"/>
    <x v="2"/>
    <x v="7"/>
    <x v="0"/>
    <x v="22"/>
    <x v="20"/>
  </r>
  <r>
    <x v="0"/>
    <x v="0"/>
    <x v="0"/>
    <x v="2"/>
    <x v="7"/>
    <x v="0"/>
    <x v="23"/>
    <x v="20"/>
  </r>
  <r>
    <x v="0"/>
    <x v="0"/>
    <x v="0"/>
    <x v="2"/>
    <x v="8"/>
    <x v="0"/>
    <x v="0"/>
    <x v="20"/>
  </r>
  <r>
    <x v="0"/>
    <x v="0"/>
    <x v="0"/>
    <x v="2"/>
    <x v="8"/>
    <x v="0"/>
    <x v="1"/>
    <x v="20"/>
  </r>
  <r>
    <x v="0"/>
    <x v="0"/>
    <x v="0"/>
    <x v="2"/>
    <x v="8"/>
    <x v="0"/>
    <x v="2"/>
    <x v="20"/>
  </r>
  <r>
    <x v="0"/>
    <x v="0"/>
    <x v="0"/>
    <x v="2"/>
    <x v="8"/>
    <x v="0"/>
    <x v="3"/>
    <x v="20"/>
  </r>
  <r>
    <x v="0"/>
    <x v="0"/>
    <x v="0"/>
    <x v="2"/>
    <x v="8"/>
    <x v="0"/>
    <x v="4"/>
    <x v="20"/>
  </r>
  <r>
    <x v="0"/>
    <x v="0"/>
    <x v="0"/>
    <x v="2"/>
    <x v="8"/>
    <x v="0"/>
    <x v="5"/>
    <x v="20"/>
  </r>
  <r>
    <x v="0"/>
    <x v="0"/>
    <x v="0"/>
    <x v="2"/>
    <x v="8"/>
    <x v="0"/>
    <x v="6"/>
    <x v="20"/>
  </r>
  <r>
    <x v="0"/>
    <x v="0"/>
    <x v="0"/>
    <x v="2"/>
    <x v="8"/>
    <x v="0"/>
    <x v="7"/>
    <x v="20"/>
  </r>
  <r>
    <x v="0"/>
    <x v="0"/>
    <x v="0"/>
    <x v="2"/>
    <x v="8"/>
    <x v="0"/>
    <x v="8"/>
    <x v="20"/>
  </r>
  <r>
    <x v="0"/>
    <x v="0"/>
    <x v="0"/>
    <x v="2"/>
    <x v="8"/>
    <x v="0"/>
    <x v="9"/>
    <x v="20"/>
  </r>
  <r>
    <x v="0"/>
    <x v="0"/>
    <x v="0"/>
    <x v="2"/>
    <x v="8"/>
    <x v="0"/>
    <x v="10"/>
    <x v="20"/>
  </r>
  <r>
    <x v="0"/>
    <x v="0"/>
    <x v="0"/>
    <x v="2"/>
    <x v="8"/>
    <x v="0"/>
    <x v="11"/>
    <x v="20"/>
  </r>
  <r>
    <x v="0"/>
    <x v="0"/>
    <x v="0"/>
    <x v="2"/>
    <x v="8"/>
    <x v="0"/>
    <x v="12"/>
    <x v="20"/>
  </r>
  <r>
    <x v="0"/>
    <x v="0"/>
    <x v="0"/>
    <x v="2"/>
    <x v="8"/>
    <x v="0"/>
    <x v="13"/>
    <x v="20"/>
  </r>
  <r>
    <x v="0"/>
    <x v="0"/>
    <x v="0"/>
    <x v="2"/>
    <x v="8"/>
    <x v="0"/>
    <x v="14"/>
    <x v="20"/>
  </r>
  <r>
    <x v="0"/>
    <x v="0"/>
    <x v="0"/>
    <x v="2"/>
    <x v="8"/>
    <x v="0"/>
    <x v="15"/>
    <x v="20"/>
  </r>
  <r>
    <x v="0"/>
    <x v="0"/>
    <x v="0"/>
    <x v="2"/>
    <x v="8"/>
    <x v="0"/>
    <x v="16"/>
    <x v="20"/>
  </r>
  <r>
    <x v="0"/>
    <x v="0"/>
    <x v="0"/>
    <x v="2"/>
    <x v="8"/>
    <x v="0"/>
    <x v="17"/>
    <x v="20"/>
  </r>
  <r>
    <x v="0"/>
    <x v="0"/>
    <x v="0"/>
    <x v="2"/>
    <x v="8"/>
    <x v="0"/>
    <x v="18"/>
    <x v="20"/>
  </r>
  <r>
    <x v="0"/>
    <x v="0"/>
    <x v="0"/>
    <x v="2"/>
    <x v="8"/>
    <x v="0"/>
    <x v="19"/>
    <x v="20"/>
  </r>
  <r>
    <x v="0"/>
    <x v="0"/>
    <x v="0"/>
    <x v="2"/>
    <x v="8"/>
    <x v="0"/>
    <x v="20"/>
    <x v="20"/>
  </r>
  <r>
    <x v="0"/>
    <x v="0"/>
    <x v="0"/>
    <x v="2"/>
    <x v="8"/>
    <x v="0"/>
    <x v="21"/>
    <x v="20"/>
  </r>
  <r>
    <x v="0"/>
    <x v="0"/>
    <x v="0"/>
    <x v="2"/>
    <x v="8"/>
    <x v="0"/>
    <x v="22"/>
    <x v="20"/>
  </r>
  <r>
    <x v="0"/>
    <x v="0"/>
    <x v="0"/>
    <x v="2"/>
    <x v="8"/>
    <x v="0"/>
    <x v="23"/>
    <x v="20"/>
  </r>
  <r>
    <x v="0"/>
    <x v="0"/>
    <x v="0"/>
    <x v="2"/>
    <x v="9"/>
    <x v="0"/>
    <x v="0"/>
    <x v="19"/>
  </r>
  <r>
    <x v="0"/>
    <x v="0"/>
    <x v="0"/>
    <x v="2"/>
    <x v="9"/>
    <x v="0"/>
    <x v="1"/>
    <x v="19"/>
  </r>
  <r>
    <x v="0"/>
    <x v="0"/>
    <x v="0"/>
    <x v="2"/>
    <x v="9"/>
    <x v="0"/>
    <x v="2"/>
    <x v="19"/>
  </r>
  <r>
    <x v="0"/>
    <x v="0"/>
    <x v="0"/>
    <x v="2"/>
    <x v="9"/>
    <x v="0"/>
    <x v="3"/>
    <x v="19"/>
  </r>
  <r>
    <x v="0"/>
    <x v="0"/>
    <x v="0"/>
    <x v="2"/>
    <x v="9"/>
    <x v="0"/>
    <x v="4"/>
    <x v="19"/>
  </r>
  <r>
    <x v="0"/>
    <x v="0"/>
    <x v="0"/>
    <x v="2"/>
    <x v="9"/>
    <x v="0"/>
    <x v="5"/>
    <x v="19"/>
  </r>
  <r>
    <x v="0"/>
    <x v="0"/>
    <x v="0"/>
    <x v="2"/>
    <x v="9"/>
    <x v="0"/>
    <x v="6"/>
    <x v="19"/>
  </r>
  <r>
    <x v="0"/>
    <x v="0"/>
    <x v="0"/>
    <x v="2"/>
    <x v="9"/>
    <x v="0"/>
    <x v="7"/>
    <x v="19"/>
  </r>
  <r>
    <x v="0"/>
    <x v="0"/>
    <x v="0"/>
    <x v="2"/>
    <x v="9"/>
    <x v="0"/>
    <x v="8"/>
    <x v="19"/>
  </r>
  <r>
    <x v="0"/>
    <x v="0"/>
    <x v="0"/>
    <x v="2"/>
    <x v="9"/>
    <x v="0"/>
    <x v="9"/>
    <x v="19"/>
  </r>
  <r>
    <x v="0"/>
    <x v="0"/>
    <x v="0"/>
    <x v="2"/>
    <x v="9"/>
    <x v="0"/>
    <x v="10"/>
    <x v="19"/>
  </r>
  <r>
    <x v="0"/>
    <x v="0"/>
    <x v="0"/>
    <x v="2"/>
    <x v="9"/>
    <x v="0"/>
    <x v="11"/>
    <x v="19"/>
  </r>
  <r>
    <x v="0"/>
    <x v="0"/>
    <x v="0"/>
    <x v="2"/>
    <x v="9"/>
    <x v="0"/>
    <x v="12"/>
    <x v="19"/>
  </r>
  <r>
    <x v="0"/>
    <x v="0"/>
    <x v="0"/>
    <x v="2"/>
    <x v="9"/>
    <x v="0"/>
    <x v="13"/>
    <x v="19"/>
  </r>
  <r>
    <x v="0"/>
    <x v="0"/>
    <x v="0"/>
    <x v="2"/>
    <x v="9"/>
    <x v="0"/>
    <x v="14"/>
    <x v="19"/>
  </r>
  <r>
    <x v="0"/>
    <x v="0"/>
    <x v="0"/>
    <x v="2"/>
    <x v="9"/>
    <x v="0"/>
    <x v="15"/>
    <x v="19"/>
  </r>
  <r>
    <x v="0"/>
    <x v="0"/>
    <x v="0"/>
    <x v="2"/>
    <x v="9"/>
    <x v="0"/>
    <x v="16"/>
    <x v="19"/>
  </r>
  <r>
    <x v="0"/>
    <x v="0"/>
    <x v="0"/>
    <x v="2"/>
    <x v="9"/>
    <x v="0"/>
    <x v="17"/>
    <x v="19"/>
  </r>
  <r>
    <x v="0"/>
    <x v="0"/>
    <x v="0"/>
    <x v="2"/>
    <x v="9"/>
    <x v="0"/>
    <x v="18"/>
    <x v="19"/>
  </r>
  <r>
    <x v="0"/>
    <x v="0"/>
    <x v="0"/>
    <x v="2"/>
    <x v="9"/>
    <x v="0"/>
    <x v="19"/>
    <x v="19"/>
  </r>
  <r>
    <x v="0"/>
    <x v="0"/>
    <x v="0"/>
    <x v="2"/>
    <x v="9"/>
    <x v="0"/>
    <x v="20"/>
    <x v="19"/>
  </r>
  <r>
    <x v="0"/>
    <x v="0"/>
    <x v="0"/>
    <x v="2"/>
    <x v="9"/>
    <x v="0"/>
    <x v="21"/>
    <x v="19"/>
  </r>
  <r>
    <x v="0"/>
    <x v="0"/>
    <x v="0"/>
    <x v="2"/>
    <x v="9"/>
    <x v="0"/>
    <x v="22"/>
    <x v="19"/>
  </r>
  <r>
    <x v="0"/>
    <x v="0"/>
    <x v="0"/>
    <x v="2"/>
    <x v="9"/>
    <x v="0"/>
    <x v="23"/>
    <x v="19"/>
  </r>
  <r>
    <x v="0"/>
    <x v="0"/>
    <x v="0"/>
    <x v="2"/>
    <x v="10"/>
    <x v="0"/>
    <x v="0"/>
    <x v="0"/>
  </r>
  <r>
    <x v="0"/>
    <x v="0"/>
    <x v="0"/>
    <x v="2"/>
    <x v="10"/>
    <x v="0"/>
    <x v="1"/>
    <x v="0"/>
  </r>
  <r>
    <x v="0"/>
    <x v="0"/>
    <x v="0"/>
    <x v="2"/>
    <x v="10"/>
    <x v="0"/>
    <x v="2"/>
    <x v="0"/>
  </r>
  <r>
    <x v="0"/>
    <x v="0"/>
    <x v="0"/>
    <x v="2"/>
    <x v="10"/>
    <x v="0"/>
    <x v="3"/>
    <x v="0"/>
  </r>
  <r>
    <x v="0"/>
    <x v="0"/>
    <x v="0"/>
    <x v="2"/>
    <x v="10"/>
    <x v="0"/>
    <x v="4"/>
    <x v="0"/>
  </r>
  <r>
    <x v="0"/>
    <x v="0"/>
    <x v="0"/>
    <x v="2"/>
    <x v="10"/>
    <x v="0"/>
    <x v="5"/>
    <x v="0"/>
  </r>
  <r>
    <x v="0"/>
    <x v="0"/>
    <x v="0"/>
    <x v="2"/>
    <x v="10"/>
    <x v="0"/>
    <x v="6"/>
    <x v="0"/>
  </r>
  <r>
    <x v="0"/>
    <x v="0"/>
    <x v="0"/>
    <x v="2"/>
    <x v="10"/>
    <x v="0"/>
    <x v="7"/>
    <x v="0"/>
  </r>
  <r>
    <x v="0"/>
    <x v="0"/>
    <x v="0"/>
    <x v="2"/>
    <x v="10"/>
    <x v="0"/>
    <x v="8"/>
    <x v="0"/>
  </r>
  <r>
    <x v="0"/>
    <x v="0"/>
    <x v="0"/>
    <x v="2"/>
    <x v="10"/>
    <x v="0"/>
    <x v="9"/>
    <x v="0"/>
  </r>
  <r>
    <x v="0"/>
    <x v="0"/>
    <x v="0"/>
    <x v="2"/>
    <x v="10"/>
    <x v="0"/>
    <x v="10"/>
    <x v="0"/>
  </r>
  <r>
    <x v="0"/>
    <x v="0"/>
    <x v="0"/>
    <x v="2"/>
    <x v="10"/>
    <x v="0"/>
    <x v="11"/>
    <x v="0"/>
  </r>
  <r>
    <x v="0"/>
    <x v="0"/>
    <x v="0"/>
    <x v="2"/>
    <x v="10"/>
    <x v="0"/>
    <x v="12"/>
    <x v="0"/>
  </r>
  <r>
    <x v="0"/>
    <x v="0"/>
    <x v="0"/>
    <x v="2"/>
    <x v="10"/>
    <x v="0"/>
    <x v="13"/>
    <x v="0"/>
  </r>
  <r>
    <x v="0"/>
    <x v="0"/>
    <x v="0"/>
    <x v="2"/>
    <x v="10"/>
    <x v="0"/>
    <x v="14"/>
    <x v="0"/>
  </r>
  <r>
    <x v="0"/>
    <x v="0"/>
    <x v="0"/>
    <x v="2"/>
    <x v="10"/>
    <x v="0"/>
    <x v="15"/>
    <x v="0"/>
  </r>
  <r>
    <x v="0"/>
    <x v="0"/>
    <x v="0"/>
    <x v="2"/>
    <x v="10"/>
    <x v="0"/>
    <x v="16"/>
    <x v="0"/>
  </r>
  <r>
    <x v="0"/>
    <x v="0"/>
    <x v="0"/>
    <x v="2"/>
    <x v="10"/>
    <x v="0"/>
    <x v="17"/>
    <x v="0"/>
  </r>
  <r>
    <x v="0"/>
    <x v="0"/>
    <x v="0"/>
    <x v="2"/>
    <x v="10"/>
    <x v="0"/>
    <x v="18"/>
    <x v="0"/>
  </r>
  <r>
    <x v="0"/>
    <x v="0"/>
    <x v="0"/>
    <x v="2"/>
    <x v="10"/>
    <x v="0"/>
    <x v="19"/>
    <x v="0"/>
  </r>
  <r>
    <x v="0"/>
    <x v="0"/>
    <x v="0"/>
    <x v="2"/>
    <x v="10"/>
    <x v="0"/>
    <x v="20"/>
    <x v="0"/>
  </r>
  <r>
    <x v="0"/>
    <x v="0"/>
    <x v="0"/>
    <x v="2"/>
    <x v="10"/>
    <x v="0"/>
    <x v="21"/>
    <x v="0"/>
  </r>
  <r>
    <x v="0"/>
    <x v="0"/>
    <x v="0"/>
    <x v="2"/>
    <x v="10"/>
    <x v="0"/>
    <x v="22"/>
    <x v="0"/>
  </r>
  <r>
    <x v="0"/>
    <x v="0"/>
    <x v="0"/>
    <x v="2"/>
    <x v="10"/>
    <x v="0"/>
    <x v="23"/>
    <x v="0"/>
  </r>
  <r>
    <x v="0"/>
    <x v="0"/>
    <x v="1"/>
    <x v="2"/>
    <x v="6"/>
    <x v="0"/>
    <x v="0"/>
    <x v="21"/>
  </r>
  <r>
    <x v="0"/>
    <x v="0"/>
    <x v="1"/>
    <x v="2"/>
    <x v="6"/>
    <x v="0"/>
    <x v="1"/>
    <x v="21"/>
  </r>
  <r>
    <x v="0"/>
    <x v="0"/>
    <x v="1"/>
    <x v="2"/>
    <x v="6"/>
    <x v="0"/>
    <x v="2"/>
    <x v="21"/>
  </r>
  <r>
    <x v="0"/>
    <x v="0"/>
    <x v="1"/>
    <x v="2"/>
    <x v="6"/>
    <x v="0"/>
    <x v="3"/>
    <x v="21"/>
  </r>
  <r>
    <x v="0"/>
    <x v="0"/>
    <x v="1"/>
    <x v="2"/>
    <x v="6"/>
    <x v="0"/>
    <x v="4"/>
    <x v="21"/>
  </r>
  <r>
    <x v="0"/>
    <x v="0"/>
    <x v="1"/>
    <x v="2"/>
    <x v="6"/>
    <x v="0"/>
    <x v="5"/>
    <x v="21"/>
  </r>
  <r>
    <x v="0"/>
    <x v="0"/>
    <x v="1"/>
    <x v="2"/>
    <x v="6"/>
    <x v="0"/>
    <x v="6"/>
    <x v="21"/>
  </r>
  <r>
    <x v="0"/>
    <x v="0"/>
    <x v="1"/>
    <x v="2"/>
    <x v="6"/>
    <x v="0"/>
    <x v="7"/>
    <x v="21"/>
  </r>
  <r>
    <x v="0"/>
    <x v="0"/>
    <x v="1"/>
    <x v="2"/>
    <x v="6"/>
    <x v="0"/>
    <x v="8"/>
    <x v="21"/>
  </r>
  <r>
    <x v="0"/>
    <x v="0"/>
    <x v="1"/>
    <x v="2"/>
    <x v="6"/>
    <x v="0"/>
    <x v="9"/>
    <x v="21"/>
  </r>
  <r>
    <x v="0"/>
    <x v="0"/>
    <x v="1"/>
    <x v="2"/>
    <x v="6"/>
    <x v="0"/>
    <x v="10"/>
    <x v="21"/>
  </r>
  <r>
    <x v="0"/>
    <x v="0"/>
    <x v="1"/>
    <x v="2"/>
    <x v="6"/>
    <x v="0"/>
    <x v="11"/>
    <x v="21"/>
  </r>
  <r>
    <x v="0"/>
    <x v="0"/>
    <x v="1"/>
    <x v="2"/>
    <x v="6"/>
    <x v="0"/>
    <x v="12"/>
    <x v="21"/>
  </r>
  <r>
    <x v="0"/>
    <x v="0"/>
    <x v="1"/>
    <x v="2"/>
    <x v="6"/>
    <x v="0"/>
    <x v="13"/>
    <x v="21"/>
  </r>
  <r>
    <x v="0"/>
    <x v="0"/>
    <x v="1"/>
    <x v="2"/>
    <x v="6"/>
    <x v="0"/>
    <x v="14"/>
    <x v="21"/>
  </r>
  <r>
    <x v="0"/>
    <x v="0"/>
    <x v="1"/>
    <x v="2"/>
    <x v="6"/>
    <x v="0"/>
    <x v="15"/>
    <x v="21"/>
  </r>
  <r>
    <x v="0"/>
    <x v="0"/>
    <x v="1"/>
    <x v="2"/>
    <x v="6"/>
    <x v="0"/>
    <x v="16"/>
    <x v="21"/>
  </r>
  <r>
    <x v="0"/>
    <x v="0"/>
    <x v="1"/>
    <x v="2"/>
    <x v="6"/>
    <x v="0"/>
    <x v="17"/>
    <x v="21"/>
  </r>
  <r>
    <x v="0"/>
    <x v="0"/>
    <x v="1"/>
    <x v="2"/>
    <x v="6"/>
    <x v="0"/>
    <x v="18"/>
    <x v="21"/>
  </r>
  <r>
    <x v="0"/>
    <x v="0"/>
    <x v="1"/>
    <x v="2"/>
    <x v="6"/>
    <x v="0"/>
    <x v="19"/>
    <x v="21"/>
  </r>
  <r>
    <x v="0"/>
    <x v="0"/>
    <x v="1"/>
    <x v="2"/>
    <x v="6"/>
    <x v="0"/>
    <x v="20"/>
    <x v="21"/>
  </r>
  <r>
    <x v="0"/>
    <x v="0"/>
    <x v="1"/>
    <x v="2"/>
    <x v="6"/>
    <x v="0"/>
    <x v="21"/>
    <x v="21"/>
  </r>
  <r>
    <x v="0"/>
    <x v="0"/>
    <x v="1"/>
    <x v="2"/>
    <x v="6"/>
    <x v="0"/>
    <x v="22"/>
    <x v="21"/>
  </r>
  <r>
    <x v="0"/>
    <x v="0"/>
    <x v="1"/>
    <x v="2"/>
    <x v="6"/>
    <x v="0"/>
    <x v="23"/>
    <x v="21"/>
  </r>
  <r>
    <x v="0"/>
    <x v="0"/>
    <x v="1"/>
    <x v="2"/>
    <x v="7"/>
    <x v="0"/>
    <x v="0"/>
    <x v="21"/>
  </r>
  <r>
    <x v="0"/>
    <x v="0"/>
    <x v="1"/>
    <x v="2"/>
    <x v="7"/>
    <x v="0"/>
    <x v="1"/>
    <x v="21"/>
  </r>
  <r>
    <x v="0"/>
    <x v="0"/>
    <x v="1"/>
    <x v="2"/>
    <x v="7"/>
    <x v="0"/>
    <x v="2"/>
    <x v="21"/>
  </r>
  <r>
    <x v="0"/>
    <x v="0"/>
    <x v="1"/>
    <x v="2"/>
    <x v="7"/>
    <x v="0"/>
    <x v="3"/>
    <x v="21"/>
  </r>
  <r>
    <x v="0"/>
    <x v="0"/>
    <x v="1"/>
    <x v="2"/>
    <x v="7"/>
    <x v="0"/>
    <x v="4"/>
    <x v="21"/>
  </r>
  <r>
    <x v="0"/>
    <x v="0"/>
    <x v="1"/>
    <x v="2"/>
    <x v="7"/>
    <x v="0"/>
    <x v="5"/>
    <x v="21"/>
  </r>
  <r>
    <x v="0"/>
    <x v="0"/>
    <x v="1"/>
    <x v="2"/>
    <x v="7"/>
    <x v="0"/>
    <x v="6"/>
    <x v="21"/>
  </r>
  <r>
    <x v="0"/>
    <x v="0"/>
    <x v="1"/>
    <x v="2"/>
    <x v="7"/>
    <x v="0"/>
    <x v="7"/>
    <x v="21"/>
  </r>
  <r>
    <x v="0"/>
    <x v="0"/>
    <x v="1"/>
    <x v="2"/>
    <x v="7"/>
    <x v="0"/>
    <x v="8"/>
    <x v="21"/>
  </r>
  <r>
    <x v="0"/>
    <x v="0"/>
    <x v="1"/>
    <x v="2"/>
    <x v="7"/>
    <x v="0"/>
    <x v="9"/>
    <x v="21"/>
  </r>
  <r>
    <x v="0"/>
    <x v="0"/>
    <x v="1"/>
    <x v="2"/>
    <x v="7"/>
    <x v="0"/>
    <x v="10"/>
    <x v="21"/>
  </r>
  <r>
    <x v="0"/>
    <x v="0"/>
    <x v="1"/>
    <x v="2"/>
    <x v="7"/>
    <x v="0"/>
    <x v="11"/>
    <x v="21"/>
  </r>
  <r>
    <x v="0"/>
    <x v="0"/>
    <x v="1"/>
    <x v="2"/>
    <x v="7"/>
    <x v="0"/>
    <x v="12"/>
    <x v="21"/>
  </r>
  <r>
    <x v="0"/>
    <x v="0"/>
    <x v="1"/>
    <x v="2"/>
    <x v="7"/>
    <x v="0"/>
    <x v="13"/>
    <x v="21"/>
  </r>
  <r>
    <x v="0"/>
    <x v="0"/>
    <x v="1"/>
    <x v="2"/>
    <x v="7"/>
    <x v="0"/>
    <x v="14"/>
    <x v="21"/>
  </r>
  <r>
    <x v="0"/>
    <x v="0"/>
    <x v="1"/>
    <x v="2"/>
    <x v="7"/>
    <x v="0"/>
    <x v="15"/>
    <x v="21"/>
  </r>
  <r>
    <x v="0"/>
    <x v="0"/>
    <x v="1"/>
    <x v="2"/>
    <x v="7"/>
    <x v="0"/>
    <x v="16"/>
    <x v="21"/>
  </r>
  <r>
    <x v="0"/>
    <x v="0"/>
    <x v="1"/>
    <x v="2"/>
    <x v="7"/>
    <x v="0"/>
    <x v="17"/>
    <x v="21"/>
  </r>
  <r>
    <x v="0"/>
    <x v="0"/>
    <x v="1"/>
    <x v="2"/>
    <x v="7"/>
    <x v="0"/>
    <x v="18"/>
    <x v="21"/>
  </r>
  <r>
    <x v="0"/>
    <x v="0"/>
    <x v="1"/>
    <x v="2"/>
    <x v="7"/>
    <x v="0"/>
    <x v="19"/>
    <x v="21"/>
  </r>
  <r>
    <x v="0"/>
    <x v="0"/>
    <x v="1"/>
    <x v="2"/>
    <x v="7"/>
    <x v="0"/>
    <x v="20"/>
    <x v="21"/>
  </r>
  <r>
    <x v="0"/>
    <x v="0"/>
    <x v="1"/>
    <x v="2"/>
    <x v="7"/>
    <x v="0"/>
    <x v="21"/>
    <x v="21"/>
  </r>
  <r>
    <x v="0"/>
    <x v="0"/>
    <x v="1"/>
    <x v="2"/>
    <x v="7"/>
    <x v="0"/>
    <x v="22"/>
    <x v="21"/>
  </r>
  <r>
    <x v="0"/>
    <x v="0"/>
    <x v="1"/>
    <x v="2"/>
    <x v="7"/>
    <x v="0"/>
    <x v="23"/>
    <x v="21"/>
  </r>
  <r>
    <x v="0"/>
    <x v="0"/>
    <x v="1"/>
    <x v="2"/>
    <x v="8"/>
    <x v="0"/>
    <x v="0"/>
    <x v="21"/>
  </r>
  <r>
    <x v="0"/>
    <x v="0"/>
    <x v="1"/>
    <x v="2"/>
    <x v="8"/>
    <x v="0"/>
    <x v="1"/>
    <x v="21"/>
  </r>
  <r>
    <x v="0"/>
    <x v="0"/>
    <x v="1"/>
    <x v="2"/>
    <x v="8"/>
    <x v="0"/>
    <x v="2"/>
    <x v="21"/>
  </r>
  <r>
    <x v="0"/>
    <x v="0"/>
    <x v="1"/>
    <x v="2"/>
    <x v="8"/>
    <x v="0"/>
    <x v="3"/>
    <x v="21"/>
  </r>
  <r>
    <x v="0"/>
    <x v="0"/>
    <x v="1"/>
    <x v="2"/>
    <x v="8"/>
    <x v="0"/>
    <x v="4"/>
    <x v="21"/>
  </r>
  <r>
    <x v="0"/>
    <x v="0"/>
    <x v="1"/>
    <x v="2"/>
    <x v="8"/>
    <x v="0"/>
    <x v="5"/>
    <x v="21"/>
  </r>
  <r>
    <x v="0"/>
    <x v="0"/>
    <x v="1"/>
    <x v="2"/>
    <x v="8"/>
    <x v="0"/>
    <x v="6"/>
    <x v="21"/>
  </r>
  <r>
    <x v="0"/>
    <x v="0"/>
    <x v="1"/>
    <x v="2"/>
    <x v="8"/>
    <x v="0"/>
    <x v="7"/>
    <x v="21"/>
  </r>
  <r>
    <x v="0"/>
    <x v="0"/>
    <x v="1"/>
    <x v="2"/>
    <x v="8"/>
    <x v="0"/>
    <x v="8"/>
    <x v="21"/>
  </r>
  <r>
    <x v="0"/>
    <x v="0"/>
    <x v="1"/>
    <x v="2"/>
    <x v="8"/>
    <x v="0"/>
    <x v="9"/>
    <x v="21"/>
  </r>
  <r>
    <x v="0"/>
    <x v="0"/>
    <x v="1"/>
    <x v="2"/>
    <x v="8"/>
    <x v="0"/>
    <x v="10"/>
    <x v="21"/>
  </r>
  <r>
    <x v="0"/>
    <x v="0"/>
    <x v="1"/>
    <x v="2"/>
    <x v="8"/>
    <x v="0"/>
    <x v="11"/>
    <x v="21"/>
  </r>
  <r>
    <x v="0"/>
    <x v="0"/>
    <x v="1"/>
    <x v="2"/>
    <x v="8"/>
    <x v="0"/>
    <x v="12"/>
    <x v="21"/>
  </r>
  <r>
    <x v="0"/>
    <x v="0"/>
    <x v="1"/>
    <x v="2"/>
    <x v="8"/>
    <x v="0"/>
    <x v="13"/>
    <x v="21"/>
  </r>
  <r>
    <x v="0"/>
    <x v="0"/>
    <x v="1"/>
    <x v="2"/>
    <x v="8"/>
    <x v="0"/>
    <x v="14"/>
    <x v="21"/>
  </r>
  <r>
    <x v="0"/>
    <x v="0"/>
    <x v="1"/>
    <x v="2"/>
    <x v="8"/>
    <x v="0"/>
    <x v="15"/>
    <x v="21"/>
  </r>
  <r>
    <x v="0"/>
    <x v="0"/>
    <x v="1"/>
    <x v="2"/>
    <x v="8"/>
    <x v="0"/>
    <x v="16"/>
    <x v="21"/>
  </r>
  <r>
    <x v="0"/>
    <x v="0"/>
    <x v="1"/>
    <x v="2"/>
    <x v="8"/>
    <x v="0"/>
    <x v="17"/>
    <x v="21"/>
  </r>
  <r>
    <x v="0"/>
    <x v="0"/>
    <x v="1"/>
    <x v="2"/>
    <x v="8"/>
    <x v="0"/>
    <x v="18"/>
    <x v="21"/>
  </r>
  <r>
    <x v="0"/>
    <x v="0"/>
    <x v="1"/>
    <x v="2"/>
    <x v="8"/>
    <x v="0"/>
    <x v="19"/>
    <x v="21"/>
  </r>
  <r>
    <x v="0"/>
    <x v="0"/>
    <x v="1"/>
    <x v="2"/>
    <x v="8"/>
    <x v="0"/>
    <x v="20"/>
    <x v="21"/>
  </r>
  <r>
    <x v="0"/>
    <x v="0"/>
    <x v="1"/>
    <x v="2"/>
    <x v="8"/>
    <x v="0"/>
    <x v="21"/>
    <x v="21"/>
  </r>
  <r>
    <x v="0"/>
    <x v="0"/>
    <x v="1"/>
    <x v="2"/>
    <x v="8"/>
    <x v="0"/>
    <x v="22"/>
    <x v="21"/>
  </r>
  <r>
    <x v="0"/>
    <x v="0"/>
    <x v="1"/>
    <x v="2"/>
    <x v="8"/>
    <x v="0"/>
    <x v="23"/>
    <x v="21"/>
  </r>
  <r>
    <x v="0"/>
    <x v="0"/>
    <x v="1"/>
    <x v="2"/>
    <x v="9"/>
    <x v="0"/>
    <x v="0"/>
    <x v="21"/>
  </r>
  <r>
    <x v="0"/>
    <x v="0"/>
    <x v="1"/>
    <x v="2"/>
    <x v="9"/>
    <x v="0"/>
    <x v="1"/>
    <x v="21"/>
  </r>
  <r>
    <x v="0"/>
    <x v="0"/>
    <x v="1"/>
    <x v="2"/>
    <x v="9"/>
    <x v="0"/>
    <x v="2"/>
    <x v="21"/>
  </r>
  <r>
    <x v="0"/>
    <x v="0"/>
    <x v="1"/>
    <x v="2"/>
    <x v="9"/>
    <x v="0"/>
    <x v="3"/>
    <x v="21"/>
  </r>
  <r>
    <x v="0"/>
    <x v="0"/>
    <x v="1"/>
    <x v="2"/>
    <x v="9"/>
    <x v="0"/>
    <x v="4"/>
    <x v="21"/>
  </r>
  <r>
    <x v="0"/>
    <x v="0"/>
    <x v="1"/>
    <x v="2"/>
    <x v="9"/>
    <x v="0"/>
    <x v="5"/>
    <x v="21"/>
  </r>
  <r>
    <x v="0"/>
    <x v="0"/>
    <x v="1"/>
    <x v="2"/>
    <x v="9"/>
    <x v="0"/>
    <x v="6"/>
    <x v="21"/>
  </r>
  <r>
    <x v="0"/>
    <x v="0"/>
    <x v="1"/>
    <x v="2"/>
    <x v="9"/>
    <x v="0"/>
    <x v="7"/>
    <x v="21"/>
  </r>
  <r>
    <x v="0"/>
    <x v="0"/>
    <x v="1"/>
    <x v="2"/>
    <x v="9"/>
    <x v="0"/>
    <x v="8"/>
    <x v="21"/>
  </r>
  <r>
    <x v="0"/>
    <x v="0"/>
    <x v="1"/>
    <x v="2"/>
    <x v="9"/>
    <x v="0"/>
    <x v="9"/>
    <x v="21"/>
  </r>
  <r>
    <x v="0"/>
    <x v="0"/>
    <x v="1"/>
    <x v="2"/>
    <x v="9"/>
    <x v="0"/>
    <x v="10"/>
    <x v="21"/>
  </r>
  <r>
    <x v="0"/>
    <x v="0"/>
    <x v="1"/>
    <x v="2"/>
    <x v="9"/>
    <x v="0"/>
    <x v="11"/>
    <x v="21"/>
  </r>
  <r>
    <x v="0"/>
    <x v="0"/>
    <x v="1"/>
    <x v="2"/>
    <x v="9"/>
    <x v="0"/>
    <x v="12"/>
    <x v="21"/>
  </r>
  <r>
    <x v="0"/>
    <x v="0"/>
    <x v="1"/>
    <x v="2"/>
    <x v="9"/>
    <x v="0"/>
    <x v="13"/>
    <x v="21"/>
  </r>
  <r>
    <x v="0"/>
    <x v="0"/>
    <x v="1"/>
    <x v="2"/>
    <x v="9"/>
    <x v="0"/>
    <x v="14"/>
    <x v="21"/>
  </r>
  <r>
    <x v="0"/>
    <x v="0"/>
    <x v="1"/>
    <x v="2"/>
    <x v="9"/>
    <x v="0"/>
    <x v="15"/>
    <x v="21"/>
  </r>
  <r>
    <x v="0"/>
    <x v="0"/>
    <x v="1"/>
    <x v="2"/>
    <x v="9"/>
    <x v="0"/>
    <x v="16"/>
    <x v="21"/>
  </r>
  <r>
    <x v="0"/>
    <x v="0"/>
    <x v="1"/>
    <x v="2"/>
    <x v="9"/>
    <x v="0"/>
    <x v="17"/>
    <x v="21"/>
  </r>
  <r>
    <x v="0"/>
    <x v="0"/>
    <x v="1"/>
    <x v="2"/>
    <x v="9"/>
    <x v="0"/>
    <x v="18"/>
    <x v="21"/>
  </r>
  <r>
    <x v="0"/>
    <x v="0"/>
    <x v="1"/>
    <x v="2"/>
    <x v="9"/>
    <x v="0"/>
    <x v="19"/>
    <x v="21"/>
  </r>
  <r>
    <x v="0"/>
    <x v="0"/>
    <x v="1"/>
    <x v="2"/>
    <x v="9"/>
    <x v="0"/>
    <x v="20"/>
    <x v="21"/>
  </r>
  <r>
    <x v="0"/>
    <x v="0"/>
    <x v="1"/>
    <x v="2"/>
    <x v="9"/>
    <x v="0"/>
    <x v="21"/>
    <x v="21"/>
  </r>
  <r>
    <x v="0"/>
    <x v="0"/>
    <x v="1"/>
    <x v="2"/>
    <x v="9"/>
    <x v="0"/>
    <x v="22"/>
    <x v="21"/>
  </r>
  <r>
    <x v="0"/>
    <x v="0"/>
    <x v="1"/>
    <x v="2"/>
    <x v="9"/>
    <x v="0"/>
    <x v="23"/>
    <x v="21"/>
  </r>
  <r>
    <x v="0"/>
    <x v="0"/>
    <x v="1"/>
    <x v="2"/>
    <x v="10"/>
    <x v="0"/>
    <x v="0"/>
    <x v="21"/>
  </r>
  <r>
    <x v="0"/>
    <x v="0"/>
    <x v="1"/>
    <x v="2"/>
    <x v="10"/>
    <x v="0"/>
    <x v="1"/>
    <x v="21"/>
  </r>
  <r>
    <x v="0"/>
    <x v="0"/>
    <x v="1"/>
    <x v="2"/>
    <x v="10"/>
    <x v="0"/>
    <x v="2"/>
    <x v="21"/>
  </r>
  <r>
    <x v="0"/>
    <x v="0"/>
    <x v="1"/>
    <x v="2"/>
    <x v="10"/>
    <x v="0"/>
    <x v="3"/>
    <x v="21"/>
  </r>
  <r>
    <x v="0"/>
    <x v="0"/>
    <x v="1"/>
    <x v="2"/>
    <x v="10"/>
    <x v="0"/>
    <x v="4"/>
    <x v="21"/>
  </r>
  <r>
    <x v="0"/>
    <x v="0"/>
    <x v="1"/>
    <x v="2"/>
    <x v="10"/>
    <x v="0"/>
    <x v="5"/>
    <x v="21"/>
  </r>
  <r>
    <x v="0"/>
    <x v="0"/>
    <x v="1"/>
    <x v="2"/>
    <x v="10"/>
    <x v="0"/>
    <x v="6"/>
    <x v="21"/>
  </r>
  <r>
    <x v="0"/>
    <x v="0"/>
    <x v="1"/>
    <x v="2"/>
    <x v="10"/>
    <x v="0"/>
    <x v="7"/>
    <x v="21"/>
  </r>
  <r>
    <x v="0"/>
    <x v="0"/>
    <x v="1"/>
    <x v="2"/>
    <x v="10"/>
    <x v="0"/>
    <x v="8"/>
    <x v="21"/>
  </r>
  <r>
    <x v="0"/>
    <x v="0"/>
    <x v="1"/>
    <x v="2"/>
    <x v="10"/>
    <x v="0"/>
    <x v="9"/>
    <x v="21"/>
  </r>
  <r>
    <x v="0"/>
    <x v="0"/>
    <x v="1"/>
    <x v="2"/>
    <x v="10"/>
    <x v="0"/>
    <x v="10"/>
    <x v="21"/>
  </r>
  <r>
    <x v="0"/>
    <x v="0"/>
    <x v="1"/>
    <x v="2"/>
    <x v="10"/>
    <x v="0"/>
    <x v="11"/>
    <x v="21"/>
  </r>
  <r>
    <x v="0"/>
    <x v="0"/>
    <x v="1"/>
    <x v="2"/>
    <x v="10"/>
    <x v="0"/>
    <x v="12"/>
    <x v="21"/>
  </r>
  <r>
    <x v="0"/>
    <x v="0"/>
    <x v="1"/>
    <x v="2"/>
    <x v="10"/>
    <x v="0"/>
    <x v="13"/>
    <x v="21"/>
  </r>
  <r>
    <x v="0"/>
    <x v="0"/>
    <x v="1"/>
    <x v="2"/>
    <x v="10"/>
    <x v="0"/>
    <x v="14"/>
    <x v="21"/>
  </r>
  <r>
    <x v="0"/>
    <x v="0"/>
    <x v="1"/>
    <x v="2"/>
    <x v="10"/>
    <x v="0"/>
    <x v="15"/>
    <x v="21"/>
  </r>
  <r>
    <x v="0"/>
    <x v="0"/>
    <x v="1"/>
    <x v="2"/>
    <x v="10"/>
    <x v="0"/>
    <x v="16"/>
    <x v="21"/>
  </r>
  <r>
    <x v="0"/>
    <x v="0"/>
    <x v="1"/>
    <x v="2"/>
    <x v="10"/>
    <x v="0"/>
    <x v="17"/>
    <x v="21"/>
  </r>
  <r>
    <x v="0"/>
    <x v="0"/>
    <x v="1"/>
    <x v="2"/>
    <x v="10"/>
    <x v="0"/>
    <x v="18"/>
    <x v="21"/>
  </r>
  <r>
    <x v="0"/>
    <x v="0"/>
    <x v="1"/>
    <x v="2"/>
    <x v="10"/>
    <x v="0"/>
    <x v="19"/>
    <x v="21"/>
  </r>
  <r>
    <x v="0"/>
    <x v="0"/>
    <x v="1"/>
    <x v="2"/>
    <x v="10"/>
    <x v="0"/>
    <x v="20"/>
    <x v="21"/>
  </r>
  <r>
    <x v="0"/>
    <x v="0"/>
    <x v="1"/>
    <x v="2"/>
    <x v="10"/>
    <x v="0"/>
    <x v="21"/>
    <x v="21"/>
  </r>
  <r>
    <x v="0"/>
    <x v="0"/>
    <x v="1"/>
    <x v="2"/>
    <x v="10"/>
    <x v="0"/>
    <x v="22"/>
    <x v="21"/>
  </r>
  <r>
    <x v="0"/>
    <x v="0"/>
    <x v="1"/>
    <x v="2"/>
    <x v="10"/>
    <x v="0"/>
    <x v="23"/>
    <x v="21"/>
  </r>
  <r>
    <x v="0"/>
    <x v="0"/>
    <x v="0"/>
    <x v="3"/>
    <x v="11"/>
    <x v="0"/>
    <x v="0"/>
    <x v="22"/>
  </r>
  <r>
    <x v="0"/>
    <x v="0"/>
    <x v="0"/>
    <x v="3"/>
    <x v="11"/>
    <x v="0"/>
    <x v="1"/>
    <x v="22"/>
  </r>
  <r>
    <x v="0"/>
    <x v="0"/>
    <x v="0"/>
    <x v="3"/>
    <x v="11"/>
    <x v="0"/>
    <x v="2"/>
    <x v="22"/>
  </r>
  <r>
    <x v="0"/>
    <x v="0"/>
    <x v="0"/>
    <x v="3"/>
    <x v="11"/>
    <x v="0"/>
    <x v="3"/>
    <x v="22"/>
  </r>
  <r>
    <x v="0"/>
    <x v="0"/>
    <x v="0"/>
    <x v="3"/>
    <x v="11"/>
    <x v="0"/>
    <x v="4"/>
    <x v="22"/>
  </r>
  <r>
    <x v="0"/>
    <x v="0"/>
    <x v="0"/>
    <x v="3"/>
    <x v="11"/>
    <x v="0"/>
    <x v="5"/>
    <x v="22"/>
  </r>
  <r>
    <x v="0"/>
    <x v="0"/>
    <x v="0"/>
    <x v="3"/>
    <x v="11"/>
    <x v="0"/>
    <x v="6"/>
    <x v="22"/>
  </r>
  <r>
    <x v="0"/>
    <x v="0"/>
    <x v="0"/>
    <x v="3"/>
    <x v="11"/>
    <x v="0"/>
    <x v="7"/>
    <x v="22"/>
  </r>
  <r>
    <x v="0"/>
    <x v="0"/>
    <x v="0"/>
    <x v="3"/>
    <x v="11"/>
    <x v="0"/>
    <x v="8"/>
    <x v="22"/>
  </r>
  <r>
    <x v="0"/>
    <x v="0"/>
    <x v="0"/>
    <x v="3"/>
    <x v="11"/>
    <x v="0"/>
    <x v="9"/>
    <x v="22"/>
  </r>
  <r>
    <x v="0"/>
    <x v="0"/>
    <x v="0"/>
    <x v="3"/>
    <x v="11"/>
    <x v="0"/>
    <x v="10"/>
    <x v="22"/>
  </r>
  <r>
    <x v="0"/>
    <x v="0"/>
    <x v="0"/>
    <x v="3"/>
    <x v="11"/>
    <x v="0"/>
    <x v="11"/>
    <x v="22"/>
  </r>
  <r>
    <x v="0"/>
    <x v="0"/>
    <x v="0"/>
    <x v="3"/>
    <x v="11"/>
    <x v="0"/>
    <x v="12"/>
    <x v="22"/>
  </r>
  <r>
    <x v="0"/>
    <x v="0"/>
    <x v="0"/>
    <x v="3"/>
    <x v="11"/>
    <x v="0"/>
    <x v="13"/>
    <x v="22"/>
  </r>
  <r>
    <x v="0"/>
    <x v="0"/>
    <x v="0"/>
    <x v="3"/>
    <x v="11"/>
    <x v="0"/>
    <x v="14"/>
    <x v="22"/>
  </r>
  <r>
    <x v="0"/>
    <x v="0"/>
    <x v="0"/>
    <x v="3"/>
    <x v="11"/>
    <x v="0"/>
    <x v="15"/>
    <x v="22"/>
  </r>
  <r>
    <x v="0"/>
    <x v="0"/>
    <x v="0"/>
    <x v="3"/>
    <x v="11"/>
    <x v="0"/>
    <x v="16"/>
    <x v="22"/>
  </r>
  <r>
    <x v="0"/>
    <x v="0"/>
    <x v="0"/>
    <x v="3"/>
    <x v="11"/>
    <x v="0"/>
    <x v="17"/>
    <x v="22"/>
  </r>
  <r>
    <x v="0"/>
    <x v="0"/>
    <x v="0"/>
    <x v="3"/>
    <x v="11"/>
    <x v="0"/>
    <x v="18"/>
    <x v="22"/>
  </r>
  <r>
    <x v="0"/>
    <x v="0"/>
    <x v="0"/>
    <x v="3"/>
    <x v="11"/>
    <x v="0"/>
    <x v="19"/>
    <x v="22"/>
  </r>
  <r>
    <x v="0"/>
    <x v="0"/>
    <x v="0"/>
    <x v="3"/>
    <x v="11"/>
    <x v="0"/>
    <x v="20"/>
    <x v="22"/>
  </r>
  <r>
    <x v="0"/>
    <x v="0"/>
    <x v="0"/>
    <x v="3"/>
    <x v="11"/>
    <x v="0"/>
    <x v="21"/>
    <x v="22"/>
  </r>
  <r>
    <x v="0"/>
    <x v="0"/>
    <x v="0"/>
    <x v="3"/>
    <x v="11"/>
    <x v="0"/>
    <x v="22"/>
    <x v="22"/>
  </r>
  <r>
    <x v="0"/>
    <x v="0"/>
    <x v="0"/>
    <x v="3"/>
    <x v="11"/>
    <x v="0"/>
    <x v="23"/>
    <x v="22"/>
  </r>
  <r>
    <x v="0"/>
    <x v="0"/>
    <x v="0"/>
    <x v="3"/>
    <x v="12"/>
    <x v="0"/>
    <x v="0"/>
    <x v="19"/>
  </r>
  <r>
    <x v="0"/>
    <x v="0"/>
    <x v="0"/>
    <x v="3"/>
    <x v="12"/>
    <x v="0"/>
    <x v="1"/>
    <x v="19"/>
  </r>
  <r>
    <x v="0"/>
    <x v="0"/>
    <x v="0"/>
    <x v="3"/>
    <x v="12"/>
    <x v="0"/>
    <x v="2"/>
    <x v="19"/>
  </r>
  <r>
    <x v="0"/>
    <x v="0"/>
    <x v="0"/>
    <x v="3"/>
    <x v="12"/>
    <x v="0"/>
    <x v="3"/>
    <x v="19"/>
  </r>
  <r>
    <x v="0"/>
    <x v="0"/>
    <x v="0"/>
    <x v="3"/>
    <x v="12"/>
    <x v="0"/>
    <x v="4"/>
    <x v="19"/>
  </r>
  <r>
    <x v="0"/>
    <x v="0"/>
    <x v="0"/>
    <x v="3"/>
    <x v="12"/>
    <x v="0"/>
    <x v="5"/>
    <x v="19"/>
  </r>
  <r>
    <x v="0"/>
    <x v="0"/>
    <x v="0"/>
    <x v="3"/>
    <x v="12"/>
    <x v="0"/>
    <x v="6"/>
    <x v="19"/>
  </r>
  <r>
    <x v="0"/>
    <x v="0"/>
    <x v="0"/>
    <x v="3"/>
    <x v="12"/>
    <x v="0"/>
    <x v="7"/>
    <x v="19"/>
  </r>
  <r>
    <x v="0"/>
    <x v="0"/>
    <x v="0"/>
    <x v="3"/>
    <x v="12"/>
    <x v="0"/>
    <x v="8"/>
    <x v="19"/>
  </r>
  <r>
    <x v="0"/>
    <x v="0"/>
    <x v="0"/>
    <x v="3"/>
    <x v="12"/>
    <x v="0"/>
    <x v="9"/>
    <x v="19"/>
  </r>
  <r>
    <x v="0"/>
    <x v="0"/>
    <x v="0"/>
    <x v="3"/>
    <x v="12"/>
    <x v="0"/>
    <x v="10"/>
    <x v="19"/>
  </r>
  <r>
    <x v="0"/>
    <x v="0"/>
    <x v="0"/>
    <x v="3"/>
    <x v="12"/>
    <x v="0"/>
    <x v="11"/>
    <x v="19"/>
  </r>
  <r>
    <x v="0"/>
    <x v="0"/>
    <x v="0"/>
    <x v="3"/>
    <x v="12"/>
    <x v="0"/>
    <x v="12"/>
    <x v="19"/>
  </r>
  <r>
    <x v="0"/>
    <x v="0"/>
    <x v="0"/>
    <x v="3"/>
    <x v="12"/>
    <x v="0"/>
    <x v="13"/>
    <x v="19"/>
  </r>
  <r>
    <x v="0"/>
    <x v="0"/>
    <x v="0"/>
    <x v="3"/>
    <x v="12"/>
    <x v="0"/>
    <x v="14"/>
    <x v="19"/>
  </r>
  <r>
    <x v="0"/>
    <x v="0"/>
    <x v="0"/>
    <x v="3"/>
    <x v="12"/>
    <x v="0"/>
    <x v="15"/>
    <x v="19"/>
  </r>
  <r>
    <x v="0"/>
    <x v="0"/>
    <x v="0"/>
    <x v="3"/>
    <x v="12"/>
    <x v="0"/>
    <x v="16"/>
    <x v="19"/>
  </r>
  <r>
    <x v="0"/>
    <x v="0"/>
    <x v="0"/>
    <x v="3"/>
    <x v="12"/>
    <x v="0"/>
    <x v="17"/>
    <x v="19"/>
  </r>
  <r>
    <x v="0"/>
    <x v="0"/>
    <x v="0"/>
    <x v="3"/>
    <x v="12"/>
    <x v="0"/>
    <x v="18"/>
    <x v="19"/>
  </r>
  <r>
    <x v="0"/>
    <x v="0"/>
    <x v="0"/>
    <x v="3"/>
    <x v="12"/>
    <x v="0"/>
    <x v="19"/>
    <x v="19"/>
  </r>
  <r>
    <x v="0"/>
    <x v="0"/>
    <x v="0"/>
    <x v="3"/>
    <x v="12"/>
    <x v="0"/>
    <x v="20"/>
    <x v="19"/>
  </r>
  <r>
    <x v="0"/>
    <x v="0"/>
    <x v="0"/>
    <x v="3"/>
    <x v="12"/>
    <x v="0"/>
    <x v="21"/>
    <x v="19"/>
  </r>
  <r>
    <x v="0"/>
    <x v="0"/>
    <x v="0"/>
    <x v="3"/>
    <x v="12"/>
    <x v="0"/>
    <x v="22"/>
    <x v="19"/>
  </r>
  <r>
    <x v="0"/>
    <x v="0"/>
    <x v="0"/>
    <x v="3"/>
    <x v="12"/>
    <x v="0"/>
    <x v="23"/>
    <x v="19"/>
  </r>
  <r>
    <x v="0"/>
    <x v="0"/>
    <x v="0"/>
    <x v="3"/>
    <x v="13"/>
    <x v="0"/>
    <x v="0"/>
    <x v="20"/>
  </r>
  <r>
    <x v="0"/>
    <x v="0"/>
    <x v="0"/>
    <x v="3"/>
    <x v="13"/>
    <x v="0"/>
    <x v="1"/>
    <x v="20"/>
  </r>
  <r>
    <x v="0"/>
    <x v="0"/>
    <x v="0"/>
    <x v="3"/>
    <x v="13"/>
    <x v="0"/>
    <x v="2"/>
    <x v="20"/>
  </r>
  <r>
    <x v="0"/>
    <x v="0"/>
    <x v="0"/>
    <x v="3"/>
    <x v="13"/>
    <x v="0"/>
    <x v="3"/>
    <x v="20"/>
  </r>
  <r>
    <x v="0"/>
    <x v="0"/>
    <x v="0"/>
    <x v="3"/>
    <x v="13"/>
    <x v="0"/>
    <x v="4"/>
    <x v="20"/>
  </r>
  <r>
    <x v="0"/>
    <x v="0"/>
    <x v="0"/>
    <x v="3"/>
    <x v="13"/>
    <x v="0"/>
    <x v="5"/>
    <x v="20"/>
  </r>
  <r>
    <x v="0"/>
    <x v="0"/>
    <x v="0"/>
    <x v="3"/>
    <x v="13"/>
    <x v="0"/>
    <x v="6"/>
    <x v="20"/>
  </r>
  <r>
    <x v="0"/>
    <x v="0"/>
    <x v="0"/>
    <x v="3"/>
    <x v="13"/>
    <x v="0"/>
    <x v="7"/>
    <x v="20"/>
  </r>
  <r>
    <x v="0"/>
    <x v="0"/>
    <x v="0"/>
    <x v="3"/>
    <x v="13"/>
    <x v="0"/>
    <x v="8"/>
    <x v="20"/>
  </r>
  <r>
    <x v="0"/>
    <x v="0"/>
    <x v="0"/>
    <x v="3"/>
    <x v="13"/>
    <x v="0"/>
    <x v="9"/>
    <x v="20"/>
  </r>
  <r>
    <x v="0"/>
    <x v="0"/>
    <x v="0"/>
    <x v="3"/>
    <x v="13"/>
    <x v="0"/>
    <x v="10"/>
    <x v="20"/>
  </r>
  <r>
    <x v="0"/>
    <x v="0"/>
    <x v="0"/>
    <x v="3"/>
    <x v="13"/>
    <x v="0"/>
    <x v="11"/>
    <x v="20"/>
  </r>
  <r>
    <x v="0"/>
    <x v="0"/>
    <x v="0"/>
    <x v="3"/>
    <x v="13"/>
    <x v="0"/>
    <x v="12"/>
    <x v="20"/>
  </r>
  <r>
    <x v="0"/>
    <x v="0"/>
    <x v="0"/>
    <x v="3"/>
    <x v="13"/>
    <x v="0"/>
    <x v="13"/>
    <x v="20"/>
  </r>
  <r>
    <x v="0"/>
    <x v="0"/>
    <x v="0"/>
    <x v="3"/>
    <x v="13"/>
    <x v="0"/>
    <x v="14"/>
    <x v="20"/>
  </r>
  <r>
    <x v="0"/>
    <x v="0"/>
    <x v="0"/>
    <x v="3"/>
    <x v="13"/>
    <x v="0"/>
    <x v="15"/>
    <x v="20"/>
  </r>
  <r>
    <x v="0"/>
    <x v="0"/>
    <x v="0"/>
    <x v="3"/>
    <x v="13"/>
    <x v="0"/>
    <x v="16"/>
    <x v="20"/>
  </r>
  <r>
    <x v="0"/>
    <x v="0"/>
    <x v="0"/>
    <x v="3"/>
    <x v="13"/>
    <x v="0"/>
    <x v="17"/>
    <x v="20"/>
  </r>
  <r>
    <x v="0"/>
    <x v="0"/>
    <x v="0"/>
    <x v="3"/>
    <x v="13"/>
    <x v="0"/>
    <x v="18"/>
    <x v="20"/>
  </r>
  <r>
    <x v="0"/>
    <x v="0"/>
    <x v="0"/>
    <x v="3"/>
    <x v="13"/>
    <x v="0"/>
    <x v="19"/>
    <x v="20"/>
  </r>
  <r>
    <x v="0"/>
    <x v="0"/>
    <x v="0"/>
    <x v="3"/>
    <x v="13"/>
    <x v="0"/>
    <x v="20"/>
    <x v="20"/>
  </r>
  <r>
    <x v="0"/>
    <x v="0"/>
    <x v="0"/>
    <x v="3"/>
    <x v="13"/>
    <x v="0"/>
    <x v="21"/>
    <x v="20"/>
  </r>
  <r>
    <x v="0"/>
    <x v="0"/>
    <x v="0"/>
    <x v="3"/>
    <x v="13"/>
    <x v="0"/>
    <x v="22"/>
    <x v="20"/>
  </r>
  <r>
    <x v="0"/>
    <x v="0"/>
    <x v="0"/>
    <x v="3"/>
    <x v="13"/>
    <x v="0"/>
    <x v="23"/>
    <x v="20"/>
  </r>
  <r>
    <x v="0"/>
    <x v="0"/>
    <x v="0"/>
    <x v="3"/>
    <x v="14"/>
    <x v="0"/>
    <x v="0"/>
    <x v="0"/>
  </r>
  <r>
    <x v="0"/>
    <x v="0"/>
    <x v="0"/>
    <x v="3"/>
    <x v="14"/>
    <x v="0"/>
    <x v="1"/>
    <x v="0"/>
  </r>
  <r>
    <x v="0"/>
    <x v="0"/>
    <x v="0"/>
    <x v="3"/>
    <x v="14"/>
    <x v="0"/>
    <x v="2"/>
    <x v="0"/>
  </r>
  <r>
    <x v="0"/>
    <x v="0"/>
    <x v="0"/>
    <x v="3"/>
    <x v="14"/>
    <x v="0"/>
    <x v="3"/>
    <x v="0"/>
  </r>
  <r>
    <x v="0"/>
    <x v="0"/>
    <x v="0"/>
    <x v="3"/>
    <x v="14"/>
    <x v="0"/>
    <x v="4"/>
    <x v="0"/>
  </r>
  <r>
    <x v="0"/>
    <x v="0"/>
    <x v="0"/>
    <x v="3"/>
    <x v="14"/>
    <x v="0"/>
    <x v="5"/>
    <x v="0"/>
  </r>
  <r>
    <x v="0"/>
    <x v="0"/>
    <x v="0"/>
    <x v="3"/>
    <x v="14"/>
    <x v="0"/>
    <x v="6"/>
    <x v="0"/>
  </r>
  <r>
    <x v="0"/>
    <x v="0"/>
    <x v="0"/>
    <x v="3"/>
    <x v="14"/>
    <x v="0"/>
    <x v="7"/>
    <x v="0"/>
  </r>
  <r>
    <x v="0"/>
    <x v="0"/>
    <x v="0"/>
    <x v="3"/>
    <x v="14"/>
    <x v="0"/>
    <x v="8"/>
    <x v="0"/>
  </r>
  <r>
    <x v="0"/>
    <x v="0"/>
    <x v="0"/>
    <x v="3"/>
    <x v="14"/>
    <x v="0"/>
    <x v="9"/>
    <x v="0"/>
  </r>
  <r>
    <x v="0"/>
    <x v="0"/>
    <x v="0"/>
    <x v="3"/>
    <x v="14"/>
    <x v="0"/>
    <x v="10"/>
    <x v="0"/>
  </r>
  <r>
    <x v="0"/>
    <x v="0"/>
    <x v="0"/>
    <x v="3"/>
    <x v="14"/>
    <x v="0"/>
    <x v="11"/>
    <x v="0"/>
  </r>
  <r>
    <x v="0"/>
    <x v="0"/>
    <x v="0"/>
    <x v="3"/>
    <x v="14"/>
    <x v="0"/>
    <x v="12"/>
    <x v="0"/>
  </r>
  <r>
    <x v="0"/>
    <x v="0"/>
    <x v="0"/>
    <x v="3"/>
    <x v="14"/>
    <x v="0"/>
    <x v="13"/>
    <x v="0"/>
  </r>
  <r>
    <x v="0"/>
    <x v="0"/>
    <x v="0"/>
    <x v="3"/>
    <x v="14"/>
    <x v="0"/>
    <x v="14"/>
    <x v="0"/>
  </r>
  <r>
    <x v="0"/>
    <x v="0"/>
    <x v="0"/>
    <x v="3"/>
    <x v="14"/>
    <x v="0"/>
    <x v="15"/>
    <x v="0"/>
  </r>
  <r>
    <x v="0"/>
    <x v="0"/>
    <x v="0"/>
    <x v="3"/>
    <x v="14"/>
    <x v="0"/>
    <x v="16"/>
    <x v="0"/>
  </r>
  <r>
    <x v="0"/>
    <x v="0"/>
    <x v="0"/>
    <x v="3"/>
    <x v="14"/>
    <x v="0"/>
    <x v="17"/>
    <x v="0"/>
  </r>
  <r>
    <x v="0"/>
    <x v="0"/>
    <x v="0"/>
    <x v="3"/>
    <x v="14"/>
    <x v="0"/>
    <x v="18"/>
    <x v="0"/>
  </r>
  <r>
    <x v="0"/>
    <x v="0"/>
    <x v="0"/>
    <x v="3"/>
    <x v="14"/>
    <x v="0"/>
    <x v="19"/>
    <x v="0"/>
  </r>
  <r>
    <x v="0"/>
    <x v="0"/>
    <x v="0"/>
    <x v="3"/>
    <x v="14"/>
    <x v="0"/>
    <x v="20"/>
    <x v="0"/>
  </r>
  <r>
    <x v="0"/>
    <x v="0"/>
    <x v="0"/>
    <x v="3"/>
    <x v="14"/>
    <x v="0"/>
    <x v="21"/>
    <x v="0"/>
  </r>
  <r>
    <x v="0"/>
    <x v="0"/>
    <x v="0"/>
    <x v="3"/>
    <x v="14"/>
    <x v="0"/>
    <x v="22"/>
    <x v="0"/>
  </r>
  <r>
    <x v="0"/>
    <x v="0"/>
    <x v="0"/>
    <x v="3"/>
    <x v="14"/>
    <x v="0"/>
    <x v="23"/>
    <x v="0"/>
  </r>
  <r>
    <x v="0"/>
    <x v="0"/>
    <x v="1"/>
    <x v="3"/>
    <x v="11"/>
    <x v="0"/>
    <x v="0"/>
    <x v="23"/>
  </r>
  <r>
    <x v="0"/>
    <x v="0"/>
    <x v="1"/>
    <x v="3"/>
    <x v="11"/>
    <x v="0"/>
    <x v="1"/>
    <x v="23"/>
  </r>
  <r>
    <x v="0"/>
    <x v="0"/>
    <x v="1"/>
    <x v="3"/>
    <x v="11"/>
    <x v="0"/>
    <x v="2"/>
    <x v="23"/>
  </r>
  <r>
    <x v="0"/>
    <x v="0"/>
    <x v="1"/>
    <x v="3"/>
    <x v="11"/>
    <x v="0"/>
    <x v="3"/>
    <x v="23"/>
  </r>
  <r>
    <x v="0"/>
    <x v="0"/>
    <x v="1"/>
    <x v="3"/>
    <x v="11"/>
    <x v="0"/>
    <x v="4"/>
    <x v="23"/>
  </r>
  <r>
    <x v="0"/>
    <x v="0"/>
    <x v="1"/>
    <x v="3"/>
    <x v="11"/>
    <x v="0"/>
    <x v="5"/>
    <x v="23"/>
  </r>
  <r>
    <x v="0"/>
    <x v="0"/>
    <x v="1"/>
    <x v="3"/>
    <x v="11"/>
    <x v="0"/>
    <x v="6"/>
    <x v="23"/>
  </r>
  <r>
    <x v="0"/>
    <x v="0"/>
    <x v="1"/>
    <x v="3"/>
    <x v="11"/>
    <x v="0"/>
    <x v="7"/>
    <x v="21"/>
  </r>
  <r>
    <x v="0"/>
    <x v="0"/>
    <x v="1"/>
    <x v="3"/>
    <x v="11"/>
    <x v="0"/>
    <x v="8"/>
    <x v="21"/>
  </r>
  <r>
    <x v="0"/>
    <x v="0"/>
    <x v="1"/>
    <x v="3"/>
    <x v="11"/>
    <x v="0"/>
    <x v="9"/>
    <x v="21"/>
  </r>
  <r>
    <x v="0"/>
    <x v="0"/>
    <x v="1"/>
    <x v="3"/>
    <x v="11"/>
    <x v="0"/>
    <x v="10"/>
    <x v="21"/>
  </r>
  <r>
    <x v="0"/>
    <x v="0"/>
    <x v="1"/>
    <x v="3"/>
    <x v="11"/>
    <x v="0"/>
    <x v="11"/>
    <x v="21"/>
  </r>
  <r>
    <x v="0"/>
    <x v="0"/>
    <x v="1"/>
    <x v="3"/>
    <x v="11"/>
    <x v="0"/>
    <x v="12"/>
    <x v="21"/>
  </r>
  <r>
    <x v="0"/>
    <x v="0"/>
    <x v="1"/>
    <x v="3"/>
    <x v="11"/>
    <x v="0"/>
    <x v="13"/>
    <x v="21"/>
  </r>
  <r>
    <x v="0"/>
    <x v="0"/>
    <x v="1"/>
    <x v="3"/>
    <x v="11"/>
    <x v="0"/>
    <x v="14"/>
    <x v="21"/>
  </r>
  <r>
    <x v="0"/>
    <x v="0"/>
    <x v="1"/>
    <x v="3"/>
    <x v="11"/>
    <x v="0"/>
    <x v="15"/>
    <x v="21"/>
  </r>
  <r>
    <x v="0"/>
    <x v="0"/>
    <x v="1"/>
    <x v="3"/>
    <x v="11"/>
    <x v="0"/>
    <x v="16"/>
    <x v="21"/>
  </r>
  <r>
    <x v="0"/>
    <x v="0"/>
    <x v="1"/>
    <x v="3"/>
    <x v="11"/>
    <x v="0"/>
    <x v="17"/>
    <x v="23"/>
  </r>
  <r>
    <x v="0"/>
    <x v="0"/>
    <x v="1"/>
    <x v="3"/>
    <x v="11"/>
    <x v="0"/>
    <x v="18"/>
    <x v="23"/>
  </r>
  <r>
    <x v="0"/>
    <x v="0"/>
    <x v="1"/>
    <x v="3"/>
    <x v="11"/>
    <x v="0"/>
    <x v="19"/>
    <x v="23"/>
  </r>
  <r>
    <x v="0"/>
    <x v="0"/>
    <x v="1"/>
    <x v="3"/>
    <x v="11"/>
    <x v="0"/>
    <x v="20"/>
    <x v="23"/>
  </r>
  <r>
    <x v="0"/>
    <x v="0"/>
    <x v="1"/>
    <x v="3"/>
    <x v="11"/>
    <x v="0"/>
    <x v="21"/>
    <x v="23"/>
  </r>
  <r>
    <x v="0"/>
    <x v="0"/>
    <x v="1"/>
    <x v="3"/>
    <x v="11"/>
    <x v="0"/>
    <x v="22"/>
    <x v="23"/>
  </r>
  <r>
    <x v="0"/>
    <x v="0"/>
    <x v="1"/>
    <x v="3"/>
    <x v="11"/>
    <x v="0"/>
    <x v="23"/>
    <x v="23"/>
  </r>
  <r>
    <x v="0"/>
    <x v="0"/>
    <x v="1"/>
    <x v="3"/>
    <x v="12"/>
    <x v="0"/>
    <x v="0"/>
    <x v="21"/>
  </r>
  <r>
    <x v="0"/>
    <x v="0"/>
    <x v="1"/>
    <x v="3"/>
    <x v="12"/>
    <x v="0"/>
    <x v="1"/>
    <x v="21"/>
  </r>
  <r>
    <x v="0"/>
    <x v="0"/>
    <x v="1"/>
    <x v="3"/>
    <x v="12"/>
    <x v="0"/>
    <x v="2"/>
    <x v="21"/>
  </r>
  <r>
    <x v="0"/>
    <x v="0"/>
    <x v="1"/>
    <x v="3"/>
    <x v="12"/>
    <x v="0"/>
    <x v="3"/>
    <x v="21"/>
  </r>
  <r>
    <x v="0"/>
    <x v="0"/>
    <x v="1"/>
    <x v="3"/>
    <x v="12"/>
    <x v="0"/>
    <x v="4"/>
    <x v="21"/>
  </r>
  <r>
    <x v="0"/>
    <x v="0"/>
    <x v="1"/>
    <x v="3"/>
    <x v="12"/>
    <x v="0"/>
    <x v="5"/>
    <x v="21"/>
  </r>
  <r>
    <x v="0"/>
    <x v="0"/>
    <x v="1"/>
    <x v="3"/>
    <x v="12"/>
    <x v="0"/>
    <x v="6"/>
    <x v="21"/>
  </r>
  <r>
    <x v="0"/>
    <x v="0"/>
    <x v="1"/>
    <x v="3"/>
    <x v="12"/>
    <x v="0"/>
    <x v="7"/>
    <x v="21"/>
  </r>
  <r>
    <x v="0"/>
    <x v="0"/>
    <x v="1"/>
    <x v="3"/>
    <x v="12"/>
    <x v="0"/>
    <x v="8"/>
    <x v="21"/>
  </r>
  <r>
    <x v="0"/>
    <x v="0"/>
    <x v="1"/>
    <x v="3"/>
    <x v="12"/>
    <x v="0"/>
    <x v="9"/>
    <x v="21"/>
  </r>
  <r>
    <x v="0"/>
    <x v="0"/>
    <x v="1"/>
    <x v="3"/>
    <x v="12"/>
    <x v="0"/>
    <x v="10"/>
    <x v="21"/>
  </r>
  <r>
    <x v="0"/>
    <x v="0"/>
    <x v="1"/>
    <x v="3"/>
    <x v="12"/>
    <x v="0"/>
    <x v="11"/>
    <x v="21"/>
  </r>
  <r>
    <x v="0"/>
    <x v="0"/>
    <x v="1"/>
    <x v="3"/>
    <x v="12"/>
    <x v="0"/>
    <x v="12"/>
    <x v="23"/>
  </r>
  <r>
    <x v="0"/>
    <x v="0"/>
    <x v="1"/>
    <x v="3"/>
    <x v="12"/>
    <x v="0"/>
    <x v="13"/>
    <x v="23"/>
  </r>
  <r>
    <x v="0"/>
    <x v="0"/>
    <x v="1"/>
    <x v="3"/>
    <x v="12"/>
    <x v="0"/>
    <x v="14"/>
    <x v="23"/>
  </r>
  <r>
    <x v="0"/>
    <x v="0"/>
    <x v="1"/>
    <x v="3"/>
    <x v="12"/>
    <x v="0"/>
    <x v="15"/>
    <x v="23"/>
  </r>
  <r>
    <x v="0"/>
    <x v="0"/>
    <x v="1"/>
    <x v="3"/>
    <x v="12"/>
    <x v="0"/>
    <x v="16"/>
    <x v="23"/>
  </r>
  <r>
    <x v="0"/>
    <x v="0"/>
    <x v="1"/>
    <x v="3"/>
    <x v="12"/>
    <x v="0"/>
    <x v="17"/>
    <x v="23"/>
  </r>
  <r>
    <x v="0"/>
    <x v="0"/>
    <x v="1"/>
    <x v="3"/>
    <x v="12"/>
    <x v="0"/>
    <x v="18"/>
    <x v="23"/>
  </r>
  <r>
    <x v="0"/>
    <x v="0"/>
    <x v="1"/>
    <x v="3"/>
    <x v="12"/>
    <x v="0"/>
    <x v="19"/>
    <x v="21"/>
  </r>
  <r>
    <x v="0"/>
    <x v="0"/>
    <x v="1"/>
    <x v="3"/>
    <x v="12"/>
    <x v="0"/>
    <x v="20"/>
    <x v="21"/>
  </r>
  <r>
    <x v="0"/>
    <x v="0"/>
    <x v="1"/>
    <x v="3"/>
    <x v="12"/>
    <x v="0"/>
    <x v="21"/>
    <x v="21"/>
  </r>
  <r>
    <x v="0"/>
    <x v="0"/>
    <x v="1"/>
    <x v="3"/>
    <x v="12"/>
    <x v="0"/>
    <x v="22"/>
    <x v="21"/>
  </r>
  <r>
    <x v="0"/>
    <x v="0"/>
    <x v="1"/>
    <x v="3"/>
    <x v="12"/>
    <x v="0"/>
    <x v="23"/>
    <x v="21"/>
  </r>
  <r>
    <x v="0"/>
    <x v="0"/>
    <x v="1"/>
    <x v="3"/>
    <x v="13"/>
    <x v="0"/>
    <x v="0"/>
    <x v="21"/>
  </r>
  <r>
    <x v="0"/>
    <x v="0"/>
    <x v="1"/>
    <x v="3"/>
    <x v="13"/>
    <x v="0"/>
    <x v="1"/>
    <x v="21"/>
  </r>
  <r>
    <x v="0"/>
    <x v="0"/>
    <x v="1"/>
    <x v="3"/>
    <x v="13"/>
    <x v="0"/>
    <x v="2"/>
    <x v="21"/>
  </r>
  <r>
    <x v="0"/>
    <x v="0"/>
    <x v="1"/>
    <x v="3"/>
    <x v="13"/>
    <x v="0"/>
    <x v="3"/>
    <x v="21"/>
  </r>
  <r>
    <x v="0"/>
    <x v="0"/>
    <x v="1"/>
    <x v="3"/>
    <x v="13"/>
    <x v="0"/>
    <x v="4"/>
    <x v="21"/>
  </r>
  <r>
    <x v="0"/>
    <x v="0"/>
    <x v="1"/>
    <x v="3"/>
    <x v="13"/>
    <x v="0"/>
    <x v="5"/>
    <x v="21"/>
  </r>
  <r>
    <x v="0"/>
    <x v="0"/>
    <x v="1"/>
    <x v="3"/>
    <x v="13"/>
    <x v="0"/>
    <x v="6"/>
    <x v="21"/>
  </r>
  <r>
    <x v="0"/>
    <x v="0"/>
    <x v="1"/>
    <x v="3"/>
    <x v="13"/>
    <x v="0"/>
    <x v="7"/>
    <x v="21"/>
  </r>
  <r>
    <x v="0"/>
    <x v="0"/>
    <x v="1"/>
    <x v="3"/>
    <x v="13"/>
    <x v="0"/>
    <x v="8"/>
    <x v="21"/>
  </r>
  <r>
    <x v="0"/>
    <x v="0"/>
    <x v="1"/>
    <x v="3"/>
    <x v="13"/>
    <x v="0"/>
    <x v="9"/>
    <x v="21"/>
  </r>
  <r>
    <x v="0"/>
    <x v="0"/>
    <x v="1"/>
    <x v="3"/>
    <x v="13"/>
    <x v="0"/>
    <x v="10"/>
    <x v="21"/>
  </r>
  <r>
    <x v="0"/>
    <x v="0"/>
    <x v="1"/>
    <x v="3"/>
    <x v="13"/>
    <x v="0"/>
    <x v="11"/>
    <x v="21"/>
  </r>
  <r>
    <x v="0"/>
    <x v="0"/>
    <x v="1"/>
    <x v="3"/>
    <x v="13"/>
    <x v="0"/>
    <x v="12"/>
    <x v="21"/>
  </r>
  <r>
    <x v="0"/>
    <x v="0"/>
    <x v="1"/>
    <x v="3"/>
    <x v="13"/>
    <x v="0"/>
    <x v="13"/>
    <x v="21"/>
  </r>
  <r>
    <x v="0"/>
    <x v="0"/>
    <x v="1"/>
    <x v="3"/>
    <x v="13"/>
    <x v="0"/>
    <x v="14"/>
    <x v="21"/>
  </r>
  <r>
    <x v="0"/>
    <x v="0"/>
    <x v="1"/>
    <x v="3"/>
    <x v="13"/>
    <x v="0"/>
    <x v="15"/>
    <x v="21"/>
  </r>
  <r>
    <x v="0"/>
    <x v="0"/>
    <x v="1"/>
    <x v="3"/>
    <x v="13"/>
    <x v="0"/>
    <x v="16"/>
    <x v="21"/>
  </r>
  <r>
    <x v="0"/>
    <x v="0"/>
    <x v="1"/>
    <x v="3"/>
    <x v="13"/>
    <x v="0"/>
    <x v="17"/>
    <x v="21"/>
  </r>
  <r>
    <x v="0"/>
    <x v="0"/>
    <x v="1"/>
    <x v="3"/>
    <x v="13"/>
    <x v="0"/>
    <x v="18"/>
    <x v="21"/>
  </r>
  <r>
    <x v="0"/>
    <x v="0"/>
    <x v="1"/>
    <x v="3"/>
    <x v="13"/>
    <x v="0"/>
    <x v="19"/>
    <x v="21"/>
  </r>
  <r>
    <x v="0"/>
    <x v="0"/>
    <x v="1"/>
    <x v="3"/>
    <x v="13"/>
    <x v="0"/>
    <x v="20"/>
    <x v="21"/>
  </r>
  <r>
    <x v="0"/>
    <x v="0"/>
    <x v="1"/>
    <x v="3"/>
    <x v="13"/>
    <x v="0"/>
    <x v="21"/>
    <x v="21"/>
  </r>
  <r>
    <x v="0"/>
    <x v="0"/>
    <x v="1"/>
    <x v="3"/>
    <x v="13"/>
    <x v="0"/>
    <x v="22"/>
    <x v="21"/>
  </r>
  <r>
    <x v="0"/>
    <x v="0"/>
    <x v="1"/>
    <x v="3"/>
    <x v="13"/>
    <x v="0"/>
    <x v="23"/>
    <x v="21"/>
  </r>
  <r>
    <x v="0"/>
    <x v="0"/>
    <x v="1"/>
    <x v="3"/>
    <x v="14"/>
    <x v="0"/>
    <x v="0"/>
    <x v="21"/>
  </r>
  <r>
    <x v="0"/>
    <x v="0"/>
    <x v="1"/>
    <x v="3"/>
    <x v="14"/>
    <x v="0"/>
    <x v="1"/>
    <x v="21"/>
  </r>
  <r>
    <x v="0"/>
    <x v="0"/>
    <x v="1"/>
    <x v="3"/>
    <x v="14"/>
    <x v="0"/>
    <x v="2"/>
    <x v="21"/>
  </r>
  <r>
    <x v="0"/>
    <x v="0"/>
    <x v="1"/>
    <x v="3"/>
    <x v="14"/>
    <x v="0"/>
    <x v="3"/>
    <x v="21"/>
  </r>
  <r>
    <x v="0"/>
    <x v="0"/>
    <x v="1"/>
    <x v="3"/>
    <x v="14"/>
    <x v="0"/>
    <x v="4"/>
    <x v="21"/>
  </r>
  <r>
    <x v="0"/>
    <x v="0"/>
    <x v="1"/>
    <x v="3"/>
    <x v="14"/>
    <x v="0"/>
    <x v="5"/>
    <x v="21"/>
  </r>
  <r>
    <x v="0"/>
    <x v="0"/>
    <x v="1"/>
    <x v="3"/>
    <x v="14"/>
    <x v="0"/>
    <x v="6"/>
    <x v="21"/>
  </r>
  <r>
    <x v="0"/>
    <x v="0"/>
    <x v="1"/>
    <x v="3"/>
    <x v="14"/>
    <x v="0"/>
    <x v="7"/>
    <x v="21"/>
  </r>
  <r>
    <x v="0"/>
    <x v="0"/>
    <x v="1"/>
    <x v="3"/>
    <x v="14"/>
    <x v="0"/>
    <x v="8"/>
    <x v="21"/>
  </r>
  <r>
    <x v="0"/>
    <x v="0"/>
    <x v="1"/>
    <x v="3"/>
    <x v="14"/>
    <x v="0"/>
    <x v="9"/>
    <x v="21"/>
  </r>
  <r>
    <x v="0"/>
    <x v="0"/>
    <x v="1"/>
    <x v="3"/>
    <x v="14"/>
    <x v="0"/>
    <x v="10"/>
    <x v="21"/>
  </r>
  <r>
    <x v="0"/>
    <x v="0"/>
    <x v="1"/>
    <x v="3"/>
    <x v="14"/>
    <x v="0"/>
    <x v="11"/>
    <x v="21"/>
  </r>
  <r>
    <x v="0"/>
    <x v="0"/>
    <x v="1"/>
    <x v="3"/>
    <x v="14"/>
    <x v="0"/>
    <x v="12"/>
    <x v="21"/>
  </r>
  <r>
    <x v="0"/>
    <x v="0"/>
    <x v="1"/>
    <x v="3"/>
    <x v="14"/>
    <x v="0"/>
    <x v="13"/>
    <x v="21"/>
  </r>
  <r>
    <x v="0"/>
    <x v="0"/>
    <x v="1"/>
    <x v="3"/>
    <x v="14"/>
    <x v="0"/>
    <x v="14"/>
    <x v="21"/>
  </r>
  <r>
    <x v="0"/>
    <x v="0"/>
    <x v="1"/>
    <x v="3"/>
    <x v="14"/>
    <x v="0"/>
    <x v="15"/>
    <x v="21"/>
  </r>
  <r>
    <x v="0"/>
    <x v="0"/>
    <x v="1"/>
    <x v="3"/>
    <x v="14"/>
    <x v="0"/>
    <x v="16"/>
    <x v="21"/>
  </r>
  <r>
    <x v="0"/>
    <x v="0"/>
    <x v="1"/>
    <x v="3"/>
    <x v="14"/>
    <x v="0"/>
    <x v="17"/>
    <x v="21"/>
  </r>
  <r>
    <x v="0"/>
    <x v="0"/>
    <x v="1"/>
    <x v="3"/>
    <x v="14"/>
    <x v="0"/>
    <x v="18"/>
    <x v="21"/>
  </r>
  <r>
    <x v="0"/>
    <x v="0"/>
    <x v="1"/>
    <x v="3"/>
    <x v="14"/>
    <x v="0"/>
    <x v="19"/>
    <x v="21"/>
  </r>
  <r>
    <x v="0"/>
    <x v="0"/>
    <x v="1"/>
    <x v="3"/>
    <x v="14"/>
    <x v="0"/>
    <x v="20"/>
    <x v="21"/>
  </r>
  <r>
    <x v="0"/>
    <x v="0"/>
    <x v="1"/>
    <x v="3"/>
    <x v="14"/>
    <x v="0"/>
    <x v="21"/>
    <x v="21"/>
  </r>
  <r>
    <x v="0"/>
    <x v="0"/>
    <x v="1"/>
    <x v="3"/>
    <x v="14"/>
    <x v="0"/>
    <x v="22"/>
    <x v="21"/>
  </r>
  <r>
    <x v="0"/>
    <x v="0"/>
    <x v="1"/>
    <x v="3"/>
    <x v="14"/>
    <x v="0"/>
    <x v="23"/>
    <x v="21"/>
  </r>
</pivotCacheRecords>
</file>

<file path=xl/pivotCache/pivotCacheRecords3.xml><?xml version="1.0" encoding="utf-8"?>
<pivotCacheRecords xmlns="http://schemas.openxmlformats.org/spreadsheetml/2006/main" xmlns:r="http://schemas.openxmlformats.org/officeDocument/2006/relationships" count="1488">
  <r>
    <x v="0"/>
    <x v="0"/>
    <x v="0"/>
    <x v="0"/>
    <x v="0"/>
    <x v="0"/>
    <x v="0"/>
    <x v="0"/>
    <n v="27.895289648563701"/>
    <n v="100.423042734829"/>
  </r>
  <r>
    <x v="0"/>
    <x v="0"/>
    <x v="0"/>
    <x v="0"/>
    <x v="0"/>
    <x v="0"/>
    <x v="0"/>
    <x v="1"/>
    <n v="27.895289648563701"/>
    <n v="100.423042734829"/>
  </r>
  <r>
    <x v="0"/>
    <x v="0"/>
    <x v="0"/>
    <x v="0"/>
    <x v="0"/>
    <x v="0"/>
    <x v="0"/>
    <x v="2"/>
    <n v="27.895289648563701"/>
    <n v="100.423042734829"/>
  </r>
  <r>
    <x v="0"/>
    <x v="0"/>
    <x v="0"/>
    <x v="0"/>
    <x v="0"/>
    <x v="0"/>
    <x v="0"/>
    <x v="3"/>
    <n v="27.895289648563701"/>
    <n v="100.423042734829"/>
  </r>
  <r>
    <x v="0"/>
    <x v="0"/>
    <x v="0"/>
    <x v="0"/>
    <x v="0"/>
    <x v="0"/>
    <x v="0"/>
    <x v="4"/>
    <n v="27.895289648563701"/>
    <n v="100.423042734829"/>
  </r>
  <r>
    <x v="0"/>
    <x v="0"/>
    <x v="0"/>
    <x v="0"/>
    <x v="0"/>
    <x v="0"/>
    <x v="0"/>
    <x v="5"/>
    <n v="27.895289648563701"/>
    <n v="100.423042734829"/>
  </r>
  <r>
    <x v="0"/>
    <x v="0"/>
    <x v="0"/>
    <x v="0"/>
    <x v="0"/>
    <x v="0"/>
    <x v="0"/>
    <x v="6"/>
    <n v="27.895289648563701"/>
    <n v="100.423042734829"/>
  </r>
  <r>
    <x v="0"/>
    <x v="0"/>
    <x v="0"/>
    <x v="0"/>
    <x v="0"/>
    <x v="0"/>
    <x v="0"/>
    <x v="7"/>
    <n v="27.895289648563701"/>
    <n v="100.423042734829"/>
  </r>
  <r>
    <x v="0"/>
    <x v="0"/>
    <x v="0"/>
    <x v="0"/>
    <x v="0"/>
    <x v="0"/>
    <x v="0"/>
    <x v="8"/>
    <n v="27.895289648563701"/>
    <n v="100.423042734829"/>
  </r>
  <r>
    <x v="0"/>
    <x v="0"/>
    <x v="0"/>
    <x v="0"/>
    <x v="0"/>
    <x v="0"/>
    <x v="0"/>
    <x v="9"/>
    <n v="27.895289648563701"/>
    <n v="100.423042734829"/>
  </r>
  <r>
    <x v="0"/>
    <x v="0"/>
    <x v="0"/>
    <x v="0"/>
    <x v="0"/>
    <x v="0"/>
    <x v="0"/>
    <x v="10"/>
    <n v="27.895289648563701"/>
    <n v="100.423042734829"/>
  </r>
  <r>
    <x v="0"/>
    <x v="0"/>
    <x v="0"/>
    <x v="0"/>
    <x v="0"/>
    <x v="0"/>
    <x v="0"/>
    <x v="11"/>
    <n v="27.895289648563701"/>
    <n v="100.423042734829"/>
  </r>
  <r>
    <x v="0"/>
    <x v="0"/>
    <x v="0"/>
    <x v="0"/>
    <x v="0"/>
    <x v="0"/>
    <x v="0"/>
    <x v="12"/>
    <n v="27.895289648563701"/>
    <n v="100.423042734829"/>
  </r>
  <r>
    <x v="0"/>
    <x v="0"/>
    <x v="0"/>
    <x v="0"/>
    <x v="0"/>
    <x v="0"/>
    <x v="0"/>
    <x v="13"/>
    <n v="27.895289648563701"/>
    <n v="100.423042734829"/>
  </r>
  <r>
    <x v="0"/>
    <x v="0"/>
    <x v="0"/>
    <x v="0"/>
    <x v="0"/>
    <x v="0"/>
    <x v="0"/>
    <x v="14"/>
    <n v="27.895289648563701"/>
    <n v="100.423042734829"/>
  </r>
  <r>
    <x v="0"/>
    <x v="0"/>
    <x v="0"/>
    <x v="0"/>
    <x v="0"/>
    <x v="0"/>
    <x v="0"/>
    <x v="15"/>
    <n v="27.895289648563701"/>
    <n v="100.423042734829"/>
  </r>
  <r>
    <x v="0"/>
    <x v="0"/>
    <x v="0"/>
    <x v="0"/>
    <x v="0"/>
    <x v="0"/>
    <x v="0"/>
    <x v="16"/>
    <n v="27.895289648563701"/>
    <n v="100.423042734829"/>
  </r>
  <r>
    <x v="0"/>
    <x v="0"/>
    <x v="0"/>
    <x v="0"/>
    <x v="0"/>
    <x v="0"/>
    <x v="0"/>
    <x v="17"/>
    <n v="26.644728311028299"/>
    <n v="95.9210219197019"/>
  </r>
  <r>
    <x v="0"/>
    <x v="0"/>
    <x v="0"/>
    <x v="0"/>
    <x v="0"/>
    <x v="0"/>
    <x v="0"/>
    <x v="18"/>
    <n v="24.7742756872684"/>
    <n v="89.187392474166103"/>
  </r>
  <r>
    <x v="0"/>
    <x v="0"/>
    <x v="0"/>
    <x v="0"/>
    <x v="0"/>
    <x v="0"/>
    <x v="0"/>
    <x v="19"/>
    <n v="24.7742756872684"/>
    <n v="89.187392474166103"/>
  </r>
  <r>
    <x v="0"/>
    <x v="0"/>
    <x v="0"/>
    <x v="0"/>
    <x v="0"/>
    <x v="0"/>
    <x v="0"/>
    <x v="20"/>
    <n v="24.7742756872684"/>
    <n v="89.187392474166103"/>
  </r>
  <r>
    <x v="0"/>
    <x v="0"/>
    <x v="0"/>
    <x v="0"/>
    <x v="0"/>
    <x v="0"/>
    <x v="0"/>
    <x v="21"/>
    <n v="24.7742756872684"/>
    <n v="89.187392474166202"/>
  </r>
  <r>
    <x v="0"/>
    <x v="0"/>
    <x v="0"/>
    <x v="0"/>
    <x v="0"/>
    <x v="0"/>
    <x v="0"/>
    <x v="22"/>
    <n v="27.895289648563701"/>
    <n v="100.423042734829"/>
  </r>
  <r>
    <x v="0"/>
    <x v="0"/>
    <x v="0"/>
    <x v="0"/>
    <x v="0"/>
    <x v="0"/>
    <x v="0"/>
    <x v="23"/>
    <n v="27.895289648563701"/>
    <n v="100.423042734829"/>
  </r>
  <r>
    <x v="0"/>
    <x v="0"/>
    <x v="0"/>
    <x v="0"/>
    <x v="0"/>
    <x v="1"/>
    <x v="0"/>
    <x v="0"/>
    <n v="106.739556632066"/>
    <n v="384.26240387543697"/>
  </r>
  <r>
    <x v="0"/>
    <x v="0"/>
    <x v="0"/>
    <x v="0"/>
    <x v="0"/>
    <x v="1"/>
    <x v="0"/>
    <x v="1"/>
    <n v="106.739556632066"/>
    <n v="384.26240387543697"/>
  </r>
  <r>
    <x v="0"/>
    <x v="0"/>
    <x v="0"/>
    <x v="0"/>
    <x v="0"/>
    <x v="1"/>
    <x v="0"/>
    <x v="2"/>
    <n v="106.739556632066"/>
    <n v="384.26240387543697"/>
  </r>
  <r>
    <x v="0"/>
    <x v="0"/>
    <x v="0"/>
    <x v="0"/>
    <x v="0"/>
    <x v="1"/>
    <x v="0"/>
    <x v="3"/>
    <n v="106.739556632066"/>
    <n v="384.26240387543697"/>
  </r>
  <r>
    <x v="0"/>
    <x v="0"/>
    <x v="0"/>
    <x v="0"/>
    <x v="0"/>
    <x v="1"/>
    <x v="0"/>
    <x v="4"/>
    <n v="106.739556632066"/>
    <n v="384.26240387543697"/>
  </r>
  <r>
    <x v="0"/>
    <x v="0"/>
    <x v="0"/>
    <x v="0"/>
    <x v="0"/>
    <x v="1"/>
    <x v="0"/>
    <x v="5"/>
    <n v="106.739556632066"/>
    <n v="384.26240387543697"/>
  </r>
  <r>
    <x v="0"/>
    <x v="0"/>
    <x v="0"/>
    <x v="0"/>
    <x v="0"/>
    <x v="1"/>
    <x v="0"/>
    <x v="6"/>
    <n v="106.739556632066"/>
    <n v="384.26240387543697"/>
  </r>
  <r>
    <x v="0"/>
    <x v="0"/>
    <x v="0"/>
    <x v="0"/>
    <x v="0"/>
    <x v="1"/>
    <x v="0"/>
    <x v="7"/>
    <n v="106.739556632066"/>
    <n v="384.26240387543697"/>
  </r>
  <r>
    <x v="0"/>
    <x v="0"/>
    <x v="0"/>
    <x v="0"/>
    <x v="0"/>
    <x v="1"/>
    <x v="0"/>
    <x v="8"/>
    <n v="107.764107687275"/>
    <n v="387.95078767419102"/>
  </r>
  <r>
    <x v="0"/>
    <x v="0"/>
    <x v="0"/>
    <x v="0"/>
    <x v="0"/>
    <x v="1"/>
    <x v="0"/>
    <x v="9"/>
    <n v="107.764107687275"/>
    <n v="387.95078767419102"/>
  </r>
  <r>
    <x v="0"/>
    <x v="0"/>
    <x v="0"/>
    <x v="0"/>
    <x v="0"/>
    <x v="1"/>
    <x v="0"/>
    <x v="10"/>
    <n v="107.764107687275"/>
    <n v="387.95078767419102"/>
  </r>
  <r>
    <x v="0"/>
    <x v="0"/>
    <x v="0"/>
    <x v="0"/>
    <x v="0"/>
    <x v="1"/>
    <x v="0"/>
    <x v="11"/>
    <n v="107.764107687275"/>
    <n v="387.95078767419102"/>
  </r>
  <r>
    <x v="0"/>
    <x v="0"/>
    <x v="0"/>
    <x v="0"/>
    <x v="0"/>
    <x v="1"/>
    <x v="0"/>
    <x v="12"/>
    <n v="107.764107687275"/>
    <n v="387.95078767419102"/>
  </r>
  <r>
    <x v="0"/>
    <x v="0"/>
    <x v="0"/>
    <x v="0"/>
    <x v="0"/>
    <x v="1"/>
    <x v="0"/>
    <x v="13"/>
    <n v="106.739556632066"/>
    <n v="384.26240387543697"/>
  </r>
  <r>
    <x v="0"/>
    <x v="0"/>
    <x v="0"/>
    <x v="0"/>
    <x v="0"/>
    <x v="1"/>
    <x v="0"/>
    <x v="14"/>
    <n v="106.739556632066"/>
    <n v="384.26240387543697"/>
  </r>
  <r>
    <x v="0"/>
    <x v="0"/>
    <x v="0"/>
    <x v="0"/>
    <x v="0"/>
    <x v="1"/>
    <x v="0"/>
    <x v="15"/>
    <n v="106.739556632066"/>
    <n v="384.26240387543697"/>
  </r>
  <r>
    <x v="0"/>
    <x v="0"/>
    <x v="0"/>
    <x v="0"/>
    <x v="0"/>
    <x v="1"/>
    <x v="0"/>
    <x v="16"/>
    <n v="107.764107687275"/>
    <n v="387.95078767419102"/>
  </r>
  <r>
    <x v="0"/>
    <x v="0"/>
    <x v="0"/>
    <x v="0"/>
    <x v="0"/>
    <x v="1"/>
    <x v="0"/>
    <x v="17"/>
    <n v="107.764107687275"/>
    <n v="387.95078767419102"/>
  </r>
  <r>
    <x v="0"/>
    <x v="0"/>
    <x v="0"/>
    <x v="0"/>
    <x v="0"/>
    <x v="1"/>
    <x v="0"/>
    <x v="18"/>
    <n v="107.764107687275"/>
    <n v="387.95078767419102"/>
  </r>
  <r>
    <x v="0"/>
    <x v="0"/>
    <x v="0"/>
    <x v="0"/>
    <x v="0"/>
    <x v="1"/>
    <x v="0"/>
    <x v="19"/>
    <n v="107.764107687275"/>
    <n v="387.95078767419102"/>
  </r>
  <r>
    <x v="0"/>
    <x v="0"/>
    <x v="0"/>
    <x v="0"/>
    <x v="0"/>
    <x v="1"/>
    <x v="0"/>
    <x v="20"/>
    <n v="106.739556632066"/>
    <n v="384.26240387543697"/>
  </r>
  <r>
    <x v="0"/>
    <x v="0"/>
    <x v="0"/>
    <x v="0"/>
    <x v="0"/>
    <x v="1"/>
    <x v="0"/>
    <x v="21"/>
    <n v="106.739556632066"/>
    <n v="384.26240387543697"/>
  </r>
  <r>
    <x v="0"/>
    <x v="0"/>
    <x v="0"/>
    <x v="0"/>
    <x v="0"/>
    <x v="1"/>
    <x v="0"/>
    <x v="22"/>
    <n v="106.739556632066"/>
    <n v="384.26240387543697"/>
  </r>
  <r>
    <x v="0"/>
    <x v="0"/>
    <x v="0"/>
    <x v="0"/>
    <x v="0"/>
    <x v="1"/>
    <x v="0"/>
    <x v="23"/>
    <n v="106.739556632066"/>
    <n v="384.26240387543697"/>
  </r>
  <r>
    <x v="0"/>
    <x v="0"/>
    <x v="0"/>
    <x v="0"/>
    <x v="0"/>
    <x v="2"/>
    <x v="0"/>
    <x v="0"/>
    <n v="96.856471161511493"/>
    <n v="348.68329618144202"/>
  </r>
  <r>
    <x v="0"/>
    <x v="0"/>
    <x v="0"/>
    <x v="0"/>
    <x v="0"/>
    <x v="2"/>
    <x v="0"/>
    <x v="1"/>
    <n v="96.856471161511493"/>
    <n v="348.68329618144202"/>
  </r>
  <r>
    <x v="0"/>
    <x v="0"/>
    <x v="0"/>
    <x v="0"/>
    <x v="0"/>
    <x v="2"/>
    <x v="0"/>
    <x v="2"/>
    <n v="96.856471161511493"/>
    <n v="348.68329618144202"/>
  </r>
  <r>
    <x v="0"/>
    <x v="0"/>
    <x v="0"/>
    <x v="0"/>
    <x v="0"/>
    <x v="2"/>
    <x v="0"/>
    <x v="3"/>
    <n v="96.856471161511493"/>
    <n v="348.68329618144202"/>
  </r>
  <r>
    <x v="0"/>
    <x v="0"/>
    <x v="0"/>
    <x v="0"/>
    <x v="0"/>
    <x v="2"/>
    <x v="0"/>
    <x v="4"/>
    <n v="96.856471161511493"/>
    <n v="348.68329618144202"/>
  </r>
  <r>
    <x v="0"/>
    <x v="0"/>
    <x v="0"/>
    <x v="0"/>
    <x v="0"/>
    <x v="2"/>
    <x v="0"/>
    <x v="5"/>
    <n v="96.856471161511493"/>
    <n v="348.68329618144202"/>
  </r>
  <r>
    <x v="0"/>
    <x v="0"/>
    <x v="0"/>
    <x v="0"/>
    <x v="0"/>
    <x v="2"/>
    <x v="0"/>
    <x v="6"/>
    <n v="99.0170421544954"/>
    <n v="356.461351756184"/>
  </r>
  <r>
    <x v="0"/>
    <x v="0"/>
    <x v="0"/>
    <x v="0"/>
    <x v="0"/>
    <x v="2"/>
    <x v="0"/>
    <x v="7"/>
    <n v="99.0170421544954"/>
    <n v="356.461351756184"/>
  </r>
  <r>
    <x v="0"/>
    <x v="0"/>
    <x v="0"/>
    <x v="0"/>
    <x v="0"/>
    <x v="2"/>
    <x v="0"/>
    <x v="8"/>
    <n v="99.0170421544954"/>
    <n v="356.461351756184"/>
  </r>
  <r>
    <x v="0"/>
    <x v="0"/>
    <x v="0"/>
    <x v="0"/>
    <x v="0"/>
    <x v="2"/>
    <x v="0"/>
    <x v="9"/>
    <n v="99.0170421544954"/>
    <n v="356.461351756184"/>
  </r>
  <r>
    <x v="0"/>
    <x v="0"/>
    <x v="0"/>
    <x v="0"/>
    <x v="0"/>
    <x v="2"/>
    <x v="0"/>
    <x v="10"/>
    <n v="99.0170421544954"/>
    <n v="356.461351756184"/>
  </r>
  <r>
    <x v="0"/>
    <x v="0"/>
    <x v="0"/>
    <x v="0"/>
    <x v="0"/>
    <x v="2"/>
    <x v="0"/>
    <x v="11"/>
    <n v="99.0170421544954"/>
    <n v="356.461351756184"/>
  </r>
  <r>
    <x v="0"/>
    <x v="0"/>
    <x v="0"/>
    <x v="0"/>
    <x v="0"/>
    <x v="2"/>
    <x v="0"/>
    <x v="12"/>
    <n v="99.0170421544954"/>
    <n v="356.461351756184"/>
  </r>
  <r>
    <x v="0"/>
    <x v="0"/>
    <x v="0"/>
    <x v="0"/>
    <x v="0"/>
    <x v="2"/>
    <x v="0"/>
    <x v="13"/>
    <n v="99.0170421544954"/>
    <n v="356.461351756184"/>
  </r>
  <r>
    <x v="0"/>
    <x v="0"/>
    <x v="0"/>
    <x v="0"/>
    <x v="0"/>
    <x v="2"/>
    <x v="0"/>
    <x v="14"/>
    <n v="99.0170421544954"/>
    <n v="356.461351756184"/>
  </r>
  <r>
    <x v="0"/>
    <x v="0"/>
    <x v="0"/>
    <x v="0"/>
    <x v="0"/>
    <x v="2"/>
    <x v="0"/>
    <x v="15"/>
    <n v="99.0170421544954"/>
    <n v="356.461351756184"/>
  </r>
  <r>
    <x v="0"/>
    <x v="0"/>
    <x v="0"/>
    <x v="0"/>
    <x v="0"/>
    <x v="2"/>
    <x v="0"/>
    <x v="16"/>
    <n v="99.0170421544954"/>
    <n v="356.461351756184"/>
  </r>
  <r>
    <x v="0"/>
    <x v="0"/>
    <x v="0"/>
    <x v="0"/>
    <x v="0"/>
    <x v="2"/>
    <x v="0"/>
    <x v="17"/>
    <n v="98.523886278225405"/>
    <n v="354.68599060161199"/>
  </r>
  <r>
    <x v="0"/>
    <x v="0"/>
    <x v="0"/>
    <x v="0"/>
    <x v="0"/>
    <x v="2"/>
    <x v="0"/>
    <x v="18"/>
    <n v="97.786277753952902"/>
    <n v="352.03059991422998"/>
  </r>
  <r>
    <x v="0"/>
    <x v="0"/>
    <x v="0"/>
    <x v="0"/>
    <x v="0"/>
    <x v="2"/>
    <x v="0"/>
    <x v="19"/>
    <n v="97.786277753952902"/>
    <n v="352.03059991422998"/>
  </r>
  <r>
    <x v="0"/>
    <x v="0"/>
    <x v="0"/>
    <x v="0"/>
    <x v="0"/>
    <x v="2"/>
    <x v="0"/>
    <x v="20"/>
    <n v="97.786277753952902"/>
    <n v="352.03059991422998"/>
  </r>
  <r>
    <x v="0"/>
    <x v="0"/>
    <x v="0"/>
    <x v="0"/>
    <x v="0"/>
    <x v="2"/>
    <x v="0"/>
    <x v="21"/>
    <n v="97.786277753952902"/>
    <n v="352.03059991422998"/>
  </r>
  <r>
    <x v="0"/>
    <x v="0"/>
    <x v="0"/>
    <x v="0"/>
    <x v="0"/>
    <x v="2"/>
    <x v="0"/>
    <x v="22"/>
    <n v="99.0170421544954"/>
    <n v="356.461351756184"/>
  </r>
  <r>
    <x v="0"/>
    <x v="0"/>
    <x v="0"/>
    <x v="0"/>
    <x v="0"/>
    <x v="2"/>
    <x v="0"/>
    <x v="23"/>
    <n v="99.0170421544954"/>
    <n v="356.461351756184"/>
  </r>
  <r>
    <x v="0"/>
    <x v="0"/>
    <x v="0"/>
    <x v="0"/>
    <x v="0"/>
    <x v="3"/>
    <x v="0"/>
    <x v="0"/>
    <n v="85.671964136569997"/>
    <n v="308.41907089165198"/>
  </r>
  <r>
    <x v="0"/>
    <x v="0"/>
    <x v="0"/>
    <x v="0"/>
    <x v="0"/>
    <x v="3"/>
    <x v="0"/>
    <x v="1"/>
    <n v="85.671964136569997"/>
    <n v="308.41907089165198"/>
  </r>
  <r>
    <x v="0"/>
    <x v="0"/>
    <x v="0"/>
    <x v="0"/>
    <x v="0"/>
    <x v="3"/>
    <x v="0"/>
    <x v="2"/>
    <n v="85.671964136569997"/>
    <n v="308.41907089165198"/>
  </r>
  <r>
    <x v="0"/>
    <x v="0"/>
    <x v="0"/>
    <x v="0"/>
    <x v="0"/>
    <x v="3"/>
    <x v="0"/>
    <x v="3"/>
    <n v="85.671964136569997"/>
    <n v="308.41907089165198"/>
  </r>
  <r>
    <x v="0"/>
    <x v="0"/>
    <x v="0"/>
    <x v="0"/>
    <x v="0"/>
    <x v="3"/>
    <x v="0"/>
    <x v="4"/>
    <n v="85.671964136569997"/>
    <n v="308.41907089165198"/>
  </r>
  <r>
    <x v="0"/>
    <x v="0"/>
    <x v="0"/>
    <x v="0"/>
    <x v="0"/>
    <x v="3"/>
    <x v="0"/>
    <x v="5"/>
    <n v="85.671964136569997"/>
    <n v="308.41907089165198"/>
  </r>
  <r>
    <x v="0"/>
    <x v="0"/>
    <x v="0"/>
    <x v="0"/>
    <x v="0"/>
    <x v="3"/>
    <x v="0"/>
    <x v="6"/>
    <n v="85.671964136569997"/>
    <n v="308.41907089165198"/>
  </r>
  <r>
    <x v="0"/>
    <x v="0"/>
    <x v="0"/>
    <x v="0"/>
    <x v="0"/>
    <x v="3"/>
    <x v="0"/>
    <x v="7"/>
    <n v="93.736473227479095"/>
    <n v="337.45130361892501"/>
  </r>
  <r>
    <x v="0"/>
    <x v="0"/>
    <x v="0"/>
    <x v="0"/>
    <x v="0"/>
    <x v="3"/>
    <x v="0"/>
    <x v="8"/>
    <n v="93.736473227479095"/>
    <n v="337.45130361892501"/>
  </r>
  <r>
    <x v="0"/>
    <x v="0"/>
    <x v="0"/>
    <x v="0"/>
    <x v="0"/>
    <x v="3"/>
    <x v="0"/>
    <x v="9"/>
    <n v="93.736473227479095"/>
    <n v="337.45130361892501"/>
  </r>
  <r>
    <x v="0"/>
    <x v="0"/>
    <x v="0"/>
    <x v="0"/>
    <x v="0"/>
    <x v="3"/>
    <x v="0"/>
    <x v="10"/>
    <n v="93.736473227479095"/>
    <n v="337.45130361892501"/>
  </r>
  <r>
    <x v="0"/>
    <x v="0"/>
    <x v="0"/>
    <x v="0"/>
    <x v="0"/>
    <x v="3"/>
    <x v="0"/>
    <x v="11"/>
    <n v="93.736473227479095"/>
    <n v="337.45130361892501"/>
  </r>
  <r>
    <x v="0"/>
    <x v="0"/>
    <x v="0"/>
    <x v="0"/>
    <x v="0"/>
    <x v="3"/>
    <x v="0"/>
    <x v="12"/>
    <n v="93.736473227479095"/>
    <n v="337.45130361892501"/>
  </r>
  <r>
    <x v="0"/>
    <x v="0"/>
    <x v="0"/>
    <x v="0"/>
    <x v="0"/>
    <x v="3"/>
    <x v="0"/>
    <x v="13"/>
    <n v="93.736473227479095"/>
    <n v="337.45130361892501"/>
  </r>
  <r>
    <x v="0"/>
    <x v="0"/>
    <x v="0"/>
    <x v="0"/>
    <x v="0"/>
    <x v="3"/>
    <x v="0"/>
    <x v="14"/>
    <n v="93.736473227479095"/>
    <n v="337.45130361892501"/>
  </r>
  <r>
    <x v="0"/>
    <x v="0"/>
    <x v="0"/>
    <x v="0"/>
    <x v="0"/>
    <x v="3"/>
    <x v="0"/>
    <x v="15"/>
    <n v="93.736473227479095"/>
    <n v="337.45130361892501"/>
  </r>
  <r>
    <x v="0"/>
    <x v="0"/>
    <x v="0"/>
    <x v="0"/>
    <x v="0"/>
    <x v="3"/>
    <x v="0"/>
    <x v="16"/>
    <n v="93.736473227479095"/>
    <n v="337.45130361892501"/>
  </r>
  <r>
    <x v="0"/>
    <x v="0"/>
    <x v="0"/>
    <x v="0"/>
    <x v="0"/>
    <x v="3"/>
    <x v="0"/>
    <x v="17"/>
    <n v="93.736473227479095"/>
    <n v="337.45130361892501"/>
  </r>
  <r>
    <x v="0"/>
    <x v="0"/>
    <x v="0"/>
    <x v="0"/>
    <x v="0"/>
    <x v="3"/>
    <x v="0"/>
    <x v="18"/>
    <n v="93.736473227479095"/>
    <n v="337.45130361892501"/>
  </r>
  <r>
    <x v="0"/>
    <x v="0"/>
    <x v="0"/>
    <x v="0"/>
    <x v="0"/>
    <x v="3"/>
    <x v="0"/>
    <x v="19"/>
    <n v="93.736473227479095"/>
    <n v="337.45130361892501"/>
  </r>
  <r>
    <x v="0"/>
    <x v="0"/>
    <x v="0"/>
    <x v="0"/>
    <x v="0"/>
    <x v="3"/>
    <x v="0"/>
    <x v="20"/>
    <n v="93.736473227479095"/>
    <n v="337.45130361892501"/>
  </r>
  <r>
    <x v="0"/>
    <x v="0"/>
    <x v="0"/>
    <x v="0"/>
    <x v="0"/>
    <x v="3"/>
    <x v="0"/>
    <x v="21"/>
    <n v="87.933041451778095"/>
    <n v="316.55894922640101"/>
  </r>
  <r>
    <x v="0"/>
    <x v="0"/>
    <x v="0"/>
    <x v="0"/>
    <x v="0"/>
    <x v="3"/>
    <x v="0"/>
    <x v="22"/>
    <n v="87.933041451778095"/>
    <n v="316.55894922640101"/>
  </r>
  <r>
    <x v="0"/>
    <x v="0"/>
    <x v="0"/>
    <x v="0"/>
    <x v="0"/>
    <x v="3"/>
    <x v="0"/>
    <x v="23"/>
    <n v="87.165391745997596"/>
    <n v="313.795410285591"/>
  </r>
  <r>
    <x v="0"/>
    <x v="0"/>
    <x v="0"/>
    <x v="0"/>
    <x v="0"/>
    <x v="4"/>
    <x v="0"/>
    <x v="0"/>
    <n v="26.065794608436299"/>
    <n v="93.836860590370804"/>
  </r>
  <r>
    <x v="0"/>
    <x v="0"/>
    <x v="0"/>
    <x v="0"/>
    <x v="0"/>
    <x v="4"/>
    <x v="0"/>
    <x v="1"/>
    <n v="26.065794608436299"/>
    <n v="93.836860590370804"/>
  </r>
  <r>
    <x v="0"/>
    <x v="0"/>
    <x v="0"/>
    <x v="0"/>
    <x v="0"/>
    <x v="4"/>
    <x v="0"/>
    <x v="2"/>
    <n v="26.065794608436299"/>
    <n v="93.836860590370804"/>
  </r>
  <r>
    <x v="0"/>
    <x v="0"/>
    <x v="0"/>
    <x v="0"/>
    <x v="0"/>
    <x v="4"/>
    <x v="0"/>
    <x v="3"/>
    <n v="26.065794608436299"/>
    <n v="93.836860590370804"/>
  </r>
  <r>
    <x v="0"/>
    <x v="0"/>
    <x v="0"/>
    <x v="0"/>
    <x v="0"/>
    <x v="4"/>
    <x v="0"/>
    <x v="4"/>
    <n v="26.065794608436299"/>
    <n v="93.836860590370804"/>
  </r>
  <r>
    <x v="0"/>
    <x v="0"/>
    <x v="0"/>
    <x v="0"/>
    <x v="0"/>
    <x v="4"/>
    <x v="0"/>
    <x v="5"/>
    <n v="26.065794608436299"/>
    <n v="93.836860590370804"/>
  </r>
  <r>
    <x v="0"/>
    <x v="0"/>
    <x v="0"/>
    <x v="0"/>
    <x v="0"/>
    <x v="4"/>
    <x v="0"/>
    <x v="6"/>
    <n v="26.065794608436299"/>
    <n v="93.836860590370804"/>
  </r>
  <r>
    <x v="0"/>
    <x v="0"/>
    <x v="0"/>
    <x v="0"/>
    <x v="0"/>
    <x v="4"/>
    <x v="0"/>
    <x v="7"/>
    <n v="26.078897172538898"/>
    <n v="93.884029821140103"/>
  </r>
  <r>
    <x v="0"/>
    <x v="0"/>
    <x v="0"/>
    <x v="0"/>
    <x v="0"/>
    <x v="4"/>
    <x v="0"/>
    <x v="8"/>
    <n v="26.078897172538898"/>
    <n v="93.884029821140103"/>
  </r>
  <r>
    <x v="0"/>
    <x v="0"/>
    <x v="0"/>
    <x v="0"/>
    <x v="0"/>
    <x v="4"/>
    <x v="0"/>
    <x v="9"/>
    <n v="26.078897172538898"/>
    <n v="93.884029821140103"/>
  </r>
  <r>
    <x v="0"/>
    <x v="0"/>
    <x v="0"/>
    <x v="0"/>
    <x v="0"/>
    <x v="4"/>
    <x v="0"/>
    <x v="10"/>
    <n v="26.078897172538898"/>
    <n v="93.884029821140103"/>
  </r>
  <r>
    <x v="0"/>
    <x v="0"/>
    <x v="0"/>
    <x v="0"/>
    <x v="0"/>
    <x v="4"/>
    <x v="0"/>
    <x v="11"/>
    <n v="26.078897172538898"/>
    <n v="93.884029821140103"/>
  </r>
  <r>
    <x v="0"/>
    <x v="0"/>
    <x v="0"/>
    <x v="0"/>
    <x v="0"/>
    <x v="4"/>
    <x v="0"/>
    <x v="12"/>
    <n v="26.078897172538898"/>
    <n v="93.884029821140103"/>
  </r>
  <r>
    <x v="0"/>
    <x v="0"/>
    <x v="0"/>
    <x v="0"/>
    <x v="0"/>
    <x v="4"/>
    <x v="0"/>
    <x v="13"/>
    <n v="26.078897172538898"/>
    <n v="93.884029821140103"/>
  </r>
  <r>
    <x v="0"/>
    <x v="0"/>
    <x v="0"/>
    <x v="0"/>
    <x v="0"/>
    <x v="4"/>
    <x v="0"/>
    <x v="14"/>
    <n v="26.078897172538898"/>
    <n v="93.884029821140103"/>
  </r>
  <r>
    <x v="0"/>
    <x v="0"/>
    <x v="0"/>
    <x v="0"/>
    <x v="0"/>
    <x v="4"/>
    <x v="0"/>
    <x v="15"/>
    <n v="26.078897172538898"/>
    <n v="93.884029821140103"/>
  </r>
  <r>
    <x v="0"/>
    <x v="0"/>
    <x v="0"/>
    <x v="0"/>
    <x v="0"/>
    <x v="4"/>
    <x v="0"/>
    <x v="16"/>
    <n v="26.078897172538898"/>
    <n v="93.884029821140103"/>
  </r>
  <r>
    <x v="0"/>
    <x v="0"/>
    <x v="0"/>
    <x v="0"/>
    <x v="0"/>
    <x v="4"/>
    <x v="0"/>
    <x v="17"/>
    <n v="26.078897172538898"/>
    <n v="93.884029821140103"/>
  </r>
  <r>
    <x v="0"/>
    <x v="0"/>
    <x v="0"/>
    <x v="0"/>
    <x v="0"/>
    <x v="4"/>
    <x v="0"/>
    <x v="18"/>
    <n v="26.078897172538898"/>
    <n v="93.884029821140103"/>
  </r>
  <r>
    <x v="0"/>
    <x v="0"/>
    <x v="0"/>
    <x v="0"/>
    <x v="0"/>
    <x v="4"/>
    <x v="0"/>
    <x v="19"/>
    <n v="26.078897172538898"/>
    <n v="93.884029821140103"/>
  </r>
  <r>
    <x v="0"/>
    <x v="0"/>
    <x v="0"/>
    <x v="0"/>
    <x v="0"/>
    <x v="4"/>
    <x v="0"/>
    <x v="20"/>
    <n v="26.078897172538898"/>
    <n v="93.884029821140103"/>
  </r>
  <r>
    <x v="0"/>
    <x v="0"/>
    <x v="0"/>
    <x v="0"/>
    <x v="0"/>
    <x v="4"/>
    <x v="0"/>
    <x v="21"/>
    <n v="26.065794608436299"/>
    <n v="93.836860590370804"/>
  </r>
  <r>
    <x v="0"/>
    <x v="0"/>
    <x v="0"/>
    <x v="0"/>
    <x v="0"/>
    <x v="4"/>
    <x v="0"/>
    <x v="22"/>
    <n v="26.065794608436299"/>
    <n v="93.836860590370804"/>
  </r>
  <r>
    <x v="0"/>
    <x v="0"/>
    <x v="0"/>
    <x v="0"/>
    <x v="0"/>
    <x v="4"/>
    <x v="0"/>
    <x v="23"/>
    <n v="26.065794608436299"/>
    <n v="93.836860590370804"/>
  </r>
  <r>
    <x v="0"/>
    <x v="0"/>
    <x v="0"/>
    <x v="0"/>
    <x v="0"/>
    <x v="5"/>
    <x v="0"/>
    <x v="0"/>
    <n v="76.893401095446904"/>
    <n v="276.81624394360898"/>
  </r>
  <r>
    <x v="0"/>
    <x v="0"/>
    <x v="0"/>
    <x v="0"/>
    <x v="0"/>
    <x v="5"/>
    <x v="0"/>
    <x v="1"/>
    <n v="76.893401095446904"/>
    <n v="276.81624394360898"/>
  </r>
  <r>
    <x v="0"/>
    <x v="0"/>
    <x v="0"/>
    <x v="0"/>
    <x v="0"/>
    <x v="5"/>
    <x v="0"/>
    <x v="2"/>
    <n v="76.893401095446904"/>
    <n v="276.81624394360898"/>
  </r>
  <r>
    <x v="0"/>
    <x v="0"/>
    <x v="0"/>
    <x v="0"/>
    <x v="0"/>
    <x v="5"/>
    <x v="0"/>
    <x v="3"/>
    <n v="76.893401095446904"/>
    <n v="276.81624394360898"/>
  </r>
  <r>
    <x v="0"/>
    <x v="0"/>
    <x v="0"/>
    <x v="0"/>
    <x v="0"/>
    <x v="5"/>
    <x v="0"/>
    <x v="4"/>
    <n v="76.893401095446904"/>
    <n v="276.81624394360898"/>
  </r>
  <r>
    <x v="0"/>
    <x v="0"/>
    <x v="0"/>
    <x v="0"/>
    <x v="0"/>
    <x v="5"/>
    <x v="0"/>
    <x v="5"/>
    <n v="76.893401095446904"/>
    <n v="276.81624394360898"/>
  </r>
  <r>
    <x v="0"/>
    <x v="0"/>
    <x v="0"/>
    <x v="0"/>
    <x v="0"/>
    <x v="5"/>
    <x v="0"/>
    <x v="6"/>
    <n v="78.349953895993494"/>
    <n v="282.059834025577"/>
  </r>
  <r>
    <x v="0"/>
    <x v="0"/>
    <x v="0"/>
    <x v="0"/>
    <x v="0"/>
    <x v="5"/>
    <x v="0"/>
    <x v="7"/>
    <n v="78.349953895993494"/>
    <n v="282.059834025577"/>
  </r>
  <r>
    <x v="0"/>
    <x v="0"/>
    <x v="0"/>
    <x v="0"/>
    <x v="0"/>
    <x v="5"/>
    <x v="0"/>
    <x v="8"/>
    <n v="78.349953895993494"/>
    <n v="282.059834025577"/>
  </r>
  <r>
    <x v="0"/>
    <x v="0"/>
    <x v="0"/>
    <x v="0"/>
    <x v="0"/>
    <x v="5"/>
    <x v="0"/>
    <x v="9"/>
    <n v="78.349953895993494"/>
    <n v="282.059834025577"/>
  </r>
  <r>
    <x v="0"/>
    <x v="0"/>
    <x v="0"/>
    <x v="0"/>
    <x v="0"/>
    <x v="5"/>
    <x v="0"/>
    <x v="10"/>
    <n v="78.349953895993494"/>
    <n v="282.059834025577"/>
  </r>
  <r>
    <x v="0"/>
    <x v="0"/>
    <x v="0"/>
    <x v="0"/>
    <x v="0"/>
    <x v="5"/>
    <x v="0"/>
    <x v="11"/>
    <n v="78.349953895993494"/>
    <n v="282.059834025577"/>
  </r>
  <r>
    <x v="0"/>
    <x v="0"/>
    <x v="0"/>
    <x v="0"/>
    <x v="0"/>
    <x v="5"/>
    <x v="0"/>
    <x v="12"/>
    <n v="78.349953895993494"/>
    <n v="282.059834025577"/>
  </r>
  <r>
    <x v="0"/>
    <x v="0"/>
    <x v="0"/>
    <x v="0"/>
    <x v="0"/>
    <x v="5"/>
    <x v="0"/>
    <x v="13"/>
    <n v="78.349953895993494"/>
    <n v="282.059834025577"/>
  </r>
  <r>
    <x v="0"/>
    <x v="0"/>
    <x v="0"/>
    <x v="0"/>
    <x v="0"/>
    <x v="5"/>
    <x v="0"/>
    <x v="14"/>
    <n v="78.349953895993494"/>
    <n v="282.059834025577"/>
  </r>
  <r>
    <x v="0"/>
    <x v="0"/>
    <x v="0"/>
    <x v="0"/>
    <x v="0"/>
    <x v="5"/>
    <x v="0"/>
    <x v="15"/>
    <n v="78.349953895993494"/>
    <n v="282.059834025577"/>
  </r>
  <r>
    <x v="0"/>
    <x v="0"/>
    <x v="0"/>
    <x v="0"/>
    <x v="0"/>
    <x v="5"/>
    <x v="0"/>
    <x v="16"/>
    <n v="78.349953895993494"/>
    <n v="282.059834025577"/>
  </r>
  <r>
    <x v="0"/>
    <x v="0"/>
    <x v="0"/>
    <x v="0"/>
    <x v="0"/>
    <x v="5"/>
    <x v="0"/>
    <x v="17"/>
    <n v="78.349953895993494"/>
    <n v="282.059834025577"/>
  </r>
  <r>
    <x v="0"/>
    <x v="0"/>
    <x v="0"/>
    <x v="0"/>
    <x v="0"/>
    <x v="5"/>
    <x v="0"/>
    <x v="18"/>
    <n v="78.349953895993494"/>
    <n v="282.059834025577"/>
  </r>
  <r>
    <x v="0"/>
    <x v="0"/>
    <x v="0"/>
    <x v="0"/>
    <x v="0"/>
    <x v="5"/>
    <x v="0"/>
    <x v="19"/>
    <n v="78.349953895993494"/>
    <n v="282.059834025577"/>
  </r>
  <r>
    <x v="0"/>
    <x v="0"/>
    <x v="0"/>
    <x v="0"/>
    <x v="0"/>
    <x v="5"/>
    <x v="0"/>
    <x v="20"/>
    <n v="78.349953895993494"/>
    <n v="282.059834025577"/>
  </r>
  <r>
    <x v="0"/>
    <x v="0"/>
    <x v="0"/>
    <x v="0"/>
    <x v="0"/>
    <x v="5"/>
    <x v="0"/>
    <x v="21"/>
    <n v="78.349953895993494"/>
    <n v="282.059834025577"/>
  </r>
  <r>
    <x v="0"/>
    <x v="0"/>
    <x v="0"/>
    <x v="0"/>
    <x v="0"/>
    <x v="5"/>
    <x v="0"/>
    <x v="22"/>
    <n v="78.349953895993494"/>
    <n v="282.059834025577"/>
  </r>
  <r>
    <x v="0"/>
    <x v="0"/>
    <x v="0"/>
    <x v="0"/>
    <x v="0"/>
    <x v="5"/>
    <x v="0"/>
    <x v="23"/>
    <n v="78.349953895993494"/>
    <n v="282.059834025577"/>
  </r>
  <r>
    <x v="0"/>
    <x v="0"/>
    <x v="1"/>
    <x v="0"/>
    <x v="0"/>
    <x v="0"/>
    <x v="0"/>
    <x v="0"/>
    <n v="0.35264403915671899"/>
    <n v="1.26951854096419"/>
  </r>
  <r>
    <x v="0"/>
    <x v="0"/>
    <x v="1"/>
    <x v="0"/>
    <x v="0"/>
    <x v="0"/>
    <x v="0"/>
    <x v="1"/>
    <n v="0.35264403915671899"/>
    <n v="1.26951854096419"/>
  </r>
  <r>
    <x v="0"/>
    <x v="0"/>
    <x v="1"/>
    <x v="0"/>
    <x v="0"/>
    <x v="0"/>
    <x v="0"/>
    <x v="2"/>
    <n v="0.35264403915671899"/>
    <n v="1.26951854096419"/>
  </r>
  <r>
    <x v="0"/>
    <x v="0"/>
    <x v="1"/>
    <x v="0"/>
    <x v="0"/>
    <x v="0"/>
    <x v="0"/>
    <x v="3"/>
    <n v="0.35264403915671899"/>
    <n v="1.26951854096419"/>
  </r>
  <r>
    <x v="0"/>
    <x v="0"/>
    <x v="1"/>
    <x v="0"/>
    <x v="0"/>
    <x v="0"/>
    <x v="0"/>
    <x v="4"/>
    <n v="1.24481316735146"/>
    <n v="4.4813274024652596"/>
  </r>
  <r>
    <x v="0"/>
    <x v="0"/>
    <x v="1"/>
    <x v="0"/>
    <x v="0"/>
    <x v="0"/>
    <x v="0"/>
    <x v="5"/>
    <n v="16.657511593739599"/>
    <n v="59.967041737462701"/>
  </r>
  <r>
    <x v="0"/>
    <x v="0"/>
    <x v="1"/>
    <x v="0"/>
    <x v="0"/>
    <x v="0"/>
    <x v="0"/>
    <x v="6"/>
    <n v="33.789259752979397"/>
    <n v="121.641335110726"/>
  </r>
  <r>
    <x v="0"/>
    <x v="0"/>
    <x v="1"/>
    <x v="0"/>
    <x v="0"/>
    <x v="0"/>
    <x v="0"/>
    <x v="7"/>
    <n v="26.767005791252998"/>
    <n v="96.361220848510698"/>
  </r>
  <r>
    <x v="0"/>
    <x v="0"/>
    <x v="1"/>
    <x v="0"/>
    <x v="0"/>
    <x v="0"/>
    <x v="0"/>
    <x v="8"/>
    <n v="35.774185822205801"/>
    <n v="128.787068959941"/>
  </r>
  <r>
    <x v="0"/>
    <x v="0"/>
    <x v="1"/>
    <x v="0"/>
    <x v="0"/>
    <x v="0"/>
    <x v="0"/>
    <x v="9"/>
    <n v="34.1718959212633"/>
    <n v="123.018825316548"/>
  </r>
  <r>
    <x v="0"/>
    <x v="0"/>
    <x v="1"/>
    <x v="0"/>
    <x v="0"/>
    <x v="0"/>
    <x v="0"/>
    <x v="10"/>
    <n v="34.1718959212633"/>
    <n v="123.018825316548"/>
  </r>
  <r>
    <x v="0"/>
    <x v="0"/>
    <x v="1"/>
    <x v="0"/>
    <x v="0"/>
    <x v="0"/>
    <x v="0"/>
    <x v="11"/>
    <n v="3.0965676019827"/>
    <n v="11.1476433671377"/>
  </r>
  <r>
    <x v="0"/>
    <x v="0"/>
    <x v="1"/>
    <x v="0"/>
    <x v="0"/>
    <x v="0"/>
    <x v="0"/>
    <x v="12"/>
    <n v="3.0965676019827"/>
    <n v="11.1476433671377"/>
  </r>
  <r>
    <x v="0"/>
    <x v="0"/>
    <x v="1"/>
    <x v="0"/>
    <x v="0"/>
    <x v="0"/>
    <x v="0"/>
    <x v="13"/>
    <n v="3.0965676019827"/>
    <n v="11.1476433671377"/>
  </r>
  <r>
    <x v="0"/>
    <x v="0"/>
    <x v="1"/>
    <x v="0"/>
    <x v="0"/>
    <x v="0"/>
    <x v="0"/>
    <x v="14"/>
    <n v="3.0965676019827"/>
    <n v="11.1476433671377"/>
  </r>
  <r>
    <x v="0"/>
    <x v="0"/>
    <x v="1"/>
    <x v="0"/>
    <x v="0"/>
    <x v="0"/>
    <x v="0"/>
    <x v="15"/>
    <n v="3.0965676019827"/>
    <n v="11.1476433671377"/>
  </r>
  <r>
    <x v="0"/>
    <x v="0"/>
    <x v="1"/>
    <x v="0"/>
    <x v="0"/>
    <x v="0"/>
    <x v="0"/>
    <x v="16"/>
    <n v="16.657511593739599"/>
    <n v="59.967041737462701"/>
  </r>
  <r>
    <x v="0"/>
    <x v="0"/>
    <x v="1"/>
    <x v="0"/>
    <x v="0"/>
    <x v="0"/>
    <x v="0"/>
    <x v="17"/>
    <n v="59.9028885556259"/>
    <n v="215.65039880025299"/>
  </r>
  <r>
    <x v="0"/>
    <x v="0"/>
    <x v="1"/>
    <x v="0"/>
    <x v="0"/>
    <x v="0"/>
    <x v="0"/>
    <x v="18"/>
    <n v="70.332404085182006"/>
    <n v="253.19665470665501"/>
  </r>
  <r>
    <x v="0"/>
    <x v="0"/>
    <x v="1"/>
    <x v="0"/>
    <x v="0"/>
    <x v="0"/>
    <x v="0"/>
    <x v="19"/>
    <n v="66.785131297984094"/>
    <n v="240.42647267274299"/>
  </r>
  <r>
    <x v="0"/>
    <x v="0"/>
    <x v="1"/>
    <x v="0"/>
    <x v="0"/>
    <x v="0"/>
    <x v="0"/>
    <x v="20"/>
    <n v="39.841713420880303"/>
    <n v="143.430168315169"/>
  </r>
  <r>
    <x v="0"/>
    <x v="0"/>
    <x v="1"/>
    <x v="0"/>
    <x v="0"/>
    <x v="0"/>
    <x v="0"/>
    <x v="21"/>
    <n v="6.7607891997206702"/>
    <n v="24.338841118994399"/>
  </r>
  <r>
    <x v="0"/>
    <x v="0"/>
    <x v="1"/>
    <x v="0"/>
    <x v="0"/>
    <x v="0"/>
    <x v="0"/>
    <x v="22"/>
    <n v="6.7607891997206702"/>
    <n v="24.338841118994399"/>
  </r>
  <r>
    <x v="0"/>
    <x v="0"/>
    <x v="1"/>
    <x v="0"/>
    <x v="0"/>
    <x v="0"/>
    <x v="0"/>
    <x v="23"/>
    <n v="0.35266710149413799"/>
    <n v="1.2696015653788999"/>
  </r>
  <r>
    <x v="0"/>
    <x v="0"/>
    <x v="1"/>
    <x v="0"/>
    <x v="0"/>
    <x v="1"/>
    <x v="0"/>
    <x v="0"/>
    <n v="0.35264403915671899"/>
    <n v="1.26951854096419"/>
  </r>
  <r>
    <x v="0"/>
    <x v="0"/>
    <x v="1"/>
    <x v="0"/>
    <x v="0"/>
    <x v="1"/>
    <x v="0"/>
    <x v="1"/>
    <n v="0.35264403915671899"/>
    <n v="1.26951854096419"/>
  </r>
  <r>
    <x v="0"/>
    <x v="0"/>
    <x v="1"/>
    <x v="0"/>
    <x v="0"/>
    <x v="1"/>
    <x v="0"/>
    <x v="2"/>
    <n v="0.35264403915671899"/>
    <n v="1.26951854096419"/>
  </r>
  <r>
    <x v="0"/>
    <x v="0"/>
    <x v="1"/>
    <x v="0"/>
    <x v="0"/>
    <x v="1"/>
    <x v="0"/>
    <x v="3"/>
    <n v="0.35264403915671899"/>
    <n v="1.26951854096419"/>
  </r>
  <r>
    <x v="0"/>
    <x v="0"/>
    <x v="1"/>
    <x v="0"/>
    <x v="0"/>
    <x v="1"/>
    <x v="0"/>
    <x v="4"/>
    <n v="0.35264403915671899"/>
    <n v="1.26951854096419"/>
  </r>
  <r>
    <x v="0"/>
    <x v="0"/>
    <x v="1"/>
    <x v="0"/>
    <x v="0"/>
    <x v="1"/>
    <x v="0"/>
    <x v="5"/>
    <n v="0.35264403915671899"/>
    <n v="1.26951854096419"/>
  </r>
  <r>
    <x v="0"/>
    <x v="0"/>
    <x v="1"/>
    <x v="0"/>
    <x v="0"/>
    <x v="1"/>
    <x v="0"/>
    <x v="6"/>
    <n v="0.35266710149413799"/>
    <n v="1.2696015653788999"/>
  </r>
  <r>
    <x v="0"/>
    <x v="0"/>
    <x v="1"/>
    <x v="0"/>
    <x v="0"/>
    <x v="1"/>
    <x v="0"/>
    <x v="7"/>
    <n v="2.3534752494290898"/>
    <n v="8.4725108979447299"/>
  </r>
  <r>
    <x v="0"/>
    <x v="0"/>
    <x v="1"/>
    <x v="0"/>
    <x v="0"/>
    <x v="1"/>
    <x v="0"/>
    <x v="8"/>
    <n v="14.7007469651313"/>
    <n v="52.922689074472601"/>
  </r>
  <r>
    <x v="0"/>
    <x v="0"/>
    <x v="1"/>
    <x v="0"/>
    <x v="0"/>
    <x v="1"/>
    <x v="0"/>
    <x v="9"/>
    <n v="54.749212801725903"/>
    <n v="197.09716608621301"/>
  </r>
  <r>
    <x v="0"/>
    <x v="0"/>
    <x v="1"/>
    <x v="0"/>
    <x v="0"/>
    <x v="1"/>
    <x v="0"/>
    <x v="10"/>
    <n v="54.749212801725903"/>
    <n v="197.09716608621301"/>
  </r>
  <r>
    <x v="0"/>
    <x v="0"/>
    <x v="1"/>
    <x v="0"/>
    <x v="0"/>
    <x v="1"/>
    <x v="0"/>
    <x v="11"/>
    <n v="54.749212801725903"/>
    <n v="197.09716608621301"/>
  </r>
  <r>
    <x v="0"/>
    <x v="0"/>
    <x v="1"/>
    <x v="0"/>
    <x v="0"/>
    <x v="1"/>
    <x v="0"/>
    <x v="12"/>
    <n v="34.1718959212633"/>
    <n v="123.018825316548"/>
  </r>
  <r>
    <x v="0"/>
    <x v="0"/>
    <x v="1"/>
    <x v="0"/>
    <x v="0"/>
    <x v="1"/>
    <x v="0"/>
    <x v="13"/>
    <n v="3.0965676019827"/>
    <n v="11.1476433671377"/>
  </r>
  <r>
    <x v="0"/>
    <x v="0"/>
    <x v="1"/>
    <x v="0"/>
    <x v="0"/>
    <x v="1"/>
    <x v="0"/>
    <x v="14"/>
    <n v="3.0965676019827"/>
    <n v="11.1476433671377"/>
  </r>
  <r>
    <x v="0"/>
    <x v="0"/>
    <x v="1"/>
    <x v="0"/>
    <x v="0"/>
    <x v="1"/>
    <x v="0"/>
    <x v="15"/>
    <n v="3.0965676019827"/>
    <n v="11.1476433671377"/>
  </r>
  <r>
    <x v="0"/>
    <x v="0"/>
    <x v="1"/>
    <x v="0"/>
    <x v="0"/>
    <x v="1"/>
    <x v="0"/>
    <x v="16"/>
    <n v="54.749212801725903"/>
    <n v="197.09716608621301"/>
  </r>
  <r>
    <x v="0"/>
    <x v="0"/>
    <x v="1"/>
    <x v="0"/>
    <x v="0"/>
    <x v="1"/>
    <x v="0"/>
    <x v="17"/>
    <n v="54.749212801725903"/>
    <n v="197.09716608621301"/>
  </r>
  <r>
    <x v="0"/>
    <x v="0"/>
    <x v="1"/>
    <x v="0"/>
    <x v="0"/>
    <x v="1"/>
    <x v="0"/>
    <x v="18"/>
    <n v="54.749212801725903"/>
    <n v="197.09716608621301"/>
  </r>
  <r>
    <x v="0"/>
    <x v="0"/>
    <x v="1"/>
    <x v="0"/>
    <x v="0"/>
    <x v="1"/>
    <x v="0"/>
    <x v="19"/>
    <n v="54.749212801725903"/>
    <n v="197.09716608621301"/>
  </r>
  <r>
    <x v="0"/>
    <x v="0"/>
    <x v="1"/>
    <x v="0"/>
    <x v="0"/>
    <x v="1"/>
    <x v="0"/>
    <x v="20"/>
    <n v="6.7607891997206702"/>
    <n v="24.338841118994399"/>
  </r>
  <r>
    <x v="0"/>
    <x v="0"/>
    <x v="1"/>
    <x v="0"/>
    <x v="0"/>
    <x v="1"/>
    <x v="0"/>
    <x v="21"/>
    <n v="6.7607891997206702"/>
    <n v="24.338841118994399"/>
  </r>
  <r>
    <x v="0"/>
    <x v="0"/>
    <x v="1"/>
    <x v="0"/>
    <x v="0"/>
    <x v="1"/>
    <x v="0"/>
    <x v="22"/>
    <n v="6.7607891997206702"/>
    <n v="24.338841118994399"/>
  </r>
  <r>
    <x v="0"/>
    <x v="0"/>
    <x v="1"/>
    <x v="0"/>
    <x v="0"/>
    <x v="1"/>
    <x v="0"/>
    <x v="23"/>
    <n v="0.35266710149413799"/>
    <n v="1.2696015653788999"/>
  </r>
  <r>
    <x v="0"/>
    <x v="0"/>
    <x v="1"/>
    <x v="0"/>
    <x v="0"/>
    <x v="2"/>
    <x v="0"/>
    <x v="0"/>
    <n v="0.35264403915671899"/>
    <n v="1.26951854096419"/>
  </r>
  <r>
    <x v="0"/>
    <x v="0"/>
    <x v="1"/>
    <x v="0"/>
    <x v="0"/>
    <x v="2"/>
    <x v="0"/>
    <x v="1"/>
    <n v="0.35264403915671899"/>
    <n v="1.26951854096419"/>
  </r>
  <r>
    <x v="0"/>
    <x v="0"/>
    <x v="1"/>
    <x v="0"/>
    <x v="0"/>
    <x v="2"/>
    <x v="0"/>
    <x v="2"/>
    <n v="0.35264403915671899"/>
    <n v="1.26951854096419"/>
  </r>
  <r>
    <x v="0"/>
    <x v="0"/>
    <x v="1"/>
    <x v="0"/>
    <x v="0"/>
    <x v="2"/>
    <x v="0"/>
    <x v="3"/>
    <n v="0.35264403915671899"/>
    <n v="1.26951854096419"/>
  </r>
  <r>
    <x v="0"/>
    <x v="0"/>
    <x v="1"/>
    <x v="0"/>
    <x v="0"/>
    <x v="2"/>
    <x v="0"/>
    <x v="4"/>
    <n v="0.35264403915671899"/>
    <n v="1.26951854096419"/>
  </r>
  <r>
    <x v="0"/>
    <x v="0"/>
    <x v="1"/>
    <x v="0"/>
    <x v="0"/>
    <x v="2"/>
    <x v="0"/>
    <x v="5"/>
    <n v="0.35264403915671899"/>
    <n v="1.26951854096419"/>
  </r>
  <r>
    <x v="0"/>
    <x v="0"/>
    <x v="1"/>
    <x v="0"/>
    <x v="0"/>
    <x v="2"/>
    <x v="0"/>
    <x v="6"/>
    <n v="0.35266710149413799"/>
    <n v="1.2696015653788999"/>
  </r>
  <r>
    <x v="0"/>
    <x v="0"/>
    <x v="1"/>
    <x v="0"/>
    <x v="0"/>
    <x v="2"/>
    <x v="0"/>
    <x v="7"/>
    <n v="2.3534752494290898"/>
    <n v="8.4725108979447299"/>
  </r>
  <r>
    <x v="0"/>
    <x v="0"/>
    <x v="1"/>
    <x v="0"/>
    <x v="0"/>
    <x v="2"/>
    <x v="0"/>
    <x v="8"/>
    <n v="34.1718959212633"/>
    <n v="123.018825316548"/>
  </r>
  <r>
    <x v="0"/>
    <x v="0"/>
    <x v="1"/>
    <x v="0"/>
    <x v="0"/>
    <x v="2"/>
    <x v="0"/>
    <x v="9"/>
    <n v="34.1718959212633"/>
    <n v="123.018825316548"/>
  </r>
  <r>
    <x v="0"/>
    <x v="0"/>
    <x v="1"/>
    <x v="0"/>
    <x v="0"/>
    <x v="2"/>
    <x v="0"/>
    <x v="10"/>
    <n v="34.1718959212633"/>
    <n v="123.018825316548"/>
  </r>
  <r>
    <x v="0"/>
    <x v="0"/>
    <x v="1"/>
    <x v="0"/>
    <x v="0"/>
    <x v="2"/>
    <x v="0"/>
    <x v="11"/>
    <n v="34.1718959212633"/>
    <n v="123.018825316548"/>
  </r>
  <r>
    <x v="0"/>
    <x v="0"/>
    <x v="1"/>
    <x v="0"/>
    <x v="0"/>
    <x v="2"/>
    <x v="0"/>
    <x v="12"/>
    <n v="34.1718959212633"/>
    <n v="123.018825316548"/>
  </r>
  <r>
    <x v="0"/>
    <x v="0"/>
    <x v="1"/>
    <x v="0"/>
    <x v="0"/>
    <x v="2"/>
    <x v="0"/>
    <x v="13"/>
    <n v="3.0965676019827"/>
    <n v="11.1476433671377"/>
  </r>
  <r>
    <x v="0"/>
    <x v="0"/>
    <x v="1"/>
    <x v="0"/>
    <x v="0"/>
    <x v="2"/>
    <x v="0"/>
    <x v="14"/>
    <n v="3.0965676019827"/>
    <n v="11.1476433671377"/>
  </r>
  <r>
    <x v="0"/>
    <x v="0"/>
    <x v="1"/>
    <x v="0"/>
    <x v="0"/>
    <x v="2"/>
    <x v="0"/>
    <x v="15"/>
    <n v="34.1718959212633"/>
    <n v="123.018825316548"/>
  </r>
  <r>
    <x v="0"/>
    <x v="0"/>
    <x v="1"/>
    <x v="0"/>
    <x v="0"/>
    <x v="2"/>
    <x v="0"/>
    <x v="16"/>
    <n v="34.1718959212633"/>
    <n v="123.018825316548"/>
  </r>
  <r>
    <x v="0"/>
    <x v="0"/>
    <x v="1"/>
    <x v="0"/>
    <x v="0"/>
    <x v="2"/>
    <x v="0"/>
    <x v="17"/>
    <n v="59.9028885556259"/>
    <n v="215.65039880025299"/>
  </r>
  <r>
    <x v="0"/>
    <x v="0"/>
    <x v="1"/>
    <x v="0"/>
    <x v="0"/>
    <x v="2"/>
    <x v="0"/>
    <x v="18"/>
    <n v="59.9028885556259"/>
    <n v="215.65039880025299"/>
  </r>
  <r>
    <x v="0"/>
    <x v="0"/>
    <x v="1"/>
    <x v="0"/>
    <x v="0"/>
    <x v="2"/>
    <x v="0"/>
    <x v="19"/>
    <n v="59.9028885556259"/>
    <n v="215.65039880025299"/>
  </r>
  <r>
    <x v="0"/>
    <x v="0"/>
    <x v="1"/>
    <x v="0"/>
    <x v="0"/>
    <x v="2"/>
    <x v="0"/>
    <x v="20"/>
    <n v="23.0625521844585"/>
    <n v="83.025187864050807"/>
  </r>
  <r>
    <x v="0"/>
    <x v="0"/>
    <x v="1"/>
    <x v="0"/>
    <x v="0"/>
    <x v="2"/>
    <x v="0"/>
    <x v="21"/>
    <n v="6.7607891997206702"/>
    <n v="24.338841118994399"/>
  </r>
  <r>
    <x v="0"/>
    <x v="0"/>
    <x v="1"/>
    <x v="0"/>
    <x v="0"/>
    <x v="2"/>
    <x v="0"/>
    <x v="22"/>
    <n v="6.7607891997206702"/>
    <n v="24.338841118994399"/>
  </r>
  <r>
    <x v="0"/>
    <x v="0"/>
    <x v="1"/>
    <x v="0"/>
    <x v="0"/>
    <x v="2"/>
    <x v="0"/>
    <x v="23"/>
    <n v="0.35266710149413799"/>
    <n v="1.2696015653788999"/>
  </r>
  <r>
    <x v="0"/>
    <x v="0"/>
    <x v="1"/>
    <x v="0"/>
    <x v="0"/>
    <x v="3"/>
    <x v="0"/>
    <x v="0"/>
    <n v="0.35264403915671899"/>
    <n v="1.26951854096419"/>
  </r>
  <r>
    <x v="0"/>
    <x v="0"/>
    <x v="1"/>
    <x v="0"/>
    <x v="0"/>
    <x v="3"/>
    <x v="0"/>
    <x v="1"/>
    <n v="0.35264403915671899"/>
    <n v="1.26951854096419"/>
  </r>
  <r>
    <x v="0"/>
    <x v="0"/>
    <x v="1"/>
    <x v="0"/>
    <x v="0"/>
    <x v="3"/>
    <x v="0"/>
    <x v="2"/>
    <n v="0.35264403915671899"/>
    <n v="1.26951854096419"/>
  </r>
  <r>
    <x v="0"/>
    <x v="0"/>
    <x v="1"/>
    <x v="0"/>
    <x v="0"/>
    <x v="3"/>
    <x v="0"/>
    <x v="3"/>
    <n v="0.35264403915671899"/>
    <n v="1.26951854096419"/>
  </r>
  <r>
    <x v="0"/>
    <x v="0"/>
    <x v="1"/>
    <x v="0"/>
    <x v="0"/>
    <x v="3"/>
    <x v="0"/>
    <x v="4"/>
    <n v="0.35264403915671899"/>
    <n v="1.26951854096419"/>
  </r>
  <r>
    <x v="0"/>
    <x v="0"/>
    <x v="1"/>
    <x v="0"/>
    <x v="0"/>
    <x v="3"/>
    <x v="0"/>
    <x v="5"/>
    <n v="0.35264403915671899"/>
    <n v="1.26951854096419"/>
  </r>
  <r>
    <x v="0"/>
    <x v="0"/>
    <x v="1"/>
    <x v="0"/>
    <x v="0"/>
    <x v="3"/>
    <x v="0"/>
    <x v="6"/>
    <n v="0.35266710149413799"/>
    <n v="1.2696015653788999"/>
  </r>
  <r>
    <x v="0"/>
    <x v="0"/>
    <x v="1"/>
    <x v="0"/>
    <x v="0"/>
    <x v="3"/>
    <x v="0"/>
    <x v="7"/>
    <n v="8.8772973958755301"/>
    <n v="31.958270625151901"/>
  </r>
  <r>
    <x v="0"/>
    <x v="0"/>
    <x v="1"/>
    <x v="0"/>
    <x v="0"/>
    <x v="3"/>
    <x v="0"/>
    <x v="8"/>
    <n v="34.1718959212633"/>
    <n v="123.018825316548"/>
  </r>
  <r>
    <x v="0"/>
    <x v="0"/>
    <x v="1"/>
    <x v="0"/>
    <x v="0"/>
    <x v="3"/>
    <x v="0"/>
    <x v="9"/>
    <n v="34.1718959212633"/>
    <n v="123.018825316548"/>
  </r>
  <r>
    <x v="0"/>
    <x v="0"/>
    <x v="1"/>
    <x v="0"/>
    <x v="0"/>
    <x v="3"/>
    <x v="0"/>
    <x v="10"/>
    <n v="34.1718959212633"/>
    <n v="123.018825316548"/>
  </r>
  <r>
    <x v="0"/>
    <x v="0"/>
    <x v="1"/>
    <x v="0"/>
    <x v="0"/>
    <x v="3"/>
    <x v="0"/>
    <x v="11"/>
    <n v="34.1718959212633"/>
    <n v="123.018825316548"/>
  </r>
  <r>
    <x v="0"/>
    <x v="0"/>
    <x v="1"/>
    <x v="0"/>
    <x v="0"/>
    <x v="3"/>
    <x v="0"/>
    <x v="12"/>
    <n v="34.1718959212633"/>
    <n v="123.018825316548"/>
  </r>
  <r>
    <x v="0"/>
    <x v="0"/>
    <x v="1"/>
    <x v="0"/>
    <x v="0"/>
    <x v="3"/>
    <x v="0"/>
    <x v="13"/>
    <n v="9.4659575929375492"/>
    <n v="34.077447334575197"/>
  </r>
  <r>
    <x v="0"/>
    <x v="0"/>
    <x v="1"/>
    <x v="0"/>
    <x v="0"/>
    <x v="3"/>
    <x v="0"/>
    <x v="14"/>
    <n v="10.8301542998356"/>
    <n v="38.988555479408298"/>
  </r>
  <r>
    <x v="0"/>
    <x v="0"/>
    <x v="1"/>
    <x v="0"/>
    <x v="0"/>
    <x v="3"/>
    <x v="0"/>
    <x v="15"/>
    <n v="34.1718959212633"/>
    <n v="123.018825316548"/>
  </r>
  <r>
    <x v="0"/>
    <x v="0"/>
    <x v="1"/>
    <x v="0"/>
    <x v="0"/>
    <x v="3"/>
    <x v="0"/>
    <x v="16"/>
    <n v="34.1718959212633"/>
    <n v="123.018825316548"/>
  </r>
  <r>
    <x v="0"/>
    <x v="0"/>
    <x v="1"/>
    <x v="0"/>
    <x v="0"/>
    <x v="3"/>
    <x v="0"/>
    <x v="17"/>
    <n v="50.454483006809198"/>
    <n v="181.63613882451301"/>
  </r>
  <r>
    <x v="0"/>
    <x v="0"/>
    <x v="1"/>
    <x v="0"/>
    <x v="0"/>
    <x v="3"/>
    <x v="0"/>
    <x v="18"/>
    <n v="50.454483006809198"/>
    <n v="181.63613882451301"/>
  </r>
  <r>
    <x v="0"/>
    <x v="0"/>
    <x v="1"/>
    <x v="0"/>
    <x v="0"/>
    <x v="3"/>
    <x v="0"/>
    <x v="19"/>
    <n v="50.454483006809198"/>
    <n v="181.63613882451301"/>
  </r>
  <r>
    <x v="0"/>
    <x v="0"/>
    <x v="1"/>
    <x v="0"/>
    <x v="0"/>
    <x v="3"/>
    <x v="0"/>
    <x v="20"/>
    <n v="30.333166753652101"/>
    <n v="109.199400313147"/>
  </r>
  <r>
    <x v="0"/>
    <x v="0"/>
    <x v="1"/>
    <x v="0"/>
    <x v="0"/>
    <x v="3"/>
    <x v="0"/>
    <x v="21"/>
    <n v="6.7607891997206702"/>
    <n v="24.338841118994399"/>
  </r>
  <r>
    <x v="0"/>
    <x v="0"/>
    <x v="1"/>
    <x v="0"/>
    <x v="0"/>
    <x v="3"/>
    <x v="0"/>
    <x v="22"/>
    <n v="6.7607891997206702"/>
    <n v="24.338841118994399"/>
  </r>
  <r>
    <x v="0"/>
    <x v="0"/>
    <x v="1"/>
    <x v="0"/>
    <x v="0"/>
    <x v="3"/>
    <x v="0"/>
    <x v="23"/>
    <n v="0.80047034349666002"/>
    <n v="2.8816932365879699"/>
  </r>
  <r>
    <x v="0"/>
    <x v="0"/>
    <x v="1"/>
    <x v="0"/>
    <x v="0"/>
    <x v="4"/>
    <x v="0"/>
    <x v="0"/>
    <n v="0.35264403915671899"/>
    <n v="1.26951854096419"/>
  </r>
  <r>
    <x v="0"/>
    <x v="0"/>
    <x v="1"/>
    <x v="0"/>
    <x v="0"/>
    <x v="4"/>
    <x v="0"/>
    <x v="1"/>
    <n v="0.35264403915671899"/>
    <n v="1.26951854096419"/>
  </r>
  <r>
    <x v="0"/>
    <x v="0"/>
    <x v="1"/>
    <x v="0"/>
    <x v="0"/>
    <x v="4"/>
    <x v="0"/>
    <x v="2"/>
    <n v="0.35264403915671899"/>
    <n v="1.26951854096419"/>
  </r>
  <r>
    <x v="0"/>
    <x v="0"/>
    <x v="1"/>
    <x v="0"/>
    <x v="0"/>
    <x v="4"/>
    <x v="0"/>
    <x v="3"/>
    <n v="0.35264403915671899"/>
    <n v="1.26951854096419"/>
  </r>
  <r>
    <x v="0"/>
    <x v="0"/>
    <x v="1"/>
    <x v="0"/>
    <x v="0"/>
    <x v="4"/>
    <x v="0"/>
    <x v="4"/>
    <n v="0.35264403915671899"/>
    <n v="1.26951854096419"/>
  </r>
  <r>
    <x v="0"/>
    <x v="0"/>
    <x v="1"/>
    <x v="0"/>
    <x v="0"/>
    <x v="4"/>
    <x v="0"/>
    <x v="5"/>
    <n v="0.35264403915671899"/>
    <n v="1.26951854096419"/>
  </r>
  <r>
    <x v="0"/>
    <x v="0"/>
    <x v="1"/>
    <x v="0"/>
    <x v="0"/>
    <x v="4"/>
    <x v="0"/>
    <x v="6"/>
    <n v="0.35266710149413799"/>
    <n v="1.2696015653788999"/>
  </r>
  <r>
    <x v="0"/>
    <x v="0"/>
    <x v="1"/>
    <x v="0"/>
    <x v="0"/>
    <x v="4"/>
    <x v="0"/>
    <x v="7"/>
    <n v="9.2328084699438904"/>
    <n v="33.238110491797997"/>
  </r>
  <r>
    <x v="0"/>
    <x v="0"/>
    <x v="1"/>
    <x v="0"/>
    <x v="0"/>
    <x v="4"/>
    <x v="0"/>
    <x v="8"/>
    <n v="9.2328084699438904"/>
    <n v="33.238110491797997"/>
  </r>
  <r>
    <x v="0"/>
    <x v="0"/>
    <x v="1"/>
    <x v="0"/>
    <x v="0"/>
    <x v="4"/>
    <x v="0"/>
    <x v="9"/>
    <n v="54.749212801725903"/>
    <n v="197.09716608621301"/>
  </r>
  <r>
    <x v="0"/>
    <x v="0"/>
    <x v="1"/>
    <x v="0"/>
    <x v="0"/>
    <x v="4"/>
    <x v="0"/>
    <x v="10"/>
    <n v="54.749212801725903"/>
    <n v="197.09716608621301"/>
  </r>
  <r>
    <x v="0"/>
    <x v="0"/>
    <x v="1"/>
    <x v="0"/>
    <x v="0"/>
    <x v="4"/>
    <x v="0"/>
    <x v="11"/>
    <n v="54.749212801725903"/>
    <n v="197.09716608621301"/>
  </r>
  <r>
    <x v="0"/>
    <x v="0"/>
    <x v="1"/>
    <x v="0"/>
    <x v="0"/>
    <x v="4"/>
    <x v="0"/>
    <x v="12"/>
    <n v="54.749212801725903"/>
    <n v="197.09716608621301"/>
  </r>
  <r>
    <x v="0"/>
    <x v="0"/>
    <x v="1"/>
    <x v="0"/>
    <x v="0"/>
    <x v="4"/>
    <x v="0"/>
    <x v="13"/>
    <n v="9.2328084699438904"/>
    <n v="33.238110491797997"/>
  </r>
  <r>
    <x v="0"/>
    <x v="0"/>
    <x v="1"/>
    <x v="0"/>
    <x v="0"/>
    <x v="4"/>
    <x v="0"/>
    <x v="14"/>
    <n v="9.2328084699438904"/>
    <n v="33.238110491797997"/>
  </r>
  <r>
    <x v="0"/>
    <x v="0"/>
    <x v="1"/>
    <x v="0"/>
    <x v="0"/>
    <x v="4"/>
    <x v="0"/>
    <x v="15"/>
    <n v="9.2328084699438904"/>
    <n v="33.238110491797997"/>
  </r>
  <r>
    <x v="0"/>
    <x v="0"/>
    <x v="1"/>
    <x v="0"/>
    <x v="0"/>
    <x v="4"/>
    <x v="0"/>
    <x v="16"/>
    <n v="54.749212801725903"/>
    <n v="197.09716608621301"/>
  </r>
  <r>
    <x v="0"/>
    <x v="0"/>
    <x v="1"/>
    <x v="0"/>
    <x v="0"/>
    <x v="4"/>
    <x v="0"/>
    <x v="17"/>
    <n v="53.040017771044397"/>
    <n v="190.94406397576"/>
  </r>
  <r>
    <x v="0"/>
    <x v="0"/>
    <x v="1"/>
    <x v="0"/>
    <x v="0"/>
    <x v="4"/>
    <x v="0"/>
    <x v="18"/>
    <n v="54.749212801725903"/>
    <n v="197.09716608621301"/>
  </r>
  <r>
    <x v="0"/>
    <x v="0"/>
    <x v="1"/>
    <x v="0"/>
    <x v="0"/>
    <x v="4"/>
    <x v="0"/>
    <x v="19"/>
    <n v="13.5889543525106"/>
    <n v="48.920235669038199"/>
  </r>
  <r>
    <x v="0"/>
    <x v="0"/>
    <x v="1"/>
    <x v="0"/>
    <x v="0"/>
    <x v="4"/>
    <x v="0"/>
    <x v="20"/>
    <n v="9.2328084699438904"/>
    <n v="33.238110491797997"/>
  </r>
  <r>
    <x v="0"/>
    <x v="0"/>
    <x v="1"/>
    <x v="0"/>
    <x v="0"/>
    <x v="4"/>
    <x v="0"/>
    <x v="21"/>
    <n v="6.7607891997206702"/>
    <n v="24.338841118994399"/>
  </r>
  <r>
    <x v="0"/>
    <x v="0"/>
    <x v="1"/>
    <x v="0"/>
    <x v="0"/>
    <x v="4"/>
    <x v="0"/>
    <x v="22"/>
    <n v="6.7607891997206702"/>
    <n v="24.338841118994399"/>
  </r>
  <r>
    <x v="0"/>
    <x v="0"/>
    <x v="1"/>
    <x v="0"/>
    <x v="0"/>
    <x v="4"/>
    <x v="0"/>
    <x v="23"/>
    <n v="0.35266710149413799"/>
    <n v="1.2696015653788999"/>
  </r>
  <r>
    <x v="0"/>
    <x v="0"/>
    <x v="1"/>
    <x v="0"/>
    <x v="0"/>
    <x v="5"/>
    <x v="0"/>
    <x v="0"/>
    <n v="0.35266613287596699"/>
    <n v="1.2695980783534799"/>
  </r>
  <r>
    <x v="0"/>
    <x v="0"/>
    <x v="1"/>
    <x v="0"/>
    <x v="0"/>
    <x v="5"/>
    <x v="0"/>
    <x v="1"/>
    <n v="0.35266613287596699"/>
    <n v="1.2695980783534799"/>
  </r>
  <r>
    <x v="0"/>
    <x v="0"/>
    <x v="1"/>
    <x v="0"/>
    <x v="0"/>
    <x v="5"/>
    <x v="0"/>
    <x v="2"/>
    <n v="0.35266613287596699"/>
    <n v="1.2695980783534799"/>
  </r>
  <r>
    <x v="0"/>
    <x v="0"/>
    <x v="1"/>
    <x v="0"/>
    <x v="0"/>
    <x v="5"/>
    <x v="0"/>
    <x v="3"/>
    <n v="0.35266613287596699"/>
    <n v="1.2695980783534799"/>
  </r>
  <r>
    <x v="0"/>
    <x v="0"/>
    <x v="1"/>
    <x v="0"/>
    <x v="0"/>
    <x v="5"/>
    <x v="0"/>
    <x v="4"/>
    <n v="0.35266613287596699"/>
    <n v="1.2695980783534799"/>
  </r>
  <r>
    <x v="0"/>
    <x v="0"/>
    <x v="1"/>
    <x v="0"/>
    <x v="0"/>
    <x v="5"/>
    <x v="0"/>
    <x v="5"/>
    <n v="0.35266613287596699"/>
    <n v="1.2695980783534799"/>
  </r>
  <r>
    <x v="0"/>
    <x v="0"/>
    <x v="1"/>
    <x v="0"/>
    <x v="0"/>
    <x v="5"/>
    <x v="0"/>
    <x v="6"/>
    <n v="0.35268919521338599"/>
    <n v="1.26968110276819"/>
  </r>
  <r>
    <x v="0"/>
    <x v="0"/>
    <x v="1"/>
    <x v="0"/>
    <x v="0"/>
    <x v="5"/>
    <x v="0"/>
    <x v="7"/>
    <n v="4.2702715488700296"/>
    <n v="15.372977575932101"/>
  </r>
  <r>
    <x v="0"/>
    <x v="0"/>
    <x v="1"/>
    <x v="0"/>
    <x v="0"/>
    <x v="5"/>
    <x v="0"/>
    <x v="8"/>
    <n v="54.749212801725903"/>
    <n v="197.09716608621301"/>
  </r>
  <r>
    <x v="0"/>
    <x v="0"/>
    <x v="1"/>
    <x v="0"/>
    <x v="0"/>
    <x v="5"/>
    <x v="0"/>
    <x v="9"/>
    <n v="54.749212801725903"/>
    <n v="197.09716608621301"/>
  </r>
  <r>
    <x v="0"/>
    <x v="0"/>
    <x v="1"/>
    <x v="0"/>
    <x v="0"/>
    <x v="5"/>
    <x v="0"/>
    <x v="10"/>
    <n v="34.1721610458942"/>
    <n v="123.019779765219"/>
  </r>
  <r>
    <x v="0"/>
    <x v="0"/>
    <x v="1"/>
    <x v="0"/>
    <x v="0"/>
    <x v="5"/>
    <x v="0"/>
    <x v="11"/>
    <n v="34.1721610458942"/>
    <n v="123.019779765219"/>
  </r>
  <r>
    <x v="0"/>
    <x v="0"/>
    <x v="1"/>
    <x v="0"/>
    <x v="0"/>
    <x v="5"/>
    <x v="0"/>
    <x v="12"/>
    <n v="34.1721610458942"/>
    <n v="123.019779765219"/>
  </r>
  <r>
    <x v="0"/>
    <x v="0"/>
    <x v="1"/>
    <x v="0"/>
    <x v="0"/>
    <x v="5"/>
    <x v="0"/>
    <x v="13"/>
    <n v="5.7252463751699896"/>
    <n v="20.610886950611999"/>
  </r>
  <r>
    <x v="0"/>
    <x v="0"/>
    <x v="1"/>
    <x v="0"/>
    <x v="0"/>
    <x v="5"/>
    <x v="0"/>
    <x v="14"/>
    <n v="5.7252463751699896"/>
    <n v="20.610886950611999"/>
  </r>
  <r>
    <x v="0"/>
    <x v="0"/>
    <x v="1"/>
    <x v="0"/>
    <x v="0"/>
    <x v="5"/>
    <x v="0"/>
    <x v="15"/>
    <n v="17.3624213319181"/>
    <n v="62.504716794905001"/>
  </r>
  <r>
    <x v="0"/>
    <x v="0"/>
    <x v="1"/>
    <x v="0"/>
    <x v="0"/>
    <x v="5"/>
    <x v="0"/>
    <x v="16"/>
    <n v="50.8048080768163"/>
    <n v="182.89730907653899"/>
  </r>
  <r>
    <x v="0"/>
    <x v="0"/>
    <x v="1"/>
    <x v="0"/>
    <x v="0"/>
    <x v="5"/>
    <x v="0"/>
    <x v="17"/>
    <n v="54.749212801725903"/>
    <n v="197.09716608621301"/>
  </r>
  <r>
    <x v="0"/>
    <x v="0"/>
    <x v="1"/>
    <x v="0"/>
    <x v="0"/>
    <x v="5"/>
    <x v="0"/>
    <x v="18"/>
    <n v="54.749212801725903"/>
    <n v="197.09716608621301"/>
  </r>
  <r>
    <x v="0"/>
    <x v="0"/>
    <x v="1"/>
    <x v="0"/>
    <x v="0"/>
    <x v="5"/>
    <x v="0"/>
    <x v="19"/>
    <n v="54.749212801725903"/>
    <n v="197.09716608621301"/>
  </r>
  <r>
    <x v="0"/>
    <x v="0"/>
    <x v="1"/>
    <x v="0"/>
    <x v="0"/>
    <x v="5"/>
    <x v="0"/>
    <x v="20"/>
    <n v="31.3729036140959"/>
    <n v="112.942453010745"/>
  </r>
  <r>
    <x v="0"/>
    <x v="0"/>
    <x v="1"/>
    <x v="0"/>
    <x v="0"/>
    <x v="5"/>
    <x v="0"/>
    <x v="21"/>
    <n v="12.899792263540901"/>
    <n v="46.4392521487474"/>
  </r>
  <r>
    <x v="0"/>
    <x v="0"/>
    <x v="1"/>
    <x v="0"/>
    <x v="0"/>
    <x v="5"/>
    <x v="0"/>
    <x v="22"/>
    <n v="12.899792263540901"/>
    <n v="46.4392521487474"/>
  </r>
  <r>
    <x v="0"/>
    <x v="0"/>
    <x v="1"/>
    <x v="0"/>
    <x v="0"/>
    <x v="5"/>
    <x v="0"/>
    <x v="23"/>
    <n v="0.35268919521338599"/>
    <n v="1.26968110276819"/>
  </r>
  <r>
    <x v="0"/>
    <x v="0"/>
    <x v="0"/>
    <x v="0"/>
    <x v="1"/>
    <x v="6"/>
    <x v="0"/>
    <x v="0"/>
    <n v="97.978629763821402"/>
    <n v="352.72306714975701"/>
  </r>
  <r>
    <x v="0"/>
    <x v="0"/>
    <x v="0"/>
    <x v="0"/>
    <x v="1"/>
    <x v="6"/>
    <x v="0"/>
    <x v="1"/>
    <n v="97.978629763821402"/>
    <n v="352.72306714975701"/>
  </r>
  <r>
    <x v="0"/>
    <x v="0"/>
    <x v="0"/>
    <x v="0"/>
    <x v="1"/>
    <x v="6"/>
    <x v="0"/>
    <x v="2"/>
    <n v="97.978629763821402"/>
    <n v="352.72306714975701"/>
  </r>
  <r>
    <x v="0"/>
    <x v="0"/>
    <x v="0"/>
    <x v="0"/>
    <x v="1"/>
    <x v="6"/>
    <x v="0"/>
    <x v="3"/>
    <n v="98.507597790959807"/>
    <n v="354.62735204745502"/>
  </r>
  <r>
    <x v="0"/>
    <x v="0"/>
    <x v="0"/>
    <x v="0"/>
    <x v="1"/>
    <x v="6"/>
    <x v="0"/>
    <x v="4"/>
    <n v="106.739556632066"/>
    <n v="384.26240387543697"/>
  </r>
  <r>
    <x v="0"/>
    <x v="0"/>
    <x v="0"/>
    <x v="0"/>
    <x v="1"/>
    <x v="6"/>
    <x v="0"/>
    <x v="5"/>
    <n v="106.739556632066"/>
    <n v="384.26240387543697"/>
  </r>
  <r>
    <x v="0"/>
    <x v="0"/>
    <x v="0"/>
    <x v="0"/>
    <x v="1"/>
    <x v="6"/>
    <x v="0"/>
    <x v="6"/>
    <n v="106.739556632066"/>
    <n v="384.26240387543697"/>
  </r>
  <r>
    <x v="0"/>
    <x v="0"/>
    <x v="0"/>
    <x v="0"/>
    <x v="1"/>
    <x v="6"/>
    <x v="0"/>
    <x v="7"/>
    <n v="106.739556632066"/>
    <n v="384.26240387543697"/>
  </r>
  <r>
    <x v="0"/>
    <x v="0"/>
    <x v="0"/>
    <x v="0"/>
    <x v="1"/>
    <x v="6"/>
    <x v="0"/>
    <x v="8"/>
    <n v="106.739556632066"/>
    <n v="384.26240387543697"/>
  </r>
  <r>
    <x v="0"/>
    <x v="0"/>
    <x v="0"/>
    <x v="0"/>
    <x v="1"/>
    <x v="6"/>
    <x v="0"/>
    <x v="9"/>
    <n v="106.739556632066"/>
    <n v="384.26240387543697"/>
  </r>
  <r>
    <x v="0"/>
    <x v="0"/>
    <x v="0"/>
    <x v="0"/>
    <x v="1"/>
    <x v="6"/>
    <x v="0"/>
    <x v="10"/>
    <n v="106.739556632066"/>
    <n v="384.26240387543697"/>
  </r>
  <r>
    <x v="0"/>
    <x v="0"/>
    <x v="0"/>
    <x v="0"/>
    <x v="1"/>
    <x v="6"/>
    <x v="0"/>
    <x v="11"/>
    <n v="98.507597790959807"/>
    <n v="354.62735204745502"/>
  </r>
  <r>
    <x v="0"/>
    <x v="0"/>
    <x v="0"/>
    <x v="0"/>
    <x v="1"/>
    <x v="6"/>
    <x v="0"/>
    <x v="12"/>
    <n v="98.507597790959807"/>
    <n v="354.62735204745502"/>
  </r>
  <r>
    <x v="0"/>
    <x v="0"/>
    <x v="0"/>
    <x v="0"/>
    <x v="1"/>
    <x v="6"/>
    <x v="0"/>
    <x v="13"/>
    <n v="98.507597790959807"/>
    <n v="354.62735204745502"/>
  </r>
  <r>
    <x v="0"/>
    <x v="0"/>
    <x v="0"/>
    <x v="0"/>
    <x v="1"/>
    <x v="6"/>
    <x v="0"/>
    <x v="14"/>
    <n v="97.978629763821402"/>
    <n v="352.72306714975701"/>
  </r>
  <r>
    <x v="0"/>
    <x v="0"/>
    <x v="0"/>
    <x v="0"/>
    <x v="1"/>
    <x v="6"/>
    <x v="0"/>
    <x v="15"/>
    <n v="98.507597790959807"/>
    <n v="354.62735204745502"/>
  </r>
  <r>
    <x v="0"/>
    <x v="0"/>
    <x v="0"/>
    <x v="0"/>
    <x v="1"/>
    <x v="6"/>
    <x v="0"/>
    <x v="16"/>
    <n v="98.507597790959807"/>
    <n v="354.62735204745502"/>
  </r>
  <r>
    <x v="0"/>
    <x v="0"/>
    <x v="0"/>
    <x v="0"/>
    <x v="1"/>
    <x v="6"/>
    <x v="0"/>
    <x v="17"/>
    <n v="106.739556632066"/>
    <n v="384.26240387543697"/>
  </r>
  <r>
    <x v="0"/>
    <x v="0"/>
    <x v="0"/>
    <x v="0"/>
    <x v="1"/>
    <x v="6"/>
    <x v="0"/>
    <x v="18"/>
    <n v="106.739556632066"/>
    <n v="384.26240387543697"/>
  </r>
  <r>
    <x v="0"/>
    <x v="0"/>
    <x v="0"/>
    <x v="0"/>
    <x v="1"/>
    <x v="6"/>
    <x v="0"/>
    <x v="19"/>
    <n v="106.739556632066"/>
    <n v="384.26240387543697"/>
  </r>
  <r>
    <x v="0"/>
    <x v="0"/>
    <x v="0"/>
    <x v="0"/>
    <x v="1"/>
    <x v="6"/>
    <x v="0"/>
    <x v="20"/>
    <n v="101.017823109905"/>
    <n v="363.664163195659"/>
  </r>
  <r>
    <x v="0"/>
    <x v="0"/>
    <x v="0"/>
    <x v="0"/>
    <x v="1"/>
    <x v="6"/>
    <x v="0"/>
    <x v="21"/>
    <n v="98.507597790959807"/>
    <n v="354.62735204745502"/>
  </r>
  <r>
    <x v="0"/>
    <x v="0"/>
    <x v="0"/>
    <x v="0"/>
    <x v="1"/>
    <x v="6"/>
    <x v="0"/>
    <x v="22"/>
    <n v="98.507597790959807"/>
    <n v="354.62735204745502"/>
  </r>
  <r>
    <x v="0"/>
    <x v="0"/>
    <x v="0"/>
    <x v="0"/>
    <x v="1"/>
    <x v="6"/>
    <x v="0"/>
    <x v="23"/>
    <n v="97.978629763821402"/>
    <n v="352.72306714975701"/>
  </r>
  <r>
    <x v="0"/>
    <x v="0"/>
    <x v="0"/>
    <x v="0"/>
    <x v="1"/>
    <x v="7"/>
    <x v="0"/>
    <x v="0"/>
    <n v="84.231873227478999"/>
    <n v="303.23474361892499"/>
  </r>
  <r>
    <x v="0"/>
    <x v="0"/>
    <x v="0"/>
    <x v="0"/>
    <x v="1"/>
    <x v="7"/>
    <x v="0"/>
    <x v="1"/>
    <n v="84.231873227478999"/>
    <n v="303.23474361892499"/>
  </r>
  <r>
    <x v="0"/>
    <x v="0"/>
    <x v="0"/>
    <x v="0"/>
    <x v="1"/>
    <x v="7"/>
    <x v="0"/>
    <x v="2"/>
    <n v="84.231873227478999"/>
    <n v="303.23474361892499"/>
  </r>
  <r>
    <x v="0"/>
    <x v="0"/>
    <x v="0"/>
    <x v="0"/>
    <x v="1"/>
    <x v="7"/>
    <x v="0"/>
    <x v="3"/>
    <n v="84.231873227478999"/>
    <n v="303.23474361892499"/>
  </r>
  <r>
    <x v="0"/>
    <x v="0"/>
    <x v="0"/>
    <x v="0"/>
    <x v="1"/>
    <x v="7"/>
    <x v="0"/>
    <x v="4"/>
    <n v="84.231873227478999"/>
    <n v="303.23474361892499"/>
  </r>
  <r>
    <x v="0"/>
    <x v="0"/>
    <x v="0"/>
    <x v="0"/>
    <x v="1"/>
    <x v="7"/>
    <x v="0"/>
    <x v="5"/>
    <n v="84.231873227478999"/>
    <n v="303.23474361892499"/>
  </r>
  <r>
    <x v="0"/>
    <x v="0"/>
    <x v="0"/>
    <x v="0"/>
    <x v="1"/>
    <x v="7"/>
    <x v="0"/>
    <x v="6"/>
    <n v="97.321979799097903"/>
    <n v="350.35912727675202"/>
  </r>
  <r>
    <x v="0"/>
    <x v="0"/>
    <x v="0"/>
    <x v="0"/>
    <x v="1"/>
    <x v="7"/>
    <x v="0"/>
    <x v="7"/>
    <n v="97.321979799097903"/>
    <n v="350.35912727675202"/>
  </r>
  <r>
    <x v="0"/>
    <x v="0"/>
    <x v="0"/>
    <x v="0"/>
    <x v="1"/>
    <x v="7"/>
    <x v="0"/>
    <x v="8"/>
    <n v="97.321979799097903"/>
    <n v="350.35912727675202"/>
  </r>
  <r>
    <x v="0"/>
    <x v="0"/>
    <x v="0"/>
    <x v="0"/>
    <x v="1"/>
    <x v="7"/>
    <x v="0"/>
    <x v="9"/>
    <n v="97.321979799097903"/>
    <n v="350.35912727675202"/>
  </r>
  <r>
    <x v="0"/>
    <x v="0"/>
    <x v="0"/>
    <x v="0"/>
    <x v="1"/>
    <x v="7"/>
    <x v="0"/>
    <x v="10"/>
    <n v="97.321979799097903"/>
    <n v="350.35912727675202"/>
  </r>
  <r>
    <x v="0"/>
    <x v="0"/>
    <x v="0"/>
    <x v="0"/>
    <x v="1"/>
    <x v="7"/>
    <x v="0"/>
    <x v="11"/>
    <n v="97.321979799097903"/>
    <n v="350.35912727675202"/>
  </r>
  <r>
    <x v="0"/>
    <x v="0"/>
    <x v="0"/>
    <x v="0"/>
    <x v="1"/>
    <x v="7"/>
    <x v="0"/>
    <x v="12"/>
    <n v="97.321979799097903"/>
    <n v="350.35912727675202"/>
  </r>
  <r>
    <x v="0"/>
    <x v="0"/>
    <x v="0"/>
    <x v="0"/>
    <x v="1"/>
    <x v="7"/>
    <x v="0"/>
    <x v="13"/>
    <n v="97.321979799097903"/>
    <n v="350.35912727675202"/>
  </r>
  <r>
    <x v="0"/>
    <x v="0"/>
    <x v="0"/>
    <x v="0"/>
    <x v="1"/>
    <x v="7"/>
    <x v="0"/>
    <x v="14"/>
    <n v="97.321979799097903"/>
    <n v="350.35912727675202"/>
  </r>
  <r>
    <x v="0"/>
    <x v="0"/>
    <x v="0"/>
    <x v="0"/>
    <x v="1"/>
    <x v="7"/>
    <x v="0"/>
    <x v="15"/>
    <n v="97.321979799097903"/>
    <n v="350.35912727675202"/>
  </r>
  <r>
    <x v="0"/>
    <x v="0"/>
    <x v="0"/>
    <x v="0"/>
    <x v="1"/>
    <x v="7"/>
    <x v="0"/>
    <x v="16"/>
    <n v="97.321979799097903"/>
    <n v="350.35912727675202"/>
  </r>
  <r>
    <x v="0"/>
    <x v="0"/>
    <x v="0"/>
    <x v="0"/>
    <x v="1"/>
    <x v="7"/>
    <x v="0"/>
    <x v="17"/>
    <n v="97.321979799097903"/>
    <n v="350.35912727675202"/>
  </r>
  <r>
    <x v="0"/>
    <x v="0"/>
    <x v="0"/>
    <x v="0"/>
    <x v="1"/>
    <x v="7"/>
    <x v="0"/>
    <x v="18"/>
    <n v="97.321979799097903"/>
    <n v="350.35912727675202"/>
  </r>
  <r>
    <x v="0"/>
    <x v="0"/>
    <x v="0"/>
    <x v="0"/>
    <x v="1"/>
    <x v="7"/>
    <x v="0"/>
    <x v="19"/>
    <n v="97.321979799097903"/>
    <n v="350.35912727675202"/>
  </r>
  <r>
    <x v="0"/>
    <x v="0"/>
    <x v="0"/>
    <x v="0"/>
    <x v="1"/>
    <x v="7"/>
    <x v="0"/>
    <x v="20"/>
    <n v="97.321979799097903"/>
    <n v="350.35912727675202"/>
  </r>
  <r>
    <x v="0"/>
    <x v="0"/>
    <x v="0"/>
    <x v="0"/>
    <x v="1"/>
    <x v="7"/>
    <x v="0"/>
    <x v="21"/>
    <n v="97.321979799097903"/>
    <n v="350.35912727675202"/>
  </r>
  <r>
    <x v="0"/>
    <x v="0"/>
    <x v="0"/>
    <x v="0"/>
    <x v="1"/>
    <x v="7"/>
    <x v="0"/>
    <x v="22"/>
    <n v="97.321979799097903"/>
    <n v="350.35912727675202"/>
  </r>
  <r>
    <x v="0"/>
    <x v="0"/>
    <x v="0"/>
    <x v="0"/>
    <x v="1"/>
    <x v="7"/>
    <x v="0"/>
    <x v="23"/>
    <n v="97.321979799097903"/>
    <n v="350.35912727675202"/>
  </r>
  <r>
    <x v="0"/>
    <x v="0"/>
    <x v="0"/>
    <x v="0"/>
    <x v="1"/>
    <x v="8"/>
    <x v="0"/>
    <x v="0"/>
    <n v="26.146316399595499"/>
    <n v="94.126739038543803"/>
  </r>
  <r>
    <x v="0"/>
    <x v="0"/>
    <x v="0"/>
    <x v="0"/>
    <x v="1"/>
    <x v="8"/>
    <x v="0"/>
    <x v="1"/>
    <n v="26.146316399595499"/>
    <n v="94.126739038543803"/>
  </r>
  <r>
    <x v="0"/>
    <x v="0"/>
    <x v="0"/>
    <x v="0"/>
    <x v="1"/>
    <x v="8"/>
    <x v="0"/>
    <x v="2"/>
    <n v="26.146316399595499"/>
    <n v="94.126739038543803"/>
  </r>
  <r>
    <x v="0"/>
    <x v="0"/>
    <x v="0"/>
    <x v="0"/>
    <x v="1"/>
    <x v="8"/>
    <x v="0"/>
    <x v="3"/>
    <n v="26.146316399595499"/>
    <n v="94.126739038543803"/>
  </r>
  <r>
    <x v="0"/>
    <x v="0"/>
    <x v="0"/>
    <x v="0"/>
    <x v="1"/>
    <x v="8"/>
    <x v="0"/>
    <x v="4"/>
    <n v="26.146316399595499"/>
    <n v="94.126739038543803"/>
  </r>
  <r>
    <x v="0"/>
    <x v="0"/>
    <x v="0"/>
    <x v="0"/>
    <x v="1"/>
    <x v="8"/>
    <x v="0"/>
    <x v="5"/>
    <n v="26.146316399595499"/>
    <n v="94.126739038543803"/>
  </r>
  <r>
    <x v="0"/>
    <x v="0"/>
    <x v="0"/>
    <x v="0"/>
    <x v="1"/>
    <x v="8"/>
    <x v="0"/>
    <x v="6"/>
    <n v="26.146316399595499"/>
    <n v="94.126739038543803"/>
  </r>
  <r>
    <x v="0"/>
    <x v="0"/>
    <x v="0"/>
    <x v="0"/>
    <x v="1"/>
    <x v="8"/>
    <x v="0"/>
    <x v="7"/>
    <n v="26.146316399595499"/>
    <n v="94.126739038543803"/>
  </r>
  <r>
    <x v="0"/>
    <x v="0"/>
    <x v="0"/>
    <x v="0"/>
    <x v="1"/>
    <x v="8"/>
    <x v="0"/>
    <x v="8"/>
    <n v="26.146316399595499"/>
    <n v="94.126739038543803"/>
  </r>
  <r>
    <x v="0"/>
    <x v="0"/>
    <x v="0"/>
    <x v="0"/>
    <x v="1"/>
    <x v="8"/>
    <x v="0"/>
    <x v="9"/>
    <n v="26.146316399595499"/>
    <n v="94.126739038543803"/>
  </r>
  <r>
    <x v="0"/>
    <x v="0"/>
    <x v="0"/>
    <x v="0"/>
    <x v="1"/>
    <x v="8"/>
    <x v="0"/>
    <x v="10"/>
    <n v="26.146316399595499"/>
    <n v="94.126739038543803"/>
  </r>
  <r>
    <x v="0"/>
    <x v="0"/>
    <x v="0"/>
    <x v="0"/>
    <x v="1"/>
    <x v="8"/>
    <x v="0"/>
    <x v="11"/>
    <n v="26.146316399595499"/>
    <n v="94.126739038543803"/>
  </r>
  <r>
    <x v="0"/>
    <x v="0"/>
    <x v="0"/>
    <x v="0"/>
    <x v="1"/>
    <x v="8"/>
    <x v="0"/>
    <x v="12"/>
    <n v="26.146316399595499"/>
    <n v="94.126739038543803"/>
  </r>
  <r>
    <x v="0"/>
    <x v="0"/>
    <x v="0"/>
    <x v="0"/>
    <x v="1"/>
    <x v="8"/>
    <x v="0"/>
    <x v="13"/>
    <n v="26.146316399595499"/>
    <n v="94.126739038543803"/>
  </r>
  <r>
    <x v="0"/>
    <x v="0"/>
    <x v="0"/>
    <x v="0"/>
    <x v="1"/>
    <x v="8"/>
    <x v="0"/>
    <x v="14"/>
    <n v="26.146316399595499"/>
    <n v="94.126739038543803"/>
  </r>
  <r>
    <x v="0"/>
    <x v="0"/>
    <x v="0"/>
    <x v="0"/>
    <x v="1"/>
    <x v="8"/>
    <x v="0"/>
    <x v="15"/>
    <n v="26.146316399595499"/>
    <n v="94.126739038543803"/>
  </r>
  <r>
    <x v="0"/>
    <x v="0"/>
    <x v="0"/>
    <x v="0"/>
    <x v="1"/>
    <x v="8"/>
    <x v="0"/>
    <x v="16"/>
    <n v="26.146316399595499"/>
    <n v="94.126739038543803"/>
  </r>
  <r>
    <x v="0"/>
    <x v="0"/>
    <x v="0"/>
    <x v="0"/>
    <x v="1"/>
    <x v="8"/>
    <x v="0"/>
    <x v="17"/>
    <n v="26.146316399595499"/>
    <n v="94.126739038543803"/>
  </r>
  <r>
    <x v="0"/>
    <x v="0"/>
    <x v="0"/>
    <x v="0"/>
    <x v="1"/>
    <x v="8"/>
    <x v="0"/>
    <x v="18"/>
    <n v="26.146316399595499"/>
    <n v="94.126739038543803"/>
  </r>
  <r>
    <x v="0"/>
    <x v="0"/>
    <x v="0"/>
    <x v="0"/>
    <x v="1"/>
    <x v="8"/>
    <x v="0"/>
    <x v="19"/>
    <n v="26.146316399595499"/>
    <n v="94.126739038543803"/>
  </r>
  <r>
    <x v="0"/>
    <x v="0"/>
    <x v="0"/>
    <x v="0"/>
    <x v="1"/>
    <x v="8"/>
    <x v="0"/>
    <x v="20"/>
    <n v="26.146316399595499"/>
    <n v="94.126739038543803"/>
  </r>
  <r>
    <x v="0"/>
    <x v="0"/>
    <x v="0"/>
    <x v="0"/>
    <x v="1"/>
    <x v="8"/>
    <x v="0"/>
    <x v="21"/>
    <n v="26.146316399595499"/>
    <n v="94.126739038543803"/>
  </r>
  <r>
    <x v="0"/>
    <x v="0"/>
    <x v="0"/>
    <x v="0"/>
    <x v="1"/>
    <x v="8"/>
    <x v="0"/>
    <x v="22"/>
    <n v="26.146316399595499"/>
    <n v="94.126739038543803"/>
  </r>
  <r>
    <x v="0"/>
    <x v="0"/>
    <x v="0"/>
    <x v="0"/>
    <x v="1"/>
    <x v="8"/>
    <x v="0"/>
    <x v="23"/>
    <n v="26.146316399595499"/>
    <n v="94.126739038543803"/>
  </r>
  <r>
    <x v="0"/>
    <x v="0"/>
    <x v="0"/>
    <x v="0"/>
    <x v="1"/>
    <x v="5"/>
    <x v="0"/>
    <x v="0"/>
    <n v="76.893401095446904"/>
    <n v="276.81624394360898"/>
  </r>
  <r>
    <x v="0"/>
    <x v="0"/>
    <x v="0"/>
    <x v="0"/>
    <x v="1"/>
    <x v="5"/>
    <x v="0"/>
    <x v="1"/>
    <n v="76.893401095446904"/>
    <n v="276.81624394360898"/>
  </r>
  <r>
    <x v="0"/>
    <x v="0"/>
    <x v="0"/>
    <x v="0"/>
    <x v="1"/>
    <x v="5"/>
    <x v="0"/>
    <x v="2"/>
    <n v="76.893401095446904"/>
    <n v="276.81624394360898"/>
  </r>
  <r>
    <x v="0"/>
    <x v="0"/>
    <x v="0"/>
    <x v="0"/>
    <x v="1"/>
    <x v="5"/>
    <x v="0"/>
    <x v="3"/>
    <n v="76.893401095446904"/>
    <n v="276.81624394360898"/>
  </r>
  <r>
    <x v="0"/>
    <x v="0"/>
    <x v="0"/>
    <x v="0"/>
    <x v="1"/>
    <x v="5"/>
    <x v="0"/>
    <x v="4"/>
    <n v="76.893401095446904"/>
    <n v="276.81624394360898"/>
  </r>
  <r>
    <x v="0"/>
    <x v="0"/>
    <x v="0"/>
    <x v="0"/>
    <x v="1"/>
    <x v="5"/>
    <x v="0"/>
    <x v="5"/>
    <n v="76.893401095446904"/>
    <n v="276.81624394360898"/>
  </r>
  <r>
    <x v="0"/>
    <x v="0"/>
    <x v="0"/>
    <x v="0"/>
    <x v="1"/>
    <x v="5"/>
    <x v="0"/>
    <x v="6"/>
    <n v="78.349953895993494"/>
    <n v="282.059834025577"/>
  </r>
  <r>
    <x v="0"/>
    <x v="0"/>
    <x v="0"/>
    <x v="0"/>
    <x v="1"/>
    <x v="5"/>
    <x v="0"/>
    <x v="7"/>
    <n v="78.349953895993494"/>
    <n v="282.059834025577"/>
  </r>
  <r>
    <x v="0"/>
    <x v="0"/>
    <x v="0"/>
    <x v="0"/>
    <x v="1"/>
    <x v="5"/>
    <x v="0"/>
    <x v="8"/>
    <n v="78.349953895993494"/>
    <n v="282.059834025577"/>
  </r>
  <r>
    <x v="0"/>
    <x v="0"/>
    <x v="0"/>
    <x v="0"/>
    <x v="1"/>
    <x v="5"/>
    <x v="0"/>
    <x v="9"/>
    <n v="78.349953895993494"/>
    <n v="282.059834025577"/>
  </r>
  <r>
    <x v="0"/>
    <x v="0"/>
    <x v="0"/>
    <x v="0"/>
    <x v="1"/>
    <x v="5"/>
    <x v="0"/>
    <x v="10"/>
    <n v="78.349953895993494"/>
    <n v="282.059834025577"/>
  </r>
  <r>
    <x v="0"/>
    <x v="0"/>
    <x v="0"/>
    <x v="0"/>
    <x v="1"/>
    <x v="5"/>
    <x v="0"/>
    <x v="11"/>
    <n v="78.349953895993494"/>
    <n v="282.059834025577"/>
  </r>
  <r>
    <x v="0"/>
    <x v="0"/>
    <x v="0"/>
    <x v="0"/>
    <x v="1"/>
    <x v="5"/>
    <x v="0"/>
    <x v="12"/>
    <n v="78.349953895993494"/>
    <n v="282.059834025577"/>
  </r>
  <r>
    <x v="0"/>
    <x v="0"/>
    <x v="0"/>
    <x v="0"/>
    <x v="1"/>
    <x v="5"/>
    <x v="0"/>
    <x v="13"/>
    <n v="78.349953895993494"/>
    <n v="282.059834025577"/>
  </r>
  <r>
    <x v="0"/>
    <x v="0"/>
    <x v="0"/>
    <x v="0"/>
    <x v="1"/>
    <x v="5"/>
    <x v="0"/>
    <x v="14"/>
    <n v="78.349953895993494"/>
    <n v="282.059834025577"/>
  </r>
  <r>
    <x v="0"/>
    <x v="0"/>
    <x v="0"/>
    <x v="0"/>
    <x v="1"/>
    <x v="5"/>
    <x v="0"/>
    <x v="15"/>
    <n v="78.349953895993494"/>
    <n v="282.059834025577"/>
  </r>
  <r>
    <x v="0"/>
    <x v="0"/>
    <x v="0"/>
    <x v="0"/>
    <x v="1"/>
    <x v="5"/>
    <x v="0"/>
    <x v="16"/>
    <n v="78.349953895993494"/>
    <n v="282.059834025577"/>
  </r>
  <r>
    <x v="0"/>
    <x v="0"/>
    <x v="0"/>
    <x v="0"/>
    <x v="1"/>
    <x v="5"/>
    <x v="0"/>
    <x v="17"/>
    <n v="78.349953895993494"/>
    <n v="282.059834025577"/>
  </r>
  <r>
    <x v="0"/>
    <x v="0"/>
    <x v="0"/>
    <x v="0"/>
    <x v="1"/>
    <x v="5"/>
    <x v="0"/>
    <x v="18"/>
    <n v="78.349953895993494"/>
    <n v="282.059834025577"/>
  </r>
  <r>
    <x v="0"/>
    <x v="0"/>
    <x v="0"/>
    <x v="0"/>
    <x v="1"/>
    <x v="5"/>
    <x v="0"/>
    <x v="19"/>
    <n v="78.349953895993494"/>
    <n v="282.059834025577"/>
  </r>
  <r>
    <x v="0"/>
    <x v="0"/>
    <x v="0"/>
    <x v="0"/>
    <x v="1"/>
    <x v="5"/>
    <x v="0"/>
    <x v="20"/>
    <n v="78.349953895993494"/>
    <n v="282.059834025577"/>
  </r>
  <r>
    <x v="0"/>
    <x v="0"/>
    <x v="0"/>
    <x v="0"/>
    <x v="1"/>
    <x v="5"/>
    <x v="0"/>
    <x v="21"/>
    <n v="78.349953895993494"/>
    <n v="282.059834025577"/>
  </r>
  <r>
    <x v="0"/>
    <x v="0"/>
    <x v="0"/>
    <x v="0"/>
    <x v="1"/>
    <x v="5"/>
    <x v="0"/>
    <x v="22"/>
    <n v="78.349953895993494"/>
    <n v="282.059834025577"/>
  </r>
  <r>
    <x v="0"/>
    <x v="0"/>
    <x v="0"/>
    <x v="0"/>
    <x v="1"/>
    <x v="5"/>
    <x v="0"/>
    <x v="23"/>
    <n v="78.349953895993494"/>
    <n v="282.059834025577"/>
  </r>
  <r>
    <x v="0"/>
    <x v="0"/>
    <x v="0"/>
    <x v="0"/>
    <x v="1"/>
    <x v="9"/>
    <x v="0"/>
    <x v="0"/>
    <n v="103.784120895884"/>
    <n v="373.62283522518402"/>
  </r>
  <r>
    <x v="0"/>
    <x v="0"/>
    <x v="0"/>
    <x v="0"/>
    <x v="1"/>
    <x v="9"/>
    <x v="0"/>
    <x v="1"/>
    <n v="103.784120895884"/>
    <n v="373.62283522518402"/>
  </r>
  <r>
    <x v="0"/>
    <x v="0"/>
    <x v="0"/>
    <x v="0"/>
    <x v="1"/>
    <x v="9"/>
    <x v="0"/>
    <x v="2"/>
    <n v="103.784120895884"/>
    <n v="373.62283522518402"/>
  </r>
  <r>
    <x v="0"/>
    <x v="0"/>
    <x v="0"/>
    <x v="0"/>
    <x v="1"/>
    <x v="9"/>
    <x v="0"/>
    <x v="3"/>
    <n v="103.784120895884"/>
    <n v="373.62283522518402"/>
  </r>
  <r>
    <x v="0"/>
    <x v="0"/>
    <x v="0"/>
    <x v="0"/>
    <x v="1"/>
    <x v="9"/>
    <x v="0"/>
    <x v="4"/>
    <n v="103.784120895884"/>
    <n v="373.62283522518402"/>
  </r>
  <r>
    <x v="0"/>
    <x v="0"/>
    <x v="0"/>
    <x v="0"/>
    <x v="1"/>
    <x v="9"/>
    <x v="0"/>
    <x v="5"/>
    <n v="106.739556632066"/>
    <n v="384.26240387543697"/>
  </r>
  <r>
    <x v="0"/>
    <x v="0"/>
    <x v="0"/>
    <x v="0"/>
    <x v="1"/>
    <x v="9"/>
    <x v="0"/>
    <x v="6"/>
    <n v="106.739556632066"/>
    <n v="384.26240387543697"/>
  </r>
  <r>
    <x v="0"/>
    <x v="0"/>
    <x v="0"/>
    <x v="0"/>
    <x v="1"/>
    <x v="9"/>
    <x v="0"/>
    <x v="7"/>
    <n v="106.739556632066"/>
    <n v="384.26240387543697"/>
  </r>
  <r>
    <x v="0"/>
    <x v="0"/>
    <x v="0"/>
    <x v="0"/>
    <x v="1"/>
    <x v="9"/>
    <x v="0"/>
    <x v="8"/>
    <n v="106.739556632066"/>
    <n v="384.26240387543697"/>
  </r>
  <r>
    <x v="0"/>
    <x v="0"/>
    <x v="0"/>
    <x v="0"/>
    <x v="1"/>
    <x v="9"/>
    <x v="0"/>
    <x v="9"/>
    <n v="106.739556632066"/>
    <n v="384.26240387543697"/>
  </r>
  <r>
    <x v="0"/>
    <x v="0"/>
    <x v="0"/>
    <x v="0"/>
    <x v="1"/>
    <x v="9"/>
    <x v="0"/>
    <x v="10"/>
    <n v="106.739556632066"/>
    <n v="384.26240387543697"/>
  </r>
  <r>
    <x v="0"/>
    <x v="0"/>
    <x v="0"/>
    <x v="0"/>
    <x v="1"/>
    <x v="9"/>
    <x v="0"/>
    <x v="11"/>
    <n v="106.739556632066"/>
    <n v="384.26240387543697"/>
  </r>
  <r>
    <x v="0"/>
    <x v="0"/>
    <x v="0"/>
    <x v="0"/>
    <x v="1"/>
    <x v="9"/>
    <x v="0"/>
    <x v="12"/>
    <n v="106.739556632066"/>
    <n v="384.26240387543697"/>
  </r>
  <r>
    <x v="0"/>
    <x v="0"/>
    <x v="0"/>
    <x v="0"/>
    <x v="1"/>
    <x v="9"/>
    <x v="0"/>
    <x v="13"/>
    <n v="106.739556632066"/>
    <n v="384.26240387543697"/>
  </r>
  <r>
    <x v="0"/>
    <x v="0"/>
    <x v="0"/>
    <x v="0"/>
    <x v="1"/>
    <x v="9"/>
    <x v="0"/>
    <x v="14"/>
    <n v="106.739556632066"/>
    <n v="384.26240387543697"/>
  </r>
  <r>
    <x v="0"/>
    <x v="0"/>
    <x v="0"/>
    <x v="0"/>
    <x v="1"/>
    <x v="9"/>
    <x v="0"/>
    <x v="15"/>
    <n v="106.739556632066"/>
    <n v="384.26240387543697"/>
  </r>
  <r>
    <x v="0"/>
    <x v="0"/>
    <x v="0"/>
    <x v="0"/>
    <x v="1"/>
    <x v="9"/>
    <x v="0"/>
    <x v="16"/>
    <n v="106.739556632066"/>
    <n v="384.26240387543697"/>
  </r>
  <r>
    <x v="0"/>
    <x v="0"/>
    <x v="0"/>
    <x v="0"/>
    <x v="1"/>
    <x v="9"/>
    <x v="0"/>
    <x v="17"/>
    <n v="106.739556632066"/>
    <n v="384.26240387543697"/>
  </r>
  <r>
    <x v="0"/>
    <x v="0"/>
    <x v="0"/>
    <x v="0"/>
    <x v="1"/>
    <x v="9"/>
    <x v="0"/>
    <x v="18"/>
    <n v="106.739556632066"/>
    <n v="384.26240387543697"/>
  </r>
  <r>
    <x v="0"/>
    <x v="0"/>
    <x v="0"/>
    <x v="0"/>
    <x v="1"/>
    <x v="9"/>
    <x v="0"/>
    <x v="19"/>
    <n v="106.739556632066"/>
    <n v="384.26240387543697"/>
  </r>
  <r>
    <x v="0"/>
    <x v="0"/>
    <x v="0"/>
    <x v="0"/>
    <x v="1"/>
    <x v="9"/>
    <x v="0"/>
    <x v="20"/>
    <n v="106.739556632066"/>
    <n v="384.26240387543697"/>
  </r>
  <r>
    <x v="0"/>
    <x v="0"/>
    <x v="0"/>
    <x v="0"/>
    <x v="1"/>
    <x v="9"/>
    <x v="0"/>
    <x v="21"/>
    <n v="106.739556632066"/>
    <n v="384.26240387543697"/>
  </r>
  <r>
    <x v="0"/>
    <x v="0"/>
    <x v="0"/>
    <x v="0"/>
    <x v="1"/>
    <x v="9"/>
    <x v="0"/>
    <x v="22"/>
    <n v="106.739556632066"/>
    <n v="384.26240387543697"/>
  </r>
  <r>
    <x v="0"/>
    <x v="0"/>
    <x v="0"/>
    <x v="0"/>
    <x v="1"/>
    <x v="9"/>
    <x v="0"/>
    <x v="23"/>
    <n v="106.739556632066"/>
    <n v="384.26240387543697"/>
  </r>
  <r>
    <x v="0"/>
    <x v="0"/>
    <x v="1"/>
    <x v="0"/>
    <x v="1"/>
    <x v="6"/>
    <x v="0"/>
    <x v="0"/>
    <n v="0.35264403915671899"/>
    <n v="1.26951854096419"/>
  </r>
  <r>
    <x v="0"/>
    <x v="0"/>
    <x v="1"/>
    <x v="0"/>
    <x v="1"/>
    <x v="6"/>
    <x v="0"/>
    <x v="1"/>
    <n v="0.35264403915671899"/>
    <n v="1.26951854096419"/>
  </r>
  <r>
    <x v="0"/>
    <x v="0"/>
    <x v="1"/>
    <x v="0"/>
    <x v="1"/>
    <x v="6"/>
    <x v="0"/>
    <x v="2"/>
    <n v="0.35264403915671899"/>
    <n v="1.26951854096419"/>
  </r>
  <r>
    <x v="0"/>
    <x v="0"/>
    <x v="1"/>
    <x v="0"/>
    <x v="1"/>
    <x v="6"/>
    <x v="0"/>
    <x v="3"/>
    <n v="0.35264403915671899"/>
    <n v="1.26951854096419"/>
  </r>
  <r>
    <x v="0"/>
    <x v="0"/>
    <x v="1"/>
    <x v="0"/>
    <x v="1"/>
    <x v="6"/>
    <x v="0"/>
    <x v="4"/>
    <n v="2.5145062727999501"/>
    <n v="9.0522225820798106"/>
  </r>
  <r>
    <x v="0"/>
    <x v="0"/>
    <x v="1"/>
    <x v="0"/>
    <x v="1"/>
    <x v="6"/>
    <x v="0"/>
    <x v="5"/>
    <n v="2.5145062727999501"/>
    <n v="9.0522225820798106"/>
  </r>
  <r>
    <x v="0"/>
    <x v="0"/>
    <x v="1"/>
    <x v="0"/>
    <x v="1"/>
    <x v="6"/>
    <x v="0"/>
    <x v="6"/>
    <n v="47.931985530435199"/>
    <n v="172.55514790956701"/>
  </r>
  <r>
    <x v="0"/>
    <x v="0"/>
    <x v="1"/>
    <x v="0"/>
    <x v="1"/>
    <x v="6"/>
    <x v="0"/>
    <x v="7"/>
    <n v="25.7481330088204"/>
    <n v="92.693278831753403"/>
  </r>
  <r>
    <x v="0"/>
    <x v="0"/>
    <x v="1"/>
    <x v="0"/>
    <x v="1"/>
    <x v="6"/>
    <x v="0"/>
    <x v="8"/>
    <n v="34.3770114784732"/>
    <n v="123.757241322504"/>
  </r>
  <r>
    <x v="0"/>
    <x v="0"/>
    <x v="1"/>
    <x v="0"/>
    <x v="1"/>
    <x v="6"/>
    <x v="0"/>
    <x v="9"/>
    <n v="34.3770114784732"/>
    <n v="123.757241322504"/>
  </r>
  <r>
    <x v="0"/>
    <x v="0"/>
    <x v="1"/>
    <x v="0"/>
    <x v="1"/>
    <x v="6"/>
    <x v="0"/>
    <x v="10"/>
    <n v="2.5145062727999501"/>
    <n v="9.0522225820798106"/>
  </r>
  <r>
    <x v="0"/>
    <x v="0"/>
    <x v="1"/>
    <x v="0"/>
    <x v="1"/>
    <x v="6"/>
    <x v="0"/>
    <x v="11"/>
    <n v="0.35264403915671899"/>
    <n v="1.26951854096419"/>
  </r>
  <r>
    <x v="0"/>
    <x v="0"/>
    <x v="1"/>
    <x v="0"/>
    <x v="1"/>
    <x v="6"/>
    <x v="0"/>
    <x v="12"/>
    <n v="0.35264403915671899"/>
    <n v="1.26951854096419"/>
  </r>
  <r>
    <x v="0"/>
    <x v="0"/>
    <x v="1"/>
    <x v="0"/>
    <x v="1"/>
    <x v="6"/>
    <x v="0"/>
    <x v="13"/>
    <n v="2.9813007186247602"/>
    <n v="10.7326825870491"/>
  </r>
  <r>
    <x v="0"/>
    <x v="0"/>
    <x v="1"/>
    <x v="0"/>
    <x v="1"/>
    <x v="6"/>
    <x v="0"/>
    <x v="14"/>
    <n v="2.9813007186247602"/>
    <n v="10.7326825870491"/>
  </r>
  <r>
    <x v="0"/>
    <x v="0"/>
    <x v="1"/>
    <x v="0"/>
    <x v="1"/>
    <x v="6"/>
    <x v="0"/>
    <x v="15"/>
    <n v="2.9813007186247602"/>
    <n v="10.7326825870491"/>
  </r>
  <r>
    <x v="0"/>
    <x v="0"/>
    <x v="1"/>
    <x v="0"/>
    <x v="1"/>
    <x v="6"/>
    <x v="0"/>
    <x v="16"/>
    <n v="8.3721822302836699"/>
    <n v="30.1398560290212"/>
  </r>
  <r>
    <x v="0"/>
    <x v="0"/>
    <x v="1"/>
    <x v="0"/>
    <x v="1"/>
    <x v="6"/>
    <x v="0"/>
    <x v="17"/>
    <n v="59.200258468880101"/>
    <n v="213.120930487968"/>
  </r>
  <r>
    <x v="0"/>
    <x v="0"/>
    <x v="1"/>
    <x v="0"/>
    <x v="1"/>
    <x v="6"/>
    <x v="0"/>
    <x v="18"/>
    <n v="76.926396819478995"/>
    <n v="276.935028550124"/>
  </r>
  <r>
    <x v="0"/>
    <x v="0"/>
    <x v="1"/>
    <x v="0"/>
    <x v="1"/>
    <x v="6"/>
    <x v="0"/>
    <x v="19"/>
    <n v="76.926396819478995"/>
    <n v="276.935028550124"/>
  </r>
  <r>
    <x v="0"/>
    <x v="0"/>
    <x v="1"/>
    <x v="0"/>
    <x v="1"/>
    <x v="6"/>
    <x v="0"/>
    <x v="20"/>
    <n v="59.200258468880101"/>
    <n v="213.120930487968"/>
  </r>
  <r>
    <x v="0"/>
    <x v="0"/>
    <x v="1"/>
    <x v="0"/>
    <x v="1"/>
    <x v="6"/>
    <x v="0"/>
    <x v="21"/>
    <n v="6.4916250092577297"/>
    <n v="23.369850033327801"/>
  </r>
  <r>
    <x v="0"/>
    <x v="0"/>
    <x v="1"/>
    <x v="0"/>
    <x v="1"/>
    <x v="6"/>
    <x v="0"/>
    <x v="22"/>
    <n v="6.4916250092577297"/>
    <n v="23.369850033327801"/>
  </r>
  <r>
    <x v="0"/>
    <x v="0"/>
    <x v="1"/>
    <x v="0"/>
    <x v="1"/>
    <x v="6"/>
    <x v="0"/>
    <x v="23"/>
    <n v="0.35264403915671899"/>
    <n v="1.26951854096419"/>
  </r>
  <r>
    <x v="0"/>
    <x v="0"/>
    <x v="1"/>
    <x v="0"/>
    <x v="1"/>
    <x v="7"/>
    <x v="0"/>
    <x v="0"/>
    <n v="0.35264403915671899"/>
    <n v="1.26951854096419"/>
  </r>
  <r>
    <x v="0"/>
    <x v="0"/>
    <x v="1"/>
    <x v="0"/>
    <x v="1"/>
    <x v="7"/>
    <x v="0"/>
    <x v="1"/>
    <n v="0.35264403915671899"/>
    <n v="1.26951854096419"/>
  </r>
  <r>
    <x v="0"/>
    <x v="0"/>
    <x v="1"/>
    <x v="0"/>
    <x v="1"/>
    <x v="7"/>
    <x v="0"/>
    <x v="2"/>
    <n v="0.35264403915671899"/>
    <n v="1.26951854096419"/>
  </r>
  <r>
    <x v="0"/>
    <x v="0"/>
    <x v="1"/>
    <x v="0"/>
    <x v="1"/>
    <x v="7"/>
    <x v="0"/>
    <x v="3"/>
    <n v="0.35264403915671899"/>
    <n v="1.26951854096419"/>
  </r>
  <r>
    <x v="0"/>
    <x v="0"/>
    <x v="1"/>
    <x v="0"/>
    <x v="1"/>
    <x v="7"/>
    <x v="0"/>
    <x v="4"/>
    <n v="0.35264403915671899"/>
    <n v="1.26951854096419"/>
  </r>
  <r>
    <x v="0"/>
    <x v="0"/>
    <x v="1"/>
    <x v="0"/>
    <x v="1"/>
    <x v="7"/>
    <x v="0"/>
    <x v="5"/>
    <n v="0.35264403915671899"/>
    <n v="1.26951854096419"/>
  </r>
  <r>
    <x v="0"/>
    <x v="0"/>
    <x v="1"/>
    <x v="0"/>
    <x v="1"/>
    <x v="7"/>
    <x v="0"/>
    <x v="6"/>
    <n v="0.35264403915671899"/>
    <n v="1.26951854096419"/>
  </r>
  <r>
    <x v="0"/>
    <x v="0"/>
    <x v="1"/>
    <x v="0"/>
    <x v="1"/>
    <x v="7"/>
    <x v="0"/>
    <x v="7"/>
    <n v="2.2694182448784002"/>
    <n v="8.1699056815622608"/>
  </r>
  <r>
    <x v="0"/>
    <x v="0"/>
    <x v="1"/>
    <x v="0"/>
    <x v="1"/>
    <x v="7"/>
    <x v="0"/>
    <x v="8"/>
    <n v="34.3770114784732"/>
    <n v="123.757241322504"/>
  </r>
  <r>
    <x v="0"/>
    <x v="0"/>
    <x v="1"/>
    <x v="0"/>
    <x v="1"/>
    <x v="7"/>
    <x v="0"/>
    <x v="9"/>
    <n v="51.255195341454701"/>
    <n v="184.51870322923699"/>
  </r>
  <r>
    <x v="0"/>
    <x v="0"/>
    <x v="1"/>
    <x v="0"/>
    <x v="1"/>
    <x v="7"/>
    <x v="0"/>
    <x v="10"/>
    <n v="33.595311400212999"/>
    <n v="120.943121040767"/>
  </r>
  <r>
    <x v="0"/>
    <x v="0"/>
    <x v="1"/>
    <x v="0"/>
    <x v="1"/>
    <x v="7"/>
    <x v="0"/>
    <x v="11"/>
    <n v="51.255195341454701"/>
    <n v="184.51870322923699"/>
  </r>
  <r>
    <x v="0"/>
    <x v="0"/>
    <x v="1"/>
    <x v="0"/>
    <x v="1"/>
    <x v="7"/>
    <x v="0"/>
    <x v="12"/>
    <n v="2.5145062727999501"/>
    <n v="9.0522225820798106"/>
  </r>
  <r>
    <x v="0"/>
    <x v="0"/>
    <x v="1"/>
    <x v="0"/>
    <x v="1"/>
    <x v="7"/>
    <x v="0"/>
    <x v="13"/>
    <n v="2.9813007186247602"/>
    <n v="10.7326825870491"/>
  </r>
  <r>
    <x v="0"/>
    <x v="0"/>
    <x v="1"/>
    <x v="0"/>
    <x v="1"/>
    <x v="7"/>
    <x v="0"/>
    <x v="14"/>
    <n v="2.9813007186247602"/>
    <n v="10.7326825870491"/>
  </r>
  <r>
    <x v="0"/>
    <x v="0"/>
    <x v="1"/>
    <x v="0"/>
    <x v="1"/>
    <x v="7"/>
    <x v="0"/>
    <x v="15"/>
    <n v="34.3770114784732"/>
    <n v="123.757241322504"/>
  </r>
  <r>
    <x v="0"/>
    <x v="0"/>
    <x v="1"/>
    <x v="0"/>
    <x v="1"/>
    <x v="7"/>
    <x v="0"/>
    <x v="16"/>
    <n v="19.315159839387899"/>
    <n v="69.534575421796504"/>
  </r>
  <r>
    <x v="0"/>
    <x v="0"/>
    <x v="1"/>
    <x v="0"/>
    <x v="1"/>
    <x v="7"/>
    <x v="0"/>
    <x v="17"/>
    <n v="51.255195341454701"/>
    <n v="184.51870322923699"/>
  </r>
  <r>
    <x v="0"/>
    <x v="0"/>
    <x v="1"/>
    <x v="0"/>
    <x v="1"/>
    <x v="7"/>
    <x v="0"/>
    <x v="18"/>
    <n v="51.255195341454701"/>
    <n v="184.51870322923699"/>
  </r>
  <r>
    <x v="0"/>
    <x v="0"/>
    <x v="1"/>
    <x v="0"/>
    <x v="1"/>
    <x v="7"/>
    <x v="0"/>
    <x v="19"/>
    <n v="51.255195341454701"/>
    <n v="184.51870322923699"/>
  </r>
  <r>
    <x v="0"/>
    <x v="0"/>
    <x v="1"/>
    <x v="0"/>
    <x v="1"/>
    <x v="7"/>
    <x v="0"/>
    <x v="20"/>
    <n v="50.507414379572502"/>
    <n v="181.82669176646101"/>
  </r>
  <r>
    <x v="0"/>
    <x v="0"/>
    <x v="1"/>
    <x v="0"/>
    <x v="1"/>
    <x v="7"/>
    <x v="0"/>
    <x v="21"/>
    <n v="6.4916250092577297"/>
    <n v="23.369850033327801"/>
  </r>
  <r>
    <x v="0"/>
    <x v="0"/>
    <x v="1"/>
    <x v="0"/>
    <x v="1"/>
    <x v="7"/>
    <x v="0"/>
    <x v="22"/>
    <n v="6.4916250092577297"/>
    <n v="23.369850033327801"/>
  </r>
  <r>
    <x v="0"/>
    <x v="0"/>
    <x v="1"/>
    <x v="0"/>
    <x v="1"/>
    <x v="7"/>
    <x v="0"/>
    <x v="23"/>
    <n v="0.35264403915671899"/>
    <n v="1.26951854096419"/>
  </r>
  <r>
    <x v="0"/>
    <x v="0"/>
    <x v="1"/>
    <x v="0"/>
    <x v="1"/>
    <x v="8"/>
    <x v="0"/>
    <x v="0"/>
    <n v="0.35264403915671899"/>
    <n v="1.26951854096419"/>
  </r>
  <r>
    <x v="0"/>
    <x v="0"/>
    <x v="1"/>
    <x v="0"/>
    <x v="1"/>
    <x v="8"/>
    <x v="0"/>
    <x v="1"/>
    <n v="0.35264403915671899"/>
    <n v="1.26951854096419"/>
  </r>
  <r>
    <x v="0"/>
    <x v="0"/>
    <x v="1"/>
    <x v="0"/>
    <x v="1"/>
    <x v="8"/>
    <x v="0"/>
    <x v="2"/>
    <n v="0.35264403915671899"/>
    <n v="1.26951854096419"/>
  </r>
  <r>
    <x v="0"/>
    <x v="0"/>
    <x v="1"/>
    <x v="0"/>
    <x v="1"/>
    <x v="8"/>
    <x v="0"/>
    <x v="3"/>
    <n v="0.35264403915671899"/>
    <n v="1.26951854096419"/>
  </r>
  <r>
    <x v="0"/>
    <x v="0"/>
    <x v="1"/>
    <x v="0"/>
    <x v="1"/>
    <x v="8"/>
    <x v="0"/>
    <x v="4"/>
    <n v="0.35264403915671899"/>
    <n v="1.26951854096419"/>
  </r>
  <r>
    <x v="0"/>
    <x v="0"/>
    <x v="1"/>
    <x v="0"/>
    <x v="1"/>
    <x v="8"/>
    <x v="0"/>
    <x v="5"/>
    <n v="0.35264403915671899"/>
    <n v="1.26951854096419"/>
  </r>
  <r>
    <x v="0"/>
    <x v="0"/>
    <x v="1"/>
    <x v="0"/>
    <x v="1"/>
    <x v="8"/>
    <x v="0"/>
    <x v="6"/>
    <n v="0.35264403915671899"/>
    <n v="1.26951854096419"/>
  </r>
  <r>
    <x v="0"/>
    <x v="0"/>
    <x v="1"/>
    <x v="0"/>
    <x v="1"/>
    <x v="8"/>
    <x v="0"/>
    <x v="7"/>
    <n v="2.2694182448784002"/>
    <n v="8.1699056815622608"/>
  </r>
  <r>
    <x v="0"/>
    <x v="0"/>
    <x v="1"/>
    <x v="0"/>
    <x v="1"/>
    <x v="8"/>
    <x v="0"/>
    <x v="8"/>
    <n v="34.3770114784732"/>
    <n v="123.757241322504"/>
  </r>
  <r>
    <x v="0"/>
    <x v="0"/>
    <x v="1"/>
    <x v="0"/>
    <x v="1"/>
    <x v="8"/>
    <x v="0"/>
    <x v="9"/>
    <n v="9.8579738865265192"/>
    <n v="35.4887059914955"/>
  </r>
  <r>
    <x v="0"/>
    <x v="0"/>
    <x v="1"/>
    <x v="0"/>
    <x v="1"/>
    <x v="8"/>
    <x v="0"/>
    <x v="10"/>
    <n v="2.5145062727999501"/>
    <n v="9.0522225820798106"/>
  </r>
  <r>
    <x v="0"/>
    <x v="0"/>
    <x v="1"/>
    <x v="0"/>
    <x v="1"/>
    <x v="8"/>
    <x v="0"/>
    <x v="11"/>
    <n v="0.80047034349666002"/>
    <n v="2.8816932365879699"/>
  </r>
  <r>
    <x v="0"/>
    <x v="0"/>
    <x v="1"/>
    <x v="0"/>
    <x v="1"/>
    <x v="8"/>
    <x v="0"/>
    <x v="12"/>
    <n v="2.5145062727999501"/>
    <n v="9.0522225820798106"/>
  </r>
  <r>
    <x v="0"/>
    <x v="0"/>
    <x v="1"/>
    <x v="0"/>
    <x v="1"/>
    <x v="8"/>
    <x v="0"/>
    <x v="13"/>
    <n v="34.3770114784732"/>
    <n v="123.757241322504"/>
  </r>
  <r>
    <x v="0"/>
    <x v="0"/>
    <x v="1"/>
    <x v="0"/>
    <x v="1"/>
    <x v="8"/>
    <x v="0"/>
    <x v="14"/>
    <n v="44.360437773770499"/>
    <n v="159.69757598557399"/>
  </r>
  <r>
    <x v="0"/>
    <x v="0"/>
    <x v="1"/>
    <x v="0"/>
    <x v="1"/>
    <x v="8"/>
    <x v="0"/>
    <x v="15"/>
    <n v="34.3770114784732"/>
    <n v="123.757241322504"/>
  </r>
  <r>
    <x v="0"/>
    <x v="0"/>
    <x v="1"/>
    <x v="0"/>
    <x v="1"/>
    <x v="8"/>
    <x v="0"/>
    <x v="16"/>
    <n v="54.749212801725903"/>
    <n v="197.09716608621301"/>
  </r>
  <r>
    <x v="0"/>
    <x v="0"/>
    <x v="1"/>
    <x v="0"/>
    <x v="1"/>
    <x v="8"/>
    <x v="0"/>
    <x v="17"/>
    <n v="54.749212801725903"/>
    <n v="197.09716608621301"/>
  </r>
  <r>
    <x v="0"/>
    <x v="0"/>
    <x v="1"/>
    <x v="0"/>
    <x v="1"/>
    <x v="8"/>
    <x v="0"/>
    <x v="18"/>
    <n v="54.749212801725903"/>
    <n v="197.09716608621301"/>
  </r>
  <r>
    <x v="0"/>
    <x v="0"/>
    <x v="1"/>
    <x v="0"/>
    <x v="1"/>
    <x v="8"/>
    <x v="0"/>
    <x v="19"/>
    <n v="54.749212801725903"/>
    <n v="197.09716608621301"/>
  </r>
  <r>
    <x v="0"/>
    <x v="0"/>
    <x v="1"/>
    <x v="0"/>
    <x v="1"/>
    <x v="8"/>
    <x v="0"/>
    <x v="20"/>
    <n v="54.749212801725903"/>
    <n v="197.09716608621301"/>
  </r>
  <r>
    <x v="0"/>
    <x v="0"/>
    <x v="1"/>
    <x v="0"/>
    <x v="1"/>
    <x v="8"/>
    <x v="0"/>
    <x v="21"/>
    <n v="6.4916250092577297"/>
    <n v="23.369850033327801"/>
  </r>
  <r>
    <x v="0"/>
    <x v="0"/>
    <x v="1"/>
    <x v="0"/>
    <x v="1"/>
    <x v="8"/>
    <x v="0"/>
    <x v="22"/>
    <n v="6.4916250092577297"/>
    <n v="23.369850033327801"/>
  </r>
  <r>
    <x v="0"/>
    <x v="0"/>
    <x v="1"/>
    <x v="0"/>
    <x v="1"/>
    <x v="8"/>
    <x v="0"/>
    <x v="23"/>
    <n v="0.35264403915671899"/>
    <n v="1.26951854096419"/>
  </r>
  <r>
    <x v="0"/>
    <x v="0"/>
    <x v="1"/>
    <x v="0"/>
    <x v="1"/>
    <x v="5"/>
    <x v="0"/>
    <x v="0"/>
    <n v="0.35266613287596699"/>
    <n v="1.2695980783534799"/>
  </r>
  <r>
    <x v="0"/>
    <x v="0"/>
    <x v="1"/>
    <x v="0"/>
    <x v="1"/>
    <x v="5"/>
    <x v="0"/>
    <x v="1"/>
    <n v="0.35266613287596699"/>
    <n v="1.2695980783534799"/>
  </r>
  <r>
    <x v="0"/>
    <x v="0"/>
    <x v="1"/>
    <x v="0"/>
    <x v="1"/>
    <x v="5"/>
    <x v="0"/>
    <x v="2"/>
    <n v="0.35266613287596699"/>
    <n v="1.2695980783534799"/>
  </r>
  <r>
    <x v="0"/>
    <x v="0"/>
    <x v="1"/>
    <x v="0"/>
    <x v="1"/>
    <x v="5"/>
    <x v="0"/>
    <x v="3"/>
    <n v="0.35266613287596699"/>
    <n v="1.2695980783534799"/>
  </r>
  <r>
    <x v="0"/>
    <x v="0"/>
    <x v="1"/>
    <x v="0"/>
    <x v="1"/>
    <x v="5"/>
    <x v="0"/>
    <x v="4"/>
    <n v="0.35266613287596699"/>
    <n v="1.2695980783534799"/>
  </r>
  <r>
    <x v="0"/>
    <x v="0"/>
    <x v="1"/>
    <x v="0"/>
    <x v="1"/>
    <x v="5"/>
    <x v="0"/>
    <x v="5"/>
    <n v="0.35266613287596699"/>
    <n v="1.2695980783534799"/>
  </r>
  <r>
    <x v="0"/>
    <x v="0"/>
    <x v="1"/>
    <x v="0"/>
    <x v="1"/>
    <x v="5"/>
    <x v="0"/>
    <x v="6"/>
    <n v="0.35268919521338599"/>
    <n v="1.26968110276819"/>
  </r>
  <r>
    <x v="0"/>
    <x v="0"/>
    <x v="1"/>
    <x v="0"/>
    <x v="1"/>
    <x v="5"/>
    <x v="0"/>
    <x v="7"/>
    <n v="4.2702715488700296"/>
    <n v="15.372977575932101"/>
  </r>
  <r>
    <x v="0"/>
    <x v="0"/>
    <x v="1"/>
    <x v="0"/>
    <x v="1"/>
    <x v="5"/>
    <x v="0"/>
    <x v="8"/>
    <n v="54.749212801725903"/>
    <n v="197.09716608621301"/>
  </r>
  <r>
    <x v="0"/>
    <x v="0"/>
    <x v="1"/>
    <x v="0"/>
    <x v="1"/>
    <x v="5"/>
    <x v="0"/>
    <x v="9"/>
    <n v="54.749212801725903"/>
    <n v="197.09716608621301"/>
  </r>
  <r>
    <x v="0"/>
    <x v="0"/>
    <x v="1"/>
    <x v="0"/>
    <x v="1"/>
    <x v="5"/>
    <x v="0"/>
    <x v="10"/>
    <n v="34.1721610458942"/>
    <n v="123.019779765219"/>
  </r>
  <r>
    <x v="0"/>
    <x v="0"/>
    <x v="1"/>
    <x v="0"/>
    <x v="1"/>
    <x v="5"/>
    <x v="0"/>
    <x v="11"/>
    <n v="34.1721610458942"/>
    <n v="123.019779765219"/>
  </r>
  <r>
    <x v="0"/>
    <x v="0"/>
    <x v="1"/>
    <x v="0"/>
    <x v="1"/>
    <x v="5"/>
    <x v="0"/>
    <x v="12"/>
    <n v="34.1721610458942"/>
    <n v="123.019779765219"/>
  </r>
  <r>
    <x v="0"/>
    <x v="0"/>
    <x v="1"/>
    <x v="0"/>
    <x v="1"/>
    <x v="5"/>
    <x v="0"/>
    <x v="13"/>
    <n v="5.7252463751699896"/>
    <n v="20.610886950611999"/>
  </r>
  <r>
    <x v="0"/>
    <x v="0"/>
    <x v="1"/>
    <x v="0"/>
    <x v="1"/>
    <x v="5"/>
    <x v="0"/>
    <x v="14"/>
    <n v="5.7252463751699896"/>
    <n v="20.610886950611999"/>
  </r>
  <r>
    <x v="0"/>
    <x v="0"/>
    <x v="1"/>
    <x v="0"/>
    <x v="1"/>
    <x v="5"/>
    <x v="0"/>
    <x v="15"/>
    <n v="17.3624213319181"/>
    <n v="62.504716794905001"/>
  </r>
  <r>
    <x v="0"/>
    <x v="0"/>
    <x v="1"/>
    <x v="0"/>
    <x v="1"/>
    <x v="5"/>
    <x v="0"/>
    <x v="16"/>
    <n v="50.8048080768163"/>
    <n v="182.89730907653899"/>
  </r>
  <r>
    <x v="0"/>
    <x v="0"/>
    <x v="1"/>
    <x v="0"/>
    <x v="1"/>
    <x v="5"/>
    <x v="0"/>
    <x v="17"/>
    <n v="54.749212801725903"/>
    <n v="197.09716608621301"/>
  </r>
  <r>
    <x v="0"/>
    <x v="0"/>
    <x v="1"/>
    <x v="0"/>
    <x v="1"/>
    <x v="5"/>
    <x v="0"/>
    <x v="18"/>
    <n v="54.749212801725903"/>
    <n v="197.09716608621301"/>
  </r>
  <r>
    <x v="0"/>
    <x v="0"/>
    <x v="1"/>
    <x v="0"/>
    <x v="1"/>
    <x v="5"/>
    <x v="0"/>
    <x v="19"/>
    <n v="54.749212801725903"/>
    <n v="197.09716608621301"/>
  </r>
  <r>
    <x v="0"/>
    <x v="0"/>
    <x v="1"/>
    <x v="0"/>
    <x v="1"/>
    <x v="5"/>
    <x v="0"/>
    <x v="20"/>
    <n v="31.3729036140959"/>
    <n v="112.942453010745"/>
  </r>
  <r>
    <x v="0"/>
    <x v="0"/>
    <x v="1"/>
    <x v="0"/>
    <x v="1"/>
    <x v="5"/>
    <x v="0"/>
    <x v="21"/>
    <n v="12.899792263540901"/>
    <n v="46.4392521487474"/>
  </r>
  <r>
    <x v="0"/>
    <x v="0"/>
    <x v="1"/>
    <x v="0"/>
    <x v="1"/>
    <x v="5"/>
    <x v="0"/>
    <x v="22"/>
    <n v="12.899792263540901"/>
    <n v="46.4392521487474"/>
  </r>
  <r>
    <x v="0"/>
    <x v="0"/>
    <x v="1"/>
    <x v="0"/>
    <x v="1"/>
    <x v="5"/>
    <x v="0"/>
    <x v="23"/>
    <n v="0.35268919521338599"/>
    <n v="1.26968110276819"/>
  </r>
  <r>
    <x v="0"/>
    <x v="0"/>
    <x v="1"/>
    <x v="0"/>
    <x v="1"/>
    <x v="9"/>
    <x v="0"/>
    <x v="0"/>
    <n v="0.35264403915671899"/>
    <n v="1.26951854096419"/>
  </r>
  <r>
    <x v="0"/>
    <x v="0"/>
    <x v="1"/>
    <x v="0"/>
    <x v="1"/>
    <x v="9"/>
    <x v="0"/>
    <x v="1"/>
    <n v="0.35264403915671899"/>
    <n v="1.26951854096419"/>
  </r>
  <r>
    <x v="0"/>
    <x v="0"/>
    <x v="1"/>
    <x v="0"/>
    <x v="1"/>
    <x v="9"/>
    <x v="0"/>
    <x v="2"/>
    <n v="0.35264403915671899"/>
    <n v="1.26951854096419"/>
  </r>
  <r>
    <x v="0"/>
    <x v="0"/>
    <x v="1"/>
    <x v="0"/>
    <x v="1"/>
    <x v="9"/>
    <x v="0"/>
    <x v="3"/>
    <n v="0.35264403915671899"/>
    <n v="1.26951854096419"/>
  </r>
  <r>
    <x v="0"/>
    <x v="0"/>
    <x v="1"/>
    <x v="0"/>
    <x v="1"/>
    <x v="9"/>
    <x v="0"/>
    <x v="4"/>
    <n v="0.35264403915671899"/>
    <n v="1.26951854096419"/>
  </r>
  <r>
    <x v="0"/>
    <x v="0"/>
    <x v="1"/>
    <x v="0"/>
    <x v="1"/>
    <x v="9"/>
    <x v="0"/>
    <x v="5"/>
    <n v="0.35264403915671899"/>
    <n v="1.26951854096419"/>
  </r>
  <r>
    <x v="0"/>
    <x v="0"/>
    <x v="1"/>
    <x v="0"/>
    <x v="1"/>
    <x v="9"/>
    <x v="0"/>
    <x v="6"/>
    <n v="0.35264403915671899"/>
    <n v="1.26951854096419"/>
  </r>
  <r>
    <x v="0"/>
    <x v="0"/>
    <x v="1"/>
    <x v="0"/>
    <x v="1"/>
    <x v="9"/>
    <x v="0"/>
    <x v="7"/>
    <n v="2.2694182448784002"/>
    <n v="8.1699056815622608"/>
  </r>
  <r>
    <x v="0"/>
    <x v="0"/>
    <x v="1"/>
    <x v="0"/>
    <x v="1"/>
    <x v="9"/>
    <x v="0"/>
    <x v="8"/>
    <n v="34.3770114784732"/>
    <n v="123.757241322504"/>
  </r>
  <r>
    <x v="0"/>
    <x v="0"/>
    <x v="1"/>
    <x v="0"/>
    <x v="1"/>
    <x v="9"/>
    <x v="0"/>
    <x v="9"/>
    <n v="68.068868915282494"/>
    <n v="245.047928095017"/>
  </r>
  <r>
    <x v="0"/>
    <x v="0"/>
    <x v="1"/>
    <x v="0"/>
    <x v="1"/>
    <x v="9"/>
    <x v="0"/>
    <x v="10"/>
    <n v="2.5145062727999501"/>
    <n v="9.0522225820798106"/>
  </r>
  <r>
    <x v="0"/>
    <x v="0"/>
    <x v="1"/>
    <x v="0"/>
    <x v="1"/>
    <x v="9"/>
    <x v="0"/>
    <x v="11"/>
    <n v="65.522326895039896"/>
    <n v="235.880376822144"/>
  </r>
  <r>
    <x v="0"/>
    <x v="0"/>
    <x v="1"/>
    <x v="0"/>
    <x v="1"/>
    <x v="9"/>
    <x v="0"/>
    <x v="12"/>
    <n v="2.5145062727999501"/>
    <n v="9.0522225820798106"/>
  </r>
  <r>
    <x v="0"/>
    <x v="0"/>
    <x v="1"/>
    <x v="0"/>
    <x v="1"/>
    <x v="9"/>
    <x v="0"/>
    <x v="13"/>
    <n v="2.9813007186247602"/>
    <n v="10.7326825870491"/>
  </r>
  <r>
    <x v="0"/>
    <x v="0"/>
    <x v="1"/>
    <x v="0"/>
    <x v="1"/>
    <x v="9"/>
    <x v="0"/>
    <x v="14"/>
    <n v="2.9813007186247602"/>
    <n v="10.7326825870491"/>
  </r>
  <r>
    <x v="0"/>
    <x v="0"/>
    <x v="1"/>
    <x v="0"/>
    <x v="1"/>
    <x v="9"/>
    <x v="0"/>
    <x v="15"/>
    <n v="27.951780127304499"/>
    <n v="100.626408458296"/>
  </r>
  <r>
    <x v="0"/>
    <x v="0"/>
    <x v="1"/>
    <x v="0"/>
    <x v="1"/>
    <x v="9"/>
    <x v="0"/>
    <x v="16"/>
    <n v="19.315159839387899"/>
    <n v="69.534575421796504"/>
  </r>
  <r>
    <x v="0"/>
    <x v="0"/>
    <x v="1"/>
    <x v="0"/>
    <x v="1"/>
    <x v="9"/>
    <x v="0"/>
    <x v="17"/>
    <n v="68.068868915282494"/>
    <n v="245.047928095017"/>
  </r>
  <r>
    <x v="0"/>
    <x v="0"/>
    <x v="1"/>
    <x v="0"/>
    <x v="1"/>
    <x v="9"/>
    <x v="0"/>
    <x v="18"/>
    <n v="68.068868915282494"/>
    <n v="245.047928095017"/>
  </r>
  <r>
    <x v="0"/>
    <x v="0"/>
    <x v="1"/>
    <x v="0"/>
    <x v="1"/>
    <x v="9"/>
    <x v="0"/>
    <x v="19"/>
    <n v="68.068868915282494"/>
    <n v="245.047928095017"/>
  </r>
  <r>
    <x v="0"/>
    <x v="0"/>
    <x v="1"/>
    <x v="0"/>
    <x v="1"/>
    <x v="9"/>
    <x v="0"/>
    <x v="20"/>
    <n v="6.4916250092577297"/>
    <n v="23.369850033327801"/>
  </r>
  <r>
    <x v="0"/>
    <x v="0"/>
    <x v="1"/>
    <x v="0"/>
    <x v="1"/>
    <x v="9"/>
    <x v="0"/>
    <x v="21"/>
    <n v="6.4916250092577297"/>
    <n v="23.369850033327801"/>
  </r>
  <r>
    <x v="0"/>
    <x v="0"/>
    <x v="1"/>
    <x v="0"/>
    <x v="1"/>
    <x v="9"/>
    <x v="0"/>
    <x v="22"/>
    <n v="6.4916250092577297"/>
    <n v="23.369850033327801"/>
  </r>
  <r>
    <x v="0"/>
    <x v="0"/>
    <x v="1"/>
    <x v="0"/>
    <x v="1"/>
    <x v="9"/>
    <x v="0"/>
    <x v="23"/>
    <n v="0.35264403915671899"/>
    <n v="1.26951854096419"/>
  </r>
  <r>
    <x v="0"/>
    <x v="0"/>
    <x v="0"/>
    <x v="1"/>
    <x v="2"/>
    <x v="10"/>
    <x v="0"/>
    <x v="0"/>
    <n v="10.9507258910012"/>
    <n v="39.422613207604101"/>
  </r>
  <r>
    <x v="0"/>
    <x v="0"/>
    <x v="0"/>
    <x v="1"/>
    <x v="2"/>
    <x v="10"/>
    <x v="0"/>
    <x v="1"/>
    <n v="10.9507258910012"/>
    <n v="39.422613207604101"/>
  </r>
  <r>
    <x v="0"/>
    <x v="0"/>
    <x v="0"/>
    <x v="1"/>
    <x v="2"/>
    <x v="10"/>
    <x v="0"/>
    <x v="2"/>
    <n v="10.9507258910012"/>
    <n v="39.422613207604101"/>
  </r>
  <r>
    <x v="0"/>
    <x v="0"/>
    <x v="0"/>
    <x v="1"/>
    <x v="2"/>
    <x v="10"/>
    <x v="0"/>
    <x v="3"/>
    <n v="10.9507258910012"/>
    <n v="39.422613207604101"/>
  </r>
  <r>
    <x v="0"/>
    <x v="0"/>
    <x v="0"/>
    <x v="1"/>
    <x v="2"/>
    <x v="10"/>
    <x v="0"/>
    <x v="4"/>
    <n v="10.9507258910012"/>
    <n v="39.422613207604101"/>
  </r>
  <r>
    <x v="0"/>
    <x v="0"/>
    <x v="0"/>
    <x v="1"/>
    <x v="2"/>
    <x v="10"/>
    <x v="0"/>
    <x v="5"/>
    <n v="10.9507258910012"/>
    <n v="39.422613207604101"/>
  </r>
  <r>
    <x v="0"/>
    <x v="0"/>
    <x v="0"/>
    <x v="1"/>
    <x v="2"/>
    <x v="10"/>
    <x v="0"/>
    <x v="6"/>
    <n v="32.260473780595099"/>
    <n v="116.13770561014201"/>
  </r>
  <r>
    <x v="0"/>
    <x v="0"/>
    <x v="0"/>
    <x v="1"/>
    <x v="2"/>
    <x v="10"/>
    <x v="0"/>
    <x v="7"/>
    <n v="32.260473780595099"/>
    <n v="116.13770561014201"/>
  </r>
  <r>
    <x v="0"/>
    <x v="0"/>
    <x v="0"/>
    <x v="1"/>
    <x v="2"/>
    <x v="10"/>
    <x v="0"/>
    <x v="8"/>
    <n v="32.260473780595099"/>
    <n v="116.13770561014201"/>
  </r>
  <r>
    <x v="0"/>
    <x v="0"/>
    <x v="0"/>
    <x v="1"/>
    <x v="2"/>
    <x v="10"/>
    <x v="0"/>
    <x v="9"/>
    <n v="32.260473780595099"/>
    <n v="116.13770561014201"/>
  </r>
  <r>
    <x v="0"/>
    <x v="0"/>
    <x v="0"/>
    <x v="1"/>
    <x v="2"/>
    <x v="10"/>
    <x v="0"/>
    <x v="10"/>
    <n v="32.260473780595099"/>
    <n v="116.13770561014201"/>
  </r>
  <r>
    <x v="0"/>
    <x v="0"/>
    <x v="0"/>
    <x v="1"/>
    <x v="2"/>
    <x v="10"/>
    <x v="0"/>
    <x v="11"/>
    <n v="32.260473780595099"/>
    <n v="116.13770561014201"/>
  </r>
  <r>
    <x v="0"/>
    <x v="0"/>
    <x v="0"/>
    <x v="1"/>
    <x v="2"/>
    <x v="10"/>
    <x v="0"/>
    <x v="12"/>
    <n v="32.260473780595099"/>
    <n v="116.13770561014201"/>
  </r>
  <r>
    <x v="0"/>
    <x v="0"/>
    <x v="0"/>
    <x v="1"/>
    <x v="2"/>
    <x v="10"/>
    <x v="0"/>
    <x v="13"/>
    <n v="32.260473780595099"/>
    <n v="116.13770561014201"/>
  </r>
  <r>
    <x v="0"/>
    <x v="0"/>
    <x v="0"/>
    <x v="1"/>
    <x v="2"/>
    <x v="10"/>
    <x v="0"/>
    <x v="14"/>
    <n v="32.260473780595099"/>
    <n v="116.13770561014201"/>
  </r>
  <r>
    <x v="0"/>
    <x v="0"/>
    <x v="0"/>
    <x v="1"/>
    <x v="2"/>
    <x v="10"/>
    <x v="0"/>
    <x v="15"/>
    <n v="10.9507258910012"/>
    <n v="39.422613207604101"/>
  </r>
  <r>
    <x v="0"/>
    <x v="0"/>
    <x v="0"/>
    <x v="1"/>
    <x v="2"/>
    <x v="10"/>
    <x v="0"/>
    <x v="16"/>
    <n v="10.9507258910012"/>
    <n v="39.422613207604101"/>
  </r>
  <r>
    <x v="0"/>
    <x v="0"/>
    <x v="0"/>
    <x v="1"/>
    <x v="2"/>
    <x v="10"/>
    <x v="0"/>
    <x v="17"/>
    <n v="10.9507258910012"/>
    <n v="39.422613207604101"/>
  </r>
  <r>
    <x v="0"/>
    <x v="0"/>
    <x v="0"/>
    <x v="1"/>
    <x v="2"/>
    <x v="10"/>
    <x v="0"/>
    <x v="18"/>
    <n v="10.9507258910012"/>
    <n v="39.422613207604101"/>
  </r>
  <r>
    <x v="0"/>
    <x v="0"/>
    <x v="0"/>
    <x v="1"/>
    <x v="2"/>
    <x v="10"/>
    <x v="0"/>
    <x v="19"/>
    <n v="10.9507258910012"/>
    <n v="39.422613207604101"/>
  </r>
  <r>
    <x v="0"/>
    <x v="0"/>
    <x v="0"/>
    <x v="1"/>
    <x v="2"/>
    <x v="10"/>
    <x v="0"/>
    <x v="20"/>
    <n v="10.9507258910012"/>
    <n v="39.422613207604101"/>
  </r>
  <r>
    <x v="0"/>
    <x v="0"/>
    <x v="0"/>
    <x v="1"/>
    <x v="2"/>
    <x v="10"/>
    <x v="0"/>
    <x v="21"/>
    <n v="10.9507258910012"/>
    <n v="39.422613207604101"/>
  </r>
  <r>
    <x v="0"/>
    <x v="0"/>
    <x v="0"/>
    <x v="1"/>
    <x v="2"/>
    <x v="10"/>
    <x v="0"/>
    <x v="22"/>
    <n v="10.9507258910012"/>
    <n v="39.422613207604101"/>
  </r>
  <r>
    <x v="0"/>
    <x v="0"/>
    <x v="0"/>
    <x v="1"/>
    <x v="2"/>
    <x v="10"/>
    <x v="0"/>
    <x v="23"/>
    <n v="10.9507258910012"/>
    <n v="39.422613207604101"/>
  </r>
  <r>
    <x v="0"/>
    <x v="0"/>
    <x v="0"/>
    <x v="1"/>
    <x v="2"/>
    <x v="11"/>
    <x v="0"/>
    <x v="0"/>
    <n v="6.2136277411764702"/>
    <n v="22.369059868235301"/>
  </r>
  <r>
    <x v="0"/>
    <x v="0"/>
    <x v="0"/>
    <x v="1"/>
    <x v="2"/>
    <x v="11"/>
    <x v="0"/>
    <x v="1"/>
    <n v="6.2136277411764702"/>
    <n v="22.369059868235301"/>
  </r>
  <r>
    <x v="0"/>
    <x v="0"/>
    <x v="0"/>
    <x v="1"/>
    <x v="2"/>
    <x v="11"/>
    <x v="0"/>
    <x v="2"/>
    <n v="6.2136277411764702"/>
    <n v="22.369059868235301"/>
  </r>
  <r>
    <x v="0"/>
    <x v="0"/>
    <x v="0"/>
    <x v="1"/>
    <x v="2"/>
    <x v="11"/>
    <x v="0"/>
    <x v="3"/>
    <n v="6.2136277411764702"/>
    <n v="22.369059868235301"/>
  </r>
  <r>
    <x v="0"/>
    <x v="0"/>
    <x v="0"/>
    <x v="1"/>
    <x v="2"/>
    <x v="11"/>
    <x v="0"/>
    <x v="4"/>
    <n v="32.260473780595099"/>
    <n v="116.13770561014201"/>
  </r>
  <r>
    <x v="0"/>
    <x v="0"/>
    <x v="0"/>
    <x v="1"/>
    <x v="2"/>
    <x v="11"/>
    <x v="0"/>
    <x v="5"/>
    <n v="32.260473780595099"/>
    <n v="116.13770561014201"/>
  </r>
  <r>
    <x v="0"/>
    <x v="0"/>
    <x v="0"/>
    <x v="1"/>
    <x v="2"/>
    <x v="11"/>
    <x v="0"/>
    <x v="6"/>
    <n v="88.880897150619205"/>
    <n v="319.97122974222901"/>
  </r>
  <r>
    <x v="0"/>
    <x v="0"/>
    <x v="0"/>
    <x v="1"/>
    <x v="2"/>
    <x v="11"/>
    <x v="0"/>
    <x v="7"/>
    <n v="88.880897150619205"/>
    <n v="319.97122974222901"/>
  </r>
  <r>
    <x v="0"/>
    <x v="0"/>
    <x v="0"/>
    <x v="1"/>
    <x v="2"/>
    <x v="11"/>
    <x v="0"/>
    <x v="8"/>
    <n v="88.880897150619205"/>
    <n v="319.97122974222901"/>
  </r>
  <r>
    <x v="0"/>
    <x v="0"/>
    <x v="0"/>
    <x v="1"/>
    <x v="2"/>
    <x v="11"/>
    <x v="0"/>
    <x v="9"/>
    <n v="88.880897150619205"/>
    <n v="319.97122974222901"/>
  </r>
  <r>
    <x v="0"/>
    <x v="0"/>
    <x v="0"/>
    <x v="1"/>
    <x v="2"/>
    <x v="11"/>
    <x v="0"/>
    <x v="10"/>
    <n v="88.880897150619205"/>
    <n v="319.97122974222901"/>
  </r>
  <r>
    <x v="0"/>
    <x v="0"/>
    <x v="0"/>
    <x v="1"/>
    <x v="2"/>
    <x v="11"/>
    <x v="0"/>
    <x v="11"/>
    <n v="88.880897150619205"/>
    <n v="319.97122974222901"/>
  </r>
  <r>
    <x v="0"/>
    <x v="0"/>
    <x v="0"/>
    <x v="1"/>
    <x v="2"/>
    <x v="11"/>
    <x v="0"/>
    <x v="12"/>
    <n v="32.260473780595099"/>
    <n v="116.13770561014201"/>
  </r>
  <r>
    <x v="0"/>
    <x v="0"/>
    <x v="0"/>
    <x v="1"/>
    <x v="2"/>
    <x v="11"/>
    <x v="0"/>
    <x v="13"/>
    <n v="32.260473780595099"/>
    <n v="116.13770561014201"/>
  </r>
  <r>
    <x v="0"/>
    <x v="0"/>
    <x v="0"/>
    <x v="1"/>
    <x v="2"/>
    <x v="11"/>
    <x v="0"/>
    <x v="14"/>
    <n v="32.260473780595099"/>
    <n v="116.13770561014201"/>
  </r>
  <r>
    <x v="0"/>
    <x v="0"/>
    <x v="0"/>
    <x v="1"/>
    <x v="2"/>
    <x v="11"/>
    <x v="0"/>
    <x v="15"/>
    <n v="10.9507258910012"/>
    <n v="39.422613207604101"/>
  </r>
  <r>
    <x v="0"/>
    <x v="0"/>
    <x v="0"/>
    <x v="1"/>
    <x v="2"/>
    <x v="11"/>
    <x v="0"/>
    <x v="16"/>
    <n v="10.9507258910012"/>
    <n v="39.422613207604101"/>
  </r>
  <r>
    <x v="0"/>
    <x v="0"/>
    <x v="0"/>
    <x v="1"/>
    <x v="2"/>
    <x v="11"/>
    <x v="0"/>
    <x v="17"/>
    <n v="10.9507258910012"/>
    <n v="39.422613207604101"/>
  </r>
  <r>
    <x v="0"/>
    <x v="0"/>
    <x v="0"/>
    <x v="1"/>
    <x v="2"/>
    <x v="11"/>
    <x v="0"/>
    <x v="18"/>
    <n v="10.9507258910012"/>
    <n v="39.422613207604101"/>
  </r>
  <r>
    <x v="0"/>
    <x v="0"/>
    <x v="0"/>
    <x v="1"/>
    <x v="2"/>
    <x v="11"/>
    <x v="0"/>
    <x v="19"/>
    <n v="10.9507258910012"/>
    <n v="39.422613207604101"/>
  </r>
  <r>
    <x v="0"/>
    <x v="0"/>
    <x v="0"/>
    <x v="1"/>
    <x v="2"/>
    <x v="11"/>
    <x v="0"/>
    <x v="20"/>
    <n v="10.9507258910012"/>
    <n v="39.422613207604101"/>
  </r>
  <r>
    <x v="0"/>
    <x v="0"/>
    <x v="0"/>
    <x v="1"/>
    <x v="2"/>
    <x v="11"/>
    <x v="0"/>
    <x v="21"/>
    <n v="6.2136277411764702"/>
    <n v="22.369059868235301"/>
  </r>
  <r>
    <x v="0"/>
    <x v="0"/>
    <x v="0"/>
    <x v="1"/>
    <x v="2"/>
    <x v="11"/>
    <x v="0"/>
    <x v="22"/>
    <n v="6.2136277411764702"/>
    <n v="22.369059868235301"/>
  </r>
  <r>
    <x v="0"/>
    <x v="0"/>
    <x v="0"/>
    <x v="1"/>
    <x v="2"/>
    <x v="11"/>
    <x v="0"/>
    <x v="23"/>
    <n v="6.2136277411764702"/>
    <n v="22.369059868235301"/>
  </r>
  <r>
    <x v="0"/>
    <x v="0"/>
    <x v="1"/>
    <x v="1"/>
    <x v="2"/>
    <x v="10"/>
    <x v="0"/>
    <x v="0"/>
    <n v="0"/>
    <n v="0"/>
  </r>
  <r>
    <x v="0"/>
    <x v="0"/>
    <x v="1"/>
    <x v="1"/>
    <x v="2"/>
    <x v="10"/>
    <x v="0"/>
    <x v="1"/>
    <n v="0"/>
    <n v="0"/>
  </r>
  <r>
    <x v="0"/>
    <x v="0"/>
    <x v="1"/>
    <x v="1"/>
    <x v="2"/>
    <x v="10"/>
    <x v="0"/>
    <x v="2"/>
    <n v="0"/>
    <n v="0"/>
  </r>
  <r>
    <x v="0"/>
    <x v="0"/>
    <x v="1"/>
    <x v="1"/>
    <x v="2"/>
    <x v="10"/>
    <x v="0"/>
    <x v="3"/>
    <n v="0"/>
    <n v="0"/>
  </r>
  <r>
    <x v="0"/>
    <x v="0"/>
    <x v="1"/>
    <x v="1"/>
    <x v="2"/>
    <x v="10"/>
    <x v="0"/>
    <x v="4"/>
    <n v="0"/>
    <n v="0"/>
  </r>
  <r>
    <x v="0"/>
    <x v="0"/>
    <x v="1"/>
    <x v="1"/>
    <x v="2"/>
    <x v="10"/>
    <x v="0"/>
    <x v="5"/>
    <n v="0"/>
    <n v="0"/>
  </r>
  <r>
    <x v="0"/>
    <x v="0"/>
    <x v="1"/>
    <x v="1"/>
    <x v="2"/>
    <x v="10"/>
    <x v="0"/>
    <x v="6"/>
    <n v="0"/>
    <n v="0"/>
  </r>
  <r>
    <x v="0"/>
    <x v="0"/>
    <x v="1"/>
    <x v="1"/>
    <x v="2"/>
    <x v="10"/>
    <x v="0"/>
    <x v="7"/>
    <n v="0"/>
    <n v="0"/>
  </r>
  <r>
    <x v="0"/>
    <x v="0"/>
    <x v="1"/>
    <x v="1"/>
    <x v="2"/>
    <x v="10"/>
    <x v="0"/>
    <x v="8"/>
    <n v="0"/>
    <n v="0"/>
  </r>
  <r>
    <x v="0"/>
    <x v="0"/>
    <x v="1"/>
    <x v="1"/>
    <x v="2"/>
    <x v="10"/>
    <x v="0"/>
    <x v="9"/>
    <n v="0"/>
    <n v="0"/>
  </r>
  <r>
    <x v="0"/>
    <x v="0"/>
    <x v="1"/>
    <x v="1"/>
    <x v="2"/>
    <x v="10"/>
    <x v="0"/>
    <x v="10"/>
    <n v="0"/>
    <n v="0"/>
  </r>
  <r>
    <x v="0"/>
    <x v="0"/>
    <x v="1"/>
    <x v="1"/>
    <x v="2"/>
    <x v="10"/>
    <x v="0"/>
    <x v="11"/>
    <n v="0"/>
    <n v="0"/>
  </r>
  <r>
    <x v="0"/>
    <x v="0"/>
    <x v="1"/>
    <x v="1"/>
    <x v="2"/>
    <x v="10"/>
    <x v="0"/>
    <x v="12"/>
    <n v="0"/>
    <n v="0"/>
  </r>
  <r>
    <x v="0"/>
    <x v="0"/>
    <x v="1"/>
    <x v="1"/>
    <x v="2"/>
    <x v="10"/>
    <x v="0"/>
    <x v="13"/>
    <n v="0"/>
    <n v="0"/>
  </r>
  <r>
    <x v="0"/>
    <x v="0"/>
    <x v="1"/>
    <x v="1"/>
    <x v="2"/>
    <x v="10"/>
    <x v="0"/>
    <x v="14"/>
    <n v="0"/>
    <n v="0"/>
  </r>
  <r>
    <x v="0"/>
    <x v="0"/>
    <x v="1"/>
    <x v="1"/>
    <x v="2"/>
    <x v="10"/>
    <x v="0"/>
    <x v="15"/>
    <n v="0"/>
    <n v="0"/>
  </r>
  <r>
    <x v="0"/>
    <x v="0"/>
    <x v="1"/>
    <x v="1"/>
    <x v="2"/>
    <x v="10"/>
    <x v="0"/>
    <x v="16"/>
    <n v="0"/>
    <n v="0"/>
  </r>
  <r>
    <x v="0"/>
    <x v="0"/>
    <x v="1"/>
    <x v="1"/>
    <x v="2"/>
    <x v="10"/>
    <x v="0"/>
    <x v="17"/>
    <n v="0"/>
    <n v="0"/>
  </r>
  <r>
    <x v="0"/>
    <x v="0"/>
    <x v="1"/>
    <x v="1"/>
    <x v="2"/>
    <x v="10"/>
    <x v="0"/>
    <x v="18"/>
    <n v="0"/>
    <n v="0"/>
  </r>
  <r>
    <x v="0"/>
    <x v="0"/>
    <x v="1"/>
    <x v="1"/>
    <x v="2"/>
    <x v="10"/>
    <x v="0"/>
    <x v="19"/>
    <n v="0"/>
    <n v="0"/>
  </r>
  <r>
    <x v="0"/>
    <x v="0"/>
    <x v="1"/>
    <x v="1"/>
    <x v="2"/>
    <x v="10"/>
    <x v="0"/>
    <x v="20"/>
    <n v="0"/>
    <n v="0"/>
  </r>
  <r>
    <x v="0"/>
    <x v="0"/>
    <x v="1"/>
    <x v="1"/>
    <x v="2"/>
    <x v="10"/>
    <x v="0"/>
    <x v="21"/>
    <n v="0"/>
    <n v="0"/>
  </r>
  <r>
    <x v="0"/>
    <x v="0"/>
    <x v="1"/>
    <x v="1"/>
    <x v="2"/>
    <x v="10"/>
    <x v="0"/>
    <x v="22"/>
    <n v="0"/>
    <n v="0"/>
  </r>
  <r>
    <x v="0"/>
    <x v="0"/>
    <x v="1"/>
    <x v="1"/>
    <x v="2"/>
    <x v="10"/>
    <x v="0"/>
    <x v="23"/>
    <n v="0"/>
    <n v="0"/>
  </r>
  <r>
    <x v="0"/>
    <x v="0"/>
    <x v="1"/>
    <x v="1"/>
    <x v="2"/>
    <x v="11"/>
    <x v="0"/>
    <x v="0"/>
    <n v="0"/>
    <n v="0"/>
  </r>
  <r>
    <x v="0"/>
    <x v="0"/>
    <x v="1"/>
    <x v="1"/>
    <x v="2"/>
    <x v="11"/>
    <x v="0"/>
    <x v="1"/>
    <n v="0"/>
    <n v="0"/>
  </r>
  <r>
    <x v="0"/>
    <x v="0"/>
    <x v="1"/>
    <x v="1"/>
    <x v="2"/>
    <x v="11"/>
    <x v="0"/>
    <x v="2"/>
    <n v="0"/>
    <n v="0"/>
  </r>
  <r>
    <x v="0"/>
    <x v="0"/>
    <x v="1"/>
    <x v="1"/>
    <x v="2"/>
    <x v="11"/>
    <x v="0"/>
    <x v="3"/>
    <n v="0"/>
    <n v="0"/>
  </r>
  <r>
    <x v="0"/>
    <x v="0"/>
    <x v="1"/>
    <x v="1"/>
    <x v="2"/>
    <x v="11"/>
    <x v="0"/>
    <x v="4"/>
    <n v="1.07571979682923"/>
    <n v="3.87259126858523"/>
  </r>
  <r>
    <x v="0"/>
    <x v="0"/>
    <x v="1"/>
    <x v="1"/>
    <x v="2"/>
    <x v="11"/>
    <x v="0"/>
    <x v="5"/>
    <n v="2.5142384701423999"/>
    <n v="9.0512584925126305"/>
  </r>
  <r>
    <x v="0"/>
    <x v="0"/>
    <x v="1"/>
    <x v="1"/>
    <x v="2"/>
    <x v="11"/>
    <x v="0"/>
    <x v="6"/>
    <n v="6.9981309309549298"/>
    <n v="25.193271351437701"/>
  </r>
  <r>
    <x v="0"/>
    <x v="0"/>
    <x v="1"/>
    <x v="1"/>
    <x v="2"/>
    <x v="11"/>
    <x v="0"/>
    <x v="7"/>
    <n v="51.017044055631303"/>
    <n v="183.66135860027299"/>
  </r>
  <r>
    <x v="0"/>
    <x v="0"/>
    <x v="1"/>
    <x v="1"/>
    <x v="2"/>
    <x v="11"/>
    <x v="0"/>
    <x v="8"/>
    <n v="29.617615679483599"/>
    <n v="106.62341644614099"/>
  </r>
  <r>
    <x v="0"/>
    <x v="0"/>
    <x v="1"/>
    <x v="1"/>
    <x v="2"/>
    <x v="11"/>
    <x v="0"/>
    <x v="9"/>
    <n v="14.639948812736501"/>
    <n v="52.703815725851399"/>
  </r>
  <r>
    <x v="0"/>
    <x v="0"/>
    <x v="1"/>
    <x v="1"/>
    <x v="2"/>
    <x v="11"/>
    <x v="0"/>
    <x v="10"/>
    <n v="6.9981309309549298"/>
    <n v="25.193271351437701"/>
  </r>
  <r>
    <x v="0"/>
    <x v="0"/>
    <x v="1"/>
    <x v="1"/>
    <x v="2"/>
    <x v="11"/>
    <x v="0"/>
    <x v="11"/>
    <n v="2.5142384701423999"/>
    <n v="9.0512584925126305"/>
  </r>
  <r>
    <x v="0"/>
    <x v="0"/>
    <x v="1"/>
    <x v="1"/>
    <x v="2"/>
    <x v="11"/>
    <x v="0"/>
    <x v="12"/>
    <n v="2.5142384701423999"/>
    <n v="9.0512584925126305"/>
  </r>
  <r>
    <x v="0"/>
    <x v="0"/>
    <x v="1"/>
    <x v="1"/>
    <x v="2"/>
    <x v="11"/>
    <x v="0"/>
    <x v="13"/>
    <n v="2.5142384701423999"/>
    <n v="9.0512584925126305"/>
  </r>
  <r>
    <x v="0"/>
    <x v="0"/>
    <x v="1"/>
    <x v="1"/>
    <x v="2"/>
    <x v="11"/>
    <x v="0"/>
    <x v="14"/>
    <n v="1.07571979682923"/>
    <n v="3.87259126858523"/>
  </r>
  <r>
    <x v="0"/>
    <x v="0"/>
    <x v="1"/>
    <x v="1"/>
    <x v="2"/>
    <x v="11"/>
    <x v="0"/>
    <x v="15"/>
    <n v="1.07571979682923"/>
    <n v="3.87259126858523"/>
  </r>
  <r>
    <x v="0"/>
    <x v="0"/>
    <x v="1"/>
    <x v="1"/>
    <x v="2"/>
    <x v="11"/>
    <x v="0"/>
    <x v="16"/>
    <n v="1.07571979682923"/>
    <n v="3.87259126858523"/>
  </r>
  <r>
    <x v="0"/>
    <x v="0"/>
    <x v="1"/>
    <x v="1"/>
    <x v="2"/>
    <x v="11"/>
    <x v="0"/>
    <x v="17"/>
    <n v="0"/>
    <n v="0"/>
  </r>
  <r>
    <x v="0"/>
    <x v="0"/>
    <x v="1"/>
    <x v="1"/>
    <x v="2"/>
    <x v="11"/>
    <x v="0"/>
    <x v="18"/>
    <n v="0"/>
    <n v="0"/>
  </r>
  <r>
    <x v="0"/>
    <x v="0"/>
    <x v="1"/>
    <x v="1"/>
    <x v="2"/>
    <x v="11"/>
    <x v="0"/>
    <x v="19"/>
    <n v="1.07571979682923"/>
    <n v="3.87259126858523"/>
  </r>
  <r>
    <x v="0"/>
    <x v="0"/>
    <x v="1"/>
    <x v="1"/>
    <x v="2"/>
    <x v="11"/>
    <x v="0"/>
    <x v="20"/>
    <n v="0"/>
    <n v="0"/>
  </r>
  <r>
    <x v="0"/>
    <x v="0"/>
    <x v="1"/>
    <x v="1"/>
    <x v="2"/>
    <x v="11"/>
    <x v="0"/>
    <x v="21"/>
    <n v="0"/>
    <n v="0"/>
  </r>
  <r>
    <x v="0"/>
    <x v="0"/>
    <x v="1"/>
    <x v="1"/>
    <x v="2"/>
    <x v="11"/>
    <x v="0"/>
    <x v="22"/>
    <n v="0"/>
    <n v="0"/>
  </r>
  <r>
    <x v="0"/>
    <x v="0"/>
    <x v="1"/>
    <x v="1"/>
    <x v="2"/>
    <x v="11"/>
    <x v="0"/>
    <x v="23"/>
    <n v="0"/>
    <n v="0"/>
  </r>
  <r>
    <x v="0"/>
    <x v="0"/>
    <x v="0"/>
    <x v="1"/>
    <x v="3"/>
    <x v="12"/>
    <x v="0"/>
    <x v="0"/>
    <n v="-5.2772518695457"/>
    <n v="-18.998106730364501"/>
  </r>
  <r>
    <x v="0"/>
    <x v="0"/>
    <x v="0"/>
    <x v="1"/>
    <x v="3"/>
    <x v="12"/>
    <x v="0"/>
    <x v="1"/>
    <n v="-5.2772518695457"/>
    <n v="-18.998106730364501"/>
  </r>
  <r>
    <x v="0"/>
    <x v="0"/>
    <x v="0"/>
    <x v="1"/>
    <x v="3"/>
    <x v="12"/>
    <x v="0"/>
    <x v="2"/>
    <n v="-5.2772518695457"/>
    <n v="-18.998106730364501"/>
  </r>
  <r>
    <x v="0"/>
    <x v="0"/>
    <x v="0"/>
    <x v="1"/>
    <x v="3"/>
    <x v="12"/>
    <x v="0"/>
    <x v="3"/>
    <n v="1.40211287489644"/>
    <n v="5.0476063496271797"/>
  </r>
  <r>
    <x v="0"/>
    <x v="0"/>
    <x v="0"/>
    <x v="1"/>
    <x v="3"/>
    <x v="12"/>
    <x v="0"/>
    <x v="4"/>
    <n v="1.40211287489644"/>
    <n v="5.0476063496271797"/>
  </r>
  <r>
    <x v="0"/>
    <x v="0"/>
    <x v="0"/>
    <x v="1"/>
    <x v="3"/>
    <x v="12"/>
    <x v="0"/>
    <x v="5"/>
    <n v="6.2136277411764702"/>
    <n v="22.369059868235301"/>
  </r>
  <r>
    <x v="0"/>
    <x v="0"/>
    <x v="0"/>
    <x v="1"/>
    <x v="3"/>
    <x v="12"/>
    <x v="0"/>
    <x v="6"/>
    <n v="6.2136277411764702"/>
    <n v="22.369059868235301"/>
  </r>
  <r>
    <x v="0"/>
    <x v="0"/>
    <x v="0"/>
    <x v="1"/>
    <x v="3"/>
    <x v="12"/>
    <x v="0"/>
    <x v="7"/>
    <n v="6.2136277411764702"/>
    <n v="22.369059868235301"/>
  </r>
  <r>
    <x v="0"/>
    <x v="0"/>
    <x v="0"/>
    <x v="1"/>
    <x v="3"/>
    <x v="12"/>
    <x v="0"/>
    <x v="8"/>
    <n v="6.2136277411764702"/>
    <n v="22.369059868235301"/>
  </r>
  <r>
    <x v="0"/>
    <x v="0"/>
    <x v="0"/>
    <x v="1"/>
    <x v="3"/>
    <x v="12"/>
    <x v="0"/>
    <x v="9"/>
    <n v="6.2136277411764702"/>
    <n v="22.369059868235301"/>
  </r>
  <r>
    <x v="0"/>
    <x v="0"/>
    <x v="0"/>
    <x v="1"/>
    <x v="3"/>
    <x v="12"/>
    <x v="0"/>
    <x v="10"/>
    <n v="6.2136277411764702"/>
    <n v="22.369059868235301"/>
  </r>
  <r>
    <x v="0"/>
    <x v="0"/>
    <x v="0"/>
    <x v="1"/>
    <x v="3"/>
    <x v="12"/>
    <x v="0"/>
    <x v="11"/>
    <n v="6.2136277411764702"/>
    <n v="22.369059868235301"/>
  </r>
  <r>
    <x v="0"/>
    <x v="0"/>
    <x v="0"/>
    <x v="1"/>
    <x v="3"/>
    <x v="12"/>
    <x v="0"/>
    <x v="12"/>
    <n v="6.2136277411764702"/>
    <n v="22.369059868235301"/>
  </r>
  <r>
    <x v="0"/>
    <x v="0"/>
    <x v="0"/>
    <x v="1"/>
    <x v="3"/>
    <x v="12"/>
    <x v="0"/>
    <x v="13"/>
    <n v="6.2136277411764702"/>
    <n v="22.369059868235301"/>
  </r>
  <r>
    <x v="0"/>
    <x v="0"/>
    <x v="0"/>
    <x v="1"/>
    <x v="3"/>
    <x v="12"/>
    <x v="0"/>
    <x v="14"/>
    <n v="6.2136277411764702"/>
    <n v="22.369059868235301"/>
  </r>
  <r>
    <x v="0"/>
    <x v="0"/>
    <x v="0"/>
    <x v="1"/>
    <x v="3"/>
    <x v="12"/>
    <x v="0"/>
    <x v="15"/>
    <n v="6.2136277411764702"/>
    <n v="22.369059868235301"/>
  </r>
  <r>
    <x v="0"/>
    <x v="0"/>
    <x v="0"/>
    <x v="1"/>
    <x v="3"/>
    <x v="12"/>
    <x v="0"/>
    <x v="16"/>
    <n v="6.2136277411764702"/>
    <n v="22.369059868235301"/>
  </r>
  <r>
    <x v="0"/>
    <x v="0"/>
    <x v="0"/>
    <x v="1"/>
    <x v="3"/>
    <x v="12"/>
    <x v="0"/>
    <x v="17"/>
    <n v="6.2136277411764702"/>
    <n v="22.369059868235301"/>
  </r>
  <r>
    <x v="0"/>
    <x v="0"/>
    <x v="0"/>
    <x v="1"/>
    <x v="3"/>
    <x v="12"/>
    <x v="0"/>
    <x v="18"/>
    <n v="1.40211287489644"/>
    <n v="5.0476063496271797"/>
  </r>
  <r>
    <x v="0"/>
    <x v="0"/>
    <x v="0"/>
    <x v="1"/>
    <x v="3"/>
    <x v="12"/>
    <x v="0"/>
    <x v="19"/>
    <n v="6.2136277411764702"/>
    <n v="22.369059868235301"/>
  </r>
  <r>
    <x v="0"/>
    <x v="0"/>
    <x v="0"/>
    <x v="1"/>
    <x v="3"/>
    <x v="12"/>
    <x v="0"/>
    <x v="20"/>
    <n v="1.40211287489644"/>
    <n v="5.0476063496271797"/>
  </r>
  <r>
    <x v="0"/>
    <x v="0"/>
    <x v="0"/>
    <x v="1"/>
    <x v="3"/>
    <x v="12"/>
    <x v="0"/>
    <x v="21"/>
    <n v="1.40211287489644"/>
    <n v="5.0476063496271797"/>
  </r>
  <r>
    <x v="0"/>
    <x v="0"/>
    <x v="0"/>
    <x v="1"/>
    <x v="3"/>
    <x v="12"/>
    <x v="0"/>
    <x v="22"/>
    <n v="1.40211287489644"/>
    <n v="5.0476063496271797"/>
  </r>
  <r>
    <x v="0"/>
    <x v="0"/>
    <x v="0"/>
    <x v="1"/>
    <x v="3"/>
    <x v="12"/>
    <x v="0"/>
    <x v="23"/>
    <n v="-5.2772518695457"/>
    <n v="-18.998106730364501"/>
  </r>
  <r>
    <x v="0"/>
    <x v="0"/>
    <x v="1"/>
    <x v="1"/>
    <x v="3"/>
    <x v="12"/>
    <x v="0"/>
    <x v="0"/>
    <n v="0"/>
    <n v="0"/>
  </r>
  <r>
    <x v="0"/>
    <x v="0"/>
    <x v="1"/>
    <x v="1"/>
    <x v="3"/>
    <x v="12"/>
    <x v="0"/>
    <x v="1"/>
    <n v="0"/>
    <n v="0"/>
  </r>
  <r>
    <x v="0"/>
    <x v="0"/>
    <x v="1"/>
    <x v="1"/>
    <x v="3"/>
    <x v="12"/>
    <x v="0"/>
    <x v="2"/>
    <n v="0"/>
    <n v="0"/>
  </r>
  <r>
    <x v="0"/>
    <x v="0"/>
    <x v="1"/>
    <x v="1"/>
    <x v="3"/>
    <x v="12"/>
    <x v="0"/>
    <x v="3"/>
    <n v="0"/>
    <n v="0"/>
  </r>
  <r>
    <x v="0"/>
    <x v="0"/>
    <x v="1"/>
    <x v="1"/>
    <x v="3"/>
    <x v="12"/>
    <x v="0"/>
    <x v="4"/>
    <n v="0"/>
    <n v="0"/>
  </r>
  <r>
    <x v="0"/>
    <x v="0"/>
    <x v="1"/>
    <x v="1"/>
    <x v="3"/>
    <x v="12"/>
    <x v="0"/>
    <x v="5"/>
    <n v="0"/>
    <n v="0"/>
  </r>
  <r>
    <x v="0"/>
    <x v="0"/>
    <x v="1"/>
    <x v="1"/>
    <x v="3"/>
    <x v="12"/>
    <x v="0"/>
    <x v="6"/>
    <n v="0"/>
    <n v="0"/>
  </r>
  <r>
    <x v="0"/>
    <x v="0"/>
    <x v="1"/>
    <x v="1"/>
    <x v="3"/>
    <x v="12"/>
    <x v="0"/>
    <x v="7"/>
    <n v="0"/>
    <n v="0"/>
  </r>
  <r>
    <x v="0"/>
    <x v="0"/>
    <x v="1"/>
    <x v="1"/>
    <x v="3"/>
    <x v="12"/>
    <x v="0"/>
    <x v="8"/>
    <n v="0"/>
    <n v="0"/>
  </r>
  <r>
    <x v="0"/>
    <x v="0"/>
    <x v="1"/>
    <x v="1"/>
    <x v="3"/>
    <x v="12"/>
    <x v="0"/>
    <x v="9"/>
    <n v="0"/>
    <n v="0"/>
  </r>
  <r>
    <x v="0"/>
    <x v="0"/>
    <x v="1"/>
    <x v="1"/>
    <x v="3"/>
    <x v="12"/>
    <x v="0"/>
    <x v="10"/>
    <n v="0"/>
    <n v="0"/>
  </r>
  <r>
    <x v="0"/>
    <x v="0"/>
    <x v="1"/>
    <x v="1"/>
    <x v="3"/>
    <x v="12"/>
    <x v="0"/>
    <x v="11"/>
    <n v="0"/>
    <n v="0"/>
  </r>
  <r>
    <x v="0"/>
    <x v="0"/>
    <x v="1"/>
    <x v="1"/>
    <x v="3"/>
    <x v="12"/>
    <x v="0"/>
    <x v="12"/>
    <n v="0"/>
    <n v="0"/>
  </r>
  <r>
    <x v="0"/>
    <x v="0"/>
    <x v="1"/>
    <x v="1"/>
    <x v="3"/>
    <x v="12"/>
    <x v="0"/>
    <x v="13"/>
    <n v="0"/>
    <n v="0"/>
  </r>
  <r>
    <x v="0"/>
    <x v="0"/>
    <x v="1"/>
    <x v="1"/>
    <x v="3"/>
    <x v="12"/>
    <x v="0"/>
    <x v="14"/>
    <n v="0"/>
    <n v="0"/>
  </r>
  <r>
    <x v="0"/>
    <x v="0"/>
    <x v="1"/>
    <x v="1"/>
    <x v="3"/>
    <x v="12"/>
    <x v="0"/>
    <x v="15"/>
    <n v="0"/>
    <n v="0"/>
  </r>
  <r>
    <x v="0"/>
    <x v="0"/>
    <x v="1"/>
    <x v="1"/>
    <x v="3"/>
    <x v="12"/>
    <x v="0"/>
    <x v="16"/>
    <n v="0"/>
    <n v="0"/>
  </r>
  <r>
    <x v="0"/>
    <x v="0"/>
    <x v="1"/>
    <x v="1"/>
    <x v="3"/>
    <x v="12"/>
    <x v="0"/>
    <x v="17"/>
    <n v="0"/>
    <n v="0"/>
  </r>
  <r>
    <x v="0"/>
    <x v="0"/>
    <x v="1"/>
    <x v="1"/>
    <x v="3"/>
    <x v="12"/>
    <x v="0"/>
    <x v="18"/>
    <n v="0"/>
    <n v="0"/>
  </r>
  <r>
    <x v="0"/>
    <x v="0"/>
    <x v="1"/>
    <x v="1"/>
    <x v="3"/>
    <x v="12"/>
    <x v="0"/>
    <x v="19"/>
    <n v="0"/>
    <n v="0"/>
  </r>
  <r>
    <x v="0"/>
    <x v="0"/>
    <x v="1"/>
    <x v="1"/>
    <x v="3"/>
    <x v="12"/>
    <x v="0"/>
    <x v="20"/>
    <n v="0"/>
    <n v="0"/>
  </r>
  <r>
    <x v="0"/>
    <x v="0"/>
    <x v="1"/>
    <x v="1"/>
    <x v="3"/>
    <x v="12"/>
    <x v="0"/>
    <x v="21"/>
    <n v="0"/>
    <n v="0"/>
  </r>
  <r>
    <x v="0"/>
    <x v="0"/>
    <x v="1"/>
    <x v="1"/>
    <x v="3"/>
    <x v="12"/>
    <x v="0"/>
    <x v="22"/>
    <n v="0"/>
    <n v="0"/>
  </r>
  <r>
    <x v="0"/>
    <x v="0"/>
    <x v="1"/>
    <x v="1"/>
    <x v="3"/>
    <x v="12"/>
    <x v="0"/>
    <x v="23"/>
    <n v="0"/>
    <n v="0"/>
  </r>
  <r>
    <x v="0"/>
    <x v="0"/>
    <x v="0"/>
    <x v="1"/>
    <x v="4"/>
    <x v="13"/>
    <x v="0"/>
    <x v="0"/>
    <n v="6.2136277411764702"/>
    <n v="22.369059868235301"/>
  </r>
  <r>
    <x v="0"/>
    <x v="0"/>
    <x v="0"/>
    <x v="1"/>
    <x v="4"/>
    <x v="13"/>
    <x v="0"/>
    <x v="1"/>
    <n v="6.2136277411764702"/>
    <n v="22.369059868235301"/>
  </r>
  <r>
    <x v="0"/>
    <x v="0"/>
    <x v="0"/>
    <x v="1"/>
    <x v="4"/>
    <x v="13"/>
    <x v="0"/>
    <x v="2"/>
    <n v="6.2136277411764702"/>
    <n v="22.369059868235301"/>
  </r>
  <r>
    <x v="0"/>
    <x v="0"/>
    <x v="0"/>
    <x v="1"/>
    <x v="4"/>
    <x v="13"/>
    <x v="0"/>
    <x v="3"/>
    <n v="6.2136277411764702"/>
    <n v="22.369059868235301"/>
  </r>
  <r>
    <x v="0"/>
    <x v="0"/>
    <x v="0"/>
    <x v="1"/>
    <x v="4"/>
    <x v="13"/>
    <x v="0"/>
    <x v="4"/>
    <n v="6.2136277411764702"/>
    <n v="22.369059868235301"/>
  </r>
  <r>
    <x v="0"/>
    <x v="0"/>
    <x v="0"/>
    <x v="1"/>
    <x v="4"/>
    <x v="13"/>
    <x v="0"/>
    <x v="5"/>
    <n v="6.2136277411764702"/>
    <n v="22.369059868235301"/>
  </r>
  <r>
    <x v="0"/>
    <x v="0"/>
    <x v="0"/>
    <x v="1"/>
    <x v="4"/>
    <x v="13"/>
    <x v="0"/>
    <x v="6"/>
    <n v="6.2136277411764702"/>
    <n v="22.369059868235301"/>
  </r>
  <r>
    <x v="0"/>
    <x v="0"/>
    <x v="0"/>
    <x v="1"/>
    <x v="4"/>
    <x v="13"/>
    <x v="0"/>
    <x v="7"/>
    <n v="6.2136277411764702"/>
    <n v="22.369059868235301"/>
  </r>
  <r>
    <x v="0"/>
    <x v="0"/>
    <x v="0"/>
    <x v="1"/>
    <x v="4"/>
    <x v="13"/>
    <x v="0"/>
    <x v="8"/>
    <n v="6.2136277411764702"/>
    <n v="22.369059868235301"/>
  </r>
  <r>
    <x v="0"/>
    <x v="0"/>
    <x v="0"/>
    <x v="1"/>
    <x v="4"/>
    <x v="13"/>
    <x v="0"/>
    <x v="9"/>
    <n v="6.2136277411764702"/>
    <n v="22.369059868235301"/>
  </r>
  <r>
    <x v="0"/>
    <x v="0"/>
    <x v="0"/>
    <x v="1"/>
    <x v="4"/>
    <x v="13"/>
    <x v="0"/>
    <x v="10"/>
    <n v="6.2136277411764702"/>
    <n v="22.369059868235301"/>
  </r>
  <r>
    <x v="0"/>
    <x v="0"/>
    <x v="0"/>
    <x v="1"/>
    <x v="4"/>
    <x v="13"/>
    <x v="0"/>
    <x v="11"/>
    <n v="6.2136277411764702"/>
    <n v="22.369059868235301"/>
  </r>
  <r>
    <x v="0"/>
    <x v="0"/>
    <x v="0"/>
    <x v="1"/>
    <x v="4"/>
    <x v="13"/>
    <x v="0"/>
    <x v="12"/>
    <n v="6.2136277411764702"/>
    <n v="22.369059868235301"/>
  </r>
  <r>
    <x v="0"/>
    <x v="0"/>
    <x v="0"/>
    <x v="1"/>
    <x v="4"/>
    <x v="13"/>
    <x v="0"/>
    <x v="13"/>
    <n v="6.2136277411764702"/>
    <n v="22.369059868235301"/>
  </r>
  <r>
    <x v="0"/>
    <x v="0"/>
    <x v="0"/>
    <x v="1"/>
    <x v="4"/>
    <x v="13"/>
    <x v="0"/>
    <x v="14"/>
    <n v="6.2136277411764702"/>
    <n v="22.369059868235301"/>
  </r>
  <r>
    <x v="0"/>
    <x v="0"/>
    <x v="0"/>
    <x v="1"/>
    <x v="4"/>
    <x v="13"/>
    <x v="0"/>
    <x v="15"/>
    <n v="6.2136277411764702"/>
    <n v="22.369059868235301"/>
  </r>
  <r>
    <x v="0"/>
    <x v="0"/>
    <x v="0"/>
    <x v="1"/>
    <x v="4"/>
    <x v="13"/>
    <x v="0"/>
    <x v="16"/>
    <n v="6.2136277411764702"/>
    <n v="22.369059868235301"/>
  </r>
  <r>
    <x v="0"/>
    <x v="0"/>
    <x v="0"/>
    <x v="1"/>
    <x v="4"/>
    <x v="13"/>
    <x v="0"/>
    <x v="17"/>
    <n v="6.2136277411764702"/>
    <n v="22.369059868235301"/>
  </r>
  <r>
    <x v="0"/>
    <x v="0"/>
    <x v="0"/>
    <x v="1"/>
    <x v="4"/>
    <x v="13"/>
    <x v="0"/>
    <x v="18"/>
    <n v="6.2136277411764702"/>
    <n v="22.369059868235301"/>
  </r>
  <r>
    <x v="0"/>
    <x v="0"/>
    <x v="0"/>
    <x v="1"/>
    <x v="4"/>
    <x v="13"/>
    <x v="0"/>
    <x v="19"/>
    <n v="6.2136277411764702"/>
    <n v="22.369059868235301"/>
  </r>
  <r>
    <x v="0"/>
    <x v="0"/>
    <x v="0"/>
    <x v="1"/>
    <x v="4"/>
    <x v="13"/>
    <x v="0"/>
    <x v="20"/>
    <n v="6.2136277411764702"/>
    <n v="22.369059868235301"/>
  </r>
  <r>
    <x v="0"/>
    <x v="0"/>
    <x v="0"/>
    <x v="1"/>
    <x v="4"/>
    <x v="13"/>
    <x v="0"/>
    <x v="21"/>
    <n v="6.2136277411764702"/>
    <n v="22.369059868235301"/>
  </r>
  <r>
    <x v="0"/>
    <x v="0"/>
    <x v="0"/>
    <x v="1"/>
    <x v="4"/>
    <x v="13"/>
    <x v="0"/>
    <x v="22"/>
    <n v="6.2136277411764702"/>
    <n v="22.369059868235301"/>
  </r>
  <r>
    <x v="0"/>
    <x v="0"/>
    <x v="0"/>
    <x v="1"/>
    <x v="4"/>
    <x v="13"/>
    <x v="0"/>
    <x v="23"/>
    <n v="1.40211287489644"/>
    <n v="5.0476063496271797"/>
  </r>
  <r>
    <x v="0"/>
    <x v="0"/>
    <x v="0"/>
    <x v="1"/>
    <x v="4"/>
    <x v="14"/>
    <x v="0"/>
    <x v="0"/>
    <n v="1.6832941176470599"/>
    <n v="6.0598588235294102"/>
  </r>
  <r>
    <x v="0"/>
    <x v="0"/>
    <x v="0"/>
    <x v="1"/>
    <x v="4"/>
    <x v="14"/>
    <x v="0"/>
    <x v="1"/>
    <n v="1.6832941176470599"/>
    <n v="6.0598588235294102"/>
  </r>
  <r>
    <x v="0"/>
    <x v="0"/>
    <x v="0"/>
    <x v="1"/>
    <x v="4"/>
    <x v="14"/>
    <x v="0"/>
    <x v="2"/>
    <n v="1.6832941176470599"/>
    <n v="6.0598588235294102"/>
  </r>
  <r>
    <x v="0"/>
    <x v="0"/>
    <x v="0"/>
    <x v="1"/>
    <x v="4"/>
    <x v="14"/>
    <x v="0"/>
    <x v="3"/>
    <n v="1.6832941176470599"/>
    <n v="6.0598588235294102"/>
  </r>
  <r>
    <x v="0"/>
    <x v="0"/>
    <x v="0"/>
    <x v="1"/>
    <x v="4"/>
    <x v="14"/>
    <x v="0"/>
    <x v="4"/>
    <n v="1.6832941176470599"/>
    <n v="6.0598588235294102"/>
  </r>
  <r>
    <x v="0"/>
    <x v="0"/>
    <x v="0"/>
    <x v="1"/>
    <x v="4"/>
    <x v="14"/>
    <x v="0"/>
    <x v="5"/>
    <n v="6.2136277411764702"/>
    <n v="22.369059868235301"/>
  </r>
  <r>
    <x v="0"/>
    <x v="0"/>
    <x v="0"/>
    <x v="1"/>
    <x v="4"/>
    <x v="14"/>
    <x v="0"/>
    <x v="6"/>
    <n v="6.2136277411764702"/>
    <n v="22.369059868235301"/>
  </r>
  <r>
    <x v="0"/>
    <x v="0"/>
    <x v="0"/>
    <x v="1"/>
    <x v="4"/>
    <x v="14"/>
    <x v="0"/>
    <x v="7"/>
    <n v="6.2136277411764702"/>
    <n v="22.369059868235301"/>
  </r>
  <r>
    <x v="0"/>
    <x v="0"/>
    <x v="0"/>
    <x v="1"/>
    <x v="4"/>
    <x v="14"/>
    <x v="0"/>
    <x v="8"/>
    <n v="6.2136277411764702"/>
    <n v="22.369059868235301"/>
  </r>
  <r>
    <x v="0"/>
    <x v="0"/>
    <x v="0"/>
    <x v="1"/>
    <x v="4"/>
    <x v="14"/>
    <x v="0"/>
    <x v="9"/>
    <n v="6.2136277411764702"/>
    <n v="22.369059868235301"/>
  </r>
  <r>
    <x v="0"/>
    <x v="0"/>
    <x v="0"/>
    <x v="1"/>
    <x v="4"/>
    <x v="14"/>
    <x v="0"/>
    <x v="10"/>
    <n v="6.2136277411764702"/>
    <n v="22.369059868235301"/>
  </r>
  <r>
    <x v="0"/>
    <x v="0"/>
    <x v="0"/>
    <x v="1"/>
    <x v="4"/>
    <x v="14"/>
    <x v="0"/>
    <x v="11"/>
    <n v="6.2136277411764702"/>
    <n v="22.369059868235301"/>
  </r>
  <r>
    <x v="0"/>
    <x v="0"/>
    <x v="0"/>
    <x v="1"/>
    <x v="4"/>
    <x v="14"/>
    <x v="0"/>
    <x v="12"/>
    <n v="6.2136277411764702"/>
    <n v="22.369059868235301"/>
  </r>
  <r>
    <x v="0"/>
    <x v="0"/>
    <x v="0"/>
    <x v="1"/>
    <x v="4"/>
    <x v="14"/>
    <x v="0"/>
    <x v="13"/>
    <n v="6.2136277411764702"/>
    <n v="22.369059868235301"/>
  </r>
  <r>
    <x v="0"/>
    <x v="0"/>
    <x v="0"/>
    <x v="1"/>
    <x v="4"/>
    <x v="14"/>
    <x v="0"/>
    <x v="14"/>
    <n v="6.2136277411764702"/>
    <n v="22.369059868235301"/>
  </r>
  <r>
    <x v="0"/>
    <x v="0"/>
    <x v="0"/>
    <x v="1"/>
    <x v="4"/>
    <x v="14"/>
    <x v="0"/>
    <x v="15"/>
    <n v="6.2136277411764702"/>
    <n v="22.369059868235301"/>
  </r>
  <r>
    <x v="0"/>
    <x v="0"/>
    <x v="0"/>
    <x v="1"/>
    <x v="4"/>
    <x v="14"/>
    <x v="0"/>
    <x v="16"/>
    <n v="1.6832941176470599"/>
    <n v="6.0598588235294102"/>
  </r>
  <r>
    <x v="0"/>
    <x v="0"/>
    <x v="0"/>
    <x v="1"/>
    <x v="4"/>
    <x v="14"/>
    <x v="0"/>
    <x v="17"/>
    <n v="1.6832941176470599"/>
    <n v="6.0598588235294102"/>
  </r>
  <r>
    <x v="0"/>
    <x v="0"/>
    <x v="0"/>
    <x v="1"/>
    <x v="4"/>
    <x v="14"/>
    <x v="0"/>
    <x v="18"/>
    <n v="1.6832941176470599"/>
    <n v="6.0598588235294102"/>
  </r>
  <r>
    <x v="0"/>
    <x v="0"/>
    <x v="0"/>
    <x v="1"/>
    <x v="4"/>
    <x v="14"/>
    <x v="0"/>
    <x v="19"/>
    <n v="1.6832941176470599"/>
    <n v="6.0598588235294102"/>
  </r>
  <r>
    <x v="0"/>
    <x v="0"/>
    <x v="0"/>
    <x v="1"/>
    <x v="4"/>
    <x v="14"/>
    <x v="0"/>
    <x v="20"/>
    <n v="1.6832941176470599"/>
    <n v="6.0598588235294102"/>
  </r>
  <r>
    <x v="0"/>
    <x v="0"/>
    <x v="0"/>
    <x v="1"/>
    <x v="4"/>
    <x v="14"/>
    <x v="0"/>
    <x v="21"/>
    <n v="1.6832941176470599"/>
    <n v="6.0598588235294102"/>
  </r>
  <r>
    <x v="0"/>
    <x v="0"/>
    <x v="0"/>
    <x v="1"/>
    <x v="4"/>
    <x v="14"/>
    <x v="0"/>
    <x v="22"/>
    <n v="1.6832941176470599"/>
    <n v="6.0598588235294102"/>
  </r>
  <r>
    <x v="0"/>
    <x v="0"/>
    <x v="0"/>
    <x v="1"/>
    <x v="4"/>
    <x v="14"/>
    <x v="0"/>
    <x v="23"/>
    <n v="1.6832941176470599"/>
    <n v="6.0598588235294102"/>
  </r>
  <r>
    <x v="0"/>
    <x v="0"/>
    <x v="1"/>
    <x v="1"/>
    <x v="4"/>
    <x v="13"/>
    <x v="0"/>
    <x v="0"/>
    <n v="0"/>
    <n v="0"/>
  </r>
  <r>
    <x v="0"/>
    <x v="0"/>
    <x v="1"/>
    <x v="1"/>
    <x v="4"/>
    <x v="13"/>
    <x v="0"/>
    <x v="1"/>
    <n v="0"/>
    <n v="0"/>
  </r>
  <r>
    <x v="0"/>
    <x v="0"/>
    <x v="1"/>
    <x v="1"/>
    <x v="4"/>
    <x v="13"/>
    <x v="0"/>
    <x v="2"/>
    <n v="0"/>
    <n v="0"/>
  </r>
  <r>
    <x v="0"/>
    <x v="0"/>
    <x v="1"/>
    <x v="1"/>
    <x v="4"/>
    <x v="13"/>
    <x v="0"/>
    <x v="3"/>
    <n v="0"/>
    <n v="0"/>
  </r>
  <r>
    <x v="0"/>
    <x v="0"/>
    <x v="1"/>
    <x v="1"/>
    <x v="4"/>
    <x v="13"/>
    <x v="0"/>
    <x v="4"/>
    <n v="0"/>
    <n v="0"/>
  </r>
  <r>
    <x v="0"/>
    <x v="0"/>
    <x v="1"/>
    <x v="1"/>
    <x v="4"/>
    <x v="13"/>
    <x v="0"/>
    <x v="5"/>
    <n v="0"/>
    <n v="0"/>
  </r>
  <r>
    <x v="0"/>
    <x v="0"/>
    <x v="1"/>
    <x v="1"/>
    <x v="4"/>
    <x v="13"/>
    <x v="0"/>
    <x v="6"/>
    <n v="0"/>
    <n v="0"/>
  </r>
  <r>
    <x v="0"/>
    <x v="0"/>
    <x v="1"/>
    <x v="1"/>
    <x v="4"/>
    <x v="13"/>
    <x v="0"/>
    <x v="7"/>
    <n v="0"/>
    <n v="0"/>
  </r>
  <r>
    <x v="0"/>
    <x v="0"/>
    <x v="1"/>
    <x v="1"/>
    <x v="4"/>
    <x v="13"/>
    <x v="0"/>
    <x v="8"/>
    <n v="0"/>
    <n v="0"/>
  </r>
  <r>
    <x v="0"/>
    <x v="0"/>
    <x v="1"/>
    <x v="1"/>
    <x v="4"/>
    <x v="13"/>
    <x v="0"/>
    <x v="9"/>
    <n v="0"/>
    <n v="0"/>
  </r>
  <r>
    <x v="0"/>
    <x v="0"/>
    <x v="1"/>
    <x v="1"/>
    <x v="4"/>
    <x v="13"/>
    <x v="0"/>
    <x v="10"/>
    <n v="0"/>
    <n v="0"/>
  </r>
  <r>
    <x v="0"/>
    <x v="0"/>
    <x v="1"/>
    <x v="1"/>
    <x v="4"/>
    <x v="13"/>
    <x v="0"/>
    <x v="11"/>
    <n v="0"/>
    <n v="0"/>
  </r>
  <r>
    <x v="0"/>
    <x v="0"/>
    <x v="1"/>
    <x v="1"/>
    <x v="4"/>
    <x v="13"/>
    <x v="0"/>
    <x v="12"/>
    <n v="0"/>
    <n v="0"/>
  </r>
  <r>
    <x v="0"/>
    <x v="0"/>
    <x v="1"/>
    <x v="1"/>
    <x v="4"/>
    <x v="13"/>
    <x v="0"/>
    <x v="13"/>
    <n v="0"/>
    <n v="0"/>
  </r>
  <r>
    <x v="0"/>
    <x v="0"/>
    <x v="1"/>
    <x v="1"/>
    <x v="4"/>
    <x v="13"/>
    <x v="0"/>
    <x v="14"/>
    <n v="0"/>
    <n v="0"/>
  </r>
  <r>
    <x v="0"/>
    <x v="0"/>
    <x v="1"/>
    <x v="1"/>
    <x v="4"/>
    <x v="13"/>
    <x v="0"/>
    <x v="15"/>
    <n v="0"/>
    <n v="0"/>
  </r>
  <r>
    <x v="0"/>
    <x v="0"/>
    <x v="1"/>
    <x v="1"/>
    <x v="4"/>
    <x v="13"/>
    <x v="0"/>
    <x v="16"/>
    <n v="0"/>
    <n v="0"/>
  </r>
  <r>
    <x v="0"/>
    <x v="0"/>
    <x v="1"/>
    <x v="1"/>
    <x v="4"/>
    <x v="13"/>
    <x v="0"/>
    <x v="17"/>
    <n v="0"/>
    <n v="0"/>
  </r>
  <r>
    <x v="0"/>
    <x v="0"/>
    <x v="1"/>
    <x v="1"/>
    <x v="4"/>
    <x v="13"/>
    <x v="0"/>
    <x v="18"/>
    <n v="0"/>
    <n v="0"/>
  </r>
  <r>
    <x v="0"/>
    <x v="0"/>
    <x v="1"/>
    <x v="1"/>
    <x v="4"/>
    <x v="13"/>
    <x v="0"/>
    <x v="19"/>
    <n v="0"/>
    <n v="0"/>
  </r>
  <r>
    <x v="0"/>
    <x v="0"/>
    <x v="1"/>
    <x v="1"/>
    <x v="4"/>
    <x v="13"/>
    <x v="0"/>
    <x v="20"/>
    <n v="0"/>
    <n v="0"/>
  </r>
  <r>
    <x v="0"/>
    <x v="0"/>
    <x v="1"/>
    <x v="1"/>
    <x v="4"/>
    <x v="13"/>
    <x v="0"/>
    <x v="21"/>
    <n v="0"/>
    <n v="0"/>
  </r>
  <r>
    <x v="0"/>
    <x v="0"/>
    <x v="1"/>
    <x v="1"/>
    <x v="4"/>
    <x v="13"/>
    <x v="0"/>
    <x v="22"/>
    <n v="0"/>
    <n v="0"/>
  </r>
  <r>
    <x v="0"/>
    <x v="0"/>
    <x v="1"/>
    <x v="1"/>
    <x v="4"/>
    <x v="13"/>
    <x v="0"/>
    <x v="23"/>
    <n v="0"/>
    <n v="0"/>
  </r>
  <r>
    <x v="0"/>
    <x v="0"/>
    <x v="1"/>
    <x v="1"/>
    <x v="4"/>
    <x v="14"/>
    <x v="0"/>
    <x v="0"/>
    <n v="1.07571979682923"/>
    <n v="3.87259126858523"/>
  </r>
  <r>
    <x v="0"/>
    <x v="0"/>
    <x v="1"/>
    <x v="1"/>
    <x v="4"/>
    <x v="14"/>
    <x v="0"/>
    <x v="1"/>
    <n v="1.07571979682923"/>
    <n v="3.87259126858523"/>
  </r>
  <r>
    <x v="0"/>
    <x v="0"/>
    <x v="1"/>
    <x v="1"/>
    <x v="4"/>
    <x v="14"/>
    <x v="0"/>
    <x v="2"/>
    <n v="1.07571979682923"/>
    <n v="3.87259126858523"/>
  </r>
  <r>
    <x v="0"/>
    <x v="0"/>
    <x v="1"/>
    <x v="1"/>
    <x v="4"/>
    <x v="14"/>
    <x v="0"/>
    <x v="3"/>
    <n v="1.07571979682923"/>
    <n v="3.87259126858523"/>
  </r>
  <r>
    <x v="0"/>
    <x v="0"/>
    <x v="1"/>
    <x v="1"/>
    <x v="4"/>
    <x v="14"/>
    <x v="0"/>
    <x v="4"/>
    <n v="1.07571979682923"/>
    <n v="3.87259126858523"/>
  </r>
  <r>
    <x v="0"/>
    <x v="0"/>
    <x v="1"/>
    <x v="1"/>
    <x v="4"/>
    <x v="14"/>
    <x v="0"/>
    <x v="5"/>
    <n v="1.07571979682923"/>
    <n v="3.87259126858523"/>
  </r>
  <r>
    <x v="0"/>
    <x v="0"/>
    <x v="1"/>
    <x v="1"/>
    <x v="4"/>
    <x v="14"/>
    <x v="0"/>
    <x v="6"/>
    <n v="1.07571979682923"/>
    <n v="3.87259126858523"/>
  </r>
  <r>
    <x v="0"/>
    <x v="0"/>
    <x v="1"/>
    <x v="1"/>
    <x v="4"/>
    <x v="14"/>
    <x v="0"/>
    <x v="7"/>
    <n v="1.07571979682923"/>
    <n v="3.87259126858523"/>
  </r>
  <r>
    <x v="0"/>
    <x v="0"/>
    <x v="1"/>
    <x v="1"/>
    <x v="4"/>
    <x v="14"/>
    <x v="0"/>
    <x v="8"/>
    <n v="1.07571979682923"/>
    <n v="3.87259126858523"/>
  </r>
  <r>
    <x v="0"/>
    <x v="0"/>
    <x v="1"/>
    <x v="1"/>
    <x v="4"/>
    <x v="14"/>
    <x v="0"/>
    <x v="9"/>
    <n v="1.07571979682923"/>
    <n v="3.87259126858523"/>
  </r>
  <r>
    <x v="0"/>
    <x v="0"/>
    <x v="1"/>
    <x v="1"/>
    <x v="4"/>
    <x v="14"/>
    <x v="0"/>
    <x v="10"/>
    <n v="1.07571979682923"/>
    <n v="3.87259126858523"/>
  </r>
  <r>
    <x v="0"/>
    <x v="0"/>
    <x v="1"/>
    <x v="1"/>
    <x v="4"/>
    <x v="14"/>
    <x v="0"/>
    <x v="11"/>
    <n v="1.07571979682923"/>
    <n v="3.87259126858523"/>
  </r>
  <r>
    <x v="0"/>
    <x v="0"/>
    <x v="1"/>
    <x v="1"/>
    <x v="4"/>
    <x v="14"/>
    <x v="0"/>
    <x v="12"/>
    <n v="1.07571979682923"/>
    <n v="3.87259126858523"/>
  </r>
  <r>
    <x v="0"/>
    <x v="0"/>
    <x v="1"/>
    <x v="1"/>
    <x v="4"/>
    <x v="14"/>
    <x v="0"/>
    <x v="13"/>
    <n v="1.07571979682923"/>
    <n v="3.87259126858523"/>
  </r>
  <r>
    <x v="0"/>
    <x v="0"/>
    <x v="1"/>
    <x v="1"/>
    <x v="4"/>
    <x v="14"/>
    <x v="0"/>
    <x v="14"/>
    <n v="1.07571979682923"/>
    <n v="3.87259126858523"/>
  </r>
  <r>
    <x v="0"/>
    <x v="0"/>
    <x v="1"/>
    <x v="1"/>
    <x v="4"/>
    <x v="14"/>
    <x v="0"/>
    <x v="15"/>
    <n v="1.07571979682923"/>
    <n v="3.87259126858523"/>
  </r>
  <r>
    <x v="0"/>
    <x v="0"/>
    <x v="1"/>
    <x v="1"/>
    <x v="4"/>
    <x v="14"/>
    <x v="0"/>
    <x v="16"/>
    <n v="1.07571979682923"/>
    <n v="3.87259126858523"/>
  </r>
  <r>
    <x v="0"/>
    <x v="0"/>
    <x v="1"/>
    <x v="1"/>
    <x v="4"/>
    <x v="14"/>
    <x v="0"/>
    <x v="17"/>
    <n v="1.07571979682923"/>
    <n v="3.87259126858523"/>
  </r>
  <r>
    <x v="0"/>
    <x v="0"/>
    <x v="1"/>
    <x v="1"/>
    <x v="4"/>
    <x v="14"/>
    <x v="0"/>
    <x v="18"/>
    <n v="1.07571979682923"/>
    <n v="3.87259126858523"/>
  </r>
  <r>
    <x v="0"/>
    <x v="0"/>
    <x v="1"/>
    <x v="1"/>
    <x v="4"/>
    <x v="14"/>
    <x v="0"/>
    <x v="19"/>
    <n v="1.07571979682923"/>
    <n v="3.87259126858523"/>
  </r>
  <r>
    <x v="0"/>
    <x v="0"/>
    <x v="1"/>
    <x v="1"/>
    <x v="4"/>
    <x v="14"/>
    <x v="0"/>
    <x v="20"/>
    <n v="1.07571979682923"/>
    <n v="3.87259126858523"/>
  </r>
  <r>
    <x v="0"/>
    <x v="0"/>
    <x v="1"/>
    <x v="1"/>
    <x v="4"/>
    <x v="14"/>
    <x v="0"/>
    <x v="21"/>
    <n v="1.07571979682923"/>
    <n v="3.87259126858523"/>
  </r>
  <r>
    <x v="0"/>
    <x v="0"/>
    <x v="1"/>
    <x v="1"/>
    <x v="4"/>
    <x v="14"/>
    <x v="0"/>
    <x v="22"/>
    <n v="0"/>
    <n v="0"/>
  </r>
  <r>
    <x v="0"/>
    <x v="0"/>
    <x v="1"/>
    <x v="1"/>
    <x v="4"/>
    <x v="14"/>
    <x v="0"/>
    <x v="23"/>
    <n v="0"/>
    <n v="0"/>
  </r>
  <r>
    <x v="0"/>
    <x v="0"/>
    <x v="0"/>
    <x v="1"/>
    <x v="5"/>
    <x v="15"/>
    <x v="0"/>
    <x v="0"/>
    <n v="1.6832941176470599"/>
    <n v="6.0598588235294102"/>
  </r>
  <r>
    <x v="0"/>
    <x v="0"/>
    <x v="0"/>
    <x v="1"/>
    <x v="5"/>
    <x v="15"/>
    <x v="0"/>
    <x v="1"/>
    <n v="1.6832941176470599"/>
    <n v="6.0598588235294102"/>
  </r>
  <r>
    <x v="0"/>
    <x v="0"/>
    <x v="0"/>
    <x v="1"/>
    <x v="5"/>
    <x v="15"/>
    <x v="0"/>
    <x v="2"/>
    <n v="1.6832941176470599"/>
    <n v="6.0598588235294102"/>
  </r>
  <r>
    <x v="0"/>
    <x v="0"/>
    <x v="0"/>
    <x v="1"/>
    <x v="5"/>
    <x v="15"/>
    <x v="0"/>
    <x v="3"/>
    <n v="1.6832941176470599"/>
    <n v="6.0598588235294102"/>
  </r>
  <r>
    <x v="0"/>
    <x v="0"/>
    <x v="0"/>
    <x v="1"/>
    <x v="5"/>
    <x v="15"/>
    <x v="0"/>
    <x v="4"/>
    <n v="1.6832941176470599"/>
    <n v="6.0598588235294102"/>
  </r>
  <r>
    <x v="0"/>
    <x v="0"/>
    <x v="0"/>
    <x v="1"/>
    <x v="5"/>
    <x v="15"/>
    <x v="0"/>
    <x v="5"/>
    <n v="6.2136277411764702"/>
    <n v="22.369059868235301"/>
  </r>
  <r>
    <x v="0"/>
    <x v="0"/>
    <x v="0"/>
    <x v="1"/>
    <x v="5"/>
    <x v="15"/>
    <x v="0"/>
    <x v="6"/>
    <n v="6.2136277411764702"/>
    <n v="22.369059868235301"/>
  </r>
  <r>
    <x v="0"/>
    <x v="0"/>
    <x v="0"/>
    <x v="1"/>
    <x v="5"/>
    <x v="15"/>
    <x v="0"/>
    <x v="7"/>
    <n v="6.2136277411764702"/>
    <n v="22.369059868235301"/>
  </r>
  <r>
    <x v="0"/>
    <x v="0"/>
    <x v="0"/>
    <x v="1"/>
    <x v="5"/>
    <x v="15"/>
    <x v="0"/>
    <x v="8"/>
    <n v="6.2136277411764702"/>
    <n v="22.369059868235301"/>
  </r>
  <r>
    <x v="0"/>
    <x v="0"/>
    <x v="0"/>
    <x v="1"/>
    <x v="5"/>
    <x v="15"/>
    <x v="0"/>
    <x v="9"/>
    <n v="6.2136277411764702"/>
    <n v="22.369059868235301"/>
  </r>
  <r>
    <x v="0"/>
    <x v="0"/>
    <x v="0"/>
    <x v="1"/>
    <x v="5"/>
    <x v="15"/>
    <x v="0"/>
    <x v="10"/>
    <n v="6.2136277411764702"/>
    <n v="22.369059868235301"/>
  </r>
  <r>
    <x v="0"/>
    <x v="0"/>
    <x v="0"/>
    <x v="1"/>
    <x v="5"/>
    <x v="15"/>
    <x v="0"/>
    <x v="11"/>
    <n v="6.2136277411764702"/>
    <n v="22.369059868235301"/>
  </r>
  <r>
    <x v="0"/>
    <x v="0"/>
    <x v="0"/>
    <x v="1"/>
    <x v="5"/>
    <x v="15"/>
    <x v="0"/>
    <x v="12"/>
    <n v="6.2136277411764702"/>
    <n v="22.369059868235301"/>
  </r>
  <r>
    <x v="0"/>
    <x v="0"/>
    <x v="0"/>
    <x v="1"/>
    <x v="5"/>
    <x v="15"/>
    <x v="0"/>
    <x v="13"/>
    <n v="6.2136277411764702"/>
    <n v="22.369059868235301"/>
  </r>
  <r>
    <x v="0"/>
    <x v="0"/>
    <x v="0"/>
    <x v="1"/>
    <x v="5"/>
    <x v="15"/>
    <x v="0"/>
    <x v="14"/>
    <n v="6.2136277411764702"/>
    <n v="22.369059868235301"/>
  </r>
  <r>
    <x v="0"/>
    <x v="0"/>
    <x v="0"/>
    <x v="1"/>
    <x v="5"/>
    <x v="15"/>
    <x v="0"/>
    <x v="15"/>
    <n v="6.2136277411764702"/>
    <n v="22.369059868235301"/>
  </r>
  <r>
    <x v="0"/>
    <x v="0"/>
    <x v="0"/>
    <x v="1"/>
    <x v="5"/>
    <x v="15"/>
    <x v="0"/>
    <x v="16"/>
    <n v="6.2136277411764702"/>
    <n v="22.369059868235301"/>
  </r>
  <r>
    <x v="0"/>
    <x v="0"/>
    <x v="0"/>
    <x v="1"/>
    <x v="5"/>
    <x v="15"/>
    <x v="0"/>
    <x v="17"/>
    <n v="1.6832941176470599"/>
    <n v="6.0598588235294102"/>
  </r>
  <r>
    <x v="0"/>
    <x v="0"/>
    <x v="0"/>
    <x v="1"/>
    <x v="5"/>
    <x v="15"/>
    <x v="0"/>
    <x v="18"/>
    <n v="1.6832941176470599"/>
    <n v="6.0598588235294102"/>
  </r>
  <r>
    <x v="0"/>
    <x v="0"/>
    <x v="0"/>
    <x v="1"/>
    <x v="5"/>
    <x v="15"/>
    <x v="0"/>
    <x v="19"/>
    <n v="1.6832941176470599"/>
    <n v="6.0598588235294102"/>
  </r>
  <r>
    <x v="0"/>
    <x v="0"/>
    <x v="0"/>
    <x v="1"/>
    <x v="5"/>
    <x v="15"/>
    <x v="0"/>
    <x v="20"/>
    <n v="1.6832941176470599"/>
    <n v="6.0598588235294102"/>
  </r>
  <r>
    <x v="0"/>
    <x v="0"/>
    <x v="0"/>
    <x v="1"/>
    <x v="5"/>
    <x v="15"/>
    <x v="0"/>
    <x v="21"/>
    <n v="1.6832941176470599"/>
    <n v="6.0598588235294102"/>
  </r>
  <r>
    <x v="0"/>
    <x v="0"/>
    <x v="0"/>
    <x v="1"/>
    <x v="5"/>
    <x v="15"/>
    <x v="0"/>
    <x v="22"/>
    <n v="1.6832941176470599"/>
    <n v="6.0598588235294102"/>
  </r>
  <r>
    <x v="0"/>
    <x v="0"/>
    <x v="0"/>
    <x v="1"/>
    <x v="5"/>
    <x v="15"/>
    <x v="0"/>
    <x v="23"/>
    <n v="1.6832941176470599"/>
    <n v="6.0598588235294102"/>
  </r>
  <r>
    <x v="0"/>
    <x v="0"/>
    <x v="1"/>
    <x v="1"/>
    <x v="5"/>
    <x v="15"/>
    <x v="0"/>
    <x v="0"/>
    <n v="0"/>
    <n v="0"/>
  </r>
  <r>
    <x v="0"/>
    <x v="0"/>
    <x v="1"/>
    <x v="1"/>
    <x v="5"/>
    <x v="15"/>
    <x v="0"/>
    <x v="1"/>
    <n v="0"/>
    <n v="0"/>
  </r>
  <r>
    <x v="0"/>
    <x v="0"/>
    <x v="1"/>
    <x v="1"/>
    <x v="5"/>
    <x v="15"/>
    <x v="0"/>
    <x v="2"/>
    <n v="0"/>
    <n v="0"/>
  </r>
  <r>
    <x v="0"/>
    <x v="0"/>
    <x v="1"/>
    <x v="1"/>
    <x v="5"/>
    <x v="15"/>
    <x v="0"/>
    <x v="3"/>
    <n v="0"/>
    <n v="0"/>
  </r>
  <r>
    <x v="0"/>
    <x v="0"/>
    <x v="1"/>
    <x v="1"/>
    <x v="5"/>
    <x v="15"/>
    <x v="0"/>
    <x v="4"/>
    <n v="0"/>
    <n v="0"/>
  </r>
  <r>
    <x v="0"/>
    <x v="0"/>
    <x v="1"/>
    <x v="1"/>
    <x v="5"/>
    <x v="15"/>
    <x v="0"/>
    <x v="5"/>
    <n v="0"/>
    <n v="0"/>
  </r>
  <r>
    <x v="0"/>
    <x v="0"/>
    <x v="1"/>
    <x v="1"/>
    <x v="5"/>
    <x v="15"/>
    <x v="0"/>
    <x v="6"/>
    <n v="0"/>
    <n v="0"/>
  </r>
  <r>
    <x v="0"/>
    <x v="0"/>
    <x v="1"/>
    <x v="1"/>
    <x v="5"/>
    <x v="15"/>
    <x v="0"/>
    <x v="7"/>
    <n v="0"/>
    <n v="0"/>
  </r>
  <r>
    <x v="0"/>
    <x v="0"/>
    <x v="1"/>
    <x v="1"/>
    <x v="5"/>
    <x v="15"/>
    <x v="0"/>
    <x v="8"/>
    <n v="0"/>
    <n v="0"/>
  </r>
  <r>
    <x v="0"/>
    <x v="0"/>
    <x v="1"/>
    <x v="1"/>
    <x v="5"/>
    <x v="15"/>
    <x v="0"/>
    <x v="9"/>
    <n v="0"/>
    <n v="0"/>
  </r>
  <r>
    <x v="0"/>
    <x v="0"/>
    <x v="1"/>
    <x v="1"/>
    <x v="5"/>
    <x v="15"/>
    <x v="0"/>
    <x v="10"/>
    <n v="0"/>
    <n v="0"/>
  </r>
  <r>
    <x v="0"/>
    <x v="0"/>
    <x v="1"/>
    <x v="1"/>
    <x v="5"/>
    <x v="15"/>
    <x v="0"/>
    <x v="11"/>
    <n v="0"/>
    <n v="0"/>
  </r>
  <r>
    <x v="0"/>
    <x v="0"/>
    <x v="1"/>
    <x v="1"/>
    <x v="5"/>
    <x v="15"/>
    <x v="0"/>
    <x v="12"/>
    <n v="0"/>
    <n v="0"/>
  </r>
  <r>
    <x v="0"/>
    <x v="0"/>
    <x v="1"/>
    <x v="1"/>
    <x v="5"/>
    <x v="15"/>
    <x v="0"/>
    <x v="13"/>
    <n v="0"/>
    <n v="0"/>
  </r>
  <r>
    <x v="0"/>
    <x v="0"/>
    <x v="1"/>
    <x v="1"/>
    <x v="5"/>
    <x v="15"/>
    <x v="0"/>
    <x v="14"/>
    <n v="0"/>
    <n v="0"/>
  </r>
  <r>
    <x v="0"/>
    <x v="0"/>
    <x v="1"/>
    <x v="1"/>
    <x v="5"/>
    <x v="15"/>
    <x v="0"/>
    <x v="15"/>
    <n v="0"/>
    <n v="0"/>
  </r>
  <r>
    <x v="0"/>
    <x v="0"/>
    <x v="1"/>
    <x v="1"/>
    <x v="5"/>
    <x v="15"/>
    <x v="0"/>
    <x v="16"/>
    <n v="0"/>
    <n v="0"/>
  </r>
  <r>
    <x v="0"/>
    <x v="0"/>
    <x v="1"/>
    <x v="1"/>
    <x v="5"/>
    <x v="15"/>
    <x v="0"/>
    <x v="17"/>
    <n v="0"/>
    <n v="0"/>
  </r>
  <r>
    <x v="0"/>
    <x v="0"/>
    <x v="1"/>
    <x v="1"/>
    <x v="5"/>
    <x v="15"/>
    <x v="0"/>
    <x v="18"/>
    <n v="0"/>
    <n v="0"/>
  </r>
  <r>
    <x v="0"/>
    <x v="0"/>
    <x v="1"/>
    <x v="1"/>
    <x v="5"/>
    <x v="15"/>
    <x v="0"/>
    <x v="19"/>
    <n v="0"/>
    <n v="0"/>
  </r>
  <r>
    <x v="0"/>
    <x v="0"/>
    <x v="1"/>
    <x v="1"/>
    <x v="5"/>
    <x v="15"/>
    <x v="0"/>
    <x v="20"/>
    <n v="0"/>
    <n v="0"/>
  </r>
  <r>
    <x v="0"/>
    <x v="0"/>
    <x v="1"/>
    <x v="1"/>
    <x v="5"/>
    <x v="15"/>
    <x v="0"/>
    <x v="21"/>
    <n v="0"/>
    <n v="0"/>
  </r>
  <r>
    <x v="0"/>
    <x v="0"/>
    <x v="1"/>
    <x v="1"/>
    <x v="5"/>
    <x v="15"/>
    <x v="0"/>
    <x v="22"/>
    <n v="0"/>
    <n v="0"/>
  </r>
  <r>
    <x v="0"/>
    <x v="0"/>
    <x v="1"/>
    <x v="1"/>
    <x v="5"/>
    <x v="15"/>
    <x v="0"/>
    <x v="23"/>
    <n v="0"/>
    <n v="0"/>
  </r>
  <r>
    <x v="0"/>
    <x v="0"/>
    <x v="0"/>
    <x v="1"/>
    <x v="6"/>
    <x v="16"/>
    <x v="0"/>
    <x v="0"/>
    <n v="6.2136277411764702"/>
    <n v="22.369059868235301"/>
  </r>
  <r>
    <x v="0"/>
    <x v="0"/>
    <x v="0"/>
    <x v="1"/>
    <x v="6"/>
    <x v="16"/>
    <x v="0"/>
    <x v="1"/>
    <n v="6.2136277411764702"/>
    <n v="22.369059868235301"/>
  </r>
  <r>
    <x v="0"/>
    <x v="0"/>
    <x v="0"/>
    <x v="1"/>
    <x v="6"/>
    <x v="16"/>
    <x v="0"/>
    <x v="2"/>
    <n v="6.2136277411764702"/>
    <n v="22.369059868235301"/>
  </r>
  <r>
    <x v="0"/>
    <x v="0"/>
    <x v="0"/>
    <x v="1"/>
    <x v="6"/>
    <x v="16"/>
    <x v="0"/>
    <x v="3"/>
    <n v="6.2136277411764702"/>
    <n v="22.369059868235301"/>
  </r>
  <r>
    <x v="0"/>
    <x v="0"/>
    <x v="0"/>
    <x v="1"/>
    <x v="6"/>
    <x v="16"/>
    <x v="0"/>
    <x v="4"/>
    <n v="6.2136277411764702"/>
    <n v="22.369059868235301"/>
  </r>
  <r>
    <x v="0"/>
    <x v="0"/>
    <x v="0"/>
    <x v="1"/>
    <x v="6"/>
    <x v="16"/>
    <x v="0"/>
    <x v="5"/>
    <n v="6.2136277411764702"/>
    <n v="22.369059868235301"/>
  </r>
  <r>
    <x v="0"/>
    <x v="0"/>
    <x v="0"/>
    <x v="1"/>
    <x v="6"/>
    <x v="16"/>
    <x v="0"/>
    <x v="6"/>
    <n v="6.2136277411764702"/>
    <n v="22.369059868235301"/>
  </r>
  <r>
    <x v="0"/>
    <x v="0"/>
    <x v="0"/>
    <x v="1"/>
    <x v="6"/>
    <x v="16"/>
    <x v="0"/>
    <x v="7"/>
    <n v="6.2136277411764702"/>
    <n v="22.369059868235301"/>
  </r>
  <r>
    <x v="0"/>
    <x v="0"/>
    <x v="0"/>
    <x v="1"/>
    <x v="6"/>
    <x v="16"/>
    <x v="0"/>
    <x v="8"/>
    <n v="6.2136277411764702"/>
    <n v="22.369059868235301"/>
  </r>
  <r>
    <x v="0"/>
    <x v="0"/>
    <x v="0"/>
    <x v="1"/>
    <x v="6"/>
    <x v="16"/>
    <x v="0"/>
    <x v="9"/>
    <n v="6.2136277411764702"/>
    <n v="22.369059868235301"/>
  </r>
  <r>
    <x v="0"/>
    <x v="0"/>
    <x v="0"/>
    <x v="1"/>
    <x v="6"/>
    <x v="16"/>
    <x v="0"/>
    <x v="10"/>
    <n v="6.2136277411764702"/>
    <n v="22.369059868235301"/>
  </r>
  <r>
    <x v="0"/>
    <x v="0"/>
    <x v="0"/>
    <x v="1"/>
    <x v="6"/>
    <x v="16"/>
    <x v="0"/>
    <x v="11"/>
    <n v="6.2136277411764702"/>
    <n v="22.369059868235301"/>
  </r>
  <r>
    <x v="0"/>
    <x v="0"/>
    <x v="0"/>
    <x v="1"/>
    <x v="6"/>
    <x v="16"/>
    <x v="0"/>
    <x v="12"/>
    <n v="6.2136277411764702"/>
    <n v="22.369059868235301"/>
  </r>
  <r>
    <x v="0"/>
    <x v="0"/>
    <x v="0"/>
    <x v="1"/>
    <x v="6"/>
    <x v="16"/>
    <x v="0"/>
    <x v="13"/>
    <n v="6.2136277411764702"/>
    <n v="22.369059868235301"/>
  </r>
  <r>
    <x v="0"/>
    <x v="0"/>
    <x v="0"/>
    <x v="1"/>
    <x v="6"/>
    <x v="16"/>
    <x v="0"/>
    <x v="14"/>
    <n v="6.2136277411764702"/>
    <n v="22.369059868235301"/>
  </r>
  <r>
    <x v="0"/>
    <x v="0"/>
    <x v="0"/>
    <x v="1"/>
    <x v="6"/>
    <x v="16"/>
    <x v="0"/>
    <x v="15"/>
    <n v="6.2136277411764702"/>
    <n v="22.369059868235301"/>
  </r>
  <r>
    <x v="0"/>
    <x v="0"/>
    <x v="0"/>
    <x v="1"/>
    <x v="6"/>
    <x v="16"/>
    <x v="0"/>
    <x v="16"/>
    <n v="6.2136277411764702"/>
    <n v="22.369059868235301"/>
  </r>
  <r>
    <x v="0"/>
    <x v="0"/>
    <x v="0"/>
    <x v="1"/>
    <x v="6"/>
    <x v="16"/>
    <x v="0"/>
    <x v="17"/>
    <n v="6.2136277411764702"/>
    <n v="22.369059868235301"/>
  </r>
  <r>
    <x v="0"/>
    <x v="0"/>
    <x v="0"/>
    <x v="1"/>
    <x v="6"/>
    <x v="16"/>
    <x v="0"/>
    <x v="18"/>
    <n v="6.2136277411764702"/>
    <n v="22.369059868235301"/>
  </r>
  <r>
    <x v="0"/>
    <x v="0"/>
    <x v="0"/>
    <x v="1"/>
    <x v="6"/>
    <x v="16"/>
    <x v="0"/>
    <x v="19"/>
    <n v="6.2136277411764702"/>
    <n v="22.369059868235301"/>
  </r>
  <r>
    <x v="0"/>
    <x v="0"/>
    <x v="0"/>
    <x v="1"/>
    <x v="6"/>
    <x v="16"/>
    <x v="0"/>
    <x v="20"/>
    <n v="6.2136277411764702"/>
    <n v="22.369059868235301"/>
  </r>
  <r>
    <x v="0"/>
    <x v="0"/>
    <x v="0"/>
    <x v="1"/>
    <x v="6"/>
    <x v="16"/>
    <x v="0"/>
    <x v="21"/>
    <n v="6.2136277411764702"/>
    <n v="22.369059868235301"/>
  </r>
  <r>
    <x v="0"/>
    <x v="0"/>
    <x v="0"/>
    <x v="1"/>
    <x v="6"/>
    <x v="16"/>
    <x v="0"/>
    <x v="22"/>
    <n v="6.2136277411764702"/>
    <n v="22.369059868235301"/>
  </r>
  <r>
    <x v="0"/>
    <x v="0"/>
    <x v="0"/>
    <x v="1"/>
    <x v="6"/>
    <x v="16"/>
    <x v="0"/>
    <x v="23"/>
    <n v="6.2136277411764702"/>
    <n v="22.369059868235301"/>
  </r>
  <r>
    <x v="0"/>
    <x v="0"/>
    <x v="1"/>
    <x v="1"/>
    <x v="6"/>
    <x v="16"/>
    <x v="0"/>
    <x v="0"/>
    <n v="0"/>
    <n v="0"/>
  </r>
  <r>
    <x v="0"/>
    <x v="0"/>
    <x v="1"/>
    <x v="1"/>
    <x v="6"/>
    <x v="16"/>
    <x v="0"/>
    <x v="1"/>
    <n v="0"/>
    <n v="0"/>
  </r>
  <r>
    <x v="0"/>
    <x v="0"/>
    <x v="1"/>
    <x v="1"/>
    <x v="6"/>
    <x v="16"/>
    <x v="0"/>
    <x v="2"/>
    <n v="0"/>
    <n v="0"/>
  </r>
  <r>
    <x v="0"/>
    <x v="0"/>
    <x v="1"/>
    <x v="1"/>
    <x v="6"/>
    <x v="16"/>
    <x v="0"/>
    <x v="3"/>
    <n v="0"/>
    <n v="0"/>
  </r>
  <r>
    <x v="0"/>
    <x v="0"/>
    <x v="1"/>
    <x v="1"/>
    <x v="6"/>
    <x v="16"/>
    <x v="0"/>
    <x v="4"/>
    <n v="0"/>
    <n v="0"/>
  </r>
  <r>
    <x v="0"/>
    <x v="0"/>
    <x v="1"/>
    <x v="1"/>
    <x v="6"/>
    <x v="16"/>
    <x v="0"/>
    <x v="5"/>
    <n v="0"/>
    <n v="0"/>
  </r>
  <r>
    <x v="0"/>
    <x v="0"/>
    <x v="1"/>
    <x v="1"/>
    <x v="6"/>
    <x v="16"/>
    <x v="0"/>
    <x v="6"/>
    <n v="0"/>
    <n v="0"/>
  </r>
  <r>
    <x v="0"/>
    <x v="0"/>
    <x v="1"/>
    <x v="1"/>
    <x v="6"/>
    <x v="16"/>
    <x v="0"/>
    <x v="7"/>
    <n v="0"/>
    <n v="0"/>
  </r>
  <r>
    <x v="0"/>
    <x v="0"/>
    <x v="1"/>
    <x v="1"/>
    <x v="6"/>
    <x v="16"/>
    <x v="0"/>
    <x v="8"/>
    <n v="0"/>
    <n v="0"/>
  </r>
  <r>
    <x v="0"/>
    <x v="0"/>
    <x v="1"/>
    <x v="1"/>
    <x v="6"/>
    <x v="16"/>
    <x v="0"/>
    <x v="9"/>
    <n v="0"/>
    <n v="0"/>
  </r>
  <r>
    <x v="0"/>
    <x v="0"/>
    <x v="1"/>
    <x v="1"/>
    <x v="6"/>
    <x v="16"/>
    <x v="0"/>
    <x v="10"/>
    <n v="0"/>
    <n v="0"/>
  </r>
  <r>
    <x v="0"/>
    <x v="0"/>
    <x v="1"/>
    <x v="1"/>
    <x v="6"/>
    <x v="16"/>
    <x v="0"/>
    <x v="11"/>
    <n v="0"/>
    <n v="0"/>
  </r>
  <r>
    <x v="0"/>
    <x v="0"/>
    <x v="1"/>
    <x v="1"/>
    <x v="6"/>
    <x v="16"/>
    <x v="0"/>
    <x v="12"/>
    <n v="0"/>
    <n v="0"/>
  </r>
  <r>
    <x v="0"/>
    <x v="0"/>
    <x v="1"/>
    <x v="1"/>
    <x v="6"/>
    <x v="16"/>
    <x v="0"/>
    <x v="13"/>
    <n v="0"/>
    <n v="0"/>
  </r>
  <r>
    <x v="0"/>
    <x v="0"/>
    <x v="1"/>
    <x v="1"/>
    <x v="6"/>
    <x v="16"/>
    <x v="0"/>
    <x v="14"/>
    <n v="0"/>
    <n v="0"/>
  </r>
  <r>
    <x v="0"/>
    <x v="0"/>
    <x v="1"/>
    <x v="1"/>
    <x v="6"/>
    <x v="16"/>
    <x v="0"/>
    <x v="15"/>
    <n v="0"/>
    <n v="0"/>
  </r>
  <r>
    <x v="0"/>
    <x v="0"/>
    <x v="1"/>
    <x v="1"/>
    <x v="6"/>
    <x v="16"/>
    <x v="0"/>
    <x v="16"/>
    <n v="0"/>
    <n v="0"/>
  </r>
  <r>
    <x v="0"/>
    <x v="0"/>
    <x v="1"/>
    <x v="1"/>
    <x v="6"/>
    <x v="16"/>
    <x v="0"/>
    <x v="17"/>
    <n v="0"/>
    <n v="0"/>
  </r>
  <r>
    <x v="0"/>
    <x v="0"/>
    <x v="1"/>
    <x v="1"/>
    <x v="6"/>
    <x v="16"/>
    <x v="0"/>
    <x v="18"/>
    <n v="0"/>
    <n v="0"/>
  </r>
  <r>
    <x v="0"/>
    <x v="0"/>
    <x v="1"/>
    <x v="1"/>
    <x v="6"/>
    <x v="16"/>
    <x v="0"/>
    <x v="19"/>
    <n v="0"/>
    <n v="0"/>
  </r>
  <r>
    <x v="0"/>
    <x v="0"/>
    <x v="1"/>
    <x v="1"/>
    <x v="6"/>
    <x v="16"/>
    <x v="0"/>
    <x v="20"/>
    <n v="0"/>
    <n v="0"/>
  </r>
  <r>
    <x v="0"/>
    <x v="0"/>
    <x v="1"/>
    <x v="1"/>
    <x v="6"/>
    <x v="16"/>
    <x v="0"/>
    <x v="21"/>
    <n v="0"/>
    <n v="0"/>
  </r>
  <r>
    <x v="0"/>
    <x v="0"/>
    <x v="1"/>
    <x v="1"/>
    <x v="6"/>
    <x v="16"/>
    <x v="0"/>
    <x v="22"/>
    <n v="0"/>
    <n v="0"/>
  </r>
  <r>
    <x v="0"/>
    <x v="0"/>
    <x v="1"/>
    <x v="1"/>
    <x v="6"/>
    <x v="16"/>
    <x v="0"/>
    <x v="23"/>
    <n v="0"/>
    <n v="0"/>
  </r>
  <r>
    <x v="0"/>
    <x v="0"/>
    <x v="0"/>
    <x v="2"/>
    <x v="7"/>
    <x v="17"/>
    <x v="0"/>
    <x v="0"/>
    <n v="1.40211287489644"/>
    <n v="5.0476063496271797"/>
  </r>
  <r>
    <x v="0"/>
    <x v="0"/>
    <x v="0"/>
    <x v="2"/>
    <x v="7"/>
    <x v="17"/>
    <x v="0"/>
    <x v="1"/>
    <n v="1.40211287489644"/>
    <n v="5.0476063496271797"/>
  </r>
  <r>
    <x v="0"/>
    <x v="0"/>
    <x v="0"/>
    <x v="2"/>
    <x v="7"/>
    <x v="17"/>
    <x v="0"/>
    <x v="2"/>
    <n v="1.40211287489644"/>
    <n v="5.0476063496271797"/>
  </r>
  <r>
    <x v="0"/>
    <x v="0"/>
    <x v="0"/>
    <x v="2"/>
    <x v="7"/>
    <x v="17"/>
    <x v="0"/>
    <x v="3"/>
    <n v="1.40211287489644"/>
    <n v="5.0476063496271797"/>
  </r>
  <r>
    <x v="0"/>
    <x v="0"/>
    <x v="0"/>
    <x v="2"/>
    <x v="7"/>
    <x v="17"/>
    <x v="0"/>
    <x v="4"/>
    <n v="1.40211287489644"/>
    <n v="5.0476063496271797"/>
  </r>
  <r>
    <x v="0"/>
    <x v="0"/>
    <x v="0"/>
    <x v="2"/>
    <x v="7"/>
    <x v="17"/>
    <x v="0"/>
    <x v="5"/>
    <n v="1.40211287489644"/>
    <n v="5.0476063496271797"/>
  </r>
  <r>
    <x v="0"/>
    <x v="0"/>
    <x v="0"/>
    <x v="2"/>
    <x v="7"/>
    <x v="17"/>
    <x v="0"/>
    <x v="6"/>
    <n v="1.40211287489644"/>
    <n v="5.0476063496271797"/>
  </r>
  <r>
    <x v="0"/>
    <x v="0"/>
    <x v="0"/>
    <x v="2"/>
    <x v="7"/>
    <x v="17"/>
    <x v="0"/>
    <x v="7"/>
    <n v="1.40211287489644"/>
    <n v="5.0476063496271797"/>
  </r>
  <r>
    <x v="0"/>
    <x v="0"/>
    <x v="0"/>
    <x v="2"/>
    <x v="7"/>
    <x v="17"/>
    <x v="0"/>
    <x v="8"/>
    <n v="1.40211287489644"/>
    <n v="5.0476063496271797"/>
  </r>
  <r>
    <x v="0"/>
    <x v="0"/>
    <x v="0"/>
    <x v="2"/>
    <x v="7"/>
    <x v="17"/>
    <x v="0"/>
    <x v="9"/>
    <n v="1.40211287489644"/>
    <n v="5.0476063496271797"/>
  </r>
  <r>
    <x v="0"/>
    <x v="0"/>
    <x v="0"/>
    <x v="2"/>
    <x v="7"/>
    <x v="17"/>
    <x v="0"/>
    <x v="10"/>
    <n v="1.40211287489644"/>
    <n v="5.0476063496271797"/>
  </r>
  <r>
    <x v="0"/>
    <x v="0"/>
    <x v="0"/>
    <x v="2"/>
    <x v="7"/>
    <x v="17"/>
    <x v="0"/>
    <x v="11"/>
    <n v="1.40211287489644"/>
    <n v="5.0476063496271797"/>
  </r>
  <r>
    <x v="0"/>
    <x v="0"/>
    <x v="0"/>
    <x v="2"/>
    <x v="7"/>
    <x v="17"/>
    <x v="0"/>
    <x v="12"/>
    <n v="1.40211287489644"/>
    <n v="5.0476063496271797"/>
  </r>
  <r>
    <x v="0"/>
    <x v="0"/>
    <x v="0"/>
    <x v="2"/>
    <x v="7"/>
    <x v="17"/>
    <x v="0"/>
    <x v="13"/>
    <n v="1.40211287489644"/>
    <n v="5.0476063496271797"/>
  </r>
  <r>
    <x v="0"/>
    <x v="0"/>
    <x v="0"/>
    <x v="2"/>
    <x v="7"/>
    <x v="17"/>
    <x v="0"/>
    <x v="14"/>
    <n v="1.40211287489644"/>
    <n v="5.0476063496271797"/>
  </r>
  <r>
    <x v="0"/>
    <x v="0"/>
    <x v="0"/>
    <x v="2"/>
    <x v="7"/>
    <x v="17"/>
    <x v="0"/>
    <x v="15"/>
    <n v="1.40211287489644"/>
    <n v="5.0476063496271797"/>
  </r>
  <r>
    <x v="0"/>
    <x v="0"/>
    <x v="0"/>
    <x v="2"/>
    <x v="7"/>
    <x v="17"/>
    <x v="0"/>
    <x v="16"/>
    <n v="1.40211287489644"/>
    <n v="5.0476063496271797"/>
  </r>
  <r>
    <x v="0"/>
    <x v="0"/>
    <x v="0"/>
    <x v="2"/>
    <x v="7"/>
    <x v="17"/>
    <x v="0"/>
    <x v="17"/>
    <n v="1.40211287489644"/>
    <n v="5.0476063496271797"/>
  </r>
  <r>
    <x v="0"/>
    <x v="0"/>
    <x v="0"/>
    <x v="2"/>
    <x v="7"/>
    <x v="17"/>
    <x v="0"/>
    <x v="18"/>
    <n v="1.40211287489644"/>
    <n v="5.0476063496271797"/>
  </r>
  <r>
    <x v="0"/>
    <x v="0"/>
    <x v="0"/>
    <x v="2"/>
    <x v="7"/>
    <x v="17"/>
    <x v="0"/>
    <x v="19"/>
    <n v="1.40211287489644"/>
    <n v="5.0476063496271797"/>
  </r>
  <r>
    <x v="0"/>
    <x v="0"/>
    <x v="0"/>
    <x v="2"/>
    <x v="7"/>
    <x v="17"/>
    <x v="0"/>
    <x v="20"/>
    <n v="1.40211287489644"/>
    <n v="5.0476063496271797"/>
  </r>
  <r>
    <x v="0"/>
    <x v="0"/>
    <x v="0"/>
    <x v="2"/>
    <x v="7"/>
    <x v="17"/>
    <x v="0"/>
    <x v="21"/>
    <n v="1.40211287489644"/>
    <n v="5.0476063496271797"/>
  </r>
  <r>
    <x v="0"/>
    <x v="0"/>
    <x v="0"/>
    <x v="2"/>
    <x v="7"/>
    <x v="17"/>
    <x v="0"/>
    <x v="22"/>
    <n v="1.40211287489644"/>
    <n v="5.0476063496271797"/>
  </r>
  <r>
    <x v="0"/>
    <x v="0"/>
    <x v="0"/>
    <x v="2"/>
    <x v="7"/>
    <x v="17"/>
    <x v="0"/>
    <x v="23"/>
    <n v="1.40211287489644"/>
    <n v="5.0476063496271797"/>
  </r>
  <r>
    <x v="0"/>
    <x v="0"/>
    <x v="0"/>
    <x v="2"/>
    <x v="7"/>
    <x v="18"/>
    <x v="0"/>
    <x v="0"/>
    <n v="10.9507258910012"/>
    <n v="39.422613207604101"/>
  </r>
  <r>
    <x v="0"/>
    <x v="0"/>
    <x v="0"/>
    <x v="2"/>
    <x v="7"/>
    <x v="18"/>
    <x v="0"/>
    <x v="1"/>
    <n v="10.9507258910012"/>
    <n v="39.422613207604101"/>
  </r>
  <r>
    <x v="0"/>
    <x v="0"/>
    <x v="0"/>
    <x v="2"/>
    <x v="7"/>
    <x v="18"/>
    <x v="0"/>
    <x v="2"/>
    <n v="10.9507258910012"/>
    <n v="39.422613207604101"/>
  </r>
  <r>
    <x v="0"/>
    <x v="0"/>
    <x v="0"/>
    <x v="2"/>
    <x v="7"/>
    <x v="18"/>
    <x v="0"/>
    <x v="3"/>
    <n v="10.9507258910012"/>
    <n v="39.422613207604101"/>
  </r>
  <r>
    <x v="0"/>
    <x v="0"/>
    <x v="0"/>
    <x v="2"/>
    <x v="7"/>
    <x v="18"/>
    <x v="0"/>
    <x v="4"/>
    <n v="45.342984284028198"/>
    <n v="163.23474342250199"/>
  </r>
  <r>
    <x v="0"/>
    <x v="0"/>
    <x v="0"/>
    <x v="2"/>
    <x v="7"/>
    <x v="18"/>
    <x v="0"/>
    <x v="5"/>
    <n v="52.674412164007798"/>
    <n v="189.627883790428"/>
  </r>
  <r>
    <x v="0"/>
    <x v="0"/>
    <x v="0"/>
    <x v="2"/>
    <x v="7"/>
    <x v="18"/>
    <x v="0"/>
    <x v="6"/>
    <n v="52.674412164007798"/>
    <n v="189.627883790428"/>
  </r>
  <r>
    <x v="0"/>
    <x v="0"/>
    <x v="0"/>
    <x v="2"/>
    <x v="7"/>
    <x v="18"/>
    <x v="0"/>
    <x v="7"/>
    <n v="52.674412164007798"/>
    <n v="189.627883790428"/>
  </r>
  <r>
    <x v="0"/>
    <x v="0"/>
    <x v="0"/>
    <x v="2"/>
    <x v="7"/>
    <x v="18"/>
    <x v="0"/>
    <x v="8"/>
    <n v="52.674412164007798"/>
    <n v="189.627883790428"/>
  </r>
  <r>
    <x v="0"/>
    <x v="0"/>
    <x v="0"/>
    <x v="2"/>
    <x v="7"/>
    <x v="18"/>
    <x v="0"/>
    <x v="9"/>
    <n v="52.674412164007798"/>
    <n v="189.627883790428"/>
  </r>
  <r>
    <x v="0"/>
    <x v="0"/>
    <x v="0"/>
    <x v="2"/>
    <x v="7"/>
    <x v="18"/>
    <x v="0"/>
    <x v="10"/>
    <n v="52.674412164007798"/>
    <n v="189.627883790428"/>
  </r>
  <r>
    <x v="0"/>
    <x v="0"/>
    <x v="0"/>
    <x v="2"/>
    <x v="7"/>
    <x v="18"/>
    <x v="0"/>
    <x v="11"/>
    <n v="52.674412164007798"/>
    <n v="189.627883790428"/>
  </r>
  <r>
    <x v="0"/>
    <x v="0"/>
    <x v="0"/>
    <x v="2"/>
    <x v="7"/>
    <x v="18"/>
    <x v="0"/>
    <x v="12"/>
    <n v="52.674412164007798"/>
    <n v="189.627883790428"/>
  </r>
  <r>
    <x v="0"/>
    <x v="0"/>
    <x v="0"/>
    <x v="2"/>
    <x v="7"/>
    <x v="18"/>
    <x v="0"/>
    <x v="13"/>
    <n v="52.674412164007798"/>
    <n v="189.627883790428"/>
  </r>
  <r>
    <x v="0"/>
    <x v="0"/>
    <x v="0"/>
    <x v="2"/>
    <x v="7"/>
    <x v="18"/>
    <x v="0"/>
    <x v="14"/>
    <n v="52.674412164007798"/>
    <n v="189.627883790428"/>
  </r>
  <r>
    <x v="0"/>
    <x v="0"/>
    <x v="0"/>
    <x v="2"/>
    <x v="7"/>
    <x v="18"/>
    <x v="0"/>
    <x v="15"/>
    <n v="52.674412164007798"/>
    <n v="189.627883790428"/>
  </r>
  <r>
    <x v="0"/>
    <x v="0"/>
    <x v="0"/>
    <x v="2"/>
    <x v="7"/>
    <x v="18"/>
    <x v="0"/>
    <x v="16"/>
    <n v="52.674412164007798"/>
    <n v="189.627883790428"/>
  </r>
  <r>
    <x v="0"/>
    <x v="0"/>
    <x v="0"/>
    <x v="2"/>
    <x v="7"/>
    <x v="18"/>
    <x v="0"/>
    <x v="17"/>
    <n v="52.674412164007798"/>
    <n v="189.627883790428"/>
  </r>
  <r>
    <x v="0"/>
    <x v="0"/>
    <x v="0"/>
    <x v="2"/>
    <x v="7"/>
    <x v="18"/>
    <x v="0"/>
    <x v="18"/>
    <n v="52.674412164007798"/>
    <n v="189.627883790428"/>
  </r>
  <r>
    <x v="0"/>
    <x v="0"/>
    <x v="0"/>
    <x v="2"/>
    <x v="7"/>
    <x v="18"/>
    <x v="0"/>
    <x v="19"/>
    <n v="52.674412164007798"/>
    <n v="189.627883790428"/>
  </r>
  <r>
    <x v="0"/>
    <x v="0"/>
    <x v="0"/>
    <x v="2"/>
    <x v="7"/>
    <x v="18"/>
    <x v="0"/>
    <x v="20"/>
    <n v="52.674412164007798"/>
    <n v="189.627883790428"/>
  </r>
  <r>
    <x v="0"/>
    <x v="0"/>
    <x v="0"/>
    <x v="2"/>
    <x v="7"/>
    <x v="18"/>
    <x v="0"/>
    <x v="21"/>
    <n v="45.342984284028198"/>
    <n v="163.23474342250199"/>
  </r>
  <r>
    <x v="0"/>
    <x v="0"/>
    <x v="0"/>
    <x v="2"/>
    <x v="7"/>
    <x v="18"/>
    <x v="0"/>
    <x v="22"/>
    <n v="45.342984284028198"/>
    <n v="163.23474342250199"/>
  </r>
  <r>
    <x v="0"/>
    <x v="0"/>
    <x v="0"/>
    <x v="2"/>
    <x v="7"/>
    <x v="18"/>
    <x v="0"/>
    <x v="23"/>
    <n v="45.342984284028198"/>
    <n v="163.23474342250199"/>
  </r>
  <r>
    <x v="0"/>
    <x v="0"/>
    <x v="1"/>
    <x v="2"/>
    <x v="7"/>
    <x v="17"/>
    <x v="0"/>
    <x v="0"/>
    <n v="0.80047034349666002"/>
    <n v="2.8816932365879699"/>
  </r>
  <r>
    <x v="0"/>
    <x v="0"/>
    <x v="1"/>
    <x v="2"/>
    <x v="7"/>
    <x v="17"/>
    <x v="0"/>
    <x v="1"/>
    <n v="0.80047034349666002"/>
    <n v="2.8816932365879699"/>
  </r>
  <r>
    <x v="0"/>
    <x v="0"/>
    <x v="1"/>
    <x v="2"/>
    <x v="7"/>
    <x v="17"/>
    <x v="0"/>
    <x v="2"/>
    <n v="0.80047034349666002"/>
    <n v="2.8816932365879699"/>
  </r>
  <r>
    <x v="0"/>
    <x v="0"/>
    <x v="1"/>
    <x v="2"/>
    <x v="7"/>
    <x v="17"/>
    <x v="0"/>
    <x v="3"/>
    <n v="0.80047034349666002"/>
    <n v="2.8816932365879699"/>
  </r>
  <r>
    <x v="0"/>
    <x v="0"/>
    <x v="1"/>
    <x v="2"/>
    <x v="7"/>
    <x v="17"/>
    <x v="0"/>
    <x v="4"/>
    <n v="0.80047034349666002"/>
    <n v="2.8816932365879699"/>
  </r>
  <r>
    <x v="0"/>
    <x v="0"/>
    <x v="1"/>
    <x v="2"/>
    <x v="7"/>
    <x v="17"/>
    <x v="0"/>
    <x v="5"/>
    <n v="0.80047034349666002"/>
    <n v="2.8816932365879699"/>
  </r>
  <r>
    <x v="0"/>
    <x v="0"/>
    <x v="1"/>
    <x v="2"/>
    <x v="7"/>
    <x v="17"/>
    <x v="0"/>
    <x v="6"/>
    <n v="0.80047034349666002"/>
    <n v="2.8816932365879699"/>
  </r>
  <r>
    <x v="0"/>
    <x v="0"/>
    <x v="1"/>
    <x v="2"/>
    <x v="7"/>
    <x v="17"/>
    <x v="0"/>
    <x v="7"/>
    <n v="0.80047034349666002"/>
    <n v="2.8816932365879699"/>
  </r>
  <r>
    <x v="0"/>
    <x v="0"/>
    <x v="1"/>
    <x v="2"/>
    <x v="7"/>
    <x v="17"/>
    <x v="0"/>
    <x v="8"/>
    <n v="0.80047034349666002"/>
    <n v="2.8816932365879699"/>
  </r>
  <r>
    <x v="0"/>
    <x v="0"/>
    <x v="1"/>
    <x v="2"/>
    <x v="7"/>
    <x v="17"/>
    <x v="0"/>
    <x v="9"/>
    <n v="0.80047034349666002"/>
    <n v="2.8816932365879699"/>
  </r>
  <r>
    <x v="0"/>
    <x v="0"/>
    <x v="1"/>
    <x v="2"/>
    <x v="7"/>
    <x v="17"/>
    <x v="0"/>
    <x v="10"/>
    <n v="0.80047034349666002"/>
    <n v="2.8816932365879699"/>
  </r>
  <r>
    <x v="0"/>
    <x v="0"/>
    <x v="1"/>
    <x v="2"/>
    <x v="7"/>
    <x v="17"/>
    <x v="0"/>
    <x v="11"/>
    <n v="0.80047034349666002"/>
    <n v="2.8816932365879699"/>
  </r>
  <r>
    <x v="0"/>
    <x v="0"/>
    <x v="1"/>
    <x v="2"/>
    <x v="7"/>
    <x v="17"/>
    <x v="0"/>
    <x v="12"/>
    <n v="0.80047034349666002"/>
    <n v="2.8816932365879699"/>
  </r>
  <r>
    <x v="0"/>
    <x v="0"/>
    <x v="1"/>
    <x v="2"/>
    <x v="7"/>
    <x v="17"/>
    <x v="0"/>
    <x v="13"/>
    <n v="0.80047034349666002"/>
    <n v="2.8816932365879699"/>
  </r>
  <r>
    <x v="0"/>
    <x v="0"/>
    <x v="1"/>
    <x v="2"/>
    <x v="7"/>
    <x v="17"/>
    <x v="0"/>
    <x v="14"/>
    <n v="0.80047034349666002"/>
    <n v="2.8816932365879699"/>
  </r>
  <r>
    <x v="0"/>
    <x v="0"/>
    <x v="1"/>
    <x v="2"/>
    <x v="7"/>
    <x v="17"/>
    <x v="0"/>
    <x v="15"/>
    <n v="0.80047034349666002"/>
    <n v="2.8816932365879699"/>
  </r>
  <r>
    <x v="0"/>
    <x v="0"/>
    <x v="1"/>
    <x v="2"/>
    <x v="7"/>
    <x v="17"/>
    <x v="0"/>
    <x v="16"/>
    <n v="0.80047034349666002"/>
    <n v="2.8816932365879699"/>
  </r>
  <r>
    <x v="0"/>
    <x v="0"/>
    <x v="1"/>
    <x v="2"/>
    <x v="7"/>
    <x v="17"/>
    <x v="0"/>
    <x v="17"/>
    <n v="0.80047034349666002"/>
    <n v="2.8816932365879699"/>
  </r>
  <r>
    <x v="0"/>
    <x v="0"/>
    <x v="1"/>
    <x v="2"/>
    <x v="7"/>
    <x v="17"/>
    <x v="0"/>
    <x v="18"/>
    <n v="0.80047034349666002"/>
    <n v="2.8816932365879699"/>
  </r>
  <r>
    <x v="0"/>
    <x v="0"/>
    <x v="1"/>
    <x v="2"/>
    <x v="7"/>
    <x v="17"/>
    <x v="0"/>
    <x v="19"/>
    <n v="0.80047034349666002"/>
    <n v="2.8816932365879699"/>
  </r>
  <r>
    <x v="0"/>
    <x v="0"/>
    <x v="1"/>
    <x v="2"/>
    <x v="7"/>
    <x v="17"/>
    <x v="0"/>
    <x v="20"/>
    <n v="0.80047034349666002"/>
    <n v="2.8816932365879699"/>
  </r>
  <r>
    <x v="0"/>
    <x v="0"/>
    <x v="1"/>
    <x v="2"/>
    <x v="7"/>
    <x v="17"/>
    <x v="0"/>
    <x v="21"/>
    <n v="0.80047034349666002"/>
    <n v="2.8816932365879699"/>
  </r>
  <r>
    <x v="0"/>
    <x v="0"/>
    <x v="1"/>
    <x v="2"/>
    <x v="7"/>
    <x v="17"/>
    <x v="0"/>
    <x v="22"/>
    <n v="0.80047034349666002"/>
    <n v="2.8816932365879699"/>
  </r>
  <r>
    <x v="0"/>
    <x v="0"/>
    <x v="1"/>
    <x v="2"/>
    <x v="7"/>
    <x v="17"/>
    <x v="0"/>
    <x v="23"/>
    <n v="0.80047034349666002"/>
    <n v="2.8816932365879699"/>
  </r>
  <r>
    <x v="0"/>
    <x v="0"/>
    <x v="1"/>
    <x v="2"/>
    <x v="7"/>
    <x v="18"/>
    <x v="0"/>
    <x v="0"/>
    <n v="2.5139819151964602"/>
    <n v="9.0503348947072695"/>
  </r>
  <r>
    <x v="0"/>
    <x v="0"/>
    <x v="1"/>
    <x v="2"/>
    <x v="7"/>
    <x v="18"/>
    <x v="0"/>
    <x v="1"/>
    <n v="2.5139819151964602"/>
    <n v="9.0503348947072695"/>
  </r>
  <r>
    <x v="0"/>
    <x v="0"/>
    <x v="1"/>
    <x v="2"/>
    <x v="7"/>
    <x v="18"/>
    <x v="0"/>
    <x v="2"/>
    <n v="2.5139819151964602"/>
    <n v="9.0503348947072695"/>
  </r>
  <r>
    <x v="0"/>
    <x v="0"/>
    <x v="1"/>
    <x v="2"/>
    <x v="7"/>
    <x v="18"/>
    <x v="0"/>
    <x v="3"/>
    <n v="2.5139819151964602"/>
    <n v="9.0503348947072695"/>
  </r>
  <r>
    <x v="0"/>
    <x v="0"/>
    <x v="1"/>
    <x v="2"/>
    <x v="7"/>
    <x v="18"/>
    <x v="0"/>
    <x v="4"/>
    <n v="2.5139819151964602"/>
    <n v="9.0503348947072695"/>
  </r>
  <r>
    <x v="0"/>
    <x v="0"/>
    <x v="1"/>
    <x v="2"/>
    <x v="7"/>
    <x v="18"/>
    <x v="0"/>
    <x v="5"/>
    <n v="2.5139819151964602"/>
    <n v="9.0503348947072695"/>
  </r>
  <r>
    <x v="0"/>
    <x v="0"/>
    <x v="1"/>
    <x v="2"/>
    <x v="7"/>
    <x v="18"/>
    <x v="0"/>
    <x v="6"/>
    <n v="6.9981309309549298"/>
    <n v="25.193271351437701"/>
  </r>
  <r>
    <x v="0"/>
    <x v="0"/>
    <x v="1"/>
    <x v="2"/>
    <x v="7"/>
    <x v="18"/>
    <x v="0"/>
    <x v="7"/>
    <n v="25.187114408791398"/>
    <n v="90.6736118716492"/>
  </r>
  <r>
    <x v="0"/>
    <x v="0"/>
    <x v="1"/>
    <x v="2"/>
    <x v="7"/>
    <x v="18"/>
    <x v="0"/>
    <x v="8"/>
    <n v="22.733304841008501"/>
    <n v="81.839897427630603"/>
  </r>
  <r>
    <x v="0"/>
    <x v="0"/>
    <x v="1"/>
    <x v="2"/>
    <x v="7"/>
    <x v="18"/>
    <x v="0"/>
    <x v="9"/>
    <n v="6.9981309309549298"/>
    <n v="25.193271351437701"/>
  </r>
  <r>
    <x v="0"/>
    <x v="0"/>
    <x v="1"/>
    <x v="2"/>
    <x v="7"/>
    <x v="18"/>
    <x v="0"/>
    <x v="10"/>
    <n v="6.9981309309549298"/>
    <n v="25.193271351437701"/>
  </r>
  <r>
    <x v="0"/>
    <x v="0"/>
    <x v="1"/>
    <x v="2"/>
    <x v="7"/>
    <x v="18"/>
    <x v="0"/>
    <x v="11"/>
    <n v="6.9981309309549298"/>
    <n v="25.193271351437701"/>
  </r>
  <r>
    <x v="0"/>
    <x v="0"/>
    <x v="1"/>
    <x v="2"/>
    <x v="7"/>
    <x v="18"/>
    <x v="0"/>
    <x v="12"/>
    <n v="6.9981309309549298"/>
    <n v="25.193271351437701"/>
  </r>
  <r>
    <x v="0"/>
    <x v="0"/>
    <x v="1"/>
    <x v="2"/>
    <x v="7"/>
    <x v="18"/>
    <x v="0"/>
    <x v="13"/>
    <n v="6.9981309309549298"/>
    <n v="25.193271351437701"/>
  </r>
  <r>
    <x v="0"/>
    <x v="0"/>
    <x v="1"/>
    <x v="2"/>
    <x v="7"/>
    <x v="18"/>
    <x v="0"/>
    <x v="14"/>
    <n v="6.9981309309549298"/>
    <n v="25.193271351437701"/>
  </r>
  <r>
    <x v="0"/>
    <x v="0"/>
    <x v="1"/>
    <x v="2"/>
    <x v="7"/>
    <x v="18"/>
    <x v="0"/>
    <x v="15"/>
    <n v="6.9981309309549298"/>
    <n v="25.193271351437701"/>
  </r>
  <r>
    <x v="0"/>
    <x v="0"/>
    <x v="1"/>
    <x v="2"/>
    <x v="7"/>
    <x v="18"/>
    <x v="0"/>
    <x v="16"/>
    <n v="6.9981309309549298"/>
    <n v="25.193271351437701"/>
  </r>
  <r>
    <x v="0"/>
    <x v="0"/>
    <x v="1"/>
    <x v="2"/>
    <x v="7"/>
    <x v="18"/>
    <x v="0"/>
    <x v="17"/>
    <n v="6.9981309309549298"/>
    <n v="25.193271351437701"/>
  </r>
  <r>
    <x v="0"/>
    <x v="0"/>
    <x v="1"/>
    <x v="2"/>
    <x v="7"/>
    <x v="18"/>
    <x v="0"/>
    <x v="18"/>
    <n v="6.9981309309549298"/>
    <n v="25.193271351437701"/>
  </r>
  <r>
    <x v="0"/>
    <x v="0"/>
    <x v="1"/>
    <x v="2"/>
    <x v="7"/>
    <x v="18"/>
    <x v="0"/>
    <x v="19"/>
    <n v="6.9981309309549298"/>
    <n v="25.193271351437701"/>
  </r>
  <r>
    <x v="0"/>
    <x v="0"/>
    <x v="1"/>
    <x v="2"/>
    <x v="7"/>
    <x v="18"/>
    <x v="0"/>
    <x v="20"/>
    <n v="2.5139819151964602"/>
    <n v="9.0503348947072695"/>
  </r>
  <r>
    <x v="0"/>
    <x v="0"/>
    <x v="1"/>
    <x v="2"/>
    <x v="7"/>
    <x v="18"/>
    <x v="0"/>
    <x v="21"/>
    <n v="2.5139819151964602"/>
    <n v="9.0503348947072695"/>
  </r>
  <r>
    <x v="0"/>
    <x v="0"/>
    <x v="1"/>
    <x v="2"/>
    <x v="7"/>
    <x v="18"/>
    <x v="0"/>
    <x v="22"/>
    <n v="2.5139819151964602"/>
    <n v="9.0503348947072695"/>
  </r>
  <r>
    <x v="0"/>
    <x v="0"/>
    <x v="1"/>
    <x v="2"/>
    <x v="7"/>
    <x v="18"/>
    <x v="0"/>
    <x v="23"/>
    <n v="2.5139819151964602"/>
    <n v="9.0503348947072695"/>
  </r>
  <r>
    <x v="0"/>
    <x v="0"/>
    <x v="0"/>
    <x v="2"/>
    <x v="8"/>
    <x v="19"/>
    <x v="0"/>
    <x v="0"/>
    <n v="11.318159533035001"/>
    <n v="40.745374318925997"/>
  </r>
  <r>
    <x v="0"/>
    <x v="0"/>
    <x v="0"/>
    <x v="2"/>
    <x v="8"/>
    <x v="19"/>
    <x v="0"/>
    <x v="1"/>
    <n v="11.318159533035001"/>
    <n v="40.745374318925997"/>
  </r>
  <r>
    <x v="0"/>
    <x v="0"/>
    <x v="0"/>
    <x v="2"/>
    <x v="8"/>
    <x v="19"/>
    <x v="0"/>
    <x v="2"/>
    <n v="11.318159533035001"/>
    <n v="40.745374318925997"/>
  </r>
  <r>
    <x v="0"/>
    <x v="0"/>
    <x v="0"/>
    <x v="2"/>
    <x v="8"/>
    <x v="19"/>
    <x v="0"/>
    <x v="3"/>
    <n v="11.318159533035001"/>
    <n v="40.745374318925997"/>
  </r>
  <r>
    <x v="0"/>
    <x v="0"/>
    <x v="0"/>
    <x v="2"/>
    <x v="8"/>
    <x v="19"/>
    <x v="0"/>
    <x v="4"/>
    <n v="11.318159533035001"/>
    <n v="40.745374318925997"/>
  </r>
  <r>
    <x v="0"/>
    <x v="0"/>
    <x v="0"/>
    <x v="2"/>
    <x v="8"/>
    <x v="19"/>
    <x v="0"/>
    <x v="5"/>
    <n v="11.318159533035001"/>
    <n v="40.745374318925997"/>
  </r>
  <r>
    <x v="0"/>
    <x v="0"/>
    <x v="0"/>
    <x v="2"/>
    <x v="8"/>
    <x v="19"/>
    <x v="0"/>
    <x v="6"/>
    <n v="13.065491881141"/>
    <n v="47.035770772107703"/>
  </r>
  <r>
    <x v="0"/>
    <x v="0"/>
    <x v="0"/>
    <x v="2"/>
    <x v="8"/>
    <x v="19"/>
    <x v="0"/>
    <x v="7"/>
    <n v="13.065491881141"/>
    <n v="47.035770772107703"/>
  </r>
  <r>
    <x v="0"/>
    <x v="0"/>
    <x v="0"/>
    <x v="2"/>
    <x v="8"/>
    <x v="19"/>
    <x v="0"/>
    <x v="8"/>
    <n v="13.065491881141"/>
    <n v="47.035770772107703"/>
  </r>
  <r>
    <x v="0"/>
    <x v="0"/>
    <x v="0"/>
    <x v="2"/>
    <x v="8"/>
    <x v="19"/>
    <x v="0"/>
    <x v="9"/>
    <n v="13.065491881141"/>
    <n v="47.035770772107703"/>
  </r>
  <r>
    <x v="0"/>
    <x v="0"/>
    <x v="0"/>
    <x v="2"/>
    <x v="8"/>
    <x v="19"/>
    <x v="0"/>
    <x v="10"/>
    <n v="13.065491881141"/>
    <n v="47.035770772107703"/>
  </r>
  <r>
    <x v="0"/>
    <x v="0"/>
    <x v="0"/>
    <x v="2"/>
    <x v="8"/>
    <x v="19"/>
    <x v="0"/>
    <x v="11"/>
    <n v="13.065491881141"/>
    <n v="47.035770772107703"/>
  </r>
  <r>
    <x v="0"/>
    <x v="0"/>
    <x v="0"/>
    <x v="2"/>
    <x v="8"/>
    <x v="19"/>
    <x v="0"/>
    <x v="12"/>
    <n v="11.318159533035001"/>
    <n v="40.745374318925997"/>
  </r>
  <r>
    <x v="0"/>
    <x v="0"/>
    <x v="0"/>
    <x v="2"/>
    <x v="8"/>
    <x v="19"/>
    <x v="0"/>
    <x v="13"/>
    <n v="11.318159533035001"/>
    <n v="40.745374318925997"/>
  </r>
  <r>
    <x v="0"/>
    <x v="0"/>
    <x v="0"/>
    <x v="2"/>
    <x v="8"/>
    <x v="19"/>
    <x v="0"/>
    <x v="14"/>
    <n v="11.318159533035001"/>
    <n v="40.745374318925997"/>
  </r>
  <r>
    <x v="0"/>
    <x v="0"/>
    <x v="0"/>
    <x v="2"/>
    <x v="8"/>
    <x v="19"/>
    <x v="0"/>
    <x v="15"/>
    <n v="11.318159533035001"/>
    <n v="40.745374318925997"/>
  </r>
  <r>
    <x v="0"/>
    <x v="0"/>
    <x v="0"/>
    <x v="2"/>
    <x v="8"/>
    <x v="19"/>
    <x v="0"/>
    <x v="16"/>
    <n v="11.318159533035001"/>
    <n v="40.745374318925997"/>
  </r>
  <r>
    <x v="0"/>
    <x v="0"/>
    <x v="0"/>
    <x v="2"/>
    <x v="8"/>
    <x v="19"/>
    <x v="0"/>
    <x v="17"/>
    <n v="11.318159533035001"/>
    <n v="40.745374318925997"/>
  </r>
  <r>
    <x v="0"/>
    <x v="0"/>
    <x v="0"/>
    <x v="2"/>
    <x v="8"/>
    <x v="19"/>
    <x v="0"/>
    <x v="18"/>
    <n v="11.318159533035001"/>
    <n v="40.745374318925997"/>
  </r>
  <r>
    <x v="0"/>
    <x v="0"/>
    <x v="0"/>
    <x v="2"/>
    <x v="8"/>
    <x v="19"/>
    <x v="0"/>
    <x v="19"/>
    <n v="11.318159533035001"/>
    <n v="40.745374318925997"/>
  </r>
  <r>
    <x v="0"/>
    <x v="0"/>
    <x v="0"/>
    <x v="2"/>
    <x v="8"/>
    <x v="19"/>
    <x v="0"/>
    <x v="20"/>
    <n v="11.318159533035001"/>
    <n v="40.745374318925997"/>
  </r>
  <r>
    <x v="0"/>
    <x v="0"/>
    <x v="0"/>
    <x v="2"/>
    <x v="8"/>
    <x v="19"/>
    <x v="0"/>
    <x v="21"/>
    <n v="11.318159533035001"/>
    <n v="40.745374318925997"/>
  </r>
  <r>
    <x v="0"/>
    <x v="0"/>
    <x v="0"/>
    <x v="2"/>
    <x v="8"/>
    <x v="19"/>
    <x v="0"/>
    <x v="22"/>
    <n v="11.318159533035001"/>
    <n v="40.745374318925997"/>
  </r>
  <r>
    <x v="0"/>
    <x v="0"/>
    <x v="0"/>
    <x v="2"/>
    <x v="8"/>
    <x v="19"/>
    <x v="0"/>
    <x v="23"/>
    <n v="11.318159533035001"/>
    <n v="40.745374318925997"/>
  </r>
  <r>
    <x v="0"/>
    <x v="0"/>
    <x v="0"/>
    <x v="2"/>
    <x v="8"/>
    <x v="20"/>
    <x v="0"/>
    <x v="0"/>
    <n v="10.9507258910012"/>
    <n v="39.422613207604101"/>
  </r>
  <r>
    <x v="0"/>
    <x v="0"/>
    <x v="0"/>
    <x v="2"/>
    <x v="8"/>
    <x v="20"/>
    <x v="0"/>
    <x v="1"/>
    <n v="10.9507258910012"/>
    <n v="39.422613207604101"/>
  </r>
  <r>
    <x v="0"/>
    <x v="0"/>
    <x v="0"/>
    <x v="2"/>
    <x v="8"/>
    <x v="20"/>
    <x v="0"/>
    <x v="2"/>
    <n v="10.9507258910012"/>
    <n v="39.422613207604101"/>
  </r>
  <r>
    <x v="0"/>
    <x v="0"/>
    <x v="0"/>
    <x v="2"/>
    <x v="8"/>
    <x v="20"/>
    <x v="0"/>
    <x v="3"/>
    <n v="10.9507258910012"/>
    <n v="39.422613207604101"/>
  </r>
  <r>
    <x v="0"/>
    <x v="0"/>
    <x v="0"/>
    <x v="2"/>
    <x v="8"/>
    <x v="20"/>
    <x v="0"/>
    <x v="4"/>
    <n v="10.9507258910012"/>
    <n v="39.422613207604101"/>
  </r>
  <r>
    <x v="0"/>
    <x v="0"/>
    <x v="0"/>
    <x v="2"/>
    <x v="8"/>
    <x v="20"/>
    <x v="0"/>
    <x v="5"/>
    <n v="10.9507258910012"/>
    <n v="39.422613207604101"/>
  </r>
  <r>
    <x v="0"/>
    <x v="0"/>
    <x v="0"/>
    <x v="2"/>
    <x v="8"/>
    <x v="20"/>
    <x v="0"/>
    <x v="6"/>
    <n v="10.9507258910012"/>
    <n v="39.422613207604101"/>
  </r>
  <r>
    <x v="0"/>
    <x v="0"/>
    <x v="0"/>
    <x v="2"/>
    <x v="8"/>
    <x v="20"/>
    <x v="0"/>
    <x v="7"/>
    <n v="10.9507258910012"/>
    <n v="39.422613207604101"/>
  </r>
  <r>
    <x v="0"/>
    <x v="0"/>
    <x v="0"/>
    <x v="2"/>
    <x v="8"/>
    <x v="20"/>
    <x v="0"/>
    <x v="8"/>
    <n v="10.9507258910012"/>
    <n v="39.422613207604101"/>
  </r>
  <r>
    <x v="0"/>
    <x v="0"/>
    <x v="0"/>
    <x v="2"/>
    <x v="8"/>
    <x v="20"/>
    <x v="0"/>
    <x v="9"/>
    <n v="10.9507258910012"/>
    <n v="39.422613207604101"/>
  </r>
  <r>
    <x v="0"/>
    <x v="0"/>
    <x v="0"/>
    <x v="2"/>
    <x v="8"/>
    <x v="20"/>
    <x v="0"/>
    <x v="10"/>
    <n v="10.9507258910012"/>
    <n v="39.422613207604101"/>
  </r>
  <r>
    <x v="0"/>
    <x v="0"/>
    <x v="0"/>
    <x v="2"/>
    <x v="8"/>
    <x v="20"/>
    <x v="0"/>
    <x v="11"/>
    <n v="10.9507258910012"/>
    <n v="39.422613207604101"/>
  </r>
  <r>
    <x v="0"/>
    <x v="0"/>
    <x v="0"/>
    <x v="2"/>
    <x v="8"/>
    <x v="20"/>
    <x v="0"/>
    <x v="12"/>
    <n v="10.9507258910012"/>
    <n v="39.422613207604101"/>
  </r>
  <r>
    <x v="0"/>
    <x v="0"/>
    <x v="0"/>
    <x v="2"/>
    <x v="8"/>
    <x v="20"/>
    <x v="0"/>
    <x v="13"/>
    <n v="10.9507258910012"/>
    <n v="39.422613207604101"/>
  </r>
  <r>
    <x v="0"/>
    <x v="0"/>
    <x v="0"/>
    <x v="2"/>
    <x v="8"/>
    <x v="20"/>
    <x v="0"/>
    <x v="14"/>
    <n v="10.9507258910012"/>
    <n v="39.422613207604101"/>
  </r>
  <r>
    <x v="0"/>
    <x v="0"/>
    <x v="0"/>
    <x v="2"/>
    <x v="8"/>
    <x v="20"/>
    <x v="0"/>
    <x v="15"/>
    <n v="10.9507258910012"/>
    <n v="39.422613207604101"/>
  </r>
  <r>
    <x v="0"/>
    <x v="0"/>
    <x v="0"/>
    <x v="2"/>
    <x v="8"/>
    <x v="20"/>
    <x v="0"/>
    <x v="16"/>
    <n v="10.9507258910012"/>
    <n v="39.422613207604101"/>
  </r>
  <r>
    <x v="0"/>
    <x v="0"/>
    <x v="0"/>
    <x v="2"/>
    <x v="8"/>
    <x v="20"/>
    <x v="0"/>
    <x v="17"/>
    <n v="10.9507258910012"/>
    <n v="39.422613207604101"/>
  </r>
  <r>
    <x v="0"/>
    <x v="0"/>
    <x v="0"/>
    <x v="2"/>
    <x v="8"/>
    <x v="20"/>
    <x v="0"/>
    <x v="18"/>
    <n v="10.9507258910012"/>
    <n v="39.422613207604101"/>
  </r>
  <r>
    <x v="0"/>
    <x v="0"/>
    <x v="0"/>
    <x v="2"/>
    <x v="8"/>
    <x v="20"/>
    <x v="0"/>
    <x v="19"/>
    <n v="10.9507258910012"/>
    <n v="39.422613207604101"/>
  </r>
  <r>
    <x v="0"/>
    <x v="0"/>
    <x v="0"/>
    <x v="2"/>
    <x v="8"/>
    <x v="20"/>
    <x v="0"/>
    <x v="20"/>
    <n v="10.9507258910012"/>
    <n v="39.422613207604101"/>
  </r>
  <r>
    <x v="0"/>
    <x v="0"/>
    <x v="0"/>
    <x v="2"/>
    <x v="8"/>
    <x v="20"/>
    <x v="0"/>
    <x v="21"/>
    <n v="10.9507258910012"/>
    <n v="39.422613207604101"/>
  </r>
  <r>
    <x v="0"/>
    <x v="0"/>
    <x v="0"/>
    <x v="2"/>
    <x v="8"/>
    <x v="20"/>
    <x v="0"/>
    <x v="22"/>
    <n v="10.9507258910012"/>
    <n v="39.422613207604101"/>
  </r>
  <r>
    <x v="0"/>
    <x v="0"/>
    <x v="0"/>
    <x v="2"/>
    <x v="8"/>
    <x v="20"/>
    <x v="0"/>
    <x v="23"/>
    <n v="10.9507258910012"/>
    <n v="39.422613207604101"/>
  </r>
  <r>
    <x v="0"/>
    <x v="0"/>
    <x v="1"/>
    <x v="2"/>
    <x v="8"/>
    <x v="19"/>
    <x v="0"/>
    <x v="0"/>
    <n v="2.5142384701423999"/>
    <n v="9.0512584925126305"/>
  </r>
  <r>
    <x v="0"/>
    <x v="0"/>
    <x v="1"/>
    <x v="2"/>
    <x v="8"/>
    <x v="19"/>
    <x v="0"/>
    <x v="1"/>
    <n v="2.5142384701423999"/>
    <n v="9.0512584925126305"/>
  </r>
  <r>
    <x v="0"/>
    <x v="0"/>
    <x v="1"/>
    <x v="2"/>
    <x v="8"/>
    <x v="19"/>
    <x v="0"/>
    <x v="2"/>
    <n v="2.5142384701423999"/>
    <n v="9.0512584925126305"/>
  </r>
  <r>
    <x v="0"/>
    <x v="0"/>
    <x v="1"/>
    <x v="2"/>
    <x v="8"/>
    <x v="19"/>
    <x v="0"/>
    <x v="3"/>
    <n v="2.5142384701423999"/>
    <n v="9.0512584925126305"/>
  </r>
  <r>
    <x v="0"/>
    <x v="0"/>
    <x v="1"/>
    <x v="2"/>
    <x v="8"/>
    <x v="19"/>
    <x v="0"/>
    <x v="4"/>
    <n v="2.5142384701423999"/>
    <n v="9.0512584925126305"/>
  </r>
  <r>
    <x v="0"/>
    <x v="0"/>
    <x v="1"/>
    <x v="2"/>
    <x v="8"/>
    <x v="19"/>
    <x v="0"/>
    <x v="5"/>
    <n v="10.4597587580256"/>
    <n v="37.655131528892298"/>
  </r>
  <r>
    <x v="0"/>
    <x v="0"/>
    <x v="1"/>
    <x v="2"/>
    <x v="8"/>
    <x v="19"/>
    <x v="0"/>
    <x v="6"/>
    <n v="13.857661471597901"/>
    <n v="49.887581297752398"/>
  </r>
  <r>
    <x v="0"/>
    <x v="0"/>
    <x v="1"/>
    <x v="2"/>
    <x v="8"/>
    <x v="19"/>
    <x v="0"/>
    <x v="7"/>
    <n v="13.857661471597901"/>
    <n v="49.887581297752398"/>
  </r>
  <r>
    <x v="0"/>
    <x v="0"/>
    <x v="1"/>
    <x v="2"/>
    <x v="8"/>
    <x v="19"/>
    <x v="0"/>
    <x v="8"/>
    <n v="13.857661471597901"/>
    <n v="49.887581297752398"/>
  </r>
  <r>
    <x v="0"/>
    <x v="0"/>
    <x v="1"/>
    <x v="2"/>
    <x v="8"/>
    <x v="19"/>
    <x v="0"/>
    <x v="9"/>
    <n v="13.857661471597901"/>
    <n v="49.887581297752398"/>
  </r>
  <r>
    <x v="0"/>
    <x v="0"/>
    <x v="1"/>
    <x v="2"/>
    <x v="8"/>
    <x v="19"/>
    <x v="0"/>
    <x v="10"/>
    <n v="10.4597587580256"/>
    <n v="37.655131528892298"/>
  </r>
  <r>
    <x v="0"/>
    <x v="0"/>
    <x v="1"/>
    <x v="2"/>
    <x v="8"/>
    <x v="19"/>
    <x v="0"/>
    <x v="11"/>
    <n v="10.4597587580256"/>
    <n v="37.655131528892298"/>
  </r>
  <r>
    <x v="0"/>
    <x v="0"/>
    <x v="1"/>
    <x v="2"/>
    <x v="8"/>
    <x v="19"/>
    <x v="0"/>
    <x v="12"/>
    <n v="10.4598356406159"/>
    <n v="37.655408306217403"/>
  </r>
  <r>
    <x v="0"/>
    <x v="0"/>
    <x v="1"/>
    <x v="2"/>
    <x v="8"/>
    <x v="19"/>
    <x v="0"/>
    <x v="13"/>
    <n v="10.4598356406159"/>
    <n v="37.655408306217403"/>
  </r>
  <r>
    <x v="0"/>
    <x v="0"/>
    <x v="1"/>
    <x v="2"/>
    <x v="8"/>
    <x v="19"/>
    <x v="0"/>
    <x v="14"/>
    <n v="10.4598356406159"/>
    <n v="37.655408306217403"/>
  </r>
  <r>
    <x v="0"/>
    <x v="0"/>
    <x v="1"/>
    <x v="2"/>
    <x v="8"/>
    <x v="19"/>
    <x v="0"/>
    <x v="15"/>
    <n v="6.1658459285155498"/>
    <n v="22.197045342656001"/>
  </r>
  <r>
    <x v="0"/>
    <x v="0"/>
    <x v="1"/>
    <x v="2"/>
    <x v="8"/>
    <x v="19"/>
    <x v="0"/>
    <x v="16"/>
    <n v="2.5139819151964602"/>
    <n v="9.0503348947072695"/>
  </r>
  <r>
    <x v="0"/>
    <x v="0"/>
    <x v="1"/>
    <x v="2"/>
    <x v="8"/>
    <x v="19"/>
    <x v="0"/>
    <x v="17"/>
    <n v="2.5139819151964602"/>
    <n v="9.0503348947072695"/>
  </r>
  <r>
    <x v="0"/>
    <x v="0"/>
    <x v="1"/>
    <x v="2"/>
    <x v="8"/>
    <x v="19"/>
    <x v="0"/>
    <x v="18"/>
    <n v="2.5139819151964602"/>
    <n v="9.0503348947072695"/>
  </r>
  <r>
    <x v="0"/>
    <x v="0"/>
    <x v="1"/>
    <x v="2"/>
    <x v="8"/>
    <x v="19"/>
    <x v="0"/>
    <x v="19"/>
    <n v="2.5142384701423999"/>
    <n v="9.0512584925126305"/>
  </r>
  <r>
    <x v="0"/>
    <x v="0"/>
    <x v="1"/>
    <x v="2"/>
    <x v="8"/>
    <x v="19"/>
    <x v="0"/>
    <x v="20"/>
    <n v="2.5142384701423999"/>
    <n v="9.0512584925126305"/>
  </r>
  <r>
    <x v="0"/>
    <x v="0"/>
    <x v="1"/>
    <x v="2"/>
    <x v="8"/>
    <x v="19"/>
    <x v="0"/>
    <x v="21"/>
    <n v="2.5142384701423999"/>
    <n v="9.0512584925126305"/>
  </r>
  <r>
    <x v="0"/>
    <x v="0"/>
    <x v="1"/>
    <x v="2"/>
    <x v="8"/>
    <x v="19"/>
    <x v="0"/>
    <x v="22"/>
    <n v="2.5142384701423999"/>
    <n v="9.0512584925126305"/>
  </r>
  <r>
    <x v="0"/>
    <x v="0"/>
    <x v="1"/>
    <x v="2"/>
    <x v="8"/>
    <x v="19"/>
    <x v="0"/>
    <x v="23"/>
    <n v="2.5142384701423999"/>
    <n v="9.0512584925126305"/>
  </r>
  <r>
    <x v="0"/>
    <x v="0"/>
    <x v="1"/>
    <x v="2"/>
    <x v="8"/>
    <x v="20"/>
    <x v="0"/>
    <x v="0"/>
    <n v="2.5142384701423999"/>
    <n v="9.0512584925126305"/>
  </r>
  <r>
    <x v="0"/>
    <x v="0"/>
    <x v="1"/>
    <x v="2"/>
    <x v="8"/>
    <x v="20"/>
    <x v="0"/>
    <x v="1"/>
    <n v="2.5142384701423999"/>
    <n v="9.0512584925126305"/>
  </r>
  <r>
    <x v="0"/>
    <x v="0"/>
    <x v="1"/>
    <x v="2"/>
    <x v="8"/>
    <x v="20"/>
    <x v="0"/>
    <x v="2"/>
    <n v="5.0503789675069601"/>
    <n v="18.181364283025101"/>
  </r>
  <r>
    <x v="0"/>
    <x v="0"/>
    <x v="1"/>
    <x v="2"/>
    <x v="8"/>
    <x v="20"/>
    <x v="0"/>
    <x v="3"/>
    <n v="6.9981309309549298"/>
    <n v="25.193271351437701"/>
  </r>
  <r>
    <x v="0"/>
    <x v="0"/>
    <x v="1"/>
    <x v="2"/>
    <x v="8"/>
    <x v="20"/>
    <x v="0"/>
    <x v="4"/>
    <n v="6.9981309309549298"/>
    <n v="25.193271351437701"/>
  </r>
  <r>
    <x v="0"/>
    <x v="0"/>
    <x v="1"/>
    <x v="2"/>
    <x v="8"/>
    <x v="20"/>
    <x v="0"/>
    <x v="5"/>
    <n v="6.9981309309549298"/>
    <n v="25.193271351437701"/>
  </r>
  <r>
    <x v="0"/>
    <x v="0"/>
    <x v="1"/>
    <x v="2"/>
    <x v="8"/>
    <x v="20"/>
    <x v="0"/>
    <x v="6"/>
    <n v="6.9981309309549298"/>
    <n v="25.193271351437701"/>
  </r>
  <r>
    <x v="0"/>
    <x v="0"/>
    <x v="1"/>
    <x v="2"/>
    <x v="8"/>
    <x v="20"/>
    <x v="0"/>
    <x v="7"/>
    <n v="6.9981309309549298"/>
    <n v="25.193271351437701"/>
  </r>
  <r>
    <x v="0"/>
    <x v="0"/>
    <x v="1"/>
    <x v="2"/>
    <x v="8"/>
    <x v="20"/>
    <x v="0"/>
    <x v="8"/>
    <n v="6.9981309309549298"/>
    <n v="25.193271351437701"/>
  </r>
  <r>
    <x v="0"/>
    <x v="0"/>
    <x v="1"/>
    <x v="2"/>
    <x v="8"/>
    <x v="20"/>
    <x v="0"/>
    <x v="9"/>
    <n v="6.9981309309549298"/>
    <n v="25.193271351437701"/>
  </r>
  <r>
    <x v="0"/>
    <x v="0"/>
    <x v="1"/>
    <x v="2"/>
    <x v="8"/>
    <x v="20"/>
    <x v="0"/>
    <x v="10"/>
    <n v="6.9981309309549298"/>
    <n v="25.193271351437701"/>
  </r>
  <r>
    <x v="0"/>
    <x v="0"/>
    <x v="1"/>
    <x v="2"/>
    <x v="8"/>
    <x v="20"/>
    <x v="0"/>
    <x v="11"/>
    <n v="6.9981309309549298"/>
    <n v="25.193271351437701"/>
  </r>
  <r>
    <x v="0"/>
    <x v="0"/>
    <x v="1"/>
    <x v="2"/>
    <x v="8"/>
    <x v="20"/>
    <x v="0"/>
    <x v="12"/>
    <n v="6.9981309309549298"/>
    <n v="25.193271351437701"/>
  </r>
  <r>
    <x v="0"/>
    <x v="0"/>
    <x v="1"/>
    <x v="2"/>
    <x v="8"/>
    <x v="20"/>
    <x v="0"/>
    <x v="13"/>
    <n v="6.9981309309549298"/>
    <n v="25.193271351437701"/>
  </r>
  <r>
    <x v="0"/>
    <x v="0"/>
    <x v="1"/>
    <x v="2"/>
    <x v="8"/>
    <x v="20"/>
    <x v="0"/>
    <x v="14"/>
    <n v="6.9981309309549298"/>
    <n v="25.193271351437701"/>
  </r>
  <r>
    <x v="0"/>
    <x v="0"/>
    <x v="1"/>
    <x v="2"/>
    <x v="8"/>
    <x v="20"/>
    <x v="0"/>
    <x v="15"/>
    <n v="6.9981309309549298"/>
    <n v="25.193271351437701"/>
  </r>
  <r>
    <x v="0"/>
    <x v="0"/>
    <x v="1"/>
    <x v="2"/>
    <x v="8"/>
    <x v="20"/>
    <x v="0"/>
    <x v="16"/>
    <n v="6.9981309309549298"/>
    <n v="25.193271351437701"/>
  </r>
  <r>
    <x v="0"/>
    <x v="0"/>
    <x v="1"/>
    <x v="2"/>
    <x v="8"/>
    <x v="20"/>
    <x v="0"/>
    <x v="17"/>
    <n v="6.9981309309549298"/>
    <n v="25.193271351437701"/>
  </r>
  <r>
    <x v="0"/>
    <x v="0"/>
    <x v="1"/>
    <x v="2"/>
    <x v="8"/>
    <x v="20"/>
    <x v="0"/>
    <x v="18"/>
    <n v="6.9981309309549298"/>
    <n v="25.193271351437701"/>
  </r>
  <r>
    <x v="0"/>
    <x v="0"/>
    <x v="1"/>
    <x v="2"/>
    <x v="8"/>
    <x v="20"/>
    <x v="0"/>
    <x v="19"/>
    <n v="6.9981309309549298"/>
    <n v="25.193271351437701"/>
  </r>
  <r>
    <x v="0"/>
    <x v="0"/>
    <x v="1"/>
    <x v="2"/>
    <x v="8"/>
    <x v="20"/>
    <x v="0"/>
    <x v="20"/>
    <n v="6.9981309309549298"/>
    <n v="25.193271351437701"/>
  </r>
  <r>
    <x v="0"/>
    <x v="0"/>
    <x v="1"/>
    <x v="2"/>
    <x v="8"/>
    <x v="20"/>
    <x v="0"/>
    <x v="21"/>
    <n v="6.9981309309549298"/>
    <n v="25.193271351437701"/>
  </r>
  <r>
    <x v="0"/>
    <x v="0"/>
    <x v="1"/>
    <x v="2"/>
    <x v="8"/>
    <x v="20"/>
    <x v="0"/>
    <x v="22"/>
    <n v="6.9981309309549298"/>
    <n v="25.193271351437701"/>
  </r>
  <r>
    <x v="0"/>
    <x v="0"/>
    <x v="1"/>
    <x v="2"/>
    <x v="8"/>
    <x v="20"/>
    <x v="0"/>
    <x v="23"/>
    <n v="6.9981309309549298"/>
    <n v="25.193271351437701"/>
  </r>
  <r>
    <x v="0"/>
    <x v="0"/>
    <x v="0"/>
    <x v="2"/>
    <x v="9"/>
    <x v="21"/>
    <x v="0"/>
    <x v="0"/>
    <n v="31.030171342327201"/>
    <n v="111.708616832378"/>
  </r>
  <r>
    <x v="0"/>
    <x v="0"/>
    <x v="0"/>
    <x v="2"/>
    <x v="9"/>
    <x v="21"/>
    <x v="0"/>
    <x v="1"/>
    <n v="38.305218586319398"/>
    <n v="137.89878691075"/>
  </r>
  <r>
    <x v="0"/>
    <x v="0"/>
    <x v="0"/>
    <x v="2"/>
    <x v="9"/>
    <x v="21"/>
    <x v="0"/>
    <x v="2"/>
    <n v="38.305218586319398"/>
    <n v="137.89878691075"/>
  </r>
  <r>
    <x v="0"/>
    <x v="0"/>
    <x v="0"/>
    <x v="2"/>
    <x v="9"/>
    <x v="21"/>
    <x v="0"/>
    <x v="3"/>
    <n v="38.305218586319398"/>
    <n v="137.89878691075"/>
  </r>
  <r>
    <x v="0"/>
    <x v="0"/>
    <x v="0"/>
    <x v="2"/>
    <x v="9"/>
    <x v="21"/>
    <x v="0"/>
    <x v="4"/>
    <n v="38.305218586319398"/>
    <n v="137.89878691075"/>
  </r>
  <r>
    <x v="0"/>
    <x v="0"/>
    <x v="0"/>
    <x v="2"/>
    <x v="9"/>
    <x v="21"/>
    <x v="0"/>
    <x v="5"/>
    <n v="42.599367833908801"/>
    <n v="153.35772420207201"/>
  </r>
  <r>
    <x v="0"/>
    <x v="0"/>
    <x v="0"/>
    <x v="2"/>
    <x v="9"/>
    <x v="21"/>
    <x v="0"/>
    <x v="6"/>
    <n v="52.674412164007798"/>
    <n v="189.627883790428"/>
  </r>
  <r>
    <x v="0"/>
    <x v="0"/>
    <x v="0"/>
    <x v="2"/>
    <x v="9"/>
    <x v="21"/>
    <x v="0"/>
    <x v="7"/>
    <n v="92.777977772624993"/>
    <n v="334.00071998145"/>
  </r>
  <r>
    <x v="0"/>
    <x v="0"/>
    <x v="0"/>
    <x v="2"/>
    <x v="9"/>
    <x v="21"/>
    <x v="0"/>
    <x v="8"/>
    <n v="92.777977772624993"/>
    <n v="334.00071998145"/>
  </r>
  <r>
    <x v="0"/>
    <x v="0"/>
    <x v="0"/>
    <x v="2"/>
    <x v="9"/>
    <x v="21"/>
    <x v="0"/>
    <x v="9"/>
    <n v="52.674412164007798"/>
    <n v="189.627883790428"/>
  </r>
  <r>
    <x v="0"/>
    <x v="0"/>
    <x v="0"/>
    <x v="2"/>
    <x v="9"/>
    <x v="21"/>
    <x v="0"/>
    <x v="10"/>
    <n v="52.674412164007798"/>
    <n v="189.627883790428"/>
  </r>
  <r>
    <x v="0"/>
    <x v="0"/>
    <x v="0"/>
    <x v="2"/>
    <x v="9"/>
    <x v="21"/>
    <x v="0"/>
    <x v="11"/>
    <n v="43.537354809391502"/>
    <n v="156.73447731380901"/>
  </r>
  <r>
    <x v="0"/>
    <x v="0"/>
    <x v="0"/>
    <x v="2"/>
    <x v="9"/>
    <x v="21"/>
    <x v="0"/>
    <x v="12"/>
    <n v="43.537354809391502"/>
    <n v="156.73447731380901"/>
  </r>
  <r>
    <x v="0"/>
    <x v="0"/>
    <x v="0"/>
    <x v="2"/>
    <x v="9"/>
    <x v="21"/>
    <x v="0"/>
    <x v="13"/>
    <n v="43.537354809391502"/>
    <n v="156.73447731380901"/>
  </r>
  <r>
    <x v="0"/>
    <x v="0"/>
    <x v="0"/>
    <x v="2"/>
    <x v="9"/>
    <x v="21"/>
    <x v="0"/>
    <x v="14"/>
    <n v="42.599367833908801"/>
    <n v="153.35772420207201"/>
  </r>
  <r>
    <x v="0"/>
    <x v="0"/>
    <x v="0"/>
    <x v="2"/>
    <x v="9"/>
    <x v="21"/>
    <x v="0"/>
    <x v="15"/>
    <n v="42.599367833908801"/>
    <n v="153.35772420207201"/>
  </r>
  <r>
    <x v="0"/>
    <x v="0"/>
    <x v="0"/>
    <x v="2"/>
    <x v="9"/>
    <x v="21"/>
    <x v="0"/>
    <x v="16"/>
    <n v="42.599367833908801"/>
    <n v="153.35772420207201"/>
  </r>
  <r>
    <x v="0"/>
    <x v="0"/>
    <x v="0"/>
    <x v="2"/>
    <x v="9"/>
    <x v="21"/>
    <x v="0"/>
    <x v="17"/>
    <n v="42.599367833908801"/>
    <n v="153.35772420207201"/>
  </r>
  <r>
    <x v="0"/>
    <x v="0"/>
    <x v="0"/>
    <x v="2"/>
    <x v="9"/>
    <x v="21"/>
    <x v="0"/>
    <x v="18"/>
    <n v="42.599367833908801"/>
    <n v="153.35772420207201"/>
  </r>
  <r>
    <x v="0"/>
    <x v="0"/>
    <x v="0"/>
    <x v="2"/>
    <x v="9"/>
    <x v="21"/>
    <x v="0"/>
    <x v="19"/>
    <n v="42.599367833908801"/>
    <n v="153.35772420207201"/>
  </r>
  <r>
    <x v="0"/>
    <x v="0"/>
    <x v="0"/>
    <x v="2"/>
    <x v="9"/>
    <x v="21"/>
    <x v="0"/>
    <x v="20"/>
    <n v="42.599367833908801"/>
    <n v="153.35772420207201"/>
  </r>
  <r>
    <x v="0"/>
    <x v="0"/>
    <x v="0"/>
    <x v="2"/>
    <x v="9"/>
    <x v="21"/>
    <x v="0"/>
    <x v="21"/>
    <n v="42.599367833908801"/>
    <n v="153.35772420207201"/>
  </r>
  <r>
    <x v="0"/>
    <x v="0"/>
    <x v="0"/>
    <x v="2"/>
    <x v="9"/>
    <x v="21"/>
    <x v="0"/>
    <x v="22"/>
    <n v="42.501392095351001"/>
    <n v="153.00501154326301"/>
  </r>
  <r>
    <x v="0"/>
    <x v="0"/>
    <x v="0"/>
    <x v="2"/>
    <x v="9"/>
    <x v="21"/>
    <x v="0"/>
    <x v="23"/>
    <n v="38.305218586319398"/>
    <n v="137.89878691075"/>
  </r>
  <r>
    <x v="0"/>
    <x v="0"/>
    <x v="0"/>
    <x v="2"/>
    <x v="9"/>
    <x v="22"/>
    <x v="0"/>
    <x v="0"/>
    <n v="27.552247944597699"/>
    <n v="99.188092600551798"/>
  </r>
  <r>
    <x v="0"/>
    <x v="0"/>
    <x v="0"/>
    <x v="2"/>
    <x v="9"/>
    <x v="22"/>
    <x v="0"/>
    <x v="1"/>
    <n v="27.552247944597699"/>
    <n v="99.188092600551798"/>
  </r>
  <r>
    <x v="0"/>
    <x v="0"/>
    <x v="0"/>
    <x v="2"/>
    <x v="9"/>
    <x v="22"/>
    <x v="0"/>
    <x v="2"/>
    <n v="27.552247944597699"/>
    <n v="99.188092600551798"/>
  </r>
  <r>
    <x v="0"/>
    <x v="0"/>
    <x v="0"/>
    <x v="2"/>
    <x v="9"/>
    <x v="22"/>
    <x v="0"/>
    <x v="3"/>
    <n v="27.552247944597699"/>
    <n v="99.188092600551798"/>
  </r>
  <r>
    <x v="0"/>
    <x v="0"/>
    <x v="0"/>
    <x v="2"/>
    <x v="9"/>
    <x v="22"/>
    <x v="0"/>
    <x v="4"/>
    <n v="27.552247944597699"/>
    <n v="99.188092600551798"/>
  </r>
  <r>
    <x v="0"/>
    <x v="0"/>
    <x v="0"/>
    <x v="2"/>
    <x v="9"/>
    <x v="22"/>
    <x v="0"/>
    <x v="5"/>
    <n v="27.552247944597699"/>
    <n v="99.188092600551798"/>
  </r>
  <r>
    <x v="0"/>
    <x v="0"/>
    <x v="0"/>
    <x v="2"/>
    <x v="9"/>
    <x v="22"/>
    <x v="0"/>
    <x v="6"/>
    <n v="121.740772442546"/>
    <n v="438.26678079316599"/>
  </r>
  <r>
    <x v="0"/>
    <x v="0"/>
    <x v="0"/>
    <x v="2"/>
    <x v="9"/>
    <x v="22"/>
    <x v="0"/>
    <x v="7"/>
    <n v="121.740772442546"/>
    <n v="438.26678079316599"/>
  </r>
  <r>
    <x v="0"/>
    <x v="0"/>
    <x v="0"/>
    <x v="2"/>
    <x v="9"/>
    <x v="22"/>
    <x v="0"/>
    <x v="8"/>
    <n v="121.740772442546"/>
    <n v="438.26678079316599"/>
  </r>
  <r>
    <x v="0"/>
    <x v="0"/>
    <x v="0"/>
    <x v="2"/>
    <x v="9"/>
    <x v="22"/>
    <x v="0"/>
    <x v="9"/>
    <n v="121.740772442546"/>
    <n v="438.26678079316599"/>
  </r>
  <r>
    <x v="0"/>
    <x v="0"/>
    <x v="0"/>
    <x v="2"/>
    <x v="9"/>
    <x v="22"/>
    <x v="0"/>
    <x v="10"/>
    <n v="121.740772442546"/>
    <n v="438.26678079316599"/>
  </r>
  <r>
    <x v="0"/>
    <x v="0"/>
    <x v="0"/>
    <x v="2"/>
    <x v="9"/>
    <x v="22"/>
    <x v="0"/>
    <x v="11"/>
    <n v="27.552247944597699"/>
    <n v="99.188092600551798"/>
  </r>
  <r>
    <x v="0"/>
    <x v="0"/>
    <x v="0"/>
    <x v="2"/>
    <x v="9"/>
    <x v="22"/>
    <x v="0"/>
    <x v="12"/>
    <n v="27.552247944597699"/>
    <n v="99.188092600551798"/>
  </r>
  <r>
    <x v="0"/>
    <x v="0"/>
    <x v="0"/>
    <x v="2"/>
    <x v="9"/>
    <x v="22"/>
    <x v="0"/>
    <x v="13"/>
    <n v="27.552247944597699"/>
    <n v="99.188092600551798"/>
  </r>
  <r>
    <x v="0"/>
    <x v="0"/>
    <x v="0"/>
    <x v="2"/>
    <x v="9"/>
    <x v="22"/>
    <x v="0"/>
    <x v="14"/>
    <n v="27.552247944597699"/>
    <n v="99.188092600551798"/>
  </r>
  <r>
    <x v="0"/>
    <x v="0"/>
    <x v="0"/>
    <x v="2"/>
    <x v="9"/>
    <x v="22"/>
    <x v="0"/>
    <x v="15"/>
    <n v="27.552247944597699"/>
    <n v="99.188092600551798"/>
  </r>
  <r>
    <x v="0"/>
    <x v="0"/>
    <x v="0"/>
    <x v="2"/>
    <x v="9"/>
    <x v="22"/>
    <x v="0"/>
    <x v="16"/>
    <n v="27.552247944597699"/>
    <n v="99.188092600551798"/>
  </r>
  <r>
    <x v="0"/>
    <x v="0"/>
    <x v="0"/>
    <x v="2"/>
    <x v="9"/>
    <x v="22"/>
    <x v="0"/>
    <x v="17"/>
    <n v="27.552247944597699"/>
    <n v="99.188092600551798"/>
  </r>
  <r>
    <x v="0"/>
    <x v="0"/>
    <x v="0"/>
    <x v="2"/>
    <x v="9"/>
    <x v="22"/>
    <x v="0"/>
    <x v="18"/>
    <n v="27.552247944597699"/>
    <n v="99.188092600551798"/>
  </r>
  <r>
    <x v="0"/>
    <x v="0"/>
    <x v="0"/>
    <x v="2"/>
    <x v="9"/>
    <x v="22"/>
    <x v="0"/>
    <x v="19"/>
    <n v="27.552247944597699"/>
    <n v="99.188092600551798"/>
  </r>
  <r>
    <x v="0"/>
    <x v="0"/>
    <x v="0"/>
    <x v="2"/>
    <x v="9"/>
    <x v="22"/>
    <x v="0"/>
    <x v="20"/>
    <n v="27.552247944597699"/>
    <n v="99.188092600551798"/>
  </r>
  <r>
    <x v="0"/>
    <x v="0"/>
    <x v="0"/>
    <x v="2"/>
    <x v="9"/>
    <x v="22"/>
    <x v="0"/>
    <x v="21"/>
    <n v="27.552247944597699"/>
    <n v="99.188092600551798"/>
  </r>
  <r>
    <x v="0"/>
    <x v="0"/>
    <x v="0"/>
    <x v="2"/>
    <x v="9"/>
    <x v="22"/>
    <x v="0"/>
    <x v="22"/>
    <n v="27.552247944597699"/>
    <n v="99.188092600551798"/>
  </r>
  <r>
    <x v="0"/>
    <x v="0"/>
    <x v="0"/>
    <x v="2"/>
    <x v="9"/>
    <x v="22"/>
    <x v="0"/>
    <x v="23"/>
    <n v="27.552247944597699"/>
    <n v="99.188092600551798"/>
  </r>
  <r>
    <x v="0"/>
    <x v="0"/>
    <x v="0"/>
    <x v="2"/>
    <x v="9"/>
    <x v="23"/>
    <x v="0"/>
    <x v="0"/>
    <n v="18.184483643434501"/>
    <n v="65.464141116364203"/>
  </r>
  <r>
    <x v="0"/>
    <x v="0"/>
    <x v="0"/>
    <x v="2"/>
    <x v="9"/>
    <x v="23"/>
    <x v="0"/>
    <x v="1"/>
    <n v="18.184483643434501"/>
    <n v="65.464141116364203"/>
  </r>
  <r>
    <x v="0"/>
    <x v="0"/>
    <x v="0"/>
    <x v="2"/>
    <x v="9"/>
    <x v="23"/>
    <x v="0"/>
    <x v="2"/>
    <n v="18.184483643434501"/>
    <n v="65.464141116364203"/>
  </r>
  <r>
    <x v="0"/>
    <x v="0"/>
    <x v="0"/>
    <x v="2"/>
    <x v="9"/>
    <x v="23"/>
    <x v="0"/>
    <x v="3"/>
    <n v="18.184483643434501"/>
    <n v="65.464141116364203"/>
  </r>
  <r>
    <x v="0"/>
    <x v="0"/>
    <x v="0"/>
    <x v="2"/>
    <x v="9"/>
    <x v="23"/>
    <x v="0"/>
    <x v="4"/>
    <n v="18.184483643434501"/>
    <n v="65.464141116364203"/>
  </r>
  <r>
    <x v="0"/>
    <x v="0"/>
    <x v="0"/>
    <x v="2"/>
    <x v="9"/>
    <x v="23"/>
    <x v="0"/>
    <x v="5"/>
    <n v="18.184483643434501"/>
    <n v="65.464141116364203"/>
  </r>
  <r>
    <x v="0"/>
    <x v="0"/>
    <x v="0"/>
    <x v="2"/>
    <x v="9"/>
    <x v="23"/>
    <x v="0"/>
    <x v="6"/>
    <n v="32.472292220418801"/>
    <n v="116.90025199350799"/>
  </r>
  <r>
    <x v="0"/>
    <x v="0"/>
    <x v="0"/>
    <x v="2"/>
    <x v="9"/>
    <x v="23"/>
    <x v="0"/>
    <x v="7"/>
    <n v="32.472292220418801"/>
    <n v="116.90025199350799"/>
  </r>
  <r>
    <x v="0"/>
    <x v="0"/>
    <x v="0"/>
    <x v="2"/>
    <x v="9"/>
    <x v="23"/>
    <x v="0"/>
    <x v="8"/>
    <n v="32.472292220418801"/>
    <n v="116.90025199350799"/>
  </r>
  <r>
    <x v="0"/>
    <x v="0"/>
    <x v="0"/>
    <x v="2"/>
    <x v="9"/>
    <x v="23"/>
    <x v="0"/>
    <x v="9"/>
    <n v="32.472292220418801"/>
    <n v="116.90025199350799"/>
  </r>
  <r>
    <x v="0"/>
    <x v="0"/>
    <x v="0"/>
    <x v="2"/>
    <x v="9"/>
    <x v="23"/>
    <x v="0"/>
    <x v="10"/>
    <n v="32.472292220418801"/>
    <n v="116.90025199350799"/>
  </r>
  <r>
    <x v="0"/>
    <x v="0"/>
    <x v="0"/>
    <x v="2"/>
    <x v="9"/>
    <x v="23"/>
    <x v="0"/>
    <x v="11"/>
    <n v="32.472292220418801"/>
    <n v="116.90025199350799"/>
  </r>
  <r>
    <x v="0"/>
    <x v="0"/>
    <x v="0"/>
    <x v="2"/>
    <x v="9"/>
    <x v="23"/>
    <x v="0"/>
    <x v="12"/>
    <n v="32.472292220418801"/>
    <n v="116.90025199350799"/>
  </r>
  <r>
    <x v="0"/>
    <x v="0"/>
    <x v="0"/>
    <x v="2"/>
    <x v="9"/>
    <x v="23"/>
    <x v="0"/>
    <x v="13"/>
    <n v="32.472292220418801"/>
    <n v="116.90025199350799"/>
  </r>
  <r>
    <x v="0"/>
    <x v="0"/>
    <x v="0"/>
    <x v="2"/>
    <x v="9"/>
    <x v="23"/>
    <x v="0"/>
    <x v="14"/>
    <n v="32.472292220418801"/>
    <n v="116.90025199350799"/>
  </r>
  <r>
    <x v="0"/>
    <x v="0"/>
    <x v="0"/>
    <x v="2"/>
    <x v="9"/>
    <x v="23"/>
    <x v="0"/>
    <x v="15"/>
    <n v="32.472292220418801"/>
    <n v="116.90025199350799"/>
  </r>
  <r>
    <x v="0"/>
    <x v="0"/>
    <x v="0"/>
    <x v="2"/>
    <x v="9"/>
    <x v="23"/>
    <x v="0"/>
    <x v="16"/>
    <n v="32.472292220418801"/>
    <n v="116.90025199350799"/>
  </r>
  <r>
    <x v="0"/>
    <x v="0"/>
    <x v="0"/>
    <x v="2"/>
    <x v="9"/>
    <x v="23"/>
    <x v="0"/>
    <x v="17"/>
    <n v="32.472292220418801"/>
    <n v="116.90025199350799"/>
  </r>
  <r>
    <x v="0"/>
    <x v="0"/>
    <x v="0"/>
    <x v="2"/>
    <x v="9"/>
    <x v="23"/>
    <x v="0"/>
    <x v="18"/>
    <n v="32.472292220418801"/>
    <n v="116.90025199350799"/>
  </r>
  <r>
    <x v="0"/>
    <x v="0"/>
    <x v="0"/>
    <x v="2"/>
    <x v="9"/>
    <x v="23"/>
    <x v="0"/>
    <x v="19"/>
    <n v="32.472292220418801"/>
    <n v="116.90025199350799"/>
  </r>
  <r>
    <x v="0"/>
    <x v="0"/>
    <x v="0"/>
    <x v="2"/>
    <x v="9"/>
    <x v="23"/>
    <x v="0"/>
    <x v="20"/>
    <n v="32.472292220418801"/>
    <n v="116.90025199350799"/>
  </r>
  <r>
    <x v="0"/>
    <x v="0"/>
    <x v="0"/>
    <x v="2"/>
    <x v="9"/>
    <x v="23"/>
    <x v="0"/>
    <x v="21"/>
    <n v="32.472292220418801"/>
    <n v="116.90025199350799"/>
  </r>
  <r>
    <x v="0"/>
    <x v="0"/>
    <x v="0"/>
    <x v="2"/>
    <x v="9"/>
    <x v="23"/>
    <x v="0"/>
    <x v="22"/>
    <n v="32.472292220418801"/>
    <n v="116.90025199350799"/>
  </r>
  <r>
    <x v="0"/>
    <x v="0"/>
    <x v="0"/>
    <x v="2"/>
    <x v="9"/>
    <x v="23"/>
    <x v="0"/>
    <x v="23"/>
    <n v="18.184483643434501"/>
    <n v="65.464141116364203"/>
  </r>
  <r>
    <x v="0"/>
    <x v="0"/>
    <x v="0"/>
    <x v="2"/>
    <x v="9"/>
    <x v="24"/>
    <x v="0"/>
    <x v="0"/>
    <n v="10.9507258910012"/>
    <n v="39.422613207604101"/>
  </r>
  <r>
    <x v="0"/>
    <x v="0"/>
    <x v="0"/>
    <x v="2"/>
    <x v="9"/>
    <x v="24"/>
    <x v="0"/>
    <x v="1"/>
    <n v="10.9507258910012"/>
    <n v="39.422613207604101"/>
  </r>
  <r>
    <x v="0"/>
    <x v="0"/>
    <x v="0"/>
    <x v="2"/>
    <x v="9"/>
    <x v="24"/>
    <x v="0"/>
    <x v="2"/>
    <n v="10.9507258910012"/>
    <n v="39.422613207604101"/>
  </r>
  <r>
    <x v="0"/>
    <x v="0"/>
    <x v="0"/>
    <x v="2"/>
    <x v="9"/>
    <x v="24"/>
    <x v="0"/>
    <x v="3"/>
    <n v="10.9507258910012"/>
    <n v="39.422613207604101"/>
  </r>
  <r>
    <x v="0"/>
    <x v="0"/>
    <x v="0"/>
    <x v="2"/>
    <x v="9"/>
    <x v="24"/>
    <x v="0"/>
    <x v="4"/>
    <n v="43.537354809391502"/>
    <n v="156.73447731380901"/>
  </r>
  <r>
    <x v="0"/>
    <x v="0"/>
    <x v="0"/>
    <x v="2"/>
    <x v="9"/>
    <x v="24"/>
    <x v="0"/>
    <x v="5"/>
    <n v="47.802272685491097"/>
    <n v="172.088181667768"/>
  </r>
  <r>
    <x v="0"/>
    <x v="0"/>
    <x v="0"/>
    <x v="2"/>
    <x v="9"/>
    <x v="24"/>
    <x v="0"/>
    <x v="6"/>
    <n v="98.566222222222294"/>
    <n v="354.83839999999998"/>
  </r>
  <r>
    <x v="0"/>
    <x v="0"/>
    <x v="0"/>
    <x v="2"/>
    <x v="9"/>
    <x v="24"/>
    <x v="0"/>
    <x v="7"/>
    <n v="98.566222222222294"/>
    <n v="354.83839999999998"/>
  </r>
  <r>
    <x v="0"/>
    <x v="0"/>
    <x v="0"/>
    <x v="2"/>
    <x v="9"/>
    <x v="24"/>
    <x v="0"/>
    <x v="8"/>
    <n v="98.566222222222294"/>
    <n v="354.83839999999998"/>
  </r>
  <r>
    <x v="0"/>
    <x v="0"/>
    <x v="0"/>
    <x v="2"/>
    <x v="9"/>
    <x v="24"/>
    <x v="0"/>
    <x v="9"/>
    <n v="98.566222222222294"/>
    <n v="354.83839999999998"/>
  </r>
  <r>
    <x v="0"/>
    <x v="0"/>
    <x v="0"/>
    <x v="2"/>
    <x v="9"/>
    <x v="24"/>
    <x v="0"/>
    <x v="10"/>
    <n v="98.566222222222294"/>
    <n v="354.83839999999998"/>
  </r>
  <r>
    <x v="0"/>
    <x v="0"/>
    <x v="0"/>
    <x v="2"/>
    <x v="9"/>
    <x v="24"/>
    <x v="0"/>
    <x v="11"/>
    <n v="98.566222222222294"/>
    <n v="354.83839999999998"/>
  </r>
  <r>
    <x v="0"/>
    <x v="0"/>
    <x v="0"/>
    <x v="2"/>
    <x v="9"/>
    <x v="24"/>
    <x v="0"/>
    <x v="12"/>
    <n v="98.566222222222294"/>
    <n v="354.83839999999998"/>
  </r>
  <r>
    <x v="0"/>
    <x v="0"/>
    <x v="0"/>
    <x v="2"/>
    <x v="9"/>
    <x v="24"/>
    <x v="0"/>
    <x v="13"/>
    <n v="47.802272685491097"/>
    <n v="172.088181667768"/>
  </r>
  <r>
    <x v="0"/>
    <x v="0"/>
    <x v="0"/>
    <x v="2"/>
    <x v="9"/>
    <x v="24"/>
    <x v="0"/>
    <x v="14"/>
    <n v="47.802272685491097"/>
    <n v="172.088181667768"/>
  </r>
  <r>
    <x v="0"/>
    <x v="0"/>
    <x v="0"/>
    <x v="2"/>
    <x v="9"/>
    <x v="24"/>
    <x v="0"/>
    <x v="15"/>
    <n v="47.802272685491097"/>
    <n v="172.088181667768"/>
  </r>
  <r>
    <x v="0"/>
    <x v="0"/>
    <x v="0"/>
    <x v="2"/>
    <x v="9"/>
    <x v="24"/>
    <x v="0"/>
    <x v="16"/>
    <n v="47.802272685491097"/>
    <n v="172.088181667768"/>
  </r>
  <r>
    <x v="0"/>
    <x v="0"/>
    <x v="0"/>
    <x v="2"/>
    <x v="9"/>
    <x v="24"/>
    <x v="0"/>
    <x v="17"/>
    <n v="45.294727779627799"/>
    <n v="163.06102000665999"/>
  </r>
  <r>
    <x v="0"/>
    <x v="0"/>
    <x v="0"/>
    <x v="2"/>
    <x v="9"/>
    <x v="24"/>
    <x v="0"/>
    <x v="18"/>
    <n v="45.294727779627799"/>
    <n v="163.06102000665999"/>
  </r>
  <r>
    <x v="0"/>
    <x v="0"/>
    <x v="0"/>
    <x v="2"/>
    <x v="9"/>
    <x v="24"/>
    <x v="0"/>
    <x v="19"/>
    <n v="47.802272685491097"/>
    <n v="172.088181667768"/>
  </r>
  <r>
    <x v="0"/>
    <x v="0"/>
    <x v="0"/>
    <x v="2"/>
    <x v="9"/>
    <x v="24"/>
    <x v="0"/>
    <x v="20"/>
    <n v="47.802272685491097"/>
    <n v="172.088181667768"/>
  </r>
  <r>
    <x v="0"/>
    <x v="0"/>
    <x v="0"/>
    <x v="2"/>
    <x v="9"/>
    <x v="24"/>
    <x v="0"/>
    <x v="21"/>
    <n v="45.294727779627799"/>
    <n v="163.06102000665999"/>
  </r>
  <r>
    <x v="0"/>
    <x v="0"/>
    <x v="0"/>
    <x v="2"/>
    <x v="9"/>
    <x v="24"/>
    <x v="0"/>
    <x v="22"/>
    <n v="43.537354809391502"/>
    <n v="156.73447731380901"/>
  </r>
  <r>
    <x v="0"/>
    <x v="0"/>
    <x v="0"/>
    <x v="2"/>
    <x v="9"/>
    <x v="24"/>
    <x v="0"/>
    <x v="23"/>
    <n v="10.9507258910012"/>
    <n v="39.422613207604101"/>
  </r>
  <r>
    <x v="0"/>
    <x v="0"/>
    <x v="0"/>
    <x v="2"/>
    <x v="9"/>
    <x v="25"/>
    <x v="0"/>
    <x v="0"/>
    <n v="27.552247944597699"/>
    <n v="99.188092600551798"/>
  </r>
  <r>
    <x v="0"/>
    <x v="0"/>
    <x v="0"/>
    <x v="2"/>
    <x v="9"/>
    <x v="25"/>
    <x v="0"/>
    <x v="1"/>
    <n v="27.552247944597699"/>
    <n v="99.188092600551798"/>
  </r>
  <r>
    <x v="0"/>
    <x v="0"/>
    <x v="0"/>
    <x v="2"/>
    <x v="9"/>
    <x v="25"/>
    <x v="0"/>
    <x v="2"/>
    <n v="27.552247944597699"/>
    <n v="99.188092600551798"/>
  </r>
  <r>
    <x v="0"/>
    <x v="0"/>
    <x v="0"/>
    <x v="2"/>
    <x v="9"/>
    <x v="25"/>
    <x v="0"/>
    <x v="3"/>
    <n v="27.552247944597699"/>
    <n v="99.188092600551798"/>
  </r>
  <r>
    <x v="0"/>
    <x v="0"/>
    <x v="0"/>
    <x v="2"/>
    <x v="9"/>
    <x v="25"/>
    <x v="0"/>
    <x v="4"/>
    <n v="27.552247944597699"/>
    <n v="99.188092600551798"/>
  </r>
  <r>
    <x v="0"/>
    <x v="0"/>
    <x v="0"/>
    <x v="2"/>
    <x v="9"/>
    <x v="25"/>
    <x v="0"/>
    <x v="5"/>
    <n v="27.552247944597699"/>
    <n v="99.188092600551798"/>
  </r>
  <r>
    <x v="0"/>
    <x v="0"/>
    <x v="0"/>
    <x v="2"/>
    <x v="9"/>
    <x v="25"/>
    <x v="0"/>
    <x v="6"/>
    <n v="40.007485285609903"/>
    <n v="144.02694702819599"/>
  </r>
  <r>
    <x v="0"/>
    <x v="0"/>
    <x v="0"/>
    <x v="2"/>
    <x v="9"/>
    <x v="25"/>
    <x v="0"/>
    <x v="7"/>
    <n v="92.777977772624993"/>
    <n v="334.00071998145"/>
  </r>
  <r>
    <x v="0"/>
    <x v="0"/>
    <x v="0"/>
    <x v="2"/>
    <x v="9"/>
    <x v="25"/>
    <x v="0"/>
    <x v="8"/>
    <n v="92.777977772624993"/>
    <n v="334.00071998145"/>
  </r>
  <r>
    <x v="0"/>
    <x v="0"/>
    <x v="0"/>
    <x v="2"/>
    <x v="9"/>
    <x v="25"/>
    <x v="0"/>
    <x v="9"/>
    <n v="92.777977772624993"/>
    <n v="334.00071998145"/>
  </r>
  <r>
    <x v="0"/>
    <x v="0"/>
    <x v="0"/>
    <x v="2"/>
    <x v="9"/>
    <x v="25"/>
    <x v="0"/>
    <x v="10"/>
    <n v="92.777977772624993"/>
    <n v="334.00071998145"/>
  </r>
  <r>
    <x v="0"/>
    <x v="0"/>
    <x v="0"/>
    <x v="2"/>
    <x v="9"/>
    <x v="25"/>
    <x v="0"/>
    <x v="11"/>
    <n v="92.777977772624993"/>
    <n v="334.00071998145"/>
  </r>
  <r>
    <x v="0"/>
    <x v="0"/>
    <x v="0"/>
    <x v="2"/>
    <x v="9"/>
    <x v="25"/>
    <x v="0"/>
    <x v="12"/>
    <n v="92.777977772624993"/>
    <n v="334.00071998145"/>
  </r>
  <r>
    <x v="0"/>
    <x v="0"/>
    <x v="0"/>
    <x v="2"/>
    <x v="9"/>
    <x v="25"/>
    <x v="0"/>
    <x v="13"/>
    <n v="92.777977772624993"/>
    <n v="334.00071998145"/>
  </r>
  <r>
    <x v="0"/>
    <x v="0"/>
    <x v="0"/>
    <x v="2"/>
    <x v="9"/>
    <x v="25"/>
    <x v="0"/>
    <x v="14"/>
    <n v="92.777977772624993"/>
    <n v="334.00071998145"/>
  </r>
  <r>
    <x v="0"/>
    <x v="0"/>
    <x v="0"/>
    <x v="2"/>
    <x v="9"/>
    <x v="25"/>
    <x v="0"/>
    <x v="15"/>
    <n v="92.777977772624993"/>
    <n v="334.00071998145"/>
  </r>
  <r>
    <x v="0"/>
    <x v="0"/>
    <x v="0"/>
    <x v="2"/>
    <x v="9"/>
    <x v="25"/>
    <x v="0"/>
    <x v="16"/>
    <n v="92.777977772624993"/>
    <n v="334.00071998145"/>
  </r>
  <r>
    <x v="0"/>
    <x v="0"/>
    <x v="0"/>
    <x v="2"/>
    <x v="9"/>
    <x v="25"/>
    <x v="0"/>
    <x v="17"/>
    <n v="92.777977772624993"/>
    <n v="334.00071998145"/>
  </r>
  <r>
    <x v="0"/>
    <x v="0"/>
    <x v="0"/>
    <x v="2"/>
    <x v="9"/>
    <x v="25"/>
    <x v="0"/>
    <x v="18"/>
    <n v="92.777977772624993"/>
    <n v="334.00071998145"/>
  </r>
  <r>
    <x v="0"/>
    <x v="0"/>
    <x v="0"/>
    <x v="2"/>
    <x v="9"/>
    <x v="25"/>
    <x v="0"/>
    <x v="19"/>
    <n v="92.777977772624993"/>
    <n v="334.00071998145"/>
  </r>
  <r>
    <x v="0"/>
    <x v="0"/>
    <x v="0"/>
    <x v="2"/>
    <x v="9"/>
    <x v="25"/>
    <x v="0"/>
    <x v="20"/>
    <n v="92.777977772624993"/>
    <n v="334.00071998145"/>
  </r>
  <r>
    <x v="0"/>
    <x v="0"/>
    <x v="0"/>
    <x v="2"/>
    <x v="9"/>
    <x v="25"/>
    <x v="0"/>
    <x v="21"/>
    <n v="40.007485285609903"/>
    <n v="144.02694702819599"/>
  </r>
  <r>
    <x v="0"/>
    <x v="0"/>
    <x v="0"/>
    <x v="2"/>
    <x v="9"/>
    <x v="25"/>
    <x v="0"/>
    <x v="22"/>
    <n v="40.007485285609903"/>
    <n v="144.02694702819599"/>
  </r>
  <r>
    <x v="0"/>
    <x v="0"/>
    <x v="0"/>
    <x v="2"/>
    <x v="9"/>
    <x v="25"/>
    <x v="0"/>
    <x v="23"/>
    <n v="40.007485285609903"/>
    <n v="144.02694702819599"/>
  </r>
  <r>
    <x v="0"/>
    <x v="0"/>
    <x v="1"/>
    <x v="2"/>
    <x v="9"/>
    <x v="21"/>
    <x v="0"/>
    <x v="0"/>
    <n v="2.5142384701423999"/>
    <n v="9.0512584925126305"/>
  </r>
  <r>
    <x v="0"/>
    <x v="0"/>
    <x v="1"/>
    <x v="2"/>
    <x v="9"/>
    <x v="21"/>
    <x v="0"/>
    <x v="1"/>
    <n v="2.5142384701423999"/>
    <n v="9.0512584925126305"/>
  </r>
  <r>
    <x v="0"/>
    <x v="0"/>
    <x v="1"/>
    <x v="2"/>
    <x v="9"/>
    <x v="21"/>
    <x v="0"/>
    <x v="2"/>
    <n v="2.5142384701423999"/>
    <n v="9.0512584925126305"/>
  </r>
  <r>
    <x v="0"/>
    <x v="0"/>
    <x v="1"/>
    <x v="2"/>
    <x v="9"/>
    <x v="21"/>
    <x v="0"/>
    <x v="3"/>
    <n v="2.5142384701423999"/>
    <n v="9.0512584925126305"/>
  </r>
  <r>
    <x v="0"/>
    <x v="0"/>
    <x v="1"/>
    <x v="2"/>
    <x v="9"/>
    <x v="21"/>
    <x v="0"/>
    <x v="4"/>
    <n v="2.5142384701423999"/>
    <n v="9.0512584925126305"/>
  </r>
  <r>
    <x v="0"/>
    <x v="0"/>
    <x v="1"/>
    <x v="2"/>
    <x v="9"/>
    <x v="21"/>
    <x v="0"/>
    <x v="5"/>
    <n v="2.5142384701423999"/>
    <n v="9.0512584925126305"/>
  </r>
  <r>
    <x v="0"/>
    <x v="0"/>
    <x v="1"/>
    <x v="2"/>
    <x v="9"/>
    <x v="21"/>
    <x v="0"/>
    <x v="6"/>
    <n v="12.8518634615626"/>
    <n v="46.2667084616252"/>
  </r>
  <r>
    <x v="0"/>
    <x v="0"/>
    <x v="1"/>
    <x v="2"/>
    <x v="9"/>
    <x v="21"/>
    <x v="0"/>
    <x v="7"/>
    <n v="13.857661471597901"/>
    <n v="49.887581297752398"/>
  </r>
  <r>
    <x v="0"/>
    <x v="0"/>
    <x v="1"/>
    <x v="2"/>
    <x v="9"/>
    <x v="21"/>
    <x v="0"/>
    <x v="8"/>
    <n v="13.857661471597901"/>
    <n v="49.887581297752398"/>
  </r>
  <r>
    <x v="0"/>
    <x v="0"/>
    <x v="1"/>
    <x v="2"/>
    <x v="9"/>
    <x v="21"/>
    <x v="0"/>
    <x v="9"/>
    <n v="13.857661471597901"/>
    <n v="49.887581297752398"/>
  </r>
  <r>
    <x v="0"/>
    <x v="0"/>
    <x v="1"/>
    <x v="2"/>
    <x v="9"/>
    <x v="21"/>
    <x v="0"/>
    <x v="10"/>
    <n v="12.8518634615626"/>
    <n v="46.2667084616252"/>
  </r>
  <r>
    <x v="0"/>
    <x v="0"/>
    <x v="1"/>
    <x v="2"/>
    <x v="9"/>
    <x v="21"/>
    <x v="0"/>
    <x v="11"/>
    <n v="12.8518634615626"/>
    <n v="46.2667084616252"/>
  </r>
  <r>
    <x v="0"/>
    <x v="0"/>
    <x v="1"/>
    <x v="2"/>
    <x v="9"/>
    <x v="21"/>
    <x v="0"/>
    <x v="12"/>
    <n v="12.8518634615626"/>
    <n v="46.2667084616252"/>
  </r>
  <r>
    <x v="0"/>
    <x v="0"/>
    <x v="1"/>
    <x v="2"/>
    <x v="9"/>
    <x v="21"/>
    <x v="0"/>
    <x v="13"/>
    <n v="12.8518634615626"/>
    <n v="46.2667084616252"/>
  </r>
  <r>
    <x v="0"/>
    <x v="0"/>
    <x v="1"/>
    <x v="2"/>
    <x v="9"/>
    <x v="21"/>
    <x v="0"/>
    <x v="14"/>
    <n v="6.9981309309549298"/>
    <n v="25.193271351437701"/>
  </r>
  <r>
    <x v="0"/>
    <x v="0"/>
    <x v="1"/>
    <x v="2"/>
    <x v="9"/>
    <x v="21"/>
    <x v="0"/>
    <x v="15"/>
    <n v="2.5142384701423999"/>
    <n v="9.0512584925126305"/>
  </r>
  <r>
    <x v="0"/>
    <x v="0"/>
    <x v="1"/>
    <x v="2"/>
    <x v="9"/>
    <x v="21"/>
    <x v="0"/>
    <x v="16"/>
    <n v="2.5142384701423999"/>
    <n v="9.0512584925126305"/>
  </r>
  <r>
    <x v="0"/>
    <x v="0"/>
    <x v="1"/>
    <x v="2"/>
    <x v="9"/>
    <x v="21"/>
    <x v="0"/>
    <x v="17"/>
    <n v="2.5142384701423999"/>
    <n v="9.0512584925126305"/>
  </r>
  <r>
    <x v="0"/>
    <x v="0"/>
    <x v="1"/>
    <x v="2"/>
    <x v="9"/>
    <x v="21"/>
    <x v="0"/>
    <x v="18"/>
    <n v="2.5142384701423999"/>
    <n v="9.0512584925126305"/>
  </r>
  <r>
    <x v="0"/>
    <x v="0"/>
    <x v="1"/>
    <x v="2"/>
    <x v="9"/>
    <x v="21"/>
    <x v="0"/>
    <x v="19"/>
    <n v="6.9981309309549298"/>
    <n v="25.193271351437701"/>
  </r>
  <r>
    <x v="0"/>
    <x v="0"/>
    <x v="1"/>
    <x v="2"/>
    <x v="9"/>
    <x v="21"/>
    <x v="0"/>
    <x v="20"/>
    <n v="4.5277376460992"/>
    <n v="16.299855525957099"/>
  </r>
  <r>
    <x v="0"/>
    <x v="0"/>
    <x v="1"/>
    <x v="2"/>
    <x v="9"/>
    <x v="21"/>
    <x v="0"/>
    <x v="21"/>
    <n v="2.5142384701423999"/>
    <n v="9.0512584925126305"/>
  </r>
  <r>
    <x v="0"/>
    <x v="0"/>
    <x v="1"/>
    <x v="2"/>
    <x v="9"/>
    <x v="21"/>
    <x v="0"/>
    <x v="22"/>
    <n v="2.5142384701423999"/>
    <n v="9.0512584925126305"/>
  </r>
  <r>
    <x v="0"/>
    <x v="0"/>
    <x v="1"/>
    <x v="2"/>
    <x v="9"/>
    <x v="21"/>
    <x v="0"/>
    <x v="23"/>
    <n v="2.5142384701423999"/>
    <n v="9.0512584925126305"/>
  </r>
  <r>
    <x v="0"/>
    <x v="0"/>
    <x v="1"/>
    <x v="2"/>
    <x v="9"/>
    <x v="22"/>
    <x v="0"/>
    <x v="0"/>
    <n v="2.5142384701423999"/>
    <n v="9.0512584925126305"/>
  </r>
  <r>
    <x v="0"/>
    <x v="0"/>
    <x v="1"/>
    <x v="2"/>
    <x v="9"/>
    <x v="22"/>
    <x v="0"/>
    <x v="1"/>
    <n v="2.5142384701423999"/>
    <n v="9.0512584925126305"/>
  </r>
  <r>
    <x v="0"/>
    <x v="0"/>
    <x v="1"/>
    <x v="2"/>
    <x v="9"/>
    <x v="22"/>
    <x v="0"/>
    <x v="2"/>
    <n v="2.5142384701423999"/>
    <n v="9.0512584925126305"/>
  </r>
  <r>
    <x v="0"/>
    <x v="0"/>
    <x v="1"/>
    <x v="2"/>
    <x v="9"/>
    <x v="22"/>
    <x v="0"/>
    <x v="3"/>
    <n v="2.5142384701423999"/>
    <n v="9.0512584925126305"/>
  </r>
  <r>
    <x v="0"/>
    <x v="0"/>
    <x v="1"/>
    <x v="2"/>
    <x v="9"/>
    <x v="22"/>
    <x v="0"/>
    <x v="4"/>
    <n v="2.5142384701423999"/>
    <n v="9.0512584925126305"/>
  </r>
  <r>
    <x v="0"/>
    <x v="0"/>
    <x v="1"/>
    <x v="2"/>
    <x v="9"/>
    <x v="22"/>
    <x v="0"/>
    <x v="5"/>
    <n v="2.5142384701423999"/>
    <n v="9.0512584925126305"/>
  </r>
  <r>
    <x v="0"/>
    <x v="0"/>
    <x v="1"/>
    <x v="2"/>
    <x v="9"/>
    <x v="22"/>
    <x v="0"/>
    <x v="6"/>
    <n v="13.857661471597901"/>
    <n v="49.887581297752398"/>
  </r>
  <r>
    <x v="0"/>
    <x v="0"/>
    <x v="1"/>
    <x v="2"/>
    <x v="9"/>
    <x v="22"/>
    <x v="0"/>
    <x v="7"/>
    <n v="13.857661471597901"/>
    <n v="49.887581297752398"/>
  </r>
  <r>
    <x v="0"/>
    <x v="0"/>
    <x v="1"/>
    <x v="2"/>
    <x v="9"/>
    <x v="22"/>
    <x v="0"/>
    <x v="8"/>
    <n v="13.857661471597901"/>
    <n v="49.887581297752398"/>
  </r>
  <r>
    <x v="0"/>
    <x v="0"/>
    <x v="1"/>
    <x v="2"/>
    <x v="9"/>
    <x v="22"/>
    <x v="0"/>
    <x v="9"/>
    <n v="13.857661471597901"/>
    <n v="49.887581297752398"/>
  </r>
  <r>
    <x v="0"/>
    <x v="0"/>
    <x v="1"/>
    <x v="2"/>
    <x v="9"/>
    <x v="22"/>
    <x v="0"/>
    <x v="10"/>
    <n v="13.857661471597901"/>
    <n v="49.887581297752398"/>
  </r>
  <r>
    <x v="0"/>
    <x v="0"/>
    <x v="1"/>
    <x v="2"/>
    <x v="9"/>
    <x v="22"/>
    <x v="0"/>
    <x v="11"/>
    <n v="13.857661471597901"/>
    <n v="49.887581297752398"/>
  </r>
  <r>
    <x v="0"/>
    <x v="0"/>
    <x v="1"/>
    <x v="2"/>
    <x v="9"/>
    <x v="22"/>
    <x v="0"/>
    <x v="12"/>
    <n v="13.857661471597901"/>
    <n v="49.887581297752398"/>
  </r>
  <r>
    <x v="0"/>
    <x v="0"/>
    <x v="1"/>
    <x v="2"/>
    <x v="9"/>
    <x v="22"/>
    <x v="0"/>
    <x v="13"/>
    <n v="2.5142384701423999"/>
    <n v="9.0512584925126305"/>
  </r>
  <r>
    <x v="0"/>
    <x v="0"/>
    <x v="1"/>
    <x v="2"/>
    <x v="9"/>
    <x v="22"/>
    <x v="0"/>
    <x v="14"/>
    <n v="2.5142384701423999"/>
    <n v="9.0512584925126305"/>
  </r>
  <r>
    <x v="0"/>
    <x v="0"/>
    <x v="1"/>
    <x v="2"/>
    <x v="9"/>
    <x v="22"/>
    <x v="0"/>
    <x v="15"/>
    <n v="2.5142384701423999"/>
    <n v="9.0512584925126305"/>
  </r>
  <r>
    <x v="0"/>
    <x v="0"/>
    <x v="1"/>
    <x v="2"/>
    <x v="9"/>
    <x v="22"/>
    <x v="0"/>
    <x v="16"/>
    <n v="2.5142384701423999"/>
    <n v="9.0512584925126305"/>
  </r>
  <r>
    <x v="0"/>
    <x v="0"/>
    <x v="1"/>
    <x v="2"/>
    <x v="9"/>
    <x v="22"/>
    <x v="0"/>
    <x v="17"/>
    <n v="2.5142384701423999"/>
    <n v="9.0512584925126305"/>
  </r>
  <r>
    <x v="0"/>
    <x v="0"/>
    <x v="1"/>
    <x v="2"/>
    <x v="9"/>
    <x v="22"/>
    <x v="0"/>
    <x v="18"/>
    <n v="2.5142384701423999"/>
    <n v="9.0512584925126305"/>
  </r>
  <r>
    <x v="0"/>
    <x v="0"/>
    <x v="1"/>
    <x v="2"/>
    <x v="9"/>
    <x v="22"/>
    <x v="0"/>
    <x v="19"/>
    <n v="13.857661471597901"/>
    <n v="49.887581297752398"/>
  </r>
  <r>
    <x v="0"/>
    <x v="0"/>
    <x v="1"/>
    <x v="2"/>
    <x v="9"/>
    <x v="22"/>
    <x v="0"/>
    <x v="20"/>
    <n v="8.4665325175476092"/>
    <n v="30.4795170631714"/>
  </r>
  <r>
    <x v="0"/>
    <x v="0"/>
    <x v="1"/>
    <x v="2"/>
    <x v="9"/>
    <x v="22"/>
    <x v="0"/>
    <x v="21"/>
    <n v="2.5142384701423999"/>
    <n v="9.0512584925126305"/>
  </r>
  <r>
    <x v="0"/>
    <x v="0"/>
    <x v="1"/>
    <x v="2"/>
    <x v="9"/>
    <x v="22"/>
    <x v="0"/>
    <x v="22"/>
    <n v="2.5142384701423999"/>
    <n v="9.0512584925126305"/>
  </r>
  <r>
    <x v="0"/>
    <x v="0"/>
    <x v="1"/>
    <x v="2"/>
    <x v="9"/>
    <x v="22"/>
    <x v="0"/>
    <x v="23"/>
    <n v="2.5142384701423999"/>
    <n v="9.0512584925126305"/>
  </r>
  <r>
    <x v="0"/>
    <x v="0"/>
    <x v="1"/>
    <x v="2"/>
    <x v="9"/>
    <x v="23"/>
    <x v="0"/>
    <x v="0"/>
    <n v="2.5142384701423999"/>
    <n v="9.0512584925126305"/>
  </r>
  <r>
    <x v="0"/>
    <x v="0"/>
    <x v="1"/>
    <x v="2"/>
    <x v="9"/>
    <x v="23"/>
    <x v="0"/>
    <x v="1"/>
    <n v="2.5142384701423999"/>
    <n v="9.0512584925126305"/>
  </r>
  <r>
    <x v="0"/>
    <x v="0"/>
    <x v="1"/>
    <x v="2"/>
    <x v="9"/>
    <x v="23"/>
    <x v="0"/>
    <x v="2"/>
    <n v="2.5142384701423999"/>
    <n v="9.0512584925126305"/>
  </r>
  <r>
    <x v="0"/>
    <x v="0"/>
    <x v="1"/>
    <x v="2"/>
    <x v="9"/>
    <x v="23"/>
    <x v="0"/>
    <x v="3"/>
    <n v="2.5142384701423999"/>
    <n v="9.0512584925126305"/>
  </r>
  <r>
    <x v="0"/>
    <x v="0"/>
    <x v="1"/>
    <x v="2"/>
    <x v="9"/>
    <x v="23"/>
    <x v="0"/>
    <x v="4"/>
    <n v="2.5142384701423999"/>
    <n v="9.0512584925126305"/>
  </r>
  <r>
    <x v="0"/>
    <x v="0"/>
    <x v="1"/>
    <x v="2"/>
    <x v="9"/>
    <x v="23"/>
    <x v="0"/>
    <x v="5"/>
    <n v="2.5142384701423999"/>
    <n v="9.0512584925126305"/>
  </r>
  <r>
    <x v="0"/>
    <x v="0"/>
    <x v="1"/>
    <x v="2"/>
    <x v="9"/>
    <x v="23"/>
    <x v="0"/>
    <x v="6"/>
    <n v="2.5142384701423999"/>
    <n v="9.0512584925126305"/>
  </r>
  <r>
    <x v="0"/>
    <x v="0"/>
    <x v="1"/>
    <x v="2"/>
    <x v="9"/>
    <x v="23"/>
    <x v="0"/>
    <x v="7"/>
    <n v="11.2364017005715"/>
    <n v="40.451046122057299"/>
  </r>
  <r>
    <x v="0"/>
    <x v="0"/>
    <x v="1"/>
    <x v="2"/>
    <x v="9"/>
    <x v="23"/>
    <x v="0"/>
    <x v="8"/>
    <n v="11.2364017005715"/>
    <n v="40.451046122057299"/>
  </r>
  <r>
    <x v="0"/>
    <x v="0"/>
    <x v="1"/>
    <x v="2"/>
    <x v="9"/>
    <x v="23"/>
    <x v="0"/>
    <x v="9"/>
    <n v="11.2364017005715"/>
    <n v="40.451046122057299"/>
  </r>
  <r>
    <x v="0"/>
    <x v="0"/>
    <x v="1"/>
    <x v="2"/>
    <x v="9"/>
    <x v="23"/>
    <x v="0"/>
    <x v="10"/>
    <n v="11.2364017005715"/>
    <n v="40.451046122057299"/>
  </r>
  <r>
    <x v="0"/>
    <x v="0"/>
    <x v="1"/>
    <x v="2"/>
    <x v="9"/>
    <x v="23"/>
    <x v="0"/>
    <x v="11"/>
    <n v="11.2364017005715"/>
    <n v="40.451046122057299"/>
  </r>
  <r>
    <x v="0"/>
    <x v="0"/>
    <x v="1"/>
    <x v="2"/>
    <x v="9"/>
    <x v="23"/>
    <x v="0"/>
    <x v="12"/>
    <n v="11.2364017005715"/>
    <n v="40.451046122057299"/>
  </r>
  <r>
    <x v="0"/>
    <x v="0"/>
    <x v="1"/>
    <x v="2"/>
    <x v="9"/>
    <x v="23"/>
    <x v="0"/>
    <x v="13"/>
    <n v="11.2364017005715"/>
    <n v="40.451046122057299"/>
  </r>
  <r>
    <x v="0"/>
    <x v="0"/>
    <x v="1"/>
    <x v="2"/>
    <x v="9"/>
    <x v="23"/>
    <x v="0"/>
    <x v="14"/>
    <n v="11.2364017005715"/>
    <n v="40.451046122057299"/>
  </r>
  <r>
    <x v="0"/>
    <x v="0"/>
    <x v="1"/>
    <x v="2"/>
    <x v="9"/>
    <x v="23"/>
    <x v="0"/>
    <x v="15"/>
    <n v="11.2364017005715"/>
    <n v="40.451046122057299"/>
  </r>
  <r>
    <x v="0"/>
    <x v="0"/>
    <x v="1"/>
    <x v="2"/>
    <x v="9"/>
    <x v="23"/>
    <x v="0"/>
    <x v="16"/>
    <n v="7.2627700728922804"/>
    <n v="26.145972262412201"/>
  </r>
  <r>
    <x v="0"/>
    <x v="0"/>
    <x v="1"/>
    <x v="2"/>
    <x v="9"/>
    <x v="23"/>
    <x v="0"/>
    <x v="17"/>
    <n v="6.9981309309549298"/>
    <n v="25.193271351437701"/>
  </r>
  <r>
    <x v="0"/>
    <x v="0"/>
    <x v="1"/>
    <x v="2"/>
    <x v="9"/>
    <x v="23"/>
    <x v="0"/>
    <x v="18"/>
    <n v="6.9981309309549298"/>
    <n v="25.193271351437701"/>
  </r>
  <r>
    <x v="0"/>
    <x v="0"/>
    <x v="1"/>
    <x v="2"/>
    <x v="9"/>
    <x v="23"/>
    <x v="0"/>
    <x v="19"/>
    <n v="6.9981309309549298"/>
    <n v="25.193271351437701"/>
  </r>
  <r>
    <x v="0"/>
    <x v="0"/>
    <x v="1"/>
    <x v="2"/>
    <x v="9"/>
    <x v="23"/>
    <x v="0"/>
    <x v="20"/>
    <n v="2.5142384701423999"/>
    <n v="9.0512584925126305"/>
  </r>
  <r>
    <x v="0"/>
    <x v="0"/>
    <x v="1"/>
    <x v="2"/>
    <x v="9"/>
    <x v="23"/>
    <x v="0"/>
    <x v="21"/>
    <n v="2.5142384701423999"/>
    <n v="9.0512584925126305"/>
  </r>
  <r>
    <x v="0"/>
    <x v="0"/>
    <x v="1"/>
    <x v="2"/>
    <x v="9"/>
    <x v="23"/>
    <x v="0"/>
    <x v="22"/>
    <n v="2.5142384701423999"/>
    <n v="9.0512584925126305"/>
  </r>
  <r>
    <x v="0"/>
    <x v="0"/>
    <x v="1"/>
    <x v="2"/>
    <x v="9"/>
    <x v="23"/>
    <x v="0"/>
    <x v="23"/>
    <n v="2.5142384701423999"/>
    <n v="9.0512584925126305"/>
  </r>
  <r>
    <x v="0"/>
    <x v="0"/>
    <x v="1"/>
    <x v="2"/>
    <x v="9"/>
    <x v="24"/>
    <x v="0"/>
    <x v="0"/>
    <n v="2.5142384701423999"/>
    <n v="9.0512584925126305"/>
  </r>
  <r>
    <x v="0"/>
    <x v="0"/>
    <x v="1"/>
    <x v="2"/>
    <x v="9"/>
    <x v="24"/>
    <x v="0"/>
    <x v="1"/>
    <n v="2.5142384701423999"/>
    <n v="9.0512584925126305"/>
  </r>
  <r>
    <x v="0"/>
    <x v="0"/>
    <x v="1"/>
    <x v="2"/>
    <x v="9"/>
    <x v="24"/>
    <x v="0"/>
    <x v="2"/>
    <n v="2.5142384701423999"/>
    <n v="9.0512584925126305"/>
  </r>
  <r>
    <x v="0"/>
    <x v="0"/>
    <x v="1"/>
    <x v="2"/>
    <x v="9"/>
    <x v="24"/>
    <x v="0"/>
    <x v="3"/>
    <n v="2.5142384701423999"/>
    <n v="9.0512584925126305"/>
  </r>
  <r>
    <x v="0"/>
    <x v="0"/>
    <x v="1"/>
    <x v="2"/>
    <x v="9"/>
    <x v="24"/>
    <x v="0"/>
    <x v="4"/>
    <n v="2.5142384701423999"/>
    <n v="9.0512584925126305"/>
  </r>
  <r>
    <x v="0"/>
    <x v="0"/>
    <x v="1"/>
    <x v="2"/>
    <x v="9"/>
    <x v="24"/>
    <x v="0"/>
    <x v="5"/>
    <n v="6.9981309309549298"/>
    <n v="25.193271351437701"/>
  </r>
  <r>
    <x v="0"/>
    <x v="0"/>
    <x v="1"/>
    <x v="2"/>
    <x v="9"/>
    <x v="24"/>
    <x v="0"/>
    <x v="6"/>
    <n v="6.9981309309549298"/>
    <n v="25.193271351437701"/>
  </r>
  <r>
    <x v="0"/>
    <x v="0"/>
    <x v="1"/>
    <x v="2"/>
    <x v="9"/>
    <x v="24"/>
    <x v="0"/>
    <x v="7"/>
    <n v="13.857661471597901"/>
    <n v="49.887581297752398"/>
  </r>
  <r>
    <x v="0"/>
    <x v="0"/>
    <x v="1"/>
    <x v="2"/>
    <x v="9"/>
    <x v="24"/>
    <x v="0"/>
    <x v="8"/>
    <n v="13.857661471597901"/>
    <n v="49.887581297752398"/>
  </r>
  <r>
    <x v="0"/>
    <x v="0"/>
    <x v="1"/>
    <x v="2"/>
    <x v="9"/>
    <x v="24"/>
    <x v="0"/>
    <x v="9"/>
    <n v="13.7525760749052"/>
    <n v="49.5092738696586"/>
  </r>
  <r>
    <x v="0"/>
    <x v="0"/>
    <x v="1"/>
    <x v="2"/>
    <x v="9"/>
    <x v="24"/>
    <x v="0"/>
    <x v="10"/>
    <n v="6.9981309309549298"/>
    <n v="25.193271351437701"/>
  </r>
  <r>
    <x v="0"/>
    <x v="0"/>
    <x v="1"/>
    <x v="2"/>
    <x v="9"/>
    <x v="24"/>
    <x v="0"/>
    <x v="11"/>
    <n v="6.9981309309549298"/>
    <n v="25.193271351437701"/>
  </r>
  <r>
    <x v="0"/>
    <x v="0"/>
    <x v="1"/>
    <x v="2"/>
    <x v="9"/>
    <x v="24"/>
    <x v="0"/>
    <x v="12"/>
    <n v="6.9981309309549298"/>
    <n v="25.193271351437701"/>
  </r>
  <r>
    <x v="0"/>
    <x v="0"/>
    <x v="1"/>
    <x v="2"/>
    <x v="9"/>
    <x v="24"/>
    <x v="0"/>
    <x v="13"/>
    <n v="6.9981309309549298"/>
    <n v="25.193271351437701"/>
  </r>
  <r>
    <x v="0"/>
    <x v="0"/>
    <x v="1"/>
    <x v="2"/>
    <x v="9"/>
    <x v="24"/>
    <x v="0"/>
    <x v="14"/>
    <n v="6.9981309309549298"/>
    <n v="25.193271351437701"/>
  </r>
  <r>
    <x v="0"/>
    <x v="0"/>
    <x v="1"/>
    <x v="2"/>
    <x v="9"/>
    <x v="24"/>
    <x v="0"/>
    <x v="15"/>
    <n v="6.9981309309549298"/>
    <n v="25.193271351437701"/>
  </r>
  <r>
    <x v="0"/>
    <x v="0"/>
    <x v="1"/>
    <x v="2"/>
    <x v="9"/>
    <x v="24"/>
    <x v="0"/>
    <x v="16"/>
    <n v="6.9981309309549298"/>
    <n v="25.193271351437701"/>
  </r>
  <r>
    <x v="0"/>
    <x v="0"/>
    <x v="1"/>
    <x v="2"/>
    <x v="9"/>
    <x v="24"/>
    <x v="0"/>
    <x v="17"/>
    <n v="6.9981309309549298"/>
    <n v="25.193271351437701"/>
  </r>
  <r>
    <x v="0"/>
    <x v="0"/>
    <x v="1"/>
    <x v="2"/>
    <x v="9"/>
    <x v="24"/>
    <x v="0"/>
    <x v="18"/>
    <n v="6.9981309309549298"/>
    <n v="25.193271351437701"/>
  </r>
  <r>
    <x v="0"/>
    <x v="0"/>
    <x v="1"/>
    <x v="2"/>
    <x v="9"/>
    <x v="24"/>
    <x v="0"/>
    <x v="19"/>
    <n v="6.9981309309549298"/>
    <n v="25.193271351437701"/>
  </r>
  <r>
    <x v="0"/>
    <x v="0"/>
    <x v="1"/>
    <x v="2"/>
    <x v="9"/>
    <x v="24"/>
    <x v="0"/>
    <x v="20"/>
    <n v="6.9981309309549298"/>
    <n v="25.193271351437701"/>
  </r>
  <r>
    <x v="0"/>
    <x v="0"/>
    <x v="1"/>
    <x v="2"/>
    <x v="9"/>
    <x v="24"/>
    <x v="0"/>
    <x v="21"/>
    <n v="6.9981309309549298"/>
    <n v="25.193271351437701"/>
  </r>
  <r>
    <x v="0"/>
    <x v="0"/>
    <x v="1"/>
    <x v="2"/>
    <x v="9"/>
    <x v="24"/>
    <x v="0"/>
    <x v="22"/>
    <n v="2.5142384701423999"/>
    <n v="9.0512584925126305"/>
  </r>
  <r>
    <x v="0"/>
    <x v="0"/>
    <x v="1"/>
    <x v="2"/>
    <x v="9"/>
    <x v="24"/>
    <x v="0"/>
    <x v="23"/>
    <n v="2.5142384701423999"/>
    <n v="9.0512584925126305"/>
  </r>
  <r>
    <x v="0"/>
    <x v="0"/>
    <x v="1"/>
    <x v="2"/>
    <x v="9"/>
    <x v="25"/>
    <x v="0"/>
    <x v="0"/>
    <n v="0"/>
    <n v="0"/>
  </r>
  <r>
    <x v="0"/>
    <x v="0"/>
    <x v="1"/>
    <x v="2"/>
    <x v="9"/>
    <x v="25"/>
    <x v="0"/>
    <x v="1"/>
    <n v="0"/>
    <n v="0"/>
  </r>
  <r>
    <x v="0"/>
    <x v="0"/>
    <x v="1"/>
    <x v="2"/>
    <x v="9"/>
    <x v="25"/>
    <x v="0"/>
    <x v="2"/>
    <n v="0"/>
    <n v="0"/>
  </r>
  <r>
    <x v="0"/>
    <x v="0"/>
    <x v="1"/>
    <x v="2"/>
    <x v="9"/>
    <x v="25"/>
    <x v="0"/>
    <x v="3"/>
    <n v="0"/>
    <n v="0"/>
  </r>
  <r>
    <x v="0"/>
    <x v="0"/>
    <x v="1"/>
    <x v="2"/>
    <x v="9"/>
    <x v="25"/>
    <x v="0"/>
    <x v="4"/>
    <n v="0"/>
    <n v="0"/>
  </r>
  <r>
    <x v="0"/>
    <x v="0"/>
    <x v="1"/>
    <x v="2"/>
    <x v="9"/>
    <x v="25"/>
    <x v="0"/>
    <x v="5"/>
    <n v="1.07571979682923"/>
    <n v="3.87259126858523"/>
  </r>
  <r>
    <x v="0"/>
    <x v="0"/>
    <x v="1"/>
    <x v="2"/>
    <x v="9"/>
    <x v="25"/>
    <x v="0"/>
    <x v="6"/>
    <n v="2.5142384701423999"/>
    <n v="9.0512584925126305"/>
  </r>
  <r>
    <x v="0"/>
    <x v="0"/>
    <x v="1"/>
    <x v="2"/>
    <x v="9"/>
    <x v="25"/>
    <x v="0"/>
    <x v="7"/>
    <n v="15.8692574916686"/>
    <n v="57.129326970006801"/>
  </r>
  <r>
    <x v="0"/>
    <x v="0"/>
    <x v="1"/>
    <x v="2"/>
    <x v="9"/>
    <x v="25"/>
    <x v="0"/>
    <x v="8"/>
    <n v="2.5142384701423999"/>
    <n v="9.0512584925126305"/>
  </r>
  <r>
    <x v="0"/>
    <x v="0"/>
    <x v="1"/>
    <x v="2"/>
    <x v="9"/>
    <x v="25"/>
    <x v="0"/>
    <x v="9"/>
    <n v="2.5142384701423999"/>
    <n v="9.0512584925126305"/>
  </r>
  <r>
    <x v="0"/>
    <x v="0"/>
    <x v="1"/>
    <x v="2"/>
    <x v="9"/>
    <x v="25"/>
    <x v="0"/>
    <x v="10"/>
    <n v="15.8692574916686"/>
    <n v="57.129326970006801"/>
  </r>
  <r>
    <x v="0"/>
    <x v="0"/>
    <x v="1"/>
    <x v="2"/>
    <x v="9"/>
    <x v="25"/>
    <x v="0"/>
    <x v="11"/>
    <n v="15.8692574916686"/>
    <n v="57.129326970006801"/>
  </r>
  <r>
    <x v="0"/>
    <x v="0"/>
    <x v="1"/>
    <x v="2"/>
    <x v="9"/>
    <x v="25"/>
    <x v="0"/>
    <x v="12"/>
    <n v="15.8692574916686"/>
    <n v="57.129326970006801"/>
  </r>
  <r>
    <x v="0"/>
    <x v="0"/>
    <x v="1"/>
    <x v="2"/>
    <x v="9"/>
    <x v="25"/>
    <x v="0"/>
    <x v="13"/>
    <n v="15.8692574916686"/>
    <n v="57.129326970006801"/>
  </r>
  <r>
    <x v="0"/>
    <x v="0"/>
    <x v="1"/>
    <x v="2"/>
    <x v="9"/>
    <x v="25"/>
    <x v="0"/>
    <x v="14"/>
    <n v="15.8692574916686"/>
    <n v="57.129326970006801"/>
  </r>
  <r>
    <x v="0"/>
    <x v="0"/>
    <x v="1"/>
    <x v="2"/>
    <x v="9"/>
    <x v="25"/>
    <x v="0"/>
    <x v="15"/>
    <n v="2.5142384701423999"/>
    <n v="9.0512584925126305"/>
  </r>
  <r>
    <x v="0"/>
    <x v="0"/>
    <x v="1"/>
    <x v="2"/>
    <x v="9"/>
    <x v="25"/>
    <x v="0"/>
    <x v="16"/>
    <n v="5.7287833785084796"/>
    <n v="20.623620162630498"/>
  </r>
  <r>
    <x v="0"/>
    <x v="0"/>
    <x v="1"/>
    <x v="2"/>
    <x v="9"/>
    <x v="25"/>
    <x v="0"/>
    <x v="17"/>
    <n v="15.8692574916686"/>
    <n v="57.129326970006801"/>
  </r>
  <r>
    <x v="0"/>
    <x v="0"/>
    <x v="1"/>
    <x v="2"/>
    <x v="9"/>
    <x v="25"/>
    <x v="0"/>
    <x v="18"/>
    <n v="2.5142384701423999"/>
    <n v="9.0512584925126305"/>
  </r>
  <r>
    <x v="0"/>
    <x v="0"/>
    <x v="1"/>
    <x v="2"/>
    <x v="9"/>
    <x v="25"/>
    <x v="0"/>
    <x v="19"/>
    <n v="2.5142384701423999"/>
    <n v="9.0512584925126305"/>
  </r>
  <r>
    <x v="0"/>
    <x v="0"/>
    <x v="1"/>
    <x v="2"/>
    <x v="9"/>
    <x v="25"/>
    <x v="0"/>
    <x v="20"/>
    <n v="2.5142384701423999"/>
    <n v="9.0512584925126305"/>
  </r>
  <r>
    <x v="0"/>
    <x v="0"/>
    <x v="1"/>
    <x v="2"/>
    <x v="9"/>
    <x v="25"/>
    <x v="0"/>
    <x v="21"/>
    <n v="2.5142384701423999"/>
    <n v="9.0512584925126305"/>
  </r>
  <r>
    <x v="0"/>
    <x v="0"/>
    <x v="1"/>
    <x v="2"/>
    <x v="9"/>
    <x v="25"/>
    <x v="0"/>
    <x v="22"/>
    <n v="2.5142384701423999"/>
    <n v="9.0512584925126305"/>
  </r>
  <r>
    <x v="0"/>
    <x v="0"/>
    <x v="1"/>
    <x v="2"/>
    <x v="9"/>
    <x v="25"/>
    <x v="0"/>
    <x v="23"/>
    <n v="1.07571979682923"/>
    <n v="3.87259126858523"/>
  </r>
  <r>
    <x v="0"/>
    <x v="0"/>
    <x v="0"/>
    <x v="2"/>
    <x v="10"/>
    <x v="26"/>
    <x v="0"/>
    <x v="0"/>
    <n v="39.9865461581104"/>
    <n v="143.95156616919701"/>
  </r>
  <r>
    <x v="0"/>
    <x v="0"/>
    <x v="0"/>
    <x v="2"/>
    <x v="10"/>
    <x v="26"/>
    <x v="0"/>
    <x v="1"/>
    <n v="39.9865461581104"/>
    <n v="143.95156616919701"/>
  </r>
  <r>
    <x v="0"/>
    <x v="0"/>
    <x v="0"/>
    <x v="2"/>
    <x v="10"/>
    <x v="26"/>
    <x v="0"/>
    <x v="2"/>
    <n v="30.615804317333499"/>
    <n v="110.21689554240101"/>
  </r>
  <r>
    <x v="0"/>
    <x v="0"/>
    <x v="0"/>
    <x v="2"/>
    <x v="10"/>
    <x v="26"/>
    <x v="0"/>
    <x v="3"/>
    <n v="39.9865461581104"/>
    <n v="143.95156616919701"/>
  </r>
  <r>
    <x v="0"/>
    <x v="0"/>
    <x v="0"/>
    <x v="2"/>
    <x v="10"/>
    <x v="26"/>
    <x v="0"/>
    <x v="4"/>
    <n v="39.9865461581104"/>
    <n v="143.95156616919701"/>
  </r>
  <r>
    <x v="0"/>
    <x v="0"/>
    <x v="0"/>
    <x v="2"/>
    <x v="10"/>
    <x v="26"/>
    <x v="0"/>
    <x v="5"/>
    <n v="39.9865461581104"/>
    <n v="143.95156616919701"/>
  </r>
  <r>
    <x v="0"/>
    <x v="0"/>
    <x v="0"/>
    <x v="2"/>
    <x v="10"/>
    <x v="26"/>
    <x v="0"/>
    <x v="6"/>
    <n v="45.632773584787103"/>
    <n v="164.27798490523301"/>
  </r>
  <r>
    <x v="0"/>
    <x v="0"/>
    <x v="0"/>
    <x v="2"/>
    <x v="10"/>
    <x v="26"/>
    <x v="0"/>
    <x v="7"/>
    <n v="96.845911616054906"/>
    <n v="348.64528181779798"/>
  </r>
  <r>
    <x v="0"/>
    <x v="0"/>
    <x v="0"/>
    <x v="2"/>
    <x v="10"/>
    <x v="26"/>
    <x v="0"/>
    <x v="8"/>
    <n v="45.632773584787103"/>
    <n v="164.27798490523301"/>
  </r>
  <r>
    <x v="0"/>
    <x v="0"/>
    <x v="0"/>
    <x v="2"/>
    <x v="10"/>
    <x v="26"/>
    <x v="0"/>
    <x v="9"/>
    <n v="87.393168032797107"/>
    <n v="314.61540491807"/>
  </r>
  <r>
    <x v="0"/>
    <x v="0"/>
    <x v="0"/>
    <x v="2"/>
    <x v="10"/>
    <x v="26"/>
    <x v="0"/>
    <x v="10"/>
    <n v="45.632773584787103"/>
    <n v="164.27798490523301"/>
  </r>
  <r>
    <x v="0"/>
    <x v="0"/>
    <x v="0"/>
    <x v="2"/>
    <x v="10"/>
    <x v="26"/>
    <x v="0"/>
    <x v="11"/>
    <n v="45.632773584787103"/>
    <n v="164.27798490523301"/>
  </r>
  <r>
    <x v="0"/>
    <x v="0"/>
    <x v="0"/>
    <x v="2"/>
    <x v="10"/>
    <x v="26"/>
    <x v="0"/>
    <x v="12"/>
    <n v="39.9865461581104"/>
    <n v="143.95156616919701"/>
  </r>
  <r>
    <x v="0"/>
    <x v="0"/>
    <x v="0"/>
    <x v="2"/>
    <x v="10"/>
    <x v="26"/>
    <x v="0"/>
    <x v="13"/>
    <n v="39.9865461581104"/>
    <n v="143.95156616919701"/>
  </r>
  <r>
    <x v="0"/>
    <x v="0"/>
    <x v="0"/>
    <x v="2"/>
    <x v="10"/>
    <x v="26"/>
    <x v="0"/>
    <x v="14"/>
    <n v="39.9865461581104"/>
    <n v="143.95156616919701"/>
  </r>
  <r>
    <x v="0"/>
    <x v="0"/>
    <x v="0"/>
    <x v="2"/>
    <x v="10"/>
    <x v="26"/>
    <x v="0"/>
    <x v="15"/>
    <n v="39.9865461581104"/>
    <n v="143.95156616919701"/>
  </r>
  <r>
    <x v="0"/>
    <x v="0"/>
    <x v="0"/>
    <x v="2"/>
    <x v="10"/>
    <x v="26"/>
    <x v="0"/>
    <x v="16"/>
    <n v="39.9865461581104"/>
    <n v="143.95156616919701"/>
  </r>
  <r>
    <x v="0"/>
    <x v="0"/>
    <x v="0"/>
    <x v="2"/>
    <x v="10"/>
    <x v="26"/>
    <x v="0"/>
    <x v="17"/>
    <n v="39.9865461581104"/>
    <n v="143.95156616919701"/>
  </r>
  <r>
    <x v="0"/>
    <x v="0"/>
    <x v="0"/>
    <x v="2"/>
    <x v="10"/>
    <x v="26"/>
    <x v="0"/>
    <x v="18"/>
    <n v="39.9865461581104"/>
    <n v="143.95156616919701"/>
  </r>
  <r>
    <x v="0"/>
    <x v="0"/>
    <x v="0"/>
    <x v="2"/>
    <x v="10"/>
    <x v="26"/>
    <x v="0"/>
    <x v="19"/>
    <n v="39.9865461581104"/>
    <n v="143.95156616919701"/>
  </r>
  <r>
    <x v="0"/>
    <x v="0"/>
    <x v="0"/>
    <x v="2"/>
    <x v="10"/>
    <x v="26"/>
    <x v="0"/>
    <x v="20"/>
    <n v="39.9865461581104"/>
    <n v="143.95156616919701"/>
  </r>
  <r>
    <x v="0"/>
    <x v="0"/>
    <x v="0"/>
    <x v="2"/>
    <x v="10"/>
    <x v="26"/>
    <x v="0"/>
    <x v="21"/>
    <n v="39.9865461581104"/>
    <n v="143.95156616919701"/>
  </r>
  <r>
    <x v="0"/>
    <x v="0"/>
    <x v="0"/>
    <x v="2"/>
    <x v="10"/>
    <x v="26"/>
    <x v="0"/>
    <x v="22"/>
    <n v="39.9865461581104"/>
    <n v="143.95156616919701"/>
  </r>
  <r>
    <x v="0"/>
    <x v="0"/>
    <x v="0"/>
    <x v="2"/>
    <x v="10"/>
    <x v="26"/>
    <x v="0"/>
    <x v="23"/>
    <n v="39.9865461581104"/>
    <n v="143.95156616919701"/>
  </r>
  <r>
    <x v="0"/>
    <x v="0"/>
    <x v="0"/>
    <x v="2"/>
    <x v="10"/>
    <x v="27"/>
    <x v="0"/>
    <x v="0"/>
    <n v="121.740772442546"/>
    <n v="438.26678079316599"/>
  </r>
  <r>
    <x v="0"/>
    <x v="0"/>
    <x v="0"/>
    <x v="2"/>
    <x v="10"/>
    <x v="27"/>
    <x v="0"/>
    <x v="1"/>
    <n v="121.740772442546"/>
    <n v="438.26678079316599"/>
  </r>
  <r>
    <x v="0"/>
    <x v="0"/>
    <x v="0"/>
    <x v="2"/>
    <x v="10"/>
    <x v="27"/>
    <x v="0"/>
    <x v="2"/>
    <n v="121.740772442546"/>
    <n v="438.26678079316599"/>
  </r>
  <r>
    <x v="0"/>
    <x v="0"/>
    <x v="0"/>
    <x v="2"/>
    <x v="10"/>
    <x v="27"/>
    <x v="0"/>
    <x v="3"/>
    <n v="121.740772442546"/>
    <n v="438.26678079316599"/>
  </r>
  <r>
    <x v="0"/>
    <x v="0"/>
    <x v="0"/>
    <x v="2"/>
    <x v="10"/>
    <x v="27"/>
    <x v="0"/>
    <x v="4"/>
    <n v="121.740772442546"/>
    <n v="438.26678079316599"/>
  </r>
  <r>
    <x v="0"/>
    <x v="0"/>
    <x v="0"/>
    <x v="2"/>
    <x v="10"/>
    <x v="27"/>
    <x v="0"/>
    <x v="5"/>
    <n v="121.740772442546"/>
    <n v="438.26678079316599"/>
  </r>
  <r>
    <x v="0"/>
    <x v="0"/>
    <x v="0"/>
    <x v="2"/>
    <x v="10"/>
    <x v="27"/>
    <x v="0"/>
    <x v="6"/>
    <n v="121.740772442546"/>
    <n v="438.26678079316599"/>
  </r>
  <r>
    <x v="0"/>
    <x v="0"/>
    <x v="0"/>
    <x v="2"/>
    <x v="10"/>
    <x v="27"/>
    <x v="0"/>
    <x v="7"/>
    <n v="121.740772442546"/>
    <n v="438.26678079316599"/>
  </r>
  <r>
    <x v="0"/>
    <x v="0"/>
    <x v="0"/>
    <x v="2"/>
    <x v="10"/>
    <x v="27"/>
    <x v="0"/>
    <x v="8"/>
    <n v="121.740772442546"/>
    <n v="438.26678079316599"/>
  </r>
  <r>
    <x v="0"/>
    <x v="0"/>
    <x v="0"/>
    <x v="2"/>
    <x v="10"/>
    <x v="27"/>
    <x v="0"/>
    <x v="9"/>
    <n v="121.740772442546"/>
    <n v="438.26678079316599"/>
  </r>
  <r>
    <x v="0"/>
    <x v="0"/>
    <x v="0"/>
    <x v="2"/>
    <x v="10"/>
    <x v="27"/>
    <x v="0"/>
    <x v="10"/>
    <n v="121.740772442546"/>
    <n v="438.26678079316599"/>
  </r>
  <r>
    <x v="0"/>
    <x v="0"/>
    <x v="0"/>
    <x v="2"/>
    <x v="10"/>
    <x v="27"/>
    <x v="0"/>
    <x v="11"/>
    <n v="121.740772442546"/>
    <n v="438.26678079316599"/>
  </r>
  <r>
    <x v="0"/>
    <x v="0"/>
    <x v="0"/>
    <x v="2"/>
    <x v="10"/>
    <x v="27"/>
    <x v="0"/>
    <x v="12"/>
    <n v="121.740772442546"/>
    <n v="438.26678079316599"/>
  </r>
  <r>
    <x v="0"/>
    <x v="0"/>
    <x v="0"/>
    <x v="2"/>
    <x v="10"/>
    <x v="27"/>
    <x v="0"/>
    <x v="13"/>
    <n v="121.740772442546"/>
    <n v="438.26678079316599"/>
  </r>
  <r>
    <x v="0"/>
    <x v="0"/>
    <x v="0"/>
    <x v="2"/>
    <x v="10"/>
    <x v="27"/>
    <x v="0"/>
    <x v="14"/>
    <n v="121.740772442546"/>
    <n v="438.26678079316599"/>
  </r>
  <r>
    <x v="0"/>
    <x v="0"/>
    <x v="0"/>
    <x v="2"/>
    <x v="10"/>
    <x v="27"/>
    <x v="0"/>
    <x v="15"/>
    <n v="121.740772442546"/>
    <n v="438.26678079316599"/>
  </r>
  <r>
    <x v="0"/>
    <x v="0"/>
    <x v="0"/>
    <x v="2"/>
    <x v="10"/>
    <x v="27"/>
    <x v="0"/>
    <x v="16"/>
    <n v="121.740772442546"/>
    <n v="438.26678079316599"/>
  </r>
  <r>
    <x v="0"/>
    <x v="0"/>
    <x v="0"/>
    <x v="2"/>
    <x v="10"/>
    <x v="27"/>
    <x v="0"/>
    <x v="17"/>
    <n v="121.740772442546"/>
    <n v="438.26678079316599"/>
  </r>
  <r>
    <x v="0"/>
    <x v="0"/>
    <x v="0"/>
    <x v="2"/>
    <x v="10"/>
    <x v="27"/>
    <x v="0"/>
    <x v="18"/>
    <n v="121.740772442546"/>
    <n v="438.26678079316599"/>
  </r>
  <r>
    <x v="0"/>
    <x v="0"/>
    <x v="0"/>
    <x v="2"/>
    <x v="10"/>
    <x v="27"/>
    <x v="0"/>
    <x v="19"/>
    <n v="121.740772442546"/>
    <n v="438.26678079316599"/>
  </r>
  <r>
    <x v="0"/>
    <x v="0"/>
    <x v="0"/>
    <x v="2"/>
    <x v="10"/>
    <x v="27"/>
    <x v="0"/>
    <x v="20"/>
    <n v="121.740772442546"/>
    <n v="438.26678079316599"/>
  </r>
  <r>
    <x v="0"/>
    <x v="0"/>
    <x v="0"/>
    <x v="2"/>
    <x v="10"/>
    <x v="27"/>
    <x v="0"/>
    <x v="21"/>
    <n v="121.740772442546"/>
    <n v="438.26678079316599"/>
  </r>
  <r>
    <x v="0"/>
    <x v="0"/>
    <x v="0"/>
    <x v="2"/>
    <x v="10"/>
    <x v="27"/>
    <x v="0"/>
    <x v="22"/>
    <n v="121.740772442546"/>
    <n v="438.26678079316599"/>
  </r>
  <r>
    <x v="0"/>
    <x v="0"/>
    <x v="0"/>
    <x v="2"/>
    <x v="10"/>
    <x v="27"/>
    <x v="0"/>
    <x v="23"/>
    <n v="121.740772442546"/>
    <n v="438.26678079316599"/>
  </r>
  <r>
    <x v="0"/>
    <x v="0"/>
    <x v="0"/>
    <x v="2"/>
    <x v="10"/>
    <x v="28"/>
    <x v="0"/>
    <x v="0"/>
    <n v="98.566222222222294"/>
    <n v="354.83839999999998"/>
  </r>
  <r>
    <x v="0"/>
    <x v="0"/>
    <x v="0"/>
    <x v="2"/>
    <x v="10"/>
    <x v="28"/>
    <x v="0"/>
    <x v="1"/>
    <n v="98.566222222222294"/>
    <n v="354.83839999999998"/>
  </r>
  <r>
    <x v="0"/>
    <x v="0"/>
    <x v="0"/>
    <x v="2"/>
    <x v="10"/>
    <x v="28"/>
    <x v="0"/>
    <x v="2"/>
    <n v="98.566222222222294"/>
    <n v="354.83839999999998"/>
  </r>
  <r>
    <x v="0"/>
    <x v="0"/>
    <x v="0"/>
    <x v="2"/>
    <x v="10"/>
    <x v="28"/>
    <x v="0"/>
    <x v="3"/>
    <n v="98.566222222222294"/>
    <n v="354.83839999999998"/>
  </r>
  <r>
    <x v="0"/>
    <x v="0"/>
    <x v="0"/>
    <x v="2"/>
    <x v="10"/>
    <x v="28"/>
    <x v="0"/>
    <x v="4"/>
    <n v="98.566222222222294"/>
    <n v="354.83839999999998"/>
  </r>
  <r>
    <x v="0"/>
    <x v="0"/>
    <x v="0"/>
    <x v="2"/>
    <x v="10"/>
    <x v="28"/>
    <x v="0"/>
    <x v="5"/>
    <n v="133.02703033681701"/>
    <n v="478.89730921254102"/>
  </r>
  <r>
    <x v="0"/>
    <x v="0"/>
    <x v="0"/>
    <x v="2"/>
    <x v="10"/>
    <x v="28"/>
    <x v="0"/>
    <x v="6"/>
    <n v="133.02703033681701"/>
    <n v="478.89730921254102"/>
  </r>
  <r>
    <x v="0"/>
    <x v="0"/>
    <x v="0"/>
    <x v="2"/>
    <x v="10"/>
    <x v="28"/>
    <x v="0"/>
    <x v="7"/>
    <n v="133.02703033681701"/>
    <n v="478.89730921254102"/>
  </r>
  <r>
    <x v="0"/>
    <x v="0"/>
    <x v="0"/>
    <x v="2"/>
    <x v="10"/>
    <x v="28"/>
    <x v="0"/>
    <x v="8"/>
    <n v="133.02703033681701"/>
    <n v="478.89730921254102"/>
  </r>
  <r>
    <x v="0"/>
    <x v="0"/>
    <x v="0"/>
    <x v="2"/>
    <x v="10"/>
    <x v="28"/>
    <x v="0"/>
    <x v="9"/>
    <n v="133.02703033681701"/>
    <n v="478.89730921254102"/>
  </r>
  <r>
    <x v="0"/>
    <x v="0"/>
    <x v="0"/>
    <x v="2"/>
    <x v="10"/>
    <x v="28"/>
    <x v="0"/>
    <x v="10"/>
    <n v="133.02703033681701"/>
    <n v="478.89730921254102"/>
  </r>
  <r>
    <x v="0"/>
    <x v="0"/>
    <x v="0"/>
    <x v="2"/>
    <x v="10"/>
    <x v="28"/>
    <x v="0"/>
    <x v="11"/>
    <n v="133.02703033681701"/>
    <n v="478.89730921254102"/>
  </r>
  <r>
    <x v="0"/>
    <x v="0"/>
    <x v="0"/>
    <x v="2"/>
    <x v="10"/>
    <x v="28"/>
    <x v="0"/>
    <x v="12"/>
    <n v="133.02703033681701"/>
    <n v="478.89730921254102"/>
  </r>
  <r>
    <x v="0"/>
    <x v="0"/>
    <x v="0"/>
    <x v="2"/>
    <x v="10"/>
    <x v="28"/>
    <x v="0"/>
    <x v="13"/>
    <n v="133.02703033681701"/>
    <n v="478.89730921254102"/>
  </r>
  <r>
    <x v="0"/>
    <x v="0"/>
    <x v="0"/>
    <x v="2"/>
    <x v="10"/>
    <x v="28"/>
    <x v="0"/>
    <x v="14"/>
    <n v="133.02703033681701"/>
    <n v="478.89730921254102"/>
  </r>
  <r>
    <x v="0"/>
    <x v="0"/>
    <x v="0"/>
    <x v="2"/>
    <x v="10"/>
    <x v="28"/>
    <x v="0"/>
    <x v="15"/>
    <n v="133.02703033681701"/>
    <n v="478.89730921254102"/>
  </r>
  <r>
    <x v="0"/>
    <x v="0"/>
    <x v="0"/>
    <x v="2"/>
    <x v="10"/>
    <x v="28"/>
    <x v="0"/>
    <x v="16"/>
    <n v="133.02703033681701"/>
    <n v="478.89730921254102"/>
  </r>
  <r>
    <x v="0"/>
    <x v="0"/>
    <x v="0"/>
    <x v="2"/>
    <x v="10"/>
    <x v="28"/>
    <x v="0"/>
    <x v="17"/>
    <n v="133.02703033681701"/>
    <n v="478.89730921254102"/>
  </r>
  <r>
    <x v="0"/>
    <x v="0"/>
    <x v="0"/>
    <x v="2"/>
    <x v="10"/>
    <x v="28"/>
    <x v="0"/>
    <x v="18"/>
    <n v="133.02703033681701"/>
    <n v="478.89730921254102"/>
  </r>
  <r>
    <x v="0"/>
    <x v="0"/>
    <x v="0"/>
    <x v="2"/>
    <x v="10"/>
    <x v="28"/>
    <x v="0"/>
    <x v="19"/>
    <n v="133.02703033681701"/>
    <n v="478.89730921254102"/>
  </r>
  <r>
    <x v="0"/>
    <x v="0"/>
    <x v="0"/>
    <x v="2"/>
    <x v="10"/>
    <x v="28"/>
    <x v="0"/>
    <x v="20"/>
    <n v="133.02703033681701"/>
    <n v="478.89730921254102"/>
  </r>
  <r>
    <x v="0"/>
    <x v="0"/>
    <x v="0"/>
    <x v="2"/>
    <x v="10"/>
    <x v="28"/>
    <x v="0"/>
    <x v="21"/>
    <n v="133.02703033681701"/>
    <n v="478.89730921254102"/>
  </r>
  <r>
    <x v="0"/>
    <x v="0"/>
    <x v="0"/>
    <x v="2"/>
    <x v="10"/>
    <x v="28"/>
    <x v="0"/>
    <x v="22"/>
    <n v="133.02703033681701"/>
    <n v="478.89730921254102"/>
  </r>
  <r>
    <x v="0"/>
    <x v="0"/>
    <x v="0"/>
    <x v="2"/>
    <x v="10"/>
    <x v="28"/>
    <x v="0"/>
    <x v="23"/>
    <n v="133.02703033681701"/>
    <n v="478.89730921254102"/>
  </r>
  <r>
    <x v="0"/>
    <x v="0"/>
    <x v="0"/>
    <x v="2"/>
    <x v="10"/>
    <x v="29"/>
    <x v="0"/>
    <x v="0"/>
    <n v="10.9507258910012"/>
    <n v="39.422613207604101"/>
  </r>
  <r>
    <x v="0"/>
    <x v="0"/>
    <x v="0"/>
    <x v="2"/>
    <x v="10"/>
    <x v="29"/>
    <x v="0"/>
    <x v="1"/>
    <n v="10.9507258910012"/>
    <n v="39.422613207604101"/>
  </r>
  <r>
    <x v="0"/>
    <x v="0"/>
    <x v="0"/>
    <x v="2"/>
    <x v="10"/>
    <x v="29"/>
    <x v="0"/>
    <x v="2"/>
    <n v="10.9507258910012"/>
    <n v="39.422613207604101"/>
  </r>
  <r>
    <x v="0"/>
    <x v="0"/>
    <x v="0"/>
    <x v="2"/>
    <x v="10"/>
    <x v="29"/>
    <x v="0"/>
    <x v="3"/>
    <n v="43.537354809391502"/>
    <n v="156.73447731380901"/>
  </r>
  <r>
    <x v="0"/>
    <x v="0"/>
    <x v="0"/>
    <x v="2"/>
    <x v="10"/>
    <x v="29"/>
    <x v="0"/>
    <x v="4"/>
    <n v="43.537354809391502"/>
    <n v="156.73447731380901"/>
  </r>
  <r>
    <x v="0"/>
    <x v="0"/>
    <x v="0"/>
    <x v="2"/>
    <x v="10"/>
    <x v="29"/>
    <x v="0"/>
    <x v="5"/>
    <n v="98.566222222222294"/>
    <n v="354.83839999999998"/>
  </r>
  <r>
    <x v="0"/>
    <x v="0"/>
    <x v="0"/>
    <x v="2"/>
    <x v="10"/>
    <x v="29"/>
    <x v="0"/>
    <x v="6"/>
    <n v="98.566222222222294"/>
    <n v="354.83839999999998"/>
  </r>
  <r>
    <x v="0"/>
    <x v="0"/>
    <x v="0"/>
    <x v="2"/>
    <x v="10"/>
    <x v="29"/>
    <x v="0"/>
    <x v="7"/>
    <n v="117.184872866188"/>
    <n v="421.86554231827603"/>
  </r>
  <r>
    <x v="0"/>
    <x v="0"/>
    <x v="0"/>
    <x v="2"/>
    <x v="10"/>
    <x v="29"/>
    <x v="0"/>
    <x v="8"/>
    <n v="98.566222222222294"/>
    <n v="354.83839999999998"/>
  </r>
  <r>
    <x v="0"/>
    <x v="0"/>
    <x v="0"/>
    <x v="2"/>
    <x v="10"/>
    <x v="29"/>
    <x v="0"/>
    <x v="9"/>
    <n v="98.566222222222294"/>
    <n v="354.83839999999998"/>
  </r>
  <r>
    <x v="0"/>
    <x v="0"/>
    <x v="0"/>
    <x v="2"/>
    <x v="10"/>
    <x v="29"/>
    <x v="0"/>
    <x v="10"/>
    <n v="98.566222222222294"/>
    <n v="354.83839999999998"/>
  </r>
  <r>
    <x v="0"/>
    <x v="0"/>
    <x v="0"/>
    <x v="2"/>
    <x v="10"/>
    <x v="29"/>
    <x v="0"/>
    <x v="11"/>
    <n v="98.566222222222294"/>
    <n v="354.83839999999998"/>
  </r>
  <r>
    <x v="0"/>
    <x v="0"/>
    <x v="0"/>
    <x v="2"/>
    <x v="10"/>
    <x v="29"/>
    <x v="0"/>
    <x v="12"/>
    <n v="43.537354809391502"/>
    <n v="156.73447731380901"/>
  </r>
  <r>
    <x v="0"/>
    <x v="0"/>
    <x v="0"/>
    <x v="2"/>
    <x v="10"/>
    <x v="29"/>
    <x v="0"/>
    <x v="13"/>
    <n v="43.537354809391502"/>
    <n v="156.73447731380901"/>
  </r>
  <r>
    <x v="0"/>
    <x v="0"/>
    <x v="0"/>
    <x v="2"/>
    <x v="10"/>
    <x v="29"/>
    <x v="0"/>
    <x v="14"/>
    <n v="43.537354809391502"/>
    <n v="156.73447731380901"/>
  </r>
  <r>
    <x v="0"/>
    <x v="0"/>
    <x v="0"/>
    <x v="2"/>
    <x v="10"/>
    <x v="29"/>
    <x v="0"/>
    <x v="15"/>
    <n v="98.566222222222294"/>
    <n v="354.83839999999998"/>
  </r>
  <r>
    <x v="0"/>
    <x v="0"/>
    <x v="0"/>
    <x v="2"/>
    <x v="10"/>
    <x v="29"/>
    <x v="0"/>
    <x v="16"/>
    <n v="98.566222222222294"/>
    <n v="354.83839999999998"/>
  </r>
  <r>
    <x v="0"/>
    <x v="0"/>
    <x v="0"/>
    <x v="2"/>
    <x v="10"/>
    <x v="29"/>
    <x v="0"/>
    <x v="17"/>
    <n v="98.566222222222294"/>
    <n v="354.83839999999998"/>
  </r>
  <r>
    <x v="0"/>
    <x v="0"/>
    <x v="0"/>
    <x v="2"/>
    <x v="10"/>
    <x v="29"/>
    <x v="0"/>
    <x v="18"/>
    <n v="98.566222222222294"/>
    <n v="354.83839999999998"/>
  </r>
  <r>
    <x v="0"/>
    <x v="0"/>
    <x v="0"/>
    <x v="2"/>
    <x v="10"/>
    <x v="29"/>
    <x v="0"/>
    <x v="19"/>
    <n v="98.566222222222294"/>
    <n v="354.83839999999998"/>
  </r>
  <r>
    <x v="0"/>
    <x v="0"/>
    <x v="0"/>
    <x v="2"/>
    <x v="10"/>
    <x v="29"/>
    <x v="0"/>
    <x v="20"/>
    <n v="98.566222222222294"/>
    <n v="354.83839999999998"/>
  </r>
  <r>
    <x v="0"/>
    <x v="0"/>
    <x v="0"/>
    <x v="2"/>
    <x v="10"/>
    <x v="29"/>
    <x v="0"/>
    <x v="21"/>
    <n v="98.566222222222294"/>
    <n v="354.83839999999998"/>
  </r>
  <r>
    <x v="0"/>
    <x v="0"/>
    <x v="0"/>
    <x v="2"/>
    <x v="10"/>
    <x v="29"/>
    <x v="0"/>
    <x v="22"/>
    <n v="98.566222222222294"/>
    <n v="354.83839999999998"/>
  </r>
  <r>
    <x v="0"/>
    <x v="0"/>
    <x v="0"/>
    <x v="2"/>
    <x v="10"/>
    <x v="29"/>
    <x v="0"/>
    <x v="23"/>
    <n v="43.537354809391502"/>
    <n v="156.73447731380901"/>
  </r>
  <r>
    <x v="0"/>
    <x v="0"/>
    <x v="1"/>
    <x v="2"/>
    <x v="10"/>
    <x v="26"/>
    <x v="0"/>
    <x v="0"/>
    <n v="0"/>
    <n v="0"/>
  </r>
  <r>
    <x v="0"/>
    <x v="0"/>
    <x v="1"/>
    <x v="2"/>
    <x v="10"/>
    <x v="26"/>
    <x v="0"/>
    <x v="1"/>
    <n v="0"/>
    <n v="0"/>
  </r>
  <r>
    <x v="0"/>
    <x v="0"/>
    <x v="1"/>
    <x v="2"/>
    <x v="10"/>
    <x v="26"/>
    <x v="0"/>
    <x v="2"/>
    <n v="0"/>
    <n v="0"/>
  </r>
  <r>
    <x v="0"/>
    <x v="0"/>
    <x v="1"/>
    <x v="2"/>
    <x v="10"/>
    <x v="26"/>
    <x v="0"/>
    <x v="3"/>
    <n v="0"/>
    <n v="0"/>
  </r>
  <r>
    <x v="0"/>
    <x v="0"/>
    <x v="1"/>
    <x v="2"/>
    <x v="10"/>
    <x v="26"/>
    <x v="0"/>
    <x v="4"/>
    <n v="0"/>
    <n v="0"/>
  </r>
  <r>
    <x v="0"/>
    <x v="0"/>
    <x v="1"/>
    <x v="2"/>
    <x v="10"/>
    <x v="26"/>
    <x v="0"/>
    <x v="5"/>
    <n v="0"/>
    <n v="0"/>
  </r>
  <r>
    <x v="0"/>
    <x v="0"/>
    <x v="1"/>
    <x v="2"/>
    <x v="10"/>
    <x v="26"/>
    <x v="0"/>
    <x v="6"/>
    <n v="0.80047034349666002"/>
    <n v="2.8816932365879699"/>
  </r>
  <r>
    <x v="0"/>
    <x v="0"/>
    <x v="1"/>
    <x v="2"/>
    <x v="10"/>
    <x v="26"/>
    <x v="0"/>
    <x v="7"/>
    <n v="6.9981309309549298"/>
    <n v="25.193271351437701"/>
  </r>
  <r>
    <x v="0"/>
    <x v="0"/>
    <x v="1"/>
    <x v="2"/>
    <x v="10"/>
    <x v="26"/>
    <x v="0"/>
    <x v="8"/>
    <n v="0.80047034349666002"/>
    <n v="2.8816932365879699"/>
  </r>
  <r>
    <x v="0"/>
    <x v="0"/>
    <x v="1"/>
    <x v="2"/>
    <x v="10"/>
    <x v="26"/>
    <x v="0"/>
    <x v="9"/>
    <n v="0.80047034349666002"/>
    <n v="2.8816932365879699"/>
  </r>
  <r>
    <x v="0"/>
    <x v="0"/>
    <x v="1"/>
    <x v="2"/>
    <x v="10"/>
    <x v="26"/>
    <x v="0"/>
    <x v="10"/>
    <n v="0.80047034349666002"/>
    <n v="2.8816932365879699"/>
  </r>
  <r>
    <x v="0"/>
    <x v="0"/>
    <x v="1"/>
    <x v="2"/>
    <x v="10"/>
    <x v="26"/>
    <x v="0"/>
    <x v="11"/>
    <n v="0.80047034349666002"/>
    <n v="2.8816932365879699"/>
  </r>
  <r>
    <x v="0"/>
    <x v="0"/>
    <x v="1"/>
    <x v="2"/>
    <x v="10"/>
    <x v="26"/>
    <x v="0"/>
    <x v="12"/>
    <n v="0"/>
    <n v="0"/>
  </r>
  <r>
    <x v="0"/>
    <x v="0"/>
    <x v="1"/>
    <x v="2"/>
    <x v="10"/>
    <x v="26"/>
    <x v="0"/>
    <x v="13"/>
    <n v="0"/>
    <n v="0"/>
  </r>
  <r>
    <x v="0"/>
    <x v="0"/>
    <x v="1"/>
    <x v="2"/>
    <x v="10"/>
    <x v="26"/>
    <x v="0"/>
    <x v="14"/>
    <n v="0"/>
    <n v="0"/>
  </r>
  <r>
    <x v="0"/>
    <x v="0"/>
    <x v="1"/>
    <x v="2"/>
    <x v="10"/>
    <x v="26"/>
    <x v="0"/>
    <x v="15"/>
    <n v="0"/>
    <n v="0"/>
  </r>
  <r>
    <x v="0"/>
    <x v="0"/>
    <x v="1"/>
    <x v="2"/>
    <x v="10"/>
    <x v="26"/>
    <x v="0"/>
    <x v="16"/>
    <n v="0"/>
    <n v="0"/>
  </r>
  <r>
    <x v="0"/>
    <x v="0"/>
    <x v="1"/>
    <x v="2"/>
    <x v="10"/>
    <x v="26"/>
    <x v="0"/>
    <x v="17"/>
    <n v="0"/>
    <n v="0"/>
  </r>
  <r>
    <x v="0"/>
    <x v="0"/>
    <x v="1"/>
    <x v="2"/>
    <x v="10"/>
    <x v="26"/>
    <x v="0"/>
    <x v="18"/>
    <n v="0"/>
    <n v="0"/>
  </r>
  <r>
    <x v="0"/>
    <x v="0"/>
    <x v="1"/>
    <x v="2"/>
    <x v="10"/>
    <x v="26"/>
    <x v="0"/>
    <x v="19"/>
    <n v="0"/>
    <n v="0"/>
  </r>
  <r>
    <x v="0"/>
    <x v="0"/>
    <x v="1"/>
    <x v="2"/>
    <x v="10"/>
    <x v="26"/>
    <x v="0"/>
    <x v="20"/>
    <n v="0"/>
    <n v="0"/>
  </r>
  <r>
    <x v="0"/>
    <x v="0"/>
    <x v="1"/>
    <x v="2"/>
    <x v="10"/>
    <x v="26"/>
    <x v="0"/>
    <x v="21"/>
    <n v="0"/>
    <n v="0"/>
  </r>
  <r>
    <x v="0"/>
    <x v="0"/>
    <x v="1"/>
    <x v="2"/>
    <x v="10"/>
    <x v="26"/>
    <x v="0"/>
    <x v="22"/>
    <n v="0"/>
    <n v="0"/>
  </r>
  <r>
    <x v="0"/>
    <x v="0"/>
    <x v="1"/>
    <x v="2"/>
    <x v="10"/>
    <x v="26"/>
    <x v="0"/>
    <x v="23"/>
    <n v="0"/>
    <n v="0"/>
  </r>
  <r>
    <x v="0"/>
    <x v="0"/>
    <x v="1"/>
    <x v="2"/>
    <x v="10"/>
    <x v="27"/>
    <x v="0"/>
    <x v="0"/>
    <n v="2.5142384701423999"/>
    <n v="9.0512584925126305"/>
  </r>
  <r>
    <x v="0"/>
    <x v="0"/>
    <x v="1"/>
    <x v="2"/>
    <x v="10"/>
    <x v="27"/>
    <x v="0"/>
    <x v="1"/>
    <n v="2.5142384701423999"/>
    <n v="9.0512584925126305"/>
  </r>
  <r>
    <x v="0"/>
    <x v="0"/>
    <x v="1"/>
    <x v="2"/>
    <x v="10"/>
    <x v="27"/>
    <x v="0"/>
    <x v="2"/>
    <n v="2.5142384701423999"/>
    <n v="9.0512584925126305"/>
  </r>
  <r>
    <x v="0"/>
    <x v="0"/>
    <x v="1"/>
    <x v="2"/>
    <x v="10"/>
    <x v="27"/>
    <x v="0"/>
    <x v="3"/>
    <n v="2.5142384701423999"/>
    <n v="9.0512584925126305"/>
  </r>
  <r>
    <x v="0"/>
    <x v="0"/>
    <x v="1"/>
    <x v="2"/>
    <x v="10"/>
    <x v="27"/>
    <x v="0"/>
    <x v="4"/>
    <n v="2.5142384701423999"/>
    <n v="9.0512584925126305"/>
  </r>
  <r>
    <x v="0"/>
    <x v="0"/>
    <x v="1"/>
    <x v="2"/>
    <x v="10"/>
    <x v="27"/>
    <x v="0"/>
    <x v="5"/>
    <n v="6.9981309309549298"/>
    <n v="25.193271351437701"/>
  </r>
  <r>
    <x v="0"/>
    <x v="0"/>
    <x v="1"/>
    <x v="2"/>
    <x v="10"/>
    <x v="27"/>
    <x v="0"/>
    <x v="6"/>
    <n v="18.216119515084301"/>
    <n v="65.578030254303599"/>
  </r>
  <r>
    <x v="0"/>
    <x v="0"/>
    <x v="1"/>
    <x v="2"/>
    <x v="10"/>
    <x v="27"/>
    <x v="0"/>
    <x v="7"/>
    <n v="18.216119515084301"/>
    <n v="65.578030254303599"/>
  </r>
  <r>
    <x v="0"/>
    <x v="0"/>
    <x v="1"/>
    <x v="2"/>
    <x v="10"/>
    <x v="27"/>
    <x v="0"/>
    <x v="8"/>
    <n v="18.216119515084301"/>
    <n v="65.578030254303599"/>
  </r>
  <r>
    <x v="0"/>
    <x v="0"/>
    <x v="1"/>
    <x v="2"/>
    <x v="10"/>
    <x v="27"/>
    <x v="0"/>
    <x v="9"/>
    <n v="6.9981309309549298"/>
    <n v="25.193271351437701"/>
  </r>
  <r>
    <x v="0"/>
    <x v="0"/>
    <x v="1"/>
    <x v="2"/>
    <x v="10"/>
    <x v="27"/>
    <x v="0"/>
    <x v="10"/>
    <n v="6.9981309309549298"/>
    <n v="25.193271351437701"/>
  </r>
  <r>
    <x v="0"/>
    <x v="0"/>
    <x v="1"/>
    <x v="2"/>
    <x v="10"/>
    <x v="27"/>
    <x v="0"/>
    <x v="11"/>
    <n v="2.5142384701423999"/>
    <n v="9.0512584925126305"/>
  </r>
  <r>
    <x v="0"/>
    <x v="0"/>
    <x v="1"/>
    <x v="2"/>
    <x v="10"/>
    <x v="27"/>
    <x v="0"/>
    <x v="12"/>
    <n v="2.5142384701423999"/>
    <n v="9.0512584925126305"/>
  </r>
  <r>
    <x v="0"/>
    <x v="0"/>
    <x v="1"/>
    <x v="2"/>
    <x v="10"/>
    <x v="27"/>
    <x v="0"/>
    <x v="13"/>
    <n v="2.5142384701423999"/>
    <n v="9.0512584925126305"/>
  </r>
  <r>
    <x v="0"/>
    <x v="0"/>
    <x v="1"/>
    <x v="2"/>
    <x v="10"/>
    <x v="27"/>
    <x v="0"/>
    <x v="14"/>
    <n v="2.5142384701423999"/>
    <n v="9.0512584925126305"/>
  </r>
  <r>
    <x v="0"/>
    <x v="0"/>
    <x v="1"/>
    <x v="2"/>
    <x v="10"/>
    <x v="27"/>
    <x v="0"/>
    <x v="15"/>
    <n v="6.9981309309549298"/>
    <n v="25.193271351437701"/>
  </r>
  <r>
    <x v="0"/>
    <x v="0"/>
    <x v="1"/>
    <x v="2"/>
    <x v="10"/>
    <x v="27"/>
    <x v="0"/>
    <x v="16"/>
    <n v="6.9981309309549298"/>
    <n v="25.193271351437701"/>
  </r>
  <r>
    <x v="0"/>
    <x v="0"/>
    <x v="1"/>
    <x v="2"/>
    <x v="10"/>
    <x v="27"/>
    <x v="0"/>
    <x v="17"/>
    <n v="6.9981309309549298"/>
    <n v="25.193271351437701"/>
  </r>
  <r>
    <x v="0"/>
    <x v="0"/>
    <x v="1"/>
    <x v="2"/>
    <x v="10"/>
    <x v="27"/>
    <x v="0"/>
    <x v="18"/>
    <n v="6.9981309309549298"/>
    <n v="25.193271351437701"/>
  </r>
  <r>
    <x v="0"/>
    <x v="0"/>
    <x v="1"/>
    <x v="2"/>
    <x v="10"/>
    <x v="27"/>
    <x v="0"/>
    <x v="19"/>
    <n v="6.9981309309549298"/>
    <n v="25.193271351437701"/>
  </r>
  <r>
    <x v="0"/>
    <x v="0"/>
    <x v="1"/>
    <x v="2"/>
    <x v="10"/>
    <x v="27"/>
    <x v="0"/>
    <x v="20"/>
    <n v="7.2693487862404904"/>
    <n v="26.169655630465801"/>
  </r>
  <r>
    <x v="0"/>
    <x v="0"/>
    <x v="1"/>
    <x v="2"/>
    <x v="10"/>
    <x v="27"/>
    <x v="0"/>
    <x v="21"/>
    <n v="6.9981309309549298"/>
    <n v="25.193271351437701"/>
  </r>
  <r>
    <x v="0"/>
    <x v="0"/>
    <x v="1"/>
    <x v="2"/>
    <x v="10"/>
    <x v="27"/>
    <x v="0"/>
    <x v="22"/>
    <n v="6.9981309309549298"/>
    <n v="25.193271351437701"/>
  </r>
  <r>
    <x v="0"/>
    <x v="0"/>
    <x v="1"/>
    <x v="2"/>
    <x v="10"/>
    <x v="27"/>
    <x v="0"/>
    <x v="23"/>
    <n v="2.5142384701423999"/>
    <n v="9.0512584925126305"/>
  </r>
  <r>
    <x v="0"/>
    <x v="0"/>
    <x v="1"/>
    <x v="2"/>
    <x v="10"/>
    <x v="28"/>
    <x v="0"/>
    <x v="0"/>
    <n v="2.5142384701423999"/>
    <n v="9.0512584925126305"/>
  </r>
  <r>
    <x v="0"/>
    <x v="0"/>
    <x v="1"/>
    <x v="2"/>
    <x v="10"/>
    <x v="28"/>
    <x v="0"/>
    <x v="1"/>
    <n v="2.5142384701423999"/>
    <n v="9.0512584925126305"/>
  </r>
  <r>
    <x v="0"/>
    <x v="0"/>
    <x v="1"/>
    <x v="2"/>
    <x v="10"/>
    <x v="28"/>
    <x v="0"/>
    <x v="2"/>
    <n v="2.5142384701423999"/>
    <n v="9.0512584925126305"/>
  </r>
  <r>
    <x v="0"/>
    <x v="0"/>
    <x v="1"/>
    <x v="2"/>
    <x v="10"/>
    <x v="28"/>
    <x v="0"/>
    <x v="3"/>
    <n v="2.5142384701423999"/>
    <n v="9.0512584925126305"/>
  </r>
  <r>
    <x v="0"/>
    <x v="0"/>
    <x v="1"/>
    <x v="2"/>
    <x v="10"/>
    <x v="28"/>
    <x v="0"/>
    <x v="4"/>
    <n v="2.5142384701423999"/>
    <n v="9.0512584925126305"/>
  </r>
  <r>
    <x v="0"/>
    <x v="0"/>
    <x v="1"/>
    <x v="2"/>
    <x v="10"/>
    <x v="28"/>
    <x v="0"/>
    <x v="5"/>
    <n v="2.5142384701423999"/>
    <n v="9.0512584925126305"/>
  </r>
  <r>
    <x v="0"/>
    <x v="0"/>
    <x v="1"/>
    <x v="2"/>
    <x v="10"/>
    <x v="28"/>
    <x v="0"/>
    <x v="6"/>
    <n v="13.857661471597901"/>
    <n v="49.887581297752398"/>
  </r>
  <r>
    <x v="0"/>
    <x v="0"/>
    <x v="1"/>
    <x v="2"/>
    <x v="10"/>
    <x v="28"/>
    <x v="0"/>
    <x v="7"/>
    <n v="13.857661471597901"/>
    <n v="49.887581297752398"/>
  </r>
  <r>
    <x v="0"/>
    <x v="0"/>
    <x v="1"/>
    <x v="2"/>
    <x v="10"/>
    <x v="28"/>
    <x v="0"/>
    <x v="8"/>
    <n v="13.857661471597901"/>
    <n v="49.887581297752398"/>
  </r>
  <r>
    <x v="0"/>
    <x v="0"/>
    <x v="1"/>
    <x v="2"/>
    <x v="10"/>
    <x v="28"/>
    <x v="0"/>
    <x v="9"/>
    <n v="13.857661471597901"/>
    <n v="49.887581297752398"/>
  </r>
  <r>
    <x v="0"/>
    <x v="0"/>
    <x v="1"/>
    <x v="2"/>
    <x v="10"/>
    <x v="28"/>
    <x v="0"/>
    <x v="10"/>
    <n v="2.5142384701423999"/>
    <n v="9.0512584925126305"/>
  </r>
  <r>
    <x v="0"/>
    <x v="0"/>
    <x v="1"/>
    <x v="2"/>
    <x v="10"/>
    <x v="28"/>
    <x v="0"/>
    <x v="11"/>
    <n v="2.5142384701423999"/>
    <n v="9.0512584925126305"/>
  </r>
  <r>
    <x v="0"/>
    <x v="0"/>
    <x v="1"/>
    <x v="2"/>
    <x v="10"/>
    <x v="28"/>
    <x v="0"/>
    <x v="12"/>
    <n v="2.5142384701423999"/>
    <n v="9.0512584925126305"/>
  </r>
  <r>
    <x v="0"/>
    <x v="0"/>
    <x v="1"/>
    <x v="2"/>
    <x v="10"/>
    <x v="28"/>
    <x v="0"/>
    <x v="13"/>
    <n v="2.5142384701423999"/>
    <n v="9.0512584925126305"/>
  </r>
  <r>
    <x v="0"/>
    <x v="0"/>
    <x v="1"/>
    <x v="2"/>
    <x v="10"/>
    <x v="28"/>
    <x v="0"/>
    <x v="14"/>
    <n v="2.5142384701423999"/>
    <n v="9.0512584925126305"/>
  </r>
  <r>
    <x v="0"/>
    <x v="0"/>
    <x v="1"/>
    <x v="2"/>
    <x v="10"/>
    <x v="28"/>
    <x v="0"/>
    <x v="15"/>
    <n v="2.5142384701423999"/>
    <n v="9.0512584925126305"/>
  </r>
  <r>
    <x v="0"/>
    <x v="0"/>
    <x v="1"/>
    <x v="2"/>
    <x v="10"/>
    <x v="28"/>
    <x v="0"/>
    <x v="16"/>
    <n v="2.5142384701423999"/>
    <n v="9.0512584925126305"/>
  </r>
  <r>
    <x v="0"/>
    <x v="0"/>
    <x v="1"/>
    <x v="2"/>
    <x v="10"/>
    <x v="28"/>
    <x v="0"/>
    <x v="17"/>
    <n v="8.4665325175476092"/>
    <n v="30.4795170631714"/>
  </r>
  <r>
    <x v="0"/>
    <x v="0"/>
    <x v="1"/>
    <x v="2"/>
    <x v="10"/>
    <x v="28"/>
    <x v="0"/>
    <x v="18"/>
    <n v="13.857661471597901"/>
    <n v="49.887581297752398"/>
  </r>
  <r>
    <x v="0"/>
    <x v="0"/>
    <x v="1"/>
    <x v="2"/>
    <x v="10"/>
    <x v="28"/>
    <x v="0"/>
    <x v="19"/>
    <n v="13.857661471597901"/>
    <n v="49.887581297752398"/>
  </r>
  <r>
    <x v="0"/>
    <x v="0"/>
    <x v="1"/>
    <x v="2"/>
    <x v="10"/>
    <x v="28"/>
    <x v="0"/>
    <x v="20"/>
    <n v="13.857661471597901"/>
    <n v="49.887581297752398"/>
  </r>
  <r>
    <x v="0"/>
    <x v="0"/>
    <x v="1"/>
    <x v="2"/>
    <x v="10"/>
    <x v="28"/>
    <x v="0"/>
    <x v="21"/>
    <n v="13.857661471597901"/>
    <n v="49.887581297752398"/>
  </r>
  <r>
    <x v="0"/>
    <x v="0"/>
    <x v="1"/>
    <x v="2"/>
    <x v="10"/>
    <x v="28"/>
    <x v="0"/>
    <x v="22"/>
    <n v="2.5142384701423999"/>
    <n v="9.0512584925126305"/>
  </r>
  <r>
    <x v="0"/>
    <x v="0"/>
    <x v="1"/>
    <x v="2"/>
    <x v="10"/>
    <x v="28"/>
    <x v="0"/>
    <x v="23"/>
    <n v="2.5142384701423999"/>
    <n v="9.0512584925126305"/>
  </r>
  <r>
    <x v="0"/>
    <x v="0"/>
    <x v="1"/>
    <x v="2"/>
    <x v="10"/>
    <x v="29"/>
    <x v="0"/>
    <x v="0"/>
    <n v="2.5142384701423999"/>
    <n v="9.0512584925126305"/>
  </r>
  <r>
    <x v="0"/>
    <x v="0"/>
    <x v="1"/>
    <x v="2"/>
    <x v="10"/>
    <x v="29"/>
    <x v="0"/>
    <x v="1"/>
    <n v="2.5142384701423999"/>
    <n v="9.0512584925126305"/>
  </r>
  <r>
    <x v="0"/>
    <x v="0"/>
    <x v="1"/>
    <x v="2"/>
    <x v="10"/>
    <x v="29"/>
    <x v="0"/>
    <x v="2"/>
    <n v="2.5142384701423999"/>
    <n v="9.0512584925126305"/>
  </r>
  <r>
    <x v="0"/>
    <x v="0"/>
    <x v="1"/>
    <x v="2"/>
    <x v="10"/>
    <x v="29"/>
    <x v="0"/>
    <x v="3"/>
    <n v="6.9981309309549298"/>
    <n v="25.193271351437701"/>
  </r>
  <r>
    <x v="0"/>
    <x v="0"/>
    <x v="1"/>
    <x v="2"/>
    <x v="10"/>
    <x v="29"/>
    <x v="0"/>
    <x v="4"/>
    <n v="6.9981309309549298"/>
    <n v="25.193271351437701"/>
  </r>
  <r>
    <x v="0"/>
    <x v="0"/>
    <x v="1"/>
    <x v="2"/>
    <x v="10"/>
    <x v="29"/>
    <x v="0"/>
    <x v="5"/>
    <n v="6.9981309309549298"/>
    <n v="25.193271351437701"/>
  </r>
  <r>
    <x v="0"/>
    <x v="0"/>
    <x v="1"/>
    <x v="2"/>
    <x v="10"/>
    <x v="29"/>
    <x v="0"/>
    <x v="6"/>
    <n v="6.9981309309549298"/>
    <n v="25.193271351437701"/>
  </r>
  <r>
    <x v="0"/>
    <x v="0"/>
    <x v="1"/>
    <x v="2"/>
    <x v="10"/>
    <x v="29"/>
    <x v="0"/>
    <x v="7"/>
    <n v="9.5360673129410003"/>
    <n v="34.329842326587602"/>
  </r>
  <r>
    <x v="0"/>
    <x v="0"/>
    <x v="1"/>
    <x v="2"/>
    <x v="10"/>
    <x v="29"/>
    <x v="0"/>
    <x v="8"/>
    <n v="6.9981309309549298"/>
    <n v="25.193271351437701"/>
  </r>
  <r>
    <x v="0"/>
    <x v="0"/>
    <x v="1"/>
    <x v="2"/>
    <x v="10"/>
    <x v="29"/>
    <x v="0"/>
    <x v="9"/>
    <n v="6.9981309309549298"/>
    <n v="25.193271351437701"/>
  </r>
  <r>
    <x v="0"/>
    <x v="0"/>
    <x v="1"/>
    <x v="2"/>
    <x v="10"/>
    <x v="29"/>
    <x v="0"/>
    <x v="10"/>
    <n v="6.9981309309549298"/>
    <n v="25.193271351437701"/>
  </r>
  <r>
    <x v="0"/>
    <x v="0"/>
    <x v="1"/>
    <x v="2"/>
    <x v="10"/>
    <x v="29"/>
    <x v="0"/>
    <x v="11"/>
    <n v="6.9981309309549298"/>
    <n v="25.193271351437701"/>
  </r>
  <r>
    <x v="0"/>
    <x v="0"/>
    <x v="1"/>
    <x v="2"/>
    <x v="10"/>
    <x v="29"/>
    <x v="0"/>
    <x v="12"/>
    <n v="6.9981309309549298"/>
    <n v="25.193271351437701"/>
  </r>
  <r>
    <x v="0"/>
    <x v="0"/>
    <x v="1"/>
    <x v="2"/>
    <x v="10"/>
    <x v="29"/>
    <x v="0"/>
    <x v="13"/>
    <n v="6.9981309309549298"/>
    <n v="25.193271351437701"/>
  </r>
  <r>
    <x v="0"/>
    <x v="0"/>
    <x v="1"/>
    <x v="2"/>
    <x v="10"/>
    <x v="29"/>
    <x v="0"/>
    <x v="14"/>
    <n v="6.9981309309549298"/>
    <n v="25.193271351437701"/>
  </r>
  <r>
    <x v="0"/>
    <x v="0"/>
    <x v="1"/>
    <x v="2"/>
    <x v="10"/>
    <x v="29"/>
    <x v="0"/>
    <x v="15"/>
    <n v="6.9981309309549298"/>
    <n v="25.193271351437701"/>
  </r>
  <r>
    <x v="0"/>
    <x v="0"/>
    <x v="1"/>
    <x v="2"/>
    <x v="10"/>
    <x v="29"/>
    <x v="0"/>
    <x v="16"/>
    <n v="6.9981309309549298"/>
    <n v="25.193271351437701"/>
  </r>
  <r>
    <x v="0"/>
    <x v="0"/>
    <x v="1"/>
    <x v="2"/>
    <x v="10"/>
    <x v="29"/>
    <x v="0"/>
    <x v="17"/>
    <n v="6.9981309309549298"/>
    <n v="25.193271351437701"/>
  </r>
  <r>
    <x v="0"/>
    <x v="0"/>
    <x v="1"/>
    <x v="2"/>
    <x v="10"/>
    <x v="29"/>
    <x v="0"/>
    <x v="18"/>
    <n v="6.9981309309549298"/>
    <n v="25.193271351437701"/>
  </r>
  <r>
    <x v="0"/>
    <x v="0"/>
    <x v="1"/>
    <x v="2"/>
    <x v="10"/>
    <x v="29"/>
    <x v="0"/>
    <x v="19"/>
    <n v="6.9981309309549298"/>
    <n v="25.193271351437701"/>
  </r>
  <r>
    <x v="0"/>
    <x v="0"/>
    <x v="1"/>
    <x v="2"/>
    <x v="10"/>
    <x v="29"/>
    <x v="0"/>
    <x v="20"/>
    <n v="6.9981309309549298"/>
    <n v="25.193271351437701"/>
  </r>
  <r>
    <x v="0"/>
    <x v="0"/>
    <x v="1"/>
    <x v="2"/>
    <x v="10"/>
    <x v="29"/>
    <x v="0"/>
    <x v="21"/>
    <n v="6.9981309309549298"/>
    <n v="25.193271351437701"/>
  </r>
  <r>
    <x v="0"/>
    <x v="0"/>
    <x v="1"/>
    <x v="2"/>
    <x v="10"/>
    <x v="29"/>
    <x v="0"/>
    <x v="22"/>
    <n v="6.9981309309549298"/>
    <n v="25.193271351437701"/>
  </r>
  <r>
    <x v="0"/>
    <x v="0"/>
    <x v="1"/>
    <x v="2"/>
    <x v="10"/>
    <x v="29"/>
    <x v="0"/>
    <x v="23"/>
    <n v="6.9981309309549298"/>
    <n v="25.193271351437701"/>
  </r>
</pivotCacheRecords>
</file>

<file path=xl/pivotCache/pivotCacheRecords4.xml><?xml version="1.0" encoding="utf-8"?>
<pivotCacheRecords xmlns="http://schemas.openxmlformats.org/spreadsheetml/2006/main" xmlns:r="http://schemas.openxmlformats.org/officeDocument/2006/relationships" count="317">
  <r>
    <x v="0"/>
    <x v="0"/>
    <x v="0"/>
    <x v="0"/>
    <x v="0"/>
    <s v="DK1_Large"/>
    <x v="0"/>
    <x v="0"/>
    <s v="GNR_ST_COAL_EXT_E-43"/>
    <n v="2.4416079499999999"/>
    <n v="8.7897886199999995"/>
  </r>
  <r>
    <x v="0"/>
    <x v="0"/>
    <x v="0"/>
    <x v="0"/>
    <x v="0"/>
    <s v="DK1_Large"/>
    <x v="0"/>
    <x v="0"/>
    <s v="GNR_ST_COAL_EXT_E-47"/>
    <n v="2.8105000000000002"/>
    <n v="10.117800000000001"/>
  </r>
  <r>
    <x v="0"/>
    <x v="0"/>
    <x v="0"/>
    <x v="0"/>
    <x v="0"/>
    <s v="DK1_MedSmall"/>
    <x v="1"/>
    <x v="1"/>
    <s v="GNR_BO_ELEC_E-100"/>
    <n v="-8.7600000000000004E-3"/>
    <n v="-3.1536000000000002E-2"/>
  </r>
  <r>
    <x v="0"/>
    <x v="0"/>
    <x v="0"/>
    <x v="0"/>
    <x v="0"/>
    <s v="DK1_MedSmall"/>
    <x v="2"/>
    <x v="2"/>
    <s v="GNR_ST_MSW_BP_E-17"/>
    <n v="2.1024000000000001E-2"/>
    <n v="7.5686400000000001E-2"/>
  </r>
  <r>
    <x v="0"/>
    <x v="0"/>
    <x v="0"/>
    <x v="0"/>
    <x v="0"/>
    <s v="DK1_MedSmall"/>
    <x v="2"/>
    <x v="2"/>
    <s v="GNR_ST_MSW_BP_E-20"/>
    <n v="2.8908E-2"/>
    <n v="0.1040688"/>
  </r>
  <r>
    <x v="0"/>
    <x v="0"/>
    <x v="0"/>
    <x v="0"/>
    <x v="0"/>
    <s v="DK1_MedSmall"/>
    <x v="2"/>
    <x v="2"/>
    <s v="GNR_ST_MSW_BP_E-21"/>
    <n v="8.7599999999999997E-2"/>
    <n v="0.31535999999999997"/>
  </r>
  <r>
    <x v="0"/>
    <x v="0"/>
    <x v="0"/>
    <x v="0"/>
    <x v="0"/>
    <s v="DK1_MedSmall"/>
    <x v="2"/>
    <x v="2"/>
    <s v="GNR_ST_MSW_BP_E-22"/>
    <n v="3.9419999999999997E-2"/>
    <n v="0.14191200000000001"/>
  </r>
  <r>
    <x v="0"/>
    <x v="0"/>
    <x v="0"/>
    <x v="0"/>
    <x v="0"/>
    <s v="DK1_MedSmall"/>
    <x v="2"/>
    <x v="2"/>
    <s v="GNR_ST_MSW_BP_E-26"/>
    <n v="6.132E-2"/>
    <n v="0.220752"/>
  </r>
  <r>
    <x v="0"/>
    <x v="0"/>
    <x v="0"/>
    <x v="0"/>
    <x v="0"/>
    <s v="DK1_Medium"/>
    <x v="1"/>
    <x v="1"/>
    <s v="GNR_BO_ELEC_E-100"/>
    <n v="-0.18191335027491901"/>
    <n v="-0.65488806098970898"/>
  </r>
  <r>
    <x v="0"/>
    <x v="0"/>
    <x v="0"/>
    <x v="0"/>
    <x v="0"/>
    <s v="DK1_Medium"/>
    <x v="2"/>
    <x v="2"/>
    <s v="GNR_ST_MSW_BP_E-22"/>
    <n v="0.194125805613867"/>
    <n v="0.69885290020992197"/>
  </r>
  <r>
    <x v="0"/>
    <x v="0"/>
    <x v="0"/>
    <x v="0"/>
    <x v="0"/>
    <s v="DK1_Medium"/>
    <x v="3"/>
    <x v="2"/>
    <s v="GNR_ST_WOODCHI_BP_E-30"/>
    <n v="0.79190400000000005"/>
    <n v="2.8508543999999998"/>
  </r>
  <r>
    <x v="0"/>
    <x v="0"/>
    <x v="0"/>
    <x v="0"/>
    <x v="0"/>
    <s v="DK1_NoDH"/>
    <x v="4"/>
    <x v="3"/>
    <s v="GNR_PV_SUN"/>
    <n v="0.56990659346167905"/>
    <n v="2.05166373646205"/>
  </r>
  <r>
    <x v="0"/>
    <x v="0"/>
    <x v="0"/>
    <x v="0"/>
    <x v="0"/>
    <s v="DK1_NoDH"/>
    <x v="5"/>
    <x v="4"/>
    <s v="GNR_ROR_WTR"/>
    <n v="3.3449832846470198E-2"/>
    <n v="0.120419398247293"/>
  </r>
  <r>
    <x v="0"/>
    <x v="0"/>
    <x v="0"/>
    <x v="0"/>
    <x v="0"/>
    <s v="DK1_NoDH"/>
    <x v="6"/>
    <x v="5"/>
    <s v="GNR_WT_WIND_ONS"/>
    <n v="10.4267294285003"/>
    <n v="37.536225942601099"/>
  </r>
  <r>
    <x v="0"/>
    <x v="0"/>
    <x v="0"/>
    <x v="0"/>
    <x v="0"/>
    <s v="DK1_Offshore"/>
    <x v="6"/>
    <x v="5"/>
    <s v="GNR_WT_WIND_OFF"/>
    <n v="3.66971220000001"/>
    <n v="13.210963919999999"/>
  </r>
  <r>
    <x v="0"/>
    <x v="0"/>
    <x v="0"/>
    <x v="0"/>
    <x v="0"/>
    <s v="DK1_Rural"/>
    <x v="1"/>
    <x v="1"/>
    <s v="GNR_HP_ELEC_COP-300"/>
    <n v="-4.3800000000000002E-3"/>
    <n v="-1.5768000000000001E-2"/>
  </r>
  <r>
    <x v="0"/>
    <x v="0"/>
    <x v="0"/>
    <x v="0"/>
    <x v="0"/>
    <s v="DK1_Rural"/>
    <x v="1"/>
    <x v="1"/>
    <s v="GNR_HP_ELEC_COP-350"/>
    <n v="-5.4787542857142896E-3"/>
    <n v="-1.9723515428571401E-2"/>
  </r>
  <r>
    <x v="0"/>
    <x v="0"/>
    <x v="0"/>
    <x v="0"/>
    <x v="0"/>
    <s v="DK1_Rural"/>
    <x v="1"/>
    <x v="1"/>
    <s v="GNR_HP_ELEC_COP-400"/>
    <n v="-4.4851200000000004E-3"/>
    <n v="-1.6146431999999999E-2"/>
  </r>
  <r>
    <x v="0"/>
    <x v="0"/>
    <x v="0"/>
    <x v="0"/>
    <x v="0"/>
    <s v="DK1_Rural"/>
    <x v="1"/>
    <x v="1"/>
    <s v="GNR_HP_ELEC_COP-430"/>
    <n v="-2.6483720930232601E-3"/>
    <n v="-9.5341395348837298E-3"/>
  </r>
  <r>
    <x v="0"/>
    <x v="0"/>
    <x v="0"/>
    <x v="0"/>
    <x v="0"/>
    <s v="DK1_Rural"/>
    <x v="1"/>
    <x v="1"/>
    <s v="GNR_HP_ELEC_COP-450"/>
    <n v="-1.0512E-3"/>
    <n v="-3.7843199999999999E-3"/>
  </r>
  <r>
    <x v="0"/>
    <x v="0"/>
    <x v="0"/>
    <x v="0"/>
    <x v="0"/>
    <s v="DK1_Rural"/>
    <x v="1"/>
    <x v="1"/>
    <s v="GNR_HP_ELEC_COP-460"/>
    <n v="-6.85565217391305E-3"/>
    <n v="-2.4680347826086999E-2"/>
  </r>
  <r>
    <x v="0"/>
    <x v="0"/>
    <x v="0"/>
    <x v="0"/>
    <x v="0"/>
    <s v="DK1_Rural"/>
    <x v="1"/>
    <x v="1"/>
    <s v="GNR_HP_ELEC_COP-470"/>
    <n v="-1.77063829787234E-3"/>
    <n v="-6.37429787234043E-3"/>
  </r>
  <r>
    <x v="0"/>
    <x v="0"/>
    <x v="0"/>
    <x v="0"/>
    <x v="0"/>
    <s v="DK1_Rural"/>
    <x v="1"/>
    <x v="1"/>
    <s v="GNR_HP_ELEC_COP-500"/>
    <n v="-8.7600000000000004E-4"/>
    <n v="-3.1535999999999999E-3"/>
  </r>
  <r>
    <x v="0"/>
    <x v="0"/>
    <x v="0"/>
    <x v="0"/>
    <x v="0"/>
    <s v="DK1_Rural"/>
    <x v="1"/>
    <x v="1"/>
    <s v="GNR_HP_ELEC_COP-530"/>
    <n v="-2.2313207547169801E-3"/>
    <n v="-8.0327547169811303E-3"/>
  </r>
  <r>
    <x v="0"/>
    <x v="0"/>
    <x v="0"/>
    <x v="0"/>
    <x v="0"/>
    <s v="DK1_Rural"/>
    <x v="1"/>
    <x v="1"/>
    <s v="GNR_HP_ELEC_COP-600"/>
    <n v="-4.3800000000000002E-4"/>
    <n v="-1.5767999999999999E-3"/>
  </r>
  <r>
    <x v="0"/>
    <x v="0"/>
    <x v="0"/>
    <x v="0"/>
    <x v="0"/>
    <s v="DK1_Rural"/>
    <x v="7"/>
    <x v="2"/>
    <s v="GNR_ST_STRW_BP_E-26"/>
    <n v="1.1753E-2"/>
    <n v="4.2310800000000003E-2"/>
  </r>
  <r>
    <x v="0"/>
    <x v="0"/>
    <x v="0"/>
    <x v="0"/>
    <x v="0"/>
    <s v="DK2_Rural"/>
    <x v="0"/>
    <x v="2"/>
    <s v="GNR_ST_COAL_BP_E-35"/>
    <n v="0.32412000000000002"/>
    <n v="1.1668320000000001"/>
  </r>
  <r>
    <x v="0"/>
    <x v="0"/>
    <x v="0"/>
    <x v="0"/>
    <x v="0"/>
    <s v="DK2_Rural"/>
    <x v="1"/>
    <x v="1"/>
    <s v="GNR_HP_ELEC_COP-400"/>
    <n v="-1.7520000000000001E-3"/>
    <n v="-6.3071999999999998E-3"/>
  </r>
  <r>
    <x v="0"/>
    <x v="0"/>
    <x v="0"/>
    <x v="0"/>
    <x v="0"/>
    <s v="DK2_Rural"/>
    <x v="8"/>
    <x v="2"/>
    <s v="GNR_ENG_NGAS_BP_E-43"/>
    <n v="3.61642E-3"/>
    <n v="1.3019111999999999E-2"/>
  </r>
  <r>
    <x v="0"/>
    <x v="0"/>
    <x v="0"/>
    <x v="0"/>
    <x v="0"/>
    <s v="DK2_Rural"/>
    <x v="8"/>
    <x v="2"/>
    <s v="GNR_ENG_NGAS_BP_E-45"/>
    <n v="4.3800000000000002E-3"/>
    <n v="1.5768000000000001E-2"/>
  </r>
  <r>
    <x v="0"/>
    <x v="0"/>
    <x v="0"/>
    <x v="0"/>
    <x v="0"/>
    <s v="DK2_Rural"/>
    <x v="8"/>
    <x v="2"/>
    <s v="GNR_ENG_NGAS_BP_E-46"/>
    <n v="4.8180000000000002E-3"/>
    <n v="1.73448E-2"/>
  </r>
  <r>
    <x v="0"/>
    <x v="0"/>
    <x v="0"/>
    <x v="0"/>
    <x v="0"/>
    <s v="DK2_Rural"/>
    <x v="7"/>
    <x v="2"/>
    <s v="GNR_ST_STRW_BP_E-24"/>
    <n v="4.3799999999999999E-2"/>
    <n v="0.15767999999999999"/>
  </r>
  <r>
    <x v="0"/>
    <x v="0"/>
    <x v="0"/>
    <x v="0"/>
    <x v="0"/>
    <s v="DK2_Rural"/>
    <x v="7"/>
    <x v="2"/>
    <s v="GNR_ST_STRW_BP_E-27"/>
    <n v="8.7424799999999997E-2"/>
    <n v="0.31472928"/>
  </r>
  <r>
    <x v="0"/>
    <x v="0"/>
    <x v="0"/>
    <x v="0"/>
    <x v="0"/>
    <s v="DK2_Rural"/>
    <x v="7"/>
    <x v="2"/>
    <s v="GNR_ST_STRW_BP_E-28"/>
    <n v="0.10074"/>
    <n v="0.36266399999999999"/>
  </r>
  <r>
    <x v="0"/>
    <x v="0"/>
    <x v="0"/>
    <x v="0"/>
    <x v="1"/>
    <s v="DK2_Large"/>
    <x v="0"/>
    <x v="0"/>
    <s v="GNR_ST_COAL_EXT_E-42"/>
    <n v="3.65"/>
    <n v="13.14"/>
  </r>
  <r>
    <x v="0"/>
    <x v="0"/>
    <x v="0"/>
    <x v="0"/>
    <x v="1"/>
    <s v="DK2_Large"/>
    <x v="1"/>
    <x v="1"/>
    <s v="GNR_BO_ELEC_E-100"/>
    <n v="-3.8136041545813099E-2"/>
    <n v="-0.13728974956492701"/>
  </r>
  <r>
    <x v="0"/>
    <x v="0"/>
    <x v="0"/>
    <x v="0"/>
    <x v="1"/>
    <s v="DK2_Large"/>
    <x v="1"/>
    <x v="1"/>
    <s v="GNR_HP_ELEC_COP-300"/>
    <n v="-9.9280000000000006E-4"/>
    <n v="-3.5740799999999999E-3"/>
  </r>
  <r>
    <x v="0"/>
    <x v="0"/>
    <x v="0"/>
    <x v="0"/>
    <x v="1"/>
    <s v="DK2_Large"/>
    <x v="2"/>
    <x v="2"/>
    <s v="GNR_ST_MSW_BP_E-16"/>
    <n v="0.14681025989968399"/>
    <n v="0.52851693563886104"/>
  </r>
  <r>
    <x v="0"/>
    <x v="0"/>
    <x v="0"/>
    <x v="0"/>
    <x v="1"/>
    <s v="DK2_Large"/>
    <x v="2"/>
    <x v="2"/>
    <s v="GNR_ST_MSW_BP_E-20"/>
    <n v="0.32377883337289798"/>
    <n v="1.16560380014243"/>
  </r>
  <r>
    <x v="0"/>
    <x v="0"/>
    <x v="0"/>
    <x v="0"/>
    <x v="1"/>
    <s v="DK2_Large"/>
    <x v="2"/>
    <x v="2"/>
    <s v="GNR_ST_MSW_BP_E-21"/>
    <n v="0.12001199999999999"/>
    <n v="0.43204320000000002"/>
  </r>
  <r>
    <x v="0"/>
    <x v="0"/>
    <x v="0"/>
    <x v="0"/>
    <x v="1"/>
    <s v="DK2_Large"/>
    <x v="2"/>
    <x v="2"/>
    <s v="GNR_ST_MSW_BP_E-27"/>
    <n v="0.16994400000000001"/>
    <n v="0.61179839999999996"/>
  </r>
  <r>
    <x v="0"/>
    <x v="0"/>
    <x v="0"/>
    <x v="0"/>
    <x v="1"/>
    <s v="DK2_Large"/>
    <x v="3"/>
    <x v="2"/>
    <s v="GNR_ST_WOODCHI_BP_E-27"/>
    <n v="0.13139999999999999"/>
    <n v="0.47304000000000002"/>
  </r>
  <r>
    <x v="0"/>
    <x v="0"/>
    <x v="0"/>
    <x v="0"/>
    <x v="1"/>
    <s v="DK2_MedSmall"/>
    <x v="2"/>
    <x v="2"/>
    <s v="GNR_ST_MSW_BP_E-28"/>
    <n v="2.0654479245654101E-2"/>
    <n v="7.4356125284354702E-2"/>
  </r>
  <r>
    <x v="0"/>
    <x v="0"/>
    <x v="0"/>
    <x v="0"/>
    <x v="1"/>
    <s v="DK2_Medium"/>
    <x v="0"/>
    <x v="2"/>
    <s v="GNR_ST_COAL_BP_E-38"/>
    <n v="1.0688264999999999"/>
    <n v="3.8477754000000002"/>
  </r>
  <r>
    <x v="0"/>
    <x v="0"/>
    <x v="0"/>
    <x v="0"/>
    <x v="1"/>
    <s v="DK2_NoDH"/>
    <x v="4"/>
    <x v="3"/>
    <s v="GNR_PV_SUN"/>
    <n v="0.29146560783759401"/>
    <n v="1.0492761882153401"/>
  </r>
  <r>
    <x v="0"/>
    <x v="0"/>
    <x v="0"/>
    <x v="0"/>
    <x v="1"/>
    <s v="DK2_NoDH"/>
    <x v="5"/>
    <x v="4"/>
    <s v="GNR_ROR_WTR"/>
    <n v="7.2297909610526402E-5"/>
    <n v="2.6027247459789498E-4"/>
  </r>
  <r>
    <x v="0"/>
    <x v="0"/>
    <x v="0"/>
    <x v="0"/>
    <x v="1"/>
    <s v="DK2_NoDH"/>
    <x v="6"/>
    <x v="5"/>
    <s v="GNR_WT_WIND_ONS"/>
    <n v="1.8714861274999901"/>
    <n v="6.7373500589999802"/>
  </r>
  <r>
    <x v="0"/>
    <x v="0"/>
    <x v="0"/>
    <x v="0"/>
    <x v="1"/>
    <s v="DK2_Offshore"/>
    <x v="6"/>
    <x v="5"/>
    <s v="GNR_WT_WIND_OFF"/>
    <n v="1.946472"/>
    <n v="7.0072992000000198"/>
  </r>
  <r>
    <x v="0"/>
    <x v="0"/>
    <x v="0"/>
    <x v="0"/>
    <x v="1"/>
    <s v="DK2_Rural"/>
    <x v="0"/>
    <x v="2"/>
    <s v="GNR_ST_COAL_BP_E-35"/>
    <n v="0.32412000000000002"/>
    <n v="1.1668320000000001"/>
  </r>
  <r>
    <x v="0"/>
    <x v="0"/>
    <x v="0"/>
    <x v="0"/>
    <x v="1"/>
    <s v="DK2_Rural"/>
    <x v="1"/>
    <x v="1"/>
    <s v="GNR_HP_ELEC_COP-400"/>
    <n v="-1.7520000000000001E-3"/>
    <n v="-6.3071999999999998E-3"/>
  </r>
  <r>
    <x v="0"/>
    <x v="0"/>
    <x v="0"/>
    <x v="0"/>
    <x v="1"/>
    <s v="DK2_Rural"/>
    <x v="8"/>
    <x v="2"/>
    <s v="GNR_ENG_NGAS_BP_E-43"/>
    <n v="3.61642E-3"/>
    <n v="1.3019111999999999E-2"/>
  </r>
  <r>
    <x v="0"/>
    <x v="0"/>
    <x v="0"/>
    <x v="0"/>
    <x v="1"/>
    <s v="DK2_Rural"/>
    <x v="8"/>
    <x v="2"/>
    <s v="GNR_ENG_NGAS_BP_E-45"/>
    <n v="4.3800000000000002E-3"/>
    <n v="1.5768000000000001E-2"/>
  </r>
  <r>
    <x v="0"/>
    <x v="0"/>
    <x v="0"/>
    <x v="0"/>
    <x v="1"/>
    <s v="DK2_Rural"/>
    <x v="8"/>
    <x v="2"/>
    <s v="GNR_ENG_NGAS_BP_E-46"/>
    <n v="4.8180000000000002E-3"/>
    <n v="1.73448E-2"/>
  </r>
  <r>
    <x v="0"/>
    <x v="0"/>
    <x v="0"/>
    <x v="0"/>
    <x v="1"/>
    <s v="DK2_Rural"/>
    <x v="7"/>
    <x v="2"/>
    <s v="GNR_ST_STRW_BP_E-24"/>
    <n v="4.3799999999999999E-2"/>
    <n v="0.15767999999999999"/>
  </r>
  <r>
    <x v="0"/>
    <x v="0"/>
    <x v="0"/>
    <x v="0"/>
    <x v="1"/>
    <s v="DK2_Rural"/>
    <x v="7"/>
    <x v="2"/>
    <s v="GNR_ST_STRW_BP_E-27"/>
    <n v="8.7424799999999997E-2"/>
    <n v="0.31472928"/>
  </r>
  <r>
    <x v="0"/>
    <x v="0"/>
    <x v="0"/>
    <x v="0"/>
    <x v="1"/>
    <s v="DK2_Rural"/>
    <x v="7"/>
    <x v="2"/>
    <s v="GNR_ST_STRW_BP_E-28"/>
    <n v="0.10074"/>
    <n v="0.36266399999999999"/>
  </r>
  <r>
    <x v="0"/>
    <x v="0"/>
    <x v="0"/>
    <x v="1"/>
    <x v="2"/>
    <s v="DE4-E_A"/>
    <x v="1"/>
    <x v="6"/>
    <s v="AGG-DE4-E_RES_WTR_PMP"/>
    <n v="-169.2432"/>
    <n v="-609.27552000000003"/>
  </r>
  <r>
    <x v="0"/>
    <x v="0"/>
    <x v="0"/>
    <x v="1"/>
    <x v="2"/>
    <s v="DE4-E_A"/>
    <x v="9"/>
    <x v="7"/>
    <s v="GNR_ST_LIGN_CND_E-43"/>
    <n v="5.6063999999999998"/>
    <n v="20.183039999999998"/>
  </r>
  <r>
    <x v="0"/>
    <x v="0"/>
    <x v="0"/>
    <x v="1"/>
    <x v="2"/>
    <s v="DE4-E_A"/>
    <x v="9"/>
    <x v="2"/>
    <s v="GNR_ST_LIGN_BP_E-39"/>
    <n v="81.655463999999995"/>
    <n v="293.95967039999999"/>
  </r>
  <r>
    <x v="0"/>
    <x v="0"/>
    <x v="0"/>
    <x v="1"/>
    <x v="2"/>
    <s v="DE4-E_A"/>
    <x v="2"/>
    <x v="7"/>
    <s v="GNR_ST_MSW_CND_E-33"/>
    <n v="0.57027600000000001"/>
    <n v="2.0529936000000002"/>
  </r>
  <r>
    <x v="0"/>
    <x v="0"/>
    <x v="0"/>
    <x v="1"/>
    <x v="2"/>
    <s v="DE4-E_A"/>
    <x v="4"/>
    <x v="3"/>
    <s v="GNR_PV_SUN"/>
    <n v="11.438265235278299"/>
    <n v="41.1777548470018"/>
  </r>
  <r>
    <x v="0"/>
    <x v="0"/>
    <x v="0"/>
    <x v="1"/>
    <x v="2"/>
    <s v="DE4-E_A"/>
    <x v="10"/>
    <x v="7"/>
    <s v="GNR_GEO_HEAT_EO"/>
    <n v="1.9272E-3"/>
    <n v="6.9379200000000002E-3"/>
  </r>
  <r>
    <x v="0"/>
    <x v="0"/>
    <x v="0"/>
    <x v="1"/>
    <x v="2"/>
    <s v="DE4-E_A"/>
    <x v="5"/>
    <x v="4"/>
    <s v="GNR_ROR_WTR"/>
    <n v="2.6530440910678799"/>
    <n v="9.5509587278443497"/>
  </r>
  <r>
    <x v="0"/>
    <x v="0"/>
    <x v="0"/>
    <x v="1"/>
    <x v="2"/>
    <s v="DE4-E_A"/>
    <x v="6"/>
    <x v="5"/>
    <s v="GNR_WT_WIND_ONS"/>
    <n v="40.504328129999998"/>
    <n v="145.81558126799999"/>
  </r>
  <r>
    <x v="0"/>
    <x v="0"/>
    <x v="0"/>
    <x v="1"/>
    <x v="2"/>
    <s v="DE4-E_Offshore_A"/>
    <x v="6"/>
    <x v="5"/>
    <s v="GNR_WT_WIND_OFF"/>
    <n v="1.4729939999999999"/>
    <n v="5.3027784000000002"/>
  </r>
  <r>
    <x v="0"/>
    <x v="0"/>
    <x v="0"/>
    <x v="1"/>
    <x v="3"/>
    <s v="DE4-N_A"/>
    <x v="0"/>
    <x v="7"/>
    <s v="GNR_ST_COAL_CND_E-46"/>
    <n v="1.75606749534527"/>
    <n v="6.3218429832429601"/>
  </r>
  <r>
    <x v="0"/>
    <x v="0"/>
    <x v="0"/>
    <x v="1"/>
    <x v="3"/>
    <s v="DE4-N_A"/>
    <x v="1"/>
    <x v="6"/>
    <s v="AGG-DE4-N_RES_WTR_PMP"/>
    <n v="-8.3465279999999993"/>
    <n v="-30.047500800000002"/>
  </r>
  <r>
    <x v="0"/>
    <x v="0"/>
    <x v="0"/>
    <x v="1"/>
    <x v="3"/>
    <s v="DE4-N_A"/>
    <x v="11"/>
    <x v="7"/>
    <s v="GNR_ST_NUCL_CND_E-33"/>
    <n v="12.351599999999999"/>
    <n v="44.465760000000003"/>
  </r>
  <r>
    <x v="0"/>
    <x v="0"/>
    <x v="0"/>
    <x v="1"/>
    <x v="3"/>
    <s v="DE4-N_A"/>
    <x v="4"/>
    <x v="3"/>
    <s v="GNR_PV_SUN"/>
    <n v="1.6803275310545001"/>
    <n v="6.0491791117962102"/>
  </r>
  <r>
    <x v="0"/>
    <x v="0"/>
    <x v="0"/>
    <x v="1"/>
    <x v="3"/>
    <s v="DE4-N_A"/>
    <x v="5"/>
    <x v="4"/>
    <s v="GNR_ROR_WTR"/>
    <n v="2.3376999999999998E-2"/>
    <n v="8.4157200000000001E-2"/>
  </r>
  <r>
    <x v="0"/>
    <x v="0"/>
    <x v="0"/>
    <x v="1"/>
    <x v="3"/>
    <s v="DE4-N_A"/>
    <x v="6"/>
    <x v="5"/>
    <s v="GNR_WT_WIND_ONS"/>
    <n v="17.132994289999999"/>
    <n v="61.678779444"/>
  </r>
  <r>
    <x v="0"/>
    <x v="0"/>
    <x v="0"/>
    <x v="1"/>
    <x v="3"/>
    <s v="DE4-N_Offshore_A"/>
    <x v="6"/>
    <x v="5"/>
    <s v="GNR_WT_WIND_OFF"/>
    <n v="4.0293000000000001"/>
    <n v="14.50548"/>
  </r>
  <r>
    <x v="0"/>
    <x v="0"/>
    <x v="0"/>
    <x v="1"/>
    <x v="4"/>
    <s v="DE4-S_A"/>
    <x v="0"/>
    <x v="7"/>
    <s v="GNR_ST_COAL_CND_E-44"/>
    <n v="4.6165200000000004"/>
    <n v="16.619471999999998"/>
  </r>
  <r>
    <x v="0"/>
    <x v="0"/>
    <x v="0"/>
    <x v="1"/>
    <x v="4"/>
    <s v="DE4-S_A"/>
    <x v="1"/>
    <x v="6"/>
    <s v="AGG-DE4-S_RES_WTR_PMP"/>
    <n v="-151.58304000000001"/>
    <n v="-545.69894399999998"/>
  </r>
  <r>
    <x v="0"/>
    <x v="0"/>
    <x v="0"/>
    <x v="1"/>
    <x v="4"/>
    <s v="DE4-S_A"/>
    <x v="2"/>
    <x v="7"/>
    <s v="GNR_ST_MSW_CND_E-33"/>
    <n v="0.35039999999999999"/>
    <n v="1.2614399999999999"/>
  </r>
  <r>
    <x v="0"/>
    <x v="0"/>
    <x v="0"/>
    <x v="1"/>
    <x v="4"/>
    <s v="DE4-S_A"/>
    <x v="11"/>
    <x v="7"/>
    <s v="GNR_ST_NUCL_CND_E-33"/>
    <n v="58.63944"/>
    <n v="211.10198399999999"/>
  </r>
  <r>
    <x v="0"/>
    <x v="0"/>
    <x v="0"/>
    <x v="1"/>
    <x v="4"/>
    <s v="DE4-S_A"/>
    <x v="4"/>
    <x v="3"/>
    <s v="GNR_PV_SUN"/>
    <n v="21.7176092114785"/>
    <n v="78.183393161322698"/>
  </r>
  <r>
    <x v="0"/>
    <x v="0"/>
    <x v="0"/>
    <x v="1"/>
    <x v="4"/>
    <s v="DE4-S_A"/>
    <x v="10"/>
    <x v="7"/>
    <s v="GNR_GEO_HEAT_EO"/>
    <n v="0.39209759999999999"/>
    <n v="1.41155136"/>
  </r>
  <r>
    <x v="0"/>
    <x v="0"/>
    <x v="0"/>
    <x v="1"/>
    <x v="4"/>
    <s v="DE4-S_A"/>
    <x v="5"/>
    <x v="4"/>
    <s v="GNR_ROR_WTR"/>
    <n v="38.207127800000002"/>
    <n v="137.54566008"/>
  </r>
  <r>
    <x v="0"/>
    <x v="0"/>
    <x v="0"/>
    <x v="1"/>
    <x v="4"/>
    <s v="DE4-S_A"/>
    <x v="5"/>
    <x v="8"/>
    <s v="GNR_RES_WTR_NOPMP"/>
    <n v="0.59766271944701799"/>
    <n v="2.1515857900092699"/>
  </r>
  <r>
    <x v="0"/>
    <x v="0"/>
    <x v="0"/>
    <x v="1"/>
    <x v="4"/>
    <s v="DE4-S_A"/>
    <x v="6"/>
    <x v="5"/>
    <s v="GNR_WT_WIND_ONS"/>
    <n v="13.97148009"/>
    <n v="50.297328323999999"/>
  </r>
  <r>
    <x v="0"/>
    <x v="0"/>
    <x v="0"/>
    <x v="1"/>
    <x v="5"/>
    <s v="DE4-W_A"/>
    <x v="0"/>
    <x v="7"/>
    <s v="GNR_ST_COAL_CND_E-45"/>
    <n v="30.213239999999999"/>
    <n v="108.767664"/>
  </r>
  <r>
    <x v="0"/>
    <x v="0"/>
    <x v="0"/>
    <x v="1"/>
    <x v="5"/>
    <s v="DE4-W_A"/>
    <x v="1"/>
    <x v="6"/>
    <s v="AGG-DE4-W_RES_WTR_PMP"/>
    <n v="-80.311679999999996"/>
    <n v="-289.12204800000001"/>
  </r>
  <r>
    <x v="0"/>
    <x v="0"/>
    <x v="0"/>
    <x v="1"/>
    <x v="5"/>
    <s v="DE4-W_A"/>
    <x v="9"/>
    <x v="7"/>
    <s v="GNR_ST_LIGN_CND_E-32"/>
    <n v="39.76164"/>
    <n v="143.14190400000001"/>
  </r>
  <r>
    <x v="0"/>
    <x v="0"/>
    <x v="0"/>
    <x v="1"/>
    <x v="5"/>
    <s v="DE4-W_A"/>
    <x v="9"/>
    <x v="7"/>
    <s v="GNR_ST_LIGN_CND_E-41"/>
    <n v="35.302799999999998"/>
    <n v="127.09008"/>
  </r>
  <r>
    <x v="0"/>
    <x v="0"/>
    <x v="0"/>
    <x v="1"/>
    <x v="5"/>
    <s v="DE4-W_A"/>
    <x v="9"/>
    <x v="2"/>
    <s v="GNR_ST_LIGN_BP_E-33"/>
    <n v="6.8897399999999998"/>
    <n v="24.803063999999999"/>
  </r>
  <r>
    <x v="0"/>
    <x v="0"/>
    <x v="0"/>
    <x v="1"/>
    <x v="5"/>
    <s v="DE4-W_A"/>
    <x v="9"/>
    <x v="2"/>
    <s v="GNR_ST_LIGN_BP_E-37"/>
    <n v="28.791492000000002"/>
    <n v="103.6493712"/>
  </r>
  <r>
    <x v="0"/>
    <x v="0"/>
    <x v="0"/>
    <x v="1"/>
    <x v="5"/>
    <s v="DE4-W_A"/>
    <x v="2"/>
    <x v="7"/>
    <s v="GNR_ST_MSW_CND_E-33"/>
    <n v="1.513728"/>
    <n v="5.4494208000000004"/>
  </r>
  <r>
    <x v="0"/>
    <x v="0"/>
    <x v="0"/>
    <x v="1"/>
    <x v="5"/>
    <s v="DE4-W_A"/>
    <x v="11"/>
    <x v="7"/>
    <s v="GNR_ST_NUCL_CND_E-33"/>
    <n v="23.616959999999999"/>
    <n v="85.021056000000002"/>
  </r>
  <r>
    <x v="0"/>
    <x v="0"/>
    <x v="0"/>
    <x v="1"/>
    <x v="5"/>
    <s v="DE4-W_A"/>
    <x v="4"/>
    <x v="3"/>
    <s v="GNR_PV_SUN"/>
    <n v="10.6223389660178"/>
    <n v="38.240420277664001"/>
  </r>
  <r>
    <x v="0"/>
    <x v="0"/>
    <x v="0"/>
    <x v="1"/>
    <x v="5"/>
    <s v="DE4-W_A"/>
    <x v="5"/>
    <x v="4"/>
    <s v="GNR_ROR_WTR"/>
    <n v="1.7424299999999999"/>
    <n v="6.272748"/>
  </r>
  <r>
    <x v="0"/>
    <x v="0"/>
    <x v="0"/>
    <x v="1"/>
    <x v="5"/>
    <s v="DE4-W_A"/>
    <x v="6"/>
    <x v="5"/>
    <s v="GNR_WT_WIND_ONS"/>
    <n v="38.021413850000002"/>
    <n v="136.87708986000001"/>
  </r>
  <r>
    <x v="0"/>
    <x v="0"/>
    <x v="0"/>
    <x v="1"/>
    <x v="5"/>
    <s v="DE4-W_Offshore_A"/>
    <x v="6"/>
    <x v="5"/>
    <s v="GNR_WT_WIND_OFF"/>
    <n v="0.49694700000000003"/>
    <n v="1.7890092"/>
  </r>
  <r>
    <x v="0"/>
    <x v="0"/>
    <x v="0"/>
    <x v="2"/>
    <x v="6"/>
    <s v="NO1_A1"/>
    <x v="1"/>
    <x v="1"/>
    <s v="GETOH_HEATPUMP"/>
    <n v="-2.5572663811013099E-2"/>
    <n v="-9.2061589719646994E-2"/>
  </r>
  <r>
    <x v="0"/>
    <x v="0"/>
    <x v="0"/>
    <x v="2"/>
    <x v="6"/>
    <s v="NO1_A1"/>
    <x v="2"/>
    <x v="2"/>
    <s v="GBPR_MUNIWASTE"/>
    <n v="7.1831999999999993E-2"/>
    <n v="0.25859520000000003"/>
  </r>
  <r>
    <x v="0"/>
    <x v="0"/>
    <x v="0"/>
    <x v="2"/>
    <x v="6"/>
    <s v="NO1_A1"/>
    <x v="5"/>
    <x v="4"/>
    <s v="GHYRR_WATER"/>
    <n v="11.0626254909401"/>
    <n v="39.825451767384301"/>
  </r>
  <r>
    <x v="0"/>
    <x v="0"/>
    <x v="0"/>
    <x v="2"/>
    <x v="6"/>
    <s v="NO1_A1"/>
    <x v="5"/>
    <x v="8"/>
    <s v="GHYRS_WATER"/>
    <n v="30.3408069508613"/>
    <n v="109.226905023101"/>
  </r>
  <r>
    <x v="0"/>
    <x v="0"/>
    <x v="0"/>
    <x v="2"/>
    <x v="6"/>
    <s v="NO1_A2"/>
    <x v="1"/>
    <x v="1"/>
    <s v="GETOH_ELECTRICBOILER"/>
    <n v="-7.37856158765932E-2"/>
    <n v="-0.26562821715573498"/>
  </r>
  <r>
    <x v="0"/>
    <x v="0"/>
    <x v="0"/>
    <x v="2"/>
    <x v="6"/>
    <s v="NO1_A2"/>
    <x v="1"/>
    <x v="1"/>
    <s v="GETOH_HEATPUMP"/>
    <n v="-3.2653133411644997E-2"/>
    <n v="-0.11755128028192199"/>
  </r>
  <r>
    <x v="0"/>
    <x v="0"/>
    <x v="0"/>
    <x v="2"/>
    <x v="6"/>
    <s v="NO1_A2"/>
    <x v="2"/>
    <x v="2"/>
    <s v="GBPR_MUNIWASTE"/>
    <n v="9.7177599999998795E-2"/>
    <n v="0.34983935999999599"/>
  </r>
  <r>
    <x v="0"/>
    <x v="0"/>
    <x v="0"/>
    <x v="2"/>
    <x v="7"/>
    <s v="NO2_A1"/>
    <x v="2"/>
    <x v="2"/>
    <s v="GBPR_MUNIWASTE"/>
    <n v="9.4108160380841993E-2"/>
    <n v="0.33878937737103099"/>
  </r>
  <r>
    <x v="0"/>
    <x v="0"/>
    <x v="0"/>
    <x v="2"/>
    <x v="7"/>
    <s v="NO2_A1"/>
    <x v="5"/>
    <x v="4"/>
    <s v="GHYRR_WATER"/>
    <n v="12.0352086454608"/>
    <n v="43.326751123658902"/>
  </r>
  <r>
    <x v="0"/>
    <x v="0"/>
    <x v="0"/>
    <x v="2"/>
    <x v="7"/>
    <s v="NO2_A1"/>
    <x v="5"/>
    <x v="8"/>
    <s v="GHYRS_WATER"/>
    <n v="24.4824985281981"/>
    <n v="88.136994701513103"/>
  </r>
  <r>
    <x v="0"/>
    <x v="0"/>
    <x v="0"/>
    <x v="2"/>
    <x v="7"/>
    <s v="NO2_A1"/>
    <x v="6"/>
    <x v="5"/>
    <s v="GNR_WT_WIND_ONS"/>
    <n v="1.5001477000000001"/>
    <n v="5.40053172"/>
  </r>
  <r>
    <x v="0"/>
    <x v="0"/>
    <x v="0"/>
    <x v="2"/>
    <x v="8"/>
    <s v="NO3_A1"/>
    <x v="2"/>
    <x v="2"/>
    <s v="GBPR_MUNIWASTE"/>
    <n v="3.75804E-2"/>
    <n v="0.13528944000000001"/>
  </r>
  <r>
    <x v="0"/>
    <x v="0"/>
    <x v="0"/>
    <x v="2"/>
    <x v="8"/>
    <s v="NO3_A1"/>
    <x v="5"/>
    <x v="4"/>
    <s v="GHYRR_WATER"/>
    <n v="7.2289971164664797"/>
    <n v="26.024389619279301"/>
  </r>
  <r>
    <x v="0"/>
    <x v="0"/>
    <x v="0"/>
    <x v="2"/>
    <x v="8"/>
    <s v="NO3_A1"/>
    <x v="5"/>
    <x v="8"/>
    <s v="GHYRS_WATER"/>
    <n v="14.7618662902597"/>
    <n v="53.142718644934902"/>
  </r>
  <r>
    <x v="0"/>
    <x v="0"/>
    <x v="0"/>
    <x v="2"/>
    <x v="8"/>
    <s v="NO3_A1"/>
    <x v="6"/>
    <x v="5"/>
    <s v="GNR_WT_WIND_ONS"/>
    <n v="1.0027718999999999"/>
    <n v="3.6099788400000001"/>
  </r>
  <r>
    <x v="0"/>
    <x v="0"/>
    <x v="0"/>
    <x v="2"/>
    <x v="9"/>
    <s v="NO4_A1"/>
    <x v="2"/>
    <x v="2"/>
    <s v="GBPR_MUNIWASTE"/>
    <n v="1.1920608000000001E-3"/>
    <n v="4.2914188799999999E-3"/>
  </r>
  <r>
    <x v="0"/>
    <x v="0"/>
    <x v="0"/>
    <x v="2"/>
    <x v="9"/>
    <s v="NO4_A1"/>
    <x v="5"/>
    <x v="4"/>
    <s v="GHYRR_WATER"/>
    <n v="5.5658255385089399"/>
    <n v="20.036971938632199"/>
  </r>
  <r>
    <x v="0"/>
    <x v="0"/>
    <x v="0"/>
    <x v="2"/>
    <x v="9"/>
    <s v="NO4_A1"/>
    <x v="5"/>
    <x v="8"/>
    <s v="GHYRS_WATER"/>
    <n v="11.457208036614499"/>
    <n v="41.245948931812201"/>
  </r>
  <r>
    <x v="0"/>
    <x v="0"/>
    <x v="0"/>
    <x v="2"/>
    <x v="9"/>
    <s v="NO4_A1"/>
    <x v="6"/>
    <x v="5"/>
    <s v="GNR_WT_WIND_ONS"/>
    <n v="0.819936"/>
    <n v="2.9517696"/>
  </r>
  <r>
    <x v="0"/>
    <x v="0"/>
    <x v="0"/>
    <x v="2"/>
    <x v="10"/>
    <s v="NO5_A1"/>
    <x v="2"/>
    <x v="2"/>
    <s v="GBPR_MUNIWASTE"/>
    <n v="7.0080000000000003E-2"/>
    <n v="0.25228800000000001"/>
  </r>
  <r>
    <x v="0"/>
    <x v="0"/>
    <x v="0"/>
    <x v="2"/>
    <x v="10"/>
    <s v="NO5_A1"/>
    <x v="5"/>
    <x v="4"/>
    <s v="GHYRR_WATER"/>
    <n v="4.2591856656192402"/>
    <n v="15.3330683962292"/>
  </r>
  <r>
    <x v="0"/>
    <x v="0"/>
    <x v="0"/>
    <x v="2"/>
    <x v="10"/>
    <s v="NO5_A1"/>
    <x v="5"/>
    <x v="8"/>
    <s v="GHYRS_WATER"/>
    <n v="9.8345840409323504"/>
    <n v="35.4045025473565"/>
  </r>
  <r>
    <x v="0"/>
    <x v="0"/>
    <x v="0"/>
    <x v="3"/>
    <x v="11"/>
    <s v="SE1A"/>
    <x v="5"/>
    <x v="4"/>
    <s v="GHYRR_WATER"/>
    <n v="5.2294426027032399"/>
    <n v="18.825993369731702"/>
  </r>
  <r>
    <x v="0"/>
    <x v="0"/>
    <x v="0"/>
    <x v="3"/>
    <x v="11"/>
    <s v="SE1A"/>
    <x v="5"/>
    <x v="8"/>
    <s v="GHYRS_WATER"/>
    <n v="20.5261031674208"/>
    <n v="73.893971402714897"/>
  </r>
  <r>
    <x v="0"/>
    <x v="0"/>
    <x v="0"/>
    <x v="3"/>
    <x v="11"/>
    <s v="SE1A"/>
    <x v="6"/>
    <x v="5"/>
    <s v="GNR_WT_WIND_ONS"/>
    <n v="1.3272919999999999"/>
    <n v="4.7782511999999997"/>
  </r>
  <r>
    <x v="0"/>
    <x v="0"/>
    <x v="0"/>
    <x v="3"/>
    <x v="11"/>
    <s v="SE1_EL"/>
    <x v="2"/>
    <x v="2"/>
    <s v="GBPR_MUNIWASTE"/>
    <n v="3.11778623574471E-2"/>
    <n v="0.11224030448680999"/>
  </r>
  <r>
    <x v="0"/>
    <x v="0"/>
    <x v="0"/>
    <x v="3"/>
    <x v="11"/>
    <s v="SE1_OTHER"/>
    <x v="12"/>
    <x v="2"/>
    <s v="GBPR_PEAT_38"/>
    <n v="3.5920948683299501E-2"/>
    <n v="0.129315415259878"/>
  </r>
  <r>
    <x v="0"/>
    <x v="0"/>
    <x v="0"/>
    <x v="3"/>
    <x v="11"/>
    <s v="SE1_OTHER"/>
    <x v="13"/>
    <x v="2"/>
    <s v="GBPR_WOODWASTE"/>
    <n v="0.20139408756567401"/>
    <n v="0.72501871523642802"/>
  </r>
  <r>
    <x v="0"/>
    <x v="0"/>
    <x v="0"/>
    <x v="3"/>
    <x v="12"/>
    <s v="SE2A"/>
    <x v="5"/>
    <x v="4"/>
    <s v="GHYRR_WATER"/>
    <n v="7.9209945773647004"/>
    <n v="28.515580478512899"/>
  </r>
  <r>
    <x v="0"/>
    <x v="0"/>
    <x v="0"/>
    <x v="3"/>
    <x v="12"/>
    <s v="SE2A"/>
    <x v="5"/>
    <x v="8"/>
    <s v="GHYRS_WATER"/>
    <n v="31.102957466063302"/>
    <n v="111.970646877828"/>
  </r>
  <r>
    <x v="0"/>
    <x v="0"/>
    <x v="0"/>
    <x v="3"/>
    <x v="12"/>
    <s v="SE2A"/>
    <x v="6"/>
    <x v="5"/>
    <s v="GNR_WT_WIND_ONS"/>
    <n v="5.7980369999999999"/>
    <n v="20.872933199999999"/>
  </r>
  <r>
    <x v="0"/>
    <x v="0"/>
    <x v="0"/>
    <x v="3"/>
    <x v="12"/>
    <s v="SE2_EL"/>
    <x v="2"/>
    <x v="2"/>
    <s v="GBPR_MUNIWASTE_24"/>
    <n v="0.33062410821551202"/>
    <n v="1.19024678957584"/>
  </r>
  <r>
    <x v="0"/>
    <x v="0"/>
    <x v="0"/>
    <x v="3"/>
    <x v="12"/>
    <s v="SE2_EL"/>
    <x v="13"/>
    <x v="0"/>
    <s v="GEXT_WOODWASTE_HORNEBORG"/>
    <n v="0.23387328713987399"/>
    <n v="0.84194383370354597"/>
  </r>
  <r>
    <x v="0"/>
    <x v="0"/>
    <x v="0"/>
    <x v="3"/>
    <x v="12"/>
    <s v="SE2_EL"/>
    <x v="13"/>
    <x v="2"/>
    <s v="GBPR_WOODWASTE_25"/>
    <n v="0.23975361341386101"/>
    <n v="0.86311300828990101"/>
  </r>
  <r>
    <x v="0"/>
    <x v="0"/>
    <x v="0"/>
    <x v="3"/>
    <x v="12"/>
    <s v="SE2_OTHER"/>
    <x v="2"/>
    <x v="2"/>
    <s v="GBPR_MUNIWASTE_24"/>
    <n v="2.5061098054512398E-2"/>
    <n v="9.0219952996244607E-2"/>
  </r>
  <r>
    <x v="0"/>
    <x v="0"/>
    <x v="0"/>
    <x v="3"/>
    <x v="12"/>
    <s v="SE2_OTHER"/>
    <x v="13"/>
    <x v="2"/>
    <s v="GBPR_WOODWASTE_36"/>
    <n v="0.31232766625017799"/>
    <n v="1.12437959850064"/>
  </r>
  <r>
    <x v="0"/>
    <x v="0"/>
    <x v="0"/>
    <x v="3"/>
    <x v="13"/>
    <s v="SE3A"/>
    <x v="11"/>
    <x v="7"/>
    <s v="GCND_NUCLEAR"/>
    <n v="61.241716002154199"/>
    <n v="220.47017760775501"/>
  </r>
  <r>
    <x v="0"/>
    <x v="0"/>
    <x v="0"/>
    <x v="3"/>
    <x v="13"/>
    <s v="SE3A"/>
    <x v="5"/>
    <x v="4"/>
    <s v="GHYRR_WATER"/>
    <n v="2.48832245171281"/>
    <n v="8.9579608261661292"/>
  </r>
  <r>
    <x v="0"/>
    <x v="0"/>
    <x v="0"/>
    <x v="3"/>
    <x v="13"/>
    <s v="SE3A"/>
    <x v="5"/>
    <x v="8"/>
    <s v="GHYRS_WATER"/>
    <n v="9.7789683257918494"/>
    <n v="35.204285972850599"/>
  </r>
  <r>
    <x v="0"/>
    <x v="0"/>
    <x v="0"/>
    <x v="3"/>
    <x v="13"/>
    <s v="SE3A"/>
    <x v="6"/>
    <x v="5"/>
    <s v="GNR_WT_WIND_ONS"/>
    <n v="4.6407759999999998"/>
    <n v="16.706793600000001"/>
  </r>
  <r>
    <x v="0"/>
    <x v="0"/>
    <x v="0"/>
    <x v="3"/>
    <x v="13"/>
    <s v="SE3_EL"/>
    <x v="0"/>
    <x v="0"/>
    <s v="GEXT_COAL_LINK"/>
    <n v="5.8920473204985897E-2"/>
    <n v="0.21211370353794901"/>
  </r>
  <r>
    <x v="0"/>
    <x v="0"/>
    <x v="0"/>
    <x v="3"/>
    <x v="13"/>
    <s v="SE3_EL"/>
    <x v="1"/>
    <x v="1"/>
    <s v="GETOH_ELECTRICBOILER"/>
    <n v="-2.3281785814390402E-2"/>
    <n v="-8.3814428931805504E-2"/>
  </r>
  <r>
    <x v="0"/>
    <x v="0"/>
    <x v="0"/>
    <x v="3"/>
    <x v="13"/>
    <s v="SE3_EL"/>
    <x v="1"/>
    <x v="1"/>
    <s v="GETOH_HEATPUMP33"/>
    <n v="-0.143982545454546"/>
    <n v="-0.51833716363636395"/>
  </r>
  <r>
    <x v="0"/>
    <x v="0"/>
    <x v="0"/>
    <x v="3"/>
    <x v="13"/>
    <s v="SE3_EL"/>
    <x v="2"/>
    <x v="2"/>
    <s v="GBPR_MUNIWASTE_24"/>
    <n v="0.36625048615033901"/>
    <n v="1.31850175014122"/>
  </r>
  <r>
    <x v="0"/>
    <x v="0"/>
    <x v="0"/>
    <x v="3"/>
    <x v="13"/>
    <s v="SE3_EL"/>
    <x v="2"/>
    <x v="2"/>
    <s v="GBPR_MUNIWASTE_LINK"/>
    <n v="0.22378776758789801"/>
    <n v="0.80563596331643295"/>
  </r>
  <r>
    <x v="0"/>
    <x v="0"/>
    <x v="0"/>
    <x v="3"/>
    <x v="13"/>
    <s v="SE3_EL"/>
    <x v="12"/>
    <x v="0"/>
    <s v="GEXT_PEAT"/>
    <n v="0.293868519281683"/>
    <n v="1.0579266694140601"/>
  </r>
  <r>
    <x v="0"/>
    <x v="0"/>
    <x v="0"/>
    <x v="3"/>
    <x v="13"/>
    <s v="SE3_EL"/>
    <x v="12"/>
    <x v="2"/>
    <s v="GBPR_PEAT_38"/>
    <n v="8.4948640098824899E-2"/>
    <n v="0.30581510435576997"/>
  </r>
  <r>
    <x v="0"/>
    <x v="0"/>
    <x v="0"/>
    <x v="3"/>
    <x v="13"/>
    <s v="SE3_EL"/>
    <x v="14"/>
    <x v="2"/>
    <s v="GBPR_RECYCLEDWOOD_SE3EL"/>
    <n v="0.25295669513784103"/>
    <n v="0.91064410249622696"/>
  </r>
  <r>
    <x v="0"/>
    <x v="0"/>
    <x v="0"/>
    <x v="3"/>
    <x v="13"/>
    <s v="SE3_EL"/>
    <x v="13"/>
    <x v="2"/>
    <s v="GBPR_WOODWASTE_25"/>
    <n v="0.38762438500875701"/>
    <n v="1.39544778603152"/>
  </r>
  <r>
    <x v="0"/>
    <x v="0"/>
    <x v="0"/>
    <x v="3"/>
    <x v="13"/>
    <s v="SE3_EL"/>
    <x v="13"/>
    <x v="2"/>
    <s v="GBPR_WOODWASTE_ABY"/>
    <n v="0.73061897863397496"/>
    <n v="2.63022832308231"/>
  </r>
  <r>
    <x v="0"/>
    <x v="0"/>
    <x v="0"/>
    <x v="3"/>
    <x v="13"/>
    <s v="SE3_GOT"/>
    <x v="1"/>
    <x v="1"/>
    <s v="GETOH_HEATPUMP33"/>
    <n v="-0.28693058961500401"/>
    <n v="-1.0329501226140101"/>
  </r>
  <r>
    <x v="0"/>
    <x v="0"/>
    <x v="0"/>
    <x v="3"/>
    <x v="13"/>
    <s v="SE3_GOT"/>
    <x v="2"/>
    <x v="2"/>
    <s v="GBPR_MUNIWASTE_24"/>
    <n v="0.35565600000000003"/>
    <n v="1.2803616"/>
  </r>
  <r>
    <x v="0"/>
    <x v="0"/>
    <x v="0"/>
    <x v="3"/>
    <x v="13"/>
    <s v="SE3_GOT"/>
    <x v="13"/>
    <x v="2"/>
    <s v="GBPR_WOODWASTE_GOT"/>
    <n v="7.7003621716287302E-2"/>
    <n v="0.27721303817863402"/>
  </r>
  <r>
    <x v="0"/>
    <x v="0"/>
    <x v="0"/>
    <x v="3"/>
    <x v="13"/>
    <s v="SE3_HP"/>
    <x v="1"/>
    <x v="1"/>
    <s v="GETOH_HEATPUMP2"/>
    <n v="-0.15866686073494199"/>
    <n v="-0.57120069864579304"/>
  </r>
  <r>
    <x v="0"/>
    <x v="0"/>
    <x v="0"/>
    <x v="3"/>
    <x v="13"/>
    <s v="SE3_HP"/>
    <x v="2"/>
    <x v="2"/>
    <s v="GBPR_MUNIWASTE_24"/>
    <n v="0.26282164962476101"/>
    <n v="0.946157938649138"/>
  </r>
  <r>
    <x v="0"/>
    <x v="0"/>
    <x v="0"/>
    <x v="3"/>
    <x v="13"/>
    <s v="SE3_HP"/>
    <x v="13"/>
    <x v="0"/>
    <s v="GEXT_WOODWASTE"/>
    <n v="0.63439291033685496"/>
    <n v="2.28381447721268"/>
  </r>
  <r>
    <x v="0"/>
    <x v="0"/>
    <x v="0"/>
    <x v="3"/>
    <x v="13"/>
    <s v="SE3_HP"/>
    <x v="13"/>
    <x v="2"/>
    <s v="GBPR_WOODWASTE_36"/>
    <n v="0.177700665499124"/>
    <n v="0.63972239579684798"/>
  </r>
  <r>
    <x v="0"/>
    <x v="0"/>
    <x v="0"/>
    <x v="3"/>
    <x v="13"/>
    <s v="SE3_OTHER"/>
    <x v="0"/>
    <x v="2"/>
    <s v="GBPR_COAL_SE3"/>
    <n v="0.11785743675549699"/>
    <n v="0.42428677231979001"/>
  </r>
  <r>
    <x v="0"/>
    <x v="0"/>
    <x v="0"/>
    <x v="3"/>
    <x v="13"/>
    <s v="SE3_OTHER"/>
    <x v="2"/>
    <x v="2"/>
    <s v="GBPR_MUNIWASTE_24"/>
    <n v="0.22913416851548801"/>
    <n v="0.82488300665575698"/>
  </r>
  <r>
    <x v="0"/>
    <x v="0"/>
    <x v="0"/>
    <x v="3"/>
    <x v="13"/>
    <s v="SE3_OTHER"/>
    <x v="14"/>
    <x v="2"/>
    <s v="GBPR_RECYCLEDWOOD_SE3OTHER"/>
    <n v="0.112969399228558"/>
    <n v="0.40668983722280899"/>
  </r>
  <r>
    <x v="0"/>
    <x v="0"/>
    <x v="0"/>
    <x v="3"/>
    <x v="13"/>
    <s v="SE3_OTHER"/>
    <x v="13"/>
    <x v="2"/>
    <s v="GBPR_WOODWASTE_25"/>
    <n v="1.07050968011979"/>
    <n v="3.8538348484312501"/>
  </r>
  <r>
    <x v="0"/>
    <x v="0"/>
    <x v="0"/>
    <x v="3"/>
    <x v="13"/>
    <s v="SE3_STO"/>
    <x v="0"/>
    <x v="2"/>
    <s v="GBPR_COAL_VARTAN"/>
    <n v="0.36906246310389301"/>
    <n v="1.32862486717402"/>
  </r>
  <r>
    <x v="0"/>
    <x v="0"/>
    <x v="0"/>
    <x v="3"/>
    <x v="13"/>
    <s v="SE3_STO"/>
    <x v="1"/>
    <x v="1"/>
    <s v="GETOH_ELECTRICBOILER"/>
    <n v="-0.20244226276247199"/>
    <n v="-0.72879214594490005"/>
  </r>
  <r>
    <x v="0"/>
    <x v="0"/>
    <x v="0"/>
    <x v="3"/>
    <x v="13"/>
    <s v="SE3_STO"/>
    <x v="1"/>
    <x v="1"/>
    <s v="GETOH_HEATPUMP33"/>
    <n v="-0.78979628872202101"/>
    <n v="-2.84326663939928"/>
  </r>
  <r>
    <x v="0"/>
    <x v="0"/>
    <x v="0"/>
    <x v="3"/>
    <x v="13"/>
    <s v="SE3_STO"/>
    <x v="2"/>
    <x v="2"/>
    <s v="GBPR_MUNIWASTE_HOGDALEN"/>
    <n v="0.39769095540388"/>
    <n v="1.43168743945397"/>
  </r>
  <r>
    <x v="0"/>
    <x v="0"/>
    <x v="0"/>
    <x v="3"/>
    <x v="13"/>
    <s v="SE3_STO"/>
    <x v="13"/>
    <x v="2"/>
    <s v="GBPR_WOODWASTE"/>
    <n v="0.69303259544658502"/>
    <n v="2.4949173436077099"/>
  </r>
  <r>
    <x v="0"/>
    <x v="0"/>
    <x v="0"/>
    <x v="3"/>
    <x v="13"/>
    <s v="SE3_STO"/>
    <x v="13"/>
    <x v="2"/>
    <s v="GBPR_WOODWASTE_BRISTA"/>
    <n v="0.28949053870402802"/>
    <n v="1.0421659393345"/>
  </r>
  <r>
    <x v="0"/>
    <x v="0"/>
    <x v="0"/>
    <x v="3"/>
    <x v="14"/>
    <s v="SE4A"/>
    <x v="5"/>
    <x v="4"/>
    <s v="GHYRR_WATER"/>
    <n v="0.71089608721217201"/>
    <n v="2.5592259139638198"/>
  </r>
  <r>
    <x v="0"/>
    <x v="0"/>
    <x v="0"/>
    <x v="3"/>
    <x v="14"/>
    <s v="SE4A"/>
    <x v="5"/>
    <x v="8"/>
    <s v="GHYRS_WATER"/>
    <n v="1.65901900452489"/>
    <n v="5.9724684162895896"/>
  </r>
  <r>
    <x v="0"/>
    <x v="0"/>
    <x v="0"/>
    <x v="3"/>
    <x v="14"/>
    <s v="SE4A"/>
    <x v="6"/>
    <x v="5"/>
    <s v="GNR_WT_WIND_ONS"/>
    <n v="2.8917470000000001"/>
    <n v="10.410289199999999"/>
  </r>
  <r>
    <x v="0"/>
    <x v="0"/>
    <x v="0"/>
    <x v="3"/>
    <x v="14"/>
    <s v="SE4_EL"/>
    <x v="1"/>
    <x v="1"/>
    <s v="GETOH_ELECTRICBOILER"/>
    <n v="-5.1775524871479697E-4"/>
    <n v="-1.8639188953732701E-3"/>
  </r>
  <r>
    <x v="0"/>
    <x v="0"/>
    <x v="0"/>
    <x v="3"/>
    <x v="14"/>
    <s v="SE4_EL"/>
    <x v="1"/>
    <x v="1"/>
    <s v="GETOH_HEATPUMP1"/>
    <n v="-0.124295464705866"/>
    <n v="-0.447463672941118"/>
  </r>
  <r>
    <x v="0"/>
    <x v="0"/>
    <x v="0"/>
    <x v="3"/>
    <x v="14"/>
    <s v="SE4_EL"/>
    <x v="14"/>
    <x v="2"/>
    <s v="GBPR_RECYCLEDWOOD"/>
    <n v="0.118906007702115"/>
    <n v="0.42806162772761602"/>
  </r>
  <r>
    <x v="0"/>
    <x v="0"/>
    <x v="0"/>
    <x v="3"/>
    <x v="14"/>
    <s v="SE4_EL"/>
    <x v="14"/>
    <x v="2"/>
    <s v="GBPR_RECYCLEDWOOD_SE4EL"/>
    <n v="3.2048122922135398E-3"/>
    <n v="1.15373242519688E-2"/>
  </r>
  <r>
    <x v="0"/>
    <x v="0"/>
    <x v="0"/>
    <x v="3"/>
    <x v="14"/>
    <s v="SE4_HP"/>
    <x v="1"/>
    <x v="1"/>
    <s v="GETOH_HEATPUMP1"/>
    <n v="-7.1323354838709704E-2"/>
    <n v="-0.25676407741935497"/>
  </r>
  <r>
    <x v="0"/>
    <x v="0"/>
    <x v="0"/>
    <x v="3"/>
    <x v="14"/>
    <s v="SE4_HP"/>
    <x v="2"/>
    <x v="2"/>
    <s v="GBPR_MUNIWASTE_65"/>
    <n v="0.15767999999999999"/>
    <n v="0.56764800000000004"/>
  </r>
  <r>
    <x v="0"/>
    <x v="0"/>
    <x v="0"/>
    <x v="3"/>
    <x v="14"/>
    <s v="SE4_MAL"/>
    <x v="1"/>
    <x v="1"/>
    <s v="GETOH_HEATPUMP33"/>
    <n v="-2.9199999999999999E-3"/>
    <n v="-1.0512000000000001E-2"/>
  </r>
  <r>
    <x v="0"/>
    <x v="0"/>
    <x v="0"/>
    <x v="3"/>
    <x v="14"/>
    <s v="SE4_MAL"/>
    <x v="2"/>
    <x v="2"/>
    <s v="GBPR_MUNIWASTE_24"/>
    <n v="0.20071683998297399"/>
    <n v="0.72258062393870703"/>
  </r>
  <r>
    <x v="0"/>
    <x v="0"/>
    <x v="0"/>
    <x v="3"/>
    <x v="14"/>
    <s v="SE4_MAL"/>
    <x v="8"/>
    <x v="2"/>
    <s v="GBPR_NATGAS_MAL"/>
    <n v="9.4736639378685303E-2"/>
    <n v="0.341051901763267"/>
  </r>
  <r>
    <x v="0"/>
    <x v="0"/>
    <x v="0"/>
    <x v="3"/>
    <x v="14"/>
    <s v="SE4_OTHER"/>
    <x v="2"/>
    <x v="2"/>
    <s v="GBPR_MUNIWASTE_19"/>
    <n v="9.14424519026414E-2"/>
    <n v="0.32919282684950901"/>
  </r>
  <r>
    <x v="0"/>
    <x v="0"/>
    <x v="0"/>
    <x v="3"/>
    <x v="14"/>
    <s v="SE4_OTHER"/>
    <x v="3"/>
    <x v="2"/>
    <s v="GBPR_WOODCHIPS_25"/>
    <n v="9.857911244146231E-4"/>
    <n v="3.5488480478926398E-3"/>
  </r>
  <r>
    <x v="0"/>
    <x v="0"/>
    <x v="0"/>
    <x v="3"/>
    <x v="14"/>
    <s v="SE4_OTHER"/>
    <x v="13"/>
    <x v="2"/>
    <s v="GBPR_WOODWASTE_36"/>
    <n v="0.50135281092819595"/>
    <n v="1.80487011934151"/>
  </r>
  <r>
    <x v="0"/>
    <x v="0"/>
    <x v="1"/>
    <x v="0"/>
    <x v="0"/>
    <s v="DK1_Large"/>
    <x v="1"/>
    <x v="1"/>
    <s v="GNR_BO_ELEC_E-100"/>
    <n v="-0.16875169232850801"/>
    <n v="-0.60750609238262798"/>
  </r>
  <r>
    <x v="0"/>
    <x v="0"/>
    <x v="1"/>
    <x v="0"/>
    <x v="0"/>
    <s v="DK1_Large"/>
    <x v="1"/>
    <x v="1"/>
    <s v="GNR_BO_ELEC_E-99_LS-10-MW-FEED_Y-2030"/>
    <n v="-0.12948458670045099"/>
    <n v="-0.466144512121622"/>
  </r>
  <r>
    <x v="0"/>
    <x v="0"/>
    <x v="1"/>
    <x v="0"/>
    <x v="0"/>
    <s v="DK1_Large"/>
    <x v="1"/>
    <x v="1"/>
    <s v="GNR_HP_ELEC_COP-1200_Y-2030"/>
    <n v="-0.69801601214878495"/>
    <n v="-2.5128576437356198"/>
  </r>
  <r>
    <x v="0"/>
    <x v="0"/>
    <x v="1"/>
    <x v="0"/>
    <x v="0"/>
    <s v="DK1_Large"/>
    <x v="2"/>
    <x v="2"/>
    <s v="GNR_ST_MSW_BP_E-27"/>
    <n v="1.96005E-2"/>
    <n v="7.0561799999999994E-2"/>
  </r>
  <r>
    <x v="0"/>
    <x v="0"/>
    <x v="1"/>
    <x v="0"/>
    <x v="0"/>
    <s v="DK1_Large"/>
    <x v="3"/>
    <x v="2"/>
    <s v="GNR_ST_WOODCHI_BP_E-23"/>
    <n v="1.2422718835555799E-3"/>
    <n v="4.4721787808000802E-3"/>
  </r>
  <r>
    <x v="0"/>
    <x v="0"/>
    <x v="1"/>
    <x v="0"/>
    <x v="0"/>
    <s v="DK1_MedSmall"/>
    <x v="1"/>
    <x v="1"/>
    <s v="GNR_BO_ELEC_E-100"/>
    <n v="-1.74292234572248E-3"/>
    <n v="-6.2745204446009104E-3"/>
  </r>
  <r>
    <x v="0"/>
    <x v="0"/>
    <x v="1"/>
    <x v="0"/>
    <x v="0"/>
    <s v="DK1_MedSmall"/>
    <x v="1"/>
    <x v="1"/>
    <s v="GNR_HP_ELEC_COP-1200_Y-2030"/>
    <n v="-0.151054981642609"/>
    <n v="-0.54379793391339304"/>
  </r>
  <r>
    <x v="0"/>
    <x v="0"/>
    <x v="1"/>
    <x v="0"/>
    <x v="0"/>
    <s v="DK1_Medium"/>
    <x v="1"/>
    <x v="1"/>
    <s v="GNR_BO_ELEC_E-100"/>
    <n v="-1.8096528290499399E-2"/>
    <n v="-6.5147501845797706E-2"/>
  </r>
  <r>
    <x v="0"/>
    <x v="0"/>
    <x v="1"/>
    <x v="0"/>
    <x v="0"/>
    <s v="DK1_Medium"/>
    <x v="1"/>
    <x v="1"/>
    <s v="GNR_HP_ELEC_COP-1200_Y-2030"/>
    <n v="-0.32254460571007099"/>
    <n v="-1.1611605805562499"/>
  </r>
  <r>
    <x v="0"/>
    <x v="0"/>
    <x v="1"/>
    <x v="0"/>
    <x v="0"/>
    <s v="DK1_NoDH"/>
    <x v="4"/>
    <x v="3"/>
    <s v="GNR_PV_SUN"/>
    <n v="0.56969215361430103"/>
    <n v="2.0508917530114799"/>
  </r>
  <r>
    <x v="0"/>
    <x v="0"/>
    <x v="1"/>
    <x v="0"/>
    <x v="0"/>
    <s v="DK1_NoDH"/>
    <x v="5"/>
    <x v="4"/>
    <s v="GNR_ROR_WTR"/>
    <n v="4.8198606407017599E-5"/>
    <n v="1.73514983065263E-4"/>
  </r>
  <r>
    <x v="0"/>
    <x v="0"/>
    <x v="1"/>
    <x v="0"/>
    <x v="0"/>
    <s v="DK1_NoDH"/>
    <x v="6"/>
    <x v="5"/>
    <s v="GNR_WT_WIND_ONS"/>
    <n v="4.7053835079999997"/>
    <n v="16.939380628799999"/>
  </r>
  <r>
    <x v="0"/>
    <x v="0"/>
    <x v="1"/>
    <x v="0"/>
    <x v="0"/>
    <s v="DK1_Offshore"/>
    <x v="6"/>
    <x v="5"/>
    <s v="GNR_WT_WIND_OFF"/>
    <n v="6.2251573999999996"/>
    <n v="22.410566639999999"/>
  </r>
  <r>
    <x v="0"/>
    <x v="0"/>
    <x v="1"/>
    <x v="0"/>
    <x v="0"/>
    <s v="DK1_Rural"/>
    <x v="1"/>
    <x v="1"/>
    <s v="GNR_BO_ELEC_E-100"/>
    <n v="-2.4408128652617898E-2"/>
    <n v="-8.7869263149424406E-2"/>
  </r>
  <r>
    <x v="0"/>
    <x v="0"/>
    <x v="1"/>
    <x v="0"/>
    <x v="0"/>
    <s v="DK1_Rural"/>
    <x v="1"/>
    <x v="1"/>
    <s v="GNR_HP_ELEC_COP-1200_Y-2030"/>
    <n v="-0.40986941220777001"/>
    <n v="-1.47552988394797"/>
  </r>
  <r>
    <x v="0"/>
    <x v="0"/>
    <x v="1"/>
    <x v="0"/>
    <x v="0"/>
    <s v="DK1_Rural"/>
    <x v="1"/>
    <x v="1"/>
    <s v="GNR_HP_ELEC_COP-300"/>
    <n v="-2.0075000000000002E-3"/>
    <n v="-7.2269999999999999E-3"/>
  </r>
  <r>
    <x v="0"/>
    <x v="0"/>
    <x v="1"/>
    <x v="0"/>
    <x v="0"/>
    <s v="DK1_Rural"/>
    <x v="1"/>
    <x v="1"/>
    <s v="GNR_HP_ELEC_COP-350"/>
    <n v="-2.8175486354459398E-3"/>
    <n v="-1.0143175087605399E-2"/>
  </r>
  <r>
    <x v="0"/>
    <x v="0"/>
    <x v="1"/>
    <x v="0"/>
    <x v="0"/>
    <s v="DK1_Rural"/>
    <x v="1"/>
    <x v="1"/>
    <s v="GNR_HP_ELEC_COP-400"/>
    <n v="-2.4294400000000002E-3"/>
    <n v="-8.745984E-3"/>
  </r>
  <r>
    <x v="0"/>
    <x v="0"/>
    <x v="1"/>
    <x v="0"/>
    <x v="0"/>
    <s v="DK1_Rural"/>
    <x v="1"/>
    <x v="1"/>
    <s v="GNR_HP_ELEC_COP-430"/>
    <n v="-1.5448837209302299E-3"/>
    <n v="-5.5615813953488399E-3"/>
  </r>
  <r>
    <x v="0"/>
    <x v="0"/>
    <x v="1"/>
    <x v="0"/>
    <x v="0"/>
    <s v="DK1_Rural"/>
    <x v="1"/>
    <x v="1"/>
    <s v="GNR_HP_ELEC_COP-450"/>
    <n v="-6.1320000000000005E-4"/>
    <n v="-2.2075200000000001E-3"/>
  </r>
  <r>
    <x v="0"/>
    <x v="0"/>
    <x v="1"/>
    <x v="0"/>
    <x v="0"/>
    <s v="DK1_Rural"/>
    <x v="1"/>
    <x v="1"/>
    <s v="GNR_HP_ELEC_COP-460"/>
    <n v="-3.9991304347826101E-3"/>
    <n v="-1.43968695652174E-2"/>
  </r>
  <r>
    <x v="0"/>
    <x v="0"/>
    <x v="1"/>
    <x v="0"/>
    <x v="0"/>
    <s v="DK1_Rural"/>
    <x v="1"/>
    <x v="1"/>
    <s v="GNR_HP_ELEC_COP-470"/>
    <n v="-1.03287234042553E-3"/>
    <n v="-3.7183404255319201E-3"/>
  </r>
  <r>
    <x v="0"/>
    <x v="0"/>
    <x v="1"/>
    <x v="0"/>
    <x v="0"/>
    <s v="DK1_Rural"/>
    <x v="1"/>
    <x v="1"/>
    <s v="GNR_HP_ELEC_COP-500"/>
    <n v="-5.1099999999999995E-4"/>
    <n v="-1.8396E-3"/>
  </r>
  <r>
    <x v="0"/>
    <x v="0"/>
    <x v="1"/>
    <x v="0"/>
    <x v="0"/>
    <s v="DK1_Rural"/>
    <x v="1"/>
    <x v="1"/>
    <s v="GNR_HP_ELEC_COP-530"/>
    <n v="-1.30160377358491E-3"/>
    <n v="-4.6857735849056602E-3"/>
  </r>
  <r>
    <x v="0"/>
    <x v="0"/>
    <x v="1"/>
    <x v="0"/>
    <x v="0"/>
    <s v="DK1_Rural"/>
    <x v="1"/>
    <x v="1"/>
    <s v="GNR_HP_ELEC_COP-600"/>
    <n v="-2.5549999999999998E-4"/>
    <n v="-9.1980000000000002E-4"/>
  </r>
  <r>
    <x v="0"/>
    <x v="0"/>
    <x v="1"/>
    <x v="0"/>
    <x v="0"/>
    <s v="DK1_Small"/>
    <x v="1"/>
    <x v="1"/>
    <s v="GNR_HP_ELEC_COP-1200_Y-2030"/>
    <n v="-3.7770722253767902E-2"/>
    <n v="-0.13597460011356399"/>
  </r>
  <r>
    <x v="0"/>
    <x v="0"/>
    <x v="1"/>
    <x v="0"/>
    <x v="0"/>
    <s v="DK2_Rural"/>
    <x v="1"/>
    <x v="1"/>
    <s v="GNR_BO_ELEC_E-100"/>
    <n v="-4.6672089724890502E-3"/>
    <n v="-1.6801952300960599E-2"/>
  </r>
  <r>
    <x v="0"/>
    <x v="0"/>
    <x v="1"/>
    <x v="0"/>
    <x v="0"/>
    <s v="DK2_Rural"/>
    <x v="1"/>
    <x v="1"/>
    <s v="GNR_HP_ELEC_COP-1200_Y-2030"/>
    <n v="-0.15208975509648101"/>
    <n v="-0.54752311834733203"/>
  </r>
  <r>
    <x v="0"/>
    <x v="0"/>
    <x v="1"/>
    <x v="0"/>
    <x v="0"/>
    <s v="DK2_Rural"/>
    <x v="1"/>
    <x v="1"/>
    <s v="GNR_HP_ELEC_COP-400"/>
    <n v="-7.0562674143740799E-4"/>
    <n v="-2.5402562691746698E-3"/>
  </r>
  <r>
    <x v="0"/>
    <x v="0"/>
    <x v="1"/>
    <x v="0"/>
    <x v="1"/>
    <s v="DK2_Large"/>
    <x v="1"/>
    <x v="1"/>
    <s v="GNR_BO_ELEC_E-100"/>
    <n v="-3.2849999999999997E-2"/>
    <n v="-0.11826"/>
  </r>
  <r>
    <x v="0"/>
    <x v="0"/>
    <x v="1"/>
    <x v="0"/>
    <x v="1"/>
    <s v="DK2_Large"/>
    <x v="1"/>
    <x v="1"/>
    <s v="GNR_BO_ELEC_E-99_LS-10-MW-FEED_Y-2030"/>
    <n v="-0.26839974185753401"/>
    <n v="-0.966239070687122"/>
  </r>
  <r>
    <x v="0"/>
    <x v="0"/>
    <x v="1"/>
    <x v="0"/>
    <x v="1"/>
    <s v="DK2_Large"/>
    <x v="1"/>
    <x v="1"/>
    <s v="GNR_HP_ELEC_COP-1200_Y-2030"/>
    <n v="-0.667140420651955"/>
    <n v="-2.4017055143470398"/>
  </r>
  <r>
    <x v="0"/>
    <x v="0"/>
    <x v="1"/>
    <x v="0"/>
    <x v="1"/>
    <s v="DK2_Large"/>
    <x v="1"/>
    <x v="1"/>
    <s v="GNR_HP_ELEC_COP-300"/>
    <n v="-4.9640000000000003E-4"/>
    <n v="-1.7870399999999999E-3"/>
  </r>
  <r>
    <x v="0"/>
    <x v="0"/>
    <x v="1"/>
    <x v="0"/>
    <x v="1"/>
    <s v="DK2_Large"/>
    <x v="2"/>
    <x v="2"/>
    <s v="GNR_ST_MSW_BP_E-27"/>
    <n v="2.1105427294338602E-2"/>
    <n v="7.5979538259618895E-2"/>
  </r>
  <r>
    <x v="0"/>
    <x v="0"/>
    <x v="1"/>
    <x v="0"/>
    <x v="1"/>
    <s v="DK2_MedSmall"/>
    <x v="1"/>
    <x v="1"/>
    <s v="GNR_BO_ELEC_E-99_SS-1-MW-FEED_Y-2030"/>
    <n v="-2.9382792111630799E-3"/>
    <n v="-1.0577805160187101E-2"/>
  </r>
  <r>
    <x v="0"/>
    <x v="0"/>
    <x v="1"/>
    <x v="0"/>
    <x v="1"/>
    <s v="DK2_MedSmall"/>
    <x v="1"/>
    <x v="1"/>
    <s v="GNR_HP_ELEC_COP-1200_Y-2030"/>
    <n v="-5.3761015763047197E-2"/>
    <n v="-0.19353965674696999"/>
  </r>
  <r>
    <x v="0"/>
    <x v="0"/>
    <x v="1"/>
    <x v="0"/>
    <x v="1"/>
    <s v="DK2_Medium"/>
    <x v="1"/>
    <x v="1"/>
    <s v="GNR_BO_ELEC_E-99_LS-10-MW-FEED_Y-2030"/>
    <n v="-5.8165916733258103E-3"/>
    <n v="-2.09397300239729E-2"/>
  </r>
  <r>
    <x v="0"/>
    <x v="0"/>
    <x v="1"/>
    <x v="0"/>
    <x v="1"/>
    <s v="DK2_Medium"/>
    <x v="1"/>
    <x v="1"/>
    <s v="GNR_HP_ELEC_COP-1200_Y-2030"/>
    <n v="-0.13600887936798201"/>
    <n v="-0.489631965724736"/>
  </r>
  <r>
    <x v="0"/>
    <x v="0"/>
    <x v="1"/>
    <x v="0"/>
    <x v="1"/>
    <s v="DK2_NoDH"/>
    <x v="4"/>
    <x v="3"/>
    <s v="GNR_PV_SUN"/>
    <n v="0.29045654620983502"/>
    <n v="1.0456435663554"/>
  </r>
  <r>
    <x v="0"/>
    <x v="0"/>
    <x v="1"/>
    <x v="0"/>
    <x v="1"/>
    <s v="DK2_NoDH"/>
    <x v="5"/>
    <x v="4"/>
    <s v="GNR_ROR_WTR"/>
    <n v="7.2297909610526402E-5"/>
    <n v="2.6027247459789498E-4"/>
  </r>
  <r>
    <x v="0"/>
    <x v="0"/>
    <x v="1"/>
    <x v="0"/>
    <x v="1"/>
    <s v="DK2_NoDH"/>
    <x v="6"/>
    <x v="5"/>
    <s v="GNR_WT_WIND_ONS"/>
    <n v="0.83062384899999697"/>
    <n v="2.9902458563999899"/>
  </r>
  <r>
    <x v="0"/>
    <x v="0"/>
    <x v="1"/>
    <x v="0"/>
    <x v="1"/>
    <s v="DK2_Offshore"/>
    <x v="6"/>
    <x v="5"/>
    <s v="GNR_WT_WIND_OFF"/>
    <n v="3.6739440000000001"/>
    <n v="13.226198399999999"/>
  </r>
  <r>
    <x v="0"/>
    <x v="0"/>
    <x v="1"/>
    <x v="0"/>
    <x v="1"/>
    <s v="DK2_Rural"/>
    <x v="1"/>
    <x v="1"/>
    <s v="GNR_BO_ELEC_E-100"/>
    <n v="-4.6672089724890502E-3"/>
    <n v="-1.6801952300960599E-2"/>
  </r>
  <r>
    <x v="0"/>
    <x v="0"/>
    <x v="1"/>
    <x v="0"/>
    <x v="1"/>
    <s v="DK2_Rural"/>
    <x v="1"/>
    <x v="1"/>
    <s v="GNR_HP_ELEC_COP-1200_Y-2030"/>
    <n v="-0.15208975509648101"/>
    <n v="-0.54752311834733203"/>
  </r>
  <r>
    <x v="0"/>
    <x v="0"/>
    <x v="1"/>
    <x v="0"/>
    <x v="1"/>
    <s v="DK2_Rural"/>
    <x v="1"/>
    <x v="1"/>
    <s v="GNR_HP_ELEC_COP-400"/>
    <n v="-7.0562674143740799E-4"/>
    <n v="-2.5402562691746698E-3"/>
  </r>
  <r>
    <x v="0"/>
    <x v="0"/>
    <x v="1"/>
    <x v="0"/>
    <x v="1"/>
    <s v="DK2_Small"/>
    <x v="1"/>
    <x v="1"/>
    <s v="GNR_BO_ELEC_E-99_SS-1-MW-FEED_Y-2030"/>
    <n v="-5.8776298416442804E-4"/>
    <n v="-2.1159467429919402E-3"/>
  </r>
  <r>
    <x v="0"/>
    <x v="0"/>
    <x v="1"/>
    <x v="0"/>
    <x v="1"/>
    <s v="DK2_Small"/>
    <x v="1"/>
    <x v="1"/>
    <s v="GNR_HP_ELEC_COP-1200_Y-2030"/>
    <n v="-1.2872423548592599E-2"/>
    <n v="-4.6340724774933402E-2"/>
  </r>
  <r>
    <x v="0"/>
    <x v="0"/>
    <x v="1"/>
    <x v="1"/>
    <x v="2"/>
    <s v="DE4-E_A"/>
    <x v="1"/>
    <x v="6"/>
    <s v="AGG-DE4-E_RES_WTR_PMP"/>
    <n v="-169.2432"/>
    <n v="-609.27552000000003"/>
  </r>
  <r>
    <x v="0"/>
    <x v="0"/>
    <x v="1"/>
    <x v="1"/>
    <x v="2"/>
    <s v="DE4-E_A"/>
    <x v="2"/>
    <x v="7"/>
    <s v="GNR_ST_MSW_CND_E-33"/>
    <n v="0.54837599999999997"/>
    <n v="1.9741536"/>
  </r>
  <r>
    <x v="0"/>
    <x v="0"/>
    <x v="1"/>
    <x v="1"/>
    <x v="2"/>
    <s v="DE4-E_A"/>
    <x v="4"/>
    <x v="3"/>
    <s v="GNR_PV_SUN"/>
    <n v="11.7822576427959"/>
    <n v="42.416127514065202"/>
  </r>
  <r>
    <x v="0"/>
    <x v="0"/>
    <x v="1"/>
    <x v="1"/>
    <x v="2"/>
    <s v="DE4-E_A"/>
    <x v="5"/>
    <x v="4"/>
    <s v="GNR_ROR_WTR"/>
    <n v="2.6530440910678799"/>
    <n v="9.5509587278443497"/>
  </r>
  <r>
    <x v="0"/>
    <x v="0"/>
    <x v="1"/>
    <x v="1"/>
    <x v="2"/>
    <s v="DE4-E_A"/>
    <x v="6"/>
    <x v="5"/>
    <s v="GNR_WT_WIND_ONS"/>
    <n v="29.319812710000001"/>
    <n v="105.551325756"/>
  </r>
  <r>
    <x v="0"/>
    <x v="0"/>
    <x v="1"/>
    <x v="1"/>
    <x v="2"/>
    <s v="DE4-E_Offshore_A"/>
    <x v="6"/>
    <x v="5"/>
    <s v="GNR_WT_WIND_OFF"/>
    <n v="9.1379940000000008"/>
    <n v="32.896778400000002"/>
  </r>
  <r>
    <x v="0"/>
    <x v="0"/>
    <x v="1"/>
    <x v="1"/>
    <x v="3"/>
    <s v="DE4-N_A"/>
    <x v="1"/>
    <x v="9"/>
    <s v="AGG-DE4-N_ES_ELEC"/>
    <n v="-2.132E-7"/>
    <n v="-7.6751999999999998E-7"/>
  </r>
  <r>
    <x v="0"/>
    <x v="0"/>
    <x v="1"/>
    <x v="1"/>
    <x v="3"/>
    <s v="DE4-N_A"/>
    <x v="1"/>
    <x v="6"/>
    <s v="AGG-DE4-N_RES_WTR_PMP"/>
    <n v="-8.3465279999999993"/>
    <n v="-30.047500800000002"/>
  </r>
  <r>
    <x v="0"/>
    <x v="0"/>
    <x v="1"/>
    <x v="1"/>
    <x v="3"/>
    <s v="DE4-N_A"/>
    <x v="4"/>
    <x v="3"/>
    <s v="GNR_PV_SUN"/>
    <n v="1.6885237400986799"/>
    <n v="6.0786854643552299"/>
  </r>
  <r>
    <x v="0"/>
    <x v="0"/>
    <x v="1"/>
    <x v="1"/>
    <x v="3"/>
    <s v="DE4-N_A"/>
    <x v="10"/>
    <x v="7"/>
    <s v="GNR_GEO_HEAT_EO"/>
    <n v="8.7600000000000002E-5"/>
    <n v="3.1535999999999999E-4"/>
  </r>
  <r>
    <x v="0"/>
    <x v="0"/>
    <x v="1"/>
    <x v="1"/>
    <x v="3"/>
    <s v="DE4-N_A"/>
    <x v="5"/>
    <x v="4"/>
    <s v="GNR_ROR_WTR"/>
    <n v="2.3376999999999998E-2"/>
    <n v="8.4157200000000001E-2"/>
  </r>
  <r>
    <x v="0"/>
    <x v="0"/>
    <x v="1"/>
    <x v="1"/>
    <x v="3"/>
    <s v="DE4-N_A"/>
    <x v="6"/>
    <x v="5"/>
    <s v="GNR_WT_WIND_ONS"/>
    <n v="14.893920420000001"/>
    <n v="53.618113512000001"/>
  </r>
  <r>
    <x v="0"/>
    <x v="0"/>
    <x v="1"/>
    <x v="1"/>
    <x v="3"/>
    <s v="DE4-N_Offshore_A"/>
    <x v="6"/>
    <x v="5"/>
    <s v="GNR_WT_WIND_OFF"/>
    <n v="8.0586000000000002"/>
    <n v="29.010960000000001"/>
  </r>
  <r>
    <x v="0"/>
    <x v="0"/>
    <x v="1"/>
    <x v="1"/>
    <x v="4"/>
    <s v="DE4-S_A"/>
    <x v="1"/>
    <x v="6"/>
    <s v="AGG-DE4-S_RES_WTR_PMP"/>
    <n v="-151.58304000000001"/>
    <n v="-545.69894399999998"/>
  </r>
  <r>
    <x v="0"/>
    <x v="0"/>
    <x v="1"/>
    <x v="1"/>
    <x v="4"/>
    <s v="DE4-S_A"/>
    <x v="2"/>
    <x v="7"/>
    <s v="GNR_ST_MSW_CND_E-33"/>
    <n v="7.6212000000000002E-2"/>
    <n v="0.27436319999999997"/>
  </r>
  <r>
    <x v="0"/>
    <x v="0"/>
    <x v="1"/>
    <x v="1"/>
    <x v="4"/>
    <s v="DE4-S_A"/>
    <x v="4"/>
    <x v="3"/>
    <s v="GNR_PV_SUN"/>
    <n v="22.1711313349394"/>
    <n v="79.816072805781801"/>
  </r>
  <r>
    <x v="0"/>
    <x v="0"/>
    <x v="1"/>
    <x v="1"/>
    <x v="4"/>
    <s v="DE4-S_A"/>
    <x v="4"/>
    <x v="3"/>
    <s v="GNR_PV_SUN_LS-4-MW_Y-2030"/>
    <n v="6.65456572881779"/>
    <n v="23.956436623744001"/>
  </r>
  <r>
    <x v="0"/>
    <x v="0"/>
    <x v="1"/>
    <x v="1"/>
    <x v="4"/>
    <s v="DE4-S_A"/>
    <x v="10"/>
    <x v="7"/>
    <s v="GNR_GEO_HEAT_EO"/>
    <n v="0.39209759999999999"/>
    <n v="1.41155136"/>
  </r>
  <r>
    <x v="0"/>
    <x v="0"/>
    <x v="1"/>
    <x v="1"/>
    <x v="4"/>
    <s v="DE4-S_A"/>
    <x v="5"/>
    <x v="4"/>
    <s v="GNR_ROR_WTR"/>
    <n v="38.207127800000002"/>
    <n v="137.54566008"/>
  </r>
  <r>
    <x v="0"/>
    <x v="0"/>
    <x v="1"/>
    <x v="1"/>
    <x v="4"/>
    <s v="DE4-S_A"/>
    <x v="5"/>
    <x v="8"/>
    <s v="GNR_RES_WTR_NOPMP"/>
    <n v="0.59766271944701799"/>
    <n v="2.1515857900092699"/>
  </r>
  <r>
    <x v="0"/>
    <x v="0"/>
    <x v="1"/>
    <x v="1"/>
    <x v="4"/>
    <s v="DE4-S_A"/>
    <x v="6"/>
    <x v="5"/>
    <s v="GNR_WT_WIND_ONS"/>
    <n v="13.808839559999999"/>
    <n v="49.711822415999997"/>
  </r>
  <r>
    <x v="0"/>
    <x v="0"/>
    <x v="1"/>
    <x v="1"/>
    <x v="5"/>
    <s v="DE4-W_A"/>
    <x v="1"/>
    <x v="6"/>
    <s v="AGG-DE4-W_RES_WTR_PMP"/>
    <n v="-80.311679999999996"/>
    <n v="-289.12204800000001"/>
  </r>
  <r>
    <x v="0"/>
    <x v="0"/>
    <x v="1"/>
    <x v="1"/>
    <x v="5"/>
    <s v="DE4-W_A"/>
    <x v="2"/>
    <x v="7"/>
    <s v="GNR_ST_MSW_CND_E-33"/>
    <n v="0.63597599999999999"/>
    <n v="2.2895135999999998"/>
  </r>
  <r>
    <x v="0"/>
    <x v="0"/>
    <x v="1"/>
    <x v="1"/>
    <x v="5"/>
    <s v="DE4-W_A"/>
    <x v="4"/>
    <x v="3"/>
    <s v="GNR_PV_SUN"/>
    <n v="10.8158285968592"/>
    <n v="38.936982948693"/>
  </r>
  <r>
    <x v="0"/>
    <x v="0"/>
    <x v="1"/>
    <x v="1"/>
    <x v="5"/>
    <s v="DE4-W_A"/>
    <x v="5"/>
    <x v="4"/>
    <s v="GNR_ROR_WTR"/>
    <n v="1.7424299999999999"/>
    <n v="6.272748"/>
  </r>
  <r>
    <x v="0"/>
    <x v="0"/>
    <x v="1"/>
    <x v="1"/>
    <x v="5"/>
    <s v="DE4-W_A"/>
    <x v="6"/>
    <x v="5"/>
    <s v="GNR_WT_WIND_ONS"/>
    <n v="28.58239902"/>
    <n v="102.896636472"/>
  </r>
  <r>
    <x v="0"/>
    <x v="0"/>
    <x v="1"/>
    <x v="1"/>
    <x v="5"/>
    <s v="DE4-W_Offshore_A"/>
    <x v="6"/>
    <x v="5"/>
    <s v="GNR_WT_WIND_OFF"/>
    <n v="24.672747000000001"/>
    <n v="88.821889200000001"/>
  </r>
  <r>
    <x v="0"/>
    <x v="0"/>
    <x v="1"/>
    <x v="2"/>
    <x v="6"/>
    <s v="NO1_A1"/>
    <x v="4"/>
    <x v="3"/>
    <s v="GNR_PV_SUN_LS-4-MW_Y-2020"/>
    <n v="26.068959745430998"/>
    <n v="93.848255083551607"/>
  </r>
  <r>
    <x v="0"/>
    <x v="0"/>
    <x v="1"/>
    <x v="2"/>
    <x v="6"/>
    <s v="NO1_A1"/>
    <x v="5"/>
    <x v="4"/>
    <s v="GHYRR_WATER"/>
    <n v="11.898087646863599"/>
    <n v="42.833115528708902"/>
  </r>
  <r>
    <x v="0"/>
    <x v="0"/>
    <x v="1"/>
    <x v="2"/>
    <x v="6"/>
    <s v="NO1_A1"/>
    <x v="6"/>
    <x v="5"/>
    <s v="GNR_WT_WIND_ONS"/>
    <n v="0.73307599999999995"/>
    <n v="2.6390736000000001"/>
  </r>
  <r>
    <x v="0"/>
    <x v="0"/>
    <x v="1"/>
    <x v="2"/>
    <x v="6"/>
    <s v="NO1_A2"/>
    <x v="1"/>
    <x v="1"/>
    <s v="GETOH_ELECTRICBOILER"/>
    <n v="-2.1603218542184401"/>
    <n v="-7.7771586751863797"/>
  </r>
  <r>
    <x v="0"/>
    <x v="0"/>
    <x v="1"/>
    <x v="2"/>
    <x v="6"/>
    <s v="NO1_A2"/>
    <x v="1"/>
    <x v="1"/>
    <s v="GETOH_HEATPUMP"/>
    <n v="-8.9433306521043601E-2"/>
    <n v="-0.32195990347575698"/>
  </r>
  <r>
    <x v="0"/>
    <x v="0"/>
    <x v="1"/>
    <x v="2"/>
    <x v="6"/>
    <s v="NO1_A2"/>
    <x v="1"/>
    <x v="1"/>
    <s v="GNR_BO_ELEC_E-99_SS-1-MW-FEED_Y-2030"/>
    <n v="-0.17606324956881"/>
    <n v="-0.63382769844771703"/>
  </r>
  <r>
    <x v="0"/>
    <x v="0"/>
    <x v="1"/>
    <x v="2"/>
    <x v="6"/>
    <s v="NO1_A2"/>
    <x v="2"/>
    <x v="2"/>
    <s v="GBPR_MUNIWASTE"/>
    <n v="9.6943091862886598E-3"/>
    <n v="3.4899513070639203E-2"/>
  </r>
  <r>
    <x v="0"/>
    <x v="0"/>
    <x v="1"/>
    <x v="2"/>
    <x v="7"/>
    <s v="NO2_A1"/>
    <x v="4"/>
    <x v="3"/>
    <s v="GNR_PV_SUN_LS-4-MW_Y-2020"/>
    <n v="55.002867954505"/>
    <n v="198.010324636218"/>
  </r>
  <r>
    <x v="0"/>
    <x v="0"/>
    <x v="1"/>
    <x v="2"/>
    <x v="7"/>
    <s v="NO2_A1"/>
    <x v="5"/>
    <x v="4"/>
    <s v="GHYRR_WATER"/>
    <n v="12.93544427955"/>
    <n v="46.567599406379898"/>
  </r>
  <r>
    <x v="0"/>
    <x v="0"/>
    <x v="1"/>
    <x v="2"/>
    <x v="7"/>
    <s v="NO2_A1"/>
    <x v="6"/>
    <x v="5"/>
    <s v="GNR_WT_WIND_ONS"/>
    <n v="3.0705252000000001"/>
    <n v="11.05389072"/>
  </r>
  <r>
    <x v="0"/>
    <x v="0"/>
    <x v="1"/>
    <x v="2"/>
    <x v="8"/>
    <s v="NO3_A1"/>
    <x v="4"/>
    <x v="3"/>
    <s v="GNR_PV_SUN_LS-4-MW_Y-2020"/>
    <n v="16.093865141719402"/>
    <n v="57.937914510189799"/>
  </r>
  <r>
    <x v="0"/>
    <x v="0"/>
    <x v="1"/>
    <x v="2"/>
    <x v="8"/>
    <s v="NO3_A1"/>
    <x v="5"/>
    <x v="4"/>
    <s v="GHYRR_WATER"/>
    <n v="7.8191955505468798"/>
    <n v="28.1491039819688"/>
  </r>
  <r>
    <x v="0"/>
    <x v="0"/>
    <x v="1"/>
    <x v="2"/>
    <x v="8"/>
    <s v="NO3_A1"/>
    <x v="6"/>
    <x v="5"/>
    <s v="GNR_WT_WIND_ONS"/>
    <n v="2.1285082000000002"/>
    <n v="7.6626295200000003"/>
  </r>
  <r>
    <x v="0"/>
    <x v="0"/>
    <x v="1"/>
    <x v="2"/>
    <x v="8"/>
    <s v="NO3_A2"/>
    <x v="1"/>
    <x v="1"/>
    <s v="GETOH_ELECTRICBOILER"/>
    <n v="-0.78924286008375499"/>
    <n v="-2.8412742963015201"/>
  </r>
  <r>
    <x v="0"/>
    <x v="0"/>
    <x v="1"/>
    <x v="2"/>
    <x v="8"/>
    <s v="NO3_A2"/>
    <x v="1"/>
    <x v="1"/>
    <s v="GETOH_HEATPUMP"/>
    <n v="-3.24444444444445E-3"/>
    <n v="-1.1679999999999999E-2"/>
  </r>
  <r>
    <x v="0"/>
    <x v="0"/>
    <x v="1"/>
    <x v="2"/>
    <x v="9"/>
    <s v="NO4_A1"/>
    <x v="4"/>
    <x v="3"/>
    <s v="GNR_PV_SUN_LS-4-MW_Y-2020"/>
    <n v="9.85962733893437"/>
    <n v="35.494658420163702"/>
  </r>
  <r>
    <x v="0"/>
    <x v="0"/>
    <x v="1"/>
    <x v="2"/>
    <x v="9"/>
    <s v="NO4_A1"/>
    <x v="5"/>
    <x v="4"/>
    <s v="GHYRR_WATER"/>
    <n v="5.94639077568032"/>
    <n v="21.407006792449199"/>
  </r>
  <r>
    <x v="0"/>
    <x v="0"/>
    <x v="1"/>
    <x v="2"/>
    <x v="9"/>
    <s v="NO4_A1"/>
    <x v="6"/>
    <x v="5"/>
    <s v="GNR_WT_WIND_ONS"/>
    <n v="2.1294"/>
    <n v="7.6658400000000002"/>
  </r>
  <r>
    <x v="0"/>
    <x v="0"/>
    <x v="1"/>
    <x v="2"/>
    <x v="10"/>
    <s v="NO5_A1"/>
    <x v="4"/>
    <x v="3"/>
    <s v="GNR_PV_SUN_LS-4-MW_Y-2020"/>
    <n v="11.5514602267556"/>
    <n v="41.585256816319998"/>
  </r>
  <r>
    <x v="0"/>
    <x v="0"/>
    <x v="1"/>
    <x v="2"/>
    <x v="10"/>
    <s v="NO5_A1"/>
    <x v="5"/>
    <x v="4"/>
    <s v="GHYRR_WATER"/>
    <n v="4.5446894883181903"/>
    <n v="16.3608821579455"/>
  </r>
  <r>
    <x v="0"/>
    <x v="0"/>
    <x v="1"/>
    <x v="3"/>
    <x v="11"/>
    <s v="SE1A"/>
    <x v="4"/>
    <x v="3"/>
    <s v="GNR_PV_SUN_LS-4-MW_Y-2020"/>
    <n v="1.1849685899064499"/>
    <n v="4.2658869236632304"/>
  </r>
  <r>
    <x v="0"/>
    <x v="0"/>
    <x v="1"/>
    <x v="3"/>
    <x v="11"/>
    <s v="SE1A"/>
    <x v="5"/>
    <x v="4"/>
    <s v="GHYRR_WATER"/>
    <n v="6.1585670173835503"/>
    <n v="22.170841262580801"/>
  </r>
  <r>
    <x v="0"/>
    <x v="0"/>
    <x v="1"/>
    <x v="3"/>
    <x v="11"/>
    <s v="SE1A"/>
    <x v="6"/>
    <x v="5"/>
    <s v="GNR_WT_WIND_ONS"/>
    <n v="4.9862206320000002"/>
    <n v="17.950394275200001"/>
  </r>
  <r>
    <x v="0"/>
    <x v="0"/>
    <x v="1"/>
    <x v="3"/>
    <x v="11"/>
    <s v="SE1_EL"/>
    <x v="1"/>
    <x v="1"/>
    <s v="GETOH_ELECTRICBOILER"/>
    <n v="-0.68001734693877602"/>
    <n v="-2.4480624489795901"/>
  </r>
  <r>
    <x v="0"/>
    <x v="0"/>
    <x v="1"/>
    <x v="3"/>
    <x v="11"/>
    <s v="SE1_OTHER"/>
    <x v="1"/>
    <x v="1"/>
    <s v="GNR_BO_ELEC_E-99_SS-1-MW-FEED_Y-2030"/>
    <n v="-0.64673630864873299"/>
    <n v="-2.32825071113544"/>
  </r>
  <r>
    <x v="0"/>
    <x v="0"/>
    <x v="1"/>
    <x v="3"/>
    <x v="11"/>
    <s v="SE1_OTHER"/>
    <x v="13"/>
    <x v="2"/>
    <s v="GBPR_WOODWASTE"/>
    <n v="3.9982542850939298E-4"/>
    <n v="1.4393715426338099E-3"/>
  </r>
  <r>
    <x v="0"/>
    <x v="0"/>
    <x v="1"/>
    <x v="3"/>
    <x v="12"/>
    <s v="SE2A"/>
    <x v="4"/>
    <x v="3"/>
    <s v="GNR_PV_SUN_LS-4-MW_Y-2020"/>
    <n v="0.83355999134251801"/>
    <n v="3.0008159688330598"/>
  </r>
  <r>
    <x v="0"/>
    <x v="0"/>
    <x v="1"/>
    <x v="3"/>
    <x v="12"/>
    <s v="SE2A"/>
    <x v="5"/>
    <x v="4"/>
    <s v="GHYRR_WATER"/>
    <n v="9.3283318424445305"/>
    <n v="33.581994632800303"/>
  </r>
  <r>
    <x v="0"/>
    <x v="0"/>
    <x v="1"/>
    <x v="3"/>
    <x v="12"/>
    <s v="SE2A"/>
    <x v="6"/>
    <x v="5"/>
    <s v="GNR_WT_WIND_ONS"/>
    <n v="9.4801729780000006"/>
    <n v="34.128622720800003"/>
  </r>
  <r>
    <x v="0"/>
    <x v="0"/>
    <x v="1"/>
    <x v="3"/>
    <x v="12"/>
    <s v="SE2_EL"/>
    <x v="1"/>
    <x v="1"/>
    <s v="GETOH_ELECTRICBOILER"/>
    <n v="-1.57322448979592"/>
    <n v="-5.6636081632653097"/>
  </r>
  <r>
    <x v="0"/>
    <x v="0"/>
    <x v="1"/>
    <x v="3"/>
    <x v="12"/>
    <s v="SE2_EL"/>
    <x v="1"/>
    <x v="1"/>
    <s v="GETOH_HEATPUMP"/>
    <n v="-2.1413333333333302E-2"/>
    <n v="-7.7088000000000004E-2"/>
  </r>
  <r>
    <x v="0"/>
    <x v="0"/>
    <x v="1"/>
    <x v="3"/>
    <x v="12"/>
    <s v="SE2_EL"/>
    <x v="1"/>
    <x v="1"/>
    <s v="GNR_BO_ELEC_E-99_SS-1-MW-FEED_Y-2030"/>
    <n v="-0.44513405400612199"/>
    <n v="-1.60248259442204"/>
  </r>
  <r>
    <x v="0"/>
    <x v="0"/>
    <x v="1"/>
    <x v="3"/>
    <x v="12"/>
    <s v="SE2_EL"/>
    <x v="2"/>
    <x v="2"/>
    <s v="GBPR_MUNIWASTE_24"/>
    <n v="4.2845305615752602E-3"/>
    <n v="1.54243100216709E-2"/>
  </r>
  <r>
    <x v="0"/>
    <x v="0"/>
    <x v="1"/>
    <x v="3"/>
    <x v="12"/>
    <s v="SE2_EL"/>
    <x v="13"/>
    <x v="0"/>
    <s v="GEXT_WOODWASTE_HORNEBORG"/>
    <n v="4.4792710758641302E-2"/>
    <n v="0.161253758731109"/>
  </r>
  <r>
    <x v="0"/>
    <x v="0"/>
    <x v="1"/>
    <x v="3"/>
    <x v="12"/>
    <s v="SE2_OTHER"/>
    <x v="1"/>
    <x v="1"/>
    <s v="GNR_BO_ELEC_E-99_SS-1-MW-FEED_Y-2030"/>
    <n v="-1.1528384086869501"/>
    <n v="-4.15021827127301"/>
  </r>
  <r>
    <x v="0"/>
    <x v="0"/>
    <x v="1"/>
    <x v="3"/>
    <x v="13"/>
    <s v="SE3A"/>
    <x v="4"/>
    <x v="3"/>
    <s v="GNR_PV_SUN_LS-4-MW_Y-2020"/>
    <n v="106.279152374642"/>
    <n v="382.604948548712"/>
  </r>
  <r>
    <x v="0"/>
    <x v="0"/>
    <x v="1"/>
    <x v="3"/>
    <x v="13"/>
    <s v="SE3A"/>
    <x v="5"/>
    <x v="4"/>
    <s v="GHYRR_WATER"/>
    <n v="2.9304271495038399"/>
    <n v="10.5495377382138"/>
  </r>
  <r>
    <x v="0"/>
    <x v="0"/>
    <x v="1"/>
    <x v="3"/>
    <x v="13"/>
    <s v="SE3A"/>
    <x v="6"/>
    <x v="5"/>
    <s v="GNR_WT_WIND_ONS"/>
    <n v="6.1473913199999997"/>
    <n v="22.130608752000001"/>
  </r>
  <r>
    <x v="0"/>
    <x v="0"/>
    <x v="1"/>
    <x v="3"/>
    <x v="13"/>
    <s v="SE3_EL"/>
    <x v="1"/>
    <x v="1"/>
    <s v="GETOH_ELECTRICBOILER"/>
    <n v="-2.7139910204081601"/>
    <n v="-9.7703676734693801"/>
  </r>
  <r>
    <x v="0"/>
    <x v="0"/>
    <x v="1"/>
    <x v="3"/>
    <x v="13"/>
    <s v="SE3_EL"/>
    <x v="1"/>
    <x v="1"/>
    <s v="GETOH_HEATPUMP33"/>
    <n v="-0.143982545454546"/>
    <n v="-0.51833716363636395"/>
  </r>
  <r>
    <x v="0"/>
    <x v="0"/>
    <x v="1"/>
    <x v="3"/>
    <x v="13"/>
    <s v="SE3_EL"/>
    <x v="1"/>
    <x v="1"/>
    <s v="GNR_BO_ELEC_E-99_SS-1-MW-FEED_Y-2030"/>
    <n v="-4.0558925253466498"/>
    <n v="-14.601213091247899"/>
  </r>
  <r>
    <x v="0"/>
    <x v="0"/>
    <x v="1"/>
    <x v="3"/>
    <x v="13"/>
    <s v="SE3_EL"/>
    <x v="2"/>
    <x v="2"/>
    <s v="GBPR_MUNIWASTE_24"/>
    <n v="1.14926992268391E-2"/>
    <n v="4.1373717216620698E-2"/>
  </r>
  <r>
    <x v="0"/>
    <x v="0"/>
    <x v="1"/>
    <x v="3"/>
    <x v="13"/>
    <s v="SE3_EL"/>
    <x v="2"/>
    <x v="2"/>
    <s v="GBPR_MUNIWASTE_LINK"/>
    <n v="5.1666817947744803E-2"/>
    <n v="0.18600054461188101"/>
  </r>
  <r>
    <x v="0"/>
    <x v="0"/>
    <x v="1"/>
    <x v="3"/>
    <x v="13"/>
    <s v="SE3_GOT"/>
    <x v="1"/>
    <x v="1"/>
    <s v="GETOH_HEATPUMP33"/>
    <n v="-0.42472727272727301"/>
    <n v="-1.5290181818181801"/>
  </r>
  <r>
    <x v="0"/>
    <x v="0"/>
    <x v="1"/>
    <x v="3"/>
    <x v="13"/>
    <s v="SE3_GOT"/>
    <x v="1"/>
    <x v="1"/>
    <s v="GNR_BO_ELEC_E-99_SS-1-MW-FEED_Y-2030"/>
    <n v="-1.23670299655889"/>
    <n v="-4.4521307876119902"/>
  </r>
  <r>
    <x v="0"/>
    <x v="0"/>
    <x v="1"/>
    <x v="3"/>
    <x v="13"/>
    <s v="SE3_GOT"/>
    <x v="2"/>
    <x v="2"/>
    <s v="GBPR_MUNIWASTE_24"/>
    <n v="3.05945091165108E-2"/>
    <n v="0.11014023281943899"/>
  </r>
  <r>
    <x v="0"/>
    <x v="0"/>
    <x v="1"/>
    <x v="3"/>
    <x v="13"/>
    <s v="SE3_HP"/>
    <x v="1"/>
    <x v="1"/>
    <s v="GETOH_ELECTRICBOILER"/>
    <n v="-0.768734693877551"/>
    <n v="-2.7674448979591801"/>
  </r>
  <r>
    <x v="0"/>
    <x v="0"/>
    <x v="1"/>
    <x v="3"/>
    <x v="13"/>
    <s v="SE3_HP"/>
    <x v="1"/>
    <x v="1"/>
    <s v="GETOH_HEATPUMP2"/>
    <n v="-0.51058285714285701"/>
    <n v="-1.83809828571429"/>
  </r>
  <r>
    <x v="0"/>
    <x v="0"/>
    <x v="1"/>
    <x v="3"/>
    <x v="13"/>
    <s v="SE3_HP"/>
    <x v="1"/>
    <x v="1"/>
    <s v="GNR_BO_ELEC_E-99_SS-1-MW-FEED_Y-2030"/>
    <n v="-1.3528993322705201"/>
    <n v="-4.8704375961738497"/>
  </r>
  <r>
    <x v="0"/>
    <x v="0"/>
    <x v="1"/>
    <x v="3"/>
    <x v="13"/>
    <s v="SE3_HP"/>
    <x v="13"/>
    <x v="0"/>
    <s v="GEXT_WOODWASTE"/>
    <n v="1.4075138690808099E-2"/>
    <n v="5.0670499286908997E-2"/>
  </r>
  <r>
    <x v="0"/>
    <x v="0"/>
    <x v="1"/>
    <x v="3"/>
    <x v="13"/>
    <s v="SE3_OTHER"/>
    <x v="1"/>
    <x v="1"/>
    <s v="GNR_BO_ELEC_E-99_SS-1-MW-FEED_Y-2030"/>
    <n v="-7.8768219366748298"/>
    <n v="-28.356558972029401"/>
  </r>
  <r>
    <x v="0"/>
    <x v="0"/>
    <x v="1"/>
    <x v="3"/>
    <x v="13"/>
    <s v="SE3_OTHER"/>
    <x v="2"/>
    <x v="2"/>
    <s v="GBPR_MUNIWASTE_24"/>
    <n v="1.35025515419689E-2"/>
    <n v="4.8609185551088001E-2"/>
  </r>
  <r>
    <x v="0"/>
    <x v="0"/>
    <x v="1"/>
    <x v="3"/>
    <x v="13"/>
    <s v="SE3_STO"/>
    <x v="1"/>
    <x v="1"/>
    <s v="GETOH_ELECTRICBOILER"/>
    <n v="-2.9687248313995198"/>
    <n v="-10.687409393038299"/>
  </r>
  <r>
    <x v="0"/>
    <x v="0"/>
    <x v="1"/>
    <x v="3"/>
    <x v="13"/>
    <s v="SE3_STO"/>
    <x v="1"/>
    <x v="1"/>
    <s v="GETOH_HEATPUMP33"/>
    <n v="-0.85929716152328195"/>
    <n v="-3.0934697814838099"/>
  </r>
  <r>
    <x v="0"/>
    <x v="0"/>
    <x v="1"/>
    <x v="3"/>
    <x v="13"/>
    <s v="SE3_STO"/>
    <x v="1"/>
    <x v="1"/>
    <s v="GNR_BO_ELEC_E-99_SS-1-MW-FEED_Y-2030"/>
    <n v="-0.71182619659639002"/>
    <n v="-2.562574307747"/>
  </r>
  <r>
    <x v="0"/>
    <x v="0"/>
    <x v="1"/>
    <x v="3"/>
    <x v="13"/>
    <s v="SE3_STO"/>
    <x v="2"/>
    <x v="2"/>
    <s v="GBPR_MUNIWASTE_HOGDALEN"/>
    <n v="1.46760178974931E-2"/>
    <n v="5.2833664430975098E-2"/>
  </r>
  <r>
    <x v="0"/>
    <x v="0"/>
    <x v="1"/>
    <x v="3"/>
    <x v="14"/>
    <s v="SE4A"/>
    <x v="4"/>
    <x v="3"/>
    <s v="GNR_PV_SUN_LS-4-MW_Y-2020"/>
    <n v="367.90634435157102"/>
    <n v="1324.4628396656601"/>
  </r>
  <r>
    <x v="0"/>
    <x v="0"/>
    <x v="1"/>
    <x v="3"/>
    <x v="14"/>
    <s v="SE4A"/>
    <x v="5"/>
    <x v="4"/>
    <s v="GHYRR_WATER"/>
    <n v="0.83955284946836395"/>
    <n v="3.0223902580861099"/>
  </r>
  <r>
    <x v="0"/>
    <x v="0"/>
    <x v="1"/>
    <x v="3"/>
    <x v="14"/>
    <s v="SE4A"/>
    <x v="6"/>
    <x v="5"/>
    <s v="GNR_WT_WIND_ONS"/>
    <n v="2.9802045800000001"/>
    <n v="10.728736487999999"/>
  </r>
  <r>
    <x v="0"/>
    <x v="0"/>
    <x v="1"/>
    <x v="3"/>
    <x v="14"/>
    <s v="SE4_EL"/>
    <x v="1"/>
    <x v="1"/>
    <s v="GETOH_ELECTRICBOILER"/>
    <n v="-0.72021254778876798"/>
    <n v="-2.5927651720395599"/>
  </r>
  <r>
    <x v="0"/>
    <x v="0"/>
    <x v="1"/>
    <x v="3"/>
    <x v="14"/>
    <s v="SE4_EL"/>
    <x v="1"/>
    <x v="1"/>
    <s v="GETOH_HEATPUMP1"/>
    <n v="-0.10457813231143499"/>
    <n v="-0.37648127632116801"/>
  </r>
  <r>
    <x v="0"/>
    <x v="0"/>
    <x v="1"/>
    <x v="3"/>
    <x v="14"/>
    <s v="SE4_HP"/>
    <x v="1"/>
    <x v="1"/>
    <s v="GETOH_HEATPUMP1"/>
    <n v="-7.1323354838709704E-2"/>
    <n v="-0.25676407741935497"/>
  </r>
  <r>
    <x v="0"/>
    <x v="0"/>
    <x v="1"/>
    <x v="3"/>
    <x v="14"/>
    <s v="SE4_HP"/>
    <x v="1"/>
    <x v="1"/>
    <s v="GNR_BO_ELEC_E-99_SS-1-MW-FEED_Y-2030"/>
    <n v="-0.42314810378177597"/>
    <n v="-1.52333317361439"/>
  </r>
  <r>
    <x v="0"/>
    <x v="0"/>
    <x v="1"/>
    <x v="3"/>
    <x v="14"/>
    <s v="SE4_HP"/>
    <x v="2"/>
    <x v="2"/>
    <s v="GBPR_MUNIWASTE_65"/>
    <n v="1.02668931731931E-2"/>
    <n v="3.6960815423495101E-2"/>
  </r>
  <r>
    <x v="0"/>
    <x v="0"/>
    <x v="1"/>
    <x v="3"/>
    <x v="14"/>
    <s v="SE4_MAL"/>
    <x v="1"/>
    <x v="1"/>
    <s v="GETOH_HEATPUMP33"/>
    <n v="-2.9199999999999999E-3"/>
    <n v="-1.0512000000000001E-2"/>
  </r>
  <r>
    <x v="0"/>
    <x v="0"/>
    <x v="1"/>
    <x v="3"/>
    <x v="14"/>
    <s v="SE4_MAL"/>
    <x v="1"/>
    <x v="1"/>
    <s v="GNR_BO_ELEC_E-99_SS-1-MW-FEED_Y-2030"/>
    <n v="-1.4566093901256301"/>
    <n v="-5.2437938044522703"/>
  </r>
  <r>
    <x v="0"/>
    <x v="0"/>
    <x v="1"/>
    <x v="3"/>
    <x v="14"/>
    <s v="SE4_MAL"/>
    <x v="2"/>
    <x v="2"/>
    <s v="GBPR_MUNIWASTE_24"/>
    <n v="1.21222491099558E-2"/>
    <n v="4.3640096795841E-2"/>
  </r>
  <r>
    <x v="0"/>
    <x v="0"/>
    <x v="1"/>
    <x v="3"/>
    <x v="14"/>
    <s v="SE4_OTHER"/>
    <x v="1"/>
    <x v="1"/>
    <s v="GNR_BO_ELEC_E-99_SS-1-MW-FEED_Y-2030"/>
    <n v="-3.3147521808292"/>
    <n v="-11.933107850985101"/>
  </r>
</pivotCacheRecords>
</file>

<file path=xl/pivotCache/pivotCacheRecords5.xml><?xml version="1.0" encoding="utf-8"?>
<pivotCacheRecords xmlns="http://schemas.openxmlformats.org/spreadsheetml/2006/main" xmlns:r="http://schemas.openxmlformats.org/officeDocument/2006/relationships" count="6412">
  <r>
    <x v="0"/>
    <x v="0"/>
    <x v="0"/>
    <x v="0"/>
    <x v="0"/>
    <s v="DK1_Large"/>
    <x v="0"/>
    <x v="0"/>
    <x v="0"/>
    <x v="0"/>
    <x v="0"/>
    <n v="168.39834942411099"/>
    <n v="61465.3975398006"/>
    <n v="221275.43114328201"/>
  </r>
  <r>
    <x v="0"/>
    <x v="0"/>
    <x v="0"/>
    <x v="0"/>
    <x v="0"/>
    <s v="DK1_Large"/>
    <x v="0"/>
    <x v="0"/>
    <x v="0"/>
    <x v="0"/>
    <x v="1"/>
    <n v="168.39834942411099"/>
    <n v="61465.3975398006"/>
    <n v="221275.43114328201"/>
  </r>
  <r>
    <x v="0"/>
    <x v="0"/>
    <x v="0"/>
    <x v="0"/>
    <x v="0"/>
    <s v="DK1_Large"/>
    <x v="0"/>
    <x v="0"/>
    <x v="0"/>
    <x v="0"/>
    <x v="2"/>
    <n v="176.15064456092199"/>
    <n v="64294.985264736402"/>
    <n v="231461.946953051"/>
  </r>
  <r>
    <x v="0"/>
    <x v="0"/>
    <x v="0"/>
    <x v="0"/>
    <x v="0"/>
    <s v="DK1_Large"/>
    <x v="0"/>
    <x v="0"/>
    <x v="0"/>
    <x v="0"/>
    <x v="3"/>
    <n v="221.03235324771799"/>
    <n v="80676.808935416906"/>
    <n v="290436.51216750097"/>
  </r>
  <r>
    <x v="0"/>
    <x v="0"/>
    <x v="0"/>
    <x v="0"/>
    <x v="0"/>
    <s v="DK1_Large"/>
    <x v="0"/>
    <x v="0"/>
    <x v="0"/>
    <x v="0"/>
    <x v="4"/>
    <n v="289.17094734494401"/>
    <n v="105547.395780905"/>
    <n v="379970.624811257"/>
  </r>
  <r>
    <x v="0"/>
    <x v="0"/>
    <x v="0"/>
    <x v="0"/>
    <x v="0"/>
    <s v="DK1_Large"/>
    <x v="0"/>
    <x v="0"/>
    <x v="0"/>
    <x v="0"/>
    <x v="5"/>
    <n v="402.191250128967"/>
    <n v="146799.806297073"/>
    <n v="528479.30266946298"/>
  </r>
  <r>
    <x v="0"/>
    <x v="0"/>
    <x v="0"/>
    <x v="0"/>
    <x v="0"/>
    <s v="DK1_Large"/>
    <x v="0"/>
    <x v="0"/>
    <x v="0"/>
    <x v="0"/>
    <x v="6"/>
    <n v="417.28782486907102"/>
    <n v="152310.05607721099"/>
    <n v="548316.20187796"/>
  </r>
  <r>
    <x v="0"/>
    <x v="0"/>
    <x v="0"/>
    <x v="0"/>
    <x v="0"/>
    <s v="DK1_Large"/>
    <x v="0"/>
    <x v="0"/>
    <x v="0"/>
    <x v="0"/>
    <x v="7"/>
    <n v="409.53552973226101"/>
    <n v="149480.468352275"/>
    <n v="538129.68606819096"/>
  </r>
  <r>
    <x v="0"/>
    <x v="0"/>
    <x v="0"/>
    <x v="0"/>
    <x v="0"/>
    <s v="DK1_Large"/>
    <x v="0"/>
    <x v="0"/>
    <x v="0"/>
    <x v="0"/>
    <x v="8"/>
    <n v="387.09467538886298"/>
    <n v="141289.556516935"/>
    <n v="508642.40346096602"/>
  </r>
  <r>
    <x v="0"/>
    <x v="0"/>
    <x v="0"/>
    <x v="0"/>
    <x v="0"/>
    <s v="DK1_Large"/>
    <x v="0"/>
    <x v="0"/>
    <x v="0"/>
    <x v="0"/>
    <x v="9"/>
    <n v="334.46067156525697"/>
    <n v="122078.145121319"/>
    <n v="439481.32243674702"/>
  </r>
  <r>
    <x v="0"/>
    <x v="0"/>
    <x v="0"/>
    <x v="0"/>
    <x v="0"/>
    <s v="DK1_Large"/>
    <x v="0"/>
    <x v="0"/>
    <x v="0"/>
    <x v="0"/>
    <x v="10"/>
    <n v="296.51522694823802"/>
    <n v="108228.05783610699"/>
    <n v="389621.00820998498"/>
  </r>
  <r>
    <x v="0"/>
    <x v="0"/>
    <x v="0"/>
    <x v="0"/>
    <x v="0"/>
    <s v="DK1_Large"/>
    <x v="0"/>
    <x v="0"/>
    <x v="0"/>
    <x v="0"/>
    <x v="11"/>
    <n v="258.97779786473598"/>
    <n v="94526.896220628696"/>
    <n v="340296.82639426301"/>
  </r>
  <r>
    <x v="0"/>
    <x v="0"/>
    <x v="0"/>
    <x v="0"/>
    <x v="0"/>
    <s v="DK1_Large"/>
    <x v="0"/>
    <x v="0"/>
    <x v="0"/>
    <x v="0"/>
    <x v="12"/>
    <n v="221.03235324771799"/>
    <n v="80676.808935416906"/>
    <n v="290436.51216750097"/>
  </r>
  <r>
    <x v="0"/>
    <x v="0"/>
    <x v="0"/>
    <x v="0"/>
    <x v="0"/>
    <s v="DK1_Large"/>
    <x v="0"/>
    <x v="0"/>
    <x v="0"/>
    <x v="0"/>
    <x v="13"/>
    <n v="213.68807364442401"/>
    <n v="77996.146880214699"/>
    <n v="280786.12876877299"/>
  </r>
  <r>
    <x v="0"/>
    <x v="0"/>
    <x v="0"/>
    <x v="0"/>
    <x v="0"/>
    <s v="DK1_Large"/>
    <x v="0"/>
    <x v="0"/>
    <x v="0"/>
    <x v="0"/>
    <x v="14"/>
    <n v="198.59149890431999"/>
    <n v="72485.897100076603"/>
    <n v="260949.229560276"/>
  </r>
  <r>
    <x v="0"/>
    <x v="0"/>
    <x v="0"/>
    <x v="0"/>
    <x v="0"/>
    <s v="DK1_Large"/>
    <x v="0"/>
    <x v="0"/>
    <x v="0"/>
    <x v="0"/>
    <x v="15"/>
    <n v="213.68807364442401"/>
    <n v="77996.146880214699"/>
    <n v="280786.12876877299"/>
  </r>
  <r>
    <x v="0"/>
    <x v="0"/>
    <x v="0"/>
    <x v="0"/>
    <x v="0"/>
    <s v="DK1_Large"/>
    <x v="0"/>
    <x v="0"/>
    <x v="0"/>
    <x v="0"/>
    <x v="16"/>
    <n v="274.07437260483999"/>
    <n v="100037.146000767"/>
    <n v="360133.72560275998"/>
  </r>
  <r>
    <x v="0"/>
    <x v="0"/>
    <x v="0"/>
    <x v="0"/>
    <x v="0"/>
    <s v="DK1_Large"/>
    <x v="0"/>
    <x v="0"/>
    <x v="0"/>
    <x v="0"/>
    <x v="17"/>
    <n v="326.70837642844702"/>
    <n v="119248.557396383"/>
    <n v="429294.80662697903"/>
  </r>
  <r>
    <x v="0"/>
    <x v="0"/>
    <x v="0"/>
    <x v="0"/>
    <x v="0"/>
    <s v="DK1_Large"/>
    <x v="0"/>
    <x v="0"/>
    <x v="0"/>
    <x v="0"/>
    <x v="18"/>
    <n v="385.401525908655"/>
    <n v="140671.55695665901"/>
    <n v="506417.60504397203"/>
  </r>
  <r>
    <x v="0"/>
    <x v="0"/>
    <x v="0"/>
    <x v="0"/>
    <x v="0"/>
    <s v="DK1_Large"/>
    <x v="0"/>
    <x v="0"/>
    <x v="0"/>
    <x v="0"/>
    <x v="19"/>
    <n v="370.30495116855099"/>
    <n v="135161.30717652099"/>
    <n v="486580.705835475"/>
  </r>
  <r>
    <x v="0"/>
    <x v="0"/>
    <x v="0"/>
    <x v="0"/>
    <x v="0"/>
    <s v="DK1_Large"/>
    <x v="0"/>
    <x v="0"/>
    <x v="0"/>
    <x v="0"/>
    <x v="20"/>
    <n v="309.91865220813401"/>
    <n v="113120.308055969"/>
    <n v="407233.10900148802"/>
  </r>
  <r>
    <x v="0"/>
    <x v="0"/>
    <x v="0"/>
    <x v="0"/>
    <x v="0"/>
    <s v="DK1_Large"/>
    <x v="0"/>
    <x v="0"/>
    <x v="0"/>
    <x v="0"/>
    <x v="21"/>
    <n v="272.38122312463202"/>
    <n v="99419.146440490702"/>
    <n v="357908.92718576599"/>
  </r>
  <r>
    <x v="0"/>
    <x v="0"/>
    <x v="0"/>
    <x v="0"/>
    <x v="0"/>
    <s v="DK1_Large"/>
    <x v="0"/>
    <x v="0"/>
    <x v="0"/>
    <x v="0"/>
    <x v="22"/>
    <n v="205.935778507614"/>
    <n v="75166.559155278897"/>
    <n v="270599.61295900401"/>
  </r>
  <r>
    <x v="0"/>
    <x v="0"/>
    <x v="0"/>
    <x v="0"/>
    <x v="0"/>
    <s v="DK1_Large"/>
    <x v="0"/>
    <x v="0"/>
    <x v="0"/>
    <x v="0"/>
    <x v="23"/>
    <n v="168.39834942411099"/>
    <n v="61465.3975398006"/>
    <n v="221275.43114328201"/>
  </r>
  <r>
    <x v="0"/>
    <x v="0"/>
    <x v="0"/>
    <x v="0"/>
    <x v="0"/>
    <s v="DK1_Large"/>
    <x v="0"/>
    <x v="0"/>
    <x v="1"/>
    <x v="0"/>
    <x v="0"/>
    <n v="320.83333333333297"/>
    <n v="117104.16666666701"/>
    <n v="421575"/>
  </r>
  <r>
    <x v="0"/>
    <x v="0"/>
    <x v="0"/>
    <x v="0"/>
    <x v="0"/>
    <s v="DK1_Large"/>
    <x v="0"/>
    <x v="0"/>
    <x v="1"/>
    <x v="0"/>
    <x v="1"/>
    <n v="320.83333333333297"/>
    <n v="117104.16666666701"/>
    <n v="421575"/>
  </r>
  <r>
    <x v="0"/>
    <x v="0"/>
    <x v="0"/>
    <x v="0"/>
    <x v="0"/>
    <s v="DK1_Large"/>
    <x v="0"/>
    <x v="0"/>
    <x v="1"/>
    <x v="0"/>
    <x v="2"/>
    <n v="320.83333333333297"/>
    <n v="117104.16666666701"/>
    <n v="421575"/>
  </r>
  <r>
    <x v="0"/>
    <x v="0"/>
    <x v="0"/>
    <x v="0"/>
    <x v="0"/>
    <s v="DK1_Large"/>
    <x v="0"/>
    <x v="0"/>
    <x v="1"/>
    <x v="0"/>
    <x v="3"/>
    <n v="320.83333333333297"/>
    <n v="117104.16666666701"/>
    <n v="421575"/>
  </r>
  <r>
    <x v="0"/>
    <x v="0"/>
    <x v="0"/>
    <x v="0"/>
    <x v="0"/>
    <s v="DK1_Large"/>
    <x v="0"/>
    <x v="0"/>
    <x v="1"/>
    <x v="0"/>
    <x v="4"/>
    <n v="320.83333333333297"/>
    <n v="117104.16666666701"/>
    <n v="421575"/>
  </r>
  <r>
    <x v="0"/>
    <x v="0"/>
    <x v="0"/>
    <x v="0"/>
    <x v="0"/>
    <s v="DK1_Large"/>
    <x v="0"/>
    <x v="0"/>
    <x v="1"/>
    <x v="0"/>
    <x v="5"/>
    <n v="320.83333333333297"/>
    <n v="117104.16666666701"/>
    <n v="421575"/>
  </r>
  <r>
    <x v="0"/>
    <x v="0"/>
    <x v="0"/>
    <x v="0"/>
    <x v="0"/>
    <s v="DK1_Large"/>
    <x v="0"/>
    <x v="0"/>
    <x v="1"/>
    <x v="0"/>
    <x v="6"/>
    <n v="320.83333333333297"/>
    <n v="117104.16666666701"/>
    <n v="421575"/>
  </r>
  <r>
    <x v="0"/>
    <x v="0"/>
    <x v="0"/>
    <x v="0"/>
    <x v="0"/>
    <s v="DK1_Large"/>
    <x v="0"/>
    <x v="0"/>
    <x v="1"/>
    <x v="0"/>
    <x v="7"/>
    <n v="320.83333333333297"/>
    <n v="117104.16666666701"/>
    <n v="421575"/>
  </r>
  <r>
    <x v="0"/>
    <x v="0"/>
    <x v="0"/>
    <x v="0"/>
    <x v="0"/>
    <s v="DK1_Large"/>
    <x v="0"/>
    <x v="0"/>
    <x v="1"/>
    <x v="0"/>
    <x v="8"/>
    <n v="320.83333333333297"/>
    <n v="117104.16666666701"/>
    <n v="421575"/>
  </r>
  <r>
    <x v="0"/>
    <x v="0"/>
    <x v="0"/>
    <x v="0"/>
    <x v="0"/>
    <s v="DK1_Large"/>
    <x v="0"/>
    <x v="0"/>
    <x v="1"/>
    <x v="0"/>
    <x v="9"/>
    <n v="320.83333333333297"/>
    <n v="117104.16666666701"/>
    <n v="421575"/>
  </r>
  <r>
    <x v="0"/>
    <x v="0"/>
    <x v="0"/>
    <x v="0"/>
    <x v="0"/>
    <s v="DK1_Large"/>
    <x v="0"/>
    <x v="0"/>
    <x v="1"/>
    <x v="0"/>
    <x v="10"/>
    <n v="320.83333333333297"/>
    <n v="117104.16666666701"/>
    <n v="421575"/>
  </r>
  <r>
    <x v="0"/>
    <x v="0"/>
    <x v="0"/>
    <x v="0"/>
    <x v="0"/>
    <s v="DK1_Large"/>
    <x v="0"/>
    <x v="0"/>
    <x v="1"/>
    <x v="0"/>
    <x v="11"/>
    <n v="320.83333333333297"/>
    <n v="117104.16666666701"/>
    <n v="421575"/>
  </r>
  <r>
    <x v="0"/>
    <x v="0"/>
    <x v="0"/>
    <x v="0"/>
    <x v="0"/>
    <s v="DK1_Large"/>
    <x v="0"/>
    <x v="0"/>
    <x v="1"/>
    <x v="0"/>
    <x v="12"/>
    <n v="320.83333333333297"/>
    <n v="117104.16666666701"/>
    <n v="421575"/>
  </r>
  <r>
    <x v="0"/>
    <x v="0"/>
    <x v="0"/>
    <x v="0"/>
    <x v="0"/>
    <s v="DK1_Large"/>
    <x v="0"/>
    <x v="0"/>
    <x v="1"/>
    <x v="0"/>
    <x v="13"/>
    <n v="320.83333333333297"/>
    <n v="117104.16666666701"/>
    <n v="421575"/>
  </r>
  <r>
    <x v="0"/>
    <x v="0"/>
    <x v="0"/>
    <x v="0"/>
    <x v="0"/>
    <s v="DK1_Large"/>
    <x v="0"/>
    <x v="0"/>
    <x v="1"/>
    <x v="0"/>
    <x v="14"/>
    <n v="320.83333333333297"/>
    <n v="117104.16666666701"/>
    <n v="421575"/>
  </r>
  <r>
    <x v="0"/>
    <x v="0"/>
    <x v="0"/>
    <x v="0"/>
    <x v="0"/>
    <s v="DK1_Large"/>
    <x v="0"/>
    <x v="0"/>
    <x v="1"/>
    <x v="0"/>
    <x v="15"/>
    <n v="320.83333333333297"/>
    <n v="117104.16666666701"/>
    <n v="421575"/>
  </r>
  <r>
    <x v="0"/>
    <x v="0"/>
    <x v="0"/>
    <x v="0"/>
    <x v="0"/>
    <s v="DK1_Large"/>
    <x v="0"/>
    <x v="0"/>
    <x v="1"/>
    <x v="0"/>
    <x v="16"/>
    <n v="320.83333333333297"/>
    <n v="117104.16666666701"/>
    <n v="421575"/>
  </r>
  <r>
    <x v="0"/>
    <x v="0"/>
    <x v="0"/>
    <x v="0"/>
    <x v="0"/>
    <s v="DK1_Large"/>
    <x v="0"/>
    <x v="0"/>
    <x v="1"/>
    <x v="0"/>
    <x v="17"/>
    <n v="320.83333333333297"/>
    <n v="117104.16666666701"/>
    <n v="421575"/>
  </r>
  <r>
    <x v="0"/>
    <x v="0"/>
    <x v="0"/>
    <x v="0"/>
    <x v="0"/>
    <s v="DK1_Large"/>
    <x v="0"/>
    <x v="0"/>
    <x v="1"/>
    <x v="0"/>
    <x v="18"/>
    <n v="320.83333333333297"/>
    <n v="117104.16666666701"/>
    <n v="421575"/>
  </r>
  <r>
    <x v="0"/>
    <x v="0"/>
    <x v="0"/>
    <x v="0"/>
    <x v="0"/>
    <s v="DK1_Large"/>
    <x v="0"/>
    <x v="0"/>
    <x v="1"/>
    <x v="0"/>
    <x v="19"/>
    <n v="320.83333333333297"/>
    <n v="117104.16666666701"/>
    <n v="421575"/>
  </r>
  <r>
    <x v="0"/>
    <x v="0"/>
    <x v="0"/>
    <x v="0"/>
    <x v="0"/>
    <s v="DK1_Large"/>
    <x v="0"/>
    <x v="0"/>
    <x v="1"/>
    <x v="0"/>
    <x v="20"/>
    <n v="320.83333333333297"/>
    <n v="117104.16666666701"/>
    <n v="421575"/>
  </r>
  <r>
    <x v="0"/>
    <x v="0"/>
    <x v="0"/>
    <x v="0"/>
    <x v="0"/>
    <s v="DK1_Large"/>
    <x v="0"/>
    <x v="0"/>
    <x v="1"/>
    <x v="0"/>
    <x v="21"/>
    <n v="320.83333333333297"/>
    <n v="117104.16666666701"/>
    <n v="421575"/>
  </r>
  <r>
    <x v="0"/>
    <x v="0"/>
    <x v="0"/>
    <x v="0"/>
    <x v="0"/>
    <s v="DK1_Large"/>
    <x v="0"/>
    <x v="0"/>
    <x v="1"/>
    <x v="0"/>
    <x v="22"/>
    <n v="320.83333333333297"/>
    <n v="117104.16666666701"/>
    <n v="421575"/>
  </r>
  <r>
    <x v="0"/>
    <x v="0"/>
    <x v="0"/>
    <x v="0"/>
    <x v="0"/>
    <s v="DK1_Large"/>
    <x v="0"/>
    <x v="0"/>
    <x v="1"/>
    <x v="0"/>
    <x v="23"/>
    <n v="320.83333333333297"/>
    <n v="117104.16666666701"/>
    <n v="421575"/>
  </r>
  <r>
    <x v="0"/>
    <x v="0"/>
    <x v="0"/>
    <x v="0"/>
    <x v="0"/>
    <s v="DK1_MedSmall"/>
    <x v="1"/>
    <x v="1"/>
    <x v="2"/>
    <x v="0"/>
    <x v="0"/>
    <n v="-1"/>
    <n v="-365"/>
    <n v="-1314"/>
  </r>
  <r>
    <x v="0"/>
    <x v="0"/>
    <x v="0"/>
    <x v="0"/>
    <x v="0"/>
    <s v="DK1_MedSmall"/>
    <x v="1"/>
    <x v="1"/>
    <x v="2"/>
    <x v="0"/>
    <x v="1"/>
    <n v="-1"/>
    <n v="-365"/>
    <n v="-1314"/>
  </r>
  <r>
    <x v="0"/>
    <x v="0"/>
    <x v="0"/>
    <x v="0"/>
    <x v="0"/>
    <s v="DK1_MedSmall"/>
    <x v="1"/>
    <x v="1"/>
    <x v="2"/>
    <x v="0"/>
    <x v="2"/>
    <n v="-1"/>
    <n v="-365"/>
    <n v="-1314"/>
  </r>
  <r>
    <x v="0"/>
    <x v="0"/>
    <x v="0"/>
    <x v="0"/>
    <x v="0"/>
    <s v="DK1_MedSmall"/>
    <x v="1"/>
    <x v="1"/>
    <x v="2"/>
    <x v="0"/>
    <x v="3"/>
    <n v="-1"/>
    <n v="-365"/>
    <n v="-1314"/>
  </r>
  <r>
    <x v="0"/>
    <x v="0"/>
    <x v="0"/>
    <x v="0"/>
    <x v="0"/>
    <s v="DK1_MedSmall"/>
    <x v="1"/>
    <x v="1"/>
    <x v="2"/>
    <x v="0"/>
    <x v="4"/>
    <n v="-1"/>
    <n v="-365"/>
    <n v="-1314"/>
  </r>
  <r>
    <x v="0"/>
    <x v="0"/>
    <x v="0"/>
    <x v="0"/>
    <x v="0"/>
    <s v="DK1_MedSmall"/>
    <x v="1"/>
    <x v="1"/>
    <x v="2"/>
    <x v="0"/>
    <x v="5"/>
    <n v="-1"/>
    <n v="-365"/>
    <n v="-1314"/>
  </r>
  <r>
    <x v="0"/>
    <x v="0"/>
    <x v="0"/>
    <x v="0"/>
    <x v="0"/>
    <s v="DK1_MedSmall"/>
    <x v="1"/>
    <x v="1"/>
    <x v="2"/>
    <x v="0"/>
    <x v="6"/>
    <n v="-1"/>
    <n v="-365"/>
    <n v="-1314"/>
  </r>
  <r>
    <x v="0"/>
    <x v="0"/>
    <x v="0"/>
    <x v="0"/>
    <x v="0"/>
    <s v="DK1_MedSmall"/>
    <x v="1"/>
    <x v="1"/>
    <x v="2"/>
    <x v="0"/>
    <x v="7"/>
    <n v="-1"/>
    <n v="-365"/>
    <n v="-1314"/>
  </r>
  <r>
    <x v="0"/>
    <x v="0"/>
    <x v="0"/>
    <x v="0"/>
    <x v="0"/>
    <s v="DK1_MedSmall"/>
    <x v="1"/>
    <x v="1"/>
    <x v="2"/>
    <x v="0"/>
    <x v="8"/>
    <n v="-1"/>
    <n v="-365"/>
    <n v="-1314"/>
  </r>
  <r>
    <x v="0"/>
    <x v="0"/>
    <x v="0"/>
    <x v="0"/>
    <x v="0"/>
    <s v="DK1_MedSmall"/>
    <x v="1"/>
    <x v="1"/>
    <x v="2"/>
    <x v="0"/>
    <x v="9"/>
    <n v="-1"/>
    <n v="-365"/>
    <n v="-1314"/>
  </r>
  <r>
    <x v="0"/>
    <x v="0"/>
    <x v="0"/>
    <x v="0"/>
    <x v="0"/>
    <s v="DK1_MedSmall"/>
    <x v="1"/>
    <x v="1"/>
    <x v="2"/>
    <x v="0"/>
    <x v="10"/>
    <n v="-1"/>
    <n v="-365"/>
    <n v="-1314"/>
  </r>
  <r>
    <x v="0"/>
    <x v="0"/>
    <x v="0"/>
    <x v="0"/>
    <x v="0"/>
    <s v="DK1_MedSmall"/>
    <x v="1"/>
    <x v="1"/>
    <x v="2"/>
    <x v="0"/>
    <x v="11"/>
    <n v="-1"/>
    <n v="-365"/>
    <n v="-1314"/>
  </r>
  <r>
    <x v="0"/>
    <x v="0"/>
    <x v="0"/>
    <x v="0"/>
    <x v="0"/>
    <s v="DK1_MedSmall"/>
    <x v="1"/>
    <x v="1"/>
    <x v="2"/>
    <x v="0"/>
    <x v="12"/>
    <n v="-1"/>
    <n v="-365"/>
    <n v="-1314"/>
  </r>
  <r>
    <x v="0"/>
    <x v="0"/>
    <x v="0"/>
    <x v="0"/>
    <x v="0"/>
    <s v="DK1_MedSmall"/>
    <x v="1"/>
    <x v="1"/>
    <x v="2"/>
    <x v="0"/>
    <x v="13"/>
    <n v="-1"/>
    <n v="-365"/>
    <n v="-1314"/>
  </r>
  <r>
    <x v="0"/>
    <x v="0"/>
    <x v="0"/>
    <x v="0"/>
    <x v="0"/>
    <s v="DK1_MedSmall"/>
    <x v="1"/>
    <x v="1"/>
    <x v="2"/>
    <x v="0"/>
    <x v="14"/>
    <n v="-1"/>
    <n v="-365"/>
    <n v="-1314"/>
  </r>
  <r>
    <x v="0"/>
    <x v="0"/>
    <x v="0"/>
    <x v="0"/>
    <x v="0"/>
    <s v="DK1_MedSmall"/>
    <x v="1"/>
    <x v="1"/>
    <x v="2"/>
    <x v="0"/>
    <x v="15"/>
    <n v="-1"/>
    <n v="-365"/>
    <n v="-1314"/>
  </r>
  <r>
    <x v="0"/>
    <x v="0"/>
    <x v="0"/>
    <x v="0"/>
    <x v="0"/>
    <s v="DK1_MedSmall"/>
    <x v="1"/>
    <x v="1"/>
    <x v="2"/>
    <x v="0"/>
    <x v="16"/>
    <n v="-1"/>
    <n v="-365"/>
    <n v="-1314"/>
  </r>
  <r>
    <x v="0"/>
    <x v="0"/>
    <x v="0"/>
    <x v="0"/>
    <x v="0"/>
    <s v="DK1_MedSmall"/>
    <x v="1"/>
    <x v="1"/>
    <x v="2"/>
    <x v="0"/>
    <x v="17"/>
    <n v="-1"/>
    <n v="-365"/>
    <n v="-1314"/>
  </r>
  <r>
    <x v="0"/>
    <x v="0"/>
    <x v="0"/>
    <x v="0"/>
    <x v="0"/>
    <s v="DK1_MedSmall"/>
    <x v="1"/>
    <x v="1"/>
    <x v="2"/>
    <x v="0"/>
    <x v="18"/>
    <n v="-1"/>
    <n v="-365"/>
    <n v="-1314"/>
  </r>
  <r>
    <x v="0"/>
    <x v="0"/>
    <x v="0"/>
    <x v="0"/>
    <x v="0"/>
    <s v="DK1_MedSmall"/>
    <x v="1"/>
    <x v="1"/>
    <x v="2"/>
    <x v="0"/>
    <x v="19"/>
    <n v="-1"/>
    <n v="-365"/>
    <n v="-1314"/>
  </r>
  <r>
    <x v="0"/>
    <x v="0"/>
    <x v="0"/>
    <x v="0"/>
    <x v="0"/>
    <s v="DK1_MedSmall"/>
    <x v="1"/>
    <x v="1"/>
    <x v="2"/>
    <x v="0"/>
    <x v="20"/>
    <n v="-1"/>
    <n v="-365"/>
    <n v="-1314"/>
  </r>
  <r>
    <x v="0"/>
    <x v="0"/>
    <x v="0"/>
    <x v="0"/>
    <x v="0"/>
    <s v="DK1_MedSmall"/>
    <x v="1"/>
    <x v="1"/>
    <x v="2"/>
    <x v="0"/>
    <x v="21"/>
    <n v="-1"/>
    <n v="-365"/>
    <n v="-1314"/>
  </r>
  <r>
    <x v="0"/>
    <x v="0"/>
    <x v="0"/>
    <x v="0"/>
    <x v="0"/>
    <s v="DK1_MedSmall"/>
    <x v="1"/>
    <x v="1"/>
    <x v="2"/>
    <x v="0"/>
    <x v="22"/>
    <n v="-1"/>
    <n v="-365"/>
    <n v="-1314"/>
  </r>
  <r>
    <x v="0"/>
    <x v="0"/>
    <x v="0"/>
    <x v="0"/>
    <x v="0"/>
    <s v="DK1_MedSmall"/>
    <x v="1"/>
    <x v="1"/>
    <x v="2"/>
    <x v="0"/>
    <x v="23"/>
    <n v="-1"/>
    <n v="-365"/>
    <n v="-1314"/>
  </r>
  <r>
    <x v="0"/>
    <x v="0"/>
    <x v="0"/>
    <x v="0"/>
    <x v="0"/>
    <s v="DK1_MedSmall"/>
    <x v="2"/>
    <x v="2"/>
    <x v="3"/>
    <x v="0"/>
    <x v="0"/>
    <n v="2.4"/>
    <n v="876"/>
    <n v="3153.6"/>
  </r>
  <r>
    <x v="0"/>
    <x v="0"/>
    <x v="0"/>
    <x v="0"/>
    <x v="0"/>
    <s v="DK1_MedSmall"/>
    <x v="2"/>
    <x v="2"/>
    <x v="3"/>
    <x v="0"/>
    <x v="1"/>
    <n v="2.4"/>
    <n v="876"/>
    <n v="3153.6"/>
  </r>
  <r>
    <x v="0"/>
    <x v="0"/>
    <x v="0"/>
    <x v="0"/>
    <x v="0"/>
    <s v="DK1_MedSmall"/>
    <x v="2"/>
    <x v="2"/>
    <x v="3"/>
    <x v="0"/>
    <x v="2"/>
    <n v="2.4"/>
    <n v="876"/>
    <n v="3153.6"/>
  </r>
  <r>
    <x v="0"/>
    <x v="0"/>
    <x v="0"/>
    <x v="0"/>
    <x v="0"/>
    <s v="DK1_MedSmall"/>
    <x v="2"/>
    <x v="2"/>
    <x v="3"/>
    <x v="0"/>
    <x v="3"/>
    <n v="2.4"/>
    <n v="876"/>
    <n v="3153.6"/>
  </r>
  <r>
    <x v="0"/>
    <x v="0"/>
    <x v="0"/>
    <x v="0"/>
    <x v="0"/>
    <s v="DK1_MedSmall"/>
    <x v="2"/>
    <x v="2"/>
    <x v="3"/>
    <x v="0"/>
    <x v="4"/>
    <n v="2.4"/>
    <n v="876"/>
    <n v="3153.6"/>
  </r>
  <r>
    <x v="0"/>
    <x v="0"/>
    <x v="0"/>
    <x v="0"/>
    <x v="0"/>
    <s v="DK1_MedSmall"/>
    <x v="2"/>
    <x v="2"/>
    <x v="3"/>
    <x v="0"/>
    <x v="5"/>
    <n v="2.4"/>
    <n v="876"/>
    <n v="3153.6"/>
  </r>
  <r>
    <x v="0"/>
    <x v="0"/>
    <x v="0"/>
    <x v="0"/>
    <x v="0"/>
    <s v="DK1_MedSmall"/>
    <x v="2"/>
    <x v="2"/>
    <x v="3"/>
    <x v="0"/>
    <x v="6"/>
    <n v="2.4"/>
    <n v="876"/>
    <n v="3153.6"/>
  </r>
  <r>
    <x v="0"/>
    <x v="0"/>
    <x v="0"/>
    <x v="0"/>
    <x v="0"/>
    <s v="DK1_MedSmall"/>
    <x v="2"/>
    <x v="2"/>
    <x v="3"/>
    <x v="0"/>
    <x v="7"/>
    <n v="2.4"/>
    <n v="876"/>
    <n v="3153.6"/>
  </r>
  <r>
    <x v="0"/>
    <x v="0"/>
    <x v="0"/>
    <x v="0"/>
    <x v="0"/>
    <s v="DK1_MedSmall"/>
    <x v="2"/>
    <x v="2"/>
    <x v="3"/>
    <x v="0"/>
    <x v="8"/>
    <n v="2.4"/>
    <n v="876"/>
    <n v="3153.6"/>
  </r>
  <r>
    <x v="0"/>
    <x v="0"/>
    <x v="0"/>
    <x v="0"/>
    <x v="0"/>
    <s v="DK1_MedSmall"/>
    <x v="2"/>
    <x v="2"/>
    <x v="3"/>
    <x v="0"/>
    <x v="9"/>
    <n v="2.4"/>
    <n v="876"/>
    <n v="3153.6"/>
  </r>
  <r>
    <x v="0"/>
    <x v="0"/>
    <x v="0"/>
    <x v="0"/>
    <x v="0"/>
    <s v="DK1_MedSmall"/>
    <x v="2"/>
    <x v="2"/>
    <x v="3"/>
    <x v="0"/>
    <x v="10"/>
    <n v="2.4"/>
    <n v="876"/>
    <n v="3153.6"/>
  </r>
  <r>
    <x v="0"/>
    <x v="0"/>
    <x v="0"/>
    <x v="0"/>
    <x v="0"/>
    <s v="DK1_MedSmall"/>
    <x v="2"/>
    <x v="2"/>
    <x v="3"/>
    <x v="0"/>
    <x v="11"/>
    <n v="2.4"/>
    <n v="876"/>
    <n v="3153.6"/>
  </r>
  <r>
    <x v="0"/>
    <x v="0"/>
    <x v="0"/>
    <x v="0"/>
    <x v="0"/>
    <s v="DK1_MedSmall"/>
    <x v="2"/>
    <x v="2"/>
    <x v="3"/>
    <x v="0"/>
    <x v="12"/>
    <n v="2.4"/>
    <n v="876"/>
    <n v="3153.6"/>
  </r>
  <r>
    <x v="0"/>
    <x v="0"/>
    <x v="0"/>
    <x v="0"/>
    <x v="0"/>
    <s v="DK1_MedSmall"/>
    <x v="2"/>
    <x v="2"/>
    <x v="3"/>
    <x v="0"/>
    <x v="13"/>
    <n v="2.4"/>
    <n v="876"/>
    <n v="3153.6"/>
  </r>
  <r>
    <x v="0"/>
    <x v="0"/>
    <x v="0"/>
    <x v="0"/>
    <x v="0"/>
    <s v="DK1_MedSmall"/>
    <x v="2"/>
    <x v="2"/>
    <x v="3"/>
    <x v="0"/>
    <x v="14"/>
    <n v="2.4"/>
    <n v="876"/>
    <n v="3153.6"/>
  </r>
  <r>
    <x v="0"/>
    <x v="0"/>
    <x v="0"/>
    <x v="0"/>
    <x v="0"/>
    <s v="DK1_MedSmall"/>
    <x v="2"/>
    <x v="2"/>
    <x v="3"/>
    <x v="0"/>
    <x v="15"/>
    <n v="2.4"/>
    <n v="876"/>
    <n v="3153.6"/>
  </r>
  <r>
    <x v="0"/>
    <x v="0"/>
    <x v="0"/>
    <x v="0"/>
    <x v="0"/>
    <s v="DK1_MedSmall"/>
    <x v="2"/>
    <x v="2"/>
    <x v="3"/>
    <x v="0"/>
    <x v="16"/>
    <n v="2.4"/>
    <n v="876"/>
    <n v="3153.6"/>
  </r>
  <r>
    <x v="0"/>
    <x v="0"/>
    <x v="0"/>
    <x v="0"/>
    <x v="0"/>
    <s v="DK1_MedSmall"/>
    <x v="2"/>
    <x v="2"/>
    <x v="3"/>
    <x v="0"/>
    <x v="17"/>
    <n v="2.4"/>
    <n v="876"/>
    <n v="3153.6"/>
  </r>
  <r>
    <x v="0"/>
    <x v="0"/>
    <x v="0"/>
    <x v="0"/>
    <x v="0"/>
    <s v="DK1_MedSmall"/>
    <x v="2"/>
    <x v="2"/>
    <x v="3"/>
    <x v="0"/>
    <x v="18"/>
    <n v="2.4"/>
    <n v="876"/>
    <n v="3153.6"/>
  </r>
  <r>
    <x v="0"/>
    <x v="0"/>
    <x v="0"/>
    <x v="0"/>
    <x v="0"/>
    <s v="DK1_MedSmall"/>
    <x v="2"/>
    <x v="2"/>
    <x v="3"/>
    <x v="0"/>
    <x v="19"/>
    <n v="2.4"/>
    <n v="876"/>
    <n v="3153.6"/>
  </r>
  <r>
    <x v="0"/>
    <x v="0"/>
    <x v="0"/>
    <x v="0"/>
    <x v="0"/>
    <s v="DK1_MedSmall"/>
    <x v="2"/>
    <x v="2"/>
    <x v="3"/>
    <x v="0"/>
    <x v="20"/>
    <n v="2.4"/>
    <n v="876"/>
    <n v="3153.6"/>
  </r>
  <r>
    <x v="0"/>
    <x v="0"/>
    <x v="0"/>
    <x v="0"/>
    <x v="0"/>
    <s v="DK1_MedSmall"/>
    <x v="2"/>
    <x v="2"/>
    <x v="3"/>
    <x v="0"/>
    <x v="21"/>
    <n v="2.4"/>
    <n v="876"/>
    <n v="3153.6"/>
  </r>
  <r>
    <x v="0"/>
    <x v="0"/>
    <x v="0"/>
    <x v="0"/>
    <x v="0"/>
    <s v="DK1_MedSmall"/>
    <x v="2"/>
    <x v="2"/>
    <x v="3"/>
    <x v="0"/>
    <x v="22"/>
    <n v="2.4"/>
    <n v="876"/>
    <n v="3153.6"/>
  </r>
  <r>
    <x v="0"/>
    <x v="0"/>
    <x v="0"/>
    <x v="0"/>
    <x v="0"/>
    <s v="DK1_MedSmall"/>
    <x v="2"/>
    <x v="2"/>
    <x v="3"/>
    <x v="0"/>
    <x v="23"/>
    <n v="2.4"/>
    <n v="876"/>
    <n v="3153.6"/>
  </r>
  <r>
    <x v="0"/>
    <x v="0"/>
    <x v="0"/>
    <x v="0"/>
    <x v="0"/>
    <s v="DK1_MedSmall"/>
    <x v="2"/>
    <x v="2"/>
    <x v="4"/>
    <x v="0"/>
    <x v="0"/>
    <n v="3.3"/>
    <n v="1204.5"/>
    <n v="4336.2"/>
  </r>
  <r>
    <x v="0"/>
    <x v="0"/>
    <x v="0"/>
    <x v="0"/>
    <x v="0"/>
    <s v="DK1_MedSmall"/>
    <x v="2"/>
    <x v="2"/>
    <x v="4"/>
    <x v="0"/>
    <x v="1"/>
    <n v="3.3"/>
    <n v="1204.5"/>
    <n v="4336.2"/>
  </r>
  <r>
    <x v="0"/>
    <x v="0"/>
    <x v="0"/>
    <x v="0"/>
    <x v="0"/>
    <s v="DK1_MedSmall"/>
    <x v="2"/>
    <x v="2"/>
    <x v="4"/>
    <x v="0"/>
    <x v="2"/>
    <n v="3.3"/>
    <n v="1204.5"/>
    <n v="4336.2"/>
  </r>
  <r>
    <x v="0"/>
    <x v="0"/>
    <x v="0"/>
    <x v="0"/>
    <x v="0"/>
    <s v="DK1_MedSmall"/>
    <x v="2"/>
    <x v="2"/>
    <x v="4"/>
    <x v="0"/>
    <x v="3"/>
    <n v="3.3"/>
    <n v="1204.5"/>
    <n v="4336.2"/>
  </r>
  <r>
    <x v="0"/>
    <x v="0"/>
    <x v="0"/>
    <x v="0"/>
    <x v="0"/>
    <s v="DK1_MedSmall"/>
    <x v="2"/>
    <x v="2"/>
    <x v="4"/>
    <x v="0"/>
    <x v="4"/>
    <n v="3.3"/>
    <n v="1204.5"/>
    <n v="4336.2"/>
  </r>
  <r>
    <x v="0"/>
    <x v="0"/>
    <x v="0"/>
    <x v="0"/>
    <x v="0"/>
    <s v="DK1_MedSmall"/>
    <x v="2"/>
    <x v="2"/>
    <x v="4"/>
    <x v="0"/>
    <x v="5"/>
    <n v="3.3"/>
    <n v="1204.5"/>
    <n v="4336.2"/>
  </r>
  <r>
    <x v="0"/>
    <x v="0"/>
    <x v="0"/>
    <x v="0"/>
    <x v="0"/>
    <s v="DK1_MedSmall"/>
    <x v="2"/>
    <x v="2"/>
    <x v="4"/>
    <x v="0"/>
    <x v="6"/>
    <n v="3.3"/>
    <n v="1204.5"/>
    <n v="4336.2"/>
  </r>
  <r>
    <x v="0"/>
    <x v="0"/>
    <x v="0"/>
    <x v="0"/>
    <x v="0"/>
    <s v="DK1_MedSmall"/>
    <x v="2"/>
    <x v="2"/>
    <x v="4"/>
    <x v="0"/>
    <x v="7"/>
    <n v="3.3"/>
    <n v="1204.5"/>
    <n v="4336.2"/>
  </r>
  <r>
    <x v="0"/>
    <x v="0"/>
    <x v="0"/>
    <x v="0"/>
    <x v="0"/>
    <s v="DK1_MedSmall"/>
    <x v="2"/>
    <x v="2"/>
    <x v="4"/>
    <x v="0"/>
    <x v="8"/>
    <n v="3.3"/>
    <n v="1204.5"/>
    <n v="4336.2"/>
  </r>
  <r>
    <x v="0"/>
    <x v="0"/>
    <x v="0"/>
    <x v="0"/>
    <x v="0"/>
    <s v="DK1_MedSmall"/>
    <x v="2"/>
    <x v="2"/>
    <x v="4"/>
    <x v="0"/>
    <x v="9"/>
    <n v="3.3"/>
    <n v="1204.5"/>
    <n v="4336.2"/>
  </r>
  <r>
    <x v="0"/>
    <x v="0"/>
    <x v="0"/>
    <x v="0"/>
    <x v="0"/>
    <s v="DK1_MedSmall"/>
    <x v="2"/>
    <x v="2"/>
    <x v="4"/>
    <x v="0"/>
    <x v="10"/>
    <n v="3.3"/>
    <n v="1204.5"/>
    <n v="4336.2"/>
  </r>
  <r>
    <x v="0"/>
    <x v="0"/>
    <x v="0"/>
    <x v="0"/>
    <x v="0"/>
    <s v="DK1_MedSmall"/>
    <x v="2"/>
    <x v="2"/>
    <x v="4"/>
    <x v="0"/>
    <x v="11"/>
    <n v="3.3"/>
    <n v="1204.5"/>
    <n v="4336.2"/>
  </r>
  <r>
    <x v="0"/>
    <x v="0"/>
    <x v="0"/>
    <x v="0"/>
    <x v="0"/>
    <s v="DK1_MedSmall"/>
    <x v="2"/>
    <x v="2"/>
    <x v="4"/>
    <x v="0"/>
    <x v="12"/>
    <n v="3.3"/>
    <n v="1204.5"/>
    <n v="4336.2"/>
  </r>
  <r>
    <x v="0"/>
    <x v="0"/>
    <x v="0"/>
    <x v="0"/>
    <x v="0"/>
    <s v="DK1_MedSmall"/>
    <x v="2"/>
    <x v="2"/>
    <x v="4"/>
    <x v="0"/>
    <x v="13"/>
    <n v="3.3"/>
    <n v="1204.5"/>
    <n v="4336.2"/>
  </r>
  <r>
    <x v="0"/>
    <x v="0"/>
    <x v="0"/>
    <x v="0"/>
    <x v="0"/>
    <s v="DK1_MedSmall"/>
    <x v="2"/>
    <x v="2"/>
    <x v="4"/>
    <x v="0"/>
    <x v="14"/>
    <n v="3.3"/>
    <n v="1204.5"/>
    <n v="4336.2"/>
  </r>
  <r>
    <x v="0"/>
    <x v="0"/>
    <x v="0"/>
    <x v="0"/>
    <x v="0"/>
    <s v="DK1_MedSmall"/>
    <x v="2"/>
    <x v="2"/>
    <x v="4"/>
    <x v="0"/>
    <x v="15"/>
    <n v="3.3"/>
    <n v="1204.5"/>
    <n v="4336.2"/>
  </r>
  <r>
    <x v="0"/>
    <x v="0"/>
    <x v="0"/>
    <x v="0"/>
    <x v="0"/>
    <s v="DK1_MedSmall"/>
    <x v="2"/>
    <x v="2"/>
    <x v="4"/>
    <x v="0"/>
    <x v="16"/>
    <n v="3.3"/>
    <n v="1204.5"/>
    <n v="4336.2"/>
  </r>
  <r>
    <x v="0"/>
    <x v="0"/>
    <x v="0"/>
    <x v="0"/>
    <x v="0"/>
    <s v="DK1_MedSmall"/>
    <x v="2"/>
    <x v="2"/>
    <x v="4"/>
    <x v="0"/>
    <x v="17"/>
    <n v="3.3"/>
    <n v="1204.5"/>
    <n v="4336.2"/>
  </r>
  <r>
    <x v="0"/>
    <x v="0"/>
    <x v="0"/>
    <x v="0"/>
    <x v="0"/>
    <s v="DK1_MedSmall"/>
    <x v="2"/>
    <x v="2"/>
    <x v="4"/>
    <x v="0"/>
    <x v="18"/>
    <n v="3.3"/>
    <n v="1204.5"/>
    <n v="4336.2"/>
  </r>
  <r>
    <x v="0"/>
    <x v="0"/>
    <x v="0"/>
    <x v="0"/>
    <x v="0"/>
    <s v="DK1_MedSmall"/>
    <x v="2"/>
    <x v="2"/>
    <x v="4"/>
    <x v="0"/>
    <x v="19"/>
    <n v="3.3"/>
    <n v="1204.5"/>
    <n v="4336.2"/>
  </r>
  <r>
    <x v="0"/>
    <x v="0"/>
    <x v="0"/>
    <x v="0"/>
    <x v="0"/>
    <s v="DK1_MedSmall"/>
    <x v="2"/>
    <x v="2"/>
    <x v="4"/>
    <x v="0"/>
    <x v="20"/>
    <n v="3.3"/>
    <n v="1204.5"/>
    <n v="4336.2"/>
  </r>
  <r>
    <x v="0"/>
    <x v="0"/>
    <x v="0"/>
    <x v="0"/>
    <x v="0"/>
    <s v="DK1_MedSmall"/>
    <x v="2"/>
    <x v="2"/>
    <x v="4"/>
    <x v="0"/>
    <x v="21"/>
    <n v="3.3"/>
    <n v="1204.5"/>
    <n v="4336.2"/>
  </r>
  <r>
    <x v="0"/>
    <x v="0"/>
    <x v="0"/>
    <x v="0"/>
    <x v="0"/>
    <s v="DK1_MedSmall"/>
    <x v="2"/>
    <x v="2"/>
    <x v="4"/>
    <x v="0"/>
    <x v="22"/>
    <n v="3.3"/>
    <n v="1204.5"/>
    <n v="4336.2"/>
  </r>
  <r>
    <x v="0"/>
    <x v="0"/>
    <x v="0"/>
    <x v="0"/>
    <x v="0"/>
    <s v="DK1_MedSmall"/>
    <x v="2"/>
    <x v="2"/>
    <x v="4"/>
    <x v="0"/>
    <x v="23"/>
    <n v="3.3"/>
    <n v="1204.5"/>
    <n v="4336.2"/>
  </r>
  <r>
    <x v="0"/>
    <x v="0"/>
    <x v="0"/>
    <x v="0"/>
    <x v="0"/>
    <s v="DK1_MedSmall"/>
    <x v="2"/>
    <x v="2"/>
    <x v="5"/>
    <x v="0"/>
    <x v="0"/>
    <n v="10"/>
    <n v="3650"/>
    <n v="13140"/>
  </r>
  <r>
    <x v="0"/>
    <x v="0"/>
    <x v="0"/>
    <x v="0"/>
    <x v="0"/>
    <s v="DK1_MedSmall"/>
    <x v="2"/>
    <x v="2"/>
    <x v="5"/>
    <x v="0"/>
    <x v="1"/>
    <n v="10"/>
    <n v="3650"/>
    <n v="13140"/>
  </r>
  <r>
    <x v="0"/>
    <x v="0"/>
    <x v="0"/>
    <x v="0"/>
    <x v="0"/>
    <s v="DK1_MedSmall"/>
    <x v="2"/>
    <x v="2"/>
    <x v="5"/>
    <x v="0"/>
    <x v="2"/>
    <n v="10"/>
    <n v="3650"/>
    <n v="13140"/>
  </r>
  <r>
    <x v="0"/>
    <x v="0"/>
    <x v="0"/>
    <x v="0"/>
    <x v="0"/>
    <s v="DK1_MedSmall"/>
    <x v="2"/>
    <x v="2"/>
    <x v="5"/>
    <x v="0"/>
    <x v="3"/>
    <n v="10"/>
    <n v="3650"/>
    <n v="13140"/>
  </r>
  <r>
    <x v="0"/>
    <x v="0"/>
    <x v="0"/>
    <x v="0"/>
    <x v="0"/>
    <s v="DK1_MedSmall"/>
    <x v="2"/>
    <x v="2"/>
    <x v="5"/>
    <x v="0"/>
    <x v="4"/>
    <n v="10"/>
    <n v="3650"/>
    <n v="13140"/>
  </r>
  <r>
    <x v="0"/>
    <x v="0"/>
    <x v="0"/>
    <x v="0"/>
    <x v="0"/>
    <s v="DK1_MedSmall"/>
    <x v="2"/>
    <x v="2"/>
    <x v="5"/>
    <x v="0"/>
    <x v="5"/>
    <n v="10"/>
    <n v="3650"/>
    <n v="13140"/>
  </r>
  <r>
    <x v="0"/>
    <x v="0"/>
    <x v="0"/>
    <x v="0"/>
    <x v="0"/>
    <s v="DK1_MedSmall"/>
    <x v="2"/>
    <x v="2"/>
    <x v="5"/>
    <x v="0"/>
    <x v="6"/>
    <n v="10"/>
    <n v="3650"/>
    <n v="13140"/>
  </r>
  <r>
    <x v="0"/>
    <x v="0"/>
    <x v="0"/>
    <x v="0"/>
    <x v="0"/>
    <s v="DK1_MedSmall"/>
    <x v="2"/>
    <x v="2"/>
    <x v="5"/>
    <x v="0"/>
    <x v="7"/>
    <n v="10"/>
    <n v="3650"/>
    <n v="13140"/>
  </r>
  <r>
    <x v="0"/>
    <x v="0"/>
    <x v="0"/>
    <x v="0"/>
    <x v="0"/>
    <s v="DK1_MedSmall"/>
    <x v="2"/>
    <x v="2"/>
    <x v="5"/>
    <x v="0"/>
    <x v="8"/>
    <n v="10"/>
    <n v="3650"/>
    <n v="13140"/>
  </r>
  <r>
    <x v="0"/>
    <x v="0"/>
    <x v="0"/>
    <x v="0"/>
    <x v="0"/>
    <s v="DK1_MedSmall"/>
    <x v="2"/>
    <x v="2"/>
    <x v="5"/>
    <x v="0"/>
    <x v="9"/>
    <n v="10"/>
    <n v="3650"/>
    <n v="13140"/>
  </r>
  <r>
    <x v="0"/>
    <x v="0"/>
    <x v="0"/>
    <x v="0"/>
    <x v="0"/>
    <s v="DK1_MedSmall"/>
    <x v="2"/>
    <x v="2"/>
    <x v="5"/>
    <x v="0"/>
    <x v="10"/>
    <n v="10"/>
    <n v="3650"/>
    <n v="13140"/>
  </r>
  <r>
    <x v="0"/>
    <x v="0"/>
    <x v="0"/>
    <x v="0"/>
    <x v="0"/>
    <s v="DK1_MedSmall"/>
    <x v="2"/>
    <x v="2"/>
    <x v="5"/>
    <x v="0"/>
    <x v="11"/>
    <n v="10"/>
    <n v="3650"/>
    <n v="13140"/>
  </r>
  <r>
    <x v="0"/>
    <x v="0"/>
    <x v="0"/>
    <x v="0"/>
    <x v="0"/>
    <s v="DK1_MedSmall"/>
    <x v="2"/>
    <x v="2"/>
    <x v="5"/>
    <x v="0"/>
    <x v="12"/>
    <n v="10"/>
    <n v="3650"/>
    <n v="13140"/>
  </r>
  <r>
    <x v="0"/>
    <x v="0"/>
    <x v="0"/>
    <x v="0"/>
    <x v="0"/>
    <s v="DK1_MedSmall"/>
    <x v="2"/>
    <x v="2"/>
    <x v="5"/>
    <x v="0"/>
    <x v="13"/>
    <n v="10"/>
    <n v="3650"/>
    <n v="13140"/>
  </r>
  <r>
    <x v="0"/>
    <x v="0"/>
    <x v="0"/>
    <x v="0"/>
    <x v="0"/>
    <s v="DK1_MedSmall"/>
    <x v="2"/>
    <x v="2"/>
    <x v="5"/>
    <x v="0"/>
    <x v="14"/>
    <n v="10"/>
    <n v="3650"/>
    <n v="13140"/>
  </r>
  <r>
    <x v="0"/>
    <x v="0"/>
    <x v="0"/>
    <x v="0"/>
    <x v="0"/>
    <s v="DK1_MedSmall"/>
    <x v="2"/>
    <x v="2"/>
    <x v="5"/>
    <x v="0"/>
    <x v="15"/>
    <n v="10"/>
    <n v="3650"/>
    <n v="13140"/>
  </r>
  <r>
    <x v="0"/>
    <x v="0"/>
    <x v="0"/>
    <x v="0"/>
    <x v="0"/>
    <s v="DK1_MedSmall"/>
    <x v="2"/>
    <x v="2"/>
    <x v="5"/>
    <x v="0"/>
    <x v="16"/>
    <n v="10"/>
    <n v="3650"/>
    <n v="13140"/>
  </r>
  <r>
    <x v="0"/>
    <x v="0"/>
    <x v="0"/>
    <x v="0"/>
    <x v="0"/>
    <s v="DK1_MedSmall"/>
    <x v="2"/>
    <x v="2"/>
    <x v="5"/>
    <x v="0"/>
    <x v="17"/>
    <n v="10"/>
    <n v="3650"/>
    <n v="13140"/>
  </r>
  <r>
    <x v="0"/>
    <x v="0"/>
    <x v="0"/>
    <x v="0"/>
    <x v="0"/>
    <s v="DK1_MedSmall"/>
    <x v="2"/>
    <x v="2"/>
    <x v="5"/>
    <x v="0"/>
    <x v="18"/>
    <n v="10"/>
    <n v="3650"/>
    <n v="13140"/>
  </r>
  <r>
    <x v="0"/>
    <x v="0"/>
    <x v="0"/>
    <x v="0"/>
    <x v="0"/>
    <s v="DK1_MedSmall"/>
    <x v="2"/>
    <x v="2"/>
    <x v="5"/>
    <x v="0"/>
    <x v="19"/>
    <n v="10"/>
    <n v="3650"/>
    <n v="13140"/>
  </r>
  <r>
    <x v="0"/>
    <x v="0"/>
    <x v="0"/>
    <x v="0"/>
    <x v="0"/>
    <s v="DK1_MedSmall"/>
    <x v="2"/>
    <x v="2"/>
    <x v="5"/>
    <x v="0"/>
    <x v="20"/>
    <n v="10"/>
    <n v="3650"/>
    <n v="13140"/>
  </r>
  <r>
    <x v="0"/>
    <x v="0"/>
    <x v="0"/>
    <x v="0"/>
    <x v="0"/>
    <s v="DK1_MedSmall"/>
    <x v="2"/>
    <x v="2"/>
    <x v="5"/>
    <x v="0"/>
    <x v="21"/>
    <n v="10"/>
    <n v="3650"/>
    <n v="13140"/>
  </r>
  <r>
    <x v="0"/>
    <x v="0"/>
    <x v="0"/>
    <x v="0"/>
    <x v="0"/>
    <s v="DK1_MedSmall"/>
    <x v="2"/>
    <x v="2"/>
    <x v="5"/>
    <x v="0"/>
    <x v="22"/>
    <n v="10"/>
    <n v="3650"/>
    <n v="13140"/>
  </r>
  <r>
    <x v="0"/>
    <x v="0"/>
    <x v="0"/>
    <x v="0"/>
    <x v="0"/>
    <s v="DK1_MedSmall"/>
    <x v="2"/>
    <x v="2"/>
    <x v="5"/>
    <x v="0"/>
    <x v="23"/>
    <n v="10"/>
    <n v="3650"/>
    <n v="13140"/>
  </r>
  <r>
    <x v="0"/>
    <x v="0"/>
    <x v="0"/>
    <x v="0"/>
    <x v="0"/>
    <s v="DK1_MedSmall"/>
    <x v="2"/>
    <x v="2"/>
    <x v="6"/>
    <x v="0"/>
    <x v="0"/>
    <n v="4.5"/>
    <n v="1642.5"/>
    <n v="5913"/>
  </r>
  <r>
    <x v="0"/>
    <x v="0"/>
    <x v="0"/>
    <x v="0"/>
    <x v="0"/>
    <s v="DK1_MedSmall"/>
    <x v="2"/>
    <x v="2"/>
    <x v="6"/>
    <x v="0"/>
    <x v="1"/>
    <n v="4.5"/>
    <n v="1642.5"/>
    <n v="5913"/>
  </r>
  <r>
    <x v="0"/>
    <x v="0"/>
    <x v="0"/>
    <x v="0"/>
    <x v="0"/>
    <s v="DK1_MedSmall"/>
    <x v="2"/>
    <x v="2"/>
    <x v="6"/>
    <x v="0"/>
    <x v="2"/>
    <n v="4.5"/>
    <n v="1642.5"/>
    <n v="5913"/>
  </r>
  <r>
    <x v="0"/>
    <x v="0"/>
    <x v="0"/>
    <x v="0"/>
    <x v="0"/>
    <s v="DK1_MedSmall"/>
    <x v="2"/>
    <x v="2"/>
    <x v="6"/>
    <x v="0"/>
    <x v="3"/>
    <n v="4.5"/>
    <n v="1642.5"/>
    <n v="5913"/>
  </r>
  <r>
    <x v="0"/>
    <x v="0"/>
    <x v="0"/>
    <x v="0"/>
    <x v="0"/>
    <s v="DK1_MedSmall"/>
    <x v="2"/>
    <x v="2"/>
    <x v="6"/>
    <x v="0"/>
    <x v="4"/>
    <n v="4.5"/>
    <n v="1642.5"/>
    <n v="5913"/>
  </r>
  <r>
    <x v="0"/>
    <x v="0"/>
    <x v="0"/>
    <x v="0"/>
    <x v="0"/>
    <s v="DK1_MedSmall"/>
    <x v="2"/>
    <x v="2"/>
    <x v="6"/>
    <x v="0"/>
    <x v="5"/>
    <n v="4.5"/>
    <n v="1642.5"/>
    <n v="5913"/>
  </r>
  <r>
    <x v="0"/>
    <x v="0"/>
    <x v="0"/>
    <x v="0"/>
    <x v="0"/>
    <s v="DK1_MedSmall"/>
    <x v="2"/>
    <x v="2"/>
    <x v="6"/>
    <x v="0"/>
    <x v="6"/>
    <n v="4.5"/>
    <n v="1642.5"/>
    <n v="5913"/>
  </r>
  <r>
    <x v="0"/>
    <x v="0"/>
    <x v="0"/>
    <x v="0"/>
    <x v="0"/>
    <s v="DK1_MedSmall"/>
    <x v="2"/>
    <x v="2"/>
    <x v="6"/>
    <x v="0"/>
    <x v="7"/>
    <n v="4.5"/>
    <n v="1642.5"/>
    <n v="5913"/>
  </r>
  <r>
    <x v="0"/>
    <x v="0"/>
    <x v="0"/>
    <x v="0"/>
    <x v="0"/>
    <s v="DK1_MedSmall"/>
    <x v="2"/>
    <x v="2"/>
    <x v="6"/>
    <x v="0"/>
    <x v="8"/>
    <n v="4.5"/>
    <n v="1642.5"/>
    <n v="5913"/>
  </r>
  <r>
    <x v="0"/>
    <x v="0"/>
    <x v="0"/>
    <x v="0"/>
    <x v="0"/>
    <s v="DK1_MedSmall"/>
    <x v="2"/>
    <x v="2"/>
    <x v="6"/>
    <x v="0"/>
    <x v="9"/>
    <n v="4.5"/>
    <n v="1642.5"/>
    <n v="5913"/>
  </r>
  <r>
    <x v="0"/>
    <x v="0"/>
    <x v="0"/>
    <x v="0"/>
    <x v="0"/>
    <s v="DK1_MedSmall"/>
    <x v="2"/>
    <x v="2"/>
    <x v="6"/>
    <x v="0"/>
    <x v="10"/>
    <n v="4.5"/>
    <n v="1642.5"/>
    <n v="5913"/>
  </r>
  <r>
    <x v="0"/>
    <x v="0"/>
    <x v="0"/>
    <x v="0"/>
    <x v="0"/>
    <s v="DK1_MedSmall"/>
    <x v="2"/>
    <x v="2"/>
    <x v="6"/>
    <x v="0"/>
    <x v="11"/>
    <n v="4.5"/>
    <n v="1642.5"/>
    <n v="5913"/>
  </r>
  <r>
    <x v="0"/>
    <x v="0"/>
    <x v="0"/>
    <x v="0"/>
    <x v="0"/>
    <s v="DK1_MedSmall"/>
    <x v="2"/>
    <x v="2"/>
    <x v="6"/>
    <x v="0"/>
    <x v="12"/>
    <n v="4.5"/>
    <n v="1642.5"/>
    <n v="5913"/>
  </r>
  <r>
    <x v="0"/>
    <x v="0"/>
    <x v="0"/>
    <x v="0"/>
    <x v="0"/>
    <s v="DK1_MedSmall"/>
    <x v="2"/>
    <x v="2"/>
    <x v="6"/>
    <x v="0"/>
    <x v="13"/>
    <n v="4.5"/>
    <n v="1642.5"/>
    <n v="5913"/>
  </r>
  <r>
    <x v="0"/>
    <x v="0"/>
    <x v="0"/>
    <x v="0"/>
    <x v="0"/>
    <s v="DK1_MedSmall"/>
    <x v="2"/>
    <x v="2"/>
    <x v="6"/>
    <x v="0"/>
    <x v="14"/>
    <n v="4.5"/>
    <n v="1642.5"/>
    <n v="5913"/>
  </r>
  <r>
    <x v="0"/>
    <x v="0"/>
    <x v="0"/>
    <x v="0"/>
    <x v="0"/>
    <s v="DK1_MedSmall"/>
    <x v="2"/>
    <x v="2"/>
    <x v="6"/>
    <x v="0"/>
    <x v="15"/>
    <n v="4.5"/>
    <n v="1642.5"/>
    <n v="5913"/>
  </r>
  <r>
    <x v="0"/>
    <x v="0"/>
    <x v="0"/>
    <x v="0"/>
    <x v="0"/>
    <s v="DK1_MedSmall"/>
    <x v="2"/>
    <x v="2"/>
    <x v="6"/>
    <x v="0"/>
    <x v="16"/>
    <n v="4.5"/>
    <n v="1642.5"/>
    <n v="5913"/>
  </r>
  <r>
    <x v="0"/>
    <x v="0"/>
    <x v="0"/>
    <x v="0"/>
    <x v="0"/>
    <s v="DK1_MedSmall"/>
    <x v="2"/>
    <x v="2"/>
    <x v="6"/>
    <x v="0"/>
    <x v="17"/>
    <n v="4.5"/>
    <n v="1642.5"/>
    <n v="5913"/>
  </r>
  <r>
    <x v="0"/>
    <x v="0"/>
    <x v="0"/>
    <x v="0"/>
    <x v="0"/>
    <s v="DK1_MedSmall"/>
    <x v="2"/>
    <x v="2"/>
    <x v="6"/>
    <x v="0"/>
    <x v="18"/>
    <n v="4.5"/>
    <n v="1642.5"/>
    <n v="5913"/>
  </r>
  <r>
    <x v="0"/>
    <x v="0"/>
    <x v="0"/>
    <x v="0"/>
    <x v="0"/>
    <s v="DK1_MedSmall"/>
    <x v="2"/>
    <x v="2"/>
    <x v="6"/>
    <x v="0"/>
    <x v="19"/>
    <n v="4.5"/>
    <n v="1642.5"/>
    <n v="5913"/>
  </r>
  <r>
    <x v="0"/>
    <x v="0"/>
    <x v="0"/>
    <x v="0"/>
    <x v="0"/>
    <s v="DK1_MedSmall"/>
    <x v="2"/>
    <x v="2"/>
    <x v="6"/>
    <x v="0"/>
    <x v="20"/>
    <n v="4.5"/>
    <n v="1642.5"/>
    <n v="5913"/>
  </r>
  <r>
    <x v="0"/>
    <x v="0"/>
    <x v="0"/>
    <x v="0"/>
    <x v="0"/>
    <s v="DK1_MedSmall"/>
    <x v="2"/>
    <x v="2"/>
    <x v="6"/>
    <x v="0"/>
    <x v="21"/>
    <n v="4.5"/>
    <n v="1642.5"/>
    <n v="5913"/>
  </r>
  <r>
    <x v="0"/>
    <x v="0"/>
    <x v="0"/>
    <x v="0"/>
    <x v="0"/>
    <s v="DK1_MedSmall"/>
    <x v="2"/>
    <x v="2"/>
    <x v="6"/>
    <x v="0"/>
    <x v="22"/>
    <n v="4.5"/>
    <n v="1642.5"/>
    <n v="5913"/>
  </r>
  <r>
    <x v="0"/>
    <x v="0"/>
    <x v="0"/>
    <x v="0"/>
    <x v="0"/>
    <s v="DK1_MedSmall"/>
    <x v="2"/>
    <x v="2"/>
    <x v="6"/>
    <x v="0"/>
    <x v="23"/>
    <n v="4.5"/>
    <n v="1642.5"/>
    <n v="5913"/>
  </r>
  <r>
    <x v="0"/>
    <x v="0"/>
    <x v="0"/>
    <x v="0"/>
    <x v="0"/>
    <s v="DK1_MedSmall"/>
    <x v="2"/>
    <x v="2"/>
    <x v="7"/>
    <x v="0"/>
    <x v="0"/>
    <n v="7"/>
    <n v="2555"/>
    <n v="9198"/>
  </r>
  <r>
    <x v="0"/>
    <x v="0"/>
    <x v="0"/>
    <x v="0"/>
    <x v="0"/>
    <s v="DK1_MedSmall"/>
    <x v="2"/>
    <x v="2"/>
    <x v="7"/>
    <x v="0"/>
    <x v="1"/>
    <n v="7"/>
    <n v="2555"/>
    <n v="9198"/>
  </r>
  <r>
    <x v="0"/>
    <x v="0"/>
    <x v="0"/>
    <x v="0"/>
    <x v="0"/>
    <s v="DK1_MedSmall"/>
    <x v="2"/>
    <x v="2"/>
    <x v="7"/>
    <x v="0"/>
    <x v="2"/>
    <n v="7"/>
    <n v="2555"/>
    <n v="9198"/>
  </r>
  <r>
    <x v="0"/>
    <x v="0"/>
    <x v="0"/>
    <x v="0"/>
    <x v="0"/>
    <s v="DK1_MedSmall"/>
    <x v="2"/>
    <x v="2"/>
    <x v="7"/>
    <x v="0"/>
    <x v="3"/>
    <n v="7"/>
    <n v="2555"/>
    <n v="9198"/>
  </r>
  <r>
    <x v="0"/>
    <x v="0"/>
    <x v="0"/>
    <x v="0"/>
    <x v="0"/>
    <s v="DK1_MedSmall"/>
    <x v="2"/>
    <x v="2"/>
    <x v="7"/>
    <x v="0"/>
    <x v="4"/>
    <n v="7"/>
    <n v="2555"/>
    <n v="9198"/>
  </r>
  <r>
    <x v="0"/>
    <x v="0"/>
    <x v="0"/>
    <x v="0"/>
    <x v="0"/>
    <s v="DK1_MedSmall"/>
    <x v="2"/>
    <x v="2"/>
    <x v="7"/>
    <x v="0"/>
    <x v="5"/>
    <n v="7"/>
    <n v="2555"/>
    <n v="9198"/>
  </r>
  <r>
    <x v="0"/>
    <x v="0"/>
    <x v="0"/>
    <x v="0"/>
    <x v="0"/>
    <s v="DK1_MedSmall"/>
    <x v="2"/>
    <x v="2"/>
    <x v="7"/>
    <x v="0"/>
    <x v="6"/>
    <n v="7"/>
    <n v="2555"/>
    <n v="9198"/>
  </r>
  <r>
    <x v="0"/>
    <x v="0"/>
    <x v="0"/>
    <x v="0"/>
    <x v="0"/>
    <s v="DK1_MedSmall"/>
    <x v="2"/>
    <x v="2"/>
    <x v="7"/>
    <x v="0"/>
    <x v="7"/>
    <n v="7"/>
    <n v="2555"/>
    <n v="9198"/>
  </r>
  <r>
    <x v="0"/>
    <x v="0"/>
    <x v="0"/>
    <x v="0"/>
    <x v="0"/>
    <s v="DK1_MedSmall"/>
    <x v="2"/>
    <x v="2"/>
    <x v="7"/>
    <x v="0"/>
    <x v="8"/>
    <n v="7"/>
    <n v="2555"/>
    <n v="9198"/>
  </r>
  <r>
    <x v="0"/>
    <x v="0"/>
    <x v="0"/>
    <x v="0"/>
    <x v="0"/>
    <s v="DK1_MedSmall"/>
    <x v="2"/>
    <x v="2"/>
    <x v="7"/>
    <x v="0"/>
    <x v="9"/>
    <n v="7"/>
    <n v="2555"/>
    <n v="9198"/>
  </r>
  <r>
    <x v="0"/>
    <x v="0"/>
    <x v="0"/>
    <x v="0"/>
    <x v="0"/>
    <s v="DK1_MedSmall"/>
    <x v="2"/>
    <x v="2"/>
    <x v="7"/>
    <x v="0"/>
    <x v="10"/>
    <n v="7"/>
    <n v="2555"/>
    <n v="9198"/>
  </r>
  <r>
    <x v="0"/>
    <x v="0"/>
    <x v="0"/>
    <x v="0"/>
    <x v="0"/>
    <s v="DK1_MedSmall"/>
    <x v="2"/>
    <x v="2"/>
    <x v="7"/>
    <x v="0"/>
    <x v="11"/>
    <n v="7"/>
    <n v="2555"/>
    <n v="9198"/>
  </r>
  <r>
    <x v="0"/>
    <x v="0"/>
    <x v="0"/>
    <x v="0"/>
    <x v="0"/>
    <s v="DK1_MedSmall"/>
    <x v="2"/>
    <x v="2"/>
    <x v="7"/>
    <x v="0"/>
    <x v="12"/>
    <n v="7"/>
    <n v="2555"/>
    <n v="9198"/>
  </r>
  <r>
    <x v="0"/>
    <x v="0"/>
    <x v="0"/>
    <x v="0"/>
    <x v="0"/>
    <s v="DK1_MedSmall"/>
    <x v="2"/>
    <x v="2"/>
    <x v="7"/>
    <x v="0"/>
    <x v="13"/>
    <n v="7"/>
    <n v="2555"/>
    <n v="9198"/>
  </r>
  <r>
    <x v="0"/>
    <x v="0"/>
    <x v="0"/>
    <x v="0"/>
    <x v="0"/>
    <s v="DK1_MedSmall"/>
    <x v="2"/>
    <x v="2"/>
    <x v="7"/>
    <x v="0"/>
    <x v="14"/>
    <n v="7"/>
    <n v="2555"/>
    <n v="9198"/>
  </r>
  <r>
    <x v="0"/>
    <x v="0"/>
    <x v="0"/>
    <x v="0"/>
    <x v="0"/>
    <s v="DK1_MedSmall"/>
    <x v="2"/>
    <x v="2"/>
    <x v="7"/>
    <x v="0"/>
    <x v="15"/>
    <n v="7"/>
    <n v="2555"/>
    <n v="9198"/>
  </r>
  <r>
    <x v="0"/>
    <x v="0"/>
    <x v="0"/>
    <x v="0"/>
    <x v="0"/>
    <s v="DK1_MedSmall"/>
    <x v="2"/>
    <x v="2"/>
    <x v="7"/>
    <x v="0"/>
    <x v="16"/>
    <n v="7"/>
    <n v="2555"/>
    <n v="9198"/>
  </r>
  <r>
    <x v="0"/>
    <x v="0"/>
    <x v="0"/>
    <x v="0"/>
    <x v="0"/>
    <s v="DK1_MedSmall"/>
    <x v="2"/>
    <x v="2"/>
    <x v="7"/>
    <x v="0"/>
    <x v="17"/>
    <n v="7"/>
    <n v="2555"/>
    <n v="9198"/>
  </r>
  <r>
    <x v="0"/>
    <x v="0"/>
    <x v="0"/>
    <x v="0"/>
    <x v="0"/>
    <s v="DK1_MedSmall"/>
    <x v="2"/>
    <x v="2"/>
    <x v="7"/>
    <x v="0"/>
    <x v="18"/>
    <n v="7"/>
    <n v="2555"/>
    <n v="9198"/>
  </r>
  <r>
    <x v="0"/>
    <x v="0"/>
    <x v="0"/>
    <x v="0"/>
    <x v="0"/>
    <s v="DK1_MedSmall"/>
    <x v="2"/>
    <x v="2"/>
    <x v="7"/>
    <x v="0"/>
    <x v="19"/>
    <n v="7"/>
    <n v="2555"/>
    <n v="9198"/>
  </r>
  <r>
    <x v="0"/>
    <x v="0"/>
    <x v="0"/>
    <x v="0"/>
    <x v="0"/>
    <s v="DK1_MedSmall"/>
    <x v="2"/>
    <x v="2"/>
    <x v="7"/>
    <x v="0"/>
    <x v="20"/>
    <n v="7"/>
    <n v="2555"/>
    <n v="9198"/>
  </r>
  <r>
    <x v="0"/>
    <x v="0"/>
    <x v="0"/>
    <x v="0"/>
    <x v="0"/>
    <s v="DK1_MedSmall"/>
    <x v="2"/>
    <x v="2"/>
    <x v="7"/>
    <x v="0"/>
    <x v="21"/>
    <n v="7"/>
    <n v="2555"/>
    <n v="9198"/>
  </r>
  <r>
    <x v="0"/>
    <x v="0"/>
    <x v="0"/>
    <x v="0"/>
    <x v="0"/>
    <s v="DK1_MedSmall"/>
    <x v="2"/>
    <x v="2"/>
    <x v="7"/>
    <x v="0"/>
    <x v="22"/>
    <n v="7"/>
    <n v="2555"/>
    <n v="9198"/>
  </r>
  <r>
    <x v="0"/>
    <x v="0"/>
    <x v="0"/>
    <x v="0"/>
    <x v="0"/>
    <s v="DK1_MedSmall"/>
    <x v="2"/>
    <x v="2"/>
    <x v="7"/>
    <x v="0"/>
    <x v="23"/>
    <n v="7"/>
    <n v="2555"/>
    <n v="9198"/>
  </r>
  <r>
    <x v="0"/>
    <x v="0"/>
    <x v="0"/>
    <x v="0"/>
    <x v="0"/>
    <s v="DK1_Medium"/>
    <x v="1"/>
    <x v="1"/>
    <x v="2"/>
    <x v="0"/>
    <x v="0"/>
    <n v="-13.450731334714201"/>
    <n v="-4909.5169371706797"/>
    <n v="-17674.260973814398"/>
  </r>
  <r>
    <x v="0"/>
    <x v="0"/>
    <x v="0"/>
    <x v="0"/>
    <x v="0"/>
    <s v="DK1_Medium"/>
    <x v="1"/>
    <x v="1"/>
    <x v="2"/>
    <x v="0"/>
    <x v="1"/>
    <n v="-9.4181286225466501"/>
    <n v="-3437.6169472295301"/>
    <n v="-12375.421010026301"/>
  </r>
  <r>
    <x v="0"/>
    <x v="0"/>
    <x v="0"/>
    <x v="0"/>
    <x v="0"/>
    <s v="DK1_Medium"/>
    <x v="1"/>
    <x v="1"/>
    <x v="2"/>
    <x v="0"/>
    <x v="2"/>
    <n v="-6.4608866336237698"/>
    <n v="-2358.2236212726798"/>
    <n v="-8489.6050365816409"/>
  </r>
  <r>
    <x v="0"/>
    <x v="0"/>
    <x v="0"/>
    <x v="0"/>
    <x v="0"/>
    <s v="DK1_Medium"/>
    <x v="1"/>
    <x v="1"/>
    <x v="2"/>
    <x v="0"/>
    <x v="3"/>
    <n v="-8.6116080801131698"/>
    <n v="-3143.23694924131"/>
    <n v="-11315.6530172687"/>
  </r>
  <r>
    <x v="0"/>
    <x v="0"/>
    <x v="0"/>
    <x v="0"/>
    <x v="0"/>
    <s v="DK1_Medium"/>
    <x v="1"/>
    <x v="1"/>
    <x v="2"/>
    <x v="0"/>
    <x v="4"/>
    <n v="-19.0963751317488"/>
    <n v="-6970.1769230883101"/>
    <n v="-25092.636923117901"/>
  </r>
  <r>
    <x v="0"/>
    <x v="0"/>
    <x v="0"/>
    <x v="0"/>
    <x v="0"/>
    <s v="DK1_Medium"/>
    <x v="1"/>
    <x v="1"/>
    <x v="2"/>
    <x v="0"/>
    <x v="5"/>
    <n v="-26.892740375272702"/>
    <n v="-9815.8502369745293"/>
    <n v="-35337.060853108298"/>
  </r>
  <r>
    <x v="0"/>
    <x v="0"/>
    <x v="0"/>
    <x v="0"/>
    <x v="0"/>
    <s v="DK1_Medium"/>
    <x v="1"/>
    <x v="1"/>
    <x v="2"/>
    <x v="0"/>
    <x v="6"/>
    <n v="-30"/>
    <n v="-10950"/>
    <n v="-39420"/>
  </r>
  <r>
    <x v="0"/>
    <x v="0"/>
    <x v="0"/>
    <x v="0"/>
    <x v="0"/>
    <s v="DK1_Medium"/>
    <x v="1"/>
    <x v="1"/>
    <x v="2"/>
    <x v="0"/>
    <x v="7"/>
    <n v="-30"/>
    <n v="-10950"/>
    <n v="-39420"/>
  </r>
  <r>
    <x v="0"/>
    <x v="0"/>
    <x v="0"/>
    <x v="0"/>
    <x v="0"/>
    <s v="DK1_Medium"/>
    <x v="1"/>
    <x v="1"/>
    <x v="2"/>
    <x v="0"/>
    <x v="8"/>
    <n v="-30"/>
    <n v="-10950"/>
    <n v="-39420"/>
  </r>
  <r>
    <x v="0"/>
    <x v="0"/>
    <x v="0"/>
    <x v="0"/>
    <x v="0"/>
    <s v="DK1_Medium"/>
    <x v="1"/>
    <x v="1"/>
    <x v="2"/>
    <x v="0"/>
    <x v="9"/>
    <n v="-30"/>
    <n v="-10950"/>
    <n v="-39420"/>
  </r>
  <r>
    <x v="0"/>
    <x v="0"/>
    <x v="0"/>
    <x v="0"/>
    <x v="0"/>
    <s v="DK1_Medium"/>
    <x v="1"/>
    <x v="1"/>
    <x v="2"/>
    <x v="0"/>
    <x v="10"/>
    <n v="-30"/>
    <n v="-10950"/>
    <n v="-39420"/>
  </r>
  <r>
    <x v="0"/>
    <x v="0"/>
    <x v="0"/>
    <x v="0"/>
    <x v="0"/>
    <s v="DK1_Medium"/>
    <x v="1"/>
    <x v="1"/>
    <x v="2"/>
    <x v="0"/>
    <x v="11"/>
    <n v="-30"/>
    <n v="-10950"/>
    <n v="-39420"/>
  </r>
  <r>
    <x v="0"/>
    <x v="0"/>
    <x v="0"/>
    <x v="0"/>
    <x v="0"/>
    <s v="DK1_Medium"/>
    <x v="1"/>
    <x v="1"/>
    <x v="2"/>
    <x v="0"/>
    <x v="12"/>
    <n v="-30"/>
    <n v="-10950"/>
    <n v="-39420"/>
  </r>
  <r>
    <x v="0"/>
    <x v="0"/>
    <x v="0"/>
    <x v="0"/>
    <x v="0"/>
    <s v="DK1_Medium"/>
    <x v="1"/>
    <x v="1"/>
    <x v="2"/>
    <x v="0"/>
    <x v="13"/>
    <n v="-30"/>
    <n v="-10950"/>
    <n v="-39420"/>
  </r>
  <r>
    <x v="0"/>
    <x v="0"/>
    <x v="0"/>
    <x v="0"/>
    <x v="0"/>
    <s v="DK1_Medium"/>
    <x v="1"/>
    <x v="1"/>
    <x v="2"/>
    <x v="0"/>
    <x v="14"/>
    <n v="-30"/>
    <n v="-10950"/>
    <n v="-39420"/>
  </r>
  <r>
    <x v="0"/>
    <x v="0"/>
    <x v="0"/>
    <x v="0"/>
    <x v="0"/>
    <s v="DK1_Medium"/>
    <x v="1"/>
    <x v="1"/>
    <x v="2"/>
    <x v="0"/>
    <x v="15"/>
    <n v="-30"/>
    <n v="-10950"/>
    <n v="-39420"/>
  </r>
  <r>
    <x v="0"/>
    <x v="0"/>
    <x v="0"/>
    <x v="0"/>
    <x v="0"/>
    <s v="DK1_Medium"/>
    <x v="1"/>
    <x v="1"/>
    <x v="2"/>
    <x v="0"/>
    <x v="16"/>
    <n v="-30"/>
    <n v="-10950"/>
    <n v="-39420"/>
  </r>
  <r>
    <x v="0"/>
    <x v="0"/>
    <x v="0"/>
    <x v="0"/>
    <x v="0"/>
    <s v="DK1_Medium"/>
    <x v="1"/>
    <x v="1"/>
    <x v="2"/>
    <x v="0"/>
    <x v="17"/>
    <n v="-24.4622703012115"/>
    <n v="-8928.7286599422096"/>
    <n v="-32143.423175791999"/>
  </r>
  <r>
    <x v="0"/>
    <x v="0"/>
    <x v="0"/>
    <x v="0"/>
    <x v="0"/>
    <s v="DK1_Medium"/>
    <x v="1"/>
    <x v="1"/>
    <x v="2"/>
    <x v="0"/>
    <x v="22"/>
    <n v="-30"/>
    <n v="-10950"/>
    <n v="-39420"/>
  </r>
  <r>
    <x v="0"/>
    <x v="0"/>
    <x v="0"/>
    <x v="0"/>
    <x v="0"/>
    <s v="DK1_Medium"/>
    <x v="1"/>
    <x v="1"/>
    <x v="2"/>
    <x v="0"/>
    <x v="23"/>
    <n v="-30"/>
    <n v="-10950"/>
    <n v="-39420"/>
  </r>
  <r>
    <x v="0"/>
    <x v="0"/>
    <x v="0"/>
    <x v="0"/>
    <x v="0"/>
    <s v="DK1_Medium"/>
    <x v="2"/>
    <x v="2"/>
    <x v="6"/>
    <x v="0"/>
    <x v="6"/>
    <n v="13.6317570015862"/>
    <n v="4975.5913055789497"/>
    <n v="17912.128700084198"/>
  </r>
  <r>
    <x v="0"/>
    <x v="0"/>
    <x v="0"/>
    <x v="0"/>
    <x v="0"/>
    <s v="DK1_Medium"/>
    <x v="2"/>
    <x v="2"/>
    <x v="6"/>
    <x v="0"/>
    <x v="7"/>
    <n v="27.546420412467899"/>
    <n v="10054.4434505508"/>
    <n v="36195.996421982803"/>
  </r>
  <r>
    <x v="0"/>
    <x v="0"/>
    <x v="0"/>
    <x v="0"/>
    <x v="0"/>
    <s v="DK1_Medium"/>
    <x v="2"/>
    <x v="2"/>
    <x v="6"/>
    <x v="0"/>
    <x v="8"/>
    <n v="30.885939631079498"/>
    <n v="11273.367965343999"/>
    <n v="40584.124675238403"/>
  </r>
  <r>
    <x v="0"/>
    <x v="0"/>
    <x v="0"/>
    <x v="0"/>
    <x v="0"/>
    <s v="DK1_Medium"/>
    <x v="2"/>
    <x v="2"/>
    <x v="6"/>
    <x v="0"/>
    <x v="9"/>
    <n v="32.6352116027332"/>
    <n v="11911.852234997599"/>
    <n v="42882.668045991399"/>
  </r>
  <r>
    <x v="0"/>
    <x v="0"/>
    <x v="0"/>
    <x v="0"/>
    <x v="0"/>
    <s v="DK1_Medium"/>
    <x v="2"/>
    <x v="2"/>
    <x v="6"/>
    <x v="0"/>
    <x v="10"/>
    <n v="32.158137428645801"/>
    <n v="11737.7201614557"/>
    <n v="42255.792581240603"/>
  </r>
  <r>
    <x v="0"/>
    <x v="0"/>
    <x v="0"/>
    <x v="0"/>
    <x v="0"/>
    <s v="DK1_Medium"/>
    <x v="2"/>
    <x v="2"/>
    <x v="6"/>
    <x v="0"/>
    <x v="11"/>
    <n v="32.2376497909937"/>
    <n v="11766.742173712701"/>
    <n v="42360.2718253657"/>
  </r>
  <r>
    <x v="0"/>
    <x v="0"/>
    <x v="0"/>
    <x v="0"/>
    <x v="0"/>
    <s v="DK1_Medium"/>
    <x v="2"/>
    <x v="2"/>
    <x v="6"/>
    <x v="0"/>
    <x v="12"/>
    <n v="31.363013805166801"/>
    <n v="11447.500038885901"/>
    <n v="41211.000139989199"/>
  </r>
  <r>
    <x v="0"/>
    <x v="0"/>
    <x v="0"/>
    <x v="0"/>
    <x v="0"/>
    <s v="DK1_Medium"/>
    <x v="2"/>
    <x v="2"/>
    <x v="6"/>
    <x v="0"/>
    <x v="13"/>
    <n v="27.864469861859401"/>
    <n v="10170.531499578699"/>
    <n v="36613.913398483302"/>
  </r>
  <r>
    <x v="0"/>
    <x v="0"/>
    <x v="0"/>
    <x v="0"/>
    <x v="0"/>
    <s v="DK1_Medium"/>
    <x v="2"/>
    <x v="2"/>
    <x v="6"/>
    <x v="0"/>
    <x v="14"/>
    <n v="28.818618210034199"/>
    <n v="10518.7956466625"/>
    <n v="37867.664327984901"/>
  </r>
  <r>
    <x v="0"/>
    <x v="0"/>
    <x v="0"/>
    <x v="0"/>
    <x v="0"/>
    <s v="DK1_Medium"/>
    <x v="2"/>
    <x v="2"/>
    <x v="6"/>
    <x v="0"/>
    <x v="15"/>
    <n v="29.7727665582089"/>
    <n v="10867.059793746301"/>
    <n v="39121.4152574865"/>
  </r>
  <r>
    <x v="0"/>
    <x v="0"/>
    <x v="0"/>
    <x v="0"/>
    <x v="0"/>
    <s v="DK1_Medium"/>
    <x v="2"/>
    <x v="2"/>
    <x v="6"/>
    <x v="0"/>
    <x v="16"/>
    <n v="31.601550892210501"/>
    <n v="11534.5660756568"/>
    <n v="41524.4378723646"/>
  </r>
  <r>
    <x v="0"/>
    <x v="0"/>
    <x v="0"/>
    <x v="0"/>
    <x v="0"/>
    <s v="DK1_Medium"/>
    <x v="2"/>
    <x v="2"/>
    <x v="6"/>
    <x v="0"/>
    <x v="17"/>
    <n v="32.841831939623297"/>
    <n v="11987.268657962501"/>
    <n v="43154.167168665001"/>
  </r>
  <r>
    <x v="0"/>
    <x v="0"/>
    <x v="0"/>
    <x v="0"/>
    <x v="0"/>
    <s v="DK1_Medium"/>
    <x v="2"/>
    <x v="2"/>
    <x v="6"/>
    <x v="0"/>
    <x v="18"/>
    <n v="40.39485978463"/>
    <n v="14744.12382139"/>
    <n v="53078.845757003903"/>
  </r>
  <r>
    <x v="0"/>
    <x v="0"/>
    <x v="0"/>
    <x v="0"/>
    <x v="0"/>
    <s v="DK1_Medium"/>
    <x v="2"/>
    <x v="2"/>
    <x v="6"/>
    <x v="0"/>
    <x v="19"/>
    <n v="40.076810335238498"/>
    <n v="14628.035772362"/>
    <n v="52660.928780503302"/>
  </r>
  <r>
    <x v="0"/>
    <x v="0"/>
    <x v="0"/>
    <x v="0"/>
    <x v="0"/>
    <s v="DK1_Medium"/>
    <x v="2"/>
    <x v="2"/>
    <x v="6"/>
    <x v="0"/>
    <x v="20"/>
    <n v="38.3275383635848"/>
    <n v="13989.5515027084"/>
    <n v="50362.385409750401"/>
  </r>
  <r>
    <x v="0"/>
    <x v="0"/>
    <x v="0"/>
    <x v="0"/>
    <x v="0"/>
    <s v="DK1_Medium"/>
    <x v="2"/>
    <x v="2"/>
    <x v="6"/>
    <x v="0"/>
    <x v="21"/>
    <n v="27.6728818089668"/>
    <n v="10100.6018602729"/>
    <n v="36362.166696982298"/>
  </r>
  <r>
    <x v="0"/>
    <x v="0"/>
    <x v="0"/>
    <x v="0"/>
    <x v="0"/>
    <s v="DK1_Medium"/>
    <x v="2"/>
    <x v="2"/>
    <x v="6"/>
    <x v="0"/>
    <x v="22"/>
    <n v="18.004936930720401"/>
    <n v="6571.80197971295"/>
    <n v="23658.4871269666"/>
  </r>
  <r>
    <x v="0"/>
    <x v="0"/>
    <x v="0"/>
    <x v="0"/>
    <x v="0"/>
    <s v="DK1_Medium"/>
    <x v="2"/>
    <x v="2"/>
    <x v="6"/>
    <x v="0"/>
    <x v="23"/>
    <n v="16.017127872023"/>
    <n v="5846.2516732884096"/>
    <n v="21046.506023838301"/>
  </r>
  <r>
    <x v="0"/>
    <x v="0"/>
    <x v="0"/>
    <x v="0"/>
    <x v="0"/>
    <s v="DK1_Medium"/>
    <x v="3"/>
    <x v="2"/>
    <x v="8"/>
    <x v="0"/>
    <x v="0"/>
    <n v="90.4"/>
    <n v="32996"/>
    <n v="118785.60000000001"/>
  </r>
  <r>
    <x v="0"/>
    <x v="0"/>
    <x v="0"/>
    <x v="0"/>
    <x v="0"/>
    <s v="DK1_Medium"/>
    <x v="3"/>
    <x v="2"/>
    <x v="8"/>
    <x v="0"/>
    <x v="1"/>
    <n v="90.4"/>
    <n v="32996"/>
    <n v="118785.60000000001"/>
  </r>
  <r>
    <x v="0"/>
    <x v="0"/>
    <x v="0"/>
    <x v="0"/>
    <x v="0"/>
    <s v="DK1_Medium"/>
    <x v="3"/>
    <x v="2"/>
    <x v="8"/>
    <x v="0"/>
    <x v="2"/>
    <n v="90.4"/>
    <n v="32996"/>
    <n v="118785.60000000001"/>
  </r>
  <r>
    <x v="0"/>
    <x v="0"/>
    <x v="0"/>
    <x v="0"/>
    <x v="0"/>
    <s v="DK1_Medium"/>
    <x v="3"/>
    <x v="2"/>
    <x v="8"/>
    <x v="0"/>
    <x v="3"/>
    <n v="90.4"/>
    <n v="32996"/>
    <n v="118785.60000000001"/>
  </r>
  <r>
    <x v="0"/>
    <x v="0"/>
    <x v="0"/>
    <x v="0"/>
    <x v="0"/>
    <s v="DK1_Medium"/>
    <x v="3"/>
    <x v="2"/>
    <x v="8"/>
    <x v="0"/>
    <x v="4"/>
    <n v="90.4"/>
    <n v="32996"/>
    <n v="118785.60000000001"/>
  </r>
  <r>
    <x v="0"/>
    <x v="0"/>
    <x v="0"/>
    <x v="0"/>
    <x v="0"/>
    <s v="DK1_Medium"/>
    <x v="3"/>
    <x v="2"/>
    <x v="8"/>
    <x v="0"/>
    <x v="5"/>
    <n v="90.4"/>
    <n v="32996"/>
    <n v="118785.60000000001"/>
  </r>
  <r>
    <x v="0"/>
    <x v="0"/>
    <x v="0"/>
    <x v="0"/>
    <x v="0"/>
    <s v="DK1_Medium"/>
    <x v="3"/>
    <x v="2"/>
    <x v="8"/>
    <x v="0"/>
    <x v="6"/>
    <n v="90.4"/>
    <n v="32996"/>
    <n v="118785.60000000001"/>
  </r>
  <r>
    <x v="0"/>
    <x v="0"/>
    <x v="0"/>
    <x v="0"/>
    <x v="0"/>
    <s v="DK1_Medium"/>
    <x v="3"/>
    <x v="2"/>
    <x v="8"/>
    <x v="0"/>
    <x v="7"/>
    <n v="90.4"/>
    <n v="32996"/>
    <n v="118785.60000000001"/>
  </r>
  <r>
    <x v="0"/>
    <x v="0"/>
    <x v="0"/>
    <x v="0"/>
    <x v="0"/>
    <s v="DK1_Medium"/>
    <x v="3"/>
    <x v="2"/>
    <x v="8"/>
    <x v="0"/>
    <x v="8"/>
    <n v="90.4"/>
    <n v="32996"/>
    <n v="118785.60000000001"/>
  </r>
  <r>
    <x v="0"/>
    <x v="0"/>
    <x v="0"/>
    <x v="0"/>
    <x v="0"/>
    <s v="DK1_Medium"/>
    <x v="3"/>
    <x v="2"/>
    <x v="8"/>
    <x v="0"/>
    <x v="9"/>
    <n v="90.4"/>
    <n v="32996"/>
    <n v="118785.60000000001"/>
  </r>
  <r>
    <x v="0"/>
    <x v="0"/>
    <x v="0"/>
    <x v="0"/>
    <x v="0"/>
    <s v="DK1_Medium"/>
    <x v="3"/>
    <x v="2"/>
    <x v="8"/>
    <x v="0"/>
    <x v="10"/>
    <n v="90.4"/>
    <n v="32996"/>
    <n v="118785.60000000001"/>
  </r>
  <r>
    <x v="0"/>
    <x v="0"/>
    <x v="0"/>
    <x v="0"/>
    <x v="0"/>
    <s v="DK1_Medium"/>
    <x v="3"/>
    <x v="2"/>
    <x v="8"/>
    <x v="0"/>
    <x v="11"/>
    <n v="90.4"/>
    <n v="32996"/>
    <n v="118785.60000000001"/>
  </r>
  <r>
    <x v="0"/>
    <x v="0"/>
    <x v="0"/>
    <x v="0"/>
    <x v="0"/>
    <s v="DK1_Medium"/>
    <x v="3"/>
    <x v="2"/>
    <x v="8"/>
    <x v="0"/>
    <x v="12"/>
    <n v="90.4"/>
    <n v="32996"/>
    <n v="118785.60000000001"/>
  </r>
  <r>
    <x v="0"/>
    <x v="0"/>
    <x v="0"/>
    <x v="0"/>
    <x v="0"/>
    <s v="DK1_Medium"/>
    <x v="3"/>
    <x v="2"/>
    <x v="8"/>
    <x v="0"/>
    <x v="13"/>
    <n v="90.4"/>
    <n v="32996"/>
    <n v="118785.60000000001"/>
  </r>
  <r>
    <x v="0"/>
    <x v="0"/>
    <x v="0"/>
    <x v="0"/>
    <x v="0"/>
    <s v="DK1_Medium"/>
    <x v="3"/>
    <x v="2"/>
    <x v="8"/>
    <x v="0"/>
    <x v="14"/>
    <n v="90.4"/>
    <n v="32996"/>
    <n v="118785.60000000001"/>
  </r>
  <r>
    <x v="0"/>
    <x v="0"/>
    <x v="0"/>
    <x v="0"/>
    <x v="0"/>
    <s v="DK1_Medium"/>
    <x v="3"/>
    <x v="2"/>
    <x v="8"/>
    <x v="0"/>
    <x v="15"/>
    <n v="90.4"/>
    <n v="32996"/>
    <n v="118785.60000000001"/>
  </r>
  <r>
    <x v="0"/>
    <x v="0"/>
    <x v="0"/>
    <x v="0"/>
    <x v="0"/>
    <s v="DK1_Medium"/>
    <x v="3"/>
    <x v="2"/>
    <x v="8"/>
    <x v="0"/>
    <x v="16"/>
    <n v="90.4"/>
    <n v="32996"/>
    <n v="118785.60000000001"/>
  </r>
  <r>
    <x v="0"/>
    <x v="0"/>
    <x v="0"/>
    <x v="0"/>
    <x v="0"/>
    <s v="DK1_Medium"/>
    <x v="3"/>
    <x v="2"/>
    <x v="8"/>
    <x v="0"/>
    <x v="17"/>
    <n v="90.4"/>
    <n v="32996"/>
    <n v="118785.60000000001"/>
  </r>
  <r>
    <x v="0"/>
    <x v="0"/>
    <x v="0"/>
    <x v="0"/>
    <x v="0"/>
    <s v="DK1_Medium"/>
    <x v="3"/>
    <x v="2"/>
    <x v="8"/>
    <x v="0"/>
    <x v="18"/>
    <n v="90.4"/>
    <n v="32996"/>
    <n v="118785.60000000001"/>
  </r>
  <r>
    <x v="0"/>
    <x v="0"/>
    <x v="0"/>
    <x v="0"/>
    <x v="0"/>
    <s v="DK1_Medium"/>
    <x v="3"/>
    <x v="2"/>
    <x v="8"/>
    <x v="0"/>
    <x v="19"/>
    <n v="90.4"/>
    <n v="32996"/>
    <n v="118785.60000000001"/>
  </r>
  <r>
    <x v="0"/>
    <x v="0"/>
    <x v="0"/>
    <x v="0"/>
    <x v="0"/>
    <s v="DK1_Medium"/>
    <x v="3"/>
    <x v="2"/>
    <x v="8"/>
    <x v="0"/>
    <x v="20"/>
    <n v="90.4"/>
    <n v="32996"/>
    <n v="118785.60000000001"/>
  </r>
  <r>
    <x v="0"/>
    <x v="0"/>
    <x v="0"/>
    <x v="0"/>
    <x v="0"/>
    <s v="DK1_Medium"/>
    <x v="3"/>
    <x v="2"/>
    <x v="8"/>
    <x v="0"/>
    <x v="21"/>
    <n v="90.4"/>
    <n v="32996"/>
    <n v="118785.60000000001"/>
  </r>
  <r>
    <x v="0"/>
    <x v="0"/>
    <x v="0"/>
    <x v="0"/>
    <x v="0"/>
    <s v="DK1_Medium"/>
    <x v="3"/>
    <x v="2"/>
    <x v="8"/>
    <x v="0"/>
    <x v="22"/>
    <n v="90.4"/>
    <n v="32996"/>
    <n v="118785.60000000001"/>
  </r>
  <r>
    <x v="0"/>
    <x v="0"/>
    <x v="0"/>
    <x v="0"/>
    <x v="0"/>
    <s v="DK1_Medium"/>
    <x v="3"/>
    <x v="2"/>
    <x v="8"/>
    <x v="0"/>
    <x v="23"/>
    <n v="90.4"/>
    <n v="32996"/>
    <n v="118785.60000000001"/>
  </r>
  <r>
    <x v="0"/>
    <x v="0"/>
    <x v="0"/>
    <x v="0"/>
    <x v="0"/>
    <s v="DK1_NoDH"/>
    <x v="4"/>
    <x v="3"/>
    <x v="9"/>
    <x v="0"/>
    <x v="6"/>
    <n v="2.6834936531283899"/>
    <n v="979.47518339186297"/>
    <n v="3526.1106602107102"/>
  </r>
  <r>
    <x v="0"/>
    <x v="0"/>
    <x v="0"/>
    <x v="0"/>
    <x v="0"/>
    <s v="DK1_NoDH"/>
    <x v="4"/>
    <x v="3"/>
    <x v="9"/>
    <x v="0"/>
    <x v="7"/>
    <n v="28.6220291130481"/>
    <n v="10447.0406262626"/>
    <n v="37609.346254545198"/>
  </r>
  <r>
    <x v="0"/>
    <x v="0"/>
    <x v="0"/>
    <x v="0"/>
    <x v="0"/>
    <s v="DK1_NoDH"/>
    <x v="4"/>
    <x v="3"/>
    <x v="9"/>
    <x v="0"/>
    <x v="8"/>
    <n v="83.525167343862194"/>
    <n v="30486.686080509699"/>
    <n v="109752.06988983499"/>
  </r>
  <r>
    <x v="0"/>
    <x v="0"/>
    <x v="0"/>
    <x v="0"/>
    <x v="0"/>
    <s v="DK1_NoDH"/>
    <x v="4"/>
    <x v="3"/>
    <x v="9"/>
    <x v="0"/>
    <x v="9"/>
    <n v="136.36144450567099"/>
    <n v="49771.927244569903"/>
    <n v="179178.938080452"/>
  </r>
  <r>
    <x v="0"/>
    <x v="0"/>
    <x v="0"/>
    <x v="0"/>
    <x v="0"/>
    <s v="DK1_NoDH"/>
    <x v="4"/>
    <x v="3"/>
    <x v="9"/>
    <x v="0"/>
    <x v="10"/>
    <n v="181.73532548739701"/>
    <n v="66333.393802899998"/>
    <n v="238800.21769044001"/>
  </r>
  <r>
    <x v="0"/>
    <x v="0"/>
    <x v="0"/>
    <x v="0"/>
    <x v="0"/>
    <s v="DK1_NoDH"/>
    <x v="4"/>
    <x v="3"/>
    <x v="9"/>
    <x v="0"/>
    <x v="11"/>
    <n v="210.791281233717"/>
    <n v="76938.817650306795"/>
    <n v="276979.74354110402"/>
  </r>
  <r>
    <x v="0"/>
    <x v="0"/>
    <x v="0"/>
    <x v="0"/>
    <x v="0"/>
    <s v="DK1_NoDH"/>
    <x v="4"/>
    <x v="3"/>
    <x v="9"/>
    <x v="0"/>
    <x v="12"/>
    <n v="222.952646087256"/>
    <n v="81377.7158218486"/>
    <n v="292959.77695865498"/>
  </r>
  <r>
    <x v="0"/>
    <x v="0"/>
    <x v="0"/>
    <x v="0"/>
    <x v="0"/>
    <s v="DK1_NoDH"/>
    <x v="4"/>
    <x v="3"/>
    <x v="9"/>
    <x v="0"/>
    <x v="13"/>
    <n v="224.220168621287"/>
    <n v="81840.361546769898"/>
    <n v="294625.30156837101"/>
  </r>
  <r>
    <x v="0"/>
    <x v="0"/>
    <x v="0"/>
    <x v="0"/>
    <x v="0"/>
    <s v="DK1_NoDH"/>
    <x v="4"/>
    <x v="3"/>
    <x v="9"/>
    <x v="0"/>
    <x v="14"/>
    <n v="193.02883707439301"/>
    <n v="70455.525532153406"/>
    <n v="253639.891915752"/>
  </r>
  <r>
    <x v="0"/>
    <x v="0"/>
    <x v="0"/>
    <x v="0"/>
    <x v="0"/>
    <s v="DK1_NoDH"/>
    <x v="4"/>
    <x v="3"/>
    <x v="9"/>
    <x v="0"/>
    <x v="15"/>
    <n v="146.11337463235901"/>
    <n v="53331.381740810997"/>
    <n v="191992.97426691899"/>
  </r>
  <r>
    <x v="0"/>
    <x v="0"/>
    <x v="0"/>
    <x v="0"/>
    <x v="0"/>
    <s v="DK1_NoDH"/>
    <x v="4"/>
    <x v="3"/>
    <x v="9"/>
    <x v="0"/>
    <x v="16"/>
    <n v="93.100101080662895"/>
    <n v="33981.536894441902"/>
    <n v="122333.532819991"/>
  </r>
  <r>
    <x v="0"/>
    <x v="0"/>
    <x v="0"/>
    <x v="0"/>
    <x v="0"/>
    <s v="DK1_NoDH"/>
    <x v="4"/>
    <x v="3"/>
    <x v="9"/>
    <x v="0"/>
    <x v="17"/>
    <n v="35.359311050689598"/>
    <n v="12906.148533501701"/>
    <n v="46462.134720606198"/>
  </r>
  <r>
    <x v="0"/>
    <x v="0"/>
    <x v="0"/>
    <x v="0"/>
    <x v="0"/>
    <s v="DK1_NoDH"/>
    <x v="4"/>
    <x v="3"/>
    <x v="9"/>
    <x v="0"/>
    <x v="18"/>
    <n v="2.8947474088002001"/>
    <n v="1056.58280421207"/>
    <n v="3803.69809516346"/>
  </r>
  <r>
    <x v="0"/>
    <x v="0"/>
    <x v="0"/>
    <x v="0"/>
    <x v="0"/>
    <s v="DK1_NoDH"/>
    <x v="5"/>
    <x v="4"/>
    <x v="10"/>
    <x v="0"/>
    <x v="0"/>
    <n v="3.81847406923176"/>
    <n v="1393.7430352695901"/>
    <n v="5017.4749269705299"/>
  </r>
  <r>
    <x v="0"/>
    <x v="0"/>
    <x v="0"/>
    <x v="0"/>
    <x v="0"/>
    <s v="DK1_NoDH"/>
    <x v="5"/>
    <x v="4"/>
    <x v="10"/>
    <x v="0"/>
    <x v="1"/>
    <n v="3.81847406923176"/>
    <n v="1393.7430352695901"/>
    <n v="5017.4749269705299"/>
  </r>
  <r>
    <x v="0"/>
    <x v="0"/>
    <x v="0"/>
    <x v="0"/>
    <x v="0"/>
    <s v="DK1_NoDH"/>
    <x v="5"/>
    <x v="4"/>
    <x v="10"/>
    <x v="0"/>
    <x v="2"/>
    <n v="3.81847406923176"/>
    <n v="1393.7430352695901"/>
    <n v="5017.4749269705299"/>
  </r>
  <r>
    <x v="0"/>
    <x v="0"/>
    <x v="0"/>
    <x v="0"/>
    <x v="0"/>
    <s v="DK1_NoDH"/>
    <x v="5"/>
    <x v="4"/>
    <x v="10"/>
    <x v="0"/>
    <x v="3"/>
    <n v="3.81847406923176"/>
    <n v="1393.7430352695901"/>
    <n v="5017.4749269705299"/>
  </r>
  <r>
    <x v="0"/>
    <x v="0"/>
    <x v="0"/>
    <x v="0"/>
    <x v="0"/>
    <s v="DK1_NoDH"/>
    <x v="5"/>
    <x v="4"/>
    <x v="10"/>
    <x v="0"/>
    <x v="4"/>
    <n v="3.81847406923176"/>
    <n v="1393.7430352695901"/>
    <n v="5017.4749269705299"/>
  </r>
  <r>
    <x v="0"/>
    <x v="0"/>
    <x v="0"/>
    <x v="0"/>
    <x v="0"/>
    <s v="DK1_NoDH"/>
    <x v="5"/>
    <x v="4"/>
    <x v="10"/>
    <x v="0"/>
    <x v="5"/>
    <n v="3.81847406923176"/>
    <n v="1393.7430352695901"/>
    <n v="5017.4749269705299"/>
  </r>
  <r>
    <x v="0"/>
    <x v="0"/>
    <x v="0"/>
    <x v="0"/>
    <x v="0"/>
    <s v="DK1_NoDH"/>
    <x v="5"/>
    <x v="4"/>
    <x v="10"/>
    <x v="0"/>
    <x v="6"/>
    <n v="3.81847406923176"/>
    <n v="1393.7430352695901"/>
    <n v="5017.4749269705299"/>
  </r>
  <r>
    <x v="0"/>
    <x v="0"/>
    <x v="0"/>
    <x v="0"/>
    <x v="0"/>
    <s v="DK1_NoDH"/>
    <x v="5"/>
    <x v="4"/>
    <x v="10"/>
    <x v="0"/>
    <x v="7"/>
    <n v="3.81847406923176"/>
    <n v="1393.7430352695901"/>
    <n v="5017.4749269705299"/>
  </r>
  <r>
    <x v="0"/>
    <x v="0"/>
    <x v="0"/>
    <x v="0"/>
    <x v="0"/>
    <s v="DK1_NoDH"/>
    <x v="5"/>
    <x v="4"/>
    <x v="10"/>
    <x v="0"/>
    <x v="8"/>
    <n v="3.81847406923176"/>
    <n v="1393.7430352695901"/>
    <n v="5017.4749269705299"/>
  </r>
  <r>
    <x v="0"/>
    <x v="0"/>
    <x v="0"/>
    <x v="0"/>
    <x v="0"/>
    <s v="DK1_NoDH"/>
    <x v="5"/>
    <x v="4"/>
    <x v="10"/>
    <x v="0"/>
    <x v="9"/>
    <n v="3.81847406923176"/>
    <n v="1393.7430352695901"/>
    <n v="5017.4749269705299"/>
  </r>
  <r>
    <x v="0"/>
    <x v="0"/>
    <x v="0"/>
    <x v="0"/>
    <x v="0"/>
    <s v="DK1_NoDH"/>
    <x v="5"/>
    <x v="4"/>
    <x v="10"/>
    <x v="0"/>
    <x v="10"/>
    <n v="3.81847406923176"/>
    <n v="1393.7430352695901"/>
    <n v="5017.4749269705299"/>
  </r>
  <r>
    <x v="0"/>
    <x v="0"/>
    <x v="0"/>
    <x v="0"/>
    <x v="0"/>
    <s v="DK1_NoDH"/>
    <x v="5"/>
    <x v="4"/>
    <x v="10"/>
    <x v="0"/>
    <x v="11"/>
    <n v="3.81847406923176"/>
    <n v="1393.7430352695901"/>
    <n v="5017.4749269705299"/>
  </r>
  <r>
    <x v="0"/>
    <x v="0"/>
    <x v="0"/>
    <x v="0"/>
    <x v="0"/>
    <s v="DK1_NoDH"/>
    <x v="5"/>
    <x v="4"/>
    <x v="10"/>
    <x v="0"/>
    <x v="12"/>
    <n v="3.81847406923176"/>
    <n v="1393.7430352695901"/>
    <n v="5017.4749269705299"/>
  </r>
  <r>
    <x v="0"/>
    <x v="0"/>
    <x v="0"/>
    <x v="0"/>
    <x v="0"/>
    <s v="DK1_NoDH"/>
    <x v="5"/>
    <x v="4"/>
    <x v="10"/>
    <x v="0"/>
    <x v="13"/>
    <n v="3.81847406923176"/>
    <n v="1393.7430352695901"/>
    <n v="5017.4749269705299"/>
  </r>
  <r>
    <x v="0"/>
    <x v="0"/>
    <x v="0"/>
    <x v="0"/>
    <x v="0"/>
    <s v="DK1_NoDH"/>
    <x v="5"/>
    <x v="4"/>
    <x v="10"/>
    <x v="0"/>
    <x v="14"/>
    <n v="3.81847406923176"/>
    <n v="1393.7430352695901"/>
    <n v="5017.4749269705299"/>
  </r>
  <r>
    <x v="0"/>
    <x v="0"/>
    <x v="0"/>
    <x v="0"/>
    <x v="0"/>
    <s v="DK1_NoDH"/>
    <x v="5"/>
    <x v="4"/>
    <x v="10"/>
    <x v="0"/>
    <x v="15"/>
    <n v="3.81847406923176"/>
    <n v="1393.7430352695901"/>
    <n v="5017.4749269705299"/>
  </r>
  <r>
    <x v="0"/>
    <x v="0"/>
    <x v="0"/>
    <x v="0"/>
    <x v="0"/>
    <s v="DK1_NoDH"/>
    <x v="5"/>
    <x v="4"/>
    <x v="10"/>
    <x v="0"/>
    <x v="16"/>
    <n v="3.81847406923176"/>
    <n v="1393.7430352695901"/>
    <n v="5017.4749269705299"/>
  </r>
  <r>
    <x v="0"/>
    <x v="0"/>
    <x v="0"/>
    <x v="0"/>
    <x v="0"/>
    <s v="DK1_NoDH"/>
    <x v="5"/>
    <x v="4"/>
    <x v="10"/>
    <x v="0"/>
    <x v="17"/>
    <n v="3.81847406923176"/>
    <n v="1393.7430352695901"/>
    <n v="5017.4749269705299"/>
  </r>
  <r>
    <x v="0"/>
    <x v="0"/>
    <x v="0"/>
    <x v="0"/>
    <x v="0"/>
    <s v="DK1_NoDH"/>
    <x v="5"/>
    <x v="4"/>
    <x v="10"/>
    <x v="0"/>
    <x v="18"/>
    <n v="3.81847406923176"/>
    <n v="1393.7430352695901"/>
    <n v="5017.4749269705299"/>
  </r>
  <r>
    <x v="0"/>
    <x v="0"/>
    <x v="0"/>
    <x v="0"/>
    <x v="0"/>
    <s v="DK1_NoDH"/>
    <x v="5"/>
    <x v="4"/>
    <x v="10"/>
    <x v="0"/>
    <x v="19"/>
    <n v="3.81847406923176"/>
    <n v="1393.7430352695901"/>
    <n v="5017.4749269705299"/>
  </r>
  <r>
    <x v="0"/>
    <x v="0"/>
    <x v="0"/>
    <x v="0"/>
    <x v="0"/>
    <s v="DK1_NoDH"/>
    <x v="5"/>
    <x v="4"/>
    <x v="10"/>
    <x v="0"/>
    <x v="20"/>
    <n v="3.81847406923176"/>
    <n v="1393.7430352695901"/>
    <n v="5017.4749269705299"/>
  </r>
  <r>
    <x v="0"/>
    <x v="0"/>
    <x v="0"/>
    <x v="0"/>
    <x v="0"/>
    <s v="DK1_NoDH"/>
    <x v="5"/>
    <x v="4"/>
    <x v="10"/>
    <x v="0"/>
    <x v="21"/>
    <n v="3.81847406923176"/>
    <n v="1393.7430352695901"/>
    <n v="5017.4749269705299"/>
  </r>
  <r>
    <x v="0"/>
    <x v="0"/>
    <x v="0"/>
    <x v="0"/>
    <x v="0"/>
    <s v="DK1_NoDH"/>
    <x v="5"/>
    <x v="4"/>
    <x v="10"/>
    <x v="0"/>
    <x v="22"/>
    <n v="3.81847406923176"/>
    <n v="1393.7430352695901"/>
    <n v="5017.4749269705299"/>
  </r>
  <r>
    <x v="0"/>
    <x v="0"/>
    <x v="0"/>
    <x v="0"/>
    <x v="0"/>
    <s v="DK1_NoDH"/>
    <x v="5"/>
    <x v="4"/>
    <x v="10"/>
    <x v="0"/>
    <x v="23"/>
    <n v="3.81847406923176"/>
    <n v="1393.7430352695901"/>
    <n v="5017.4749269705299"/>
  </r>
  <r>
    <x v="0"/>
    <x v="0"/>
    <x v="0"/>
    <x v="0"/>
    <x v="0"/>
    <s v="DK1_NoDH"/>
    <x v="6"/>
    <x v="5"/>
    <x v="11"/>
    <x v="0"/>
    <x v="0"/>
    <n v="1150.14168486067"/>
    <n v="419801.71497414599"/>
    <n v="1511286.17390692"/>
  </r>
  <r>
    <x v="0"/>
    <x v="0"/>
    <x v="0"/>
    <x v="0"/>
    <x v="0"/>
    <s v="DK1_NoDH"/>
    <x v="6"/>
    <x v="5"/>
    <x v="11"/>
    <x v="0"/>
    <x v="1"/>
    <n v="1256.53561519552"/>
    <n v="458635.49954636599"/>
    <n v="1651087.7983669201"/>
  </r>
  <r>
    <x v="0"/>
    <x v="0"/>
    <x v="0"/>
    <x v="0"/>
    <x v="0"/>
    <s v="DK1_NoDH"/>
    <x v="6"/>
    <x v="5"/>
    <x v="11"/>
    <x v="0"/>
    <x v="2"/>
    <n v="1342.7379967076999"/>
    <n v="490099.36879831"/>
    <n v="1764357.7276739201"/>
  </r>
  <r>
    <x v="0"/>
    <x v="0"/>
    <x v="0"/>
    <x v="0"/>
    <x v="0"/>
    <s v="DK1_NoDH"/>
    <x v="6"/>
    <x v="5"/>
    <x v="11"/>
    <x v="0"/>
    <x v="3"/>
    <n v="1519.0257498902599"/>
    <n v="554444.39870994503"/>
    <n v="1995999.8353558001"/>
  </r>
  <r>
    <x v="0"/>
    <x v="0"/>
    <x v="0"/>
    <x v="0"/>
    <x v="0"/>
    <s v="DK1_NoDH"/>
    <x v="6"/>
    <x v="5"/>
    <x v="11"/>
    <x v="0"/>
    <x v="4"/>
    <n v="1611.4409156555701"/>
    <n v="588175.93421428197"/>
    <n v="2117433.3631714201"/>
  </r>
  <r>
    <x v="0"/>
    <x v="0"/>
    <x v="0"/>
    <x v="0"/>
    <x v="0"/>
    <s v="DK1_NoDH"/>
    <x v="6"/>
    <x v="5"/>
    <x v="11"/>
    <x v="0"/>
    <x v="5"/>
    <n v="1701.5262873259501"/>
    <n v="621057.094873972"/>
    <n v="2235805.5415463001"/>
  </r>
  <r>
    <x v="0"/>
    <x v="0"/>
    <x v="0"/>
    <x v="0"/>
    <x v="0"/>
    <s v="DK1_NoDH"/>
    <x v="6"/>
    <x v="5"/>
    <x v="11"/>
    <x v="0"/>
    <x v="6"/>
    <n v="1738.8029928447299"/>
    <n v="634663.092388327"/>
    <n v="2284787.1325979801"/>
  </r>
  <r>
    <x v="0"/>
    <x v="0"/>
    <x v="0"/>
    <x v="0"/>
    <x v="0"/>
    <s v="DK1_NoDH"/>
    <x v="6"/>
    <x v="5"/>
    <x v="11"/>
    <x v="0"/>
    <x v="7"/>
    <n v="1717.0582479587799"/>
    <n v="626726.26050495298"/>
    <n v="2256214.5378178302"/>
  </r>
  <r>
    <x v="0"/>
    <x v="0"/>
    <x v="0"/>
    <x v="0"/>
    <x v="0"/>
    <s v="DK1_NoDH"/>
    <x v="6"/>
    <x v="5"/>
    <x v="11"/>
    <x v="0"/>
    <x v="8"/>
    <n v="1578.8237983266399"/>
    <n v="576270.68638922204"/>
    <n v="2074574.4710011999"/>
  </r>
  <r>
    <x v="0"/>
    <x v="0"/>
    <x v="0"/>
    <x v="0"/>
    <x v="0"/>
    <s v="DK1_NoDH"/>
    <x v="6"/>
    <x v="5"/>
    <x v="11"/>
    <x v="0"/>
    <x v="9"/>
    <n v="1490.2916227195301"/>
    <n v="543956.44229262997"/>
    <n v="1958243.19225347"/>
  </r>
  <r>
    <x v="0"/>
    <x v="0"/>
    <x v="0"/>
    <x v="0"/>
    <x v="0"/>
    <s v="DK1_NoDH"/>
    <x v="6"/>
    <x v="5"/>
    <x v="11"/>
    <x v="0"/>
    <x v="10"/>
    <n v="1331.8656242647201"/>
    <n v="486130.95285662398"/>
    <n v="1750071.4302838501"/>
  </r>
  <r>
    <x v="0"/>
    <x v="0"/>
    <x v="0"/>
    <x v="0"/>
    <x v="0"/>
    <s v="DK1_NoDH"/>
    <x v="6"/>
    <x v="5"/>
    <x v="11"/>
    <x v="0"/>
    <x v="11"/>
    <n v="1220.8121057400299"/>
    <n v="445596.41859510902"/>
    <n v="1604147.1069423901"/>
  </r>
  <r>
    <x v="0"/>
    <x v="0"/>
    <x v="0"/>
    <x v="0"/>
    <x v="0"/>
    <s v="DK1_NoDH"/>
    <x v="6"/>
    <x v="5"/>
    <x v="11"/>
    <x v="0"/>
    <x v="12"/>
    <n v="1193.63117463258"/>
    <n v="435675.37874089298"/>
    <n v="1568431.36346721"/>
  </r>
  <r>
    <x v="0"/>
    <x v="0"/>
    <x v="0"/>
    <x v="0"/>
    <x v="0"/>
    <s v="DK1_NoDH"/>
    <x v="6"/>
    <x v="5"/>
    <x v="11"/>
    <x v="0"/>
    <x v="13"/>
    <n v="1207.6099392021199"/>
    <n v="440777.627808775"/>
    <n v="1586799.4601115901"/>
  </r>
  <r>
    <x v="0"/>
    <x v="0"/>
    <x v="0"/>
    <x v="0"/>
    <x v="0"/>
    <s v="DK1_NoDH"/>
    <x v="6"/>
    <x v="5"/>
    <x v="11"/>
    <x v="0"/>
    <x v="14"/>
    <n v="1211.49292936033"/>
    <n v="442194.91921652103"/>
    <n v="1591901.7091794701"/>
  </r>
  <r>
    <x v="0"/>
    <x v="0"/>
    <x v="0"/>
    <x v="0"/>
    <x v="0"/>
    <s v="DK1_NoDH"/>
    <x v="6"/>
    <x v="5"/>
    <x v="11"/>
    <x v="0"/>
    <x v="15"/>
    <n v="1166.45024352514"/>
    <n v="425754.33888667601"/>
    <n v="1532715.6199920301"/>
  </r>
  <r>
    <x v="0"/>
    <x v="0"/>
    <x v="0"/>
    <x v="0"/>
    <x v="0"/>
    <s v="DK1_NoDH"/>
    <x v="6"/>
    <x v="5"/>
    <x v="11"/>
    <x v="0"/>
    <x v="16"/>
    <n v="1092.6734305192199"/>
    <n v="398825.80213951599"/>
    <n v="1435772.8877022599"/>
  </r>
  <r>
    <x v="0"/>
    <x v="0"/>
    <x v="0"/>
    <x v="0"/>
    <x v="0"/>
    <s v="DK1_NoDH"/>
    <x v="6"/>
    <x v="5"/>
    <x v="11"/>
    <x v="0"/>
    <x v="17"/>
    <n v="879.10897181788096"/>
    <n v="320874.774713527"/>
    <n v="1155149.1889686999"/>
  </r>
  <r>
    <x v="0"/>
    <x v="0"/>
    <x v="0"/>
    <x v="0"/>
    <x v="0"/>
    <s v="DK1_NoDH"/>
    <x v="6"/>
    <x v="5"/>
    <x v="11"/>
    <x v="0"/>
    <x v="18"/>
    <n v="639.14018004073898"/>
    <n v="233286.16571487"/>
    <n v="839830.19657352997"/>
  </r>
  <r>
    <x v="0"/>
    <x v="0"/>
    <x v="0"/>
    <x v="0"/>
    <x v="0"/>
    <s v="DK1_NoDH"/>
    <x v="6"/>
    <x v="5"/>
    <x v="11"/>
    <x v="0"/>
    <x v="19"/>
    <n v="564.58676900318005"/>
    <n v="206074.170686161"/>
    <n v="741867.01447017805"/>
  </r>
  <r>
    <x v="0"/>
    <x v="0"/>
    <x v="0"/>
    <x v="0"/>
    <x v="0"/>
    <s v="DK1_NoDH"/>
    <x v="6"/>
    <x v="5"/>
    <x v="11"/>
    <x v="0"/>
    <x v="20"/>
    <n v="587.88470995241698"/>
    <n v="214577.919132632"/>
    <n v="772480.50887747598"/>
  </r>
  <r>
    <x v="0"/>
    <x v="0"/>
    <x v="0"/>
    <x v="0"/>
    <x v="0"/>
    <s v="DK1_NoDH"/>
    <x v="6"/>
    <x v="5"/>
    <x v="11"/>
    <x v="0"/>
    <x v="21"/>
    <n v="665.544513116541"/>
    <n v="242923.747287537"/>
    <n v="874525.49023513403"/>
  </r>
  <r>
    <x v="0"/>
    <x v="0"/>
    <x v="0"/>
    <x v="0"/>
    <x v="0"/>
    <s v="DK1_NoDH"/>
    <x v="6"/>
    <x v="5"/>
    <x v="11"/>
    <x v="0"/>
    <x v="22"/>
    <n v="759.51287494512997"/>
    <n v="277222.19935497298"/>
    <n v="997999.91767790099"/>
  </r>
  <r>
    <x v="0"/>
    <x v="0"/>
    <x v="0"/>
    <x v="0"/>
    <x v="0"/>
    <s v="DK1_NoDH"/>
    <x v="6"/>
    <x v="5"/>
    <x v="11"/>
    <x v="0"/>
    <x v="23"/>
    <n v="939.68361828589798"/>
    <n v="342984.520674353"/>
    <n v="1234744.2744276701"/>
  </r>
  <r>
    <x v="0"/>
    <x v="0"/>
    <x v="0"/>
    <x v="0"/>
    <x v="0"/>
    <s v="DK1_Offshore"/>
    <x v="6"/>
    <x v="5"/>
    <x v="12"/>
    <x v="0"/>
    <x v="0"/>
    <n v="404.79509913482502"/>
    <n v="147750.21118421099"/>
    <n v="531900.76026315999"/>
  </r>
  <r>
    <x v="0"/>
    <x v="0"/>
    <x v="0"/>
    <x v="0"/>
    <x v="0"/>
    <s v="DK1_Offshore"/>
    <x v="6"/>
    <x v="5"/>
    <x v="12"/>
    <x v="0"/>
    <x v="1"/>
    <n v="442.24069574621598"/>
    <n v="161417.853947369"/>
    <n v="581104.274210528"/>
  </r>
  <r>
    <x v="0"/>
    <x v="0"/>
    <x v="0"/>
    <x v="0"/>
    <x v="0"/>
    <s v="DK1_Offshore"/>
    <x v="6"/>
    <x v="5"/>
    <x v="12"/>
    <x v="0"/>
    <x v="2"/>
    <n v="472.57982876712498"/>
    <n v="172491.637500001"/>
    <n v="620969.895000002"/>
  </r>
  <r>
    <x v="0"/>
    <x v="0"/>
    <x v="0"/>
    <x v="0"/>
    <x v="0"/>
    <s v="DK1_Offshore"/>
    <x v="6"/>
    <x v="5"/>
    <x v="12"/>
    <x v="0"/>
    <x v="3"/>
    <n v="534.62472242249601"/>
    <n v="195138.02368421099"/>
    <n v="702496.88526315999"/>
  </r>
  <r>
    <x v="0"/>
    <x v="0"/>
    <x v="0"/>
    <x v="0"/>
    <x v="0"/>
    <s v="DK1_Offshore"/>
    <x v="6"/>
    <x v="5"/>
    <x v="12"/>
    <x v="0"/>
    <x v="4"/>
    <n v="567.15045962509203"/>
    <n v="207009.917763159"/>
    <n v="745235.70394737099"/>
  </r>
  <r>
    <x v="0"/>
    <x v="0"/>
    <x v="0"/>
    <x v="0"/>
    <x v="0"/>
    <s v="DK1_Offshore"/>
    <x v="6"/>
    <x v="5"/>
    <x v="12"/>
    <x v="0"/>
    <x v="5"/>
    <n v="598.85622025955502"/>
    <n v="218582.52039473801"/>
    <n v="786897.07342105499"/>
  </r>
  <r>
    <x v="0"/>
    <x v="0"/>
    <x v="0"/>
    <x v="0"/>
    <x v="0"/>
    <s v="DK1_Offshore"/>
    <x v="6"/>
    <x v="5"/>
    <x v="12"/>
    <x v="0"/>
    <x v="6"/>
    <n v="611.97584534967802"/>
    <n v="223371.18355263199"/>
    <n v="804136.26078947703"/>
  </r>
  <r>
    <x v="0"/>
    <x v="0"/>
    <x v="0"/>
    <x v="0"/>
    <x v="0"/>
    <s v="DK1_Offshore"/>
    <x v="6"/>
    <x v="5"/>
    <x v="12"/>
    <x v="0"/>
    <x v="7"/>
    <n v="604.32273071377301"/>
    <n v="220577.79671052701"/>
    <n v="794080.06815789803"/>
  </r>
  <r>
    <x v="0"/>
    <x v="0"/>
    <x v="0"/>
    <x v="0"/>
    <x v="0"/>
    <s v="DK1_Offshore"/>
    <x v="6"/>
    <x v="5"/>
    <x v="12"/>
    <x v="0"/>
    <x v="8"/>
    <n v="555.67078767123496"/>
    <n v="202819.83750000101"/>
    <n v="730151.41500000295"/>
  </r>
  <r>
    <x v="0"/>
    <x v="0"/>
    <x v="0"/>
    <x v="0"/>
    <x v="0"/>
    <s v="DK1_Offshore"/>
    <x v="6"/>
    <x v="5"/>
    <x v="12"/>
    <x v="0"/>
    <x v="9"/>
    <n v="524.51167808219395"/>
    <n v="191446.762500001"/>
    <n v="689208.34500000195"/>
  </r>
  <r>
    <x v="0"/>
    <x v="0"/>
    <x v="0"/>
    <x v="0"/>
    <x v="0"/>
    <s v="DK1_Offshore"/>
    <x v="6"/>
    <x v="5"/>
    <x v="12"/>
    <x v="0"/>
    <x v="10"/>
    <n v="468.75327144917298"/>
    <n v="171094.944078948"/>
    <n v="615941.79868421296"/>
  </r>
  <r>
    <x v="0"/>
    <x v="0"/>
    <x v="0"/>
    <x v="0"/>
    <x v="0"/>
    <s v="DK1_Offshore"/>
    <x v="6"/>
    <x v="5"/>
    <x v="12"/>
    <x v="0"/>
    <x v="11"/>
    <n v="429.66772170151597"/>
    <n v="156828.718421053"/>
    <n v="564583.38631579105"/>
  </r>
  <r>
    <x v="0"/>
    <x v="0"/>
    <x v="0"/>
    <x v="0"/>
    <x v="0"/>
    <s v="DK1_Offshore"/>
    <x v="6"/>
    <x v="5"/>
    <x v="12"/>
    <x v="0"/>
    <x v="12"/>
    <n v="420.10132840663499"/>
    <n v="153336.98486842201"/>
    <n v="552013.145526318"/>
  </r>
  <r>
    <x v="0"/>
    <x v="0"/>
    <x v="0"/>
    <x v="0"/>
    <x v="0"/>
    <s v="DK1_Offshore"/>
    <x v="6"/>
    <x v="5"/>
    <x v="12"/>
    <x v="0"/>
    <x v="13"/>
    <n v="425.02118781543101"/>
    <n v="155132.73355263201"/>
    <n v="558477.84078947594"/>
  </r>
  <r>
    <x v="0"/>
    <x v="0"/>
    <x v="0"/>
    <x v="0"/>
    <x v="0"/>
    <s v="DK1_Offshore"/>
    <x v="6"/>
    <x v="5"/>
    <x v="12"/>
    <x v="0"/>
    <x v="14"/>
    <n v="426.38781542898499"/>
    <n v="155631.55263158001"/>
    <n v="560273.58947368595"/>
  </r>
  <r>
    <x v="0"/>
    <x v="0"/>
    <x v="0"/>
    <x v="0"/>
    <x v="0"/>
    <s v="DK1_Offshore"/>
    <x v="6"/>
    <x v="5"/>
    <x v="12"/>
    <x v="0"/>
    <x v="15"/>
    <n v="410.53493511175299"/>
    <n v="149845.25131579"/>
    <n v="539442.90473684401"/>
  </r>
  <r>
    <x v="0"/>
    <x v="0"/>
    <x v="0"/>
    <x v="0"/>
    <x v="0"/>
    <s v="DK1_Offshore"/>
    <x v="6"/>
    <x v="5"/>
    <x v="12"/>
    <x v="0"/>
    <x v="16"/>
    <n v="384.56901045421898"/>
    <n v="140367.68881579"/>
    <n v="505323.67973684397"/>
  </r>
  <r>
    <x v="0"/>
    <x v="0"/>
    <x v="0"/>
    <x v="0"/>
    <x v="0"/>
    <s v="DK1_Offshore"/>
    <x v="6"/>
    <x v="5"/>
    <x v="12"/>
    <x v="0"/>
    <x v="17"/>
    <n v="309.404491708725"/>
    <n v="112932.63947368501"/>
    <n v="406557.50210526498"/>
  </r>
  <r>
    <x v="0"/>
    <x v="0"/>
    <x v="0"/>
    <x v="0"/>
    <x v="0"/>
    <s v="DK1_Offshore"/>
    <x v="6"/>
    <x v="5"/>
    <x v="12"/>
    <x v="0"/>
    <x v="18"/>
    <n v="224.94690519106101"/>
    <n v="82105.620394737096"/>
    <n v="295580.23342105403"/>
  </r>
  <r>
    <x v="0"/>
    <x v="0"/>
    <x v="0"/>
    <x v="0"/>
    <x v="0"/>
    <s v="DK1_Offshore"/>
    <x v="6"/>
    <x v="5"/>
    <x v="12"/>
    <x v="0"/>
    <x v="19"/>
    <n v="198.70765501081499"/>
    <n v="72528.294078947598"/>
    <n v="261101.85868421101"/>
  </r>
  <r>
    <x v="0"/>
    <x v="0"/>
    <x v="0"/>
    <x v="0"/>
    <x v="0"/>
    <s v="DK1_Offshore"/>
    <x v="6"/>
    <x v="5"/>
    <x v="12"/>
    <x v="0"/>
    <x v="20"/>
    <n v="206.90742069214201"/>
    <n v="75521.208552631899"/>
    <n v="271876.35078947502"/>
  </r>
  <r>
    <x v="0"/>
    <x v="0"/>
    <x v="0"/>
    <x v="0"/>
    <x v="0"/>
    <s v="DK1_Offshore"/>
    <x v="6"/>
    <x v="5"/>
    <x v="12"/>
    <x v="0"/>
    <x v="21"/>
    <n v="234.239972963231"/>
    <n v="85497.590131579302"/>
    <n v="307791.324473685"/>
  </r>
  <r>
    <x v="0"/>
    <x v="0"/>
    <x v="0"/>
    <x v="0"/>
    <x v="0"/>
    <s v="DK1_Offshore"/>
    <x v="6"/>
    <x v="5"/>
    <x v="12"/>
    <x v="0"/>
    <x v="22"/>
    <n v="267.312361211248"/>
    <n v="97569.011842105596"/>
    <n v="351248.44263157999"/>
  </r>
  <r>
    <x v="0"/>
    <x v="0"/>
    <x v="0"/>
    <x v="0"/>
    <x v="0"/>
    <s v="DK1_Offshore"/>
    <x v="6"/>
    <x v="5"/>
    <x v="12"/>
    <x v="0"/>
    <x v="23"/>
    <n v="330.72388248017398"/>
    <n v="120714.217105264"/>
    <n v="434571.18157894898"/>
  </r>
  <r>
    <x v="0"/>
    <x v="0"/>
    <x v="0"/>
    <x v="0"/>
    <x v="0"/>
    <s v="DK1_Rural"/>
    <x v="1"/>
    <x v="1"/>
    <x v="13"/>
    <x v="0"/>
    <x v="0"/>
    <n v="-0.5"/>
    <n v="-182.5"/>
    <n v="-657"/>
  </r>
  <r>
    <x v="0"/>
    <x v="0"/>
    <x v="0"/>
    <x v="0"/>
    <x v="0"/>
    <s v="DK1_Rural"/>
    <x v="1"/>
    <x v="1"/>
    <x v="13"/>
    <x v="0"/>
    <x v="1"/>
    <n v="-0.5"/>
    <n v="-182.5"/>
    <n v="-657"/>
  </r>
  <r>
    <x v="0"/>
    <x v="0"/>
    <x v="0"/>
    <x v="0"/>
    <x v="0"/>
    <s v="DK1_Rural"/>
    <x v="1"/>
    <x v="1"/>
    <x v="13"/>
    <x v="0"/>
    <x v="2"/>
    <n v="-0.5"/>
    <n v="-182.5"/>
    <n v="-657"/>
  </r>
  <r>
    <x v="0"/>
    <x v="0"/>
    <x v="0"/>
    <x v="0"/>
    <x v="0"/>
    <s v="DK1_Rural"/>
    <x v="1"/>
    <x v="1"/>
    <x v="13"/>
    <x v="0"/>
    <x v="3"/>
    <n v="-0.5"/>
    <n v="-182.5"/>
    <n v="-657"/>
  </r>
  <r>
    <x v="0"/>
    <x v="0"/>
    <x v="0"/>
    <x v="0"/>
    <x v="0"/>
    <s v="DK1_Rural"/>
    <x v="1"/>
    <x v="1"/>
    <x v="13"/>
    <x v="0"/>
    <x v="4"/>
    <n v="-0.5"/>
    <n v="-182.5"/>
    <n v="-657"/>
  </r>
  <r>
    <x v="0"/>
    <x v="0"/>
    <x v="0"/>
    <x v="0"/>
    <x v="0"/>
    <s v="DK1_Rural"/>
    <x v="1"/>
    <x v="1"/>
    <x v="13"/>
    <x v="0"/>
    <x v="5"/>
    <n v="-0.5"/>
    <n v="-182.5"/>
    <n v="-657"/>
  </r>
  <r>
    <x v="0"/>
    <x v="0"/>
    <x v="0"/>
    <x v="0"/>
    <x v="0"/>
    <s v="DK1_Rural"/>
    <x v="1"/>
    <x v="1"/>
    <x v="13"/>
    <x v="0"/>
    <x v="6"/>
    <n v="-0.5"/>
    <n v="-182.5"/>
    <n v="-657"/>
  </r>
  <r>
    <x v="0"/>
    <x v="0"/>
    <x v="0"/>
    <x v="0"/>
    <x v="0"/>
    <s v="DK1_Rural"/>
    <x v="1"/>
    <x v="1"/>
    <x v="13"/>
    <x v="0"/>
    <x v="7"/>
    <n v="-0.5"/>
    <n v="-182.5"/>
    <n v="-657"/>
  </r>
  <r>
    <x v="0"/>
    <x v="0"/>
    <x v="0"/>
    <x v="0"/>
    <x v="0"/>
    <s v="DK1_Rural"/>
    <x v="1"/>
    <x v="1"/>
    <x v="13"/>
    <x v="0"/>
    <x v="8"/>
    <n v="-0.5"/>
    <n v="-182.5"/>
    <n v="-657"/>
  </r>
  <r>
    <x v="0"/>
    <x v="0"/>
    <x v="0"/>
    <x v="0"/>
    <x v="0"/>
    <s v="DK1_Rural"/>
    <x v="1"/>
    <x v="1"/>
    <x v="13"/>
    <x v="0"/>
    <x v="9"/>
    <n v="-0.5"/>
    <n v="-182.5"/>
    <n v="-657"/>
  </r>
  <r>
    <x v="0"/>
    <x v="0"/>
    <x v="0"/>
    <x v="0"/>
    <x v="0"/>
    <s v="DK1_Rural"/>
    <x v="1"/>
    <x v="1"/>
    <x v="13"/>
    <x v="0"/>
    <x v="10"/>
    <n v="-0.5"/>
    <n v="-182.5"/>
    <n v="-657"/>
  </r>
  <r>
    <x v="0"/>
    <x v="0"/>
    <x v="0"/>
    <x v="0"/>
    <x v="0"/>
    <s v="DK1_Rural"/>
    <x v="1"/>
    <x v="1"/>
    <x v="13"/>
    <x v="0"/>
    <x v="11"/>
    <n v="-0.5"/>
    <n v="-182.5"/>
    <n v="-657"/>
  </r>
  <r>
    <x v="0"/>
    <x v="0"/>
    <x v="0"/>
    <x v="0"/>
    <x v="0"/>
    <s v="DK1_Rural"/>
    <x v="1"/>
    <x v="1"/>
    <x v="13"/>
    <x v="0"/>
    <x v="12"/>
    <n v="-0.5"/>
    <n v="-182.5"/>
    <n v="-657"/>
  </r>
  <r>
    <x v="0"/>
    <x v="0"/>
    <x v="0"/>
    <x v="0"/>
    <x v="0"/>
    <s v="DK1_Rural"/>
    <x v="1"/>
    <x v="1"/>
    <x v="13"/>
    <x v="0"/>
    <x v="13"/>
    <n v="-0.5"/>
    <n v="-182.5"/>
    <n v="-657"/>
  </r>
  <r>
    <x v="0"/>
    <x v="0"/>
    <x v="0"/>
    <x v="0"/>
    <x v="0"/>
    <s v="DK1_Rural"/>
    <x v="1"/>
    <x v="1"/>
    <x v="13"/>
    <x v="0"/>
    <x v="14"/>
    <n v="-0.5"/>
    <n v="-182.5"/>
    <n v="-657"/>
  </r>
  <r>
    <x v="0"/>
    <x v="0"/>
    <x v="0"/>
    <x v="0"/>
    <x v="0"/>
    <s v="DK1_Rural"/>
    <x v="1"/>
    <x v="1"/>
    <x v="13"/>
    <x v="0"/>
    <x v="15"/>
    <n v="-0.5"/>
    <n v="-182.5"/>
    <n v="-657"/>
  </r>
  <r>
    <x v="0"/>
    <x v="0"/>
    <x v="0"/>
    <x v="0"/>
    <x v="0"/>
    <s v="DK1_Rural"/>
    <x v="1"/>
    <x v="1"/>
    <x v="13"/>
    <x v="0"/>
    <x v="16"/>
    <n v="-0.5"/>
    <n v="-182.5"/>
    <n v="-657"/>
  </r>
  <r>
    <x v="0"/>
    <x v="0"/>
    <x v="0"/>
    <x v="0"/>
    <x v="0"/>
    <s v="DK1_Rural"/>
    <x v="1"/>
    <x v="1"/>
    <x v="13"/>
    <x v="0"/>
    <x v="17"/>
    <n v="-0.5"/>
    <n v="-182.5"/>
    <n v="-657"/>
  </r>
  <r>
    <x v="0"/>
    <x v="0"/>
    <x v="0"/>
    <x v="0"/>
    <x v="0"/>
    <s v="DK1_Rural"/>
    <x v="1"/>
    <x v="1"/>
    <x v="13"/>
    <x v="0"/>
    <x v="18"/>
    <n v="-0.5"/>
    <n v="-182.5"/>
    <n v="-657"/>
  </r>
  <r>
    <x v="0"/>
    <x v="0"/>
    <x v="0"/>
    <x v="0"/>
    <x v="0"/>
    <s v="DK1_Rural"/>
    <x v="1"/>
    <x v="1"/>
    <x v="13"/>
    <x v="0"/>
    <x v="19"/>
    <n v="-0.5"/>
    <n v="-182.5"/>
    <n v="-657"/>
  </r>
  <r>
    <x v="0"/>
    <x v="0"/>
    <x v="0"/>
    <x v="0"/>
    <x v="0"/>
    <s v="DK1_Rural"/>
    <x v="1"/>
    <x v="1"/>
    <x v="13"/>
    <x v="0"/>
    <x v="20"/>
    <n v="-0.5"/>
    <n v="-182.5"/>
    <n v="-657"/>
  </r>
  <r>
    <x v="0"/>
    <x v="0"/>
    <x v="0"/>
    <x v="0"/>
    <x v="0"/>
    <s v="DK1_Rural"/>
    <x v="1"/>
    <x v="1"/>
    <x v="13"/>
    <x v="0"/>
    <x v="21"/>
    <n v="-0.5"/>
    <n v="-182.5"/>
    <n v="-657"/>
  </r>
  <r>
    <x v="0"/>
    <x v="0"/>
    <x v="0"/>
    <x v="0"/>
    <x v="0"/>
    <s v="DK1_Rural"/>
    <x v="1"/>
    <x v="1"/>
    <x v="13"/>
    <x v="0"/>
    <x v="22"/>
    <n v="-0.5"/>
    <n v="-182.5"/>
    <n v="-657"/>
  </r>
  <r>
    <x v="0"/>
    <x v="0"/>
    <x v="0"/>
    <x v="0"/>
    <x v="0"/>
    <s v="DK1_Rural"/>
    <x v="1"/>
    <x v="1"/>
    <x v="13"/>
    <x v="0"/>
    <x v="23"/>
    <n v="-0.5"/>
    <n v="-182.5"/>
    <n v="-657"/>
  </r>
  <r>
    <x v="0"/>
    <x v="0"/>
    <x v="0"/>
    <x v="0"/>
    <x v="0"/>
    <s v="DK1_Rural"/>
    <x v="1"/>
    <x v="1"/>
    <x v="14"/>
    <x v="0"/>
    <x v="0"/>
    <n v="-0.625428571428571"/>
    <n v="-228.28142857142899"/>
    <n v="-821.81314285714302"/>
  </r>
  <r>
    <x v="0"/>
    <x v="0"/>
    <x v="0"/>
    <x v="0"/>
    <x v="0"/>
    <s v="DK1_Rural"/>
    <x v="1"/>
    <x v="1"/>
    <x v="14"/>
    <x v="0"/>
    <x v="1"/>
    <n v="-0.625428571428571"/>
    <n v="-228.28142857142899"/>
    <n v="-821.81314285714302"/>
  </r>
  <r>
    <x v="0"/>
    <x v="0"/>
    <x v="0"/>
    <x v="0"/>
    <x v="0"/>
    <s v="DK1_Rural"/>
    <x v="1"/>
    <x v="1"/>
    <x v="14"/>
    <x v="0"/>
    <x v="2"/>
    <n v="-0.625428571428571"/>
    <n v="-228.28142857142899"/>
    <n v="-821.81314285714302"/>
  </r>
  <r>
    <x v="0"/>
    <x v="0"/>
    <x v="0"/>
    <x v="0"/>
    <x v="0"/>
    <s v="DK1_Rural"/>
    <x v="1"/>
    <x v="1"/>
    <x v="14"/>
    <x v="0"/>
    <x v="3"/>
    <n v="-0.625428571428571"/>
    <n v="-228.28142857142899"/>
    <n v="-821.81314285714302"/>
  </r>
  <r>
    <x v="0"/>
    <x v="0"/>
    <x v="0"/>
    <x v="0"/>
    <x v="0"/>
    <s v="DK1_Rural"/>
    <x v="1"/>
    <x v="1"/>
    <x v="14"/>
    <x v="0"/>
    <x v="4"/>
    <n v="-0.625428571428571"/>
    <n v="-228.28142857142899"/>
    <n v="-821.81314285714302"/>
  </r>
  <r>
    <x v="0"/>
    <x v="0"/>
    <x v="0"/>
    <x v="0"/>
    <x v="0"/>
    <s v="DK1_Rural"/>
    <x v="1"/>
    <x v="1"/>
    <x v="14"/>
    <x v="0"/>
    <x v="5"/>
    <n v="-0.625428571428571"/>
    <n v="-228.28142857142899"/>
    <n v="-821.81314285714302"/>
  </r>
  <r>
    <x v="0"/>
    <x v="0"/>
    <x v="0"/>
    <x v="0"/>
    <x v="0"/>
    <s v="DK1_Rural"/>
    <x v="1"/>
    <x v="1"/>
    <x v="14"/>
    <x v="0"/>
    <x v="6"/>
    <n v="-0.625428571428571"/>
    <n v="-228.28142857142899"/>
    <n v="-821.81314285714302"/>
  </r>
  <r>
    <x v="0"/>
    <x v="0"/>
    <x v="0"/>
    <x v="0"/>
    <x v="0"/>
    <s v="DK1_Rural"/>
    <x v="1"/>
    <x v="1"/>
    <x v="14"/>
    <x v="0"/>
    <x v="7"/>
    <n v="-0.625428571428571"/>
    <n v="-228.28142857142899"/>
    <n v="-821.81314285714302"/>
  </r>
  <r>
    <x v="0"/>
    <x v="0"/>
    <x v="0"/>
    <x v="0"/>
    <x v="0"/>
    <s v="DK1_Rural"/>
    <x v="1"/>
    <x v="1"/>
    <x v="14"/>
    <x v="0"/>
    <x v="8"/>
    <n v="-0.625428571428571"/>
    <n v="-228.28142857142899"/>
    <n v="-821.81314285714302"/>
  </r>
  <r>
    <x v="0"/>
    <x v="0"/>
    <x v="0"/>
    <x v="0"/>
    <x v="0"/>
    <s v="DK1_Rural"/>
    <x v="1"/>
    <x v="1"/>
    <x v="14"/>
    <x v="0"/>
    <x v="9"/>
    <n v="-0.625428571428571"/>
    <n v="-228.28142857142899"/>
    <n v="-821.81314285714302"/>
  </r>
  <r>
    <x v="0"/>
    <x v="0"/>
    <x v="0"/>
    <x v="0"/>
    <x v="0"/>
    <s v="DK1_Rural"/>
    <x v="1"/>
    <x v="1"/>
    <x v="14"/>
    <x v="0"/>
    <x v="10"/>
    <n v="-0.625428571428571"/>
    <n v="-228.28142857142899"/>
    <n v="-821.81314285714302"/>
  </r>
  <r>
    <x v="0"/>
    <x v="0"/>
    <x v="0"/>
    <x v="0"/>
    <x v="0"/>
    <s v="DK1_Rural"/>
    <x v="1"/>
    <x v="1"/>
    <x v="14"/>
    <x v="0"/>
    <x v="11"/>
    <n v="-0.625428571428571"/>
    <n v="-228.28142857142899"/>
    <n v="-821.81314285714302"/>
  </r>
  <r>
    <x v="0"/>
    <x v="0"/>
    <x v="0"/>
    <x v="0"/>
    <x v="0"/>
    <s v="DK1_Rural"/>
    <x v="1"/>
    <x v="1"/>
    <x v="14"/>
    <x v="0"/>
    <x v="12"/>
    <n v="-0.625428571428571"/>
    <n v="-228.28142857142899"/>
    <n v="-821.81314285714302"/>
  </r>
  <r>
    <x v="0"/>
    <x v="0"/>
    <x v="0"/>
    <x v="0"/>
    <x v="0"/>
    <s v="DK1_Rural"/>
    <x v="1"/>
    <x v="1"/>
    <x v="14"/>
    <x v="0"/>
    <x v="13"/>
    <n v="-0.625428571428571"/>
    <n v="-228.28142857142899"/>
    <n v="-821.81314285714302"/>
  </r>
  <r>
    <x v="0"/>
    <x v="0"/>
    <x v="0"/>
    <x v="0"/>
    <x v="0"/>
    <s v="DK1_Rural"/>
    <x v="1"/>
    <x v="1"/>
    <x v="14"/>
    <x v="0"/>
    <x v="14"/>
    <n v="-0.625428571428571"/>
    <n v="-228.28142857142899"/>
    <n v="-821.81314285714302"/>
  </r>
  <r>
    <x v="0"/>
    <x v="0"/>
    <x v="0"/>
    <x v="0"/>
    <x v="0"/>
    <s v="DK1_Rural"/>
    <x v="1"/>
    <x v="1"/>
    <x v="14"/>
    <x v="0"/>
    <x v="15"/>
    <n v="-0.625428571428571"/>
    <n v="-228.28142857142899"/>
    <n v="-821.81314285714302"/>
  </r>
  <r>
    <x v="0"/>
    <x v="0"/>
    <x v="0"/>
    <x v="0"/>
    <x v="0"/>
    <s v="DK1_Rural"/>
    <x v="1"/>
    <x v="1"/>
    <x v="14"/>
    <x v="0"/>
    <x v="16"/>
    <n v="-0.625428571428571"/>
    <n v="-228.28142857142899"/>
    <n v="-821.81314285714302"/>
  </r>
  <r>
    <x v="0"/>
    <x v="0"/>
    <x v="0"/>
    <x v="0"/>
    <x v="0"/>
    <s v="DK1_Rural"/>
    <x v="1"/>
    <x v="1"/>
    <x v="14"/>
    <x v="0"/>
    <x v="17"/>
    <n v="-0.625428571428571"/>
    <n v="-228.28142857142899"/>
    <n v="-821.81314285714302"/>
  </r>
  <r>
    <x v="0"/>
    <x v="0"/>
    <x v="0"/>
    <x v="0"/>
    <x v="0"/>
    <s v="DK1_Rural"/>
    <x v="1"/>
    <x v="1"/>
    <x v="14"/>
    <x v="0"/>
    <x v="18"/>
    <n v="-0.625428571428571"/>
    <n v="-228.28142857142899"/>
    <n v="-821.81314285714302"/>
  </r>
  <r>
    <x v="0"/>
    <x v="0"/>
    <x v="0"/>
    <x v="0"/>
    <x v="0"/>
    <s v="DK1_Rural"/>
    <x v="1"/>
    <x v="1"/>
    <x v="14"/>
    <x v="0"/>
    <x v="19"/>
    <n v="-0.625428571428571"/>
    <n v="-228.28142857142899"/>
    <n v="-821.81314285714302"/>
  </r>
  <r>
    <x v="0"/>
    <x v="0"/>
    <x v="0"/>
    <x v="0"/>
    <x v="0"/>
    <s v="DK1_Rural"/>
    <x v="1"/>
    <x v="1"/>
    <x v="14"/>
    <x v="0"/>
    <x v="20"/>
    <n v="-0.625428571428571"/>
    <n v="-228.28142857142899"/>
    <n v="-821.81314285714302"/>
  </r>
  <r>
    <x v="0"/>
    <x v="0"/>
    <x v="0"/>
    <x v="0"/>
    <x v="0"/>
    <s v="DK1_Rural"/>
    <x v="1"/>
    <x v="1"/>
    <x v="14"/>
    <x v="0"/>
    <x v="21"/>
    <n v="-0.625428571428571"/>
    <n v="-228.28142857142899"/>
    <n v="-821.81314285714302"/>
  </r>
  <r>
    <x v="0"/>
    <x v="0"/>
    <x v="0"/>
    <x v="0"/>
    <x v="0"/>
    <s v="DK1_Rural"/>
    <x v="1"/>
    <x v="1"/>
    <x v="14"/>
    <x v="0"/>
    <x v="22"/>
    <n v="-0.625428571428571"/>
    <n v="-228.28142857142899"/>
    <n v="-821.81314285714302"/>
  </r>
  <r>
    <x v="0"/>
    <x v="0"/>
    <x v="0"/>
    <x v="0"/>
    <x v="0"/>
    <s v="DK1_Rural"/>
    <x v="1"/>
    <x v="1"/>
    <x v="14"/>
    <x v="0"/>
    <x v="23"/>
    <n v="-0.625428571428571"/>
    <n v="-228.28142857142899"/>
    <n v="-821.81314285714302"/>
  </r>
  <r>
    <x v="0"/>
    <x v="0"/>
    <x v="0"/>
    <x v="0"/>
    <x v="0"/>
    <s v="DK1_Rural"/>
    <x v="1"/>
    <x v="1"/>
    <x v="15"/>
    <x v="0"/>
    <x v="0"/>
    <n v="-0.51200000000000001"/>
    <n v="-186.88"/>
    <n v="-672.76800000000003"/>
  </r>
  <r>
    <x v="0"/>
    <x v="0"/>
    <x v="0"/>
    <x v="0"/>
    <x v="0"/>
    <s v="DK1_Rural"/>
    <x v="1"/>
    <x v="1"/>
    <x v="15"/>
    <x v="0"/>
    <x v="1"/>
    <n v="-0.51200000000000001"/>
    <n v="-186.88"/>
    <n v="-672.76800000000003"/>
  </r>
  <r>
    <x v="0"/>
    <x v="0"/>
    <x v="0"/>
    <x v="0"/>
    <x v="0"/>
    <s v="DK1_Rural"/>
    <x v="1"/>
    <x v="1"/>
    <x v="15"/>
    <x v="0"/>
    <x v="2"/>
    <n v="-0.51200000000000001"/>
    <n v="-186.88"/>
    <n v="-672.76800000000003"/>
  </r>
  <r>
    <x v="0"/>
    <x v="0"/>
    <x v="0"/>
    <x v="0"/>
    <x v="0"/>
    <s v="DK1_Rural"/>
    <x v="1"/>
    <x v="1"/>
    <x v="15"/>
    <x v="0"/>
    <x v="3"/>
    <n v="-0.51200000000000001"/>
    <n v="-186.88"/>
    <n v="-672.76800000000003"/>
  </r>
  <r>
    <x v="0"/>
    <x v="0"/>
    <x v="0"/>
    <x v="0"/>
    <x v="0"/>
    <s v="DK1_Rural"/>
    <x v="1"/>
    <x v="1"/>
    <x v="15"/>
    <x v="0"/>
    <x v="4"/>
    <n v="-0.51200000000000001"/>
    <n v="-186.88"/>
    <n v="-672.76800000000003"/>
  </r>
  <r>
    <x v="0"/>
    <x v="0"/>
    <x v="0"/>
    <x v="0"/>
    <x v="0"/>
    <s v="DK1_Rural"/>
    <x v="1"/>
    <x v="1"/>
    <x v="15"/>
    <x v="0"/>
    <x v="5"/>
    <n v="-0.51200000000000001"/>
    <n v="-186.88"/>
    <n v="-672.76800000000003"/>
  </r>
  <r>
    <x v="0"/>
    <x v="0"/>
    <x v="0"/>
    <x v="0"/>
    <x v="0"/>
    <s v="DK1_Rural"/>
    <x v="1"/>
    <x v="1"/>
    <x v="15"/>
    <x v="0"/>
    <x v="6"/>
    <n v="-0.51200000000000001"/>
    <n v="-186.88"/>
    <n v="-672.76800000000003"/>
  </r>
  <r>
    <x v="0"/>
    <x v="0"/>
    <x v="0"/>
    <x v="0"/>
    <x v="0"/>
    <s v="DK1_Rural"/>
    <x v="1"/>
    <x v="1"/>
    <x v="15"/>
    <x v="0"/>
    <x v="7"/>
    <n v="-0.51200000000000001"/>
    <n v="-186.88"/>
    <n v="-672.76800000000003"/>
  </r>
  <r>
    <x v="0"/>
    <x v="0"/>
    <x v="0"/>
    <x v="0"/>
    <x v="0"/>
    <s v="DK1_Rural"/>
    <x v="1"/>
    <x v="1"/>
    <x v="15"/>
    <x v="0"/>
    <x v="8"/>
    <n v="-0.51200000000000001"/>
    <n v="-186.88"/>
    <n v="-672.76800000000003"/>
  </r>
  <r>
    <x v="0"/>
    <x v="0"/>
    <x v="0"/>
    <x v="0"/>
    <x v="0"/>
    <s v="DK1_Rural"/>
    <x v="1"/>
    <x v="1"/>
    <x v="15"/>
    <x v="0"/>
    <x v="9"/>
    <n v="-0.51200000000000001"/>
    <n v="-186.88"/>
    <n v="-672.76800000000003"/>
  </r>
  <r>
    <x v="0"/>
    <x v="0"/>
    <x v="0"/>
    <x v="0"/>
    <x v="0"/>
    <s v="DK1_Rural"/>
    <x v="1"/>
    <x v="1"/>
    <x v="15"/>
    <x v="0"/>
    <x v="10"/>
    <n v="-0.51200000000000001"/>
    <n v="-186.88"/>
    <n v="-672.76800000000003"/>
  </r>
  <r>
    <x v="0"/>
    <x v="0"/>
    <x v="0"/>
    <x v="0"/>
    <x v="0"/>
    <s v="DK1_Rural"/>
    <x v="1"/>
    <x v="1"/>
    <x v="15"/>
    <x v="0"/>
    <x v="11"/>
    <n v="-0.51200000000000001"/>
    <n v="-186.88"/>
    <n v="-672.76800000000003"/>
  </r>
  <r>
    <x v="0"/>
    <x v="0"/>
    <x v="0"/>
    <x v="0"/>
    <x v="0"/>
    <s v="DK1_Rural"/>
    <x v="1"/>
    <x v="1"/>
    <x v="15"/>
    <x v="0"/>
    <x v="12"/>
    <n v="-0.51200000000000001"/>
    <n v="-186.88"/>
    <n v="-672.76800000000003"/>
  </r>
  <r>
    <x v="0"/>
    <x v="0"/>
    <x v="0"/>
    <x v="0"/>
    <x v="0"/>
    <s v="DK1_Rural"/>
    <x v="1"/>
    <x v="1"/>
    <x v="15"/>
    <x v="0"/>
    <x v="13"/>
    <n v="-0.51200000000000001"/>
    <n v="-186.88"/>
    <n v="-672.76800000000003"/>
  </r>
  <r>
    <x v="0"/>
    <x v="0"/>
    <x v="0"/>
    <x v="0"/>
    <x v="0"/>
    <s v="DK1_Rural"/>
    <x v="1"/>
    <x v="1"/>
    <x v="15"/>
    <x v="0"/>
    <x v="14"/>
    <n v="-0.51200000000000001"/>
    <n v="-186.88"/>
    <n v="-672.76800000000003"/>
  </r>
  <r>
    <x v="0"/>
    <x v="0"/>
    <x v="0"/>
    <x v="0"/>
    <x v="0"/>
    <s v="DK1_Rural"/>
    <x v="1"/>
    <x v="1"/>
    <x v="15"/>
    <x v="0"/>
    <x v="15"/>
    <n v="-0.51200000000000001"/>
    <n v="-186.88"/>
    <n v="-672.76800000000003"/>
  </r>
  <r>
    <x v="0"/>
    <x v="0"/>
    <x v="0"/>
    <x v="0"/>
    <x v="0"/>
    <s v="DK1_Rural"/>
    <x v="1"/>
    <x v="1"/>
    <x v="15"/>
    <x v="0"/>
    <x v="16"/>
    <n v="-0.51200000000000001"/>
    <n v="-186.88"/>
    <n v="-672.76800000000003"/>
  </r>
  <r>
    <x v="0"/>
    <x v="0"/>
    <x v="0"/>
    <x v="0"/>
    <x v="0"/>
    <s v="DK1_Rural"/>
    <x v="1"/>
    <x v="1"/>
    <x v="15"/>
    <x v="0"/>
    <x v="17"/>
    <n v="-0.51200000000000001"/>
    <n v="-186.88"/>
    <n v="-672.76800000000003"/>
  </r>
  <r>
    <x v="0"/>
    <x v="0"/>
    <x v="0"/>
    <x v="0"/>
    <x v="0"/>
    <s v="DK1_Rural"/>
    <x v="1"/>
    <x v="1"/>
    <x v="15"/>
    <x v="0"/>
    <x v="18"/>
    <n v="-0.51200000000000001"/>
    <n v="-186.88"/>
    <n v="-672.76800000000003"/>
  </r>
  <r>
    <x v="0"/>
    <x v="0"/>
    <x v="0"/>
    <x v="0"/>
    <x v="0"/>
    <s v="DK1_Rural"/>
    <x v="1"/>
    <x v="1"/>
    <x v="15"/>
    <x v="0"/>
    <x v="19"/>
    <n v="-0.51200000000000001"/>
    <n v="-186.88"/>
    <n v="-672.76800000000003"/>
  </r>
  <r>
    <x v="0"/>
    <x v="0"/>
    <x v="0"/>
    <x v="0"/>
    <x v="0"/>
    <s v="DK1_Rural"/>
    <x v="1"/>
    <x v="1"/>
    <x v="15"/>
    <x v="0"/>
    <x v="20"/>
    <n v="-0.51200000000000001"/>
    <n v="-186.88"/>
    <n v="-672.76800000000003"/>
  </r>
  <r>
    <x v="0"/>
    <x v="0"/>
    <x v="0"/>
    <x v="0"/>
    <x v="0"/>
    <s v="DK1_Rural"/>
    <x v="1"/>
    <x v="1"/>
    <x v="15"/>
    <x v="0"/>
    <x v="21"/>
    <n v="-0.51200000000000001"/>
    <n v="-186.88"/>
    <n v="-672.76800000000003"/>
  </r>
  <r>
    <x v="0"/>
    <x v="0"/>
    <x v="0"/>
    <x v="0"/>
    <x v="0"/>
    <s v="DK1_Rural"/>
    <x v="1"/>
    <x v="1"/>
    <x v="15"/>
    <x v="0"/>
    <x v="22"/>
    <n v="-0.51200000000000001"/>
    <n v="-186.88"/>
    <n v="-672.76800000000003"/>
  </r>
  <r>
    <x v="0"/>
    <x v="0"/>
    <x v="0"/>
    <x v="0"/>
    <x v="0"/>
    <s v="DK1_Rural"/>
    <x v="1"/>
    <x v="1"/>
    <x v="15"/>
    <x v="0"/>
    <x v="23"/>
    <n v="-0.51200000000000001"/>
    <n v="-186.88"/>
    <n v="-672.76800000000003"/>
  </r>
  <r>
    <x v="0"/>
    <x v="0"/>
    <x v="0"/>
    <x v="0"/>
    <x v="0"/>
    <s v="DK1_Rural"/>
    <x v="1"/>
    <x v="1"/>
    <x v="16"/>
    <x v="0"/>
    <x v="0"/>
    <n v="-0.30232558139534899"/>
    <n v="-110.348837209302"/>
    <n v="-397.25581395348797"/>
  </r>
  <r>
    <x v="0"/>
    <x v="0"/>
    <x v="0"/>
    <x v="0"/>
    <x v="0"/>
    <s v="DK1_Rural"/>
    <x v="1"/>
    <x v="1"/>
    <x v="16"/>
    <x v="0"/>
    <x v="1"/>
    <n v="-0.30232558139534899"/>
    <n v="-110.348837209302"/>
    <n v="-397.25581395348797"/>
  </r>
  <r>
    <x v="0"/>
    <x v="0"/>
    <x v="0"/>
    <x v="0"/>
    <x v="0"/>
    <s v="DK1_Rural"/>
    <x v="1"/>
    <x v="1"/>
    <x v="16"/>
    <x v="0"/>
    <x v="2"/>
    <n v="-0.30232558139534899"/>
    <n v="-110.348837209302"/>
    <n v="-397.25581395348797"/>
  </r>
  <r>
    <x v="0"/>
    <x v="0"/>
    <x v="0"/>
    <x v="0"/>
    <x v="0"/>
    <s v="DK1_Rural"/>
    <x v="1"/>
    <x v="1"/>
    <x v="16"/>
    <x v="0"/>
    <x v="3"/>
    <n v="-0.30232558139534899"/>
    <n v="-110.348837209302"/>
    <n v="-397.25581395348797"/>
  </r>
  <r>
    <x v="0"/>
    <x v="0"/>
    <x v="0"/>
    <x v="0"/>
    <x v="0"/>
    <s v="DK1_Rural"/>
    <x v="1"/>
    <x v="1"/>
    <x v="16"/>
    <x v="0"/>
    <x v="4"/>
    <n v="-0.30232558139534899"/>
    <n v="-110.348837209302"/>
    <n v="-397.25581395348797"/>
  </r>
  <r>
    <x v="0"/>
    <x v="0"/>
    <x v="0"/>
    <x v="0"/>
    <x v="0"/>
    <s v="DK1_Rural"/>
    <x v="1"/>
    <x v="1"/>
    <x v="16"/>
    <x v="0"/>
    <x v="5"/>
    <n v="-0.30232558139534899"/>
    <n v="-110.348837209302"/>
    <n v="-397.25581395348797"/>
  </r>
  <r>
    <x v="0"/>
    <x v="0"/>
    <x v="0"/>
    <x v="0"/>
    <x v="0"/>
    <s v="DK1_Rural"/>
    <x v="1"/>
    <x v="1"/>
    <x v="16"/>
    <x v="0"/>
    <x v="6"/>
    <n v="-0.30232558139534899"/>
    <n v="-110.348837209302"/>
    <n v="-397.25581395348797"/>
  </r>
  <r>
    <x v="0"/>
    <x v="0"/>
    <x v="0"/>
    <x v="0"/>
    <x v="0"/>
    <s v="DK1_Rural"/>
    <x v="1"/>
    <x v="1"/>
    <x v="16"/>
    <x v="0"/>
    <x v="7"/>
    <n v="-0.30232558139534899"/>
    <n v="-110.348837209302"/>
    <n v="-397.25581395348797"/>
  </r>
  <r>
    <x v="0"/>
    <x v="0"/>
    <x v="0"/>
    <x v="0"/>
    <x v="0"/>
    <s v="DK1_Rural"/>
    <x v="1"/>
    <x v="1"/>
    <x v="16"/>
    <x v="0"/>
    <x v="8"/>
    <n v="-0.30232558139534899"/>
    <n v="-110.348837209302"/>
    <n v="-397.25581395348797"/>
  </r>
  <r>
    <x v="0"/>
    <x v="0"/>
    <x v="0"/>
    <x v="0"/>
    <x v="0"/>
    <s v="DK1_Rural"/>
    <x v="1"/>
    <x v="1"/>
    <x v="16"/>
    <x v="0"/>
    <x v="9"/>
    <n v="-0.30232558139534899"/>
    <n v="-110.348837209302"/>
    <n v="-397.25581395348797"/>
  </r>
  <r>
    <x v="0"/>
    <x v="0"/>
    <x v="0"/>
    <x v="0"/>
    <x v="0"/>
    <s v="DK1_Rural"/>
    <x v="1"/>
    <x v="1"/>
    <x v="16"/>
    <x v="0"/>
    <x v="10"/>
    <n v="-0.30232558139534899"/>
    <n v="-110.348837209302"/>
    <n v="-397.25581395348797"/>
  </r>
  <r>
    <x v="0"/>
    <x v="0"/>
    <x v="0"/>
    <x v="0"/>
    <x v="0"/>
    <s v="DK1_Rural"/>
    <x v="1"/>
    <x v="1"/>
    <x v="16"/>
    <x v="0"/>
    <x v="11"/>
    <n v="-0.30232558139534899"/>
    <n v="-110.348837209302"/>
    <n v="-397.25581395348797"/>
  </r>
  <r>
    <x v="0"/>
    <x v="0"/>
    <x v="0"/>
    <x v="0"/>
    <x v="0"/>
    <s v="DK1_Rural"/>
    <x v="1"/>
    <x v="1"/>
    <x v="16"/>
    <x v="0"/>
    <x v="12"/>
    <n v="-0.30232558139534899"/>
    <n v="-110.348837209302"/>
    <n v="-397.25581395348797"/>
  </r>
  <r>
    <x v="0"/>
    <x v="0"/>
    <x v="0"/>
    <x v="0"/>
    <x v="0"/>
    <s v="DK1_Rural"/>
    <x v="1"/>
    <x v="1"/>
    <x v="16"/>
    <x v="0"/>
    <x v="13"/>
    <n v="-0.30232558139534899"/>
    <n v="-110.348837209302"/>
    <n v="-397.25581395348797"/>
  </r>
  <r>
    <x v="0"/>
    <x v="0"/>
    <x v="0"/>
    <x v="0"/>
    <x v="0"/>
    <s v="DK1_Rural"/>
    <x v="1"/>
    <x v="1"/>
    <x v="16"/>
    <x v="0"/>
    <x v="14"/>
    <n v="-0.30232558139534899"/>
    <n v="-110.348837209302"/>
    <n v="-397.25581395348797"/>
  </r>
  <r>
    <x v="0"/>
    <x v="0"/>
    <x v="0"/>
    <x v="0"/>
    <x v="0"/>
    <s v="DK1_Rural"/>
    <x v="1"/>
    <x v="1"/>
    <x v="16"/>
    <x v="0"/>
    <x v="15"/>
    <n v="-0.30232558139534899"/>
    <n v="-110.348837209302"/>
    <n v="-397.25581395348797"/>
  </r>
  <r>
    <x v="0"/>
    <x v="0"/>
    <x v="0"/>
    <x v="0"/>
    <x v="0"/>
    <s v="DK1_Rural"/>
    <x v="1"/>
    <x v="1"/>
    <x v="16"/>
    <x v="0"/>
    <x v="16"/>
    <n v="-0.30232558139534899"/>
    <n v="-110.348837209302"/>
    <n v="-397.25581395348797"/>
  </r>
  <r>
    <x v="0"/>
    <x v="0"/>
    <x v="0"/>
    <x v="0"/>
    <x v="0"/>
    <s v="DK1_Rural"/>
    <x v="1"/>
    <x v="1"/>
    <x v="16"/>
    <x v="0"/>
    <x v="17"/>
    <n v="-0.30232558139534899"/>
    <n v="-110.348837209302"/>
    <n v="-397.25581395348797"/>
  </r>
  <r>
    <x v="0"/>
    <x v="0"/>
    <x v="0"/>
    <x v="0"/>
    <x v="0"/>
    <s v="DK1_Rural"/>
    <x v="1"/>
    <x v="1"/>
    <x v="16"/>
    <x v="0"/>
    <x v="18"/>
    <n v="-0.30232558139534899"/>
    <n v="-110.348837209302"/>
    <n v="-397.25581395348797"/>
  </r>
  <r>
    <x v="0"/>
    <x v="0"/>
    <x v="0"/>
    <x v="0"/>
    <x v="0"/>
    <s v="DK1_Rural"/>
    <x v="1"/>
    <x v="1"/>
    <x v="16"/>
    <x v="0"/>
    <x v="19"/>
    <n v="-0.30232558139534899"/>
    <n v="-110.348837209302"/>
    <n v="-397.25581395348797"/>
  </r>
  <r>
    <x v="0"/>
    <x v="0"/>
    <x v="0"/>
    <x v="0"/>
    <x v="0"/>
    <s v="DK1_Rural"/>
    <x v="1"/>
    <x v="1"/>
    <x v="16"/>
    <x v="0"/>
    <x v="20"/>
    <n v="-0.30232558139534899"/>
    <n v="-110.348837209302"/>
    <n v="-397.25581395348797"/>
  </r>
  <r>
    <x v="0"/>
    <x v="0"/>
    <x v="0"/>
    <x v="0"/>
    <x v="0"/>
    <s v="DK1_Rural"/>
    <x v="1"/>
    <x v="1"/>
    <x v="16"/>
    <x v="0"/>
    <x v="21"/>
    <n v="-0.30232558139534899"/>
    <n v="-110.348837209302"/>
    <n v="-397.25581395348797"/>
  </r>
  <r>
    <x v="0"/>
    <x v="0"/>
    <x v="0"/>
    <x v="0"/>
    <x v="0"/>
    <s v="DK1_Rural"/>
    <x v="1"/>
    <x v="1"/>
    <x v="16"/>
    <x v="0"/>
    <x v="22"/>
    <n v="-0.30232558139534899"/>
    <n v="-110.348837209302"/>
    <n v="-397.25581395348797"/>
  </r>
  <r>
    <x v="0"/>
    <x v="0"/>
    <x v="0"/>
    <x v="0"/>
    <x v="0"/>
    <s v="DK1_Rural"/>
    <x v="1"/>
    <x v="1"/>
    <x v="16"/>
    <x v="0"/>
    <x v="23"/>
    <n v="-0.30232558139534899"/>
    <n v="-110.348837209302"/>
    <n v="-397.25581395348797"/>
  </r>
  <r>
    <x v="0"/>
    <x v="0"/>
    <x v="0"/>
    <x v="0"/>
    <x v="0"/>
    <s v="DK1_Rural"/>
    <x v="1"/>
    <x v="1"/>
    <x v="17"/>
    <x v="0"/>
    <x v="0"/>
    <n v="-0.12"/>
    <n v="-43.8"/>
    <n v="-157.68"/>
  </r>
  <r>
    <x v="0"/>
    <x v="0"/>
    <x v="0"/>
    <x v="0"/>
    <x v="0"/>
    <s v="DK1_Rural"/>
    <x v="1"/>
    <x v="1"/>
    <x v="17"/>
    <x v="0"/>
    <x v="1"/>
    <n v="-0.12"/>
    <n v="-43.8"/>
    <n v="-157.68"/>
  </r>
  <r>
    <x v="0"/>
    <x v="0"/>
    <x v="0"/>
    <x v="0"/>
    <x v="0"/>
    <s v="DK1_Rural"/>
    <x v="1"/>
    <x v="1"/>
    <x v="17"/>
    <x v="0"/>
    <x v="2"/>
    <n v="-0.12"/>
    <n v="-43.8"/>
    <n v="-157.68"/>
  </r>
  <r>
    <x v="0"/>
    <x v="0"/>
    <x v="0"/>
    <x v="0"/>
    <x v="0"/>
    <s v="DK1_Rural"/>
    <x v="1"/>
    <x v="1"/>
    <x v="17"/>
    <x v="0"/>
    <x v="3"/>
    <n v="-0.12"/>
    <n v="-43.8"/>
    <n v="-157.68"/>
  </r>
  <r>
    <x v="0"/>
    <x v="0"/>
    <x v="0"/>
    <x v="0"/>
    <x v="0"/>
    <s v="DK1_Rural"/>
    <x v="1"/>
    <x v="1"/>
    <x v="17"/>
    <x v="0"/>
    <x v="4"/>
    <n v="-0.12"/>
    <n v="-43.8"/>
    <n v="-157.68"/>
  </r>
  <r>
    <x v="0"/>
    <x v="0"/>
    <x v="0"/>
    <x v="0"/>
    <x v="0"/>
    <s v="DK1_Rural"/>
    <x v="1"/>
    <x v="1"/>
    <x v="17"/>
    <x v="0"/>
    <x v="5"/>
    <n v="-0.12"/>
    <n v="-43.8"/>
    <n v="-157.68"/>
  </r>
  <r>
    <x v="0"/>
    <x v="0"/>
    <x v="0"/>
    <x v="0"/>
    <x v="0"/>
    <s v="DK1_Rural"/>
    <x v="1"/>
    <x v="1"/>
    <x v="17"/>
    <x v="0"/>
    <x v="6"/>
    <n v="-0.12"/>
    <n v="-43.8"/>
    <n v="-157.68"/>
  </r>
  <r>
    <x v="0"/>
    <x v="0"/>
    <x v="0"/>
    <x v="0"/>
    <x v="0"/>
    <s v="DK1_Rural"/>
    <x v="1"/>
    <x v="1"/>
    <x v="17"/>
    <x v="0"/>
    <x v="7"/>
    <n v="-0.12"/>
    <n v="-43.8"/>
    <n v="-157.68"/>
  </r>
  <r>
    <x v="0"/>
    <x v="0"/>
    <x v="0"/>
    <x v="0"/>
    <x v="0"/>
    <s v="DK1_Rural"/>
    <x v="1"/>
    <x v="1"/>
    <x v="17"/>
    <x v="0"/>
    <x v="8"/>
    <n v="-0.12"/>
    <n v="-43.8"/>
    <n v="-157.68"/>
  </r>
  <r>
    <x v="0"/>
    <x v="0"/>
    <x v="0"/>
    <x v="0"/>
    <x v="0"/>
    <s v="DK1_Rural"/>
    <x v="1"/>
    <x v="1"/>
    <x v="17"/>
    <x v="0"/>
    <x v="9"/>
    <n v="-0.12"/>
    <n v="-43.8"/>
    <n v="-157.68"/>
  </r>
  <r>
    <x v="0"/>
    <x v="0"/>
    <x v="0"/>
    <x v="0"/>
    <x v="0"/>
    <s v="DK1_Rural"/>
    <x v="1"/>
    <x v="1"/>
    <x v="17"/>
    <x v="0"/>
    <x v="10"/>
    <n v="-0.12"/>
    <n v="-43.8"/>
    <n v="-157.68"/>
  </r>
  <r>
    <x v="0"/>
    <x v="0"/>
    <x v="0"/>
    <x v="0"/>
    <x v="0"/>
    <s v="DK1_Rural"/>
    <x v="1"/>
    <x v="1"/>
    <x v="17"/>
    <x v="0"/>
    <x v="11"/>
    <n v="-0.12"/>
    <n v="-43.8"/>
    <n v="-157.68"/>
  </r>
  <r>
    <x v="0"/>
    <x v="0"/>
    <x v="0"/>
    <x v="0"/>
    <x v="0"/>
    <s v="DK1_Rural"/>
    <x v="1"/>
    <x v="1"/>
    <x v="17"/>
    <x v="0"/>
    <x v="12"/>
    <n v="-0.12"/>
    <n v="-43.8"/>
    <n v="-157.68"/>
  </r>
  <r>
    <x v="0"/>
    <x v="0"/>
    <x v="0"/>
    <x v="0"/>
    <x v="0"/>
    <s v="DK1_Rural"/>
    <x v="1"/>
    <x v="1"/>
    <x v="17"/>
    <x v="0"/>
    <x v="13"/>
    <n v="-0.12"/>
    <n v="-43.8"/>
    <n v="-157.68"/>
  </r>
  <r>
    <x v="0"/>
    <x v="0"/>
    <x v="0"/>
    <x v="0"/>
    <x v="0"/>
    <s v="DK1_Rural"/>
    <x v="1"/>
    <x v="1"/>
    <x v="17"/>
    <x v="0"/>
    <x v="14"/>
    <n v="-0.12"/>
    <n v="-43.8"/>
    <n v="-157.68"/>
  </r>
  <r>
    <x v="0"/>
    <x v="0"/>
    <x v="0"/>
    <x v="0"/>
    <x v="0"/>
    <s v="DK1_Rural"/>
    <x v="1"/>
    <x v="1"/>
    <x v="17"/>
    <x v="0"/>
    <x v="15"/>
    <n v="-0.12"/>
    <n v="-43.8"/>
    <n v="-157.68"/>
  </r>
  <r>
    <x v="0"/>
    <x v="0"/>
    <x v="0"/>
    <x v="0"/>
    <x v="0"/>
    <s v="DK1_Rural"/>
    <x v="1"/>
    <x v="1"/>
    <x v="17"/>
    <x v="0"/>
    <x v="16"/>
    <n v="-0.12"/>
    <n v="-43.8"/>
    <n v="-157.68"/>
  </r>
  <r>
    <x v="0"/>
    <x v="0"/>
    <x v="0"/>
    <x v="0"/>
    <x v="0"/>
    <s v="DK1_Rural"/>
    <x v="1"/>
    <x v="1"/>
    <x v="17"/>
    <x v="0"/>
    <x v="17"/>
    <n v="-0.12"/>
    <n v="-43.8"/>
    <n v="-157.68"/>
  </r>
  <r>
    <x v="0"/>
    <x v="0"/>
    <x v="0"/>
    <x v="0"/>
    <x v="0"/>
    <s v="DK1_Rural"/>
    <x v="1"/>
    <x v="1"/>
    <x v="17"/>
    <x v="0"/>
    <x v="18"/>
    <n v="-0.12"/>
    <n v="-43.8"/>
    <n v="-157.68"/>
  </r>
  <r>
    <x v="0"/>
    <x v="0"/>
    <x v="0"/>
    <x v="0"/>
    <x v="0"/>
    <s v="DK1_Rural"/>
    <x v="1"/>
    <x v="1"/>
    <x v="17"/>
    <x v="0"/>
    <x v="19"/>
    <n v="-0.12"/>
    <n v="-43.8"/>
    <n v="-157.68"/>
  </r>
  <r>
    <x v="0"/>
    <x v="0"/>
    <x v="0"/>
    <x v="0"/>
    <x v="0"/>
    <s v="DK1_Rural"/>
    <x v="1"/>
    <x v="1"/>
    <x v="17"/>
    <x v="0"/>
    <x v="20"/>
    <n v="-0.12"/>
    <n v="-43.8"/>
    <n v="-157.68"/>
  </r>
  <r>
    <x v="0"/>
    <x v="0"/>
    <x v="0"/>
    <x v="0"/>
    <x v="0"/>
    <s v="DK1_Rural"/>
    <x v="1"/>
    <x v="1"/>
    <x v="17"/>
    <x v="0"/>
    <x v="21"/>
    <n v="-0.12"/>
    <n v="-43.8"/>
    <n v="-157.68"/>
  </r>
  <r>
    <x v="0"/>
    <x v="0"/>
    <x v="0"/>
    <x v="0"/>
    <x v="0"/>
    <s v="DK1_Rural"/>
    <x v="1"/>
    <x v="1"/>
    <x v="17"/>
    <x v="0"/>
    <x v="22"/>
    <n v="-0.12"/>
    <n v="-43.8"/>
    <n v="-157.68"/>
  </r>
  <r>
    <x v="0"/>
    <x v="0"/>
    <x v="0"/>
    <x v="0"/>
    <x v="0"/>
    <s v="DK1_Rural"/>
    <x v="1"/>
    <x v="1"/>
    <x v="17"/>
    <x v="0"/>
    <x v="23"/>
    <n v="-0.12"/>
    <n v="-43.8"/>
    <n v="-157.68"/>
  </r>
  <r>
    <x v="0"/>
    <x v="0"/>
    <x v="0"/>
    <x v="0"/>
    <x v="0"/>
    <s v="DK1_Rural"/>
    <x v="1"/>
    <x v="1"/>
    <x v="18"/>
    <x v="0"/>
    <x v="0"/>
    <n v="-0.78260869565217395"/>
    <n v="-285.65217391304401"/>
    <n v="-1028.3478260869599"/>
  </r>
  <r>
    <x v="0"/>
    <x v="0"/>
    <x v="0"/>
    <x v="0"/>
    <x v="0"/>
    <s v="DK1_Rural"/>
    <x v="1"/>
    <x v="1"/>
    <x v="18"/>
    <x v="0"/>
    <x v="1"/>
    <n v="-0.78260869565217395"/>
    <n v="-285.65217391304401"/>
    <n v="-1028.3478260869599"/>
  </r>
  <r>
    <x v="0"/>
    <x v="0"/>
    <x v="0"/>
    <x v="0"/>
    <x v="0"/>
    <s v="DK1_Rural"/>
    <x v="1"/>
    <x v="1"/>
    <x v="18"/>
    <x v="0"/>
    <x v="2"/>
    <n v="-0.78260869565217395"/>
    <n v="-285.65217391304401"/>
    <n v="-1028.3478260869599"/>
  </r>
  <r>
    <x v="0"/>
    <x v="0"/>
    <x v="0"/>
    <x v="0"/>
    <x v="0"/>
    <s v="DK1_Rural"/>
    <x v="1"/>
    <x v="1"/>
    <x v="18"/>
    <x v="0"/>
    <x v="3"/>
    <n v="-0.78260869565217395"/>
    <n v="-285.65217391304401"/>
    <n v="-1028.3478260869599"/>
  </r>
  <r>
    <x v="0"/>
    <x v="0"/>
    <x v="0"/>
    <x v="0"/>
    <x v="0"/>
    <s v="DK1_Rural"/>
    <x v="1"/>
    <x v="1"/>
    <x v="18"/>
    <x v="0"/>
    <x v="4"/>
    <n v="-0.78260869565217395"/>
    <n v="-285.65217391304401"/>
    <n v="-1028.3478260869599"/>
  </r>
  <r>
    <x v="0"/>
    <x v="0"/>
    <x v="0"/>
    <x v="0"/>
    <x v="0"/>
    <s v="DK1_Rural"/>
    <x v="1"/>
    <x v="1"/>
    <x v="18"/>
    <x v="0"/>
    <x v="5"/>
    <n v="-0.78260869565217395"/>
    <n v="-285.65217391304401"/>
    <n v="-1028.3478260869599"/>
  </r>
  <r>
    <x v="0"/>
    <x v="0"/>
    <x v="0"/>
    <x v="0"/>
    <x v="0"/>
    <s v="DK1_Rural"/>
    <x v="1"/>
    <x v="1"/>
    <x v="18"/>
    <x v="0"/>
    <x v="6"/>
    <n v="-0.78260869565217395"/>
    <n v="-285.65217391304401"/>
    <n v="-1028.3478260869599"/>
  </r>
  <r>
    <x v="0"/>
    <x v="0"/>
    <x v="0"/>
    <x v="0"/>
    <x v="0"/>
    <s v="DK1_Rural"/>
    <x v="1"/>
    <x v="1"/>
    <x v="18"/>
    <x v="0"/>
    <x v="7"/>
    <n v="-0.78260869565217395"/>
    <n v="-285.65217391304401"/>
    <n v="-1028.3478260869599"/>
  </r>
  <r>
    <x v="0"/>
    <x v="0"/>
    <x v="0"/>
    <x v="0"/>
    <x v="0"/>
    <s v="DK1_Rural"/>
    <x v="1"/>
    <x v="1"/>
    <x v="18"/>
    <x v="0"/>
    <x v="8"/>
    <n v="-0.78260869565217395"/>
    <n v="-285.65217391304401"/>
    <n v="-1028.3478260869599"/>
  </r>
  <r>
    <x v="0"/>
    <x v="0"/>
    <x v="0"/>
    <x v="0"/>
    <x v="0"/>
    <s v="DK1_Rural"/>
    <x v="1"/>
    <x v="1"/>
    <x v="18"/>
    <x v="0"/>
    <x v="9"/>
    <n v="-0.78260869565217395"/>
    <n v="-285.65217391304401"/>
    <n v="-1028.3478260869599"/>
  </r>
  <r>
    <x v="0"/>
    <x v="0"/>
    <x v="0"/>
    <x v="0"/>
    <x v="0"/>
    <s v="DK1_Rural"/>
    <x v="1"/>
    <x v="1"/>
    <x v="18"/>
    <x v="0"/>
    <x v="10"/>
    <n v="-0.78260869565217395"/>
    <n v="-285.65217391304401"/>
    <n v="-1028.3478260869599"/>
  </r>
  <r>
    <x v="0"/>
    <x v="0"/>
    <x v="0"/>
    <x v="0"/>
    <x v="0"/>
    <s v="DK1_Rural"/>
    <x v="1"/>
    <x v="1"/>
    <x v="18"/>
    <x v="0"/>
    <x v="11"/>
    <n v="-0.78260869565217395"/>
    <n v="-285.65217391304401"/>
    <n v="-1028.3478260869599"/>
  </r>
  <r>
    <x v="0"/>
    <x v="0"/>
    <x v="0"/>
    <x v="0"/>
    <x v="0"/>
    <s v="DK1_Rural"/>
    <x v="1"/>
    <x v="1"/>
    <x v="18"/>
    <x v="0"/>
    <x v="12"/>
    <n v="-0.78260869565217395"/>
    <n v="-285.65217391304401"/>
    <n v="-1028.3478260869599"/>
  </r>
  <r>
    <x v="0"/>
    <x v="0"/>
    <x v="0"/>
    <x v="0"/>
    <x v="0"/>
    <s v="DK1_Rural"/>
    <x v="1"/>
    <x v="1"/>
    <x v="18"/>
    <x v="0"/>
    <x v="13"/>
    <n v="-0.78260869565217395"/>
    <n v="-285.65217391304401"/>
    <n v="-1028.3478260869599"/>
  </r>
  <r>
    <x v="0"/>
    <x v="0"/>
    <x v="0"/>
    <x v="0"/>
    <x v="0"/>
    <s v="DK1_Rural"/>
    <x v="1"/>
    <x v="1"/>
    <x v="18"/>
    <x v="0"/>
    <x v="14"/>
    <n v="-0.78260869565217395"/>
    <n v="-285.65217391304401"/>
    <n v="-1028.3478260869599"/>
  </r>
  <r>
    <x v="0"/>
    <x v="0"/>
    <x v="0"/>
    <x v="0"/>
    <x v="0"/>
    <s v="DK1_Rural"/>
    <x v="1"/>
    <x v="1"/>
    <x v="18"/>
    <x v="0"/>
    <x v="15"/>
    <n v="-0.78260869565217395"/>
    <n v="-285.65217391304401"/>
    <n v="-1028.3478260869599"/>
  </r>
  <r>
    <x v="0"/>
    <x v="0"/>
    <x v="0"/>
    <x v="0"/>
    <x v="0"/>
    <s v="DK1_Rural"/>
    <x v="1"/>
    <x v="1"/>
    <x v="18"/>
    <x v="0"/>
    <x v="16"/>
    <n v="-0.78260869565217395"/>
    <n v="-285.65217391304401"/>
    <n v="-1028.3478260869599"/>
  </r>
  <r>
    <x v="0"/>
    <x v="0"/>
    <x v="0"/>
    <x v="0"/>
    <x v="0"/>
    <s v="DK1_Rural"/>
    <x v="1"/>
    <x v="1"/>
    <x v="18"/>
    <x v="0"/>
    <x v="17"/>
    <n v="-0.78260869565217395"/>
    <n v="-285.65217391304401"/>
    <n v="-1028.3478260869599"/>
  </r>
  <r>
    <x v="0"/>
    <x v="0"/>
    <x v="0"/>
    <x v="0"/>
    <x v="0"/>
    <s v="DK1_Rural"/>
    <x v="1"/>
    <x v="1"/>
    <x v="18"/>
    <x v="0"/>
    <x v="18"/>
    <n v="-0.78260869565217395"/>
    <n v="-285.65217391304401"/>
    <n v="-1028.3478260869599"/>
  </r>
  <r>
    <x v="0"/>
    <x v="0"/>
    <x v="0"/>
    <x v="0"/>
    <x v="0"/>
    <s v="DK1_Rural"/>
    <x v="1"/>
    <x v="1"/>
    <x v="18"/>
    <x v="0"/>
    <x v="19"/>
    <n v="-0.78260869565217395"/>
    <n v="-285.65217391304401"/>
    <n v="-1028.3478260869599"/>
  </r>
  <r>
    <x v="0"/>
    <x v="0"/>
    <x v="0"/>
    <x v="0"/>
    <x v="0"/>
    <s v="DK1_Rural"/>
    <x v="1"/>
    <x v="1"/>
    <x v="18"/>
    <x v="0"/>
    <x v="20"/>
    <n v="-0.78260869565217395"/>
    <n v="-285.65217391304401"/>
    <n v="-1028.3478260869599"/>
  </r>
  <r>
    <x v="0"/>
    <x v="0"/>
    <x v="0"/>
    <x v="0"/>
    <x v="0"/>
    <s v="DK1_Rural"/>
    <x v="1"/>
    <x v="1"/>
    <x v="18"/>
    <x v="0"/>
    <x v="21"/>
    <n v="-0.78260869565217395"/>
    <n v="-285.65217391304401"/>
    <n v="-1028.3478260869599"/>
  </r>
  <r>
    <x v="0"/>
    <x v="0"/>
    <x v="0"/>
    <x v="0"/>
    <x v="0"/>
    <s v="DK1_Rural"/>
    <x v="1"/>
    <x v="1"/>
    <x v="18"/>
    <x v="0"/>
    <x v="22"/>
    <n v="-0.78260869565217395"/>
    <n v="-285.65217391304401"/>
    <n v="-1028.3478260869599"/>
  </r>
  <r>
    <x v="0"/>
    <x v="0"/>
    <x v="0"/>
    <x v="0"/>
    <x v="0"/>
    <s v="DK1_Rural"/>
    <x v="1"/>
    <x v="1"/>
    <x v="18"/>
    <x v="0"/>
    <x v="23"/>
    <n v="-0.78260869565217395"/>
    <n v="-285.65217391304401"/>
    <n v="-1028.3478260869599"/>
  </r>
  <r>
    <x v="0"/>
    <x v="0"/>
    <x v="0"/>
    <x v="0"/>
    <x v="0"/>
    <s v="DK1_Rural"/>
    <x v="1"/>
    <x v="1"/>
    <x v="19"/>
    <x v="0"/>
    <x v="0"/>
    <n v="-0.20212765957446799"/>
    <n v="-73.776595744680805"/>
    <n v="-265.595744680851"/>
  </r>
  <r>
    <x v="0"/>
    <x v="0"/>
    <x v="0"/>
    <x v="0"/>
    <x v="0"/>
    <s v="DK1_Rural"/>
    <x v="1"/>
    <x v="1"/>
    <x v="19"/>
    <x v="0"/>
    <x v="1"/>
    <n v="-0.20212765957446799"/>
    <n v="-73.776595744680805"/>
    <n v="-265.595744680851"/>
  </r>
  <r>
    <x v="0"/>
    <x v="0"/>
    <x v="0"/>
    <x v="0"/>
    <x v="0"/>
    <s v="DK1_Rural"/>
    <x v="1"/>
    <x v="1"/>
    <x v="19"/>
    <x v="0"/>
    <x v="2"/>
    <n v="-0.20212765957446799"/>
    <n v="-73.776595744680805"/>
    <n v="-265.595744680851"/>
  </r>
  <r>
    <x v="0"/>
    <x v="0"/>
    <x v="0"/>
    <x v="0"/>
    <x v="0"/>
    <s v="DK1_Rural"/>
    <x v="1"/>
    <x v="1"/>
    <x v="19"/>
    <x v="0"/>
    <x v="3"/>
    <n v="-0.20212765957446799"/>
    <n v="-73.776595744680805"/>
    <n v="-265.595744680851"/>
  </r>
  <r>
    <x v="0"/>
    <x v="0"/>
    <x v="0"/>
    <x v="0"/>
    <x v="0"/>
    <s v="DK1_Rural"/>
    <x v="1"/>
    <x v="1"/>
    <x v="19"/>
    <x v="0"/>
    <x v="4"/>
    <n v="-0.20212765957446799"/>
    <n v="-73.776595744680805"/>
    <n v="-265.595744680851"/>
  </r>
  <r>
    <x v="0"/>
    <x v="0"/>
    <x v="0"/>
    <x v="0"/>
    <x v="0"/>
    <s v="DK1_Rural"/>
    <x v="1"/>
    <x v="1"/>
    <x v="19"/>
    <x v="0"/>
    <x v="5"/>
    <n v="-0.20212765957446799"/>
    <n v="-73.776595744680805"/>
    <n v="-265.595744680851"/>
  </r>
  <r>
    <x v="0"/>
    <x v="0"/>
    <x v="0"/>
    <x v="0"/>
    <x v="0"/>
    <s v="DK1_Rural"/>
    <x v="1"/>
    <x v="1"/>
    <x v="19"/>
    <x v="0"/>
    <x v="6"/>
    <n v="-0.20212765957446799"/>
    <n v="-73.776595744680805"/>
    <n v="-265.595744680851"/>
  </r>
  <r>
    <x v="0"/>
    <x v="0"/>
    <x v="0"/>
    <x v="0"/>
    <x v="0"/>
    <s v="DK1_Rural"/>
    <x v="1"/>
    <x v="1"/>
    <x v="19"/>
    <x v="0"/>
    <x v="7"/>
    <n v="-0.20212765957446799"/>
    <n v="-73.776595744680805"/>
    <n v="-265.595744680851"/>
  </r>
  <r>
    <x v="0"/>
    <x v="0"/>
    <x v="0"/>
    <x v="0"/>
    <x v="0"/>
    <s v="DK1_Rural"/>
    <x v="1"/>
    <x v="1"/>
    <x v="19"/>
    <x v="0"/>
    <x v="8"/>
    <n v="-0.20212765957446799"/>
    <n v="-73.776595744680805"/>
    <n v="-265.595744680851"/>
  </r>
  <r>
    <x v="0"/>
    <x v="0"/>
    <x v="0"/>
    <x v="0"/>
    <x v="0"/>
    <s v="DK1_Rural"/>
    <x v="1"/>
    <x v="1"/>
    <x v="19"/>
    <x v="0"/>
    <x v="9"/>
    <n v="-0.20212765957446799"/>
    <n v="-73.776595744680805"/>
    <n v="-265.595744680851"/>
  </r>
  <r>
    <x v="0"/>
    <x v="0"/>
    <x v="0"/>
    <x v="0"/>
    <x v="0"/>
    <s v="DK1_Rural"/>
    <x v="1"/>
    <x v="1"/>
    <x v="19"/>
    <x v="0"/>
    <x v="10"/>
    <n v="-0.20212765957446799"/>
    <n v="-73.776595744680805"/>
    <n v="-265.595744680851"/>
  </r>
  <r>
    <x v="0"/>
    <x v="0"/>
    <x v="0"/>
    <x v="0"/>
    <x v="0"/>
    <s v="DK1_Rural"/>
    <x v="1"/>
    <x v="1"/>
    <x v="19"/>
    <x v="0"/>
    <x v="11"/>
    <n v="-0.20212765957446799"/>
    <n v="-73.776595744680805"/>
    <n v="-265.595744680851"/>
  </r>
  <r>
    <x v="0"/>
    <x v="0"/>
    <x v="0"/>
    <x v="0"/>
    <x v="0"/>
    <s v="DK1_Rural"/>
    <x v="1"/>
    <x v="1"/>
    <x v="19"/>
    <x v="0"/>
    <x v="12"/>
    <n v="-0.20212765957446799"/>
    <n v="-73.776595744680805"/>
    <n v="-265.595744680851"/>
  </r>
  <r>
    <x v="0"/>
    <x v="0"/>
    <x v="0"/>
    <x v="0"/>
    <x v="0"/>
    <s v="DK1_Rural"/>
    <x v="1"/>
    <x v="1"/>
    <x v="19"/>
    <x v="0"/>
    <x v="13"/>
    <n v="-0.20212765957446799"/>
    <n v="-73.776595744680805"/>
    <n v="-265.595744680851"/>
  </r>
  <r>
    <x v="0"/>
    <x v="0"/>
    <x v="0"/>
    <x v="0"/>
    <x v="0"/>
    <s v="DK1_Rural"/>
    <x v="1"/>
    <x v="1"/>
    <x v="19"/>
    <x v="0"/>
    <x v="14"/>
    <n v="-0.20212765957446799"/>
    <n v="-73.776595744680805"/>
    <n v="-265.595744680851"/>
  </r>
  <r>
    <x v="0"/>
    <x v="0"/>
    <x v="0"/>
    <x v="0"/>
    <x v="0"/>
    <s v="DK1_Rural"/>
    <x v="1"/>
    <x v="1"/>
    <x v="19"/>
    <x v="0"/>
    <x v="15"/>
    <n v="-0.20212765957446799"/>
    <n v="-73.776595744680805"/>
    <n v="-265.595744680851"/>
  </r>
  <r>
    <x v="0"/>
    <x v="0"/>
    <x v="0"/>
    <x v="0"/>
    <x v="0"/>
    <s v="DK1_Rural"/>
    <x v="1"/>
    <x v="1"/>
    <x v="19"/>
    <x v="0"/>
    <x v="16"/>
    <n v="-0.20212765957446799"/>
    <n v="-73.776595744680805"/>
    <n v="-265.595744680851"/>
  </r>
  <r>
    <x v="0"/>
    <x v="0"/>
    <x v="0"/>
    <x v="0"/>
    <x v="0"/>
    <s v="DK1_Rural"/>
    <x v="1"/>
    <x v="1"/>
    <x v="19"/>
    <x v="0"/>
    <x v="17"/>
    <n v="-0.20212765957446799"/>
    <n v="-73.776595744680805"/>
    <n v="-265.595744680851"/>
  </r>
  <r>
    <x v="0"/>
    <x v="0"/>
    <x v="0"/>
    <x v="0"/>
    <x v="0"/>
    <s v="DK1_Rural"/>
    <x v="1"/>
    <x v="1"/>
    <x v="19"/>
    <x v="0"/>
    <x v="18"/>
    <n v="-0.20212765957446799"/>
    <n v="-73.776595744680805"/>
    <n v="-265.595744680851"/>
  </r>
  <r>
    <x v="0"/>
    <x v="0"/>
    <x v="0"/>
    <x v="0"/>
    <x v="0"/>
    <s v="DK1_Rural"/>
    <x v="1"/>
    <x v="1"/>
    <x v="19"/>
    <x v="0"/>
    <x v="19"/>
    <n v="-0.20212765957446799"/>
    <n v="-73.776595744680805"/>
    <n v="-265.595744680851"/>
  </r>
  <r>
    <x v="0"/>
    <x v="0"/>
    <x v="0"/>
    <x v="0"/>
    <x v="0"/>
    <s v="DK1_Rural"/>
    <x v="1"/>
    <x v="1"/>
    <x v="19"/>
    <x v="0"/>
    <x v="20"/>
    <n v="-0.20212765957446799"/>
    <n v="-73.776595744680805"/>
    <n v="-265.595744680851"/>
  </r>
  <r>
    <x v="0"/>
    <x v="0"/>
    <x v="0"/>
    <x v="0"/>
    <x v="0"/>
    <s v="DK1_Rural"/>
    <x v="1"/>
    <x v="1"/>
    <x v="19"/>
    <x v="0"/>
    <x v="21"/>
    <n v="-0.20212765957446799"/>
    <n v="-73.776595744680805"/>
    <n v="-265.595744680851"/>
  </r>
  <r>
    <x v="0"/>
    <x v="0"/>
    <x v="0"/>
    <x v="0"/>
    <x v="0"/>
    <s v="DK1_Rural"/>
    <x v="1"/>
    <x v="1"/>
    <x v="19"/>
    <x v="0"/>
    <x v="22"/>
    <n v="-0.20212765957446799"/>
    <n v="-73.776595744680805"/>
    <n v="-265.595744680851"/>
  </r>
  <r>
    <x v="0"/>
    <x v="0"/>
    <x v="0"/>
    <x v="0"/>
    <x v="0"/>
    <s v="DK1_Rural"/>
    <x v="1"/>
    <x v="1"/>
    <x v="19"/>
    <x v="0"/>
    <x v="23"/>
    <n v="-0.20212765957446799"/>
    <n v="-73.776595744680805"/>
    <n v="-265.595744680851"/>
  </r>
  <r>
    <x v="0"/>
    <x v="0"/>
    <x v="0"/>
    <x v="0"/>
    <x v="0"/>
    <s v="DK1_Rural"/>
    <x v="1"/>
    <x v="1"/>
    <x v="20"/>
    <x v="0"/>
    <x v="0"/>
    <n v="-0.1"/>
    <n v="-36.5"/>
    <n v="-131.4"/>
  </r>
  <r>
    <x v="0"/>
    <x v="0"/>
    <x v="0"/>
    <x v="0"/>
    <x v="0"/>
    <s v="DK1_Rural"/>
    <x v="1"/>
    <x v="1"/>
    <x v="20"/>
    <x v="0"/>
    <x v="1"/>
    <n v="-0.1"/>
    <n v="-36.5"/>
    <n v="-131.4"/>
  </r>
  <r>
    <x v="0"/>
    <x v="0"/>
    <x v="0"/>
    <x v="0"/>
    <x v="0"/>
    <s v="DK1_Rural"/>
    <x v="1"/>
    <x v="1"/>
    <x v="20"/>
    <x v="0"/>
    <x v="2"/>
    <n v="-0.1"/>
    <n v="-36.5"/>
    <n v="-131.4"/>
  </r>
  <r>
    <x v="0"/>
    <x v="0"/>
    <x v="0"/>
    <x v="0"/>
    <x v="0"/>
    <s v="DK1_Rural"/>
    <x v="1"/>
    <x v="1"/>
    <x v="20"/>
    <x v="0"/>
    <x v="3"/>
    <n v="-0.1"/>
    <n v="-36.5"/>
    <n v="-131.4"/>
  </r>
  <r>
    <x v="0"/>
    <x v="0"/>
    <x v="0"/>
    <x v="0"/>
    <x v="0"/>
    <s v="DK1_Rural"/>
    <x v="1"/>
    <x v="1"/>
    <x v="20"/>
    <x v="0"/>
    <x v="4"/>
    <n v="-0.1"/>
    <n v="-36.5"/>
    <n v="-131.4"/>
  </r>
  <r>
    <x v="0"/>
    <x v="0"/>
    <x v="0"/>
    <x v="0"/>
    <x v="0"/>
    <s v="DK1_Rural"/>
    <x v="1"/>
    <x v="1"/>
    <x v="20"/>
    <x v="0"/>
    <x v="5"/>
    <n v="-0.1"/>
    <n v="-36.5"/>
    <n v="-131.4"/>
  </r>
  <r>
    <x v="0"/>
    <x v="0"/>
    <x v="0"/>
    <x v="0"/>
    <x v="0"/>
    <s v="DK1_Rural"/>
    <x v="1"/>
    <x v="1"/>
    <x v="20"/>
    <x v="0"/>
    <x v="6"/>
    <n v="-0.1"/>
    <n v="-36.5"/>
    <n v="-131.4"/>
  </r>
  <r>
    <x v="0"/>
    <x v="0"/>
    <x v="0"/>
    <x v="0"/>
    <x v="0"/>
    <s v="DK1_Rural"/>
    <x v="1"/>
    <x v="1"/>
    <x v="20"/>
    <x v="0"/>
    <x v="7"/>
    <n v="-0.1"/>
    <n v="-36.5"/>
    <n v="-131.4"/>
  </r>
  <r>
    <x v="0"/>
    <x v="0"/>
    <x v="0"/>
    <x v="0"/>
    <x v="0"/>
    <s v="DK1_Rural"/>
    <x v="1"/>
    <x v="1"/>
    <x v="20"/>
    <x v="0"/>
    <x v="8"/>
    <n v="-0.1"/>
    <n v="-36.5"/>
    <n v="-131.4"/>
  </r>
  <r>
    <x v="0"/>
    <x v="0"/>
    <x v="0"/>
    <x v="0"/>
    <x v="0"/>
    <s v="DK1_Rural"/>
    <x v="1"/>
    <x v="1"/>
    <x v="20"/>
    <x v="0"/>
    <x v="9"/>
    <n v="-0.1"/>
    <n v="-36.5"/>
    <n v="-131.4"/>
  </r>
  <r>
    <x v="0"/>
    <x v="0"/>
    <x v="0"/>
    <x v="0"/>
    <x v="0"/>
    <s v="DK1_Rural"/>
    <x v="1"/>
    <x v="1"/>
    <x v="20"/>
    <x v="0"/>
    <x v="10"/>
    <n v="-0.1"/>
    <n v="-36.5"/>
    <n v="-131.4"/>
  </r>
  <r>
    <x v="0"/>
    <x v="0"/>
    <x v="0"/>
    <x v="0"/>
    <x v="0"/>
    <s v="DK1_Rural"/>
    <x v="1"/>
    <x v="1"/>
    <x v="20"/>
    <x v="0"/>
    <x v="11"/>
    <n v="-0.1"/>
    <n v="-36.5"/>
    <n v="-131.4"/>
  </r>
  <r>
    <x v="0"/>
    <x v="0"/>
    <x v="0"/>
    <x v="0"/>
    <x v="0"/>
    <s v="DK1_Rural"/>
    <x v="1"/>
    <x v="1"/>
    <x v="20"/>
    <x v="0"/>
    <x v="12"/>
    <n v="-0.1"/>
    <n v="-36.5"/>
    <n v="-131.4"/>
  </r>
  <r>
    <x v="0"/>
    <x v="0"/>
    <x v="0"/>
    <x v="0"/>
    <x v="0"/>
    <s v="DK1_Rural"/>
    <x v="1"/>
    <x v="1"/>
    <x v="20"/>
    <x v="0"/>
    <x v="13"/>
    <n v="-0.1"/>
    <n v="-36.5"/>
    <n v="-131.4"/>
  </r>
  <r>
    <x v="0"/>
    <x v="0"/>
    <x v="0"/>
    <x v="0"/>
    <x v="0"/>
    <s v="DK1_Rural"/>
    <x v="1"/>
    <x v="1"/>
    <x v="20"/>
    <x v="0"/>
    <x v="14"/>
    <n v="-0.1"/>
    <n v="-36.5"/>
    <n v="-131.4"/>
  </r>
  <r>
    <x v="0"/>
    <x v="0"/>
    <x v="0"/>
    <x v="0"/>
    <x v="0"/>
    <s v="DK1_Rural"/>
    <x v="1"/>
    <x v="1"/>
    <x v="20"/>
    <x v="0"/>
    <x v="15"/>
    <n v="-0.1"/>
    <n v="-36.5"/>
    <n v="-131.4"/>
  </r>
  <r>
    <x v="0"/>
    <x v="0"/>
    <x v="0"/>
    <x v="0"/>
    <x v="0"/>
    <s v="DK1_Rural"/>
    <x v="1"/>
    <x v="1"/>
    <x v="20"/>
    <x v="0"/>
    <x v="16"/>
    <n v="-0.1"/>
    <n v="-36.5"/>
    <n v="-131.4"/>
  </r>
  <r>
    <x v="0"/>
    <x v="0"/>
    <x v="0"/>
    <x v="0"/>
    <x v="0"/>
    <s v="DK1_Rural"/>
    <x v="1"/>
    <x v="1"/>
    <x v="20"/>
    <x v="0"/>
    <x v="17"/>
    <n v="-0.1"/>
    <n v="-36.5"/>
    <n v="-131.4"/>
  </r>
  <r>
    <x v="0"/>
    <x v="0"/>
    <x v="0"/>
    <x v="0"/>
    <x v="0"/>
    <s v="DK1_Rural"/>
    <x v="1"/>
    <x v="1"/>
    <x v="20"/>
    <x v="0"/>
    <x v="18"/>
    <n v="-0.1"/>
    <n v="-36.5"/>
    <n v="-131.4"/>
  </r>
  <r>
    <x v="0"/>
    <x v="0"/>
    <x v="0"/>
    <x v="0"/>
    <x v="0"/>
    <s v="DK1_Rural"/>
    <x v="1"/>
    <x v="1"/>
    <x v="20"/>
    <x v="0"/>
    <x v="19"/>
    <n v="-0.1"/>
    <n v="-36.5"/>
    <n v="-131.4"/>
  </r>
  <r>
    <x v="0"/>
    <x v="0"/>
    <x v="0"/>
    <x v="0"/>
    <x v="0"/>
    <s v="DK1_Rural"/>
    <x v="1"/>
    <x v="1"/>
    <x v="20"/>
    <x v="0"/>
    <x v="20"/>
    <n v="-0.1"/>
    <n v="-36.5"/>
    <n v="-131.4"/>
  </r>
  <r>
    <x v="0"/>
    <x v="0"/>
    <x v="0"/>
    <x v="0"/>
    <x v="0"/>
    <s v="DK1_Rural"/>
    <x v="1"/>
    <x v="1"/>
    <x v="20"/>
    <x v="0"/>
    <x v="21"/>
    <n v="-0.1"/>
    <n v="-36.5"/>
    <n v="-131.4"/>
  </r>
  <r>
    <x v="0"/>
    <x v="0"/>
    <x v="0"/>
    <x v="0"/>
    <x v="0"/>
    <s v="DK1_Rural"/>
    <x v="1"/>
    <x v="1"/>
    <x v="20"/>
    <x v="0"/>
    <x v="22"/>
    <n v="-0.1"/>
    <n v="-36.5"/>
    <n v="-131.4"/>
  </r>
  <r>
    <x v="0"/>
    <x v="0"/>
    <x v="0"/>
    <x v="0"/>
    <x v="0"/>
    <s v="DK1_Rural"/>
    <x v="1"/>
    <x v="1"/>
    <x v="20"/>
    <x v="0"/>
    <x v="23"/>
    <n v="-0.1"/>
    <n v="-36.5"/>
    <n v="-131.4"/>
  </r>
  <r>
    <x v="0"/>
    <x v="0"/>
    <x v="0"/>
    <x v="0"/>
    <x v="0"/>
    <s v="DK1_Rural"/>
    <x v="1"/>
    <x v="1"/>
    <x v="21"/>
    <x v="0"/>
    <x v="0"/>
    <n v="-0.25471698113207603"/>
    <n v="-92.971698113207594"/>
    <n v="-334.69811320754701"/>
  </r>
  <r>
    <x v="0"/>
    <x v="0"/>
    <x v="0"/>
    <x v="0"/>
    <x v="0"/>
    <s v="DK1_Rural"/>
    <x v="1"/>
    <x v="1"/>
    <x v="21"/>
    <x v="0"/>
    <x v="1"/>
    <n v="-0.25471698113207603"/>
    <n v="-92.971698113207594"/>
    <n v="-334.69811320754701"/>
  </r>
  <r>
    <x v="0"/>
    <x v="0"/>
    <x v="0"/>
    <x v="0"/>
    <x v="0"/>
    <s v="DK1_Rural"/>
    <x v="1"/>
    <x v="1"/>
    <x v="21"/>
    <x v="0"/>
    <x v="2"/>
    <n v="-0.25471698113207603"/>
    <n v="-92.971698113207594"/>
    <n v="-334.69811320754701"/>
  </r>
  <r>
    <x v="0"/>
    <x v="0"/>
    <x v="0"/>
    <x v="0"/>
    <x v="0"/>
    <s v="DK1_Rural"/>
    <x v="1"/>
    <x v="1"/>
    <x v="21"/>
    <x v="0"/>
    <x v="3"/>
    <n v="-0.25471698113207603"/>
    <n v="-92.971698113207594"/>
    <n v="-334.69811320754701"/>
  </r>
  <r>
    <x v="0"/>
    <x v="0"/>
    <x v="0"/>
    <x v="0"/>
    <x v="0"/>
    <s v="DK1_Rural"/>
    <x v="1"/>
    <x v="1"/>
    <x v="21"/>
    <x v="0"/>
    <x v="4"/>
    <n v="-0.25471698113207603"/>
    <n v="-92.971698113207594"/>
    <n v="-334.69811320754701"/>
  </r>
  <r>
    <x v="0"/>
    <x v="0"/>
    <x v="0"/>
    <x v="0"/>
    <x v="0"/>
    <s v="DK1_Rural"/>
    <x v="1"/>
    <x v="1"/>
    <x v="21"/>
    <x v="0"/>
    <x v="5"/>
    <n v="-0.25471698113207603"/>
    <n v="-92.971698113207594"/>
    <n v="-334.69811320754701"/>
  </r>
  <r>
    <x v="0"/>
    <x v="0"/>
    <x v="0"/>
    <x v="0"/>
    <x v="0"/>
    <s v="DK1_Rural"/>
    <x v="1"/>
    <x v="1"/>
    <x v="21"/>
    <x v="0"/>
    <x v="6"/>
    <n v="-0.25471698113207603"/>
    <n v="-92.971698113207594"/>
    <n v="-334.69811320754701"/>
  </r>
  <r>
    <x v="0"/>
    <x v="0"/>
    <x v="0"/>
    <x v="0"/>
    <x v="0"/>
    <s v="DK1_Rural"/>
    <x v="1"/>
    <x v="1"/>
    <x v="21"/>
    <x v="0"/>
    <x v="7"/>
    <n v="-0.25471698113207603"/>
    <n v="-92.971698113207594"/>
    <n v="-334.69811320754701"/>
  </r>
  <r>
    <x v="0"/>
    <x v="0"/>
    <x v="0"/>
    <x v="0"/>
    <x v="0"/>
    <s v="DK1_Rural"/>
    <x v="1"/>
    <x v="1"/>
    <x v="21"/>
    <x v="0"/>
    <x v="8"/>
    <n v="-0.25471698113207603"/>
    <n v="-92.971698113207594"/>
    <n v="-334.69811320754701"/>
  </r>
  <r>
    <x v="0"/>
    <x v="0"/>
    <x v="0"/>
    <x v="0"/>
    <x v="0"/>
    <s v="DK1_Rural"/>
    <x v="1"/>
    <x v="1"/>
    <x v="21"/>
    <x v="0"/>
    <x v="9"/>
    <n v="-0.25471698113207603"/>
    <n v="-92.971698113207594"/>
    <n v="-334.69811320754701"/>
  </r>
  <r>
    <x v="0"/>
    <x v="0"/>
    <x v="0"/>
    <x v="0"/>
    <x v="0"/>
    <s v="DK1_Rural"/>
    <x v="1"/>
    <x v="1"/>
    <x v="21"/>
    <x v="0"/>
    <x v="10"/>
    <n v="-0.25471698113207603"/>
    <n v="-92.971698113207594"/>
    <n v="-334.69811320754701"/>
  </r>
  <r>
    <x v="0"/>
    <x v="0"/>
    <x v="0"/>
    <x v="0"/>
    <x v="0"/>
    <s v="DK1_Rural"/>
    <x v="1"/>
    <x v="1"/>
    <x v="21"/>
    <x v="0"/>
    <x v="11"/>
    <n v="-0.25471698113207603"/>
    <n v="-92.971698113207594"/>
    <n v="-334.69811320754701"/>
  </r>
  <r>
    <x v="0"/>
    <x v="0"/>
    <x v="0"/>
    <x v="0"/>
    <x v="0"/>
    <s v="DK1_Rural"/>
    <x v="1"/>
    <x v="1"/>
    <x v="21"/>
    <x v="0"/>
    <x v="12"/>
    <n v="-0.25471698113207603"/>
    <n v="-92.971698113207594"/>
    <n v="-334.69811320754701"/>
  </r>
  <r>
    <x v="0"/>
    <x v="0"/>
    <x v="0"/>
    <x v="0"/>
    <x v="0"/>
    <s v="DK1_Rural"/>
    <x v="1"/>
    <x v="1"/>
    <x v="21"/>
    <x v="0"/>
    <x v="13"/>
    <n v="-0.25471698113207603"/>
    <n v="-92.971698113207594"/>
    <n v="-334.69811320754701"/>
  </r>
  <r>
    <x v="0"/>
    <x v="0"/>
    <x v="0"/>
    <x v="0"/>
    <x v="0"/>
    <s v="DK1_Rural"/>
    <x v="1"/>
    <x v="1"/>
    <x v="21"/>
    <x v="0"/>
    <x v="14"/>
    <n v="-0.25471698113207603"/>
    <n v="-92.971698113207594"/>
    <n v="-334.69811320754701"/>
  </r>
  <r>
    <x v="0"/>
    <x v="0"/>
    <x v="0"/>
    <x v="0"/>
    <x v="0"/>
    <s v="DK1_Rural"/>
    <x v="1"/>
    <x v="1"/>
    <x v="21"/>
    <x v="0"/>
    <x v="15"/>
    <n v="-0.25471698113207603"/>
    <n v="-92.971698113207594"/>
    <n v="-334.69811320754701"/>
  </r>
  <r>
    <x v="0"/>
    <x v="0"/>
    <x v="0"/>
    <x v="0"/>
    <x v="0"/>
    <s v="DK1_Rural"/>
    <x v="1"/>
    <x v="1"/>
    <x v="21"/>
    <x v="0"/>
    <x v="16"/>
    <n v="-0.25471698113207603"/>
    <n v="-92.971698113207594"/>
    <n v="-334.69811320754701"/>
  </r>
  <r>
    <x v="0"/>
    <x v="0"/>
    <x v="0"/>
    <x v="0"/>
    <x v="0"/>
    <s v="DK1_Rural"/>
    <x v="1"/>
    <x v="1"/>
    <x v="21"/>
    <x v="0"/>
    <x v="17"/>
    <n v="-0.25471698113207603"/>
    <n v="-92.971698113207594"/>
    <n v="-334.69811320754701"/>
  </r>
  <r>
    <x v="0"/>
    <x v="0"/>
    <x v="0"/>
    <x v="0"/>
    <x v="0"/>
    <s v="DK1_Rural"/>
    <x v="1"/>
    <x v="1"/>
    <x v="21"/>
    <x v="0"/>
    <x v="18"/>
    <n v="-0.25471698113207603"/>
    <n v="-92.971698113207594"/>
    <n v="-334.69811320754701"/>
  </r>
  <r>
    <x v="0"/>
    <x v="0"/>
    <x v="0"/>
    <x v="0"/>
    <x v="0"/>
    <s v="DK1_Rural"/>
    <x v="1"/>
    <x v="1"/>
    <x v="21"/>
    <x v="0"/>
    <x v="19"/>
    <n v="-0.25471698113207603"/>
    <n v="-92.971698113207594"/>
    <n v="-334.69811320754701"/>
  </r>
  <r>
    <x v="0"/>
    <x v="0"/>
    <x v="0"/>
    <x v="0"/>
    <x v="0"/>
    <s v="DK1_Rural"/>
    <x v="1"/>
    <x v="1"/>
    <x v="21"/>
    <x v="0"/>
    <x v="20"/>
    <n v="-0.25471698113207603"/>
    <n v="-92.971698113207594"/>
    <n v="-334.69811320754701"/>
  </r>
  <r>
    <x v="0"/>
    <x v="0"/>
    <x v="0"/>
    <x v="0"/>
    <x v="0"/>
    <s v="DK1_Rural"/>
    <x v="1"/>
    <x v="1"/>
    <x v="21"/>
    <x v="0"/>
    <x v="21"/>
    <n v="-0.25471698113207603"/>
    <n v="-92.971698113207594"/>
    <n v="-334.69811320754701"/>
  </r>
  <r>
    <x v="0"/>
    <x v="0"/>
    <x v="0"/>
    <x v="0"/>
    <x v="0"/>
    <s v="DK1_Rural"/>
    <x v="1"/>
    <x v="1"/>
    <x v="21"/>
    <x v="0"/>
    <x v="22"/>
    <n v="-0.25471698113207603"/>
    <n v="-92.971698113207594"/>
    <n v="-334.69811320754701"/>
  </r>
  <r>
    <x v="0"/>
    <x v="0"/>
    <x v="0"/>
    <x v="0"/>
    <x v="0"/>
    <s v="DK1_Rural"/>
    <x v="1"/>
    <x v="1"/>
    <x v="21"/>
    <x v="0"/>
    <x v="23"/>
    <n v="-0.25471698113207603"/>
    <n v="-92.971698113207594"/>
    <n v="-334.69811320754701"/>
  </r>
  <r>
    <x v="0"/>
    <x v="0"/>
    <x v="0"/>
    <x v="0"/>
    <x v="0"/>
    <s v="DK1_Rural"/>
    <x v="1"/>
    <x v="1"/>
    <x v="22"/>
    <x v="0"/>
    <x v="0"/>
    <n v="-0.05"/>
    <n v="-18.25"/>
    <n v="-65.7"/>
  </r>
  <r>
    <x v="0"/>
    <x v="0"/>
    <x v="0"/>
    <x v="0"/>
    <x v="0"/>
    <s v="DK1_Rural"/>
    <x v="1"/>
    <x v="1"/>
    <x v="22"/>
    <x v="0"/>
    <x v="1"/>
    <n v="-0.05"/>
    <n v="-18.25"/>
    <n v="-65.7"/>
  </r>
  <r>
    <x v="0"/>
    <x v="0"/>
    <x v="0"/>
    <x v="0"/>
    <x v="0"/>
    <s v="DK1_Rural"/>
    <x v="1"/>
    <x v="1"/>
    <x v="22"/>
    <x v="0"/>
    <x v="2"/>
    <n v="-0.05"/>
    <n v="-18.25"/>
    <n v="-65.7"/>
  </r>
  <r>
    <x v="0"/>
    <x v="0"/>
    <x v="0"/>
    <x v="0"/>
    <x v="0"/>
    <s v="DK1_Rural"/>
    <x v="1"/>
    <x v="1"/>
    <x v="22"/>
    <x v="0"/>
    <x v="3"/>
    <n v="-0.05"/>
    <n v="-18.25"/>
    <n v="-65.7"/>
  </r>
  <r>
    <x v="0"/>
    <x v="0"/>
    <x v="0"/>
    <x v="0"/>
    <x v="0"/>
    <s v="DK1_Rural"/>
    <x v="1"/>
    <x v="1"/>
    <x v="22"/>
    <x v="0"/>
    <x v="4"/>
    <n v="-0.05"/>
    <n v="-18.25"/>
    <n v="-65.7"/>
  </r>
  <r>
    <x v="0"/>
    <x v="0"/>
    <x v="0"/>
    <x v="0"/>
    <x v="0"/>
    <s v="DK1_Rural"/>
    <x v="1"/>
    <x v="1"/>
    <x v="22"/>
    <x v="0"/>
    <x v="5"/>
    <n v="-0.05"/>
    <n v="-18.25"/>
    <n v="-65.7"/>
  </r>
  <r>
    <x v="0"/>
    <x v="0"/>
    <x v="0"/>
    <x v="0"/>
    <x v="0"/>
    <s v="DK1_Rural"/>
    <x v="1"/>
    <x v="1"/>
    <x v="22"/>
    <x v="0"/>
    <x v="6"/>
    <n v="-0.05"/>
    <n v="-18.25"/>
    <n v="-65.7"/>
  </r>
  <r>
    <x v="0"/>
    <x v="0"/>
    <x v="0"/>
    <x v="0"/>
    <x v="0"/>
    <s v="DK1_Rural"/>
    <x v="1"/>
    <x v="1"/>
    <x v="22"/>
    <x v="0"/>
    <x v="7"/>
    <n v="-0.05"/>
    <n v="-18.25"/>
    <n v="-65.7"/>
  </r>
  <r>
    <x v="0"/>
    <x v="0"/>
    <x v="0"/>
    <x v="0"/>
    <x v="0"/>
    <s v="DK1_Rural"/>
    <x v="1"/>
    <x v="1"/>
    <x v="22"/>
    <x v="0"/>
    <x v="8"/>
    <n v="-0.05"/>
    <n v="-18.25"/>
    <n v="-65.7"/>
  </r>
  <r>
    <x v="0"/>
    <x v="0"/>
    <x v="0"/>
    <x v="0"/>
    <x v="0"/>
    <s v="DK1_Rural"/>
    <x v="1"/>
    <x v="1"/>
    <x v="22"/>
    <x v="0"/>
    <x v="9"/>
    <n v="-0.05"/>
    <n v="-18.25"/>
    <n v="-65.7"/>
  </r>
  <r>
    <x v="0"/>
    <x v="0"/>
    <x v="0"/>
    <x v="0"/>
    <x v="0"/>
    <s v="DK1_Rural"/>
    <x v="1"/>
    <x v="1"/>
    <x v="22"/>
    <x v="0"/>
    <x v="10"/>
    <n v="-0.05"/>
    <n v="-18.25"/>
    <n v="-65.7"/>
  </r>
  <r>
    <x v="0"/>
    <x v="0"/>
    <x v="0"/>
    <x v="0"/>
    <x v="0"/>
    <s v="DK1_Rural"/>
    <x v="1"/>
    <x v="1"/>
    <x v="22"/>
    <x v="0"/>
    <x v="11"/>
    <n v="-0.05"/>
    <n v="-18.25"/>
    <n v="-65.7"/>
  </r>
  <r>
    <x v="0"/>
    <x v="0"/>
    <x v="0"/>
    <x v="0"/>
    <x v="0"/>
    <s v="DK1_Rural"/>
    <x v="1"/>
    <x v="1"/>
    <x v="22"/>
    <x v="0"/>
    <x v="12"/>
    <n v="-0.05"/>
    <n v="-18.25"/>
    <n v="-65.7"/>
  </r>
  <r>
    <x v="0"/>
    <x v="0"/>
    <x v="0"/>
    <x v="0"/>
    <x v="0"/>
    <s v="DK1_Rural"/>
    <x v="1"/>
    <x v="1"/>
    <x v="22"/>
    <x v="0"/>
    <x v="13"/>
    <n v="-0.05"/>
    <n v="-18.25"/>
    <n v="-65.7"/>
  </r>
  <r>
    <x v="0"/>
    <x v="0"/>
    <x v="0"/>
    <x v="0"/>
    <x v="0"/>
    <s v="DK1_Rural"/>
    <x v="1"/>
    <x v="1"/>
    <x v="22"/>
    <x v="0"/>
    <x v="14"/>
    <n v="-0.05"/>
    <n v="-18.25"/>
    <n v="-65.7"/>
  </r>
  <r>
    <x v="0"/>
    <x v="0"/>
    <x v="0"/>
    <x v="0"/>
    <x v="0"/>
    <s v="DK1_Rural"/>
    <x v="1"/>
    <x v="1"/>
    <x v="22"/>
    <x v="0"/>
    <x v="15"/>
    <n v="-0.05"/>
    <n v="-18.25"/>
    <n v="-65.7"/>
  </r>
  <r>
    <x v="0"/>
    <x v="0"/>
    <x v="0"/>
    <x v="0"/>
    <x v="0"/>
    <s v="DK1_Rural"/>
    <x v="1"/>
    <x v="1"/>
    <x v="22"/>
    <x v="0"/>
    <x v="16"/>
    <n v="-0.05"/>
    <n v="-18.25"/>
    <n v="-65.7"/>
  </r>
  <r>
    <x v="0"/>
    <x v="0"/>
    <x v="0"/>
    <x v="0"/>
    <x v="0"/>
    <s v="DK1_Rural"/>
    <x v="1"/>
    <x v="1"/>
    <x v="22"/>
    <x v="0"/>
    <x v="17"/>
    <n v="-0.05"/>
    <n v="-18.25"/>
    <n v="-65.7"/>
  </r>
  <r>
    <x v="0"/>
    <x v="0"/>
    <x v="0"/>
    <x v="0"/>
    <x v="0"/>
    <s v="DK1_Rural"/>
    <x v="1"/>
    <x v="1"/>
    <x v="22"/>
    <x v="0"/>
    <x v="18"/>
    <n v="-0.05"/>
    <n v="-18.25"/>
    <n v="-65.7"/>
  </r>
  <r>
    <x v="0"/>
    <x v="0"/>
    <x v="0"/>
    <x v="0"/>
    <x v="0"/>
    <s v="DK1_Rural"/>
    <x v="1"/>
    <x v="1"/>
    <x v="22"/>
    <x v="0"/>
    <x v="19"/>
    <n v="-0.05"/>
    <n v="-18.25"/>
    <n v="-65.7"/>
  </r>
  <r>
    <x v="0"/>
    <x v="0"/>
    <x v="0"/>
    <x v="0"/>
    <x v="0"/>
    <s v="DK1_Rural"/>
    <x v="1"/>
    <x v="1"/>
    <x v="22"/>
    <x v="0"/>
    <x v="20"/>
    <n v="-0.05"/>
    <n v="-18.25"/>
    <n v="-65.7"/>
  </r>
  <r>
    <x v="0"/>
    <x v="0"/>
    <x v="0"/>
    <x v="0"/>
    <x v="0"/>
    <s v="DK1_Rural"/>
    <x v="1"/>
    <x v="1"/>
    <x v="22"/>
    <x v="0"/>
    <x v="21"/>
    <n v="-0.05"/>
    <n v="-18.25"/>
    <n v="-65.7"/>
  </r>
  <r>
    <x v="0"/>
    <x v="0"/>
    <x v="0"/>
    <x v="0"/>
    <x v="0"/>
    <s v="DK1_Rural"/>
    <x v="1"/>
    <x v="1"/>
    <x v="22"/>
    <x v="0"/>
    <x v="22"/>
    <n v="-0.05"/>
    <n v="-18.25"/>
    <n v="-65.7"/>
  </r>
  <r>
    <x v="0"/>
    <x v="0"/>
    <x v="0"/>
    <x v="0"/>
    <x v="0"/>
    <s v="DK1_Rural"/>
    <x v="1"/>
    <x v="1"/>
    <x v="22"/>
    <x v="0"/>
    <x v="23"/>
    <n v="-0.05"/>
    <n v="-18.25"/>
    <n v="-65.7"/>
  </r>
  <r>
    <x v="0"/>
    <x v="0"/>
    <x v="0"/>
    <x v="0"/>
    <x v="0"/>
    <s v="DK1_Rural"/>
    <x v="7"/>
    <x v="2"/>
    <x v="23"/>
    <x v="0"/>
    <x v="7"/>
    <n v="2.2999999999999998"/>
    <n v="839.5"/>
    <n v="3022.2"/>
  </r>
  <r>
    <x v="0"/>
    <x v="0"/>
    <x v="0"/>
    <x v="0"/>
    <x v="0"/>
    <s v="DK1_Rural"/>
    <x v="7"/>
    <x v="2"/>
    <x v="23"/>
    <x v="0"/>
    <x v="8"/>
    <n v="2.2999999999999998"/>
    <n v="839.5"/>
    <n v="3022.2"/>
  </r>
  <r>
    <x v="0"/>
    <x v="0"/>
    <x v="0"/>
    <x v="0"/>
    <x v="0"/>
    <s v="DK1_Rural"/>
    <x v="7"/>
    <x v="2"/>
    <x v="23"/>
    <x v="0"/>
    <x v="9"/>
    <n v="2.2999999999999998"/>
    <n v="839.5"/>
    <n v="3022.2"/>
  </r>
  <r>
    <x v="0"/>
    <x v="0"/>
    <x v="0"/>
    <x v="0"/>
    <x v="0"/>
    <s v="DK1_Rural"/>
    <x v="7"/>
    <x v="2"/>
    <x v="23"/>
    <x v="0"/>
    <x v="10"/>
    <n v="2.2999999999999998"/>
    <n v="839.5"/>
    <n v="3022.2"/>
  </r>
  <r>
    <x v="0"/>
    <x v="0"/>
    <x v="0"/>
    <x v="0"/>
    <x v="0"/>
    <s v="DK1_Rural"/>
    <x v="7"/>
    <x v="2"/>
    <x v="23"/>
    <x v="0"/>
    <x v="11"/>
    <n v="2.2999999999999998"/>
    <n v="839.5"/>
    <n v="3022.2"/>
  </r>
  <r>
    <x v="0"/>
    <x v="0"/>
    <x v="0"/>
    <x v="0"/>
    <x v="0"/>
    <s v="DK1_Rural"/>
    <x v="7"/>
    <x v="2"/>
    <x v="23"/>
    <x v="0"/>
    <x v="12"/>
    <n v="2.2999999999999998"/>
    <n v="839.5"/>
    <n v="3022.2"/>
  </r>
  <r>
    <x v="0"/>
    <x v="0"/>
    <x v="0"/>
    <x v="0"/>
    <x v="0"/>
    <s v="DK1_Rural"/>
    <x v="7"/>
    <x v="2"/>
    <x v="23"/>
    <x v="0"/>
    <x v="13"/>
    <n v="2.2999999999999998"/>
    <n v="839.5"/>
    <n v="3022.2"/>
  </r>
  <r>
    <x v="0"/>
    <x v="0"/>
    <x v="0"/>
    <x v="0"/>
    <x v="0"/>
    <s v="DK1_Rural"/>
    <x v="7"/>
    <x v="2"/>
    <x v="23"/>
    <x v="0"/>
    <x v="14"/>
    <n v="2.2999999999999998"/>
    <n v="839.5"/>
    <n v="3022.2"/>
  </r>
  <r>
    <x v="0"/>
    <x v="0"/>
    <x v="0"/>
    <x v="0"/>
    <x v="0"/>
    <s v="DK1_Rural"/>
    <x v="7"/>
    <x v="2"/>
    <x v="23"/>
    <x v="0"/>
    <x v="15"/>
    <n v="2.2999999999999998"/>
    <n v="839.5"/>
    <n v="3022.2"/>
  </r>
  <r>
    <x v="0"/>
    <x v="0"/>
    <x v="0"/>
    <x v="0"/>
    <x v="0"/>
    <s v="DK1_Rural"/>
    <x v="7"/>
    <x v="2"/>
    <x v="23"/>
    <x v="0"/>
    <x v="16"/>
    <n v="2.2999999999999998"/>
    <n v="839.5"/>
    <n v="3022.2"/>
  </r>
  <r>
    <x v="0"/>
    <x v="0"/>
    <x v="0"/>
    <x v="0"/>
    <x v="0"/>
    <s v="DK1_Rural"/>
    <x v="7"/>
    <x v="2"/>
    <x v="23"/>
    <x v="0"/>
    <x v="17"/>
    <n v="2.2999999999999998"/>
    <n v="839.5"/>
    <n v="3022.2"/>
  </r>
  <r>
    <x v="0"/>
    <x v="0"/>
    <x v="0"/>
    <x v="0"/>
    <x v="0"/>
    <s v="DK1_Rural"/>
    <x v="7"/>
    <x v="2"/>
    <x v="23"/>
    <x v="0"/>
    <x v="18"/>
    <n v="2.2999999999999998"/>
    <n v="839.5"/>
    <n v="3022.2"/>
  </r>
  <r>
    <x v="0"/>
    <x v="0"/>
    <x v="0"/>
    <x v="0"/>
    <x v="0"/>
    <s v="DK1_Rural"/>
    <x v="7"/>
    <x v="2"/>
    <x v="23"/>
    <x v="0"/>
    <x v="19"/>
    <n v="2.2999999999999998"/>
    <n v="839.5"/>
    <n v="3022.2"/>
  </r>
  <r>
    <x v="0"/>
    <x v="0"/>
    <x v="0"/>
    <x v="0"/>
    <x v="0"/>
    <s v="DK1_Rural"/>
    <x v="7"/>
    <x v="2"/>
    <x v="23"/>
    <x v="0"/>
    <x v="20"/>
    <n v="2.2999999999999998"/>
    <n v="839.5"/>
    <n v="3022.2"/>
  </r>
  <r>
    <x v="0"/>
    <x v="0"/>
    <x v="0"/>
    <x v="0"/>
    <x v="0"/>
    <s v="DK2_Rural"/>
    <x v="0"/>
    <x v="2"/>
    <x v="24"/>
    <x v="0"/>
    <x v="0"/>
    <n v="37"/>
    <n v="13505"/>
    <n v="48618"/>
  </r>
  <r>
    <x v="0"/>
    <x v="0"/>
    <x v="0"/>
    <x v="0"/>
    <x v="0"/>
    <s v="DK2_Rural"/>
    <x v="0"/>
    <x v="2"/>
    <x v="24"/>
    <x v="0"/>
    <x v="1"/>
    <n v="37"/>
    <n v="13505"/>
    <n v="48618"/>
  </r>
  <r>
    <x v="0"/>
    <x v="0"/>
    <x v="0"/>
    <x v="0"/>
    <x v="0"/>
    <s v="DK2_Rural"/>
    <x v="0"/>
    <x v="2"/>
    <x v="24"/>
    <x v="0"/>
    <x v="2"/>
    <n v="37"/>
    <n v="13505"/>
    <n v="48618"/>
  </r>
  <r>
    <x v="0"/>
    <x v="0"/>
    <x v="0"/>
    <x v="0"/>
    <x v="0"/>
    <s v="DK2_Rural"/>
    <x v="0"/>
    <x v="2"/>
    <x v="24"/>
    <x v="0"/>
    <x v="3"/>
    <n v="37"/>
    <n v="13505"/>
    <n v="48618"/>
  </r>
  <r>
    <x v="0"/>
    <x v="0"/>
    <x v="0"/>
    <x v="0"/>
    <x v="0"/>
    <s v="DK2_Rural"/>
    <x v="0"/>
    <x v="2"/>
    <x v="24"/>
    <x v="0"/>
    <x v="4"/>
    <n v="37"/>
    <n v="13505"/>
    <n v="48618"/>
  </r>
  <r>
    <x v="0"/>
    <x v="0"/>
    <x v="0"/>
    <x v="0"/>
    <x v="0"/>
    <s v="DK2_Rural"/>
    <x v="0"/>
    <x v="2"/>
    <x v="24"/>
    <x v="0"/>
    <x v="5"/>
    <n v="37"/>
    <n v="13505"/>
    <n v="48618"/>
  </r>
  <r>
    <x v="0"/>
    <x v="0"/>
    <x v="0"/>
    <x v="0"/>
    <x v="0"/>
    <s v="DK2_Rural"/>
    <x v="0"/>
    <x v="2"/>
    <x v="24"/>
    <x v="0"/>
    <x v="6"/>
    <n v="37"/>
    <n v="13505"/>
    <n v="48618"/>
  </r>
  <r>
    <x v="0"/>
    <x v="0"/>
    <x v="0"/>
    <x v="0"/>
    <x v="0"/>
    <s v="DK2_Rural"/>
    <x v="0"/>
    <x v="2"/>
    <x v="24"/>
    <x v="0"/>
    <x v="7"/>
    <n v="37"/>
    <n v="13505"/>
    <n v="48618"/>
  </r>
  <r>
    <x v="0"/>
    <x v="0"/>
    <x v="0"/>
    <x v="0"/>
    <x v="0"/>
    <s v="DK2_Rural"/>
    <x v="0"/>
    <x v="2"/>
    <x v="24"/>
    <x v="0"/>
    <x v="8"/>
    <n v="37"/>
    <n v="13505"/>
    <n v="48618"/>
  </r>
  <r>
    <x v="0"/>
    <x v="0"/>
    <x v="0"/>
    <x v="0"/>
    <x v="0"/>
    <s v="DK2_Rural"/>
    <x v="0"/>
    <x v="2"/>
    <x v="24"/>
    <x v="0"/>
    <x v="9"/>
    <n v="37"/>
    <n v="13505"/>
    <n v="48618"/>
  </r>
  <r>
    <x v="0"/>
    <x v="0"/>
    <x v="0"/>
    <x v="0"/>
    <x v="0"/>
    <s v="DK2_Rural"/>
    <x v="0"/>
    <x v="2"/>
    <x v="24"/>
    <x v="0"/>
    <x v="10"/>
    <n v="37"/>
    <n v="13505"/>
    <n v="48618"/>
  </r>
  <r>
    <x v="0"/>
    <x v="0"/>
    <x v="0"/>
    <x v="0"/>
    <x v="0"/>
    <s v="DK2_Rural"/>
    <x v="0"/>
    <x v="2"/>
    <x v="24"/>
    <x v="0"/>
    <x v="11"/>
    <n v="37"/>
    <n v="13505"/>
    <n v="48618"/>
  </r>
  <r>
    <x v="0"/>
    <x v="0"/>
    <x v="0"/>
    <x v="0"/>
    <x v="0"/>
    <s v="DK2_Rural"/>
    <x v="0"/>
    <x v="2"/>
    <x v="24"/>
    <x v="0"/>
    <x v="12"/>
    <n v="37"/>
    <n v="13505"/>
    <n v="48618"/>
  </r>
  <r>
    <x v="0"/>
    <x v="0"/>
    <x v="0"/>
    <x v="0"/>
    <x v="0"/>
    <s v="DK2_Rural"/>
    <x v="0"/>
    <x v="2"/>
    <x v="24"/>
    <x v="0"/>
    <x v="13"/>
    <n v="37"/>
    <n v="13505"/>
    <n v="48618"/>
  </r>
  <r>
    <x v="0"/>
    <x v="0"/>
    <x v="0"/>
    <x v="0"/>
    <x v="0"/>
    <s v="DK2_Rural"/>
    <x v="0"/>
    <x v="2"/>
    <x v="24"/>
    <x v="0"/>
    <x v="14"/>
    <n v="37"/>
    <n v="13505"/>
    <n v="48618"/>
  </r>
  <r>
    <x v="0"/>
    <x v="0"/>
    <x v="0"/>
    <x v="0"/>
    <x v="0"/>
    <s v="DK2_Rural"/>
    <x v="0"/>
    <x v="2"/>
    <x v="24"/>
    <x v="0"/>
    <x v="15"/>
    <n v="37"/>
    <n v="13505"/>
    <n v="48618"/>
  </r>
  <r>
    <x v="0"/>
    <x v="0"/>
    <x v="0"/>
    <x v="0"/>
    <x v="0"/>
    <s v="DK2_Rural"/>
    <x v="0"/>
    <x v="2"/>
    <x v="24"/>
    <x v="0"/>
    <x v="16"/>
    <n v="37"/>
    <n v="13505"/>
    <n v="48618"/>
  </r>
  <r>
    <x v="0"/>
    <x v="0"/>
    <x v="0"/>
    <x v="0"/>
    <x v="0"/>
    <s v="DK2_Rural"/>
    <x v="0"/>
    <x v="2"/>
    <x v="24"/>
    <x v="0"/>
    <x v="17"/>
    <n v="37"/>
    <n v="13505"/>
    <n v="48618"/>
  </r>
  <r>
    <x v="0"/>
    <x v="0"/>
    <x v="0"/>
    <x v="0"/>
    <x v="0"/>
    <s v="DK2_Rural"/>
    <x v="0"/>
    <x v="2"/>
    <x v="24"/>
    <x v="0"/>
    <x v="18"/>
    <n v="37"/>
    <n v="13505"/>
    <n v="48618"/>
  </r>
  <r>
    <x v="0"/>
    <x v="0"/>
    <x v="0"/>
    <x v="0"/>
    <x v="0"/>
    <s v="DK2_Rural"/>
    <x v="0"/>
    <x v="2"/>
    <x v="24"/>
    <x v="0"/>
    <x v="19"/>
    <n v="37"/>
    <n v="13505"/>
    <n v="48618"/>
  </r>
  <r>
    <x v="0"/>
    <x v="0"/>
    <x v="0"/>
    <x v="0"/>
    <x v="0"/>
    <s v="DK2_Rural"/>
    <x v="0"/>
    <x v="2"/>
    <x v="24"/>
    <x v="0"/>
    <x v="20"/>
    <n v="37"/>
    <n v="13505"/>
    <n v="48618"/>
  </r>
  <r>
    <x v="0"/>
    <x v="0"/>
    <x v="0"/>
    <x v="0"/>
    <x v="0"/>
    <s v="DK2_Rural"/>
    <x v="0"/>
    <x v="2"/>
    <x v="24"/>
    <x v="0"/>
    <x v="21"/>
    <n v="37"/>
    <n v="13505"/>
    <n v="48618"/>
  </r>
  <r>
    <x v="0"/>
    <x v="0"/>
    <x v="0"/>
    <x v="0"/>
    <x v="0"/>
    <s v="DK2_Rural"/>
    <x v="0"/>
    <x v="2"/>
    <x v="24"/>
    <x v="0"/>
    <x v="22"/>
    <n v="37"/>
    <n v="13505"/>
    <n v="48618"/>
  </r>
  <r>
    <x v="0"/>
    <x v="0"/>
    <x v="0"/>
    <x v="0"/>
    <x v="0"/>
    <s v="DK2_Rural"/>
    <x v="0"/>
    <x v="2"/>
    <x v="24"/>
    <x v="0"/>
    <x v="23"/>
    <n v="37"/>
    <n v="13505"/>
    <n v="48618"/>
  </r>
  <r>
    <x v="0"/>
    <x v="0"/>
    <x v="0"/>
    <x v="0"/>
    <x v="0"/>
    <s v="DK2_Rural"/>
    <x v="1"/>
    <x v="1"/>
    <x v="15"/>
    <x v="0"/>
    <x v="0"/>
    <n v="-0.2"/>
    <n v="-73"/>
    <n v="-262.8"/>
  </r>
  <r>
    <x v="0"/>
    <x v="0"/>
    <x v="0"/>
    <x v="0"/>
    <x v="0"/>
    <s v="DK2_Rural"/>
    <x v="1"/>
    <x v="1"/>
    <x v="15"/>
    <x v="0"/>
    <x v="1"/>
    <n v="-0.2"/>
    <n v="-73"/>
    <n v="-262.8"/>
  </r>
  <r>
    <x v="0"/>
    <x v="0"/>
    <x v="0"/>
    <x v="0"/>
    <x v="0"/>
    <s v="DK2_Rural"/>
    <x v="1"/>
    <x v="1"/>
    <x v="15"/>
    <x v="0"/>
    <x v="2"/>
    <n v="-0.2"/>
    <n v="-73"/>
    <n v="-262.8"/>
  </r>
  <r>
    <x v="0"/>
    <x v="0"/>
    <x v="0"/>
    <x v="0"/>
    <x v="0"/>
    <s v="DK2_Rural"/>
    <x v="1"/>
    <x v="1"/>
    <x v="15"/>
    <x v="0"/>
    <x v="3"/>
    <n v="-0.2"/>
    <n v="-73"/>
    <n v="-262.8"/>
  </r>
  <r>
    <x v="0"/>
    <x v="0"/>
    <x v="0"/>
    <x v="0"/>
    <x v="0"/>
    <s v="DK2_Rural"/>
    <x v="1"/>
    <x v="1"/>
    <x v="15"/>
    <x v="0"/>
    <x v="4"/>
    <n v="-0.2"/>
    <n v="-73"/>
    <n v="-262.8"/>
  </r>
  <r>
    <x v="0"/>
    <x v="0"/>
    <x v="0"/>
    <x v="0"/>
    <x v="0"/>
    <s v="DK2_Rural"/>
    <x v="1"/>
    <x v="1"/>
    <x v="15"/>
    <x v="0"/>
    <x v="5"/>
    <n v="-0.2"/>
    <n v="-73"/>
    <n v="-262.8"/>
  </r>
  <r>
    <x v="0"/>
    <x v="0"/>
    <x v="0"/>
    <x v="0"/>
    <x v="0"/>
    <s v="DK2_Rural"/>
    <x v="1"/>
    <x v="1"/>
    <x v="15"/>
    <x v="0"/>
    <x v="6"/>
    <n v="-0.2"/>
    <n v="-73"/>
    <n v="-262.8"/>
  </r>
  <r>
    <x v="0"/>
    <x v="0"/>
    <x v="0"/>
    <x v="0"/>
    <x v="0"/>
    <s v="DK2_Rural"/>
    <x v="1"/>
    <x v="1"/>
    <x v="15"/>
    <x v="0"/>
    <x v="7"/>
    <n v="-0.2"/>
    <n v="-73"/>
    <n v="-262.8"/>
  </r>
  <r>
    <x v="0"/>
    <x v="0"/>
    <x v="0"/>
    <x v="0"/>
    <x v="0"/>
    <s v="DK2_Rural"/>
    <x v="1"/>
    <x v="1"/>
    <x v="15"/>
    <x v="0"/>
    <x v="8"/>
    <n v="-0.2"/>
    <n v="-73"/>
    <n v="-262.8"/>
  </r>
  <r>
    <x v="0"/>
    <x v="0"/>
    <x v="0"/>
    <x v="0"/>
    <x v="0"/>
    <s v="DK2_Rural"/>
    <x v="1"/>
    <x v="1"/>
    <x v="15"/>
    <x v="0"/>
    <x v="9"/>
    <n v="-0.2"/>
    <n v="-73"/>
    <n v="-262.8"/>
  </r>
  <r>
    <x v="0"/>
    <x v="0"/>
    <x v="0"/>
    <x v="0"/>
    <x v="0"/>
    <s v="DK2_Rural"/>
    <x v="1"/>
    <x v="1"/>
    <x v="15"/>
    <x v="0"/>
    <x v="10"/>
    <n v="-0.2"/>
    <n v="-73"/>
    <n v="-262.8"/>
  </r>
  <r>
    <x v="0"/>
    <x v="0"/>
    <x v="0"/>
    <x v="0"/>
    <x v="0"/>
    <s v="DK2_Rural"/>
    <x v="1"/>
    <x v="1"/>
    <x v="15"/>
    <x v="0"/>
    <x v="11"/>
    <n v="-0.2"/>
    <n v="-73"/>
    <n v="-262.8"/>
  </r>
  <r>
    <x v="0"/>
    <x v="0"/>
    <x v="0"/>
    <x v="0"/>
    <x v="0"/>
    <s v="DK2_Rural"/>
    <x v="1"/>
    <x v="1"/>
    <x v="15"/>
    <x v="0"/>
    <x v="12"/>
    <n v="-0.2"/>
    <n v="-73"/>
    <n v="-262.8"/>
  </r>
  <r>
    <x v="0"/>
    <x v="0"/>
    <x v="0"/>
    <x v="0"/>
    <x v="0"/>
    <s v="DK2_Rural"/>
    <x v="1"/>
    <x v="1"/>
    <x v="15"/>
    <x v="0"/>
    <x v="13"/>
    <n v="-0.2"/>
    <n v="-73"/>
    <n v="-262.8"/>
  </r>
  <r>
    <x v="0"/>
    <x v="0"/>
    <x v="0"/>
    <x v="0"/>
    <x v="0"/>
    <s v="DK2_Rural"/>
    <x v="1"/>
    <x v="1"/>
    <x v="15"/>
    <x v="0"/>
    <x v="14"/>
    <n v="-0.2"/>
    <n v="-73"/>
    <n v="-262.8"/>
  </r>
  <r>
    <x v="0"/>
    <x v="0"/>
    <x v="0"/>
    <x v="0"/>
    <x v="0"/>
    <s v="DK2_Rural"/>
    <x v="1"/>
    <x v="1"/>
    <x v="15"/>
    <x v="0"/>
    <x v="15"/>
    <n v="-0.2"/>
    <n v="-73"/>
    <n v="-262.8"/>
  </r>
  <r>
    <x v="0"/>
    <x v="0"/>
    <x v="0"/>
    <x v="0"/>
    <x v="0"/>
    <s v="DK2_Rural"/>
    <x v="1"/>
    <x v="1"/>
    <x v="15"/>
    <x v="0"/>
    <x v="16"/>
    <n v="-0.2"/>
    <n v="-73"/>
    <n v="-262.8"/>
  </r>
  <r>
    <x v="0"/>
    <x v="0"/>
    <x v="0"/>
    <x v="0"/>
    <x v="0"/>
    <s v="DK2_Rural"/>
    <x v="1"/>
    <x v="1"/>
    <x v="15"/>
    <x v="0"/>
    <x v="17"/>
    <n v="-0.2"/>
    <n v="-73"/>
    <n v="-262.8"/>
  </r>
  <r>
    <x v="0"/>
    <x v="0"/>
    <x v="0"/>
    <x v="0"/>
    <x v="0"/>
    <s v="DK2_Rural"/>
    <x v="1"/>
    <x v="1"/>
    <x v="15"/>
    <x v="0"/>
    <x v="18"/>
    <n v="-0.2"/>
    <n v="-73"/>
    <n v="-262.8"/>
  </r>
  <r>
    <x v="0"/>
    <x v="0"/>
    <x v="0"/>
    <x v="0"/>
    <x v="0"/>
    <s v="DK2_Rural"/>
    <x v="1"/>
    <x v="1"/>
    <x v="15"/>
    <x v="0"/>
    <x v="19"/>
    <n v="-0.2"/>
    <n v="-73"/>
    <n v="-262.8"/>
  </r>
  <r>
    <x v="0"/>
    <x v="0"/>
    <x v="0"/>
    <x v="0"/>
    <x v="0"/>
    <s v="DK2_Rural"/>
    <x v="1"/>
    <x v="1"/>
    <x v="15"/>
    <x v="0"/>
    <x v="20"/>
    <n v="-0.2"/>
    <n v="-73"/>
    <n v="-262.8"/>
  </r>
  <r>
    <x v="0"/>
    <x v="0"/>
    <x v="0"/>
    <x v="0"/>
    <x v="0"/>
    <s v="DK2_Rural"/>
    <x v="1"/>
    <x v="1"/>
    <x v="15"/>
    <x v="0"/>
    <x v="21"/>
    <n v="-0.2"/>
    <n v="-73"/>
    <n v="-262.8"/>
  </r>
  <r>
    <x v="0"/>
    <x v="0"/>
    <x v="0"/>
    <x v="0"/>
    <x v="0"/>
    <s v="DK2_Rural"/>
    <x v="1"/>
    <x v="1"/>
    <x v="15"/>
    <x v="0"/>
    <x v="22"/>
    <n v="-0.2"/>
    <n v="-73"/>
    <n v="-262.8"/>
  </r>
  <r>
    <x v="0"/>
    <x v="0"/>
    <x v="0"/>
    <x v="0"/>
    <x v="0"/>
    <s v="DK2_Rural"/>
    <x v="1"/>
    <x v="1"/>
    <x v="15"/>
    <x v="0"/>
    <x v="23"/>
    <n v="-0.2"/>
    <n v="-73"/>
    <n v="-262.8"/>
  </r>
  <r>
    <x v="0"/>
    <x v="0"/>
    <x v="0"/>
    <x v="0"/>
    <x v="0"/>
    <s v="DK2_Rural"/>
    <x v="8"/>
    <x v="2"/>
    <x v="25"/>
    <x v="0"/>
    <x v="18"/>
    <n v="2.4769999999999999"/>
    <n v="904.10500000000002"/>
    <n v="3254.7779999999998"/>
  </r>
  <r>
    <x v="0"/>
    <x v="0"/>
    <x v="0"/>
    <x v="0"/>
    <x v="0"/>
    <s v="DK2_Rural"/>
    <x v="8"/>
    <x v="2"/>
    <x v="25"/>
    <x v="0"/>
    <x v="19"/>
    <n v="2.4769999999999999"/>
    <n v="904.10500000000002"/>
    <n v="3254.7779999999998"/>
  </r>
  <r>
    <x v="0"/>
    <x v="0"/>
    <x v="0"/>
    <x v="0"/>
    <x v="0"/>
    <s v="DK2_Rural"/>
    <x v="8"/>
    <x v="2"/>
    <x v="25"/>
    <x v="0"/>
    <x v="20"/>
    <n v="2.4769999999999999"/>
    <n v="904.10500000000002"/>
    <n v="3254.7779999999998"/>
  </r>
  <r>
    <x v="0"/>
    <x v="0"/>
    <x v="0"/>
    <x v="0"/>
    <x v="0"/>
    <s v="DK2_Rural"/>
    <x v="8"/>
    <x v="2"/>
    <x v="25"/>
    <x v="0"/>
    <x v="21"/>
    <n v="2.4769999999999999"/>
    <n v="904.10500000000002"/>
    <n v="3254.7779999999998"/>
  </r>
  <r>
    <x v="0"/>
    <x v="0"/>
    <x v="0"/>
    <x v="0"/>
    <x v="0"/>
    <s v="DK2_Rural"/>
    <x v="8"/>
    <x v="2"/>
    <x v="26"/>
    <x v="0"/>
    <x v="0"/>
    <n v="0.5"/>
    <n v="182.5"/>
    <n v="657"/>
  </r>
  <r>
    <x v="0"/>
    <x v="0"/>
    <x v="0"/>
    <x v="0"/>
    <x v="0"/>
    <s v="DK2_Rural"/>
    <x v="8"/>
    <x v="2"/>
    <x v="26"/>
    <x v="0"/>
    <x v="1"/>
    <n v="0.5"/>
    <n v="182.5"/>
    <n v="657"/>
  </r>
  <r>
    <x v="0"/>
    <x v="0"/>
    <x v="0"/>
    <x v="0"/>
    <x v="0"/>
    <s v="DK2_Rural"/>
    <x v="8"/>
    <x v="2"/>
    <x v="26"/>
    <x v="0"/>
    <x v="2"/>
    <n v="0.5"/>
    <n v="182.5"/>
    <n v="657"/>
  </r>
  <r>
    <x v="0"/>
    <x v="0"/>
    <x v="0"/>
    <x v="0"/>
    <x v="0"/>
    <s v="DK2_Rural"/>
    <x v="8"/>
    <x v="2"/>
    <x v="26"/>
    <x v="0"/>
    <x v="3"/>
    <n v="0.5"/>
    <n v="182.5"/>
    <n v="657"/>
  </r>
  <r>
    <x v="0"/>
    <x v="0"/>
    <x v="0"/>
    <x v="0"/>
    <x v="0"/>
    <s v="DK2_Rural"/>
    <x v="8"/>
    <x v="2"/>
    <x v="26"/>
    <x v="0"/>
    <x v="4"/>
    <n v="0.5"/>
    <n v="182.5"/>
    <n v="657"/>
  </r>
  <r>
    <x v="0"/>
    <x v="0"/>
    <x v="0"/>
    <x v="0"/>
    <x v="0"/>
    <s v="DK2_Rural"/>
    <x v="8"/>
    <x v="2"/>
    <x v="26"/>
    <x v="0"/>
    <x v="5"/>
    <n v="0.5"/>
    <n v="182.5"/>
    <n v="657"/>
  </r>
  <r>
    <x v="0"/>
    <x v="0"/>
    <x v="0"/>
    <x v="0"/>
    <x v="0"/>
    <s v="DK2_Rural"/>
    <x v="8"/>
    <x v="2"/>
    <x v="26"/>
    <x v="0"/>
    <x v="6"/>
    <n v="0.5"/>
    <n v="182.5"/>
    <n v="657"/>
  </r>
  <r>
    <x v="0"/>
    <x v="0"/>
    <x v="0"/>
    <x v="0"/>
    <x v="0"/>
    <s v="DK2_Rural"/>
    <x v="8"/>
    <x v="2"/>
    <x v="26"/>
    <x v="0"/>
    <x v="7"/>
    <n v="0.5"/>
    <n v="182.5"/>
    <n v="657"/>
  </r>
  <r>
    <x v="0"/>
    <x v="0"/>
    <x v="0"/>
    <x v="0"/>
    <x v="0"/>
    <s v="DK2_Rural"/>
    <x v="8"/>
    <x v="2"/>
    <x v="26"/>
    <x v="0"/>
    <x v="8"/>
    <n v="0.5"/>
    <n v="182.5"/>
    <n v="657"/>
  </r>
  <r>
    <x v="0"/>
    <x v="0"/>
    <x v="0"/>
    <x v="0"/>
    <x v="0"/>
    <s v="DK2_Rural"/>
    <x v="8"/>
    <x v="2"/>
    <x v="26"/>
    <x v="0"/>
    <x v="9"/>
    <n v="0.5"/>
    <n v="182.5"/>
    <n v="657"/>
  </r>
  <r>
    <x v="0"/>
    <x v="0"/>
    <x v="0"/>
    <x v="0"/>
    <x v="0"/>
    <s v="DK2_Rural"/>
    <x v="8"/>
    <x v="2"/>
    <x v="26"/>
    <x v="0"/>
    <x v="10"/>
    <n v="0.5"/>
    <n v="182.5"/>
    <n v="657"/>
  </r>
  <r>
    <x v="0"/>
    <x v="0"/>
    <x v="0"/>
    <x v="0"/>
    <x v="0"/>
    <s v="DK2_Rural"/>
    <x v="8"/>
    <x v="2"/>
    <x v="26"/>
    <x v="0"/>
    <x v="11"/>
    <n v="0.5"/>
    <n v="182.5"/>
    <n v="657"/>
  </r>
  <r>
    <x v="0"/>
    <x v="0"/>
    <x v="0"/>
    <x v="0"/>
    <x v="0"/>
    <s v="DK2_Rural"/>
    <x v="8"/>
    <x v="2"/>
    <x v="26"/>
    <x v="0"/>
    <x v="12"/>
    <n v="0.5"/>
    <n v="182.5"/>
    <n v="657"/>
  </r>
  <r>
    <x v="0"/>
    <x v="0"/>
    <x v="0"/>
    <x v="0"/>
    <x v="0"/>
    <s v="DK2_Rural"/>
    <x v="8"/>
    <x v="2"/>
    <x v="26"/>
    <x v="0"/>
    <x v="13"/>
    <n v="0.5"/>
    <n v="182.5"/>
    <n v="657"/>
  </r>
  <r>
    <x v="0"/>
    <x v="0"/>
    <x v="0"/>
    <x v="0"/>
    <x v="0"/>
    <s v="DK2_Rural"/>
    <x v="8"/>
    <x v="2"/>
    <x v="26"/>
    <x v="0"/>
    <x v="14"/>
    <n v="0.5"/>
    <n v="182.5"/>
    <n v="657"/>
  </r>
  <r>
    <x v="0"/>
    <x v="0"/>
    <x v="0"/>
    <x v="0"/>
    <x v="0"/>
    <s v="DK2_Rural"/>
    <x v="8"/>
    <x v="2"/>
    <x v="26"/>
    <x v="0"/>
    <x v="15"/>
    <n v="0.5"/>
    <n v="182.5"/>
    <n v="657"/>
  </r>
  <r>
    <x v="0"/>
    <x v="0"/>
    <x v="0"/>
    <x v="0"/>
    <x v="0"/>
    <s v="DK2_Rural"/>
    <x v="8"/>
    <x v="2"/>
    <x v="26"/>
    <x v="0"/>
    <x v="16"/>
    <n v="0.5"/>
    <n v="182.5"/>
    <n v="657"/>
  </r>
  <r>
    <x v="0"/>
    <x v="0"/>
    <x v="0"/>
    <x v="0"/>
    <x v="0"/>
    <s v="DK2_Rural"/>
    <x v="8"/>
    <x v="2"/>
    <x v="26"/>
    <x v="0"/>
    <x v="17"/>
    <n v="0.5"/>
    <n v="182.5"/>
    <n v="657"/>
  </r>
  <r>
    <x v="0"/>
    <x v="0"/>
    <x v="0"/>
    <x v="0"/>
    <x v="0"/>
    <s v="DK2_Rural"/>
    <x v="8"/>
    <x v="2"/>
    <x v="26"/>
    <x v="0"/>
    <x v="18"/>
    <n v="0.5"/>
    <n v="182.5"/>
    <n v="657"/>
  </r>
  <r>
    <x v="0"/>
    <x v="0"/>
    <x v="0"/>
    <x v="0"/>
    <x v="0"/>
    <s v="DK2_Rural"/>
    <x v="8"/>
    <x v="2"/>
    <x v="26"/>
    <x v="0"/>
    <x v="19"/>
    <n v="0.5"/>
    <n v="182.5"/>
    <n v="657"/>
  </r>
  <r>
    <x v="0"/>
    <x v="0"/>
    <x v="0"/>
    <x v="0"/>
    <x v="0"/>
    <s v="DK2_Rural"/>
    <x v="8"/>
    <x v="2"/>
    <x v="26"/>
    <x v="0"/>
    <x v="20"/>
    <n v="0.5"/>
    <n v="182.5"/>
    <n v="657"/>
  </r>
  <r>
    <x v="0"/>
    <x v="0"/>
    <x v="0"/>
    <x v="0"/>
    <x v="0"/>
    <s v="DK2_Rural"/>
    <x v="8"/>
    <x v="2"/>
    <x v="26"/>
    <x v="0"/>
    <x v="21"/>
    <n v="0.5"/>
    <n v="182.5"/>
    <n v="657"/>
  </r>
  <r>
    <x v="0"/>
    <x v="0"/>
    <x v="0"/>
    <x v="0"/>
    <x v="0"/>
    <s v="DK2_Rural"/>
    <x v="8"/>
    <x v="2"/>
    <x v="26"/>
    <x v="0"/>
    <x v="22"/>
    <n v="0.5"/>
    <n v="182.5"/>
    <n v="657"/>
  </r>
  <r>
    <x v="0"/>
    <x v="0"/>
    <x v="0"/>
    <x v="0"/>
    <x v="0"/>
    <s v="DK2_Rural"/>
    <x v="8"/>
    <x v="2"/>
    <x v="26"/>
    <x v="0"/>
    <x v="23"/>
    <n v="0.5"/>
    <n v="182.5"/>
    <n v="657"/>
  </r>
  <r>
    <x v="0"/>
    <x v="0"/>
    <x v="0"/>
    <x v="0"/>
    <x v="0"/>
    <s v="DK2_Rural"/>
    <x v="8"/>
    <x v="2"/>
    <x v="27"/>
    <x v="0"/>
    <x v="0"/>
    <n v="0.55000000000000004"/>
    <n v="200.75"/>
    <n v="722.7"/>
  </r>
  <r>
    <x v="0"/>
    <x v="0"/>
    <x v="0"/>
    <x v="0"/>
    <x v="0"/>
    <s v="DK2_Rural"/>
    <x v="8"/>
    <x v="2"/>
    <x v="27"/>
    <x v="0"/>
    <x v="1"/>
    <n v="0.55000000000000004"/>
    <n v="200.75"/>
    <n v="722.7"/>
  </r>
  <r>
    <x v="0"/>
    <x v="0"/>
    <x v="0"/>
    <x v="0"/>
    <x v="0"/>
    <s v="DK2_Rural"/>
    <x v="8"/>
    <x v="2"/>
    <x v="27"/>
    <x v="0"/>
    <x v="2"/>
    <n v="0.55000000000000004"/>
    <n v="200.75"/>
    <n v="722.7"/>
  </r>
  <r>
    <x v="0"/>
    <x v="0"/>
    <x v="0"/>
    <x v="0"/>
    <x v="0"/>
    <s v="DK2_Rural"/>
    <x v="8"/>
    <x v="2"/>
    <x v="27"/>
    <x v="0"/>
    <x v="3"/>
    <n v="0.55000000000000004"/>
    <n v="200.75"/>
    <n v="722.7"/>
  </r>
  <r>
    <x v="0"/>
    <x v="0"/>
    <x v="0"/>
    <x v="0"/>
    <x v="0"/>
    <s v="DK2_Rural"/>
    <x v="8"/>
    <x v="2"/>
    <x v="27"/>
    <x v="0"/>
    <x v="4"/>
    <n v="0.55000000000000004"/>
    <n v="200.75"/>
    <n v="722.7"/>
  </r>
  <r>
    <x v="0"/>
    <x v="0"/>
    <x v="0"/>
    <x v="0"/>
    <x v="0"/>
    <s v="DK2_Rural"/>
    <x v="8"/>
    <x v="2"/>
    <x v="27"/>
    <x v="0"/>
    <x v="5"/>
    <n v="0.55000000000000004"/>
    <n v="200.75"/>
    <n v="722.7"/>
  </r>
  <r>
    <x v="0"/>
    <x v="0"/>
    <x v="0"/>
    <x v="0"/>
    <x v="0"/>
    <s v="DK2_Rural"/>
    <x v="8"/>
    <x v="2"/>
    <x v="27"/>
    <x v="0"/>
    <x v="6"/>
    <n v="0.55000000000000004"/>
    <n v="200.75"/>
    <n v="722.7"/>
  </r>
  <r>
    <x v="0"/>
    <x v="0"/>
    <x v="0"/>
    <x v="0"/>
    <x v="0"/>
    <s v="DK2_Rural"/>
    <x v="8"/>
    <x v="2"/>
    <x v="27"/>
    <x v="0"/>
    <x v="7"/>
    <n v="0.55000000000000004"/>
    <n v="200.75"/>
    <n v="722.7"/>
  </r>
  <r>
    <x v="0"/>
    <x v="0"/>
    <x v="0"/>
    <x v="0"/>
    <x v="0"/>
    <s v="DK2_Rural"/>
    <x v="8"/>
    <x v="2"/>
    <x v="27"/>
    <x v="0"/>
    <x v="8"/>
    <n v="0.55000000000000004"/>
    <n v="200.75"/>
    <n v="722.7"/>
  </r>
  <r>
    <x v="0"/>
    <x v="0"/>
    <x v="0"/>
    <x v="0"/>
    <x v="0"/>
    <s v="DK2_Rural"/>
    <x v="8"/>
    <x v="2"/>
    <x v="27"/>
    <x v="0"/>
    <x v="9"/>
    <n v="0.55000000000000004"/>
    <n v="200.75"/>
    <n v="722.7"/>
  </r>
  <r>
    <x v="0"/>
    <x v="0"/>
    <x v="0"/>
    <x v="0"/>
    <x v="0"/>
    <s v="DK2_Rural"/>
    <x v="8"/>
    <x v="2"/>
    <x v="27"/>
    <x v="0"/>
    <x v="10"/>
    <n v="0.55000000000000004"/>
    <n v="200.75"/>
    <n v="722.7"/>
  </r>
  <r>
    <x v="0"/>
    <x v="0"/>
    <x v="0"/>
    <x v="0"/>
    <x v="0"/>
    <s v="DK2_Rural"/>
    <x v="8"/>
    <x v="2"/>
    <x v="27"/>
    <x v="0"/>
    <x v="11"/>
    <n v="0.55000000000000004"/>
    <n v="200.75"/>
    <n v="722.7"/>
  </r>
  <r>
    <x v="0"/>
    <x v="0"/>
    <x v="0"/>
    <x v="0"/>
    <x v="0"/>
    <s v="DK2_Rural"/>
    <x v="8"/>
    <x v="2"/>
    <x v="27"/>
    <x v="0"/>
    <x v="12"/>
    <n v="0.55000000000000004"/>
    <n v="200.75"/>
    <n v="722.7"/>
  </r>
  <r>
    <x v="0"/>
    <x v="0"/>
    <x v="0"/>
    <x v="0"/>
    <x v="0"/>
    <s v="DK2_Rural"/>
    <x v="8"/>
    <x v="2"/>
    <x v="27"/>
    <x v="0"/>
    <x v="13"/>
    <n v="0.55000000000000004"/>
    <n v="200.75"/>
    <n v="722.7"/>
  </r>
  <r>
    <x v="0"/>
    <x v="0"/>
    <x v="0"/>
    <x v="0"/>
    <x v="0"/>
    <s v="DK2_Rural"/>
    <x v="8"/>
    <x v="2"/>
    <x v="27"/>
    <x v="0"/>
    <x v="14"/>
    <n v="0.55000000000000004"/>
    <n v="200.75"/>
    <n v="722.7"/>
  </r>
  <r>
    <x v="0"/>
    <x v="0"/>
    <x v="0"/>
    <x v="0"/>
    <x v="0"/>
    <s v="DK2_Rural"/>
    <x v="8"/>
    <x v="2"/>
    <x v="27"/>
    <x v="0"/>
    <x v="15"/>
    <n v="0.55000000000000004"/>
    <n v="200.75"/>
    <n v="722.7"/>
  </r>
  <r>
    <x v="0"/>
    <x v="0"/>
    <x v="0"/>
    <x v="0"/>
    <x v="0"/>
    <s v="DK2_Rural"/>
    <x v="8"/>
    <x v="2"/>
    <x v="27"/>
    <x v="0"/>
    <x v="16"/>
    <n v="0.55000000000000004"/>
    <n v="200.75"/>
    <n v="722.7"/>
  </r>
  <r>
    <x v="0"/>
    <x v="0"/>
    <x v="0"/>
    <x v="0"/>
    <x v="0"/>
    <s v="DK2_Rural"/>
    <x v="8"/>
    <x v="2"/>
    <x v="27"/>
    <x v="0"/>
    <x v="17"/>
    <n v="0.55000000000000004"/>
    <n v="200.75"/>
    <n v="722.7"/>
  </r>
  <r>
    <x v="0"/>
    <x v="0"/>
    <x v="0"/>
    <x v="0"/>
    <x v="0"/>
    <s v="DK2_Rural"/>
    <x v="8"/>
    <x v="2"/>
    <x v="27"/>
    <x v="0"/>
    <x v="18"/>
    <n v="0.55000000000000004"/>
    <n v="200.75"/>
    <n v="722.7"/>
  </r>
  <r>
    <x v="0"/>
    <x v="0"/>
    <x v="0"/>
    <x v="0"/>
    <x v="0"/>
    <s v="DK2_Rural"/>
    <x v="8"/>
    <x v="2"/>
    <x v="27"/>
    <x v="0"/>
    <x v="19"/>
    <n v="0.55000000000000004"/>
    <n v="200.75"/>
    <n v="722.7"/>
  </r>
  <r>
    <x v="0"/>
    <x v="0"/>
    <x v="0"/>
    <x v="0"/>
    <x v="0"/>
    <s v="DK2_Rural"/>
    <x v="8"/>
    <x v="2"/>
    <x v="27"/>
    <x v="0"/>
    <x v="20"/>
    <n v="0.55000000000000004"/>
    <n v="200.75"/>
    <n v="722.7"/>
  </r>
  <r>
    <x v="0"/>
    <x v="0"/>
    <x v="0"/>
    <x v="0"/>
    <x v="0"/>
    <s v="DK2_Rural"/>
    <x v="8"/>
    <x v="2"/>
    <x v="27"/>
    <x v="0"/>
    <x v="21"/>
    <n v="0.55000000000000004"/>
    <n v="200.75"/>
    <n v="722.7"/>
  </r>
  <r>
    <x v="0"/>
    <x v="0"/>
    <x v="0"/>
    <x v="0"/>
    <x v="0"/>
    <s v="DK2_Rural"/>
    <x v="8"/>
    <x v="2"/>
    <x v="27"/>
    <x v="0"/>
    <x v="22"/>
    <n v="0.55000000000000004"/>
    <n v="200.75"/>
    <n v="722.7"/>
  </r>
  <r>
    <x v="0"/>
    <x v="0"/>
    <x v="0"/>
    <x v="0"/>
    <x v="0"/>
    <s v="DK2_Rural"/>
    <x v="8"/>
    <x v="2"/>
    <x v="27"/>
    <x v="0"/>
    <x v="23"/>
    <n v="0.55000000000000004"/>
    <n v="200.75"/>
    <n v="722.7"/>
  </r>
  <r>
    <x v="0"/>
    <x v="0"/>
    <x v="0"/>
    <x v="0"/>
    <x v="0"/>
    <s v="DK2_Rural"/>
    <x v="7"/>
    <x v="2"/>
    <x v="28"/>
    <x v="0"/>
    <x v="0"/>
    <n v="5"/>
    <n v="1825"/>
    <n v="6570"/>
  </r>
  <r>
    <x v="0"/>
    <x v="0"/>
    <x v="0"/>
    <x v="0"/>
    <x v="0"/>
    <s v="DK2_Rural"/>
    <x v="7"/>
    <x v="2"/>
    <x v="28"/>
    <x v="0"/>
    <x v="1"/>
    <n v="5"/>
    <n v="1825"/>
    <n v="6570"/>
  </r>
  <r>
    <x v="0"/>
    <x v="0"/>
    <x v="0"/>
    <x v="0"/>
    <x v="0"/>
    <s v="DK2_Rural"/>
    <x v="7"/>
    <x v="2"/>
    <x v="28"/>
    <x v="0"/>
    <x v="2"/>
    <n v="5"/>
    <n v="1825"/>
    <n v="6570"/>
  </r>
  <r>
    <x v="0"/>
    <x v="0"/>
    <x v="0"/>
    <x v="0"/>
    <x v="0"/>
    <s v="DK2_Rural"/>
    <x v="7"/>
    <x v="2"/>
    <x v="28"/>
    <x v="0"/>
    <x v="3"/>
    <n v="5"/>
    <n v="1825"/>
    <n v="6570"/>
  </r>
  <r>
    <x v="0"/>
    <x v="0"/>
    <x v="0"/>
    <x v="0"/>
    <x v="0"/>
    <s v="DK2_Rural"/>
    <x v="7"/>
    <x v="2"/>
    <x v="28"/>
    <x v="0"/>
    <x v="4"/>
    <n v="5"/>
    <n v="1825"/>
    <n v="6570"/>
  </r>
  <r>
    <x v="0"/>
    <x v="0"/>
    <x v="0"/>
    <x v="0"/>
    <x v="0"/>
    <s v="DK2_Rural"/>
    <x v="7"/>
    <x v="2"/>
    <x v="28"/>
    <x v="0"/>
    <x v="5"/>
    <n v="5"/>
    <n v="1825"/>
    <n v="6570"/>
  </r>
  <r>
    <x v="0"/>
    <x v="0"/>
    <x v="0"/>
    <x v="0"/>
    <x v="0"/>
    <s v="DK2_Rural"/>
    <x v="7"/>
    <x v="2"/>
    <x v="28"/>
    <x v="0"/>
    <x v="6"/>
    <n v="5"/>
    <n v="1825"/>
    <n v="6570"/>
  </r>
  <r>
    <x v="0"/>
    <x v="0"/>
    <x v="0"/>
    <x v="0"/>
    <x v="0"/>
    <s v="DK2_Rural"/>
    <x v="7"/>
    <x v="2"/>
    <x v="28"/>
    <x v="0"/>
    <x v="7"/>
    <n v="5"/>
    <n v="1825"/>
    <n v="6570"/>
  </r>
  <r>
    <x v="0"/>
    <x v="0"/>
    <x v="0"/>
    <x v="0"/>
    <x v="0"/>
    <s v="DK2_Rural"/>
    <x v="7"/>
    <x v="2"/>
    <x v="28"/>
    <x v="0"/>
    <x v="8"/>
    <n v="5"/>
    <n v="1825"/>
    <n v="6570"/>
  </r>
  <r>
    <x v="0"/>
    <x v="0"/>
    <x v="0"/>
    <x v="0"/>
    <x v="0"/>
    <s v="DK2_Rural"/>
    <x v="7"/>
    <x v="2"/>
    <x v="28"/>
    <x v="0"/>
    <x v="9"/>
    <n v="5"/>
    <n v="1825"/>
    <n v="6570"/>
  </r>
  <r>
    <x v="0"/>
    <x v="0"/>
    <x v="0"/>
    <x v="0"/>
    <x v="0"/>
    <s v="DK2_Rural"/>
    <x v="7"/>
    <x v="2"/>
    <x v="28"/>
    <x v="0"/>
    <x v="10"/>
    <n v="5"/>
    <n v="1825"/>
    <n v="6570"/>
  </r>
  <r>
    <x v="0"/>
    <x v="0"/>
    <x v="0"/>
    <x v="0"/>
    <x v="0"/>
    <s v="DK2_Rural"/>
    <x v="7"/>
    <x v="2"/>
    <x v="28"/>
    <x v="0"/>
    <x v="11"/>
    <n v="5"/>
    <n v="1825"/>
    <n v="6570"/>
  </r>
  <r>
    <x v="0"/>
    <x v="0"/>
    <x v="0"/>
    <x v="0"/>
    <x v="0"/>
    <s v="DK2_Rural"/>
    <x v="7"/>
    <x v="2"/>
    <x v="28"/>
    <x v="0"/>
    <x v="12"/>
    <n v="5"/>
    <n v="1825"/>
    <n v="6570"/>
  </r>
  <r>
    <x v="0"/>
    <x v="0"/>
    <x v="0"/>
    <x v="0"/>
    <x v="0"/>
    <s v="DK2_Rural"/>
    <x v="7"/>
    <x v="2"/>
    <x v="28"/>
    <x v="0"/>
    <x v="13"/>
    <n v="5"/>
    <n v="1825"/>
    <n v="6570"/>
  </r>
  <r>
    <x v="0"/>
    <x v="0"/>
    <x v="0"/>
    <x v="0"/>
    <x v="0"/>
    <s v="DK2_Rural"/>
    <x v="7"/>
    <x v="2"/>
    <x v="28"/>
    <x v="0"/>
    <x v="14"/>
    <n v="5"/>
    <n v="1825"/>
    <n v="6570"/>
  </r>
  <r>
    <x v="0"/>
    <x v="0"/>
    <x v="0"/>
    <x v="0"/>
    <x v="0"/>
    <s v="DK2_Rural"/>
    <x v="7"/>
    <x v="2"/>
    <x v="28"/>
    <x v="0"/>
    <x v="15"/>
    <n v="5"/>
    <n v="1825"/>
    <n v="6570"/>
  </r>
  <r>
    <x v="0"/>
    <x v="0"/>
    <x v="0"/>
    <x v="0"/>
    <x v="0"/>
    <s v="DK2_Rural"/>
    <x v="7"/>
    <x v="2"/>
    <x v="28"/>
    <x v="0"/>
    <x v="16"/>
    <n v="5"/>
    <n v="1825"/>
    <n v="6570"/>
  </r>
  <r>
    <x v="0"/>
    <x v="0"/>
    <x v="0"/>
    <x v="0"/>
    <x v="0"/>
    <s v="DK2_Rural"/>
    <x v="7"/>
    <x v="2"/>
    <x v="28"/>
    <x v="0"/>
    <x v="17"/>
    <n v="5"/>
    <n v="1825"/>
    <n v="6570"/>
  </r>
  <r>
    <x v="0"/>
    <x v="0"/>
    <x v="0"/>
    <x v="0"/>
    <x v="0"/>
    <s v="DK2_Rural"/>
    <x v="7"/>
    <x v="2"/>
    <x v="28"/>
    <x v="0"/>
    <x v="18"/>
    <n v="5"/>
    <n v="1825"/>
    <n v="6570"/>
  </r>
  <r>
    <x v="0"/>
    <x v="0"/>
    <x v="0"/>
    <x v="0"/>
    <x v="0"/>
    <s v="DK2_Rural"/>
    <x v="7"/>
    <x v="2"/>
    <x v="28"/>
    <x v="0"/>
    <x v="19"/>
    <n v="5"/>
    <n v="1825"/>
    <n v="6570"/>
  </r>
  <r>
    <x v="0"/>
    <x v="0"/>
    <x v="0"/>
    <x v="0"/>
    <x v="0"/>
    <s v="DK2_Rural"/>
    <x v="7"/>
    <x v="2"/>
    <x v="28"/>
    <x v="0"/>
    <x v="20"/>
    <n v="5"/>
    <n v="1825"/>
    <n v="6570"/>
  </r>
  <r>
    <x v="0"/>
    <x v="0"/>
    <x v="0"/>
    <x v="0"/>
    <x v="0"/>
    <s v="DK2_Rural"/>
    <x v="7"/>
    <x v="2"/>
    <x v="28"/>
    <x v="0"/>
    <x v="21"/>
    <n v="5"/>
    <n v="1825"/>
    <n v="6570"/>
  </r>
  <r>
    <x v="0"/>
    <x v="0"/>
    <x v="0"/>
    <x v="0"/>
    <x v="0"/>
    <s v="DK2_Rural"/>
    <x v="7"/>
    <x v="2"/>
    <x v="28"/>
    <x v="0"/>
    <x v="22"/>
    <n v="5"/>
    <n v="1825"/>
    <n v="6570"/>
  </r>
  <r>
    <x v="0"/>
    <x v="0"/>
    <x v="0"/>
    <x v="0"/>
    <x v="0"/>
    <s v="DK2_Rural"/>
    <x v="7"/>
    <x v="2"/>
    <x v="28"/>
    <x v="0"/>
    <x v="23"/>
    <n v="5"/>
    <n v="1825"/>
    <n v="6570"/>
  </r>
  <r>
    <x v="0"/>
    <x v="0"/>
    <x v="0"/>
    <x v="0"/>
    <x v="0"/>
    <s v="DK2_Rural"/>
    <x v="7"/>
    <x v="2"/>
    <x v="29"/>
    <x v="0"/>
    <x v="0"/>
    <n v="9.98"/>
    <n v="3642.7"/>
    <n v="13113.72"/>
  </r>
  <r>
    <x v="0"/>
    <x v="0"/>
    <x v="0"/>
    <x v="0"/>
    <x v="0"/>
    <s v="DK2_Rural"/>
    <x v="7"/>
    <x v="2"/>
    <x v="29"/>
    <x v="0"/>
    <x v="1"/>
    <n v="9.98"/>
    <n v="3642.7"/>
    <n v="13113.72"/>
  </r>
  <r>
    <x v="0"/>
    <x v="0"/>
    <x v="0"/>
    <x v="0"/>
    <x v="0"/>
    <s v="DK2_Rural"/>
    <x v="7"/>
    <x v="2"/>
    <x v="29"/>
    <x v="0"/>
    <x v="2"/>
    <n v="9.98"/>
    <n v="3642.7"/>
    <n v="13113.72"/>
  </r>
  <r>
    <x v="0"/>
    <x v="0"/>
    <x v="0"/>
    <x v="0"/>
    <x v="0"/>
    <s v="DK2_Rural"/>
    <x v="7"/>
    <x v="2"/>
    <x v="29"/>
    <x v="0"/>
    <x v="3"/>
    <n v="9.98"/>
    <n v="3642.7"/>
    <n v="13113.72"/>
  </r>
  <r>
    <x v="0"/>
    <x v="0"/>
    <x v="0"/>
    <x v="0"/>
    <x v="0"/>
    <s v="DK2_Rural"/>
    <x v="7"/>
    <x v="2"/>
    <x v="29"/>
    <x v="0"/>
    <x v="4"/>
    <n v="9.98"/>
    <n v="3642.7"/>
    <n v="13113.72"/>
  </r>
  <r>
    <x v="0"/>
    <x v="0"/>
    <x v="0"/>
    <x v="0"/>
    <x v="0"/>
    <s v="DK2_Rural"/>
    <x v="7"/>
    <x v="2"/>
    <x v="29"/>
    <x v="0"/>
    <x v="5"/>
    <n v="9.98"/>
    <n v="3642.7"/>
    <n v="13113.72"/>
  </r>
  <r>
    <x v="0"/>
    <x v="0"/>
    <x v="0"/>
    <x v="0"/>
    <x v="0"/>
    <s v="DK2_Rural"/>
    <x v="7"/>
    <x v="2"/>
    <x v="29"/>
    <x v="0"/>
    <x v="6"/>
    <n v="9.98"/>
    <n v="3642.7"/>
    <n v="13113.72"/>
  </r>
  <r>
    <x v="0"/>
    <x v="0"/>
    <x v="0"/>
    <x v="0"/>
    <x v="0"/>
    <s v="DK2_Rural"/>
    <x v="7"/>
    <x v="2"/>
    <x v="29"/>
    <x v="0"/>
    <x v="7"/>
    <n v="9.98"/>
    <n v="3642.7"/>
    <n v="13113.72"/>
  </r>
  <r>
    <x v="0"/>
    <x v="0"/>
    <x v="0"/>
    <x v="0"/>
    <x v="0"/>
    <s v="DK2_Rural"/>
    <x v="7"/>
    <x v="2"/>
    <x v="29"/>
    <x v="0"/>
    <x v="8"/>
    <n v="9.98"/>
    <n v="3642.7"/>
    <n v="13113.72"/>
  </r>
  <r>
    <x v="0"/>
    <x v="0"/>
    <x v="0"/>
    <x v="0"/>
    <x v="0"/>
    <s v="DK2_Rural"/>
    <x v="7"/>
    <x v="2"/>
    <x v="29"/>
    <x v="0"/>
    <x v="9"/>
    <n v="9.98"/>
    <n v="3642.7"/>
    <n v="13113.72"/>
  </r>
  <r>
    <x v="0"/>
    <x v="0"/>
    <x v="0"/>
    <x v="0"/>
    <x v="0"/>
    <s v="DK2_Rural"/>
    <x v="7"/>
    <x v="2"/>
    <x v="29"/>
    <x v="0"/>
    <x v="10"/>
    <n v="9.98"/>
    <n v="3642.7"/>
    <n v="13113.72"/>
  </r>
  <r>
    <x v="0"/>
    <x v="0"/>
    <x v="0"/>
    <x v="0"/>
    <x v="0"/>
    <s v="DK2_Rural"/>
    <x v="7"/>
    <x v="2"/>
    <x v="29"/>
    <x v="0"/>
    <x v="11"/>
    <n v="9.98"/>
    <n v="3642.7"/>
    <n v="13113.72"/>
  </r>
  <r>
    <x v="0"/>
    <x v="0"/>
    <x v="0"/>
    <x v="0"/>
    <x v="0"/>
    <s v="DK2_Rural"/>
    <x v="7"/>
    <x v="2"/>
    <x v="29"/>
    <x v="0"/>
    <x v="12"/>
    <n v="9.98"/>
    <n v="3642.7"/>
    <n v="13113.72"/>
  </r>
  <r>
    <x v="0"/>
    <x v="0"/>
    <x v="0"/>
    <x v="0"/>
    <x v="0"/>
    <s v="DK2_Rural"/>
    <x v="7"/>
    <x v="2"/>
    <x v="29"/>
    <x v="0"/>
    <x v="13"/>
    <n v="9.98"/>
    <n v="3642.7"/>
    <n v="13113.72"/>
  </r>
  <r>
    <x v="0"/>
    <x v="0"/>
    <x v="0"/>
    <x v="0"/>
    <x v="0"/>
    <s v="DK2_Rural"/>
    <x v="7"/>
    <x v="2"/>
    <x v="29"/>
    <x v="0"/>
    <x v="14"/>
    <n v="9.98"/>
    <n v="3642.7"/>
    <n v="13113.72"/>
  </r>
  <r>
    <x v="0"/>
    <x v="0"/>
    <x v="0"/>
    <x v="0"/>
    <x v="0"/>
    <s v="DK2_Rural"/>
    <x v="7"/>
    <x v="2"/>
    <x v="29"/>
    <x v="0"/>
    <x v="15"/>
    <n v="9.98"/>
    <n v="3642.7"/>
    <n v="13113.72"/>
  </r>
  <r>
    <x v="0"/>
    <x v="0"/>
    <x v="0"/>
    <x v="0"/>
    <x v="0"/>
    <s v="DK2_Rural"/>
    <x v="7"/>
    <x v="2"/>
    <x v="29"/>
    <x v="0"/>
    <x v="16"/>
    <n v="9.98"/>
    <n v="3642.7"/>
    <n v="13113.72"/>
  </r>
  <r>
    <x v="0"/>
    <x v="0"/>
    <x v="0"/>
    <x v="0"/>
    <x v="0"/>
    <s v="DK2_Rural"/>
    <x v="7"/>
    <x v="2"/>
    <x v="29"/>
    <x v="0"/>
    <x v="17"/>
    <n v="9.98"/>
    <n v="3642.7"/>
    <n v="13113.72"/>
  </r>
  <r>
    <x v="0"/>
    <x v="0"/>
    <x v="0"/>
    <x v="0"/>
    <x v="0"/>
    <s v="DK2_Rural"/>
    <x v="7"/>
    <x v="2"/>
    <x v="29"/>
    <x v="0"/>
    <x v="18"/>
    <n v="9.98"/>
    <n v="3642.7"/>
    <n v="13113.72"/>
  </r>
  <r>
    <x v="0"/>
    <x v="0"/>
    <x v="0"/>
    <x v="0"/>
    <x v="0"/>
    <s v="DK2_Rural"/>
    <x v="7"/>
    <x v="2"/>
    <x v="29"/>
    <x v="0"/>
    <x v="19"/>
    <n v="9.98"/>
    <n v="3642.7"/>
    <n v="13113.72"/>
  </r>
  <r>
    <x v="0"/>
    <x v="0"/>
    <x v="0"/>
    <x v="0"/>
    <x v="0"/>
    <s v="DK2_Rural"/>
    <x v="7"/>
    <x v="2"/>
    <x v="29"/>
    <x v="0"/>
    <x v="20"/>
    <n v="9.98"/>
    <n v="3642.7"/>
    <n v="13113.72"/>
  </r>
  <r>
    <x v="0"/>
    <x v="0"/>
    <x v="0"/>
    <x v="0"/>
    <x v="0"/>
    <s v="DK2_Rural"/>
    <x v="7"/>
    <x v="2"/>
    <x v="29"/>
    <x v="0"/>
    <x v="21"/>
    <n v="9.98"/>
    <n v="3642.7"/>
    <n v="13113.72"/>
  </r>
  <r>
    <x v="0"/>
    <x v="0"/>
    <x v="0"/>
    <x v="0"/>
    <x v="0"/>
    <s v="DK2_Rural"/>
    <x v="7"/>
    <x v="2"/>
    <x v="29"/>
    <x v="0"/>
    <x v="22"/>
    <n v="9.98"/>
    <n v="3642.7"/>
    <n v="13113.72"/>
  </r>
  <r>
    <x v="0"/>
    <x v="0"/>
    <x v="0"/>
    <x v="0"/>
    <x v="0"/>
    <s v="DK2_Rural"/>
    <x v="7"/>
    <x v="2"/>
    <x v="29"/>
    <x v="0"/>
    <x v="23"/>
    <n v="9.98"/>
    <n v="3642.7"/>
    <n v="13113.72"/>
  </r>
  <r>
    <x v="0"/>
    <x v="0"/>
    <x v="0"/>
    <x v="0"/>
    <x v="0"/>
    <s v="DK2_Rural"/>
    <x v="7"/>
    <x v="2"/>
    <x v="30"/>
    <x v="0"/>
    <x v="0"/>
    <n v="11.5"/>
    <n v="4197.5"/>
    <n v="15111"/>
  </r>
  <r>
    <x v="0"/>
    <x v="0"/>
    <x v="0"/>
    <x v="0"/>
    <x v="0"/>
    <s v="DK2_Rural"/>
    <x v="7"/>
    <x v="2"/>
    <x v="30"/>
    <x v="0"/>
    <x v="1"/>
    <n v="11.5"/>
    <n v="4197.5"/>
    <n v="15111"/>
  </r>
  <r>
    <x v="0"/>
    <x v="0"/>
    <x v="0"/>
    <x v="0"/>
    <x v="0"/>
    <s v="DK2_Rural"/>
    <x v="7"/>
    <x v="2"/>
    <x v="30"/>
    <x v="0"/>
    <x v="2"/>
    <n v="11.5"/>
    <n v="4197.5"/>
    <n v="15111"/>
  </r>
  <r>
    <x v="0"/>
    <x v="0"/>
    <x v="0"/>
    <x v="0"/>
    <x v="0"/>
    <s v="DK2_Rural"/>
    <x v="7"/>
    <x v="2"/>
    <x v="30"/>
    <x v="0"/>
    <x v="3"/>
    <n v="11.5"/>
    <n v="4197.5"/>
    <n v="15111"/>
  </r>
  <r>
    <x v="0"/>
    <x v="0"/>
    <x v="0"/>
    <x v="0"/>
    <x v="0"/>
    <s v="DK2_Rural"/>
    <x v="7"/>
    <x v="2"/>
    <x v="30"/>
    <x v="0"/>
    <x v="4"/>
    <n v="11.5"/>
    <n v="4197.5"/>
    <n v="15111"/>
  </r>
  <r>
    <x v="0"/>
    <x v="0"/>
    <x v="0"/>
    <x v="0"/>
    <x v="0"/>
    <s v="DK2_Rural"/>
    <x v="7"/>
    <x v="2"/>
    <x v="30"/>
    <x v="0"/>
    <x v="5"/>
    <n v="11.5"/>
    <n v="4197.5"/>
    <n v="15111"/>
  </r>
  <r>
    <x v="0"/>
    <x v="0"/>
    <x v="0"/>
    <x v="0"/>
    <x v="0"/>
    <s v="DK2_Rural"/>
    <x v="7"/>
    <x v="2"/>
    <x v="30"/>
    <x v="0"/>
    <x v="6"/>
    <n v="11.5"/>
    <n v="4197.5"/>
    <n v="15111"/>
  </r>
  <r>
    <x v="0"/>
    <x v="0"/>
    <x v="0"/>
    <x v="0"/>
    <x v="0"/>
    <s v="DK2_Rural"/>
    <x v="7"/>
    <x v="2"/>
    <x v="30"/>
    <x v="0"/>
    <x v="7"/>
    <n v="11.5"/>
    <n v="4197.5"/>
    <n v="15111"/>
  </r>
  <r>
    <x v="0"/>
    <x v="0"/>
    <x v="0"/>
    <x v="0"/>
    <x v="0"/>
    <s v="DK2_Rural"/>
    <x v="7"/>
    <x v="2"/>
    <x v="30"/>
    <x v="0"/>
    <x v="8"/>
    <n v="11.5"/>
    <n v="4197.5"/>
    <n v="15111"/>
  </r>
  <r>
    <x v="0"/>
    <x v="0"/>
    <x v="0"/>
    <x v="0"/>
    <x v="0"/>
    <s v="DK2_Rural"/>
    <x v="7"/>
    <x v="2"/>
    <x v="30"/>
    <x v="0"/>
    <x v="9"/>
    <n v="11.5"/>
    <n v="4197.5"/>
    <n v="15111"/>
  </r>
  <r>
    <x v="0"/>
    <x v="0"/>
    <x v="0"/>
    <x v="0"/>
    <x v="0"/>
    <s v="DK2_Rural"/>
    <x v="7"/>
    <x v="2"/>
    <x v="30"/>
    <x v="0"/>
    <x v="10"/>
    <n v="11.5"/>
    <n v="4197.5"/>
    <n v="15111"/>
  </r>
  <r>
    <x v="0"/>
    <x v="0"/>
    <x v="0"/>
    <x v="0"/>
    <x v="0"/>
    <s v="DK2_Rural"/>
    <x v="7"/>
    <x v="2"/>
    <x v="30"/>
    <x v="0"/>
    <x v="11"/>
    <n v="11.5"/>
    <n v="4197.5"/>
    <n v="15111"/>
  </r>
  <r>
    <x v="0"/>
    <x v="0"/>
    <x v="0"/>
    <x v="0"/>
    <x v="0"/>
    <s v="DK2_Rural"/>
    <x v="7"/>
    <x v="2"/>
    <x v="30"/>
    <x v="0"/>
    <x v="12"/>
    <n v="11.5"/>
    <n v="4197.5"/>
    <n v="15111"/>
  </r>
  <r>
    <x v="0"/>
    <x v="0"/>
    <x v="0"/>
    <x v="0"/>
    <x v="0"/>
    <s v="DK2_Rural"/>
    <x v="7"/>
    <x v="2"/>
    <x v="30"/>
    <x v="0"/>
    <x v="13"/>
    <n v="11.5"/>
    <n v="4197.5"/>
    <n v="15111"/>
  </r>
  <r>
    <x v="0"/>
    <x v="0"/>
    <x v="0"/>
    <x v="0"/>
    <x v="0"/>
    <s v="DK2_Rural"/>
    <x v="7"/>
    <x v="2"/>
    <x v="30"/>
    <x v="0"/>
    <x v="14"/>
    <n v="11.5"/>
    <n v="4197.5"/>
    <n v="15111"/>
  </r>
  <r>
    <x v="0"/>
    <x v="0"/>
    <x v="0"/>
    <x v="0"/>
    <x v="0"/>
    <s v="DK2_Rural"/>
    <x v="7"/>
    <x v="2"/>
    <x v="30"/>
    <x v="0"/>
    <x v="15"/>
    <n v="11.5"/>
    <n v="4197.5"/>
    <n v="15111"/>
  </r>
  <r>
    <x v="0"/>
    <x v="0"/>
    <x v="0"/>
    <x v="0"/>
    <x v="0"/>
    <s v="DK2_Rural"/>
    <x v="7"/>
    <x v="2"/>
    <x v="30"/>
    <x v="0"/>
    <x v="16"/>
    <n v="11.5"/>
    <n v="4197.5"/>
    <n v="15111"/>
  </r>
  <r>
    <x v="0"/>
    <x v="0"/>
    <x v="0"/>
    <x v="0"/>
    <x v="0"/>
    <s v="DK2_Rural"/>
    <x v="7"/>
    <x v="2"/>
    <x v="30"/>
    <x v="0"/>
    <x v="17"/>
    <n v="11.5"/>
    <n v="4197.5"/>
    <n v="15111"/>
  </r>
  <r>
    <x v="0"/>
    <x v="0"/>
    <x v="0"/>
    <x v="0"/>
    <x v="0"/>
    <s v="DK2_Rural"/>
    <x v="7"/>
    <x v="2"/>
    <x v="30"/>
    <x v="0"/>
    <x v="18"/>
    <n v="11.5"/>
    <n v="4197.5"/>
    <n v="15111"/>
  </r>
  <r>
    <x v="0"/>
    <x v="0"/>
    <x v="0"/>
    <x v="0"/>
    <x v="0"/>
    <s v="DK2_Rural"/>
    <x v="7"/>
    <x v="2"/>
    <x v="30"/>
    <x v="0"/>
    <x v="19"/>
    <n v="11.5"/>
    <n v="4197.5"/>
    <n v="15111"/>
  </r>
  <r>
    <x v="0"/>
    <x v="0"/>
    <x v="0"/>
    <x v="0"/>
    <x v="0"/>
    <s v="DK2_Rural"/>
    <x v="7"/>
    <x v="2"/>
    <x v="30"/>
    <x v="0"/>
    <x v="20"/>
    <n v="11.5"/>
    <n v="4197.5"/>
    <n v="15111"/>
  </r>
  <r>
    <x v="0"/>
    <x v="0"/>
    <x v="0"/>
    <x v="0"/>
    <x v="0"/>
    <s v="DK2_Rural"/>
    <x v="7"/>
    <x v="2"/>
    <x v="30"/>
    <x v="0"/>
    <x v="21"/>
    <n v="11.5"/>
    <n v="4197.5"/>
    <n v="15111"/>
  </r>
  <r>
    <x v="0"/>
    <x v="0"/>
    <x v="0"/>
    <x v="0"/>
    <x v="0"/>
    <s v="DK2_Rural"/>
    <x v="7"/>
    <x v="2"/>
    <x v="30"/>
    <x v="0"/>
    <x v="22"/>
    <n v="11.5"/>
    <n v="4197.5"/>
    <n v="15111"/>
  </r>
  <r>
    <x v="0"/>
    <x v="0"/>
    <x v="0"/>
    <x v="0"/>
    <x v="0"/>
    <s v="DK2_Rural"/>
    <x v="7"/>
    <x v="2"/>
    <x v="30"/>
    <x v="0"/>
    <x v="23"/>
    <n v="11.5"/>
    <n v="4197.5"/>
    <n v="15111"/>
  </r>
  <r>
    <x v="0"/>
    <x v="0"/>
    <x v="0"/>
    <x v="0"/>
    <x v="1"/>
    <s v="DK2_Large"/>
    <x v="0"/>
    <x v="0"/>
    <x v="31"/>
    <x v="0"/>
    <x v="0"/>
    <n v="416.66666666666703"/>
    <n v="152083.33333333299"/>
    <n v="547500"/>
  </r>
  <r>
    <x v="0"/>
    <x v="0"/>
    <x v="0"/>
    <x v="0"/>
    <x v="1"/>
    <s v="DK2_Large"/>
    <x v="0"/>
    <x v="0"/>
    <x v="31"/>
    <x v="0"/>
    <x v="1"/>
    <n v="416.66666666666703"/>
    <n v="152083.33333333299"/>
    <n v="547500"/>
  </r>
  <r>
    <x v="0"/>
    <x v="0"/>
    <x v="0"/>
    <x v="0"/>
    <x v="1"/>
    <s v="DK2_Large"/>
    <x v="0"/>
    <x v="0"/>
    <x v="31"/>
    <x v="0"/>
    <x v="2"/>
    <n v="416.66666666666703"/>
    <n v="152083.33333333299"/>
    <n v="547500"/>
  </r>
  <r>
    <x v="0"/>
    <x v="0"/>
    <x v="0"/>
    <x v="0"/>
    <x v="1"/>
    <s v="DK2_Large"/>
    <x v="0"/>
    <x v="0"/>
    <x v="31"/>
    <x v="0"/>
    <x v="3"/>
    <n v="416.66666666666703"/>
    <n v="152083.33333333299"/>
    <n v="547500"/>
  </r>
  <r>
    <x v="0"/>
    <x v="0"/>
    <x v="0"/>
    <x v="0"/>
    <x v="1"/>
    <s v="DK2_Large"/>
    <x v="0"/>
    <x v="0"/>
    <x v="31"/>
    <x v="0"/>
    <x v="4"/>
    <n v="416.66666666666703"/>
    <n v="152083.33333333299"/>
    <n v="547500"/>
  </r>
  <r>
    <x v="0"/>
    <x v="0"/>
    <x v="0"/>
    <x v="0"/>
    <x v="1"/>
    <s v="DK2_Large"/>
    <x v="0"/>
    <x v="0"/>
    <x v="31"/>
    <x v="0"/>
    <x v="5"/>
    <n v="416.66666666666703"/>
    <n v="152083.33333333299"/>
    <n v="547500"/>
  </r>
  <r>
    <x v="0"/>
    <x v="0"/>
    <x v="0"/>
    <x v="0"/>
    <x v="1"/>
    <s v="DK2_Large"/>
    <x v="0"/>
    <x v="0"/>
    <x v="31"/>
    <x v="0"/>
    <x v="6"/>
    <n v="416.66666666666703"/>
    <n v="152083.33333333299"/>
    <n v="547500"/>
  </r>
  <r>
    <x v="0"/>
    <x v="0"/>
    <x v="0"/>
    <x v="0"/>
    <x v="1"/>
    <s v="DK2_Large"/>
    <x v="0"/>
    <x v="0"/>
    <x v="31"/>
    <x v="0"/>
    <x v="7"/>
    <n v="416.66666666666703"/>
    <n v="152083.33333333299"/>
    <n v="547500"/>
  </r>
  <r>
    <x v="0"/>
    <x v="0"/>
    <x v="0"/>
    <x v="0"/>
    <x v="1"/>
    <s v="DK2_Large"/>
    <x v="0"/>
    <x v="0"/>
    <x v="31"/>
    <x v="0"/>
    <x v="8"/>
    <n v="416.66666666666703"/>
    <n v="152083.33333333299"/>
    <n v="547500"/>
  </r>
  <r>
    <x v="0"/>
    <x v="0"/>
    <x v="0"/>
    <x v="0"/>
    <x v="1"/>
    <s v="DK2_Large"/>
    <x v="0"/>
    <x v="0"/>
    <x v="31"/>
    <x v="0"/>
    <x v="9"/>
    <n v="416.66666666666703"/>
    <n v="152083.33333333299"/>
    <n v="547500"/>
  </r>
  <r>
    <x v="0"/>
    <x v="0"/>
    <x v="0"/>
    <x v="0"/>
    <x v="1"/>
    <s v="DK2_Large"/>
    <x v="0"/>
    <x v="0"/>
    <x v="31"/>
    <x v="0"/>
    <x v="10"/>
    <n v="416.66666666666703"/>
    <n v="152083.33333333299"/>
    <n v="547500"/>
  </r>
  <r>
    <x v="0"/>
    <x v="0"/>
    <x v="0"/>
    <x v="0"/>
    <x v="1"/>
    <s v="DK2_Large"/>
    <x v="0"/>
    <x v="0"/>
    <x v="31"/>
    <x v="0"/>
    <x v="11"/>
    <n v="416.66666666666703"/>
    <n v="152083.33333333299"/>
    <n v="547500"/>
  </r>
  <r>
    <x v="0"/>
    <x v="0"/>
    <x v="0"/>
    <x v="0"/>
    <x v="1"/>
    <s v="DK2_Large"/>
    <x v="0"/>
    <x v="0"/>
    <x v="31"/>
    <x v="0"/>
    <x v="12"/>
    <n v="416.66666666666703"/>
    <n v="152083.33333333299"/>
    <n v="547500"/>
  </r>
  <r>
    <x v="0"/>
    <x v="0"/>
    <x v="0"/>
    <x v="0"/>
    <x v="1"/>
    <s v="DK2_Large"/>
    <x v="0"/>
    <x v="0"/>
    <x v="31"/>
    <x v="0"/>
    <x v="13"/>
    <n v="416.66666666666703"/>
    <n v="152083.33333333299"/>
    <n v="547500"/>
  </r>
  <r>
    <x v="0"/>
    <x v="0"/>
    <x v="0"/>
    <x v="0"/>
    <x v="1"/>
    <s v="DK2_Large"/>
    <x v="0"/>
    <x v="0"/>
    <x v="31"/>
    <x v="0"/>
    <x v="14"/>
    <n v="416.66666666666703"/>
    <n v="152083.33333333299"/>
    <n v="547500"/>
  </r>
  <r>
    <x v="0"/>
    <x v="0"/>
    <x v="0"/>
    <x v="0"/>
    <x v="1"/>
    <s v="DK2_Large"/>
    <x v="0"/>
    <x v="0"/>
    <x v="31"/>
    <x v="0"/>
    <x v="15"/>
    <n v="416.66666666666703"/>
    <n v="152083.33333333299"/>
    <n v="547500"/>
  </r>
  <r>
    <x v="0"/>
    <x v="0"/>
    <x v="0"/>
    <x v="0"/>
    <x v="1"/>
    <s v="DK2_Large"/>
    <x v="0"/>
    <x v="0"/>
    <x v="31"/>
    <x v="0"/>
    <x v="16"/>
    <n v="416.66666666666703"/>
    <n v="152083.33333333299"/>
    <n v="547500"/>
  </r>
  <r>
    <x v="0"/>
    <x v="0"/>
    <x v="0"/>
    <x v="0"/>
    <x v="1"/>
    <s v="DK2_Large"/>
    <x v="0"/>
    <x v="0"/>
    <x v="31"/>
    <x v="0"/>
    <x v="17"/>
    <n v="416.66666666666703"/>
    <n v="152083.33333333299"/>
    <n v="547500"/>
  </r>
  <r>
    <x v="0"/>
    <x v="0"/>
    <x v="0"/>
    <x v="0"/>
    <x v="1"/>
    <s v="DK2_Large"/>
    <x v="0"/>
    <x v="0"/>
    <x v="31"/>
    <x v="0"/>
    <x v="18"/>
    <n v="416.66666666666703"/>
    <n v="152083.33333333299"/>
    <n v="547500"/>
  </r>
  <r>
    <x v="0"/>
    <x v="0"/>
    <x v="0"/>
    <x v="0"/>
    <x v="1"/>
    <s v="DK2_Large"/>
    <x v="0"/>
    <x v="0"/>
    <x v="31"/>
    <x v="0"/>
    <x v="19"/>
    <n v="416.66666666666703"/>
    <n v="152083.33333333299"/>
    <n v="547500"/>
  </r>
  <r>
    <x v="0"/>
    <x v="0"/>
    <x v="0"/>
    <x v="0"/>
    <x v="1"/>
    <s v="DK2_Large"/>
    <x v="0"/>
    <x v="0"/>
    <x v="31"/>
    <x v="0"/>
    <x v="20"/>
    <n v="416.66666666666703"/>
    <n v="152083.33333333299"/>
    <n v="547500"/>
  </r>
  <r>
    <x v="0"/>
    <x v="0"/>
    <x v="0"/>
    <x v="0"/>
    <x v="1"/>
    <s v="DK2_Large"/>
    <x v="0"/>
    <x v="0"/>
    <x v="31"/>
    <x v="0"/>
    <x v="21"/>
    <n v="416.66666666666703"/>
    <n v="152083.33333333299"/>
    <n v="547500"/>
  </r>
  <r>
    <x v="0"/>
    <x v="0"/>
    <x v="0"/>
    <x v="0"/>
    <x v="1"/>
    <s v="DK2_Large"/>
    <x v="0"/>
    <x v="0"/>
    <x v="31"/>
    <x v="0"/>
    <x v="22"/>
    <n v="416.66666666666703"/>
    <n v="152083.33333333299"/>
    <n v="547500"/>
  </r>
  <r>
    <x v="0"/>
    <x v="0"/>
    <x v="0"/>
    <x v="0"/>
    <x v="1"/>
    <s v="DK2_Large"/>
    <x v="0"/>
    <x v="0"/>
    <x v="31"/>
    <x v="0"/>
    <x v="23"/>
    <n v="416.66666666666703"/>
    <n v="152083.33333333299"/>
    <n v="547500"/>
  </r>
  <r>
    <x v="0"/>
    <x v="0"/>
    <x v="0"/>
    <x v="0"/>
    <x v="1"/>
    <s v="DK2_Large"/>
    <x v="1"/>
    <x v="1"/>
    <x v="2"/>
    <x v="0"/>
    <x v="4"/>
    <n v="-10"/>
    <n v="-3650"/>
    <n v="-13140"/>
  </r>
  <r>
    <x v="0"/>
    <x v="0"/>
    <x v="0"/>
    <x v="0"/>
    <x v="1"/>
    <s v="DK2_Large"/>
    <x v="1"/>
    <x v="1"/>
    <x v="2"/>
    <x v="0"/>
    <x v="5"/>
    <n v="-10"/>
    <n v="-3650"/>
    <n v="-13140"/>
  </r>
  <r>
    <x v="0"/>
    <x v="0"/>
    <x v="0"/>
    <x v="0"/>
    <x v="1"/>
    <s v="DK2_Large"/>
    <x v="1"/>
    <x v="1"/>
    <x v="2"/>
    <x v="0"/>
    <x v="6"/>
    <n v="-10"/>
    <n v="-3650"/>
    <n v="-13140"/>
  </r>
  <r>
    <x v="0"/>
    <x v="0"/>
    <x v="0"/>
    <x v="0"/>
    <x v="1"/>
    <s v="DK2_Large"/>
    <x v="1"/>
    <x v="1"/>
    <x v="2"/>
    <x v="0"/>
    <x v="7"/>
    <n v="-10"/>
    <n v="-3650"/>
    <n v="-13140"/>
  </r>
  <r>
    <x v="0"/>
    <x v="0"/>
    <x v="0"/>
    <x v="0"/>
    <x v="1"/>
    <s v="DK2_Large"/>
    <x v="1"/>
    <x v="1"/>
    <x v="2"/>
    <x v="0"/>
    <x v="8"/>
    <n v="-10"/>
    <n v="-3650"/>
    <n v="-13140"/>
  </r>
  <r>
    <x v="0"/>
    <x v="0"/>
    <x v="0"/>
    <x v="0"/>
    <x v="1"/>
    <s v="DK2_Large"/>
    <x v="1"/>
    <x v="1"/>
    <x v="2"/>
    <x v="0"/>
    <x v="9"/>
    <n v="-10"/>
    <n v="-3650"/>
    <n v="-13140"/>
  </r>
  <r>
    <x v="0"/>
    <x v="0"/>
    <x v="0"/>
    <x v="0"/>
    <x v="1"/>
    <s v="DK2_Large"/>
    <x v="1"/>
    <x v="1"/>
    <x v="2"/>
    <x v="0"/>
    <x v="10"/>
    <n v="-10"/>
    <n v="-3650"/>
    <n v="-13140"/>
  </r>
  <r>
    <x v="0"/>
    <x v="0"/>
    <x v="0"/>
    <x v="0"/>
    <x v="1"/>
    <s v="DK2_Large"/>
    <x v="1"/>
    <x v="1"/>
    <x v="2"/>
    <x v="0"/>
    <x v="17"/>
    <n v="-10"/>
    <n v="-3650"/>
    <n v="-13140"/>
  </r>
  <r>
    <x v="0"/>
    <x v="0"/>
    <x v="0"/>
    <x v="0"/>
    <x v="1"/>
    <s v="DK2_Large"/>
    <x v="1"/>
    <x v="1"/>
    <x v="2"/>
    <x v="0"/>
    <x v="18"/>
    <n v="-10"/>
    <n v="-3650"/>
    <n v="-13140"/>
  </r>
  <r>
    <x v="0"/>
    <x v="0"/>
    <x v="0"/>
    <x v="0"/>
    <x v="1"/>
    <s v="DK2_Large"/>
    <x v="1"/>
    <x v="1"/>
    <x v="2"/>
    <x v="0"/>
    <x v="19"/>
    <n v="-10"/>
    <n v="-3650"/>
    <n v="-13140"/>
  </r>
  <r>
    <x v="0"/>
    <x v="0"/>
    <x v="0"/>
    <x v="0"/>
    <x v="1"/>
    <s v="DK2_Large"/>
    <x v="1"/>
    <x v="1"/>
    <x v="2"/>
    <x v="0"/>
    <x v="20"/>
    <n v="-4.4823056049673697"/>
    <n v="-1636.0415458130899"/>
    <n v="-5889.7495649271204"/>
  </r>
  <r>
    <x v="0"/>
    <x v="0"/>
    <x v="0"/>
    <x v="0"/>
    <x v="1"/>
    <s v="DK2_Large"/>
    <x v="1"/>
    <x v="1"/>
    <x v="13"/>
    <x v="0"/>
    <x v="0"/>
    <n v="-0.11333333333333299"/>
    <n v="-41.366666666666703"/>
    <n v="-148.91999999999999"/>
  </r>
  <r>
    <x v="0"/>
    <x v="0"/>
    <x v="0"/>
    <x v="0"/>
    <x v="1"/>
    <s v="DK2_Large"/>
    <x v="1"/>
    <x v="1"/>
    <x v="13"/>
    <x v="0"/>
    <x v="1"/>
    <n v="-0.11333333333333299"/>
    <n v="-41.366666666666703"/>
    <n v="-148.91999999999999"/>
  </r>
  <r>
    <x v="0"/>
    <x v="0"/>
    <x v="0"/>
    <x v="0"/>
    <x v="1"/>
    <s v="DK2_Large"/>
    <x v="1"/>
    <x v="1"/>
    <x v="13"/>
    <x v="0"/>
    <x v="2"/>
    <n v="-0.11333333333333299"/>
    <n v="-41.366666666666703"/>
    <n v="-148.91999999999999"/>
  </r>
  <r>
    <x v="0"/>
    <x v="0"/>
    <x v="0"/>
    <x v="0"/>
    <x v="1"/>
    <s v="DK2_Large"/>
    <x v="1"/>
    <x v="1"/>
    <x v="13"/>
    <x v="0"/>
    <x v="3"/>
    <n v="-0.11333333333333299"/>
    <n v="-41.366666666666703"/>
    <n v="-148.91999999999999"/>
  </r>
  <r>
    <x v="0"/>
    <x v="0"/>
    <x v="0"/>
    <x v="0"/>
    <x v="1"/>
    <s v="DK2_Large"/>
    <x v="1"/>
    <x v="1"/>
    <x v="13"/>
    <x v="0"/>
    <x v="4"/>
    <n v="-0.11333333333333299"/>
    <n v="-41.366666666666703"/>
    <n v="-148.91999999999999"/>
  </r>
  <r>
    <x v="0"/>
    <x v="0"/>
    <x v="0"/>
    <x v="0"/>
    <x v="1"/>
    <s v="DK2_Large"/>
    <x v="1"/>
    <x v="1"/>
    <x v="13"/>
    <x v="0"/>
    <x v="5"/>
    <n v="-0.11333333333333299"/>
    <n v="-41.366666666666703"/>
    <n v="-148.91999999999999"/>
  </r>
  <r>
    <x v="0"/>
    <x v="0"/>
    <x v="0"/>
    <x v="0"/>
    <x v="1"/>
    <s v="DK2_Large"/>
    <x v="1"/>
    <x v="1"/>
    <x v="13"/>
    <x v="0"/>
    <x v="6"/>
    <n v="-0.11333333333333299"/>
    <n v="-41.366666666666703"/>
    <n v="-148.91999999999999"/>
  </r>
  <r>
    <x v="0"/>
    <x v="0"/>
    <x v="0"/>
    <x v="0"/>
    <x v="1"/>
    <s v="DK2_Large"/>
    <x v="1"/>
    <x v="1"/>
    <x v="13"/>
    <x v="0"/>
    <x v="7"/>
    <n v="-0.11333333333333299"/>
    <n v="-41.366666666666703"/>
    <n v="-148.91999999999999"/>
  </r>
  <r>
    <x v="0"/>
    <x v="0"/>
    <x v="0"/>
    <x v="0"/>
    <x v="1"/>
    <s v="DK2_Large"/>
    <x v="1"/>
    <x v="1"/>
    <x v="13"/>
    <x v="0"/>
    <x v="8"/>
    <n v="-0.11333333333333299"/>
    <n v="-41.366666666666703"/>
    <n v="-148.91999999999999"/>
  </r>
  <r>
    <x v="0"/>
    <x v="0"/>
    <x v="0"/>
    <x v="0"/>
    <x v="1"/>
    <s v="DK2_Large"/>
    <x v="1"/>
    <x v="1"/>
    <x v="13"/>
    <x v="0"/>
    <x v="9"/>
    <n v="-0.11333333333333299"/>
    <n v="-41.366666666666703"/>
    <n v="-148.91999999999999"/>
  </r>
  <r>
    <x v="0"/>
    <x v="0"/>
    <x v="0"/>
    <x v="0"/>
    <x v="1"/>
    <s v="DK2_Large"/>
    <x v="1"/>
    <x v="1"/>
    <x v="13"/>
    <x v="0"/>
    <x v="10"/>
    <n v="-0.11333333333333299"/>
    <n v="-41.366666666666703"/>
    <n v="-148.91999999999999"/>
  </r>
  <r>
    <x v="0"/>
    <x v="0"/>
    <x v="0"/>
    <x v="0"/>
    <x v="1"/>
    <s v="DK2_Large"/>
    <x v="1"/>
    <x v="1"/>
    <x v="13"/>
    <x v="0"/>
    <x v="11"/>
    <n v="-0.11333333333333299"/>
    <n v="-41.366666666666703"/>
    <n v="-148.91999999999999"/>
  </r>
  <r>
    <x v="0"/>
    <x v="0"/>
    <x v="0"/>
    <x v="0"/>
    <x v="1"/>
    <s v="DK2_Large"/>
    <x v="1"/>
    <x v="1"/>
    <x v="13"/>
    <x v="0"/>
    <x v="12"/>
    <n v="-0.11333333333333299"/>
    <n v="-41.366666666666703"/>
    <n v="-148.91999999999999"/>
  </r>
  <r>
    <x v="0"/>
    <x v="0"/>
    <x v="0"/>
    <x v="0"/>
    <x v="1"/>
    <s v="DK2_Large"/>
    <x v="1"/>
    <x v="1"/>
    <x v="13"/>
    <x v="0"/>
    <x v="13"/>
    <n v="-0.11333333333333299"/>
    <n v="-41.366666666666703"/>
    <n v="-148.91999999999999"/>
  </r>
  <r>
    <x v="0"/>
    <x v="0"/>
    <x v="0"/>
    <x v="0"/>
    <x v="1"/>
    <s v="DK2_Large"/>
    <x v="1"/>
    <x v="1"/>
    <x v="13"/>
    <x v="0"/>
    <x v="14"/>
    <n v="-0.11333333333333299"/>
    <n v="-41.366666666666703"/>
    <n v="-148.91999999999999"/>
  </r>
  <r>
    <x v="0"/>
    <x v="0"/>
    <x v="0"/>
    <x v="0"/>
    <x v="1"/>
    <s v="DK2_Large"/>
    <x v="1"/>
    <x v="1"/>
    <x v="13"/>
    <x v="0"/>
    <x v="15"/>
    <n v="-0.11333333333333299"/>
    <n v="-41.366666666666703"/>
    <n v="-148.91999999999999"/>
  </r>
  <r>
    <x v="0"/>
    <x v="0"/>
    <x v="0"/>
    <x v="0"/>
    <x v="1"/>
    <s v="DK2_Large"/>
    <x v="1"/>
    <x v="1"/>
    <x v="13"/>
    <x v="0"/>
    <x v="16"/>
    <n v="-0.11333333333333299"/>
    <n v="-41.366666666666703"/>
    <n v="-148.91999999999999"/>
  </r>
  <r>
    <x v="0"/>
    <x v="0"/>
    <x v="0"/>
    <x v="0"/>
    <x v="1"/>
    <s v="DK2_Large"/>
    <x v="1"/>
    <x v="1"/>
    <x v="13"/>
    <x v="0"/>
    <x v="17"/>
    <n v="-0.11333333333333299"/>
    <n v="-41.366666666666703"/>
    <n v="-148.91999999999999"/>
  </r>
  <r>
    <x v="0"/>
    <x v="0"/>
    <x v="0"/>
    <x v="0"/>
    <x v="1"/>
    <s v="DK2_Large"/>
    <x v="1"/>
    <x v="1"/>
    <x v="13"/>
    <x v="0"/>
    <x v="18"/>
    <n v="-0.11333333333333299"/>
    <n v="-41.366666666666703"/>
    <n v="-148.91999999999999"/>
  </r>
  <r>
    <x v="0"/>
    <x v="0"/>
    <x v="0"/>
    <x v="0"/>
    <x v="1"/>
    <s v="DK2_Large"/>
    <x v="1"/>
    <x v="1"/>
    <x v="13"/>
    <x v="0"/>
    <x v="19"/>
    <n v="-0.11333333333333299"/>
    <n v="-41.366666666666703"/>
    <n v="-148.91999999999999"/>
  </r>
  <r>
    <x v="0"/>
    <x v="0"/>
    <x v="0"/>
    <x v="0"/>
    <x v="1"/>
    <s v="DK2_Large"/>
    <x v="1"/>
    <x v="1"/>
    <x v="13"/>
    <x v="0"/>
    <x v="20"/>
    <n v="-0.11333333333333299"/>
    <n v="-41.366666666666703"/>
    <n v="-148.91999999999999"/>
  </r>
  <r>
    <x v="0"/>
    <x v="0"/>
    <x v="0"/>
    <x v="0"/>
    <x v="1"/>
    <s v="DK2_Large"/>
    <x v="1"/>
    <x v="1"/>
    <x v="13"/>
    <x v="0"/>
    <x v="21"/>
    <n v="-0.11333333333333299"/>
    <n v="-41.366666666666703"/>
    <n v="-148.91999999999999"/>
  </r>
  <r>
    <x v="0"/>
    <x v="0"/>
    <x v="0"/>
    <x v="0"/>
    <x v="1"/>
    <s v="DK2_Large"/>
    <x v="1"/>
    <x v="1"/>
    <x v="13"/>
    <x v="0"/>
    <x v="22"/>
    <n v="-0.11333333333333299"/>
    <n v="-41.366666666666703"/>
    <n v="-148.91999999999999"/>
  </r>
  <r>
    <x v="0"/>
    <x v="0"/>
    <x v="0"/>
    <x v="0"/>
    <x v="1"/>
    <s v="DK2_Large"/>
    <x v="1"/>
    <x v="1"/>
    <x v="13"/>
    <x v="0"/>
    <x v="23"/>
    <n v="-0.11333333333333299"/>
    <n v="-41.366666666666703"/>
    <n v="-148.91999999999999"/>
  </r>
  <r>
    <x v="0"/>
    <x v="0"/>
    <x v="0"/>
    <x v="0"/>
    <x v="1"/>
    <s v="DK2_Large"/>
    <x v="2"/>
    <x v="2"/>
    <x v="32"/>
    <x v="0"/>
    <x v="3"/>
    <n v="7.1644102716191203"/>
    <n v="2615.0097491409801"/>
    <n v="9414.0350969075298"/>
  </r>
  <r>
    <x v="0"/>
    <x v="0"/>
    <x v="0"/>
    <x v="0"/>
    <x v="1"/>
    <s v="DK2_Large"/>
    <x v="2"/>
    <x v="2"/>
    <x v="32"/>
    <x v="0"/>
    <x v="4"/>
    <n v="28.5"/>
    <n v="10402.5"/>
    <n v="37449"/>
  </r>
  <r>
    <x v="0"/>
    <x v="0"/>
    <x v="0"/>
    <x v="0"/>
    <x v="1"/>
    <s v="DK2_Large"/>
    <x v="2"/>
    <x v="2"/>
    <x v="32"/>
    <x v="0"/>
    <x v="5"/>
    <n v="28.5"/>
    <n v="10402.5"/>
    <n v="37449"/>
  </r>
  <r>
    <x v="0"/>
    <x v="0"/>
    <x v="0"/>
    <x v="0"/>
    <x v="1"/>
    <s v="DK2_Large"/>
    <x v="2"/>
    <x v="2"/>
    <x v="32"/>
    <x v="0"/>
    <x v="6"/>
    <n v="28.5"/>
    <n v="10402.5"/>
    <n v="37449"/>
  </r>
  <r>
    <x v="0"/>
    <x v="0"/>
    <x v="0"/>
    <x v="0"/>
    <x v="1"/>
    <s v="DK2_Large"/>
    <x v="2"/>
    <x v="2"/>
    <x v="32"/>
    <x v="0"/>
    <x v="7"/>
    <n v="28.5"/>
    <n v="10402.5"/>
    <n v="37449"/>
  </r>
  <r>
    <x v="0"/>
    <x v="0"/>
    <x v="0"/>
    <x v="0"/>
    <x v="1"/>
    <s v="DK2_Large"/>
    <x v="2"/>
    <x v="2"/>
    <x v="32"/>
    <x v="0"/>
    <x v="8"/>
    <n v="28.5"/>
    <n v="10402.5"/>
    <n v="37449"/>
  </r>
  <r>
    <x v="0"/>
    <x v="0"/>
    <x v="0"/>
    <x v="0"/>
    <x v="1"/>
    <s v="DK2_Large"/>
    <x v="2"/>
    <x v="2"/>
    <x v="32"/>
    <x v="0"/>
    <x v="9"/>
    <n v="28.5"/>
    <n v="10402.5"/>
    <n v="37449"/>
  </r>
  <r>
    <x v="0"/>
    <x v="0"/>
    <x v="0"/>
    <x v="0"/>
    <x v="1"/>
    <s v="DK2_Large"/>
    <x v="2"/>
    <x v="2"/>
    <x v="32"/>
    <x v="0"/>
    <x v="10"/>
    <n v="28.5"/>
    <n v="10402.5"/>
    <n v="37449"/>
  </r>
  <r>
    <x v="0"/>
    <x v="0"/>
    <x v="0"/>
    <x v="0"/>
    <x v="1"/>
    <s v="DK2_Large"/>
    <x v="2"/>
    <x v="2"/>
    <x v="32"/>
    <x v="0"/>
    <x v="11"/>
    <n v="21.439232073058399"/>
    <n v="7825.3197066663097"/>
    <n v="28171.150943998698"/>
  </r>
  <r>
    <x v="0"/>
    <x v="0"/>
    <x v="0"/>
    <x v="0"/>
    <x v="1"/>
    <s v="DK2_Large"/>
    <x v="2"/>
    <x v="2"/>
    <x v="32"/>
    <x v="0"/>
    <x v="12"/>
    <n v="7.1644102716191203"/>
    <n v="2615.0097491409801"/>
    <n v="9414.0350969075298"/>
  </r>
  <r>
    <x v="0"/>
    <x v="0"/>
    <x v="0"/>
    <x v="0"/>
    <x v="1"/>
    <s v="DK2_Large"/>
    <x v="2"/>
    <x v="2"/>
    <x v="32"/>
    <x v="0"/>
    <x v="13"/>
    <n v="4.3094459113313004"/>
    <n v="1572.94775763592"/>
    <n v="5662.6119274893299"/>
  </r>
  <r>
    <x v="0"/>
    <x v="0"/>
    <x v="0"/>
    <x v="0"/>
    <x v="1"/>
    <s v="DK2_Large"/>
    <x v="2"/>
    <x v="2"/>
    <x v="32"/>
    <x v="0"/>
    <x v="15"/>
    <n v="4.3094459113313004"/>
    <n v="1572.94775763592"/>
    <n v="5662.6119274893299"/>
  </r>
  <r>
    <x v="0"/>
    <x v="0"/>
    <x v="0"/>
    <x v="0"/>
    <x v="1"/>
    <s v="DK2_Large"/>
    <x v="2"/>
    <x v="2"/>
    <x v="32"/>
    <x v="0"/>
    <x v="16"/>
    <n v="26.970725521116101"/>
    <n v="9844.3148152073609"/>
    <n v="35439.533334746498"/>
  </r>
  <r>
    <x v="0"/>
    <x v="0"/>
    <x v="0"/>
    <x v="0"/>
    <x v="1"/>
    <s v="DK2_Large"/>
    <x v="2"/>
    <x v="2"/>
    <x v="32"/>
    <x v="0"/>
    <x v="17"/>
    <n v="28.5"/>
    <n v="10402.5"/>
    <n v="37449"/>
  </r>
  <r>
    <x v="0"/>
    <x v="0"/>
    <x v="0"/>
    <x v="0"/>
    <x v="1"/>
    <s v="DK2_Large"/>
    <x v="2"/>
    <x v="2"/>
    <x v="32"/>
    <x v="0"/>
    <x v="18"/>
    <n v="28.5"/>
    <n v="10402.5"/>
    <n v="37449"/>
  </r>
  <r>
    <x v="0"/>
    <x v="0"/>
    <x v="0"/>
    <x v="0"/>
    <x v="1"/>
    <s v="DK2_Large"/>
    <x v="2"/>
    <x v="2"/>
    <x v="32"/>
    <x v="0"/>
    <x v="19"/>
    <n v="28.5"/>
    <n v="10402.5"/>
    <n v="37449"/>
  </r>
  <r>
    <x v="0"/>
    <x v="0"/>
    <x v="0"/>
    <x v="0"/>
    <x v="1"/>
    <s v="DK2_Large"/>
    <x v="2"/>
    <x v="2"/>
    <x v="32"/>
    <x v="0"/>
    <x v="20"/>
    <n v="28.5"/>
    <n v="10402.5"/>
    <n v="37449"/>
  </r>
  <r>
    <x v="0"/>
    <x v="0"/>
    <x v="0"/>
    <x v="0"/>
    <x v="1"/>
    <s v="DK2_Large"/>
    <x v="2"/>
    <x v="2"/>
    <x v="32"/>
    <x v="0"/>
    <x v="21"/>
    <n v="15.729303352482701"/>
    <n v="5741.1957236561702"/>
    <n v="20668.3046051622"/>
  </r>
  <r>
    <x v="0"/>
    <x v="0"/>
    <x v="0"/>
    <x v="0"/>
    <x v="1"/>
    <s v="DK2_Large"/>
    <x v="2"/>
    <x v="2"/>
    <x v="32"/>
    <x v="0"/>
    <x v="22"/>
    <n v="1.63291682356143"/>
    <n v="596.01464059992304"/>
    <n v="2145.6527061597199"/>
  </r>
  <r>
    <x v="0"/>
    <x v="0"/>
    <x v="0"/>
    <x v="0"/>
    <x v="1"/>
    <s v="DK2_Large"/>
    <x v="2"/>
    <x v="2"/>
    <x v="4"/>
    <x v="0"/>
    <x v="0"/>
    <n v="26.3580950221222"/>
    <n v="9620.7046830746094"/>
    <n v="34634.536859068598"/>
  </r>
  <r>
    <x v="0"/>
    <x v="0"/>
    <x v="0"/>
    <x v="0"/>
    <x v="1"/>
    <s v="DK2_Large"/>
    <x v="2"/>
    <x v="2"/>
    <x v="4"/>
    <x v="0"/>
    <x v="1"/>
    <n v="26.3580950221222"/>
    <n v="9620.7046830746094"/>
    <n v="34634.536859068598"/>
  </r>
  <r>
    <x v="0"/>
    <x v="0"/>
    <x v="0"/>
    <x v="0"/>
    <x v="1"/>
    <s v="DK2_Large"/>
    <x v="2"/>
    <x v="2"/>
    <x v="4"/>
    <x v="0"/>
    <x v="2"/>
    <n v="29.213059382410002"/>
    <n v="10662.7666745797"/>
    <n v="38385.960028486799"/>
  </r>
  <r>
    <x v="0"/>
    <x v="0"/>
    <x v="0"/>
    <x v="0"/>
    <x v="1"/>
    <s v="DK2_Large"/>
    <x v="2"/>
    <x v="2"/>
    <x v="4"/>
    <x v="0"/>
    <x v="3"/>
    <n v="39"/>
    <n v="14235"/>
    <n v="51246"/>
  </r>
  <r>
    <x v="0"/>
    <x v="0"/>
    <x v="0"/>
    <x v="0"/>
    <x v="1"/>
    <s v="DK2_Large"/>
    <x v="2"/>
    <x v="2"/>
    <x v="4"/>
    <x v="0"/>
    <x v="4"/>
    <n v="39"/>
    <n v="14235"/>
    <n v="51246"/>
  </r>
  <r>
    <x v="0"/>
    <x v="0"/>
    <x v="0"/>
    <x v="0"/>
    <x v="1"/>
    <s v="DK2_Large"/>
    <x v="2"/>
    <x v="2"/>
    <x v="4"/>
    <x v="0"/>
    <x v="5"/>
    <n v="39"/>
    <n v="14235"/>
    <n v="51246"/>
  </r>
  <r>
    <x v="0"/>
    <x v="0"/>
    <x v="0"/>
    <x v="0"/>
    <x v="1"/>
    <s v="DK2_Large"/>
    <x v="2"/>
    <x v="2"/>
    <x v="4"/>
    <x v="0"/>
    <x v="6"/>
    <n v="39"/>
    <n v="14235"/>
    <n v="51246"/>
  </r>
  <r>
    <x v="0"/>
    <x v="0"/>
    <x v="0"/>
    <x v="0"/>
    <x v="1"/>
    <s v="DK2_Large"/>
    <x v="2"/>
    <x v="2"/>
    <x v="4"/>
    <x v="0"/>
    <x v="7"/>
    <n v="39"/>
    <n v="14235"/>
    <n v="51246"/>
  </r>
  <r>
    <x v="0"/>
    <x v="0"/>
    <x v="0"/>
    <x v="0"/>
    <x v="1"/>
    <s v="DK2_Large"/>
    <x v="2"/>
    <x v="2"/>
    <x v="4"/>
    <x v="0"/>
    <x v="8"/>
    <n v="39"/>
    <n v="14235"/>
    <n v="51246"/>
  </r>
  <r>
    <x v="0"/>
    <x v="0"/>
    <x v="0"/>
    <x v="0"/>
    <x v="1"/>
    <s v="DK2_Large"/>
    <x v="2"/>
    <x v="2"/>
    <x v="4"/>
    <x v="0"/>
    <x v="9"/>
    <n v="39"/>
    <n v="14235"/>
    <n v="51246"/>
  </r>
  <r>
    <x v="0"/>
    <x v="0"/>
    <x v="0"/>
    <x v="0"/>
    <x v="1"/>
    <s v="DK2_Large"/>
    <x v="2"/>
    <x v="2"/>
    <x v="4"/>
    <x v="0"/>
    <x v="10"/>
    <n v="39"/>
    <n v="14235"/>
    <n v="51246"/>
  </r>
  <r>
    <x v="0"/>
    <x v="0"/>
    <x v="0"/>
    <x v="0"/>
    <x v="1"/>
    <s v="DK2_Large"/>
    <x v="2"/>
    <x v="2"/>
    <x v="4"/>
    <x v="0"/>
    <x v="11"/>
    <n v="39"/>
    <n v="14235"/>
    <n v="51246"/>
  </r>
  <r>
    <x v="0"/>
    <x v="0"/>
    <x v="0"/>
    <x v="0"/>
    <x v="1"/>
    <s v="DK2_Large"/>
    <x v="2"/>
    <x v="2"/>
    <x v="4"/>
    <x v="0"/>
    <x v="12"/>
    <n v="39"/>
    <n v="14235"/>
    <n v="51246"/>
  </r>
  <r>
    <x v="0"/>
    <x v="0"/>
    <x v="0"/>
    <x v="0"/>
    <x v="1"/>
    <s v="DK2_Large"/>
    <x v="2"/>
    <x v="2"/>
    <x v="4"/>
    <x v="0"/>
    <x v="13"/>
    <n v="39"/>
    <n v="14235"/>
    <n v="51246"/>
  </r>
  <r>
    <x v="0"/>
    <x v="0"/>
    <x v="0"/>
    <x v="0"/>
    <x v="1"/>
    <s v="DK2_Large"/>
    <x v="2"/>
    <x v="2"/>
    <x v="4"/>
    <x v="0"/>
    <x v="14"/>
    <n v="37.7779524632736"/>
    <n v="13788.952649094899"/>
    <n v="49640.229536741499"/>
  </r>
  <r>
    <x v="0"/>
    <x v="0"/>
    <x v="0"/>
    <x v="0"/>
    <x v="1"/>
    <s v="DK2_Large"/>
    <x v="2"/>
    <x v="2"/>
    <x v="4"/>
    <x v="0"/>
    <x v="15"/>
    <n v="39"/>
    <n v="14235"/>
    <n v="51246"/>
  </r>
  <r>
    <x v="0"/>
    <x v="0"/>
    <x v="0"/>
    <x v="0"/>
    <x v="1"/>
    <s v="DK2_Large"/>
    <x v="2"/>
    <x v="2"/>
    <x v="4"/>
    <x v="0"/>
    <x v="16"/>
    <n v="39"/>
    <n v="14235"/>
    <n v="51246"/>
  </r>
  <r>
    <x v="0"/>
    <x v="0"/>
    <x v="0"/>
    <x v="0"/>
    <x v="1"/>
    <s v="DK2_Large"/>
    <x v="2"/>
    <x v="2"/>
    <x v="4"/>
    <x v="0"/>
    <x v="17"/>
    <n v="39"/>
    <n v="14235"/>
    <n v="51246"/>
  </r>
  <r>
    <x v="0"/>
    <x v="0"/>
    <x v="0"/>
    <x v="0"/>
    <x v="1"/>
    <s v="DK2_Large"/>
    <x v="2"/>
    <x v="2"/>
    <x v="4"/>
    <x v="0"/>
    <x v="18"/>
    <n v="39"/>
    <n v="14235"/>
    <n v="51246"/>
  </r>
  <r>
    <x v="0"/>
    <x v="0"/>
    <x v="0"/>
    <x v="0"/>
    <x v="1"/>
    <s v="DK2_Large"/>
    <x v="2"/>
    <x v="2"/>
    <x v="4"/>
    <x v="0"/>
    <x v="19"/>
    <n v="39"/>
    <n v="14235"/>
    <n v="51246"/>
  </r>
  <r>
    <x v="0"/>
    <x v="0"/>
    <x v="0"/>
    <x v="0"/>
    <x v="1"/>
    <s v="DK2_Large"/>
    <x v="2"/>
    <x v="2"/>
    <x v="4"/>
    <x v="0"/>
    <x v="20"/>
    <n v="39"/>
    <n v="14235"/>
    <n v="51246"/>
  </r>
  <r>
    <x v="0"/>
    <x v="0"/>
    <x v="0"/>
    <x v="0"/>
    <x v="1"/>
    <s v="DK2_Large"/>
    <x v="2"/>
    <x v="2"/>
    <x v="4"/>
    <x v="0"/>
    <x v="21"/>
    <n v="39"/>
    <n v="14235"/>
    <n v="51246"/>
  </r>
  <r>
    <x v="0"/>
    <x v="0"/>
    <x v="0"/>
    <x v="0"/>
    <x v="1"/>
    <s v="DK2_Large"/>
    <x v="2"/>
    <x v="2"/>
    <x v="4"/>
    <x v="0"/>
    <x v="22"/>
    <n v="39"/>
    <n v="14235"/>
    <n v="51246"/>
  </r>
  <r>
    <x v="0"/>
    <x v="0"/>
    <x v="0"/>
    <x v="0"/>
    <x v="1"/>
    <s v="DK2_Large"/>
    <x v="2"/>
    <x v="2"/>
    <x v="4"/>
    <x v="0"/>
    <x v="23"/>
    <n v="26.3580950221222"/>
    <n v="9620.7046830746094"/>
    <n v="34634.536859068598"/>
  </r>
  <r>
    <x v="0"/>
    <x v="0"/>
    <x v="0"/>
    <x v="0"/>
    <x v="1"/>
    <s v="DK2_Large"/>
    <x v="2"/>
    <x v="2"/>
    <x v="5"/>
    <x v="0"/>
    <x v="0"/>
    <n v="13.7"/>
    <n v="5000.5"/>
    <n v="18001.8"/>
  </r>
  <r>
    <x v="0"/>
    <x v="0"/>
    <x v="0"/>
    <x v="0"/>
    <x v="1"/>
    <s v="DK2_Large"/>
    <x v="2"/>
    <x v="2"/>
    <x v="5"/>
    <x v="0"/>
    <x v="1"/>
    <n v="13.7"/>
    <n v="5000.5"/>
    <n v="18001.8"/>
  </r>
  <r>
    <x v="0"/>
    <x v="0"/>
    <x v="0"/>
    <x v="0"/>
    <x v="1"/>
    <s v="DK2_Large"/>
    <x v="2"/>
    <x v="2"/>
    <x v="5"/>
    <x v="0"/>
    <x v="2"/>
    <n v="13.7"/>
    <n v="5000.5"/>
    <n v="18001.8"/>
  </r>
  <r>
    <x v="0"/>
    <x v="0"/>
    <x v="0"/>
    <x v="0"/>
    <x v="1"/>
    <s v="DK2_Large"/>
    <x v="2"/>
    <x v="2"/>
    <x v="5"/>
    <x v="0"/>
    <x v="3"/>
    <n v="13.7"/>
    <n v="5000.5"/>
    <n v="18001.8"/>
  </r>
  <r>
    <x v="0"/>
    <x v="0"/>
    <x v="0"/>
    <x v="0"/>
    <x v="1"/>
    <s v="DK2_Large"/>
    <x v="2"/>
    <x v="2"/>
    <x v="5"/>
    <x v="0"/>
    <x v="4"/>
    <n v="13.7"/>
    <n v="5000.5"/>
    <n v="18001.8"/>
  </r>
  <r>
    <x v="0"/>
    <x v="0"/>
    <x v="0"/>
    <x v="0"/>
    <x v="1"/>
    <s v="DK2_Large"/>
    <x v="2"/>
    <x v="2"/>
    <x v="5"/>
    <x v="0"/>
    <x v="5"/>
    <n v="13.7"/>
    <n v="5000.5"/>
    <n v="18001.8"/>
  </r>
  <r>
    <x v="0"/>
    <x v="0"/>
    <x v="0"/>
    <x v="0"/>
    <x v="1"/>
    <s v="DK2_Large"/>
    <x v="2"/>
    <x v="2"/>
    <x v="5"/>
    <x v="0"/>
    <x v="6"/>
    <n v="13.7"/>
    <n v="5000.5"/>
    <n v="18001.8"/>
  </r>
  <r>
    <x v="0"/>
    <x v="0"/>
    <x v="0"/>
    <x v="0"/>
    <x v="1"/>
    <s v="DK2_Large"/>
    <x v="2"/>
    <x v="2"/>
    <x v="5"/>
    <x v="0"/>
    <x v="7"/>
    <n v="13.7"/>
    <n v="5000.5"/>
    <n v="18001.8"/>
  </r>
  <r>
    <x v="0"/>
    <x v="0"/>
    <x v="0"/>
    <x v="0"/>
    <x v="1"/>
    <s v="DK2_Large"/>
    <x v="2"/>
    <x v="2"/>
    <x v="5"/>
    <x v="0"/>
    <x v="8"/>
    <n v="13.7"/>
    <n v="5000.5"/>
    <n v="18001.8"/>
  </r>
  <r>
    <x v="0"/>
    <x v="0"/>
    <x v="0"/>
    <x v="0"/>
    <x v="1"/>
    <s v="DK2_Large"/>
    <x v="2"/>
    <x v="2"/>
    <x v="5"/>
    <x v="0"/>
    <x v="9"/>
    <n v="13.7"/>
    <n v="5000.5"/>
    <n v="18001.8"/>
  </r>
  <r>
    <x v="0"/>
    <x v="0"/>
    <x v="0"/>
    <x v="0"/>
    <x v="1"/>
    <s v="DK2_Large"/>
    <x v="2"/>
    <x v="2"/>
    <x v="5"/>
    <x v="0"/>
    <x v="10"/>
    <n v="13.7"/>
    <n v="5000.5"/>
    <n v="18001.8"/>
  </r>
  <r>
    <x v="0"/>
    <x v="0"/>
    <x v="0"/>
    <x v="0"/>
    <x v="1"/>
    <s v="DK2_Large"/>
    <x v="2"/>
    <x v="2"/>
    <x v="5"/>
    <x v="0"/>
    <x v="11"/>
    <n v="13.7"/>
    <n v="5000.5"/>
    <n v="18001.8"/>
  </r>
  <r>
    <x v="0"/>
    <x v="0"/>
    <x v="0"/>
    <x v="0"/>
    <x v="1"/>
    <s v="DK2_Large"/>
    <x v="2"/>
    <x v="2"/>
    <x v="5"/>
    <x v="0"/>
    <x v="12"/>
    <n v="13.7"/>
    <n v="5000.5"/>
    <n v="18001.8"/>
  </r>
  <r>
    <x v="0"/>
    <x v="0"/>
    <x v="0"/>
    <x v="0"/>
    <x v="1"/>
    <s v="DK2_Large"/>
    <x v="2"/>
    <x v="2"/>
    <x v="5"/>
    <x v="0"/>
    <x v="13"/>
    <n v="13.7"/>
    <n v="5000.5"/>
    <n v="18001.8"/>
  </r>
  <r>
    <x v="0"/>
    <x v="0"/>
    <x v="0"/>
    <x v="0"/>
    <x v="1"/>
    <s v="DK2_Large"/>
    <x v="2"/>
    <x v="2"/>
    <x v="5"/>
    <x v="0"/>
    <x v="14"/>
    <n v="13.7"/>
    <n v="5000.5"/>
    <n v="18001.8"/>
  </r>
  <r>
    <x v="0"/>
    <x v="0"/>
    <x v="0"/>
    <x v="0"/>
    <x v="1"/>
    <s v="DK2_Large"/>
    <x v="2"/>
    <x v="2"/>
    <x v="5"/>
    <x v="0"/>
    <x v="15"/>
    <n v="13.7"/>
    <n v="5000.5"/>
    <n v="18001.8"/>
  </r>
  <r>
    <x v="0"/>
    <x v="0"/>
    <x v="0"/>
    <x v="0"/>
    <x v="1"/>
    <s v="DK2_Large"/>
    <x v="2"/>
    <x v="2"/>
    <x v="5"/>
    <x v="0"/>
    <x v="16"/>
    <n v="13.7"/>
    <n v="5000.5"/>
    <n v="18001.8"/>
  </r>
  <r>
    <x v="0"/>
    <x v="0"/>
    <x v="0"/>
    <x v="0"/>
    <x v="1"/>
    <s v="DK2_Large"/>
    <x v="2"/>
    <x v="2"/>
    <x v="5"/>
    <x v="0"/>
    <x v="17"/>
    <n v="13.7"/>
    <n v="5000.5"/>
    <n v="18001.8"/>
  </r>
  <r>
    <x v="0"/>
    <x v="0"/>
    <x v="0"/>
    <x v="0"/>
    <x v="1"/>
    <s v="DK2_Large"/>
    <x v="2"/>
    <x v="2"/>
    <x v="5"/>
    <x v="0"/>
    <x v="18"/>
    <n v="13.7"/>
    <n v="5000.5"/>
    <n v="18001.8"/>
  </r>
  <r>
    <x v="0"/>
    <x v="0"/>
    <x v="0"/>
    <x v="0"/>
    <x v="1"/>
    <s v="DK2_Large"/>
    <x v="2"/>
    <x v="2"/>
    <x v="5"/>
    <x v="0"/>
    <x v="19"/>
    <n v="13.7"/>
    <n v="5000.5"/>
    <n v="18001.8"/>
  </r>
  <r>
    <x v="0"/>
    <x v="0"/>
    <x v="0"/>
    <x v="0"/>
    <x v="1"/>
    <s v="DK2_Large"/>
    <x v="2"/>
    <x v="2"/>
    <x v="5"/>
    <x v="0"/>
    <x v="20"/>
    <n v="13.7"/>
    <n v="5000.5"/>
    <n v="18001.8"/>
  </r>
  <r>
    <x v="0"/>
    <x v="0"/>
    <x v="0"/>
    <x v="0"/>
    <x v="1"/>
    <s v="DK2_Large"/>
    <x v="2"/>
    <x v="2"/>
    <x v="5"/>
    <x v="0"/>
    <x v="21"/>
    <n v="13.7"/>
    <n v="5000.5"/>
    <n v="18001.8"/>
  </r>
  <r>
    <x v="0"/>
    <x v="0"/>
    <x v="0"/>
    <x v="0"/>
    <x v="1"/>
    <s v="DK2_Large"/>
    <x v="2"/>
    <x v="2"/>
    <x v="5"/>
    <x v="0"/>
    <x v="22"/>
    <n v="13.7"/>
    <n v="5000.5"/>
    <n v="18001.8"/>
  </r>
  <r>
    <x v="0"/>
    <x v="0"/>
    <x v="0"/>
    <x v="0"/>
    <x v="1"/>
    <s v="DK2_Large"/>
    <x v="2"/>
    <x v="2"/>
    <x v="5"/>
    <x v="0"/>
    <x v="23"/>
    <n v="13.7"/>
    <n v="5000.5"/>
    <n v="18001.8"/>
  </r>
  <r>
    <x v="0"/>
    <x v="0"/>
    <x v="0"/>
    <x v="0"/>
    <x v="1"/>
    <s v="DK2_Large"/>
    <x v="2"/>
    <x v="2"/>
    <x v="33"/>
    <x v="0"/>
    <x v="0"/>
    <n v="19.399999999999999"/>
    <n v="7081"/>
    <n v="25491.599999999999"/>
  </r>
  <r>
    <x v="0"/>
    <x v="0"/>
    <x v="0"/>
    <x v="0"/>
    <x v="1"/>
    <s v="DK2_Large"/>
    <x v="2"/>
    <x v="2"/>
    <x v="33"/>
    <x v="0"/>
    <x v="1"/>
    <n v="19.399999999999999"/>
    <n v="7081"/>
    <n v="25491.599999999999"/>
  </r>
  <r>
    <x v="0"/>
    <x v="0"/>
    <x v="0"/>
    <x v="0"/>
    <x v="1"/>
    <s v="DK2_Large"/>
    <x v="2"/>
    <x v="2"/>
    <x v="33"/>
    <x v="0"/>
    <x v="2"/>
    <n v="19.399999999999999"/>
    <n v="7081"/>
    <n v="25491.599999999999"/>
  </r>
  <r>
    <x v="0"/>
    <x v="0"/>
    <x v="0"/>
    <x v="0"/>
    <x v="1"/>
    <s v="DK2_Large"/>
    <x v="2"/>
    <x v="2"/>
    <x v="33"/>
    <x v="0"/>
    <x v="3"/>
    <n v="19.399999999999999"/>
    <n v="7081"/>
    <n v="25491.599999999999"/>
  </r>
  <r>
    <x v="0"/>
    <x v="0"/>
    <x v="0"/>
    <x v="0"/>
    <x v="1"/>
    <s v="DK2_Large"/>
    <x v="2"/>
    <x v="2"/>
    <x v="33"/>
    <x v="0"/>
    <x v="4"/>
    <n v="19.399999999999999"/>
    <n v="7081"/>
    <n v="25491.599999999999"/>
  </r>
  <r>
    <x v="0"/>
    <x v="0"/>
    <x v="0"/>
    <x v="0"/>
    <x v="1"/>
    <s v="DK2_Large"/>
    <x v="2"/>
    <x v="2"/>
    <x v="33"/>
    <x v="0"/>
    <x v="5"/>
    <n v="19.399999999999999"/>
    <n v="7081"/>
    <n v="25491.599999999999"/>
  </r>
  <r>
    <x v="0"/>
    <x v="0"/>
    <x v="0"/>
    <x v="0"/>
    <x v="1"/>
    <s v="DK2_Large"/>
    <x v="2"/>
    <x v="2"/>
    <x v="33"/>
    <x v="0"/>
    <x v="6"/>
    <n v="19.399999999999999"/>
    <n v="7081"/>
    <n v="25491.599999999999"/>
  </r>
  <r>
    <x v="0"/>
    <x v="0"/>
    <x v="0"/>
    <x v="0"/>
    <x v="1"/>
    <s v="DK2_Large"/>
    <x v="2"/>
    <x v="2"/>
    <x v="33"/>
    <x v="0"/>
    <x v="7"/>
    <n v="19.399999999999999"/>
    <n v="7081"/>
    <n v="25491.599999999999"/>
  </r>
  <r>
    <x v="0"/>
    <x v="0"/>
    <x v="0"/>
    <x v="0"/>
    <x v="1"/>
    <s v="DK2_Large"/>
    <x v="2"/>
    <x v="2"/>
    <x v="33"/>
    <x v="0"/>
    <x v="8"/>
    <n v="19.399999999999999"/>
    <n v="7081"/>
    <n v="25491.599999999999"/>
  </r>
  <r>
    <x v="0"/>
    <x v="0"/>
    <x v="0"/>
    <x v="0"/>
    <x v="1"/>
    <s v="DK2_Large"/>
    <x v="2"/>
    <x v="2"/>
    <x v="33"/>
    <x v="0"/>
    <x v="9"/>
    <n v="19.399999999999999"/>
    <n v="7081"/>
    <n v="25491.599999999999"/>
  </r>
  <r>
    <x v="0"/>
    <x v="0"/>
    <x v="0"/>
    <x v="0"/>
    <x v="1"/>
    <s v="DK2_Large"/>
    <x v="2"/>
    <x v="2"/>
    <x v="33"/>
    <x v="0"/>
    <x v="10"/>
    <n v="19.399999999999999"/>
    <n v="7081"/>
    <n v="25491.599999999999"/>
  </r>
  <r>
    <x v="0"/>
    <x v="0"/>
    <x v="0"/>
    <x v="0"/>
    <x v="1"/>
    <s v="DK2_Large"/>
    <x v="2"/>
    <x v="2"/>
    <x v="33"/>
    <x v="0"/>
    <x v="11"/>
    <n v="19.399999999999999"/>
    <n v="7081"/>
    <n v="25491.599999999999"/>
  </r>
  <r>
    <x v="0"/>
    <x v="0"/>
    <x v="0"/>
    <x v="0"/>
    <x v="1"/>
    <s v="DK2_Large"/>
    <x v="2"/>
    <x v="2"/>
    <x v="33"/>
    <x v="0"/>
    <x v="12"/>
    <n v="19.399999999999999"/>
    <n v="7081"/>
    <n v="25491.599999999999"/>
  </r>
  <r>
    <x v="0"/>
    <x v="0"/>
    <x v="0"/>
    <x v="0"/>
    <x v="1"/>
    <s v="DK2_Large"/>
    <x v="2"/>
    <x v="2"/>
    <x v="33"/>
    <x v="0"/>
    <x v="13"/>
    <n v="19.399999999999999"/>
    <n v="7081"/>
    <n v="25491.599999999999"/>
  </r>
  <r>
    <x v="0"/>
    <x v="0"/>
    <x v="0"/>
    <x v="0"/>
    <x v="1"/>
    <s v="DK2_Large"/>
    <x v="2"/>
    <x v="2"/>
    <x v="33"/>
    <x v="0"/>
    <x v="14"/>
    <n v="19.399999999999999"/>
    <n v="7081"/>
    <n v="25491.599999999999"/>
  </r>
  <r>
    <x v="0"/>
    <x v="0"/>
    <x v="0"/>
    <x v="0"/>
    <x v="1"/>
    <s v="DK2_Large"/>
    <x v="2"/>
    <x v="2"/>
    <x v="33"/>
    <x v="0"/>
    <x v="15"/>
    <n v="19.399999999999999"/>
    <n v="7081"/>
    <n v="25491.599999999999"/>
  </r>
  <r>
    <x v="0"/>
    <x v="0"/>
    <x v="0"/>
    <x v="0"/>
    <x v="1"/>
    <s v="DK2_Large"/>
    <x v="2"/>
    <x v="2"/>
    <x v="33"/>
    <x v="0"/>
    <x v="16"/>
    <n v="19.399999999999999"/>
    <n v="7081"/>
    <n v="25491.599999999999"/>
  </r>
  <r>
    <x v="0"/>
    <x v="0"/>
    <x v="0"/>
    <x v="0"/>
    <x v="1"/>
    <s v="DK2_Large"/>
    <x v="2"/>
    <x v="2"/>
    <x v="33"/>
    <x v="0"/>
    <x v="17"/>
    <n v="19.399999999999999"/>
    <n v="7081"/>
    <n v="25491.599999999999"/>
  </r>
  <r>
    <x v="0"/>
    <x v="0"/>
    <x v="0"/>
    <x v="0"/>
    <x v="1"/>
    <s v="DK2_Large"/>
    <x v="2"/>
    <x v="2"/>
    <x v="33"/>
    <x v="0"/>
    <x v="18"/>
    <n v="19.399999999999999"/>
    <n v="7081"/>
    <n v="25491.599999999999"/>
  </r>
  <r>
    <x v="0"/>
    <x v="0"/>
    <x v="0"/>
    <x v="0"/>
    <x v="1"/>
    <s v="DK2_Large"/>
    <x v="2"/>
    <x v="2"/>
    <x v="33"/>
    <x v="0"/>
    <x v="19"/>
    <n v="19.399999999999999"/>
    <n v="7081"/>
    <n v="25491.599999999999"/>
  </r>
  <r>
    <x v="0"/>
    <x v="0"/>
    <x v="0"/>
    <x v="0"/>
    <x v="1"/>
    <s v="DK2_Large"/>
    <x v="2"/>
    <x v="2"/>
    <x v="33"/>
    <x v="0"/>
    <x v="20"/>
    <n v="19.399999999999999"/>
    <n v="7081"/>
    <n v="25491.599999999999"/>
  </r>
  <r>
    <x v="0"/>
    <x v="0"/>
    <x v="0"/>
    <x v="0"/>
    <x v="1"/>
    <s v="DK2_Large"/>
    <x v="2"/>
    <x v="2"/>
    <x v="33"/>
    <x v="0"/>
    <x v="21"/>
    <n v="19.399999999999999"/>
    <n v="7081"/>
    <n v="25491.599999999999"/>
  </r>
  <r>
    <x v="0"/>
    <x v="0"/>
    <x v="0"/>
    <x v="0"/>
    <x v="1"/>
    <s v="DK2_Large"/>
    <x v="2"/>
    <x v="2"/>
    <x v="33"/>
    <x v="0"/>
    <x v="22"/>
    <n v="19.399999999999999"/>
    <n v="7081"/>
    <n v="25491.599999999999"/>
  </r>
  <r>
    <x v="0"/>
    <x v="0"/>
    <x v="0"/>
    <x v="0"/>
    <x v="1"/>
    <s v="DK2_Large"/>
    <x v="2"/>
    <x v="2"/>
    <x v="33"/>
    <x v="0"/>
    <x v="23"/>
    <n v="19.399999999999999"/>
    <n v="7081"/>
    <n v="25491.599999999999"/>
  </r>
  <r>
    <x v="0"/>
    <x v="0"/>
    <x v="0"/>
    <x v="0"/>
    <x v="1"/>
    <s v="DK2_Large"/>
    <x v="3"/>
    <x v="2"/>
    <x v="34"/>
    <x v="0"/>
    <x v="0"/>
    <n v="15"/>
    <n v="5475"/>
    <n v="19710"/>
  </r>
  <r>
    <x v="0"/>
    <x v="0"/>
    <x v="0"/>
    <x v="0"/>
    <x v="1"/>
    <s v="DK2_Large"/>
    <x v="3"/>
    <x v="2"/>
    <x v="34"/>
    <x v="0"/>
    <x v="1"/>
    <n v="15"/>
    <n v="5475"/>
    <n v="19710"/>
  </r>
  <r>
    <x v="0"/>
    <x v="0"/>
    <x v="0"/>
    <x v="0"/>
    <x v="1"/>
    <s v="DK2_Large"/>
    <x v="3"/>
    <x v="2"/>
    <x v="34"/>
    <x v="0"/>
    <x v="2"/>
    <n v="15"/>
    <n v="5475"/>
    <n v="19710"/>
  </r>
  <r>
    <x v="0"/>
    <x v="0"/>
    <x v="0"/>
    <x v="0"/>
    <x v="1"/>
    <s v="DK2_Large"/>
    <x v="3"/>
    <x v="2"/>
    <x v="34"/>
    <x v="0"/>
    <x v="3"/>
    <n v="15"/>
    <n v="5475"/>
    <n v="19710"/>
  </r>
  <r>
    <x v="0"/>
    <x v="0"/>
    <x v="0"/>
    <x v="0"/>
    <x v="1"/>
    <s v="DK2_Large"/>
    <x v="3"/>
    <x v="2"/>
    <x v="34"/>
    <x v="0"/>
    <x v="4"/>
    <n v="15"/>
    <n v="5475"/>
    <n v="19710"/>
  </r>
  <r>
    <x v="0"/>
    <x v="0"/>
    <x v="0"/>
    <x v="0"/>
    <x v="1"/>
    <s v="DK2_Large"/>
    <x v="3"/>
    <x v="2"/>
    <x v="34"/>
    <x v="0"/>
    <x v="5"/>
    <n v="15"/>
    <n v="5475"/>
    <n v="19710"/>
  </r>
  <r>
    <x v="0"/>
    <x v="0"/>
    <x v="0"/>
    <x v="0"/>
    <x v="1"/>
    <s v="DK2_Large"/>
    <x v="3"/>
    <x v="2"/>
    <x v="34"/>
    <x v="0"/>
    <x v="6"/>
    <n v="15"/>
    <n v="5475"/>
    <n v="19710"/>
  </r>
  <r>
    <x v="0"/>
    <x v="0"/>
    <x v="0"/>
    <x v="0"/>
    <x v="1"/>
    <s v="DK2_Large"/>
    <x v="3"/>
    <x v="2"/>
    <x v="34"/>
    <x v="0"/>
    <x v="7"/>
    <n v="15"/>
    <n v="5475"/>
    <n v="19710"/>
  </r>
  <r>
    <x v="0"/>
    <x v="0"/>
    <x v="0"/>
    <x v="0"/>
    <x v="1"/>
    <s v="DK2_Large"/>
    <x v="3"/>
    <x v="2"/>
    <x v="34"/>
    <x v="0"/>
    <x v="8"/>
    <n v="15"/>
    <n v="5475"/>
    <n v="19710"/>
  </r>
  <r>
    <x v="0"/>
    <x v="0"/>
    <x v="0"/>
    <x v="0"/>
    <x v="1"/>
    <s v="DK2_Large"/>
    <x v="3"/>
    <x v="2"/>
    <x v="34"/>
    <x v="0"/>
    <x v="9"/>
    <n v="15"/>
    <n v="5475"/>
    <n v="19710"/>
  </r>
  <r>
    <x v="0"/>
    <x v="0"/>
    <x v="0"/>
    <x v="0"/>
    <x v="1"/>
    <s v="DK2_Large"/>
    <x v="3"/>
    <x v="2"/>
    <x v="34"/>
    <x v="0"/>
    <x v="10"/>
    <n v="15"/>
    <n v="5475"/>
    <n v="19710"/>
  </r>
  <r>
    <x v="0"/>
    <x v="0"/>
    <x v="0"/>
    <x v="0"/>
    <x v="1"/>
    <s v="DK2_Large"/>
    <x v="3"/>
    <x v="2"/>
    <x v="34"/>
    <x v="0"/>
    <x v="11"/>
    <n v="15"/>
    <n v="5475"/>
    <n v="19710"/>
  </r>
  <r>
    <x v="0"/>
    <x v="0"/>
    <x v="0"/>
    <x v="0"/>
    <x v="1"/>
    <s v="DK2_Large"/>
    <x v="3"/>
    <x v="2"/>
    <x v="34"/>
    <x v="0"/>
    <x v="12"/>
    <n v="15"/>
    <n v="5475"/>
    <n v="19710"/>
  </r>
  <r>
    <x v="0"/>
    <x v="0"/>
    <x v="0"/>
    <x v="0"/>
    <x v="1"/>
    <s v="DK2_Large"/>
    <x v="3"/>
    <x v="2"/>
    <x v="34"/>
    <x v="0"/>
    <x v="13"/>
    <n v="15"/>
    <n v="5475"/>
    <n v="19710"/>
  </r>
  <r>
    <x v="0"/>
    <x v="0"/>
    <x v="0"/>
    <x v="0"/>
    <x v="1"/>
    <s v="DK2_Large"/>
    <x v="3"/>
    <x v="2"/>
    <x v="34"/>
    <x v="0"/>
    <x v="14"/>
    <n v="15"/>
    <n v="5475"/>
    <n v="19710"/>
  </r>
  <r>
    <x v="0"/>
    <x v="0"/>
    <x v="0"/>
    <x v="0"/>
    <x v="1"/>
    <s v="DK2_Large"/>
    <x v="3"/>
    <x v="2"/>
    <x v="34"/>
    <x v="0"/>
    <x v="15"/>
    <n v="15"/>
    <n v="5475"/>
    <n v="19710"/>
  </r>
  <r>
    <x v="0"/>
    <x v="0"/>
    <x v="0"/>
    <x v="0"/>
    <x v="1"/>
    <s v="DK2_Large"/>
    <x v="3"/>
    <x v="2"/>
    <x v="34"/>
    <x v="0"/>
    <x v="16"/>
    <n v="15"/>
    <n v="5475"/>
    <n v="19710"/>
  </r>
  <r>
    <x v="0"/>
    <x v="0"/>
    <x v="0"/>
    <x v="0"/>
    <x v="1"/>
    <s v="DK2_Large"/>
    <x v="3"/>
    <x v="2"/>
    <x v="34"/>
    <x v="0"/>
    <x v="17"/>
    <n v="15"/>
    <n v="5475"/>
    <n v="19710"/>
  </r>
  <r>
    <x v="0"/>
    <x v="0"/>
    <x v="0"/>
    <x v="0"/>
    <x v="1"/>
    <s v="DK2_Large"/>
    <x v="3"/>
    <x v="2"/>
    <x v="34"/>
    <x v="0"/>
    <x v="18"/>
    <n v="15"/>
    <n v="5475"/>
    <n v="19710"/>
  </r>
  <r>
    <x v="0"/>
    <x v="0"/>
    <x v="0"/>
    <x v="0"/>
    <x v="1"/>
    <s v="DK2_Large"/>
    <x v="3"/>
    <x v="2"/>
    <x v="34"/>
    <x v="0"/>
    <x v="19"/>
    <n v="15"/>
    <n v="5475"/>
    <n v="19710"/>
  </r>
  <r>
    <x v="0"/>
    <x v="0"/>
    <x v="0"/>
    <x v="0"/>
    <x v="1"/>
    <s v="DK2_Large"/>
    <x v="3"/>
    <x v="2"/>
    <x v="34"/>
    <x v="0"/>
    <x v="20"/>
    <n v="15"/>
    <n v="5475"/>
    <n v="19710"/>
  </r>
  <r>
    <x v="0"/>
    <x v="0"/>
    <x v="0"/>
    <x v="0"/>
    <x v="1"/>
    <s v="DK2_Large"/>
    <x v="3"/>
    <x v="2"/>
    <x v="34"/>
    <x v="0"/>
    <x v="21"/>
    <n v="15"/>
    <n v="5475"/>
    <n v="19710"/>
  </r>
  <r>
    <x v="0"/>
    <x v="0"/>
    <x v="0"/>
    <x v="0"/>
    <x v="1"/>
    <s v="DK2_Large"/>
    <x v="3"/>
    <x v="2"/>
    <x v="34"/>
    <x v="0"/>
    <x v="22"/>
    <n v="15"/>
    <n v="5475"/>
    <n v="19710"/>
  </r>
  <r>
    <x v="0"/>
    <x v="0"/>
    <x v="0"/>
    <x v="0"/>
    <x v="1"/>
    <s v="DK2_Large"/>
    <x v="3"/>
    <x v="2"/>
    <x v="34"/>
    <x v="0"/>
    <x v="23"/>
    <n v="15"/>
    <n v="5475"/>
    <n v="19710"/>
  </r>
  <r>
    <x v="0"/>
    <x v="0"/>
    <x v="0"/>
    <x v="0"/>
    <x v="1"/>
    <s v="DK2_MedSmall"/>
    <x v="2"/>
    <x v="2"/>
    <x v="35"/>
    <x v="0"/>
    <x v="6"/>
    <n v="0.82794092591103896"/>
    <n v="302.19843795752899"/>
    <n v="1087.9143766471"/>
  </r>
  <r>
    <x v="0"/>
    <x v="0"/>
    <x v="0"/>
    <x v="0"/>
    <x v="1"/>
    <s v="DK2_MedSmall"/>
    <x v="2"/>
    <x v="2"/>
    <x v="35"/>
    <x v="0"/>
    <x v="7"/>
    <n v="3.15409481571329"/>
    <n v="1151.24460773535"/>
    <n v="4144.4805878472598"/>
  </r>
  <r>
    <x v="0"/>
    <x v="0"/>
    <x v="0"/>
    <x v="0"/>
    <x v="1"/>
    <s v="DK2_MedSmall"/>
    <x v="2"/>
    <x v="2"/>
    <x v="35"/>
    <x v="0"/>
    <x v="8"/>
    <n v="3.7123717492658299"/>
    <n v="1355.0156884820301"/>
    <n v="4878.0564785352999"/>
  </r>
  <r>
    <x v="0"/>
    <x v="0"/>
    <x v="0"/>
    <x v="0"/>
    <x v="1"/>
    <s v="DK2_MedSmall"/>
    <x v="2"/>
    <x v="2"/>
    <x v="35"/>
    <x v="0"/>
    <x v="9"/>
    <n v="4.0048025239838303"/>
    <n v="1461.7529212541001"/>
    <n v="5262.3105165147499"/>
  </r>
  <r>
    <x v="0"/>
    <x v="0"/>
    <x v="0"/>
    <x v="0"/>
    <x v="1"/>
    <s v="DK2_MedSmall"/>
    <x v="2"/>
    <x v="2"/>
    <x v="35"/>
    <x v="0"/>
    <x v="10"/>
    <n v="3.92504867633347"/>
    <n v="1432.64276686172"/>
    <n v="5157.5139607021702"/>
  </r>
  <r>
    <x v="0"/>
    <x v="0"/>
    <x v="0"/>
    <x v="0"/>
    <x v="1"/>
    <s v="DK2_MedSmall"/>
    <x v="2"/>
    <x v="2"/>
    <x v="35"/>
    <x v="0"/>
    <x v="11"/>
    <n v="3.93834098427519"/>
    <n v="1437.49445926045"/>
    <n v="5174.9800533376001"/>
  </r>
  <r>
    <x v="0"/>
    <x v="0"/>
    <x v="0"/>
    <x v="0"/>
    <x v="1"/>
    <s v="DK2_MedSmall"/>
    <x v="2"/>
    <x v="2"/>
    <x v="35"/>
    <x v="0"/>
    <x v="12"/>
    <n v="3.7921255969161898"/>
    <n v="1384.12584287441"/>
    <n v="4982.8530343478797"/>
  </r>
  <r>
    <x v="0"/>
    <x v="0"/>
    <x v="0"/>
    <x v="0"/>
    <x v="1"/>
    <s v="DK2_MedSmall"/>
    <x v="2"/>
    <x v="2"/>
    <x v="35"/>
    <x v="0"/>
    <x v="13"/>
    <n v="3.2072640474802001"/>
    <n v="1170.65137733027"/>
    <n v="4214.3449583889796"/>
  </r>
  <r>
    <x v="0"/>
    <x v="0"/>
    <x v="0"/>
    <x v="0"/>
    <x v="1"/>
    <s v="DK2_MedSmall"/>
    <x v="2"/>
    <x v="2"/>
    <x v="35"/>
    <x v="0"/>
    <x v="14"/>
    <n v="3.3667717427809198"/>
    <n v="1228.8716861150399"/>
    <n v="4423.9380700141301"/>
  </r>
  <r>
    <x v="0"/>
    <x v="0"/>
    <x v="0"/>
    <x v="0"/>
    <x v="1"/>
    <s v="DK2_MedSmall"/>
    <x v="2"/>
    <x v="2"/>
    <x v="35"/>
    <x v="0"/>
    <x v="15"/>
    <n v="3.5262794380816498"/>
    <n v="1287.0919948998001"/>
    <n v="4633.5311816392896"/>
  </r>
  <r>
    <x v="0"/>
    <x v="0"/>
    <x v="0"/>
    <x v="0"/>
    <x v="1"/>
    <s v="DK2_MedSmall"/>
    <x v="2"/>
    <x v="2"/>
    <x v="35"/>
    <x v="0"/>
    <x v="16"/>
    <n v="3.8320025207413799"/>
    <n v="1398.6809200706"/>
    <n v="5035.2513122541704"/>
  </r>
  <r>
    <x v="0"/>
    <x v="0"/>
    <x v="0"/>
    <x v="0"/>
    <x v="1"/>
    <s v="DK2_MedSmall"/>
    <x v="2"/>
    <x v="2"/>
    <x v="35"/>
    <x v="0"/>
    <x v="17"/>
    <n v="3.76554098103274"/>
    <n v="1374.4224580769501"/>
    <n v="4947.9208490770197"/>
  </r>
  <r>
    <x v="0"/>
    <x v="0"/>
    <x v="0"/>
    <x v="0"/>
    <x v="1"/>
    <s v="DK2_MedSmall"/>
    <x v="2"/>
    <x v="2"/>
    <x v="35"/>
    <x v="0"/>
    <x v="18"/>
    <n v="3.8187102127996502"/>
    <n v="1393.8292276718701"/>
    <n v="5017.7852196187396"/>
  </r>
  <r>
    <x v="0"/>
    <x v="0"/>
    <x v="0"/>
    <x v="0"/>
    <x v="1"/>
    <s v="DK2_MedSmall"/>
    <x v="2"/>
    <x v="2"/>
    <x v="35"/>
    <x v="0"/>
    <x v="19"/>
    <n v="3.76554098103274"/>
    <n v="1374.4224580769501"/>
    <n v="4947.9208490770197"/>
  </r>
  <r>
    <x v="0"/>
    <x v="0"/>
    <x v="0"/>
    <x v="0"/>
    <x v="1"/>
    <s v="DK2_MedSmall"/>
    <x v="2"/>
    <x v="2"/>
    <x v="35"/>
    <x v="0"/>
    <x v="20"/>
    <n v="3.4731102063147401"/>
    <n v="1267.6852253048801"/>
    <n v="4563.6668110975697"/>
  </r>
  <r>
    <x v="0"/>
    <x v="0"/>
    <x v="0"/>
    <x v="0"/>
    <x v="1"/>
    <s v="DK2_MedSmall"/>
    <x v="2"/>
    <x v="2"/>
    <x v="35"/>
    <x v="0"/>
    <x v="21"/>
    <n v="1.6919409421233"/>
    <n v="617.55844387500497"/>
    <n v="2223.2103979500198"/>
  </r>
  <r>
    <x v="0"/>
    <x v="0"/>
    <x v="0"/>
    <x v="0"/>
    <x v="1"/>
    <s v="DK2_MedSmall"/>
    <x v="2"/>
    <x v="2"/>
    <x v="35"/>
    <x v="0"/>
    <x v="22"/>
    <n v="1.55901786270603"/>
    <n v="569.04151988770104"/>
    <n v="2048.5494715957202"/>
  </r>
  <r>
    <x v="0"/>
    <x v="0"/>
    <x v="0"/>
    <x v="0"/>
    <x v="1"/>
    <s v="DK2_MedSmall"/>
    <x v="2"/>
    <x v="2"/>
    <x v="35"/>
    <x v="0"/>
    <x v="23"/>
    <n v="1.2267101641628499"/>
    <n v="447.74920991944202"/>
    <n v="1611.8971557099901"/>
  </r>
  <r>
    <x v="0"/>
    <x v="0"/>
    <x v="0"/>
    <x v="0"/>
    <x v="1"/>
    <s v="DK2_Medium"/>
    <x v="0"/>
    <x v="2"/>
    <x v="36"/>
    <x v="0"/>
    <x v="0"/>
    <n v="102.558561603429"/>
    <n v="37433.874985251598"/>
    <n v="134761.94994690601"/>
  </r>
  <r>
    <x v="0"/>
    <x v="0"/>
    <x v="0"/>
    <x v="0"/>
    <x v="1"/>
    <s v="DK2_Medium"/>
    <x v="0"/>
    <x v="2"/>
    <x v="36"/>
    <x v="0"/>
    <x v="1"/>
    <n v="100.57939118231999"/>
    <n v="36711.477781546797"/>
    <n v="132161.320013569"/>
  </r>
  <r>
    <x v="0"/>
    <x v="0"/>
    <x v="0"/>
    <x v="0"/>
    <x v="1"/>
    <s v="DK2_Medium"/>
    <x v="0"/>
    <x v="2"/>
    <x v="36"/>
    <x v="0"/>
    <x v="2"/>
    <n v="101.76689343498499"/>
    <n v="37144.916103769698"/>
    <n v="133721.69797357099"/>
  </r>
  <r>
    <x v="0"/>
    <x v="0"/>
    <x v="0"/>
    <x v="0"/>
    <x v="1"/>
    <s v="DK2_Medium"/>
    <x v="0"/>
    <x v="2"/>
    <x v="36"/>
    <x v="0"/>
    <x v="3"/>
    <n v="102.75647864554"/>
    <n v="37506.114705622102"/>
    <n v="135022.01294024001"/>
  </r>
  <r>
    <x v="0"/>
    <x v="0"/>
    <x v="0"/>
    <x v="0"/>
    <x v="1"/>
    <s v="DK2_Medium"/>
    <x v="0"/>
    <x v="2"/>
    <x v="36"/>
    <x v="0"/>
    <x v="4"/>
    <n v="102.360644561318"/>
    <n v="37361.635264881101"/>
    <n v="134501.88695357199"/>
  </r>
  <r>
    <x v="0"/>
    <x v="0"/>
    <x v="0"/>
    <x v="0"/>
    <x v="1"/>
    <s v="DK2_Medium"/>
    <x v="0"/>
    <x v="2"/>
    <x v="36"/>
    <x v="0"/>
    <x v="5"/>
    <n v="107.704404698313"/>
    <n v="39312.1077148841"/>
    <n v="141523.58777358301"/>
  </r>
  <r>
    <x v="0"/>
    <x v="0"/>
    <x v="0"/>
    <x v="0"/>
    <x v="1"/>
    <s v="DK2_Medium"/>
    <x v="0"/>
    <x v="2"/>
    <x v="36"/>
    <x v="0"/>
    <x v="6"/>
    <n v="121.558597646076"/>
    <n v="44368.888140817697"/>
    <n v="159727.99730694399"/>
  </r>
  <r>
    <x v="0"/>
    <x v="0"/>
    <x v="0"/>
    <x v="0"/>
    <x v="1"/>
    <s v="DK2_Medium"/>
    <x v="0"/>
    <x v="2"/>
    <x v="36"/>
    <x v="0"/>
    <x v="7"/>
    <n v="126.90235778307"/>
    <n v="46319.360590820601"/>
    <n v="166749.698126954"/>
  </r>
  <r>
    <x v="0"/>
    <x v="0"/>
    <x v="0"/>
    <x v="0"/>
    <x v="1"/>
    <s v="DK2_Medium"/>
    <x v="0"/>
    <x v="2"/>
    <x v="36"/>
    <x v="0"/>
    <x v="8"/>
    <n v="129.475279330512"/>
    <n v="47258.476955636797"/>
    <n v="170130.51704029299"/>
  </r>
  <r>
    <x v="0"/>
    <x v="0"/>
    <x v="0"/>
    <x v="0"/>
    <x v="1"/>
    <s v="DK2_Medium"/>
    <x v="0"/>
    <x v="2"/>
    <x v="36"/>
    <x v="0"/>
    <x v="9"/>
    <n v="129.27736228840101"/>
    <n v="47186.237235266402"/>
    <n v="169870.454046959"/>
  </r>
  <r>
    <x v="0"/>
    <x v="0"/>
    <x v="0"/>
    <x v="0"/>
    <x v="1"/>
    <s v="DK2_Medium"/>
    <x v="0"/>
    <x v="2"/>
    <x v="36"/>
    <x v="0"/>
    <x v="10"/>
    <n v="129.871113414734"/>
    <n v="47402.956396377798"/>
    <n v="170650.64302696"/>
  </r>
  <r>
    <x v="0"/>
    <x v="0"/>
    <x v="0"/>
    <x v="0"/>
    <x v="1"/>
    <s v="DK2_Medium"/>
    <x v="0"/>
    <x v="2"/>
    <x v="36"/>
    <x v="0"/>
    <x v="11"/>
    <n v="127.89194299362499"/>
    <n v="46680.559192672998"/>
    <n v="168050.01309362301"/>
  </r>
  <r>
    <x v="0"/>
    <x v="0"/>
    <x v="0"/>
    <x v="0"/>
    <x v="1"/>
    <s v="DK2_Medium"/>
    <x v="0"/>
    <x v="2"/>
    <x v="36"/>
    <x v="0"/>
    <x v="12"/>
    <n v="129.871113414734"/>
    <n v="47402.956396377798"/>
    <n v="170650.64302696"/>
  </r>
  <r>
    <x v="0"/>
    <x v="0"/>
    <x v="0"/>
    <x v="0"/>
    <x v="1"/>
    <s v="DK2_Medium"/>
    <x v="0"/>
    <x v="2"/>
    <x v="36"/>
    <x v="0"/>
    <x v="13"/>
    <n v="131.45444975162101"/>
    <n v="47980.874159341598"/>
    <n v="172731.14697363001"/>
  </r>
  <r>
    <x v="0"/>
    <x v="0"/>
    <x v="0"/>
    <x v="0"/>
    <x v="1"/>
    <s v="DK2_Medium"/>
    <x v="0"/>
    <x v="2"/>
    <x v="36"/>
    <x v="0"/>
    <x v="14"/>
    <n v="132.048200877954"/>
    <n v="48197.593320453103"/>
    <n v="173511.335953631"/>
  </r>
  <r>
    <x v="0"/>
    <x v="0"/>
    <x v="0"/>
    <x v="0"/>
    <x v="1"/>
    <s v="DK2_Medium"/>
    <x v="0"/>
    <x v="2"/>
    <x v="36"/>
    <x v="0"/>
    <x v="15"/>
    <n v="131.85028383584299"/>
    <n v="48125.353600082599"/>
    <n v="173251.27296029701"/>
  </r>
  <r>
    <x v="0"/>
    <x v="0"/>
    <x v="0"/>
    <x v="0"/>
    <x v="1"/>
    <s v="DK2_Medium"/>
    <x v="0"/>
    <x v="2"/>
    <x v="36"/>
    <x v="0"/>
    <x v="16"/>
    <n v="132.24611792006499"/>
    <n v="48269.8330408236"/>
    <n v="173771.398946965"/>
  </r>
  <r>
    <x v="0"/>
    <x v="0"/>
    <x v="0"/>
    <x v="0"/>
    <x v="1"/>
    <s v="DK2_Medium"/>
    <x v="0"/>
    <x v="2"/>
    <x v="36"/>
    <x v="0"/>
    <x v="17"/>
    <n v="133.23570313061899"/>
    <n v="48631.031642675996"/>
    <n v="175071.71391363299"/>
  </r>
  <r>
    <x v="0"/>
    <x v="0"/>
    <x v="0"/>
    <x v="0"/>
    <x v="1"/>
    <s v="DK2_Medium"/>
    <x v="0"/>
    <x v="2"/>
    <x v="36"/>
    <x v="0"/>
    <x v="18"/>
    <n v="133.23570313061899"/>
    <n v="48631.031642675996"/>
    <n v="175071.71391363299"/>
  </r>
  <r>
    <x v="0"/>
    <x v="0"/>
    <x v="0"/>
    <x v="0"/>
    <x v="1"/>
    <s v="DK2_Medium"/>
    <x v="0"/>
    <x v="2"/>
    <x v="36"/>
    <x v="0"/>
    <x v="19"/>
    <n v="132.048200877954"/>
    <n v="48197.593320453103"/>
    <n v="173511.335953631"/>
  </r>
  <r>
    <x v="0"/>
    <x v="0"/>
    <x v="0"/>
    <x v="0"/>
    <x v="1"/>
    <s v="DK2_Medium"/>
    <x v="0"/>
    <x v="2"/>
    <x v="36"/>
    <x v="0"/>
    <x v="20"/>
    <n v="129.67319637262301"/>
    <n v="47330.716676007301"/>
    <n v="170390.580033626"/>
  </r>
  <r>
    <x v="0"/>
    <x v="0"/>
    <x v="0"/>
    <x v="0"/>
    <x v="1"/>
    <s v="DK2_Medium"/>
    <x v="0"/>
    <x v="2"/>
    <x v="36"/>
    <x v="0"/>
    <x v="21"/>
    <n v="121.756514688187"/>
    <n v="44441.127861188099"/>
    <n v="159988.06030027699"/>
  </r>
  <r>
    <x v="0"/>
    <x v="0"/>
    <x v="0"/>
    <x v="0"/>
    <x v="1"/>
    <s v="DK2_Medium"/>
    <x v="0"/>
    <x v="2"/>
    <x v="36"/>
    <x v="0"/>
    <x v="22"/>
    <n v="119.77734426707801"/>
    <n v="43718.730657483298"/>
    <n v="157387.43036694001"/>
  </r>
  <r>
    <x v="0"/>
    <x v="0"/>
    <x v="0"/>
    <x v="0"/>
    <x v="1"/>
    <s v="DK2_Medium"/>
    <x v="0"/>
    <x v="2"/>
    <x v="36"/>
    <x v="0"/>
    <x v="23"/>
    <n v="118.391924972301"/>
    <n v="43213.052614890003"/>
    <n v="155566.98941360399"/>
  </r>
  <r>
    <x v="0"/>
    <x v="0"/>
    <x v="0"/>
    <x v="0"/>
    <x v="1"/>
    <s v="DK2_NoDH"/>
    <x v="4"/>
    <x v="3"/>
    <x v="9"/>
    <x v="0"/>
    <x v="6"/>
    <n v="1.372411054216"/>
    <n v="500.93003478883998"/>
    <n v="1803.3481252398201"/>
  </r>
  <r>
    <x v="0"/>
    <x v="0"/>
    <x v="0"/>
    <x v="0"/>
    <x v="1"/>
    <s v="DK2_NoDH"/>
    <x v="4"/>
    <x v="3"/>
    <x v="9"/>
    <x v="0"/>
    <x v="7"/>
    <n v="14.6380779037975"/>
    <n v="5342.8984348860804"/>
    <n v="19234.434365589899"/>
  </r>
  <r>
    <x v="0"/>
    <x v="0"/>
    <x v="0"/>
    <x v="0"/>
    <x v="1"/>
    <s v="DK2_NoDH"/>
    <x v="4"/>
    <x v="3"/>
    <x v="9"/>
    <x v="0"/>
    <x v="8"/>
    <n v="42.717024068352899"/>
    <n v="15591.713784948801"/>
    <n v="56130.169625815703"/>
  </r>
  <r>
    <x v="0"/>
    <x v="0"/>
    <x v="0"/>
    <x v="0"/>
    <x v="1"/>
    <s v="DK2_NoDH"/>
    <x v="4"/>
    <x v="3"/>
    <x v="9"/>
    <x v="0"/>
    <x v="9"/>
    <n v="69.738921718810104"/>
    <n v="25454.706427365702"/>
    <n v="91636.943138516406"/>
  </r>
  <r>
    <x v="0"/>
    <x v="0"/>
    <x v="0"/>
    <x v="0"/>
    <x v="1"/>
    <s v="DK2_NoDH"/>
    <x v="4"/>
    <x v="3"/>
    <x v="9"/>
    <x v="0"/>
    <x v="10"/>
    <n v="92.944348629138901"/>
    <n v="33924.687249635703"/>
    <n v="122128.874098689"/>
  </r>
  <r>
    <x v="0"/>
    <x v="0"/>
    <x v="0"/>
    <x v="0"/>
    <x v="1"/>
    <s v="DK2_NoDH"/>
    <x v="4"/>
    <x v="3"/>
    <x v="9"/>
    <x v="0"/>
    <x v="11"/>
    <n v="107.804348320427"/>
    <n v="39348.587136955699"/>
    <n v="141654.91369304099"/>
  </r>
  <r>
    <x v="0"/>
    <x v="0"/>
    <x v="0"/>
    <x v="0"/>
    <x v="1"/>
    <s v="DK2_NoDH"/>
    <x v="4"/>
    <x v="3"/>
    <x v="9"/>
    <x v="0"/>
    <x v="12"/>
    <n v="114.023998417193"/>
    <n v="41618.759422275398"/>
    <n v="149827.533920191"/>
  </r>
  <r>
    <x v="0"/>
    <x v="0"/>
    <x v="0"/>
    <x v="0"/>
    <x v="1"/>
    <s v="DK2_NoDH"/>
    <x v="4"/>
    <x v="3"/>
    <x v="9"/>
    <x v="0"/>
    <x v="13"/>
    <n v="114.67224363854601"/>
    <n v="41855.368928069198"/>
    <n v="150679.32814104899"/>
  </r>
  <r>
    <x v="0"/>
    <x v="0"/>
    <x v="0"/>
    <x v="0"/>
    <x v="1"/>
    <s v="DK2_NoDH"/>
    <x v="4"/>
    <x v="3"/>
    <x v="9"/>
    <x v="0"/>
    <x v="14"/>
    <n v="98.720155150924597"/>
    <n v="36032.856630087503"/>
    <n v="129718.283868315"/>
  </r>
  <r>
    <x v="0"/>
    <x v="0"/>
    <x v="0"/>
    <x v="0"/>
    <x v="1"/>
    <s v="DK2_NoDH"/>
    <x v="4"/>
    <x v="3"/>
    <x v="9"/>
    <x v="0"/>
    <x v="15"/>
    <n v="74.726321890301406"/>
    <n v="27275.107489959999"/>
    <n v="98190.386963856101"/>
  </r>
  <r>
    <x v="0"/>
    <x v="0"/>
    <x v="0"/>
    <x v="0"/>
    <x v="1"/>
    <s v="DK2_NoDH"/>
    <x v="4"/>
    <x v="3"/>
    <x v="9"/>
    <x v="0"/>
    <x v="16"/>
    <n v="47.613903510736399"/>
    <n v="17379.0747814188"/>
    <n v="62564.669213107598"/>
  </r>
  <r>
    <x v="0"/>
    <x v="0"/>
    <x v="0"/>
    <x v="0"/>
    <x v="1"/>
    <s v="DK2_NoDH"/>
    <x v="4"/>
    <x v="3"/>
    <x v="9"/>
    <x v="0"/>
    <x v="17"/>
    <n v="18.0837056569355"/>
    <n v="6600.5525647814602"/>
    <n v="23761.989233213299"/>
  </r>
  <r>
    <x v="0"/>
    <x v="0"/>
    <x v="0"/>
    <x v="0"/>
    <x v="1"/>
    <s v="DK2_NoDH"/>
    <x v="4"/>
    <x v="3"/>
    <x v="9"/>
    <x v="0"/>
    <x v="18"/>
    <n v="1.48045192444152"/>
    <n v="540.36495242115302"/>
    <n v="1945.3138287161501"/>
  </r>
  <r>
    <x v="0"/>
    <x v="0"/>
    <x v="0"/>
    <x v="0"/>
    <x v="1"/>
    <s v="DK2_NoDH"/>
    <x v="5"/>
    <x v="4"/>
    <x v="10"/>
    <x v="0"/>
    <x v="0"/>
    <n v="8.2531860285989002E-3"/>
    <n v="3.0124129004386"/>
    <n v="10.844686441579"/>
  </r>
  <r>
    <x v="0"/>
    <x v="0"/>
    <x v="0"/>
    <x v="0"/>
    <x v="1"/>
    <s v="DK2_NoDH"/>
    <x v="5"/>
    <x v="4"/>
    <x v="10"/>
    <x v="0"/>
    <x v="1"/>
    <n v="8.2531860285989002E-3"/>
    <n v="3.0124129004386"/>
    <n v="10.844686441579"/>
  </r>
  <r>
    <x v="0"/>
    <x v="0"/>
    <x v="0"/>
    <x v="0"/>
    <x v="1"/>
    <s v="DK2_NoDH"/>
    <x v="5"/>
    <x v="4"/>
    <x v="10"/>
    <x v="0"/>
    <x v="2"/>
    <n v="8.2531860285989002E-3"/>
    <n v="3.0124129004386"/>
    <n v="10.844686441579"/>
  </r>
  <r>
    <x v="0"/>
    <x v="0"/>
    <x v="0"/>
    <x v="0"/>
    <x v="1"/>
    <s v="DK2_NoDH"/>
    <x v="5"/>
    <x v="4"/>
    <x v="10"/>
    <x v="0"/>
    <x v="3"/>
    <n v="8.2531860285989002E-3"/>
    <n v="3.0124129004386"/>
    <n v="10.844686441579"/>
  </r>
  <r>
    <x v="0"/>
    <x v="0"/>
    <x v="0"/>
    <x v="0"/>
    <x v="1"/>
    <s v="DK2_NoDH"/>
    <x v="5"/>
    <x v="4"/>
    <x v="10"/>
    <x v="0"/>
    <x v="4"/>
    <n v="8.2531860285989002E-3"/>
    <n v="3.0124129004386"/>
    <n v="10.844686441579"/>
  </r>
  <r>
    <x v="0"/>
    <x v="0"/>
    <x v="0"/>
    <x v="0"/>
    <x v="1"/>
    <s v="DK2_NoDH"/>
    <x v="5"/>
    <x v="4"/>
    <x v="10"/>
    <x v="0"/>
    <x v="5"/>
    <n v="8.2531860285989002E-3"/>
    <n v="3.0124129004386"/>
    <n v="10.844686441579"/>
  </r>
  <r>
    <x v="0"/>
    <x v="0"/>
    <x v="0"/>
    <x v="0"/>
    <x v="1"/>
    <s v="DK2_NoDH"/>
    <x v="5"/>
    <x v="4"/>
    <x v="10"/>
    <x v="0"/>
    <x v="6"/>
    <n v="8.2531860285989002E-3"/>
    <n v="3.0124129004386"/>
    <n v="10.844686441579"/>
  </r>
  <r>
    <x v="0"/>
    <x v="0"/>
    <x v="0"/>
    <x v="0"/>
    <x v="1"/>
    <s v="DK2_NoDH"/>
    <x v="5"/>
    <x v="4"/>
    <x v="10"/>
    <x v="0"/>
    <x v="7"/>
    <n v="8.2531860285989002E-3"/>
    <n v="3.0124129004386"/>
    <n v="10.844686441579"/>
  </r>
  <r>
    <x v="0"/>
    <x v="0"/>
    <x v="0"/>
    <x v="0"/>
    <x v="1"/>
    <s v="DK2_NoDH"/>
    <x v="5"/>
    <x v="4"/>
    <x v="10"/>
    <x v="0"/>
    <x v="8"/>
    <n v="8.2531860285989002E-3"/>
    <n v="3.0124129004386"/>
    <n v="10.844686441579"/>
  </r>
  <r>
    <x v="0"/>
    <x v="0"/>
    <x v="0"/>
    <x v="0"/>
    <x v="1"/>
    <s v="DK2_NoDH"/>
    <x v="5"/>
    <x v="4"/>
    <x v="10"/>
    <x v="0"/>
    <x v="9"/>
    <n v="8.2531860285989002E-3"/>
    <n v="3.0124129004386"/>
    <n v="10.844686441579"/>
  </r>
  <r>
    <x v="0"/>
    <x v="0"/>
    <x v="0"/>
    <x v="0"/>
    <x v="1"/>
    <s v="DK2_NoDH"/>
    <x v="5"/>
    <x v="4"/>
    <x v="10"/>
    <x v="0"/>
    <x v="10"/>
    <n v="8.2531860285989002E-3"/>
    <n v="3.0124129004386"/>
    <n v="10.844686441579"/>
  </r>
  <r>
    <x v="0"/>
    <x v="0"/>
    <x v="0"/>
    <x v="0"/>
    <x v="1"/>
    <s v="DK2_NoDH"/>
    <x v="5"/>
    <x v="4"/>
    <x v="10"/>
    <x v="0"/>
    <x v="11"/>
    <n v="8.2531860285989002E-3"/>
    <n v="3.0124129004386"/>
    <n v="10.844686441579"/>
  </r>
  <r>
    <x v="0"/>
    <x v="0"/>
    <x v="0"/>
    <x v="0"/>
    <x v="1"/>
    <s v="DK2_NoDH"/>
    <x v="5"/>
    <x v="4"/>
    <x v="10"/>
    <x v="0"/>
    <x v="12"/>
    <n v="8.2531860285989002E-3"/>
    <n v="3.0124129004386"/>
    <n v="10.844686441579"/>
  </r>
  <r>
    <x v="0"/>
    <x v="0"/>
    <x v="0"/>
    <x v="0"/>
    <x v="1"/>
    <s v="DK2_NoDH"/>
    <x v="5"/>
    <x v="4"/>
    <x v="10"/>
    <x v="0"/>
    <x v="13"/>
    <n v="8.2531860285989002E-3"/>
    <n v="3.0124129004386"/>
    <n v="10.844686441579"/>
  </r>
  <r>
    <x v="0"/>
    <x v="0"/>
    <x v="0"/>
    <x v="0"/>
    <x v="1"/>
    <s v="DK2_NoDH"/>
    <x v="5"/>
    <x v="4"/>
    <x v="10"/>
    <x v="0"/>
    <x v="14"/>
    <n v="8.2531860285989002E-3"/>
    <n v="3.0124129004386"/>
    <n v="10.844686441579"/>
  </r>
  <r>
    <x v="0"/>
    <x v="0"/>
    <x v="0"/>
    <x v="0"/>
    <x v="1"/>
    <s v="DK2_NoDH"/>
    <x v="5"/>
    <x v="4"/>
    <x v="10"/>
    <x v="0"/>
    <x v="15"/>
    <n v="8.2531860285989002E-3"/>
    <n v="3.0124129004386"/>
    <n v="10.844686441579"/>
  </r>
  <r>
    <x v="0"/>
    <x v="0"/>
    <x v="0"/>
    <x v="0"/>
    <x v="1"/>
    <s v="DK2_NoDH"/>
    <x v="5"/>
    <x v="4"/>
    <x v="10"/>
    <x v="0"/>
    <x v="16"/>
    <n v="8.2531860285989002E-3"/>
    <n v="3.0124129004386"/>
    <n v="10.844686441579"/>
  </r>
  <r>
    <x v="0"/>
    <x v="0"/>
    <x v="0"/>
    <x v="0"/>
    <x v="1"/>
    <s v="DK2_NoDH"/>
    <x v="5"/>
    <x v="4"/>
    <x v="10"/>
    <x v="0"/>
    <x v="17"/>
    <n v="8.2531860285989002E-3"/>
    <n v="3.0124129004386"/>
    <n v="10.844686441579"/>
  </r>
  <r>
    <x v="0"/>
    <x v="0"/>
    <x v="0"/>
    <x v="0"/>
    <x v="1"/>
    <s v="DK2_NoDH"/>
    <x v="5"/>
    <x v="4"/>
    <x v="10"/>
    <x v="0"/>
    <x v="18"/>
    <n v="8.2531860285989002E-3"/>
    <n v="3.0124129004386"/>
    <n v="10.844686441579"/>
  </r>
  <r>
    <x v="0"/>
    <x v="0"/>
    <x v="0"/>
    <x v="0"/>
    <x v="1"/>
    <s v="DK2_NoDH"/>
    <x v="5"/>
    <x v="4"/>
    <x v="10"/>
    <x v="0"/>
    <x v="19"/>
    <n v="8.2531860285989002E-3"/>
    <n v="3.0124129004386"/>
    <n v="10.844686441579"/>
  </r>
  <r>
    <x v="0"/>
    <x v="0"/>
    <x v="0"/>
    <x v="0"/>
    <x v="1"/>
    <s v="DK2_NoDH"/>
    <x v="5"/>
    <x v="4"/>
    <x v="10"/>
    <x v="0"/>
    <x v="20"/>
    <n v="8.2531860285989002E-3"/>
    <n v="3.0124129004386"/>
    <n v="10.844686441579"/>
  </r>
  <r>
    <x v="0"/>
    <x v="0"/>
    <x v="0"/>
    <x v="0"/>
    <x v="1"/>
    <s v="DK2_NoDH"/>
    <x v="5"/>
    <x v="4"/>
    <x v="10"/>
    <x v="0"/>
    <x v="21"/>
    <n v="8.2531860285989002E-3"/>
    <n v="3.0124129004386"/>
    <n v="10.844686441579"/>
  </r>
  <r>
    <x v="0"/>
    <x v="0"/>
    <x v="0"/>
    <x v="0"/>
    <x v="1"/>
    <s v="DK2_NoDH"/>
    <x v="5"/>
    <x v="4"/>
    <x v="10"/>
    <x v="0"/>
    <x v="22"/>
    <n v="8.2531860285989002E-3"/>
    <n v="3.0124129004386"/>
    <n v="10.844686441579"/>
  </r>
  <r>
    <x v="0"/>
    <x v="0"/>
    <x v="0"/>
    <x v="0"/>
    <x v="1"/>
    <s v="DK2_NoDH"/>
    <x v="5"/>
    <x v="4"/>
    <x v="10"/>
    <x v="0"/>
    <x v="23"/>
    <n v="8.2531860285989002E-3"/>
    <n v="3.0124129004386"/>
    <n v="10.844686441579"/>
  </r>
  <r>
    <x v="0"/>
    <x v="0"/>
    <x v="0"/>
    <x v="0"/>
    <x v="1"/>
    <s v="DK2_NoDH"/>
    <x v="6"/>
    <x v="5"/>
    <x v="11"/>
    <x v="0"/>
    <x v="0"/>
    <n v="190.59378864921399"/>
    <n v="69566.732856963194"/>
    <n v="250440.23828506799"/>
  </r>
  <r>
    <x v="0"/>
    <x v="0"/>
    <x v="0"/>
    <x v="0"/>
    <x v="1"/>
    <s v="DK2_NoDH"/>
    <x v="6"/>
    <x v="5"/>
    <x v="11"/>
    <x v="0"/>
    <x v="1"/>
    <n v="194.77912522428201"/>
    <n v="71094.380706862794"/>
    <n v="255939.770544706"/>
  </r>
  <r>
    <x v="0"/>
    <x v="0"/>
    <x v="0"/>
    <x v="0"/>
    <x v="1"/>
    <s v="DK2_NoDH"/>
    <x v="6"/>
    <x v="5"/>
    <x v="11"/>
    <x v="0"/>
    <x v="2"/>
    <n v="199.930308701287"/>
    <n v="72974.562675969893"/>
    <n v="262708.42563349201"/>
  </r>
  <r>
    <x v="0"/>
    <x v="0"/>
    <x v="0"/>
    <x v="0"/>
    <x v="1"/>
    <s v="DK2_NoDH"/>
    <x v="6"/>
    <x v="5"/>
    <x v="11"/>
    <x v="0"/>
    <x v="3"/>
    <n v="191.55963555115301"/>
    <n v="69919.266976170795"/>
    <n v="251709.36111421499"/>
  </r>
  <r>
    <x v="0"/>
    <x v="0"/>
    <x v="0"/>
    <x v="0"/>
    <x v="1"/>
    <s v="DK2_NoDH"/>
    <x v="6"/>
    <x v="5"/>
    <x v="11"/>
    <x v="0"/>
    <x v="4"/>
    <n v="226.008175053629"/>
    <n v="82492.983894574601"/>
    <n v="296974.74202046898"/>
  </r>
  <r>
    <x v="0"/>
    <x v="0"/>
    <x v="0"/>
    <x v="0"/>
    <x v="1"/>
    <s v="DK2_NoDH"/>
    <x v="6"/>
    <x v="5"/>
    <x v="11"/>
    <x v="0"/>
    <x v="5"/>
    <n v="249.83239863478099"/>
    <n v="91188.825501695101"/>
    <n v="328279.77180610201"/>
  </r>
  <r>
    <x v="0"/>
    <x v="0"/>
    <x v="0"/>
    <x v="0"/>
    <x v="1"/>
    <s v="DK2_NoDH"/>
    <x v="6"/>
    <x v="5"/>
    <x v="11"/>
    <x v="0"/>
    <x v="6"/>
    <n v="264.64205113117299"/>
    <n v="96594.348662877994"/>
    <n v="347739.65518636099"/>
  </r>
  <r>
    <x v="0"/>
    <x v="0"/>
    <x v="0"/>
    <x v="0"/>
    <x v="1"/>
    <s v="DK2_NoDH"/>
    <x v="6"/>
    <x v="5"/>
    <x v="11"/>
    <x v="0"/>
    <x v="7"/>
    <n v="285.56873400650898"/>
    <n v="104232.587912376"/>
    <n v="375237.31648455199"/>
  </r>
  <r>
    <x v="0"/>
    <x v="0"/>
    <x v="0"/>
    <x v="0"/>
    <x v="1"/>
    <s v="DK2_NoDH"/>
    <x v="6"/>
    <x v="5"/>
    <x v="11"/>
    <x v="0"/>
    <x v="8"/>
    <n v="296.51499889514599"/>
    <n v="108227.974596728"/>
    <n v="389620.70854822203"/>
  </r>
  <r>
    <x v="0"/>
    <x v="0"/>
    <x v="0"/>
    <x v="0"/>
    <x v="1"/>
    <s v="DK2_NoDH"/>
    <x v="6"/>
    <x v="5"/>
    <x v="11"/>
    <x v="0"/>
    <x v="9"/>
    <n v="294.58330509126898"/>
    <n v="107522.906358313"/>
    <n v="387082.46288992697"/>
  </r>
  <r>
    <x v="0"/>
    <x v="0"/>
    <x v="0"/>
    <x v="0"/>
    <x v="1"/>
    <s v="DK2_NoDH"/>
    <x v="6"/>
    <x v="5"/>
    <x v="11"/>
    <x v="0"/>
    <x v="10"/>
    <n v="286.21263194113402"/>
    <n v="104467.61065851399"/>
    <n v="376083.398370651"/>
  </r>
  <r>
    <x v="0"/>
    <x v="0"/>
    <x v="0"/>
    <x v="0"/>
    <x v="1"/>
    <s v="DK2_NoDH"/>
    <x v="6"/>
    <x v="5"/>
    <x v="11"/>
    <x v="0"/>
    <x v="11"/>
    <n v="265.92984700042399"/>
    <n v="97064.394155154805"/>
    <n v="349431.81895855698"/>
  </r>
  <r>
    <x v="0"/>
    <x v="0"/>
    <x v="0"/>
    <x v="0"/>
    <x v="1"/>
    <s v="DK2_NoDH"/>
    <x v="6"/>
    <x v="5"/>
    <x v="11"/>
    <x v="0"/>
    <x v="12"/>
    <n v="239.85198064808199"/>
    <n v="87545.972936549995"/>
    <n v="315165.50257158"/>
  </r>
  <r>
    <x v="0"/>
    <x v="0"/>
    <x v="0"/>
    <x v="0"/>
    <x v="1"/>
    <s v="DK2_NoDH"/>
    <x v="6"/>
    <x v="5"/>
    <x v="11"/>
    <x v="0"/>
    <x v="13"/>
    <n v="202.827849407103"/>
    <n v="74032.165033592595"/>
    <n v="266515.79412093299"/>
  </r>
  <r>
    <x v="0"/>
    <x v="0"/>
    <x v="0"/>
    <x v="0"/>
    <x v="1"/>
    <s v="DK2_NoDH"/>
    <x v="6"/>
    <x v="5"/>
    <x v="11"/>
    <x v="0"/>
    <x v="14"/>
    <n v="177.07193202207401"/>
    <n v="64631.255188057097"/>
    <n v="232672.51867700499"/>
  </r>
  <r>
    <x v="0"/>
    <x v="0"/>
    <x v="0"/>
    <x v="0"/>
    <x v="1"/>
    <s v="DK2_NoDH"/>
    <x v="6"/>
    <x v="5"/>
    <x v="11"/>
    <x v="0"/>
    <x v="15"/>
    <n v="198.320563864723"/>
    <n v="72387.005810623901"/>
    <n v="260593.22091824599"/>
  </r>
  <r>
    <x v="0"/>
    <x v="0"/>
    <x v="0"/>
    <x v="0"/>
    <x v="1"/>
    <s v="DK2_NoDH"/>
    <x v="6"/>
    <x v="5"/>
    <x v="11"/>
    <x v="0"/>
    <x v="16"/>
    <n v="220.53504260931101"/>
    <n v="80495.290552398306"/>
    <n v="289783.045988634"/>
  </r>
  <r>
    <x v="0"/>
    <x v="0"/>
    <x v="0"/>
    <x v="0"/>
    <x v="1"/>
    <s v="DK2_NoDH"/>
    <x v="6"/>
    <x v="5"/>
    <x v="11"/>
    <x v="0"/>
    <x v="17"/>
    <n v="221.82283847856201"/>
    <n v="80965.336044675103"/>
    <n v="291475.20976082998"/>
  </r>
  <r>
    <x v="0"/>
    <x v="0"/>
    <x v="0"/>
    <x v="0"/>
    <x v="1"/>
    <s v="DK2_NoDH"/>
    <x v="6"/>
    <x v="5"/>
    <x v="11"/>
    <x v="0"/>
    <x v="18"/>
    <n v="186.40845207414699"/>
    <n v="68039.085007063695"/>
    <n v="244940.70602542901"/>
  </r>
  <r>
    <x v="0"/>
    <x v="0"/>
    <x v="0"/>
    <x v="0"/>
    <x v="1"/>
    <s v="DK2_NoDH"/>
    <x v="6"/>
    <x v="5"/>
    <x v="11"/>
    <x v="0"/>
    <x v="19"/>
    <n v="160.652534689118"/>
    <n v="58638.175161528103"/>
    <n v="211097.43058150099"/>
  </r>
  <r>
    <x v="0"/>
    <x v="0"/>
    <x v="0"/>
    <x v="0"/>
    <x v="1"/>
    <s v="DK2_NoDH"/>
    <x v="6"/>
    <x v="5"/>
    <x v="11"/>
    <x v="0"/>
    <x v="20"/>
    <n v="133.60882143483801"/>
    <n v="48767.219823715801"/>
    <n v="175561.99136537701"/>
  </r>
  <r>
    <x v="0"/>
    <x v="0"/>
    <x v="0"/>
    <x v="0"/>
    <x v="1"/>
    <s v="DK2_NoDH"/>
    <x v="6"/>
    <x v="5"/>
    <x v="11"/>
    <x v="0"/>
    <x v="21"/>
    <n v="125.56009725201601"/>
    <n v="45829.435496985898"/>
    <n v="164985.967789149"/>
  </r>
  <r>
    <x v="0"/>
    <x v="0"/>
    <x v="0"/>
    <x v="0"/>
    <x v="1"/>
    <s v="DK2_NoDH"/>
    <x v="6"/>
    <x v="5"/>
    <x v="11"/>
    <x v="0"/>
    <x v="22"/>
    <n v="146.48678012735201"/>
    <n v="53467.674746483601"/>
    <n v="192483.62908734099"/>
  </r>
  <r>
    <x v="0"/>
    <x v="0"/>
    <x v="0"/>
    <x v="0"/>
    <x v="1"/>
    <s v="DK2_NoDH"/>
    <x v="6"/>
    <x v="5"/>
    <x v="11"/>
    <x v="0"/>
    <x v="23"/>
    <n v="168.057360937314"/>
    <n v="61340.9367421196"/>
    <n v="220827.372271631"/>
  </r>
  <r>
    <x v="0"/>
    <x v="0"/>
    <x v="0"/>
    <x v="0"/>
    <x v="1"/>
    <s v="DK2_Offshore"/>
    <x v="6"/>
    <x v="5"/>
    <x v="12"/>
    <x v="0"/>
    <x v="0"/>
    <n v="198.230415672486"/>
    <n v="72354.1017204573"/>
    <n v="260474.76619364601"/>
  </r>
  <r>
    <x v="0"/>
    <x v="0"/>
    <x v="0"/>
    <x v="0"/>
    <x v="1"/>
    <s v="DK2_Offshore"/>
    <x v="6"/>
    <x v="5"/>
    <x v="12"/>
    <x v="0"/>
    <x v="1"/>
    <n v="202.583448449077"/>
    <n v="73942.958683913297"/>
    <n v="266194.65126208798"/>
  </r>
  <r>
    <x v="0"/>
    <x v="0"/>
    <x v="0"/>
    <x v="0"/>
    <x v="1"/>
    <s v="DK2_Offshore"/>
    <x v="6"/>
    <x v="5"/>
    <x v="12"/>
    <x v="0"/>
    <x v="2"/>
    <n v="207.94102725103701"/>
    <n v="75898.474946628296"/>
    <n v="273234.50980786199"/>
  </r>
  <r>
    <x v="0"/>
    <x v="0"/>
    <x v="0"/>
    <x v="0"/>
    <x v="1"/>
    <s v="DK2_Offshore"/>
    <x v="6"/>
    <x v="5"/>
    <x v="12"/>
    <x v="0"/>
    <x v="3"/>
    <n v="199.23496169785301"/>
    <n v="72720.761019716301"/>
    <n v="261794.739670979"/>
  </r>
  <r>
    <x v="0"/>
    <x v="0"/>
    <x v="0"/>
    <x v="0"/>
    <x v="1"/>
    <s v="DK2_Offshore"/>
    <x v="6"/>
    <x v="5"/>
    <x v="12"/>
    <x v="0"/>
    <x v="4"/>
    <n v="235.06376993595401"/>
    <n v="85798.276026623294"/>
    <n v="308873.79369584401"/>
  </r>
  <r>
    <x v="0"/>
    <x v="0"/>
    <x v="0"/>
    <x v="0"/>
    <x v="1"/>
    <s v="DK2_Offshore"/>
    <x v="6"/>
    <x v="5"/>
    <x v="12"/>
    <x v="0"/>
    <x v="5"/>
    <n v="259.842571895015"/>
    <n v="94842.538741680502"/>
    <n v="341433.13947004999"/>
  </r>
  <r>
    <x v="0"/>
    <x v="0"/>
    <x v="0"/>
    <x v="0"/>
    <x v="1"/>
    <s v="DK2_Offshore"/>
    <x v="6"/>
    <x v="5"/>
    <x v="12"/>
    <x v="0"/>
    <x v="6"/>
    <n v="275.24561095064701"/>
    <n v="100464.64799698599"/>
    <n v="361672.73278915102"/>
  </r>
  <r>
    <x v="0"/>
    <x v="0"/>
    <x v="0"/>
    <x v="0"/>
    <x v="1"/>
    <s v="DK2_Offshore"/>
    <x v="6"/>
    <x v="5"/>
    <x v="12"/>
    <x v="0"/>
    <x v="7"/>
    <n v="297.01077483360598"/>
    <n v="108408.93281426599"/>
    <n v="390272.15813135798"/>
  </r>
  <r>
    <x v="0"/>
    <x v="0"/>
    <x v="0"/>
    <x v="0"/>
    <x v="1"/>
    <s v="DK2_Offshore"/>
    <x v="6"/>
    <x v="5"/>
    <x v="12"/>
    <x v="0"/>
    <x v="8"/>
    <n v="308.395629787769"/>
    <n v="112564.404872536"/>
    <n v="405231.85754112899"/>
  </r>
  <r>
    <x v="0"/>
    <x v="0"/>
    <x v="0"/>
    <x v="0"/>
    <x v="1"/>
    <s v="DK2_Offshore"/>
    <x v="6"/>
    <x v="5"/>
    <x v="12"/>
    <x v="0"/>
    <x v="9"/>
    <n v="306.38653773703402"/>
    <n v="111831.086274018"/>
    <n v="402591.910586463"/>
  </r>
  <r>
    <x v="0"/>
    <x v="0"/>
    <x v="0"/>
    <x v="0"/>
    <x v="1"/>
    <s v="DK2_Offshore"/>
    <x v="6"/>
    <x v="5"/>
    <x v="12"/>
    <x v="0"/>
    <x v="10"/>
    <n v="297.68047218385101"/>
    <n v="108653.37234710599"/>
    <n v="391152.14044957998"/>
  </r>
  <r>
    <x v="0"/>
    <x v="0"/>
    <x v="0"/>
    <x v="0"/>
    <x v="1"/>
    <s v="DK2_Offshore"/>
    <x v="6"/>
    <x v="5"/>
    <x v="12"/>
    <x v="0"/>
    <x v="11"/>
    <n v="276.58500565113701"/>
    <n v="100953.527062665"/>
    <n v="363432.69742559397"/>
  </r>
  <r>
    <x v="0"/>
    <x v="0"/>
    <x v="0"/>
    <x v="0"/>
    <x v="1"/>
    <s v="DK2_Offshore"/>
    <x v="6"/>
    <x v="5"/>
    <x v="12"/>
    <x v="0"/>
    <x v="12"/>
    <n v="249.46226296621899"/>
    <n v="91053.725982670105"/>
    <n v="327793.41353761201"/>
  </r>
  <r>
    <x v="0"/>
    <x v="0"/>
    <x v="0"/>
    <x v="0"/>
    <x v="1"/>
    <s v="DK2_Offshore"/>
    <x v="6"/>
    <x v="5"/>
    <x v="12"/>
    <x v="0"/>
    <x v="13"/>
    <n v="210.954665327139"/>
    <n v="76998.452844405605"/>
    <n v="277194.43023986003"/>
  </r>
  <r>
    <x v="0"/>
    <x v="0"/>
    <x v="0"/>
    <x v="0"/>
    <x v="1"/>
    <s v="DK2_Offshore"/>
    <x v="6"/>
    <x v="5"/>
    <x v="12"/>
    <x v="0"/>
    <x v="14"/>
    <n v="184.16677131734301"/>
    <n v="67220.871530830205"/>
    <n v="241995.13751098901"/>
  </r>
  <r>
    <x v="0"/>
    <x v="0"/>
    <x v="0"/>
    <x v="0"/>
    <x v="1"/>
    <s v="DK2_Offshore"/>
    <x v="6"/>
    <x v="5"/>
    <x v="12"/>
    <x v="0"/>
    <x v="15"/>
    <n v="206.26678387542401"/>
    <n v="75287.376114529907"/>
    <n v="271034.55401230702"/>
  </r>
  <r>
    <x v="0"/>
    <x v="0"/>
    <x v="0"/>
    <x v="0"/>
    <x v="1"/>
    <s v="DK2_Offshore"/>
    <x v="6"/>
    <x v="5"/>
    <x v="12"/>
    <x v="0"/>
    <x v="16"/>
    <n v="229.37134245887299"/>
    <n v="83720.539997488595"/>
    <n v="301393.94399095897"/>
  </r>
  <r>
    <x v="0"/>
    <x v="0"/>
    <x v="0"/>
    <x v="0"/>
    <x v="1"/>
    <s v="DK2_Offshore"/>
    <x v="6"/>
    <x v="5"/>
    <x v="12"/>
    <x v="0"/>
    <x v="17"/>
    <n v="230.71073715936299"/>
    <n v="84209.419063167297"/>
    <n v="303153.90862740198"/>
  </r>
  <r>
    <x v="0"/>
    <x v="0"/>
    <x v="0"/>
    <x v="0"/>
    <x v="1"/>
    <s v="DK2_Offshore"/>
    <x v="6"/>
    <x v="5"/>
    <x v="12"/>
    <x v="0"/>
    <x v="18"/>
    <n v="193.87738289589399"/>
    <n v="70765.244757001303"/>
    <n v="254754.88112520499"/>
  </r>
  <r>
    <x v="0"/>
    <x v="0"/>
    <x v="0"/>
    <x v="0"/>
    <x v="1"/>
    <s v="DK2_Offshore"/>
    <x v="6"/>
    <x v="5"/>
    <x v="12"/>
    <x v="0"/>
    <x v="19"/>
    <n v="167.08948888609899"/>
    <n v="60987.663443425998"/>
    <n v="219555.588396334"/>
  </r>
  <r>
    <x v="0"/>
    <x v="0"/>
    <x v="0"/>
    <x v="0"/>
    <x v="1"/>
    <s v="DK2_Offshore"/>
    <x v="6"/>
    <x v="5"/>
    <x v="12"/>
    <x v="0"/>
    <x v="20"/>
    <n v="138.962200175813"/>
    <n v="50721.203064171903"/>
    <n v="182596.33103101901"/>
  </r>
  <r>
    <x v="0"/>
    <x v="0"/>
    <x v="0"/>
    <x v="0"/>
    <x v="1"/>
    <s v="DK2_Offshore"/>
    <x v="6"/>
    <x v="5"/>
    <x v="12"/>
    <x v="0"/>
    <x v="21"/>
    <n v="130.59098329775199"/>
    <n v="47665.708903679602"/>
    <n v="171596.552053247"/>
  </r>
  <r>
    <x v="0"/>
    <x v="0"/>
    <x v="0"/>
    <x v="0"/>
    <x v="1"/>
    <s v="DK2_Offshore"/>
    <x v="6"/>
    <x v="5"/>
    <x v="12"/>
    <x v="0"/>
    <x v="22"/>
    <n v="152.35614718071099"/>
    <n v="55609.993720959603"/>
    <n v="200195.97739545401"/>
  </r>
  <r>
    <x v="0"/>
    <x v="0"/>
    <x v="0"/>
    <x v="0"/>
    <x v="1"/>
    <s v="DK2_Offshore"/>
    <x v="6"/>
    <x v="5"/>
    <x v="12"/>
    <x v="0"/>
    <x v="23"/>
    <n v="174.79100841391499"/>
    <n v="63798.718071078903"/>
    <n v="229675.38505588399"/>
  </r>
  <r>
    <x v="0"/>
    <x v="0"/>
    <x v="0"/>
    <x v="0"/>
    <x v="1"/>
    <s v="DK2_Rural"/>
    <x v="0"/>
    <x v="2"/>
    <x v="24"/>
    <x v="0"/>
    <x v="0"/>
    <n v="37"/>
    <n v="13505"/>
    <n v="48618"/>
  </r>
  <r>
    <x v="0"/>
    <x v="0"/>
    <x v="0"/>
    <x v="0"/>
    <x v="1"/>
    <s v="DK2_Rural"/>
    <x v="0"/>
    <x v="2"/>
    <x v="24"/>
    <x v="0"/>
    <x v="1"/>
    <n v="37"/>
    <n v="13505"/>
    <n v="48618"/>
  </r>
  <r>
    <x v="0"/>
    <x v="0"/>
    <x v="0"/>
    <x v="0"/>
    <x v="1"/>
    <s v="DK2_Rural"/>
    <x v="0"/>
    <x v="2"/>
    <x v="24"/>
    <x v="0"/>
    <x v="2"/>
    <n v="37"/>
    <n v="13505"/>
    <n v="48618"/>
  </r>
  <r>
    <x v="0"/>
    <x v="0"/>
    <x v="0"/>
    <x v="0"/>
    <x v="1"/>
    <s v="DK2_Rural"/>
    <x v="0"/>
    <x v="2"/>
    <x v="24"/>
    <x v="0"/>
    <x v="3"/>
    <n v="37"/>
    <n v="13505"/>
    <n v="48618"/>
  </r>
  <r>
    <x v="0"/>
    <x v="0"/>
    <x v="0"/>
    <x v="0"/>
    <x v="1"/>
    <s v="DK2_Rural"/>
    <x v="0"/>
    <x v="2"/>
    <x v="24"/>
    <x v="0"/>
    <x v="4"/>
    <n v="37"/>
    <n v="13505"/>
    <n v="48618"/>
  </r>
  <r>
    <x v="0"/>
    <x v="0"/>
    <x v="0"/>
    <x v="0"/>
    <x v="1"/>
    <s v="DK2_Rural"/>
    <x v="0"/>
    <x v="2"/>
    <x v="24"/>
    <x v="0"/>
    <x v="5"/>
    <n v="37"/>
    <n v="13505"/>
    <n v="48618"/>
  </r>
  <r>
    <x v="0"/>
    <x v="0"/>
    <x v="0"/>
    <x v="0"/>
    <x v="1"/>
    <s v="DK2_Rural"/>
    <x v="0"/>
    <x v="2"/>
    <x v="24"/>
    <x v="0"/>
    <x v="6"/>
    <n v="37"/>
    <n v="13505"/>
    <n v="48618"/>
  </r>
  <r>
    <x v="0"/>
    <x v="0"/>
    <x v="0"/>
    <x v="0"/>
    <x v="1"/>
    <s v="DK2_Rural"/>
    <x v="0"/>
    <x v="2"/>
    <x v="24"/>
    <x v="0"/>
    <x v="7"/>
    <n v="37"/>
    <n v="13505"/>
    <n v="48618"/>
  </r>
  <r>
    <x v="0"/>
    <x v="0"/>
    <x v="0"/>
    <x v="0"/>
    <x v="1"/>
    <s v="DK2_Rural"/>
    <x v="0"/>
    <x v="2"/>
    <x v="24"/>
    <x v="0"/>
    <x v="8"/>
    <n v="37"/>
    <n v="13505"/>
    <n v="48618"/>
  </r>
  <r>
    <x v="0"/>
    <x v="0"/>
    <x v="0"/>
    <x v="0"/>
    <x v="1"/>
    <s v="DK2_Rural"/>
    <x v="0"/>
    <x v="2"/>
    <x v="24"/>
    <x v="0"/>
    <x v="9"/>
    <n v="37"/>
    <n v="13505"/>
    <n v="48618"/>
  </r>
  <r>
    <x v="0"/>
    <x v="0"/>
    <x v="0"/>
    <x v="0"/>
    <x v="1"/>
    <s v="DK2_Rural"/>
    <x v="0"/>
    <x v="2"/>
    <x v="24"/>
    <x v="0"/>
    <x v="10"/>
    <n v="37"/>
    <n v="13505"/>
    <n v="48618"/>
  </r>
  <r>
    <x v="0"/>
    <x v="0"/>
    <x v="0"/>
    <x v="0"/>
    <x v="1"/>
    <s v="DK2_Rural"/>
    <x v="0"/>
    <x v="2"/>
    <x v="24"/>
    <x v="0"/>
    <x v="11"/>
    <n v="37"/>
    <n v="13505"/>
    <n v="48618"/>
  </r>
  <r>
    <x v="0"/>
    <x v="0"/>
    <x v="0"/>
    <x v="0"/>
    <x v="1"/>
    <s v="DK2_Rural"/>
    <x v="0"/>
    <x v="2"/>
    <x v="24"/>
    <x v="0"/>
    <x v="12"/>
    <n v="37"/>
    <n v="13505"/>
    <n v="48618"/>
  </r>
  <r>
    <x v="0"/>
    <x v="0"/>
    <x v="0"/>
    <x v="0"/>
    <x v="1"/>
    <s v="DK2_Rural"/>
    <x v="0"/>
    <x v="2"/>
    <x v="24"/>
    <x v="0"/>
    <x v="13"/>
    <n v="37"/>
    <n v="13505"/>
    <n v="48618"/>
  </r>
  <r>
    <x v="0"/>
    <x v="0"/>
    <x v="0"/>
    <x v="0"/>
    <x v="1"/>
    <s v="DK2_Rural"/>
    <x v="0"/>
    <x v="2"/>
    <x v="24"/>
    <x v="0"/>
    <x v="14"/>
    <n v="37"/>
    <n v="13505"/>
    <n v="48618"/>
  </r>
  <r>
    <x v="0"/>
    <x v="0"/>
    <x v="0"/>
    <x v="0"/>
    <x v="1"/>
    <s v="DK2_Rural"/>
    <x v="0"/>
    <x v="2"/>
    <x v="24"/>
    <x v="0"/>
    <x v="15"/>
    <n v="37"/>
    <n v="13505"/>
    <n v="48618"/>
  </r>
  <r>
    <x v="0"/>
    <x v="0"/>
    <x v="0"/>
    <x v="0"/>
    <x v="1"/>
    <s v="DK2_Rural"/>
    <x v="0"/>
    <x v="2"/>
    <x v="24"/>
    <x v="0"/>
    <x v="16"/>
    <n v="37"/>
    <n v="13505"/>
    <n v="48618"/>
  </r>
  <r>
    <x v="0"/>
    <x v="0"/>
    <x v="0"/>
    <x v="0"/>
    <x v="1"/>
    <s v="DK2_Rural"/>
    <x v="0"/>
    <x v="2"/>
    <x v="24"/>
    <x v="0"/>
    <x v="17"/>
    <n v="37"/>
    <n v="13505"/>
    <n v="48618"/>
  </r>
  <r>
    <x v="0"/>
    <x v="0"/>
    <x v="0"/>
    <x v="0"/>
    <x v="1"/>
    <s v="DK2_Rural"/>
    <x v="0"/>
    <x v="2"/>
    <x v="24"/>
    <x v="0"/>
    <x v="18"/>
    <n v="37"/>
    <n v="13505"/>
    <n v="48618"/>
  </r>
  <r>
    <x v="0"/>
    <x v="0"/>
    <x v="0"/>
    <x v="0"/>
    <x v="1"/>
    <s v="DK2_Rural"/>
    <x v="0"/>
    <x v="2"/>
    <x v="24"/>
    <x v="0"/>
    <x v="19"/>
    <n v="37"/>
    <n v="13505"/>
    <n v="48618"/>
  </r>
  <r>
    <x v="0"/>
    <x v="0"/>
    <x v="0"/>
    <x v="0"/>
    <x v="1"/>
    <s v="DK2_Rural"/>
    <x v="0"/>
    <x v="2"/>
    <x v="24"/>
    <x v="0"/>
    <x v="20"/>
    <n v="37"/>
    <n v="13505"/>
    <n v="48618"/>
  </r>
  <r>
    <x v="0"/>
    <x v="0"/>
    <x v="0"/>
    <x v="0"/>
    <x v="1"/>
    <s v="DK2_Rural"/>
    <x v="0"/>
    <x v="2"/>
    <x v="24"/>
    <x v="0"/>
    <x v="21"/>
    <n v="37"/>
    <n v="13505"/>
    <n v="48618"/>
  </r>
  <r>
    <x v="0"/>
    <x v="0"/>
    <x v="0"/>
    <x v="0"/>
    <x v="1"/>
    <s v="DK2_Rural"/>
    <x v="0"/>
    <x v="2"/>
    <x v="24"/>
    <x v="0"/>
    <x v="22"/>
    <n v="37"/>
    <n v="13505"/>
    <n v="48618"/>
  </r>
  <r>
    <x v="0"/>
    <x v="0"/>
    <x v="0"/>
    <x v="0"/>
    <x v="1"/>
    <s v="DK2_Rural"/>
    <x v="0"/>
    <x v="2"/>
    <x v="24"/>
    <x v="0"/>
    <x v="23"/>
    <n v="37"/>
    <n v="13505"/>
    <n v="48618"/>
  </r>
  <r>
    <x v="0"/>
    <x v="0"/>
    <x v="0"/>
    <x v="0"/>
    <x v="1"/>
    <s v="DK2_Rural"/>
    <x v="1"/>
    <x v="1"/>
    <x v="15"/>
    <x v="0"/>
    <x v="0"/>
    <n v="-0.2"/>
    <n v="-73"/>
    <n v="-262.8"/>
  </r>
  <r>
    <x v="0"/>
    <x v="0"/>
    <x v="0"/>
    <x v="0"/>
    <x v="1"/>
    <s v="DK2_Rural"/>
    <x v="1"/>
    <x v="1"/>
    <x v="15"/>
    <x v="0"/>
    <x v="1"/>
    <n v="-0.2"/>
    <n v="-73"/>
    <n v="-262.8"/>
  </r>
  <r>
    <x v="0"/>
    <x v="0"/>
    <x v="0"/>
    <x v="0"/>
    <x v="1"/>
    <s v="DK2_Rural"/>
    <x v="1"/>
    <x v="1"/>
    <x v="15"/>
    <x v="0"/>
    <x v="2"/>
    <n v="-0.2"/>
    <n v="-73"/>
    <n v="-262.8"/>
  </r>
  <r>
    <x v="0"/>
    <x v="0"/>
    <x v="0"/>
    <x v="0"/>
    <x v="1"/>
    <s v="DK2_Rural"/>
    <x v="1"/>
    <x v="1"/>
    <x v="15"/>
    <x v="0"/>
    <x v="3"/>
    <n v="-0.2"/>
    <n v="-73"/>
    <n v="-262.8"/>
  </r>
  <r>
    <x v="0"/>
    <x v="0"/>
    <x v="0"/>
    <x v="0"/>
    <x v="1"/>
    <s v="DK2_Rural"/>
    <x v="1"/>
    <x v="1"/>
    <x v="15"/>
    <x v="0"/>
    <x v="4"/>
    <n v="-0.2"/>
    <n v="-73"/>
    <n v="-262.8"/>
  </r>
  <r>
    <x v="0"/>
    <x v="0"/>
    <x v="0"/>
    <x v="0"/>
    <x v="1"/>
    <s v="DK2_Rural"/>
    <x v="1"/>
    <x v="1"/>
    <x v="15"/>
    <x v="0"/>
    <x v="5"/>
    <n v="-0.2"/>
    <n v="-73"/>
    <n v="-262.8"/>
  </r>
  <r>
    <x v="0"/>
    <x v="0"/>
    <x v="0"/>
    <x v="0"/>
    <x v="1"/>
    <s v="DK2_Rural"/>
    <x v="1"/>
    <x v="1"/>
    <x v="15"/>
    <x v="0"/>
    <x v="6"/>
    <n v="-0.2"/>
    <n v="-73"/>
    <n v="-262.8"/>
  </r>
  <r>
    <x v="0"/>
    <x v="0"/>
    <x v="0"/>
    <x v="0"/>
    <x v="1"/>
    <s v="DK2_Rural"/>
    <x v="1"/>
    <x v="1"/>
    <x v="15"/>
    <x v="0"/>
    <x v="7"/>
    <n v="-0.2"/>
    <n v="-73"/>
    <n v="-262.8"/>
  </r>
  <r>
    <x v="0"/>
    <x v="0"/>
    <x v="0"/>
    <x v="0"/>
    <x v="1"/>
    <s v="DK2_Rural"/>
    <x v="1"/>
    <x v="1"/>
    <x v="15"/>
    <x v="0"/>
    <x v="8"/>
    <n v="-0.2"/>
    <n v="-73"/>
    <n v="-262.8"/>
  </r>
  <r>
    <x v="0"/>
    <x v="0"/>
    <x v="0"/>
    <x v="0"/>
    <x v="1"/>
    <s v="DK2_Rural"/>
    <x v="1"/>
    <x v="1"/>
    <x v="15"/>
    <x v="0"/>
    <x v="9"/>
    <n v="-0.2"/>
    <n v="-73"/>
    <n v="-262.8"/>
  </r>
  <r>
    <x v="0"/>
    <x v="0"/>
    <x v="0"/>
    <x v="0"/>
    <x v="1"/>
    <s v="DK2_Rural"/>
    <x v="1"/>
    <x v="1"/>
    <x v="15"/>
    <x v="0"/>
    <x v="10"/>
    <n v="-0.2"/>
    <n v="-73"/>
    <n v="-262.8"/>
  </r>
  <r>
    <x v="0"/>
    <x v="0"/>
    <x v="0"/>
    <x v="0"/>
    <x v="1"/>
    <s v="DK2_Rural"/>
    <x v="1"/>
    <x v="1"/>
    <x v="15"/>
    <x v="0"/>
    <x v="11"/>
    <n v="-0.2"/>
    <n v="-73"/>
    <n v="-262.8"/>
  </r>
  <r>
    <x v="0"/>
    <x v="0"/>
    <x v="0"/>
    <x v="0"/>
    <x v="1"/>
    <s v="DK2_Rural"/>
    <x v="1"/>
    <x v="1"/>
    <x v="15"/>
    <x v="0"/>
    <x v="12"/>
    <n v="-0.2"/>
    <n v="-73"/>
    <n v="-262.8"/>
  </r>
  <r>
    <x v="0"/>
    <x v="0"/>
    <x v="0"/>
    <x v="0"/>
    <x v="1"/>
    <s v="DK2_Rural"/>
    <x v="1"/>
    <x v="1"/>
    <x v="15"/>
    <x v="0"/>
    <x v="13"/>
    <n v="-0.2"/>
    <n v="-73"/>
    <n v="-262.8"/>
  </r>
  <r>
    <x v="0"/>
    <x v="0"/>
    <x v="0"/>
    <x v="0"/>
    <x v="1"/>
    <s v="DK2_Rural"/>
    <x v="1"/>
    <x v="1"/>
    <x v="15"/>
    <x v="0"/>
    <x v="14"/>
    <n v="-0.2"/>
    <n v="-73"/>
    <n v="-262.8"/>
  </r>
  <r>
    <x v="0"/>
    <x v="0"/>
    <x v="0"/>
    <x v="0"/>
    <x v="1"/>
    <s v="DK2_Rural"/>
    <x v="1"/>
    <x v="1"/>
    <x v="15"/>
    <x v="0"/>
    <x v="15"/>
    <n v="-0.2"/>
    <n v="-73"/>
    <n v="-262.8"/>
  </r>
  <r>
    <x v="0"/>
    <x v="0"/>
    <x v="0"/>
    <x v="0"/>
    <x v="1"/>
    <s v="DK2_Rural"/>
    <x v="1"/>
    <x v="1"/>
    <x v="15"/>
    <x v="0"/>
    <x v="16"/>
    <n v="-0.2"/>
    <n v="-73"/>
    <n v="-262.8"/>
  </r>
  <r>
    <x v="0"/>
    <x v="0"/>
    <x v="0"/>
    <x v="0"/>
    <x v="1"/>
    <s v="DK2_Rural"/>
    <x v="1"/>
    <x v="1"/>
    <x v="15"/>
    <x v="0"/>
    <x v="17"/>
    <n v="-0.2"/>
    <n v="-73"/>
    <n v="-262.8"/>
  </r>
  <r>
    <x v="0"/>
    <x v="0"/>
    <x v="0"/>
    <x v="0"/>
    <x v="1"/>
    <s v="DK2_Rural"/>
    <x v="1"/>
    <x v="1"/>
    <x v="15"/>
    <x v="0"/>
    <x v="18"/>
    <n v="-0.2"/>
    <n v="-73"/>
    <n v="-262.8"/>
  </r>
  <r>
    <x v="0"/>
    <x v="0"/>
    <x v="0"/>
    <x v="0"/>
    <x v="1"/>
    <s v="DK2_Rural"/>
    <x v="1"/>
    <x v="1"/>
    <x v="15"/>
    <x v="0"/>
    <x v="19"/>
    <n v="-0.2"/>
    <n v="-73"/>
    <n v="-262.8"/>
  </r>
  <r>
    <x v="0"/>
    <x v="0"/>
    <x v="0"/>
    <x v="0"/>
    <x v="1"/>
    <s v="DK2_Rural"/>
    <x v="1"/>
    <x v="1"/>
    <x v="15"/>
    <x v="0"/>
    <x v="20"/>
    <n v="-0.2"/>
    <n v="-73"/>
    <n v="-262.8"/>
  </r>
  <r>
    <x v="0"/>
    <x v="0"/>
    <x v="0"/>
    <x v="0"/>
    <x v="1"/>
    <s v="DK2_Rural"/>
    <x v="1"/>
    <x v="1"/>
    <x v="15"/>
    <x v="0"/>
    <x v="21"/>
    <n v="-0.2"/>
    <n v="-73"/>
    <n v="-262.8"/>
  </r>
  <r>
    <x v="0"/>
    <x v="0"/>
    <x v="0"/>
    <x v="0"/>
    <x v="1"/>
    <s v="DK2_Rural"/>
    <x v="1"/>
    <x v="1"/>
    <x v="15"/>
    <x v="0"/>
    <x v="22"/>
    <n v="-0.2"/>
    <n v="-73"/>
    <n v="-262.8"/>
  </r>
  <r>
    <x v="0"/>
    <x v="0"/>
    <x v="0"/>
    <x v="0"/>
    <x v="1"/>
    <s v="DK2_Rural"/>
    <x v="1"/>
    <x v="1"/>
    <x v="15"/>
    <x v="0"/>
    <x v="23"/>
    <n v="-0.2"/>
    <n v="-73"/>
    <n v="-262.8"/>
  </r>
  <r>
    <x v="0"/>
    <x v="0"/>
    <x v="0"/>
    <x v="0"/>
    <x v="1"/>
    <s v="DK2_Rural"/>
    <x v="8"/>
    <x v="2"/>
    <x v="25"/>
    <x v="0"/>
    <x v="18"/>
    <n v="2.4769999999999999"/>
    <n v="904.10500000000002"/>
    <n v="3254.7779999999998"/>
  </r>
  <r>
    <x v="0"/>
    <x v="0"/>
    <x v="0"/>
    <x v="0"/>
    <x v="1"/>
    <s v="DK2_Rural"/>
    <x v="8"/>
    <x v="2"/>
    <x v="25"/>
    <x v="0"/>
    <x v="19"/>
    <n v="2.4769999999999999"/>
    <n v="904.10500000000002"/>
    <n v="3254.7779999999998"/>
  </r>
  <r>
    <x v="0"/>
    <x v="0"/>
    <x v="0"/>
    <x v="0"/>
    <x v="1"/>
    <s v="DK2_Rural"/>
    <x v="8"/>
    <x v="2"/>
    <x v="25"/>
    <x v="0"/>
    <x v="20"/>
    <n v="2.4769999999999999"/>
    <n v="904.10500000000002"/>
    <n v="3254.7779999999998"/>
  </r>
  <r>
    <x v="0"/>
    <x v="0"/>
    <x v="0"/>
    <x v="0"/>
    <x v="1"/>
    <s v="DK2_Rural"/>
    <x v="8"/>
    <x v="2"/>
    <x v="25"/>
    <x v="0"/>
    <x v="21"/>
    <n v="2.4769999999999999"/>
    <n v="904.10500000000002"/>
    <n v="3254.7779999999998"/>
  </r>
  <r>
    <x v="0"/>
    <x v="0"/>
    <x v="0"/>
    <x v="0"/>
    <x v="1"/>
    <s v="DK2_Rural"/>
    <x v="8"/>
    <x v="2"/>
    <x v="26"/>
    <x v="0"/>
    <x v="0"/>
    <n v="0.5"/>
    <n v="182.5"/>
    <n v="657"/>
  </r>
  <r>
    <x v="0"/>
    <x v="0"/>
    <x v="0"/>
    <x v="0"/>
    <x v="1"/>
    <s v="DK2_Rural"/>
    <x v="8"/>
    <x v="2"/>
    <x v="26"/>
    <x v="0"/>
    <x v="1"/>
    <n v="0.5"/>
    <n v="182.5"/>
    <n v="657"/>
  </r>
  <r>
    <x v="0"/>
    <x v="0"/>
    <x v="0"/>
    <x v="0"/>
    <x v="1"/>
    <s v="DK2_Rural"/>
    <x v="8"/>
    <x v="2"/>
    <x v="26"/>
    <x v="0"/>
    <x v="2"/>
    <n v="0.5"/>
    <n v="182.5"/>
    <n v="657"/>
  </r>
  <r>
    <x v="0"/>
    <x v="0"/>
    <x v="0"/>
    <x v="0"/>
    <x v="1"/>
    <s v="DK2_Rural"/>
    <x v="8"/>
    <x v="2"/>
    <x v="26"/>
    <x v="0"/>
    <x v="3"/>
    <n v="0.5"/>
    <n v="182.5"/>
    <n v="657"/>
  </r>
  <r>
    <x v="0"/>
    <x v="0"/>
    <x v="0"/>
    <x v="0"/>
    <x v="1"/>
    <s v="DK2_Rural"/>
    <x v="8"/>
    <x v="2"/>
    <x v="26"/>
    <x v="0"/>
    <x v="4"/>
    <n v="0.5"/>
    <n v="182.5"/>
    <n v="657"/>
  </r>
  <r>
    <x v="0"/>
    <x v="0"/>
    <x v="0"/>
    <x v="0"/>
    <x v="1"/>
    <s v="DK2_Rural"/>
    <x v="8"/>
    <x v="2"/>
    <x v="26"/>
    <x v="0"/>
    <x v="5"/>
    <n v="0.5"/>
    <n v="182.5"/>
    <n v="657"/>
  </r>
  <r>
    <x v="0"/>
    <x v="0"/>
    <x v="0"/>
    <x v="0"/>
    <x v="1"/>
    <s v="DK2_Rural"/>
    <x v="8"/>
    <x v="2"/>
    <x v="26"/>
    <x v="0"/>
    <x v="6"/>
    <n v="0.5"/>
    <n v="182.5"/>
    <n v="657"/>
  </r>
  <r>
    <x v="0"/>
    <x v="0"/>
    <x v="0"/>
    <x v="0"/>
    <x v="1"/>
    <s v="DK2_Rural"/>
    <x v="8"/>
    <x v="2"/>
    <x v="26"/>
    <x v="0"/>
    <x v="7"/>
    <n v="0.5"/>
    <n v="182.5"/>
    <n v="657"/>
  </r>
  <r>
    <x v="0"/>
    <x v="0"/>
    <x v="0"/>
    <x v="0"/>
    <x v="1"/>
    <s v="DK2_Rural"/>
    <x v="8"/>
    <x v="2"/>
    <x v="26"/>
    <x v="0"/>
    <x v="8"/>
    <n v="0.5"/>
    <n v="182.5"/>
    <n v="657"/>
  </r>
  <r>
    <x v="0"/>
    <x v="0"/>
    <x v="0"/>
    <x v="0"/>
    <x v="1"/>
    <s v="DK2_Rural"/>
    <x v="8"/>
    <x v="2"/>
    <x v="26"/>
    <x v="0"/>
    <x v="9"/>
    <n v="0.5"/>
    <n v="182.5"/>
    <n v="657"/>
  </r>
  <r>
    <x v="0"/>
    <x v="0"/>
    <x v="0"/>
    <x v="0"/>
    <x v="1"/>
    <s v="DK2_Rural"/>
    <x v="8"/>
    <x v="2"/>
    <x v="26"/>
    <x v="0"/>
    <x v="10"/>
    <n v="0.5"/>
    <n v="182.5"/>
    <n v="657"/>
  </r>
  <r>
    <x v="0"/>
    <x v="0"/>
    <x v="0"/>
    <x v="0"/>
    <x v="1"/>
    <s v="DK2_Rural"/>
    <x v="8"/>
    <x v="2"/>
    <x v="26"/>
    <x v="0"/>
    <x v="11"/>
    <n v="0.5"/>
    <n v="182.5"/>
    <n v="657"/>
  </r>
  <r>
    <x v="0"/>
    <x v="0"/>
    <x v="0"/>
    <x v="0"/>
    <x v="1"/>
    <s v="DK2_Rural"/>
    <x v="8"/>
    <x v="2"/>
    <x v="26"/>
    <x v="0"/>
    <x v="12"/>
    <n v="0.5"/>
    <n v="182.5"/>
    <n v="657"/>
  </r>
  <r>
    <x v="0"/>
    <x v="0"/>
    <x v="0"/>
    <x v="0"/>
    <x v="1"/>
    <s v="DK2_Rural"/>
    <x v="8"/>
    <x v="2"/>
    <x v="26"/>
    <x v="0"/>
    <x v="13"/>
    <n v="0.5"/>
    <n v="182.5"/>
    <n v="657"/>
  </r>
  <r>
    <x v="0"/>
    <x v="0"/>
    <x v="0"/>
    <x v="0"/>
    <x v="1"/>
    <s v="DK2_Rural"/>
    <x v="8"/>
    <x v="2"/>
    <x v="26"/>
    <x v="0"/>
    <x v="14"/>
    <n v="0.5"/>
    <n v="182.5"/>
    <n v="657"/>
  </r>
  <r>
    <x v="0"/>
    <x v="0"/>
    <x v="0"/>
    <x v="0"/>
    <x v="1"/>
    <s v="DK2_Rural"/>
    <x v="8"/>
    <x v="2"/>
    <x v="26"/>
    <x v="0"/>
    <x v="15"/>
    <n v="0.5"/>
    <n v="182.5"/>
    <n v="657"/>
  </r>
  <r>
    <x v="0"/>
    <x v="0"/>
    <x v="0"/>
    <x v="0"/>
    <x v="1"/>
    <s v="DK2_Rural"/>
    <x v="8"/>
    <x v="2"/>
    <x v="26"/>
    <x v="0"/>
    <x v="16"/>
    <n v="0.5"/>
    <n v="182.5"/>
    <n v="657"/>
  </r>
  <r>
    <x v="0"/>
    <x v="0"/>
    <x v="0"/>
    <x v="0"/>
    <x v="1"/>
    <s v="DK2_Rural"/>
    <x v="8"/>
    <x v="2"/>
    <x v="26"/>
    <x v="0"/>
    <x v="17"/>
    <n v="0.5"/>
    <n v="182.5"/>
    <n v="657"/>
  </r>
  <r>
    <x v="0"/>
    <x v="0"/>
    <x v="0"/>
    <x v="0"/>
    <x v="1"/>
    <s v="DK2_Rural"/>
    <x v="8"/>
    <x v="2"/>
    <x v="26"/>
    <x v="0"/>
    <x v="18"/>
    <n v="0.5"/>
    <n v="182.5"/>
    <n v="657"/>
  </r>
  <r>
    <x v="0"/>
    <x v="0"/>
    <x v="0"/>
    <x v="0"/>
    <x v="1"/>
    <s v="DK2_Rural"/>
    <x v="8"/>
    <x v="2"/>
    <x v="26"/>
    <x v="0"/>
    <x v="19"/>
    <n v="0.5"/>
    <n v="182.5"/>
    <n v="657"/>
  </r>
  <r>
    <x v="0"/>
    <x v="0"/>
    <x v="0"/>
    <x v="0"/>
    <x v="1"/>
    <s v="DK2_Rural"/>
    <x v="8"/>
    <x v="2"/>
    <x v="26"/>
    <x v="0"/>
    <x v="20"/>
    <n v="0.5"/>
    <n v="182.5"/>
    <n v="657"/>
  </r>
  <r>
    <x v="0"/>
    <x v="0"/>
    <x v="0"/>
    <x v="0"/>
    <x v="1"/>
    <s v="DK2_Rural"/>
    <x v="8"/>
    <x v="2"/>
    <x v="26"/>
    <x v="0"/>
    <x v="21"/>
    <n v="0.5"/>
    <n v="182.5"/>
    <n v="657"/>
  </r>
  <r>
    <x v="0"/>
    <x v="0"/>
    <x v="0"/>
    <x v="0"/>
    <x v="1"/>
    <s v="DK2_Rural"/>
    <x v="8"/>
    <x v="2"/>
    <x v="26"/>
    <x v="0"/>
    <x v="22"/>
    <n v="0.5"/>
    <n v="182.5"/>
    <n v="657"/>
  </r>
  <r>
    <x v="0"/>
    <x v="0"/>
    <x v="0"/>
    <x v="0"/>
    <x v="1"/>
    <s v="DK2_Rural"/>
    <x v="8"/>
    <x v="2"/>
    <x v="26"/>
    <x v="0"/>
    <x v="23"/>
    <n v="0.5"/>
    <n v="182.5"/>
    <n v="657"/>
  </r>
  <r>
    <x v="0"/>
    <x v="0"/>
    <x v="0"/>
    <x v="0"/>
    <x v="1"/>
    <s v="DK2_Rural"/>
    <x v="8"/>
    <x v="2"/>
    <x v="27"/>
    <x v="0"/>
    <x v="0"/>
    <n v="0.55000000000000004"/>
    <n v="200.75"/>
    <n v="722.7"/>
  </r>
  <r>
    <x v="0"/>
    <x v="0"/>
    <x v="0"/>
    <x v="0"/>
    <x v="1"/>
    <s v="DK2_Rural"/>
    <x v="8"/>
    <x v="2"/>
    <x v="27"/>
    <x v="0"/>
    <x v="1"/>
    <n v="0.55000000000000004"/>
    <n v="200.75"/>
    <n v="722.7"/>
  </r>
  <r>
    <x v="0"/>
    <x v="0"/>
    <x v="0"/>
    <x v="0"/>
    <x v="1"/>
    <s v="DK2_Rural"/>
    <x v="8"/>
    <x v="2"/>
    <x v="27"/>
    <x v="0"/>
    <x v="2"/>
    <n v="0.55000000000000004"/>
    <n v="200.75"/>
    <n v="722.7"/>
  </r>
  <r>
    <x v="0"/>
    <x v="0"/>
    <x v="0"/>
    <x v="0"/>
    <x v="1"/>
    <s v="DK2_Rural"/>
    <x v="8"/>
    <x v="2"/>
    <x v="27"/>
    <x v="0"/>
    <x v="3"/>
    <n v="0.55000000000000004"/>
    <n v="200.75"/>
    <n v="722.7"/>
  </r>
  <r>
    <x v="0"/>
    <x v="0"/>
    <x v="0"/>
    <x v="0"/>
    <x v="1"/>
    <s v="DK2_Rural"/>
    <x v="8"/>
    <x v="2"/>
    <x v="27"/>
    <x v="0"/>
    <x v="4"/>
    <n v="0.55000000000000004"/>
    <n v="200.75"/>
    <n v="722.7"/>
  </r>
  <r>
    <x v="0"/>
    <x v="0"/>
    <x v="0"/>
    <x v="0"/>
    <x v="1"/>
    <s v="DK2_Rural"/>
    <x v="8"/>
    <x v="2"/>
    <x v="27"/>
    <x v="0"/>
    <x v="5"/>
    <n v="0.55000000000000004"/>
    <n v="200.75"/>
    <n v="722.7"/>
  </r>
  <r>
    <x v="0"/>
    <x v="0"/>
    <x v="0"/>
    <x v="0"/>
    <x v="1"/>
    <s v="DK2_Rural"/>
    <x v="8"/>
    <x v="2"/>
    <x v="27"/>
    <x v="0"/>
    <x v="6"/>
    <n v="0.55000000000000004"/>
    <n v="200.75"/>
    <n v="722.7"/>
  </r>
  <r>
    <x v="0"/>
    <x v="0"/>
    <x v="0"/>
    <x v="0"/>
    <x v="1"/>
    <s v="DK2_Rural"/>
    <x v="8"/>
    <x v="2"/>
    <x v="27"/>
    <x v="0"/>
    <x v="7"/>
    <n v="0.55000000000000004"/>
    <n v="200.75"/>
    <n v="722.7"/>
  </r>
  <r>
    <x v="0"/>
    <x v="0"/>
    <x v="0"/>
    <x v="0"/>
    <x v="1"/>
    <s v="DK2_Rural"/>
    <x v="8"/>
    <x v="2"/>
    <x v="27"/>
    <x v="0"/>
    <x v="8"/>
    <n v="0.55000000000000004"/>
    <n v="200.75"/>
    <n v="722.7"/>
  </r>
  <r>
    <x v="0"/>
    <x v="0"/>
    <x v="0"/>
    <x v="0"/>
    <x v="1"/>
    <s v="DK2_Rural"/>
    <x v="8"/>
    <x v="2"/>
    <x v="27"/>
    <x v="0"/>
    <x v="9"/>
    <n v="0.55000000000000004"/>
    <n v="200.75"/>
    <n v="722.7"/>
  </r>
  <r>
    <x v="0"/>
    <x v="0"/>
    <x v="0"/>
    <x v="0"/>
    <x v="1"/>
    <s v="DK2_Rural"/>
    <x v="8"/>
    <x v="2"/>
    <x v="27"/>
    <x v="0"/>
    <x v="10"/>
    <n v="0.55000000000000004"/>
    <n v="200.75"/>
    <n v="722.7"/>
  </r>
  <r>
    <x v="0"/>
    <x v="0"/>
    <x v="0"/>
    <x v="0"/>
    <x v="1"/>
    <s v="DK2_Rural"/>
    <x v="8"/>
    <x v="2"/>
    <x v="27"/>
    <x v="0"/>
    <x v="11"/>
    <n v="0.55000000000000004"/>
    <n v="200.75"/>
    <n v="722.7"/>
  </r>
  <r>
    <x v="0"/>
    <x v="0"/>
    <x v="0"/>
    <x v="0"/>
    <x v="1"/>
    <s v="DK2_Rural"/>
    <x v="8"/>
    <x v="2"/>
    <x v="27"/>
    <x v="0"/>
    <x v="12"/>
    <n v="0.55000000000000004"/>
    <n v="200.75"/>
    <n v="722.7"/>
  </r>
  <r>
    <x v="0"/>
    <x v="0"/>
    <x v="0"/>
    <x v="0"/>
    <x v="1"/>
    <s v="DK2_Rural"/>
    <x v="8"/>
    <x v="2"/>
    <x v="27"/>
    <x v="0"/>
    <x v="13"/>
    <n v="0.55000000000000004"/>
    <n v="200.75"/>
    <n v="722.7"/>
  </r>
  <r>
    <x v="0"/>
    <x v="0"/>
    <x v="0"/>
    <x v="0"/>
    <x v="1"/>
    <s v="DK2_Rural"/>
    <x v="8"/>
    <x v="2"/>
    <x v="27"/>
    <x v="0"/>
    <x v="14"/>
    <n v="0.55000000000000004"/>
    <n v="200.75"/>
    <n v="722.7"/>
  </r>
  <r>
    <x v="0"/>
    <x v="0"/>
    <x v="0"/>
    <x v="0"/>
    <x v="1"/>
    <s v="DK2_Rural"/>
    <x v="8"/>
    <x v="2"/>
    <x v="27"/>
    <x v="0"/>
    <x v="15"/>
    <n v="0.55000000000000004"/>
    <n v="200.75"/>
    <n v="722.7"/>
  </r>
  <r>
    <x v="0"/>
    <x v="0"/>
    <x v="0"/>
    <x v="0"/>
    <x v="1"/>
    <s v="DK2_Rural"/>
    <x v="8"/>
    <x v="2"/>
    <x v="27"/>
    <x v="0"/>
    <x v="16"/>
    <n v="0.55000000000000004"/>
    <n v="200.75"/>
    <n v="722.7"/>
  </r>
  <r>
    <x v="0"/>
    <x v="0"/>
    <x v="0"/>
    <x v="0"/>
    <x v="1"/>
    <s v="DK2_Rural"/>
    <x v="8"/>
    <x v="2"/>
    <x v="27"/>
    <x v="0"/>
    <x v="17"/>
    <n v="0.55000000000000004"/>
    <n v="200.75"/>
    <n v="722.7"/>
  </r>
  <r>
    <x v="0"/>
    <x v="0"/>
    <x v="0"/>
    <x v="0"/>
    <x v="1"/>
    <s v="DK2_Rural"/>
    <x v="8"/>
    <x v="2"/>
    <x v="27"/>
    <x v="0"/>
    <x v="18"/>
    <n v="0.55000000000000004"/>
    <n v="200.75"/>
    <n v="722.7"/>
  </r>
  <r>
    <x v="0"/>
    <x v="0"/>
    <x v="0"/>
    <x v="0"/>
    <x v="1"/>
    <s v="DK2_Rural"/>
    <x v="8"/>
    <x v="2"/>
    <x v="27"/>
    <x v="0"/>
    <x v="19"/>
    <n v="0.55000000000000004"/>
    <n v="200.75"/>
    <n v="722.7"/>
  </r>
  <r>
    <x v="0"/>
    <x v="0"/>
    <x v="0"/>
    <x v="0"/>
    <x v="1"/>
    <s v="DK2_Rural"/>
    <x v="8"/>
    <x v="2"/>
    <x v="27"/>
    <x v="0"/>
    <x v="20"/>
    <n v="0.55000000000000004"/>
    <n v="200.75"/>
    <n v="722.7"/>
  </r>
  <r>
    <x v="0"/>
    <x v="0"/>
    <x v="0"/>
    <x v="0"/>
    <x v="1"/>
    <s v="DK2_Rural"/>
    <x v="8"/>
    <x v="2"/>
    <x v="27"/>
    <x v="0"/>
    <x v="21"/>
    <n v="0.55000000000000004"/>
    <n v="200.75"/>
    <n v="722.7"/>
  </r>
  <r>
    <x v="0"/>
    <x v="0"/>
    <x v="0"/>
    <x v="0"/>
    <x v="1"/>
    <s v="DK2_Rural"/>
    <x v="8"/>
    <x v="2"/>
    <x v="27"/>
    <x v="0"/>
    <x v="22"/>
    <n v="0.55000000000000004"/>
    <n v="200.75"/>
    <n v="722.7"/>
  </r>
  <r>
    <x v="0"/>
    <x v="0"/>
    <x v="0"/>
    <x v="0"/>
    <x v="1"/>
    <s v="DK2_Rural"/>
    <x v="8"/>
    <x v="2"/>
    <x v="27"/>
    <x v="0"/>
    <x v="23"/>
    <n v="0.55000000000000004"/>
    <n v="200.75"/>
    <n v="722.7"/>
  </r>
  <r>
    <x v="0"/>
    <x v="0"/>
    <x v="0"/>
    <x v="0"/>
    <x v="1"/>
    <s v="DK2_Rural"/>
    <x v="7"/>
    <x v="2"/>
    <x v="28"/>
    <x v="0"/>
    <x v="0"/>
    <n v="5"/>
    <n v="1825"/>
    <n v="6570"/>
  </r>
  <r>
    <x v="0"/>
    <x v="0"/>
    <x v="0"/>
    <x v="0"/>
    <x v="1"/>
    <s v="DK2_Rural"/>
    <x v="7"/>
    <x v="2"/>
    <x v="28"/>
    <x v="0"/>
    <x v="1"/>
    <n v="5"/>
    <n v="1825"/>
    <n v="6570"/>
  </r>
  <r>
    <x v="0"/>
    <x v="0"/>
    <x v="0"/>
    <x v="0"/>
    <x v="1"/>
    <s v="DK2_Rural"/>
    <x v="7"/>
    <x v="2"/>
    <x v="28"/>
    <x v="0"/>
    <x v="2"/>
    <n v="5"/>
    <n v="1825"/>
    <n v="6570"/>
  </r>
  <r>
    <x v="0"/>
    <x v="0"/>
    <x v="0"/>
    <x v="0"/>
    <x v="1"/>
    <s v="DK2_Rural"/>
    <x v="7"/>
    <x v="2"/>
    <x v="28"/>
    <x v="0"/>
    <x v="3"/>
    <n v="5"/>
    <n v="1825"/>
    <n v="6570"/>
  </r>
  <r>
    <x v="0"/>
    <x v="0"/>
    <x v="0"/>
    <x v="0"/>
    <x v="1"/>
    <s v="DK2_Rural"/>
    <x v="7"/>
    <x v="2"/>
    <x v="28"/>
    <x v="0"/>
    <x v="4"/>
    <n v="5"/>
    <n v="1825"/>
    <n v="6570"/>
  </r>
  <r>
    <x v="0"/>
    <x v="0"/>
    <x v="0"/>
    <x v="0"/>
    <x v="1"/>
    <s v="DK2_Rural"/>
    <x v="7"/>
    <x v="2"/>
    <x v="28"/>
    <x v="0"/>
    <x v="5"/>
    <n v="5"/>
    <n v="1825"/>
    <n v="6570"/>
  </r>
  <r>
    <x v="0"/>
    <x v="0"/>
    <x v="0"/>
    <x v="0"/>
    <x v="1"/>
    <s v="DK2_Rural"/>
    <x v="7"/>
    <x v="2"/>
    <x v="28"/>
    <x v="0"/>
    <x v="6"/>
    <n v="5"/>
    <n v="1825"/>
    <n v="6570"/>
  </r>
  <r>
    <x v="0"/>
    <x v="0"/>
    <x v="0"/>
    <x v="0"/>
    <x v="1"/>
    <s v="DK2_Rural"/>
    <x v="7"/>
    <x v="2"/>
    <x v="28"/>
    <x v="0"/>
    <x v="7"/>
    <n v="5"/>
    <n v="1825"/>
    <n v="6570"/>
  </r>
  <r>
    <x v="0"/>
    <x v="0"/>
    <x v="0"/>
    <x v="0"/>
    <x v="1"/>
    <s v="DK2_Rural"/>
    <x v="7"/>
    <x v="2"/>
    <x v="28"/>
    <x v="0"/>
    <x v="8"/>
    <n v="5"/>
    <n v="1825"/>
    <n v="6570"/>
  </r>
  <r>
    <x v="0"/>
    <x v="0"/>
    <x v="0"/>
    <x v="0"/>
    <x v="1"/>
    <s v="DK2_Rural"/>
    <x v="7"/>
    <x v="2"/>
    <x v="28"/>
    <x v="0"/>
    <x v="9"/>
    <n v="5"/>
    <n v="1825"/>
    <n v="6570"/>
  </r>
  <r>
    <x v="0"/>
    <x v="0"/>
    <x v="0"/>
    <x v="0"/>
    <x v="1"/>
    <s v="DK2_Rural"/>
    <x v="7"/>
    <x v="2"/>
    <x v="28"/>
    <x v="0"/>
    <x v="10"/>
    <n v="5"/>
    <n v="1825"/>
    <n v="6570"/>
  </r>
  <r>
    <x v="0"/>
    <x v="0"/>
    <x v="0"/>
    <x v="0"/>
    <x v="1"/>
    <s v="DK2_Rural"/>
    <x v="7"/>
    <x v="2"/>
    <x v="28"/>
    <x v="0"/>
    <x v="11"/>
    <n v="5"/>
    <n v="1825"/>
    <n v="6570"/>
  </r>
  <r>
    <x v="0"/>
    <x v="0"/>
    <x v="0"/>
    <x v="0"/>
    <x v="1"/>
    <s v="DK2_Rural"/>
    <x v="7"/>
    <x v="2"/>
    <x v="28"/>
    <x v="0"/>
    <x v="12"/>
    <n v="5"/>
    <n v="1825"/>
    <n v="6570"/>
  </r>
  <r>
    <x v="0"/>
    <x v="0"/>
    <x v="0"/>
    <x v="0"/>
    <x v="1"/>
    <s v="DK2_Rural"/>
    <x v="7"/>
    <x v="2"/>
    <x v="28"/>
    <x v="0"/>
    <x v="13"/>
    <n v="5"/>
    <n v="1825"/>
    <n v="6570"/>
  </r>
  <r>
    <x v="0"/>
    <x v="0"/>
    <x v="0"/>
    <x v="0"/>
    <x v="1"/>
    <s v="DK2_Rural"/>
    <x v="7"/>
    <x v="2"/>
    <x v="28"/>
    <x v="0"/>
    <x v="14"/>
    <n v="5"/>
    <n v="1825"/>
    <n v="6570"/>
  </r>
  <r>
    <x v="0"/>
    <x v="0"/>
    <x v="0"/>
    <x v="0"/>
    <x v="1"/>
    <s v="DK2_Rural"/>
    <x v="7"/>
    <x v="2"/>
    <x v="28"/>
    <x v="0"/>
    <x v="15"/>
    <n v="5"/>
    <n v="1825"/>
    <n v="6570"/>
  </r>
  <r>
    <x v="0"/>
    <x v="0"/>
    <x v="0"/>
    <x v="0"/>
    <x v="1"/>
    <s v="DK2_Rural"/>
    <x v="7"/>
    <x v="2"/>
    <x v="28"/>
    <x v="0"/>
    <x v="16"/>
    <n v="5"/>
    <n v="1825"/>
    <n v="6570"/>
  </r>
  <r>
    <x v="0"/>
    <x v="0"/>
    <x v="0"/>
    <x v="0"/>
    <x v="1"/>
    <s v="DK2_Rural"/>
    <x v="7"/>
    <x v="2"/>
    <x v="28"/>
    <x v="0"/>
    <x v="17"/>
    <n v="5"/>
    <n v="1825"/>
    <n v="6570"/>
  </r>
  <r>
    <x v="0"/>
    <x v="0"/>
    <x v="0"/>
    <x v="0"/>
    <x v="1"/>
    <s v="DK2_Rural"/>
    <x v="7"/>
    <x v="2"/>
    <x v="28"/>
    <x v="0"/>
    <x v="18"/>
    <n v="5"/>
    <n v="1825"/>
    <n v="6570"/>
  </r>
  <r>
    <x v="0"/>
    <x v="0"/>
    <x v="0"/>
    <x v="0"/>
    <x v="1"/>
    <s v="DK2_Rural"/>
    <x v="7"/>
    <x v="2"/>
    <x v="28"/>
    <x v="0"/>
    <x v="19"/>
    <n v="5"/>
    <n v="1825"/>
    <n v="6570"/>
  </r>
  <r>
    <x v="0"/>
    <x v="0"/>
    <x v="0"/>
    <x v="0"/>
    <x v="1"/>
    <s v="DK2_Rural"/>
    <x v="7"/>
    <x v="2"/>
    <x v="28"/>
    <x v="0"/>
    <x v="20"/>
    <n v="5"/>
    <n v="1825"/>
    <n v="6570"/>
  </r>
  <r>
    <x v="0"/>
    <x v="0"/>
    <x v="0"/>
    <x v="0"/>
    <x v="1"/>
    <s v="DK2_Rural"/>
    <x v="7"/>
    <x v="2"/>
    <x v="28"/>
    <x v="0"/>
    <x v="21"/>
    <n v="5"/>
    <n v="1825"/>
    <n v="6570"/>
  </r>
  <r>
    <x v="0"/>
    <x v="0"/>
    <x v="0"/>
    <x v="0"/>
    <x v="1"/>
    <s v="DK2_Rural"/>
    <x v="7"/>
    <x v="2"/>
    <x v="28"/>
    <x v="0"/>
    <x v="22"/>
    <n v="5"/>
    <n v="1825"/>
    <n v="6570"/>
  </r>
  <r>
    <x v="0"/>
    <x v="0"/>
    <x v="0"/>
    <x v="0"/>
    <x v="1"/>
    <s v="DK2_Rural"/>
    <x v="7"/>
    <x v="2"/>
    <x v="28"/>
    <x v="0"/>
    <x v="23"/>
    <n v="5"/>
    <n v="1825"/>
    <n v="6570"/>
  </r>
  <r>
    <x v="0"/>
    <x v="0"/>
    <x v="0"/>
    <x v="0"/>
    <x v="1"/>
    <s v="DK2_Rural"/>
    <x v="7"/>
    <x v="2"/>
    <x v="29"/>
    <x v="0"/>
    <x v="0"/>
    <n v="9.98"/>
    <n v="3642.7"/>
    <n v="13113.72"/>
  </r>
  <r>
    <x v="0"/>
    <x v="0"/>
    <x v="0"/>
    <x v="0"/>
    <x v="1"/>
    <s v="DK2_Rural"/>
    <x v="7"/>
    <x v="2"/>
    <x v="29"/>
    <x v="0"/>
    <x v="1"/>
    <n v="9.98"/>
    <n v="3642.7"/>
    <n v="13113.72"/>
  </r>
  <r>
    <x v="0"/>
    <x v="0"/>
    <x v="0"/>
    <x v="0"/>
    <x v="1"/>
    <s v="DK2_Rural"/>
    <x v="7"/>
    <x v="2"/>
    <x v="29"/>
    <x v="0"/>
    <x v="2"/>
    <n v="9.98"/>
    <n v="3642.7"/>
    <n v="13113.72"/>
  </r>
  <r>
    <x v="0"/>
    <x v="0"/>
    <x v="0"/>
    <x v="0"/>
    <x v="1"/>
    <s v="DK2_Rural"/>
    <x v="7"/>
    <x v="2"/>
    <x v="29"/>
    <x v="0"/>
    <x v="3"/>
    <n v="9.98"/>
    <n v="3642.7"/>
    <n v="13113.72"/>
  </r>
  <r>
    <x v="0"/>
    <x v="0"/>
    <x v="0"/>
    <x v="0"/>
    <x v="1"/>
    <s v="DK2_Rural"/>
    <x v="7"/>
    <x v="2"/>
    <x v="29"/>
    <x v="0"/>
    <x v="4"/>
    <n v="9.98"/>
    <n v="3642.7"/>
    <n v="13113.72"/>
  </r>
  <r>
    <x v="0"/>
    <x v="0"/>
    <x v="0"/>
    <x v="0"/>
    <x v="1"/>
    <s v="DK2_Rural"/>
    <x v="7"/>
    <x v="2"/>
    <x v="29"/>
    <x v="0"/>
    <x v="5"/>
    <n v="9.98"/>
    <n v="3642.7"/>
    <n v="13113.72"/>
  </r>
  <r>
    <x v="0"/>
    <x v="0"/>
    <x v="0"/>
    <x v="0"/>
    <x v="1"/>
    <s v="DK2_Rural"/>
    <x v="7"/>
    <x v="2"/>
    <x v="29"/>
    <x v="0"/>
    <x v="6"/>
    <n v="9.98"/>
    <n v="3642.7"/>
    <n v="13113.72"/>
  </r>
  <r>
    <x v="0"/>
    <x v="0"/>
    <x v="0"/>
    <x v="0"/>
    <x v="1"/>
    <s v="DK2_Rural"/>
    <x v="7"/>
    <x v="2"/>
    <x v="29"/>
    <x v="0"/>
    <x v="7"/>
    <n v="9.98"/>
    <n v="3642.7"/>
    <n v="13113.72"/>
  </r>
  <r>
    <x v="0"/>
    <x v="0"/>
    <x v="0"/>
    <x v="0"/>
    <x v="1"/>
    <s v="DK2_Rural"/>
    <x v="7"/>
    <x v="2"/>
    <x v="29"/>
    <x v="0"/>
    <x v="8"/>
    <n v="9.98"/>
    <n v="3642.7"/>
    <n v="13113.72"/>
  </r>
  <r>
    <x v="0"/>
    <x v="0"/>
    <x v="0"/>
    <x v="0"/>
    <x v="1"/>
    <s v="DK2_Rural"/>
    <x v="7"/>
    <x v="2"/>
    <x v="29"/>
    <x v="0"/>
    <x v="9"/>
    <n v="9.98"/>
    <n v="3642.7"/>
    <n v="13113.72"/>
  </r>
  <r>
    <x v="0"/>
    <x v="0"/>
    <x v="0"/>
    <x v="0"/>
    <x v="1"/>
    <s v="DK2_Rural"/>
    <x v="7"/>
    <x v="2"/>
    <x v="29"/>
    <x v="0"/>
    <x v="10"/>
    <n v="9.98"/>
    <n v="3642.7"/>
    <n v="13113.72"/>
  </r>
  <r>
    <x v="0"/>
    <x v="0"/>
    <x v="0"/>
    <x v="0"/>
    <x v="1"/>
    <s v="DK2_Rural"/>
    <x v="7"/>
    <x v="2"/>
    <x v="29"/>
    <x v="0"/>
    <x v="11"/>
    <n v="9.98"/>
    <n v="3642.7"/>
    <n v="13113.72"/>
  </r>
  <r>
    <x v="0"/>
    <x v="0"/>
    <x v="0"/>
    <x v="0"/>
    <x v="1"/>
    <s v="DK2_Rural"/>
    <x v="7"/>
    <x v="2"/>
    <x v="29"/>
    <x v="0"/>
    <x v="12"/>
    <n v="9.98"/>
    <n v="3642.7"/>
    <n v="13113.72"/>
  </r>
  <r>
    <x v="0"/>
    <x v="0"/>
    <x v="0"/>
    <x v="0"/>
    <x v="1"/>
    <s v="DK2_Rural"/>
    <x v="7"/>
    <x v="2"/>
    <x v="29"/>
    <x v="0"/>
    <x v="13"/>
    <n v="9.98"/>
    <n v="3642.7"/>
    <n v="13113.72"/>
  </r>
  <r>
    <x v="0"/>
    <x v="0"/>
    <x v="0"/>
    <x v="0"/>
    <x v="1"/>
    <s v="DK2_Rural"/>
    <x v="7"/>
    <x v="2"/>
    <x v="29"/>
    <x v="0"/>
    <x v="14"/>
    <n v="9.98"/>
    <n v="3642.7"/>
    <n v="13113.72"/>
  </r>
  <r>
    <x v="0"/>
    <x v="0"/>
    <x v="0"/>
    <x v="0"/>
    <x v="1"/>
    <s v="DK2_Rural"/>
    <x v="7"/>
    <x v="2"/>
    <x v="29"/>
    <x v="0"/>
    <x v="15"/>
    <n v="9.98"/>
    <n v="3642.7"/>
    <n v="13113.72"/>
  </r>
  <r>
    <x v="0"/>
    <x v="0"/>
    <x v="0"/>
    <x v="0"/>
    <x v="1"/>
    <s v="DK2_Rural"/>
    <x v="7"/>
    <x v="2"/>
    <x v="29"/>
    <x v="0"/>
    <x v="16"/>
    <n v="9.98"/>
    <n v="3642.7"/>
    <n v="13113.72"/>
  </r>
  <r>
    <x v="0"/>
    <x v="0"/>
    <x v="0"/>
    <x v="0"/>
    <x v="1"/>
    <s v="DK2_Rural"/>
    <x v="7"/>
    <x v="2"/>
    <x v="29"/>
    <x v="0"/>
    <x v="17"/>
    <n v="9.98"/>
    <n v="3642.7"/>
    <n v="13113.72"/>
  </r>
  <r>
    <x v="0"/>
    <x v="0"/>
    <x v="0"/>
    <x v="0"/>
    <x v="1"/>
    <s v="DK2_Rural"/>
    <x v="7"/>
    <x v="2"/>
    <x v="29"/>
    <x v="0"/>
    <x v="18"/>
    <n v="9.98"/>
    <n v="3642.7"/>
    <n v="13113.72"/>
  </r>
  <r>
    <x v="0"/>
    <x v="0"/>
    <x v="0"/>
    <x v="0"/>
    <x v="1"/>
    <s v="DK2_Rural"/>
    <x v="7"/>
    <x v="2"/>
    <x v="29"/>
    <x v="0"/>
    <x v="19"/>
    <n v="9.98"/>
    <n v="3642.7"/>
    <n v="13113.72"/>
  </r>
  <r>
    <x v="0"/>
    <x v="0"/>
    <x v="0"/>
    <x v="0"/>
    <x v="1"/>
    <s v="DK2_Rural"/>
    <x v="7"/>
    <x v="2"/>
    <x v="29"/>
    <x v="0"/>
    <x v="20"/>
    <n v="9.98"/>
    <n v="3642.7"/>
    <n v="13113.72"/>
  </r>
  <r>
    <x v="0"/>
    <x v="0"/>
    <x v="0"/>
    <x v="0"/>
    <x v="1"/>
    <s v="DK2_Rural"/>
    <x v="7"/>
    <x v="2"/>
    <x v="29"/>
    <x v="0"/>
    <x v="21"/>
    <n v="9.98"/>
    <n v="3642.7"/>
    <n v="13113.72"/>
  </r>
  <r>
    <x v="0"/>
    <x v="0"/>
    <x v="0"/>
    <x v="0"/>
    <x v="1"/>
    <s v="DK2_Rural"/>
    <x v="7"/>
    <x v="2"/>
    <x v="29"/>
    <x v="0"/>
    <x v="22"/>
    <n v="9.98"/>
    <n v="3642.7"/>
    <n v="13113.72"/>
  </r>
  <r>
    <x v="0"/>
    <x v="0"/>
    <x v="0"/>
    <x v="0"/>
    <x v="1"/>
    <s v="DK2_Rural"/>
    <x v="7"/>
    <x v="2"/>
    <x v="29"/>
    <x v="0"/>
    <x v="23"/>
    <n v="9.98"/>
    <n v="3642.7"/>
    <n v="13113.72"/>
  </r>
  <r>
    <x v="0"/>
    <x v="0"/>
    <x v="0"/>
    <x v="0"/>
    <x v="1"/>
    <s v="DK2_Rural"/>
    <x v="7"/>
    <x v="2"/>
    <x v="30"/>
    <x v="0"/>
    <x v="0"/>
    <n v="11.5"/>
    <n v="4197.5"/>
    <n v="15111"/>
  </r>
  <r>
    <x v="0"/>
    <x v="0"/>
    <x v="0"/>
    <x v="0"/>
    <x v="1"/>
    <s v="DK2_Rural"/>
    <x v="7"/>
    <x v="2"/>
    <x v="30"/>
    <x v="0"/>
    <x v="1"/>
    <n v="11.5"/>
    <n v="4197.5"/>
    <n v="15111"/>
  </r>
  <r>
    <x v="0"/>
    <x v="0"/>
    <x v="0"/>
    <x v="0"/>
    <x v="1"/>
    <s v="DK2_Rural"/>
    <x v="7"/>
    <x v="2"/>
    <x v="30"/>
    <x v="0"/>
    <x v="2"/>
    <n v="11.5"/>
    <n v="4197.5"/>
    <n v="15111"/>
  </r>
  <r>
    <x v="0"/>
    <x v="0"/>
    <x v="0"/>
    <x v="0"/>
    <x v="1"/>
    <s v="DK2_Rural"/>
    <x v="7"/>
    <x v="2"/>
    <x v="30"/>
    <x v="0"/>
    <x v="3"/>
    <n v="11.5"/>
    <n v="4197.5"/>
    <n v="15111"/>
  </r>
  <r>
    <x v="0"/>
    <x v="0"/>
    <x v="0"/>
    <x v="0"/>
    <x v="1"/>
    <s v="DK2_Rural"/>
    <x v="7"/>
    <x v="2"/>
    <x v="30"/>
    <x v="0"/>
    <x v="4"/>
    <n v="11.5"/>
    <n v="4197.5"/>
    <n v="15111"/>
  </r>
  <r>
    <x v="0"/>
    <x v="0"/>
    <x v="0"/>
    <x v="0"/>
    <x v="1"/>
    <s v="DK2_Rural"/>
    <x v="7"/>
    <x v="2"/>
    <x v="30"/>
    <x v="0"/>
    <x v="5"/>
    <n v="11.5"/>
    <n v="4197.5"/>
    <n v="15111"/>
  </r>
  <r>
    <x v="0"/>
    <x v="0"/>
    <x v="0"/>
    <x v="0"/>
    <x v="1"/>
    <s v="DK2_Rural"/>
    <x v="7"/>
    <x v="2"/>
    <x v="30"/>
    <x v="0"/>
    <x v="6"/>
    <n v="11.5"/>
    <n v="4197.5"/>
    <n v="15111"/>
  </r>
  <r>
    <x v="0"/>
    <x v="0"/>
    <x v="0"/>
    <x v="0"/>
    <x v="1"/>
    <s v="DK2_Rural"/>
    <x v="7"/>
    <x v="2"/>
    <x v="30"/>
    <x v="0"/>
    <x v="7"/>
    <n v="11.5"/>
    <n v="4197.5"/>
    <n v="15111"/>
  </r>
  <r>
    <x v="0"/>
    <x v="0"/>
    <x v="0"/>
    <x v="0"/>
    <x v="1"/>
    <s v="DK2_Rural"/>
    <x v="7"/>
    <x v="2"/>
    <x v="30"/>
    <x v="0"/>
    <x v="8"/>
    <n v="11.5"/>
    <n v="4197.5"/>
    <n v="15111"/>
  </r>
  <r>
    <x v="0"/>
    <x v="0"/>
    <x v="0"/>
    <x v="0"/>
    <x v="1"/>
    <s v="DK2_Rural"/>
    <x v="7"/>
    <x v="2"/>
    <x v="30"/>
    <x v="0"/>
    <x v="9"/>
    <n v="11.5"/>
    <n v="4197.5"/>
    <n v="15111"/>
  </r>
  <r>
    <x v="0"/>
    <x v="0"/>
    <x v="0"/>
    <x v="0"/>
    <x v="1"/>
    <s v="DK2_Rural"/>
    <x v="7"/>
    <x v="2"/>
    <x v="30"/>
    <x v="0"/>
    <x v="10"/>
    <n v="11.5"/>
    <n v="4197.5"/>
    <n v="15111"/>
  </r>
  <r>
    <x v="0"/>
    <x v="0"/>
    <x v="0"/>
    <x v="0"/>
    <x v="1"/>
    <s v="DK2_Rural"/>
    <x v="7"/>
    <x v="2"/>
    <x v="30"/>
    <x v="0"/>
    <x v="11"/>
    <n v="11.5"/>
    <n v="4197.5"/>
    <n v="15111"/>
  </r>
  <r>
    <x v="0"/>
    <x v="0"/>
    <x v="0"/>
    <x v="0"/>
    <x v="1"/>
    <s v="DK2_Rural"/>
    <x v="7"/>
    <x v="2"/>
    <x v="30"/>
    <x v="0"/>
    <x v="12"/>
    <n v="11.5"/>
    <n v="4197.5"/>
    <n v="15111"/>
  </r>
  <r>
    <x v="0"/>
    <x v="0"/>
    <x v="0"/>
    <x v="0"/>
    <x v="1"/>
    <s v="DK2_Rural"/>
    <x v="7"/>
    <x v="2"/>
    <x v="30"/>
    <x v="0"/>
    <x v="13"/>
    <n v="11.5"/>
    <n v="4197.5"/>
    <n v="15111"/>
  </r>
  <r>
    <x v="0"/>
    <x v="0"/>
    <x v="0"/>
    <x v="0"/>
    <x v="1"/>
    <s v="DK2_Rural"/>
    <x v="7"/>
    <x v="2"/>
    <x v="30"/>
    <x v="0"/>
    <x v="14"/>
    <n v="11.5"/>
    <n v="4197.5"/>
    <n v="15111"/>
  </r>
  <r>
    <x v="0"/>
    <x v="0"/>
    <x v="0"/>
    <x v="0"/>
    <x v="1"/>
    <s v="DK2_Rural"/>
    <x v="7"/>
    <x v="2"/>
    <x v="30"/>
    <x v="0"/>
    <x v="15"/>
    <n v="11.5"/>
    <n v="4197.5"/>
    <n v="15111"/>
  </r>
  <r>
    <x v="0"/>
    <x v="0"/>
    <x v="0"/>
    <x v="0"/>
    <x v="1"/>
    <s v="DK2_Rural"/>
    <x v="7"/>
    <x v="2"/>
    <x v="30"/>
    <x v="0"/>
    <x v="16"/>
    <n v="11.5"/>
    <n v="4197.5"/>
    <n v="15111"/>
  </r>
  <r>
    <x v="0"/>
    <x v="0"/>
    <x v="0"/>
    <x v="0"/>
    <x v="1"/>
    <s v="DK2_Rural"/>
    <x v="7"/>
    <x v="2"/>
    <x v="30"/>
    <x v="0"/>
    <x v="17"/>
    <n v="11.5"/>
    <n v="4197.5"/>
    <n v="15111"/>
  </r>
  <r>
    <x v="0"/>
    <x v="0"/>
    <x v="0"/>
    <x v="0"/>
    <x v="1"/>
    <s v="DK2_Rural"/>
    <x v="7"/>
    <x v="2"/>
    <x v="30"/>
    <x v="0"/>
    <x v="18"/>
    <n v="11.5"/>
    <n v="4197.5"/>
    <n v="15111"/>
  </r>
  <r>
    <x v="0"/>
    <x v="0"/>
    <x v="0"/>
    <x v="0"/>
    <x v="1"/>
    <s v="DK2_Rural"/>
    <x v="7"/>
    <x v="2"/>
    <x v="30"/>
    <x v="0"/>
    <x v="19"/>
    <n v="11.5"/>
    <n v="4197.5"/>
    <n v="15111"/>
  </r>
  <r>
    <x v="0"/>
    <x v="0"/>
    <x v="0"/>
    <x v="0"/>
    <x v="1"/>
    <s v="DK2_Rural"/>
    <x v="7"/>
    <x v="2"/>
    <x v="30"/>
    <x v="0"/>
    <x v="20"/>
    <n v="11.5"/>
    <n v="4197.5"/>
    <n v="15111"/>
  </r>
  <r>
    <x v="0"/>
    <x v="0"/>
    <x v="0"/>
    <x v="0"/>
    <x v="1"/>
    <s v="DK2_Rural"/>
    <x v="7"/>
    <x v="2"/>
    <x v="30"/>
    <x v="0"/>
    <x v="21"/>
    <n v="11.5"/>
    <n v="4197.5"/>
    <n v="15111"/>
  </r>
  <r>
    <x v="0"/>
    <x v="0"/>
    <x v="0"/>
    <x v="0"/>
    <x v="1"/>
    <s v="DK2_Rural"/>
    <x v="7"/>
    <x v="2"/>
    <x v="30"/>
    <x v="0"/>
    <x v="22"/>
    <n v="11.5"/>
    <n v="4197.5"/>
    <n v="15111"/>
  </r>
  <r>
    <x v="0"/>
    <x v="0"/>
    <x v="0"/>
    <x v="0"/>
    <x v="1"/>
    <s v="DK2_Rural"/>
    <x v="7"/>
    <x v="2"/>
    <x v="30"/>
    <x v="0"/>
    <x v="23"/>
    <n v="11.5"/>
    <n v="4197.5"/>
    <n v="15111"/>
  </r>
  <r>
    <x v="0"/>
    <x v="0"/>
    <x v="0"/>
    <x v="1"/>
    <x v="2"/>
    <s v="DE4-E_A"/>
    <x v="1"/>
    <x v="6"/>
    <x v="37"/>
    <x v="0"/>
    <x v="0"/>
    <n v="-19320"/>
    <n v="-7051800"/>
    <n v="-25386480"/>
  </r>
  <r>
    <x v="0"/>
    <x v="0"/>
    <x v="0"/>
    <x v="1"/>
    <x v="2"/>
    <s v="DE4-E_A"/>
    <x v="1"/>
    <x v="6"/>
    <x v="37"/>
    <x v="0"/>
    <x v="1"/>
    <n v="-19320"/>
    <n v="-7051800"/>
    <n v="-25386480"/>
  </r>
  <r>
    <x v="0"/>
    <x v="0"/>
    <x v="0"/>
    <x v="1"/>
    <x v="2"/>
    <s v="DE4-E_A"/>
    <x v="1"/>
    <x v="6"/>
    <x v="37"/>
    <x v="0"/>
    <x v="2"/>
    <n v="-19320"/>
    <n v="-7051800"/>
    <n v="-25386480"/>
  </r>
  <r>
    <x v="0"/>
    <x v="0"/>
    <x v="0"/>
    <x v="1"/>
    <x v="2"/>
    <s v="DE4-E_A"/>
    <x v="1"/>
    <x v="6"/>
    <x v="37"/>
    <x v="0"/>
    <x v="3"/>
    <n v="-19320"/>
    <n v="-7051800"/>
    <n v="-25386480"/>
  </r>
  <r>
    <x v="0"/>
    <x v="0"/>
    <x v="0"/>
    <x v="1"/>
    <x v="2"/>
    <s v="DE4-E_A"/>
    <x v="1"/>
    <x v="6"/>
    <x v="37"/>
    <x v="0"/>
    <x v="4"/>
    <n v="-19320"/>
    <n v="-7051800"/>
    <n v="-25386480"/>
  </r>
  <r>
    <x v="0"/>
    <x v="0"/>
    <x v="0"/>
    <x v="1"/>
    <x v="2"/>
    <s v="DE4-E_A"/>
    <x v="1"/>
    <x v="6"/>
    <x v="37"/>
    <x v="0"/>
    <x v="5"/>
    <n v="-19320"/>
    <n v="-7051800"/>
    <n v="-25386480"/>
  </r>
  <r>
    <x v="0"/>
    <x v="0"/>
    <x v="0"/>
    <x v="1"/>
    <x v="2"/>
    <s v="DE4-E_A"/>
    <x v="1"/>
    <x v="6"/>
    <x v="37"/>
    <x v="0"/>
    <x v="6"/>
    <n v="-19320"/>
    <n v="-7051800"/>
    <n v="-25386480"/>
  </r>
  <r>
    <x v="0"/>
    <x v="0"/>
    <x v="0"/>
    <x v="1"/>
    <x v="2"/>
    <s v="DE4-E_A"/>
    <x v="1"/>
    <x v="6"/>
    <x v="37"/>
    <x v="0"/>
    <x v="7"/>
    <n v="-19320"/>
    <n v="-7051800"/>
    <n v="-25386480"/>
  </r>
  <r>
    <x v="0"/>
    <x v="0"/>
    <x v="0"/>
    <x v="1"/>
    <x v="2"/>
    <s v="DE4-E_A"/>
    <x v="1"/>
    <x v="6"/>
    <x v="37"/>
    <x v="0"/>
    <x v="8"/>
    <n v="-19320"/>
    <n v="-7051800"/>
    <n v="-25386480"/>
  </r>
  <r>
    <x v="0"/>
    <x v="0"/>
    <x v="0"/>
    <x v="1"/>
    <x v="2"/>
    <s v="DE4-E_A"/>
    <x v="1"/>
    <x v="6"/>
    <x v="37"/>
    <x v="0"/>
    <x v="9"/>
    <n v="-19320"/>
    <n v="-7051800"/>
    <n v="-25386480"/>
  </r>
  <r>
    <x v="0"/>
    <x v="0"/>
    <x v="0"/>
    <x v="1"/>
    <x v="2"/>
    <s v="DE4-E_A"/>
    <x v="1"/>
    <x v="6"/>
    <x v="37"/>
    <x v="0"/>
    <x v="10"/>
    <n v="-19320"/>
    <n v="-7051800"/>
    <n v="-25386480"/>
  </r>
  <r>
    <x v="0"/>
    <x v="0"/>
    <x v="0"/>
    <x v="1"/>
    <x v="2"/>
    <s v="DE4-E_A"/>
    <x v="1"/>
    <x v="6"/>
    <x v="37"/>
    <x v="0"/>
    <x v="11"/>
    <n v="-19320"/>
    <n v="-7051800"/>
    <n v="-25386480"/>
  </r>
  <r>
    <x v="0"/>
    <x v="0"/>
    <x v="0"/>
    <x v="1"/>
    <x v="2"/>
    <s v="DE4-E_A"/>
    <x v="1"/>
    <x v="6"/>
    <x v="37"/>
    <x v="0"/>
    <x v="12"/>
    <n v="-19320"/>
    <n v="-7051800"/>
    <n v="-25386480"/>
  </r>
  <r>
    <x v="0"/>
    <x v="0"/>
    <x v="0"/>
    <x v="1"/>
    <x v="2"/>
    <s v="DE4-E_A"/>
    <x v="1"/>
    <x v="6"/>
    <x v="37"/>
    <x v="0"/>
    <x v="13"/>
    <n v="-19320"/>
    <n v="-7051800"/>
    <n v="-25386480"/>
  </r>
  <r>
    <x v="0"/>
    <x v="0"/>
    <x v="0"/>
    <x v="1"/>
    <x v="2"/>
    <s v="DE4-E_A"/>
    <x v="1"/>
    <x v="6"/>
    <x v="37"/>
    <x v="0"/>
    <x v="14"/>
    <n v="-19320"/>
    <n v="-7051800"/>
    <n v="-25386480"/>
  </r>
  <r>
    <x v="0"/>
    <x v="0"/>
    <x v="0"/>
    <x v="1"/>
    <x v="2"/>
    <s v="DE4-E_A"/>
    <x v="1"/>
    <x v="6"/>
    <x v="37"/>
    <x v="0"/>
    <x v="15"/>
    <n v="-19320"/>
    <n v="-7051800"/>
    <n v="-25386480"/>
  </r>
  <r>
    <x v="0"/>
    <x v="0"/>
    <x v="0"/>
    <x v="1"/>
    <x v="2"/>
    <s v="DE4-E_A"/>
    <x v="1"/>
    <x v="6"/>
    <x v="37"/>
    <x v="0"/>
    <x v="16"/>
    <n v="-19320"/>
    <n v="-7051800"/>
    <n v="-25386480"/>
  </r>
  <r>
    <x v="0"/>
    <x v="0"/>
    <x v="0"/>
    <x v="1"/>
    <x v="2"/>
    <s v="DE4-E_A"/>
    <x v="1"/>
    <x v="6"/>
    <x v="37"/>
    <x v="0"/>
    <x v="17"/>
    <n v="-19320"/>
    <n v="-7051800"/>
    <n v="-25386480"/>
  </r>
  <r>
    <x v="0"/>
    <x v="0"/>
    <x v="0"/>
    <x v="1"/>
    <x v="2"/>
    <s v="DE4-E_A"/>
    <x v="1"/>
    <x v="6"/>
    <x v="37"/>
    <x v="0"/>
    <x v="18"/>
    <n v="-19320"/>
    <n v="-7051800"/>
    <n v="-25386480"/>
  </r>
  <r>
    <x v="0"/>
    <x v="0"/>
    <x v="0"/>
    <x v="1"/>
    <x v="2"/>
    <s v="DE4-E_A"/>
    <x v="1"/>
    <x v="6"/>
    <x v="37"/>
    <x v="0"/>
    <x v="19"/>
    <n v="-19320"/>
    <n v="-7051800"/>
    <n v="-25386480"/>
  </r>
  <r>
    <x v="0"/>
    <x v="0"/>
    <x v="0"/>
    <x v="1"/>
    <x v="2"/>
    <s v="DE4-E_A"/>
    <x v="1"/>
    <x v="6"/>
    <x v="37"/>
    <x v="0"/>
    <x v="20"/>
    <n v="-19320"/>
    <n v="-7051800"/>
    <n v="-25386480"/>
  </r>
  <r>
    <x v="0"/>
    <x v="0"/>
    <x v="0"/>
    <x v="1"/>
    <x v="2"/>
    <s v="DE4-E_A"/>
    <x v="1"/>
    <x v="6"/>
    <x v="37"/>
    <x v="0"/>
    <x v="21"/>
    <n v="-19320"/>
    <n v="-7051800"/>
    <n v="-25386480"/>
  </r>
  <r>
    <x v="0"/>
    <x v="0"/>
    <x v="0"/>
    <x v="1"/>
    <x v="2"/>
    <s v="DE4-E_A"/>
    <x v="1"/>
    <x v="6"/>
    <x v="37"/>
    <x v="0"/>
    <x v="22"/>
    <n v="-19320"/>
    <n v="-7051800"/>
    <n v="-25386480"/>
  </r>
  <r>
    <x v="0"/>
    <x v="0"/>
    <x v="0"/>
    <x v="1"/>
    <x v="2"/>
    <s v="DE4-E_A"/>
    <x v="1"/>
    <x v="6"/>
    <x v="37"/>
    <x v="0"/>
    <x v="23"/>
    <n v="-19320"/>
    <n v="-7051800"/>
    <n v="-25386480"/>
  </r>
  <r>
    <x v="0"/>
    <x v="0"/>
    <x v="0"/>
    <x v="1"/>
    <x v="2"/>
    <s v="DE4-E_A"/>
    <x v="9"/>
    <x v="2"/>
    <x v="38"/>
    <x v="0"/>
    <x v="0"/>
    <n v="9321.4"/>
    <n v="3402311"/>
    <n v="12248319.6"/>
  </r>
  <r>
    <x v="0"/>
    <x v="0"/>
    <x v="0"/>
    <x v="1"/>
    <x v="2"/>
    <s v="DE4-E_A"/>
    <x v="9"/>
    <x v="2"/>
    <x v="38"/>
    <x v="0"/>
    <x v="1"/>
    <n v="9321.4"/>
    <n v="3402311"/>
    <n v="12248319.6"/>
  </r>
  <r>
    <x v="0"/>
    <x v="0"/>
    <x v="0"/>
    <x v="1"/>
    <x v="2"/>
    <s v="DE4-E_A"/>
    <x v="9"/>
    <x v="2"/>
    <x v="38"/>
    <x v="0"/>
    <x v="2"/>
    <n v="9321.4"/>
    <n v="3402311"/>
    <n v="12248319.6"/>
  </r>
  <r>
    <x v="0"/>
    <x v="0"/>
    <x v="0"/>
    <x v="1"/>
    <x v="2"/>
    <s v="DE4-E_A"/>
    <x v="9"/>
    <x v="2"/>
    <x v="38"/>
    <x v="0"/>
    <x v="3"/>
    <n v="9321.4"/>
    <n v="3402311"/>
    <n v="12248319.6"/>
  </r>
  <r>
    <x v="0"/>
    <x v="0"/>
    <x v="0"/>
    <x v="1"/>
    <x v="2"/>
    <s v="DE4-E_A"/>
    <x v="9"/>
    <x v="2"/>
    <x v="38"/>
    <x v="0"/>
    <x v="4"/>
    <n v="9321.4"/>
    <n v="3402311"/>
    <n v="12248319.6"/>
  </r>
  <r>
    <x v="0"/>
    <x v="0"/>
    <x v="0"/>
    <x v="1"/>
    <x v="2"/>
    <s v="DE4-E_A"/>
    <x v="9"/>
    <x v="2"/>
    <x v="38"/>
    <x v="0"/>
    <x v="5"/>
    <n v="9321.4"/>
    <n v="3402311"/>
    <n v="12248319.6"/>
  </r>
  <r>
    <x v="0"/>
    <x v="0"/>
    <x v="0"/>
    <x v="1"/>
    <x v="2"/>
    <s v="DE4-E_A"/>
    <x v="9"/>
    <x v="2"/>
    <x v="38"/>
    <x v="0"/>
    <x v="6"/>
    <n v="9321.4"/>
    <n v="3402311"/>
    <n v="12248319.6"/>
  </r>
  <r>
    <x v="0"/>
    <x v="0"/>
    <x v="0"/>
    <x v="1"/>
    <x v="2"/>
    <s v="DE4-E_A"/>
    <x v="9"/>
    <x v="2"/>
    <x v="38"/>
    <x v="0"/>
    <x v="7"/>
    <n v="9321.4"/>
    <n v="3402311"/>
    <n v="12248319.6"/>
  </r>
  <r>
    <x v="0"/>
    <x v="0"/>
    <x v="0"/>
    <x v="1"/>
    <x v="2"/>
    <s v="DE4-E_A"/>
    <x v="9"/>
    <x v="2"/>
    <x v="38"/>
    <x v="0"/>
    <x v="8"/>
    <n v="9321.4"/>
    <n v="3402311"/>
    <n v="12248319.6"/>
  </r>
  <r>
    <x v="0"/>
    <x v="0"/>
    <x v="0"/>
    <x v="1"/>
    <x v="2"/>
    <s v="DE4-E_A"/>
    <x v="9"/>
    <x v="2"/>
    <x v="38"/>
    <x v="0"/>
    <x v="9"/>
    <n v="9321.4"/>
    <n v="3402311"/>
    <n v="12248319.6"/>
  </r>
  <r>
    <x v="0"/>
    <x v="0"/>
    <x v="0"/>
    <x v="1"/>
    <x v="2"/>
    <s v="DE4-E_A"/>
    <x v="9"/>
    <x v="2"/>
    <x v="38"/>
    <x v="0"/>
    <x v="10"/>
    <n v="9321.4"/>
    <n v="3402311"/>
    <n v="12248319.6"/>
  </r>
  <r>
    <x v="0"/>
    <x v="0"/>
    <x v="0"/>
    <x v="1"/>
    <x v="2"/>
    <s v="DE4-E_A"/>
    <x v="9"/>
    <x v="2"/>
    <x v="38"/>
    <x v="0"/>
    <x v="11"/>
    <n v="9321.4"/>
    <n v="3402311"/>
    <n v="12248319.6"/>
  </r>
  <r>
    <x v="0"/>
    <x v="0"/>
    <x v="0"/>
    <x v="1"/>
    <x v="2"/>
    <s v="DE4-E_A"/>
    <x v="9"/>
    <x v="2"/>
    <x v="38"/>
    <x v="0"/>
    <x v="12"/>
    <n v="9321.4"/>
    <n v="3402311"/>
    <n v="12248319.6"/>
  </r>
  <r>
    <x v="0"/>
    <x v="0"/>
    <x v="0"/>
    <x v="1"/>
    <x v="2"/>
    <s v="DE4-E_A"/>
    <x v="9"/>
    <x v="2"/>
    <x v="38"/>
    <x v="0"/>
    <x v="13"/>
    <n v="9321.4"/>
    <n v="3402311"/>
    <n v="12248319.6"/>
  </r>
  <r>
    <x v="0"/>
    <x v="0"/>
    <x v="0"/>
    <x v="1"/>
    <x v="2"/>
    <s v="DE4-E_A"/>
    <x v="9"/>
    <x v="2"/>
    <x v="38"/>
    <x v="0"/>
    <x v="14"/>
    <n v="9321.4"/>
    <n v="3402311"/>
    <n v="12248319.6"/>
  </r>
  <r>
    <x v="0"/>
    <x v="0"/>
    <x v="0"/>
    <x v="1"/>
    <x v="2"/>
    <s v="DE4-E_A"/>
    <x v="9"/>
    <x v="2"/>
    <x v="38"/>
    <x v="0"/>
    <x v="15"/>
    <n v="9321.4"/>
    <n v="3402311"/>
    <n v="12248319.6"/>
  </r>
  <r>
    <x v="0"/>
    <x v="0"/>
    <x v="0"/>
    <x v="1"/>
    <x v="2"/>
    <s v="DE4-E_A"/>
    <x v="9"/>
    <x v="2"/>
    <x v="38"/>
    <x v="0"/>
    <x v="16"/>
    <n v="9321.4"/>
    <n v="3402311"/>
    <n v="12248319.6"/>
  </r>
  <r>
    <x v="0"/>
    <x v="0"/>
    <x v="0"/>
    <x v="1"/>
    <x v="2"/>
    <s v="DE4-E_A"/>
    <x v="9"/>
    <x v="2"/>
    <x v="38"/>
    <x v="0"/>
    <x v="17"/>
    <n v="9321.4"/>
    <n v="3402311"/>
    <n v="12248319.6"/>
  </r>
  <r>
    <x v="0"/>
    <x v="0"/>
    <x v="0"/>
    <x v="1"/>
    <x v="2"/>
    <s v="DE4-E_A"/>
    <x v="9"/>
    <x v="2"/>
    <x v="38"/>
    <x v="0"/>
    <x v="18"/>
    <n v="9321.4"/>
    <n v="3402311"/>
    <n v="12248319.6"/>
  </r>
  <r>
    <x v="0"/>
    <x v="0"/>
    <x v="0"/>
    <x v="1"/>
    <x v="2"/>
    <s v="DE4-E_A"/>
    <x v="9"/>
    <x v="2"/>
    <x v="38"/>
    <x v="0"/>
    <x v="19"/>
    <n v="9321.4"/>
    <n v="3402311"/>
    <n v="12248319.6"/>
  </r>
  <r>
    <x v="0"/>
    <x v="0"/>
    <x v="0"/>
    <x v="1"/>
    <x v="2"/>
    <s v="DE4-E_A"/>
    <x v="9"/>
    <x v="2"/>
    <x v="38"/>
    <x v="0"/>
    <x v="20"/>
    <n v="9321.4"/>
    <n v="3402311"/>
    <n v="12248319.6"/>
  </r>
  <r>
    <x v="0"/>
    <x v="0"/>
    <x v="0"/>
    <x v="1"/>
    <x v="2"/>
    <s v="DE4-E_A"/>
    <x v="9"/>
    <x v="2"/>
    <x v="38"/>
    <x v="0"/>
    <x v="21"/>
    <n v="9321.4"/>
    <n v="3402311"/>
    <n v="12248319.6"/>
  </r>
  <r>
    <x v="0"/>
    <x v="0"/>
    <x v="0"/>
    <x v="1"/>
    <x v="2"/>
    <s v="DE4-E_A"/>
    <x v="9"/>
    <x v="2"/>
    <x v="38"/>
    <x v="0"/>
    <x v="22"/>
    <n v="9321.4"/>
    <n v="3402311"/>
    <n v="12248319.6"/>
  </r>
  <r>
    <x v="0"/>
    <x v="0"/>
    <x v="0"/>
    <x v="1"/>
    <x v="2"/>
    <s v="DE4-E_A"/>
    <x v="9"/>
    <x v="2"/>
    <x v="38"/>
    <x v="0"/>
    <x v="23"/>
    <n v="9321.4"/>
    <n v="3402311"/>
    <n v="12248319.6"/>
  </r>
  <r>
    <x v="0"/>
    <x v="0"/>
    <x v="0"/>
    <x v="1"/>
    <x v="2"/>
    <s v="DE4-E_A"/>
    <x v="9"/>
    <x v="7"/>
    <x v="39"/>
    <x v="0"/>
    <x v="0"/>
    <n v="640"/>
    <n v="233600"/>
    <n v="840960"/>
  </r>
  <r>
    <x v="0"/>
    <x v="0"/>
    <x v="0"/>
    <x v="1"/>
    <x v="2"/>
    <s v="DE4-E_A"/>
    <x v="9"/>
    <x v="7"/>
    <x v="39"/>
    <x v="0"/>
    <x v="1"/>
    <n v="640"/>
    <n v="233600"/>
    <n v="840960"/>
  </r>
  <r>
    <x v="0"/>
    <x v="0"/>
    <x v="0"/>
    <x v="1"/>
    <x v="2"/>
    <s v="DE4-E_A"/>
    <x v="9"/>
    <x v="7"/>
    <x v="39"/>
    <x v="0"/>
    <x v="2"/>
    <n v="640"/>
    <n v="233600"/>
    <n v="840960"/>
  </r>
  <r>
    <x v="0"/>
    <x v="0"/>
    <x v="0"/>
    <x v="1"/>
    <x v="2"/>
    <s v="DE4-E_A"/>
    <x v="9"/>
    <x v="7"/>
    <x v="39"/>
    <x v="0"/>
    <x v="3"/>
    <n v="640"/>
    <n v="233600"/>
    <n v="840960"/>
  </r>
  <r>
    <x v="0"/>
    <x v="0"/>
    <x v="0"/>
    <x v="1"/>
    <x v="2"/>
    <s v="DE4-E_A"/>
    <x v="9"/>
    <x v="7"/>
    <x v="39"/>
    <x v="0"/>
    <x v="4"/>
    <n v="640"/>
    <n v="233600"/>
    <n v="840960"/>
  </r>
  <r>
    <x v="0"/>
    <x v="0"/>
    <x v="0"/>
    <x v="1"/>
    <x v="2"/>
    <s v="DE4-E_A"/>
    <x v="9"/>
    <x v="7"/>
    <x v="39"/>
    <x v="0"/>
    <x v="5"/>
    <n v="640"/>
    <n v="233600"/>
    <n v="840960"/>
  </r>
  <r>
    <x v="0"/>
    <x v="0"/>
    <x v="0"/>
    <x v="1"/>
    <x v="2"/>
    <s v="DE4-E_A"/>
    <x v="9"/>
    <x v="7"/>
    <x v="39"/>
    <x v="0"/>
    <x v="6"/>
    <n v="640"/>
    <n v="233600"/>
    <n v="840960"/>
  </r>
  <r>
    <x v="0"/>
    <x v="0"/>
    <x v="0"/>
    <x v="1"/>
    <x v="2"/>
    <s v="DE4-E_A"/>
    <x v="9"/>
    <x v="7"/>
    <x v="39"/>
    <x v="0"/>
    <x v="7"/>
    <n v="640"/>
    <n v="233600"/>
    <n v="840960"/>
  </r>
  <r>
    <x v="0"/>
    <x v="0"/>
    <x v="0"/>
    <x v="1"/>
    <x v="2"/>
    <s v="DE4-E_A"/>
    <x v="9"/>
    <x v="7"/>
    <x v="39"/>
    <x v="0"/>
    <x v="8"/>
    <n v="640"/>
    <n v="233600"/>
    <n v="840960"/>
  </r>
  <r>
    <x v="0"/>
    <x v="0"/>
    <x v="0"/>
    <x v="1"/>
    <x v="2"/>
    <s v="DE4-E_A"/>
    <x v="9"/>
    <x v="7"/>
    <x v="39"/>
    <x v="0"/>
    <x v="9"/>
    <n v="640"/>
    <n v="233600"/>
    <n v="840960"/>
  </r>
  <r>
    <x v="0"/>
    <x v="0"/>
    <x v="0"/>
    <x v="1"/>
    <x v="2"/>
    <s v="DE4-E_A"/>
    <x v="9"/>
    <x v="7"/>
    <x v="39"/>
    <x v="0"/>
    <x v="10"/>
    <n v="640"/>
    <n v="233600"/>
    <n v="840960"/>
  </r>
  <r>
    <x v="0"/>
    <x v="0"/>
    <x v="0"/>
    <x v="1"/>
    <x v="2"/>
    <s v="DE4-E_A"/>
    <x v="9"/>
    <x v="7"/>
    <x v="39"/>
    <x v="0"/>
    <x v="11"/>
    <n v="640"/>
    <n v="233600"/>
    <n v="840960"/>
  </r>
  <r>
    <x v="0"/>
    <x v="0"/>
    <x v="0"/>
    <x v="1"/>
    <x v="2"/>
    <s v="DE4-E_A"/>
    <x v="9"/>
    <x v="7"/>
    <x v="39"/>
    <x v="0"/>
    <x v="12"/>
    <n v="640"/>
    <n v="233600"/>
    <n v="840960"/>
  </r>
  <r>
    <x v="0"/>
    <x v="0"/>
    <x v="0"/>
    <x v="1"/>
    <x v="2"/>
    <s v="DE4-E_A"/>
    <x v="9"/>
    <x v="7"/>
    <x v="39"/>
    <x v="0"/>
    <x v="13"/>
    <n v="640"/>
    <n v="233600"/>
    <n v="840960"/>
  </r>
  <r>
    <x v="0"/>
    <x v="0"/>
    <x v="0"/>
    <x v="1"/>
    <x v="2"/>
    <s v="DE4-E_A"/>
    <x v="9"/>
    <x v="7"/>
    <x v="39"/>
    <x v="0"/>
    <x v="14"/>
    <n v="640"/>
    <n v="233600"/>
    <n v="840960"/>
  </r>
  <r>
    <x v="0"/>
    <x v="0"/>
    <x v="0"/>
    <x v="1"/>
    <x v="2"/>
    <s v="DE4-E_A"/>
    <x v="9"/>
    <x v="7"/>
    <x v="39"/>
    <x v="0"/>
    <x v="15"/>
    <n v="640"/>
    <n v="233600"/>
    <n v="840960"/>
  </r>
  <r>
    <x v="0"/>
    <x v="0"/>
    <x v="0"/>
    <x v="1"/>
    <x v="2"/>
    <s v="DE4-E_A"/>
    <x v="9"/>
    <x v="7"/>
    <x v="39"/>
    <x v="0"/>
    <x v="16"/>
    <n v="640"/>
    <n v="233600"/>
    <n v="840960"/>
  </r>
  <r>
    <x v="0"/>
    <x v="0"/>
    <x v="0"/>
    <x v="1"/>
    <x v="2"/>
    <s v="DE4-E_A"/>
    <x v="9"/>
    <x v="7"/>
    <x v="39"/>
    <x v="0"/>
    <x v="17"/>
    <n v="640"/>
    <n v="233600"/>
    <n v="840960"/>
  </r>
  <r>
    <x v="0"/>
    <x v="0"/>
    <x v="0"/>
    <x v="1"/>
    <x v="2"/>
    <s v="DE4-E_A"/>
    <x v="9"/>
    <x v="7"/>
    <x v="39"/>
    <x v="0"/>
    <x v="18"/>
    <n v="640"/>
    <n v="233600"/>
    <n v="840960"/>
  </r>
  <r>
    <x v="0"/>
    <x v="0"/>
    <x v="0"/>
    <x v="1"/>
    <x v="2"/>
    <s v="DE4-E_A"/>
    <x v="9"/>
    <x v="7"/>
    <x v="39"/>
    <x v="0"/>
    <x v="19"/>
    <n v="640"/>
    <n v="233600"/>
    <n v="840960"/>
  </r>
  <r>
    <x v="0"/>
    <x v="0"/>
    <x v="0"/>
    <x v="1"/>
    <x v="2"/>
    <s v="DE4-E_A"/>
    <x v="9"/>
    <x v="7"/>
    <x v="39"/>
    <x v="0"/>
    <x v="20"/>
    <n v="640"/>
    <n v="233600"/>
    <n v="840960"/>
  </r>
  <r>
    <x v="0"/>
    <x v="0"/>
    <x v="0"/>
    <x v="1"/>
    <x v="2"/>
    <s v="DE4-E_A"/>
    <x v="9"/>
    <x v="7"/>
    <x v="39"/>
    <x v="0"/>
    <x v="21"/>
    <n v="640"/>
    <n v="233600"/>
    <n v="840960"/>
  </r>
  <r>
    <x v="0"/>
    <x v="0"/>
    <x v="0"/>
    <x v="1"/>
    <x v="2"/>
    <s v="DE4-E_A"/>
    <x v="9"/>
    <x v="7"/>
    <x v="39"/>
    <x v="0"/>
    <x v="22"/>
    <n v="640"/>
    <n v="233600"/>
    <n v="840960"/>
  </r>
  <r>
    <x v="0"/>
    <x v="0"/>
    <x v="0"/>
    <x v="1"/>
    <x v="2"/>
    <s v="DE4-E_A"/>
    <x v="9"/>
    <x v="7"/>
    <x v="39"/>
    <x v="0"/>
    <x v="23"/>
    <n v="640"/>
    <n v="233600"/>
    <n v="840960"/>
  </r>
  <r>
    <x v="0"/>
    <x v="0"/>
    <x v="0"/>
    <x v="1"/>
    <x v="2"/>
    <s v="DE4-E_A"/>
    <x v="2"/>
    <x v="7"/>
    <x v="40"/>
    <x v="0"/>
    <x v="0"/>
    <n v="65.099999999999994"/>
    <n v="23761.5"/>
    <n v="85541.4"/>
  </r>
  <r>
    <x v="0"/>
    <x v="0"/>
    <x v="0"/>
    <x v="1"/>
    <x v="2"/>
    <s v="DE4-E_A"/>
    <x v="2"/>
    <x v="7"/>
    <x v="40"/>
    <x v="0"/>
    <x v="1"/>
    <n v="65.099999999999994"/>
    <n v="23761.5"/>
    <n v="85541.4"/>
  </r>
  <r>
    <x v="0"/>
    <x v="0"/>
    <x v="0"/>
    <x v="1"/>
    <x v="2"/>
    <s v="DE4-E_A"/>
    <x v="2"/>
    <x v="7"/>
    <x v="40"/>
    <x v="0"/>
    <x v="2"/>
    <n v="65.099999999999994"/>
    <n v="23761.5"/>
    <n v="85541.4"/>
  </r>
  <r>
    <x v="0"/>
    <x v="0"/>
    <x v="0"/>
    <x v="1"/>
    <x v="2"/>
    <s v="DE4-E_A"/>
    <x v="2"/>
    <x v="7"/>
    <x v="40"/>
    <x v="0"/>
    <x v="3"/>
    <n v="65.099999999999994"/>
    <n v="23761.5"/>
    <n v="85541.4"/>
  </r>
  <r>
    <x v="0"/>
    <x v="0"/>
    <x v="0"/>
    <x v="1"/>
    <x v="2"/>
    <s v="DE4-E_A"/>
    <x v="2"/>
    <x v="7"/>
    <x v="40"/>
    <x v="0"/>
    <x v="4"/>
    <n v="65.099999999999994"/>
    <n v="23761.5"/>
    <n v="85541.4"/>
  </r>
  <r>
    <x v="0"/>
    <x v="0"/>
    <x v="0"/>
    <x v="1"/>
    <x v="2"/>
    <s v="DE4-E_A"/>
    <x v="2"/>
    <x v="7"/>
    <x v="40"/>
    <x v="0"/>
    <x v="5"/>
    <n v="65.099999999999994"/>
    <n v="23761.5"/>
    <n v="85541.4"/>
  </r>
  <r>
    <x v="0"/>
    <x v="0"/>
    <x v="0"/>
    <x v="1"/>
    <x v="2"/>
    <s v="DE4-E_A"/>
    <x v="2"/>
    <x v="7"/>
    <x v="40"/>
    <x v="0"/>
    <x v="6"/>
    <n v="65.099999999999994"/>
    <n v="23761.5"/>
    <n v="85541.4"/>
  </r>
  <r>
    <x v="0"/>
    <x v="0"/>
    <x v="0"/>
    <x v="1"/>
    <x v="2"/>
    <s v="DE4-E_A"/>
    <x v="2"/>
    <x v="7"/>
    <x v="40"/>
    <x v="0"/>
    <x v="7"/>
    <n v="65.099999999999994"/>
    <n v="23761.5"/>
    <n v="85541.4"/>
  </r>
  <r>
    <x v="0"/>
    <x v="0"/>
    <x v="0"/>
    <x v="1"/>
    <x v="2"/>
    <s v="DE4-E_A"/>
    <x v="2"/>
    <x v="7"/>
    <x v="40"/>
    <x v="0"/>
    <x v="8"/>
    <n v="65.099999999999994"/>
    <n v="23761.5"/>
    <n v="85541.4"/>
  </r>
  <r>
    <x v="0"/>
    <x v="0"/>
    <x v="0"/>
    <x v="1"/>
    <x v="2"/>
    <s v="DE4-E_A"/>
    <x v="2"/>
    <x v="7"/>
    <x v="40"/>
    <x v="0"/>
    <x v="9"/>
    <n v="65.099999999999994"/>
    <n v="23761.5"/>
    <n v="85541.4"/>
  </r>
  <r>
    <x v="0"/>
    <x v="0"/>
    <x v="0"/>
    <x v="1"/>
    <x v="2"/>
    <s v="DE4-E_A"/>
    <x v="2"/>
    <x v="7"/>
    <x v="40"/>
    <x v="0"/>
    <x v="10"/>
    <n v="65.099999999999994"/>
    <n v="23761.5"/>
    <n v="85541.4"/>
  </r>
  <r>
    <x v="0"/>
    <x v="0"/>
    <x v="0"/>
    <x v="1"/>
    <x v="2"/>
    <s v="DE4-E_A"/>
    <x v="2"/>
    <x v="7"/>
    <x v="40"/>
    <x v="0"/>
    <x v="11"/>
    <n v="65.099999999999994"/>
    <n v="23761.5"/>
    <n v="85541.4"/>
  </r>
  <r>
    <x v="0"/>
    <x v="0"/>
    <x v="0"/>
    <x v="1"/>
    <x v="2"/>
    <s v="DE4-E_A"/>
    <x v="2"/>
    <x v="7"/>
    <x v="40"/>
    <x v="0"/>
    <x v="12"/>
    <n v="65.099999999999994"/>
    <n v="23761.5"/>
    <n v="85541.4"/>
  </r>
  <r>
    <x v="0"/>
    <x v="0"/>
    <x v="0"/>
    <x v="1"/>
    <x v="2"/>
    <s v="DE4-E_A"/>
    <x v="2"/>
    <x v="7"/>
    <x v="40"/>
    <x v="0"/>
    <x v="13"/>
    <n v="65.099999999999994"/>
    <n v="23761.5"/>
    <n v="85541.4"/>
  </r>
  <r>
    <x v="0"/>
    <x v="0"/>
    <x v="0"/>
    <x v="1"/>
    <x v="2"/>
    <s v="DE4-E_A"/>
    <x v="2"/>
    <x v="7"/>
    <x v="40"/>
    <x v="0"/>
    <x v="14"/>
    <n v="65.099999999999994"/>
    <n v="23761.5"/>
    <n v="85541.4"/>
  </r>
  <r>
    <x v="0"/>
    <x v="0"/>
    <x v="0"/>
    <x v="1"/>
    <x v="2"/>
    <s v="DE4-E_A"/>
    <x v="2"/>
    <x v="7"/>
    <x v="40"/>
    <x v="0"/>
    <x v="15"/>
    <n v="65.099999999999994"/>
    <n v="23761.5"/>
    <n v="85541.4"/>
  </r>
  <r>
    <x v="0"/>
    <x v="0"/>
    <x v="0"/>
    <x v="1"/>
    <x v="2"/>
    <s v="DE4-E_A"/>
    <x v="2"/>
    <x v="7"/>
    <x v="40"/>
    <x v="0"/>
    <x v="16"/>
    <n v="65.099999999999994"/>
    <n v="23761.5"/>
    <n v="85541.4"/>
  </r>
  <r>
    <x v="0"/>
    <x v="0"/>
    <x v="0"/>
    <x v="1"/>
    <x v="2"/>
    <s v="DE4-E_A"/>
    <x v="2"/>
    <x v="7"/>
    <x v="40"/>
    <x v="0"/>
    <x v="17"/>
    <n v="65.099999999999994"/>
    <n v="23761.5"/>
    <n v="85541.4"/>
  </r>
  <r>
    <x v="0"/>
    <x v="0"/>
    <x v="0"/>
    <x v="1"/>
    <x v="2"/>
    <s v="DE4-E_A"/>
    <x v="2"/>
    <x v="7"/>
    <x v="40"/>
    <x v="0"/>
    <x v="18"/>
    <n v="65.099999999999994"/>
    <n v="23761.5"/>
    <n v="85541.4"/>
  </r>
  <r>
    <x v="0"/>
    <x v="0"/>
    <x v="0"/>
    <x v="1"/>
    <x v="2"/>
    <s v="DE4-E_A"/>
    <x v="2"/>
    <x v="7"/>
    <x v="40"/>
    <x v="0"/>
    <x v="19"/>
    <n v="65.099999999999994"/>
    <n v="23761.5"/>
    <n v="85541.4"/>
  </r>
  <r>
    <x v="0"/>
    <x v="0"/>
    <x v="0"/>
    <x v="1"/>
    <x v="2"/>
    <s v="DE4-E_A"/>
    <x v="2"/>
    <x v="7"/>
    <x v="40"/>
    <x v="0"/>
    <x v="20"/>
    <n v="65.099999999999994"/>
    <n v="23761.5"/>
    <n v="85541.4"/>
  </r>
  <r>
    <x v="0"/>
    <x v="0"/>
    <x v="0"/>
    <x v="1"/>
    <x v="2"/>
    <s v="DE4-E_A"/>
    <x v="2"/>
    <x v="7"/>
    <x v="40"/>
    <x v="0"/>
    <x v="21"/>
    <n v="65.099999999999994"/>
    <n v="23761.5"/>
    <n v="85541.4"/>
  </r>
  <r>
    <x v="0"/>
    <x v="0"/>
    <x v="0"/>
    <x v="1"/>
    <x v="2"/>
    <s v="DE4-E_A"/>
    <x v="2"/>
    <x v="7"/>
    <x v="40"/>
    <x v="0"/>
    <x v="22"/>
    <n v="65.099999999999994"/>
    <n v="23761.5"/>
    <n v="85541.4"/>
  </r>
  <r>
    <x v="0"/>
    <x v="0"/>
    <x v="0"/>
    <x v="1"/>
    <x v="2"/>
    <s v="DE4-E_A"/>
    <x v="2"/>
    <x v="7"/>
    <x v="40"/>
    <x v="0"/>
    <x v="23"/>
    <n v="65.099999999999994"/>
    <n v="23761.5"/>
    <n v="85541.4"/>
  </r>
  <r>
    <x v="0"/>
    <x v="0"/>
    <x v="0"/>
    <x v="1"/>
    <x v="2"/>
    <s v="DE4-E_A"/>
    <x v="4"/>
    <x v="3"/>
    <x v="9"/>
    <x v="0"/>
    <x v="6"/>
    <n v="53.858847245872902"/>
    <n v="19658.479244743601"/>
    <n v="70770.525281077003"/>
  </r>
  <r>
    <x v="0"/>
    <x v="0"/>
    <x v="0"/>
    <x v="1"/>
    <x v="2"/>
    <s v="DE4-E_A"/>
    <x v="4"/>
    <x v="3"/>
    <x v="9"/>
    <x v="0"/>
    <x v="7"/>
    <n v="574.45617285864"/>
    <n v="209676.503093404"/>
    <n v="754835.41113625397"/>
  </r>
  <r>
    <x v="0"/>
    <x v="0"/>
    <x v="0"/>
    <x v="1"/>
    <x v="2"/>
    <s v="DE4-E_A"/>
    <x v="4"/>
    <x v="3"/>
    <x v="9"/>
    <x v="0"/>
    <x v="8"/>
    <n v="1676.3852688508"/>
    <n v="611880.62313054095"/>
    <n v="2202770.2432699502"/>
  </r>
  <r>
    <x v="0"/>
    <x v="0"/>
    <x v="0"/>
    <x v="1"/>
    <x v="2"/>
    <s v="DE4-E_A"/>
    <x v="4"/>
    <x v="3"/>
    <x v="9"/>
    <x v="0"/>
    <x v="9"/>
    <n v="2736.83159313443"/>
    <n v="998943.53149406798"/>
    <n v="3596196.7133786501"/>
  </r>
  <r>
    <x v="0"/>
    <x v="0"/>
    <x v="0"/>
    <x v="1"/>
    <x v="2"/>
    <s v="DE4-E_A"/>
    <x v="4"/>
    <x v="3"/>
    <x v="9"/>
    <x v="0"/>
    <x v="10"/>
    <n v="3647.5044847577401"/>
    <n v="1331339.1369365701"/>
    <n v="4792820.89297166"/>
  </r>
  <r>
    <x v="0"/>
    <x v="0"/>
    <x v="0"/>
    <x v="1"/>
    <x v="2"/>
    <s v="DE4-E_A"/>
    <x v="4"/>
    <x v="3"/>
    <x v="9"/>
    <x v="0"/>
    <x v="11"/>
    <n v="4230.6697478093301"/>
    <n v="1544194.4579504"/>
    <n v="5559100.0486214496"/>
  </r>
  <r>
    <x v="0"/>
    <x v="0"/>
    <x v="0"/>
    <x v="1"/>
    <x v="2"/>
    <s v="DE4-E_A"/>
    <x v="4"/>
    <x v="3"/>
    <x v="9"/>
    <x v="0"/>
    <x v="12"/>
    <n v="4474.7534597959402"/>
    <n v="1633285.01282552"/>
    <n v="5879826.0461718701"/>
  </r>
  <r>
    <x v="0"/>
    <x v="0"/>
    <x v="0"/>
    <x v="1"/>
    <x v="2"/>
    <s v="DE4-E_A"/>
    <x v="4"/>
    <x v="3"/>
    <x v="9"/>
    <x v="0"/>
    <x v="13"/>
    <n v="4500.1931706227197"/>
    <n v="1642570.5072772901"/>
    <n v="5913253.8261982501"/>
  </r>
  <r>
    <x v="0"/>
    <x v="0"/>
    <x v="0"/>
    <x v="1"/>
    <x v="2"/>
    <s v="DE4-E_A"/>
    <x v="4"/>
    <x v="3"/>
    <x v="9"/>
    <x v="0"/>
    <x v="14"/>
    <n v="3874.1700163584501"/>
    <n v="1414072.0559708299"/>
    <n v="5090659.4014950097"/>
  </r>
  <r>
    <x v="0"/>
    <x v="0"/>
    <x v="0"/>
    <x v="1"/>
    <x v="2"/>
    <s v="DE4-E_A"/>
    <x v="4"/>
    <x v="3"/>
    <x v="9"/>
    <x v="0"/>
    <x v="15"/>
    <n v="2932.5569358917801"/>
    <n v="1070383.2816005"/>
    <n v="3853379.8137617898"/>
  </r>
  <r>
    <x v="0"/>
    <x v="0"/>
    <x v="0"/>
    <x v="1"/>
    <x v="2"/>
    <s v="DE4-E_A"/>
    <x v="4"/>
    <x v="3"/>
    <x v="9"/>
    <x v="0"/>
    <x v="16"/>
    <n v="1868.5582195557499"/>
    <n v="682023.75013784994"/>
    <n v="2455285.5004962599"/>
  </r>
  <r>
    <x v="0"/>
    <x v="0"/>
    <x v="0"/>
    <x v="1"/>
    <x v="2"/>
    <s v="DE4-E_A"/>
    <x v="4"/>
    <x v="3"/>
    <x v="9"/>
    <x v="0"/>
    <x v="17"/>
    <n v="709.67625743338499"/>
    <n v="259031.83396318601"/>
    <n v="932514.602267468"/>
  </r>
  <r>
    <x v="0"/>
    <x v="0"/>
    <x v="0"/>
    <x v="1"/>
    <x v="2"/>
    <s v="DE4-E_A"/>
    <x v="4"/>
    <x v="3"/>
    <x v="9"/>
    <x v="0"/>
    <x v="18"/>
    <n v="58.098799050335302"/>
    <n v="21206.061653372399"/>
    <n v="76341.821952140497"/>
  </r>
  <r>
    <x v="0"/>
    <x v="0"/>
    <x v="0"/>
    <x v="1"/>
    <x v="2"/>
    <s v="DE4-E_A"/>
    <x v="10"/>
    <x v="7"/>
    <x v="41"/>
    <x v="0"/>
    <x v="0"/>
    <n v="0.22"/>
    <n v="80.3"/>
    <n v="289.08"/>
  </r>
  <r>
    <x v="0"/>
    <x v="0"/>
    <x v="0"/>
    <x v="1"/>
    <x v="2"/>
    <s v="DE4-E_A"/>
    <x v="10"/>
    <x v="7"/>
    <x v="41"/>
    <x v="0"/>
    <x v="1"/>
    <n v="0.22"/>
    <n v="80.3"/>
    <n v="289.08"/>
  </r>
  <r>
    <x v="0"/>
    <x v="0"/>
    <x v="0"/>
    <x v="1"/>
    <x v="2"/>
    <s v="DE4-E_A"/>
    <x v="10"/>
    <x v="7"/>
    <x v="41"/>
    <x v="0"/>
    <x v="2"/>
    <n v="0.22"/>
    <n v="80.3"/>
    <n v="289.08"/>
  </r>
  <r>
    <x v="0"/>
    <x v="0"/>
    <x v="0"/>
    <x v="1"/>
    <x v="2"/>
    <s v="DE4-E_A"/>
    <x v="10"/>
    <x v="7"/>
    <x v="41"/>
    <x v="0"/>
    <x v="3"/>
    <n v="0.22"/>
    <n v="80.3"/>
    <n v="289.08"/>
  </r>
  <r>
    <x v="0"/>
    <x v="0"/>
    <x v="0"/>
    <x v="1"/>
    <x v="2"/>
    <s v="DE4-E_A"/>
    <x v="10"/>
    <x v="7"/>
    <x v="41"/>
    <x v="0"/>
    <x v="4"/>
    <n v="0.22"/>
    <n v="80.3"/>
    <n v="289.08"/>
  </r>
  <r>
    <x v="0"/>
    <x v="0"/>
    <x v="0"/>
    <x v="1"/>
    <x v="2"/>
    <s v="DE4-E_A"/>
    <x v="10"/>
    <x v="7"/>
    <x v="41"/>
    <x v="0"/>
    <x v="5"/>
    <n v="0.22"/>
    <n v="80.3"/>
    <n v="289.08"/>
  </r>
  <r>
    <x v="0"/>
    <x v="0"/>
    <x v="0"/>
    <x v="1"/>
    <x v="2"/>
    <s v="DE4-E_A"/>
    <x v="10"/>
    <x v="7"/>
    <x v="41"/>
    <x v="0"/>
    <x v="6"/>
    <n v="0.22"/>
    <n v="80.3"/>
    <n v="289.08"/>
  </r>
  <r>
    <x v="0"/>
    <x v="0"/>
    <x v="0"/>
    <x v="1"/>
    <x v="2"/>
    <s v="DE4-E_A"/>
    <x v="10"/>
    <x v="7"/>
    <x v="41"/>
    <x v="0"/>
    <x v="7"/>
    <n v="0.22"/>
    <n v="80.3"/>
    <n v="289.08"/>
  </r>
  <r>
    <x v="0"/>
    <x v="0"/>
    <x v="0"/>
    <x v="1"/>
    <x v="2"/>
    <s v="DE4-E_A"/>
    <x v="10"/>
    <x v="7"/>
    <x v="41"/>
    <x v="0"/>
    <x v="8"/>
    <n v="0.22"/>
    <n v="80.3"/>
    <n v="289.08"/>
  </r>
  <r>
    <x v="0"/>
    <x v="0"/>
    <x v="0"/>
    <x v="1"/>
    <x v="2"/>
    <s v="DE4-E_A"/>
    <x v="10"/>
    <x v="7"/>
    <x v="41"/>
    <x v="0"/>
    <x v="9"/>
    <n v="0.22"/>
    <n v="80.3"/>
    <n v="289.08"/>
  </r>
  <r>
    <x v="0"/>
    <x v="0"/>
    <x v="0"/>
    <x v="1"/>
    <x v="2"/>
    <s v="DE4-E_A"/>
    <x v="10"/>
    <x v="7"/>
    <x v="41"/>
    <x v="0"/>
    <x v="10"/>
    <n v="0.22"/>
    <n v="80.3"/>
    <n v="289.08"/>
  </r>
  <r>
    <x v="0"/>
    <x v="0"/>
    <x v="0"/>
    <x v="1"/>
    <x v="2"/>
    <s v="DE4-E_A"/>
    <x v="10"/>
    <x v="7"/>
    <x v="41"/>
    <x v="0"/>
    <x v="11"/>
    <n v="0.22"/>
    <n v="80.3"/>
    <n v="289.08"/>
  </r>
  <r>
    <x v="0"/>
    <x v="0"/>
    <x v="0"/>
    <x v="1"/>
    <x v="2"/>
    <s v="DE4-E_A"/>
    <x v="10"/>
    <x v="7"/>
    <x v="41"/>
    <x v="0"/>
    <x v="12"/>
    <n v="0.22"/>
    <n v="80.3"/>
    <n v="289.08"/>
  </r>
  <r>
    <x v="0"/>
    <x v="0"/>
    <x v="0"/>
    <x v="1"/>
    <x v="2"/>
    <s v="DE4-E_A"/>
    <x v="10"/>
    <x v="7"/>
    <x v="41"/>
    <x v="0"/>
    <x v="13"/>
    <n v="0.22"/>
    <n v="80.3"/>
    <n v="289.08"/>
  </r>
  <r>
    <x v="0"/>
    <x v="0"/>
    <x v="0"/>
    <x v="1"/>
    <x v="2"/>
    <s v="DE4-E_A"/>
    <x v="10"/>
    <x v="7"/>
    <x v="41"/>
    <x v="0"/>
    <x v="14"/>
    <n v="0.22"/>
    <n v="80.3"/>
    <n v="289.08"/>
  </r>
  <r>
    <x v="0"/>
    <x v="0"/>
    <x v="0"/>
    <x v="1"/>
    <x v="2"/>
    <s v="DE4-E_A"/>
    <x v="10"/>
    <x v="7"/>
    <x v="41"/>
    <x v="0"/>
    <x v="15"/>
    <n v="0.22"/>
    <n v="80.3"/>
    <n v="289.08"/>
  </r>
  <r>
    <x v="0"/>
    <x v="0"/>
    <x v="0"/>
    <x v="1"/>
    <x v="2"/>
    <s v="DE4-E_A"/>
    <x v="10"/>
    <x v="7"/>
    <x v="41"/>
    <x v="0"/>
    <x v="16"/>
    <n v="0.22"/>
    <n v="80.3"/>
    <n v="289.08"/>
  </r>
  <r>
    <x v="0"/>
    <x v="0"/>
    <x v="0"/>
    <x v="1"/>
    <x v="2"/>
    <s v="DE4-E_A"/>
    <x v="10"/>
    <x v="7"/>
    <x v="41"/>
    <x v="0"/>
    <x v="17"/>
    <n v="0.22"/>
    <n v="80.3"/>
    <n v="289.08"/>
  </r>
  <r>
    <x v="0"/>
    <x v="0"/>
    <x v="0"/>
    <x v="1"/>
    <x v="2"/>
    <s v="DE4-E_A"/>
    <x v="10"/>
    <x v="7"/>
    <x v="41"/>
    <x v="0"/>
    <x v="18"/>
    <n v="0.22"/>
    <n v="80.3"/>
    <n v="289.08"/>
  </r>
  <r>
    <x v="0"/>
    <x v="0"/>
    <x v="0"/>
    <x v="1"/>
    <x v="2"/>
    <s v="DE4-E_A"/>
    <x v="10"/>
    <x v="7"/>
    <x v="41"/>
    <x v="0"/>
    <x v="19"/>
    <n v="0.22"/>
    <n v="80.3"/>
    <n v="289.08"/>
  </r>
  <r>
    <x v="0"/>
    <x v="0"/>
    <x v="0"/>
    <x v="1"/>
    <x v="2"/>
    <s v="DE4-E_A"/>
    <x v="10"/>
    <x v="7"/>
    <x v="41"/>
    <x v="0"/>
    <x v="20"/>
    <n v="0.22"/>
    <n v="80.3"/>
    <n v="289.08"/>
  </r>
  <r>
    <x v="0"/>
    <x v="0"/>
    <x v="0"/>
    <x v="1"/>
    <x v="2"/>
    <s v="DE4-E_A"/>
    <x v="10"/>
    <x v="7"/>
    <x v="41"/>
    <x v="0"/>
    <x v="21"/>
    <n v="0.22"/>
    <n v="80.3"/>
    <n v="289.08"/>
  </r>
  <r>
    <x v="0"/>
    <x v="0"/>
    <x v="0"/>
    <x v="1"/>
    <x v="2"/>
    <s v="DE4-E_A"/>
    <x v="10"/>
    <x v="7"/>
    <x v="41"/>
    <x v="0"/>
    <x v="22"/>
    <n v="0.22"/>
    <n v="80.3"/>
    <n v="289.08"/>
  </r>
  <r>
    <x v="0"/>
    <x v="0"/>
    <x v="0"/>
    <x v="1"/>
    <x v="2"/>
    <s v="DE4-E_A"/>
    <x v="10"/>
    <x v="7"/>
    <x v="41"/>
    <x v="0"/>
    <x v="23"/>
    <n v="0.22"/>
    <n v="80.3"/>
    <n v="289.08"/>
  </r>
  <r>
    <x v="0"/>
    <x v="0"/>
    <x v="0"/>
    <x v="1"/>
    <x v="2"/>
    <s v="DE4-E_A"/>
    <x v="5"/>
    <x v="4"/>
    <x v="10"/>
    <x v="0"/>
    <x v="0"/>
    <n v="302.85891450546501"/>
    <n v="110543.503794495"/>
    <n v="397956.61366018199"/>
  </r>
  <r>
    <x v="0"/>
    <x v="0"/>
    <x v="0"/>
    <x v="1"/>
    <x v="2"/>
    <s v="DE4-E_A"/>
    <x v="5"/>
    <x v="4"/>
    <x v="10"/>
    <x v="0"/>
    <x v="1"/>
    <n v="302.85891450546501"/>
    <n v="110543.503794495"/>
    <n v="397956.61366018199"/>
  </r>
  <r>
    <x v="0"/>
    <x v="0"/>
    <x v="0"/>
    <x v="1"/>
    <x v="2"/>
    <s v="DE4-E_A"/>
    <x v="5"/>
    <x v="4"/>
    <x v="10"/>
    <x v="0"/>
    <x v="2"/>
    <n v="302.85891450546501"/>
    <n v="110543.503794495"/>
    <n v="397956.61366018199"/>
  </r>
  <r>
    <x v="0"/>
    <x v="0"/>
    <x v="0"/>
    <x v="1"/>
    <x v="2"/>
    <s v="DE4-E_A"/>
    <x v="5"/>
    <x v="4"/>
    <x v="10"/>
    <x v="0"/>
    <x v="3"/>
    <n v="302.85891450546501"/>
    <n v="110543.503794495"/>
    <n v="397956.61366018199"/>
  </r>
  <r>
    <x v="0"/>
    <x v="0"/>
    <x v="0"/>
    <x v="1"/>
    <x v="2"/>
    <s v="DE4-E_A"/>
    <x v="5"/>
    <x v="4"/>
    <x v="10"/>
    <x v="0"/>
    <x v="4"/>
    <n v="302.85891450546501"/>
    <n v="110543.503794495"/>
    <n v="397956.61366018199"/>
  </r>
  <r>
    <x v="0"/>
    <x v="0"/>
    <x v="0"/>
    <x v="1"/>
    <x v="2"/>
    <s v="DE4-E_A"/>
    <x v="5"/>
    <x v="4"/>
    <x v="10"/>
    <x v="0"/>
    <x v="5"/>
    <n v="302.85891450546501"/>
    <n v="110543.503794495"/>
    <n v="397956.61366018199"/>
  </r>
  <r>
    <x v="0"/>
    <x v="0"/>
    <x v="0"/>
    <x v="1"/>
    <x v="2"/>
    <s v="DE4-E_A"/>
    <x v="5"/>
    <x v="4"/>
    <x v="10"/>
    <x v="0"/>
    <x v="6"/>
    <n v="302.85891450546501"/>
    <n v="110543.503794495"/>
    <n v="397956.61366018199"/>
  </r>
  <r>
    <x v="0"/>
    <x v="0"/>
    <x v="0"/>
    <x v="1"/>
    <x v="2"/>
    <s v="DE4-E_A"/>
    <x v="5"/>
    <x v="4"/>
    <x v="10"/>
    <x v="0"/>
    <x v="7"/>
    <n v="302.85891450546501"/>
    <n v="110543.503794495"/>
    <n v="397956.61366018199"/>
  </r>
  <r>
    <x v="0"/>
    <x v="0"/>
    <x v="0"/>
    <x v="1"/>
    <x v="2"/>
    <s v="DE4-E_A"/>
    <x v="5"/>
    <x v="4"/>
    <x v="10"/>
    <x v="0"/>
    <x v="8"/>
    <n v="302.85891450546501"/>
    <n v="110543.503794495"/>
    <n v="397956.61366018199"/>
  </r>
  <r>
    <x v="0"/>
    <x v="0"/>
    <x v="0"/>
    <x v="1"/>
    <x v="2"/>
    <s v="DE4-E_A"/>
    <x v="5"/>
    <x v="4"/>
    <x v="10"/>
    <x v="0"/>
    <x v="9"/>
    <n v="302.85891450546501"/>
    <n v="110543.503794495"/>
    <n v="397956.61366018199"/>
  </r>
  <r>
    <x v="0"/>
    <x v="0"/>
    <x v="0"/>
    <x v="1"/>
    <x v="2"/>
    <s v="DE4-E_A"/>
    <x v="5"/>
    <x v="4"/>
    <x v="10"/>
    <x v="0"/>
    <x v="10"/>
    <n v="302.85891450546501"/>
    <n v="110543.503794495"/>
    <n v="397956.61366018199"/>
  </r>
  <r>
    <x v="0"/>
    <x v="0"/>
    <x v="0"/>
    <x v="1"/>
    <x v="2"/>
    <s v="DE4-E_A"/>
    <x v="5"/>
    <x v="4"/>
    <x v="10"/>
    <x v="0"/>
    <x v="11"/>
    <n v="302.85891450546501"/>
    <n v="110543.503794495"/>
    <n v="397956.61366018199"/>
  </r>
  <r>
    <x v="0"/>
    <x v="0"/>
    <x v="0"/>
    <x v="1"/>
    <x v="2"/>
    <s v="DE4-E_A"/>
    <x v="5"/>
    <x v="4"/>
    <x v="10"/>
    <x v="0"/>
    <x v="12"/>
    <n v="302.85891450546501"/>
    <n v="110543.503794495"/>
    <n v="397956.61366018199"/>
  </r>
  <r>
    <x v="0"/>
    <x v="0"/>
    <x v="0"/>
    <x v="1"/>
    <x v="2"/>
    <s v="DE4-E_A"/>
    <x v="5"/>
    <x v="4"/>
    <x v="10"/>
    <x v="0"/>
    <x v="13"/>
    <n v="302.85891450546501"/>
    <n v="110543.503794495"/>
    <n v="397956.61366018199"/>
  </r>
  <r>
    <x v="0"/>
    <x v="0"/>
    <x v="0"/>
    <x v="1"/>
    <x v="2"/>
    <s v="DE4-E_A"/>
    <x v="5"/>
    <x v="4"/>
    <x v="10"/>
    <x v="0"/>
    <x v="14"/>
    <n v="302.85891450546501"/>
    <n v="110543.503794495"/>
    <n v="397956.61366018199"/>
  </r>
  <r>
    <x v="0"/>
    <x v="0"/>
    <x v="0"/>
    <x v="1"/>
    <x v="2"/>
    <s v="DE4-E_A"/>
    <x v="5"/>
    <x v="4"/>
    <x v="10"/>
    <x v="0"/>
    <x v="15"/>
    <n v="302.85891450546501"/>
    <n v="110543.503794495"/>
    <n v="397956.61366018199"/>
  </r>
  <r>
    <x v="0"/>
    <x v="0"/>
    <x v="0"/>
    <x v="1"/>
    <x v="2"/>
    <s v="DE4-E_A"/>
    <x v="5"/>
    <x v="4"/>
    <x v="10"/>
    <x v="0"/>
    <x v="16"/>
    <n v="302.85891450546501"/>
    <n v="110543.503794495"/>
    <n v="397956.61366018199"/>
  </r>
  <r>
    <x v="0"/>
    <x v="0"/>
    <x v="0"/>
    <x v="1"/>
    <x v="2"/>
    <s v="DE4-E_A"/>
    <x v="5"/>
    <x v="4"/>
    <x v="10"/>
    <x v="0"/>
    <x v="17"/>
    <n v="302.85891450546501"/>
    <n v="110543.503794495"/>
    <n v="397956.61366018199"/>
  </r>
  <r>
    <x v="0"/>
    <x v="0"/>
    <x v="0"/>
    <x v="1"/>
    <x v="2"/>
    <s v="DE4-E_A"/>
    <x v="5"/>
    <x v="4"/>
    <x v="10"/>
    <x v="0"/>
    <x v="18"/>
    <n v="302.85891450546501"/>
    <n v="110543.503794495"/>
    <n v="397956.61366018199"/>
  </r>
  <r>
    <x v="0"/>
    <x v="0"/>
    <x v="0"/>
    <x v="1"/>
    <x v="2"/>
    <s v="DE4-E_A"/>
    <x v="5"/>
    <x v="4"/>
    <x v="10"/>
    <x v="0"/>
    <x v="19"/>
    <n v="302.85891450546501"/>
    <n v="110543.503794495"/>
    <n v="397956.61366018199"/>
  </r>
  <r>
    <x v="0"/>
    <x v="0"/>
    <x v="0"/>
    <x v="1"/>
    <x v="2"/>
    <s v="DE4-E_A"/>
    <x v="5"/>
    <x v="4"/>
    <x v="10"/>
    <x v="0"/>
    <x v="20"/>
    <n v="302.85891450546501"/>
    <n v="110543.503794495"/>
    <n v="397956.61366018199"/>
  </r>
  <r>
    <x v="0"/>
    <x v="0"/>
    <x v="0"/>
    <x v="1"/>
    <x v="2"/>
    <s v="DE4-E_A"/>
    <x v="5"/>
    <x v="4"/>
    <x v="10"/>
    <x v="0"/>
    <x v="21"/>
    <n v="302.85891450546501"/>
    <n v="110543.503794495"/>
    <n v="397956.61366018199"/>
  </r>
  <r>
    <x v="0"/>
    <x v="0"/>
    <x v="0"/>
    <x v="1"/>
    <x v="2"/>
    <s v="DE4-E_A"/>
    <x v="5"/>
    <x v="4"/>
    <x v="10"/>
    <x v="0"/>
    <x v="22"/>
    <n v="302.85891450546501"/>
    <n v="110543.503794495"/>
    <n v="397956.61366018199"/>
  </r>
  <r>
    <x v="0"/>
    <x v="0"/>
    <x v="0"/>
    <x v="1"/>
    <x v="2"/>
    <s v="DE4-E_A"/>
    <x v="5"/>
    <x v="4"/>
    <x v="10"/>
    <x v="0"/>
    <x v="23"/>
    <n v="302.85891450546501"/>
    <n v="110543.503794495"/>
    <n v="397956.61366018199"/>
  </r>
  <r>
    <x v="0"/>
    <x v="0"/>
    <x v="0"/>
    <x v="1"/>
    <x v="2"/>
    <s v="DE4-E_A"/>
    <x v="6"/>
    <x v="5"/>
    <x v="11"/>
    <x v="0"/>
    <x v="0"/>
    <n v="6387.7622737139"/>
    <n v="2331533.2299055802"/>
    <n v="8393519.6276600696"/>
  </r>
  <r>
    <x v="0"/>
    <x v="0"/>
    <x v="0"/>
    <x v="1"/>
    <x v="2"/>
    <s v="DE4-E_A"/>
    <x v="6"/>
    <x v="5"/>
    <x v="11"/>
    <x v="0"/>
    <x v="1"/>
    <n v="5917.17401835483"/>
    <n v="2159768.5166995102"/>
    <n v="7775166.6601182399"/>
  </r>
  <r>
    <x v="0"/>
    <x v="0"/>
    <x v="0"/>
    <x v="1"/>
    <x v="2"/>
    <s v="DE4-E_A"/>
    <x v="6"/>
    <x v="5"/>
    <x v="11"/>
    <x v="0"/>
    <x v="2"/>
    <n v="5611.5621053917503"/>
    <n v="2048220.1684679899"/>
    <n v="7373592.6064847596"/>
  </r>
  <r>
    <x v="0"/>
    <x v="0"/>
    <x v="0"/>
    <x v="1"/>
    <x v="2"/>
    <s v="DE4-E_A"/>
    <x v="6"/>
    <x v="5"/>
    <x v="11"/>
    <x v="0"/>
    <x v="3"/>
    <n v="5071.5012304376396"/>
    <n v="1851097.9491097401"/>
    <n v="6663952.6167950602"/>
  </r>
  <r>
    <x v="0"/>
    <x v="0"/>
    <x v="0"/>
    <x v="1"/>
    <x v="2"/>
    <s v="DE4-E_A"/>
    <x v="6"/>
    <x v="5"/>
    <x v="11"/>
    <x v="0"/>
    <x v="4"/>
    <n v="4521.4674003591799"/>
    <n v="1650335.6011311"/>
    <n v="5941208.1640719604"/>
  </r>
  <r>
    <x v="0"/>
    <x v="0"/>
    <x v="0"/>
    <x v="1"/>
    <x v="2"/>
    <s v="DE4-E_A"/>
    <x v="6"/>
    <x v="5"/>
    <x v="11"/>
    <x v="0"/>
    <x v="5"/>
    <n v="4297.3294597678896"/>
    <n v="1568525.2528152801"/>
    <n v="5646690.9101350103"/>
  </r>
  <r>
    <x v="0"/>
    <x v="0"/>
    <x v="0"/>
    <x v="1"/>
    <x v="2"/>
    <s v="DE4-E_A"/>
    <x v="6"/>
    <x v="5"/>
    <x v="11"/>
    <x v="0"/>
    <x v="6"/>
    <n v="4226.6736082089501"/>
    <n v="1542735.8669962699"/>
    <n v="5553849.12118656"/>
  </r>
  <r>
    <x v="0"/>
    <x v="0"/>
    <x v="0"/>
    <x v="1"/>
    <x v="2"/>
    <s v="DE4-E_A"/>
    <x v="6"/>
    <x v="5"/>
    <x v="11"/>
    <x v="0"/>
    <x v="7"/>
    <n v="4345.6729371503297"/>
    <n v="1586170.62205987"/>
    <n v="5710214.2394155301"/>
  </r>
  <r>
    <x v="0"/>
    <x v="0"/>
    <x v="0"/>
    <x v="1"/>
    <x v="2"/>
    <s v="DE4-E_A"/>
    <x v="6"/>
    <x v="5"/>
    <x v="11"/>
    <x v="0"/>
    <x v="8"/>
    <n v="5200.9806139164602"/>
    <n v="1898357.9240795099"/>
    <n v="6834088.5266862297"/>
  </r>
  <r>
    <x v="0"/>
    <x v="0"/>
    <x v="0"/>
    <x v="1"/>
    <x v="2"/>
    <s v="DE4-E_A"/>
    <x v="6"/>
    <x v="5"/>
    <x v="11"/>
    <x v="0"/>
    <x v="9"/>
    <n v="5888.4383849456899"/>
    <n v="2149280.0105051799"/>
    <n v="7737408.0378186395"/>
  </r>
  <r>
    <x v="0"/>
    <x v="0"/>
    <x v="0"/>
    <x v="1"/>
    <x v="2"/>
    <s v="DE4-E_A"/>
    <x v="6"/>
    <x v="5"/>
    <x v="11"/>
    <x v="0"/>
    <x v="10"/>
    <n v="5690.8386469734296"/>
    <n v="2077156.1061453"/>
    <n v="7477761.98212309"/>
  </r>
  <r>
    <x v="0"/>
    <x v="0"/>
    <x v="0"/>
    <x v="1"/>
    <x v="2"/>
    <s v="DE4-E_A"/>
    <x v="6"/>
    <x v="5"/>
    <x v="11"/>
    <x v="0"/>
    <x v="11"/>
    <n v="5205.0374092212796"/>
    <n v="1899838.6543657701"/>
    <n v="6839419.1557167601"/>
  </r>
  <r>
    <x v="0"/>
    <x v="0"/>
    <x v="0"/>
    <x v="1"/>
    <x v="2"/>
    <s v="DE4-E_A"/>
    <x v="6"/>
    <x v="5"/>
    <x v="11"/>
    <x v="0"/>
    <x v="12"/>
    <n v="5291.4133425864002"/>
    <n v="1931365.87004404"/>
    <n v="6952917.1321585299"/>
  </r>
  <r>
    <x v="0"/>
    <x v="0"/>
    <x v="0"/>
    <x v="1"/>
    <x v="2"/>
    <s v="DE4-E_A"/>
    <x v="6"/>
    <x v="5"/>
    <x v="11"/>
    <x v="0"/>
    <x v="13"/>
    <n v="5366.9711551386699"/>
    <n v="1958944.47162561"/>
    <n v="7052200.0978522096"/>
  </r>
  <r>
    <x v="0"/>
    <x v="0"/>
    <x v="0"/>
    <x v="1"/>
    <x v="2"/>
    <s v="DE4-E_A"/>
    <x v="6"/>
    <x v="5"/>
    <x v="11"/>
    <x v="0"/>
    <x v="14"/>
    <n v="5393.6783908954003"/>
    <n v="1968692.61267682"/>
    <n v="7087293.4056365499"/>
  </r>
  <r>
    <x v="0"/>
    <x v="0"/>
    <x v="0"/>
    <x v="1"/>
    <x v="2"/>
    <s v="DE4-E_A"/>
    <x v="6"/>
    <x v="5"/>
    <x v="11"/>
    <x v="0"/>
    <x v="15"/>
    <n v="5046.1462597825102"/>
    <n v="1841843.3848206201"/>
    <n v="6630636.1853542197"/>
  </r>
  <r>
    <x v="0"/>
    <x v="0"/>
    <x v="0"/>
    <x v="1"/>
    <x v="2"/>
    <s v="DE4-E_A"/>
    <x v="6"/>
    <x v="5"/>
    <x v="11"/>
    <x v="0"/>
    <x v="16"/>
    <n v="4561.1901877188702"/>
    <n v="1664834.41851739"/>
    <n v="5993403.9066625899"/>
  </r>
  <r>
    <x v="0"/>
    <x v="0"/>
    <x v="0"/>
    <x v="1"/>
    <x v="2"/>
    <s v="DE4-E_A"/>
    <x v="6"/>
    <x v="5"/>
    <x v="11"/>
    <x v="0"/>
    <x v="17"/>
    <n v="3779.2428927148799"/>
    <n v="1379423.6558409301"/>
    <n v="4965925.1610273598"/>
  </r>
  <r>
    <x v="0"/>
    <x v="0"/>
    <x v="0"/>
    <x v="1"/>
    <x v="2"/>
    <s v="DE4-E_A"/>
    <x v="6"/>
    <x v="5"/>
    <x v="11"/>
    <x v="0"/>
    <x v="18"/>
    <n v="2903.6512394246502"/>
    <n v="1059832.70239"/>
    <n v="3815397.7286039898"/>
  </r>
  <r>
    <x v="0"/>
    <x v="0"/>
    <x v="0"/>
    <x v="1"/>
    <x v="2"/>
    <s v="DE4-E_A"/>
    <x v="6"/>
    <x v="5"/>
    <x v="11"/>
    <x v="0"/>
    <x v="19"/>
    <n v="2916.4977578899102"/>
    <n v="1064521.68162982"/>
    <n v="3832278.0538673401"/>
  </r>
  <r>
    <x v="0"/>
    <x v="0"/>
    <x v="0"/>
    <x v="1"/>
    <x v="2"/>
    <s v="DE4-E_A"/>
    <x v="6"/>
    <x v="5"/>
    <x v="11"/>
    <x v="0"/>
    <x v="20"/>
    <n v="3065.2469190666302"/>
    <n v="1118815.1254593199"/>
    <n v="4027734.4516535499"/>
  </r>
  <r>
    <x v="0"/>
    <x v="0"/>
    <x v="0"/>
    <x v="1"/>
    <x v="2"/>
    <s v="DE4-E_A"/>
    <x v="6"/>
    <x v="5"/>
    <x v="11"/>
    <x v="0"/>
    <x v="21"/>
    <n v="3315.7540291392402"/>
    <n v="1210250.2206358199"/>
    <n v="4356900.7942889603"/>
  </r>
  <r>
    <x v="0"/>
    <x v="0"/>
    <x v="0"/>
    <x v="1"/>
    <x v="2"/>
    <s v="DE4-E_A"/>
    <x v="6"/>
    <x v="5"/>
    <x v="11"/>
    <x v="0"/>
    <x v="22"/>
    <n v="3462.3057595258501"/>
    <n v="1263741.60222694"/>
    <n v="4549469.7680169698"/>
  </r>
  <r>
    <x v="0"/>
    <x v="0"/>
    <x v="0"/>
    <x v="1"/>
    <x v="2"/>
    <s v="DE4-E_A"/>
    <x v="6"/>
    <x v="5"/>
    <x v="11"/>
    <x v="0"/>
    <x v="23"/>
    <n v="3504.22597767565"/>
    <n v="1279042.4818516099"/>
    <n v="4604552.9346658103"/>
  </r>
  <r>
    <x v="0"/>
    <x v="0"/>
    <x v="0"/>
    <x v="1"/>
    <x v="2"/>
    <s v="DE4-E_Offshore_A"/>
    <x v="6"/>
    <x v="5"/>
    <x v="12"/>
    <x v="0"/>
    <x v="0"/>
    <n v="232.29950815152401"/>
    <n v="84789.320475306304"/>
    <n v="305241.55371110298"/>
  </r>
  <r>
    <x v="0"/>
    <x v="0"/>
    <x v="0"/>
    <x v="1"/>
    <x v="2"/>
    <s v="DE4-E_Offshore_A"/>
    <x v="6"/>
    <x v="5"/>
    <x v="12"/>
    <x v="0"/>
    <x v="1"/>
    <n v="215.18593761186199"/>
    <n v="78542.867228329502"/>
    <n v="282754.32202198601"/>
  </r>
  <r>
    <x v="0"/>
    <x v="0"/>
    <x v="0"/>
    <x v="1"/>
    <x v="2"/>
    <s v="DE4-E_Offshore_A"/>
    <x v="6"/>
    <x v="5"/>
    <x v="12"/>
    <x v="0"/>
    <x v="2"/>
    <n v="204.07195214644901"/>
    <n v="74486.262533453802"/>
    <n v="268150.54512043402"/>
  </r>
  <r>
    <x v="0"/>
    <x v="0"/>
    <x v="0"/>
    <x v="1"/>
    <x v="2"/>
    <s v="DE4-E_Offshore_A"/>
    <x v="6"/>
    <x v="5"/>
    <x v="12"/>
    <x v="0"/>
    <x v="3"/>
    <n v="184.43191699047799"/>
    <n v="67317.649701524599"/>
    <n v="242343.538925489"/>
  </r>
  <r>
    <x v="0"/>
    <x v="0"/>
    <x v="0"/>
    <x v="1"/>
    <x v="2"/>
    <s v="DE4-E_Offshore_A"/>
    <x v="6"/>
    <x v="5"/>
    <x v="12"/>
    <x v="0"/>
    <x v="4"/>
    <n v="164.42920199907701"/>
    <n v="60016.658729663097"/>
    <n v="216059.971426787"/>
  </r>
  <r>
    <x v="0"/>
    <x v="0"/>
    <x v="0"/>
    <x v="1"/>
    <x v="2"/>
    <s v="DE4-E_Offshore_A"/>
    <x v="6"/>
    <x v="5"/>
    <x v="12"/>
    <x v="0"/>
    <x v="5"/>
    <n v="156.27812637566001"/>
    <n v="57041.516127115901"/>
    <n v="205349.45805761701"/>
  </r>
  <r>
    <x v="0"/>
    <x v="0"/>
    <x v="0"/>
    <x v="1"/>
    <x v="2"/>
    <s v="DE4-E_Offshore_A"/>
    <x v="6"/>
    <x v="5"/>
    <x v="12"/>
    <x v="0"/>
    <x v="6"/>
    <n v="153.708631948369"/>
    <n v="56103.650661154599"/>
    <n v="201973.14238015699"/>
  </r>
  <r>
    <x v="0"/>
    <x v="0"/>
    <x v="0"/>
    <x v="1"/>
    <x v="2"/>
    <s v="DE4-E_Offshore_A"/>
    <x v="6"/>
    <x v="5"/>
    <x v="12"/>
    <x v="0"/>
    <x v="7"/>
    <n v="158.03620151012299"/>
    <n v="57683.213551194698"/>
    <n v="207659.56878430099"/>
  </r>
  <r>
    <x v="0"/>
    <x v="0"/>
    <x v="0"/>
    <x v="1"/>
    <x v="2"/>
    <s v="DE4-E_Offshore_A"/>
    <x v="6"/>
    <x v="5"/>
    <x v="12"/>
    <x v="0"/>
    <x v="8"/>
    <n v="189.14060773522701"/>
    <n v="69036.321823357997"/>
    <n v="248530.75856408899"/>
  </r>
  <r>
    <x v="0"/>
    <x v="0"/>
    <x v="0"/>
    <x v="1"/>
    <x v="2"/>
    <s v="DE4-E_Offshore_A"/>
    <x v="6"/>
    <x v="5"/>
    <x v="12"/>
    <x v="0"/>
    <x v="9"/>
    <n v="214.14092791655199"/>
    <n v="78161.438689541406"/>
    <n v="281381.17928234901"/>
  </r>
  <r>
    <x v="0"/>
    <x v="0"/>
    <x v="0"/>
    <x v="1"/>
    <x v="2"/>
    <s v="DE4-E_Offshore_A"/>
    <x v="6"/>
    <x v="5"/>
    <x v="12"/>
    <x v="0"/>
    <x v="10"/>
    <n v="206.95494948233301"/>
    <n v="75538.556561051504"/>
    <n v="271938.803619785"/>
  </r>
  <r>
    <x v="0"/>
    <x v="0"/>
    <x v="0"/>
    <x v="1"/>
    <x v="2"/>
    <s v="DE4-E_Offshore_A"/>
    <x v="6"/>
    <x v="5"/>
    <x v="12"/>
    <x v="0"/>
    <x v="11"/>
    <n v="189.28813851574199"/>
    <n v="69090.170558245707"/>
    <n v="248724.614009685"/>
  </r>
  <r>
    <x v="0"/>
    <x v="0"/>
    <x v="0"/>
    <x v="1"/>
    <x v="2"/>
    <s v="DE4-E_Offshore_A"/>
    <x v="6"/>
    <x v="5"/>
    <x v="12"/>
    <x v="0"/>
    <x v="12"/>
    <n v="192.42931471752601"/>
    <n v="70236.699871896999"/>
    <n v="252852.11953882899"/>
  </r>
  <r>
    <x v="0"/>
    <x v="0"/>
    <x v="0"/>
    <x v="1"/>
    <x v="2"/>
    <s v="DE4-E_Offshore_A"/>
    <x v="6"/>
    <x v="5"/>
    <x v="12"/>
    <x v="0"/>
    <x v="13"/>
    <n v="195.177075504605"/>
    <n v="71239.632559181002"/>
    <n v="256462.677213052"/>
  </r>
  <r>
    <x v="0"/>
    <x v="0"/>
    <x v="0"/>
    <x v="1"/>
    <x v="2"/>
    <s v="DE4-E_Offshore_A"/>
    <x v="6"/>
    <x v="5"/>
    <x v="12"/>
    <x v="0"/>
    <x v="14"/>
    <n v="196.14831980965801"/>
    <n v="71594.136730525206"/>
    <n v="257738.892229891"/>
  </r>
  <r>
    <x v="0"/>
    <x v="0"/>
    <x v="0"/>
    <x v="1"/>
    <x v="2"/>
    <s v="DE4-E_Offshore_A"/>
    <x v="6"/>
    <x v="5"/>
    <x v="12"/>
    <x v="0"/>
    <x v="15"/>
    <n v="183.50984961226399"/>
    <n v="66981.095108476293"/>
    <n v="241131.942390515"/>
  </r>
  <r>
    <x v="0"/>
    <x v="0"/>
    <x v="0"/>
    <x v="1"/>
    <x v="2"/>
    <s v="DE4-E_Offshore_A"/>
    <x v="6"/>
    <x v="5"/>
    <x v="12"/>
    <x v="0"/>
    <x v="16"/>
    <n v="165.873774224946"/>
    <n v="60543.927592105501"/>
    <n v="217958.13933157999"/>
  </r>
  <r>
    <x v="0"/>
    <x v="0"/>
    <x v="0"/>
    <x v="1"/>
    <x v="2"/>
    <s v="DE4-E_Offshore_A"/>
    <x v="6"/>
    <x v="5"/>
    <x v="12"/>
    <x v="0"/>
    <x v="17"/>
    <n v="137.437216280809"/>
    <n v="50164.583942495301"/>
    <n v="180592.502192983"/>
  </r>
  <r>
    <x v="0"/>
    <x v="0"/>
    <x v="0"/>
    <x v="1"/>
    <x v="2"/>
    <s v="DE4-E_Offshore_A"/>
    <x v="6"/>
    <x v="5"/>
    <x v="12"/>
    <x v="0"/>
    <x v="18"/>
    <n v="105.595156153133"/>
    <n v="38542.231995893402"/>
    <n v="138752.03518521599"/>
  </r>
  <r>
    <x v="0"/>
    <x v="0"/>
    <x v="0"/>
    <x v="1"/>
    <x v="2"/>
    <s v="DE4-E_Offshore_A"/>
    <x v="6"/>
    <x v="5"/>
    <x v="12"/>
    <x v="0"/>
    <x v="19"/>
    <n v="106.062336958095"/>
    <n v="38712.752989704502"/>
    <n v="139365.91076293599"/>
  </r>
  <r>
    <x v="0"/>
    <x v="0"/>
    <x v="0"/>
    <x v="1"/>
    <x v="2"/>
    <s v="DE4-E_Offshore_A"/>
    <x v="6"/>
    <x v="5"/>
    <x v="12"/>
    <x v="0"/>
    <x v="20"/>
    <n v="111.47179891028701"/>
    <n v="40687.206602254701"/>
    <n v="146473.94376811699"/>
  </r>
  <r>
    <x v="0"/>
    <x v="0"/>
    <x v="0"/>
    <x v="1"/>
    <x v="2"/>
    <s v="DE4-E_Offshore_A"/>
    <x v="6"/>
    <x v="5"/>
    <x v="12"/>
    <x v="0"/>
    <x v="21"/>
    <n v="120.581824607047"/>
    <n v="44012.365981572097"/>
    <n v="158444.517533659"/>
  </r>
  <r>
    <x v="0"/>
    <x v="0"/>
    <x v="0"/>
    <x v="1"/>
    <x v="2"/>
    <s v="DE4-E_Offshore_A"/>
    <x v="6"/>
    <x v="5"/>
    <x v="12"/>
    <x v="0"/>
    <x v="22"/>
    <n v="125.91137405312701"/>
    <n v="45957.651529391303"/>
    <n v="165447.54550580899"/>
  </r>
  <r>
    <x v="0"/>
    <x v="0"/>
    <x v="0"/>
    <x v="1"/>
    <x v="2"/>
    <s v="DE4-E_Offshore_A"/>
    <x v="6"/>
    <x v="5"/>
    <x v="12"/>
    <x v="0"/>
    <x v="23"/>
    <n v="127.435858785108"/>
    <n v="46514.088456564597"/>
    <n v="167450.71844363201"/>
  </r>
  <r>
    <x v="0"/>
    <x v="0"/>
    <x v="0"/>
    <x v="1"/>
    <x v="3"/>
    <s v="DE4-N_A"/>
    <x v="0"/>
    <x v="7"/>
    <x v="42"/>
    <x v="0"/>
    <x v="17"/>
    <n v="820.53813758375702"/>
    <n v="299496.42021807103"/>
    <n v="1078187.11278506"/>
  </r>
  <r>
    <x v="0"/>
    <x v="0"/>
    <x v="0"/>
    <x v="1"/>
    <x v="3"/>
    <s v="DE4-N_A"/>
    <x v="0"/>
    <x v="7"/>
    <x v="42"/>
    <x v="0"/>
    <x v="19"/>
    <n v="1600"/>
    <n v="584000"/>
    <n v="2102400"/>
  </r>
  <r>
    <x v="0"/>
    <x v="0"/>
    <x v="0"/>
    <x v="1"/>
    <x v="3"/>
    <s v="DE4-N_A"/>
    <x v="0"/>
    <x v="7"/>
    <x v="42"/>
    <x v="0"/>
    <x v="20"/>
    <n v="1600"/>
    <n v="584000"/>
    <n v="2102400"/>
  </r>
  <r>
    <x v="0"/>
    <x v="0"/>
    <x v="0"/>
    <x v="1"/>
    <x v="3"/>
    <s v="DE4-N_A"/>
    <x v="0"/>
    <x v="7"/>
    <x v="42"/>
    <x v="0"/>
    <x v="21"/>
    <n v="790.60568527998896"/>
    <n v="288571.07512719597"/>
    <n v="1038855.87045791"/>
  </r>
  <r>
    <x v="0"/>
    <x v="0"/>
    <x v="0"/>
    <x v="1"/>
    <x v="3"/>
    <s v="DE4-N_A"/>
    <x v="1"/>
    <x v="6"/>
    <x v="43"/>
    <x v="0"/>
    <x v="0"/>
    <n v="-952.8"/>
    <n v="-347772"/>
    <n v="-1251979.2"/>
  </r>
  <r>
    <x v="0"/>
    <x v="0"/>
    <x v="0"/>
    <x v="1"/>
    <x v="3"/>
    <s v="DE4-N_A"/>
    <x v="1"/>
    <x v="6"/>
    <x v="43"/>
    <x v="0"/>
    <x v="1"/>
    <n v="-952.8"/>
    <n v="-347772"/>
    <n v="-1251979.2"/>
  </r>
  <r>
    <x v="0"/>
    <x v="0"/>
    <x v="0"/>
    <x v="1"/>
    <x v="3"/>
    <s v="DE4-N_A"/>
    <x v="1"/>
    <x v="6"/>
    <x v="43"/>
    <x v="0"/>
    <x v="2"/>
    <n v="-952.8"/>
    <n v="-347772"/>
    <n v="-1251979.2"/>
  </r>
  <r>
    <x v="0"/>
    <x v="0"/>
    <x v="0"/>
    <x v="1"/>
    <x v="3"/>
    <s v="DE4-N_A"/>
    <x v="1"/>
    <x v="6"/>
    <x v="43"/>
    <x v="0"/>
    <x v="3"/>
    <n v="-952.8"/>
    <n v="-347772"/>
    <n v="-1251979.2"/>
  </r>
  <r>
    <x v="0"/>
    <x v="0"/>
    <x v="0"/>
    <x v="1"/>
    <x v="3"/>
    <s v="DE4-N_A"/>
    <x v="1"/>
    <x v="6"/>
    <x v="43"/>
    <x v="0"/>
    <x v="4"/>
    <n v="-952.8"/>
    <n v="-347772"/>
    <n v="-1251979.2"/>
  </r>
  <r>
    <x v="0"/>
    <x v="0"/>
    <x v="0"/>
    <x v="1"/>
    <x v="3"/>
    <s v="DE4-N_A"/>
    <x v="1"/>
    <x v="6"/>
    <x v="43"/>
    <x v="0"/>
    <x v="5"/>
    <n v="-952.8"/>
    <n v="-347772"/>
    <n v="-1251979.2"/>
  </r>
  <r>
    <x v="0"/>
    <x v="0"/>
    <x v="0"/>
    <x v="1"/>
    <x v="3"/>
    <s v="DE4-N_A"/>
    <x v="1"/>
    <x v="6"/>
    <x v="43"/>
    <x v="0"/>
    <x v="6"/>
    <n v="-952.8"/>
    <n v="-347772"/>
    <n v="-1251979.2"/>
  </r>
  <r>
    <x v="0"/>
    <x v="0"/>
    <x v="0"/>
    <x v="1"/>
    <x v="3"/>
    <s v="DE4-N_A"/>
    <x v="1"/>
    <x v="6"/>
    <x v="43"/>
    <x v="0"/>
    <x v="7"/>
    <n v="-952.8"/>
    <n v="-347772"/>
    <n v="-1251979.2"/>
  </r>
  <r>
    <x v="0"/>
    <x v="0"/>
    <x v="0"/>
    <x v="1"/>
    <x v="3"/>
    <s v="DE4-N_A"/>
    <x v="1"/>
    <x v="6"/>
    <x v="43"/>
    <x v="0"/>
    <x v="8"/>
    <n v="-952.8"/>
    <n v="-347772"/>
    <n v="-1251979.2"/>
  </r>
  <r>
    <x v="0"/>
    <x v="0"/>
    <x v="0"/>
    <x v="1"/>
    <x v="3"/>
    <s v="DE4-N_A"/>
    <x v="1"/>
    <x v="6"/>
    <x v="43"/>
    <x v="0"/>
    <x v="9"/>
    <n v="-952.8"/>
    <n v="-347772"/>
    <n v="-1251979.2"/>
  </r>
  <r>
    <x v="0"/>
    <x v="0"/>
    <x v="0"/>
    <x v="1"/>
    <x v="3"/>
    <s v="DE4-N_A"/>
    <x v="1"/>
    <x v="6"/>
    <x v="43"/>
    <x v="0"/>
    <x v="10"/>
    <n v="-952.8"/>
    <n v="-347772"/>
    <n v="-1251979.2"/>
  </r>
  <r>
    <x v="0"/>
    <x v="0"/>
    <x v="0"/>
    <x v="1"/>
    <x v="3"/>
    <s v="DE4-N_A"/>
    <x v="1"/>
    <x v="6"/>
    <x v="43"/>
    <x v="0"/>
    <x v="11"/>
    <n v="-952.8"/>
    <n v="-347772"/>
    <n v="-1251979.2"/>
  </r>
  <r>
    <x v="0"/>
    <x v="0"/>
    <x v="0"/>
    <x v="1"/>
    <x v="3"/>
    <s v="DE4-N_A"/>
    <x v="1"/>
    <x v="6"/>
    <x v="43"/>
    <x v="0"/>
    <x v="12"/>
    <n v="-952.8"/>
    <n v="-347772"/>
    <n v="-1251979.2"/>
  </r>
  <r>
    <x v="0"/>
    <x v="0"/>
    <x v="0"/>
    <x v="1"/>
    <x v="3"/>
    <s v="DE4-N_A"/>
    <x v="1"/>
    <x v="6"/>
    <x v="43"/>
    <x v="0"/>
    <x v="13"/>
    <n v="-952.8"/>
    <n v="-347772"/>
    <n v="-1251979.2"/>
  </r>
  <r>
    <x v="0"/>
    <x v="0"/>
    <x v="0"/>
    <x v="1"/>
    <x v="3"/>
    <s v="DE4-N_A"/>
    <x v="1"/>
    <x v="6"/>
    <x v="43"/>
    <x v="0"/>
    <x v="14"/>
    <n v="-952.8"/>
    <n v="-347772"/>
    <n v="-1251979.2"/>
  </r>
  <r>
    <x v="0"/>
    <x v="0"/>
    <x v="0"/>
    <x v="1"/>
    <x v="3"/>
    <s v="DE4-N_A"/>
    <x v="1"/>
    <x v="6"/>
    <x v="43"/>
    <x v="0"/>
    <x v="15"/>
    <n v="-952.8"/>
    <n v="-347772"/>
    <n v="-1251979.2"/>
  </r>
  <r>
    <x v="0"/>
    <x v="0"/>
    <x v="0"/>
    <x v="1"/>
    <x v="3"/>
    <s v="DE4-N_A"/>
    <x v="1"/>
    <x v="6"/>
    <x v="43"/>
    <x v="0"/>
    <x v="16"/>
    <n v="-952.8"/>
    <n v="-347772"/>
    <n v="-1251979.2"/>
  </r>
  <r>
    <x v="0"/>
    <x v="0"/>
    <x v="0"/>
    <x v="1"/>
    <x v="3"/>
    <s v="DE4-N_A"/>
    <x v="1"/>
    <x v="6"/>
    <x v="43"/>
    <x v="0"/>
    <x v="17"/>
    <n v="-952.8"/>
    <n v="-347772"/>
    <n v="-1251979.2"/>
  </r>
  <r>
    <x v="0"/>
    <x v="0"/>
    <x v="0"/>
    <x v="1"/>
    <x v="3"/>
    <s v="DE4-N_A"/>
    <x v="1"/>
    <x v="6"/>
    <x v="43"/>
    <x v="0"/>
    <x v="18"/>
    <n v="-952.8"/>
    <n v="-347772"/>
    <n v="-1251979.2"/>
  </r>
  <r>
    <x v="0"/>
    <x v="0"/>
    <x v="0"/>
    <x v="1"/>
    <x v="3"/>
    <s v="DE4-N_A"/>
    <x v="1"/>
    <x v="6"/>
    <x v="43"/>
    <x v="0"/>
    <x v="19"/>
    <n v="-952.8"/>
    <n v="-347772"/>
    <n v="-1251979.2"/>
  </r>
  <r>
    <x v="0"/>
    <x v="0"/>
    <x v="0"/>
    <x v="1"/>
    <x v="3"/>
    <s v="DE4-N_A"/>
    <x v="1"/>
    <x v="6"/>
    <x v="43"/>
    <x v="0"/>
    <x v="20"/>
    <n v="-952.8"/>
    <n v="-347772"/>
    <n v="-1251979.2"/>
  </r>
  <r>
    <x v="0"/>
    <x v="0"/>
    <x v="0"/>
    <x v="1"/>
    <x v="3"/>
    <s v="DE4-N_A"/>
    <x v="1"/>
    <x v="6"/>
    <x v="43"/>
    <x v="0"/>
    <x v="21"/>
    <n v="-952.8"/>
    <n v="-347772"/>
    <n v="-1251979.2"/>
  </r>
  <r>
    <x v="0"/>
    <x v="0"/>
    <x v="0"/>
    <x v="1"/>
    <x v="3"/>
    <s v="DE4-N_A"/>
    <x v="1"/>
    <x v="6"/>
    <x v="43"/>
    <x v="0"/>
    <x v="22"/>
    <n v="-952.8"/>
    <n v="-347772"/>
    <n v="-1251979.2"/>
  </r>
  <r>
    <x v="0"/>
    <x v="0"/>
    <x v="0"/>
    <x v="1"/>
    <x v="3"/>
    <s v="DE4-N_A"/>
    <x v="1"/>
    <x v="6"/>
    <x v="43"/>
    <x v="0"/>
    <x v="23"/>
    <n v="-952.8"/>
    <n v="-347772"/>
    <n v="-1251979.2"/>
  </r>
  <r>
    <x v="0"/>
    <x v="0"/>
    <x v="0"/>
    <x v="1"/>
    <x v="3"/>
    <s v="DE4-N_A"/>
    <x v="11"/>
    <x v="7"/>
    <x v="44"/>
    <x v="0"/>
    <x v="0"/>
    <n v="1410"/>
    <n v="514650"/>
    <n v="1852740"/>
  </r>
  <r>
    <x v="0"/>
    <x v="0"/>
    <x v="0"/>
    <x v="1"/>
    <x v="3"/>
    <s v="DE4-N_A"/>
    <x v="11"/>
    <x v="7"/>
    <x v="44"/>
    <x v="0"/>
    <x v="1"/>
    <n v="1410"/>
    <n v="514650"/>
    <n v="1852740"/>
  </r>
  <r>
    <x v="0"/>
    <x v="0"/>
    <x v="0"/>
    <x v="1"/>
    <x v="3"/>
    <s v="DE4-N_A"/>
    <x v="11"/>
    <x v="7"/>
    <x v="44"/>
    <x v="0"/>
    <x v="2"/>
    <n v="1410"/>
    <n v="514650"/>
    <n v="1852740"/>
  </r>
  <r>
    <x v="0"/>
    <x v="0"/>
    <x v="0"/>
    <x v="1"/>
    <x v="3"/>
    <s v="DE4-N_A"/>
    <x v="11"/>
    <x v="7"/>
    <x v="44"/>
    <x v="0"/>
    <x v="3"/>
    <n v="1410"/>
    <n v="514650"/>
    <n v="1852740"/>
  </r>
  <r>
    <x v="0"/>
    <x v="0"/>
    <x v="0"/>
    <x v="1"/>
    <x v="3"/>
    <s v="DE4-N_A"/>
    <x v="11"/>
    <x v="7"/>
    <x v="44"/>
    <x v="0"/>
    <x v="4"/>
    <n v="1410"/>
    <n v="514650"/>
    <n v="1852740"/>
  </r>
  <r>
    <x v="0"/>
    <x v="0"/>
    <x v="0"/>
    <x v="1"/>
    <x v="3"/>
    <s v="DE4-N_A"/>
    <x v="11"/>
    <x v="7"/>
    <x v="44"/>
    <x v="0"/>
    <x v="5"/>
    <n v="1410"/>
    <n v="514650"/>
    <n v="1852740"/>
  </r>
  <r>
    <x v="0"/>
    <x v="0"/>
    <x v="0"/>
    <x v="1"/>
    <x v="3"/>
    <s v="DE4-N_A"/>
    <x v="11"/>
    <x v="7"/>
    <x v="44"/>
    <x v="0"/>
    <x v="6"/>
    <n v="1410"/>
    <n v="514650"/>
    <n v="1852740"/>
  </r>
  <r>
    <x v="0"/>
    <x v="0"/>
    <x v="0"/>
    <x v="1"/>
    <x v="3"/>
    <s v="DE4-N_A"/>
    <x v="11"/>
    <x v="7"/>
    <x v="44"/>
    <x v="0"/>
    <x v="7"/>
    <n v="1410"/>
    <n v="514650"/>
    <n v="1852740"/>
  </r>
  <r>
    <x v="0"/>
    <x v="0"/>
    <x v="0"/>
    <x v="1"/>
    <x v="3"/>
    <s v="DE4-N_A"/>
    <x v="11"/>
    <x v="7"/>
    <x v="44"/>
    <x v="0"/>
    <x v="8"/>
    <n v="1410"/>
    <n v="514650"/>
    <n v="1852740"/>
  </r>
  <r>
    <x v="0"/>
    <x v="0"/>
    <x v="0"/>
    <x v="1"/>
    <x v="3"/>
    <s v="DE4-N_A"/>
    <x v="11"/>
    <x v="7"/>
    <x v="44"/>
    <x v="0"/>
    <x v="9"/>
    <n v="1410"/>
    <n v="514650"/>
    <n v="1852740"/>
  </r>
  <r>
    <x v="0"/>
    <x v="0"/>
    <x v="0"/>
    <x v="1"/>
    <x v="3"/>
    <s v="DE4-N_A"/>
    <x v="11"/>
    <x v="7"/>
    <x v="44"/>
    <x v="0"/>
    <x v="10"/>
    <n v="1410"/>
    <n v="514650"/>
    <n v="1852740"/>
  </r>
  <r>
    <x v="0"/>
    <x v="0"/>
    <x v="0"/>
    <x v="1"/>
    <x v="3"/>
    <s v="DE4-N_A"/>
    <x v="11"/>
    <x v="7"/>
    <x v="44"/>
    <x v="0"/>
    <x v="11"/>
    <n v="1410"/>
    <n v="514650"/>
    <n v="1852740"/>
  </r>
  <r>
    <x v="0"/>
    <x v="0"/>
    <x v="0"/>
    <x v="1"/>
    <x v="3"/>
    <s v="DE4-N_A"/>
    <x v="11"/>
    <x v="7"/>
    <x v="44"/>
    <x v="0"/>
    <x v="12"/>
    <n v="1410"/>
    <n v="514650"/>
    <n v="1852740"/>
  </r>
  <r>
    <x v="0"/>
    <x v="0"/>
    <x v="0"/>
    <x v="1"/>
    <x v="3"/>
    <s v="DE4-N_A"/>
    <x v="11"/>
    <x v="7"/>
    <x v="44"/>
    <x v="0"/>
    <x v="13"/>
    <n v="1410"/>
    <n v="514650"/>
    <n v="1852740"/>
  </r>
  <r>
    <x v="0"/>
    <x v="0"/>
    <x v="0"/>
    <x v="1"/>
    <x v="3"/>
    <s v="DE4-N_A"/>
    <x v="11"/>
    <x v="7"/>
    <x v="44"/>
    <x v="0"/>
    <x v="14"/>
    <n v="1410"/>
    <n v="514650"/>
    <n v="1852740"/>
  </r>
  <r>
    <x v="0"/>
    <x v="0"/>
    <x v="0"/>
    <x v="1"/>
    <x v="3"/>
    <s v="DE4-N_A"/>
    <x v="11"/>
    <x v="7"/>
    <x v="44"/>
    <x v="0"/>
    <x v="15"/>
    <n v="1410"/>
    <n v="514650"/>
    <n v="1852740"/>
  </r>
  <r>
    <x v="0"/>
    <x v="0"/>
    <x v="0"/>
    <x v="1"/>
    <x v="3"/>
    <s v="DE4-N_A"/>
    <x v="11"/>
    <x v="7"/>
    <x v="44"/>
    <x v="0"/>
    <x v="16"/>
    <n v="1410"/>
    <n v="514650"/>
    <n v="1852740"/>
  </r>
  <r>
    <x v="0"/>
    <x v="0"/>
    <x v="0"/>
    <x v="1"/>
    <x v="3"/>
    <s v="DE4-N_A"/>
    <x v="11"/>
    <x v="7"/>
    <x v="44"/>
    <x v="0"/>
    <x v="17"/>
    <n v="1410"/>
    <n v="514650"/>
    <n v="1852740"/>
  </r>
  <r>
    <x v="0"/>
    <x v="0"/>
    <x v="0"/>
    <x v="1"/>
    <x v="3"/>
    <s v="DE4-N_A"/>
    <x v="11"/>
    <x v="7"/>
    <x v="44"/>
    <x v="0"/>
    <x v="18"/>
    <n v="1410"/>
    <n v="514650"/>
    <n v="1852740"/>
  </r>
  <r>
    <x v="0"/>
    <x v="0"/>
    <x v="0"/>
    <x v="1"/>
    <x v="3"/>
    <s v="DE4-N_A"/>
    <x v="11"/>
    <x v="7"/>
    <x v="44"/>
    <x v="0"/>
    <x v="19"/>
    <n v="1410"/>
    <n v="514650"/>
    <n v="1852740"/>
  </r>
  <r>
    <x v="0"/>
    <x v="0"/>
    <x v="0"/>
    <x v="1"/>
    <x v="3"/>
    <s v="DE4-N_A"/>
    <x v="11"/>
    <x v="7"/>
    <x v="44"/>
    <x v="0"/>
    <x v="20"/>
    <n v="1410"/>
    <n v="514650"/>
    <n v="1852740"/>
  </r>
  <r>
    <x v="0"/>
    <x v="0"/>
    <x v="0"/>
    <x v="1"/>
    <x v="3"/>
    <s v="DE4-N_A"/>
    <x v="11"/>
    <x v="7"/>
    <x v="44"/>
    <x v="0"/>
    <x v="21"/>
    <n v="1410"/>
    <n v="514650"/>
    <n v="1852740"/>
  </r>
  <r>
    <x v="0"/>
    <x v="0"/>
    <x v="0"/>
    <x v="1"/>
    <x v="3"/>
    <s v="DE4-N_A"/>
    <x v="11"/>
    <x v="7"/>
    <x v="44"/>
    <x v="0"/>
    <x v="22"/>
    <n v="1410"/>
    <n v="514650"/>
    <n v="1852740"/>
  </r>
  <r>
    <x v="0"/>
    <x v="0"/>
    <x v="0"/>
    <x v="1"/>
    <x v="3"/>
    <s v="DE4-N_A"/>
    <x v="11"/>
    <x v="7"/>
    <x v="44"/>
    <x v="0"/>
    <x v="23"/>
    <n v="1410"/>
    <n v="514650"/>
    <n v="1852740"/>
  </r>
  <r>
    <x v="0"/>
    <x v="0"/>
    <x v="0"/>
    <x v="1"/>
    <x v="3"/>
    <s v="DE4-N_A"/>
    <x v="4"/>
    <x v="3"/>
    <x v="9"/>
    <x v="0"/>
    <x v="6"/>
    <n v="7.9120829913066402"/>
    <n v="2887.91029182692"/>
    <n v="10396.477050576899"/>
  </r>
  <r>
    <x v="0"/>
    <x v="0"/>
    <x v="0"/>
    <x v="1"/>
    <x v="3"/>
    <s v="DE4-N_A"/>
    <x v="4"/>
    <x v="3"/>
    <x v="9"/>
    <x v="0"/>
    <x v="7"/>
    <n v="84.389940500893999"/>
    <n v="30802.3282828263"/>
    <n v="110888.381818175"/>
  </r>
  <r>
    <x v="0"/>
    <x v="0"/>
    <x v="0"/>
    <x v="1"/>
    <x v="3"/>
    <s v="DE4-N_A"/>
    <x v="4"/>
    <x v="3"/>
    <x v="9"/>
    <x v="0"/>
    <x v="8"/>
    <n v="246.267791659202"/>
    <n v="89887.743955608603"/>
    <n v="323595.87824019103"/>
  </r>
  <r>
    <x v="0"/>
    <x v="0"/>
    <x v="0"/>
    <x v="1"/>
    <x v="3"/>
    <s v="DE4-N_A"/>
    <x v="4"/>
    <x v="3"/>
    <x v="9"/>
    <x v="0"/>
    <x v="9"/>
    <n v="402.05165549229002"/>
    <n v="146748.85425468601"/>
    <n v="528295.875316869"/>
  </r>
  <r>
    <x v="0"/>
    <x v="0"/>
    <x v="0"/>
    <x v="1"/>
    <x v="3"/>
    <s v="DE4-N_A"/>
    <x v="4"/>
    <x v="3"/>
    <x v="9"/>
    <x v="0"/>
    <x v="10"/>
    <n v="535.83319492189401"/>
    <n v="195579.116146491"/>
    <n v="704084.81812736904"/>
  </r>
  <r>
    <x v="0"/>
    <x v="0"/>
    <x v="0"/>
    <x v="1"/>
    <x v="3"/>
    <s v="DE4-N_A"/>
    <x v="4"/>
    <x v="3"/>
    <x v="9"/>
    <x v="0"/>
    <x v="11"/>
    <n v="621.50253607670197"/>
    <n v="226848.42566799599"/>
    <n v="816654.33240478602"/>
  </r>
  <r>
    <x v="0"/>
    <x v="0"/>
    <x v="0"/>
    <x v="1"/>
    <x v="3"/>
    <s v="DE4-N_A"/>
    <x v="4"/>
    <x v="3"/>
    <x v="9"/>
    <x v="0"/>
    <x v="12"/>
    <n v="657.359422824538"/>
    <n v="239936.189330956"/>
    <n v="863770.281591443"/>
  </r>
  <r>
    <x v="0"/>
    <x v="0"/>
    <x v="0"/>
    <x v="1"/>
    <x v="3"/>
    <s v="DE4-N_A"/>
    <x v="4"/>
    <x v="3"/>
    <x v="9"/>
    <x v="0"/>
    <x v="13"/>
    <n v="661.09661947149596"/>
    <n v="241300.26610709599"/>
    <n v="868680.95798554504"/>
  </r>
  <r>
    <x v="0"/>
    <x v="0"/>
    <x v="0"/>
    <x v="1"/>
    <x v="3"/>
    <s v="DE4-N_A"/>
    <x v="4"/>
    <x v="3"/>
    <x v="9"/>
    <x v="0"/>
    <x v="14"/>
    <n v="569.13128036190403"/>
    <n v="207732.91733209501"/>
    <n v="747838.50239554199"/>
  </r>
  <r>
    <x v="0"/>
    <x v="0"/>
    <x v="0"/>
    <x v="1"/>
    <x v="3"/>
    <s v="DE4-N_A"/>
    <x v="4"/>
    <x v="3"/>
    <x v="9"/>
    <x v="0"/>
    <x v="15"/>
    <n v="430.80450176708098"/>
    <n v="157243.64314498499"/>
    <n v="566077.11532194505"/>
  </r>
  <r>
    <x v="0"/>
    <x v="0"/>
    <x v="0"/>
    <x v="1"/>
    <x v="3"/>
    <s v="DE4-N_A"/>
    <x v="4"/>
    <x v="3"/>
    <x v="9"/>
    <x v="0"/>
    <x v="16"/>
    <n v="274.49877714094902"/>
    <n v="100192.05365644601"/>
    <n v="360691.39316320699"/>
  </r>
  <r>
    <x v="0"/>
    <x v="0"/>
    <x v="0"/>
    <x v="1"/>
    <x v="3"/>
    <s v="DE4-N_A"/>
    <x v="4"/>
    <x v="3"/>
    <x v="9"/>
    <x v="0"/>
    <x v="17"/>
    <n v="104.254319074813"/>
    <n v="38052.826462306701"/>
    <n v="136990.17526430401"/>
  </r>
  <r>
    <x v="0"/>
    <x v="0"/>
    <x v="0"/>
    <x v="1"/>
    <x v="3"/>
    <s v="DE4-N_A"/>
    <x v="4"/>
    <x v="3"/>
    <x v="9"/>
    <x v="0"/>
    <x v="18"/>
    <n v="8.5349490991329002"/>
    <n v="3115.2564211835102"/>
    <n v="11214.923116260599"/>
  </r>
  <r>
    <x v="0"/>
    <x v="0"/>
    <x v="0"/>
    <x v="1"/>
    <x v="3"/>
    <s v="DE4-N_A"/>
    <x v="5"/>
    <x v="4"/>
    <x v="10"/>
    <x v="0"/>
    <x v="0"/>
    <n v="2.66860730593607"/>
    <n v="974.04166666666697"/>
    <n v="3506.55"/>
  </r>
  <r>
    <x v="0"/>
    <x v="0"/>
    <x v="0"/>
    <x v="1"/>
    <x v="3"/>
    <s v="DE4-N_A"/>
    <x v="5"/>
    <x v="4"/>
    <x v="10"/>
    <x v="0"/>
    <x v="1"/>
    <n v="2.66860730593607"/>
    <n v="974.04166666666697"/>
    <n v="3506.55"/>
  </r>
  <r>
    <x v="0"/>
    <x v="0"/>
    <x v="0"/>
    <x v="1"/>
    <x v="3"/>
    <s v="DE4-N_A"/>
    <x v="5"/>
    <x v="4"/>
    <x v="10"/>
    <x v="0"/>
    <x v="2"/>
    <n v="2.66860730593607"/>
    <n v="974.04166666666697"/>
    <n v="3506.55"/>
  </r>
  <r>
    <x v="0"/>
    <x v="0"/>
    <x v="0"/>
    <x v="1"/>
    <x v="3"/>
    <s v="DE4-N_A"/>
    <x v="5"/>
    <x v="4"/>
    <x v="10"/>
    <x v="0"/>
    <x v="3"/>
    <n v="2.66860730593607"/>
    <n v="974.04166666666697"/>
    <n v="3506.55"/>
  </r>
  <r>
    <x v="0"/>
    <x v="0"/>
    <x v="0"/>
    <x v="1"/>
    <x v="3"/>
    <s v="DE4-N_A"/>
    <x v="5"/>
    <x v="4"/>
    <x v="10"/>
    <x v="0"/>
    <x v="4"/>
    <n v="2.66860730593607"/>
    <n v="974.04166666666697"/>
    <n v="3506.55"/>
  </r>
  <r>
    <x v="0"/>
    <x v="0"/>
    <x v="0"/>
    <x v="1"/>
    <x v="3"/>
    <s v="DE4-N_A"/>
    <x v="5"/>
    <x v="4"/>
    <x v="10"/>
    <x v="0"/>
    <x v="5"/>
    <n v="2.66860730593607"/>
    <n v="974.04166666666697"/>
    <n v="3506.55"/>
  </r>
  <r>
    <x v="0"/>
    <x v="0"/>
    <x v="0"/>
    <x v="1"/>
    <x v="3"/>
    <s v="DE4-N_A"/>
    <x v="5"/>
    <x v="4"/>
    <x v="10"/>
    <x v="0"/>
    <x v="6"/>
    <n v="2.66860730593607"/>
    <n v="974.04166666666697"/>
    <n v="3506.55"/>
  </r>
  <r>
    <x v="0"/>
    <x v="0"/>
    <x v="0"/>
    <x v="1"/>
    <x v="3"/>
    <s v="DE4-N_A"/>
    <x v="5"/>
    <x v="4"/>
    <x v="10"/>
    <x v="0"/>
    <x v="7"/>
    <n v="2.66860730593607"/>
    <n v="974.04166666666697"/>
    <n v="3506.55"/>
  </r>
  <r>
    <x v="0"/>
    <x v="0"/>
    <x v="0"/>
    <x v="1"/>
    <x v="3"/>
    <s v="DE4-N_A"/>
    <x v="5"/>
    <x v="4"/>
    <x v="10"/>
    <x v="0"/>
    <x v="8"/>
    <n v="2.66860730593607"/>
    <n v="974.04166666666697"/>
    <n v="3506.55"/>
  </r>
  <r>
    <x v="0"/>
    <x v="0"/>
    <x v="0"/>
    <x v="1"/>
    <x v="3"/>
    <s v="DE4-N_A"/>
    <x v="5"/>
    <x v="4"/>
    <x v="10"/>
    <x v="0"/>
    <x v="9"/>
    <n v="2.66860730593607"/>
    <n v="974.04166666666697"/>
    <n v="3506.55"/>
  </r>
  <r>
    <x v="0"/>
    <x v="0"/>
    <x v="0"/>
    <x v="1"/>
    <x v="3"/>
    <s v="DE4-N_A"/>
    <x v="5"/>
    <x v="4"/>
    <x v="10"/>
    <x v="0"/>
    <x v="10"/>
    <n v="2.66860730593607"/>
    <n v="974.04166666666697"/>
    <n v="3506.55"/>
  </r>
  <r>
    <x v="0"/>
    <x v="0"/>
    <x v="0"/>
    <x v="1"/>
    <x v="3"/>
    <s v="DE4-N_A"/>
    <x v="5"/>
    <x v="4"/>
    <x v="10"/>
    <x v="0"/>
    <x v="11"/>
    <n v="2.66860730593607"/>
    <n v="974.04166666666697"/>
    <n v="3506.55"/>
  </r>
  <r>
    <x v="0"/>
    <x v="0"/>
    <x v="0"/>
    <x v="1"/>
    <x v="3"/>
    <s v="DE4-N_A"/>
    <x v="5"/>
    <x v="4"/>
    <x v="10"/>
    <x v="0"/>
    <x v="12"/>
    <n v="2.66860730593607"/>
    <n v="974.04166666666697"/>
    <n v="3506.55"/>
  </r>
  <r>
    <x v="0"/>
    <x v="0"/>
    <x v="0"/>
    <x v="1"/>
    <x v="3"/>
    <s v="DE4-N_A"/>
    <x v="5"/>
    <x v="4"/>
    <x v="10"/>
    <x v="0"/>
    <x v="13"/>
    <n v="2.66860730593607"/>
    <n v="974.04166666666697"/>
    <n v="3506.55"/>
  </r>
  <r>
    <x v="0"/>
    <x v="0"/>
    <x v="0"/>
    <x v="1"/>
    <x v="3"/>
    <s v="DE4-N_A"/>
    <x v="5"/>
    <x v="4"/>
    <x v="10"/>
    <x v="0"/>
    <x v="14"/>
    <n v="2.66860730593607"/>
    <n v="974.04166666666697"/>
    <n v="3506.55"/>
  </r>
  <r>
    <x v="0"/>
    <x v="0"/>
    <x v="0"/>
    <x v="1"/>
    <x v="3"/>
    <s v="DE4-N_A"/>
    <x v="5"/>
    <x v="4"/>
    <x v="10"/>
    <x v="0"/>
    <x v="15"/>
    <n v="2.66860730593607"/>
    <n v="974.04166666666697"/>
    <n v="3506.55"/>
  </r>
  <r>
    <x v="0"/>
    <x v="0"/>
    <x v="0"/>
    <x v="1"/>
    <x v="3"/>
    <s v="DE4-N_A"/>
    <x v="5"/>
    <x v="4"/>
    <x v="10"/>
    <x v="0"/>
    <x v="16"/>
    <n v="2.66860730593607"/>
    <n v="974.04166666666697"/>
    <n v="3506.55"/>
  </r>
  <r>
    <x v="0"/>
    <x v="0"/>
    <x v="0"/>
    <x v="1"/>
    <x v="3"/>
    <s v="DE4-N_A"/>
    <x v="5"/>
    <x v="4"/>
    <x v="10"/>
    <x v="0"/>
    <x v="17"/>
    <n v="2.66860730593607"/>
    <n v="974.04166666666697"/>
    <n v="3506.55"/>
  </r>
  <r>
    <x v="0"/>
    <x v="0"/>
    <x v="0"/>
    <x v="1"/>
    <x v="3"/>
    <s v="DE4-N_A"/>
    <x v="5"/>
    <x v="4"/>
    <x v="10"/>
    <x v="0"/>
    <x v="18"/>
    <n v="2.66860730593607"/>
    <n v="974.04166666666697"/>
    <n v="3506.55"/>
  </r>
  <r>
    <x v="0"/>
    <x v="0"/>
    <x v="0"/>
    <x v="1"/>
    <x v="3"/>
    <s v="DE4-N_A"/>
    <x v="5"/>
    <x v="4"/>
    <x v="10"/>
    <x v="0"/>
    <x v="19"/>
    <n v="2.66860730593607"/>
    <n v="974.04166666666697"/>
    <n v="3506.55"/>
  </r>
  <r>
    <x v="0"/>
    <x v="0"/>
    <x v="0"/>
    <x v="1"/>
    <x v="3"/>
    <s v="DE4-N_A"/>
    <x v="5"/>
    <x v="4"/>
    <x v="10"/>
    <x v="0"/>
    <x v="20"/>
    <n v="2.66860730593607"/>
    <n v="974.04166666666697"/>
    <n v="3506.55"/>
  </r>
  <r>
    <x v="0"/>
    <x v="0"/>
    <x v="0"/>
    <x v="1"/>
    <x v="3"/>
    <s v="DE4-N_A"/>
    <x v="5"/>
    <x v="4"/>
    <x v="10"/>
    <x v="0"/>
    <x v="21"/>
    <n v="2.66860730593607"/>
    <n v="974.04166666666697"/>
    <n v="3506.55"/>
  </r>
  <r>
    <x v="0"/>
    <x v="0"/>
    <x v="0"/>
    <x v="1"/>
    <x v="3"/>
    <s v="DE4-N_A"/>
    <x v="5"/>
    <x v="4"/>
    <x v="10"/>
    <x v="0"/>
    <x v="22"/>
    <n v="2.66860730593607"/>
    <n v="974.04166666666697"/>
    <n v="3506.55"/>
  </r>
  <r>
    <x v="0"/>
    <x v="0"/>
    <x v="0"/>
    <x v="1"/>
    <x v="3"/>
    <s v="DE4-N_A"/>
    <x v="5"/>
    <x v="4"/>
    <x v="10"/>
    <x v="0"/>
    <x v="23"/>
    <n v="2.66860730593607"/>
    <n v="974.04166666666697"/>
    <n v="3506.55"/>
  </r>
  <r>
    <x v="0"/>
    <x v="0"/>
    <x v="0"/>
    <x v="1"/>
    <x v="3"/>
    <s v="DE4-N_A"/>
    <x v="6"/>
    <x v="5"/>
    <x v="11"/>
    <x v="0"/>
    <x v="0"/>
    <n v="2701.9703724046899"/>
    <n v="986219.18592771096"/>
    <n v="3550389.0693397601"/>
  </r>
  <r>
    <x v="0"/>
    <x v="0"/>
    <x v="0"/>
    <x v="1"/>
    <x v="3"/>
    <s v="DE4-N_A"/>
    <x v="6"/>
    <x v="5"/>
    <x v="11"/>
    <x v="0"/>
    <x v="1"/>
    <n v="2502.9154500237801"/>
    <n v="913564.13925867795"/>
    <n v="3288830.9013312398"/>
  </r>
  <r>
    <x v="0"/>
    <x v="0"/>
    <x v="0"/>
    <x v="1"/>
    <x v="3"/>
    <s v="DE4-N_A"/>
    <x v="6"/>
    <x v="5"/>
    <x v="11"/>
    <x v="0"/>
    <x v="2"/>
    <n v="2373.6441498568602"/>
    <n v="866380.11469775403"/>
    <n v="3118968.4129119199"/>
  </r>
  <r>
    <x v="0"/>
    <x v="0"/>
    <x v="0"/>
    <x v="1"/>
    <x v="3"/>
    <s v="DE4-N_A"/>
    <x v="6"/>
    <x v="5"/>
    <x v="11"/>
    <x v="0"/>
    <x v="3"/>
    <n v="2145.20288656411"/>
    <n v="782999.053595901"/>
    <n v="2818796.5929452502"/>
  </r>
  <r>
    <x v="0"/>
    <x v="0"/>
    <x v="0"/>
    <x v="1"/>
    <x v="3"/>
    <s v="DE4-N_A"/>
    <x v="6"/>
    <x v="5"/>
    <x v="11"/>
    <x v="0"/>
    <x v="4"/>
    <n v="1912.5431461088399"/>
    <n v="698078.24832972605"/>
    <n v="2513081.69398701"/>
  </r>
  <r>
    <x v="0"/>
    <x v="0"/>
    <x v="0"/>
    <x v="1"/>
    <x v="3"/>
    <s v="DE4-N_A"/>
    <x v="6"/>
    <x v="5"/>
    <x v="11"/>
    <x v="0"/>
    <x v="5"/>
    <n v="1817.7346593713801"/>
    <n v="663473.15067055298"/>
    <n v="2388503.3424139898"/>
  </r>
  <r>
    <x v="0"/>
    <x v="0"/>
    <x v="0"/>
    <x v="1"/>
    <x v="3"/>
    <s v="DE4-N_A"/>
    <x v="6"/>
    <x v="5"/>
    <x v="11"/>
    <x v="0"/>
    <x v="6"/>
    <n v="1787.8478211690699"/>
    <n v="652564.45472671103"/>
    <n v="2349232.0370161599"/>
  </r>
  <r>
    <x v="0"/>
    <x v="0"/>
    <x v="0"/>
    <x v="1"/>
    <x v="3"/>
    <s v="DE4-N_A"/>
    <x v="6"/>
    <x v="5"/>
    <x v="11"/>
    <x v="0"/>
    <x v="7"/>
    <n v="1838.18354866769"/>
    <n v="670936.99526370806"/>
    <n v="2415373.1829493502"/>
  </r>
  <r>
    <x v="0"/>
    <x v="0"/>
    <x v="0"/>
    <x v="1"/>
    <x v="3"/>
    <s v="DE4-N_A"/>
    <x v="6"/>
    <x v="5"/>
    <x v="11"/>
    <x v="0"/>
    <x v="8"/>
    <n v="2199.9715900640299"/>
    <n v="802989.630373372"/>
    <n v="2890762.6693441402"/>
  </r>
  <r>
    <x v="0"/>
    <x v="0"/>
    <x v="0"/>
    <x v="1"/>
    <x v="3"/>
    <s v="DE4-N_A"/>
    <x v="6"/>
    <x v="5"/>
    <x v="11"/>
    <x v="0"/>
    <x v="9"/>
    <n v="2490.7605158266701"/>
    <n v="909127.58827673295"/>
    <n v="3272859.3177962401"/>
  </r>
  <r>
    <x v="0"/>
    <x v="0"/>
    <x v="0"/>
    <x v="1"/>
    <x v="3"/>
    <s v="DE4-N_A"/>
    <x v="6"/>
    <x v="5"/>
    <x v="11"/>
    <x v="0"/>
    <x v="10"/>
    <n v="2407.1774683182998"/>
    <n v="878619.77593618003"/>
    <n v="3163031.1933702501"/>
  </r>
  <r>
    <x v="0"/>
    <x v="0"/>
    <x v="0"/>
    <x v="1"/>
    <x v="3"/>
    <s v="DE4-N_A"/>
    <x v="6"/>
    <x v="5"/>
    <x v="11"/>
    <x v="0"/>
    <x v="11"/>
    <n v="2201.6875807742099"/>
    <n v="803615.96698258806"/>
    <n v="2893017.4811373199"/>
  </r>
  <r>
    <x v="0"/>
    <x v="0"/>
    <x v="0"/>
    <x v="1"/>
    <x v="3"/>
    <s v="DE4-N_A"/>
    <x v="6"/>
    <x v="5"/>
    <x v="11"/>
    <x v="0"/>
    <x v="12"/>
    <n v="2238.2238829784701"/>
    <n v="816951.71728714101"/>
    <n v="2941026.1822337098"/>
  </r>
  <r>
    <x v="0"/>
    <x v="0"/>
    <x v="0"/>
    <x v="1"/>
    <x v="3"/>
    <s v="DE4-N_A"/>
    <x v="6"/>
    <x v="5"/>
    <x v="11"/>
    <x v="0"/>
    <x v="13"/>
    <n v="2270.1842099555802"/>
    <n v="828617.23663378495"/>
    <n v="2983022.05188163"/>
  </r>
  <r>
    <x v="0"/>
    <x v="0"/>
    <x v="0"/>
    <x v="1"/>
    <x v="3"/>
    <s v="DE4-N_A"/>
    <x v="6"/>
    <x v="5"/>
    <x v="11"/>
    <x v="0"/>
    <x v="14"/>
    <n v="2281.4811487975999"/>
    <n v="832740.61931112304"/>
    <n v="2997866.2295200401"/>
  </r>
  <r>
    <x v="0"/>
    <x v="0"/>
    <x v="0"/>
    <x v="1"/>
    <x v="3"/>
    <s v="DE4-N_A"/>
    <x v="6"/>
    <x v="5"/>
    <x v="11"/>
    <x v="0"/>
    <x v="15"/>
    <n v="2134.4779446254902"/>
    <n v="779084.449788303"/>
    <n v="2804704.0192378899"/>
  </r>
  <r>
    <x v="0"/>
    <x v="0"/>
    <x v="0"/>
    <x v="1"/>
    <x v="3"/>
    <s v="DE4-N_A"/>
    <x v="6"/>
    <x v="5"/>
    <x v="11"/>
    <x v="0"/>
    <x v="16"/>
    <n v="1929.3455551460199"/>
    <n v="704211.12762829696"/>
    <n v="2535160.0594618702"/>
  </r>
  <r>
    <x v="0"/>
    <x v="0"/>
    <x v="0"/>
    <x v="1"/>
    <x v="3"/>
    <s v="DE4-N_A"/>
    <x v="6"/>
    <x v="5"/>
    <x v="11"/>
    <x v="0"/>
    <x v="17"/>
    <n v="1598.5883457587699"/>
    <n v="583484.74620195199"/>
    <n v="2100545.0863270299"/>
  </r>
  <r>
    <x v="0"/>
    <x v="0"/>
    <x v="0"/>
    <x v="1"/>
    <x v="3"/>
    <s v="DE4-N_A"/>
    <x v="6"/>
    <x v="5"/>
    <x v="11"/>
    <x v="0"/>
    <x v="18"/>
    <n v="1228.2203508115299"/>
    <n v="448300.42804620898"/>
    <n v="1613881.5409663499"/>
  </r>
  <r>
    <x v="0"/>
    <x v="0"/>
    <x v="0"/>
    <x v="1"/>
    <x v="3"/>
    <s v="DE4-N_A"/>
    <x v="6"/>
    <x v="5"/>
    <x v="11"/>
    <x v="0"/>
    <x v="19"/>
    <n v="1233.65432139377"/>
    <n v="450283.82730872498"/>
    <n v="1621021.77831141"/>
  </r>
  <r>
    <x v="0"/>
    <x v="0"/>
    <x v="0"/>
    <x v="1"/>
    <x v="3"/>
    <s v="DE4-N_A"/>
    <x v="6"/>
    <x v="5"/>
    <x v="11"/>
    <x v="0"/>
    <x v="20"/>
    <n v="1296.57398076704"/>
    <n v="473249.502979971"/>
    <n v="1703698.2107279"/>
  </r>
  <r>
    <x v="0"/>
    <x v="0"/>
    <x v="0"/>
    <x v="1"/>
    <x v="3"/>
    <s v="DE4-N_A"/>
    <x v="6"/>
    <x v="5"/>
    <x v="11"/>
    <x v="0"/>
    <x v="21"/>
    <n v="1402.53640712068"/>
    <n v="511925.78859904699"/>
    <n v="1842932.83895657"/>
  </r>
  <r>
    <x v="0"/>
    <x v="0"/>
    <x v="0"/>
    <x v="1"/>
    <x v="3"/>
    <s v="DE4-N_A"/>
    <x v="6"/>
    <x v="5"/>
    <x v="11"/>
    <x v="0"/>
    <x v="22"/>
    <n v="1464.52657152594"/>
    <n v="534552.19860696699"/>
    <n v="1924387.91498508"/>
  </r>
  <r>
    <x v="0"/>
    <x v="0"/>
    <x v="0"/>
    <x v="1"/>
    <x v="3"/>
    <s v="DE4-N_A"/>
    <x v="6"/>
    <x v="5"/>
    <x v="11"/>
    <x v="0"/>
    <x v="23"/>
    <n v="1482.25847553113"/>
    <n v="541024.34356886405"/>
    <n v="1947687.63684791"/>
  </r>
  <r>
    <x v="0"/>
    <x v="0"/>
    <x v="0"/>
    <x v="1"/>
    <x v="3"/>
    <s v="DE4-N_Offshore_A"/>
    <x v="6"/>
    <x v="5"/>
    <x v="12"/>
    <x v="0"/>
    <x v="0"/>
    <n v="635.44346290272495"/>
    <n v="231936.86395949399"/>
    <n v="834972.71025418001"/>
  </r>
  <r>
    <x v="0"/>
    <x v="0"/>
    <x v="0"/>
    <x v="1"/>
    <x v="3"/>
    <s v="DE4-N_Offshore_A"/>
    <x v="6"/>
    <x v="5"/>
    <x v="12"/>
    <x v="0"/>
    <x v="1"/>
    <n v="588.63016306887505"/>
    <n v="214850.00952013899"/>
    <n v="773460.03427250101"/>
  </r>
  <r>
    <x v="0"/>
    <x v="0"/>
    <x v="0"/>
    <x v="1"/>
    <x v="3"/>
    <s v="DE4-N_Offshore_A"/>
    <x v="6"/>
    <x v="5"/>
    <x v="12"/>
    <x v="0"/>
    <x v="2"/>
    <n v="558.22842237217901"/>
    <n v="203753.37416584499"/>
    <n v="733512.14699704305"/>
  </r>
  <r>
    <x v="0"/>
    <x v="0"/>
    <x v="0"/>
    <x v="1"/>
    <x v="3"/>
    <s v="DE4-N_Offshore_A"/>
    <x v="6"/>
    <x v="5"/>
    <x v="12"/>
    <x v="0"/>
    <x v="3"/>
    <n v="504.50410736889199"/>
    <n v="184143.99918964601"/>
    <n v="662918.39708272496"/>
  </r>
  <r>
    <x v="0"/>
    <x v="0"/>
    <x v="0"/>
    <x v="1"/>
    <x v="3"/>
    <s v="DE4-N_Offshore_A"/>
    <x v="6"/>
    <x v="5"/>
    <x v="12"/>
    <x v="0"/>
    <x v="4"/>
    <n v="449.78770016366701"/>
    <n v="164172.510559738"/>
    <n v="591021.03801505896"/>
  </r>
  <r>
    <x v="0"/>
    <x v="0"/>
    <x v="0"/>
    <x v="1"/>
    <x v="3"/>
    <s v="DE4-N_Offshore_A"/>
    <x v="6"/>
    <x v="5"/>
    <x v="12"/>
    <x v="0"/>
    <x v="5"/>
    <n v="427.49084830314803"/>
    <n v="156034.159630649"/>
    <n v="561722.97467033705"/>
  </r>
  <r>
    <x v="0"/>
    <x v="0"/>
    <x v="0"/>
    <x v="1"/>
    <x v="3"/>
    <s v="DE4-N_Offshore_A"/>
    <x v="6"/>
    <x v="5"/>
    <x v="12"/>
    <x v="0"/>
    <x v="6"/>
    <n v="420.46212727924399"/>
    <n v="153468.676456924"/>
    <n v="552487.235244927"/>
  </r>
  <r>
    <x v="0"/>
    <x v="0"/>
    <x v="0"/>
    <x v="1"/>
    <x v="3"/>
    <s v="DE4-N_Offshore_A"/>
    <x v="6"/>
    <x v="5"/>
    <x v="12"/>
    <x v="0"/>
    <x v="7"/>
    <n v="432.29997321424003"/>
    <n v="157789.49022319799"/>
    <n v="568042.16480351205"/>
  </r>
  <r>
    <x v="0"/>
    <x v="0"/>
    <x v="0"/>
    <x v="1"/>
    <x v="3"/>
    <s v="DE4-N_Offshore_A"/>
    <x v="6"/>
    <x v="5"/>
    <x v="12"/>
    <x v="0"/>
    <x v="8"/>
    <n v="517.38449087202798"/>
    <n v="188845.33916829"/>
    <n v="679843.221005845"/>
  </r>
  <r>
    <x v="0"/>
    <x v="0"/>
    <x v="0"/>
    <x v="1"/>
    <x v="3"/>
    <s v="DE4-N_Offshore_A"/>
    <x v="6"/>
    <x v="5"/>
    <x v="12"/>
    <x v="0"/>
    <x v="9"/>
    <n v="585.77159231752603"/>
    <n v="213806.631195897"/>
    <n v="769703.87230522896"/>
  </r>
  <r>
    <x v="0"/>
    <x v="0"/>
    <x v="0"/>
    <x v="1"/>
    <x v="3"/>
    <s v="DE4-N_Offshore_A"/>
    <x v="6"/>
    <x v="5"/>
    <x v="12"/>
    <x v="0"/>
    <x v="10"/>
    <n v="566.11471462148802"/>
    <n v="206631.87083684301"/>
    <n v="743874.73501263501"/>
  </r>
  <r>
    <x v="0"/>
    <x v="0"/>
    <x v="0"/>
    <x v="1"/>
    <x v="3"/>
    <s v="DE4-N_Offshore_A"/>
    <x v="6"/>
    <x v="5"/>
    <x v="12"/>
    <x v="0"/>
    <x v="11"/>
    <n v="517.78805380162999"/>
    <n v="188992.63963759501"/>
    <n v="680373.50269534194"/>
  </r>
  <r>
    <x v="0"/>
    <x v="0"/>
    <x v="0"/>
    <x v="1"/>
    <x v="3"/>
    <s v="DE4-N_Offshore_A"/>
    <x v="6"/>
    <x v="5"/>
    <x v="12"/>
    <x v="0"/>
    <x v="12"/>
    <n v="526.38058117774301"/>
    <n v="192128.912129876"/>
    <n v="691664.08366755396"/>
  </r>
  <r>
    <x v="0"/>
    <x v="0"/>
    <x v="0"/>
    <x v="1"/>
    <x v="3"/>
    <s v="DE4-N_Offshore_A"/>
    <x v="6"/>
    <x v="5"/>
    <x v="12"/>
    <x v="0"/>
    <x v="13"/>
    <n v="533.89694074158297"/>
    <n v="194872.383370678"/>
    <n v="701540.58013443998"/>
  </r>
  <r>
    <x v="0"/>
    <x v="0"/>
    <x v="0"/>
    <x v="1"/>
    <x v="3"/>
    <s v="DE4-N_Offshore_A"/>
    <x v="6"/>
    <x v="5"/>
    <x v="12"/>
    <x v="0"/>
    <x v="14"/>
    <n v="536.55373002812996"/>
    <n v="195842.111460268"/>
    <n v="705031.60125696298"/>
  </r>
  <r>
    <x v="0"/>
    <x v="0"/>
    <x v="0"/>
    <x v="1"/>
    <x v="3"/>
    <s v="DE4-N_Offshore_A"/>
    <x v="6"/>
    <x v="5"/>
    <x v="12"/>
    <x v="0"/>
    <x v="15"/>
    <n v="501.98183905887902"/>
    <n v="183223.37125649099"/>
    <n v="659604.13652336702"/>
  </r>
  <r>
    <x v="0"/>
    <x v="0"/>
    <x v="0"/>
    <x v="1"/>
    <x v="3"/>
    <s v="DE4-N_Offshore_A"/>
    <x v="6"/>
    <x v="5"/>
    <x v="12"/>
    <x v="0"/>
    <x v="16"/>
    <n v="453.73925384935501"/>
    <n v="165614.82765501499"/>
    <n v="596213.37955805205"/>
  </r>
  <r>
    <x v="0"/>
    <x v="0"/>
    <x v="0"/>
    <x v="1"/>
    <x v="3"/>
    <s v="DE4-N_Offshore_A"/>
    <x v="6"/>
    <x v="5"/>
    <x v="12"/>
    <x v="0"/>
    <x v="17"/>
    <n v="375.95249916853999"/>
    <n v="137222.66219651699"/>
    <n v="494001.58390746103"/>
  </r>
  <r>
    <x v="0"/>
    <x v="0"/>
    <x v="0"/>
    <x v="1"/>
    <x v="3"/>
    <s v="DE4-N_Offshore_A"/>
    <x v="6"/>
    <x v="5"/>
    <x v="12"/>
    <x v="0"/>
    <x v="18"/>
    <n v="288.85016686274201"/>
    <n v="105430.31090490099"/>
    <n v="379549.11925764201"/>
  </r>
  <r>
    <x v="0"/>
    <x v="0"/>
    <x v="0"/>
    <x v="1"/>
    <x v="3"/>
    <s v="DE4-N_Offshore_A"/>
    <x v="6"/>
    <x v="5"/>
    <x v="12"/>
    <x v="0"/>
    <x v="19"/>
    <n v="290.12811613981501"/>
    <n v="105896.762391032"/>
    <n v="381228.34460771701"/>
  </r>
  <r>
    <x v="0"/>
    <x v="0"/>
    <x v="0"/>
    <x v="1"/>
    <x v="3"/>
    <s v="DE4-N_Offshore_A"/>
    <x v="6"/>
    <x v="5"/>
    <x v="12"/>
    <x v="0"/>
    <x v="20"/>
    <n v="304.92542355856102"/>
    <n v="111297.779598875"/>
    <n v="400672.00655594899"/>
  </r>
  <r>
    <x v="0"/>
    <x v="0"/>
    <x v="0"/>
    <x v="1"/>
    <x v="3"/>
    <s v="DE4-N_Offshore_A"/>
    <x v="6"/>
    <x v="5"/>
    <x v="12"/>
    <x v="0"/>
    <x v="21"/>
    <n v="329.84543446149399"/>
    <n v="120393.583578445"/>
    <n v="433416.90088240302"/>
  </r>
  <r>
    <x v="0"/>
    <x v="0"/>
    <x v="0"/>
    <x v="1"/>
    <x v="3"/>
    <s v="DE4-N_Offshore_A"/>
    <x v="6"/>
    <x v="5"/>
    <x v="12"/>
    <x v="0"/>
    <x v="22"/>
    <n v="344.424145293371"/>
    <n v="125714.813032081"/>
    <n v="452573.32691548998"/>
  </r>
  <r>
    <x v="0"/>
    <x v="0"/>
    <x v="0"/>
    <x v="1"/>
    <x v="3"/>
    <s v="DE4-N_Offshore_A"/>
    <x v="6"/>
    <x v="5"/>
    <x v="12"/>
    <x v="0"/>
    <x v="23"/>
    <n v="348.59429556592698"/>
    <n v="127236.917881563"/>
    <n v="458052.90437362797"/>
  </r>
  <r>
    <x v="0"/>
    <x v="0"/>
    <x v="0"/>
    <x v="1"/>
    <x v="4"/>
    <s v="DE4-S_A"/>
    <x v="0"/>
    <x v="7"/>
    <x v="45"/>
    <x v="0"/>
    <x v="0"/>
    <n v="527"/>
    <n v="192355"/>
    <n v="692478"/>
  </r>
  <r>
    <x v="0"/>
    <x v="0"/>
    <x v="0"/>
    <x v="1"/>
    <x v="4"/>
    <s v="DE4-S_A"/>
    <x v="0"/>
    <x v="7"/>
    <x v="45"/>
    <x v="0"/>
    <x v="1"/>
    <n v="527"/>
    <n v="192355"/>
    <n v="692478"/>
  </r>
  <r>
    <x v="0"/>
    <x v="0"/>
    <x v="0"/>
    <x v="1"/>
    <x v="4"/>
    <s v="DE4-S_A"/>
    <x v="0"/>
    <x v="7"/>
    <x v="45"/>
    <x v="0"/>
    <x v="2"/>
    <n v="527"/>
    <n v="192355"/>
    <n v="692478"/>
  </r>
  <r>
    <x v="0"/>
    <x v="0"/>
    <x v="0"/>
    <x v="1"/>
    <x v="4"/>
    <s v="DE4-S_A"/>
    <x v="0"/>
    <x v="7"/>
    <x v="45"/>
    <x v="0"/>
    <x v="3"/>
    <n v="527"/>
    <n v="192355"/>
    <n v="692478"/>
  </r>
  <r>
    <x v="0"/>
    <x v="0"/>
    <x v="0"/>
    <x v="1"/>
    <x v="4"/>
    <s v="DE4-S_A"/>
    <x v="0"/>
    <x v="7"/>
    <x v="45"/>
    <x v="0"/>
    <x v="4"/>
    <n v="527"/>
    <n v="192355"/>
    <n v="692478"/>
  </r>
  <r>
    <x v="0"/>
    <x v="0"/>
    <x v="0"/>
    <x v="1"/>
    <x v="4"/>
    <s v="DE4-S_A"/>
    <x v="0"/>
    <x v="7"/>
    <x v="45"/>
    <x v="0"/>
    <x v="5"/>
    <n v="527"/>
    <n v="192355"/>
    <n v="692478"/>
  </r>
  <r>
    <x v="0"/>
    <x v="0"/>
    <x v="0"/>
    <x v="1"/>
    <x v="4"/>
    <s v="DE4-S_A"/>
    <x v="0"/>
    <x v="7"/>
    <x v="45"/>
    <x v="0"/>
    <x v="6"/>
    <n v="527"/>
    <n v="192355"/>
    <n v="692478"/>
  </r>
  <r>
    <x v="0"/>
    <x v="0"/>
    <x v="0"/>
    <x v="1"/>
    <x v="4"/>
    <s v="DE4-S_A"/>
    <x v="0"/>
    <x v="7"/>
    <x v="45"/>
    <x v="0"/>
    <x v="7"/>
    <n v="527"/>
    <n v="192355"/>
    <n v="692478"/>
  </r>
  <r>
    <x v="0"/>
    <x v="0"/>
    <x v="0"/>
    <x v="1"/>
    <x v="4"/>
    <s v="DE4-S_A"/>
    <x v="0"/>
    <x v="7"/>
    <x v="45"/>
    <x v="0"/>
    <x v="8"/>
    <n v="527"/>
    <n v="192355"/>
    <n v="692478"/>
  </r>
  <r>
    <x v="0"/>
    <x v="0"/>
    <x v="0"/>
    <x v="1"/>
    <x v="4"/>
    <s v="DE4-S_A"/>
    <x v="0"/>
    <x v="7"/>
    <x v="45"/>
    <x v="0"/>
    <x v="9"/>
    <n v="527"/>
    <n v="192355"/>
    <n v="692478"/>
  </r>
  <r>
    <x v="0"/>
    <x v="0"/>
    <x v="0"/>
    <x v="1"/>
    <x v="4"/>
    <s v="DE4-S_A"/>
    <x v="0"/>
    <x v="7"/>
    <x v="45"/>
    <x v="0"/>
    <x v="10"/>
    <n v="527"/>
    <n v="192355"/>
    <n v="692478"/>
  </r>
  <r>
    <x v="0"/>
    <x v="0"/>
    <x v="0"/>
    <x v="1"/>
    <x v="4"/>
    <s v="DE4-S_A"/>
    <x v="0"/>
    <x v="7"/>
    <x v="45"/>
    <x v="0"/>
    <x v="11"/>
    <n v="527"/>
    <n v="192355"/>
    <n v="692478"/>
  </r>
  <r>
    <x v="0"/>
    <x v="0"/>
    <x v="0"/>
    <x v="1"/>
    <x v="4"/>
    <s v="DE4-S_A"/>
    <x v="0"/>
    <x v="7"/>
    <x v="45"/>
    <x v="0"/>
    <x v="12"/>
    <n v="527"/>
    <n v="192355"/>
    <n v="692478"/>
  </r>
  <r>
    <x v="0"/>
    <x v="0"/>
    <x v="0"/>
    <x v="1"/>
    <x v="4"/>
    <s v="DE4-S_A"/>
    <x v="0"/>
    <x v="7"/>
    <x v="45"/>
    <x v="0"/>
    <x v="13"/>
    <n v="527"/>
    <n v="192355"/>
    <n v="692478"/>
  </r>
  <r>
    <x v="0"/>
    <x v="0"/>
    <x v="0"/>
    <x v="1"/>
    <x v="4"/>
    <s v="DE4-S_A"/>
    <x v="0"/>
    <x v="7"/>
    <x v="45"/>
    <x v="0"/>
    <x v="14"/>
    <n v="527"/>
    <n v="192355"/>
    <n v="692478"/>
  </r>
  <r>
    <x v="0"/>
    <x v="0"/>
    <x v="0"/>
    <x v="1"/>
    <x v="4"/>
    <s v="DE4-S_A"/>
    <x v="0"/>
    <x v="7"/>
    <x v="45"/>
    <x v="0"/>
    <x v="15"/>
    <n v="527"/>
    <n v="192355"/>
    <n v="692478"/>
  </r>
  <r>
    <x v="0"/>
    <x v="0"/>
    <x v="0"/>
    <x v="1"/>
    <x v="4"/>
    <s v="DE4-S_A"/>
    <x v="0"/>
    <x v="7"/>
    <x v="45"/>
    <x v="0"/>
    <x v="16"/>
    <n v="527"/>
    <n v="192355"/>
    <n v="692478"/>
  </r>
  <r>
    <x v="0"/>
    <x v="0"/>
    <x v="0"/>
    <x v="1"/>
    <x v="4"/>
    <s v="DE4-S_A"/>
    <x v="0"/>
    <x v="7"/>
    <x v="45"/>
    <x v="0"/>
    <x v="17"/>
    <n v="527"/>
    <n v="192355"/>
    <n v="692478"/>
  </r>
  <r>
    <x v="0"/>
    <x v="0"/>
    <x v="0"/>
    <x v="1"/>
    <x v="4"/>
    <s v="DE4-S_A"/>
    <x v="0"/>
    <x v="7"/>
    <x v="45"/>
    <x v="0"/>
    <x v="18"/>
    <n v="527"/>
    <n v="192355"/>
    <n v="692478"/>
  </r>
  <r>
    <x v="0"/>
    <x v="0"/>
    <x v="0"/>
    <x v="1"/>
    <x v="4"/>
    <s v="DE4-S_A"/>
    <x v="0"/>
    <x v="7"/>
    <x v="45"/>
    <x v="0"/>
    <x v="19"/>
    <n v="527"/>
    <n v="192355"/>
    <n v="692478"/>
  </r>
  <r>
    <x v="0"/>
    <x v="0"/>
    <x v="0"/>
    <x v="1"/>
    <x v="4"/>
    <s v="DE4-S_A"/>
    <x v="0"/>
    <x v="7"/>
    <x v="45"/>
    <x v="0"/>
    <x v="20"/>
    <n v="527"/>
    <n v="192355"/>
    <n v="692478"/>
  </r>
  <r>
    <x v="0"/>
    <x v="0"/>
    <x v="0"/>
    <x v="1"/>
    <x v="4"/>
    <s v="DE4-S_A"/>
    <x v="0"/>
    <x v="7"/>
    <x v="45"/>
    <x v="0"/>
    <x v="21"/>
    <n v="527"/>
    <n v="192355"/>
    <n v="692478"/>
  </r>
  <r>
    <x v="0"/>
    <x v="0"/>
    <x v="0"/>
    <x v="1"/>
    <x v="4"/>
    <s v="DE4-S_A"/>
    <x v="0"/>
    <x v="7"/>
    <x v="45"/>
    <x v="0"/>
    <x v="22"/>
    <n v="527"/>
    <n v="192355"/>
    <n v="692478"/>
  </r>
  <r>
    <x v="0"/>
    <x v="0"/>
    <x v="0"/>
    <x v="1"/>
    <x v="4"/>
    <s v="DE4-S_A"/>
    <x v="0"/>
    <x v="7"/>
    <x v="45"/>
    <x v="0"/>
    <x v="23"/>
    <n v="527"/>
    <n v="192355"/>
    <n v="692478"/>
  </r>
  <r>
    <x v="0"/>
    <x v="0"/>
    <x v="0"/>
    <x v="1"/>
    <x v="4"/>
    <s v="DE4-S_A"/>
    <x v="1"/>
    <x v="6"/>
    <x v="46"/>
    <x v="0"/>
    <x v="0"/>
    <n v="-17304"/>
    <n v="-6315960"/>
    <n v="-22737456"/>
  </r>
  <r>
    <x v="0"/>
    <x v="0"/>
    <x v="0"/>
    <x v="1"/>
    <x v="4"/>
    <s v="DE4-S_A"/>
    <x v="1"/>
    <x v="6"/>
    <x v="46"/>
    <x v="0"/>
    <x v="1"/>
    <n v="-17304"/>
    <n v="-6315960"/>
    <n v="-22737456"/>
  </r>
  <r>
    <x v="0"/>
    <x v="0"/>
    <x v="0"/>
    <x v="1"/>
    <x v="4"/>
    <s v="DE4-S_A"/>
    <x v="1"/>
    <x v="6"/>
    <x v="46"/>
    <x v="0"/>
    <x v="2"/>
    <n v="-17304"/>
    <n v="-6315960"/>
    <n v="-22737456"/>
  </r>
  <r>
    <x v="0"/>
    <x v="0"/>
    <x v="0"/>
    <x v="1"/>
    <x v="4"/>
    <s v="DE4-S_A"/>
    <x v="1"/>
    <x v="6"/>
    <x v="46"/>
    <x v="0"/>
    <x v="3"/>
    <n v="-17304"/>
    <n v="-6315960"/>
    <n v="-22737456"/>
  </r>
  <r>
    <x v="0"/>
    <x v="0"/>
    <x v="0"/>
    <x v="1"/>
    <x v="4"/>
    <s v="DE4-S_A"/>
    <x v="1"/>
    <x v="6"/>
    <x v="46"/>
    <x v="0"/>
    <x v="4"/>
    <n v="-17304"/>
    <n v="-6315960"/>
    <n v="-22737456"/>
  </r>
  <r>
    <x v="0"/>
    <x v="0"/>
    <x v="0"/>
    <x v="1"/>
    <x v="4"/>
    <s v="DE4-S_A"/>
    <x v="1"/>
    <x v="6"/>
    <x v="46"/>
    <x v="0"/>
    <x v="5"/>
    <n v="-17304"/>
    <n v="-6315960"/>
    <n v="-22737456"/>
  </r>
  <r>
    <x v="0"/>
    <x v="0"/>
    <x v="0"/>
    <x v="1"/>
    <x v="4"/>
    <s v="DE4-S_A"/>
    <x v="1"/>
    <x v="6"/>
    <x v="46"/>
    <x v="0"/>
    <x v="6"/>
    <n v="-17304"/>
    <n v="-6315960"/>
    <n v="-22737456"/>
  </r>
  <r>
    <x v="0"/>
    <x v="0"/>
    <x v="0"/>
    <x v="1"/>
    <x v="4"/>
    <s v="DE4-S_A"/>
    <x v="1"/>
    <x v="6"/>
    <x v="46"/>
    <x v="0"/>
    <x v="7"/>
    <n v="-17304"/>
    <n v="-6315960"/>
    <n v="-22737456"/>
  </r>
  <r>
    <x v="0"/>
    <x v="0"/>
    <x v="0"/>
    <x v="1"/>
    <x v="4"/>
    <s v="DE4-S_A"/>
    <x v="1"/>
    <x v="6"/>
    <x v="46"/>
    <x v="0"/>
    <x v="8"/>
    <n v="-17304"/>
    <n v="-6315960"/>
    <n v="-22737456"/>
  </r>
  <r>
    <x v="0"/>
    <x v="0"/>
    <x v="0"/>
    <x v="1"/>
    <x v="4"/>
    <s v="DE4-S_A"/>
    <x v="1"/>
    <x v="6"/>
    <x v="46"/>
    <x v="0"/>
    <x v="9"/>
    <n v="-17304"/>
    <n v="-6315960"/>
    <n v="-22737456"/>
  </r>
  <r>
    <x v="0"/>
    <x v="0"/>
    <x v="0"/>
    <x v="1"/>
    <x v="4"/>
    <s v="DE4-S_A"/>
    <x v="1"/>
    <x v="6"/>
    <x v="46"/>
    <x v="0"/>
    <x v="10"/>
    <n v="-17304"/>
    <n v="-6315960"/>
    <n v="-22737456"/>
  </r>
  <r>
    <x v="0"/>
    <x v="0"/>
    <x v="0"/>
    <x v="1"/>
    <x v="4"/>
    <s v="DE4-S_A"/>
    <x v="1"/>
    <x v="6"/>
    <x v="46"/>
    <x v="0"/>
    <x v="11"/>
    <n v="-17304"/>
    <n v="-6315960"/>
    <n v="-22737456"/>
  </r>
  <r>
    <x v="0"/>
    <x v="0"/>
    <x v="0"/>
    <x v="1"/>
    <x v="4"/>
    <s v="DE4-S_A"/>
    <x v="1"/>
    <x v="6"/>
    <x v="46"/>
    <x v="0"/>
    <x v="12"/>
    <n v="-17304"/>
    <n v="-6315960"/>
    <n v="-22737456"/>
  </r>
  <r>
    <x v="0"/>
    <x v="0"/>
    <x v="0"/>
    <x v="1"/>
    <x v="4"/>
    <s v="DE4-S_A"/>
    <x v="1"/>
    <x v="6"/>
    <x v="46"/>
    <x v="0"/>
    <x v="13"/>
    <n v="-17304"/>
    <n v="-6315960"/>
    <n v="-22737456"/>
  </r>
  <r>
    <x v="0"/>
    <x v="0"/>
    <x v="0"/>
    <x v="1"/>
    <x v="4"/>
    <s v="DE4-S_A"/>
    <x v="1"/>
    <x v="6"/>
    <x v="46"/>
    <x v="0"/>
    <x v="14"/>
    <n v="-17304"/>
    <n v="-6315960"/>
    <n v="-22737456"/>
  </r>
  <r>
    <x v="0"/>
    <x v="0"/>
    <x v="0"/>
    <x v="1"/>
    <x v="4"/>
    <s v="DE4-S_A"/>
    <x v="1"/>
    <x v="6"/>
    <x v="46"/>
    <x v="0"/>
    <x v="15"/>
    <n v="-17304"/>
    <n v="-6315960"/>
    <n v="-22737456"/>
  </r>
  <r>
    <x v="0"/>
    <x v="0"/>
    <x v="0"/>
    <x v="1"/>
    <x v="4"/>
    <s v="DE4-S_A"/>
    <x v="1"/>
    <x v="6"/>
    <x v="46"/>
    <x v="0"/>
    <x v="16"/>
    <n v="-17304"/>
    <n v="-6315960"/>
    <n v="-22737456"/>
  </r>
  <r>
    <x v="0"/>
    <x v="0"/>
    <x v="0"/>
    <x v="1"/>
    <x v="4"/>
    <s v="DE4-S_A"/>
    <x v="1"/>
    <x v="6"/>
    <x v="46"/>
    <x v="0"/>
    <x v="17"/>
    <n v="-17304"/>
    <n v="-6315960"/>
    <n v="-22737456"/>
  </r>
  <r>
    <x v="0"/>
    <x v="0"/>
    <x v="0"/>
    <x v="1"/>
    <x v="4"/>
    <s v="DE4-S_A"/>
    <x v="1"/>
    <x v="6"/>
    <x v="46"/>
    <x v="0"/>
    <x v="18"/>
    <n v="-17304"/>
    <n v="-6315960"/>
    <n v="-22737456"/>
  </r>
  <r>
    <x v="0"/>
    <x v="0"/>
    <x v="0"/>
    <x v="1"/>
    <x v="4"/>
    <s v="DE4-S_A"/>
    <x v="1"/>
    <x v="6"/>
    <x v="46"/>
    <x v="0"/>
    <x v="19"/>
    <n v="-17304"/>
    <n v="-6315960"/>
    <n v="-22737456"/>
  </r>
  <r>
    <x v="0"/>
    <x v="0"/>
    <x v="0"/>
    <x v="1"/>
    <x v="4"/>
    <s v="DE4-S_A"/>
    <x v="1"/>
    <x v="6"/>
    <x v="46"/>
    <x v="0"/>
    <x v="20"/>
    <n v="-17304"/>
    <n v="-6315960"/>
    <n v="-22737456"/>
  </r>
  <r>
    <x v="0"/>
    <x v="0"/>
    <x v="0"/>
    <x v="1"/>
    <x v="4"/>
    <s v="DE4-S_A"/>
    <x v="1"/>
    <x v="6"/>
    <x v="46"/>
    <x v="0"/>
    <x v="21"/>
    <n v="-17304"/>
    <n v="-6315960"/>
    <n v="-22737456"/>
  </r>
  <r>
    <x v="0"/>
    <x v="0"/>
    <x v="0"/>
    <x v="1"/>
    <x v="4"/>
    <s v="DE4-S_A"/>
    <x v="1"/>
    <x v="6"/>
    <x v="46"/>
    <x v="0"/>
    <x v="22"/>
    <n v="-17304"/>
    <n v="-6315960"/>
    <n v="-22737456"/>
  </r>
  <r>
    <x v="0"/>
    <x v="0"/>
    <x v="0"/>
    <x v="1"/>
    <x v="4"/>
    <s v="DE4-S_A"/>
    <x v="1"/>
    <x v="6"/>
    <x v="46"/>
    <x v="0"/>
    <x v="23"/>
    <n v="-17304"/>
    <n v="-6315960"/>
    <n v="-22737456"/>
  </r>
  <r>
    <x v="0"/>
    <x v="0"/>
    <x v="0"/>
    <x v="1"/>
    <x v="4"/>
    <s v="DE4-S_A"/>
    <x v="2"/>
    <x v="7"/>
    <x v="40"/>
    <x v="0"/>
    <x v="0"/>
    <n v="40"/>
    <n v="14600"/>
    <n v="52560"/>
  </r>
  <r>
    <x v="0"/>
    <x v="0"/>
    <x v="0"/>
    <x v="1"/>
    <x v="4"/>
    <s v="DE4-S_A"/>
    <x v="2"/>
    <x v="7"/>
    <x v="40"/>
    <x v="0"/>
    <x v="1"/>
    <n v="40"/>
    <n v="14600"/>
    <n v="52560"/>
  </r>
  <r>
    <x v="0"/>
    <x v="0"/>
    <x v="0"/>
    <x v="1"/>
    <x v="4"/>
    <s v="DE4-S_A"/>
    <x v="2"/>
    <x v="7"/>
    <x v="40"/>
    <x v="0"/>
    <x v="2"/>
    <n v="40"/>
    <n v="14600"/>
    <n v="52560"/>
  </r>
  <r>
    <x v="0"/>
    <x v="0"/>
    <x v="0"/>
    <x v="1"/>
    <x v="4"/>
    <s v="DE4-S_A"/>
    <x v="2"/>
    <x v="7"/>
    <x v="40"/>
    <x v="0"/>
    <x v="3"/>
    <n v="40"/>
    <n v="14600"/>
    <n v="52560"/>
  </r>
  <r>
    <x v="0"/>
    <x v="0"/>
    <x v="0"/>
    <x v="1"/>
    <x v="4"/>
    <s v="DE4-S_A"/>
    <x v="2"/>
    <x v="7"/>
    <x v="40"/>
    <x v="0"/>
    <x v="4"/>
    <n v="40"/>
    <n v="14600"/>
    <n v="52560"/>
  </r>
  <r>
    <x v="0"/>
    <x v="0"/>
    <x v="0"/>
    <x v="1"/>
    <x v="4"/>
    <s v="DE4-S_A"/>
    <x v="2"/>
    <x v="7"/>
    <x v="40"/>
    <x v="0"/>
    <x v="5"/>
    <n v="40"/>
    <n v="14600"/>
    <n v="52560"/>
  </r>
  <r>
    <x v="0"/>
    <x v="0"/>
    <x v="0"/>
    <x v="1"/>
    <x v="4"/>
    <s v="DE4-S_A"/>
    <x v="2"/>
    <x v="7"/>
    <x v="40"/>
    <x v="0"/>
    <x v="6"/>
    <n v="40"/>
    <n v="14600"/>
    <n v="52560"/>
  </r>
  <r>
    <x v="0"/>
    <x v="0"/>
    <x v="0"/>
    <x v="1"/>
    <x v="4"/>
    <s v="DE4-S_A"/>
    <x v="2"/>
    <x v="7"/>
    <x v="40"/>
    <x v="0"/>
    <x v="7"/>
    <n v="40"/>
    <n v="14600"/>
    <n v="52560"/>
  </r>
  <r>
    <x v="0"/>
    <x v="0"/>
    <x v="0"/>
    <x v="1"/>
    <x v="4"/>
    <s v="DE4-S_A"/>
    <x v="2"/>
    <x v="7"/>
    <x v="40"/>
    <x v="0"/>
    <x v="8"/>
    <n v="40"/>
    <n v="14600"/>
    <n v="52560"/>
  </r>
  <r>
    <x v="0"/>
    <x v="0"/>
    <x v="0"/>
    <x v="1"/>
    <x v="4"/>
    <s v="DE4-S_A"/>
    <x v="2"/>
    <x v="7"/>
    <x v="40"/>
    <x v="0"/>
    <x v="9"/>
    <n v="40"/>
    <n v="14600"/>
    <n v="52560"/>
  </r>
  <r>
    <x v="0"/>
    <x v="0"/>
    <x v="0"/>
    <x v="1"/>
    <x v="4"/>
    <s v="DE4-S_A"/>
    <x v="2"/>
    <x v="7"/>
    <x v="40"/>
    <x v="0"/>
    <x v="10"/>
    <n v="40"/>
    <n v="14600"/>
    <n v="52560"/>
  </r>
  <r>
    <x v="0"/>
    <x v="0"/>
    <x v="0"/>
    <x v="1"/>
    <x v="4"/>
    <s v="DE4-S_A"/>
    <x v="2"/>
    <x v="7"/>
    <x v="40"/>
    <x v="0"/>
    <x v="11"/>
    <n v="40"/>
    <n v="14600"/>
    <n v="52560"/>
  </r>
  <r>
    <x v="0"/>
    <x v="0"/>
    <x v="0"/>
    <x v="1"/>
    <x v="4"/>
    <s v="DE4-S_A"/>
    <x v="2"/>
    <x v="7"/>
    <x v="40"/>
    <x v="0"/>
    <x v="12"/>
    <n v="40"/>
    <n v="14600"/>
    <n v="52560"/>
  </r>
  <r>
    <x v="0"/>
    <x v="0"/>
    <x v="0"/>
    <x v="1"/>
    <x v="4"/>
    <s v="DE4-S_A"/>
    <x v="2"/>
    <x v="7"/>
    <x v="40"/>
    <x v="0"/>
    <x v="13"/>
    <n v="40"/>
    <n v="14600"/>
    <n v="52560"/>
  </r>
  <r>
    <x v="0"/>
    <x v="0"/>
    <x v="0"/>
    <x v="1"/>
    <x v="4"/>
    <s v="DE4-S_A"/>
    <x v="2"/>
    <x v="7"/>
    <x v="40"/>
    <x v="0"/>
    <x v="14"/>
    <n v="40"/>
    <n v="14600"/>
    <n v="52560"/>
  </r>
  <r>
    <x v="0"/>
    <x v="0"/>
    <x v="0"/>
    <x v="1"/>
    <x v="4"/>
    <s v="DE4-S_A"/>
    <x v="2"/>
    <x v="7"/>
    <x v="40"/>
    <x v="0"/>
    <x v="15"/>
    <n v="40"/>
    <n v="14600"/>
    <n v="52560"/>
  </r>
  <r>
    <x v="0"/>
    <x v="0"/>
    <x v="0"/>
    <x v="1"/>
    <x v="4"/>
    <s v="DE4-S_A"/>
    <x v="2"/>
    <x v="7"/>
    <x v="40"/>
    <x v="0"/>
    <x v="16"/>
    <n v="40"/>
    <n v="14600"/>
    <n v="52560"/>
  </r>
  <r>
    <x v="0"/>
    <x v="0"/>
    <x v="0"/>
    <x v="1"/>
    <x v="4"/>
    <s v="DE4-S_A"/>
    <x v="2"/>
    <x v="7"/>
    <x v="40"/>
    <x v="0"/>
    <x v="17"/>
    <n v="40"/>
    <n v="14600"/>
    <n v="52560"/>
  </r>
  <r>
    <x v="0"/>
    <x v="0"/>
    <x v="0"/>
    <x v="1"/>
    <x v="4"/>
    <s v="DE4-S_A"/>
    <x v="2"/>
    <x v="7"/>
    <x v="40"/>
    <x v="0"/>
    <x v="18"/>
    <n v="40"/>
    <n v="14600"/>
    <n v="52560"/>
  </r>
  <r>
    <x v="0"/>
    <x v="0"/>
    <x v="0"/>
    <x v="1"/>
    <x v="4"/>
    <s v="DE4-S_A"/>
    <x v="2"/>
    <x v="7"/>
    <x v="40"/>
    <x v="0"/>
    <x v="19"/>
    <n v="40"/>
    <n v="14600"/>
    <n v="52560"/>
  </r>
  <r>
    <x v="0"/>
    <x v="0"/>
    <x v="0"/>
    <x v="1"/>
    <x v="4"/>
    <s v="DE4-S_A"/>
    <x v="2"/>
    <x v="7"/>
    <x v="40"/>
    <x v="0"/>
    <x v="20"/>
    <n v="40"/>
    <n v="14600"/>
    <n v="52560"/>
  </r>
  <r>
    <x v="0"/>
    <x v="0"/>
    <x v="0"/>
    <x v="1"/>
    <x v="4"/>
    <s v="DE4-S_A"/>
    <x v="2"/>
    <x v="7"/>
    <x v="40"/>
    <x v="0"/>
    <x v="21"/>
    <n v="40"/>
    <n v="14600"/>
    <n v="52560"/>
  </r>
  <r>
    <x v="0"/>
    <x v="0"/>
    <x v="0"/>
    <x v="1"/>
    <x v="4"/>
    <s v="DE4-S_A"/>
    <x v="2"/>
    <x v="7"/>
    <x v="40"/>
    <x v="0"/>
    <x v="22"/>
    <n v="40"/>
    <n v="14600"/>
    <n v="52560"/>
  </r>
  <r>
    <x v="0"/>
    <x v="0"/>
    <x v="0"/>
    <x v="1"/>
    <x v="4"/>
    <s v="DE4-S_A"/>
    <x v="2"/>
    <x v="7"/>
    <x v="40"/>
    <x v="0"/>
    <x v="23"/>
    <n v="40"/>
    <n v="14600"/>
    <n v="52560"/>
  </r>
  <r>
    <x v="0"/>
    <x v="0"/>
    <x v="0"/>
    <x v="1"/>
    <x v="4"/>
    <s v="DE4-S_A"/>
    <x v="11"/>
    <x v="7"/>
    <x v="44"/>
    <x v="0"/>
    <x v="0"/>
    <n v="6694"/>
    <n v="2443310"/>
    <n v="8795916"/>
  </r>
  <r>
    <x v="0"/>
    <x v="0"/>
    <x v="0"/>
    <x v="1"/>
    <x v="4"/>
    <s v="DE4-S_A"/>
    <x v="11"/>
    <x v="7"/>
    <x v="44"/>
    <x v="0"/>
    <x v="1"/>
    <n v="6694"/>
    <n v="2443310"/>
    <n v="8795916"/>
  </r>
  <r>
    <x v="0"/>
    <x v="0"/>
    <x v="0"/>
    <x v="1"/>
    <x v="4"/>
    <s v="DE4-S_A"/>
    <x v="11"/>
    <x v="7"/>
    <x v="44"/>
    <x v="0"/>
    <x v="2"/>
    <n v="6694"/>
    <n v="2443310"/>
    <n v="8795916"/>
  </r>
  <r>
    <x v="0"/>
    <x v="0"/>
    <x v="0"/>
    <x v="1"/>
    <x v="4"/>
    <s v="DE4-S_A"/>
    <x v="11"/>
    <x v="7"/>
    <x v="44"/>
    <x v="0"/>
    <x v="3"/>
    <n v="6694"/>
    <n v="2443310"/>
    <n v="8795916"/>
  </r>
  <r>
    <x v="0"/>
    <x v="0"/>
    <x v="0"/>
    <x v="1"/>
    <x v="4"/>
    <s v="DE4-S_A"/>
    <x v="11"/>
    <x v="7"/>
    <x v="44"/>
    <x v="0"/>
    <x v="4"/>
    <n v="6694"/>
    <n v="2443310"/>
    <n v="8795916"/>
  </r>
  <r>
    <x v="0"/>
    <x v="0"/>
    <x v="0"/>
    <x v="1"/>
    <x v="4"/>
    <s v="DE4-S_A"/>
    <x v="11"/>
    <x v="7"/>
    <x v="44"/>
    <x v="0"/>
    <x v="5"/>
    <n v="6694"/>
    <n v="2443310"/>
    <n v="8795916"/>
  </r>
  <r>
    <x v="0"/>
    <x v="0"/>
    <x v="0"/>
    <x v="1"/>
    <x v="4"/>
    <s v="DE4-S_A"/>
    <x v="11"/>
    <x v="7"/>
    <x v="44"/>
    <x v="0"/>
    <x v="6"/>
    <n v="6694"/>
    <n v="2443310"/>
    <n v="8795916"/>
  </r>
  <r>
    <x v="0"/>
    <x v="0"/>
    <x v="0"/>
    <x v="1"/>
    <x v="4"/>
    <s v="DE4-S_A"/>
    <x v="11"/>
    <x v="7"/>
    <x v="44"/>
    <x v="0"/>
    <x v="7"/>
    <n v="6694"/>
    <n v="2443310"/>
    <n v="8795916"/>
  </r>
  <r>
    <x v="0"/>
    <x v="0"/>
    <x v="0"/>
    <x v="1"/>
    <x v="4"/>
    <s v="DE4-S_A"/>
    <x v="11"/>
    <x v="7"/>
    <x v="44"/>
    <x v="0"/>
    <x v="8"/>
    <n v="6694"/>
    <n v="2443310"/>
    <n v="8795916"/>
  </r>
  <r>
    <x v="0"/>
    <x v="0"/>
    <x v="0"/>
    <x v="1"/>
    <x v="4"/>
    <s v="DE4-S_A"/>
    <x v="11"/>
    <x v="7"/>
    <x v="44"/>
    <x v="0"/>
    <x v="9"/>
    <n v="6694"/>
    <n v="2443310"/>
    <n v="8795916"/>
  </r>
  <r>
    <x v="0"/>
    <x v="0"/>
    <x v="0"/>
    <x v="1"/>
    <x v="4"/>
    <s v="DE4-S_A"/>
    <x v="11"/>
    <x v="7"/>
    <x v="44"/>
    <x v="0"/>
    <x v="10"/>
    <n v="6694"/>
    <n v="2443310"/>
    <n v="8795916"/>
  </r>
  <r>
    <x v="0"/>
    <x v="0"/>
    <x v="0"/>
    <x v="1"/>
    <x v="4"/>
    <s v="DE4-S_A"/>
    <x v="11"/>
    <x v="7"/>
    <x v="44"/>
    <x v="0"/>
    <x v="11"/>
    <n v="6694"/>
    <n v="2443310"/>
    <n v="8795916"/>
  </r>
  <r>
    <x v="0"/>
    <x v="0"/>
    <x v="0"/>
    <x v="1"/>
    <x v="4"/>
    <s v="DE4-S_A"/>
    <x v="11"/>
    <x v="7"/>
    <x v="44"/>
    <x v="0"/>
    <x v="12"/>
    <n v="6694"/>
    <n v="2443310"/>
    <n v="8795916"/>
  </r>
  <r>
    <x v="0"/>
    <x v="0"/>
    <x v="0"/>
    <x v="1"/>
    <x v="4"/>
    <s v="DE4-S_A"/>
    <x v="11"/>
    <x v="7"/>
    <x v="44"/>
    <x v="0"/>
    <x v="13"/>
    <n v="6694"/>
    <n v="2443310"/>
    <n v="8795916"/>
  </r>
  <r>
    <x v="0"/>
    <x v="0"/>
    <x v="0"/>
    <x v="1"/>
    <x v="4"/>
    <s v="DE4-S_A"/>
    <x v="11"/>
    <x v="7"/>
    <x v="44"/>
    <x v="0"/>
    <x v="14"/>
    <n v="6694"/>
    <n v="2443310"/>
    <n v="8795916"/>
  </r>
  <r>
    <x v="0"/>
    <x v="0"/>
    <x v="0"/>
    <x v="1"/>
    <x v="4"/>
    <s v="DE4-S_A"/>
    <x v="11"/>
    <x v="7"/>
    <x v="44"/>
    <x v="0"/>
    <x v="15"/>
    <n v="6694"/>
    <n v="2443310"/>
    <n v="8795916"/>
  </r>
  <r>
    <x v="0"/>
    <x v="0"/>
    <x v="0"/>
    <x v="1"/>
    <x v="4"/>
    <s v="DE4-S_A"/>
    <x v="11"/>
    <x v="7"/>
    <x v="44"/>
    <x v="0"/>
    <x v="16"/>
    <n v="6694"/>
    <n v="2443310"/>
    <n v="8795916"/>
  </r>
  <r>
    <x v="0"/>
    <x v="0"/>
    <x v="0"/>
    <x v="1"/>
    <x v="4"/>
    <s v="DE4-S_A"/>
    <x v="11"/>
    <x v="7"/>
    <x v="44"/>
    <x v="0"/>
    <x v="17"/>
    <n v="6694"/>
    <n v="2443310"/>
    <n v="8795916"/>
  </r>
  <r>
    <x v="0"/>
    <x v="0"/>
    <x v="0"/>
    <x v="1"/>
    <x v="4"/>
    <s v="DE4-S_A"/>
    <x v="11"/>
    <x v="7"/>
    <x v="44"/>
    <x v="0"/>
    <x v="18"/>
    <n v="6694"/>
    <n v="2443310"/>
    <n v="8795916"/>
  </r>
  <r>
    <x v="0"/>
    <x v="0"/>
    <x v="0"/>
    <x v="1"/>
    <x v="4"/>
    <s v="DE4-S_A"/>
    <x v="11"/>
    <x v="7"/>
    <x v="44"/>
    <x v="0"/>
    <x v="19"/>
    <n v="6694"/>
    <n v="2443310"/>
    <n v="8795916"/>
  </r>
  <r>
    <x v="0"/>
    <x v="0"/>
    <x v="0"/>
    <x v="1"/>
    <x v="4"/>
    <s v="DE4-S_A"/>
    <x v="11"/>
    <x v="7"/>
    <x v="44"/>
    <x v="0"/>
    <x v="20"/>
    <n v="6694"/>
    <n v="2443310"/>
    <n v="8795916"/>
  </r>
  <r>
    <x v="0"/>
    <x v="0"/>
    <x v="0"/>
    <x v="1"/>
    <x v="4"/>
    <s v="DE4-S_A"/>
    <x v="11"/>
    <x v="7"/>
    <x v="44"/>
    <x v="0"/>
    <x v="21"/>
    <n v="6694"/>
    <n v="2443310"/>
    <n v="8795916"/>
  </r>
  <r>
    <x v="0"/>
    <x v="0"/>
    <x v="0"/>
    <x v="1"/>
    <x v="4"/>
    <s v="DE4-S_A"/>
    <x v="11"/>
    <x v="7"/>
    <x v="44"/>
    <x v="0"/>
    <x v="22"/>
    <n v="6694"/>
    <n v="2443310"/>
    <n v="8795916"/>
  </r>
  <r>
    <x v="0"/>
    <x v="0"/>
    <x v="0"/>
    <x v="1"/>
    <x v="4"/>
    <s v="DE4-S_A"/>
    <x v="11"/>
    <x v="7"/>
    <x v="44"/>
    <x v="0"/>
    <x v="23"/>
    <n v="6694"/>
    <n v="2443310"/>
    <n v="8795916"/>
  </r>
  <r>
    <x v="0"/>
    <x v="0"/>
    <x v="0"/>
    <x v="1"/>
    <x v="4"/>
    <s v="DE4-S_A"/>
    <x v="4"/>
    <x v="3"/>
    <x v="9"/>
    <x v="0"/>
    <x v="6"/>
    <n v="102.26073386189699"/>
    <n v="37325.167859592497"/>
    <n v="134370.604294533"/>
  </r>
  <r>
    <x v="0"/>
    <x v="0"/>
    <x v="0"/>
    <x v="1"/>
    <x v="4"/>
    <s v="DE4-S_A"/>
    <x v="4"/>
    <x v="3"/>
    <x v="9"/>
    <x v="0"/>
    <x v="7"/>
    <n v="1090.70863585041"/>
    <n v="398108.65208539797"/>
    <n v="1433191.1475074301"/>
  </r>
  <r>
    <x v="0"/>
    <x v="0"/>
    <x v="0"/>
    <x v="1"/>
    <x v="4"/>
    <s v="DE4-S_A"/>
    <x v="4"/>
    <x v="3"/>
    <x v="9"/>
    <x v="0"/>
    <x v="8"/>
    <n v="3182.9197354589301"/>
    <n v="1161765.70344251"/>
    <n v="4182356.5323930299"/>
  </r>
  <r>
    <x v="0"/>
    <x v="0"/>
    <x v="0"/>
    <x v="1"/>
    <x v="4"/>
    <s v="DE4-S_A"/>
    <x v="4"/>
    <x v="3"/>
    <x v="9"/>
    <x v="0"/>
    <x v="9"/>
    <n v="5196.3683123908404"/>
    <n v="1896674.4340226599"/>
    <n v="6828027.9624815602"/>
  </r>
  <r>
    <x v="0"/>
    <x v="0"/>
    <x v="0"/>
    <x v="1"/>
    <x v="4"/>
    <s v="DE4-S_A"/>
    <x v="4"/>
    <x v="3"/>
    <x v="9"/>
    <x v="0"/>
    <x v="10"/>
    <n v="6925.4450187748798"/>
    <n v="2527787.4318528301"/>
    <n v="9100034.7546701897"/>
  </r>
  <r>
    <x v="0"/>
    <x v="0"/>
    <x v="0"/>
    <x v="1"/>
    <x v="4"/>
    <s v="DE4-S_A"/>
    <x v="4"/>
    <x v="3"/>
    <x v="9"/>
    <x v="0"/>
    <x v="11"/>
    <n v="8032.6894328667804"/>
    <n v="2931931.6429963699"/>
    <n v="10554953.914786899"/>
  </r>
  <r>
    <x v="0"/>
    <x v="0"/>
    <x v="0"/>
    <x v="1"/>
    <x v="4"/>
    <s v="DE4-S_A"/>
    <x v="4"/>
    <x v="3"/>
    <x v="9"/>
    <x v="0"/>
    <x v="12"/>
    <n v="8496.1263756877197"/>
    <n v="3101086.1271260199"/>
    <n v="11163910.057653699"/>
  </r>
  <r>
    <x v="0"/>
    <x v="0"/>
    <x v="0"/>
    <x v="1"/>
    <x v="4"/>
    <s v="DE4-S_A"/>
    <x v="4"/>
    <x v="3"/>
    <x v="9"/>
    <x v="0"/>
    <x v="13"/>
    <n v="8544.4282542352503"/>
    <n v="3118716.31279587"/>
    <n v="11227378.726065099"/>
  </r>
  <r>
    <x v="0"/>
    <x v="0"/>
    <x v="0"/>
    <x v="1"/>
    <x v="4"/>
    <s v="DE4-S_A"/>
    <x v="4"/>
    <x v="3"/>
    <x v="9"/>
    <x v="0"/>
    <x v="14"/>
    <n v="7355.8104051128203"/>
    <n v="2684870.7978661801"/>
    <n v="9665534.8723182399"/>
  </r>
  <r>
    <x v="0"/>
    <x v="0"/>
    <x v="0"/>
    <x v="1"/>
    <x v="4"/>
    <s v="DE4-S_A"/>
    <x v="4"/>
    <x v="3"/>
    <x v="9"/>
    <x v="0"/>
    <x v="15"/>
    <n v="5567.9881707655604"/>
    <n v="2032315.68232943"/>
    <n v="7316336.4563859496"/>
  </r>
  <r>
    <x v="0"/>
    <x v="0"/>
    <x v="0"/>
    <x v="1"/>
    <x v="4"/>
    <s v="DE4-S_A"/>
    <x v="4"/>
    <x v="3"/>
    <x v="9"/>
    <x v="0"/>
    <x v="16"/>
    <n v="3547.7947369193598"/>
    <n v="1294945.0789755699"/>
    <n v="4661802.2843120303"/>
  </r>
  <r>
    <x v="0"/>
    <x v="0"/>
    <x v="0"/>
    <x v="1"/>
    <x v="4"/>
    <s v="DE4-S_A"/>
    <x v="4"/>
    <x v="3"/>
    <x v="9"/>
    <x v="0"/>
    <x v="17"/>
    <n v="1347.4483506526201"/>
    <n v="491818.64798820502"/>
    <n v="1770547.1327575401"/>
  </r>
  <r>
    <x v="0"/>
    <x v="0"/>
    <x v="0"/>
    <x v="1"/>
    <x v="4"/>
    <s v="DE4-S_A"/>
    <x v="4"/>
    <x v="3"/>
    <x v="9"/>
    <x v="0"/>
    <x v="18"/>
    <n v="110.311046953153"/>
    <n v="40263.532137900896"/>
    <n v="144948.71569644299"/>
  </r>
  <r>
    <x v="0"/>
    <x v="0"/>
    <x v="0"/>
    <x v="1"/>
    <x v="4"/>
    <s v="DE4-S_A"/>
    <x v="10"/>
    <x v="7"/>
    <x v="41"/>
    <x v="0"/>
    <x v="0"/>
    <n v="44.76"/>
    <n v="16337.4"/>
    <n v="58814.64"/>
  </r>
  <r>
    <x v="0"/>
    <x v="0"/>
    <x v="0"/>
    <x v="1"/>
    <x v="4"/>
    <s v="DE4-S_A"/>
    <x v="10"/>
    <x v="7"/>
    <x v="41"/>
    <x v="0"/>
    <x v="1"/>
    <n v="44.76"/>
    <n v="16337.4"/>
    <n v="58814.64"/>
  </r>
  <r>
    <x v="0"/>
    <x v="0"/>
    <x v="0"/>
    <x v="1"/>
    <x v="4"/>
    <s v="DE4-S_A"/>
    <x v="10"/>
    <x v="7"/>
    <x v="41"/>
    <x v="0"/>
    <x v="2"/>
    <n v="44.76"/>
    <n v="16337.4"/>
    <n v="58814.64"/>
  </r>
  <r>
    <x v="0"/>
    <x v="0"/>
    <x v="0"/>
    <x v="1"/>
    <x v="4"/>
    <s v="DE4-S_A"/>
    <x v="10"/>
    <x v="7"/>
    <x v="41"/>
    <x v="0"/>
    <x v="3"/>
    <n v="44.76"/>
    <n v="16337.4"/>
    <n v="58814.64"/>
  </r>
  <r>
    <x v="0"/>
    <x v="0"/>
    <x v="0"/>
    <x v="1"/>
    <x v="4"/>
    <s v="DE4-S_A"/>
    <x v="10"/>
    <x v="7"/>
    <x v="41"/>
    <x v="0"/>
    <x v="4"/>
    <n v="44.76"/>
    <n v="16337.4"/>
    <n v="58814.64"/>
  </r>
  <r>
    <x v="0"/>
    <x v="0"/>
    <x v="0"/>
    <x v="1"/>
    <x v="4"/>
    <s v="DE4-S_A"/>
    <x v="10"/>
    <x v="7"/>
    <x v="41"/>
    <x v="0"/>
    <x v="5"/>
    <n v="44.76"/>
    <n v="16337.4"/>
    <n v="58814.64"/>
  </r>
  <r>
    <x v="0"/>
    <x v="0"/>
    <x v="0"/>
    <x v="1"/>
    <x v="4"/>
    <s v="DE4-S_A"/>
    <x v="10"/>
    <x v="7"/>
    <x v="41"/>
    <x v="0"/>
    <x v="6"/>
    <n v="44.76"/>
    <n v="16337.4"/>
    <n v="58814.64"/>
  </r>
  <r>
    <x v="0"/>
    <x v="0"/>
    <x v="0"/>
    <x v="1"/>
    <x v="4"/>
    <s v="DE4-S_A"/>
    <x v="10"/>
    <x v="7"/>
    <x v="41"/>
    <x v="0"/>
    <x v="7"/>
    <n v="44.76"/>
    <n v="16337.4"/>
    <n v="58814.64"/>
  </r>
  <r>
    <x v="0"/>
    <x v="0"/>
    <x v="0"/>
    <x v="1"/>
    <x v="4"/>
    <s v="DE4-S_A"/>
    <x v="10"/>
    <x v="7"/>
    <x v="41"/>
    <x v="0"/>
    <x v="8"/>
    <n v="44.76"/>
    <n v="16337.4"/>
    <n v="58814.64"/>
  </r>
  <r>
    <x v="0"/>
    <x v="0"/>
    <x v="0"/>
    <x v="1"/>
    <x v="4"/>
    <s v="DE4-S_A"/>
    <x v="10"/>
    <x v="7"/>
    <x v="41"/>
    <x v="0"/>
    <x v="9"/>
    <n v="44.76"/>
    <n v="16337.4"/>
    <n v="58814.64"/>
  </r>
  <r>
    <x v="0"/>
    <x v="0"/>
    <x v="0"/>
    <x v="1"/>
    <x v="4"/>
    <s v="DE4-S_A"/>
    <x v="10"/>
    <x v="7"/>
    <x v="41"/>
    <x v="0"/>
    <x v="10"/>
    <n v="44.76"/>
    <n v="16337.4"/>
    <n v="58814.64"/>
  </r>
  <r>
    <x v="0"/>
    <x v="0"/>
    <x v="0"/>
    <x v="1"/>
    <x v="4"/>
    <s v="DE4-S_A"/>
    <x v="10"/>
    <x v="7"/>
    <x v="41"/>
    <x v="0"/>
    <x v="11"/>
    <n v="44.76"/>
    <n v="16337.4"/>
    <n v="58814.64"/>
  </r>
  <r>
    <x v="0"/>
    <x v="0"/>
    <x v="0"/>
    <x v="1"/>
    <x v="4"/>
    <s v="DE4-S_A"/>
    <x v="10"/>
    <x v="7"/>
    <x v="41"/>
    <x v="0"/>
    <x v="12"/>
    <n v="44.76"/>
    <n v="16337.4"/>
    <n v="58814.64"/>
  </r>
  <r>
    <x v="0"/>
    <x v="0"/>
    <x v="0"/>
    <x v="1"/>
    <x v="4"/>
    <s v="DE4-S_A"/>
    <x v="10"/>
    <x v="7"/>
    <x v="41"/>
    <x v="0"/>
    <x v="13"/>
    <n v="44.76"/>
    <n v="16337.4"/>
    <n v="58814.64"/>
  </r>
  <r>
    <x v="0"/>
    <x v="0"/>
    <x v="0"/>
    <x v="1"/>
    <x v="4"/>
    <s v="DE4-S_A"/>
    <x v="10"/>
    <x v="7"/>
    <x v="41"/>
    <x v="0"/>
    <x v="14"/>
    <n v="44.76"/>
    <n v="16337.4"/>
    <n v="58814.64"/>
  </r>
  <r>
    <x v="0"/>
    <x v="0"/>
    <x v="0"/>
    <x v="1"/>
    <x v="4"/>
    <s v="DE4-S_A"/>
    <x v="10"/>
    <x v="7"/>
    <x v="41"/>
    <x v="0"/>
    <x v="15"/>
    <n v="44.76"/>
    <n v="16337.4"/>
    <n v="58814.64"/>
  </r>
  <r>
    <x v="0"/>
    <x v="0"/>
    <x v="0"/>
    <x v="1"/>
    <x v="4"/>
    <s v="DE4-S_A"/>
    <x v="10"/>
    <x v="7"/>
    <x v="41"/>
    <x v="0"/>
    <x v="16"/>
    <n v="44.76"/>
    <n v="16337.4"/>
    <n v="58814.64"/>
  </r>
  <r>
    <x v="0"/>
    <x v="0"/>
    <x v="0"/>
    <x v="1"/>
    <x v="4"/>
    <s v="DE4-S_A"/>
    <x v="10"/>
    <x v="7"/>
    <x v="41"/>
    <x v="0"/>
    <x v="17"/>
    <n v="44.76"/>
    <n v="16337.4"/>
    <n v="58814.64"/>
  </r>
  <r>
    <x v="0"/>
    <x v="0"/>
    <x v="0"/>
    <x v="1"/>
    <x v="4"/>
    <s v="DE4-S_A"/>
    <x v="10"/>
    <x v="7"/>
    <x v="41"/>
    <x v="0"/>
    <x v="18"/>
    <n v="44.76"/>
    <n v="16337.4"/>
    <n v="58814.64"/>
  </r>
  <r>
    <x v="0"/>
    <x v="0"/>
    <x v="0"/>
    <x v="1"/>
    <x v="4"/>
    <s v="DE4-S_A"/>
    <x v="10"/>
    <x v="7"/>
    <x v="41"/>
    <x v="0"/>
    <x v="19"/>
    <n v="44.76"/>
    <n v="16337.4"/>
    <n v="58814.64"/>
  </r>
  <r>
    <x v="0"/>
    <x v="0"/>
    <x v="0"/>
    <x v="1"/>
    <x v="4"/>
    <s v="DE4-S_A"/>
    <x v="10"/>
    <x v="7"/>
    <x v="41"/>
    <x v="0"/>
    <x v="20"/>
    <n v="44.76"/>
    <n v="16337.4"/>
    <n v="58814.64"/>
  </r>
  <r>
    <x v="0"/>
    <x v="0"/>
    <x v="0"/>
    <x v="1"/>
    <x v="4"/>
    <s v="DE4-S_A"/>
    <x v="10"/>
    <x v="7"/>
    <x v="41"/>
    <x v="0"/>
    <x v="21"/>
    <n v="44.76"/>
    <n v="16337.4"/>
    <n v="58814.64"/>
  </r>
  <r>
    <x v="0"/>
    <x v="0"/>
    <x v="0"/>
    <x v="1"/>
    <x v="4"/>
    <s v="DE4-S_A"/>
    <x v="10"/>
    <x v="7"/>
    <x v="41"/>
    <x v="0"/>
    <x v="22"/>
    <n v="44.76"/>
    <n v="16337.4"/>
    <n v="58814.64"/>
  </r>
  <r>
    <x v="0"/>
    <x v="0"/>
    <x v="0"/>
    <x v="1"/>
    <x v="4"/>
    <s v="DE4-S_A"/>
    <x v="10"/>
    <x v="7"/>
    <x v="41"/>
    <x v="0"/>
    <x v="23"/>
    <n v="44.76"/>
    <n v="16337.4"/>
    <n v="58814.64"/>
  </r>
  <r>
    <x v="0"/>
    <x v="0"/>
    <x v="0"/>
    <x v="1"/>
    <x v="4"/>
    <s v="DE4-S_A"/>
    <x v="5"/>
    <x v="8"/>
    <x v="47"/>
    <x v="0"/>
    <x v="0"/>
    <n v="124"/>
    <n v="45260"/>
    <n v="162936"/>
  </r>
  <r>
    <x v="0"/>
    <x v="0"/>
    <x v="0"/>
    <x v="1"/>
    <x v="4"/>
    <s v="DE4-S_A"/>
    <x v="5"/>
    <x v="8"/>
    <x v="47"/>
    <x v="0"/>
    <x v="1"/>
    <n v="124"/>
    <n v="45260"/>
    <n v="162936"/>
  </r>
  <r>
    <x v="0"/>
    <x v="0"/>
    <x v="0"/>
    <x v="1"/>
    <x v="4"/>
    <s v="DE4-S_A"/>
    <x v="5"/>
    <x v="8"/>
    <x v="47"/>
    <x v="0"/>
    <x v="2"/>
    <n v="124"/>
    <n v="45260"/>
    <n v="162936"/>
  </r>
  <r>
    <x v="0"/>
    <x v="0"/>
    <x v="0"/>
    <x v="1"/>
    <x v="4"/>
    <s v="DE4-S_A"/>
    <x v="5"/>
    <x v="8"/>
    <x v="47"/>
    <x v="0"/>
    <x v="4"/>
    <n v="124"/>
    <n v="45260"/>
    <n v="162936"/>
  </r>
  <r>
    <x v="0"/>
    <x v="0"/>
    <x v="0"/>
    <x v="1"/>
    <x v="4"/>
    <s v="DE4-S_A"/>
    <x v="5"/>
    <x v="8"/>
    <x v="47"/>
    <x v="0"/>
    <x v="6"/>
    <n v="124"/>
    <n v="45260"/>
    <n v="162936"/>
  </r>
  <r>
    <x v="0"/>
    <x v="0"/>
    <x v="0"/>
    <x v="1"/>
    <x v="4"/>
    <s v="DE4-S_A"/>
    <x v="5"/>
    <x v="8"/>
    <x v="47"/>
    <x v="0"/>
    <x v="12"/>
    <n v="124"/>
    <n v="45260"/>
    <n v="162936"/>
  </r>
  <r>
    <x v="0"/>
    <x v="0"/>
    <x v="0"/>
    <x v="1"/>
    <x v="4"/>
    <s v="DE4-S_A"/>
    <x v="5"/>
    <x v="8"/>
    <x v="47"/>
    <x v="0"/>
    <x v="13"/>
    <n v="124"/>
    <n v="45260"/>
    <n v="162936"/>
  </r>
  <r>
    <x v="0"/>
    <x v="0"/>
    <x v="0"/>
    <x v="1"/>
    <x v="4"/>
    <s v="DE4-S_A"/>
    <x v="5"/>
    <x v="8"/>
    <x v="47"/>
    <x v="0"/>
    <x v="15"/>
    <n v="124"/>
    <n v="45260"/>
    <n v="162936"/>
  </r>
  <r>
    <x v="0"/>
    <x v="0"/>
    <x v="0"/>
    <x v="1"/>
    <x v="4"/>
    <s v="DE4-S_A"/>
    <x v="5"/>
    <x v="8"/>
    <x v="47"/>
    <x v="0"/>
    <x v="17"/>
    <n v="124"/>
    <n v="45260"/>
    <n v="162936"/>
  </r>
  <r>
    <x v="0"/>
    <x v="0"/>
    <x v="0"/>
    <x v="1"/>
    <x v="4"/>
    <s v="DE4-S_A"/>
    <x v="5"/>
    <x v="8"/>
    <x v="47"/>
    <x v="0"/>
    <x v="18"/>
    <n v="25.432108074022501"/>
    <n v="9282.7194470182294"/>
    <n v="33417.790009265598"/>
  </r>
  <r>
    <x v="0"/>
    <x v="0"/>
    <x v="0"/>
    <x v="1"/>
    <x v="4"/>
    <s v="DE4-S_A"/>
    <x v="5"/>
    <x v="8"/>
    <x v="47"/>
    <x v="0"/>
    <x v="19"/>
    <n v="124"/>
    <n v="45260"/>
    <n v="162936"/>
  </r>
  <r>
    <x v="0"/>
    <x v="0"/>
    <x v="0"/>
    <x v="1"/>
    <x v="4"/>
    <s v="DE4-S_A"/>
    <x v="5"/>
    <x v="8"/>
    <x v="47"/>
    <x v="0"/>
    <x v="20"/>
    <n v="124"/>
    <n v="45260"/>
    <n v="162936"/>
  </r>
  <r>
    <x v="0"/>
    <x v="0"/>
    <x v="0"/>
    <x v="1"/>
    <x v="4"/>
    <s v="DE4-S_A"/>
    <x v="5"/>
    <x v="8"/>
    <x v="47"/>
    <x v="0"/>
    <x v="21"/>
    <n v="124"/>
    <n v="45260"/>
    <n v="162936"/>
  </r>
  <r>
    <x v="0"/>
    <x v="0"/>
    <x v="0"/>
    <x v="1"/>
    <x v="4"/>
    <s v="DE4-S_A"/>
    <x v="5"/>
    <x v="8"/>
    <x v="47"/>
    <x v="0"/>
    <x v="22"/>
    <n v="124"/>
    <n v="45260"/>
    <n v="162936"/>
  </r>
  <r>
    <x v="0"/>
    <x v="0"/>
    <x v="0"/>
    <x v="1"/>
    <x v="4"/>
    <s v="DE4-S_A"/>
    <x v="5"/>
    <x v="4"/>
    <x v="10"/>
    <x v="0"/>
    <x v="0"/>
    <n v="4361.5442694063904"/>
    <n v="1591963.6583333299"/>
    <n v="5731069.1699999999"/>
  </r>
  <r>
    <x v="0"/>
    <x v="0"/>
    <x v="0"/>
    <x v="1"/>
    <x v="4"/>
    <s v="DE4-S_A"/>
    <x v="5"/>
    <x v="4"/>
    <x v="10"/>
    <x v="0"/>
    <x v="1"/>
    <n v="4361.5442694063904"/>
    <n v="1591963.6583333299"/>
    <n v="5731069.1699999999"/>
  </r>
  <r>
    <x v="0"/>
    <x v="0"/>
    <x v="0"/>
    <x v="1"/>
    <x v="4"/>
    <s v="DE4-S_A"/>
    <x v="5"/>
    <x v="4"/>
    <x v="10"/>
    <x v="0"/>
    <x v="2"/>
    <n v="4361.5442694063904"/>
    <n v="1591963.6583333299"/>
    <n v="5731069.1699999999"/>
  </r>
  <r>
    <x v="0"/>
    <x v="0"/>
    <x v="0"/>
    <x v="1"/>
    <x v="4"/>
    <s v="DE4-S_A"/>
    <x v="5"/>
    <x v="4"/>
    <x v="10"/>
    <x v="0"/>
    <x v="3"/>
    <n v="4361.5442694063904"/>
    <n v="1591963.6583333299"/>
    <n v="5731069.1699999999"/>
  </r>
  <r>
    <x v="0"/>
    <x v="0"/>
    <x v="0"/>
    <x v="1"/>
    <x v="4"/>
    <s v="DE4-S_A"/>
    <x v="5"/>
    <x v="4"/>
    <x v="10"/>
    <x v="0"/>
    <x v="4"/>
    <n v="4361.5442694063904"/>
    <n v="1591963.6583333299"/>
    <n v="5731069.1699999999"/>
  </r>
  <r>
    <x v="0"/>
    <x v="0"/>
    <x v="0"/>
    <x v="1"/>
    <x v="4"/>
    <s v="DE4-S_A"/>
    <x v="5"/>
    <x v="4"/>
    <x v="10"/>
    <x v="0"/>
    <x v="5"/>
    <n v="4361.5442694063904"/>
    <n v="1591963.6583333299"/>
    <n v="5731069.1699999999"/>
  </r>
  <r>
    <x v="0"/>
    <x v="0"/>
    <x v="0"/>
    <x v="1"/>
    <x v="4"/>
    <s v="DE4-S_A"/>
    <x v="5"/>
    <x v="4"/>
    <x v="10"/>
    <x v="0"/>
    <x v="6"/>
    <n v="4361.5442694063904"/>
    <n v="1591963.6583333299"/>
    <n v="5731069.1699999999"/>
  </r>
  <r>
    <x v="0"/>
    <x v="0"/>
    <x v="0"/>
    <x v="1"/>
    <x v="4"/>
    <s v="DE4-S_A"/>
    <x v="5"/>
    <x v="4"/>
    <x v="10"/>
    <x v="0"/>
    <x v="7"/>
    <n v="4361.5442694063904"/>
    <n v="1591963.6583333299"/>
    <n v="5731069.1699999999"/>
  </r>
  <r>
    <x v="0"/>
    <x v="0"/>
    <x v="0"/>
    <x v="1"/>
    <x v="4"/>
    <s v="DE4-S_A"/>
    <x v="5"/>
    <x v="4"/>
    <x v="10"/>
    <x v="0"/>
    <x v="8"/>
    <n v="4361.5442694063904"/>
    <n v="1591963.6583333299"/>
    <n v="5731069.1699999999"/>
  </r>
  <r>
    <x v="0"/>
    <x v="0"/>
    <x v="0"/>
    <x v="1"/>
    <x v="4"/>
    <s v="DE4-S_A"/>
    <x v="5"/>
    <x v="4"/>
    <x v="10"/>
    <x v="0"/>
    <x v="9"/>
    <n v="4361.5442694063904"/>
    <n v="1591963.6583333299"/>
    <n v="5731069.1699999999"/>
  </r>
  <r>
    <x v="0"/>
    <x v="0"/>
    <x v="0"/>
    <x v="1"/>
    <x v="4"/>
    <s v="DE4-S_A"/>
    <x v="5"/>
    <x v="4"/>
    <x v="10"/>
    <x v="0"/>
    <x v="10"/>
    <n v="4361.5442694063904"/>
    <n v="1591963.6583333299"/>
    <n v="5731069.1699999999"/>
  </r>
  <r>
    <x v="0"/>
    <x v="0"/>
    <x v="0"/>
    <x v="1"/>
    <x v="4"/>
    <s v="DE4-S_A"/>
    <x v="5"/>
    <x v="4"/>
    <x v="10"/>
    <x v="0"/>
    <x v="11"/>
    <n v="4361.5442694063904"/>
    <n v="1591963.6583333299"/>
    <n v="5731069.1699999999"/>
  </r>
  <r>
    <x v="0"/>
    <x v="0"/>
    <x v="0"/>
    <x v="1"/>
    <x v="4"/>
    <s v="DE4-S_A"/>
    <x v="5"/>
    <x v="4"/>
    <x v="10"/>
    <x v="0"/>
    <x v="12"/>
    <n v="4361.5442694063904"/>
    <n v="1591963.6583333299"/>
    <n v="5731069.1699999999"/>
  </r>
  <r>
    <x v="0"/>
    <x v="0"/>
    <x v="0"/>
    <x v="1"/>
    <x v="4"/>
    <s v="DE4-S_A"/>
    <x v="5"/>
    <x v="4"/>
    <x v="10"/>
    <x v="0"/>
    <x v="13"/>
    <n v="4361.5442694063904"/>
    <n v="1591963.6583333299"/>
    <n v="5731069.1699999999"/>
  </r>
  <r>
    <x v="0"/>
    <x v="0"/>
    <x v="0"/>
    <x v="1"/>
    <x v="4"/>
    <s v="DE4-S_A"/>
    <x v="5"/>
    <x v="4"/>
    <x v="10"/>
    <x v="0"/>
    <x v="14"/>
    <n v="4361.5442694063904"/>
    <n v="1591963.6583333299"/>
    <n v="5731069.1699999999"/>
  </r>
  <r>
    <x v="0"/>
    <x v="0"/>
    <x v="0"/>
    <x v="1"/>
    <x v="4"/>
    <s v="DE4-S_A"/>
    <x v="5"/>
    <x v="4"/>
    <x v="10"/>
    <x v="0"/>
    <x v="15"/>
    <n v="4361.5442694063904"/>
    <n v="1591963.6583333299"/>
    <n v="5731069.1699999999"/>
  </r>
  <r>
    <x v="0"/>
    <x v="0"/>
    <x v="0"/>
    <x v="1"/>
    <x v="4"/>
    <s v="DE4-S_A"/>
    <x v="5"/>
    <x v="4"/>
    <x v="10"/>
    <x v="0"/>
    <x v="16"/>
    <n v="4361.5442694063904"/>
    <n v="1591963.6583333299"/>
    <n v="5731069.1699999999"/>
  </r>
  <r>
    <x v="0"/>
    <x v="0"/>
    <x v="0"/>
    <x v="1"/>
    <x v="4"/>
    <s v="DE4-S_A"/>
    <x v="5"/>
    <x v="4"/>
    <x v="10"/>
    <x v="0"/>
    <x v="17"/>
    <n v="4361.5442694063904"/>
    <n v="1591963.6583333299"/>
    <n v="5731069.1699999999"/>
  </r>
  <r>
    <x v="0"/>
    <x v="0"/>
    <x v="0"/>
    <x v="1"/>
    <x v="4"/>
    <s v="DE4-S_A"/>
    <x v="5"/>
    <x v="4"/>
    <x v="10"/>
    <x v="0"/>
    <x v="18"/>
    <n v="4361.5442694063904"/>
    <n v="1591963.6583333299"/>
    <n v="5731069.1699999999"/>
  </r>
  <r>
    <x v="0"/>
    <x v="0"/>
    <x v="0"/>
    <x v="1"/>
    <x v="4"/>
    <s v="DE4-S_A"/>
    <x v="5"/>
    <x v="4"/>
    <x v="10"/>
    <x v="0"/>
    <x v="19"/>
    <n v="4361.5442694063904"/>
    <n v="1591963.6583333299"/>
    <n v="5731069.1699999999"/>
  </r>
  <r>
    <x v="0"/>
    <x v="0"/>
    <x v="0"/>
    <x v="1"/>
    <x v="4"/>
    <s v="DE4-S_A"/>
    <x v="5"/>
    <x v="4"/>
    <x v="10"/>
    <x v="0"/>
    <x v="20"/>
    <n v="4361.5442694063904"/>
    <n v="1591963.6583333299"/>
    <n v="5731069.1699999999"/>
  </r>
  <r>
    <x v="0"/>
    <x v="0"/>
    <x v="0"/>
    <x v="1"/>
    <x v="4"/>
    <s v="DE4-S_A"/>
    <x v="5"/>
    <x v="4"/>
    <x v="10"/>
    <x v="0"/>
    <x v="21"/>
    <n v="4361.5442694063904"/>
    <n v="1591963.6583333299"/>
    <n v="5731069.1699999999"/>
  </r>
  <r>
    <x v="0"/>
    <x v="0"/>
    <x v="0"/>
    <x v="1"/>
    <x v="4"/>
    <s v="DE4-S_A"/>
    <x v="5"/>
    <x v="4"/>
    <x v="10"/>
    <x v="0"/>
    <x v="22"/>
    <n v="4361.5442694063904"/>
    <n v="1591963.6583333299"/>
    <n v="5731069.1699999999"/>
  </r>
  <r>
    <x v="0"/>
    <x v="0"/>
    <x v="0"/>
    <x v="1"/>
    <x v="4"/>
    <s v="DE4-S_A"/>
    <x v="5"/>
    <x v="4"/>
    <x v="10"/>
    <x v="0"/>
    <x v="23"/>
    <n v="4361.5442694063904"/>
    <n v="1591963.6583333299"/>
    <n v="5731069.1699999999"/>
  </r>
  <r>
    <x v="0"/>
    <x v="0"/>
    <x v="0"/>
    <x v="1"/>
    <x v="4"/>
    <s v="DE4-S_A"/>
    <x v="6"/>
    <x v="5"/>
    <x v="11"/>
    <x v="0"/>
    <x v="0"/>
    <n v="2203.3816519658699"/>
    <n v="804234.30296754197"/>
    <n v="2895243.49068315"/>
  </r>
  <r>
    <x v="0"/>
    <x v="0"/>
    <x v="0"/>
    <x v="1"/>
    <x v="4"/>
    <s v="DE4-S_A"/>
    <x v="6"/>
    <x v="5"/>
    <x v="11"/>
    <x v="0"/>
    <x v="1"/>
    <n v="2041.0579017919299"/>
    <n v="744986.13415405597"/>
    <n v="2681950.0829546"/>
  </r>
  <r>
    <x v="0"/>
    <x v="0"/>
    <x v="0"/>
    <x v="1"/>
    <x v="4"/>
    <s v="DE4-S_A"/>
    <x v="6"/>
    <x v="5"/>
    <x v="11"/>
    <x v="0"/>
    <x v="2"/>
    <n v="1935.6407536904701"/>
    <n v="706508.87509702204"/>
    <n v="2543431.9503492801"/>
  </r>
  <r>
    <x v="0"/>
    <x v="0"/>
    <x v="0"/>
    <x v="1"/>
    <x v="4"/>
    <s v="DE4-S_A"/>
    <x v="6"/>
    <x v="5"/>
    <x v="11"/>
    <x v="0"/>
    <x v="3"/>
    <n v="1749.3532602257701"/>
    <n v="638513.93998240703"/>
    <n v="2298650.1839366602"/>
  </r>
  <r>
    <x v="0"/>
    <x v="0"/>
    <x v="0"/>
    <x v="1"/>
    <x v="4"/>
    <s v="DE4-S_A"/>
    <x v="6"/>
    <x v="5"/>
    <x v="11"/>
    <x v="0"/>
    <x v="4"/>
    <n v="1559.62571602104"/>
    <n v="569263.38634767802"/>
    <n v="2049348.19085164"/>
  </r>
  <r>
    <x v="0"/>
    <x v="0"/>
    <x v="0"/>
    <x v="1"/>
    <x v="4"/>
    <s v="DE4-S_A"/>
    <x v="6"/>
    <x v="5"/>
    <x v="11"/>
    <x v="0"/>
    <x v="5"/>
    <n v="1482.31203328733"/>
    <n v="541043.89214987599"/>
    <n v="1947758.0117395499"/>
  </r>
  <r>
    <x v="0"/>
    <x v="0"/>
    <x v="0"/>
    <x v="1"/>
    <x v="4"/>
    <s v="DE4-S_A"/>
    <x v="6"/>
    <x v="5"/>
    <x v="11"/>
    <x v="0"/>
    <x v="6"/>
    <n v="1457.9401483833401"/>
    <n v="532148.15415992006"/>
    <n v="1915733.3549757099"/>
  </r>
  <r>
    <x v="0"/>
    <x v="0"/>
    <x v="0"/>
    <x v="1"/>
    <x v="4"/>
    <s v="DE4-S_A"/>
    <x v="6"/>
    <x v="5"/>
    <x v="11"/>
    <x v="0"/>
    <x v="7"/>
    <n v="1498.9875334848"/>
    <n v="547130.44972195104"/>
    <n v="1969669.61899902"/>
  </r>
  <r>
    <x v="0"/>
    <x v="0"/>
    <x v="0"/>
    <x v="1"/>
    <x v="4"/>
    <s v="DE4-S_A"/>
    <x v="6"/>
    <x v="5"/>
    <x v="11"/>
    <x v="0"/>
    <x v="8"/>
    <n v="1794.0156139015"/>
    <n v="654815.69907404797"/>
    <n v="2357336.5166665702"/>
  </r>
  <r>
    <x v="0"/>
    <x v="0"/>
    <x v="0"/>
    <x v="1"/>
    <x v="4"/>
    <s v="DE4-S_A"/>
    <x v="6"/>
    <x v="5"/>
    <x v="11"/>
    <x v="0"/>
    <x v="9"/>
    <n v="2031.14589118505"/>
    <n v="741368.25028254301"/>
    <n v="2668925.7010171502"/>
  </r>
  <r>
    <x v="0"/>
    <x v="0"/>
    <x v="0"/>
    <x v="1"/>
    <x v="4"/>
    <s v="DE4-S_A"/>
    <x v="6"/>
    <x v="5"/>
    <x v="11"/>
    <x v="0"/>
    <x v="10"/>
    <n v="1962.98624177652"/>
    <n v="716489.978248431"/>
    <n v="2579363.92169435"/>
  </r>
  <r>
    <x v="0"/>
    <x v="0"/>
    <x v="0"/>
    <x v="1"/>
    <x v="4"/>
    <s v="DE4-S_A"/>
    <x v="6"/>
    <x v="5"/>
    <x v="11"/>
    <x v="0"/>
    <x v="11"/>
    <n v="1795.4149565754201"/>
    <n v="655326.45915002702"/>
    <n v="2359175.2529401002"/>
  </r>
  <r>
    <x v="0"/>
    <x v="0"/>
    <x v="0"/>
    <x v="1"/>
    <x v="4"/>
    <s v="DE4-S_A"/>
    <x v="6"/>
    <x v="5"/>
    <x v="11"/>
    <x v="0"/>
    <x v="12"/>
    <n v="1825.20929434082"/>
    <n v="666201.39243439899"/>
    <n v="2398325.0127638401"/>
  </r>
  <r>
    <x v="0"/>
    <x v="0"/>
    <x v="0"/>
    <x v="1"/>
    <x v="4"/>
    <s v="DE4-S_A"/>
    <x v="6"/>
    <x v="5"/>
    <x v="11"/>
    <x v="0"/>
    <x v="13"/>
    <n v="1851.2720516424499"/>
    <n v="675714.29884949501"/>
    <n v="2432571.4758581799"/>
  </r>
  <r>
    <x v="0"/>
    <x v="0"/>
    <x v="0"/>
    <x v="1"/>
    <x v="4"/>
    <s v="DE4-S_A"/>
    <x v="6"/>
    <x v="5"/>
    <x v="11"/>
    <x v="0"/>
    <x v="14"/>
    <n v="1860.4843909123799"/>
    <n v="679076.80268301896"/>
    <n v="2444676.4896588698"/>
  </r>
  <r>
    <x v="0"/>
    <x v="0"/>
    <x v="0"/>
    <x v="1"/>
    <x v="4"/>
    <s v="DE4-S_A"/>
    <x v="6"/>
    <x v="5"/>
    <x v="11"/>
    <x v="0"/>
    <x v="15"/>
    <n v="1740.6073685138099"/>
    <n v="635321.68950754195"/>
    <n v="2287158.08222715"/>
  </r>
  <r>
    <x v="0"/>
    <x v="0"/>
    <x v="0"/>
    <x v="1"/>
    <x v="4"/>
    <s v="DE4-S_A"/>
    <x v="6"/>
    <x v="5"/>
    <x v="11"/>
    <x v="0"/>
    <x v="16"/>
    <n v="1573.32761303644"/>
    <n v="574264.57875830005"/>
    <n v="2067352.4835298799"/>
  </r>
  <r>
    <x v="0"/>
    <x v="0"/>
    <x v="0"/>
    <x v="1"/>
    <x v="4"/>
    <s v="DE4-S_A"/>
    <x v="6"/>
    <x v="5"/>
    <x v="11"/>
    <x v="0"/>
    <x v="17"/>
    <n v="1303.6043126396601"/>
    <n v="475815.57411347702"/>
    <n v="1712936.0668085199"/>
  </r>
  <r>
    <x v="0"/>
    <x v="0"/>
    <x v="0"/>
    <x v="1"/>
    <x v="4"/>
    <s v="DE4-S_A"/>
    <x v="6"/>
    <x v="5"/>
    <x v="11"/>
    <x v="0"/>
    <x v="18"/>
    <n v="1001.57951885339"/>
    <n v="365576.52438148798"/>
    <n v="1316075.48777336"/>
  </r>
  <r>
    <x v="0"/>
    <x v="0"/>
    <x v="0"/>
    <x v="1"/>
    <x v="4"/>
    <s v="DE4-S_A"/>
    <x v="6"/>
    <x v="5"/>
    <x v="11"/>
    <x v="0"/>
    <x v="19"/>
    <n v="1006.0107706541201"/>
    <n v="367193.931288753"/>
    <n v="1321898.1526395101"/>
  </r>
  <r>
    <x v="0"/>
    <x v="0"/>
    <x v="0"/>
    <x v="1"/>
    <x v="4"/>
    <s v="DE4-S_A"/>
    <x v="6"/>
    <x v="5"/>
    <x v="11"/>
    <x v="0"/>
    <x v="20"/>
    <n v="1057.32000203094"/>
    <n v="385921.80074129102"/>
    <n v="1389318.4826686501"/>
  </r>
  <r>
    <x v="0"/>
    <x v="0"/>
    <x v="0"/>
    <x v="1"/>
    <x v="4"/>
    <s v="DE4-S_A"/>
    <x v="6"/>
    <x v="5"/>
    <x v="11"/>
    <x v="0"/>
    <x v="21"/>
    <n v="1143.72941214508"/>
    <n v="417461.23543295299"/>
    <n v="1502860.44755863"/>
  </r>
  <r>
    <x v="0"/>
    <x v="0"/>
    <x v="0"/>
    <x v="1"/>
    <x v="4"/>
    <s v="DE4-S_A"/>
    <x v="6"/>
    <x v="5"/>
    <x v="11"/>
    <x v="0"/>
    <x v="22"/>
    <n v="1194.2806662401899"/>
    <n v="435912.44317767001"/>
    <n v="1569284.79543961"/>
  </r>
  <r>
    <x v="0"/>
    <x v="0"/>
    <x v="0"/>
    <x v="1"/>
    <x v="4"/>
    <s v="DE4-S_A"/>
    <x v="6"/>
    <x v="5"/>
    <x v="11"/>
    <x v="0"/>
    <x v="23"/>
    <n v="1208.7405405372999"/>
    <n v="441190.29729611299"/>
    <n v="1588285.07026601"/>
  </r>
  <r>
    <x v="0"/>
    <x v="0"/>
    <x v="0"/>
    <x v="1"/>
    <x v="5"/>
    <s v="DE4-W_A"/>
    <x v="0"/>
    <x v="7"/>
    <x v="48"/>
    <x v="0"/>
    <x v="0"/>
    <n v="3449"/>
    <n v="1258885"/>
    <n v="4531986"/>
  </r>
  <r>
    <x v="0"/>
    <x v="0"/>
    <x v="0"/>
    <x v="1"/>
    <x v="5"/>
    <s v="DE4-W_A"/>
    <x v="0"/>
    <x v="7"/>
    <x v="48"/>
    <x v="0"/>
    <x v="1"/>
    <n v="3449"/>
    <n v="1258885"/>
    <n v="4531986"/>
  </r>
  <r>
    <x v="0"/>
    <x v="0"/>
    <x v="0"/>
    <x v="1"/>
    <x v="5"/>
    <s v="DE4-W_A"/>
    <x v="0"/>
    <x v="7"/>
    <x v="48"/>
    <x v="0"/>
    <x v="2"/>
    <n v="3449"/>
    <n v="1258885"/>
    <n v="4531986"/>
  </r>
  <r>
    <x v="0"/>
    <x v="0"/>
    <x v="0"/>
    <x v="1"/>
    <x v="5"/>
    <s v="DE4-W_A"/>
    <x v="0"/>
    <x v="7"/>
    <x v="48"/>
    <x v="0"/>
    <x v="3"/>
    <n v="3449"/>
    <n v="1258885"/>
    <n v="4531986"/>
  </r>
  <r>
    <x v="0"/>
    <x v="0"/>
    <x v="0"/>
    <x v="1"/>
    <x v="5"/>
    <s v="DE4-W_A"/>
    <x v="0"/>
    <x v="7"/>
    <x v="48"/>
    <x v="0"/>
    <x v="4"/>
    <n v="3449"/>
    <n v="1258885"/>
    <n v="4531986"/>
  </r>
  <r>
    <x v="0"/>
    <x v="0"/>
    <x v="0"/>
    <x v="1"/>
    <x v="5"/>
    <s v="DE4-W_A"/>
    <x v="0"/>
    <x v="7"/>
    <x v="48"/>
    <x v="0"/>
    <x v="5"/>
    <n v="3449"/>
    <n v="1258885"/>
    <n v="4531986"/>
  </r>
  <r>
    <x v="0"/>
    <x v="0"/>
    <x v="0"/>
    <x v="1"/>
    <x v="5"/>
    <s v="DE4-W_A"/>
    <x v="0"/>
    <x v="7"/>
    <x v="48"/>
    <x v="0"/>
    <x v="6"/>
    <n v="3449"/>
    <n v="1258885"/>
    <n v="4531986"/>
  </r>
  <r>
    <x v="0"/>
    <x v="0"/>
    <x v="0"/>
    <x v="1"/>
    <x v="5"/>
    <s v="DE4-W_A"/>
    <x v="0"/>
    <x v="7"/>
    <x v="48"/>
    <x v="0"/>
    <x v="7"/>
    <n v="3449"/>
    <n v="1258885"/>
    <n v="4531986"/>
  </r>
  <r>
    <x v="0"/>
    <x v="0"/>
    <x v="0"/>
    <x v="1"/>
    <x v="5"/>
    <s v="DE4-W_A"/>
    <x v="0"/>
    <x v="7"/>
    <x v="48"/>
    <x v="0"/>
    <x v="8"/>
    <n v="3449"/>
    <n v="1258885"/>
    <n v="4531986"/>
  </r>
  <r>
    <x v="0"/>
    <x v="0"/>
    <x v="0"/>
    <x v="1"/>
    <x v="5"/>
    <s v="DE4-W_A"/>
    <x v="0"/>
    <x v="7"/>
    <x v="48"/>
    <x v="0"/>
    <x v="9"/>
    <n v="3449"/>
    <n v="1258885"/>
    <n v="4531986"/>
  </r>
  <r>
    <x v="0"/>
    <x v="0"/>
    <x v="0"/>
    <x v="1"/>
    <x v="5"/>
    <s v="DE4-W_A"/>
    <x v="0"/>
    <x v="7"/>
    <x v="48"/>
    <x v="0"/>
    <x v="10"/>
    <n v="3449"/>
    <n v="1258885"/>
    <n v="4531986"/>
  </r>
  <r>
    <x v="0"/>
    <x v="0"/>
    <x v="0"/>
    <x v="1"/>
    <x v="5"/>
    <s v="DE4-W_A"/>
    <x v="0"/>
    <x v="7"/>
    <x v="48"/>
    <x v="0"/>
    <x v="11"/>
    <n v="3449"/>
    <n v="1258885"/>
    <n v="4531986"/>
  </r>
  <r>
    <x v="0"/>
    <x v="0"/>
    <x v="0"/>
    <x v="1"/>
    <x v="5"/>
    <s v="DE4-W_A"/>
    <x v="0"/>
    <x v="7"/>
    <x v="48"/>
    <x v="0"/>
    <x v="12"/>
    <n v="3449"/>
    <n v="1258885"/>
    <n v="4531986"/>
  </r>
  <r>
    <x v="0"/>
    <x v="0"/>
    <x v="0"/>
    <x v="1"/>
    <x v="5"/>
    <s v="DE4-W_A"/>
    <x v="0"/>
    <x v="7"/>
    <x v="48"/>
    <x v="0"/>
    <x v="13"/>
    <n v="3449"/>
    <n v="1258885"/>
    <n v="4531986"/>
  </r>
  <r>
    <x v="0"/>
    <x v="0"/>
    <x v="0"/>
    <x v="1"/>
    <x v="5"/>
    <s v="DE4-W_A"/>
    <x v="0"/>
    <x v="7"/>
    <x v="48"/>
    <x v="0"/>
    <x v="14"/>
    <n v="3449"/>
    <n v="1258885"/>
    <n v="4531986"/>
  </r>
  <r>
    <x v="0"/>
    <x v="0"/>
    <x v="0"/>
    <x v="1"/>
    <x v="5"/>
    <s v="DE4-W_A"/>
    <x v="0"/>
    <x v="7"/>
    <x v="48"/>
    <x v="0"/>
    <x v="15"/>
    <n v="3449"/>
    <n v="1258885"/>
    <n v="4531986"/>
  </r>
  <r>
    <x v="0"/>
    <x v="0"/>
    <x v="0"/>
    <x v="1"/>
    <x v="5"/>
    <s v="DE4-W_A"/>
    <x v="0"/>
    <x v="7"/>
    <x v="48"/>
    <x v="0"/>
    <x v="16"/>
    <n v="3449"/>
    <n v="1258885"/>
    <n v="4531986"/>
  </r>
  <r>
    <x v="0"/>
    <x v="0"/>
    <x v="0"/>
    <x v="1"/>
    <x v="5"/>
    <s v="DE4-W_A"/>
    <x v="0"/>
    <x v="7"/>
    <x v="48"/>
    <x v="0"/>
    <x v="17"/>
    <n v="3449"/>
    <n v="1258885"/>
    <n v="4531986"/>
  </r>
  <r>
    <x v="0"/>
    <x v="0"/>
    <x v="0"/>
    <x v="1"/>
    <x v="5"/>
    <s v="DE4-W_A"/>
    <x v="0"/>
    <x v="7"/>
    <x v="48"/>
    <x v="0"/>
    <x v="18"/>
    <n v="3449"/>
    <n v="1258885"/>
    <n v="4531986"/>
  </r>
  <r>
    <x v="0"/>
    <x v="0"/>
    <x v="0"/>
    <x v="1"/>
    <x v="5"/>
    <s v="DE4-W_A"/>
    <x v="0"/>
    <x v="7"/>
    <x v="48"/>
    <x v="0"/>
    <x v="19"/>
    <n v="3449"/>
    <n v="1258885"/>
    <n v="4531986"/>
  </r>
  <r>
    <x v="0"/>
    <x v="0"/>
    <x v="0"/>
    <x v="1"/>
    <x v="5"/>
    <s v="DE4-W_A"/>
    <x v="0"/>
    <x v="7"/>
    <x v="48"/>
    <x v="0"/>
    <x v="20"/>
    <n v="3449"/>
    <n v="1258885"/>
    <n v="4531986"/>
  </r>
  <r>
    <x v="0"/>
    <x v="0"/>
    <x v="0"/>
    <x v="1"/>
    <x v="5"/>
    <s v="DE4-W_A"/>
    <x v="0"/>
    <x v="7"/>
    <x v="48"/>
    <x v="0"/>
    <x v="21"/>
    <n v="3449"/>
    <n v="1258885"/>
    <n v="4531986"/>
  </r>
  <r>
    <x v="0"/>
    <x v="0"/>
    <x v="0"/>
    <x v="1"/>
    <x v="5"/>
    <s v="DE4-W_A"/>
    <x v="0"/>
    <x v="7"/>
    <x v="48"/>
    <x v="0"/>
    <x v="22"/>
    <n v="3449"/>
    <n v="1258885"/>
    <n v="4531986"/>
  </r>
  <r>
    <x v="0"/>
    <x v="0"/>
    <x v="0"/>
    <x v="1"/>
    <x v="5"/>
    <s v="DE4-W_A"/>
    <x v="0"/>
    <x v="7"/>
    <x v="48"/>
    <x v="0"/>
    <x v="23"/>
    <n v="3449"/>
    <n v="1258885"/>
    <n v="4531986"/>
  </r>
  <r>
    <x v="0"/>
    <x v="0"/>
    <x v="0"/>
    <x v="1"/>
    <x v="5"/>
    <s v="DE4-W_A"/>
    <x v="1"/>
    <x v="6"/>
    <x v="49"/>
    <x v="0"/>
    <x v="0"/>
    <n v="-9168"/>
    <n v="-3346320"/>
    <n v="-12046752"/>
  </r>
  <r>
    <x v="0"/>
    <x v="0"/>
    <x v="0"/>
    <x v="1"/>
    <x v="5"/>
    <s v="DE4-W_A"/>
    <x v="1"/>
    <x v="6"/>
    <x v="49"/>
    <x v="0"/>
    <x v="1"/>
    <n v="-9168"/>
    <n v="-3346320"/>
    <n v="-12046752"/>
  </r>
  <r>
    <x v="0"/>
    <x v="0"/>
    <x v="0"/>
    <x v="1"/>
    <x v="5"/>
    <s v="DE4-W_A"/>
    <x v="1"/>
    <x v="6"/>
    <x v="49"/>
    <x v="0"/>
    <x v="2"/>
    <n v="-9168"/>
    <n v="-3346320"/>
    <n v="-12046752"/>
  </r>
  <r>
    <x v="0"/>
    <x v="0"/>
    <x v="0"/>
    <x v="1"/>
    <x v="5"/>
    <s v="DE4-W_A"/>
    <x v="1"/>
    <x v="6"/>
    <x v="49"/>
    <x v="0"/>
    <x v="3"/>
    <n v="-9168"/>
    <n v="-3346320"/>
    <n v="-12046752"/>
  </r>
  <r>
    <x v="0"/>
    <x v="0"/>
    <x v="0"/>
    <x v="1"/>
    <x v="5"/>
    <s v="DE4-W_A"/>
    <x v="1"/>
    <x v="6"/>
    <x v="49"/>
    <x v="0"/>
    <x v="4"/>
    <n v="-9168"/>
    <n v="-3346320"/>
    <n v="-12046752"/>
  </r>
  <r>
    <x v="0"/>
    <x v="0"/>
    <x v="0"/>
    <x v="1"/>
    <x v="5"/>
    <s v="DE4-W_A"/>
    <x v="1"/>
    <x v="6"/>
    <x v="49"/>
    <x v="0"/>
    <x v="5"/>
    <n v="-9168"/>
    <n v="-3346320"/>
    <n v="-12046752"/>
  </r>
  <r>
    <x v="0"/>
    <x v="0"/>
    <x v="0"/>
    <x v="1"/>
    <x v="5"/>
    <s v="DE4-W_A"/>
    <x v="1"/>
    <x v="6"/>
    <x v="49"/>
    <x v="0"/>
    <x v="6"/>
    <n v="-9168"/>
    <n v="-3346320"/>
    <n v="-12046752"/>
  </r>
  <r>
    <x v="0"/>
    <x v="0"/>
    <x v="0"/>
    <x v="1"/>
    <x v="5"/>
    <s v="DE4-W_A"/>
    <x v="1"/>
    <x v="6"/>
    <x v="49"/>
    <x v="0"/>
    <x v="7"/>
    <n v="-9168"/>
    <n v="-3346320"/>
    <n v="-12046752"/>
  </r>
  <r>
    <x v="0"/>
    <x v="0"/>
    <x v="0"/>
    <x v="1"/>
    <x v="5"/>
    <s v="DE4-W_A"/>
    <x v="1"/>
    <x v="6"/>
    <x v="49"/>
    <x v="0"/>
    <x v="8"/>
    <n v="-9168"/>
    <n v="-3346320"/>
    <n v="-12046752"/>
  </r>
  <r>
    <x v="0"/>
    <x v="0"/>
    <x v="0"/>
    <x v="1"/>
    <x v="5"/>
    <s v="DE4-W_A"/>
    <x v="1"/>
    <x v="6"/>
    <x v="49"/>
    <x v="0"/>
    <x v="9"/>
    <n v="-9168"/>
    <n v="-3346320"/>
    <n v="-12046752"/>
  </r>
  <r>
    <x v="0"/>
    <x v="0"/>
    <x v="0"/>
    <x v="1"/>
    <x v="5"/>
    <s v="DE4-W_A"/>
    <x v="1"/>
    <x v="6"/>
    <x v="49"/>
    <x v="0"/>
    <x v="10"/>
    <n v="-9168"/>
    <n v="-3346320"/>
    <n v="-12046752"/>
  </r>
  <r>
    <x v="0"/>
    <x v="0"/>
    <x v="0"/>
    <x v="1"/>
    <x v="5"/>
    <s v="DE4-W_A"/>
    <x v="1"/>
    <x v="6"/>
    <x v="49"/>
    <x v="0"/>
    <x v="11"/>
    <n v="-9168"/>
    <n v="-3346320"/>
    <n v="-12046752"/>
  </r>
  <r>
    <x v="0"/>
    <x v="0"/>
    <x v="0"/>
    <x v="1"/>
    <x v="5"/>
    <s v="DE4-W_A"/>
    <x v="1"/>
    <x v="6"/>
    <x v="49"/>
    <x v="0"/>
    <x v="12"/>
    <n v="-9168"/>
    <n v="-3346320"/>
    <n v="-12046752"/>
  </r>
  <r>
    <x v="0"/>
    <x v="0"/>
    <x v="0"/>
    <x v="1"/>
    <x v="5"/>
    <s v="DE4-W_A"/>
    <x v="1"/>
    <x v="6"/>
    <x v="49"/>
    <x v="0"/>
    <x v="13"/>
    <n v="-9168"/>
    <n v="-3346320"/>
    <n v="-12046752"/>
  </r>
  <r>
    <x v="0"/>
    <x v="0"/>
    <x v="0"/>
    <x v="1"/>
    <x v="5"/>
    <s v="DE4-W_A"/>
    <x v="1"/>
    <x v="6"/>
    <x v="49"/>
    <x v="0"/>
    <x v="14"/>
    <n v="-9168"/>
    <n v="-3346320"/>
    <n v="-12046752"/>
  </r>
  <r>
    <x v="0"/>
    <x v="0"/>
    <x v="0"/>
    <x v="1"/>
    <x v="5"/>
    <s v="DE4-W_A"/>
    <x v="1"/>
    <x v="6"/>
    <x v="49"/>
    <x v="0"/>
    <x v="15"/>
    <n v="-9168"/>
    <n v="-3346320"/>
    <n v="-12046752"/>
  </r>
  <r>
    <x v="0"/>
    <x v="0"/>
    <x v="0"/>
    <x v="1"/>
    <x v="5"/>
    <s v="DE4-W_A"/>
    <x v="1"/>
    <x v="6"/>
    <x v="49"/>
    <x v="0"/>
    <x v="16"/>
    <n v="-9168"/>
    <n v="-3346320"/>
    <n v="-12046752"/>
  </r>
  <r>
    <x v="0"/>
    <x v="0"/>
    <x v="0"/>
    <x v="1"/>
    <x v="5"/>
    <s v="DE4-W_A"/>
    <x v="1"/>
    <x v="6"/>
    <x v="49"/>
    <x v="0"/>
    <x v="17"/>
    <n v="-9168"/>
    <n v="-3346320"/>
    <n v="-12046752"/>
  </r>
  <r>
    <x v="0"/>
    <x v="0"/>
    <x v="0"/>
    <x v="1"/>
    <x v="5"/>
    <s v="DE4-W_A"/>
    <x v="1"/>
    <x v="6"/>
    <x v="49"/>
    <x v="0"/>
    <x v="18"/>
    <n v="-9168"/>
    <n v="-3346320"/>
    <n v="-12046752"/>
  </r>
  <r>
    <x v="0"/>
    <x v="0"/>
    <x v="0"/>
    <x v="1"/>
    <x v="5"/>
    <s v="DE4-W_A"/>
    <x v="1"/>
    <x v="6"/>
    <x v="49"/>
    <x v="0"/>
    <x v="19"/>
    <n v="-9168"/>
    <n v="-3346320"/>
    <n v="-12046752"/>
  </r>
  <r>
    <x v="0"/>
    <x v="0"/>
    <x v="0"/>
    <x v="1"/>
    <x v="5"/>
    <s v="DE4-W_A"/>
    <x v="1"/>
    <x v="6"/>
    <x v="49"/>
    <x v="0"/>
    <x v="20"/>
    <n v="-9168"/>
    <n v="-3346320"/>
    <n v="-12046752"/>
  </r>
  <r>
    <x v="0"/>
    <x v="0"/>
    <x v="0"/>
    <x v="1"/>
    <x v="5"/>
    <s v="DE4-W_A"/>
    <x v="1"/>
    <x v="6"/>
    <x v="49"/>
    <x v="0"/>
    <x v="21"/>
    <n v="-9168"/>
    <n v="-3346320"/>
    <n v="-12046752"/>
  </r>
  <r>
    <x v="0"/>
    <x v="0"/>
    <x v="0"/>
    <x v="1"/>
    <x v="5"/>
    <s v="DE4-W_A"/>
    <x v="1"/>
    <x v="6"/>
    <x v="49"/>
    <x v="0"/>
    <x v="22"/>
    <n v="-9168"/>
    <n v="-3346320"/>
    <n v="-12046752"/>
  </r>
  <r>
    <x v="0"/>
    <x v="0"/>
    <x v="0"/>
    <x v="1"/>
    <x v="5"/>
    <s v="DE4-W_A"/>
    <x v="1"/>
    <x v="6"/>
    <x v="49"/>
    <x v="0"/>
    <x v="23"/>
    <n v="-9168"/>
    <n v="-3346320"/>
    <n v="-12046752"/>
  </r>
  <r>
    <x v="0"/>
    <x v="0"/>
    <x v="0"/>
    <x v="1"/>
    <x v="5"/>
    <s v="DE4-W_A"/>
    <x v="9"/>
    <x v="2"/>
    <x v="50"/>
    <x v="0"/>
    <x v="0"/>
    <n v="786.5"/>
    <n v="287072.5"/>
    <n v="1033461"/>
  </r>
  <r>
    <x v="0"/>
    <x v="0"/>
    <x v="0"/>
    <x v="1"/>
    <x v="5"/>
    <s v="DE4-W_A"/>
    <x v="9"/>
    <x v="2"/>
    <x v="50"/>
    <x v="0"/>
    <x v="1"/>
    <n v="786.5"/>
    <n v="287072.5"/>
    <n v="1033461"/>
  </r>
  <r>
    <x v="0"/>
    <x v="0"/>
    <x v="0"/>
    <x v="1"/>
    <x v="5"/>
    <s v="DE4-W_A"/>
    <x v="9"/>
    <x v="2"/>
    <x v="50"/>
    <x v="0"/>
    <x v="2"/>
    <n v="786.5"/>
    <n v="287072.5"/>
    <n v="1033461"/>
  </r>
  <r>
    <x v="0"/>
    <x v="0"/>
    <x v="0"/>
    <x v="1"/>
    <x v="5"/>
    <s v="DE4-W_A"/>
    <x v="9"/>
    <x v="2"/>
    <x v="50"/>
    <x v="0"/>
    <x v="3"/>
    <n v="786.5"/>
    <n v="287072.5"/>
    <n v="1033461"/>
  </r>
  <r>
    <x v="0"/>
    <x v="0"/>
    <x v="0"/>
    <x v="1"/>
    <x v="5"/>
    <s v="DE4-W_A"/>
    <x v="9"/>
    <x v="2"/>
    <x v="50"/>
    <x v="0"/>
    <x v="4"/>
    <n v="786.5"/>
    <n v="287072.5"/>
    <n v="1033461"/>
  </r>
  <r>
    <x v="0"/>
    <x v="0"/>
    <x v="0"/>
    <x v="1"/>
    <x v="5"/>
    <s v="DE4-W_A"/>
    <x v="9"/>
    <x v="2"/>
    <x v="50"/>
    <x v="0"/>
    <x v="5"/>
    <n v="786.5"/>
    <n v="287072.5"/>
    <n v="1033461"/>
  </r>
  <r>
    <x v="0"/>
    <x v="0"/>
    <x v="0"/>
    <x v="1"/>
    <x v="5"/>
    <s v="DE4-W_A"/>
    <x v="9"/>
    <x v="2"/>
    <x v="50"/>
    <x v="0"/>
    <x v="6"/>
    <n v="786.5"/>
    <n v="287072.5"/>
    <n v="1033461"/>
  </r>
  <r>
    <x v="0"/>
    <x v="0"/>
    <x v="0"/>
    <x v="1"/>
    <x v="5"/>
    <s v="DE4-W_A"/>
    <x v="9"/>
    <x v="2"/>
    <x v="50"/>
    <x v="0"/>
    <x v="7"/>
    <n v="786.5"/>
    <n v="287072.5"/>
    <n v="1033461"/>
  </r>
  <r>
    <x v="0"/>
    <x v="0"/>
    <x v="0"/>
    <x v="1"/>
    <x v="5"/>
    <s v="DE4-W_A"/>
    <x v="9"/>
    <x v="2"/>
    <x v="50"/>
    <x v="0"/>
    <x v="8"/>
    <n v="786.5"/>
    <n v="287072.5"/>
    <n v="1033461"/>
  </r>
  <r>
    <x v="0"/>
    <x v="0"/>
    <x v="0"/>
    <x v="1"/>
    <x v="5"/>
    <s v="DE4-W_A"/>
    <x v="9"/>
    <x v="2"/>
    <x v="50"/>
    <x v="0"/>
    <x v="9"/>
    <n v="786.5"/>
    <n v="287072.5"/>
    <n v="1033461"/>
  </r>
  <r>
    <x v="0"/>
    <x v="0"/>
    <x v="0"/>
    <x v="1"/>
    <x v="5"/>
    <s v="DE4-W_A"/>
    <x v="9"/>
    <x v="2"/>
    <x v="50"/>
    <x v="0"/>
    <x v="10"/>
    <n v="786.5"/>
    <n v="287072.5"/>
    <n v="1033461"/>
  </r>
  <r>
    <x v="0"/>
    <x v="0"/>
    <x v="0"/>
    <x v="1"/>
    <x v="5"/>
    <s v="DE4-W_A"/>
    <x v="9"/>
    <x v="2"/>
    <x v="50"/>
    <x v="0"/>
    <x v="11"/>
    <n v="786.5"/>
    <n v="287072.5"/>
    <n v="1033461"/>
  </r>
  <r>
    <x v="0"/>
    <x v="0"/>
    <x v="0"/>
    <x v="1"/>
    <x v="5"/>
    <s v="DE4-W_A"/>
    <x v="9"/>
    <x v="2"/>
    <x v="50"/>
    <x v="0"/>
    <x v="12"/>
    <n v="786.5"/>
    <n v="287072.5"/>
    <n v="1033461"/>
  </r>
  <r>
    <x v="0"/>
    <x v="0"/>
    <x v="0"/>
    <x v="1"/>
    <x v="5"/>
    <s v="DE4-W_A"/>
    <x v="9"/>
    <x v="2"/>
    <x v="50"/>
    <x v="0"/>
    <x v="13"/>
    <n v="786.5"/>
    <n v="287072.5"/>
    <n v="1033461"/>
  </r>
  <r>
    <x v="0"/>
    <x v="0"/>
    <x v="0"/>
    <x v="1"/>
    <x v="5"/>
    <s v="DE4-W_A"/>
    <x v="9"/>
    <x v="2"/>
    <x v="50"/>
    <x v="0"/>
    <x v="14"/>
    <n v="786.5"/>
    <n v="287072.5"/>
    <n v="1033461"/>
  </r>
  <r>
    <x v="0"/>
    <x v="0"/>
    <x v="0"/>
    <x v="1"/>
    <x v="5"/>
    <s v="DE4-W_A"/>
    <x v="9"/>
    <x v="2"/>
    <x v="50"/>
    <x v="0"/>
    <x v="15"/>
    <n v="786.5"/>
    <n v="287072.5"/>
    <n v="1033461"/>
  </r>
  <r>
    <x v="0"/>
    <x v="0"/>
    <x v="0"/>
    <x v="1"/>
    <x v="5"/>
    <s v="DE4-W_A"/>
    <x v="9"/>
    <x v="2"/>
    <x v="50"/>
    <x v="0"/>
    <x v="16"/>
    <n v="786.5"/>
    <n v="287072.5"/>
    <n v="1033461"/>
  </r>
  <r>
    <x v="0"/>
    <x v="0"/>
    <x v="0"/>
    <x v="1"/>
    <x v="5"/>
    <s v="DE4-W_A"/>
    <x v="9"/>
    <x v="2"/>
    <x v="50"/>
    <x v="0"/>
    <x v="17"/>
    <n v="786.5"/>
    <n v="287072.5"/>
    <n v="1033461"/>
  </r>
  <r>
    <x v="0"/>
    <x v="0"/>
    <x v="0"/>
    <x v="1"/>
    <x v="5"/>
    <s v="DE4-W_A"/>
    <x v="9"/>
    <x v="2"/>
    <x v="50"/>
    <x v="0"/>
    <x v="18"/>
    <n v="786.5"/>
    <n v="287072.5"/>
    <n v="1033461"/>
  </r>
  <r>
    <x v="0"/>
    <x v="0"/>
    <x v="0"/>
    <x v="1"/>
    <x v="5"/>
    <s v="DE4-W_A"/>
    <x v="9"/>
    <x v="2"/>
    <x v="50"/>
    <x v="0"/>
    <x v="19"/>
    <n v="786.5"/>
    <n v="287072.5"/>
    <n v="1033461"/>
  </r>
  <r>
    <x v="0"/>
    <x v="0"/>
    <x v="0"/>
    <x v="1"/>
    <x v="5"/>
    <s v="DE4-W_A"/>
    <x v="9"/>
    <x v="2"/>
    <x v="50"/>
    <x v="0"/>
    <x v="20"/>
    <n v="786.5"/>
    <n v="287072.5"/>
    <n v="1033461"/>
  </r>
  <r>
    <x v="0"/>
    <x v="0"/>
    <x v="0"/>
    <x v="1"/>
    <x v="5"/>
    <s v="DE4-W_A"/>
    <x v="9"/>
    <x v="2"/>
    <x v="50"/>
    <x v="0"/>
    <x v="21"/>
    <n v="786.5"/>
    <n v="287072.5"/>
    <n v="1033461"/>
  </r>
  <r>
    <x v="0"/>
    <x v="0"/>
    <x v="0"/>
    <x v="1"/>
    <x v="5"/>
    <s v="DE4-W_A"/>
    <x v="9"/>
    <x v="2"/>
    <x v="50"/>
    <x v="0"/>
    <x v="22"/>
    <n v="786.5"/>
    <n v="287072.5"/>
    <n v="1033461"/>
  </r>
  <r>
    <x v="0"/>
    <x v="0"/>
    <x v="0"/>
    <x v="1"/>
    <x v="5"/>
    <s v="DE4-W_A"/>
    <x v="9"/>
    <x v="2"/>
    <x v="50"/>
    <x v="0"/>
    <x v="23"/>
    <n v="786.5"/>
    <n v="287072.5"/>
    <n v="1033461"/>
  </r>
  <r>
    <x v="0"/>
    <x v="0"/>
    <x v="0"/>
    <x v="1"/>
    <x v="5"/>
    <s v="DE4-W_A"/>
    <x v="9"/>
    <x v="2"/>
    <x v="51"/>
    <x v="0"/>
    <x v="0"/>
    <n v="3286.7"/>
    <n v="1199645.5"/>
    <n v="4318723.8"/>
  </r>
  <r>
    <x v="0"/>
    <x v="0"/>
    <x v="0"/>
    <x v="1"/>
    <x v="5"/>
    <s v="DE4-W_A"/>
    <x v="9"/>
    <x v="2"/>
    <x v="51"/>
    <x v="0"/>
    <x v="1"/>
    <n v="3286.7"/>
    <n v="1199645.5"/>
    <n v="4318723.8"/>
  </r>
  <r>
    <x v="0"/>
    <x v="0"/>
    <x v="0"/>
    <x v="1"/>
    <x v="5"/>
    <s v="DE4-W_A"/>
    <x v="9"/>
    <x v="2"/>
    <x v="51"/>
    <x v="0"/>
    <x v="2"/>
    <n v="3286.7"/>
    <n v="1199645.5"/>
    <n v="4318723.8"/>
  </r>
  <r>
    <x v="0"/>
    <x v="0"/>
    <x v="0"/>
    <x v="1"/>
    <x v="5"/>
    <s v="DE4-W_A"/>
    <x v="9"/>
    <x v="2"/>
    <x v="51"/>
    <x v="0"/>
    <x v="3"/>
    <n v="3286.7"/>
    <n v="1199645.5"/>
    <n v="4318723.8"/>
  </r>
  <r>
    <x v="0"/>
    <x v="0"/>
    <x v="0"/>
    <x v="1"/>
    <x v="5"/>
    <s v="DE4-W_A"/>
    <x v="9"/>
    <x v="2"/>
    <x v="51"/>
    <x v="0"/>
    <x v="4"/>
    <n v="3286.7"/>
    <n v="1199645.5"/>
    <n v="4318723.8"/>
  </r>
  <r>
    <x v="0"/>
    <x v="0"/>
    <x v="0"/>
    <x v="1"/>
    <x v="5"/>
    <s v="DE4-W_A"/>
    <x v="9"/>
    <x v="2"/>
    <x v="51"/>
    <x v="0"/>
    <x v="5"/>
    <n v="3286.7"/>
    <n v="1199645.5"/>
    <n v="4318723.8"/>
  </r>
  <r>
    <x v="0"/>
    <x v="0"/>
    <x v="0"/>
    <x v="1"/>
    <x v="5"/>
    <s v="DE4-W_A"/>
    <x v="9"/>
    <x v="2"/>
    <x v="51"/>
    <x v="0"/>
    <x v="6"/>
    <n v="3286.7"/>
    <n v="1199645.5"/>
    <n v="4318723.8"/>
  </r>
  <r>
    <x v="0"/>
    <x v="0"/>
    <x v="0"/>
    <x v="1"/>
    <x v="5"/>
    <s v="DE4-W_A"/>
    <x v="9"/>
    <x v="2"/>
    <x v="51"/>
    <x v="0"/>
    <x v="7"/>
    <n v="3286.7"/>
    <n v="1199645.5"/>
    <n v="4318723.8"/>
  </r>
  <r>
    <x v="0"/>
    <x v="0"/>
    <x v="0"/>
    <x v="1"/>
    <x v="5"/>
    <s v="DE4-W_A"/>
    <x v="9"/>
    <x v="2"/>
    <x v="51"/>
    <x v="0"/>
    <x v="8"/>
    <n v="3286.7"/>
    <n v="1199645.5"/>
    <n v="4318723.8"/>
  </r>
  <r>
    <x v="0"/>
    <x v="0"/>
    <x v="0"/>
    <x v="1"/>
    <x v="5"/>
    <s v="DE4-W_A"/>
    <x v="9"/>
    <x v="2"/>
    <x v="51"/>
    <x v="0"/>
    <x v="9"/>
    <n v="3286.7"/>
    <n v="1199645.5"/>
    <n v="4318723.8"/>
  </r>
  <r>
    <x v="0"/>
    <x v="0"/>
    <x v="0"/>
    <x v="1"/>
    <x v="5"/>
    <s v="DE4-W_A"/>
    <x v="9"/>
    <x v="2"/>
    <x v="51"/>
    <x v="0"/>
    <x v="10"/>
    <n v="3286.7"/>
    <n v="1199645.5"/>
    <n v="4318723.8"/>
  </r>
  <r>
    <x v="0"/>
    <x v="0"/>
    <x v="0"/>
    <x v="1"/>
    <x v="5"/>
    <s v="DE4-W_A"/>
    <x v="9"/>
    <x v="2"/>
    <x v="51"/>
    <x v="0"/>
    <x v="11"/>
    <n v="3286.7"/>
    <n v="1199645.5"/>
    <n v="4318723.8"/>
  </r>
  <r>
    <x v="0"/>
    <x v="0"/>
    <x v="0"/>
    <x v="1"/>
    <x v="5"/>
    <s v="DE4-W_A"/>
    <x v="9"/>
    <x v="2"/>
    <x v="51"/>
    <x v="0"/>
    <x v="12"/>
    <n v="3286.7"/>
    <n v="1199645.5"/>
    <n v="4318723.8"/>
  </r>
  <r>
    <x v="0"/>
    <x v="0"/>
    <x v="0"/>
    <x v="1"/>
    <x v="5"/>
    <s v="DE4-W_A"/>
    <x v="9"/>
    <x v="2"/>
    <x v="51"/>
    <x v="0"/>
    <x v="13"/>
    <n v="3286.7"/>
    <n v="1199645.5"/>
    <n v="4318723.8"/>
  </r>
  <r>
    <x v="0"/>
    <x v="0"/>
    <x v="0"/>
    <x v="1"/>
    <x v="5"/>
    <s v="DE4-W_A"/>
    <x v="9"/>
    <x v="2"/>
    <x v="51"/>
    <x v="0"/>
    <x v="14"/>
    <n v="3286.7"/>
    <n v="1199645.5"/>
    <n v="4318723.8"/>
  </r>
  <r>
    <x v="0"/>
    <x v="0"/>
    <x v="0"/>
    <x v="1"/>
    <x v="5"/>
    <s v="DE4-W_A"/>
    <x v="9"/>
    <x v="2"/>
    <x v="51"/>
    <x v="0"/>
    <x v="15"/>
    <n v="3286.7"/>
    <n v="1199645.5"/>
    <n v="4318723.8"/>
  </r>
  <r>
    <x v="0"/>
    <x v="0"/>
    <x v="0"/>
    <x v="1"/>
    <x v="5"/>
    <s v="DE4-W_A"/>
    <x v="9"/>
    <x v="2"/>
    <x v="51"/>
    <x v="0"/>
    <x v="16"/>
    <n v="3286.7"/>
    <n v="1199645.5"/>
    <n v="4318723.8"/>
  </r>
  <r>
    <x v="0"/>
    <x v="0"/>
    <x v="0"/>
    <x v="1"/>
    <x v="5"/>
    <s v="DE4-W_A"/>
    <x v="9"/>
    <x v="2"/>
    <x v="51"/>
    <x v="0"/>
    <x v="17"/>
    <n v="3286.7"/>
    <n v="1199645.5"/>
    <n v="4318723.8"/>
  </r>
  <r>
    <x v="0"/>
    <x v="0"/>
    <x v="0"/>
    <x v="1"/>
    <x v="5"/>
    <s v="DE4-W_A"/>
    <x v="9"/>
    <x v="2"/>
    <x v="51"/>
    <x v="0"/>
    <x v="18"/>
    <n v="3286.7"/>
    <n v="1199645.5"/>
    <n v="4318723.8"/>
  </r>
  <r>
    <x v="0"/>
    <x v="0"/>
    <x v="0"/>
    <x v="1"/>
    <x v="5"/>
    <s v="DE4-W_A"/>
    <x v="9"/>
    <x v="2"/>
    <x v="51"/>
    <x v="0"/>
    <x v="19"/>
    <n v="3286.7"/>
    <n v="1199645.5"/>
    <n v="4318723.8"/>
  </r>
  <r>
    <x v="0"/>
    <x v="0"/>
    <x v="0"/>
    <x v="1"/>
    <x v="5"/>
    <s v="DE4-W_A"/>
    <x v="9"/>
    <x v="2"/>
    <x v="51"/>
    <x v="0"/>
    <x v="20"/>
    <n v="3286.7"/>
    <n v="1199645.5"/>
    <n v="4318723.8"/>
  </r>
  <r>
    <x v="0"/>
    <x v="0"/>
    <x v="0"/>
    <x v="1"/>
    <x v="5"/>
    <s v="DE4-W_A"/>
    <x v="9"/>
    <x v="2"/>
    <x v="51"/>
    <x v="0"/>
    <x v="21"/>
    <n v="3286.7"/>
    <n v="1199645.5"/>
    <n v="4318723.8"/>
  </r>
  <r>
    <x v="0"/>
    <x v="0"/>
    <x v="0"/>
    <x v="1"/>
    <x v="5"/>
    <s v="DE4-W_A"/>
    <x v="9"/>
    <x v="2"/>
    <x v="51"/>
    <x v="0"/>
    <x v="22"/>
    <n v="3286.7"/>
    <n v="1199645.5"/>
    <n v="4318723.8"/>
  </r>
  <r>
    <x v="0"/>
    <x v="0"/>
    <x v="0"/>
    <x v="1"/>
    <x v="5"/>
    <s v="DE4-W_A"/>
    <x v="9"/>
    <x v="2"/>
    <x v="51"/>
    <x v="0"/>
    <x v="23"/>
    <n v="3286.7"/>
    <n v="1199645.5"/>
    <n v="4318723.8"/>
  </r>
  <r>
    <x v="0"/>
    <x v="0"/>
    <x v="0"/>
    <x v="1"/>
    <x v="5"/>
    <s v="DE4-W_A"/>
    <x v="9"/>
    <x v="7"/>
    <x v="52"/>
    <x v="0"/>
    <x v="0"/>
    <n v="4539"/>
    <n v="1656735"/>
    <n v="5964246"/>
  </r>
  <r>
    <x v="0"/>
    <x v="0"/>
    <x v="0"/>
    <x v="1"/>
    <x v="5"/>
    <s v="DE4-W_A"/>
    <x v="9"/>
    <x v="7"/>
    <x v="52"/>
    <x v="0"/>
    <x v="1"/>
    <n v="4539"/>
    <n v="1656735"/>
    <n v="5964246"/>
  </r>
  <r>
    <x v="0"/>
    <x v="0"/>
    <x v="0"/>
    <x v="1"/>
    <x v="5"/>
    <s v="DE4-W_A"/>
    <x v="9"/>
    <x v="7"/>
    <x v="52"/>
    <x v="0"/>
    <x v="2"/>
    <n v="4539"/>
    <n v="1656735"/>
    <n v="5964246"/>
  </r>
  <r>
    <x v="0"/>
    <x v="0"/>
    <x v="0"/>
    <x v="1"/>
    <x v="5"/>
    <s v="DE4-W_A"/>
    <x v="9"/>
    <x v="7"/>
    <x v="52"/>
    <x v="0"/>
    <x v="3"/>
    <n v="4539"/>
    <n v="1656735"/>
    <n v="5964246"/>
  </r>
  <r>
    <x v="0"/>
    <x v="0"/>
    <x v="0"/>
    <x v="1"/>
    <x v="5"/>
    <s v="DE4-W_A"/>
    <x v="9"/>
    <x v="7"/>
    <x v="52"/>
    <x v="0"/>
    <x v="4"/>
    <n v="4539"/>
    <n v="1656735"/>
    <n v="5964246"/>
  </r>
  <r>
    <x v="0"/>
    <x v="0"/>
    <x v="0"/>
    <x v="1"/>
    <x v="5"/>
    <s v="DE4-W_A"/>
    <x v="9"/>
    <x v="7"/>
    <x v="52"/>
    <x v="0"/>
    <x v="5"/>
    <n v="4539"/>
    <n v="1656735"/>
    <n v="5964246"/>
  </r>
  <r>
    <x v="0"/>
    <x v="0"/>
    <x v="0"/>
    <x v="1"/>
    <x v="5"/>
    <s v="DE4-W_A"/>
    <x v="9"/>
    <x v="7"/>
    <x v="52"/>
    <x v="0"/>
    <x v="6"/>
    <n v="4539"/>
    <n v="1656735"/>
    <n v="5964246"/>
  </r>
  <r>
    <x v="0"/>
    <x v="0"/>
    <x v="0"/>
    <x v="1"/>
    <x v="5"/>
    <s v="DE4-W_A"/>
    <x v="9"/>
    <x v="7"/>
    <x v="52"/>
    <x v="0"/>
    <x v="7"/>
    <n v="4539"/>
    <n v="1656735"/>
    <n v="5964246"/>
  </r>
  <r>
    <x v="0"/>
    <x v="0"/>
    <x v="0"/>
    <x v="1"/>
    <x v="5"/>
    <s v="DE4-W_A"/>
    <x v="9"/>
    <x v="7"/>
    <x v="52"/>
    <x v="0"/>
    <x v="8"/>
    <n v="4539"/>
    <n v="1656735"/>
    <n v="5964246"/>
  </r>
  <r>
    <x v="0"/>
    <x v="0"/>
    <x v="0"/>
    <x v="1"/>
    <x v="5"/>
    <s v="DE4-W_A"/>
    <x v="9"/>
    <x v="7"/>
    <x v="52"/>
    <x v="0"/>
    <x v="9"/>
    <n v="4539"/>
    <n v="1656735"/>
    <n v="5964246"/>
  </r>
  <r>
    <x v="0"/>
    <x v="0"/>
    <x v="0"/>
    <x v="1"/>
    <x v="5"/>
    <s v="DE4-W_A"/>
    <x v="9"/>
    <x v="7"/>
    <x v="52"/>
    <x v="0"/>
    <x v="10"/>
    <n v="4539"/>
    <n v="1656735"/>
    <n v="5964246"/>
  </r>
  <r>
    <x v="0"/>
    <x v="0"/>
    <x v="0"/>
    <x v="1"/>
    <x v="5"/>
    <s v="DE4-W_A"/>
    <x v="9"/>
    <x v="7"/>
    <x v="52"/>
    <x v="0"/>
    <x v="11"/>
    <n v="4539"/>
    <n v="1656735"/>
    <n v="5964246"/>
  </r>
  <r>
    <x v="0"/>
    <x v="0"/>
    <x v="0"/>
    <x v="1"/>
    <x v="5"/>
    <s v="DE4-W_A"/>
    <x v="9"/>
    <x v="7"/>
    <x v="52"/>
    <x v="0"/>
    <x v="12"/>
    <n v="4539"/>
    <n v="1656735"/>
    <n v="5964246"/>
  </r>
  <r>
    <x v="0"/>
    <x v="0"/>
    <x v="0"/>
    <x v="1"/>
    <x v="5"/>
    <s v="DE4-W_A"/>
    <x v="9"/>
    <x v="7"/>
    <x v="52"/>
    <x v="0"/>
    <x v="13"/>
    <n v="4539"/>
    <n v="1656735"/>
    <n v="5964246"/>
  </r>
  <r>
    <x v="0"/>
    <x v="0"/>
    <x v="0"/>
    <x v="1"/>
    <x v="5"/>
    <s v="DE4-W_A"/>
    <x v="9"/>
    <x v="7"/>
    <x v="52"/>
    <x v="0"/>
    <x v="14"/>
    <n v="4539"/>
    <n v="1656735"/>
    <n v="5964246"/>
  </r>
  <r>
    <x v="0"/>
    <x v="0"/>
    <x v="0"/>
    <x v="1"/>
    <x v="5"/>
    <s v="DE4-W_A"/>
    <x v="9"/>
    <x v="7"/>
    <x v="52"/>
    <x v="0"/>
    <x v="15"/>
    <n v="4539"/>
    <n v="1656735"/>
    <n v="5964246"/>
  </r>
  <r>
    <x v="0"/>
    <x v="0"/>
    <x v="0"/>
    <x v="1"/>
    <x v="5"/>
    <s v="DE4-W_A"/>
    <x v="9"/>
    <x v="7"/>
    <x v="52"/>
    <x v="0"/>
    <x v="16"/>
    <n v="4539"/>
    <n v="1656735"/>
    <n v="5964246"/>
  </r>
  <r>
    <x v="0"/>
    <x v="0"/>
    <x v="0"/>
    <x v="1"/>
    <x v="5"/>
    <s v="DE4-W_A"/>
    <x v="9"/>
    <x v="7"/>
    <x v="52"/>
    <x v="0"/>
    <x v="17"/>
    <n v="4539"/>
    <n v="1656735"/>
    <n v="5964246"/>
  </r>
  <r>
    <x v="0"/>
    <x v="0"/>
    <x v="0"/>
    <x v="1"/>
    <x v="5"/>
    <s v="DE4-W_A"/>
    <x v="9"/>
    <x v="7"/>
    <x v="52"/>
    <x v="0"/>
    <x v="18"/>
    <n v="4539"/>
    <n v="1656735"/>
    <n v="5964246"/>
  </r>
  <r>
    <x v="0"/>
    <x v="0"/>
    <x v="0"/>
    <x v="1"/>
    <x v="5"/>
    <s v="DE4-W_A"/>
    <x v="9"/>
    <x v="7"/>
    <x v="52"/>
    <x v="0"/>
    <x v="19"/>
    <n v="4539"/>
    <n v="1656735"/>
    <n v="5964246"/>
  </r>
  <r>
    <x v="0"/>
    <x v="0"/>
    <x v="0"/>
    <x v="1"/>
    <x v="5"/>
    <s v="DE4-W_A"/>
    <x v="9"/>
    <x v="7"/>
    <x v="52"/>
    <x v="0"/>
    <x v="20"/>
    <n v="4539"/>
    <n v="1656735"/>
    <n v="5964246"/>
  </r>
  <r>
    <x v="0"/>
    <x v="0"/>
    <x v="0"/>
    <x v="1"/>
    <x v="5"/>
    <s v="DE4-W_A"/>
    <x v="9"/>
    <x v="7"/>
    <x v="52"/>
    <x v="0"/>
    <x v="21"/>
    <n v="4539"/>
    <n v="1656735"/>
    <n v="5964246"/>
  </r>
  <r>
    <x v="0"/>
    <x v="0"/>
    <x v="0"/>
    <x v="1"/>
    <x v="5"/>
    <s v="DE4-W_A"/>
    <x v="9"/>
    <x v="7"/>
    <x v="52"/>
    <x v="0"/>
    <x v="22"/>
    <n v="4539"/>
    <n v="1656735"/>
    <n v="5964246"/>
  </r>
  <r>
    <x v="0"/>
    <x v="0"/>
    <x v="0"/>
    <x v="1"/>
    <x v="5"/>
    <s v="DE4-W_A"/>
    <x v="9"/>
    <x v="7"/>
    <x v="52"/>
    <x v="0"/>
    <x v="23"/>
    <n v="4539"/>
    <n v="1656735"/>
    <n v="5964246"/>
  </r>
  <r>
    <x v="0"/>
    <x v="0"/>
    <x v="0"/>
    <x v="1"/>
    <x v="5"/>
    <s v="DE4-W_A"/>
    <x v="9"/>
    <x v="7"/>
    <x v="53"/>
    <x v="0"/>
    <x v="0"/>
    <n v="4030"/>
    <n v="1470950"/>
    <n v="5295420"/>
  </r>
  <r>
    <x v="0"/>
    <x v="0"/>
    <x v="0"/>
    <x v="1"/>
    <x v="5"/>
    <s v="DE4-W_A"/>
    <x v="9"/>
    <x v="7"/>
    <x v="53"/>
    <x v="0"/>
    <x v="1"/>
    <n v="4030"/>
    <n v="1470950"/>
    <n v="5295420"/>
  </r>
  <r>
    <x v="0"/>
    <x v="0"/>
    <x v="0"/>
    <x v="1"/>
    <x v="5"/>
    <s v="DE4-W_A"/>
    <x v="9"/>
    <x v="7"/>
    <x v="53"/>
    <x v="0"/>
    <x v="2"/>
    <n v="4030"/>
    <n v="1470950"/>
    <n v="5295420"/>
  </r>
  <r>
    <x v="0"/>
    <x v="0"/>
    <x v="0"/>
    <x v="1"/>
    <x v="5"/>
    <s v="DE4-W_A"/>
    <x v="9"/>
    <x v="7"/>
    <x v="53"/>
    <x v="0"/>
    <x v="3"/>
    <n v="4030"/>
    <n v="1470950"/>
    <n v="5295420"/>
  </r>
  <r>
    <x v="0"/>
    <x v="0"/>
    <x v="0"/>
    <x v="1"/>
    <x v="5"/>
    <s v="DE4-W_A"/>
    <x v="9"/>
    <x v="7"/>
    <x v="53"/>
    <x v="0"/>
    <x v="4"/>
    <n v="4030"/>
    <n v="1470950"/>
    <n v="5295420"/>
  </r>
  <r>
    <x v="0"/>
    <x v="0"/>
    <x v="0"/>
    <x v="1"/>
    <x v="5"/>
    <s v="DE4-W_A"/>
    <x v="9"/>
    <x v="7"/>
    <x v="53"/>
    <x v="0"/>
    <x v="5"/>
    <n v="4030"/>
    <n v="1470950"/>
    <n v="5295420"/>
  </r>
  <r>
    <x v="0"/>
    <x v="0"/>
    <x v="0"/>
    <x v="1"/>
    <x v="5"/>
    <s v="DE4-W_A"/>
    <x v="9"/>
    <x v="7"/>
    <x v="53"/>
    <x v="0"/>
    <x v="6"/>
    <n v="4030"/>
    <n v="1470950"/>
    <n v="5295420"/>
  </r>
  <r>
    <x v="0"/>
    <x v="0"/>
    <x v="0"/>
    <x v="1"/>
    <x v="5"/>
    <s v="DE4-W_A"/>
    <x v="9"/>
    <x v="7"/>
    <x v="53"/>
    <x v="0"/>
    <x v="7"/>
    <n v="4030"/>
    <n v="1470950"/>
    <n v="5295420"/>
  </r>
  <r>
    <x v="0"/>
    <x v="0"/>
    <x v="0"/>
    <x v="1"/>
    <x v="5"/>
    <s v="DE4-W_A"/>
    <x v="9"/>
    <x v="7"/>
    <x v="53"/>
    <x v="0"/>
    <x v="8"/>
    <n v="4030"/>
    <n v="1470950"/>
    <n v="5295420"/>
  </r>
  <r>
    <x v="0"/>
    <x v="0"/>
    <x v="0"/>
    <x v="1"/>
    <x v="5"/>
    <s v="DE4-W_A"/>
    <x v="9"/>
    <x v="7"/>
    <x v="53"/>
    <x v="0"/>
    <x v="9"/>
    <n v="4030"/>
    <n v="1470950"/>
    <n v="5295420"/>
  </r>
  <r>
    <x v="0"/>
    <x v="0"/>
    <x v="0"/>
    <x v="1"/>
    <x v="5"/>
    <s v="DE4-W_A"/>
    <x v="9"/>
    <x v="7"/>
    <x v="53"/>
    <x v="0"/>
    <x v="10"/>
    <n v="4030"/>
    <n v="1470950"/>
    <n v="5295420"/>
  </r>
  <r>
    <x v="0"/>
    <x v="0"/>
    <x v="0"/>
    <x v="1"/>
    <x v="5"/>
    <s v="DE4-W_A"/>
    <x v="9"/>
    <x v="7"/>
    <x v="53"/>
    <x v="0"/>
    <x v="11"/>
    <n v="4030"/>
    <n v="1470950"/>
    <n v="5295420"/>
  </r>
  <r>
    <x v="0"/>
    <x v="0"/>
    <x v="0"/>
    <x v="1"/>
    <x v="5"/>
    <s v="DE4-W_A"/>
    <x v="9"/>
    <x v="7"/>
    <x v="53"/>
    <x v="0"/>
    <x v="12"/>
    <n v="4030"/>
    <n v="1470950"/>
    <n v="5295420"/>
  </r>
  <r>
    <x v="0"/>
    <x v="0"/>
    <x v="0"/>
    <x v="1"/>
    <x v="5"/>
    <s v="DE4-W_A"/>
    <x v="9"/>
    <x v="7"/>
    <x v="53"/>
    <x v="0"/>
    <x v="13"/>
    <n v="4030"/>
    <n v="1470950"/>
    <n v="5295420"/>
  </r>
  <r>
    <x v="0"/>
    <x v="0"/>
    <x v="0"/>
    <x v="1"/>
    <x v="5"/>
    <s v="DE4-W_A"/>
    <x v="9"/>
    <x v="7"/>
    <x v="53"/>
    <x v="0"/>
    <x v="14"/>
    <n v="4030"/>
    <n v="1470950"/>
    <n v="5295420"/>
  </r>
  <r>
    <x v="0"/>
    <x v="0"/>
    <x v="0"/>
    <x v="1"/>
    <x v="5"/>
    <s v="DE4-W_A"/>
    <x v="9"/>
    <x v="7"/>
    <x v="53"/>
    <x v="0"/>
    <x v="15"/>
    <n v="4030"/>
    <n v="1470950"/>
    <n v="5295420"/>
  </r>
  <r>
    <x v="0"/>
    <x v="0"/>
    <x v="0"/>
    <x v="1"/>
    <x v="5"/>
    <s v="DE4-W_A"/>
    <x v="9"/>
    <x v="7"/>
    <x v="53"/>
    <x v="0"/>
    <x v="16"/>
    <n v="4030"/>
    <n v="1470950"/>
    <n v="5295420"/>
  </r>
  <r>
    <x v="0"/>
    <x v="0"/>
    <x v="0"/>
    <x v="1"/>
    <x v="5"/>
    <s v="DE4-W_A"/>
    <x v="9"/>
    <x v="7"/>
    <x v="53"/>
    <x v="0"/>
    <x v="17"/>
    <n v="4030"/>
    <n v="1470950"/>
    <n v="5295420"/>
  </r>
  <r>
    <x v="0"/>
    <x v="0"/>
    <x v="0"/>
    <x v="1"/>
    <x v="5"/>
    <s v="DE4-W_A"/>
    <x v="9"/>
    <x v="7"/>
    <x v="53"/>
    <x v="0"/>
    <x v="18"/>
    <n v="4030"/>
    <n v="1470950"/>
    <n v="5295420"/>
  </r>
  <r>
    <x v="0"/>
    <x v="0"/>
    <x v="0"/>
    <x v="1"/>
    <x v="5"/>
    <s v="DE4-W_A"/>
    <x v="9"/>
    <x v="7"/>
    <x v="53"/>
    <x v="0"/>
    <x v="19"/>
    <n v="4030"/>
    <n v="1470950"/>
    <n v="5295420"/>
  </r>
  <r>
    <x v="0"/>
    <x v="0"/>
    <x v="0"/>
    <x v="1"/>
    <x v="5"/>
    <s v="DE4-W_A"/>
    <x v="9"/>
    <x v="7"/>
    <x v="53"/>
    <x v="0"/>
    <x v="20"/>
    <n v="4030"/>
    <n v="1470950"/>
    <n v="5295420"/>
  </r>
  <r>
    <x v="0"/>
    <x v="0"/>
    <x v="0"/>
    <x v="1"/>
    <x v="5"/>
    <s v="DE4-W_A"/>
    <x v="9"/>
    <x v="7"/>
    <x v="53"/>
    <x v="0"/>
    <x v="21"/>
    <n v="4030"/>
    <n v="1470950"/>
    <n v="5295420"/>
  </r>
  <r>
    <x v="0"/>
    <x v="0"/>
    <x v="0"/>
    <x v="1"/>
    <x v="5"/>
    <s v="DE4-W_A"/>
    <x v="9"/>
    <x v="7"/>
    <x v="53"/>
    <x v="0"/>
    <x v="22"/>
    <n v="4030"/>
    <n v="1470950"/>
    <n v="5295420"/>
  </r>
  <r>
    <x v="0"/>
    <x v="0"/>
    <x v="0"/>
    <x v="1"/>
    <x v="5"/>
    <s v="DE4-W_A"/>
    <x v="9"/>
    <x v="7"/>
    <x v="53"/>
    <x v="0"/>
    <x v="23"/>
    <n v="4030"/>
    <n v="1470950"/>
    <n v="5295420"/>
  </r>
  <r>
    <x v="0"/>
    <x v="0"/>
    <x v="0"/>
    <x v="1"/>
    <x v="5"/>
    <s v="DE4-W_A"/>
    <x v="2"/>
    <x v="7"/>
    <x v="40"/>
    <x v="0"/>
    <x v="0"/>
    <n v="172.8"/>
    <n v="63072"/>
    <n v="227059.20000000001"/>
  </r>
  <r>
    <x v="0"/>
    <x v="0"/>
    <x v="0"/>
    <x v="1"/>
    <x v="5"/>
    <s v="DE4-W_A"/>
    <x v="2"/>
    <x v="7"/>
    <x v="40"/>
    <x v="0"/>
    <x v="1"/>
    <n v="172.8"/>
    <n v="63072"/>
    <n v="227059.20000000001"/>
  </r>
  <r>
    <x v="0"/>
    <x v="0"/>
    <x v="0"/>
    <x v="1"/>
    <x v="5"/>
    <s v="DE4-W_A"/>
    <x v="2"/>
    <x v="7"/>
    <x v="40"/>
    <x v="0"/>
    <x v="2"/>
    <n v="172.8"/>
    <n v="63072"/>
    <n v="227059.20000000001"/>
  </r>
  <r>
    <x v="0"/>
    <x v="0"/>
    <x v="0"/>
    <x v="1"/>
    <x v="5"/>
    <s v="DE4-W_A"/>
    <x v="2"/>
    <x v="7"/>
    <x v="40"/>
    <x v="0"/>
    <x v="3"/>
    <n v="172.8"/>
    <n v="63072"/>
    <n v="227059.20000000001"/>
  </r>
  <r>
    <x v="0"/>
    <x v="0"/>
    <x v="0"/>
    <x v="1"/>
    <x v="5"/>
    <s v="DE4-W_A"/>
    <x v="2"/>
    <x v="7"/>
    <x v="40"/>
    <x v="0"/>
    <x v="4"/>
    <n v="172.8"/>
    <n v="63072"/>
    <n v="227059.20000000001"/>
  </r>
  <r>
    <x v="0"/>
    <x v="0"/>
    <x v="0"/>
    <x v="1"/>
    <x v="5"/>
    <s v="DE4-W_A"/>
    <x v="2"/>
    <x v="7"/>
    <x v="40"/>
    <x v="0"/>
    <x v="5"/>
    <n v="172.8"/>
    <n v="63072"/>
    <n v="227059.20000000001"/>
  </r>
  <r>
    <x v="0"/>
    <x v="0"/>
    <x v="0"/>
    <x v="1"/>
    <x v="5"/>
    <s v="DE4-W_A"/>
    <x v="2"/>
    <x v="7"/>
    <x v="40"/>
    <x v="0"/>
    <x v="6"/>
    <n v="172.8"/>
    <n v="63072"/>
    <n v="227059.20000000001"/>
  </r>
  <r>
    <x v="0"/>
    <x v="0"/>
    <x v="0"/>
    <x v="1"/>
    <x v="5"/>
    <s v="DE4-W_A"/>
    <x v="2"/>
    <x v="7"/>
    <x v="40"/>
    <x v="0"/>
    <x v="7"/>
    <n v="172.8"/>
    <n v="63072"/>
    <n v="227059.20000000001"/>
  </r>
  <r>
    <x v="0"/>
    <x v="0"/>
    <x v="0"/>
    <x v="1"/>
    <x v="5"/>
    <s v="DE4-W_A"/>
    <x v="2"/>
    <x v="7"/>
    <x v="40"/>
    <x v="0"/>
    <x v="8"/>
    <n v="172.8"/>
    <n v="63072"/>
    <n v="227059.20000000001"/>
  </r>
  <r>
    <x v="0"/>
    <x v="0"/>
    <x v="0"/>
    <x v="1"/>
    <x v="5"/>
    <s v="DE4-W_A"/>
    <x v="2"/>
    <x v="7"/>
    <x v="40"/>
    <x v="0"/>
    <x v="9"/>
    <n v="172.8"/>
    <n v="63072"/>
    <n v="227059.20000000001"/>
  </r>
  <r>
    <x v="0"/>
    <x v="0"/>
    <x v="0"/>
    <x v="1"/>
    <x v="5"/>
    <s v="DE4-W_A"/>
    <x v="2"/>
    <x v="7"/>
    <x v="40"/>
    <x v="0"/>
    <x v="10"/>
    <n v="172.8"/>
    <n v="63072"/>
    <n v="227059.20000000001"/>
  </r>
  <r>
    <x v="0"/>
    <x v="0"/>
    <x v="0"/>
    <x v="1"/>
    <x v="5"/>
    <s v="DE4-W_A"/>
    <x v="2"/>
    <x v="7"/>
    <x v="40"/>
    <x v="0"/>
    <x v="11"/>
    <n v="172.8"/>
    <n v="63072"/>
    <n v="227059.20000000001"/>
  </r>
  <r>
    <x v="0"/>
    <x v="0"/>
    <x v="0"/>
    <x v="1"/>
    <x v="5"/>
    <s v="DE4-W_A"/>
    <x v="2"/>
    <x v="7"/>
    <x v="40"/>
    <x v="0"/>
    <x v="12"/>
    <n v="172.8"/>
    <n v="63072"/>
    <n v="227059.20000000001"/>
  </r>
  <r>
    <x v="0"/>
    <x v="0"/>
    <x v="0"/>
    <x v="1"/>
    <x v="5"/>
    <s v="DE4-W_A"/>
    <x v="2"/>
    <x v="7"/>
    <x v="40"/>
    <x v="0"/>
    <x v="13"/>
    <n v="172.8"/>
    <n v="63072"/>
    <n v="227059.20000000001"/>
  </r>
  <r>
    <x v="0"/>
    <x v="0"/>
    <x v="0"/>
    <x v="1"/>
    <x v="5"/>
    <s v="DE4-W_A"/>
    <x v="2"/>
    <x v="7"/>
    <x v="40"/>
    <x v="0"/>
    <x v="14"/>
    <n v="172.8"/>
    <n v="63072"/>
    <n v="227059.20000000001"/>
  </r>
  <r>
    <x v="0"/>
    <x v="0"/>
    <x v="0"/>
    <x v="1"/>
    <x v="5"/>
    <s v="DE4-W_A"/>
    <x v="2"/>
    <x v="7"/>
    <x v="40"/>
    <x v="0"/>
    <x v="15"/>
    <n v="172.8"/>
    <n v="63072"/>
    <n v="227059.20000000001"/>
  </r>
  <r>
    <x v="0"/>
    <x v="0"/>
    <x v="0"/>
    <x v="1"/>
    <x v="5"/>
    <s v="DE4-W_A"/>
    <x v="2"/>
    <x v="7"/>
    <x v="40"/>
    <x v="0"/>
    <x v="16"/>
    <n v="172.8"/>
    <n v="63072"/>
    <n v="227059.20000000001"/>
  </r>
  <r>
    <x v="0"/>
    <x v="0"/>
    <x v="0"/>
    <x v="1"/>
    <x v="5"/>
    <s v="DE4-W_A"/>
    <x v="2"/>
    <x v="7"/>
    <x v="40"/>
    <x v="0"/>
    <x v="17"/>
    <n v="172.8"/>
    <n v="63072"/>
    <n v="227059.20000000001"/>
  </r>
  <r>
    <x v="0"/>
    <x v="0"/>
    <x v="0"/>
    <x v="1"/>
    <x v="5"/>
    <s v="DE4-W_A"/>
    <x v="2"/>
    <x v="7"/>
    <x v="40"/>
    <x v="0"/>
    <x v="18"/>
    <n v="172.8"/>
    <n v="63072"/>
    <n v="227059.20000000001"/>
  </r>
  <r>
    <x v="0"/>
    <x v="0"/>
    <x v="0"/>
    <x v="1"/>
    <x v="5"/>
    <s v="DE4-W_A"/>
    <x v="2"/>
    <x v="7"/>
    <x v="40"/>
    <x v="0"/>
    <x v="19"/>
    <n v="172.8"/>
    <n v="63072"/>
    <n v="227059.20000000001"/>
  </r>
  <r>
    <x v="0"/>
    <x v="0"/>
    <x v="0"/>
    <x v="1"/>
    <x v="5"/>
    <s v="DE4-W_A"/>
    <x v="2"/>
    <x v="7"/>
    <x v="40"/>
    <x v="0"/>
    <x v="20"/>
    <n v="172.8"/>
    <n v="63072"/>
    <n v="227059.20000000001"/>
  </r>
  <r>
    <x v="0"/>
    <x v="0"/>
    <x v="0"/>
    <x v="1"/>
    <x v="5"/>
    <s v="DE4-W_A"/>
    <x v="2"/>
    <x v="7"/>
    <x v="40"/>
    <x v="0"/>
    <x v="21"/>
    <n v="172.8"/>
    <n v="63072"/>
    <n v="227059.20000000001"/>
  </r>
  <r>
    <x v="0"/>
    <x v="0"/>
    <x v="0"/>
    <x v="1"/>
    <x v="5"/>
    <s v="DE4-W_A"/>
    <x v="2"/>
    <x v="7"/>
    <x v="40"/>
    <x v="0"/>
    <x v="22"/>
    <n v="172.8"/>
    <n v="63072"/>
    <n v="227059.20000000001"/>
  </r>
  <r>
    <x v="0"/>
    <x v="0"/>
    <x v="0"/>
    <x v="1"/>
    <x v="5"/>
    <s v="DE4-W_A"/>
    <x v="2"/>
    <x v="7"/>
    <x v="40"/>
    <x v="0"/>
    <x v="23"/>
    <n v="172.8"/>
    <n v="63072"/>
    <n v="227059.20000000001"/>
  </r>
  <r>
    <x v="0"/>
    <x v="0"/>
    <x v="0"/>
    <x v="1"/>
    <x v="5"/>
    <s v="DE4-W_A"/>
    <x v="11"/>
    <x v="7"/>
    <x v="44"/>
    <x v="0"/>
    <x v="0"/>
    <n v="2696"/>
    <n v="984040"/>
    <n v="3542544"/>
  </r>
  <r>
    <x v="0"/>
    <x v="0"/>
    <x v="0"/>
    <x v="1"/>
    <x v="5"/>
    <s v="DE4-W_A"/>
    <x v="11"/>
    <x v="7"/>
    <x v="44"/>
    <x v="0"/>
    <x v="1"/>
    <n v="2696"/>
    <n v="984040"/>
    <n v="3542544"/>
  </r>
  <r>
    <x v="0"/>
    <x v="0"/>
    <x v="0"/>
    <x v="1"/>
    <x v="5"/>
    <s v="DE4-W_A"/>
    <x v="11"/>
    <x v="7"/>
    <x v="44"/>
    <x v="0"/>
    <x v="2"/>
    <n v="2696"/>
    <n v="984040"/>
    <n v="3542544"/>
  </r>
  <r>
    <x v="0"/>
    <x v="0"/>
    <x v="0"/>
    <x v="1"/>
    <x v="5"/>
    <s v="DE4-W_A"/>
    <x v="11"/>
    <x v="7"/>
    <x v="44"/>
    <x v="0"/>
    <x v="3"/>
    <n v="2696"/>
    <n v="984040"/>
    <n v="3542544"/>
  </r>
  <r>
    <x v="0"/>
    <x v="0"/>
    <x v="0"/>
    <x v="1"/>
    <x v="5"/>
    <s v="DE4-W_A"/>
    <x v="11"/>
    <x v="7"/>
    <x v="44"/>
    <x v="0"/>
    <x v="4"/>
    <n v="2696"/>
    <n v="984040"/>
    <n v="3542544"/>
  </r>
  <r>
    <x v="0"/>
    <x v="0"/>
    <x v="0"/>
    <x v="1"/>
    <x v="5"/>
    <s v="DE4-W_A"/>
    <x v="11"/>
    <x v="7"/>
    <x v="44"/>
    <x v="0"/>
    <x v="5"/>
    <n v="2696"/>
    <n v="984040"/>
    <n v="3542544"/>
  </r>
  <r>
    <x v="0"/>
    <x v="0"/>
    <x v="0"/>
    <x v="1"/>
    <x v="5"/>
    <s v="DE4-W_A"/>
    <x v="11"/>
    <x v="7"/>
    <x v="44"/>
    <x v="0"/>
    <x v="6"/>
    <n v="2696"/>
    <n v="984040"/>
    <n v="3542544"/>
  </r>
  <r>
    <x v="0"/>
    <x v="0"/>
    <x v="0"/>
    <x v="1"/>
    <x v="5"/>
    <s v="DE4-W_A"/>
    <x v="11"/>
    <x v="7"/>
    <x v="44"/>
    <x v="0"/>
    <x v="7"/>
    <n v="2696"/>
    <n v="984040"/>
    <n v="3542544"/>
  </r>
  <r>
    <x v="0"/>
    <x v="0"/>
    <x v="0"/>
    <x v="1"/>
    <x v="5"/>
    <s v="DE4-W_A"/>
    <x v="11"/>
    <x v="7"/>
    <x v="44"/>
    <x v="0"/>
    <x v="8"/>
    <n v="2696"/>
    <n v="984040"/>
    <n v="3542544"/>
  </r>
  <r>
    <x v="0"/>
    <x v="0"/>
    <x v="0"/>
    <x v="1"/>
    <x v="5"/>
    <s v="DE4-W_A"/>
    <x v="11"/>
    <x v="7"/>
    <x v="44"/>
    <x v="0"/>
    <x v="9"/>
    <n v="2696"/>
    <n v="984040"/>
    <n v="3542544"/>
  </r>
  <r>
    <x v="0"/>
    <x v="0"/>
    <x v="0"/>
    <x v="1"/>
    <x v="5"/>
    <s v="DE4-W_A"/>
    <x v="11"/>
    <x v="7"/>
    <x v="44"/>
    <x v="0"/>
    <x v="10"/>
    <n v="2696"/>
    <n v="984040"/>
    <n v="3542544"/>
  </r>
  <r>
    <x v="0"/>
    <x v="0"/>
    <x v="0"/>
    <x v="1"/>
    <x v="5"/>
    <s v="DE4-W_A"/>
    <x v="11"/>
    <x v="7"/>
    <x v="44"/>
    <x v="0"/>
    <x v="11"/>
    <n v="2696"/>
    <n v="984040"/>
    <n v="3542544"/>
  </r>
  <r>
    <x v="0"/>
    <x v="0"/>
    <x v="0"/>
    <x v="1"/>
    <x v="5"/>
    <s v="DE4-W_A"/>
    <x v="11"/>
    <x v="7"/>
    <x v="44"/>
    <x v="0"/>
    <x v="12"/>
    <n v="2696"/>
    <n v="984040"/>
    <n v="3542544"/>
  </r>
  <r>
    <x v="0"/>
    <x v="0"/>
    <x v="0"/>
    <x v="1"/>
    <x v="5"/>
    <s v="DE4-W_A"/>
    <x v="11"/>
    <x v="7"/>
    <x v="44"/>
    <x v="0"/>
    <x v="13"/>
    <n v="2696"/>
    <n v="984040"/>
    <n v="3542544"/>
  </r>
  <r>
    <x v="0"/>
    <x v="0"/>
    <x v="0"/>
    <x v="1"/>
    <x v="5"/>
    <s v="DE4-W_A"/>
    <x v="11"/>
    <x v="7"/>
    <x v="44"/>
    <x v="0"/>
    <x v="14"/>
    <n v="2696"/>
    <n v="984040"/>
    <n v="3542544"/>
  </r>
  <r>
    <x v="0"/>
    <x v="0"/>
    <x v="0"/>
    <x v="1"/>
    <x v="5"/>
    <s v="DE4-W_A"/>
    <x v="11"/>
    <x v="7"/>
    <x v="44"/>
    <x v="0"/>
    <x v="15"/>
    <n v="2696"/>
    <n v="984040"/>
    <n v="3542544"/>
  </r>
  <r>
    <x v="0"/>
    <x v="0"/>
    <x v="0"/>
    <x v="1"/>
    <x v="5"/>
    <s v="DE4-W_A"/>
    <x v="11"/>
    <x v="7"/>
    <x v="44"/>
    <x v="0"/>
    <x v="16"/>
    <n v="2696"/>
    <n v="984040"/>
    <n v="3542544"/>
  </r>
  <r>
    <x v="0"/>
    <x v="0"/>
    <x v="0"/>
    <x v="1"/>
    <x v="5"/>
    <s v="DE4-W_A"/>
    <x v="11"/>
    <x v="7"/>
    <x v="44"/>
    <x v="0"/>
    <x v="17"/>
    <n v="2696"/>
    <n v="984040"/>
    <n v="3542544"/>
  </r>
  <r>
    <x v="0"/>
    <x v="0"/>
    <x v="0"/>
    <x v="1"/>
    <x v="5"/>
    <s v="DE4-W_A"/>
    <x v="11"/>
    <x v="7"/>
    <x v="44"/>
    <x v="0"/>
    <x v="18"/>
    <n v="2696"/>
    <n v="984040"/>
    <n v="3542544"/>
  </r>
  <r>
    <x v="0"/>
    <x v="0"/>
    <x v="0"/>
    <x v="1"/>
    <x v="5"/>
    <s v="DE4-W_A"/>
    <x v="11"/>
    <x v="7"/>
    <x v="44"/>
    <x v="0"/>
    <x v="19"/>
    <n v="2696"/>
    <n v="984040"/>
    <n v="3542544"/>
  </r>
  <r>
    <x v="0"/>
    <x v="0"/>
    <x v="0"/>
    <x v="1"/>
    <x v="5"/>
    <s v="DE4-W_A"/>
    <x v="11"/>
    <x v="7"/>
    <x v="44"/>
    <x v="0"/>
    <x v="20"/>
    <n v="2696"/>
    <n v="984040"/>
    <n v="3542544"/>
  </r>
  <r>
    <x v="0"/>
    <x v="0"/>
    <x v="0"/>
    <x v="1"/>
    <x v="5"/>
    <s v="DE4-W_A"/>
    <x v="11"/>
    <x v="7"/>
    <x v="44"/>
    <x v="0"/>
    <x v="21"/>
    <n v="2696"/>
    <n v="984040"/>
    <n v="3542544"/>
  </r>
  <r>
    <x v="0"/>
    <x v="0"/>
    <x v="0"/>
    <x v="1"/>
    <x v="5"/>
    <s v="DE4-W_A"/>
    <x v="11"/>
    <x v="7"/>
    <x v="44"/>
    <x v="0"/>
    <x v="22"/>
    <n v="2696"/>
    <n v="984040"/>
    <n v="3542544"/>
  </r>
  <r>
    <x v="0"/>
    <x v="0"/>
    <x v="0"/>
    <x v="1"/>
    <x v="5"/>
    <s v="DE4-W_A"/>
    <x v="11"/>
    <x v="7"/>
    <x v="44"/>
    <x v="0"/>
    <x v="23"/>
    <n v="2696"/>
    <n v="984040"/>
    <n v="3542544"/>
  </r>
  <r>
    <x v="0"/>
    <x v="0"/>
    <x v="0"/>
    <x v="1"/>
    <x v="5"/>
    <s v="DE4-W_A"/>
    <x v="4"/>
    <x v="3"/>
    <x v="9"/>
    <x v="0"/>
    <x v="6"/>
    <n v="50.016931763404401"/>
    <n v="18256.180093642601"/>
    <n v="65722.2483371134"/>
  </r>
  <r>
    <x v="0"/>
    <x v="0"/>
    <x v="0"/>
    <x v="1"/>
    <x v="5"/>
    <s v="DE4-W_A"/>
    <x v="4"/>
    <x v="3"/>
    <x v="9"/>
    <x v="0"/>
    <x v="7"/>
    <n v="533.47846580839598"/>
    <n v="194719.64002006501"/>
    <n v="700990.70407223306"/>
  </r>
  <r>
    <x v="0"/>
    <x v="0"/>
    <x v="0"/>
    <x v="1"/>
    <x v="5"/>
    <s v="DE4-W_A"/>
    <x v="4"/>
    <x v="3"/>
    <x v="9"/>
    <x v="0"/>
    <x v="8"/>
    <n v="1556.8036058869"/>
    <n v="568233.316148718"/>
    <n v="2045639.9381353899"/>
  </r>
  <r>
    <x v="0"/>
    <x v="0"/>
    <x v="0"/>
    <x v="1"/>
    <x v="5"/>
    <s v="DE4-W_A"/>
    <x v="4"/>
    <x v="3"/>
    <x v="9"/>
    <x v="0"/>
    <x v="9"/>
    <n v="2541.6050666072101"/>
    <n v="927685.84931163106"/>
    <n v="3339669.0575218699"/>
  </r>
  <r>
    <x v="0"/>
    <x v="0"/>
    <x v="0"/>
    <x v="1"/>
    <x v="5"/>
    <s v="DE4-W_A"/>
    <x v="4"/>
    <x v="3"/>
    <x v="9"/>
    <x v="0"/>
    <x v="10"/>
    <n v="3387.3168894237501"/>
    <n v="1236370.6646396699"/>
    <n v="4450934.3927028095"/>
  </r>
  <r>
    <x v="0"/>
    <x v="0"/>
    <x v="0"/>
    <x v="1"/>
    <x v="5"/>
    <s v="DE4-W_A"/>
    <x v="4"/>
    <x v="3"/>
    <x v="9"/>
    <x v="0"/>
    <x v="11"/>
    <n v="3928.88319951729"/>
    <n v="1434042.3678238101"/>
    <n v="5162552.5241657197"/>
  </r>
  <r>
    <x v="0"/>
    <x v="0"/>
    <x v="0"/>
    <x v="1"/>
    <x v="5"/>
    <s v="DE4-W_A"/>
    <x v="4"/>
    <x v="3"/>
    <x v="9"/>
    <x v="0"/>
    <x v="12"/>
    <n v="4155.5556775088899"/>
    <n v="1516777.82229075"/>
    <n v="5460400.1602466796"/>
  </r>
  <r>
    <x v="0"/>
    <x v="0"/>
    <x v="0"/>
    <x v="1"/>
    <x v="5"/>
    <s v="DE4-W_A"/>
    <x v="4"/>
    <x v="3"/>
    <x v="9"/>
    <x v="0"/>
    <x v="13"/>
    <n v="4179.1806963418203"/>
    <n v="1525400.95416476"/>
    <n v="5491443.4349931497"/>
  </r>
  <r>
    <x v="0"/>
    <x v="0"/>
    <x v="0"/>
    <x v="1"/>
    <x v="5"/>
    <s v="DE4-W_A"/>
    <x v="4"/>
    <x v="3"/>
    <x v="9"/>
    <x v="0"/>
    <x v="14"/>
    <n v="3597.8136788450602"/>
    <n v="1313201.99277845"/>
    <n v="4727527.1740023997"/>
  </r>
  <r>
    <x v="0"/>
    <x v="0"/>
    <x v="0"/>
    <x v="1"/>
    <x v="5"/>
    <s v="DE4-W_A"/>
    <x v="4"/>
    <x v="3"/>
    <x v="9"/>
    <x v="0"/>
    <x v="15"/>
    <n v="2723.3687250154899"/>
    <n v="994029.58463065501"/>
    <n v="3578506.5046703601"/>
  </r>
  <r>
    <x v="0"/>
    <x v="0"/>
    <x v="0"/>
    <x v="1"/>
    <x v="5"/>
    <s v="DE4-W_A"/>
    <x v="4"/>
    <x v="3"/>
    <x v="9"/>
    <x v="0"/>
    <x v="16"/>
    <n v="1735.26827517888"/>
    <n v="633372.92044029001"/>
    <n v="2280142.5135850399"/>
  </r>
  <r>
    <x v="0"/>
    <x v="0"/>
    <x v="0"/>
    <x v="1"/>
    <x v="5"/>
    <s v="DE4-W_A"/>
    <x v="4"/>
    <x v="3"/>
    <x v="9"/>
    <x v="0"/>
    <x v="17"/>
    <n v="659.05289023566695"/>
    <n v="240554.30493601799"/>
    <n v="865995.49776966602"/>
  </r>
  <r>
    <x v="0"/>
    <x v="0"/>
    <x v="0"/>
    <x v="1"/>
    <x v="5"/>
    <s v="DE4-W_A"/>
    <x v="4"/>
    <x v="3"/>
    <x v="9"/>
    <x v="0"/>
    <x v="18"/>
    <n v="53.9544349022256"/>
    <n v="19693.3687393123"/>
    <n v="70896.127461524404"/>
  </r>
  <r>
    <x v="0"/>
    <x v="0"/>
    <x v="0"/>
    <x v="1"/>
    <x v="5"/>
    <s v="DE4-W_A"/>
    <x v="5"/>
    <x v="4"/>
    <x v="10"/>
    <x v="0"/>
    <x v="0"/>
    <n v="198.90753424657501"/>
    <n v="72601.25"/>
    <n v="261364.5"/>
  </r>
  <r>
    <x v="0"/>
    <x v="0"/>
    <x v="0"/>
    <x v="1"/>
    <x v="5"/>
    <s v="DE4-W_A"/>
    <x v="5"/>
    <x v="4"/>
    <x v="10"/>
    <x v="0"/>
    <x v="1"/>
    <n v="198.90753424657501"/>
    <n v="72601.25"/>
    <n v="261364.5"/>
  </r>
  <r>
    <x v="0"/>
    <x v="0"/>
    <x v="0"/>
    <x v="1"/>
    <x v="5"/>
    <s v="DE4-W_A"/>
    <x v="5"/>
    <x v="4"/>
    <x v="10"/>
    <x v="0"/>
    <x v="2"/>
    <n v="198.90753424657501"/>
    <n v="72601.25"/>
    <n v="261364.5"/>
  </r>
  <r>
    <x v="0"/>
    <x v="0"/>
    <x v="0"/>
    <x v="1"/>
    <x v="5"/>
    <s v="DE4-W_A"/>
    <x v="5"/>
    <x v="4"/>
    <x v="10"/>
    <x v="0"/>
    <x v="3"/>
    <n v="198.90753424657501"/>
    <n v="72601.25"/>
    <n v="261364.5"/>
  </r>
  <r>
    <x v="0"/>
    <x v="0"/>
    <x v="0"/>
    <x v="1"/>
    <x v="5"/>
    <s v="DE4-W_A"/>
    <x v="5"/>
    <x v="4"/>
    <x v="10"/>
    <x v="0"/>
    <x v="4"/>
    <n v="198.90753424657501"/>
    <n v="72601.25"/>
    <n v="261364.5"/>
  </r>
  <r>
    <x v="0"/>
    <x v="0"/>
    <x v="0"/>
    <x v="1"/>
    <x v="5"/>
    <s v="DE4-W_A"/>
    <x v="5"/>
    <x v="4"/>
    <x v="10"/>
    <x v="0"/>
    <x v="5"/>
    <n v="198.90753424657501"/>
    <n v="72601.25"/>
    <n v="261364.5"/>
  </r>
  <r>
    <x v="0"/>
    <x v="0"/>
    <x v="0"/>
    <x v="1"/>
    <x v="5"/>
    <s v="DE4-W_A"/>
    <x v="5"/>
    <x v="4"/>
    <x v="10"/>
    <x v="0"/>
    <x v="6"/>
    <n v="198.90753424657501"/>
    <n v="72601.25"/>
    <n v="261364.5"/>
  </r>
  <r>
    <x v="0"/>
    <x v="0"/>
    <x v="0"/>
    <x v="1"/>
    <x v="5"/>
    <s v="DE4-W_A"/>
    <x v="5"/>
    <x v="4"/>
    <x v="10"/>
    <x v="0"/>
    <x v="7"/>
    <n v="198.90753424657501"/>
    <n v="72601.25"/>
    <n v="261364.5"/>
  </r>
  <r>
    <x v="0"/>
    <x v="0"/>
    <x v="0"/>
    <x v="1"/>
    <x v="5"/>
    <s v="DE4-W_A"/>
    <x v="5"/>
    <x v="4"/>
    <x v="10"/>
    <x v="0"/>
    <x v="8"/>
    <n v="198.90753424657501"/>
    <n v="72601.25"/>
    <n v="261364.5"/>
  </r>
  <r>
    <x v="0"/>
    <x v="0"/>
    <x v="0"/>
    <x v="1"/>
    <x v="5"/>
    <s v="DE4-W_A"/>
    <x v="5"/>
    <x v="4"/>
    <x v="10"/>
    <x v="0"/>
    <x v="9"/>
    <n v="198.90753424657501"/>
    <n v="72601.25"/>
    <n v="261364.5"/>
  </r>
  <r>
    <x v="0"/>
    <x v="0"/>
    <x v="0"/>
    <x v="1"/>
    <x v="5"/>
    <s v="DE4-W_A"/>
    <x v="5"/>
    <x v="4"/>
    <x v="10"/>
    <x v="0"/>
    <x v="10"/>
    <n v="198.90753424657501"/>
    <n v="72601.25"/>
    <n v="261364.5"/>
  </r>
  <r>
    <x v="0"/>
    <x v="0"/>
    <x v="0"/>
    <x v="1"/>
    <x v="5"/>
    <s v="DE4-W_A"/>
    <x v="5"/>
    <x v="4"/>
    <x v="10"/>
    <x v="0"/>
    <x v="11"/>
    <n v="198.90753424657501"/>
    <n v="72601.25"/>
    <n v="261364.5"/>
  </r>
  <r>
    <x v="0"/>
    <x v="0"/>
    <x v="0"/>
    <x v="1"/>
    <x v="5"/>
    <s v="DE4-W_A"/>
    <x v="5"/>
    <x v="4"/>
    <x v="10"/>
    <x v="0"/>
    <x v="12"/>
    <n v="198.90753424657501"/>
    <n v="72601.25"/>
    <n v="261364.5"/>
  </r>
  <r>
    <x v="0"/>
    <x v="0"/>
    <x v="0"/>
    <x v="1"/>
    <x v="5"/>
    <s v="DE4-W_A"/>
    <x v="5"/>
    <x v="4"/>
    <x v="10"/>
    <x v="0"/>
    <x v="13"/>
    <n v="198.90753424657501"/>
    <n v="72601.25"/>
    <n v="261364.5"/>
  </r>
  <r>
    <x v="0"/>
    <x v="0"/>
    <x v="0"/>
    <x v="1"/>
    <x v="5"/>
    <s v="DE4-W_A"/>
    <x v="5"/>
    <x v="4"/>
    <x v="10"/>
    <x v="0"/>
    <x v="14"/>
    <n v="198.90753424657501"/>
    <n v="72601.25"/>
    <n v="261364.5"/>
  </r>
  <r>
    <x v="0"/>
    <x v="0"/>
    <x v="0"/>
    <x v="1"/>
    <x v="5"/>
    <s v="DE4-W_A"/>
    <x v="5"/>
    <x v="4"/>
    <x v="10"/>
    <x v="0"/>
    <x v="15"/>
    <n v="198.90753424657501"/>
    <n v="72601.25"/>
    <n v="261364.5"/>
  </r>
  <r>
    <x v="0"/>
    <x v="0"/>
    <x v="0"/>
    <x v="1"/>
    <x v="5"/>
    <s v="DE4-W_A"/>
    <x v="5"/>
    <x v="4"/>
    <x v="10"/>
    <x v="0"/>
    <x v="16"/>
    <n v="198.90753424657501"/>
    <n v="72601.25"/>
    <n v="261364.5"/>
  </r>
  <r>
    <x v="0"/>
    <x v="0"/>
    <x v="0"/>
    <x v="1"/>
    <x v="5"/>
    <s v="DE4-W_A"/>
    <x v="5"/>
    <x v="4"/>
    <x v="10"/>
    <x v="0"/>
    <x v="17"/>
    <n v="198.90753424657501"/>
    <n v="72601.25"/>
    <n v="261364.5"/>
  </r>
  <r>
    <x v="0"/>
    <x v="0"/>
    <x v="0"/>
    <x v="1"/>
    <x v="5"/>
    <s v="DE4-W_A"/>
    <x v="5"/>
    <x v="4"/>
    <x v="10"/>
    <x v="0"/>
    <x v="18"/>
    <n v="198.90753424657501"/>
    <n v="72601.25"/>
    <n v="261364.5"/>
  </r>
  <r>
    <x v="0"/>
    <x v="0"/>
    <x v="0"/>
    <x v="1"/>
    <x v="5"/>
    <s v="DE4-W_A"/>
    <x v="5"/>
    <x v="4"/>
    <x v="10"/>
    <x v="0"/>
    <x v="19"/>
    <n v="198.90753424657501"/>
    <n v="72601.25"/>
    <n v="261364.5"/>
  </r>
  <r>
    <x v="0"/>
    <x v="0"/>
    <x v="0"/>
    <x v="1"/>
    <x v="5"/>
    <s v="DE4-W_A"/>
    <x v="5"/>
    <x v="4"/>
    <x v="10"/>
    <x v="0"/>
    <x v="20"/>
    <n v="198.90753424657501"/>
    <n v="72601.25"/>
    <n v="261364.5"/>
  </r>
  <r>
    <x v="0"/>
    <x v="0"/>
    <x v="0"/>
    <x v="1"/>
    <x v="5"/>
    <s v="DE4-W_A"/>
    <x v="5"/>
    <x v="4"/>
    <x v="10"/>
    <x v="0"/>
    <x v="21"/>
    <n v="198.90753424657501"/>
    <n v="72601.25"/>
    <n v="261364.5"/>
  </r>
  <r>
    <x v="0"/>
    <x v="0"/>
    <x v="0"/>
    <x v="1"/>
    <x v="5"/>
    <s v="DE4-W_A"/>
    <x v="5"/>
    <x v="4"/>
    <x v="10"/>
    <x v="0"/>
    <x v="22"/>
    <n v="198.90753424657501"/>
    <n v="72601.25"/>
    <n v="261364.5"/>
  </r>
  <r>
    <x v="0"/>
    <x v="0"/>
    <x v="0"/>
    <x v="1"/>
    <x v="5"/>
    <s v="DE4-W_A"/>
    <x v="5"/>
    <x v="4"/>
    <x v="10"/>
    <x v="0"/>
    <x v="23"/>
    <n v="198.90753424657501"/>
    <n v="72601.25"/>
    <n v="261364.5"/>
  </r>
  <r>
    <x v="0"/>
    <x v="0"/>
    <x v="0"/>
    <x v="1"/>
    <x v="5"/>
    <s v="DE4-W_A"/>
    <x v="6"/>
    <x v="5"/>
    <x v="11"/>
    <x v="0"/>
    <x v="0"/>
    <n v="5996.1926094610999"/>
    <n v="2188610.3024533"/>
    <n v="7878997.0888318904"/>
  </r>
  <r>
    <x v="0"/>
    <x v="0"/>
    <x v="0"/>
    <x v="1"/>
    <x v="5"/>
    <s v="DE4-W_A"/>
    <x v="6"/>
    <x v="5"/>
    <x v="11"/>
    <x v="0"/>
    <x v="1"/>
    <n v="5554.4514021380101"/>
    <n v="2027374.76178037"/>
    <n v="7298549.1424093395"/>
  </r>
  <r>
    <x v="0"/>
    <x v="0"/>
    <x v="0"/>
    <x v="1"/>
    <x v="5"/>
    <s v="DE4-W_A"/>
    <x v="6"/>
    <x v="5"/>
    <x v="11"/>
    <x v="0"/>
    <x v="2"/>
    <n v="5267.5734916350802"/>
    <n v="1922664.3244467999"/>
    <n v="6921591.5680084899"/>
  </r>
  <r>
    <x v="0"/>
    <x v="0"/>
    <x v="0"/>
    <x v="1"/>
    <x v="5"/>
    <s v="DE4-W_A"/>
    <x v="6"/>
    <x v="5"/>
    <x v="11"/>
    <x v="0"/>
    <x v="3"/>
    <n v="4760.6183345239897"/>
    <n v="1737625.6921012499"/>
    <n v="6255452.4915645197"/>
  </r>
  <r>
    <x v="0"/>
    <x v="0"/>
    <x v="0"/>
    <x v="1"/>
    <x v="5"/>
    <s v="DE4-W_A"/>
    <x v="6"/>
    <x v="5"/>
    <x v="11"/>
    <x v="0"/>
    <x v="4"/>
    <n v="4244.3015641829797"/>
    <n v="1549170.0709267899"/>
    <n v="5577012.2553364402"/>
  </r>
  <r>
    <x v="0"/>
    <x v="0"/>
    <x v="0"/>
    <x v="1"/>
    <x v="5"/>
    <s v="DE4-W_A"/>
    <x v="6"/>
    <x v="5"/>
    <x v="11"/>
    <x v="0"/>
    <x v="5"/>
    <n v="4033.9032736260801"/>
    <n v="1472374.6948735199"/>
    <n v="5300548.9015446696"/>
  </r>
  <r>
    <x v="0"/>
    <x v="0"/>
    <x v="0"/>
    <x v="1"/>
    <x v="5"/>
    <s v="DE4-W_A"/>
    <x v="6"/>
    <x v="5"/>
    <x v="11"/>
    <x v="0"/>
    <x v="6"/>
    <n v="3967.5786239633499"/>
    <n v="1448166.19774662"/>
    <n v="5213398.3118878398"/>
  </r>
  <r>
    <x v="0"/>
    <x v="0"/>
    <x v="0"/>
    <x v="1"/>
    <x v="5"/>
    <s v="DE4-W_A"/>
    <x v="6"/>
    <x v="5"/>
    <x v="11"/>
    <x v="0"/>
    <x v="7"/>
    <n v="4079.2832970795298"/>
    <n v="1488938.40343403"/>
    <n v="5360178.2523624999"/>
  </r>
  <r>
    <x v="0"/>
    <x v="0"/>
    <x v="0"/>
    <x v="1"/>
    <x v="5"/>
    <s v="DE4-W_A"/>
    <x v="6"/>
    <x v="5"/>
    <x v="11"/>
    <x v="0"/>
    <x v="8"/>
    <n v="4882.1606351021101"/>
    <n v="1781988.63181227"/>
    <n v="6415159.0745241698"/>
  </r>
  <r>
    <x v="0"/>
    <x v="0"/>
    <x v="0"/>
    <x v="1"/>
    <x v="5"/>
    <s v="DE4-W_A"/>
    <x v="6"/>
    <x v="5"/>
    <x v="11"/>
    <x v="0"/>
    <x v="9"/>
    <n v="5527.4772623230201"/>
    <n v="2017529.2007478999"/>
    <n v="7263105.1226924499"/>
  </r>
  <r>
    <x v="0"/>
    <x v="0"/>
    <x v="0"/>
    <x v="1"/>
    <x v="5"/>
    <s v="DE4-W_A"/>
    <x v="6"/>
    <x v="5"/>
    <x v="11"/>
    <x v="0"/>
    <x v="10"/>
    <n v="5341.9903832423097"/>
    <n v="1949826.4898834401"/>
    <n v="7019375.3635804001"/>
  </r>
  <r>
    <x v="0"/>
    <x v="0"/>
    <x v="0"/>
    <x v="1"/>
    <x v="5"/>
    <s v="DE4-W_A"/>
    <x v="6"/>
    <x v="5"/>
    <x v="11"/>
    <x v="0"/>
    <x v="11"/>
    <n v="4885.9687489583403"/>
    <n v="1783378.5933697899"/>
    <n v="6420162.9361312604"/>
  </r>
  <r>
    <x v="0"/>
    <x v="0"/>
    <x v="0"/>
    <x v="1"/>
    <x v="5"/>
    <s v="DE4-W_A"/>
    <x v="6"/>
    <x v="5"/>
    <x v="11"/>
    <x v="0"/>
    <x v="12"/>
    <n v="4967.0498398139798"/>
    <n v="1812973.1915321001"/>
    <n v="6526703.48951557"/>
  </r>
  <r>
    <x v="0"/>
    <x v="0"/>
    <x v="0"/>
    <x v="1"/>
    <x v="5"/>
    <s v="DE4-W_A"/>
    <x v="6"/>
    <x v="5"/>
    <x v="11"/>
    <x v="0"/>
    <x v="13"/>
    <n v="5037.9759603863304"/>
    <n v="1838861.22554101"/>
    <n v="6619900.4119476397"/>
  </r>
  <r>
    <x v="0"/>
    <x v="0"/>
    <x v="0"/>
    <x v="1"/>
    <x v="5"/>
    <s v="DE4-W_A"/>
    <x v="6"/>
    <x v="5"/>
    <x v="11"/>
    <x v="0"/>
    <x v="14"/>
    <n v="5063.0460432731998"/>
    <n v="1848011.8057947201"/>
    <n v="6652842.50086099"/>
  </r>
  <r>
    <x v="0"/>
    <x v="0"/>
    <x v="0"/>
    <x v="1"/>
    <x v="5"/>
    <s v="DE4-W_A"/>
    <x v="6"/>
    <x v="5"/>
    <x v="11"/>
    <x v="0"/>
    <x v="15"/>
    <n v="4736.8176229225301"/>
    <n v="1728938.4323667199"/>
    <n v="6224178.3565202001"/>
  </r>
  <r>
    <x v="0"/>
    <x v="0"/>
    <x v="0"/>
    <x v="1"/>
    <x v="5"/>
    <s v="DE4-W_A"/>
    <x v="6"/>
    <x v="5"/>
    <x v="11"/>
    <x v="0"/>
    <x v="16"/>
    <n v="4281.5893456919403"/>
    <n v="1562780.1111775599"/>
    <n v="5626008.4002392096"/>
  </r>
  <r>
    <x v="0"/>
    <x v="0"/>
    <x v="0"/>
    <x v="1"/>
    <x v="5"/>
    <s v="DE4-W_A"/>
    <x v="6"/>
    <x v="5"/>
    <x v="11"/>
    <x v="0"/>
    <x v="17"/>
    <n v="3547.5753999029198"/>
    <n v="1294865.0209645701"/>
    <n v="4661514.0754724396"/>
  </r>
  <r>
    <x v="0"/>
    <x v="0"/>
    <x v="0"/>
    <x v="1"/>
    <x v="5"/>
    <s v="DE4-W_A"/>
    <x v="6"/>
    <x v="5"/>
    <x v="11"/>
    <x v="0"/>
    <x v="18"/>
    <n v="2725.6574925991699"/>
    <n v="994864.98479869904"/>
    <n v="3581513.9452753202"/>
  </r>
  <r>
    <x v="0"/>
    <x v="0"/>
    <x v="0"/>
    <x v="1"/>
    <x v="5"/>
    <s v="DE4-W_A"/>
    <x v="6"/>
    <x v="5"/>
    <x v="11"/>
    <x v="0"/>
    <x v="19"/>
    <n v="2737.7165198105799"/>
    <n v="999266.52973086201"/>
    <n v="3597359.5070310999"/>
  </r>
  <r>
    <x v="0"/>
    <x v="0"/>
    <x v="0"/>
    <x v="1"/>
    <x v="5"/>
    <s v="DE4-W_A"/>
    <x v="6"/>
    <x v="5"/>
    <x v="11"/>
    <x v="0"/>
    <x v="20"/>
    <n v="2877.3473612058101"/>
    <n v="1050231.7868401201"/>
    <n v="3780834.4326244402"/>
  </r>
  <r>
    <x v="0"/>
    <x v="0"/>
    <x v="0"/>
    <x v="1"/>
    <x v="5"/>
    <s v="DE4-W_A"/>
    <x v="6"/>
    <x v="5"/>
    <x v="11"/>
    <x v="0"/>
    <x v="21"/>
    <n v="3112.4983918282301"/>
    <n v="1136061.91301731"/>
    <n v="4089822.8868622999"/>
  </r>
  <r>
    <x v="0"/>
    <x v="0"/>
    <x v="0"/>
    <x v="1"/>
    <x v="5"/>
    <s v="DE4-W_A"/>
    <x v="6"/>
    <x v="5"/>
    <x v="11"/>
    <x v="0"/>
    <x v="22"/>
    <n v="3250.0665048846699"/>
    <n v="1186274.2742829099"/>
    <n v="4270587.3874184601"/>
  </r>
  <r>
    <x v="0"/>
    <x v="0"/>
    <x v="0"/>
    <x v="1"/>
    <x v="5"/>
    <s v="DE4-W_A"/>
    <x v="6"/>
    <x v="5"/>
    <x v="11"/>
    <x v="0"/>
    <x v="23"/>
    <n v="3289.4170147324198"/>
    <n v="1200637.21037733"/>
    <n v="4322293.9573584003"/>
  </r>
  <r>
    <x v="0"/>
    <x v="0"/>
    <x v="0"/>
    <x v="1"/>
    <x v="5"/>
    <s v="DE4-W_Offshore_A"/>
    <x v="6"/>
    <x v="5"/>
    <x v="12"/>
    <x v="0"/>
    <x v="0"/>
    <n v="78.371360424669405"/>
    <n v="28605.546555004301"/>
    <n v="102979.967598016"/>
  </r>
  <r>
    <x v="0"/>
    <x v="0"/>
    <x v="0"/>
    <x v="1"/>
    <x v="5"/>
    <s v="DE4-W_Offshore_A"/>
    <x v="6"/>
    <x v="5"/>
    <x v="12"/>
    <x v="0"/>
    <x v="1"/>
    <n v="72.597720111827897"/>
    <n v="26498.167840817201"/>
    <n v="95393.404226941799"/>
  </r>
  <r>
    <x v="0"/>
    <x v="0"/>
    <x v="0"/>
    <x v="1"/>
    <x v="5"/>
    <s v="DE4-W_Offshore_A"/>
    <x v="6"/>
    <x v="5"/>
    <x v="12"/>
    <x v="0"/>
    <x v="2"/>
    <n v="68.848172092568802"/>
    <n v="25129.582813787601"/>
    <n v="90466.498129635394"/>
  </r>
  <r>
    <x v="0"/>
    <x v="0"/>
    <x v="0"/>
    <x v="1"/>
    <x v="5"/>
    <s v="DE4-W_Offshore_A"/>
    <x v="6"/>
    <x v="5"/>
    <x v="12"/>
    <x v="0"/>
    <x v="3"/>
    <n v="62.2221732421634"/>
    <n v="22711.093233389602"/>
    <n v="81759.935640202704"/>
  </r>
  <r>
    <x v="0"/>
    <x v="0"/>
    <x v="0"/>
    <x v="1"/>
    <x v="5"/>
    <s v="DE4-W_Offshore_A"/>
    <x v="6"/>
    <x v="5"/>
    <x v="12"/>
    <x v="0"/>
    <x v="4"/>
    <n v="55.473816353518899"/>
    <n v="20247.9429690344"/>
    <n v="72892.594688523895"/>
  </r>
  <r>
    <x v="0"/>
    <x v="0"/>
    <x v="0"/>
    <x v="1"/>
    <x v="5"/>
    <s v="DE4-W_Offshore_A"/>
    <x v="6"/>
    <x v="5"/>
    <x v="12"/>
    <x v="0"/>
    <x v="5"/>
    <n v="52.723871290721597"/>
    <n v="19244.213021113399"/>
    <n v="69279.166876008196"/>
  </r>
  <r>
    <x v="0"/>
    <x v="0"/>
    <x v="0"/>
    <x v="1"/>
    <x v="5"/>
    <s v="DE4-W_Offshore_A"/>
    <x v="6"/>
    <x v="5"/>
    <x v="12"/>
    <x v="0"/>
    <x v="6"/>
    <n v="51.856995697773399"/>
    <n v="18927.803429687301"/>
    <n v="68140.092346874299"/>
  </r>
  <r>
    <x v="0"/>
    <x v="0"/>
    <x v="0"/>
    <x v="1"/>
    <x v="5"/>
    <s v="DE4-W_Offshore_A"/>
    <x v="6"/>
    <x v="5"/>
    <x v="12"/>
    <x v="0"/>
    <x v="7"/>
    <n v="53.316996696422997"/>
    <n v="19460.7037941944"/>
    <n v="70058.533659099805"/>
  </r>
  <r>
    <x v="0"/>
    <x v="0"/>
    <x v="0"/>
    <x v="1"/>
    <x v="5"/>
    <s v="DE4-W_Offshore_A"/>
    <x v="6"/>
    <x v="5"/>
    <x v="12"/>
    <x v="0"/>
    <x v="8"/>
    <n v="63.8107538742168"/>
    <n v="23290.925164089102"/>
    <n v="83847.330590720798"/>
  </r>
  <r>
    <x v="0"/>
    <x v="0"/>
    <x v="0"/>
    <x v="1"/>
    <x v="5"/>
    <s v="DE4-W_Offshore_A"/>
    <x v="6"/>
    <x v="5"/>
    <x v="12"/>
    <x v="0"/>
    <x v="9"/>
    <n v="72.245163052494902"/>
    <n v="26369.484514160598"/>
    <n v="94930.144250978294"/>
  </r>
  <r>
    <x v="0"/>
    <x v="0"/>
    <x v="0"/>
    <x v="1"/>
    <x v="5"/>
    <s v="DE4-W_Offshore_A"/>
    <x v="6"/>
    <x v="5"/>
    <x v="12"/>
    <x v="0"/>
    <x v="10"/>
    <n v="69.820814803316793"/>
    <n v="25484.597403210599"/>
    <n v="91744.550651558297"/>
  </r>
  <r>
    <x v="0"/>
    <x v="0"/>
    <x v="0"/>
    <x v="1"/>
    <x v="5"/>
    <s v="DE4-W_Offshore_A"/>
    <x v="6"/>
    <x v="5"/>
    <x v="12"/>
    <x v="0"/>
    <x v="11"/>
    <n v="63.860526635534399"/>
    <n v="23309.092221970001"/>
    <n v="83912.731999092197"/>
  </r>
  <r>
    <x v="0"/>
    <x v="0"/>
    <x v="0"/>
    <x v="1"/>
    <x v="5"/>
    <s v="DE4-W_Offshore_A"/>
    <x v="6"/>
    <x v="5"/>
    <x v="12"/>
    <x v="0"/>
    <x v="12"/>
    <n v="64.920271678588307"/>
    <n v="23695.899162684698"/>
    <n v="85305.236985665004"/>
  </r>
  <r>
    <x v="0"/>
    <x v="0"/>
    <x v="0"/>
    <x v="1"/>
    <x v="5"/>
    <s v="DE4-W_Offshore_A"/>
    <x v="6"/>
    <x v="5"/>
    <x v="12"/>
    <x v="0"/>
    <x v="13"/>
    <n v="65.847289358128506"/>
    <n v="24034.260615716899"/>
    <n v="86523.338216580902"/>
  </r>
  <r>
    <x v="0"/>
    <x v="0"/>
    <x v="0"/>
    <x v="1"/>
    <x v="5"/>
    <s v="DE4-W_Offshore_A"/>
    <x v="6"/>
    <x v="5"/>
    <x v="12"/>
    <x v="0"/>
    <x v="14"/>
    <n v="66.174960036802702"/>
    <n v="24153.860413433002"/>
    <n v="86953.897488358794"/>
  </r>
  <r>
    <x v="0"/>
    <x v="0"/>
    <x v="0"/>
    <x v="1"/>
    <x v="5"/>
    <s v="DE4-W_Offshore_A"/>
    <x v="6"/>
    <x v="5"/>
    <x v="12"/>
    <x v="0"/>
    <x v="15"/>
    <n v="61.911093483928397"/>
    <n v="22597.5491216339"/>
    <n v="81351.176837881896"/>
  </r>
  <r>
    <x v="0"/>
    <x v="0"/>
    <x v="0"/>
    <x v="1"/>
    <x v="5"/>
    <s v="DE4-W_Offshore_A"/>
    <x v="6"/>
    <x v="5"/>
    <x v="12"/>
    <x v="0"/>
    <x v="16"/>
    <n v="55.961174641420399"/>
    <n v="20425.828744118498"/>
    <n v="73532.9834788265"/>
  </r>
  <r>
    <x v="0"/>
    <x v="0"/>
    <x v="0"/>
    <x v="1"/>
    <x v="5"/>
    <s v="DE4-W_Offshore_A"/>
    <x v="6"/>
    <x v="5"/>
    <x v="12"/>
    <x v="0"/>
    <x v="17"/>
    <n v="46.367474897453199"/>
    <n v="16924.128337570401"/>
    <n v="60926.862015253602"/>
  </r>
  <r>
    <x v="0"/>
    <x v="0"/>
    <x v="0"/>
    <x v="1"/>
    <x v="5"/>
    <s v="DE4-W_Offshore_A"/>
    <x v="6"/>
    <x v="5"/>
    <x v="12"/>
    <x v="0"/>
    <x v="18"/>
    <n v="35.624853913071497"/>
    <n v="13003.071678271101"/>
    <n v="46811.058041775897"/>
  </r>
  <r>
    <x v="0"/>
    <x v="0"/>
    <x v="0"/>
    <x v="1"/>
    <x v="5"/>
    <s v="DE4-W_Offshore_A"/>
    <x v="6"/>
    <x v="5"/>
    <x v="12"/>
    <x v="0"/>
    <x v="19"/>
    <n v="35.782467657243899"/>
    <n v="13060.600694893999"/>
    <n v="47018.162501618397"/>
  </r>
  <r>
    <x v="0"/>
    <x v="0"/>
    <x v="0"/>
    <x v="1"/>
    <x v="5"/>
    <s v="DE4-W_Offshore_A"/>
    <x v="6"/>
    <x v="5"/>
    <x v="12"/>
    <x v="0"/>
    <x v="20"/>
    <n v="37.607468905555798"/>
    <n v="13726.7261505279"/>
    <n v="49416.214141900302"/>
  </r>
  <r>
    <x v="0"/>
    <x v="0"/>
    <x v="0"/>
    <x v="1"/>
    <x v="5"/>
    <s v="DE4-W_Offshore_A"/>
    <x v="6"/>
    <x v="5"/>
    <x v="12"/>
    <x v="0"/>
    <x v="21"/>
    <n v="40.680936916917602"/>
    <n v="14848.541974674899"/>
    <n v="53454.751108829703"/>
  </r>
  <r>
    <x v="0"/>
    <x v="0"/>
    <x v="0"/>
    <x v="1"/>
    <x v="5"/>
    <s v="DE4-W_Offshore_A"/>
    <x v="6"/>
    <x v="5"/>
    <x v="12"/>
    <x v="0"/>
    <x v="22"/>
    <n v="42.478977919515799"/>
    <n v="15504.826940623299"/>
    <n v="55817.376986243798"/>
  </r>
  <r>
    <x v="0"/>
    <x v="0"/>
    <x v="0"/>
    <x v="1"/>
    <x v="5"/>
    <s v="DE4-W_Offshore_A"/>
    <x v="6"/>
    <x v="5"/>
    <x v="12"/>
    <x v="0"/>
    <x v="23"/>
    <n v="42.993296453131002"/>
    <n v="15692.5532053928"/>
    <n v="56493.191539414103"/>
  </r>
  <r>
    <x v="0"/>
    <x v="0"/>
    <x v="0"/>
    <x v="2"/>
    <x v="6"/>
    <s v="NO1_A1"/>
    <x v="1"/>
    <x v="1"/>
    <x v="54"/>
    <x v="0"/>
    <x v="6"/>
    <n v="-7.6067828036663103"/>
    <n v="-2776.4757233382002"/>
    <n v="-9995.3126040175393"/>
  </r>
  <r>
    <x v="0"/>
    <x v="0"/>
    <x v="0"/>
    <x v="2"/>
    <x v="6"/>
    <s v="NO1_A1"/>
    <x v="1"/>
    <x v="1"/>
    <x v="54"/>
    <x v="0"/>
    <x v="7"/>
    <n v="-14.5262014644759"/>
    <n v="-5302.0635345336896"/>
    <n v="-19087.4287243213"/>
  </r>
  <r>
    <x v="0"/>
    <x v="0"/>
    <x v="0"/>
    <x v="2"/>
    <x v="6"/>
    <s v="NO1_A1"/>
    <x v="1"/>
    <x v="1"/>
    <x v="54"/>
    <x v="0"/>
    <x v="8"/>
    <n v="-15.514608706936899"/>
    <n v="-5662.8321780319702"/>
    <n v="-20386.195840915101"/>
  </r>
  <r>
    <x v="0"/>
    <x v="0"/>
    <x v="0"/>
    <x v="2"/>
    <x v="6"/>
    <s v="NO1_A1"/>
    <x v="1"/>
    <x v="1"/>
    <x v="54"/>
    <x v="0"/>
    <x v="9"/>
    <n v="-13.013691775842201"/>
    <n v="-4749.9974981824198"/>
    <n v="-17099.9909934567"/>
  </r>
  <r>
    <x v="0"/>
    <x v="0"/>
    <x v="0"/>
    <x v="2"/>
    <x v="6"/>
    <s v="NO1_A1"/>
    <x v="1"/>
    <x v="1"/>
    <x v="54"/>
    <x v="0"/>
    <x v="10"/>
    <n v="-10.1443852737921"/>
    <n v="-3702.7006249341098"/>
    <n v="-13329.722249762801"/>
  </r>
  <r>
    <x v="0"/>
    <x v="0"/>
    <x v="0"/>
    <x v="2"/>
    <x v="6"/>
    <s v="NO1_A1"/>
    <x v="1"/>
    <x v="1"/>
    <x v="54"/>
    <x v="0"/>
    <x v="11"/>
    <n v="-5.8693082569900001"/>
    <n v="-2142.2975138013499"/>
    <n v="-7712.2710496848604"/>
  </r>
  <r>
    <x v="0"/>
    <x v="0"/>
    <x v="0"/>
    <x v="2"/>
    <x v="6"/>
    <s v="NO1_A1"/>
    <x v="1"/>
    <x v="1"/>
    <x v="54"/>
    <x v="0"/>
    <x v="12"/>
    <n v="-2.3055537274008402"/>
    <n v="-841.52711050130597"/>
    <n v="-3029.4975978047"/>
  </r>
  <r>
    <x v="0"/>
    <x v="0"/>
    <x v="0"/>
    <x v="2"/>
    <x v="6"/>
    <s v="NO1_A1"/>
    <x v="1"/>
    <x v="1"/>
    <x v="54"/>
    <x v="0"/>
    <x v="13"/>
    <n v="-1.02050338315372"/>
    <n v="-372.48373485110801"/>
    <n v="-1340.94144546399"/>
  </r>
  <r>
    <x v="0"/>
    <x v="0"/>
    <x v="0"/>
    <x v="2"/>
    <x v="6"/>
    <s v="NO1_A1"/>
    <x v="1"/>
    <x v="1"/>
    <x v="54"/>
    <x v="0"/>
    <x v="14"/>
    <n v="-6.1057240654533898E-2"/>
    <n v="-22.2858928389049"/>
    <n v="-80.2292142200576"/>
  </r>
  <r>
    <x v="0"/>
    <x v="0"/>
    <x v="0"/>
    <x v="2"/>
    <x v="6"/>
    <s v="NO1_A1"/>
    <x v="2"/>
    <x v="2"/>
    <x v="55"/>
    <x v="0"/>
    <x v="0"/>
    <n v="8.1999999999999993"/>
    <n v="2993"/>
    <n v="10774.8"/>
  </r>
  <r>
    <x v="0"/>
    <x v="0"/>
    <x v="0"/>
    <x v="2"/>
    <x v="6"/>
    <s v="NO1_A1"/>
    <x v="2"/>
    <x v="2"/>
    <x v="55"/>
    <x v="0"/>
    <x v="1"/>
    <n v="8.1999999999999993"/>
    <n v="2993"/>
    <n v="10774.8"/>
  </r>
  <r>
    <x v="0"/>
    <x v="0"/>
    <x v="0"/>
    <x v="2"/>
    <x v="6"/>
    <s v="NO1_A1"/>
    <x v="2"/>
    <x v="2"/>
    <x v="55"/>
    <x v="0"/>
    <x v="2"/>
    <n v="8.1999999999999993"/>
    <n v="2993"/>
    <n v="10774.8"/>
  </r>
  <r>
    <x v="0"/>
    <x v="0"/>
    <x v="0"/>
    <x v="2"/>
    <x v="6"/>
    <s v="NO1_A1"/>
    <x v="2"/>
    <x v="2"/>
    <x v="55"/>
    <x v="0"/>
    <x v="3"/>
    <n v="8.1999999999999993"/>
    <n v="2993"/>
    <n v="10774.8"/>
  </r>
  <r>
    <x v="0"/>
    <x v="0"/>
    <x v="0"/>
    <x v="2"/>
    <x v="6"/>
    <s v="NO1_A1"/>
    <x v="2"/>
    <x v="2"/>
    <x v="55"/>
    <x v="0"/>
    <x v="4"/>
    <n v="8.1999999999999993"/>
    <n v="2993"/>
    <n v="10774.8"/>
  </r>
  <r>
    <x v="0"/>
    <x v="0"/>
    <x v="0"/>
    <x v="2"/>
    <x v="6"/>
    <s v="NO1_A1"/>
    <x v="2"/>
    <x v="2"/>
    <x v="55"/>
    <x v="0"/>
    <x v="5"/>
    <n v="8.1999999999999993"/>
    <n v="2993"/>
    <n v="10774.8"/>
  </r>
  <r>
    <x v="0"/>
    <x v="0"/>
    <x v="0"/>
    <x v="2"/>
    <x v="6"/>
    <s v="NO1_A1"/>
    <x v="2"/>
    <x v="2"/>
    <x v="55"/>
    <x v="0"/>
    <x v="6"/>
    <n v="8.1999999999999993"/>
    <n v="2993"/>
    <n v="10774.8"/>
  </r>
  <r>
    <x v="0"/>
    <x v="0"/>
    <x v="0"/>
    <x v="2"/>
    <x v="6"/>
    <s v="NO1_A1"/>
    <x v="2"/>
    <x v="2"/>
    <x v="55"/>
    <x v="0"/>
    <x v="7"/>
    <n v="8.1999999999999993"/>
    <n v="2993"/>
    <n v="10774.8"/>
  </r>
  <r>
    <x v="0"/>
    <x v="0"/>
    <x v="0"/>
    <x v="2"/>
    <x v="6"/>
    <s v="NO1_A1"/>
    <x v="2"/>
    <x v="2"/>
    <x v="55"/>
    <x v="0"/>
    <x v="8"/>
    <n v="8.1999999999999993"/>
    <n v="2993"/>
    <n v="10774.8"/>
  </r>
  <r>
    <x v="0"/>
    <x v="0"/>
    <x v="0"/>
    <x v="2"/>
    <x v="6"/>
    <s v="NO1_A1"/>
    <x v="2"/>
    <x v="2"/>
    <x v="55"/>
    <x v="0"/>
    <x v="9"/>
    <n v="8.1999999999999993"/>
    <n v="2993"/>
    <n v="10774.8"/>
  </r>
  <r>
    <x v="0"/>
    <x v="0"/>
    <x v="0"/>
    <x v="2"/>
    <x v="6"/>
    <s v="NO1_A1"/>
    <x v="2"/>
    <x v="2"/>
    <x v="55"/>
    <x v="0"/>
    <x v="10"/>
    <n v="8.1999999999999993"/>
    <n v="2993"/>
    <n v="10774.8"/>
  </r>
  <r>
    <x v="0"/>
    <x v="0"/>
    <x v="0"/>
    <x v="2"/>
    <x v="6"/>
    <s v="NO1_A1"/>
    <x v="2"/>
    <x v="2"/>
    <x v="55"/>
    <x v="0"/>
    <x v="11"/>
    <n v="8.1999999999999993"/>
    <n v="2993"/>
    <n v="10774.8"/>
  </r>
  <r>
    <x v="0"/>
    <x v="0"/>
    <x v="0"/>
    <x v="2"/>
    <x v="6"/>
    <s v="NO1_A1"/>
    <x v="2"/>
    <x v="2"/>
    <x v="55"/>
    <x v="0"/>
    <x v="12"/>
    <n v="8.1999999999999993"/>
    <n v="2993"/>
    <n v="10774.8"/>
  </r>
  <r>
    <x v="0"/>
    <x v="0"/>
    <x v="0"/>
    <x v="2"/>
    <x v="6"/>
    <s v="NO1_A1"/>
    <x v="2"/>
    <x v="2"/>
    <x v="55"/>
    <x v="0"/>
    <x v="13"/>
    <n v="8.1999999999999993"/>
    <n v="2993"/>
    <n v="10774.8"/>
  </r>
  <r>
    <x v="0"/>
    <x v="0"/>
    <x v="0"/>
    <x v="2"/>
    <x v="6"/>
    <s v="NO1_A1"/>
    <x v="2"/>
    <x v="2"/>
    <x v="55"/>
    <x v="0"/>
    <x v="14"/>
    <n v="8.1999999999999993"/>
    <n v="2993"/>
    <n v="10774.8"/>
  </r>
  <r>
    <x v="0"/>
    <x v="0"/>
    <x v="0"/>
    <x v="2"/>
    <x v="6"/>
    <s v="NO1_A1"/>
    <x v="2"/>
    <x v="2"/>
    <x v="55"/>
    <x v="0"/>
    <x v="15"/>
    <n v="8.1999999999999993"/>
    <n v="2993"/>
    <n v="10774.8"/>
  </r>
  <r>
    <x v="0"/>
    <x v="0"/>
    <x v="0"/>
    <x v="2"/>
    <x v="6"/>
    <s v="NO1_A1"/>
    <x v="2"/>
    <x v="2"/>
    <x v="55"/>
    <x v="0"/>
    <x v="16"/>
    <n v="8.1999999999999993"/>
    <n v="2993"/>
    <n v="10774.8"/>
  </r>
  <r>
    <x v="0"/>
    <x v="0"/>
    <x v="0"/>
    <x v="2"/>
    <x v="6"/>
    <s v="NO1_A1"/>
    <x v="2"/>
    <x v="2"/>
    <x v="55"/>
    <x v="0"/>
    <x v="17"/>
    <n v="8.1999999999999993"/>
    <n v="2993"/>
    <n v="10774.8"/>
  </r>
  <r>
    <x v="0"/>
    <x v="0"/>
    <x v="0"/>
    <x v="2"/>
    <x v="6"/>
    <s v="NO1_A1"/>
    <x v="2"/>
    <x v="2"/>
    <x v="55"/>
    <x v="0"/>
    <x v="18"/>
    <n v="8.1999999999999993"/>
    <n v="2993"/>
    <n v="10774.8"/>
  </r>
  <r>
    <x v="0"/>
    <x v="0"/>
    <x v="0"/>
    <x v="2"/>
    <x v="6"/>
    <s v="NO1_A1"/>
    <x v="2"/>
    <x v="2"/>
    <x v="55"/>
    <x v="0"/>
    <x v="19"/>
    <n v="8.1999999999999993"/>
    <n v="2993"/>
    <n v="10774.8"/>
  </r>
  <r>
    <x v="0"/>
    <x v="0"/>
    <x v="0"/>
    <x v="2"/>
    <x v="6"/>
    <s v="NO1_A1"/>
    <x v="2"/>
    <x v="2"/>
    <x v="55"/>
    <x v="0"/>
    <x v="20"/>
    <n v="8.1999999999999993"/>
    <n v="2993"/>
    <n v="10774.8"/>
  </r>
  <r>
    <x v="0"/>
    <x v="0"/>
    <x v="0"/>
    <x v="2"/>
    <x v="6"/>
    <s v="NO1_A1"/>
    <x v="2"/>
    <x v="2"/>
    <x v="55"/>
    <x v="0"/>
    <x v="21"/>
    <n v="8.1999999999999993"/>
    <n v="2993"/>
    <n v="10774.8"/>
  </r>
  <r>
    <x v="0"/>
    <x v="0"/>
    <x v="0"/>
    <x v="2"/>
    <x v="6"/>
    <s v="NO1_A1"/>
    <x v="2"/>
    <x v="2"/>
    <x v="55"/>
    <x v="0"/>
    <x v="22"/>
    <n v="8.1999999999999993"/>
    <n v="2993"/>
    <n v="10774.8"/>
  </r>
  <r>
    <x v="0"/>
    <x v="0"/>
    <x v="0"/>
    <x v="2"/>
    <x v="6"/>
    <s v="NO1_A1"/>
    <x v="2"/>
    <x v="2"/>
    <x v="55"/>
    <x v="0"/>
    <x v="23"/>
    <n v="8.1999999999999993"/>
    <n v="2993"/>
    <n v="10774.8"/>
  </r>
  <r>
    <x v="0"/>
    <x v="0"/>
    <x v="0"/>
    <x v="2"/>
    <x v="6"/>
    <s v="NO1_A1"/>
    <x v="5"/>
    <x v="4"/>
    <x v="56"/>
    <x v="0"/>
    <x v="0"/>
    <n v="1262.8567912032099"/>
    <n v="460942.72878917097"/>
    <n v="1659393.8236410101"/>
  </r>
  <r>
    <x v="0"/>
    <x v="0"/>
    <x v="0"/>
    <x v="2"/>
    <x v="6"/>
    <s v="NO1_A1"/>
    <x v="5"/>
    <x v="4"/>
    <x v="56"/>
    <x v="0"/>
    <x v="1"/>
    <n v="1262.8567912032099"/>
    <n v="460942.72878917097"/>
    <n v="1659393.8236410101"/>
  </r>
  <r>
    <x v="0"/>
    <x v="0"/>
    <x v="0"/>
    <x v="2"/>
    <x v="6"/>
    <s v="NO1_A1"/>
    <x v="5"/>
    <x v="4"/>
    <x v="56"/>
    <x v="0"/>
    <x v="2"/>
    <n v="1262.8567912032099"/>
    <n v="460942.72878917097"/>
    <n v="1659393.8236410101"/>
  </r>
  <r>
    <x v="0"/>
    <x v="0"/>
    <x v="0"/>
    <x v="2"/>
    <x v="6"/>
    <s v="NO1_A1"/>
    <x v="5"/>
    <x v="4"/>
    <x v="56"/>
    <x v="0"/>
    <x v="3"/>
    <n v="1262.8567912032099"/>
    <n v="460942.72878917097"/>
    <n v="1659393.8236410101"/>
  </r>
  <r>
    <x v="0"/>
    <x v="0"/>
    <x v="0"/>
    <x v="2"/>
    <x v="6"/>
    <s v="NO1_A1"/>
    <x v="5"/>
    <x v="4"/>
    <x v="56"/>
    <x v="0"/>
    <x v="4"/>
    <n v="1262.8567912032099"/>
    <n v="460942.72878917097"/>
    <n v="1659393.8236410101"/>
  </r>
  <r>
    <x v="0"/>
    <x v="0"/>
    <x v="0"/>
    <x v="2"/>
    <x v="6"/>
    <s v="NO1_A1"/>
    <x v="5"/>
    <x v="4"/>
    <x v="56"/>
    <x v="0"/>
    <x v="5"/>
    <n v="1262.8567912032099"/>
    <n v="460942.72878917097"/>
    <n v="1659393.8236410101"/>
  </r>
  <r>
    <x v="0"/>
    <x v="0"/>
    <x v="0"/>
    <x v="2"/>
    <x v="6"/>
    <s v="NO1_A1"/>
    <x v="5"/>
    <x v="4"/>
    <x v="56"/>
    <x v="0"/>
    <x v="6"/>
    <n v="1262.8567912032099"/>
    <n v="460942.72878917097"/>
    <n v="1659393.8236410101"/>
  </r>
  <r>
    <x v="0"/>
    <x v="0"/>
    <x v="0"/>
    <x v="2"/>
    <x v="6"/>
    <s v="NO1_A1"/>
    <x v="5"/>
    <x v="4"/>
    <x v="56"/>
    <x v="0"/>
    <x v="7"/>
    <n v="1262.8567912032099"/>
    <n v="460942.72878917097"/>
    <n v="1659393.8236410101"/>
  </r>
  <r>
    <x v="0"/>
    <x v="0"/>
    <x v="0"/>
    <x v="2"/>
    <x v="6"/>
    <s v="NO1_A1"/>
    <x v="5"/>
    <x v="4"/>
    <x v="56"/>
    <x v="0"/>
    <x v="8"/>
    <n v="1262.8567912032099"/>
    <n v="460942.72878917097"/>
    <n v="1659393.8236410101"/>
  </r>
  <r>
    <x v="0"/>
    <x v="0"/>
    <x v="0"/>
    <x v="2"/>
    <x v="6"/>
    <s v="NO1_A1"/>
    <x v="5"/>
    <x v="4"/>
    <x v="56"/>
    <x v="0"/>
    <x v="9"/>
    <n v="1262.8567912032099"/>
    <n v="460942.72878917097"/>
    <n v="1659393.8236410101"/>
  </r>
  <r>
    <x v="0"/>
    <x v="0"/>
    <x v="0"/>
    <x v="2"/>
    <x v="6"/>
    <s v="NO1_A1"/>
    <x v="5"/>
    <x v="4"/>
    <x v="56"/>
    <x v="0"/>
    <x v="10"/>
    <n v="1262.8567912032099"/>
    <n v="460942.72878917097"/>
    <n v="1659393.8236410101"/>
  </r>
  <r>
    <x v="0"/>
    <x v="0"/>
    <x v="0"/>
    <x v="2"/>
    <x v="6"/>
    <s v="NO1_A1"/>
    <x v="5"/>
    <x v="4"/>
    <x v="56"/>
    <x v="0"/>
    <x v="11"/>
    <n v="1262.8567912032099"/>
    <n v="460942.72878917097"/>
    <n v="1659393.8236410101"/>
  </r>
  <r>
    <x v="0"/>
    <x v="0"/>
    <x v="0"/>
    <x v="2"/>
    <x v="6"/>
    <s v="NO1_A1"/>
    <x v="5"/>
    <x v="4"/>
    <x v="56"/>
    <x v="0"/>
    <x v="12"/>
    <n v="1262.8567912032099"/>
    <n v="460942.72878917097"/>
    <n v="1659393.8236410101"/>
  </r>
  <r>
    <x v="0"/>
    <x v="0"/>
    <x v="0"/>
    <x v="2"/>
    <x v="6"/>
    <s v="NO1_A1"/>
    <x v="5"/>
    <x v="4"/>
    <x v="56"/>
    <x v="0"/>
    <x v="13"/>
    <n v="1262.8567912032099"/>
    <n v="460942.72878917097"/>
    <n v="1659393.8236410101"/>
  </r>
  <r>
    <x v="0"/>
    <x v="0"/>
    <x v="0"/>
    <x v="2"/>
    <x v="6"/>
    <s v="NO1_A1"/>
    <x v="5"/>
    <x v="4"/>
    <x v="56"/>
    <x v="0"/>
    <x v="14"/>
    <n v="1262.8567912032099"/>
    <n v="460942.72878917097"/>
    <n v="1659393.8236410101"/>
  </r>
  <r>
    <x v="0"/>
    <x v="0"/>
    <x v="0"/>
    <x v="2"/>
    <x v="6"/>
    <s v="NO1_A1"/>
    <x v="5"/>
    <x v="4"/>
    <x v="56"/>
    <x v="0"/>
    <x v="15"/>
    <n v="1262.8567912032099"/>
    <n v="460942.72878917097"/>
    <n v="1659393.8236410101"/>
  </r>
  <r>
    <x v="0"/>
    <x v="0"/>
    <x v="0"/>
    <x v="2"/>
    <x v="6"/>
    <s v="NO1_A1"/>
    <x v="5"/>
    <x v="4"/>
    <x v="56"/>
    <x v="0"/>
    <x v="16"/>
    <n v="1262.8567912032099"/>
    <n v="460942.72878917097"/>
    <n v="1659393.8236410101"/>
  </r>
  <r>
    <x v="0"/>
    <x v="0"/>
    <x v="0"/>
    <x v="2"/>
    <x v="6"/>
    <s v="NO1_A1"/>
    <x v="5"/>
    <x v="4"/>
    <x v="56"/>
    <x v="0"/>
    <x v="17"/>
    <n v="1262.8567912032099"/>
    <n v="460942.72878917097"/>
    <n v="1659393.8236410101"/>
  </r>
  <r>
    <x v="0"/>
    <x v="0"/>
    <x v="0"/>
    <x v="2"/>
    <x v="6"/>
    <s v="NO1_A1"/>
    <x v="5"/>
    <x v="4"/>
    <x v="56"/>
    <x v="0"/>
    <x v="18"/>
    <n v="1262.8567912032099"/>
    <n v="460942.72878917097"/>
    <n v="1659393.8236410101"/>
  </r>
  <r>
    <x v="0"/>
    <x v="0"/>
    <x v="0"/>
    <x v="2"/>
    <x v="6"/>
    <s v="NO1_A1"/>
    <x v="5"/>
    <x v="4"/>
    <x v="56"/>
    <x v="0"/>
    <x v="19"/>
    <n v="1262.8567912032099"/>
    <n v="460942.72878917097"/>
    <n v="1659393.8236410101"/>
  </r>
  <r>
    <x v="0"/>
    <x v="0"/>
    <x v="0"/>
    <x v="2"/>
    <x v="6"/>
    <s v="NO1_A1"/>
    <x v="5"/>
    <x v="4"/>
    <x v="56"/>
    <x v="0"/>
    <x v="20"/>
    <n v="1262.8567912032099"/>
    <n v="460942.72878917097"/>
    <n v="1659393.8236410101"/>
  </r>
  <r>
    <x v="0"/>
    <x v="0"/>
    <x v="0"/>
    <x v="2"/>
    <x v="6"/>
    <s v="NO1_A1"/>
    <x v="5"/>
    <x v="4"/>
    <x v="56"/>
    <x v="0"/>
    <x v="21"/>
    <n v="1262.8567912032099"/>
    <n v="460942.72878917097"/>
    <n v="1659393.8236410101"/>
  </r>
  <r>
    <x v="0"/>
    <x v="0"/>
    <x v="0"/>
    <x v="2"/>
    <x v="6"/>
    <s v="NO1_A1"/>
    <x v="5"/>
    <x v="4"/>
    <x v="56"/>
    <x v="0"/>
    <x v="22"/>
    <n v="1262.8567912032099"/>
    <n v="460942.72878917097"/>
    <n v="1659393.8236410101"/>
  </r>
  <r>
    <x v="0"/>
    <x v="0"/>
    <x v="0"/>
    <x v="2"/>
    <x v="6"/>
    <s v="NO1_A1"/>
    <x v="5"/>
    <x v="4"/>
    <x v="56"/>
    <x v="0"/>
    <x v="23"/>
    <n v="1262.8567912032099"/>
    <n v="460942.72878917097"/>
    <n v="1659393.8236410101"/>
  </r>
  <r>
    <x v="0"/>
    <x v="0"/>
    <x v="0"/>
    <x v="2"/>
    <x v="6"/>
    <s v="NO1_A1"/>
    <x v="5"/>
    <x v="8"/>
    <x v="57"/>
    <x v="0"/>
    <x v="0"/>
    <n v="4388.7909470822897"/>
    <n v="1601908.69568504"/>
    <n v="5766871.3044661302"/>
  </r>
  <r>
    <x v="0"/>
    <x v="0"/>
    <x v="0"/>
    <x v="2"/>
    <x v="6"/>
    <s v="NO1_A1"/>
    <x v="5"/>
    <x v="8"/>
    <x v="57"/>
    <x v="0"/>
    <x v="1"/>
    <n v="2030.5333182335901"/>
    <n v="741144.66115526098"/>
    <n v="2668120.7801589398"/>
  </r>
  <r>
    <x v="0"/>
    <x v="0"/>
    <x v="0"/>
    <x v="2"/>
    <x v="6"/>
    <s v="NO1_A1"/>
    <x v="5"/>
    <x v="8"/>
    <x v="57"/>
    <x v="0"/>
    <x v="2"/>
    <n v="2047.8545388493801"/>
    <n v="747466.90668002504"/>
    <n v="2690880.8640480898"/>
  </r>
  <r>
    <x v="0"/>
    <x v="0"/>
    <x v="0"/>
    <x v="2"/>
    <x v="6"/>
    <s v="NO1_A1"/>
    <x v="5"/>
    <x v="8"/>
    <x v="57"/>
    <x v="0"/>
    <x v="3"/>
    <n v="2154.3800456365002"/>
    <n v="786348.71665732295"/>
    <n v="2830855.3799663601"/>
  </r>
  <r>
    <x v="0"/>
    <x v="0"/>
    <x v="0"/>
    <x v="2"/>
    <x v="6"/>
    <s v="NO1_A1"/>
    <x v="5"/>
    <x v="8"/>
    <x v="57"/>
    <x v="0"/>
    <x v="4"/>
    <n v="2228.9321226698498"/>
    <n v="813560.22477449698"/>
    <n v="2928816.8091881899"/>
  </r>
  <r>
    <x v="0"/>
    <x v="0"/>
    <x v="0"/>
    <x v="2"/>
    <x v="6"/>
    <s v="NO1_A1"/>
    <x v="5"/>
    <x v="8"/>
    <x v="57"/>
    <x v="0"/>
    <x v="5"/>
    <n v="2467.1911917774901"/>
    <n v="900524.78499878501"/>
    <n v="3241889.22599563"/>
  </r>
  <r>
    <x v="0"/>
    <x v="0"/>
    <x v="0"/>
    <x v="2"/>
    <x v="6"/>
    <s v="NO1_A1"/>
    <x v="5"/>
    <x v="8"/>
    <x v="57"/>
    <x v="0"/>
    <x v="6"/>
    <n v="3039.8437510333001"/>
    <n v="1109542.96912715"/>
    <n v="3994354.68885775"/>
  </r>
  <r>
    <x v="0"/>
    <x v="0"/>
    <x v="0"/>
    <x v="2"/>
    <x v="6"/>
    <s v="NO1_A1"/>
    <x v="5"/>
    <x v="8"/>
    <x v="57"/>
    <x v="0"/>
    <x v="7"/>
    <n v="3612.49890844621"/>
    <n v="1318562.1015828699"/>
    <n v="4746823.56569832"/>
  </r>
  <r>
    <x v="0"/>
    <x v="0"/>
    <x v="0"/>
    <x v="2"/>
    <x v="6"/>
    <s v="NO1_A1"/>
    <x v="5"/>
    <x v="8"/>
    <x v="57"/>
    <x v="0"/>
    <x v="8"/>
    <n v="5336.8048340421501"/>
    <n v="1947933.7644253899"/>
    <n v="7012561.5519313896"/>
  </r>
  <r>
    <x v="0"/>
    <x v="0"/>
    <x v="0"/>
    <x v="2"/>
    <x v="6"/>
    <s v="NO1_A1"/>
    <x v="5"/>
    <x v="8"/>
    <x v="57"/>
    <x v="0"/>
    <x v="9"/>
    <n v="3540.38886975389"/>
    <n v="1292241.9374601699"/>
    <n v="4652070.9748566104"/>
  </r>
  <r>
    <x v="0"/>
    <x v="0"/>
    <x v="0"/>
    <x v="2"/>
    <x v="6"/>
    <s v="NO1_A1"/>
    <x v="5"/>
    <x v="8"/>
    <x v="57"/>
    <x v="0"/>
    <x v="10"/>
    <n v="3345.8277853845302"/>
    <n v="1221227.1416653499"/>
    <n v="4396417.7099952698"/>
  </r>
  <r>
    <x v="0"/>
    <x v="0"/>
    <x v="0"/>
    <x v="2"/>
    <x v="6"/>
    <s v="NO1_A1"/>
    <x v="5"/>
    <x v="8"/>
    <x v="57"/>
    <x v="0"/>
    <x v="11"/>
    <n v="6117.5387270765896"/>
    <n v="2232901.6353829498"/>
    <n v="8038445.8873786395"/>
  </r>
  <r>
    <x v="0"/>
    <x v="0"/>
    <x v="0"/>
    <x v="2"/>
    <x v="6"/>
    <s v="NO1_A1"/>
    <x v="5"/>
    <x v="8"/>
    <x v="57"/>
    <x v="0"/>
    <x v="12"/>
    <n v="3323.1127554722998"/>
    <n v="1212936.1557473899"/>
    <n v="4366570.1606906001"/>
  </r>
  <r>
    <x v="0"/>
    <x v="0"/>
    <x v="0"/>
    <x v="2"/>
    <x v="6"/>
    <s v="NO1_A1"/>
    <x v="5"/>
    <x v="8"/>
    <x v="57"/>
    <x v="0"/>
    <x v="13"/>
    <n v="2917.0928402607601"/>
    <n v="1064738.8866951801"/>
    <n v="3833059.9921026402"/>
  </r>
  <r>
    <x v="0"/>
    <x v="0"/>
    <x v="0"/>
    <x v="2"/>
    <x v="6"/>
    <s v="NO1_A1"/>
    <x v="5"/>
    <x v="8"/>
    <x v="57"/>
    <x v="0"/>
    <x v="14"/>
    <n v="2850.5145175909702"/>
    <n v="1040437.7989207"/>
    <n v="3745576.07611454"/>
  </r>
  <r>
    <x v="0"/>
    <x v="0"/>
    <x v="0"/>
    <x v="2"/>
    <x v="6"/>
    <s v="NO1_A1"/>
    <x v="5"/>
    <x v="8"/>
    <x v="57"/>
    <x v="0"/>
    <x v="15"/>
    <n v="5076.4434055292104"/>
    <n v="1852901.84301816"/>
    <n v="6670446.6348653901"/>
  </r>
  <r>
    <x v="0"/>
    <x v="0"/>
    <x v="0"/>
    <x v="2"/>
    <x v="6"/>
    <s v="NO1_A1"/>
    <x v="5"/>
    <x v="8"/>
    <x v="57"/>
    <x v="0"/>
    <x v="16"/>
    <n v="5181.2367902547503"/>
    <n v="1891151.4284429799"/>
    <n v="6808145.1423947401"/>
  </r>
  <r>
    <x v="0"/>
    <x v="0"/>
    <x v="0"/>
    <x v="2"/>
    <x v="6"/>
    <s v="NO1_A1"/>
    <x v="5"/>
    <x v="8"/>
    <x v="57"/>
    <x v="0"/>
    <x v="17"/>
    <n v="2997.05742859476"/>
    <n v="1093925.9614370901"/>
    <n v="3938133.4611735102"/>
  </r>
  <r>
    <x v="0"/>
    <x v="0"/>
    <x v="0"/>
    <x v="2"/>
    <x v="6"/>
    <s v="NO1_A1"/>
    <x v="5"/>
    <x v="8"/>
    <x v="57"/>
    <x v="0"/>
    <x v="18"/>
    <n v="3437.6929170837798"/>
    <n v="1254757.9147355801"/>
    <n v="4517128.4930480802"/>
  </r>
  <r>
    <x v="0"/>
    <x v="0"/>
    <x v="0"/>
    <x v="2"/>
    <x v="6"/>
    <s v="NO1_A1"/>
    <x v="5"/>
    <x v="8"/>
    <x v="57"/>
    <x v="0"/>
    <x v="19"/>
    <n v="3318.36607101769"/>
    <n v="1211203.6159214601"/>
    <n v="4360333.0173172504"/>
  </r>
  <r>
    <x v="0"/>
    <x v="0"/>
    <x v="0"/>
    <x v="2"/>
    <x v="6"/>
    <s v="NO1_A1"/>
    <x v="5"/>
    <x v="8"/>
    <x v="57"/>
    <x v="0"/>
    <x v="20"/>
    <n v="3211.8405642305702"/>
    <n v="1172321.8059441601"/>
    <n v="4220358.5013989704"/>
  </r>
  <r>
    <x v="0"/>
    <x v="0"/>
    <x v="0"/>
    <x v="2"/>
    <x v="6"/>
    <s v="NO1_A1"/>
    <x v="5"/>
    <x v="8"/>
    <x v="57"/>
    <x v="0"/>
    <x v="21"/>
    <n v="5266.1107712721296"/>
    <n v="1922130.43151433"/>
    <n v="6919669.55345158"/>
  </r>
  <r>
    <x v="0"/>
    <x v="0"/>
    <x v="0"/>
    <x v="2"/>
    <x v="6"/>
    <s v="NO1_A1"/>
    <x v="5"/>
    <x v="8"/>
    <x v="57"/>
    <x v="0"/>
    <x v="22"/>
    <n v="2761.48882821999"/>
    <n v="1007943.4223003"/>
    <n v="3628596.3202810702"/>
  </r>
  <r>
    <x v="0"/>
    <x v="0"/>
    <x v="0"/>
    <x v="2"/>
    <x v="6"/>
    <s v="NO1_A1"/>
    <x v="5"/>
    <x v="8"/>
    <x v="57"/>
    <x v="0"/>
    <x v="23"/>
    <n v="2473.9565659978498"/>
    <n v="902994.14658921701"/>
    <n v="3250778.92772118"/>
  </r>
  <r>
    <x v="0"/>
    <x v="0"/>
    <x v="0"/>
    <x v="2"/>
    <x v="6"/>
    <s v="NO1_A2"/>
    <x v="1"/>
    <x v="1"/>
    <x v="58"/>
    <x v="0"/>
    <x v="6"/>
    <n v="-30.130855739288201"/>
    <n v="-10997.762344840199"/>
    <n v="-39591.944441424603"/>
  </r>
  <r>
    <x v="0"/>
    <x v="0"/>
    <x v="0"/>
    <x v="2"/>
    <x v="6"/>
    <s v="NO1_A2"/>
    <x v="1"/>
    <x v="1"/>
    <x v="58"/>
    <x v="0"/>
    <x v="7"/>
    <n v="-53.712389217115103"/>
    <n v="-19605.022064247001"/>
    <n v="-70578.079431289196"/>
  </r>
  <r>
    <x v="0"/>
    <x v="0"/>
    <x v="0"/>
    <x v="2"/>
    <x v="6"/>
    <s v="NO1_A2"/>
    <x v="1"/>
    <x v="1"/>
    <x v="58"/>
    <x v="0"/>
    <x v="8"/>
    <n v="-52.996562086052101"/>
    <n v="-19343.745161408999"/>
    <n v="-69637.482581072501"/>
  </r>
  <r>
    <x v="0"/>
    <x v="0"/>
    <x v="0"/>
    <x v="2"/>
    <x v="6"/>
    <s v="NO1_A2"/>
    <x v="1"/>
    <x v="1"/>
    <x v="58"/>
    <x v="0"/>
    <x v="9"/>
    <n v="-39.408827214753899"/>
    <n v="-14384.221933385201"/>
    <n v="-51783.198960186601"/>
  </r>
  <r>
    <x v="0"/>
    <x v="0"/>
    <x v="0"/>
    <x v="2"/>
    <x v="6"/>
    <s v="NO1_A2"/>
    <x v="1"/>
    <x v="1"/>
    <x v="58"/>
    <x v="0"/>
    <x v="10"/>
    <n v="-21.7953165361427"/>
    <n v="-7955.2905356921001"/>
    <n v="-28639.0459284916"/>
  </r>
  <r>
    <x v="0"/>
    <x v="0"/>
    <x v="0"/>
    <x v="2"/>
    <x v="6"/>
    <s v="NO1_A2"/>
    <x v="1"/>
    <x v="1"/>
    <x v="58"/>
    <x v="0"/>
    <x v="11"/>
    <n v="-4.1084214712868397"/>
    <n v="-1499.5738370197"/>
    <n v="-5398.4658132709101"/>
  </r>
  <r>
    <x v="0"/>
    <x v="0"/>
    <x v="0"/>
    <x v="2"/>
    <x v="6"/>
    <s v="NO1_A2"/>
    <x v="1"/>
    <x v="1"/>
    <x v="54"/>
    <x v="0"/>
    <x v="4"/>
    <n v="-7.0828385450714904E-2"/>
    <n v="-25.852360689510899"/>
    <n v="-93.068498482239306"/>
  </r>
  <r>
    <x v="0"/>
    <x v="0"/>
    <x v="0"/>
    <x v="2"/>
    <x v="6"/>
    <s v="NO1_A2"/>
    <x v="1"/>
    <x v="1"/>
    <x v="54"/>
    <x v="0"/>
    <x v="5"/>
    <n v="-7.0916022722719001"/>
    <n v="-2588.43482937924"/>
    <n v="-9318.3653857652807"/>
  </r>
  <r>
    <x v="0"/>
    <x v="0"/>
    <x v="0"/>
    <x v="2"/>
    <x v="6"/>
    <s v="NO1_A2"/>
    <x v="1"/>
    <x v="1"/>
    <x v="54"/>
    <x v="0"/>
    <x v="6"/>
    <n v="-11.1111111111111"/>
    <n v="-4055.5555555555602"/>
    <n v="-14600"/>
  </r>
  <r>
    <x v="0"/>
    <x v="0"/>
    <x v="0"/>
    <x v="2"/>
    <x v="6"/>
    <s v="NO1_A2"/>
    <x v="1"/>
    <x v="1"/>
    <x v="54"/>
    <x v="0"/>
    <x v="7"/>
    <n v="-11.1111111111111"/>
    <n v="-4055.5555555555602"/>
    <n v="-14600"/>
  </r>
  <r>
    <x v="0"/>
    <x v="0"/>
    <x v="0"/>
    <x v="2"/>
    <x v="6"/>
    <s v="NO1_A2"/>
    <x v="1"/>
    <x v="1"/>
    <x v="54"/>
    <x v="0"/>
    <x v="8"/>
    <n v="-11.1111111111111"/>
    <n v="-4055.5555555555602"/>
    <n v="-14600"/>
  </r>
  <r>
    <x v="0"/>
    <x v="0"/>
    <x v="0"/>
    <x v="2"/>
    <x v="6"/>
    <s v="NO1_A2"/>
    <x v="1"/>
    <x v="1"/>
    <x v="54"/>
    <x v="0"/>
    <x v="9"/>
    <n v="-11.1111111111111"/>
    <n v="-4055.5555555555602"/>
    <n v="-14600"/>
  </r>
  <r>
    <x v="0"/>
    <x v="0"/>
    <x v="0"/>
    <x v="2"/>
    <x v="6"/>
    <s v="NO1_A2"/>
    <x v="1"/>
    <x v="1"/>
    <x v="54"/>
    <x v="0"/>
    <x v="10"/>
    <n v="-11.1111111111111"/>
    <n v="-4055.5555555555602"/>
    <n v="-14600"/>
  </r>
  <r>
    <x v="0"/>
    <x v="0"/>
    <x v="0"/>
    <x v="2"/>
    <x v="6"/>
    <s v="NO1_A2"/>
    <x v="1"/>
    <x v="1"/>
    <x v="54"/>
    <x v="0"/>
    <x v="11"/>
    <n v="-11.1111111111111"/>
    <n v="-4055.5555555555602"/>
    <n v="-14600"/>
  </r>
  <r>
    <x v="0"/>
    <x v="0"/>
    <x v="0"/>
    <x v="2"/>
    <x v="6"/>
    <s v="NO1_A2"/>
    <x v="1"/>
    <x v="1"/>
    <x v="54"/>
    <x v="0"/>
    <x v="12"/>
    <n v="-8.5180627771891402"/>
    <n v="-3109.0929136740401"/>
    <n v="-11192.734489226499"/>
  </r>
  <r>
    <x v="0"/>
    <x v="0"/>
    <x v="0"/>
    <x v="2"/>
    <x v="6"/>
    <s v="NO1_A2"/>
    <x v="1"/>
    <x v="1"/>
    <x v="54"/>
    <x v="0"/>
    <x v="13"/>
    <n v="-5.6210113618036699"/>
    <n v="-2051.6691470583401"/>
    <n v="-7386.0089294100198"/>
  </r>
  <r>
    <x v="0"/>
    <x v="0"/>
    <x v="0"/>
    <x v="2"/>
    <x v="6"/>
    <s v="NO1_A2"/>
    <x v="1"/>
    <x v="1"/>
    <x v="54"/>
    <x v="0"/>
    <x v="14"/>
    <n v="-1.4924680205767"/>
    <n v="-544.75082751049604"/>
    <n v="-1961.10297903779"/>
  </r>
  <r>
    <x v="0"/>
    <x v="0"/>
    <x v="0"/>
    <x v="2"/>
    <x v="6"/>
    <s v="NO1_A2"/>
    <x v="2"/>
    <x v="2"/>
    <x v="55"/>
    <x v="0"/>
    <x v="0"/>
    <n v="11.0933333333332"/>
    <n v="4049.0666666666202"/>
    <n v="14576.639999999799"/>
  </r>
  <r>
    <x v="0"/>
    <x v="0"/>
    <x v="0"/>
    <x v="2"/>
    <x v="6"/>
    <s v="NO1_A2"/>
    <x v="2"/>
    <x v="2"/>
    <x v="55"/>
    <x v="0"/>
    <x v="1"/>
    <n v="11.0933333333332"/>
    <n v="4049.0666666666202"/>
    <n v="14576.639999999799"/>
  </r>
  <r>
    <x v="0"/>
    <x v="0"/>
    <x v="0"/>
    <x v="2"/>
    <x v="6"/>
    <s v="NO1_A2"/>
    <x v="2"/>
    <x v="2"/>
    <x v="55"/>
    <x v="0"/>
    <x v="2"/>
    <n v="11.0933333333332"/>
    <n v="4049.0666666666202"/>
    <n v="14576.639999999799"/>
  </r>
  <r>
    <x v="0"/>
    <x v="0"/>
    <x v="0"/>
    <x v="2"/>
    <x v="6"/>
    <s v="NO1_A2"/>
    <x v="2"/>
    <x v="2"/>
    <x v="55"/>
    <x v="0"/>
    <x v="3"/>
    <n v="11.0933333333332"/>
    <n v="4049.0666666666202"/>
    <n v="14576.639999999799"/>
  </r>
  <r>
    <x v="0"/>
    <x v="0"/>
    <x v="0"/>
    <x v="2"/>
    <x v="6"/>
    <s v="NO1_A2"/>
    <x v="2"/>
    <x v="2"/>
    <x v="55"/>
    <x v="0"/>
    <x v="4"/>
    <n v="11.0933333333332"/>
    <n v="4049.0666666666202"/>
    <n v="14576.639999999799"/>
  </r>
  <r>
    <x v="0"/>
    <x v="0"/>
    <x v="0"/>
    <x v="2"/>
    <x v="6"/>
    <s v="NO1_A2"/>
    <x v="2"/>
    <x v="2"/>
    <x v="55"/>
    <x v="0"/>
    <x v="5"/>
    <n v="11.0933333333332"/>
    <n v="4049.0666666666202"/>
    <n v="14576.639999999799"/>
  </r>
  <r>
    <x v="0"/>
    <x v="0"/>
    <x v="0"/>
    <x v="2"/>
    <x v="6"/>
    <s v="NO1_A2"/>
    <x v="2"/>
    <x v="2"/>
    <x v="55"/>
    <x v="0"/>
    <x v="6"/>
    <n v="11.0933333333332"/>
    <n v="4049.0666666666202"/>
    <n v="14576.639999999799"/>
  </r>
  <r>
    <x v="0"/>
    <x v="0"/>
    <x v="0"/>
    <x v="2"/>
    <x v="6"/>
    <s v="NO1_A2"/>
    <x v="2"/>
    <x v="2"/>
    <x v="55"/>
    <x v="0"/>
    <x v="7"/>
    <n v="11.0933333333332"/>
    <n v="4049.0666666666202"/>
    <n v="14576.639999999799"/>
  </r>
  <r>
    <x v="0"/>
    <x v="0"/>
    <x v="0"/>
    <x v="2"/>
    <x v="6"/>
    <s v="NO1_A2"/>
    <x v="2"/>
    <x v="2"/>
    <x v="55"/>
    <x v="0"/>
    <x v="8"/>
    <n v="11.0933333333332"/>
    <n v="4049.0666666666202"/>
    <n v="14576.639999999799"/>
  </r>
  <r>
    <x v="0"/>
    <x v="0"/>
    <x v="0"/>
    <x v="2"/>
    <x v="6"/>
    <s v="NO1_A2"/>
    <x v="2"/>
    <x v="2"/>
    <x v="55"/>
    <x v="0"/>
    <x v="9"/>
    <n v="11.0933333333332"/>
    <n v="4049.0666666666202"/>
    <n v="14576.639999999799"/>
  </r>
  <r>
    <x v="0"/>
    <x v="0"/>
    <x v="0"/>
    <x v="2"/>
    <x v="6"/>
    <s v="NO1_A2"/>
    <x v="2"/>
    <x v="2"/>
    <x v="55"/>
    <x v="0"/>
    <x v="10"/>
    <n v="11.0933333333332"/>
    <n v="4049.0666666666202"/>
    <n v="14576.639999999799"/>
  </r>
  <r>
    <x v="0"/>
    <x v="0"/>
    <x v="0"/>
    <x v="2"/>
    <x v="6"/>
    <s v="NO1_A2"/>
    <x v="2"/>
    <x v="2"/>
    <x v="55"/>
    <x v="0"/>
    <x v="11"/>
    <n v="11.0933333333332"/>
    <n v="4049.0666666666202"/>
    <n v="14576.639999999799"/>
  </r>
  <r>
    <x v="0"/>
    <x v="0"/>
    <x v="0"/>
    <x v="2"/>
    <x v="6"/>
    <s v="NO1_A2"/>
    <x v="2"/>
    <x v="2"/>
    <x v="55"/>
    <x v="0"/>
    <x v="12"/>
    <n v="11.0933333333332"/>
    <n v="4049.0666666666202"/>
    <n v="14576.639999999799"/>
  </r>
  <r>
    <x v="0"/>
    <x v="0"/>
    <x v="0"/>
    <x v="2"/>
    <x v="6"/>
    <s v="NO1_A2"/>
    <x v="2"/>
    <x v="2"/>
    <x v="55"/>
    <x v="0"/>
    <x v="13"/>
    <n v="11.0933333333332"/>
    <n v="4049.0666666666202"/>
    <n v="14576.639999999799"/>
  </r>
  <r>
    <x v="0"/>
    <x v="0"/>
    <x v="0"/>
    <x v="2"/>
    <x v="6"/>
    <s v="NO1_A2"/>
    <x v="2"/>
    <x v="2"/>
    <x v="55"/>
    <x v="0"/>
    <x v="14"/>
    <n v="11.0933333333332"/>
    <n v="4049.0666666666202"/>
    <n v="14576.639999999799"/>
  </r>
  <r>
    <x v="0"/>
    <x v="0"/>
    <x v="0"/>
    <x v="2"/>
    <x v="6"/>
    <s v="NO1_A2"/>
    <x v="2"/>
    <x v="2"/>
    <x v="55"/>
    <x v="0"/>
    <x v="15"/>
    <n v="11.0933333333332"/>
    <n v="4049.0666666666202"/>
    <n v="14576.639999999799"/>
  </r>
  <r>
    <x v="0"/>
    <x v="0"/>
    <x v="0"/>
    <x v="2"/>
    <x v="6"/>
    <s v="NO1_A2"/>
    <x v="2"/>
    <x v="2"/>
    <x v="55"/>
    <x v="0"/>
    <x v="16"/>
    <n v="11.0933333333332"/>
    <n v="4049.0666666666202"/>
    <n v="14576.639999999799"/>
  </r>
  <r>
    <x v="0"/>
    <x v="0"/>
    <x v="0"/>
    <x v="2"/>
    <x v="6"/>
    <s v="NO1_A2"/>
    <x v="2"/>
    <x v="2"/>
    <x v="55"/>
    <x v="0"/>
    <x v="17"/>
    <n v="11.0933333333332"/>
    <n v="4049.0666666666202"/>
    <n v="14576.639999999799"/>
  </r>
  <r>
    <x v="0"/>
    <x v="0"/>
    <x v="0"/>
    <x v="2"/>
    <x v="6"/>
    <s v="NO1_A2"/>
    <x v="2"/>
    <x v="2"/>
    <x v="55"/>
    <x v="0"/>
    <x v="18"/>
    <n v="11.0933333333332"/>
    <n v="4049.0666666666202"/>
    <n v="14576.639999999799"/>
  </r>
  <r>
    <x v="0"/>
    <x v="0"/>
    <x v="0"/>
    <x v="2"/>
    <x v="6"/>
    <s v="NO1_A2"/>
    <x v="2"/>
    <x v="2"/>
    <x v="55"/>
    <x v="0"/>
    <x v="19"/>
    <n v="11.0933333333332"/>
    <n v="4049.0666666666202"/>
    <n v="14576.639999999799"/>
  </r>
  <r>
    <x v="0"/>
    <x v="0"/>
    <x v="0"/>
    <x v="2"/>
    <x v="6"/>
    <s v="NO1_A2"/>
    <x v="2"/>
    <x v="2"/>
    <x v="55"/>
    <x v="0"/>
    <x v="20"/>
    <n v="11.0933333333332"/>
    <n v="4049.0666666666202"/>
    <n v="14576.639999999799"/>
  </r>
  <r>
    <x v="0"/>
    <x v="0"/>
    <x v="0"/>
    <x v="2"/>
    <x v="6"/>
    <s v="NO1_A2"/>
    <x v="2"/>
    <x v="2"/>
    <x v="55"/>
    <x v="0"/>
    <x v="21"/>
    <n v="11.0933333333332"/>
    <n v="4049.0666666666202"/>
    <n v="14576.639999999799"/>
  </r>
  <r>
    <x v="0"/>
    <x v="0"/>
    <x v="0"/>
    <x v="2"/>
    <x v="6"/>
    <s v="NO1_A2"/>
    <x v="2"/>
    <x v="2"/>
    <x v="55"/>
    <x v="0"/>
    <x v="22"/>
    <n v="11.0933333333332"/>
    <n v="4049.0666666666202"/>
    <n v="14576.639999999799"/>
  </r>
  <r>
    <x v="0"/>
    <x v="0"/>
    <x v="0"/>
    <x v="2"/>
    <x v="6"/>
    <s v="NO1_A2"/>
    <x v="2"/>
    <x v="2"/>
    <x v="55"/>
    <x v="0"/>
    <x v="23"/>
    <n v="11.0933333333332"/>
    <n v="4049.0666666666202"/>
    <n v="14576.639999999799"/>
  </r>
  <r>
    <x v="0"/>
    <x v="0"/>
    <x v="0"/>
    <x v="2"/>
    <x v="7"/>
    <s v="NO2_A1"/>
    <x v="2"/>
    <x v="2"/>
    <x v="55"/>
    <x v="0"/>
    <x v="0"/>
    <n v="10.1514847966418"/>
    <n v="3705.2919507742699"/>
    <n v="13339.0510227874"/>
  </r>
  <r>
    <x v="0"/>
    <x v="0"/>
    <x v="0"/>
    <x v="2"/>
    <x v="7"/>
    <s v="NO2_A1"/>
    <x v="2"/>
    <x v="2"/>
    <x v="55"/>
    <x v="0"/>
    <x v="1"/>
    <n v="10.399822411364299"/>
    <n v="3795.9351801479702"/>
    <n v="13665.366648532699"/>
  </r>
  <r>
    <x v="0"/>
    <x v="0"/>
    <x v="0"/>
    <x v="2"/>
    <x v="7"/>
    <s v="NO2_A1"/>
    <x v="2"/>
    <x v="2"/>
    <x v="55"/>
    <x v="0"/>
    <x v="2"/>
    <n v="10.5289938931934"/>
    <n v="3843.0827710156"/>
    <n v="13835.097975656099"/>
  </r>
  <r>
    <x v="0"/>
    <x v="0"/>
    <x v="0"/>
    <x v="2"/>
    <x v="7"/>
    <s v="NO2_A1"/>
    <x v="2"/>
    <x v="2"/>
    <x v="55"/>
    <x v="0"/>
    <x v="3"/>
    <n v="10.8"/>
    <n v="3942"/>
    <n v="14191.2"/>
  </r>
  <r>
    <x v="0"/>
    <x v="0"/>
    <x v="0"/>
    <x v="2"/>
    <x v="7"/>
    <s v="NO2_A1"/>
    <x v="2"/>
    <x v="2"/>
    <x v="55"/>
    <x v="0"/>
    <x v="4"/>
    <n v="10.8"/>
    <n v="3942"/>
    <n v="14191.2"/>
  </r>
  <r>
    <x v="0"/>
    <x v="0"/>
    <x v="0"/>
    <x v="2"/>
    <x v="7"/>
    <s v="NO2_A1"/>
    <x v="2"/>
    <x v="2"/>
    <x v="55"/>
    <x v="0"/>
    <x v="5"/>
    <n v="10.8"/>
    <n v="3942"/>
    <n v="14191.2"/>
  </r>
  <r>
    <x v="0"/>
    <x v="0"/>
    <x v="0"/>
    <x v="2"/>
    <x v="7"/>
    <s v="NO2_A1"/>
    <x v="2"/>
    <x v="2"/>
    <x v="55"/>
    <x v="0"/>
    <x v="6"/>
    <n v="10.8"/>
    <n v="3942"/>
    <n v="14191.2"/>
  </r>
  <r>
    <x v="0"/>
    <x v="0"/>
    <x v="0"/>
    <x v="2"/>
    <x v="7"/>
    <s v="NO2_A1"/>
    <x v="2"/>
    <x v="2"/>
    <x v="55"/>
    <x v="0"/>
    <x v="7"/>
    <n v="10.8"/>
    <n v="3942"/>
    <n v="14191.2"/>
  </r>
  <r>
    <x v="0"/>
    <x v="0"/>
    <x v="0"/>
    <x v="2"/>
    <x v="7"/>
    <s v="NO2_A1"/>
    <x v="2"/>
    <x v="2"/>
    <x v="55"/>
    <x v="0"/>
    <x v="8"/>
    <n v="10.8"/>
    <n v="3942"/>
    <n v="14191.2"/>
  </r>
  <r>
    <x v="0"/>
    <x v="0"/>
    <x v="0"/>
    <x v="2"/>
    <x v="7"/>
    <s v="NO2_A1"/>
    <x v="2"/>
    <x v="2"/>
    <x v="55"/>
    <x v="0"/>
    <x v="9"/>
    <n v="10.8"/>
    <n v="3942"/>
    <n v="14191.2"/>
  </r>
  <r>
    <x v="0"/>
    <x v="0"/>
    <x v="0"/>
    <x v="2"/>
    <x v="7"/>
    <s v="NO2_A1"/>
    <x v="2"/>
    <x v="2"/>
    <x v="55"/>
    <x v="0"/>
    <x v="10"/>
    <n v="10.8"/>
    <n v="3942"/>
    <n v="14191.2"/>
  </r>
  <r>
    <x v="0"/>
    <x v="0"/>
    <x v="0"/>
    <x v="2"/>
    <x v="7"/>
    <s v="NO2_A1"/>
    <x v="2"/>
    <x v="2"/>
    <x v="55"/>
    <x v="0"/>
    <x v="11"/>
    <n v="10.8"/>
    <n v="3942"/>
    <n v="14191.2"/>
  </r>
  <r>
    <x v="0"/>
    <x v="0"/>
    <x v="0"/>
    <x v="2"/>
    <x v="7"/>
    <s v="NO2_A1"/>
    <x v="2"/>
    <x v="2"/>
    <x v="55"/>
    <x v="0"/>
    <x v="12"/>
    <n v="10.8"/>
    <n v="3942"/>
    <n v="14191.2"/>
  </r>
  <r>
    <x v="0"/>
    <x v="0"/>
    <x v="0"/>
    <x v="2"/>
    <x v="7"/>
    <s v="NO2_A1"/>
    <x v="2"/>
    <x v="2"/>
    <x v="55"/>
    <x v="0"/>
    <x v="13"/>
    <n v="10.8"/>
    <n v="3942"/>
    <n v="14191.2"/>
  </r>
  <r>
    <x v="0"/>
    <x v="0"/>
    <x v="0"/>
    <x v="2"/>
    <x v="7"/>
    <s v="NO2_A1"/>
    <x v="2"/>
    <x v="2"/>
    <x v="55"/>
    <x v="0"/>
    <x v="14"/>
    <n v="10.8"/>
    <n v="3942"/>
    <n v="14191.2"/>
  </r>
  <r>
    <x v="0"/>
    <x v="0"/>
    <x v="0"/>
    <x v="2"/>
    <x v="7"/>
    <s v="NO2_A1"/>
    <x v="2"/>
    <x v="2"/>
    <x v="55"/>
    <x v="0"/>
    <x v="15"/>
    <n v="10.8"/>
    <n v="3942"/>
    <n v="14191.2"/>
  </r>
  <r>
    <x v="0"/>
    <x v="0"/>
    <x v="0"/>
    <x v="2"/>
    <x v="7"/>
    <s v="NO2_A1"/>
    <x v="2"/>
    <x v="2"/>
    <x v="55"/>
    <x v="0"/>
    <x v="16"/>
    <n v="10.8"/>
    <n v="3942"/>
    <n v="14191.2"/>
  </r>
  <r>
    <x v="0"/>
    <x v="0"/>
    <x v="0"/>
    <x v="2"/>
    <x v="7"/>
    <s v="NO2_A1"/>
    <x v="2"/>
    <x v="2"/>
    <x v="55"/>
    <x v="0"/>
    <x v="17"/>
    <n v="10.8"/>
    <n v="3942"/>
    <n v="14191.2"/>
  </r>
  <r>
    <x v="0"/>
    <x v="0"/>
    <x v="0"/>
    <x v="2"/>
    <x v="7"/>
    <s v="NO2_A1"/>
    <x v="2"/>
    <x v="2"/>
    <x v="55"/>
    <x v="0"/>
    <x v="18"/>
    <n v="10.8"/>
    <n v="3942"/>
    <n v="14191.2"/>
  </r>
  <r>
    <x v="0"/>
    <x v="0"/>
    <x v="0"/>
    <x v="2"/>
    <x v="7"/>
    <s v="NO2_A1"/>
    <x v="2"/>
    <x v="2"/>
    <x v="55"/>
    <x v="0"/>
    <x v="19"/>
    <n v="10.8"/>
    <n v="3942"/>
    <n v="14191.2"/>
  </r>
  <r>
    <x v="0"/>
    <x v="0"/>
    <x v="0"/>
    <x v="2"/>
    <x v="7"/>
    <s v="NO2_A1"/>
    <x v="2"/>
    <x v="2"/>
    <x v="55"/>
    <x v="0"/>
    <x v="20"/>
    <n v="10.8"/>
    <n v="3942"/>
    <n v="14191.2"/>
  </r>
  <r>
    <x v="0"/>
    <x v="0"/>
    <x v="0"/>
    <x v="2"/>
    <x v="7"/>
    <s v="NO2_A1"/>
    <x v="2"/>
    <x v="2"/>
    <x v="55"/>
    <x v="0"/>
    <x v="21"/>
    <n v="10.8"/>
    <n v="3942"/>
    <n v="14191.2"/>
  </r>
  <r>
    <x v="0"/>
    <x v="0"/>
    <x v="0"/>
    <x v="2"/>
    <x v="7"/>
    <s v="NO2_A1"/>
    <x v="2"/>
    <x v="2"/>
    <x v="55"/>
    <x v="0"/>
    <x v="22"/>
    <n v="10.8"/>
    <n v="3942"/>
    <n v="14191.2"/>
  </r>
  <r>
    <x v="0"/>
    <x v="0"/>
    <x v="0"/>
    <x v="2"/>
    <x v="7"/>
    <s v="NO2_A1"/>
    <x v="2"/>
    <x v="2"/>
    <x v="55"/>
    <x v="0"/>
    <x v="23"/>
    <n v="10.750275284669"/>
    <n v="3923.8504789041799"/>
    <n v="14125.861724054999"/>
  </r>
  <r>
    <x v="0"/>
    <x v="0"/>
    <x v="0"/>
    <x v="2"/>
    <x v="7"/>
    <s v="NO2_A1"/>
    <x v="5"/>
    <x v="4"/>
    <x v="56"/>
    <x v="0"/>
    <x v="0"/>
    <n v="1373.8822654635601"/>
    <n v="501467.02689420001"/>
    <n v="1805281.2968191199"/>
  </r>
  <r>
    <x v="0"/>
    <x v="0"/>
    <x v="0"/>
    <x v="2"/>
    <x v="7"/>
    <s v="NO2_A1"/>
    <x v="5"/>
    <x v="4"/>
    <x v="56"/>
    <x v="0"/>
    <x v="1"/>
    <n v="1373.8822654635601"/>
    <n v="501467.02689420001"/>
    <n v="1805281.2968191199"/>
  </r>
  <r>
    <x v="0"/>
    <x v="0"/>
    <x v="0"/>
    <x v="2"/>
    <x v="7"/>
    <s v="NO2_A1"/>
    <x v="5"/>
    <x v="4"/>
    <x v="56"/>
    <x v="0"/>
    <x v="2"/>
    <n v="1373.8822654635601"/>
    <n v="501467.02689420001"/>
    <n v="1805281.2968191199"/>
  </r>
  <r>
    <x v="0"/>
    <x v="0"/>
    <x v="0"/>
    <x v="2"/>
    <x v="7"/>
    <s v="NO2_A1"/>
    <x v="5"/>
    <x v="4"/>
    <x v="56"/>
    <x v="0"/>
    <x v="3"/>
    <n v="1373.8822654635601"/>
    <n v="501467.02689420001"/>
    <n v="1805281.2968191199"/>
  </r>
  <r>
    <x v="0"/>
    <x v="0"/>
    <x v="0"/>
    <x v="2"/>
    <x v="7"/>
    <s v="NO2_A1"/>
    <x v="5"/>
    <x v="4"/>
    <x v="56"/>
    <x v="0"/>
    <x v="4"/>
    <n v="1373.8822654635601"/>
    <n v="501467.02689420001"/>
    <n v="1805281.2968191199"/>
  </r>
  <r>
    <x v="0"/>
    <x v="0"/>
    <x v="0"/>
    <x v="2"/>
    <x v="7"/>
    <s v="NO2_A1"/>
    <x v="5"/>
    <x v="4"/>
    <x v="56"/>
    <x v="0"/>
    <x v="5"/>
    <n v="1373.8822654635601"/>
    <n v="501467.02689420001"/>
    <n v="1805281.2968191199"/>
  </r>
  <r>
    <x v="0"/>
    <x v="0"/>
    <x v="0"/>
    <x v="2"/>
    <x v="7"/>
    <s v="NO2_A1"/>
    <x v="5"/>
    <x v="4"/>
    <x v="56"/>
    <x v="0"/>
    <x v="6"/>
    <n v="1373.8822654635601"/>
    <n v="501467.02689420001"/>
    <n v="1805281.2968191199"/>
  </r>
  <r>
    <x v="0"/>
    <x v="0"/>
    <x v="0"/>
    <x v="2"/>
    <x v="7"/>
    <s v="NO2_A1"/>
    <x v="5"/>
    <x v="4"/>
    <x v="56"/>
    <x v="0"/>
    <x v="7"/>
    <n v="1373.8822654635601"/>
    <n v="501467.02689420001"/>
    <n v="1805281.2968191199"/>
  </r>
  <r>
    <x v="0"/>
    <x v="0"/>
    <x v="0"/>
    <x v="2"/>
    <x v="7"/>
    <s v="NO2_A1"/>
    <x v="5"/>
    <x v="4"/>
    <x v="56"/>
    <x v="0"/>
    <x v="8"/>
    <n v="1373.8822654635601"/>
    <n v="501467.02689420001"/>
    <n v="1805281.2968191199"/>
  </r>
  <r>
    <x v="0"/>
    <x v="0"/>
    <x v="0"/>
    <x v="2"/>
    <x v="7"/>
    <s v="NO2_A1"/>
    <x v="5"/>
    <x v="4"/>
    <x v="56"/>
    <x v="0"/>
    <x v="9"/>
    <n v="1373.8822654635601"/>
    <n v="501467.02689420001"/>
    <n v="1805281.2968191199"/>
  </r>
  <r>
    <x v="0"/>
    <x v="0"/>
    <x v="0"/>
    <x v="2"/>
    <x v="7"/>
    <s v="NO2_A1"/>
    <x v="5"/>
    <x v="4"/>
    <x v="56"/>
    <x v="0"/>
    <x v="10"/>
    <n v="1373.8822654635601"/>
    <n v="501467.02689420001"/>
    <n v="1805281.2968191199"/>
  </r>
  <r>
    <x v="0"/>
    <x v="0"/>
    <x v="0"/>
    <x v="2"/>
    <x v="7"/>
    <s v="NO2_A1"/>
    <x v="5"/>
    <x v="4"/>
    <x v="56"/>
    <x v="0"/>
    <x v="11"/>
    <n v="1373.8822654635601"/>
    <n v="501467.02689420001"/>
    <n v="1805281.2968191199"/>
  </r>
  <r>
    <x v="0"/>
    <x v="0"/>
    <x v="0"/>
    <x v="2"/>
    <x v="7"/>
    <s v="NO2_A1"/>
    <x v="5"/>
    <x v="4"/>
    <x v="56"/>
    <x v="0"/>
    <x v="12"/>
    <n v="1373.8822654635601"/>
    <n v="501467.02689420001"/>
    <n v="1805281.2968191199"/>
  </r>
  <r>
    <x v="0"/>
    <x v="0"/>
    <x v="0"/>
    <x v="2"/>
    <x v="7"/>
    <s v="NO2_A1"/>
    <x v="5"/>
    <x v="4"/>
    <x v="56"/>
    <x v="0"/>
    <x v="13"/>
    <n v="1373.8822654635601"/>
    <n v="501467.02689420001"/>
    <n v="1805281.2968191199"/>
  </r>
  <r>
    <x v="0"/>
    <x v="0"/>
    <x v="0"/>
    <x v="2"/>
    <x v="7"/>
    <s v="NO2_A1"/>
    <x v="5"/>
    <x v="4"/>
    <x v="56"/>
    <x v="0"/>
    <x v="14"/>
    <n v="1373.8822654635601"/>
    <n v="501467.02689420001"/>
    <n v="1805281.2968191199"/>
  </r>
  <r>
    <x v="0"/>
    <x v="0"/>
    <x v="0"/>
    <x v="2"/>
    <x v="7"/>
    <s v="NO2_A1"/>
    <x v="5"/>
    <x v="4"/>
    <x v="56"/>
    <x v="0"/>
    <x v="15"/>
    <n v="1373.8822654635601"/>
    <n v="501467.02689420001"/>
    <n v="1805281.2968191199"/>
  </r>
  <r>
    <x v="0"/>
    <x v="0"/>
    <x v="0"/>
    <x v="2"/>
    <x v="7"/>
    <s v="NO2_A1"/>
    <x v="5"/>
    <x v="4"/>
    <x v="56"/>
    <x v="0"/>
    <x v="16"/>
    <n v="1373.8822654635601"/>
    <n v="501467.02689420001"/>
    <n v="1805281.2968191199"/>
  </r>
  <r>
    <x v="0"/>
    <x v="0"/>
    <x v="0"/>
    <x v="2"/>
    <x v="7"/>
    <s v="NO2_A1"/>
    <x v="5"/>
    <x v="4"/>
    <x v="56"/>
    <x v="0"/>
    <x v="17"/>
    <n v="1373.8822654635601"/>
    <n v="501467.02689420001"/>
    <n v="1805281.2968191199"/>
  </r>
  <r>
    <x v="0"/>
    <x v="0"/>
    <x v="0"/>
    <x v="2"/>
    <x v="7"/>
    <s v="NO2_A1"/>
    <x v="5"/>
    <x v="4"/>
    <x v="56"/>
    <x v="0"/>
    <x v="18"/>
    <n v="1373.8822654635601"/>
    <n v="501467.02689420001"/>
    <n v="1805281.2968191199"/>
  </r>
  <r>
    <x v="0"/>
    <x v="0"/>
    <x v="0"/>
    <x v="2"/>
    <x v="7"/>
    <s v="NO2_A1"/>
    <x v="5"/>
    <x v="4"/>
    <x v="56"/>
    <x v="0"/>
    <x v="19"/>
    <n v="1373.8822654635601"/>
    <n v="501467.02689420001"/>
    <n v="1805281.2968191199"/>
  </r>
  <r>
    <x v="0"/>
    <x v="0"/>
    <x v="0"/>
    <x v="2"/>
    <x v="7"/>
    <s v="NO2_A1"/>
    <x v="5"/>
    <x v="4"/>
    <x v="56"/>
    <x v="0"/>
    <x v="20"/>
    <n v="1373.8822654635601"/>
    <n v="501467.02689420001"/>
    <n v="1805281.2968191199"/>
  </r>
  <r>
    <x v="0"/>
    <x v="0"/>
    <x v="0"/>
    <x v="2"/>
    <x v="7"/>
    <s v="NO2_A1"/>
    <x v="5"/>
    <x v="4"/>
    <x v="56"/>
    <x v="0"/>
    <x v="21"/>
    <n v="1373.8822654635601"/>
    <n v="501467.02689420001"/>
    <n v="1805281.2968191199"/>
  </r>
  <r>
    <x v="0"/>
    <x v="0"/>
    <x v="0"/>
    <x v="2"/>
    <x v="7"/>
    <s v="NO2_A1"/>
    <x v="5"/>
    <x v="4"/>
    <x v="56"/>
    <x v="0"/>
    <x v="22"/>
    <n v="1373.8822654635601"/>
    <n v="501467.02689420001"/>
    <n v="1805281.2968191199"/>
  </r>
  <r>
    <x v="0"/>
    <x v="0"/>
    <x v="0"/>
    <x v="2"/>
    <x v="7"/>
    <s v="NO2_A1"/>
    <x v="5"/>
    <x v="4"/>
    <x v="56"/>
    <x v="0"/>
    <x v="23"/>
    <n v="1373.8822654635601"/>
    <n v="501467.02689420001"/>
    <n v="1805281.2968191199"/>
  </r>
  <r>
    <x v="0"/>
    <x v="0"/>
    <x v="0"/>
    <x v="2"/>
    <x v="7"/>
    <s v="NO2_A1"/>
    <x v="5"/>
    <x v="8"/>
    <x v="57"/>
    <x v="0"/>
    <x v="0"/>
    <n v="1318.3713695382601"/>
    <n v="481205.54988146399"/>
    <n v="1732339.9795732701"/>
  </r>
  <r>
    <x v="0"/>
    <x v="0"/>
    <x v="0"/>
    <x v="2"/>
    <x v="7"/>
    <s v="NO2_A1"/>
    <x v="5"/>
    <x v="8"/>
    <x v="57"/>
    <x v="0"/>
    <x v="1"/>
    <n v="1973.04093797733"/>
    <n v="720159.94236172701"/>
    <n v="2592575.7925022198"/>
  </r>
  <r>
    <x v="0"/>
    <x v="0"/>
    <x v="0"/>
    <x v="2"/>
    <x v="7"/>
    <s v="NO2_A1"/>
    <x v="5"/>
    <x v="8"/>
    <x v="57"/>
    <x v="0"/>
    <x v="2"/>
    <n v="1800.5071850128099"/>
    <n v="657185.12252967595"/>
    <n v="2365866.4411068298"/>
  </r>
  <r>
    <x v="0"/>
    <x v="0"/>
    <x v="0"/>
    <x v="2"/>
    <x v="7"/>
    <s v="NO2_A1"/>
    <x v="5"/>
    <x v="8"/>
    <x v="57"/>
    <x v="0"/>
    <x v="3"/>
    <n v="1870.8352623123701"/>
    <n v="682854.87074401602"/>
    <n v="2458277.5346784601"/>
  </r>
  <r>
    <x v="0"/>
    <x v="0"/>
    <x v="0"/>
    <x v="2"/>
    <x v="7"/>
    <s v="NO2_A1"/>
    <x v="5"/>
    <x v="8"/>
    <x v="57"/>
    <x v="0"/>
    <x v="4"/>
    <n v="1890.9324368047701"/>
    <n v="690190.33943374199"/>
    <n v="2484685.2219614699"/>
  </r>
  <r>
    <x v="0"/>
    <x v="0"/>
    <x v="0"/>
    <x v="2"/>
    <x v="7"/>
    <s v="NO2_A1"/>
    <x v="5"/>
    <x v="8"/>
    <x v="57"/>
    <x v="0"/>
    <x v="5"/>
    <n v="1989.6822236647799"/>
    <n v="726234.01163764601"/>
    <n v="2614442.4418955301"/>
  </r>
  <r>
    <x v="0"/>
    <x v="0"/>
    <x v="0"/>
    <x v="2"/>
    <x v="7"/>
    <s v="NO2_A1"/>
    <x v="5"/>
    <x v="8"/>
    <x v="57"/>
    <x v="0"/>
    <x v="6"/>
    <n v="2376.2487912134102"/>
    <n v="867330.80879289599"/>
    <n v="3122390.91165443"/>
  </r>
  <r>
    <x v="0"/>
    <x v="0"/>
    <x v="0"/>
    <x v="2"/>
    <x v="7"/>
    <s v="NO2_A1"/>
    <x v="5"/>
    <x v="8"/>
    <x v="57"/>
    <x v="0"/>
    <x v="7"/>
    <n v="3047.2404023099998"/>
    <n v="1112242.7468431499"/>
    <n v="4004073.8886353401"/>
  </r>
  <r>
    <x v="0"/>
    <x v="0"/>
    <x v="0"/>
    <x v="2"/>
    <x v="7"/>
    <s v="NO2_A1"/>
    <x v="5"/>
    <x v="8"/>
    <x v="57"/>
    <x v="0"/>
    <x v="8"/>
    <n v="1753.80723008628"/>
    <n v="640139.63898149005"/>
    <n v="2304502.7003333699"/>
  </r>
  <r>
    <x v="0"/>
    <x v="0"/>
    <x v="0"/>
    <x v="2"/>
    <x v="7"/>
    <s v="NO2_A1"/>
    <x v="5"/>
    <x v="8"/>
    <x v="57"/>
    <x v="0"/>
    <x v="9"/>
    <n v="3622.92804126895"/>
    <n v="1322368.7350631701"/>
    <n v="4760527.4462273996"/>
  </r>
  <r>
    <x v="0"/>
    <x v="0"/>
    <x v="0"/>
    <x v="2"/>
    <x v="7"/>
    <s v="NO2_A1"/>
    <x v="5"/>
    <x v="8"/>
    <x v="57"/>
    <x v="0"/>
    <x v="10"/>
    <n v="4418.5619587882002"/>
    <n v="1612775.11495769"/>
    <n v="5805990.4138476904"/>
  </r>
  <r>
    <x v="0"/>
    <x v="0"/>
    <x v="0"/>
    <x v="2"/>
    <x v="7"/>
    <s v="NO2_A1"/>
    <x v="5"/>
    <x v="8"/>
    <x v="57"/>
    <x v="0"/>
    <x v="11"/>
    <n v="1656.8600257138301"/>
    <n v="604753.90938554902"/>
    <n v="2177114.0737879798"/>
  </r>
  <r>
    <x v="0"/>
    <x v="0"/>
    <x v="0"/>
    <x v="2"/>
    <x v="7"/>
    <s v="NO2_A1"/>
    <x v="5"/>
    <x v="8"/>
    <x v="57"/>
    <x v="0"/>
    <x v="12"/>
    <n v="3714.4732463658902"/>
    <n v="1355782.7349235499"/>
    <n v="4880817.8457247801"/>
  </r>
  <r>
    <x v="0"/>
    <x v="0"/>
    <x v="0"/>
    <x v="2"/>
    <x v="7"/>
    <s v="NO2_A1"/>
    <x v="5"/>
    <x v="8"/>
    <x v="57"/>
    <x v="0"/>
    <x v="13"/>
    <n v="3673.0722581490199"/>
    <n v="1340671.3742243899"/>
    <n v="4826416.9472078197"/>
  </r>
  <r>
    <x v="0"/>
    <x v="0"/>
    <x v="0"/>
    <x v="2"/>
    <x v="7"/>
    <s v="NO2_A1"/>
    <x v="5"/>
    <x v="8"/>
    <x v="57"/>
    <x v="0"/>
    <x v="14"/>
    <n v="3598.0442477167098"/>
    <n v="1313286.1504166001"/>
    <n v="4727830.1414997503"/>
  </r>
  <r>
    <x v="0"/>
    <x v="0"/>
    <x v="0"/>
    <x v="2"/>
    <x v="7"/>
    <s v="NO2_A1"/>
    <x v="5"/>
    <x v="8"/>
    <x v="57"/>
    <x v="0"/>
    <x v="15"/>
    <n v="1337.5616668164"/>
    <n v="488210.00838798803"/>
    <n v="1757556.0301967601"/>
  </r>
  <r>
    <x v="0"/>
    <x v="0"/>
    <x v="0"/>
    <x v="2"/>
    <x v="7"/>
    <s v="NO2_A1"/>
    <x v="5"/>
    <x v="8"/>
    <x v="57"/>
    <x v="0"/>
    <x v="16"/>
    <n v="1442.4152474391999"/>
    <n v="526481.56531530898"/>
    <n v="1895333.63513511"/>
  </r>
  <r>
    <x v="0"/>
    <x v="0"/>
    <x v="0"/>
    <x v="2"/>
    <x v="7"/>
    <s v="NO2_A1"/>
    <x v="5"/>
    <x v="8"/>
    <x v="57"/>
    <x v="0"/>
    <x v="17"/>
    <n v="4013.72825189997"/>
    <n v="1465010.8119434901"/>
    <n v="5274038.9229965704"/>
  </r>
  <r>
    <x v="0"/>
    <x v="0"/>
    <x v="0"/>
    <x v="2"/>
    <x v="7"/>
    <s v="NO2_A1"/>
    <x v="5"/>
    <x v="8"/>
    <x v="57"/>
    <x v="0"/>
    <x v="18"/>
    <n v="4141.36845358764"/>
    <n v="1511599.48555949"/>
    <n v="5441758.1480141599"/>
  </r>
  <r>
    <x v="0"/>
    <x v="0"/>
    <x v="0"/>
    <x v="2"/>
    <x v="7"/>
    <s v="NO2_A1"/>
    <x v="5"/>
    <x v="8"/>
    <x v="57"/>
    <x v="0"/>
    <x v="19"/>
    <n v="4846.4367736373697"/>
    <n v="1768949.4223776399"/>
    <n v="6368217.9205595003"/>
  </r>
  <r>
    <x v="0"/>
    <x v="0"/>
    <x v="0"/>
    <x v="2"/>
    <x v="7"/>
    <s v="NO2_A1"/>
    <x v="5"/>
    <x v="8"/>
    <x v="57"/>
    <x v="0"/>
    <x v="20"/>
    <n v="4164.4894223848096"/>
    <n v="1520038.6391704599"/>
    <n v="5472139.1010136502"/>
  </r>
  <r>
    <x v="0"/>
    <x v="0"/>
    <x v="0"/>
    <x v="2"/>
    <x v="7"/>
    <s v="NO2_A1"/>
    <x v="5"/>
    <x v="8"/>
    <x v="57"/>
    <x v="0"/>
    <x v="21"/>
    <n v="1854.2590107911201"/>
    <n v="676804.53893875901"/>
    <n v="2436496.34017953"/>
  </r>
  <r>
    <x v="0"/>
    <x v="0"/>
    <x v="0"/>
    <x v="2"/>
    <x v="7"/>
    <s v="NO2_A1"/>
    <x v="5"/>
    <x v="8"/>
    <x v="57"/>
    <x v="0"/>
    <x v="22"/>
    <n v="3612.3598983851998"/>
    <n v="1318511.3629105999"/>
    <n v="4746640.9064781498"/>
  </r>
  <r>
    <x v="0"/>
    <x v="0"/>
    <x v="0"/>
    <x v="2"/>
    <x v="7"/>
    <s v="NO2_A1"/>
    <x v="5"/>
    <x v="8"/>
    <x v="57"/>
    <x v="0"/>
    <x v="23"/>
    <n v="2958.11409155503"/>
    <n v="1079711.6434175901"/>
    <n v="3886961.9163033101"/>
  </r>
  <r>
    <x v="0"/>
    <x v="0"/>
    <x v="0"/>
    <x v="2"/>
    <x v="7"/>
    <s v="NO2_A1"/>
    <x v="6"/>
    <x v="5"/>
    <x v="11"/>
    <x v="0"/>
    <x v="0"/>
    <n v="155.29585934418199"/>
    <n v="56682.988660626397"/>
    <n v="204058.75917825499"/>
  </r>
  <r>
    <x v="0"/>
    <x v="0"/>
    <x v="0"/>
    <x v="2"/>
    <x v="7"/>
    <s v="NO2_A1"/>
    <x v="6"/>
    <x v="5"/>
    <x v="11"/>
    <x v="0"/>
    <x v="1"/>
    <n v="158.611416018532"/>
    <n v="57893.166846764201"/>
    <n v="208415.400648351"/>
  </r>
  <r>
    <x v="0"/>
    <x v="0"/>
    <x v="0"/>
    <x v="2"/>
    <x v="7"/>
    <s v="NO2_A1"/>
    <x v="6"/>
    <x v="5"/>
    <x v="11"/>
    <x v="0"/>
    <x v="2"/>
    <n v="221.67834854620699"/>
    <n v="80912.597219365503"/>
    <n v="291285.34998971602"/>
  </r>
  <r>
    <x v="0"/>
    <x v="0"/>
    <x v="0"/>
    <x v="2"/>
    <x v="7"/>
    <s v="NO2_A1"/>
    <x v="6"/>
    <x v="5"/>
    <x v="11"/>
    <x v="0"/>
    <x v="3"/>
    <n v="195.84774349282401"/>
    <n v="71484.426374880801"/>
    <n v="257343.934949571"/>
  </r>
  <r>
    <x v="0"/>
    <x v="0"/>
    <x v="0"/>
    <x v="2"/>
    <x v="7"/>
    <s v="NO2_A1"/>
    <x v="6"/>
    <x v="5"/>
    <x v="11"/>
    <x v="0"/>
    <x v="4"/>
    <n v="235.67660735126401"/>
    <n v="86021.961683211499"/>
    <n v="309679.06205956102"/>
  </r>
  <r>
    <x v="0"/>
    <x v="0"/>
    <x v="0"/>
    <x v="2"/>
    <x v="7"/>
    <s v="NO2_A1"/>
    <x v="6"/>
    <x v="5"/>
    <x v="11"/>
    <x v="0"/>
    <x v="5"/>
    <n v="235.242977160604"/>
    <n v="85863.686663620494"/>
    <n v="309109.27198903402"/>
  </r>
  <r>
    <x v="0"/>
    <x v="0"/>
    <x v="0"/>
    <x v="2"/>
    <x v="7"/>
    <s v="NO2_A1"/>
    <x v="6"/>
    <x v="5"/>
    <x v="11"/>
    <x v="0"/>
    <x v="6"/>
    <n v="232.577592797053"/>
    <n v="84890.821370924401"/>
    <n v="305606.95693532802"/>
  </r>
  <r>
    <x v="0"/>
    <x v="0"/>
    <x v="0"/>
    <x v="2"/>
    <x v="7"/>
    <s v="NO2_A1"/>
    <x v="6"/>
    <x v="5"/>
    <x v="11"/>
    <x v="0"/>
    <x v="7"/>
    <n v="228.56001672388999"/>
    <n v="83424.406104219903"/>
    <n v="300327.86197519198"/>
  </r>
  <r>
    <x v="0"/>
    <x v="0"/>
    <x v="0"/>
    <x v="2"/>
    <x v="7"/>
    <s v="NO2_A1"/>
    <x v="6"/>
    <x v="5"/>
    <x v="11"/>
    <x v="0"/>
    <x v="8"/>
    <n v="201.678311596974"/>
    <n v="73612.583732895495"/>
    <n v="265005.30143842398"/>
  </r>
  <r>
    <x v="0"/>
    <x v="0"/>
    <x v="0"/>
    <x v="2"/>
    <x v="7"/>
    <s v="NO2_A1"/>
    <x v="6"/>
    <x v="5"/>
    <x v="11"/>
    <x v="0"/>
    <x v="9"/>
    <n v="23.471225879354702"/>
    <n v="8566.99744596448"/>
    <n v="30841.190805472099"/>
  </r>
  <r>
    <x v="0"/>
    <x v="0"/>
    <x v="0"/>
    <x v="2"/>
    <x v="7"/>
    <s v="NO2_A1"/>
    <x v="6"/>
    <x v="5"/>
    <x v="11"/>
    <x v="0"/>
    <x v="10"/>
    <n v="18.958272627244"/>
    <n v="6919.7695089440604"/>
    <n v="24911.170232198601"/>
  </r>
  <r>
    <x v="0"/>
    <x v="0"/>
    <x v="0"/>
    <x v="2"/>
    <x v="7"/>
    <s v="NO2_A1"/>
    <x v="6"/>
    <x v="5"/>
    <x v="11"/>
    <x v="0"/>
    <x v="11"/>
    <n v="57.711705223426598"/>
    <n v="21064.772406550699"/>
    <n v="75833.180663582607"/>
  </r>
  <r>
    <x v="0"/>
    <x v="0"/>
    <x v="0"/>
    <x v="2"/>
    <x v="7"/>
    <s v="NO2_A1"/>
    <x v="6"/>
    <x v="5"/>
    <x v="11"/>
    <x v="0"/>
    <x v="12"/>
    <n v="57.677838101351"/>
    <n v="21052.4109069931"/>
    <n v="75788.679265175204"/>
  </r>
  <r>
    <x v="0"/>
    <x v="0"/>
    <x v="0"/>
    <x v="2"/>
    <x v="7"/>
    <s v="NO2_A1"/>
    <x v="6"/>
    <x v="5"/>
    <x v="11"/>
    <x v="0"/>
    <x v="13"/>
    <n v="59.3488830328264"/>
    <n v="21662.3423069817"/>
    <n v="77984.432305133902"/>
  </r>
  <r>
    <x v="0"/>
    <x v="0"/>
    <x v="0"/>
    <x v="2"/>
    <x v="7"/>
    <s v="NO2_A1"/>
    <x v="6"/>
    <x v="5"/>
    <x v="11"/>
    <x v="0"/>
    <x v="14"/>
    <n v="91.436261455813906"/>
    <n v="33374.235431372101"/>
    <n v="120147.24755293901"/>
  </r>
  <r>
    <x v="0"/>
    <x v="0"/>
    <x v="0"/>
    <x v="2"/>
    <x v="7"/>
    <s v="NO2_A1"/>
    <x v="6"/>
    <x v="5"/>
    <x v="11"/>
    <x v="0"/>
    <x v="15"/>
    <n v="135.87210942061799"/>
    <n v="49593.319938525499"/>
    <n v="178535.95177869199"/>
  </r>
  <r>
    <x v="0"/>
    <x v="0"/>
    <x v="0"/>
    <x v="2"/>
    <x v="7"/>
    <s v="NO2_A1"/>
    <x v="6"/>
    <x v="5"/>
    <x v="11"/>
    <x v="0"/>
    <x v="16"/>
    <n v="153.514659823816"/>
    <n v="56032.850835693003"/>
    <n v="201718.26300849501"/>
  </r>
  <r>
    <x v="0"/>
    <x v="0"/>
    <x v="0"/>
    <x v="2"/>
    <x v="7"/>
    <s v="NO2_A1"/>
    <x v="6"/>
    <x v="5"/>
    <x v="11"/>
    <x v="0"/>
    <x v="17"/>
    <n v="223.41428877984299"/>
    <n v="81546.215404642906"/>
    <n v="293566.37545671401"/>
  </r>
  <r>
    <x v="0"/>
    <x v="0"/>
    <x v="0"/>
    <x v="2"/>
    <x v="7"/>
    <s v="NO2_A1"/>
    <x v="6"/>
    <x v="5"/>
    <x v="11"/>
    <x v="0"/>
    <x v="18"/>
    <n v="231.544017730805"/>
    <n v="84513.566471743907"/>
    <n v="304248.83929827798"/>
  </r>
  <r>
    <x v="0"/>
    <x v="0"/>
    <x v="0"/>
    <x v="2"/>
    <x v="7"/>
    <s v="NO2_A1"/>
    <x v="6"/>
    <x v="5"/>
    <x v="11"/>
    <x v="0"/>
    <x v="19"/>
    <n v="238.03010845950499"/>
    <n v="86880.989587719305"/>
    <n v="312771.562515789"/>
  </r>
  <r>
    <x v="0"/>
    <x v="0"/>
    <x v="0"/>
    <x v="2"/>
    <x v="7"/>
    <s v="NO2_A1"/>
    <x v="6"/>
    <x v="5"/>
    <x v="11"/>
    <x v="0"/>
    <x v="20"/>
    <n v="238.38606810904801"/>
    <n v="87010.914859802593"/>
    <n v="313239.29349528899"/>
  </r>
  <r>
    <x v="0"/>
    <x v="0"/>
    <x v="0"/>
    <x v="2"/>
    <x v="7"/>
    <s v="NO2_A1"/>
    <x v="6"/>
    <x v="5"/>
    <x v="11"/>
    <x v="0"/>
    <x v="21"/>
    <n v="238.61966207947401"/>
    <n v="87096.176659008197"/>
    <n v="313546.23597242899"/>
  </r>
  <r>
    <x v="0"/>
    <x v="0"/>
    <x v="0"/>
    <x v="2"/>
    <x v="7"/>
    <s v="NO2_A1"/>
    <x v="6"/>
    <x v="5"/>
    <x v="11"/>
    <x v="0"/>
    <x v="22"/>
    <n v="238.42792430505801"/>
    <n v="87026.1923713461"/>
    <n v="313294.29253684601"/>
  </r>
  <r>
    <x v="0"/>
    <x v="0"/>
    <x v="0"/>
    <x v="2"/>
    <x v="7"/>
    <s v="NO2_A1"/>
    <x v="6"/>
    <x v="5"/>
    <x v="11"/>
    <x v="0"/>
    <x v="23"/>
    <n v="238.41180057042101"/>
    <n v="87020.307208203696"/>
    <n v="313273.105949533"/>
  </r>
  <r>
    <x v="0"/>
    <x v="0"/>
    <x v="0"/>
    <x v="2"/>
    <x v="8"/>
    <s v="NO3_A1"/>
    <x v="2"/>
    <x v="2"/>
    <x v="55"/>
    <x v="0"/>
    <x v="0"/>
    <n v="4.29"/>
    <n v="1565.85"/>
    <n v="5637.06"/>
  </r>
  <r>
    <x v="0"/>
    <x v="0"/>
    <x v="0"/>
    <x v="2"/>
    <x v="8"/>
    <s v="NO3_A1"/>
    <x v="2"/>
    <x v="2"/>
    <x v="55"/>
    <x v="0"/>
    <x v="1"/>
    <n v="4.29"/>
    <n v="1565.85"/>
    <n v="5637.06"/>
  </r>
  <r>
    <x v="0"/>
    <x v="0"/>
    <x v="0"/>
    <x v="2"/>
    <x v="8"/>
    <s v="NO3_A1"/>
    <x v="2"/>
    <x v="2"/>
    <x v="55"/>
    <x v="0"/>
    <x v="2"/>
    <n v="4.29"/>
    <n v="1565.85"/>
    <n v="5637.06"/>
  </r>
  <r>
    <x v="0"/>
    <x v="0"/>
    <x v="0"/>
    <x v="2"/>
    <x v="8"/>
    <s v="NO3_A1"/>
    <x v="2"/>
    <x v="2"/>
    <x v="55"/>
    <x v="0"/>
    <x v="3"/>
    <n v="4.29"/>
    <n v="1565.85"/>
    <n v="5637.06"/>
  </r>
  <r>
    <x v="0"/>
    <x v="0"/>
    <x v="0"/>
    <x v="2"/>
    <x v="8"/>
    <s v="NO3_A1"/>
    <x v="2"/>
    <x v="2"/>
    <x v="55"/>
    <x v="0"/>
    <x v="4"/>
    <n v="4.29"/>
    <n v="1565.85"/>
    <n v="5637.06"/>
  </r>
  <r>
    <x v="0"/>
    <x v="0"/>
    <x v="0"/>
    <x v="2"/>
    <x v="8"/>
    <s v="NO3_A1"/>
    <x v="2"/>
    <x v="2"/>
    <x v="55"/>
    <x v="0"/>
    <x v="5"/>
    <n v="4.29"/>
    <n v="1565.85"/>
    <n v="5637.06"/>
  </r>
  <r>
    <x v="0"/>
    <x v="0"/>
    <x v="0"/>
    <x v="2"/>
    <x v="8"/>
    <s v="NO3_A1"/>
    <x v="2"/>
    <x v="2"/>
    <x v="55"/>
    <x v="0"/>
    <x v="6"/>
    <n v="4.29"/>
    <n v="1565.85"/>
    <n v="5637.06"/>
  </r>
  <r>
    <x v="0"/>
    <x v="0"/>
    <x v="0"/>
    <x v="2"/>
    <x v="8"/>
    <s v="NO3_A1"/>
    <x v="2"/>
    <x v="2"/>
    <x v="55"/>
    <x v="0"/>
    <x v="7"/>
    <n v="4.29"/>
    <n v="1565.85"/>
    <n v="5637.06"/>
  </r>
  <r>
    <x v="0"/>
    <x v="0"/>
    <x v="0"/>
    <x v="2"/>
    <x v="8"/>
    <s v="NO3_A1"/>
    <x v="2"/>
    <x v="2"/>
    <x v="55"/>
    <x v="0"/>
    <x v="8"/>
    <n v="4.29"/>
    <n v="1565.85"/>
    <n v="5637.06"/>
  </r>
  <r>
    <x v="0"/>
    <x v="0"/>
    <x v="0"/>
    <x v="2"/>
    <x v="8"/>
    <s v="NO3_A1"/>
    <x v="2"/>
    <x v="2"/>
    <x v="55"/>
    <x v="0"/>
    <x v="9"/>
    <n v="4.29"/>
    <n v="1565.85"/>
    <n v="5637.06"/>
  </r>
  <r>
    <x v="0"/>
    <x v="0"/>
    <x v="0"/>
    <x v="2"/>
    <x v="8"/>
    <s v="NO3_A1"/>
    <x v="2"/>
    <x v="2"/>
    <x v="55"/>
    <x v="0"/>
    <x v="10"/>
    <n v="4.29"/>
    <n v="1565.85"/>
    <n v="5637.06"/>
  </r>
  <r>
    <x v="0"/>
    <x v="0"/>
    <x v="0"/>
    <x v="2"/>
    <x v="8"/>
    <s v="NO3_A1"/>
    <x v="2"/>
    <x v="2"/>
    <x v="55"/>
    <x v="0"/>
    <x v="11"/>
    <n v="4.29"/>
    <n v="1565.85"/>
    <n v="5637.06"/>
  </r>
  <r>
    <x v="0"/>
    <x v="0"/>
    <x v="0"/>
    <x v="2"/>
    <x v="8"/>
    <s v="NO3_A1"/>
    <x v="2"/>
    <x v="2"/>
    <x v="55"/>
    <x v="0"/>
    <x v="12"/>
    <n v="4.29"/>
    <n v="1565.85"/>
    <n v="5637.06"/>
  </r>
  <r>
    <x v="0"/>
    <x v="0"/>
    <x v="0"/>
    <x v="2"/>
    <x v="8"/>
    <s v="NO3_A1"/>
    <x v="2"/>
    <x v="2"/>
    <x v="55"/>
    <x v="0"/>
    <x v="13"/>
    <n v="4.29"/>
    <n v="1565.85"/>
    <n v="5637.06"/>
  </r>
  <r>
    <x v="0"/>
    <x v="0"/>
    <x v="0"/>
    <x v="2"/>
    <x v="8"/>
    <s v="NO3_A1"/>
    <x v="2"/>
    <x v="2"/>
    <x v="55"/>
    <x v="0"/>
    <x v="14"/>
    <n v="4.29"/>
    <n v="1565.85"/>
    <n v="5637.06"/>
  </r>
  <r>
    <x v="0"/>
    <x v="0"/>
    <x v="0"/>
    <x v="2"/>
    <x v="8"/>
    <s v="NO3_A1"/>
    <x v="2"/>
    <x v="2"/>
    <x v="55"/>
    <x v="0"/>
    <x v="15"/>
    <n v="4.29"/>
    <n v="1565.85"/>
    <n v="5637.06"/>
  </r>
  <r>
    <x v="0"/>
    <x v="0"/>
    <x v="0"/>
    <x v="2"/>
    <x v="8"/>
    <s v="NO3_A1"/>
    <x v="2"/>
    <x v="2"/>
    <x v="55"/>
    <x v="0"/>
    <x v="16"/>
    <n v="4.29"/>
    <n v="1565.85"/>
    <n v="5637.06"/>
  </r>
  <r>
    <x v="0"/>
    <x v="0"/>
    <x v="0"/>
    <x v="2"/>
    <x v="8"/>
    <s v="NO3_A1"/>
    <x v="2"/>
    <x v="2"/>
    <x v="55"/>
    <x v="0"/>
    <x v="17"/>
    <n v="4.29"/>
    <n v="1565.85"/>
    <n v="5637.06"/>
  </r>
  <r>
    <x v="0"/>
    <x v="0"/>
    <x v="0"/>
    <x v="2"/>
    <x v="8"/>
    <s v="NO3_A1"/>
    <x v="2"/>
    <x v="2"/>
    <x v="55"/>
    <x v="0"/>
    <x v="18"/>
    <n v="4.29"/>
    <n v="1565.85"/>
    <n v="5637.06"/>
  </r>
  <r>
    <x v="0"/>
    <x v="0"/>
    <x v="0"/>
    <x v="2"/>
    <x v="8"/>
    <s v="NO3_A1"/>
    <x v="2"/>
    <x v="2"/>
    <x v="55"/>
    <x v="0"/>
    <x v="19"/>
    <n v="4.29"/>
    <n v="1565.85"/>
    <n v="5637.06"/>
  </r>
  <r>
    <x v="0"/>
    <x v="0"/>
    <x v="0"/>
    <x v="2"/>
    <x v="8"/>
    <s v="NO3_A1"/>
    <x v="2"/>
    <x v="2"/>
    <x v="55"/>
    <x v="0"/>
    <x v="20"/>
    <n v="4.29"/>
    <n v="1565.85"/>
    <n v="5637.06"/>
  </r>
  <r>
    <x v="0"/>
    <x v="0"/>
    <x v="0"/>
    <x v="2"/>
    <x v="8"/>
    <s v="NO3_A1"/>
    <x v="2"/>
    <x v="2"/>
    <x v="55"/>
    <x v="0"/>
    <x v="21"/>
    <n v="4.29"/>
    <n v="1565.85"/>
    <n v="5637.06"/>
  </r>
  <r>
    <x v="0"/>
    <x v="0"/>
    <x v="0"/>
    <x v="2"/>
    <x v="8"/>
    <s v="NO3_A1"/>
    <x v="2"/>
    <x v="2"/>
    <x v="55"/>
    <x v="0"/>
    <x v="22"/>
    <n v="4.29"/>
    <n v="1565.85"/>
    <n v="5637.06"/>
  </r>
  <r>
    <x v="0"/>
    <x v="0"/>
    <x v="0"/>
    <x v="2"/>
    <x v="8"/>
    <s v="NO3_A1"/>
    <x v="2"/>
    <x v="2"/>
    <x v="55"/>
    <x v="0"/>
    <x v="23"/>
    <n v="4.29"/>
    <n v="1565.85"/>
    <n v="5637.06"/>
  </r>
  <r>
    <x v="0"/>
    <x v="0"/>
    <x v="0"/>
    <x v="2"/>
    <x v="8"/>
    <s v="NO3_A1"/>
    <x v="5"/>
    <x v="4"/>
    <x v="56"/>
    <x v="0"/>
    <x v="0"/>
    <n v="825.22798133178901"/>
    <n v="301208.21318610298"/>
    <n v="1084349.5674699701"/>
  </r>
  <r>
    <x v="0"/>
    <x v="0"/>
    <x v="0"/>
    <x v="2"/>
    <x v="8"/>
    <s v="NO3_A1"/>
    <x v="5"/>
    <x v="4"/>
    <x v="56"/>
    <x v="0"/>
    <x v="1"/>
    <n v="825.22798133178901"/>
    <n v="301208.21318610298"/>
    <n v="1084349.5674699701"/>
  </r>
  <r>
    <x v="0"/>
    <x v="0"/>
    <x v="0"/>
    <x v="2"/>
    <x v="8"/>
    <s v="NO3_A1"/>
    <x v="5"/>
    <x v="4"/>
    <x v="56"/>
    <x v="0"/>
    <x v="2"/>
    <n v="825.22798133178901"/>
    <n v="301208.21318610298"/>
    <n v="1084349.5674699701"/>
  </r>
  <r>
    <x v="0"/>
    <x v="0"/>
    <x v="0"/>
    <x v="2"/>
    <x v="8"/>
    <s v="NO3_A1"/>
    <x v="5"/>
    <x v="4"/>
    <x v="56"/>
    <x v="0"/>
    <x v="3"/>
    <n v="825.22798133178901"/>
    <n v="301208.21318610298"/>
    <n v="1084349.5674699701"/>
  </r>
  <r>
    <x v="0"/>
    <x v="0"/>
    <x v="0"/>
    <x v="2"/>
    <x v="8"/>
    <s v="NO3_A1"/>
    <x v="5"/>
    <x v="4"/>
    <x v="56"/>
    <x v="0"/>
    <x v="4"/>
    <n v="825.22798133178901"/>
    <n v="301208.21318610298"/>
    <n v="1084349.5674699701"/>
  </r>
  <r>
    <x v="0"/>
    <x v="0"/>
    <x v="0"/>
    <x v="2"/>
    <x v="8"/>
    <s v="NO3_A1"/>
    <x v="5"/>
    <x v="4"/>
    <x v="56"/>
    <x v="0"/>
    <x v="5"/>
    <n v="825.22798133178901"/>
    <n v="301208.21318610298"/>
    <n v="1084349.5674699701"/>
  </r>
  <r>
    <x v="0"/>
    <x v="0"/>
    <x v="0"/>
    <x v="2"/>
    <x v="8"/>
    <s v="NO3_A1"/>
    <x v="5"/>
    <x v="4"/>
    <x v="56"/>
    <x v="0"/>
    <x v="6"/>
    <n v="825.22798133178901"/>
    <n v="301208.21318610298"/>
    <n v="1084349.5674699701"/>
  </r>
  <r>
    <x v="0"/>
    <x v="0"/>
    <x v="0"/>
    <x v="2"/>
    <x v="8"/>
    <s v="NO3_A1"/>
    <x v="5"/>
    <x v="4"/>
    <x v="56"/>
    <x v="0"/>
    <x v="7"/>
    <n v="825.22798133178901"/>
    <n v="301208.21318610298"/>
    <n v="1084349.5674699701"/>
  </r>
  <r>
    <x v="0"/>
    <x v="0"/>
    <x v="0"/>
    <x v="2"/>
    <x v="8"/>
    <s v="NO3_A1"/>
    <x v="5"/>
    <x v="4"/>
    <x v="56"/>
    <x v="0"/>
    <x v="8"/>
    <n v="825.22798133178901"/>
    <n v="301208.21318610298"/>
    <n v="1084349.5674699701"/>
  </r>
  <r>
    <x v="0"/>
    <x v="0"/>
    <x v="0"/>
    <x v="2"/>
    <x v="8"/>
    <s v="NO3_A1"/>
    <x v="5"/>
    <x v="4"/>
    <x v="56"/>
    <x v="0"/>
    <x v="9"/>
    <n v="825.22798133178901"/>
    <n v="301208.21318610298"/>
    <n v="1084349.5674699701"/>
  </r>
  <r>
    <x v="0"/>
    <x v="0"/>
    <x v="0"/>
    <x v="2"/>
    <x v="8"/>
    <s v="NO3_A1"/>
    <x v="5"/>
    <x v="4"/>
    <x v="56"/>
    <x v="0"/>
    <x v="10"/>
    <n v="825.22798133178901"/>
    <n v="301208.21318610298"/>
    <n v="1084349.5674699701"/>
  </r>
  <r>
    <x v="0"/>
    <x v="0"/>
    <x v="0"/>
    <x v="2"/>
    <x v="8"/>
    <s v="NO3_A1"/>
    <x v="5"/>
    <x v="4"/>
    <x v="56"/>
    <x v="0"/>
    <x v="11"/>
    <n v="825.22798133178901"/>
    <n v="301208.21318610298"/>
    <n v="1084349.5674699701"/>
  </r>
  <r>
    <x v="0"/>
    <x v="0"/>
    <x v="0"/>
    <x v="2"/>
    <x v="8"/>
    <s v="NO3_A1"/>
    <x v="5"/>
    <x v="4"/>
    <x v="56"/>
    <x v="0"/>
    <x v="12"/>
    <n v="825.22798133178901"/>
    <n v="301208.21318610298"/>
    <n v="1084349.5674699701"/>
  </r>
  <r>
    <x v="0"/>
    <x v="0"/>
    <x v="0"/>
    <x v="2"/>
    <x v="8"/>
    <s v="NO3_A1"/>
    <x v="5"/>
    <x v="4"/>
    <x v="56"/>
    <x v="0"/>
    <x v="13"/>
    <n v="825.22798133178901"/>
    <n v="301208.21318610298"/>
    <n v="1084349.5674699701"/>
  </r>
  <r>
    <x v="0"/>
    <x v="0"/>
    <x v="0"/>
    <x v="2"/>
    <x v="8"/>
    <s v="NO3_A1"/>
    <x v="5"/>
    <x v="4"/>
    <x v="56"/>
    <x v="0"/>
    <x v="14"/>
    <n v="825.22798133178901"/>
    <n v="301208.21318610298"/>
    <n v="1084349.5674699701"/>
  </r>
  <r>
    <x v="0"/>
    <x v="0"/>
    <x v="0"/>
    <x v="2"/>
    <x v="8"/>
    <s v="NO3_A1"/>
    <x v="5"/>
    <x v="4"/>
    <x v="56"/>
    <x v="0"/>
    <x v="15"/>
    <n v="825.22798133178901"/>
    <n v="301208.21318610298"/>
    <n v="1084349.5674699701"/>
  </r>
  <r>
    <x v="0"/>
    <x v="0"/>
    <x v="0"/>
    <x v="2"/>
    <x v="8"/>
    <s v="NO3_A1"/>
    <x v="5"/>
    <x v="4"/>
    <x v="56"/>
    <x v="0"/>
    <x v="16"/>
    <n v="825.22798133178901"/>
    <n v="301208.21318610298"/>
    <n v="1084349.5674699701"/>
  </r>
  <r>
    <x v="0"/>
    <x v="0"/>
    <x v="0"/>
    <x v="2"/>
    <x v="8"/>
    <s v="NO3_A1"/>
    <x v="5"/>
    <x v="4"/>
    <x v="56"/>
    <x v="0"/>
    <x v="17"/>
    <n v="825.22798133178901"/>
    <n v="301208.21318610298"/>
    <n v="1084349.5674699701"/>
  </r>
  <r>
    <x v="0"/>
    <x v="0"/>
    <x v="0"/>
    <x v="2"/>
    <x v="8"/>
    <s v="NO3_A1"/>
    <x v="5"/>
    <x v="4"/>
    <x v="56"/>
    <x v="0"/>
    <x v="18"/>
    <n v="825.22798133178901"/>
    <n v="301208.21318610298"/>
    <n v="1084349.5674699701"/>
  </r>
  <r>
    <x v="0"/>
    <x v="0"/>
    <x v="0"/>
    <x v="2"/>
    <x v="8"/>
    <s v="NO3_A1"/>
    <x v="5"/>
    <x v="4"/>
    <x v="56"/>
    <x v="0"/>
    <x v="19"/>
    <n v="825.22798133178901"/>
    <n v="301208.21318610298"/>
    <n v="1084349.5674699701"/>
  </r>
  <r>
    <x v="0"/>
    <x v="0"/>
    <x v="0"/>
    <x v="2"/>
    <x v="8"/>
    <s v="NO3_A1"/>
    <x v="5"/>
    <x v="4"/>
    <x v="56"/>
    <x v="0"/>
    <x v="20"/>
    <n v="825.22798133178901"/>
    <n v="301208.21318610298"/>
    <n v="1084349.5674699701"/>
  </r>
  <r>
    <x v="0"/>
    <x v="0"/>
    <x v="0"/>
    <x v="2"/>
    <x v="8"/>
    <s v="NO3_A1"/>
    <x v="5"/>
    <x v="4"/>
    <x v="56"/>
    <x v="0"/>
    <x v="21"/>
    <n v="825.22798133178901"/>
    <n v="301208.21318610298"/>
    <n v="1084349.5674699701"/>
  </r>
  <r>
    <x v="0"/>
    <x v="0"/>
    <x v="0"/>
    <x v="2"/>
    <x v="8"/>
    <s v="NO3_A1"/>
    <x v="5"/>
    <x v="4"/>
    <x v="56"/>
    <x v="0"/>
    <x v="22"/>
    <n v="825.22798133178901"/>
    <n v="301208.21318610298"/>
    <n v="1084349.5674699701"/>
  </r>
  <r>
    <x v="0"/>
    <x v="0"/>
    <x v="0"/>
    <x v="2"/>
    <x v="8"/>
    <s v="NO3_A1"/>
    <x v="5"/>
    <x v="4"/>
    <x v="56"/>
    <x v="0"/>
    <x v="23"/>
    <n v="825.22798133178901"/>
    <n v="301208.21318610298"/>
    <n v="1084349.5674699701"/>
  </r>
  <r>
    <x v="0"/>
    <x v="0"/>
    <x v="0"/>
    <x v="2"/>
    <x v="8"/>
    <s v="NO3_A1"/>
    <x v="5"/>
    <x v="8"/>
    <x v="57"/>
    <x v="0"/>
    <x v="0"/>
    <n v="1688.1295539944399"/>
    <n v="616167.28720797005"/>
    <n v="2218202.2339486899"/>
  </r>
  <r>
    <x v="0"/>
    <x v="0"/>
    <x v="0"/>
    <x v="2"/>
    <x v="8"/>
    <s v="NO3_A1"/>
    <x v="5"/>
    <x v="8"/>
    <x v="57"/>
    <x v="0"/>
    <x v="1"/>
    <n v="781.05115839131997"/>
    <n v="285083.672812832"/>
    <n v="1026301.22212619"/>
  </r>
  <r>
    <x v="0"/>
    <x v="0"/>
    <x v="0"/>
    <x v="2"/>
    <x v="8"/>
    <s v="NO3_A1"/>
    <x v="5"/>
    <x v="8"/>
    <x v="57"/>
    <x v="0"/>
    <x v="2"/>
    <n v="1596.08925273881"/>
    <n v="582572.57724966598"/>
    <n v="2097261.2780988002"/>
  </r>
  <r>
    <x v="0"/>
    <x v="0"/>
    <x v="0"/>
    <x v="2"/>
    <x v="8"/>
    <s v="NO3_A1"/>
    <x v="5"/>
    <x v="8"/>
    <x v="57"/>
    <x v="0"/>
    <x v="3"/>
    <n v="761.57329316263099"/>
    <n v="277974.25200436002"/>
    <n v="1000707.3072157"/>
  </r>
  <r>
    <x v="0"/>
    <x v="0"/>
    <x v="0"/>
    <x v="2"/>
    <x v="8"/>
    <s v="NO3_A1"/>
    <x v="5"/>
    <x v="8"/>
    <x v="57"/>
    <x v="0"/>
    <x v="5"/>
    <n v="1684.2443145355701"/>
    <n v="614749.17480548203"/>
    <n v="2213097.02929973"/>
  </r>
  <r>
    <x v="0"/>
    <x v="0"/>
    <x v="0"/>
    <x v="2"/>
    <x v="8"/>
    <s v="NO3_A1"/>
    <x v="5"/>
    <x v="8"/>
    <x v="57"/>
    <x v="0"/>
    <x v="6"/>
    <n v="1020.92874189904"/>
    <n v="372638.99079314998"/>
    <n v="1341500.3668553401"/>
  </r>
  <r>
    <x v="0"/>
    <x v="0"/>
    <x v="0"/>
    <x v="2"/>
    <x v="8"/>
    <s v="NO3_A1"/>
    <x v="5"/>
    <x v="8"/>
    <x v="57"/>
    <x v="0"/>
    <x v="7"/>
    <n v="2134.2306673678299"/>
    <n v="778994.19358925801"/>
    <n v="2804379.0969213299"/>
  </r>
  <r>
    <x v="0"/>
    <x v="0"/>
    <x v="0"/>
    <x v="2"/>
    <x v="8"/>
    <s v="NO3_A1"/>
    <x v="5"/>
    <x v="8"/>
    <x v="57"/>
    <x v="0"/>
    <x v="8"/>
    <n v="2292.5715735477802"/>
    <n v="836788.62434493902"/>
    <n v="3012439.0476417802"/>
  </r>
  <r>
    <x v="0"/>
    <x v="0"/>
    <x v="0"/>
    <x v="2"/>
    <x v="8"/>
    <s v="NO3_A1"/>
    <x v="5"/>
    <x v="8"/>
    <x v="57"/>
    <x v="0"/>
    <x v="9"/>
    <n v="3175.3214225316501"/>
    <n v="1158992.31922405"/>
    <n v="4172372.3492065901"/>
  </r>
  <r>
    <x v="0"/>
    <x v="0"/>
    <x v="0"/>
    <x v="2"/>
    <x v="8"/>
    <s v="NO3_A1"/>
    <x v="5"/>
    <x v="8"/>
    <x v="57"/>
    <x v="0"/>
    <x v="10"/>
    <n v="1475.19984757934"/>
    <n v="538447.94436645904"/>
    <n v="1938412.5997192501"/>
  </r>
  <r>
    <x v="0"/>
    <x v="0"/>
    <x v="0"/>
    <x v="2"/>
    <x v="8"/>
    <s v="NO3_A1"/>
    <x v="5"/>
    <x v="8"/>
    <x v="57"/>
    <x v="0"/>
    <x v="12"/>
    <n v="891.30052338108806"/>
    <n v="325324.69103409699"/>
    <n v="1171168.88772275"/>
  </r>
  <r>
    <x v="0"/>
    <x v="0"/>
    <x v="0"/>
    <x v="2"/>
    <x v="8"/>
    <s v="NO3_A1"/>
    <x v="5"/>
    <x v="8"/>
    <x v="57"/>
    <x v="0"/>
    <x v="13"/>
    <n v="1040.9384066099799"/>
    <n v="379942.518412643"/>
    <n v="1367793.0662855101"/>
  </r>
  <r>
    <x v="0"/>
    <x v="0"/>
    <x v="0"/>
    <x v="2"/>
    <x v="8"/>
    <s v="NO3_A1"/>
    <x v="5"/>
    <x v="8"/>
    <x v="57"/>
    <x v="0"/>
    <x v="14"/>
    <n v="1907.1121534716201"/>
    <n v="696095.93601714203"/>
    <n v="2505945.3696617102"/>
  </r>
  <r>
    <x v="0"/>
    <x v="0"/>
    <x v="0"/>
    <x v="2"/>
    <x v="8"/>
    <s v="NO3_A1"/>
    <x v="5"/>
    <x v="8"/>
    <x v="57"/>
    <x v="0"/>
    <x v="15"/>
    <n v="1934.0025523669501"/>
    <n v="705910.93161393504"/>
    <n v="2541279.3538101702"/>
  </r>
  <r>
    <x v="0"/>
    <x v="0"/>
    <x v="0"/>
    <x v="2"/>
    <x v="8"/>
    <s v="NO3_A1"/>
    <x v="5"/>
    <x v="8"/>
    <x v="57"/>
    <x v="0"/>
    <x v="16"/>
    <n v="1916.2955094334"/>
    <n v="699447.86094319099"/>
    <n v="2518012.29939549"/>
  </r>
  <r>
    <x v="0"/>
    <x v="0"/>
    <x v="0"/>
    <x v="2"/>
    <x v="8"/>
    <s v="NO3_A1"/>
    <x v="5"/>
    <x v="8"/>
    <x v="57"/>
    <x v="0"/>
    <x v="17"/>
    <n v="1912.8251932445401"/>
    <n v="698181.19553425605"/>
    <n v="2513452.30392332"/>
  </r>
  <r>
    <x v="0"/>
    <x v="0"/>
    <x v="0"/>
    <x v="2"/>
    <x v="8"/>
    <s v="NO3_A1"/>
    <x v="5"/>
    <x v="8"/>
    <x v="57"/>
    <x v="0"/>
    <x v="18"/>
    <n v="1086.0088912169499"/>
    <n v="396393.24529418699"/>
    <n v="1427015.68305907"/>
  </r>
  <r>
    <x v="0"/>
    <x v="0"/>
    <x v="0"/>
    <x v="2"/>
    <x v="8"/>
    <s v="NO3_A1"/>
    <x v="5"/>
    <x v="8"/>
    <x v="57"/>
    <x v="0"/>
    <x v="19"/>
    <n v="2983.8922300305999"/>
    <n v="1089120.66396117"/>
    <n v="3920834.3902602098"/>
  </r>
  <r>
    <x v="0"/>
    <x v="0"/>
    <x v="0"/>
    <x v="2"/>
    <x v="8"/>
    <s v="NO3_A1"/>
    <x v="5"/>
    <x v="8"/>
    <x v="57"/>
    <x v="0"/>
    <x v="20"/>
    <n v="3056.1571704744802"/>
    <n v="1115497.3672231899"/>
    <n v="4015790.52200347"/>
  </r>
  <r>
    <x v="0"/>
    <x v="0"/>
    <x v="0"/>
    <x v="2"/>
    <x v="8"/>
    <s v="NO3_A1"/>
    <x v="5"/>
    <x v="8"/>
    <x v="57"/>
    <x v="0"/>
    <x v="21"/>
    <n v="3024.7826200622999"/>
    <n v="1104045.65632274"/>
    <n v="3974564.36276187"/>
  </r>
  <r>
    <x v="0"/>
    <x v="0"/>
    <x v="0"/>
    <x v="2"/>
    <x v="8"/>
    <s v="NO3_A1"/>
    <x v="5"/>
    <x v="8"/>
    <x v="57"/>
    <x v="0"/>
    <x v="22"/>
    <n v="2359.0351788994799"/>
    <n v="861047.84029831097"/>
    <n v="3099772.2250739201"/>
  </r>
  <r>
    <x v="0"/>
    <x v="0"/>
    <x v="0"/>
    <x v="2"/>
    <x v="8"/>
    <s v="NO3_A1"/>
    <x v="5"/>
    <x v="8"/>
    <x v="57"/>
    <x v="0"/>
    <x v="23"/>
    <n v="1721.7790334429601"/>
    <n v="628449.34720667999"/>
    <n v="2262417.6499440498"/>
  </r>
  <r>
    <x v="0"/>
    <x v="0"/>
    <x v="0"/>
    <x v="2"/>
    <x v="8"/>
    <s v="NO3_A1"/>
    <x v="6"/>
    <x v="5"/>
    <x v="11"/>
    <x v="0"/>
    <x v="0"/>
    <n v="125.431234681204"/>
    <n v="45782.400658639301"/>
    <n v="164816.642371102"/>
  </r>
  <r>
    <x v="0"/>
    <x v="0"/>
    <x v="0"/>
    <x v="2"/>
    <x v="8"/>
    <s v="NO3_A1"/>
    <x v="6"/>
    <x v="5"/>
    <x v="11"/>
    <x v="0"/>
    <x v="1"/>
    <n v="135.31839572200201"/>
    <n v="49391.214438530602"/>
    <n v="177808.37197871"/>
  </r>
  <r>
    <x v="0"/>
    <x v="0"/>
    <x v="0"/>
    <x v="2"/>
    <x v="8"/>
    <s v="NO3_A1"/>
    <x v="6"/>
    <x v="5"/>
    <x v="11"/>
    <x v="0"/>
    <x v="2"/>
    <n v="120.54542596705799"/>
    <n v="43999.080477976102"/>
    <n v="158396.689720714"/>
  </r>
  <r>
    <x v="0"/>
    <x v="0"/>
    <x v="0"/>
    <x v="2"/>
    <x v="8"/>
    <s v="NO3_A1"/>
    <x v="6"/>
    <x v="5"/>
    <x v="11"/>
    <x v="0"/>
    <x v="3"/>
    <n v="116.99031974803199"/>
    <n v="42701.466708031701"/>
    <n v="153725.280148914"/>
  </r>
  <r>
    <x v="0"/>
    <x v="0"/>
    <x v="0"/>
    <x v="2"/>
    <x v="8"/>
    <s v="NO3_A1"/>
    <x v="6"/>
    <x v="5"/>
    <x v="11"/>
    <x v="0"/>
    <x v="4"/>
    <n v="144.53098874835999"/>
    <n v="52753.8108931514"/>
    <n v="189913.71921534499"/>
  </r>
  <r>
    <x v="0"/>
    <x v="0"/>
    <x v="0"/>
    <x v="2"/>
    <x v="8"/>
    <s v="NO3_A1"/>
    <x v="6"/>
    <x v="5"/>
    <x v="11"/>
    <x v="0"/>
    <x v="5"/>
    <n v="140.200527188553"/>
    <n v="51173.192423822002"/>
    <n v="184223.49272575899"/>
  </r>
  <r>
    <x v="0"/>
    <x v="0"/>
    <x v="0"/>
    <x v="2"/>
    <x v="8"/>
    <s v="NO3_A1"/>
    <x v="6"/>
    <x v="5"/>
    <x v="11"/>
    <x v="0"/>
    <x v="6"/>
    <n v="127.355771278955"/>
    <n v="46484.856516818603"/>
    <n v="167345.483460547"/>
  </r>
  <r>
    <x v="0"/>
    <x v="0"/>
    <x v="0"/>
    <x v="2"/>
    <x v="8"/>
    <s v="NO3_A1"/>
    <x v="6"/>
    <x v="5"/>
    <x v="11"/>
    <x v="0"/>
    <x v="7"/>
    <n v="116.549984128573"/>
    <n v="42540.744206929201"/>
    <n v="153146.679144945"/>
  </r>
  <r>
    <x v="0"/>
    <x v="0"/>
    <x v="0"/>
    <x v="2"/>
    <x v="8"/>
    <s v="NO3_A1"/>
    <x v="6"/>
    <x v="5"/>
    <x v="11"/>
    <x v="0"/>
    <x v="8"/>
    <n v="108.019195372371"/>
    <n v="39427.006310915203"/>
    <n v="141937.22271929501"/>
  </r>
  <r>
    <x v="0"/>
    <x v="0"/>
    <x v="0"/>
    <x v="2"/>
    <x v="8"/>
    <s v="NO3_A1"/>
    <x v="6"/>
    <x v="5"/>
    <x v="11"/>
    <x v="0"/>
    <x v="9"/>
    <n v="78.149445243151703"/>
    <n v="28524.5475137504"/>
    <n v="102688.371049501"/>
  </r>
  <r>
    <x v="0"/>
    <x v="0"/>
    <x v="0"/>
    <x v="2"/>
    <x v="8"/>
    <s v="NO3_A1"/>
    <x v="6"/>
    <x v="5"/>
    <x v="11"/>
    <x v="0"/>
    <x v="10"/>
    <n v="36.266162695861702"/>
    <n v="13237.149383989499"/>
    <n v="47653.737782362201"/>
  </r>
  <r>
    <x v="0"/>
    <x v="0"/>
    <x v="0"/>
    <x v="2"/>
    <x v="8"/>
    <s v="NO3_A1"/>
    <x v="6"/>
    <x v="5"/>
    <x v="11"/>
    <x v="0"/>
    <x v="11"/>
    <n v="31.096614719607999"/>
    <n v="11350.2643726569"/>
    <n v="40860.951741564902"/>
  </r>
  <r>
    <x v="0"/>
    <x v="0"/>
    <x v="0"/>
    <x v="2"/>
    <x v="8"/>
    <s v="NO3_A1"/>
    <x v="6"/>
    <x v="5"/>
    <x v="11"/>
    <x v="0"/>
    <x v="12"/>
    <n v="57.379830578016303"/>
    <n v="20943.638160975999"/>
    <n v="75397.097379513507"/>
  </r>
  <r>
    <x v="0"/>
    <x v="0"/>
    <x v="0"/>
    <x v="2"/>
    <x v="8"/>
    <s v="NO3_A1"/>
    <x v="6"/>
    <x v="5"/>
    <x v="11"/>
    <x v="0"/>
    <x v="13"/>
    <n v="118.043502377297"/>
    <n v="43085.878367713398"/>
    <n v="155109.16212376801"/>
  </r>
  <r>
    <x v="0"/>
    <x v="0"/>
    <x v="0"/>
    <x v="2"/>
    <x v="8"/>
    <s v="NO3_A1"/>
    <x v="6"/>
    <x v="5"/>
    <x v="11"/>
    <x v="0"/>
    <x v="14"/>
    <n v="147.916728747007"/>
    <n v="53989.605992657402"/>
    <n v="194362.581573567"/>
  </r>
  <r>
    <x v="0"/>
    <x v="0"/>
    <x v="0"/>
    <x v="2"/>
    <x v="8"/>
    <s v="NO3_A1"/>
    <x v="6"/>
    <x v="5"/>
    <x v="11"/>
    <x v="0"/>
    <x v="15"/>
    <n v="156.003717467207"/>
    <n v="56941.356875530502"/>
    <n v="204988.88475190999"/>
  </r>
  <r>
    <x v="0"/>
    <x v="0"/>
    <x v="0"/>
    <x v="2"/>
    <x v="8"/>
    <s v="NO3_A1"/>
    <x v="6"/>
    <x v="5"/>
    <x v="11"/>
    <x v="0"/>
    <x v="16"/>
    <n v="175.14706642786601"/>
    <n v="63928.679246171101"/>
    <n v="230143.245286216"/>
  </r>
  <r>
    <x v="0"/>
    <x v="0"/>
    <x v="0"/>
    <x v="2"/>
    <x v="8"/>
    <s v="NO3_A1"/>
    <x v="6"/>
    <x v="5"/>
    <x v="11"/>
    <x v="0"/>
    <x v="17"/>
    <n v="175.29537419819701"/>
    <n v="63982.811582341703"/>
    <n v="230338.12169643"/>
  </r>
  <r>
    <x v="0"/>
    <x v="0"/>
    <x v="0"/>
    <x v="2"/>
    <x v="8"/>
    <s v="NO3_A1"/>
    <x v="6"/>
    <x v="5"/>
    <x v="11"/>
    <x v="0"/>
    <x v="18"/>
    <n v="178.47038780899101"/>
    <n v="65141.691550281801"/>
    <n v="234510.089581015"/>
  </r>
  <r>
    <x v="0"/>
    <x v="0"/>
    <x v="0"/>
    <x v="2"/>
    <x v="8"/>
    <s v="NO3_A1"/>
    <x v="6"/>
    <x v="5"/>
    <x v="11"/>
    <x v="0"/>
    <x v="19"/>
    <n v="142.208127015721"/>
    <n v="51905.966360738297"/>
    <n v="186861.47889865801"/>
  </r>
  <r>
    <x v="0"/>
    <x v="0"/>
    <x v="0"/>
    <x v="2"/>
    <x v="8"/>
    <s v="NO3_A1"/>
    <x v="6"/>
    <x v="5"/>
    <x v="11"/>
    <x v="0"/>
    <x v="20"/>
    <n v="102.615686951923"/>
    <n v="37454.725737451801"/>
    <n v="134837.01265482599"/>
  </r>
  <r>
    <x v="0"/>
    <x v="0"/>
    <x v="0"/>
    <x v="2"/>
    <x v="8"/>
    <s v="NO3_A1"/>
    <x v="6"/>
    <x v="5"/>
    <x v="11"/>
    <x v="0"/>
    <x v="21"/>
    <n v="76.507784759358998"/>
    <n v="27925.341437166"/>
    <n v="100531.229173798"/>
  </r>
  <r>
    <x v="0"/>
    <x v="0"/>
    <x v="0"/>
    <x v="2"/>
    <x v="8"/>
    <s v="NO3_A1"/>
    <x v="6"/>
    <x v="5"/>
    <x v="11"/>
    <x v="0"/>
    <x v="22"/>
    <n v="65.583131467293995"/>
    <n v="23937.8429855623"/>
    <n v="86176.234748024304"/>
  </r>
  <r>
    <x v="0"/>
    <x v="0"/>
    <x v="0"/>
    <x v="2"/>
    <x v="8"/>
    <s v="NO3_A1"/>
    <x v="6"/>
    <x v="5"/>
    <x v="11"/>
    <x v="0"/>
    <x v="23"/>
    <n v="71.694870679996399"/>
    <n v="26168.6277981987"/>
    <n v="94207.060073515298"/>
  </r>
  <r>
    <x v="0"/>
    <x v="0"/>
    <x v="0"/>
    <x v="2"/>
    <x v="9"/>
    <s v="NO4_A1"/>
    <x v="2"/>
    <x v="2"/>
    <x v="55"/>
    <x v="0"/>
    <x v="0"/>
    <n v="0.13608000000000001"/>
    <n v="49.669199999999996"/>
    <n v="178.80912000000001"/>
  </r>
  <r>
    <x v="0"/>
    <x v="0"/>
    <x v="0"/>
    <x v="2"/>
    <x v="9"/>
    <s v="NO4_A1"/>
    <x v="2"/>
    <x v="2"/>
    <x v="55"/>
    <x v="0"/>
    <x v="1"/>
    <n v="0.13608000000000001"/>
    <n v="49.669199999999996"/>
    <n v="178.80912000000001"/>
  </r>
  <r>
    <x v="0"/>
    <x v="0"/>
    <x v="0"/>
    <x v="2"/>
    <x v="9"/>
    <s v="NO4_A1"/>
    <x v="2"/>
    <x v="2"/>
    <x v="55"/>
    <x v="0"/>
    <x v="2"/>
    <n v="0.13608000000000001"/>
    <n v="49.669199999999996"/>
    <n v="178.80912000000001"/>
  </r>
  <r>
    <x v="0"/>
    <x v="0"/>
    <x v="0"/>
    <x v="2"/>
    <x v="9"/>
    <s v="NO4_A1"/>
    <x v="2"/>
    <x v="2"/>
    <x v="55"/>
    <x v="0"/>
    <x v="3"/>
    <n v="0.13608000000000001"/>
    <n v="49.669199999999996"/>
    <n v="178.80912000000001"/>
  </r>
  <r>
    <x v="0"/>
    <x v="0"/>
    <x v="0"/>
    <x v="2"/>
    <x v="9"/>
    <s v="NO4_A1"/>
    <x v="2"/>
    <x v="2"/>
    <x v="55"/>
    <x v="0"/>
    <x v="4"/>
    <n v="0.13608000000000001"/>
    <n v="49.669199999999996"/>
    <n v="178.80912000000001"/>
  </r>
  <r>
    <x v="0"/>
    <x v="0"/>
    <x v="0"/>
    <x v="2"/>
    <x v="9"/>
    <s v="NO4_A1"/>
    <x v="2"/>
    <x v="2"/>
    <x v="55"/>
    <x v="0"/>
    <x v="5"/>
    <n v="0.13608000000000001"/>
    <n v="49.669199999999996"/>
    <n v="178.80912000000001"/>
  </r>
  <r>
    <x v="0"/>
    <x v="0"/>
    <x v="0"/>
    <x v="2"/>
    <x v="9"/>
    <s v="NO4_A1"/>
    <x v="2"/>
    <x v="2"/>
    <x v="55"/>
    <x v="0"/>
    <x v="6"/>
    <n v="0.13608000000000001"/>
    <n v="49.669199999999996"/>
    <n v="178.80912000000001"/>
  </r>
  <r>
    <x v="0"/>
    <x v="0"/>
    <x v="0"/>
    <x v="2"/>
    <x v="9"/>
    <s v="NO4_A1"/>
    <x v="2"/>
    <x v="2"/>
    <x v="55"/>
    <x v="0"/>
    <x v="7"/>
    <n v="0.13608000000000001"/>
    <n v="49.669199999999996"/>
    <n v="178.80912000000001"/>
  </r>
  <r>
    <x v="0"/>
    <x v="0"/>
    <x v="0"/>
    <x v="2"/>
    <x v="9"/>
    <s v="NO4_A1"/>
    <x v="2"/>
    <x v="2"/>
    <x v="55"/>
    <x v="0"/>
    <x v="8"/>
    <n v="0.13608000000000001"/>
    <n v="49.669199999999996"/>
    <n v="178.80912000000001"/>
  </r>
  <r>
    <x v="0"/>
    <x v="0"/>
    <x v="0"/>
    <x v="2"/>
    <x v="9"/>
    <s v="NO4_A1"/>
    <x v="2"/>
    <x v="2"/>
    <x v="55"/>
    <x v="0"/>
    <x v="9"/>
    <n v="0.13608000000000001"/>
    <n v="49.669199999999996"/>
    <n v="178.80912000000001"/>
  </r>
  <r>
    <x v="0"/>
    <x v="0"/>
    <x v="0"/>
    <x v="2"/>
    <x v="9"/>
    <s v="NO4_A1"/>
    <x v="2"/>
    <x v="2"/>
    <x v="55"/>
    <x v="0"/>
    <x v="10"/>
    <n v="0.13608000000000001"/>
    <n v="49.669199999999996"/>
    <n v="178.80912000000001"/>
  </r>
  <r>
    <x v="0"/>
    <x v="0"/>
    <x v="0"/>
    <x v="2"/>
    <x v="9"/>
    <s v="NO4_A1"/>
    <x v="2"/>
    <x v="2"/>
    <x v="55"/>
    <x v="0"/>
    <x v="11"/>
    <n v="0.13608000000000001"/>
    <n v="49.669199999999996"/>
    <n v="178.80912000000001"/>
  </r>
  <r>
    <x v="0"/>
    <x v="0"/>
    <x v="0"/>
    <x v="2"/>
    <x v="9"/>
    <s v="NO4_A1"/>
    <x v="2"/>
    <x v="2"/>
    <x v="55"/>
    <x v="0"/>
    <x v="12"/>
    <n v="0.13608000000000001"/>
    <n v="49.669199999999996"/>
    <n v="178.80912000000001"/>
  </r>
  <r>
    <x v="0"/>
    <x v="0"/>
    <x v="0"/>
    <x v="2"/>
    <x v="9"/>
    <s v="NO4_A1"/>
    <x v="2"/>
    <x v="2"/>
    <x v="55"/>
    <x v="0"/>
    <x v="13"/>
    <n v="0.13608000000000001"/>
    <n v="49.669199999999996"/>
    <n v="178.80912000000001"/>
  </r>
  <r>
    <x v="0"/>
    <x v="0"/>
    <x v="0"/>
    <x v="2"/>
    <x v="9"/>
    <s v="NO4_A1"/>
    <x v="2"/>
    <x v="2"/>
    <x v="55"/>
    <x v="0"/>
    <x v="14"/>
    <n v="0.13608000000000001"/>
    <n v="49.669199999999996"/>
    <n v="178.80912000000001"/>
  </r>
  <r>
    <x v="0"/>
    <x v="0"/>
    <x v="0"/>
    <x v="2"/>
    <x v="9"/>
    <s v="NO4_A1"/>
    <x v="2"/>
    <x v="2"/>
    <x v="55"/>
    <x v="0"/>
    <x v="15"/>
    <n v="0.13608000000000001"/>
    <n v="49.669199999999996"/>
    <n v="178.80912000000001"/>
  </r>
  <r>
    <x v="0"/>
    <x v="0"/>
    <x v="0"/>
    <x v="2"/>
    <x v="9"/>
    <s v="NO4_A1"/>
    <x v="2"/>
    <x v="2"/>
    <x v="55"/>
    <x v="0"/>
    <x v="16"/>
    <n v="0.13608000000000001"/>
    <n v="49.669199999999996"/>
    <n v="178.80912000000001"/>
  </r>
  <r>
    <x v="0"/>
    <x v="0"/>
    <x v="0"/>
    <x v="2"/>
    <x v="9"/>
    <s v="NO4_A1"/>
    <x v="2"/>
    <x v="2"/>
    <x v="55"/>
    <x v="0"/>
    <x v="17"/>
    <n v="0.13608000000000001"/>
    <n v="49.669199999999996"/>
    <n v="178.80912000000001"/>
  </r>
  <r>
    <x v="0"/>
    <x v="0"/>
    <x v="0"/>
    <x v="2"/>
    <x v="9"/>
    <s v="NO4_A1"/>
    <x v="2"/>
    <x v="2"/>
    <x v="55"/>
    <x v="0"/>
    <x v="18"/>
    <n v="0.13608000000000001"/>
    <n v="49.669199999999996"/>
    <n v="178.80912000000001"/>
  </r>
  <r>
    <x v="0"/>
    <x v="0"/>
    <x v="0"/>
    <x v="2"/>
    <x v="9"/>
    <s v="NO4_A1"/>
    <x v="2"/>
    <x v="2"/>
    <x v="55"/>
    <x v="0"/>
    <x v="19"/>
    <n v="0.13608000000000001"/>
    <n v="49.669199999999996"/>
    <n v="178.80912000000001"/>
  </r>
  <r>
    <x v="0"/>
    <x v="0"/>
    <x v="0"/>
    <x v="2"/>
    <x v="9"/>
    <s v="NO4_A1"/>
    <x v="2"/>
    <x v="2"/>
    <x v="55"/>
    <x v="0"/>
    <x v="20"/>
    <n v="0.13608000000000001"/>
    <n v="49.669199999999996"/>
    <n v="178.80912000000001"/>
  </r>
  <r>
    <x v="0"/>
    <x v="0"/>
    <x v="0"/>
    <x v="2"/>
    <x v="9"/>
    <s v="NO4_A1"/>
    <x v="2"/>
    <x v="2"/>
    <x v="55"/>
    <x v="0"/>
    <x v="21"/>
    <n v="0.13608000000000001"/>
    <n v="49.669199999999996"/>
    <n v="178.80912000000001"/>
  </r>
  <r>
    <x v="0"/>
    <x v="0"/>
    <x v="0"/>
    <x v="2"/>
    <x v="9"/>
    <s v="NO4_A1"/>
    <x v="2"/>
    <x v="2"/>
    <x v="55"/>
    <x v="0"/>
    <x v="22"/>
    <n v="0.13608000000000001"/>
    <n v="49.669199999999996"/>
    <n v="178.80912000000001"/>
  </r>
  <r>
    <x v="0"/>
    <x v="0"/>
    <x v="0"/>
    <x v="2"/>
    <x v="9"/>
    <s v="NO4_A1"/>
    <x v="2"/>
    <x v="2"/>
    <x v="55"/>
    <x v="0"/>
    <x v="23"/>
    <n v="0.13608000000000001"/>
    <n v="49.669199999999996"/>
    <n v="178.80912000000001"/>
  </r>
  <r>
    <x v="0"/>
    <x v="0"/>
    <x v="0"/>
    <x v="2"/>
    <x v="9"/>
    <s v="NO4_A1"/>
    <x v="5"/>
    <x v="4"/>
    <x v="56"/>
    <x v="0"/>
    <x v="0"/>
    <n v="635.368212158554"/>
    <n v="231909.39743787199"/>
    <n v="834873.83077633998"/>
  </r>
  <r>
    <x v="0"/>
    <x v="0"/>
    <x v="0"/>
    <x v="2"/>
    <x v="9"/>
    <s v="NO4_A1"/>
    <x v="5"/>
    <x v="4"/>
    <x v="56"/>
    <x v="0"/>
    <x v="1"/>
    <n v="635.368212158554"/>
    <n v="231909.39743787199"/>
    <n v="834873.83077633998"/>
  </r>
  <r>
    <x v="0"/>
    <x v="0"/>
    <x v="0"/>
    <x v="2"/>
    <x v="9"/>
    <s v="NO4_A1"/>
    <x v="5"/>
    <x v="4"/>
    <x v="56"/>
    <x v="0"/>
    <x v="2"/>
    <n v="635.368212158554"/>
    <n v="231909.39743787199"/>
    <n v="834873.83077633998"/>
  </r>
  <r>
    <x v="0"/>
    <x v="0"/>
    <x v="0"/>
    <x v="2"/>
    <x v="9"/>
    <s v="NO4_A1"/>
    <x v="5"/>
    <x v="4"/>
    <x v="56"/>
    <x v="0"/>
    <x v="3"/>
    <n v="635.368212158554"/>
    <n v="231909.39743787199"/>
    <n v="834873.83077633998"/>
  </r>
  <r>
    <x v="0"/>
    <x v="0"/>
    <x v="0"/>
    <x v="2"/>
    <x v="9"/>
    <s v="NO4_A1"/>
    <x v="5"/>
    <x v="4"/>
    <x v="56"/>
    <x v="0"/>
    <x v="4"/>
    <n v="635.368212158554"/>
    <n v="231909.39743787199"/>
    <n v="834873.83077633998"/>
  </r>
  <r>
    <x v="0"/>
    <x v="0"/>
    <x v="0"/>
    <x v="2"/>
    <x v="9"/>
    <s v="NO4_A1"/>
    <x v="5"/>
    <x v="4"/>
    <x v="56"/>
    <x v="0"/>
    <x v="5"/>
    <n v="635.368212158554"/>
    <n v="231909.39743787199"/>
    <n v="834873.83077633998"/>
  </r>
  <r>
    <x v="0"/>
    <x v="0"/>
    <x v="0"/>
    <x v="2"/>
    <x v="9"/>
    <s v="NO4_A1"/>
    <x v="5"/>
    <x v="4"/>
    <x v="56"/>
    <x v="0"/>
    <x v="6"/>
    <n v="635.368212158554"/>
    <n v="231909.39743787199"/>
    <n v="834873.83077633998"/>
  </r>
  <r>
    <x v="0"/>
    <x v="0"/>
    <x v="0"/>
    <x v="2"/>
    <x v="9"/>
    <s v="NO4_A1"/>
    <x v="5"/>
    <x v="4"/>
    <x v="56"/>
    <x v="0"/>
    <x v="7"/>
    <n v="635.368212158554"/>
    <n v="231909.39743787199"/>
    <n v="834873.83077633998"/>
  </r>
  <r>
    <x v="0"/>
    <x v="0"/>
    <x v="0"/>
    <x v="2"/>
    <x v="9"/>
    <s v="NO4_A1"/>
    <x v="5"/>
    <x v="4"/>
    <x v="56"/>
    <x v="0"/>
    <x v="8"/>
    <n v="635.368212158554"/>
    <n v="231909.39743787199"/>
    <n v="834873.83077633998"/>
  </r>
  <r>
    <x v="0"/>
    <x v="0"/>
    <x v="0"/>
    <x v="2"/>
    <x v="9"/>
    <s v="NO4_A1"/>
    <x v="5"/>
    <x v="4"/>
    <x v="56"/>
    <x v="0"/>
    <x v="9"/>
    <n v="635.368212158554"/>
    <n v="231909.39743787199"/>
    <n v="834873.83077633998"/>
  </r>
  <r>
    <x v="0"/>
    <x v="0"/>
    <x v="0"/>
    <x v="2"/>
    <x v="9"/>
    <s v="NO4_A1"/>
    <x v="5"/>
    <x v="4"/>
    <x v="56"/>
    <x v="0"/>
    <x v="10"/>
    <n v="635.368212158554"/>
    <n v="231909.39743787199"/>
    <n v="834873.83077633998"/>
  </r>
  <r>
    <x v="0"/>
    <x v="0"/>
    <x v="0"/>
    <x v="2"/>
    <x v="9"/>
    <s v="NO4_A1"/>
    <x v="5"/>
    <x v="4"/>
    <x v="56"/>
    <x v="0"/>
    <x v="11"/>
    <n v="635.368212158554"/>
    <n v="231909.39743787199"/>
    <n v="834873.83077633998"/>
  </r>
  <r>
    <x v="0"/>
    <x v="0"/>
    <x v="0"/>
    <x v="2"/>
    <x v="9"/>
    <s v="NO4_A1"/>
    <x v="5"/>
    <x v="4"/>
    <x v="56"/>
    <x v="0"/>
    <x v="12"/>
    <n v="635.368212158554"/>
    <n v="231909.39743787199"/>
    <n v="834873.83077633998"/>
  </r>
  <r>
    <x v="0"/>
    <x v="0"/>
    <x v="0"/>
    <x v="2"/>
    <x v="9"/>
    <s v="NO4_A1"/>
    <x v="5"/>
    <x v="4"/>
    <x v="56"/>
    <x v="0"/>
    <x v="13"/>
    <n v="635.368212158554"/>
    <n v="231909.39743787199"/>
    <n v="834873.83077633998"/>
  </r>
  <r>
    <x v="0"/>
    <x v="0"/>
    <x v="0"/>
    <x v="2"/>
    <x v="9"/>
    <s v="NO4_A1"/>
    <x v="5"/>
    <x v="4"/>
    <x v="56"/>
    <x v="0"/>
    <x v="14"/>
    <n v="635.368212158554"/>
    <n v="231909.39743787199"/>
    <n v="834873.83077633998"/>
  </r>
  <r>
    <x v="0"/>
    <x v="0"/>
    <x v="0"/>
    <x v="2"/>
    <x v="9"/>
    <s v="NO4_A1"/>
    <x v="5"/>
    <x v="4"/>
    <x v="56"/>
    <x v="0"/>
    <x v="15"/>
    <n v="635.368212158554"/>
    <n v="231909.39743787199"/>
    <n v="834873.83077633998"/>
  </r>
  <r>
    <x v="0"/>
    <x v="0"/>
    <x v="0"/>
    <x v="2"/>
    <x v="9"/>
    <s v="NO4_A1"/>
    <x v="5"/>
    <x v="4"/>
    <x v="56"/>
    <x v="0"/>
    <x v="16"/>
    <n v="635.368212158554"/>
    <n v="231909.39743787199"/>
    <n v="834873.83077633998"/>
  </r>
  <r>
    <x v="0"/>
    <x v="0"/>
    <x v="0"/>
    <x v="2"/>
    <x v="9"/>
    <s v="NO4_A1"/>
    <x v="5"/>
    <x v="4"/>
    <x v="56"/>
    <x v="0"/>
    <x v="17"/>
    <n v="635.368212158554"/>
    <n v="231909.39743787199"/>
    <n v="834873.83077633998"/>
  </r>
  <r>
    <x v="0"/>
    <x v="0"/>
    <x v="0"/>
    <x v="2"/>
    <x v="9"/>
    <s v="NO4_A1"/>
    <x v="5"/>
    <x v="4"/>
    <x v="56"/>
    <x v="0"/>
    <x v="18"/>
    <n v="635.368212158554"/>
    <n v="231909.39743787199"/>
    <n v="834873.83077633998"/>
  </r>
  <r>
    <x v="0"/>
    <x v="0"/>
    <x v="0"/>
    <x v="2"/>
    <x v="9"/>
    <s v="NO4_A1"/>
    <x v="5"/>
    <x v="4"/>
    <x v="56"/>
    <x v="0"/>
    <x v="19"/>
    <n v="635.368212158554"/>
    <n v="231909.39743787199"/>
    <n v="834873.83077633998"/>
  </r>
  <r>
    <x v="0"/>
    <x v="0"/>
    <x v="0"/>
    <x v="2"/>
    <x v="9"/>
    <s v="NO4_A1"/>
    <x v="5"/>
    <x v="4"/>
    <x v="56"/>
    <x v="0"/>
    <x v="20"/>
    <n v="635.368212158554"/>
    <n v="231909.39743787199"/>
    <n v="834873.83077633998"/>
  </r>
  <r>
    <x v="0"/>
    <x v="0"/>
    <x v="0"/>
    <x v="2"/>
    <x v="9"/>
    <s v="NO4_A1"/>
    <x v="5"/>
    <x v="4"/>
    <x v="56"/>
    <x v="0"/>
    <x v="21"/>
    <n v="635.368212158554"/>
    <n v="231909.39743787199"/>
    <n v="834873.83077633998"/>
  </r>
  <r>
    <x v="0"/>
    <x v="0"/>
    <x v="0"/>
    <x v="2"/>
    <x v="9"/>
    <s v="NO4_A1"/>
    <x v="5"/>
    <x v="4"/>
    <x v="56"/>
    <x v="0"/>
    <x v="22"/>
    <n v="635.368212158554"/>
    <n v="231909.39743787199"/>
    <n v="834873.83077633998"/>
  </r>
  <r>
    <x v="0"/>
    <x v="0"/>
    <x v="0"/>
    <x v="2"/>
    <x v="9"/>
    <s v="NO4_A1"/>
    <x v="5"/>
    <x v="4"/>
    <x v="56"/>
    <x v="0"/>
    <x v="23"/>
    <n v="635.368212158554"/>
    <n v="231909.39743787199"/>
    <n v="834873.83077633998"/>
  </r>
  <r>
    <x v="0"/>
    <x v="0"/>
    <x v="0"/>
    <x v="2"/>
    <x v="9"/>
    <s v="NO4_A1"/>
    <x v="5"/>
    <x v="8"/>
    <x v="57"/>
    <x v="0"/>
    <x v="0"/>
    <n v="1221.5688147649901"/>
    <n v="445872.61738922301"/>
    <n v="1605141.4226011999"/>
  </r>
  <r>
    <x v="0"/>
    <x v="0"/>
    <x v="0"/>
    <x v="2"/>
    <x v="9"/>
    <s v="NO4_A1"/>
    <x v="5"/>
    <x v="8"/>
    <x v="57"/>
    <x v="0"/>
    <x v="1"/>
    <n v="718.21831606417697"/>
    <n v="262149.685363425"/>
    <n v="943738.86730832804"/>
  </r>
  <r>
    <x v="0"/>
    <x v="0"/>
    <x v="0"/>
    <x v="2"/>
    <x v="9"/>
    <s v="NO4_A1"/>
    <x v="5"/>
    <x v="8"/>
    <x v="57"/>
    <x v="0"/>
    <x v="2"/>
    <n v="1232.9399953254201"/>
    <n v="450023.09829377802"/>
    <n v="1620083.1538575999"/>
  </r>
  <r>
    <x v="0"/>
    <x v="0"/>
    <x v="0"/>
    <x v="2"/>
    <x v="9"/>
    <s v="NO4_A1"/>
    <x v="5"/>
    <x v="8"/>
    <x v="57"/>
    <x v="0"/>
    <x v="3"/>
    <n v="1209.96286779006"/>
    <n v="441636.44674336998"/>
    <n v="1589891.20827613"/>
  </r>
  <r>
    <x v="0"/>
    <x v="0"/>
    <x v="0"/>
    <x v="2"/>
    <x v="9"/>
    <s v="NO4_A1"/>
    <x v="5"/>
    <x v="8"/>
    <x v="57"/>
    <x v="0"/>
    <x v="4"/>
    <n v="1514.3893749835199"/>
    <n v="552752.12186898501"/>
    <n v="1989907.6387283499"/>
  </r>
  <r>
    <x v="0"/>
    <x v="0"/>
    <x v="0"/>
    <x v="2"/>
    <x v="9"/>
    <s v="NO4_A1"/>
    <x v="5"/>
    <x v="8"/>
    <x v="57"/>
    <x v="0"/>
    <x v="5"/>
    <n v="746.205028786497"/>
    <n v="272364.83550707099"/>
    <n v="980513.407825456"/>
  </r>
  <r>
    <x v="0"/>
    <x v="0"/>
    <x v="0"/>
    <x v="2"/>
    <x v="9"/>
    <s v="NO4_A1"/>
    <x v="5"/>
    <x v="8"/>
    <x v="57"/>
    <x v="0"/>
    <x v="6"/>
    <n v="939.66927958770702"/>
    <n v="342979.28704951302"/>
    <n v="1234725.4333782501"/>
  </r>
  <r>
    <x v="0"/>
    <x v="0"/>
    <x v="0"/>
    <x v="2"/>
    <x v="9"/>
    <s v="NO4_A1"/>
    <x v="5"/>
    <x v="8"/>
    <x v="57"/>
    <x v="0"/>
    <x v="7"/>
    <n v="1189.6482738827599"/>
    <n v="434221.619967209"/>
    <n v="1563197.8318819499"/>
  </r>
  <r>
    <x v="0"/>
    <x v="0"/>
    <x v="0"/>
    <x v="2"/>
    <x v="9"/>
    <s v="NO4_A1"/>
    <x v="5"/>
    <x v="8"/>
    <x v="57"/>
    <x v="0"/>
    <x v="8"/>
    <n v="1709.58116774123"/>
    <n v="623997.12622554705"/>
    <n v="2246389.6544119702"/>
  </r>
  <r>
    <x v="0"/>
    <x v="0"/>
    <x v="0"/>
    <x v="2"/>
    <x v="9"/>
    <s v="NO4_A1"/>
    <x v="5"/>
    <x v="8"/>
    <x v="57"/>
    <x v="0"/>
    <x v="9"/>
    <n v="1616.98435977898"/>
    <n v="590199.29131932999"/>
    <n v="2124717.4487495902"/>
  </r>
  <r>
    <x v="0"/>
    <x v="0"/>
    <x v="0"/>
    <x v="2"/>
    <x v="9"/>
    <s v="NO4_A1"/>
    <x v="5"/>
    <x v="8"/>
    <x v="57"/>
    <x v="0"/>
    <x v="10"/>
    <n v="1951.41075415209"/>
    <n v="712264.92526551196"/>
    <n v="2564153.7309558401"/>
  </r>
  <r>
    <x v="0"/>
    <x v="0"/>
    <x v="0"/>
    <x v="2"/>
    <x v="9"/>
    <s v="NO4_A1"/>
    <x v="5"/>
    <x v="8"/>
    <x v="57"/>
    <x v="0"/>
    <x v="11"/>
    <n v="2254.38707937963"/>
    <n v="822851.28397356602"/>
    <n v="2962264.62230484"/>
  </r>
  <r>
    <x v="0"/>
    <x v="0"/>
    <x v="0"/>
    <x v="2"/>
    <x v="9"/>
    <s v="NO4_A1"/>
    <x v="5"/>
    <x v="8"/>
    <x v="57"/>
    <x v="0"/>
    <x v="12"/>
    <n v="1436.23304991038"/>
    <n v="524225.06321728998"/>
    <n v="1887210.22758224"/>
  </r>
  <r>
    <x v="0"/>
    <x v="0"/>
    <x v="0"/>
    <x v="2"/>
    <x v="9"/>
    <s v="NO4_A1"/>
    <x v="5"/>
    <x v="8"/>
    <x v="57"/>
    <x v="0"/>
    <x v="13"/>
    <n v="910.29075245363094"/>
    <n v="332256.12464557501"/>
    <n v="1196122.04872407"/>
  </r>
  <r>
    <x v="0"/>
    <x v="0"/>
    <x v="0"/>
    <x v="2"/>
    <x v="9"/>
    <s v="NO4_A1"/>
    <x v="5"/>
    <x v="8"/>
    <x v="57"/>
    <x v="0"/>
    <x v="14"/>
    <n v="809.89000407399703"/>
    <n v="295609.85148700897"/>
    <n v="1064195.46535323"/>
  </r>
  <r>
    <x v="0"/>
    <x v="0"/>
    <x v="0"/>
    <x v="2"/>
    <x v="9"/>
    <s v="NO4_A1"/>
    <x v="5"/>
    <x v="8"/>
    <x v="57"/>
    <x v="0"/>
    <x v="15"/>
    <n v="866.46923189247298"/>
    <n v="316261.26964075299"/>
    <n v="1138540.57070671"/>
  </r>
  <r>
    <x v="0"/>
    <x v="0"/>
    <x v="0"/>
    <x v="2"/>
    <x v="9"/>
    <s v="NO4_A1"/>
    <x v="5"/>
    <x v="8"/>
    <x v="57"/>
    <x v="0"/>
    <x v="16"/>
    <n v="842.56847367267403"/>
    <n v="307537.49289052602"/>
    <n v="1107134.9744058901"/>
  </r>
  <r>
    <x v="0"/>
    <x v="0"/>
    <x v="0"/>
    <x v="2"/>
    <x v="9"/>
    <s v="NO4_A1"/>
    <x v="5"/>
    <x v="8"/>
    <x v="57"/>
    <x v="0"/>
    <x v="17"/>
    <n v="863.36164447405497"/>
    <n v="315127.00023303"/>
    <n v="1134457.20083891"/>
  </r>
  <r>
    <x v="0"/>
    <x v="0"/>
    <x v="0"/>
    <x v="2"/>
    <x v="9"/>
    <s v="NO4_A1"/>
    <x v="5"/>
    <x v="8"/>
    <x v="57"/>
    <x v="0"/>
    <x v="18"/>
    <n v="2352.2174148525401"/>
    <n v="858559.35642117704"/>
    <n v="3090813.68311624"/>
  </r>
  <r>
    <x v="0"/>
    <x v="0"/>
    <x v="0"/>
    <x v="2"/>
    <x v="9"/>
    <s v="NO4_A1"/>
    <x v="5"/>
    <x v="8"/>
    <x v="57"/>
    <x v="0"/>
    <x v="19"/>
    <n v="1514.1259359436499"/>
    <n v="552655.96661943302"/>
    <n v="1989561.47982996"/>
  </r>
  <r>
    <x v="0"/>
    <x v="0"/>
    <x v="0"/>
    <x v="2"/>
    <x v="9"/>
    <s v="NO4_A1"/>
    <x v="5"/>
    <x v="8"/>
    <x v="57"/>
    <x v="0"/>
    <x v="20"/>
    <n v="1534.1931422084201"/>
    <n v="559980.49690607295"/>
    <n v="2015929.7888618601"/>
  </r>
  <r>
    <x v="0"/>
    <x v="0"/>
    <x v="0"/>
    <x v="2"/>
    <x v="9"/>
    <s v="NO4_A1"/>
    <x v="5"/>
    <x v="8"/>
    <x v="57"/>
    <x v="0"/>
    <x v="21"/>
    <n v="992.80528439138595"/>
    <n v="362373.92880285601"/>
    <n v="1304546.1436902799"/>
  </r>
  <r>
    <x v="0"/>
    <x v="0"/>
    <x v="0"/>
    <x v="2"/>
    <x v="9"/>
    <s v="NO4_A1"/>
    <x v="5"/>
    <x v="8"/>
    <x v="57"/>
    <x v="0"/>
    <x v="22"/>
    <n v="1521.9713798749401"/>
    <n v="555519.55365435395"/>
    <n v="1999870.39315567"/>
  </r>
  <r>
    <x v="0"/>
    <x v="0"/>
    <x v="0"/>
    <x v="2"/>
    <x v="9"/>
    <s v="NO4_A1"/>
    <x v="5"/>
    <x v="8"/>
    <x v="57"/>
    <x v="0"/>
    <x v="23"/>
    <n v="1440.51943323257"/>
    <n v="525789.59312988899"/>
    <n v="1892842.5352676001"/>
  </r>
  <r>
    <x v="0"/>
    <x v="0"/>
    <x v="0"/>
    <x v="2"/>
    <x v="9"/>
    <s v="NO4_A1"/>
    <x v="6"/>
    <x v="5"/>
    <x v="11"/>
    <x v="0"/>
    <x v="0"/>
    <n v="187.96723927610699"/>
    <n v="68608.042335779202"/>
    <n v="246988.95240880499"/>
  </r>
  <r>
    <x v="0"/>
    <x v="0"/>
    <x v="0"/>
    <x v="2"/>
    <x v="9"/>
    <s v="NO4_A1"/>
    <x v="6"/>
    <x v="5"/>
    <x v="11"/>
    <x v="0"/>
    <x v="1"/>
    <n v="152.77562117673901"/>
    <n v="55763.101729509901"/>
    <n v="200747.166226236"/>
  </r>
  <r>
    <x v="0"/>
    <x v="0"/>
    <x v="0"/>
    <x v="2"/>
    <x v="9"/>
    <s v="NO4_A1"/>
    <x v="6"/>
    <x v="5"/>
    <x v="11"/>
    <x v="0"/>
    <x v="2"/>
    <n v="141.86895849719801"/>
    <n v="51782.1698514772"/>
    <n v="186415.81146531799"/>
  </r>
  <r>
    <x v="0"/>
    <x v="0"/>
    <x v="0"/>
    <x v="2"/>
    <x v="9"/>
    <s v="NO4_A1"/>
    <x v="6"/>
    <x v="5"/>
    <x v="11"/>
    <x v="0"/>
    <x v="3"/>
    <n v="134.942194177755"/>
    <n v="49253.900874880499"/>
    <n v="177314.04314957"/>
  </r>
  <r>
    <x v="0"/>
    <x v="0"/>
    <x v="0"/>
    <x v="2"/>
    <x v="9"/>
    <s v="NO4_A1"/>
    <x v="6"/>
    <x v="5"/>
    <x v="11"/>
    <x v="0"/>
    <x v="4"/>
    <n v="83.427346331530202"/>
    <n v="30450.981411008499"/>
    <n v="109623.533079631"/>
  </r>
  <r>
    <x v="0"/>
    <x v="0"/>
    <x v="0"/>
    <x v="2"/>
    <x v="9"/>
    <s v="NO4_A1"/>
    <x v="6"/>
    <x v="5"/>
    <x v="11"/>
    <x v="0"/>
    <x v="5"/>
    <n v="96.8142999450845"/>
    <n v="35337.219479955798"/>
    <n v="127213.990127841"/>
  </r>
  <r>
    <x v="0"/>
    <x v="0"/>
    <x v="0"/>
    <x v="2"/>
    <x v="9"/>
    <s v="NO4_A1"/>
    <x v="6"/>
    <x v="5"/>
    <x v="11"/>
    <x v="0"/>
    <x v="6"/>
    <n v="27.788824926777298"/>
    <n v="10142.9210982737"/>
    <n v="36514.515953785303"/>
  </r>
  <r>
    <x v="0"/>
    <x v="0"/>
    <x v="0"/>
    <x v="2"/>
    <x v="9"/>
    <s v="NO4_A1"/>
    <x v="6"/>
    <x v="5"/>
    <x v="11"/>
    <x v="0"/>
    <x v="7"/>
    <n v="19.9348904883777"/>
    <n v="7276.23502825784"/>
    <n v="26194.446101728201"/>
  </r>
  <r>
    <x v="0"/>
    <x v="0"/>
    <x v="0"/>
    <x v="2"/>
    <x v="9"/>
    <s v="NO4_A1"/>
    <x v="6"/>
    <x v="5"/>
    <x v="11"/>
    <x v="0"/>
    <x v="8"/>
    <n v="32.756263393687803"/>
    <n v="11956.036138695999"/>
    <n v="43041.730099305802"/>
  </r>
  <r>
    <x v="0"/>
    <x v="0"/>
    <x v="0"/>
    <x v="2"/>
    <x v="9"/>
    <s v="NO4_A1"/>
    <x v="6"/>
    <x v="5"/>
    <x v="11"/>
    <x v="0"/>
    <x v="9"/>
    <n v="72.297779355464797"/>
    <n v="26388.689464744599"/>
    <n v="94999.2820730807"/>
  </r>
  <r>
    <x v="0"/>
    <x v="0"/>
    <x v="0"/>
    <x v="2"/>
    <x v="9"/>
    <s v="NO4_A1"/>
    <x v="6"/>
    <x v="5"/>
    <x v="11"/>
    <x v="0"/>
    <x v="10"/>
    <n v="77.142509709256402"/>
    <n v="28157.016043878601"/>
    <n v="101365.257757963"/>
  </r>
  <r>
    <x v="0"/>
    <x v="0"/>
    <x v="0"/>
    <x v="2"/>
    <x v="9"/>
    <s v="NO4_A1"/>
    <x v="6"/>
    <x v="5"/>
    <x v="11"/>
    <x v="0"/>
    <x v="11"/>
    <n v="51.319778177905199"/>
    <n v="18731.719034935399"/>
    <n v="67434.1885257674"/>
  </r>
  <r>
    <x v="0"/>
    <x v="0"/>
    <x v="0"/>
    <x v="2"/>
    <x v="9"/>
    <s v="NO4_A1"/>
    <x v="6"/>
    <x v="5"/>
    <x v="11"/>
    <x v="0"/>
    <x v="12"/>
    <n v="51.438979622309198"/>
    <n v="18775.2275621429"/>
    <n v="67590.819223714294"/>
  </r>
  <r>
    <x v="0"/>
    <x v="0"/>
    <x v="0"/>
    <x v="2"/>
    <x v="9"/>
    <s v="NO4_A1"/>
    <x v="6"/>
    <x v="5"/>
    <x v="11"/>
    <x v="0"/>
    <x v="13"/>
    <n v="86.1066022429236"/>
    <n v="31428.9098186671"/>
    <n v="113144.075347202"/>
  </r>
  <r>
    <x v="0"/>
    <x v="0"/>
    <x v="0"/>
    <x v="2"/>
    <x v="9"/>
    <s v="NO4_A1"/>
    <x v="6"/>
    <x v="5"/>
    <x v="11"/>
    <x v="0"/>
    <x v="14"/>
    <n v="145.992400367659"/>
    <n v="53287.226134195502"/>
    <n v="191834.014083104"/>
  </r>
  <r>
    <x v="0"/>
    <x v="0"/>
    <x v="0"/>
    <x v="2"/>
    <x v="9"/>
    <s v="NO4_A1"/>
    <x v="6"/>
    <x v="5"/>
    <x v="11"/>
    <x v="0"/>
    <x v="15"/>
    <n v="141.50382287690999"/>
    <n v="51648.895350072198"/>
    <n v="185936.02326026"/>
  </r>
  <r>
    <x v="0"/>
    <x v="0"/>
    <x v="0"/>
    <x v="2"/>
    <x v="9"/>
    <s v="NO4_A1"/>
    <x v="6"/>
    <x v="5"/>
    <x v="11"/>
    <x v="0"/>
    <x v="16"/>
    <n v="140.323897605582"/>
    <n v="51218.222626037299"/>
    <n v="184385.60145373401"/>
  </r>
  <r>
    <x v="0"/>
    <x v="0"/>
    <x v="0"/>
    <x v="2"/>
    <x v="9"/>
    <s v="NO4_A1"/>
    <x v="6"/>
    <x v="5"/>
    <x v="11"/>
    <x v="0"/>
    <x v="17"/>
    <n v="126.28321851334999"/>
    <n v="46093.374757372701"/>
    <n v="165936.149126542"/>
  </r>
  <r>
    <x v="0"/>
    <x v="0"/>
    <x v="0"/>
    <x v="2"/>
    <x v="9"/>
    <s v="NO4_A1"/>
    <x v="6"/>
    <x v="5"/>
    <x v="11"/>
    <x v="0"/>
    <x v="18"/>
    <n v="129.02485693551299"/>
    <n v="47094.072781462302"/>
    <n v="169538.66201326399"/>
  </r>
  <r>
    <x v="0"/>
    <x v="0"/>
    <x v="0"/>
    <x v="2"/>
    <x v="9"/>
    <s v="NO4_A1"/>
    <x v="6"/>
    <x v="5"/>
    <x v="11"/>
    <x v="0"/>
    <x v="19"/>
    <n v="113.41913613571499"/>
    <n v="41397.984689535799"/>
    <n v="149032.74488232899"/>
  </r>
  <r>
    <x v="0"/>
    <x v="0"/>
    <x v="0"/>
    <x v="2"/>
    <x v="9"/>
    <s v="NO4_A1"/>
    <x v="6"/>
    <x v="5"/>
    <x v="11"/>
    <x v="0"/>
    <x v="20"/>
    <n v="105.89227161651201"/>
    <n v="38650.679140026798"/>
    <n v="139142.44490409701"/>
  </r>
  <r>
    <x v="0"/>
    <x v="0"/>
    <x v="0"/>
    <x v="2"/>
    <x v="9"/>
    <s v="NO4_A1"/>
    <x v="6"/>
    <x v="5"/>
    <x v="11"/>
    <x v="0"/>
    <x v="21"/>
    <n v="74.975554087610305"/>
    <n v="27366.0772419778"/>
    <n v="98517.878071119907"/>
  </r>
  <r>
    <x v="0"/>
    <x v="0"/>
    <x v="0"/>
    <x v="2"/>
    <x v="9"/>
    <s v="NO4_A1"/>
    <x v="6"/>
    <x v="5"/>
    <x v="11"/>
    <x v="0"/>
    <x v="22"/>
    <n v="40.942700131133499"/>
    <n v="14944.0855478637"/>
    <n v="53798.707972309399"/>
  </r>
  <r>
    <x v="0"/>
    <x v="0"/>
    <x v="0"/>
    <x v="2"/>
    <x v="9"/>
    <s v="NO4_A1"/>
    <x v="6"/>
    <x v="5"/>
    <x v="11"/>
    <x v="0"/>
    <x v="23"/>
    <n v="11.460854408900101"/>
    <n v="4183.2118592485203"/>
    <n v="15059.5626932947"/>
  </r>
  <r>
    <x v="0"/>
    <x v="0"/>
    <x v="0"/>
    <x v="2"/>
    <x v="10"/>
    <s v="NO5_A1"/>
    <x v="2"/>
    <x v="2"/>
    <x v="55"/>
    <x v="0"/>
    <x v="0"/>
    <n v="8"/>
    <n v="2920"/>
    <n v="10512"/>
  </r>
  <r>
    <x v="0"/>
    <x v="0"/>
    <x v="0"/>
    <x v="2"/>
    <x v="10"/>
    <s v="NO5_A1"/>
    <x v="2"/>
    <x v="2"/>
    <x v="55"/>
    <x v="0"/>
    <x v="1"/>
    <n v="8"/>
    <n v="2920"/>
    <n v="10512"/>
  </r>
  <r>
    <x v="0"/>
    <x v="0"/>
    <x v="0"/>
    <x v="2"/>
    <x v="10"/>
    <s v="NO5_A1"/>
    <x v="2"/>
    <x v="2"/>
    <x v="55"/>
    <x v="0"/>
    <x v="2"/>
    <n v="8"/>
    <n v="2920"/>
    <n v="10512"/>
  </r>
  <r>
    <x v="0"/>
    <x v="0"/>
    <x v="0"/>
    <x v="2"/>
    <x v="10"/>
    <s v="NO5_A1"/>
    <x v="2"/>
    <x v="2"/>
    <x v="55"/>
    <x v="0"/>
    <x v="3"/>
    <n v="8"/>
    <n v="2920"/>
    <n v="10512"/>
  </r>
  <r>
    <x v="0"/>
    <x v="0"/>
    <x v="0"/>
    <x v="2"/>
    <x v="10"/>
    <s v="NO5_A1"/>
    <x v="2"/>
    <x v="2"/>
    <x v="55"/>
    <x v="0"/>
    <x v="4"/>
    <n v="8"/>
    <n v="2920"/>
    <n v="10512"/>
  </r>
  <r>
    <x v="0"/>
    <x v="0"/>
    <x v="0"/>
    <x v="2"/>
    <x v="10"/>
    <s v="NO5_A1"/>
    <x v="2"/>
    <x v="2"/>
    <x v="55"/>
    <x v="0"/>
    <x v="5"/>
    <n v="8"/>
    <n v="2920"/>
    <n v="10512"/>
  </r>
  <r>
    <x v="0"/>
    <x v="0"/>
    <x v="0"/>
    <x v="2"/>
    <x v="10"/>
    <s v="NO5_A1"/>
    <x v="2"/>
    <x v="2"/>
    <x v="55"/>
    <x v="0"/>
    <x v="6"/>
    <n v="8"/>
    <n v="2920"/>
    <n v="10512"/>
  </r>
  <r>
    <x v="0"/>
    <x v="0"/>
    <x v="0"/>
    <x v="2"/>
    <x v="10"/>
    <s v="NO5_A1"/>
    <x v="2"/>
    <x v="2"/>
    <x v="55"/>
    <x v="0"/>
    <x v="7"/>
    <n v="8"/>
    <n v="2920"/>
    <n v="10512"/>
  </r>
  <r>
    <x v="0"/>
    <x v="0"/>
    <x v="0"/>
    <x v="2"/>
    <x v="10"/>
    <s v="NO5_A1"/>
    <x v="2"/>
    <x v="2"/>
    <x v="55"/>
    <x v="0"/>
    <x v="8"/>
    <n v="8"/>
    <n v="2920"/>
    <n v="10512"/>
  </r>
  <r>
    <x v="0"/>
    <x v="0"/>
    <x v="0"/>
    <x v="2"/>
    <x v="10"/>
    <s v="NO5_A1"/>
    <x v="2"/>
    <x v="2"/>
    <x v="55"/>
    <x v="0"/>
    <x v="9"/>
    <n v="8"/>
    <n v="2920"/>
    <n v="10512"/>
  </r>
  <r>
    <x v="0"/>
    <x v="0"/>
    <x v="0"/>
    <x v="2"/>
    <x v="10"/>
    <s v="NO5_A1"/>
    <x v="2"/>
    <x v="2"/>
    <x v="55"/>
    <x v="0"/>
    <x v="10"/>
    <n v="8"/>
    <n v="2920"/>
    <n v="10512"/>
  </r>
  <r>
    <x v="0"/>
    <x v="0"/>
    <x v="0"/>
    <x v="2"/>
    <x v="10"/>
    <s v="NO5_A1"/>
    <x v="2"/>
    <x v="2"/>
    <x v="55"/>
    <x v="0"/>
    <x v="11"/>
    <n v="8"/>
    <n v="2920"/>
    <n v="10512"/>
  </r>
  <r>
    <x v="0"/>
    <x v="0"/>
    <x v="0"/>
    <x v="2"/>
    <x v="10"/>
    <s v="NO5_A1"/>
    <x v="2"/>
    <x v="2"/>
    <x v="55"/>
    <x v="0"/>
    <x v="12"/>
    <n v="8"/>
    <n v="2920"/>
    <n v="10512"/>
  </r>
  <r>
    <x v="0"/>
    <x v="0"/>
    <x v="0"/>
    <x v="2"/>
    <x v="10"/>
    <s v="NO5_A1"/>
    <x v="2"/>
    <x v="2"/>
    <x v="55"/>
    <x v="0"/>
    <x v="13"/>
    <n v="8"/>
    <n v="2920"/>
    <n v="10512"/>
  </r>
  <r>
    <x v="0"/>
    <x v="0"/>
    <x v="0"/>
    <x v="2"/>
    <x v="10"/>
    <s v="NO5_A1"/>
    <x v="2"/>
    <x v="2"/>
    <x v="55"/>
    <x v="0"/>
    <x v="14"/>
    <n v="8"/>
    <n v="2920"/>
    <n v="10512"/>
  </r>
  <r>
    <x v="0"/>
    <x v="0"/>
    <x v="0"/>
    <x v="2"/>
    <x v="10"/>
    <s v="NO5_A1"/>
    <x v="2"/>
    <x v="2"/>
    <x v="55"/>
    <x v="0"/>
    <x v="15"/>
    <n v="8"/>
    <n v="2920"/>
    <n v="10512"/>
  </r>
  <r>
    <x v="0"/>
    <x v="0"/>
    <x v="0"/>
    <x v="2"/>
    <x v="10"/>
    <s v="NO5_A1"/>
    <x v="2"/>
    <x v="2"/>
    <x v="55"/>
    <x v="0"/>
    <x v="16"/>
    <n v="8"/>
    <n v="2920"/>
    <n v="10512"/>
  </r>
  <r>
    <x v="0"/>
    <x v="0"/>
    <x v="0"/>
    <x v="2"/>
    <x v="10"/>
    <s v="NO5_A1"/>
    <x v="2"/>
    <x v="2"/>
    <x v="55"/>
    <x v="0"/>
    <x v="17"/>
    <n v="8"/>
    <n v="2920"/>
    <n v="10512"/>
  </r>
  <r>
    <x v="0"/>
    <x v="0"/>
    <x v="0"/>
    <x v="2"/>
    <x v="10"/>
    <s v="NO5_A1"/>
    <x v="2"/>
    <x v="2"/>
    <x v="55"/>
    <x v="0"/>
    <x v="18"/>
    <n v="8"/>
    <n v="2920"/>
    <n v="10512"/>
  </r>
  <r>
    <x v="0"/>
    <x v="0"/>
    <x v="0"/>
    <x v="2"/>
    <x v="10"/>
    <s v="NO5_A1"/>
    <x v="2"/>
    <x v="2"/>
    <x v="55"/>
    <x v="0"/>
    <x v="19"/>
    <n v="8"/>
    <n v="2920"/>
    <n v="10512"/>
  </r>
  <r>
    <x v="0"/>
    <x v="0"/>
    <x v="0"/>
    <x v="2"/>
    <x v="10"/>
    <s v="NO5_A1"/>
    <x v="2"/>
    <x v="2"/>
    <x v="55"/>
    <x v="0"/>
    <x v="20"/>
    <n v="8"/>
    <n v="2920"/>
    <n v="10512"/>
  </r>
  <r>
    <x v="0"/>
    <x v="0"/>
    <x v="0"/>
    <x v="2"/>
    <x v="10"/>
    <s v="NO5_A1"/>
    <x v="2"/>
    <x v="2"/>
    <x v="55"/>
    <x v="0"/>
    <x v="21"/>
    <n v="8"/>
    <n v="2920"/>
    <n v="10512"/>
  </r>
  <r>
    <x v="0"/>
    <x v="0"/>
    <x v="0"/>
    <x v="2"/>
    <x v="10"/>
    <s v="NO5_A1"/>
    <x v="2"/>
    <x v="2"/>
    <x v="55"/>
    <x v="0"/>
    <x v="22"/>
    <n v="8"/>
    <n v="2920"/>
    <n v="10512"/>
  </r>
  <r>
    <x v="0"/>
    <x v="0"/>
    <x v="0"/>
    <x v="2"/>
    <x v="10"/>
    <s v="NO5_A1"/>
    <x v="2"/>
    <x v="2"/>
    <x v="55"/>
    <x v="0"/>
    <x v="23"/>
    <n v="8"/>
    <n v="2920"/>
    <n v="10512"/>
  </r>
  <r>
    <x v="0"/>
    <x v="0"/>
    <x v="0"/>
    <x v="2"/>
    <x v="10"/>
    <s v="NO5_A1"/>
    <x v="5"/>
    <x v="4"/>
    <x v="56"/>
    <x v="0"/>
    <x v="0"/>
    <n v="486.20840931726502"/>
    <n v="177466.06940080199"/>
    <n v="638877.84984288597"/>
  </r>
  <r>
    <x v="0"/>
    <x v="0"/>
    <x v="0"/>
    <x v="2"/>
    <x v="10"/>
    <s v="NO5_A1"/>
    <x v="5"/>
    <x v="4"/>
    <x v="56"/>
    <x v="0"/>
    <x v="1"/>
    <n v="486.20840931726502"/>
    <n v="177466.06940080199"/>
    <n v="638877.84984288597"/>
  </r>
  <r>
    <x v="0"/>
    <x v="0"/>
    <x v="0"/>
    <x v="2"/>
    <x v="10"/>
    <s v="NO5_A1"/>
    <x v="5"/>
    <x v="4"/>
    <x v="56"/>
    <x v="0"/>
    <x v="2"/>
    <n v="486.20840931726502"/>
    <n v="177466.06940080199"/>
    <n v="638877.84984288597"/>
  </r>
  <r>
    <x v="0"/>
    <x v="0"/>
    <x v="0"/>
    <x v="2"/>
    <x v="10"/>
    <s v="NO5_A1"/>
    <x v="5"/>
    <x v="4"/>
    <x v="56"/>
    <x v="0"/>
    <x v="3"/>
    <n v="486.20840931726502"/>
    <n v="177466.06940080199"/>
    <n v="638877.84984288597"/>
  </r>
  <r>
    <x v="0"/>
    <x v="0"/>
    <x v="0"/>
    <x v="2"/>
    <x v="10"/>
    <s v="NO5_A1"/>
    <x v="5"/>
    <x v="4"/>
    <x v="56"/>
    <x v="0"/>
    <x v="4"/>
    <n v="486.20840931726502"/>
    <n v="177466.06940080199"/>
    <n v="638877.84984288597"/>
  </r>
  <r>
    <x v="0"/>
    <x v="0"/>
    <x v="0"/>
    <x v="2"/>
    <x v="10"/>
    <s v="NO5_A1"/>
    <x v="5"/>
    <x v="4"/>
    <x v="56"/>
    <x v="0"/>
    <x v="5"/>
    <n v="486.20840931726502"/>
    <n v="177466.06940080199"/>
    <n v="638877.84984288597"/>
  </r>
  <r>
    <x v="0"/>
    <x v="0"/>
    <x v="0"/>
    <x v="2"/>
    <x v="10"/>
    <s v="NO5_A1"/>
    <x v="5"/>
    <x v="4"/>
    <x v="56"/>
    <x v="0"/>
    <x v="6"/>
    <n v="486.20840931726502"/>
    <n v="177466.06940080199"/>
    <n v="638877.84984288597"/>
  </r>
  <r>
    <x v="0"/>
    <x v="0"/>
    <x v="0"/>
    <x v="2"/>
    <x v="10"/>
    <s v="NO5_A1"/>
    <x v="5"/>
    <x v="4"/>
    <x v="56"/>
    <x v="0"/>
    <x v="7"/>
    <n v="486.20840931726502"/>
    <n v="177466.06940080199"/>
    <n v="638877.84984288597"/>
  </r>
  <r>
    <x v="0"/>
    <x v="0"/>
    <x v="0"/>
    <x v="2"/>
    <x v="10"/>
    <s v="NO5_A1"/>
    <x v="5"/>
    <x v="4"/>
    <x v="56"/>
    <x v="0"/>
    <x v="8"/>
    <n v="486.20840931726502"/>
    <n v="177466.06940080199"/>
    <n v="638877.84984288597"/>
  </r>
  <r>
    <x v="0"/>
    <x v="0"/>
    <x v="0"/>
    <x v="2"/>
    <x v="10"/>
    <s v="NO5_A1"/>
    <x v="5"/>
    <x v="4"/>
    <x v="56"/>
    <x v="0"/>
    <x v="9"/>
    <n v="486.20840931726502"/>
    <n v="177466.06940080199"/>
    <n v="638877.84984288597"/>
  </r>
  <r>
    <x v="0"/>
    <x v="0"/>
    <x v="0"/>
    <x v="2"/>
    <x v="10"/>
    <s v="NO5_A1"/>
    <x v="5"/>
    <x v="4"/>
    <x v="56"/>
    <x v="0"/>
    <x v="10"/>
    <n v="486.20840931726502"/>
    <n v="177466.06940080199"/>
    <n v="638877.84984288597"/>
  </r>
  <r>
    <x v="0"/>
    <x v="0"/>
    <x v="0"/>
    <x v="2"/>
    <x v="10"/>
    <s v="NO5_A1"/>
    <x v="5"/>
    <x v="4"/>
    <x v="56"/>
    <x v="0"/>
    <x v="11"/>
    <n v="486.20840931726502"/>
    <n v="177466.06940080199"/>
    <n v="638877.84984288597"/>
  </r>
  <r>
    <x v="0"/>
    <x v="0"/>
    <x v="0"/>
    <x v="2"/>
    <x v="10"/>
    <s v="NO5_A1"/>
    <x v="5"/>
    <x v="4"/>
    <x v="56"/>
    <x v="0"/>
    <x v="12"/>
    <n v="486.20840931726502"/>
    <n v="177466.06940080199"/>
    <n v="638877.84984288597"/>
  </r>
  <r>
    <x v="0"/>
    <x v="0"/>
    <x v="0"/>
    <x v="2"/>
    <x v="10"/>
    <s v="NO5_A1"/>
    <x v="5"/>
    <x v="4"/>
    <x v="56"/>
    <x v="0"/>
    <x v="13"/>
    <n v="486.20840931726502"/>
    <n v="177466.06940080199"/>
    <n v="638877.84984288597"/>
  </r>
  <r>
    <x v="0"/>
    <x v="0"/>
    <x v="0"/>
    <x v="2"/>
    <x v="10"/>
    <s v="NO5_A1"/>
    <x v="5"/>
    <x v="4"/>
    <x v="56"/>
    <x v="0"/>
    <x v="14"/>
    <n v="486.20840931726502"/>
    <n v="177466.06940080199"/>
    <n v="638877.84984288597"/>
  </r>
  <r>
    <x v="0"/>
    <x v="0"/>
    <x v="0"/>
    <x v="2"/>
    <x v="10"/>
    <s v="NO5_A1"/>
    <x v="5"/>
    <x v="4"/>
    <x v="56"/>
    <x v="0"/>
    <x v="15"/>
    <n v="486.20840931726502"/>
    <n v="177466.06940080199"/>
    <n v="638877.84984288597"/>
  </r>
  <r>
    <x v="0"/>
    <x v="0"/>
    <x v="0"/>
    <x v="2"/>
    <x v="10"/>
    <s v="NO5_A1"/>
    <x v="5"/>
    <x v="4"/>
    <x v="56"/>
    <x v="0"/>
    <x v="16"/>
    <n v="486.20840931726502"/>
    <n v="177466.06940080199"/>
    <n v="638877.84984288597"/>
  </r>
  <r>
    <x v="0"/>
    <x v="0"/>
    <x v="0"/>
    <x v="2"/>
    <x v="10"/>
    <s v="NO5_A1"/>
    <x v="5"/>
    <x v="4"/>
    <x v="56"/>
    <x v="0"/>
    <x v="17"/>
    <n v="486.20840931726502"/>
    <n v="177466.06940080199"/>
    <n v="638877.84984288597"/>
  </r>
  <r>
    <x v="0"/>
    <x v="0"/>
    <x v="0"/>
    <x v="2"/>
    <x v="10"/>
    <s v="NO5_A1"/>
    <x v="5"/>
    <x v="4"/>
    <x v="56"/>
    <x v="0"/>
    <x v="18"/>
    <n v="486.20840931726502"/>
    <n v="177466.06940080199"/>
    <n v="638877.84984288597"/>
  </r>
  <r>
    <x v="0"/>
    <x v="0"/>
    <x v="0"/>
    <x v="2"/>
    <x v="10"/>
    <s v="NO5_A1"/>
    <x v="5"/>
    <x v="4"/>
    <x v="56"/>
    <x v="0"/>
    <x v="19"/>
    <n v="486.20840931726502"/>
    <n v="177466.06940080199"/>
    <n v="638877.84984288597"/>
  </r>
  <r>
    <x v="0"/>
    <x v="0"/>
    <x v="0"/>
    <x v="2"/>
    <x v="10"/>
    <s v="NO5_A1"/>
    <x v="5"/>
    <x v="4"/>
    <x v="56"/>
    <x v="0"/>
    <x v="20"/>
    <n v="486.20840931726502"/>
    <n v="177466.06940080199"/>
    <n v="638877.84984288597"/>
  </r>
  <r>
    <x v="0"/>
    <x v="0"/>
    <x v="0"/>
    <x v="2"/>
    <x v="10"/>
    <s v="NO5_A1"/>
    <x v="5"/>
    <x v="4"/>
    <x v="56"/>
    <x v="0"/>
    <x v="21"/>
    <n v="486.20840931726502"/>
    <n v="177466.06940080199"/>
    <n v="638877.84984288597"/>
  </r>
  <r>
    <x v="0"/>
    <x v="0"/>
    <x v="0"/>
    <x v="2"/>
    <x v="10"/>
    <s v="NO5_A1"/>
    <x v="5"/>
    <x v="4"/>
    <x v="56"/>
    <x v="0"/>
    <x v="22"/>
    <n v="486.20840931726502"/>
    <n v="177466.06940080199"/>
    <n v="638877.84984288597"/>
  </r>
  <r>
    <x v="0"/>
    <x v="0"/>
    <x v="0"/>
    <x v="2"/>
    <x v="10"/>
    <s v="NO5_A1"/>
    <x v="5"/>
    <x v="4"/>
    <x v="56"/>
    <x v="0"/>
    <x v="23"/>
    <n v="486.20840931726502"/>
    <n v="177466.06940080199"/>
    <n v="638877.84984288597"/>
  </r>
  <r>
    <x v="0"/>
    <x v="0"/>
    <x v="0"/>
    <x v="2"/>
    <x v="10"/>
    <s v="NO5_A1"/>
    <x v="5"/>
    <x v="8"/>
    <x v="57"/>
    <x v="0"/>
    <x v="0"/>
    <n v="1154.5394503399"/>
    <n v="421406.899374064"/>
    <n v="1517064.83774663"/>
  </r>
  <r>
    <x v="0"/>
    <x v="0"/>
    <x v="0"/>
    <x v="2"/>
    <x v="10"/>
    <s v="NO5_A1"/>
    <x v="5"/>
    <x v="8"/>
    <x v="57"/>
    <x v="0"/>
    <x v="1"/>
    <n v="1118.19281803635"/>
    <n v="408140.37858326902"/>
    <n v="1469305.36289977"/>
  </r>
  <r>
    <x v="0"/>
    <x v="0"/>
    <x v="0"/>
    <x v="2"/>
    <x v="10"/>
    <s v="NO5_A1"/>
    <x v="5"/>
    <x v="8"/>
    <x v="57"/>
    <x v="0"/>
    <x v="2"/>
    <n v="1115.2804519869301"/>
    <n v="407077.364975231"/>
    <n v="1465478.51391083"/>
  </r>
  <r>
    <x v="0"/>
    <x v="0"/>
    <x v="0"/>
    <x v="2"/>
    <x v="10"/>
    <s v="NO5_A1"/>
    <x v="5"/>
    <x v="8"/>
    <x v="57"/>
    <x v="0"/>
    <x v="3"/>
    <n v="1143.1881485359399"/>
    <n v="417263.67421561899"/>
    <n v="1502149.2271762299"/>
  </r>
  <r>
    <x v="0"/>
    <x v="0"/>
    <x v="0"/>
    <x v="2"/>
    <x v="10"/>
    <s v="NO5_A1"/>
    <x v="5"/>
    <x v="8"/>
    <x v="57"/>
    <x v="0"/>
    <x v="4"/>
    <n v="1165.08534839041"/>
    <n v="425256.15216249798"/>
    <n v="1530922.14778499"/>
  </r>
  <r>
    <x v="0"/>
    <x v="0"/>
    <x v="0"/>
    <x v="2"/>
    <x v="10"/>
    <s v="NO5_A1"/>
    <x v="5"/>
    <x v="8"/>
    <x v="57"/>
    <x v="0"/>
    <x v="5"/>
    <n v="329.43364079821299"/>
    <n v="120243.278891348"/>
    <n v="432875.80400885199"/>
  </r>
  <r>
    <x v="0"/>
    <x v="0"/>
    <x v="0"/>
    <x v="2"/>
    <x v="10"/>
    <s v="NO5_A1"/>
    <x v="5"/>
    <x v="8"/>
    <x v="57"/>
    <x v="0"/>
    <x v="6"/>
    <n v="1327.35089034258"/>
    <n v="484483.07497504301"/>
    <n v="1744139.06991015"/>
  </r>
  <r>
    <x v="0"/>
    <x v="0"/>
    <x v="0"/>
    <x v="2"/>
    <x v="10"/>
    <s v="NO5_A1"/>
    <x v="5"/>
    <x v="8"/>
    <x v="57"/>
    <x v="0"/>
    <x v="7"/>
    <n v="1488.04902527278"/>
    <n v="543137.89422456501"/>
    <n v="1955296.41920843"/>
  </r>
  <r>
    <x v="0"/>
    <x v="0"/>
    <x v="0"/>
    <x v="2"/>
    <x v="10"/>
    <s v="NO5_A1"/>
    <x v="5"/>
    <x v="8"/>
    <x v="57"/>
    <x v="0"/>
    <x v="8"/>
    <n v="1535.8637918065899"/>
    <n v="560590.28400940704"/>
    <n v="2018125.02243387"/>
  </r>
  <r>
    <x v="0"/>
    <x v="0"/>
    <x v="0"/>
    <x v="2"/>
    <x v="10"/>
    <s v="NO5_A1"/>
    <x v="5"/>
    <x v="8"/>
    <x v="57"/>
    <x v="0"/>
    <x v="9"/>
    <n v="577.51586566484195"/>
    <n v="210793.29096766701"/>
    <n v="758855.84748360305"/>
  </r>
  <r>
    <x v="0"/>
    <x v="0"/>
    <x v="0"/>
    <x v="2"/>
    <x v="10"/>
    <s v="NO5_A1"/>
    <x v="5"/>
    <x v="8"/>
    <x v="57"/>
    <x v="0"/>
    <x v="10"/>
    <n v="1474.93118282261"/>
    <n v="538349.88173025195"/>
    <n v="1938059.57422891"/>
  </r>
  <r>
    <x v="0"/>
    <x v="0"/>
    <x v="0"/>
    <x v="2"/>
    <x v="10"/>
    <s v="NO5_A1"/>
    <x v="5"/>
    <x v="8"/>
    <x v="57"/>
    <x v="0"/>
    <x v="11"/>
    <n v="1448.3550762725199"/>
    <n v="528649.60283947096"/>
    <n v="1903138.5702221"/>
  </r>
  <r>
    <x v="0"/>
    <x v="0"/>
    <x v="0"/>
    <x v="2"/>
    <x v="10"/>
    <s v="NO5_A1"/>
    <x v="5"/>
    <x v="8"/>
    <x v="57"/>
    <x v="0"/>
    <x v="12"/>
    <n v="1413.92850044032"/>
    <n v="516083.90266071801"/>
    <n v="1857902.0495785901"/>
  </r>
  <r>
    <x v="0"/>
    <x v="0"/>
    <x v="0"/>
    <x v="2"/>
    <x v="10"/>
    <s v="NO5_A1"/>
    <x v="5"/>
    <x v="8"/>
    <x v="57"/>
    <x v="0"/>
    <x v="13"/>
    <n v="1393.86348000209"/>
    <n v="508760.17020076298"/>
    <n v="1831536.6127227501"/>
  </r>
  <r>
    <x v="0"/>
    <x v="0"/>
    <x v="0"/>
    <x v="2"/>
    <x v="10"/>
    <s v="NO5_A1"/>
    <x v="5"/>
    <x v="8"/>
    <x v="57"/>
    <x v="0"/>
    <x v="14"/>
    <n v="1384.2186559315101"/>
    <n v="505239.80941500003"/>
    <n v="1818863.3138939999"/>
  </r>
  <r>
    <x v="0"/>
    <x v="0"/>
    <x v="0"/>
    <x v="2"/>
    <x v="10"/>
    <s v="NO5_A1"/>
    <x v="5"/>
    <x v="8"/>
    <x v="57"/>
    <x v="0"/>
    <x v="15"/>
    <n v="1381.2840515969999"/>
    <n v="504168.67883290502"/>
    <n v="1815007.2437984601"/>
  </r>
  <r>
    <x v="0"/>
    <x v="0"/>
    <x v="0"/>
    <x v="2"/>
    <x v="10"/>
    <s v="NO5_A1"/>
    <x v="5"/>
    <x v="8"/>
    <x v="57"/>
    <x v="0"/>
    <x v="16"/>
    <n v="1378.4473348030699"/>
    <n v="503133.27720312099"/>
    <n v="1811279.7979312399"/>
  </r>
  <r>
    <x v="0"/>
    <x v="0"/>
    <x v="0"/>
    <x v="2"/>
    <x v="10"/>
    <s v="NO5_A1"/>
    <x v="5"/>
    <x v="8"/>
    <x v="57"/>
    <x v="0"/>
    <x v="17"/>
    <n v="1394.4475118462401"/>
    <n v="508973.341823878"/>
    <n v="1832304.0305659601"/>
  </r>
  <r>
    <x v="0"/>
    <x v="0"/>
    <x v="0"/>
    <x v="2"/>
    <x v="10"/>
    <s v="NO5_A1"/>
    <x v="5"/>
    <x v="8"/>
    <x v="57"/>
    <x v="0"/>
    <x v="18"/>
    <n v="1431.3025267384401"/>
    <n v="522425.42225953098"/>
    <n v="1880731.52013431"/>
  </r>
  <r>
    <x v="0"/>
    <x v="0"/>
    <x v="0"/>
    <x v="2"/>
    <x v="10"/>
    <s v="NO5_A1"/>
    <x v="5"/>
    <x v="8"/>
    <x v="57"/>
    <x v="0"/>
    <x v="20"/>
    <n v="583.20488559534795"/>
    <n v="212869.78324230199"/>
    <n v="766331.219672287"/>
  </r>
  <r>
    <x v="0"/>
    <x v="0"/>
    <x v="0"/>
    <x v="2"/>
    <x v="10"/>
    <s v="NO5_A1"/>
    <x v="5"/>
    <x v="8"/>
    <x v="57"/>
    <x v="0"/>
    <x v="21"/>
    <n v="535.56479708654103"/>
    <n v="195481.15093658699"/>
    <n v="703732.14337171498"/>
  </r>
  <r>
    <x v="0"/>
    <x v="0"/>
    <x v="0"/>
    <x v="2"/>
    <x v="10"/>
    <s v="NO5_A1"/>
    <x v="5"/>
    <x v="8"/>
    <x v="57"/>
    <x v="0"/>
    <x v="22"/>
    <n v="944.66573084030097"/>
    <n v="344802.99175670999"/>
    <n v="1241290.7703241601"/>
  </r>
  <r>
    <x v="0"/>
    <x v="0"/>
    <x v="0"/>
    <x v="2"/>
    <x v="10"/>
    <s v="NO5_A1"/>
    <x v="5"/>
    <x v="8"/>
    <x v="57"/>
    <x v="0"/>
    <x v="23"/>
    <n v="1225.3527004175401"/>
    <n v="447253.735652401"/>
    <n v="1610113.44834864"/>
  </r>
  <r>
    <x v="0"/>
    <x v="0"/>
    <x v="0"/>
    <x v="3"/>
    <x v="11"/>
    <s v="SE1A"/>
    <x v="5"/>
    <x v="4"/>
    <x v="56"/>
    <x v="0"/>
    <x v="0"/>
    <n v="596.96833364192196"/>
    <n v="217893.441779302"/>
    <n v="784416.39040548599"/>
  </r>
  <r>
    <x v="0"/>
    <x v="0"/>
    <x v="0"/>
    <x v="3"/>
    <x v="11"/>
    <s v="SE1A"/>
    <x v="5"/>
    <x v="4"/>
    <x v="56"/>
    <x v="0"/>
    <x v="1"/>
    <n v="596.96833364192196"/>
    <n v="217893.441779302"/>
    <n v="784416.39040548599"/>
  </r>
  <r>
    <x v="0"/>
    <x v="0"/>
    <x v="0"/>
    <x v="3"/>
    <x v="11"/>
    <s v="SE1A"/>
    <x v="5"/>
    <x v="4"/>
    <x v="56"/>
    <x v="0"/>
    <x v="2"/>
    <n v="596.96833364192196"/>
    <n v="217893.441779302"/>
    <n v="784416.39040548599"/>
  </r>
  <r>
    <x v="0"/>
    <x v="0"/>
    <x v="0"/>
    <x v="3"/>
    <x v="11"/>
    <s v="SE1A"/>
    <x v="5"/>
    <x v="4"/>
    <x v="56"/>
    <x v="0"/>
    <x v="3"/>
    <n v="596.96833364192196"/>
    <n v="217893.441779302"/>
    <n v="784416.39040548599"/>
  </r>
  <r>
    <x v="0"/>
    <x v="0"/>
    <x v="0"/>
    <x v="3"/>
    <x v="11"/>
    <s v="SE1A"/>
    <x v="5"/>
    <x v="4"/>
    <x v="56"/>
    <x v="0"/>
    <x v="4"/>
    <n v="596.96833364192196"/>
    <n v="217893.441779302"/>
    <n v="784416.39040548599"/>
  </r>
  <r>
    <x v="0"/>
    <x v="0"/>
    <x v="0"/>
    <x v="3"/>
    <x v="11"/>
    <s v="SE1A"/>
    <x v="5"/>
    <x v="4"/>
    <x v="56"/>
    <x v="0"/>
    <x v="5"/>
    <n v="596.96833364192196"/>
    <n v="217893.441779302"/>
    <n v="784416.39040548599"/>
  </r>
  <r>
    <x v="0"/>
    <x v="0"/>
    <x v="0"/>
    <x v="3"/>
    <x v="11"/>
    <s v="SE1A"/>
    <x v="5"/>
    <x v="4"/>
    <x v="56"/>
    <x v="0"/>
    <x v="6"/>
    <n v="596.96833364192196"/>
    <n v="217893.441779302"/>
    <n v="784416.39040548599"/>
  </r>
  <r>
    <x v="0"/>
    <x v="0"/>
    <x v="0"/>
    <x v="3"/>
    <x v="11"/>
    <s v="SE1A"/>
    <x v="5"/>
    <x v="4"/>
    <x v="56"/>
    <x v="0"/>
    <x v="7"/>
    <n v="596.96833364192196"/>
    <n v="217893.441779302"/>
    <n v="784416.39040548599"/>
  </r>
  <r>
    <x v="0"/>
    <x v="0"/>
    <x v="0"/>
    <x v="3"/>
    <x v="11"/>
    <s v="SE1A"/>
    <x v="5"/>
    <x v="4"/>
    <x v="56"/>
    <x v="0"/>
    <x v="8"/>
    <n v="596.96833364192196"/>
    <n v="217893.441779302"/>
    <n v="784416.39040548599"/>
  </r>
  <r>
    <x v="0"/>
    <x v="0"/>
    <x v="0"/>
    <x v="3"/>
    <x v="11"/>
    <s v="SE1A"/>
    <x v="5"/>
    <x v="4"/>
    <x v="56"/>
    <x v="0"/>
    <x v="9"/>
    <n v="596.96833364192196"/>
    <n v="217893.441779302"/>
    <n v="784416.39040548599"/>
  </r>
  <r>
    <x v="0"/>
    <x v="0"/>
    <x v="0"/>
    <x v="3"/>
    <x v="11"/>
    <s v="SE1A"/>
    <x v="5"/>
    <x v="4"/>
    <x v="56"/>
    <x v="0"/>
    <x v="10"/>
    <n v="596.96833364192196"/>
    <n v="217893.441779302"/>
    <n v="784416.39040548599"/>
  </r>
  <r>
    <x v="0"/>
    <x v="0"/>
    <x v="0"/>
    <x v="3"/>
    <x v="11"/>
    <s v="SE1A"/>
    <x v="5"/>
    <x v="4"/>
    <x v="56"/>
    <x v="0"/>
    <x v="11"/>
    <n v="596.96833364192196"/>
    <n v="217893.441779302"/>
    <n v="784416.39040548599"/>
  </r>
  <r>
    <x v="0"/>
    <x v="0"/>
    <x v="0"/>
    <x v="3"/>
    <x v="11"/>
    <s v="SE1A"/>
    <x v="5"/>
    <x v="4"/>
    <x v="56"/>
    <x v="0"/>
    <x v="12"/>
    <n v="596.96833364192196"/>
    <n v="217893.441779302"/>
    <n v="784416.39040548599"/>
  </r>
  <r>
    <x v="0"/>
    <x v="0"/>
    <x v="0"/>
    <x v="3"/>
    <x v="11"/>
    <s v="SE1A"/>
    <x v="5"/>
    <x v="4"/>
    <x v="56"/>
    <x v="0"/>
    <x v="13"/>
    <n v="596.96833364192196"/>
    <n v="217893.441779302"/>
    <n v="784416.39040548599"/>
  </r>
  <r>
    <x v="0"/>
    <x v="0"/>
    <x v="0"/>
    <x v="3"/>
    <x v="11"/>
    <s v="SE1A"/>
    <x v="5"/>
    <x v="4"/>
    <x v="56"/>
    <x v="0"/>
    <x v="14"/>
    <n v="596.96833364192196"/>
    <n v="217893.441779302"/>
    <n v="784416.39040548599"/>
  </r>
  <r>
    <x v="0"/>
    <x v="0"/>
    <x v="0"/>
    <x v="3"/>
    <x v="11"/>
    <s v="SE1A"/>
    <x v="5"/>
    <x v="4"/>
    <x v="56"/>
    <x v="0"/>
    <x v="15"/>
    <n v="596.96833364192196"/>
    <n v="217893.441779302"/>
    <n v="784416.39040548599"/>
  </r>
  <r>
    <x v="0"/>
    <x v="0"/>
    <x v="0"/>
    <x v="3"/>
    <x v="11"/>
    <s v="SE1A"/>
    <x v="5"/>
    <x v="4"/>
    <x v="56"/>
    <x v="0"/>
    <x v="16"/>
    <n v="596.96833364192196"/>
    <n v="217893.441779302"/>
    <n v="784416.39040548599"/>
  </r>
  <r>
    <x v="0"/>
    <x v="0"/>
    <x v="0"/>
    <x v="3"/>
    <x v="11"/>
    <s v="SE1A"/>
    <x v="5"/>
    <x v="4"/>
    <x v="56"/>
    <x v="0"/>
    <x v="17"/>
    <n v="596.96833364192196"/>
    <n v="217893.441779302"/>
    <n v="784416.39040548599"/>
  </r>
  <r>
    <x v="0"/>
    <x v="0"/>
    <x v="0"/>
    <x v="3"/>
    <x v="11"/>
    <s v="SE1A"/>
    <x v="5"/>
    <x v="4"/>
    <x v="56"/>
    <x v="0"/>
    <x v="18"/>
    <n v="596.96833364192196"/>
    <n v="217893.441779302"/>
    <n v="784416.39040548599"/>
  </r>
  <r>
    <x v="0"/>
    <x v="0"/>
    <x v="0"/>
    <x v="3"/>
    <x v="11"/>
    <s v="SE1A"/>
    <x v="5"/>
    <x v="4"/>
    <x v="56"/>
    <x v="0"/>
    <x v="19"/>
    <n v="596.96833364192196"/>
    <n v="217893.441779302"/>
    <n v="784416.39040548599"/>
  </r>
  <r>
    <x v="0"/>
    <x v="0"/>
    <x v="0"/>
    <x v="3"/>
    <x v="11"/>
    <s v="SE1A"/>
    <x v="5"/>
    <x v="4"/>
    <x v="56"/>
    <x v="0"/>
    <x v="20"/>
    <n v="596.96833364192196"/>
    <n v="217893.441779302"/>
    <n v="784416.39040548599"/>
  </r>
  <r>
    <x v="0"/>
    <x v="0"/>
    <x v="0"/>
    <x v="3"/>
    <x v="11"/>
    <s v="SE1A"/>
    <x v="5"/>
    <x v="4"/>
    <x v="56"/>
    <x v="0"/>
    <x v="21"/>
    <n v="596.96833364192196"/>
    <n v="217893.441779302"/>
    <n v="784416.39040548599"/>
  </r>
  <r>
    <x v="0"/>
    <x v="0"/>
    <x v="0"/>
    <x v="3"/>
    <x v="11"/>
    <s v="SE1A"/>
    <x v="5"/>
    <x v="4"/>
    <x v="56"/>
    <x v="0"/>
    <x v="22"/>
    <n v="596.96833364192196"/>
    <n v="217893.441779302"/>
    <n v="784416.39040548599"/>
  </r>
  <r>
    <x v="0"/>
    <x v="0"/>
    <x v="0"/>
    <x v="3"/>
    <x v="11"/>
    <s v="SE1A"/>
    <x v="5"/>
    <x v="4"/>
    <x v="56"/>
    <x v="0"/>
    <x v="23"/>
    <n v="596.96833364192196"/>
    <n v="217893.441779302"/>
    <n v="784416.39040548599"/>
  </r>
  <r>
    <x v="0"/>
    <x v="0"/>
    <x v="0"/>
    <x v="3"/>
    <x v="11"/>
    <s v="SE1A"/>
    <x v="5"/>
    <x v="8"/>
    <x v="57"/>
    <x v="0"/>
    <x v="0"/>
    <n v="822.90900874097304"/>
    <n v="300361.788190455"/>
    <n v="1081302.4374856399"/>
  </r>
  <r>
    <x v="0"/>
    <x v="0"/>
    <x v="0"/>
    <x v="3"/>
    <x v="11"/>
    <s v="SE1A"/>
    <x v="5"/>
    <x v="8"/>
    <x v="57"/>
    <x v="0"/>
    <x v="1"/>
    <n v="3411.9120151741899"/>
    <n v="1245347.8855385799"/>
    <n v="4483252.3879388897"/>
  </r>
  <r>
    <x v="0"/>
    <x v="0"/>
    <x v="0"/>
    <x v="3"/>
    <x v="11"/>
    <s v="SE1A"/>
    <x v="5"/>
    <x v="8"/>
    <x v="57"/>
    <x v="0"/>
    <x v="3"/>
    <n v="27.566369299219001"/>
    <n v="10061.724794214901"/>
    <n v="36222.209259173796"/>
  </r>
  <r>
    <x v="0"/>
    <x v="0"/>
    <x v="0"/>
    <x v="3"/>
    <x v="11"/>
    <s v="SE1A"/>
    <x v="5"/>
    <x v="8"/>
    <x v="57"/>
    <x v="0"/>
    <x v="4"/>
    <n v="3558.4690458626901"/>
    <n v="1298841.20173988"/>
    <n v="4675828.3262635795"/>
  </r>
  <r>
    <x v="0"/>
    <x v="0"/>
    <x v="0"/>
    <x v="3"/>
    <x v="11"/>
    <s v="SE1A"/>
    <x v="5"/>
    <x v="8"/>
    <x v="57"/>
    <x v="0"/>
    <x v="5"/>
    <n v="3681.0966833042298"/>
    <n v="1343600.28940604"/>
    <n v="4836961.0418617502"/>
  </r>
  <r>
    <x v="0"/>
    <x v="0"/>
    <x v="0"/>
    <x v="3"/>
    <x v="11"/>
    <s v="SE1A"/>
    <x v="5"/>
    <x v="8"/>
    <x v="57"/>
    <x v="0"/>
    <x v="6"/>
    <n v="3798.7148379646001"/>
    <n v="1386530.9158570799"/>
    <n v="4991511.2970854798"/>
  </r>
  <r>
    <x v="0"/>
    <x v="0"/>
    <x v="0"/>
    <x v="3"/>
    <x v="11"/>
    <s v="SE1A"/>
    <x v="5"/>
    <x v="8"/>
    <x v="57"/>
    <x v="0"/>
    <x v="7"/>
    <n v="1108.2852693676"/>
    <n v="404524.123319173"/>
    <n v="1456286.8439490199"/>
  </r>
  <r>
    <x v="0"/>
    <x v="0"/>
    <x v="0"/>
    <x v="3"/>
    <x v="11"/>
    <s v="SE1A"/>
    <x v="5"/>
    <x v="8"/>
    <x v="57"/>
    <x v="0"/>
    <x v="8"/>
    <n v="917.35389027648796"/>
    <n v="334834.169950918"/>
    <n v="1205403.0118233101"/>
  </r>
  <r>
    <x v="0"/>
    <x v="0"/>
    <x v="0"/>
    <x v="3"/>
    <x v="11"/>
    <s v="SE1A"/>
    <x v="5"/>
    <x v="8"/>
    <x v="57"/>
    <x v="0"/>
    <x v="9"/>
    <n v="3500.9556495954798"/>
    <n v="1277848.8121023499"/>
    <n v="4600255.72356846"/>
  </r>
  <r>
    <x v="0"/>
    <x v="0"/>
    <x v="0"/>
    <x v="3"/>
    <x v="11"/>
    <s v="SE1A"/>
    <x v="5"/>
    <x v="8"/>
    <x v="57"/>
    <x v="0"/>
    <x v="10"/>
    <n v="4063.8618606335999"/>
    <n v="1483309.57913126"/>
    <n v="5339914.4848725498"/>
  </r>
  <r>
    <x v="0"/>
    <x v="0"/>
    <x v="0"/>
    <x v="3"/>
    <x v="11"/>
    <s v="SE1A"/>
    <x v="5"/>
    <x v="8"/>
    <x v="57"/>
    <x v="0"/>
    <x v="11"/>
    <n v="2067.7445984672499"/>
    <n v="754726.77844054601"/>
    <n v="2717016.4023859701"/>
  </r>
  <r>
    <x v="0"/>
    <x v="0"/>
    <x v="0"/>
    <x v="3"/>
    <x v="11"/>
    <s v="SE1A"/>
    <x v="5"/>
    <x v="8"/>
    <x v="57"/>
    <x v="0"/>
    <x v="12"/>
    <n v="487.65249689331102"/>
    <n v="177993.16136605901"/>
    <n v="640775.38091781095"/>
  </r>
  <r>
    <x v="0"/>
    <x v="0"/>
    <x v="0"/>
    <x v="3"/>
    <x v="11"/>
    <s v="SE1A"/>
    <x v="5"/>
    <x v="8"/>
    <x v="57"/>
    <x v="0"/>
    <x v="13"/>
    <n v="4022.5080992680701"/>
    <n v="1468215.45623284"/>
    <n v="5285575.6424382403"/>
  </r>
  <r>
    <x v="0"/>
    <x v="0"/>
    <x v="0"/>
    <x v="3"/>
    <x v="11"/>
    <s v="SE1A"/>
    <x v="5"/>
    <x v="8"/>
    <x v="57"/>
    <x v="0"/>
    <x v="14"/>
    <n v="1029.3464064349801"/>
    <n v="375711.43834876898"/>
    <n v="1352561.17805557"/>
  </r>
  <r>
    <x v="0"/>
    <x v="0"/>
    <x v="0"/>
    <x v="3"/>
    <x v="11"/>
    <s v="SE1A"/>
    <x v="5"/>
    <x v="8"/>
    <x v="57"/>
    <x v="0"/>
    <x v="15"/>
    <n v="3892.1125716941901"/>
    <n v="1420621.0886683799"/>
    <n v="5114235.9192061704"/>
  </r>
  <r>
    <x v="0"/>
    <x v="0"/>
    <x v="0"/>
    <x v="3"/>
    <x v="11"/>
    <s v="SE1A"/>
    <x v="5"/>
    <x v="8"/>
    <x v="57"/>
    <x v="0"/>
    <x v="16"/>
    <n v="3891.5013370044999"/>
    <n v="1420397.98800664"/>
    <n v="5113432.7568239104"/>
  </r>
  <r>
    <x v="0"/>
    <x v="0"/>
    <x v="0"/>
    <x v="3"/>
    <x v="11"/>
    <s v="SE1A"/>
    <x v="5"/>
    <x v="8"/>
    <x v="57"/>
    <x v="0"/>
    <x v="17"/>
    <n v="3887.8258060940898"/>
    <n v="1419056.41922434"/>
    <n v="5108603.1092076404"/>
  </r>
  <r>
    <x v="0"/>
    <x v="0"/>
    <x v="0"/>
    <x v="3"/>
    <x v="11"/>
    <s v="SE1A"/>
    <x v="5"/>
    <x v="8"/>
    <x v="57"/>
    <x v="0"/>
    <x v="18"/>
    <n v="573.96554880389795"/>
    <n v="209497.42531342301"/>
    <n v="754190.73112832196"/>
  </r>
  <r>
    <x v="0"/>
    <x v="0"/>
    <x v="0"/>
    <x v="3"/>
    <x v="11"/>
    <s v="SE1A"/>
    <x v="5"/>
    <x v="8"/>
    <x v="57"/>
    <x v="0"/>
    <x v="19"/>
    <n v="814.45223902278497"/>
    <n v="297275.06724331598"/>
    <n v="1070190.2420759399"/>
  </r>
  <r>
    <x v="0"/>
    <x v="0"/>
    <x v="0"/>
    <x v="3"/>
    <x v="11"/>
    <s v="SE1A"/>
    <x v="5"/>
    <x v="8"/>
    <x v="57"/>
    <x v="0"/>
    <x v="20"/>
    <n v="387.01724820376"/>
    <n v="141261.29559437299"/>
    <n v="508540.66413974098"/>
  </r>
  <r>
    <x v="0"/>
    <x v="0"/>
    <x v="0"/>
    <x v="3"/>
    <x v="11"/>
    <s v="SE1A"/>
    <x v="5"/>
    <x v="8"/>
    <x v="57"/>
    <x v="0"/>
    <x v="21"/>
    <n v="3862.0845017006"/>
    <n v="1409660.84312072"/>
    <n v="5074779.0352345901"/>
  </r>
  <r>
    <x v="0"/>
    <x v="0"/>
    <x v="0"/>
    <x v="3"/>
    <x v="11"/>
    <s v="SE1A"/>
    <x v="5"/>
    <x v="8"/>
    <x v="57"/>
    <x v="0"/>
    <x v="22"/>
    <n v="3280.0274195828001"/>
    <n v="1197210.00814772"/>
    <n v="4309956.0293317996"/>
  </r>
  <r>
    <x v="0"/>
    <x v="0"/>
    <x v="0"/>
    <x v="3"/>
    <x v="11"/>
    <s v="SE1A"/>
    <x v="5"/>
    <x v="8"/>
    <x v="57"/>
    <x v="0"/>
    <x v="23"/>
    <n v="3148.5361854347998"/>
    <n v="1149215.7076836999"/>
    <n v="4137176.5476613198"/>
  </r>
  <r>
    <x v="0"/>
    <x v="0"/>
    <x v="0"/>
    <x v="3"/>
    <x v="11"/>
    <s v="SE1A"/>
    <x v="6"/>
    <x v="5"/>
    <x v="11"/>
    <x v="0"/>
    <x v="0"/>
    <n v="259.88515442742499"/>
    <n v="94858.081366010199"/>
    <n v="341489.09291763703"/>
  </r>
  <r>
    <x v="0"/>
    <x v="0"/>
    <x v="0"/>
    <x v="3"/>
    <x v="11"/>
    <s v="SE1A"/>
    <x v="6"/>
    <x v="5"/>
    <x v="11"/>
    <x v="0"/>
    <x v="1"/>
    <n v="211.562159334618"/>
    <n v="77220.188157135606"/>
    <n v="277992.67736568803"/>
  </r>
  <r>
    <x v="0"/>
    <x v="0"/>
    <x v="0"/>
    <x v="3"/>
    <x v="11"/>
    <s v="SE1A"/>
    <x v="6"/>
    <x v="5"/>
    <x v="11"/>
    <x v="0"/>
    <x v="2"/>
    <n v="247.79412458824001"/>
    <n v="90444.855474707598"/>
    <n v="325601.47970894701"/>
  </r>
  <r>
    <x v="0"/>
    <x v="0"/>
    <x v="0"/>
    <x v="3"/>
    <x v="11"/>
    <s v="SE1A"/>
    <x v="6"/>
    <x v="5"/>
    <x v="11"/>
    <x v="0"/>
    <x v="3"/>
    <n v="235.26031368078"/>
    <n v="85870.014493484603"/>
    <n v="309132.05217654502"/>
  </r>
  <r>
    <x v="0"/>
    <x v="0"/>
    <x v="0"/>
    <x v="3"/>
    <x v="11"/>
    <s v="SE1A"/>
    <x v="6"/>
    <x v="5"/>
    <x v="11"/>
    <x v="0"/>
    <x v="4"/>
    <n v="199.45067054262299"/>
    <n v="72799.494748057303"/>
    <n v="262078.18109300599"/>
  </r>
  <r>
    <x v="0"/>
    <x v="0"/>
    <x v="0"/>
    <x v="3"/>
    <x v="11"/>
    <s v="SE1A"/>
    <x v="6"/>
    <x v="5"/>
    <x v="11"/>
    <x v="0"/>
    <x v="5"/>
    <n v="159.52424783331401"/>
    <n v="58226.350459159701"/>
    <n v="209614.861652975"/>
  </r>
  <r>
    <x v="0"/>
    <x v="0"/>
    <x v="0"/>
    <x v="3"/>
    <x v="11"/>
    <s v="SE1A"/>
    <x v="6"/>
    <x v="5"/>
    <x v="11"/>
    <x v="0"/>
    <x v="6"/>
    <n v="145.89452196830001"/>
    <n v="53251.500518429501"/>
    <n v="191705.40186634599"/>
  </r>
  <r>
    <x v="0"/>
    <x v="0"/>
    <x v="0"/>
    <x v="3"/>
    <x v="11"/>
    <s v="SE1A"/>
    <x v="6"/>
    <x v="5"/>
    <x v="11"/>
    <x v="0"/>
    <x v="7"/>
    <n v="124.55039025847999"/>
    <n v="45460.892444345001"/>
    <n v="163659.212799642"/>
  </r>
  <r>
    <x v="0"/>
    <x v="0"/>
    <x v="0"/>
    <x v="3"/>
    <x v="11"/>
    <s v="SE1A"/>
    <x v="6"/>
    <x v="5"/>
    <x v="11"/>
    <x v="0"/>
    <x v="8"/>
    <n v="98.945460527754406"/>
    <n v="36115.093092630399"/>
    <n v="130014.33513346899"/>
  </r>
  <r>
    <x v="0"/>
    <x v="0"/>
    <x v="0"/>
    <x v="3"/>
    <x v="11"/>
    <s v="SE1A"/>
    <x v="6"/>
    <x v="5"/>
    <x v="11"/>
    <x v="0"/>
    <x v="9"/>
    <n v="69.756032842757094"/>
    <n v="25460.951987606299"/>
    <n v="91659.4271553828"/>
  </r>
  <r>
    <x v="0"/>
    <x v="0"/>
    <x v="0"/>
    <x v="3"/>
    <x v="11"/>
    <s v="SE1A"/>
    <x v="6"/>
    <x v="5"/>
    <x v="11"/>
    <x v="0"/>
    <x v="10"/>
    <n v="50.339366395089797"/>
    <n v="18373.868734207801"/>
    <n v="66145.927443148001"/>
  </r>
  <r>
    <x v="0"/>
    <x v="0"/>
    <x v="0"/>
    <x v="3"/>
    <x v="11"/>
    <s v="SE1A"/>
    <x v="6"/>
    <x v="5"/>
    <x v="11"/>
    <x v="0"/>
    <x v="11"/>
    <n v="39.894378211175201"/>
    <n v="14561.448047079"/>
    <n v="52421.212969484302"/>
  </r>
  <r>
    <x v="0"/>
    <x v="0"/>
    <x v="0"/>
    <x v="3"/>
    <x v="11"/>
    <s v="SE1A"/>
    <x v="6"/>
    <x v="5"/>
    <x v="11"/>
    <x v="0"/>
    <x v="12"/>
    <n v="38.382931309334197"/>
    <n v="14009.769927907"/>
    <n v="50435.171740465099"/>
  </r>
  <r>
    <x v="0"/>
    <x v="0"/>
    <x v="0"/>
    <x v="3"/>
    <x v="11"/>
    <s v="SE1A"/>
    <x v="6"/>
    <x v="5"/>
    <x v="11"/>
    <x v="0"/>
    <x v="13"/>
    <n v="64.474679955125197"/>
    <n v="23533.258183620699"/>
    <n v="84719.729461034498"/>
  </r>
  <r>
    <x v="0"/>
    <x v="0"/>
    <x v="0"/>
    <x v="3"/>
    <x v="11"/>
    <s v="SE1A"/>
    <x v="6"/>
    <x v="5"/>
    <x v="11"/>
    <x v="0"/>
    <x v="14"/>
    <n v="82.751010361579503"/>
    <n v="30204.1187819765"/>
    <n v="108734.82761511501"/>
  </r>
  <r>
    <x v="0"/>
    <x v="0"/>
    <x v="0"/>
    <x v="3"/>
    <x v="11"/>
    <s v="SE1A"/>
    <x v="6"/>
    <x v="5"/>
    <x v="11"/>
    <x v="0"/>
    <x v="15"/>
    <n v="126.47513355621"/>
    <n v="46163.423748016598"/>
    <n v="166188.32549285999"/>
  </r>
  <r>
    <x v="0"/>
    <x v="0"/>
    <x v="0"/>
    <x v="3"/>
    <x v="11"/>
    <s v="SE1A"/>
    <x v="6"/>
    <x v="5"/>
    <x v="11"/>
    <x v="0"/>
    <x v="16"/>
    <n v="158.49226955993899"/>
    <n v="57849.678389377601"/>
    <n v="208258.84220175899"/>
  </r>
  <r>
    <x v="0"/>
    <x v="0"/>
    <x v="0"/>
    <x v="3"/>
    <x v="11"/>
    <s v="SE1A"/>
    <x v="6"/>
    <x v="5"/>
    <x v="11"/>
    <x v="0"/>
    <x v="17"/>
    <n v="182.40715909494801"/>
    <n v="66578.613069655898"/>
    <n v="239683.00705076099"/>
  </r>
  <r>
    <x v="0"/>
    <x v="0"/>
    <x v="0"/>
    <x v="3"/>
    <x v="11"/>
    <s v="SE1A"/>
    <x v="6"/>
    <x v="5"/>
    <x v="11"/>
    <x v="0"/>
    <x v="18"/>
    <n v="204.981284619967"/>
    <n v="74818.168886288098"/>
    <n v="269345.407990637"/>
  </r>
  <r>
    <x v="0"/>
    <x v="0"/>
    <x v="0"/>
    <x v="3"/>
    <x v="11"/>
    <s v="SE1A"/>
    <x v="6"/>
    <x v="5"/>
    <x v="11"/>
    <x v="0"/>
    <x v="19"/>
    <n v="198.90685742664499"/>
    <n v="72601.002960725396"/>
    <n v="261363.61065861199"/>
  </r>
  <r>
    <x v="0"/>
    <x v="0"/>
    <x v="0"/>
    <x v="3"/>
    <x v="11"/>
    <s v="SE1A"/>
    <x v="6"/>
    <x v="5"/>
    <x v="11"/>
    <x v="0"/>
    <x v="20"/>
    <n v="180.89271508426501"/>
    <n v="66025.841005756898"/>
    <n v="237693.02762072501"/>
  </r>
  <r>
    <x v="0"/>
    <x v="0"/>
    <x v="0"/>
    <x v="3"/>
    <x v="11"/>
    <s v="SE1A"/>
    <x v="6"/>
    <x v="5"/>
    <x v="11"/>
    <x v="0"/>
    <x v="21"/>
    <n v="196.603638241807"/>
    <n v="71760.327958259397"/>
    <n v="258337.18064973399"/>
  </r>
  <r>
    <x v="0"/>
    <x v="0"/>
    <x v="0"/>
    <x v="3"/>
    <x v="11"/>
    <s v="SE1A"/>
    <x v="6"/>
    <x v="5"/>
    <x v="11"/>
    <x v="0"/>
    <x v="22"/>
    <n v="170.85507821149"/>
    <n v="62362.103547193801"/>
    <n v="224503.57276989799"/>
  </r>
  <r>
    <x v="0"/>
    <x v="0"/>
    <x v="0"/>
    <x v="3"/>
    <x v="11"/>
    <s v="SE1A"/>
    <x v="6"/>
    <x v="5"/>
    <x v="11"/>
    <x v="0"/>
    <x v="23"/>
    <n v="188.33686032429901"/>
    <n v="68742.954018369099"/>
    <n v="247474.63446612901"/>
  </r>
  <r>
    <x v="0"/>
    <x v="0"/>
    <x v="0"/>
    <x v="3"/>
    <x v="11"/>
    <s v="SE1_EL"/>
    <x v="2"/>
    <x v="2"/>
    <x v="55"/>
    <x v="0"/>
    <x v="0"/>
    <n v="3.5591167074711301"/>
    <n v="1299.0775982269599"/>
    <n v="4676.6793536170599"/>
  </r>
  <r>
    <x v="0"/>
    <x v="0"/>
    <x v="0"/>
    <x v="3"/>
    <x v="11"/>
    <s v="SE1_EL"/>
    <x v="2"/>
    <x v="2"/>
    <x v="55"/>
    <x v="0"/>
    <x v="1"/>
    <n v="3.5591167074711301"/>
    <n v="1299.0775982269599"/>
    <n v="4676.6793536170599"/>
  </r>
  <r>
    <x v="0"/>
    <x v="0"/>
    <x v="0"/>
    <x v="3"/>
    <x v="11"/>
    <s v="SE1_EL"/>
    <x v="2"/>
    <x v="2"/>
    <x v="55"/>
    <x v="0"/>
    <x v="2"/>
    <n v="3.5591167074711301"/>
    <n v="1299.0775982269599"/>
    <n v="4676.6793536170599"/>
  </r>
  <r>
    <x v="0"/>
    <x v="0"/>
    <x v="0"/>
    <x v="3"/>
    <x v="11"/>
    <s v="SE1_EL"/>
    <x v="2"/>
    <x v="2"/>
    <x v="55"/>
    <x v="0"/>
    <x v="3"/>
    <n v="3.5591167074711301"/>
    <n v="1299.0775982269599"/>
    <n v="4676.6793536170599"/>
  </r>
  <r>
    <x v="0"/>
    <x v="0"/>
    <x v="0"/>
    <x v="3"/>
    <x v="11"/>
    <s v="SE1_EL"/>
    <x v="2"/>
    <x v="2"/>
    <x v="55"/>
    <x v="0"/>
    <x v="4"/>
    <n v="3.5591167074711301"/>
    <n v="1299.0775982269599"/>
    <n v="4676.6793536170599"/>
  </r>
  <r>
    <x v="0"/>
    <x v="0"/>
    <x v="0"/>
    <x v="3"/>
    <x v="11"/>
    <s v="SE1_EL"/>
    <x v="2"/>
    <x v="2"/>
    <x v="55"/>
    <x v="0"/>
    <x v="5"/>
    <n v="3.5591167074711301"/>
    <n v="1299.0775982269599"/>
    <n v="4676.6793536170599"/>
  </r>
  <r>
    <x v="0"/>
    <x v="0"/>
    <x v="0"/>
    <x v="3"/>
    <x v="11"/>
    <s v="SE1_EL"/>
    <x v="2"/>
    <x v="2"/>
    <x v="55"/>
    <x v="0"/>
    <x v="6"/>
    <n v="3.5591167074711301"/>
    <n v="1299.0775982269599"/>
    <n v="4676.6793536170599"/>
  </r>
  <r>
    <x v="0"/>
    <x v="0"/>
    <x v="0"/>
    <x v="3"/>
    <x v="11"/>
    <s v="SE1_EL"/>
    <x v="2"/>
    <x v="2"/>
    <x v="55"/>
    <x v="0"/>
    <x v="7"/>
    <n v="3.5591167074711301"/>
    <n v="1299.0775982269599"/>
    <n v="4676.6793536170599"/>
  </r>
  <r>
    <x v="0"/>
    <x v="0"/>
    <x v="0"/>
    <x v="3"/>
    <x v="11"/>
    <s v="SE1_EL"/>
    <x v="2"/>
    <x v="2"/>
    <x v="55"/>
    <x v="0"/>
    <x v="8"/>
    <n v="3.5591167074711301"/>
    <n v="1299.0775982269599"/>
    <n v="4676.6793536170599"/>
  </r>
  <r>
    <x v="0"/>
    <x v="0"/>
    <x v="0"/>
    <x v="3"/>
    <x v="11"/>
    <s v="SE1_EL"/>
    <x v="2"/>
    <x v="2"/>
    <x v="55"/>
    <x v="0"/>
    <x v="9"/>
    <n v="3.5591167074711301"/>
    <n v="1299.0775982269599"/>
    <n v="4676.6793536170599"/>
  </r>
  <r>
    <x v="0"/>
    <x v="0"/>
    <x v="0"/>
    <x v="3"/>
    <x v="11"/>
    <s v="SE1_EL"/>
    <x v="2"/>
    <x v="2"/>
    <x v="55"/>
    <x v="0"/>
    <x v="10"/>
    <n v="3.5591167074711301"/>
    <n v="1299.0775982269599"/>
    <n v="4676.6793536170599"/>
  </r>
  <r>
    <x v="0"/>
    <x v="0"/>
    <x v="0"/>
    <x v="3"/>
    <x v="11"/>
    <s v="SE1_EL"/>
    <x v="2"/>
    <x v="2"/>
    <x v="55"/>
    <x v="0"/>
    <x v="11"/>
    <n v="3.5591167074711301"/>
    <n v="1299.0775982269599"/>
    <n v="4676.6793536170599"/>
  </r>
  <r>
    <x v="0"/>
    <x v="0"/>
    <x v="0"/>
    <x v="3"/>
    <x v="11"/>
    <s v="SE1_EL"/>
    <x v="2"/>
    <x v="2"/>
    <x v="55"/>
    <x v="0"/>
    <x v="12"/>
    <n v="3.5591167074711301"/>
    <n v="1299.0775982269599"/>
    <n v="4676.6793536170599"/>
  </r>
  <r>
    <x v="0"/>
    <x v="0"/>
    <x v="0"/>
    <x v="3"/>
    <x v="11"/>
    <s v="SE1_EL"/>
    <x v="2"/>
    <x v="2"/>
    <x v="55"/>
    <x v="0"/>
    <x v="13"/>
    <n v="3.5591167074711301"/>
    <n v="1299.0775982269599"/>
    <n v="4676.6793536170599"/>
  </r>
  <r>
    <x v="0"/>
    <x v="0"/>
    <x v="0"/>
    <x v="3"/>
    <x v="11"/>
    <s v="SE1_EL"/>
    <x v="2"/>
    <x v="2"/>
    <x v="55"/>
    <x v="0"/>
    <x v="14"/>
    <n v="3.5591167074711301"/>
    <n v="1299.0775982269599"/>
    <n v="4676.6793536170599"/>
  </r>
  <r>
    <x v="0"/>
    <x v="0"/>
    <x v="0"/>
    <x v="3"/>
    <x v="11"/>
    <s v="SE1_EL"/>
    <x v="2"/>
    <x v="2"/>
    <x v="55"/>
    <x v="0"/>
    <x v="15"/>
    <n v="3.5591167074711301"/>
    <n v="1299.0775982269599"/>
    <n v="4676.6793536170599"/>
  </r>
  <r>
    <x v="0"/>
    <x v="0"/>
    <x v="0"/>
    <x v="3"/>
    <x v="11"/>
    <s v="SE1_EL"/>
    <x v="2"/>
    <x v="2"/>
    <x v="55"/>
    <x v="0"/>
    <x v="16"/>
    <n v="3.5591167074711301"/>
    <n v="1299.0775982269599"/>
    <n v="4676.6793536170599"/>
  </r>
  <r>
    <x v="0"/>
    <x v="0"/>
    <x v="0"/>
    <x v="3"/>
    <x v="11"/>
    <s v="SE1_EL"/>
    <x v="2"/>
    <x v="2"/>
    <x v="55"/>
    <x v="0"/>
    <x v="17"/>
    <n v="3.5591167074711301"/>
    <n v="1299.0775982269599"/>
    <n v="4676.6793536170599"/>
  </r>
  <r>
    <x v="0"/>
    <x v="0"/>
    <x v="0"/>
    <x v="3"/>
    <x v="11"/>
    <s v="SE1_EL"/>
    <x v="2"/>
    <x v="2"/>
    <x v="55"/>
    <x v="0"/>
    <x v="18"/>
    <n v="3.5591167074711301"/>
    <n v="1299.0775982269599"/>
    <n v="4676.6793536170599"/>
  </r>
  <r>
    <x v="0"/>
    <x v="0"/>
    <x v="0"/>
    <x v="3"/>
    <x v="11"/>
    <s v="SE1_EL"/>
    <x v="2"/>
    <x v="2"/>
    <x v="55"/>
    <x v="0"/>
    <x v="19"/>
    <n v="3.5591167074711301"/>
    <n v="1299.0775982269599"/>
    <n v="4676.6793536170599"/>
  </r>
  <r>
    <x v="0"/>
    <x v="0"/>
    <x v="0"/>
    <x v="3"/>
    <x v="11"/>
    <s v="SE1_EL"/>
    <x v="2"/>
    <x v="2"/>
    <x v="55"/>
    <x v="0"/>
    <x v="20"/>
    <n v="3.5591167074711301"/>
    <n v="1299.0775982269599"/>
    <n v="4676.6793536170599"/>
  </r>
  <r>
    <x v="0"/>
    <x v="0"/>
    <x v="0"/>
    <x v="3"/>
    <x v="11"/>
    <s v="SE1_EL"/>
    <x v="2"/>
    <x v="2"/>
    <x v="55"/>
    <x v="0"/>
    <x v="21"/>
    <n v="3.5591167074711301"/>
    <n v="1299.0775982269599"/>
    <n v="4676.6793536170599"/>
  </r>
  <r>
    <x v="0"/>
    <x v="0"/>
    <x v="0"/>
    <x v="3"/>
    <x v="11"/>
    <s v="SE1_EL"/>
    <x v="2"/>
    <x v="2"/>
    <x v="55"/>
    <x v="0"/>
    <x v="22"/>
    <n v="3.5591167074711301"/>
    <n v="1299.0775982269599"/>
    <n v="4676.6793536170599"/>
  </r>
  <r>
    <x v="0"/>
    <x v="0"/>
    <x v="0"/>
    <x v="3"/>
    <x v="11"/>
    <s v="SE1_EL"/>
    <x v="2"/>
    <x v="2"/>
    <x v="55"/>
    <x v="0"/>
    <x v="23"/>
    <n v="3.5591167074711301"/>
    <n v="1299.0775982269599"/>
    <n v="4676.6793536170599"/>
  </r>
  <r>
    <x v="0"/>
    <x v="0"/>
    <x v="0"/>
    <x v="3"/>
    <x v="11"/>
    <s v="SE1_OTHER"/>
    <x v="12"/>
    <x v="2"/>
    <x v="59"/>
    <x v="0"/>
    <x v="4"/>
    <n v="1.6466971309791101"/>
    <n v="601.04445280737502"/>
    <n v="2163.7600301065499"/>
  </r>
  <r>
    <x v="0"/>
    <x v="0"/>
    <x v="0"/>
    <x v="3"/>
    <x v="11"/>
    <s v="SE1_OTHER"/>
    <x v="12"/>
    <x v="2"/>
    <x v="59"/>
    <x v="0"/>
    <x v="5"/>
    <n v="5.4861882418743404"/>
    <n v="2002.4587082841299"/>
    <n v="7208.8513498228804"/>
  </r>
  <r>
    <x v="0"/>
    <x v="0"/>
    <x v="0"/>
    <x v="3"/>
    <x v="11"/>
    <s v="SE1_OTHER"/>
    <x v="12"/>
    <x v="2"/>
    <x v="59"/>
    <x v="0"/>
    <x v="6"/>
    <n v="5.4861882418743404"/>
    <n v="2002.4587082841299"/>
    <n v="7208.8513498228804"/>
  </r>
  <r>
    <x v="0"/>
    <x v="0"/>
    <x v="0"/>
    <x v="3"/>
    <x v="11"/>
    <s v="SE1_OTHER"/>
    <x v="12"/>
    <x v="2"/>
    <x v="59"/>
    <x v="0"/>
    <x v="7"/>
    <n v="5.4861882418743404"/>
    <n v="2002.4587082841299"/>
    <n v="7208.8513498228804"/>
  </r>
  <r>
    <x v="0"/>
    <x v="0"/>
    <x v="0"/>
    <x v="3"/>
    <x v="11"/>
    <s v="SE1_OTHER"/>
    <x v="12"/>
    <x v="2"/>
    <x v="59"/>
    <x v="0"/>
    <x v="8"/>
    <n v="5.4861882418743404"/>
    <n v="2002.4587082841299"/>
    <n v="7208.8513498228804"/>
  </r>
  <r>
    <x v="0"/>
    <x v="0"/>
    <x v="0"/>
    <x v="3"/>
    <x v="11"/>
    <s v="SE1_OTHER"/>
    <x v="12"/>
    <x v="2"/>
    <x v="59"/>
    <x v="0"/>
    <x v="9"/>
    <n v="5.4861882418743404"/>
    <n v="2002.4587082841299"/>
    <n v="7208.8513498228804"/>
  </r>
  <r>
    <x v="0"/>
    <x v="0"/>
    <x v="0"/>
    <x v="3"/>
    <x v="11"/>
    <s v="SE1_OTHER"/>
    <x v="12"/>
    <x v="2"/>
    <x v="59"/>
    <x v="0"/>
    <x v="10"/>
    <n v="5.4861882418743404"/>
    <n v="2002.4587082841299"/>
    <n v="7208.8513498228804"/>
  </r>
  <r>
    <x v="0"/>
    <x v="0"/>
    <x v="0"/>
    <x v="3"/>
    <x v="11"/>
    <s v="SE1_OTHER"/>
    <x v="12"/>
    <x v="2"/>
    <x v="59"/>
    <x v="0"/>
    <x v="11"/>
    <n v="5.4861882418743404"/>
    <n v="2002.4587082841299"/>
    <n v="7208.8513498228804"/>
  </r>
  <r>
    <x v="0"/>
    <x v="0"/>
    <x v="0"/>
    <x v="3"/>
    <x v="11"/>
    <s v="SE1_OTHER"/>
    <x v="12"/>
    <x v="2"/>
    <x v="59"/>
    <x v="0"/>
    <x v="12"/>
    <n v="5.4861882418743404"/>
    <n v="2002.4587082841299"/>
    <n v="7208.8513498228804"/>
  </r>
  <r>
    <x v="0"/>
    <x v="0"/>
    <x v="0"/>
    <x v="3"/>
    <x v="11"/>
    <s v="SE1_OTHER"/>
    <x v="12"/>
    <x v="2"/>
    <x v="59"/>
    <x v="0"/>
    <x v="13"/>
    <n v="5.4861882418743404"/>
    <n v="2002.4587082841299"/>
    <n v="7208.8513498228804"/>
  </r>
  <r>
    <x v="0"/>
    <x v="0"/>
    <x v="0"/>
    <x v="3"/>
    <x v="11"/>
    <s v="SE1_OTHER"/>
    <x v="12"/>
    <x v="2"/>
    <x v="59"/>
    <x v="0"/>
    <x v="14"/>
    <n v="5.4861882418743404"/>
    <n v="2002.4587082841299"/>
    <n v="7208.8513498228804"/>
  </r>
  <r>
    <x v="0"/>
    <x v="0"/>
    <x v="0"/>
    <x v="3"/>
    <x v="11"/>
    <s v="SE1_OTHER"/>
    <x v="12"/>
    <x v="2"/>
    <x v="59"/>
    <x v="0"/>
    <x v="15"/>
    <n v="5.4861882418743404"/>
    <n v="2002.4587082841299"/>
    <n v="7208.8513498228804"/>
  </r>
  <r>
    <x v="0"/>
    <x v="0"/>
    <x v="0"/>
    <x v="3"/>
    <x v="11"/>
    <s v="SE1_OTHER"/>
    <x v="12"/>
    <x v="2"/>
    <x v="59"/>
    <x v="0"/>
    <x v="16"/>
    <n v="5.4861882418743404"/>
    <n v="2002.4587082841299"/>
    <n v="7208.8513498228804"/>
  </r>
  <r>
    <x v="0"/>
    <x v="0"/>
    <x v="0"/>
    <x v="3"/>
    <x v="11"/>
    <s v="SE1_OTHER"/>
    <x v="12"/>
    <x v="2"/>
    <x v="59"/>
    <x v="0"/>
    <x v="17"/>
    <n v="5.4861882418743404"/>
    <n v="2002.4587082841299"/>
    <n v="7208.8513498228804"/>
  </r>
  <r>
    <x v="0"/>
    <x v="0"/>
    <x v="0"/>
    <x v="3"/>
    <x v="11"/>
    <s v="SE1_OTHER"/>
    <x v="12"/>
    <x v="2"/>
    <x v="59"/>
    <x v="0"/>
    <x v="18"/>
    <n v="5.4861882418743404"/>
    <n v="2002.4587082841299"/>
    <n v="7208.8513498228804"/>
  </r>
  <r>
    <x v="0"/>
    <x v="0"/>
    <x v="0"/>
    <x v="3"/>
    <x v="11"/>
    <s v="SE1_OTHER"/>
    <x v="12"/>
    <x v="2"/>
    <x v="59"/>
    <x v="0"/>
    <x v="19"/>
    <n v="5.4861882418743404"/>
    <n v="2002.4587082841299"/>
    <n v="7208.8513498228804"/>
  </r>
  <r>
    <x v="0"/>
    <x v="0"/>
    <x v="0"/>
    <x v="3"/>
    <x v="11"/>
    <s v="SE1_OTHER"/>
    <x v="12"/>
    <x v="2"/>
    <x v="59"/>
    <x v="0"/>
    <x v="20"/>
    <n v="5.4861882418743404"/>
    <n v="2002.4587082841299"/>
    <n v="7208.8513498228804"/>
  </r>
  <r>
    <x v="0"/>
    <x v="0"/>
    <x v="0"/>
    <x v="3"/>
    <x v="11"/>
    <s v="SE1_OTHER"/>
    <x v="12"/>
    <x v="2"/>
    <x v="59"/>
    <x v="0"/>
    <x v="21"/>
    <n v="5.1665618809846698"/>
    <n v="1885.7950865594"/>
    <n v="6788.8623116138597"/>
  </r>
  <r>
    <x v="0"/>
    <x v="0"/>
    <x v="0"/>
    <x v="3"/>
    <x v="11"/>
    <s v="SE1_OTHER"/>
    <x v="12"/>
    <x v="2"/>
    <x v="59"/>
    <x v="0"/>
    <x v="22"/>
    <n v="3.1813122201302"/>
    <n v="1161.1789603475199"/>
    <n v="4180.2442572510899"/>
  </r>
  <r>
    <x v="0"/>
    <x v="0"/>
    <x v="0"/>
    <x v="3"/>
    <x v="11"/>
    <s v="SE1_OTHER"/>
    <x v="12"/>
    <x v="2"/>
    <x v="59"/>
    <x v="0"/>
    <x v="23"/>
    <n v="0.63997493435360198"/>
    <n v="233.590851039065"/>
    <n v="840.92706374063403"/>
  </r>
  <r>
    <x v="0"/>
    <x v="0"/>
    <x v="0"/>
    <x v="3"/>
    <x v="11"/>
    <s v="SE1_OTHER"/>
    <x v="13"/>
    <x v="2"/>
    <x v="60"/>
    <x v="0"/>
    <x v="0"/>
    <n v="22.9901926444834"/>
    <n v="8391.4203152364298"/>
    <n v="30209.113134851101"/>
  </r>
  <r>
    <x v="0"/>
    <x v="0"/>
    <x v="0"/>
    <x v="3"/>
    <x v="11"/>
    <s v="SE1_OTHER"/>
    <x v="13"/>
    <x v="2"/>
    <x v="60"/>
    <x v="0"/>
    <x v="1"/>
    <n v="22.9901926444834"/>
    <n v="8391.4203152364298"/>
    <n v="30209.113134851101"/>
  </r>
  <r>
    <x v="0"/>
    <x v="0"/>
    <x v="0"/>
    <x v="3"/>
    <x v="11"/>
    <s v="SE1_OTHER"/>
    <x v="13"/>
    <x v="2"/>
    <x v="60"/>
    <x v="0"/>
    <x v="2"/>
    <n v="22.9901926444834"/>
    <n v="8391.4203152364298"/>
    <n v="30209.113134851101"/>
  </r>
  <r>
    <x v="0"/>
    <x v="0"/>
    <x v="0"/>
    <x v="3"/>
    <x v="11"/>
    <s v="SE1_OTHER"/>
    <x v="13"/>
    <x v="2"/>
    <x v="60"/>
    <x v="0"/>
    <x v="3"/>
    <n v="22.9901926444834"/>
    <n v="8391.4203152364298"/>
    <n v="30209.113134851101"/>
  </r>
  <r>
    <x v="0"/>
    <x v="0"/>
    <x v="0"/>
    <x v="3"/>
    <x v="11"/>
    <s v="SE1_OTHER"/>
    <x v="13"/>
    <x v="2"/>
    <x v="60"/>
    <x v="0"/>
    <x v="4"/>
    <n v="22.9901926444834"/>
    <n v="8391.4203152364298"/>
    <n v="30209.113134851101"/>
  </r>
  <r>
    <x v="0"/>
    <x v="0"/>
    <x v="0"/>
    <x v="3"/>
    <x v="11"/>
    <s v="SE1_OTHER"/>
    <x v="13"/>
    <x v="2"/>
    <x v="60"/>
    <x v="0"/>
    <x v="5"/>
    <n v="22.9901926444834"/>
    <n v="8391.4203152364298"/>
    <n v="30209.113134851101"/>
  </r>
  <r>
    <x v="0"/>
    <x v="0"/>
    <x v="0"/>
    <x v="3"/>
    <x v="11"/>
    <s v="SE1_OTHER"/>
    <x v="13"/>
    <x v="2"/>
    <x v="60"/>
    <x v="0"/>
    <x v="6"/>
    <n v="22.9901926444834"/>
    <n v="8391.4203152364298"/>
    <n v="30209.113134851101"/>
  </r>
  <r>
    <x v="0"/>
    <x v="0"/>
    <x v="0"/>
    <x v="3"/>
    <x v="11"/>
    <s v="SE1_OTHER"/>
    <x v="13"/>
    <x v="2"/>
    <x v="60"/>
    <x v="0"/>
    <x v="7"/>
    <n v="22.9901926444834"/>
    <n v="8391.4203152364298"/>
    <n v="30209.113134851101"/>
  </r>
  <r>
    <x v="0"/>
    <x v="0"/>
    <x v="0"/>
    <x v="3"/>
    <x v="11"/>
    <s v="SE1_OTHER"/>
    <x v="13"/>
    <x v="2"/>
    <x v="60"/>
    <x v="0"/>
    <x v="8"/>
    <n v="22.9901926444834"/>
    <n v="8391.4203152364298"/>
    <n v="30209.113134851101"/>
  </r>
  <r>
    <x v="0"/>
    <x v="0"/>
    <x v="0"/>
    <x v="3"/>
    <x v="11"/>
    <s v="SE1_OTHER"/>
    <x v="13"/>
    <x v="2"/>
    <x v="60"/>
    <x v="0"/>
    <x v="9"/>
    <n v="22.9901926444834"/>
    <n v="8391.4203152364298"/>
    <n v="30209.113134851101"/>
  </r>
  <r>
    <x v="0"/>
    <x v="0"/>
    <x v="0"/>
    <x v="3"/>
    <x v="11"/>
    <s v="SE1_OTHER"/>
    <x v="13"/>
    <x v="2"/>
    <x v="60"/>
    <x v="0"/>
    <x v="10"/>
    <n v="22.9901926444834"/>
    <n v="8391.4203152364298"/>
    <n v="30209.113134851101"/>
  </r>
  <r>
    <x v="0"/>
    <x v="0"/>
    <x v="0"/>
    <x v="3"/>
    <x v="11"/>
    <s v="SE1_OTHER"/>
    <x v="13"/>
    <x v="2"/>
    <x v="60"/>
    <x v="0"/>
    <x v="11"/>
    <n v="22.9901926444834"/>
    <n v="8391.4203152364298"/>
    <n v="30209.113134851101"/>
  </r>
  <r>
    <x v="0"/>
    <x v="0"/>
    <x v="0"/>
    <x v="3"/>
    <x v="11"/>
    <s v="SE1_OTHER"/>
    <x v="13"/>
    <x v="2"/>
    <x v="60"/>
    <x v="0"/>
    <x v="12"/>
    <n v="22.9901926444834"/>
    <n v="8391.4203152364298"/>
    <n v="30209.113134851101"/>
  </r>
  <r>
    <x v="0"/>
    <x v="0"/>
    <x v="0"/>
    <x v="3"/>
    <x v="11"/>
    <s v="SE1_OTHER"/>
    <x v="13"/>
    <x v="2"/>
    <x v="60"/>
    <x v="0"/>
    <x v="13"/>
    <n v="22.9901926444834"/>
    <n v="8391.4203152364298"/>
    <n v="30209.113134851101"/>
  </r>
  <r>
    <x v="0"/>
    <x v="0"/>
    <x v="0"/>
    <x v="3"/>
    <x v="11"/>
    <s v="SE1_OTHER"/>
    <x v="13"/>
    <x v="2"/>
    <x v="60"/>
    <x v="0"/>
    <x v="14"/>
    <n v="22.9901926444834"/>
    <n v="8391.4203152364298"/>
    <n v="30209.113134851101"/>
  </r>
  <r>
    <x v="0"/>
    <x v="0"/>
    <x v="0"/>
    <x v="3"/>
    <x v="11"/>
    <s v="SE1_OTHER"/>
    <x v="13"/>
    <x v="2"/>
    <x v="60"/>
    <x v="0"/>
    <x v="15"/>
    <n v="22.9901926444834"/>
    <n v="8391.4203152364298"/>
    <n v="30209.113134851101"/>
  </r>
  <r>
    <x v="0"/>
    <x v="0"/>
    <x v="0"/>
    <x v="3"/>
    <x v="11"/>
    <s v="SE1_OTHER"/>
    <x v="13"/>
    <x v="2"/>
    <x v="60"/>
    <x v="0"/>
    <x v="16"/>
    <n v="22.9901926444834"/>
    <n v="8391.4203152364298"/>
    <n v="30209.113134851101"/>
  </r>
  <r>
    <x v="0"/>
    <x v="0"/>
    <x v="0"/>
    <x v="3"/>
    <x v="11"/>
    <s v="SE1_OTHER"/>
    <x v="13"/>
    <x v="2"/>
    <x v="60"/>
    <x v="0"/>
    <x v="17"/>
    <n v="22.9901926444834"/>
    <n v="8391.4203152364298"/>
    <n v="30209.113134851101"/>
  </r>
  <r>
    <x v="0"/>
    <x v="0"/>
    <x v="0"/>
    <x v="3"/>
    <x v="11"/>
    <s v="SE1_OTHER"/>
    <x v="13"/>
    <x v="2"/>
    <x v="60"/>
    <x v="0"/>
    <x v="18"/>
    <n v="22.9901926444834"/>
    <n v="8391.4203152364298"/>
    <n v="30209.113134851101"/>
  </r>
  <r>
    <x v="0"/>
    <x v="0"/>
    <x v="0"/>
    <x v="3"/>
    <x v="11"/>
    <s v="SE1_OTHER"/>
    <x v="13"/>
    <x v="2"/>
    <x v="60"/>
    <x v="0"/>
    <x v="19"/>
    <n v="22.9901926444834"/>
    <n v="8391.4203152364298"/>
    <n v="30209.113134851101"/>
  </r>
  <r>
    <x v="0"/>
    <x v="0"/>
    <x v="0"/>
    <x v="3"/>
    <x v="11"/>
    <s v="SE1_OTHER"/>
    <x v="13"/>
    <x v="2"/>
    <x v="60"/>
    <x v="0"/>
    <x v="20"/>
    <n v="22.9901926444834"/>
    <n v="8391.4203152364298"/>
    <n v="30209.113134851101"/>
  </r>
  <r>
    <x v="0"/>
    <x v="0"/>
    <x v="0"/>
    <x v="3"/>
    <x v="11"/>
    <s v="SE1_OTHER"/>
    <x v="13"/>
    <x v="2"/>
    <x v="60"/>
    <x v="0"/>
    <x v="21"/>
    <n v="22.9901926444834"/>
    <n v="8391.4203152364298"/>
    <n v="30209.113134851101"/>
  </r>
  <r>
    <x v="0"/>
    <x v="0"/>
    <x v="0"/>
    <x v="3"/>
    <x v="11"/>
    <s v="SE1_OTHER"/>
    <x v="13"/>
    <x v="2"/>
    <x v="60"/>
    <x v="0"/>
    <x v="22"/>
    <n v="22.9901926444834"/>
    <n v="8391.4203152364298"/>
    <n v="30209.113134851101"/>
  </r>
  <r>
    <x v="0"/>
    <x v="0"/>
    <x v="0"/>
    <x v="3"/>
    <x v="11"/>
    <s v="SE1_OTHER"/>
    <x v="13"/>
    <x v="2"/>
    <x v="60"/>
    <x v="0"/>
    <x v="23"/>
    <n v="22.9901926444834"/>
    <n v="8391.4203152364298"/>
    <n v="30209.113134851101"/>
  </r>
  <r>
    <x v="0"/>
    <x v="0"/>
    <x v="0"/>
    <x v="3"/>
    <x v="12"/>
    <s v="SE2A"/>
    <x v="5"/>
    <x v="4"/>
    <x v="56"/>
    <x v="0"/>
    <x v="0"/>
    <n v="904.22312526994199"/>
    <n v="330041.44072352903"/>
    <n v="1188149.1866047001"/>
  </r>
  <r>
    <x v="0"/>
    <x v="0"/>
    <x v="0"/>
    <x v="3"/>
    <x v="12"/>
    <s v="SE2A"/>
    <x v="5"/>
    <x v="4"/>
    <x v="56"/>
    <x v="0"/>
    <x v="1"/>
    <n v="904.22312526994199"/>
    <n v="330041.44072352903"/>
    <n v="1188149.1866047001"/>
  </r>
  <r>
    <x v="0"/>
    <x v="0"/>
    <x v="0"/>
    <x v="3"/>
    <x v="12"/>
    <s v="SE2A"/>
    <x v="5"/>
    <x v="4"/>
    <x v="56"/>
    <x v="0"/>
    <x v="2"/>
    <n v="904.22312526994199"/>
    <n v="330041.44072352903"/>
    <n v="1188149.1866047001"/>
  </r>
  <r>
    <x v="0"/>
    <x v="0"/>
    <x v="0"/>
    <x v="3"/>
    <x v="12"/>
    <s v="SE2A"/>
    <x v="5"/>
    <x v="4"/>
    <x v="56"/>
    <x v="0"/>
    <x v="3"/>
    <n v="904.22312526994199"/>
    <n v="330041.44072352903"/>
    <n v="1188149.1866047001"/>
  </r>
  <r>
    <x v="0"/>
    <x v="0"/>
    <x v="0"/>
    <x v="3"/>
    <x v="12"/>
    <s v="SE2A"/>
    <x v="5"/>
    <x v="4"/>
    <x v="56"/>
    <x v="0"/>
    <x v="4"/>
    <n v="904.22312526994199"/>
    <n v="330041.44072352903"/>
    <n v="1188149.1866047001"/>
  </r>
  <r>
    <x v="0"/>
    <x v="0"/>
    <x v="0"/>
    <x v="3"/>
    <x v="12"/>
    <s v="SE2A"/>
    <x v="5"/>
    <x v="4"/>
    <x v="56"/>
    <x v="0"/>
    <x v="5"/>
    <n v="904.22312526994199"/>
    <n v="330041.44072352903"/>
    <n v="1188149.1866047001"/>
  </r>
  <r>
    <x v="0"/>
    <x v="0"/>
    <x v="0"/>
    <x v="3"/>
    <x v="12"/>
    <s v="SE2A"/>
    <x v="5"/>
    <x v="4"/>
    <x v="56"/>
    <x v="0"/>
    <x v="6"/>
    <n v="904.22312526994199"/>
    <n v="330041.44072352903"/>
    <n v="1188149.1866047001"/>
  </r>
  <r>
    <x v="0"/>
    <x v="0"/>
    <x v="0"/>
    <x v="3"/>
    <x v="12"/>
    <s v="SE2A"/>
    <x v="5"/>
    <x v="4"/>
    <x v="56"/>
    <x v="0"/>
    <x v="7"/>
    <n v="904.22312526994199"/>
    <n v="330041.44072352903"/>
    <n v="1188149.1866047001"/>
  </r>
  <r>
    <x v="0"/>
    <x v="0"/>
    <x v="0"/>
    <x v="3"/>
    <x v="12"/>
    <s v="SE2A"/>
    <x v="5"/>
    <x v="4"/>
    <x v="56"/>
    <x v="0"/>
    <x v="8"/>
    <n v="904.22312526994199"/>
    <n v="330041.44072352903"/>
    <n v="1188149.1866047001"/>
  </r>
  <r>
    <x v="0"/>
    <x v="0"/>
    <x v="0"/>
    <x v="3"/>
    <x v="12"/>
    <s v="SE2A"/>
    <x v="5"/>
    <x v="4"/>
    <x v="56"/>
    <x v="0"/>
    <x v="9"/>
    <n v="904.22312526994199"/>
    <n v="330041.44072352903"/>
    <n v="1188149.1866047001"/>
  </r>
  <r>
    <x v="0"/>
    <x v="0"/>
    <x v="0"/>
    <x v="3"/>
    <x v="12"/>
    <s v="SE2A"/>
    <x v="5"/>
    <x v="4"/>
    <x v="56"/>
    <x v="0"/>
    <x v="10"/>
    <n v="904.22312526994199"/>
    <n v="330041.44072352903"/>
    <n v="1188149.1866047001"/>
  </r>
  <r>
    <x v="0"/>
    <x v="0"/>
    <x v="0"/>
    <x v="3"/>
    <x v="12"/>
    <s v="SE2A"/>
    <x v="5"/>
    <x v="4"/>
    <x v="56"/>
    <x v="0"/>
    <x v="11"/>
    <n v="904.22312526994199"/>
    <n v="330041.44072352903"/>
    <n v="1188149.1866047001"/>
  </r>
  <r>
    <x v="0"/>
    <x v="0"/>
    <x v="0"/>
    <x v="3"/>
    <x v="12"/>
    <s v="SE2A"/>
    <x v="5"/>
    <x v="4"/>
    <x v="56"/>
    <x v="0"/>
    <x v="12"/>
    <n v="904.22312526994199"/>
    <n v="330041.44072352903"/>
    <n v="1188149.1866047001"/>
  </r>
  <r>
    <x v="0"/>
    <x v="0"/>
    <x v="0"/>
    <x v="3"/>
    <x v="12"/>
    <s v="SE2A"/>
    <x v="5"/>
    <x v="4"/>
    <x v="56"/>
    <x v="0"/>
    <x v="13"/>
    <n v="904.22312526994199"/>
    <n v="330041.44072352903"/>
    <n v="1188149.1866047001"/>
  </r>
  <r>
    <x v="0"/>
    <x v="0"/>
    <x v="0"/>
    <x v="3"/>
    <x v="12"/>
    <s v="SE2A"/>
    <x v="5"/>
    <x v="4"/>
    <x v="56"/>
    <x v="0"/>
    <x v="14"/>
    <n v="904.22312526994199"/>
    <n v="330041.44072352903"/>
    <n v="1188149.1866047001"/>
  </r>
  <r>
    <x v="0"/>
    <x v="0"/>
    <x v="0"/>
    <x v="3"/>
    <x v="12"/>
    <s v="SE2A"/>
    <x v="5"/>
    <x v="4"/>
    <x v="56"/>
    <x v="0"/>
    <x v="15"/>
    <n v="904.22312526994199"/>
    <n v="330041.44072352903"/>
    <n v="1188149.1866047001"/>
  </r>
  <r>
    <x v="0"/>
    <x v="0"/>
    <x v="0"/>
    <x v="3"/>
    <x v="12"/>
    <s v="SE2A"/>
    <x v="5"/>
    <x v="4"/>
    <x v="56"/>
    <x v="0"/>
    <x v="16"/>
    <n v="904.22312526994199"/>
    <n v="330041.44072352903"/>
    <n v="1188149.1866047001"/>
  </r>
  <r>
    <x v="0"/>
    <x v="0"/>
    <x v="0"/>
    <x v="3"/>
    <x v="12"/>
    <s v="SE2A"/>
    <x v="5"/>
    <x v="4"/>
    <x v="56"/>
    <x v="0"/>
    <x v="17"/>
    <n v="904.22312526994199"/>
    <n v="330041.44072352903"/>
    <n v="1188149.1866047001"/>
  </r>
  <r>
    <x v="0"/>
    <x v="0"/>
    <x v="0"/>
    <x v="3"/>
    <x v="12"/>
    <s v="SE2A"/>
    <x v="5"/>
    <x v="4"/>
    <x v="56"/>
    <x v="0"/>
    <x v="18"/>
    <n v="904.22312526994199"/>
    <n v="330041.44072352903"/>
    <n v="1188149.1866047001"/>
  </r>
  <r>
    <x v="0"/>
    <x v="0"/>
    <x v="0"/>
    <x v="3"/>
    <x v="12"/>
    <s v="SE2A"/>
    <x v="5"/>
    <x v="4"/>
    <x v="56"/>
    <x v="0"/>
    <x v="19"/>
    <n v="904.22312526994199"/>
    <n v="330041.44072352903"/>
    <n v="1188149.1866047001"/>
  </r>
  <r>
    <x v="0"/>
    <x v="0"/>
    <x v="0"/>
    <x v="3"/>
    <x v="12"/>
    <s v="SE2A"/>
    <x v="5"/>
    <x v="4"/>
    <x v="56"/>
    <x v="0"/>
    <x v="20"/>
    <n v="904.22312526994199"/>
    <n v="330041.44072352903"/>
    <n v="1188149.1866047001"/>
  </r>
  <r>
    <x v="0"/>
    <x v="0"/>
    <x v="0"/>
    <x v="3"/>
    <x v="12"/>
    <s v="SE2A"/>
    <x v="5"/>
    <x v="4"/>
    <x v="56"/>
    <x v="0"/>
    <x v="21"/>
    <n v="904.22312526994199"/>
    <n v="330041.44072352903"/>
    <n v="1188149.1866047001"/>
  </r>
  <r>
    <x v="0"/>
    <x v="0"/>
    <x v="0"/>
    <x v="3"/>
    <x v="12"/>
    <s v="SE2A"/>
    <x v="5"/>
    <x v="4"/>
    <x v="56"/>
    <x v="0"/>
    <x v="22"/>
    <n v="904.22312526994199"/>
    <n v="330041.44072352903"/>
    <n v="1188149.1866047001"/>
  </r>
  <r>
    <x v="0"/>
    <x v="0"/>
    <x v="0"/>
    <x v="3"/>
    <x v="12"/>
    <s v="SE2A"/>
    <x v="5"/>
    <x v="4"/>
    <x v="56"/>
    <x v="0"/>
    <x v="23"/>
    <n v="904.22312526994199"/>
    <n v="330041.44072352903"/>
    <n v="1188149.1866047001"/>
  </r>
  <r>
    <x v="0"/>
    <x v="0"/>
    <x v="0"/>
    <x v="3"/>
    <x v="12"/>
    <s v="SE2A"/>
    <x v="5"/>
    <x v="8"/>
    <x v="57"/>
    <x v="0"/>
    <x v="1"/>
    <n v="1815.3439847950201"/>
    <n v="662600.55445018201"/>
    <n v="2385361.9960206598"/>
  </r>
  <r>
    <x v="0"/>
    <x v="0"/>
    <x v="0"/>
    <x v="3"/>
    <x v="12"/>
    <s v="SE2A"/>
    <x v="5"/>
    <x v="8"/>
    <x v="57"/>
    <x v="0"/>
    <x v="2"/>
    <n v="363.45038877182901"/>
    <n v="132659.39190171799"/>
    <n v="477573.81084618298"/>
  </r>
  <r>
    <x v="0"/>
    <x v="0"/>
    <x v="0"/>
    <x v="3"/>
    <x v="12"/>
    <s v="SE2A"/>
    <x v="5"/>
    <x v="8"/>
    <x v="57"/>
    <x v="0"/>
    <x v="3"/>
    <n v="3986.7125560049999"/>
    <n v="1455150.0829418299"/>
    <n v="5238540.2985905698"/>
  </r>
  <r>
    <x v="0"/>
    <x v="0"/>
    <x v="0"/>
    <x v="3"/>
    <x v="12"/>
    <s v="SE2A"/>
    <x v="5"/>
    <x v="8"/>
    <x v="57"/>
    <x v="0"/>
    <x v="5"/>
    <n v="1579.51026860447"/>
    <n v="576521.248040632"/>
    <n v="2075476.4929462699"/>
  </r>
  <r>
    <x v="0"/>
    <x v="0"/>
    <x v="0"/>
    <x v="3"/>
    <x v="12"/>
    <s v="SE2A"/>
    <x v="5"/>
    <x v="8"/>
    <x v="57"/>
    <x v="0"/>
    <x v="6"/>
    <n v="2998.3271678106798"/>
    <n v="1094389.4162508999"/>
    <n v="3939801.89850323"/>
  </r>
  <r>
    <x v="0"/>
    <x v="0"/>
    <x v="0"/>
    <x v="3"/>
    <x v="12"/>
    <s v="SE2A"/>
    <x v="5"/>
    <x v="8"/>
    <x v="57"/>
    <x v="0"/>
    <x v="7"/>
    <n v="6393"/>
    <n v="2333445"/>
    <n v="8400402"/>
  </r>
  <r>
    <x v="0"/>
    <x v="0"/>
    <x v="0"/>
    <x v="3"/>
    <x v="12"/>
    <s v="SE2A"/>
    <x v="5"/>
    <x v="8"/>
    <x v="57"/>
    <x v="0"/>
    <x v="8"/>
    <n v="6393"/>
    <n v="2333445"/>
    <n v="8400402"/>
  </r>
  <r>
    <x v="0"/>
    <x v="0"/>
    <x v="0"/>
    <x v="3"/>
    <x v="12"/>
    <s v="SE2A"/>
    <x v="5"/>
    <x v="8"/>
    <x v="57"/>
    <x v="0"/>
    <x v="9"/>
    <n v="2697.1547916556001"/>
    <n v="984461.49895429402"/>
    <n v="3544061.3962354599"/>
  </r>
  <r>
    <x v="0"/>
    <x v="0"/>
    <x v="0"/>
    <x v="3"/>
    <x v="12"/>
    <s v="SE2A"/>
    <x v="5"/>
    <x v="8"/>
    <x v="57"/>
    <x v="0"/>
    <x v="10"/>
    <n v="2050.2367762807298"/>
    <n v="748336.42334246601"/>
    <n v="2694011.1240328802"/>
  </r>
  <r>
    <x v="0"/>
    <x v="0"/>
    <x v="0"/>
    <x v="3"/>
    <x v="12"/>
    <s v="SE2A"/>
    <x v="5"/>
    <x v="8"/>
    <x v="57"/>
    <x v="0"/>
    <x v="11"/>
    <n v="6393"/>
    <n v="2333445"/>
    <n v="8400402"/>
  </r>
  <r>
    <x v="0"/>
    <x v="0"/>
    <x v="0"/>
    <x v="3"/>
    <x v="12"/>
    <s v="SE2A"/>
    <x v="5"/>
    <x v="8"/>
    <x v="57"/>
    <x v="0"/>
    <x v="12"/>
    <n v="6393"/>
    <n v="2333445"/>
    <n v="8400402"/>
  </r>
  <r>
    <x v="0"/>
    <x v="0"/>
    <x v="0"/>
    <x v="3"/>
    <x v="12"/>
    <s v="SE2A"/>
    <x v="5"/>
    <x v="8"/>
    <x v="57"/>
    <x v="0"/>
    <x v="13"/>
    <n v="2954.8629857329602"/>
    <n v="1078524.98979253"/>
    <n v="3882689.9632531102"/>
  </r>
  <r>
    <x v="0"/>
    <x v="0"/>
    <x v="0"/>
    <x v="3"/>
    <x v="12"/>
    <s v="SE2A"/>
    <x v="5"/>
    <x v="8"/>
    <x v="57"/>
    <x v="0"/>
    <x v="14"/>
    <n v="5191.4814817839797"/>
    <n v="1894890.7408511499"/>
    <n v="6821606.6670641499"/>
  </r>
  <r>
    <x v="0"/>
    <x v="0"/>
    <x v="0"/>
    <x v="3"/>
    <x v="12"/>
    <s v="SE2A"/>
    <x v="5"/>
    <x v="8"/>
    <x v="57"/>
    <x v="0"/>
    <x v="15"/>
    <n v="3704.89444307851"/>
    <n v="1352286.4717236599"/>
    <n v="4868231.2982051698"/>
  </r>
  <r>
    <x v="0"/>
    <x v="0"/>
    <x v="0"/>
    <x v="3"/>
    <x v="12"/>
    <s v="SE2A"/>
    <x v="5"/>
    <x v="8"/>
    <x v="57"/>
    <x v="0"/>
    <x v="16"/>
    <n v="3648.0571628651901"/>
    <n v="1331540.8644458"/>
    <n v="4793547.1120048696"/>
  </r>
  <r>
    <x v="0"/>
    <x v="0"/>
    <x v="0"/>
    <x v="3"/>
    <x v="12"/>
    <s v="SE2A"/>
    <x v="5"/>
    <x v="8"/>
    <x v="57"/>
    <x v="0"/>
    <x v="17"/>
    <n v="3671.6420983728599"/>
    <n v="1340149.36590609"/>
    <n v="4824537.7172619402"/>
  </r>
  <r>
    <x v="0"/>
    <x v="0"/>
    <x v="0"/>
    <x v="3"/>
    <x v="12"/>
    <s v="SE2A"/>
    <x v="5"/>
    <x v="8"/>
    <x v="57"/>
    <x v="0"/>
    <x v="18"/>
    <n v="6393"/>
    <n v="2333445"/>
    <n v="8400402"/>
  </r>
  <r>
    <x v="0"/>
    <x v="0"/>
    <x v="0"/>
    <x v="3"/>
    <x v="12"/>
    <s v="SE2A"/>
    <x v="5"/>
    <x v="8"/>
    <x v="57"/>
    <x v="0"/>
    <x v="19"/>
    <n v="6393"/>
    <n v="2333445"/>
    <n v="8400402"/>
  </r>
  <r>
    <x v="0"/>
    <x v="0"/>
    <x v="0"/>
    <x v="3"/>
    <x v="12"/>
    <s v="SE2A"/>
    <x v="5"/>
    <x v="8"/>
    <x v="57"/>
    <x v="0"/>
    <x v="20"/>
    <n v="5758.52430246733"/>
    <n v="2101861.3704005699"/>
    <n v="7566700.9334420701"/>
  </r>
  <r>
    <x v="0"/>
    <x v="0"/>
    <x v="0"/>
    <x v="3"/>
    <x v="12"/>
    <s v="SE2A"/>
    <x v="5"/>
    <x v="8"/>
    <x v="57"/>
    <x v="0"/>
    <x v="21"/>
    <n v="3995.9677805076499"/>
    <n v="1458528.2398852899"/>
    <n v="5250701.6635870496"/>
  </r>
  <r>
    <x v="0"/>
    <x v="0"/>
    <x v="0"/>
    <x v="3"/>
    <x v="12"/>
    <s v="SE2A"/>
    <x v="5"/>
    <x v="8"/>
    <x v="57"/>
    <x v="0"/>
    <x v="22"/>
    <n v="2017.8080511788701"/>
    <n v="736499.93868028896"/>
    <n v="2651399.7792490399"/>
  </r>
  <r>
    <x v="0"/>
    <x v="0"/>
    <x v="0"/>
    <x v="3"/>
    <x v="12"/>
    <s v="SE2A"/>
    <x v="5"/>
    <x v="8"/>
    <x v="57"/>
    <x v="0"/>
    <x v="23"/>
    <n v="421.60785889293697"/>
    <n v="153886.86849592201"/>
    <n v="553992.72658531903"/>
  </r>
  <r>
    <x v="0"/>
    <x v="0"/>
    <x v="0"/>
    <x v="3"/>
    <x v="12"/>
    <s v="SE2A"/>
    <x v="6"/>
    <x v="5"/>
    <x v="11"/>
    <x v="0"/>
    <x v="0"/>
    <n v="313.35686469567099"/>
    <n v="114375.25561392"/>
    <n v="411750.920210112"/>
  </r>
  <r>
    <x v="0"/>
    <x v="0"/>
    <x v="0"/>
    <x v="3"/>
    <x v="12"/>
    <s v="SE2A"/>
    <x v="6"/>
    <x v="5"/>
    <x v="11"/>
    <x v="0"/>
    <x v="1"/>
    <n v="414.40431029559898"/>
    <n v="151257.57325789399"/>
    <n v="544527.26372841699"/>
  </r>
  <r>
    <x v="0"/>
    <x v="0"/>
    <x v="0"/>
    <x v="3"/>
    <x v="12"/>
    <s v="SE2A"/>
    <x v="6"/>
    <x v="5"/>
    <x v="11"/>
    <x v="0"/>
    <x v="2"/>
    <n v="498.71905255757798"/>
    <n v="182032.45418351601"/>
    <n v="655316.835060657"/>
  </r>
  <r>
    <x v="0"/>
    <x v="0"/>
    <x v="0"/>
    <x v="3"/>
    <x v="12"/>
    <s v="SE2A"/>
    <x v="6"/>
    <x v="5"/>
    <x v="11"/>
    <x v="0"/>
    <x v="3"/>
    <n v="550.25260376956203"/>
    <n v="200842.20037589001"/>
    <n v="723031.92135320499"/>
  </r>
  <r>
    <x v="0"/>
    <x v="0"/>
    <x v="0"/>
    <x v="3"/>
    <x v="12"/>
    <s v="SE2A"/>
    <x v="6"/>
    <x v="5"/>
    <x v="11"/>
    <x v="0"/>
    <x v="4"/>
    <n v="625.00689566896597"/>
    <n v="228127.51691917301"/>
    <n v="821259.06090902095"/>
  </r>
  <r>
    <x v="0"/>
    <x v="0"/>
    <x v="0"/>
    <x v="3"/>
    <x v="12"/>
    <s v="SE2A"/>
    <x v="6"/>
    <x v="5"/>
    <x v="11"/>
    <x v="0"/>
    <x v="5"/>
    <n v="613.987783695193"/>
    <n v="224105.54104874501"/>
    <n v="806779.94777548395"/>
  </r>
  <r>
    <x v="0"/>
    <x v="0"/>
    <x v="0"/>
    <x v="3"/>
    <x v="12"/>
    <s v="SE2A"/>
    <x v="6"/>
    <x v="5"/>
    <x v="11"/>
    <x v="0"/>
    <x v="6"/>
    <n v="639.25564635205797"/>
    <n v="233328.310918501"/>
    <n v="839981.91930660396"/>
  </r>
  <r>
    <x v="0"/>
    <x v="0"/>
    <x v="0"/>
    <x v="3"/>
    <x v="12"/>
    <s v="SE2A"/>
    <x v="6"/>
    <x v="5"/>
    <x v="11"/>
    <x v="0"/>
    <x v="7"/>
    <n v="630.18047568183601"/>
    <n v="230015.87362386999"/>
    <n v="828057.14504593203"/>
  </r>
  <r>
    <x v="0"/>
    <x v="0"/>
    <x v="0"/>
    <x v="3"/>
    <x v="12"/>
    <s v="SE2A"/>
    <x v="6"/>
    <x v="5"/>
    <x v="11"/>
    <x v="0"/>
    <x v="8"/>
    <n v="645.95355174384804"/>
    <n v="235773.04638650501"/>
    <n v="848782.96699141699"/>
  </r>
  <r>
    <x v="0"/>
    <x v="0"/>
    <x v="0"/>
    <x v="3"/>
    <x v="12"/>
    <s v="SE2A"/>
    <x v="6"/>
    <x v="5"/>
    <x v="11"/>
    <x v="0"/>
    <x v="9"/>
    <n v="651.23386817804601"/>
    <n v="237700.36188498701"/>
    <n v="855721.30278595199"/>
  </r>
  <r>
    <x v="0"/>
    <x v="0"/>
    <x v="0"/>
    <x v="3"/>
    <x v="12"/>
    <s v="SE2A"/>
    <x v="6"/>
    <x v="5"/>
    <x v="11"/>
    <x v="0"/>
    <x v="10"/>
    <n v="686.24928259606304"/>
    <n v="250480.98814756301"/>
    <n v="901731.55733122595"/>
  </r>
  <r>
    <x v="0"/>
    <x v="0"/>
    <x v="0"/>
    <x v="3"/>
    <x v="12"/>
    <s v="SE2A"/>
    <x v="6"/>
    <x v="5"/>
    <x v="11"/>
    <x v="0"/>
    <x v="11"/>
    <n v="713.03020992223196"/>
    <n v="260256.02662161499"/>
    <n v="936921.69583781296"/>
  </r>
  <r>
    <x v="0"/>
    <x v="0"/>
    <x v="0"/>
    <x v="3"/>
    <x v="12"/>
    <s v="SE2A"/>
    <x v="6"/>
    <x v="5"/>
    <x v="11"/>
    <x v="0"/>
    <x v="12"/>
    <n v="776.41928242311099"/>
    <n v="283393.03808443598"/>
    <n v="1020214.93710397"/>
  </r>
  <r>
    <x v="0"/>
    <x v="0"/>
    <x v="0"/>
    <x v="3"/>
    <x v="12"/>
    <s v="SE2A"/>
    <x v="6"/>
    <x v="5"/>
    <x v="11"/>
    <x v="0"/>
    <x v="13"/>
    <n v="831.67845608674099"/>
    <n v="303562.63647165999"/>
    <n v="1092825.4912979801"/>
  </r>
  <r>
    <x v="0"/>
    <x v="0"/>
    <x v="0"/>
    <x v="3"/>
    <x v="12"/>
    <s v="SE2A"/>
    <x v="6"/>
    <x v="5"/>
    <x v="11"/>
    <x v="0"/>
    <x v="14"/>
    <n v="868.66640989096004"/>
    <n v="317063.23961019999"/>
    <n v="1141427.66259672"/>
  </r>
  <r>
    <x v="0"/>
    <x v="0"/>
    <x v="0"/>
    <x v="3"/>
    <x v="12"/>
    <s v="SE2A"/>
    <x v="6"/>
    <x v="5"/>
    <x v="11"/>
    <x v="0"/>
    <x v="15"/>
    <n v="826.13629137029898"/>
    <n v="301539.746350159"/>
    <n v="1085543.0868605699"/>
  </r>
  <r>
    <x v="0"/>
    <x v="0"/>
    <x v="0"/>
    <x v="3"/>
    <x v="12"/>
    <s v="SE2A"/>
    <x v="6"/>
    <x v="5"/>
    <x v="11"/>
    <x v="0"/>
    <x v="16"/>
    <n v="849.58540474175504"/>
    <n v="310098.67273074097"/>
    <n v="1116355.22183067"/>
  </r>
  <r>
    <x v="0"/>
    <x v="0"/>
    <x v="0"/>
    <x v="3"/>
    <x v="12"/>
    <s v="SE2A"/>
    <x v="6"/>
    <x v="5"/>
    <x v="11"/>
    <x v="0"/>
    <x v="17"/>
    <n v="866.85702082519401"/>
    <n v="316402.812601196"/>
    <n v="1139050.1253643101"/>
  </r>
  <r>
    <x v="0"/>
    <x v="0"/>
    <x v="0"/>
    <x v="3"/>
    <x v="12"/>
    <s v="SE2A"/>
    <x v="6"/>
    <x v="5"/>
    <x v="11"/>
    <x v="0"/>
    <x v="18"/>
    <n v="824.057957224897"/>
    <n v="300781.15438708698"/>
    <n v="1082812.1557935099"/>
  </r>
  <r>
    <x v="0"/>
    <x v="0"/>
    <x v="0"/>
    <x v="3"/>
    <x v="12"/>
    <s v="SE2A"/>
    <x v="6"/>
    <x v="5"/>
    <x v="11"/>
    <x v="0"/>
    <x v="19"/>
    <n v="724.85541165239601"/>
    <n v="264572.22525312501"/>
    <n v="952460.01091124804"/>
  </r>
  <r>
    <x v="0"/>
    <x v="0"/>
    <x v="0"/>
    <x v="3"/>
    <x v="12"/>
    <s v="SE2A"/>
    <x v="6"/>
    <x v="5"/>
    <x v="11"/>
    <x v="0"/>
    <x v="20"/>
    <n v="671.12829774881197"/>
    <n v="244961.828678316"/>
    <n v="881862.58324193896"/>
  </r>
  <r>
    <x v="0"/>
    <x v="0"/>
    <x v="0"/>
    <x v="3"/>
    <x v="12"/>
    <s v="SE2A"/>
    <x v="6"/>
    <x v="5"/>
    <x v="11"/>
    <x v="0"/>
    <x v="21"/>
    <n v="619.28473125583105"/>
    <n v="226038.92690837799"/>
    <n v="813740.13687016198"/>
  </r>
  <r>
    <x v="0"/>
    <x v="0"/>
    <x v="0"/>
    <x v="3"/>
    <x v="12"/>
    <s v="SE2A"/>
    <x v="6"/>
    <x v="5"/>
    <x v="11"/>
    <x v="0"/>
    <x v="22"/>
    <n v="576.81655154254702"/>
    <n v="210538.04131303"/>
    <n v="757936.94872690702"/>
  </r>
  <r>
    <x v="0"/>
    <x v="0"/>
    <x v="0"/>
    <x v="3"/>
    <x v="12"/>
    <s v="SE2A"/>
    <x v="6"/>
    <x v="5"/>
    <x v="11"/>
    <x v="0"/>
    <x v="23"/>
    <n v="467.91651679312901"/>
    <n v="170789.52862949201"/>
    <n v="614842.30306617205"/>
  </r>
  <r>
    <x v="0"/>
    <x v="0"/>
    <x v="0"/>
    <x v="3"/>
    <x v="12"/>
    <s v="SE2_EL"/>
    <x v="2"/>
    <x v="2"/>
    <x v="61"/>
    <x v="0"/>
    <x v="0"/>
    <n v="37.742478106793598"/>
    <n v="13776.0045089797"/>
    <n v="49593.6162323268"/>
  </r>
  <r>
    <x v="0"/>
    <x v="0"/>
    <x v="0"/>
    <x v="3"/>
    <x v="12"/>
    <s v="SE2_EL"/>
    <x v="2"/>
    <x v="2"/>
    <x v="61"/>
    <x v="0"/>
    <x v="1"/>
    <n v="37.742478106793598"/>
    <n v="13776.0045089797"/>
    <n v="49593.6162323268"/>
  </r>
  <r>
    <x v="0"/>
    <x v="0"/>
    <x v="0"/>
    <x v="3"/>
    <x v="12"/>
    <s v="SE2_EL"/>
    <x v="2"/>
    <x v="2"/>
    <x v="61"/>
    <x v="0"/>
    <x v="2"/>
    <n v="37.742478106793598"/>
    <n v="13776.0045089797"/>
    <n v="49593.6162323268"/>
  </r>
  <r>
    <x v="0"/>
    <x v="0"/>
    <x v="0"/>
    <x v="3"/>
    <x v="12"/>
    <s v="SE2_EL"/>
    <x v="2"/>
    <x v="2"/>
    <x v="61"/>
    <x v="0"/>
    <x v="3"/>
    <n v="37.742478106793598"/>
    <n v="13776.0045089797"/>
    <n v="49593.6162323268"/>
  </r>
  <r>
    <x v="0"/>
    <x v="0"/>
    <x v="0"/>
    <x v="3"/>
    <x v="12"/>
    <s v="SE2_EL"/>
    <x v="2"/>
    <x v="2"/>
    <x v="61"/>
    <x v="0"/>
    <x v="4"/>
    <n v="37.742478106793598"/>
    <n v="13776.0045089797"/>
    <n v="49593.6162323268"/>
  </r>
  <r>
    <x v="0"/>
    <x v="0"/>
    <x v="0"/>
    <x v="3"/>
    <x v="12"/>
    <s v="SE2_EL"/>
    <x v="2"/>
    <x v="2"/>
    <x v="61"/>
    <x v="0"/>
    <x v="5"/>
    <n v="37.742478106793598"/>
    <n v="13776.0045089797"/>
    <n v="49593.6162323268"/>
  </r>
  <r>
    <x v="0"/>
    <x v="0"/>
    <x v="0"/>
    <x v="3"/>
    <x v="12"/>
    <s v="SE2_EL"/>
    <x v="2"/>
    <x v="2"/>
    <x v="61"/>
    <x v="0"/>
    <x v="6"/>
    <n v="37.742478106793598"/>
    <n v="13776.0045089797"/>
    <n v="49593.6162323268"/>
  </r>
  <r>
    <x v="0"/>
    <x v="0"/>
    <x v="0"/>
    <x v="3"/>
    <x v="12"/>
    <s v="SE2_EL"/>
    <x v="2"/>
    <x v="2"/>
    <x v="61"/>
    <x v="0"/>
    <x v="7"/>
    <n v="37.742478106793598"/>
    <n v="13776.0045089797"/>
    <n v="49593.6162323268"/>
  </r>
  <r>
    <x v="0"/>
    <x v="0"/>
    <x v="0"/>
    <x v="3"/>
    <x v="12"/>
    <s v="SE2_EL"/>
    <x v="2"/>
    <x v="2"/>
    <x v="61"/>
    <x v="0"/>
    <x v="8"/>
    <n v="37.742478106793598"/>
    <n v="13776.0045089797"/>
    <n v="49593.6162323268"/>
  </r>
  <r>
    <x v="0"/>
    <x v="0"/>
    <x v="0"/>
    <x v="3"/>
    <x v="12"/>
    <s v="SE2_EL"/>
    <x v="2"/>
    <x v="2"/>
    <x v="61"/>
    <x v="0"/>
    <x v="9"/>
    <n v="37.742478106793598"/>
    <n v="13776.0045089797"/>
    <n v="49593.6162323268"/>
  </r>
  <r>
    <x v="0"/>
    <x v="0"/>
    <x v="0"/>
    <x v="3"/>
    <x v="12"/>
    <s v="SE2_EL"/>
    <x v="2"/>
    <x v="2"/>
    <x v="61"/>
    <x v="0"/>
    <x v="10"/>
    <n v="37.742478106793598"/>
    <n v="13776.0045089797"/>
    <n v="49593.6162323268"/>
  </r>
  <r>
    <x v="0"/>
    <x v="0"/>
    <x v="0"/>
    <x v="3"/>
    <x v="12"/>
    <s v="SE2_EL"/>
    <x v="2"/>
    <x v="2"/>
    <x v="61"/>
    <x v="0"/>
    <x v="11"/>
    <n v="37.742478106793598"/>
    <n v="13776.0045089797"/>
    <n v="49593.6162323268"/>
  </r>
  <r>
    <x v="0"/>
    <x v="0"/>
    <x v="0"/>
    <x v="3"/>
    <x v="12"/>
    <s v="SE2_EL"/>
    <x v="2"/>
    <x v="2"/>
    <x v="61"/>
    <x v="0"/>
    <x v="12"/>
    <n v="37.742478106793598"/>
    <n v="13776.0045089797"/>
    <n v="49593.6162323268"/>
  </r>
  <r>
    <x v="0"/>
    <x v="0"/>
    <x v="0"/>
    <x v="3"/>
    <x v="12"/>
    <s v="SE2_EL"/>
    <x v="2"/>
    <x v="2"/>
    <x v="61"/>
    <x v="0"/>
    <x v="13"/>
    <n v="37.742478106793598"/>
    <n v="13776.0045089797"/>
    <n v="49593.6162323268"/>
  </r>
  <r>
    <x v="0"/>
    <x v="0"/>
    <x v="0"/>
    <x v="3"/>
    <x v="12"/>
    <s v="SE2_EL"/>
    <x v="2"/>
    <x v="2"/>
    <x v="61"/>
    <x v="0"/>
    <x v="14"/>
    <n v="37.742478106793598"/>
    <n v="13776.0045089797"/>
    <n v="49593.6162323268"/>
  </r>
  <r>
    <x v="0"/>
    <x v="0"/>
    <x v="0"/>
    <x v="3"/>
    <x v="12"/>
    <s v="SE2_EL"/>
    <x v="2"/>
    <x v="2"/>
    <x v="61"/>
    <x v="0"/>
    <x v="15"/>
    <n v="37.742478106793598"/>
    <n v="13776.0045089797"/>
    <n v="49593.6162323268"/>
  </r>
  <r>
    <x v="0"/>
    <x v="0"/>
    <x v="0"/>
    <x v="3"/>
    <x v="12"/>
    <s v="SE2_EL"/>
    <x v="2"/>
    <x v="2"/>
    <x v="61"/>
    <x v="0"/>
    <x v="16"/>
    <n v="37.742478106793598"/>
    <n v="13776.0045089797"/>
    <n v="49593.6162323268"/>
  </r>
  <r>
    <x v="0"/>
    <x v="0"/>
    <x v="0"/>
    <x v="3"/>
    <x v="12"/>
    <s v="SE2_EL"/>
    <x v="2"/>
    <x v="2"/>
    <x v="61"/>
    <x v="0"/>
    <x v="17"/>
    <n v="37.742478106793598"/>
    <n v="13776.0045089797"/>
    <n v="49593.6162323268"/>
  </r>
  <r>
    <x v="0"/>
    <x v="0"/>
    <x v="0"/>
    <x v="3"/>
    <x v="12"/>
    <s v="SE2_EL"/>
    <x v="2"/>
    <x v="2"/>
    <x v="61"/>
    <x v="0"/>
    <x v="18"/>
    <n v="37.742478106793598"/>
    <n v="13776.0045089797"/>
    <n v="49593.6162323268"/>
  </r>
  <r>
    <x v="0"/>
    <x v="0"/>
    <x v="0"/>
    <x v="3"/>
    <x v="12"/>
    <s v="SE2_EL"/>
    <x v="2"/>
    <x v="2"/>
    <x v="61"/>
    <x v="0"/>
    <x v="19"/>
    <n v="37.742478106793598"/>
    <n v="13776.0045089797"/>
    <n v="49593.6162323268"/>
  </r>
  <r>
    <x v="0"/>
    <x v="0"/>
    <x v="0"/>
    <x v="3"/>
    <x v="12"/>
    <s v="SE2_EL"/>
    <x v="2"/>
    <x v="2"/>
    <x v="61"/>
    <x v="0"/>
    <x v="20"/>
    <n v="37.742478106793598"/>
    <n v="13776.0045089797"/>
    <n v="49593.6162323268"/>
  </r>
  <r>
    <x v="0"/>
    <x v="0"/>
    <x v="0"/>
    <x v="3"/>
    <x v="12"/>
    <s v="SE2_EL"/>
    <x v="2"/>
    <x v="2"/>
    <x v="61"/>
    <x v="0"/>
    <x v="21"/>
    <n v="37.742478106793598"/>
    <n v="13776.0045089797"/>
    <n v="49593.6162323268"/>
  </r>
  <r>
    <x v="0"/>
    <x v="0"/>
    <x v="0"/>
    <x v="3"/>
    <x v="12"/>
    <s v="SE2_EL"/>
    <x v="2"/>
    <x v="2"/>
    <x v="61"/>
    <x v="0"/>
    <x v="22"/>
    <n v="37.742478106793598"/>
    <n v="13776.0045089797"/>
    <n v="49593.6162323268"/>
  </r>
  <r>
    <x v="0"/>
    <x v="0"/>
    <x v="0"/>
    <x v="3"/>
    <x v="12"/>
    <s v="SE2_EL"/>
    <x v="2"/>
    <x v="2"/>
    <x v="61"/>
    <x v="0"/>
    <x v="23"/>
    <n v="37.742478106793598"/>
    <n v="13776.0045089797"/>
    <n v="49593.6162323268"/>
  </r>
  <r>
    <x v="0"/>
    <x v="0"/>
    <x v="0"/>
    <x v="3"/>
    <x v="12"/>
    <s v="SE2_EL"/>
    <x v="13"/>
    <x v="2"/>
    <x v="62"/>
    <x v="0"/>
    <x v="0"/>
    <n v="17.196956788165298"/>
    <n v="6276.8892276803299"/>
    <n v="22596.801219649202"/>
  </r>
  <r>
    <x v="0"/>
    <x v="0"/>
    <x v="0"/>
    <x v="3"/>
    <x v="12"/>
    <s v="SE2_EL"/>
    <x v="13"/>
    <x v="2"/>
    <x v="62"/>
    <x v="0"/>
    <x v="1"/>
    <n v="17.849151565950098"/>
    <n v="6514.9403215718003"/>
    <n v="23453.785157658502"/>
  </r>
  <r>
    <x v="0"/>
    <x v="0"/>
    <x v="0"/>
    <x v="3"/>
    <x v="12"/>
    <s v="SE2_EL"/>
    <x v="13"/>
    <x v="2"/>
    <x v="62"/>
    <x v="0"/>
    <x v="2"/>
    <n v="19.013843502518"/>
    <n v="6940.0528784190801"/>
    <n v="24984.190362308698"/>
  </r>
  <r>
    <x v="0"/>
    <x v="0"/>
    <x v="0"/>
    <x v="3"/>
    <x v="12"/>
    <s v="SE2_EL"/>
    <x v="13"/>
    <x v="2"/>
    <x v="62"/>
    <x v="0"/>
    <x v="3"/>
    <n v="21.913304590959399"/>
    <n v="7998.3561757001899"/>
    <n v="28794.082232520701"/>
  </r>
  <r>
    <x v="0"/>
    <x v="0"/>
    <x v="0"/>
    <x v="3"/>
    <x v="12"/>
    <s v="SE2_EL"/>
    <x v="13"/>
    <x v="2"/>
    <x v="62"/>
    <x v="0"/>
    <x v="4"/>
    <n v="26.211357727826002"/>
    <n v="9567.1455706564993"/>
    <n v="34441.724054363403"/>
  </r>
  <r>
    <x v="0"/>
    <x v="0"/>
    <x v="0"/>
    <x v="3"/>
    <x v="12"/>
    <s v="SE2_EL"/>
    <x v="13"/>
    <x v="2"/>
    <x v="62"/>
    <x v="0"/>
    <x v="5"/>
    <n v="32.067652953579703"/>
    <n v="11704.693328056601"/>
    <n v="42136.8959810038"/>
  </r>
  <r>
    <x v="0"/>
    <x v="0"/>
    <x v="0"/>
    <x v="3"/>
    <x v="12"/>
    <s v="SE2_EL"/>
    <x v="13"/>
    <x v="2"/>
    <x v="62"/>
    <x v="0"/>
    <x v="6"/>
    <n v="37.845081179305502"/>
    <n v="13813.4546304465"/>
    <n v="49728.436669607501"/>
  </r>
  <r>
    <x v="0"/>
    <x v="0"/>
    <x v="0"/>
    <x v="3"/>
    <x v="12"/>
    <s v="SE2_EL"/>
    <x v="13"/>
    <x v="2"/>
    <x v="62"/>
    <x v="0"/>
    <x v="7"/>
    <n v="37.845081179305502"/>
    <n v="13813.4546304465"/>
    <n v="49728.436669607501"/>
  </r>
  <r>
    <x v="0"/>
    <x v="0"/>
    <x v="0"/>
    <x v="3"/>
    <x v="12"/>
    <s v="SE2_EL"/>
    <x v="13"/>
    <x v="2"/>
    <x v="62"/>
    <x v="0"/>
    <x v="8"/>
    <n v="37.845081179305502"/>
    <n v="13813.4546304465"/>
    <n v="49728.436669607501"/>
  </r>
  <r>
    <x v="0"/>
    <x v="0"/>
    <x v="0"/>
    <x v="3"/>
    <x v="12"/>
    <s v="SE2_EL"/>
    <x v="13"/>
    <x v="2"/>
    <x v="62"/>
    <x v="0"/>
    <x v="9"/>
    <n v="37.845081179305502"/>
    <n v="13813.4546304465"/>
    <n v="49728.436669607501"/>
  </r>
  <r>
    <x v="0"/>
    <x v="0"/>
    <x v="0"/>
    <x v="3"/>
    <x v="12"/>
    <s v="SE2_EL"/>
    <x v="13"/>
    <x v="2"/>
    <x v="62"/>
    <x v="0"/>
    <x v="10"/>
    <n v="37.845081179305502"/>
    <n v="13813.4546304465"/>
    <n v="49728.436669607501"/>
  </r>
  <r>
    <x v="0"/>
    <x v="0"/>
    <x v="0"/>
    <x v="3"/>
    <x v="12"/>
    <s v="SE2_EL"/>
    <x v="13"/>
    <x v="2"/>
    <x v="62"/>
    <x v="0"/>
    <x v="11"/>
    <n v="37.845081179305502"/>
    <n v="13813.4546304465"/>
    <n v="49728.436669607501"/>
  </r>
  <r>
    <x v="0"/>
    <x v="0"/>
    <x v="0"/>
    <x v="3"/>
    <x v="12"/>
    <s v="SE2_EL"/>
    <x v="13"/>
    <x v="2"/>
    <x v="62"/>
    <x v="0"/>
    <x v="12"/>
    <n v="34.863670323708902"/>
    <n v="12725.239668153699"/>
    <n v="45810.862805353398"/>
  </r>
  <r>
    <x v="0"/>
    <x v="0"/>
    <x v="0"/>
    <x v="3"/>
    <x v="12"/>
    <s v="SE2_EL"/>
    <x v="13"/>
    <x v="2"/>
    <x v="62"/>
    <x v="0"/>
    <x v="13"/>
    <n v="32.987521821249402"/>
    <n v="12040.445464756"/>
    <n v="43345.603673121703"/>
  </r>
  <r>
    <x v="0"/>
    <x v="0"/>
    <x v="0"/>
    <x v="3"/>
    <x v="12"/>
    <s v="SE2_EL"/>
    <x v="13"/>
    <x v="2"/>
    <x v="62"/>
    <x v="0"/>
    <x v="14"/>
    <n v="30.501118273389402"/>
    <n v="11132.908169787101"/>
    <n v="40078.4694112336"/>
  </r>
  <r>
    <x v="0"/>
    <x v="0"/>
    <x v="0"/>
    <x v="3"/>
    <x v="12"/>
    <s v="SE2_EL"/>
    <x v="13"/>
    <x v="2"/>
    <x v="62"/>
    <x v="0"/>
    <x v="15"/>
    <n v="27.5758469711974"/>
    <n v="10065.184144487101"/>
    <n v="36234.662920153402"/>
  </r>
  <r>
    <x v="0"/>
    <x v="0"/>
    <x v="0"/>
    <x v="3"/>
    <x v="12"/>
    <s v="SE2_EL"/>
    <x v="13"/>
    <x v="2"/>
    <x v="62"/>
    <x v="0"/>
    <x v="16"/>
    <n v="25.49824858545"/>
    <n v="9306.8607336892692"/>
    <n v="33504.6986412814"/>
  </r>
  <r>
    <x v="0"/>
    <x v="0"/>
    <x v="0"/>
    <x v="3"/>
    <x v="12"/>
    <s v="SE2_EL"/>
    <x v="13"/>
    <x v="2"/>
    <x v="62"/>
    <x v="0"/>
    <x v="17"/>
    <n v="22.256902538781699"/>
    <n v="8123.7694266553099"/>
    <n v="29245.569935959102"/>
  </r>
  <r>
    <x v="0"/>
    <x v="0"/>
    <x v="0"/>
    <x v="3"/>
    <x v="12"/>
    <s v="SE2_EL"/>
    <x v="13"/>
    <x v="2"/>
    <x v="62"/>
    <x v="0"/>
    <x v="18"/>
    <n v="21.794731046888501"/>
    <n v="7955.0768321143096"/>
    <n v="28638.2765956115"/>
  </r>
  <r>
    <x v="0"/>
    <x v="0"/>
    <x v="0"/>
    <x v="3"/>
    <x v="12"/>
    <s v="SE2_EL"/>
    <x v="13"/>
    <x v="2"/>
    <x v="62"/>
    <x v="0"/>
    <x v="19"/>
    <n v="22.509541035275799"/>
    <n v="8215.9824778756793"/>
    <n v="29577.536920352501"/>
  </r>
  <r>
    <x v="0"/>
    <x v="0"/>
    <x v="0"/>
    <x v="3"/>
    <x v="12"/>
    <s v="SE2_EL"/>
    <x v="13"/>
    <x v="2"/>
    <x v="62"/>
    <x v="0"/>
    <x v="20"/>
    <n v="21.8359704996179"/>
    <n v="7970.1292323605303"/>
    <n v="28692.465236497901"/>
  </r>
  <r>
    <x v="0"/>
    <x v="0"/>
    <x v="0"/>
    <x v="3"/>
    <x v="12"/>
    <s v="SE2_EL"/>
    <x v="13"/>
    <x v="2"/>
    <x v="62"/>
    <x v="0"/>
    <x v="21"/>
    <n v="20.733921062229999"/>
    <n v="7567.8811877139296"/>
    <n v="27244.372275770202"/>
  </r>
  <r>
    <x v="0"/>
    <x v="0"/>
    <x v="0"/>
    <x v="3"/>
    <x v="12"/>
    <s v="SE2_EL"/>
    <x v="13"/>
    <x v="2"/>
    <x v="62"/>
    <x v="0"/>
    <x v="22"/>
    <n v="18.474614282989801"/>
    <n v="6743.23421329127"/>
    <n v="24275.643167848601"/>
  </r>
  <r>
    <x v="0"/>
    <x v="0"/>
    <x v="0"/>
    <x v="3"/>
    <x v="12"/>
    <s v="SE2_EL"/>
    <x v="13"/>
    <x v="2"/>
    <x v="62"/>
    <x v="0"/>
    <x v="23"/>
    <n v="16.504374186886199"/>
    <n v="6024.0965782134799"/>
    <n v="21686.7476815685"/>
  </r>
  <r>
    <x v="0"/>
    <x v="0"/>
    <x v="0"/>
    <x v="3"/>
    <x v="12"/>
    <s v="SE2_EL"/>
    <x v="13"/>
    <x v="0"/>
    <x v="63"/>
    <x v="0"/>
    <x v="0"/>
    <n v="27.723467600700499"/>
    <n v="10119.0656742557"/>
    <n v="36428.636427320504"/>
  </r>
  <r>
    <x v="0"/>
    <x v="0"/>
    <x v="0"/>
    <x v="3"/>
    <x v="12"/>
    <s v="SE2_EL"/>
    <x v="13"/>
    <x v="0"/>
    <x v="63"/>
    <x v="0"/>
    <x v="1"/>
    <n v="27.723467600700499"/>
    <n v="10119.0656742557"/>
    <n v="36428.636427320504"/>
  </r>
  <r>
    <x v="0"/>
    <x v="0"/>
    <x v="0"/>
    <x v="3"/>
    <x v="12"/>
    <s v="SE2_EL"/>
    <x v="13"/>
    <x v="0"/>
    <x v="63"/>
    <x v="0"/>
    <x v="2"/>
    <n v="27.723467600700499"/>
    <n v="10119.0656742557"/>
    <n v="36428.636427320504"/>
  </r>
  <r>
    <x v="0"/>
    <x v="0"/>
    <x v="0"/>
    <x v="3"/>
    <x v="12"/>
    <s v="SE2_EL"/>
    <x v="13"/>
    <x v="0"/>
    <x v="63"/>
    <x v="0"/>
    <x v="3"/>
    <n v="27.723467600700499"/>
    <n v="10119.0656742557"/>
    <n v="36428.636427320504"/>
  </r>
  <r>
    <x v="0"/>
    <x v="0"/>
    <x v="0"/>
    <x v="3"/>
    <x v="12"/>
    <s v="SE2_EL"/>
    <x v="13"/>
    <x v="0"/>
    <x v="63"/>
    <x v="0"/>
    <x v="4"/>
    <n v="27.723467600700499"/>
    <n v="10119.0656742557"/>
    <n v="36428.636427320504"/>
  </r>
  <r>
    <x v="0"/>
    <x v="0"/>
    <x v="0"/>
    <x v="3"/>
    <x v="12"/>
    <s v="SE2_EL"/>
    <x v="13"/>
    <x v="0"/>
    <x v="63"/>
    <x v="0"/>
    <x v="5"/>
    <n v="27.723467600700499"/>
    <n v="10119.0656742557"/>
    <n v="36428.636427320504"/>
  </r>
  <r>
    <x v="0"/>
    <x v="0"/>
    <x v="0"/>
    <x v="3"/>
    <x v="12"/>
    <s v="SE2_EL"/>
    <x v="13"/>
    <x v="0"/>
    <x v="63"/>
    <x v="0"/>
    <x v="6"/>
    <n v="22.988233031486502"/>
    <n v="8390.7050564925594"/>
    <n v="30206.538203373198"/>
  </r>
  <r>
    <x v="0"/>
    <x v="0"/>
    <x v="0"/>
    <x v="3"/>
    <x v="12"/>
    <s v="SE2_EL"/>
    <x v="13"/>
    <x v="0"/>
    <x v="63"/>
    <x v="0"/>
    <x v="7"/>
    <n v="19.848661941432201"/>
    <n v="7244.7616086227699"/>
    <n v="26081.141791041999"/>
  </r>
  <r>
    <x v="0"/>
    <x v="0"/>
    <x v="0"/>
    <x v="3"/>
    <x v="12"/>
    <s v="SE2_EL"/>
    <x v="13"/>
    <x v="0"/>
    <x v="63"/>
    <x v="0"/>
    <x v="8"/>
    <n v="21.310116237735102"/>
    <n v="7778.1924267733102"/>
    <n v="28001.492736383902"/>
  </r>
  <r>
    <x v="0"/>
    <x v="0"/>
    <x v="0"/>
    <x v="3"/>
    <x v="12"/>
    <s v="SE2_EL"/>
    <x v="13"/>
    <x v="0"/>
    <x v="63"/>
    <x v="0"/>
    <x v="9"/>
    <n v="23.751819824996701"/>
    <n v="8669.4142361237991"/>
    <n v="31209.891250045701"/>
  </r>
  <r>
    <x v="0"/>
    <x v="0"/>
    <x v="0"/>
    <x v="3"/>
    <x v="12"/>
    <s v="SE2_EL"/>
    <x v="13"/>
    <x v="0"/>
    <x v="63"/>
    <x v="0"/>
    <x v="10"/>
    <n v="26.1442173693992"/>
    <n v="9542.6393398307191"/>
    <n v="34353.501623390599"/>
  </r>
  <r>
    <x v="0"/>
    <x v="0"/>
    <x v="0"/>
    <x v="3"/>
    <x v="12"/>
    <s v="SE2_EL"/>
    <x v="13"/>
    <x v="0"/>
    <x v="63"/>
    <x v="0"/>
    <x v="11"/>
    <n v="27.6832666724058"/>
    <n v="10104.3923354281"/>
    <n v="36375.812407541198"/>
  </r>
  <r>
    <x v="0"/>
    <x v="0"/>
    <x v="0"/>
    <x v="3"/>
    <x v="12"/>
    <s v="SE2_EL"/>
    <x v="13"/>
    <x v="0"/>
    <x v="63"/>
    <x v="0"/>
    <x v="12"/>
    <n v="27.723467600700499"/>
    <n v="10119.0656742557"/>
    <n v="36428.636427320504"/>
  </r>
  <r>
    <x v="0"/>
    <x v="0"/>
    <x v="0"/>
    <x v="3"/>
    <x v="12"/>
    <s v="SE2_EL"/>
    <x v="13"/>
    <x v="0"/>
    <x v="63"/>
    <x v="0"/>
    <x v="13"/>
    <n v="27.723467600700499"/>
    <n v="10119.0656742557"/>
    <n v="36428.636427320504"/>
  </r>
  <r>
    <x v="0"/>
    <x v="0"/>
    <x v="0"/>
    <x v="3"/>
    <x v="12"/>
    <s v="SE2_EL"/>
    <x v="13"/>
    <x v="0"/>
    <x v="63"/>
    <x v="0"/>
    <x v="14"/>
    <n v="27.723467600700499"/>
    <n v="10119.0656742557"/>
    <n v="36428.636427320504"/>
  </r>
  <r>
    <x v="0"/>
    <x v="0"/>
    <x v="0"/>
    <x v="3"/>
    <x v="12"/>
    <s v="SE2_EL"/>
    <x v="13"/>
    <x v="0"/>
    <x v="63"/>
    <x v="0"/>
    <x v="15"/>
    <n v="27.723467600700499"/>
    <n v="10119.0656742557"/>
    <n v="36428.636427320504"/>
  </r>
  <r>
    <x v="0"/>
    <x v="0"/>
    <x v="0"/>
    <x v="3"/>
    <x v="12"/>
    <s v="SE2_EL"/>
    <x v="13"/>
    <x v="0"/>
    <x v="63"/>
    <x v="0"/>
    <x v="16"/>
    <n v="27.723467600700499"/>
    <n v="10119.0656742557"/>
    <n v="36428.636427320504"/>
  </r>
  <r>
    <x v="0"/>
    <x v="0"/>
    <x v="0"/>
    <x v="3"/>
    <x v="12"/>
    <s v="SE2_EL"/>
    <x v="13"/>
    <x v="0"/>
    <x v="63"/>
    <x v="0"/>
    <x v="17"/>
    <n v="27.723467600700499"/>
    <n v="10119.0656742557"/>
    <n v="36428.636427320504"/>
  </r>
  <r>
    <x v="0"/>
    <x v="0"/>
    <x v="0"/>
    <x v="3"/>
    <x v="12"/>
    <s v="SE2_EL"/>
    <x v="13"/>
    <x v="0"/>
    <x v="63"/>
    <x v="0"/>
    <x v="18"/>
    <n v="27.723467600700499"/>
    <n v="10119.0656742557"/>
    <n v="36428.636427320504"/>
  </r>
  <r>
    <x v="0"/>
    <x v="0"/>
    <x v="0"/>
    <x v="3"/>
    <x v="12"/>
    <s v="SE2_EL"/>
    <x v="13"/>
    <x v="0"/>
    <x v="63"/>
    <x v="0"/>
    <x v="19"/>
    <n v="27.723467600700499"/>
    <n v="10119.0656742557"/>
    <n v="36428.636427320504"/>
  </r>
  <r>
    <x v="0"/>
    <x v="0"/>
    <x v="0"/>
    <x v="3"/>
    <x v="12"/>
    <s v="SE2_EL"/>
    <x v="13"/>
    <x v="0"/>
    <x v="63"/>
    <x v="0"/>
    <x v="20"/>
    <n v="27.723467600700499"/>
    <n v="10119.0656742557"/>
    <n v="36428.636427320504"/>
  </r>
  <r>
    <x v="0"/>
    <x v="0"/>
    <x v="0"/>
    <x v="3"/>
    <x v="12"/>
    <s v="SE2_EL"/>
    <x v="13"/>
    <x v="0"/>
    <x v="63"/>
    <x v="0"/>
    <x v="21"/>
    <n v="27.723467600700499"/>
    <n v="10119.0656742557"/>
    <n v="36428.636427320504"/>
  </r>
  <r>
    <x v="0"/>
    <x v="0"/>
    <x v="0"/>
    <x v="3"/>
    <x v="12"/>
    <s v="SE2_EL"/>
    <x v="13"/>
    <x v="0"/>
    <x v="63"/>
    <x v="0"/>
    <x v="22"/>
    <n v="27.723467600700499"/>
    <n v="10119.0656742557"/>
    <n v="36428.636427320504"/>
  </r>
  <r>
    <x v="0"/>
    <x v="0"/>
    <x v="0"/>
    <x v="3"/>
    <x v="12"/>
    <s v="SE2_EL"/>
    <x v="13"/>
    <x v="0"/>
    <x v="63"/>
    <x v="0"/>
    <x v="23"/>
    <n v="27.723467600700499"/>
    <n v="10119.0656742557"/>
    <n v="36428.636427320504"/>
  </r>
  <r>
    <x v="0"/>
    <x v="0"/>
    <x v="0"/>
    <x v="3"/>
    <x v="12"/>
    <s v="SE2_OTHER"/>
    <x v="2"/>
    <x v="2"/>
    <x v="61"/>
    <x v="0"/>
    <x v="0"/>
    <n v="2.8608559422959301"/>
    <n v="1044.2124189380199"/>
    <n v="3759.1647081768601"/>
  </r>
  <r>
    <x v="0"/>
    <x v="0"/>
    <x v="0"/>
    <x v="3"/>
    <x v="12"/>
    <s v="SE2_OTHER"/>
    <x v="2"/>
    <x v="2"/>
    <x v="61"/>
    <x v="0"/>
    <x v="1"/>
    <n v="2.8608559422959301"/>
    <n v="1044.2124189380199"/>
    <n v="3759.1647081768601"/>
  </r>
  <r>
    <x v="0"/>
    <x v="0"/>
    <x v="0"/>
    <x v="3"/>
    <x v="12"/>
    <s v="SE2_OTHER"/>
    <x v="2"/>
    <x v="2"/>
    <x v="61"/>
    <x v="0"/>
    <x v="2"/>
    <n v="2.8608559422959301"/>
    <n v="1044.2124189380199"/>
    <n v="3759.1647081768601"/>
  </r>
  <r>
    <x v="0"/>
    <x v="0"/>
    <x v="0"/>
    <x v="3"/>
    <x v="12"/>
    <s v="SE2_OTHER"/>
    <x v="2"/>
    <x v="2"/>
    <x v="61"/>
    <x v="0"/>
    <x v="3"/>
    <n v="2.8608559422959301"/>
    <n v="1044.2124189380199"/>
    <n v="3759.1647081768601"/>
  </r>
  <r>
    <x v="0"/>
    <x v="0"/>
    <x v="0"/>
    <x v="3"/>
    <x v="12"/>
    <s v="SE2_OTHER"/>
    <x v="2"/>
    <x v="2"/>
    <x v="61"/>
    <x v="0"/>
    <x v="4"/>
    <n v="2.8608559422959301"/>
    <n v="1044.2124189380199"/>
    <n v="3759.1647081768601"/>
  </r>
  <r>
    <x v="0"/>
    <x v="0"/>
    <x v="0"/>
    <x v="3"/>
    <x v="12"/>
    <s v="SE2_OTHER"/>
    <x v="2"/>
    <x v="2"/>
    <x v="61"/>
    <x v="0"/>
    <x v="5"/>
    <n v="2.8608559422959301"/>
    <n v="1044.2124189380199"/>
    <n v="3759.1647081768601"/>
  </r>
  <r>
    <x v="0"/>
    <x v="0"/>
    <x v="0"/>
    <x v="3"/>
    <x v="12"/>
    <s v="SE2_OTHER"/>
    <x v="2"/>
    <x v="2"/>
    <x v="61"/>
    <x v="0"/>
    <x v="6"/>
    <n v="2.8608559422959301"/>
    <n v="1044.2124189380199"/>
    <n v="3759.1647081768601"/>
  </r>
  <r>
    <x v="0"/>
    <x v="0"/>
    <x v="0"/>
    <x v="3"/>
    <x v="12"/>
    <s v="SE2_OTHER"/>
    <x v="2"/>
    <x v="2"/>
    <x v="61"/>
    <x v="0"/>
    <x v="7"/>
    <n v="2.8608559422959301"/>
    <n v="1044.2124189380199"/>
    <n v="3759.1647081768601"/>
  </r>
  <r>
    <x v="0"/>
    <x v="0"/>
    <x v="0"/>
    <x v="3"/>
    <x v="12"/>
    <s v="SE2_OTHER"/>
    <x v="2"/>
    <x v="2"/>
    <x v="61"/>
    <x v="0"/>
    <x v="8"/>
    <n v="2.8608559422959301"/>
    <n v="1044.2124189380199"/>
    <n v="3759.1647081768601"/>
  </r>
  <r>
    <x v="0"/>
    <x v="0"/>
    <x v="0"/>
    <x v="3"/>
    <x v="12"/>
    <s v="SE2_OTHER"/>
    <x v="2"/>
    <x v="2"/>
    <x v="61"/>
    <x v="0"/>
    <x v="9"/>
    <n v="2.8608559422959301"/>
    <n v="1044.2124189380199"/>
    <n v="3759.1647081768601"/>
  </r>
  <r>
    <x v="0"/>
    <x v="0"/>
    <x v="0"/>
    <x v="3"/>
    <x v="12"/>
    <s v="SE2_OTHER"/>
    <x v="2"/>
    <x v="2"/>
    <x v="61"/>
    <x v="0"/>
    <x v="10"/>
    <n v="2.8608559422959301"/>
    <n v="1044.2124189380199"/>
    <n v="3759.1647081768601"/>
  </r>
  <r>
    <x v="0"/>
    <x v="0"/>
    <x v="0"/>
    <x v="3"/>
    <x v="12"/>
    <s v="SE2_OTHER"/>
    <x v="2"/>
    <x v="2"/>
    <x v="61"/>
    <x v="0"/>
    <x v="11"/>
    <n v="2.8608559422959301"/>
    <n v="1044.2124189380199"/>
    <n v="3759.1647081768601"/>
  </r>
  <r>
    <x v="0"/>
    <x v="0"/>
    <x v="0"/>
    <x v="3"/>
    <x v="12"/>
    <s v="SE2_OTHER"/>
    <x v="2"/>
    <x v="2"/>
    <x v="61"/>
    <x v="0"/>
    <x v="12"/>
    <n v="2.8608559422959301"/>
    <n v="1044.2124189380199"/>
    <n v="3759.1647081768601"/>
  </r>
  <r>
    <x v="0"/>
    <x v="0"/>
    <x v="0"/>
    <x v="3"/>
    <x v="12"/>
    <s v="SE2_OTHER"/>
    <x v="2"/>
    <x v="2"/>
    <x v="61"/>
    <x v="0"/>
    <x v="13"/>
    <n v="2.8608559422959301"/>
    <n v="1044.2124189380199"/>
    <n v="3759.1647081768601"/>
  </r>
  <r>
    <x v="0"/>
    <x v="0"/>
    <x v="0"/>
    <x v="3"/>
    <x v="12"/>
    <s v="SE2_OTHER"/>
    <x v="2"/>
    <x v="2"/>
    <x v="61"/>
    <x v="0"/>
    <x v="14"/>
    <n v="2.8608559422959301"/>
    <n v="1044.2124189380199"/>
    <n v="3759.1647081768601"/>
  </r>
  <r>
    <x v="0"/>
    <x v="0"/>
    <x v="0"/>
    <x v="3"/>
    <x v="12"/>
    <s v="SE2_OTHER"/>
    <x v="2"/>
    <x v="2"/>
    <x v="61"/>
    <x v="0"/>
    <x v="15"/>
    <n v="2.8608559422959301"/>
    <n v="1044.2124189380199"/>
    <n v="3759.1647081768601"/>
  </r>
  <r>
    <x v="0"/>
    <x v="0"/>
    <x v="0"/>
    <x v="3"/>
    <x v="12"/>
    <s v="SE2_OTHER"/>
    <x v="2"/>
    <x v="2"/>
    <x v="61"/>
    <x v="0"/>
    <x v="16"/>
    <n v="2.8608559422959301"/>
    <n v="1044.2124189380199"/>
    <n v="3759.1647081768601"/>
  </r>
  <r>
    <x v="0"/>
    <x v="0"/>
    <x v="0"/>
    <x v="3"/>
    <x v="12"/>
    <s v="SE2_OTHER"/>
    <x v="2"/>
    <x v="2"/>
    <x v="61"/>
    <x v="0"/>
    <x v="17"/>
    <n v="2.8608559422959301"/>
    <n v="1044.2124189380199"/>
    <n v="3759.1647081768601"/>
  </r>
  <r>
    <x v="0"/>
    <x v="0"/>
    <x v="0"/>
    <x v="3"/>
    <x v="12"/>
    <s v="SE2_OTHER"/>
    <x v="2"/>
    <x v="2"/>
    <x v="61"/>
    <x v="0"/>
    <x v="18"/>
    <n v="2.8608559422959301"/>
    <n v="1044.2124189380199"/>
    <n v="3759.1647081768601"/>
  </r>
  <r>
    <x v="0"/>
    <x v="0"/>
    <x v="0"/>
    <x v="3"/>
    <x v="12"/>
    <s v="SE2_OTHER"/>
    <x v="2"/>
    <x v="2"/>
    <x v="61"/>
    <x v="0"/>
    <x v="19"/>
    <n v="2.8608559422959301"/>
    <n v="1044.2124189380199"/>
    <n v="3759.1647081768601"/>
  </r>
  <r>
    <x v="0"/>
    <x v="0"/>
    <x v="0"/>
    <x v="3"/>
    <x v="12"/>
    <s v="SE2_OTHER"/>
    <x v="2"/>
    <x v="2"/>
    <x v="61"/>
    <x v="0"/>
    <x v="20"/>
    <n v="2.8608559422959301"/>
    <n v="1044.2124189380199"/>
    <n v="3759.1647081768601"/>
  </r>
  <r>
    <x v="0"/>
    <x v="0"/>
    <x v="0"/>
    <x v="3"/>
    <x v="12"/>
    <s v="SE2_OTHER"/>
    <x v="2"/>
    <x v="2"/>
    <x v="61"/>
    <x v="0"/>
    <x v="21"/>
    <n v="2.8608559422959301"/>
    <n v="1044.2124189380199"/>
    <n v="3759.1647081768601"/>
  </r>
  <r>
    <x v="0"/>
    <x v="0"/>
    <x v="0"/>
    <x v="3"/>
    <x v="12"/>
    <s v="SE2_OTHER"/>
    <x v="2"/>
    <x v="2"/>
    <x v="61"/>
    <x v="0"/>
    <x v="22"/>
    <n v="2.8608559422959301"/>
    <n v="1044.2124189380199"/>
    <n v="3759.1647081768601"/>
  </r>
  <r>
    <x v="0"/>
    <x v="0"/>
    <x v="0"/>
    <x v="3"/>
    <x v="12"/>
    <s v="SE2_OTHER"/>
    <x v="2"/>
    <x v="2"/>
    <x v="61"/>
    <x v="0"/>
    <x v="23"/>
    <n v="2.8608559422959301"/>
    <n v="1044.2124189380199"/>
    <n v="3759.1647081768601"/>
  </r>
  <r>
    <x v="0"/>
    <x v="0"/>
    <x v="0"/>
    <x v="3"/>
    <x v="12"/>
    <s v="SE2_OTHER"/>
    <x v="13"/>
    <x v="2"/>
    <x v="64"/>
    <x v="0"/>
    <x v="0"/>
    <n v="35.653843179244099"/>
    <n v="13013.6527604241"/>
    <n v="46849.149937526803"/>
  </r>
  <r>
    <x v="0"/>
    <x v="0"/>
    <x v="0"/>
    <x v="3"/>
    <x v="12"/>
    <s v="SE2_OTHER"/>
    <x v="13"/>
    <x v="2"/>
    <x v="64"/>
    <x v="0"/>
    <x v="1"/>
    <n v="35.653843179244099"/>
    <n v="13013.6527604241"/>
    <n v="46849.149937526803"/>
  </r>
  <r>
    <x v="0"/>
    <x v="0"/>
    <x v="0"/>
    <x v="3"/>
    <x v="12"/>
    <s v="SE2_OTHER"/>
    <x v="13"/>
    <x v="2"/>
    <x v="64"/>
    <x v="0"/>
    <x v="2"/>
    <n v="35.653843179244099"/>
    <n v="13013.6527604241"/>
    <n v="46849.149937526803"/>
  </r>
  <r>
    <x v="0"/>
    <x v="0"/>
    <x v="0"/>
    <x v="3"/>
    <x v="12"/>
    <s v="SE2_OTHER"/>
    <x v="13"/>
    <x v="2"/>
    <x v="64"/>
    <x v="0"/>
    <x v="3"/>
    <n v="35.653843179244099"/>
    <n v="13013.6527604241"/>
    <n v="46849.149937526803"/>
  </r>
  <r>
    <x v="0"/>
    <x v="0"/>
    <x v="0"/>
    <x v="3"/>
    <x v="12"/>
    <s v="SE2_OTHER"/>
    <x v="13"/>
    <x v="2"/>
    <x v="64"/>
    <x v="0"/>
    <x v="4"/>
    <n v="35.653843179244099"/>
    <n v="13013.6527604241"/>
    <n v="46849.149937526803"/>
  </r>
  <r>
    <x v="0"/>
    <x v="0"/>
    <x v="0"/>
    <x v="3"/>
    <x v="12"/>
    <s v="SE2_OTHER"/>
    <x v="13"/>
    <x v="2"/>
    <x v="64"/>
    <x v="0"/>
    <x v="5"/>
    <n v="35.653843179244099"/>
    <n v="13013.6527604241"/>
    <n v="46849.149937526803"/>
  </r>
  <r>
    <x v="0"/>
    <x v="0"/>
    <x v="0"/>
    <x v="3"/>
    <x v="12"/>
    <s v="SE2_OTHER"/>
    <x v="13"/>
    <x v="2"/>
    <x v="64"/>
    <x v="0"/>
    <x v="6"/>
    <n v="35.653843179244099"/>
    <n v="13013.6527604241"/>
    <n v="46849.149937526803"/>
  </r>
  <r>
    <x v="0"/>
    <x v="0"/>
    <x v="0"/>
    <x v="3"/>
    <x v="12"/>
    <s v="SE2_OTHER"/>
    <x v="13"/>
    <x v="2"/>
    <x v="64"/>
    <x v="0"/>
    <x v="7"/>
    <n v="35.653843179244099"/>
    <n v="13013.6527604241"/>
    <n v="46849.149937526803"/>
  </r>
  <r>
    <x v="0"/>
    <x v="0"/>
    <x v="0"/>
    <x v="3"/>
    <x v="12"/>
    <s v="SE2_OTHER"/>
    <x v="13"/>
    <x v="2"/>
    <x v="64"/>
    <x v="0"/>
    <x v="8"/>
    <n v="35.653843179244099"/>
    <n v="13013.6527604241"/>
    <n v="46849.149937526803"/>
  </r>
  <r>
    <x v="0"/>
    <x v="0"/>
    <x v="0"/>
    <x v="3"/>
    <x v="12"/>
    <s v="SE2_OTHER"/>
    <x v="13"/>
    <x v="2"/>
    <x v="64"/>
    <x v="0"/>
    <x v="9"/>
    <n v="35.653843179244099"/>
    <n v="13013.6527604241"/>
    <n v="46849.149937526803"/>
  </r>
  <r>
    <x v="0"/>
    <x v="0"/>
    <x v="0"/>
    <x v="3"/>
    <x v="12"/>
    <s v="SE2_OTHER"/>
    <x v="13"/>
    <x v="2"/>
    <x v="64"/>
    <x v="0"/>
    <x v="10"/>
    <n v="35.653843179244099"/>
    <n v="13013.6527604241"/>
    <n v="46849.149937526803"/>
  </r>
  <r>
    <x v="0"/>
    <x v="0"/>
    <x v="0"/>
    <x v="3"/>
    <x v="12"/>
    <s v="SE2_OTHER"/>
    <x v="13"/>
    <x v="2"/>
    <x v="64"/>
    <x v="0"/>
    <x v="11"/>
    <n v="35.653843179244099"/>
    <n v="13013.6527604241"/>
    <n v="46849.149937526803"/>
  </r>
  <r>
    <x v="0"/>
    <x v="0"/>
    <x v="0"/>
    <x v="3"/>
    <x v="12"/>
    <s v="SE2_OTHER"/>
    <x v="13"/>
    <x v="2"/>
    <x v="64"/>
    <x v="0"/>
    <x v="12"/>
    <n v="35.653843179244099"/>
    <n v="13013.6527604241"/>
    <n v="46849.149937526803"/>
  </r>
  <r>
    <x v="0"/>
    <x v="0"/>
    <x v="0"/>
    <x v="3"/>
    <x v="12"/>
    <s v="SE2_OTHER"/>
    <x v="13"/>
    <x v="2"/>
    <x v="64"/>
    <x v="0"/>
    <x v="13"/>
    <n v="35.653843179244099"/>
    <n v="13013.6527604241"/>
    <n v="46849.149937526803"/>
  </r>
  <r>
    <x v="0"/>
    <x v="0"/>
    <x v="0"/>
    <x v="3"/>
    <x v="12"/>
    <s v="SE2_OTHER"/>
    <x v="13"/>
    <x v="2"/>
    <x v="64"/>
    <x v="0"/>
    <x v="14"/>
    <n v="35.653843179244099"/>
    <n v="13013.6527604241"/>
    <n v="46849.149937526803"/>
  </r>
  <r>
    <x v="0"/>
    <x v="0"/>
    <x v="0"/>
    <x v="3"/>
    <x v="12"/>
    <s v="SE2_OTHER"/>
    <x v="13"/>
    <x v="2"/>
    <x v="64"/>
    <x v="0"/>
    <x v="15"/>
    <n v="35.653843179244099"/>
    <n v="13013.6527604241"/>
    <n v="46849.149937526803"/>
  </r>
  <r>
    <x v="0"/>
    <x v="0"/>
    <x v="0"/>
    <x v="3"/>
    <x v="12"/>
    <s v="SE2_OTHER"/>
    <x v="13"/>
    <x v="2"/>
    <x v="64"/>
    <x v="0"/>
    <x v="16"/>
    <n v="35.653843179244099"/>
    <n v="13013.6527604241"/>
    <n v="46849.149937526803"/>
  </r>
  <r>
    <x v="0"/>
    <x v="0"/>
    <x v="0"/>
    <x v="3"/>
    <x v="12"/>
    <s v="SE2_OTHER"/>
    <x v="13"/>
    <x v="2"/>
    <x v="64"/>
    <x v="0"/>
    <x v="17"/>
    <n v="35.653843179244099"/>
    <n v="13013.6527604241"/>
    <n v="46849.149937526803"/>
  </r>
  <r>
    <x v="0"/>
    <x v="0"/>
    <x v="0"/>
    <x v="3"/>
    <x v="12"/>
    <s v="SE2_OTHER"/>
    <x v="13"/>
    <x v="2"/>
    <x v="64"/>
    <x v="0"/>
    <x v="18"/>
    <n v="35.653843179244099"/>
    <n v="13013.6527604241"/>
    <n v="46849.149937526803"/>
  </r>
  <r>
    <x v="0"/>
    <x v="0"/>
    <x v="0"/>
    <x v="3"/>
    <x v="12"/>
    <s v="SE2_OTHER"/>
    <x v="13"/>
    <x v="2"/>
    <x v="64"/>
    <x v="0"/>
    <x v="19"/>
    <n v="35.653843179244099"/>
    <n v="13013.6527604241"/>
    <n v="46849.149937526803"/>
  </r>
  <r>
    <x v="0"/>
    <x v="0"/>
    <x v="0"/>
    <x v="3"/>
    <x v="12"/>
    <s v="SE2_OTHER"/>
    <x v="13"/>
    <x v="2"/>
    <x v="64"/>
    <x v="0"/>
    <x v="20"/>
    <n v="35.653843179244099"/>
    <n v="13013.6527604241"/>
    <n v="46849.149937526803"/>
  </r>
  <r>
    <x v="0"/>
    <x v="0"/>
    <x v="0"/>
    <x v="3"/>
    <x v="12"/>
    <s v="SE2_OTHER"/>
    <x v="13"/>
    <x v="2"/>
    <x v="64"/>
    <x v="0"/>
    <x v="21"/>
    <n v="35.653843179244099"/>
    <n v="13013.6527604241"/>
    <n v="46849.149937526803"/>
  </r>
  <r>
    <x v="0"/>
    <x v="0"/>
    <x v="0"/>
    <x v="3"/>
    <x v="12"/>
    <s v="SE2_OTHER"/>
    <x v="13"/>
    <x v="2"/>
    <x v="64"/>
    <x v="0"/>
    <x v="22"/>
    <n v="35.653843179244099"/>
    <n v="13013.6527604241"/>
    <n v="46849.149937526803"/>
  </r>
  <r>
    <x v="0"/>
    <x v="0"/>
    <x v="0"/>
    <x v="3"/>
    <x v="12"/>
    <s v="SE2_OTHER"/>
    <x v="13"/>
    <x v="2"/>
    <x v="64"/>
    <x v="0"/>
    <x v="23"/>
    <n v="35.653843179244099"/>
    <n v="13013.6527604241"/>
    <n v="46849.149937526803"/>
  </r>
  <r>
    <x v="0"/>
    <x v="0"/>
    <x v="0"/>
    <x v="3"/>
    <x v="13"/>
    <s v="SE3A"/>
    <x v="11"/>
    <x v="7"/>
    <x v="65"/>
    <x v="0"/>
    <x v="0"/>
    <n v="6991.0634705655502"/>
    <n v="2551738.1667564199"/>
    <n v="9186257.4003231302"/>
  </r>
  <r>
    <x v="0"/>
    <x v="0"/>
    <x v="0"/>
    <x v="3"/>
    <x v="13"/>
    <s v="SE3A"/>
    <x v="11"/>
    <x v="7"/>
    <x v="65"/>
    <x v="0"/>
    <x v="1"/>
    <n v="6991.0634705655502"/>
    <n v="2551738.1667564199"/>
    <n v="9186257.4003231302"/>
  </r>
  <r>
    <x v="0"/>
    <x v="0"/>
    <x v="0"/>
    <x v="3"/>
    <x v="13"/>
    <s v="SE3A"/>
    <x v="11"/>
    <x v="7"/>
    <x v="65"/>
    <x v="0"/>
    <x v="2"/>
    <n v="6991.0634705655502"/>
    <n v="2551738.1667564199"/>
    <n v="9186257.4003231302"/>
  </r>
  <r>
    <x v="0"/>
    <x v="0"/>
    <x v="0"/>
    <x v="3"/>
    <x v="13"/>
    <s v="SE3A"/>
    <x v="11"/>
    <x v="7"/>
    <x v="65"/>
    <x v="0"/>
    <x v="3"/>
    <n v="6991.0634705655502"/>
    <n v="2551738.1667564199"/>
    <n v="9186257.4003231302"/>
  </r>
  <r>
    <x v="0"/>
    <x v="0"/>
    <x v="0"/>
    <x v="3"/>
    <x v="13"/>
    <s v="SE3A"/>
    <x v="11"/>
    <x v="7"/>
    <x v="65"/>
    <x v="0"/>
    <x v="4"/>
    <n v="6991.0634705655502"/>
    <n v="2551738.1667564199"/>
    <n v="9186257.4003231302"/>
  </r>
  <r>
    <x v="0"/>
    <x v="0"/>
    <x v="0"/>
    <x v="3"/>
    <x v="13"/>
    <s v="SE3A"/>
    <x v="11"/>
    <x v="7"/>
    <x v="65"/>
    <x v="0"/>
    <x v="5"/>
    <n v="6991.0634705655502"/>
    <n v="2551738.1667564199"/>
    <n v="9186257.4003231302"/>
  </r>
  <r>
    <x v="0"/>
    <x v="0"/>
    <x v="0"/>
    <x v="3"/>
    <x v="13"/>
    <s v="SE3A"/>
    <x v="11"/>
    <x v="7"/>
    <x v="65"/>
    <x v="0"/>
    <x v="6"/>
    <n v="6991.0634705655502"/>
    <n v="2551738.1667564199"/>
    <n v="9186257.4003231302"/>
  </r>
  <r>
    <x v="0"/>
    <x v="0"/>
    <x v="0"/>
    <x v="3"/>
    <x v="13"/>
    <s v="SE3A"/>
    <x v="11"/>
    <x v="7"/>
    <x v="65"/>
    <x v="0"/>
    <x v="7"/>
    <n v="6991.0634705655502"/>
    <n v="2551738.1667564199"/>
    <n v="9186257.4003231302"/>
  </r>
  <r>
    <x v="0"/>
    <x v="0"/>
    <x v="0"/>
    <x v="3"/>
    <x v="13"/>
    <s v="SE3A"/>
    <x v="11"/>
    <x v="7"/>
    <x v="65"/>
    <x v="0"/>
    <x v="8"/>
    <n v="6991.0634705655502"/>
    <n v="2551738.1667564199"/>
    <n v="9186257.4003231302"/>
  </r>
  <r>
    <x v="0"/>
    <x v="0"/>
    <x v="0"/>
    <x v="3"/>
    <x v="13"/>
    <s v="SE3A"/>
    <x v="11"/>
    <x v="7"/>
    <x v="65"/>
    <x v="0"/>
    <x v="9"/>
    <n v="6991.0634705655502"/>
    <n v="2551738.1667564199"/>
    <n v="9186257.4003231302"/>
  </r>
  <r>
    <x v="0"/>
    <x v="0"/>
    <x v="0"/>
    <x v="3"/>
    <x v="13"/>
    <s v="SE3A"/>
    <x v="11"/>
    <x v="7"/>
    <x v="65"/>
    <x v="0"/>
    <x v="10"/>
    <n v="6991.0634705655502"/>
    <n v="2551738.1667564199"/>
    <n v="9186257.4003231302"/>
  </r>
  <r>
    <x v="0"/>
    <x v="0"/>
    <x v="0"/>
    <x v="3"/>
    <x v="13"/>
    <s v="SE3A"/>
    <x v="11"/>
    <x v="7"/>
    <x v="65"/>
    <x v="0"/>
    <x v="11"/>
    <n v="6991.0634705655502"/>
    <n v="2551738.1667564199"/>
    <n v="9186257.4003231302"/>
  </r>
  <r>
    <x v="0"/>
    <x v="0"/>
    <x v="0"/>
    <x v="3"/>
    <x v="13"/>
    <s v="SE3A"/>
    <x v="11"/>
    <x v="7"/>
    <x v="65"/>
    <x v="0"/>
    <x v="12"/>
    <n v="6991.0634705655502"/>
    <n v="2551738.1667564199"/>
    <n v="9186257.4003231302"/>
  </r>
  <r>
    <x v="0"/>
    <x v="0"/>
    <x v="0"/>
    <x v="3"/>
    <x v="13"/>
    <s v="SE3A"/>
    <x v="11"/>
    <x v="7"/>
    <x v="65"/>
    <x v="0"/>
    <x v="13"/>
    <n v="6991.0634705655502"/>
    <n v="2551738.1667564199"/>
    <n v="9186257.4003231302"/>
  </r>
  <r>
    <x v="0"/>
    <x v="0"/>
    <x v="0"/>
    <x v="3"/>
    <x v="13"/>
    <s v="SE3A"/>
    <x v="11"/>
    <x v="7"/>
    <x v="65"/>
    <x v="0"/>
    <x v="14"/>
    <n v="6991.0634705655502"/>
    <n v="2551738.1667564199"/>
    <n v="9186257.4003231302"/>
  </r>
  <r>
    <x v="0"/>
    <x v="0"/>
    <x v="0"/>
    <x v="3"/>
    <x v="13"/>
    <s v="SE3A"/>
    <x v="11"/>
    <x v="7"/>
    <x v="65"/>
    <x v="0"/>
    <x v="15"/>
    <n v="6991.0634705655502"/>
    <n v="2551738.1667564199"/>
    <n v="9186257.4003231302"/>
  </r>
  <r>
    <x v="0"/>
    <x v="0"/>
    <x v="0"/>
    <x v="3"/>
    <x v="13"/>
    <s v="SE3A"/>
    <x v="11"/>
    <x v="7"/>
    <x v="65"/>
    <x v="0"/>
    <x v="16"/>
    <n v="6991.0634705655502"/>
    <n v="2551738.1667564199"/>
    <n v="9186257.4003231302"/>
  </r>
  <r>
    <x v="0"/>
    <x v="0"/>
    <x v="0"/>
    <x v="3"/>
    <x v="13"/>
    <s v="SE3A"/>
    <x v="11"/>
    <x v="7"/>
    <x v="65"/>
    <x v="0"/>
    <x v="17"/>
    <n v="6991.0634705655502"/>
    <n v="2551738.1667564199"/>
    <n v="9186257.4003231302"/>
  </r>
  <r>
    <x v="0"/>
    <x v="0"/>
    <x v="0"/>
    <x v="3"/>
    <x v="13"/>
    <s v="SE3A"/>
    <x v="11"/>
    <x v="7"/>
    <x v="65"/>
    <x v="0"/>
    <x v="18"/>
    <n v="6991.0634705655502"/>
    <n v="2551738.1667564199"/>
    <n v="9186257.4003231302"/>
  </r>
  <r>
    <x v="0"/>
    <x v="0"/>
    <x v="0"/>
    <x v="3"/>
    <x v="13"/>
    <s v="SE3A"/>
    <x v="11"/>
    <x v="7"/>
    <x v="65"/>
    <x v="0"/>
    <x v="19"/>
    <n v="6991.0634705655502"/>
    <n v="2551738.1667564199"/>
    <n v="9186257.4003231302"/>
  </r>
  <r>
    <x v="0"/>
    <x v="0"/>
    <x v="0"/>
    <x v="3"/>
    <x v="13"/>
    <s v="SE3A"/>
    <x v="11"/>
    <x v="7"/>
    <x v="65"/>
    <x v="0"/>
    <x v="20"/>
    <n v="6991.0634705655502"/>
    <n v="2551738.1667564199"/>
    <n v="9186257.4003231302"/>
  </r>
  <r>
    <x v="0"/>
    <x v="0"/>
    <x v="0"/>
    <x v="3"/>
    <x v="13"/>
    <s v="SE3A"/>
    <x v="11"/>
    <x v="7"/>
    <x v="65"/>
    <x v="0"/>
    <x v="21"/>
    <n v="6991.0634705655502"/>
    <n v="2551738.1667564199"/>
    <n v="9186257.4003231302"/>
  </r>
  <r>
    <x v="0"/>
    <x v="0"/>
    <x v="0"/>
    <x v="3"/>
    <x v="13"/>
    <s v="SE3A"/>
    <x v="11"/>
    <x v="7"/>
    <x v="65"/>
    <x v="0"/>
    <x v="22"/>
    <n v="6991.0634705655502"/>
    <n v="2551738.1667564199"/>
    <n v="9186257.4003231302"/>
  </r>
  <r>
    <x v="0"/>
    <x v="0"/>
    <x v="0"/>
    <x v="3"/>
    <x v="13"/>
    <s v="SE3A"/>
    <x v="11"/>
    <x v="7"/>
    <x v="65"/>
    <x v="0"/>
    <x v="23"/>
    <n v="6991.0634705655502"/>
    <n v="2551738.1667564199"/>
    <n v="9186257.4003231302"/>
  </r>
  <r>
    <x v="0"/>
    <x v="0"/>
    <x v="0"/>
    <x v="3"/>
    <x v="13"/>
    <s v="SE3A"/>
    <x v="5"/>
    <x v="4"/>
    <x v="56"/>
    <x v="0"/>
    <x v="0"/>
    <n v="284.05507439643998"/>
    <n v="103680.102154701"/>
    <n v="373248.36775692197"/>
  </r>
  <r>
    <x v="0"/>
    <x v="0"/>
    <x v="0"/>
    <x v="3"/>
    <x v="13"/>
    <s v="SE3A"/>
    <x v="5"/>
    <x v="4"/>
    <x v="56"/>
    <x v="0"/>
    <x v="1"/>
    <n v="284.05507439643998"/>
    <n v="103680.102154701"/>
    <n v="373248.36775692197"/>
  </r>
  <r>
    <x v="0"/>
    <x v="0"/>
    <x v="0"/>
    <x v="3"/>
    <x v="13"/>
    <s v="SE3A"/>
    <x v="5"/>
    <x v="4"/>
    <x v="56"/>
    <x v="0"/>
    <x v="2"/>
    <n v="284.05507439643998"/>
    <n v="103680.102154701"/>
    <n v="373248.36775692197"/>
  </r>
  <r>
    <x v="0"/>
    <x v="0"/>
    <x v="0"/>
    <x v="3"/>
    <x v="13"/>
    <s v="SE3A"/>
    <x v="5"/>
    <x v="4"/>
    <x v="56"/>
    <x v="0"/>
    <x v="3"/>
    <n v="284.05507439643998"/>
    <n v="103680.102154701"/>
    <n v="373248.36775692197"/>
  </r>
  <r>
    <x v="0"/>
    <x v="0"/>
    <x v="0"/>
    <x v="3"/>
    <x v="13"/>
    <s v="SE3A"/>
    <x v="5"/>
    <x v="4"/>
    <x v="56"/>
    <x v="0"/>
    <x v="4"/>
    <n v="284.05507439643998"/>
    <n v="103680.102154701"/>
    <n v="373248.36775692197"/>
  </r>
  <r>
    <x v="0"/>
    <x v="0"/>
    <x v="0"/>
    <x v="3"/>
    <x v="13"/>
    <s v="SE3A"/>
    <x v="5"/>
    <x v="4"/>
    <x v="56"/>
    <x v="0"/>
    <x v="5"/>
    <n v="284.05507439643998"/>
    <n v="103680.102154701"/>
    <n v="373248.36775692197"/>
  </r>
  <r>
    <x v="0"/>
    <x v="0"/>
    <x v="0"/>
    <x v="3"/>
    <x v="13"/>
    <s v="SE3A"/>
    <x v="5"/>
    <x v="4"/>
    <x v="56"/>
    <x v="0"/>
    <x v="6"/>
    <n v="284.05507439643998"/>
    <n v="103680.102154701"/>
    <n v="373248.36775692197"/>
  </r>
  <r>
    <x v="0"/>
    <x v="0"/>
    <x v="0"/>
    <x v="3"/>
    <x v="13"/>
    <s v="SE3A"/>
    <x v="5"/>
    <x v="4"/>
    <x v="56"/>
    <x v="0"/>
    <x v="7"/>
    <n v="284.05507439643998"/>
    <n v="103680.102154701"/>
    <n v="373248.36775692197"/>
  </r>
  <r>
    <x v="0"/>
    <x v="0"/>
    <x v="0"/>
    <x v="3"/>
    <x v="13"/>
    <s v="SE3A"/>
    <x v="5"/>
    <x v="4"/>
    <x v="56"/>
    <x v="0"/>
    <x v="8"/>
    <n v="284.05507439643998"/>
    <n v="103680.102154701"/>
    <n v="373248.36775692197"/>
  </r>
  <r>
    <x v="0"/>
    <x v="0"/>
    <x v="0"/>
    <x v="3"/>
    <x v="13"/>
    <s v="SE3A"/>
    <x v="5"/>
    <x v="4"/>
    <x v="56"/>
    <x v="0"/>
    <x v="9"/>
    <n v="284.05507439643998"/>
    <n v="103680.102154701"/>
    <n v="373248.36775692197"/>
  </r>
  <r>
    <x v="0"/>
    <x v="0"/>
    <x v="0"/>
    <x v="3"/>
    <x v="13"/>
    <s v="SE3A"/>
    <x v="5"/>
    <x v="4"/>
    <x v="56"/>
    <x v="0"/>
    <x v="10"/>
    <n v="284.05507439643998"/>
    <n v="103680.102154701"/>
    <n v="373248.36775692197"/>
  </r>
  <r>
    <x v="0"/>
    <x v="0"/>
    <x v="0"/>
    <x v="3"/>
    <x v="13"/>
    <s v="SE3A"/>
    <x v="5"/>
    <x v="4"/>
    <x v="56"/>
    <x v="0"/>
    <x v="11"/>
    <n v="284.05507439643998"/>
    <n v="103680.102154701"/>
    <n v="373248.36775692197"/>
  </r>
  <r>
    <x v="0"/>
    <x v="0"/>
    <x v="0"/>
    <x v="3"/>
    <x v="13"/>
    <s v="SE3A"/>
    <x v="5"/>
    <x v="4"/>
    <x v="56"/>
    <x v="0"/>
    <x v="12"/>
    <n v="284.05507439643998"/>
    <n v="103680.102154701"/>
    <n v="373248.36775692197"/>
  </r>
  <r>
    <x v="0"/>
    <x v="0"/>
    <x v="0"/>
    <x v="3"/>
    <x v="13"/>
    <s v="SE3A"/>
    <x v="5"/>
    <x v="4"/>
    <x v="56"/>
    <x v="0"/>
    <x v="13"/>
    <n v="284.05507439643998"/>
    <n v="103680.102154701"/>
    <n v="373248.36775692197"/>
  </r>
  <r>
    <x v="0"/>
    <x v="0"/>
    <x v="0"/>
    <x v="3"/>
    <x v="13"/>
    <s v="SE3A"/>
    <x v="5"/>
    <x v="4"/>
    <x v="56"/>
    <x v="0"/>
    <x v="14"/>
    <n v="284.05507439643998"/>
    <n v="103680.102154701"/>
    <n v="373248.36775692197"/>
  </r>
  <r>
    <x v="0"/>
    <x v="0"/>
    <x v="0"/>
    <x v="3"/>
    <x v="13"/>
    <s v="SE3A"/>
    <x v="5"/>
    <x v="4"/>
    <x v="56"/>
    <x v="0"/>
    <x v="15"/>
    <n v="284.05507439643998"/>
    <n v="103680.102154701"/>
    <n v="373248.36775692197"/>
  </r>
  <r>
    <x v="0"/>
    <x v="0"/>
    <x v="0"/>
    <x v="3"/>
    <x v="13"/>
    <s v="SE3A"/>
    <x v="5"/>
    <x v="4"/>
    <x v="56"/>
    <x v="0"/>
    <x v="16"/>
    <n v="284.05507439643998"/>
    <n v="103680.102154701"/>
    <n v="373248.36775692197"/>
  </r>
  <r>
    <x v="0"/>
    <x v="0"/>
    <x v="0"/>
    <x v="3"/>
    <x v="13"/>
    <s v="SE3A"/>
    <x v="5"/>
    <x v="4"/>
    <x v="56"/>
    <x v="0"/>
    <x v="17"/>
    <n v="284.05507439643998"/>
    <n v="103680.102154701"/>
    <n v="373248.36775692197"/>
  </r>
  <r>
    <x v="0"/>
    <x v="0"/>
    <x v="0"/>
    <x v="3"/>
    <x v="13"/>
    <s v="SE3A"/>
    <x v="5"/>
    <x v="4"/>
    <x v="56"/>
    <x v="0"/>
    <x v="18"/>
    <n v="284.05507439643998"/>
    <n v="103680.102154701"/>
    <n v="373248.36775692197"/>
  </r>
  <r>
    <x v="0"/>
    <x v="0"/>
    <x v="0"/>
    <x v="3"/>
    <x v="13"/>
    <s v="SE3A"/>
    <x v="5"/>
    <x v="4"/>
    <x v="56"/>
    <x v="0"/>
    <x v="19"/>
    <n v="284.05507439643998"/>
    <n v="103680.102154701"/>
    <n v="373248.36775692197"/>
  </r>
  <r>
    <x v="0"/>
    <x v="0"/>
    <x v="0"/>
    <x v="3"/>
    <x v="13"/>
    <s v="SE3A"/>
    <x v="5"/>
    <x v="4"/>
    <x v="56"/>
    <x v="0"/>
    <x v="20"/>
    <n v="284.05507439643998"/>
    <n v="103680.102154701"/>
    <n v="373248.36775692197"/>
  </r>
  <r>
    <x v="0"/>
    <x v="0"/>
    <x v="0"/>
    <x v="3"/>
    <x v="13"/>
    <s v="SE3A"/>
    <x v="5"/>
    <x v="4"/>
    <x v="56"/>
    <x v="0"/>
    <x v="21"/>
    <n v="284.05507439643998"/>
    <n v="103680.102154701"/>
    <n v="373248.36775692197"/>
  </r>
  <r>
    <x v="0"/>
    <x v="0"/>
    <x v="0"/>
    <x v="3"/>
    <x v="13"/>
    <s v="SE3A"/>
    <x v="5"/>
    <x v="4"/>
    <x v="56"/>
    <x v="0"/>
    <x v="22"/>
    <n v="284.05507439643998"/>
    <n v="103680.102154701"/>
    <n v="373248.36775692197"/>
  </r>
  <r>
    <x v="0"/>
    <x v="0"/>
    <x v="0"/>
    <x v="3"/>
    <x v="13"/>
    <s v="SE3A"/>
    <x v="5"/>
    <x v="4"/>
    <x v="56"/>
    <x v="0"/>
    <x v="23"/>
    <n v="284.05507439643998"/>
    <n v="103680.102154701"/>
    <n v="373248.36775692197"/>
  </r>
  <r>
    <x v="0"/>
    <x v="0"/>
    <x v="0"/>
    <x v="3"/>
    <x v="13"/>
    <s v="SE3A"/>
    <x v="5"/>
    <x v="8"/>
    <x v="57"/>
    <x v="0"/>
    <x v="0"/>
    <n v="2010"/>
    <n v="733650"/>
    <n v="2641140"/>
  </r>
  <r>
    <x v="0"/>
    <x v="0"/>
    <x v="0"/>
    <x v="3"/>
    <x v="13"/>
    <s v="SE3A"/>
    <x v="5"/>
    <x v="8"/>
    <x v="57"/>
    <x v="0"/>
    <x v="2"/>
    <n v="1953.2190698185"/>
    <n v="712924.96048375103"/>
    <n v="2566529.8577414998"/>
  </r>
  <r>
    <x v="0"/>
    <x v="0"/>
    <x v="0"/>
    <x v="3"/>
    <x v="13"/>
    <s v="SE3A"/>
    <x v="5"/>
    <x v="8"/>
    <x v="57"/>
    <x v="0"/>
    <x v="4"/>
    <n v="1014.89628228453"/>
    <n v="370437.14303385402"/>
    <n v="1333573.71492188"/>
  </r>
  <r>
    <x v="0"/>
    <x v="0"/>
    <x v="0"/>
    <x v="3"/>
    <x v="13"/>
    <s v="SE3A"/>
    <x v="5"/>
    <x v="8"/>
    <x v="57"/>
    <x v="0"/>
    <x v="7"/>
    <n v="538.504208391661"/>
    <n v="196554.036062956"/>
    <n v="707594.52982664295"/>
  </r>
  <r>
    <x v="0"/>
    <x v="0"/>
    <x v="0"/>
    <x v="3"/>
    <x v="13"/>
    <s v="SE3A"/>
    <x v="5"/>
    <x v="8"/>
    <x v="57"/>
    <x v="0"/>
    <x v="8"/>
    <n v="559.73358193437105"/>
    <n v="204302.75740604501"/>
    <n v="735489.92666176404"/>
  </r>
  <r>
    <x v="0"/>
    <x v="0"/>
    <x v="0"/>
    <x v="3"/>
    <x v="13"/>
    <s v="SE3A"/>
    <x v="5"/>
    <x v="8"/>
    <x v="57"/>
    <x v="0"/>
    <x v="9"/>
    <n v="2010"/>
    <n v="733650"/>
    <n v="2641140"/>
  </r>
  <r>
    <x v="0"/>
    <x v="0"/>
    <x v="0"/>
    <x v="3"/>
    <x v="13"/>
    <s v="SE3A"/>
    <x v="5"/>
    <x v="8"/>
    <x v="57"/>
    <x v="0"/>
    <x v="10"/>
    <n v="2010"/>
    <n v="733650"/>
    <n v="2641140"/>
  </r>
  <r>
    <x v="0"/>
    <x v="0"/>
    <x v="0"/>
    <x v="3"/>
    <x v="13"/>
    <s v="SE3A"/>
    <x v="5"/>
    <x v="8"/>
    <x v="57"/>
    <x v="0"/>
    <x v="11"/>
    <n v="1152.9395229551501"/>
    <n v="420822.92587863101"/>
    <n v="1514962.53316307"/>
  </r>
  <r>
    <x v="0"/>
    <x v="0"/>
    <x v="0"/>
    <x v="3"/>
    <x v="13"/>
    <s v="SE3A"/>
    <x v="5"/>
    <x v="8"/>
    <x v="57"/>
    <x v="0"/>
    <x v="12"/>
    <n v="2010"/>
    <n v="733650"/>
    <n v="2641140"/>
  </r>
  <r>
    <x v="0"/>
    <x v="0"/>
    <x v="0"/>
    <x v="3"/>
    <x v="13"/>
    <s v="SE3A"/>
    <x v="5"/>
    <x v="8"/>
    <x v="57"/>
    <x v="0"/>
    <x v="13"/>
    <n v="2010"/>
    <n v="733650"/>
    <n v="2641140"/>
  </r>
  <r>
    <x v="0"/>
    <x v="0"/>
    <x v="0"/>
    <x v="3"/>
    <x v="13"/>
    <s v="SE3A"/>
    <x v="5"/>
    <x v="8"/>
    <x v="57"/>
    <x v="0"/>
    <x v="14"/>
    <n v="2010"/>
    <n v="733650"/>
    <n v="2641140"/>
  </r>
  <r>
    <x v="0"/>
    <x v="0"/>
    <x v="0"/>
    <x v="3"/>
    <x v="13"/>
    <s v="SE3A"/>
    <x v="5"/>
    <x v="8"/>
    <x v="57"/>
    <x v="0"/>
    <x v="15"/>
    <n v="132.136904483477"/>
    <n v="48229.970136469201"/>
    <n v="173627.89249128901"/>
  </r>
  <r>
    <x v="0"/>
    <x v="0"/>
    <x v="0"/>
    <x v="3"/>
    <x v="13"/>
    <s v="SE3A"/>
    <x v="5"/>
    <x v="8"/>
    <x v="57"/>
    <x v="0"/>
    <x v="16"/>
    <n v="120.76967969536"/>
    <n v="44080.933088806298"/>
    <n v="158691.359119703"/>
  </r>
  <r>
    <x v="0"/>
    <x v="0"/>
    <x v="0"/>
    <x v="3"/>
    <x v="13"/>
    <s v="SE3A"/>
    <x v="5"/>
    <x v="8"/>
    <x v="57"/>
    <x v="0"/>
    <x v="17"/>
    <n v="359.59908243357398"/>
    <n v="131253.66508825499"/>
    <n v="472513.19431771699"/>
  </r>
  <r>
    <x v="0"/>
    <x v="0"/>
    <x v="0"/>
    <x v="3"/>
    <x v="13"/>
    <s v="SE3A"/>
    <x v="5"/>
    <x v="8"/>
    <x v="57"/>
    <x v="0"/>
    <x v="18"/>
    <n v="1053.63421042747"/>
    <n v="384576.486806028"/>
    <n v="1384475.3525016999"/>
  </r>
  <r>
    <x v="0"/>
    <x v="0"/>
    <x v="0"/>
    <x v="3"/>
    <x v="13"/>
    <s v="SE3A"/>
    <x v="5"/>
    <x v="8"/>
    <x v="57"/>
    <x v="0"/>
    <x v="19"/>
    <n v="1829.5073530976899"/>
    <n v="667770.18388065498"/>
    <n v="2403972.6619703602"/>
  </r>
  <r>
    <x v="0"/>
    <x v="0"/>
    <x v="0"/>
    <x v="3"/>
    <x v="13"/>
    <s v="SE3A"/>
    <x v="5"/>
    <x v="8"/>
    <x v="57"/>
    <x v="0"/>
    <x v="20"/>
    <n v="2010"/>
    <n v="733650"/>
    <n v="2641140"/>
  </r>
  <r>
    <x v="0"/>
    <x v="0"/>
    <x v="0"/>
    <x v="3"/>
    <x v="13"/>
    <s v="SE3A"/>
    <x v="5"/>
    <x v="8"/>
    <x v="57"/>
    <x v="0"/>
    <x v="21"/>
    <n v="765.88057066734996"/>
    <n v="279546.40829358302"/>
    <n v="1006367.0698569"/>
  </r>
  <r>
    <x v="0"/>
    <x v="0"/>
    <x v="0"/>
    <x v="3"/>
    <x v="13"/>
    <s v="SE3A"/>
    <x v="5"/>
    <x v="8"/>
    <x v="57"/>
    <x v="0"/>
    <x v="22"/>
    <n v="1230.8735770762"/>
    <n v="449268.85563281202"/>
    <n v="1617367.8802781201"/>
  </r>
  <r>
    <x v="0"/>
    <x v="0"/>
    <x v="0"/>
    <x v="3"/>
    <x v="13"/>
    <s v="SE3A"/>
    <x v="5"/>
    <x v="8"/>
    <x v="57"/>
    <x v="0"/>
    <x v="23"/>
    <n v="2010"/>
    <n v="733650"/>
    <n v="2641140"/>
  </r>
  <r>
    <x v="0"/>
    <x v="0"/>
    <x v="0"/>
    <x v="3"/>
    <x v="13"/>
    <s v="SE3A"/>
    <x v="6"/>
    <x v="5"/>
    <x v="11"/>
    <x v="0"/>
    <x v="0"/>
    <n v="351.698565228078"/>
    <n v="128369.97630824801"/>
    <n v="462131.91470969399"/>
  </r>
  <r>
    <x v="0"/>
    <x v="0"/>
    <x v="0"/>
    <x v="3"/>
    <x v="13"/>
    <s v="SE3A"/>
    <x v="6"/>
    <x v="5"/>
    <x v="11"/>
    <x v="0"/>
    <x v="1"/>
    <n v="417.27428866233402"/>
    <n v="152305.11536175199"/>
    <n v="548298.41530230595"/>
  </r>
  <r>
    <x v="0"/>
    <x v="0"/>
    <x v="0"/>
    <x v="3"/>
    <x v="13"/>
    <s v="SE3A"/>
    <x v="6"/>
    <x v="5"/>
    <x v="11"/>
    <x v="0"/>
    <x v="2"/>
    <n v="486.32383603682302"/>
    <n v="177508.20015344"/>
    <n v="639029.52055238502"/>
  </r>
  <r>
    <x v="0"/>
    <x v="0"/>
    <x v="0"/>
    <x v="3"/>
    <x v="13"/>
    <s v="SE3A"/>
    <x v="6"/>
    <x v="5"/>
    <x v="11"/>
    <x v="0"/>
    <x v="3"/>
    <n v="540.50038316766199"/>
    <n v="197282.639856197"/>
    <n v="710217.50348230801"/>
  </r>
  <r>
    <x v="0"/>
    <x v="0"/>
    <x v="0"/>
    <x v="3"/>
    <x v="13"/>
    <s v="SE3A"/>
    <x v="6"/>
    <x v="5"/>
    <x v="11"/>
    <x v="0"/>
    <x v="4"/>
    <n v="568.61187696718196"/>
    <n v="207543.33509302101"/>
    <n v="747156.00633487699"/>
  </r>
  <r>
    <x v="0"/>
    <x v="0"/>
    <x v="0"/>
    <x v="3"/>
    <x v="13"/>
    <s v="SE3A"/>
    <x v="6"/>
    <x v="5"/>
    <x v="11"/>
    <x v="0"/>
    <x v="5"/>
    <n v="581.33661964900796"/>
    <n v="212187.86617188799"/>
    <n v="763876.31821879698"/>
  </r>
  <r>
    <x v="0"/>
    <x v="0"/>
    <x v="0"/>
    <x v="3"/>
    <x v="13"/>
    <s v="SE3A"/>
    <x v="6"/>
    <x v="5"/>
    <x v="11"/>
    <x v="0"/>
    <x v="6"/>
    <n v="602.41306258519296"/>
    <n v="219880.76784359501"/>
    <n v="791570.76423694298"/>
  </r>
  <r>
    <x v="0"/>
    <x v="0"/>
    <x v="0"/>
    <x v="3"/>
    <x v="13"/>
    <s v="SE3A"/>
    <x v="6"/>
    <x v="5"/>
    <x v="11"/>
    <x v="0"/>
    <x v="7"/>
    <n v="611.20773403643796"/>
    <n v="223090.8229233"/>
    <n v="803126.96252387902"/>
  </r>
  <r>
    <x v="0"/>
    <x v="0"/>
    <x v="0"/>
    <x v="3"/>
    <x v="13"/>
    <s v="SE3A"/>
    <x v="6"/>
    <x v="5"/>
    <x v="11"/>
    <x v="0"/>
    <x v="8"/>
    <n v="609.99460353404902"/>
    <n v="222648.03028992799"/>
    <n v="801532.90904374095"/>
  </r>
  <r>
    <x v="0"/>
    <x v="0"/>
    <x v="0"/>
    <x v="3"/>
    <x v="13"/>
    <s v="SE3A"/>
    <x v="6"/>
    <x v="5"/>
    <x v="11"/>
    <x v="0"/>
    <x v="9"/>
    <n v="590.54374681097397"/>
    <n v="215548.46758600601"/>
    <n v="775974.48330961994"/>
  </r>
  <r>
    <x v="0"/>
    <x v="0"/>
    <x v="0"/>
    <x v="3"/>
    <x v="13"/>
    <s v="SE3A"/>
    <x v="6"/>
    <x v="5"/>
    <x v="11"/>
    <x v="0"/>
    <x v="10"/>
    <n v="596.03025430196601"/>
    <n v="217551.042820217"/>
    <n v="783183.75415278296"/>
  </r>
  <r>
    <x v="0"/>
    <x v="0"/>
    <x v="0"/>
    <x v="3"/>
    <x v="13"/>
    <s v="SE3A"/>
    <x v="6"/>
    <x v="5"/>
    <x v="11"/>
    <x v="0"/>
    <x v="11"/>
    <n v="606.07560850139703"/>
    <n v="221217.59710300999"/>
    <n v="796383.34957083606"/>
  </r>
  <r>
    <x v="0"/>
    <x v="0"/>
    <x v="0"/>
    <x v="3"/>
    <x v="13"/>
    <s v="SE3A"/>
    <x v="6"/>
    <x v="5"/>
    <x v="11"/>
    <x v="0"/>
    <x v="12"/>
    <n v="619.12676627702695"/>
    <n v="225981.26969111501"/>
    <n v="813532.57088801404"/>
  </r>
  <r>
    <x v="0"/>
    <x v="0"/>
    <x v="0"/>
    <x v="3"/>
    <x v="13"/>
    <s v="SE3A"/>
    <x v="6"/>
    <x v="5"/>
    <x v="11"/>
    <x v="0"/>
    <x v="13"/>
    <n v="634.56435270855002"/>
    <n v="231615.988738621"/>
    <n v="833817.55945903505"/>
  </r>
  <r>
    <x v="0"/>
    <x v="0"/>
    <x v="0"/>
    <x v="3"/>
    <x v="13"/>
    <s v="SE3A"/>
    <x v="6"/>
    <x v="5"/>
    <x v="11"/>
    <x v="0"/>
    <x v="14"/>
    <n v="618.85154336253697"/>
    <n v="225880.813327326"/>
    <n v="813170.92797837302"/>
  </r>
  <r>
    <x v="0"/>
    <x v="0"/>
    <x v="0"/>
    <x v="3"/>
    <x v="13"/>
    <s v="SE3A"/>
    <x v="6"/>
    <x v="5"/>
    <x v="11"/>
    <x v="0"/>
    <x v="15"/>
    <n v="617.17312710865804"/>
    <n v="225268.19139466001"/>
    <n v="810965.48902077705"/>
  </r>
  <r>
    <x v="0"/>
    <x v="0"/>
    <x v="0"/>
    <x v="3"/>
    <x v="13"/>
    <s v="SE3A"/>
    <x v="6"/>
    <x v="5"/>
    <x v="11"/>
    <x v="0"/>
    <x v="16"/>
    <n v="600.52272751766895"/>
    <n v="219190.795543949"/>
    <n v="789086.86395821802"/>
  </r>
  <r>
    <x v="0"/>
    <x v="0"/>
    <x v="0"/>
    <x v="3"/>
    <x v="13"/>
    <s v="SE3A"/>
    <x v="6"/>
    <x v="5"/>
    <x v="11"/>
    <x v="0"/>
    <x v="17"/>
    <n v="546.48011479279796"/>
    <n v="199465.241899371"/>
    <n v="718074.87083773699"/>
  </r>
  <r>
    <x v="0"/>
    <x v="0"/>
    <x v="0"/>
    <x v="3"/>
    <x v="13"/>
    <s v="SE3A"/>
    <x v="6"/>
    <x v="5"/>
    <x v="11"/>
    <x v="0"/>
    <x v="18"/>
    <n v="455.90838089377399"/>
    <n v="166406.559026228"/>
    <n v="599063.61249441898"/>
  </r>
  <r>
    <x v="0"/>
    <x v="0"/>
    <x v="0"/>
    <x v="3"/>
    <x v="13"/>
    <s v="SE3A"/>
    <x v="6"/>
    <x v="5"/>
    <x v="11"/>
    <x v="0"/>
    <x v="19"/>
    <n v="448.14734416225599"/>
    <n v="163573.78061922401"/>
    <n v="588865.61022920499"/>
  </r>
  <r>
    <x v="0"/>
    <x v="0"/>
    <x v="0"/>
    <x v="3"/>
    <x v="13"/>
    <s v="SE3A"/>
    <x v="6"/>
    <x v="5"/>
    <x v="11"/>
    <x v="0"/>
    <x v="20"/>
    <n v="431.53828400842298"/>
    <n v="157511.47366307501"/>
    <n v="567041.30518706795"/>
  </r>
  <r>
    <x v="0"/>
    <x v="0"/>
    <x v="0"/>
    <x v="3"/>
    <x v="13"/>
    <s v="SE3A"/>
    <x v="6"/>
    <x v="5"/>
    <x v="11"/>
    <x v="0"/>
    <x v="21"/>
    <n v="407.102767402746"/>
    <n v="148592.51010200201"/>
    <n v="534933.036367208"/>
  </r>
  <r>
    <x v="0"/>
    <x v="0"/>
    <x v="0"/>
    <x v="3"/>
    <x v="13"/>
    <s v="SE3A"/>
    <x v="6"/>
    <x v="5"/>
    <x v="11"/>
    <x v="0"/>
    <x v="22"/>
    <n v="409.584293735551"/>
    <n v="149498.26721347601"/>
    <n v="538193.76196851395"/>
  </r>
  <r>
    <x v="0"/>
    <x v="0"/>
    <x v="0"/>
    <x v="3"/>
    <x v="13"/>
    <s v="SE3A"/>
    <x v="6"/>
    <x v="5"/>
    <x v="11"/>
    <x v="0"/>
    <x v="23"/>
    <n v="363.44451306945302"/>
    <n v="132657.24727035"/>
    <n v="477566.090173262"/>
  </r>
  <r>
    <x v="0"/>
    <x v="0"/>
    <x v="0"/>
    <x v="3"/>
    <x v="13"/>
    <s v="SE3_EL"/>
    <x v="0"/>
    <x v="0"/>
    <x v="66"/>
    <x v="0"/>
    <x v="0"/>
    <n v="5.3937412570715502"/>
    <n v="1968.71555883112"/>
    <n v="7087.3760117920201"/>
  </r>
  <r>
    <x v="0"/>
    <x v="0"/>
    <x v="0"/>
    <x v="3"/>
    <x v="13"/>
    <s v="SE3_EL"/>
    <x v="0"/>
    <x v="0"/>
    <x v="66"/>
    <x v="0"/>
    <x v="1"/>
    <n v="6.7840092490952699"/>
    <n v="2476.1633759197698"/>
    <n v="8914.1881533111791"/>
  </r>
  <r>
    <x v="0"/>
    <x v="0"/>
    <x v="0"/>
    <x v="3"/>
    <x v="13"/>
    <s v="SE3_EL"/>
    <x v="0"/>
    <x v="0"/>
    <x v="66"/>
    <x v="0"/>
    <x v="2"/>
    <n v="6.7840092490952699"/>
    <n v="2476.1633759197698"/>
    <n v="8914.1881533111791"/>
  </r>
  <r>
    <x v="0"/>
    <x v="0"/>
    <x v="0"/>
    <x v="3"/>
    <x v="13"/>
    <s v="SE3_EL"/>
    <x v="0"/>
    <x v="0"/>
    <x v="66"/>
    <x v="0"/>
    <x v="3"/>
    <n v="6.7840092490952699"/>
    <n v="2476.1633759197698"/>
    <n v="8914.1881533111791"/>
  </r>
  <r>
    <x v="0"/>
    <x v="0"/>
    <x v="0"/>
    <x v="3"/>
    <x v="13"/>
    <s v="SE3_EL"/>
    <x v="0"/>
    <x v="0"/>
    <x v="66"/>
    <x v="0"/>
    <x v="4"/>
    <n v="6.7840092490952699"/>
    <n v="2476.1633759197698"/>
    <n v="8914.1881533111791"/>
  </r>
  <r>
    <x v="0"/>
    <x v="0"/>
    <x v="0"/>
    <x v="3"/>
    <x v="13"/>
    <s v="SE3_EL"/>
    <x v="0"/>
    <x v="0"/>
    <x v="66"/>
    <x v="0"/>
    <x v="5"/>
    <n v="6.7840092490952699"/>
    <n v="2476.1633759197698"/>
    <n v="8914.1881533111791"/>
  </r>
  <r>
    <x v="0"/>
    <x v="0"/>
    <x v="0"/>
    <x v="3"/>
    <x v="13"/>
    <s v="SE3_EL"/>
    <x v="0"/>
    <x v="0"/>
    <x v="66"/>
    <x v="0"/>
    <x v="6"/>
    <n v="6.7840092490952699"/>
    <n v="2476.1633759197698"/>
    <n v="8914.1881533111791"/>
  </r>
  <r>
    <x v="0"/>
    <x v="0"/>
    <x v="0"/>
    <x v="3"/>
    <x v="13"/>
    <s v="SE3_EL"/>
    <x v="0"/>
    <x v="0"/>
    <x v="66"/>
    <x v="0"/>
    <x v="7"/>
    <n v="6.7840092490952699"/>
    <n v="2476.1633759197698"/>
    <n v="8914.1881533111791"/>
  </r>
  <r>
    <x v="0"/>
    <x v="0"/>
    <x v="0"/>
    <x v="3"/>
    <x v="13"/>
    <s v="SE3_EL"/>
    <x v="0"/>
    <x v="0"/>
    <x v="66"/>
    <x v="0"/>
    <x v="8"/>
    <n v="6.7840092490952699"/>
    <n v="2476.1633759197698"/>
    <n v="8914.1881533111791"/>
  </r>
  <r>
    <x v="0"/>
    <x v="0"/>
    <x v="0"/>
    <x v="3"/>
    <x v="13"/>
    <s v="SE3_EL"/>
    <x v="0"/>
    <x v="0"/>
    <x v="66"/>
    <x v="0"/>
    <x v="9"/>
    <n v="6.7840092490952699"/>
    <n v="2476.1633759197698"/>
    <n v="8914.1881533111791"/>
  </r>
  <r>
    <x v="0"/>
    <x v="0"/>
    <x v="0"/>
    <x v="3"/>
    <x v="13"/>
    <s v="SE3_EL"/>
    <x v="0"/>
    <x v="0"/>
    <x v="66"/>
    <x v="0"/>
    <x v="10"/>
    <n v="6.7840092490952699"/>
    <n v="2476.1633759197698"/>
    <n v="8914.1881533111791"/>
  </r>
  <r>
    <x v="0"/>
    <x v="0"/>
    <x v="0"/>
    <x v="3"/>
    <x v="13"/>
    <s v="SE3_EL"/>
    <x v="0"/>
    <x v="0"/>
    <x v="66"/>
    <x v="0"/>
    <x v="11"/>
    <n v="6.7840092490952699"/>
    <n v="2476.1633759197698"/>
    <n v="8914.1881533111791"/>
  </r>
  <r>
    <x v="0"/>
    <x v="0"/>
    <x v="0"/>
    <x v="3"/>
    <x v="13"/>
    <s v="SE3_EL"/>
    <x v="0"/>
    <x v="0"/>
    <x v="66"/>
    <x v="0"/>
    <x v="12"/>
    <n v="6.7840092490952699"/>
    <n v="2476.1633759197698"/>
    <n v="8914.1881533111791"/>
  </r>
  <r>
    <x v="0"/>
    <x v="0"/>
    <x v="0"/>
    <x v="3"/>
    <x v="13"/>
    <s v="SE3_EL"/>
    <x v="0"/>
    <x v="0"/>
    <x v="66"/>
    <x v="0"/>
    <x v="13"/>
    <n v="6.7840092490952699"/>
    <n v="2476.1633759197698"/>
    <n v="8914.1881533111791"/>
  </r>
  <r>
    <x v="0"/>
    <x v="0"/>
    <x v="0"/>
    <x v="3"/>
    <x v="13"/>
    <s v="SE3_EL"/>
    <x v="0"/>
    <x v="0"/>
    <x v="66"/>
    <x v="0"/>
    <x v="14"/>
    <n v="6.7840092490952699"/>
    <n v="2476.1633759197698"/>
    <n v="8914.1881533111791"/>
  </r>
  <r>
    <x v="0"/>
    <x v="0"/>
    <x v="0"/>
    <x v="3"/>
    <x v="13"/>
    <s v="SE3_EL"/>
    <x v="0"/>
    <x v="0"/>
    <x v="66"/>
    <x v="0"/>
    <x v="15"/>
    <n v="6.7840092490952699"/>
    <n v="2476.1633759197698"/>
    <n v="8914.1881533111791"/>
  </r>
  <r>
    <x v="0"/>
    <x v="0"/>
    <x v="0"/>
    <x v="3"/>
    <x v="13"/>
    <s v="SE3_EL"/>
    <x v="0"/>
    <x v="0"/>
    <x v="66"/>
    <x v="0"/>
    <x v="16"/>
    <n v="6.7840092490952699"/>
    <n v="2476.1633759197698"/>
    <n v="8914.1881533111791"/>
  </r>
  <r>
    <x v="0"/>
    <x v="0"/>
    <x v="0"/>
    <x v="3"/>
    <x v="13"/>
    <s v="SE3_EL"/>
    <x v="0"/>
    <x v="0"/>
    <x v="66"/>
    <x v="0"/>
    <x v="17"/>
    <n v="6.7840092490952699"/>
    <n v="2476.1633759197698"/>
    <n v="8914.1881533111791"/>
  </r>
  <r>
    <x v="0"/>
    <x v="0"/>
    <x v="0"/>
    <x v="3"/>
    <x v="13"/>
    <s v="SE3_EL"/>
    <x v="0"/>
    <x v="0"/>
    <x v="66"/>
    <x v="0"/>
    <x v="18"/>
    <n v="6.7840092490952699"/>
    <n v="2476.1633759197698"/>
    <n v="8914.1881533111791"/>
  </r>
  <r>
    <x v="0"/>
    <x v="0"/>
    <x v="0"/>
    <x v="3"/>
    <x v="13"/>
    <s v="SE3_EL"/>
    <x v="0"/>
    <x v="0"/>
    <x v="66"/>
    <x v="0"/>
    <x v="19"/>
    <n v="6.7840092490952699"/>
    <n v="2476.1633759197698"/>
    <n v="8914.1881533111791"/>
  </r>
  <r>
    <x v="0"/>
    <x v="0"/>
    <x v="0"/>
    <x v="3"/>
    <x v="13"/>
    <s v="SE3_EL"/>
    <x v="0"/>
    <x v="0"/>
    <x v="66"/>
    <x v="0"/>
    <x v="20"/>
    <n v="6.7840092490952699"/>
    <n v="2476.1633759197698"/>
    <n v="8914.1881533111791"/>
  </r>
  <r>
    <x v="0"/>
    <x v="0"/>
    <x v="0"/>
    <x v="3"/>
    <x v="13"/>
    <s v="SE3_EL"/>
    <x v="0"/>
    <x v="0"/>
    <x v="66"/>
    <x v="0"/>
    <x v="21"/>
    <n v="6.7840092490952699"/>
    <n v="2476.1633759197698"/>
    <n v="8914.1881533111791"/>
  </r>
  <r>
    <x v="0"/>
    <x v="0"/>
    <x v="0"/>
    <x v="3"/>
    <x v="13"/>
    <s v="SE3_EL"/>
    <x v="0"/>
    <x v="0"/>
    <x v="66"/>
    <x v="0"/>
    <x v="22"/>
    <n v="6.7840092490952699"/>
    <n v="2476.1633759197698"/>
    <n v="8914.1881533111791"/>
  </r>
  <r>
    <x v="0"/>
    <x v="0"/>
    <x v="0"/>
    <x v="3"/>
    <x v="13"/>
    <s v="SE3_EL"/>
    <x v="0"/>
    <x v="0"/>
    <x v="66"/>
    <x v="0"/>
    <x v="23"/>
    <n v="6.7840092490952699"/>
    <n v="2476.1633759197698"/>
    <n v="8914.1881533111791"/>
  </r>
  <r>
    <x v="0"/>
    <x v="0"/>
    <x v="0"/>
    <x v="3"/>
    <x v="13"/>
    <s v="SE3_EL"/>
    <x v="1"/>
    <x v="1"/>
    <x v="58"/>
    <x v="0"/>
    <x v="7"/>
    <n v="-44.784324456320903"/>
    <n v="-16346.278426557101"/>
    <n v="-58846.602335605698"/>
  </r>
  <r>
    <x v="0"/>
    <x v="0"/>
    <x v="0"/>
    <x v="3"/>
    <x v="13"/>
    <s v="SE3_EL"/>
    <x v="1"/>
    <x v="1"/>
    <x v="58"/>
    <x v="0"/>
    <x v="8"/>
    <n v="-19.001390103652799"/>
    <n v="-6935.5073878332696"/>
    <n v="-24967.8265961998"/>
  </r>
  <r>
    <x v="0"/>
    <x v="0"/>
    <x v="0"/>
    <x v="3"/>
    <x v="13"/>
    <s v="SE3_EL"/>
    <x v="1"/>
    <x v="1"/>
    <x v="67"/>
    <x v="0"/>
    <x v="0"/>
    <n v="-16.436363636363598"/>
    <n v="-5999.2727272727298"/>
    <n v="-21597.381818181799"/>
  </r>
  <r>
    <x v="0"/>
    <x v="0"/>
    <x v="0"/>
    <x v="3"/>
    <x v="13"/>
    <s v="SE3_EL"/>
    <x v="1"/>
    <x v="1"/>
    <x v="67"/>
    <x v="0"/>
    <x v="1"/>
    <n v="-16.436363636363598"/>
    <n v="-5999.2727272727298"/>
    <n v="-21597.381818181799"/>
  </r>
  <r>
    <x v="0"/>
    <x v="0"/>
    <x v="0"/>
    <x v="3"/>
    <x v="13"/>
    <s v="SE3_EL"/>
    <x v="1"/>
    <x v="1"/>
    <x v="67"/>
    <x v="0"/>
    <x v="2"/>
    <n v="-16.436363636363598"/>
    <n v="-5999.2727272727298"/>
    <n v="-21597.381818181799"/>
  </r>
  <r>
    <x v="0"/>
    <x v="0"/>
    <x v="0"/>
    <x v="3"/>
    <x v="13"/>
    <s v="SE3_EL"/>
    <x v="1"/>
    <x v="1"/>
    <x v="67"/>
    <x v="0"/>
    <x v="3"/>
    <n v="-16.436363636363598"/>
    <n v="-5999.2727272727298"/>
    <n v="-21597.381818181799"/>
  </r>
  <r>
    <x v="0"/>
    <x v="0"/>
    <x v="0"/>
    <x v="3"/>
    <x v="13"/>
    <s v="SE3_EL"/>
    <x v="1"/>
    <x v="1"/>
    <x v="67"/>
    <x v="0"/>
    <x v="4"/>
    <n v="-16.436363636363598"/>
    <n v="-5999.2727272727298"/>
    <n v="-21597.381818181799"/>
  </r>
  <r>
    <x v="0"/>
    <x v="0"/>
    <x v="0"/>
    <x v="3"/>
    <x v="13"/>
    <s v="SE3_EL"/>
    <x v="1"/>
    <x v="1"/>
    <x v="67"/>
    <x v="0"/>
    <x v="5"/>
    <n v="-16.436363636363598"/>
    <n v="-5999.2727272727298"/>
    <n v="-21597.381818181799"/>
  </r>
  <r>
    <x v="0"/>
    <x v="0"/>
    <x v="0"/>
    <x v="3"/>
    <x v="13"/>
    <s v="SE3_EL"/>
    <x v="1"/>
    <x v="1"/>
    <x v="67"/>
    <x v="0"/>
    <x v="6"/>
    <n v="-16.436363636363598"/>
    <n v="-5999.2727272727298"/>
    <n v="-21597.381818181799"/>
  </r>
  <r>
    <x v="0"/>
    <x v="0"/>
    <x v="0"/>
    <x v="3"/>
    <x v="13"/>
    <s v="SE3_EL"/>
    <x v="1"/>
    <x v="1"/>
    <x v="67"/>
    <x v="0"/>
    <x v="7"/>
    <n v="-16.436363636363598"/>
    <n v="-5999.2727272727298"/>
    <n v="-21597.381818181799"/>
  </r>
  <r>
    <x v="0"/>
    <x v="0"/>
    <x v="0"/>
    <x v="3"/>
    <x v="13"/>
    <s v="SE3_EL"/>
    <x v="1"/>
    <x v="1"/>
    <x v="67"/>
    <x v="0"/>
    <x v="8"/>
    <n v="-16.436363636363598"/>
    <n v="-5999.2727272727298"/>
    <n v="-21597.381818181799"/>
  </r>
  <r>
    <x v="0"/>
    <x v="0"/>
    <x v="0"/>
    <x v="3"/>
    <x v="13"/>
    <s v="SE3_EL"/>
    <x v="1"/>
    <x v="1"/>
    <x v="67"/>
    <x v="0"/>
    <x v="9"/>
    <n v="-16.436363636363598"/>
    <n v="-5999.2727272727298"/>
    <n v="-21597.381818181799"/>
  </r>
  <r>
    <x v="0"/>
    <x v="0"/>
    <x v="0"/>
    <x v="3"/>
    <x v="13"/>
    <s v="SE3_EL"/>
    <x v="1"/>
    <x v="1"/>
    <x v="67"/>
    <x v="0"/>
    <x v="10"/>
    <n v="-16.436363636363598"/>
    <n v="-5999.2727272727298"/>
    <n v="-21597.381818181799"/>
  </r>
  <r>
    <x v="0"/>
    <x v="0"/>
    <x v="0"/>
    <x v="3"/>
    <x v="13"/>
    <s v="SE3_EL"/>
    <x v="1"/>
    <x v="1"/>
    <x v="67"/>
    <x v="0"/>
    <x v="11"/>
    <n v="-16.436363636363598"/>
    <n v="-5999.2727272727298"/>
    <n v="-21597.381818181799"/>
  </r>
  <r>
    <x v="0"/>
    <x v="0"/>
    <x v="0"/>
    <x v="3"/>
    <x v="13"/>
    <s v="SE3_EL"/>
    <x v="1"/>
    <x v="1"/>
    <x v="67"/>
    <x v="0"/>
    <x v="12"/>
    <n v="-16.436363636363598"/>
    <n v="-5999.2727272727298"/>
    <n v="-21597.381818181799"/>
  </r>
  <r>
    <x v="0"/>
    <x v="0"/>
    <x v="0"/>
    <x v="3"/>
    <x v="13"/>
    <s v="SE3_EL"/>
    <x v="1"/>
    <x v="1"/>
    <x v="67"/>
    <x v="0"/>
    <x v="13"/>
    <n v="-16.436363636363598"/>
    <n v="-5999.2727272727298"/>
    <n v="-21597.381818181799"/>
  </r>
  <r>
    <x v="0"/>
    <x v="0"/>
    <x v="0"/>
    <x v="3"/>
    <x v="13"/>
    <s v="SE3_EL"/>
    <x v="1"/>
    <x v="1"/>
    <x v="67"/>
    <x v="0"/>
    <x v="14"/>
    <n v="-16.436363636363598"/>
    <n v="-5999.2727272727298"/>
    <n v="-21597.381818181799"/>
  </r>
  <r>
    <x v="0"/>
    <x v="0"/>
    <x v="0"/>
    <x v="3"/>
    <x v="13"/>
    <s v="SE3_EL"/>
    <x v="1"/>
    <x v="1"/>
    <x v="67"/>
    <x v="0"/>
    <x v="15"/>
    <n v="-16.436363636363598"/>
    <n v="-5999.2727272727298"/>
    <n v="-21597.381818181799"/>
  </r>
  <r>
    <x v="0"/>
    <x v="0"/>
    <x v="0"/>
    <x v="3"/>
    <x v="13"/>
    <s v="SE3_EL"/>
    <x v="1"/>
    <x v="1"/>
    <x v="67"/>
    <x v="0"/>
    <x v="16"/>
    <n v="-16.436363636363598"/>
    <n v="-5999.2727272727298"/>
    <n v="-21597.381818181799"/>
  </r>
  <r>
    <x v="0"/>
    <x v="0"/>
    <x v="0"/>
    <x v="3"/>
    <x v="13"/>
    <s v="SE3_EL"/>
    <x v="1"/>
    <x v="1"/>
    <x v="67"/>
    <x v="0"/>
    <x v="17"/>
    <n v="-16.436363636363598"/>
    <n v="-5999.2727272727298"/>
    <n v="-21597.381818181799"/>
  </r>
  <r>
    <x v="0"/>
    <x v="0"/>
    <x v="0"/>
    <x v="3"/>
    <x v="13"/>
    <s v="SE3_EL"/>
    <x v="1"/>
    <x v="1"/>
    <x v="67"/>
    <x v="0"/>
    <x v="18"/>
    <n v="-16.436363636363598"/>
    <n v="-5999.2727272727298"/>
    <n v="-21597.381818181799"/>
  </r>
  <r>
    <x v="0"/>
    <x v="0"/>
    <x v="0"/>
    <x v="3"/>
    <x v="13"/>
    <s v="SE3_EL"/>
    <x v="1"/>
    <x v="1"/>
    <x v="67"/>
    <x v="0"/>
    <x v="19"/>
    <n v="-16.436363636363598"/>
    <n v="-5999.2727272727298"/>
    <n v="-21597.381818181799"/>
  </r>
  <r>
    <x v="0"/>
    <x v="0"/>
    <x v="0"/>
    <x v="3"/>
    <x v="13"/>
    <s v="SE3_EL"/>
    <x v="1"/>
    <x v="1"/>
    <x v="67"/>
    <x v="0"/>
    <x v="20"/>
    <n v="-16.436363636363598"/>
    <n v="-5999.2727272727298"/>
    <n v="-21597.381818181799"/>
  </r>
  <r>
    <x v="0"/>
    <x v="0"/>
    <x v="0"/>
    <x v="3"/>
    <x v="13"/>
    <s v="SE3_EL"/>
    <x v="1"/>
    <x v="1"/>
    <x v="67"/>
    <x v="0"/>
    <x v="21"/>
    <n v="-16.436363636363598"/>
    <n v="-5999.2727272727298"/>
    <n v="-21597.381818181799"/>
  </r>
  <r>
    <x v="0"/>
    <x v="0"/>
    <x v="0"/>
    <x v="3"/>
    <x v="13"/>
    <s v="SE3_EL"/>
    <x v="1"/>
    <x v="1"/>
    <x v="67"/>
    <x v="0"/>
    <x v="22"/>
    <n v="-16.436363636363598"/>
    <n v="-5999.2727272727298"/>
    <n v="-21597.381818181799"/>
  </r>
  <r>
    <x v="0"/>
    <x v="0"/>
    <x v="0"/>
    <x v="3"/>
    <x v="13"/>
    <s v="SE3_EL"/>
    <x v="1"/>
    <x v="1"/>
    <x v="67"/>
    <x v="0"/>
    <x v="23"/>
    <n v="-16.436363636363598"/>
    <n v="-5999.2727272727298"/>
    <n v="-21597.381818181799"/>
  </r>
  <r>
    <x v="0"/>
    <x v="0"/>
    <x v="0"/>
    <x v="3"/>
    <x v="13"/>
    <s v="SE3_EL"/>
    <x v="2"/>
    <x v="2"/>
    <x v="61"/>
    <x v="0"/>
    <x v="0"/>
    <n v="41.809416227207599"/>
    <n v="15260.436922930799"/>
    <n v="54937.572922550797"/>
  </r>
  <r>
    <x v="0"/>
    <x v="0"/>
    <x v="0"/>
    <x v="3"/>
    <x v="13"/>
    <s v="SE3_EL"/>
    <x v="2"/>
    <x v="2"/>
    <x v="61"/>
    <x v="0"/>
    <x v="1"/>
    <n v="41.809416227207599"/>
    <n v="15260.436922930799"/>
    <n v="54937.572922550797"/>
  </r>
  <r>
    <x v="0"/>
    <x v="0"/>
    <x v="0"/>
    <x v="3"/>
    <x v="13"/>
    <s v="SE3_EL"/>
    <x v="2"/>
    <x v="2"/>
    <x v="61"/>
    <x v="0"/>
    <x v="2"/>
    <n v="41.809416227207599"/>
    <n v="15260.436922930799"/>
    <n v="54937.572922550797"/>
  </r>
  <r>
    <x v="0"/>
    <x v="0"/>
    <x v="0"/>
    <x v="3"/>
    <x v="13"/>
    <s v="SE3_EL"/>
    <x v="2"/>
    <x v="2"/>
    <x v="61"/>
    <x v="0"/>
    <x v="3"/>
    <n v="41.809416227207599"/>
    <n v="15260.436922930799"/>
    <n v="54937.572922550797"/>
  </r>
  <r>
    <x v="0"/>
    <x v="0"/>
    <x v="0"/>
    <x v="3"/>
    <x v="13"/>
    <s v="SE3_EL"/>
    <x v="2"/>
    <x v="2"/>
    <x v="61"/>
    <x v="0"/>
    <x v="4"/>
    <n v="41.809416227207599"/>
    <n v="15260.436922930799"/>
    <n v="54937.572922550797"/>
  </r>
  <r>
    <x v="0"/>
    <x v="0"/>
    <x v="0"/>
    <x v="3"/>
    <x v="13"/>
    <s v="SE3_EL"/>
    <x v="2"/>
    <x v="2"/>
    <x v="61"/>
    <x v="0"/>
    <x v="5"/>
    <n v="41.809416227207599"/>
    <n v="15260.436922930799"/>
    <n v="54937.572922550797"/>
  </r>
  <r>
    <x v="0"/>
    <x v="0"/>
    <x v="0"/>
    <x v="3"/>
    <x v="13"/>
    <s v="SE3_EL"/>
    <x v="2"/>
    <x v="2"/>
    <x v="61"/>
    <x v="0"/>
    <x v="6"/>
    <n v="41.809416227207599"/>
    <n v="15260.436922930799"/>
    <n v="54937.572922550797"/>
  </r>
  <r>
    <x v="0"/>
    <x v="0"/>
    <x v="0"/>
    <x v="3"/>
    <x v="13"/>
    <s v="SE3_EL"/>
    <x v="2"/>
    <x v="2"/>
    <x v="61"/>
    <x v="0"/>
    <x v="7"/>
    <n v="41.809416227207599"/>
    <n v="15260.436922930799"/>
    <n v="54937.572922550797"/>
  </r>
  <r>
    <x v="0"/>
    <x v="0"/>
    <x v="0"/>
    <x v="3"/>
    <x v="13"/>
    <s v="SE3_EL"/>
    <x v="2"/>
    <x v="2"/>
    <x v="61"/>
    <x v="0"/>
    <x v="8"/>
    <n v="41.809416227207599"/>
    <n v="15260.436922930799"/>
    <n v="54937.572922550797"/>
  </r>
  <r>
    <x v="0"/>
    <x v="0"/>
    <x v="0"/>
    <x v="3"/>
    <x v="13"/>
    <s v="SE3_EL"/>
    <x v="2"/>
    <x v="2"/>
    <x v="61"/>
    <x v="0"/>
    <x v="9"/>
    <n v="41.809416227207599"/>
    <n v="15260.436922930799"/>
    <n v="54937.572922550797"/>
  </r>
  <r>
    <x v="0"/>
    <x v="0"/>
    <x v="0"/>
    <x v="3"/>
    <x v="13"/>
    <s v="SE3_EL"/>
    <x v="2"/>
    <x v="2"/>
    <x v="61"/>
    <x v="0"/>
    <x v="10"/>
    <n v="41.809416227207599"/>
    <n v="15260.436922930799"/>
    <n v="54937.572922550797"/>
  </r>
  <r>
    <x v="0"/>
    <x v="0"/>
    <x v="0"/>
    <x v="3"/>
    <x v="13"/>
    <s v="SE3_EL"/>
    <x v="2"/>
    <x v="2"/>
    <x v="61"/>
    <x v="0"/>
    <x v="11"/>
    <n v="41.809416227207599"/>
    <n v="15260.436922930799"/>
    <n v="54937.572922550797"/>
  </r>
  <r>
    <x v="0"/>
    <x v="0"/>
    <x v="0"/>
    <x v="3"/>
    <x v="13"/>
    <s v="SE3_EL"/>
    <x v="2"/>
    <x v="2"/>
    <x v="61"/>
    <x v="0"/>
    <x v="12"/>
    <n v="41.809416227207599"/>
    <n v="15260.436922930799"/>
    <n v="54937.572922550797"/>
  </r>
  <r>
    <x v="0"/>
    <x v="0"/>
    <x v="0"/>
    <x v="3"/>
    <x v="13"/>
    <s v="SE3_EL"/>
    <x v="2"/>
    <x v="2"/>
    <x v="61"/>
    <x v="0"/>
    <x v="13"/>
    <n v="41.809416227207599"/>
    <n v="15260.436922930799"/>
    <n v="54937.572922550797"/>
  </r>
  <r>
    <x v="0"/>
    <x v="0"/>
    <x v="0"/>
    <x v="3"/>
    <x v="13"/>
    <s v="SE3_EL"/>
    <x v="2"/>
    <x v="2"/>
    <x v="61"/>
    <x v="0"/>
    <x v="14"/>
    <n v="41.809416227207599"/>
    <n v="15260.436922930799"/>
    <n v="54937.572922550797"/>
  </r>
  <r>
    <x v="0"/>
    <x v="0"/>
    <x v="0"/>
    <x v="3"/>
    <x v="13"/>
    <s v="SE3_EL"/>
    <x v="2"/>
    <x v="2"/>
    <x v="61"/>
    <x v="0"/>
    <x v="15"/>
    <n v="41.809416227207599"/>
    <n v="15260.436922930799"/>
    <n v="54937.572922550797"/>
  </r>
  <r>
    <x v="0"/>
    <x v="0"/>
    <x v="0"/>
    <x v="3"/>
    <x v="13"/>
    <s v="SE3_EL"/>
    <x v="2"/>
    <x v="2"/>
    <x v="61"/>
    <x v="0"/>
    <x v="16"/>
    <n v="41.809416227207599"/>
    <n v="15260.436922930799"/>
    <n v="54937.572922550797"/>
  </r>
  <r>
    <x v="0"/>
    <x v="0"/>
    <x v="0"/>
    <x v="3"/>
    <x v="13"/>
    <s v="SE3_EL"/>
    <x v="2"/>
    <x v="2"/>
    <x v="61"/>
    <x v="0"/>
    <x v="17"/>
    <n v="41.809416227207599"/>
    <n v="15260.436922930799"/>
    <n v="54937.572922550797"/>
  </r>
  <r>
    <x v="0"/>
    <x v="0"/>
    <x v="0"/>
    <x v="3"/>
    <x v="13"/>
    <s v="SE3_EL"/>
    <x v="2"/>
    <x v="2"/>
    <x v="61"/>
    <x v="0"/>
    <x v="18"/>
    <n v="41.809416227207599"/>
    <n v="15260.436922930799"/>
    <n v="54937.572922550797"/>
  </r>
  <r>
    <x v="0"/>
    <x v="0"/>
    <x v="0"/>
    <x v="3"/>
    <x v="13"/>
    <s v="SE3_EL"/>
    <x v="2"/>
    <x v="2"/>
    <x v="61"/>
    <x v="0"/>
    <x v="19"/>
    <n v="41.809416227207599"/>
    <n v="15260.436922930799"/>
    <n v="54937.572922550797"/>
  </r>
  <r>
    <x v="0"/>
    <x v="0"/>
    <x v="0"/>
    <x v="3"/>
    <x v="13"/>
    <s v="SE3_EL"/>
    <x v="2"/>
    <x v="2"/>
    <x v="61"/>
    <x v="0"/>
    <x v="20"/>
    <n v="41.809416227207599"/>
    <n v="15260.436922930799"/>
    <n v="54937.572922550797"/>
  </r>
  <r>
    <x v="0"/>
    <x v="0"/>
    <x v="0"/>
    <x v="3"/>
    <x v="13"/>
    <s v="SE3_EL"/>
    <x v="2"/>
    <x v="2"/>
    <x v="61"/>
    <x v="0"/>
    <x v="21"/>
    <n v="41.809416227207599"/>
    <n v="15260.436922930799"/>
    <n v="54937.572922550797"/>
  </r>
  <r>
    <x v="0"/>
    <x v="0"/>
    <x v="0"/>
    <x v="3"/>
    <x v="13"/>
    <s v="SE3_EL"/>
    <x v="2"/>
    <x v="2"/>
    <x v="61"/>
    <x v="0"/>
    <x v="22"/>
    <n v="41.809416227207599"/>
    <n v="15260.436922930799"/>
    <n v="54937.572922550797"/>
  </r>
  <r>
    <x v="0"/>
    <x v="0"/>
    <x v="0"/>
    <x v="3"/>
    <x v="13"/>
    <s v="SE3_EL"/>
    <x v="2"/>
    <x v="2"/>
    <x v="61"/>
    <x v="0"/>
    <x v="23"/>
    <n v="41.809416227207599"/>
    <n v="15260.436922930799"/>
    <n v="54937.572922550797"/>
  </r>
  <r>
    <x v="0"/>
    <x v="0"/>
    <x v="0"/>
    <x v="3"/>
    <x v="13"/>
    <s v="SE3_EL"/>
    <x v="2"/>
    <x v="2"/>
    <x v="68"/>
    <x v="0"/>
    <x v="0"/>
    <n v="25.546548811403898"/>
    <n v="9324.4903161624097"/>
    <n v="33568.165138184697"/>
  </r>
  <r>
    <x v="0"/>
    <x v="0"/>
    <x v="0"/>
    <x v="3"/>
    <x v="13"/>
    <s v="SE3_EL"/>
    <x v="2"/>
    <x v="2"/>
    <x v="68"/>
    <x v="0"/>
    <x v="1"/>
    <n v="25.546548811403898"/>
    <n v="9324.4903161624097"/>
    <n v="33568.165138184697"/>
  </r>
  <r>
    <x v="0"/>
    <x v="0"/>
    <x v="0"/>
    <x v="3"/>
    <x v="13"/>
    <s v="SE3_EL"/>
    <x v="2"/>
    <x v="2"/>
    <x v="68"/>
    <x v="0"/>
    <x v="2"/>
    <n v="25.546548811403898"/>
    <n v="9324.4903161624097"/>
    <n v="33568.165138184697"/>
  </r>
  <r>
    <x v="0"/>
    <x v="0"/>
    <x v="0"/>
    <x v="3"/>
    <x v="13"/>
    <s v="SE3_EL"/>
    <x v="2"/>
    <x v="2"/>
    <x v="68"/>
    <x v="0"/>
    <x v="3"/>
    <n v="25.546548811403898"/>
    <n v="9324.4903161624097"/>
    <n v="33568.165138184697"/>
  </r>
  <r>
    <x v="0"/>
    <x v="0"/>
    <x v="0"/>
    <x v="3"/>
    <x v="13"/>
    <s v="SE3_EL"/>
    <x v="2"/>
    <x v="2"/>
    <x v="68"/>
    <x v="0"/>
    <x v="4"/>
    <n v="25.546548811403898"/>
    <n v="9324.4903161624097"/>
    <n v="33568.165138184697"/>
  </r>
  <r>
    <x v="0"/>
    <x v="0"/>
    <x v="0"/>
    <x v="3"/>
    <x v="13"/>
    <s v="SE3_EL"/>
    <x v="2"/>
    <x v="2"/>
    <x v="68"/>
    <x v="0"/>
    <x v="5"/>
    <n v="25.546548811403898"/>
    <n v="9324.4903161624097"/>
    <n v="33568.165138184697"/>
  </r>
  <r>
    <x v="0"/>
    <x v="0"/>
    <x v="0"/>
    <x v="3"/>
    <x v="13"/>
    <s v="SE3_EL"/>
    <x v="2"/>
    <x v="2"/>
    <x v="68"/>
    <x v="0"/>
    <x v="6"/>
    <n v="25.546548811403898"/>
    <n v="9324.4903161624097"/>
    <n v="33568.165138184697"/>
  </r>
  <r>
    <x v="0"/>
    <x v="0"/>
    <x v="0"/>
    <x v="3"/>
    <x v="13"/>
    <s v="SE3_EL"/>
    <x v="2"/>
    <x v="2"/>
    <x v="68"/>
    <x v="0"/>
    <x v="7"/>
    <n v="25.546548811403898"/>
    <n v="9324.4903161624097"/>
    <n v="33568.165138184697"/>
  </r>
  <r>
    <x v="0"/>
    <x v="0"/>
    <x v="0"/>
    <x v="3"/>
    <x v="13"/>
    <s v="SE3_EL"/>
    <x v="2"/>
    <x v="2"/>
    <x v="68"/>
    <x v="0"/>
    <x v="8"/>
    <n v="25.546548811403898"/>
    <n v="9324.4903161624097"/>
    <n v="33568.165138184697"/>
  </r>
  <r>
    <x v="0"/>
    <x v="0"/>
    <x v="0"/>
    <x v="3"/>
    <x v="13"/>
    <s v="SE3_EL"/>
    <x v="2"/>
    <x v="2"/>
    <x v="68"/>
    <x v="0"/>
    <x v="9"/>
    <n v="25.546548811403898"/>
    <n v="9324.4903161624097"/>
    <n v="33568.165138184697"/>
  </r>
  <r>
    <x v="0"/>
    <x v="0"/>
    <x v="0"/>
    <x v="3"/>
    <x v="13"/>
    <s v="SE3_EL"/>
    <x v="2"/>
    <x v="2"/>
    <x v="68"/>
    <x v="0"/>
    <x v="10"/>
    <n v="25.546548811403898"/>
    <n v="9324.4903161624097"/>
    <n v="33568.165138184697"/>
  </r>
  <r>
    <x v="0"/>
    <x v="0"/>
    <x v="0"/>
    <x v="3"/>
    <x v="13"/>
    <s v="SE3_EL"/>
    <x v="2"/>
    <x v="2"/>
    <x v="68"/>
    <x v="0"/>
    <x v="11"/>
    <n v="25.546548811403898"/>
    <n v="9324.4903161624097"/>
    <n v="33568.165138184697"/>
  </r>
  <r>
    <x v="0"/>
    <x v="0"/>
    <x v="0"/>
    <x v="3"/>
    <x v="13"/>
    <s v="SE3_EL"/>
    <x v="2"/>
    <x v="2"/>
    <x v="68"/>
    <x v="0"/>
    <x v="12"/>
    <n v="25.546548811403898"/>
    <n v="9324.4903161624097"/>
    <n v="33568.165138184697"/>
  </r>
  <r>
    <x v="0"/>
    <x v="0"/>
    <x v="0"/>
    <x v="3"/>
    <x v="13"/>
    <s v="SE3_EL"/>
    <x v="2"/>
    <x v="2"/>
    <x v="68"/>
    <x v="0"/>
    <x v="13"/>
    <n v="25.546548811403898"/>
    <n v="9324.4903161624097"/>
    <n v="33568.165138184697"/>
  </r>
  <r>
    <x v="0"/>
    <x v="0"/>
    <x v="0"/>
    <x v="3"/>
    <x v="13"/>
    <s v="SE3_EL"/>
    <x v="2"/>
    <x v="2"/>
    <x v="68"/>
    <x v="0"/>
    <x v="14"/>
    <n v="25.546548811403898"/>
    <n v="9324.4903161624097"/>
    <n v="33568.165138184697"/>
  </r>
  <r>
    <x v="0"/>
    <x v="0"/>
    <x v="0"/>
    <x v="3"/>
    <x v="13"/>
    <s v="SE3_EL"/>
    <x v="2"/>
    <x v="2"/>
    <x v="68"/>
    <x v="0"/>
    <x v="15"/>
    <n v="25.546548811403898"/>
    <n v="9324.4903161624097"/>
    <n v="33568.165138184697"/>
  </r>
  <r>
    <x v="0"/>
    <x v="0"/>
    <x v="0"/>
    <x v="3"/>
    <x v="13"/>
    <s v="SE3_EL"/>
    <x v="2"/>
    <x v="2"/>
    <x v="68"/>
    <x v="0"/>
    <x v="16"/>
    <n v="25.546548811403898"/>
    <n v="9324.4903161624097"/>
    <n v="33568.165138184697"/>
  </r>
  <r>
    <x v="0"/>
    <x v="0"/>
    <x v="0"/>
    <x v="3"/>
    <x v="13"/>
    <s v="SE3_EL"/>
    <x v="2"/>
    <x v="2"/>
    <x v="68"/>
    <x v="0"/>
    <x v="17"/>
    <n v="25.546548811403898"/>
    <n v="9324.4903161624097"/>
    <n v="33568.165138184697"/>
  </r>
  <r>
    <x v="0"/>
    <x v="0"/>
    <x v="0"/>
    <x v="3"/>
    <x v="13"/>
    <s v="SE3_EL"/>
    <x v="2"/>
    <x v="2"/>
    <x v="68"/>
    <x v="0"/>
    <x v="18"/>
    <n v="25.546548811403898"/>
    <n v="9324.4903161624097"/>
    <n v="33568.165138184697"/>
  </r>
  <r>
    <x v="0"/>
    <x v="0"/>
    <x v="0"/>
    <x v="3"/>
    <x v="13"/>
    <s v="SE3_EL"/>
    <x v="2"/>
    <x v="2"/>
    <x v="68"/>
    <x v="0"/>
    <x v="19"/>
    <n v="25.546548811403898"/>
    <n v="9324.4903161624097"/>
    <n v="33568.165138184697"/>
  </r>
  <r>
    <x v="0"/>
    <x v="0"/>
    <x v="0"/>
    <x v="3"/>
    <x v="13"/>
    <s v="SE3_EL"/>
    <x v="2"/>
    <x v="2"/>
    <x v="68"/>
    <x v="0"/>
    <x v="20"/>
    <n v="25.546548811403898"/>
    <n v="9324.4903161624097"/>
    <n v="33568.165138184697"/>
  </r>
  <r>
    <x v="0"/>
    <x v="0"/>
    <x v="0"/>
    <x v="3"/>
    <x v="13"/>
    <s v="SE3_EL"/>
    <x v="2"/>
    <x v="2"/>
    <x v="68"/>
    <x v="0"/>
    <x v="21"/>
    <n v="25.546548811403898"/>
    <n v="9324.4903161624097"/>
    <n v="33568.165138184697"/>
  </r>
  <r>
    <x v="0"/>
    <x v="0"/>
    <x v="0"/>
    <x v="3"/>
    <x v="13"/>
    <s v="SE3_EL"/>
    <x v="2"/>
    <x v="2"/>
    <x v="68"/>
    <x v="0"/>
    <x v="22"/>
    <n v="25.546548811403898"/>
    <n v="9324.4903161624097"/>
    <n v="33568.165138184697"/>
  </r>
  <r>
    <x v="0"/>
    <x v="0"/>
    <x v="0"/>
    <x v="3"/>
    <x v="13"/>
    <s v="SE3_EL"/>
    <x v="2"/>
    <x v="2"/>
    <x v="68"/>
    <x v="0"/>
    <x v="23"/>
    <n v="25.546548811403898"/>
    <n v="9324.4903161624097"/>
    <n v="33568.165138184697"/>
  </r>
  <r>
    <x v="0"/>
    <x v="0"/>
    <x v="0"/>
    <x v="3"/>
    <x v="13"/>
    <s v="SE3_EL"/>
    <x v="12"/>
    <x v="2"/>
    <x v="59"/>
    <x v="0"/>
    <x v="5"/>
    <n v="13.119145795786499"/>
    <n v="4788.48821546206"/>
    <n v="17238.557575663399"/>
  </r>
  <r>
    <x v="0"/>
    <x v="0"/>
    <x v="0"/>
    <x v="3"/>
    <x v="13"/>
    <s v="SE3_EL"/>
    <x v="12"/>
    <x v="2"/>
    <x v="59"/>
    <x v="0"/>
    <x v="6"/>
    <n v="13.119145795786499"/>
    <n v="4788.48821546206"/>
    <n v="17238.557575663399"/>
  </r>
  <r>
    <x v="0"/>
    <x v="0"/>
    <x v="0"/>
    <x v="3"/>
    <x v="13"/>
    <s v="SE3_EL"/>
    <x v="12"/>
    <x v="2"/>
    <x v="59"/>
    <x v="0"/>
    <x v="7"/>
    <n v="13.119145795786499"/>
    <n v="4788.48821546206"/>
    <n v="17238.557575663399"/>
  </r>
  <r>
    <x v="0"/>
    <x v="0"/>
    <x v="0"/>
    <x v="3"/>
    <x v="13"/>
    <s v="SE3_EL"/>
    <x v="12"/>
    <x v="2"/>
    <x v="59"/>
    <x v="0"/>
    <x v="8"/>
    <n v="13.119145795786499"/>
    <n v="4788.48821546206"/>
    <n v="17238.557575663399"/>
  </r>
  <r>
    <x v="0"/>
    <x v="0"/>
    <x v="0"/>
    <x v="3"/>
    <x v="13"/>
    <s v="SE3_EL"/>
    <x v="12"/>
    <x v="2"/>
    <x v="59"/>
    <x v="0"/>
    <x v="9"/>
    <n v="13.119145795786499"/>
    <n v="4788.48821546206"/>
    <n v="17238.557575663399"/>
  </r>
  <r>
    <x v="0"/>
    <x v="0"/>
    <x v="0"/>
    <x v="3"/>
    <x v="13"/>
    <s v="SE3_EL"/>
    <x v="12"/>
    <x v="2"/>
    <x v="59"/>
    <x v="0"/>
    <x v="10"/>
    <n v="13.119145795786499"/>
    <n v="4788.48821546206"/>
    <n v="17238.557575663399"/>
  </r>
  <r>
    <x v="0"/>
    <x v="0"/>
    <x v="0"/>
    <x v="3"/>
    <x v="13"/>
    <s v="SE3_EL"/>
    <x v="12"/>
    <x v="2"/>
    <x v="59"/>
    <x v="0"/>
    <x v="11"/>
    <n v="13.119145795786499"/>
    <n v="4788.48821546206"/>
    <n v="17238.557575663399"/>
  </r>
  <r>
    <x v="0"/>
    <x v="0"/>
    <x v="0"/>
    <x v="3"/>
    <x v="13"/>
    <s v="SE3_EL"/>
    <x v="12"/>
    <x v="2"/>
    <x v="59"/>
    <x v="0"/>
    <x v="12"/>
    <n v="13.119145795786499"/>
    <n v="4788.48821546206"/>
    <n v="17238.557575663399"/>
  </r>
  <r>
    <x v="0"/>
    <x v="0"/>
    <x v="0"/>
    <x v="3"/>
    <x v="13"/>
    <s v="SE3_EL"/>
    <x v="12"/>
    <x v="2"/>
    <x v="59"/>
    <x v="0"/>
    <x v="13"/>
    <n v="13.119145795786499"/>
    <n v="4788.48821546206"/>
    <n v="17238.557575663399"/>
  </r>
  <r>
    <x v="0"/>
    <x v="0"/>
    <x v="0"/>
    <x v="3"/>
    <x v="13"/>
    <s v="SE3_EL"/>
    <x v="12"/>
    <x v="2"/>
    <x v="59"/>
    <x v="0"/>
    <x v="14"/>
    <n v="13.119145795786499"/>
    <n v="4788.48821546206"/>
    <n v="17238.557575663399"/>
  </r>
  <r>
    <x v="0"/>
    <x v="0"/>
    <x v="0"/>
    <x v="3"/>
    <x v="13"/>
    <s v="SE3_EL"/>
    <x v="12"/>
    <x v="2"/>
    <x v="59"/>
    <x v="0"/>
    <x v="15"/>
    <n v="13.119145795786499"/>
    <n v="4788.48821546206"/>
    <n v="17238.557575663399"/>
  </r>
  <r>
    <x v="0"/>
    <x v="0"/>
    <x v="0"/>
    <x v="3"/>
    <x v="13"/>
    <s v="SE3_EL"/>
    <x v="12"/>
    <x v="2"/>
    <x v="59"/>
    <x v="0"/>
    <x v="16"/>
    <n v="13.119145795786499"/>
    <n v="4788.48821546206"/>
    <n v="17238.557575663399"/>
  </r>
  <r>
    <x v="0"/>
    <x v="0"/>
    <x v="0"/>
    <x v="3"/>
    <x v="13"/>
    <s v="SE3_EL"/>
    <x v="12"/>
    <x v="2"/>
    <x v="59"/>
    <x v="0"/>
    <x v="17"/>
    <n v="13.119145795786499"/>
    <n v="4788.48821546206"/>
    <n v="17238.557575663399"/>
  </r>
  <r>
    <x v="0"/>
    <x v="0"/>
    <x v="0"/>
    <x v="3"/>
    <x v="13"/>
    <s v="SE3_EL"/>
    <x v="12"/>
    <x v="2"/>
    <x v="59"/>
    <x v="0"/>
    <x v="18"/>
    <n v="13.119145795786499"/>
    <n v="4788.48821546206"/>
    <n v="17238.557575663399"/>
  </r>
  <r>
    <x v="0"/>
    <x v="0"/>
    <x v="0"/>
    <x v="3"/>
    <x v="13"/>
    <s v="SE3_EL"/>
    <x v="12"/>
    <x v="2"/>
    <x v="59"/>
    <x v="0"/>
    <x v="19"/>
    <n v="13.119145795786499"/>
    <n v="4788.48821546206"/>
    <n v="17238.557575663399"/>
  </r>
  <r>
    <x v="0"/>
    <x v="0"/>
    <x v="0"/>
    <x v="3"/>
    <x v="13"/>
    <s v="SE3_EL"/>
    <x v="12"/>
    <x v="2"/>
    <x v="59"/>
    <x v="0"/>
    <x v="20"/>
    <n v="13.119145795786499"/>
    <n v="4788.48821546206"/>
    <n v="17238.557575663399"/>
  </r>
  <r>
    <x v="0"/>
    <x v="0"/>
    <x v="0"/>
    <x v="3"/>
    <x v="13"/>
    <s v="SE3_EL"/>
    <x v="12"/>
    <x v="2"/>
    <x v="59"/>
    <x v="0"/>
    <x v="21"/>
    <n v="13.119145795786499"/>
    <n v="4788.48821546206"/>
    <n v="17238.557575663399"/>
  </r>
  <r>
    <x v="0"/>
    <x v="0"/>
    <x v="0"/>
    <x v="3"/>
    <x v="13"/>
    <s v="SE3_EL"/>
    <x v="12"/>
    <x v="2"/>
    <x v="59"/>
    <x v="0"/>
    <x v="22"/>
    <n v="9.7105217423831593"/>
    <n v="3544.3404359698502"/>
    <n v="12759.6255694915"/>
  </r>
  <r>
    <x v="0"/>
    <x v="0"/>
    <x v="0"/>
    <x v="3"/>
    <x v="13"/>
    <s v="SE3_EL"/>
    <x v="12"/>
    <x v="0"/>
    <x v="69"/>
    <x v="0"/>
    <x v="1"/>
    <n v="4.58188389674359"/>
    <n v="1672.38762231141"/>
    <n v="6020.5954403210799"/>
  </r>
  <r>
    <x v="0"/>
    <x v="0"/>
    <x v="0"/>
    <x v="3"/>
    <x v="13"/>
    <s v="SE3_EL"/>
    <x v="12"/>
    <x v="0"/>
    <x v="69"/>
    <x v="0"/>
    <x v="2"/>
    <n v="7.5954672281743498"/>
    <n v="2772.3455382836401"/>
    <n v="9980.44393782109"/>
  </r>
  <r>
    <x v="0"/>
    <x v="0"/>
    <x v="0"/>
    <x v="3"/>
    <x v="13"/>
    <s v="SE3_EL"/>
    <x v="12"/>
    <x v="0"/>
    <x v="69"/>
    <x v="0"/>
    <x v="3"/>
    <n v="20.476697565687399"/>
    <n v="7473.9946114758905"/>
    <n v="26906.380601313202"/>
  </r>
  <r>
    <x v="0"/>
    <x v="0"/>
    <x v="0"/>
    <x v="3"/>
    <x v="13"/>
    <s v="SE3_EL"/>
    <x v="12"/>
    <x v="0"/>
    <x v="69"/>
    <x v="0"/>
    <x v="4"/>
    <n v="33.401296930373697"/>
    <n v="12191.473379586399"/>
    <n v="43889.304166510999"/>
  </r>
  <r>
    <x v="0"/>
    <x v="0"/>
    <x v="0"/>
    <x v="3"/>
    <x v="13"/>
    <s v="SE3_EL"/>
    <x v="12"/>
    <x v="0"/>
    <x v="69"/>
    <x v="0"/>
    <x v="5"/>
    <n v="39.693764579578698"/>
    <n v="14488.224071546199"/>
    <n v="52157.606657566299"/>
  </r>
  <r>
    <x v="0"/>
    <x v="0"/>
    <x v="0"/>
    <x v="3"/>
    <x v="13"/>
    <s v="SE3_EL"/>
    <x v="12"/>
    <x v="0"/>
    <x v="69"/>
    <x v="0"/>
    <x v="6"/>
    <n v="39.693764579578698"/>
    <n v="14488.224071546199"/>
    <n v="52157.606657566299"/>
  </r>
  <r>
    <x v="0"/>
    <x v="0"/>
    <x v="0"/>
    <x v="3"/>
    <x v="13"/>
    <s v="SE3_EL"/>
    <x v="12"/>
    <x v="0"/>
    <x v="69"/>
    <x v="0"/>
    <x v="7"/>
    <n v="39.693764579578698"/>
    <n v="14488.224071546199"/>
    <n v="52157.606657566299"/>
  </r>
  <r>
    <x v="0"/>
    <x v="0"/>
    <x v="0"/>
    <x v="3"/>
    <x v="13"/>
    <s v="SE3_EL"/>
    <x v="12"/>
    <x v="0"/>
    <x v="69"/>
    <x v="0"/>
    <x v="8"/>
    <n v="39.693764579578698"/>
    <n v="14488.224071546199"/>
    <n v="52157.606657566299"/>
  </r>
  <r>
    <x v="0"/>
    <x v="0"/>
    <x v="0"/>
    <x v="3"/>
    <x v="13"/>
    <s v="SE3_EL"/>
    <x v="12"/>
    <x v="0"/>
    <x v="69"/>
    <x v="0"/>
    <x v="9"/>
    <n v="39.693764579578698"/>
    <n v="14488.224071546199"/>
    <n v="52157.606657566299"/>
  </r>
  <r>
    <x v="0"/>
    <x v="0"/>
    <x v="0"/>
    <x v="3"/>
    <x v="13"/>
    <s v="SE3_EL"/>
    <x v="12"/>
    <x v="0"/>
    <x v="69"/>
    <x v="0"/>
    <x v="10"/>
    <n v="39.693764579578698"/>
    <n v="14488.224071546199"/>
    <n v="52157.606657566299"/>
  </r>
  <r>
    <x v="0"/>
    <x v="0"/>
    <x v="0"/>
    <x v="3"/>
    <x v="13"/>
    <s v="SE3_EL"/>
    <x v="12"/>
    <x v="0"/>
    <x v="69"/>
    <x v="0"/>
    <x v="11"/>
    <n v="39.693764579578698"/>
    <n v="14488.224071546199"/>
    <n v="52157.606657566299"/>
  </r>
  <r>
    <x v="0"/>
    <x v="0"/>
    <x v="0"/>
    <x v="3"/>
    <x v="13"/>
    <s v="SE3_EL"/>
    <x v="12"/>
    <x v="0"/>
    <x v="69"/>
    <x v="0"/>
    <x v="12"/>
    <n v="39.693764579578698"/>
    <n v="14488.224071546199"/>
    <n v="52157.606657566299"/>
  </r>
  <r>
    <x v="0"/>
    <x v="0"/>
    <x v="0"/>
    <x v="3"/>
    <x v="13"/>
    <s v="SE3_EL"/>
    <x v="12"/>
    <x v="0"/>
    <x v="69"/>
    <x v="0"/>
    <x v="13"/>
    <n v="39.693764579578698"/>
    <n v="14488.224071546199"/>
    <n v="52157.606657566299"/>
  </r>
  <r>
    <x v="0"/>
    <x v="0"/>
    <x v="0"/>
    <x v="3"/>
    <x v="13"/>
    <s v="SE3_EL"/>
    <x v="12"/>
    <x v="0"/>
    <x v="69"/>
    <x v="0"/>
    <x v="14"/>
    <n v="39.693764579578698"/>
    <n v="14488.224071546199"/>
    <n v="52157.606657566299"/>
  </r>
  <r>
    <x v="0"/>
    <x v="0"/>
    <x v="0"/>
    <x v="3"/>
    <x v="13"/>
    <s v="SE3_EL"/>
    <x v="12"/>
    <x v="0"/>
    <x v="69"/>
    <x v="0"/>
    <x v="15"/>
    <n v="39.693764579578698"/>
    <n v="14488.224071546199"/>
    <n v="52157.606657566299"/>
  </r>
  <r>
    <x v="0"/>
    <x v="0"/>
    <x v="0"/>
    <x v="3"/>
    <x v="13"/>
    <s v="SE3_EL"/>
    <x v="12"/>
    <x v="0"/>
    <x v="69"/>
    <x v="0"/>
    <x v="16"/>
    <n v="39.693764579578698"/>
    <n v="14488.224071546199"/>
    <n v="52157.606657566299"/>
  </r>
  <r>
    <x v="0"/>
    <x v="0"/>
    <x v="0"/>
    <x v="3"/>
    <x v="13"/>
    <s v="SE3_EL"/>
    <x v="12"/>
    <x v="0"/>
    <x v="69"/>
    <x v="0"/>
    <x v="17"/>
    <n v="39.693764579578698"/>
    <n v="14488.224071546199"/>
    <n v="52157.606657566299"/>
  </r>
  <r>
    <x v="0"/>
    <x v="0"/>
    <x v="0"/>
    <x v="3"/>
    <x v="13"/>
    <s v="SE3_EL"/>
    <x v="12"/>
    <x v="0"/>
    <x v="69"/>
    <x v="0"/>
    <x v="18"/>
    <n v="39.693764579578698"/>
    <n v="14488.224071546199"/>
    <n v="52157.606657566299"/>
  </r>
  <r>
    <x v="0"/>
    <x v="0"/>
    <x v="0"/>
    <x v="3"/>
    <x v="13"/>
    <s v="SE3_EL"/>
    <x v="12"/>
    <x v="0"/>
    <x v="69"/>
    <x v="0"/>
    <x v="19"/>
    <n v="39.693764579578698"/>
    <n v="14488.224071546199"/>
    <n v="52157.606657566299"/>
  </r>
  <r>
    <x v="0"/>
    <x v="0"/>
    <x v="0"/>
    <x v="3"/>
    <x v="13"/>
    <s v="SE3_EL"/>
    <x v="12"/>
    <x v="0"/>
    <x v="69"/>
    <x v="0"/>
    <x v="20"/>
    <n v="39.693764579578698"/>
    <n v="14488.224071546199"/>
    <n v="52157.606657566299"/>
  </r>
  <r>
    <x v="0"/>
    <x v="0"/>
    <x v="0"/>
    <x v="3"/>
    <x v="13"/>
    <s v="SE3_EL"/>
    <x v="12"/>
    <x v="0"/>
    <x v="69"/>
    <x v="0"/>
    <x v="21"/>
    <n v="39.693764579578698"/>
    <n v="14488.224071546199"/>
    <n v="52157.606657566299"/>
  </r>
  <r>
    <x v="0"/>
    <x v="0"/>
    <x v="0"/>
    <x v="3"/>
    <x v="13"/>
    <s v="SE3_EL"/>
    <x v="12"/>
    <x v="0"/>
    <x v="69"/>
    <x v="0"/>
    <x v="22"/>
    <n v="39.693764579578698"/>
    <n v="14488.224071546199"/>
    <n v="52157.606657566299"/>
  </r>
  <r>
    <x v="0"/>
    <x v="0"/>
    <x v="0"/>
    <x v="3"/>
    <x v="13"/>
    <s v="SE3_EL"/>
    <x v="12"/>
    <x v="0"/>
    <x v="69"/>
    <x v="0"/>
    <x v="23"/>
    <n v="24.576122855325099"/>
    <n v="8970.2848421936505"/>
    <n v="32293.025431897098"/>
  </r>
  <r>
    <x v="0"/>
    <x v="0"/>
    <x v="0"/>
    <x v="3"/>
    <x v="13"/>
    <s v="SE3_EL"/>
    <x v="14"/>
    <x v="2"/>
    <x v="70"/>
    <x v="0"/>
    <x v="5"/>
    <n v="25.879090166851999"/>
    <n v="9445.86791090099"/>
    <n v="34005.124479243597"/>
  </r>
  <r>
    <x v="0"/>
    <x v="0"/>
    <x v="0"/>
    <x v="3"/>
    <x v="13"/>
    <s v="SE3_EL"/>
    <x v="14"/>
    <x v="2"/>
    <x v="70"/>
    <x v="0"/>
    <x v="6"/>
    <n v="57.635500224831198"/>
    <n v="21036.957582063402"/>
    <n v="75733.047295428201"/>
  </r>
  <r>
    <x v="0"/>
    <x v="0"/>
    <x v="0"/>
    <x v="3"/>
    <x v="13"/>
    <s v="SE3_EL"/>
    <x v="14"/>
    <x v="2"/>
    <x v="70"/>
    <x v="0"/>
    <x v="7"/>
    <n v="57.635500224831198"/>
    <n v="21036.957582063402"/>
    <n v="75733.047295428201"/>
  </r>
  <r>
    <x v="0"/>
    <x v="0"/>
    <x v="0"/>
    <x v="3"/>
    <x v="13"/>
    <s v="SE3_EL"/>
    <x v="14"/>
    <x v="2"/>
    <x v="70"/>
    <x v="0"/>
    <x v="8"/>
    <n v="57.635500224831198"/>
    <n v="21036.957582063402"/>
    <n v="75733.047295428201"/>
  </r>
  <r>
    <x v="0"/>
    <x v="0"/>
    <x v="0"/>
    <x v="3"/>
    <x v="13"/>
    <s v="SE3_EL"/>
    <x v="14"/>
    <x v="2"/>
    <x v="70"/>
    <x v="0"/>
    <x v="9"/>
    <n v="57.635500224831198"/>
    <n v="21036.957582063402"/>
    <n v="75733.047295428201"/>
  </r>
  <r>
    <x v="0"/>
    <x v="0"/>
    <x v="0"/>
    <x v="3"/>
    <x v="13"/>
    <s v="SE3_EL"/>
    <x v="14"/>
    <x v="2"/>
    <x v="70"/>
    <x v="0"/>
    <x v="10"/>
    <n v="57.635500224831198"/>
    <n v="21036.957582063402"/>
    <n v="75733.047295428201"/>
  </r>
  <r>
    <x v="0"/>
    <x v="0"/>
    <x v="0"/>
    <x v="3"/>
    <x v="13"/>
    <s v="SE3_EL"/>
    <x v="14"/>
    <x v="2"/>
    <x v="70"/>
    <x v="0"/>
    <x v="11"/>
    <n v="57.635500224831198"/>
    <n v="21036.957582063402"/>
    <n v="75733.047295428201"/>
  </r>
  <r>
    <x v="0"/>
    <x v="0"/>
    <x v="0"/>
    <x v="3"/>
    <x v="13"/>
    <s v="SE3_EL"/>
    <x v="14"/>
    <x v="2"/>
    <x v="70"/>
    <x v="0"/>
    <x v="12"/>
    <n v="57.635500224831198"/>
    <n v="21036.957582063402"/>
    <n v="75733.047295428201"/>
  </r>
  <r>
    <x v="0"/>
    <x v="0"/>
    <x v="0"/>
    <x v="3"/>
    <x v="13"/>
    <s v="SE3_EL"/>
    <x v="14"/>
    <x v="2"/>
    <x v="70"/>
    <x v="0"/>
    <x v="13"/>
    <n v="57.635500224831198"/>
    <n v="21036.957582063402"/>
    <n v="75733.047295428201"/>
  </r>
  <r>
    <x v="0"/>
    <x v="0"/>
    <x v="0"/>
    <x v="3"/>
    <x v="13"/>
    <s v="SE3_EL"/>
    <x v="14"/>
    <x v="2"/>
    <x v="70"/>
    <x v="0"/>
    <x v="14"/>
    <n v="37.509400930962101"/>
    <n v="13690.9313398012"/>
    <n v="49287.3528232842"/>
  </r>
  <r>
    <x v="0"/>
    <x v="0"/>
    <x v="0"/>
    <x v="3"/>
    <x v="13"/>
    <s v="SE3_EL"/>
    <x v="14"/>
    <x v="2"/>
    <x v="70"/>
    <x v="0"/>
    <x v="15"/>
    <n v="26.6407356200415"/>
    <n v="9723.8685013151699"/>
    <n v="35005.926604734603"/>
  </r>
  <r>
    <x v="0"/>
    <x v="0"/>
    <x v="0"/>
    <x v="3"/>
    <x v="13"/>
    <s v="SE3_EL"/>
    <x v="14"/>
    <x v="2"/>
    <x v="70"/>
    <x v="0"/>
    <x v="16"/>
    <n v="25.688922991606201"/>
    <n v="9376.45689193625"/>
    <n v="33755.2448109705"/>
  </r>
  <r>
    <x v="0"/>
    <x v="0"/>
    <x v="0"/>
    <x v="3"/>
    <x v="13"/>
    <s v="SE3_EL"/>
    <x v="14"/>
    <x v="2"/>
    <x v="70"/>
    <x v="0"/>
    <x v="17"/>
    <n v="20.642250859262301"/>
    <n v="7534.4215636307399"/>
    <n v="27123.9176290707"/>
  </r>
  <r>
    <x v="0"/>
    <x v="0"/>
    <x v="0"/>
    <x v="3"/>
    <x v="13"/>
    <s v="SE3_EL"/>
    <x v="14"/>
    <x v="2"/>
    <x v="70"/>
    <x v="0"/>
    <x v="18"/>
    <n v="22.665416398032299"/>
    <n v="8272.8769852817895"/>
    <n v="29782.357147014402"/>
  </r>
  <r>
    <x v="0"/>
    <x v="0"/>
    <x v="0"/>
    <x v="3"/>
    <x v="13"/>
    <s v="SE3_EL"/>
    <x v="14"/>
    <x v="2"/>
    <x v="70"/>
    <x v="0"/>
    <x v="19"/>
    <n v="31.435489664927701"/>
    <n v="11473.953727698599"/>
    <n v="41306.233419714998"/>
  </r>
  <r>
    <x v="0"/>
    <x v="0"/>
    <x v="0"/>
    <x v="3"/>
    <x v="13"/>
    <s v="SE3_EL"/>
    <x v="14"/>
    <x v="2"/>
    <x v="70"/>
    <x v="0"/>
    <x v="20"/>
    <n v="26.9044664026341"/>
    <n v="9820.1302369614605"/>
    <n v="35352.468853061298"/>
  </r>
  <r>
    <x v="0"/>
    <x v="0"/>
    <x v="0"/>
    <x v="3"/>
    <x v="13"/>
    <s v="SE3_EL"/>
    <x v="14"/>
    <x v="2"/>
    <x v="70"/>
    <x v="0"/>
    <x v="21"/>
    <n v="14.582266640568299"/>
    <n v="5322.5273238074096"/>
    <n v="19161.098365706701"/>
  </r>
  <r>
    <x v="0"/>
    <x v="0"/>
    <x v="0"/>
    <x v="3"/>
    <x v="13"/>
    <s v="SE3_EL"/>
    <x v="13"/>
    <x v="2"/>
    <x v="62"/>
    <x v="0"/>
    <x v="0"/>
    <n v="44.249359019264503"/>
    <n v="16151.016042031501"/>
    <n v="58143.657751313498"/>
  </r>
  <r>
    <x v="0"/>
    <x v="0"/>
    <x v="0"/>
    <x v="3"/>
    <x v="13"/>
    <s v="SE3_EL"/>
    <x v="13"/>
    <x v="2"/>
    <x v="62"/>
    <x v="0"/>
    <x v="1"/>
    <n v="44.249359019264503"/>
    <n v="16151.016042031501"/>
    <n v="58143.657751313498"/>
  </r>
  <r>
    <x v="0"/>
    <x v="0"/>
    <x v="0"/>
    <x v="3"/>
    <x v="13"/>
    <s v="SE3_EL"/>
    <x v="13"/>
    <x v="2"/>
    <x v="62"/>
    <x v="0"/>
    <x v="2"/>
    <n v="44.249359019264503"/>
    <n v="16151.016042031501"/>
    <n v="58143.657751313498"/>
  </r>
  <r>
    <x v="0"/>
    <x v="0"/>
    <x v="0"/>
    <x v="3"/>
    <x v="13"/>
    <s v="SE3_EL"/>
    <x v="13"/>
    <x v="2"/>
    <x v="62"/>
    <x v="0"/>
    <x v="3"/>
    <n v="44.249359019264503"/>
    <n v="16151.016042031501"/>
    <n v="58143.657751313498"/>
  </r>
  <r>
    <x v="0"/>
    <x v="0"/>
    <x v="0"/>
    <x v="3"/>
    <x v="13"/>
    <s v="SE3_EL"/>
    <x v="13"/>
    <x v="2"/>
    <x v="62"/>
    <x v="0"/>
    <x v="4"/>
    <n v="44.249359019264503"/>
    <n v="16151.016042031501"/>
    <n v="58143.657751313498"/>
  </r>
  <r>
    <x v="0"/>
    <x v="0"/>
    <x v="0"/>
    <x v="3"/>
    <x v="13"/>
    <s v="SE3_EL"/>
    <x v="13"/>
    <x v="2"/>
    <x v="62"/>
    <x v="0"/>
    <x v="5"/>
    <n v="44.249359019264503"/>
    <n v="16151.016042031501"/>
    <n v="58143.657751313498"/>
  </r>
  <r>
    <x v="0"/>
    <x v="0"/>
    <x v="0"/>
    <x v="3"/>
    <x v="13"/>
    <s v="SE3_EL"/>
    <x v="13"/>
    <x v="2"/>
    <x v="62"/>
    <x v="0"/>
    <x v="6"/>
    <n v="44.249359019264503"/>
    <n v="16151.016042031501"/>
    <n v="58143.657751313498"/>
  </r>
  <r>
    <x v="0"/>
    <x v="0"/>
    <x v="0"/>
    <x v="3"/>
    <x v="13"/>
    <s v="SE3_EL"/>
    <x v="13"/>
    <x v="2"/>
    <x v="62"/>
    <x v="0"/>
    <x v="7"/>
    <n v="44.249359019264503"/>
    <n v="16151.016042031501"/>
    <n v="58143.657751313498"/>
  </r>
  <r>
    <x v="0"/>
    <x v="0"/>
    <x v="0"/>
    <x v="3"/>
    <x v="13"/>
    <s v="SE3_EL"/>
    <x v="13"/>
    <x v="2"/>
    <x v="62"/>
    <x v="0"/>
    <x v="8"/>
    <n v="44.249359019264503"/>
    <n v="16151.016042031501"/>
    <n v="58143.657751313498"/>
  </r>
  <r>
    <x v="0"/>
    <x v="0"/>
    <x v="0"/>
    <x v="3"/>
    <x v="13"/>
    <s v="SE3_EL"/>
    <x v="13"/>
    <x v="2"/>
    <x v="62"/>
    <x v="0"/>
    <x v="9"/>
    <n v="44.249359019264503"/>
    <n v="16151.016042031501"/>
    <n v="58143.657751313498"/>
  </r>
  <r>
    <x v="0"/>
    <x v="0"/>
    <x v="0"/>
    <x v="3"/>
    <x v="13"/>
    <s v="SE3_EL"/>
    <x v="13"/>
    <x v="2"/>
    <x v="62"/>
    <x v="0"/>
    <x v="10"/>
    <n v="44.249359019264503"/>
    <n v="16151.016042031501"/>
    <n v="58143.657751313498"/>
  </r>
  <r>
    <x v="0"/>
    <x v="0"/>
    <x v="0"/>
    <x v="3"/>
    <x v="13"/>
    <s v="SE3_EL"/>
    <x v="13"/>
    <x v="2"/>
    <x v="62"/>
    <x v="0"/>
    <x v="11"/>
    <n v="44.249359019264503"/>
    <n v="16151.016042031501"/>
    <n v="58143.657751313498"/>
  </r>
  <r>
    <x v="0"/>
    <x v="0"/>
    <x v="0"/>
    <x v="3"/>
    <x v="13"/>
    <s v="SE3_EL"/>
    <x v="13"/>
    <x v="2"/>
    <x v="62"/>
    <x v="0"/>
    <x v="12"/>
    <n v="44.249359019264503"/>
    <n v="16151.016042031501"/>
    <n v="58143.657751313498"/>
  </r>
  <r>
    <x v="0"/>
    <x v="0"/>
    <x v="0"/>
    <x v="3"/>
    <x v="13"/>
    <s v="SE3_EL"/>
    <x v="13"/>
    <x v="2"/>
    <x v="62"/>
    <x v="0"/>
    <x v="13"/>
    <n v="44.249359019264503"/>
    <n v="16151.016042031501"/>
    <n v="58143.657751313498"/>
  </r>
  <r>
    <x v="0"/>
    <x v="0"/>
    <x v="0"/>
    <x v="3"/>
    <x v="13"/>
    <s v="SE3_EL"/>
    <x v="13"/>
    <x v="2"/>
    <x v="62"/>
    <x v="0"/>
    <x v="14"/>
    <n v="44.249359019264503"/>
    <n v="16151.016042031501"/>
    <n v="58143.657751313498"/>
  </r>
  <r>
    <x v="0"/>
    <x v="0"/>
    <x v="0"/>
    <x v="3"/>
    <x v="13"/>
    <s v="SE3_EL"/>
    <x v="13"/>
    <x v="2"/>
    <x v="62"/>
    <x v="0"/>
    <x v="15"/>
    <n v="44.249359019264503"/>
    <n v="16151.016042031501"/>
    <n v="58143.657751313498"/>
  </r>
  <r>
    <x v="0"/>
    <x v="0"/>
    <x v="0"/>
    <x v="3"/>
    <x v="13"/>
    <s v="SE3_EL"/>
    <x v="13"/>
    <x v="2"/>
    <x v="62"/>
    <x v="0"/>
    <x v="16"/>
    <n v="44.249359019264503"/>
    <n v="16151.016042031501"/>
    <n v="58143.657751313498"/>
  </r>
  <r>
    <x v="0"/>
    <x v="0"/>
    <x v="0"/>
    <x v="3"/>
    <x v="13"/>
    <s v="SE3_EL"/>
    <x v="13"/>
    <x v="2"/>
    <x v="62"/>
    <x v="0"/>
    <x v="17"/>
    <n v="44.249359019264503"/>
    <n v="16151.016042031501"/>
    <n v="58143.657751313498"/>
  </r>
  <r>
    <x v="0"/>
    <x v="0"/>
    <x v="0"/>
    <x v="3"/>
    <x v="13"/>
    <s v="SE3_EL"/>
    <x v="13"/>
    <x v="2"/>
    <x v="62"/>
    <x v="0"/>
    <x v="18"/>
    <n v="44.249359019264503"/>
    <n v="16151.016042031501"/>
    <n v="58143.657751313498"/>
  </r>
  <r>
    <x v="0"/>
    <x v="0"/>
    <x v="0"/>
    <x v="3"/>
    <x v="13"/>
    <s v="SE3_EL"/>
    <x v="13"/>
    <x v="2"/>
    <x v="62"/>
    <x v="0"/>
    <x v="19"/>
    <n v="44.249359019264503"/>
    <n v="16151.016042031501"/>
    <n v="58143.657751313498"/>
  </r>
  <r>
    <x v="0"/>
    <x v="0"/>
    <x v="0"/>
    <x v="3"/>
    <x v="13"/>
    <s v="SE3_EL"/>
    <x v="13"/>
    <x v="2"/>
    <x v="62"/>
    <x v="0"/>
    <x v="20"/>
    <n v="44.249359019264503"/>
    <n v="16151.016042031501"/>
    <n v="58143.657751313498"/>
  </r>
  <r>
    <x v="0"/>
    <x v="0"/>
    <x v="0"/>
    <x v="3"/>
    <x v="13"/>
    <s v="SE3_EL"/>
    <x v="13"/>
    <x v="2"/>
    <x v="62"/>
    <x v="0"/>
    <x v="21"/>
    <n v="44.249359019264503"/>
    <n v="16151.016042031501"/>
    <n v="58143.657751313498"/>
  </r>
  <r>
    <x v="0"/>
    <x v="0"/>
    <x v="0"/>
    <x v="3"/>
    <x v="13"/>
    <s v="SE3_EL"/>
    <x v="13"/>
    <x v="2"/>
    <x v="62"/>
    <x v="0"/>
    <x v="22"/>
    <n v="44.249359019264503"/>
    <n v="16151.016042031501"/>
    <n v="58143.657751313498"/>
  </r>
  <r>
    <x v="0"/>
    <x v="0"/>
    <x v="0"/>
    <x v="3"/>
    <x v="13"/>
    <s v="SE3_EL"/>
    <x v="13"/>
    <x v="2"/>
    <x v="62"/>
    <x v="0"/>
    <x v="23"/>
    <n v="44.249359019264503"/>
    <n v="16151.016042031501"/>
    <n v="58143.657751313498"/>
  </r>
  <r>
    <x v="0"/>
    <x v="0"/>
    <x v="0"/>
    <x v="3"/>
    <x v="13"/>
    <s v="SE3_EL"/>
    <x v="13"/>
    <x v="2"/>
    <x v="71"/>
    <x v="0"/>
    <x v="0"/>
    <n v="83.403992994746105"/>
    <n v="30442.457443082301"/>
    <n v="109592.846795096"/>
  </r>
  <r>
    <x v="0"/>
    <x v="0"/>
    <x v="0"/>
    <x v="3"/>
    <x v="13"/>
    <s v="SE3_EL"/>
    <x v="13"/>
    <x v="2"/>
    <x v="71"/>
    <x v="0"/>
    <x v="1"/>
    <n v="83.403992994746105"/>
    <n v="30442.457443082301"/>
    <n v="109592.846795096"/>
  </r>
  <r>
    <x v="0"/>
    <x v="0"/>
    <x v="0"/>
    <x v="3"/>
    <x v="13"/>
    <s v="SE3_EL"/>
    <x v="13"/>
    <x v="2"/>
    <x v="71"/>
    <x v="0"/>
    <x v="2"/>
    <n v="83.403992994746105"/>
    <n v="30442.457443082301"/>
    <n v="109592.846795096"/>
  </r>
  <r>
    <x v="0"/>
    <x v="0"/>
    <x v="0"/>
    <x v="3"/>
    <x v="13"/>
    <s v="SE3_EL"/>
    <x v="13"/>
    <x v="2"/>
    <x v="71"/>
    <x v="0"/>
    <x v="3"/>
    <n v="83.403992994746105"/>
    <n v="30442.457443082301"/>
    <n v="109592.846795096"/>
  </r>
  <r>
    <x v="0"/>
    <x v="0"/>
    <x v="0"/>
    <x v="3"/>
    <x v="13"/>
    <s v="SE3_EL"/>
    <x v="13"/>
    <x v="2"/>
    <x v="71"/>
    <x v="0"/>
    <x v="4"/>
    <n v="83.403992994746105"/>
    <n v="30442.457443082301"/>
    <n v="109592.846795096"/>
  </r>
  <r>
    <x v="0"/>
    <x v="0"/>
    <x v="0"/>
    <x v="3"/>
    <x v="13"/>
    <s v="SE3_EL"/>
    <x v="13"/>
    <x v="2"/>
    <x v="71"/>
    <x v="0"/>
    <x v="5"/>
    <n v="83.403992994746105"/>
    <n v="30442.457443082301"/>
    <n v="109592.846795096"/>
  </r>
  <r>
    <x v="0"/>
    <x v="0"/>
    <x v="0"/>
    <x v="3"/>
    <x v="13"/>
    <s v="SE3_EL"/>
    <x v="13"/>
    <x v="2"/>
    <x v="71"/>
    <x v="0"/>
    <x v="6"/>
    <n v="83.403992994746105"/>
    <n v="30442.457443082301"/>
    <n v="109592.846795096"/>
  </r>
  <r>
    <x v="0"/>
    <x v="0"/>
    <x v="0"/>
    <x v="3"/>
    <x v="13"/>
    <s v="SE3_EL"/>
    <x v="13"/>
    <x v="2"/>
    <x v="71"/>
    <x v="0"/>
    <x v="7"/>
    <n v="83.403992994746105"/>
    <n v="30442.457443082301"/>
    <n v="109592.846795096"/>
  </r>
  <r>
    <x v="0"/>
    <x v="0"/>
    <x v="0"/>
    <x v="3"/>
    <x v="13"/>
    <s v="SE3_EL"/>
    <x v="13"/>
    <x v="2"/>
    <x v="71"/>
    <x v="0"/>
    <x v="8"/>
    <n v="83.403992994746105"/>
    <n v="30442.457443082301"/>
    <n v="109592.846795096"/>
  </r>
  <r>
    <x v="0"/>
    <x v="0"/>
    <x v="0"/>
    <x v="3"/>
    <x v="13"/>
    <s v="SE3_EL"/>
    <x v="13"/>
    <x v="2"/>
    <x v="71"/>
    <x v="0"/>
    <x v="9"/>
    <n v="83.403992994746105"/>
    <n v="30442.457443082301"/>
    <n v="109592.846795096"/>
  </r>
  <r>
    <x v="0"/>
    <x v="0"/>
    <x v="0"/>
    <x v="3"/>
    <x v="13"/>
    <s v="SE3_EL"/>
    <x v="13"/>
    <x v="2"/>
    <x v="71"/>
    <x v="0"/>
    <x v="10"/>
    <n v="83.403992994746105"/>
    <n v="30442.457443082301"/>
    <n v="109592.846795096"/>
  </r>
  <r>
    <x v="0"/>
    <x v="0"/>
    <x v="0"/>
    <x v="3"/>
    <x v="13"/>
    <s v="SE3_EL"/>
    <x v="13"/>
    <x v="2"/>
    <x v="71"/>
    <x v="0"/>
    <x v="11"/>
    <n v="83.403992994746105"/>
    <n v="30442.457443082301"/>
    <n v="109592.846795096"/>
  </r>
  <r>
    <x v="0"/>
    <x v="0"/>
    <x v="0"/>
    <x v="3"/>
    <x v="13"/>
    <s v="SE3_EL"/>
    <x v="13"/>
    <x v="2"/>
    <x v="71"/>
    <x v="0"/>
    <x v="12"/>
    <n v="83.403992994746105"/>
    <n v="30442.457443082301"/>
    <n v="109592.846795096"/>
  </r>
  <r>
    <x v="0"/>
    <x v="0"/>
    <x v="0"/>
    <x v="3"/>
    <x v="13"/>
    <s v="SE3_EL"/>
    <x v="13"/>
    <x v="2"/>
    <x v="71"/>
    <x v="0"/>
    <x v="13"/>
    <n v="83.403992994746105"/>
    <n v="30442.457443082301"/>
    <n v="109592.846795096"/>
  </r>
  <r>
    <x v="0"/>
    <x v="0"/>
    <x v="0"/>
    <x v="3"/>
    <x v="13"/>
    <s v="SE3_EL"/>
    <x v="13"/>
    <x v="2"/>
    <x v="71"/>
    <x v="0"/>
    <x v="14"/>
    <n v="83.403992994746105"/>
    <n v="30442.457443082301"/>
    <n v="109592.846795096"/>
  </r>
  <r>
    <x v="0"/>
    <x v="0"/>
    <x v="0"/>
    <x v="3"/>
    <x v="13"/>
    <s v="SE3_EL"/>
    <x v="13"/>
    <x v="2"/>
    <x v="71"/>
    <x v="0"/>
    <x v="15"/>
    <n v="83.403992994746105"/>
    <n v="30442.457443082301"/>
    <n v="109592.846795096"/>
  </r>
  <r>
    <x v="0"/>
    <x v="0"/>
    <x v="0"/>
    <x v="3"/>
    <x v="13"/>
    <s v="SE3_EL"/>
    <x v="13"/>
    <x v="2"/>
    <x v="71"/>
    <x v="0"/>
    <x v="16"/>
    <n v="83.403992994746105"/>
    <n v="30442.457443082301"/>
    <n v="109592.846795096"/>
  </r>
  <r>
    <x v="0"/>
    <x v="0"/>
    <x v="0"/>
    <x v="3"/>
    <x v="13"/>
    <s v="SE3_EL"/>
    <x v="13"/>
    <x v="2"/>
    <x v="71"/>
    <x v="0"/>
    <x v="17"/>
    <n v="83.403992994746105"/>
    <n v="30442.457443082301"/>
    <n v="109592.846795096"/>
  </r>
  <r>
    <x v="0"/>
    <x v="0"/>
    <x v="0"/>
    <x v="3"/>
    <x v="13"/>
    <s v="SE3_EL"/>
    <x v="13"/>
    <x v="2"/>
    <x v="71"/>
    <x v="0"/>
    <x v="18"/>
    <n v="83.403992994746105"/>
    <n v="30442.457443082301"/>
    <n v="109592.846795096"/>
  </r>
  <r>
    <x v="0"/>
    <x v="0"/>
    <x v="0"/>
    <x v="3"/>
    <x v="13"/>
    <s v="SE3_EL"/>
    <x v="13"/>
    <x v="2"/>
    <x v="71"/>
    <x v="0"/>
    <x v="19"/>
    <n v="83.403992994746105"/>
    <n v="30442.457443082301"/>
    <n v="109592.846795096"/>
  </r>
  <r>
    <x v="0"/>
    <x v="0"/>
    <x v="0"/>
    <x v="3"/>
    <x v="13"/>
    <s v="SE3_EL"/>
    <x v="13"/>
    <x v="2"/>
    <x v="71"/>
    <x v="0"/>
    <x v="20"/>
    <n v="83.403992994746105"/>
    <n v="30442.457443082301"/>
    <n v="109592.846795096"/>
  </r>
  <r>
    <x v="0"/>
    <x v="0"/>
    <x v="0"/>
    <x v="3"/>
    <x v="13"/>
    <s v="SE3_EL"/>
    <x v="13"/>
    <x v="2"/>
    <x v="71"/>
    <x v="0"/>
    <x v="21"/>
    <n v="83.403992994746105"/>
    <n v="30442.457443082301"/>
    <n v="109592.846795096"/>
  </r>
  <r>
    <x v="0"/>
    <x v="0"/>
    <x v="0"/>
    <x v="3"/>
    <x v="13"/>
    <s v="SE3_EL"/>
    <x v="13"/>
    <x v="2"/>
    <x v="71"/>
    <x v="0"/>
    <x v="22"/>
    <n v="83.403992994746105"/>
    <n v="30442.457443082301"/>
    <n v="109592.846795096"/>
  </r>
  <r>
    <x v="0"/>
    <x v="0"/>
    <x v="0"/>
    <x v="3"/>
    <x v="13"/>
    <s v="SE3_EL"/>
    <x v="13"/>
    <x v="2"/>
    <x v="71"/>
    <x v="0"/>
    <x v="23"/>
    <n v="83.403992994746105"/>
    <n v="30442.457443082301"/>
    <n v="109592.846795096"/>
  </r>
  <r>
    <x v="0"/>
    <x v="0"/>
    <x v="0"/>
    <x v="3"/>
    <x v="13"/>
    <s v="SE3_GOT"/>
    <x v="1"/>
    <x v="1"/>
    <x v="67"/>
    <x v="0"/>
    <x v="0"/>
    <n v="-6.9577604558618997"/>
    <n v="-2539.5825663895898"/>
    <n v="-9142.4972390025305"/>
  </r>
  <r>
    <x v="0"/>
    <x v="0"/>
    <x v="0"/>
    <x v="3"/>
    <x v="13"/>
    <s v="SE3_GOT"/>
    <x v="1"/>
    <x v="1"/>
    <x v="67"/>
    <x v="0"/>
    <x v="1"/>
    <n v="-8.5189588079594802"/>
    <n v="-3109.4199649052098"/>
    <n v="-11193.911873658801"/>
  </r>
  <r>
    <x v="0"/>
    <x v="0"/>
    <x v="0"/>
    <x v="3"/>
    <x v="13"/>
    <s v="SE3_GOT"/>
    <x v="1"/>
    <x v="1"/>
    <x v="67"/>
    <x v="0"/>
    <x v="2"/>
    <n v="-7.7118700065629904"/>
    <n v="-2814.83255239549"/>
    <n v="-10133.3971886238"/>
  </r>
  <r>
    <x v="0"/>
    <x v="0"/>
    <x v="0"/>
    <x v="3"/>
    <x v="13"/>
    <s v="SE3_GOT"/>
    <x v="1"/>
    <x v="1"/>
    <x v="67"/>
    <x v="0"/>
    <x v="3"/>
    <n v="-11.1831563070253"/>
    <n v="-4081.8520520642501"/>
    <n v="-14694.6673874313"/>
  </r>
  <r>
    <x v="0"/>
    <x v="0"/>
    <x v="0"/>
    <x v="3"/>
    <x v="13"/>
    <s v="SE3_GOT"/>
    <x v="1"/>
    <x v="1"/>
    <x v="67"/>
    <x v="0"/>
    <x v="4"/>
    <n v="-15.2829795038444"/>
    <n v="-5578.2875189032202"/>
    <n v="-20081.835068051601"/>
  </r>
  <r>
    <x v="0"/>
    <x v="0"/>
    <x v="0"/>
    <x v="3"/>
    <x v="13"/>
    <s v="SE3_GOT"/>
    <x v="1"/>
    <x v="1"/>
    <x v="67"/>
    <x v="0"/>
    <x v="5"/>
    <n v="-31.144792853577702"/>
    <n v="-11367.849391555899"/>
    <n v="-40924.257809601098"/>
  </r>
  <r>
    <x v="0"/>
    <x v="0"/>
    <x v="0"/>
    <x v="3"/>
    <x v="13"/>
    <s v="SE3_GOT"/>
    <x v="1"/>
    <x v="1"/>
    <x v="67"/>
    <x v="0"/>
    <x v="6"/>
    <n v="-48.484848484848499"/>
    <n v="-17696.9696969697"/>
    <n v="-63709.090909090897"/>
  </r>
  <r>
    <x v="0"/>
    <x v="0"/>
    <x v="0"/>
    <x v="3"/>
    <x v="13"/>
    <s v="SE3_GOT"/>
    <x v="1"/>
    <x v="1"/>
    <x v="67"/>
    <x v="0"/>
    <x v="7"/>
    <n v="-48.484848484848499"/>
    <n v="-17696.9696969697"/>
    <n v="-63709.090909090897"/>
  </r>
  <r>
    <x v="0"/>
    <x v="0"/>
    <x v="0"/>
    <x v="3"/>
    <x v="13"/>
    <s v="SE3_GOT"/>
    <x v="1"/>
    <x v="1"/>
    <x v="67"/>
    <x v="0"/>
    <x v="8"/>
    <n v="-48.484848484848499"/>
    <n v="-17696.9696969697"/>
    <n v="-63709.090909090897"/>
  </r>
  <r>
    <x v="0"/>
    <x v="0"/>
    <x v="0"/>
    <x v="3"/>
    <x v="13"/>
    <s v="SE3_GOT"/>
    <x v="1"/>
    <x v="1"/>
    <x v="67"/>
    <x v="0"/>
    <x v="9"/>
    <n v="-48.484848484848499"/>
    <n v="-17696.9696969697"/>
    <n v="-63709.090909090897"/>
  </r>
  <r>
    <x v="0"/>
    <x v="0"/>
    <x v="0"/>
    <x v="3"/>
    <x v="13"/>
    <s v="SE3_GOT"/>
    <x v="1"/>
    <x v="1"/>
    <x v="67"/>
    <x v="0"/>
    <x v="10"/>
    <n v="-48.484848484848499"/>
    <n v="-17696.9696969697"/>
    <n v="-63709.090909090897"/>
  </r>
  <r>
    <x v="0"/>
    <x v="0"/>
    <x v="0"/>
    <x v="3"/>
    <x v="13"/>
    <s v="SE3_GOT"/>
    <x v="1"/>
    <x v="1"/>
    <x v="67"/>
    <x v="0"/>
    <x v="11"/>
    <n v="-44.776698832877798"/>
    <n v="-16343.495074000401"/>
    <n v="-58836.582266401398"/>
  </r>
  <r>
    <x v="0"/>
    <x v="0"/>
    <x v="0"/>
    <x v="3"/>
    <x v="13"/>
    <s v="SE3_GOT"/>
    <x v="1"/>
    <x v="1"/>
    <x v="67"/>
    <x v="0"/>
    <x v="12"/>
    <n v="-39.106416534359298"/>
    <n v="-14273.8420350411"/>
    <n v="-51385.831326148102"/>
  </r>
  <r>
    <x v="0"/>
    <x v="0"/>
    <x v="0"/>
    <x v="3"/>
    <x v="13"/>
    <s v="SE3_GOT"/>
    <x v="1"/>
    <x v="1"/>
    <x v="67"/>
    <x v="0"/>
    <x v="13"/>
    <n v="-37.529967002835598"/>
    <n v="-13698.437956035001"/>
    <n v="-49314.376641725998"/>
  </r>
  <r>
    <x v="0"/>
    <x v="0"/>
    <x v="0"/>
    <x v="3"/>
    <x v="13"/>
    <s v="SE3_GOT"/>
    <x v="1"/>
    <x v="1"/>
    <x v="67"/>
    <x v="0"/>
    <x v="14"/>
    <n v="-35.4165537241742"/>
    <n v="-12927.0421093236"/>
    <n v="-46537.351593564897"/>
  </r>
  <r>
    <x v="0"/>
    <x v="0"/>
    <x v="0"/>
    <x v="3"/>
    <x v="13"/>
    <s v="SE3_GOT"/>
    <x v="1"/>
    <x v="1"/>
    <x v="67"/>
    <x v="0"/>
    <x v="15"/>
    <n v="-34.520565937401201"/>
    <n v="-12600.0065671515"/>
    <n v="-45360.023641745203"/>
  </r>
  <r>
    <x v="0"/>
    <x v="0"/>
    <x v="0"/>
    <x v="3"/>
    <x v="13"/>
    <s v="SE3_GOT"/>
    <x v="1"/>
    <x v="1"/>
    <x v="67"/>
    <x v="0"/>
    <x v="16"/>
    <n v="-36.520568163720803"/>
    <n v="-13330.007379758101"/>
    <n v="-47988.026567129098"/>
  </r>
  <r>
    <x v="0"/>
    <x v="0"/>
    <x v="0"/>
    <x v="3"/>
    <x v="13"/>
    <s v="SE3_GOT"/>
    <x v="1"/>
    <x v="1"/>
    <x v="67"/>
    <x v="0"/>
    <x v="17"/>
    <n v="-36.748597211398597"/>
    <n v="-13413.237982160501"/>
    <n v="-48287.656735777797"/>
  </r>
  <r>
    <x v="0"/>
    <x v="0"/>
    <x v="0"/>
    <x v="3"/>
    <x v="13"/>
    <s v="SE3_GOT"/>
    <x v="1"/>
    <x v="1"/>
    <x v="67"/>
    <x v="0"/>
    <x v="18"/>
    <n v="-37.990361578594197"/>
    <n v="-13866.4819761869"/>
    <n v="-49919.335114272697"/>
  </r>
  <r>
    <x v="0"/>
    <x v="0"/>
    <x v="0"/>
    <x v="3"/>
    <x v="13"/>
    <s v="SE3_GOT"/>
    <x v="1"/>
    <x v="1"/>
    <x v="67"/>
    <x v="0"/>
    <x v="19"/>
    <n v="-39.8168763559067"/>
    <n v="-14533.1598699059"/>
    <n v="-52319.375531661397"/>
  </r>
  <r>
    <x v="0"/>
    <x v="0"/>
    <x v="0"/>
    <x v="3"/>
    <x v="13"/>
    <s v="SE3_GOT"/>
    <x v="1"/>
    <x v="1"/>
    <x v="67"/>
    <x v="0"/>
    <x v="20"/>
    <n v="-38.523638836428802"/>
    <n v="-14061.128175296501"/>
    <n v="-50620.061431067501"/>
  </r>
  <r>
    <x v="0"/>
    <x v="0"/>
    <x v="0"/>
    <x v="3"/>
    <x v="13"/>
    <s v="SE3_GOT"/>
    <x v="1"/>
    <x v="1"/>
    <x v="67"/>
    <x v="0"/>
    <x v="21"/>
    <n v="-35.370374531249603"/>
    <n v="-12910.1867039061"/>
    <n v="-46476.672134061897"/>
  </r>
  <r>
    <x v="0"/>
    <x v="0"/>
    <x v="0"/>
    <x v="3"/>
    <x v="13"/>
    <s v="SE3_GOT"/>
    <x v="1"/>
    <x v="1"/>
    <x v="67"/>
    <x v="0"/>
    <x v="22"/>
    <n v="-30.017144737891702"/>
    <n v="-10956.2578293305"/>
    <n v="-39442.528185589697"/>
  </r>
  <r>
    <x v="0"/>
    <x v="0"/>
    <x v="0"/>
    <x v="3"/>
    <x v="13"/>
    <s v="SE3_GOT"/>
    <x v="1"/>
    <x v="1"/>
    <x v="67"/>
    <x v="0"/>
    <x v="23"/>
    <n v="-16.549680618755499"/>
    <n v="-6040.63342584574"/>
    <n v="-21746.280333044699"/>
  </r>
  <r>
    <x v="0"/>
    <x v="0"/>
    <x v="0"/>
    <x v="3"/>
    <x v="13"/>
    <s v="SE3_GOT"/>
    <x v="2"/>
    <x v="2"/>
    <x v="61"/>
    <x v="0"/>
    <x v="0"/>
    <n v="40.6"/>
    <n v="14819"/>
    <n v="53348.4"/>
  </r>
  <r>
    <x v="0"/>
    <x v="0"/>
    <x v="0"/>
    <x v="3"/>
    <x v="13"/>
    <s v="SE3_GOT"/>
    <x v="2"/>
    <x v="2"/>
    <x v="61"/>
    <x v="0"/>
    <x v="1"/>
    <n v="40.6"/>
    <n v="14819"/>
    <n v="53348.4"/>
  </r>
  <r>
    <x v="0"/>
    <x v="0"/>
    <x v="0"/>
    <x v="3"/>
    <x v="13"/>
    <s v="SE3_GOT"/>
    <x v="2"/>
    <x v="2"/>
    <x v="61"/>
    <x v="0"/>
    <x v="2"/>
    <n v="40.6"/>
    <n v="14819"/>
    <n v="53348.4"/>
  </r>
  <r>
    <x v="0"/>
    <x v="0"/>
    <x v="0"/>
    <x v="3"/>
    <x v="13"/>
    <s v="SE3_GOT"/>
    <x v="2"/>
    <x v="2"/>
    <x v="61"/>
    <x v="0"/>
    <x v="3"/>
    <n v="40.6"/>
    <n v="14819"/>
    <n v="53348.4"/>
  </r>
  <r>
    <x v="0"/>
    <x v="0"/>
    <x v="0"/>
    <x v="3"/>
    <x v="13"/>
    <s v="SE3_GOT"/>
    <x v="2"/>
    <x v="2"/>
    <x v="61"/>
    <x v="0"/>
    <x v="4"/>
    <n v="40.6"/>
    <n v="14819"/>
    <n v="53348.4"/>
  </r>
  <r>
    <x v="0"/>
    <x v="0"/>
    <x v="0"/>
    <x v="3"/>
    <x v="13"/>
    <s v="SE3_GOT"/>
    <x v="2"/>
    <x v="2"/>
    <x v="61"/>
    <x v="0"/>
    <x v="5"/>
    <n v="40.6"/>
    <n v="14819"/>
    <n v="53348.4"/>
  </r>
  <r>
    <x v="0"/>
    <x v="0"/>
    <x v="0"/>
    <x v="3"/>
    <x v="13"/>
    <s v="SE3_GOT"/>
    <x v="2"/>
    <x v="2"/>
    <x v="61"/>
    <x v="0"/>
    <x v="6"/>
    <n v="40.6"/>
    <n v="14819"/>
    <n v="53348.4"/>
  </r>
  <r>
    <x v="0"/>
    <x v="0"/>
    <x v="0"/>
    <x v="3"/>
    <x v="13"/>
    <s v="SE3_GOT"/>
    <x v="2"/>
    <x v="2"/>
    <x v="61"/>
    <x v="0"/>
    <x v="7"/>
    <n v="40.6"/>
    <n v="14819"/>
    <n v="53348.4"/>
  </r>
  <r>
    <x v="0"/>
    <x v="0"/>
    <x v="0"/>
    <x v="3"/>
    <x v="13"/>
    <s v="SE3_GOT"/>
    <x v="2"/>
    <x v="2"/>
    <x v="61"/>
    <x v="0"/>
    <x v="8"/>
    <n v="40.6"/>
    <n v="14819"/>
    <n v="53348.4"/>
  </r>
  <r>
    <x v="0"/>
    <x v="0"/>
    <x v="0"/>
    <x v="3"/>
    <x v="13"/>
    <s v="SE3_GOT"/>
    <x v="2"/>
    <x v="2"/>
    <x v="61"/>
    <x v="0"/>
    <x v="9"/>
    <n v="40.6"/>
    <n v="14819"/>
    <n v="53348.4"/>
  </r>
  <r>
    <x v="0"/>
    <x v="0"/>
    <x v="0"/>
    <x v="3"/>
    <x v="13"/>
    <s v="SE3_GOT"/>
    <x v="2"/>
    <x v="2"/>
    <x v="61"/>
    <x v="0"/>
    <x v="10"/>
    <n v="40.6"/>
    <n v="14819"/>
    <n v="53348.4"/>
  </r>
  <r>
    <x v="0"/>
    <x v="0"/>
    <x v="0"/>
    <x v="3"/>
    <x v="13"/>
    <s v="SE3_GOT"/>
    <x v="2"/>
    <x v="2"/>
    <x v="61"/>
    <x v="0"/>
    <x v="11"/>
    <n v="40.6"/>
    <n v="14819"/>
    <n v="53348.4"/>
  </r>
  <r>
    <x v="0"/>
    <x v="0"/>
    <x v="0"/>
    <x v="3"/>
    <x v="13"/>
    <s v="SE3_GOT"/>
    <x v="2"/>
    <x v="2"/>
    <x v="61"/>
    <x v="0"/>
    <x v="12"/>
    <n v="40.6"/>
    <n v="14819"/>
    <n v="53348.4"/>
  </r>
  <r>
    <x v="0"/>
    <x v="0"/>
    <x v="0"/>
    <x v="3"/>
    <x v="13"/>
    <s v="SE3_GOT"/>
    <x v="2"/>
    <x v="2"/>
    <x v="61"/>
    <x v="0"/>
    <x v="13"/>
    <n v="40.6"/>
    <n v="14819"/>
    <n v="53348.4"/>
  </r>
  <r>
    <x v="0"/>
    <x v="0"/>
    <x v="0"/>
    <x v="3"/>
    <x v="13"/>
    <s v="SE3_GOT"/>
    <x v="2"/>
    <x v="2"/>
    <x v="61"/>
    <x v="0"/>
    <x v="14"/>
    <n v="40.6"/>
    <n v="14819"/>
    <n v="53348.4"/>
  </r>
  <r>
    <x v="0"/>
    <x v="0"/>
    <x v="0"/>
    <x v="3"/>
    <x v="13"/>
    <s v="SE3_GOT"/>
    <x v="2"/>
    <x v="2"/>
    <x v="61"/>
    <x v="0"/>
    <x v="15"/>
    <n v="40.6"/>
    <n v="14819"/>
    <n v="53348.4"/>
  </r>
  <r>
    <x v="0"/>
    <x v="0"/>
    <x v="0"/>
    <x v="3"/>
    <x v="13"/>
    <s v="SE3_GOT"/>
    <x v="2"/>
    <x v="2"/>
    <x v="61"/>
    <x v="0"/>
    <x v="16"/>
    <n v="40.6"/>
    <n v="14819"/>
    <n v="53348.4"/>
  </r>
  <r>
    <x v="0"/>
    <x v="0"/>
    <x v="0"/>
    <x v="3"/>
    <x v="13"/>
    <s v="SE3_GOT"/>
    <x v="2"/>
    <x v="2"/>
    <x v="61"/>
    <x v="0"/>
    <x v="17"/>
    <n v="40.6"/>
    <n v="14819"/>
    <n v="53348.4"/>
  </r>
  <r>
    <x v="0"/>
    <x v="0"/>
    <x v="0"/>
    <x v="3"/>
    <x v="13"/>
    <s v="SE3_GOT"/>
    <x v="2"/>
    <x v="2"/>
    <x v="61"/>
    <x v="0"/>
    <x v="18"/>
    <n v="40.6"/>
    <n v="14819"/>
    <n v="53348.4"/>
  </r>
  <r>
    <x v="0"/>
    <x v="0"/>
    <x v="0"/>
    <x v="3"/>
    <x v="13"/>
    <s v="SE3_GOT"/>
    <x v="2"/>
    <x v="2"/>
    <x v="61"/>
    <x v="0"/>
    <x v="19"/>
    <n v="40.6"/>
    <n v="14819"/>
    <n v="53348.4"/>
  </r>
  <r>
    <x v="0"/>
    <x v="0"/>
    <x v="0"/>
    <x v="3"/>
    <x v="13"/>
    <s v="SE3_GOT"/>
    <x v="2"/>
    <x v="2"/>
    <x v="61"/>
    <x v="0"/>
    <x v="20"/>
    <n v="40.6"/>
    <n v="14819"/>
    <n v="53348.4"/>
  </r>
  <r>
    <x v="0"/>
    <x v="0"/>
    <x v="0"/>
    <x v="3"/>
    <x v="13"/>
    <s v="SE3_GOT"/>
    <x v="2"/>
    <x v="2"/>
    <x v="61"/>
    <x v="0"/>
    <x v="21"/>
    <n v="40.6"/>
    <n v="14819"/>
    <n v="53348.4"/>
  </r>
  <r>
    <x v="0"/>
    <x v="0"/>
    <x v="0"/>
    <x v="3"/>
    <x v="13"/>
    <s v="SE3_GOT"/>
    <x v="2"/>
    <x v="2"/>
    <x v="61"/>
    <x v="0"/>
    <x v="22"/>
    <n v="40.6"/>
    <n v="14819"/>
    <n v="53348.4"/>
  </r>
  <r>
    <x v="0"/>
    <x v="0"/>
    <x v="0"/>
    <x v="3"/>
    <x v="13"/>
    <s v="SE3_GOT"/>
    <x v="2"/>
    <x v="2"/>
    <x v="61"/>
    <x v="0"/>
    <x v="23"/>
    <n v="40.6"/>
    <n v="14819"/>
    <n v="53348.4"/>
  </r>
  <r>
    <x v="0"/>
    <x v="0"/>
    <x v="0"/>
    <x v="3"/>
    <x v="13"/>
    <s v="SE3_GOT"/>
    <x v="13"/>
    <x v="2"/>
    <x v="72"/>
    <x v="0"/>
    <x v="0"/>
    <n v="8.7903677758318803"/>
    <n v="3208.4842381786302"/>
    <n v="11550.5432574431"/>
  </r>
  <r>
    <x v="0"/>
    <x v="0"/>
    <x v="0"/>
    <x v="3"/>
    <x v="13"/>
    <s v="SE3_GOT"/>
    <x v="13"/>
    <x v="2"/>
    <x v="72"/>
    <x v="0"/>
    <x v="1"/>
    <n v="8.7903677758318803"/>
    <n v="3208.4842381786302"/>
    <n v="11550.5432574431"/>
  </r>
  <r>
    <x v="0"/>
    <x v="0"/>
    <x v="0"/>
    <x v="3"/>
    <x v="13"/>
    <s v="SE3_GOT"/>
    <x v="13"/>
    <x v="2"/>
    <x v="72"/>
    <x v="0"/>
    <x v="2"/>
    <n v="8.7903677758318803"/>
    <n v="3208.4842381786302"/>
    <n v="11550.5432574431"/>
  </r>
  <r>
    <x v="0"/>
    <x v="0"/>
    <x v="0"/>
    <x v="3"/>
    <x v="13"/>
    <s v="SE3_GOT"/>
    <x v="13"/>
    <x v="2"/>
    <x v="72"/>
    <x v="0"/>
    <x v="3"/>
    <n v="8.7903677758318803"/>
    <n v="3208.4842381786302"/>
    <n v="11550.5432574431"/>
  </r>
  <r>
    <x v="0"/>
    <x v="0"/>
    <x v="0"/>
    <x v="3"/>
    <x v="13"/>
    <s v="SE3_GOT"/>
    <x v="13"/>
    <x v="2"/>
    <x v="72"/>
    <x v="0"/>
    <x v="4"/>
    <n v="8.7903677758318803"/>
    <n v="3208.4842381786302"/>
    <n v="11550.5432574431"/>
  </r>
  <r>
    <x v="0"/>
    <x v="0"/>
    <x v="0"/>
    <x v="3"/>
    <x v="13"/>
    <s v="SE3_GOT"/>
    <x v="13"/>
    <x v="2"/>
    <x v="72"/>
    <x v="0"/>
    <x v="5"/>
    <n v="8.7903677758318803"/>
    <n v="3208.4842381786302"/>
    <n v="11550.5432574431"/>
  </r>
  <r>
    <x v="0"/>
    <x v="0"/>
    <x v="0"/>
    <x v="3"/>
    <x v="13"/>
    <s v="SE3_GOT"/>
    <x v="13"/>
    <x v="2"/>
    <x v="72"/>
    <x v="0"/>
    <x v="6"/>
    <n v="8.7903677758318803"/>
    <n v="3208.4842381786302"/>
    <n v="11550.5432574431"/>
  </r>
  <r>
    <x v="0"/>
    <x v="0"/>
    <x v="0"/>
    <x v="3"/>
    <x v="13"/>
    <s v="SE3_GOT"/>
    <x v="13"/>
    <x v="2"/>
    <x v="72"/>
    <x v="0"/>
    <x v="7"/>
    <n v="8.7903677758318803"/>
    <n v="3208.4842381786302"/>
    <n v="11550.5432574431"/>
  </r>
  <r>
    <x v="0"/>
    <x v="0"/>
    <x v="0"/>
    <x v="3"/>
    <x v="13"/>
    <s v="SE3_GOT"/>
    <x v="13"/>
    <x v="2"/>
    <x v="72"/>
    <x v="0"/>
    <x v="8"/>
    <n v="8.7903677758318803"/>
    <n v="3208.4842381786302"/>
    <n v="11550.5432574431"/>
  </r>
  <r>
    <x v="0"/>
    <x v="0"/>
    <x v="0"/>
    <x v="3"/>
    <x v="13"/>
    <s v="SE3_GOT"/>
    <x v="13"/>
    <x v="2"/>
    <x v="72"/>
    <x v="0"/>
    <x v="9"/>
    <n v="8.7903677758318803"/>
    <n v="3208.4842381786302"/>
    <n v="11550.5432574431"/>
  </r>
  <r>
    <x v="0"/>
    <x v="0"/>
    <x v="0"/>
    <x v="3"/>
    <x v="13"/>
    <s v="SE3_GOT"/>
    <x v="13"/>
    <x v="2"/>
    <x v="72"/>
    <x v="0"/>
    <x v="10"/>
    <n v="8.7903677758318803"/>
    <n v="3208.4842381786302"/>
    <n v="11550.5432574431"/>
  </r>
  <r>
    <x v="0"/>
    <x v="0"/>
    <x v="0"/>
    <x v="3"/>
    <x v="13"/>
    <s v="SE3_GOT"/>
    <x v="13"/>
    <x v="2"/>
    <x v="72"/>
    <x v="0"/>
    <x v="11"/>
    <n v="8.7903677758318803"/>
    <n v="3208.4842381786302"/>
    <n v="11550.5432574431"/>
  </r>
  <r>
    <x v="0"/>
    <x v="0"/>
    <x v="0"/>
    <x v="3"/>
    <x v="13"/>
    <s v="SE3_GOT"/>
    <x v="13"/>
    <x v="2"/>
    <x v="72"/>
    <x v="0"/>
    <x v="12"/>
    <n v="8.7903677758318803"/>
    <n v="3208.4842381786302"/>
    <n v="11550.5432574431"/>
  </r>
  <r>
    <x v="0"/>
    <x v="0"/>
    <x v="0"/>
    <x v="3"/>
    <x v="13"/>
    <s v="SE3_GOT"/>
    <x v="13"/>
    <x v="2"/>
    <x v="72"/>
    <x v="0"/>
    <x v="13"/>
    <n v="8.7903677758318803"/>
    <n v="3208.4842381786302"/>
    <n v="11550.5432574431"/>
  </r>
  <r>
    <x v="0"/>
    <x v="0"/>
    <x v="0"/>
    <x v="3"/>
    <x v="13"/>
    <s v="SE3_GOT"/>
    <x v="13"/>
    <x v="2"/>
    <x v="72"/>
    <x v="0"/>
    <x v="14"/>
    <n v="8.7903677758318803"/>
    <n v="3208.4842381786302"/>
    <n v="11550.5432574431"/>
  </r>
  <r>
    <x v="0"/>
    <x v="0"/>
    <x v="0"/>
    <x v="3"/>
    <x v="13"/>
    <s v="SE3_GOT"/>
    <x v="13"/>
    <x v="2"/>
    <x v="72"/>
    <x v="0"/>
    <x v="15"/>
    <n v="8.7903677758318803"/>
    <n v="3208.4842381786302"/>
    <n v="11550.5432574431"/>
  </r>
  <r>
    <x v="0"/>
    <x v="0"/>
    <x v="0"/>
    <x v="3"/>
    <x v="13"/>
    <s v="SE3_GOT"/>
    <x v="13"/>
    <x v="2"/>
    <x v="72"/>
    <x v="0"/>
    <x v="16"/>
    <n v="8.7903677758318803"/>
    <n v="3208.4842381786302"/>
    <n v="11550.5432574431"/>
  </r>
  <r>
    <x v="0"/>
    <x v="0"/>
    <x v="0"/>
    <x v="3"/>
    <x v="13"/>
    <s v="SE3_GOT"/>
    <x v="13"/>
    <x v="2"/>
    <x v="72"/>
    <x v="0"/>
    <x v="17"/>
    <n v="8.7903677758318803"/>
    <n v="3208.4842381786302"/>
    <n v="11550.5432574431"/>
  </r>
  <r>
    <x v="0"/>
    <x v="0"/>
    <x v="0"/>
    <x v="3"/>
    <x v="13"/>
    <s v="SE3_GOT"/>
    <x v="13"/>
    <x v="2"/>
    <x v="72"/>
    <x v="0"/>
    <x v="18"/>
    <n v="8.7903677758318803"/>
    <n v="3208.4842381786302"/>
    <n v="11550.5432574431"/>
  </r>
  <r>
    <x v="0"/>
    <x v="0"/>
    <x v="0"/>
    <x v="3"/>
    <x v="13"/>
    <s v="SE3_GOT"/>
    <x v="13"/>
    <x v="2"/>
    <x v="72"/>
    <x v="0"/>
    <x v="19"/>
    <n v="8.7903677758318803"/>
    <n v="3208.4842381786302"/>
    <n v="11550.5432574431"/>
  </r>
  <r>
    <x v="0"/>
    <x v="0"/>
    <x v="0"/>
    <x v="3"/>
    <x v="13"/>
    <s v="SE3_GOT"/>
    <x v="13"/>
    <x v="2"/>
    <x v="72"/>
    <x v="0"/>
    <x v="20"/>
    <n v="8.7903677758318803"/>
    <n v="3208.4842381786302"/>
    <n v="11550.5432574431"/>
  </r>
  <r>
    <x v="0"/>
    <x v="0"/>
    <x v="0"/>
    <x v="3"/>
    <x v="13"/>
    <s v="SE3_GOT"/>
    <x v="13"/>
    <x v="2"/>
    <x v="72"/>
    <x v="0"/>
    <x v="21"/>
    <n v="8.7903677758318803"/>
    <n v="3208.4842381786302"/>
    <n v="11550.5432574431"/>
  </r>
  <r>
    <x v="0"/>
    <x v="0"/>
    <x v="0"/>
    <x v="3"/>
    <x v="13"/>
    <s v="SE3_GOT"/>
    <x v="13"/>
    <x v="2"/>
    <x v="72"/>
    <x v="0"/>
    <x v="22"/>
    <n v="8.7903677758318803"/>
    <n v="3208.4842381786302"/>
    <n v="11550.5432574431"/>
  </r>
  <r>
    <x v="0"/>
    <x v="0"/>
    <x v="0"/>
    <x v="3"/>
    <x v="13"/>
    <s v="SE3_GOT"/>
    <x v="13"/>
    <x v="2"/>
    <x v="72"/>
    <x v="0"/>
    <x v="23"/>
    <n v="8.7903677758318803"/>
    <n v="3208.4842381786302"/>
    <n v="11550.5432574431"/>
  </r>
  <r>
    <x v="0"/>
    <x v="0"/>
    <x v="0"/>
    <x v="3"/>
    <x v="13"/>
    <s v="SE3_HP"/>
    <x v="1"/>
    <x v="1"/>
    <x v="73"/>
    <x v="0"/>
    <x v="6"/>
    <n v="-18.004090949742601"/>
    <n v="-6571.4931966560298"/>
    <n v="-23657.3755079617"/>
  </r>
  <r>
    <x v="0"/>
    <x v="0"/>
    <x v="0"/>
    <x v="3"/>
    <x v="13"/>
    <s v="SE3_HP"/>
    <x v="1"/>
    <x v="1"/>
    <x v="73"/>
    <x v="0"/>
    <x v="7"/>
    <n v="-30.629953679485901"/>
    <n v="-11179.9330930124"/>
    <n v="-40247.759134844498"/>
  </r>
  <r>
    <x v="0"/>
    <x v="0"/>
    <x v="0"/>
    <x v="3"/>
    <x v="13"/>
    <s v="SE3_HP"/>
    <x v="1"/>
    <x v="1"/>
    <x v="73"/>
    <x v="0"/>
    <x v="8"/>
    <n v="-30.166161291734799"/>
    <n v="-11010.648871483199"/>
    <n v="-39638.3359373395"/>
  </r>
  <r>
    <x v="0"/>
    <x v="0"/>
    <x v="0"/>
    <x v="3"/>
    <x v="13"/>
    <s v="SE3_HP"/>
    <x v="1"/>
    <x v="1"/>
    <x v="73"/>
    <x v="0"/>
    <x v="9"/>
    <n v="-28.654443285551601"/>
    <n v="-10458.871799226299"/>
    <n v="-37651.938477214797"/>
  </r>
  <r>
    <x v="0"/>
    <x v="0"/>
    <x v="0"/>
    <x v="3"/>
    <x v="13"/>
    <s v="SE3_HP"/>
    <x v="1"/>
    <x v="1"/>
    <x v="73"/>
    <x v="0"/>
    <x v="10"/>
    <n v="-30.8195179236941"/>
    <n v="-11249.1240421483"/>
    <n v="-40496.846551734001"/>
  </r>
  <r>
    <x v="0"/>
    <x v="0"/>
    <x v="0"/>
    <x v="3"/>
    <x v="13"/>
    <s v="SE3_HP"/>
    <x v="1"/>
    <x v="1"/>
    <x v="73"/>
    <x v="0"/>
    <x v="11"/>
    <n v="-37.163197691685497"/>
    <n v="-13564.567157465201"/>
    <n v="-48832.441766874697"/>
  </r>
  <r>
    <x v="0"/>
    <x v="0"/>
    <x v="0"/>
    <x v="3"/>
    <x v="13"/>
    <s v="SE3_HP"/>
    <x v="1"/>
    <x v="1"/>
    <x v="73"/>
    <x v="0"/>
    <x v="12"/>
    <n v="-35.649808338102901"/>
    <n v="-13012.180043407599"/>
    <n v="-46843.848156267297"/>
  </r>
  <r>
    <x v="0"/>
    <x v="0"/>
    <x v="0"/>
    <x v="3"/>
    <x v="13"/>
    <s v="SE3_HP"/>
    <x v="1"/>
    <x v="1"/>
    <x v="73"/>
    <x v="0"/>
    <x v="13"/>
    <n v="-33.6427137624271"/>
    <n v="-12279.5905232859"/>
    <n v="-44206.525883829199"/>
  </r>
  <r>
    <x v="0"/>
    <x v="0"/>
    <x v="0"/>
    <x v="3"/>
    <x v="13"/>
    <s v="SE3_HP"/>
    <x v="1"/>
    <x v="1"/>
    <x v="73"/>
    <x v="0"/>
    <x v="14"/>
    <n v="-30.369826344062499"/>
    <n v="-11084.9866155828"/>
    <n v="-39905.951816098102"/>
  </r>
  <r>
    <x v="0"/>
    <x v="0"/>
    <x v="0"/>
    <x v="3"/>
    <x v="13"/>
    <s v="SE3_HP"/>
    <x v="1"/>
    <x v="1"/>
    <x v="73"/>
    <x v="0"/>
    <x v="15"/>
    <n v="-27.587105124378098"/>
    <n v="-10069.293370398"/>
    <n v="-36249.456133432803"/>
  </r>
  <r>
    <x v="0"/>
    <x v="0"/>
    <x v="0"/>
    <x v="3"/>
    <x v="13"/>
    <s v="SE3_HP"/>
    <x v="1"/>
    <x v="1"/>
    <x v="73"/>
    <x v="0"/>
    <x v="16"/>
    <n v="-26.118612154591698"/>
    <n v="-9533.29343642598"/>
    <n v="-34319.856371133501"/>
  </r>
  <r>
    <x v="0"/>
    <x v="0"/>
    <x v="0"/>
    <x v="3"/>
    <x v="13"/>
    <s v="SE3_HP"/>
    <x v="1"/>
    <x v="1"/>
    <x v="73"/>
    <x v="0"/>
    <x v="17"/>
    <n v="-23.559660844736399"/>
    <n v="-8599.2762083287707"/>
    <n v="-30957.394349983599"/>
  </r>
  <r>
    <x v="0"/>
    <x v="0"/>
    <x v="0"/>
    <x v="3"/>
    <x v="13"/>
    <s v="SE3_HP"/>
    <x v="1"/>
    <x v="1"/>
    <x v="73"/>
    <x v="0"/>
    <x v="18"/>
    <n v="-21.863691417271301"/>
    <n v="-7980.2473673040104"/>
    <n v="-28728.890522294401"/>
  </r>
  <r>
    <x v="0"/>
    <x v="0"/>
    <x v="0"/>
    <x v="3"/>
    <x v="13"/>
    <s v="SE3_HP"/>
    <x v="1"/>
    <x v="1"/>
    <x v="73"/>
    <x v="0"/>
    <x v="19"/>
    <n v="-21.900148315509401"/>
    <n v="-7993.5541351609199"/>
    <n v="-28776.794886579301"/>
  </r>
  <r>
    <x v="0"/>
    <x v="0"/>
    <x v="0"/>
    <x v="3"/>
    <x v="13"/>
    <s v="SE3_HP"/>
    <x v="1"/>
    <x v="1"/>
    <x v="73"/>
    <x v="0"/>
    <x v="20"/>
    <n v="-18.285624177371002"/>
    <n v="-6674.2528247404098"/>
    <n v="-24027.310169065498"/>
  </r>
  <r>
    <x v="0"/>
    <x v="0"/>
    <x v="0"/>
    <x v="3"/>
    <x v="13"/>
    <s v="SE3_HP"/>
    <x v="1"/>
    <x v="1"/>
    <x v="73"/>
    <x v="0"/>
    <x v="21"/>
    <n v="-13.509252203373601"/>
    <n v="-4930.8770542313696"/>
    <n v="-17751.157395232902"/>
  </r>
  <r>
    <x v="0"/>
    <x v="0"/>
    <x v="0"/>
    <x v="3"/>
    <x v="13"/>
    <s v="SE3_HP"/>
    <x v="1"/>
    <x v="1"/>
    <x v="73"/>
    <x v="0"/>
    <x v="22"/>
    <n v="-6.7799205372200104"/>
    <n v="-2474.6709960853"/>
    <n v="-8908.8155859070994"/>
  </r>
  <r>
    <x v="0"/>
    <x v="0"/>
    <x v="0"/>
    <x v="3"/>
    <x v="13"/>
    <s v="SE3_HP"/>
    <x v="2"/>
    <x v="2"/>
    <x v="61"/>
    <x v="0"/>
    <x v="0"/>
    <n v="30.0024714183517"/>
    <n v="10950.9020676984"/>
    <n v="39423.247443714099"/>
  </r>
  <r>
    <x v="0"/>
    <x v="0"/>
    <x v="0"/>
    <x v="3"/>
    <x v="13"/>
    <s v="SE3_HP"/>
    <x v="2"/>
    <x v="2"/>
    <x v="61"/>
    <x v="0"/>
    <x v="1"/>
    <n v="30.0024714183517"/>
    <n v="10950.9020676984"/>
    <n v="39423.247443714099"/>
  </r>
  <r>
    <x v="0"/>
    <x v="0"/>
    <x v="0"/>
    <x v="3"/>
    <x v="13"/>
    <s v="SE3_HP"/>
    <x v="2"/>
    <x v="2"/>
    <x v="61"/>
    <x v="0"/>
    <x v="2"/>
    <n v="30.0024714183517"/>
    <n v="10950.9020676984"/>
    <n v="39423.247443714099"/>
  </r>
  <r>
    <x v="0"/>
    <x v="0"/>
    <x v="0"/>
    <x v="3"/>
    <x v="13"/>
    <s v="SE3_HP"/>
    <x v="2"/>
    <x v="2"/>
    <x v="61"/>
    <x v="0"/>
    <x v="3"/>
    <n v="30.0024714183517"/>
    <n v="10950.9020676984"/>
    <n v="39423.247443714099"/>
  </r>
  <r>
    <x v="0"/>
    <x v="0"/>
    <x v="0"/>
    <x v="3"/>
    <x v="13"/>
    <s v="SE3_HP"/>
    <x v="2"/>
    <x v="2"/>
    <x v="61"/>
    <x v="0"/>
    <x v="4"/>
    <n v="30.0024714183517"/>
    <n v="10950.9020676984"/>
    <n v="39423.247443714099"/>
  </r>
  <r>
    <x v="0"/>
    <x v="0"/>
    <x v="0"/>
    <x v="3"/>
    <x v="13"/>
    <s v="SE3_HP"/>
    <x v="2"/>
    <x v="2"/>
    <x v="61"/>
    <x v="0"/>
    <x v="5"/>
    <n v="30.0024714183517"/>
    <n v="10950.9020676984"/>
    <n v="39423.247443714099"/>
  </r>
  <r>
    <x v="0"/>
    <x v="0"/>
    <x v="0"/>
    <x v="3"/>
    <x v="13"/>
    <s v="SE3_HP"/>
    <x v="2"/>
    <x v="2"/>
    <x v="61"/>
    <x v="0"/>
    <x v="6"/>
    <n v="30.0024714183517"/>
    <n v="10950.9020676984"/>
    <n v="39423.247443714099"/>
  </r>
  <r>
    <x v="0"/>
    <x v="0"/>
    <x v="0"/>
    <x v="3"/>
    <x v="13"/>
    <s v="SE3_HP"/>
    <x v="2"/>
    <x v="2"/>
    <x v="61"/>
    <x v="0"/>
    <x v="7"/>
    <n v="30.0024714183517"/>
    <n v="10950.9020676984"/>
    <n v="39423.247443714099"/>
  </r>
  <r>
    <x v="0"/>
    <x v="0"/>
    <x v="0"/>
    <x v="3"/>
    <x v="13"/>
    <s v="SE3_HP"/>
    <x v="2"/>
    <x v="2"/>
    <x v="61"/>
    <x v="0"/>
    <x v="8"/>
    <n v="30.0024714183517"/>
    <n v="10950.9020676984"/>
    <n v="39423.247443714099"/>
  </r>
  <r>
    <x v="0"/>
    <x v="0"/>
    <x v="0"/>
    <x v="3"/>
    <x v="13"/>
    <s v="SE3_HP"/>
    <x v="2"/>
    <x v="2"/>
    <x v="61"/>
    <x v="0"/>
    <x v="9"/>
    <n v="30.0024714183517"/>
    <n v="10950.9020676984"/>
    <n v="39423.247443714099"/>
  </r>
  <r>
    <x v="0"/>
    <x v="0"/>
    <x v="0"/>
    <x v="3"/>
    <x v="13"/>
    <s v="SE3_HP"/>
    <x v="2"/>
    <x v="2"/>
    <x v="61"/>
    <x v="0"/>
    <x v="10"/>
    <n v="30.0024714183517"/>
    <n v="10950.9020676984"/>
    <n v="39423.247443714099"/>
  </r>
  <r>
    <x v="0"/>
    <x v="0"/>
    <x v="0"/>
    <x v="3"/>
    <x v="13"/>
    <s v="SE3_HP"/>
    <x v="2"/>
    <x v="2"/>
    <x v="61"/>
    <x v="0"/>
    <x v="11"/>
    <n v="30.0024714183517"/>
    <n v="10950.9020676984"/>
    <n v="39423.247443714099"/>
  </r>
  <r>
    <x v="0"/>
    <x v="0"/>
    <x v="0"/>
    <x v="3"/>
    <x v="13"/>
    <s v="SE3_HP"/>
    <x v="2"/>
    <x v="2"/>
    <x v="61"/>
    <x v="0"/>
    <x v="12"/>
    <n v="30.0024714183517"/>
    <n v="10950.9020676984"/>
    <n v="39423.247443714099"/>
  </r>
  <r>
    <x v="0"/>
    <x v="0"/>
    <x v="0"/>
    <x v="3"/>
    <x v="13"/>
    <s v="SE3_HP"/>
    <x v="2"/>
    <x v="2"/>
    <x v="61"/>
    <x v="0"/>
    <x v="13"/>
    <n v="30.0024714183517"/>
    <n v="10950.9020676984"/>
    <n v="39423.247443714099"/>
  </r>
  <r>
    <x v="0"/>
    <x v="0"/>
    <x v="0"/>
    <x v="3"/>
    <x v="13"/>
    <s v="SE3_HP"/>
    <x v="2"/>
    <x v="2"/>
    <x v="61"/>
    <x v="0"/>
    <x v="14"/>
    <n v="30.0024714183517"/>
    <n v="10950.9020676984"/>
    <n v="39423.247443714099"/>
  </r>
  <r>
    <x v="0"/>
    <x v="0"/>
    <x v="0"/>
    <x v="3"/>
    <x v="13"/>
    <s v="SE3_HP"/>
    <x v="2"/>
    <x v="2"/>
    <x v="61"/>
    <x v="0"/>
    <x v="15"/>
    <n v="30.0024714183517"/>
    <n v="10950.9020676984"/>
    <n v="39423.247443714099"/>
  </r>
  <r>
    <x v="0"/>
    <x v="0"/>
    <x v="0"/>
    <x v="3"/>
    <x v="13"/>
    <s v="SE3_HP"/>
    <x v="2"/>
    <x v="2"/>
    <x v="61"/>
    <x v="0"/>
    <x v="16"/>
    <n v="30.0024714183517"/>
    <n v="10950.9020676984"/>
    <n v="39423.247443714099"/>
  </r>
  <r>
    <x v="0"/>
    <x v="0"/>
    <x v="0"/>
    <x v="3"/>
    <x v="13"/>
    <s v="SE3_HP"/>
    <x v="2"/>
    <x v="2"/>
    <x v="61"/>
    <x v="0"/>
    <x v="17"/>
    <n v="30.0024714183517"/>
    <n v="10950.9020676984"/>
    <n v="39423.247443714099"/>
  </r>
  <r>
    <x v="0"/>
    <x v="0"/>
    <x v="0"/>
    <x v="3"/>
    <x v="13"/>
    <s v="SE3_HP"/>
    <x v="2"/>
    <x v="2"/>
    <x v="61"/>
    <x v="0"/>
    <x v="18"/>
    <n v="30.0024714183517"/>
    <n v="10950.9020676984"/>
    <n v="39423.247443714099"/>
  </r>
  <r>
    <x v="0"/>
    <x v="0"/>
    <x v="0"/>
    <x v="3"/>
    <x v="13"/>
    <s v="SE3_HP"/>
    <x v="2"/>
    <x v="2"/>
    <x v="61"/>
    <x v="0"/>
    <x v="19"/>
    <n v="30.0024714183517"/>
    <n v="10950.9020676984"/>
    <n v="39423.247443714099"/>
  </r>
  <r>
    <x v="0"/>
    <x v="0"/>
    <x v="0"/>
    <x v="3"/>
    <x v="13"/>
    <s v="SE3_HP"/>
    <x v="2"/>
    <x v="2"/>
    <x v="61"/>
    <x v="0"/>
    <x v="20"/>
    <n v="30.0024714183517"/>
    <n v="10950.9020676984"/>
    <n v="39423.247443714099"/>
  </r>
  <r>
    <x v="0"/>
    <x v="0"/>
    <x v="0"/>
    <x v="3"/>
    <x v="13"/>
    <s v="SE3_HP"/>
    <x v="2"/>
    <x v="2"/>
    <x v="61"/>
    <x v="0"/>
    <x v="21"/>
    <n v="30.0024714183517"/>
    <n v="10950.9020676984"/>
    <n v="39423.247443714099"/>
  </r>
  <r>
    <x v="0"/>
    <x v="0"/>
    <x v="0"/>
    <x v="3"/>
    <x v="13"/>
    <s v="SE3_HP"/>
    <x v="2"/>
    <x v="2"/>
    <x v="61"/>
    <x v="0"/>
    <x v="22"/>
    <n v="30.0024714183517"/>
    <n v="10950.9020676984"/>
    <n v="39423.247443714099"/>
  </r>
  <r>
    <x v="0"/>
    <x v="0"/>
    <x v="0"/>
    <x v="3"/>
    <x v="13"/>
    <s v="SE3_HP"/>
    <x v="2"/>
    <x v="2"/>
    <x v="61"/>
    <x v="0"/>
    <x v="23"/>
    <n v="30.0024714183517"/>
    <n v="10950.9020676984"/>
    <n v="39423.247443714099"/>
  </r>
  <r>
    <x v="0"/>
    <x v="0"/>
    <x v="0"/>
    <x v="3"/>
    <x v="13"/>
    <s v="SE3_HP"/>
    <x v="13"/>
    <x v="2"/>
    <x v="64"/>
    <x v="0"/>
    <x v="0"/>
    <n v="20.2854640980736"/>
    <n v="7404.1943957968497"/>
    <n v="26655.099824868699"/>
  </r>
  <r>
    <x v="0"/>
    <x v="0"/>
    <x v="0"/>
    <x v="3"/>
    <x v="13"/>
    <s v="SE3_HP"/>
    <x v="13"/>
    <x v="2"/>
    <x v="64"/>
    <x v="0"/>
    <x v="1"/>
    <n v="20.2854640980736"/>
    <n v="7404.1943957968497"/>
    <n v="26655.099824868699"/>
  </r>
  <r>
    <x v="0"/>
    <x v="0"/>
    <x v="0"/>
    <x v="3"/>
    <x v="13"/>
    <s v="SE3_HP"/>
    <x v="13"/>
    <x v="2"/>
    <x v="64"/>
    <x v="0"/>
    <x v="2"/>
    <n v="20.2854640980736"/>
    <n v="7404.1943957968497"/>
    <n v="26655.099824868699"/>
  </r>
  <r>
    <x v="0"/>
    <x v="0"/>
    <x v="0"/>
    <x v="3"/>
    <x v="13"/>
    <s v="SE3_HP"/>
    <x v="13"/>
    <x v="2"/>
    <x v="64"/>
    <x v="0"/>
    <x v="3"/>
    <n v="20.2854640980736"/>
    <n v="7404.1943957968497"/>
    <n v="26655.099824868699"/>
  </r>
  <r>
    <x v="0"/>
    <x v="0"/>
    <x v="0"/>
    <x v="3"/>
    <x v="13"/>
    <s v="SE3_HP"/>
    <x v="13"/>
    <x v="2"/>
    <x v="64"/>
    <x v="0"/>
    <x v="4"/>
    <n v="20.2854640980736"/>
    <n v="7404.1943957968497"/>
    <n v="26655.099824868699"/>
  </r>
  <r>
    <x v="0"/>
    <x v="0"/>
    <x v="0"/>
    <x v="3"/>
    <x v="13"/>
    <s v="SE3_HP"/>
    <x v="13"/>
    <x v="2"/>
    <x v="64"/>
    <x v="0"/>
    <x v="5"/>
    <n v="20.2854640980736"/>
    <n v="7404.1943957968497"/>
    <n v="26655.099824868699"/>
  </r>
  <r>
    <x v="0"/>
    <x v="0"/>
    <x v="0"/>
    <x v="3"/>
    <x v="13"/>
    <s v="SE3_HP"/>
    <x v="13"/>
    <x v="2"/>
    <x v="64"/>
    <x v="0"/>
    <x v="6"/>
    <n v="20.2854640980736"/>
    <n v="7404.1943957968497"/>
    <n v="26655.099824868699"/>
  </r>
  <r>
    <x v="0"/>
    <x v="0"/>
    <x v="0"/>
    <x v="3"/>
    <x v="13"/>
    <s v="SE3_HP"/>
    <x v="13"/>
    <x v="2"/>
    <x v="64"/>
    <x v="0"/>
    <x v="7"/>
    <n v="20.2854640980736"/>
    <n v="7404.1943957968497"/>
    <n v="26655.099824868699"/>
  </r>
  <r>
    <x v="0"/>
    <x v="0"/>
    <x v="0"/>
    <x v="3"/>
    <x v="13"/>
    <s v="SE3_HP"/>
    <x v="13"/>
    <x v="2"/>
    <x v="64"/>
    <x v="0"/>
    <x v="8"/>
    <n v="20.2854640980736"/>
    <n v="7404.1943957968497"/>
    <n v="26655.099824868699"/>
  </r>
  <r>
    <x v="0"/>
    <x v="0"/>
    <x v="0"/>
    <x v="3"/>
    <x v="13"/>
    <s v="SE3_HP"/>
    <x v="13"/>
    <x v="2"/>
    <x v="64"/>
    <x v="0"/>
    <x v="9"/>
    <n v="20.2854640980736"/>
    <n v="7404.1943957968497"/>
    <n v="26655.099824868699"/>
  </r>
  <r>
    <x v="0"/>
    <x v="0"/>
    <x v="0"/>
    <x v="3"/>
    <x v="13"/>
    <s v="SE3_HP"/>
    <x v="13"/>
    <x v="2"/>
    <x v="64"/>
    <x v="0"/>
    <x v="10"/>
    <n v="20.2854640980736"/>
    <n v="7404.1943957968497"/>
    <n v="26655.099824868699"/>
  </r>
  <r>
    <x v="0"/>
    <x v="0"/>
    <x v="0"/>
    <x v="3"/>
    <x v="13"/>
    <s v="SE3_HP"/>
    <x v="13"/>
    <x v="2"/>
    <x v="64"/>
    <x v="0"/>
    <x v="11"/>
    <n v="20.2854640980736"/>
    <n v="7404.1943957968497"/>
    <n v="26655.099824868699"/>
  </r>
  <r>
    <x v="0"/>
    <x v="0"/>
    <x v="0"/>
    <x v="3"/>
    <x v="13"/>
    <s v="SE3_HP"/>
    <x v="13"/>
    <x v="2"/>
    <x v="64"/>
    <x v="0"/>
    <x v="12"/>
    <n v="20.2854640980736"/>
    <n v="7404.1943957968497"/>
    <n v="26655.099824868699"/>
  </r>
  <r>
    <x v="0"/>
    <x v="0"/>
    <x v="0"/>
    <x v="3"/>
    <x v="13"/>
    <s v="SE3_HP"/>
    <x v="13"/>
    <x v="2"/>
    <x v="64"/>
    <x v="0"/>
    <x v="13"/>
    <n v="20.2854640980736"/>
    <n v="7404.1943957968497"/>
    <n v="26655.099824868699"/>
  </r>
  <r>
    <x v="0"/>
    <x v="0"/>
    <x v="0"/>
    <x v="3"/>
    <x v="13"/>
    <s v="SE3_HP"/>
    <x v="13"/>
    <x v="2"/>
    <x v="64"/>
    <x v="0"/>
    <x v="14"/>
    <n v="20.2854640980736"/>
    <n v="7404.1943957968497"/>
    <n v="26655.099824868699"/>
  </r>
  <r>
    <x v="0"/>
    <x v="0"/>
    <x v="0"/>
    <x v="3"/>
    <x v="13"/>
    <s v="SE3_HP"/>
    <x v="13"/>
    <x v="2"/>
    <x v="64"/>
    <x v="0"/>
    <x v="15"/>
    <n v="20.2854640980736"/>
    <n v="7404.1943957968497"/>
    <n v="26655.099824868699"/>
  </r>
  <r>
    <x v="0"/>
    <x v="0"/>
    <x v="0"/>
    <x v="3"/>
    <x v="13"/>
    <s v="SE3_HP"/>
    <x v="13"/>
    <x v="2"/>
    <x v="64"/>
    <x v="0"/>
    <x v="16"/>
    <n v="20.2854640980736"/>
    <n v="7404.1943957968497"/>
    <n v="26655.099824868699"/>
  </r>
  <r>
    <x v="0"/>
    <x v="0"/>
    <x v="0"/>
    <x v="3"/>
    <x v="13"/>
    <s v="SE3_HP"/>
    <x v="13"/>
    <x v="2"/>
    <x v="64"/>
    <x v="0"/>
    <x v="17"/>
    <n v="20.2854640980736"/>
    <n v="7404.1943957968497"/>
    <n v="26655.099824868699"/>
  </r>
  <r>
    <x v="0"/>
    <x v="0"/>
    <x v="0"/>
    <x v="3"/>
    <x v="13"/>
    <s v="SE3_HP"/>
    <x v="13"/>
    <x v="2"/>
    <x v="64"/>
    <x v="0"/>
    <x v="18"/>
    <n v="20.2854640980736"/>
    <n v="7404.1943957968497"/>
    <n v="26655.099824868699"/>
  </r>
  <r>
    <x v="0"/>
    <x v="0"/>
    <x v="0"/>
    <x v="3"/>
    <x v="13"/>
    <s v="SE3_HP"/>
    <x v="13"/>
    <x v="2"/>
    <x v="64"/>
    <x v="0"/>
    <x v="19"/>
    <n v="20.2854640980736"/>
    <n v="7404.1943957968497"/>
    <n v="26655.099824868699"/>
  </r>
  <r>
    <x v="0"/>
    <x v="0"/>
    <x v="0"/>
    <x v="3"/>
    <x v="13"/>
    <s v="SE3_HP"/>
    <x v="13"/>
    <x v="2"/>
    <x v="64"/>
    <x v="0"/>
    <x v="20"/>
    <n v="20.2854640980736"/>
    <n v="7404.1943957968497"/>
    <n v="26655.099824868699"/>
  </r>
  <r>
    <x v="0"/>
    <x v="0"/>
    <x v="0"/>
    <x v="3"/>
    <x v="13"/>
    <s v="SE3_HP"/>
    <x v="13"/>
    <x v="2"/>
    <x v="64"/>
    <x v="0"/>
    <x v="21"/>
    <n v="20.2854640980736"/>
    <n v="7404.1943957968497"/>
    <n v="26655.099824868699"/>
  </r>
  <r>
    <x v="0"/>
    <x v="0"/>
    <x v="0"/>
    <x v="3"/>
    <x v="13"/>
    <s v="SE3_HP"/>
    <x v="13"/>
    <x v="2"/>
    <x v="64"/>
    <x v="0"/>
    <x v="22"/>
    <n v="20.2854640980736"/>
    <n v="7404.1943957968497"/>
    <n v="26655.099824868699"/>
  </r>
  <r>
    <x v="0"/>
    <x v="0"/>
    <x v="0"/>
    <x v="3"/>
    <x v="13"/>
    <s v="SE3_HP"/>
    <x v="13"/>
    <x v="2"/>
    <x v="64"/>
    <x v="0"/>
    <x v="23"/>
    <n v="20.2854640980736"/>
    <n v="7404.1943957968497"/>
    <n v="26655.099824868699"/>
  </r>
  <r>
    <x v="0"/>
    <x v="0"/>
    <x v="0"/>
    <x v="3"/>
    <x v="13"/>
    <s v="SE3_HP"/>
    <x v="13"/>
    <x v="0"/>
    <x v="74"/>
    <x v="0"/>
    <x v="0"/>
    <n v="91.782553471115193"/>
    <n v="33500.632016957097"/>
    <n v="120602.275261045"/>
  </r>
  <r>
    <x v="0"/>
    <x v="0"/>
    <x v="0"/>
    <x v="3"/>
    <x v="13"/>
    <s v="SE3_HP"/>
    <x v="13"/>
    <x v="0"/>
    <x v="74"/>
    <x v="0"/>
    <x v="1"/>
    <n v="90.510866472759602"/>
    <n v="33036.466262557202"/>
    <n v="118931.27854520601"/>
  </r>
  <r>
    <x v="0"/>
    <x v="0"/>
    <x v="0"/>
    <x v="3"/>
    <x v="13"/>
    <s v="SE3_HP"/>
    <x v="13"/>
    <x v="0"/>
    <x v="74"/>
    <x v="0"/>
    <x v="2"/>
    <n v="90.374928297296705"/>
    <n v="32986.848828513299"/>
    <n v="118752.655782648"/>
  </r>
  <r>
    <x v="0"/>
    <x v="0"/>
    <x v="0"/>
    <x v="3"/>
    <x v="13"/>
    <s v="SE3_HP"/>
    <x v="13"/>
    <x v="0"/>
    <x v="74"/>
    <x v="0"/>
    <x v="3"/>
    <n v="87.2179941166617"/>
    <n v="31834.567852581498"/>
    <n v="114604.444269293"/>
  </r>
  <r>
    <x v="0"/>
    <x v="0"/>
    <x v="0"/>
    <x v="3"/>
    <x v="13"/>
    <s v="SE3_HP"/>
    <x v="13"/>
    <x v="0"/>
    <x v="74"/>
    <x v="0"/>
    <x v="4"/>
    <n v="83.618369224391103"/>
    <n v="30520.704766902702"/>
    <n v="109874.53716085"/>
  </r>
  <r>
    <x v="0"/>
    <x v="0"/>
    <x v="0"/>
    <x v="3"/>
    <x v="13"/>
    <s v="SE3_HP"/>
    <x v="13"/>
    <x v="0"/>
    <x v="74"/>
    <x v="0"/>
    <x v="5"/>
    <n v="74.647959444020799"/>
    <n v="27246.5051970676"/>
    <n v="98087.4187094433"/>
  </r>
  <r>
    <x v="0"/>
    <x v="0"/>
    <x v="0"/>
    <x v="3"/>
    <x v="13"/>
    <s v="SE3_HP"/>
    <x v="13"/>
    <x v="0"/>
    <x v="74"/>
    <x v="0"/>
    <x v="6"/>
    <n v="67.583478341930203"/>
    <n v="24667.969594804501"/>
    <n v="88804.690541296397"/>
  </r>
  <r>
    <x v="0"/>
    <x v="0"/>
    <x v="0"/>
    <x v="3"/>
    <x v="13"/>
    <s v="SE3_HP"/>
    <x v="13"/>
    <x v="0"/>
    <x v="74"/>
    <x v="0"/>
    <x v="7"/>
    <n v="67.583478341930203"/>
    <n v="24667.969594804501"/>
    <n v="88804.690541296397"/>
  </r>
  <r>
    <x v="0"/>
    <x v="0"/>
    <x v="0"/>
    <x v="3"/>
    <x v="13"/>
    <s v="SE3_HP"/>
    <x v="13"/>
    <x v="0"/>
    <x v="74"/>
    <x v="0"/>
    <x v="8"/>
    <n v="67.583478341930203"/>
    <n v="24667.969594804501"/>
    <n v="88804.690541296397"/>
  </r>
  <r>
    <x v="0"/>
    <x v="0"/>
    <x v="0"/>
    <x v="3"/>
    <x v="13"/>
    <s v="SE3_HP"/>
    <x v="13"/>
    <x v="0"/>
    <x v="74"/>
    <x v="0"/>
    <x v="9"/>
    <n v="67.583478341930203"/>
    <n v="24667.969594804501"/>
    <n v="88804.690541296397"/>
  </r>
  <r>
    <x v="0"/>
    <x v="0"/>
    <x v="0"/>
    <x v="3"/>
    <x v="13"/>
    <s v="SE3_HP"/>
    <x v="13"/>
    <x v="0"/>
    <x v="74"/>
    <x v="0"/>
    <x v="10"/>
    <n v="67.583478341930203"/>
    <n v="24667.969594804501"/>
    <n v="88804.690541296397"/>
  </r>
  <r>
    <x v="0"/>
    <x v="0"/>
    <x v="0"/>
    <x v="3"/>
    <x v="13"/>
    <s v="SE3_HP"/>
    <x v="13"/>
    <x v="0"/>
    <x v="74"/>
    <x v="0"/>
    <x v="11"/>
    <n v="67.583478341930203"/>
    <n v="24667.969594804501"/>
    <n v="88804.690541296397"/>
  </r>
  <r>
    <x v="0"/>
    <x v="0"/>
    <x v="0"/>
    <x v="3"/>
    <x v="13"/>
    <s v="SE3_HP"/>
    <x v="13"/>
    <x v="0"/>
    <x v="74"/>
    <x v="0"/>
    <x v="12"/>
    <n v="67.583478341930203"/>
    <n v="24667.969594804501"/>
    <n v="88804.690541296397"/>
  </r>
  <r>
    <x v="0"/>
    <x v="0"/>
    <x v="0"/>
    <x v="3"/>
    <x v="13"/>
    <s v="SE3_HP"/>
    <x v="13"/>
    <x v="0"/>
    <x v="74"/>
    <x v="0"/>
    <x v="13"/>
    <n v="67.583478341930203"/>
    <n v="24667.969594804501"/>
    <n v="88804.690541296397"/>
  </r>
  <r>
    <x v="0"/>
    <x v="0"/>
    <x v="0"/>
    <x v="3"/>
    <x v="13"/>
    <s v="SE3_HP"/>
    <x v="13"/>
    <x v="0"/>
    <x v="74"/>
    <x v="0"/>
    <x v="14"/>
    <n v="67.583478341930203"/>
    <n v="24667.969594804501"/>
    <n v="88804.690541296397"/>
  </r>
  <r>
    <x v="0"/>
    <x v="0"/>
    <x v="0"/>
    <x v="3"/>
    <x v="13"/>
    <s v="SE3_HP"/>
    <x v="13"/>
    <x v="0"/>
    <x v="74"/>
    <x v="0"/>
    <x v="15"/>
    <n v="67.583478341930203"/>
    <n v="24667.969594804501"/>
    <n v="88804.690541296397"/>
  </r>
  <r>
    <x v="0"/>
    <x v="0"/>
    <x v="0"/>
    <x v="3"/>
    <x v="13"/>
    <s v="SE3_HP"/>
    <x v="13"/>
    <x v="0"/>
    <x v="74"/>
    <x v="0"/>
    <x v="16"/>
    <n v="67.583478341930203"/>
    <n v="24667.969594804501"/>
    <n v="88804.690541296397"/>
  </r>
  <r>
    <x v="0"/>
    <x v="0"/>
    <x v="0"/>
    <x v="3"/>
    <x v="13"/>
    <s v="SE3_HP"/>
    <x v="13"/>
    <x v="0"/>
    <x v="74"/>
    <x v="0"/>
    <x v="17"/>
    <n v="67.583478341930203"/>
    <n v="24667.969594804501"/>
    <n v="88804.690541296397"/>
  </r>
  <r>
    <x v="0"/>
    <x v="0"/>
    <x v="0"/>
    <x v="3"/>
    <x v="13"/>
    <s v="SE3_HP"/>
    <x v="13"/>
    <x v="0"/>
    <x v="74"/>
    <x v="0"/>
    <x v="18"/>
    <n v="67.583478341930203"/>
    <n v="24667.969594804501"/>
    <n v="88804.690541296397"/>
  </r>
  <r>
    <x v="0"/>
    <x v="0"/>
    <x v="0"/>
    <x v="3"/>
    <x v="13"/>
    <s v="SE3_HP"/>
    <x v="13"/>
    <x v="0"/>
    <x v="74"/>
    <x v="0"/>
    <x v="19"/>
    <n v="67.583478341930203"/>
    <n v="24667.969594804501"/>
    <n v="88804.690541296397"/>
  </r>
  <r>
    <x v="0"/>
    <x v="0"/>
    <x v="0"/>
    <x v="3"/>
    <x v="13"/>
    <s v="SE3_HP"/>
    <x v="13"/>
    <x v="0"/>
    <x v="74"/>
    <x v="0"/>
    <x v="20"/>
    <n v="67.583478341930203"/>
    <n v="24667.969594804501"/>
    <n v="88804.690541296397"/>
  </r>
  <r>
    <x v="0"/>
    <x v="0"/>
    <x v="0"/>
    <x v="3"/>
    <x v="13"/>
    <s v="SE3_HP"/>
    <x v="13"/>
    <x v="0"/>
    <x v="74"/>
    <x v="0"/>
    <x v="21"/>
    <n v="67.583478341930203"/>
    <n v="24667.969594804501"/>
    <n v="88804.690541296397"/>
  </r>
  <r>
    <x v="0"/>
    <x v="0"/>
    <x v="0"/>
    <x v="3"/>
    <x v="13"/>
    <s v="SE3_HP"/>
    <x v="13"/>
    <x v="0"/>
    <x v="74"/>
    <x v="0"/>
    <x v="22"/>
    <n v="67.583478341930203"/>
    <n v="24667.969594804501"/>
    <n v="88804.690541296397"/>
  </r>
  <r>
    <x v="0"/>
    <x v="0"/>
    <x v="0"/>
    <x v="3"/>
    <x v="13"/>
    <s v="SE3_HP"/>
    <x v="13"/>
    <x v="0"/>
    <x v="74"/>
    <x v="0"/>
    <x v="23"/>
    <n v="70.990965207118293"/>
    <n v="25911.702300598201"/>
    <n v="93282.128282153499"/>
  </r>
  <r>
    <x v="0"/>
    <x v="0"/>
    <x v="0"/>
    <x v="3"/>
    <x v="13"/>
    <s v="SE3_OTHER"/>
    <x v="0"/>
    <x v="2"/>
    <x v="75"/>
    <x v="0"/>
    <x v="5"/>
    <n v="19.911618082563201"/>
    <n v="7267.7406001355603"/>
    <n v="26163.866160488"/>
  </r>
  <r>
    <x v="0"/>
    <x v="0"/>
    <x v="0"/>
    <x v="3"/>
    <x v="13"/>
    <s v="SE3_OTHER"/>
    <x v="0"/>
    <x v="2"/>
    <x v="75"/>
    <x v="0"/>
    <x v="6"/>
    <n v="19.911618082563201"/>
    <n v="7267.7406001355603"/>
    <n v="26163.866160488"/>
  </r>
  <r>
    <x v="0"/>
    <x v="0"/>
    <x v="0"/>
    <x v="3"/>
    <x v="13"/>
    <s v="SE3_OTHER"/>
    <x v="0"/>
    <x v="2"/>
    <x v="75"/>
    <x v="0"/>
    <x v="7"/>
    <n v="19.911618082563201"/>
    <n v="7267.7406001355603"/>
    <n v="26163.866160488"/>
  </r>
  <r>
    <x v="0"/>
    <x v="0"/>
    <x v="0"/>
    <x v="3"/>
    <x v="13"/>
    <s v="SE3_OTHER"/>
    <x v="0"/>
    <x v="2"/>
    <x v="75"/>
    <x v="0"/>
    <x v="8"/>
    <n v="19.911618082563201"/>
    <n v="7267.7406001355603"/>
    <n v="26163.866160488"/>
  </r>
  <r>
    <x v="0"/>
    <x v="0"/>
    <x v="0"/>
    <x v="3"/>
    <x v="13"/>
    <s v="SE3_OTHER"/>
    <x v="0"/>
    <x v="2"/>
    <x v="75"/>
    <x v="0"/>
    <x v="9"/>
    <n v="19.911618082563201"/>
    <n v="7267.7406001355603"/>
    <n v="26163.866160488"/>
  </r>
  <r>
    <x v="0"/>
    <x v="0"/>
    <x v="0"/>
    <x v="3"/>
    <x v="13"/>
    <s v="SE3_OTHER"/>
    <x v="0"/>
    <x v="2"/>
    <x v="75"/>
    <x v="0"/>
    <x v="10"/>
    <n v="19.911618082563201"/>
    <n v="7267.7406001355603"/>
    <n v="26163.866160488"/>
  </r>
  <r>
    <x v="0"/>
    <x v="0"/>
    <x v="0"/>
    <x v="3"/>
    <x v="13"/>
    <s v="SE3_OTHER"/>
    <x v="0"/>
    <x v="2"/>
    <x v="75"/>
    <x v="0"/>
    <x v="11"/>
    <n v="19.911618082563201"/>
    <n v="7267.7406001355603"/>
    <n v="26163.866160488"/>
  </r>
  <r>
    <x v="0"/>
    <x v="0"/>
    <x v="0"/>
    <x v="3"/>
    <x v="13"/>
    <s v="SE3_OTHER"/>
    <x v="0"/>
    <x v="2"/>
    <x v="75"/>
    <x v="0"/>
    <x v="12"/>
    <n v="19.911618082563201"/>
    <n v="7267.7406001355603"/>
    <n v="26163.866160488"/>
  </r>
  <r>
    <x v="0"/>
    <x v="0"/>
    <x v="0"/>
    <x v="3"/>
    <x v="13"/>
    <s v="SE3_OTHER"/>
    <x v="0"/>
    <x v="2"/>
    <x v="75"/>
    <x v="0"/>
    <x v="13"/>
    <n v="19.911618082563201"/>
    <n v="7267.7406001355603"/>
    <n v="26163.866160488"/>
  </r>
  <r>
    <x v="0"/>
    <x v="0"/>
    <x v="0"/>
    <x v="3"/>
    <x v="13"/>
    <s v="SE3_OTHER"/>
    <x v="0"/>
    <x v="2"/>
    <x v="75"/>
    <x v="0"/>
    <x v="14"/>
    <n v="19.911618082563201"/>
    <n v="7267.7406001355603"/>
    <n v="26163.866160488"/>
  </r>
  <r>
    <x v="0"/>
    <x v="0"/>
    <x v="0"/>
    <x v="3"/>
    <x v="13"/>
    <s v="SE3_OTHER"/>
    <x v="0"/>
    <x v="2"/>
    <x v="75"/>
    <x v="0"/>
    <x v="15"/>
    <n v="19.911618082563201"/>
    <n v="7267.7406001355603"/>
    <n v="26163.866160488"/>
  </r>
  <r>
    <x v="0"/>
    <x v="0"/>
    <x v="0"/>
    <x v="3"/>
    <x v="13"/>
    <s v="SE3_OTHER"/>
    <x v="0"/>
    <x v="2"/>
    <x v="75"/>
    <x v="0"/>
    <x v="16"/>
    <n v="19.911618082563201"/>
    <n v="7267.7406001355603"/>
    <n v="26163.866160488"/>
  </r>
  <r>
    <x v="0"/>
    <x v="0"/>
    <x v="0"/>
    <x v="3"/>
    <x v="13"/>
    <s v="SE3_OTHER"/>
    <x v="0"/>
    <x v="2"/>
    <x v="75"/>
    <x v="0"/>
    <x v="17"/>
    <n v="15.836746012891799"/>
    <n v="5780.4122947054902"/>
    <n v="20809.4842609398"/>
  </r>
  <r>
    <x v="0"/>
    <x v="0"/>
    <x v="0"/>
    <x v="3"/>
    <x v="13"/>
    <s v="SE3_OTHER"/>
    <x v="0"/>
    <x v="2"/>
    <x v="75"/>
    <x v="0"/>
    <x v="18"/>
    <n v="17.568782912311701"/>
    <n v="6412.6057629937804"/>
    <n v="23085.380746777599"/>
  </r>
  <r>
    <x v="0"/>
    <x v="0"/>
    <x v="0"/>
    <x v="3"/>
    <x v="13"/>
    <s v="SE3_OTHER"/>
    <x v="0"/>
    <x v="2"/>
    <x v="75"/>
    <x v="0"/>
    <x v="19"/>
    <n v="19.911618082563201"/>
    <n v="7267.7406001355603"/>
    <n v="26163.866160488"/>
  </r>
  <r>
    <x v="0"/>
    <x v="0"/>
    <x v="0"/>
    <x v="3"/>
    <x v="13"/>
    <s v="SE3_OTHER"/>
    <x v="0"/>
    <x v="2"/>
    <x v="75"/>
    <x v="0"/>
    <x v="20"/>
    <n v="19.911618082563201"/>
    <n v="7267.7406001355603"/>
    <n v="26163.866160488"/>
  </r>
  <r>
    <x v="0"/>
    <x v="0"/>
    <x v="0"/>
    <x v="3"/>
    <x v="13"/>
    <s v="SE3_OTHER"/>
    <x v="0"/>
    <x v="2"/>
    <x v="75"/>
    <x v="0"/>
    <x v="21"/>
    <n v="10.7289049202741"/>
    <n v="3916.0502959000401"/>
    <n v="14097.7810652401"/>
  </r>
  <r>
    <x v="0"/>
    <x v="0"/>
    <x v="0"/>
    <x v="3"/>
    <x v="13"/>
    <s v="SE3_OTHER"/>
    <x v="2"/>
    <x v="2"/>
    <x v="61"/>
    <x v="0"/>
    <x v="0"/>
    <n v="26.1568685519964"/>
    <n v="9547.2570214786701"/>
    <n v="34370.125277323197"/>
  </r>
  <r>
    <x v="0"/>
    <x v="0"/>
    <x v="0"/>
    <x v="3"/>
    <x v="13"/>
    <s v="SE3_OTHER"/>
    <x v="2"/>
    <x v="2"/>
    <x v="61"/>
    <x v="0"/>
    <x v="1"/>
    <n v="26.1568685519964"/>
    <n v="9547.2570214786701"/>
    <n v="34370.125277323197"/>
  </r>
  <r>
    <x v="0"/>
    <x v="0"/>
    <x v="0"/>
    <x v="3"/>
    <x v="13"/>
    <s v="SE3_OTHER"/>
    <x v="2"/>
    <x v="2"/>
    <x v="61"/>
    <x v="0"/>
    <x v="2"/>
    <n v="26.1568685519964"/>
    <n v="9547.2570214786701"/>
    <n v="34370.125277323197"/>
  </r>
  <r>
    <x v="0"/>
    <x v="0"/>
    <x v="0"/>
    <x v="3"/>
    <x v="13"/>
    <s v="SE3_OTHER"/>
    <x v="2"/>
    <x v="2"/>
    <x v="61"/>
    <x v="0"/>
    <x v="3"/>
    <n v="26.1568685519964"/>
    <n v="9547.2570214786701"/>
    <n v="34370.125277323197"/>
  </r>
  <r>
    <x v="0"/>
    <x v="0"/>
    <x v="0"/>
    <x v="3"/>
    <x v="13"/>
    <s v="SE3_OTHER"/>
    <x v="2"/>
    <x v="2"/>
    <x v="61"/>
    <x v="0"/>
    <x v="4"/>
    <n v="26.1568685519964"/>
    <n v="9547.2570214786701"/>
    <n v="34370.125277323197"/>
  </r>
  <r>
    <x v="0"/>
    <x v="0"/>
    <x v="0"/>
    <x v="3"/>
    <x v="13"/>
    <s v="SE3_OTHER"/>
    <x v="2"/>
    <x v="2"/>
    <x v="61"/>
    <x v="0"/>
    <x v="5"/>
    <n v="26.1568685519964"/>
    <n v="9547.2570214786701"/>
    <n v="34370.125277323197"/>
  </r>
  <r>
    <x v="0"/>
    <x v="0"/>
    <x v="0"/>
    <x v="3"/>
    <x v="13"/>
    <s v="SE3_OTHER"/>
    <x v="2"/>
    <x v="2"/>
    <x v="61"/>
    <x v="0"/>
    <x v="6"/>
    <n v="26.1568685519964"/>
    <n v="9547.2570214786701"/>
    <n v="34370.125277323197"/>
  </r>
  <r>
    <x v="0"/>
    <x v="0"/>
    <x v="0"/>
    <x v="3"/>
    <x v="13"/>
    <s v="SE3_OTHER"/>
    <x v="2"/>
    <x v="2"/>
    <x v="61"/>
    <x v="0"/>
    <x v="7"/>
    <n v="26.1568685519964"/>
    <n v="9547.2570214786701"/>
    <n v="34370.125277323197"/>
  </r>
  <r>
    <x v="0"/>
    <x v="0"/>
    <x v="0"/>
    <x v="3"/>
    <x v="13"/>
    <s v="SE3_OTHER"/>
    <x v="2"/>
    <x v="2"/>
    <x v="61"/>
    <x v="0"/>
    <x v="8"/>
    <n v="26.1568685519964"/>
    <n v="9547.2570214786701"/>
    <n v="34370.125277323197"/>
  </r>
  <r>
    <x v="0"/>
    <x v="0"/>
    <x v="0"/>
    <x v="3"/>
    <x v="13"/>
    <s v="SE3_OTHER"/>
    <x v="2"/>
    <x v="2"/>
    <x v="61"/>
    <x v="0"/>
    <x v="9"/>
    <n v="26.1568685519964"/>
    <n v="9547.2570214786701"/>
    <n v="34370.125277323197"/>
  </r>
  <r>
    <x v="0"/>
    <x v="0"/>
    <x v="0"/>
    <x v="3"/>
    <x v="13"/>
    <s v="SE3_OTHER"/>
    <x v="2"/>
    <x v="2"/>
    <x v="61"/>
    <x v="0"/>
    <x v="10"/>
    <n v="26.1568685519964"/>
    <n v="9547.2570214786701"/>
    <n v="34370.125277323197"/>
  </r>
  <r>
    <x v="0"/>
    <x v="0"/>
    <x v="0"/>
    <x v="3"/>
    <x v="13"/>
    <s v="SE3_OTHER"/>
    <x v="2"/>
    <x v="2"/>
    <x v="61"/>
    <x v="0"/>
    <x v="11"/>
    <n v="26.1568685519964"/>
    <n v="9547.2570214786701"/>
    <n v="34370.125277323197"/>
  </r>
  <r>
    <x v="0"/>
    <x v="0"/>
    <x v="0"/>
    <x v="3"/>
    <x v="13"/>
    <s v="SE3_OTHER"/>
    <x v="2"/>
    <x v="2"/>
    <x v="61"/>
    <x v="0"/>
    <x v="12"/>
    <n v="26.1568685519964"/>
    <n v="9547.2570214786701"/>
    <n v="34370.125277323197"/>
  </r>
  <r>
    <x v="0"/>
    <x v="0"/>
    <x v="0"/>
    <x v="3"/>
    <x v="13"/>
    <s v="SE3_OTHER"/>
    <x v="2"/>
    <x v="2"/>
    <x v="61"/>
    <x v="0"/>
    <x v="13"/>
    <n v="26.1568685519964"/>
    <n v="9547.2570214786701"/>
    <n v="34370.125277323197"/>
  </r>
  <r>
    <x v="0"/>
    <x v="0"/>
    <x v="0"/>
    <x v="3"/>
    <x v="13"/>
    <s v="SE3_OTHER"/>
    <x v="2"/>
    <x v="2"/>
    <x v="61"/>
    <x v="0"/>
    <x v="14"/>
    <n v="26.1568685519964"/>
    <n v="9547.2570214786701"/>
    <n v="34370.125277323197"/>
  </r>
  <r>
    <x v="0"/>
    <x v="0"/>
    <x v="0"/>
    <x v="3"/>
    <x v="13"/>
    <s v="SE3_OTHER"/>
    <x v="2"/>
    <x v="2"/>
    <x v="61"/>
    <x v="0"/>
    <x v="15"/>
    <n v="26.1568685519964"/>
    <n v="9547.2570214786701"/>
    <n v="34370.125277323197"/>
  </r>
  <r>
    <x v="0"/>
    <x v="0"/>
    <x v="0"/>
    <x v="3"/>
    <x v="13"/>
    <s v="SE3_OTHER"/>
    <x v="2"/>
    <x v="2"/>
    <x v="61"/>
    <x v="0"/>
    <x v="16"/>
    <n v="26.1568685519964"/>
    <n v="9547.2570214786701"/>
    <n v="34370.125277323197"/>
  </r>
  <r>
    <x v="0"/>
    <x v="0"/>
    <x v="0"/>
    <x v="3"/>
    <x v="13"/>
    <s v="SE3_OTHER"/>
    <x v="2"/>
    <x v="2"/>
    <x v="61"/>
    <x v="0"/>
    <x v="17"/>
    <n v="26.1568685519964"/>
    <n v="9547.2570214786701"/>
    <n v="34370.125277323197"/>
  </r>
  <r>
    <x v="0"/>
    <x v="0"/>
    <x v="0"/>
    <x v="3"/>
    <x v="13"/>
    <s v="SE3_OTHER"/>
    <x v="2"/>
    <x v="2"/>
    <x v="61"/>
    <x v="0"/>
    <x v="18"/>
    <n v="26.1568685519964"/>
    <n v="9547.2570214786701"/>
    <n v="34370.125277323197"/>
  </r>
  <r>
    <x v="0"/>
    <x v="0"/>
    <x v="0"/>
    <x v="3"/>
    <x v="13"/>
    <s v="SE3_OTHER"/>
    <x v="2"/>
    <x v="2"/>
    <x v="61"/>
    <x v="0"/>
    <x v="19"/>
    <n v="26.1568685519964"/>
    <n v="9547.2570214786701"/>
    <n v="34370.125277323197"/>
  </r>
  <r>
    <x v="0"/>
    <x v="0"/>
    <x v="0"/>
    <x v="3"/>
    <x v="13"/>
    <s v="SE3_OTHER"/>
    <x v="2"/>
    <x v="2"/>
    <x v="61"/>
    <x v="0"/>
    <x v="20"/>
    <n v="26.1568685519964"/>
    <n v="9547.2570214786701"/>
    <n v="34370.125277323197"/>
  </r>
  <r>
    <x v="0"/>
    <x v="0"/>
    <x v="0"/>
    <x v="3"/>
    <x v="13"/>
    <s v="SE3_OTHER"/>
    <x v="2"/>
    <x v="2"/>
    <x v="61"/>
    <x v="0"/>
    <x v="21"/>
    <n v="26.1568685519964"/>
    <n v="9547.2570214786701"/>
    <n v="34370.125277323197"/>
  </r>
  <r>
    <x v="0"/>
    <x v="0"/>
    <x v="0"/>
    <x v="3"/>
    <x v="13"/>
    <s v="SE3_OTHER"/>
    <x v="2"/>
    <x v="2"/>
    <x v="61"/>
    <x v="0"/>
    <x v="22"/>
    <n v="26.1568685519964"/>
    <n v="9547.2570214786701"/>
    <n v="34370.125277323197"/>
  </r>
  <r>
    <x v="0"/>
    <x v="0"/>
    <x v="0"/>
    <x v="3"/>
    <x v="13"/>
    <s v="SE3_OTHER"/>
    <x v="2"/>
    <x v="2"/>
    <x v="61"/>
    <x v="0"/>
    <x v="23"/>
    <n v="26.1568685519964"/>
    <n v="9547.2570214786701"/>
    <n v="34370.125277323197"/>
  </r>
  <r>
    <x v="0"/>
    <x v="0"/>
    <x v="0"/>
    <x v="3"/>
    <x v="13"/>
    <s v="SE3_OTHER"/>
    <x v="14"/>
    <x v="2"/>
    <x v="76"/>
    <x v="0"/>
    <x v="5"/>
    <n v="6.6405676697907703"/>
    <n v="2423.8071994736301"/>
    <n v="8725.7059181050699"/>
  </r>
  <r>
    <x v="0"/>
    <x v="0"/>
    <x v="0"/>
    <x v="3"/>
    <x v="13"/>
    <s v="SE3_OTHER"/>
    <x v="14"/>
    <x v="2"/>
    <x v="76"/>
    <x v="0"/>
    <x v="6"/>
    <n v="34.702379388107403"/>
    <n v="12666.3684766592"/>
    <n v="45598.9265159731"/>
  </r>
  <r>
    <x v="0"/>
    <x v="0"/>
    <x v="0"/>
    <x v="3"/>
    <x v="13"/>
    <s v="SE3_OTHER"/>
    <x v="14"/>
    <x v="2"/>
    <x v="76"/>
    <x v="0"/>
    <x v="7"/>
    <n v="34.702379388107403"/>
    <n v="12666.3684766592"/>
    <n v="45598.9265159731"/>
  </r>
  <r>
    <x v="0"/>
    <x v="0"/>
    <x v="0"/>
    <x v="3"/>
    <x v="13"/>
    <s v="SE3_OTHER"/>
    <x v="14"/>
    <x v="2"/>
    <x v="76"/>
    <x v="0"/>
    <x v="8"/>
    <n v="34.702379388107403"/>
    <n v="12666.3684766592"/>
    <n v="45598.9265159731"/>
  </r>
  <r>
    <x v="0"/>
    <x v="0"/>
    <x v="0"/>
    <x v="3"/>
    <x v="13"/>
    <s v="SE3_OTHER"/>
    <x v="14"/>
    <x v="2"/>
    <x v="76"/>
    <x v="0"/>
    <x v="9"/>
    <n v="34.702379388107403"/>
    <n v="12666.3684766592"/>
    <n v="45598.9265159731"/>
  </r>
  <r>
    <x v="0"/>
    <x v="0"/>
    <x v="0"/>
    <x v="3"/>
    <x v="13"/>
    <s v="SE3_OTHER"/>
    <x v="14"/>
    <x v="2"/>
    <x v="76"/>
    <x v="0"/>
    <x v="10"/>
    <n v="34.702379388107403"/>
    <n v="12666.3684766592"/>
    <n v="45598.9265159731"/>
  </r>
  <r>
    <x v="0"/>
    <x v="0"/>
    <x v="0"/>
    <x v="3"/>
    <x v="13"/>
    <s v="SE3_OTHER"/>
    <x v="14"/>
    <x v="2"/>
    <x v="76"/>
    <x v="0"/>
    <x v="11"/>
    <n v="34.702379388107403"/>
    <n v="12666.3684766592"/>
    <n v="45598.9265159731"/>
  </r>
  <r>
    <x v="0"/>
    <x v="0"/>
    <x v="0"/>
    <x v="3"/>
    <x v="13"/>
    <s v="SE3_OTHER"/>
    <x v="14"/>
    <x v="2"/>
    <x v="76"/>
    <x v="0"/>
    <x v="12"/>
    <n v="34.702379388107403"/>
    <n v="12666.3684766592"/>
    <n v="45598.9265159731"/>
  </r>
  <r>
    <x v="0"/>
    <x v="0"/>
    <x v="0"/>
    <x v="3"/>
    <x v="13"/>
    <s v="SE3_OTHER"/>
    <x v="14"/>
    <x v="2"/>
    <x v="76"/>
    <x v="0"/>
    <x v="13"/>
    <n v="31.4049279416862"/>
    <n v="11462.7986987155"/>
    <n v="41266.075315375601"/>
  </r>
  <r>
    <x v="0"/>
    <x v="0"/>
    <x v="0"/>
    <x v="3"/>
    <x v="13"/>
    <s v="SE3_OTHER"/>
    <x v="14"/>
    <x v="2"/>
    <x v="76"/>
    <x v="0"/>
    <x v="14"/>
    <n v="14.4142652880822"/>
    <n v="5261.2068301500003"/>
    <n v="18940.34458854"/>
  </r>
  <r>
    <x v="0"/>
    <x v="0"/>
    <x v="0"/>
    <x v="3"/>
    <x v="13"/>
    <s v="SE3_OTHER"/>
    <x v="14"/>
    <x v="2"/>
    <x v="76"/>
    <x v="0"/>
    <x v="15"/>
    <n v="4.7907674669537403"/>
    <n v="1748.6301254381101"/>
    <n v="6295.06845157721"/>
  </r>
  <r>
    <x v="0"/>
    <x v="0"/>
    <x v="0"/>
    <x v="3"/>
    <x v="13"/>
    <s v="SE3_OTHER"/>
    <x v="14"/>
    <x v="2"/>
    <x v="76"/>
    <x v="0"/>
    <x v="16"/>
    <n v="2.9049204821457502"/>
    <n v="1060.2959759831999"/>
    <n v="3817.06551353952"/>
  </r>
  <r>
    <x v="0"/>
    <x v="0"/>
    <x v="0"/>
    <x v="3"/>
    <x v="13"/>
    <s v="SE3_OTHER"/>
    <x v="14"/>
    <x v="2"/>
    <x v="76"/>
    <x v="0"/>
    <x v="19"/>
    <n v="4.9724035074994903"/>
    <n v="1814.92728023731"/>
    <n v="6533.73820885433"/>
  </r>
  <r>
    <x v="0"/>
    <x v="0"/>
    <x v="0"/>
    <x v="3"/>
    <x v="13"/>
    <s v="SE3_OTHER"/>
    <x v="14"/>
    <x v="2"/>
    <x v="76"/>
    <x v="0"/>
    <x v="20"/>
    <n v="1.4606952930028101"/>
    <n v="533.15378194602397"/>
    <n v="1919.35361500569"/>
  </r>
  <r>
    <x v="0"/>
    <x v="0"/>
    <x v="0"/>
    <x v="3"/>
    <x v="13"/>
    <s v="SE3_OTHER"/>
    <x v="13"/>
    <x v="2"/>
    <x v="62"/>
    <x v="0"/>
    <x v="0"/>
    <n v="122.204301383538"/>
    <n v="44604.570004991299"/>
    <n v="160576.45201796899"/>
  </r>
  <r>
    <x v="0"/>
    <x v="0"/>
    <x v="0"/>
    <x v="3"/>
    <x v="13"/>
    <s v="SE3_OTHER"/>
    <x v="13"/>
    <x v="2"/>
    <x v="62"/>
    <x v="0"/>
    <x v="1"/>
    <n v="122.204301383538"/>
    <n v="44604.570004991299"/>
    <n v="160576.45201796899"/>
  </r>
  <r>
    <x v="0"/>
    <x v="0"/>
    <x v="0"/>
    <x v="3"/>
    <x v="13"/>
    <s v="SE3_OTHER"/>
    <x v="13"/>
    <x v="2"/>
    <x v="62"/>
    <x v="0"/>
    <x v="2"/>
    <n v="122.204301383538"/>
    <n v="44604.570004991299"/>
    <n v="160576.45201796899"/>
  </r>
  <r>
    <x v="0"/>
    <x v="0"/>
    <x v="0"/>
    <x v="3"/>
    <x v="13"/>
    <s v="SE3_OTHER"/>
    <x v="13"/>
    <x v="2"/>
    <x v="62"/>
    <x v="0"/>
    <x v="3"/>
    <n v="122.204301383538"/>
    <n v="44604.570004991299"/>
    <n v="160576.45201796899"/>
  </r>
  <r>
    <x v="0"/>
    <x v="0"/>
    <x v="0"/>
    <x v="3"/>
    <x v="13"/>
    <s v="SE3_OTHER"/>
    <x v="13"/>
    <x v="2"/>
    <x v="62"/>
    <x v="0"/>
    <x v="4"/>
    <n v="122.204301383538"/>
    <n v="44604.570004991299"/>
    <n v="160576.45201796899"/>
  </r>
  <r>
    <x v="0"/>
    <x v="0"/>
    <x v="0"/>
    <x v="3"/>
    <x v="13"/>
    <s v="SE3_OTHER"/>
    <x v="13"/>
    <x v="2"/>
    <x v="62"/>
    <x v="0"/>
    <x v="5"/>
    <n v="122.204301383538"/>
    <n v="44604.570004991299"/>
    <n v="160576.45201796899"/>
  </r>
  <r>
    <x v="0"/>
    <x v="0"/>
    <x v="0"/>
    <x v="3"/>
    <x v="13"/>
    <s v="SE3_OTHER"/>
    <x v="13"/>
    <x v="2"/>
    <x v="62"/>
    <x v="0"/>
    <x v="6"/>
    <n v="122.204301383538"/>
    <n v="44604.570004991299"/>
    <n v="160576.45201796899"/>
  </r>
  <r>
    <x v="0"/>
    <x v="0"/>
    <x v="0"/>
    <x v="3"/>
    <x v="13"/>
    <s v="SE3_OTHER"/>
    <x v="13"/>
    <x v="2"/>
    <x v="62"/>
    <x v="0"/>
    <x v="7"/>
    <n v="122.204301383538"/>
    <n v="44604.570004991299"/>
    <n v="160576.45201796899"/>
  </r>
  <r>
    <x v="0"/>
    <x v="0"/>
    <x v="0"/>
    <x v="3"/>
    <x v="13"/>
    <s v="SE3_OTHER"/>
    <x v="13"/>
    <x v="2"/>
    <x v="62"/>
    <x v="0"/>
    <x v="8"/>
    <n v="122.204301383538"/>
    <n v="44604.570004991299"/>
    <n v="160576.45201796899"/>
  </r>
  <r>
    <x v="0"/>
    <x v="0"/>
    <x v="0"/>
    <x v="3"/>
    <x v="13"/>
    <s v="SE3_OTHER"/>
    <x v="13"/>
    <x v="2"/>
    <x v="62"/>
    <x v="0"/>
    <x v="9"/>
    <n v="122.204301383538"/>
    <n v="44604.570004991299"/>
    <n v="160576.45201796899"/>
  </r>
  <r>
    <x v="0"/>
    <x v="0"/>
    <x v="0"/>
    <x v="3"/>
    <x v="13"/>
    <s v="SE3_OTHER"/>
    <x v="13"/>
    <x v="2"/>
    <x v="62"/>
    <x v="0"/>
    <x v="10"/>
    <n v="122.204301383538"/>
    <n v="44604.570004991299"/>
    <n v="160576.45201796899"/>
  </r>
  <r>
    <x v="0"/>
    <x v="0"/>
    <x v="0"/>
    <x v="3"/>
    <x v="13"/>
    <s v="SE3_OTHER"/>
    <x v="13"/>
    <x v="2"/>
    <x v="62"/>
    <x v="0"/>
    <x v="11"/>
    <n v="122.204301383538"/>
    <n v="44604.570004991299"/>
    <n v="160576.45201796899"/>
  </r>
  <r>
    <x v="0"/>
    <x v="0"/>
    <x v="0"/>
    <x v="3"/>
    <x v="13"/>
    <s v="SE3_OTHER"/>
    <x v="13"/>
    <x v="2"/>
    <x v="62"/>
    <x v="0"/>
    <x v="12"/>
    <n v="122.204301383538"/>
    <n v="44604.570004991299"/>
    <n v="160576.45201796899"/>
  </r>
  <r>
    <x v="0"/>
    <x v="0"/>
    <x v="0"/>
    <x v="3"/>
    <x v="13"/>
    <s v="SE3_OTHER"/>
    <x v="13"/>
    <x v="2"/>
    <x v="62"/>
    <x v="0"/>
    <x v="13"/>
    <n v="122.204301383538"/>
    <n v="44604.570004991299"/>
    <n v="160576.45201796899"/>
  </r>
  <r>
    <x v="0"/>
    <x v="0"/>
    <x v="0"/>
    <x v="3"/>
    <x v="13"/>
    <s v="SE3_OTHER"/>
    <x v="13"/>
    <x v="2"/>
    <x v="62"/>
    <x v="0"/>
    <x v="14"/>
    <n v="122.204301383538"/>
    <n v="44604.570004991299"/>
    <n v="160576.45201796899"/>
  </r>
  <r>
    <x v="0"/>
    <x v="0"/>
    <x v="0"/>
    <x v="3"/>
    <x v="13"/>
    <s v="SE3_OTHER"/>
    <x v="13"/>
    <x v="2"/>
    <x v="62"/>
    <x v="0"/>
    <x v="15"/>
    <n v="122.204301383538"/>
    <n v="44604.570004991299"/>
    <n v="160576.45201796899"/>
  </r>
  <r>
    <x v="0"/>
    <x v="0"/>
    <x v="0"/>
    <x v="3"/>
    <x v="13"/>
    <s v="SE3_OTHER"/>
    <x v="13"/>
    <x v="2"/>
    <x v="62"/>
    <x v="0"/>
    <x v="16"/>
    <n v="122.204301383538"/>
    <n v="44604.570004991299"/>
    <n v="160576.45201796899"/>
  </r>
  <r>
    <x v="0"/>
    <x v="0"/>
    <x v="0"/>
    <x v="3"/>
    <x v="13"/>
    <s v="SE3_OTHER"/>
    <x v="13"/>
    <x v="2"/>
    <x v="62"/>
    <x v="0"/>
    <x v="17"/>
    <n v="122.204301383538"/>
    <n v="44604.570004991299"/>
    <n v="160576.45201796899"/>
  </r>
  <r>
    <x v="0"/>
    <x v="0"/>
    <x v="0"/>
    <x v="3"/>
    <x v="13"/>
    <s v="SE3_OTHER"/>
    <x v="13"/>
    <x v="2"/>
    <x v="62"/>
    <x v="0"/>
    <x v="18"/>
    <n v="122.204301383538"/>
    <n v="44604.570004991299"/>
    <n v="160576.45201796899"/>
  </r>
  <r>
    <x v="0"/>
    <x v="0"/>
    <x v="0"/>
    <x v="3"/>
    <x v="13"/>
    <s v="SE3_OTHER"/>
    <x v="13"/>
    <x v="2"/>
    <x v="62"/>
    <x v="0"/>
    <x v="19"/>
    <n v="122.204301383538"/>
    <n v="44604.570004991299"/>
    <n v="160576.45201796899"/>
  </r>
  <r>
    <x v="0"/>
    <x v="0"/>
    <x v="0"/>
    <x v="3"/>
    <x v="13"/>
    <s v="SE3_OTHER"/>
    <x v="13"/>
    <x v="2"/>
    <x v="62"/>
    <x v="0"/>
    <x v="20"/>
    <n v="122.204301383538"/>
    <n v="44604.570004991299"/>
    <n v="160576.45201796899"/>
  </r>
  <r>
    <x v="0"/>
    <x v="0"/>
    <x v="0"/>
    <x v="3"/>
    <x v="13"/>
    <s v="SE3_OTHER"/>
    <x v="13"/>
    <x v="2"/>
    <x v="62"/>
    <x v="0"/>
    <x v="21"/>
    <n v="122.204301383538"/>
    <n v="44604.570004991299"/>
    <n v="160576.45201796899"/>
  </r>
  <r>
    <x v="0"/>
    <x v="0"/>
    <x v="0"/>
    <x v="3"/>
    <x v="13"/>
    <s v="SE3_OTHER"/>
    <x v="13"/>
    <x v="2"/>
    <x v="62"/>
    <x v="0"/>
    <x v="22"/>
    <n v="122.204301383538"/>
    <n v="44604.570004991299"/>
    <n v="160576.45201796899"/>
  </r>
  <r>
    <x v="0"/>
    <x v="0"/>
    <x v="0"/>
    <x v="3"/>
    <x v="13"/>
    <s v="SE3_OTHER"/>
    <x v="13"/>
    <x v="2"/>
    <x v="62"/>
    <x v="0"/>
    <x v="23"/>
    <n v="122.204301383538"/>
    <n v="44604.570004991299"/>
    <n v="160576.45201796899"/>
  </r>
  <r>
    <x v="0"/>
    <x v="0"/>
    <x v="0"/>
    <x v="3"/>
    <x v="13"/>
    <s v="SE3_STO"/>
    <x v="0"/>
    <x v="2"/>
    <x v="77"/>
    <x v="0"/>
    <x v="6"/>
    <n v="50.295665121193203"/>
    <n v="18357.917769235501"/>
    <n v="66088.503969247802"/>
  </r>
  <r>
    <x v="0"/>
    <x v="0"/>
    <x v="0"/>
    <x v="3"/>
    <x v="13"/>
    <s v="SE3_STO"/>
    <x v="0"/>
    <x v="2"/>
    <x v="77"/>
    <x v="0"/>
    <x v="7"/>
    <n v="62.102590765023898"/>
    <n v="22667.445629233702"/>
    <n v="81602.804265241401"/>
  </r>
  <r>
    <x v="0"/>
    <x v="0"/>
    <x v="0"/>
    <x v="3"/>
    <x v="13"/>
    <s v="SE3_STO"/>
    <x v="0"/>
    <x v="2"/>
    <x v="77"/>
    <x v="0"/>
    <x v="8"/>
    <n v="62.102590765023898"/>
    <n v="22667.445629233702"/>
    <n v="81602.804265241401"/>
  </r>
  <r>
    <x v="0"/>
    <x v="0"/>
    <x v="0"/>
    <x v="3"/>
    <x v="13"/>
    <s v="SE3_STO"/>
    <x v="0"/>
    <x v="2"/>
    <x v="77"/>
    <x v="0"/>
    <x v="9"/>
    <n v="62.102590765023898"/>
    <n v="22667.445629233702"/>
    <n v="81602.804265241401"/>
  </r>
  <r>
    <x v="0"/>
    <x v="0"/>
    <x v="0"/>
    <x v="3"/>
    <x v="13"/>
    <s v="SE3_STO"/>
    <x v="0"/>
    <x v="2"/>
    <x v="77"/>
    <x v="0"/>
    <x v="10"/>
    <n v="62.102590765023898"/>
    <n v="22667.445629233702"/>
    <n v="81602.804265241401"/>
  </r>
  <r>
    <x v="0"/>
    <x v="0"/>
    <x v="0"/>
    <x v="3"/>
    <x v="13"/>
    <s v="SE3_STO"/>
    <x v="0"/>
    <x v="2"/>
    <x v="77"/>
    <x v="0"/>
    <x v="11"/>
    <n v="62.102590765023898"/>
    <n v="22667.445629233702"/>
    <n v="81602.804265241401"/>
  </r>
  <r>
    <x v="0"/>
    <x v="0"/>
    <x v="0"/>
    <x v="3"/>
    <x v="13"/>
    <s v="SE3_STO"/>
    <x v="0"/>
    <x v="2"/>
    <x v="77"/>
    <x v="0"/>
    <x v="12"/>
    <n v="62.102590765023898"/>
    <n v="22667.445629233702"/>
    <n v="81602.804265241401"/>
  </r>
  <r>
    <x v="0"/>
    <x v="0"/>
    <x v="0"/>
    <x v="3"/>
    <x v="13"/>
    <s v="SE3_STO"/>
    <x v="0"/>
    <x v="2"/>
    <x v="77"/>
    <x v="0"/>
    <x v="13"/>
    <n v="62.102590765023898"/>
    <n v="22667.445629233702"/>
    <n v="81602.804265241401"/>
  </r>
  <r>
    <x v="0"/>
    <x v="0"/>
    <x v="0"/>
    <x v="3"/>
    <x v="13"/>
    <s v="SE3_STO"/>
    <x v="0"/>
    <x v="2"/>
    <x v="77"/>
    <x v="0"/>
    <x v="14"/>
    <n v="62.102590765023898"/>
    <n v="22667.445629233702"/>
    <n v="81602.804265241401"/>
  </r>
  <r>
    <x v="0"/>
    <x v="0"/>
    <x v="0"/>
    <x v="3"/>
    <x v="13"/>
    <s v="SE3_STO"/>
    <x v="0"/>
    <x v="2"/>
    <x v="77"/>
    <x v="0"/>
    <x v="15"/>
    <n v="62.102590765023898"/>
    <n v="22667.445629233702"/>
    <n v="81602.804265241401"/>
  </r>
  <r>
    <x v="0"/>
    <x v="0"/>
    <x v="0"/>
    <x v="3"/>
    <x v="13"/>
    <s v="SE3_STO"/>
    <x v="0"/>
    <x v="2"/>
    <x v="77"/>
    <x v="0"/>
    <x v="16"/>
    <n v="62.102590765023898"/>
    <n v="22667.445629233702"/>
    <n v="81602.804265241401"/>
  </r>
  <r>
    <x v="0"/>
    <x v="0"/>
    <x v="0"/>
    <x v="3"/>
    <x v="13"/>
    <s v="SE3_STO"/>
    <x v="0"/>
    <x v="2"/>
    <x v="77"/>
    <x v="0"/>
    <x v="17"/>
    <n v="62.102590765023898"/>
    <n v="22667.445629233702"/>
    <n v="81602.804265241401"/>
  </r>
  <r>
    <x v="0"/>
    <x v="0"/>
    <x v="0"/>
    <x v="3"/>
    <x v="13"/>
    <s v="SE3_STO"/>
    <x v="0"/>
    <x v="2"/>
    <x v="77"/>
    <x v="0"/>
    <x v="18"/>
    <n v="62.102590765023898"/>
    <n v="22667.445629233702"/>
    <n v="81602.804265241401"/>
  </r>
  <r>
    <x v="0"/>
    <x v="0"/>
    <x v="0"/>
    <x v="3"/>
    <x v="13"/>
    <s v="SE3_STO"/>
    <x v="0"/>
    <x v="2"/>
    <x v="77"/>
    <x v="0"/>
    <x v="19"/>
    <n v="62.102590765023898"/>
    <n v="22667.445629233702"/>
    <n v="81602.804265241401"/>
  </r>
  <r>
    <x v="0"/>
    <x v="0"/>
    <x v="0"/>
    <x v="3"/>
    <x v="13"/>
    <s v="SE3_STO"/>
    <x v="0"/>
    <x v="2"/>
    <x v="77"/>
    <x v="0"/>
    <x v="20"/>
    <n v="62.102590765023898"/>
    <n v="22667.445629233702"/>
    <n v="81602.804265241401"/>
  </r>
  <r>
    <x v="0"/>
    <x v="0"/>
    <x v="0"/>
    <x v="3"/>
    <x v="13"/>
    <s v="SE3_STO"/>
    <x v="0"/>
    <x v="2"/>
    <x v="77"/>
    <x v="0"/>
    <x v="21"/>
    <n v="54.032843264565301"/>
    <n v="19721.987791566298"/>
    <n v="70999.156049638797"/>
  </r>
  <r>
    <x v="0"/>
    <x v="0"/>
    <x v="0"/>
    <x v="3"/>
    <x v="13"/>
    <s v="SE3_STO"/>
    <x v="0"/>
    <x v="2"/>
    <x v="77"/>
    <x v="0"/>
    <x v="22"/>
    <n v="36.348653177848298"/>
    <n v="13267.258409914601"/>
    <n v="47762.130275692703"/>
  </r>
  <r>
    <x v="0"/>
    <x v="0"/>
    <x v="0"/>
    <x v="3"/>
    <x v="13"/>
    <s v="SE3_STO"/>
    <x v="0"/>
    <x v="2"/>
    <x v="77"/>
    <x v="0"/>
    <x v="23"/>
    <n v="1.0166036271358201"/>
    <n v="371.06032390457602"/>
    <n v="1335.8171660564699"/>
  </r>
  <r>
    <x v="0"/>
    <x v="0"/>
    <x v="0"/>
    <x v="3"/>
    <x v="13"/>
    <s v="SE3_STO"/>
    <x v="1"/>
    <x v="1"/>
    <x v="58"/>
    <x v="0"/>
    <x v="7"/>
    <n v="-38.019208436026901"/>
    <n v="-13877.011079149799"/>
    <n v="-49957.239884939299"/>
  </r>
  <r>
    <x v="0"/>
    <x v="0"/>
    <x v="0"/>
    <x v="3"/>
    <x v="13"/>
    <s v="SE3_STO"/>
    <x v="1"/>
    <x v="1"/>
    <x v="58"/>
    <x v="0"/>
    <x v="8"/>
    <n v="-33.866589320383099"/>
    <n v="-12361.305101939801"/>
    <n v="-44500.698366983401"/>
  </r>
  <r>
    <x v="0"/>
    <x v="0"/>
    <x v="0"/>
    <x v="3"/>
    <x v="13"/>
    <s v="SE3_STO"/>
    <x v="1"/>
    <x v="1"/>
    <x v="58"/>
    <x v="0"/>
    <x v="9"/>
    <n v="-28.216848025246598"/>
    <n v="-10299.149529214999"/>
    <n v="-37076.938305174001"/>
  </r>
  <r>
    <x v="0"/>
    <x v="0"/>
    <x v="0"/>
    <x v="3"/>
    <x v="13"/>
    <s v="SE3_STO"/>
    <x v="1"/>
    <x v="1"/>
    <x v="58"/>
    <x v="0"/>
    <x v="10"/>
    <n v="-44.159163288123104"/>
    <n v="-16118.094600164901"/>
    <n v="-58025.140560593798"/>
  </r>
  <r>
    <x v="0"/>
    <x v="0"/>
    <x v="0"/>
    <x v="3"/>
    <x v="13"/>
    <s v="SE3_STO"/>
    <x v="1"/>
    <x v="1"/>
    <x v="58"/>
    <x v="0"/>
    <x v="11"/>
    <n v="-75.655263049413094"/>
    <n v="-27614.171013035801"/>
    <n v="-99411.015646928907"/>
  </r>
  <r>
    <x v="0"/>
    <x v="0"/>
    <x v="0"/>
    <x v="3"/>
    <x v="13"/>
    <s v="SE3_STO"/>
    <x v="1"/>
    <x v="1"/>
    <x v="58"/>
    <x v="0"/>
    <x v="12"/>
    <n v="-64.860032250070702"/>
    <n v="-23673.911771275802"/>
    <n v="-85226.082376592996"/>
  </r>
  <r>
    <x v="0"/>
    <x v="0"/>
    <x v="0"/>
    <x v="3"/>
    <x v="13"/>
    <s v="SE3_STO"/>
    <x v="1"/>
    <x v="1"/>
    <x v="58"/>
    <x v="0"/>
    <x v="13"/>
    <n v="-53.924327411382002"/>
    <n v="-19682.3795051544"/>
    <n v="-70856.566218556007"/>
  </r>
  <r>
    <x v="0"/>
    <x v="0"/>
    <x v="0"/>
    <x v="3"/>
    <x v="13"/>
    <s v="SE3_STO"/>
    <x v="1"/>
    <x v="1"/>
    <x v="58"/>
    <x v="0"/>
    <x v="14"/>
    <n v="-41.663015214227102"/>
    <n v="-15207.0005531929"/>
    <n v="-54745.201991494403"/>
  </r>
  <r>
    <x v="0"/>
    <x v="0"/>
    <x v="0"/>
    <x v="3"/>
    <x v="13"/>
    <s v="SE3_STO"/>
    <x v="1"/>
    <x v="1"/>
    <x v="58"/>
    <x v="0"/>
    <x v="15"/>
    <n v="-33.4422142926364"/>
    <n v="-12206.4082168123"/>
    <n v="-43943.069580524199"/>
  </r>
  <r>
    <x v="0"/>
    <x v="0"/>
    <x v="0"/>
    <x v="3"/>
    <x v="13"/>
    <s v="SE3_STO"/>
    <x v="1"/>
    <x v="1"/>
    <x v="58"/>
    <x v="0"/>
    <x v="16"/>
    <n v="-35.731646479202503"/>
    <n v="-13042.0509649089"/>
    <n v="-46951.383473672002"/>
  </r>
  <r>
    <x v="0"/>
    <x v="0"/>
    <x v="0"/>
    <x v="3"/>
    <x v="13"/>
    <s v="SE3_STO"/>
    <x v="1"/>
    <x v="1"/>
    <x v="58"/>
    <x v="0"/>
    <x v="17"/>
    <n v="-37.418734225085302"/>
    <n v="-13657.837992156101"/>
    <n v="-49168.216771762003"/>
  </r>
  <r>
    <x v="0"/>
    <x v="0"/>
    <x v="0"/>
    <x v="3"/>
    <x v="13"/>
    <s v="SE3_STO"/>
    <x v="1"/>
    <x v="1"/>
    <x v="58"/>
    <x v="0"/>
    <x v="18"/>
    <n v="-30.0310591773944"/>
    <n v="-10961.336599749"/>
    <n v="-39460.811759096199"/>
  </r>
  <r>
    <x v="0"/>
    <x v="0"/>
    <x v="0"/>
    <x v="3"/>
    <x v="13"/>
    <s v="SE3_STO"/>
    <x v="1"/>
    <x v="1"/>
    <x v="58"/>
    <x v="0"/>
    <x v="19"/>
    <n v="-29.057575025814199"/>
    <n v="-10606.0148844222"/>
    <n v="-38181.653583919797"/>
  </r>
  <r>
    <x v="0"/>
    <x v="0"/>
    <x v="0"/>
    <x v="3"/>
    <x v="13"/>
    <s v="SE3_STO"/>
    <x v="1"/>
    <x v="1"/>
    <x v="58"/>
    <x v="0"/>
    <x v="20"/>
    <n v="-8.5906601405353005"/>
    <n v="-3135.5909512953799"/>
    <n v="-11288.1274246634"/>
  </r>
  <r>
    <x v="0"/>
    <x v="0"/>
    <x v="0"/>
    <x v="3"/>
    <x v="13"/>
    <s v="SE3_STO"/>
    <x v="1"/>
    <x v="1"/>
    <x v="67"/>
    <x v="0"/>
    <x v="0"/>
    <n v="-39.636040212052499"/>
    <n v="-14467.154677399199"/>
    <n v="-52081.756838636997"/>
  </r>
  <r>
    <x v="0"/>
    <x v="0"/>
    <x v="0"/>
    <x v="3"/>
    <x v="13"/>
    <s v="SE3_STO"/>
    <x v="1"/>
    <x v="1"/>
    <x v="67"/>
    <x v="0"/>
    <x v="1"/>
    <n v="-43.141740814062103"/>
    <n v="-15746.735397132699"/>
    <n v="-56688.2474296777"/>
  </r>
  <r>
    <x v="0"/>
    <x v="0"/>
    <x v="0"/>
    <x v="3"/>
    <x v="13"/>
    <s v="SE3_STO"/>
    <x v="1"/>
    <x v="1"/>
    <x v="67"/>
    <x v="0"/>
    <x v="2"/>
    <n v="-43.022498830133301"/>
    <n v="-15703.2120729986"/>
    <n v="-56531.5634627951"/>
  </r>
  <r>
    <x v="0"/>
    <x v="0"/>
    <x v="0"/>
    <x v="3"/>
    <x v="13"/>
    <s v="SE3_STO"/>
    <x v="1"/>
    <x v="1"/>
    <x v="67"/>
    <x v="0"/>
    <x v="3"/>
    <n v="-49.161585463355998"/>
    <n v="-17943.9786941249"/>
    <n v="-64598.323298849798"/>
  </r>
  <r>
    <x v="0"/>
    <x v="0"/>
    <x v="0"/>
    <x v="3"/>
    <x v="13"/>
    <s v="SE3_STO"/>
    <x v="1"/>
    <x v="1"/>
    <x v="67"/>
    <x v="0"/>
    <x v="4"/>
    <n v="-56.524700186684797"/>
    <n v="-20631.515568139901"/>
    <n v="-74273.456045303799"/>
  </r>
  <r>
    <x v="0"/>
    <x v="0"/>
    <x v="0"/>
    <x v="3"/>
    <x v="13"/>
    <s v="SE3_STO"/>
    <x v="1"/>
    <x v="1"/>
    <x v="67"/>
    <x v="0"/>
    <x v="5"/>
    <n v="-83.247973956285094"/>
    <n v="-30385.510494044"/>
    <n v="-109387.837778559"/>
  </r>
  <r>
    <x v="0"/>
    <x v="0"/>
    <x v="0"/>
    <x v="3"/>
    <x v="13"/>
    <s v="SE3_STO"/>
    <x v="1"/>
    <x v="1"/>
    <x v="67"/>
    <x v="0"/>
    <x v="6"/>
    <n v="-102.727272727273"/>
    <n v="-37495.454545454602"/>
    <n v="-134983.636363636"/>
  </r>
  <r>
    <x v="0"/>
    <x v="0"/>
    <x v="0"/>
    <x v="3"/>
    <x v="13"/>
    <s v="SE3_STO"/>
    <x v="1"/>
    <x v="1"/>
    <x v="67"/>
    <x v="0"/>
    <x v="7"/>
    <n v="-102.727272727273"/>
    <n v="-37495.454545454602"/>
    <n v="-134983.636363636"/>
  </r>
  <r>
    <x v="0"/>
    <x v="0"/>
    <x v="0"/>
    <x v="3"/>
    <x v="13"/>
    <s v="SE3_STO"/>
    <x v="1"/>
    <x v="1"/>
    <x v="67"/>
    <x v="0"/>
    <x v="8"/>
    <n v="-102.727272727273"/>
    <n v="-37495.454545454602"/>
    <n v="-134983.636363636"/>
  </r>
  <r>
    <x v="0"/>
    <x v="0"/>
    <x v="0"/>
    <x v="3"/>
    <x v="13"/>
    <s v="SE3_STO"/>
    <x v="1"/>
    <x v="1"/>
    <x v="67"/>
    <x v="0"/>
    <x v="9"/>
    <n v="-102.727272727273"/>
    <n v="-37495.454545454602"/>
    <n v="-134983.636363636"/>
  </r>
  <r>
    <x v="0"/>
    <x v="0"/>
    <x v="0"/>
    <x v="3"/>
    <x v="13"/>
    <s v="SE3_STO"/>
    <x v="1"/>
    <x v="1"/>
    <x v="67"/>
    <x v="0"/>
    <x v="10"/>
    <n v="-102.727272727273"/>
    <n v="-37495.454545454602"/>
    <n v="-134983.636363636"/>
  </r>
  <r>
    <x v="0"/>
    <x v="0"/>
    <x v="0"/>
    <x v="3"/>
    <x v="13"/>
    <s v="SE3_STO"/>
    <x v="1"/>
    <x v="1"/>
    <x v="67"/>
    <x v="0"/>
    <x v="11"/>
    <n v="-102.727272727273"/>
    <n v="-37495.454545454602"/>
    <n v="-134983.636363636"/>
  </r>
  <r>
    <x v="0"/>
    <x v="0"/>
    <x v="0"/>
    <x v="3"/>
    <x v="13"/>
    <s v="SE3_STO"/>
    <x v="1"/>
    <x v="1"/>
    <x v="67"/>
    <x v="0"/>
    <x v="12"/>
    <n v="-102.727272727273"/>
    <n v="-37495.454545454602"/>
    <n v="-134983.636363636"/>
  </r>
  <r>
    <x v="0"/>
    <x v="0"/>
    <x v="0"/>
    <x v="3"/>
    <x v="13"/>
    <s v="SE3_STO"/>
    <x v="1"/>
    <x v="1"/>
    <x v="67"/>
    <x v="0"/>
    <x v="13"/>
    <n v="-102.727272727273"/>
    <n v="-37495.454545454602"/>
    <n v="-134983.636363636"/>
  </r>
  <r>
    <x v="0"/>
    <x v="0"/>
    <x v="0"/>
    <x v="3"/>
    <x v="13"/>
    <s v="SE3_STO"/>
    <x v="1"/>
    <x v="1"/>
    <x v="67"/>
    <x v="0"/>
    <x v="14"/>
    <n v="-102.727272727273"/>
    <n v="-37495.454545454602"/>
    <n v="-134983.636363636"/>
  </r>
  <r>
    <x v="0"/>
    <x v="0"/>
    <x v="0"/>
    <x v="3"/>
    <x v="13"/>
    <s v="SE3_STO"/>
    <x v="1"/>
    <x v="1"/>
    <x v="67"/>
    <x v="0"/>
    <x v="15"/>
    <n v="-102.727272727273"/>
    <n v="-37495.454545454602"/>
    <n v="-134983.636363636"/>
  </r>
  <r>
    <x v="0"/>
    <x v="0"/>
    <x v="0"/>
    <x v="3"/>
    <x v="13"/>
    <s v="SE3_STO"/>
    <x v="1"/>
    <x v="1"/>
    <x v="67"/>
    <x v="0"/>
    <x v="16"/>
    <n v="-102.727272727273"/>
    <n v="-37495.454545454602"/>
    <n v="-134983.636363636"/>
  </r>
  <r>
    <x v="0"/>
    <x v="0"/>
    <x v="0"/>
    <x v="3"/>
    <x v="13"/>
    <s v="SE3_STO"/>
    <x v="1"/>
    <x v="1"/>
    <x v="67"/>
    <x v="0"/>
    <x v="17"/>
    <n v="-102.727272727273"/>
    <n v="-37495.454545454602"/>
    <n v="-134983.636363636"/>
  </r>
  <r>
    <x v="0"/>
    <x v="0"/>
    <x v="0"/>
    <x v="3"/>
    <x v="13"/>
    <s v="SE3_STO"/>
    <x v="1"/>
    <x v="1"/>
    <x v="67"/>
    <x v="0"/>
    <x v="18"/>
    <n v="-102.727272727273"/>
    <n v="-37495.454545454602"/>
    <n v="-134983.636363636"/>
  </r>
  <r>
    <x v="0"/>
    <x v="0"/>
    <x v="0"/>
    <x v="3"/>
    <x v="13"/>
    <s v="SE3_STO"/>
    <x v="1"/>
    <x v="1"/>
    <x v="67"/>
    <x v="0"/>
    <x v="19"/>
    <n v="-102.727272727273"/>
    <n v="-37495.454545454602"/>
    <n v="-134983.636363636"/>
  </r>
  <r>
    <x v="0"/>
    <x v="0"/>
    <x v="0"/>
    <x v="3"/>
    <x v="13"/>
    <s v="SE3_STO"/>
    <x v="1"/>
    <x v="1"/>
    <x v="67"/>
    <x v="0"/>
    <x v="20"/>
    <n v="-102.727272727273"/>
    <n v="-37495.454545454602"/>
    <n v="-134983.636363636"/>
  </r>
  <r>
    <x v="0"/>
    <x v="0"/>
    <x v="0"/>
    <x v="3"/>
    <x v="13"/>
    <s v="SE3_STO"/>
    <x v="1"/>
    <x v="1"/>
    <x v="67"/>
    <x v="0"/>
    <x v="21"/>
    <n v="-102.727272727273"/>
    <n v="-37495.454545454602"/>
    <n v="-134983.636363636"/>
  </r>
  <r>
    <x v="0"/>
    <x v="0"/>
    <x v="0"/>
    <x v="3"/>
    <x v="13"/>
    <s v="SE3_STO"/>
    <x v="1"/>
    <x v="1"/>
    <x v="67"/>
    <x v="0"/>
    <x v="22"/>
    <n v="-102.727272727273"/>
    <n v="-37495.454545454602"/>
    <n v="-134983.636363636"/>
  </r>
  <r>
    <x v="0"/>
    <x v="0"/>
    <x v="0"/>
    <x v="3"/>
    <x v="13"/>
    <s v="SE3_STO"/>
    <x v="1"/>
    <x v="1"/>
    <x v="67"/>
    <x v="0"/>
    <x v="23"/>
    <n v="-102.727272727273"/>
    <n v="-37495.454545454602"/>
    <n v="-134983.636363636"/>
  </r>
  <r>
    <x v="0"/>
    <x v="0"/>
    <x v="0"/>
    <x v="3"/>
    <x v="13"/>
    <s v="SE3_STO"/>
    <x v="2"/>
    <x v="2"/>
    <x v="78"/>
    <x v="0"/>
    <x v="0"/>
    <n v="45.398510890853899"/>
    <n v="16570.4564751617"/>
    <n v="59653.643310582003"/>
  </r>
  <r>
    <x v="0"/>
    <x v="0"/>
    <x v="0"/>
    <x v="3"/>
    <x v="13"/>
    <s v="SE3_STO"/>
    <x v="2"/>
    <x v="2"/>
    <x v="78"/>
    <x v="0"/>
    <x v="1"/>
    <n v="45.398510890853899"/>
    <n v="16570.4564751617"/>
    <n v="59653.643310582003"/>
  </r>
  <r>
    <x v="0"/>
    <x v="0"/>
    <x v="0"/>
    <x v="3"/>
    <x v="13"/>
    <s v="SE3_STO"/>
    <x v="2"/>
    <x v="2"/>
    <x v="78"/>
    <x v="0"/>
    <x v="2"/>
    <n v="45.398510890853899"/>
    <n v="16570.4564751617"/>
    <n v="59653.643310582003"/>
  </r>
  <r>
    <x v="0"/>
    <x v="0"/>
    <x v="0"/>
    <x v="3"/>
    <x v="13"/>
    <s v="SE3_STO"/>
    <x v="2"/>
    <x v="2"/>
    <x v="78"/>
    <x v="0"/>
    <x v="3"/>
    <n v="45.398510890853899"/>
    <n v="16570.4564751617"/>
    <n v="59653.643310582003"/>
  </r>
  <r>
    <x v="0"/>
    <x v="0"/>
    <x v="0"/>
    <x v="3"/>
    <x v="13"/>
    <s v="SE3_STO"/>
    <x v="2"/>
    <x v="2"/>
    <x v="78"/>
    <x v="0"/>
    <x v="4"/>
    <n v="45.398510890853899"/>
    <n v="16570.4564751617"/>
    <n v="59653.643310582003"/>
  </r>
  <r>
    <x v="0"/>
    <x v="0"/>
    <x v="0"/>
    <x v="3"/>
    <x v="13"/>
    <s v="SE3_STO"/>
    <x v="2"/>
    <x v="2"/>
    <x v="78"/>
    <x v="0"/>
    <x v="5"/>
    <n v="45.398510890853899"/>
    <n v="16570.4564751617"/>
    <n v="59653.643310582003"/>
  </r>
  <r>
    <x v="0"/>
    <x v="0"/>
    <x v="0"/>
    <x v="3"/>
    <x v="13"/>
    <s v="SE3_STO"/>
    <x v="2"/>
    <x v="2"/>
    <x v="78"/>
    <x v="0"/>
    <x v="6"/>
    <n v="45.398510890853899"/>
    <n v="16570.4564751617"/>
    <n v="59653.643310582003"/>
  </r>
  <r>
    <x v="0"/>
    <x v="0"/>
    <x v="0"/>
    <x v="3"/>
    <x v="13"/>
    <s v="SE3_STO"/>
    <x v="2"/>
    <x v="2"/>
    <x v="78"/>
    <x v="0"/>
    <x v="7"/>
    <n v="45.398510890853899"/>
    <n v="16570.4564751617"/>
    <n v="59653.643310582003"/>
  </r>
  <r>
    <x v="0"/>
    <x v="0"/>
    <x v="0"/>
    <x v="3"/>
    <x v="13"/>
    <s v="SE3_STO"/>
    <x v="2"/>
    <x v="2"/>
    <x v="78"/>
    <x v="0"/>
    <x v="8"/>
    <n v="45.398510890853899"/>
    <n v="16570.4564751617"/>
    <n v="59653.643310582003"/>
  </r>
  <r>
    <x v="0"/>
    <x v="0"/>
    <x v="0"/>
    <x v="3"/>
    <x v="13"/>
    <s v="SE3_STO"/>
    <x v="2"/>
    <x v="2"/>
    <x v="78"/>
    <x v="0"/>
    <x v="9"/>
    <n v="45.398510890853899"/>
    <n v="16570.4564751617"/>
    <n v="59653.643310582003"/>
  </r>
  <r>
    <x v="0"/>
    <x v="0"/>
    <x v="0"/>
    <x v="3"/>
    <x v="13"/>
    <s v="SE3_STO"/>
    <x v="2"/>
    <x v="2"/>
    <x v="78"/>
    <x v="0"/>
    <x v="10"/>
    <n v="45.398510890853899"/>
    <n v="16570.4564751617"/>
    <n v="59653.643310582003"/>
  </r>
  <r>
    <x v="0"/>
    <x v="0"/>
    <x v="0"/>
    <x v="3"/>
    <x v="13"/>
    <s v="SE3_STO"/>
    <x v="2"/>
    <x v="2"/>
    <x v="78"/>
    <x v="0"/>
    <x v="11"/>
    <n v="45.398510890853899"/>
    <n v="16570.4564751617"/>
    <n v="59653.643310582003"/>
  </r>
  <r>
    <x v="0"/>
    <x v="0"/>
    <x v="0"/>
    <x v="3"/>
    <x v="13"/>
    <s v="SE3_STO"/>
    <x v="2"/>
    <x v="2"/>
    <x v="78"/>
    <x v="0"/>
    <x v="12"/>
    <n v="45.398510890853899"/>
    <n v="16570.4564751617"/>
    <n v="59653.643310582003"/>
  </r>
  <r>
    <x v="0"/>
    <x v="0"/>
    <x v="0"/>
    <x v="3"/>
    <x v="13"/>
    <s v="SE3_STO"/>
    <x v="2"/>
    <x v="2"/>
    <x v="78"/>
    <x v="0"/>
    <x v="13"/>
    <n v="45.398510890853899"/>
    <n v="16570.4564751617"/>
    <n v="59653.643310582003"/>
  </r>
  <r>
    <x v="0"/>
    <x v="0"/>
    <x v="0"/>
    <x v="3"/>
    <x v="13"/>
    <s v="SE3_STO"/>
    <x v="2"/>
    <x v="2"/>
    <x v="78"/>
    <x v="0"/>
    <x v="14"/>
    <n v="45.398510890853899"/>
    <n v="16570.4564751617"/>
    <n v="59653.643310582003"/>
  </r>
  <r>
    <x v="0"/>
    <x v="0"/>
    <x v="0"/>
    <x v="3"/>
    <x v="13"/>
    <s v="SE3_STO"/>
    <x v="2"/>
    <x v="2"/>
    <x v="78"/>
    <x v="0"/>
    <x v="15"/>
    <n v="45.398510890853899"/>
    <n v="16570.4564751617"/>
    <n v="59653.643310582003"/>
  </r>
  <r>
    <x v="0"/>
    <x v="0"/>
    <x v="0"/>
    <x v="3"/>
    <x v="13"/>
    <s v="SE3_STO"/>
    <x v="2"/>
    <x v="2"/>
    <x v="78"/>
    <x v="0"/>
    <x v="16"/>
    <n v="45.398510890853899"/>
    <n v="16570.4564751617"/>
    <n v="59653.643310582003"/>
  </r>
  <r>
    <x v="0"/>
    <x v="0"/>
    <x v="0"/>
    <x v="3"/>
    <x v="13"/>
    <s v="SE3_STO"/>
    <x v="2"/>
    <x v="2"/>
    <x v="78"/>
    <x v="0"/>
    <x v="17"/>
    <n v="45.398510890853899"/>
    <n v="16570.4564751617"/>
    <n v="59653.643310582003"/>
  </r>
  <r>
    <x v="0"/>
    <x v="0"/>
    <x v="0"/>
    <x v="3"/>
    <x v="13"/>
    <s v="SE3_STO"/>
    <x v="2"/>
    <x v="2"/>
    <x v="78"/>
    <x v="0"/>
    <x v="18"/>
    <n v="45.398510890853899"/>
    <n v="16570.4564751617"/>
    <n v="59653.643310582003"/>
  </r>
  <r>
    <x v="0"/>
    <x v="0"/>
    <x v="0"/>
    <x v="3"/>
    <x v="13"/>
    <s v="SE3_STO"/>
    <x v="2"/>
    <x v="2"/>
    <x v="78"/>
    <x v="0"/>
    <x v="19"/>
    <n v="45.398510890853899"/>
    <n v="16570.4564751617"/>
    <n v="59653.643310582003"/>
  </r>
  <r>
    <x v="0"/>
    <x v="0"/>
    <x v="0"/>
    <x v="3"/>
    <x v="13"/>
    <s v="SE3_STO"/>
    <x v="2"/>
    <x v="2"/>
    <x v="78"/>
    <x v="0"/>
    <x v="20"/>
    <n v="45.398510890853899"/>
    <n v="16570.4564751617"/>
    <n v="59653.643310582003"/>
  </r>
  <r>
    <x v="0"/>
    <x v="0"/>
    <x v="0"/>
    <x v="3"/>
    <x v="13"/>
    <s v="SE3_STO"/>
    <x v="2"/>
    <x v="2"/>
    <x v="78"/>
    <x v="0"/>
    <x v="21"/>
    <n v="45.398510890853899"/>
    <n v="16570.4564751617"/>
    <n v="59653.643310582003"/>
  </r>
  <r>
    <x v="0"/>
    <x v="0"/>
    <x v="0"/>
    <x v="3"/>
    <x v="13"/>
    <s v="SE3_STO"/>
    <x v="2"/>
    <x v="2"/>
    <x v="78"/>
    <x v="0"/>
    <x v="22"/>
    <n v="45.398510890853899"/>
    <n v="16570.4564751617"/>
    <n v="59653.643310582003"/>
  </r>
  <r>
    <x v="0"/>
    <x v="0"/>
    <x v="0"/>
    <x v="3"/>
    <x v="13"/>
    <s v="SE3_STO"/>
    <x v="2"/>
    <x v="2"/>
    <x v="78"/>
    <x v="0"/>
    <x v="23"/>
    <n v="45.398510890853899"/>
    <n v="16570.4564751617"/>
    <n v="59653.643310582003"/>
  </r>
  <r>
    <x v="0"/>
    <x v="0"/>
    <x v="0"/>
    <x v="3"/>
    <x v="13"/>
    <s v="SE3_STO"/>
    <x v="13"/>
    <x v="2"/>
    <x v="60"/>
    <x v="0"/>
    <x v="0"/>
    <n v="79.113309982486896"/>
    <n v="28876.3581436077"/>
    <n v="103954.889316988"/>
  </r>
  <r>
    <x v="0"/>
    <x v="0"/>
    <x v="0"/>
    <x v="3"/>
    <x v="13"/>
    <s v="SE3_STO"/>
    <x v="13"/>
    <x v="2"/>
    <x v="60"/>
    <x v="0"/>
    <x v="1"/>
    <n v="79.113309982486896"/>
    <n v="28876.3581436077"/>
    <n v="103954.889316988"/>
  </r>
  <r>
    <x v="0"/>
    <x v="0"/>
    <x v="0"/>
    <x v="3"/>
    <x v="13"/>
    <s v="SE3_STO"/>
    <x v="13"/>
    <x v="2"/>
    <x v="60"/>
    <x v="0"/>
    <x v="2"/>
    <n v="79.113309982486896"/>
    <n v="28876.3581436077"/>
    <n v="103954.889316988"/>
  </r>
  <r>
    <x v="0"/>
    <x v="0"/>
    <x v="0"/>
    <x v="3"/>
    <x v="13"/>
    <s v="SE3_STO"/>
    <x v="13"/>
    <x v="2"/>
    <x v="60"/>
    <x v="0"/>
    <x v="3"/>
    <n v="79.113309982486896"/>
    <n v="28876.3581436077"/>
    <n v="103954.889316988"/>
  </r>
  <r>
    <x v="0"/>
    <x v="0"/>
    <x v="0"/>
    <x v="3"/>
    <x v="13"/>
    <s v="SE3_STO"/>
    <x v="13"/>
    <x v="2"/>
    <x v="60"/>
    <x v="0"/>
    <x v="4"/>
    <n v="79.113309982486896"/>
    <n v="28876.3581436077"/>
    <n v="103954.889316988"/>
  </r>
  <r>
    <x v="0"/>
    <x v="0"/>
    <x v="0"/>
    <x v="3"/>
    <x v="13"/>
    <s v="SE3_STO"/>
    <x v="13"/>
    <x v="2"/>
    <x v="60"/>
    <x v="0"/>
    <x v="5"/>
    <n v="79.113309982486896"/>
    <n v="28876.3581436077"/>
    <n v="103954.889316988"/>
  </r>
  <r>
    <x v="0"/>
    <x v="0"/>
    <x v="0"/>
    <x v="3"/>
    <x v="13"/>
    <s v="SE3_STO"/>
    <x v="13"/>
    <x v="2"/>
    <x v="60"/>
    <x v="0"/>
    <x v="6"/>
    <n v="79.113309982486896"/>
    <n v="28876.3581436077"/>
    <n v="103954.889316988"/>
  </r>
  <r>
    <x v="0"/>
    <x v="0"/>
    <x v="0"/>
    <x v="3"/>
    <x v="13"/>
    <s v="SE3_STO"/>
    <x v="13"/>
    <x v="2"/>
    <x v="60"/>
    <x v="0"/>
    <x v="7"/>
    <n v="79.113309982486896"/>
    <n v="28876.3581436077"/>
    <n v="103954.889316988"/>
  </r>
  <r>
    <x v="0"/>
    <x v="0"/>
    <x v="0"/>
    <x v="3"/>
    <x v="13"/>
    <s v="SE3_STO"/>
    <x v="13"/>
    <x v="2"/>
    <x v="60"/>
    <x v="0"/>
    <x v="8"/>
    <n v="79.113309982486896"/>
    <n v="28876.3581436077"/>
    <n v="103954.889316988"/>
  </r>
  <r>
    <x v="0"/>
    <x v="0"/>
    <x v="0"/>
    <x v="3"/>
    <x v="13"/>
    <s v="SE3_STO"/>
    <x v="13"/>
    <x v="2"/>
    <x v="60"/>
    <x v="0"/>
    <x v="9"/>
    <n v="79.113309982486896"/>
    <n v="28876.3581436077"/>
    <n v="103954.889316988"/>
  </r>
  <r>
    <x v="0"/>
    <x v="0"/>
    <x v="0"/>
    <x v="3"/>
    <x v="13"/>
    <s v="SE3_STO"/>
    <x v="13"/>
    <x v="2"/>
    <x v="60"/>
    <x v="0"/>
    <x v="10"/>
    <n v="79.113309982486896"/>
    <n v="28876.3581436077"/>
    <n v="103954.889316988"/>
  </r>
  <r>
    <x v="0"/>
    <x v="0"/>
    <x v="0"/>
    <x v="3"/>
    <x v="13"/>
    <s v="SE3_STO"/>
    <x v="13"/>
    <x v="2"/>
    <x v="60"/>
    <x v="0"/>
    <x v="11"/>
    <n v="79.113309982486896"/>
    <n v="28876.3581436077"/>
    <n v="103954.889316988"/>
  </r>
  <r>
    <x v="0"/>
    <x v="0"/>
    <x v="0"/>
    <x v="3"/>
    <x v="13"/>
    <s v="SE3_STO"/>
    <x v="13"/>
    <x v="2"/>
    <x v="60"/>
    <x v="0"/>
    <x v="12"/>
    <n v="79.113309982486896"/>
    <n v="28876.3581436077"/>
    <n v="103954.889316988"/>
  </r>
  <r>
    <x v="0"/>
    <x v="0"/>
    <x v="0"/>
    <x v="3"/>
    <x v="13"/>
    <s v="SE3_STO"/>
    <x v="13"/>
    <x v="2"/>
    <x v="60"/>
    <x v="0"/>
    <x v="13"/>
    <n v="79.113309982486896"/>
    <n v="28876.3581436077"/>
    <n v="103954.889316988"/>
  </r>
  <r>
    <x v="0"/>
    <x v="0"/>
    <x v="0"/>
    <x v="3"/>
    <x v="13"/>
    <s v="SE3_STO"/>
    <x v="13"/>
    <x v="2"/>
    <x v="60"/>
    <x v="0"/>
    <x v="14"/>
    <n v="79.113309982486896"/>
    <n v="28876.3581436077"/>
    <n v="103954.889316988"/>
  </r>
  <r>
    <x v="0"/>
    <x v="0"/>
    <x v="0"/>
    <x v="3"/>
    <x v="13"/>
    <s v="SE3_STO"/>
    <x v="13"/>
    <x v="2"/>
    <x v="60"/>
    <x v="0"/>
    <x v="15"/>
    <n v="79.113309982486896"/>
    <n v="28876.3581436077"/>
    <n v="103954.889316988"/>
  </r>
  <r>
    <x v="0"/>
    <x v="0"/>
    <x v="0"/>
    <x v="3"/>
    <x v="13"/>
    <s v="SE3_STO"/>
    <x v="13"/>
    <x v="2"/>
    <x v="60"/>
    <x v="0"/>
    <x v="16"/>
    <n v="79.113309982486896"/>
    <n v="28876.3581436077"/>
    <n v="103954.889316988"/>
  </r>
  <r>
    <x v="0"/>
    <x v="0"/>
    <x v="0"/>
    <x v="3"/>
    <x v="13"/>
    <s v="SE3_STO"/>
    <x v="13"/>
    <x v="2"/>
    <x v="60"/>
    <x v="0"/>
    <x v="17"/>
    <n v="79.113309982486896"/>
    <n v="28876.3581436077"/>
    <n v="103954.889316988"/>
  </r>
  <r>
    <x v="0"/>
    <x v="0"/>
    <x v="0"/>
    <x v="3"/>
    <x v="13"/>
    <s v="SE3_STO"/>
    <x v="13"/>
    <x v="2"/>
    <x v="60"/>
    <x v="0"/>
    <x v="18"/>
    <n v="79.113309982486896"/>
    <n v="28876.3581436077"/>
    <n v="103954.889316988"/>
  </r>
  <r>
    <x v="0"/>
    <x v="0"/>
    <x v="0"/>
    <x v="3"/>
    <x v="13"/>
    <s v="SE3_STO"/>
    <x v="13"/>
    <x v="2"/>
    <x v="60"/>
    <x v="0"/>
    <x v="19"/>
    <n v="79.113309982486896"/>
    <n v="28876.3581436077"/>
    <n v="103954.889316988"/>
  </r>
  <r>
    <x v="0"/>
    <x v="0"/>
    <x v="0"/>
    <x v="3"/>
    <x v="13"/>
    <s v="SE3_STO"/>
    <x v="13"/>
    <x v="2"/>
    <x v="60"/>
    <x v="0"/>
    <x v="20"/>
    <n v="79.113309982486896"/>
    <n v="28876.3581436077"/>
    <n v="103954.889316988"/>
  </r>
  <r>
    <x v="0"/>
    <x v="0"/>
    <x v="0"/>
    <x v="3"/>
    <x v="13"/>
    <s v="SE3_STO"/>
    <x v="13"/>
    <x v="2"/>
    <x v="60"/>
    <x v="0"/>
    <x v="21"/>
    <n v="79.113309982486896"/>
    <n v="28876.3581436077"/>
    <n v="103954.889316988"/>
  </r>
  <r>
    <x v="0"/>
    <x v="0"/>
    <x v="0"/>
    <x v="3"/>
    <x v="13"/>
    <s v="SE3_STO"/>
    <x v="13"/>
    <x v="2"/>
    <x v="60"/>
    <x v="0"/>
    <x v="22"/>
    <n v="79.113309982486896"/>
    <n v="28876.3581436077"/>
    <n v="103954.889316988"/>
  </r>
  <r>
    <x v="0"/>
    <x v="0"/>
    <x v="0"/>
    <x v="3"/>
    <x v="13"/>
    <s v="SE3_STO"/>
    <x v="13"/>
    <x v="2"/>
    <x v="60"/>
    <x v="0"/>
    <x v="23"/>
    <n v="79.113309982486896"/>
    <n v="28876.3581436077"/>
    <n v="103954.889316988"/>
  </r>
  <r>
    <x v="0"/>
    <x v="0"/>
    <x v="0"/>
    <x v="3"/>
    <x v="13"/>
    <s v="SE3_STO"/>
    <x v="13"/>
    <x v="2"/>
    <x v="79"/>
    <x v="0"/>
    <x v="0"/>
    <n v="33.046865148861599"/>
    <n v="12062.105779334501"/>
    <n v="43423.580805604201"/>
  </r>
  <r>
    <x v="0"/>
    <x v="0"/>
    <x v="0"/>
    <x v="3"/>
    <x v="13"/>
    <s v="SE3_STO"/>
    <x v="13"/>
    <x v="2"/>
    <x v="79"/>
    <x v="0"/>
    <x v="1"/>
    <n v="33.046865148861599"/>
    <n v="12062.105779334501"/>
    <n v="43423.580805604201"/>
  </r>
  <r>
    <x v="0"/>
    <x v="0"/>
    <x v="0"/>
    <x v="3"/>
    <x v="13"/>
    <s v="SE3_STO"/>
    <x v="13"/>
    <x v="2"/>
    <x v="79"/>
    <x v="0"/>
    <x v="2"/>
    <n v="33.046865148861599"/>
    <n v="12062.105779334501"/>
    <n v="43423.580805604201"/>
  </r>
  <r>
    <x v="0"/>
    <x v="0"/>
    <x v="0"/>
    <x v="3"/>
    <x v="13"/>
    <s v="SE3_STO"/>
    <x v="13"/>
    <x v="2"/>
    <x v="79"/>
    <x v="0"/>
    <x v="3"/>
    <n v="33.046865148861599"/>
    <n v="12062.105779334501"/>
    <n v="43423.580805604201"/>
  </r>
  <r>
    <x v="0"/>
    <x v="0"/>
    <x v="0"/>
    <x v="3"/>
    <x v="13"/>
    <s v="SE3_STO"/>
    <x v="13"/>
    <x v="2"/>
    <x v="79"/>
    <x v="0"/>
    <x v="4"/>
    <n v="33.046865148861599"/>
    <n v="12062.105779334501"/>
    <n v="43423.580805604201"/>
  </r>
  <r>
    <x v="0"/>
    <x v="0"/>
    <x v="0"/>
    <x v="3"/>
    <x v="13"/>
    <s v="SE3_STO"/>
    <x v="13"/>
    <x v="2"/>
    <x v="79"/>
    <x v="0"/>
    <x v="5"/>
    <n v="33.046865148861599"/>
    <n v="12062.105779334501"/>
    <n v="43423.580805604201"/>
  </r>
  <r>
    <x v="0"/>
    <x v="0"/>
    <x v="0"/>
    <x v="3"/>
    <x v="13"/>
    <s v="SE3_STO"/>
    <x v="13"/>
    <x v="2"/>
    <x v="79"/>
    <x v="0"/>
    <x v="6"/>
    <n v="33.046865148861599"/>
    <n v="12062.105779334501"/>
    <n v="43423.580805604201"/>
  </r>
  <r>
    <x v="0"/>
    <x v="0"/>
    <x v="0"/>
    <x v="3"/>
    <x v="13"/>
    <s v="SE3_STO"/>
    <x v="13"/>
    <x v="2"/>
    <x v="79"/>
    <x v="0"/>
    <x v="7"/>
    <n v="33.046865148861599"/>
    <n v="12062.105779334501"/>
    <n v="43423.580805604201"/>
  </r>
  <r>
    <x v="0"/>
    <x v="0"/>
    <x v="0"/>
    <x v="3"/>
    <x v="13"/>
    <s v="SE3_STO"/>
    <x v="13"/>
    <x v="2"/>
    <x v="79"/>
    <x v="0"/>
    <x v="8"/>
    <n v="33.046865148861599"/>
    <n v="12062.105779334501"/>
    <n v="43423.580805604201"/>
  </r>
  <r>
    <x v="0"/>
    <x v="0"/>
    <x v="0"/>
    <x v="3"/>
    <x v="13"/>
    <s v="SE3_STO"/>
    <x v="13"/>
    <x v="2"/>
    <x v="79"/>
    <x v="0"/>
    <x v="9"/>
    <n v="33.046865148861599"/>
    <n v="12062.105779334501"/>
    <n v="43423.580805604201"/>
  </r>
  <r>
    <x v="0"/>
    <x v="0"/>
    <x v="0"/>
    <x v="3"/>
    <x v="13"/>
    <s v="SE3_STO"/>
    <x v="13"/>
    <x v="2"/>
    <x v="79"/>
    <x v="0"/>
    <x v="10"/>
    <n v="33.046865148861599"/>
    <n v="12062.105779334501"/>
    <n v="43423.580805604201"/>
  </r>
  <r>
    <x v="0"/>
    <x v="0"/>
    <x v="0"/>
    <x v="3"/>
    <x v="13"/>
    <s v="SE3_STO"/>
    <x v="13"/>
    <x v="2"/>
    <x v="79"/>
    <x v="0"/>
    <x v="11"/>
    <n v="33.046865148861599"/>
    <n v="12062.105779334501"/>
    <n v="43423.580805604201"/>
  </r>
  <r>
    <x v="0"/>
    <x v="0"/>
    <x v="0"/>
    <x v="3"/>
    <x v="13"/>
    <s v="SE3_STO"/>
    <x v="13"/>
    <x v="2"/>
    <x v="79"/>
    <x v="0"/>
    <x v="12"/>
    <n v="33.046865148861599"/>
    <n v="12062.105779334501"/>
    <n v="43423.580805604201"/>
  </r>
  <r>
    <x v="0"/>
    <x v="0"/>
    <x v="0"/>
    <x v="3"/>
    <x v="13"/>
    <s v="SE3_STO"/>
    <x v="13"/>
    <x v="2"/>
    <x v="79"/>
    <x v="0"/>
    <x v="13"/>
    <n v="33.046865148861599"/>
    <n v="12062.105779334501"/>
    <n v="43423.580805604201"/>
  </r>
  <r>
    <x v="0"/>
    <x v="0"/>
    <x v="0"/>
    <x v="3"/>
    <x v="13"/>
    <s v="SE3_STO"/>
    <x v="13"/>
    <x v="2"/>
    <x v="79"/>
    <x v="0"/>
    <x v="14"/>
    <n v="33.046865148861599"/>
    <n v="12062.105779334501"/>
    <n v="43423.580805604201"/>
  </r>
  <r>
    <x v="0"/>
    <x v="0"/>
    <x v="0"/>
    <x v="3"/>
    <x v="13"/>
    <s v="SE3_STO"/>
    <x v="13"/>
    <x v="2"/>
    <x v="79"/>
    <x v="0"/>
    <x v="15"/>
    <n v="33.046865148861599"/>
    <n v="12062.105779334501"/>
    <n v="43423.580805604201"/>
  </r>
  <r>
    <x v="0"/>
    <x v="0"/>
    <x v="0"/>
    <x v="3"/>
    <x v="13"/>
    <s v="SE3_STO"/>
    <x v="13"/>
    <x v="2"/>
    <x v="79"/>
    <x v="0"/>
    <x v="16"/>
    <n v="33.046865148861599"/>
    <n v="12062.105779334501"/>
    <n v="43423.580805604201"/>
  </r>
  <r>
    <x v="0"/>
    <x v="0"/>
    <x v="0"/>
    <x v="3"/>
    <x v="13"/>
    <s v="SE3_STO"/>
    <x v="13"/>
    <x v="2"/>
    <x v="79"/>
    <x v="0"/>
    <x v="17"/>
    <n v="33.046865148861599"/>
    <n v="12062.105779334501"/>
    <n v="43423.580805604201"/>
  </r>
  <r>
    <x v="0"/>
    <x v="0"/>
    <x v="0"/>
    <x v="3"/>
    <x v="13"/>
    <s v="SE3_STO"/>
    <x v="13"/>
    <x v="2"/>
    <x v="79"/>
    <x v="0"/>
    <x v="18"/>
    <n v="33.046865148861599"/>
    <n v="12062.105779334501"/>
    <n v="43423.580805604201"/>
  </r>
  <r>
    <x v="0"/>
    <x v="0"/>
    <x v="0"/>
    <x v="3"/>
    <x v="13"/>
    <s v="SE3_STO"/>
    <x v="13"/>
    <x v="2"/>
    <x v="79"/>
    <x v="0"/>
    <x v="19"/>
    <n v="33.046865148861599"/>
    <n v="12062.105779334501"/>
    <n v="43423.580805604201"/>
  </r>
  <r>
    <x v="0"/>
    <x v="0"/>
    <x v="0"/>
    <x v="3"/>
    <x v="13"/>
    <s v="SE3_STO"/>
    <x v="13"/>
    <x v="2"/>
    <x v="79"/>
    <x v="0"/>
    <x v="20"/>
    <n v="33.046865148861599"/>
    <n v="12062.105779334501"/>
    <n v="43423.580805604201"/>
  </r>
  <r>
    <x v="0"/>
    <x v="0"/>
    <x v="0"/>
    <x v="3"/>
    <x v="13"/>
    <s v="SE3_STO"/>
    <x v="13"/>
    <x v="2"/>
    <x v="79"/>
    <x v="0"/>
    <x v="21"/>
    <n v="33.046865148861599"/>
    <n v="12062.105779334501"/>
    <n v="43423.580805604201"/>
  </r>
  <r>
    <x v="0"/>
    <x v="0"/>
    <x v="0"/>
    <x v="3"/>
    <x v="13"/>
    <s v="SE3_STO"/>
    <x v="13"/>
    <x v="2"/>
    <x v="79"/>
    <x v="0"/>
    <x v="22"/>
    <n v="33.046865148861599"/>
    <n v="12062.105779334501"/>
    <n v="43423.580805604201"/>
  </r>
  <r>
    <x v="0"/>
    <x v="0"/>
    <x v="0"/>
    <x v="3"/>
    <x v="13"/>
    <s v="SE3_STO"/>
    <x v="13"/>
    <x v="2"/>
    <x v="79"/>
    <x v="0"/>
    <x v="23"/>
    <n v="33.046865148861599"/>
    <n v="12062.105779334501"/>
    <n v="43423.580805604201"/>
  </r>
  <r>
    <x v="0"/>
    <x v="0"/>
    <x v="0"/>
    <x v="3"/>
    <x v="14"/>
    <s v="SE4A"/>
    <x v="5"/>
    <x v="4"/>
    <x v="56"/>
    <x v="0"/>
    <x v="0"/>
    <n v="81.152521371252504"/>
    <n v="29620.670300507201"/>
    <n v="106634.413081826"/>
  </r>
  <r>
    <x v="0"/>
    <x v="0"/>
    <x v="0"/>
    <x v="3"/>
    <x v="14"/>
    <s v="SE4A"/>
    <x v="5"/>
    <x v="4"/>
    <x v="56"/>
    <x v="0"/>
    <x v="1"/>
    <n v="81.152521371252504"/>
    <n v="29620.670300507201"/>
    <n v="106634.413081826"/>
  </r>
  <r>
    <x v="0"/>
    <x v="0"/>
    <x v="0"/>
    <x v="3"/>
    <x v="14"/>
    <s v="SE4A"/>
    <x v="5"/>
    <x v="4"/>
    <x v="56"/>
    <x v="0"/>
    <x v="2"/>
    <n v="81.152521371252504"/>
    <n v="29620.670300507201"/>
    <n v="106634.413081826"/>
  </r>
  <r>
    <x v="0"/>
    <x v="0"/>
    <x v="0"/>
    <x v="3"/>
    <x v="14"/>
    <s v="SE4A"/>
    <x v="5"/>
    <x v="4"/>
    <x v="56"/>
    <x v="0"/>
    <x v="3"/>
    <n v="81.152521371252504"/>
    <n v="29620.670300507201"/>
    <n v="106634.413081826"/>
  </r>
  <r>
    <x v="0"/>
    <x v="0"/>
    <x v="0"/>
    <x v="3"/>
    <x v="14"/>
    <s v="SE4A"/>
    <x v="5"/>
    <x v="4"/>
    <x v="56"/>
    <x v="0"/>
    <x v="4"/>
    <n v="81.152521371252504"/>
    <n v="29620.670300507201"/>
    <n v="106634.413081826"/>
  </r>
  <r>
    <x v="0"/>
    <x v="0"/>
    <x v="0"/>
    <x v="3"/>
    <x v="14"/>
    <s v="SE4A"/>
    <x v="5"/>
    <x v="4"/>
    <x v="56"/>
    <x v="0"/>
    <x v="5"/>
    <n v="81.152521371252504"/>
    <n v="29620.670300507201"/>
    <n v="106634.413081826"/>
  </r>
  <r>
    <x v="0"/>
    <x v="0"/>
    <x v="0"/>
    <x v="3"/>
    <x v="14"/>
    <s v="SE4A"/>
    <x v="5"/>
    <x v="4"/>
    <x v="56"/>
    <x v="0"/>
    <x v="6"/>
    <n v="81.152521371252504"/>
    <n v="29620.670300507201"/>
    <n v="106634.413081826"/>
  </r>
  <r>
    <x v="0"/>
    <x v="0"/>
    <x v="0"/>
    <x v="3"/>
    <x v="14"/>
    <s v="SE4A"/>
    <x v="5"/>
    <x v="4"/>
    <x v="56"/>
    <x v="0"/>
    <x v="7"/>
    <n v="81.152521371252504"/>
    <n v="29620.670300507201"/>
    <n v="106634.413081826"/>
  </r>
  <r>
    <x v="0"/>
    <x v="0"/>
    <x v="0"/>
    <x v="3"/>
    <x v="14"/>
    <s v="SE4A"/>
    <x v="5"/>
    <x v="4"/>
    <x v="56"/>
    <x v="0"/>
    <x v="8"/>
    <n v="81.152521371252504"/>
    <n v="29620.670300507201"/>
    <n v="106634.413081826"/>
  </r>
  <r>
    <x v="0"/>
    <x v="0"/>
    <x v="0"/>
    <x v="3"/>
    <x v="14"/>
    <s v="SE4A"/>
    <x v="5"/>
    <x v="4"/>
    <x v="56"/>
    <x v="0"/>
    <x v="9"/>
    <n v="81.152521371252504"/>
    <n v="29620.670300507201"/>
    <n v="106634.413081826"/>
  </r>
  <r>
    <x v="0"/>
    <x v="0"/>
    <x v="0"/>
    <x v="3"/>
    <x v="14"/>
    <s v="SE4A"/>
    <x v="5"/>
    <x v="4"/>
    <x v="56"/>
    <x v="0"/>
    <x v="10"/>
    <n v="81.152521371252504"/>
    <n v="29620.670300507201"/>
    <n v="106634.413081826"/>
  </r>
  <r>
    <x v="0"/>
    <x v="0"/>
    <x v="0"/>
    <x v="3"/>
    <x v="14"/>
    <s v="SE4A"/>
    <x v="5"/>
    <x v="4"/>
    <x v="56"/>
    <x v="0"/>
    <x v="11"/>
    <n v="81.152521371252504"/>
    <n v="29620.670300507201"/>
    <n v="106634.413081826"/>
  </r>
  <r>
    <x v="0"/>
    <x v="0"/>
    <x v="0"/>
    <x v="3"/>
    <x v="14"/>
    <s v="SE4A"/>
    <x v="5"/>
    <x v="4"/>
    <x v="56"/>
    <x v="0"/>
    <x v="12"/>
    <n v="81.152521371252504"/>
    <n v="29620.670300507201"/>
    <n v="106634.413081826"/>
  </r>
  <r>
    <x v="0"/>
    <x v="0"/>
    <x v="0"/>
    <x v="3"/>
    <x v="14"/>
    <s v="SE4A"/>
    <x v="5"/>
    <x v="4"/>
    <x v="56"/>
    <x v="0"/>
    <x v="13"/>
    <n v="81.152521371252504"/>
    <n v="29620.670300507201"/>
    <n v="106634.413081826"/>
  </r>
  <r>
    <x v="0"/>
    <x v="0"/>
    <x v="0"/>
    <x v="3"/>
    <x v="14"/>
    <s v="SE4A"/>
    <x v="5"/>
    <x v="4"/>
    <x v="56"/>
    <x v="0"/>
    <x v="14"/>
    <n v="81.152521371252504"/>
    <n v="29620.670300507201"/>
    <n v="106634.413081826"/>
  </r>
  <r>
    <x v="0"/>
    <x v="0"/>
    <x v="0"/>
    <x v="3"/>
    <x v="14"/>
    <s v="SE4A"/>
    <x v="5"/>
    <x v="4"/>
    <x v="56"/>
    <x v="0"/>
    <x v="15"/>
    <n v="81.152521371252504"/>
    <n v="29620.670300507201"/>
    <n v="106634.413081826"/>
  </r>
  <r>
    <x v="0"/>
    <x v="0"/>
    <x v="0"/>
    <x v="3"/>
    <x v="14"/>
    <s v="SE4A"/>
    <x v="5"/>
    <x v="4"/>
    <x v="56"/>
    <x v="0"/>
    <x v="16"/>
    <n v="81.152521371252504"/>
    <n v="29620.670300507201"/>
    <n v="106634.413081826"/>
  </r>
  <r>
    <x v="0"/>
    <x v="0"/>
    <x v="0"/>
    <x v="3"/>
    <x v="14"/>
    <s v="SE4A"/>
    <x v="5"/>
    <x v="4"/>
    <x v="56"/>
    <x v="0"/>
    <x v="17"/>
    <n v="81.152521371252504"/>
    <n v="29620.670300507201"/>
    <n v="106634.413081826"/>
  </r>
  <r>
    <x v="0"/>
    <x v="0"/>
    <x v="0"/>
    <x v="3"/>
    <x v="14"/>
    <s v="SE4A"/>
    <x v="5"/>
    <x v="4"/>
    <x v="56"/>
    <x v="0"/>
    <x v="18"/>
    <n v="81.152521371252504"/>
    <n v="29620.670300507201"/>
    <n v="106634.413081826"/>
  </r>
  <r>
    <x v="0"/>
    <x v="0"/>
    <x v="0"/>
    <x v="3"/>
    <x v="14"/>
    <s v="SE4A"/>
    <x v="5"/>
    <x v="4"/>
    <x v="56"/>
    <x v="0"/>
    <x v="19"/>
    <n v="81.152521371252504"/>
    <n v="29620.670300507201"/>
    <n v="106634.413081826"/>
  </r>
  <r>
    <x v="0"/>
    <x v="0"/>
    <x v="0"/>
    <x v="3"/>
    <x v="14"/>
    <s v="SE4A"/>
    <x v="5"/>
    <x v="4"/>
    <x v="56"/>
    <x v="0"/>
    <x v="20"/>
    <n v="81.152521371252504"/>
    <n v="29620.670300507201"/>
    <n v="106634.413081826"/>
  </r>
  <r>
    <x v="0"/>
    <x v="0"/>
    <x v="0"/>
    <x v="3"/>
    <x v="14"/>
    <s v="SE4A"/>
    <x v="5"/>
    <x v="4"/>
    <x v="56"/>
    <x v="0"/>
    <x v="21"/>
    <n v="81.152521371252504"/>
    <n v="29620.670300507201"/>
    <n v="106634.413081826"/>
  </r>
  <r>
    <x v="0"/>
    <x v="0"/>
    <x v="0"/>
    <x v="3"/>
    <x v="14"/>
    <s v="SE4A"/>
    <x v="5"/>
    <x v="4"/>
    <x v="56"/>
    <x v="0"/>
    <x v="22"/>
    <n v="81.152521371252504"/>
    <n v="29620.670300507201"/>
    <n v="106634.413081826"/>
  </r>
  <r>
    <x v="0"/>
    <x v="0"/>
    <x v="0"/>
    <x v="3"/>
    <x v="14"/>
    <s v="SE4A"/>
    <x v="5"/>
    <x v="4"/>
    <x v="56"/>
    <x v="0"/>
    <x v="23"/>
    <n v="81.152521371252504"/>
    <n v="29620.670300507201"/>
    <n v="106634.413081826"/>
  </r>
  <r>
    <x v="0"/>
    <x v="0"/>
    <x v="0"/>
    <x v="3"/>
    <x v="14"/>
    <s v="SE4A"/>
    <x v="5"/>
    <x v="8"/>
    <x v="57"/>
    <x v="0"/>
    <x v="0"/>
    <n v="115.66547102679699"/>
    <n v="42217.8969247809"/>
    <n v="151984.42892921099"/>
  </r>
  <r>
    <x v="0"/>
    <x v="0"/>
    <x v="0"/>
    <x v="3"/>
    <x v="14"/>
    <s v="SE4A"/>
    <x v="5"/>
    <x v="8"/>
    <x v="57"/>
    <x v="0"/>
    <x v="2"/>
    <n v="341"/>
    <n v="124465"/>
    <n v="448074"/>
  </r>
  <r>
    <x v="0"/>
    <x v="0"/>
    <x v="0"/>
    <x v="3"/>
    <x v="14"/>
    <s v="SE4A"/>
    <x v="5"/>
    <x v="8"/>
    <x v="57"/>
    <x v="0"/>
    <x v="6"/>
    <n v="341"/>
    <n v="124465"/>
    <n v="448074"/>
  </r>
  <r>
    <x v="0"/>
    <x v="0"/>
    <x v="0"/>
    <x v="3"/>
    <x v="14"/>
    <s v="SE4A"/>
    <x v="5"/>
    <x v="8"/>
    <x v="57"/>
    <x v="0"/>
    <x v="7"/>
    <n v="341"/>
    <n v="124465"/>
    <n v="448074"/>
  </r>
  <r>
    <x v="0"/>
    <x v="0"/>
    <x v="0"/>
    <x v="3"/>
    <x v="14"/>
    <s v="SE4A"/>
    <x v="5"/>
    <x v="8"/>
    <x v="57"/>
    <x v="0"/>
    <x v="8"/>
    <n v="341"/>
    <n v="124465"/>
    <n v="448074"/>
  </r>
  <r>
    <x v="0"/>
    <x v="0"/>
    <x v="0"/>
    <x v="3"/>
    <x v="14"/>
    <s v="SE4A"/>
    <x v="5"/>
    <x v="8"/>
    <x v="57"/>
    <x v="0"/>
    <x v="9"/>
    <n v="341"/>
    <n v="124465"/>
    <n v="448074"/>
  </r>
  <r>
    <x v="0"/>
    <x v="0"/>
    <x v="0"/>
    <x v="3"/>
    <x v="14"/>
    <s v="SE4A"/>
    <x v="5"/>
    <x v="8"/>
    <x v="57"/>
    <x v="0"/>
    <x v="10"/>
    <n v="341"/>
    <n v="124465"/>
    <n v="448074"/>
  </r>
  <r>
    <x v="0"/>
    <x v="0"/>
    <x v="0"/>
    <x v="3"/>
    <x v="14"/>
    <s v="SE4A"/>
    <x v="5"/>
    <x v="8"/>
    <x v="57"/>
    <x v="0"/>
    <x v="12"/>
    <n v="98.386960644151799"/>
    <n v="35911.240635115399"/>
    <n v="129280.466286415"/>
  </r>
  <r>
    <x v="0"/>
    <x v="0"/>
    <x v="0"/>
    <x v="3"/>
    <x v="14"/>
    <s v="SE4A"/>
    <x v="5"/>
    <x v="8"/>
    <x v="57"/>
    <x v="0"/>
    <x v="13"/>
    <n v="341"/>
    <n v="124465"/>
    <n v="448074"/>
  </r>
  <r>
    <x v="0"/>
    <x v="0"/>
    <x v="0"/>
    <x v="3"/>
    <x v="14"/>
    <s v="SE4A"/>
    <x v="5"/>
    <x v="8"/>
    <x v="57"/>
    <x v="0"/>
    <x v="15"/>
    <n v="341"/>
    <n v="124465"/>
    <n v="448074"/>
  </r>
  <r>
    <x v="0"/>
    <x v="0"/>
    <x v="0"/>
    <x v="3"/>
    <x v="14"/>
    <s v="SE4A"/>
    <x v="5"/>
    <x v="8"/>
    <x v="57"/>
    <x v="0"/>
    <x v="17"/>
    <n v="341"/>
    <n v="124465"/>
    <n v="448074"/>
  </r>
  <r>
    <x v="0"/>
    <x v="0"/>
    <x v="0"/>
    <x v="3"/>
    <x v="14"/>
    <s v="SE4A"/>
    <x v="5"/>
    <x v="8"/>
    <x v="57"/>
    <x v="0"/>
    <x v="18"/>
    <n v="239.20511497257399"/>
    <n v="87309.8669649894"/>
    <n v="314315.52107396198"/>
  </r>
  <r>
    <x v="0"/>
    <x v="0"/>
    <x v="0"/>
    <x v="3"/>
    <x v="14"/>
    <s v="SE4A"/>
    <x v="5"/>
    <x v="8"/>
    <x v="57"/>
    <x v="0"/>
    <x v="20"/>
    <n v="341"/>
    <n v="124465"/>
    <n v="448074"/>
  </r>
  <r>
    <x v="0"/>
    <x v="0"/>
    <x v="0"/>
    <x v="3"/>
    <x v="14"/>
    <s v="SE4A"/>
    <x v="5"/>
    <x v="8"/>
    <x v="57"/>
    <x v="0"/>
    <x v="22"/>
    <n v="341"/>
    <n v="124465"/>
    <n v="448074"/>
  </r>
  <r>
    <x v="0"/>
    <x v="0"/>
    <x v="0"/>
    <x v="3"/>
    <x v="14"/>
    <s v="SE4A"/>
    <x v="5"/>
    <x v="8"/>
    <x v="57"/>
    <x v="0"/>
    <x v="23"/>
    <n v="341"/>
    <n v="124465"/>
    <n v="448074"/>
  </r>
  <r>
    <x v="0"/>
    <x v="0"/>
    <x v="0"/>
    <x v="3"/>
    <x v="14"/>
    <s v="SE4A"/>
    <x v="6"/>
    <x v="5"/>
    <x v="11"/>
    <x v="0"/>
    <x v="0"/>
    <n v="131.46211063822599"/>
    <n v="47983.670382952303"/>
    <n v="172741.21337862799"/>
  </r>
  <r>
    <x v="0"/>
    <x v="0"/>
    <x v="0"/>
    <x v="3"/>
    <x v="14"/>
    <s v="SE4A"/>
    <x v="6"/>
    <x v="5"/>
    <x v="11"/>
    <x v="0"/>
    <x v="1"/>
    <n v="187.401370079858"/>
    <n v="68401.500079148303"/>
    <n v="246245.400284934"/>
  </r>
  <r>
    <x v="0"/>
    <x v="0"/>
    <x v="0"/>
    <x v="3"/>
    <x v="14"/>
    <s v="SE4A"/>
    <x v="6"/>
    <x v="5"/>
    <x v="11"/>
    <x v="0"/>
    <x v="2"/>
    <n v="261.14778906471702"/>
    <n v="95318.9430086215"/>
    <n v="343148.19483103702"/>
  </r>
  <r>
    <x v="0"/>
    <x v="0"/>
    <x v="0"/>
    <x v="3"/>
    <x v="14"/>
    <s v="SE4A"/>
    <x v="6"/>
    <x v="5"/>
    <x v="11"/>
    <x v="0"/>
    <x v="3"/>
    <n v="288.41056574144699"/>
    <n v="105269.856495628"/>
    <n v="378971.48338426201"/>
  </r>
  <r>
    <x v="0"/>
    <x v="0"/>
    <x v="0"/>
    <x v="3"/>
    <x v="14"/>
    <s v="SE4A"/>
    <x v="6"/>
    <x v="5"/>
    <x v="11"/>
    <x v="0"/>
    <x v="4"/>
    <n v="319.08456690406501"/>
    <n v="116465.86691998399"/>
    <n v="419277.12091194099"/>
  </r>
  <r>
    <x v="0"/>
    <x v="0"/>
    <x v="0"/>
    <x v="3"/>
    <x v="14"/>
    <s v="SE4A"/>
    <x v="6"/>
    <x v="5"/>
    <x v="11"/>
    <x v="0"/>
    <x v="5"/>
    <n v="350.31327221502102"/>
    <n v="127864.34435848299"/>
    <n v="460311.639690538"/>
  </r>
  <r>
    <x v="0"/>
    <x v="0"/>
    <x v="0"/>
    <x v="3"/>
    <x v="14"/>
    <s v="SE4A"/>
    <x v="6"/>
    <x v="5"/>
    <x v="11"/>
    <x v="0"/>
    <x v="6"/>
    <n v="389.15737048987103"/>
    <n v="142042.440228803"/>
    <n v="511352.78482369101"/>
  </r>
  <r>
    <x v="0"/>
    <x v="0"/>
    <x v="0"/>
    <x v="3"/>
    <x v="14"/>
    <s v="SE4A"/>
    <x v="6"/>
    <x v="5"/>
    <x v="11"/>
    <x v="0"/>
    <x v="7"/>
    <n v="399.39245042398102"/>
    <n v="145778.244404753"/>
    <n v="524801.67985711095"/>
  </r>
  <r>
    <x v="0"/>
    <x v="0"/>
    <x v="0"/>
    <x v="3"/>
    <x v="14"/>
    <s v="SE4A"/>
    <x v="6"/>
    <x v="5"/>
    <x v="11"/>
    <x v="0"/>
    <x v="8"/>
    <n v="404.995133514538"/>
    <n v="147823.22373280599"/>
    <n v="532163.60543810297"/>
  </r>
  <r>
    <x v="0"/>
    <x v="0"/>
    <x v="0"/>
    <x v="3"/>
    <x v="14"/>
    <s v="SE4A"/>
    <x v="6"/>
    <x v="5"/>
    <x v="11"/>
    <x v="0"/>
    <x v="9"/>
    <n v="389.98807624363599"/>
    <n v="142345.647828927"/>
    <n v="512444.33218413801"/>
  </r>
  <r>
    <x v="0"/>
    <x v="0"/>
    <x v="0"/>
    <x v="3"/>
    <x v="14"/>
    <s v="SE4A"/>
    <x v="6"/>
    <x v="5"/>
    <x v="11"/>
    <x v="0"/>
    <x v="10"/>
    <n v="393.11327347145698"/>
    <n v="143486.34481708199"/>
    <n v="516550.841341494"/>
  </r>
  <r>
    <x v="0"/>
    <x v="0"/>
    <x v="0"/>
    <x v="3"/>
    <x v="14"/>
    <s v="SE4A"/>
    <x v="6"/>
    <x v="5"/>
    <x v="11"/>
    <x v="0"/>
    <x v="11"/>
    <n v="396.41744182218599"/>
    <n v="144692.36626509801"/>
    <n v="520892.51855435298"/>
  </r>
  <r>
    <x v="0"/>
    <x v="0"/>
    <x v="0"/>
    <x v="3"/>
    <x v="14"/>
    <s v="SE4A"/>
    <x v="6"/>
    <x v="5"/>
    <x v="11"/>
    <x v="0"/>
    <x v="12"/>
    <n v="393.42246497044198"/>
    <n v="143599.19971421099"/>
    <n v="516957.11897115997"/>
  </r>
  <r>
    <x v="0"/>
    <x v="0"/>
    <x v="0"/>
    <x v="3"/>
    <x v="14"/>
    <s v="SE4A"/>
    <x v="6"/>
    <x v="5"/>
    <x v="11"/>
    <x v="0"/>
    <x v="13"/>
    <n v="400.029038385381"/>
    <n v="146010.59901066401"/>
    <n v="525638.15643839003"/>
  </r>
  <r>
    <x v="0"/>
    <x v="0"/>
    <x v="0"/>
    <x v="3"/>
    <x v="14"/>
    <s v="SE4A"/>
    <x v="6"/>
    <x v="5"/>
    <x v="11"/>
    <x v="0"/>
    <x v="14"/>
    <n v="397.68598686390197"/>
    <n v="145155.38520532401"/>
    <n v="522559.38673916698"/>
  </r>
  <r>
    <x v="0"/>
    <x v="0"/>
    <x v="0"/>
    <x v="3"/>
    <x v="14"/>
    <s v="SE4A"/>
    <x v="6"/>
    <x v="5"/>
    <x v="11"/>
    <x v="0"/>
    <x v="15"/>
    <n v="404.96840390499801"/>
    <n v="147813.46742532399"/>
    <n v="532128.48273116699"/>
  </r>
  <r>
    <x v="0"/>
    <x v="0"/>
    <x v="0"/>
    <x v="3"/>
    <x v="14"/>
    <s v="SE4A"/>
    <x v="6"/>
    <x v="5"/>
    <x v="11"/>
    <x v="0"/>
    <x v="16"/>
    <n v="403.35287992107101"/>
    <n v="147223.80117119101"/>
    <n v="530005.68421628699"/>
  </r>
  <r>
    <x v="0"/>
    <x v="0"/>
    <x v="0"/>
    <x v="3"/>
    <x v="14"/>
    <s v="SE4A"/>
    <x v="6"/>
    <x v="5"/>
    <x v="11"/>
    <x v="0"/>
    <x v="17"/>
    <n v="386.73218161800702"/>
    <n v="141157.24629057301"/>
    <n v="508166.08664606197"/>
  </r>
  <r>
    <x v="0"/>
    <x v="0"/>
    <x v="0"/>
    <x v="3"/>
    <x v="14"/>
    <s v="SE4A"/>
    <x v="6"/>
    <x v="5"/>
    <x v="11"/>
    <x v="0"/>
    <x v="18"/>
    <n v="361.60591752716903"/>
    <n v="131986.159897417"/>
    <n v="475150.17563070002"/>
  </r>
  <r>
    <x v="0"/>
    <x v="0"/>
    <x v="0"/>
    <x v="3"/>
    <x v="14"/>
    <s v="SE4A"/>
    <x v="6"/>
    <x v="5"/>
    <x v="11"/>
    <x v="0"/>
    <x v="19"/>
    <n v="319.93408141165497"/>
    <n v="116775.939715254"/>
    <n v="420393.38297491398"/>
  </r>
  <r>
    <x v="0"/>
    <x v="0"/>
    <x v="0"/>
    <x v="3"/>
    <x v="14"/>
    <s v="SE4A"/>
    <x v="6"/>
    <x v="5"/>
    <x v="11"/>
    <x v="0"/>
    <x v="20"/>
    <n v="283.77545593924202"/>
    <n v="103578.041417823"/>
    <n v="372880.94910416403"/>
  </r>
  <r>
    <x v="0"/>
    <x v="0"/>
    <x v="0"/>
    <x v="3"/>
    <x v="14"/>
    <s v="SE4A"/>
    <x v="6"/>
    <x v="5"/>
    <x v="11"/>
    <x v="0"/>
    <x v="21"/>
    <n v="238.418688682332"/>
    <n v="87022.821369051206"/>
    <n v="313282.15692858398"/>
  </r>
  <r>
    <x v="0"/>
    <x v="0"/>
    <x v="0"/>
    <x v="3"/>
    <x v="14"/>
    <s v="SE4A"/>
    <x v="6"/>
    <x v="5"/>
    <x v="11"/>
    <x v="0"/>
    <x v="22"/>
    <n v="218.86386084609001"/>
    <n v="79885.309208822699"/>
    <n v="287587.11315176199"/>
  </r>
  <r>
    <x v="0"/>
    <x v="0"/>
    <x v="0"/>
    <x v="3"/>
    <x v="14"/>
    <s v="SE4A"/>
    <x v="6"/>
    <x v="5"/>
    <x v="11"/>
    <x v="0"/>
    <x v="23"/>
    <n v="202.922139868654"/>
    <n v="74066.581052058697"/>
    <n v="266639.69178741099"/>
  </r>
  <r>
    <x v="0"/>
    <x v="0"/>
    <x v="0"/>
    <x v="3"/>
    <x v="14"/>
    <s v="SE4_EL"/>
    <x v="1"/>
    <x v="1"/>
    <x v="58"/>
    <x v="0"/>
    <x v="7"/>
    <n v="-1.41850753072547"/>
    <n v="-517.75524871479695"/>
    <n v="-1863.9188953732701"/>
  </r>
  <r>
    <x v="0"/>
    <x v="0"/>
    <x v="0"/>
    <x v="3"/>
    <x v="14"/>
    <s v="SE4_EL"/>
    <x v="1"/>
    <x v="1"/>
    <x v="80"/>
    <x v="0"/>
    <x v="0"/>
    <n v="-14.193548387096801"/>
    <n v="-5180.6451612903202"/>
    <n v="-18650.322580645199"/>
  </r>
  <r>
    <x v="0"/>
    <x v="0"/>
    <x v="0"/>
    <x v="3"/>
    <x v="14"/>
    <s v="SE4_EL"/>
    <x v="1"/>
    <x v="1"/>
    <x v="80"/>
    <x v="0"/>
    <x v="1"/>
    <n v="-14.193548387096801"/>
    <n v="-5180.6451612903202"/>
    <n v="-18650.322580645199"/>
  </r>
  <r>
    <x v="0"/>
    <x v="0"/>
    <x v="0"/>
    <x v="3"/>
    <x v="14"/>
    <s v="SE4_EL"/>
    <x v="1"/>
    <x v="1"/>
    <x v="80"/>
    <x v="0"/>
    <x v="2"/>
    <n v="-14.083906838873"/>
    <n v="-5140.6259961886499"/>
    <n v="-18506.253586279101"/>
  </r>
  <r>
    <x v="0"/>
    <x v="0"/>
    <x v="0"/>
    <x v="3"/>
    <x v="14"/>
    <s v="SE4_EL"/>
    <x v="1"/>
    <x v="1"/>
    <x v="80"/>
    <x v="0"/>
    <x v="3"/>
    <n v="-14.193548387096801"/>
    <n v="-5180.6451612903202"/>
    <n v="-18650.322580645199"/>
  </r>
  <r>
    <x v="0"/>
    <x v="0"/>
    <x v="0"/>
    <x v="3"/>
    <x v="14"/>
    <s v="SE4_EL"/>
    <x v="1"/>
    <x v="1"/>
    <x v="80"/>
    <x v="0"/>
    <x v="4"/>
    <n v="-14.193548387096801"/>
    <n v="-5180.6451612903202"/>
    <n v="-18650.322580645199"/>
  </r>
  <r>
    <x v="0"/>
    <x v="0"/>
    <x v="0"/>
    <x v="3"/>
    <x v="14"/>
    <s v="SE4_EL"/>
    <x v="1"/>
    <x v="1"/>
    <x v="80"/>
    <x v="0"/>
    <x v="5"/>
    <n v="-14.193548387096801"/>
    <n v="-5180.6451612903202"/>
    <n v="-18650.322580645199"/>
  </r>
  <r>
    <x v="0"/>
    <x v="0"/>
    <x v="0"/>
    <x v="3"/>
    <x v="14"/>
    <s v="SE4_EL"/>
    <x v="1"/>
    <x v="1"/>
    <x v="80"/>
    <x v="0"/>
    <x v="6"/>
    <n v="-14.193548387096801"/>
    <n v="-5180.6451612903202"/>
    <n v="-18650.322580645199"/>
  </r>
  <r>
    <x v="0"/>
    <x v="0"/>
    <x v="0"/>
    <x v="3"/>
    <x v="14"/>
    <s v="SE4_EL"/>
    <x v="1"/>
    <x v="1"/>
    <x v="80"/>
    <x v="0"/>
    <x v="7"/>
    <n v="-14.193548387096801"/>
    <n v="-5180.6451612903202"/>
    <n v="-18650.322580645199"/>
  </r>
  <r>
    <x v="0"/>
    <x v="0"/>
    <x v="0"/>
    <x v="3"/>
    <x v="14"/>
    <s v="SE4_EL"/>
    <x v="1"/>
    <x v="1"/>
    <x v="80"/>
    <x v="0"/>
    <x v="8"/>
    <n v="-14.193548387096801"/>
    <n v="-5180.6451612903202"/>
    <n v="-18650.322580645199"/>
  </r>
  <r>
    <x v="0"/>
    <x v="0"/>
    <x v="0"/>
    <x v="3"/>
    <x v="14"/>
    <s v="SE4_EL"/>
    <x v="1"/>
    <x v="1"/>
    <x v="80"/>
    <x v="0"/>
    <x v="9"/>
    <n v="-14.193548387096801"/>
    <n v="-5180.6451612903202"/>
    <n v="-18650.322580645199"/>
  </r>
  <r>
    <x v="0"/>
    <x v="0"/>
    <x v="0"/>
    <x v="3"/>
    <x v="14"/>
    <s v="SE4_EL"/>
    <x v="1"/>
    <x v="1"/>
    <x v="80"/>
    <x v="0"/>
    <x v="10"/>
    <n v="-14.193548387096801"/>
    <n v="-5180.6451612903202"/>
    <n v="-18650.322580645199"/>
  </r>
  <r>
    <x v="0"/>
    <x v="0"/>
    <x v="0"/>
    <x v="3"/>
    <x v="14"/>
    <s v="SE4_EL"/>
    <x v="1"/>
    <x v="1"/>
    <x v="80"/>
    <x v="0"/>
    <x v="11"/>
    <n v="-14.193548387096801"/>
    <n v="-5180.6451612903202"/>
    <n v="-18650.322580645199"/>
  </r>
  <r>
    <x v="0"/>
    <x v="0"/>
    <x v="0"/>
    <x v="3"/>
    <x v="14"/>
    <s v="SE4_EL"/>
    <x v="1"/>
    <x v="1"/>
    <x v="80"/>
    <x v="0"/>
    <x v="12"/>
    <n v="-14.193548387096801"/>
    <n v="-5180.6451612903202"/>
    <n v="-18650.322580645199"/>
  </r>
  <r>
    <x v="0"/>
    <x v="0"/>
    <x v="0"/>
    <x v="3"/>
    <x v="14"/>
    <s v="SE4_EL"/>
    <x v="1"/>
    <x v="1"/>
    <x v="80"/>
    <x v="0"/>
    <x v="13"/>
    <n v="-14.193548387096801"/>
    <n v="-5180.6451612903202"/>
    <n v="-18650.322580645199"/>
  </r>
  <r>
    <x v="0"/>
    <x v="0"/>
    <x v="0"/>
    <x v="3"/>
    <x v="14"/>
    <s v="SE4_EL"/>
    <x v="1"/>
    <x v="1"/>
    <x v="80"/>
    <x v="0"/>
    <x v="14"/>
    <n v="-14.193548387096801"/>
    <n v="-5180.6451612903202"/>
    <n v="-18650.322580645199"/>
  </r>
  <r>
    <x v="0"/>
    <x v="0"/>
    <x v="0"/>
    <x v="3"/>
    <x v="14"/>
    <s v="SE4_EL"/>
    <x v="1"/>
    <x v="1"/>
    <x v="80"/>
    <x v="0"/>
    <x v="15"/>
    <n v="-14.193548387096801"/>
    <n v="-5180.6451612903202"/>
    <n v="-18650.322580645199"/>
  </r>
  <r>
    <x v="0"/>
    <x v="0"/>
    <x v="0"/>
    <x v="3"/>
    <x v="14"/>
    <s v="SE4_EL"/>
    <x v="1"/>
    <x v="1"/>
    <x v="80"/>
    <x v="0"/>
    <x v="16"/>
    <n v="-14.193548387096801"/>
    <n v="-5180.6451612903202"/>
    <n v="-18650.322580645199"/>
  </r>
  <r>
    <x v="0"/>
    <x v="0"/>
    <x v="0"/>
    <x v="3"/>
    <x v="14"/>
    <s v="SE4_EL"/>
    <x v="1"/>
    <x v="1"/>
    <x v="80"/>
    <x v="0"/>
    <x v="17"/>
    <n v="-14.193548387096801"/>
    <n v="-5180.6451612903202"/>
    <n v="-18650.322580645199"/>
  </r>
  <r>
    <x v="0"/>
    <x v="0"/>
    <x v="0"/>
    <x v="3"/>
    <x v="14"/>
    <s v="SE4_EL"/>
    <x v="1"/>
    <x v="1"/>
    <x v="80"/>
    <x v="0"/>
    <x v="18"/>
    <n v="-14.193548387096801"/>
    <n v="-5180.6451612903202"/>
    <n v="-18650.322580645199"/>
  </r>
  <r>
    <x v="0"/>
    <x v="0"/>
    <x v="0"/>
    <x v="3"/>
    <x v="14"/>
    <s v="SE4_EL"/>
    <x v="1"/>
    <x v="1"/>
    <x v="80"/>
    <x v="0"/>
    <x v="19"/>
    <n v="-14.193548387096801"/>
    <n v="-5180.6451612903202"/>
    <n v="-18650.322580645199"/>
  </r>
  <r>
    <x v="0"/>
    <x v="0"/>
    <x v="0"/>
    <x v="3"/>
    <x v="14"/>
    <s v="SE4_EL"/>
    <x v="1"/>
    <x v="1"/>
    <x v="80"/>
    <x v="0"/>
    <x v="20"/>
    <n v="-14.193548387096801"/>
    <n v="-5180.6451612903202"/>
    <n v="-18650.322580645199"/>
  </r>
  <r>
    <x v="0"/>
    <x v="0"/>
    <x v="0"/>
    <x v="3"/>
    <x v="14"/>
    <s v="SE4_EL"/>
    <x v="1"/>
    <x v="1"/>
    <x v="80"/>
    <x v="0"/>
    <x v="21"/>
    <n v="-14.193548387096801"/>
    <n v="-5180.6451612903202"/>
    <n v="-18650.322580645199"/>
  </r>
  <r>
    <x v="0"/>
    <x v="0"/>
    <x v="0"/>
    <x v="3"/>
    <x v="14"/>
    <s v="SE4_EL"/>
    <x v="1"/>
    <x v="1"/>
    <x v="80"/>
    <x v="0"/>
    <x v="22"/>
    <n v="-14.193548387096801"/>
    <n v="-5180.6451612903202"/>
    <n v="-18650.322580645199"/>
  </r>
  <r>
    <x v="0"/>
    <x v="0"/>
    <x v="0"/>
    <x v="3"/>
    <x v="14"/>
    <s v="SE4_EL"/>
    <x v="1"/>
    <x v="1"/>
    <x v="80"/>
    <x v="0"/>
    <x v="23"/>
    <n v="-14.193548387096801"/>
    <n v="-5180.6451612903202"/>
    <n v="-18650.322580645199"/>
  </r>
  <r>
    <x v="0"/>
    <x v="0"/>
    <x v="0"/>
    <x v="3"/>
    <x v="14"/>
    <s v="SE4_EL"/>
    <x v="14"/>
    <x v="2"/>
    <x v="81"/>
    <x v="0"/>
    <x v="0"/>
    <n v="0.52773263852880603"/>
    <n v="192.62241306301399"/>
    <n v="693.44068702685104"/>
  </r>
  <r>
    <x v="0"/>
    <x v="0"/>
    <x v="0"/>
    <x v="3"/>
    <x v="14"/>
    <s v="SE4_EL"/>
    <x v="14"/>
    <x v="2"/>
    <x v="81"/>
    <x v="0"/>
    <x v="1"/>
    <n v="0.61437804765234605"/>
    <n v="224.247987393106"/>
    <n v="807.29275461518296"/>
  </r>
  <r>
    <x v="0"/>
    <x v="0"/>
    <x v="0"/>
    <x v="3"/>
    <x v="14"/>
    <s v="SE4_EL"/>
    <x v="14"/>
    <x v="2"/>
    <x v="81"/>
    <x v="0"/>
    <x v="3"/>
    <n v="1.87088608642784"/>
    <n v="682.87342154615999"/>
    <n v="2458.3443175661801"/>
  </r>
  <r>
    <x v="0"/>
    <x v="0"/>
    <x v="0"/>
    <x v="3"/>
    <x v="14"/>
    <s v="SE4_EL"/>
    <x v="14"/>
    <x v="2"/>
    <x v="81"/>
    <x v="0"/>
    <x v="4"/>
    <n v="4.5804154821912304"/>
    <n v="1671.8516509998001"/>
    <n v="6018.6659435992697"/>
  </r>
  <r>
    <x v="0"/>
    <x v="0"/>
    <x v="0"/>
    <x v="3"/>
    <x v="14"/>
    <s v="SE4_EL"/>
    <x v="14"/>
    <x v="2"/>
    <x v="81"/>
    <x v="0"/>
    <x v="5"/>
    <n v="11.6757156623942"/>
    <n v="4261.6362167738798"/>
    <n v="15341.890380385999"/>
  </r>
  <r>
    <x v="0"/>
    <x v="0"/>
    <x v="0"/>
    <x v="3"/>
    <x v="14"/>
    <s v="SE4_EL"/>
    <x v="14"/>
    <x v="2"/>
    <x v="81"/>
    <x v="0"/>
    <x v="6"/>
    <n v="21.750157656768"/>
    <n v="7938.80754472032"/>
    <n v="28579.707160993199"/>
  </r>
  <r>
    <x v="0"/>
    <x v="0"/>
    <x v="0"/>
    <x v="3"/>
    <x v="14"/>
    <s v="SE4_EL"/>
    <x v="14"/>
    <x v="2"/>
    <x v="81"/>
    <x v="0"/>
    <x v="7"/>
    <n v="21.750157656768"/>
    <n v="7938.80754472032"/>
    <n v="28579.707160993199"/>
  </r>
  <r>
    <x v="0"/>
    <x v="0"/>
    <x v="0"/>
    <x v="3"/>
    <x v="14"/>
    <s v="SE4_EL"/>
    <x v="14"/>
    <x v="2"/>
    <x v="81"/>
    <x v="0"/>
    <x v="8"/>
    <n v="21.750157656768"/>
    <n v="7938.80754472032"/>
    <n v="28579.707160993199"/>
  </r>
  <r>
    <x v="0"/>
    <x v="0"/>
    <x v="0"/>
    <x v="3"/>
    <x v="14"/>
    <s v="SE4_EL"/>
    <x v="14"/>
    <x v="2"/>
    <x v="81"/>
    <x v="0"/>
    <x v="9"/>
    <n v="21.750157656768"/>
    <n v="7938.80754472032"/>
    <n v="28579.707160993199"/>
  </r>
  <r>
    <x v="0"/>
    <x v="0"/>
    <x v="0"/>
    <x v="3"/>
    <x v="14"/>
    <s v="SE4_EL"/>
    <x v="14"/>
    <x v="2"/>
    <x v="81"/>
    <x v="0"/>
    <x v="10"/>
    <n v="21.750157656768"/>
    <n v="7938.80754472032"/>
    <n v="28579.707160993199"/>
  </r>
  <r>
    <x v="0"/>
    <x v="0"/>
    <x v="0"/>
    <x v="3"/>
    <x v="14"/>
    <s v="SE4_EL"/>
    <x v="14"/>
    <x v="2"/>
    <x v="81"/>
    <x v="0"/>
    <x v="11"/>
    <n v="21.750157656768"/>
    <n v="7938.80754472032"/>
    <n v="28579.707160993199"/>
  </r>
  <r>
    <x v="0"/>
    <x v="0"/>
    <x v="0"/>
    <x v="3"/>
    <x v="14"/>
    <s v="SE4_EL"/>
    <x v="14"/>
    <x v="2"/>
    <x v="81"/>
    <x v="0"/>
    <x v="12"/>
    <n v="20.220764946202099"/>
    <n v="7380.5792053637497"/>
    <n v="26570.0851393095"/>
  </r>
  <r>
    <x v="0"/>
    <x v="0"/>
    <x v="0"/>
    <x v="3"/>
    <x v="14"/>
    <s v="SE4_EL"/>
    <x v="14"/>
    <x v="2"/>
    <x v="81"/>
    <x v="0"/>
    <x v="13"/>
    <n v="18.139877099881801"/>
    <n v="6621.0551414568599"/>
    <n v="23835.798509244702"/>
  </r>
  <r>
    <x v="0"/>
    <x v="0"/>
    <x v="0"/>
    <x v="3"/>
    <x v="14"/>
    <s v="SE4_EL"/>
    <x v="14"/>
    <x v="2"/>
    <x v="81"/>
    <x v="0"/>
    <x v="14"/>
    <n v="15.6306952070615"/>
    <n v="5705.2037505774397"/>
    <n v="20538.733502078801"/>
  </r>
  <r>
    <x v="0"/>
    <x v="0"/>
    <x v="0"/>
    <x v="3"/>
    <x v="14"/>
    <s v="SE4_EL"/>
    <x v="14"/>
    <x v="2"/>
    <x v="81"/>
    <x v="0"/>
    <x v="15"/>
    <n v="14.222562991422199"/>
    <n v="5191.2354918690899"/>
    <n v="18688.447770728701"/>
  </r>
  <r>
    <x v="0"/>
    <x v="0"/>
    <x v="0"/>
    <x v="3"/>
    <x v="14"/>
    <s v="SE4_EL"/>
    <x v="14"/>
    <x v="2"/>
    <x v="81"/>
    <x v="0"/>
    <x v="16"/>
    <n v="14.417958335571299"/>
    <n v="5262.55479248352"/>
    <n v="18945.197252940699"/>
  </r>
  <r>
    <x v="0"/>
    <x v="0"/>
    <x v="0"/>
    <x v="3"/>
    <x v="14"/>
    <s v="SE4_EL"/>
    <x v="14"/>
    <x v="2"/>
    <x v="81"/>
    <x v="0"/>
    <x v="17"/>
    <n v="14.1163984437379"/>
    <n v="5152.48543196434"/>
    <n v="18548.947555071602"/>
  </r>
  <r>
    <x v="0"/>
    <x v="0"/>
    <x v="0"/>
    <x v="3"/>
    <x v="14"/>
    <s v="SE4_EL"/>
    <x v="14"/>
    <x v="2"/>
    <x v="81"/>
    <x v="0"/>
    <x v="18"/>
    <n v="14.3547703714104"/>
    <n v="5239.4911855648097"/>
    <n v="18862.1682680333"/>
  </r>
  <r>
    <x v="0"/>
    <x v="0"/>
    <x v="0"/>
    <x v="3"/>
    <x v="14"/>
    <s v="SE4_EL"/>
    <x v="14"/>
    <x v="2"/>
    <x v="81"/>
    <x v="0"/>
    <x v="19"/>
    <n v="15.1842213627236"/>
    <n v="5542.2407973940999"/>
    <n v="19952.066870618801"/>
  </r>
  <r>
    <x v="0"/>
    <x v="0"/>
    <x v="0"/>
    <x v="3"/>
    <x v="14"/>
    <s v="SE4_EL"/>
    <x v="14"/>
    <x v="2"/>
    <x v="81"/>
    <x v="0"/>
    <x v="20"/>
    <n v="14.954871924906699"/>
    <n v="5458.5282525909297"/>
    <n v="19650.701709327299"/>
  </r>
  <r>
    <x v="0"/>
    <x v="0"/>
    <x v="0"/>
    <x v="3"/>
    <x v="14"/>
    <s v="SE4_EL"/>
    <x v="14"/>
    <x v="2"/>
    <x v="81"/>
    <x v="0"/>
    <x v="21"/>
    <n v="14.019290238894699"/>
    <n v="5117.0409371965598"/>
    <n v="18421.3473739076"/>
  </r>
  <r>
    <x v="0"/>
    <x v="0"/>
    <x v="0"/>
    <x v="3"/>
    <x v="14"/>
    <s v="SE4_EL"/>
    <x v="14"/>
    <x v="2"/>
    <x v="81"/>
    <x v="0"/>
    <x v="22"/>
    <n v="12.105264979820699"/>
    <n v="4418.4217176345501"/>
    <n v="15906.3181834844"/>
  </r>
  <r>
    <x v="0"/>
    <x v="0"/>
    <x v="0"/>
    <x v="3"/>
    <x v="14"/>
    <s v="SE4_EL"/>
    <x v="14"/>
    <x v="2"/>
    <x v="81"/>
    <x v="0"/>
    <x v="23"/>
    <n v="8.6331343559495792"/>
    <n v="3151.0940399216001"/>
    <n v="11343.938543717801"/>
  </r>
  <r>
    <x v="0"/>
    <x v="0"/>
    <x v="0"/>
    <x v="3"/>
    <x v="14"/>
    <s v="SE4_EL"/>
    <x v="14"/>
    <x v="2"/>
    <x v="82"/>
    <x v="0"/>
    <x v="6"/>
    <n v="1.0979262308186299"/>
    <n v="400.743074248798"/>
    <n v="1442.67506729567"/>
  </r>
  <r>
    <x v="0"/>
    <x v="0"/>
    <x v="0"/>
    <x v="3"/>
    <x v="14"/>
    <s v="SE4_EL"/>
    <x v="14"/>
    <x v="2"/>
    <x v="82"/>
    <x v="0"/>
    <x v="7"/>
    <n v="2.2597566396642099"/>
    <n v="824.811173477436"/>
    <n v="2969.3202245187699"/>
  </r>
  <r>
    <x v="0"/>
    <x v="0"/>
    <x v="0"/>
    <x v="3"/>
    <x v="14"/>
    <s v="SE4_EL"/>
    <x v="14"/>
    <x v="2"/>
    <x v="82"/>
    <x v="0"/>
    <x v="8"/>
    <n v="1.4031761727077099"/>
    <n v="512.15930303831306"/>
    <n v="1843.7734909379301"/>
  </r>
  <r>
    <x v="0"/>
    <x v="0"/>
    <x v="0"/>
    <x v="3"/>
    <x v="14"/>
    <s v="SE4_EL"/>
    <x v="14"/>
    <x v="2"/>
    <x v="82"/>
    <x v="0"/>
    <x v="9"/>
    <n v="2.2597566396642099"/>
    <n v="824.811173477436"/>
    <n v="2969.3202245187699"/>
  </r>
  <r>
    <x v="0"/>
    <x v="0"/>
    <x v="0"/>
    <x v="3"/>
    <x v="14"/>
    <s v="SE4_EL"/>
    <x v="14"/>
    <x v="2"/>
    <x v="82"/>
    <x v="0"/>
    <x v="10"/>
    <n v="1.6231286116016701"/>
    <n v="592.44194323460795"/>
    <n v="2132.7909956445901"/>
  </r>
  <r>
    <x v="0"/>
    <x v="0"/>
    <x v="0"/>
    <x v="3"/>
    <x v="14"/>
    <s v="SE4_EL"/>
    <x v="14"/>
    <x v="2"/>
    <x v="82"/>
    <x v="0"/>
    <x v="11"/>
    <n v="0.13656335544370299"/>
    <n v="49.8456247369515"/>
    <n v="179.444249053025"/>
  </r>
  <r>
    <x v="0"/>
    <x v="0"/>
    <x v="0"/>
    <x v="3"/>
    <x v="14"/>
    <s v="SE4_HP"/>
    <x v="1"/>
    <x v="1"/>
    <x v="80"/>
    <x v="0"/>
    <x v="0"/>
    <n v="-8.1419354838709701"/>
    <n v="-2971.8064516129002"/>
    <n v="-10698.5032258065"/>
  </r>
  <r>
    <x v="0"/>
    <x v="0"/>
    <x v="0"/>
    <x v="3"/>
    <x v="14"/>
    <s v="SE4_HP"/>
    <x v="1"/>
    <x v="1"/>
    <x v="80"/>
    <x v="0"/>
    <x v="1"/>
    <n v="-8.1419354838709701"/>
    <n v="-2971.8064516129002"/>
    <n v="-10698.5032258065"/>
  </r>
  <r>
    <x v="0"/>
    <x v="0"/>
    <x v="0"/>
    <x v="3"/>
    <x v="14"/>
    <s v="SE4_HP"/>
    <x v="1"/>
    <x v="1"/>
    <x v="80"/>
    <x v="0"/>
    <x v="2"/>
    <n v="-8.1419354838709701"/>
    <n v="-2971.8064516129002"/>
    <n v="-10698.5032258065"/>
  </r>
  <r>
    <x v="0"/>
    <x v="0"/>
    <x v="0"/>
    <x v="3"/>
    <x v="14"/>
    <s v="SE4_HP"/>
    <x v="1"/>
    <x v="1"/>
    <x v="80"/>
    <x v="0"/>
    <x v="3"/>
    <n v="-8.1419354838709701"/>
    <n v="-2971.8064516129002"/>
    <n v="-10698.5032258065"/>
  </r>
  <r>
    <x v="0"/>
    <x v="0"/>
    <x v="0"/>
    <x v="3"/>
    <x v="14"/>
    <s v="SE4_HP"/>
    <x v="1"/>
    <x v="1"/>
    <x v="80"/>
    <x v="0"/>
    <x v="4"/>
    <n v="-8.1419354838709701"/>
    <n v="-2971.8064516129002"/>
    <n v="-10698.5032258065"/>
  </r>
  <r>
    <x v="0"/>
    <x v="0"/>
    <x v="0"/>
    <x v="3"/>
    <x v="14"/>
    <s v="SE4_HP"/>
    <x v="1"/>
    <x v="1"/>
    <x v="80"/>
    <x v="0"/>
    <x v="5"/>
    <n v="-8.1419354838709701"/>
    <n v="-2971.8064516129002"/>
    <n v="-10698.5032258065"/>
  </r>
  <r>
    <x v="0"/>
    <x v="0"/>
    <x v="0"/>
    <x v="3"/>
    <x v="14"/>
    <s v="SE4_HP"/>
    <x v="1"/>
    <x v="1"/>
    <x v="80"/>
    <x v="0"/>
    <x v="6"/>
    <n v="-8.1419354838709701"/>
    <n v="-2971.8064516129002"/>
    <n v="-10698.5032258065"/>
  </r>
  <r>
    <x v="0"/>
    <x v="0"/>
    <x v="0"/>
    <x v="3"/>
    <x v="14"/>
    <s v="SE4_HP"/>
    <x v="1"/>
    <x v="1"/>
    <x v="80"/>
    <x v="0"/>
    <x v="7"/>
    <n v="-8.1419354838709701"/>
    <n v="-2971.8064516129002"/>
    <n v="-10698.5032258065"/>
  </r>
  <r>
    <x v="0"/>
    <x v="0"/>
    <x v="0"/>
    <x v="3"/>
    <x v="14"/>
    <s v="SE4_HP"/>
    <x v="1"/>
    <x v="1"/>
    <x v="80"/>
    <x v="0"/>
    <x v="8"/>
    <n v="-8.1419354838709701"/>
    <n v="-2971.8064516129002"/>
    <n v="-10698.5032258065"/>
  </r>
  <r>
    <x v="0"/>
    <x v="0"/>
    <x v="0"/>
    <x v="3"/>
    <x v="14"/>
    <s v="SE4_HP"/>
    <x v="1"/>
    <x v="1"/>
    <x v="80"/>
    <x v="0"/>
    <x v="9"/>
    <n v="-8.1419354838709701"/>
    <n v="-2971.8064516129002"/>
    <n v="-10698.5032258065"/>
  </r>
  <r>
    <x v="0"/>
    <x v="0"/>
    <x v="0"/>
    <x v="3"/>
    <x v="14"/>
    <s v="SE4_HP"/>
    <x v="1"/>
    <x v="1"/>
    <x v="80"/>
    <x v="0"/>
    <x v="10"/>
    <n v="-8.1419354838709701"/>
    <n v="-2971.8064516129002"/>
    <n v="-10698.5032258065"/>
  </r>
  <r>
    <x v="0"/>
    <x v="0"/>
    <x v="0"/>
    <x v="3"/>
    <x v="14"/>
    <s v="SE4_HP"/>
    <x v="1"/>
    <x v="1"/>
    <x v="80"/>
    <x v="0"/>
    <x v="11"/>
    <n v="-8.1419354838709701"/>
    <n v="-2971.8064516129002"/>
    <n v="-10698.5032258065"/>
  </r>
  <r>
    <x v="0"/>
    <x v="0"/>
    <x v="0"/>
    <x v="3"/>
    <x v="14"/>
    <s v="SE4_HP"/>
    <x v="1"/>
    <x v="1"/>
    <x v="80"/>
    <x v="0"/>
    <x v="12"/>
    <n v="-8.1419354838709701"/>
    <n v="-2971.8064516129002"/>
    <n v="-10698.5032258065"/>
  </r>
  <r>
    <x v="0"/>
    <x v="0"/>
    <x v="0"/>
    <x v="3"/>
    <x v="14"/>
    <s v="SE4_HP"/>
    <x v="1"/>
    <x v="1"/>
    <x v="80"/>
    <x v="0"/>
    <x v="13"/>
    <n v="-8.1419354838709701"/>
    <n v="-2971.8064516129002"/>
    <n v="-10698.5032258065"/>
  </r>
  <r>
    <x v="0"/>
    <x v="0"/>
    <x v="0"/>
    <x v="3"/>
    <x v="14"/>
    <s v="SE4_HP"/>
    <x v="1"/>
    <x v="1"/>
    <x v="80"/>
    <x v="0"/>
    <x v="14"/>
    <n v="-8.1419354838709701"/>
    <n v="-2971.8064516129002"/>
    <n v="-10698.5032258065"/>
  </r>
  <r>
    <x v="0"/>
    <x v="0"/>
    <x v="0"/>
    <x v="3"/>
    <x v="14"/>
    <s v="SE4_HP"/>
    <x v="1"/>
    <x v="1"/>
    <x v="80"/>
    <x v="0"/>
    <x v="15"/>
    <n v="-8.1419354838709701"/>
    <n v="-2971.8064516129002"/>
    <n v="-10698.5032258065"/>
  </r>
  <r>
    <x v="0"/>
    <x v="0"/>
    <x v="0"/>
    <x v="3"/>
    <x v="14"/>
    <s v="SE4_HP"/>
    <x v="1"/>
    <x v="1"/>
    <x v="80"/>
    <x v="0"/>
    <x v="16"/>
    <n v="-8.1419354838709701"/>
    <n v="-2971.8064516129002"/>
    <n v="-10698.5032258065"/>
  </r>
  <r>
    <x v="0"/>
    <x v="0"/>
    <x v="0"/>
    <x v="3"/>
    <x v="14"/>
    <s v="SE4_HP"/>
    <x v="1"/>
    <x v="1"/>
    <x v="80"/>
    <x v="0"/>
    <x v="17"/>
    <n v="-8.1419354838709701"/>
    <n v="-2971.8064516129002"/>
    <n v="-10698.5032258065"/>
  </r>
  <r>
    <x v="0"/>
    <x v="0"/>
    <x v="0"/>
    <x v="3"/>
    <x v="14"/>
    <s v="SE4_HP"/>
    <x v="1"/>
    <x v="1"/>
    <x v="80"/>
    <x v="0"/>
    <x v="18"/>
    <n v="-8.1419354838709701"/>
    <n v="-2971.8064516129002"/>
    <n v="-10698.5032258065"/>
  </r>
  <r>
    <x v="0"/>
    <x v="0"/>
    <x v="0"/>
    <x v="3"/>
    <x v="14"/>
    <s v="SE4_HP"/>
    <x v="1"/>
    <x v="1"/>
    <x v="80"/>
    <x v="0"/>
    <x v="19"/>
    <n v="-8.1419354838709701"/>
    <n v="-2971.8064516129002"/>
    <n v="-10698.5032258065"/>
  </r>
  <r>
    <x v="0"/>
    <x v="0"/>
    <x v="0"/>
    <x v="3"/>
    <x v="14"/>
    <s v="SE4_HP"/>
    <x v="1"/>
    <x v="1"/>
    <x v="80"/>
    <x v="0"/>
    <x v="20"/>
    <n v="-8.1419354838709701"/>
    <n v="-2971.8064516129002"/>
    <n v="-10698.5032258065"/>
  </r>
  <r>
    <x v="0"/>
    <x v="0"/>
    <x v="0"/>
    <x v="3"/>
    <x v="14"/>
    <s v="SE4_HP"/>
    <x v="1"/>
    <x v="1"/>
    <x v="80"/>
    <x v="0"/>
    <x v="21"/>
    <n v="-8.1419354838709701"/>
    <n v="-2971.8064516129002"/>
    <n v="-10698.5032258065"/>
  </r>
  <r>
    <x v="0"/>
    <x v="0"/>
    <x v="0"/>
    <x v="3"/>
    <x v="14"/>
    <s v="SE4_HP"/>
    <x v="1"/>
    <x v="1"/>
    <x v="80"/>
    <x v="0"/>
    <x v="22"/>
    <n v="-8.1419354838709701"/>
    <n v="-2971.8064516129002"/>
    <n v="-10698.5032258065"/>
  </r>
  <r>
    <x v="0"/>
    <x v="0"/>
    <x v="0"/>
    <x v="3"/>
    <x v="14"/>
    <s v="SE4_HP"/>
    <x v="1"/>
    <x v="1"/>
    <x v="80"/>
    <x v="0"/>
    <x v="23"/>
    <n v="-8.1419354838709701"/>
    <n v="-2971.8064516129002"/>
    <n v="-10698.5032258065"/>
  </r>
  <r>
    <x v="0"/>
    <x v="0"/>
    <x v="0"/>
    <x v="3"/>
    <x v="14"/>
    <s v="SE4_HP"/>
    <x v="2"/>
    <x v="2"/>
    <x v="83"/>
    <x v="0"/>
    <x v="0"/>
    <n v="18"/>
    <n v="6570"/>
    <n v="23652"/>
  </r>
  <r>
    <x v="0"/>
    <x v="0"/>
    <x v="0"/>
    <x v="3"/>
    <x v="14"/>
    <s v="SE4_HP"/>
    <x v="2"/>
    <x v="2"/>
    <x v="83"/>
    <x v="0"/>
    <x v="1"/>
    <n v="18"/>
    <n v="6570"/>
    <n v="23652"/>
  </r>
  <r>
    <x v="0"/>
    <x v="0"/>
    <x v="0"/>
    <x v="3"/>
    <x v="14"/>
    <s v="SE4_HP"/>
    <x v="2"/>
    <x v="2"/>
    <x v="83"/>
    <x v="0"/>
    <x v="2"/>
    <n v="18"/>
    <n v="6570"/>
    <n v="23652"/>
  </r>
  <r>
    <x v="0"/>
    <x v="0"/>
    <x v="0"/>
    <x v="3"/>
    <x v="14"/>
    <s v="SE4_HP"/>
    <x v="2"/>
    <x v="2"/>
    <x v="83"/>
    <x v="0"/>
    <x v="3"/>
    <n v="18"/>
    <n v="6570"/>
    <n v="23652"/>
  </r>
  <r>
    <x v="0"/>
    <x v="0"/>
    <x v="0"/>
    <x v="3"/>
    <x v="14"/>
    <s v="SE4_HP"/>
    <x v="2"/>
    <x v="2"/>
    <x v="83"/>
    <x v="0"/>
    <x v="4"/>
    <n v="18"/>
    <n v="6570"/>
    <n v="23652"/>
  </r>
  <r>
    <x v="0"/>
    <x v="0"/>
    <x v="0"/>
    <x v="3"/>
    <x v="14"/>
    <s v="SE4_HP"/>
    <x v="2"/>
    <x v="2"/>
    <x v="83"/>
    <x v="0"/>
    <x v="5"/>
    <n v="18"/>
    <n v="6570"/>
    <n v="23652"/>
  </r>
  <r>
    <x v="0"/>
    <x v="0"/>
    <x v="0"/>
    <x v="3"/>
    <x v="14"/>
    <s v="SE4_HP"/>
    <x v="2"/>
    <x v="2"/>
    <x v="83"/>
    <x v="0"/>
    <x v="6"/>
    <n v="18"/>
    <n v="6570"/>
    <n v="23652"/>
  </r>
  <r>
    <x v="0"/>
    <x v="0"/>
    <x v="0"/>
    <x v="3"/>
    <x v="14"/>
    <s v="SE4_HP"/>
    <x v="2"/>
    <x v="2"/>
    <x v="83"/>
    <x v="0"/>
    <x v="7"/>
    <n v="18"/>
    <n v="6570"/>
    <n v="23652"/>
  </r>
  <r>
    <x v="0"/>
    <x v="0"/>
    <x v="0"/>
    <x v="3"/>
    <x v="14"/>
    <s v="SE4_HP"/>
    <x v="2"/>
    <x v="2"/>
    <x v="83"/>
    <x v="0"/>
    <x v="8"/>
    <n v="18"/>
    <n v="6570"/>
    <n v="23652"/>
  </r>
  <r>
    <x v="0"/>
    <x v="0"/>
    <x v="0"/>
    <x v="3"/>
    <x v="14"/>
    <s v="SE4_HP"/>
    <x v="2"/>
    <x v="2"/>
    <x v="83"/>
    <x v="0"/>
    <x v="9"/>
    <n v="18"/>
    <n v="6570"/>
    <n v="23652"/>
  </r>
  <r>
    <x v="0"/>
    <x v="0"/>
    <x v="0"/>
    <x v="3"/>
    <x v="14"/>
    <s v="SE4_HP"/>
    <x v="2"/>
    <x v="2"/>
    <x v="83"/>
    <x v="0"/>
    <x v="10"/>
    <n v="18"/>
    <n v="6570"/>
    <n v="23652"/>
  </r>
  <r>
    <x v="0"/>
    <x v="0"/>
    <x v="0"/>
    <x v="3"/>
    <x v="14"/>
    <s v="SE4_HP"/>
    <x v="2"/>
    <x v="2"/>
    <x v="83"/>
    <x v="0"/>
    <x v="11"/>
    <n v="18"/>
    <n v="6570"/>
    <n v="23652"/>
  </r>
  <r>
    <x v="0"/>
    <x v="0"/>
    <x v="0"/>
    <x v="3"/>
    <x v="14"/>
    <s v="SE4_HP"/>
    <x v="2"/>
    <x v="2"/>
    <x v="83"/>
    <x v="0"/>
    <x v="12"/>
    <n v="18"/>
    <n v="6570"/>
    <n v="23652"/>
  </r>
  <r>
    <x v="0"/>
    <x v="0"/>
    <x v="0"/>
    <x v="3"/>
    <x v="14"/>
    <s v="SE4_HP"/>
    <x v="2"/>
    <x v="2"/>
    <x v="83"/>
    <x v="0"/>
    <x v="13"/>
    <n v="18"/>
    <n v="6570"/>
    <n v="23652"/>
  </r>
  <r>
    <x v="0"/>
    <x v="0"/>
    <x v="0"/>
    <x v="3"/>
    <x v="14"/>
    <s v="SE4_HP"/>
    <x v="2"/>
    <x v="2"/>
    <x v="83"/>
    <x v="0"/>
    <x v="14"/>
    <n v="18"/>
    <n v="6570"/>
    <n v="23652"/>
  </r>
  <r>
    <x v="0"/>
    <x v="0"/>
    <x v="0"/>
    <x v="3"/>
    <x v="14"/>
    <s v="SE4_HP"/>
    <x v="2"/>
    <x v="2"/>
    <x v="83"/>
    <x v="0"/>
    <x v="15"/>
    <n v="18"/>
    <n v="6570"/>
    <n v="23652"/>
  </r>
  <r>
    <x v="0"/>
    <x v="0"/>
    <x v="0"/>
    <x v="3"/>
    <x v="14"/>
    <s v="SE4_HP"/>
    <x v="2"/>
    <x v="2"/>
    <x v="83"/>
    <x v="0"/>
    <x v="16"/>
    <n v="18"/>
    <n v="6570"/>
    <n v="23652"/>
  </r>
  <r>
    <x v="0"/>
    <x v="0"/>
    <x v="0"/>
    <x v="3"/>
    <x v="14"/>
    <s v="SE4_HP"/>
    <x v="2"/>
    <x v="2"/>
    <x v="83"/>
    <x v="0"/>
    <x v="17"/>
    <n v="18"/>
    <n v="6570"/>
    <n v="23652"/>
  </r>
  <r>
    <x v="0"/>
    <x v="0"/>
    <x v="0"/>
    <x v="3"/>
    <x v="14"/>
    <s v="SE4_HP"/>
    <x v="2"/>
    <x v="2"/>
    <x v="83"/>
    <x v="0"/>
    <x v="18"/>
    <n v="18"/>
    <n v="6570"/>
    <n v="23652"/>
  </r>
  <r>
    <x v="0"/>
    <x v="0"/>
    <x v="0"/>
    <x v="3"/>
    <x v="14"/>
    <s v="SE4_HP"/>
    <x v="2"/>
    <x v="2"/>
    <x v="83"/>
    <x v="0"/>
    <x v="19"/>
    <n v="18"/>
    <n v="6570"/>
    <n v="23652"/>
  </r>
  <r>
    <x v="0"/>
    <x v="0"/>
    <x v="0"/>
    <x v="3"/>
    <x v="14"/>
    <s v="SE4_HP"/>
    <x v="2"/>
    <x v="2"/>
    <x v="83"/>
    <x v="0"/>
    <x v="20"/>
    <n v="18"/>
    <n v="6570"/>
    <n v="23652"/>
  </r>
  <r>
    <x v="0"/>
    <x v="0"/>
    <x v="0"/>
    <x v="3"/>
    <x v="14"/>
    <s v="SE4_HP"/>
    <x v="2"/>
    <x v="2"/>
    <x v="83"/>
    <x v="0"/>
    <x v="21"/>
    <n v="18"/>
    <n v="6570"/>
    <n v="23652"/>
  </r>
  <r>
    <x v="0"/>
    <x v="0"/>
    <x v="0"/>
    <x v="3"/>
    <x v="14"/>
    <s v="SE4_HP"/>
    <x v="2"/>
    <x v="2"/>
    <x v="83"/>
    <x v="0"/>
    <x v="22"/>
    <n v="18"/>
    <n v="6570"/>
    <n v="23652"/>
  </r>
  <r>
    <x v="0"/>
    <x v="0"/>
    <x v="0"/>
    <x v="3"/>
    <x v="14"/>
    <s v="SE4_HP"/>
    <x v="2"/>
    <x v="2"/>
    <x v="83"/>
    <x v="0"/>
    <x v="23"/>
    <n v="18"/>
    <n v="6570"/>
    <n v="23652"/>
  </r>
  <r>
    <x v="0"/>
    <x v="0"/>
    <x v="0"/>
    <x v="3"/>
    <x v="14"/>
    <s v="SE4_MAL"/>
    <x v="1"/>
    <x v="1"/>
    <x v="67"/>
    <x v="0"/>
    <x v="0"/>
    <n v="-0.33333333333333298"/>
    <n v="-121.666666666667"/>
    <n v="-438"/>
  </r>
  <r>
    <x v="0"/>
    <x v="0"/>
    <x v="0"/>
    <x v="3"/>
    <x v="14"/>
    <s v="SE4_MAL"/>
    <x v="1"/>
    <x v="1"/>
    <x v="67"/>
    <x v="0"/>
    <x v="1"/>
    <n v="-0.33333333333333298"/>
    <n v="-121.666666666667"/>
    <n v="-438"/>
  </r>
  <r>
    <x v="0"/>
    <x v="0"/>
    <x v="0"/>
    <x v="3"/>
    <x v="14"/>
    <s v="SE4_MAL"/>
    <x v="1"/>
    <x v="1"/>
    <x v="67"/>
    <x v="0"/>
    <x v="2"/>
    <n v="-0.33333333333333298"/>
    <n v="-121.666666666667"/>
    <n v="-438"/>
  </r>
  <r>
    <x v="0"/>
    <x v="0"/>
    <x v="0"/>
    <x v="3"/>
    <x v="14"/>
    <s v="SE4_MAL"/>
    <x v="1"/>
    <x v="1"/>
    <x v="67"/>
    <x v="0"/>
    <x v="3"/>
    <n v="-0.33333333333333298"/>
    <n v="-121.666666666667"/>
    <n v="-438"/>
  </r>
  <r>
    <x v="0"/>
    <x v="0"/>
    <x v="0"/>
    <x v="3"/>
    <x v="14"/>
    <s v="SE4_MAL"/>
    <x v="1"/>
    <x v="1"/>
    <x v="67"/>
    <x v="0"/>
    <x v="4"/>
    <n v="-0.33333333333333298"/>
    <n v="-121.666666666667"/>
    <n v="-438"/>
  </r>
  <r>
    <x v="0"/>
    <x v="0"/>
    <x v="0"/>
    <x v="3"/>
    <x v="14"/>
    <s v="SE4_MAL"/>
    <x v="1"/>
    <x v="1"/>
    <x v="67"/>
    <x v="0"/>
    <x v="5"/>
    <n v="-0.33333333333333298"/>
    <n v="-121.666666666667"/>
    <n v="-438"/>
  </r>
  <r>
    <x v="0"/>
    <x v="0"/>
    <x v="0"/>
    <x v="3"/>
    <x v="14"/>
    <s v="SE4_MAL"/>
    <x v="1"/>
    <x v="1"/>
    <x v="67"/>
    <x v="0"/>
    <x v="6"/>
    <n v="-0.33333333333333298"/>
    <n v="-121.666666666667"/>
    <n v="-438"/>
  </r>
  <r>
    <x v="0"/>
    <x v="0"/>
    <x v="0"/>
    <x v="3"/>
    <x v="14"/>
    <s v="SE4_MAL"/>
    <x v="1"/>
    <x v="1"/>
    <x v="67"/>
    <x v="0"/>
    <x v="7"/>
    <n v="-0.33333333333333298"/>
    <n v="-121.666666666667"/>
    <n v="-438"/>
  </r>
  <r>
    <x v="0"/>
    <x v="0"/>
    <x v="0"/>
    <x v="3"/>
    <x v="14"/>
    <s v="SE4_MAL"/>
    <x v="1"/>
    <x v="1"/>
    <x v="67"/>
    <x v="0"/>
    <x v="8"/>
    <n v="-0.33333333333333298"/>
    <n v="-121.666666666667"/>
    <n v="-438"/>
  </r>
  <r>
    <x v="0"/>
    <x v="0"/>
    <x v="0"/>
    <x v="3"/>
    <x v="14"/>
    <s v="SE4_MAL"/>
    <x v="1"/>
    <x v="1"/>
    <x v="67"/>
    <x v="0"/>
    <x v="9"/>
    <n v="-0.33333333333333298"/>
    <n v="-121.666666666667"/>
    <n v="-438"/>
  </r>
  <r>
    <x v="0"/>
    <x v="0"/>
    <x v="0"/>
    <x v="3"/>
    <x v="14"/>
    <s v="SE4_MAL"/>
    <x v="1"/>
    <x v="1"/>
    <x v="67"/>
    <x v="0"/>
    <x v="10"/>
    <n v="-0.33333333333333298"/>
    <n v="-121.666666666667"/>
    <n v="-438"/>
  </r>
  <r>
    <x v="0"/>
    <x v="0"/>
    <x v="0"/>
    <x v="3"/>
    <x v="14"/>
    <s v="SE4_MAL"/>
    <x v="1"/>
    <x v="1"/>
    <x v="67"/>
    <x v="0"/>
    <x v="11"/>
    <n v="-0.33333333333333298"/>
    <n v="-121.666666666667"/>
    <n v="-438"/>
  </r>
  <r>
    <x v="0"/>
    <x v="0"/>
    <x v="0"/>
    <x v="3"/>
    <x v="14"/>
    <s v="SE4_MAL"/>
    <x v="1"/>
    <x v="1"/>
    <x v="67"/>
    <x v="0"/>
    <x v="12"/>
    <n v="-0.33333333333333298"/>
    <n v="-121.666666666667"/>
    <n v="-438"/>
  </r>
  <r>
    <x v="0"/>
    <x v="0"/>
    <x v="0"/>
    <x v="3"/>
    <x v="14"/>
    <s v="SE4_MAL"/>
    <x v="1"/>
    <x v="1"/>
    <x v="67"/>
    <x v="0"/>
    <x v="13"/>
    <n v="-0.33333333333333298"/>
    <n v="-121.666666666667"/>
    <n v="-438"/>
  </r>
  <r>
    <x v="0"/>
    <x v="0"/>
    <x v="0"/>
    <x v="3"/>
    <x v="14"/>
    <s v="SE4_MAL"/>
    <x v="1"/>
    <x v="1"/>
    <x v="67"/>
    <x v="0"/>
    <x v="14"/>
    <n v="-0.33333333333333298"/>
    <n v="-121.666666666667"/>
    <n v="-438"/>
  </r>
  <r>
    <x v="0"/>
    <x v="0"/>
    <x v="0"/>
    <x v="3"/>
    <x v="14"/>
    <s v="SE4_MAL"/>
    <x v="1"/>
    <x v="1"/>
    <x v="67"/>
    <x v="0"/>
    <x v="15"/>
    <n v="-0.33333333333333298"/>
    <n v="-121.666666666667"/>
    <n v="-438"/>
  </r>
  <r>
    <x v="0"/>
    <x v="0"/>
    <x v="0"/>
    <x v="3"/>
    <x v="14"/>
    <s v="SE4_MAL"/>
    <x v="1"/>
    <x v="1"/>
    <x v="67"/>
    <x v="0"/>
    <x v="16"/>
    <n v="-0.33333333333333298"/>
    <n v="-121.666666666667"/>
    <n v="-438"/>
  </r>
  <r>
    <x v="0"/>
    <x v="0"/>
    <x v="0"/>
    <x v="3"/>
    <x v="14"/>
    <s v="SE4_MAL"/>
    <x v="1"/>
    <x v="1"/>
    <x v="67"/>
    <x v="0"/>
    <x v="17"/>
    <n v="-0.33333333333333298"/>
    <n v="-121.666666666667"/>
    <n v="-438"/>
  </r>
  <r>
    <x v="0"/>
    <x v="0"/>
    <x v="0"/>
    <x v="3"/>
    <x v="14"/>
    <s v="SE4_MAL"/>
    <x v="1"/>
    <x v="1"/>
    <x v="67"/>
    <x v="0"/>
    <x v="18"/>
    <n v="-0.33333333333333298"/>
    <n v="-121.666666666667"/>
    <n v="-438"/>
  </r>
  <r>
    <x v="0"/>
    <x v="0"/>
    <x v="0"/>
    <x v="3"/>
    <x v="14"/>
    <s v="SE4_MAL"/>
    <x v="1"/>
    <x v="1"/>
    <x v="67"/>
    <x v="0"/>
    <x v="19"/>
    <n v="-0.33333333333333298"/>
    <n v="-121.666666666667"/>
    <n v="-438"/>
  </r>
  <r>
    <x v="0"/>
    <x v="0"/>
    <x v="0"/>
    <x v="3"/>
    <x v="14"/>
    <s v="SE4_MAL"/>
    <x v="1"/>
    <x v="1"/>
    <x v="67"/>
    <x v="0"/>
    <x v="20"/>
    <n v="-0.33333333333333298"/>
    <n v="-121.666666666667"/>
    <n v="-438"/>
  </r>
  <r>
    <x v="0"/>
    <x v="0"/>
    <x v="0"/>
    <x v="3"/>
    <x v="14"/>
    <s v="SE4_MAL"/>
    <x v="1"/>
    <x v="1"/>
    <x v="67"/>
    <x v="0"/>
    <x v="21"/>
    <n v="-0.33333333333333298"/>
    <n v="-121.666666666667"/>
    <n v="-438"/>
  </r>
  <r>
    <x v="0"/>
    <x v="0"/>
    <x v="0"/>
    <x v="3"/>
    <x v="14"/>
    <s v="SE4_MAL"/>
    <x v="1"/>
    <x v="1"/>
    <x v="67"/>
    <x v="0"/>
    <x v="22"/>
    <n v="-0.33333333333333298"/>
    <n v="-121.666666666667"/>
    <n v="-438"/>
  </r>
  <r>
    <x v="0"/>
    <x v="0"/>
    <x v="0"/>
    <x v="3"/>
    <x v="14"/>
    <s v="SE4_MAL"/>
    <x v="1"/>
    <x v="1"/>
    <x v="67"/>
    <x v="0"/>
    <x v="23"/>
    <n v="-0.33333333333333298"/>
    <n v="-121.666666666667"/>
    <n v="-438"/>
  </r>
  <r>
    <x v="0"/>
    <x v="0"/>
    <x v="0"/>
    <x v="3"/>
    <x v="14"/>
    <s v="SE4_MAL"/>
    <x v="2"/>
    <x v="2"/>
    <x v="61"/>
    <x v="0"/>
    <x v="0"/>
    <n v="22.912881276595201"/>
    <n v="8363.2016659572491"/>
    <n v="30107.525997446101"/>
  </r>
  <r>
    <x v="0"/>
    <x v="0"/>
    <x v="0"/>
    <x v="3"/>
    <x v="14"/>
    <s v="SE4_MAL"/>
    <x v="2"/>
    <x v="2"/>
    <x v="61"/>
    <x v="0"/>
    <x v="1"/>
    <n v="22.912881276595201"/>
    <n v="8363.2016659572491"/>
    <n v="30107.525997446101"/>
  </r>
  <r>
    <x v="0"/>
    <x v="0"/>
    <x v="0"/>
    <x v="3"/>
    <x v="14"/>
    <s v="SE4_MAL"/>
    <x v="2"/>
    <x v="2"/>
    <x v="61"/>
    <x v="0"/>
    <x v="2"/>
    <n v="22.912881276595201"/>
    <n v="8363.2016659572491"/>
    <n v="30107.525997446101"/>
  </r>
  <r>
    <x v="0"/>
    <x v="0"/>
    <x v="0"/>
    <x v="3"/>
    <x v="14"/>
    <s v="SE4_MAL"/>
    <x v="2"/>
    <x v="2"/>
    <x v="61"/>
    <x v="0"/>
    <x v="3"/>
    <n v="22.912881276595201"/>
    <n v="8363.2016659572491"/>
    <n v="30107.525997446101"/>
  </r>
  <r>
    <x v="0"/>
    <x v="0"/>
    <x v="0"/>
    <x v="3"/>
    <x v="14"/>
    <s v="SE4_MAL"/>
    <x v="2"/>
    <x v="2"/>
    <x v="61"/>
    <x v="0"/>
    <x v="4"/>
    <n v="22.912881276595201"/>
    <n v="8363.2016659572491"/>
    <n v="30107.525997446101"/>
  </r>
  <r>
    <x v="0"/>
    <x v="0"/>
    <x v="0"/>
    <x v="3"/>
    <x v="14"/>
    <s v="SE4_MAL"/>
    <x v="2"/>
    <x v="2"/>
    <x v="61"/>
    <x v="0"/>
    <x v="5"/>
    <n v="22.912881276595201"/>
    <n v="8363.2016659572491"/>
    <n v="30107.525997446101"/>
  </r>
  <r>
    <x v="0"/>
    <x v="0"/>
    <x v="0"/>
    <x v="3"/>
    <x v="14"/>
    <s v="SE4_MAL"/>
    <x v="2"/>
    <x v="2"/>
    <x v="61"/>
    <x v="0"/>
    <x v="6"/>
    <n v="22.912881276595201"/>
    <n v="8363.2016659572491"/>
    <n v="30107.525997446101"/>
  </r>
  <r>
    <x v="0"/>
    <x v="0"/>
    <x v="0"/>
    <x v="3"/>
    <x v="14"/>
    <s v="SE4_MAL"/>
    <x v="2"/>
    <x v="2"/>
    <x v="61"/>
    <x v="0"/>
    <x v="7"/>
    <n v="22.912881276595201"/>
    <n v="8363.2016659572491"/>
    <n v="30107.525997446101"/>
  </r>
  <r>
    <x v="0"/>
    <x v="0"/>
    <x v="0"/>
    <x v="3"/>
    <x v="14"/>
    <s v="SE4_MAL"/>
    <x v="2"/>
    <x v="2"/>
    <x v="61"/>
    <x v="0"/>
    <x v="8"/>
    <n v="22.912881276595201"/>
    <n v="8363.2016659572491"/>
    <n v="30107.525997446101"/>
  </r>
  <r>
    <x v="0"/>
    <x v="0"/>
    <x v="0"/>
    <x v="3"/>
    <x v="14"/>
    <s v="SE4_MAL"/>
    <x v="2"/>
    <x v="2"/>
    <x v="61"/>
    <x v="0"/>
    <x v="9"/>
    <n v="22.912881276595201"/>
    <n v="8363.2016659572491"/>
    <n v="30107.525997446101"/>
  </r>
  <r>
    <x v="0"/>
    <x v="0"/>
    <x v="0"/>
    <x v="3"/>
    <x v="14"/>
    <s v="SE4_MAL"/>
    <x v="2"/>
    <x v="2"/>
    <x v="61"/>
    <x v="0"/>
    <x v="10"/>
    <n v="22.912881276595201"/>
    <n v="8363.2016659572491"/>
    <n v="30107.525997446101"/>
  </r>
  <r>
    <x v="0"/>
    <x v="0"/>
    <x v="0"/>
    <x v="3"/>
    <x v="14"/>
    <s v="SE4_MAL"/>
    <x v="2"/>
    <x v="2"/>
    <x v="61"/>
    <x v="0"/>
    <x v="11"/>
    <n v="22.912881276595201"/>
    <n v="8363.2016659572491"/>
    <n v="30107.525997446101"/>
  </r>
  <r>
    <x v="0"/>
    <x v="0"/>
    <x v="0"/>
    <x v="3"/>
    <x v="14"/>
    <s v="SE4_MAL"/>
    <x v="2"/>
    <x v="2"/>
    <x v="61"/>
    <x v="0"/>
    <x v="12"/>
    <n v="22.912881276595201"/>
    <n v="8363.2016659572491"/>
    <n v="30107.525997446101"/>
  </r>
  <r>
    <x v="0"/>
    <x v="0"/>
    <x v="0"/>
    <x v="3"/>
    <x v="14"/>
    <s v="SE4_MAL"/>
    <x v="2"/>
    <x v="2"/>
    <x v="61"/>
    <x v="0"/>
    <x v="13"/>
    <n v="22.912881276595201"/>
    <n v="8363.2016659572491"/>
    <n v="30107.525997446101"/>
  </r>
  <r>
    <x v="0"/>
    <x v="0"/>
    <x v="0"/>
    <x v="3"/>
    <x v="14"/>
    <s v="SE4_MAL"/>
    <x v="2"/>
    <x v="2"/>
    <x v="61"/>
    <x v="0"/>
    <x v="14"/>
    <n v="22.912881276595201"/>
    <n v="8363.2016659572491"/>
    <n v="30107.525997446101"/>
  </r>
  <r>
    <x v="0"/>
    <x v="0"/>
    <x v="0"/>
    <x v="3"/>
    <x v="14"/>
    <s v="SE4_MAL"/>
    <x v="2"/>
    <x v="2"/>
    <x v="61"/>
    <x v="0"/>
    <x v="15"/>
    <n v="22.912881276595201"/>
    <n v="8363.2016659572491"/>
    <n v="30107.525997446101"/>
  </r>
  <r>
    <x v="0"/>
    <x v="0"/>
    <x v="0"/>
    <x v="3"/>
    <x v="14"/>
    <s v="SE4_MAL"/>
    <x v="2"/>
    <x v="2"/>
    <x v="61"/>
    <x v="0"/>
    <x v="16"/>
    <n v="22.912881276595201"/>
    <n v="8363.2016659572491"/>
    <n v="30107.525997446101"/>
  </r>
  <r>
    <x v="0"/>
    <x v="0"/>
    <x v="0"/>
    <x v="3"/>
    <x v="14"/>
    <s v="SE4_MAL"/>
    <x v="2"/>
    <x v="2"/>
    <x v="61"/>
    <x v="0"/>
    <x v="17"/>
    <n v="22.912881276595201"/>
    <n v="8363.2016659572491"/>
    <n v="30107.525997446101"/>
  </r>
  <r>
    <x v="0"/>
    <x v="0"/>
    <x v="0"/>
    <x v="3"/>
    <x v="14"/>
    <s v="SE4_MAL"/>
    <x v="2"/>
    <x v="2"/>
    <x v="61"/>
    <x v="0"/>
    <x v="18"/>
    <n v="22.912881276595201"/>
    <n v="8363.2016659572491"/>
    <n v="30107.525997446101"/>
  </r>
  <r>
    <x v="0"/>
    <x v="0"/>
    <x v="0"/>
    <x v="3"/>
    <x v="14"/>
    <s v="SE4_MAL"/>
    <x v="2"/>
    <x v="2"/>
    <x v="61"/>
    <x v="0"/>
    <x v="19"/>
    <n v="22.912881276595201"/>
    <n v="8363.2016659572491"/>
    <n v="30107.525997446101"/>
  </r>
  <r>
    <x v="0"/>
    <x v="0"/>
    <x v="0"/>
    <x v="3"/>
    <x v="14"/>
    <s v="SE4_MAL"/>
    <x v="2"/>
    <x v="2"/>
    <x v="61"/>
    <x v="0"/>
    <x v="20"/>
    <n v="22.912881276595201"/>
    <n v="8363.2016659572491"/>
    <n v="30107.525997446101"/>
  </r>
  <r>
    <x v="0"/>
    <x v="0"/>
    <x v="0"/>
    <x v="3"/>
    <x v="14"/>
    <s v="SE4_MAL"/>
    <x v="2"/>
    <x v="2"/>
    <x v="61"/>
    <x v="0"/>
    <x v="21"/>
    <n v="22.912881276595201"/>
    <n v="8363.2016659572491"/>
    <n v="30107.525997446101"/>
  </r>
  <r>
    <x v="0"/>
    <x v="0"/>
    <x v="0"/>
    <x v="3"/>
    <x v="14"/>
    <s v="SE4_MAL"/>
    <x v="2"/>
    <x v="2"/>
    <x v="61"/>
    <x v="0"/>
    <x v="22"/>
    <n v="22.912881276595201"/>
    <n v="8363.2016659572491"/>
    <n v="30107.525997446101"/>
  </r>
  <r>
    <x v="0"/>
    <x v="0"/>
    <x v="0"/>
    <x v="3"/>
    <x v="14"/>
    <s v="SE4_MAL"/>
    <x v="2"/>
    <x v="2"/>
    <x v="61"/>
    <x v="0"/>
    <x v="23"/>
    <n v="22.912881276595201"/>
    <n v="8363.2016659572491"/>
    <n v="30107.525997446101"/>
  </r>
  <r>
    <x v="0"/>
    <x v="0"/>
    <x v="0"/>
    <x v="3"/>
    <x v="14"/>
    <s v="SE4_MAL"/>
    <x v="8"/>
    <x v="2"/>
    <x v="84"/>
    <x v="0"/>
    <x v="5"/>
    <n v="10.292280747301"/>
    <n v="3756.68247276486"/>
    <n v="13524.0569019535"/>
  </r>
  <r>
    <x v="0"/>
    <x v="0"/>
    <x v="0"/>
    <x v="3"/>
    <x v="14"/>
    <s v="SE4_MAL"/>
    <x v="8"/>
    <x v="2"/>
    <x v="84"/>
    <x v="0"/>
    <x v="6"/>
    <n v="32.482093778951999"/>
    <n v="11855.9642293175"/>
    <n v="42681.471225542897"/>
  </r>
  <r>
    <x v="0"/>
    <x v="0"/>
    <x v="0"/>
    <x v="3"/>
    <x v="14"/>
    <s v="SE4_MAL"/>
    <x v="8"/>
    <x v="2"/>
    <x v="84"/>
    <x v="0"/>
    <x v="7"/>
    <n v="34.407736412165697"/>
    <n v="12558.8237904405"/>
    <n v="45211.7656455857"/>
  </r>
  <r>
    <x v="0"/>
    <x v="0"/>
    <x v="0"/>
    <x v="3"/>
    <x v="14"/>
    <s v="SE4_MAL"/>
    <x v="8"/>
    <x v="2"/>
    <x v="84"/>
    <x v="0"/>
    <x v="8"/>
    <n v="23.8962146334779"/>
    <n v="8722.1183412194296"/>
    <n v="31399.626028390001"/>
  </r>
  <r>
    <x v="0"/>
    <x v="0"/>
    <x v="0"/>
    <x v="3"/>
    <x v="14"/>
    <s v="SE4_MAL"/>
    <x v="8"/>
    <x v="2"/>
    <x v="84"/>
    <x v="0"/>
    <x v="9"/>
    <n v="14.6138066891116"/>
    <n v="5334.0394415257397"/>
    <n v="19202.5419894927"/>
  </r>
  <r>
    <x v="0"/>
    <x v="0"/>
    <x v="0"/>
    <x v="3"/>
    <x v="14"/>
    <s v="SE4_MAL"/>
    <x v="8"/>
    <x v="2"/>
    <x v="84"/>
    <x v="0"/>
    <x v="10"/>
    <n v="8.6341537860848199"/>
    <n v="3151.4661319209599"/>
    <n v="11345.278074915501"/>
  </r>
  <r>
    <x v="0"/>
    <x v="0"/>
    <x v="0"/>
    <x v="3"/>
    <x v="14"/>
    <s v="SE4_MAL"/>
    <x v="8"/>
    <x v="2"/>
    <x v="84"/>
    <x v="0"/>
    <x v="11"/>
    <n v="4.3351824561427801"/>
    <n v="1582.3415964921101"/>
    <n v="5696.4297473716097"/>
  </r>
  <r>
    <x v="0"/>
    <x v="0"/>
    <x v="0"/>
    <x v="3"/>
    <x v="14"/>
    <s v="SE4_MAL"/>
    <x v="8"/>
    <x v="2"/>
    <x v="84"/>
    <x v="0"/>
    <x v="12"/>
    <n v="0.86806431511247295"/>
    <n v="316.84347501605299"/>
    <n v="1140.63651005779"/>
  </r>
  <r>
    <x v="0"/>
    <x v="0"/>
    <x v="0"/>
    <x v="3"/>
    <x v="14"/>
    <s v="SE4_MAL"/>
    <x v="8"/>
    <x v="2"/>
    <x v="84"/>
    <x v="0"/>
    <x v="13"/>
    <n v="1.2280260319154099"/>
    <n v="448.22950164912601"/>
    <n v="1613.6262059368501"/>
  </r>
  <r>
    <x v="0"/>
    <x v="0"/>
    <x v="0"/>
    <x v="3"/>
    <x v="14"/>
    <s v="SE4_MAL"/>
    <x v="8"/>
    <x v="2"/>
    <x v="84"/>
    <x v="0"/>
    <x v="14"/>
    <n v="3.8836872447817199"/>
    <n v="1417.5458443453299"/>
    <n v="5103.1650396431796"/>
  </r>
  <r>
    <x v="0"/>
    <x v="0"/>
    <x v="0"/>
    <x v="3"/>
    <x v="14"/>
    <s v="SE4_MAL"/>
    <x v="8"/>
    <x v="2"/>
    <x v="84"/>
    <x v="0"/>
    <x v="15"/>
    <n v="7.6275656113352204"/>
    <n v="2784.06144813735"/>
    <n v="10022.6212132945"/>
  </r>
  <r>
    <x v="0"/>
    <x v="0"/>
    <x v="0"/>
    <x v="3"/>
    <x v="14"/>
    <s v="SE4_MAL"/>
    <x v="8"/>
    <x v="2"/>
    <x v="84"/>
    <x v="0"/>
    <x v="16"/>
    <n v="11.527507482268"/>
    <n v="4207.5402310278196"/>
    <n v="15147.1448317002"/>
  </r>
  <r>
    <x v="0"/>
    <x v="0"/>
    <x v="0"/>
    <x v="3"/>
    <x v="14"/>
    <s v="SE4_MAL"/>
    <x v="8"/>
    <x v="2"/>
    <x v="84"/>
    <x v="0"/>
    <x v="17"/>
    <n v="14.539015424264001"/>
    <n v="5306.7406298563601"/>
    <n v="19104.266267482901"/>
  </r>
  <r>
    <x v="0"/>
    <x v="0"/>
    <x v="0"/>
    <x v="3"/>
    <x v="14"/>
    <s v="SE4_MAL"/>
    <x v="8"/>
    <x v="2"/>
    <x v="84"/>
    <x v="0"/>
    <x v="18"/>
    <n v="17.593232981287098"/>
    <n v="6421.5300381697798"/>
    <n v="23117.508137411201"/>
  </r>
  <r>
    <x v="0"/>
    <x v="0"/>
    <x v="0"/>
    <x v="3"/>
    <x v="14"/>
    <s v="SE4_MAL"/>
    <x v="8"/>
    <x v="2"/>
    <x v="84"/>
    <x v="0"/>
    <x v="19"/>
    <n v="19.783758952627199"/>
    <n v="7221.0720177089397"/>
    <n v="25995.859263752202"/>
  </r>
  <r>
    <x v="0"/>
    <x v="0"/>
    <x v="0"/>
    <x v="3"/>
    <x v="14"/>
    <s v="SE4_MAL"/>
    <x v="8"/>
    <x v="2"/>
    <x v="84"/>
    <x v="0"/>
    <x v="20"/>
    <n v="19.910370817950898"/>
    <n v="7267.28534855207"/>
    <n v="26162.227254787402"/>
  </r>
  <r>
    <x v="0"/>
    <x v="0"/>
    <x v="0"/>
    <x v="3"/>
    <x v="14"/>
    <s v="SE4_MAL"/>
    <x v="8"/>
    <x v="2"/>
    <x v="84"/>
    <x v="0"/>
    <x v="21"/>
    <n v="17.935400612005399"/>
    <n v="6546.4212233819799"/>
    <n v="23567.1164041751"/>
  </r>
  <r>
    <x v="0"/>
    <x v="0"/>
    <x v="0"/>
    <x v="3"/>
    <x v="14"/>
    <s v="SE4_MAL"/>
    <x v="8"/>
    <x v="2"/>
    <x v="84"/>
    <x v="0"/>
    <x v="22"/>
    <n v="13.390034309400001"/>
    <n v="4887.3625229310001"/>
    <n v="17594.505082551601"/>
  </r>
  <r>
    <x v="0"/>
    <x v="0"/>
    <x v="0"/>
    <x v="3"/>
    <x v="14"/>
    <s v="SE4_MAL"/>
    <x v="8"/>
    <x v="2"/>
    <x v="84"/>
    <x v="0"/>
    <x v="23"/>
    <n v="2.60430436774912"/>
    <n v="950.571094228427"/>
    <n v="3422.0559392223399"/>
  </r>
  <r>
    <x v="0"/>
    <x v="0"/>
    <x v="0"/>
    <x v="3"/>
    <x v="14"/>
    <s v="SE4_OTHER"/>
    <x v="2"/>
    <x v="2"/>
    <x v="85"/>
    <x v="0"/>
    <x v="0"/>
    <n v="10.438636061945401"/>
    <n v="3810.1021626100601"/>
    <n v="13716.3677853962"/>
  </r>
  <r>
    <x v="0"/>
    <x v="0"/>
    <x v="0"/>
    <x v="3"/>
    <x v="14"/>
    <s v="SE4_OTHER"/>
    <x v="2"/>
    <x v="2"/>
    <x v="85"/>
    <x v="0"/>
    <x v="1"/>
    <n v="10.438636061945401"/>
    <n v="3810.1021626100601"/>
    <n v="13716.3677853962"/>
  </r>
  <r>
    <x v="0"/>
    <x v="0"/>
    <x v="0"/>
    <x v="3"/>
    <x v="14"/>
    <s v="SE4_OTHER"/>
    <x v="2"/>
    <x v="2"/>
    <x v="85"/>
    <x v="0"/>
    <x v="2"/>
    <n v="10.438636061945401"/>
    <n v="3810.1021626100601"/>
    <n v="13716.3677853962"/>
  </r>
  <r>
    <x v="0"/>
    <x v="0"/>
    <x v="0"/>
    <x v="3"/>
    <x v="14"/>
    <s v="SE4_OTHER"/>
    <x v="2"/>
    <x v="2"/>
    <x v="85"/>
    <x v="0"/>
    <x v="3"/>
    <n v="10.438636061945401"/>
    <n v="3810.1021626100601"/>
    <n v="13716.3677853962"/>
  </r>
  <r>
    <x v="0"/>
    <x v="0"/>
    <x v="0"/>
    <x v="3"/>
    <x v="14"/>
    <s v="SE4_OTHER"/>
    <x v="2"/>
    <x v="2"/>
    <x v="85"/>
    <x v="0"/>
    <x v="4"/>
    <n v="10.438636061945401"/>
    <n v="3810.1021626100601"/>
    <n v="13716.3677853962"/>
  </r>
  <r>
    <x v="0"/>
    <x v="0"/>
    <x v="0"/>
    <x v="3"/>
    <x v="14"/>
    <s v="SE4_OTHER"/>
    <x v="2"/>
    <x v="2"/>
    <x v="85"/>
    <x v="0"/>
    <x v="5"/>
    <n v="10.438636061945401"/>
    <n v="3810.1021626100601"/>
    <n v="13716.3677853962"/>
  </r>
  <r>
    <x v="0"/>
    <x v="0"/>
    <x v="0"/>
    <x v="3"/>
    <x v="14"/>
    <s v="SE4_OTHER"/>
    <x v="2"/>
    <x v="2"/>
    <x v="85"/>
    <x v="0"/>
    <x v="6"/>
    <n v="10.438636061945401"/>
    <n v="3810.1021626100601"/>
    <n v="13716.3677853962"/>
  </r>
  <r>
    <x v="0"/>
    <x v="0"/>
    <x v="0"/>
    <x v="3"/>
    <x v="14"/>
    <s v="SE4_OTHER"/>
    <x v="2"/>
    <x v="2"/>
    <x v="85"/>
    <x v="0"/>
    <x v="7"/>
    <n v="10.438636061945401"/>
    <n v="3810.1021626100601"/>
    <n v="13716.3677853962"/>
  </r>
  <r>
    <x v="0"/>
    <x v="0"/>
    <x v="0"/>
    <x v="3"/>
    <x v="14"/>
    <s v="SE4_OTHER"/>
    <x v="2"/>
    <x v="2"/>
    <x v="85"/>
    <x v="0"/>
    <x v="8"/>
    <n v="10.438636061945401"/>
    <n v="3810.1021626100601"/>
    <n v="13716.3677853962"/>
  </r>
  <r>
    <x v="0"/>
    <x v="0"/>
    <x v="0"/>
    <x v="3"/>
    <x v="14"/>
    <s v="SE4_OTHER"/>
    <x v="2"/>
    <x v="2"/>
    <x v="85"/>
    <x v="0"/>
    <x v="9"/>
    <n v="10.438636061945401"/>
    <n v="3810.1021626100601"/>
    <n v="13716.3677853962"/>
  </r>
  <r>
    <x v="0"/>
    <x v="0"/>
    <x v="0"/>
    <x v="3"/>
    <x v="14"/>
    <s v="SE4_OTHER"/>
    <x v="2"/>
    <x v="2"/>
    <x v="85"/>
    <x v="0"/>
    <x v="10"/>
    <n v="10.438636061945401"/>
    <n v="3810.1021626100601"/>
    <n v="13716.3677853962"/>
  </r>
  <r>
    <x v="0"/>
    <x v="0"/>
    <x v="0"/>
    <x v="3"/>
    <x v="14"/>
    <s v="SE4_OTHER"/>
    <x v="2"/>
    <x v="2"/>
    <x v="85"/>
    <x v="0"/>
    <x v="11"/>
    <n v="10.438636061945401"/>
    <n v="3810.1021626100601"/>
    <n v="13716.3677853962"/>
  </r>
  <r>
    <x v="0"/>
    <x v="0"/>
    <x v="0"/>
    <x v="3"/>
    <x v="14"/>
    <s v="SE4_OTHER"/>
    <x v="2"/>
    <x v="2"/>
    <x v="85"/>
    <x v="0"/>
    <x v="12"/>
    <n v="10.438636061945401"/>
    <n v="3810.1021626100601"/>
    <n v="13716.3677853962"/>
  </r>
  <r>
    <x v="0"/>
    <x v="0"/>
    <x v="0"/>
    <x v="3"/>
    <x v="14"/>
    <s v="SE4_OTHER"/>
    <x v="2"/>
    <x v="2"/>
    <x v="85"/>
    <x v="0"/>
    <x v="13"/>
    <n v="10.438636061945401"/>
    <n v="3810.1021626100601"/>
    <n v="13716.3677853962"/>
  </r>
  <r>
    <x v="0"/>
    <x v="0"/>
    <x v="0"/>
    <x v="3"/>
    <x v="14"/>
    <s v="SE4_OTHER"/>
    <x v="2"/>
    <x v="2"/>
    <x v="85"/>
    <x v="0"/>
    <x v="14"/>
    <n v="10.438636061945401"/>
    <n v="3810.1021626100601"/>
    <n v="13716.3677853962"/>
  </r>
  <r>
    <x v="0"/>
    <x v="0"/>
    <x v="0"/>
    <x v="3"/>
    <x v="14"/>
    <s v="SE4_OTHER"/>
    <x v="2"/>
    <x v="2"/>
    <x v="85"/>
    <x v="0"/>
    <x v="15"/>
    <n v="10.438636061945401"/>
    <n v="3810.1021626100601"/>
    <n v="13716.3677853962"/>
  </r>
  <r>
    <x v="0"/>
    <x v="0"/>
    <x v="0"/>
    <x v="3"/>
    <x v="14"/>
    <s v="SE4_OTHER"/>
    <x v="2"/>
    <x v="2"/>
    <x v="85"/>
    <x v="0"/>
    <x v="16"/>
    <n v="10.438636061945401"/>
    <n v="3810.1021626100601"/>
    <n v="13716.3677853962"/>
  </r>
  <r>
    <x v="0"/>
    <x v="0"/>
    <x v="0"/>
    <x v="3"/>
    <x v="14"/>
    <s v="SE4_OTHER"/>
    <x v="2"/>
    <x v="2"/>
    <x v="85"/>
    <x v="0"/>
    <x v="17"/>
    <n v="10.438636061945401"/>
    <n v="3810.1021626100601"/>
    <n v="13716.3677853962"/>
  </r>
  <r>
    <x v="0"/>
    <x v="0"/>
    <x v="0"/>
    <x v="3"/>
    <x v="14"/>
    <s v="SE4_OTHER"/>
    <x v="2"/>
    <x v="2"/>
    <x v="85"/>
    <x v="0"/>
    <x v="18"/>
    <n v="10.438636061945401"/>
    <n v="3810.1021626100601"/>
    <n v="13716.3677853962"/>
  </r>
  <r>
    <x v="0"/>
    <x v="0"/>
    <x v="0"/>
    <x v="3"/>
    <x v="14"/>
    <s v="SE4_OTHER"/>
    <x v="2"/>
    <x v="2"/>
    <x v="85"/>
    <x v="0"/>
    <x v="19"/>
    <n v="10.438636061945401"/>
    <n v="3810.1021626100601"/>
    <n v="13716.3677853962"/>
  </r>
  <r>
    <x v="0"/>
    <x v="0"/>
    <x v="0"/>
    <x v="3"/>
    <x v="14"/>
    <s v="SE4_OTHER"/>
    <x v="2"/>
    <x v="2"/>
    <x v="85"/>
    <x v="0"/>
    <x v="20"/>
    <n v="10.438636061945401"/>
    <n v="3810.1021626100601"/>
    <n v="13716.3677853962"/>
  </r>
  <r>
    <x v="0"/>
    <x v="0"/>
    <x v="0"/>
    <x v="3"/>
    <x v="14"/>
    <s v="SE4_OTHER"/>
    <x v="2"/>
    <x v="2"/>
    <x v="85"/>
    <x v="0"/>
    <x v="21"/>
    <n v="10.438636061945401"/>
    <n v="3810.1021626100601"/>
    <n v="13716.3677853962"/>
  </r>
  <r>
    <x v="0"/>
    <x v="0"/>
    <x v="0"/>
    <x v="3"/>
    <x v="14"/>
    <s v="SE4_OTHER"/>
    <x v="2"/>
    <x v="2"/>
    <x v="85"/>
    <x v="0"/>
    <x v="22"/>
    <n v="10.438636061945401"/>
    <n v="3810.1021626100601"/>
    <n v="13716.3677853962"/>
  </r>
  <r>
    <x v="0"/>
    <x v="0"/>
    <x v="0"/>
    <x v="3"/>
    <x v="14"/>
    <s v="SE4_OTHER"/>
    <x v="2"/>
    <x v="2"/>
    <x v="85"/>
    <x v="0"/>
    <x v="23"/>
    <n v="10.438636061945401"/>
    <n v="3810.1021626100601"/>
    <n v="13716.3677853962"/>
  </r>
  <r>
    <x v="0"/>
    <x v="0"/>
    <x v="0"/>
    <x v="3"/>
    <x v="14"/>
    <s v="SE4_OTHER"/>
    <x v="3"/>
    <x v="2"/>
    <x v="86"/>
    <x v="0"/>
    <x v="7"/>
    <n v="2.70079760113595"/>
    <n v="985.79112441462303"/>
    <n v="3548.8480478926399"/>
  </r>
  <r>
    <x v="0"/>
    <x v="0"/>
    <x v="0"/>
    <x v="3"/>
    <x v="14"/>
    <s v="SE4_OTHER"/>
    <x v="13"/>
    <x v="2"/>
    <x v="64"/>
    <x v="0"/>
    <x v="0"/>
    <n v="57.232056042031502"/>
    <n v="20889.700455341499"/>
    <n v="75202.921639229404"/>
  </r>
  <r>
    <x v="0"/>
    <x v="0"/>
    <x v="0"/>
    <x v="3"/>
    <x v="14"/>
    <s v="SE4_OTHER"/>
    <x v="13"/>
    <x v="2"/>
    <x v="64"/>
    <x v="0"/>
    <x v="1"/>
    <n v="57.232056042031502"/>
    <n v="20889.700455341499"/>
    <n v="75202.921639229404"/>
  </r>
  <r>
    <x v="0"/>
    <x v="0"/>
    <x v="0"/>
    <x v="3"/>
    <x v="14"/>
    <s v="SE4_OTHER"/>
    <x v="13"/>
    <x v="2"/>
    <x v="64"/>
    <x v="0"/>
    <x v="2"/>
    <n v="57.232056042031502"/>
    <n v="20889.700455341499"/>
    <n v="75202.921639229404"/>
  </r>
  <r>
    <x v="0"/>
    <x v="0"/>
    <x v="0"/>
    <x v="3"/>
    <x v="14"/>
    <s v="SE4_OTHER"/>
    <x v="13"/>
    <x v="2"/>
    <x v="64"/>
    <x v="0"/>
    <x v="3"/>
    <n v="57.232056042031502"/>
    <n v="20889.700455341499"/>
    <n v="75202.921639229404"/>
  </r>
  <r>
    <x v="0"/>
    <x v="0"/>
    <x v="0"/>
    <x v="3"/>
    <x v="14"/>
    <s v="SE4_OTHER"/>
    <x v="13"/>
    <x v="2"/>
    <x v="64"/>
    <x v="0"/>
    <x v="4"/>
    <n v="57.232056042031502"/>
    <n v="20889.700455341499"/>
    <n v="75202.921639229404"/>
  </r>
  <r>
    <x v="0"/>
    <x v="0"/>
    <x v="0"/>
    <x v="3"/>
    <x v="14"/>
    <s v="SE4_OTHER"/>
    <x v="13"/>
    <x v="2"/>
    <x v="64"/>
    <x v="0"/>
    <x v="5"/>
    <n v="57.232056042031502"/>
    <n v="20889.700455341499"/>
    <n v="75202.921639229404"/>
  </r>
  <r>
    <x v="0"/>
    <x v="0"/>
    <x v="0"/>
    <x v="3"/>
    <x v="14"/>
    <s v="SE4_OTHER"/>
    <x v="13"/>
    <x v="2"/>
    <x v="64"/>
    <x v="0"/>
    <x v="6"/>
    <n v="57.232056042031502"/>
    <n v="20889.700455341499"/>
    <n v="75202.921639229404"/>
  </r>
  <r>
    <x v="0"/>
    <x v="0"/>
    <x v="0"/>
    <x v="3"/>
    <x v="14"/>
    <s v="SE4_OTHER"/>
    <x v="13"/>
    <x v="2"/>
    <x v="64"/>
    <x v="0"/>
    <x v="7"/>
    <n v="57.232056042031502"/>
    <n v="20889.700455341499"/>
    <n v="75202.921639229404"/>
  </r>
  <r>
    <x v="0"/>
    <x v="0"/>
    <x v="0"/>
    <x v="3"/>
    <x v="14"/>
    <s v="SE4_OTHER"/>
    <x v="13"/>
    <x v="2"/>
    <x v="64"/>
    <x v="0"/>
    <x v="8"/>
    <n v="57.232056042031502"/>
    <n v="20889.700455341499"/>
    <n v="75202.921639229404"/>
  </r>
  <r>
    <x v="0"/>
    <x v="0"/>
    <x v="0"/>
    <x v="3"/>
    <x v="14"/>
    <s v="SE4_OTHER"/>
    <x v="13"/>
    <x v="2"/>
    <x v="64"/>
    <x v="0"/>
    <x v="9"/>
    <n v="57.232056042031502"/>
    <n v="20889.700455341499"/>
    <n v="75202.921639229404"/>
  </r>
  <r>
    <x v="0"/>
    <x v="0"/>
    <x v="0"/>
    <x v="3"/>
    <x v="14"/>
    <s v="SE4_OTHER"/>
    <x v="13"/>
    <x v="2"/>
    <x v="64"/>
    <x v="0"/>
    <x v="10"/>
    <n v="57.232056042031502"/>
    <n v="20889.700455341499"/>
    <n v="75202.921639229404"/>
  </r>
  <r>
    <x v="0"/>
    <x v="0"/>
    <x v="0"/>
    <x v="3"/>
    <x v="14"/>
    <s v="SE4_OTHER"/>
    <x v="13"/>
    <x v="2"/>
    <x v="64"/>
    <x v="0"/>
    <x v="11"/>
    <n v="57.232056042031502"/>
    <n v="20889.700455341499"/>
    <n v="75202.921639229404"/>
  </r>
  <r>
    <x v="0"/>
    <x v="0"/>
    <x v="0"/>
    <x v="3"/>
    <x v="14"/>
    <s v="SE4_OTHER"/>
    <x v="13"/>
    <x v="2"/>
    <x v="64"/>
    <x v="0"/>
    <x v="12"/>
    <n v="57.232056042031502"/>
    <n v="20889.700455341499"/>
    <n v="75202.921639229404"/>
  </r>
  <r>
    <x v="0"/>
    <x v="0"/>
    <x v="0"/>
    <x v="3"/>
    <x v="14"/>
    <s v="SE4_OTHER"/>
    <x v="13"/>
    <x v="2"/>
    <x v="64"/>
    <x v="0"/>
    <x v="13"/>
    <n v="57.232056042031502"/>
    <n v="20889.700455341499"/>
    <n v="75202.921639229404"/>
  </r>
  <r>
    <x v="0"/>
    <x v="0"/>
    <x v="0"/>
    <x v="3"/>
    <x v="14"/>
    <s v="SE4_OTHER"/>
    <x v="13"/>
    <x v="2"/>
    <x v="64"/>
    <x v="0"/>
    <x v="14"/>
    <n v="57.232056042031502"/>
    <n v="20889.700455341499"/>
    <n v="75202.921639229404"/>
  </r>
  <r>
    <x v="0"/>
    <x v="0"/>
    <x v="0"/>
    <x v="3"/>
    <x v="14"/>
    <s v="SE4_OTHER"/>
    <x v="13"/>
    <x v="2"/>
    <x v="64"/>
    <x v="0"/>
    <x v="15"/>
    <n v="57.232056042031502"/>
    <n v="20889.700455341499"/>
    <n v="75202.921639229404"/>
  </r>
  <r>
    <x v="0"/>
    <x v="0"/>
    <x v="0"/>
    <x v="3"/>
    <x v="14"/>
    <s v="SE4_OTHER"/>
    <x v="13"/>
    <x v="2"/>
    <x v="64"/>
    <x v="0"/>
    <x v="16"/>
    <n v="57.232056042031502"/>
    <n v="20889.700455341499"/>
    <n v="75202.921639229404"/>
  </r>
  <r>
    <x v="0"/>
    <x v="0"/>
    <x v="0"/>
    <x v="3"/>
    <x v="14"/>
    <s v="SE4_OTHER"/>
    <x v="13"/>
    <x v="2"/>
    <x v="64"/>
    <x v="0"/>
    <x v="17"/>
    <n v="57.232056042031502"/>
    <n v="20889.700455341499"/>
    <n v="75202.921639229404"/>
  </r>
  <r>
    <x v="0"/>
    <x v="0"/>
    <x v="0"/>
    <x v="3"/>
    <x v="14"/>
    <s v="SE4_OTHER"/>
    <x v="13"/>
    <x v="2"/>
    <x v="64"/>
    <x v="0"/>
    <x v="18"/>
    <n v="57.232056042031502"/>
    <n v="20889.700455341499"/>
    <n v="75202.921639229404"/>
  </r>
  <r>
    <x v="0"/>
    <x v="0"/>
    <x v="0"/>
    <x v="3"/>
    <x v="14"/>
    <s v="SE4_OTHER"/>
    <x v="13"/>
    <x v="2"/>
    <x v="64"/>
    <x v="0"/>
    <x v="19"/>
    <n v="57.232056042031502"/>
    <n v="20889.700455341499"/>
    <n v="75202.921639229404"/>
  </r>
  <r>
    <x v="0"/>
    <x v="0"/>
    <x v="0"/>
    <x v="3"/>
    <x v="14"/>
    <s v="SE4_OTHER"/>
    <x v="13"/>
    <x v="2"/>
    <x v="64"/>
    <x v="0"/>
    <x v="20"/>
    <n v="57.232056042031502"/>
    <n v="20889.700455341499"/>
    <n v="75202.921639229404"/>
  </r>
  <r>
    <x v="0"/>
    <x v="0"/>
    <x v="0"/>
    <x v="3"/>
    <x v="14"/>
    <s v="SE4_OTHER"/>
    <x v="13"/>
    <x v="2"/>
    <x v="64"/>
    <x v="0"/>
    <x v="21"/>
    <n v="57.232056042031502"/>
    <n v="20889.700455341499"/>
    <n v="75202.921639229404"/>
  </r>
  <r>
    <x v="0"/>
    <x v="0"/>
    <x v="0"/>
    <x v="3"/>
    <x v="14"/>
    <s v="SE4_OTHER"/>
    <x v="13"/>
    <x v="2"/>
    <x v="64"/>
    <x v="0"/>
    <x v="22"/>
    <n v="57.232056042031502"/>
    <n v="20889.700455341499"/>
    <n v="75202.921639229404"/>
  </r>
  <r>
    <x v="0"/>
    <x v="0"/>
    <x v="0"/>
    <x v="3"/>
    <x v="14"/>
    <s v="SE4_OTHER"/>
    <x v="13"/>
    <x v="2"/>
    <x v="64"/>
    <x v="0"/>
    <x v="23"/>
    <n v="57.232056042031502"/>
    <n v="20889.700455341499"/>
    <n v="75202.921639229404"/>
  </r>
  <r>
    <x v="0"/>
    <x v="0"/>
    <x v="1"/>
    <x v="0"/>
    <x v="0"/>
    <s v="DK1_Large"/>
    <x v="1"/>
    <x v="1"/>
    <x v="2"/>
    <x v="0"/>
    <x v="4"/>
    <n v="-38.473842307286098"/>
    <n v="-14042.9524421594"/>
    <n v="-50554.628791773903"/>
  </r>
  <r>
    <x v="0"/>
    <x v="0"/>
    <x v="1"/>
    <x v="0"/>
    <x v="0"/>
    <s v="DK1_Large"/>
    <x v="1"/>
    <x v="1"/>
    <x v="2"/>
    <x v="0"/>
    <x v="5"/>
    <n v="-82.95"/>
    <n v="-30276.75"/>
    <n v="-108996.3"/>
  </r>
  <r>
    <x v="0"/>
    <x v="0"/>
    <x v="1"/>
    <x v="0"/>
    <x v="0"/>
    <s v="DK1_Large"/>
    <x v="1"/>
    <x v="1"/>
    <x v="2"/>
    <x v="0"/>
    <x v="6"/>
    <n v="-82.95"/>
    <n v="-30276.75"/>
    <n v="-108996.3"/>
  </r>
  <r>
    <x v="0"/>
    <x v="0"/>
    <x v="1"/>
    <x v="0"/>
    <x v="0"/>
    <s v="DK1_Large"/>
    <x v="1"/>
    <x v="1"/>
    <x v="2"/>
    <x v="0"/>
    <x v="7"/>
    <n v="-82.95"/>
    <n v="-30276.75"/>
    <n v="-108996.3"/>
  </r>
  <r>
    <x v="0"/>
    <x v="0"/>
    <x v="1"/>
    <x v="0"/>
    <x v="0"/>
    <s v="DK1_Large"/>
    <x v="1"/>
    <x v="1"/>
    <x v="2"/>
    <x v="0"/>
    <x v="8"/>
    <n v="-82.95"/>
    <n v="-30276.75"/>
    <n v="-108996.3"/>
  </r>
  <r>
    <x v="0"/>
    <x v="0"/>
    <x v="1"/>
    <x v="0"/>
    <x v="0"/>
    <s v="DK1_Large"/>
    <x v="1"/>
    <x v="1"/>
    <x v="2"/>
    <x v="0"/>
    <x v="9"/>
    <n v="-71.663131576167203"/>
    <n v="-26157.043025301002"/>
    <n v="-94165.354891083698"/>
  </r>
  <r>
    <x v="0"/>
    <x v="0"/>
    <x v="1"/>
    <x v="0"/>
    <x v="0"/>
    <s v="DK1_Large"/>
    <x v="1"/>
    <x v="1"/>
    <x v="2"/>
    <x v="0"/>
    <x v="10"/>
    <n v="-20.396429756293902"/>
    <n v="-7444.6968610472604"/>
    <n v="-26800.908699770102"/>
  </r>
  <r>
    <x v="0"/>
    <x v="0"/>
    <x v="1"/>
    <x v="0"/>
    <x v="0"/>
    <s v="DK1_Large"/>
    <x v="1"/>
    <x v="1"/>
    <x v="87"/>
    <x v="0"/>
    <x v="5"/>
    <n v="-101.634209905701"/>
    <n v="-37096.486615580798"/>
    <n v="-133547.35181609099"/>
  </r>
  <r>
    <x v="0"/>
    <x v="0"/>
    <x v="1"/>
    <x v="0"/>
    <x v="0"/>
    <s v="DK1_Large"/>
    <x v="1"/>
    <x v="1"/>
    <x v="87"/>
    <x v="0"/>
    <x v="6"/>
    <n v="-101.634209905701"/>
    <n v="-37096.486615580798"/>
    <n v="-133547.35181609099"/>
  </r>
  <r>
    <x v="0"/>
    <x v="0"/>
    <x v="1"/>
    <x v="0"/>
    <x v="0"/>
    <s v="DK1_Large"/>
    <x v="1"/>
    <x v="1"/>
    <x v="87"/>
    <x v="0"/>
    <x v="7"/>
    <n v="-91.054571211472407"/>
    <n v="-33234.918492187397"/>
    <n v="-119645.70657187499"/>
  </r>
  <r>
    <x v="0"/>
    <x v="0"/>
    <x v="1"/>
    <x v="0"/>
    <x v="0"/>
    <s v="DK1_Large"/>
    <x v="1"/>
    <x v="1"/>
    <x v="87"/>
    <x v="0"/>
    <x v="8"/>
    <n v="-60.429301307127503"/>
    <n v="-22056.694977101499"/>
    <n v="-79404.101917565597"/>
  </r>
  <r>
    <x v="0"/>
    <x v="0"/>
    <x v="1"/>
    <x v="0"/>
    <x v="0"/>
    <s v="DK1_Large"/>
    <x v="1"/>
    <x v="1"/>
    <x v="88"/>
    <x v="0"/>
    <x v="0"/>
    <n v="-72.995330817006206"/>
    <n v="-26643.2957482073"/>
    <n v="-95915.864693546202"/>
  </r>
  <r>
    <x v="0"/>
    <x v="0"/>
    <x v="1"/>
    <x v="0"/>
    <x v="0"/>
    <s v="DK1_Large"/>
    <x v="1"/>
    <x v="1"/>
    <x v="88"/>
    <x v="0"/>
    <x v="1"/>
    <n v="-72.995330817006206"/>
    <n v="-26643.2957482073"/>
    <n v="-95915.864693546202"/>
  </r>
  <r>
    <x v="0"/>
    <x v="0"/>
    <x v="1"/>
    <x v="0"/>
    <x v="0"/>
    <s v="DK1_Large"/>
    <x v="1"/>
    <x v="1"/>
    <x v="88"/>
    <x v="0"/>
    <x v="2"/>
    <n v="-73.868151009280098"/>
    <n v="-26961.875118387201"/>
    <n v="-97062.750426194005"/>
  </r>
  <r>
    <x v="0"/>
    <x v="0"/>
    <x v="1"/>
    <x v="0"/>
    <x v="0"/>
    <s v="DK1_Large"/>
    <x v="1"/>
    <x v="1"/>
    <x v="88"/>
    <x v="0"/>
    <x v="3"/>
    <n v="-78.921320543497004"/>
    <n v="-28806.281998376398"/>
    <n v="-103702.61519415501"/>
  </r>
  <r>
    <x v="0"/>
    <x v="0"/>
    <x v="1"/>
    <x v="0"/>
    <x v="0"/>
    <s v="DK1_Large"/>
    <x v="1"/>
    <x v="1"/>
    <x v="88"/>
    <x v="0"/>
    <x v="4"/>
    <n v="-82.678463795594894"/>
    <n v="-30177.639285392099"/>
    <n v="-108639.501427412"/>
  </r>
  <r>
    <x v="0"/>
    <x v="0"/>
    <x v="1"/>
    <x v="0"/>
    <x v="0"/>
    <s v="DK1_Large"/>
    <x v="1"/>
    <x v="1"/>
    <x v="88"/>
    <x v="0"/>
    <x v="5"/>
    <n v="-82.678463795594894"/>
    <n v="-30177.639285392099"/>
    <n v="-108639.501427412"/>
  </r>
  <r>
    <x v="0"/>
    <x v="0"/>
    <x v="1"/>
    <x v="0"/>
    <x v="0"/>
    <s v="DK1_Large"/>
    <x v="1"/>
    <x v="1"/>
    <x v="88"/>
    <x v="0"/>
    <x v="6"/>
    <n v="-82.678463795594894"/>
    <n v="-30177.639285392099"/>
    <n v="-108639.501427412"/>
  </r>
  <r>
    <x v="0"/>
    <x v="0"/>
    <x v="1"/>
    <x v="0"/>
    <x v="0"/>
    <s v="DK1_Large"/>
    <x v="1"/>
    <x v="1"/>
    <x v="88"/>
    <x v="0"/>
    <x v="7"/>
    <n v="-82.678463795594894"/>
    <n v="-30177.639285392099"/>
    <n v="-108639.501427412"/>
  </r>
  <r>
    <x v="0"/>
    <x v="0"/>
    <x v="1"/>
    <x v="0"/>
    <x v="0"/>
    <s v="DK1_Large"/>
    <x v="1"/>
    <x v="1"/>
    <x v="88"/>
    <x v="0"/>
    <x v="8"/>
    <n v="-82.678463795594894"/>
    <n v="-30177.639285392099"/>
    <n v="-108639.501427412"/>
  </r>
  <r>
    <x v="0"/>
    <x v="0"/>
    <x v="1"/>
    <x v="0"/>
    <x v="0"/>
    <s v="DK1_Large"/>
    <x v="1"/>
    <x v="1"/>
    <x v="88"/>
    <x v="0"/>
    <x v="9"/>
    <n v="-82.678463795594894"/>
    <n v="-30177.639285392099"/>
    <n v="-108639.501427412"/>
  </r>
  <r>
    <x v="0"/>
    <x v="0"/>
    <x v="1"/>
    <x v="0"/>
    <x v="0"/>
    <s v="DK1_Large"/>
    <x v="1"/>
    <x v="1"/>
    <x v="88"/>
    <x v="0"/>
    <x v="10"/>
    <n v="-82.678463795594894"/>
    <n v="-30177.639285392099"/>
    <n v="-108639.501427412"/>
  </r>
  <r>
    <x v="0"/>
    <x v="0"/>
    <x v="1"/>
    <x v="0"/>
    <x v="0"/>
    <s v="DK1_Large"/>
    <x v="1"/>
    <x v="1"/>
    <x v="88"/>
    <x v="0"/>
    <x v="11"/>
    <n v="-82.485212361819805"/>
    <n v="-30107.102512064201"/>
    <n v="-108385.56904343099"/>
  </r>
  <r>
    <x v="0"/>
    <x v="0"/>
    <x v="1"/>
    <x v="0"/>
    <x v="0"/>
    <s v="DK1_Large"/>
    <x v="1"/>
    <x v="1"/>
    <x v="88"/>
    <x v="0"/>
    <x v="12"/>
    <n v="-78.212987210163703"/>
    <n v="-28547.740331709701"/>
    <n v="-102771.86519415501"/>
  </r>
  <r>
    <x v="0"/>
    <x v="0"/>
    <x v="1"/>
    <x v="0"/>
    <x v="0"/>
    <s v="DK1_Large"/>
    <x v="1"/>
    <x v="1"/>
    <x v="88"/>
    <x v="0"/>
    <x v="13"/>
    <n v="-77.386104922746298"/>
    <n v="-28245.928296802402"/>
    <n v="-101685.34186848901"/>
  </r>
  <r>
    <x v="0"/>
    <x v="0"/>
    <x v="1"/>
    <x v="0"/>
    <x v="0"/>
    <s v="DK1_Large"/>
    <x v="1"/>
    <x v="1"/>
    <x v="88"/>
    <x v="0"/>
    <x v="14"/>
    <n v="-75.686402443055201"/>
    <n v="-27625.536891715099"/>
    <n v="-99451.932810174505"/>
  </r>
  <r>
    <x v="0"/>
    <x v="0"/>
    <x v="1"/>
    <x v="0"/>
    <x v="0"/>
    <s v="DK1_Large"/>
    <x v="1"/>
    <x v="1"/>
    <x v="88"/>
    <x v="0"/>
    <x v="15"/>
    <n v="-77.386104922746298"/>
    <n v="-28245.928296802402"/>
    <n v="-101685.34186848901"/>
  </r>
  <r>
    <x v="0"/>
    <x v="0"/>
    <x v="1"/>
    <x v="0"/>
    <x v="0"/>
    <s v="DK1_Large"/>
    <x v="1"/>
    <x v="1"/>
    <x v="88"/>
    <x v="0"/>
    <x v="16"/>
    <n v="-82.678463795594894"/>
    <n v="-30177.639285392099"/>
    <n v="-108639.501427412"/>
  </r>
  <r>
    <x v="0"/>
    <x v="0"/>
    <x v="1"/>
    <x v="0"/>
    <x v="0"/>
    <s v="DK1_Large"/>
    <x v="1"/>
    <x v="1"/>
    <x v="88"/>
    <x v="0"/>
    <x v="17"/>
    <n v="-82.678463795594894"/>
    <n v="-30177.639285392099"/>
    <n v="-108639.501427412"/>
  </r>
  <r>
    <x v="0"/>
    <x v="0"/>
    <x v="1"/>
    <x v="0"/>
    <x v="0"/>
    <s v="DK1_Large"/>
    <x v="1"/>
    <x v="1"/>
    <x v="88"/>
    <x v="0"/>
    <x v="18"/>
    <n v="-82.678463795594894"/>
    <n v="-30177.639285392099"/>
    <n v="-108639.501427412"/>
  </r>
  <r>
    <x v="0"/>
    <x v="0"/>
    <x v="1"/>
    <x v="0"/>
    <x v="0"/>
    <s v="DK1_Large"/>
    <x v="1"/>
    <x v="1"/>
    <x v="88"/>
    <x v="0"/>
    <x v="19"/>
    <n v="-82.678463795594894"/>
    <n v="-30177.639285392099"/>
    <n v="-108639.501427412"/>
  </r>
  <r>
    <x v="0"/>
    <x v="0"/>
    <x v="1"/>
    <x v="0"/>
    <x v="0"/>
    <s v="DK1_Large"/>
    <x v="1"/>
    <x v="1"/>
    <x v="88"/>
    <x v="0"/>
    <x v="20"/>
    <n v="-82.678463795594894"/>
    <n v="-30177.639285392099"/>
    <n v="-108639.501427412"/>
  </r>
  <r>
    <x v="0"/>
    <x v="0"/>
    <x v="1"/>
    <x v="0"/>
    <x v="0"/>
    <s v="DK1_Large"/>
    <x v="1"/>
    <x v="1"/>
    <x v="88"/>
    <x v="0"/>
    <x v="21"/>
    <n v="-80.785509882128594"/>
    <n v="-29486.711106977"/>
    <n v="-106152.159985117"/>
  </r>
  <r>
    <x v="0"/>
    <x v="0"/>
    <x v="1"/>
    <x v="0"/>
    <x v="0"/>
    <s v="DK1_Large"/>
    <x v="1"/>
    <x v="1"/>
    <x v="88"/>
    <x v="0"/>
    <x v="22"/>
    <n v="-76.513284730472506"/>
    <n v="-27927.348926622501"/>
    <n v="-100538.456135841"/>
  </r>
  <r>
    <x v="0"/>
    <x v="0"/>
    <x v="1"/>
    <x v="0"/>
    <x v="0"/>
    <s v="DK1_Large"/>
    <x v="1"/>
    <x v="1"/>
    <x v="88"/>
    <x v="0"/>
    <x v="23"/>
    <n v="-72.995330817006206"/>
    <n v="-26643.2957482073"/>
    <n v="-95915.864693546202"/>
  </r>
  <r>
    <x v="0"/>
    <x v="0"/>
    <x v="1"/>
    <x v="0"/>
    <x v="0"/>
    <s v="DK1_Large"/>
    <x v="2"/>
    <x v="2"/>
    <x v="33"/>
    <x v="0"/>
    <x v="17"/>
    <n v="17.899999999999999"/>
    <n v="6533.5"/>
    <n v="23520.6"/>
  </r>
  <r>
    <x v="0"/>
    <x v="0"/>
    <x v="1"/>
    <x v="0"/>
    <x v="0"/>
    <s v="DK1_Large"/>
    <x v="2"/>
    <x v="2"/>
    <x v="33"/>
    <x v="0"/>
    <x v="18"/>
    <n v="17.899999999999999"/>
    <n v="6533.5"/>
    <n v="23520.6"/>
  </r>
  <r>
    <x v="0"/>
    <x v="0"/>
    <x v="1"/>
    <x v="0"/>
    <x v="0"/>
    <s v="DK1_Large"/>
    <x v="2"/>
    <x v="2"/>
    <x v="33"/>
    <x v="0"/>
    <x v="19"/>
    <n v="17.899999999999999"/>
    <n v="6533.5"/>
    <n v="23520.6"/>
  </r>
  <r>
    <x v="0"/>
    <x v="0"/>
    <x v="1"/>
    <x v="0"/>
    <x v="0"/>
    <s v="DK1_Large"/>
    <x v="3"/>
    <x v="2"/>
    <x v="89"/>
    <x v="0"/>
    <x v="18"/>
    <n v="3.4034846124810301"/>
    <n v="1242.27188355558"/>
    <n v="4472.1787808000799"/>
  </r>
  <r>
    <x v="0"/>
    <x v="0"/>
    <x v="1"/>
    <x v="0"/>
    <x v="0"/>
    <s v="DK1_MedSmall"/>
    <x v="1"/>
    <x v="1"/>
    <x v="2"/>
    <x v="0"/>
    <x v="9"/>
    <n v="-1"/>
    <n v="-365"/>
    <n v="-1314"/>
  </r>
  <r>
    <x v="0"/>
    <x v="0"/>
    <x v="1"/>
    <x v="0"/>
    <x v="0"/>
    <s v="DK1_MedSmall"/>
    <x v="1"/>
    <x v="1"/>
    <x v="2"/>
    <x v="0"/>
    <x v="10"/>
    <n v="-1"/>
    <n v="-365"/>
    <n v="-1314"/>
  </r>
  <r>
    <x v="0"/>
    <x v="0"/>
    <x v="1"/>
    <x v="0"/>
    <x v="0"/>
    <s v="DK1_MedSmall"/>
    <x v="1"/>
    <x v="1"/>
    <x v="2"/>
    <x v="0"/>
    <x v="11"/>
    <n v="-1"/>
    <n v="-365"/>
    <n v="-1314"/>
  </r>
  <r>
    <x v="0"/>
    <x v="0"/>
    <x v="1"/>
    <x v="0"/>
    <x v="0"/>
    <s v="DK1_MedSmall"/>
    <x v="1"/>
    <x v="1"/>
    <x v="2"/>
    <x v="0"/>
    <x v="12"/>
    <n v="-0.77512971430815003"/>
    <n v="-282.92234572247497"/>
    <n v="-1018.52044460091"/>
  </r>
  <r>
    <x v="0"/>
    <x v="0"/>
    <x v="1"/>
    <x v="0"/>
    <x v="0"/>
    <s v="DK1_MedSmall"/>
    <x v="1"/>
    <x v="1"/>
    <x v="2"/>
    <x v="0"/>
    <x v="16"/>
    <n v="-1"/>
    <n v="-365"/>
    <n v="-1314"/>
  </r>
  <r>
    <x v="0"/>
    <x v="0"/>
    <x v="1"/>
    <x v="0"/>
    <x v="0"/>
    <s v="DK1_MedSmall"/>
    <x v="1"/>
    <x v="1"/>
    <x v="88"/>
    <x v="0"/>
    <x v="0"/>
    <n v="-14.544447833754401"/>
    <n v="-5308.7234593203602"/>
    <n v="-19111.404453553299"/>
  </r>
  <r>
    <x v="0"/>
    <x v="0"/>
    <x v="1"/>
    <x v="0"/>
    <x v="0"/>
    <s v="DK1_MedSmall"/>
    <x v="1"/>
    <x v="1"/>
    <x v="88"/>
    <x v="0"/>
    <x v="1"/>
    <n v="-14.382962476606901"/>
    <n v="-5249.7813039615103"/>
    <n v="-18899.212694261401"/>
  </r>
  <r>
    <x v="0"/>
    <x v="0"/>
    <x v="1"/>
    <x v="0"/>
    <x v="0"/>
    <s v="DK1_MedSmall"/>
    <x v="1"/>
    <x v="1"/>
    <x v="88"/>
    <x v="0"/>
    <x v="2"/>
    <n v="-14.2645398813653"/>
    <n v="-5206.5570566983497"/>
    <n v="-18743.6054041141"/>
  </r>
  <r>
    <x v="0"/>
    <x v="0"/>
    <x v="1"/>
    <x v="0"/>
    <x v="0"/>
    <s v="DK1_MedSmall"/>
    <x v="1"/>
    <x v="1"/>
    <x v="88"/>
    <x v="0"/>
    <x v="3"/>
    <n v="-14.3506654051774"/>
    <n v="-5237.9928728897403"/>
    <n v="-18856.7743424031"/>
  </r>
  <r>
    <x v="0"/>
    <x v="0"/>
    <x v="1"/>
    <x v="0"/>
    <x v="0"/>
    <s v="DK1_MedSmall"/>
    <x v="1"/>
    <x v="1"/>
    <x v="88"/>
    <x v="0"/>
    <x v="4"/>
    <n v="-14.770527333760899"/>
    <n v="-5391.2424768227502"/>
    <n v="-19408.472916561899"/>
  </r>
  <r>
    <x v="0"/>
    <x v="0"/>
    <x v="1"/>
    <x v="0"/>
    <x v="0"/>
    <s v="DK1_MedSmall"/>
    <x v="1"/>
    <x v="1"/>
    <x v="88"/>
    <x v="0"/>
    <x v="5"/>
    <n v="-15.0827323575795"/>
    <n v="-5505.1973105165198"/>
    <n v="-19818.710317859499"/>
  </r>
  <r>
    <x v="0"/>
    <x v="0"/>
    <x v="1"/>
    <x v="0"/>
    <x v="0"/>
    <s v="DK1_MedSmall"/>
    <x v="1"/>
    <x v="1"/>
    <x v="88"/>
    <x v="0"/>
    <x v="6"/>
    <n v="-17.052853714779399"/>
    <n v="-6224.2916058944802"/>
    <n v="-22407.449781220101"/>
  </r>
  <r>
    <x v="0"/>
    <x v="0"/>
    <x v="1"/>
    <x v="0"/>
    <x v="0"/>
    <s v="DK1_MedSmall"/>
    <x v="1"/>
    <x v="1"/>
    <x v="88"/>
    <x v="0"/>
    <x v="7"/>
    <n v="-18.103516214833899"/>
    <n v="-6607.7834184143903"/>
    <n v="-23788.020306291801"/>
  </r>
  <r>
    <x v="0"/>
    <x v="0"/>
    <x v="1"/>
    <x v="0"/>
    <x v="0"/>
    <s v="DK1_MedSmall"/>
    <x v="1"/>
    <x v="1"/>
    <x v="88"/>
    <x v="0"/>
    <x v="8"/>
    <n v="-18.555675214847"/>
    <n v="-6772.8214534191702"/>
    <n v="-24382.157232309"/>
  </r>
  <r>
    <x v="0"/>
    <x v="0"/>
    <x v="1"/>
    <x v="0"/>
    <x v="0"/>
    <s v="DK1_MedSmall"/>
    <x v="1"/>
    <x v="1"/>
    <x v="88"/>
    <x v="0"/>
    <x v="9"/>
    <n v="-18.555675214847"/>
    <n v="-6772.8214534191702"/>
    <n v="-24382.157232309"/>
  </r>
  <r>
    <x v="0"/>
    <x v="0"/>
    <x v="1"/>
    <x v="0"/>
    <x v="0"/>
    <s v="DK1_MedSmall"/>
    <x v="1"/>
    <x v="1"/>
    <x v="88"/>
    <x v="0"/>
    <x v="10"/>
    <n v="-18.555675214847"/>
    <n v="-6772.8214534191702"/>
    <n v="-24382.157232309"/>
  </r>
  <r>
    <x v="0"/>
    <x v="0"/>
    <x v="1"/>
    <x v="0"/>
    <x v="0"/>
    <s v="DK1_MedSmall"/>
    <x v="1"/>
    <x v="1"/>
    <x v="88"/>
    <x v="0"/>
    <x v="11"/>
    <n v="-18.555675214847"/>
    <n v="-6772.8214534191702"/>
    <n v="-24382.157232309"/>
  </r>
  <r>
    <x v="0"/>
    <x v="0"/>
    <x v="1"/>
    <x v="0"/>
    <x v="0"/>
    <s v="DK1_MedSmall"/>
    <x v="1"/>
    <x v="1"/>
    <x v="88"/>
    <x v="0"/>
    <x v="12"/>
    <n v="-18.555675214847"/>
    <n v="-6772.8214534191702"/>
    <n v="-24382.157232309"/>
  </r>
  <r>
    <x v="0"/>
    <x v="0"/>
    <x v="1"/>
    <x v="0"/>
    <x v="0"/>
    <s v="DK1_MedSmall"/>
    <x v="1"/>
    <x v="1"/>
    <x v="88"/>
    <x v="0"/>
    <x v="13"/>
    <n v="-18.146578976739999"/>
    <n v="-6623.5013265100797"/>
    <n v="-23844.604775436299"/>
  </r>
  <r>
    <x v="0"/>
    <x v="0"/>
    <x v="1"/>
    <x v="0"/>
    <x v="0"/>
    <s v="DK1_MedSmall"/>
    <x v="1"/>
    <x v="1"/>
    <x v="88"/>
    <x v="0"/>
    <x v="14"/>
    <n v="-18.275767262458"/>
    <n v="-6670.6550507971597"/>
    <n v="-24014.358182869801"/>
  </r>
  <r>
    <x v="0"/>
    <x v="0"/>
    <x v="1"/>
    <x v="0"/>
    <x v="0"/>
    <s v="DK1_MedSmall"/>
    <x v="1"/>
    <x v="1"/>
    <x v="88"/>
    <x v="0"/>
    <x v="15"/>
    <n v="-18.404955548176002"/>
    <n v="-6717.8087750842396"/>
    <n v="-24184.111590303299"/>
  </r>
  <r>
    <x v="0"/>
    <x v="0"/>
    <x v="1"/>
    <x v="0"/>
    <x v="0"/>
    <s v="DK1_MedSmall"/>
    <x v="1"/>
    <x v="1"/>
    <x v="88"/>
    <x v="0"/>
    <x v="16"/>
    <n v="-18.555675214847"/>
    <n v="-6772.8214534191702"/>
    <n v="-24382.157232309"/>
  </r>
  <r>
    <x v="0"/>
    <x v="0"/>
    <x v="1"/>
    <x v="0"/>
    <x v="0"/>
    <s v="DK1_MedSmall"/>
    <x v="1"/>
    <x v="1"/>
    <x v="88"/>
    <x v="0"/>
    <x v="17"/>
    <n v="-18.555675214847"/>
    <n v="-6772.8214534191702"/>
    <n v="-24382.157232309"/>
  </r>
  <r>
    <x v="0"/>
    <x v="0"/>
    <x v="1"/>
    <x v="0"/>
    <x v="0"/>
    <s v="DK1_MedSmall"/>
    <x v="1"/>
    <x v="1"/>
    <x v="88"/>
    <x v="0"/>
    <x v="18"/>
    <n v="-18.555675214847"/>
    <n v="-6772.8214534191702"/>
    <n v="-24382.157232309"/>
  </r>
  <r>
    <x v="0"/>
    <x v="0"/>
    <x v="1"/>
    <x v="0"/>
    <x v="0"/>
    <s v="DK1_MedSmall"/>
    <x v="1"/>
    <x v="1"/>
    <x v="88"/>
    <x v="0"/>
    <x v="19"/>
    <n v="-18.555675214847"/>
    <n v="-6772.8214534191702"/>
    <n v="-24382.157232309"/>
  </r>
  <r>
    <x v="0"/>
    <x v="0"/>
    <x v="1"/>
    <x v="0"/>
    <x v="0"/>
    <s v="DK1_MedSmall"/>
    <x v="1"/>
    <x v="1"/>
    <x v="88"/>
    <x v="0"/>
    <x v="20"/>
    <n v="-18.361892786270001"/>
    <n v="-6702.0908669885503"/>
    <n v="-24127.527121158801"/>
  </r>
  <r>
    <x v="0"/>
    <x v="0"/>
    <x v="1"/>
    <x v="0"/>
    <x v="0"/>
    <s v="DK1_MedSmall"/>
    <x v="1"/>
    <x v="1"/>
    <x v="88"/>
    <x v="0"/>
    <x v="21"/>
    <n v="-16.919290262418698"/>
    <n v="-6175.54094578283"/>
    <n v="-22231.947404818198"/>
  </r>
  <r>
    <x v="0"/>
    <x v="0"/>
    <x v="1"/>
    <x v="0"/>
    <x v="0"/>
    <s v="DK1_MedSmall"/>
    <x v="1"/>
    <x v="1"/>
    <x v="88"/>
    <x v="0"/>
    <x v="22"/>
    <n v="-16.811633357653701"/>
    <n v="-6136.2461755435997"/>
    <n v="-22090.486231956998"/>
  </r>
  <r>
    <x v="0"/>
    <x v="0"/>
    <x v="1"/>
    <x v="0"/>
    <x v="0"/>
    <s v="DK1_MedSmall"/>
    <x v="1"/>
    <x v="1"/>
    <x v="88"/>
    <x v="0"/>
    <x v="23"/>
    <n v="-17.375824429074498"/>
    <n v="-6342.1759166121801"/>
    <n v="-22831.8332998039"/>
  </r>
  <r>
    <x v="0"/>
    <x v="0"/>
    <x v="1"/>
    <x v="0"/>
    <x v="0"/>
    <s v="DK1_Medium"/>
    <x v="1"/>
    <x v="1"/>
    <x v="2"/>
    <x v="0"/>
    <x v="8"/>
    <n v="-4.90346995678141"/>
    <n v="-1789.7665342252101"/>
    <n v="-6443.1595232107702"/>
  </r>
  <r>
    <x v="0"/>
    <x v="0"/>
    <x v="1"/>
    <x v="0"/>
    <x v="0"/>
    <s v="DK1_Medium"/>
    <x v="1"/>
    <x v="1"/>
    <x v="2"/>
    <x v="0"/>
    <x v="9"/>
    <n v="-10.8965999039587"/>
    <n v="-3977.2589649449301"/>
    <n v="-14318.132273801701"/>
  </r>
  <r>
    <x v="0"/>
    <x v="0"/>
    <x v="1"/>
    <x v="0"/>
    <x v="0"/>
    <s v="DK1_Medium"/>
    <x v="1"/>
    <x v="1"/>
    <x v="2"/>
    <x v="0"/>
    <x v="10"/>
    <n v="-9.2621099183648994"/>
    <n v="-3380.67012020319"/>
    <n v="-12170.4124327315"/>
  </r>
  <r>
    <x v="0"/>
    <x v="0"/>
    <x v="1"/>
    <x v="0"/>
    <x v="0"/>
    <s v="DK1_Medium"/>
    <x v="1"/>
    <x v="1"/>
    <x v="2"/>
    <x v="0"/>
    <x v="11"/>
    <n v="-9.5345249159638605"/>
    <n v="-3480.1015943268098"/>
    <n v="-12528.3657395765"/>
  </r>
  <r>
    <x v="0"/>
    <x v="0"/>
    <x v="1"/>
    <x v="0"/>
    <x v="0"/>
    <s v="DK1_Medium"/>
    <x v="1"/>
    <x v="1"/>
    <x v="2"/>
    <x v="0"/>
    <x v="12"/>
    <n v="-6.5379599423752097"/>
    <n v="-2386.35537896695"/>
    <n v="-8590.8793642810306"/>
  </r>
  <r>
    <x v="0"/>
    <x v="0"/>
    <x v="1"/>
    <x v="0"/>
    <x v="0"/>
    <s v="DK1_Medium"/>
    <x v="1"/>
    <x v="1"/>
    <x v="2"/>
    <x v="0"/>
    <x v="15"/>
    <n v="-1.0896599903958299"/>
    <n v="-397.72589649447798"/>
    <n v="-1431.81322738012"/>
  </r>
  <r>
    <x v="0"/>
    <x v="0"/>
    <x v="1"/>
    <x v="0"/>
    <x v="0"/>
    <s v="DK1_Medium"/>
    <x v="1"/>
    <x v="1"/>
    <x v="2"/>
    <x v="0"/>
    <x v="16"/>
    <n v="-7.3552049351720798"/>
    <n v="-2684.64980133781"/>
    <n v="-9664.7392848161198"/>
  </r>
  <r>
    <x v="0"/>
    <x v="0"/>
    <x v="1"/>
    <x v="0"/>
    <x v="0"/>
    <s v="DK1_Medium"/>
    <x v="1"/>
    <x v="1"/>
    <x v="88"/>
    <x v="0"/>
    <x v="0"/>
    <n v="-30.6693884796838"/>
    <n v="-11194.3267950846"/>
    <n v="-40299.576462304503"/>
  </r>
  <r>
    <x v="0"/>
    <x v="0"/>
    <x v="1"/>
    <x v="0"/>
    <x v="0"/>
    <s v="DK1_Medium"/>
    <x v="1"/>
    <x v="1"/>
    <x v="88"/>
    <x v="0"/>
    <x v="1"/>
    <n v="-30.328869732685099"/>
    <n v="-11070.03745243"/>
    <n v="-39852.134828748203"/>
  </r>
  <r>
    <x v="0"/>
    <x v="0"/>
    <x v="1"/>
    <x v="0"/>
    <x v="0"/>
    <s v="DK1_Medium"/>
    <x v="1"/>
    <x v="1"/>
    <x v="88"/>
    <x v="0"/>
    <x v="2"/>
    <n v="-30.079155984886"/>
    <n v="-10978.891934483399"/>
    <n v="-39524.010964140201"/>
  </r>
  <r>
    <x v="0"/>
    <x v="0"/>
    <x v="1"/>
    <x v="0"/>
    <x v="0"/>
    <s v="DK1_Medium"/>
    <x v="1"/>
    <x v="1"/>
    <x v="88"/>
    <x v="0"/>
    <x v="3"/>
    <n v="-30.2607659832853"/>
    <n v="-11045.1795838991"/>
    <n v="-39762.6465020369"/>
  </r>
  <r>
    <x v="0"/>
    <x v="0"/>
    <x v="1"/>
    <x v="0"/>
    <x v="0"/>
    <s v="DK1_Medium"/>
    <x v="1"/>
    <x v="1"/>
    <x v="88"/>
    <x v="0"/>
    <x v="4"/>
    <n v="-31.146114725482001"/>
    <n v="-11368.331874800901"/>
    <n v="-40925.994749283302"/>
  </r>
  <r>
    <x v="0"/>
    <x v="0"/>
    <x v="1"/>
    <x v="0"/>
    <x v="0"/>
    <s v="DK1_Medium"/>
    <x v="1"/>
    <x v="1"/>
    <x v="88"/>
    <x v="0"/>
    <x v="5"/>
    <n v="-31.8044509696795"/>
    <n v="-11608.624603933"/>
    <n v="-41791.048574158798"/>
  </r>
  <r>
    <x v="0"/>
    <x v="0"/>
    <x v="1"/>
    <x v="0"/>
    <x v="0"/>
    <s v="DK1_Medium"/>
    <x v="1"/>
    <x v="1"/>
    <x v="88"/>
    <x v="0"/>
    <x v="6"/>
    <n v="-35.958779683063703"/>
    <n v="-13124.9545843183"/>
    <n v="-47249.836503545703"/>
  </r>
  <r>
    <x v="0"/>
    <x v="0"/>
    <x v="1"/>
    <x v="0"/>
    <x v="0"/>
    <s v="DK1_Medium"/>
    <x v="1"/>
    <x v="1"/>
    <x v="88"/>
    <x v="0"/>
    <x v="7"/>
    <n v="-39.098165064715303"/>
    <n v="-14270.8302486211"/>
    <n v="-51374.988895035996"/>
  </r>
  <r>
    <x v="0"/>
    <x v="0"/>
    <x v="1"/>
    <x v="0"/>
    <x v="0"/>
    <s v="DK1_Medium"/>
    <x v="1"/>
    <x v="1"/>
    <x v="88"/>
    <x v="0"/>
    <x v="8"/>
    <n v="-39.642995059913297"/>
    <n v="-14469.6931968683"/>
    <n v="-52090.895508725996"/>
  </r>
  <r>
    <x v="0"/>
    <x v="0"/>
    <x v="1"/>
    <x v="0"/>
    <x v="0"/>
    <s v="DK1_Medium"/>
    <x v="1"/>
    <x v="1"/>
    <x v="88"/>
    <x v="0"/>
    <x v="9"/>
    <n v="-39.642995059913297"/>
    <n v="-14469.6931968683"/>
    <n v="-52090.895508725996"/>
  </r>
  <r>
    <x v="0"/>
    <x v="0"/>
    <x v="1"/>
    <x v="0"/>
    <x v="0"/>
    <s v="DK1_Medium"/>
    <x v="1"/>
    <x v="1"/>
    <x v="88"/>
    <x v="0"/>
    <x v="10"/>
    <n v="-39.642995059913297"/>
    <n v="-14469.6931968683"/>
    <n v="-52090.895508725996"/>
  </r>
  <r>
    <x v="0"/>
    <x v="0"/>
    <x v="1"/>
    <x v="0"/>
    <x v="0"/>
    <s v="DK1_Medium"/>
    <x v="1"/>
    <x v="1"/>
    <x v="88"/>
    <x v="0"/>
    <x v="11"/>
    <n v="-39.642995059913297"/>
    <n v="-14469.6931968683"/>
    <n v="-52090.895508725996"/>
  </r>
  <r>
    <x v="0"/>
    <x v="0"/>
    <x v="1"/>
    <x v="0"/>
    <x v="0"/>
    <s v="DK1_Medium"/>
    <x v="1"/>
    <x v="1"/>
    <x v="88"/>
    <x v="0"/>
    <x v="12"/>
    <n v="-39.642995059913297"/>
    <n v="-14469.6931968683"/>
    <n v="-52090.895508725996"/>
  </r>
  <r>
    <x v="0"/>
    <x v="0"/>
    <x v="1"/>
    <x v="0"/>
    <x v="0"/>
    <s v="DK1_Medium"/>
    <x v="1"/>
    <x v="1"/>
    <x v="88"/>
    <x v="0"/>
    <x v="13"/>
    <n v="-39.188970063915001"/>
    <n v="-14303.974073329"/>
    <n v="-51494.306663984302"/>
  </r>
  <r>
    <x v="0"/>
    <x v="0"/>
    <x v="1"/>
    <x v="0"/>
    <x v="0"/>
    <s v="DK1_Medium"/>
    <x v="1"/>
    <x v="1"/>
    <x v="88"/>
    <x v="0"/>
    <x v="14"/>
    <n v="-39.461385061514001"/>
    <n v="-14403.405547452599"/>
    <n v="-51852.259970829298"/>
  </r>
  <r>
    <x v="0"/>
    <x v="0"/>
    <x v="1"/>
    <x v="0"/>
    <x v="0"/>
    <s v="DK1_Medium"/>
    <x v="1"/>
    <x v="1"/>
    <x v="88"/>
    <x v="0"/>
    <x v="15"/>
    <n v="-39.642995059913297"/>
    <n v="-14469.6931968683"/>
    <n v="-52090.895508725996"/>
  </r>
  <r>
    <x v="0"/>
    <x v="0"/>
    <x v="1"/>
    <x v="0"/>
    <x v="0"/>
    <s v="DK1_Medium"/>
    <x v="1"/>
    <x v="1"/>
    <x v="88"/>
    <x v="0"/>
    <x v="16"/>
    <n v="-39.642995059913297"/>
    <n v="-14469.6931968683"/>
    <n v="-52090.895508725996"/>
  </r>
  <r>
    <x v="0"/>
    <x v="0"/>
    <x v="1"/>
    <x v="0"/>
    <x v="0"/>
    <s v="DK1_Medium"/>
    <x v="1"/>
    <x v="1"/>
    <x v="88"/>
    <x v="0"/>
    <x v="17"/>
    <n v="-39.642995059913297"/>
    <n v="-14469.6931968683"/>
    <n v="-52090.895508725996"/>
  </r>
  <r>
    <x v="0"/>
    <x v="0"/>
    <x v="1"/>
    <x v="0"/>
    <x v="0"/>
    <s v="DK1_Medium"/>
    <x v="1"/>
    <x v="1"/>
    <x v="88"/>
    <x v="0"/>
    <x v="18"/>
    <n v="-39.642995059913297"/>
    <n v="-14469.6931968683"/>
    <n v="-52090.895508725996"/>
  </r>
  <r>
    <x v="0"/>
    <x v="0"/>
    <x v="1"/>
    <x v="0"/>
    <x v="0"/>
    <s v="DK1_Medium"/>
    <x v="1"/>
    <x v="1"/>
    <x v="88"/>
    <x v="0"/>
    <x v="19"/>
    <n v="-39.642995059913297"/>
    <n v="-14469.6931968683"/>
    <n v="-52090.895508725996"/>
  </r>
  <r>
    <x v="0"/>
    <x v="0"/>
    <x v="1"/>
    <x v="0"/>
    <x v="0"/>
    <s v="DK1_Medium"/>
    <x v="1"/>
    <x v="1"/>
    <x v="88"/>
    <x v="0"/>
    <x v="20"/>
    <n v="-39.642995059913297"/>
    <n v="-14469.6931968683"/>
    <n v="-52090.895508725996"/>
  </r>
  <r>
    <x v="0"/>
    <x v="0"/>
    <x v="1"/>
    <x v="0"/>
    <x v="0"/>
    <s v="DK1_Medium"/>
    <x v="1"/>
    <x v="1"/>
    <x v="88"/>
    <x v="0"/>
    <x v="21"/>
    <n v="-36.601027586724797"/>
    <n v="-13359.375069154599"/>
    <n v="-48093.750248956399"/>
  </r>
  <r>
    <x v="0"/>
    <x v="0"/>
    <x v="1"/>
    <x v="0"/>
    <x v="0"/>
    <s v="DK1_Medium"/>
    <x v="1"/>
    <x v="1"/>
    <x v="88"/>
    <x v="0"/>
    <x v="22"/>
    <n v="-36.374015088725699"/>
    <n v="-13276.5155073849"/>
    <n v="-47795.455826585501"/>
  </r>
  <r>
    <x v="0"/>
    <x v="0"/>
    <x v="1"/>
    <x v="0"/>
    <x v="0"/>
    <s v="DK1_Medium"/>
    <x v="1"/>
    <x v="1"/>
    <x v="88"/>
    <x v="0"/>
    <x v="23"/>
    <n v="-36.639817177061097"/>
    <n v="-13373.5332696273"/>
    <n v="-48144.719770658303"/>
  </r>
  <r>
    <x v="0"/>
    <x v="0"/>
    <x v="1"/>
    <x v="0"/>
    <x v="0"/>
    <s v="DK1_NoDH"/>
    <x v="4"/>
    <x v="3"/>
    <x v="9"/>
    <x v="0"/>
    <x v="6"/>
    <n v="2.68248392982282"/>
    <n v="979.10663438532799"/>
    <n v="3524.78388378718"/>
  </r>
  <r>
    <x v="0"/>
    <x v="0"/>
    <x v="1"/>
    <x v="0"/>
    <x v="0"/>
    <s v="DK1_NoDH"/>
    <x v="4"/>
    <x v="3"/>
    <x v="9"/>
    <x v="0"/>
    <x v="7"/>
    <n v="28.611259447237799"/>
    <n v="10443.1096982418"/>
    <n v="37595.194913670501"/>
  </r>
  <r>
    <x v="0"/>
    <x v="0"/>
    <x v="1"/>
    <x v="0"/>
    <x v="0"/>
    <s v="DK1_NoDH"/>
    <x v="4"/>
    <x v="3"/>
    <x v="9"/>
    <x v="0"/>
    <x v="8"/>
    <n v="83.493739168889405"/>
    <n v="30475.214796644599"/>
    <n v="109710.773267921"/>
  </r>
  <r>
    <x v="0"/>
    <x v="0"/>
    <x v="1"/>
    <x v="0"/>
    <x v="0"/>
    <s v="DK1_NoDH"/>
    <x v="4"/>
    <x v="3"/>
    <x v="9"/>
    <x v="0"/>
    <x v="9"/>
    <n v="136.31013552331601"/>
    <n v="49753.199466010199"/>
    <n v="179111.51807763701"/>
  </r>
  <r>
    <x v="0"/>
    <x v="0"/>
    <x v="1"/>
    <x v="0"/>
    <x v="0"/>
    <s v="DK1_NoDH"/>
    <x v="4"/>
    <x v="3"/>
    <x v="9"/>
    <x v="0"/>
    <x v="10"/>
    <n v="181.66694358778801"/>
    <n v="66308.434409542606"/>
    <n v="238710.363874353"/>
  </r>
  <r>
    <x v="0"/>
    <x v="0"/>
    <x v="1"/>
    <x v="0"/>
    <x v="0"/>
    <s v="DK1_NoDH"/>
    <x v="4"/>
    <x v="3"/>
    <x v="9"/>
    <x v="0"/>
    <x v="11"/>
    <n v="210.711966393891"/>
    <n v="76909.867733770094"/>
    <n v="276875.52384157199"/>
  </r>
  <r>
    <x v="0"/>
    <x v="0"/>
    <x v="1"/>
    <x v="0"/>
    <x v="0"/>
    <s v="DK1_NoDH"/>
    <x v="4"/>
    <x v="3"/>
    <x v="9"/>
    <x v="0"/>
    <x v="12"/>
    <n v="222.868755267343"/>
    <n v="81347.095672580195"/>
    <n v="292849.544421289"/>
  </r>
  <r>
    <x v="0"/>
    <x v="0"/>
    <x v="1"/>
    <x v="0"/>
    <x v="0"/>
    <s v="DK1_NoDH"/>
    <x v="4"/>
    <x v="3"/>
    <x v="9"/>
    <x v="0"/>
    <x v="13"/>
    <n v="224.13580086823799"/>
    <n v="81809.567316906905"/>
    <n v="294514.44234086497"/>
  </r>
  <r>
    <x v="0"/>
    <x v="0"/>
    <x v="1"/>
    <x v="0"/>
    <x v="0"/>
    <s v="DK1_NoDH"/>
    <x v="4"/>
    <x v="3"/>
    <x v="9"/>
    <x v="0"/>
    <x v="14"/>
    <n v="192.95620574351"/>
    <n v="70429.015096381205"/>
    <n v="253544.45434697199"/>
  </r>
  <r>
    <x v="0"/>
    <x v="0"/>
    <x v="1"/>
    <x v="0"/>
    <x v="0"/>
    <s v="DK1_NoDH"/>
    <x v="4"/>
    <x v="3"/>
    <x v="9"/>
    <x v="0"/>
    <x v="15"/>
    <n v="146.058396272544"/>
    <n v="53311.314639478602"/>
    <n v="191920.732702123"/>
  </r>
  <r>
    <x v="0"/>
    <x v="0"/>
    <x v="1"/>
    <x v="0"/>
    <x v="0"/>
    <s v="DK1_NoDH"/>
    <x v="4"/>
    <x v="3"/>
    <x v="9"/>
    <x v="0"/>
    <x v="16"/>
    <n v="93.065070127001903"/>
    <n v="33968.750596355698"/>
    <n v="122287.50214688"/>
  </r>
  <r>
    <x v="0"/>
    <x v="0"/>
    <x v="1"/>
    <x v="0"/>
    <x v="0"/>
    <s v="DK1_NoDH"/>
    <x v="4"/>
    <x v="3"/>
    <x v="9"/>
    <x v="0"/>
    <x v="17"/>
    <n v="35.346006334878098"/>
    <n v="12901.2923122305"/>
    <n v="46444.652324029797"/>
  </r>
  <r>
    <x v="0"/>
    <x v="0"/>
    <x v="1"/>
    <x v="0"/>
    <x v="0"/>
    <s v="DK1_NoDH"/>
    <x v="4"/>
    <x v="3"/>
    <x v="9"/>
    <x v="0"/>
    <x v="18"/>
    <n v="2.8936581966386599"/>
    <n v="1056.18524177311"/>
    <n v="3802.2668703832001"/>
  </r>
  <r>
    <x v="0"/>
    <x v="0"/>
    <x v="1"/>
    <x v="0"/>
    <x v="0"/>
    <s v="DK1_NoDH"/>
    <x v="5"/>
    <x v="4"/>
    <x v="10"/>
    <x v="0"/>
    <x v="0"/>
    <n v="5.5021240190659404E-3"/>
    <n v="2.0082752669590702"/>
    <n v="7.2297909610526396"/>
  </r>
  <r>
    <x v="0"/>
    <x v="0"/>
    <x v="1"/>
    <x v="0"/>
    <x v="0"/>
    <s v="DK1_NoDH"/>
    <x v="5"/>
    <x v="4"/>
    <x v="10"/>
    <x v="0"/>
    <x v="1"/>
    <n v="5.5021240190659404E-3"/>
    <n v="2.0082752669590702"/>
    <n v="7.2297909610526396"/>
  </r>
  <r>
    <x v="0"/>
    <x v="0"/>
    <x v="1"/>
    <x v="0"/>
    <x v="0"/>
    <s v="DK1_NoDH"/>
    <x v="5"/>
    <x v="4"/>
    <x v="10"/>
    <x v="0"/>
    <x v="2"/>
    <n v="5.5021240190659404E-3"/>
    <n v="2.0082752669590702"/>
    <n v="7.2297909610526396"/>
  </r>
  <r>
    <x v="0"/>
    <x v="0"/>
    <x v="1"/>
    <x v="0"/>
    <x v="0"/>
    <s v="DK1_NoDH"/>
    <x v="5"/>
    <x v="4"/>
    <x v="10"/>
    <x v="0"/>
    <x v="3"/>
    <n v="5.5021240190659404E-3"/>
    <n v="2.0082752669590702"/>
    <n v="7.2297909610526396"/>
  </r>
  <r>
    <x v="0"/>
    <x v="0"/>
    <x v="1"/>
    <x v="0"/>
    <x v="0"/>
    <s v="DK1_NoDH"/>
    <x v="5"/>
    <x v="4"/>
    <x v="10"/>
    <x v="0"/>
    <x v="4"/>
    <n v="5.5021240190659404E-3"/>
    <n v="2.0082752669590702"/>
    <n v="7.2297909610526396"/>
  </r>
  <r>
    <x v="0"/>
    <x v="0"/>
    <x v="1"/>
    <x v="0"/>
    <x v="0"/>
    <s v="DK1_NoDH"/>
    <x v="5"/>
    <x v="4"/>
    <x v="10"/>
    <x v="0"/>
    <x v="5"/>
    <n v="5.5021240190659404E-3"/>
    <n v="2.0082752669590702"/>
    <n v="7.2297909610526396"/>
  </r>
  <r>
    <x v="0"/>
    <x v="0"/>
    <x v="1"/>
    <x v="0"/>
    <x v="0"/>
    <s v="DK1_NoDH"/>
    <x v="5"/>
    <x v="4"/>
    <x v="10"/>
    <x v="0"/>
    <x v="6"/>
    <n v="5.5021240190659404E-3"/>
    <n v="2.0082752669590702"/>
    <n v="7.2297909610526396"/>
  </r>
  <r>
    <x v="0"/>
    <x v="0"/>
    <x v="1"/>
    <x v="0"/>
    <x v="0"/>
    <s v="DK1_NoDH"/>
    <x v="5"/>
    <x v="4"/>
    <x v="10"/>
    <x v="0"/>
    <x v="7"/>
    <n v="5.5021240190659404E-3"/>
    <n v="2.0082752669590702"/>
    <n v="7.2297909610526396"/>
  </r>
  <r>
    <x v="0"/>
    <x v="0"/>
    <x v="1"/>
    <x v="0"/>
    <x v="0"/>
    <s v="DK1_NoDH"/>
    <x v="5"/>
    <x v="4"/>
    <x v="10"/>
    <x v="0"/>
    <x v="8"/>
    <n v="5.5021240190659404E-3"/>
    <n v="2.0082752669590702"/>
    <n v="7.2297909610526396"/>
  </r>
  <r>
    <x v="0"/>
    <x v="0"/>
    <x v="1"/>
    <x v="0"/>
    <x v="0"/>
    <s v="DK1_NoDH"/>
    <x v="5"/>
    <x v="4"/>
    <x v="10"/>
    <x v="0"/>
    <x v="9"/>
    <n v="5.5021240190659404E-3"/>
    <n v="2.0082752669590702"/>
    <n v="7.2297909610526396"/>
  </r>
  <r>
    <x v="0"/>
    <x v="0"/>
    <x v="1"/>
    <x v="0"/>
    <x v="0"/>
    <s v="DK1_NoDH"/>
    <x v="5"/>
    <x v="4"/>
    <x v="10"/>
    <x v="0"/>
    <x v="10"/>
    <n v="5.5021240190659404E-3"/>
    <n v="2.0082752669590702"/>
    <n v="7.2297909610526396"/>
  </r>
  <r>
    <x v="0"/>
    <x v="0"/>
    <x v="1"/>
    <x v="0"/>
    <x v="0"/>
    <s v="DK1_NoDH"/>
    <x v="5"/>
    <x v="4"/>
    <x v="10"/>
    <x v="0"/>
    <x v="11"/>
    <n v="5.5021240190659404E-3"/>
    <n v="2.0082752669590702"/>
    <n v="7.2297909610526396"/>
  </r>
  <r>
    <x v="0"/>
    <x v="0"/>
    <x v="1"/>
    <x v="0"/>
    <x v="0"/>
    <s v="DK1_NoDH"/>
    <x v="5"/>
    <x v="4"/>
    <x v="10"/>
    <x v="0"/>
    <x v="12"/>
    <n v="5.5021240190659404E-3"/>
    <n v="2.0082752669590702"/>
    <n v="7.2297909610526396"/>
  </r>
  <r>
    <x v="0"/>
    <x v="0"/>
    <x v="1"/>
    <x v="0"/>
    <x v="0"/>
    <s v="DK1_NoDH"/>
    <x v="5"/>
    <x v="4"/>
    <x v="10"/>
    <x v="0"/>
    <x v="13"/>
    <n v="5.5021240190659404E-3"/>
    <n v="2.0082752669590702"/>
    <n v="7.2297909610526396"/>
  </r>
  <r>
    <x v="0"/>
    <x v="0"/>
    <x v="1"/>
    <x v="0"/>
    <x v="0"/>
    <s v="DK1_NoDH"/>
    <x v="5"/>
    <x v="4"/>
    <x v="10"/>
    <x v="0"/>
    <x v="14"/>
    <n v="5.5021240190659404E-3"/>
    <n v="2.0082752669590702"/>
    <n v="7.2297909610526396"/>
  </r>
  <r>
    <x v="0"/>
    <x v="0"/>
    <x v="1"/>
    <x v="0"/>
    <x v="0"/>
    <s v="DK1_NoDH"/>
    <x v="5"/>
    <x v="4"/>
    <x v="10"/>
    <x v="0"/>
    <x v="15"/>
    <n v="5.5021240190659404E-3"/>
    <n v="2.0082752669590702"/>
    <n v="7.2297909610526396"/>
  </r>
  <r>
    <x v="0"/>
    <x v="0"/>
    <x v="1"/>
    <x v="0"/>
    <x v="0"/>
    <s v="DK1_NoDH"/>
    <x v="5"/>
    <x v="4"/>
    <x v="10"/>
    <x v="0"/>
    <x v="16"/>
    <n v="5.5021240190659404E-3"/>
    <n v="2.0082752669590702"/>
    <n v="7.2297909610526396"/>
  </r>
  <r>
    <x v="0"/>
    <x v="0"/>
    <x v="1"/>
    <x v="0"/>
    <x v="0"/>
    <s v="DK1_NoDH"/>
    <x v="5"/>
    <x v="4"/>
    <x v="10"/>
    <x v="0"/>
    <x v="17"/>
    <n v="5.5021240190659404E-3"/>
    <n v="2.0082752669590702"/>
    <n v="7.2297909610526396"/>
  </r>
  <r>
    <x v="0"/>
    <x v="0"/>
    <x v="1"/>
    <x v="0"/>
    <x v="0"/>
    <s v="DK1_NoDH"/>
    <x v="5"/>
    <x v="4"/>
    <x v="10"/>
    <x v="0"/>
    <x v="18"/>
    <n v="5.5021240190659404E-3"/>
    <n v="2.0082752669590702"/>
    <n v="7.2297909610526396"/>
  </r>
  <r>
    <x v="0"/>
    <x v="0"/>
    <x v="1"/>
    <x v="0"/>
    <x v="0"/>
    <s v="DK1_NoDH"/>
    <x v="5"/>
    <x v="4"/>
    <x v="10"/>
    <x v="0"/>
    <x v="19"/>
    <n v="5.5021240190659404E-3"/>
    <n v="2.0082752669590702"/>
    <n v="7.2297909610526396"/>
  </r>
  <r>
    <x v="0"/>
    <x v="0"/>
    <x v="1"/>
    <x v="0"/>
    <x v="0"/>
    <s v="DK1_NoDH"/>
    <x v="5"/>
    <x v="4"/>
    <x v="10"/>
    <x v="0"/>
    <x v="20"/>
    <n v="5.5021240190659404E-3"/>
    <n v="2.0082752669590702"/>
    <n v="7.2297909610526396"/>
  </r>
  <r>
    <x v="0"/>
    <x v="0"/>
    <x v="1"/>
    <x v="0"/>
    <x v="0"/>
    <s v="DK1_NoDH"/>
    <x v="5"/>
    <x v="4"/>
    <x v="10"/>
    <x v="0"/>
    <x v="21"/>
    <n v="5.5021240190659404E-3"/>
    <n v="2.0082752669590702"/>
    <n v="7.2297909610526396"/>
  </r>
  <r>
    <x v="0"/>
    <x v="0"/>
    <x v="1"/>
    <x v="0"/>
    <x v="0"/>
    <s v="DK1_NoDH"/>
    <x v="5"/>
    <x v="4"/>
    <x v="10"/>
    <x v="0"/>
    <x v="22"/>
    <n v="5.5021240190659404E-3"/>
    <n v="2.0082752669590702"/>
    <n v="7.2297909610526396"/>
  </r>
  <r>
    <x v="0"/>
    <x v="0"/>
    <x v="1"/>
    <x v="0"/>
    <x v="0"/>
    <s v="DK1_NoDH"/>
    <x v="5"/>
    <x v="4"/>
    <x v="10"/>
    <x v="0"/>
    <x v="23"/>
    <n v="5.5021240190659404E-3"/>
    <n v="2.0082752669590702"/>
    <n v="7.2297909610526396"/>
  </r>
  <r>
    <x v="0"/>
    <x v="0"/>
    <x v="1"/>
    <x v="0"/>
    <x v="0"/>
    <s v="DK1_NoDH"/>
    <x v="6"/>
    <x v="5"/>
    <x v="11"/>
    <x v="0"/>
    <x v="0"/>
    <n v="519.03693798882205"/>
    <n v="189448.48236592"/>
    <n v="682014.53651731205"/>
  </r>
  <r>
    <x v="0"/>
    <x v="0"/>
    <x v="1"/>
    <x v="0"/>
    <x v="0"/>
    <s v="DK1_NoDH"/>
    <x v="6"/>
    <x v="5"/>
    <x v="11"/>
    <x v="0"/>
    <x v="1"/>
    <n v="567.05048323154199"/>
    <n v="206973.426379513"/>
    <n v="745104.33496624604"/>
  </r>
  <r>
    <x v="0"/>
    <x v="0"/>
    <x v="1"/>
    <x v="0"/>
    <x v="0"/>
    <s v="DK1_NoDH"/>
    <x v="6"/>
    <x v="5"/>
    <x v="11"/>
    <x v="0"/>
    <x v="2"/>
    <n v="605.951968793162"/>
    <n v="221172.46860950399"/>
    <n v="796220.88699421496"/>
  </r>
  <r>
    <x v="0"/>
    <x v="0"/>
    <x v="1"/>
    <x v="0"/>
    <x v="0"/>
    <s v="DK1_NoDH"/>
    <x v="6"/>
    <x v="5"/>
    <x v="11"/>
    <x v="0"/>
    <x v="3"/>
    <n v="685.507259085844"/>
    <n v="250210.14956633301"/>
    <n v="900756.53843880002"/>
  </r>
  <r>
    <x v="0"/>
    <x v="0"/>
    <x v="1"/>
    <x v="0"/>
    <x v="0"/>
    <s v="DK1_NoDH"/>
    <x v="6"/>
    <x v="5"/>
    <x v="11"/>
    <x v="0"/>
    <x v="4"/>
    <n v="727.21245531857198"/>
    <n v="265432.54619127902"/>
    <n v="955557.16628860403"/>
  </r>
  <r>
    <x v="0"/>
    <x v="0"/>
    <x v="1"/>
    <x v="0"/>
    <x v="0"/>
    <s v="DK1_NoDH"/>
    <x v="6"/>
    <x v="5"/>
    <x v="11"/>
    <x v="0"/>
    <x v="5"/>
    <n v="767.866260049635"/>
    <n v="280271.18491811701"/>
    <n v="1008976.2657052201"/>
  </r>
  <r>
    <x v="0"/>
    <x v="0"/>
    <x v="1"/>
    <x v="0"/>
    <x v="0"/>
    <s v="DK1_NoDH"/>
    <x v="6"/>
    <x v="5"/>
    <x v="11"/>
    <x v="0"/>
    <x v="6"/>
    <n v="784.68852407628106"/>
    <n v="286411.31128784298"/>
    <n v="1031080.72063623"/>
  </r>
  <r>
    <x v="0"/>
    <x v="0"/>
    <x v="1"/>
    <x v="0"/>
    <x v="0"/>
    <s v="DK1_NoDH"/>
    <x v="6"/>
    <x v="5"/>
    <x v="11"/>
    <x v="0"/>
    <x v="7"/>
    <n v="774.87553672740398"/>
    <n v="282829.57090550201"/>
    <n v="1018186.45525981"/>
  </r>
  <r>
    <x v="0"/>
    <x v="0"/>
    <x v="1"/>
    <x v="0"/>
    <x v="0"/>
    <s v="DK1_NoDH"/>
    <x v="6"/>
    <x v="5"/>
    <x v="11"/>
    <x v="0"/>
    <x v="8"/>
    <n v="712.49297429525598"/>
    <n v="260059.93561776899"/>
    <n v="936215.76822396705"/>
  </r>
  <r>
    <x v="0"/>
    <x v="0"/>
    <x v="1"/>
    <x v="0"/>
    <x v="0"/>
    <s v="DK1_NoDH"/>
    <x v="6"/>
    <x v="5"/>
    <x v="11"/>
    <x v="0"/>
    <x v="9"/>
    <n v="672.540097231971"/>
    <n v="245477.13548966899"/>
    <n v="883717.68776281003"/>
  </r>
  <r>
    <x v="0"/>
    <x v="0"/>
    <x v="1"/>
    <x v="0"/>
    <x v="0"/>
    <s v="DK1_NoDH"/>
    <x v="6"/>
    <x v="5"/>
    <x v="11"/>
    <x v="0"/>
    <x v="10"/>
    <n v="601.04547511872397"/>
    <n v="219381.598418334"/>
    <n v="789773.75430600299"/>
  </r>
  <r>
    <x v="0"/>
    <x v="0"/>
    <x v="1"/>
    <x v="0"/>
    <x v="0"/>
    <s v="DK1_NoDH"/>
    <x v="6"/>
    <x v="5"/>
    <x v="11"/>
    <x v="0"/>
    <x v="11"/>
    <n v="550.92914687267296"/>
    <n v="201089.13860852501"/>
    <n v="723920.89899069199"/>
  </r>
  <r>
    <x v="0"/>
    <x v="0"/>
    <x v="1"/>
    <x v="0"/>
    <x v="0"/>
    <s v="DK1_NoDH"/>
    <x v="6"/>
    <x v="5"/>
    <x v="11"/>
    <x v="0"/>
    <x v="12"/>
    <n v="538.66291268657596"/>
    <n v="196611.96313059999"/>
    <n v="707803.067270161"/>
  </r>
  <r>
    <x v="0"/>
    <x v="0"/>
    <x v="1"/>
    <x v="0"/>
    <x v="0"/>
    <s v="DK1_NoDH"/>
    <x v="6"/>
    <x v="5"/>
    <x v="11"/>
    <x v="0"/>
    <x v="13"/>
    <n v="544.97126169656804"/>
    <n v="198914.510519248"/>
    <n v="716092.23786929098"/>
  </r>
  <r>
    <x v="0"/>
    <x v="0"/>
    <x v="1"/>
    <x v="0"/>
    <x v="0"/>
    <s v="DK1_NoDH"/>
    <x v="6"/>
    <x v="5"/>
    <x v="11"/>
    <x v="0"/>
    <x v="14"/>
    <n v="546.72358086601105"/>
    <n v="199554.107016094"/>
    <n v="718394.78525793797"/>
  </r>
  <r>
    <x v="0"/>
    <x v="0"/>
    <x v="1"/>
    <x v="0"/>
    <x v="0"/>
    <s v="DK1_NoDH"/>
    <x v="6"/>
    <x v="5"/>
    <x v="11"/>
    <x v="0"/>
    <x v="15"/>
    <n v="526.39667850047999"/>
    <n v="192134.787652675"/>
    <n v="691685.23554963002"/>
  </r>
  <r>
    <x v="0"/>
    <x v="0"/>
    <x v="1"/>
    <x v="0"/>
    <x v="0"/>
    <s v="DK1_NoDH"/>
    <x v="6"/>
    <x v="5"/>
    <x v="11"/>
    <x v="0"/>
    <x v="16"/>
    <n v="493.10261428107498"/>
    <n v="179982.45421259201"/>
    <n v="647936.835165333"/>
  </r>
  <r>
    <x v="0"/>
    <x v="0"/>
    <x v="1"/>
    <x v="0"/>
    <x v="0"/>
    <s v="DK1_NoDH"/>
    <x v="6"/>
    <x v="5"/>
    <x v="11"/>
    <x v="0"/>
    <x v="17"/>
    <n v="396.72505996174601"/>
    <n v="144804.64688603699"/>
    <n v="521296.728789735"/>
  </r>
  <r>
    <x v="0"/>
    <x v="0"/>
    <x v="1"/>
    <x v="0"/>
    <x v="0"/>
    <s v="DK1_NoDH"/>
    <x v="6"/>
    <x v="5"/>
    <x v="11"/>
    <x v="0"/>
    <x v="18"/>
    <n v="288.43173529020999"/>
    <n v="105277.583380927"/>
    <n v="378999.30017133499"/>
  </r>
  <r>
    <x v="0"/>
    <x v="0"/>
    <x v="1"/>
    <x v="0"/>
    <x v="0"/>
    <s v="DK1_NoDH"/>
    <x v="6"/>
    <x v="5"/>
    <x v="11"/>
    <x v="0"/>
    <x v="19"/>
    <n v="254.787207236917"/>
    <n v="92997.330641474604"/>
    <n v="334790.39030930802"/>
  </r>
  <r>
    <x v="0"/>
    <x v="0"/>
    <x v="1"/>
    <x v="0"/>
    <x v="0"/>
    <s v="DK1_NoDH"/>
    <x v="6"/>
    <x v="5"/>
    <x v="11"/>
    <x v="0"/>
    <x v="20"/>
    <n v="265.30112225357101"/>
    <n v="96834.909622553299"/>
    <n v="348605.67464119202"/>
  </r>
  <r>
    <x v="0"/>
    <x v="0"/>
    <x v="1"/>
    <x v="0"/>
    <x v="0"/>
    <s v="DK1_NoDH"/>
    <x v="6"/>
    <x v="5"/>
    <x v="11"/>
    <x v="0"/>
    <x v="21"/>
    <n v="300.34750564241801"/>
    <n v="109626.839559482"/>
    <n v="394656.622414137"/>
  </r>
  <r>
    <x v="0"/>
    <x v="0"/>
    <x v="1"/>
    <x v="0"/>
    <x v="0"/>
    <s v="DK1_NoDH"/>
    <x v="6"/>
    <x v="5"/>
    <x v="11"/>
    <x v="0"/>
    <x v="22"/>
    <n v="342.753629542922"/>
    <n v="125105.074783167"/>
    <n v="450378.26921940001"/>
  </r>
  <r>
    <x v="0"/>
    <x v="0"/>
    <x v="1"/>
    <x v="0"/>
    <x v="0"/>
    <s v="DK1_NoDH"/>
    <x v="6"/>
    <x v="5"/>
    <x v="11"/>
    <x v="0"/>
    <x v="23"/>
    <n v="424.06123900504701"/>
    <n v="154782.35223684201"/>
    <n v="557216.46805263194"/>
  </r>
  <r>
    <x v="0"/>
    <x v="0"/>
    <x v="1"/>
    <x v="0"/>
    <x v="0"/>
    <s v="DK1_Offshore"/>
    <x v="6"/>
    <x v="5"/>
    <x v="12"/>
    <x v="0"/>
    <x v="0"/>
    <n v="686.67870108802504"/>
    <n v="250637.72589712901"/>
    <n v="902295.81322966504"/>
  </r>
  <r>
    <x v="0"/>
    <x v="0"/>
    <x v="1"/>
    <x v="0"/>
    <x v="0"/>
    <s v="DK1_Offshore"/>
    <x v="6"/>
    <x v="5"/>
    <x v="12"/>
    <x v="0"/>
    <x v="1"/>
    <n v="750.19995837976001"/>
    <n v="273822.98480861197"/>
    <n v="985762.74531100504"/>
  </r>
  <r>
    <x v="0"/>
    <x v="0"/>
    <x v="1"/>
    <x v="0"/>
    <x v="0"/>
    <s v="DK1_Offshore"/>
    <x v="6"/>
    <x v="5"/>
    <x v="12"/>
    <x v="0"/>
    <x v="2"/>
    <n v="801.66608655043603"/>
    <n v="292608.12159090902"/>
    <n v="1053389.23772727"/>
  </r>
  <r>
    <x v="0"/>
    <x v="0"/>
    <x v="1"/>
    <x v="0"/>
    <x v="0"/>
    <s v="DK1_Offshore"/>
    <x v="6"/>
    <x v="5"/>
    <x v="12"/>
    <x v="0"/>
    <x v="3"/>
    <n v="906.91663695352997"/>
    <n v="331024.57248803799"/>
    <n v="1191688.46095694"/>
  </r>
  <r>
    <x v="0"/>
    <x v="0"/>
    <x v="1"/>
    <x v="0"/>
    <x v="0"/>
    <s v="DK1_Offshore"/>
    <x v="6"/>
    <x v="5"/>
    <x v="12"/>
    <x v="0"/>
    <x v="4"/>
    <n v="962.09203562299297"/>
    <n v="351163.59300239198"/>
    <n v="1264188.93480861"/>
  </r>
  <r>
    <x v="0"/>
    <x v="0"/>
    <x v="1"/>
    <x v="0"/>
    <x v="0"/>
    <s v="DK1_Offshore"/>
    <x v="6"/>
    <x v="5"/>
    <x v="12"/>
    <x v="0"/>
    <x v="5"/>
    <n v="1015.87645785541"/>
    <n v="370794.907117225"/>
    <n v="1334861.6656220099"/>
  </r>
  <r>
    <x v="0"/>
    <x v="0"/>
    <x v="1"/>
    <x v="0"/>
    <x v="0"/>
    <s v="DK1_Offshore"/>
    <x v="6"/>
    <x v="5"/>
    <x v="12"/>
    <x v="0"/>
    <x v="6"/>
    <n v="1038.13208084814"/>
    <n v="378918.20950956899"/>
    <n v="1364105.55423445"/>
  </r>
  <r>
    <x v="0"/>
    <x v="0"/>
    <x v="1"/>
    <x v="0"/>
    <x v="0"/>
    <s v="DK1_Offshore"/>
    <x v="6"/>
    <x v="5"/>
    <x v="12"/>
    <x v="0"/>
    <x v="7"/>
    <n v="1025.1496341023801"/>
    <n v="374179.616447368"/>
    <n v="1347046.6192105301"/>
  </r>
  <r>
    <x v="0"/>
    <x v="0"/>
    <x v="1"/>
    <x v="0"/>
    <x v="0"/>
    <s v="DK1_Offshore"/>
    <x v="6"/>
    <x v="5"/>
    <x v="12"/>
    <x v="0"/>
    <x v="8"/>
    <n v="942.61836550435896"/>
    <n v="344055.70340909099"/>
    <n v="1238600.53227273"/>
  </r>
  <r>
    <x v="0"/>
    <x v="0"/>
    <x v="1"/>
    <x v="0"/>
    <x v="0"/>
    <s v="DK1_Offshore"/>
    <x v="6"/>
    <x v="5"/>
    <x v="12"/>
    <x v="0"/>
    <x v="9"/>
    <n v="889.76126089663796"/>
    <n v="324762.86022727302"/>
    <n v="1169146.29681818"/>
  </r>
  <r>
    <x v="0"/>
    <x v="0"/>
    <x v="1"/>
    <x v="0"/>
    <x v="0"/>
    <s v="DK1_Offshore"/>
    <x v="6"/>
    <x v="5"/>
    <x v="12"/>
    <x v="0"/>
    <x v="10"/>
    <n v="795.174863177558"/>
    <n v="290238.82505980902"/>
    <n v="1044859.77021531"/>
  </r>
  <r>
    <x v="0"/>
    <x v="0"/>
    <x v="1"/>
    <x v="0"/>
    <x v="0"/>
    <s v="DK1_Offshore"/>
    <x v="6"/>
    <x v="5"/>
    <x v="12"/>
    <x v="0"/>
    <x v="11"/>
    <n v="728.87165301173195"/>
    <n v="266038.15334928199"/>
    <n v="957737.35205741599"/>
  </r>
  <r>
    <x v="0"/>
    <x v="0"/>
    <x v="1"/>
    <x v="0"/>
    <x v="0"/>
    <s v="DK1_Offshore"/>
    <x v="6"/>
    <x v="5"/>
    <x v="12"/>
    <x v="0"/>
    <x v="12"/>
    <n v="712.64359457953697"/>
    <n v="260114.912021531"/>
    <n v="936413.68327751197"/>
  </r>
  <r>
    <x v="0"/>
    <x v="0"/>
    <x v="1"/>
    <x v="0"/>
    <x v="0"/>
    <s v="DK1_Offshore"/>
    <x v="6"/>
    <x v="5"/>
    <x v="12"/>
    <x v="0"/>
    <x v="13"/>
    <n v="720.98945320180906"/>
    <n v="263161.15041866002"/>
    <n v="947380.14150717703"/>
  </r>
  <r>
    <x v="0"/>
    <x v="0"/>
    <x v="1"/>
    <x v="0"/>
    <x v="0"/>
    <s v="DK1_Offshore"/>
    <x v="6"/>
    <x v="5"/>
    <x v="12"/>
    <x v="0"/>
    <x v="14"/>
    <n v="723.30774726355105"/>
    <n v="264007.32775119599"/>
    <n v="950426.37990430603"/>
  </r>
  <r>
    <x v="0"/>
    <x v="0"/>
    <x v="1"/>
    <x v="0"/>
    <x v="0"/>
    <s v="DK1_Offshore"/>
    <x v="6"/>
    <x v="5"/>
    <x v="12"/>
    <x v="0"/>
    <x v="15"/>
    <n v="696.41553614734198"/>
    <n v="254191.67069378"/>
    <n v="915090.01449760795"/>
  </r>
  <r>
    <x v="0"/>
    <x v="0"/>
    <x v="1"/>
    <x v="0"/>
    <x v="0"/>
    <s v="DK1_Offshore"/>
    <x v="6"/>
    <x v="5"/>
    <x v="12"/>
    <x v="0"/>
    <x v="16"/>
    <n v="652.36794897424102"/>
    <n v="238114.30137559801"/>
    <n v="857211.48495215306"/>
  </r>
  <r>
    <x v="0"/>
    <x v="0"/>
    <x v="1"/>
    <x v="0"/>
    <x v="0"/>
    <s v="DK1_Offshore"/>
    <x v="6"/>
    <x v="5"/>
    <x v="12"/>
    <x v="0"/>
    <x v="17"/>
    <n v="524.86177557842302"/>
    <n v="191574.54808612401"/>
    <n v="689668.37311004801"/>
  </r>
  <r>
    <x v="0"/>
    <x v="0"/>
    <x v="1"/>
    <x v="0"/>
    <x v="0"/>
    <s v="DK1_Offshore"/>
    <x v="6"/>
    <x v="5"/>
    <x v="12"/>
    <x v="0"/>
    <x v="18"/>
    <n v="381.59120256275799"/>
    <n v="139280.78893540701"/>
    <n v="501410.84016746399"/>
  </r>
  <r>
    <x v="0"/>
    <x v="0"/>
    <x v="1"/>
    <x v="0"/>
    <x v="0"/>
    <s v="DK1_Offshore"/>
    <x v="6"/>
    <x v="5"/>
    <x v="12"/>
    <x v="0"/>
    <x v="19"/>
    <n v="337.07995657730902"/>
    <n v="123034.18415071801"/>
    <n v="442923.06294258399"/>
  </r>
  <r>
    <x v="0"/>
    <x v="0"/>
    <x v="1"/>
    <x v="0"/>
    <x v="0"/>
    <s v="DK1_Offshore"/>
    <x v="6"/>
    <x v="5"/>
    <x v="12"/>
    <x v="0"/>
    <x v="20"/>
    <n v="350.98972094776201"/>
    <n v="128111.248145933"/>
    <n v="461200.49332535901"/>
  </r>
  <r>
    <x v="0"/>
    <x v="0"/>
    <x v="1"/>
    <x v="0"/>
    <x v="0"/>
    <s v="DK1_Offshore"/>
    <x v="6"/>
    <x v="5"/>
    <x v="12"/>
    <x v="0"/>
    <x v="21"/>
    <n v="397.35560218260503"/>
    <n v="145034.794796651"/>
    <n v="522125.26126794302"/>
  </r>
  <r>
    <x v="0"/>
    <x v="0"/>
    <x v="1"/>
    <x v="0"/>
    <x v="0"/>
    <s v="DK1_Offshore"/>
    <x v="6"/>
    <x v="5"/>
    <x v="12"/>
    <x v="0"/>
    <x v="22"/>
    <n v="453.45831847676499"/>
    <n v="165512.28624401899"/>
    <n v="595844.23047846905"/>
  </r>
  <r>
    <x v="0"/>
    <x v="0"/>
    <x v="1"/>
    <x v="0"/>
    <x v="0"/>
    <s v="DK1_Offshore"/>
    <x v="6"/>
    <x v="5"/>
    <x v="12"/>
    <x v="0"/>
    <x v="23"/>
    <n v="561.02716294160098"/>
    <n v="204774.91447368401"/>
    <n v="737189.69210526301"/>
  </r>
  <r>
    <x v="0"/>
    <x v="0"/>
    <x v="1"/>
    <x v="0"/>
    <x v="0"/>
    <s v="DK1_Rural"/>
    <x v="1"/>
    <x v="1"/>
    <x v="2"/>
    <x v="0"/>
    <x v="8"/>
    <n v="-6.6136732763378596"/>
    <n v="-2413.9907458633202"/>
    <n v="-8690.3666851079506"/>
  </r>
  <r>
    <x v="0"/>
    <x v="0"/>
    <x v="1"/>
    <x v="0"/>
    <x v="0"/>
    <s v="DK1_Rural"/>
    <x v="1"/>
    <x v="1"/>
    <x v="2"/>
    <x v="0"/>
    <x v="9"/>
    <n v="-14.697051725195101"/>
    <n v="-5364.42387969623"/>
    <n v="-19311.925966906401"/>
  </r>
  <r>
    <x v="0"/>
    <x v="0"/>
    <x v="1"/>
    <x v="0"/>
    <x v="0"/>
    <s v="DK1_Rural"/>
    <x v="1"/>
    <x v="1"/>
    <x v="2"/>
    <x v="0"/>
    <x v="10"/>
    <n v="-12.4924939664159"/>
    <n v="-4559.7602977417901"/>
    <n v="-16415.137071870398"/>
  </r>
  <r>
    <x v="0"/>
    <x v="0"/>
    <x v="1"/>
    <x v="0"/>
    <x v="0"/>
    <s v="DK1_Rural"/>
    <x v="1"/>
    <x v="1"/>
    <x v="2"/>
    <x v="0"/>
    <x v="11"/>
    <n v="-12.859920259545801"/>
    <n v="-4693.8708947342102"/>
    <n v="-16897.935221043201"/>
  </r>
  <r>
    <x v="0"/>
    <x v="0"/>
    <x v="1"/>
    <x v="0"/>
    <x v="0"/>
    <s v="DK1_Rural"/>
    <x v="1"/>
    <x v="1"/>
    <x v="2"/>
    <x v="0"/>
    <x v="12"/>
    <n v="-8.8182310351171491"/>
    <n v="-3218.6543278177601"/>
    <n v="-11587.155580143901"/>
  </r>
  <r>
    <x v="0"/>
    <x v="0"/>
    <x v="1"/>
    <x v="0"/>
    <x v="0"/>
    <s v="DK1_Rural"/>
    <x v="1"/>
    <x v="1"/>
    <x v="2"/>
    <x v="0"/>
    <x v="15"/>
    <n v="-1.46970517251953"/>
    <n v="-536.44238796962702"/>
    <n v="-1931.1925966906599"/>
  </r>
  <r>
    <x v="0"/>
    <x v="0"/>
    <x v="1"/>
    <x v="0"/>
    <x v="0"/>
    <s v="DK1_Rural"/>
    <x v="1"/>
    <x v="1"/>
    <x v="2"/>
    <x v="0"/>
    <x v="16"/>
    <n v="-9.9205099145067397"/>
    <n v="-3620.98611879496"/>
    <n v="-13035.5500276619"/>
  </r>
  <r>
    <x v="0"/>
    <x v="0"/>
    <x v="1"/>
    <x v="0"/>
    <x v="0"/>
    <s v="DK1_Rural"/>
    <x v="1"/>
    <x v="1"/>
    <x v="88"/>
    <x v="0"/>
    <x v="0"/>
    <n v="-41.366076834872104"/>
    <n v="-15098.6180447283"/>
    <n v="-54355.024961021998"/>
  </r>
  <r>
    <x v="0"/>
    <x v="0"/>
    <x v="1"/>
    <x v="0"/>
    <x v="0"/>
    <s v="DK1_Rural"/>
    <x v="1"/>
    <x v="1"/>
    <x v="88"/>
    <x v="0"/>
    <x v="1"/>
    <n v="-40.906793968459802"/>
    <n v="-14930.979798487801"/>
    <n v="-53751.527274556203"/>
  </r>
  <r>
    <x v="0"/>
    <x v="0"/>
    <x v="1"/>
    <x v="0"/>
    <x v="0"/>
    <s v="DK1_Rural"/>
    <x v="1"/>
    <x v="1"/>
    <x v="88"/>
    <x v="0"/>
    <x v="2"/>
    <n v="-40.569986533090699"/>
    <n v="-14808.0450845781"/>
    <n v="-53308.962304481203"/>
  </r>
  <r>
    <x v="0"/>
    <x v="0"/>
    <x v="1"/>
    <x v="0"/>
    <x v="0"/>
    <s v="DK1_Rural"/>
    <x v="1"/>
    <x v="1"/>
    <x v="88"/>
    <x v="0"/>
    <x v="3"/>
    <n v="-40.814937395177303"/>
    <n v="-14897.4521492397"/>
    <n v="-53630.827737262996"/>
  </r>
  <r>
    <x v="0"/>
    <x v="0"/>
    <x v="1"/>
    <x v="0"/>
    <x v="0"/>
    <s v="DK1_Rural"/>
    <x v="1"/>
    <x v="1"/>
    <x v="88"/>
    <x v="0"/>
    <x v="4"/>
    <n v="-42.009072847849403"/>
    <n v="-15333.311589465"/>
    <n v="-55199.921722074097"/>
  </r>
  <r>
    <x v="0"/>
    <x v="0"/>
    <x v="1"/>
    <x v="0"/>
    <x v="0"/>
    <s v="DK1_Rural"/>
    <x v="1"/>
    <x v="1"/>
    <x v="88"/>
    <x v="0"/>
    <x v="5"/>
    <n v="-42.897019722913299"/>
    <n v="-15657.4121988633"/>
    <n v="-56366.683915908099"/>
  </r>
  <r>
    <x v="0"/>
    <x v="0"/>
    <x v="1"/>
    <x v="0"/>
    <x v="0"/>
    <s v="DK1_Rural"/>
    <x v="1"/>
    <x v="1"/>
    <x v="88"/>
    <x v="0"/>
    <x v="6"/>
    <n v="-48.500270693143896"/>
    <n v="-17702.598802997501"/>
    <n v="-63729.355690791097"/>
  </r>
  <r>
    <x v="0"/>
    <x v="0"/>
    <x v="1"/>
    <x v="0"/>
    <x v="0"/>
    <s v="DK1_Rural"/>
    <x v="1"/>
    <x v="1"/>
    <x v="88"/>
    <x v="0"/>
    <x v="7"/>
    <n v="-48.612840054214402"/>
    <n v="-17743.686619788299"/>
    <n v="-63877.271831237696"/>
  </r>
  <r>
    <x v="0"/>
    <x v="0"/>
    <x v="1"/>
    <x v="0"/>
    <x v="0"/>
    <s v="DK1_Rural"/>
    <x v="1"/>
    <x v="1"/>
    <x v="88"/>
    <x v="0"/>
    <x v="8"/>
    <n v="-48.612840054214402"/>
    <n v="-17743.686619788299"/>
    <n v="-63877.271831237696"/>
  </r>
  <r>
    <x v="0"/>
    <x v="0"/>
    <x v="1"/>
    <x v="0"/>
    <x v="0"/>
    <s v="DK1_Rural"/>
    <x v="1"/>
    <x v="1"/>
    <x v="88"/>
    <x v="0"/>
    <x v="9"/>
    <n v="-48.612840054214402"/>
    <n v="-17743.686619788299"/>
    <n v="-63877.271831237696"/>
  </r>
  <r>
    <x v="0"/>
    <x v="0"/>
    <x v="1"/>
    <x v="0"/>
    <x v="0"/>
    <s v="DK1_Rural"/>
    <x v="1"/>
    <x v="1"/>
    <x v="88"/>
    <x v="0"/>
    <x v="10"/>
    <n v="-48.612840054214402"/>
    <n v="-17743.686619788299"/>
    <n v="-63877.271831237696"/>
  </r>
  <r>
    <x v="0"/>
    <x v="0"/>
    <x v="1"/>
    <x v="0"/>
    <x v="0"/>
    <s v="DK1_Rural"/>
    <x v="1"/>
    <x v="1"/>
    <x v="88"/>
    <x v="0"/>
    <x v="11"/>
    <n v="-48.612840054214402"/>
    <n v="-17743.686619788299"/>
    <n v="-63877.271831237696"/>
  </r>
  <r>
    <x v="0"/>
    <x v="0"/>
    <x v="1"/>
    <x v="0"/>
    <x v="0"/>
    <s v="DK1_Rural"/>
    <x v="1"/>
    <x v="1"/>
    <x v="88"/>
    <x v="0"/>
    <x v="12"/>
    <n v="-48.612840054214402"/>
    <n v="-17743.686619788299"/>
    <n v="-63877.271831237696"/>
  </r>
  <r>
    <x v="0"/>
    <x v="0"/>
    <x v="1"/>
    <x v="0"/>
    <x v="0"/>
    <s v="DK1_Rural"/>
    <x v="1"/>
    <x v="1"/>
    <x v="88"/>
    <x v="0"/>
    <x v="13"/>
    <n v="-48.612840054214402"/>
    <n v="-17743.686619788299"/>
    <n v="-63877.271831237696"/>
  </r>
  <r>
    <x v="0"/>
    <x v="0"/>
    <x v="1"/>
    <x v="0"/>
    <x v="0"/>
    <s v="DK1_Rural"/>
    <x v="1"/>
    <x v="1"/>
    <x v="88"/>
    <x v="0"/>
    <x v="14"/>
    <n v="-48.612840054214402"/>
    <n v="-17743.686619788299"/>
    <n v="-63877.271831237696"/>
  </r>
  <r>
    <x v="0"/>
    <x v="0"/>
    <x v="1"/>
    <x v="0"/>
    <x v="0"/>
    <s v="DK1_Rural"/>
    <x v="1"/>
    <x v="1"/>
    <x v="88"/>
    <x v="0"/>
    <x v="15"/>
    <n v="-48.612840054214402"/>
    <n v="-17743.686619788299"/>
    <n v="-63877.271831237696"/>
  </r>
  <r>
    <x v="0"/>
    <x v="0"/>
    <x v="1"/>
    <x v="0"/>
    <x v="0"/>
    <s v="DK1_Rural"/>
    <x v="1"/>
    <x v="1"/>
    <x v="88"/>
    <x v="0"/>
    <x v="16"/>
    <n v="-48.612840054214402"/>
    <n v="-17743.686619788299"/>
    <n v="-63877.271831237696"/>
  </r>
  <r>
    <x v="0"/>
    <x v="0"/>
    <x v="1"/>
    <x v="0"/>
    <x v="0"/>
    <s v="DK1_Rural"/>
    <x v="1"/>
    <x v="1"/>
    <x v="88"/>
    <x v="0"/>
    <x v="17"/>
    <n v="-48.612840054214402"/>
    <n v="-17743.686619788299"/>
    <n v="-63877.271831237696"/>
  </r>
  <r>
    <x v="0"/>
    <x v="0"/>
    <x v="1"/>
    <x v="0"/>
    <x v="0"/>
    <s v="DK1_Rural"/>
    <x v="1"/>
    <x v="1"/>
    <x v="88"/>
    <x v="0"/>
    <x v="18"/>
    <n v="-48.612840054214402"/>
    <n v="-17743.686619788299"/>
    <n v="-63877.271831237696"/>
  </r>
  <r>
    <x v="0"/>
    <x v="0"/>
    <x v="1"/>
    <x v="0"/>
    <x v="0"/>
    <s v="DK1_Rural"/>
    <x v="1"/>
    <x v="1"/>
    <x v="88"/>
    <x v="0"/>
    <x v="19"/>
    <n v="-48.612840054214402"/>
    <n v="-17743.686619788299"/>
    <n v="-63877.271831237696"/>
  </r>
  <r>
    <x v="0"/>
    <x v="0"/>
    <x v="1"/>
    <x v="0"/>
    <x v="0"/>
    <s v="DK1_Rural"/>
    <x v="1"/>
    <x v="1"/>
    <x v="88"/>
    <x v="0"/>
    <x v="20"/>
    <n v="-48.612840054214402"/>
    <n v="-17743.686619788299"/>
    <n v="-63877.271831237696"/>
  </r>
  <r>
    <x v="0"/>
    <x v="0"/>
    <x v="1"/>
    <x v="0"/>
    <x v="0"/>
    <s v="DK1_Rural"/>
    <x v="1"/>
    <x v="1"/>
    <x v="88"/>
    <x v="0"/>
    <x v="21"/>
    <n v="-48.489663114264097"/>
    <n v="-17698.727036706401"/>
    <n v="-63715.417332142999"/>
  </r>
  <r>
    <x v="0"/>
    <x v="0"/>
    <x v="1"/>
    <x v="0"/>
    <x v="0"/>
    <s v="DK1_Rural"/>
    <x v="1"/>
    <x v="1"/>
    <x v="88"/>
    <x v="0"/>
    <x v="22"/>
    <n v="-48.183474536655901"/>
    <n v="-17586.968205879399"/>
    <n v="-63313.085541165798"/>
  </r>
  <r>
    <x v="0"/>
    <x v="0"/>
    <x v="1"/>
    <x v="0"/>
    <x v="0"/>
    <s v="DK1_Rural"/>
    <x v="1"/>
    <x v="1"/>
    <x v="88"/>
    <x v="0"/>
    <x v="23"/>
    <n v="-48.612840054214402"/>
    <n v="-17743.686619788299"/>
    <n v="-63877.271831237696"/>
  </r>
  <r>
    <x v="0"/>
    <x v="0"/>
    <x v="1"/>
    <x v="0"/>
    <x v="0"/>
    <s v="DK1_Rural"/>
    <x v="1"/>
    <x v="1"/>
    <x v="13"/>
    <x v="0"/>
    <x v="8"/>
    <n v="-0.5"/>
    <n v="-182.5"/>
    <n v="-657"/>
  </r>
  <r>
    <x v="0"/>
    <x v="0"/>
    <x v="1"/>
    <x v="0"/>
    <x v="0"/>
    <s v="DK1_Rural"/>
    <x v="1"/>
    <x v="1"/>
    <x v="13"/>
    <x v="0"/>
    <x v="9"/>
    <n v="-0.5"/>
    <n v="-182.5"/>
    <n v="-657"/>
  </r>
  <r>
    <x v="0"/>
    <x v="0"/>
    <x v="1"/>
    <x v="0"/>
    <x v="0"/>
    <s v="DK1_Rural"/>
    <x v="1"/>
    <x v="1"/>
    <x v="13"/>
    <x v="0"/>
    <x v="10"/>
    <n v="-0.5"/>
    <n v="-182.5"/>
    <n v="-657"/>
  </r>
  <r>
    <x v="0"/>
    <x v="0"/>
    <x v="1"/>
    <x v="0"/>
    <x v="0"/>
    <s v="DK1_Rural"/>
    <x v="1"/>
    <x v="1"/>
    <x v="13"/>
    <x v="0"/>
    <x v="11"/>
    <n v="-0.5"/>
    <n v="-182.5"/>
    <n v="-657"/>
  </r>
  <r>
    <x v="0"/>
    <x v="0"/>
    <x v="1"/>
    <x v="0"/>
    <x v="0"/>
    <s v="DK1_Rural"/>
    <x v="1"/>
    <x v="1"/>
    <x v="13"/>
    <x v="0"/>
    <x v="12"/>
    <n v="-0.5"/>
    <n v="-182.5"/>
    <n v="-657"/>
  </r>
  <r>
    <x v="0"/>
    <x v="0"/>
    <x v="1"/>
    <x v="0"/>
    <x v="0"/>
    <s v="DK1_Rural"/>
    <x v="1"/>
    <x v="1"/>
    <x v="13"/>
    <x v="0"/>
    <x v="15"/>
    <n v="-0.5"/>
    <n v="-182.5"/>
    <n v="-657"/>
  </r>
  <r>
    <x v="0"/>
    <x v="0"/>
    <x v="1"/>
    <x v="0"/>
    <x v="0"/>
    <s v="DK1_Rural"/>
    <x v="1"/>
    <x v="1"/>
    <x v="13"/>
    <x v="0"/>
    <x v="16"/>
    <n v="-0.5"/>
    <n v="-182.5"/>
    <n v="-657"/>
  </r>
  <r>
    <x v="0"/>
    <x v="0"/>
    <x v="1"/>
    <x v="0"/>
    <x v="0"/>
    <s v="DK1_Rural"/>
    <x v="1"/>
    <x v="1"/>
    <x v="13"/>
    <x v="0"/>
    <x v="17"/>
    <n v="-0.5"/>
    <n v="-182.5"/>
    <n v="-657"/>
  </r>
  <r>
    <x v="0"/>
    <x v="0"/>
    <x v="1"/>
    <x v="0"/>
    <x v="0"/>
    <s v="DK1_Rural"/>
    <x v="1"/>
    <x v="1"/>
    <x v="13"/>
    <x v="0"/>
    <x v="18"/>
    <n v="-0.5"/>
    <n v="-182.5"/>
    <n v="-657"/>
  </r>
  <r>
    <x v="0"/>
    <x v="0"/>
    <x v="1"/>
    <x v="0"/>
    <x v="0"/>
    <s v="DK1_Rural"/>
    <x v="1"/>
    <x v="1"/>
    <x v="13"/>
    <x v="0"/>
    <x v="19"/>
    <n v="-0.5"/>
    <n v="-182.5"/>
    <n v="-657"/>
  </r>
  <r>
    <x v="0"/>
    <x v="0"/>
    <x v="1"/>
    <x v="0"/>
    <x v="0"/>
    <s v="DK1_Rural"/>
    <x v="1"/>
    <x v="1"/>
    <x v="13"/>
    <x v="0"/>
    <x v="20"/>
    <n v="-0.5"/>
    <n v="-182.5"/>
    <n v="-657"/>
  </r>
  <r>
    <x v="0"/>
    <x v="0"/>
    <x v="1"/>
    <x v="0"/>
    <x v="0"/>
    <s v="DK1_Rural"/>
    <x v="1"/>
    <x v="1"/>
    <x v="14"/>
    <x v="0"/>
    <x v="7"/>
    <n v="-0.625428571428571"/>
    <n v="-228.28142857142899"/>
    <n v="-821.81314285714302"/>
  </r>
  <r>
    <x v="0"/>
    <x v="0"/>
    <x v="1"/>
    <x v="0"/>
    <x v="0"/>
    <s v="DK1_Rural"/>
    <x v="1"/>
    <x v="1"/>
    <x v="14"/>
    <x v="0"/>
    <x v="8"/>
    <n v="-0.625428571428571"/>
    <n v="-228.28142857142899"/>
    <n v="-821.81314285714302"/>
  </r>
  <r>
    <x v="0"/>
    <x v="0"/>
    <x v="1"/>
    <x v="0"/>
    <x v="0"/>
    <s v="DK1_Rural"/>
    <x v="1"/>
    <x v="1"/>
    <x v="14"/>
    <x v="0"/>
    <x v="9"/>
    <n v="-0.625428571428571"/>
    <n v="-228.28142857142899"/>
    <n v="-821.81314285714302"/>
  </r>
  <r>
    <x v="0"/>
    <x v="0"/>
    <x v="1"/>
    <x v="0"/>
    <x v="0"/>
    <s v="DK1_Rural"/>
    <x v="1"/>
    <x v="1"/>
    <x v="14"/>
    <x v="0"/>
    <x v="10"/>
    <n v="-0.625428571428571"/>
    <n v="-228.28142857142899"/>
    <n v="-821.81314285714302"/>
  </r>
  <r>
    <x v="0"/>
    <x v="0"/>
    <x v="1"/>
    <x v="0"/>
    <x v="0"/>
    <s v="DK1_Rural"/>
    <x v="1"/>
    <x v="1"/>
    <x v="14"/>
    <x v="0"/>
    <x v="11"/>
    <n v="-0.625428571428571"/>
    <n v="-228.28142857142899"/>
    <n v="-821.81314285714302"/>
  </r>
  <r>
    <x v="0"/>
    <x v="0"/>
    <x v="1"/>
    <x v="0"/>
    <x v="0"/>
    <s v="DK1_Rural"/>
    <x v="1"/>
    <x v="1"/>
    <x v="14"/>
    <x v="0"/>
    <x v="12"/>
    <n v="-0.625428571428571"/>
    <n v="-228.28142857142899"/>
    <n v="-821.81314285714302"/>
  </r>
  <r>
    <x v="0"/>
    <x v="0"/>
    <x v="1"/>
    <x v="0"/>
    <x v="0"/>
    <s v="DK1_Rural"/>
    <x v="1"/>
    <x v="1"/>
    <x v="14"/>
    <x v="0"/>
    <x v="14"/>
    <n v="-0.21416847284600801"/>
    <n v="-78.171492588792901"/>
    <n v="-281.41737331965402"/>
  </r>
  <r>
    <x v="0"/>
    <x v="0"/>
    <x v="1"/>
    <x v="0"/>
    <x v="0"/>
    <s v="DK1_Rural"/>
    <x v="1"/>
    <x v="1"/>
    <x v="14"/>
    <x v="0"/>
    <x v="15"/>
    <n v="-0.625428571428571"/>
    <n v="-228.28142857142899"/>
    <n v="-821.81314285714302"/>
  </r>
  <r>
    <x v="0"/>
    <x v="0"/>
    <x v="1"/>
    <x v="0"/>
    <x v="0"/>
    <s v="DK1_Rural"/>
    <x v="1"/>
    <x v="1"/>
    <x v="14"/>
    <x v="0"/>
    <x v="16"/>
    <n v="-0.625428571428571"/>
    <n v="-228.28142857142899"/>
    <n v="-821.81314285714302"/>
  </r>
  <r>
    <x v="0"/>
    <x v="0"/>
    <x v="1"/>
    <x v="0"/>
    <x v="0"/>
    <s v="DK1_Rural"/>
    <x v="1"/>
    <x v="1"/>
    <x v="14"/>
    <x v="0"/>
    <x v="17"/>
    <n v="-0.625428571428571"/>
    <n v="-228.28142857142899"/>
    <n v="-821.81314285714302"/>
  </r>
  <r>
    <x v="0"/>
    <x v="0"/>
    <x v="1"/>
    <x v="0"/>
    <x v="0"/>
    <s v="DK1_Rural"/>
    <x v="1"/>
    <x v="1"/>
    <x v="14"/>
    <x v="0"/>
    <x v="18"/>
    <n v="-0.625428571428571"/>
    <n v="-228.28142857142899"/>
    <n v="-821.81314285714302"/>
  </r>
  <r>
    <x v="0"/>
    <x v="0"/>
    <x v="1"/>
    <x v="0"/>
    <x v="0"/>
    <s v="DK1_Rural"/>
    <x v="1"/>
    <x v="1"/>
    <x v="14"/>
    <x v="0"/>
    <x v="19"/>
    <n v="-0.625428571428571"/>
    <n v="-228.28142857142899"/>
    <n v="-821.81314285714302"/>
  </r>
  <r>
    <x v="0"/>
    <x v="0"/>
    <x v="1"/>
    <x v="0"/>
    <x v="0"/>
    <s v="DK1_Rural"/>
    <x v="1"/>
    <x v="1"/>
    <x v="14"/>
    <x v="0"/>
    <x v="20"/>
    <n v="-0.625428571428571"/>
    <n v="-228.28142857142899"/>
    <n v="-821.81314285714302"/>
  </r>
  <r>
    <x v="0"/>
    <x v="0"/>
    <x v="1"/>
    <x v="0"/>
    <x v="0"/>
    <s v="DK1_Rural"/>
    <x v="1"/>
    <x v="1"/>
    <x v="15"/>
    <x v="0"/>
    <x v="7"/>
    <n v="-0.51200000000000001"/>
    <n v="-186.88"/>
    <n v="-672.76800000000003"/>
  </r>
  <r>
    <x v="0"/>
    <x v="0"/>
    <x v="1"/>
    <x v="0"/>
    <x v="0"/>
    <s v="DK1_Rural"/>
    <x v="1"/>
    <x v="1"/>
    <x v="15"/>
    <x v="0"/>
    <x v="8"/>
    <n v="-0.51200000000000001"/>
    <n v="-186.88"/>
    <n v="-672.76800000000003"/>
  </r>
  <r>
    <x v="0"/>
    <x v="0"/>
    <x v="1"/>
    <x v="0"/>
    <x v="0"/>
    <s v="DK1_Rural"/>
    <x v="1"/>
    <x v="1"/>
    <x v="15"/>
    <x v="0"/>
    <x v="9"/>
    <n v="-0.51200000000000001"/>
    <n v="-186.88"/>
    <n v="-672.76800000000003"/>
  </r>
  <r>
    <x v="0"/>
    <x v="0"/>
    <x v="1"/>
    <x v="0"/>
    <x v="0"/>
    <s v="DK1_Rural"/>
    <x v="1"/>
    <x v="1"/>
    <x v="15"/>
    <x v="0"/>
    <x v="10"/>
    <n v="-0.51200000000000001"/>
    <n v="-186.88"/>
    <n v="-672.76800000000003"/>
  </r>
  <r>
    <x v="0"/>
    <x v="0"/>
    <x v="1"/>
    <x v="0"/>
    <x v="0"/>
    <s v="DK1_Rural"/>
    <x v="1"/>
    <x v="1"/>
    <x v="15"/>
    <x v="0"/>
    <x v="11"/>
    <n v="-0.51200000000000001"/>
    <n v="-186.88"/>
    <n v="-672.76800000000003"/>
  </r>
  <r>
    <x v="0"/>
    <x v="0"/>
    <x v="1"/>
    <x v="0"/>
    <x v="0"/>
    <s v="DK1_Rural"/>
    <x v="1"/>
    <x v="1"/>
    <x v="15"/>
    <x v="0"/>
    <x v="12"/>
    <n v="-0.51200000000000001"/>
    <n v="-186.88"/>
    <n v="-672.76800000000003"/>
  </r>
  <r>
    <x v="0"/>
    <x v="0"/>
    <x v="1"/>
    <x v="0"/>
    <x v="0"/>
    <s v="DK1_Rural"/>
    <x v="1"/>
    <x v="1"/>
    <x v="15"/>
    <x v="0"/>
    <x v="14"/>
    <n v="-0.51200000000000001"/>
    <n v="-186.88"/>
    <n v="-672.76800000000003"/>
  </r>
  <r>
    <x v="0"/>
    <x v="0"/>
    <x v="1"/>
    <x v="0"/>
    <x v="0"/>
    <s v="DK1_Rural"/>
    <x v="1"/>
    <x v="1"/>
    <x v="15"/>
    <x v="0"/>
    <x v="15"/>
    <n v="-0.51200000000000001"/>
    <n v="-186.88"/>
    <n v="-672.76800000000003"/>
  </r>
  <r>
    <x v="0"/>
    <x v="0"/>
    <x v="1"/>
    <x v="0"/>
    <x v="0"/>
    <s v="DK1_Rural"/>
    <x v="1"/>
    <x v="1"/>
    <x v="15"/>
    <x v="0"/>
    <x v="16"/>
    <n v="-0.51200000000000001"/>
    <n v="-186.88"/>
    <n v="-672.76800000000003"/>
  </r>
  <r>
    <x v="0"/>
    <x v="0"/>
    <x v="1"/>
    <x v="0"/>
    <x v="0"/>
    <s v="DK1_Rural"/>
    <x v="1"/>
    <x v="1"/>
    <x v="15"/>
    <x v="0"/>
    <x v="17"/>
    <n v="-0.51200000000000001"/>
    <n v="-186.88"/>
    <n v="-672.76800000000003"/>
  </r>
  <r>
    <x v="0"/>
    <x v="0"/>
    <x v="1"/>
    <x v="0"/>
    <x v="0"/>
    <s v="DK1_Rural"/>
    <x v="1"/>
    <x v="1"/>
    <x v="15"/>
    <x v="0"/>
    <x v="18"/>
    <n v="-0.51200000000000001"/>
    <n v="-186.88"/>
    <n v="-672.76800000000003"/>
  </r>
  <r>
    <x v="0"/>
    <x v="0"/>
    <x v="1"/>
    <x v="0"/>
    <x v="0"/>
    <s v="DK1_Rural"/>
    <x v="1"/>
    <x v="1"/>
    <x v="15"/>
    <x v="0"/>
    <x v="19"/>
    <n v="-0.51200000000000001"/>
    <n v="-186.88"/>
    <n v="-672.76800000000003"/>
  </r>
  <r>
    <x v="0"/>
    <x v="0"/>
    <x v="1"/>
    <x v="0"/>
    <x v="0"/>
    <s v="DK1_Rural"/>
    <x v="1"/>
    <x v="1"/>
    <x v="15"/>
    <x v="0"/>
    <x v="20"/>
    <n v="-0.51200000000000001"/>
    <n v="-186.88"/>
    <n v="-672.76800000000003"/>
  </r>
  <r>
    <x v="0"/>
    <x v="0"/>
    <x v="1"/>
    <x v="0"/>
    <x v="0"/>
    <s v="DK1_Rural"/>
    <x v="1"/>
    <x v="1"/>
    <x v="16"/>
    <x v="0"/>
    <x v="7"/>
    <n v="-0.30232558139534899"/>
    <n v="-110.348837209302"/>
    <n v="-397.25581395348797"/>
  </r>
  <r>
    <x v="0"/>
    <x v="0"/>
    <x v="1"/>
    <x v="0"/>
    <x v="0"/>
    <s v="DK1_Rural"/>
    <x v="1"/>
    <x v="1"/>
    <x v="16"/>
    <x v="0"/>
    <x v="8"/>
    <n v="-0.30232558139534899"/>
    <n v="-110.348837209302"/>
    <n v="-397.25581395348797"/>
  </r>
  <r>
    <x v="0"/>
    <x v="0"/>
    <x v="1"/>
    <x v="0"/>
    <x v="0"/>
    <s v="DK1_Rural"/>
    <x v="1"/>
    <x v="1"/>
    <x v="16"/>
    <x v="0"/>
    <x v="9"/>
    <n v="-0.30232558139534899"/>
    <n v="-110.348837209302"/>
    <n v="-397.25581395348797"/>
  </r>
  <r>
    <x v="0"/>
    <x v="0"/>
    <x v="1"/>
    <x v="0"/>
    <x v="0"/>
    <s v="DK1_Rural"/>
    <x v="1"/>
    <x v="1"/>
    <x v="16"/>
    <x v="0"/>
    <x v="10"/>
    <n v="-0.30232558139534899"/>
    <n v="-110.348837209302"/>
    <n v="-397.25581395348797"/>
  </r>
  <r>
    <x v="0"/>
    <x v="0"/>
    <x v="1"/>
    <x v="0"/>
    <x v="0"/>
    <s v="DK1_Rural"/>
    <x v="1"/>
    <x v="1"/>
    <x v="16"/>
    <x v="0"/>
    <x v="11"/>
    <n v="-0.30232558139534899"/>
    <n v="-110.348837209302"/>
    <n v="-397.25581395348797"/>
  </r>
  <r>
    <x v="0"/>
    <x v="0"/>
    <x v="1"/>
    <x v="0"/>
    <x v="0"/>
    <s v="DK1_Rural"/>
    <x v="1"/>
    <x v="1"/>
    <x v="16"/>
    <x v="0"/>
    <x v="12"/>
    <n v="-0.30232558139534899"/>
    <n v="-110.348837209302"/>
    <n v="-397.25581395348797"/>
  </r>
  <r>
    <x v="0"/>
    <x v="0"/>
    <x v="1"/>
    <x v="0"/>
    <x v="0"/>
    <s v="DK1_Rural"/>
    <x v="1"/>
    <x v="1"/>
    <x v="16"/>
    <x v="0"/>
    <x v="13"/>
    <n v="-0.30232558139534899"/>
    <n v="-110.348837209302"/>
    <n v="-397.25581395348797"/>
  </r>
  <r>
    <x v="0"/>
    <x v="0"/>
    <x v="1"/>
    <x v="0"/>
    <x v="0"/>
    <s v="DK1_Rural"/>
    <x v="1"/>
    <x v="1"/>
    <x v="16"/>
    <x v="0"/>
    <x v="14"/>
    <n v="-0.30232558139534899"/>
    <n v="-110.348837209302"/>
    <n v="-397.25581395348797"/>
  </r>
  <r>
    <x v="0"/>
    <x v="0"/>
    <x v="1"/>
    <x v="0"/>
    <x v="0"/>
    <s v="DK1_Rural"/>
    <x v="1"/>
    <x v="1"/>
    <x v="16"/>
    <x v="0"/>
    <x v="15"/>
    <n v="-0.30232558139534899"/>
    <n v="-110.348837209302"/>
    <n v="-397.25581395348797"/>
  </r>
  <r>
    <x v="0"/>
    <x v="0"/>
    <x v="1"/>
    <x v="0"/>
    <x v="0"/>
    <s v="DK1_Rural"/>
    <x v="1"/>
    <x v="1"/>
    <x v="16"/>
    <x v="0"/>
    <x v="16"/>
    <n v="-0.30232558139534899"/>
    <n v="-110.348837209302"/>
    <n v="-397.25581395348797"/>
  </r>
  <r>
    <x v="0"/>
    <x v="0"/>
    <x v="1"/>
    <x v="0"/>
    <x v="0"/>
    <s v="DK1_Rural"/>
    <x v="1"/>
    <x v="1"/>
    <x v="16"/>
    <x v="0"/>
    <x v="17"/>
    <n v="-0.30232558139534899"/>
    <n v="-110.348837209302"/>
    <n v="-397.25581395348797"/>
  </r>
  <r>
    <x v="0"/>
    <x v="0"/>
    <x v="1"/>
    <x v="0"/>
    <x v="0"/>
    <s v="DK1_Rural"/>
    <x v="1"/>
    <x v="1"/>
    <x v="16"/>
    <x v="0"/>
    <x v="18"/>
    <n v="-0.30232558139534899"/>
    <n v="-110.348837209302"/>
    <n v="-397.25581395348797"/>
  </r>
  <r>
    <x v="0"/>
    <x v="0"/>
    <x v="1"/>
    <x v="0"/>
    <x v="0"/>
    <s v="DK1_Rural"/>
    <x v="1"/>
    <x v="1"/>
    <x v="16"/>
    <x v="0"/>
    <x v="19"/>
    <n v="-0.30232558139534899"/>
    <n v="-110.348837209302"/>
    <n v="-397.25581395348797"/>
  </r>
  <r>
    <x v="0"/>
    <x v="0"/>
    <x v="1"/>
    <x v="0"/>
    <x v="0"/>
    <s v="DK1_Rural"/>
    <x v="1"/>
    <x v="1"/>
    <x v="16"/>
    <x v="0"/>
    <x v="20"/>
    <n v="-0.30232558139534899"/>
    <n v="-110.348837209302"/>
    <n v="-397.25581395348797"/>
  </r>
  <r>
    <x v="0"/>
    <x v="0"/>
    <x v="1"/>
    <x v="0"/>
    <x v="0"/>
    <s v="DK1_Rural"/>
    <x v="1"/>
    <x v="1"/>
    <x v="17"/>
    <x v="0"/>
    <x v="7"/>
    <n v="-0.12"/>
    <n v="-43.8"/>
    <n v="-157.68"/>
  </r>
  <r>
    <x v="0"/>
    <x v="0"/>
    <x v="1"/>
    <x v="0"/>
    <x v="0"/>
    <s v="DK1_Rural"/>
    <x v="1"/>
    <x v="1"/>
    <x v="17"/>
    <x v="0"/>
    <x v="8"/>
    <n v="-0.12"/>
    <n v="-43.8"/>
    <n v="-157.68"/>
  </r>
  <r>
    <x v="0"/>
    <x v="0"/>
    <x v="1"/>
    <x v="0"/>
    <x v="0"/>
    <s v="DK1_Rural"/>
    <x v="1"/>
    <x v="1"/>
    <x v="17"/>
    <x v="0"/>
    <x v="9"/>
    <n v="-0.12"/>
    <n v="-43.8"/>
    <n v="-157.68"/>
  </r>
  <r>
    <x v="0"/>
    <x v="0"/>
    <x v="1"/>
    <x v="0"/>
    <x v="0"/>
    <s v="DK1_Rural"/>
    <x v="1"/>
    <x v="1"/>
    <x v="17"/>
    <x v="0"/>
    <x v="10"/>
    <n v="-0.12"/>
    <n v="-43.8"/>
    <n v="-157.68"/>
  </r>
  <r>
    <x v="0"/>
    <x v="0"/>
    <x v="1"/>
    <x v="0"/>
    <x v="0"/>
    <s v="DK1_Rural"/>
    <x v="1"/>
    <x v="1"/>
    <x v="17"/>
    <x v="0"/>
    <x v="11"/>
    <n v="-0.12"/>
    <n v="-43.8"/>
    <n v="-157.68"/>
  </r>
  <r>
    <x v="0"/>
    <x v="0"/>
    <x v="1"/>
    <x v="0"/>
    <x v="0"/>
    <s v="DK1_Rural"/>
    <x v="1"/>
    <x v="1"/>
    <x v="17"/>
    <x v="0"/>
    <x v="12"/>
    <n v="-0.12"/>
    <n v="-43.8"/>
    <n v="-157.68"/>
  </r>
  <r>
    <x v="0"/>
    <x v="0"/>
    <x v="1"/>
    <x v="0"/>
    <x v="0"/>
    <s v="DK1_Rural"/>
    <x v="1"/>
    <x v="1"/>
    <x v="17"/>
    <x v="0"/>
    <x v="13"/>
    <n v="-0.12"/>
    <n v="-43.8"/>
    <n v="-157.68"/>
  </r>
  <r>
    <x v="0"/>
    <x v="0"/>
    <x v="1"/>
    <x v="0"/>
    <x v="0"/>
    <s v="DK1_Rural"/>
    <x v="1"/>
    <x v="1"/>
    <x v="17"/>
    <x v="0"/>
    <x v="14"/>
    <n v="-0.12"/>
    <n v="-43.8"/>
    <n v="-157.68"/>
  </r>
  <r>
    <x v="0"/>
    <x v="0"/>
    <x v="1"/>
    <x v="0"/>
    <x v="0"/>
    <s v="DK1_Rural"/>
    <x v="1"/>
    <x v="1"/>
    <x v="17"/>
    <x v="0"/>
    <x v="15"/>
    <n v="-0.12"/>
    <n v="-43.8"/>
    <n v="-157.68"/>
  </r>
  <r>
    <x v="0"/>
    <x v="0"/>
    <x v="1"/>
    <x v="0"/>
    <x v="0"/>
    <s v="DK1_Rural"/>
    <x v="1"/>
    <x v="1"/>
    <x v="17"/>
    <x v="0"/>
    <x v="16"/>
    <n v="-0.12"/>
    <n v="-43.8"/>
    <n v="-157.68"/>
  </r>
  <r>
    <x v="0"/>
    <x v="0"/>
    <x v="1"/>
    <x v="0"/>
    <x v="0"/>
    <s v="DK1_Rural"/>
    <x v="1"/>
    <x v="1"/>
    <x v="17"/>
    <x v="0"/>
    <x v="17"/>
    <n v="-0.12"/>
    <n v="-43.8"/>
    <n v="-157.68"/>
  </r>
  <r>
    <x v="0"/>
    <x v="0"/>
    <x v="1"/>
    <x v="0"/>
    <x v="0"/>
    <s v="DK1_Rural"/>
    <x v="1"/>
    <x v="1"/>
    <x v="17"/>
    <x v="0"/>
    <x v="18"/>
    <n v="-0.12"/>
    <n v="-43.8"/>
    <n v="-157.68"/>
  </r>
  <r>
    <x v="0"/>
    <x v="0"/>
    <x v="1"/>
    <x v="0"/>
    <x v="0"/>
    <s v="DK1_Rural"/>
    <x v="1"/>
    <x v="1"/>
    <x v="17"/>
    <x v="0"/>
    <x v="19"/>
    <n v="-0.12"/>
    <n v="-43.8"/>
    <n v="-157.68"/>
  </r>
  <r>
    <x v="0"/>
    <x v="0"/>
    <x v="1"/>
    <x v="0"/>
    <x v="0"/>
    <s v="DK1_Rural"/>
    <x v="1"/>
    <x v="1"/>
    <x v="17"/>
    <x v="0"/>
    <x v="20"/>
    <n v="-0.12"/>
    <n v="-43.8"/>
    <n v="-157.68"/>
  </r>
  <r>
    <x v="0"/>
    <x v="0"/>
    <x v="1"/>
    <x v="0"/>
    <x v="0"/>
    <s v="DK1_Rural"/>
    <x v="1"/>
    <x v="1"/>
    <x v="18"/>
    <x v="0"/>
    <x v="7"/>
    <n v="-0.78260869565217395"/>
    <n v="-285.65217391304401"/>
    <n v="-1028.3478260869599"/>
  </r>
  <r>
    <x v="0"/>
    <x v="0"/>
    <x v="1"/>
    <x v="0"/>
    <x v="0"/>
    <s v="DK1_Rural"/>
    <x v="1"/>
    <x v="1"/>
    <x v="18"/>
    <x v="0"/>
    <x v="8"/>
    <n v="-0.78260869565217395"/>
    <n v="-285.65217391304401"/>
    <n v="-1028.3478260869599"/>
  </r>
  <r>
    <x v="0"/>
    <x v="0"/>
    <x v="1"/>
    <x v="0"/>
    <x v="0"/>
    <s v="DK1_Rural"/>
    <x v="1"/>
    <x v="1"/>
    <x v="18"/>
    <x v="0"/>
    <x v="9"/>
    <n v="-0.78260869565217395"/>
    <n v="-285.65217391304401"/>
    <n v="-1028.3478260869599"/>
  </r>
  <r>
    <x v="0"/>
    <x v="0"/>
    <x v="1"/>
    <x v="0"/>
    <x v="0"/>
    <s v="DK1_Rural"/>
    <x v="1"/>
    <x v="1"/>
    <x v="18"/>
    <x v="0"/>
    <x v="10"/>
    <n v="-0.78260869565217395"/>
    <n v="-285.65217391304401"/>
    <n v="-1028.3478260869599"/>
  </r>
  <r>
    <x v="0"/>
    <x v="0"/>
    <x v="1"/>
    <x v="0"/>
    <x v="0"/>
    <s v="DK1_Rural"/>
    <x v="1"/>
    <x v="1"/>
    <x v="18"/>
    <x v="0"/>
    <x v="11"/>
    <n v="-0.78260869565217395"/>
    <n v="-285.65217391304401"/>
    <n v="-1028.3478260869599"/>
  </r>
  <r>
    <x v="0"/>
    <x v="0"/>
    <x v="1"/>
    <x v="0"/>
    <x v="0"/>
    <s v="DK1_Rural"/>
    <x v="1"/>
    <x v="1"/>
    <x v="18"/>
    <x v="0"/>
    <x v="12"/>
    <n v="-0.78260869565217395"/>
    <n v="-285.65217391304401"/>
    <n v="-1028.3478260869599"/>
  </r>
  <r>
    <x v="0"/>
    <x v="0"/>
    <x v="1"/>
    <x v="0"/>
    <x v="0"/>
    <s v="DK1_Rural"/>
    <x v="1"/>
    <x v="1"/>
    <x v="18"/>
    <x v="0"/>
    <x v="13"/>
    <n v="-0.78260869565217395"/>
    <n v="-285.65217391304401"/>
    <n v="-1028.3478260869599"/>
  </r>
  <r>
    <x v="0"/>
    <x v="0"/>
    <x v="1"/>
    <x v="0"/>
    <x v="0"/>
    <s v="DK1_Rural"/>
    <x v="1"/>
    <x v="1"/>
    <x v="18"/>
    <x v="0"/>
    <x v="14"/>
    <n v="-0.78260869565217395"/>
    <n v="-285.65217391304401"/>
    <n v="-1028.3478260869599"/>
  </r>
  <r>
    <x v="0"/>
    <x v="0"/>
    <x v="1"/>
    <x v="0"/>
    <x v="0"/>
    <s v="DK1_Rural"/>
    <x v="1"/>
    <x v="1"/>
    <x v="18"/>
    <x v="0"/>
    <x v="15"/>
    <n v="-0.78260869565217395"/>
    <n v="-285.65217391304401"/>
    <n v="-1028.3478260869599"/>
  </r>
  <r>
    <x v="0"/>
    <x v="0"/>
    <x v="1"/>
    <x v="0"/>
    <x v="0"/>
    <s v="DK1_Rural"/>
    <x v="1"/>
    <x v="1"/>
    <x v="18"/>
    <x v="0"/>
    <x v="16"/>
    <n v="-0.78260869565217395"/>
    <n v="-285.65217391304401"/>
    <n v="-1028.3478260869599"/>
  </r>
  <r>
    <x v="0"/>
    <x v="0"/>
    <x v="1"/>
    <x v="0"/>
    <x v="0"/>
    <s v="DK1_Rural"/>
    <x v="1"/>
    <x v="1"/>
    <x v="18"/>
    <x v="0"/>
    <x v="17"/>
    <n v="-0.78260869565217395"/>
    <n v="-285.65217391304401"/>
    <n v="-1028.3478260869599"/>
  </r>
  <r>
    <x v="0"/>
    <x v="0"/>
    <x v="1"/>
    <x v="0"/>
    <x v="0"/>
    <s v="DK1_Rural"/>
    <x v="1"/>
    <x v="1"/>
    <x v="18"/>
    <x v="0"/>
    <x v="18"/>
    <n v="-0.78260869565217395"/>
    <n v="-285.65217391304401"/>
    <n v="-1028.3478260869599"/>
  </r>
  <r>
    <x v="0"/>
    <x v="0"/>
    <x v="1"/>
    <x v="0"/>
    <x v="0"/>
    <s v="DK1_Rural"/>
    <x v="1"/>
    <x v="1"/>
    <x v="18"/>
    <x v="0"/>
    <x v="19"/>
    <n v="-0.78260869565217395"/>
    <n v="-285.65217391304401"/>
    <n v="-1028.3478260869599"/>
  </r>
  <r>
    <x v="0"/>
    <x v="0"/>
    <x v="1"/>
    <x v="0"/>
    <x v="0"/>
    <s v="DK1_Rural"/>
    <x v="1"/>
    <x v="1"/>
    <x v="18"/>
    <x v="0"/>
    <x v="20"/>
    <n v="-0.78260869565217395"/>
    <n v="-285.65217391304401"/>
    <n v="-1028.3478260869599"/>
  </r>
  <r>
    <x v="0"/>
    <x v="0"/>
    <x v="1"/>
    <x v="0"/>
    <x v="0"/>
    <s v="DK1_Rural"/>
    <x v="1"/>
    <x v="1"/>
    <x v="19"/>
    <x v="0"/>
    <x v="7"/>
    <n v="-0.20212765957446799"/>
    <n v="-73.776595744680805"/>
    <n v="-265.595744680851"/>
  </r>
  <r>
    <x v="0"/>
    <x v="0"/>
    <x v="1"/>
    <x v="0"/>
    <x v="0"/>
    <s v="DK1_Rural"/>
    <x v="1"/>
    <x v="1"/>
    <x v="19"/>
    <x v="0"/>
    <x v="8"/>
    <n v="-0.20212765957446799"/>
    <n v="-73.776595744680805"/>
    <n v="-265.595744680851"/>
  </r>
  <r>
    <x v="0"/>
    <x v="0"/>
    <x v="1"/>
    <x v="0"/>
    <x v="0"/>
    <s v="DK1_Rural"/>
    <x v="1"/>
    <x v="1"/>
    <x v="19"/>
    <x v="0"/>
    <x v="9"/>
    <n v="-0.20212765957446799"/>
    <n v="-73.776595744680805"/>
    <n v="-265.595744680851"/>
  </r>
  <r>
    <x v="0"/>
    <x v="0"/>
    <x v="1"/>
    <x v="0"/>
    <x v="0"/>
    <s v="DK1_Rural"/>
    <x v="1"/>
    <x v="1"/>
    <x v="19"/>
    <x v="0"/>
    <x v="10"/>
    <n v="-0.20212765957446799"/>
    <n v="-73.776595744680805"/>
    <n v="-265.595744680851"/>
  </r>
  <r>
    <x v="0"/>
    <x v="0"/>
    <x v="1"/>
    <x v="0"/>
    <x v="0"/>
    <s v="DK1_Rural"/>
    <x v="1"/>
    <x v="1"/>
    <x v="19"/>
    <x v="0"/>
    <x v="11"/>
    <n v="-0.20212765957446799"/>
    <n v="-73.776595744680805"/>
    <n v="-265.595744680851"/>
  </r>
  <r>
    <x v="0"/>
    <x v="0"/>
    <x v="1"/>
    <x v="0"/>
    <x v="0"/>
    <s v="DK1_Rural"/>
    <x v="1"/>
    <x v="1"/>
    <x v="19"/>
    <x v="0"/>
    <x v="12"/>
    <n v="-0.20212765957446799"/>
    <n v="-73.776595744680805"/>
    <n v="-265.595744680851"/>
  </r>
  <r>
    <x v="0"/>
    <x v="0"/>
    <x v="1"/>
    <x v="0"/>
    <x v="0"/>
    <s v="DK1_Rural"/>
    <x v="1"/>
    <x v="1"/>
    <x v="19"/>
    <x v="0"/>
    <x v="13"/>
    <n v="-0.20212765957446799"/>
    <n v="-73.776595744680805"/>
    <n v="-265.595744680851"/>
  </r>
  <r>
    <x v="0"/>
    <x v="0"/>
    <x v="1"/>
    <x v="0"/>
    <x v="0"/>
    <s v="DK1_Rural"/>
    <x v="1"/>
    <x v="1"/>
    <x v="19"/>
    <x v="0"/>
    <x v="14"/>
    <n v="-0.20212765957446799"/>
    <n v="-73.776595744680805"/>
    <n v="-265.595744680851"/>
  </r>
  <r>
    <x v="0"/>
    <x v="0"/>
    <x v="1"/>
    <x v="0"/>
    <x v="0"/>
    <s v="DK1_Rural"/>
    <x v="1"/>
    <x v="1"/>
    <x v="19"/>
    <x v="0"/>
    <x v="15"/>
    <n v="-0.20212765957446799"/>
    <n v="-73.776595744680805"/>
    <n v="-265.595744680851"/>
  </r>
  <r>
    <x v="0"/>
    <x v="0"/>
    <x v="1"/>
    <x v="0"/>
    <x v="0"/>
    <s v="DK1_Rural"/>
    <x v="1"/>
    <x v="1"/>
    <x v="19"/>
    <x v="0"/>
    <x v="16"/>
    <n v="-0.20212765957446799"/>
    <n v="-73.776595744680805"/>
    <n v="-265.595744680851"/>
  </r>
  <r>
    <x v="0"/>
    <x v="0"/>
    <x v="1"/>
    <x v="0"/>
    <x v="0"/>
    <s v="DK1_Rural"/>
    <x v="1"/>
    <x v="1"/>
    <x v="19"/>
    <x v="0"/>
    <x v="17"/>
    <n v="-0.20212765957446799"/>
    <n v="-73.776595744680805"/>
    <n v="-265.595744680851"/>
  </r>
  <r>
    <x v="0"/>
    <x v="0"/>
    <x v="1"/>
    <x v="0"/>
    <x v="0"/>
    <s v="DK1_Rural"/>
    <x v="1"/>
    <x v="1"/>
    <x v="19"/>
    <x v="0"/>
    <x v="18"/>
    <n v="-0.20212765957446799"/>
    <n v="-73.776595744680805"/>
    <n v="-265.595744680851"/>
  </r>
  <r>
    <x v="0"/>
    <x v="0"/>
    <x v="1"/>
    <x v="0"/>
    <x v="0"/>
    <s v="DK1_Rural"/>
    <x v="1"/>
    <x v="1"/>
    <x v="19"/>
    <x v="0"/>
    <x v="19"/>
    <n v="-0.20212765957446799"/>
    <n v="-73.776595744680805"/>
    <n v="-265.595744680851"/>
  </r>
  <r>
    <x v="0"/>
    <x v="0"/>
    <x v="1"/>
    <x v="0"/>
    <x v="0"/>
    <s v="DK1_Rural"/>
    <x v="1"/>
    <x v="1"/>
    <x v="19"/>
    <x v="0"/>
    <x v="20"/>
    <n v="-0.20212765957446799"/>
    <n v="-73.776595744680805"/>
    <n v="-265.595744680851"/>
  </r>
  <r>
    <x v="0"/>
    <x v="0"/>
    <x v="1"/>
    <x v="0"/>
    <x v="0"/>
    <s v="DK1_Rural"/>
    <x v="1"/>
    <x v="1"/>
    <x v="20"/>
    <x v="0"/>
    <x v="7"/>
    <n v="-0.1"/>
    <n v="-36.5"/>
    <n v="-131.4"/>
  </r>
  <r>
    <x v="0"/>
    <x v="0"/>
    <x v="1"/>
    <x v="0"/>
    <x v="0"/>
    <s v="DK1_Rural"/>
    <x v="1"/>
    <x v="1"/>
    <x v="20"/>
    <x v="0"/>
    <x v="8"/>
    <n v="-0.1"/>
    <n v="-36.5"/>
    <n v="-131.4"/>
  </r>
  <r>
    <x v="0"/>
    <x v="0"/>
    <x v="1"/>
    <x v="0"/>
    <x v="0"/>
    <s v="DK1_Rural"/>
    <x v="1"/>
    <x v="1"/>
    <x v="20"/>
    <x v="0"/>
    <x v="9"/>
    <n v="-0.1"/>
    <n v="-36.5"/>
    <n v="-131.4"/>
  </r>
  <r>
    <x v="0"/>
    <x v="0"/>
    <x v="1"/>
    <x v="0"/>
    <x v="0"/>
    <s v="DK1_Rural"/>
    <x v="1"/>
    <x v="1"/>
    <x v="20"/>
    <x v="0"/>
    <x v="10"/>
    <n v="-0.1"/>
    <n v="-36.5"/>
    <n v="-131.4"/>
  </r>
  <r>
    <x v="0"/>
    <x v="0"/>
    <x v="1"/>
    <x v="0"/>
    <x v="0"/>
    <s v="DK1_Rural"/>
    <x v="1"/>
    <x v="1"/>
    <x v="20"/>
    <x v="0"/>
    <x v="11"/>
    <n v="-0.1"/>
    <n v="-36.5"/>
    <n v="-131.4"/>
  </r>
  <r>
    <x v="0"/>
    <x v="0"/>
    <x v="1"/>
    <x v="0"/>
    <x v="0"/>
    <s v="DK1_Rural"/>
    <x v="1"/>
    <x v="1"/>
    <x v="20"/>
    <x v="0"/>
    <x v="12"/>
    <n v="-0.1"/>
    <n v="-36.5"/>
    <n v="-131.4"/>
  </r>
  <r>
    <x v="0"/>
    <x v="0"/>
    <x v="1"/>
    <x v="0"/>
    <x v="0"/>
    <s v="DK1_Rural"/>
    <x v="1"/>
    <x v="1"/>
    <x v="20"/>
    <x v="0"/>
    <x v="13"/>
    <n v="-0.1"/>
    <n v="-36.5"/>
    <n v="-131.4"/>
  </r>
  <r>
    <x v="0"/>
    <x v="0"/>
    <x v="1"/>
    <x v="0"/>
    <x v="0"/>
    <s v="DK1_Rural"/>
    <x v="1"/>
    <x v="1"/>
    <x v="20"/>
    <x v="0"/>
    <x v="14"/>
    <n v="-0.1"/>
    <n v="-36.5"/>
    <n v="-131.4"/>
  </r>
  <r>
    <x v="0"/>
    <x v="0"/>
    <x v="1"/>
    <x v="0"/>
    <x v="0"/>
    <s v="DK1_Rural"/>
    <x v="1"/>
    <x v="1"/>
    <x v="20"/>
    <x v="0"/>
    <x v="15"/>
    <n v="-0.1"/>
    <n v="-36.5"/>
    <n v="-131.4"/>
  </r>
  <r>
    <x v="0"/>
    <x v="0"/>
    <x v="1"/>
    <x v="0"/>
    <x v="0"/>
    <s v="DK1_Rural"/>
    <x v="1"/>
    <x v="1"/>
    <x v="20"/>
    <x v="0"/>
    <x v="16"/>
    <n v="-0.1"/>
    <n v="-36.5"/>
    <n v="-131.4"/>
  </r>
  <r>
    <x v="0"/>
    <x v="0"/>
    <x v="1"/>
    <x v="0"/>
    <x v="0"/>
    <s v="DK1_Rural"/>
    <x v="1"/>
    <x v="1"/>
    <x v="20"/>
    <x v="0"/>
    <x v="17"/>
    <n v="-0.1"/>
    <n v="-36.5"/>
    <n v="-131.4"/>
  </r>
  <r>
    <x v="0"/>
    <x v="0"/>
    <x v="1"/>
    <x v="0"/>
    <x v="0"/>
    <s v="DK1_Rural"/>
    <x v="1"/>
    <x v="1"/>
    <x v="20"/>
    <x v="0"/>
    <x v="18"/>
    <n v="-0.1"/>
    <n v="-36.5"/>
    <n v="-131.4"/>
  </r>
  <r>
    <x v="0"/>
    <x v="0"/>
    <x v="1"/>
    <x v="0"/>
    <x v="0"/>
    <s v="DK1_Rural"/>
    <x v="1"/>
    <x v="1"/>
    <x v="20"/>
    <x v="0"/>
    <x v="19"/>
    <n v="-0.1"/>
    <n v="-36.5"/>
    <n v="-131.4"/>
  </r>
  <r>
    <x v="0"/>
    <x v="0"/>
    <x v="1"/>
    <x v="0"/>
    <x v="0"/>
    <s v="DK1_Rural"/>
    <x v="1"/>
    <x v="1"/>
    <x v="20"/>
    <x v="0"/>
    <x v="20"/>
    <n v="-0.1"/>
    <n v="-36.5"/>
    <n v="-131.4"/>
  </r>
  <r>
    <x v="0"/>
    <x v="0"/>
    <x v="1"/>
    <x v="0"/>
    <x v="0"/>
    <s v="DK1_Rural"/>
    <x v="1"/>
    <x v="1"/>
    <x v="21"/>
    <x v="0"/>
    <x v="7"/>
    <n v="-0.25471698113207603"/>
    <n v="-92.971698113207594"/>
    <n v="-334.69811320754701"/>
  </r>
  <r>
    <x v="0"/>
    <x v="0"/>
    <x v="1"/>
    <x v="0"/>
    <x v="0"/>
    <s v="DK1_Rural"/>
    <x v="1"/>
    <x v="1"/>
    <x v="21"/>
    <x v="0"/>
    <x v="8"/>
    <n v="-0.25471698113207603"/>
    <n v="-92.971698113207594"/>
    <n v="-334.69811320754701"/>
  </r>
  <r>
    <x v="0"/>
    <x v="0"/>
    <x v="1"/>
    <x v="0"/>
    <x v="0"/>
    <s v="DK1_Rural"/>
    <x v="1"/>
    <x v="1"/>
    <x v="21"/>
    <x v="0"/>
    <x v="9"/>
    <n v="-0.25471698113207603"/>
    <n v="-92.971698113207594"/>
    <n v="-334.69811320754701"/>
  </r>
  <r>
    <x v="0"/>
    <x v="0"/>
    <x v="1"/>
    <x v="0"/>
    <x v="0"/>
    <s v="DK1_Rural"/>
    <x v="1"/>
    <x v="1"/>
    <x v="21"/>
    <x v="0"/>
    <x v="10"/>
    <n v="-0.25471698113207603"/>
    <n v="-92.971698113207594"/>
    <n v="-334.69811320754701"/>
  </r>
  <r>
    <x v="0"/>
    <x v="0"/>
    <x v="1"/>
    <x v="0"/>
    <x v="0"/>
    <s v="DK1_Rural"/>
    <x v="1"/>
    <x v="1"/>
    <x v="21"/>
    <x v="0"/>
    <x v="11"/>
    <n v="-0.25471698113207603"/>
    <n v="-92.971698113207594"/>
    <n v="-334.69811320754701"/>
  </r>
  <r>
    <x v="0"/>
    <x v="0"/>
    <x v="1"/>
    <x v="0"/>
    <x v="0"/>
    <s v="DK1_Rural"/>
    <x v="1"/>
    <x v="1"/>
    <x v="21"/>
    <x v="0"/>
    <x v="12"/>
    <n v="-0.25471698113207603"/>
    <n v="-92.971698113207594"/>
    <n v="-334.69811320754701"/>
  </r>
  <r>
    <x v="0"/>
    <x v="0"/>
    <x v="1"/>
    <x v="0"/>
    <x v="0"/>
    <s v="DK1_Rural"/>
    <x v="1"/>
    <x v="1"/>
    <x v="21"/>
    <x v="0"/>
    <x v="13"/>
    <n v="-0.25471698113207603"/>
    <n v="-92.971698113207594"/>
    <n v="-334.69811320754701"/>
  </r>
  <r>
    <x v="0"/>
    <x v="0"/>
    <x v="1"/>
    <x v="0"/>
    <x v="0"/>
    <s v="DK1_Rural"/>
    <x v="1"/>
    <x v="1"/>
    <x v="21"/>
    <x v="0"/>
    <x v="14"/>
    <n v="-0.25471698113207603"/>
    <n v="-92.971698113207594"/>
    <n v="-334.69811320754701"/>
  </r>
  <r>
    <x v="0"/>
    <x v="0"/>
    <x v="1"/>
    <x v="0"/>
    <x v="0"/>
    <s v="DK1_Rural"/>
    <x v="1"/>
    <x v="1"/>
    <x v="21"/>
    <x v="0"/>
    <x v="15"/>
    <n v="-0.25471698113207603"/>
    <n v="-92.971698113207594"/>
    <n v="-334.69811320754701"/>
  </r>
  <r>
    <x v="0"/>
    <x v="0"/>
    <x v="1"/>
    <x v="0"/>
    <x v="0"/>
    <s v="DK1_Rural"/>
    <x v="1"/>
    <x v="1"/>
    <x v="21"/>
    <x v="0"/>
    <x v="16"/>
    <n v="-0.25471698113207603"/>
    <n v="-92.971698113207594"/>
    <n v="-334.69811320754701"/>
  </r>
  <r>
    <x v="0"/>
    <x v="0"/>
    <x v="1"/>
    <x v="0"/>
    <x v="0"/>
    <s v="DK1_Rural"/>
    <x v="1"/>
    <x v="1"/>
    <x v="21"/>
    <x v="0"/>
    <x v="17"/>
    <n v="-0.25471698113207603"/>
    <n v="-92.971698113207594"/>
    <n v="-334.69811320754701"/>
  </r>
  <r>
    <x v="0"/>
    <x v="0"/>
    <x v="1"/>
    <x v="0"/>
    <x v="0"/>
    <s v="DK1_Rural"/>
    <x v="1"/>
    <x v="1"/>
    <x v="21"/>
    <x v="0"/>
    <x v="18"/>
    <n v="-0.25471698113207603"/>
    <n v="-92.971698113207594"/>
    <n v="-334.69811320754701"/>
  </r>
  <r>
    <x v="0"/>
    <x v="0"/>
    <x v="1"/>
    <x v="0"/>
    <x v="0"/>
    <s v="DK1_Rural"/>
    <x v="1"/>
    <x v="1"/>
    <x v="21"/>
    <x v="0"/>
    <x v="19"/>
    <n v="-0.25471698113207603"/>
    <n v="-92.971698113207594"/>
    <n v="-334.69811320754701"/>
  </r>
  <r>
    <x v="0"/>
    <x v="0"/>
    <x v="1"/>
    <x v="0"/>
    <x v="0"/>
    <s v="DK1_Rural"/>
    <x v="1"/>
    <x v="1"/>
    <x v="21"/>
    <x v="0"/>
    <x v="20"/>
    <n v="-0.25471698113207603"/>
    <n v="-92.971698113207594"/>
    <n v="-334.69811320754701"/>
  </r>
  <r>
    <x v="0"/>
    <x v="0"/>
    <x v="1"/>
    <x v="0"/>
    <x v="0"/>
    <s v="DK1_Rural"/>
    <x v="1"/>
    <x v="1"/>
    <x v="22"/>
    <x v="0"/>
    <x v="7"/>
    <n v="-0.05"/>
    <n v="-18.25"/>
    <n v="-65.7"/>
  </r>
  <r>
    <x v="0"/>
    <x v="0"/>
    <x v="1"/>
    <x v="0"/>
    <x v="0"/>
    <s v="DK1_Rural"/>
    <x v="1"/>
    <x v="1"/>
    <x v="22"/>
    <x v="0"/>
    <x v="8"/>
    <n v="-0.05"/>
    <n v="-18.25"/>
    <n v="-65.7"/>
  </r>
  <r>
    <x v="0"/>
    <x v="0"/>
    <x v="1"/>
    <x v="0"/>
    <x v="0"/>
    <s v="DK1_Rural"/>
    <x v="1"/>
    <x v="1"/>
    <x v="22"/>
    <x v="0"/>
    <x v="9"/>
    <n v="-0.05"/>
    <n v="-18.25"/>
    <n v="-65.7"/>
  </r>
  <r>
    <x v="0"/>
    <x v="0"/>
    <x v="1"/>
    <x v="0"/>
    <x v="0"/>
    <s v="DK1_Rural"/>
    <x v="1"/>
    <x v="1"/>
    <x v="22"/>
    <x v="0"/>
    <x v="10"/>
    <n v="-0.05"/>
    <n v="-18.25"/>
    <n v="-65.7"/>
  </r>
  <r>
    <x v="0"/>
    <x v="0"/>
    <x v="1"/>
    <x v="0"/>
    <x v="0"/>
    <s v="DK1_Rural"/>
    <x v="1"/>
    <x v="1"/>
    <x v="22"/>
    <x v="0"/>
    <x v="11"/>
    <n v="-0.05"/>
    <n v="-18.25"/>
    <n v="-65.7"/>
  </r>
  <r>
    <x v="0"/>
    <x v="0"/>
    <x v="1"/>
    <x v="0"/>
    <x v="0"/>
    <s v="DK1_Rural"/>
    <x v="1"/>
    <x v="1"/>
    <x v="22"/>
    <x v="0"/>
    <x v="12"/>
    <n v="-0.05"/>
    <n v="-18.25"/>
    <n v="-65.7"/>
  </r>
  <r>
    <x v="0"/>
    <x v="0"/>
    <x v="1"/>
    <x v="0"/>
    <x v="0"/>
    <s v="DK1_Rural"/>
    <x v="1"/>
    <x v="1"/>
    <x v="22"/>
    <x v="0"/>
    <x v="13"/>
    <n v="-0.05"/>
    <n v="-18.25"/>
    <n v="-65.7"/>
  </r>
  <r>
    <x v="0"/>
    <x v="0"/>
    <x v="1"/>
    <x v="0"/>
    <x v="0"/>
    <s v="DK1_Rural"/>
    <x v="1"/>
    <x v="1"/>
    <x v="22"/>
    <x v="0"/>
    <x v="14"/>
    <n v="-0.05"/>
    <n v="-18.25"/>
    <n v="-65.7"/>
  </r>
  <r>
    <x v="0"/>
    <x v="0"/>
    <x v="1"/>
    <x v="0"/>
    <x v="0"/>
    <s v="DK1_Rural"/>
    <x v="1"/>
    <x v="1"/>
    <x v="22"/>
    <x v="0"/>
    <x v="15"/>
    <n v="-0.05"/>
    <n v="-18.25"/>
    <n v="-65.7"/>
  </r>
  <r>
    <x v="0"/>
    <x v="0"/>
    <x v="1"/>
    <x v="0"/>
    <x v="0"/>
    <s v="DK1_Rural"/>
    <x v="1"/>
    <x v="1"/>
    <x v="22"/>
    <x v="0"/>
    <x v="16"/>
    <n v="-0.05"/>
    <n v="-18.25"/>
    <n v="-65.7"/>
  </r>
  <r>
    <x v="0"/>
    <x v="0"/>
    <x v="1"/>
    <x v="0"/>
    <x v="0"/>
    <s v="DK1_Rural"/>
    <x v="1"/>
    <x v="1"/>
    <x v="22"/>
    <x v="0"/>
    <x v="17"/>
    <n v="-0.05"/>
    <n v="-18.25"/>
    <n v="-65.7"/>
  </r>
  <r>
    <x v="0"/>
    <x v="0"/>
    <x v="1"/>
    <x v="0"/>
    <x v="0"/>
    <s v="DK1_Rural"/>
    <x v="1"/>
    <x v="1"/>
    <x v="22"/>
    <x v="0"/>
    <x v="18"/>
    <n v="-0.05"/>
    <n v="-18.25"/>
    <n v="-65.7"/>
  </r>
  <r>
    <x v="0"/>
    <x v="0"/>
    <x v="1"/>
    <x v="0"/>
    <x v="0"/>
    <s v="DK1_Rural"/>
    <x v="1"/>
    <x v="1"/>
    <x v="22"/>
    <x v="0"/>
    <x v="19"/>
    <n v="-0.05"/>
    <n v="-18.25"/>
    <n v="-65.7"/>
  </r>
  <r>
    <x v="0"/>
    <x v="0"/>
    <x v="1"/>
    <x v="0"/>
    <x v="0"/>
    <s v="DK1_Rural"/>
    <x v="1"/>
    <x v="1"/>
    <x v="22"/>
    <x v="0"/>
    <x v="20"/>
    <n v="-0.05"/>
    <n v="-18.25"/>
    <n v="-65.7"/>
  </r>
  <r>
    <x v="0"/>
    <x v="0"/>
    <x v="1"/>
    <x v="0"/>
    <x v="0"/>
    <s v="DK1_Small"/>
    <x v="1"/>
    <x v="1"/>
    <x v="88"/>
    <x v="0"/>
    <x v="0"/>
    <n v="-3.5764116313309602"/>
    <n v="-1305.3902454357999"/>
    <n v="-4699.40488356888"/>
  </r>
  <r>
    <x v="0"/>
    <x v="0"/>
    <x v="1"/>
    <x v="0"/>
    <x v="0"/>
    <s v="DK1_Small"/>
    <x v="1"/>
    <x v="1"/>
    <x v="88"/>
    <x v="0"/>
    <x v="1"/>
    <n v="-3.5367031380149201"/>
    <n v="-1290.8966453754499"/>
    <n v="-4647.2279233516101"/>
  </r>
  <r>
    <x v="0"/>
    <x v="0"/>
    <x v="1"/>
    <x v="0"/>
    <x v="0"/>
    <s v="DK1_Small"/>
    <x v="1"/>
    <x v="1"/>
    <x v="88"/>
    <x v="0"/>
    <x v="2"/>
    <n v="-3.50758357624983"/>
    <n v="-1280.2680053311899"/>
    <n v="-4608.9648191922797"/>
  </r>
  <r>
    <x v="0"/>
    <x v="0"/>
    <x v="1"/>
    <x v="0"/>
    <x v="0"/>
    <s v="DK1_Small"/>
    <x v="1"/>
    <x v="1"/>
    <x v="88"/>
    <x v="0"/>
    <x v="3"/>
    <n v="-3.5287614393517099"/>
    <n v="-1287.9979253633801"/>
    <n v="-4636.7925313081496"/>
  </r>
  <r>
    <x v="0"/>
    <x v="0"/>
    <x v="1"/>
    <x v="0"/>
    <x v="0"/>
    <s v="DK1_Small"/>
    <x v="1"/>
    <x v="1"/>
    <x v="88"/>
    <x v="0"/>
    <x v="4"/>
    <n v="-3.6320035219734099"/>
    <n v="-1325.68128552029"/>
    <n v="-4772.45262787306"/>
  </r>
  <r>
    <x v="0"/>
    <x v="0"/>
    <x v="1"/>
    <x v="0"/>
    <x v="0"/>
    <s v="DK1_Small"/>
    <x v="1"/>
    <x v="1"/>
    <x v="88"/>
    <x v="0"/>
    <x v="5"/>
    <n v="-3.7087732757177401"/>
    <n v="-1353.70224563698"/>
    <n v="-4873.3280842931099"/>
  </r>
  <r>
    <x v="0"/>
    <x v="0"/>
    <x v="1"/>
    <x v="0"/>
    <x v="0"/>
    <s v="DK1_Small"/>
    <x v="1"/>
    <x v="1"/>
    <x v="88"/>
    <x v="0"/>
    <x v="6"/>
    <n v="-4.1932168941733803"/>
    <n v="-1530.52416637328"/>
    <n v="-5509.8869989438199"/>
  </r>
  <r>
    <x v="0"/>
    <x v="0"/>
    <x v="1"/>
    <x v="0"/>
    <x v="0"/>
    <s v="DK1_Small"/>
    <x v="1"/>
    <x v="1"/>
    <x v="88"/>
    <x v="0"/>
    <x v="7"/>
    <n v="-4.6300886956963101"/>
    <n v="-1689.9823739291501"/>
    <n v="-6083.9365461449497"/>
  </r>
  <r>
    <x v="0"/>
    <x v="0"/>
    <x v="1"/>
    <x v="0"/>
    <x v="0"/>
    <s v="DK1_Small"/>
    <x v="1"/>
    <x v="1"/>
    <x v="88"/>
    <x v="0"/>
    <x v="8"/>
    <n v="-4.6300886956963101"/>
    <n v="-1689.9823739291501"/>
    <n v="-6083.9365461449497"/>
  </r>
  <r>
    <x v="0"/>
    <x v="0"/>
    <x v="1"/>
    <x v="0"/>
    <x v="0"/>
    <s v="DK1_Small"/>
    <x v="1"/>
    <x v="1"/>
    <x v="88"/>
    <x v="0"/>
    <x v="9"/>
    <n v="-4.6300886956963101"/>
    <n v="-1689.9823739291501"/>
    <n v="-6083.9365461449497"/>
  </r>
  <r>
    <x v="0"/>
    <x v="0"/>
    <x v="1"/>
    <x v="0"/>
    <x v="0"/>
    <s v="DK1_Small"/>
    <x v="1"/>
    <x v="1"/>
    <x v="88"/>
    <x v="0"/>
    <x v="10"/>
    <n v="-4.6300886956963101"/>
    <n v="-1689.9823739291501"/>
    <n v="-6083.9365461449497"/>
  </r>
  <r>
    <x v="0"/>
    <x v="0"/>
    <x v="1"/>
    <x v="0"/>
    <x v="0"/>
    <s v="DK1_Small"/>
    <x v="1"/>
    <x v="1"/>
    <x v="88"/>
    <x v="0"/>
    <x v="11"/>
    <n v="-4.6300886956963101"/>
    <n v="-1689.9823739291501"/>
    <n v="-6083.9365461449497"/>
  </r>
  <r>
    <x v="0"/>
    <x v="0"/>
    <x v="1"/>
    <x v="0"/>
    <x v="0"/>
    <s v="DK1_Small"/>
    <x v="1"/>
    <x v="1"/>
    <x v="88"/>
    <x v="0"/>
    <x v="12"/>
    <n v="-4.6300886956963101"/>
    <n v="-1689.9823739291501"/>
    <n v="-6083.9365461449497"/>
  </r>
  <r>
    <x v="0"/>
    <x v="0"/>
    <x v="1"/>
    <x v="0"/>
    <x v="0"/>
    <s v="DK1_Small"/>
    <x v="1"/>
    <x v="1"/>
    <x v="88"/>
    <x v="0"/>
    <x v="13"/>
    <n v="-4.6300886956963101"/>
    <n v="-1689.9823739291501"/>
    <n v="-6083.9365461449497"/>
  </r>
  <r>
    <x v="0"/>
    <x v="0"/>
    <x v="1"/>
    <x v="0"/>
    <x v="0"/>
    <s v="DK1_Small"/>
    <x v="1"/>
    <x v="1"/>
    <x v="88"/>
    <x v="0"/>
    <x v="14"/>
    <n v="-4.6300886956963101"/>
    <n v="-1689.9823739291501"/>
    <n v="-6083.9365461449497"/>
  </r>
  <r>
    <x v="0"/>
    <x v="0"/>
    <x v="1"/>
    <x v="0"/>
    <x v="0"/>
    <s v="DK1_Small"/>
    <x v="1"/>
    <x v="1"/>
    <x v="88"/>
    <x v="0"/>
    <x v="15"/>
    <n v="-4.6300886956963101"/>
    <n v="-1689.9823739291501"/>
    <n v="-6083.9365461449497"/>
  </r>
  <r>
    <x v="0"/>
    <x v="0"/>
    <x v="1"/>
    <x v="0"/>
    <x v="0"/>
    <s v="DK1_Small"/>
    <x v="1"/>
    <x v="1"/>
    <x v="88"/>
    <x v="0"/>
    <x v="16"/>
    <n v="-4.6300886956963101"/>
    <n v="-1689.9823739291501"/>
    <n v="-6083.9365461449497"/>
  </r>
  <r>
    <x v="0"/>
    <x v="0"/>
    <x v="1"/>
    <x v="0"/>
    <x v="0"/>
    <s v="DK1_Small"/>
    <x v="1"/>
    <x v="1"/>
    <x v="88"/>
    <x v="0"/>
    <x v="17"/>
    <n v="-4.6300886956963101"/>
    <n v="-1689.9823739291501"/>
    <n v="-6083.9365461449497"/>
  </r>
  <r>
    <x v="0"/>
    <x v="0"/>
    <x v="1"/>
    <x v="0"/>
    <x v="0"/>
    <s v="DK1_Small"/>
    <x v="1"/>
    <x v="1"/>
    <x v="88"/>
    <x v="0"/>
    <x v="18"/>
    <n v="-4.6300886956963101"/>
    <n v="-1689.9823739291501"/>
    <n v="-6083.9365461449497"/>
  </r>
  <r>
    <x v="0"/>
    <x v="0"/>
    <x v="1"/>
    <x v="0"/>
    <x v="0"/>
    <s v="DK1_Small"/>
    <x v="1"/>
    <x v="1"/>
    <x v="88"/>
    <x v="0"/>
    <x v="19"/>
    <n v="-4.6300886956963101"/>
    <n v="-1689.9823739291501"/>
    <n v="-6083.9365461449497"/>
  </r>
  <r>
    <x v="0"/>
    <x v="0"/>
    <x v="1"/>
    <x v="0"/>
    <x v="0"/>
    <s v="DK1_Small"/>
    <x v="1"/>
    <x v="1"/>
    <x v="88"/>
    <x v="0"/>
    <x v="20"/>
    <n v="-4.6300886956963101"/>
    <n v="-1689.9823739291501"/>
    <n v="-6083.9365461449497"/>
  </r>
  <r>
    <x v="0"/>
    <x v="0"/>
    <x v="1"/>
    <x v="0"/>
    <x v="0"/>
    <s v="DK1_Small"/>
    <x v="1"/>
    <x v="1"/>
    <x v="88"/>
    <x v="0"/>
    <x v="21"/>
    <n v="-4.3652870318761998"/>
    <n v="-1593.3297666348101"/>
    <n v="-5735.9871598853297"/>
  </r>
  <r>
    <x v="0"/>
    <x v="0"/>
    <x v="1"/>
    <x v="0"/>
    <x v="0"/>
    <s v="DK1_Small"/>
    <x v="1"/>
    <x v="1"/>
    <x v="88"/>
    <x v="0"/>
    <x v="22"/>
    <n v="-4.3388147029988398"/>
    <n v="-1583.66736659458"/>
    <n v="-5701.2025197404801"/>
  </r>
  <r>
    <x v="0"/>
    <x v="0"/>
    <x v="1"/>
    <x v="0"/>
    <x v="0"/>
    <s v="DK1_Small"/>
    <x v="1"/>
    <x v="1"/>
    <x v="88"/>
    <x v="0"/>
    <x v="23"/>
    <n v="-4.2726338808054498"/>
    <n v="-1559.51136649399"/>
    <n v="-5614.2409193783596"/>
  </r>
  <r>
    <x v="0"/>
    <x v="0"/>
    <x v="1"/>
    <x v="0"/>
    <x v="0"/>
    <s v="DK2_Rural"/>
    <x v="1"/>
    <x v="1"/>
    <x v="2"/>
    <x v="0"/>
    <x v="10"/>
    <n v="-3.72961427088191"/>
    <n v="-1361.3092088719"/>
    <n v="-4900.7131519388304"/>
  </r>
  <r>
    <x v="0"/>
    <x v="0"/>
    <x v="1"/>
    <x v="0"/>
    <x v="0"/>
    <s v="DK2_Rural"/>
    <x v="1"/>
    <x v="1"/>
    <x v="2"/>
    <x v="0"/>
    <x v="11"/>
    <n v="-3.8628382200255098"/>
    <n v="-1409.9359503093101"/>
    <n v="-5075.7694211135204"/>
  </r>
  <r>
    <x v="0"/>
    <x v="0"/>
    <x v="1"/>
    <x v="0"/>
    <x v="0"/>
    <s v="DK2_Rural"/>
    <x v="1"/>
    <x v="1"/>
    <x v="2"/>
    <x v="0"/>
    <x v="12"/>
    <n v="-2.3973747794460398"/>
    <n v="-875.04179449780395"/>
    <n v="-3150.1504601921001"/>
  </r>
  <r>
    <x v="0"/>
    <x v="0"/>
    <x v="1"/>
    <x v="0"/>
    <x v="0"/>
    <s v="DK2_Rural"/>
    <x v="1"/>
    <x v="1"/>
    <x v="2"/>
    <x v="0"/>
    <x v="16"/>
    <n v="-2.7970466268768099"/>
    <n v="-1020.92201881003"/>
    <n v="-3675.3192677161201"/>
  </r>
  <r>
    <x v="0"/>
    <x v="0"/>
    <x v="1"/>
    <x v="0"/>
    <x v="0"/>
    <s v="DK2_Rural"/>
    <x v="1"/>
    <x v="1"/>
    <x v="88"/>
    <x v="0"/>
    <x v="0"/>
    <n v="-14.998796274415399"/>
    <n v="-5474.5606401616096"/>
    <n v="-19708.418304581799"/>
  </r>
  <r>
    <x v="0"/>
    <x v="0"/>
    <x v="1"/>
    <x v="0"/>
    <x v="0"/>
    <s v="DK2_Rural"/>
    <x v="1"/>
    <x v="1"/>
    <x v="88"/>
    <x v="0"/>
    <x v="1"/>
    <n v="-14.832266337985899"/>
    <n v="-5413.7772133648496"/>
    <n v="-19489.5979681135"/>
  </r>
  <r>
    <x v="0"/>
    <x v="0"/>
    <x v="1"/>
    <x v="0"/>
    <x v="0"/>
    <s v="DK2_Rural"/>
    <x v="1"/>
    <x v="1"/>
    <x v="88"/>
    <x v="0"/>
    <x v="2"/>
    <n v="-14.7101443846043"/>
    <n v="-5369.2027003805597"/>
    <n v="-19329.129721370002"/>
  </r>
  <r>
    <x v="0"/>
    <x v="0"/>
    <x v="1"/>
    <x v="0"/>
    <x v="0"/>
    <s v="DK2_Rural"/>
    <x v="1"/>
    <x v="1"/>
    <x v="88"/>
    <x v="0"/>
    <x v="3"/>
    <n v="-14.7989603507"/>
    <n v="-5401.6205280055001"/>
    <n v="-19445.833900819802"/>
  </r>
  <r>
    <x v="0"/>
    <x v="0"/>
    <x v="1"/>
    <x v="0"/>
    <x v="0"/>
    <s v="DK2_Rural"/>
    <x v="1"/>
    <x v="1"/>
    <x v="88"/>
    <x v="0"/>
    <x v="4"/>
    <n v="-15.231938185416601"/>
    <n v="-5559.6574376770805"/>
    <n v="-20014.766775637501"/>
  </r>
  <r>
    <x v="0"/>
    <x v="0"/>
    <x v="1"/>
    <x v="0"/>
    <x v="0"/>
    <s v="DK2_Rural"/>
    <x v="1"/>
    <x v="1"/>
    <x v="88"/>
    <x v="0"/>
    <x v="5"/>
    <n v="-15.553896062513701"/>
    <n v="-5677.1720628174799"/>
    <n v="-20437.819426142902"/>
  </r>
  <r>
    <x v="0"/>
    <x v="0"/>
    <x v="1"/>
    <x v="0"/>
    <x v="0"/>
    <s v="DK2_Rural"/>
    <x v="1"/>
    <x v="1"/>
    <x v="88"/>
    <x v="0"/>
    <x v="6"/>
    <n v="-17.5855612869533"/>
    <n v="-6418.7298697379701"/>
    <n v="-23107.427531056699"/>
  </r>
  <r>
    <x v="0"/>
    <x v="0"/>
    <x v="1"/>
    <x v="0"/>
    <x v="0"/>
    <s v="DK2_Rural"/>
    <x v="1"/>
    <x v="1"/>
    <x v="88"/>
    <x v="0"/>
    <x v="7"/>
    <n v="-18.153410545297302"/>
    <n v="-6625.99484903351"/>
    <n v="-23853.581456520598"/>
  </r>
  <r>
    <x v="0"/>
    <x v="0"/>
    <x v="1"/>
    <x v="0"/>
    <x v="0"/>
    <s v="DK2_Rural"/>
    <x v="1"/>
    <x v="1"/>
    <x v="88"/>
    <x v="0"/>
    <x v="8"/>
    <n v="-18.419858443584499"/>
    <n v="-6723.2483319083303"/>
    <n v="-24203.693994869998"/>
  </r>
  <r>
    <x v="0"/>
    <x v="0"/>
    <x v="1"/>
    <x v="0"/>
    <x v="0"/>
    <s v="DK2_Rural"/>
    <x v="1"/>
    <x v="1"/>
    <x v="88"/>
    <x v="0"/>
    <x v="9"/>
    <n v="-18.419858443584499"/>
    <n v="-6723.2483319083303"/>
    <n v="-24203.693994869998"/>
  </r>
  <r>
    <x v="0"/>
    <x v="0"/>
    <x v="1"/>
    <x v="0"/>
    <x v="0"/>
    <s v="DK2_Rural"/>
    <x v="1"/>
    <x v="1"/>
    <x v="88"/>
    <x v="0"/>
    <x v="10"/>
    <n v="-18.419858443584499"/>
    <n v="-6723.2483319083303"/>
    <n v="-24203.693994869998"/>
  </r>
  <r>
    <x v="0"/>
    <x v="0"/>
    <x v="1"/>
    <x v="0"/>
    <x v="0"/>
    <s v="DK2_Rural"/>
    <x v="1"/>
    <x v="1"/>
    <x v="88"/>
    <x v="0"/>
    <x v="11"/>
    <n v="-18.419858443584499"/>
    <n v="-6723.2483319083303"/>
    <n v="-24203.693994869998"/>
  </r>
  <r>
    <x v="0"/>
    <x v="0"/>
    <x v="1"/>
    <x v="0"/>
    <x v="0"/>
    <s v="DK2_Rural"/>
    <x v="1"/>
    <x v="1"/>
    <x v="88"/>
    <x v="0"/>
    <x v="12"/>
    <n v="-18.419858443584499"/>
    <n v="-6723.2483319083303"/>
    <n v="-24203.693994869998"/>
  </r>
  <r>
    <x v="0"/>
    <x v="0"/>
    <x v="1"/>
    <x v="0"/>
    <x v="0"/>
    <s v="DK2_Rural"/>
    <x v="1"/>
    <x v="1"/>
    <x v="88"/>
    <x v="0"/>
    <x v="13"/>
    <n v="-18.197818528345199"/>
    <n v="-6642.2037628459802"/>
    <n v="-23911.933546245498"/>
  </r>
  <r>
    <x v="0"/>
    <x v="0"/>
    <x v="1"/>
    <x v="0"/>
    <x v="0"/>
    <s v="DK2_Rural"/>
    <x v="1"/>
    <x v="1"/>
    <x v="88"/>
    <x v="0"/>
    <x v="14"/>
    <n v="-18.331042477488701"/>
    <n v="-6690.8305042833899"/>
    <n v="-24086.989815420198"/>
  </r>
  <r>
    <x v="0"/>
    <x v="0"/>
    <x v="1"/>
    <x v="0"/>
    <x v="0"/>
    <s v="DK2_Rural"/>
    <x v="1"/>
    <x v="1"/>
    <x v="88"/>
    <x v="0"/>
    <x v="15"/>
    <n v="-18.419858443584499"/>
    <n v="-6723.2483319083303"/>
    <n v="-24203.693994869998"/>
  </r>
  <r>
    <x v="0"/>
    <x v="0"/>
    <x v="1"/>
    <x v="0"/>
    <x v="0"/>
    <s v="DK2_Rural"/>
    <x v="1"/>
    <x v="1"/>
    <x v="88"/>
    <x v="0"/>
    <x v="16"/>
    <n v="-18.419858443584499"/>
    <n v="-6723.2483319083303"/>
    <n v="-24203.693994869998"/>
  </r>
  <r>
    <x v="0"/>
    <x v="0"/>
    <x v="1"/>
    <x v="0"/>
    <x v="0"/>
    <s v="DK2_Rural"/>
    <x v="1"/>
    <x v="1"/>
    <x v="88"/>
    <x v="0"/>
    <x v="17"/>
    <n v="-18.419858443584499"/>
    <n v="-6723.2483319083303"/>
    <n v="-24203.693994869998"/>
  </r>
  <r>
    <x v="0"/>
    <x v="0"/>
    <x v="1"/>
    <x v="0"/>
    <x v="0"/>
    <s v="DK2_Rural"/>
    <x v="1"/>
    <x v="1"/>
    <x v="88"/>
    <x v="0"/>
    <x v="18"/>
    <n v="-18.419858443584499"/>
    <n v="-6723.2483319083303"/>
    <n v="-24203.693994869998"/>
  </r>
  <r>
    <x v="0"/>
    <x v="0"/>
    <x v="1"/>
    <x v="0"/>
    <x v="0"/>
    <s v="DK2_Rural"/>
    <x v="1"/>
    <x v="1"/>
    <x v="88"/>
    <x v="0"/>
    <x v="19"/>
    <n v="-18.419858443584499"/>
    <n v="-6723.2483319083303"/>
    <n v="-24203.693994869998"/>
  </r>
  <r>
    <x v="0"/>
    <x v="0"/>
    <x v="1"/>
    <x v="0"/>
    <x v="0"/>
    <s v="DK2_Rural"/>
    <x v="1"/>
    <x v="1"/>
    <x v="88"/>
    <x v="0"/>
    <x v="20"/>
    <n v="-18.419858443584499"/>
    <n v="-6723.2483319083303"/>
    <n v="-24203.693994869998"/>
  </r>
  <r>
    <x v="0"/>
    <x v="0"/>
    <x v="1"/>
    <x v="0"/>
    <x v="0"/>
    <s v="DK2_Rural"/>
    <x v="1"/>
    <x v="1"/>
    <x v="88"/>
    <x v="0"/>
    <x v="21"/>
    <n v="-16.932191011481098"/>
    <n v="-6180.2497191906004"/>
    <n v="-22248.898989086199"/>
  </r>
  <r>
    <x v="0"/>
    <x v="0"/>
    <x v="1"/>
    <x v="0"/>
    <x v="0"/>
    <s v="DK2_Rural"/>
    <x v="1"/>
    <x v="1"/>
    <x v="88"/>
    <x v="0"/>
    <x v="22"/>
    <n v="-16.821171053861399"/>
    <n v="-6139.7274346594204"/>
    <n v="-22103.0187647739"/>
  </r>
  <r>
    <x v="0"/>
    <x v="0"/>
    <x v="1"/>
    <x v="0"/>
    <x v="0"/>
    <s v="DK2_Rural"/>
    <x v="1"/>
    <x v="1"/>
    <x v="88"/>
    <x v="0"/>
    <x v="23"/>
    <n v="-17.9186211598123"/>
    <n v="-6540.2967233314903"/>
    <n v="-23545.0682039934"/>
  </r>
  <r>
    <x v="0"/>
    <x v="0"/>
    <x v="1"/>
    <x v="0"/>
    <x v="0"/>
    <s v="DK2_Rural"/>
    <x v="1"/>
    <x v="1"/>
    <x v="15"/>
    <x v="0"/>
    <x v="8"/>
    <n v="-0.2"/>
    <n v="-73"/>
    <n v="-262.8"/>
  </r>
  <r>
    <x v="0"/>
    <x v="0"/>
    <x v="1"/>
    <x v="0"/>
    <x v="0"/>
    <s v="DK2_Rural"/>
    <x v="1"/>
    <x v="1"/>
    <x v="15"/>
    <x v="0"/>
    <x v="9"/>
    <n v="-0.2"/>
    <n v="-73"/>
    <n v="-262.8"/>
  </r>
  <r>
    <x v="0"/>
    <x v="0"/>
    <x v="1"/>
    <x v="0"/>
    <x v="0"/>
    <s v="DK2_Rural"/>
    <x v="1"/>
    <x v="1"/>
    <x v="15"/>
    <x v="0"/>
    <x v="10"/>
    <n v="-0.2"/>
    <n v="-73"/>
    <n v="-262.8"/>
  </r>
  <r>
    <x v="0"/>
    <x v="0"/>
    <x v="1"/>
    <x v="0"/>
    <x v="0"/>
    <s v="DK2_Rural"/>
    <x v="1"/>
    <x v="1"/>
    <x v="15"/>
    <x v="0"/>
    <x v="11"/>
    <n v="-0.2"/>
    <n v="-73"/>
    <n v="-262.8"/>
  </r>
  <r>
    <x v="0"/>
    <x v="0"/>
    <x v="1"/>
    <x v="0"/>
    <x v="0"/>
    <s v="DK2_Rural"/>
    <x v="1"/>
    <x v="1"/>
    <x v="15"/>
    <x v="0"/>
    <x v="12"/>
    <n v="-0.2"/>
    <n v="-73"/>
    <n v="-262.8"/>
  </r>
  <r>
    <x v="0"/>
    <x v="0"/>
    <x v="1"/>
    <x v="0"/>
    <x v="0"/>
    <s v="DK2_Rural"/>
    <x v="1"/>
    <x v="1"/>
    <x v="15"/>
    <x v="0"/>
    <x v="15"/>
    <n v="-0.13322394914358399"/>
    <n v="-48.626741437408299"/>
    <n v="-175.05626917467001"/>
  </r>
  <r>
    <x v="0"/>
    <x v="0"/>
    <x v="1"/>
    <x v="0"/>
    <x v="0"/>
    <s v="DK2_Rural"/>
    <x v="1"/>
    <x v="1"/>
    <x v="15"/>
    <x v="0"/>
    <x v="16"/>
    <n v="-0.2"/>
    <n v="-73"/>
    <n v="-262.8"/>
  </r>
  <r>
    <x v="0"/>
    <x v="0"/>
    <x v="1"/>
    <x v="0"/>
    <x v="0"/>
    <s v="DK2_Rural"/>
    <x v="1"/>
    <x v="1"/>
    <x v="15"/>
    <x v="0"/>
    <x v="17"/>
    <n v="-0.2"/>
    <n v="-73"/>
    <n v="-262.8"/>
  </r>
  <r>
    <x v="0"/>
    <x v="0"/>
    <x v="1"/>
    <x v="0"/>
    <x v="0"/>
    <s v="DK2_Rural"/>
    <x v="1"/>
    <x v="1"/>
    <x v="15"/>
    <x v="0"/>
    <x v="18"/>
    <n v="-0.2"/>
    <n v="-73"/>
    <n v="-262.8"/>
  </r>
  <r>
    <x v="0"/>
    <x v="0"/>
    <x v="1"/>
    <x v="0"/>
    <x v="0"/>
    <s v="DK2_Rural"/>
    <x v="1"/>
    <x v="1"/>
    <x v="15"/>
    <x v="0"/>
    <x v="19"/>
    <n v="-0.2"/>
    <n v="-73"/>
    <n v="-262.8"/>
  </r>
  <r>
    <x v="0"/>
    <x v="0"/>
    <x v="1"/>
    <x v="0"/>
    <x v="1"/>
    <s v="DK2_Large"/>
    <x v="1"/>
    <x v="1"/>
    <x v="2"/>
    <x v="0"/>
    <x v="4"/>
    <n v="-10"/>
    <n v="-3650"/>
    <n v="-13140"/>
  </r>
  <r>
    <x v="0"/>
    <x v="0"/>
    <x v="1"/>
    <x v="0"/>
    <x v="1"/>
    <s v="DK2_Large"/>
    <x v="1"/>
    <x v="1"/>
    <x v="2"/>
    <x v="0"/>
    <x v="5"/>
    <n v="-10"/>
    <n v="-3650"/>
    <n v="-13140"/>
  </r>
  <r>
    <x v="0"/>
    <x v="0"/>
    <x v="1"/>
    <x v="0"/>
    <x v="1"/>
    <s v="DK2_Large"/>
    <x v="1"/>
    <x v="1"/>
    <x v="2"/>
    <x v="0"/>
    <x v="6"/>
    <n v="-10"/>
    <n v="-3650"/>
    <n v="-13140"/>
  </r>
  <r>
    <x v="0"/>
    <x v="0"/>
    <x v="1"/>
    <x v="0"/>
    <x v="1"/>
    <s v="DK2_Large"/>
    <x v="1"/>
    <x v="1"/>
    <x v="2"/>
    <x v="0"/>
    <x v="7"/>
    <n v="-10"/>
    <n v="-3650"/>
    <n v="-13140"/>
  </r>
  <r>
    <x v="0"/>
    <x v="0"/>
    <x v="1"/>
    <x v="0"/>
    <x v="1"/>
    <s v="DK2_Large"/>
    <x v="1"/>
    <x v="1"/>
    <x v="2"/>
    <x v="0"/>
    <x v="8"/>
    <n v="-10"/>
    <n v="-3650"/>
    <n v="-13140"/>
  </r>
  <r>
    <x v="0"/>
    <x v="0"/>
    <x v="1"/>
    <x v="0"/>
    <x v="1"/>
    <s v="DK2_Large"/>
    <x v="1"/>
    <x v="1"/>
    <x v="2"/>
    <x v="0"/>
    <x v="9"/>
    <n v="-10"/>
    <n v="-3650"/>
    <n v="-13140"/>
  </r>
  <r>
    <x v="0"/>
    <x v="0"/>
    <x v="1"/>
    <x v="0"/>
    <x v="1"/>
    <s v="DK2_Large"/>
    <x v="1"/>
    <x v="1"/>
    <x v="2"/>
    <x v="0"/>
    <x v="10"/>
    <n v="-10"/>
    <n v="-3650"/>
    <n v="-13140"/>
  </r>
  <r>
    <x v="0"/>
    <x v="0"/>
    <x v="1"/>
    <x v="0"/>
    <x v="1"/>
    <s v="DK2_Large"/>
    <x v="1"/>
    <x v="1"/>
    <x v="2"/>
    <x v="0"/>
    <x v="18"/>
    <n v="-10"/>
    <n v="-3650"/>
    <n v="-13140"/>
  </r>
  <r>
    <x v="0"/>
    <x v="0"/>
    <x v="1"/>
    <x v="0"/>
    <x v="1"/>
    <s v="DK2_Large"/>
    <x v="1"/>
    <x v="1"/>
    <x v="2"/>
    <x v="0"/>
    <x v="19"/>
    <n v="-10"/>
    <n v="-3650"/>
    <n v="-13140"/>
  </r>
  <r>
    <x v="0"/>
    <x v="0"/>
    <x v="1"/>
    <x v="0"/>
    <x v="1"/>
    <s v="DK2_Large"/>
    <x v="1"/>
    <x v="1"/>
    <x v="87"/>
    <x v="0"/>
    <x v="4"/>
    <n v="-9.6592221538687699"/>
    <n v="-3525.6160861621001"/>
    <n v="-12692.217910183601"/>
  </r>
  <r>
    <x v="0"/>
    <x v="0"/>
    <x v="1"/>
    <x v="0"/>
    <x v="1"/>
    <s v="DK2_Large"/>
    <x v="1"/>
    <x v="1"/>
    <x v="87"/>
    <x v="0"/>
    <x v="5"/>
    <n v="-156.62594954953099"/>
    <n v="-57168.471585578802"/>
    <n v="-205806.497708084"/>
  </r>
  <r>
    <x v="0"/>
    <x v="0"/>
    <x v="1"/>
    <x v="0"/>
    <x v="1"/>
    <s v="DK2_Large"/>
    <x v="1"/>
    <x v="1"/>
    <x v="87"/>
    <x v="0"/>
    <x v="6"/>
    <n v="-169.04140181917199"/>
    <n v="-61700.111663997901"/>
    <n v="-222120.40199039201"/>
  </r>
  <r>
    <x v="0"/>
    <x v="0"/>
    <x v="1"/>
    <x v="0"/>
    <x v="1"/>
    <s v="DK2_Large"/>
    <x v="1"/>
    <x v="1"/>
    <x v="87"/>
    <x v="0"/>
    <x v="7"/>
    <n v="-159.16128569173301"/>
    <n v="-58093.869277482401"/>
    <n v="-209137.92939893701"/>
  </r>
  <r>
    <x v="0"/>
    <x v="0"/>
    <x v="1"/>
    <x v="0"/>
    <x v="1"/>
    <s v="DK2_Large"/>
    <x v="1"/>
    <x v="1"/>
    <x v="87"/>
    <x v="0"/>
    <x v="8"/>
    <n v="-130.138444567379"/>
    <n v="-47500.532267093498"/>
    <n v="-171001.916161537"/>
  </r>
  <r>
    <x v="0"/>
    <x v="0"/>
    <x v="1"/>
    <x v="0"/>
    <x v="1"/>
    <s v="DK2_Large"/>
    <x v="1"/>
    <x v="1"/>
    <x v="87"/>
    <x v="0"/>
    <x v="9"/>
    <n v="-61.595138933267997"/>
    <n v="-22482.225710642801"/>
    <n v="-80936.012558314105"/>
  </r>
  <r>
    <x v="0"/>
    <x v="0"/>
    <x v="1"/>
    <x v="0"/>
    <x v="1"/>
    <s v="DK2_Large"/>
    <x v="1"/>
    <x v="1"/>
    <x v="87"/>
    <x v="0"/>
    <x v="10"/>
    <n v="-19.5393382813083"/>
    <n v="-7131.8584726775398"/>
    <n v="-25674.690501639099"/>
  </r>
  <r>
    <x v="0"/>
    <x v="0"/>
    <x v="1"/>
    <x v="0"/>
    <x v="1"/>
    <s v="DK2_Large"/>
    <x v="1"/>
    <x v="1"/>
    <x v="87"/>
    <x v="0"/>
    <x v="18"/>
    <n v="-24.361851257222298"/>
    <n v="-8892.0757088861392"/>
    <n v="-32011.4725519901"/>
  </r>
  <r>
    <x v="0"/>
    <x v="0"/>
    <x v="1"/>
    <x v="0"/>
    <x v="1"/>
    <s v="DK2_Large"/>
    <x v="1"/>
    <x v="1"/>
    <x v="87"/>
    <x v="0"/>
    <x v="19"/>
    <n v="-5.21912626030828"/>
    <n v="-1904.98108501252"/>
    <n v="-6857.9319060450798"/>
  </r>
  <r>
    <x v="0"/>
    <x v="0"/>
    <x v="1"/>
    <x v="0"/>
    <x v="1"/>
    <s v="DK2_Large"/>
    <x v="1"/>
    <x v="1"/>
    <x v="88"/>
    <x v="0"/>
    <x v="0"/>
    <n v="-69.3862030412335"/>
    <n v="-25325.964110050201"/>
    <n v="-91173.470796180904"/>
  </r>
  <r>
    <x v="0"/>
    <x v="0"/>
    <x v="1"/>
    <x v="0"/>
    <x v="1"/>
    <s v="DK2_Large"/>
    <x v="1"/>
    <x v="1"/>
    <x v="88"/>
    <x v="0"/>
    <x v="1"/>
    <n v="-69.3862030412335"/>
    <n v="-25325.964110050201"/>
    <n v="-91173.470796180904"/>
  </r>
  <r>
    <x v="0"/>
    <x v="0"/>
    <x v="1"/>
    <x v="0"/>
    <x v="1"/>
    <s v="DK2_Large"/>
    <x v="1"/>
    <x v="1"/>
    <x v="88"/>
    <x v="0"/>
    <x v="2"/>
    <n v="-70.201312621747306"/>
    <n v="-25623.479106937801"/>
    <n v="-92244.524784975903"/>
  </r>
  <r>
    <x v="0"/>
    <x v="0"/>
    <x v="1"/>
    <x v="0"/>
    <x v="1"/>
    <s v="DK2_Large"/>
    <x v="1"/>
    <x v="1"/>
    <x v="88"/>
    <x v="0"/>
    <x v="3"/>
    <n v="-75.041025756047702"/>
    <n v="-27389.974400957399"/>
    <n v="-98603.907843446694"/>
  </r>
  <r>
    <x v="0"/>
    <x v="0"/>
    <x v="1"/>
    <x v="0"/>
    <x v="1"/>
    <s v="DK2_Large"/>
    <x v="1"/>
    <x v="1"/>
    <x v="88"/>
    <x v="0"/>
    <x v="4"/>
    <n v="-79.500848470861897"/>
    <n v="-29017.809691864601"/>
    <n v="-104464.114890713"/>
  </r>
  <r>
    <x v="0"/>
    <x v="0"/>
    <x v="1"/>
    <x v="0"/>
    <x v="1"/>
    <s v="DK2_Large"/>
    <x v="1"/>
    <x v="1"/>
    <x v="88"/>
    <x v="0"/>
    <x v="5"/>
    <n v="-79.500848470861897"/>
    <n v="-29017.809691864601"/>
    <n v="-104464.114890713"/>
  </r>
  <r>
    <x v="0"/>
    <x v="0"/>
    <x v="1"/>
    <x v="0"/>
    <x v="1"/>
    <s v="DK2_Large"/>
    <x v="1"/>
    <x v="1"/>
    <x v="88"/>
    <x v="0"/>
    <x v="6"/>
    <n v="-79.500848470861897"/>
    <n v="-29017.809691864601"/>
    <n v="-104464.114890713"/>
  </r>
  <r>
    <x v="0"/>
    <x v="0"/>
    <x v="1"/>
    <x v="0"/>
    <x v="1"/>
    <s v="DK2_Large"/>
    <x v="1"/>
    <x v="1"/>
    <x v="88"/>
    <x v="0"/>
    <x v="7"/>
    <n v="-79.500848470861897"/>
    <n v="-29017.809691864601"/>
    <n v="-104464.114890713"/>
  </r>
  <r>
    <x v="0"/>
    <x v="0"/>
    <x v="1"/>
    <x v="0"/>
    <x v="1"/>
    <s v="DK2_Large"/>
    <x v="1"/>
    <x v="1"/>
    <x v="88"/>
    <x v="0"/>
    <x v="8"/>
    <n v="-79.500848470861897"/>
    <n v="-29017.809691864601"/>
    <n v="-104464.114890713"/>
  </r>
  <r>
    <x v="0"/>
    <x v="0"/>
    <x v="1"/>
    <x v="0"/>
    <x v="1"/>
    <s v="DK2_Large"/>
    <x v="1"/>
    <x v="1"/>
    <x v="88"/>
    <x v="0"/>
    <x v="9"/>
    <n v="-79.500848470861897"/>
    <n v="-29017.809691864601"/>
    <n v="-104464.114890713"/>
  </r>
  <r>
    <x v="0"/>
    <x v="0"/>
    <x v="1"/>
    <x v="0"/>
    <x v="1"/>
    <s v="DK2_Large"/>
    <x v="1"/>
    <x v="1"/>
    <x v="88"/>
    <x v="0"/>
    <x v="10"/>
    <n v="-79.500848470861897"/>
    <n v="-29017.809691864601"/>
    <n v="-104464.114890713"/>
  </r>
  <r>
    <x v="0"/>
    <x v="0"/>
    <x v="1"/>
    <x v="0"/>
    <x v="1"/>
    <s v="DK2_Large"/>
    <x v="1"/>
    <x v="1"/>
    <x v="88"/>
    <x v="0"/>
    <x v="11"/>
    <n v="-79.116573658616502"/>
    <n v="-28877.549385394999"/>
    <n v="-103959.177787422"/>
  </r>
  <r>
    <x v="0"/>
    <x v="0"/>
    <x v="1"/>
    <x v="0"/>
    <x v="1"/>
    <s v="DK2_Large"/>
    <x v="1"/>
    <x v="1"/>
    <x v="88"/>
    <x v="0"/>
    <x v="12"/>
    <n v="-75.041025756047702"/>
    <n v="-27389.974400957399"/>
    <n v="-98603.907843446694"/>
  </r>
  <r>
    <x v="0"/>
    <x v="0"/>
    <x v="1"/>
    <x v="0"/>
    <x v="1"/>
    <s v="DK2_Large"/>
    <x v="1"/>
    <x v="1"/>
    <x v="88"/>
    <x v="0"/>
    <x v="13"/>
    <n v="-73.059249508867296"/>
    <n v="-26666.626070736598"/>
    <n v="-95999.853854651607"/>
  </r>
  <r>
    <x v="0"/>
    <x v="0"/>
    <x v="1"/>
    <x v="0"/>
    <x v="1"/>
    <s v="DK2_Large"/>
    <x v="1"/>
    <x v="1"/>
    <x v="88"/>
    <x v="0"/>
    <x v="14"/>
    <n v="-71.479974696621895"/>
    <n v="-26090.190764267001"/>
    <n v="-93924.686751361194"/>
  </r>
  <r>
    <x v="0"/>
    <x v="0"/>
    <x v="1"/>
    <x v="0"/>
    <x v="1"/>
    <s v="DK2_Large"/>
    <x v="1"/>
    <x v="1"/>
    <x v="88"/>
    <x v="0"/>
    <x v="15"/>
    <n v="-73.059249508867296"/>
    <n v="-26666.626070736598"/>
    <n v="-95999.853854651607"/>
  </r>
  <r>
    <x v="0"/>
    <x v="0"/>
    <x v="1"/>
    <x v="0"/>
    <x v="1"/>
    <s v="DK2_Large"/>
    <x v="1"/>
    <x v="1"/>
    <x v="88"/>
    <x v="0"/>
    <x v="16"/>
    <n v="-79.500848470861897"/>
    <n v="-29017.809691864601"/>
    <n v="-104464.114890713"/>
  </r>
  <r>
    <x v="0"/>
    <x v="0"/>
    <x v="1"/>
    <x v="0"/>
    <x v="1"/>
    <s v="DK2_Large"/>
    <x v="1"/>
    <x v="1"/>
    <x v="88"/>
    <x v="0"/>
    <x v="17"/>
    <n v="-79.500848470861897"/>
    <n v="-29017.809691864601"/>
    <n v="-104464.114890713"/>
  </r>
  <r>
    <x v="0"/>
    <x v="0"/>
    <x v="1"/>
    <x v="0"/>
    <x v="1"/>
    <s v="DK2_Large"/>
    <x v="1"/>
    <x v="1"/>
    <x v="88"/>
    <x v="0"/>
    <x v="18"/>
    <n v="-79.500848470861897"/>
    <n v="-29017.809691864601"/>
    <n v="-104464.114890713"/>
  </r>
  <r>
    <x v="0"/>
    <x v="0"/>
    <x v="1"/>
    <x v="0"/>
    <x v="1"/>
    <s v="DK2_Large"/>
    <x v="1"/>
    <x v="1"/>
    <x v="88"/>
    <x v="0"/>
    <x v="19"/>
    <n v="-79.500848470861897"/>
    <n v="-29017.809691864601"/>
    <n v="-104464.114890713"/>
  </r>
  <r>
    <x v="0"/>
    <x v="0"/>
    <x v="1"/>
    <x v="0"/>
    <x v="1"/>
    <s v="DK2_Large"/>
    <x v="1"/>
    <x v="1"/>
    <x v="88"/>
    <x v="0"/>
    <x v="20"/>
    <n v="-79.500848470861897"/>
    <n v="-29017.809691864601"/>
    <n v="-104464.114890713"/>
  </r>
  <r>
    <x v="0"/>
    <x v="0"/>
    <x v="1"/>
    <x v="0"/>
    <x v="1"/>
    <s v="DK2_Large"/>
    <x v="1"/>
    <x v="1"/>
    <x v="88"/>
    <x v="0"/>
    <x v="21"/>
    <n v="-76.319687830922305"/>
    <n v="-27856.686058286599"/>
    <n v="-100284.069809832"/>
  </r>
  <r>
    <x v="0"/>
    <x v="0"/>
    <x v="1"/>
    <x v="0"/>
    <x v="1"/>
    <s v="DK2_Large"/>
    <x v="1"/>
    <x v="1"/>
    <x v="88"/>
    <x v="0"/>
    <x v="22"/>
    <n v="-72.295084277135601"/>
    <n v="-26387.705761154499"/>
    <n v="-94995.740740156194"/>
  </r>
  <r>
    <x v="0"/>
    <x v="0"/>
    <x v="1"/>
    <x v="0"/>
    <x v="1"/>
    <s v="DK2_Large"/>
    <x v="1"/>
    <x v="1"/>
    <x v="88"/>
    <x v="0"/>
    <x v="23"/>
    <n v="-69.3862030412335"/>
    <n v="-25325.964110050201"/>
    <n v="-91173.470796180904"/>
  </r>
  <r>
    <x v="0"/>
    <x v="0"/>
    <x v="1"/>
    <x v="0"/>
    <x v="1"/>
    <s v="DK2_Large"/>
    <x v="1"/>
    <x v="1"/>
    <x v="13"/>
    <x v="0"/>
    <x v="4"/>
    <n v="-0.11333333333333299"/>
    <n v="-41.366666666666703"/>
    <n v="-148.91999999999999"/>
  </r>
  <r>
    <x v="0"/>
    <x v="0"/>
    <x v="1"/>
    <x v="0"/>
    <x v="1"/>
    <s v="DK2_Large"/>
    <x v="1"/>
    <x v="1"/>
    <x v="13"/>
    <x v="0"/>
    <x v="5"/>
    <n v="-0.11333333333333299"/>
    <n v="-41.366666666666703"/>
    <n v="-148.91999999999999"/>
  </r>
  <r>
    <x v="0"/>
    <x v="0"/>
    <x v="1"/>
    <x v="0"/>
    <x v="1"/>
    <s v="DK2_Large"/>
    <x v="1"/>
    <x v="1"/>
    <x v="13"/>
    <x v="0"/>
    <x v="6"/>
    <n v="-0.11333333333333299"/>
    <n v="-41.366666666666703"/>
    <n v="-148.91999999999999"/>
  </r>
  <r>
    <x v="0"/>
    <x v="0"/>
    <x v="1"/>
    <x v="0"/>
    <x v="1"/>
    <s v="DK2_Large"/>
    <x v="1"/>
    <x v="1"/>
    <x v="13"/>
    <x v="0"/>
    <x v="7"/>
    <n v="-0.11333333333333299"/>
    <n v="-41.366666666666703"/>
    <n v="-148.91999999999999"/>
  </r>
  <r>
    <x v="0"/>
    <x v="0"/>
    <x v="1"/>
    <x v="0"/>
    <x v="1"/>
    <s v="DK2_Large"/>
    <x v="1"/>
    <x v="1"/>
    <x v="13"/>
    <x v="0"/>
    <x v="8"/>
    <n v="-0.11333333333333299"/>
    <n v="-41.366666666666703"/>
    <n v="-148.91999999999999"/>
  </r>
  <r>
    <x v="0"/>
    <x v="0"/>
    <x v="1"/>
    <x v="0"/>
    <x v="1"/>
    <s v="DK2_Large"/>
    <x v="1"/>
    <x v="1"/>
    <x v="13"/>
    <x v="0"/>
    <x v="9"/>
    <n v="-0.11333333333333299"/>
    <n v="-41.366666666666703"/>
    <n v="-148.91999999999999"/>
  </r>
  <r>
    <x v="0"/>
    <x v="0"/>
    <x v="1"/>
    <x v="0"/>
    <x v="1"/>
    <s v="DK2_Large"/>
    <x v="1"/>
    <x v="1"/>
    <x v="13"/>
    <x v="0"/>
    <x v="10"/>
    <n v="-0.11333333333333299"/>
    <n v="-41.366666666666703"/>
    <n v="-148.91999999999999"/>
  </r>
  <r>
    <x v="0"/>
    <x v="0"/>
    <x v="1"/>
    <x v="0"/>
    <x v="1"/>
    <s v="DK2_Large"/>
    <x v="1"/>
    <x v="1"/>
    <x v="13"/>
    <x v="0"/>
    <x v="16"/>
    <n v="-0.11333333333333299"/>
    <n v="-41.366666666666703"/>
    <n v="-148.91999999999999"/>
  </r>
  <r>
    <x v="0"/>
    <x v="0"/>
    <x v="1"/>
    <x v="0"/>
    <x v="1"/>
    <s v="DK2_Large"/>
    <x v="1"/>
    <x v="1"/>
    <x v="13"/>
    <x v="0"/>
    <x v="17"/>
    <n v="-0.11333333333333299"/>
    <n v="-41.366666666666703"/>
    <n v="-148.91999999999999"/>
  </r>
  <r>
    <x v="0"/>
    <x v="0"/>
    <x v="1"/>
    <x v="0"/>
    <x v="1"/>
    <s v="DK2_Large"/>
    <x v="1"/>
    <x v="1"/>
    <x v="13"/>
    <x v="0"/>
    <x v="18"/>
    <n v="-0.11333333333333299"/>
    <n v="-41.366666666666703"/>
    <n v="-148.91999999999999"/>
  </r>
  <r>
    <x v="0"/>
    <x v="0"/>
    <x v="1"/>
    <x v="0"/>
    <x v="1"/>
    <s v="DK2_Large"/>
    <x v="1"/>
    <x v="1"/>
    <x v="13"/>
    <x v="0"/>
    <x v="19"/>
    <n v="-0.11333333333333299"/>
    <n v="-41.366666666666703"/>
    <n v="-148.91999999999999"/>
  </r>
  <r>
    <x v="0"/>
    <x v="0"/>
    <x v="1"/>
    <x v="0"/>
    <x v="1"/>
    <s v="DK2_Large"/>
    <x v="1"/>
    <x v="1"/>
    <x v="13"/>
    <x v="0"/>
    <x v="20"/>
    <n v="-0.11333333333333299"/>
    <n v="-41.366666666666703"/>
    <n v="-148.91999999999999"/>
  </r>
  <r>
    <x v="0"/>
    <x v="0"/>
    <x v="1"/>
    <x v="0"/>
    <x v="1"/>
    <s v="DK2_Large"/>
    <x v="2"/>
    <x v="2"/>
    <x v="33"/>
    <x v="0"/>
    <x v="17"/>
    <n v="18.099926151819499"/>
    <n v="6606.47304541413"/>
    <n v="23783.3029634909"/>
  </r>
  <r>
    <x v="0"/>
    <x v="0"/>
    <x v="1"/>
    <x v="0"/>
    <x v="1"/>
    <s v="DK2_Large"/>
    <x v="2"/>
    <x v="2"/>
    <x v="33"/>
    <x v="0"/>
    <x v="18"/>
    <n v="19.399999999999999"/>
    <n v="7081"/>
    <n v="25491.599999999999"/>
  </r>
  <r>
    <x v="0"/>
    <x v="0"/>
    <x v="1"/>
    <x v="0"/>
    <x v="1"/>
    <s v="DK2_Large"/>
    <x v="2"/>
    <x v="2"/>
    <x v="33"/>
    <x v="0"/>
    <x v="19"/>
    <n v="19.399999999999999"/>
    <n v="7081"/>
    <n v="25491.599999999999"/>
  </r>
  <r>
    <x v="0"/>
    <x v="0"/>
    <x v="1"/>
    <x v="0"/>
    <x v="1"/>
    <s v="DK2_Large"/>
    <x v="2"/>
    <x v="2"/>
    <x v="33"/>
    <x v="0"/>
    <x v="20"/>
    <n v="0.923162325820436"/>
    <n v="336.95424892445902"/>
    <n v="1213.03529612805"/>
  </r>
  <r>
    <x v="0"/>
    <x v="0"/>
    <x v="1"/>
    <x v="0"/>
    <x v="1"/>
    <s v="DK2_MedSmall"/>
    <x v="1"/>
    <x v="1"/>
    <x v="90"/>
    <x v="0"/>
    <x v="8"/>
    <n v="-0.82800823171719296"/>
    <n v="-302.223004576775"/>
    <n v="-1088.0028164763901"/>
  </r>
  <r>
    <x v="0"/>
    <x v="0"/>
    <x v="1"/>
    <x v="0"/>
    <x v="1"/>
    <s v="DK2_MedSmall"/>
    <x v="1"/>
    <x v="1"/>
    <x v="90"/>
    <x v="0"/>
    <x v="9"/>
    <n v="-1.5640155487991401"/>
    <n v="-570.865675311686"/>
    <n v="-2055.11643112207"/>
  </r>
  <r>
    <x v="0"/>
    <x v="0"/>
    <x v="1"/>
    <x v="0"/>
    <x v="1"/>
    <s v="DK2_MedSmall"/>
    <x v="1"/>
    <x v="1"/>
    <x v="90"/>
    <x v="0"/>
    <x v="10"/>
    <n v="-1.5640155487991401"/>
    <n v="-570.865675311686"/>
    <n v="-2055.11643112207"/>
  </r>
  <r>
    <x v="0"/>
    <x v="0"/>
    <x v="1"/>
    <x v="0"/>
    <x v="1"/>
    <s v="DK2_MedSmall"/>
    <x v="1"/>
    <x v="1"/>
    <x v="90"/>
    <x v="0"/>
    <x v="11"/>
    <n v="-1.5640155487991401"/>
    <n v="-570.865675311686"/>
    <n v="-2055.11643112207"/>
  </r>
  <r>
    <x v="0"/>
    <x v="0"/>
    <x v="1"/>
    <x v="0"/>
    <x v="1"/>
    <s v="DK2_MedSmall"/>
    <x v="1"/>
    <x v="1"/>
    <x v="90"/>
    <x v="0"/>
    <x v="12"/>
    <n v="-1.1040109756229199"/>
    <n v="-402.96400610236498"/>
    <n v="-1450.67042196852"/>
  </r>
  <r>
    <x v="0"/>
    <x v="0"/>
    <x v="1"/>
    <x v="0"/>
    <x v="1"/>
    <s v="DK2_MedSmall"/>
    <x v="1"/>
    <x v="1"/>
    <x v="90"/>
    <x v="0"/>
    <x v="15"/>
    <n v="-0.18400182927047901"/>
    <n v="-67.160667683724995"/>
    <n v="-241.77840366141001"/>
  </r>
  <r>
    <x v="0"/>
    <x v="0"/>
    <x v="1"/>
    <x v="0"/>
    <x v="1"/>
    <s v="DK2_MedSmall"/>
    <x v="1"/>
    <x v="1"/>
    <x v="90"/>
    <x v="0"/>
    <x v="16"/>
    <n v="-1.2420123475757701"/>
    <n v="-453.334506865158"/>
    <n v="-1632.00422471457"/>
  </r>
  <r>
    <x v="0"/>
    <x v="0"/>
    <x v="1"/>
    <x v="0"/>
    <x v="1"/>
    <s v="DK2_MedSmall"/>
    <x v="1"/>
    <x v="1"/>
    <x v="88"/>
    <x v="0"/>
    <x v="0"/>
    <n v="-5.12709597147881"/>
    <n v="-1871.3900295897699"/>
    <n v="-6737.0041065231599"/>
  </r>
  <r>
    <x v="0"/>
    <x v="0"/>
    <x v="1"/>
    <x v="0"/>
    <x v="1"/>
    <s v="DK2_MedSmall"/>
    <x v="1"/>
    <x v="1"/>
    <x v="88"/>
    <x v="0"/>
    <x v="1"/>
    <n v="-5.0701704055482599"/>
    <n v="-1850.61219802511"/>
    <n v="-6662.2039128904098"/>
  </r>
  <r>
    <x v="0"/>
    <x v="0"/>
    <x v="1"/>
    <x v="0"/>
    <x v="1"/>
    <s v="DK2_MedSmall"/>
    <x v="1"/>
    <x v="1"/>
    <x v="88"/>
    <x v="0"/>
    <x v="2"/>
    <n v="-5.0284249905325096"/>
    <n v="-1835.3751215443699"/>
    <n v="-6607.3504375597204"/>
  </r>
  <r>
    <x v="0"/>
    <x v="0"/>
    <x v="1"/>
    <x v="0"/>
    <x v="1"/>
    <s v="DK2_MedSmall"/>
    <x v="1"/>
    <x v="1"/>
    <x v="88"/>
    <x v="0"/>
    <x v="3"/>
    <n v="-5.0587852923621401"/>
    <n v="-1846.4566317121801"/>
    <n v="-6647.2438741638598"/>
  </r>
  <r>
    <x v="0"/>
    <x v="0"/>
    <x v="1"/>
    <x v="0"/>
    <x v="1"/>
    <s v="DK2_MedSmall"/>
    <x v="1"/>
    <x v="1"/>
    <x v="88"/>
    <x v="0"/>
    <x v="4"/>
    <n v="-5.2067917637815899"/>
    <n v="-1900.47899378028"/>
    <n v="-6841.7243776090099"/>
  </r>
  <r>
    <x v="0"/>
    <x v="0"/>
    <x v="1"/>
    <x v="0"/>
    <x v="1"/>
    <s v="DK2_MedSmall"/>
    <x v="1"/>
    <x v="1"/>
    <x v="88"/>
    <x v="0"/>
    <x v="5"/>
    <n v="-5.3168478579140004"/>
    <n v="-1940.64946813861"/>
    <n v="-6986.3380852990003"/>
  </r>
  <r>
    <x v="0"/>
    <x v="0"/>
    <x v="1"/>
    <x v="0"/>
    <x v="1"/>
    <s v="DK2_MedSmall"/>
    <x v="1"/>
    <x v="1"/>
    <x v="88"/>
    <x v="0"/>
    <x v="6"/>
    <n v="-6.0113397622667897"/>
    <n v="-2194.13901322738"/>
    <n v="-7898.9004476185701"/>
  </r>
  <r>
    <x v="0"/>
    <x v="0"/>
    <x v="1"/>
    <x v="0"/>
    <x v="1"/>
    <s v="DK2_MedSmall"/>
    <x v="1"/>
    <x v="1"/>
    <x v="88"/>
    <x v="0"/>
    <x v="7"/>
    <n v="-6.5088046981232903"/>
    <n v="-2375.713714815"/>
    <n v="-8552.5693733339995"/>
  </r>
  <r>
    <x v="0"/>
    <x v="0"/>
    <x v="1"/>
    <x v="0"/>
    <x v="1"/>
    <s v="DK2_MedSmall"/>
    <x v="1"/>
    <x v="1"/>
    <x v="88"/>
    <x v="0"/>
    <x v="8"/>
    <n v="-6.5998856036121802"/>
    <n v="-2408.9582453184498"/>
    <n v="-8672.2496831464105"/>
  </r>
  <r>
    <x v="0"/>
    <x v="0"/>
    <x v="1"/>
    <x v="0"/>
    <x v="1"/>
    <s v="DK2_MedSmall"/>
    <x v="1"/>
    <x v="1"/>
    <x v="88"/>
    <x v="0"/>
    <x v="9"/>
    <n v="-6.5998856036121802"/>
    <n v="-2408.9582453184498"/>
    <n v="-8672.2496831464105"/>
  </r>
  <r>
    <x v="0"/>
    <x v="0"/>
    <x v="1"/>
    <x v="0"/>
    <x v="1"/>
    <s v="DK2_MedSmall"/>
    <x v="1"/>
    <x v="1"/>
    <x v="88"/>
    <x v="0"/>
    <x v="10"/>
    <n v="-6.5998856036121802"/>
    <n v="-2408.9582453184498"/>
    <n v="-8672.2496831464105"/>
  </r>
  <r>
    <x v="0"/>
    <x v="0"/>
    <x v="1"/>
    <x v="0"/>
    <x v="1"/>
    <s v="DK2_MedSmall"/>
    <x v="1"/>
    <x v="1"/>
    <x v="88"/>
    <x v="0"/>
    <x v="11"/>
    <n v="-6.5998856036121802"/>
    <n v="-2408.9582453184498"/>
    <n v="-8672.2496831464105"/>
  </r>
  <r>
    <x v="0"/>
    <x v="0"/>
    <x v="1"/>
    <x v="0"/>
    <x v="1"/>
    <s v="DK2_MedSmall"/>
    <x v="1"/>
    <x v="1"/>
    <x v="88"/>
    <x v="0"/>
    <x v="12"/>
    <n v="-6.5998856036121802"/>
    <n v="-2408.9582453184498"/>
    <n v="-8672.2496831464105"/>
  </r>
  <r>
    <x v="0"/>
    <x v="0"/>
    <x v="1"/>
    <x v="0"/>
    <x v="1"/>
    <s v="DK2_MedSmall"/>
    <x v="1"/>
    <x v="1"/>
    <x v="88"/>
    <x v="0"/>
    <x v="13"/>
    <n v="-6.5239848490381096"/>
    <n v="-2381.25446989891"/>
    <n v="-8572.5160916360692"/>
  </r>
  <r>
    <x v="0"/>
    <x v="0"/>
    <x v="1"/>
    <x v="0"/>
    <x v="1"/>
    <s v="DK2_MedSmall"/>
    <x v="1"/>
    <x v="1"/>
    <x v="88"/>
    <x v="0"/>
    <x v="14"/>
    <n v="-6.5695253017825497"/>
    <n v="-2397.8767351506299"/>
    <n v="-8632.3562465422692"/>
  </r>
  <r>
    <x v="0"/>
    <x v="0"/>
    <x v="1"/>
    <x v="0"/>
    <x v="1"/>
    <s v="DK2_MedSmall"/>
    <x v="1"/>
    <x v="1"/>
    <x v="88"/>
    <x v="0"/>
    <x v="15"/>
    <n v="-6.5998856036121802"/>
    <n v="-2408.9582453184498"/>
    <n v="-8672.2496831464105"/>
  </r>
  <r>
    <x v="0"/>
    <x v="0"/>
    <x v="1"/>
    <x v="0"/>
    <x v="1"/>
    <s v="DK2_MedSmall"/>
    <x v="1"/>
    <x v="1"/>
    <x v="88"/>
    <x v="0"/>
    <x v="16"/>
    <n v="-6.5998856036121802"/>
    <n v="-2408.9582453184498"/>
    <n v="-8672.2496831464105"/>
  </r>
  <r>
    <x v="0"/>
    <x v="0"/>
    <x v="1"/>
    <x v="0"/>
    <x v="1"/>
    <s v="DK2_MedSmall"/>
    <x v="1"/>
    <x v="1"/>
    <x v="88"/>
    <x v="0"/>
    <x v="17"/>
    <n v="-6.5998856036121802"/>
    <n v="-2408.9582453184498"/>
    <n v="-8672.2496831464105"/>
  </r>
  <r>
    <x v="0"/>
    <x v="0"/>
    <x v="1"/>
    <x v="0"/>
    <x v="1"/>
    <s v="DK2_MedSmall"/>
    <x v="1"/>
    <x v="1"/>
    <x v="88"/>
    <x v="0"/>
    <x v="18"/>
    <n v="-6.5998856036121802"/>
    <n v="-2408.9582453184498"/>
    <n v="-8672.2496831464105"/>
  </r>
  <r>
    <x v="0"/>
    <x v="0"/>
    <x v="1"/>
    <x v="0"/>
    <x v="1"/>
    <s v="DK2_MedSmall"/>
    <x v="1"/>
    <x v="1"/>
    <x v="88"/>
    <x v="0"/>
    <x v="19"/>
    <n v="-6.5998856036121802"/>
    <n v="-2408.9582453184498"/>
    <n v="-8672.2496831464105"/>
  </r>
  <r>
    <x v="0"/>
    <x v="0"/>
    <x v="1"/>
    <x v="0"/>
    <x v="1"/>
    <s v="DK2_MedSmall"/>
    <x v="1"/>
    <x v="1"/>
    <x v="88"/>
    <x v="0"/>
    <x v="20"/>
    <n v="-6.5998856036121802"/>
    <n v="-2408.9582453184498"/>
    <n v="-8672.2496831464105"/>
  </r>
  <r>
    <x v="0"/>
    <x v="0"/>
    <x v="1"/>
    <x v="0"/>
    <x v="1"/>
    <s v="DK2_MedSmall"/>
    <x v="1"/>
    <x v="1"/>
    <x v="88"/>
    <x v="0"/>
    <x v="21"/>
    <n v="-6.0913505479658703"/>
    <n v="-2223.3429500075399"/>
    <n v="-8004.0346200271597"/>
  </r>
  <r>
    <x v="0"/>
    <x v="0"/>
    <x v="1"/>
    <x v="0"/>
    <x v="1"/>
    <s v="DK2_MedSmall"/>
    <x v="1"/>
    <x v="1"/>
    <x v="88"/>
    <x v="0"/>
    <x v="22"/>
    <n v="-6.0534001706788398"/>
    <n v="-2209.49106229778"/>
    <n v="-7954.16782427199"/>
  </r>
  <r>
    <x v="0"/>
    <x v="0"/>
    <x v="1"/>
    <x v="0"/>
    <x v="1"/>
    <s v="DK2_MedSmall"/>
    <x v="1"/>
    <x v="1"/>
    <x v="88"/>
    <x v="0"/>
    <x v="23"/>
    <n v="-6.1251908941279103"/>
    <n v="-2235.6946763566898"/>
    <n v="-8048.5008348840702"/>
  </r>
  <r>
    <x v="0"/>
    <x v="0"/>
    <x v="1"/>
    <x v="0"/>
    <x v="1"/>
    <s v="DK2_Medium"/>
    <x v="1"/>
    <x v="1"/>
    <x v="87"/>
    <x v="0"/>
    <x v="8"/>
    <n v="-0.27009945081616299"/>
    <n v="-98.586299547899401"/>
    <n v="-354.91067837243799"/>
  </r>
  <r>
    <x v="0"/>
    <x v="0"/>
    <x v="1"/>
    <x v="0"/>
    <x v="1"/>
    <s v="DK2_Medium"/>
    <x v="1"/>
    <x v="1"/>
    <x v="87"/>
    <x v="0"/>
    <x v="10"/>
    <n v="-0.81029835244846005"/>
    <n v="-295.75889864368798"/>
    <n v="-1064.73203511728"/>
  </r>
  <r>
    <x v="0"/>
    <x v="0"/>
    <x v="1"/>
    <x v="0"/>
    <x v="1"/>
    <s v="DK2_Medium"/>
    <x v="1"/>
    <x v="1"/>
    <x v="87"/>
    <x v="0"/>
    <x v="12"/>
    <n v="-0.81029835244846005"/>
    <n v="-295.75889864368798"/>
    <n v="-1064.73203511728"/>
  </r>
  <r>
    <x v="0"/>
    <x v="0"/>
    <x v="1"/>
    <x v="0"/>
    <x v="1"/>
    <s v="DK2_Medium"/>
    <x v="1"/>
    <x v="1"/>
    <x v="87"/>
    <x v="0"/>
    <x v="13"/>
    <n v="-2.9710939589776499"/>
    <n v="-1084.44929502684"/>
    <n v="-3904.01746209663"/>
  </r>
  <r>
    <x v="0"/>
    <x v="0"/>
    <x v="1"/>
    <x v="0"/>
    <x v="1"/>
    <s v="DK2_Medium"/>
    <x v="1"/>
    <x v="1"/>
    <x v="87"/>
    <x v="0"/>
    <x v="14"/>
    <n v="-3.7813923114261101"/>
    <n v="-1380.2081936705299"/>
    <n v="-4968.7494972139102"/>
  </r>
  <r>
    <x v="0"/>
    <x v="0"/>
    <x v="1"/>
    <x v="0"/>
    <x v="1"/>
    <s v="DK2_Medium"/>
    <x v="1"/>
    <x v="1"/>
    <x v="87"/>
    <x v="0"/>
    <x v="15"/>
    <n v="-3.5112928606099398"/>
    <n v="-1281.62189412263"/>
    <n v="-4613.8388188414701"/>
  </r>
  <r>
    <x v="0"/>
    <x v="0"/>
    <x v="1"/>
    <x v="0"/>
    <x v="1"/>
    <s v="DK2_Medium"/>
    <x v="1"/>
    <x v="1"/>
    <x v="87"/>
    <x v="0"/>
    <x v="16"/>
    <n v="-3.7813923114261101"/>
    <n v="-1380.2081936705299"/>
    <n v="-4968.7494972139102"/>
  </r>
  <r>
    <x v="0"/>
    <x v="0"/>
    <x v="1"/>
    <x v="0"/>
    <x v="1"/>
    <s v="DK2_Medium"/>
    <x v="1"/>
    <x v="1"/>
    <x v="88"/>
    <x v="0"/>
    <x v="0"/>
    <n v="-13.548188452938099"/>
    <n v="-4945.0887853224003"/>
    <n v="-17802.319627160599"/>
  </r>
  <r>
    <x v="0"/>
    <x v="0"/>
    <x v="1"/>
    <x v="0"/>
    <x v="1"/>
    <s v="DK2_Medium"/>
    <x v="1"/>
    <x v="1"/>
    <x v="88"/>
    <x v="0"/>
    <x v="1"/>
    <n v="-13.3253564060148"/>
    <n v="-4863.7550881953903"/>
    <n v="-17509.5183175034"/>
  </r>
  <r>
    <x v="0"/>
    <x v="0"/>
    <x v="1"/>
    <x v="0"/>
    <x v="1"/>
    <s v="DK2_Medium"/>
    <x v="1"/>
    <x v="1"/>
    <x v="88"/>
    <x v="0"/>
    <x v="2"/>
    <n v="-13.4590556341688"/>
    <n v="-4912.5553064715896"/>
    <n v="-17685.199103297698"/>
  </r>
  <r>
    <x v="0"/>
    <x v="0"/>
    <x v="1"/>
    <x v="0"/>
    <x v="1"/>
    <s v="DK2_Medium"/>
    <x v="1"/>
    <x v="1"/>
    <x v="88"/>
    <x v="0"/>
    <x v="3"/>
    <n v="-13.570471657630399"/>
    <n v="-4953.2221550350996"/>
    <n v="-17831.599758126398"/>
  </r>
  <r>
    <x v="0"/>
    <x v="0"/>
    <x v="1"/>
    <x v="0"/>
    <x v="1"/>
    <s v="DK2_Medium"/>
    <x v="1"/>
    <x v="1"/>
    <x v="88"/>
    <x v="0"/>
    <x v="4"/>
    <n v="-13.525905248245699"/>
    <n v="-4936.9554156097001"/>
    <n v="-17773.039496194899"/>
  </r>
  <r>
    <x v="0"/>
    <x v="0"/>
    <x v="1"/>
    <x v="0"/>
    <x v="1"/>
    <s v="DK2_Medium"/>
    <x v="1"/>
    <x v="1"/>
    <x v="88"/>
    <x v="0"/>
    <x v="5"/>
    <n v="-14.1275517749387"/>
    <n v="-5156.5563978526297"/>
    <n v="-18563.603032269501"/>
  </r>
  <r>
    <x v="0"/>
    <x v="0"/>
    <x v="1"/>
    <x v="0"/>
    <x v="1"/>
    <s v="DK2_Medium"/>
    <x v="1"/>
    <x v="1"/>
    <x v="88"/>
    <x v="0"/>
    <x v="6"/>
    <n v="-15.687376103402"/>
    <n v="-5725.8922777417301"/>
    <n v="-20613.212199870199"/>
  </r>
  <r>
    <x v="0"/>
    <x v="0"/>
    <x v="1"/>
    <x v="0"/>
    <x v="1"/>
    <s v="DK2_Medium"/>
    <x v="1"/>
    <x v="1"/>
    <x v="88"/>
    <x v="0"/>
    <x v="7"/>
    <n v="-16.122355963428301"/>
    <n v="-5884.6599266513304"/>
    <n v="-21184.775735944801"/>
  </r>
  <r>
    <x v="0"/>
    <x v="0"/>
    <x v="1"/>
    <x v="0"/>
    <x v="1"/>
    <s v="DK2_Medium"/>
    <x v="1"/>
    <x v="1"/>
    <x v="88"/>
    <x v="0"/>
    <x v="8"/>
    <n v="-16.389754419736299"/>
    <n v="-5982.2603632037399"/>
    <n v="-21536.1373075335"/>
  </r>
  <r>
    <x v="0"/>
    <x v="0"/>
    <x v="1"/>
    <x v="0"/>
    <x v="1"/>
    <s v="DK2_Medium"/>
    <x v="1"/>
    <x v="1"/>
    <x v="88"/>
    <x v="0"/>
    <x v="9"/>
    <n v="-16.389754419736299"/>
    <n v="-5982.2603632037399"/>
    <n v="-21536.1373075335"/>
  </r>
  <r>
    <x v="0"/>
    <x v="0"/>
    <x v="1"/>
    <x v="0"/>
    <x v="1"/>
    <s v="DK2_Medium"/>
    <x v="1"/>
    <x v="1"/>
    <x v="88"/>
    <x v="0"/>
    <x v="10"/>
    <n v="-16.389754419736299"/>
    <n v="-5982.2603632037399"/>
    <n v="-21536.1373075335"/>
  </r>
  <r>
    <x v="0"/>
    <x v="0"/>
    <x v="1"/>
    <x v="0"/>
    <x v="1"/>
    <s v="DK2_Medium"/>
    <x v="1"/>
    <x v="1"/>
    <x v="88"/>
    <x v="0"/>
    <x v="11"/>
    <n v="-16.389754419736299"/>
    <n v="-5982.2603632037399"/>
    <n v="-21536.1373075335"/>
  </r>
  <r>
    <x v="0"/>
    <x v="0"/>
    <x v="1"/>
    <x v="0"/>
    <x v="1"/>
    <s v="DK2_Medium"/>
    <x v="1"/>
    <x v="1"/>
    <x v="88"/>
    <x v="0"/>
    <x v="12"/>
    <n v="-16.389754419736299"/>
    <n v="-5982.2603632037399"/>
    <n v="-21536.1373075335"/>
  </r>
  <r>
    <x v="0"/>
    <x v="0"/>
    <x v="1"/>
    <x v="0"/>
    <x v="1"/>
    <s v="DK2_Medium"/>
    <x v="1"/>
    <x v="1"/>
    <x v="88"/>
    <x v="0"/>
    <x v="13"/>
    <n v="-16.389754419736299"/>
    <n v="-5982.2603632037399"/>
    <n v="-21536.1373075335"/>
  </r>
  <r>
    <x v="0"/>
    <x v="0"/>
    <x v="1"/>
    <x v="0"/>
    <x v="1"/>
    <s v="DK2_Medium"/>
    <x v="1"/>
    <x v="1"/>
    <x v="88"/>
    <x v="0"/>
    <x v="14"/>
    <n v="-16.389754419736299"/>
    <n v="-5982.2603632037399"/>
    <n v="-21536.1373075335"/>
  </r>
  <r>
    <x v="0"/>
    <x v="0"/>
    <x v="1"/>
    <x v="0"/>
    <x v="1"/>
    <s v="DK2_Medium"/>
    <x v="1"/>
    <x v="1"/>
    <x v="88"/>
    <x v="0"/>
    <x v="15"/>
    <n v="-16.389754419736299"/>
    <n v="-5982.2603632037399"/>
    <n v="-21536.1373075335"/>
  </r>
  <r>
    <x v="0"/>
    <x v="0"/>
    <x v="1"/>
    <x v="0"/>
    <x v="1"/>
    <s v="DK2_Medium"/>
    <x v="1"/>
    <x v="1"/>
    <x v="88"/>
    <x v="0"/>
    <x v="16"/>
    <n v="-16.389754419736299"/>
    <n v="-5982.2603632037399"/>
    <n v="-21536.1373075335"/>
  </r>
  <r>
    <x v="0"/>
    <x v="0"/>
    <x v="1"/>
    <x v="0"/>
    <x v="1"/>
    <s v="DK2_Medium"/>
    <x v="1"/>
    <x v="1"/>
    <x v="88"/>
    <x v="0"/>
    <x v="17"/>
    <n v="-16.389754419736299"/>
    <n v="-5982.2603632037399"/>
    <n v="-21536.1373075335"/>
  </r>
  <r>
    <x v="0"/>
    <x v="0"/>
    <x v="1"/>
    <x v="0"/>
    <x v="1"/>
    <s v="DK2_Medium"/>
    <x v="1"/>
    <x v="1"/>
    <x v="88"/>
    <x v="0"/>
    <x v="18"/>
    <n v="-16.389754419736299"/>
    <n v="-5982.2603632037399"/>
    <n v="-21536.1373075335"/>
  </r>
  <r>
    <x v="0"/>
    <x v="0"/>
    <x v="1"/>
    <x v="0"/>
    <x v="1"/>
    <s v="DK2_Medium"/>
    <x v="1"/>
    <x v="1"/>
    <x v="88"/>
    <x v="0"/>
    <x v="19"/>
    <n v="-16.389754419736299"/>
    <n v="-5982.2603632037399"/>
    <n v="-21536.1373075335"/>
  </r>
  <r>
    <x v="0"/>
    <x v="0"/>
    <x v="1"/>
    <x v="0"/>
    <x v="1"/>
    <s v="DK2_Medium"/>
    <x v="1"/>
    <x v="1"/>
    <x v="88"/>
    <x v="0"/>
    <x v="20"/>
    <n v="-16.389754419736299"/>
    <n v="-5982.2603632037399"/>
    <n v="-21536.1373075335"/>
  </r>
  <r>
    <x v="0"/>
    <x v="0"/>
    <x v="1"/>
    <x v="0"/>
    <x v="1"/>
    <s v="DK2_Medium"/>
    <x v="1"/>
    <x v="1"/>
    <x v="88"/>
    <x v="0"/>
    <x v="21"/>
    <n v="-15.5429926414277"/>
    <n v="-5673.19231412109"/>
    <n v="-20423.492330835899"/>
  </r>
  <r>
    <x v="0"/>
    <x v="0"/>
    <x v="1"/>
    <x v="0"/>
    <x v="1"/>
    <s v="DK2_Medium"/>
    <x v="1"/>
    <x v="1"/>
    <x v="88"/>
    <x v="0"/>
    <x v="22"/>
    <n v="-15.3201605945043"/>
    <n v="-5591.85861699408"/>
    <n v="-20130.6910211787"/>
  </r>
  <r>
    <x v="0"/>
    <x v="0"/>
    <x v="1"/>
    <x v="0"/>
    <x v="1"/>
    <s v="DK2_Medium"/>
    <x v="1"/>
    <x v="1"/>
    <x v="88"/>
    <x v="0"/>
    <x v="23"/>
    <n v="-15.3308448283247"/>
    <n v="-5595.7583623385099"/>
    <n v="-20144.730104418599"/>
  </r>
  <r>
    <x v="0"/>
    <x v="0"/>
    <x v="1"/>
    <x v="0"/>
    <x v="1"/>
    <s v="DK2_NoDH"/>
    <x v="4"/>
    <x v="3"/>
    <x v="9"/>
    <x v="0"/>
    <x v="6"/>
    <n v="1.36765973092062"/>
    <n v="499.19580178602502"/>
    <n v="1797.1048864296899"/>
  </r>
  <r>
    <x v="0"/>
    <x v="0"/>
    <x v="1"/>
    <x v="0"/>
    <x v="1"/>
    <s v="DK2_NoDH"/>
    <x v="4"/>
    <x v="3"/>
    <x v="9"/>
    <x v="0"/>
    <x v="7"/>
    <n v="14.5874004917129"/>
    <n v="5324.4011794751896"/>
    <n v="19167.844246110701"/>
  </r>
  <r>
    <x v="0"/>
    <x v="0"/>
    <x v="1"/>
    <x v="0"/>
    <x v="1"/>
    <s v="DK2_NoDH"/>
    <x v="4"/>
    <x v="3"/>
    <x v="9"/>
    <x v="0"/>
    <x v="8"/>
    <n v="42.569136603484402"/>
    <n v="15537.734860271799"/>
    <n v="55935.845496978502"/>
  </r>
  <r>
    <x v="0"/>
    <x v="0"/>
    <x v="1"/>
    <x v="0"/>
    <x v="1"/>
    <s v="DK2_NoDH"/>
    <x v="4"/>
    <x v="3"/>
    <x v="9"/>
    <x v="0"/>
    <x v="9"/>
    <n v="69.497483731014995"/>
    <n v="25366.581561820502"/>
    <n v="91319.693622553707"/>
  </r>
  <r>
    <x v="0"/>
    <x v="0"/>
    <x v="1"/>
    <x v="0"/>
    <x v="1"/>
    <s v="DK2_NoDH"/>
    <x v="4"/>
    <x v="3"/>
    <x v="9"/>
    <x v="0"/>
    <x v="10"/>
    <n v="92.622572840857799"/>
    <n v="33807.239086913098"/>
    <n v="121706.060712887"/>
  </r>
  <r>
    <x v="0"/>
    <x v="0"/>
    <x v="1"/>
    <x v="0"/>
    <x v="1"/>
    <s v="DK2_NoDH"/>
    <x v="4"/>
    <x v="3"/>
    <x v="9"/>
    <x v="0"/>
    <x v="11"/>
    <n v="107.431126820975"/>
    <n v="39212.361289655797"/>
    <n v="141164.50064276101"/>
  </r>
  <r>
    <x v="0"/>
    <x v="0"/>
    <x v="1"/>
    <x v="0"/>
    <x v="1"/>
    <s v="DK2_NoDH"/>
    <x v="4"/>
    <x v="3"/>
    <x v="9"/>
    <x v="0"/>
    <x v="12"/>
    <n v="113.62924432493401"/>
    <n v="41474.674178601002"/>
    <n v="149308.827042964"/>
  </r>
  <r>
    <x v="0"/>
    <x v="0"/>
    <x v="1"/>
    <x v="0"/>
    <x v="1"/>
    <s v="DK2_NoDH"/>
    <x v="4"/>
    <x v="3"/>
    <x v="9"/>
    <x v="0"/>
    <x v="13"/>
    <n v="114.27524530421999"/>
    <n v="41710.464536040403"/>
    <n v="150157.67232974499"/>
  </r>
  <r>
    <x v="0"/>
    <x v="0"/>
    <x v="1"/>
    <x v="0"/>
    <x v="1"/>
    <s v="DK2_NoDH"/>
    <x v="4"/>
    <x v="3"/>
    <x v="9"/>
    <x v="0"/>
    <x v="14"/>
    <n v="98.378383368008798"/>
    <n v="35908.109929323196"/>
    <n v="129269.19574556399"/>
  </r>
  <r>
    <x v="0"/>
    <x v="0"/>
    <x v="1"/>
    <x v="0"/>
    <x v="1"/>
    <s v="DK2_NoDH"/>
    <x v="4"/>
    <x v="3"/>
    <x v="9"/>
    <x v="0"/>
    <x v="15"/>
    <n v="74.467617391466902"/>
    <n v="27180.680347885402"/>
    <n v="97850.449252387596"/>
  </r>
  <r>
    <x v="0"/>
    <x v="0"/>
    <x v="1"/>
    <x v="0"/>
    <x v="1"/>
    <s v="DK2_NoDH"/>
    <x v="4"/>
    <x v="3"/>
    <x v="9"/>
    <x v="0"/>
    <x v="16"/>
    <n v="47.449062919981998"/>
    <n v="17318.907965793402"/>
    <n v="62348.068676856397"/>
  </r>
  <r>
    <x v="0"/>
    <x v="0"/>
    <x v="1"/>
    <x v="0"/>
    <x v="1"/>
    <s v="DK2_NoDH"/>
    <x v="4"/>
    <x v="3"/>
    <x v="9"/>
    <x v="0"/>
    <x v="17"/>
    <n v="18.021099390619899"/>
    <n v="6577.7012775762796"/>
    <n v="23679.724599274599"/>
  </r>
  <r>
    <x v="0"/>
    <x v="0"/>
    <x v="1"/>
    <x v="0"/>
    <x v="1"/>
    <s v="DK2_NoDH"/>
    <x v="4"/>
    <x v="3"/>
    <x v="9"/>
    <x v="0"/>
    <x v="18"/>
    <n v="1.4753265608016"/>
    <n v="538.49419469258396"/>
    <n v="1938.5791008932999"/>
  </r>
  <r>
    <x v="0"/>
    <x v="0"/>
    <x v="1"/>
    <x v="0"/>
    <x v="1"/>
    <s v="DK2_NoDH"/>
    <x v="5"/>
    <x v="4"/>
    <x v="10"/>
    <x v="0"/>
    <x v="0"/>
    <n v="8.2531860285989002E-3"/>
    <n v="3.0124129004386"/>
    <n v="10.844686441579"/>
  </r>
  <r>
    <x v="0"/>
    <x v="0"/>
    <x v="1"/>
    <x v="0"/>
    <x v="1"/>
    <s v="DK2_NoDH"/>
    <x v="5"/>
    <x v="4"/>
    <x v="10"/>
    <x v="0"/>
    <x v="1"/>
    <n v="8.2531860285989002E-3"/>
    <n v="3.0124129004386"/>
    <n v="10.844686441579"/>
  </r>
  <r>
    <x v="0"/>
    <x v="0"/>
    <x v="1"/>
    <x v="0"/>
    <x v="1"/>
    <s v="DK2_NoDH"/>
    <x v="5"/>
    <x v="4"/>
    <x v="10"/>
    <x v="0"/>
    <x v="2"/>
    <n v="8.2531860285989002E-3"/>
    <n v="3.0124129004386"/>
    <n v="10.844686441579"/>
  </r>
  <r>
    <x v="0"/>
    <x v="0"/>
    <x v="1"/>
    <x v="0"/>
    <x v="1"/>
    <s v="DK2_NoDH"/>
    <x v="5"/>
    <x v="4"/>
    <x v="10"/>
    <x v="0"/>
    <x v="3"/>
    <n v="8.2531860285989002E-3"/>
    <n v="3.0124129004386"/>
    <n v="10.844686441579"/>
  </r>
  <r>
    <x v="0"/>
    <x v="0"/>
    <x v="1"/>
    <x v="0"/>
    <x v="1"/>
    <s v="DK2_NoDH"/>
    <x v="5"/>
    <x v="4"/>
    <x v="10"/>
    <x v="0"/>
    <x v="4"/>
    <n v="8.2531860285989002E-3"/>
    <n v="3.0124129004386"/>
    <n v="10.844686441579"/>
  </r>
  <r>
    <x v="0"/>
    <x v="0"/>
    <x v="1"/>
    <x v="0"/>
    <x v="1"/>
    <s v="DK2_NoDH"/>
    <x v="5"/>
    <x v="4"/>
    <x v="10"/>
    <x v="0"/>
    <x v="5"/>
    <n v="8.2531860285989002E-3"/>
    <n v="3.0124129004386"/>
    <n v="10.844686441579"/>
  </r>
  <r>
    <x v="0"/>
    <x v="0"/>
    <x v="1"/>
    <x v="0"/>
    <x v="1"/>
    <s v="DK2_NoDH"/>
    <x v="5"/>
    <x v="4"/>
    <x v="10"/>
    <x v="0"/>
    <x v="6"/>
    <n v="8.2531860285989002E-3"/>
    <n v="3.0124129004386"/>
    <n v="10.844686441579"/>
  </r>
  <r>
    <x v="0"/>
    <x v="0"/>
    <x v="1"/>
    <x v="0"/>
    <x v="1"/>
    <s v="DK2_NoDH"/>
    <x v="5"/>
    <x v="4"/>
    <x v="10"/>
    <x v="0"/>
    <x v="7"/>
    <n v="8.2531860285989002E-3"/>
    <n v="3.0124129004386"/>
    <n v="10.844686441579"/>
  </r>
  <r>
    <x v="0"/>
    <x v="0"/>
    <x v="1"/>
    <x v="0"/>
    <x v="1"/>
    <s v="DK2_NoDH"/>
    <x v="5"/>
    <x v="4"/>
    <x v="10"/>
    <x v="0"/>
    <x v="8"/>
    <n v="8.2531860285989002E-3"/>
    <n v="3.0124129004386"/>
    <n v="10.844686441579"/>
  </r>
  <r>
    <x v="0"/>
    <x v="0"/>
    <x v="1"/>
    <x v="0"/>
    <x v="1"/>
    <s v="DK2_NoDH"/>
    <x v="5"/>
    <x v="4"/>
    <x v="10"/>
    <x v="0"/>
    <x v="9"/>
    <n v="8.2531860285989002E-3"/>
    <n v="3.0124129004386"/>
    <n v="10.844686441579"/>
  </r>
  <r>
    <x v="0"/>
    <x v="0"/>
    <x v="1"/>
    <x v="0"/>
    <x v="1"/>
    <s v="DK2_NoDH"/>
    <x v="5"/>
    <x v="4"/>
    <x v="10"/>
    <x v="0"/>
    <x v="10"/>
    <n v="8.2531860285989002E-3"/>
    <n v="3.0124129004386"/>
    <n v="10.844686441579"/>
  </r>
  <r>
    <x v="0"/>
    <x v="0"/>
    <x v="1"/>
    <x v="0"/>
    <x v="1"/>
    <s v="DK2_NoDH"/>
    <x v="5"/>
    <x v="4"/>
    <x v="10"/>
    <x v="0"/>
    <x v="11"/>
    <n v="8.2531860285989002E-3"/>
    <n v="3.0124129004386"/>
    <n v="10.844686441579"/>
  </r>
  <r>
    <x v="0"/>
    <x v="0"/>
    <x v="1"/>
    <x v="0"/>
    <x v="1"/>
    <s v="DK2_NoDH"/>
    <x v="5"/>
    <x v="4"/>
    <x v="10"/>
    <x v="0"/>
    <x v="12"/>
    <n v="8.2531860285989002E-3"/>
    <n v="3.0124129004386"/>
    <n v="10.844686441579"/>
  </r>
  <r>
    <x v="0"/>
    <x v="0"/>
    <x v="1"/>
    <x v="0"/>
    <x v="1"/>
    <s v="DK2_NoDH"/>
    <x v="5"/>
    <x v="4"/>
    <x v="10"/>
    <x v="0"/>
    <x v="13"/>
    <n v="8.2531860285989002E-3"/>
    <n v="3.0124129004386"/>
    <n v="10.844686441579"/>
  </r>
  <r>
    <x v="0"/>
    <x v="0"/>
    <x v="1"/>
    <x v="0"/>
    <x v="1"/>
    <s v="DK2_NoDH"/>
    <x v="5"/>
    <x v="4"/>
    <x v="10"/>
    <x v="0"/>
    <x v="14"/>
    <n v="8.2531860285989002E-3"/>
    <n v="3.0124129004386"/>
    <n v="10.844686441579"/>
  </r>
  <r>
    <x v="0"/>
    <x v="0"/>
    <x v="1"/>
    <x v="0"/>
    <x v="1"/>
    <s v="DK2_NoDH"/>
    <x v="5"/>
    <x v="4"/>
    <x v="10"/>
    <x v="0"/>
    <x v="15"/>
    <n v="8.2531860285989002E-3"/>
    <n v="3.0124129004386"/>
    <n v="10.844686441579"/>
  </r>
  <r>
    <x v="0"/>
    <x v="0"/>
    <x v="1"/>
    <x v="0"/>
    <x v="1"/>
    <s v="DK2_NoDH"/>
    <x v="5"/>
    <x v="4"/>
    <x v="10"/>
    <x v="0"/>
    <x v="16"/>
    <n v="8.2531860285989002E-3"/>
    <n v="3.0124129004386"/>
    <n v="10.844686441579"/>
  </r>
  <r>
    <x v="0"/>
    <x v="0"/>
    <x v="1"/>
    <x v="0"/>
    <x v="1"/>
    <s v="DK2_NoDH"/>
    <x v="5"/>
    <x v="4"/>
    <x v="10"/>
    <x v="0"/>
    <x v="17"/>
    <n v="8.2531860285989002E-3"/>
    <n v="3.0124129004386"/>
    <n v="10.844686441579"/>
  </r>
  <r>
    <x v="0"/>
    <x v="0"/>
    <x v="1"/>
    <x v="0"/>
    <x v="1"/>
    <s v="DK2_NoDH"/>
    <x v="5"/>
    <x v="4"/>
    <x v="10"/>
    <x v="0"/>
    <x v="18"/>
    <n v="8.2531860285989002E-3"/>
    <n v="3.0124129004386"/>
    <n v="10.844686441579"/>
  </r>
  <r>
    <x v="0"/>
    <x v="0"/>
    <x v="1"/>
    <x v="0"/>
    <x v="1"/>
    <s v="DK2_NoDH"/>
    <x v="5"/>
    <x v="4"/>
    <x v="10"/>
    <x v="0"/>
    <x v="19"/>
    <n v="8.2531860285989002E-3"/>
    <n v="3.0124129004386"/>
    <n v="10.844686441579"/>
  </r>
  <r>
    <x v="0"/>
    <x v="0"/>
    <x v="1"/>
    <x v="0"/>
    <x v="1"/>
    <s v="DK2_NoDH"/>
    <x v="5"/>
    <x v="4"/>
    <x v="10"/>
    <x v="0"/>
    <x v="20"/>
    <n v="8.2531860285989002E-3"/>
    <n v="3.0124129004386"/>
    <n v="10.844686441579"/>
  </r>
  <r>
    <x v="0"/>
    <x v="0"/>
    <x v="1"/>
    <x v="0"/>
    <x v="1"/>
    <s v="DK2_NoDH"/>
    <x v="5"/>
    <x v="4"/>
    <x v="10"/>
    <x v="0"/>
    <x v="21"/>
    <n v="8.2531860285989002E-3"/>
    <n v="3.0124129004386"/>
    <n v="10.844686441579"/>
  </r>
  <r>
    <x v="0"/>
    <x v="0"/>
    <x v="1"/>
    <x v="0"/>
    <x v="1"/>
    <s v="DK2_NoDH"/>
    <x v="5"/>
    <x v="4"/>
    <x v="10"/>
    <x v="0"/>
    <x v="22"/>
    <n v="8.2531860285989002E-3"/>
    <n v="3.0124129004386"/>
    <n v="10.844686441579"/>
  </r>
  <r>
    <x v="0"/>
    <x v="0"/>
    <x v="1"/>
    <x v="0"/>
    <x v="1"/>
    <s v="DK2_NoDH"/>
    <x v="5"/>
    <x v="4"/>
    <x v="10"/>
    <x v="0"/>
    <x v="23"/>
    <n v="8.2531860285989002E-3"/>
    <n v="3.0124129004386"/>
    <n v="10.844686441579"/>
  </r>
  <r>
    <x v="0"/>
    <x v="0"/>
    <x v="1"/>
    <x v="0"/>
    <x v="1"/>
    <s v="DK2_NoDH"/>
    <x v="6"/>
    <x v="5"/>
    <x v="11"/>
    <x v="0"/>
    <x v="0"/>
    <n v="84.591461297541898"/>
    <n v="30875.883373602799"/>
    <n v="111153.18014497"/>
  </r>
  <r>
    <x v="0"/>
    <x v="0"/>
    <x v="1"/>
    <x v="0"/>
    <x v="1"/>
    <s v="DK2_NoDH"/>
    <x v="6"/>
    <x v="5"/>
    <x v="11"/>
    <x v="0"/>
    <x v="1"/>
    <n v="86.449044062521693"/>
    <n v="31553.901082820401"/>
    <n v="113594.04389815401"/>
  </r>
  <r>
    <x v="0"/>
    <x v="0"/>
    <x v="1"/>
    <x v="0"/>
    <x v="1"/>
    <s v="DK2_NoDH"/>
    <x v="6"/>
    <x v="5"/>
    <x v="11"/>
    <x v="0"/>
    <x v="2"/>
    <n v="88.735299773266107"/>
    <n v="32388.384417242101"/>
    <n v="116598.18390207201"/>
  </r>
  <r>
    <x v="0"/>
    <x v="0"/>
    <x v="1"/>
    <x v="0"/>
    <x v="1"/>
    <s v="DK2_NoDH"/>
    <x v="6"/>
    <x v="5"/>
    <x v="11"/>
    <x v="0"/>
    <x v="3"/>
    <n v="85.020134243306501"/>
    <n v="31032.348998806901"/>
    <n v="111716.456395705"/>
  </r>
  <r>
    <x v="0"/>
    <x v="0"/>
    <x v="1"/>
    <x v="0"/>
    <x v="1"/>
    <s v="DK2_NoDH"/>
    <x v="6"/>
    <x v="5"/>
    <x v="11"/>
    <x v="0"/>
    <x v="4"/>
    <n v="100.30946930891"/>
    <n v="36612.956297752004"/>
    <n v="131806.642671907"/>
  </r>
  <r>
    <x v="0"/>
    <x v="0"/>
    <x v="1"/>
    <x v="0"/>
    <x v="1"/>
    <s v="DK2_NoDH"/>
    <x v="6"/>
    <x v="5"/>
    <x v="11"/>
    <x v="0"/>
    <x v="5"/>
    <n v="110.883401971102"/>
    <n v="40472.441719452298"/>
    <n v="145700.790190028"/>
  </r>
  <r>
    <x v="0"/>
    <x v="0"/>
    <x v="1"/>
    <x v="0"/>
    <x v="1"/>
    <s v="DK2_NoDH"/>
    <x v="6"/>
    <x v="5"/>
    <x v="11"/>
    <x v="0"/>
    <x v="6"/>
    <n v="117.45638713949199"/>
    <n v="42871.581305914697"/>
    <n v="154337.69270129301"/>
  </r>
  <r>
    <x v="0"/>
    <x v="0"/>
    <x v="1"/>
    <x v="0"/>
    <x v="1"/>
    <s v="DK2_NoDH"/>
    <x v="6"/>
    <x v="5"/>
    <x v="11"/>
    <x v="0"/>
    <x v="7"/>
    <n v="126.744300964391"/>
    <n v="46261.6698520028"/>
    <n v="166542.01146720999"/>
  </r>
  <r>
    <x v="0"/>
    <x v="0"/>
    <x v="1"/>
    <x v="0"/>
    <x v="1"/>
    <s v="DK2_NoDH"/>
    <x v="6"/>
    <x v="5"/>
    <x v="11"/>
    <x v="0"/>
    <x v="8"/>
    <n v="131.60259434972301"/>
    <n v="48034.946937649001"/>
    <n v="172925.808975536"/>
  </r>
  <r>
    <x v="0"/>
    <x v="0"/>
    <x v="1"/>
    <x v="0"/>
    <x v="1"/>
    <s v="DK2_NoDH"/>
    <x v="6"/>
    <x v="5"/>
    <x v="11"/>
    <x v="0"/>
    <x v="9"/>
    <n v="130.745248458194"/>
    <n v="47722.015687240797"/>
    <n v="171799.25647406699"/>
  </r>
  <r>
    <x v="0"/>
    <x v="0"/>
    <x v="1"/>
    <x v="0"/>
    <x v="1"/>
    <s v="DK2_NoDH"/>
    <x v="6"/>
    <x v="5"/>
    <x v="11"/>
    <x v="0"/>
    <x v="10"/>
    <n v="127.03008292823399"/>
    <n v="46365.980268805601"/>
    <n v="166917.5289677"/>
  </r>
  <r>
    <x v="0"/>
    <x v="0"/>
    <x v="1"/>
    <x v="0"/>
    <x v="1"/>
    <s v="DK2_NoDH"/>
    <x v="6"/>
    <x v="5"/>
    <x v="11"/>
    <x v="0"/>
    <x v="11"/>
    <n v="118.02795106717799"/>
    <n v="43080.202139520101"/>
    <n v="155088.72770227201"/>
  </r>
  <r>
    <x v="0"/>
    <x v="0"/>
    <x v="1"/>
    <x v="0"/>
    <x v="1"/>
    <s v="DK2_NoDH"/>
    <x v="6"/>
    <x v="5"/>
    <x v="11"/>
    <x v="0"/>
    <x v="12"/>
    <n v="106.453781531535"/>
    <n v="38855.630259010301"/>
    <n v="139880.268932437"/>
  </r>
  <r>
    <x v="0"/>
    <x v="0"/>
    <x v="1"/>
    <x v="0"/>
    <x v="1"/>
    <s v="DK2_NoDH"/>
    <x v="6"/>
    <x v="5"/>
    <x v="11"/>
    <x v="0"/>
    <x v="13"/>
    <n v="90.021318610559803"/>
    <n v="32857.781292854299"/>
    <n v="118288.012654276"/>
  </r>
  <r>
    <x v="0"/>
    <x v="0"/>
    <x v="1"/>
    <x v="0"/>
    <x v="1"/>
    <s v="DK2_NoDH"/>
    <x v="6"/>
    <x v="5"/>
    <x v="11"/>
    <x v="0"/>
    <x v="14"/>
    <n v="78.590040056837907"/>
    <n v="28685.3646207458"/>
    <n v="103267.312634685"/>
  </r>
  <r>
    <x v="0"/>
    <x v="0"/>
    <x v="1"/>
    <x v="0"/>
    <x v="1"/>
    <s v="DK2_NoDH"/>
    <x v="6"/>
    <x v="5"/>
    <x v="11"/>
    <x v="0"/>
    <x v="15"/>
    <n v="88.020844863658496"/>
    <n v="32127.608375235399"/>
    <n v="115659.390150847"/>
  </r>
  <r>
    <x v="0"/>
    <x v="0"/>
    <x v="1"/>
    <x v="0"/>
    <x v="1"/>
    <s v="DK2_NoDH"/>
    <x v="6"/>
    <x v="5"/>
    <x v="11"/>
    <x v="0"/>
    <x v="16"/>
    <n v="97.880322616243603"/>
    <n v="35726.317754928903"/>
    <n v="128614.743917744"/>
  </r>
  <r>
    <x v="0"/>
    <x v="0"/>
    <x v="1"/>
    <x v="0"/>
    <x v="1"/>
    <s v="DK2_NoDH"/>
    <x v="6"/>
    <x v="5"/>
    <x v="11"/>
    <x v="0"/>
    <x v="17"/>
    <n v="98.451886543929703"/>
    <n v="35934.9385885343"/>
    <n v="129365.778918724"/>
  </r>
  <r>
    <x v="0"/>
    <x v="0"/>
    <x v="1"/>
    <x v="0"/>
    <x v="1"/>
    <s v="DK2_NoDH"/>
    <x v="6"/>
    <x v="5"/>
    <x v="11"/>
    <x v="0"/>
    <x v="18"/>
    <n v="82.733878532562102"/>
    <n v="30197.865664385201"/>
    <n v="108712.316391787"/>
  </r>
  <r>
    <x v="0"/>
    <x v="0"/>
    <x v="1"/>
    <x v="0"/>
    <x v="1"/>
    <s v="DK2_NoDH"/>
    <x v="6"/>
    <x v="5"/>
    <x v="11"/>
    <x v="0"/>
    <x v="19"/>
    <n v="71.302599978840206"/>
    <n v="26025.448992276699"/>
    <n v="93691.616372196106"/>
  </r>
  <r>
    <x v="0"/>
    <x v="0"/>
    <x v="1"/>
    <x v="0"/>
    <x v="1"/>
    <s v="DK2_NoDH"/>
    <x v="6"/>
    <x v="5"/>
    <x v="11"/>
    <x v="0"/>
    <x v="20"/>
    <n v="59.299757497432303"/>
    <n v="21644.4114865628"/>
    <n v="77919.881351625998"/>
  </r>
  <r>
    <x v="0"/>
    <x v="0"/>
    <x v="1"/>
    <x v="0"/>
    <x v="1"/>
    <s v="DK2_NoDH"/>
    <x v="6"/>
    <x v="5"/>
    <x v="11"/>
    <x v="0"/>
    <x v="21"/>
    <n v="55.727482949394201"/>
    <n v="20340.531276528902"/>
    <n v="73225.912595503905"/>
  </r>
  <r>
    <x v="0"/>
    <x v="0"/>
    <x v="1"/>
    <x v="0"/>
    <x v="1"/>
    <s v="DK2_NoDH"/>
    <x v="6"/>
    <x v="5"/>
    <x v="11"/>
    <x v="0"/>
    <x v="22"/>
    <n v="65.015396774293194"/>
    <n v="23730.619822617002"/>
    <n v="85430.231361421305"/>
  </r>
  <r>
    <x v="0"/>
    <x v="0"/>
    <x v="1"/>
    <x v="0"/>
    <x v="1"/>
    <s v="DK2_NoDH"/>
    <x v="6"/>
    <x v="5"/>
    <x v="11"/>
    <x v="0"/>
    <x v="23"/>
    <n v="74.589092563035294"/>
    <n v="27225.018785507898"/>
    <n v="98010.067627828394"/>
  </r>
  <r>
    <x v="0"/>
    <x v="0"/>
    <x v="1"/>
    <x v="0"/>
    <x v="1"/>
    <s v="DK2_Offshore"/>
    <x v="6"/>
    <x v="5"/>
    <x v="12"/>
    <x v="0"/>
    <x v="0"/>
    <n v="374.157679266608"/>
    <n v="136567.55293231201"/>
    <n v="491643.19055632298"/>
  </r>
  <r>
    <x v="0"/>
    <x v="0"/>
    <x v="1"/>
    <x v="0"/>
    <x v="1"/>
    <s v="DK2_Offshore"/>
    <x v="6"/>
    <x v="5"/>
    <x v="12"/>
    <x v="0"/>
    <x v="1"/>
    <n v="382.37397965590901"/>
    <n v="139566.502574407"/>
    <n v="502439.40926786402"/>
  </r>
  <r>
    <x v="0"/>
    <x v="0"/>
    <x v="1"/>
    <x v="0"/>
    <x v="1"/>
    <s v="DK2_Offshore"/>
    <x v="6"/>
    <x v="5"/>
    <x v="12"/>
    <x v="0"/>
    <x v="2"/>
    <n v="392.48634936581698"/>
    <n v="143257.517518523"/>
    <n v="515727.06306668301"/>
  </r>
  <r>
    <x v="0"/>
    <x v="0"/>
    <x v="1"/>
    <x v="0"/>
    <x v="1"/>
    <s v="DK2_Offshore"/>
    <x v="6"/>
    <x v="5"/>
    <x v="12"/>
    <x v="0"/>
    <x v="3"/>
    <n v="376.05374858721598"/>
    <n v="137259.61823433399"/>
    <n v="494134.62564360199"/>
  </r>
  <r>
    <x v="0"/>
    <x v="0"/>
    <x v="1"/>
    <x v="0"/>
    <x v="1"/>
    <s v="DK2_Offshore"/>
    <x v="6"/>
    <x v="5"/>
    <x v="12"/>
    <x v="0"/>
    <x v="4"/>
    <n v="443.68022102222801"/>
    <n v="161943.28067311301"/>
    <n v="582995.810423207"/>
  </r>
  <r>
    <x v="0"/>
    <x v="0"/>
    <x v="1"/>
    <x v="0"/>
    <x v="1"/>
    <s v="DK2_Offshore"/>
    <x v="6"/>
    <x v="5"/>
    <x v="12"/>
    <x v="0"/>
    <x v="5"/>
    <n v="490.44993093055399"/>
    <n v="179014.22478965201"/>
    <n v="644451.20924274798"/>
  </r>
  <r>
    <x v="0"/>
    <x v="0"/>
    <x v="1"/>
    <x v="0"/>
    <x v="1"/>
    <s v="DK2_Offshore"/>
    <x v="6"/>
    <x v="5"/>
    <x v="12"/>
    <x v="0"/>
    <x v="6"/>
    <n v="519.52299384653998"/>
    <n v="189625.89275398699"/>
    <n v="682653.21391435398"/>
  </r>
  <r>
    <x v="0"/>
    <x v="0"/>
    <x v="1"/>
    <x v="0"/>
    <x v="1"/>
    <s v="DK2_Offshore"/>
    <x v="6"/>
    <x v="5"/>
    <x v="12"/>
    <x v="0"/>
    <x v="7"/>
    <n v="560.60449579304304"/>
    <n v="204620.640964461"/>
    <n v="736634.30747205799"/>
  </r>
  <r>
    <x v="0"/>
    <x v="0"/>
    <x v="1"/>
    <x v="0"/>
    <x v="1"/>
    <s v="DK2_Offshore"/>
    <x v="6"/>
    <x v="5"/>
    <x v="12"/>
    <x v="0"/>
    <x v="8"/>
    <n v="582.09328142659797"/>
    <n v="212464.04772070801"/>
    <n v="764870.57179455005"/>
  </r>
  <r>
    <x v="0"/>
    <x v="0"/>
    <x v="1"/>
    <x v="0"/>
    <x v="1"/>
    <s v="DK2_Offshore"/>
    <x v="6"/>
    <x v="5"/>
    <x v="12"/>
    <x v="0"/>
    <x v="9"/>
    <n v="578.30114278538201"/>
    <n v="211079.91711666499"/>
    <n v="759887.70161999203"/>
  </r>
  <r>
    <x v="0"/>
    <x v="0"/>
    <x v="1"/>
    <x v="0"/>
    <x v="1"/>
    <s v="DK2_Offshore"/>
    <x v="6"/>
    <x v="5"/>
    <x v="12"/>
    <x v="0"/>
    <x v="10"/>
    <n v="561.86854200678101"/>
    <n v="205082.01783247499"/>
    <n v="738295.26419691101"/>
  </r>
  <r>
    <x v="0"/>
    <x v="0"/>
    <x v="1"/>
    <x v="0"/>
    <x v="1"/>
    <s v="DK2_Offshore"/>
    <x v="6"/>
    <x v="5"/>
    <x v="12"/>
    <x v="0"/>
    <x v="11"/>
    <n v="522.05108627401705"/>
    <n v="190548.64649001599"/>
    <n v="685975.12736405898"/>
  </r>
  <r>
    <x v="0"/>
    <x v="0"/>
    <x v="1"/>
    <x v="0"/>
    <x v="1"/>
    <s v="DK2_Offshore"/>
    <x v="6"/>
    <x v="5"/>
    <x v="12"/>
    <x v="0"/>
    <x v="12"/>
    <n v="470.85721461760602"/>
    <n v="171862.88333542601"/>
    <n v="618706.38000753499"/>
  </r>
  <r>
    <x v="0"/>
    <x v="0"/>
    <x v="1"/>
    <x v="0"/>
    <x v="1"/>
    <s v="DK2_Offshore"/>
    <x v="6"/>
    <x v="5"/>
    <x v="12"/>
    <x v="0"/>
    <x v="13"/>
    <n v="398.17455732764"/>
    <n v="145333.71342458899"/>
    <n v="523201.36832851899"/>
  </r>
  <r>
    <x v="0"/>
    <x v="0"/>
    <x v="1"/>
    <x v="0"/>
    <x v="1"/>
    <s v="DK2_Offshore"/>
    <x v="6"/>
    <x v="5"/>
    <x v="12"/>
    <x v="0"/>
    <x v="14"/>
    <n v="347.61270877809898"/>
    <n v="126878.63870400601"/>
    <n v="456763.09933442198"/>
  </r>
  <r>
    <x v="0"/>
    <x v="0"/>
    <x v="1"/>
    <x v="0"/>
    <x v="1"/>
    <s v="DK2_Offshore"/>
    <x v="6"/>
    <x v="5"/>
    <x v="12"/>
    <x v="0"/>
    <x v="15"/>
    <n v="389.32623383147097"/>
    <n v="142104.07534848701"/>
    <n v="511574.67125455203"/>
  </r>
  <r>
    <x v="0"/>
    <x v="0"/>
    <x v="1"/>
    <x v="0"/>
    <x v="1"/>
    <s v="DK2_Offshore"/>
    <x v="6"/>
    <x v="5"/>
    <x v="12"/>
    <x v="0"/>
    <x v="16"/>
    <n v="432.93582820544998"/>
    <n v="158021.57729498899"/>
    <n v="568877.67826196202"/>
  </r>
  <r>
    <x v="0"/>
    <x v="0"/>
    <x v="1"/>
    <x v="0"/>
    <x v="1"/>
    <s v="DK2_Offshore"/>
    <x v="6"/>
    <x v="5"/>
    <x v="12"/>
    <x v="0"/>
    <x v="17"/>
    <n v="435.463920632927"/>
    <n v="158944.33103101799"/>
    <n v="572199.59171166597"/>
  </r>
  <r>
    <x v="0"/>
    <x v="0"/>
    <x v="1"/>
    <x v="0"/>
    <x v="1"/>
    <s v="DK2_Offshore"/>
    <x v="6"/>
    <x v="5"/>
    <x v="12"/>
    <x v="0"/>
    <x v="18"/>
    <n v="365.94137887730801"/>
    <n v="133568.603290217"/>
    <n v="480846.97184478201"/>
  </r>
  <r>
    <x v="0"/>
    <x v="0"/>
    <x v="1"/>
    <x v="0"/>
    <x v="1"/>
    <s v="DK2_Offshore"/>
    <x v="6"/>
    <x v="5"/>
    <x v="12"/>
    <x v="0"/>
    <x v="19"/>
    <n v="315.37953032776602"/>
    <n v="115113.528569635"/>
    <n v="414408.702850684"/>
  </r>
  <r>
    <x v="0"/>
    <x v="0"/>
    <x v="1"/>
    <x v="0"/>
    <x v="1"/>
    <s v="DK2_Offshore"/>
    <x v="6"/>
    <x v="5"/>
    <x v="12"/>
    <x v="0"/>
    <x v="20"/>
    <n v="262.28958935074701"/>
    <n v="95735.7001130227"/>
    <n v="344648.52040688199"/>
  </r>
  <r>
    <x v="0"/>
    <x v="0"/>
    <x v="1"/>
    <x v="0"/>
    <x v="1"/>
    <s v="DK2_Offshore"/>
    <x v="6"/>
    <x v="5"/>
    <x v="12"/>
    <x v="0"/>
    <x v="21"/>
    <n v="246.48901167901499"/>
    <n v="89968.489262840594"/>
    <n v="323886.56134622602"/>
  </r>
  <r>
    <x v="0"/>
    <x v="0"/>
    <x v="1"/>
    <x v="0"/>
    <x v="1"/>
    <s v="DK2_Offshore"/>
    <x v="6"/>
    <x v="5"/>
    <x v="12"/>
    <x v="0"/>
    <x v="22"/>
    <n v="287.570513625518"/>
    <n v="104963.237473314"/>
    <n v="377867.65490393102"/>
  </r>
  <r>
    <x v="0"/>
    <x v="0"/>
    <x v="1"/>
    <x v="0"/>
    <x v="1"/>
    <s v="DK2_Offshore"/>
    <x v="6"/>
    <x v="5"/>
    <x v="12"/>
    <x v="0"/>
    <x v="23"/>
    <n v="329.91606178575898"/>
    <n v="120419.362551802"/>
    <n v="433509.70518648799"/>
  </r>
  <r>
    <x v="0"/>
    <x v="0"/>
    <x v="1"/>
    <x v="0"/>
    <x v="1"/>
    <s v="DK2_Rural"/>
    <x v="1"/>
    <x v="1"/>
    <x v="2"/>
    <x v="0"/>
    <x v="10"/>
    <n v="-3.72961427088191"/>
    <n v="-1361.3092088719"/>
    <n v="-4900.7131519388304"/>
  </r>
  <r>
    <x v="0"/>
    <x v="0"/>
    <x v="1"/>
    <x v="0"/>
    <x v="1"/>
    <s v="DK2_Rural"/>
    <x v="1"/>
    <x v="1"/>
    <x v="2"/>
    <x v="0"/>
    <x v="11"/>
    <n v="-3.8628382200255098"/>
    <n v="-1409.9359503093101"/>
    <n v="-5075.7694211135204"/>
  </r>
  <r>
    <x v="0"/>
    <x v="0"/>
    <x v="1"/>
    <x v="0"/>
    <x v="1"/>
    <s v="DK2_Rural"/>
    <x v="1"/>
    <x v="1"/>
    <x v="2"/>
    <x v="0"/>
    <x v="12"/>
    <n v="-2.3973747794460398"/>
    <n v="-875.04179449780395"/>
    <n v="-3150.1504601921001"/>
  </r>
  <r>
    <x v="0"/>
    <x v="0"/>
    <x v="1"/>
    <x v="0"/>
    <x v="1"/>
    <s v="DK2_Rural"/>
    <x v="1"/>
    <x v="1"/>
    <x v="2"/>
    <x v="0"/>
    <x v="16"/>
    <n v="-2.7970466268768099"/>
    <n v="-1020.92201881003"/>
    <n v="-3675.3192677161201"/>
  </r>
  <r>
    <x v="0"/>
    <x v="0"/>
    <x v="1"/>
    <x v="0"/>
    <x v="1"/>
    <s v="DK2_Rural"/>
    <x v="1"/>
    <x v="1"/>
    <x v="88"/>
    <x v="0"/>
    <x v="0"/>
    <n v="-14.998796274415399"/>
    <n v="-5474.5606401616096"/>
    <n v="-19708.418304581799"/>
  </r>
  <r>
    <x v="0"/>
    <x v="0"/>
    <x v="1"/>
    <x v="0"/>
    <x v="1"/>
    <s v="DK2_Rural"/>
    <x v="1"/>
    <x v="1"/>
    <x v="88"/>
    <x v="0"/>
    <x v="1"/>
    <n v="-14.832266337985899"/>
    <n v="-5413.7772133648496"/>
    <n v="-19489.5979681135"/>
  </r>
  <r>
    <x v="0"/>
    <x v="0"/>
    <x v="1"/>
    <x v="0"/>
    <x v="1"/>
    <s v="DK2_Rural"/>
    <x v="1"/>
    <x v="1"/>
    <x v="88"/>
    <x v="0"/>
    <x v="2"/>
    <n v="-14.7101443846043"/>
    <n v="-5369.2027003805597"/>
    <n v="-19329.129721370002"/>
  </r>
  <r>
    <x v="0"/>
    <x v="0"/>
    <x v="1"/>
    <x v="0"/>
    <x v="1"/>
    <s v="DK2_Rural"/>
    <x v="1"/>
    <x v="1"/>
    <x v="88"/>
    <x v="0"/>
    <x v="3"/>
    <n v="-14.7989603507"/>
    <n v="-5401.6205280055001"/>
    <n v="-19445.833900819802"/>
  </r>
  <r>
    <x v="0"/>
    <x v="0"/>
    <x v="1"/>
    <x v="0"/>
    <x v="1"/>
    <s v="DK2_Rural"/>
    <x v="1"/>
    <x v="1"/>
    <x v="88"/>
    <x v="0"/>
    <x v="4"/>
    <n v="-15.231938185416601"/>
    <n v="-5559.6574376770805"/>
    <n v="-20014.766775637501"/>
  </r>
  <r>
    <x v="0"/>
    <x v="0"/>
    <x v="1"/>
    <x v="0"/>
    <x v="1"/>
    <s v="DK2_Rural"/>
    <x v="1"/>
    <x v="1"/>
    <x v="88"/>
    <x v="0"/>
    <x v="5"/>
    <n v="-15.553896062513701"/>
    <n v="-5677.1720628174799"/>
    <n v="-20437.819426142902"/>
  </r>
  <r>
    <x v="0"/>
    <x v="0"/>
    <x v="1"/>
    <x v="0"/>
    <x v="1"/>
    <s v="DK2_Rural"/>
    <x v="1"/>
    <x v="1"/>
    <x v="88"/>
    <x v="0"/>
    <x v="6"/>
    <n v="-17.5855612869533"/>
    <n v="-6418.7298697379701"/>
    <n v="-23107.427531056699"/>
  </r>
  <r>
    <x v="0"/>
    <x v="0"/>
    <x v="1"/>
    <x v="0"/>
    <x v="1"/>
    <s v="DK2_Rural"/>
    <x v="1"/>
    <x v="1"/>
    <x v="88"/>
    <x v="0"/>
    <x v="7"/>
    <n v="-18.153410545297302"/>
    <n v="-6625.99484903351"/>
    <n v="-23853.581456520598"/>
  </r>
  <r>
    <x v="0"/>
    <x v="0"/>
    <x v="1"/>
    <x v="0"/>
    <x v="1"/>
    <s v="DK2_Rural"/>
    <x v="1"/>
    <x v="1"/>
    <x v="88"/>
    <x v="0"/>
    <x v="8"/>
    <n v="-18.419858443584499"/>
    <n v="-6723.2483319083303"/>
    <n v="-24203.693994869998"/>
  </r>
  <r>
    <x v="0"/>
    <x v="0"/>
    <x v="1"/>
    <x v="0"/>
    <x v="1"/>
    <s v="DK2_Rural"/>
    <x v="1"/>
    <x v="1"/>
    <x v="88"/>
    <x v="0"/>
    <x v="9"/>
    <n v="-18.419858443584499"/>
    <n v="-6723.2483319083303"/>
    <n v="-24203.693994869998"/>
  </r>
  <r>
    <x v="0"/>
    <x v="0"/>
    <x v="1"/>
    <x v="0"/>
    <x v="1"/>
    <s v="DK2_Rural"/>
    <x v="1"/>
    <x v="1"/>
    <x v="88"/>
    <x v="0"/>
    <x v="10"/>
    <n v="-18.419858443584499"/>
    <n v="-6723.2483319083303"/>
    <n v="-24203.693994869998"/>
  </r>
  <r>
    <x v="0"/>
    <x v="0"/>
    <x v="1"/>
    <x v="0"/>
    <x v="1"/>
    <s v="DK2_Rural"/>
    <x v="1"/>
    <x v="1"/>
    <x v="88"/>
    <x v="0"/>
    <x v="11"/>
    <n v="-18.419858443584499"/>
    <n v="-6723.2483319083303"/>
    <n v="-24203.693994869998"/>
  </r>
  <r>
    <x v="0"/>
    <x v="0"/>
    <x v="1"/>
    <x v="0"/>
    <x v="1"/>
    <s v="DK2_Rural"/>
    <x v="1"/>
    <x v="1"/>
    <x v="88"/>
    <x v="0"/>
    <x v="12"/>
    <n v="-18.419858443584499"/>
    <n v="-6723.2483319083303"/>
    <n v="-24203.693994869998"/>
  </r>
  <r>
    <x v="0"/>
    <x v="0"/>
    <x v="1"/>
    <x v="0"/>
    <x v="1"/>
    <s v="DK2_Rural"/>
    <x v="1"/>
    <x v="1"/>
    <x v="88"/>
    <x v="0"/>
    <x v="13"/>
    <n v="-18.197818528345199"/>
    <n v="-6642.2037628459802"/>
    <n v="-23911.933546245498"/>
  </r>
  <r>
    <x v="0"/>
    <x v="0"/>
    <x v="1"/>
    <x v="0"/>
    <x v="1"/>
    <s v="DK2_Rural"/>
    <x v="1"/>
    <x v="1"/>
    <x v="88"/>
    <x v="0"/>
    <x v="14"/>
    <n v="-18.331042477488701"/>
    <n v="-6690.8305042833899"/>
    <n v="-24086.989815420198"/>
  </r>
  <r>
    <x v="0"/>
    <x v="0"/>
    <x v="1"/>
    <x v="0"/>
    <x v="1"/>
    <s v="DK2_Rural"/>
    <x v="1"/>
    <x v="1"/>
    <x v="88"/>
    <x v="0"/>
    <x v="15"/>
    <n v="-18.419858443584499"/>
    <n v="-6723.2483319083303"/>
    <n v="-24203.693994869998"/>
  </r>
  <r>
    <x v="0"/>
    <x v="0"/>
    <x v="1"/>
    <x v="0"/>
    <x v="1"/>
    <s v="DK2_Rural"/>
    <x v="1"/>
    <x v="1"/>
    <x v="88"/>
    <x v="0"/>
    <x v="16"/>
    <n v="-18.419858443584499"/>
    <n v="-6723.2483319083303"/>
    <n v="-24203.693994869998"/>
  </r>
  <r>
    <x v="0"/>
    <x v="0"/>
    <x v="1"/>
    <x v="0"/>
    <x v="1"/>
    <s v="DK2_Rural"/>
    <x v="1"/>
    <x v="1"/>
    <x v="88"/>
    <x v="0"/>
    <x v="17"/>
    <n v="-18.419858443584499"/>
    <n v="-6723.2483319083303"/>
    <n v="-24203.693994869998"/>
  </r>
  <r>
    <x v="0"/>
    <x v="0"/>
    <x v="1"/>
    <x v="0"/>
    <x v="1"/>
    <s v="DK2_Rural"/>
    <x v="1"/>
    <x v="1"/>
    <x v="88"/>
    <x v="0"/>
    <x v="18"/>
    <n v="-18.419858443584499"/>
    <n v="-6723.2483319083303"/>
    <n v="-24203.693994869998"/>
  </r>
  <r>
    <x v="0"/>
    <x v="0"/>
    <x v="1"/>
    <x v="0"/>
    <x v="1"/>
    <s v="DK2_Rural"/>
    <x v="1"/>
    <x v="1"/>
    <x v="88"/>
    <x v="0"/>
    <x v="19"/>
    <n v="-18.419858443584499"/>
    <n v="-6723.2483319083303"/>
    <n v="-24203.693994869998"/>
  </r>
  <r>
    <x v="0"/>
    <x v="0"/>
    <x v="1"/>
    <x v="0"/>
    <x v="1"/>
    <s v="DK2_Rural"/>
    <x v="1"/>
    <x v="1"/>
    <x v="88"/>
    <x v="0"/>
    <x v="20"/>
    <n v="-18.419858443584499"/>
    <n v="-6723.2483319083303"/>
    <n v="-24203.693994869998"/>
  </r>
  <r>
    <x v="0"/>
    <x v="0"/>
    <x v="1"/>
    <x v="0"/>
    <x v="1"/>
    <s v="DK2_Rural"/>
    <x v="1"/>
    <x v="1"/>
    <x v="88"/>
    <x v="0"/>
    <x v="21"/>
    <n v="-16.932191011481098"/>
    <n v="-6180.2497191906004"/>
    <n v="-22248.898989086199"/>
  </r>
  <r>
    <x v="0"/>
    <x v="0"/>
    <x v="1"/>
    <x v="0"/>
    <x v="1"/>
    <s v="DK2_Rural"/>
    <x v="1"/>
    <x v="1"/>
    <x v="88"/>
    <x v="0"/>
    <x v="22"/>
    <n v="-16.821171053861399"/>
    <n v="-6139.7274346594204"/>
    <n v="-22103.0187647739"/>
  </r>
  <r>
    <x v="0"/>
    <x v="0"/>
    <x v="1"/>
    <x v="0"/>
    <x v="1"/>
    <s v="DK2_Rural"/>
    <x v="1"/>
    <x v="1"/>
    <x v="88"/>
    <x v="0"/>
    <x v="23"/>
    <n v="-17.9186211598123"/>
    <n v="-6540.2967233314903"/>
    <n v="-23545.0682039934"/>
  </r>
  <r>
    <x v="0"/>
    <x v="0"/>
    <x v="1"/>
    <x v="0"/>
    <x v="1"/>
    <s v="DK2_Rural"/>
    <x v="1"/>
    <x v="1"/>
    <x v="15"/>
    <x v="0"/>
    <x v="8"/>
    <n v="-0.2"/>
    <n v="-73"/>
    <n v="-262.8"/>
  </r>
  <r>
    <x v="0"/>
    <x v="0"/>
    <x v="1"/>
    <x v="0"/>
    <x v="1"/>
    <s v="DK2_Rural"/>
    <x v="1"/>
    <x v="1"/>
    <x v="15"/>
    <x v="0"/>
    <x v="9"/>
    <n v="-0.2"/>
    <n v="-73"/>
    <n v="-262.8"/>
  </r>
  <r>
    <x v="0"/>
    <x v="0"/>
    <x v="1"/>
    <x v="0"/>
    <x v="1"/>
    <s v="DK2_Rural"/>
    <x v="1"/>
    <x v="1"/>
    <x v="15"/>
    <x v="0"/>
    <x v="10"/>
    <n v="-0.2"/>
    <n v="-73"/>
    <n v="-262.8"/>
  </r>
  <r>
    <x v="0"/>
    <x v="0"/>
    <x v="1"/>
    <x v="0"/>
    <x v="1"/>
    <s v="DK2_Rural"/>
    <x v="1"/>
    <x v="1"/>
    <x v="15"/>
    <x v="0"/>
    <x v="11"/>
    <n v="-0.2"/>
    <n v="-73"/>
    <n v="-262.8"/>
  </r>
  <r>
    <x v="0"/>
    <x v="0"/>
    <x v="1"/>
    <x v="0"/>
    <x v="1"/>
    <s v="DK2_Rural"/>
    <x v="1"/>
    <x v="1"/>
    <x v="15"/>
    <x v="0"/>
    <x v="12"/>
    <n v="-0.2"/>
    <n v="-73"/>
    <n v="-262.8"/>
  </r>
  <r>
    <x v="0"/>
    <x v="0"/>
    <x v="1"/>
    <x v="0"/>
    <x v="1"/>
    <s v="DK2_Rural"/>
    <x v="1"/>
    <x v="1"/>
    <x v="15"/>
    <x v="0"/>
    <x v="15"/>
    <n v="-0.13322394914358399"/>
    <n v="-48.626741437408299"/>
    <n v="-175.05626917467001"/>
  </r>
  <r>
    <x v="0"/>
    <x v="0"/>
    <x v="1"/>
    <x v="0"/>
    <x v="1"/>
    <s v="DK2_Rural"/>
    <x v="1"/>
    <x v="1"/>
    <x v="15"/>
    <x v="0"/>
    <x v="16"/>
    <n v="-0.2"/>
    <n v="-73"/>
    <n v="-262.8"/>
  </r>
  <r>
    <x v="0"/>
    <x v="0"/>
    <x v="1"/>
    <x v="0"/>
    <x v="1"/>
    <s v="DK2_Rural"/>
    <x v="1"/>
    <x v="1"/>
    <x v="15"/>
    <x v="0"/>
    <x v="17"/>
    <n v="-0.2"/>
    <n v="-73"/>
    <n v="-262.8"/>
  </r>
  <r>
    <x v="0"/>
    <x v="0"/>
    <x v="1"/>
    <x v="0"/>
    <x v="1"/>
    <s v="DK2_Rural"/>
    <x v="1"/>
    <x v="1"/>
    <x v="15"/>
    <x v="0"/>
    <x v="18"/>
    <n v="-0.2"/>
    <n v="-73"/>
    <n v="-262.8"/>
  </r>
  <r>
    <x v="0"/>
    <x v="0"/>
    <x v="1"/>
    <x v="0"/>
    <x v="1"/>
    <s v="DK2_Rural"/>
    <x v="1"/>
    <x v="1"/>
    <x v="15"/>
    <x v="0"/>
    <x v="19"/>
    <n v="-0.2"/>
    <n v="-73"/>
    <n v="-262.8"/>
  </r>
  <r>
    <x v="0"/>
    <x v="0"/>
    <x v="1"/>
    <x v="0"/>
    <x v="1"/>
    <s v="DK2_Small"/>
    <x v="1"/>
    <x v="1"/>
    <x v="90"/>
    <x v="0"/>
    <x v="8"/>
    <n v="-0.151304252611971"/>
    <n v="-55.226052203369498"/>
    <n v="-198.81378793213"/>
  </r>
  <r>
    <x v="0"/>
    <x v="0"/>
    <x v="1"/>
    <x v="0"/>
    <x v="1"/>
    <s v="DK2_Small"/>
    <x v="1"/>
    <x v="1"/>
    <x v="90"/>
    <x v="0"/>
    <x v="9"/>
    <n v="-0.33503084506936398"/>
    <n v="-122.286258450318"/>
    <n v="-440.23053042114401"/>
  </r>
  <r>
    <x v="0"/>
    <x v="0"/>
    <x v="1"/>
    <x v="0"/>
    <x v="1"/>
    <s v="DK2_Small"/>
    <x v="1"/>
    <x v="1"/>
    <x v="90"/>
    <x v="0"/>
    <x v="10"/>
    <n v="-0.32422339845422099"/>
    <n v="-118.341540435791"/>
    <n v="-426.029545568846"/>
  </r>
  <r>
    <x v="0"/>
    <x v="0"/>
    <x v="1"/>
    <x v="0"/>
    <x v="1"/>
    <s v="DK2_Small"/>
    <x v="1"/>
    <x v="1"/>
    <x v="90"/>
    <x v="0"/>
    <x v="11"/>
    <n v="-0.33503084506936398"/>
    <n v="-122.286258450318"/>
    <n v="-440.23053042114401"/>
  </r>
  <r>
    <x v="0"/>
    <x v="0"/>
    <x v="1"/>
    <x v="0"/>
    <x v="1"/>
    <s v="DK2_Small"/>
    <x v="1"/>
    <x v="1"/>
    <x v="90"/>
    <x v="0"/>
    <x v="12"/>
    <n v="-0.21614893230281401"/>
    <n v="-78.894360290527004"/>
    <n v="-284.01969704589698"/>
  </r>
  <r>
    <x v="0"/>
    <x v="0"/>
    <x v="1"/>
    <x v="0"/>
    <x v="1"/>
    <s v="DK2_Small"/>
    <x v="1"/>
    <x v="1"/>
    <x v="90"/>
    <x v="0"/>
    <x v="16"/>
    <n v="-0.24857127214823499"/>
    <n v="-90.728514334105796"/>
    <n v="-326.62265160278099"/>
  </r>
  <r>
    <x v="0"/>
    <x v="0"/>
    <x v="1"/>
    <x v="0"/>
    <x v="1"/>
    <s v="DK2_Small"/>
    <x v="1"/>
    <x v="1"/>
    <x v="88"/>
    <x v="0"/>
    <x v="0"/>
    <n v="-1.20457098110706"/>
    <n v="-439.66840810407598"/>
    <n v="-1582.80626917467"/>
  </r>
  <r>
    <x v="0"/>
    <x v="0"/>
    <x v="1"/>
    <x v="0"/>
    <x v="1"/>
    <s v="DK2_Small"/>
    <x v="1"/>
    <x v="1"/>
    <x v="88"/>
    <x v="0"/>
    <x v="1"/>
    <n v="-1.19119676592082"/>
    <n v="-434.78681956109898"/>
    <n v="-1565.23255041996"/>
  </r>
  <r>
    <x v="0"/>
    <x v="0"/>
    <x v="1"/>
    <x v="0"/>
    <x v="1"/>
    <s v="DK2_Small"/>
    <x v="1"/>
    <x v="1"/>
    <x v="88"/>
    <x v="0"/>
    <x v="2"/>
    <n v="-1.18138900811758"/>
    <n v="-431.206987962916"/>
    <n v="-1552.3451566665001"/>
  </r>
  <r>
    <x v="0"/>
    <x v="0"/>
    <x v="1"/>
    <x v="0"/>
    <x v="1"/>
    <s v="DK2_Small"/>
    <x v="1"/>
    <x v="1"/>
    <x v="88"/>
    <x v="0"/>
    <x v="3"/>
    <n v="-1.1885219228835699"/>
    <n v="-433.81050185250399"/>
    <n v="-1561.7178066690101"/>
  </r>
  <r>
    <x v="0"/>
    <x v="0"/>
    <x v="1"/>
    <x v="0"/>
    <x v="1"/>
    <s v="DK2_Small"/>
    <x v="1"/>
    <x v="1"/>
    <x v="88"/>
    <x v="0"/>
    <x v="4"/>
    <n v="-1.22329488236779"/>
    <n v="-446.50263206424199"/>
    <n v="-1607.40947543127"/>
  </r>
  <r>
    <x v="0"/>
    <x v="0"/>
    <x v="1"/>
    <x v="0"/>
    <x v="1"/>
    <s v="DK2_Small"/>
    <x v="1"/>
    <x v="1"/>
    <x v="88"/>
    <x v="0"/>
    <x v="5"/>
    <n v="-1.2491516983945099"/>
    <n v="-455.94036991399702"/>
    <n v="-1641.3853316903901"/>
  </r>
  <r>
    <x v="0"/>
    <x v="0"/>
    <x v="1"/>
    <x v="0"/>
    <x v="1"/>
    <s v="DK2_Small"/>
    <x v="1"/>
    <x v="1"/>
    <x v="88"/>
    <x v="0"/>
    <x v="6"/>
    <n v="-1.4123171236665999"/>
    <n v="-515.49575013830895"/>
    <n v="-1855.7847004979101"/>
  </r>
  <r>
    <x v="0"/>
    <x v="0"/>
    <x v="1"/>
    <x v="0"/>
    <x v="1"/>
    <s v="DK2_Small"/>
    <x v="1"/>
    <x v="1"/>
    <x v="88"/>
    <x v="0"/>
    <x v="7"/>
    <n v="-1.5683496341726999"/>
    <n v="-572.44761647303403"/>
    <n v="-2060.8114193029201"/>
  </r>
  <r>
    <x v="0"/>
    <x v="0"/>
    <x v="1"/>
    <x v="0"/>
    <x v="1"/>
    <s v="DK2_Small"/>
    <x v="1"/>
    <x v="1"/>
    <x v="88"/>
    <x v="0"/>
    <x v="8"/>
    <n v="-1.59331483585367"/>
    <n v="-581.55991508658997"/>
    <n v="-2093.6156943117198"/>
  </r>
  <r>
    <x v="0"/>
    <x v="0"/>
    <x v="1"/>
    <x v="0"/>
    <x v="1"/>
    <s v="DK2_Small"/>
    <x v="1"/>
    <x v="1"/>
    <x v="88"/>
    <x v="0"/>
    <x v="9"/>
    <n v="-1.59331483585367"/>
    <n v="-581.55991508658997"/>
    <n v="-2093.6156943117198"/>
  </r>
  <r>
    <x v="0"/>
    <x v="0"/>
    <x v="1"/>
    <x v="0"/>
    <x v="1"/>
    <s v="DK2_Small"/>
    <x v="1"/>
    <x v="1"/>
    <x v="88"/>
    <x v="0"/>
    <x v="10"/>
    <n v="-1.59331483585367"/>
    <n v="-581.55991508658997"/>
    <n v="-2093.6156943117198"/>
  </r>
  <r>
    <x v="0"/>
    <x v="0"/>
    <x v="1"/>
    <x v="0"/>
    <x v="1"/>
    <s v="DK2_Small"/>
    <x v="1"/>
    <x v="1"/>
    <x v="88"/>
    <x v="0"/>
    <x v="11"/>
    <n v="-1.59331483585367"/>
    <n v="-581.55991508658997"/>
    <n v="-2093.6156943117198"/>
  </r>
  <r>
    <x v="0"/>
    <x v="0"/>
    <x v="1"/>
    <x v="0"/>
    <x v="1"/>
    <s v="DK2_Small"/>
    <x v="1"/>
    <x v="1"/>
    <x v="88"/>
    <x v="0"/>
    <x v="12"/>
    <n v="-1.59331483585367"/>
    <n v="-581.55991508658997"/>
    <n v="-2093.6156943117198"/>
  </r>
  <r>
    <x v="0"/>
    <x v="0"/>
    <x v="1"/>
    <x v="0"/>
    <x v="1"/>
    <s v="DK2_Small"/>
    <x v="1"/>
    <x v="1"/>
    <x v="88"/>
    <x v="0"/>
    <x v="13"/>
    <n v="-1.57191609155569"/>
    <n v="-573.749373417828"/>
    <n v="-2065.4977443041798"/>
  </r>
  <r>
    <x v="0"/>
    <x v="0"/>
    <x v="1"/>
    <x v="0"/>
    <x v="1"/>
    <s v="DK2_Small"/>
    <x v="1"/>
    <x v="1"/>
    <x v="88"/>
    <x v="0"/>
    <x v="14"/>
    <n v="-1.5826154637046801"/>
    <n v="-577.65464425220898"/>
    <n v="-2079.5567193079501"/>
  </r>
  <r>
    <x v="0"/>
    <x v="0"/>
    <x v="1"/>
    <x v="0"/>
    <x v="1"/>
    <s v="DK2_Small"/>
    <x v="1"/>
    <x v="1"/>
    <x v="88"/>
    <x v="0"/>
    <x v="15"/>
    <n v="-1.59331483585367"/>
    <n v="-581.55991508658997"/>
    <n v="-2093.6156943117198"/>
  </r>
  <r>
    <x v="0"/>
    <x v="0"/>
    <x v="1"/>
    <x v="0"/>
    <x v="1"/>
    <s v="DK2_Small"/>
    <x v="1"/>
    <x v="1"/>
    <x v="88"/>
    <x v="0"/>
    <x v="16"/>
    <n v="-1.59331483585367"/>
    <n v="-581.55991508658997"/>
    <n v="-2093.6156943117198"/>
  </r>
  <r>
    <x v="0"/>
    <x v="0"/>
    <x v="1"/>
    <x v="0"/>
    <x v="1"/>
    <s v="DK2_Small"/>
    <x v="1"/>
    <x v="1"/>
    <x v="88"/>
    <x v="0"/>
    <x v="17"/>
    <n v="-1.59331483585367"/>
    <n v="-581.55991508658997"/>
    <n v="-2093.6156943117198"/>
  </r>
  <r>
    <x v="0"/>
    <x v="0"/>
    <x v="1"/>
    <x v="0"/>
    <x v="1"/>
    <s v="DK2_Small"/>
    <x v="1"/>
    <x v="1"/>
    <x v="88"/>
    <x v="0"/>
    <x v="18"/>
    <n v="-1.59331483585367"/>
    <n v="-581.55991508658997"/>
    <n v="-2093.6156943117198"/>
  </r>
  <r>
    <x v="0"/>
    <x v="0"/>
    <x v="1"/>
    <x v="0"/>
    <x v="1"/>
    <s v="DK2_Small"/>
    <x v="1"/>
    <x v="1"/>
    <x v="88"/>
    <x v="0"/>
    <x v="19"/>
    <n v="-1.59331483585367"/>
    <n v="-581.55991508658997"/>
    <n v="-2093.6156943117198"/>
  </r>
  <r>
    <x v="0"/>
    <x v="0"/>
    <x v="1"/>
    <x v="0"/>
    <x v="1"/>
    <s v="DK2_Small"/>
    <x v="1"/>
    <x v="1"/>
    <x v="88"/>
    <x v="0"/>
    <x v="20"/>
    <n v="-1.5897483784706701"/>
    <n v="-580.258158141796"/>
    <n v="-2088.9293693104701"/>
  </r>
  <r>
    <x v="0"/>
    <x v="0"/>
    <x v="1"/>
    <x v="0"/>
    <x v="1"/>
    <s v="DK2_Small"/>
    <x v="1"/>
    <x v="1"/>
    <x v="88"/>
    <x v="0"/>
    <x v="21"/>
    <n v="-1.47027205614029"/>
    <n v="-536.64930049120699"/>
    <n v="-1931.9374817683399"/>
  </r>
  <r>
    <x v="0"/>
    <x v="0"/>
    <x v="1"/>
    <x v="0"/>
    <x v="1"/>
    <s v="DK2_Small"/>
    <x v="1"/>
    <x v="1"/>
    <x v="88"/>
    <x v="0"/>
    <x v="22"/>
    <n v="-1.4613559126828"/>
    <n v="-533.39490812922304"/>
    <n v="-1920.2216692652"/>
  </r>
  <r>
    <x v="0"/>
    <x v="0"/>
    <x v="1"/>
    <x v="0"/>
    <x v="1"/>
    <s v="DK2_Small"/>
    <x v="1"/>
    <x v="1"/>
    <x v="88"/>
    <x v="0"/>
    <x v="23"/>
    <n v="-1.43906555403907"/>
    <n v="-525.25892722426204"/>
    <n v="-1890.93213800734"/>
  </r>
  <r>
    <x v="0"/>
    <x v="0"/>
    <x v="1"/>
    <x v="1"/>
    <x v="2"/>
    <s v="DE4-E_A"/>
    <x v="1"/>
    <x v="6"/>
    <x v="37"/>
    <x v="0"/>
    <x v="0"/>
    <n v="-19320"/>
    <n v="-7051800"/>
    <n v="-25386480"/>
  </r>
  <r>
    <x v="0"/>
    <x v="0"/>
    <x v="1"/>
    <x v="1"/>
    <x v="2"/>
    <s v="DE4-E_A"/>
    <x v="1"/>
    <x v="6"/>
    <x v="37"/>
    <x v="0"/>
    <x v="1"/>
    <n v="-19320"/>
    <n v="-7051800"/>
    <n v="-25386480"/>
  </r>
  <r>
    <x v="0"/>
    <x v="0"/>
    <x v="1"/>
    <x v="1"/>
    <x v="2"/>
    <s v="DE4-E_A"/>
    <x v="1"/>
    <x v="6"/>
    <x v="37"/>
    <x v="0"/>
    <x v="2"/>
    <n v="-19320"/>
    <n v="-7051800"/>
    <n v="-25386480"/>
  </r>
  <r>
    <x v="0"/>
    <x v="0"/>
    <x v="1"/>
    <x v="1"/>
    <x v="2"/>
    <s v="DE4-E_A"/>
    <x v="1"/>
    <x v="6"/>
    <x v="37"/>
    <x v="0"/>
    <x v="3"/>
    <n v="-19320"/>
    <n v="-7051800"/>
    <n v="-25386480"/>
  </r>
  <r>
    <x v="0"/>
    <x v="0"/>
    <x v="1"/>
    <x v="1"/>
    <x v="2"/>
    <s v="DE4-E_A"/>
    <x v="1"/>
    <x v="6"/>
    <x v="37"/>
    <x v="0"/>
    <x v="4"/>
    <n v="-19320"/>
    <n v="-7051800"/>
    <n v="-25386480"/>
  </r>
  <r>
    <x v="0"/>
    <x v="0"/>
    <x v="1"/>
    <x v="1"/>
    <x v="2"/>
    <s v="DE4-E_A"/>
    <x v="1"/>
    <x v="6"/>
    <x v="37"/>
    <x v="0"/>
    <x v="5"/>
    <n v="-19320"/>
    <n v="-7051800"/>
    <n v="-25386480"/>
  </r>
  <r>
    <x v="0"/>
    <x v="0"/>
    <x v="1"/>
    <x v="1"/>
    <x v="2"/>
    <s v="DE4-E_A"/>
    <x v="1"/>
    <x v="6"/>
    <x v="37"/>
    <x v="0"/>
    <x v="6"/>
    <n v="-19320"/>
    <n v="-7051800"/>
    <n v="-25386480"/>
  </r>
  <r>
    <x v="0"/>
    <x v="0"/>
    <x v="1"/>
    <x v="1"/>
    <x v="2"/>
    <s v="DE4-E_A"/>
    <x v="1"/>
    <x v="6"/>
    <x v="37"/>
    <x v="0"/>
    <x v="7"/>
    <n v="-19320"/>
    <n v="-7051800"/>
    <n v="-25386480"/>
  </r>
  <r>
    <x v="0"/>
    <x v="0"/>
    <x v="1"/>
    <x v="1"/>
    <x v="2"/>
    <s v="DE4-E_A"/>
    <x v="1"/>
    <x v="6"/>
    <x v="37"/>
    <x v="0"/>
    <x v="8"/>
    <n v="-19320"/>
    <n v="-7051800"/>
    <n v="-25386480"/>
  </r>
  <r>
    <x v="0"/>
    <x v="0"/>
    <x v="1"/>
    <x v="1"/>
    <x v="2"/>
    <s v="DE4-E_A"/>
    <x v="1"/>
    <x v="6"/>
    <x v="37"/>
    <x v="0"/>
    <x v="9"/>
    <n v="-19320"/>
    <n v="-7051800"/>
    <n v="-25386480"/>
  </r>
  <r>
    <x v="0"/>
    <x v="0"/>
    <x v="1"/>
    <x v="1"/>
    <x v="2"/>
    <s v="DE4-E_A"/>
    <x v="1"/>
    <x v="6"/>
    <x v="37"/>
    <x v="0"/>
    <x v="10"/>
    <n v="-19320"/>
    <n v="-7051800"/>
    <n v="-25386480"/>
  </r>
  <r>
    <x v="0"/>
    <x v="0"/>
    <x v="1"/>
    <x v="1"/>
    <x v="2"/>
    <s v="DE4-E_A"/>
    <x v="1"/>
    <x v="6"/>
    <x v="37"/>
    <x v="0"/>
    <x v="11"/>
    <n v="-19320"/>
    <n v="-7051800"/>
    <n v="-25386480"/>
  </r>
  <r>
    <x v="0"/>
    <x v="0"/>
    <x v="1"/>
    <x v="1"/>
    <x v="2"/>
    <s v="DE4-E_A"/>
    <x v="1"/>
    <x v="6"/>
    <x v="37"/>
    <x v="0"/>
    <x v="12"/>
    <n v="-19320"/>
    <n v="-7051800"/>
    <n v="-25386480"/>
  </r>
  <r>
    <x v="0"/>
    <x v="0"/>
    <x v="1"/>
    <x v="1"/>
    <x v="2"/>
    <s v="DE4-E_A"/>
    <x v="1"/>
    <x v="6"/>
    <x v="37"/>
    <x v="0"/>
    <x v="13"/>
    <n v="-19320"/>
    <n v="-7051800"/>
    <n v="-25386480"/>
  </r>
  <r>
    <x v="0"/>
    <x v="0"/>
    <x v="1"/>
    <x v="1"/>
    <x v="2"/>
    <s v="DE4-E_A"/>
    <x v="1"/>
    <x v="6"/>
    <x v="37"/>
    <x v="0"/>
    <x v="14"/>
    <n v="-19320"/>
    <n v="-7051800"/>
    <n v="-25386480"/>
  </r>
  <r>
    <x v="0"/>
    <x v="0"/>
    <x v="1"/>
    <x v="1"/>
    <x v="2"/>
    <s v="DE4-E_A"/>
    <x v="1"/>
    <x v="6"/>
    <x v="37"/>
    <x v="0"/>
    <x v="15"/>
    <n v="-19320"/>
    <n v="-7051800"/>
    <n v="-25386480"/>
  </r>
  <r>
    <x v="0"/>
    <x v="0"/>
    <x v="1"/>
    <x v="1"/>
    <x v="2"/>
    <s v="DE4-E_A"/>
    <x v="1"/>
    <x v="6"/>
    <x v="37"/>
    <x v="0"/>
    <x v="16"/>
    <n v="-19320"/>
    <n v="-7051800"/>
    <n v="-25386480"/>
  </r>
  <r>
    <x v="0"/>
    <x v="0"/>
    <x v="1"/>
    <x v="1"/>
    <x v="2"/>
    <s v="DE4-E_A"/>
    <x v="1"/>
    <x v="6"/>
    <x v="37"/>
    <x v="0"/>
    <x v="17"/>
    <n v="-19320"/>
    <n v="-7051800"/>
    <n v="-25386480"/>
  </r>
  <r>
    <x v="0"/>
    <x v="0"/>
    <x v="1"/>
    <x v="1"/>
    <x v="2"/>
    <s v="DE4-E_A"/>
    <x v="1"/>
    <x v="6"/>
    <x v="37"/>
    <x v="0"/>
    <x v="18"/>
    <n v="-19320"/>
    <n v="-7051800"/>
    <n v="-25386480"/>
  </r>
  <r>
    <x v="0"/>
    <x v="0"/>
    <x v="1"/>
    <x v="1"/>
    <x v="2"/>
    <s v="DE4-E_A"/>
    <x v="1"/>
    <x v="6"/>
    <x v="37"/>
    <x v="0"/>
    <x v="19"/>
    <n v="-19320"/>
    <n v="-7051800"/>
    <n v="-25386480"/>
  </r>
  <r>
    <x v="0"/>
    <x v="0"/>
    <x v="1"/>
    <x v="1"/>
    <x v="2"/>
    <s v="DE4-E_A"/>
    <x v="1"/>
    <x v="6"/>
    <x v="37"/>
    <x v="0"/>
    <x v="20"/>
    <n v="-19320"/>
    <n v="-7051800"/>
    <n v="-25386480"/>
  </r>
  <r>
    <x v="0"/>
    <x v="0"/>
    <x v="1"/>
    <x v="1"/>
    <x v="2"/>
    <s v="DE4-E_A"/>
    <x v="1"/>
    <x v="6"/>
    <x v="37"/>
    <x v="0"/>
    <x v="21"/>
    <n v="-19320"/>
    <n v="-7051800"/>
    <n v="-25386480"/>
  </r>
  <r>
    <x v="0"/>
    <x v="0"/>
    <x v="1"/>
    <x v="1"/>
    <x v="2"/>
    <s v="DE4-E_A"/>
    <x v="1"/>
    <x v="6"/>
    <x v="37"/>
    <x v="0"/>
    <x v="22"/>
    <n v="-19320"/>
    <n v="-7051800"/>
    <n v="-25386480"/>
  </r>
  <r>
    <x v="0"/>
    <x v="0"/>
    <x v="1"/>
    <x v="1"/>
    <x v="2"/>
    <s v="DE4-E_A"/>
    <x v="1"/>
    <x v="6"/>
    <x v="37"/>
    <x v="0"/>
    <x v="23"/>
    <n v="-19320"/>
    <n v="-7051800"/>
    <n v="-25386480"/>
  </r>
  <r>
    <x v="0"/>
    <x v="0"/>
    <x v="1"/>
    <x v="1"/>
    <x v="2"/>
    <s v="DE4-E_A"/>
    <x v="2"/>
    <x v="7"/>
    <x v="40"/>
    <x v="0"/>
    <x v="0"/>
    <n v="62.6"/>
    <n v="22849"/>
    <n v="82256.399999999994"/>
  </r>
  <r>
    <x v="0"/>
    <x v="0"/>
    <x v="1"/>
    <x v="1"/>
    <x v="2"/>
    <s v="DE4-E_A"/>
    <x v="2"/>
    <x v="7"/>
    <x v="40"/>
    <x v="0"/>
    <x v="1"/>
    <n v="62.6"/>
    <n v="22849"/>
    <n v="82256.399999999994"/>
  </r>
  <r>
    <x v="0"/>
    <x v="0"/>
    <x v="1"/>
    <x v="1"/>
    <x v="2"/>
    <s v="DE4-E_A"/>
    <x v="2"/>
    <x v="7"/>
    <x v="40"/>
    <x v="0"/>
    <x v="2"/>
    <n v="62.6"/>
    <n v="22849"/>
    <n v="82256.399999999994"/>
  </r>
  <r>
    <x v="0"/>
    <x v="0"/>
    <x v="1"/>
    <x v="1"/>
    <x v="2"/>
    <s v="DE4-E_A"/>
    <x v="2"/>
    <x v="7"/>
    <x v="40"/>
    <x v="0"/>
    <x v="3"/>
    <n v="62.6"/>
    <n v="22849"/>
    <n v="82256.399999999994"/>
  </r>
  <r>
    <x v="0"/>
    <x v="0"/>
    <x v="1"/>
    <x v="1"/>
    <x v="2"/>
    <s v="DE4-E_A"/>
    <x v="2"/>
    <x v="7"/>
    <x v="40"/>
    <x v="0"/>
    <x v="4"/>
    <n v="62.6"/>
    <n v="22849"/>
    <n v="82256.399999999994"/>
  </r>
  <r>
    <x v="0"/>
    <x v="0"/>
    <x v="1"/>
    <x v="1"/>
    <x v="2"/>
    <s v="DE4-E_A"/>
    <x v="2"/>
    <x v="7"/>
    <x v="40"/>
    <x v="0"/>
    <x v="5"/>
    <n v="62.6"/>
    <n v="22849"/>
    <n v="82256.399999999994"/>
  </r>
  <r>
    <x v="0"/>
    <x v="0"/>
    <x v="1"/>
    <x v="1"/>
    <x v="2"/>
    <s v="DE4-E_A"/>
    <x v="2"/>
    <x v="7"/>
    <x v="40"/>
    <x v="0"/>
    <x v="6"/>
    <n v="62.6"/>
    <n v="22849"/>
    <n v="82256.399999999994"/>
  </r>
  <r>
    <x v="0"/>
    <x v="0"/>
    <x v="1"/>
    <x v="1"/>
    <x v="2"/>
    <s v="DE4-E_A"/>
    <x v="2"/>
    <x v="7"/>
    <x v="40"/>
    <x v="0"/>
    <x v="7"/>
    <n v="62.6"/>
    <n v="22849"/>
    <n v="82256.399999999994"/>
  </r>
  <r>
    <x v="0"/>
    <x v="0"/>
    <x v="1"/>
    <x v="1"/>
    <x v="2"/>
    <s v="DE4-E_A"/>
    <x v="2"/>
    <x v="7"/>
    <x v="40"/>
    <x v="0"/>
    <x v="8"/>
    <n v="62.6"/>
    <n v="22849"/>
    <n v="82256.399999999994"/>
  </r>
  <r>
    <x v="0"/>
    <x v="0"/>
    <x v="1"/>
    <x v="1"/>
    <x v="2"/>
    <s v="DE4-E_A"/>
    <x v="2"/>
    <x v="7"/>
    <x v="40"/>
    <x v="0"/>
    <x v="9"/>
    <n v="62.6"/>
    <n v="22849"/>
    <n v="82256.399999999994"/>
  </r>
  <r>
    <x v="0"/>
    <x v="0"/>
    <x v="1"/>
    <x v="1"/>
    <x v="2"/>
    <s v="DE4-E_A"/>
    <x v="2"/>
    <x v="7"/>
    <x v="40"/>
    <x v="0"/>
    <x v="10"/>
    <n v="62.6"/>
    <n v="22849"/>
    <n v="82256.399999999994"/>
  </r>
  <r>
    <x v="0"/>
    <x v="0"/>
    <x v="1"/>
    <x v="1"/>
    <x v="2"/>
    <s v="DE4-E_A"/>
    <x v="2"/>
    <x v="7"/>
    <x v="40"/>
    <x v="0"/>
    <x v="11"/>
    <n v="62.6"/>
    <n v="22849"/>
    <n v="82256.399999999994"/>
  </r>
  <r>
    <x v="0"/>
    <x v="0"/>
    <x v="1"/>
    <x v="1"/>
    <x v="2"/>
    <s v="DE4-E_A"/>
    <x v="2"/>
    <x v="7"/>
    <x v="40"/>
    <x v="0"/>
    <x v="12"/>
    <n v="62.6"/>
    <n v="22849"/>
    <n v="82256.399999999994"/>
  </r>
  <r>
    <x v="0"/>
    <x v="0"/>
    <x v="1"/>
    <x v="1"/>
    <x v="2"/>
    <s v="DE4-E_A"/>
    <x v="2"/>
    <x v="7"/>
    <x v="40"/>
    <x v="0"/>
    <x v="13"/>
    <n v="62.6"/>
    <n v="22849"/>
    <n v="82256.399999999994"/>
  </r>
  <r>
    <x v="0"/>
    <x v="0"/>
    <x v="1"/>
    <x v="1"/>
    <x v="2"/>
    <s v="DE4-E_A"/>
    <x v="2"/>
    <x v="7"/>
    <x v="40"/>
    <x v="0"/>
    <x v="14"/>
    <n v="62.6"/>
    <n v="22849"/>
    <n v="82256.399999999994"/>
  </r>
  <r>
    <x v="0"/>
    <x v="0"/>
    <x v="1"/>
    <x v="1"/>
    <x v="2"/>
    <s v="DE4-E_A"/>
    <x v="2"/>
    <x v="7"/>
    <x v="40"/>
    <x v="0"/>
    <x v="15"/>
    <n v="62.6"/>
    <n v="22849"/>
    <n v="82256.399999999994"/>
  </r>
  <r>
    <x v="0"/>
    <x v="0"/>
    <x v="1"/>
    <x v="1"/>
    <x v="2"/>
    <s v="DE4-E_A"/>
    <x v="2"/>
    <x v="7"/>
    <x v="40"/>
    <x v="0"/>
    <x v="16"/>
    <n v="62.6"/>
    <n v="22849"/>
    <n v="82256.399999999994"/>
  </r>
  <r>
    <x v="0"/>
    <x v="0"/>
    <x v="1"/>
    <x v="1"/>
    <x v="2"/>
    <s v="DE4-E_A"/>
    <x v="2"/>
    <x v="7"/>
    <x v="40"/>
    <x v="0"/>
    <x v="17"/>
    <n v="62.6"/>
    <n v="22849"/>
    <n v="82256.399999999994"/>
  </r>
  <r>
    <x v="0"/>
    <x v="0"/>
    <x v="1"/>
    <x v="1"/>
    <x v="2"/>
    <s v="DE4-E_A"/>
    <x v="2"/>
    <x v="7"/>
    <x v="40"/>
    <x v="0"/>
    <x v="18"/>
    <n v="62.6"/>
    <n v="22849"/>
    <n v="82256.399999999994"/>
  </r>
  <r>
    <x v="0"/>
    <x v="0"/>
    <x v="1"/>
    <x v="1"/>
    <x v="2"/>
    <s v="DE4-E_A"/>
    <x v="2"/>
    <x v="7"/>
    <x v="40"/>
    <x v="0"/>
    <x v="19"/>
    <n v="62.6"/>
    <n v="22849"/>
    <n v="82256.399999999994"/>
  </r>
  <r>
    <x v="0"/>
    <x v="0"/>
    <x v="1"/>
    <x v="1"/>
    <x v="2"/>
    <s v="DE4-E_A"/>
    <x v="2"/>
    <x v="7"/>
    <x v="40"/>
    <x v="0"/>
    <x v="20"/>
    <n v="62.6"/>
    <n v="22849"/>
    <n v="82256.399999999994"/>
  </r>
  <r>
    <x v="0"/>
    <x v="0"/>
    <x v="1"/>
    <x v="1"/>
    <x v="2"/>
    <s v="DE4-E_A"/>
    <x v="2"/>
    <x v="7"/>
    <x v="40"/>
    <x v="0"/>
    <x v="21"/>
    <n v="62.6"/>
    <n v="22849"/>
    <n v="82256.399999999994"/>
  </r>
  <r>
    <x v="0"/>
    <x v="0"/>
    <x v="1"/>
    <x v="1"/>
    <x v="2"/>
    <s v="DE4-E_A"/>
    <x v="2"/>
    <x v="7"/>
    <x v="40"/>
    <x v="0"/>
    <x v="22"/>
    <n v="62.6"/>
    <n v="22849"/>
    <n v="82256.399999999994"/>
  </r>
  <r>
    <x v="0"/>
    <x v="0"/>
    <x v="1"/>
    <x v="1"/>
    <x v="2"/>
    <s v="DE4-E_A"/>
    <x v="2"/>
    <x v="7"/>
    <x v="40"/>
    <x v="0"/>
    <x v="23"/>
    <n v="62.6"/>
    <n v="22849"/>
    <n v="82256.399999999994"/>
  </r>
  <r>
    <x v="0"/>
    <x v="0"/>
    <x v="1"/>
    <x v="1"/>
    <x v="2"/>
    <s v="DE4-E_A"/>
    <x v="4"/>
    <x v="3"/>
    <x v="9"/>
    <x v="0"/>
    <x v="6"/>
    <n v="55.478588889307503"/>
    <n v="20249.6849445972"/>
    <n v="72898.865800550106"/>
  </r>
  <r>
    <x v="0"/>
    <x v="0"/>
    <x v="1"/>
    <x v="1"/>
    <x v="2"/>
    <s v="DE4-E_A"/>
    <x v="4"/>
    <x v="3"/>
    <x v="9"/>
    <x v="0"/>
    <x v="7"/>
    <n v="591.73226830233796"/>
    <n v="215982.27793035301"/>
    <n v="777536.20054927201"/>
  </r>
  <r>
    <x v="0"/>
    <x v="0"/>
    <x v="1"/>
    <x v="1"/>
    <x v="2"/>
    <s v="DE4-E_A"/>
    <x v="4"/>
    <x v="3"/>
    <x v="9"/>
    <x v="0"/>
    <x v="8"/>
    <n v="1726.8005890674001"/>
    <n v="630282.21500960202"/>
    <n v="2269015.9740345702"/>
  </r>
  <r>
    <x v="0"/>
    <x v="0"/>
    <x v="1"/>
    <x v="1"/>
    <x v="2"/>
    <s v="DE4-E_A"/>
    <x v="4"/>
    <x v="3"/>
    <x v="9"/>
    <x v="0"/>
    <x v="9"/>
    <n v="2819.13859243262"/>
    <n v="1028985.58623791"/>
    <n v="3704348.1104564602"/>
  </r>
  <r>
    <x v="0"/>
    <x v="0"/>
    <x v="1"/>
    <x v="1"/>
    <x v="2"/>
    <s v="DE4-E_A"/>
    <x v="4"/>
    <x v="3"/>
    <x v="9"/>
    <x v="0"/>
    <x v="10"/>
    <n v="3757.1989028652301"/>
    <n v="1371377.5995458099"/>
    <n v="4936959.3583649099"/>
  </r>
  <r>
    <x v="0"/>
    <x v="0"/>
    <x v="1"/>
    <x v="1"/>
    <x v="2"/>
    <s v="DE4-E_A"/>
    <x v="4"/>
    <x v="3"/>
    <x v="9"/>
    <x v="0"/>
    <x v="11"/>
    <n v="4357.9021770305199"/>
    <n v="1590634.29461614"/>
    <n v="5726283.4606181001"/>
  </r>
  <r>
    <x v="0"/>
    <x v="0"/>
    <x v="1"/>
    <x v="1"/>
    <x v="2"/>
    <s v="DE4-E_A"/>
    <x v="4"/>
    <x v="3"/>
    <x v="9"/>
    <x v="0"/>
    <x v="12"/>
    <n v="4609.3264202948303"/>
    <n v="1682404.14340761"/>
    <n v="6056654.9162673997"/>
  </r>
  <r>
    <x v="0"/>
    <x v="0"/>
    <x v="1"/>
    <x v="1"/>
    <x v="2"/>
    <s v="DE4-E_A"/>
    <x v="4"/>
    <x v="3"/>
    <x v="9"/>
    <x v="0"/>
    <x v="13"/>
    <n v="4635.53120057871"/>
    <n v="1691968.88821123"/>
    <n v="6091087.9975604303"/>
  </r>
  <r>
    <x v="0"/>
    <x v="0"/>
    <x v="1"/>
    <x v="1"/>
    <x v="2"/>
    <s v="DE4-E_A"/>
    <x v="4"/>
    <x v="3"/>
    <x v="9"/>
    <x v="0"/>
    <x v="14"/>
    <n v="3990.68113440364"/>
    <n v="1456598.6140573299"/>
    <n v="5243755.0106063802"/>
  </r>
  <r>
    <x v="0"/>
    <x v="0"/>
    <x v="1"/>
    <x v="1"/>
    <x v="2"/>
    <s v="DE4-E_A"/>
    <x v="4"/>
    <x v="3"/>
    <x v="9"/>
    <x v="0"/>
    <x v="15"/>
    <n v="3020.7501452473798"/>
    <n v="1102573.8030152901"/>
    <n v="3969265.6908550598"/>
  </r>
  <r>
    <x v="0"/>
    <x v="0"/>
    <x v="1"/>
    <x v="1"/>
    <x v="2"/>
    <s v="DE4-E_A"/>
    <x v="4"/>
    <x v="3"/>
    <x v="9"/>
    <x v="0"/>
    <x v="16"/>
    <n v="1924.7529158064899"/>
    <n v="702534.81426936702"/>
    <n v="2529125.3313697199"/>
  </r>
  <r>
    <x v="0"/>
    <x v="0"/>
    <x v="1"/>
    <x v="1"/>
    <x v="2"/>
    <s v="DE4-E_A"/>
    <x v="4"/>
    <x v="3"/>
    <x v="9"/>
    <x v="0"/>
    <x v="17"/>
    <n v="731.018938279748"/>
    <n v="266821.91247210797"/>
    <n v="960558.884899589"/>
  </r>
  <r>
    <x v="0"/>
    <x v="0"/>
    <x v="1"/>
    <x v="1"/>
    <x v="2"/>
    <s v="DE4-E_A"/>
    <x v="4"/>
    <x v="3"/>
    <x v="9"/>
    <x v="0"/>
    <x v="18"/>
    <n v="59.846052269955102"/>
    <n v="21843.809078533599"/>
    <n v="78637.712682721001"/>
  </r>
  <r>
    <x v="0"/>
    <x v="0"/>
    <x v="1"/>
    <x v="1"/>
    <x v="2"/>
    <s v="DE4-E_A"/>
    <x v="5"/>
    <x v="4"/>
    <x v="10"/>
    <x v="0"/>
    <x v="0"/>
    <n v="302.85891450546501"/>
    <n v="110543.503794495"/>
    <n v="397956.61366018199"/>
  </r>
  <r>
    <x v="0"/>
    <x v="0"/>
    <x v="1"/>
    <x v="1"/>
    <x v="2"/>
    <s v="DE4-E_A"/>
    <x v="5"/>
    <x v="4"/>
    <x v="10"/>
    <x v="0"/>
    <x v="1"/>
    <n v="302.85891450546501"/>
    <n v="110543.503794495"/>
    <n v="397956.61366018199"/>
  </r>
  <r>
    <x v="0"/>
    <x v="0"/>
    <x v="1"/>
    <x v="1"/>
    <x v="2"/>
    <s v="DE4-E_A"/>
    <x v="5"/>
    <x v="4"/>
    <x v="10"/>
    <x v="0"/>
    <x v="2"/>
    <n v="302.85891450546501"/>
    <n v="110543.503794495"/>
    <n v="397956.61366018199"/>
  </r>
  <r>
    <x v="0"/>
    <x v="0"/>
    <x v="1"/>
    <x v="1"/>
    <x v="2"/>
    <s v="DE4-E_A"/>
    <x v="5"/>
    <x v="4"/>
    <x v="10"/>
    <x v="0"/>
    <x v="3"/>
    <n v="302.85891450546501"/>
    <n v="110543.503794495"/>
    <n v="397956.61366018199"/>
  </r>
  <r>
    <x v="0"/>
    <x v="0"/>
    <x v="1"/>
    <x v="1"/>
    <x v="2"/>
    <s v="DE4-E_A"/>
    <x v="5"/>
    <x v="4"/>
    <x v="10"/>
    <x v="0"/>
    <x v="4"/>
    <n v="302.85891450546501"/>
    <n v="110543.503794495"/>
    <n v="397956.61366018199"/>
  </r>
  <r>
    <x v="0"/>
    <x v="0"/>
    <x v="1"/>
    <x v="1"/>
    <x v="2"/>
    <s v="DE4-E_A"/>
    <x v="5"/>
    <x v="4"/>
    <x v="10"/>
    <x v="0"/>
    <x v="5"/>
    <n v="302.85891450546501"/>
    <n v="110543.503794495"/>
    <n v="397956.61366018199"/>
  </r>
  <r>
    <x v="0"/>
    <x v="0"/>
    <x v="1"/>
    <x v="1"/>
    <x v="2"/>
    <s v="DE4-E_A"/>
    <x v="5"/>
    <x v="4"/>
    <x v="10"/>
    <x v="0"/>
    <x v="6"/>
    <n v="302.85891450546501"/>
    <n v="110543.503794495"/>
    <n v="397956.61366018199"/>
  </r>
  <r>
    <x v="0"/>
    <x v="0"/>
    <x v="1"/>
    <x v="1"/>
    <x v="2"/>
    <s v="DE4-E_A"/>
    <x v="5"/>
    <x v="4"/>
    <x v="10"/>
    <x v="0"/>
    <x v="7"/>
    <n v="302.85891450546501"/>
    <n v="110543.503794495"/>
    <n v="397956.61366018199"/>
  </r>
  <r>
    <x v="0"/>
    <x v="0"/>
    <x v="1"/>
    <x v="1"/>
    <x v="2"/>
    <s v="DE4-E_A"/>
    <x v="5"/>
    <x v="4"/>
    <x v="10"/>
    <x v="0"/>
    <x v="8"/>
    <n v="302.85891450546501"/>
    <n v="110543.503794495"/>
    <n v="397956.61366018199"/>
  </r>
  <r>
    <x v="0"/>
    <x v="0"/>
    <x v="1"/>
    <x v="1"/>
    <x v="2"/>
    <s v="DE4-E_A"/>
    <x v="5"/>
    <x v="4"/>
    <x v="10"/>
    <x v="0"/>
    <x v="9"/>
    <n v="302.85891450546501"/>
    <n v="110543.503794495"/>
    <n v="397956.61366018199"/>
  </r>
  <r>
    <x v="0"/>
    <x v="0"/>
    <x v="1"/>
    <x v="1"/>
    <x v="2"/>
    <s v="DE4-E_A"/>
    <x v="5"/>
    <x v="4"/>
    <x v="10"/>
    <x v="0"/>
    <x v="10"/>
    <n v="302.85891450546501"/>
    <n v="110543.503794495"/>
    <n v="397956.61366018199"/>
  </r>
  <r>
    <x v="0"/>
    <x v="0"/>
    <x v="1"/>
    <x v="1"/>
    <x v="2"/>
    <s v="DE4-E_A"/>
    <x v="5"/>
    <x v="4"/>
    <x v="10"/>
    <x v="0"/>
    <x v="11"/>
    <n v="302.85891450546501"/>
    <n v="110543.503794495"/>
    <n v="397956.61366018199"/>
  </r>
  <r>
    <x v="0"/>
    <x v="0"/>
    <x v="1"/>
    <x v="1"/>
    <x v="2"/>
    <s v="DE4-E_A"/>
    <x v="5"/>
    <x v="4"/>
    <x v="10"/>
    <x v="0"/>
    <x v="12"/>
    <n v="302.85891450546501"/>
    <n v="110543.503794495"/>
    <n v="397956.61366018199"/>
  </r>
  <r>
    <x v="0"/>
    <x v="0"/>
    <x v="1"/>
    <x v="1"/>
    <x v="2"/>
    <s v="DE4-E_A"/>
    <x v="5"/>
    <x v="4"/>
    <x v="10"/>
    <x v="0"/>
    <x v="13"/>
    <n v="302.85891450546501"/>
    <n v="110543.503794495"/>
    <n v="397956.61366018199"/>
  </r>
  <r>
    <x v="0"/>
    <x v="0"/>
    <x v="1"/>
    <x v="1"/>
    <x v="2"/>
    <s v="DE4-E_A"/>
    <x v="5"/>
    <x v="4"/>
    <x v="10"/>
    <x v="0"/>
    <x v="14"/>
    <n v="302.85891450546501"/>
    <n v="110543.503794495"/>
    <n v="397956.61366018199"/>
  </r>
  <r>
    <x v="0"/>
    <x v="0"/>
    <x v="1"/>
    <x v="1"/>
    <x v="2"/>
    <s v="DE4-E_A"/>
    <x v="5"/>
    <x v="4"/>
    <x v="10"/>
    <x v="0"/>
    <x v="15"/>
    <n v="302.85891450546501"/>
    <n v="110543.503794495"/>
    <n v="397956.61366018199"/>
  </r>
  <r>
    <x v="0"/>
    <x v="0"/>
    <x v="1"/>
    <x v="1"/>
    <x v="2"/>
    <s v="DE4-E_A"/>
    <x v="5"/>
    <x v="4"/>
    <x v="10"/>
    <x v="0"/>
    <x v="16"/>
    <n v="302.85891450546501"/>
    <n v="110543.503794495"/>
    <n v="397956.61366018199"/>
  </r>
  <r>
    <x v="0"/>
    <x v="0"/>
    <x v="1"/>
    <x v="1"/>
    <x v="2"/>
    <s v="DE4-E_A"/>
    <x v="5"/>
    <x v="4"/>
    <x v="10"/>
    <x v="0"/>
    <x v="17"/>
    <n v="302.85891450546501"/>
    <n v="110543.503794495"/>
    <n v="397956.61366018199"/>
  </r>
  <r>
    <x v="0"/>
    <x v="0"/>
    <x v="1"/>
    <x v="1"/>
    <x v="2"/>
    <s v="DE4-E_A"/>
    <x v="5"/>
    <x v="4"/>
    <x v="10"/>
    <x v="0"/>
    <x v="18"/>
    <n v="302.85891450546501"/>
    <n v="110543.503794495"/>
    <n v="397956.61366018199"/>
  </r>
  <r>
    <x v="0"/>
    <x v="0"/>
    <x v="1"/>
    <x v="1"/>
    <x v="2"/>
    <s v="DE4-E_A"/>
    <x v="5"/>
    <x v="4"/>
    <x v="10"/>
    <x v="0"/>
    <x v="19"/>
    <n v="302.85891450546501"/>
    <n v="110543.503794495"/>
    <n v="397956.61366018199"/>
  </r>
  <r>
    <x v="0"/>
    <x v="0"/>
    <x v="1"/>
    <x v="1"/>
    <x v="2"/>
    <s v="DE4-E_A"/>
    <x v="5"/>
    <x v="4"/>
    <x v="10"/>
    <x v="0"/>
    <x v="20"/>
    <n v="302.85891450546501"/>
    <n v="110543.503794495"/>
    <n v="397956.61366018199"/>
  </r>
  <r>
    <x v="0"/>
    <x v="0"/>
    <x v="1"/>
    <x v="1"/>
    <x v="2"/>
    <s v="DE4-E_A"/>
    <x v="5"/>
    <x v="4"/>
    <x v="10"/>
    <x v="0"/>
    <x v="21"/>
    <n v="302.85891450546501"/>
    <n v="110543.503794495"/>
    <n v="397956.61366018199"/>
  </r>
  <r>
    <x v="0"/>
    <x v="0"/>
    <x v="1"/>
    <x v="1"/>
    <x v="2"/>
    <s v="DE4-E_A"/>
    <x v="5"/>
    <x v="4"/>
    <x v="10"/>
    <x v="0"/>
    <x v="22"/>
    <n v="302.85891450546501"/>
    <n v="110543.503794495"/>
    <n v="397956.61366018199"/>
  </r>
  <r>
    <x v="0"/>
    <x v="0"/>
    <x v="1"/>
    <x v="1"/>
    <x v="2"/>
    <s v="DE4-E_A"/>
    <x v="5"/>
    <x v="4"/>
    <x v="10"/>
    <x v="0"/>
    <x v="23"/>
    <n v="302.85891450546501"/>
    <n v="110543.503794495"/>
    <n v="397956.61366018199"/>
  </r>
  <r>
    <x v="0"/>
    <x v="0"/>
    <x v="1"/>
    <x v="1"/>
    <x v="2"/>
    <s v="DE4-E_A"/>
    <x v="6"/>
    <x v="5"/>
    <x v="11"/>
    <x v="0"/>
    <x v="0"/>
    <n v="4623.9007569805499"/>
    <n v="1687723.7762978999"/>
    <n v="6075805.5946724396"/>
  </r>
  <r>
    <x v="0"/>
    <x v="0"/>
    <x v="1"/>
    <x v="1"/>
    <x v="2"/>
    <s v="DE4-E_A"/>
    <x v="6"/>
    <x v="5"/>
    <x v="11"/>
    <x v="0"/>
    <x v="1"/>
    <n v="4283.25667898547"/>
    <n v="1563388.6878297001"/>
    <n v="5628199.2761869105"/>
  </r>
  <r>
    <x v="0"/>
    <x v="0"/>
    <x v="1"/>
    <x v="1"/>
    <x v="2"/>
    <s v="DE4-E_A"/>
    <x v="6"/>
    <x v="5"/>
    <x v="11"/>
    <x v="0"/>
    <x v="2"/>
    <n v="4062.0338007472901"/>
    <n v="1482642.33727276"/>
    <n v="5337512.4141819403"/>
  </r>
  <r>
    <x v="0"/>
    <x v="0"/>
    <x v="1"/>
    <x v="1"/>
    <x v="2"/>
    <s v="DE4-E_A"/>
    <x v="6"/>
    <x v="5"/>
    <x v="11"/>
    <x v="0"/>
    <x v="3"/>
    <n v="3671.1006724447602"/>
    <n v="1339951.7454423399"/>
    <n v="4823826.2835924104"/>
  </r>
  <r>
    <x v="0"/>
    <x v="0"/>
    <x v="1"/>
    <x v="1"/>
    <x v="2"/>
    <s v="DE4-E_A"/>
    <x v="6"/>
    <x v="5"/>
    <x v="11"/>
    <x v="0"/>
    <x v="4"/>
    <n v="3272.9484347306902"/>
    <n v="1194626.1786767"/>
    <n v="4300654.2432361199"/>
  </r>
  <r>
    <x v="0"/>
    <x v="0"/>
    <x v="1"/>
    <x v="1"/>
    <x v="2"/>
    <s v="DE4-E_A"/>
    <x v="6"/>
    <x v="5"/>
    <x v="11"/>
    <x v="0"/>
    <x v="5"/>
    <n v="3110.7020096511401"/>
    <n v="1135406.2335226601"/>
    <n v="4087462.4406815898"/>
  </r>
  <r>
    <x v="0"/>
    <x v="0"/>
    <x v="1"/>
    <x v="1"/>
    <x v="2"/>
    <s v="DE4-E_A"/>
    <x v="6"/>
    <x v="5"/>
    <x v="11"/>
    <x v="0"/>
    <x v="6"/>
    <n v="3059.5564548372199"/>
    <n v="1116738.10601559"/>
    <n v="4020257.1816561101"/>
  </r>
  <r>
    <x v="0"/>
    <x v="0"/>
    <x v="1"/>
    <x v="1"/>
    <x v="2"/>
    <s v="DE4-E_A"/>
    <x v="6"/>
    <x v="5"/>
    <x v="11"/>
    <x v="0"/>
    <x v="7"/>
    <n v="3145.6963366290802"/>
    <n v="1148179.1628696099"/>
    <n v="4133444.9863306098"/>
  </r>
  <r>
    <x v="0"/>
    <x v="0"/>
    <x v="1"/>
    <x v="1"/>
    <x v="2"/>
    <s v="DE4-E_A"/>
    <x v="6"/>
    <x v="5"/>
    <x v="11"/>
    <x v="0"/>
    <x v="8"/>
    <n v="3764.8267370080598"/>
    <n v="1374161.7590079401"/>
    <n v="4946982.3324285904"/>
  </r>
  <r>
    <x v="0"/>
    <x v="0"/>
    <x v="1"/>
    <x v="1"/>
    <x v="2"/>
    <s v="DE4-E_A"/>
    <x v="6"/>
    <x v="5"/>
    <x v="11"/>
    <x v="0"/>
    <x v="9"/>
    <n v="4262.4558552573299"/>
    <n v="1555796.3871689199"/>
    <n v="5600866.9938081298"/>
  </r>
  <r>
    <x v="0"/>
    <x v="0"/>
    <x v="1"/>
    <x v="1"/>
    <x v="2"/>
    <s v="DE4-E_A"/>
    <x v="6"/>
    <x v="5"/>
    <x v="11"/>
    <x v="0"/>
    <x v="10"/>
    <n v="4119.4196026796499"/>
    <n v="1503588.1549780699"/>
    <n v="5412917.3579210602"/>
  </r>
  <r>
    <x v="0"/>
    <x v="0"/>
    <x v="1"/>
    <x v="1"/>
    <x v="2"/>
    <s v="DE4-E_A"/>
    <x v="6"/>
    <x v="5"/>
    <x v="11"/>
    <x v="0"/>
    <x v="11"/>
    <n v="3767.76332388732"/>
    <n v="1375233.61321887"/>
    <n v="4950841.0075879497"/>
  </r>
  <r>
    <x v="0"/>
    <x v="0"/>
    <x v="1"/>
    <x v="1"/>
    <x v="2"/>
    <s v="DE4-E_A"/>
    <x v="6"/>
    <x v="5"/>
    <x v="11"/>
    <x v="0"/>
    <x v="12"/>
    <n v="3830.2881528583998"/>
    <n v="1398055.1757933199"/>
    <n v="5032998.6328559397"/>
  </r>
  <r>
    <x v="0"/>
    <x v="0"/>
    <x v="1"/>
    <x v="1"/>
    <x v="2"/>
    <s v="DE4-E_A"/>
    <x v="6"/>
    <x v="5"/>
    <x v="11"/>
    <x v="0"/>
    <x v="13"/>
    <n v="3884.9820834847701"/>
    <n v="1418018.46047194"/>
    <n v="5104866.4576989803"/>
  </r>
  <r>
    <x v="0"/>
    <x v="0"/>
    <x v="1"/>
    <x v="1"/>
    <x v="2"/>
    <s v="DE4-E_A"/>
    <x v="6"/>
    <x v="5"/>
    <x v="11"/>
    <x v="0"/>
    <x v="14"/>
    <n v="3904.3146137732801"/>
    <n v="1425074.8340272501"/>
    <n v="5130269.4024980897"/>
  </r>
  <r>
    <x v="0"/>
    <x v="0"/>
    <x v="1"/>
    <x v="1"/>
    <x v="2"/>
    <s v="DE4-E_A"/>
    <x v="6"/>
    <x v="5"/>
    <x v="11"/>
    <x v="0"/>
    <x v="15"/>
    <n v="3652.7470044493298"/>
    <n v="1333252.6566240101"/>
    <n v="4799709.5638464196"/>
  </r>
  <r>
    <x v="0"/>
    <x v="0"/>
    <x v="1"/>
    <x v="1"/>
    <x v="2"/>
    <s v="DE4-E_A"/>
    <x v="6"/>
    <x v="5"/>
    <x v="11"/>
    <x v="0"/>
    <x v="16"/>
    <n v="3301.7025145901798"/>
    <n v="1205121.4178254199"/>
    <n v="4338437.1041714996"/>
  </r>
  <r>
    <x v="0"/>
    <x v="0"/>
    <x v="1"/>
    <x v="1"/>
    <x v="2"/>
    <s v="DE4-E_A"/>
    <x v="6"/>
    <x v="5"/>
    <x v="11"/>
    <x v="0"/>
    <x v="17"/>
    <n v="2735.6753936113"/>
    <n v="998521.51866812503"/>
    <n v="3594677.4672052502"/>
  </r>
  <r>
    <x v="0"/>
    <x v="0"/>
    <x v="1"/>
    <x v="1"/>
    <x v="2"/>
    <s v="DE4-E_A"/>
    <x v="6"/>
    <x v="5"/>
    <x v="11"/>
    <x v="0"/>
    <x v="18"/>
    <n v="2101.86205883598"/>
    <n v="767179.65147513396"/>
    <n v="2761846.7453104798"/>
  </r>
  <r>
    <x v="0"/>
    <x v="0"/>
    <x v="1"/>
    <x v="1"/>
    <x v="2"/>
    <s v="DE4-E_A"/>
    <x v="6"/>
    <x v="5"/>
    <x v="11"/>
    <x v="0"/>
    <x v="19"/>
    <n v="2111.1612506203301"/>
    <n v="770573.856476421"/>
    <n v="2774065.8833151199"/>
  </r>
  <r>
    <x v="0"/>
    <x v="0"/>
    <x v="1"/>
    <x v="1"/>
    <x v="2"/>
    <s v="DE4-E_A"/>
    <x v="6"/>
    <x v="5"/>
    <x v="11"/>
    <x v="0"/>
    <x v="20"/>
    <n v="2218.8361028601498"/>
    <n v="809875.17754395597"/>
    <n v="2915550.6391582401"/>
  </r>
  <r>
    <x v="0"/>
    <x v="0"/>
    <x v="1"/>
    <x v="1"/>
    <x v="2"/>
    <s v="DE4-E_A"/>
    <x v="6"/>
    <x v="5"/>
    <x v="11"/>
    <x v="0"/>
    <x v="21"/>
    <n v="2400.1703426549502"/>
    <n v="876062.17506905505"/>
    <n v="3153823.8302485999"/>
  </r>
  <r>
    <x v="0"/>
    <x v="0"/>
    <x v="1"/>
    <x v="1"/>
    <x v="2"/>
    <s v="DE4-E_A"/>
    <x v="6"/>
    <x v="5"/>
    <x v="11"/>
    <x v="0"/>
    <x v="22"/>
    <n v="2506.2545436685"/>
    <n v="914782.908439002"/>
    <n v="3293218.4703804101"/>
  </r>
  <r>
    <x v="0"/>
    <x v="0"/>
    <x v="1"/>
    <x v="1"/>
    <x v="2"/>
    <s v="DE4-E_A"/>
    <x v="6"/>
    <x v="5"/>
    <x v="11"/>
    <x v="0"/>
    <x v="23"/>
    <n v="2536.59927475427"/>
    <n v="925858.73528530705"/>
    <n v="3333091.44702711"/>
  </r>
  <r>
    <x v="0"/>
    <x v="0"/>
    <x v="1"/>
    <x v="1"/>
    <x v="2"/>
    <s v="DE4-E_Offshore_A"/>
    <x v="6"/>
    <x v="5"/>
    <x v="12"/>
    <x v="0"/>
    <x v="0"/>
    <n v="1441.1134815834801"/>
    <n v="526006.42077797104"/>
    <n v="1893623.11480069"/>
  </r>
  <r>
    <x v="0"/>
    <x v="0"/>
    <x v="1"/>
    <x v="1"/>
    <x v="2"/>
    <s v="DE4-E_Offshore_A"/>
    <x v="6"/>
    <x v="5"/>
    <x v="12"/>
    <x v="0"/>
    <x v="1"/>
    <n v="1334.94624335304"/>
    <n v="487255.37882385898"/>
    <n v="1754119.36376589"/>
  </r>
  <r>
    <x v="0"/>
    <x v="0"/>
    <x v="1"/>
    <x v="1"/>
    <x v="2"/>
    <s v="DE4-E_Offshore_A"/>
    <x v="6"/>
    <x v="5"/>
    <x v="12"/>
    <x v="0"/>
    <x v="2"/>
    <n v="1265.9985541574099"/>
    <n v="462089.47226745298"/>
    <n v="1663522.10016283"/>
  </r>
  <r>
    <x v="0"/>
    <x v="0"/>
    <x v="1"/>
    <x v="1"/>
    <x v="2"/>
    <s v="DE4-E_Offshore_A"/>
    <x v="6"/>
    <x v="5"/>
    <x v="12"/>
    <x v="0"/>
    <x v="3"/>
    <n v="1144.15791976579"/>
    <n v="417617.64071451302"/>
    <n v="1503423.50657225"/>
  </r>
  <r>
    <x v="0"/>
    <x v="0"/>
    <x v="1"/>
    <x v="1"/>
    <x v="2"/>
    <s v="DE4-E_Offshore_A"/>
    <x v="6"/>
    <x v="5"/>
    <x v="12"/>
    <x v="0"/>
    <x v="4"/>
    <n v="1020.06733312719"/>
    <n v="372324.57659142499"/>
    <n v="1340368.47572913"/>
  </r>
  <r>
    <x v="0"/>
    <x v="0"/>
    <x v="1"/>
    <x v="1"/>
    <x v="2"/>
    <s v="DE4-E_Offshore_A"/>
    <x v="6"/>
    <x v="5"/>
    <x v="12"/>
    <x v="0"/>
    <x v="5"/>
    <n v="969.50060974588098"/>
    <n v="353867.72255724698"/>
    <n v="1273923.80120609"/>
  </r>
  <r>
    <x v="0"/>
    <x v="0"/>
    <x v="1"/>
    <x v="1"/>
    <x v="2"/>
    <s v="DE4-E_Offshore_A"/>
    <x v="6"/>
    <x v="5"/>
    <x v="12"/>
    <x v="0"/>
    <x v="6"/>
    <n v="953.56027009777597"/>
    <n v="348049.49858568801"/>
    <n v="1252978.1949084799"/>
  </r>
  <r>
    <x v="0"/>
    <x v="0"/>
    <x v="1"/>
    <x v="1"/>
    <x v="2"/>
    <s v="DE4-E_Offshore_A"/>
    <x v="6"/>
    <x v="5"/>
    <x v="12"/>
    <x v="0"/>
    <x v="7"/>
    <n v="980.40715792616299"/>
    <n v="357848.61264304997"/>
    <n v="1288255.0055149801"/>
  </r>
  <r>
    <x v="0"/>
    <x v="0"/>
    <x v="1"/>
    <x v="1"/>
    <x v="2"/>
    <s v="DE4-E_Offshore_A"/>
    <x v="6"/>
    <x v="5"/>
    <x v="12"/>
    <x v="0"/>
    <x v="8"/>
    <n v="1173.3691641927001"/>
    <n v="428279.74493033497"/>
    <n v="1541807.0817492099"/>
  </r>
  <r>
    <x v="0"/>
    <x v="0"/>
    <x v="1"/>
    <x v="1"/>
    <x v="2"/>
    <s v="DE4-E_Offshore_A"/>
    <x v="6"/>
    <x v="5"/>
    <x v="12"/>
    <x v="0"/>
    <x v="9"/>
    <n v="1328.4633300990199"/>
    <n v="484889.11548614397"/>
    <n v="1745600.81575012"/>
  </r>
  <r>
    <x v="0"/>
    <x v="0"/>
    <x v="1"/>
    <x v="1"/>
    <x v="2"/>
    <s v="DE4-E_Offshore_A"/>
    <x v="6"/>
    <x v="5"/>
    <x v="12"/>
    <x v="0"/>
    <x v="10"/>
    <n v="1283.8837677817201"/>
    <n v="468617.575240326"/>
    <n v="1687023.2708651801"/>
  </r>
  <r>
    <x v="0"/>
    <x v="0"/>
    <x v="1"/>
    <x v="1"/>
    <x v="2"/>
    <s v="DE4-E_Offshore_A"/>
    <x v="6"/>
    <x v="5"/>
    <x v="12"/>
    <x v="0"/>
    <x v="11"/>
    <n v="1174.2843990050301"/>
    <n v="428613.80563683598"/>
    <n v="1543009.7002926101"/>
  </r>
  <r>
    <x v="0"/>
    <x v="0"/>
    <x v="1"/>
    <x v="1"/>
    <x v="2"/>
    <s v="DE4-E_Offshore_A"/>
    <x v="6"/>
    <x v="5"/>
    <x v="12"/>
    <x v="0"/>
    <x v="12"/>
    <n v="1193.7712735509199"/>
    <n v="435726.51484608598"/>
    <n v="1568615.45344591"/>
  </r>
  <r>
    <x v="0"/>
    <x v="0"/>
    <x v="1"/>
    <x v="1"/>
    <x v="2"/>
    <s v="DE4-E_Offshore_A"/>
    <x v="6"/>
    <x v="5"/>
    <x v="12"/>
    <x v="0"/>
    <x v="13"/>
    <n v="1210.8175219305899"/>
    <n v="441948.39550466603"/>
    <n v="1591014.2238167999"/>
  </r>
  <r>
    <x v="0"/>
    <x v="0"/>
    <x v="1"/>
    <x v="1"/>
    <x v="2"/>
    <s v="DE4-E_Offshore_A"/>
    <x v="6"/>
    <x v="5"/>
    <x v="12"/>
    <x v="0"/>
    <x v="14"/>
    <n v="1216.8428177784399"/>
    <n v="444147.62848913099"/>
    <n v="1598931.46256087"/>
  </r>
  <r>
    <x v="0"/>
    <x v="0"/>
    <x v="1"/>
    <x v="1"/>
    <x v="2"/>
    <s v="DE4-E_Offshore_A"/>
    <x v="6"/>
    <x v="5"/>
    <x v="12"/>
    <x v="0"/>
    <x v="15"/>
    <n v="1138.4377021887201"/>
    <n v="415529.76129888202"/>
    <n v="1495907.1406759799"/>
  </r>
  <r>
    <x v="0"/>
    <x v="0"/>
    <x v="1"/>
    <x v="1"/>
    <x v="2"/>
    <s v="DE4-E_Offshore_A"/>
    <x v="6"/>
    <x v="5"/>
    <x v="12"/>
    <x v="0"/>
    <x v="16"/>
    <n v="1029.0290073312699"/>
    <n v="375595.587675913"/>
    <n v="1352144.11563329"/>
  </r>
  <r>
    <x v="0"/>
    <x v="0"/>
    <x v="1"/>
    <x v="1"/>
    <x v="2"/>
    <s v="DE4-E_Offshore_A"/>
    <x v="6"/>
    <x v="5"/>
    <x v="12"/>
    <x v="0"/>
    <x v="17"/>
    <n v="852.61749725439199"/>
    <n v="311205.38649785297"/>
    <n v="1120339.3913922701"/>
  </r>
  <r>
    <x v="0"/>
    <x v="0"/>
    <x v="1"/>
    <x v="1"/>
    <x v="2"/>
    <s v="DE4-E_Offshore_A"/>
    <x v="6"/>
    <x v="5"/>
    <x v="12"/>
    <x v="0"/>
    <x v="18"/>
    <n v="655.07931692619798"/>
    <n v="239103.95067806201"/>
    <n v="860774.22244102496"/>
  </r>
  <r>
    <x v="0"/>
    <x v="0"/>
    <x v="1"/>
    <x v="1"/>
    <x v="2"/>
    <s v="DE4-E_Offshore_A"/>
    <x v="6"/>
    <x v="5"/>
    <x v="12"/>
    <x v="0"/>
    <x v="19"/>
    <n v="657.97756049858106"/>
    <n v="240161.809581982"/>
    <n v="864582.51449513598"/>
  </r>
  <r>
    <x v="0"/>
    <x v="0"/>
    <x v="1"/>
    <x v="1"/>
    <x v="2"/>
    <s v="DE4-E_Offshore_A"/>
    <x v="6"/>
    <x v="5"/>
    <x v="12"/>
    <x v="0"/>
    <x v="20"/>
    <n v="691.53617028406597"/>
    <n v="252410.70215368399"/>
    <n v="908678.52775326197"/>
  </r>
  <r>
    <x v="0"/>
    <x v="0"/>
    <x v="1"/>
    <x v="1"/>
    <x v="2"/>
    <s v="DE4-E_Offshore_A"/>
    <x v="6"/>
    <x v="5"/>
    <x v="12"/>
    <x v="0"/>
    <x v="21"/>
    <n v="748.05191994553002"/>
    <n v="273038.950780118"/>
    <n v="982940.22280842601"/>
  </r>
  <r>
    <x v="0"/>
    <x v="0"/>
    <x v="1"/>
    <x v="1"/>
    <x v="2"/>
    <s v="DE4-E_Offshore_A"/>
    <x v="6"/>
    <x v="5"/>
    <x v="12"/>
    <x v="0"/>
    <x v="22"/>
    <n v="781.11477754100099"/>
    <n v="285106.893802465"/>
    <n v="1026384.81768888"/>
  </r>
  <r>
    <x v="0"/>
    <x v="0"/>
    <x v="1"/>
    <x v="1"/>
    <x v="2"/>
    <s v="DE4-E_Offshore_A"/>
    <x v="6"/>
    <x v="5"/>
    <x v="12"/>
    <x v="0"/>
    <x v="23"/>
    <n v="790.57220393509203"/>
    <n v="288558.85443630902"/>
    <n v="1038811.87597071"/>
  </r>
  <r>
    <x v="0"/>
    <x v="0"/>
    <x v="1"/>
    <x v="1"/>
    <x v="3"/>
    <s v="DE4-N_A"/>
    <x v="1"/>
    <x v="9"/>
    <x v="91"/>
    <x v="0"/>
    <x v="19"/>
    <n v="-5.8410958904109604E-4"/>
    <n v="-0.2132"/>
    <n v="-0.76751999999999998"/>
  </r>
  <r>
    <x v="0"/>
    <x v="0"/>
    <x v="1"/>
    <x v="1"/>
    <x v="3"/>
    <s v="DE4-N_A"/>
    <x v="1"/>
    <x v="6"/>
    <x v="43"/>
    <x v="0"/>
    <x v="0"/>
    <n v="-952.8"/>
    <n v="-347772"/>
    <n v="-1251979.2"/>
  </r>
  <r>
    <x v="0"/>
    <x v="0"/>
    <x v="1"/>
    <x v="1"/>
    <x v="3"/>
    <s v="DE4-N_A"/>
    <x v="1"/>
    <x v="6"/>
    <x v="43"/>
    <x v="0"/>
    <x v="1"/>
    <n v="-952.8"/>
    <n v="-347772"/>
    <n v="-1251979.2"/>
  </r>
  <r>
    <x v="0"/>
    <x v="0"/>
    <x v="1"/>
    <x v="1"/>
    <x v="3"/>
    <s v="DE4-N_A"/>
    <x v="1"/>
    <x v="6"/>
    <x v="43"/>
    <x v="0"/>
    <x v="2"/>
    <n v="-952.8"/>
    <n v="-347772"/>
    <n v="-1251979.2"/>
  </r>
  <r>
    <x v="0"/>
    <x v="0"/>
    <x v="1"/>
    <x v="1"/>
    <x v="3"/>
    <s v="DE4-N_A"/>
    <x v="1"/>
    <x v="6"/>
    <x v="43"/>
    <x v="0"/>
    <x v="3"/>
    <n v="-952.8"/>
    <n v="-347772"/>
    <n v="-1251979.2"/>
  </r>
  <r>
    <x v="0"/>
    <x v="0"/>
    <x v="1"/>
    <x v="1"/>
    <x v="3"/>
    <s v="DE4-N_A"/>
    <x v="1"/>
    <x v="6"/>
    <x v="43"/>
    <x v="0"/>
    <x v="4"/>
    <n v="-952.8"/>
    <n v="-347772"/>
    <n v="-1251979.2"/>
  </r>
  <r>
    <x v="0"/>
    <x v="0"/>
    <x v="1"/>
    <x v="1"/>
    <x v="3"/>
    <s v="DE4-N_A"/>
    <x v="1"/>
    <x v="6"/>
    <x v="43"/>
    <x v="0"/>
    <x v="5"/>
    <n v="-952.8"/>
    <n v="-347772"/>
    <n v="-1251979.2"/>
  </r>
  <r>
    <x v="0"/>
    <x v="0"/>
    <x v="1"/>
    <x v="1"/>
    <x v="3"/>
    <s v="DE4-N_A"/>
    <x v="1"/>
    <x v="6"/>
    <x v="43"/>
    <x v="0"/>
    <x v="6"/>
    <n v="-952.8"/>
    <n v="-347772"/>
    <n v="-1251979.2"/>
  </r>
  <r>
    <x v="0"/>
    <x v="0"/>
    <x v="1"/>
    <x v="1"/>
    <x v="3"/>
    <s v="DE4-N_A"/>
    <x v="1"/>
    <x v="6"/>
    <x v="43"/>
    <x v="0"/>
    <x v="7"/>
    <n v="-952.8"/>
    <n v="-347772"/>
    <n v="-1251979.2"/>
  </r>
  <r>
    <x v="0"/>
    <x v="0"/>
    <x v="1"/>
    <x v="1"/>
    <x v="3"/>
    <s v="DE4-N_A"/>
    <x v="1"/>
    <x v="6"/>
    <x v="43"/>
    <x v="0"/>
    <x v="8"/>
    <n v="-952.8"/>
    <n v="-347772"/>
    <n v="-1251979.2"/>
  </r>
  <r>
    <x v="0"/>
    <x v="0"/>
    <x v="1"/>
    <x v="1"/>
    <x v="3"/>
    <s v="DE4-N_A"/>
    <x v="1"/>
    <x v="6"/>
    <x v="43"/>
    <x v="0"/>
    <x v="9"/>
    <n v="-952.8"/>
    <n v="-347772"/>
    <n v="-1251979.2"/>
  </r>
  <r>
    <x v="0"/>
    <x v="0"/>
    <x v="1"/>
    <x v="1"/>
    <x v="3"/>
    <s v="DE4-N_A"/>
    <x v="1"/>
    <x v="6"/>
    <x v="43"/>
    <x v="0"/>
    <x v="10"/>
    <n v="-952.8"/>
    <n v="-347772"/>
    <n v="-1251979.2"/>
  </r>
  <r>
    <x v="0"/>
    <x v="0"/>
    <x v="1"/>
    <x v="1"/>
    <x v="3"/>
    <s v="DE4-N_A"/>
    <x v="1"/>
    <x v="6"/>
    <x v="43"/>
    <x v="0"/>
    <x v="11"/>
    <n v="-952.8"/>
    <n v="-347772"/>
    <n v="-1251979.2"/>
  </r>
  <r>
    <x v="0"/>
    <x v="0"/>
    <x v="1"/>
    <x v="1"/>
    <x v="3"/>
    <s v="DE4-N_A"/>
    <x v="1"/>
    <x v="6"/>
    <x v="43"/>
    <x v="0"/>
    <x v="12"/>
    <n v="-952.8"/>
    <n v="-347772"/>
    <n v="-1251979.2"/>
  </r>
  <r>
    <x v="0"/>
    <x v="0"/>
    <x v="1"/>
    <x v="1"/>
    <x v="3"/>
    <s v="DE4-N_A"/>
    <x v="1"/>
    <x v="6"/>
    <x v="43"/>
    <x v="0"/>
    <x v="13"/>
    <n v="-952.8"/>
    <n v="-347772"/>
    <n v="-1251979.2"/>
  </r>
  <r>
    <x v="0"/>
    <x v="0"/>
    <x v="1"/>
    <x v="1"/>
    <x v="3"/>
    <s v="DE4-N_A"/>
    <x v="1"/>
    <x v="6"/>
    <x v="43"/>
    <x v="0"/>
    <x v="14"/>
    <n v="-952.8"/>
    <n v="-347772"/>
    <n v="-1251979.2"/>
  </r>
  <r>
    <x v="0"/>
    <x v="0"/>
    <x v="1"/>
    <x v="1"/>
    <x v="3"/>
    <s v="DE4-N_A"/>
    <x v="1"/>
    <x v="6"/>
    <x v="43"/>
    <x v="0"/>
    <x v="15"/>
    <n v="-952.8"/>
    <n v="-347772"/>
    <n v="-1251979.2"/>
  </r>
  <r>
    <x v="0"/>
    <x v="0"/>
    <x v="1"/>
    <x v="1"/>
    <x v="3"/>
    <s v="DE4-N_A"/>
    <x v="1"/>
    <x v="6"/>
    <x v="43"/>
    <x v="0"/>
    <x v="16"/>
    <n v="-952.8"/>
    <n v="-347772"/>
    <n v="-1251979.2"/>
  </r>
  <r>
    <x v="0"/>
    <x v="0"/>
    <x v="1"/>
    <x v="1"/>
    <x v="3"/>
    <s v="DE4-N_A"/>
    <x v="1"/>
    <x v="6"/>
    <x v="43"/>
    <x v="0"/>
    <x v="17"/>
    <n v="-952.8"/>
    <n v="-347772"/>
    <n v="-1251979.2"/>
  </r>
  <r>
    <x v="0"/>
    <x v="0"/>
    <x v="1"/>
    <x v="1"/>
    <x v="3"/>
    <s v="DE4-N_A"/>
    <x v="1"/>
    <x v="6"/>
    <x v="43"/>
    <x v="0"/>
    <x v="18"/>
    <n v="-952.8"/>
    <n v="-347772"/>
    <n v="-1251979.2"/>
  </r>
  <r>
    <x v="0"/>
    <x v="0"/>
    <x v="1"/>
    <x v="1"/>
    <x v="3"/>
    <s v="DE4-N_A"/>
    <x v="1"/>
    <x v="6"/>
    <x v="43"/>
    <x v="0"/>
    <x v="19"/>
    <n v="-952.8"/>
    <n v="-347772"/>
    <n v="-1251979.2"/>
  </r>
  <r>
    <x v="0"/>
    <x v="0"/>
    <x v="1"/>
    <x v="1"/>
    <x v="3"/>
    <s v="DE4-N_A"/>
    <x v="1"/>
    <x v="6"/>
    <x v="43"/>
    <x v="0"/>
    <x v="20"/>
    <n v="-952.8"/>
    <n v="-347772"/>
    <n v="-1251979.2"/>
  </r>
  <r>
    <x v="0"/>
    <x v="0"/>
    <x v="1"/>
    <x v="1"/>
    <x v="3"/>
    <s v="DE4-N_A"/>
    <x v="1"/>
    <x v="6"/>
    <x v="43"/>
    <x v="0"/>
    <x v="21"/>
    <n v="-952.8"/>
    <n v="-347772"/>
    <n v="-1251979.2"/>
  </r>
  <r>
    <x v="0"/>
    <x v="0"/>
    <x v="1"/>
    <x v="1"/>
    <x v="3"/>
    <s v="DE4-N_A"/>
    <x v="1"/>
    <x v="6"/>
    <x v="43"/>
    <x v="0"/>
    <x v="22"/>
    <n v="-952.8"/>
    <n v="-347772"/>
    <n v="-1251979.2"/>
  </r>
  <r>
    <x v="0"/>
    <x v="0"/>
    <x v="1"/>
    <x v="1"/>
    <x v="3"/>
    <s v="DE4-N_A"/>
    <x v="1"/>
    <x v="6"/>
    <x v="43"/>
    <x v="0"/>
    <x v="23"/>
    <n v="-952.8"/>
    <n v="-347772"/>
    <n v="-1251979.2"/>
  </r>
  <r>
    <x v="0"/>
    <x v="0"/>
    <x v="1"/>
    <x v="1"/>
    <x v="3"/>
    <s v="DE4-N_A"/>
    <x v="4"/>
    <x v="3"/>
    <x v="9"/>
    <x v="0"/>
    <x v="6"/>
    <n v="7.9506761137622899"/>
    <n v="2901.9967815232299"/>
    <n v="10447.1884134836"/>
  </r>
  <r>
    <x v="0"/>
    <x v="0"/>
    <x v="1"/>
    <x v="1"/>
    <x v="3"/>
    <s v="DE4-N_A"/>
    <x v="4"/>
    <x v="3"/>
    <x v="9"/>
    <x v="0"/>
    <x v="7"/>
    <n v="84.801573102745394"/>
    <n v="30952.5741825021"/>
    <n v="111429.267057007"/>
  </r>
  <r>
    <x v="0"/>
    <x v="0"/>
    <x v="1"/>
    <x v="1"/>
    <x v="3"/>
    <s v="DE4-N_A"/>
    <x v="4"/>
    <x v="3"/>
    <x v="9"/>
    <x v="0"/>
    <x v="8"/>
    <n v="247.46902312389"/>
    <n v="90326.193440219999"/>
    <n v="325174.29638479202"/>
  </r>
  <r>
    <x v="0"/>
    <x v="0"/>
    <x v="1"/>
    <x v="1"/>
    <x v="3"/>
    <s v="DE4-N_A"/>
    <x v="4"/>
    <x v="3"/>
    <x v="9"/>
    <x v="0"/>
    <x v="9"/>
    <n v="404.012760904223"/>
    <n v="147464.65773004101"/>
    <n v="530872.76782814902"/>
  </r>
  <r>
    <x v="0"/>
    <x v="0"/>
    <x v="1"/>
    <x v="1"/>
    <x v="3"/>
    <s v="DE4-N_A"/>
    <x v="4"/>
    <x v="3"/>
    <x v="9"/>
    <x v="0"/>
    <x v="10"/>
    <n v="538.446852555433"/>
    <n v="196533.10118273299"/>
    <n v="707519.16425783897"/>
  </r>
  <r>
    <x v="0"/>
    <x v="0"/>
    <x v="1"/>
    <x v="1"/>
    <x v="3"/>
    <s v="DE4-N_A"/>
    <x v="4"/>
    <x v="3"/>
    <x v="9"/>
    <x v="0"/>
    <x v="11"/>
    <n v="624.53406690210602"/>
    <n v="227954.934419269"/>
    <n v="820637.76390936703"/>
  </r>
  <r>
    <x v="0"/>
    <x v="0"/>
    <x v="1"/>
    <x v="1"/>
    <x v="3"/>
    <s v="DE4-N_A"/>
    <x v="4"/>
    <x v="3"/>
    <x v="9"/>
    <x v="0"/>
    <x v="12"/>
    <n v="660.56585439639002"/>
    <n v="241106.536854682"/>
    <n v="867983.53267685696"/>
  </r>
  <r>
    <x v="0"/>
    <x v="0"/>
    <x v="1"/>
    <x v="1"/>
    <x v="3"/>
    <s v="DE4-N_A"/>
    <x v="4"/>
    <x v="3"/>
    <x v="9"/>
    <x v="0"/>
    <x v="13"/>
    <n v="664.32128013523095"/>
    <n v="242477.26724935899"/>
    <n v="872918.162097694"/>
  </r>
  <r>
    <x v="0"/>
    <x v="0"/>
    <x v="1"/>
    <x v="1"/>
    <x v="3"/>
    <s v="DE4-N_A"/>
    <x v="4"/>
    <x v="3"/>
    <x v="9"/>
    <x v="0"/>
    <x v="14"/>
    <n v="571.907357561862"/>
    <n v="208746.18551007999"/>
    <n v="751486.26783628704"/>
  </r>
  <r>
    <x v="0"/>
    <x v="0"/>
    <x v="1"/>
    <x v="1"/>
    <x v="3"/>
    <s v="DE4-N_A"/>
    <x v="4"/>
    <x v="3"/>
    <x v="9"/>
    <x v="0"/>
    <x v="15"/>
    <n v="432.90585622827803"/>
    <n v="158010.637523321"/>
    <n v="568838.29508395703"/>
  </r>
  <r>
    <x v="0"/>
    <x v="0"/>
    <x v="1"/>
    <x v="1"/>
    <x v="3"/>
    <s v="DE4-N_A"/>
    <x v="4"/>
    <x v="3"/>
    <x v="9"/>
    <x v="0"/>
    <x v="16"/>
    <n v="275.83771215107998"/>
    <n v="100680.764935144"/>
    <n v="362450.75376652001"/>
  </r>
  <r>
    <x v="0"/>
    <x v="0"/>
    <x v="1"/>
    <x v="1"/>
    <x v="3"/>
    <s v="DE4-N_A"/>
    <x v="4"/>
    <x v="3"/>
    <x v="9"/>
    <x v="0"/>
    <x v="17"/>
    <n v="104.762845047936"/>
    <n v="38238.438442496597"/>
    <n v="137658.378392988"/>
  </r>
  <r>
    <x v="0"/>
    <x v="0"/>
    <x v="1"/>
    <x v="1"/>
    <x v="3"/>
    <s v="DE4-N_A"/>
    <x v="4"/>
    <x v="3"/>
    <x v="9"/>
    <x v="0"/>
    <x v="18"/>
    <n v="8.5765804035691104"/>
    <n v="3130.4518473027201"/>
    <n v="11269.6266502898"/>
  </r>
  <r>
    <x v="0"/>
    <x v="0"/>
    <x v="1"/>
    <x v="1"/>
    <x v="3"/>
    <s v="DE4-N_A"/>
    <x v="10"/>
    <x v="7"/>
    <x v="41"/>
    <x v="0"/>
    <x v="0"/>
    <n v="0.01"/>
    <n v="3.65"/>
    <n v="13.14"/>
  </r>
  <r>
    <x v="0"/>
    <x v="0"/>
    <x v="1"/>
    <x v="1"/>
    <x v="3"/>
    <s v="DE4-N_A"/>
    <x v="10"/>
    <x v="7"/>
    <x v="41"/>
    <x v="0"/>
    <x v="1"/>
    <n v="0.01"/>
    <n v="3.65"/>
    <n v="13.14"/>
  </r>
  <r>
    <x v="0"/>
    <x v="0"/>
    <x v="1"/>
    <x v="1"/>
    <x v="3"/>
    <s v="DE4-N_A"/>
    <x v="10"/>
    <x v="7"/>
    <x v="41"/>
    <x v="0"/>
    <x v="2"/>
    <n v="0.01"/>
    <n v="3.65"/>
    <n v="13.14"/>
  </r>
  <r>
    <x v="0"/>
    <x v="0"/>
    <x v="1"/>
    <x v="1"/>
    <x v="3"/>
    <s v="DE4-N_A"/>
    <x v="10"/>
    <x v="7"/>
    <x v="41"/>
    <x v="0"/>
    <x v="3"/>
    <n v="0.01"/>
    <n v="3.65"/>
    <n v="13.14"/>
  </r>
  <r>
    <x v="0"/>
    <x v="0"/>
    <x v="1"/>
    <x v="1"/>
    <x v="3"/>
    <s v="DE4-N_A"/>
    <x v="10"/>
    <x v="7"/>
    <x v="41"/>
    <x v="0"/>
    <x v="4"/>
    <n v="0.01"/>
    <n v="3.65"/>
    <n v="13.14"/>
  </r>
  <r>
    <x v="0"/>
    <x v="0"/>
    <x v="1"/>
    <x v="1"/>
    <x v="3"/>
    <s v="DE4-N_A"/>
    <x v="10"/>
    <x v="7"/>
    <x v="41"/>
    <x v="0"/>
    <x v="5"/>
    <n v="0.01"/>
    <n v="3.65"/>
    <n v="13.14"/>
  </r>
  <r>
    <x v="0"/>
    <x v="0"/>
    <x v="1"/>
    <x v="1"/>
    <x v="3"/>
    <s v="DE4-N_A"/>
    <x v="10"/>
    <x v="7"/>
    <x v="41"/>
    <x v="0"/>
    <x v="6"/>
    <n v="0.01"/>
    <n v="3.65"/>
    <n v="13.14"/>
  </r>
  <r>
    <x v="0"/>
    <x v="0"/>
    <x v="1"/>
    <x v="1"/>
    <x v="3"/>
    <s v="DE4-N_A"/>
    <x v="10"/>
    <x v="7"/>
    <x v="41"/>
    <x v="0"/>
    <x v="7"/>
    <n v="0.01"/>
    <n v="3.65"/>
    <n v="13.14"/>
  </r>
  <r>
    <x v="0"/>
    <x v="0"/>
    <x v="1"/>
    <x v="1"/>
    <x v="3"/>
    <s v="DE4-N_A"/>
    <x v="10"/>
    <x v="7"/>
    <x v="41"/>
    <x v="0"/>
    <x v="8"/>
    <n v="0.01"/>
    <n v="3.65"/>
    <n v="13.14"/>
  </r>
  <r>
    <x v="0"/>
    <x v="0"/>
    <x v="1"/>
    <x v="1"/>
    <x v="3"/>
    <s v="DE4-N_A"/>
    <x v="10"/>
    <x v="7"/>
    <x v="41"/>
    <x v="0"/>
    <x v="9"/>
    <n v="0.01"/>
    <n v="3.65"/>
    <n v="13.14"/>
  </r>
  <r>
    <x v="0"/>
    <x v="0"/>
    <x v="1"/>
    <x v="1"/>
    <x v="3"/>
    <s v="DE4-N_A"/>
    <x v="10"/>
    <x v="7"/>
    <x v="41"/>
    <x v="0"/>
    <x v="10"/>
    <n v="0.01"/>
    <n v="3.65"/>
    <n v="13.14"/>
  </r>
  <r>
    <x v="0"/>
    <x v="0"/>
    <x v="1"/>
    <x v="1"/>
    <x v="3"/>
    <s v="DE4-N_A"/>
    <x v="10"/>
    <x v="7"/>
    <x v="41"/>
    <x v="0"/>
    <x v="11"/>
    <n v="0.01"/>
    <n v="3.65"/>
    <n v="13.14"/>
  </r>
  <r>
    <x v="0"/>
    <x v="0"/>
    <x v="1"/>
    <x v="1"/>
    <x v="3"/>
    <s v="DE4-N_A"/>
    <x v="10"/>
    <x v="7"/>
    <x v="41"/>
    <x v="0"/>
    <x v="12"/>
    <n v="0.01"/>
    <n v="3.65"/>
    <n v="13.14"/>
  </r>
  <r>
    <x v="0"/>
    <x v="0"/>
    <x v="1"/>
    <x v="1"/>
    <x v="3"/>
    <s v="DE4-N_A"/>
    <x v="10"/>
    <x v="7"/>
    <x v="41"/>
    <x v="0"/>
    <x v="13"/>
    <n v="0.01"/>
    <n v="3.65"/>
    <n v="13.14"/>
  </r>
  <r>
    <x v="0"/>
    <x v="0"/>
    <x v="1"/>
    <x v="1"/>
    <x v="3"/>
    <s v="DE4-N_A"/>
    <x v="10"/>
    <x v="7"/>
    <x v="41"/>
    <x v="0"/>
    <x v="14"/>
    <n v="0.01"/>
    <n v="3.65"/>
    <n v="13.14"/>
  </r>
  <r>
    <x v="0"/>
    <x v="0"/>
    <x v="1"/>
    <x v="1"/>
    <x v="3"/>
    <s v="DE4-N_A"/>
    <x v="10"/>
    <x v="7"/>
    <x v="41"/>
    <x v="0"/>
    <x v="15"/>
    <n v="0.01"/>
    <n v="3.65"/>
    <n v="13.14"/>
  </r>
  <r>
    <x v="0"/>
    <x v="0"/>
    <x v="1"/>
    <x v="1"/>
    <x v="3"/>
    <s v="DE4-N_A"/>
    <x v="10"/>
    <x v="7"/>
    <x v="41"/>
    <x v="0"/>
    <x v="16"/>
    <n v="0.01"/>
    <n v="3.65"/>
    <n v="13.14"/>
  </r>
  <r>
    <x v="0"/>
    <x v="0"/>
    <x v="1"/>
    <x v="1"/>
    <x v="3"/>
    <s v="DE4-N_A"/>
    <x v="10"/>
    <x v="7"/>
    <x v="41"/>
    <x v="0"/>
    <x v="17"/>
    <n v="0.01"/>
    <n v="3.65"/>
    <n v="13.14"/>
  </r>
  <r>
    <x v="0"/>
    <x v="0"/>
    <x v="1"/>
    <x v="1"/>
    <x v="3"/>
    <s v="DE4-N_A"/>
    <x v="10"/>
    <x v="7"/>
    <x v="41"/>
    <x v="0"/>
    <x v="18"/>
    <n v="0.01"/>
    <n v="3.65"/>
    <n v="13.14"/>
  </r>
  <r>
    <x v="0"/>
    <x v="0"/>
    <x v="1"/>
    <x v="1"/>
    <x v="3"/>
    <s v="DE4-N_A"/>
    <x v="10"/>
    <x v="7"/>
    <x v="41"/>
    <x v="0"/>
    <x v="19"/>
    <n v="0.01"/>
    <n v="3.65"/>
    <n v="13.14"/>
  </r>
  <r>
    <x v="0"/>
    <x v="0"/>
    <x v="1"/>
    <x v="1"/>
    <x v="3"/>
    <s v="DE4-N_A"/>
    <x v="10"/>
    <x v="7"/>
    <x v="41"/>
    <x v="0"/>
    <x v="20"/>
    <n v="0.01"/>
    <n v="3.65"/>
    <n v="13.14"/>
  </r>
  <r>
    <x v="0"/>
    <x v="0"/>
    <x v="1"/>
    <x v="1"/>
    <x v="3"/>
    <s v="DE4-N_A"/>
    <x v="10"/>
    <x v="7"/>
    <x v="41"/>
    <x v="0"/>
    <x v="21"/>
    <n v="0.01"/>
    <n v="3.65"/>
    <n v="13.14"/>
  </r>
  <r>
    <x v="0"/>
    <x v="0"/>
    <x v="1"/>
    <x v="1"/>
    <x v="3"/>
    <s v="DE4-N_A"/>
    <x v="10"/>
    <x v="7"/>
    <x v="41"/>
    <x v="0"/>
    <x v="22"/>
    <n v="0.01"/>
    <n v="3.65"/>
    <n v="13.14"/>
  </r>
  <r>
    <x v="0"/>
    <x v="0"/>
    <x v="1"/>
    <x v="1"/>
    <x v="3"/>
    <s v="DE4-N_A"/>
    <x v="10"/>
    <x v="7"/>
    <x v="41"/>
    <x v="0"/>
    <x v="23"/>
    <n v="0.01"/>
    <n v="3.65"/>
    <n v="13.14"/>
  </r>
  <r>
    <x v="0"/>
    <x v="0"/>
    <x v="1"/>
    <x v="1"/>
    <x v="3"/>
    <s v="DE4-N_A"/>
    <x v="5"/>
    <x v="4"/>
    <x v="10"/>
    <x v="0"/>
    <x v="0"/>
    <n v="2.66860730593607"/>
    <n v="974.04166666666697"/>
    <n v="3506.55"/>
  </r>
  <r>
    <x v="0"/>
    <x v="0"/>
    <x v="1"/>
    <x v="1"/>
    <x v="3"/>
    <s v="DE4-N_A"/>
    <x v="5"/>
    <x v="4"/>
    <x v="10"/>
    <x v="0"/>
    <x v="1"/>
    <n v="2.66860730593607"/>
    <n v="974.04166666666697"/>
    <n v="3506.55"/>
  </r>
  <r>
    <x v="0"/>
    <x v="0"/>
    <x v="1"/>
    <x v="1"/>
    <x v="3"/>
    <s v="DE4-N_A"/>
    <x v="5"/>
    <x v="4"/>
    <x v="10"/>
    <x v="0"/>
    <x v="2"/>
    <n v="2.66860730593607"/>
    <n v="974.04166666666697"/>
    <n v="3506.55"/>
  </r>
  <r>
    <x v="0"/>
    <x v="0"/>
    <x v="1"/>
    <x v="1"/>
    <x v="3"/>
    <s v="DE4-N_A"/>
    <x v="5"/>
    <x v="4"/>
    <x v="10"/>
    <x v="0"/>
    <x v="3"/>
    <n v="2.66860730593607"/>
    <n v="974.04166666666697"/>
    <n v="3506.55"/>
  </r>
  <r>
    <x v="0"/>
    <x v="0"/>
    <x v="1"/>
    <x v="1"/>
    <x v="3"/>
    <s v="DE4-N_A"/>
    <x v="5"/>
    <x v="4"/>
    <x v="10"/>
    <x v="0"/>
    <x v="4"/>
    <n v="2.66860730593607"/>
    <n v="974.04166666666697"/>
    <n v="3506.55"/>
  </r>
  <r>
    <x v="0"/>
    <x v="0"/>
    <x v="1"/>
    <x v="1"/>
    <x v="3"/>
    <s v="DE4-N_A"/>
    <x v="5"/>
    <x v="4"/>
    <x v="10"/>
    <x v="0"/>
    <x v="5"/>
    <n v="2.66860730593607"/>
    <n v="974.04166666666697"/>
    <n v="3506.55"/>
  </r>
  <r>
    <x v="0"/>
    <x v="0"/>
    <x v="1"/>
    <x v="1"/>
    <x v="3"/>
    <s v="DE4-N_A"/>
    <x v="5"/>
    <x v="4"/>
    <x v="10"/>
    <x v="0"/>
    <x v="6"/>
    <n v="2.66860730593607"/>
    <n v="974.04166666666697"/>
    <n v="3506.55"/>
  </r>
  <r>
    <x v="0"/>
    <x v="0"/>
    <x v="1"/>
    <x v="1"/>
    <x v="3"/>
    <s v="DE4-N_A"/>
    <x v="5"/>
    <x v="4"/>
    <x v="10"/>
    <x v="0"/>
    <x v="7"/>
    <n v="2.66860730593607"/>
    <n v="974.04166666666697"/>
    <n v="3506.55"/>
  </r>
  <r>
    <x v="0"/>
    <x v="0"/>
    <x v="1"/>
    <x v="1"/>
    <x v="3"/>
    <s v="DE4-N_A"/>
    <x v="5"/>
    <x v="4"/>
    <x v="10"/>
    <x v="0"/>
    <x v="8"/>
    <n v="2.66860730593607"/>
    <n v="974.04166666666697"/>
    <n v="3506.55"/>
  </r>
  <r>
    <x v="0"/>
    <x v="0"/>
    <x v="1"/>
    <x v="1"/>
    <x v="3"/>
    <s v="DE4-N_A"/>
    <x v="5"/>
    <x v="4"/>
    <x v="10"/>
    <x v="0"/>
    <x v="9"/>
    <n v="2.66860730593607"/>
    <n v="974.04166666666697"/>
    <n v="3506.55"/>
  </r>
  <r>
    <x v="0"/>
    <x v="0"/>
    <x v="1"/>
    <x v="1"/>
    <x v="3"/>
    <s v="DE4-N_A"/>
    <x v="5"/>
    <x v="4"/>
    <x v="10"/>
    <x v="0"/>
    <x v="10"/>
    <n v="2.66860730593607"/>
    <n v="974.04166666666697"/>
    <n v="3506.55"/>
  </r>
  <r>
    <x v="0"/>
    <x v="0"/>
    <x v="1"/>
    <x v="1"/>
    <x v="3"/>
    <s v="DE4-N_A"/>
    <x v="5"/>
    <x v="4"/>
    <x v="10"/>
    <x v="0"/>
    <x v="11"/>
    <n v="2.66860730593607"/>
    <n v="974.04166666666697"/>
    <n v="3506.55"/>
  </r>
  <r>
    <x v="0"/>
    <x v="0"/>
    <x v="1"/>
    <x v="1"/>
    <x v="3"/>
    <s v="DE4-N_A"/>
    <x v="5"/>
    <x v="4"/>
    <x v="10"/>
    <x v="0"/>
    <x v="12"/>
    <n v="2.66860730593607"/>
    <n v="974.04166666666697"/>
    <n v="3506.55"/>
  </r>
  <r>
    <x v="0"/>
    <x v="0"/>
    <x v="1"/>
    <x v="1"/>
    <x v="3"/>
    <s v="DE4-N_A"/>
    <x v="5"/>
    <x v="4"/>
    <x v="10"/>
    <x v="0"/>
    <x v="13"/>
    <n v="2.66860730593607"/>
    <n v="974.04166666666697"/>
    <n v="3506.55"/>
  </r>
  <r>
    <x v="0"/>
    <x v="0"/>
    <x v="1"/>
    <x v="1"/>
    <x v="3"/>
    <s v="DE4-N_A"/>
    <x v="5"/>
    <x v="4"/>
    <x v="10"/>
    <x v="0"/>
    <x v="14"/>
    <n v="2.66860730593607"/>
    <n v="974.04166666666697"/>
    <n v="3506.55"/>
  </r>
  <r>
    <x v="0"/>
    <x v="0"/>
    <x v="1"/>
    <x v="1"/>
    <x v="3"/>
    <s v="DE4-N_A"/>
    <x v="5"/>
    <x v="4"/>
    <x v="10"/>
    <x v="0"/>
    <x v="15"/>
    <n v="2.66860730593607"/>
    <n v="974.04166666666697"/>
    <n v="3506.55"/>
  </r>
  <r>
    <x v="0"/>
    <x v="0"/>
    <x v="1"/>
    <x v="1"/>
    <x v="3"/>
    <s v="DE4-N_A"/>
    <x v="5"/>
    <x v="4"/>
    <x v="10"/>
    <x v="0"/>
    <x v="16"/>
    <n v="2.66860730593607"/>
    <n v="974.04166666666697"/>
    <n v="3506.55"/>
  </r>
  <r>
    <x v="0"/>
    <x v="0"/>
    <x v="1"/>
    <x v="1"/>
    <x v="3"/>
    <s v="DE4-N_A"/>
    <x v="5"/>
    <x v="4"/>
    <x v="10"/>
    <x v="0"/>
    <x v="17"/>
    <n v="2.66860730593607"/>
    <n v="974.04166666666697"/>
    <n v="3506.55"/>
  </r>
  <r>
    <x v="0"/>
    <x v="0"/>
    <x v="1"/>
    <x v="1"/>
    <x v="3"/>
    <s v="DE4-N_A"/>
    <x v="5"/>
    <x v="4"/>
    <x v="10"/>
    <x v="0"/>
    <x v="18"/>
    <n v="2.66860730593607"/>
    <n v="974.04166666666697"/>
    <n v="3506.55"/>
  </r>
  <r>
    <x v="0"/>
    <x v="0"/>
    <x v="1"/>
    <x v="1"/>
    <x v="3"/>
    <s v="DE4-N_A"/>
    <x v="5"/>
    <x v="4"/>
    <x v="10"/>
    <x v="0"/>
    <x v="19"/>
    <n v="2.66860730593607"/>
    <n v="974.04166666666697"/>
    <n v="3506.55"/>
  </r>
  <r>
    <x v="0"/>
    <x v="0"/>
    <x v="1"/>
    <x v="1"/>
    <x v="3"/>
    <s v="DE4-N_A"/>
    <x v="5"/>
    <x v="4"/>
    <x v="10"/>
    <x v="0"/>
    <x v="20"/>
    <n v="2.66860730593607"/>
    <n v="974.04166666666697"/>
    <n v="3506.55"/>
  </r>
  <r>
    <x v="0"/>
    <x v="0"/>
    <x v="1"/>
    <x v="1"/>
    <x v="3"/>
    <s v="DE4-N_A"/>
    <x v="5"/>
    <x v="4"/>
    <x v="10"/>
    <x v="0"/>
    <x v="21"/>
    <n v="2.66860730593607"/>
    <n v="974.04166666666697"/>
    <n v="3506.55"/>
  </r>
  <r>
    <x v="0"/>
    <x v="0"/>
    <x v="1"/>
    <x v="1"/>
    <x v="3"/>
    <s v="DE4-N_A"/>
    <x v="5"/>
    <x v="4"/>
    <x v="10"/>
    <x v="0"/>
    <x v="22"/>
    <n v="2.66860730593607"/>
    <n v="974.04166666666697"/>
    <n v="3506.55"/>
  </r>
  <r>
    <x v="0"/>
    <x v="0"/>
    <x v="1"/>
    <x v="1"/>
    <x v="3"/>
    <s v="DE4-N_A"/>
    <x v="5"/>
    <x v="4"/>
    <x v="10"/>
    <x v="0"/>
    <x v="23"/>
    <n v="2.66860730593607"/>
    <n v="974.04166666666697"/>
    <n v="3506.55"/>
  </r>
  <r>
    <x v="0"/>
    <x v="0"/>
    <x v="1"/>
    <x v="1"/>
    <x v="3"/>
    <s v="DE4-N_A"/>
    <x v="6"/>
    <x v="5"/>
    <x v="11"/>
    <x v="0"/>
    <x v="0"/>
    <n v="2348.8557237938098"/>
    <n v="857332.33918474102"/>
    <n v="3086396.4210650702"/>
  </r>
  <r>
    <x v="0"/>
    <x v="0"/>
    <x v="1"/>
    <x v="1"/>
    <x v="3"/>
    <s v="DE4-N_A"/>
    <x v="6"/>
    <x v="5"/>
    <x v="11"/>
    <x v="0"/>
    <x v="1"/>
    <n v="2175.81485755825"/>
    <n v="794172.42300875997"/>
    <n v="2859020.7228315398"/>
  </r>
  <r>
    <x v="0"/>
    <x v="0"/>
    <x v="1"/>
    <x v="1"/>
    <x v="3"/>
    <s v="DE4-N_A"/>
    <x v="6"/>
    <x v="5"/>
    <x v="11"/>
    <x v="0"/>
    <x v="2"/>
    <n v="2063.4377432788301"/>
    <n v="753154.77629677195"/>
    <n v="2711357.1946683801"/>
  </r>
  <r>
    <x v="0"/>
    <x v="0"/>
    <x v="1"/>
    <x v="1"/>
    <x v="3"/>
    <s v="DE4-N_A"/>
    <x v="6"/>
    <x v="5"/>
    <x v="11"/>
    <x v="0"/>
    <x v="3"/>
    <n v="1864.8509732994401"/>
    <n v="680670.605254294"/>
    <n v="2450414.1789154601"/>
  </r>
  <r>
    <x v="0"/>
    <x v="0"/>
    <x v="1"/>
    <x v="1"/>
    <x v="3"/>
    <s v="DE4-N_A"/>
    <x v="6"/>
    <x v="5"/>
    <x v="11"/>
    <x v="0"/>
    <x v="4"/>
    <n v="1662.59702978991"/>
    <n v="606847.91587331705"/>
    <n v="2184652.4971439401"/>
  </r>
  <r>
    <x v="0"/>
    <x v="0"/>
    <x v="1"/>
    <x v="1"/>
    <x v="3"/>
    <s v="DE4-N_A"/>
    <x v="6"/>
    <x v="5"/>
    <x v="11"/>
    <x v="0"/>
    <x v="5"/>
    <n v="1580.17885858719"/>
    <n v="576765.28338432603"/>
    <n v="2076355.02018357"/>
  </r>
  <r>
    <x v="0"/>
    <x v="0"/>
    <x v="1"/>
    <x v="1"/>
    <x v="3"/>
    <s v="DE4-N_A"/>
    <x v="6"/>
    <x v="5"/>
    <x v="11"/>
    <x v="0"/>
    <x v="6"/>
    <n v="1554.1978664584301"/>
    <n v="567282.22125732899"/>
    <n v="2042215.9965263801"/>
  </r>
  <r>
    <x v="0"/>
    <x v="0"/>
    <x v="1"/>
    <x v="1"/>
    <x v="3"/>
    <s v="DE4-N_A"/>
    <x v="6"/>
    <x v="5"/>
    <x v="11"/>
    <x v="0"/>
    <x v="7"/>
    <n v="1597.9553268858201"/>
    <n v="583253.69431332406"/>
    <n v="2099713.2995279701"/>
  </r>
  <r>
    <x v="0"/>
    <x v="0"/>
    <x v="1"/>
    <x v="1"/>
    <x v="3"/>
    <s v="DE4-N_A"/>
    <x v="6"/>
    <x v="5"/>
    <x v="11"/>
    <x v="0"/>
    <x v="8"/>
    <n v="1912.46207370764"/>
    <n v="698048.65690328903"/>
    <n v="2512975.1648518401"/>
  </r>
  <r>
    <x v="0"/>
    <x v="0"/>
    <x v="1"/>
    <x v="1"/>
    <x v="3"/>
    <s v="DE4-N_A"/>
    <x v="6"/>
    <x v="5"/>
    <x v="11"/>
    <x v="0"/>
    <x v="9"/>
    <n v="2165.24842535277"/>
    <n v="790315.675253761"/>
    <n v="2845136.4309135401"/>
  </r>
  <r>
    <x v="0"/>
    <x v="0"/>
    <x v="1"/>
    <x v="1"/>
    <x v="3"/>
    <s v="DE4-N_A"/>
    <x v="6"/>
    <x v="5"/>
    <x v="11"/>
    <x v="0"/>
    <x v="10"/>
    <n v="2092.58866506923"/>
    <n v="763794.86275026901"/>
    <n v="2749661.5059009702"/>
  </r>
  <r>
    <x v="0"/>
    <x v="0"/>
    <x v="1"/>
    <x v="1"/>
    <x v="3"/>
    <s v="DE4-N_A"/>
    <x v="6"/>
    <x v="5"/>
    <x v="11"/>
    <x v="0"/>
    <x v="11"/>
    <n v="1913.95380531312"/>
    <n v="698593.13893928903"/>
    <n v="2514935.3001814401"/>
  </r>
  <r>
    <x v="0"/>
    <x v="0"/>
    <x v="1"/>
    <x v="1"/>
    <x v="3"/>
    <s v="DE4-N_A"/>
    <x v="6"/>
    <x v="5"/>
    <x v="11"/>
    <x v="0"/>
    <x v="12"/>
    <n v="1945.7152574131101"/>
    <n v="710186.06895578501"/>
    <n v="2556669.84824083"/>
  </r>
  <r>
    <x v="0"/>
    <x v="0"/>
    <x v="1"/>
    <x v="1"/>
    <x v="3"/>
    <s v="DE4-N_A"/>
    <x v="6"/>
    <x v="5"/>
    <x v="11"/>
    <x v="0"/>
    <x v="13"/>
    <n v="1973.49875856516"/>
    <n v="720327.04687628197"/>
    <n v="2593177.3687546202"/>
  </r>
  <r>
    <x v="0"/>
    <x v="0"/>
    <x v="1"/>
    <x v="1"/>
    <x v="3"/>
    <s v="DE4-N_A"/>
    <x v="6"/>
    <x v="5"/>
    <x v="11"/>
    <x v="0"/>
    <x v="14"/>
    <n v="1983.31932496789"/>
    <n v="723911.55361328099"/>
    <n v="2606081.5930078099"/>
  </r>
  <r>
    <x v="0"/>
    <x v="0"/>
    <x v="1"/>
    <x v="1"/>
    <x v="3"/>
    <s v="DE4-N_A"/>
    <x v="6"/>
    <x v="5"/>
    <x v="11"/>
    <x v="0"/>
    <x v="15"/>
    <n v="1855.5276507651899"/>
    <n v="677267.59252929501"/>
    <n v="2438163.3331054598"/>
  </r>
  <r>
    <x v="0"/>
    <x v="0"/>
    <x v="1"/>
    <x v="1"/>
    <x v="3"/>
    <s v="DE4-N_A"/>
    <x v="6"/>
    <x v="5"/>
    <x v="11"/>
    <x v="0"/>
    <x v="16"/>
    <n v="1677.2035684268899"/>
    <n v="612179.30247581506"/>
    <n v="2203845.4889129298"/>
  </r>
  <r>
    <x v="0"/>
    <x v="0"/>
    <x v="1"/>
    <x v="1"/>
    <x v="3"/>
    <s v="DE4-N_A"/>
    <x v="6"/>
    <x v="5"/>
    <x v="11"/>
    <x v="0"/>
    <x v="17"/>
    <n v="1389.67230147081"/>
    <n v="507230.39003684698"/>
    <n v="1826029.40413265"/>
  </r>
  <r>
    <x v="0"/>
    <x v="0"/>
    <x v="1"/>
    <x v="1"/>
    <x v="3"/>
    <s v="DE4-N_A"/>
    <x v="6"/>
    <x v="5"/>
    <x v="11"/>
    <x v="0"/>
    <x v="18"/>
    <n v="1067.7068966216"/>
    <n v="389713.017266882"/>
    <n v="1402966.86216078"/>
  </r>
  <r>
    <x v="0"/>
    <x v="0"/>
    <x v="1"/>
    <x v="1"/>
    <x v="3"/>
    <s v="DE4-N_A"/>
    <x v="6"/>
    <x v="5"/>
    <x v="11"/>
    <x v="0"/>
    <x v="19"/>
    <n v="1072.43071337228"/>
    <n v="391437.21038088202"/>
    <n v="1409173.9573711699"/>
  </r>
  <r>
    <x v="0"/>
    <x v="0"/>
    <x v="1"/>
    <x v="1"/>
    <x v="3"/>
    <s v="DE4-N_A"/>
    <x v="6"/>
    <x v="5"/>
    <x v="11"/>
    <x v="0"/>
    <x v="20"/>
    <n v="1127.1275389065099"/>
    <n v="411401.55170087598"/>
    <n v="1481045.5861231501"/>
  </r>
  <r>
    <x v="0"/>
    <x v="0"/>
    <x v="1"/>
    <x v="1"/>
    <x v="3"/>
    <s v="DE4-N_A"/>
    <x v="6"/>
    <x v="5"/>
    <x v="11"/>
    <x v="0"/>
    <x v="21"/>
    <n v="1219.24196554484"/>
    <n v="445023.31742386601"/>
    <n v="1602083.9427259199"/>
  </r>
  <r>
    <x v="0"/>
    <x v="0"/>
    <x v="1"/>
    <x v="1"/>
    <x v="3"/>
    <s v="DE4-N_A"/>
    <x v="6"/>
    <x v="5"/>
    <x v="11"/>
    <x v="0"/>
    <x v="22"/>
    <n v="1273.13076979277"/>
    <n v="464692.73097436002"/>
    <n v="1672893.83150769"/>
  </r>
  <r>
    <x v="0"/>
    <x v="0"/>
    <x v="1"/>
    <x v="1"/>
    <x v="3"/>
    <s v="DE4-N_A"/>
    <x v="6"/>
    <x v="5"/>
    <x v="11"/>
    <x v="0"/>
    <x v="23"/>
    <n v="1288.54532971605"/>
    <n v="470319.04534635798"/>
    <n v="1693148.56324689"/>
  </r>
  <r>
    <x v="0"/>
    <x v="0"/>
    <x v="1"/>
    <x v="1"/>
    <x v="3"/>
    <s v="DE4-N_Offshore_A"/>
    <x v="6"/>
    <x v="5"/>
    <x v="12"/>
    <x v="0"/>
    <x v="0"/>
    <n v="1270.8869258054499"/>
    <n v="463873.72791898903"/>
    <n v="1669945.42050836"/>
  </r>
  <r>
    <x v="0"/>
    <x v="0"/>
    <x v="1"/>
    <x v="1"/>
    <x v="3"/>
    <s v="DE4-N_Offshore_A"/>
    <x v="6"/>
    <x v="5"/>
    <x v="12"/>
    <x v="0"/>
    <x v="1"/>
    <n v="1177.2603261377501"/>
    <n v="429700.01904027897"/>
    <n v="1546920.0685449999"/>
  </r>
  <r>
    <x v="0"/>
    <x v="0"/>
    <x v="1"/>
    <x v="1"/>
    <x v="3"/>
    <s v="DE4-N_Offshore_A"/>
    <x v="6"/>
    <x v="5"/>
    <x v="12"/>
    <x v="0"/>
    <x v="2"/>
    <n v="1116.4568447443601"/>
    <n v="407506.74833169102"/>
    <n v="1467024.2939940901"/>
  </r>
  <r>
    <x v="0"/>
    <x v="0"/>
    <x v="1"/>
    <x v="1"/>
    <x v="3"/>
    <s v="DE4-N_Offshore_A"/>
    <x v="6"/>
    <x v="5"/>
    <x v="12"/>
    <x v="0"/>
    <x v="3"/>
    <n v="1009.00821473778"/>
    <n v="368287.99837929202"/>
    <n v="1325836.7941654499"/>
  </r>
  <r>
    <x v="0"/>
    <x v="0"/>
    <x v="1"/>
    <x v="1"/>
    <x v="3"/>
    <s v="DE4-N_Offshore_A"/>
    <x v="6"/>
    <x v="5"/>
    <x v="12"/>
    <x v="0"/>
    <x v="4"/>
    <n v="899.57540032733402"/>
    <n v="328345.02111947699"/>
    <n v="1182042.07603012"/>
  </r>
  <r>
    <x v="0"/>
    <x v="0"/>
    <x v="1"/>
    <x v="1"/>
    <x v="3"/>
    <s v="DE4-N_Offshore_A"/>
    <x v="6"/>
    <x v="5"/>
    <x v="12"/>
    <x v="0"/>
    <x v="5"/>
    <n v="854.98169660629605"/>
    <n v="312068.31926129799"/>
    <n v="1123445.9493406699"/>
  </r>
  <r>
    <x v="0"/>
    <x v="0"/>
    <x v="1"/>
    <x v="1"/>
    <x v="3"/>
    <s v="DE4-N_Offshore_A"/>
    <x v="6"/>
    <x v="5"/>
    <x v="12"/>
    <x v="0"/>
    <x v="6"/>
    <n v="840.92425455848797"/>
    <n v="306937.35291384801"/>
    <n v="1104974.47048985"/>
  </r>
  <r>
    <x v="0"/>
    <x v="0"/>
    <x v="1"/>
    <x v="1"/>
    <x v="3"/>
    <s v="DE4-N_Offshore_A"/>
    <x v="6"/>
    <x v="5"/>
    <x v="12"/>
    <x v="0"/>
    <x v="7"/>
    <n v="864.59994642848096"/>
    <n v="315578.98044639599"/>
    <n v="1136084.3296070199"/>
  </r>
  <r>
    <x v="0"/>
    <x v="0"/>
    <x v="1"/>
    <x v="1"/>
    <x v="3"/>
    <s v="DE4-N_Offshore_A"/>
    <x v="6"/>
    <x v="5"/>
    <x v="12"/>
    <x v="0"/>
    <x v="8"/>
    <n v="1034.7689817440601"/>
    <n v="377690.67833657999"/>
    <n v="1359686.44201169"/>
  </r>
  <r>
    <x v="0"/>
    <x v="0"/>
    <x v="1"/>
    <x v="1"/>
    <x v="3"/>
    <s v="DE4-N_Offshore_A"/>
    <x v="6"/>
    <x v="5"/>
    <x v="12"/>
    <x v="0"/>
    <x v="9"/>
    <n v="1171.54318463505"/>
    <n v="427613.26239179401"/>
    <n v="1539407.74461046"/>
  </r>
  <r>
    <x v="0"/>
    <x v="0"/>
    <x v="1"/>
    <x v="1"/>
    <x v="3"/>
    <s v="DE4-N_Offshore_A"/>
    <x v="6"/>
    <x v="5"/>
    <x v="12"/>
    <x v="0"/>
    <x v="10"/>
    <n v="1132.2294292429799"/>
    <n v="413263.74167368602"/>
    <n v="1487749.47002527"/>
  </r>
  <r>
    <x v="0"/>
    <x v="0"/>
    <x v="1"/>
    <x v="1"/>
    <x v="3"/>
    <s v="DE4-N_Offshore_A"/>
    <x v="6"/>
    <x v="5"/>
    <x v="12"/>
    <x v="0"/>
    <x v="11"/>
    <n v="1035.57610760326"/>
    <n v="377985.27927519003"/>
    <n v="1360747.0053906799"/>
  </r>
  <r>
    <x v="0"/>
    <x v="0"/>
    <x v="1"/>
    <x v="1"/>
    <x v="3"/>
    <s v="DE4-N_Offshore_A"/>
    <x v="6"/>
    <x v="5"/>
    <x v="12"/>
    <x v="0"/>
    <x v="12"/>
    <n v="1052.7611623554899"/>
    <n v="384257.824259752"/>
    <n v="1383328.16733511"/>
  </r>
  <r>
    <x v="0"/>
    <x v="0"/>
    <x v="1"/>
    <x v="1"/>
    <x v="3"/>
    <s v="DE4-N_Offshore_A"/>
    <x v="6"/>
    <x v="5"/>
    <x v="12"/>
    <x v="0"/>
    <x v="13"/>
    <n v="1067.79388148317"/>
    <n v="389744.76674135501"/>
    <n v="1403081.16026888"/>
  </r>
  <r>
    <x v="0"/>
    <x v="0"/>
    <x v="1"/>
    <x v="1"/>
    <x v="3"/>
    <s v="DE4-N_Offshore_A"/>
    <x v="6"/>
    <x v="5"/>
    <x v="12"/>
    <x v="0"/>
    <x v="14"/>
    <n v="1073.1074600562599"/>
    <n v="391684.22292053502"/>
    <n v="1410063.2025139299"/>
  </r>
  <r>
    <x v="0"/>
    <x v="0"/>
    <x v="1"/>
    <x v="1"/>
    <x v="3"/>
    <s v="DE4-N_Offshore_A"/>
    <x v="6"/>
    <x v="5"/>
    <x v="12"/>
    <x v="0"/>
    <x v="15"/>
    <n v="1003.96367811776"/>
    <n v="366446.74251298199"/>
    <n v="1319208.2730467301"/>
  </r>
  <r>
    <x v="0"/>
    <x v="0"/>
    <x v="1"/>
    <x v="1"/>
    <x v="3"/>
    <s v="DE4-N_Offshore_A"/>
    <x v="6"/>
    <x v="5"/>
    <x v="12"/>
    <x v="0"/>
    <x v="16"/>
    <n v="907.47850769871002"/>
    <n v="331229.65531002899"/>
    <n v="1192426.7591160999"/>
  </r>
  <r>
    <x v="0"/>
    <x v="0"/>
    <x v="1"/>
    <x v="1"/>
    <x v="3"/>
    <s v="DE4-N_Offshore_A"/>
    <x v="6"/>
    <x v="5"/>
    <x v="12"/>
    <x v="0"/>
    <x v="17"/>
    <n v="751.90499833707895"/>
    <n v="274445.32439303398"/>
    <n v="988003.16781492205"/>
  </r>
  <r>
    <x v="0"/>
    <x v="0"/>
    <x v="1"/>
    <x v="1"/>
    <x v="3"/>
    <s v="DE4-N_Offshore_A"/>
    <x v="6"/>
    <x v="5"/>
    <x v="12"/>
    <x v="0"/>
    <x v="18"/>
    <n v="577.70033372548301"/>
    <n v="210860.621809801"/>
    <n v="759098.23851528496"/>
  </r>
  <r>
    <x v="0"/>
    <x v="0"/>
    <x v="1"/>
    <x v="1"/>
    <x v="3"/>
    <s v="DE4-N_Offshore_A"/>
    <x v="6"/>
    <x v="5"/>
    <x v="12"/>
    <x v="0"/>
    <x v="19"/>
    <n v="580.25623227963001"/>
    <n v="211793.52478206501"/>
    <n v="762456.68921543402"/>
  </r>
  <r>
    <x v="0"/>
    <x v="0"/>
    <x v="1"/>
    <x v="1"/>
    <x v="3"/>
    <s v="DE4-N_Offshore_A"/>
    <x v="6"/>
    <x v="5"/>
    <x v="12"/>
    <x v="0"/>
    <x v="20"/>
    <n v="609.85084711712102"/>
    <n v="222595.55919774901"/>
    <n v="801344.01311189798"/>
  </r>
  <r>
    <x v="0"/>
    <x v="0"/>
    <x v="1"/>
    <x v="1"/>
    <x v="3"/>
    <s v="DE4-N_Offshore_A"/>
    <x v="6"/>
    <x v="5"/>
    <x v="12"/>
    <x v="0"/>
    <x v="21"/>
    <n v="659.69086892298697"/>
    <n v="240787.16715689001"/>
    <n v="866833.80176480499"/>
  </r>
  <r>
    <x v="0"/>
    <x v="0"/>
    <x v="1"/>
    <x v="1"/>
    <x v="3"/>
    <s v="DE4-N_Offshore_A"/>
    <x v="6"/>
    <x v="5"/>
    <x v="12"/>
    <x v="0"/>
    <x v="22"/>
    <n v="688.84829058674302"/>
    <n v="251429.62606416101"/>
    <n v="905146.65383097995"/>
  </r>
  <r>
    <x v="0"/>
    <x v="0"/>
    <x v="1"/>
    <x v="1"/>
    <x v="3"/>
    <s v="DE4-N_Offshore_A"/>
    <x v="6"/>
    <x v="5"/>
    <x v="12"/>
    <x v="0"/>
    <x v="23"/>
    <n v="697.18859113185397"/>
    <n v="254473.83576312699"/>
    <n v="916105.80874725594"/>
  </r>
  <r>
    <x v="0"/>
    <x v="0"/>
    <x v="1"/>
    <x v="1"/>
    <x v="4"/>
    <s v="DE4-S_A"/>
    <x v="1"/>
    <x v="6"/>
    <x v="46"/>
    <x v="0"/>
    <x v="0"/>
    <n v="-17304"/>
    <n v="-6315960"/>
    <n v="-22737456"/>
  </r>
  <r>
    <x v="0"/>
    <x v="0"/>
    <x v="1"/>
    <x v="1"/>
    <x v="4"/>
    <s v="DE4-S_A"/>
    <x v="1"/>
    <x v="6"/>
    <x v="46"/>
    <x v="0"/>
    <x v="1"/>
    <n v="-17304"/>
    <n v="-6315960"/>
    <n v="-22737456"/>
  </r>
  <r>
    <x v="0"/>
    <x v="0"/>
    <x v="1"/>
    <x v="1"/>
    <x v="4"/>
    <s v="DE4-S_A"/>
    <x v="1"/>
    <x v="6"/>
    <x v="46"/>
    <x v="0"/>
    <x v="2"/>
    <n v="-17304"/>
    <n v="-6315960"/>
    <n v="-22737456"/>
  </r>
  <r>
    <x v="0"/>
    <x v="0"/>
    <x v="1"/>
    <x v="1"/>
    <x v="4"/>
    <s v="DE4-S_A"/>
    <x v="1"/>
    <x v="6"/>
    <x v="46"/>
    <x v="0"/>
    <x v="3"/>
    <n v="-17304"/>
    <n v="-6315960"/>
    <n v="-22737456"/>
  </r>
  <r>
    <x v="0"/>
    <x v="0"/>
    <x v="1"/>
    <x v="1"/>
    <x v="4"/>
    <s v="DE4-S_A"/>
    <x v="1"/>
    <x v="6"/>
    <x v="46"/>
    <x v="0"/>
    <x v="4"/>
    <n v="-17304"/>
    <n v="-6315960"/>
    <n v="-22737456"/>
  </r>
  <r>
    <x v="0"/>
    <x v="0"/>
    <x v="1"/>
    <x v="1"/>
    <x v="4"/>
    <s v="DE4-S_A"/>
    <x v="1"/>
    <x v="6"/>
    <x v="46"/>
    <x v="0"/>
    <x v="5"/>
    <n v="-17304"/>
    <n v="-6315960"/>
    <n v="-22737456"/>
  </r>
  <r>
    <x v="0"/>
    <x v="0"/>
    <x v="1"/>
    <x v="1"/>
    <x v="4"/>
    <s v="DE4-S_A"/>
    <x v="1"/>
    <x v="6"/>
    <x v="46"/>
    <x v="0"/>
    <x v="6"/>
    <n v="-17304"/>
    <n v="-6315960"/>
    <n v="-22737456"/>
  </r>
  <r>
    <x v="0"/>
    <x v="0"/>
    <x v="1"/>
    <x v="1"/>
    <x v="4"/>
    <s v="DE4-S_A"/>
    <x v="1"/>
    <x v="6"/>
    <x v="46"/>
    <x v="0"/>
    <x v="7"/>
    <n v="-17304"/>
    <n v="-6315960"/>
    <n v="-22737456"/>
  </r>
  <r>
    <x v="0"/>
    <x v="0"/>
    <x v="1"/>
    <x v="1"/>
    <x v="4"/>
    <s v="DE4-S_A"/>
    <x v="1"/>
    <x v="6"/>
    <x v="46"/>
    <x v="0"/>
    <x v="8"/>
    <n v="-17304"/>
    <n v="-6315960"/>
    <n v="-22737456"/>
  </r>
  <r>
    <x v="0"/>
    <x v="0"/>
    <x v="1"/>
    <x v="1"/>
    <x v="4"/>
    <s v="DE4-S_A"/>
    <x v="1"/>
    <x v="6"/>
    <x v="46"/>
    <x v="0"/>
    <x v="9"/>
    <n v="-17304"/>
    <n v="-6315960"/>
    <n v="-22737456"/>
  </r>
  <r>
    <x v="0"/>
    <x v="0"/>
    <x v="1"/>
    <x v="1"/>
    <x v="4"/>
    <s v="DE4-S_A"/>
    <x v="1"/>
    <x v="6"/>
    <x v="46"/>
    <x v="0"/>
    <x v="10"/>
    <n v="-17304"/>
    <n v="-6315960"/>
    <n v="-22737456"/>
  </r>
  <r>
    <x v="0"/>
    <x v="0"/>
    <x v="1"/>
    <x v="1"/>
    <x v="4"/>
    <s v="DE4-S_A"/>
    <x v="1"/>
    <x v="6"/>
    <x v="46"/>
    <x v="0"/>
    <x v="11"/>
    <n v="-17304"/>
    <n v="-6315960"/>
    <n v="-22737456"/>
  </r>
  <r>
    <x v="0"/>
    <x v="0"/>
    <x v="1"/>
    <x v="1"/>
    <x v="4"/>
    <s v="DE4-S_A"/>
    <x v="1"/>
    <x v="6"/>
    <x v="46"/>
    <x v="0"/>
    <x v="12"/>
    <n v="-17304"/>
    <n v="-6315960"/>
    <n v="-22737456"/>
  </r>
  <r>
    <x v="0"/>
    <x v="0"/>
    <x v="1"/>
    <x v="1"/>
    <x v="4"/>
    <s v="DE4-S_A"/>
    <x v="1"/>
    <x v="6"/>
    <x v="46"/>
    <x v="0"/>
    <x v="13"/>
    <n v="-17304"/>
    <n v="-6315960"/>
    <n v="-22737456"/>
  </r>
  <r>
    <x v="0"/>
    <x v="0"/>
    <x v="1"/>
    <x v="1"/>
    <x v="4"/>
    <s v="DE4-S_A"/>
    <x v="1"/>
    <x v="6"/>
    <x v="46"/>
    <x v="0"/>
    <x v="14"/>
    <n v="-17304"/>
    <n v="-6315960"/>
    <n v="-22737456"/>
  </r>
  <r>
    <x v="0"/>
    <x v="0"/>
    <x v="1"/>
    <x v="1"/>
    <x v="4"/>
    <s v="DE4-S_A"/>
    <x v="1"/>
    <x v="6"/>
    <x v="46"/>
    <x v="0"/>
    <x v="15"/>
    <n v="-17304"/>
    <n v="-6315960"/>
    <n v="-22737456"/>
  </r>
  <r>
    <x v="0"/>
    <x v="0"/>
    <x v="1"/>
    <x v="1"/>
    <x v="4"/>
    <s v="DE4-S_A"/>
    <x v="1"/>
    <x v="6"/>
    <x v="46"/>
    <x v="0"/>
    <x v="16"/>
    <n v="-17304"/>
    <n v="-6315960"/>
    <n v="-22737456"/>
  </r>
  <r>
    <x v="0"/>
    <x v="0"/>
    <x v="1"/>
    <x v="1"/>
    <x v="4"/>
    <s v="DE4-S_A"/>
    <x v="1"/>
    <x v="6"/>
    <x v="46"/>
    <x v="0"/>
    <x v="17"/>
    <n v="-17304"/>
    <n v="-6315960"/>
    <n v="-22737456"/>
  </r>
  <r>
    <x v="0"/>
    <x v="0"/>
    <x v="1"/>
    <x v="1"/>
    <x v="4"/>
    <s v="DE4-S_A"/>
    <x v="1"/>
    <x v="6"/>
    <x v="46"/>
    <x v="0"/>
    <x v="18"/>
    <n v="-17304"/>
    <n v="-6315960"/>
    <n v="-22737456"/>
  </r>
  <r>
    <x v="0"/>
    <x v="0"/>
    <x v="1"/>
    <x v="1"/>
    <x v="4"/>
    <s v="DE4-S_A"/>
    <x v="1"/>
    <x v="6"/>
    <x v="46"/>
    <x v="0"/>
    <x v="19"/>
    <n v="-17304"/>
    <n v="-6315960"/>
    <n v="-22737456"/>
  </r>
  <r>
    <x v="0"/>
    <x v="0"/>
    <x v="1"/>
    <x v="1"/>
    <x v="4"/>
    <s v="DE4-S_A"/>
    <x v="1"/>
    <x v="6"/>
    <x v="46"/>
    <x v="0"/>
    <x v="20"/>
    <n v="-17304"/>
    <n v="-6315960"/>
    <n v="-22737456"/>
  </r>
  <r>
    <x v="0"/>
    <x v="0"/>
    <x v="1"/>
    <x v="1"/>
    <x v="4"/>
    <s v="DE4-S_A"/>
    <x v="1"/>
    <x v="6"/>
    <x v="46"/>
    <x v="0"/>
    <x v="21"/>
    <n v="-17304"/>
    <n v="-6315960"/>
    <n v="-22737456"/>
  </r>
  <r>
    <x v="0"/>
    <x v="0"/>
    <x v="1"/>
    <x v="1"/>
    <x v="4"/>
    <s v="DE4-S_A"/>
    <x v="1"/>
    <x v="6"/>
    <x v="46"/>
    <x v="0"/>
    <x v="22"/>
    <n v="-17304"/>
    <n v="-6315960"/>
    <n v="-22737456"/>
  </r>
  <r>
    <x v="0"/>
    <x v="0"/>
    <x v="1"/>
    <x v="1"/>
    <x v="4"/>
    <s v="DE4-S_A"/>
    <x v="1"/>
    <x v="6"/>
    <x v="46"/>
    <x v="0"/>
    <x v="23"/>
    <n v="-17304"/>
    <n v="-6315960"/>
    <n v="-22737456"/>
  </r>
  <r>
    <x v="0"/>
    <x v="0"/>
    <x v="1"/>
    <x v="1"/>
    <x v="4"/>
    <s v="DE4-S_A"/>
    <x v="2"/>
    <x v="7"/>
    <x v="40"/>
    <x v="0"/>
    <x v="0"/>
    <n v="8.6999999999999993"/>
    <n v="3175.5"/>
    <n v="11431.8"/>
  </r>
  <r>
    <x v="0"/>
    <x v="0"/>
    <x v="1"/>
    <x v="1"/>
    <x v="4"/>
    <s v="DE4-S_A"/>
    <x v="2"/>
    <x v="7"/>
    <x v="40"/>
    <x v="0"/>
    <x v="1"/>
    <n v="8.6999999999999993"/>
    <n v="3175.5"/>
    <n v="11431.8"/>
  </r>
  <r>
    <x v="0"/>
    <x v="0"/>
    <x v="1"/>
    <x v="1"/>
    <x v="4"/>
    <s v="DE4-S_A"/>
    <x v="2"/>
    <x v="7"/>
    <x v="40"/>
    <x v="0"/>
    <x v="2"/>
    <n v="8.6999999999999993"/>
    <n v="3175.5"/>
    <n v="11431.8"/>
  </r>
  <r>
    <x v="0"/>
    <x v="0"/>
    <x v="1"/>
    <x v="1"/>
    <x v="4"/>
    <s v="DE4-S_A"/>
    <x v="2"/>
    <x v="7"/>
    <x v="40"/>
    <x v="0"/>
    <x v="3"/>
    <n v="8.6999999999999993"/>
    <n v="3175.5"/>
    <n v="11431.8"/>
  </r>
  <r>
    <x v="0"/>
    <x v="0"/>
    <x v="1"/>
    <x v="1"/>
    <x v="4"/>
    <s v="DE4-S_A"/>
    <x v="2"/>
    <x v="7"/>
    <x v="40"/>
    <x v="0"/>
    <x v="4"/>
    <n v="8.6999999999999993"/>
    <n v="3175.5"/>
    <n v="11431.8"/>
  </r>
  <r>
    <x v="0"/>
    <x v="0"/>
    <x v="1"/>
    <x v="1"/>
    <x v="4"/>
    <s v="DE4-S_A"/>
    <x v="2"/>
    <x v="7"/>
    <x v="40"/>
    <x v="0"/>
    <x v="5"/>
    <n v="8.6999999999999993"/>
    <n v="3175.5"/>
    <n v="11431.8"/>
  </r>
  <r>
    <x v="0"/>
    <x v="0"/>
    <x v="1"/>
    <x v="1"/>
    <x v="4"/>
    <s v="DE4-S_A"/>
    <x v="2"/>
    <x v="7"/>
    <x v="40"/>
    <x v="0"/>
    <x v="6"/>
    <n v="8.6999999999999993"/>
    <n v="3175.5"/>
    <n v="11431.8"/>
  </r>
  <r>
    <x v="0"/>
    <x v="0"/>
    <x v="1"/>
    <x v="1"/>
    <x v="4"/>
    <s v="DE4-S_A"/>
    <x v="2"/>
    <x v="7"/>
    <x v="40"/>
    <x v="0"/>
    <x v="7"/>
    <n v="8.6999999999999993"/>
    <n v="3175.5"/>
    <n v="11431.8"/>
  </r>
  <r>
    <x v="0"/>
    <x v="0"/>
    <x v="1"/>
    <x v="1"/>
    <x v="4"/>
    <s v="DE4-S_A"/>
    <x v="2"/>
    <x v="7"/>
    <x v="40"/>
    <x v="0"/>
    <x v="8"/>
    <n v="8.6999999999999993"/>
    <n v="3175.5"/>
    <n v="11431.8"/>
  </r>
  <r>
    <x v="0"/>
    <x v="0"/>
    <x v="1"/>
    <x v="1"/>
    <x v="4"/>
    <s v="DE4-S_A"/>
    <x v="2"/>
    <x v="7"/>
    <x v="40"/>
    <x v="0"/>
    <x v="9"/>
    <n v="8.6999999999999993"/>
    <n v="3175.5"/>
    <n v="11431.8"/>
  </r>
  <r>
    <x v="0"/>
    <x v="0"/>
    <x v="1"/>
    <x v="1"/>
    <x v="4"/>
    <s v="DE4-S_A"/>
    <x v="2"/>
    <x v="7"/>
    <x v="40"/>
    <x v="0"/>
    <x v="10"/>
    <n v="8.6999999999999993"/>
    <n v="3175.5"/>
    <n v="11431.8"/>
  </r>
  <r>
    <x v="0"/>
    <x v="0"/>
    <x v="1"/>
    <x v="1"/>
    <x v="4"/>
    <s v="DE4-S_A"/>
    <x v="2"/>
    <x v="7"/>
    <x v="40"/>
    <x v="0"/>
    <x v="11"/>
    <n v="8.6999999999999993"/>
    <n v="3175.5"/>
    <n v="11431.8"/>
  </r>
  <r>
    <x v="0"/>
    <x v="0"/>
    <x v="1"/>
    <x v="1"/>
    <x v="4"/>
    <s v="DE4-S_A"/>
    <x v="2"/>
    <x v="7"/>
    <x v="40"/>
    <x v="0"/>
    <x v="12"/>
    <n v="8.6999999999999993"/>
    <n v="3175.5"/>
    <n v="11431.8"/>
  </r>
  <r>
    <x v="0"/>
    <x v="0"/>
    <x v="1"/>
    <x v="1"/>
    <x v="4"/>
    <s v="DE4-S_A"/>
    <x v="2"/>
    <x v="7"/>
    <x v="40"/>
    <x v="0"/>
    <x v="13"/>
    <n v="8.6999999999999993"/>
    <n v="3175.5"/>
    <n v="11431.8"/>
  </r>
  <r>
    <x v="0"/>
    <x v="0"/>
    <x v="1"/>
    <x v="1"/>
    <x v="4"/>
    <s v="DE4-S_A"/>
    <x v="2"/>
    <x v="7"/>
    <x v="40"/>
    <x v="0"/>
    <x v="14"/>
    <n v="8.6999999999999993"/>
    <n v="3175.5"/>
    <n v="11431.8"/>
  </r>
  <r>
    <x v="0"/>
    <x v="0"/>
    <x v="1"/>
    <x v="1"/>
    <x v="4"/>
    <s v="DE4-S_A"/>
    <x v="2"/>
    <x v="7"/>
    <x v="40"/>
    <x v="0"/>
    <x v="15"/>
    <n v="8.6999999999999993"/>
    <n v="3175.5"/>
    <n v="11431.8"/>
  </r>
  <r>
    <x v="0"/>
    <x v="0"/>
    <x v="1"/>
    <x v="1"/>
    <x v="4"/>
    <s v="DE4-S_A"/>
    <x v="2"/>
    <x v="7"/>
    <x v="40"/>
    <x v="0"/>
    <x v="16"/>
    <n v="8.6999999999999993"/>
    <n v="3175.5"/>
    <n v="11431.8"/>
  </r>
  <r>
    <x v="0"/>
    <x v="0"/>
    <x v="1"/>
    <x v="1"/>
    <x v="4"/>
    <s v="DE4-S_A"/>
    <x v="2"/>
    <x v="7"/>
    <x v="40"/>
    <x v="0"/>
    <x v="17"/>
    <n v="8.6999999999999993"/>
    <n v="3175.5"/>
    <n v="11431.8"/>
  </r>
  <r>
    <x v="0"/>
    <x v="0"/>
    <x v="1"/>
    <x v="1"/>
    <x v="4"/>
    <s v="DE4-S_A"/>
    <x v="2"/>
    <x v="7"/>
    <x v="40"/>
    <x v="0"/>
    <x v="18"/>
    <n v="8.6999999999999993"/>
    <n v="3175.5"/>
    <n v="11431.8"/>
  </r>
  <r>
    <x v="0"/>
    <x v="0"/>
    <x v="1"/>
    <x v="1"/>
    <x v="4"/>
    <s v="DE4-S_A"/>
    <x v="2"/>
    <x v="7"/>
    <x v="40"/>
    <x v="0"/>
    <x v="19"/>
    <n v="8.6999999999999993"/>
    <n v="3175.5"/>
    <n v="11431.8"/>
  </r>
  <r>
    <x v="0"/>
    <x v="0"/>
    <x v="1"/>
    <x v="1"/>
    <x v="4"/>
    <s v="DE4-S_A"/>
    <x v="2"/>
    <x v="7"/>
    <x v="40"/>
    <x v="0"/>
    <x v="20"/>
    <n v="8.6999999999999993"/>
    <n v="3175.5"/>
    <n v="11431.8"/>
  </r>
  <r>
    <x v="0"/>
    <x v="0"/>
    <x v="1"/>
    <x v="1"/>
    <x v="4"/>
    <s v="DE4-S_A"/>
    <x v="2"/>
    <x v="7"/>
    <x v="40"/>
    <x v="0"/>
    <x v="21"/>
    <n v="8.6999999999999993"/>
    <n v="3175.5"/>
    <n v="11431.8"/>
  </r>
  <r>
    <x v="0"/>
    <x v="0"/>
    <x v="1"/>
    <x v="1"/>
    <x v="4"/>
    <s v="DE4-S_A"/>
    <x v="2"/>
    <x v="7"/>
    <x v="40"/>
    <x v="0"/>
    <x v="22"/>
    <n v="8.6999999999999993"/>
    <n v="3175.5"/>
    <n v="11431.8"/>
  </r>
  <r>
    <x v="0"/>
    <x v="0"/>
    <x v="1"/>
    <x v="1"/>
    <x v="4"/>
    <s v="DE4-S_A"/>
    <x v="2"/>
    <x v="7"/>
    <x v="40"/>
    <x v="0"/>
    <x v="23"/>
    <n v="8.6999999999999993"/>
    <n v="3175.5"/>
    <n v="11431.8"/>
  </r>
  <r>
    <x v="0"/>
    <x v="0"/>
    <x v="1"/>
    <x v="1"/>
    <x v="4"/>
    <s v="DE4-S_A"/>
    <x v="4"/>
    <x v="3"/>
    <x v="9"/>
    <x v="0"/>
    <x v="6"/>
    <n v="104.39621317346"/>
    <n v="38104.617808312898"/>
    <n v="137176.62410992599"/>
  </r>
  <r>
    <x v="0"/>
    <x v="0"/>
    <x v="1"/>
    <x v="1"/>
    <x v="4"/>
    <s v="DE4-S_A"/>
    <x v="4"/>
    <x v="3"/>
    <x v="9"/>
    <x v="0"/>
    <x v="7"/>
    <n v="1113.48556731607"/>
    <n v="406422.23207036703"/>
    <n v="1463120.03545332"/>
  </r>
  <r>
    <x v="0"/>
    <x v="0"/>
    <x v="1"/>
    <x v="1"/>
    <x v="4"/>
    <s v="DE4-S_A"/>
    <x v="4"/>
    <x v="3"/>
    <x v="9"/>
    <x v="0"/>
    <x v="8"/>
    <n v="3249.3876649245599"/>
    <n v="1186026.49769747"/>
    <n v="4269695.3917108802"/>
  </r>
  <r>
    <x v="0"/>
    <x v="0"/>
    <x v="1"/>
    <x v="1"/>
    <x v="4"/>
    <s v="DE4-S_A"/>
    <x v="4"/>
    <x v="3"/>
    <x v="9"/>
    <x v="0"/>
    <x v="9"/>
    <n v="5304.8824664292397"/>
    <n v="1936282.10024667"/>
    <n v="6970615.5608880203"/>
  </r>
  <r>
    <x v="0"/>
    <x v="0"/>
    <x v="1"/>
    <x v="1"/>
    <x v="4"/>
    <s v="DE4-S_A"/>
    <x v="4"/>
    <x v="3"/>
    <x v="9"/>
    <x v="0"/>
    <x v="10"/>
    <n v="7070.0669474707001"/>
    <n v="2580574.4358268101"/>
    <n v="9290067.9689764995"/>
  </r>
  <r>
    <x v="0"/>
    <x v="0"/>
    <x v="1"/>
    <x v="1"/>
    <x v="4"/>
    <s v="DE4-S_A"/>
    <x v="4"/>
    <x v="3"/>
    <x v="9"/>
    <x v="0"/>
    <x v="11"/>
    <n v="8200.4336045765194"/>
    <n v="2993158.2656704299"/>
    <n v="10775369.756413599"/>
  </r>
  <r>
    <x v="0"/>
    <x v="0"/>
    <x v="1"/>
    <x v="1"/>
    <x v="4"/>
    <s v="DE4-S_A"/>
    <x v="4"/>
    <x v="3"/>
    <x v="9"/>
    <x v="0"/>
    <x v="12"/>
    <n v="8673.5483578945496"/>
    <n v="3165845.1506315102"/>
    <n v="11397042.5422734"/>
  </r>
  <r>
    <x v="0"/>
    <x v="0"/>
    <x v="1"/>
    <x v="1"/>
    <x v="4"/>
    <s v="DE4-S_A"/>
    <x v="4"/>
    <x v="3"/>
    <x v="9"/>
    <x v="0"/>
    <x v="13"/>
    <n v="8722.8589096488195"/>
    <n v="3183843.5020218198"/>
    <n v="11461836.6072785"/>
  </r>
  <r>
    <x v="0"/>
    <x v="0"/>
    <x v="1"/>
    <x v="1"/>
    <x v="4"/>
    <s v="DE4-S_A"/>
    <x v="4"/>
    <x v="3"/>
    <x v="9"/>
    <x v="0"/>
    <x v="14"/>
    <n v="7509.41952120922"/>
    <n v="2740938.1252413602"/>
    <n v="9867377.2508689109"/>
  </r>
  <r>
    <x v="0"/>
    <x v="0"/>
    <x v="1"/>
    <x v="1"/>
    <x v="4"/>
    <s v="DE4-S_A"/>
    <x v="4"/>
    <x v="3"/>
    <x v="9"/>
    <x v="0"/>
    <x v="15"/>
    <n v="5684.2627474936498"/>
    <n v="2074755.9028351801"/>
    <n v="7469121.2502066502"/>
  </r>
  <r>
    <x v="0"/>
    <x v="0"/>
    <x v="1"/>
    <x v="1"/>
    <x v="4"/>
    <s v="DE4-S_A"/>
    <x v="4"/>
    <x v="3"/>
    <x v="9"/>
    <x v="0"/>
    <x v="16"/>
    <n v="3621.8822383115698"/>
    <n v="1321987.01698372"/>
    <n v="4759153.2611413999"/>
  </r>
  <r>
    <x v="0"/>
    <x v="0"/>
    <x v="1"/>
    <x v="1"/>
    <x v="4"/>
    <s v="DE4-S_A"/>
    <x v="4"/>
    <x v="3"/>
    <x v="9"/>
    <x v="0"/>
    <x v="17"/>
    <n v="1375.5866982622099"/>
    <n v="502089.14486570598"/>
    <n v="1807520.92151654"/>
  </r>
  <r>
    <x v="0"/>
    <x v="0"/>
    <x v="1"/>
    <x v="1"/>
    <x v="4"/>
    <s v="DE4-S_A"/>
    <x v="4"/>
    <x v="3"/>
    <x v="9"/>
    <x v="0"/>
    <x v="18"/>
    <n v="112.61463846583899"/>
    <n v="41104.343040031097"/>
    <n v="147975.63494411201"/>
  </r>
  <r>
    <x v="0"/>
    <x v="0"/>
    <x v="1"/>
    <x v="1"/>
    <x v="4"/>
    <s v="DE4-S_A"/>
    <x v="4"/>
    <x v="3"/>
    <x v="92"/>
    <x v="0"/>
    <x v="6"/>
    <n v="31.3340556197811"/>
    <n v="11436.9303012201"/>
    <n v="41172.9490843924"/>
  </r>
  <r>
    <x v="0"/>
    <x v="0"/>
    <x v="1"/>
    <x v="1"/>
    <x v="4"/>
    <s v="DE4-S_A"/>
    <x v="4"/>
    <x v="3"/>
    <x v="92"/>
    <x v="0"/>
    <x v="7"/>
    <n v="334.20770387651601"/>
    <n v="121985.811914928"/>
    <n v="439148.92289374198"/>
  </r>
  <r>
    <x v="0"/>
    <x v="0"/>
    <x v="1"/>
    <x v="1"/>
    <x v="4"/>
    <s v="DE4-S_A"/>
    <x v="4"/>
    <x v="3"/>
    <x v="92"/>
    <x v="0"/>
    <x v="8"/>
    <n v="975.28914821654803"/>
    <n v="355980.53909903998"/>
    <n v="1281529.94075654"/>
  </r>
  <r>
    <x v="0"/>
    <x v="0"/>
    <x v="1"/>
    <x v="1"/>
    <x v="4"/>
    <s v="DE4-S_A"/>
    <x v="4"/>
    <x v="3"/>
    <x v="92"/>
    <x v="0"/>
    <x v="9"/>
    <n v="1592.2367029090001"/>
    <n v="581166.39656178595"/>
    <n v="2092199.0276224299"/>
  </r>
  <r>
    <x v="0"/>
    <x v="0"/>
    <x v="1"/>
    <x v="1"/>
    <x v="4"/>
    <s v="DE4-S_A"/>
    <x v="4"/>
    <x v="3"/>
    <x v="92"/>
    <x v="0"/>
    <x v="10"/>
    <n v="2122.0489156970898"/>
    <n v="774547.854229438"/>
    <n v="2788372.2752259802"/>
  </r>
  <r>
    <x v="0"/>
    <x v="0"/>
    <x v="1"/>
    <x v="1"/>
    <x v="4"/>
    <s v="DE4-S_A"/>
    <x v="4"/>
    <x v="3"/>
    <x v="92"/>
    <x v="0"/>
    <x v="11"/>
    <n v="2461.3234030355302"/>
    <n v="898383.04210796801"/>
    <n v="3234178.95158868"/>
  </r>
  <r>
    <x v="0"/>
    <x v="0"/>
    <x v="1"/>
    <x v="1"/>
    <x v="4"/>
    <s v="DE4-S_A"/>
    <x v="4"/>
    <x v="3"/>
    <x v="92"/>
    <x v="0"/>
    <x v="12"/>
    <n v="2603.3266763762399"/>
    <n v="950214.23687732697"/>
    <n v="3420771.25275838"/>
  </r>
  <r>
    <x v="0"/>
    <x v="0"/>
    <x v="1"/>
    <x v="1"/>
    <x v="4"/>
    <s v="DE4-S_A"/>
    <x v="4"/>
    <x v="3"/>
    <x v="92"/>
    <x v="0"/>
    <x v="13"/>
    <n v="2618.1270175413301"/>
    <n v="955616.36140258401"/>
    <n v="3440218.9010493001"/>
  </r>
  <r>
    <x v="0"/>
    <x v="0"/>
    <x v="1"/>
    <x v="1"/>
    <x v="4"/>
    <s v="DE4-S_A"/>
    <x v="4"/>
    <x v="3"/>
    <x v="92"/>
    <x v="0"/>
    <x v="14"/>
    <n v="2253.9186221139598"/>
    <n v="822680.29707159405"/>
    <n v="2961649.0694577401"/>
  </r>
  <r>
    <x v="0"/>
    <x v="0"/>
    <x v="1"/>
    <x v="1"/>
    <x v="4"/>
    <s v="DE4-S_A"/>
    <x v="4"/>
    <x v="3"/>
    <x v="92"/>
    <x v="0"/>
    <x v="15"/>
    <n v="1706.1059943953601"/>
    <n v="622728.68795430497"/>
    <n v="2241823.2766355001"/>
  </r>
  <r>
    <x v="0"/>
    <x v="0"/>
    <x v="1"/>
    <x v="1"/>
    <x v="4"/>
    <s v="DE4-S_A"/>
    <x v="4"/>
    <x v="3"/>
    <x v="92"/>
    <x v="0"/>
    <x v="16"/>
    <n v="1087.0917253960599"/>
    <n v="396788.479769564"/>
    <n v="1428438.5271704299"/>
  </r>
  <r>
    <x v="0"/>
    <x v="0"/>
    <x v="1"/>
    <x v="1"/>
    <x v="4"/>
    <s v="DE4-S_A"/>
    <x v="4"/>
    <x v="3"/>
    <x v="92"/>
    <x v="0"/>
    <x v="17"/>
    <n v="412.876183943201"/>
    <n v="150699.807139268"/>
    <n v="542519.30570136604"/>
  </r>
  <r>
    <x v="0"/>
    <x v="0"/>
    <x v="1"/>
    <x v="1"/>
    <x v="4"/>
    <s v="DE4-S_A"/>
    <x v="4"/>
    <x v="3"/>
    <x v="92"/>
    <x v="0"/>
    <x v="18"/>
    <n v="33.800779147295799"/>
    <n v="12337.284388763001"/>
    <n v="44414.223799546598"/>
  </r>
  <r>
    <x v="0"/>
    <x v="0"/>
    <x v="1"/>
    <x v="1"/>
    <x v="4"/>
    <s v="DE4-S_A"/>
    <x v="10"/>
    <x v="7"/>
    <x v="41"/>
    <x v="0"/>
    <x v="0"/>
    <n v="44.76"/>
    <n v="16337.4"/>
    <n v="58814.64"/>
  </r>
  <r>
    <x v="0"/>
    <x v="0"/>
    <x v="1"/>
    <x v="1"/>
    <x v="4"/>
    <s v="DE4-S_A"/>
    <x v="10"/>
    <x v="7"/>
    <x v="41"/>
    <x v="0"/>
    <x v="1"/>
    <n v="44.76"/>
    <n v="16337.4"/>
    <n v="58814.64"/>
  </r>
  <r>
    <x v="0"/>
    <x v="0"/>
    <x v="1"/>
    <x v="1"/>
    <x v="4"/>
    <s v="DE4-S_A"/>
    <x v="10"/>
    <x v="7"/>
    <x v="41"/>
    <x v="0"/>
    <x v="2"/>
    <n v="44.76"/>
    <n v="16337.4"/>
    <n v="58814.64"/>
  </r>
  <r>
    <x v="0"/>
    <x v="0"/>
    <x v="1"/>
    <x v="1"/>
    <x v="4"/>
    <s v="DE4-S_A"/>
    <x v="10"/>
    <x v="7"/>
    <x v="41"/>
    <x v="0"/>
    <x v="3"/>
    <n v="44.76"/>
    <n v="16337.4"/>
    <n v="58814.64"/>
  </r>
  <r>
    <x v="0"/>
    <x v="0"/>
    <x v="1"/>
    <x v="1"/>
    <x v="4"/>
    <s v="DE4-S_A"/>
    <x v="10"/>
    <x v="7"/>
    <x v="41"/>
    <x v="0"/>
    <x v="4"/>
    <n v="44.76"/>
    <n v="16337.4"/>
    <n v="58814.64"/>
  </r>
  <r>
    <x v="0"/>
    <x v="0"/>
    <x v="1"/>
    <x v="1"/>
    <x v="4"/>
    <s v="DE4-S_A"/>
    <x v="10"/>
    <x v="7"/>
    <x v="41"/>
    <x v="0"/>
    <x v="5"/>
    <n v="44.76"/>
    <n v="16337.4"/>
    <n v="58814.64"/>
  </r>
  <r>
    <x v="0"/>
    <x v="0"/>
    <x v="1"/>
    <x v="1"/>
    <x v="4"/>
    <s v="DE4-S_A"/>
    <x v="10"/>
    <x v="7"/>
    <x v="41"/>
    <x v="0"/>
    <x v="6"/>
    <n v="44.76"/>
    <n v="16337.4"/>
    <n v="58814.64"/>
  </r>
  <r>
    <x v="0"/>
    <x v="0"/>
    <x v="1"/>
    <x v="1"/>
    <x v="4"/>
    <s v="DE4-S_A"/>
    <x v="10"/>
    <x v="7"/>
    <x v="41"/>
    <x v="0"/>
    <x v="7"/>
    <n v="44.76"/>
    <n v="16337.4"/>
    <n v="58814.64"/>
  </r>
  <r>
    <x v="0"/>
    <x v="0"/>
    <x v="1"/>
    <x v="1"/>
    <x v="4"/>
    <s v="DE4-S_A"/>
    <x v="10"/>
    <x v="7"/>
    <x v="41"/>
    <x v="0"/>
    <x v="8"/>
    <n v="44.76"/>
    <n v="16337.4"/>
    <n v="58814.64"/>
  </r>
  <r>
    <x v="0"/>
    <x v="0"/>
    <x v="1"/>
    <x v="1"/>
    <x v="4"/>
    <s v="DE4-S_A"/>
    <x v="10"/>
    <x v="7"/>
    <x v="41"/>
    <x v="0"/>
    <x v="9"/>
    <n v="44.76"/>
    <n v="16337.4"/>
    <n v="58814.64"/>
  </r>
  <r>
    <x v="0"/>
    <x v="0"/>
    <x v="1"/>
    <x v="1"/>
    <x v="4"/>
    <s v="DE4-S_A"/>
    <x v="10"/>
    <x v="7"/>
    <x v="41"/>
    <x v="0"/>
    <x v="10"/>
    <n v="44.76"/>
    <n v="16337.4"/>
    <n v="58814.64"/>
  </r>
  <r>
    <x v="0"/>
    <x v="0"/>
    <x v="1"/>
    <x v="1"/>
    <x v="4"/>
    <s v="DE4-S_A"/>
    <x v="10"/>
    <x v="7"/>
    <x v="41"/>
    <x v="0"/>
    <x v="11"/>
    <n v="44.76"/>
    <n v="16337.4"/>
    <n v="58814.64"/>
  </r>
  <r>
    <x v="0"/>
    <x v="0"/>
    <x v="1"/>
    <x v="1"/>
    <x v="4"/>
    <s v="DE4-S_A"/>
    <x v="10"/>
    <x v="7"/>
    <x v="41"/>
    <x v="0"/>
    <x v="12"/>
    <n v="44.76"/>
    <n v="16337.4"/>
    <n v="58814.64"/>
  </r>
  <r>
    <x v="0"/>
    <x v="0"/>
    <x v="1"/>
    <x v="1"/>
    <x v="4"/>
    <s v="DE4-S_A"/>
    <x v="10"/>
    <x v="7"/>
    <x v="41"/>
    <x v="0"/>
    <x v="13"/>
    <n v="44.76"/>
    <n v="16337.4"/>
    <n v="58814.64"/>
  </r>
  <r>
    <x v="0"/>
    <x v="0"/>
    <x v="1"/>
    <x v="1"/>
    <x v="4"/>
    <s v="DE4-S_A"/>
    <x v="10"/>
    <x v="7"/>
    <x v="41"/>
    <x v="0"/>
    <x v="14"/>
    <n v="44.76"/>
    <n v="16337.4"/>
    <n v="58814.64"/>
  </r>
  <r>
    <x v="0"/>
    <x v="0"/>
    <x v="1"/>
    <x v="1"/>
    <x v="4"/>
    <s v="DE4-S_A"/>
    <x v="10"/>
    <x v="7"/>
    <x v="41"/>
    <x v="0"/>
    <x v="15"/>
    <n v="44.76"/>
    <n v="16337.4"/>
    <n v="58814.64"/>
  </r>
  <r>
    <x v="0"/>
    <x v="0"/>
    <x v="1"/>
    <x v="1"/>
    <x v="4"/>
    <s v="DE4-S_A"/>
    <x v="10"/>
    <x v="7"/>
    <x v="41"/>
    <x v="0"/>
    <x v="16"/>
    <n v="44.76"/>
    <n v="16337.4"/>
    <n v="58814.64"/>
  </r>
  <r>
    <x v="0"/>
    <x v="0"/>
    <x v="1"/>
    <x v="1"/>
    <x v="4"/>
    <s v="DE4-S_A"/>
    <x v="10"/>
    <x v="7"/>
    <x v="41"/>
    <x v="0"/>
    <x v="17"/>
    <n v="44.76"/>
    <n v="16337.4"/>
    <n v="58814.64"/>
  </r>
  <r>
    <x v="0"/>
    <x v="0"/>
    <x v="1"/>
    <x v="1"/>
    <x v="4"/>
    <s v="DE4-S_A"/>
    <x v="10"/>
    <x v="7"/>
    <x v="41"/>
    <x v="0"/>
    <x v="18"/>
    <n v="44.76"/>
    <n v="16337.4"/>
    <n v="58814.64"/>
  </r>
  <r>
    <x v="0"/>
    <x v="0"/>
    <x v="1"/>
    <x v="1"/>
    <x v="4"/>
    <s v="DE4-S_A"/>
    <x v="10"/>
    <x v="7"/>
    <x v="41"/>
    <x v="0"/>
    <x v="19"/>
    <n v="44.76"/>
    <n v="16337.4"/>
    <n v="58814.64"/>
  </r>
  <r>
    <x v="0"/>
    <x v="0"/>
    <x v="1"/>
    <x v="1"/>
    <x v="4"/>
    <s v="DE4-S_A"/>
    <x v="10"/>
    <x v="7"/>
    <x v="41"/>
    <x v="0"/>
    <x v="20"/>
    <n v="44.76"/>
    <n v="16337.4"/>
    <n v="58814.64"/>
  </r>
  <r>
    <x v="0"/>
    <x v="0"/>
    <x v="1"/>
    <x v="1"/>
    <x v="4"/>
    <s v="DE4-S_A"/>
    <x v="10"/>
    <x v="7"/>
    <x v="41"/>
    <x v="0"/>
    <x v="21"/>
    <n v="44.76"/>
    <n v="16337.4"/>
    <n v="58814.64"/>
  </r>
  <r>
    <x v="0"/>
    <x v="0"/>
    <x v="1"/>
    <x v="1"/>
    <x v="4"/>
    <s v="DE4-S_A"/>
    <x v="10"/>
    <x v="7"/>
    <x v="41"/>
    <x v="0"/>
    <x v="22"/>
    <n v="44.76"/>
    <n v="16337.4"/>
    <n v="58814.64"/>
  </r>
  <r>
    <x v="0"/>
    <x v="0"/>
    <x v="1"/>
    <x v="1"/>
    <x v="4"/>
    <s v="DE4-S_A"/>
    <x v="10"/>
    <x v="7"/>
    <x v="41"/>
    <x v="0"/>
    <x v="23"/>
    <n v="44.76"/>
    <n v="16337.4"/>
    <n v="58814.64"/>
  </r>
  <r>
    <x v="0"/>
    <x v="0"/>
    <x v="1"/>
    <x v="1"/>
    <x v="4"/>
    <s v="DE4-S_A"/>
    <x v="5"/>
    <x v="8"/>
    <x v="47"/>
    <x v="0"/>
    <x v="9"/>
    <n v="124"/>
    <n v="45260"/>
    <n v="162936"/>
  </r>
  <r>
    <x v="0"/>
    <x v="0"/>
    <x v="1"/>
    <x v="1"/>
    <x v="4"/>
    <s v="DE4-S_A"/>
    <x v="5"/>
    <x v="8"/>
    <x v="47"/>
    <x v="0"/>
    <x v="11"/>
    <n v="25.432108074022501"/>
    <n v="9282.7194470182294"/>
    <n v="33417.790009265598"/>
  </r>
  <r>
    <x v="0"/>
    <x v="0"/>
    <x v="1"/>
    <x v="1"/>
    <x v="4"/>
    <s v="DE4-S_A"/>
    <x v="5"/>
    <x v="8"/>
    <x v="47"/>
    <x v="0"/>
    <x v="12"/>
    <n v="124"/>
    <n v="45260"/>
    <n v="162936"/>
  </r>
  <r>
    <x v="0"/>
    <x v="0"/>
    <x v="1"/>
    <x v="1"/>
    <x v="4"/>
    <s v="DE4-S_A"/>
    <x v="5"/>
    <x v="8"/>
    <x v="47"/>
    <x v="0"/>
    <x v="13"/>
    <n v="124"/>
    <n v="45260"/>
    <n v="162936"/>
  </r>
  <r>
    <x v="0"/>
    <x v="0"/>
    <x v="1"/>
    <x v="1"/>
    <x v="4"/>
    <s v="DE4-S_A"/>
    <x v="5"/>
    <x v="8"/>
    <x v="47"/>
    <x v="0"/>
    <x v="14"/>
    <n v="124"/>
    <n v="45260"/>
    <n v="162936"/>
  </r>
  <r>
    <x v="0"/>
    <x v="0"/>
    <x v="1"/>
    <x v="1"/>
    <x v="4"/>
    <s v="DE4-S_A"/>
    <x v="5"/>
    <x v="8"/>
    <x v="47"/>
    <x v="0"/>
    <x v="15"/>
    <n v="124"/>
    <n v="45260"/>
    <n v="162936"/>
  </r>
  <r>
    <x v="0"/>
    <x v="0"/>
    <x v="1"/>
    <x v="1"/>
    <x v="4"/>
    <s v="DE4-S_A"/>
    <x v="5"/>
    <x v="8"/>
    <x v="47"/>
    <x v="0"/>
    <x v="16"/>
    <n v="124"/>
    <n v="45260"/>
    <n v="162936"/>
  </r>
  <r>
    <x v="0"/>
    <x v="0"/>
    <x v="1"/>
    <x v="1"/>
    <x v="4"/>
    <s v="DE4-S_A"/>
    <x v="5"/>
    <x v="8"/>
    <x v="47"/>
    <x v="0"/>
    <x v="17"/>
    <n v="124"/>
    <n v="45260"/>
    <n v="162936"/>
  </r>
  <r>
    <x v="0"/>
    <x v="0"/>
    <x v="1"/>
    <x v="1"/>
    <x v="4"/>
    <s v="DE4-S_A"/>
    <x v="5"/>
    <x v="8"/>
    <x v="47"/>
    <x v="0"/>
    <x v="18"/>
    <n v="124"/>
    <n v="45260"/>
    <n v="162936"/>
  </r>
  <r>
    <x v="0"/>
    <x v="0"/>
    <x v="1"/>
    <x v="1"/>
    <x v="4"/>
    <s v="DE4-S_A"/>
    <x v="5"/>
    <x v="8"/>
    <x v="47"/>
    <x v="0"/>
    <x v="19"/>
    <n v="124"/>
    <n v="45260"/>
    <n v="162936"/>
  </r>
  <r>
    <x v="0"/>
    <x v="0"/>
    <x v="1"/>
    <x v="1"/>
    <x v="4"/>
    <s v="DE4-S_A"/>
    <x v="5"/>
    <x v="8"/>
    <x v="47"/>
    <x v="0"/>
    <x v="20"/>
    <n v="124"/>
    <n v="45260"/>
    <n v="162936"/>
  </r>
  <r>
    <x v="0"/>
    <x v="0"/>
    <x v="1"/>
    <x v="1"/>
    <x v="4"/>
    <s v="DE4-S_A"/>
    <x v="5"/>
    <x v="8"/>
    <x v="47"/>
    <x v="0"/>
    <x v="21"/>
    <n v="124"/>
    <n v="45260"/>
    <n v="162936"/>
  </r>
  <r>
    <x v="0"/>
    <x v="0"/>
    <x v="1"/>
    <x v="1"/>
    <x v="4"/>
    <s v="DE4-S_A"/>
    <x v="5"/>
    <x v="8"/>
    <x v="47"/>
    <x v="0"/>
    <x v="22"/>
    <n v="124"/>
    <n v="45260"/>
    <n v="162936"/>
  </r>
  <r>
    <x v="0"/>
    <x v="0"/>
    <x v="1"/>
    <x v="1"/>
    <x v="4"/>
    <s v="DE4-S_A"/>
    <x v="5"/>
    <x v="8"/>
    <x v="47"/>
    <x v="0"/>
    <x v="23"/>
    <n v="124"/>
    <n v="45260"/>
    <n v="162936"/>
  </r>
  <r>
    <x v="0"/>
    <x v="0"/>
    <x v="1"/>
    <x v="1"/>
    <x v="4"/>
    <s v="DE4-S_A"/>
    <x v="5"/>
    <x v="4"/>
    <x v="10"/>
    <x v="0"/>
    <x v="0"/>
    <n v="4361.5442694063904"/>
    <n v="1591963.6583333299"/>
    <n v="5731069.1699999999"/>
  </r>
  <r>
    <x v="0"/>
    <x v="0"/>
    <x v="1"/>
    <x v="1"/>
    <x v="4"/>
    <s v="DE4-S_A"/>
    <x v="5"/>
    <x v="4"/>
    <x v="10"/>
    <x v="0"/>
    <x v="1"/>
    <n v="4361.5442694063904"/>
    <n v="1591963.6583333299"/>
    <n v="5731069.1699999999"/>
  </r>
  <r>
    <x v="0"/>
    <x v="0"/>
    <x v="1"/>
    <x v="1"/>
    <x v="4"/>
    <s v="DE4-S_A"/>
    <x v="5"/>
    <x v="4"/>
    <x v="10"/>
    <x v="0"/>
    <x v="2"/>
    <n v="4361.5442694063904"/>
    <n v="1591963.6583333299"/>
    <n v="5731069.1699999999"/>
  </r>
  <r>
    <x v="0"/>
    <x v="0"/>
    <x v="1"/>
    <x v="1"/>
    <x v="4"/>
    <s v="DE4-S_A"/>
    <x v="5"/>
    <x v="4"/>
    <x v="10"/>
    <x v="0"/>
    <x v="3"/>
    <n v="4361.5442694063904"/>
    <n v="1591963.6583333299"/>
    <n v="5731069.1699999999"/>
  </r>
  <r>
    <x v="0"/>
    <x v="0"/>
    <x v="1"/>
    <x v="1"/>
    <x v="4"/>
    <s v="DE4-S_A"/>
    <x v="5"/>
    <x v="4"/>
    <x v="10"/>
    <x v="0"/>
    <x v="4"/>
    <n v="4361.5442694063904"/>
    <n v="1591963.6583333299"/>
    <n v="5731069.1699999999"/>
  </r>
  <r>
    <x v="0"/>
    <x v="0"/>
    <x v="1"/>
    <x v="1"/>
    <x v="4"/>
    <s v="DE4-S_A"/>
    <x v="5"/>
    <x v="4"/>
    <x v="10"/>
    <x v="0"/>
    <x v="5"/>
    <n v="4361.5442694063904"/>
    <n v="1591963.6583333299"/>
    <n v="5731069.1699999999"/>
  </r>
  <r>
    <x v="0"/>
    <x v="0"/>
    <x v="1"/>
    <x v="1"/>
    <x v="4"/>
    <s v="DE4-S_A"/>
    <x v="5"/>
    <x v="4"/>
    <x v="10"/>
    <x v="0"/>
    <x v="6"/>
    <n v="4361.5442694063904"/>
    <n v="1591963.6583333299"/>
    <n v="5731069.1699999999"/>
  </r>
  <r>
    <x v="0"/>
    <x v="0"/>
    <x v="1"/>
    <x v="1"/>
    <x v="4"/>
    <s v="DE4-S_A"/>
    <x v="5"/>
    <x v="4"/>
    <x v="10"/>
    <x v="0"/>
    <x v="7"/>
    <n v="4361.5442694063904"/>
    <n v="1591963.6583333299"/>
    <n v="5731069.1699999999"/>
  </r>
  <r>
    <x v="0"/>
    <x v="0"/>
    <x v="1"/>
    <x v="1"/>
    <x v="4"/>
    <s v="DE4-S_A"/>
    <x v="5"/>
    <x v="4"/>
    <x v="10"/>
    <x v="0"/>
    <x v="8"/>
    <n v="4361.5442694063904"/>
    <n v="1591963.6583333299"/>
    <n v="5731069.1699999999"/>
  </r>
  <r>
    <x v="0"/>
    <x v="0"/>
    <x v="1"/>
    <x v="1"/>
    <x v="4"/>
    <s v="DE4-S_A"/>
    <x v="5"/>
    <x v="4"/>
    <x v="10"/>
    <x v="0"/>
    <x v="9"/>
    <n v="4361.5442694063904"/>
    <n v="1591963.6583333299"/>
    <n v="5731069.1699999999"/>
  </r>
  <r>
    <x v="0"/>
    <x v="0"/>
    <x v="1"/>
    <x v="1"/>
    <x v="4"/>
    <s v="DE4-S_A"/>
    <x v="5"/>
    <x v="4"/>
    <x v="10"/>
    <x v="0"/>
    <x v="10"/>
    <n v="4361.5442694063904"/>
    <n v="1591963.6583333299"/>
    <n v="5731069.1699999999"/>
  </r>
  <r>
    <x v="0"/>
    <x v="0"/>
    <x v="1"/>
    <x v="1"/>
    <x v="4"/>
    <s v="DE4-S_A"/>
    <x v="5"/>
    <x v="4"/>
    <x v="10"/>
    <x v="0"/>
    <x v="11"/>
    <n v="4361.5442694063904"/>
    <n v="1591963.6583333299"/>
    <n v="5731069.1699999999"/>
  </r>
  <r>
    <x v="0"/>
    <x v="0"/>
    <x v="1"/>
    <x v="1"/>
    <x v="4"/>
    <s v="DE4-S_A"/>
    <x v="5"/>
    <x v="4"/>
    <x v="10"/>
    <x v="0"/>
    <x v="12"/>
    <n v="4361.5442694063904"/>
    <n v="1591963.6583333299"/>
    <n v="5731069.1699999999"/>
  </r>
  <r>
    <x v="0"/>
    <x v="0"/>
    <x v="1"/>
    <x v="1"/>
    <x v="4"/>
    <s v="DE4-S_A"/>
    <x v="5"/>
    <x v="4"/>
    <x v="10"/>
    <x v="0"/>
    <x v="13"/>
    <n v="4361.5442694063904"/>
    <n v="1591963.6583333299"/>
    <n v="5731069.1699999999"/>
  </r>
  <r>
    <x v="0"/>
    <x v="0"/>
    <x v="1"/>
    <x v="1"/>
    <x v="4"/>
    <s v="DE4-S_A"/>
    <x v="5"/>
    <x v="4"/>
    <x v="10"/>
    <x v="0"/>
    <x v="14"/>
    <n v="4361.5442694063904"/>
    <n v="1591963.6583333299"/>
    <n v="5731069.1699999999"/>
  </r>
  <r>
    <x v="0"/>
    <x v="0"/>
    <x v="1"/>
    <x v="1"/>
    <x v="4"/>
    <s v="DE4-S_A"/>
    <x v="5"/>
    <x v="4"/>
    <x v="10"/>
    <x v="0"/>
    <x v="15"/>
    <n v="4361.5442694063904"/>
    <n v="1591963.6583333299"/>
    <n v="5731069.1699999999"/>
  </r>
  <r>
    <x v="0"/>
    <x v="0"/>
    <x v="1"/>
    <x v="1"/>
    <x v="4"/>
    <s v="DE4-S_A"/>
    <x v="5"/>
    <x v="4"/>
    <x v="10"/>
    <x v="0"/>
    <x v="16"/>
    <n v="4361.5442694063904"/>
    <n v="1591963.6583333299"/>
    <n v="5731069.1699999999"/>
  </r>
  <r>
    <x v="0"/>
    <x v="0"/>
    <x v="1"/>
    <x v="1"/>
    <x v="4"/>
    <s v="DE4-S_A"/>
    <x v="5"/>
    <x v="4"/>
    <x v="10"/>
    <x v="0"/>
    <x v="17"/>
    <n v="4361.5442694063904"/>
    <n v="1591963.6583333299"/>
    <n v="5731069.1699999999"/>
  </r>
  <r>
    <x v="0"/>
    <x v="0"/>
    <x v="1"/>
    <x v="1"/>
    <x v="4"/>
    <s v="DE4-S_A"/>
    <x v="5"/>
    <x v="4"/>
    <x v="10"/>
    <x v="0"/>
    <x v="18"/>
    <n v="4361.5442694063904"/>
    <n v="1591963.6583333299"/>
    <n v="5731069.1699999999"/>
  </r>
  <r>
    <x v="0"/>
    <x v="0"/>
    <x v="1"/>
    <x v="1"/>
    <x v="4"/>
    <s v="DE4-S_A"/>
    <x v="5"/>
    <x v="4"/>
    <x v="10"/>
    <x v="0"/>
    <x v="19"/>
    <n v="4361.5442694063904"/>
    <n v="1591963.6583333299"/>
    <n v="5731069.1699999999"/>
  </r>
  <r>
    <x v="0"/>
    <x v="0"/>
    <x v="1"/>
    <x v="1"/>
    <x v="4"/>
    <s v="DE4-S_A"/>
    <x v="5"/>
    <x v="4"/>
    <x v="10"/>
    <x v="0"/>
    <x v="20"/>
    <n v="4361.5442694063904"/>
    <n v="1591963.6583333299"/>
    <n v="5731069.1699999999"/>
  </r>
  <r>
    <x v="0"/>
    <x v="0"/>
    <x v="1"/>
    <x v="1"/>
    <x v="4"/>
    <s v="DE4-S_A"/>
    <x v="5"/>
    <x v="4"/>
    <x v="10"/>
    <x v="0"/>
    <x v="21"/>
    <n v="4361.5442694063904"/>
    <n v="1591963.6583333299"/>
    <n v="5731069.1699999999"/>
  </r>
  <r>
    <x v="0"/>
    <x v="0"/>
    <x v="1"/>
    <x v="1"/>
    <x v="4"/>
    <s v="DE4-S_A"/>
    <x v="5"/>
    <x v="4"/>
    <x v="10"/>
    <x v="0"/>
    <x v="22"/>
    <n v="4361.5442694063904"/>
    <n v="1591963.6583333299"/>
    <n v="5731069.1699999999"/>
  </r>
  <r>
    <x v="0"/>
    <x v="0"/>
    <x v="1"/>
    <x v="1"/>
    <x v="4"/>
    <s v="DE4-S_A"/>
    <x v="5"/>
    <x v="4"/>
    <x v="10"/>
    <x v="0"/>
    <x v="23"/>
    <n v="4361.5442694063904"/>
    <n v="1591963.6583333299"/>
    <n v="5731069.1699999999"/>
  </r>
  <r>
    <x v="0"/>
    <x v="0"/>
    <x v="1"/>
    <x v="1"/>
    <x v="4"/>
    <s v="DE4-S_A"/>
    <x v="6"/>
    <x v="5"/>
    <x v="11"/>
    <x v="0"/>
    <x v="0"/>
    <n v="2177.7323179397299"/>
    <n v="794872.29604799999"/>
    <n v="2861540.2657728"/>
  </r>
  <r>
    <x v="0"/>
    <x v="0"/>
    <x v="1"/>
    <x v="1"/>
    <x v="4"/>
    <s v="DE4-S_A"/>
    <x v="6"/>
    <x v="5"/>
    <x v="11"/>
    <x v="0"/>
    <x v="1"/>
    <n v="2017.29816146594"/>
    <n v="736313.82893506996"/>
    <n v="2650729.7841662499"/>
  </r>
  <r>
    <x v="0"/>
    <x v="0"/>
    <x v="1"/>
    <x v="1"/>
    <x v="4"/>
    <s v="DE4-S_A"/>
    <x v="6"/>
    <x v="5"/>
    <x v="11"/>
    <x v="0"/>
    <x v="2"/>
    <n v="1913.10816329619"/>
    <n v="698284.47960310895"/>
    <n v="2513824.1265711901"/>
  </r>
  <r>
    <x v="0"/>
    <x v="0"/>
    <x v="1"/>
    <x v="1"/>
    <x v="4"/>
    <s v="DE4-S_A"/>
    <x v="6"/>
    <x v="5"/>
    <x v="11"/>
    <x v="0"/>
    <x v="3"/>
    <n v="1728.9892229464299"/>
    <n v="631081.06637544697"/>
    <n v="2271891.83895161"/>
  </r>
  <r>
    <x v="0"/>
    <x v="0"/>
    <x v="1"/>
    <x v="1"/>
    <x v="4"/>
    <s v="DE4-S_A"/>
    <x v="6"/>
    <x v="5"/>
    <x v="11"/>
    <x v="0"/>
    <x v="4"/>
    <n v="1541.4702771254199"/>
    <n v="562636.65115077898"/>
    <n v="2025491.9441428101"/>
  </r>
  <r>
    <x v="0"/>
    <x v="0"/>
    <x v="1"/>
    <x v="1"/>
    <x v="4"/>
    <s v="DE4-S_A"/>
    <x v="6"/>
    <x v="5"/>
    <x v="11"/>
    <x v="0"/>
    <x v="5"/>
    <n v="1465.0565948394201"/>
    <n v="534745.65711638797"/>
    <n v="1925084.365619"/>
  </r>
  <r>
    <x v="0"/>
    <x v="0"/>
    <x v="1"/>
    <x v="1"/>
    <x v="4"/>
    <s v="DE4-S_A"/>
    <x v="6"/>
    <x v="5"/>
    <x v="11"/>
    <x v="0"/>
    <x v="6"/>
    <n v="1440.9684204837999"/>
    <n v="525953.47347658698"/>
    <n v="1893432.5045157101"/>
  </r>
  <r>
    <x v="0"/>
    <x v="0"/>
    <x v="1"/>
    <x v="1"/>
    <x v="4"/>
    <s v="DE4-S_A"/>
    <x v="6"/>
    <x v="5"/>
    <x v="11"/>
    <x v="0"/>
    <x v="7"/>
    <n v="1481.5379772932599"/>
    <n v="540761.36171204096"/>
    <n v="1946740.90216335"/>
  </r>
  <r>
    <x v="0"/>
    <x v="0"/>
    <x v="1"/>
    <x v="1"/>
    <x v="4"/>
    <s v="DE4-S_A"/>
    <x v="6"/>
    <x v="5"/>
    <x v="11"/>
    <x v="0"/>
    <x v="8"/>
    <n v="1773.1316668612701"/>
    <n v="647193.05840436404"/>
    <n v="2329895.0102557102"/>
  </r>
  <r>
    <x v="0"/>
    <x v="0"/>
    <x v="1"/>
    <x v="1"/>
    <x v="4"/>
    <s v="DE4-S_A"/>
    <x v="6"/>
    <x v="5"/>
    <x v="11"/>
    <x v="0"/>
    <x v="9"/>
    <n v="2007.5015355318401"/>
    <n v="732738.06046912202"/>
    <n v="2637857.0176888402"/>
  </r>
  <r>
    <x v="0"/>
    <x v="0"/>
    <x v="1"/>
    <x v="1"/>
    <x v="4"/>
    <s v="DE4-S_A"/>
    <x v="6"/>
    <x v="5"/>
    <x v="11"/>
    <x v="0"/>
    <x v="10"/>
    <n v="1940.13532543204"/>
    <n v="708149.39378269401"/>
    <n v="2549337.8176177"/>
  </r>
  <r>
    <x v="0"/>
    <x v="0"/>
    <x v="1"/>
    <x v="1"/>
    <x v="4"/>
    <s v="DE4-S_A"/>
    <x v="6"/>
    <x v="5"/>
    <x v="11"/>
    <x v="0"/>
    <x v="11"/>
    <n v="1774.5147199343201"/>
    <n v="647697.87277602695"/>
    <n v="2331712.3419936998"/>
  </r>
  <r>
    <x v="0"/>
    <x v="0"/>
    <x v="1"/>
    <x v="1"/>
    <x v="4"/>
    <s v="DE4-S_A"/>
    <x v="6"/>
    <x v="5"/>
    <x v="11"/>
    <x v="0"/>
    <x v="12"/>
    <n v="1803.9622249480101"/>
    <n v="658446.21210602205"/>
    <n v="2370406.3635816802"/>
  </r>
  <r>
    <x v="0"/>
    <x v="0"/>
    <x v="1"/>
    <x v="1"/>
    <x v="4"/>
    <s v="DE4-S_A"/>
    <x v="6"/>
    <x v="5"/>
    <x v="11"/>
    <x v="0"/>
    <x v="13"/>
    <n v="1829.7215884335601"/>
    <n v="667848.37977824896"/>
    <n v="2404254.1672017002"/>
  </r>
  <r>
    <x v="0"/>
    <x v="0"/>
    <x v="1"/>
    <x v="1"/>
    <x v="4"/>
    <s v="DE4-S_A"/>
    <x v="6"/>
    <x v="5"/>
    <x v="11"/>
    <x v="0"/>
    <x v="14"/>
    <n v="1838.8266878311399"/>
    <n v="671171.74105836498"/>
    <n v="2416218.2678101198"/>
  </r>
  <r>
    <x v="0"/>
    <x v="0"/>
    <x v="1"/>
    <x v="1"/>
    <x v="4"/>
    <s v="DE4-S_A"/>
    <x v="6"/>
    <x v="5"/>
    <x v="11"/>
    <x v="0"/>
    <x v="15"/>
    <n v="1720.3451412398699"/>
    <n v="627925.97655255196"/>
    <n v="2260533.5155891902"/>
  </r>
  <r>
    <x v="0"/>
    <x v="0"/>
    <x v="1"/>
    <x v="1"/>
    <x v="4"/>
    <s v="DE4-S_A"/>
    <x v="6"/>
    <x v="5"/>
    <x v="11"/>
    <x v="0"/>
    <x v="16"/>
    <n v="1555.0126717990399"/>
    <n v="567579.62520664802"/>
    <n v="2043286.6507439299"/>
  </r>
  <r>
    <x v="0"/>
    <x v="0"/>
    <x v="1"/>
    <x v="1"/>
    <x v="4"/>
    <s v="DE4-S_A"/>
    <x v="6"/>
    <x v="5"/>
    <x v="11"/>
    <x v="0"/>
    <x v="17"/>
    <n v="1288.42919196868"/>
    <n v="470276.65506856801"/>
    <n v="1692995.9582468399"/>
  </r>
  <r>
    <x v="0"/>
    <x v="0"/>
    <x v="1"/>
    <x v="1"/>
    <x v="4"/>
    <s v="DE4-S_A"/>
    <x v="6"/>
    <x v="5"/>
    <x v="11"/>
    <x v="0"/>
    <x v="18"/>
    <n v="989.92023703542202"/>
    <n v="361320.88651792897"/>
    <n v="1300755.1914645401"/>
  </r>
  <r>
    <x v="0"/>
    <x v="0"/>
    <x v="1"/>
    <x v="1"/>
    <x v="4"/>
    <s v="DE4-S_A"/>
    <x v="6"/>
    <x v="5"/>
    <x v="11"/>
    <x v="0"/>
    <x v="19"/>
    <n v="994.29990510007997"/>
    <n v="362919.46536152897"/>
    <n v="1306510.07530151"/>
  </r>
  <r>
    <x v="0"/>
    <x v="0"/>
    <x v="1"/>
    <x v="1"/>
    <x v="4"/>
    <s v="DE4-S_A"/>
    <x v="6"/>
    <x v="5"/>
    <x v="11"/>
    <x v="0"/>
    <x v="20"/>
    <n v="1045.0118511119099"/>
    <n v="381429.32565584598"/>
    <n v="1373145.5723610499"/>
  </r>
  <r>
    <x v="0"/>
    <x v="0"/>
    <x v="1"/>
    <x v="1"/>
    <x v="4"/>
    <s v="DE4-S_A"/>
    <x v="6"/>
    <x v="5"/>
    <x v="11"/>
    <x v="0"/>
    <x v="21"/>
    <n v="1130.4153783727299"/>
    <n v="412601.61310604803"/>
    <n v="1485365.80718177"/>
  </r>
  <r>
    <x v="0"/>
    <x v="0"/>
    <x v="1"/>
    <x v="1"/>
    <x v="4"/>
    <s v="DE4-S_A"/>
    <x v="6"/>
    <x v="5"/>
    <x v="11"/>
    <x v="0"/>
    <x v="22"/>
    <n v="1180.3781706366599"/>
    <n v="430838.03228238103"/>
    <n v="1551016.91621657"/>
  </r>
  <r>
    <x v="0"/>
    <x v="0"/>
    <x v="1"/>
    <x v="1"/>
    <x v="4"/>
    <s v="DE4-S_A"/>
    <x v="6"/>
    <x v="5"/>
    <x v="11"/>
    <x v="0"/>
    <x v="23"/>
    <n v="1194.6697190581799"/>
    <n v="436054.44745623402"/>
    <n v="1569796.01084244"/>
  </r>
  <r>
    <x v="0"/>
    <x v="0"/>
    <x v="1"/>
    <x v="1"/>
    <x v="5"/>
    <s v="DE4-W_A"/>
    <x v="1"/>
    <x v="6"/>
    <x v="49"/>
    <x v="0"/>
    <x v="0"/>
    <n v="-9168"/>
    <n v="-3346320"/>
    <n v="-12046752"/>
  </r>
  <r>
    <x v="0"/>
    <x v="0"/>
    <x v="1"/>
    <x v="1"/>
    <x v="5"/>
    <s v="DE4-W_A"/>
    <x v="1"/>
    <x v="6"/>
    <x v="49"/>
    <x v="0"/>
    <x v="1"/>
    <n v="-9168"/>
    <n v="-3346320"/>
    <n v="-12046752"/>
  </r>
  <r>
    <x v="0"/>
    <x v="0"/>
    <x v="1"/>
    <x v="1"/>
    <x v="5"/>
    <s v="DE4-W_A"/>
    <x v="1"/>
    <x v="6"/>
    <x v="49"/>
    <x v="0"/>
    <x v="2"/>
    <n v="-9168"/>
    <n v="-3346320"/>
    <n v="-12046752"/>
  </r>
  <r>
    <x v="0"/>
    <x v="0"/>
    <x v="1"/>
    <x v="1"/>
    <x v="5"/>
    <s v="DE4-W_A"/>
    <x v="1"/>
    <x v="6"/>
    <x v="49"/>
    <x v="0"/>
    <x v="3"/>
    <n v="-9168"/>
    <n v="-3346320"/>
    <n v="-12046752"/>
  </r>
  <r>
    <x v="0"/>
    <x v="0"/>
    <x v="1"/>
    <x v="1"/>
    <x v="5"/>
    <s v="DE4-W_A"/>
    <x v="1"/>
    <x v="6"/>
    <x v="49"/>
    <x v="0"/>
    <x v="4"/>
    <n v="-9168"/>
    <n v="-3346320"/>
    <n v="-12046752"/>
  </r>
  <r>
    <x v="0"/>
    <x v="0"/>
    <x v="1"/>
    <x v="1"/>
    <x v="5"/>
    <s v="DE4-W_A"/>
    <x v="1"/>
    <x v="6"/>
    <x v="49"/>
    <x v="0"/>
    <x v="5"/>
    <n v="-9168"/>
    <n v="-3346320"/>
    <n v="-12046752"/>
  </r>
  <r>
    <x v="0"/>
    <x v="0"/>
    <x v="1"/>
    <x v="1"/>
    <x v="5"/>
    <s v="DE4-W_A"/>
    <x v="1"/>
    <x v="6"/>
    <x v="49"/>
    <x v="0"/>
    <x v="6"/>
    <n v="-9168"/>
    <n v="-3346320"/>
    <n v="-12046752"/>
  </r>
  <r>
    <x v="0"/>
    <x v="0"/>
    <x v="1"/>
    <x v="1"/>
    <x v="5"/>
    <s v="DE4-W_A"/>
    <x v="1"/>
    <x v="6"/>
    <x v="49"/>
    <x v="0"/>
    <x v="7"/>
    <n v="-9168"/>
    <n v="-3346320"/>
    <n v="-12046752"/>
  </r>
  <r>
    <x v="0"/>
    <x v="0"/>
    <x v="1"/>
    <x v="1"/>
    <x v="5"/>
    <s v="DE4-W_A"/>
    <x v="1"/>
    <x v="6"/>
    <x v="49"/>
    <x v="0"/>
    <x v="8"/>
    <n v="-9168"/>
    <n v="-3346320"/>
    <n v="-12046752"/>
  </r>
  <r>
    <x v="0"/>
    <x v="0"/>
    <x v="1"/>
    <x v="1"/>
    <x v="5"/>
    <s v="DE4-W_A"/>
    <x v="1"/>
    <x v="6"/>
    <x v="49"/>
    <x v="0"/>
    <x v="9"/>
    <n v="-9168"/>
    <n v="-3346320"/>
    <n v="-12046752"/>
  </r>
  <r>
    <x v="0"/>
    <x v="0"/>
    <x v="1"/>
    <x v="1"/>
    <x v="5"/>
    <s v="DE4-W_A"/>
    <x v="1"/>
    <x v="6"/>
    <x v="49"/>
    <x v="0"/>
    <x v="10"/>
    <n v="-9168"/>
    <n v="-3346320"/>
    <n v="-12046752"/>
  </r>
  <r>
    <x v="0"/>
    <x v="0"/>
    <x v="1"/>
    <x v="1"/>
    <x v="5"/>
    <s v="DE4-W_A"/>
    <x v="1"/>
    <x v="6"/>
    <x v="49"/>
    <x v="0"/>
    <x v="11"/>
    <n v="-9168"/>
    <n v="-3346320"/>
    <n v="-12046752"/>
  </r>
  <r>
    <x v="0"/>
    <x v="0"/>
    <x v="1"/>
    <x v="1"/>
    <x v="5"/>
    <s v="DE4-W_A"/>
    <x v="1"/>
    <x v="6"/>
    <x v="49"/>
    <x v="0"/>
    <x v="12"/>
    <n v="-9168"/>
    <n v="-3346320"/>
    <n v="-12046752"/>
  </r>
  <r>
    <x v="0"/>
    <x v="0"/>
    <x v="1"/>
    <x v="1"/>
    <x v="5"/>
    <s v="DE4-W_A"/>
    <x v="1"/>
    <x v="6"/>
    <x v="49"/>
    <x v="0"/>
    <x v="13"/>
    <n v="-9168"/>
    <n v="-3346320"/>
    <n v="-12046752"/>
  </r>
  <r>
    <x v="0"/>
    <x v="0"/>
    <x v="1"/>
    <x v="1"/>
    <x v="5"/>
    <s v="DE4-W_A"/>
    <x v="1"/>
    <x v="6"/>
    <x v="49"/>
    <x v="0"/>
    <x v="14"/>
    <n v="-9168"/>
    <n v="-3346320"/>
    <n v="-12046752"/>
  </r>
  <r>
    <x v="0"/>
    <x v="0"/>
    <x v="1"/>
    <x v="1"/>
    <x v="5"/>
    <s v="DE4-W_A"/>
    <x v="1"/>
    <x v="6"/>
    <x v="49"/>
    <x v="0"/>
    <x v="15"/>
    <n v="-9168"/>
    <n v="-3346320"/>
    <n v="-12046752"/>
  </r>
  <r>
    <x v="0"/>
    <x v="0"/>
    <x v="1"/>
    <x v="1"/>
    <x v="5"/>
    <s v="DE4-W_A"/>
    <x v="1"/>
    <x v="6"/>
    <x v="49"/>
    <x v="0"/>
    <x v="16"/>
    <n v="-9168"/>
    <n v="-3346320"/>
    <n v="-12046752"/>
  </r>
  <r>
    <x v="0"/>
    <x v="0"/>
    <x v="1"/>
    <x v="1"/>
    <x v="5"/>
    <s v="DE4-W_A"/>
    <x v="1"/>
    <x v="6"/>
    <x v="49"/>
    <x v="0"/>
    <x v="17"/>
    <n v="-9168"/>
    <n v="-3346320"/>
    <n v="-12046752"/>
  </r>
  <r>
    <x v="0"/>
    <x v="0"/>
    <x v="1"/>
    <x v="1"/>
    <x v="5"/>
    <s v="DE4-W_A"/>
    <x v="1"/>
    <x v="6"/>
    <x v="49"/>
    <x v="0"/>
    <x v="18"/>
    <n v="-9168"/>
    <n v="-3346320"/>
    <n v="-12046752"/>
  </r>
  <r>
    <x v="0"/>
    <x v="0"/>
    <x v="1"/>
    <x v="1"/>
    <x v="5"/>
    <s v="DE4-W_A"/>
    <x v="1"/>
    <x v="6"/>
    <x v="49"/>
    <x v="0"/>
    <x v="19"/>
    <n v="-9168"/>
    <n v="-3346320"/>
    <n v="-12046752"/>
  </r>
  <r>
    <x v="0"/>
    <x v="0"/>
    <x v="1"/>
    <x v="1"/>
    <x v="5"/>
    <s v="DE4-W_A"/>
    <x v="1"/>
    <x v="6"/>
    <x v="49"/>
    <x v="0"/>
    <x v="20"/>
    <n v="-9168"/>
    <n v="-3346320"/>
    <n v="-12046752"/>
  </r>
  <r>
    <x v="0"/>
    <x v="0"/>
    <x v="1"/>
    <x v="1"/>
    <x v="5"/>
    <s v="DE4-W_A"/>
    <x v="1"/>
    <x v="6"/>
    <x v="49"/>
    <x v="0"/>
    <x v="21"/>
    <n v="-9168"/>
    <n v="-3346320"/>
    <n v="-12046752"/>
  </r>
  <r>
    <x v="0"/>
    <x v="0"/>
    <x v="1"/>
    <x v="1"/>
    <x v="5"/>
    <s v="DE4-W_A"/>
    <x v="1"/>
    <x v="6"/>
    <x v="49"/>
    <x v="0"/>
    <x v="22"/>
    <n v="-9168"/>
    <n v="-3346320"/>
    <n v="-12046752"/>
  </r>
  <r>
    <x v="0"/>
    <x v="0"/>
    <x v="1"/>
    <x v="1"/>
    <x v="5"/>
    <s v="DE4-W_A"/>
    <x v="1"/>
    <x v="6"/>
    <x v="49"/>
    <x v="0"/>
    <x v="23"/>
    <n v="-9168"/>
    <n v="-3346320"/>
    <n v="-12046752"/>
  </r>
  <r>
    <x v="0"/>
    <x v="0"/>
    <x v="1"/>
    <x v="1"/>
    <x v="5"/>
    <s v="DE4-W_A"/>
    <x v="2"/>
    <x v="7"/>
    <x v="40"/>
    <x v="0"/>
    <x v="0"/>
    <n v="72.599999999999994"/>
    <n v="26499"/>
    <n v="95396.4"/>
  </r>
  <r>
    <x v="0"/>
    <x v="0"/>
    <x v="1"/>
    <x v="1"/>
    <x v="5"/>
    <s v="DE4-W_A"/>
    <x v="2"/>
    <x v="7"/>
    <x v="40"/>
    <x v="0"/>
    <x v="1"/>
    <n v="72.599999999999994"/>
    <n v="26499"/>
    <n v="95396.4"/>
  </r>
  <r>
    <x v="0"/>
    <x v="0"/>
    <x v="1"/>
    <x v="1"/>
    <x v="5"/>
    <s v="DE4-W_A"/>
    <x v="2"/>
    <x v="7"/>
    <x v="40"/>
    <x v="0"/>
    <x v="2"/>
    <n v="72.599999999999994"/>
    <n v="26499"/>
    <n v="95396.4"/>
  </r>
  <r>
    <x v="0"/>
    <x v="0"/>
    <x v="1"/>
    <x v="1"/>
    <x v="5"/>
    <s v="DE4-W_A"/>
    <x v="2"/>
    <x v="7"/>
    <x v="40"/>
    <x v="0"/>
    <x v="3"/>
    <n v="72.599999999999994"/>
    <n v="26499"/>
    <n v="95396.4"/>
  </r>
  <r>
    <x v="0"/>
    <x v="0"/>
    <x v="1"/>
    <x v="1"/>
    <x v="5"/>
    <s v="DE4-W_A"/>
    <x v="2"/>
    <x v="7"/>
    <x v="40"/>
    <x v="0"/>
    <x v="4"/>
    <n v="72.599999999999994"/>
    <n v="26499"/>
    <n v="95396.4"/>
  </r>
  <r>
    <x v="0"/>
    <x v="0"/>
    <x v="1"/>
    <x v="1"/>
    <x v="5"/>
    <s v="DE4-W_A"/>
    <x v="2"/>
    <x v="7"/>
    <x v="40"/>
    <x v="0"/>
    <x v="5"/>
    <n v="72.599999999999994"/>
    <n v="26499"/>
    <n v="95396.4"/>
  </r>
  <r>
    <x v="0"/>
    <x v="0"/>
    <x v="1"/>
    <x v="1"/>
    <x v="5"/>
    <s v="DE4-W_A"/>
    <x v="2"/>
    <x v="7"/>
    <x v="40"/>
    <x v="0"/>
    <x v="6"/>
    <n v="72.599999999999994"/>
    <n v="26499"/>
    <n v="95396.4"/>
  </r>
  <r>
    <x v="0"/>
    <x v="0"/>
    <x v="1"/>
    <x v="1"/>
    <x v="5"/>
    <s v="DE4-W_A"/>
    <x v="2"/>
    <x v="7"/>
    <x v="40"/>
    <x v="0"/>
    <x v="7"/>
    <n v="72.599999999999994"/>
    <n v="26499"/>
    <n v="95396.4"/>
  </r>
  <r>
    <x v="0"/>
    <x v="0"/>
    <x v="1"/>
    <x v="1"/>
    <x v="5"/>
    <s v="DE4-W_A"/>
    <x v="2"/>
    <x v="7"/>
    <x v="40"/>
    <x v="0"/>
    <x v="8"/>
    <n v="72.599999999999994"/>
    <n v="26499"/>
    <n v="95396.4"/>
  </r>
  <r>
    <x v="0"/>
    <x v="0"/>
    <x v="1"/>
    <x v="1"/>
    <x v="5"/>
    <s v="DE4-W_A"/>
    <x v="2"/>
    <x v="7"/>
    <x v="40"/>
    <x v="0"/>
    <x v="9"/>
    <n v="72.599999999999994"/>
    <n v="26499"/>
    <n v="95396.4"/>
  </r>
  <r>
    <x v="0"/>
    <x v="0"/>
    <x v="1"/>
    <x v="1"/>
    <x v="5"/>
    <s v="DE4-W_A"/>
    <x v="2"/>
    <x v="7"/>
    <x v="40"/>
    <x v="0"/>
    <x v="10"/>
    <n v="72.599999999999994"/>
    <n v="26499"/>
    <n v="95396.4"/>
  </r>
  <r>
    <x v="0"/>
    <x v="0"/>
    <x v="1"/>
    <x v="1"/>
    <x v="5"/>
    <s v="DE4-W_A"/>
    <x v="2"/>
    <x v="7"/>
    <x v="40"/>
    <x v="0"/>
    <x v="11"/>
    <n v="72.599999999999994"/>
    <n v="26499"/>
    <n v="95396.4"/>
  </r>
  <r>
    <x v="0"/>
    <x v="0"/>
    <x v="1"/>
    <x v="1"/>
    <x v="5"/>
    <s v="DE4-W_A"/>
    <x v="2"/>
    <x v="7"/>
    <x v="40"/>
    <x v="0"/>
    <x v="12"/>
    <n v="72.599999999999994"/>
    <n v="26499"/>
    <n v="95396.4"/>
  </r>
  <r>
    <x v="0"/>
    <x v="0"/>
    <x v="1"/>
    <x v="1"/>
    <x v="5"/>
    <s v="DE4-W_A"/>
    <x v="2"/>
    <x v="7"/>
    <x v="40"/>
    <x v="0"/>
    <x v="13"/>
    <n v="72.599999999999994"/>
    <n v="26499"/>
    <n v="95396.4"/>
  </r>
  <r>
    <x v="0"/>
    <x v="0"/>
    <x v="1"/>
    <x v="1"/>
    <x v="5"/>
    <s v="DE4-W_A"/>
    <x v="2"/>
    <x v="7"/>
    <x v="40"/>
    <x v="0"/>
    <x v="14"/>
    <n v="72.599999999999994"/>
    <n v="26499"/>
    <n v="95396.4"/>
  </r>
  <r>
    <x v="0"/>
    <x v="0"/>
    <x v="1"/>
    <x v="1"/>
    <x v="5"/>
    <s v="DE4-W_A"/>
    <x v="2"/>
    <x v="7"/>
    <x v="40"/>
    <x v="0"/>
    <x v="15"/>
    <n v="72.599999999999994"/>
    <n v="26499"/>
    <n v="95396.4"/>
  </r>
  <r>
    <x v="0"/>
    <x v="0"/>
    <x v="1"/>
    <x v="1"/>
    <x v="5"/>
    <s v="DE4-W_A"/>
    <x v="2"/>
    <x v="7"/>
    <x v="40"/>
    <x v="0"/>
    <x v="16"/>
    <n v="72.599999999999994"/>
    <n v="26499"/>
    <n v="95396.4"/>
  </r>
  <r>
    <x v="0"/>
    <x v="0"/>
    <x v="1"/>
    <x v="1"/>
    <x v="5"/>
    <s v="DE4-W_A"/>
    <x v="2"/>
    <x v="7"/>
    <x v="40"/>
    <x v="0"/>
    <x v="17"/>
    <n v="72.599999999999994"/>
    <n v="26499"/>
    <n v="95396.4"/>
  </r>
  <r>
    <x v="0"/>
    <x v="0"/>
    <x v="1"/>
    <x v="1"/>
    <x v="5"/>
    <s v="DE4-W_A"/>
    <x v="2"/>
    <x v="7"/>
    <x v="40"/>
    <x v="0"/>
    <x v="18"/>
    <n v="72.599999999999994"/>
    <n v="26499"/>
    <n v="95396.4"/>
  </r>
  <r>
    <x v="0"/>
    <x v="0"/>
    <x v="1"/>
    <x v="1"/>
    <x v="5"/>
    <s v="DE4-W_A"/>
    <x v="2"/>
    <x v="7"/>
    <x v="40"/>
    <x v="0"/>
    <x v="19"/>
    <n v="72.599999999999994"/>
    <n v="26499"/>
    <n v="95396.4"/>
  </r>
  <r>
    <x v="0"/>
    <x v="0"/>
    <x v="1"/>
    <x v="1"/>
    <x v="5"/>
    <s v="DE4-W_A"/>
    <x v="2"/>
    <x v="7"/>
    <x v="40"/>
    <x v="0"/>
    <x v="20"/>
    <n v="72.599999999999994"/>
    <n v="26499"/>
    <n v="95396.4"/>
  </r>
  <r>
    <x v="0"/>
    <x v="0"/>
    <x v="1"/>
    <x v="1"/>
    <x v="5"/>
    <s v="DE4-W_A"/>
    <x v="2"/>
    <x v="7"/>
    <x v="40"/>
    <x v="0"/>
    <x v="21"/>
    <n v="72.599999999999994"/>
    <n v="26499"/>
    <n v="95396.4"/>
  </r>
  <r>
    <x v="0"/>
    <x v="0"/>
    <x v="1"/>
    <x v="1"/>
    <x v="5"/>
    <s v="DE4-W_A"/>
    <x v="2"/>
    <x v="7"/>
    <x v="40"/>
    <x v="0"/>
    <x v="22"/>
    <n v="72.599999999999994"/>
    <n v="26499"/>
    <n v="95396.4"/>
  </r>
  <r>
    <x v="0"/>
    <x v="0"/>
    <x v="1"/>
    <x v="1"/>
    <x v="5"/>
    <s v="DE4-W_A"/>
    <x v="2"/>
    <x v="7"/>
    <x v="40"/>
    <x v="0"/>
    <x v="23"/>
    <n v="72.599999999999994"/>
    <n v="26499"/>
    <n v="95396.4"/>
  </r>
  <r>
    <x v="0"/>
    <x v="0"/>
    <x v="1"/>
    <x v="1"/>
    <x v="5"/>
    <s v="DE4-W_A"/>
    <x v="4"/>
    <x v="3"/>
    <x v="9"/>
    <x v="0"/>
    <x v="6"/>
    <n v="50.928007722633403"/>
    <n v="18588.722818761202"/>
    <n v="66919.402147540299"/>
  </r>
  <r>
    <x v="0"/>
    <x v="0"/>
    <x v="1"/>
    <x v="1"/>
    <x v="5"/>
    <s v="DE4-W_A"/>
    <x v="4"/>
    <x v="3"/>
    <x v="9"/>
    <x v="0"/>
    <x v="7"/>
    <n v="543.19596322034295"/>
    <n v="198266.526575425"/>
    <n v="713759.49567153095"/>
  </r>
  <r>
    <x v="0"/>
    <x v="0"/>
    <x v="1"/>
    <x v="1"/>
    <x v="5"/>
    <s v="DE4-W_A"/>
    <x v="4"/>
    <x v="3"/>
    <x v="9"/>
    <x v="0"/>
    <x v="8"/>
    <n v="1585.1613297327699"/>
    <n v="578583.885352463"/>
    <n v="2082901.98726887"/>
  </r>
  <r>
    <x v="0"/>
    <x v="0"/>
    <x v="1"/>
    <x v="1"/>
    <x v="5"/>
    <s v="DE4-W_A"/>
    <x v="4"/>
    <x v="3"/>
    <x v="9"/>
    <x v="0"/>
    <x v="9"/>
    <n v="2587.9012945524501"/>
    <n v="944583.97251164599"/>
    <n v="3400502.30104193"/>
  </r>
  <r>
    <x v="0"/>
    <x v="0"/>
    <x v="1"/>
    <x v="1"/>
    <x v="5"/>
    <s v="DE4-W_A"/>
    <x v="4"/>
    <x v="3"/>
    <x v="9"/>
    <x v="0"/>
    <x v="10"/>
    <n v="3449.0180549179199"/>
    <n v="1258891.59004504"/>
    <n v="4532009.7241621399"/>
  </r>
  <r>
    <x v="0"/>
    <x v="0"/>
    <x v="1"/>
    <x v="1"/>
    <x v="5"/>
    <s v="DE4-W_A"/>
    <x v="4"/>
    <x v="3"/>
    <x v="9"/>
    <x v="0"/>
    <x v="11"/>
    <n v="4000.4491853444702"/>
    <n v="1460163.95265073"/>
    <n v="5256590.22954264"/>
  </r>
  <r>
    <x v="0"/>
    <x v="0"/>
    <x v="1"/>
    <x v="1"/>
    <x v="5"/>
    <s v="DE4-W_A"/>
    <x v="4"/>
    <x v="3"/>
    <x v="9"/>
    <x v="0"/>
    <x v="12"/>
    <n v="4231.2505820449196"/>
    <n v="1544406.4624464"/>
    <n v="5559863.2648070203"/>
  </r>
  <r>
    <x v="0"/>
    <x v="0"/>
    <x v="1"/>
    <x v="1"/>
    <x v="5"/>
    <s v="DE4-W_A"/>
    <x v="4"/>
    <x v="3"/>
    <x v="9"/>
    <x v="0"/>
    <x v="13"/>
    <n v="4255.3059388841202"/>
    <n v="1553186.6676926999"/>
    <n v="5591472.0036937296"/>
  </r>
  <r>
    <x v="0"/>
    <x v="0"/>
    <x v="1"/>
    <x v="1"/>
    <x v="5"/>
    <s v="DE4-W_A"/>
    <x v="4"/>
    <x v="3"/>
    <x v="9"/>
    <x v="0"/>
    <x v="14"/>
    <n v="3663.3491172059398"/>
    <n v="1337122.42778017"/>
    <n v="4813640.7400086001"/>
  </r>
  <r>
    <x v="0"/>
    <x v="0"/>
    <x v="1"/>
    <x v="1"/>
    <x v="5"/>
    <s v="DE4-W_A"/>
    <x v="4"/>
    <x v="3"/>
    <x v="9"/>
    <x v="0"/>
    <x v="15"/>
    <n v="2772.9758417657699"/>
    <n v="1012136.18224451"/>
    <n v="3643690.25608022"/>
  </r>
  <r>
    <x v="0"/>
    <x v="0"/>
    <x v="1"/>
    <x v="1"/>
    <x v="5"/>
    <s v="DE4-W_A"/>
    <x v="4"/>
    <x v="3"/>
    <x v="9"/>
    <x v="0"/>
    <x v="16"/>
    <n v="1766.8767955856599"/>
    <n v="644910.03038876597"/>
    <n v="2321676.1093995599"/>
  </r>
  <r>
    <x v="0"/>
    <x v="0"/>
    <x v="1"/>
    <x v="1"/>
    <x v="5"/>
    <s v="DE4-W_A"/>
    <x v="4"/>
    <x v="3"/>
    <x v="9"/>
    <x v="0"/>
    <x v="17"/>
    <n v="671.05776984312502"/>
    <n v="244936.08599274099"/>
    <n v="881769.90957386605"/>
  </r>
  <r>
    <x v="0"/>
    <x v="0"/>
    <x v="1"/>
    <x v="1"/>
    <x v="5"/>
    <s v="DE4-W_A"/>
    <x v="4"/>
    <x v="3"/>
    <x v="9"/>
    <x v="0"/>
    <x v="18"/>
    <n v="54.9372338625003"/>
    <n v="20052.090359812599"/>
    <n v="72187.525295325395"/>
  </r>
  <r>
    <x v="0"/>
    <x v="0"/>
    <x v="1"/>
    <x v="1"/>
    <x v="5"/>
    <s v="DE4-W_A"/>
    <x v="5"/>
    <x v="4"/>
    <x v="10"/>
    <x v="0"/>
    <x v="0"/>
    <n v="198.90753424657501"/>
    <n v="72601.25"/>
    <n v="261364.5"/>
  </r>
  <r>
    <x v="0"/>
    <x v="0"/>
    <x v="1"/>
    <x v="1"/>
    <x v="5"/>
    <s v="DE4-W_A"/>
    <x v="5"/>
    <x v="4"/>
    <x v="10"/>
    <x v="0"/>
    <x v="1"/>
    <n v="198.90753424657501"/>
    <n v="72601.25"/>
    <n v="261364.5"/>
  </r>
  <r>
    <x v="0"/>
    <x v="0"/>
    <x v="1"/>
    <x v="1"/>
    <x v="5"/>
    <s v="DE4-W_A"/>
    <x v="5"/>
    <x v="4"/>
    <x v="10"/>
    <x v="0"/>
    <x v="2"/>
    <n v="198.90753424657501"/>
    <n v="72601.25"/>
    <n v="261364.5"/>
  </r>
  <r>
    <x v="0"/>
    <x v="0"/>
    <x v="1"/>
    <x v="1"/>
    <x v="5"/>
    <s v="DE4-W_A"/>
    <x v="5"/>
    <x v="4"/>
    <x v="10"/>
    <x v="0"/>
    <x v="3"/>
    <n v="198.90753424657501"/>
    <n v="72601.25"/>
    <n v="261364.5"/>
  </r>
  <r>
    <x v="0"/>
    <x v="0"/>
    <x v="1"/>
    <x v="1"/>
    <x v="5"/>
    <s v="DE4-W_A"/>
    <x v="5"/>
    <x v="4"/>
    <x v="10"/>
    <x v="0"/>
    <x v="4"/>
    <n v="198.90753424657501"/>
    <n v="72601.25"/>
    <n v="261364.5"/>
  </r>
  <r>
    <x v="0"/>
    <x v="0"/>
    <x v="1"/>
    <x v="1"/>
    <x v="5"/>
    <s v="DE4-W_A"/>
    <x v="5"/>
    <x v="4"/>
    <x v="10"/>
    <x v="0"/>
    <x v="5"/>
    <n v="198.90753424657501"/>
    <n v="72601.25"/>
    <n v="261364.5"/>
  </r>
  <r>
    <x v="0"/>
    <x v="0"/>
    <x v="1"/>
    <x v="1"/>
    <x v="5"/>
    <s v="DE4-W_A"/>
    <x v="5"/>
    <x v="4"/>
    <x v="10"/>
    <x v="0"/>
    <x v="6"/>
    <n v="198.90753424657501"/>
    <n v="72601.25"/>
    <n v="261364.5"/>
  </r>
  <r>
    <x v="0"/>
    <x v="0"/>
    <x v="1"/>
    <x v="1"/>
    <x v="5"/>
    <s v="DE4-W_A"/>
    <x v="5"/>
    <x v="4"/>
    <x v="10"/>
    <x v="0"/>
    <x v="7"/>
    <n v="198.90753424657501"/>
    <n v="72601.25"/>
    <n v="261364.5"/>
  </r>
  <r>
    <x v="0"/>
    <x v="0"/>
    <x v="1"/>
    <x v="1"/>
    <x v="5"/>
    <s v="DE4-W_A"/>
    <x v="5"/>
    <x v="4"/>
    <x v="10"/>
    <x v="0"/>
    <x v="8"/>
    <n v="198.90753424657501"/>
    <n v="72601.25"/>
    <n v="261364.5"/>
  </r>
  <r>
    <x v="0"/>
    <x v="0"/>
    <x v="1"/>
    <x v="1"/>
    <x v="5"/>
    <s v="DE4-W_A"/>
    <x v="5"/>
    <x v="4"/>
    <x v="10"/>
    <x v="0"/>
    <x v="9"/>
    <n v="198.90753424657501"/>
    <n v="72601.25"/>
    <n v="261364.5"/>
  </r>
  <r>
    <x v="0"/>
    <x v="0"/>
    <x v="1"/>
    <x v="1"/>
    <x v="5"/>
    <s v="DE4-W_A"/>
    <x v="5"/>
    <x v="4"/>
    <x v="10"/>
    <x v="0"/>
    <x v="10"/>
    <n v="198.90753424657501"/>
    <n v="72601.25"/>
    <n v="261364.5"/>
  </r>
  <r>
    <x v="0"/>
    <x v="0"/>
    <x v="1"/>
    <x v="1"/>
    <x v="5"/>
    <s v="DE4-W_A"/>
    <x v="5"/>
    <x v="4"/>
    <x v="10"/>
    <x v="0"/>
    <x v="11"/>
    <n v="198.90753424657501"/>
    <n v="72601.25"/>
    <n v="261364.5"/>
  </r>
  <r>
    <x v="0"/>
    <x v="0"/>
    <x v="1"/>
    <x v="1"/>
    <x v="5"/>
    <s v="DE4-W_A"/>
    <x v="5"/>
    <x v="4"/>
    <x v="10"/>
    <x v="0"/>
    <x v="12"/>
    <n v="198.90753424657501"/>
    <n v="72601.25"/>
    <n v="261364.5"/>
  </r>
  <r>
    <x v="0"/>
    <x v="0"/>
    <x v="1"/>
    <x v="1"/>
    <x v="5"/>
    <s v="DE4-W_A"/>
    <x v="5"/>
    <x v="4"/>
    <x v="10"/>
    <x v="0"/>
    <x v="13"/>
    <n v="198.90753424657501"/>
    <n v="72601.25"/>
    <n v="261364.5"/>
  </r>
  <r>
    <x v="0"/>
    <x v="0"/>
    <x v="1"/>
    <x v="1"/>
    <x v="5"/>
    <s v="DE4-W_A"/>
    <x v="5"/>
    <x v="4"/>
    <x v="10"/>
    <x v="0"/>
    <x v="14"/>
    <n v="198.90753424657501"/>
    <n v="72601.25"/>
    <n v="261364.5"/>
  </r>
  <r>
    <x v="0"/>
    <x v="0"/>
    <x v="1"/>
    <x v="1"/>
    <x v="5"/>
    <s v="DE4-W_A"/>
    <x v="5"/>
    <x v="4"/>
    <x v="10"/>
    <x v="0"/>
    <x v="15"/>
    <n v="198.90753424657501"/>
    <n v="72601.25"/>
    <n v="261364.5"/>
  </r>
  <r>
    <x v="0"/>
    <x v="0"/>
    <x v="1"/>
    <x v="1"/>
    <x v="5"/>
    <s v="DE4-W_A"/>
    <x v="5"/>
    <x v="4"/>
    <x v="10"/>
    <x v="0"/>
    <x v="16"/>
    <n v="198.90753424657501"/>
    <n v="72601.25"/>
    <n v="261364.5"/>
  </r>
  <r>
    <x v="0"/>
    <x v="0"/>
    <x v="1"/>
    <x v="1"/>
    <x v="5"/>
    <s v="DE4-W_A"/>
    <x v="5"/>
    <x v="4"/>
    <x v="10"/>
    <x v="0"/>
    <x v="17"/>
    <n v="198.90753424657501"/>
    <n v="72601.25"/>
    <n v="261364.5"/>
  </r>
  <r>
    <x v="0"/>
    <x v="0"/>
    <x v="1"/>
    <x v="1"/>
    <x v="5"/>
    <s v="DE4-W_A"/>
    <x v="5"/>
    <x v="4"/>
    <x v="10"/>
    <x v="0"/>
    <x v="18"/>
    <n v="198.90753424657501"/>
    <n v="72601.25"/>
    <n v="261364.5"/>
  </r>
  <r>
    <x v="0"/>
    <x v="0"/>
    <x v="1"/>
    <x v="1"/>
    <x v="5"/>
    <s v="DE4-W_A"/>
    <x v="5"/>
    <x v="4"/>
    <x v="10"/>
    <x v="0"/>
    <x v="19"/>
    <n v="198.90753424657501"/>
    <n v="72601.25"/>
    <n v="261364.5"/>
  </r>
  <r>
    <x v="0"/>
    <x v="0"/>
    <x v="1"/>
    <x v="1"/>
    <x v="5"/>
    <s v="DE4-W_A"/>
    <x v="5"/>
    <x v="4"/>
    <x v="10"/>
    <x v="0"/>
    <x v="20"/>
    <n v="198.90753424657501"/>
    <n v="72601.25"/>
    <n v="261364.5"/>
  </r>
  <r>
    <x v="0"/>
    <x v="0"/>
    <x v="1"/>
    <x v="1"/>
    <x v="5"/>
    <s v="DE4-W_A"/>
    <x v="5"/>
    <x v="4"/>
    <x v="10"/>
    <x v="0"/>
    <x v="21"/>
    <n v="198.90753424657501"/>
    <n v="72601.25"/>
    <n v="261364.5"/>
  </r>
  <r>
    <x v="0"/>
    <x v="0"/>
    <x v="1"/>
    <x v="1"/>
    <x v="5"/>
    <s v="DE4-W_A"/>
    <x v="5"/>
    <x v="4"/>
    <x v="10"/>
    <x v="0"/>
    <x v="22"/>
    <n v="198.90753424657501"/>
    <n v="72601.25"/>
    <n v="261364.5"/>
  </r>
  <r>
    <x v="0"/>
    <x v="0"/>
    <x v="1"/>
    <x v="1"/>
    <x v="5"/>
    <s v="DE4-W_A"/>
    <x v="5"/>
    <x v="4"/>
    <x v="10"/>
    <x v="0"/>
    <x v="23"/>
    <n v="198.90753424657501"/>
    <n v="72601.25"/>
    <n v="261364.5"/>
  </r>
  <r>
    <x v="0"/>
    <x v="0"/>
    <x v="1"/>
    <x v="1"/>
    <x v="5"/>
    <s v="DE4-W_A"/>
    <x v="6"/>
    <x v="5"/>
    <x v="11"/>
    <x v="0"/>
    <x v="0"/>
    <n v="4507.6064356926099"/>
    <n v="1645276.3490277999"/>
    <n v="5922994.8565000901"/>
  </r>
  <r>
    <x v="0"/>
    <x v="0"/>
    <x v="1"/>
    <x v="1"/>
    <x v="5"/>
    <s v="DE4-W_A"/>
    <x v="6"/>
    <x v="5"/>
    <x v="11"/>
    <x v="0"/>
    <x v="1"/>
    <n v="4175.5297932748199"/>
    <n v="1524068.3745453099"/>
    <n v="5486646.1483631199"/>
  </r>
  <r>
    <x v="0"/>
    <x v="0"/>
    <x v="1"/>
    <x v="1"/>
    <x v="5"/>
    <s v="DE4-W_A"/>
    <x v="6"/>
    <x v="5"/>
    <x v="11"/>
    <x v="0"/>
    <x v="2"/>
    <n v="3959.8708243483302"/>
    <n v="1445352.85088714"/>
    <n v="5203270.2631937005"/>
  </r>
  <r>
    <x v="0"/>
    <x v="0"/>
    <x v="1"/>
    <x v="1"/>
    <x v="5"/>
    <s v="DE4-W_A"/>
    <x v="6"/>
    <x v="5"/>
    <x v="11"/>
    <x v="0"/>
    <x v="3"/>
    <n v="3578.7699362287799"/>
    <n v="1306251.0267235001"/>
    <n v="4702503.6962046102"/>
  </r>
  <r>
    <x v="0"/>
    <x v="0"/>
    <x v="1"/>
    <x v="1"/>
    <x v="5"/>
    <s v="DE4-W_A"/>
    <x v="6"/>
    <x v="5"/>
    <x v="11"/>
    <x v="0"/>
    <x v="4"/>
    <n v="3190.6315043223499"/>
    <n v="1164580.49907766"/>
    <n v="4192489.7966795699"/>
  </r>
  <r>
    <x v="0"/>
    <x v="0"/>
    <x v="1"/>
    <x v="1"/>
    <x v="5"/>
    <s v="DE4-W_A"/>
    <x v="6"/>
    <x v="5"/>
    <x v="11"/>
    <x v="0"/>
    <x v="5"/>
    <n v="3032.4656897225"/>
    <n v="1106849.97674871"/>
    <n v="3984659.9162953701"/>
  </r>
  <r>
    <x v="0"/>
    <x v="0"/>
    <x v="1"/>
    <x v="1"/>
    <x v="5"/>
    <s v="DE4-W_A"/>
    <x v="6"/>
    <x v="5"/>
    <x v="11"/>
    <x v="0"/>
    <x v="6"/>
    <n v="2982.6064811985598"/>
    <n v="1088651.36563748"/>
    <n v="3919144.91629491"/>
  </r>
  <r>
    <x v="0"/>
    <x v="0"/>
    <x v="1"/>
    <x v="1"/>
    <x v="5"/>
    <s v="DE4-W_A"/>
    <x v="6"/>
    <x v="5"/>
    <x v="11"/>
    <x v="0"/>
    <x v="7"/>
    <n v="3066.57988502835"/>
    <n v="1119301.65803535"/>
    <n v="4029485.9689272498"/>
  </r>
  <r>
    <x v="0"/>
    <x v="0"/>
    <x v="1"/>
    <x v="1"/>
    <x v="5"/>
    <s v="DE4-W_A"/>
    <x v="6"/>
    <x v="5"/>
    <x v="11"/>
    <x v="0"/>
    <x v="8"/>
    <n v="3670.1387250549301"/>
    <n v="1339600.6346450499"/>
    <n v="4822562.2847221801"/>
  </r>
  <r>
    <x v="0"/>
    <x v="0"/>
    <x v="1"/>
    <x v="1"/>
    <x v="5"/>
    <s v="DE4-W_A"/>
    <x v="6"/>
    <x v="5"/>
    <x v="11"/>
    <x v="0"/>
    <x v="9"/>
    <n v="4155.2521247363802"/>
    <n v="1516667.02552878"/>
    <n v="5460001.2919036001"/>
  </r>
  <r>
    <x v="0"/>
    <x v="0"/>
    <x v="1"/>
    <x v="1"/>
    <x v="5"/>
    <s v="DE4-W_A"/>
    <x v="6"/>
    <x v="5"/>
    <x v="11"/>
    <x v="0"/>
    <x v="10"/>
    <n v="4015.8133334337999"/>
    <n v="1465771.8667033401"/>
    <n v="5276778.7201320101"/>
  </r>
  <r>
    <x v="0"/>
    <x v="0"/>
    <x v="1"/>
    <x v="1"/>
    <x v="5"/>
    <s v="DE4-W_A"/>
    <x v="6"/>
    <x v="5"/>
    <x v="11"/>
    <x v="0"/>
    <x v="11"/>
    <n v="3673.0014547309502"/>
    <n v="1340645.5309768"/>
    <n v="4826323.9115164699"/>
  </r>
  <r>
    <x v="0"/>
    <x v="0"/>
    <x v="1"/>
    <x v="1"/>
    <x v="5"/>
    <s v="DE4-W_A"/>
    <x v="6"/>
    <x v="5"/>
    <x v="11"/>
    <x v="0"/>
    <x v="12"/>
    <n v="3733.9537407494399"/>
    <n v="1362893.11537355"/>
    <n v="4906415.2153447699"/>
  </r>
  <r>
    <x v="0"/>
    <x v="0"/>
    <x v="1"/>
    <x v="1"/>
    <x v="5"/>
    <s v="DE4-W_A"/>
    <x v="6"/>
    <x v="5"/>
    <x v="11"/>
    <x v="0"/>
    <x v="13"/>
    <n v="3787.2720809652301"/>
    <n v="1382354.30955231"/>
    <n v="4976475.51438832"/>
  </r>
  <r>
    <x v="0"/>
    <x v="0"/>
    <x v="1"/>
    <x v="1"/>
    <x v="5"/>
    <s v="DE4-W_A"/>
    <x v="6"/>
    <x v="5"/>
    <x v="11"/>
    <x v="0"/>
    <x v="14"/>
    <n v="3806.11838466567"/>
    <n v="1389233.21040297"/>
    <n v="5001239.5574506903"/>
  </r>
  <r>
    <x v="0"/>
    <x v="0"/>
    <x v="1"/>
    <x v="1"/>
    <x v="5"/>
    <s v="DE4-W_A"/>
    <x v="6"/>
    <x v="5"/>
    <x v="11"/>
    <x v="0"/>
    <x v="15"/>
    <n v="3560.8778757536802"/>
    <n v="1299720.42465009"/>
    <n v="4678993.5287403297"/>
  </r>
  <r>
    <x v="0"/>
    <x v="0"/>
    <x v="1"/>
    <x v="1"/>
    <x v="5"/>
    <s v="DE4-W_A"/>
    <x v="6"/>
    <x v="5"/>
    <x v="11"/>
    <x v="0"/>
    <x v="16"/>
    <n v="3218.6623990666699"/>
    <n v="1174811.77565933"/>
    <n v="4229322.3923736"/>
  </r>
  <r>
    <x v="0"/>
    <x v="0"/>
    <x v="1"/>
    <x v="1"/>
    <x v="5"/>
    <s v="DE4-W_A"/>
    <x v="6"/>
    <x v="5"/>
    <x v="11"/>
    <x v="0"/>
    <x v="17"/>
    <n v="2666.8712540146998"/>
    <n v="973408.00771536503"/>
    <n v="3504268.8277753098"/>
  </r>
  <r>
    <x v="0"/>
    <x v="0"/>
    <x v="1"/>
    <x v="1"/>
    <x v="5"/>
    <s v="DE4-W_A"/>
    <x v="6"/>
    <x v="5"/>
    <x v="11"/>
    <x v="0"/>
    <x v="18"/>
    <n v="2048.9987656080398"/>
    <n v="747884.54944693297"/>
    <n v="2692384.3780089598"/>
  </r>
  <r>
    <x v="0"/>
    <x v="0"/>
    <x v="1"/>
    <x v="1"/>
    <x v="5"/>
    <s v="DE4-W_A"/>
    <x v="6"/>
    <x v="5"/>
    <x v="11"/>
    <x v="0"/>
    <x v="19"/>
    <n v="2058.0640762487501"/>
    <n v="751193.38783079397"/>
    <n v="2704296.1961908601"/>
  </r>
  <r>
    <x v="0"/>
    <x v="0"/>
    <x v="1"/>
    <x v="1"/>
    <x v="5"/>
    <s v="DE4-W_A"/>
    <x v="6"/>
    <x v="5"/>
    <x v="11"/>
    <x v="0"/>
    <x v="20"/>
    <n v="2163.0308310359801"/>
    <n v="789506.25332813396"/>
    <n v="2842222.5119812801"/>
  </r>
  <r>
    <x v="0"/>
    <x v="0"/>
    <x v="1"/>
    <x v="1"/>
    <x v="5"/>
    <s v="DE4-W_A"/>
    <x v="6"/>
    <x v="5"/>
    <x v="11"/>
    <x v="0"/>
    <x v="21"/>
    <n v="2339.8043885299398"/>
    <n v="854028.60181342706"/>
    <n v="3074502.9665283398"/>
  </r>
  <r>
    <x v="0"/>
    <x v="0"/>
    <x v="1"/>
    <x v="1"/>
    <x v="5"/>
    <s v="DE4-W_A"/>
    <x v="6"/>
    <x v="5"/>
    <x v="11"/>
    <x v="0"/>
    <x v="22"/>
    <n v="2443.2204980759898"/>
    <n v="891775.48179773695"/>
    <n v="3210391.7344718501"/>
  </r>
  <r>
    <x v="0"/>
    <x v="0"/>
    <x v="1"/>
    <x v="1"/>
    <x v="5"/>
    <s v="DE4-W_A"/>
    <x v="6"/>
    <x v="5"/>
    <x v="11"/>
    <x v="0"/>
    <x v="23"/>
    <n v="2472.8020380614898"/>
    <n v="902572.74389244197"/>
    <n v="3249261.8780127899"/>
  </r>
  <r>
    <x v="0"/>
    <x v="0"/>
    <x v="1"/>
    <x v="1"/>
    <x v="5"/>
    <s v="DE4-W_Offshore_A"/>
    <x v="6"/>
    <x v="5"/>
    <x v="12"/>
    <x v="0"/>
    <x v="0"/>
    <n v="3891.0321378410199"/>
    <n v="1420226.73031197"/>
    <n v="5112816.2291230997"/>
  </r>
  <r>
    <x v="0"/>
    <x v="0"/>
    <x v="1"/>
    <x v="1"/>
    <x v="5"/>
    <s v="DE4-W_Offshore_A"/>
    <x v="6"/>
    <x v="5"/>
    <x v="12"/>
    <x v="0"/>
    <x v="1"/>
    <n v="3604.3786985250799"/>
    <n v="1315598.2249616501"/>
    <n v="4736153.6098619504"/>
  </r>
  <r>
    <x v="0"/>
    <x v="0"/>
    <x v="1"/>
    <x v="1"/>
    <x v="5"/>
    <s v="DE4-W_Offshore_A"/>
    <x v="6"/>
    <x v="5"/>
    <x v="12"/>
    <x v="0"/>
    <x v="2"/>
    <n v="3418.2187063256401"/>
    <n v="1247649.82780886"/>
    <n v="4491539.3801119002"/>
  </r>
  <r>
    <x v="0"/>
    <x v="0"/>
    <x v="1"/>
    <x v="1"/>
    <x v="5"/>
    <s v="DE4-W_Offshore_A"/>
    <x v="6"/>
    <x v="5"/>
    <x v="12"/>
    <x v="0"/>
    <x v="3"/>
    <n v="3089.2468174555202"/>
    <n v="1127575.0883712601"/>
    <n v="4059270.31813655"/>
  </r>
  <r>
    <x v="0"/>
    <x v="0"/>
    <x v="1"/>
    <x v="1"/>
    <x v="5"/>
    <s v="DE4-W_Offshore_A"/>
    <x v="6"/>
    <x v="5"/>
    <x v="12"/>
    <x v="0"/>
    <x v="4"/>
    <n v="2754.20001733552"/>
    <n v="1005283.0063274699"/>
    <n v="3619018.8227788801"/>
  </r>
  <r>
    <x v="0"/>
    <x v="0"/>
    <x v="1"/>
    <x v="1"/>
    <x v="5"/>
    <s v="DE4-W_Offshore_A"/>
    <x v="6"/>
    <x v="5"/>
    <x v="12"/>
    <x v="0"/>
    <x v="5"/>
    <n v="2617.6689611096099"/>
    <n v="955449.17080500803"/>
    <n v="3439617.0148980301"/>
  </r>
  <r>
    <x v="0"/>
    <x v="0"/>
    <x v="1"/>
    <x v="1"/>
    <x v="5"/>
    <s v="DE4-W_Offshore_A"/>
    <x v="6"/>
    <x v="5"/>
    <x v="12"/>
    <x v="0"/>
    <x v="6"/>
    <n v="2574.6297593732402"/>
    <n v="939739.862171232"/>
    <n v="3383063.50381643"/>
  </r>
  <r>
    <x v="0"/>
    <x v="0"/>
    <x v="1"/>
    <x v="1"/>
    <x v="5"/>
    <s v="DE4-W_Offshore_A"/>
    <x v="6"/>
    <x v="5"/>
    <x v="12"/>
    <x v="0"/>
    <x v="7"/>
    <n v="2647.1168359818698"/>
    <n v="966197.64513338101"/>
    <n v="3478311.5224801698"/>
  </r>
  <r>
    <x v="0"/>
    <x v="0"/>
    <x v="1"/>
    <x v="1"/>
    <x v="5"/>
    <s v="DE4-W_Offshore_A"/>
    <x v="6"/>
    <x v="5"/>
    <x v="12"/>
    <x v="0"/>
    <x v="8"/>
    <n v="3168.1176991063799"/>
    <n v="1156362.9601738299"/>
    <n v="4162906.6566257901"/>
  </r>
  <r>
    <x v="0"/>
    <x v="0"/>
    <x v="1"/>
    <x v="1"/>
    <x v="5"/>
    <s v="DE4-W_Offshore_A"/>
    <x v="6"/>
    <x v="5"/>
    <x v="12"/>
    <x v="0"/>
    <x v="9"/>
    <n v="3586.87471695765"/>
    <n v="1309209.27168954"/>
    <n v="4713153.3780823499"/>
  </r>
  <r>
    <x v="0"/>
    <x v="0"/>
    <x v="1"/>
    <x v="1"/>
    <x v="5"/>
    <s v="DE4-W_Offshore_A"/>
    <x v="6"/>
    <x v="5"/>
    <x v="12"/>
    <x v="0"/>
    <x v="10"/>
    <n v="3466.5091025322399"/>
    <n v="1265275.82242427"/>
    <n v="4554992.9607273703"/>
  </r>
  <r>
    <x v="0"/>
    <x v="0"/>
    <x v="1"/>
    <x v="1"/>
    <x v="5"/>
    <s v="DE4-W_Offshore_A"/>
    <x v="6"/>
    <x v="5"/>
    <x v="12"/>
    <x v="0"/>
    <x v="11"/>
    <n v="3170.5888494453102"/>
    <n v="1157264.93004754"/>
    <n v="4166153.74817114"/>
  </r>
  <r>
    <x v="0"/>
    <x v="0"/>
    <x v="1"/>
    <x v="1"/>
    <x v="5"/>
    <s v="DE4-W_Offshore_A"/>
    <x v="6"/>
    <x v="5"/>
    <x v="12"/>
    <x v="0"/>
    <x v="12"/>
    <n v="3223.20375874504"/>
    <n v="1176469.3719419399"/>
    <n v="4235289.7389909904"/>
  </r>
  <r>
    <x v="0"/>
    <x v="0"/>
    <x v="1"/>
    <x v="1"/>
    <x v="5"/>
    <s v="DE4-W_Offshore_A"/>
    <x v="6"/>
    <x v="5"/>
    <x v="12"/>
    <x v="0"/>
    <x v="13"/>
    <n v="3269.2289338076198"/>
    <n v="1193268.5608397799"/>
    <n v="4295766.8190232199"/>
  </r>
  <r>
    <x v="0"/>
    <x v="0"/>
    <x v="1"/>
    <x v="1"/>
    <x v="5"/>
    <s v="DE4-W_Offshore_A"/>
    <x v="6"/>
    <x v="5"/>
    <x v="12"/>
    <x v="0"/>
    <x v="14"/>
    <n v="3285.4973402055798"/>
    <n v="1199206.5291750401"/>
    <n v="4317143.5050301403"/>
  </r>
  <r>
    <x v="0"/>
    <x v="0"/>
    <x v="1"/>
    <x v="1"/>
    <x v="5"/>
    <s v="DE4-W_Offshore_A"/>
    <x v="6"/>
    <x v="5"/>
    <x v="12"/>
    <x v="0"/>
    <x v="15"/>
    <n v="3073.8021278371998"/>
    <n v="1121937.77666058"/>
    <n v="4038975.9959780802"/>
  </r>
  <r>
    <x v="0"/>
    <x v="0"/>
    <x v="1"/>
    <x v="1"/>
    <x v="5"/>
    <s v="DE4-W_Offshore_A"/>
    <x v="6"/>
    <x v="5"/>
    <x v="12"/>
    <x v="0"/>
    <x v="16"/>
    <n v="2778.3966977375499"/>
    <n v="1014114.79467421"/>
    <n v="3650813.26082714"/>
  </r>
  <r>
    <x v="0"/>
    <x v="0"/>
    <x v="1"/>
    <x v="1"/>
    <x v="5"/>
    <s v="DE4-W_Offshore_A"/>
    <x v="6"/>
    <x v="5"/>
    <x v="12"/>
    <x v="0"/>
    <x v="17"/>
    <n v="2302.0824699086902"/>
    <n v="840260.10151667194"/>
    <n v="3024936.36546002"/>
  </r>
  <r>
    <x v="0"/>
    <x v="0"/>
    <x v="1"/>
    <x v="1"/>
    <x v="5"/>
    <s v="DE4-W_Offshore_A"/>
    <x v="6"/>
    <x v="5"/>
    <x v="12"/>
    <x v="0"/>
    <x v="18"/>
    <n v="1768.7258550895201"/>
    <n v="645584.93710767501"/>
    <n v="2324105.7735876301"/>
  </r>
  <r>
    <x v="0"/>
    <x v="0"/>
    <x v="1"/>
    <x v="1"/>
    <x v="5"/>
    <s v="DE4-W_Offshore_A"/>
    <x v="6"/>
    <x v="5"/>
    <x v="12"/>
    <x v="0"/>
    <x v="19"/>
    <n v="1776.55116449613"/>
    <n v="648441.17504108895"/>
    <n v="2334388.2301479201"/>
  </r>
  <r>
    <x v="0"/>
    <x v="0"/>
    <x v="1"/>
    <x v="1"/>
    <x v="5"/>
    <s v="DE4-W_Offshore_A"/>
    <x v="6"/>
    <x v="5"/>
    <x v="12"/>
    <x v="0"/>
    <x v="20"/>
    <n v="1867.16001025692"/>
    <n v="681513.40374377603"/>
    <n v="2453448.2534775902"/>
  </r>
  <r>
    <x v="0"/>
    <x v="0"/>
    <x v="1"/>
    <x v="1"/>
    <x v="5"/>
    <s v="DE4-W_Offshore_A"/>
    <x v="6"/>
    <x v="5"/>
    <x v="12"/>
    <x v="0"/>
    <x v="21"/>
    <n v="2019.75354368588"/>
    <n v="737210.04344534595"/>
    <n v="2653956.1564032501"/>
  </r>
  <r>
    <x v="0"/>
    <x v="0"/>
    <x v="1"/>
    <x v="1"/>
    <x v="5"/>
    <s v="DE4-W_Offshore_A"/>
    <x v="6"/>
    <x v="5"/>
    <x v="12"/>
    <x v="0"/>
    <x v="22"/>
    <n v="2109.0238496797401"/>
    <n v="769793.70513310703"/>
    <n v="2771257.3384791799"/>
  </r>
  <r>
    <x v="0"/>
    <x v="0"/>
    <x v="1"/>
    <x v="1"/>
    <x v="5"/>
    <s v="DE4-W_Offshore_A"/>
    <x v="6"/>
    <x v="5"/>
    <x v="12"/>
    <x v="0"/>
    <x v="23"/>
    <n v="2134.5590698486899"/>
    <n v="779114.06049477297"/>
    <n v="2804810.61778118"/>
  </r>
  <r>
    <x v="0"/>
    <x v="0"/>
    <x v="1"/>
    <x v="2"/>
    <x v="6"/>
    <s v="NO1_A1"/>
    <x v="4"/>
    <x v="3"/>
    <x v="93"/>
    <x v="0"/>
    <x v="0"/>
    <n v="2216.1118908414901"/>
    <n v="808880.84015714505"/>
    <n v="2911971.02456572"/>
  </r>
  <r>
    <x v="0"/>
    <x v="0"/>
    <x v="1"/>
    <x v="2"/>
    <x v="6"/>
    <s v="NO1_A1"/>
    <x v="4"/>
    <x v="3"/>
    <x v="93"/>
    <x v="0"/>
    <x v="1"/>
    <n v="2109.27777336288"/>
    <n v="769886.38727745099"/>
    <n v="2771590.9941988201"/>
  </r>
  <r>
    <x v="0"/>
    <x v="0"/>
    <x v="1"/>
    <x v="2"/>
    <x v="6"/>
    <s v="NO1_A1"/>
    <x v="4"/>
    <x v="3"/>
    <x v="93"/>
    <x v="0"/>
    <x v="2"/>
    <n v="2097.4030064477201"/>
    <n v="765552.09735341603"/>
    <n v="2755987.5504723"/>
  </r>
  <r>
    <x v="0"/>
    <x v="0"/>
    <x v="1"/>
    <x v="2"/>
    <x v="6"/>
    <s v="NO1_A1"/>
    <x v="4"/>
    <x v="3"/>
    <x v="93"/>
    <x v="0"/>
    <x v="3"/>
    <n v="2242.01532485696"/>
    <n v="818335.59357279202"/>
    <n v="2946008.1368620498"/>
  </r>
  <r>
    <x v="0"/>
    <x v="0"/>
    <x v="1"/>
    <x v="2"/>
    <x v="6"/>
    <s v="NO1_A1"/>
    <x v="4"/>
    <x v="3"/>
    <x v="93"/>
    <x v="0"/>
    <x v="4"/>
    <n v="2299.6620063197902"/>
    <n v="839376.63230672199"/>
    <n v="3021755.8763041999"/>
  </r>
  <r>
    <x v="0"/>
    <x v="0"/>
    <x v="1"/>
    <x v="2"/>
    <x v="6"/>
    <s v="NO1_A1"/>
    <x v="4"/>
    <x v="3"/>
    <x v="93"/>
    <x v="0"/>
    <x v="5"/>
    <n v="2553.70396578803"/>
    <n v="932101.94751263096"/>
    <n v="3355567.0110454699"/>
  </r>
  <r>
    <x v="0"/>
    <x v="0"/>
    <x v="1"/>
    <x v="2"/>
    <x v="6"/>
    <s v="NO1_A1"/>
    <x v="4"/>
    <x v="3"/>
    <x v="93"/>
    <x v="0"/>
    <x v="6"/>
    <n v="3136.8176449652001"/>
    <n v="1144938.4404122999"/>
    <n v="4121778.3854842698"/>
  </r>
  <r>
    <x v="0"/>
    <x v="0"/>
    <x v="1"/>
    <x v="2"/>
    <x v="6"/>
    <s v="NO1_A1"/>
    <x v="4"/>
    <x v="3"/>
    <x v="93"/>
    <x v="0"/>
    <x v="7"/>
    <n v="3669.4731690131198"/>
    <n v="1339357.7066897899"/>
    <n v="4821687.7440832499"/>
  </r>
  <r>
    <x v="0"/>
    <x v="0"/>
    <x v="1"/>
    <x v="2"/>
    <x v="6"/>
    <s v="NO1_A1"/>
    <x v="4"/>
    <x v="3"/>
    <x v="93"/>
    <x v="0"/>
    <x v="8"/>
    <n v="3749.0027706297301"/>
    <n v="1368386.01127985"/>
    <n v="4926189.6406074697"/>
  </r>
  <r>
    <x v="0"/>
    <x v="0"/>
    <x v="1"/>
    <x v="2"/>
    <x v="6"/>
    <s v="NO1_A1"/>
    <x v="4"/>
    <x v="3"/>
    <x v="93"/>
    <x v="0"/>
    <x v="9"/>
    <n v="3720.91455354649"/>
    <n v="1358133.8120444701"/>
    <n v="4889281.7233600803"/>
  </r>
  <r>
    <x v="0"/>
    <x v="0"/>
    <x v="1"/>
    <x v="2"/>
    <x v="6"/>
    <s v="NO1_A1"/>
    <x v="4"/>
    <x v="3"/>
    <x v="93"/>
    <x v="0"/>
    <x v="10"/>
    <n v="3553.42721247282"/>
    <n v="1297000.93255258"/>
    <n v="4669203.35718928"/>
  </r>
  <r>
    <x v="0"/>
    <x v="0"/>
    <x v="1"/>
    <x v="2"/>
    <x v="6"/>
    <s v="NO1_A1"/>
    <x v="4"/>
    <x v="3"/>
    <x v="93"/>
    <x v="0"/>
    <x v="11"/>
    <n v="3377.62512116164"/>
    <n v="1232833.1692240001"/>
    <n v="4438199.4092063997"/>
  </r>
  <r>
    <x v="0"/>
    <x v="0"/>
    <x v="1"/>
    <x v="2"/>
    <x v="6"/>
    <s v="NO1_A1"/>
    <x v="4"/>
    <x v="3"/>
    <x v="93"/>
    <x v="0"/>
    <x v="12"/>
    <n v="3215.8002145413102"/>
    <n v="1173767.07830758"/>
    <n v="4225561.4819072802"/>
  </r>
  <r>
    <x v="0"/>
    <x v="0"/>
    <x v="1"/>
    <x v="2"/>
    <x v="6"/>
    <s v="NO1_A1"/>
    <x v="4"/>
    <x v="3"/>
    <x v="93"/>
    <x v="0"/>
    <x v="13"/>
    <n v="3083.7731103681099"/>
    <n v="1125577.1852843601"/>
    <n v="4052077.8670236901"/>
  </r>
  <r>
    <x v="0"/>
    <x v="0"/>
    <x v="1"/>
    <x v="2"/>
    <x v="6"/>
    <s v="NO1_A1"/>
    <x v="4"/>
    <x v="3"/>
    <x v="93"/>
    <x v="0"/>
    <x v="14"/>
    <n v="2990.6965532649801"/>
    <n v="1091604.24194172"/>
    <n v="3929775.2709901901"/>
  </r>
  <r>
    <x v="0"/>
    <x v="0"/>
    <x v="1"/>
    <x v="2"/>
    <x v="6"/>
    <s v="NO1_A1"/>
    <x v="4"/>
    <x v="3"/>
    <x v="93"/>
    <x v="0"/>
    <x v="15"/>
    <n v="2946.6162200119802"/>
    <n v="1075514.9203043701"/>
    <n v="3871853.7130957502"/>
  </r>
  <r>
    <x v="0"/>
    <x v="0"/>
    <x v="1"/>
    <x v="2"/>
    <x v="6"/>
    <s v="NO1_A1"/>
    <x v="4"/>
    <x v="3"/>
    <x v="93"/>
    <x v="0"/>
    <x v="16"/>
    <n v="3042.8046404154602"/>
    <n v="1110623.6937516399"/>
    <n v="3998245.29750591"/>
  </r>
  <r>
    <x v="0"/>
    <x v="0"/>
    <x v="1"/>
    <x v="2"/>
    <x v="6"/>
    <s v="NO1_A1"/>
    <x v="4"/>
    <x v="3"/>
    <x v="93"/>
    <x v="0"/>
    <x v="17"/>
    <n v="3073.1001416891399"/>
    <n v="1121681.55171653"/>
    <n v="4038053.58617952"/>
  </r>
  <r>
    <x v="0"/>
    <x v="0"/>
    <x v="1"/>
    <x v="2"/>
    <x v="6"/>
    <s v="NO1_A1"/>
    <x v="4"/>
    <x v="3"/>
    <x v="93"/>
    <x v="0"/>
    <x v="18"/>
    <n v="3247.2836951535601"/>
    <n v="1185258.54873105"/>
    <n v="4266930.7754317801"/>
  </r>
  <r>
    <x v="0"/>
    <x v="0"/>
    <x v="1"/>
    <x v="2"/>
    <x v="6"/>
    <s v="NO1_A1"/>
    <x v="4"/>
    <x v="3"/>
    <x v="93"/>
    <x v="0"/>
    <x v="19"/>
    <n v="3388.0027090690201"/>
    <n v="1236620.98881019"/>
    <n v="4451835.5597166903"/>
  </r>
  <r>
    <x v="0"/>
    <x v="0"/>
    <x v="1"/>
    <x v="2"/>
    <x v="6"/>
    <s v="NO1_A1"/>
    <x v="4"/>
    <x v="3"/>
    <x v="93"/>
    <x v="0"/>
    <x v="20"/>
    <n v="3278.6655889716299"/>
    <n v="1196712.93997465"/>
    <n v="4308166.5839087199"/>
  </r>
  <r>
    <x v="0"/>
    <x v="0"/>
    <x v="1"/>
    <x v="2"/>
    <x v="6"/>
    <s v="NO1_A1"/>
    <x v="4"/>
    <x v="3"/>
    <x v="93"/>
    <x v="0"/>
    <x v="21"/>
    <n v="3076.4487918821101"/>
    <n v="1122903.8090369699"/>
    <n v="4042453.7125331"/>
  </r>
  <r>
    <x v="0"/>
    <x v="0"/>
    <x v="1"/>
    <x v="2"/>
    <x v="6"/>
    <s v="NO1_A1"/>
    <x v="4"/>
    <x v="3"/>
    <x v="93"/>
    <x v="0"/>
    <x v="22"/>
    <n v="2823.8076540321899"/>
    <n v="1030689.79372175"/>
    <n v="3710483.2573982999"/>
  </r>
  <r>
    <x v="0"/>
    <x v="0"/>
    <x v="1"/>
    <x v="2"/>
    <x v="6"/>
    <s v="NO1_A1"/>
    <x v="4"/>
    <x v="3"/>
    <x v="93"/>
    <x v="0"/>
    <x v="23"/>
    <n v="2529.3737629234001"/>
    <n v="923221.42346704099"/>
    <n v="3323597.1244813502"/>
  </r>
  <r>
    <x v="0"/>
    <x v="0"/>
    <x v="1"/>
    <x v="2"/>
    <x v="6"/>
    <s v="NO1_A1"/>
    <x v="5"/>
    <x v="4"/>
    <x v="56"/>
    <x v="0"/>
    <x v="0"/>
    <n v="1358.2291834319101"/>
    <n v="495753.651952649"/>
    <n v="1784713.14702954"/>
  </r>
  <r>
    <x v="0"/>
    <x v="0"/>
    <x v="1"/>
    <x v="2"/>
    <x v="6"/>
    <s v="NO1_A1"/>
    <x v="5"/>
    <x v="4"/>
    <x v="56"/>
    <x v="0"/>
    <x v="1"/>
    <n v="1358.2291834319101"/>
    <n v="495753.651952649"/>
    <n v="1784713.14702954"/>
  </r>
  <r>
    <x v="0"/>
    <x v="0"/>
    <x v="1"/>
    <x v="2"/>
    <x v="6"/>
    <s v="NO1_A1"/>
    <x v="5"/>
    <x v="4"/>
    <x v="56"/>
    <x v="0"/>
    <x v="2"/>
    <n v="1358.2291834319101"/>
    <n v="495753.651952649"/>
    <n v="1784713.14702954"/>
  </r>
  <r>
    <x v="0"/>
    <x v="0"/>
    <x v="1"/>
    <x v="2"/>
    <x v="6"/>
    <s v="NO1_A1"/>
    <x v="5"/>
    <x v="4"/>
    <x v="56"/>
    <x v="0"/>
    <x v="3"/>
    <n v="1358.2291834319101"/>
    <n v="495753.651952649"/>
    <n v="1784713.14702954"/>
  </r>
  <r>
    <x v="0"/>
    <x v="0"/>
    <x v="1"/>
    <x v="2"/>
    <x v="6"/>
    <s v="NO1_A1"/>
    <x v="5"/>
    <x v="4"/>
    <x v="56"/>
    <x v="0"/>
    <x v="4"/>
    <n v="1358.2291834319101"/>
    <n v="495753.651952649"/>
    <n v="1784713.14702954"/>
  </r>
  <r>
    <x v="0"/>
    <x v="0"/>
    <x v="1"/>
    <x v="2"/>
    <x v="6"/>
    <s v="NO1_A1"/>
    <x v="5"/>
    <x v="4"/>
    <x v="56"/>
    <x v="0"/>
    <x v="5"/>
    <n v="1358.2291834319101"/>
    <n v="495753.651952649"/>
    <n v="1784713.14702954"/>
  </r>
  <r>
    <x v="0"/>
    <x v="0"/>
    <x v="1"/>
    <x v="2"/>
    <x v="6"/>
    <s v="NO1_A1"/>
    <x v="5"/>
    <x v="4"/>
    <x v="56"/>
    <x v="0"/>
    <x v="6"/>
    <n v="1358.2291834319101"/>
    <n v="495753.651952649"/>
    <n v="1784713.14702954"/>
  </r>
  <r>
    <x v="0"/>
    <x v="0"/>
    <x v="1"/>
    <x v="2"/>
    <x v="6"/>
    <s v="NO1_A1"/>
    <x v="5"/>
    <x v="4"/>
    <x v="56"/>
    <x v="0"/>
    <x v="7"/>
    <n v="1358.2291834319101"/>
    <n v="495753.651952649"/>
    <n v="1784713.14702954"/>
  </r>
  <r>
    <x v="0"/>
    <x v="0"/>
    <x v="1"/>
    <x v="2"/>
    <x v="6"/>
    <s v="NO1_A1"/>
    <x v="5"/>
    <x v="4"/>
    <x v="56"/>
    <x v="0"/>
    <x v="8"/>
    <n v="1358.2291834319101"/>
    <n v="495753.651952649"/>
    <n v="1784713.14702954"/>
  </r>
  <r>
    <x v="0"/>
    <x v="0"/>
    <x v="1"/>
    <x v="2"/>
    <x v="6"/>
    <s v="NO1_A1"/>
    <x v="5"/>
    <x v="4"/>
    <x v="56"/>
    <x v="0"/>
    <x v="9"/>
    <n v="1358.2291834319101"/>
    <n v="495753.651952649"/>
    <n v="1784713.14702954"/>
  </r>
  <r>
    <x v="0"/>
    <x v="0"/>
    <x v="1"/>
    <x v="2"/>
    <x v="6"/>
    <s v="NO1_A1"/>
    <x v="5"/>
    <x v="4"/>
    <x v="56"/>
    <x v="0"/>
    <x v="10"/>
    <n v="1358.2291834319101"/>
    <n v="495753.651952649"/>
    <n v="1784713.14702954"/>
  </r>
  <r>
    <x v="0"/>
    <x v="0"/>
    <x v="1"/>
    <x v="2"/>
    <x v="6"/>
    <s v="NO1_A1"/>
    <x v="5"/>
    <x v="4"/>
    <x v="56"/>
    <x v="0"/>
    <x v="11"/>
    <n v="1358.2291834319101"/>
    <n v="495753.651952649"/>
    <n v="1784713.14702954"/>
  </r>
  <r>
    <x v="0"/>
    <x v="0"/>
    <x v="1"/>
    <x v="2"/>
    <x v="6"/>
    <s v="NO1_A1"/>
    <x v="5"/>
    <x v="4"/>
    <x v="56"/>
    <x v="0"/>
    <x v="12"/>
    <n v="1358.2291834319101"/>
    <n v="495753.651952649"/>
    <n v="1784713.14702954"/>
  </r>
  <r>
    <x v="0"/>
    <x v="0"/>
    <x v="1"/>
    <x v="2"/>
    <x v="6"/>
    <s v="NO1_A1"/>
    <x v="5"/>
    <x v="4"/>
    <x v="56"/>
    <x v="0"/>
    <x v="13"/>
    <n v="1358.2291834319101"/>
    <n v="495753.651952649"/>
    <n v="1784713.14702954"/>
  </r>
  <r>
    <x v="0"/>
    <x v="0"/>
    <x v="1"/>
    <x v="2"/>
    <x v="6"/>
    <s v="NO1_A1"/>
    <x v="5"/>
    <x v="4"/>
    <x v="56"/>
    <x v="0"/>
    <x v="14"/>
    <n v="1358.2291834319101"/>
    <n v="495753.651952649"/>
    <n v="1784713.14702954"/>
  </r>
  <r>
    <x v="0"/>
    <x v="0"/>
    <x v="1"/>
    <x v="2"/>
    <x v="6"/>
    <s v="NO1_A1"/>
    <x v="5"/>
    <x v="4"/>
    <x v="56"/>
    <x v="0"/>
    <x v="15"/>
    <n v="1358.2291834319101"/>
    <n v="495753.651952649"/>
    <n v="1784713.14702954"/>
  </r>
  <r>
    <x v="0"/>
    <x v="0"/>
    <x v="1"/>
    <x v="2"/>
    <x v="6"/>
    <s v="NO1_A1"/>
    <x v="5"/>
    <x v="4"/>
    <x v="56"/>
    <x v="0"/>
    <x v="16"/>
    <n v="1358.2291834319101"/>
    <n v="495753.651952649"/>
    <n v="1784713.14702954"/>
  </r>
  <r>
    <x v="0"/>
    <x v="0"/>
    <x v="1"/>
    <x v="2"/>
    <x v="6"/>
    <s v="NO1_A1"/>
    <x v="5"/>
    <x v="4"/>
    <x v="56"/>
    <x v="0"/>
    <x v="17"/>
    <n v="1358.2291834319101"/>
    <n v="495753.651952649"/>
    <n v="1784713.14702954"/>
  </r>
  <r>
    <x v="0"/>
    <x v="0"/>
    <x v="1"/>
    <x v="2"/>
    <x v="6"/>
    <s v="NO1_A1"/>
    <x v="5"/>
    <x v="4"/>
    <x v="56"/>
    <x v="0"/>
    <x v="18"/>
    <n v="1358.2291834319101"/>
    <n v="495753.651952649"/>
    <n v="1784713.14702954"/>
  </r>
  <r>
    <x v="0"/>
    <x v="0"/>
    <x v="1"/>
    <x v="2"/>
    <x v="6"/>
    <s v="NO1_A1"/>
    <x v="5"/>
    <x v="4"/>
    <x v="56"/>
    <x v="0"/>
    <x v="19"/>
    <n v="1358.2291834319101"/>
    <n v="495753.651952649"/>
    <n v="1784713.14702954"/>
  </r>
  <r>
    <x v="0"/>
    <x v="0"/>
    <x v="1"/>
    <x v="2"/>
    <x v="6"/>
    <s v="NO1_A1"/>
    <x v="5"/>
    <x v="4"/>
    <x v="56"/>
    <x v="0"/>
    <x v="20"/>
    <n v="1358.2291834319101"/>
    <n v="495753.651952649"/>
    <n v="1784713.14702954"/>
  </r>
  <r>
    <x v="0"/>
    <x v="0"/>
    <x v="1"/>
    <x v="2"/>
    <x v="6"/>
    <s v="NO1_A1"/>
    <x v="5"/>
    <x v="4"/>
    <x v="56"/>
    <x v="0"/>
    <x v="21"/>
    <n v="1358.2291834319101"/>
    <n v="495753.651952649"/>
    <n v="1784713.14702954"/>
  </r>
  <r>
    <x v="0"/>
    <x v="0"/>
    <x v="1"/>
    <x v="2"/>
    <x v="6"/>
    <s v="NO1_A1"/>
    <x v="5"/>
    <x v="4"/>
    <x v="56"/>
    <x v="0"/>
    <x v="22"/>
    <n v="1358.2291834319101"/>
    <n v="495753.651952649"/>
    <n v="1784713.14702954"/>
  </r>
  <r>
    <x v="0"/>
    <x v="0"/>
    <x v="1"/>
    <x v="2"/>
    <x v="6"/>
    <s v="NO1_A1"/>
    <x v="5"/>
    <x v="4"/>
    <x v="56"/>
    <x v="0"/>
    <x v="23"/>
    <n v="1358.2291834319101"/>
    <n v="495753.651952649"/>
    <n v="1784713.14702954"/>
  </r>
  <r>
    <x v="0"/>
    <x v="0"/>
    <x v="1"/>
    <x v="2"/>
    <x v="6"/>
    <s v="NO1_A1"/>
    <x v="6"/>
    <x v="5"/>
    <x v="11"/>
    <x v="0"/>
    <x v="0"/>
    <n v="75.520156117458797"/>
    <n v="27564.856982872501"/>
    <n v="99233.485138340795"/>
  </r>
  <r>
    <x v="0"/>
    <x v="0"/>
    <x v="1"/>
    <x v="2"/>
    <x v="6"/>
    <s v="NO1_A1"/>
    <x v="6"/>
    <x v="5"/>
    <x v="11"/>
    <x v="0"/>
    <x v="1"/>
    <n v="77.119327496064699"/>
    <n v="28148.554536063599"/>
    <n v="101334.796329829"/>
  </r>
  <r>
    <x v="0"/>
    <x v="0"/>
    <x v="1"/>
    <x v="2"/>
    <x v="6"/>
    <s v="NO1_A1"/>
    <x v="6"/>
    <x v="5"/>
    <x v="11"/>
    <x v="0"/>
    <x v="2"/>
    <n v="108.66812767787999"/>
    <n v="39663.8666024263"/>
    <n v="142789.91976873501"/>
  </r>
  <r>
    <x v="0"/>
    <x v="0"/>
    <x v="1"/>
    <x v="2"/>
    <x v="6"/>
    <s v="NO1_A1"/>
    <x v="6"/>
    <x v="5"/>
    <x v="11"/>
    <x v="0"/>
    <x v="3"/>
    <n v="96.006231299021294"/>
    <n v="35042.274424142801"/>
    <n v="126152.187926914"/>
  </r>
  <r>
    <x v="0"/>
    <x v="0"/>
    <x v="1"/>
    <x v="2"/>
    <x v="6"/>
    <s v="NO1_A1"/>
    <x v="6"/>
    <x v="5"/>
    <x v="11"/>
    <x v="0"/>
    <x v="4"/>
    <n v="115.251748343622"/>
    <n v="42066.888145421901"/>
    <n v="151440.79732351899"/>
  </r>
  <r>
    <x v="0"/>
    <x v="0"/>
    <x v="1"/>
    <x v="2"/>
    <x v="6"/>
    <s v="NO1_A1"/>
    <x v="6"/>
    <x v="5"/>
    <x v="11"/>
    <x v="0"/>
    <x v="5"/>
    <n v="115.04483801174101"/>
    <n v="41991.3658742853"/>
    <n v="151168.91714742701"/>
  </r>
  <r>
    <x v="0"/>
    <x v="0"/>
    <x v="1"/>
    <x v="2"/>
    <x v="6"/>
    <s v="NO1_A1"/>
    <x v="6"/>
    <x v="5"/>
    <x v="11"/>
    <x v="0"/>
    <x v="6"/>
    <n v="113.771144575256"/>
    <n v="41526.467769968302"/>
    <n v="149495.28397188601"/>
  </r>
  <r>
    <x v="0"/>
    <x v="0"/>
    <x v="1"/>
    <x v="2"/>
    <x v="6"/>
    <s v="NO1_A1"/>
    <x v="6"/>
    <x v="5"/>
    <x v="11"/>
    <x v="0"/>
    <x v="7"/>
    <n v="112.17649246827"/>
    <n v="40944.4197509187"/>
    <n v="147399.91110330701"/>
  </r>
  <r>
    <x v="0"/>
    <x v="0"/>
    <x v="1"/>
    <x v="2"/>
    <x v="6"/>
    <s v="NO1_A1"/>
    <x v="6"/>
    <x v="5"/>
    <x v="11"/>
    <x v="0"/>
    <x v="8"/>
    <n v="99.333590222460202"/>
    <n v="36256.760431198003"/>
    <n v="130524.33755231299"/>
  </r>
  <r>
    <x v="0"/>
    <x v="0"/>
    <x v="1"/>
    <x v="2"/>
    <x v="6"/>
    <s v="NO1_A1"/>
    <x v="6"/>
    <x v="5"/>
    <x v="11"/>
    <x v="0"/>
    <x v="9"/>
    <n v="11.1613897382756"/>
    <n v="4073.90725447058"/>
    <n v="14666.0661160941"/>
  </r>
  <r>
    <x v="0"/>
    <x v="0"/>
    <x v="1"/>
    <x v="2"/>
    <x v="6"/>
    <s v="NO1_A1"/>
    <x v="6"/>
    <x v="5"/>
    <x v="11"/>
    <x v="0"/>
    <x v="10"/>
    <n v="8.9435481518855493"/>
    <n v="3264.3950754382199"/>
    <n v="11751.822271577599"/>
  </r>
  <r>
    <x v="0"/>
    <x v="0"/>
    <x v="1"/>
    <x v="2"/>
    <x v="6"/>
    <s v="NO1_A1"/>
    <x v="6"/>
    <x v="5"/>
    <x v="11"/>
    <x v="0"/>
    <x v="11"/>
    <n v="28.359260965720601"/>
    <n v="10351.130252487999"/>
    <n v="37264.068908956899"/>
  </r>
  <r>
    <x v="0"/>
    <x v="0"/>
    <x v="1"/>
    <x v="2"/>
    <x v="6"/>
    <s v="NO1_A1"/>
    <x v="6"/>
    <x v="5"/>
    <x v="11"/>
    <x v="0"/>
    <x v="12"/>
    <n v="28.284114517212"/>
    <n v="10323.7017987824"/>
    <n v="37165.326475616603"/>
  </r>
  <r>
    <x v="0"/>
    <x v="0"/>
    <x v="1"/>
    <x v="2"/>
    <x v="6"/>
    <s v="NO1_A1"/>
    <x v="6"/>
    <x v="5"/>
    <x v="11"/>
    <x v="0"/>
    <x v="13"/>
    <n v="28.798064163001801"/>
    <n v="10511.2934194956"/>
    <n v="37840.656310184298"/>
  </r>
  <r>
    <x v="0"/>
    <x v="0"/>
    <x v="1"/>
    <x v="2"/>
    <x v="6"/>
    <s v="NO1_A1"/>
    <x v="6"/>
    <x v="5"/>
    <x v="11"/>
    <x v="0"/>
    <x v="14"/>
    <n v="44.3168994437602"/>
    <n v="16175.668296972501"/>
    <n v="58232.405869101"/>
  </r>
  <r>
    <x v="0"/>
    <x v="0"/>
    <x v="1"/>
    <x v="2"/>
    <x v="6"/>
    <s v="NO1_A1"/>
    <x v="6"/>
    <x v="5"/>
    <x v="11"/>
    <x v="0"/>
    <x v="15"/>
    <n v="65.879645896232603"/>
    <n v="24046.070752124899"/>
    <n v="86565.854707649603"/>
  </r>
  <r>
    <x v="0"/>
    <x v="0"/>
    <x v="1"/>
    <x v="2"/>
    <x v="6"/>
    <s v="NO1_A1"/>
    <x v="6"/>
    <x v="5"/>
    <x v="11"/>
    <x v="0"/>
    <x v="16"/>
    <n v="74.484610218297107"/>
    <n v="27186.8827296784"/>
    <n v="97872.777826842299"/>
  </r>
  <r>
    <x v="0"/>
    <x v="0"/>
    <x v="1"/>
    <x v="2"/>
    <x v="6"/>
    <s v="NO1_A1"/>
    <x v="6"/>
    <x v="5"/>
    <x v="11"/>
    <x v="0"/>
    <x v="17"/>
    <n v="109.17681689150299"/>
    <n v="39849.538165398801"/>
    <n v="143458.33739543601"/>
  </r>
  <r>
    <x v="0"/>
    <x v="0"/>
    <x v="1"/>
    <x v="2"/>
    <x v="6"/>
    <s v="NO1_A1"/>
    <x v="6"/>
    <x v="5"/>
    <x v="11"/>
    <x v="0"/>
    <x v="18"/>
    <n v="113.201517503099"/>
    <n v="41318.553888631199"/>
    <n v="148746.79399907199"/>
  </r>
  <r>
    <x v="0"/>
    <x v="0"/>
    <x v="1"/>
    <x v="2"/>
    <x v="6"/>
    <s v="NO1_A1"/>
    <x v="6"/>
    <x v="5"/>
    <x v="11"/>
    <x v="0"/>
    <x v="19"/>
    <n v="116.415822327675"/>
    <n v="42491.775149601497"/>
    <n v="152970.390538565"/>
  </r>
  <r>
    <x v="0"/>
    <x v="0"/>
    <x v="1"/>
    <x v="2"/>
    <x v="6"/>
    <s v="NO1_A1"/>
    <x v="6"/>
    <x v="5"/>
    <x v="11"/>
    <x v="0"/>
    <x v="20"/>
    <n v="116.591115835298"/>
    <n v="42555.757279883801"/>
    <n v="153200.72620758199"/>
  </r>
  <r>
    <x v="0"/>
    <x v="0"/>
    <x v="1"/>
    <x v="2"/>
    <x v="6"/>
    <s v="NO1_A1"/>
    <x v="6"/>
    <x v="5"/>
    <x v="11"/>
    <x v="0"/>
    <x v="21"/>
    <n v="116.707134576344"/>
    <n v="42598.104120365599"/>
    <n v="153353.17483331601"/>
  </r>
  <r>
    <x v="0"/>
    <x v="0"/>
    <x v="1"/>
    <x v="2"/>
    <x v="6"/>
    <s v="NO1_A1"/>
    <x v="6"/>
    <x v="5"/>
    <x v="11"/>
    <x v="0"/>
    <x v="22"/>
    <n v="116.611904484753"/>
    <n v="42563.345136934899"/>
    <n v="153228.04249296599"/>
  </r>
  <r>
    <x v="0"/>
    <x v="0"/>
    <x v="1"/>
    <x v="2"/>
    <x v="6"/>
    <s v="NO1_A1"/>
    <x v="6"/>
    <x v="5"/>
    <x v="11"/>
    <x v="0"/>
    <x v="23"/>
    <n v="116.60389633544099"/>
    <n v="42560.422162436102"/>
    <n v="153217.51978477"/>
  </r>
  <r>
    <x v="0"/>
    <x v="0"/>
    <x v="1"/>
    <x v="2"/>
    <x v="6"/>
    <s v="NO1_A2"/>
    <x v="1"/>
    <x v="1"/>
    <x v="58"/>
    <x v="0"/>
    <x v="0"/>
    <n v="-217.80904766092701"/>
    <n v="-79500.302396238199"/>
    <n v="-286201.08862645802"/>
  </r>
  <r>
    <x v="0"/>
    <x v="0"/>
    <x v="1"/>
    <x v="2"/>
    <x v="6"/>
    <s v="NO1_A2"/>
    <x v="1"/>
    <x v="1"/>
    <x v="58"/>
    <x v="0"/>
    <x v="1"/>
    <n v="-220.83173040961401"/>
    <n v="-80603.581599509096"/>
    <n v="-290172.893758233"/>
  </r>
  <r>
    <x v="0"/>
    <x v="0"/>
    <x v="1"/>
    <x v="2"/>
    <x v="6"/>
    <s v="NO1_A2"/>
    <x v="1"/>
    <x v="1"/>
    <x v="58"/>
    <x v="0"/>
    <x v="2"/>
    <n v="-223.18454306047599"/>
    <n v="-81462.358217073604"/>
    <n v="-293264.48958146502"/>
  </r>
  <r>
    <x v="0"/>
    <x v="0"/>
    <x v="1"/>
    <x v="2"/>
    <x v="6"/>
    <s v="NO1_A2"/>
    <x v="1"/>
    <x v="1"/>
    <x v="58"/>
    <x v="0"/>
    <x v="3"/>
    <n v="-251.02040816326499"/>
    <n v="-91622.448979591805"/>
    <n v="-329840.816326531"/>
  </r>
  <r>
    <x v="0"/>
    <x v="0"/>
    <x v="1"/>
    <x v="2"/>
    <x v="6"/>
    <s v="NO1_A2"/>
    <x v="1"/>
    <x v="1"/>
    <x v="58"/>
    <x v="0"/>
    <x v="4"/>
    <n v="-251.02040816326499"/>
    <n v="-91622.448979591805"/>
    <n v="-329840.816326531"/>
  </r>
  <r>
    <x v="0"/>
    <x v="0"/>
    <x v="1"/>
    <x v="2"/>
    <x v="6"/>
    <s v="NO1_A2"/>
    <x v="1"/>
    <x v="1"/>
    <x v="58"/>
    <x v="0"/>
    <x v="5"/>
    <n v="-251.02040816326499"/>
    <n v="-91622.448979591805"/>
    <n v="-329840.816326531"/>
  </r>
  <r>
    <x v="0"/>
    <x v="0"/>
    <x v="1"/>
    <x v="2"/>
    <x v="6"/>
    <s v="NO1_A2"/>
    <x v="1"/>
    <x v="1"/>
    <x v="58"/>
    <x v="0"/>
    <x v="6"/>
    <n v="-251.02040816326499"/>
    <n v="-91622.448979591805"/>
    <n v="-329840.816326531"/>
  </r>
  <r>
    <x v="0"/>
    <x v="0"/>
    <x v="1"/>
    <x v="2"/>
    <x v="6"/>
    <s v="NO1_A2"/>
    <x v="1"/>
    <x v="1"/>
    <x v="58"/>
    <x v="0"/>
    <x v="7"/>
    <n v="-251.02040816326499"/>
    <n v="-91622.448979591805"/>
    <n v="-329840.816326531"/>
  </r>
  <r>
    <x v="0"/>
    <x v="0"/>
    <x v="1"/>
    <x v="2"/>
    <x v="6"/>
    <s v="NO1_A2"/>
    <x v="1"/>
    <x v="1"/>
    <x v="58"/>
    <x v="0"/>
    <x v="8"/>
    <n v="-251.02040816326499"/>
    <n v="-91622.448979591805"/>
    <n v="-329840.816326531"/>
  </r>
  <r>
    <x v="0"/>
    <x v="0"/>
    <x v="1"/>
    <x v="2"/>
    <x v="6"/>
    <s v="NO1_A2"/>
    <x v="1"/>
    <x v="1"/>
    <x v="58"/>
    <x v="0"/>
    <x v="9"/>
    <n v="-251.02040816326499"/>
    <n v="-91622.448979591805"/>
    <n v="-329840.816326531"/>
  </r>
  <r>
    <x v="0"/>
    <x v="0"/>
    <x v="1"/>
    <x v="2"/>
    <x v="6"/>
    <s v="NO1_A2"/>
    <x v="1"/>
    <x v="1"/>
    <x v="58"/>
    <x v="0"/>
    <x v="10"/>
    <n v="-251.02040816326499"/>
    <n v="-91622.448979591805"/>
    <n v="-329840.816326531"/>
  </r>
  <r>
    <x v="0"/>
    <x v="0"/>
    <x v="1"/>
    <x v="2"/>
    <x v="6"/>
    <s v="NO1_A2"/>
    <x v="1"/>
    <x v="1"/>
    <x v="58"/>
    <x v="0"/>
    <x v="11"/>
    <n v="-251.02040816326499"/>
    <n v="-91622.448979591805"/>
    <n v="-329840.816326531"/>
  </r>
  <r>
    <x v="0"/>
    <x v="0"/>
    <x v="1"/>
    <x v="2"/>
    <x v="6"/>
    <s v="NO1_A2"/>
    <x v="1"/>
    <x v="1"/>
    <x v="58"/>
    <x v="0"/>
    <x v="12"/>
    <n v="-251.02040816326499"/>
    <n v="-91622.448979591805"/>
    <n v="-329840.816326531"/>
  </r>
  <r>
    <x v="0"/>
    <x v="0"/>
    <x v="1"/>
    <x v="2"/>
    <x v="6"/>
    <s v="NO1_A2"/>
    <x v="1"/>
    <x v="1"/>
    <x v="58"/>
    <x v="0"/>
    <x v="13"/>
    <n v="-251.02040816326499"/>
    <n v="-91622.448979591805"/>
    <n v="-329840.816326531"/>
  </r>
  <r>
    <x v="0"/>
    <x v="0"/>
    <x v="1"/>
    <x v="2"/>
    <x v="6"/>
    <s v="NO1_A2"/>
    <x v="1"/>
    <x v="1"/>
    <x v="58"/>
    <x v="0"/>
    <x v="14"/>
    <n v="-251.02040816326499"/>
    <n v="-91622.448979591805"/>
    <n v="-329840.816326531"/>
  </r>
  <r>
    <x v="0"/>
    <x v="0"/>
    <x v="1"/>
    <x v="2"/>
    <x v="6"/>
    <s v="NO1_A2"/>
    <x v="1"/>
    <x v="1"/>
    <x v="58"/>
    <x v="0"/>
    <x v="15"/>
    <n v="-251.02040816326499"/>
    <n v="-91622.448979591805"/>
    <n v="-329840.816326531"/>
  </r>
  <r>
    <x v="0"/>
    <x v="0"/>
    <x v="1"/>
    <x v="2"/>
    <x v="6"/>
    <s v="NO1_A2"/>
    <x v="1"/>
    <x v="1"/>
    <x v="58"/>
    <x v="0"/>
    <x v="16"/>
    <n v="-251.02040816326499"/>
    <n v="-91622.448979591805"/>
    <n v="-329840.816326531"/>
  </r>
  <r>
    <x v="0"/>
    <x v="0"/>
    <x v="1"/>
    <x v="2"/>
    <x v="6"/>
    <s v="NO1_A2"/>
    <x v="1"/>
    <x v="1"/>
    <x v="58"/>
    <x v="0"/>
    <x v="17"/>
    <n v="-251.02040816326499"/>
    <n v="-91622.448979591805"/>
    <n v="-329840.816326531"/>
  </r>
  <r>
    <x v="0"/>
    <x v="0"/>
    <x v="1"/>
    <x v="2"/>
    <x v="6"/>
    <s v="NO1_A2"/>
    <x v="1"/>
    <x v="1"/>
    <x v="58"/>
    <x v="0"/>
    <x v="18"/>
    <n v="-251.02040816326499"/>
    <n v="-91622.448979591805"/>
    <n v="-329840.816326531"/>
  </r>
  <r>
    <x v="0"/>
    <x v="0"/>
    <x v="1"/>
    <x v="2"/>
    <x v="6"/>
    <s v="NO1_A2"/>
    <x v="1"/>
    <x v="1"/>
    <x v="58"/>
    <x v="0"/>
    <x v="19"/>
    <n v="-251.02040816326499"/>
    <n v="-91622.448979591805"/>
    <n v="-329840.816326531"/>
  </r>
  <r>
    <x v="0"/>
    <x v="0"/>
    <x v="1"/>
    <x v="2"/>
    <x v="6"/>
    <s v="NO1_A2"/>
    <x v="1"/>
    <x v="1"/>
    <x v="58"/>
    <x v="0"/>
    <x v="20"/>
    <n v="-248.38408836061799"/>
    <n v="-90660.192251625602"/>
    <n v="-326376.69210585201"/>
  </r>
  <r>
    <x v="0"/>
    <x v="0"/>
    <x v="1"/>
    <x v="2"/>
    <x v="6"/>
    <s v="NO1_A2"/>
    <x v="1"/>
    <x v="1"/>
    <x v="58"/>
    <x v="0"/>
    <x v="21"/>
    <n v="-242.01310297059101"/>
    <n v="-88334.782584265602"/>
    <n v="-318005.21730335598"/>
  </r>
  <r>
    <x v="0"/>
    <x v="0"/>
    <x v="1"/>
    <x v="2"/>
    <x v="6"/>
    <s v="NO1_A2"/>
    <x v="1"/>
    <x v="1"/>
    <x v="58"/>
    <x v="0"/>
    <x v="22"/>
    <n v="-251.02040816326499"/>
    <n v="-91622.448979591805"/>
    <n v="-329840.816326531"/>
  </r>
  <r>
    <x v="0"/>
    <x v="0"/>
    <x v="1"/>
    <x v="2"/>
    <x v="6"/>
    <s v="NO1_A2"/>
    <x v="1"/>
    <x v="1"/>
    <x v="58"/>
    <x v="0"/>
    <x v="23"/>
    <n v="-248.10015215636099"/>
    <n v="-90556.555537071894"/>
    <n v="-326003.59993345902"/>
  </r>
  <r>
    <x v="0"/>
    <x v="0"/>
    <x v="1"/>
    <x v="2"/>
    <x v="6"/>
    <s v="NO1_A2"/>
    <x v="1"/>
    <x v="1"/>
    <x v="54"/>
    <x v="0"/>
    <x v="0"/>
    <n v="-11.1111111111111"/>
    <n v="-4055.5555555555602"/>
    <n v="-14600"/>
  </r>
  <r>
    <x v="0"/>
    <x v="0"/>
    <x v="1"/>
    <x v="2"/>
    <x v="6"/>
    <s v="NO1_A2"/>
    <x v="1"/>
    <x v="1"/>
    <x v="54"/>
    <x v="0"/>
    <x v="1"/>
    <n v="-11.1111111111111"/>
    <n v="-4055.5555555555602"/>
    <n v="-14600"/>
  </r>
  <r>
    <x v="0"/>
    <x v="0"/>
    <x v="1"/>
    <x v="2"/>
    <x v="6"/>
    <s v="NO1_A2"/>
    <x v="1"/>
    <x v="1"/>
    <x v="54"/>
    <x v="0"/>
    <x v="2"/>
    <n v="-11.1111111111111"/>
    <n v="-4055.5555555555602"/>
    <n v="-14600"/>
  </r>
  <r>
    <x v="0"/>
    <x v="0"/>
    <x v="1"/>
    <x v="2"/>
    <x v="6"/>
    <s v="NO1_A2"/>
    <x v="1"/>
    <x v="1"/>
    <x v="54"/>
    <x v="0"/>
    <x v="3"/>
    <n v="-8.7001612515942295"/>
    <n v="-3175.5588568318899"/>
    <n v="-11432.0118845948"/>
  </r>
  <r>
    <x v="0"/>
    <x v="0"/>
    <x v="1"/>
    <x v="2"/>
    <x v="6"/>
    <s v="NO1_A2"/>
    <x v="1"/>
    <x v="1"/>
    <x v="54"/>
    <x v="0"/>
    <x v="4"/>
    <n v="-11.1111111111111"/>
    <n v="-4055.5555555555602"/>
    <n v="-14600"/>
  </r>
  <r>
    <x v="0"/>
    <x v="0"/>
    <x v="1"/>
    <x v="2"/>
    <x v="6"/>
    <s v="NO1_A2"/>
    <x v="1"/>
    <x v="1"/>
    <x v="54"/>
    <x v="0"/>
    <x v="5"/>
    <n v="-11.1111111111111"/>
    <n v="-4055.5555555555602"/>
    <n v="-14600"/>
  </r>
  <r>
    <x v="0"/>
    <x v="0"/>
    <x v="1"/>
    <x v="2"/>
    <x v="6"/>
    <s v="NO1_A2"/>
    <x v="1"/>
    <x v="1"/>
    <x v="54"/>
    <x v="0"/>
    <x v="6"/>
    <n v="-11.1111111111111"/>
    <n v="-4055.5555555555602"/>
    <n v="-14600"/>
  </r>
  <r>
    <x v="0"/>
    <x v="0"/>
    <x v="1"/>
    <x v="2"/>
    <x v="6"/>
    <s v="NO1_A2"/>
    <x v="1"/>
    <x v="1"/>
    <x v="54"/>
    <x v="0"/>
    <x v="7"/>
    <n v="-11.1111111111111"/>
    <n v="-4055.5555555555602"/>
    <n v="-14600"/>
  </r>
  <r>
    <x v="0"/>
    <x v="0"/>
    <x v="1"/>
    <x v="2"/>
    <x v="6"/>
    <s v="NO1_A2"/>
    <x v="1"/>
    <x v="1"/>
    <x v="54"/>
    <x v="0"/>
    <x v="8"/>
    <n v="-11.1111111111111"/>
    <n v="-4055.5555555555602"/>
    <n v="-14600"/>
  </r>
  <r>
    <x v="0"/>
    <x v="0"/>
    <x v="1"/>
    <x v="2"/>
    <x v="6"/>
    <s v="NO1_A2"/>
    <x v="1"/>
    <x v="1"/>
    <x v="54"/>
    <x v="0"/>
    <x v="9"/>
    <n v="-11.1111111111111"/>
    <n v="-4055.5555555555602"/>
    <n v="-14600"/>
  </r>
  <r>
    <x v="0"/>
    <x v="0"/>
    <x v="1"/>
    <x v="2"/>
    <x v="6"/>
    <s v="NO1_A2"/>
    <x v="1"/>
    <x v="1"/>
    <x v="54"/>
    <x v="0"/>
    <x v="10"/>
    <n v="-11.1111111111111"/>
    <n v="-4055.5555555555602"/>
    <n v="-14600"/>
  </r>
  <r>
    <x v="0"/>
    <x v="0"/>
    <x v="1"/>
    <x v="2"/>
    <x v="6"/>
    <s v="NO1_A2"/>
    <x v="1"/>
    <x v="1"/>
    <x v="54"/>
    <x v="0"/>
    <x v="11"/>
    <n v="-11.1111111111111"/>
    <n v="-4055.5555555555602"/>
    <n v="-14600"/>
  </r>
  <r>
    <x v="0"/>
    <x v="0"/>
    <x v="1"/>
    <x v="2"/>
    <x v="6"/>
    <s v="NO1_A2"/>
    <x v="1"/>
    <x v="1"/>
    <x v="54"/>
    <x v="0"/>
    <x v="12"/>
    <n v="-11.1111111111111"/>
    <n v="-4055.5555555555602"/>
    <n v="-14600"/>
  </r>
  <r>
    <x v="0"/>
    <x v="0"/>
    <x v="1"/>
    <x v="2"/>
    <x v="6"/>
    <s v="NO1_A2"/>
    <x v="1"/>
    <x v="1"/>
    <x v="54"/>
    <x v="0"/>
    <x v="13"/>
    <n v="-11.1111111111111"/>
    <n v="-4055.5555555555602"/>
    <n v="-14600"/>
  </r>
  <r>
    <x v="0"/>
    <x v="0"/>
    <x v="1"/>
    <x v="2"/>
    <x v="6"/>
    <s v="NO1_A2"/>
    <x v="1"/>
    <x v="1"/>
    <x v="54"/>
    <x v="0"/>
    <x v="14"/>
    <n v="-11.1111111111111"/>
    <n v="-4055.5555555555602"/>
    <n v="-14600"/>
  </r>
  <r>
    <x v="0"/>
    <x v="0"/>
    <x v="1"/>
    <x v="2"/>
    <x v="6"/>
    <s v="NO1_A2"/>
    <x v="1"/>
    <x v="1"/>
    <x v="54"/>
    <x v="0"/>
    <x v="15"/>
    <n v="-11.1111111111111"/>
    <n v="-4055.5555555555602"/>
    <n v="-14600"/>
  </r>
  <r>
    <x v="0"/>
    <x v="0"/>
    <x v="1"/>
    <x v="2"/>
    <x v="6"/>
    <s v="NO1_A2"/>
    <x v="1"/>
    <x v="1"/>
    <x v="54"/>
    <x v="0"/>
    <x v="16"/>
    <n v="-11.1111111111111"/>
    <n v="-4055.5555555555602"/>
    <n v="-14600"/>
  </r>
  <r>
    <x v="0"/>
    <x v="0"/>
    <x v="1"/>
    <x v="2"/>
    <x v="6"/>
    <s v="NO1_A2"/>
    <x v="1"/>
    <x v="1"/>
    <x v="54"/>
    <x v="0"/>
    <x v="17"/>
    <n v="-10.278180717988899"/>
    <n v="-3751.5359620659601"/>
    <n v="-13505.5294634374"/>
  </r>
  <r>
    <x v="0"/>
    <x v="0"/>
    <x v="1"/>
    <x v="2"/>
    <x v="6"/>
    <s v="NO1_A2"/>
    <x v="1"/>
    <x v="1"/>
    <x v="54"/>
    <x v="0"/>
    <x v="18"/>
    <n v="-10.9439234821479"/>
    <n v="-3994.5320709839798"/>
    <n v="-14380.315455542301"/>
  </r>
  <r>
    <x v="0"/>
    <x v="0"/>
    <x v="1"/>
    <x v="2"/>
    <x v="6"/>
    <s v="NO1_A2"/>
    <x v="1"/>
    <x v="1"/>
    <x v="54"/>
    <x v="0"/>
    <x v="19"/>
    <n v="-11.1111111111111"/>
    <n v="-4055.5555555555602"/>
    <n v="-14600"/>
  </r>
  <r>
    <x v="0"/>
    <x v="0"/>
    <x v="1"/>
    <x v="2"/>
    <x v="6"/>
    <s v="NO1_A2"/>
    <x v="1"/>
    <x v="1"/>
    <x v="54"/>
    <x v="0"/>
    <x v="20"/>
    <n v="-11.1111111111111"/>
    <n v="-4055.5555555555602"/>
    <n v="-14600"/>
  </r>
  <r>
    <x v="0"/>
    <x v="0"/>
    <x v="1"/>
    <x v="2"/>
    <x v="6"/>
    <s v="NO1_A2"/>
    <x v="1"/>
    <x v="1"/>
    <x v="54"/>
    <x v="0"/>
    <x v="21"/>
    <n v="-11.1111111111111"/>
    <n v="-4055.5555555555602"/>
    <n v="-14600"/>
  </r>
  <r>
    <x v="0"/>
    <x v="0"/>
    <x v="1"/>
    <x v="2"/>
    <x v="6"/>
    <s v="NO1_A2"/>
    <x v="1"/>
    <x v="1"/>
    <x v="54"/>
    <x v="0"/>
    <x v="22"/>
    <n v="-3.98938102905809"/>
    <n v="-1456.1240756062"/>
    <n v="-5242.0466721823304"/>
  </r>
  <r>
    <x v="0"/>
    <x v="0"/>
    <x v="1"/>
    <x v="2"/>
    <x v="6"/>
    <s v="NO1_A2"/>
    <x v="1"/>
    <x v="1"/>
    <x v="90"/>
    <x v="0"/>
    <x v="5"/>
    <n v="-22.596753915547598"/>
    <n v="-8247.8151791748696"/>
    <n v="-29692.134645029499"/>
  </r>
  <r>
    <x v="0"/>
    <x v="0"/>
    <x v="1"/>
    <x v="2"/>
    <x v="6"/>
    <s v="NO1_A2"/>
    <x v="1"/>
    <x v="1"/>
    <x v="90"/>
    <x v="0"/>
    <x v="6"/>
    <n v="-73.541327782219099"/>
    <n v="-26842.584640509998"/>
    <n v="-96633.304705835893"/>
  </r>
  <r>
    <x v="0"/>
    <x v="0"/>
    <x v="1"/>
    <x v="2"/>
    <x v="6"/>
    <s v="NO1_A2"/>
    <x v="1"/>
    <x v="1"/>
    <x v="90"/>
    <x v="0"/>
    <x v="7"/>
    <n v="-73.541327782219099"/>
    <n v="-26842.584640509998"/>
    <n v="-96633.304705835893"/>
  </r>
  <r>
    <x v="0"/>
    <x v="0"/>
    <x v="1"/>
    <x v="2"/>
    <x v="6"/>
    <s v="NO1_A2"/>
    <x v="1"/>
    <x v="1"/>
    <x v="90"/>
    <x v="0"/>
    <x v="8"/>
    <n v="-73.541327782219099"/>
    <n v="-26842.584640509998"/>
    <n v="-96633.304705835893"/>
  </r>
  <r>
    <x v="0"/>
    <x v="0"/>
    <x v="1"/>
    <x v="2"/>
    <x v="6"/>
    <s v="NO1_A2"/>
    <x v="1"/>
    <x v="1"/>
    <x v="90"/>
    <x v="0"/>
    <x v="9"/>
    <n v="-73.541327782219099"/>
    <n v="-26842.584640509998"/>
    <n v="-96633.304705835893"/>
  </r>
  <r>
    <x v="0"/>
    <x v="0"/>
    <x v="1"/>
    <x v="2"/>
    <x v="6"/>
    <s v="NO1_A2"/>
    <x v="1"/>
    <x v="1"/>
    <x v="90"/>
    <x v="0"/>
    <x v="10"/>
    <n v="-73.541327782219099"/>
    <n v="-26842.584640509998"/>
    <n v="-96633.304705835893"/>
  </r>
  <r>
    <x v="0"/>
    <x v="0"/>
    <x v="1"/>
    <x v="2"/>
    <x v="6"/>
    <s v="NO1_A2"/>
    <x v="1"/>
    <x v="1"/>
    <x v="90"/>
    <x v="0"/>
    <x v="11"/>
    <n v="-47.064103903316997"/>
    <n v="-17178.397924710702"/>
    <n v="-61842.232528958499"/>
  </r>
  <r>
    <x v="0"/>
    <x v="0"/>
    <x v="1"/>
    <x v="2"/>
    <x v="6"/>
    <s v="NO1_A2"/>
    <x v="1"/>
    <x v="1"/>
    <x v="90"/>
    <x v="0"/>
    <x v="12"/>
    <n v="-28.930181945545701"/>
    <n v="-10559.516410124201"/>
    <n v="-38014.259076447102"/>
  </r>
  <r>
    <x v="0"/>
    <x v="0"/>
    <x v="1"/>
    <x v="2"/>
    <x v="6"/>
    <s v="NO1_A2"/>
    <x v="1"/>
    <x v="1"/>
    <x v="90"/>
    <x v="0"/>
    <x v="13"/>
    <n v="-16.0673886363032"/>
    <n v="-5864.59685225066"/>
    <n v="-21112.548668102401"/>
  </r>
  <r>
    <x v="0"/>
    <x v="0"/>
    <x v="1"/>
    <x v="2"/>
    <x v="6"/>
    <s v="NO1_A2"/>
    <x v="2"/>
    <x v="2"/>
    <x v="55"/>
    <x v="0"/>
    <x v="7"/>
    <n v="11.0933333333332"/>
    <n v="4049.0666666666202"/>
    <n v="14576.639999999799"/>
  </r>
  <r>
    <x v="0"/>
    <x v="0"/>
    <x v="1"/>
    <x v="2"/>
    <x v="6"/>
    <s v="NO1_A2"/>
    <x v="2"/>
    <x v="2"/>
    <x v="55"/>
    <x v="0"/>
    <x v="8"/>
    <n v="11.0933333333332"/>
    <n v="4049.0666666666202"/>
    <n v="14576.639999999799"/>
  </r>
  <r>
    <x v="0"/>
    <x v="0"/>
    <x v="1"/>
    <x v="2"/>
    <x v="6"/>
    <s v="NO1_A2"/>
    <x v="2"/>
    <x v="2"/>
    <x v="55"/>
    <x v="0"/>
    <x v="9"/>
    <n v="4.3730845286450002"/>
    <n v="1596.1758529554199"/>
    <n v="5746.2330706395196"/>
  </r>
  <r>
    <x v="0"/>
    <x v="0"/>
    <x v="1"/>
    <x v="2"/>
    <x v="7"/>
    <s v="NO2_A1"/>
    <x v="4"/>
    <x v="3"/>
    <x v="93"/>
    <x v="0"/>
    <x v="0"/>
    <n v="5837.5501119371902"/>
    <n v="2130705.7908570799"/>
    <n v="7670540.8470854703"/>
  </r>
  <r>
    <x v="0"/>
    <x v="0"/>
    <x v="1"/>
    <x v="2"/>
    <x v="7"/>
    <s v="NO2_A1"/>
    <x v="4"/>
    <x v="3"/>
    <x v="93"/>
    <x v="0"/>
    <x v="1"/>
    <n v="5701.5482597569398"/>
    <n v="2081065.11481128"/>
    <n v="7491834.4133206196"/>
  </r>
  <r>
    <x v="0"/>
    <x v="0"/>
    <x v="1"/>
    <x v="2"/>
    <x v="7"/>
    <s v="NO2_A1"/>
    <x v="4"/>
    <x v="3"/>
    <x v="93"/>
    <x v="0"/>
    <x v="2"/>
    <n v="5607.1066409734603"/>
    <n v="2046593.9239553099"/>
    <n v="7367738.12623912"/>
  </r>
  <r>
    <x v="0"/>
    <x v="0"/>
    <x v="1"/>
    <x v="2"/>
    <x v="7"/>
    <s v="NO2_A1"/>
    <x v="4"/>
    <x v="3"/>
    <x v="93"/>
    <x v="0"/>
    <x v="3"/>
    <n v="5177.4098951697497"/>
    <n v="1889754.61173696"/>
    <n v="6803116.6022530403"/>
  </r>
  <r>
    <x v="0"/>
    <x v="0"/>
    <x v="1"/>
    <x v="2"/>
    <x v="7"/>
    <s v="NO2_A1"/>
    <x v="4"/>
    <x v="3"/>
    <x v="93"/>
    <x v="0"/>
    <x v="4"/>
    <n v="5701.1159010302599"/>
    <n v="2080907.30387605"/>
    <n v="7491266.2939537596"/>
  </r>
  <r>
    <x v="0"/>
    <x v="0"/>
    <x v="1"/>
    <x v="2"/>
    <x v="7"/>
    <s v="NO2_A1"/>
    <x v="4"/>
    <x v="3"/>
    <x v="93"/>
    <x v="0"/>
    <x v="5"/>
    <n v="5800.3196185897204"/>
    <n v="2117116.6607852499"/>
    <n v="7621619.9788268898"/>
  </r>
  <r>
    <x v="0"/>
    <x v="0"/>
    <x v="1"/>
    <x v="2"/>
    <x v="7"/>
    <s v="NO2_A1"/>
    <x v="4"/>
    <x v="3"/>
    <x v="93"/>
    <x v="0"/>
    <x v="6"/>
    <n v="6189.6763511556801"/>
    <n v="2259231.86817182"/>
    <n v="8133234.7254185705"/>
  </r>
  <r>
    <x v="0"/>
    <x v="0"/>
    <x v="1"/>
    <x v="2"/>
    <x v="7"/>
    <s v="NO2_A1"/>
    <x v="4"/>
    <x v="3"/>
    <x v="93"/>
    <x v="0"/>
    <x v="7"/>
    <n v="6582.7371146923897"/>
    <n v="2402699.04686272"/>
    <n v="8649716.5687058102"/>
  </r>
  <r>
    <x v="0"/>
    <x v="0"/>
    <x v="1"/>
    <x v="2"/>
    <x v="7"/>
    <s v="NO2_A1"/>
    <x v="4"/>
    <x v="3"/>
    <x v="93"/>
    <x v="0"/>
    <x v="8"/>
    <n v="6644.3134093229301"/>
    <n v="2425174.39440287"/>
    <n v="8730627.8198503293"/>
  </r>
  <r>
    <x v="0"/>
    <x v="0"/>
    <x v="1"/>
    <x v="2"/>
    <x v="7"/>
    <s v="NO2_A1"/>
    <x v="4"/>
    <x v="3"/>
    <x v="93"/>
    <x v="0"/>
    <x v="9"/>
    <n v="6980.9800607848201"/>
    <n v="2548057.7221864602"/>
    <n v="9173007.7998712603"/>
  </r>
  <r>
    <x v="0"/>
    <x v="0"/>
    <x v="1"/>
    <x v="2"/>
    <x v="7"/>
    <s v="NO2_A1"/>
    <x v="4"/>
    <x v="3"/>
    <x v="93"/>
    <x v="0"/>
    <x v="10"/>
    <n v="6925.6094822580299"/>
    <n v="2527847.4610241801"/>
    <n v="9100250.8596870508"/>
  </r>
  <r>
    <x v="0"/>
    <x v="0"/>
    <x v="1"/>
    <x v="2"/>
    <x v="7"/>
    <s v="NO2_A1"/>
    <x v="4"/>
    <x v="3"/>
    <x v="93"/>
    <x v="0"/>
    <x v="11"/>
    <n v="6766.69909547727"/>
    <n v="2469845.1698492002"/>
    <n v="8891442.6114571299"/>
  </r>
  <r>
    <x v="0"/>
    <x v="0"/>
    <x v="1"/>
    <x v="2"/>
    <x v="7"/>
    <s v="NO2_A1"/>
    <x v="4"/>
    <x v="3"/>
    <x v="93"/>
    <x v="0"/>
    <x v="12"/>
    <n v="6694.6699003285803"/>
    <n v="2443554.51361993"/>
    <n v="8796796.2490317505"/>
  </r>
  <r>
    <x v="0"/>
    <x v="0"/>
    <x v="1"/>
    <x v="2"/>
    <x v="7"/>
    <s v="NO2_A1"/>
    <x v="4"/>
    <x v="3"/>
    <x v="93"/>
    <x v="0"/>
    <x v="13"/>
    <n v="6656.60483914625"/>
    <n v="2429660.7662883801"/>
    <n v="8746778.7586381696"/>
  </r>
  <r>
    <x v="0"/>
    <x v="0"/>
    <x v="1"/>
    <x v="2"/>
    <x v="7"/>
    <s v="NO2_A1"/>
    <x v="4"/>
    <x v="3"/>
    <x v="93"/>
    <x v="0"/>
    <x v="14"/>
    <n v="6562.8375729584104"/>
    <n v="2395435.71412982"/>
    <n v="8623568.5708673596"/>
  </r>
  <r>
    <x v="0"/>
    <x v="0"/>
    <x v="1"/>
    <x v="2"/>
    <x v="7"/>
    <s v="NO2_A1"/>
    <x v="4"/>
    <x v="3"/>
    <x v="93"/>
    <x v="0"/>
    <x v="15"/>
    <n v="6445.6679596111899"/>
    <n v="2352668.8052580799"/>
    <n v="8469607.6989290994"/>
  </r>
  <r>
    <x v="0"/>
    <x v="0"/>
    <x v="1"/>
    <x v="2"/>
    <x v="7"/>
    <s v="NO2_A1"/>
    <x v="4"/>
    <x v="3"/>
    <x v="93"/>
    <x v="0"/>
    <x v="16"/>
    <n v="6423.6020835133504"/>
    <n v="2344614.7604823699"/>
    <n v="8440613.1377365403"/>
  </r>
  <r>
    <x v="0"/>
    <x v="0"/>
    <x v="1"/>
    <x v="2"/>
    <x v="7"/>
    <s v="NO2_A1"/>
    <x v="4"/>
    <x v="3"/>
    <x v="93"/>
    <x v="0"/>
    <x v="17"/>
    <n v="6306.7480982912903"/>
    <n v="2301963.0558763202"/>
    <n v="8287067.0011547599"/>
  </r>
  <r>
    <x v="0"/>
    <x v="0"/>
    <x v="1"/>
    <x v="2"/>
    <x v="7"/>
    <s v="NO2_A1"/>
    <x v="4"/>
    <x v="3"/>
    <x v="93"/>
    <x v="0"/>
    <x v="18"/>
    <n v="6425.8779756784297"/>
    <n v="2345445.4611226302"/>
    <n v="8443603.6600414608"/>
  </r>
  <r>
    <x v="0"/>
    <x v="0"/>
    <x v="1"/>
    <x v="2"/>
    <x v="7"/>
    <s v="NO2_A1"/>
    <x v="4"/>
    <x v="3"/>
    <x v="93"/>
    <x v="0"/>
    <x v="19"/>
    <n v="6497.8094819972303"/>
    <n v="2371700.46092899"/>
    <n v="8538121.6593443602"/>
  </r>
  <r>
    <x v="0"/>
    <x v="0"/>
    <x v="1"/>
    <x v="2"/>
    <x v="7"/>
    <s v="NO2_A1"/>
    <x v="4"/>
    <x v="3"/>
    <x v="93"/>
    <x v="0"/>
    <x v="20"/>
    <n v="6441.8365817510203"/>
    <n v="2351270.3523391201"/>
    <n v="8464573.2684208304"/>
  </r>
  <r>
    <x v="0"/>
    <x v="0"/>
    <x v="1"/>
    <x v="2"/>
    <x v="7"/>
    <s v="NO2_A1"/>
    <x v="4"/>
    <x v="3"/>
    <x v="93"/>
    <x v="0"/>
    <x v="21"/>
    <n v="6286.8616404251497"/>
    <n v="2294704.4987551798"/>
    <n v="8260936.1955186501"/>
  </r>
  <r>
    <x v="0"/>
    <x v="0"/>
    <x v="1"/>
    <x v="2"/>
    <x v="7"/>
    <s v="NO2_A1"/>
    <x v="4"/>
    <x v="3"/>
    <x v="93"/>
    <x v="0"/>
    <x v="22"/>
    <n v="6132.7572746039004"/>
    <n v="2238456.4052304202"/>
    <n v="8058443.0588295301"/>
  </r>
  <r>
    <x v="0"/>
    <x v="0"/>
    <x v="1"/>
    <x v="2"/>
    <x v="7"/>
    <s v="NO2_A1"/>
    <x v="4"/>
    <x v="3"/>
    <x v="93"/>
    <x v="0"/>
    <x v="23"/>
    <n v="5902.4495669989001"/>
    <n v="2154394.0919546001"/>
    <n v="7755818.7310365597"/>
  </r>
  <r>
    <x v="0"/>
    <x v="0"/>
    <x v="1"/>
    <x v="2"/>
    <x v="7"/>
    <s v="NO2_A1"/>
    <x v="5"/>
    <x v="4"/>
    <x v="56"/>
    <x v="0"/>
    <x v="0"/>
    <n v="1476.64889035959"/>
    <n v="538976.84498124896"/>
    <n v="1940316.6419325001"/>
  </r>
  <r>
    <x v="0"/>
    <x v="0"/>
    <x v="1"/>
    <x v="2"/>
    <x v="7"/>
    <s v="NO2_A1"/>
    <x v="5"/>
    <x v="4"/>
    <x v="56"/>
    <x v="0"/>
    <x v="1"/>
    <n v="1476.64889035959"/>
    <n v="538976.84498124896"/>
    <n v="1940316.6419325001"/>
  </r>
  <r>
    <x v="0"/>
    <x v="0"/>
    <x v="1"/>
    <x v="2"/>
    <x v="7"/>
    <s v="NO2_A1"/>
    <x v="5"/>
    <x v="4"/>
    <x v="56"/>
    <x v="0"/>
    <x v="2"/>
    <n v="1476.64889035959"/>
    <n v="538976.84498124896"/>
    <n v="1940316.6419325001"/>
  </r>
  <r>
    <x v="0"/>
    <x v="0"/>
    <x v="1"/>
    <x v="2"/>
    <x v="7"/>
    <s v="NO2_A1"/>
    <x v="5"/>
    <x v="4"/>
    <x v="56"/>
    <x v="0"/>
    <x v="3"/>
    <n v="1476.64889035959"/>
    <n v="538976.84498124896"/>
    <n v="1940316.6419325001"/>
  </r>
  <r>
    <x v="0"/>
    <x v="0"/>
    <x v="1"/>
    <x v="2"/>
    <x v="7"/>
    <s v="NO2_A1"/>
    <x v="5"/>
    <x v="4"/>
    <x v="56"/>
    <x v="0"/>
    <x v="4"/>
    <n v="1476.64889035959"/>
    <n v="538976.84498124896"/>
    <n v="1940316.6419325001"/>
  </r>
  <r>
    <x v="0"/>
    <x v="0"/>
    <x v="1"/>
    <x v="2"/>
    <x v="7"/>
    <s v="NO2_A1"/>
    <x v="5"/>
    <x v="4"/>
    <x v="56"/>
    <x v="0"/>
    <x v="5"/>
    <n v="1476.64889035959"/>
    <n v="538976.84498124896"/>
    <n v="1940316.6419325001"/>
  </r>
  <r>
    <x v="0"/>
    <x v="0"/>
    <x v="1"/>
    <x v="2"/>
    <x v="7"/>
    <s v="NO2_A1"/>
    <x v="5"/>
    <x v="4"/>
    <x v="56"/>
    <x v="0"/>
    <x v="6"/>
    <n v="1476.64889035959"/>
    <n v="538976.84498124896"/>
    <n v="1940316.6419325001"/>
  </r>
  <r>
    <x v="0"/>
    <x v="0"/>
    <x v="1"/>
    <x v="2"/>
    <x v="7"/>
    <s v="NO2_A1"/>
    <x v="5"/>
    <x v="4"/>
    <x v="56"/>
    <x v="0"/>
    <x v="7"/>
    <n v="1476.64889035959"/>
    <n v="538976.84498124896"/>
    <n v="1940316.6419325001"/>
  </r>
  <r>
    <x v="0"/>
    <x v="0"/>
    <x v="1"/>
    <x v="2"/>
    <x v="7"/>
    <s v="NO2_A1"/>
    <x v="5"/>
    <x v="4"/>
    <x v="56"/>
    <x v="0"/>
    <x v="8"/>
    <n v="1476.64889035959"/>
    <n v="538976.84498124896"/>
    <n v="1940316.6419325001"/>
  </r>
  <r>
    <x v="0"/>
    <x v="0"/>
    <x v="1"/>
    <x v="2"/>
    <x v="7"/>
    <s v="NO2_A1"/>
    <x v="5"/>
    <x v="4"/>
    <x v="56"/>
    <x v="0"/>
    <x v="9"/>
    <n v="1476.64889035959"/>
    <n v="538976.84498124896"/>
    <n v="1940316.6419325001"/>
  </r>
  <r>
    <x v="0"/>
    <x v="0"/>
    <x v="1"/>
    <x v="2"/>
    <x v="7"/>
    <s v="NO2_A1"/>
    <x v="5"/>
    <x v="4"/>
    <x v="56"/>
    <x v="0"/>
    <x v="10"/>
    <n v="1476.64889035959"/>
    <n v="538976.84498124896"/>
    <n v="1940316.6419325001"/>
  </r>
  <r>
    <x v="0"/>
    <x v="0"/>
    <x v="1"/>
    <x v="2"/>
    <x v="7"/>
    <s v="NO2_A1"/>
    <x v="5"/>
    <x v="4"/>
    <x v="56"/>
    <x v="0"/>
    <x v="11"/>
    <n v="1476.64889035959"/>
    <n v="538976.84498124896"/>
    <n v="1940316.6419325001"/>
  </r>
  <r>
    <x v="0"/>
    <x v="0"/>
    <x v="1"/>
    <x v="2"/>
    <x v="7"/>
    <s v="NO2_A1"/>
    <x v="5"/>
    <x v="4"/>
    <x v="56"/>
    <x v="0"/>
    <x v="12"/>
    <n v="1476.64889035959"/>
    <n v="538976.84498124896"/>
    <n v="1940316.6419325001"/>
  </r>
  <r>
    <x v="0"/>
    <x v="0"/>
    <x v="1"/>
    <x v="2"/>
    <x v="7"/>
    <s v="NO2_A1"/>
    <x v="5"/>
    <x v="4"/>
    <x v="56"/>
    <x v="0"/>
    <x v="13"/>
    <n v="1476.64889035959"/>
    <n v="538976.84498124896"/>
    <n v="1940316.6419325001"/>
  </r>
  <r>
    <x v="0"/>
    <x v="0"/>
    <x v="1"/>
    <x v="2"/>
    <x v="7"/>
    <s v="NO2_A1"/>
    <x v="5"/>
    <x v="4"/>
    <x v="56"/>
    <x v="0"/>
    <x v="14"/>
    <n v="1476.64889035959"/>
    <n v="538976.84498124896"/>
    <n v="1940316.6419325001"/>
  </r>
  <r>
    <x v="0"/>
    <x v="0"/>
    <x v="1"/>
    <x v="2"/>
    <x v="7"/>
    <s v="NO2_A1"/>
    <x v="5"/>
    <x v="4"/>
    <x v="56"/>
    <x v="0"/>
    <x v="15"/>
    <n v="1476.64889035959"/>
    <n v="538976.84498124896"/>
    <n v="1940316.6419325001"/>
  </r>
  <r>
    <x v="0"/>
    <x v="0"/>
    <x v="1"/>
    <x v="2"/>
    <x v="7"/>
    <s v="NO2_A1"/>
    <x v="5"/>
    <x v="4"/>
    <x v="56"/>
    <x v="0"/>
    <x v="16"/>
    <n v="1476.64889035959"/>
    <n v="538976.84498124896"/>
    <n v="1940316.6419325001"/>
  </r>
  <r>
    <x v="0"/>
    <x v="0"/>
    <x v="1"/>
    <x v="2"/>
    <x v="7"/>
    <s v="NO2_A1"/>
    <x v="5"/>
    <x v="4"/>
    <x v="56"/>
    <x v="0"/>
    <x v="17"/>
    <n v="1476.64889035959"/>
    <n v="538976.84498124896"/>
    <n v="1940316.6419325001"/>
  </r>
  <r>
    <x v="0"/>
    <x v="0"/>
    <x v="1"/>
    <x v="2"/>
    <x v="7"/>
    <s v="NO2_A1"/>
    <x v="5"/>
    <x v="4"/>
    <x v="56"/>
    <x v="0"/>
    <x v="18"/>
    <n v="1476.64889035959"/>
    <n v="538976.84498124896"/>
    <n v="1940316.6419325001"/>
  </r>
  <r>
    <x v="0"/>
    <x v="0"/>
    <x v="1"/>
    <x v="2"/>
    <x v="7"/>
    <s v="NO2_A1"/>
    <x v="5"/>
    <x v="4"/>
    <x v="56"/>
    <x v="0"/>
    <x v="19"/>
    <n v="1476.64889035959"/>
    <n v="538976.84498124896"/>
    <n v="1940316.6419325001"/>
  </r>
  <r>
    <x v="0"/>
    <x v="0"/>
    <x v="1"/>
    <x v="2"/>
    <x v="7"/>
    <s v="NO2_A1"/>
    <x v="5"/>
    <x v="4"/>
    <x v="56"/>
    <x v="0"/>
    <x v="20"/>
    <n v="1476.64889035959"/>
    <n v="538976.84498124896"/>
    <n v="1940316.6419325001"/>
  </r>
  <r>
    <x v="0"/>
    <x v="0"/>
    <x v="1"/>
    <x v="2"/>
    <x v="7"/>
    <s v="NO2_A1"/>
    <x v="5"/>
    <x v="4"/>
    <x v="56"/>
    <x v="0"/>
    <x v="21"/>
    <n v="1476.64889035959"/>
    <n v="538976.84498124896"/>
    <n v="1940316.6419325001"/>
  </r>
  <r>
    <x v="0"/>
    <x v="0"/>
    <x v="1"/>
    <x v="2"/>
    <x v="7"/>
    <s v="NO2_A1"/>
    <x v="5"/>
    <x v="4"/>
    <x v="56"/>
    <x v="0"/>
    <x v="22"/>
    <n v="1476.64889035959"/>
    <n v="538976.84498124896"/>
    <n v="1940316.6419325001"/>
  </r>
  <r>
    <x v="0"/>
    <x v="0"/>
    <x v="1"/>
    <x v="2"/>
    <x v="7"/>
    <s v="NO2_A1"/>
    <x v="5"/>
    <x v="4"/>
    <x v="56"/>
    <x v="0"/>
    <x v="23"/>
    <n v="1476.64889035959"/>
    <n v="538976.84498124896"/>
    <n v="1940316.6419325001"/>
  </r>
  <r>
    <x v="0"/>
    <x v="0"/>
    <x v="1"/>
    <x v="2"/>
    <x v="7"/>
    <s v="NO2_A1"/>
    <x v="6"/>
    <x v="5"/>
    <x v="11"/>
    <x v="0"/>
    <x v="0"/>
    <n v="317.86193424285199"/>
    <n v="116019.605998641"/>
    <n v="417670.58159510797"/>
  </r>
  <r>
    <x v="0"/>
    <x v="0"/>
    <x v="1"/>
    <x v="2"/>
    <x v="7"/>
    <s v="NO2_A1"/>
    <x v="6"/>
    <x v="5"/>
    <x v="11"/>
    <x v="0"/>
    <x v="1"/>
    <n v="324.64826622910903"/>
    <n v="118496.617173625"/>
    <n v="426587.82182504999"/>
  </r>
  <r>
    <x v="0"/>
    <x v="0"/>
    <x v="1"/>
    <x v="2"/>
    <x v="7"/>
    <s v="NO2_A1"/>
    <x v="6"/>
    <x v="5"/>
    <x v="11"/>
    <x v="0"/>
    <x v="2"/>
    <n v="453.73462593417401"/>
    <n v="165613.138465973"/>
    <n v="596207.29847750498"/>
  </r>
  <r>
    <x v="0"/>
    <x v="0"/>
    <x v="1"/>
    <x v="2"/>
    <x v="7"/>
    <s v="NO2_A1"/>
    <x v="6"/>
    <x v="5"/>
    <x v="11"/>
    <x v="0"/>
    <x v="3"/>
    <n v="400.86414941532303"/>
    <n v="146315.41453659299"/>
    <n v="526735.49233173404"/>
  </r>
  <r>
    <x v="0"/>
    <x v="0"/>
    <x v="1"/>
    <x v="2"/>
    <x v="7"/>
    <s v="NO2_A1"/>
    <x v="6"/>
    <x v="5"/>
    <x v="11"/>
    <x v="0"/>
    <x v="4"/>
    <n v="482.38647562674203"/>
    <n v="176071.06360376099"/>
    <n v="633855.82897353906"/>
  </r>
  <r>
    <x v="0"/>
    <x v="0"/>
    <x v="1"/>
    <x v="2"/>
    <x v="7"/>
    <s v="NO2_A1"/>
    <x v="6"/>
    <x v="5"/>
    <x v="11"/>
    <x v="0"/>
    <x v="5"/>
    <n v="481.49891473663502"/>
    <n v="175747.103878872"/>
    <n v="632689.57396393898"/>
  </r>
  <r>
    <x v="0"/>
    <x v="0"/>
    <x v="1"/>
    <x v="2"/>
    <x v="7"/>
    <s v="NO2_A1"/>
    <x v="6"/>
    <x v="5"/>
    <x v="11"/>
    <x v="0"/>
    <x v="6"/>
    <n v="476.04336535575197"/>
    <n v="173755.82835484901"/>
    <n v="625520.98207745701"/>
  </r>
  <r>
    <x v="0"/>
    <x v="0"/>
    <x v="1"/>
    <x v="2"/>
    <x v="7"/>
    <s v="NO2_A1"/>
    <x v="6"/>
    <x v="5"/>
    <x v="11"/>
    <x v="0"/>
    <x v="7"/>
    <n v="467.820129353347"/>
    <n v="170754.34721397201"/>
    <n v="614715.64997029805"/>
  </r>
  <r>
    <x v="0"/>
    <x v="0"/>
    <x v="1"/>
    <x v="2"/>
    <x v="7"/>
    <s v="NO2_A1"/>
    <x v="6"/>
    <x v="5"/>
    <x v="11"/>
    <x v="0"/>
    <x v="8"/>
    <n v="412.79824516743298"/>
    <n v="150671.35948611301"/>
    <n v="542416.89415000705"/>
  </r>
  <r>
    <x v="0"/>
    <x v="0"/>
    <x v="1"/>
    <x v="2"/>
    <x v="7"/>
    <s v="NO2_A1"/>
    <x v="6"/>
    <x v="5"/>
    <x v="11"/>
    <x v="0"/>
    <x v="9"/>
    <n v="48.0412632285813"/>
    <n v="17535.061078432202"/>
    <n v="63126.219882355901"/>
  </r>
  <r>
    <x v="0"/>
    <x v="0"/>
    <x v="1"/>
    <x v="2"/>
    <x v="7"/>
    <s v="NO2_A1"/>
    <x v="6"/>
    <x v="5"/>
    <x v="11"/>
    <x v="0"/>
    <x v="10"/>
    <n v="38.804081658374699"/>
    <n v="14163.489805306799"/>
    <n v="50988.563299104302"/>
  </r>
  <r>
    <x v="0"/>
    <x v="0"/>
    <x v="1"/>
    <x v="2"/>
    <x v="7"/>
    <s v="NO2_A1"/>
    <x v="6"/>
    <x v="5"/>
    <x v="11"/>
    <x v="0"/>
    <x v="11"/>
    <n v="118.125198754431"/>
    <n v="43115.697545367497"/>
    <n v="155216.51116332301"/>
  </r>
  <r>
    <x v="0"/>
    <x v="0"/>
    <x v="1"/>
    <x v="2"/>
    <x v="7"/>
    <s v="NO2_A1"/>
    <x v="6"/>
    <x v="5"/>
    <x v="11"/>
    <x v="0"/>
    <x v="12"/>
    <n v="118.055879012259"/>
    <n v="43090.395839474499"/>
    <n v="155125.42502210799"/>
  </r>
  <r>
    <x v="0"/>
    <x v="0"/>
    <x v="1"/>
    <x v="2"/>
    <x v="7"/>
    <s v="NO2_A1"/>
    <x v="6"/>
    <x v="5"/>
    <x v="11"/>
    <x v="0"/>
    <x v="13"/>
    <n v="121.476199273009"/>
    <n v="44338.812734648302"/>
    <n v="159619.725844734"/>
  </r>
  <r>
    <x v="0"/>
    <x v="0"/>
    <x v="1"/>
    <x v="2"/>
    <x v="7"/>
    <s v="NO2_A1"/>
    <x v="6"/>
    <x v="5"/>
    <x v="11"/>
    <x v="0"/>
    <x v="14"/>
    <n v="187.153134983885"/>
    <n v="68310.894269118202"/>
    <n v="245919.219368825"/>
  </r>
  <r>
    <x v="0"/>
    <x v="0"/>
    <x v="1"/>
    <x v="2"/>
    <x v="7"/>
    <s v="NO2_A1"/>
    <x v="6"/>
    <x v="5"/>
    <x v="11"/>
    <x v="0"/>
    <x v="15"/>
    <n v="278.105106552618"/>
    <n v="101508.363891706"/>
    <n v="365430.11001013999"/>
  </r>
  <r>
    <x v="0"/>
    <x v="0"/>
    <x v="1"/>
    <x v="2"/>
    <x v="7"/>
    <s v="NO2_A1"/>
    <x v="6"/>
    <x v="5"/>
    <x v="11"/>
    <x v="0"/>
    <x v="16"/>
    <n v="314.21614788894198"/>
    <n v="114688.893979464"/>
    <n v="412880.01832606999"/>
  </r>
  <r>
    <x v="0"/>
    <x v="0"/>
    <x v="1"/>
    <x v="2"/>
    <x v="7"/>
    <s v="NO2_A1"/>
    <x v="6"/>
    <x v="5"/>
    <x v="11"/>
    <x v="0"/>
    <x v="17"/>
    <n v="457.28777488948998"/>
    <n v="166910.03783466399"/>
    <n v="600876.13620478997"/>
  </r>
  <r>
    <x v="0"/>
    <x v="0"/>
    <x v="1"/>
    <x v="2"/>
    <x v="7"/>
    <s v="NO2_A1"/>
    <x v="6"/>
    <x v="5"/>
    <x v="11"/>
    <x v="0"/>
    <x v="18"/>
    <n v="473.92782814097899"/>
    <n v="172983.65727145699"/>
    <n v="622741.16617724602"/>
  </r>
  <r>
    <x v="0"/>
    <x v="0"/>
    <x v="1"/>
    <x v="2"/>
    <x v="7"/>
    <s v="NO2_A1"/>
    <x v="6"/>
    <x v="5"/>
    <x v="11"/>
    <x v="0"/>
    <x v="19"/>
    <n v="487.20365760227702"/>
    <n v="177829.335024831"/>
    <n v="640185.60608939198"/>
  </r>
  <r>
    <x v="0"/>
    <x v="0"/>
    <x v="1"/>
    <x v="2"/>
    <x v="7"/>
    <s v="NO2_A1"/>
    <x v="6"/>
    <x v="5"/>
    <x v="11"/>
    <x v="0"/>
    <x v="20"/>
    <n v="487.93224124381101"/>
    <n v="178095.26805399099"/>
    <n v="641142.96499436803"/>
  </r>
  <r>
    <x v="0"/>
    <x v="0"/>
    <x v="1"/>
    <x v="2"/>
    <x v="7"/>
    <s v="NO2_A1"/>
    <x v="6"/>
    <x v="5"/>
    <x v="11"/>
    <x v="0"/>
    <x v="21"/>
    <n v="488.41036494640502"/>
    <n v="178269.783205438"/>
    <n v="641771.21953957702"/>
  </r>
  <r>
    <x v="0"/>
    <x v="0"/>
    <x v="1"/>
    <x v="2"/>
    <x v="7"/>
    <s v="NO2_A1"/>
    <x v="6"/>
    <x v="5"/>
    <x v="11"/>
    <x v="0"/>
    <x v="22"/>
    <n v="488.01791314440101"/>
    <n v="178126.53829770599"/>
    <n v="641255.53787174297"/>
  </r>
  <r>
    <x v="0"/>
    <x v="0"/>
    <x v="1"/>
    <x v="2"/>
    <x v="7"/>
    <s v="NO2_A1"/>
    <x v="6"/>
    <x v="5"/>
    <x v="11"/>
    <x v="0"/>
    <x v="23"/>
    <n v="487.98491083834801"/>
    <n v="178114.49245599701"/>
    <n v="641212.17284158897"/>
  </r>
  <r>
    <x v="0"/>
    <x v="0"/>
    <x v="1"/>
    <x v="2"/>
    <x v="8"/>
    <s v="NO3_A1"/>
    <x v="4"/>
    <x v="3"/>
    <x v="93"/>
    <x v="0"/>
    <x v="0"/>
    <n v="1574.9096195863001"/>
    <n v="574842.01114900096"/>
    <n v="2069431.2401364001"/>
  </r>
  <r>
    <x v="0"/>
    <x v="0"/>
    <x v="1"/>
    <x v="2"/>
    <x v="8"/>
    <s v="NO3_A1"/>
    <x v="4"/>
    <x v="3"/>
    <x v="93"/>
    <x v="0"/>
    <x v="1"/>
    <n v="1518.93165479146"/>
    <n v="554410.05399888195"/>
    <n v="1995876.1943959701"/>
  </r>
  <r>
    <x v="0"/>
    <x v="0"/>
    <x v="1"/>
    <x v="2"/>
    <x v="8"/>
    <s v="NO3_A1"/>
    <x v="4"/>
    <x v="3"/>
    <x v="93"/>
    <x v="0"/>
    <x v="2"/>
    <n v="1488.3542468815999"/>
    <n v="543249.30011178297"/>
    <n v="1955697.48040242"/>
  </r>
  <r>
    <x v="0"/>
    <x v="0"/>
    <x v="1"/>
    <x v="2"/>
    <x v="8"/>
    <s v="NO3_A1"/>
    <x v="4"/>
    <x v="3"/>
    <x v="93"/>
    <x v="0"/>
    <x v="3"/>
    <n v="1520.0293366368901"/>
    <n v="554810.70787246397"/>
    <n v="1997318.5483408701"/>
  </r>
  <r>
    <x v="0"/>
    <x v="0"/>
    <x v="1"/>
    <x v="2"/>
    <x v="8"/>
    <s v="NO3_A1"/>
    <x v="4"/>
    <x v="3"/>
    <x v="93"/>
    <x v="0"/>
    <x v="4"/>
    <n v="1436.77221504417"/>
    <n v="524421.85849112098"/>
    <n v="1887918.6905680301"/>
  </r>
  <r>
    <x v="0"/>
    <x v="0"/>
    <x v="1"/>
    <x v="2"/>
    <x v="8"/>
    <s v="NO3_A1"/>
    <x v="4"/>
    <x v="3"/>
    <x v="93"/>
    <x v="0"/>
    <x v="5"/>
    <n v="1516.64401055301"/>
    <n v="553575.06385184999"/>
    <n v="1992870.22986666"/>
  </r>
  <r>
    <x v="0"/>
    <x v="0"/>
    <x v="1"/>
    <x v="2"/>
    <x v="8"/>
    <s v="NO3_A1"/>
    <x v="4"/>
    <x v="3"/>
    <x v="93"/>
    <x v="0"/>
    <x v="6"/>
    <n v="1767.7482755606"/>
    <n v="645228.12057961803"/>
    <n v="2322821.2340866202"/>
  </r>
  <r>
    <x v="0"/>
    <x v="0"/>
    <x v="1"/>
    <x v="2"/>
    <x v="8"/>
    <s v="NO3_A1"/>
    <x v="4"/>
    <x v="3"/>
    <x v="93"/>
    <x v="0"/>
    <x v="7"/>
    <n v="2030.98104239546"/>
    <n v="741308.08047434397"/>
    <n v="2668709.08970764"/>
  </r>
  <r>
    <x v="0"/>
    <x v="0"/>
    <x v="1"/>
    <x v="2"/>
    <x v="8"/>
    <s v="NO3_A1"/>
    <x v="4"/>
    <x v="3"/>
    <x v="93"/>
    <x v="0"/>
    <x v="8"/>
    <n v="2198.8988210131902"/>
    <n v="802598.06966981397"/>
    <n v="2889353.0508113299"/>
  </r>
  <r>
    <x v="0"/>
    <x v="0"/>
    <x v="1"/>
    <x v="2"/>
    <x v="8"/>
    <s v="NO3_A1"/>
    <x v="4"/>
    <x v="3"/>
    <x v="93"/>
    <x v="0"/>
    <x v="9"/>
    <n v="2215.1811832160602"/>
    <n v="808541.13187386305"/>
    <n v="2910748.0747459098"/>
  </r>
  <r>
    <x v="0"/>
    <x v="0"/>
    <x v="1"/>
    <x v="2"/>
    <x v="8"/>
    <s v="NO3_A1"/>
    <x v="4"/>
    <x v="3"/>
    <x v="93"/>
    <x v="0"/>
    <x v="10"/>
    <n v="2324.2788072726598"/>
    <n v="848361.76465451997"/>
    <n v="3054102.3527562702"/>
  </r>
  <r>
    <x v="0"/>
    <x v="0"/>
    <x v="1"/>
    <x v="2"/>
    <x v="8"/>
    <s v="NO3_A1"/>
    <x v="4"/>
    <x v="3"/>
    <x v="93"/>
    <x v="0"/>
    <x v="11"/>
    <n v="2228.42010426148"/>
    <n v="813373.33805543894"/>
    <n v="2928144.01699958"/>
  </r>
  <r>
    <x v="0"/>
    <x v="0"/>
    <x v="1"/>
    <x v="2"/>
    <x v="8"/>
    <s v="NO3_A1"/>
    <x v="4"/>
    <x v="3"/>
    <x v="93"/>
    <x v="0"/>
    <x v="12"/>
    <n v="1987.9703415249901"/>
    <n v="725609.17465662304"/>
    <n v="2612193.02876384"/>
  </r>
  <r>
    <x v="0"/>
    <x v="0"/>
    <x v="1"/>
    <x v="2"/>
    <x v="8"/>
    <s v="NO3_A1"/>
    <x v="4"/>
    <x v="3"/>
    <x v="93"/>
    <x v="0"/>
    <x v="13"/>
    <n v="1798.2121214646399"/>
    <n v="656347.42433459498"/>
    <n v="2362850.7276045401"/>
  </r>
  <r>
    <x v="0"/>
    <x v="0"/>
    <x v="1"/>
    <x v="2"/>
    <x v="8"/>
    <s v="NO3_A1"/>
    <x v="4"/>
    <x v="3"/>
    <x v="93"/>
    <x v="0"/>
    <x v="14"/>
    <n v="1768.64945259455"/>
    <n v="645557.05019701202"/>
    <n v="2324005.3807092402"/>
  </r>
  <r>
    <x v="0"/>
    <x v="0"/>
    <x v="1"/>
    <x v="2"/>
    <x v="8"/>
    <s v="NO3_A1"/>
    <x v="4"/>
    <x v="3"/>
    <x v="93"/>
    <x v="0"/>
    <x v="15"/>
    <n v="1786.4611998443499"/>
    <n v="652058.33794318896"/>
    <n v="2347410.01659548"/>
  </r>
  <r>
    <x v="0"/>
    <x v="0"/>
    <x v="1"/>
    <x v="2"/>
    <x v="8"/>
    <s v="NO3_A1"/>
    <x v="4"/>
    <x v="3"/>
    <x v="93"/>
    <x v="0"/>
    <x v="16"/>
    <n v="1747.2633644099601"/>
    <n v="637751.12800963502"/>
    <n v="2295904.06083469"/>
  </r>
  <r>
    <x v="0"/>
    <x v="0"/>
    <x v="1"/>
    <x v="2"/>
    <x v="8"/>
    <s v="NO3_A1"/>
    <x v="4"/>
    <x v="3"/>
    <x v="93"/>
    <x v="0"/>
    <x v="17"/>
    <n v="1743.6265542850001"/>
    <n v="636423.69231402699"/>
    <n v="2291125.2923305002"/>
  </r>
  <r>
    <x v="0"/>
    <x v="0"/>
    <x v="1"/>
    <x v="2"/>
    <x v="8"/>
    <s v="NO3_A1"/>
    <x v="4"/>
    <x v="3"/>
    <x v="93"/>
    <x v="0"/>
    <x v="18"/>
    <n v="1775.4459041991399"/>
    <n v="648037.755032685"/>
    <n v="2332935.9181176699"/>
  </r>
  <r>
    <x v="0"/>
    <x v="0"/>
    <x v="1"/>
    <x v="2"/>
    <x v="8"/>
    <s v="NO3_A1"/>
    <x v="4"/>
    <x v="3"/>
    <x v="93"/>
    <x v="0"/>
    <x v="19"/>
    <n v="1951.83814530158"/>
    <n v="712420.92303507798"/>
    <n v="2564715.3229262801"/>
  </r>
  <r>
    <x v="0"/>
    <x v="0"/>
    <x v="1"/>
    <x v="2"/>
    <x v="8"/>
    <s v="NO3_A1"/>
    <x v="4"/>
    <x v="3"/>
    <x v="93"/>
    <x v="0"/>
    <x v="20"/>
    <n v="2068.5505288632799"/>
    <n v="755020.94303509698"/>
    <n v="2718075.3949263501"/>
  </r>
  <r>
    <x v="0"/>
    <x v="0"/>
    <x v="1"/>
    <x v="2"/>
    <x v="8"/>
    <s v="NO3_A1"/>
    <x v="4"/>
    <x v="3"/>
    <x v="93"/>
    <x v="0"/>
    <x v="21"/>
    <n v="2066.4853490218302"/>
    <n v="754267.152392969"/>
    <n v="2715361.7486146898"/>
  </r>
  <r>
    <x v="0"/>
    <x v="0"/>
    <x v="1"/>
    <x v="2"/>
    <x v="8"/>
    <s v="NO3_A1"/>
    <x v="4"/>
    <x v="3"/>
    <x v="93"/>
    <x v="0"/>
    <x v="22"/>
    <n v="1912.7222785921099"/>
    <n v="698143.63168611901"/>
    <n v="2513317.0740700299"/>
  </r>
  <r>
    <x v="0"/>
    <x v="0"/>
    <x v="1"/>
    <x v="2"/>
    <x v="8"/>
    <s v="NO3_A1"/>
    <x v="4"/>
    <x v="3"/>
    <x v="93"/>
    <x v="0"/>
    <x v="23"/>
    <n v="1664.4066528757601"/>
    <n v="607508.42829965299"/>
    <n v="2187030.3418787499"/>
  </r>
  <r>
    <x v="0"/>
    <x v="0"/>
    <x v="1"/>
    <x v="2"/>
    <x v="8"/>
    <s v="NO3_A1"/>
    <x v="5"/>
    <x v="4"/>
    <x v="56"/>
    <x v="0"/>
    <x v="0"/>
    <n v="892.60223179758896"/>
    <n v="325799.81460612"/>
    <n v="1172879.33258203"/>
  </r>
  <r>
    <x v="0"/>
    <x v="0"/>
    <x v="1"/>
    <x v="2"/>
    <x v="8"/>
    <s v="NO3_A1"/>
    <x v="5"/>
    <x v="4"/>
    <x v="56"/>
    <x v="0"/>
    <x v="1"/>
    <n v="892.60223179758896"/>
    <n v="325799.81460612"/>
    <n v="1172879.33258203"/>
  </r>
  <r>
    <x v="0"/>
    <x v="0"/>
    <x v="1"/>
    <x v="2"/>
    <x v="8"/>
    <s v="NO3_A1"/>
    <x v="5"/>
    <x v="4"/>
    <x v="56"/>
    <x v="0"/>
    <x v="2"/>
    <n v="892.60223179758896"/>
    <n v="325799.81460612"/>
    <n v="1172879.33258203"/>
  </r>
  <r>
    <x v="0"/>
    <x v="0"/>
    <x v="1"/>
    <x v="2"/>
    <x v="8"/>
    <s v="NO3_A1"/>
    <x v="5"/>
    <x v="4"/>
    <x v="56"/>
    <x v="0"/>
    <x v="3"/>
    <n v="892.60223179758896"/>
    <n v="325799.81460612"/>
    <n v="1172879.33258203"/>
  </r>
  <r>
    <x v="0"/>
    <x v="0"/>
    <x v="1"/>
    <x v="2"/>
    <x v="8"/>
    <s v="NO3_A1"/>
    <x v="5"/>
    <x v="4"/>
    <x v="56"/>
    <x v="0"/>
    <x v="4"/>
    <n v="892.60223179758896"/>
    <n v="325799.81460612"/>
    <n v="1172879.33258203"/>
  </r>
  <r>
    <x v="0"/>
    <x v="0"/>
    <x v="1"/>
    <x v="2"/>
    <x v="8"/>
    <s v="NO3_A1"/>
    <x v="5"/>
    <x v="4"/>
    <x v="56"/>
    <x v="0"/>
    <x v="5"/>
    <n v="892.60223179758896"/>
    <n v="325799.81460612"/>
    <n v="1172879.33258203"/>
  </r>
  <r>
    <x v="0"/>
    <x v="0"/>
    <x v="1"/>
    <x v="2"/>
    <x v="8"/>
    <s v="NO3_A1"/>
    <x v="5"/>
    <x v="4"/>
    <x v="56"/>
    <x v="0"/>
    <x v="6"/>
    <n v="892.60223179758896"/>
    <n v="325799.81460612"/>
    <n v="1172879.33258203"/>
  </r>
  <r>
    <x v="0"/>
    <x v="0"/>
    <x v="1"/>
    <x v="2"/>
    <x v="8"/>
    <s v="NO3_A1"/>
    <x v="5"/>
    <x v="4"/>
    <x v="56"/>
    <x v="0"/>
    <x v="7"/>
    <n v="892.60223179758896"/>
    <n v="325799.81460612"/>
    <n v="1172879.33258203"/>
  </r>
  <r>
    <x v="0"/>
    <x v="0"/>
    <x v="1"/>
    <x v="2"/>
    <x v="8"/>
    <s v="NO3_A1"/>
    <x v="5"/>
    <x v="4"/>
    <x v="56"/>
    <x v="0"/>
    <x v="8"/>
    <n v="892.60223179758896"/>
    <n v="325799.81460612"/>
    <n v="1172879.33258203"/>
  </r>
  <r>
    <x v="0"/>
    <x v="0"/>
    <x v="1"/>
    <x v="2"/>
    <x v="8"/>
    <s v="NO3_A1"/>
    <x v="5"/>
    <x v="4"/>
    <x v="56"/>
    <x v="0"/>
    <x v="9"/>
    <n v="892.60223179758896"/>
    <n v="325799.81460612"/>
    <n v="1172879.33258203"/>
  </r>
  <r>
    <x v="0"/>
    <x v="0"/>
    <x v="1"/>
    <x v="2"/>
    <x v="8"/>
    <s v="NO3_A1"/>
    <x v="5"/>
    <x v="4"/>
    <x v="56"/>
    <x v="0"/>
    <x v="10"/>
    <n v="892.60223179758896"/>
    <n v="325799.81460612"/>
    <n v="1172879.33258203"/>
  </r>
  <r>
    <x v="0"/>
    <x v="0"/>
    <x v="1"/>
    <x v="2"/>
    <x v="8"/>
    <s v="NO3_A1"/>
    <x v="5"/>
    <x v="4"/>
    <x v="56"/>
    <x v="0"/>
    <x v="11"/>
    <n v="892.60223179758896"/>
    <n v="325799.81460612"/>
    <n v="1172879.33258203"/>
  </r>
  <r>
    <x v="0"/>
    <x v="0"/>
    <x v="1"/>
    <x v="2"/>
    <x v="8"/>
    <s v="NO3_A1"/>
    <x v="5"/>
    <x v="4"/>
    <x v="56"/>
    <x v="0"/>
    <x v="12"/>
    <n v="892.60223179758896"/>
    <n v="325799.81460612"/>
    <n v="1172879.33258203"/>
  </r>
  <r>
    <x v="0"/>
    <x v="0"/>
    <x v="1"/>
    <x v="2"/>
    <x v="8"/>
    <s v="NO3_A1"/>
    <x v="5"/>
    <x v="4"/>
    <x v="56"/>
    <x v="0"/>
    <x v="13"/>
    <n v="892.60223179758896"/>
    <n v="325799.81460612"/>
    <n v="1172879.33258203"/>
  </r>
  <r>
    <x v="0"/>
    <x v="0"/>
    <x v="1"/>
    <x v="2"/>
    <x v="8"/>
    <s v="NO3_A1"/>
    <x v="5"/>
    <x v="4"/>
    <x v="56"/>
    <x v="0"/>
    <x v="14"/>
    <n v="892.60223179758896"/>
    <n v="325799.81460612"/>
    <n v="1172879.33258203"/>
  </r>
  <r>
    <x v="0"/>
    <x v="0"/>
    <x v="1"/>
    <x v="2"/>
    <x v="8"/>
    <s v="NO3_A1"/>
    <x v="5"/>
    <x v="4"/>
    <x v="56"/>
    <x v="0"/>
    <x v="15"/>
    <n v="892.60223179758896"/>
    <n v="325799.81460612"/>
    <n v="1172879.33258203"/>
  </r>
  <r>
    <x v="0"/>
    <x v="0"/>
    <x v="1"/>
    <x v="2"/>
    <x v="8"/>
    <s v="NO3_A1"/>
    <x v="5"/>
    <x v="4"/>
    <x v="56"/>
    <x v="0"/>
    <x v="16"/>
    <n v="892.60223179758896"/>
    <n v="325799.81460612"/>
    <n v="1172879.33258203"/>
  </r>
  <r>
    <x v="0"/>
    <x v="0"/>
    <x v="1"/>
    <x v="2"/>
    <x v="8"/>
    <s v="NO3_A1"/>
    <x v="5"/>
    <x v="4"/>
    <x v="56"/>
    <x v="0"/>
    <x v="17"/>
    <n v="892.60223179758896"/>
    <n v="325799.81460612"/>
    <n v="1172879.33258203"/>
  </r>
  <r>
    <x v="0"/>
    <x v="0"/>
    <x v="1"/>
    <x v="2"/>
    <x v="8"/>
    <s v="NO3_A1"/>
    <x v="5"/>
    <x v="4"/>
    <x v="56"/>
    <x v="0"/>
    <x v="18"/>
    <n v="892.60223179758896"/>
    <n v="325799.81460612"/>
    <n v="1172879.33258203"/>
  </r>
  <r>
    <x v="0"/>
    <x v="0"/>
    <x v="1"/>
    <x v="2"/>
    <x v="8"/>
    <s v="NO3_A1"/>
    <x v="5"/>
    <x v="4"/>
    <x v="56"/>
    <x v="0"/>
    <x v="19"/>
    <n v="892.60223179758896"/>
    <n v="325799.81460612"/>
    <n v="1172879.33258203"/>
  </r>
  <r>
    <x v="0"/>
    <x v="0"/>
    <x v="1"/>
    <x v="2"/>
    <x v="8"/>
    <s v="NO3_A1"/>
    <x v="5"/>
    <x v="4"/>
    <x v="56"/>
    <x v="0"/>
    <x v="20"/>
    <n v="892.60223179758896"/>
    <n v="325799.81460612"/>
    <n v="1172879.33258203"/>
  </r>
  <r>
    <x v="0"/>
    <x v="0"/>
    <x v="1"/>
    <x v="2"/>
    <x v="8"/>
    <s v="NO3_A1"/>
    <x v="5"/>
    <x v="4"/>
    <x v="56"/>
    <x v="0"/>
    <x v="21"/>
    <n v="892.60223179758896"/>
    <n v="325799.81460612"/>
    <n v="1172879.33258203"/>
  </r>
  <r>
    <x v="0"/>
    <x v="0"/>
    <x v="1"/>
    <x v="2"/>
    <x v="8"/>
    <s v="NO3_A1"/>
    <x v="5"/>
    <x v="4"/>
    <x v="56"/>
    <x v="0"/>
    <x v="22"/>
    <n v="892.60223179758896"/>
    <n v="325799.81460612"/>
    <n v="1172879.33258203"/>
  </r>
  <r>
    <x v="0"/>
    <x v="0"/>
    <x v="1"/>
    <x v="2"/>
    <x v="8"/>
    <s v="NO3_A1"/>
    <x v="5"/>
    <x v="4"/>
    <x v="56"/>
    <x v="0"/>
    <x v="23"/>
    <n v="892.60223179758896"/>
    <n v="325799.81460612"/>
    <n v="1172879.33258203"/>
  </r>
  <r>
    <x v="0"/>
    <x v="0"/>
    <x v="1"/>
    <x v="2"/>
    <x v="8"/>
    <s v="NO3_A1"/>
    <x v="6"/>
    <x v="5"/>
    <x v="11"/>
    <x v="0"/>
    <x v="0"/>
    <n v="266.24341144288798"/>
    <n v="97178.845176653995"/>
    <n v="349843.84263595397"/>
  </r>
  <r>
    <x v="0"/>
    <x v="0"/>
    <x v="1"/>
    <x v="2"/>
    <x v="8"/>
    <s v="NO3_A1"/>
    <x v="6"/>
    <x v="5"/>
    <x v="11"/>
    <x v="0"/>
    <x v="1"/>
    <n v="287.23014167541601"/>
    <n v="104839.001711527"/>
    <n v="377420.40616149601"/>
  </r>
  <r>
    <x v="0"/>
    <x v="0"/>
    <x v="1"/>
    <x v="2"/>
    <x v="8"/>
    <s v="NO3_A1"/>
    <x v="6"/>
    <x v="5"/>
    <x v="11"/>
    <x v="0"/>
    <x v="2"/>
    <n v="255.87267417782201"/>
    <n v="93393.526074905007"/>
    <n v="336216.69386965799"/>
  </r>
  <r>
    <x v="0"/>
    <x v="0"/>
    <x v="1"/>
    <x v="2"/>
    <x v="8"/>
    <s v="NO3_A1"/>
    <x v="6"/>
    <x v="5"/>
    <x v="11"/>
    <x v="0"/>
    <x v="3"/>
    <n v="248.32651862732499"/>
    <n v="90639.179298973802"/>
    <n v="326301.045476306"/>
  </r>
  <r>
    <x v="0"/>
    <x v="0"/>
    <x v="1"/>
    <x v="2"/>
    <x v="8"/>
    <s v="NO3_A1"/>
    <x v="6"/>
    <x v="5"/>
    <x v="11"/>
    <x v="0"/>
    <x v="4"/>
    <n v="306.785017315495"/>
    <n v="111976.53132015601"/>
    <n v="403115.51275256102"/>
  </r>
  <r>
    <x v="0"/>
    <x v="0"/>
    <x v="1"/>
    <x v="2"/>
    <x v="8"/>
    <s v="NO3_A1"/>
    <x v="6"/>
    <x v="5"/>
    <x v="11"/>
    <x v="0"/>
    <x v="5"/>
    <n v="297.59307352465601"/>
    <n v="108621.471836499"/>
    <n v="391037.29861139797"/>
  </r>
  <r>
    <x v="0"/>
    <x v="0"/>
    <x v="1"/>
    <x v="2"/>
    <x v="8"/>
    <s v="NO3_A1"/>
    <x v="6"/>
    <x v="5"/>
    <x v="11"/>
    <x v="0"/>
    <x v="6"/>
    <n v="270.32847997094899"/>
    <n v="98669.895189396295"/>
    <n v="355211.62268182699"/>
  </r>
  <r>
    <x v="0"/>
    <x v="0"/>
    <x v="1"/>
    <x v="2"/>
    <x v="8"/>
    <s v="NO3_A1"/>
    <x v="6"/>
    <x v="5"/>
    <x v="11"/>
    <x v="0"/>
    <x v="7"/>
    <n v="247.39185145449099"/>
    <n v="90298.025780889293"/>
    <n v="325072.89281120099"/>
  </r>
  <r>
    <x v="0"/>
    <x v="0"/>
    <x v="1"/>
    <x v="2"/>
    <x v="8"/>
    <s v="NO3_A1"/>
    <x v="6"/>
    <x v="5"/>
    <x v="11"/>
    <x v="0"/>
    <x v="8"/>
    <n v="229.28419026051"/>
    <n v="83688.729445086006"/>
    <n v="301279.42600231001"/>
  </r>
  <r>
    <x v="0"/>
    <x v="0"/>
    <x v="1"/>
    <x v="2"/>
    <x v="8"/>
    <s v="NO3_A1"/>
    <x v="6"/>
    <x v="5"/>
    <x v="11"/>
    <x v="0"/>
    <x v="9"/>
    <n v="165.88192691229099"/>
    <n v="60546.903322986298"/>
    <n v="217968.85196275101"/>
  </r>
  <r>
    <x v="0"/>
    <x v="0"/>
    <x v="1"/>
    <x v="2"/>
    <x v="8"/>
    <s v="NO3_A1"/>
    <x v="6"/>
    <x v="5"/>
    <x v="11"/>
    <x v="0"/>
    <x v="10"/>
    <n v="76.979445356093095"/>
    <n v="28097.497554974001"/>
    <n v="101150.991197906"/>
  </r>
  <r>
    <x v="0"/>
    <x v="0"/>
    <x v="1"/>
    <x v="2"/>
    <x v="8"/>
    <s v="NO3_A1"/>
    <x v="6"/>
    <x v="5"/>
    <x v="11"/>
    <x v="0"/>
    <x v="11"/>
    <n v="66.0064361824722"/>
    <n v="24092.349206602299"/>
    <n v="86732.457143768406"/>
  </r>
  <r>
    <x v="0"/>
    <x v="0"/>
    <x v="1"/>
    <x v="2"/>
    <x v="8"/>
    <s v="NO3_A1"/>
    <x v="6"/>
    <x v="5"/>
    <x v="11"/>
    <x v="0"/>
    <x v="12"/>
    <n v="121.795834027577"/>
    <n v="44455.4794200658"/>
    <n v="160039.72591223699"/>
  </r>
  <r>
    <x v="0"/>
    <x v="0"/>
    <x v="1"/>
    <x v="2"/>
    <x v="8"/>
    <s v="NO3_A1"/>
    <x v="6"/>
    <x v="5"/>
    <x v="11"/>
    <x v="0"/>
    <x v="13"/>
    <n v="250.56202987618201"/>
    <n v="91455.140904806598"/>
    <n v="329238.50725730398"/>
  </r>
  <r>
    <x v="0"/>
    <x v="0"/>
    <x v="1"/>
    <x v="2"/>
    <x v="8"/>
    <s v="NO3_A1"/>
    <x v="6"/>
    <x v="5"/>
    <x v="11"/>
    <x v="0"/>
    <x v="14"/>
    <n v="313.97167197762502"/>
    <n v="114599.660271833"/>
    <n v="412558.77697859902"/>
  </r>
  <r>
    <x v="0"/>
    <x v="0"/>
    <x v="1"/>
    <x v="2"/>
    <x v="8"/>
    <s v="NO3_A1"/>
    <x v="6"/>
    <x v="5"/>
    <x v="11"/>
    <x v="0"/>
    <x v="15"/>
    <n v="331.13731234334801"/>
    <n v="120865.11900532201"/>
    <n v="435114.42841916002"/>
  </r>
  <r>
    <x v="0"/>
    <x v="0"/>
    <x v="1"/>
    <x v="2"/>
    <x v="8"/>
    <s v="NO3_A1"/>
    <x v="6"/>
    <x v="5"/>
    <x v="11"/>
    <x v="0"/>
    <x v="16"/>
    <n v="371.77145380485598"/>
    <n v="135696.58063877301"/>
    <n v="488507.69029958098"/>
  </r>
  <r>
    <x v="0"/>
    <x v="0"/>
    <x v="1"/>
    <x v="2"/>
    <x v="8"/>
    <s v="NO3_A1"/>
    <x v="6"/>
    <x v="5"/>
    <x v="11"/>
    <x v="0"/>
    <x v="17"/>
    <n v="372.08625551127801"/>
    <n v="135811.48326161699"/>
    <n v="488921.33974181901"/>
  </r>
  <r>
    <x v="0"/>
    <x v="0"/>
    <x v="1"/>
    <x v="2"/>
    <x v="8"/>
    <s v="NO3_A1"/>
    <x v="6"/>
    <x v="5"/>
    <x v="11"/>
    <x v="0"/>
    <x v="18"/>
    <n v="378.82561718035601"/>
    <n v="138271.35027083001"/>
    <n v="497776.86097498698"/>
  </r>
  <r>
    <x v="0"/>
    <x v="0"/>
    <x v="1"/>
    <x v="2"/>
    <x v="8"/>
    <s v="NO3_A1"/>
    <x v="6"/>
    <x v="5"/>
    <x v="11"/>
    <x v="0"/>
    <x v="19"/>
    <n v="301.85445409828901"/>
    <n v="110176.87574587599"/>
    <n v="396636.75268515199"/>
  </r>
  <r>
    <x v="0"/>
    <x v="0"/>
    <x v="1"/>
    <x v="2"/>
    <x v="8"/>
    <s v="NO3_A1"/>
    <x v="6"/>
    <x v="5"/>
    <x v="11"/>
    <x v="0"/>
    <x v="20"/>
    <n v="217.81457091667701"/>
    <n v="79502.318384586906"/>
    <n v="286208.34618451301"/>
  </r>
  <r>
    <x v="0"/>
    <x v="0"/>
    <x v="1"/>
    <x v="2"/>
    <x v="8"/>
    <s v="NO3_A1"/>
    <x v="6"/>
    <x v="5"/>
    <x v="11"/>
    <x v="0"/>
    <x v="21"/>
    <n v="162.39729815337901"/>
    <n v="59275.013825983398"/>
    <n v="213390.04977354"/>
  </r>
  <r>
    <x v="0"/>
    <x v="0"/>
    <x v="1"/>
    <x v="2"/>
    <x v="8"/>
    <s v="NO3_A1"/>
    <x v="6"/>
    <x v="5"/>
    <x v="11"/>
    <x v="0"/>
    <x v="22"/>
    <n v="139.208361452703"/>
    <n v="50811.051930236397"/>
    <n v="182919.78694885099"/>
  </r>
  <r>
    <x v="0"/>
    <x v="0"/>
    <x v="1"/>
    <x v="2"/>
    <x v="8"/>
    <s v="NO3_A1"/>
    <x v="6"/>
    <x v="5"/>
    <x v="11"/>
    <x v="0"/>
    <x v="23"/>
    <n v="152.18128882581601"/>
    <n v="55546.170421422699"/>
    <n v="199966.213517122"/>
  </r>
  <r>
    <x v="0"/>
    <x v="0"/>
    <x v="1"/>
    <x v="2"/>
    <x v="8"/>
    <s v="NO3_A2"/>
    <x v="1"/>
    <x v="1"/>
    <x v="58"/>
    <x v="0"/>
    <x v="0"/>
    <n v="-90.306122448979593"/>
    <n v="-32961.734693877603"/>
    <n v="-118662.244897959"/>
  </r>
  <r>
    <x v="0"/>
    <x v="0"/>
    <x v="1"/>
    <x v="2"/>
    <x v="8"/>
    <s v="NO3_A2"/>
    <x v="1"/>
    <x v="1"/>
    <x v="58"/>
    <x v="0"/>
    <x v="1"/>
    <n v="-90.306122448979593"/>
    <n v="-32961.734693877603"/>
    <n v="-118662.244897959"/>
  </r>
  <r>
    <x v="0"/>
    <x v="0"/>
    <x v="1"/>
    <x v="2"/>
    <x v="8"/>
    <s v="NO3_A2"/>
    <x v="1"/>
    <x v="1"/>
    <x v="58"/>
    <x v="0"/>
    <x v="2"/>
    <n v="-90.306122448979593"/>
    <n v="-32961.734693877603"/>
    <n v="-118662.244897959"/>
  </r>
  <r>
    <x v="0"/>
    <x v="0"/>
    <x v="1"/>
    <x v="2"/>
    <x v="8"/>
    <s v="NO3_A2"/>
    <x v="1"/>
    <x v="1"/>
    <x v="58"/>
    <x v="0"/>
    <x v="3"/>
    <n v="-90.306122448979593"/>
    <n v="-32961.734693877603"/>
    <n v="-118662.244897959"/>
  </r>
  <r>
    <x v="0"/>
    <x v="0"/>
    <x v="1"/>
    <x v="2"/>
    <x v="8"/>
    <s v="NO3_A2"/>
    <x v="1"/>
    <x v="1"/>
    <x v="58"/>
    <x v="0"/>
    <x v="4"/>
    <n v="-90.306122448979593"/>
    <n v="-32961.734693877603"/>
    <n v="-118662.244897959"/>
  </r>
  <r>
    <x v="0"/>
    <x v="0"/>
    <x v="1"/>
    <x v="2"/>
    <x v="8"/>
    <s v="NO3_A2"/>
    <x v="1"/>
    <x v="1"/>
    <x v="58"/>
    <x v="0"/>
    <x v="5"/>
    <n v="-90.306122448979593"/>
    <n v="-32961.734693877603"/>
    <n v="-118662.244897959"/>
  </r>
  <r>
    <x v="0"/>
    <x v="0"/>
    <x v="1"/>
    <x v="2"/>
    <x v="8"/>
    <s v="NO3_A2"/>
    <x v="1"/>
    <x v="1"/>
    <x v="58"/>
    <x v="0"/>
    <x v="6"/>
    <n v="-90.306122448979593"/>
    <n v="-32961.734693877603"/>
    <n v="-118662.244897959"/>
  </r>
  <r>
    <x v="0"/>
    <x v="0"/>
    <x v="1"/>
    <x v="2"/>
    <x v="8"/>
    <s v="NO3_A2"/>
    <x v="1"/>
    <x v="1"/>
    <x v="58"/>
    <x v="0"/>
    <x v="7"/>
    <n v="-90.306122448979593"/>
    <n v="-32961.734693877603"/>
    <n v="-118662.244897959"/>
  </r>
  <r>
    <x v="0"/>
    <x v="0"/>
    <x v="1"/>
    <x v="2"/>
    <x v="8"/>
    <s v="NO3_A2"/>
    <x v="1"/>
    <x v="1"/>
    <x v="58"/>
    <x v="0"/>
    <x v="8"/>
    <n v="-90.306122448979593"/>
    <n v="-32961.734693877603"/>
    <n v="-118662.244897959"/>
  </r>
  <r>
    <x v="0"/>
    <x v="0"/>
    <x v="1"/>
    <x v="2"/>
    <x v="8"/>
    <s v="NO3_A2"/>
    <x v="1"/>
    <x v="1"/>
    <x v="58"/>
    <x v="0"/>
    <x v="9"/>
    <n v="-90.306122448979593"/>
    <n v="-32961.734693877603"/>
    <n v="-118662.244897959"/>
  </r>
  <r>
    <x v="0"/>
    <x v="0"/>
    <x v="1"/>
    <x v="2"/>
    <x v="8"/>
    <s v="NO3_A2"/>
    <x v="1"/>
    <x v="1"/>
    <x v="58"/>
    <x v="0"/>
    <x v="10"/>
    <n v="-90.306122448979593"/>
    <n v="-32961.734693877603"/>
    <n v="-118662.244897959"/>
  </r>
  <r>
    <x v="0"/>
    <x v="0"/>
    <x v="1"/>
    <x v="2"/>
    <x v="8"/>
    <s v="NO3_A2"/>
    <x v="1"/>
    <x v="1"/>
    <x v="58"/>
    <x v="0"/>
    <x v="11"/>
    <n v="-90.306122448979593"/>
    <n v="-32961.734693877603"/>
    <n v="-118662.244897959"/>
  </r>
  <r>
    <x v="0"/>
    <x v="0"/>
    <x v="1"/>
    <x v="2"/>
    <x v="8"/>
    <s v="NO3_A2"/>
    <x v="1"/>
    <x v="1"/>
    <x v="58"/>
    <x v="0"/>
    <x v="12"/>
    <n v="-90.306122448979593"/>
    <n v="-32961.734693877603"/>
    <n v="-118662.244897959"/>
  </r>
  <r>
    <x v="0"/>
    <x v="0"/>
    <x v="1"/>
    <x v="2"/>
    <x v="8"/>
    <s v="NO3_A2"/>
    <x v="1"/>
    <x v="1"/>
    <x v="58"/>
    <x v="0"/>
    <x v="13"/>
    <n v="-90.306122448979593"/>
    <n v="-32961.734693877603"/>
    <n v="-118662.244897959"/>
  </r>
  <r>
    <x v="0"/>
    <x v="0"/>
    <x v="1"/>
    <x v="2"/>
    <x v="8"/>
    <s v="NO3_A2"/>
    <x v="1"/>
    <x v="1"/>
    <x v="58"/>
    <x v="0"/>
    <x v="14"/>
    <n v="-90.306122448979593"/>
    <n v="-32961.734693877603"/>
    <n v="-118662.244897959"/>
  </r>
  <r>
    <x v="0"/>
    <x v="0"/>
    <x v="1"/>
    <x v="2"/>
    <x v="8"/>
    <s v="NO3_A2"/>
    <x v="1"/>
    <x v="1"/>
    <x v="58"/>
    <x v="0"/>
    <x v="15"/>
    <n v="-90.306122448979593"/>
    <n v="-32961.734693877603"/>
    <n v="-118662.244897959"/>
  </r>
  <r>
    <x v="0"/>
    <x v="0"/>
    <x v="1"/>
    <x v="2"/>
    <x v="8"/>
    <s v="NO3_A2"/>
    <x v="1"/>
    <x v="1"/>
    <x v="58"/>
    <x v="0"/>
    <x v="16"/>
    <n v="-90.306122448979593"/>
    <n v="-32961.734693877603"/>
    <n v="-118662.244897959"/>
  </r>
  <r>
    <x v="0"/>
    <x v="0"/>
    <x v="1"/>
    <x v="2"/>
    <x v="8"/>
    <s v="NO3_A2"/>
    <x v="1"/>
    <x v="1"/>
    <x v="58"/>
    <x v="0"/>
    <x v="17"/>
    <n v="-90.306122448979593"/>
    <n v="-32961.734693877603"/>
    <n v="-118662.244897959"/>
  </r>
  <r>
    <x v="0"/>
    <x v="0"/>
    <x v="1"/>
    <x v="2"/>
    <x v="8"/>
    <s v="NO3_A2"/>
    <x v="1"/>
    <x v="1"/>
    <x v="58"/>
    <x v="0"/>
    <x v="18"/>
    <n v="-90.306122448979593"/>
    <n v="-32961.734693877603"/>
    <n v="-118662.244897959"/>
  </r>
  <r>
    <x v="0"/>
    <x v="0"/>
    <x v="1"/>
    <x v="2"/>
    <x v="8"/>
    <s v="NO3_A2"/>
    <x v="1"/>
    <x v="1"/>
    <x v="58"/>
    <x v="0"/>
    <x v="19"/>
    <n v="-90.306122448979593"/>
    <n v="-32961.734693877603"/>
    <n v="-118662.244897959"/>
  </r>
  <r>
    <x v="0"/>
    <x v="0"/>
    <x v="1"/>
    <x v="2"/>
    <x v="8"/>
    <s v="NO3_A2"/>
    <x v="1"/>
    <x v="1"/>
    <x v="58"/>
    <x v="0"/>
    <x v="20"/>
    <n v="-90.306122448979593"/>
    <n v="-32961.734693877603"/>
    <n v="-118662.244897959"/>
  </r>
  <r>
    <x v="0"/>
    <x v="0"/>
    <x v="1"/>
    <x v="2"/>
    <x v="8"/>
    <s v="NO3_A2"/>
    <x v="1"/>
    <x v="1"/>
    <x v="58"/>
    <x v="0"/>
    <x v="21"/>
    <n v="-90.306122448979593"/>
    <n v="-32961.734693877603"/>
    <n v="-118662.244897959"/>
  </r>
  <r>
    <x v="0"/>
    <x v="0"/>
    <x v="1"/>
    <x v="2"/>
    <x v="8"/>
    <s v="NO3_A2"/>
    <x v="1"/>
    <x v="1"/>
    <x v="58"/>
    <x v="0"/>
    <x v="22"/>
    <n v="-89.746594157315897"/>
    <n v="-32757.506867420299"/>
    <n v="-117927.024722713"/>
  </r>
  <r>
    <x v="0"/>
    <x v="0"/>
    <x v="1"/>
    <x v="2"/>
    <x v="8"/>
    <s v="NO3_A2"/>
    <x v="1"/>
    <x v="1"/>
    <x v="58"/>
    <x v="0"/>
    <x v="23"/>
    <n v="-85.827917674051307"/>
    <n v="-31327.1899510287"/>
    <n v="-112777.883823703"/>
  </r>
  <r>
    <x v="0"/>
    <x v="0"/>
    <x v="1"/>
    <x v="2"/>
    <x v="8"/>
    <s v="NO3_A2"/>
    <x v="1"/>
    <x v="1"/>
    <x v="54"/>
    <x v="0"/>
    <x v="0"/>
    <n v="-0.37037037037037002"/>
    <n v="-135.18518518518499"/>
    <n v="-486.66666666666703"/>
  </r>
  <r>
    <x v="0"/>
    <x v="0"/>
    <x v="1"/>
    <x v="2"/>
    <x v="8"/>
    <s v="NO3_A2"/>
    <x v="1"/>
    <x v="1"/>
    <x v="54"/>
    <x v="0"/>
    <x v="1"/>
    <n v="-0.37037037037037002"/>
    <n v="-135.18518518518499"/>
    <n v="-486.66666666666703"/>
  </r>
  <r>
    <x v="0"/>
    <x v="0"/>
    <x v="1"/>
    <x v="2"/>
    <x v="8"/>
    <s v="NO3_A2"/>
    <x v="1"/>
    <x v="1"/>
    <x v="54"/>
    <x v="0"/>
    <x v="2"/>
    <n v="-0.37037037037037002"/>
    <n v="-135.18518518518499"/>
    <n v="-486.66666666666703"/>
  </r>
  <r>
    <x v="0"/>
    <x v="0"/>
    <x v="1"/>
    <x v="2"/>
    <x v="8"/>
    <s v="NO3_A2"/>
    <x v="1"/>
    <x v="1"/>
    <x v="54"/>
    <x v="0"/>
    <x v="3"/>
    <n v="-0.37037037037037002"/>
    <n v="-135.18518518518499"/>
    <n v="-486.66666666666703"/>
  </r>
  <r>
    <x v="0"/>
    <x v="0"/>
    <x v="1"/>
    <x v="2"/>
    <x v="8"/>
    <s v="NO3_A2"/>
    <x v="1"/>
    <x v="1"/>
    <x v="54"/>
    <x v="0"/>
    <x v="4"/>
    <n v="-0.37037037037037002"/>
    <n v="-135.18518518518499"/>
    <n v="-486.66666666666703"/>
  </r>
  <r>
    <x v="0"/>
    <x v="0"/>
    <x v="1"/>
    <x v="2"/>
    <x v="8"/>
    <s v="NO3_A2"/>
    <x v="1"/>
    <x v="1"/>
    <x v="54"/>
    <x v="0"/>
    <x v="5"/>
    <n v="-0.37037037037037002"/>
    <n v="-135.18518518518499"/>
    <n v="-486.66666666666703"/>
  </r>
  <r>
    <x v="0"/>
    <x v="0"/>
    <x v="1"/>
    <x v="2"/>
    <x v="8"/>
    <s v="NO3_A2"/>
    <x v="1"/>
    <x v="1"/>
    <x v="54"/>
    <x v="0"/>
    <x v="6"/>
    <n v="-0.37037037037037002"/>
    <n v="-135.18518518518499"/>
    <n v="-486.66666666666703"/>
  </r>
  <r>
    <x v="0"/>
    <x v="0"/>
    <x v="1"/>
    <x v="2"/>
    <x v="8"/>
    <s v="NO3_A2"/>
    <x v="1"/>
    <x v="1"/>
    <x v="54"/>
    <x v="0"/>
    <x v="7"/>
    <n v="-0.37037037037037002"/>
    <n v="-135.18518518518499"/>
    <n v="-486.66666666666703"/>
  </r>
  <r>
    <x v="0"/>
    <x v="0"/>
    <x v="1"/>
    <x v="2"/>
    <x v="8"/>
    <s v="NO3_A2"/>
    <x v="1"/>
    <x v="1"/>
    <x v="54"/>
    <x v="0"/>
    <x v="8"/>
    <n v="-0.37037037037037002"/>
    <n v="-135.18518518518499"/>
    <n v="-486.66666666666703"/>
  </r>
  <r>
    <x v="0"/>
    <x v="0"/>
    <x v="1"/>
    <x v="2"/>
    <x v="8"/>
    <s v="NO3_A2"/>
    <x v="1"/>
    <x v="1"/>
    <x v="54"/>
    <x v="0"/>
    <x v="9"/>
    <n v="-0.37037037037037002"/>
    <n v="-135.18518518518499"/>
    <n v="-486.66666666666703"/>
  </r>
  <r>
    <x v="0"/>
    <x v="0"/>
    <x v="1"/>
    <x v="2"/>
    <x v="8"/>
    <s v="NO3_A2"/>
    <x v="1"/>
    <x v="1"/>
    <x v="54"/>
    <x v="0"/>
    <x v="10"/>
    <n v="-0.37037037037037002"/>
    <n v="-135.18518518518499"/>
    <n v="-486.66666666666703"/>
  </r>
  <r>
    <x v="0"/>
    <x v="0"/>
    <x v="1"/>
    <x v="2"/>
    <x v="8"/>
    <s v="NO3_A2"/>
    <x v="1"/>
    <x v="1"/>
    <x v="54"/>
    <x v="0"/>
    <x v="11"/>
    <n v="-0.37037037037037002"/>
    <n v="-135.18518518518499"/>
    <n v="-486.66666666666703"/>
  </r>
  <r>
    <x v="0"/>
    <x v="0"/>
    <x v="1"/>
    <x v="2"/>
    <x v="8"/>
    <s v="NO3_A2"/>
    <x v="1"/>
    <x v="1"/>
    <x v="54"/>
    <x v="0"/>
    <x v="12"/>
    <n v="-0.37037037037037002"/>
    <n v="-135.18518518518499"/>
    <n v="-486.66666666666703"/>
  </r>
  <r>
    <x v="0"/>
    <x v="0"/>
    <x v="1"/>
    <x v="2"/>
    <x v="8"/>
    <s v="NO3_A2"/>
    <x v="1"/>
    <x v="1"/>
    <x v="54"/>
    <x v="0"/>
    <x v="13"/>
    <n v="-0.37037037037037002"/>
    <n v="-135.18518518518499"/>
    <n v="-486.66666666666703"/>
  </r>
  <r>
    <x v="0"/>
    <x v="0"/>
    <x v="1"/>
    <x v="2"/>
    <x v="8"/>
    <s v="NO3_A2"/>
    <x v="1"/>
    <x v="1"/>
    <x v="54"/>
    <x v="0"/>
    <x v="14"/>
    <n v="-0.37037037037037002"/>
    <n v="-135.18518518518499"/>
    <n v="-486.66666666666703"/>
  </r>
  <r>
    <x v="0"/>
    <x v="0"/>
    <x v="1"/>
    <x v="2"/>
    <x v="8"/>
    <s v="NO3_A2"/>
    <x v="1"/>
    <x v="1"/>
    <x v="54"/>
    <x v="0"/>
    <x v="15"/>
    <n v="-0.37037037037037002"/>
    <n v="-135.18518518518499"/>
    <n v="-486.66666666666703"/>
  </r>
  <r>
    <x v="0"/>
    <x v="0"/>
    <x v="1"/>
    <x v="2"/>
    <x v="8"/>
    <s v="NO3_A2"/>
    <x v="1"/>
    <x v="1"/>
    <x v="54"/>
    <x v="0"/>
    <x v="16"/>
    <n v="-0.37037037037037002"/>
    <n v="-135.18518518518499"/>
    <n v="-486.66666666666703"/>
  </r>
  <r>
    <x v="0"/>
    <x v="0"/>
    <x v="1"/>
    <x v="2"/>
    <x v="8"/>
    <s v="NO3_A2"/>
    <x v="1"/>
    <x v="1"/>
    <x v="54"/>
    <x v="0"/>
    <x v="17"/>
    <n v="-0.37037037037037002"/>
    <n v="-135.18518518518499"/>
    <n v="-486.66666666666703"/>
  </r>
  <r>
    <x v="0"/>
    <x v="0"/>
    <x v="1"/>
    <x v="2"/>
    <x v="8"/>
    <s v="NO3_A2"/>
    <x v="1"/>
    <x v="1"/>
    <x v="54"/>
    <x v="0"/>
    <x v="18"/>
    <n v="-0.37037037037037002"/>
    <n v="-135.18518518518499"/>
    <n v="-486.66666666666703"/>
  </r>
  <r>
    <x v="0"/>
    <x v="0"/>
    <x v="1"/>
    <x v="2"/>
    <x v="8"/>
    <s v="NO3_A2"/>
    <x v="1"/>
    <x v="1"/>
    <x v="54"/>
    <x v="0"/>
    <x v="19"/>
    <n v="-0.37037037037037002"/>
    <n v="-135.18518518518499"/>
    <n v="-486.66666666666703"/>
  </r>
  <r>
    <x v="0"/>
    <x v="0"/>
    <x v="1"/>
    <x v="2"/>
    <x v="8"/>
    <s v="NO3_A2"/>
    <x v="1"/>
    <x v="1"/>
    <x v="54"/>
    <x v="0"/>
    <x v="20"/>
    <n v="-0.37037037037037002"/>
    <n v="-135.18518518518499"/>
    <n v="-486.66666666666703"/>
  </r>
  <r>
    <x v="0"/>
    <x v="0"/>
    <x v="1"/>
    <x v="2"/>
    <x v="8"/>
    <s v="NO3_A2"/>
    <x v="1"/>
    <x v="1"/>
    <x v="54"/>
    <x v="0"/>
    <x v="21"/>
    <n v="-0.37037037037037002"/>
    <n v="-135.18518518518499"/>
    <n v="-486.66666666666703"/>
  </r>
  <r>
    <x v="0"/>
    <x v="0"/>
    <x v="1"/>
    <x v="2"/>
    <x v="8"/>
    <s v="NO3_A2"/>
    <x v="1"/>
    <x v="1"/>
    <x v="54"/>
    <x v="0"/>
    <x v="22"/>
    <n v="-0.37037037037037002"/>
    <n v="-135.18518518518499"/>
    <n v="-486.66666666666703"/>
  </r>
  <r>
    <x v="0"/>
    <x v="0"/>
    <x v="1"/>
    <x v="2"/>
    <x v="8"/>
    <s v="NO3_A2"/>
    <x v="1"/>
    <x v="1"/>
    <x v="54"/>
    <x v="0"/>
    <x v="23"/>
    <n v="-0.37037037037037002"/>
    <n v="-135.18518518518499"/>
    <n v="-486.66666666666703"/>
  </r>
  <r>
    <x v="0"/>
    <x v="0"/>
    <x v="1"/>
    <x v="2"/>
    <x v="9"/>
    <s v="NO4_A1"/>
    <x v="4"/>
    <x v="3"/>
    <x v="93"/>
    <x v="0"/>
    <x v="0"/>
    <n v="878.07168533073298"/>
    <n v="320496.16514571698"/>
    <n v="1153786.1945245799"/>
  </r>
  <r>
    <x v="0"/>
    <x v="0"/>
    <x v="1"/>
    <x v="2"/>
    <x v="9"/>
    <s v="NO4_A1"/>
    <x v="4"/>
    <x v="3"/>
    <x v="93"/>
    <x v="0"/>
    <x v="1"/>
    <n v="430.92332558084701"/>
    <n v="157287.013837009"/>
    <n v="566233.24981323304"/>
  </r>
  <r>
    <x v="0"/>
    <x v="0"/>
    <x v="1"/>
    <x v="2"/>
    <x v="9"/>
    <s v="NO4_A1"/>
    <x v="4"/>
    <x v="3"/>
    <x v="93"/>
    <x v="0"/>
    <x v="2"/>
    <n v="445.743293756105"/>
    <n v="162696.30222097799"/>
    <n v="585706.68799552298"/>
  </r>
  <r>
    <x v="0"/>
    <x v="0"/>
    <x v="1"/>
    <x v="2"/>
    <x v="9"/>
    <s v="NO4_A1"/>
    <x v="4"/>
    <x v="3"/>
    <x v="93"/>
    <x v="0"/>
    <x v="3"/>
    <n v="701.00149658731198"/>
    <n v="255865.54625436899"/>
    <n v="921115.96651572804"/>
  </r>
  <r>
    <x v="0"/>
    <x v="0"/>
    <x v="1"/>
    <x v="2"/>
    <x v="9"/>
    <s v="NO4_A1"/>
    <x v="4"/>
    <x v="3"/>
    <x v="93"/>
    <x v="0"/>
    <x v="4"/>
    <n v="809.76467670552199"/>
    <n v="295564.10699751601"/>
    <n v="1064030.78519106"/>
  </r>
  <r>
    <x v="0"/>
    <x v="0"/>
    <x v="1"/>
    <x v="2"/>
    <x v="9"/>
    <s v="NO4_A1"/>
    <x v="4"/>
    <x v="3"/>
    <x v="93"/>
    <x v="0"/>
    <x v="5"/>
    <n v="911.09294243648901"/>
    <n v="332548.92398931802"/>
    <n v="1197176.1263615501"/>
  </r>
  <r>
    <x v="0"/>
    <x v="0"/>
    <x v="1"/>
    <x v="2"/>
    <x v="9"/>
    <s v="NO4_A1"/>
    <x v="4"/>
    <x v="3"/>
    <x v="93"/>
    <x v="0"/>
    <x v="6"/>
    <n v="1340.3086993209499"/>
    <n v="489212.67525214702"/>
    <n v="1761165.63090773"/>
  </r>
  <r>
    <x v="0"/>
    <x v="0"/>
    <x v="1"/>
    <x v="2"/>
    <x v="9"/>
    <s v="NO4_A1"/>
    <x v="4"/>
    <x v="3"/>
    <x v="93"/>
    <x v="0"/>
    <x v="7"/>
    <n v="1631.8241763594999"/>
    <n v="595615.82437121798"/>
    <n v="2144216.9677363802"/>
  </r>
  <r>
    <x v="0"/>
    <x v="0"/>
    <x v="1"/>
    <x v="2"/>
    <x v="9"/>
    <s v="NO4_A1"/>
    <x v="4"/>
    <x v="3"/>
    <x v="93"/>
    <x v="0"/>
    <x v="8"/>
    <n v="1613.96092787261"/>
    <n v="589095.738673502"/>
    <n v="2120744.6592246098"/>
  </r>
  <r>
    <x v="0"/>
    <x v="0"/>
    <x v="1"/>
    <x v="2"/>
    <x v="9"/>
    <s v="NO4_A1"/>
    <x v="4"/>
    <x v="3"/>
    <x v="93"/>
    <x v="0"/>
    <x v="9"/>
    <n v="1458.2150550353399"/>
    <n v="532248.49508789903"/>
    <n v="1916094.5823164401"/>
  </r>
  <r>
    <x v="0"/>
    <x v="0"/>
    <x v="1"/>
    <x v="2"/>
    <x v="9"/>
    <s v="NO4_A1"/>
    <x v="4"/>
    <x v="3"/>
    <x v="93"/>
    <x v="0"/>
    <x v="10"/>
    <n v="1402.2242601790399"/>
    <n v="511811.85496535001"/>
    <n v="1842522.6778752599"/>
  </r>
  <r>
    <x v="0"/>
    <x v="0"/>
    <x v="1"/>
    <x v="2"/>
    <x v="9"/>
    <s v="NO4_A1"/>
    <x v="4"/>
    <x v="3"/>
    <x v="93"/>
    <x v="0"/>
    <x v="11"/>
    <n v="1423.9485607315"/>
    <n v="519741.22466699599"/>
    <n v="1871068.4088011901"/>
  </r>
  <r>
    <x v="0"/>
    <x v="0"/>
    <x v="1"/>
    <x v="2"/>
    <x v="9"/>
    <s v="NO4_A1"/>
    <x v="4"/>
    <x v="3"/>
    <x v="93"/>
    <x v="0"/>
    <x v="12"/>
    <n v="1310.7759150602101"/>
    <n v="478433.20899697702"/>
    <n v="1722359.55238912"/>
  </r>
  <r>
    <x v="0"/>
    <x v="0"/>
    <x v="1"/>
    <x v="2"/>
    <x v="9"/>
    <s v="NO4_A1"/>
    <x v="4"/>
    <x v="3"/>
    <x v="93"/>
    <x v="0"/>
    <x v="13"/>
    <n v="1246.7883161808099"/>
    <n v="455077.73540599702"/>
    <n v="1638279.8474615901"/>
  </r>
  <r>
    <x v="0"/>
    <x v="0"/>
    <x v="1"/>
    <x v="2"/>
    <x v="9"/>
    <s v="NO4_A1"/>
    <x v="4"/>
    <x v="3"/>
    <x v="93"/>
    <x v="0"/>
    <x v="14"/>
    <n v="1050.74803403805"/>
    <n v="383523.03242388699"/>
    <n v="1380682.9167259899"/>
  </r>
  <r>
    <x v="0"/>
    <x v="0"/>
    <x v="1"/>
    <x v="2"/>
    <x v="9"/>
    <s v="NO4_A1"/>
    <x v="4"/>
    <x v="3"/>
    <x v="93"/>
    <x v="0"/>
    <x v="15"/>
    <n v="1044.1512515966499"/>
    <n v="381115.20683277899"/>
    <n v="1372014.7445980001"/>
  </r>
  <r>
    <x v="0"/>
    <x v="0"/>
    <x v="1"/>
    <x v="2"/>
    <x v="9"/>
    <s v="NO4_A1"/>
    <x v="4"/>
    <x v="3"/>
    <x v="93"/>
    <x v="0"/>
    <x v="16"/>
    <n v="833.81928373278004"/>
    <n v="304344.03856246499"/>
    <n v="1095638.53882487"/>
  </r>
  <r>
    <x v="0"/>
    <x v="0"/>
    <x v="1"/>
    <x v="2"/>
    <x v="9"/>
    <s v="NO4_A1"/>
    <x v="4"/>
    <x v="3"/>
    <x v="93"/>
    <x v="0"/>
    <x v="17"/>
    <n v="836.98422829949095"/>
    <n v="305499.24332931399"/>
    <n v="1099797.2759855301"/>
  </r>
  <r>
    <x v="0"/>
    <x v="0"/>
    <x v="1"/>
    <x v="2"/>
    <x v="9"/>
    <s v="NO4_A1"/>
    <x v="4"/>
    <x v="3"/>
    <x v="93"/>
    <x v="0"/>
    <x v="18"/>
    <n v="920.53017253087103"/>
    <n v="335993.512973768"/>
    <n v="1209576.6467055599"/>
  </r>
  <r>
    <x v="0"/>
    <x v="0"/>
    <x v="1"/>
    <x v="2"/>
    <x v="9"/>
    <s v="NO4_A1"/>
    <x v="4"/>
    <x v="3"/>
    <x v="93"/>
    <x v="0"/>
    <x v="19"/>
    <n v="1289.6845100406799"/>
    <n v="470734.84616484802"/>
    <n v="1694645.4461934499"/>
  </r>
  <r>
    <x v="0"/>
    <x v="0"/>
    <x v="1"/>
    <x v="2"/>
    <x v="9"/>
    <s v="NO4_A1"/>
    <x v="4"/>
    <x v="3"/>
    <x v="93"/>
    <x v="0"/>
    <x v="20"/>
    <n v="1292.85156067352"/>
    <n v="471890.81964583503"/>
    <n v="1698806.9507250099"/>
  </r>
  <r>
    <x v="0"/>
    <x v="0"/>
    <x v="1"/>
    <x v="2"/>
    <x v="9"/>
    <s v="NO4_A1"/>
    <x v="4"/>
    <x v="3"/>
    <x v="93"/>
    <x v="0"/>
    <x v="21"/>
    <n v="1347.0794878095301"/>
    <n v="491684.013050479"/>
    <n v="1770062.4469817199"/>
  </r>
  <r>
    <x v="0"/>
    <x v="0"/>
    <x v="1"/>
    <x v="2"/>
    <x v="9"/>
    <s v="NO4_A1"/>
    <x v="4"/>
    <x v="3"/>
    <x v="93"/>
    <x v="0"/>
    <x v="22"/>
    <n v="1413.2771388696999"/>
    <n v="515846.15568743902"/>
    <n v="1857046.16047478"/>
  </r>
  <r>
    <x v="0"/>
    <x v="0"/>
    <x v="1"/>
    <x v="2"/>
    <x v="9"/>
    <s v="NO4_A1"/>
    <x v="4"/>
    <x v="3"/>
    <x v="93"/>
    <x v="0"/>
    <x v="23"/>
    <n v="1378.9086421878301"/>
    <n v="503301.65439855901"/>
    <n v="1811885.9558348099"/>
  </r>
  <r>
    <x v="0"/>
    <x v="0"/>
    <x v="1"/>
    <x v="2"/>
    <x v="9"/>
    <s v="NO4_A1"/>
    <x v="5"/>
    <x v="4"/>
    <x v="56"/>
    <x v="0"/>
    <x v="0"/>
    <n v="678.81173238359804"/>
    <n v="247766.28232001301"/>
    <n v="891958.616352048"/>
  </r>
  <r>
    <x v="0"/>
    <x v="0"/>
    <x v="1"/>
    <x v="2"/>
    <x v="9"/>
    <s v="NO4_A1"/>
    <x v="5"/>
    <x v="4"/>
    <x v="56"/>
    <x v="0"/>
    <x v="1"/>
    <n v="678.81173238359804"/>
    <n v="247766.28232001301"/>
    <n v="891958.616352048"/>
  </r>
  <r>
    <x v="0"/>
    <x v="0"/>
    <x v="1"/>
    <x v="2"/>
    <x v="9"/>
    <s v="NO4_A1"/>
    <x v="5"/>
    <x v="4"/>
    <x v="56"/>
    <x v="0"/>
    <x v="2"/>
    <n v="678.81173238359804"/>
    <n v="247766.28232001301"/>
    <n v="891958.616352048"/>
  </r>
  <r>
    <x v="0"/>
    <x v="0"/>
    <x v="1"/>
    <x v="2"/>
    <x v="9"/>
    <s v="NO4_A1"/>
    <x v="5"/>
    <x v="4"/>
    <x v="56"/>
    <x v="0"/>
    <x v="3"/>
    <n v="678.81173238359804"/>
    <n v="247766.28232001301"/>
    <n v="891958.616352048"/>
  </r>
  <r>
    <x v="0"/>
    <x v="0"/>
    <x v="1"/>
    <x v="2"/>
    <x v="9"/>
    <s v="NO4_A1"/>
    <x v="5"/>
    <x v="4"/>
    <x v="56"/>
    <x v="0"/>
    <x v="4"/>
    <n v="678.81173238359804"/>
    <n v="247766.28232001301"/>
    <n v="891958.616352048"/>
  </r>
  <r>
    <x v="0"/>
    <x v="0"/>
    <x v="1"/>
    <x v="2"/>
    <x v="9"/>
    <s v="NO4_A1"/>
    <x v="5"/>
    <x v="4"/>
    <x v="56"/>
    <x v="0"/>
    <x v="5"/>
    <n v="678.81173238359804"/>
    <n v="247766.28232001301"/>
    <n v="891958.616352048"/>
  </r>
  <r>
    <x v="0"/>
    <x v="0"/>
    <x v="1"/>
    <x v="2"/>
    <x v="9"/>
    <s v="NO4_A1"/>
    <x v="5"/>
    <x v="4"/>
    <x v="56"/>
    <x v="0"/>
    <x v="6"/>
    <n v="678.81173238359804"/>
    <n v="247766.28232001301"/>
    <n v="891958.616352048"/>
  </r>
  <r>
    <x v="0"/>
    <x v="0"/>
    <x v="1"/>
    <x v="2"/>
    <x v="9"/>
    <s v="NO4_A1"/>
    <x v="5"/>
    <x v="4"/>
    <x v="56"/>
    <x v="0"/>
    <x v="7"/>
    <n v="678.81173238359804"/>
    <n v="247766.28232001301"/>
    <n v="891958.616352048"/>
  </r>
  <r>
    <x v="0"/>
    <x v="0"/>
    <x v="1"/>
    <x v="2"/>
    <x v="9"/>
    <s v="NO4_A1"/>
    <x v="5"/>
    <x v="4"/>
    <x v="56"/>
    <x v="0"/>
    <x v="8"/>
    <n v="678.81173238359804"/>
    <n v="247766.28232001301"/>
    <n v="891958.616352048"/>
  </r>
  <r>
    <x v="0"/>
    <x v="0"/>
    <x v="1"/>
    <x v="2"/>
    <x v="9"/>
    <s v="NO4_A1"/>
    <x v="5"/>
    <x v="4"/>
    <x v="56"/>
    <x v="0"/>
    <x v="9"/>
    <n v="678.81173238359804"/>
    <n v="247766.28232001301"/>
    <n v="891958.616352048"/>
  </r>
  <r>
    <x v="0"/>
    <x v="0"/>
    <x v="1"/>
    <x v="2"/>
    <x v="9"/>
    <s v="NO4_A1"/>
    <x v="5"/>
    <x v="4"/>
    <x v="56"/>
    <x v="0"/>
    <x v="10"/>
    <n v="678.81173238359804"/>
    <n v="247766.28232001301"/>
    <n v="891958.616352048"/>
  </r>
  <r>
    <x v="0"/>
    <x v="0"/>
    <x v="1"/>
    <x v="2"/>
    <x v="9"/>
    <s v="NO4_A1"/>
    <x v="5"/>
    <x v="4"/>
    <x v="56"/>
    <x v="0"/>
    <x v="11"/>
    <n v="678.81173238359804"/>
    <n v="247766.28232001301"/>
    <n v="891958.616352048"/>
  </r>
  <r>
    <x v="0"/>
    <x v="0"/>
    <x v="1"/>
    <x v="2"/>
    <x v="9"/>
    <s v="NO4_A1"/>
    <x v="5"/>
    <x v="4"/>
    <x v="56"/>
    <x v="0"/>
    <x v="12"/>
    <n v="678.81173238359804"/>
    <n v="247766.28232001301"/>
    <n v="891958.616352048"/>
  </r>
  <r>
    <x v="0"/>
    <x v="0"/>
    <x v="1"/>
    <x v="2"/>
    <x v="9"/>
    <s v="NO4_A1"/>
    <x v="5"/>
    <x v="4"/>
    <x v="56"/>
    <x v="0"/>
    <x v="13"/>
    <n v="678.81173238359804"/>
    <n v="247766.28232001301"/>
    <n v="891958.616352048"/>
  </r>
  <r>
    <x v="0"/>
    <x v="0"/>
    <x v="1"/>
    <x v="2"/>
    <x v="9"/>
    <s v="NO4_A1"/>
    <x v="5"/>
    <x v="4"/>
    <x v="56"/>
    <x v="0"/>
    <x v="14"/>
    <n v="678.81173238359804"/>
    <n v="247766.28232001301"/>
    <n v="891958.616352048"/>
  </r>
  <r>
    <x v="0"/>
    <x v="0"/>
    <x v="1"/>
    <x v="2"/>
    <x v="9"/>
    <s v="NO4_A1"/>
    <x v="5"/>
    <x v="4"/>
    <x v="56"/>
    <x v="0"/>
    <x v="15"/>
    <n v="678.81173238359804"/>
    <n v="247766.28232001301"/>
    <n v="891958.616352048"/>
  </r>
  <r>
    <x v="0"/>
    <x v="0"/>
    <x v="1"/>
    <x v="2"/>
    <x v="9"/>
    <s v="NO4_A1"/>
    <x v="5"/>
    <x v="4"/>
    <x v="56"/>
    <x v="0"/>
    <x v="16"/>
    <n v="678.81173238359804"/>
    <n v="247766.28232001301"/>
    <n v="891958.616352048"/>
  </r>
  <r>
    <x v="0"/>
    <x v="0"/>
    <x v="1"/>
    <x v="2"/>
    <x v="9"/>
    <s v="NO4_A1"/>
    <x v="5"/>
    <x v="4"/>
    <x v="56"/>
    <x v="0"/>
    <x v="17"/>
    <n v="678.81173238359804"/>
    <n v="247766.28232001301"/>
    <n v="891958.616352048"/>
  </r>
  <r>
    <x v="0"/>
    <x v="0"/>
    <x v="1"/>
    <x v="2"/>
    <x v="9"/>
    <s v="NO4_A1"/>
    <x v="5"/>
    <x v="4"/>
    <x v="56"/>
    <x v="0"/>
    <x v="18"/>
    <n v="678.81173238359804"/>
    <n v="247766.28232001301"/>
    <n v="891958.616352048"/>
  </r>
  <r>
    <x v="0"/>
    <x v="0"/>
    <x v="1"/>
    <x v="2"/>
    <x v="9"/>
    <s v="NO4_A1"/>
    <x v="5"/>
    <x v="4"/>
    <x v="56"/>
    <x v="0"/>
    <x v="19"/>
    <n v="678.81173238359804"/>
    <n v="247766.28232001301"/>
    <n v="891958.616352048"/>
  </r>
  <r>
    <x v="0"/>
    <x v="0"/>
    <x v="1"/>
    <x v="2"/>
    <x v="9"/>
    <s v="NO4_A1"/>
    <x v="5"/>
    <x v="4"/>
    <x v="56"/>
    <x v="0"/>
    <x v="20"/>
    <n v="678.81173238359804"/>
    <n v="247766.28232001301"/>
    <n v="891958.616352048"/>
  </r>
  <r>
    <x v="0"/>
    <x v="0"/>
    <x v="1"/>
    <x v="2"/>
    <x v="9"/>
    <s v="NO4_A1"/>
    <x v="5"/>
    <x v="4"/>
    <x v="56"/>
    <x v="0"/>
    <x v="21"/>
    <n v="678.81173238359804"/>
    <n v="247766.28232001301"/>
    <n v="891958.616352048"/>
  </r>
  <r>
    <x v="0"/>
    <x v="0"/>
    <x v="1"/>
    <x v="2"/>
    <x v="9"/>
    <s v="NO4_A1"/>
    <x v="5"/>
    <x v="4"/>
    <x v="56"/>
    <x v="0"/>
    <x v="22"/>
    <n v="678.81173238359804"/>
    <n v="247766.28232001301"/>
    <n v="891958.616352048"/>
  </r>
  <r>
    <x v="0"/>
    <x v="0"/>
    <x v="1"/>
    <x v="2"/>
    <x v="9"/>
    <s v="NO4_A1"/>
    <x v="5"/>
    <x v="4"/>
    <x v="56"/>
    <x v="0"/>
    <x v="23"/>
    <n v="678.81173238359804"/>
    <n v="247766.28232001301"/>
    <n v="891958.616352048"/>
  </r>
  <r>
    <x v="0"/>
    <x v="0"/>
    <x v="1"/>
    <x v="2"/>
    <x v="9"/>
    <s v="NO4_A1"/>
    <x v="6"/>
    <x v="5"/>
    <x v="11"/>
    <x v="0"/>
    <x v="0"/>
    <n v="488.15692848532399"/>
    <n v="178177.278897143"/>
    <n v="641438.20402971597"/>
  </r>
  <r>
    <x v="0"/>
    <x v="0"/>
    <x v="1"/>
    <x v="2"/>
    <x v="9"/>
    <s v="NO4_A1"/>
    <x v="6"/>
    <x v="5"/>
    <x v="11"/>
    <x v="0"/>
    <x v="1"/>
    <n v="396.76317143502501"/>
    <n v="144818.557573784"/>
    <n v="521346.80726562301"/>
  </r>
  <r>
    <x v="0"/>
    <x v="0"/>
    <x v="1"/>
    <x v="2"/>
    <x v="9"/>
    <s v="NO4_A1"/>
    <x v="6"/>
    <x v="5"/>
    <x v="11"/>
    <x v="0"/>
    <x v="2"/>
    <n v="368.438219841467"/>
    <n v="134479.950242135"/>
    <n v="484127.82087168802"/>
  </r>
  <r>
    <x v="0"/>
    <x v="0"/>
    <x v="1"/>
    <x v="2"/>
    <x v="9"/>
    <s v="NO4_A1"/>
    <x v="6"/>
    <x v="5"/>
    <x v="11"/>
    <x v="0"/>
    <x v="3"/>
    <n v="350.44919150044802"/>
    <n v="127913.95489766401"/>
    <n v="460490.237631589"/>
  </r>
  <r>
    <x v="0"/>
    <x v="0"/>
    <x v="1"/>
    <x v="2"/>
    <x v="9"/>
    <s v="NO4_A1"/>
    <x v="6"/>
    <x v="5"/>
    <x v="11"/>
    <x v="0"/>
    <x v="4"/>
    <n v="216.663485050492"/>
    <n v="79082.1720434296"/>
    <n v="284695.81935634703"/>
  </r>
  <r>
    <x v="0"/>
    <x v="0"/>
    <x v="1"/>
    <x v="2"/>
    <x v="9"/>
    <s v="NO4_A1"/>
    <x v="6"/>
    <x v="5"/>
    <x v="11"/>
    <x v="0"/>
    <x v="5"/>
    <n v="251.429831478387"/>
    <n v="91771.888489611301"/>
    <n v="330378.79856260098"/>
  </r>
  <r>
    <x v="0"/>
    <x v="0"/>
    <x v="1"/>
    <x v="2"/>
    <x v="9"/>
    <s v="NO4_A1"/>
    <x v="6"/>
    <x v="5"/>
    <x v="11"/>
    <x v="0"/>
    <x v="6"/>
    <n v="72.168466562121296"/>
    <n v="26341.490295174299"/>
    <n v="94829.365062627403"/>
  </r>
  <r>
    <x v="0"/>
    <x v="0"/>
    <x v="1"/>
    <x v="2"/>
    <x v="9"/>
    <s v="NO4_A1"/>
    <x v="6"/>
    <x v="5"/>
    <x v="11"/>
    <x v="0"/>
    <x v="7"/>
    <n v="51.771547786597203"/>
    <n v="18896.614942108001"/>
    <n v="68027.813791588705"/>
  </r>
  <r>
    <x v="0"/>
    <x v="0"/>
    <x v="1"/>
    <x v="2"/>
    <x v="9"/>
    <s v="NO4_A1"/>
    <x v="6"/>
    <x v="5"/>
    <x v="11"/>
    <x v="0"/>
    <x v="8"/>
    <n v="85.069063037259994"/>
    <n v="31050.2080085999"/>
    <n v="111780.74883096"/>
  </r>
  <r>
    <x v="0"/>
    <x v="0"/>
    <x v="1"/>
    <x v="2"/>
    <x v="9"/>
    <s v="NO4_A1"/>
    <x v="6"/>
    <x v="5"/>
    <x v="11"/>
    <x v="0"/>
    <x v="9"/>
    <n v="187.759643874067"/>
    <n v="68532.270014034293"/>
    <n v="246716.17205052401"/>
  </r>
  <r>
    <x v="0"/>
    <x v="0"/>
    <x v="1"/>
    <x v="2"/>
    <x v="9"/>
    <s v="NO4_A1"/>
    <x v="6"/>
    <x v="5"/>
    <x v="11"/>
    <x v="0"/>
    <x v="10"/>
    <n v="200.34156345725799"/>
    <n v="73124.670661899305"/>
    <n v="263248.81438283698"/>
  </r>
  <r>
    <x v="0"/>
    <x v="0"/>
    <x v="1"/>
    <x v="2"/>
    <x v="9"/>
    <s v="NO4_A1"/>
    <x v="6"/>
    <x v="5"/>
    <x v="11"/>
    <x v="0"/>
    <x v="11"/>
    <n v="133.27910428622599"/>
    <n v="48646.873064472602"/>
    <n v="175128.74303210099"/>
  </r>
  <r>
    <x v="0"/>
    <x v="0"/>
    <x v="1"/>
    <x v="2"/>
    <x v="9"/>
    <s v="NO4_A1"/>
    <x v="6"/>
    <x v="5"/>
    <x v="11"/>
    <x v="0"/>
    <x v="12"/>
    <n v="133.58867424743499"/>
    <n v="48759.866100313899"/>
    <n v="175535.51796113001"/>
  </r>
  <r>
    <x v="0"/>
    <x v="0"/>
    <x v="1"/>
    <x v="2"/>
    <x v="9"/>
    <s v="NO4_A1"/>
    <x v="6"/>
    <x v="5"/>
    <x v="11"/>
    <x v="0"/>
    <x v="13"/>
    <n v="223.62159829069799"/>
    <n v="81621.883376104699"/>
    <n v="293838.78015397699"/>
  </r>
  <r>
    <x v="0"/>
    <x v="0"/>
    <x v="1"/>
    <x v="2"/>
    <x v="9"/>
    <s v="NO4_A1"/>
    <x v="6"/>
    <x v="5"/>
    <x v="11"/>
    <x v="0"/>
    <x v="14"/>
    <n v="379.14693017856598"/>
    <n v="138388.62951517699"/>
    <n v="498199.06625463598"/>
  </r>
  <r>
    <x v="0"/>
    <x v="0"/>
    <x v="1"/>
    <x v="2"/>
    <x v="9"/>
    <s v="NO4_A1"/>
    <x v="6"/>
    <x v="5"/>
    <x v="11"/>
    <x v="0"/>
    <x v="15"/>
    <n v="367.48995096457901"/>
    <n v="134133.832102071"/>
    <n v="482881.79556745599"/>
  </r>
  <r>
    <x v="0"/>
    <x v="0"/>
    <x v="1"/>
    <x v="2"/>
    <x v="9"/>
    <s v="NO4_A1"/>
    <x v="6"/>
    <x v="5"/>
    <x v="11"/>
    <x v="0"/>
    <x v="16"/>
    <n v="364.42564732043201"/>
    <n v="133015.36127195801"/>
    <n v="478855.30057904701"/>
  </r>
  <r>
    <x v="0"/>
    <x v="0"/>
    <x v="1"/>
    <x v="2"/>
    <x v="9"/>
    <s v="NO4_A1"/>
    <x v="6"/>
    <x v="5"/>
    <x v="11"/>
    <x v="0"/>
    <x v="17"/>
    <n v="327.96155492907599"/>
    <n v="119705.967549113"/>
    <n v="430941.48317680601"/>
  </r>
  <r>
    <x v="0"/>
    <x v="0"/>
    <x v="1"/>
    <x v="2"/>
    <x v="9"/>
    <s v="NO4_A1"/>
    <x v="6"/>
    <x v="5"/>
    <x v="11"/>
    <x v="0"/>
    <x v="18"/>
    <n v="335.081677543713"/>
    <n v="122304.81230345499"/>
    <n v="440297.32429243898"/>
  </r>
  <r>
    <x v="0"/>
    <x v="0"/>
    <x v="1"/>
    <x v="2"/>
    <x v="9"/>
    <s v="NO4_A1"/>
    <x v="6"/>
    <x v="5"/>
    <x v="11"/>
    <x v="0"/>
    <x v="19"/>
    <n v="294.55312181364201"/>
    <n v="107511.88946197899"/>
    <n v="387042.802063126"/>
  </r>
  <r>
    <x v="0"/>
    <x v="0"/>
    <x v="1"/>
    <x v="2"/>
    <x v="9"/>
    <s v="NO4_A1"/>
    <x v="6"/>
    <x v="5"/>
    <x v="11"/>
    <x v="0"/>
    <x v="20"/>
    <n v="275.00561407256203"/>
    <n v="100377.049136485"/>
    <n v="361357.376891347"/>
  </r>
  <r>
    <x v="0"/>
    <x v="0"/>
    <x v="1"/>
    <x v="2"/>
    <x v="9"/>
    <s v="NO4_A1"/>
    <x v="6"/>
    <x v="5"/>
    <x v="11"/>
    <x v="0"/>
    <x v="21"/>
    <n v="194.713910444422"/>
    <n v="71070.577312213907"/>
    <n v="255854.07832397"/>
  </r>
  <r>
    <x v="0"/>
    <x v="0"/>
    <x v="1"/>
    <x v="2"/>
    <x v="9"/>
    <s v="NO4_A1"/>
    <x v="6"/>
    <x v="5"/>
    <x v="11"/>
    <x v="0"/>
    <x v="22"/>
    <n v="106.32950091133399"/>
    <n v="38810.267832637001"/>
    <n v="139716.96419749301"/>
  </r>
  <r>
    <x v="0"/>
    <x v="0"/>
    <x v="1"/>
    <x v="2"/>
    <x v="9"/>
    <s v="NO4_A1"/>
    <x v="6"/>
    <x v="5"/>
    <x v="11"/>
    <x v="0"/>
    <x v="23"/>
    <n v="29.764205228593202"/>
    <n v="10863.9349084365"/>
    <n v="39110.165670371498"/>
  </r>
  <r>
    <x v="0"/>
    <x v="0"/>
    <x v="1"/>
    <x v="2"/>
    <x v="10"/>
    <s v="NO5_A1"/>
    <x v="4"/>
    <x v="3"/>
    <x v="93"/>
    <x v="0"/>
    <x v="0"/>
    <n v="1129.9476897578299"/>
    <n v="412430.90676160803"/>
    <n v="1484751.26434179"/>
  </r>
  <r>
    <x v="0"/>
    <x v="0"/>
    <x v="1"/>
    <x v="2"/>
    <x v="10"/>
    <s v="NO5_A1"/>
    <x v="4"/>
    <x v="3"/>
    <x v="93"/>
    <x v="0"/>
    <x v="1"/>
    <n v="1093.60105745428"/>
    <n v="399164.385970812"/>
    <n v="1436991.7894949201"/>
  </r>
  <r>
    <x v="0"/>
    <x v="0"/>
    <x v="1"/>
    <x v="2"/>
    <x v="10"/>
    <s v="NO5_A1"/>
    <x v="4"/>
    <x v="3"/>
    <x v="93"/>
    <x v="0"/>
    <x v="2"/>
    <n v="1090.68869140486"/>
    <n v="398101.37236277398"/>
    <n v="1433164.9405059901"/>
  </r>
  <r>
    <x v="0"/>
    <x v="0"/>
    <x v="1"/>
    <x v="2"/>
    <x v="10"/>
    <s v="NO5_A1"/>
    <x v="4"/>
    <x v="3"/>
    <x v="93"/>
    <x v="0"/>
    <x v="3"/>
    <n v="1118.5963879538699"/>
    <n v="408287.68160316302"/>
    <n v="1469835.65377139"/>
  </r>
  <r>
    <x v="0"/>
    <x v="0"/>
    <x v="1"/>
    <x v="2"/>
    <x v="10"/>
    <s v="NO5_A1"/>
    <x v="4"/>
    <x v="3"/>
    <x v="93"/>
    <x v="0"/>
    <x v="4"/>
    <n v="1140.4935878083299"/>
    <n v="416280.15955004102"/>
    <n v="1498608.5743801501"/>
  </r>
  <r>
    <x v="0"/>
    <x v="0"/>
    <x v="1"/>
    <x v="2"/>
    <x v="10"/>
    <s v="NO5_A1"/>
    <x v="4"/>
    <x v="3"/>
    <x v="93"/>
    <x v="0"/>
    <x v="5"/>
    <n v="1167.04188021614"/>
    <n v="425970.28627889103"/>
    <n v="1533493.03060401"/>
  </r>
  <r>
    <x v="0"/>
    <x v="0"/>
    <x v="1"/>
    <x v="2"/>
    <x v="10"/>
    <s v="NO5_A1"/>
    <x v="4"/>
    <x v="3"/>
    <x v="93"/>
    <x v="0"/>
    <x v="6"/>
    <n v="1302.7591297605099"/>
    <n v="475507.08236258599"/>
    <n v="1711825.4965053101"/>
  </r>
  <r>
    <x v="0"/>
    <x v="0"/>
    <x v="1"/>
    <x v="2"/>
    <x v="10"/>
    <s v="NO5_A1"/>
    <x v="4"/>
    <x v="3"/>
    <x v="93"/>
    <x v="0"/>
    <x v="7"/>
    <n v="1463.45726469071"/>
    <n v="534161.90161210904"/>
    <n v="1922982.84580359"/>
  </r>
  <r>
    <x v="0"/>
    <x v="0"/>
    <x v="1"/>
    <x v="2"/>
    <x v="10"/>
    <s v="NO5_A1"/>
    <x v="4"/>
    <x v="3"/>
    <x v="93"/>
    <x v="0"/>
    <x v="8"/>
    <n v="1511.2720312245201"/>
    <n v="551614.29139695095"/>
    <n v="1985811.44902902"/>
  </r>
  <r>
    <x v="0"/>
    <x v="0"/>
    <x v="1"/>
    <x v="2"/>
    <x v="10"/>
    <s v="NO5_A1"/>
    <x v="4"/>
    <x v="3"/>
    <x v="93"/>
    <x v="0"/>
    <x v="9"/>
    <n v="1415.12410508277"/>
    <n v="516520.29835521098"/>
    <n v="1859473.0740787601"/>
  </r>
  <r>
    <x v="0"/>
    <x v="0"/>
    <x v="1"/>
    <x v="2"/>
    <x v="10"/>
    <s v="NO5_A1"/>
    <x v="4"/>
    <x v="3"/>
    <x v="93"/>
    <x v="0"/>
    <x v="10"/>
    <n v="1450.33942224054"/>
    <n v="529373.88911779597"/>
    <n v="1905746.0008240701"/>
  </r>
  <r>
    <x v="0"/>
    <x v="0"/>
    <x v="1"/>
    <x v="2"/>
    <x v="10"/>
    <s v="NO5_A1"/>
    <x v="4"/>
    <x v="3"/>
    <x v="93"/>
    <x v="0"/>
    <x v="11"/>
    <n v="1423.7633156904501"/>
    <n v="519673.61022701499"/>
    <n v="1870824.99681725"/>
  </r>
  <r>
    <x v="0"/>
    <x v="0"/>
    <x v="1"/>
    <x v="2"/>
    <x v="10"/>
    <s v="NO5_A1"/>
    <x v="4"/>
    <x v="3"/>
    <x v="93"/>
    <x v="0"/>
    <x v="12"/>
    <n v="1389.33673985825"/>
    <n v="507107.91004826198"/>
    <n v="1825588.4761737401"/>
  </r>
  <r>
    <x v="0"/>
    <x v="0"/>
    <x v="1"/>
    <x v="2"/>
    <x v="10"/>
    <s v="NO5_A1"/>
    <x v="4"/>
    <x v="3"/>
    <x v="93"/>
    <x v="0"/>
    <x v="13"/>
    <n v="1369.27171942002"/>
    <n v="499784.17758830701"/>
    <n v="1799223.0393179001"/>
  </r>
  <r>
    <x v="0"/>
    <x v="0"/>
    <x v="1"/>
    <x v="2"/>
    <x v="10"/>
    <s v="NO5_A1"/>
    <x v="4"/>
    <x v="3"/>
    <x v="93"/>
    <x v="0"/>
    <x v="14"/>
    <n v="1359.62689534943"/>
    <n v="496263.81680254301"/>
    <n v="1786549.7404891599"/>
  </r>
  <r>
    <x v="0"/>
    <x v="0"/>
    <x v="1"/>
    <x v="2"/>
    <x v="10"/>
    <s v="NO5_A1"/>
    <x v="4"/>
    <x v="3"/>
    <x v="93"/>
    <x v="0"/>
    <x v="15"/>
    <n v="1356.6922910149301"/>
    <n v="495192.686220448"/>
    <n v="1782693.6703936099"/>
  </r>
  <r>
    <x v="0"/>
    <x v="0"/>
    <x v="1"/>
    <x v="2"/>
    <x v="10"/>
    <s v="NO5_A1"/>
    <x v="4"/>
    <x v="3"/>
    <x v="93"/>
    <x v="0"/>
    <x v="16"/>
    <n v="1353.8555742210001"/>
    <n v="494157.28459066502"/>
    <n v="1778966.22452639"/>
  </r>
  <r>
    <x v="0"/>
    <x v="0"/>
    <x v="1"/>
    <x v="2"/>
    <x v="10"/>
    <s v="NO5_A1"/>
    <x v="4"/>
    <x v="3"/>
    <x v="93"/>
    <x v="0"/>
    <x v="17"/>
    <n v="1369.8557512641701"/>
    <n v="499997.34921142203"/>
    <n v="1799990.4571611199"/>
  </r>
  <r>
    <x v="0"/>
    <x v="0"/>
    <x v="1"/>
    <x v="2"/>
    <x v="10"/>
    <s v="NO5_A1"/>
    <x v="4"/>
    <x v="3"/>
    <x v="93"/>
    <x v="0"/>
    <x v="18"/>
    <n v="1406.71076615637"/>
    <n v="513449.42964707402"/>
    <n v="1848417.94672947"/>
  </r>
  <r>
    <x v="0"/>
    <x v="0"/>
    <x v="1"/>
    <x v="2"/>
    <x v="10"/>
    <s v="NO5_A1"/>
    <x v="4"/>
    <x v="3"/>
    <x v="93"/>
    <x v="0"/>
    <x v="19"/>
    <n v="1437.64873726633"/>
    <n v="524741.78910221101"/>
    <n v="1889070.4407679599"/>
  </r>
  <r>
    <x v="0"/>
    <x v="0"/>
    <x v="1"/>
    <x v="2"/>
    <x v="10"/>
    <s v="NO5_A1"/>
    <x v="4"/>
    <x v="3"/>
    <x v="93"/>
    <x v="0"/>
    <x v="20"/>
    <n v="1420.8131250132799"/>
    <n v="518596.79062984599"/>
    <n v="1866948.44626744"/>
  </r>
  <r>
    <x v="0"/>
    <x v="0"/>
    <x v="1"/>
    <x v="2"/>
    <x v="10"/>
    <s v="NO5_A1"/>
    <x v="4"/>
    <x v="3"/>
    <x v="93"/>
    <x v="0"/>
    <x v="21"/>
    <n v="1373.17303650447"/>
    <n v="501208.15832413099"/>
    <n v="1804349.3699668699"/>
  </r>
  <r>
    <x v="0"/>
    <x v="0"/>
    <x v="1"/>
    <x v="2"/>
    <x v="10"/>
    <s v="NO5_A1"/>
    <x v="4"/>
    <x v="3"/>
    <x v="93"/>
    <x v="0"/>
    <x v="22"/>
    <n v="1303.00609849796"/>
    <n v="475597.22595175501"/>
    <n v="1712150.0134263199"/>
  </r>
  <r>
    <x v="0"/>
    <x v="0"/>
    <x v="1"/>
    <x v="2"/>
    <x v="10"/>
    <s v="NO5_A1"/>
    <x v="4"/>
    <x v="3"/>
    <x v="93"/>
    <x v="0"/>
    <x v="23"/>
    <n v="1200.76093983546"/>
    <n v="438277.74303994502"/>
    <n v="1577799.8749438"/>
  </r>
  <r>
    <x v="0"/>
    <x v="0"/>
    <x v="1"/>
    <x v="2"/>
    <x v="10"/>
    <s v="NO5_A1"/>
    <x v="5"/>
    <x v="4"/>
    <x v="56"/>
    <x v="0"/>
    <x v="0"/>
    <n v="518.80016989933699"/>
    <n v="189362.06201325799"/>
    <n v="681703.42324772896"/>
  </r>
  <r>
    <x v="0"/>
    <x v="0"/>
    <x v="1"/>
    <x v="2"/>
    <x v="10"/>
    <s v="NO5_A1"/>
    <x v="5"/>
    <x v="4"/>
    <x v="56"/>
    <x v="0"/>
    <x v="1"/>
    <n v="518.80016989933699"/>
    <n v="189362.06201325799"/>
    <n v="681703.42324772896"/>
  </r>
  <r>
    <x v="0"/>
    <x v="0"/>
    <x v="1"/>
    <x v="2"/>
    <x v="10"/>
    <s v="NO5_A1"/>
    <x v="5"/>
    <x v="4"/>
    <x v="56"/>
    <x v="0"/>
    <x v="2"/>
    <n v="518.80016989933699"/>
    <n v="189362.06201325799"/>
    <n v="681703.42324772896"/>
  </r>
  <r>
    <x v="0"/>
    <x v="0"/>
    <x v="1"/>
    <x v="2"/>
    <x v="10"/>
    <s v="NO5_A1"/>
    <x v="5"/>
    <x v="4"/>
    <x v="56"/>
    <x v="0"/>
    <x v="3"/>
    <n v="518.80016989933699"/>
    <n v="189362.06201325799"/>
    <n v="681703.42324772896"/>
  </r>
  <r>
    <x v="0"/>
    <x v="0"/>
    <x v="1"/>
    <x v="2"/>
    <x v="10"/>
    <s v="NO5_A1"/>
    <x v="5"/>
    <x v="4"/>
    <x v="56"/>
    <x v="0"/>
    <x v="4"/>
    <n v="518.80016989933699"/>
    <n v="189362.06201325799"/>
    <n v="681703.42324772896"/>
  </r>
  <r>
    <x v="0"/>
    <x v="0"/>
    <x v="1"/>
    <x v="2"/>
    <x v="10"/>
    <s v="NO5_A1"/>
    <x v="5"/>
    <x v="4"/>
    <x v="56"/>
    <x v="0"/>
    <x v="5"/>
    <n v="518.80016989933699"/>
    <n v="189362.06201325799"/>
    <n v="681703.42324772896"/>
  </r>
  <r>
    <x v="0"/>
    <x v="0"/>
    <x v="1"/>
    <x v="2"/>
    <x v="10"/>
    <s v="NO5_A1"/>
    <x v="5"/>
    <x v="4"/>
    <x v="56"/>
    <x v="0"/>
    <x v="6"/>
    <n v="518.80016989933699"/>
    <n v="189362.06201325799"/>
    <n v="681703.42324772896"/>
  </r>
  <r>
    <x v="0"/>
    <x v="0"/>
    <x v="1"/>
    <x v="2"/>
    <x v="10"/>
    <s v="NO5_A1"/>
    <x v="5"/>
    <x v="4"/>
    <x v="56"/>
    <x v="0"/>
    <x v="7"/>
    <n v="518.80016989933699"/>
    <n v="189362.06201325799"/>
    <n v="681703.42324772896"/>
  </r>
  <r>
    <x v="0"/>
    <x v="0"/>
    <x v="1"/>
    <x v="2"/>
    <x v="10"/>
    <s v="NO5_A1"/>
    <x v="5"/>
    <x v="4"/>
    <x v="56"/>
    <x v="0"/>
    <x v="8"/>
    <n v="518.80016989933699"/>
    <n v="189362.06201325799"/>
    <n v="681703.42324772896"/>
  </r>
  <r>
    <x v="0"/>
    <x v="0"/>
    <x v="1"/>
    <x v="2"/>
    <x v="10"/>
    <s v="NO5_A1"/>
    <x v="5"/>
    <x v="4"/>
    <x v="56"/>
    <x v="0"/>
    <x v="9"/>
    <n v="518.80016989933699"/>
    <n v="189362.06201325799"/>
    <n v="681703.42324772896"/>
  </r>
  <r>
    <x v="0"/>
    <x v="0"/>
    <x v="1"/>
    <x v="2"/>
    <x v="10"/>
    <s v="NO5_A1"/>
    <x v="5"/>
    <x v="4"/>
    <x v="56"/>
    <x v="0"/>
    <x v="10"/>
    <n v="518.80016989933699"/>
    <n v="189362.06201325799"/>
    <n v="681703.42324772896"/>
  </r>
  <r>
    <x v="0"/>
    <x v="0"/>
    <x v="1"/>
    <x v="2"/>
    <x v="10"/>
    <s v="NO5_A1"/>
    <x v="5"/>
    <x v="4"/>
    <x v="56"/>
    <x v="0"/>
    <x v="11"/>
    <n v="518.80016989933699"/>
    <n v="189362.06201325799"/>
    <n v="681703.42324772896"/>
  </r>
  <r>
    <x v="0"/>
    <x v="0"/>
    <x v="1"/>
    <x v="2"/>
    <x v="10"/>
    <s v="NO5_A1"/>
    <x v="5"/>
    <x v="4"/>
    <x v="56"/>
    <x v="0"/>
    <x v="12"/>
    <n v="518.80016989933699"/>
    <n v="189362.06201325799"/>
    <n v="681703.42324772896"/>
  </r>
  <r>
    <x v="0"/>
    <x v="0"/>
    <x v="1"/>
    <x v="2"/>
    <x v="10"/>
    <s v="NO5_A1"/>
    <x v="5"/>
    <x v="4"/>
    <x v="56"/>
    <x v="0"/>
    <x v="13"/>
    <n v="518.80016989933699"/>
    <n v="189362.06201325799"/>
    <n v="681703.42324772896"/>
  </r>
  <r>
    <x v="0"/>
    <x v="0"/>
    <x v="1"/>
    <x v="2"/>
    <x v="10"/>
    <s v="NO5_A1"/>
    <x v="5"/>
    <x v="4"/>
    <x v="56"/>
    <x v="0"/>
    <x v="14"/>
    <n v="518.80016989933699"/>
    <n v="189362.06201325799"/>
    <n v="681703.42324772896"/>
  </r>
  <r>
    <x v="0"/>
    <x v="0"/>
    <x v="1"/>
    <x v="2"/>
    <x v="10"/>
    <s v="NO5_A1"/>
    <x v="5"/>
    <x v="4"/>
    <x v="56"/>
    <x v="0"/>
    <x v="15"/>
    <n v="518.80016989933699"/>
    <n v="189362.06201325799"/>
    <n v="681703.42324772896"/>
  </r>
  <r>
    <x v="0"/>
    <x v="0"/>
    <x v="1"/>
    <x v="2"/>
    <x v="10"/>
    <s v="NO5_A1"/>
    <x v="5"/>
    <x v="4"/>
    <x v="56"/>
    <x v="0"/>
    <x v="16"/>
    <n v="518.80016989933699"/>
    <n v="189362.06201325799"/>
    <n v="681703.42324772896"/>
  </r>
  <r>
    <x v="0"/>
    <x v="0"/>
    <x v="1"/>
    <x v="2"/>
    <x v="10"/>
    <s v="NO5_A1"/>
    <x v="5"/>
    <x v="4"/>
    <x v="56"/>
    <x v="0"/>
    <x v="17"/>
    <n v="518.80016989933699"/>
    <n v="189362.06201325799"/>
    <n v="681703.42324772896"/>
  </r>
  <r>
    <x v="0"/>
    <x v="0"/>
    <x v="1"/>
    <x v="2"/>
    <x v="10"/>
    <s v="NO5_A1"/>
    <x v="5"/>
    <x v="4"/>
    <x v="56"/>
    <x v="0"/>
    <x v="18"/>
    <n v="518.80016989933699"/>
    <n v="189362.06201325799"/>
    <n v="681703.42324772896"/>
  </r>
  <r>
    <x v="0"/>
    <x v="0"/>
    <x v="1"/>
    <x v="2"/>
    <x v="10"/>
    <s v="NO5_A1"/>
    <x v="5"/>
    <x v="4"/>
    <x v="56"/>
    <x v="0"/>
    <x v="19"/>
    <n v="518.80016989933699"/>
    <n v="189362.06201325799"/>
    <n v="681703.42324772896"/>
  </r>
  <r>
    <x v="0"/>
    <x v="0"/>
    <x v="1"/>
    <x v="2"/>
    <x v="10"/>
    <s v="NO5_A1"/>
    <x v="5"/>
    <x v="4"/>
    <x v="56"/>
    <x v="0"/>
    <x v="20"/>
    <n v="518.80016989933699"/>
    <n v="189362.06201325799"/>
    <n v="681703.42324772896"/>
  </r>
  <r>
    <x v="0"/>
    <x v="0"/>
    <x v="1"/>
    <x v="2"/>
    <x v="10"/>
    <s v="NO5_A1"/>
    <x v="5"/>
    <x v="4"/>
    <x v="56"/>
    <x v="0"/>
    <x v="21"/>
    <n v="518.80016989933699"/>
    <n v="189362.06201325799"/>
    <n v="681703.42324772896"/>
  </r>
  <r>
    <x v="0"/>
    <x v="0"/>
    <x v="1"/>
    <x v="2"/>
    <x v="10"/>
    <s v="NO5_A1"/>
    <x v="5"/>
    <x v="4"/>
    <x v="56"/>
    <x v="0"/>
    <x v="22"/>
    <n v="518.80016989933699"/>
    <n v="189362.06201325799"/>
    <n v="681703.42324772896"/>
  </r>
  <r>
    <x v="0"/>
    <x v="0"/>
    <x v="1"/>
    <x v="2"/>
    <x v="10"/>
    <s v="NO5_A1"/>
    <x v="5"/>
    <x v="4"/>
    <x v="56"/>
    <x v="0"/>
    <x v="23"/>
    <n v="518.80016989933699"/>
    <n v="189362.06201325799"/>
    <n v="681703.42324772896"/>
  </r>
  <r>
    <x v="0"/>
    <x v="0"/>
    <x v="1"/>
    <x v="3"/>
    <x v="11"/>
    <s v="SE1A"/>
    <x v="4"/>
    <x v="3"/>
    <x v="93"/>
    <x v="0"/>
    <x v="7"/>
    <n v="307.04949805443403"/>
    <n v="112073.066789869"/>
    <n v="403463.04044352699"/>
  </r>
  <r>
    <x v="0"/>
    <x v="0"/>
    <x v="1"/>
    <x v="3"/>
    <x v="11"/>
    <s v="SE1A"/>
    <x v="4"/>
    <x v="3"/>
    <x v="93"/>
    <x v="0"/>
    <x v="8"/>
    <n v="304.53364214221602"/>
    <n v="111154.779381909"/>
    <n v="400157.20577487099"/>
  </r>
  <r>
    <x v="0"/>
    <x v="0"/>
    <x v="1"/>
    <x v="3"/>
    <x v="11"/>
    <s v="SE1A"/>
    <x v="4"/>
    <x v="3"/>
    <x v="93"/>
    <x v="0"/>
    <x v="9"/>
    <n v="421.86618443133199"/>
    <n v="153981.15731743601"/>
    <n v="554332.16634276998"/>
  </r>
  <r>
    <x v="0"/>
    <x v="0"/>
    <x v="1"/>
    <x v="3"/>
    <x v="11"/>
    <s v="SE1A"/>
    <x v="4"/>
    <x v="3"/>
    <x v="93"/>
    <x v="0"/>
    <x v="10"/>
    <n v="498.29806789372401"/>
    <n v="181878.794781209"/>
    <n v="654763.66121235397"/>
  </r>
  <r>
    <x v="0"/>
    <x v="0"/>
    <x v="1"/>
    <x v="3"/>
    <x v="11"/>
    <s v="SE1A"/>
    <x v="4"/>
    <x v="3"/>
    <x v="93"/>
    <x v="0"/>
    <x v="11"/>
    <n v="543.81779972139498"/>
    <n v="198493.49689830901"/>
    <n v="714576.58883391297"/>
  </r>
  <r>
    <x v="0"/>
    <x v="0"/>
    <x v="1"/>
    <x v="3"/>
    <x v="11"/>
    <s v="SE1A"/>
    <x v="4"/>
    <x v="3"/>
    <x v="93"/>
    <x v="0"/>
    <x v="12"/>
    <n v="387.21693727991999"/>
    <n v="141334.18210717099"/>
    <n v="508803.05558581499"/>
  </r>
  <r>
    <x v="0"/>
    <x v="0"/>
    <x v="1"/>
    <x v="3"/>
    <x v="11"/>
    <s v="SE1A"/>
    <x v="4"/>
    <x v="3"/>
    <x v="93"/>
    <x v="0"/>
    <x v="13"/>
    <n v="417.97767107260898"/>
    <n v="152561.84994150201"/>
    <n v="549222.65978940902"/>
  </r>
  <r>
    <x v="0"/>
    <x v="0"/>
    <x v="1"/>
    <x v="3"/>
    <x v="11"/>
    <s v="SE1A"/>
    <x v="4"/>
    <x v="3"/>
    <x v="93"/>
    <x v="0"/>
    <x v="14"/>
    <n v="344.43385538180797"/>
    <n v="125718.35721436"/>
    <n v="452586.08597169601"/>
  </r>
  <r>
    <x v="0"/>
    <x v="0"/>
    <x v="1"/>
    <x v="3"/>
    <x v="11"/>
    <s v="SE1A"/>
    <x v="4"/>
    <x v="3"/>
    <x v="93"/>
    <x v="0"/>
    <x v="16"/>
    <n v="21.295631437500202"/>
    <n v="7772.90547468758"/>
    <n v="27982.4597088753"/>
  </r>
  <r>
    <x v="0"/>
    <x v="0"/>
    <x v="1"/>
    <x v="3"/>
    <x v="11"/>
    <s v="SE1A"/>
    <x v="5"/>
    <x v="4"/>
    <x v="56"/>
    <x v="0"/>
    <x v="0"/>
    <n v="703.03276454150102"/>
    <n v="256606.959057648"/>
    <n v="923785.05260753306"/>
  </r>
  <r>
    <x v="0"/>
    <x v="0"/>
    <x v="1"/>
    <x v="3"/>
    <x v="11"/>
    <s v="SE1A"/>
    <x v="5"/>
    <x v="4"/>
    <x v="56"/>
    <x v="0"/>
    <x v="1"/>
    <n v="703.03276454150102"/>
    <n v="256606.959057648"/>
    <n v="923785.05260753306"/>
  </r>
  <r>
    <x v="0"/>
    <x v="0"/>
    <x v="1"/>
    <x v="3"/>
    <x v="11"/>
    <s v="SE1A"/>
    <x v="5"/>
    <x v="4"/>
    <x v="56"/>
    <x v="0"/>
    <x v="2"/>
    <n v="703.03276454150102"/>
    <n v="256606.959057648"/>
    <n v="923785.05260753306"/>
  </r>
  <r>
    <x v="0"/>
    <x v="0"/>
    <x v="1"/>
    <x v="3"/>
    <x v="11"/>
    <s v="SE1A"/>
    <x v="5"/>
    <x v="4"/>
    <x v="56"/>
    <x v="0"/>
    <x v="3"/>
    <n v="703.03276454150102"/>
    <n v="256606.959057648"/>
    <n v="923785.05260753306"/>
  </r>
  <r>
    <x v="0"/>
    <x v="0"/>
    <x v="1"/>
    <x v="3"/>
    <x v="11"/>
    <s v="SE1A"/>
    <x v="5"/>
    <x v="4"/>
    <x v="56"/>
    <x v="0"/>
    <x v="4"/>
    <n v="703.03276454150102"/>
    <n v="256606.959057648"/>
    <n v="923785.05260753306"/>
  </r>
  <r>
    <x v="0"/>
    <x v="0"/>
    <x v="1"/>
    <x v="3"/>
    <x v="11"/>
    <s v="SE1A"/>
    <x v="5"/>
    <x v="4"/>
    <x v="56"/>
    <x v="0"/>
    <x v="5"/>
    <n v="703.03276454150102"/>
    <n v="256606.959057648"/>
    <n v="923785.05260753306"/>
  </r>
  <r>
    <x v="0"/>
    <x v="0"/>
    <x v="1"/>
    <x v="3"/>
    <x v="11"/>
    <s v="SE1A"/>
    <x v="5"/>
    <x v="4"/>
    <x v="56"/>
    <x v="0"/>
    <x v="6"/>
    <n v="703.03276454150102"/>
    <n v="256606.959057648"/>
    <n v="923785.05260753306"/>
  </r>
  <r>
    <x v="0"/>
    <x v="0"/>
    <x v="1"/>
    <x v="3"/>
    <x v="11"/>
    <s v="SE1A"/>
    <x v="5"/>
    <x v="4"/>
    <x v="56"/>
    <x v="0"/>
    <x v="7"/>
    <n v="703.03276454150102"/>
    <n v="256606.959057648"/>
    <n v="923785.05260753306"/>
  </r>
  <r>
    <x v="0"/>
    <x v="0"/>
    <x v="1"/>
    <x v="3"/>
    <x v="11"/>
    <s v="SE1A"/>
    <x v="5"/>
    <x v="4"/>
    <x v="56"/>
    <x v="0"/>
    <x v="8"/>
    <n v="703.03276454150102"/>
    <n v="256606.959057648"/>
    <n v="923785.05260753306"/>
  </r>
  <r>
    <x v="0"/>
    <x v="0"/>
    <x v="1"/>
    <x v="3"/>
    <x v="11"/>
    <s v="SE1A"/>
    <x v="5"/>
    <x v="4"/>
    <x v="56"/>
    <x v="0"/>
    <x v="9"/>
    <n v="703.03276454150102"/>
    <n v="256606.959057648"/>
    <n v="923785.05260753306"/>
  </r>
  <r>
    <x v="0"/>
    <x v="0"/>
    <x v="1"/>
    <x v="3"/>
    <x v="11"/>
    <s v="SE1A"/>
    <x v="5"/>
    <x v="4"/>
    <x v="56"/>
    <x v="0"/>
    <x v="10"/>
    <n v="703.03276454150102"/>
    <n v="256606.959057648"/>
    <n v="923785.05260753306"/>
  </r>
  <r>
    <x v="0"/>
    <x v="0"/>
    <x v="1"/>
    <x v="3"/>
    <x v="11"/>
    <s v="SE1A"/>
    <x v="5"/>
    <x v="4"/>
    <x v="56"/>
    <x v="0"/>
    <x v="11"/>
    <n v="703.03276454150102"/>
    <n v="256606.959057648"/>
    <n v="923785.05260753306"/>
  </r>
  <r>
    <x v="0"/>
    <x v="0"/>
    <x v="1"/>
    <x v="3"/>
    <x v="11"/>
    <s v="SE1A"/>
    <x v="5"/>
    <x v="4"/>
    <x v="56"/>
    <x v="0"/>
    <x v="12"/>
    <n v="703.03276454150102"/>
    <n v="256606.959057648"/>
    <n v="923785.05260753306"/>
  </r>
  <r>
    <x v="0"/>
    <x v="0"/>
    <x v="1"/>
    <x v="3"/>
    <x v="11"/>
    <s v="SE1A"/>
    <x v="5"/>
    <x v="4"/>
    <x v="56"/>
    <x v="0"/>
    <x v="13"/>
    <n v="703.03276454150102"/>
    <n v="256606.959057648"/>
    <n v="923785.05260753306"/>
  </r>
  <r>
    <x v="0"/>
    <x v="0"/>
    <x v="1"/>
    <x v="3"/>
    <x v="11"/>
    <s v="SE1A"/>
    <x v="5"/>
    <x v="4"/>
    <x v="56"/>
    <x v="0"/>
    <x v="14"/>
    <n v="703.03276454150102"/>
    <n v="256606.959057648"/>
    <n v="923785.05260753306"/>
  </r>
  <r>
    <x v="0"/>
    <x v="0"/>
    <x v="1"/>
    <x v="3"/>
    <x v="11"/>
    <s v="SE1A"/>
    <x v="5"/>
    <x v="4"/>
    <x v="56"/>
    <x v="0"/>
    <x v="15"/>
    <n v="703.03276454150102"/>
    <n v="256606.959057648"/>
    <n v="923785.05260753306"/>
  </r>
  <r>
    <x v="0"/>
    <x v="0"/>
    <x v="1"/>
    <x v="3"/>
    <x v="11"/>
    <s v="SE1A"/>
    <x v="5"/>
    <x v="4"/>
    <x v="56"/>
    <x v="0"/>
    <x v="16"/>
    <n v="703.03276454150102"/>
    <n v="256606.959057648"/>
    <n v="923785.05260753306"/>
  </r>
  <r>
    <x v="0"/>
    <x v="0"/>
    <x v="1"/>
    <x v="3"/>
    <x v="11"/>
    <s v="SE1A"/>
    <x v="5"/>
    <x v="4"/>
    <x v="56"/>
    <x v="0"/>
    <x v="17"/>
    <n v="703.03276454150102"/>
    <n v="256606.959057648"/>
    <n v="923785.05260753306"/>
  </r>
  <r>
    <x v="0"/>
    <x v="0"/>
    <x v="1"/>
    <x v="3"/>
    <x v="11"/>
    <s v="SE1A"/>
    <x v="5"/>
    <x v="4"/>
    <x v="56"/>
    <x v="0"/>
    <x v="18"/>
    <n v="703.03276454150102"/>
    <n v="256606.959057648"/>
    <n v="923785.05260753306"/>
  </r>
  <r>
    <x v="0"/>
    <x v="0"/>
    <x v="1"/>
    <x v="3"/>
    <x v="11"/>
    <s v="SE1A"/>
    <x v="5"/>
    <x v="4"/>
    <x v="56"/>
    <x v="0"/>
    <x v="19"/>
    <n v="703.03276454150102"/>
    <n v="256606.959057648"/>
    <n v="923785.05260753306"/>
  </r>
  <r>
    <x v="0"/>
    <x v="0"/>
    <x v="1"/>
    <x v="3"/>
    <x v="11"/>
    <s v="SE1A"/>
    <x v="5"/>
    <x v="4"/>
    <x v="56"/>
    <x v="0"/>
    <x v="20"/>
    <n v="703.03276454150102"/>
    <n v="256606.959057648"/>
    <n v="923785.05260753306"/>
  </r>
  <r>
    <x v="0"/>
    <x v="0"/>
    <x v="1"/>
    <x v="3"/>
    <x v="11"/>
    <s v="SE1A"/>
    <x v="5"/>
    <x v="4"/>
    <x v="56"/>
    <x v="0"/>
    <x v="21"/>
    <n v="703.03276454150102"/>
    <n v="256606.959057648"/>
    <n v="923785.05260753306"/>
  </r>
  <r>
    <x v="0"/>
    <x v="0"/>
    <x v="1"/>
    <x v="3"/>
    <x v="11"/>
    <s v="SE1A"/>
    <x v="5"/>
    <x v="4"/>
    <x v="56"/>
    <x v="0"/>
    <x v="22"/>
    <n v="703.03276454150102"/>
    <n v="256606.959057648"/>
    <n v="923785.05260753306"/>
  </r>
  <r>
    <x v="0"/>
    <x v="0"/>
    <x v="1"/>
    <x v="3"/>
    <x v="11"/>
    <s v="SE1A"/>
    <x v="5"/>
    <x v="4"/>
    <x v="56"/>
    <x v="0"/>
    <x v="23"/>
    <n v="703.03276454150102"/>
    <n v="256606.959057648"/>
    <n v="923785.05260753306"/>
  </r>
  <r>
    <x v="0"/>
    <x v="0"/>
    <x v="1"/>
    <x v="3"/>
    <x v="11"/>
    <s v="SE1A"/>
    <x v="6"/>
    <x v="5"/>
    <x v="11"/>
    <x v="0"/>
    <x v="0"/>
    <n v="976.30718708206905"/>
    <n v="356352.12328495499"/>
    <n v="1282867.64382584"/>
  </r>
  <r>
    <x v="0"/>
    <x v="0"/>
    <x v="1"/>
    <x v="3"/>
    <x v="11"/>
    <s v="SE1A"/>
    <x v="6"/>
    <x v="5"/>
    <x v="11"/>
    <x v="0"/>
    <x v="1"/>
    <n v="794.77281850922395"/>
    <n v="290092.07875586703"/>
    <n v="1044331.48352112"/>
  </r>
  <r>
    <x v="0"/>
    <x v="0"/>
    <x v="1"/>
    <x v="3"/>
    <x v="11"/>
    <s v="SE1A"/>
    <x v="6"/>
    <x v="5"/>
    <x v="11"/>
    <x v="0"/>
    <x v="2"/>
    <n v="930.88497219169597"/>
    <n v="339773.01484996901"/>
    <n v="1223182.85345989"/>
  </r>
  <r>
    <x v="0"/>
    <x v="0"/>
    <x v="1"/>
    <x v="3"/>
    <x v="11"/>
    <s v="SE1A"/>
    <x v="6"/>
    <x v="5"/>
    <x v="11"/>
    <x v="0"/>
    <x v="3"/>
    <n v="883.79936740814799"/>
    <n v="322586.76910397399"/>
    <n v="1161312.36877431"/>
  </r>
  <r>
    <x v="0"/>
    <x v="0"/>
    <x v="1"/>
    <x v="3"/>
    <x v="11"/>
    <s v="SE1A"/>
    <x v="6"/>
    <x v="5"/>
    <x v="11"/>
    <x v="0"/>
    <x v="4"/>
    <n v="749.27374573632699"/>
    <n v="273484.917193759"/>
    <n v="984545.70189753303"/>
  </r>
  <r>
    <x v="0"/>
    <x v="0"/>
    <x v="1"/>
    <x v="3"/>
    <x v="11"/>
    <s v="SE1A"/>
    <x v="6"/>
    <x v="5"/>
    <x v="11"/>
    <x v="0"/>
    <x v="5"/>
    <n v="599.28267167341596"/>
    <n v="218738.17516079699"/>
    <n v="787457.43057886895"/>
  </r>
  <r>
    <x v="0"/>
    <x v="0"/>
    <x v="1"/>
    <x v="3"/>
    <x v="11"/>
    <s v="SE1A"/>
    <x v="6"/>
    <x v="5"/>
    <x v="11"/>
    <x v="0"/>
    <x v="6"/>
    <n v="548.08005739062298"/>
    <n v="200049.220947578"/>
    <n v="720177.19541127898"/>
  </r>
  <r>
    <x v="0"/>
    <x v="0"/>
    <x v="1"/>
    <x v="3"/>
    <x v="11"/>
    <s v="SE1A"/>
    <x v="6"/>
    <x v="5"/>
    <x v="11"/>
    <x v="0"/>
    <x v="7"/>
    <n v="467.89683478125602"/>
    <n v="170782.34469515801"/>
    <n v="614816.44090257003"/>
  </r>
  <r>
    <x v="0"/>
    <x v="0"/>
    <x v="1"/>
    <x v="3"/>
    <x v="11"/>
    <s v="SE1A"/>
    <x v="6"/>
    <x v="5"/>
    <x v="11"/>
    <x v="0"/>
    <x v="8"/>
    <n v="371.70712753955502"/>
    <n v="135673.101551937"/>
    <n v="488423.165586975"/>
  </r>
  <r>
    <x v="0"/>
    <x v="0"/>
    <x v="1"/>
    <x v="3"/>
    <x v="11"/>
    <s v="SE1A"/>
    <x v="6"/>
    <x v="5"/>
    <x v="11"/>
    <x v="0"/>
    <x v="9"/>
    <n v="262.05158334942502"/>
    <n v="95648.827922540106"/>
    <n v="344335.78052114398"/>
  </r>
  <r>
    <x v="0"/>
    <x v="0"/>
    <x v="1"/>
    <x v="3"/>
    <x v="11"/>
    <s v="SE1A"/>
    <x v="6"/>
    <x v="5"/>
    <x v="11"/>
    <x v="0"/>
    <x v="10"/>
    <n v="189.10924447748101"/>
    <n v="69024.874234280403"/>
    <n v="248489.547243409"/>
  </r>
  <r>
    <x v="0"/>
    <x v="0"/>
    <x v="1"/>
    <x v="3"/>
    <x v="11"/>
    <s v="SE1A"/>
    <x v="6"/>
    <x v="5"/>
    <x v="11"/>
    <x v="0"/>
    <x v="11"/>
    <n v="149.87069291261699"/>
    <n v="54702.802913105203"/>
    <n v="196930.090487179"/>
  </r>
  <r>
    <x v="0"/>
    <x v="0"/>
    <x v="1"/>
    <x v="3"/>
    <x v="11"/>
    <s v="SE1A"/>
    <x v="6"/>
    <x v="5"/>
    <x v="11"/>
    <x v="0"/>
    <x v="12"/>
    <n v="144.19265995066701"/>
    <n v="52630.320881993503"/>
    <n v="189469.155175177"/>
  </r>
  <r>
    <x v="0"/>
    <x v="0"/>
    <x v="1"/>
    <x v="3"/>
    <x v="11"/>
    <s v="SE1A"/>
    <x v="6"/>
    <x v="5"/>
    <x v="11"/>
    <x v="0"/>
    <x v="13"/>
    <n v="242.21119349309899"/>
    <n v="88407.085624981002"/>
    <n v="318265.50824993203"/>
  </r>
  <r>
    <x v="0"/>
    <x v="0"/>
    <x v="1"/>
    <x v="3"/>
    <x v="11"/>
    <s v="SE1A"/>
    <x v="6"/>
    <x v="5"/>
    <x v="11"/>
    <x v="0"/>
    <x v="14"/>
    <n v="310.86964675727199"/>
    <n v="113467.421066404"/>
    <n v="408482.71583905601"/>
  </r>
  <r>
    <x v="0"/>
    <x v="0"/>
    <x v="1"/>
    <x v="3"/>
    <x v="11"/>
    <s v="SE1A"/>
    <x v="6"/>
    <x v="5"/>
    <x v="11"/>
    <x v="0"/>
    <x v="15"/>
    <n v="475.12749295025498"/>
    <n v="173421.53492684301"/>
    <n v="624317.52573663497"/>
  </r>
  <r>
    <x v="0"/>
    <x v="0"/>
    <x v="1"/>
    <x v="3"/>
    <x v="11"/>
    <s v="SE1A"/>
    <x v="6"/>
    <x v="5"/>
    <x v="11"/>
    <x v="0"/>
    <x v="16"/>
    <n v="595.40585228591101"/>
    <n v="217323.13608435699"/>
    <n v="782363.28990368696"/>
  </r>
  <r>
    <x v="0"/>
    <x v="0"/>
    <x v="1"/>
    <x v="3"/>
    <x v="11"/>
    <s v="SE1A"/>
    <x v="6"/>
    <x v="5"/>
    <x v="11"/>
    <x v="0"/>
    <x v="17"/>
    <n v="685.24660745618496"/>
    <n v="250115.01172150701"/>
    <n v="900414.04219742701"/>
  </r>
  <r>
    <x v="0"/>
    <x v="0"/>
    <x v="1"/>
    <x v="3"/>
    <x v="11"/>
    <s v="SE1A"/>
    <x v="6"/>
    <x v="5"/>
    <x v="11"/>
    <x v="0"/>
    <x v="18"/>
    <n v="770.05053186936004"/>
    <n v="281068.44413231598"/>
    <n v="1011846.39887634"/>
  </r>
  <r>
    <x v="0"/>
    <x v="0"/>
    <x v="1"/>
    <x v="3"/>
    <x v="11"/>
    <s v="SE1A"/>
    <x v="6"/>
    <x v="5"/>
    <x v="11"/>
    <x v="0"/>
    <x v="19"/>
    <n v="747.23081006065001"/>
    <n v="272739.24567213701"/>
    <n v="981861.28441969398"/>
  </r>
  <r>
    <x v="0"/>
    <x v="0"/>
    <x v="1"/>
    <x v="3"/>
    <x v="11"/>
    <s v="SE1A"/>
    <x v="6"/>
    <x v="5"/>
    <x v="11"/>
    <x v="0"/>
    <x v="20"/>
    <n v="679.55731529434502"/>
    <n v="248038.420082436"/>
    <n v="892938.31229677005"/>
  </r>
  <r>
    <x v="0"/>
    <x v="0"/>
    <x v="1"/>
    <x v="3"/>
    <x v="11"/>
    <s v="SE1A"/>
    <x v="6"/>
    <x v="5"/>
    <x v="11"/>
    <x v="0"/>
    <x v="21"/>
    <n v="738.57833643807101"/>
    <n v="269581.09279989603"/>
    <n v="970491.93407962495"/>
  </r>
  <r>
    <x v="0"/>
    <x v="0"/>
    <x v="1"/>
    <x v="3"/>
    <x v="11"/>
    <s v="SE1A"/>
    <x v="6"/>
    <x v="5"/>
    <x v="11"/>
    <x v="0"/>
    <x v="22"/>
    <n v="641.84905511379895"/>
    <n v="234274.905116537"/>
    <n v="843389.658419532"/>
  </r>
  <r>
    <x v="0"/>
    <x v="0"/>
    <x v="1"/>
    <x v="3"/>
    <x v="11"/>
    <s v="SE1A"/>
    <x v="6"/>
    <x v="5"/>
    <x v="11"/>
    <x v="0"/>
    <x v="23"/>
    <n v="707.52263911416799"/>
    <n v="258245.763276671"/>
    <n v="929684.74779601698"/>
  </r>
  <r>
    <x v="0"/>
    <x v="0"/>
    <x v="1"/>
    <x v="3"/>
    <x v="11"/>
    <s v="SE1_EL"/>
    <x v="1"/>
    <x v="1"/>
    <x v="58"/>
    <x v="0"/>
    <x v="0"/>
    <n v="-77.627551020408205"/>
    <n v="-28334.056122449001"/>
    <n v="-102002.602040816"/>
  </r>
  <r>
    <x v="0"/>
    <x v="0"/>
    <x v="1"/>
    <x v="3"/>
    <x v="11"/>
    <s v="SE1_EL"/>
    <x v="1"/>
    <x v="1"/>
    <x v="58"/>
    <x v="0"/>
    <x v="1"/>
    <n v="-77.627551020408205"/>
    <n v="-28334.056122449001"/>
    <n v="-102002.602040816"/>
  </r>
  <r>
    <x v="0"/>
    <x v="0"/>
    <x v="1"/>
    <x v="3"/>
    <x v="11"/>
    <s v="SE1_EL"/>
    <x v="1"/>
    <x v="1"/>
    <x v="58"/>
    <x v="0"/>
    <x v="2"/>
    <n v="-77.627551020408205"/>
    <n v="-28334.056122449001"/>
    <n v="-102002.602040816"/>
  </r>
  <r>
    <x v="0"/>
    <x v="0"/>
    <x v="1"/>
    <x v="3"/>
    <x v="11"/>
    <s v="SE1_EL"/>
    <x v="1"/>
    <x v="1"/>
    <x v="58"/>
    <x v="0"/>
    <x v="3"/>
    <n v="-77.627551020408205"/>
    <n v="-28334.056122449001"/>
    <n v="-102002.602040816"/>
  </r>
  <r>
    <x v="0"/>
    <x v="0"/>
    <x v="1"/>
    <x v="3"/>
    <x v="11"/>
    <s v="SE1_EL"/>
    <x v="1"/>
    <x v="1"/>
    <x v="58"/>
    <x v="0"/>
    <x v="4"/>
    <n v="-77.627551020408205"/>
    <n v="-28334.056122449001"/>
    <n v="-102002.602040816"/>
  </r>
  <r>
    <x v="0"/>
    <x v="0"/>
    <x v="1"/>
    <x v="3"/>
    <x v="11"/>
    <s v="SE1_EL"/>
    <x v="1"/>
    <x v="1"/>
    <x v="58"/>
    <x v="0"/>
    <x v="5"/>
    <n v="-77.627551020408205"/>
    <n v="-28334.056122449001"/>
    <n v="-102002.602040816"/>
  </r>
  <r>
    <x v="0"/>
    <x v="0"/>
    <x v="1"/>
    <x v="3"/>
    <x v="11"/>
    <s v="SE1_EL"/>
    <x v="1"/>
    <x v="1"/>
    <x v="58"/>
    <x v="0"/>
    <x v="6"/>
    <n v="-77.627551020408205"/>
    <n v="-28334.056122449001"/>
    <n v="-102002.602040816"/>
  </r>
  <r>
    <x v="0"/>
    <x v="0"/>
    <x v="1"/>
    <x v="3"/>
    <x v="11"/>
    <s v="SE1_EL"/>
    <x v="1"/>
    <x v="1"/>
    <x v="58"/>
    <x v="0"/>
    <x v="7"/>
    <n v="-77.627551020408205"/>
    <n v="-28334.056122449001"/>
    <n v="-102002.602040816"/>
  </r>
  <r>
    <x v="0"/>
    <x v="0"/>
    <x v="1"/>
    <x v="3"/>
    <x v="11"/>
    <s v="SE1_EL"/>
    <x v="1"/>
    <x v="1"/>
    <x v="58"/>
    <x v="0"/>
    <x v="8"/>
    <n v="-77.627551020408205"/>
    <n v="-28334.056122449001"/>
    <n v="-102002.602040816"/>
  </r>
  <r>
    <x v="0"/>
    <x v="0"/>
    <x v="1"/>
    <x v="3"/>
    <x v="11"/>
    <s v="SE1_EL"/>
    <x v="1"/>
    <x v="1"/>
    <x v="58"/>
    <x v="0"/>
    <x v="9"/>
    <n v="-77.627551020408205"/>
    <n v="-28334.056122449001"/>
    <n v="-102002.602040816"/>
  </r>
  <r>
    <x v="0"/>
    <x v="0"/>
    <x v="1"/>
    <x v="3"/>
    <x v="11"/>
    <s v="SE1_EL"/>
    <x v="1"/>
    <x v="1"/>
    <x v="58"/>
    <x v="0"/>
    <x v="10"/>
    <n v="-77.627551020408205"/>
    <n v="-28334.056122449001"/>
    <n v="-102002.602040816"/>
  </r>
  <r>
    <x v="0"/>
    <x v="0"/>
    <x v="1"/>
    <x v="3"/>
    <x v="11"/>
    <s v="SE1_EL"/>
    <x v="1"/>
    <x v="1"/>
    <x v="58"/>
    <x v="0"/>
    <x v="11"/>
    <n v="-77.627551020408205"/>
    <n v="-28334.056122449001"/>
    <n v="-102002.602040816"/>
  </r>
  <r>
    <x v="0"/>
    <x v="0"/>
    <x v="1"/>
    <x v="3"/>
    <x v="11"/>
    <s v="SE1_EL"/>
    <x v="1"/>
    <x v="1"/>
    <x v="58"/>
    <x v="0"/>
    <x v="12"/>
    <n v="-77.627551020408205"/>
    <n v="-28334.056122449001"/>
    <n v="-102002.602040816"/>
  </r>
  <r>
    <x v="0"/>
    <x v="0"/>
    <x v="1"/>
    <x v="3"/>
    <x v="11"/>
    <s v="SE1_EL"/>
    <x v="1"/>
    <x v="1"/>
    <x v="58"/>
    <x v="0"/>
    <x v="13"/>
    <n v="-77.627551020408205"/>
    <n v="-28334.056122449001"/>
    <n v="-102002.602040816"/>
  </r>
  <r>
    <x v="0"/>
    <x v="0"/>
    <x v="1"/>
    <x v="3"/>
    <x v="11"/>
    <s v="SE1_EL"/>
    <x v="1"/>
    <x v="1"/>
    <x v="58"/>
    <x v="0"/>
    <x v="14"/>
    <n v="-77.627551020408205"/>
    <n v="-28334.056122449001"/>
    <n v="-102002.602040816"/>
  </r>
  <r>
    <x v="0"/>
    <x v="0"/>
    <x v="1"/>
    <x v="3"/>
    <x v="11"/>
    <s v="SE1_EL"/>
    <x v="1"/>
    <x v="1"/>
    <x v="58"/>
    <x v="0"/>
    <x v="15"/>
    <n v="-77.627551020408205"/>
    <n v="-28334.056122449001"/>
    <n v="-102002.602040816"/>
  </r>
  <r>
    <x v="0"/>
    <x v="0"/>
    <x v="1"/>
    <x v="3"/>
    <x v="11"/>
    <s v="SE1_EL"/>
    <x v="1"/>
    <x v="1"/>
    <x v="58"/>
    <x v="0"/>
    <x v="16"/>
    <n v="-77.627551020408205"/>
    <n v="-28334.056122449001"/>
    <n v="-102002.602040816"/>
  </r>
  <r>
    <x v="0"/>
    <x v="0"/>
    <x v="1"/>
    <x v="3"/>
    <x v="11"/>
    <s v="SE1_EL"/>
    <x v="1"/>
    <x v="1"/>
    <x v="58"/>
    <x v="0"/>
    <x v="17"/>
    <n v="-77.627551020408205"/>
    <n v="-28334.056122449001"/>
    <n v="-102002.602040816"/>
  </r>
  <r>
    <x v="0"/>
    <x v="0"/>
    <x v="1"/>
    <x v="3"/>
    <x v="11"/>
    <s v="SE1_EL"/>
    <x v="1"/>
    <x v="1"/>
    <x v="58"/>
    <x v="0"/>
    <x v="18"/>
    <n v="-77.627551020408205"/>
    <n v="-28334.056122449001"/>
    <n v="-102002.602040816"/>
  </r>
  <r>
    <x v="0"/>
    <x v="0"/>
    <x v="1"/>
    <x v="3"/>
    <x v="11"/>
    <s v="SE1_EL"/>
    <x v="1"/>
    <x v="1"/>
    <x v="58"/>
    <x v="0"/>
    <x v="19"/>
    <n v="-77.627551020408205"/>
    <n v="-28334.056122449001"/>
    <n v="-102002.602040816"/>
  </r>
  <r>
    <x v="0"/>
    <x v="0"/>
    <x v="1"/>
    <x v="3"/>
    <x v="11"/>
    <s v="SE1_EL"/>
    <x v="1"/>
    <x v="1"/>
    <x v="58"/>
    <x v="0"/>
    <x v="20"/>
    <n v="-77.627551020408205"/>
    <n v="-28334.056122449001"/>
    <n v="-102002.602040816"/>
  </r>
  <r>
    <x v="0"/>
    <x v="0"/>
    <x v="1"/>
    <x v="3"/>
    <x v="11"/>
    <s v="SE1_EL"/>
    <x v="1"/>
    <x v="1"/>
    <x v="58"/>
    <x v="0"/>
    <x v="21"/>
    <n v="-77.627551020408205"/>
    <n v="-28334.056122449001"/>
    <n v="-102002.602040816"/>
  </r>
  <r>
    <x v="0"/>
    <x v="0"/>
    <x v="1"/>
    <x v="3"/>
    <x v="11"/>
    <s v="SE1_EL"/>
    <x v="1"/>
    <x v="1"/>
    <x v="58"/>
    <x v="0"/>
    <x v="22"/>
    <n v="-77.627551020408205"/>
    <n v="-28334.056122449001"/>
    <n v="-102002.602040816"/>
  </r>
  <r>
    <x v="0"/>
    <x v="0"/>
    <x v="1"/>
    <x v="3"/>
    <x v="11"/>
    <s v="SE1_EL"/>
    <x v="1"/>
    <x v="1"/>
    <x v="58"/>
    <x v="0"/>
    <x v="23"/>
    <n v="-77.627551020408205"/>
    <n v="-28334.056122449001"/>
    <n v="-102002.602040816"/>
  </r>
  <r>
    <x v="0"/>
    <x v="0"/>
    <x v="1"/>
    <x v="3"/>
    <x v="11"/>
    <s v="SE1_OTHER"/>
    <x v="1"/>
    <x v="1"/>
    <x v="90"/>
    <x v="0"/>
    <x v="0"/>
    <n v="-56.176896054400501"/>
    <n v="-20504.567059856199"/>
    <n v="-73816.441415482201"/>
  </r>
  <r>
    <x v="0"/>
    <x v="0"/>
    <x v="1"/>
    <x v="3"/>
    <x v="11"/>
    <s v="SE1_OTHER"/>
    <x v="1"/>
    <x v="1"/>
    <x v="90"/>
    <x v="0"/>
    <x v="1"/>
    <n v="-56.805222728786198"/>
    <n v="-20733.906296007"/>
    <n v="-74642.062665624995"/>
  </r>
  <r>
    <x v="0"/>
    <x v="0"/>
    <x v="1"/>
    <x v="3"/>
    <x v="11"/>
    <s v="SE1_OTHER"/>
    <x v="1"/>
    <x v="1"/>
    <x v="90"/>
    <x v="0"/>
    <x v="2"/>
    <n v="-57.525592316919301"/>
    <n v="-20996.841195675501"/>
    <n v="-75588.628304431899"/>
  </r>
  <r>
    <x v="0"/>
    <x v="0"/>
    <x v="1"/>
    <x v="3"/>
    <x v="11"/>
    <s v="SE1_OTHER"/>
    <x v="1"/>
    <x v="1"/>
    <x v="90"/>
    <x v="0"/>
    <x v="3"/>
    <n v="-60.655258641592901"/>
    <n v="-22139.169404181401"/>
    <n v="-79701.009855052995"/>
  </r>
  <r>
    <x v="0"/>
    <x v="0"/>
    <x v="1"/>
    <x v="3"/>
    <x v="11"/>
    <s v="SE1_OTHER"/>
    <x v="1"/>
    <x v="1"/>
    <x v="90"/>
    <x v="0"/>
    <x v="4"/>
    <n v="-65.789256221499699"/>
    <n v="-24013.078520847401"/>
    <n v="-86447.082675050595"/>
  </r>
  <r>
    <x v="0"/>
    <x v="0"/>
    <x v="1"/>
    <x v="3"/>
    <x v="11"/>
    <s v="SE1_OTHER"/>
    <x v="1"/>
    <x v="1"/>
    <x v="90"/>
    <x v="0"/>
    <x v="5"/>
    <n v="-75.240304455758803"/>
    <n v="-27462.7111263519"/>
    <n v="-98865.760054867002"/>
  </r>
  <r>
    <x v="0"/>
    <x v="0"/>
    <x v="1"/>
    <x v="3"/>
    <x v="11"/>
    <s v="SE1_OTHER"/>
    <x v="1"/>
    <x v="1"/>
    <x v="90"/>
    <x v="0"/>
    <x v="6"/>
    <n v="-79.607467627858895"/>
    <n v="-29056.725684168501"/>
    <n v="-104604.212463007"/>
  </r>
  <r>
    <x v="0"/>
    <x v="0"/>
    <x v="1"/>
    <x v="3"/>
    <x v="11"/>
    <s v="SE1_OTHER"/>
    <x v="1"/>
    <x v="1"/>
    <x v="90"/>
    <x v="0"/>
    <x v="7"/>
    <n v="-79.607467627858895"/>
    <n v="-29056.725684168501"/>
    <n v="-104604.212463007"/>
  </r>
  <r>
    <x v="0"/>
    <x v="0"/>
    <x v="1"/>
    <x v="3"/>
    <x v="11"/>
    <s v="SE1_OTHER"/>
    <x v="1"/>
    <x v="1"/>
    <x v="90"/>
    <x v="0"/>
    <x v="8"/>
    <n v="-79.607467627858895"/>
    <n v="-29056.725684168501"/>
    <n v="-104604.212463007"/>
  </r>
  <r>
    <x v="0"/>
    <x v="0"/>
    <x v="1"/>
    <x v="3"/>
    <x v="11"/>
    <s v="SE1_OTHER"/>
    <x v="1"/>
    <x v="1"/>
    <x v="90"/>
    <x v="0"/>
    <x v="9"/>
    <n v="-79.607467627858895"/>
    <n v="-29056.725684168501"/>
    <n v="-104604.212463007"/>
  </r>
  <r>
    <x v="0"/>
    <x v="0"/>
    <x v="1"/>
    <x v="3"/>
    <x v="11"/>
    <s v="SE1_OTHER"/>
    <x v="1"/>
    <x v="1"/>
    <x v="90"/>
    <x v="0"/>
    <x v="10"/>
    <n v="-79.607467627858895"/>
    <n v="-29056.725684168501"/>
    <n v="-104604.212463007"/>
  </r>
  <r>
    <x v="0"/>
    <x v="0"/>
    <x v="1"/>
    <x v="3"/>
    <x v="11"/>
    <s v="SE1_OTHER"/>
    <x v="1"/>
    <x v="1"/>
    <x v="90"/>
    <x v="0"/>
    <x v="11"/>
    <n v="-79.607467627858895"/>
    <n v="-29056.725684168501"/>
    <n v="-104604.212463007"/>
  </r>
  <r>
    <x v="0"/>
    <x v="0"/>
    <x v="1"/>
    <x v="3"/>
    <x v="11"/>
    <s v="SE1_OTHER"/>
    <x v="1"/>
    <x v="1"/>
    <x v="90"/>
    <x v="0"/>
    <x v="12"/>
    <n v="-79.607467627858895"/>
    <n v="-29056.725684168501"/>
    <n v="-104604.212463007"/>
  </r>
  <r>
    <x v="0"/>
    <x v="0"/>
    <x v="1"/>
    <x v="3"/>
    <x v="11"/>
    <s v="SE1_OTHER"/>
    <x v="1"/>
    <x v="1"/>
    <x v="90"/>
    <x v="0"/>
    <x v="13"/>
    <n v="-79.607467627858895"/>
    <n v="-29056.725684168501"/>
    <n v="-104604.212463007"/>
  </r>
  <r>
    <x v="0"/>
    <x v="0"/>
    <x v="1"/>
    <x v="3"/>
    <x v="11"/>
    <s v="SE1_OTHER"/>
    <x v="1"/>
    <x v="1"/>
    <x v="90"/>
    <x v="0"/>
    <x v="14"/>
    <n v="-79.607467627858895"/>
    <n v="-29056.725684168501"/>
    <n v="-104604.212463007"/>
  </r>
  <r>
    <x v="0"/>
    <x v="0"/>
    <x v="1"/>
    <x v="3"/>
    <x v="11"/>
    <s v="SE1_OTHER"/>
    <x v="1"/>
    <x v="1"/>
    <x v="90"/>
    <x v="0"/>
    <x v="15"/>
    <n v="-79.607467627858895"/>
    <n v="-29056.725684168501"/>
    <n v="-104604.212463007"/>
  </r>
  <r>
    <x v="0"/>
    <x v="0"/>
    <x v="1"/>
    <x v="3"/>
    <x v="11"/>
    <s v="SE1_OTHER"/>
    <x v="1"/>
    <x v="1"/>
    <x v="90"/>
    <x v="0"/>
    <x v="16"/>
    <n v="-79.607467627858895"/>
    <n v="-29056.725684168501"/>
    <n v="-104604.212463007"/>
  </r>
  <r>
    <x v="0"/>
    <x v="0"/>
    <x v="1"/>
    <x v="3"/>
    <x v="11"/>
    <s v="SE1_OTHER"/>
    <x v="1"/>
    <x v="1"/>
    <x v="90"/>
    <x v="0"/>
    <x v="17"/>
    <n v="-79.607467627858895"/>
    <n v="-29056.725684168501"/>
    <n v="-104604.212463007"/>
  </r>
  <r>
    <x v="0"/>
    <x v="0"/>
    <x v="1"/>
    <x v="3"/>
    <x v="11"/>
    <s v="SE1_OTHER"/>
    <x v="1"/>
    <x v="1"/>
    <x v="90"/>
    <x v="0"/>
    <x v="18"/>
    <n v="-79.607467627858895"/>
    <n v="-29056.725684168501"/>
    <n v="-104604.212463007"/>
  </r>
  <r>
    <x v="0"/>
    <x v="0"/>
    <x v="1"/>
    <x v="3"/>
    <x v="11"/>
    <s v="SE1_OTHER"/>
    <x v="1"/>
    <x v="1"/>
    <x v="90"/>
    <x v="0"/>
    <x v="19"/>
    <n v="-79.607467627858895"/>
    <n v="-29056.725684168501"/>
    <n v="-104604.212463007"/>
  </r>
  <r>
    <x v="0"/>
    <x v="0"/>
    <x v="1"/>
    <x v="3"/>
    <x v="11"/>
    <s v="SE1_OTHER"/>
    <x v="1"/>
    <x v="1"/>
    <x v="90"/>
    <x v="0"/>
    <x v="20"/>
    <n v="-77.860008974539298"/>
    <n v="-28418.903275706802"/>
    <n v="-102308.051792545"/>
  </r>
  <r>
    <x v="0"/>
    <x v="0"/>
    <x v="1"/>
    <x v="3"/>
    <x v="11"/>
    <s v="SE1_OTHER"/>
    <x v="1"/>
    <x v="1"/>
    <x v="90"/>
    <x v="0"/>
    <x v="21"/>
    <n v="-74.446348702458096"/>
    <n v="-27172.917276397198"/>
    <n v="-97822.502195029898"/>
  </r>
  <r>
    <x v="0"/>
    <x v="0"/>
    <x v="1"/>
    <x v="3"/>
    <x v="11"/>
    <s v="SE1_OTHER"/>
    <x v="1"/>
    <x v="1"/>
    <x v="90"/>
    <x v="0"/>
    <x v="22"/>
    <n v="-69.563635549408303"/>
    <n v="-25390.726975533998"/>
    <n v="-91406.617111922504"/>
  </r>
  <r>
    <x v="0"/>
    <x v="0"/>
    <x v="1"/>
    <x v="3"/>
    <x v="11"/>
    <s v="SE1_OTHER"/>
    <x v="1"/>
    <x v="1"/>
    <x v="90"/>
    <x v="0"/>
    <x v="23"/>
    <n v="-63.313227232372498"/>
    <n v="-23109.327939816001"/>
    <n v="-83193.580583337505"/>
  </r>
  <r>
    <x v="0"/>
    <x v="0"/>
    <x v="1"/>
    <x v="3"/>
    <x v="11"/>
    <s v="SE1_OTHER"/>
    <x v="13"/>
    <x v="2"/>
    <x v="60"/>
    <x v="0"/>
    <x v="7"/>
    <n v="1.09541213290245"/>
    <n v="399.82542850939302"/>
    <n v="1439.3715426338099"/>
  </r>
  <r>
    <x v="0"/>
    <x v="0"/>
    <x v="1"/>
    <x v="3"/>
    <x v="12"/>
    <s v="SE2A"/>
    <x v="4"/>
    <x v="3"/>
    <x v="93"/>
    <x v="0"/>
    <x v="0"/>
    <n v="58.315188477927599"/>
    <n v="21285.043794443602"/>
    <n v="76626.157659996796"/>
  </r>
  <r>
    <x v="0"/>
    <x v="0"/>
    <x v="1"/>
    <x v="3"/>
    <x v="12"/>
    <s v="SE2A"/>
    <x v="4"/>
    <x v="3"/>
    <x v="93"/>
    <x v="0"/>
    <x v="1"/>
    <n v="415.44235608326699"/>
    <n v="151636.45997039301"/>
    <n v="545891.25589341298"/>
  </r>
  <r>
    <x v="0"/>
    <x v="0"/>
    <x v="1"/>
    <x v="3"/>
    <x v="12"/>
    <s v="SE2A"/>
    <x v="4"/>
    <x v="3"/>
    <x v="93"/>
    <x v="0"/>
    <x v="2"/>
    <n v="271.66763574682699"/>
    <n v="99158.687047592"/>
    <n v="356971.27337133099"/>
  </r>
  <r>
    <x v="0"/>
    <x v="0"/>
    <x v="1"/>
    <x v="3"/>
    <x v="12"/>
    <s v="SE2A"/>
    <x v="4"/>
    <x v="3"/>
    <x v="93"/>
    <x v="0"/>
    <x v="6"/>
    <n v="97.904122185571097"/>
    <n v="35735.004597733401"/>
    <n v="128646.01655184"/>
  </r>
  <r>
    <x v="0"/>
    <x v="0"/>
    <x v="1"/>
    <x v="3"/>
    <x v="12"/>
    <s v="SE2A"/>
    <x v="4"/>
    <x v="3"/>
    <x v="93"/>
    <x v="0"/>
    <x v="7"/>
    <n v="202.670108017959"/>
    <n v="73974.589426555205"/>
    <n v="266308.52193559898"/>
  </r>
  <r>
    <x v="0"/>
    <x v="0"/>
    <x v="1"/>
    <x v="3"/>
    <x v="12"/>
    <s v="SE2A"/>
    <x v="4"/>
    <x v="3"/>
    <x v="93"/>
    <x v="0"/>
    <x v="8"/>
    <n v="148.95149313034599"/>
    <n v="54367.2949925762"/>
    <n v="195722.261973274"/>
  </r>
  <r>
    <x v="0"/>
    <x v="0"/>
    <x v="1"/>
    <x v="3"/>
    <x v="12"/>
    <s v="SE2A"/>
    <x v="4"/>
    <x v="3"/>
    <x v="93"/>
    <x v="0"/>
    <x v="9"/>
    <n v="244.95627458073901"/>
    <n v="89409.040221969597"/>
    <n v="321872.54479909001"/>
  </r>
  <r>
    <x v="0"/>
    <x v="0"/>
    <x v="1"/>
    <x v="3"/>
    <x v="12"/>
    <s v="SE2A"/>
    <x v="4"/>
    <x v="3"/>
    <x v="93"/>
    <x v="0"/>
    <x v="10"/>
    <n v="208.21225695548699"/>
    <n v="75997.473788752803"/>
    <n v="273590.90563951002"/>
  </r>
  <r>
    <x v="0"/>
    <x v="0"/>
    <x v="1"/>
    <x v="3"/>
    <x v="12"/>
    <s v="SE2A"/>
    <x v="4"/>
    <x v="3"/>
    <x v="93"/>
    <x v="0"/>
    <x v="11"/>
    <n v="197.38952451249099"/>
    <n v="72047.176447059304"/>
    <n v="259369.83520941401"/>
  </r>
  <r>
    <x v="0"/>
    <x v="0"/>
    <x v="1"/>
    <x v="3"/>
    <x v="12"/>
    <s v="SE2A"/>
    <x v="4"/>
    <x v="3"/>
    <x v="93"/>
    <x v="0"/>
    <x v="19"/>
    <n v="22.612029401809501"/>
    <n v="8253.3907316604691"/>
    <n v="29712.206633977701"/>
  </r>
  <r>
    <x v="0"/>
    <x v="0"/>
    <x v="1"/>
    <x v="3"/>
    <x v="12"/>
    <s v="SE2A"/>
    <x v="4"/>
    <x v="3"/>
    <x v="93"/>
    <x v="0"/>
    <x v="20"/>
    <n v="142.103178015558"/>
    <n v="51867.659975678704"/>
    <n v="186723.57591244299"/>
  </r>
  <r>
    <x v="0"/>
    <x v="0"/>
    <x v="1"/>
    <x v="3"/>
    <x v="12"/>
    <s v="SE2A"/>
    <x v="4"/>
    <x v="3"/>
    <x v="93"/>
    <x v="0"/>
    <x v="21"/>
    <n v="87.354226983686999"/>
    <n v="31884.2928490458"/>
    <n v="114783.454256565"/>
  </r>
  <r>
    <x v="0"/>
    <x v="0"/>
    <x v="1"/>
    <x v="3"/>
    <x v="12"/>
    <s v="SE2A"/>
    <x v="4"/>
    <x v="3"/>
    <x v="93"/>
    <x v="0"/>
    <x v="22"/>
    <n v="30.836657106161301"/>
    <n v="11255.3798437489"/>
    <n v="40519.367437495901"/>
  </r>
  <r>
    <x v="0"/>
    <x v="0"/>
    <x v="1"/>
    <x v="3"/>
    <x v="12"/>
    <s v="SE2A"/>
    <x v="4"/>
    <x v="3"/>
    <x v="93"/>
    <x v="0"/>
    <x v="23"/>
    <n v="155.31095248029999"/>
    <n v="56688.497655309497"/>
    <n v="204078.59155911399"/>
  </r>
  <r>
    <x v="0"/>
    <x v="0"/>
    <x v="1"/>
    <x v="3"/>
    <x v="12"/>
    <s v="SE2A"/>
    <x v="5"/>
    <x v="4"/>
    <x v="56"/>
    <x v="0"/>
    <x v="0"/>
    <n v="1064.8780642060001"/>
    <n v="388680.49343518901"/>
    <n v="1399249.7763666799"/>
  </r>
  <r>
    <x v="0"/>
    <x v="0"/>
    <x v="1"/>
    <x v="3"/>
    <x v="12"/>
    <s v="SE2A"/>
    <x v="5"/>
    <x v="4"/>
    <x v="56"/>
    <x v="0"/>
    <x v="1"/>
    <n v="1064.8780642060001"/>
    <n v="388680.49343518901"/>
    <n v="1399249.7763666799"/>
  </r>
  <r>
    <x v="0"/>
    <x v="0"/>
    <x v="1"/>
    <x v="3"/>
    <x v="12"/>
    <s v="SE2A"/>
    <x v="5"/>
    <x v="4"/>
    <x v="56"/>
    <x v="0"/>
    <x v="2"/>
    <n v="1064.8780642060001"/>
    <n v="388680.49343518901"/>
    <n v="1399249.7763666799"/>
  </r>
  <r>
    <x v="0"/>
    <x v="0"/>
    <x v="1"/>
    <x v="3"/>
    <x v="12"/>
    <s v="SE2A"/>
    <x v="5"/>
    <x v="4"/>
    <x v="56"/>
    <x v="0"/>
    <x v="3"/>
    <n v="1064.8780642060001"/>
    <n v="388680.49343518901"/>
    <n v="1399249.7763666799"/>
  </r>
  <r>
    <x v="0"/>
    <x v="0"/>
    <x v="1"/>
    <x v="3"/>
    <x v="12"/>
    <s v="SE2A"/>
    <x v="5"/>
    <x v="4"/>
    <x v="56"/>
    <x v="0"/>
    <x v="4"/>
    <n v="1064.8780642060001"/>
    <n v="388680.49343518901"/>
    <n v="1399249.7763666799"/>
  </r>
  <r>
    <x v="0"/>
    <x v="0"/>
    <x v="1"/>
    <x v="3"/>
    <x v="12"/>
    <s v="SE2A"/>
    <x v="5"/>
    <x v="4"/>
    <x v="56"/>
    <x v="0"/>
    <x v="5"/>
    <n v="1064.8780642060001"/>
    <n v="388680.49343518901"/>
    <n v="1399249.7763666799"/>
  </r>
  <r>
    <x v="0"/>
    <x v="0"/>
    <x v="1"/>
    <x v="3"/>
    <x v="12"/>
    <s v="SE2A"/>
    <x v="5"/>
    <x v="4"/>
    <x v="56"/>
    <x v="0"/>
    <x v="6"/>
    <n v="1064.8780642060001"/>
    <n v="388680.49343518901"/>
    <n v="1399249.7763666799"/>
  </r>
  <r>
    <x v="0"/>
    <x v="0"/>
    <x v="1"/>
    <x v="3"/>
    <x v="12"/>
    <s v="SE2A"/>
    <x v="5"/>
    <x v="4"/>
    <x v="56"/>
    <x v="0"/>
    <x v="7"/>
    <n v="1064.8780642060001"/>
    <n v="388680.49343518901"/>
    <n v="1399249.7763666799"/>
  </r>
  <r>
    <x v="0"/>
    <x v="0"/>
    <x v="1"/>
    <x v="3"/>
    <x v="12"/>
    <s v="SE2A"/>
    <x v="5"/>
    <x v="4"/>
    <x v="56"/>
    <x v="0"/>
    <x v="8"/>
    <n v="1064.8780642060001"/>
    <n v="388680.49343518901"/>
    <n v="1399249.7763666799"/>
  </r>
  <r>
    <x v="0"/>
    <x v="0"/>
    <x v="1"/>
    <x v="3"/>
    <x v="12"/>
    <s v="SE2A"/>
    <x v="5"/>
    <x v="4"/>
    <x v="56"/>
    <x v="0"/>
    <x v="9"/>
    <n v="1064.8780642060001"/>
    <n v="388680.49343518901"/>
    <n v="1399249.7763666799"/>
  </r>
  <r>
    <x v="0"/>
    <x v="0"/>
    <x v="1"/>
    <x v="3"/>
    <x v="12"/>
    <s v="SE2A"/>
    <x v="5"/>
    <x v="4"/>
    <x v="56"/>
    <x v="0"/>
    <x v="10"/>
    <n v="1064.8780642060001"/>
    <n v="388680.49343518901"/>
    <n v="1399249.7763666799"/>
  </r>
  <r>
    <x v="0"/>
    <x v="0"/>
    <x v="1"/>
    <x v="3"/>
    <x v="12"/>
    <s v="SE2A"/>
    <x v="5"/>
    <x v="4"/>
    <x v="56"/>
    <x v="0"/>
    <x v="11"/>
    <n v="1064.8780642060001"/>
    <n v="388680.49343518901"/>
    <n v="1399249.7763666799"/>
  </r>
  <r>
    <x v="0"/>
    <x v="0"/>
    <x v="1"/>
    <x v="3"/>
    <x v="12"/>
    <s v="SE2A"/>
    <x v="5"/>
    <x v="4"/>
    <x v="56"/>
    <x v="0"/>
    <x v="12"/>
    <n v="1064.8780642060001"/>
    <n v="388680.49343518901"/>
    <n v="1399249.7763666799"/>
  </r>
  <r>
    <x v="0"/>
    <x v="0"/>
    <x v="1"/>
    <x v="3"/>
    <x v="12"/>
    <s v="SE2A"/>
    <x v="5"/>
    <x v="4"/>
    <x v="56"/>
    <x v="0"/>
    <x v="13"/>
    <n v="1064.8780642060001"/>
    <n v="388680.49343518901"/>
    <n v="1399249.7763666799"/>
  </r>
  <r>
    <x v="0"/>
    <x v="0"/>
    <x v="1"/>
    <x v="3"/>
    <x v="12"/>
    <s v="SE2A"/>
    <x v="5"/>
    <x v="4"/>
    <x v="56"/>
    <x v="0"/>
    <x v="14"/>
    <n v="1064.8780642060001"/>
    <n v="388680.49343518901"/>
    <n v="1399249.7763666799"/>
  </r>
  <r>
    <x v="0"/>
    <x v="0"/>
    <x v="1"/>
    <x v="3"/>
    <x v="12"/>
    <s v="SE2A"/>
    <x v="5"/>
    <x v="4"/>
    <x v="56"/>
    <x v="0"/>
    <x v="15"/>
    <n v="1064.8780642060001"/>
    <n v="388680.49343518901"/>
    <n v="1399249.7763666799"/>
  </r>
  <r>
    <x v="0"/>
    <x v="0"/>
    <x v="1"/>
    <x v="3"/>
    <x v="12"/>
    <s v="SE2A"/>
    <x v="5"/>
    <x v="4"/>
    <x v="56"/>
    <x v="0"/>
    <x v="16"/>
    <n v="1064.8780642060001"/>
    <n v="388680.49343518901"/>
    <n v="1399249.7763666799"/>
  </r>
  <r>
    <x v="0"/>
    <x v="0"/>
    <x v="1"/>
    <x v="3"/>
    <x v="12"/>
    <s v="SE2A"/>
    <x v="5"/>
    <x v="4"/>
    <x v="56"/>
    <x v="0"/>
    <x v="17"/>
    <n v="1064.8780642060001"/>
    <n v="388680.49343518901"/>
    <n v="1399249.7763666799"/>
  </r>
  <r>
    <x v="0"/>
    <x v="0"/>
    <x v="1"/>
    <x v="3"/>
    <x v="12"/>
    <s v="SE2A"/>
    <x v="5"/>
    <x v="4"/>
    <x v="56"/>
    <x v="0"/>
    <x v="18"/>
    <n v="1064.8780642060001"/>
    <n v="388680.49343518901"/>
    <n v="1399249.7763666799"/>
  </r>
  <r>
    <x v="0"/>
    <x v="0"/>
    <x v="1"/>
    <x v="3"/>
    <x v="12"/>
    <s v="SE2A"/>
    <x v="5"/>
    <x v="4"/>
    <x v="56"/>
    <x v="0"/>
    <x v="19"/>
    <n v="1064.8780642060001"/>
    <n v="388680.49343518901"/>
    <n v="1399249.7763666799"/>
  </r>
  <r>
    <x v="0"/>
    <x v="0"/>
    <x v="1"/>
    <x v="3"/>
    <x v="12"/>
    <s v="SE2A"/>
    <x v="5"/>
    <x v="4"/>
    <x v="56"/>
    <x v="0"/>
    <x v="20"/>
    <n v="1064.8780642060001"/>
    <n v="388680.49343518901"/>
    <n v="1399249.7763666799"/>
  </r>
  <r>
    <x v="0"/>
    <x v="0"/>
    <x v="1"/>
    <x v="3"/>
    <x v="12"/>
    <s v="SE2A"/>
    <x v="5"/>
    <x v="4"/>
    <x v="56"/>
    <x v="0"/>
    <x v="21"/>
    <n v="1064.8780642060001"/>
    <n v="388680.49343518901"/>
    <n v="1399249.7763666799"/>
  </r>
  <r>
    <x v="0"/>
    <x v="0"/>
    <x v="1"/>
    <x v="3"/>
    <x v="12"/>
    <s v="SE2A"/>
    <x v="5"/>
    <x v="4"/>
    <x v="56"/>
    <x v="0"/>
    <x v="22"/>
    <n v="1064.8780642060001"/>
    <n v="388680.49343518901"/>
    <n v="1399249.7763666799"/>
  </r>
  <r>
    <x v="0"/>
    <x v="0"/>
    <x v="1"/>
    <x v="3"/>
    <x v="12"/>
    <s v="SE2A"/>
    <x v="5"/>
    <x v="4"/>
    <x v="56"/>
    <x v="0"/>
    <x v="23"/>
    <n v="1064.8780642060001"/>
    <n v="388680.49343518901"/>
    <n v="1399249.7763666799"/>
  </r>
  <r>
    <x v="0"/>
    <x v="0"/>
    <x v="1"/>
    <x v="3"/>
    <x v="12"/>
    <s v="SE2A"/>
    <x v="6"/>
    <x v="5"/>
    <x v="11"/>
    <x v="0"/>
    <x v="0"/>
    <n v="512.35914520012705"/>
    <n v="187011.08799804599"/>
    <n v="673239.91679296701"/>
  </r>
  <r>
    <x v="0"/>
    <x v="0"/>
    <x v="1"/>
    <x v="3"/>
    <x v="12"/>
    <s v="SE2A"/>
    <x v="6"/>
    <x v="5"/>
    <x v="11"/>
    <x v="0"/>
    <x v="1"/>
    <n v="677.57838462070299"/>
    <n v="247316.11038655601"/>
    <n v="890337.99739160296"/>
  </r>
  <r>
    <x v="0"/>
    <x v="0"/>
    <x v="1"/>
    <x v="3"/>
    <x v="12"/>
    <s v="SE2A"/>
    <x v="6"/>
    <x v="5"/>
    <x v="11"/>
    <x v="0"/>
    <x v="2"/>
    <n v="815.43855026625499"/>
    <n v="297635.070847183"/>
    <n v="1071486.2550498601"/>
  </r>
  <r>
    <x v="0"/>
    <x v="0"/>
    <x v="1"/>
    <x v="3"/>
    <x v="12"/>
    <s v="SE2A"/>
    <x v="6"/>
    <x v="5"/>
    <x v="11"/>
    <x v="0"/>
    <x v="3"/>
    <n v="899.69930604622698"/>
    <n v="328390.246706873"/>
    <n v="1182204.8881447399"/>
  </r>
  <r>
    <x v="0"/>
    <x v="0"/>
    <x v="1"/>
    <x v="3"/>
    <x v="12"/>
    <s v="SE2A"/>
    <x v="6"/>
    <x v="5"/>
    <x v="11"/>
    <x v="0"/>
    <x v="4"/>
    <n v="1021.92750466832"/>
    <n v="373003.53920393699"/>
    <n v="1342812.74113417"/>
  </r>
  <r>
    <x v="0"/>
    <x v="0"/>
    <x v="1"/>
    <x v="3"/>
    <x v="12"/>
    <s v="SE2A"/>
    <x v="6"/>
    <x v="5"/>
    <x v="11"/>
    <x v="0"/>
    <x v="5"/>
    <n v="1003.91052968604"/>
    <n v="366427.34333540598"/>
    <n v="1319138.4360074601"/>
  </r>
  <r>
    <x v="0"/>
    <x v="0"/>
    <x v="1"/>
    <x v="3"/>
    <x v="12"/>
    <s v="SE2A"/>
    <x v="6"/>
    <x v="5"/>
    <x v="11"/>
    <x v="0"/>
    <x v="6"/>
    <n v="1045.2251519920801"/>
    <n v="381507.18047710898"/>
    <n v="1373425.84971759"/>
  </r>
  <r>
    <x v="0"/>
    <x v="0"/>
    <x v="1"/>
    <x v="3"/>
    <x v="12"/>
    <s v="SE2A"/>
    <x v="6"/>
    <x v="5"/>
    <x v="11"/>
    <x v="0"/>
    <x v="7"/>
    <n v="1030.38664927839"/>
    <n v="376091.12698661198"/>
    <n v="1353928.0571518"/>
  </r>
  <r>
    <x v="0"/>
    <x v="0"/>
    <x v="1"/>
    <x v="3"/>
    <x v="12"/>
    <s v="SE2A"/>
    <x v="6"/>
    <x v="5"/>
    <x v="11"/>
    <x v="0"/>
    <x v="8"/>
    <n v="1056.1766691528801"/>
    <n v="385504.48424080102"/>
    <n v="1387816.14326688"/>
  </r>
  <r>
    <x v="0"/>
    <x v="0"/>
    <x v="1"/>
    <x v="3"/>
    <x v="12"/>
    <s v="SE2A"/>
    <x v="6"/>
    <x v="5"/>
    <x v="11"/>
    <x v="0"/>
    <x v="9"/>
    <n v="1064.8103348529701"/>
    <n v="388655.77222133498"/>
    <n v="1399160.77999681"/>
  </r>
  <r>
    <x v="0"/>
    <x v="0"/>
    <x v="1"/>
    <x v="3"/>
    <x v="12"/>
    <s v="SE2A"/>
    <x v="6"/>
    <x v="5"/>
    <x v="11"/>
    <x v="0"/>
    <x v="10"/>
    <n v="1122.0628473117799"/>
    <n v="409552.93926880101"/>
    <n v="1474390.5813676901"/>
  </r>
  <r>
    <x v="0"/>
    <x v="0"/>
    <x v="1"/>
    <x v="3"/>
    <x v="12"/>
    <s v="SE2A"/>
    <x v="6"/>
    <x v="5"/>
    <x v="11"/>
    <x v="0"/>
    <x v="11"/>
    <n v="1165.85143016549"/>
    <n v="425535.77201040299"/>
    <n v="1531928.7792374501"/>
  </r>
  <r>
    <x v="0"/>
    <x v="0"/>
    <x v="1"/>
    <x v="3"/>
    <x v="12"/>
    <s v="SE2A"/>
    <x v="6"/>
    <x v="5"/>
    <x v="11"/>
    <x v="0"/>
    <x v="12"/>
    <n v="1269.49674533393"/>
    <n v="463366.31204688601"/>
    <n v="1668118.72336879"/>
  </r>
  <r>
    <x v="0"/>
    <x v="0"/>
    <x v="1"/>
    <x v="3"/>
    <x v="12"/>
    <s v="SE2A"/>
    <x v="6"/>
    <x v="5"/>
    <x v="11"/>
    <x v="0"/>
    <x v="13"/>
    <n v="1359.84913959298"/>
    <n v="496344.93595143902"/>
    <n v="1786841.76942518"/>
  </r>
  <r>
    <x v="0"/>
    <x v="0"/>
    <x v="1"/>
    <x v="3"/>
    <x v="12"/>
    <s v="SE2A"/>
    <x v="6"/>
    <x v="5"/>
    <x v="11"/>
    <x v="0"/>
    <x v="14"/>
    <n v="1420.32688407207"/>
    <n v="518419.31268630398"/>
    <n v="1866309.5256707"/>
  </r>
  <r>
    <x v="0"/>
    <x v="0"/>
    <x v="1"/>
    <x v="3"/>
    <x v="12"/>
    <s v="SE2A"/>
    <x v="6"/>
    <x v="5"/>
    <x v="11"/>
    <x v="0"/>
    <x v="15"/>
    <n v="1350.7873346778999"/>
    <n v="493037.37715743302"/>
    <n v="1774934.55776676"/>
  </r>
  <r>
    <x v="0"/>
    <x v="0"/>
    <x v="1"/>
    <x v="3"/>
    <x v="12"/>
    <s v="SE2A"/>
    <x v="6"/>
    <x v="5"/>
    <x v="11"/>
    <x v="0"/>
    <x v="16"/>
    <n v="1389.1281819236401"/>
    <n v="507031.78640212701"/>
    <n v="1825314.4310476601"/>
  </r>
  <r>
    <x v="0"/>
    <x v="0"/>
    <x v="1"/>
    <x v="3"/>
    <x v="12"/>
    <s v="SE2A"/>
    <x v="6"/>
    <x v="5"/>
    <x v="11"/>
    <x v="0"/>
    <x v="17"/>
    <n v="1417.36841358836"/>
    <n v="517339.47095975"/>
    <n v="1862422.0954551001"/>
  </r>
  <r>
    <x v="0"/>
    <x v="0"/>
    <x v="1"/>
    <x v="3"/>
    <x v="12"/>
    <s v="SE2A"/>
    <x v="6"/>
    <x v="5"/>
    <x v="11"/>
    <x v="0"/>
    <x v="18"/>
    <n v="1347.3891212473"/>
    <n v="491797.02925526601"/>
    <n v="1770469.30531896"/>
  </r>
  <r>
    <x v="0"/>
    <x v="0"/>
    <x v="1"/>
    <x v="3"/>
    <x v="12"/>
    <s v="SE2A"/>
    <x v="6"/>
    <x v="5"/>
    <x v="11"/>
    <x v="0"/>
    <x v="19"/>
    <n v="1185.1864150753299"/>
    <n v="432593.04150249501"/>
    <n v="1557334.9494089801"/>
  </r>
  <r>
    <x v="0"/>
    <x v="0"/>
    <x v="1"/>
    <x v="3"/>
    <x v="12"/>
    <s v="SE2A"/>
    <x v="6"/>
    <x v="5"/>
    <x v="11"/>
    <x v="0"/>
    <x v="20"/>
    <n v="1097.33903959037"/>
    <n v="400528.74945048499"/>
    <n v="1441903.49802175"/>
  </r>
  <r>
    <x v="0"/>
    <x v="0"/>
    <x v="1"/>
    <x v="3"/>
    <x v="12"/>
    <s v="SE2A"/>
    <x v="6"/>
    <x v="5"/>
    <x v="11"/>
    <x v="0"/>
    <x v="21"/>
    <n v="1012.57138837498"/>
    <n v="369588.55675686902"/>
    <n v="1330518.8043247301"/>
  </r>
  <r>
    <x v="0"/>
    <x v="0"/>
    <x v="1"/>
    <x v="3"/>
    <x v="12"/>
    <s v="SE2A"/>
    <x v="6"/>
    <x v="5"/>
    <x v="11"/>
    <x v="0"/>
    <x v="22"/>
    <n v="943.133113016837"/>
    <n v="344243.586251145"/>
    <n v="1239276.9105041199"/>
  </r>
  <r>
    <x v="0"/>
    <x v="0"/>
    <x v="1"/>
    <x v="3"/>
    <x v="12"/>
    <s v="SE2A"/>
    <x v="6"/>
    <x v="5"/>
    <x v="11"/>
    <x v="0"/>
    <x v="23"/>
    <n v="765.07437231982306"/>
    <n v="279252.14589673502"/>
    <n v="1005307.72522825"/>
  </r>
  <r>
    <x v="0"/>
    <x v="0"/>
    <x v="1"/>
    <x v="3"/>
    <x v="12"/>
    <s v="SE2_EL"/>
    <x v="1"/>
    <x v="1"/>
    <x v="58"/>
    <x v="0"/>
    <x v="0"/>
    <n v="-179.591836734694"/>
    <n v="-65551.020408163298"/>
    <n v="-235983.67346938801"/>
  </r>
  <r>
    <x v="0"/>
    <x v="0"/>
    <x v="1"/>
    <x v="3"/>
    <x v="12"/>
    <s v="SE2_EL"/>
    <x v="1"/>
    <x v="1"/>
    <x v="58"/>
    <x v="0"/>
    <x v="1"/>
    <n v="-179.591836734694"/>
    <n v="-65551.020408163298"/>
    <n v="-235983.67346938801"/>
  </r>
  <r>
    <x v="0"/>
    <x v="0"/>
    <x v="1"/>
    <x v="3"/>
    <x v="12"/>
    <s v="SE2_EL"/>
    <x v="1"/>
    <x v="1"/>
    <x v="58"/>
    <x v="0"/>
    <x v="2"/>
    <n v="-179.591836734694"/>
    <n v="-65551.020408163298"/>
    <n v="-235983.67346938801"/>
  </r>
  <r>
    <x v="0"/>
    <x v="0"/>
    <x v="1"/>
    <x v="3"/>
    <x v="12"/>
    <s v="SE2_EL"/>
    <x v="1"/>
    <x v="1"/>
    <x v="58"/>
    <x v="0"/>
    <x v="3"/>
    <n v="-179.591836734694"/>
    <n v="-65551.020408163298"/>
    <n v="-235983.67346938801"/>
  </r>
  <r>
    <x v="0"/>
    <x v="0"/>
    <x v="1"/>
    <x v="3"/>
    <x v="12"/>
    <s v="SE2_EL"/>
    <x v="1"/>
    <x v="1"/>
    <x v="58"/>
    <x v="0"/>
    <x v="4"/>
    <n v="-179.591836734694"/>
    <n v="-65551.020408163298"/>
    <n v="-235983.67346938801"/>
  </r>
  <r>
    <x v="0"/>
    <x v="0"/>
    <x v="1"/>
    <x v="3"/>
    <x v="12"/>
    <s v="SE2_EL"/>
    <x v="1"/>
    <x v="1"/>
    <x v="58"/>
    <x v="0"/>
    <x v="5"/>
    <n v="-179.591836734694"/>
    <n v="-65551.020408163298"/>
    <n v="-235983.67346938801"/>
  </r>
  <r>
    <x v="0"/>
    <x v="0"/>
    <x v="1"/>
    <x v="3"/>
    <x v="12"/>
    <s v="SE2_EL"/>
    <x v="1"/>
    <x v="1"/>
    <x v="58"/>
    <x v="0"/>
    <x v="6"/>
    <n v="-179.591836734694"/>
    <n v="-65551.020408163298"/>
    <n v="-235983.67346938801"/>
  </r>
  <r>
    <x v="0"/>
    <x v="0"/>
    <x v="1"/>
    <x v="3"/>
    <x v="12"/>
    <s v="SE2_EL"/>
    <x v="1"/>
    <x v="1"/>
    <x v="58"/>
    <x v="0"/>
    <x v="7"/>
    <n v="-179.591836734694"/>
    <n v="-65551.020408163298"/>
    <n v="-235983.67346938801"/>
  </r>
  <r>
    <x v="0"/>
    <x v="0"/>
    <x v="1"/>
    <x v="3"/>
    <x v="12"/>
    <s v="SE2_EL"/>
    <x v="1"/>
    <x v="1"/>
    <x v="58"/>
    <x v="0"/>
    <x v="8"/>
    <n v="-179.591836734694"/>
    <n v="-65551.020408163298"/>
    <n v="-235983.67346938801"/>
  </r>
  <r>
    <x v="0"/>
    <x v="0"/>
    <x v="1"/>
    <x v="3"/>
    <x v="12"/>
    <s v="SE2_EL"/>
    <x v="1"/>
    <x v="1"/>
    <x v="58"/>
    <x v="0"/>
    <x v="9"/>
    <n v="-179.591836734694"/>
    <n v="-65551.020408163298"/>
    <n v="-235983.67346938801"/>
  </r>
  <r>
    <x v="0"/>
    <x v="0"/>
    <x v="1"/>
    <x v="3"/>
    <x v="12"/>
    <s v="SE2_EL"/>
    <x v="1"/>
    <x v="1"/>
    <x v="58"/>
    <x v="0"/>
    <x v="10"/>
    <n v="-179.591836734694"/>
    <n v="-65551.020408163298"/>
    <n v="-235983.67346938801"/>
  </r>
  <r>
    <x v="0"/>
    <x v="0"/>
    <x v="1"/>
    <x v="3"/>
    <x v="12"/>
    <s v="SE2_EL"/>
    <x v="1"/>
    <x v="1"/>
    <x v="58"/>
    <x v="0"/>
    <x v="11"/>
    <n v="-179.591836734694"/>
    <n v="-65551.020408163298"/>
    <n v="-235983.67346938801"/>
  </r>
  <r>
    <x v="0"/>
    <x v="0"/>
    <x v="1"/>
    <x v="3"/>
    <x v="12"/>
    <s v="SE2_EL"/>
    <x v="1"/>
    <x v="1"/>
    <x v="58"/>
    <x v="0"/>
    <x v="12"/>
    <n v="-179.591836734694"/>
    <n v="-65551.020408163298"/>
    <n v="-235983.67346938801"/>
  </r>
  <r>
    <x v="0"/>
    <x v="0"/>
    <x v="1"/>
    <x v="3"/>
    <x v="12"/>
    <s v="SE2_EL"/>
    <x v="1"/>
    <x v="1"/>
    <x v="58"/>
    <x v="0"/>
    <x v="13"/>
    <n v="-179.591836734694"/>
    <n v="-65551.020408163298"/>
    <n v="-235983.67346938801"/>
  </r>
  <r>
    <x v="0"/>
    <x v="0"/>
    <x v="1"/>
    <x v="3"/>
    <x v="12"/>
    <s v="SE2_EL"/>
    <x v="1"/>
    <x v="1"/>
    <x v="58"/>
    <x v="0"/>
    <x v="14"/>
    <n v="-179.591836734694"/>
    <n v="-65551.020408163298"/>
    <n v="-235983.67346938801"/>
  </r>
  <r>
    <x v="0"/>
    <x v="0"/>
    <x v="1"/>
    <x v="3"/>
    <x v="12"/>
    <s v="SE2_EL"/>
    <x v="1"/>
    <x v="1"/>
    <x v="58"/>
    <x v="0"/>
    <x v="15"/>
    <n v="-179.591836734694"/>
    <n v="-65551.020408163298"/>
    <n v="-235983.67346938801"/>
  </r>
  <r>
    <x v="0"/>
    <x v="0"/>
    <x v="1"/>
    <x v="3"/>
    <x v="12"/>
    <s v="SE2_EL"/>
    <x v="1"/>
    <x v="1"/>
    <x v="58"/>
    <x v="0"/>
    <x v="16"/>
    <n v="-179.591836734694"/>
    <n v="-65551.020408163298"/>
    <n v="-235983.67346938801"/>
  </r>
  <r>
    <x v="0"/>
    <x v="0"/>
    <x v="1"/>
    <x v="3"/>
    <x v="12"/>
    <s v="SE2_EL"/>
    <x v="1"/>
    <x v="1"/>
    <x v="58"/>
    <x v="0"/>
    <x v="17"/>
    <n v="-179.591836734694"/>
    <n v="-65551.020408163298"/>
    <n v="-235983.67346938801"/>
  </r>
  <r>
    <x v="0"/>
    <x v="0"/>
    <x v="1"/>
    <x v="3"/>
    <x v="12"/>
    <s v="SE2_EL"/>
    <x v="1"/>
    <x v="1"/>
    <x v="58"/>
    <x v="0"/>
    <x v="18"/>
    <n v="-179.591836734694"/>
    <n v="-65551.020408163298"/>
    <n v="-235983.67346938801"/>
  </r>
  <r>
    <x v="0"/>
    <x v="0"/>
    <x v="1"/>
    <x v="3"/>
    <x v="12"/>
    <s v="SE2_EL"/>
    <x v="1"/>
    <x v="1"/>
    <x v="58"/>
    <x v="0"/>
    <x v="19"/>
    <n v="-179.591836734694"/>
    <n v="-65551.020408163298"/>
    <n v="-235983.67346938801"/>
  </r>
  <r>
    <x v="0"/>
    <x v="0"/>
    <x v="1"/>
    <x v="3"/>
    <x v="12"/>
    <s v="SE2_EL"/>
    <x v="1"/>
    <x v="1"/>
    <x v="58"/>
    <x v="0"/>
    <x v="20"/>
    <n v="-179.591836734694"/>
    <n v="-65551.020408163298"/>
    <n v="-235983.67346938801"/>
  </r>
  <r>
    <x v="0"/>
    <x v="0"/>
    <x v="1"/>
    <x v="3"/>
    <x v="12"/>
    <s v="SE2_EL"/>
    <x v="1"/>
    <x v="1"/>
    <x v="58"/>
    <x v="0"/>
    <x v="21"/>
    <n v="-179.591836734694"/>
    <n v="-65551.020408163298"/>
    <n v="-235983.67346938801"/>
  </r>
  <r>
    <x v="0"/>
    <x v="0"/>
    <x v="1"/>
    <x v="3"/>
    <x v="12"/>
    <s v="SE2_EL"/>
    <x v="1"/>
    <x v="1"/>
    <x v="58"/>
    <x v="0"/>
    <x v="22"/>
    <n v="-179.591836734694"/>
    <n v="-65551.020408163298"/>
    <n v="-235983.67346938801"/>
  </r>
  <r>
    <x v="0"/>
    <x v="0"/>
    <x v="1"/>
    <x v="3"/>
    <x v="12"/>
    <s v="SE2_EL"/>
    <x v="1"/>
    <x v="1"/>
    <x v="58"/>
    <x v="0"/>
    <x v="23"/>
    <n v="-179.591836734694"/>
    <n v="-65551.020408163298"/>
    <n v="-235983.67346938801"/>
  </r>
  <r>
    <x v="0"/>
    <x v="0"/>
    <x v="1"/>
    <x v="3"/>
    <x v="12"/>
    <s v="SE2_EL"/>
    <x v="1"/>
    <x v="1"/>
    <x v="54"/>
    <x v="0"/>
    <x v="0"/>
    <n v="-2.4444444444444402"/>
    <n v="-892.22222222222194"/>
    <n v="-3212"/>
  </r>
  <r>
    <x v="0"/>
    <x v="0"/>
    <x v="1"/>
    <x v="3"/>
    <x v="12"/>
    <s v="SE2_EL"/>
    <x v="1"/>
    <x v="1"/>
    <x v="54"/>
    <x v="0"/>
    <x v="1"/>
    <n v="-2.4444444444444402"/>
    <n v="-892.22222222222194"/>
    <n v="-3212"/>
  </r>
  <r>
    <x v="0"/>
    <x v="0"/>
    <x v="1"/>
    <x v="3"/>
    <x v="12"/>
    <s v="SE2_EL"/>
    <x v="1"/>
    <x v="1"/>
    <x v="54"/>
    <x v="0"/>
    <x v="2"/>
    <n v="-2.4444444444444402"/>
    <n v="-892.22222222222194"/>
    <n v="-3212"/>
  </r>
  <r>
    <x v="0"/>
    <x v="0"/>
    <x v="1"/>
    <x v="3"/>
    <x v="12"/>
    <s v="SE2_EL"/>
    <x v="1"/>
    <x v="1"/>
    <x v="54"/>
    <x v="0"/>
    <x v="3"/>
    <n v="-2.4444444444444402"/>
    <n v="-892.22222222222194"/>
    <n v="-3212"/>
  </r>
  <r>
    <x v="0"/>
    <x v="0"/>
    <x v="1"/>
    <x v="3"/>
    <x v="12"/>
    <s v="SE2_EL"/>
    <x v="1"/>
    <x v="1"/>
    <x v="54"/>
    <x v="0"/>
    <x v="4"/>
    <n v="-2.4444444444444402"/>
    <n v="-892.22222222222194"/>
    <n v="-3212"/>
  </r>
  <r>
    <x v="0"/>
    <x v="0"/>
    <x v="1"/>
    <x v="3"/>
    <x v="12"/>
    <s v="SE2_EL"/>
    <x v="1"/>
    <x v="1"/>
    <x v="54"/>
    <x v="0"/>
    <x v="5"/>
    <n v="-2.4444444444444402"/>
    <n v="-892.22222222222194"/>
    <n v="-3212"/>
  </r>
  <r>
    <x v="0"/>
    <x v="0"/>
    <x v="1"/>
    <x v="3"/>
    <x v="12"/>
    <s v="SE2_EL"/>
    <x v="1"/>
    <x v="1"/>
    <x v="54"/>
    <x v="0"/>
    <x v="6"/>
    <n v="-2.4444444444444402"/>
    <n v="-892.22222222222194"/>
    <n v="-3212"/>
  </r>
  <r>
    <x v="0"/>
    <x v="0"/>
    <x v="1"/>
    <x v="3"/>
    <x v="12"/>
    <s v="SE2_EL"/>
    <x v="1"/>
    <x v="1"/>
    <x v="54"/>
    <x v="0"/>
    <x v="7"/>
    <n v="-2.4444444444444402"/>
    <n v="-892.22222222222194"/>
    <n v="-3212"/>
  </r>
  <r>
    <x v="0"/>
    <x v="0"/>
    <x v="1"/>
    <x v="3"/>
    <x v="12"/>
    <s v="SE2_EL"/>
    <x v="1"/>
    <x v="1"/>
    <x v="54"/>
    <x v="0"/>
    <x v="8"/>
    <n v="-2.4444444444444402"/>
    <n v="-892.22222222222194"/>
    <n v="-3212"/>
  </r>
  <r>
    <x v="0"/>
    <x v="0"/>
    <x v="1"/>
    <x v="3"/>
    <x v="12"/>
    <s v="SE2_EL"/>
    <x v="1"/>
    <x v="1"/>
    <x v="54"/>
    <x v="0"/>
    <x v="9"/>
    <n v="-2.4444444444444402"/>
    <n v="-892.22222222222194"/>
    <n v="-3212"/>
  </r>
  <r>
    <x v="0"/>
    <x v="0"/>
    <x v="1"/>
    <x v="3"/>
    <x v="12"/>
    <s v="SE2_EL"/>
    <x v="1"/>
    <x v="1"/>
    <x v="54"/>
    <x v="0"/>
    <x v="10"/>
    <n v="-2.4444444444444402"/>
    <n v="-892.22222222222194"/>
    <n v="-3212"/>
  </r>
  <r>
    <x v="0"/>
    <x v="0"/>
    <x v="1"/>
    <x v="3"/>
    <x v="12"/>
    <s v="SE2_EL"/>
    <x v="1"/>
    <x v="1"/>
    <x v="54"/>
    <x v="0"/>
    <x v="11"/>
    <n v="-2.4444444444444402"/>
    <n v="-892.22222222222194"/>
    <n v="-3212"/>
  </r>
  <r>
    <x v="0"/>
    <x v="0"/>
    <x v="1"/>
    <x v="3"/>
    <x v="12"/>
    <s v="SE2_EL"/>
    <x v="1"/>
    <x v="1"/>
    <x v="54"/>
    <x v="0"/>
    <x v="12"/>
    <n v="-2.4444444444444402"/>
    <n v="-892.22222222222194"/>
    <n v="-3212"/>
  </r>
  <r>
    <x v="0"/>
    <x v="0"/>
    <x v="1"/>
    <x v="3"/>
    <x v="12"/>
    <s v="SE2_EL"/>
    <x v="1"/>
    <x v="1"/>
    <x v="54"/>
    <x v="0"/>
    <x v="13"/>
    <n v="-2.4444444444444402"/>
    <n v="-892.22222222222194"/>
    <n v="-3212"/>
  </r>
  <r>
    <x v="0"/>
    <x v="0"/>
    <x v="1"/>
    <x v="3"/>
    <x v="12"/>
    <s v="SE2_EL"/>
    <x v="1"/>
    <x v="1"/>
    <x v="54"/>
    <x v="0"/>
    <x v="14"/>
    <n v="-2.4444444444444402"/>
    <n v="-892.22222222222194"/>
    <n v="-3212"/>
  </r>
  <r>
    <x v="0"/>
    <x v="0"/>
    <x v="1"/>
    <x v="3"/>
    <x v="12"/>
    <s v="SE2_EL"/>
    <x v="1"/>
    <x v="1"/>
    <x v="54"/>
    <x v="0"/>
    <x v="15"/>
    <n v="-2.4444444444444402"/>
    <n v="-892.22222222222194"/>
    <n v="-3212"/>
  </r>
  <r>
    <x v="0"/>
    <x v="0"/>
    <x v="1"/>
    <x v="3"/>
    <x v="12"/>
    <s v="SE2_EL"/>
    <x v="1"/>
    <x v="1"/>
    <x v="54"/>
    <x v="0"/>
    <x v="16"/>
    <n v="-2.4444444444444402"/>
    <n v="-892.22222222222194"/>
    <n v="-3212"/>
  </r>
  <r>
    <x v="0"/>
    <x v="0"/>
    <x v="1"/>
    <x v="3"/>
    <x v="12"/>
    <s v="SE2_EL"/>
    <x v="1"/>
    <x v="1"/>
    <x v="54"/>
    <x v="0"/>
    <x v="17"/>
    <n v="-2.4444444444444402"/>
    <n v="-892.22222222222194"/>
    <n v="-3212"/>
  </r>
  <r>
    <x v="0"/>
    <x v="0"/>
    <x v="1"/>
    <x v="3"/>
    <x v="12"/>
    <s v="SE2_EL"/>
    <x v="1"/>
    <x v="1"/>
    <x v="54"/>
    <x v="0"/>
    <x v="18"/>
    <n v="-2.4444444444444402"/>
    <n v="-892.22222222222194"/>
    <n v="-3212"/>
  </r>
  <r>
    <x v="0"/>
    <x v="0"/>
    <x v="1"/>
    <x v="3"/>
    <x v="12"/>
    <s v="SE2_EL"/>
    <x v="1"/>
    <x v="1"/>
    <x v="54"/>
    <x v="0"/>
    <x v="19"/>
    <n v="-2.4444444444444402"/>
    <n v="-892.22222222222194"/>
    <n v="-3212"/>
  </r>
  <r>
    <x v="0"/>
    <x v="0"/>
    <x v="1"/>
    <x v="3"/>
    <x v="12"/>
    <s v="SE2_EL"/>
    <x v="1"/>
    <x v="1"/>
    <x v="54"/>
    <x v="0"/>
    <x v="20"/>
    <n v="-2.4444444444444402"/>
    <n v="-892.22222222222194"/>
    <n v="-3212"/>
  </r>
  <r>
    <x v="0"/>
    <x v="0"/>
    <x v="1"/>
    <x v="3"/>
    <x v="12"/>
    <s v="SE2_EL"/>
    <x v="1"/>
    <x v="1"/>
    <x v="54"/>
    <x v="0"/>
    <x v="21"/>
    <n v="-2.4444444444444402"/>
    <n v="-892.22222222222194"/>
    <n v="-3212"/>
  </r>
  <r>
    <x v="0"/>
    <x v="0"/>
    <x v="1"/>
    <x v="3"/>
    <x v="12"/>
    <s v="SE2_EL"/>
    <x v="1"/>
    <x v="1"/>
    <x v="54"/>
    <x v="0"/>
    <x v="22"/>
    <n v="-2.4444444444444402"/>
    <n v="-892.22222222222194"/>
    <n v="-3212"/>
  </r>
  <r>
    <x v="0"/>
    <x v="0"/>
    <x v="1"/>
    <x v="3"/>
    <x v="12"/>
    <s v="SE2_EL"/>
    <x v="1"/>
    <x v="1"/>
    <x v="54"/>
    <x v="0"/>
    <x v="23"/>
    <n v="-2.4444444444444402"/>
    <n v="-892.22222222222194"/>
    <n v="-3212"/>
  </r>
  <r>
    <x v="0"/>
    <x v="0"/>
    <x v="1"/>
    <x v="3"/>
    <x v="12"/>
    <s v="SE2_EL"/>
    <x v="1"/>
    <x v="1"/>
    <x v="90"/>
    <x v="0"/>
    <x v="0"/>
    <n v="-25.517570392460598"/>
    <n v="-9313.9131932481196"/>
    <n v="-33530.087495693202"/>
  </r>
  <r>
    <x v="0"/>
    <x v="0"/>
    <x v="1"/>
    <x v="3"/>
    <x v="12"/>
    <s v="SE2_EL"/>
    <x v="1"/>
    <x v="1"/>
    <x v="90"/>
    <x v="0"/>
    <x v="1"/>
    <n v="-27.955761414348199"/>
    <n v="-10203.8529162371"/>
    <n v="-36733.870498453602"/>
  </r>
  <r>
    <x v="0"/>
    <x v="0"/>
    <x v="1"/>
    <x v="3"/>
    <x v="12"/>
    <s v="SE2_EL"/>
    <x v="1"/>
    <x v="1"/>
    <x v="90"/>
    <x v="0"/>
    <x v="2"/>
    <n v="-32.309892296306103"/>
    <n v="-11793.110688151701"/>
    <n v="-42455.198477346203"/>
  </r>
  <r>
    <x v="0"/>
    <x v="0"/>
    <x v="1"/>
    <x v="3"/>
    <x v="12"/>
    <s v="SE2_EL"/>
    <x v="1"/>
    <x v="1"/>
    <x v="90"/>
    <x v="0"/>
    <x v="3"/>
    <n v="-43.149353504752497"/>
    <n v="-15749.514029234701"/>
    <n v="-56698.250505244803"/>
  </r>
  <r>
    <x v="0"/>
    <x v="0"/>
    <x v="1"/>
    <x v="3"/>
    <x v="12"/>
    <s v="SE2_EL"/>
    <x v="1"/>
    <x v="1"/>
    <x v="90"/>
    <x v="0"/>
    <x v="4"/>
    <n v="-59.217367121017503"/>
    <n v="-21614.338999171399"/>
    <n v="-77811.620397016901"/>
  </r>
  <r>
    <x v="0"/>
    <x v="0"/>
    <x v="1"/>
    <x v="3"/>
    <x v="12"/>
    <s v="SE2_EL"/>
    <x v="1"/>
    <x v="1"/>
    <x v="90"/>
    <x v="0"/>
    <x v="5"/>
    <n v="-64.318428239522504"/>
    <n v="-23476.226307425699"/>
    <n v="-84514.414706732496"/>
  </r>
  <r>
    <x v="0"/>
    <x v="0"/>
    <x v="1"/>
    <x v="3"/>
    <x v="12"/>
    <s v="SE2_EL"/>
    <x v="1"/>
    <x v="1"/>
    <x v="90"/>
    <x v="0"/>
    <x v="6"/>
    <n v="-64.318428239522504"/>
    <n v="-23476.226307425699"/>
    <n v="-84514.414706732496"/>
  </r>
  <r>
    <x v="0"/>
    <x v="0"/>
    <x v="1"/>
    <x v="3"/>
    <x v="12"/>
    <s v="SE2_EL"/>
    <x v="1"/>
    <x v="1"/>
    <x v="90"/>
    <x v="0"/>
    <x v="7"/>
    <n v="-64.318428239522504"/>
    <n v="-23476.226307425699"/>
    <n v="-84514.414706732496"/>
  </r>
  <r>
    <x v="0"/>
    <x v="0"/>
    <x v="1"/>
    <x v="3"/>
    <x v="12"/>
    <s v="SE2_EL"/>
    <x v="1"/>
    <x v="1"/>
    <x v="90"/>
    <x v="0"/>
    <x v="8"/>
    <n v="-64.318428239522504"/>
    <n v="-23476.226307425699"/>
    <n v="-84514.414706732496"/>
  </r>
  <r>
    <x v="0"/>
    <x v="0"/>
    <x v="1"/>
    <x v="3"/>
    <x v="12"/>
    <s v="SE2_EL"/>
    <x v="1"/>
    <x v="1"/>
    <x v="90"/>
    <x v="0"/>
    <x v="9"/>
    <n v="-64.318428239522504"/>
    <n v="-23476.226307425699"/>
    <n v="-84514.414706732496"/>
  </r>
  <r>
    <x v="0"/>
    <x v="0"/>
    <x v="1"/>
    <x v="3"/>
    <x v="12"/>
    <s v="SE2_EL"/>
    <x v="1"/>
    <x v="1"/>
    <x v="90"/>
    <x v="0"/>
    <x v="10"/>
    <n v="-64.318428239522504"/>
    <n v="-23476.226307425699"/>
    <n v="-84514.414706732496"/>
  </r>
  <r>
    <x v="0"/>
    <x v="0"/>
    <x v="1"/>
    <x v="3"/>
    <x v="12"/>
    <s v="SE2_EL"/>
    <x v="1"/>
    <x v="1"/>
    <x v="90"/>
    <x v="0"/>
    <x v="11"/>
    <n v="-64.318428239522504"/>
    <n v="-23476.226307425699"/>
    <n v="-84514.414706732496"/>
  </r>
  <r>
    <x v="0"/>
    <x v="0"/>
    <x v="1"/>
    <x v="3"/>
    <x v="12"/>
    <s v="SE2_EL"/>
    <x v="1"/>
    <x v="1"/>
    <x v="90"/>
    <x v="0"/>
    <x v="12"/>
    <n v="-64.318428239522504"/>
    <n v="-23476.226307425699"/>
    <n v="-84514.414706732496"/>
  </r>
  <r>
    <x v="0"/>
    <x v="0"/>
    <x v="1"/>
    <x v="3"/>
    <x v="12"/>
    <s v="SE2_EL"/>
    <x v="1"/>
    <x v="1"/>
    <x v="90"/>
    <x v="0"/>
    <x v="13"/>
    <n v="-64.318428239522504"/>
    <n v="-23476.226307425699"/>
    <n v="-84514.414706732496"/>
  </r>
  <r>
    <x v="0"/>
    <x v="0"/>
    <x v="1"/>
    <x v="3"/>
    <x v="12"/>
    <s v="SE2_EL"/>
    <x v="1"/>
    <x v="1"/>
    <x v="90"/>
    <x v="0"/>
    <x v="14"/>
    <n v="-64.318428239522504"/>
    <n v="-23476.226307425699"/>
    <n v="-84514.414706732496"/>
  </r>
  <r>
    <x v="0"/>
    <x v="0"/>
    <x v="1"/>
    <x v="3"/>
    <x v="12"/>
    <s v="SE2_EL"/>
    <x v="1"/>
    <x v="1"/>
    <x v="90"/>
    <x v="0"/>
    <x v="15"/>
    <n v="-64.318428239522504"/>
    <n v="-23476.226307425699"/>
    <n v="-84514.414706732496"/>
  </r>
  <r>
    <x v="0"/>
    <x v="0"/>
    <x v="1"/>
    <x v="3"/>
    <x v="12"/>
    <s v="SE2_EL"/>
    <x v="1"/>
    <x v="1"/>
    <x v="90"/>
    <x v="0"/>
    <x v="16"/>
    <n v="-56.551451404132301"/>
    <n v="-20641.2797625083"/>
    <n v="-74308.607145029804"/>
  </r>
  <r>
    <x v="0"/>
    <x v="0"/>
    <x v="1"/>
    <x v="3"/>
    <x v="12"/>
    <s v="SE2_EL"/>
    <x v="1"/>
    <x v="1"/>
    <x v="90"/>
    <x v="0"/>
    <x v="17"/>
    <n v="-44.433873804599997"/>
    <n v="-16218.363938679"/>
    <n v="-58386.110179244402"/>
  </r>
  <r>
    <x v="0"/>
    <x v="0"/>
    <x v="1"/>
    <x v="3"/>
    <x v="12"/>
    <s v="SE2_EL"/>
    <x v="1"/>
    <x v="1"/>
    <x v="90"/>
    <x v="0"/>
    <x v="18"/>
    <n v="-42.706073428869303"/>
    <n v="-15587.716801537301"/>
    <n v="-56115.780485534298"/>
  </r>
  <r>
    <x v="0"/>
    <x v="0"/>
    <x v="1"/>
    <x v="3"/>
    <x v="12"/>
    <s v="SE2_EL"/>
    <x v="1"/>
    <x v="1"/>
    <x v="90"/>
    <x v="0"/>
    <x v="19"/>
    <n v="-45.378347656456697"/>
    <n v="-16563.096894606701"/>
    <n v="-59627.148820584101"/>
  </r>
  <r>
    <x v="0"/>
    <x v="0"/>
    <x v="1"/>
    <x v="3"/>
    <x v="12"/>
    <s v="SE2_EL"/>
    <x v="1"/>
    <x v="1"/>
    <x v="90"/>
    <x v="0"/>
    <x v="20"/>
    <n v="-42.860244647065599"/>
    <n v="-15643.989296178899"/>
    <n v="-56318.361466244198"/>
  </r>
  <r>
    <x v="0"/>
    <x v="0"/>
    <x v="1"/>
    <x v="3"/>
    <x v="12"/>
    <s v="SE2_EL"/>
    <x v="1"/>
    <x v="1"/>
    <x v="90"/>
    <x v="0"/>
    <x v="21"/>
    <n v="-38.740298987516098"/>
    <n v="-14140.2091304434"/>
    <n v="-50904.752869596101"/>
  </r>
  <r>
    <x v="0"/>
    <x v="0"/>
    <x v="1"/>
    <x v="3"/>
    <x v="12"/>
    <s v="SE2_EL"/>
    <x v="1"/>
    <x v="1"/>
    <x v="90"/>
    <x v="0"/>
    <x v="22"/>
    <n v="-30.294016232013401"/>
    <n v="-11057.315924684901"/>
    <n v="-39806.3373288656"/>
  </r>
  <r>
    <x v="0"/>
    <x v="0"/>
    <x v="1"/>
    <x v="3"/>
    <x v="12"/>
    <s v="SE2_EL"/>
    <x v="1"/>
    <x v="1"/>
    <x v="90"/>
    <x v="0"/>
    <x v="23"/>
    <n v="-22.928391917144499"/>
    <n v="-8368.8630497577396"/>
    <n v="-30127.9069791279"/>
  </r>
  <r>
    <x v="0"/>
    <x v="0"/>
    <x v="1"/>
    <x v="3"/>
    <x v="12"/>
    <s v="SE2_EL"/>
    <x v="2"/>
    <x v="2"/>
    <x v="61"/>
    <x v="0"/>
    <x v="6"/>
    <n v="1.4341646336226901"/>
    <n v="523.47009127228296"/>
    <n v="1884.4923285802199"/>
  </r>
  <r>
    <x v="0"/>
    <x v="0"/>
    <x v="1"/>
    <x v="3"/>
    <x v="12"/>
    <s v="SE2_EL"/>
    <x v="2"/>
    <x v="2"/>
    <x v="61"/>
    <x v="0"/>
    <x v="7"/>
    <n v="6.0820554552229202"/>
    <n v="2219.9502411563699"/>
    <n v="7991.8208681629203"/>
  </r>
  <r>
    <x v="0"/>
    <x v="0"/>
    <x v="1"/>
    <x v="3"/>
    <x v="12"/>
    <s v="SE2_EL"/>
    <x v="2"/>
    <x v="2"/>
    <x v="61"/>
    <x v="0"/>
    <x v="8"/>
    <n v="3.9184860327968298"/>
    <n v="1430.24740197084"/>
    <n v="5148.8906470950396"/>
  </r>
  <r>
    <x v="0"/>
    <x v="0"/>
    <x v="1"/>
    <x v="3"/>
    <x v="12"/>
    <s v="SE2_EL"/>
    <x v="2"/>
    <x v="2"/>
    <x v="61"/>
    <x v="0"/>
    <x v="9"/>
    <n v="0.303733773084289"/>
    <n v="110.86282717576501"/>
    <n v="399.10617783275501"/>
  </r>
  <r>
    <x v="0"/>
    <x v="0"/>
    <x v="1"/>
    <x v="3"/>
    <x v="12"/>
    <s v="SE2_EL"/>
    <x v="13"/>
    <x v="0"/>
    <x v="63"/>
    <x v="0"/>
    <x v="5"/>
    <n v="5.0322130016829396"/>
    <n v="1836.7577456142701"/>
    <n v="6612.3278842113896"/>
  </r>
  <r>
    <x v="0"/>
    <x v="0"/>
    <x v="1"/>
    <x v="3"/>
    <x v="12"/>
    <s v="SE2_EL"/>
    <x v="13"/>
    <x v="0"/>
    <x v="63"/>
    <x v="0"/>
    <x v="6"/>
    <n v="18.537427971575099"/>
    <n v="6766.16120962491"/>
    <n v="24358.180354649699"/>
  </r>
  <r>
    <x v="0"/>
    <x v="0"/>
    <x v="1"/>
    <x v="3"/>
    <x v="12"/>
    <s v="SE2_EL"/>
    <x v="13"/>
    <x v="0"/>
    <x v="63"/>
    <x v="0"/>
    <x v="7"/>
    <n v="18.537427971575099"/>
    <n v="6766.16120962491"/>
    <n v="24358.180354649699"/>
  </r>
  <r>
    <x v="0"/>
    <x v="0"/>
    <x v="1"/>
    <x v="3"/>
    <x v="12"/>
    <s v="SE2_EL"/>
    <x v="13"/>
    <x v="0"/>
    <x v="63"/>
    <x v="0"/>
    <x v="8"/>
    <n v="18.537427971575099"/>
    <n v="6766.16120962491"/>
    <n v="24358.180354649699"/>
  </r>
  <r>
    <x v="0"/>
    <x v="0"/>
    <x v="1"/>
    <x v="3"/>
    <x v="12"/>
    <s v="SE2_EL"/>
    <x v="13"/>
    <x v="0"/>
    <x v="63"/>
    <x v="0"/>
    <x v="9"/>
    <n v="18.537427971575099"/>
    <n v="6766.16120962491"/>
    <n v="24358.180354649699"/>
  </r>
  <r>
    <x v="0"/>
    <x v="0"/>
    <x v="1"/>
    <x v="3"/>
    <x v="12"/>
    <s v="SE2_EL"/>
    <x v="13"/>
    <x v="0"/>
    <x v="63"/>
    <x v="0"/>
    <x v="10"/>
    <n v="14.4534692872862"/>
    <n v="5275.5162898594499"/>
    <n v="18991.858643494001"/>
  </r>
  <r>
    <x v="0"/>
    <x v="0"/>
    <x v="1"/>
    <x v="3"/>
    <x v="12"/>
    <s v="SE2_EL"/>
    <x v="13"/>
    <x v="0"/>
    <x v="63"/>
    <x v="0"/>
    <x v="11"/>
    <n v="11.579783312128599"/>
    <n v="4226.6209089269196"/>
    <n v="15215.835272136899"/>
  </r>
  <r>
    <x v="0"/>
    <x v="0"/>
    <x v="1"/>
    <x v="3"/>
    <x v="12"/>
    <s v="SE2_EL"/>
    <x v="13"/>
    <x v="0"/>
    <x v="63"/>
    <x v="0"/>
    <x v="12"/>
    <n v="8.1646178780469008"/>
    <n v="2980.0855254871199"/>
    <n v="10728.3078917536"/>
  </r>
  <r>
    <x v="0"/>
    <x v="0"/>
    <x v="1"/>
    <x v="3"/>
    <x v="12"/>
    <s v="SE2_EL"/>
    <x v="13"/>
    <x v="0"/>
    <x v="63"/>
    <x v="0"/>
    <x v="13"/>
    <n v="6.0627508507989001"/>
    <n v="2212.9040605415998"/>
    <n v="7966.4546179497602"/>
  </r>
  <r>
    <x v="0"/>
    <x v="0"/>
    <x v="1"/>
    <x v="3"/>
    <x v="12"/>
    <s v="SE2_EL"/>
    <x v="13"/>
    <x v="0"/>
    <x v="63"/>
    <x v="0"/>
    <x v="14"/>
    <n v="3.27720928688308"/>
    <n v="1196.18138971232"/>
    <n v="4306.2530029643704"/>
  </r>
  <r>
    <x v="0"/>
    <x v="0"/>
    <x v="1"/>
    <x v="3"/>
    <x v="12"/>
    <s v="SE2_OTHER"/>
    <x v="1"/>
    <x v="1"/>
    <x v="90"/>
    <x v="0"/>
    <x v="0"/>
    <n v="-125.37808486238301"/>
    <n v="-45763.000974769799"/>
    <n v="-164746.803509171"/>
  </r>
  <r>
    <x v="0"/>
    <x v="0"/>
    <x v="1"/>
    <x v="3"/>
    <x v="12"/>
    <s v="SE2_OTHER"/>
    <x v="1"/>
    <x v="1"/>
    <x v="90"/>
    <x v="0"/>
    <x v="1"/>
    <n v="-128.40507206968499"/>
    <n v="-46867.851305435099"/>
    <n v="-168724.264699566"/>
  </r>
  <r>
    <x v="0"/>
    <x v="0"/>
    <x v="1"/>
    <x v="3"/>
    <x v="12"/>
    <s v="SE2_OTHER"/>
    <x v="1"/>
    <x v="1"/>
    <x v="90"/>
    <x v="0"/>
    <x v="2"/>
    <n v="-132.030828942309"/>
    <n v="-48191.252563942799"/>
    <n v="-173488.509230194"/>
  </r>
  <r>
    <x v="0"/>
    <x v="0"/>
    <x v="1"/>
    <x v="3"/>
    <x v="12"/>
    <s v="SE2_OTHER"/>
    <x v="1"/>
    <x v="1"/>
    <x v="90"/>
    <x v="0"/>
    <x v="3"/>
    <n v="-132.030828942309"/>
    <n v="-48191.252563942799"/>
    <n v="-173488.509230194"/>
  </r>
  <r>
    <x v="0"/>
    <x v="0"/>
    <x v="1"/>
    <x v="3"/>
    <x v="12"/>
    <s v="SE2_OTHER"/>
    <x v="1"/>
    <x v="1"/>
    <x v="90"/>
    <x v="0"/>
    <x v="4"/>
    <n v="-132.030828942309"/>
    <n v="-48191.252563942799"/>
    <n v="-173488.509230194"/>
  </r>
  <r>
    <x v="0"/>
    <x v="0"/>
    <x v="1"/>
    <x v="3"/>
    <x v="12"/>
    <s v="SE2_OTHER"/>
    <x v="1"/>
    <x v="1"/>
    <x v="90"/>
    <x v="0"/>
    <x v="5"/>
    <n v="-132.030828942309"/>
    <n v="-48191.252563942799"/>
    <n v="-173488.509230194"/>
  </r>
  <r>
    <x v="0"/>
    <x v="0"/>
    <x v="1"/>
    <x v="3"/>
    <x v="12"/>
    <s v="SE2_OTHER"/>
    <x v="1"/>
    <x v="1"/>
    <x v="90"/>
    <x v="0"/>
    <x v="6"/>
    <n v="-132.030828942309"/>
    <n v="-48191.252563942799"/>
    <n v="-173488.509230194"/>
  </r>
  <r>
    <x v="0"/>
    <x v="0"/>
    <x v="1"/>
    <x v="3"/>
    <x v="12"/>
    <s v="SE2_OTHER"/>
    <x v="1"/>
    <x v="1"/>
    <x v="90"/>
    <x v="0"/>
    <x v="7"/>
    <n v="-132.030828942309"/>
    <n v="-48191.252563942799"/>
    <n v="-173488.509230194"/>
  </r>
  <r>
    <x v="0"/>
    <x v="0"/>
    <x v="1"/>
    <x v="3"/>
    <x v="12"/>
    <s v="SE2_OTHER"/>
    <x v="1"/>
    <x v="1"/>
    <x v="90"/>
    <x v="0"/>
    <x v="8"/>
    <n v="-132.030828942309"/>
    <n v="-48191.252563942799"/>
    <n v="-173488.509230194"/>
  </r>
  <r>
    <x v="0"/>
    <x v="0"/>
    <x v="1"/>
    <x v="3"/>
    <x v="12"/>
    <s v="SE2_OTHER"/>
    <x v="1"/>
    <x v="1"/>
    <x v="90"/>
    <x v="0"/>
    <x v="9"/>
    <n v="-132.030828942309"/>
    <n v="-48191.252563942799"/>
    <n v="-173488.509230194"/>
  </r>
  <r>
    <x v="0"/>
    <x v="0"/>
    <x v="1"/>
    <x v="3"/>
    <x v="12"/>
    <s v="SE2_OTHER"/>
    <x v="1"/>
    <x v="1"/>
    <x v="90"/>
    <x v="0"/>
    <x v="10"/>
    <n v="-132.030828942309"/>
    <n v="-48191.252563942799"/>
    <n v="-173488.509230194"/>
  </r>
  <r>
    <x v="0"/>
    <x v="0"/>
    <x v="1"/>
    <x v="3"/>
    <x v="12"/>
    <s v="SE2_OTHER"/>
    <x v="1"/>
    <x v="1"/>
    <x v="90"/>
    <x v="0"/>
    <x v="11"/>
    <n v="-132.030828942309"/>
    <n v="-48191.252563942799"/>
    <n v="-173488.509230194"/>
  </r>
  <r>
    <x v="0"/>
    <x v="0"/>
    <x v="1"/>
    <x v="3"/>
    <x v="12"/>
    <s v="SE2_OTHER"/>
    <x v="1"/>
    <x v="1"/>
    <x v="90"/>
    <x v="0"/>
    <x v="12"/>
    <n v="-132.030828942309"/>
    <n v="-48191.252563942799"/>
    <n v="-173488.509230194"/>
  </r>
  <r>
    <x v="0"/>
    <x v="0"/>
    <x v="1"/>
    <x v="3"/>
    <x v="12"/>
    <s v="SE2_OTHER"/>
    <x v="1"/>
    <x v="1"/>
    <x v="90"/>
    <x v="0"/>
    <x v="13"/>
    <n v="-132.030828942309"/>
    <n v="-48191.252563942799"/>
    <n v="-173488.509230194"/>
  </r>
  <r>
    <x v="0"/>
    <x v="0"/>
    <x v="1"/>
    <x v="3"/>
    <x v="12"/>
    <s v="SE2_OTHER"/>
    <x v="1"/>
    <x v="1"/>
    <x v="90"/>
    <x v="0"/>
    <x v="14"/>
    <n v="-132.030828942309"/>
    <n v="-48191.252563942799"/>
    <n v="-173488.509230194"/>
  </r>
  <r>
    <x v="0"/>
    <x v="0"/>
    <x v="1"/>
    <x v="3"/>
    <x v="12"/>
    <s v="SE2_OTHER"/>
    <x v="1"/>
    <x v="1"/>
    <x v="90"/>
    <x v="0"/>
    <x v="15"/>
    <n v="-132.030828942309"/>
    <n v="-48191.252563942799"/>
    <n v="-173488.509230194"/>
  </r>
  <r>
    <x v="0"/>
    <x v="0"/>
    <x v="1"/>
    <x v="3"/>
    <x v="12"/>
    <s v="SE2_OTHER"/>
    <x v="1"/>
    <x v="1"/>
    <x v="90"/>
    <x v="0"/>
    <x v="16"/>
    <n v="-132.030828942309"/>
    <n v="-48191.252563942799"/>
    <n v="-173488.509230194"/>
  </r>
  <r>
    <x v="0"/>
    <x v="0"/>
    <x v="1"/>
    <x v="3"/>
    <x v="12"/>
    <s v="SE2_OTHER"/>
    <x v="1"/>
    <x v="1"/>
    <x v="90"/>
    <x v="0"/>
    <x v="17"/>
    <n v="-132.030828942309"/>
    <n v="-48191.252563942799"/>
    <n v="-173488.509230194"/>
  </r>
  <r>
    <x v="0"/>
    <x v="0"/>
    <x v="1"/>
    <x v="3"/>
    <x v="12"/>
    <s v="SE2_OTHER"/>
    <x v="1"/>
    <x v="1"/>
    <x v="90"/>
    <x v="0"/>
    <x v="18"/>
    <n v="-132.030828942309"/>
    <n v="-48191.252563942799"/>
    <n v="-173488.509230194"/>
  </r>
  <r>
    <x v="0"/>
    <x v="0"/>
    <x v="1"/>
    <x v="3"/>
    <x v="12"/>
    <s v="SE2_OTHER"/>
    <x v="1"/>
    <x v="1"/>
    <x v="90"/>
    <x v="0"/>
    <x v="19"/>
    <n v="-132.030828942309"/>
    <n v="-48191.252563942799"/>
    <n v="-173488.509230194"/>
  </r>
  <r>
    <x v="0"/>
    <x v="0"/>
    <x v="1"/>
    <x v="3"/>
    <x v="12"/>
    <s v="SE2_OTHER"/>
    <x v="1"/>
    <x v="1"/>
    <x v="90"/>
    <x v="0"/>
    <x v="20"/>
    <n v="-132.030828942309"/>
    <n v="-48191.252563942799"/>
    <n v="-173488.509230194"/>
  </r>
  <r>
    <x v="0"/>
    <x v="0"/>
    <x v="1"/>
    <x v="3"/>
    <x v="12"/>
    <s v="SE2_OTHER"/>
    <x v="1"/>
    <x v="1"/>
    <x v="90"/>
    <x v="0"/>
    <x v="21"/>
    <n v="-132.030828942309"/>
    <n v="-48191.252563942799"/>
    <n v="-173488.509230194"/>
  </r>
  <r>
    <x v="0"/>
    <x v="0"/>
    <x v="1"/>
    <x v="3"/>
    <x v="12"/>
    <s v="SE2_OTHER"/>
    <x v="1"/>
    <x v="1"/>
    <x v="90"/>
    <x v="0"/>
    <x v="22"/>
    <n v="-132.030828942309"/>
    <n v="-48191.252563942799"/>
    <n v="-173488.509230194"/>
  </r>
  <r>
    <x v="0"/>
    <x v="0"/>
    <x v="1"/>
    <x v="3"/>
    <x v="12"/>
    <s v="SE2_OTHER"/>
    <x v="1"/>
    <x v="1"/>
    <x v="90"/>
    <x v="0"/>
    <x v="23"/>
    <n v="-132.030828942309"/>
    <n v="-48191.252563942799"/>
    <n v="-173488.509230194"/>
  </r>
  <r>
    <x v="0"/>
    <x v="0"/>
    <x v="1"/>
    <x v="3"/>
    <x v="13"/>
    <s v="SE3A"/>
    <x v="4"/>
    <x v="3"/>
    <x v="93"/>
    <x v="0"/>
    <x v="0"/>
    <n v="9674.8255343726505"/>
    <n v="3531311.3200460202"/>
    <n v="12712720.752165699"/>
  </r>
  <r>
    <x v="0"/>
    <x v="0"/>
    <x v="1"/>
    <x v="3"/>
    <x v="13"/>
    <s v="SE3A"/>
    <x v="4"/>
    <x v="3"/>
    <x v="93"/>
    <x v="0"/>
    <x v="1"/>
    <n v="9459.4335934123592"/>
    <n v="3452693.2615955099"/>
    <n v="12429695.741743799"/>
  </r>
  <r>
    <x v="0"/>
    <x v="0"/>
    <x v="1"/>
    <x v="3"/>
    <x v="13"/>
    <s v="SE3A"/>
    <x v="4"/>
    <x v="3"/>
    <x v="93"/>
    <x v="0"/>
    <x v="2"/>
    <n v="9167.1679959436497"/>
    <n v="3346016.3185194298"/>
    <n v="12045658.74667"/>
  </r>
  <r>
    <x v="0"/>
    <x v="0"/>
    <x v="1"/>
    <x v="3"/>
    <x v="13"/>
    <s v="SE3A"/>
    <x v="4"/>
    <x v="3"/>
    <x v="93"/>
    <x v="0"/>
    <x v="3"/>
    <n v="9712.4042575334697"/>
    <n v="3545027.5539997201"/>
    <n v="12762099.194398999"/>
  </r>
  <r>
    <x v="0"/>
    <x v="0"/>
    <x v="1"/>
    <x v="3"/>
    <x v="13"/>
    <s v="SE3A"/>
    <x v="4"/>
    <x v="3"/>
    <x v="93"/>
    <x v="0"/>
    <x v="4"/>
    <n v="9397.5704960969597"/>
    <n v="3430113.2310753898"/>
    <n v="12348407.6318714"/>
  </r>
  <r>
    <x v="0"/>
    <x v="0"/>
    <x v="1"/>
    <x v="3"/>
    <x v="13"/>
    <s v="SE3A"/>
    <x v="4"/>
    <x v="3"/>
    <x v="93"/>
    <x v="0"/>
    <x v="5"/>
    <n v="10307.762634103799"/>
    <n v="3762333.3614478898"/>
    <n v="13544400.101212399"/>
  </r>
  <r>
    <x v="0"/>
    <x v="0"/>
    <x v="1"/>
    <x v="3"/>
    <x v="13"/>
    <s v="SE3A"/>
    <x v="4"/>
    <x v="3"/>
    <x v="93"/>
    <x v="0"/>
    <x v="6"/>
    <n v="11792.529870615401"/>
    <n v="4304273.4027746096"/>
    <n v="15495384.249988601"/>
  </r>
  <r>
    <x v="0"/>
    <x v="0"/>
    <x v="1"/>
    <x v="3"/>
    <x v="13"/>
    <s v="SE3A"/>
    <x v="4"/>
    <x v="3"/>
    <x v="93"/>
    <x v="0"/>
    <x v="7"/>
    <n v="12859.6275165158"/>
    <n v="4693764.0435282802"/>
    <n v="16897550.556701802"/>
  </r>
  <r>
    <x v="0"/>
    <x v="0"/>
    <x v="1"/>
    <x v="3"/>
    <x v="13"/>
    <s v="SE3A"/>
    <x v="4"/>
    <x v="3"/>
    <x v="93"/>
    <x v="0"/>
    <x v="8"/>
    <n v="13210.968393453"/>
    <n v="4822003.4636103604"/>
    <n v="17359212.4689973"/>
  </r>
  <r>
    <x v="0"/>
    <x v="0"/>
    <x v="1"/>
    <x v="3"/>
    <x v="13"/>
    <s v="SE3A"/>
    <x v="4"/>
    <x v="3"/>
    <x v="93"/>
    <x v="0"/>
    <x v="9"/>
    <n v="13388.2008365528"/>
    <n v="4886693.3053417699"/>
    <n v="17592095.899230398"/>
  </r>
  <r>
    <x v="0"/>
    <x v="0"/>
    <x v="1"/>
    <x v="3"/>
    <x v="13"/>
    <s v="SE3A"/>
    <x v="4"/>
    <x v="3"/>
    <x v="93"/>
    <x v="0"/>
    <x v="10"/>
    <n v="13407.418950027401"/>
    <n v="4893707.9167600097"/>
    <n v="17617348.500335999"/>
  </r>
  <r>
    <x v="0"/>
    <x v="0"/>
    <x v="1"/>
    <x v="3"/>
    <x v="13"/>
    <s v="SE3A"/>
    <x v="4"/>
    <x v="3"/>
    <x v="93"/>
    <x v="0"/>
    <x v="11"/>
    <n v="13444.7048182864"/>
    <n v="4907317.2586745396"/>
    <n v="17666342.131228302"/>
  </r>
  <r>
    <x v="0"/>
    <x v="0"/>
    <x v="1"/>
    <x v="3"/>
    <x v="13"/>
    <s v="SE3A"/>
    <x v="4"/>
    <x v="3"/>
    <x v="93"/>
    <x v="0"/>
    <x v="12"/>
    <n v="13361.0245618995"/>
    <n v="4876773.9650933202"/>
    <n v="17556386.274335999"/>
  </r>
  <r>
    <x v="0"/>
    <x v="0"/>
    <x v="1"/>
    <x v="3"/>
    <x v="13"/>
    <s v="SE3A"/>
    <x v="4"/>
    <x v="3"/>
    <x v="93"/>
    <x v="0"/>
    <x v="13"/>
    <n v="12957.059173637699"/>
    <n v="4729326.5983777801"/>
    <n v="17025575.754159998"/>
  </r>
  <r>
    <x v="0"/>
    <x v="0"/>
    <x v="1"/>
    <x v="3"/>
    <x v="13"/>
    <s v="SE3A"/>
    <x v="4"/>
    <x v="3"/>
    <x v="93"/>
    <x v="0"/>
    <x v="14"/>
    <n v="12871.8153279689"/>
    <n v="4698212.5947086401"/>
    <n v="16913565.3409511"/>
  </r>
  <r>
    <x v="0"/>
    <x v="0"/>
    <x v="1"/>
    <x v="3"/>
    <x v="13"/>
    <s v="SE3A"/>
    <x v="4"/>
    <x v="3"/>
    <x v="93"/>
    <x v="0"/>
    <x v="15"/>
    <n v="13019.1478215515"/>
    <n v="4751988.9548663003"/>
    <n v="17107160.237518702"/>
  </r>
  <r>
    <x v="0"/>
    <x v="0"/>
    <x v="1"/>
    <x v="3"/>
    <x v="13"/>
    <s v="SE3A"/>
    <x v="4"/>
    <x v="3"/>
    <x v="93"/>
    <x v="0"/>
    <x v="16"/>
    <n v="12789.0886100731"/>
    <n v="4668017.3426766796"/>
    <n v="16804862.433635999"/>
  </r>
  <r>
    <x v="0"/>
    <x v="0"/>
    <x v="1"/>
    <x v="3"/>
    <x v="13"/>
    <s v="SE3A"/>
    <x v="4"/>
    <x v="3"/>
    <x v="93"/>
    <x v="0"/>
    <x v="17"/>
    <n v="13149.7149340007"/>
    <n v="4799645.95091026"/>
    <n v="17278725.423276901"/>
  </r>
  <r>
    <x v="0"/>
    <x v="0"/>
    <x v="1"/>
    <x v="3"/>
    <x v="13"/>
    <s v="SE3A"/>
    <x v="4"/>
    <x v="3"/>
    <x v="93"/>
    <x v="0"/>
    <x v="18"/>
    <n v="13761.4106841185"/>
    <n v="5022914.8997032503"/>
    <n v="18082493.638931699"/>
  </r>
  <r>
    <x v="0"/>
    <x v="0"/>
    <x v="1"/>
    <x v="3"/>
    <x v="13"/>
    <s v="SE3A"/>
    <x v="4"/>
    <x v="3"/>
    <x v="93"/>
    <x v="0"/>
    <x v="19"/>
    <n v="13872.0419690321"/>
    <n v="5063295.3186967103"/>
    <n v="18227863.1473081"/>
  </r>
  <r>
    <x v="0"/>
    <x v="0"/>
    <x v="1"/>
    <x v="3"/>
    <x v="13"/>
    <s v="SE3A"/>
    <x v="4"/>
    <x v="3"/>
    <x v="93"/>
    <x v="0"/>
    <x v="20"/>
    <n v="13416.025505670899"/>
    <n v="4896849.3095698804"/>
    <n v="17628657.514451601"/>
  </r>
  <r>
    <x v="0"/>
    <x v="0"/>
    <x v="1"/>
    <x v="3"/>
    <x v="13"/>
    <s v="SE3A"/>
    <x v="4"/>
    <x v="3"/>
    <x v="93"/>
    <x v="0"/>
    <x v="21"/>
    <n v="12871.3208531285"/>
    <n v="4698032.1113918796"/>
    <n v="16912915.601010799"/>
  </r>
  <r>
    <x v="0"/>
    <x v="0"/>
    <x v="1"/>
    <x v="3"/>
    <x v="13"/>
    <s v="SE3A"/>
    <x v="4"/>
    <x v="3"/>
    <x v="93"/>
    <x v="0"/>
    <x v="22"/>
    <n v="12099.968611919699"/>
    <n v="4416488.5433507003"/>
    <n v="15899358.7560625"/>
  </r>
  <r>
    <x v="0"/>
    <x v="0"/>
    <x v="1"/>
    <x v="3"/>
    <x v="13"/>
    <s v="SE3A"/>
    <x v="4"/>
    <x v="3"/>
    <x v="93"/>
    <x v="0"/>
    <x v="23"/>
    <n v="11184.526980611899"/>
    <n v="4082352.34792333"/>
    <n v="14696468.452524001"/>
  </r>
  <r>
    <x v="0"/>
    <x v="0"/>
    <x v="1"/>
    <x v="3"/>
    <x v="13"/>
    <s v="SE3A"/>
    <x v="5"/>
    <x v="4"/>
    <x v="56"/>
    <x v="0"/>
    <x v="0"/>
    <n v="334.52364720363499"/>
    <n v="122101.131229327"/>
    <n v="439564.07242557697"/>
  </r>
  <r>
    <x v="0"/>
    <x v="0"/>
    <x v="1"/>
    <x v="3"/>
    <x v="13"/>
    <s v="SE3A"/>
    <x v="5"/>
    <x v="4"/>
    <x v="56"/>
    <x v="0"/>
    <x v="1"/>
    <n v="334.52364720363499"/>
    <n v="122101.131229327"/>
    <n v="439564.07242557697"/>
  </r>
  <r>
    <x v="0"/>
    <x v="0"/>
    <x v="1"/>
    <x v="3"/>
    <x v="13"/>
    <s v="SE3A"/>
    <x v="5"/>
    <x v="4"/>
    <x v="56"/>
    <x v="0"/>
    <x v="2"/>
    <n v="334.52364720363499"/>
    <n v="122101.131229327"/>
    <n v="439564.07242557697"/>
  </r>
  <r>
    <x v="0"/>
    <x v="0"/>
    <x v="1"/>
    <x v="3"/>
    <x v="13"/>
    <s v="SE3A"/>
    <x v="5"/>
    <x v="4"/>
    <x v="56"/>
    <x v="0"/>
    <x v="3"/>
    <n v="334.52364720363499"/>
    <n v="122101.131229327"/>
    <n v="439564.07242557697"/>
  </r>
  <r>
    <x v="0"/>
    <x v="0"/>
    <x v="1"/>
    <x v="3"/>
    <x v="13"/>
    <s v="SE3A"/>
    <x v="5"/>
    <x v="4"/>
    <x v="56"/>
    <x v="0"/>
    <x v="4"/>
    <n v="334.52364720363499"/>
    <n v="122101.131229327"/>
    <n v="439564.07242557697"/>
  </r>
  <r>
    <x v="0"/>
    <x v="0"/>
    <x v="1"/>
    <x v="3"/>
    <x v="13"/>
    <s v="SE3A"/>
    <x v="5"/>
    <x v="4"/>
    <x v="56"/>
    <x v="0"/>
    <x v="5"/>
    <n v="334.52364720363499"/>
    <n v="122101.131229327"/>
    <n v="439564.07242557697"/>
  </r>
  <r>
    <x v="0"/>
    <x v="0"/>
    <x v="1"/>
    <x v="3"/>
    <x v="13"/>
    <s v="SE3A"/>
    <x v="5"/>
    <x v="4"/>
    <x v="56"/>
    <x v="0"/>
    <x v="6"/>
    <n v="334.52364720363499"/>
    <n v="122101.131229327"/>
    <n v="439564.07242557697"/>
  </r>
  <r>
    <x v="0"/>
    <x v="0"/>
    <x v="1"/>
    <x v="3"/>
    <x v="13"/>
    <s v="SE3A"/>
    <x v="5"/>
    <x v="4"/>
    <x v="56"/>
    <x v="0"/>
    <x v="7"/>
    <n v="334.52364720363499"/>
    <n v="122101.131229327"/>
    <n v="439564.07242557697"/>
  </r>
  <r>
    <x v="0"/>
    <x v="0"/>
    <x v="1"/>
    <x v="3"/>
    <x v="13"/>
    <s v="SE3A"/>
    <x v="5"/>
    <x v="4"/>
    <x v="56"/>
    <x v="0"/>
    <x v="8"/>
    <n v="334.52364720363499"/>
    <n v="122101.131229327"/>
    <n v="439564.07242557697"/>
  </r>
  <r>
    <x v="0"/>
    <x v="0"/>
    <x v="1"/>
    <x v="3"/>
    <x v="13"/>
    <s v="SE3A"/>
    <x v="5"/>
    <x v="4"/>
    <x v="56"/>
    <x v="0"/>
    <x v="9"/>
    <n v="334.52364720363499"/>
    <n v="122101.131229327"/>
    <n v="439564.07242557697"/>
  </r>
  <r>
    <x v="0"/>
    <x v="0"/>
    <x v="1"/>
    <x v="3"/>
    <x v="13"/>
    <s v="SE3A"/>
    <x v="5"/>
    <x v="4"/>
    <x v="56"/>
    <x v="0"/>
    <x v="10"/>
    <n v="334.52364720363499"/>
    <n v="122101.131229327"/>
    <n v="439564.07242557697"/>
  </r>
  <r>
    <x v="0"/>
    <x v="0"/>
    <x v="1"/>
    <x v="3"/>
    <x v="13"/>
    <s v="SE3A"/>
    <x v="5"/>
    <x v="4"/>
    <x v="56"/>
    <x v="0"/>
    <x v="11"/>
    <n v="334.52364720363499"/>
    <n v="122101.131229327"/>
    <n v="439564.07242557697"/>
  </r>
  <r>
    <x v="0"/>
    <x v="0"/>
    <x v="1"/>
    <x v="3"/>
    <x v="13"/>
    <s v="SE3A"/>
    <x v="5"/>
    <x v="4"/>
    <x v="56"/>
    <x v="0"/>
    <x v="12"/>
    <n v="334.52364720363499"/>
    <n v="122101.131229327"/>
    <n v="439564.07242557697"/>
  </r>
  <r>
    <x v="0"/>
    <x v="0"/>
    <x v="1"/>
    <x v="3"/>
    <x v="13"/>
    <s v="SE3A"/>
    <x v="5"/>
    <x v="4"/>
    <x v="56"/>
    <x v="0"/>
    <x v="13"/>
    <n v="334.52364720363499"/>
    <n v="122101.131229327"/>
    <n v="439564.07242557697"/>
  </r>
  <r>
    <x v="0"/>
    <x v="0"/>
    <x v="1"/>
    <x v="3"/>
    <x v="13"/>
    <s v="SE3A"/>
    <x v="5"/>
    <x v="4"/>
    <x v="56"/>
    <x v="0"/>
    <x v="14"/>
    <n v="334.52364720363499"/>
    <n v="122101.131229327"/>
    <n v="439564.07242557697"/>
  </r>
  <r>
    <x v="0"/>
    <x v="0"/>
    <x v="1"/>
    <x v="3"/>
    <x v="13"/>
    <s v="SE3A"/>
    <x v="5"/>
    <x v="4"/>
    <x v="56"/>
    <x v="0"/>
    <x v="15"/>
    <n v="334.52364720363499"/>
    <n v="122101.131229327"/>
    <n v="439564.07242557697"/>
  </r>
  <r>
    <x v="0"/>
    <x v="0"/>
    <x v="1"/>
    <x v="3"/>
    <x v="13"/>
    <s v="SE3A"/>
    <x v="5"/>
    <x v="4"/>
    <x v="56"/>
    <x v="0"/>
    <x v="16"/>
    <n v="334.52364720363499"/>
    <n v="122101.131229327"/>
    <n v="439564.07242557697"/>
  </r>
  <r>
    <x v="0"/>
    <x v="0"/>
    <x v="1"/>
    <x v="3"/>
    <x v="13"/>
    <s v="SE3A"/>
    <x v="5"/>
    <x v="4"/>
    <x v="56"/>
    <x v="0"/>
    <x v="17"/>
    <n v="334.52364720363499"/>
    <n v="122101.131229327"/>
    <n v="439564.07242557697"/>
  </r>
  <r>
    <x v="0"/>
    <x v="0"/>
    <x v="1"/>
    <x v="3"/>
    <x v="13"/>
    <s v="SE3A"/>
    <x v="5"/>
    <x v="4"/>
    <x v="56"/>
    <x v="0"/>
    <x v="18"/>
    <n v="334.52364720363499"/>
    <n v="122101.131229327"/>
    <n v="439564.07242557697"/>
  </r>
  <r>
    <x v="0"/>
    <x v="0"/>
    <x v="1"/>
    <x v="3"/>
    <x v="13"/>
    <s v="SE3A"/>
    <x v="5"/>
    <x v="4"/>
    <x v="56"/>
    <x v="0"/>
    <x v="19"/>
    <n v="334.52364720363499"/>
    <n v="122101.131229327"/>
    <n v="439564.07242557697"/>
  </r>
  <r>
    <x v="0"/>
    <x v="0"/>
    <x v="1"/>
    <x v="3"/>
    <x v="13"/>
    <s v="SE3A"/>
    <x v="5"/>
    <x v="4"/>
    <x v="56"/>
    <x v="0"/>
    <x v="20"/>
    <n v="334.52364720363499"/>
    <n v="122101.131229327"/>
    <n v="439564.07242557697"/>
  </r>
  <r>
    <x v="0"/>
    <x v="0"/>
    <x v="1"/>
    <x v="3"/>
    <x v="13"/>
    <s v="SE3A"/>
    <x v="5"/>
    <x v="4"/>
    <x v="56"/>
    <x v="0"/>
    <x v="21"/>
    <n v="334.52364720363499"/>
    <n v="122101.131229327"/>
    <n v="439564.07242557697"/>
  </r>
  <r>
    <x v="0"/>
    <x v="0"/>
    <x v="1"/>
    <x v="3"/>
    <x v="13"/>
    <s v="SE3A"/>
    <x v="5"/>
    <x v="4"/>
    <x v="56"/>
    <x v="0"/>
    <x v="22"/>
    <n v="334.52364720363499"/>
    <n v="122101.131229327"/>
    <n v="439564.07242557697"/>
  </r>
  <r>
    <x v="0"/>
    <x v="0"/>
    <x v="1"/>
    <x v="3"/>
    <x v="13"/>
    <s v="SE3A"/>
    <x v="5"/>
    <x v="4"/>
    <x v="56"/>
    <x v="0"/>
    <x v="23"/>
    <n v="334.52364720363499"/>
    <n v="122101.131229327"/>
    <n v="439564.07242557697"/>
  </r>
  <r>
    <x v="0"/>
    <x v="0"/>
    <x v="1"/>
    <x v="3"/>
    <x v="13"/>
    <s v="SE3A"/>
    <x v="6"/>
    <x v="5"/>
    <x v="11"/>
    <x v="0"/>
    <x v="0"/>
    <n v="465.87654890896198"/>
    <n v="170044.94035177099"/>
    <n v="612161.78526637598"/>
  </r>
  <r>
    <x v="0"/>
    <x v="0"/>
    <x v="1"/>
    <x v="3"/>
    <x v="13"/>
    <s v="SE3A"/>
    <x v="6"/>
    <x v="5"/>
    <x v="11"/>
    <x v="0"/>
    <x v="1"/>
    <n v="552.74125279522298"/>
    <n v="201750.55727025599"/>
    <n v="726302.00617292302"/>
  </r>
  <r>
    <x v="0"/>
    <x v="0"/>
    <x v="1"/>
    <x v="3"/>
    <x v="13"/>
    <s v="SE3A"/>
    <x v="6"/>
    <x v="5"/>
    <x v="11"/>
    <x v="0"/>
    <x v="2"/>
    <n v="644.20754812597499"/>
    <n v="235135.75506598101"/>
    <n v="846488.71823753102"/>
  </r>
  <r>
    <x v="0"/>
    <x v="0"/>
    <x v="1"/>
    <x v="3"/>
    <x v="13"/>
    <s v="SE3A"/>
    <x v="6"/>
    <x v="5"/>
    <x v="11"/>
    <x v="0"/>
    <x v="3"/>
    <n v="715.97236409203094"/>
    <n v="261329.91289359101"/>
    <n v="940787.68641692901"/>
  </r>
  <r>
    <x v="0"/>
    <x v="0"/>
    <x v="1"/>
    <x v="3"/>
    <x v="13"/>
    <s v="SE3A"/>
    <x v="6"/>
    <x v="5"/>
    <x v="11"/>
    <x v="0"/>
    <x v="4"/>
    <n v="753.21017797820105"/>
    <n v="274921.71496204298"/>
    <n v="989718.173863356"/>
  </r>
  <r>
    <x v="0"/>
    <x v="0"/>
    <x v="1"/>
    <x v="3"/>
    <x v="13"/>
    <s v="SE3A"/>
    <x v="6"/>
    <x v="5"/>
    <x v="11"/>
    <x v="0"/>
    <x v="5"/>
    <n v="770.06597380016899"/>
    <n v="281074.08043706202"/>
    <n v="1011866.68957342"/>
  </r>
  <r>
    <x v="0"/>
    <x v="0"/>
    <x v="1"/>
    <x v="3"/>
    <x v="13"/>
    <s v="SE3A"/>
    <x v="6"/>
    <x v="5"/>
    <x v="11"/>
    <x v="0"/>
    <x v="6"/>
    <n v="797.98482667356302"/>
    <n v="291264.46173585003"/>
    <n v="1048552.06224906"/>
  </r>
  <r>
    <x v="0"/>
    <x v="0"/>
    <x v="1"/>
    <x v="3"/>
    <x v="13"/>
    <s v="SE3A"/>
    <x v="6"/>
    <x v="5"/>
    <x v="11"/>
    <x v="0"/>
    <x v="7"/>
    <n v="809.634664317447"/>
    <n v="295516.652475868"/>
    <n v="1063859.94891313"/>
  </r>
  <r>
    <x v="0"/>
    <x v="0"/>
    <x v="1"/>
    <x v="3"/>
    <x v="13"/>
    <s v="SE3A"/>
    <x v="6"/>
    <x v="5"/>
    <x v="11"/>
    <x v="0"/>
    <x v="8"/>
    <n v="808.02769429338105"/>
    <n v="294930.10841708397"/>
    <n v="1061748.3903015"/>
  </r>
  <r>
    <x v="0"/>
    <x v="0"/>
    <x v="1"/>
    <x v="3"/>
    <x v="13"/>
    <s v="SE3A"/>
    <x v="6"/>
    <x v="5"/>
    <x v="11"/>
    <x v="0"/>
    <x v="9"/>
    <n v="782.262169780671"/>
    <n v="285525.69196994498"/>
    <n v="1027892.4910918"/>
  </r>
  <r>
    <x v="0"/>
    <x v="0"/>
    <x v="1"/>
    <x v="3"/>
    <x v="13"/>
    <s v="SE3A"/>
    <x v="6"/>
    <x v="5"/>
    <x v="11"/>
    <x v="0"/>
    <x v="10"/>
    <n v="789.52985702246701"/>
    <n v="288178.39781320002"/>
    <n v="1037442.23212752"/>
  </r>
  <r>
    <x v="0"/>
    <x v="0"/>
    <x v="1"/>
    <x v="3"/>
    <x v="13"/>
    <s v="SE3A"/>
    <x v="6"/>
    <x v="5"/>
    <x v="11"/>
    <x v="0"/>
    <x v="11"/>
    <n v="802.83640817079004"/>
    <n v="293035.28898233798"/>
    <n v="1054927.0403364201"/>
  </r>
  <r>
    <x v="0"/>
    <x v="0"/>
    <x v="1"/>
    <x v="3"/>
    <x v="13"/>
    <s v="SE3A"/>
    <x v="6"/>
    <x v="5"/>
    <x v="11"/>
    <x v="0"/>
    <x v="12"/>
    <n v="820.12458885993703"/>
    <n v="299345.47493387701"/>
    <n v="1077643.70976196"/>
  </r>
  <r>
    <x v="0"/>
    <x v="0"/>
    <x v="1"/>
    <x v="3"/>
    <x v="13"/>
    <s v="SE3A"/>
    <x v="6"/>
    <x v="5"/>
    <x v="11"/>
    <x v="0"/>
    <x v="13"/>
    <n v="840.57394578448998"/>
    <n v="306809.49021133903"/>
    <n v="1104514.1647608201"/>
  </r>
  <r>
    <x v="0"/>
    <x v="0"/>
    <x v="1"/>
    <x v="3"/>
    <x v="13"/>
    <s v="SE3A"/>
    <x v="6"/>
    <x v="5"/>
    <x v="11"/>
    <x v="0"/>
    <x v="14"/>
    <n v="819.760015574004"/>
    <n v="299212.405684511"/>
    <n v="1077164.66046424"/>
  </r>
  <r>
    <x v="0"/>
    <x v="0"/>
    <x v="1"/>
    <x v="3"/>
    <x v="13"/>
    <s v="SE3A"/>
    <x v="6"/>
    <x v="5"/>
    <x v="11"/>
    <x v="0"/>
    <x v="15"/>
    <n v="817.53670604334798"/>
    <n v="298400.89770582202"/>
    <n v="1074243.2317409599"/>
  </r>
  <r>
    <x v="0"/>
    <x v="0"/>
    <x v="1"/>
    <x v="3"/>
    <x v="13"/>
    <s v="SE3A"/>
    <x v="6"/>
    <x v="5"/>
    <x v="11"/>
    <x v="0"/>
    <x v="16"/>
    <n v="795.48079946216899"/>
    <n v="290350.49180369201"/>
    <n v="1045261.77049329"/>
  </r>
  <r>
    <x v="0"/>
    <x v="0"/>
    <x v="1"/>
    <x v="3"/>
    <x v="13"/>
    <s v="SE3A"/>
    <x v="6"/>
    <x v="5"/>
    <x v="11"/>
    <x v="0"/>
    <x v="17"/>
    <n v="723.89339934309498"/>
    <n v="264221.09076023003"/>
    <n v="951195.92673682596"/>
  </r>
  <r>
    <x v="0"/>
    <x v="0"/>
    <x v="1"/>
    <x v="3"/>
    <x v="13"/>
    <s v="SE3A"/>
    <x v="6"/>
    <x v="5"/>
    <x v="11"/>
    <x v="0"/>
    <x v="18"/>
    <n v="603.91779810567004"/>
    <n v="220429.99630857"/>
    <n v="793547.98671085096"/>
  </r>
  <r>
    <x v="0"/>
    <x v="0"/>
    <x v="1"/>
    <x v="3"/>
    <x v="13"/>
    <s v="SE3A"/>
    <x v="6"/>
    <x v="5"/>
    <x v="11"/>
    <x v="0"/>
    <x v="19"/>
    <n v="593.63716188501803"/>
    <n v="216677.564088032"/>
    <n v="780039.23071691405"/>
  </r>
  <r>
    <x v="0"/>
    <x v="0"/>
    <x v="1"/>
    <x v="3"/>
    <x v="13"/>
    <s v="SE3A"/>
    <x v="6"/>
    <x v="5"/>
    <x v="11"/>
    <x v="0"/>
    <x v="20"/>
    <n v="571.63601547695396"/>
    <n v="208647.14564908799"/>
    <n v="751129.72433671798"/>
  </r>
  <r>
    <x v="0"/>
    <x v="0"/>
    <x v="1"/>
    <x v="3"/>
    <x v="13"/>
    <s v="SE3A"/>
    <x v="6"/>
    <x v="5"/>
    <x v="11"/>
    <x v="0"/>
    <x v="21"/>
    <n v="539.26757479344303"/>
    <n v="196832.66479960701"/>
    <n v="708597.593278585"/>
  </r>
  <r>
    <x v="0"/>
    <x v="0"/>
    <x v="1"/>
    <x v="3"/>
    <x v="13"/>
    <s v="SE3A"/>
    <x v="6"/>
    <x v="5"/>
    <x v="11"/>
    <x v="0"/>
    <x v="22"/>
    <n v="542.55472190820205"/>
    <n v="198032.473496494"/>
    <n v="712916.90458737698"/>
  </r>
  <r>
    <x v="0"/>
    <x v="0"/>
    <x v="1"/>
    <x v="3"/>
    <x v="13"/>
    <s v="SE3A"/>
    <x v="6"/>
    <x v="5"/>
    <x v="11"/>
    <x v="0"/>
    <x v="23"/>
    <n v="481.43578680478998"/>
    <n v="175724.062183748"/>
    <n v="632606.62386149401"/>
  </r>
  <r>
    <x v="0"/>
    <x v="0"/>
    <x v="1"/>
    <x v="3"/>
    <x v="13"/>
    <s v="SE3_EL"/>
    <x v="1"/>
    <x v="1"/>
    <x v="58"/>
    <x v="0"/>
    <x v="0"/>
    <n v="-309.816326530612"/>
    <n v="-113082.959183673"/>
    <n v="-407098.65306122397"/>
  </r>
  <r>
    <x v="0"/>
    <x v="0"/>
    <x v="1"/>
    <x v="3"/>
    <x v="13"/>
    <s v="SE3_EL"/>
    <x v="1"/>
    <x v="1"/>
    <x v="58"/>
    <x v="0"/>
    <x v="1"/>
    <n v="-309.816326530612"/>
    <n v="-113082.959183673"/>
    <n v="-407098.65306122397"/>
  </r>
  <r>
    <x v="0"/>
    <x v="0"/>
    <x v="1"/>
    <x v="3"/>
    <x v="13"/>
    <s v="SE3_EL"/>
    <x v="1"/>
    <x v="1"/>
    <x v="58"/>
    <x v="0"/>
    <x v="2"/>
    <n v="-309.816326530612"/>
    <n v="-113082.959183673"/>
    <n v="-407098.65306122397"/>
  </r>
  <r>
    <x v="0"/>
    <x v="0"/>
    <x v="1"/>
    <x v="3"/>
    <x v="13"/>
    <s v="SE3_EL"/>
    <x v="1"/>
    <x v="1"/>
    <x v="58"/>
    <x v="0"/>
    <x v="3"/>
    <n v="-309.816326530612"/>
    <n v="-113082.959183673"/>
    <n v="-407098.65306122397"/>
  </r>
  <r>
    <x v="0"/>
    <x v="0"/>
    <x v="1"/>
    <x v="3"/>
    <x v="13"/>
    <s v="SE3_EL"/>
    <x v="1"/>
    <x v="1"/>
    <x v="58"/>
    <x v="0"/>
    <x v="4"/>
    <n v="-309.816326530612"/>
    <n v="-113082.959183673"/>
    <n v="-407098.65306122397"/>
  </r>
  <r>
    <x v="0"/>
    <x v="0"/>
    <x v="1"/>
    <x v="3"/>
    <x v="13"/>
    <s v="SE3_EL"/>
    <x v="1"/>
    <x v="1"/>
    <x v="58"/>
    <x v="0"/>
    <x v="5"/>
    <n v="-309.816326530612"/>
    <n v="-113082.959183673"/>
    <n v="-407098.65306122397"/>
  </r>
  <r>
    <x v="0"/>
    <x v="0"/>
    <x v="1"/>
    <x v="3"/>
    <x v="13"/>
    <s v="SE3_EL"/>
    <x v="1"/>
    <x v="1"/>
    <x v="58"/>
    <x v="0"/>
    <x v="6"/>
    <n v="-309.816326530612"/>
    <n v="-113082.959183673"/>
    <n v="-407098.65306122397"/>
  </r>
  <r>
    <x v="0"/>
    <x v="0"/>
    <x v="1"/>
    <x v="3"/>
    <x v="13"/>
    <s v="SE3_EL"/>
    <x v="1"/>
    <x v="1"/>
    <x v="58"/>
    <x v="0"/>
    <x v="7"/>
    <n v="-309.816326530612"/>
    <n v="-113082.959183673"/>
    <n v="-407098.65306122397"/>
  </r>
  <r>
    <x v="0"/>
    <x v="0"/>
    <x v="1"/>
    <x v="3"/>
    <x v="13"/>
    <s v="SE3_EL"/>
    <x v="1"/>
    <x v="1"/>
    <x v="58"/>
    <x v="0"/>
    <x v="8"/>
    <n v="-309.816326530612"/>
    <n v="-113082.959183673"/>
    <n v="-407098.65306122397"/>
  </r>
  <r>
    <x v="0"/>
    <x v="0"/>
    <x v="1"/>
    <x v="3"/>
    <x v="13"/>
    <s v="SE3_EL"/>
    <x v="1"/>
    <x v="1"/>
    <x v="58"/>
    <x v="0"/>
    <x v="9"/>
    <n v="-309.816326530612"/>
    <n v="-113082.959183673"/>
    <n v="-407098.65306122397"/>
  </r>
  <r>
    <x v="0"/>
    <x v="0"/>
    <x v="1"/>
    <x v="3"/>
    <x v="13"/>
    <s v="SE3_EL"/>
    <x v="1"/>
    <x v="1"/>
    <x v="58"/>
    <x v="0"/>
    <x v="10"/>
    <n v="-309.816326530612"/>
    <n v="-113082.959183673"/>
    <n v="-407098.65306122397"/>
  </r>
  <r>
    <x v="0"/>
    <x v="0"/>
    <x v="1"/>
    <x v="3"/>
    <x v="13"/>
    <s v="SE3_EL"/>
    <x v="1"/>
    <x v="1"/>
    <x v="58"/>
    <x v="0"/>
    <x v="11"/>
    <n v="-309.816326530612"/>
    <n v="-113082.959183673"/>
    <n v="-407098.65306122397"/>
  </r>
  <r>
    <x v="0"/>
    <x v="0"/>
    <x v="1"/>
    <x v="3"/>
    <x v="13"/>
    <s v="SE3_EL"/>
    <x v="1"/>
    <x v="1"/>
    <x v="58"/>
    <x v="0"/>
    <x v="12"/>
    <n v="-309.816326530612"/>
    <n v="-113082.959183673"/>
    <n v="-407098.65306122397"/>
  </r>
  <r>
    <x v="0"/>
    <x v="0"/>
    <x v="1"/>
    <x v="3"/>
    <x v="13"/>
    <s v="SE3_EL"/>
    <x v="1"/>
    <x v="1"/>
    <x v="58"/>
    <x v="0"/>
    <x v="13"/>
    <n v="-309.816326530612"/>
    <n v="-113082.959183673"/>
    <n v="-407098.65306122397"/>
  </r>
  <r>
    <x v="0"/>
    <x v="0"/>
    <x v="1"/>
    <x v="3"/>
    <x v="13"/>
    <s v="SE3_EL"/>
    <x v="1"/>
    <x v="1"/>
    <x v="58"/>
    <x v="0"/>
    <x v="14"/>
    <n v="-309.816326530612"/>
    <n v="-113082.959183673"/>
    <n v="-407098.65306122397"/>
  </r>
  <r>
    <x v="0"/>
    <x v="0"/>
    <x v="1"/>
    <x v="3"/>
    <x v="13"/>
    <s v="SE3_EL"/>
    <x v="1"/>
    <x v="1"/>
    <x v="58"/>
    <x v="0"/>
    <x v="15"/>
    <n v="-309.816326530612"/>
    <n v="-113082.959183673"/>
    <n v="-407098.65306122397"/>
  </r>
  <r>
    <x v="0"/>
    <x v="0"/>
    <x v="1"/>
    <x v="3"/>
    <x v="13"/>
    <s v="SE3_EL"/>
    <x v="1"/>
    <x v="1"/>
    <x v="58"/>
    <x v="0"/>
    <x v="16"/>
    <n v="-309.816326530612"/>
    <n v="-113082.959183673"/>
    <n v="-407098.65306122397"/>
  </r>
  <r>
    <x v="0"/>
    <x v="0"/>
    <x v="1"/>
    <x v="3"/>
    <x v="13"/>
    <s v="SE3_EL"/>
    <x v="1"/>
    <x v="1"/>
    <x v="58"/>
    <x v="0"/>
    <x v="17"/>
    <n v="-309.816326530612"/>
    <n v="-113082.959183673"/>
    <n v="-407098.65306122397"/>
  </r>
  <r>
    <x v="0"/>
    <x v="0"/>
    <x v="1"/>
    <x v="3"/>
    <x v="13"/>
    <s v="SE3_EL"/>
    <x v="1"/>
    <x v="1"/>
    <x v="58"/>
    <x v="0"/>
    <x v="18"/>
    <n v="-309.816326530612"/>
    <n v="-113082.959183673"/>
    <n v="-407098.65306122397"/>
  </r>
  <r>
    <x v="0"/>
    <x v="0"/>
    <x v="1"/>
    <x v="3"/>
    <x v="13"/>
    <s v="SE3_EL"/>
    <x v="1"/>
    <x v="1"/>
    <x v="58"/>
    <x v="0"/>
    <x v="19"/>
    <n v="-309.816326530612"/>
    <n v="-113082.959183673"/>
    <n v="-407098.65306122397"/>
  </r>
  <r>
    <x v="0"/>
    <x v="0"/>
    <x v="1"/>
    <x v="3"/>
    <x v="13"/>
    <s v="SE3_EL"/>
    <x v="1"/>
    <x v="1"/>
    <x v="58"/>
    <x v="0"/>
    <x v="20"/>
    <n v="-309.816326530612"/>
    <n v="-113082.959183673"/>
    <n v="-407098.65306122397"/>
  </r>
  <r>
    <x v="0"/>
    <x v="0"/>
    <x v="1"/>
    <x v="3"/>
    <x v="13"/>
    <s v="SE3_EL"/>
    <x v="1"/>
    <x v="1"/>
    <x v="58"/>
    <x v="0"/>
    <x v="21"/>
    <n v="-309.816326530612"/>
    <n v="-113082.959183673"/>
    <n v="-407098.65306122397"/>
  </r>
  <r>
    <x v="0"/>
    <x v="0"/>
    <x v="1"/>
    <x v="3"/>
    <x v="13"/>
    <s v="SE3_EL"/>
    <x v="1"/>
    <x v="1"/>
    <x v="58"/>
    <x v="0"/>
    <x v="22"/>
    <n v="-309.816326530612"/>
    <n v="-113082.959183673"/>
    <n v="-407098.65306122397"/>
  </r>
  <r>
    <x v="0"/>
    <x v="0"/>
    <x v="1"/>
    <x v="3"/>
    <x v="13"/>
    <s v="SE3_EL"/>
    <x v="1"/>
    <x v="1"/>
    <x v="58"/>
    <x v="0"/>
    <x v="23"/>
    <n v="-309.816326530612"/>
    <n v="-113082.959183673"/>
    <n v="-407098.65306122397"/>
  </r>
  <r>
    <x v="0"/>
    <x v="0"/>
    <x v="1"/>
    <x v="3"/>
    <x v="13"/>
    <s v="SE3_EL"/>
    <x v="1"/>
    <x v="1"/>
    <x v="67"/>
    <x v="0"/>
    <x v="0"/>
    <n v="-16.436363636363598"/>
    <n v="-5999.2727272727298"/>
    <n v="-21597.381818181799"/>
  </r>
  <r>
    <x v="0"/>
    <x v="0"/>
    <x v="1"/>
    <x v="3"/>
    <x v="13"/>
    <s v="SE3_EL"/>
    <x v="1"/>
    <x v="1"/>
    <x v="67"/>
    <x v="0"/>
    <x v="1"/>
    <n v="-16.436363636363598"/>
    <n v="-5999.2727272727298"/>
    <n v="-21597.381818181799"/>
  </r>
  <r>
    <x v="0"/>
    <x v="0"/>
    <x v="1"/>
    <x v="3"/>
    <x v="13"/>
    <s v="SE3_EL"/>
    <x v="1"/>
    <x v="1"/>
    <x v="67"/>
    <x v="0"/>
    <x v="2"/>
    <n v="-16.436363636363598"/>
    <n v="-5999.2727272727298"/>
    <n v="-21597.381818181799"/>
  </r>
  <r>
    <x v="0"/>
    <x v="0"/>
    <x v="1"/>
    <x v="3"/>
    <x v="13"/>
    <s v="SE3_EL"/>
    <x v="1"/>
    <x v="1"/>
    <x v="67"/>
    <x v="0"/>
    <x v="3"/>
    <n v="-16.436363636363598"/>
    <n v="-5999.2727272727298"/>
    <n v="-21597.381818181799"/>
  </r>
  <r>
    <x v="0"/>
    <x v="0"/>
    <x v="1"/>
    <x v="3"/>
    <x v="13"/>
    <s v="SE3_EL"/>
    <x v="1"/>
    <x v="1"/>
    <x v="67"/>
    <x v="0"/>
    <x v="4"/>
    <n v="-16.436363636363598"/>
    <n v="-5999.2727272727298"/>
    <n v="-21597.381818181799"/>
  </r>
  <r>
    <x v="0"/>
    <x v="0"/>
    <x v="1"/>
    <x v="3"/>
    <x v="13"/>
    <s v="SE3_EL"/>
    <x v="1"/>
    <x v="1"/>
    <x v="67"/>
    <x v="0"/>
    <x v="5"/>
    <n v="-16.436363636363598"/>
    <n v="-5999.2727272727298"/>
    <n v="-21597.381818181799"/>
  </r>
  <r>
    <x v="0"/>
    <x v="0"/>
    <x v="1"/>
    <x v="3"/>
    <x v="13"/>
    <s v="SE3_EL"/>
    <x v="1"/>
    <x v="1"/>
    <x v="67"/>
    <x v="0"/>
    <x v="6"/>
    <n v="-16.436363636363598"/>
    <n v="-5999.2727272727298"/>
    <n v="-21597.381818181799"/>
  </r>
  <r>
    <x v="0"/>
    <x v="0"/>
    <x v="1"/>
    <x v="3"/>
    <x v="13"/>
    <s v="SE3_EL"/>
    <x v="1"/>
    <x v="1"/>
    <x v="67"/>
    <x v="0"/>
    <x v="7"/>
    <n v="-16.436363636363598"/>
    <n v="-5999.2727272727298"/>
    <n v="-21597.381818181799"/>
  </r>
  <r>
    <x v="0"/>
    <x v="0"/>
    <x v="1"/>
    <x v="3"/>
    <x v="13"/>
    <s v="SE3_EL"/>
    <x v="1"/>
    <x v="1"/>
    <x v="67"/>
    <x v="0"/>
    <x v="8"/>
    <n v="-16.436363636363598"/>
    <n v="-5999.2727272727298"/>
    <n v="-21597.381818181799"/>
  </r>
  <r>
    <x v="0"/>
    <x v="0"/>
    <x v="1"/>
    <x v="3"/>
    <x v="13"/>
    <s v="SE3_EL"/>
    <x v="1"/>
    <x v="1"/>
    <x v="67"/>
    <x v="0"/>
    <x v="9"/>
    <n v="-16.436363636363598"/>
    <n v="-5999.2727272727298"/>
    <n v="-21597.381818181799"/>
  </r>
  <r>
    <x v="0"/>
    <x v="0"/>
    <x v="1"/>
    <x v="3"/>
    <x v="13"/>
    <s v="SE3_EL"/>
    <x v="1"/>
    <x v="1"/>
    <x v="67"/>
    <x v="0"/>
    <x v="10"/>
    <n v="-16.436363636363598"/>
    <n v="-5999.2727272727298"/>
    <n v="-21597.381818181799"/>
  </r>
  <r>
    <x v="0"/>
    <x v="0"/>
    <x v="1"/>
    <x v="3"/>
    <x v="13"/>
    <s v="SE3_EL"/>
    <x v="1"/>
    <x v="1"/>
    <x v="67"/>
    <x v="0"/>
    <x v="11"/>
    <n v="-16.436363636363598"/>
    <n v="-5999.2727272727298"/>
    <n v="-21597.381818181799"/>
  </r>
  <r>
    <x v="0"/>
    <x v="0"/>
    <x v="1"/>
    <x v="3"/>
    <x v="13"/>
    <s v="SE3_EL"/>
    <x v="1"/>
    <x v="1"/>
    <x v="67"/>
    <x v="0"/>
    <x v="12"/>
    <n v="-16.436363636363598"/>
    <n v="-5999.2727272727298"/>
    <n v="-21597.381818181799"/>
  </r>
  <r>
    <x v="0"/>
    <x v="0"/>
    <x v="1"/>
    <x v="3"/>
    <x v="13"/>
    <s v="SE3_EL"/>
    <x v="1"/>
    <x v="1"/>
    <x v="67"/>
    <x v="0"/>
    <x v="13"/>
    <n v="-16.436363636363598"/>
    <n v="-5999.2727272727298"/>
    <n v="-21597.381818181799"/>
  </r>
  <r>
    <x v="0"/>
    <x v="0"/>
    <x v="1"/>
    <x v="3"/>
    <x v="13"/>
    <s v="SE3_EL"/>
    <x v="1"/>
    <x v="1"/>
    <x v="67"/>
    <x v="0"/>
    <x v="14"/>
    <n v="-16.436363636363598"/>
    <n v="-5999.2727272727298"/>
    <n v="-21597.381818181799"/>
  </r>
  <r>
    <x v="0"/>
    <x v="0"/>
    <x v="1"/>
    <x v="3"/>
    <x v="13"/>
    <s v="SE3_EL"/>
    <x v="1"/>
    <x v="1"/>
    <x v="67"/>
    <x v="0"/>
    <x v="15"/>
    <n v="-16.436363636363598"/>
    <n v="-5999.2727272727298"/>
    <n v="-21597.381818181799"/>
  </r>
  <r>
    <x v="0"/>
    <x v="0"/>
    <x v="1"/>
    <x v="3"/>
    <x v="13"/>
    <s v="SE3_EL"/>
    <x v="1"/>
    <x v="1"/>
    <x v="67"/>
    <x v="0"/>
    <x v="16"/>
    <n v="-16.436363636363598"/>
    <n v="-5999.2727272727298"/>
    <n v="-21597.381818181799"/>
  </r>
  <r>
    <x v="0"/>
    <x v="0"/>
    <x v="1"/>
    <x v="3"/>
    <x v="13"/>
    <s v="SE3_EL"/>
    <x v="1"/>
    <x v="1"/>
    <x v="67"/>
    <x v="0"/>
    <x v="17"/>
    <n v="-16.436363636363598"/>
    <n v="-5999.2727272727298"/>
    <n v="-21597.381818181799"/>
  </r>
  <r>
    <x v="0"/>
    <x v="0"/>
    <x v="1"/>
    <x v="3"/>
    <x v="13"/>
    <s v="SE3_EL"/>
    <x v="1"/>
    <x v="1"/>
    <x v="67"/>
    <x v="0"/>
    <x v="18"/>
    <n v="-16.436363636363598"/>
    <n v="-5999.2727272727298"/>
    <n v="-21597.381818181799"/>
  </r>
  <r>
    <x v="0"/>
    <x v="0"/>
    <x v="1"/>
    <x v="3"/>
    <x v="13"/>
    <s v="SE3_EL"/>
    <x v="1"/>
    <x v="1"/>
    <x v="67"/>
    <x v="0"/>
    <x v="19"/>
    <n v="-16.436363636363598"/>
    <n v="-5999.2727272727298"/>
    <n v="-21597.381818181799"/>
  </r>
  <r>
    <x v="0"/>
    <x v="0"/>
    <x v="1"/>
    <x v="3"/>
    <x v="13"/>
    <s v="SE3_EL"/>
    <x v="1"/>
    <x v="1"/>
    <x v="67"/>
    <x v="0"/>
    <x v="20"/>
    <n v="-16.436363636363598"/>
    <n v="-5999.2727272727298"/>
    <n v="-21597.381818181799"/>
  </r>
  <r>
    <x v="0"/>
    <x v="0"/>
    <x v="1"/>
    <x v="3"/>
    <x v="13"/>
    <s v="SE3_EL"/>
    <x v="1"/>
    <x v="1"/>
    <x v="67"/>
    <x v="0"/>
    <x v="21"/>
    <n v="-16.436363636363598"/>
    <n v="-5999.2727272727298"/>
    <n v="-21597.381818181799"/>
  </r>
  <r>
    <x v="0"/>
    <x v="0"/>
    <x v="1"/>
    <x v="3"/>
    <x v="13"/>
    <s v="SE3_EL"/>
    <x v="1"/>
    <x v="1"/>
    <x v="67"/>
    <x v="0"/>
    <x v="22"/>
    <n v="-16.436363636363598"/>
    <n v="-5999.2727272727298"/>
    <n v="-21597.381818181799"/>
  </r>
  <r>
    <x v="0"/>
    <x v="0"/>
    <x v="1"/>
    <x v="3"/>
    <x v="13"/>
    <s v="SE3_EL"/>
    <x v="1"/>
    <x v="1"/>
    <x v="67"/>
    <x v="0"/>
    <x v="23"/>
    <n v="-16.436363636363598"/>
    <n v="-5999.2727272727298"/>
    <n v="-21597.381818181799"/>
  </r>
  <r>
    <x v="0"/>
    <x v="0"/>
    <x v="1"/>
    <x v="3"/>
    <x v="13"/>
    <s v="SE3_EL"/>
    <x v="1"/>
    <x v="1"/>
    <x v="90"/>
    <x v="0"/>
    <x v="0"/>
    <n v="-293.89300911758102"/>
    <n v="-107270.94832791699"/>
    <n v="-386175.41398050101"/>
  </r>
  <r>
    <x v="0"/>
    <x v="0"/>
    <x v="1"/>
    <x v="3"/>
    <x v="13"/>
    <s v="SE3_EL"/>
    <x v="1"/>
    <x v="1"/>
    <x v="90"/>
    <x v="0"/>
    <x v="1"/>
    <n v="-312.979697350913"/>
    <n v="-114237.589533083"/>
    <n v="-411255.32231910003"/>
  </r>
  <r>
    <x v="0"/>
    <x v="0"/>
    <x v="1"/>
    <x v="3"/>
    <x v="13"/>
    <s v="SE3_EL"/>
    <x v="1"/>
    <x v="1"/>
    <x v="90"/>
    <x v="0"/>
    <x v="2"/>
    <n v="-322.36811513232999"/>
    <n v="-117664.362023301"/>
    <n v="-423591.703283882"/>
  </r>
  <r>
    <x v="0"/>
    <x v="0"/>
    <x v="1"/>
    <x v="3"/>
    <x v="13"/>
    <s v="SE3_EL"/>
    <x v="1"/>
    <x v="1"/>
    <x v="90"/>
    <x v="0"/>
    <x v="3"/>
    <n v="-362.49787384380301"/>
    <n v="-132311.72395298799"/>
    <n v="-476322.206230757"/>
  </r>
  <r>
    <x v="0"/>
    <x v="0"/>
    <x v="1"/>
    <x v="3"/>
    <x v="13"/>
    <s v="SE3_EL"/>
    <x v="1"/>
    <x v="1"/>
    <x v="90"/>
    <x v="0"/>
    <x v="4"/>
    <n v="-402.76274298730903"/>
    <n v="-147008.40119036799"/>
    <n v="-529230.24428532401"/>
  </r>
  <r>
    <x v="0"/>
    <x v="0"/>
    <x v="1"/>
    <x v="3"/>
    <x v="13"/>
    <s v="SE3_EL"/>
    <x v="1"/>
    <x v="1"/>
    <x v="90"/>
    <x v="0"/>
    <x v="5"/>
    <n v="-506.58034980387401"/>
    <n v="-184901.827678414"/>
    <n v="-665646.57964229002"/>
  </r>
  <r>
    <x v="0"/>
    <x v="0"/>
    <x v="1"/>
    <x v="3"/>
    <x v="13"/>
    <s v="SE3_EL"/>
    <x v="1"/>
    <x v="1"/>
    <x v="90"/>
    <x v="0"/>
    <x v="6"/>
    <n v="-508.638612169792"/>
    <n v="-185653.09344197399"/>
    <n v="-668351.13639110699"/>
  </r>
  <r>
    <x v="0"/>
    <x v="0"/>
    <x v="1"/>
    <x v="3"/>
    <x v="13"/>
    <s v="SE3_EL"/>
    <x v="1"/>
    <x v="1"/>
    <x v="90"/>
    <x v="0"/>
    <x v="7"/>
    <n v="-508.638612169792"/>
    <n v="-185653.09344197399"/>
    <n v="-668351.13639110699"/>
  </r>
  <r>
    <x v="0"/>
    <x v="0"/>
    <x v="1"/>
    <x v="3"/>
    <x v="13"/>
    <s v="SE3_EL"/>
    <x v="1"/>
    <x v="1"/>
    <x v="90"/>
    <x v="0"/>
    <x v="8"/>
    <n v="-508.638612169792"/>
    <n v="-185653.09344197399"/>
    <n v="-668351.13639110699"/>
  </r>
  <r>
    <x v="0"/>
    <x v="0"/>
    <x v="1"/>
    <x v="3"/>
    <x v="13"/>
    <s v="SE3_EL"/>
    <x v="1"/>
    <x v="1"/>
    <x v="90"/>
    <x v="0"/>
    <x v="9"/>
    <n v="-508.638612169792"/>
    <n v="-185653.09344197399"/>
    <n v="-668351.13639110699"/>
  </r>
  <r>
    <x v="0"/>
    <x v="0"/>
    <x v="1"/>
    <x v="3"/>
    <x v="13"/>
    <s v="SE3_EL"/>
    <x v="1"/>
    <x v="1"/>
    <x v="90"/>
    <x v="0"/>
    <x v="10"/>
    <n v="-508.638612169792"/>
    <n v="-185653.09344197399"/>
    <n v="-668351.13639110699"/>
  </r>
  <r>
    <x v="0"/>
    <x v="0"/>
    <x v="1"/>
    <x v="3"/>
    <x v="13"/>
    <s v="SE3_EL"/>
    <x v="1"/>
    <x v="1"/>
    <x v="90"/>
    <x v="0"/>
    <x v="11"/>
    <n v="-508.638612169792"/>
    <n v="-185653.09344197399"/>
    <n v="-668351.13639110699"/>
  </r>
  <r>
    <x v="0"/>
    <x v="0"/>
    <x v="1"/>
    <x v="3"/>
    <x v="13"/>
    <s v="SE3_EL"/>
    <x v="1"/>
    <x v="1"/>
    <x v="90"/>
    <x v="0"/>
    <x v="12"/>
    <n v="-508.638612169792"/>
    <n v="-185653.09344197399"/>
    <n v="-668351.13639110699"/>
  </r>
  <r>
    <x v="0"/>
    <x v="0"/>
    <x v="1"/>
    <x v="3"/>
    <x v="13"/>
    <s v="SE3_EL"/>
    <x v="1"/>
    <x v="1"/>
    <x v="90"/>
    <x v="0"/>
    <x v="13"/>
    <n v="-508.638612169792"/>
    <n v="-185653.09344197399"/>
    <n v="-668351.13639110699"/>
  </r>
  <r>
    <x v="0"/>
    <x v="0"/>
    <x v="1"/>
    <x v="3"/>
    <x v="13"/>
    <s v="SE3_EL"/>
    <x v="1"/>
    <x v="1"/>
    <x v="90"/>
    <x v="0"/>
    <x v="14"/>
    <n v="-508.638612169792"/>
    <n v="-185653.09344197399"/>
    <n v="-668351.13639110699"/>
  </r>
  <r>
    <x v="0"/>
    <x v="0"/>
    <x v="1"/>
    <x v="3"/>
    <x v="13"/>
    <s v="SE3_EL"/>
    <x v="1"/>
    <x v="1"/>
    <x v="90"/>
    <x v="0"/>
    <x v="15"/>
    <n v="-508.10921903037502"/>
    <n v="-185459.86494608701"/>
    <n v="-667655.51380591199"/>
  </r>
  <r>
    <x v="0"/>
    <x v="0"/>
    <x v="1"/>
    <x v="3"/>
    <x v="13"/>
    <s v="SE3_EL"/>
    <x v="1"/>
    <x v="1"/>
    <x v="90"/>
    <x v="0"/>
    <x v="16"/>
    <n v="-506.19862266179399"/>
    <n v="-184762.49727155501"/>
    <n v="-665144.99017759797"/>
  </r>
  <r>
    <x v="0"/>
    <x v="0"/>
    <x v="1"/>
    <x v="3"/>
    <x v="13"/>
    <s v="SE3_EL"/>
    <x v="1"/>
    <x v="1"/>
    <x v="90"/>
    <x v="0"/>
    <x v="17"/>
    <n v="-496.068316379431"/>
    <n v="-181064.935478492"/>
    <n v="-651833.76772257301"/>
  </r>
  <r>
    <x v="0"/>
    <x v="0"/>
    <x v="1"/>
    <x v="3"/>
    <x v="13"/>
    <s v="SE3_EL"/>
    <x v="1"/>
    <x v="1"/>
    <x v="90"/>
    <x v="0"/>
    <x v="18"/>
    <n v="-500.129465197939"/>
    <n v="-182547.254797248"/>
    <n v="-657170.11727009097"/>
  </r>
  <r>
    <x v="0"/>
    <x v="0"/>
    <x v="1"/>
    <x v="3"/>
    <x v="13"/>
    <s v="SE3_EL"/>
    <x v="1"/>
    <x v="1"/>
    <x v="90"/>
    <x v="0"/>
    <x v="19"/>
    <n v="-508.638612169792"/>
    <n v="-185653.09344197399"/>
    <n v="-668351.13639110699"/>
  </r>
  <r>
    <x v="0"/>
    <x v="0"/>
    <x v="1"/>
    <x v="3"/>
    <x v="13"/>
    <s v="SE3_EL"/>
    <x v="1"/>
    <x v="1"/>
    <x v="90"/>
    <x v="0"/>
    <x v="20"/>
    <n v="-508.638612169792"/>
    <n v="-185653.09344197399"/>
    <n v="-668351.13639110699"/>
  </r>
  <r>
    <x v="0"/>
    <x v="0"/>
    <x v="1"/>
    <x v="3"/>
    <x v="13"/>
    <s v="SE3_EL"/>
    <x v="1"/>
    <x v="1"/>
    <x v="90"/>
    <x v="0"/>
    <x v="21"/>
    <n v="-483.90396438830101"/>
    <n v="-176624.94700173"/>
    <n v="-635849.809206228"/>
  </r>
  <r>
    <x v="0"/>
    <x v="0"/>
    <x v="1"/>
    <x v="3"/>
    <x v="13"/>
    <s v="SE3_EL"/>
    <x v="1"/>
    <x v="1"/>
    <x v="90"/>
    <x v="0"/>
    <x v="22"/>
    <n v="-446.24911852909599"/>
    <n v="-162880.92826312"/>
    <n v="-586371.34174723295"/>
  </r>
  <r>
    <x v="0"/>
    <x v="0"/>
    <x v="1"/>
    <x v="3"/>
    <x v="13"/>
    <s v="SE3_EL"/>
    <x v="1"/>
    <x v="1"/>
    <x v="90"/>
    <x v="0"/>
    <x v="23"/>
    <n v="-375.26908772775801"/>
    <n v="-136973.217020632"/>
    <n v="-493103.58127427503"/>
  </r>
  <r>
    <x v="0"/>
    <x v="0"/>
    <x v="1"/>
    <x v="3"/>
    <x v="13"/>
    <s v="SE3_EL"/>
    <x v="2"/>
    <x v="2"/>
    <x v="61"/>
    <x v="0"/>
    <x v="7"/>
    <n v="18.3650190763674"/>
    <n v="6703.2319628740797"/>
    <n v="24131.635066346698"/>
  </r>
  <r>
    <x v="0"/>
    <x v="0"/>
    <x v="1"/>
    <x v="3"/>
    <x v="13"/>
    <s v="SE3_EL"/>
    <x v="2"/>
    <x v="2"/>
    <x v="61"/>
    <x v="0"/>
    <x v="8"/>
    <n v="12.7540831180604"/>
    <n v="4655.2403380920496"/>
    <n v="16758.865217131399"/>
  </r>
  <r>
    <x v="0"/>
    <x v="0"/>
    <x v="1"/>
    <x v="3"/>
    <x v="13"/>
    <s v="SE3_EL"/>
    <x v="2"/>
    <x v="2"/>
    <x v="61"/>
    <x v="0"/>
    <x v="9"/>
    <n v="0.367745002391621"/>
    <n v="134.22692587294199"/>
    <n v="483.21693314258999"/>
  </r>
  <r>
    <x v="0"/>
    <x v="0"/>
    <x v="1"/>
    <x v="3"/>
    <x v="13"/>
    <s v="SE3_EL"/>
    <x v="2"/>
    <x v="2"/>
    <x v="68"/>
    <x v="0"/>
    <x v="6"/>
    <n v="24.133921872479501"/>
    <n v="8808.8814834550194"/>
    <n v="31711.9733404381"/>
  </r>
  <r>
    <x v="0"/>
    <x v="0"/>
    <x v="1"/>
    <x v="3"/>
    <x v="13"/>
    <s v="SE3_EL"/>
    <x v="2"/>
    <x v="2"/>
    <x v="68"/>
    <x v="0"/>
    <x v="7"/>
    <n v="25.546548811403898"/>
    <n v="9324.4903161624097"/>
    <n v="33568.165138184697"/>
  </r>
  <r>
    <x v="0"/>
    <x v="0"/>
    <x v="1"/>
    <x v="3"/>
    <x v="13"/>
    <s v="SE3_EL"/>
    <x v="2"/>
    <x v="2"/>
    <x v="68"/>
    <x v="0"/>
    <x v="8"/>
    <n v="25.546548811403898"/>
    <n v="9324.4903161624097"/>
    <n v="33568.165138184697"/>
  </r>
  <r>
    <x v="0"/>
    <x v="0"/>
    <x v="1"/>
    <x v="3"/>
    <x v="13"/>
    <s v="SE3_EL"/>
    <x v="2"/>
    <x v="2"/>
    <x v="68"/>
    <x v="0"/>
    <x v="9"/>
    <n v="25.546548811403898"/>
    <n v="9324.4903161624097"/>
    <n v="33568.165138184697"/>
  </r>
  <r>
    <x v="0"/>
    <x v="0"/>
    <x v="1"/>
    <x v="3"/>
    <x v="13"/>
    <s v="SE3_EL"/>
    <x v="2"/>
    <x v="2"/>
    <x v="68"/>
    <x v="0"/>
    <x v="10"/>
    <n v="18.730325595951001"/>
    <n v="6836.5688425220997"/>
    <n v="24611.647833079602"/>
  </r>
  <r>
    <x v="0"/>
    <x v="0"/>
    <x v="1"/>
    <x v="3"/>
    <x v="13"/>
    <s v="SE3_EL"/>
    <x v="2"/>
    <x v="2"/>
    <x v="68"/>
    <x v="0"/>
    <x v="11"/>
    <n v="13.623742391874501"/>
    <n v="4972.6659730341898"/>
    <n v="17901.597502923101"/>
  </r>
  <r>
    <x v="0"/>
    <x v="0"/>
    <x v="1"/>
    <x v="3"/>
    <x v="13"/>
    <s v="SE3_EL"/>
    <x v="2"/>
    <x v="2"/>
    <x v="68"/>
    <x v="0"/>
    <x v="12"/>
    <n v="6.1050937542042103"/>
    <n v="2228.3592202845398"/>
    <n v="8022.0931930243296"/>
  </r>
  <r>
    <x v="0"/>
    <x v="0"/>
    <x v="1"/>
    <x v="3"/>
    <x v="13"/>
    <s v="SE3_EL"/>
    <x v="2"/>
    <x v="2"/>
    <x v="68"/>
    <x v="0"/>
    <x v="13"/>
    <n v="2.3201958355116501"/>
    <n v="846.87147996175304"/>
    <n v="3048.7373278623099"/>
  </r>
  <r>
    <x v="0"/>
    <x v="0"/>
    <x v="1"/>
    <x v="3"/>
    <x v="13"/>
    <s v="SE3_GOT"/>
    <x v="1"/>
    <x v="1"/>
    <x v="67"/>
    <x v="0"/>
    <x v="0"/>
    <n v="-48.484848484848499"/>
    <n v="-17696.9696969697"/>
    <n v="-63709.090909090897"/>
  </r>
  <r>
    <x v="0"/>
    <x v="0"/>
    <x v="1"/>
    <x v="3"/>
    <x v="13"/>
    <s v="SE3_GOT"/>
    <x v="1"/>
    <x v="1"/>
    <x v="67"/>
    <x v="0"/>
    <x v="1"/>
    <n v="-48.484848484848499"/>
    <n v="-17696.9696969697"/>
    <n v="-63709.090909090897"/>
  </r>
  <r>
    <x v="0"/>
    <x v="0"/>
    <x v="1"/>
    <x v="3"/>
    <x v="13"/>
    <s v="SE3_GOT"/>
    <x v="1"/>
    <x v="1"/>
    <x v="67"/>
    <x v="0"/>
    <x v="2"/>
    <n v="-48.484848484848499"/>
    <n v="-17696.9696969697"/>
    <n v="-63709.090909090897"/>
  </r>
  <r>
    <x v="0"/>
    <x v="0"/>
    <x v="1"/>
    <x v="3"/>
    <x v="13"/>
    <s v="SE3_GOT"/>
    <x v="1"/>
    <x v="1"/>
    <x v="67"/>
    <x v="0"/>
    <x v="3"/>
    <n v="-48.484848484848499"/>
    <n v="-17696.9696969697"/>
    <n v="-63709.090909090897"/>
  </r>
  <r>
    <x v="0"/>
    <x v="0"/>
    <x v="1"/>
    <x v="3"/>
    <x v="13"/>
    <s v="SE3_GOT"/>
    <x v="1"/>
    <x v="1"/>
    <x v="67"/>
    <x v="0"/>
    <x v="4"/>
    <n v="-48.484848484848499"/>
    <n v="-17696.9696969697"/>
    <n v="-63709.090909090897"/>
  </r>
  <r>
    <x v="0"/>
    <x v="0"/>
    <x v="1"/>
    <x v="3"/>
    <x v="13"/>
    <s v="SE3_GOT"/>
    <x v="1"/>
    <x v="1"/>
    <x v="67"/>
    <x v="0"/>
    <x v="5"/>
    <n v="-48.484848484848499"/>
    <n v="-17696.9696969697"/>
    <n v="-63709.090909090897"/>
  </r>
  <r>
    <x v="0"/>
    <x v="0"/>
    <x v="1"/>
    <x v="3"/>
    <x v="13"/>
    <s v="SE3_GOT"/>
    <x v="1"/>
    <x v="1"/>
    <x v="67"/>
    <x v="0"/>
    <x v="6"/>
    <n v="-48.484848484848499"/>
    <n v="-17696.9696969697"/>
    <n v="-63709.090909090897"/>
  </r>
  <r>
    <x v="0"/>
    <x v="0"/>
    <x v="1"/>
    <x v="3"/>
    <x v="13"/>
    <s v="SE3_GOT"/>
    <x v="1"/>
    <x v="1"/>
    <x v="67"/>
    <x v="0"/>
    <x v="7"/>
    <n v="-48.484848484848499"/>
    <n v="-17696.9696969697"/>
    <n v="-63709.090909090897"/>
  </r>
  <r>
    <x v="0"/>
    <x v="0"/>
    <x v="1"/>
    <x v="3"/>
    <x v="13"/>
    <s v="SE3_GOT"/>
    <x v="1"/>
    <x v="1"/>
    <x v="67"/>
    <x v="0"/>
    <x v="8"/>
    <n v="-48.484848484848499"/>
    <n v="-17696.9696969697"/>
    <n v="-63709.090909090897"/>
  </r>
  <r>
    <x v="0"/>
    <x v="0"/>
    <x v="1"/>
    <x v="3"/>
    <x v="13"/>
    <s v="SE3_GOT"/>
    <x v="1"/>
    <x v="1"/>
    <x v="67"/>
    <x v="0"/>
    <x v="9"/>
    <n v="-48.484848484848499"/>
    <n v="-17696.9696969697"/>
    <n v="-63709.090909090897"/>
  </r>
  <r>
    <x v="0"/>
    <x v="0"/>
    <x v="1"/>
    <x v="3"/>
    <x v="13"/>
    <s v="SE3_GOT"/>
    <x v="1"/>
    <x v="1"/>
    <x v="67"/>
    <x v="0"/>
    <x v="10"/>
    <n v="-48.484848484848499"/>
    <n v="-17696.9696969697"/>
    <n v="-63709.090909090897"/>
  </r>
  <r>
    <x v="0"/>
    <x v="0"/>
    <x v="1"/>
    <x v="3"/>
    <x v="13"/>
    <s v="SE3_GOT"/>
    <x v="1"/>
    <x v="1"/>
    <x v="67"/>
    <x v="0"/>
    <x v="11"/>
    <n v="-48.484848484848499"/>
    <n v="-17696.9696969697"/>
    <n v="-63709.090909090897"/>
  </r>
  <r>
    <x v="0"/>
    <x v="0"/>
    <x v="1"/>
    <x v="3"/>
    <x v="13"/>
    <s v="SE3_GOT"/>
    <x v="1"/>
    <x v="1"/>
    <x v="67"/>
    <x v="0"/>
    <x v="12"/>
    <n v="-48.484848484848499"/>
    <n v="-17696.9696969697"/>
    <n v="-63709.090909090897"/>
  </r>
  <r>
    <x v="0"/>
    <x v="0"/>
    <x v="1"/>
    <x v="3"/>
    <x v="13"/>
    <s v="SE3_GOT"/>
    <x v="1"/>
    <x v="1"/>
    <x v="67"/>
    <x v="0"/>
    <x v="13"/>
    <n v="-48.484848484848499"/>
    <n v="-17696.9696969697"/>
    <n v="-63709.090909090897"/>
  </r>
  <r>
    <x v="0"/>
    <x v="0"/>
    <x v="1"/>
    <x v="3"/>
    <x v="13"/>
    <s v="SE3_GOT"/>
    <x v="1"/>
    <x v="1"/>
    <x v="67"/>
    <x v="0"/>
    <x v="14"/>
    <n v="-48.484848484848499"/>
    <n v="-17696.9696969697"/>
    <n v="-63709.090909090897"/>
  </r>
  <r>
    <x v="0"/>
    <x v="0"/>
    <x v="1"/>
    <x v="3"/>
    <x v="13"/>
    <s v="SE3_GOT"/>
    <x v="1"/>
    <x v="1"/>
    <x v="67"/>
    <x v="0"/>
    <x v="15"/>
    <n v="-48.484848484848499"/>
    <n v="-17696.9696969697"/>
    <n v="-63709.090909090897"/>
  </r>
  <r>
    <x v="0"/>
    <x v="0"/>
    <x v="1"/>
    <x v="3"/>
    <x v="13"/>
    <s v="SE3_GOT"/>
    <x v="1"/>
    <x v="1"/>
    <x v="67"/>
    <x v="0"/>
    <x v="16"/>
    <n v="-48.484848484848499"/>
    <n v="-17696.9696969697"/>
    <n v="-63709.090909090897"/>
  </r>
  <r>
    <x v="0"/>
    <x v="0"/>
    <x v="1"/>
    <x v="3"/>
    <x v="13"/>
    <s v="SE3_GOT"/>
    <x v="1"/>
    <x v="1"/>
    <x v="67"/>
    <x v="0"/>
    <x v="17"/>
    <n v="-48.484848484848499"/>
    <n v="-17696.9696969697"/>
    <n v="-63709.090909090897"/>
  </r>
  <r>
    <x v="0"/>
    <x v="0"/>
    <x v="1"/>
    <x v="3"/>
    <x v="13"/>
    <s v="SE3_GOT"/>
    <x v="1"/>
    <x v="1"/>
    <x v="67"/>
    <x v="0"/>
    <x v="18"/>
    <n v="-48.484848484848499"/>
    <n v="-17696.9696969697"/>
    <n v="-63709.090909090897"/>
  </r>
  <r>
    <x v="0"/>
    <x v="0"/>
    <x v="1"/>
    <x v="3"/>
    <x v="13"/>
    <s v="SE3_GOT"/>
    <x v="1"/>
    <x v="1"/>
    <x v="67"/>
    <x v="0"/>
    <x v="19"/>
    <n v="-48.484848484848499"/>
    <n v="-17696.9696969697"/>
    <n v="-63709.090909090897"/>
  </r>
  <r>
    <x v="0"/>
    <x v="0"/>
    <x v="1"/>
    <x v="3"/>
    <x v="13"/>
    <s v="SE3_GOT"/>
    <x v="1"/>
    <x v="1"/>
    <x v="67"/>
    <x v="0"/>
    <x v="20"/>
    <n v="-48.484848484848499"/>
    <n v="-17696.9696969697"/>
    <n v="-63709.090909090897"/>
  </r>
  <r>
    <x v="0"/>
    <x v="0"/>
    <x v="1"/>
    <x v="3"/>
    <x v="13"/>
    <s v="SE3_GOT"/>
    <x v="1"/>
    <x v="1"/>
    <x v="67"/>
    <x v="0"/>
    <x v="21"/>
    <n v="-48.484848484848499"/>
    <n v="-17696.9696969697"/>
    <n v="-63709.090909090897"/>
  </r>
  <r>
    <x v="0"/>
    <x v="0"/>
    <x v="1"/>
    <x v="3"/>
    <x v="13"/>
    <s v="SE3_GOT"/>
    <x v="1"/>
    <x v="1"/>
    <x v="67"/>
    <x v="0"/>
    <x v="22"/>
    <n v="-48.484848484848499"/>
    <n v="-17696.9696969697"/>
    <n v="-63709.090909090897"/>
  </r>
  <r>
    <x v="0"/>
    <x v="0"/>
    <x v="1"/>
    <x v="3"/>
    <x v="13"/>
    <s v="SE3_GOT"/>
    <x v="1"/>
    <x v="1"/>
    <x v="67"/>
    <x v="0"/>
    <x v="23"/>
    <n v="-48.484848484848499"/>
    <n v="-17696.9696969697"/>
    <n v="-63709.090909090897"/>
  </r>
  <r>
    <x v="0"/>
    <x v="0"/>
    <x v="1"/>
    <x v="3"/>
    <x v="13"/>
    <s v="SE3_GOT"/>
    <x v="1"/>
    <x v="1"/>
    <x v="90"/>
    <x v="0"/>
    <x v="0"/>
    <n v="-69.058264199856694"/>
    <n v="-25206.266432947701"/>
    <n v="-90742.559158611606"/>
  </r>
  <r>
    <x v="0"/>
    <x v="0"/>
    <x v="1"/>
    <x v="3"/>
    <x v="13"/>
    <s v="SE3_GOT"/>
    <x v="1"/>
    <x v="1"/>
    <x v="90"/>
    <x v="0"/>
    <x v="1"/>
    <n v="-73.873332669398096"/>
    <n v="-26963.766424330301"/>
    <n v="-97069.559127589004"/>
  </r>
  <r>
    <x v="0"/>
    <x v="0"/>
    <x v="1"/>
    <x v="3"/>
    <x v="13"/>
    <s v="SE3_GOT"/>
    <x v="1"/>
    <x v="1"/>
    <x v="90"/>
    <x v="0"/>
    <x v="2"/>
    <n v="-71.3840987840926"/>
    <n v="-26055.196056193799"/>
    <n v="-93798.7058022977"/>
  </r>
  <r>
    <x v="0"/>
    <x v="0"/>
    <x v="1"/>
    <x v="3"/>
    <x v="13"/>
    <s v="SE3_GOT"/>
    <x v="1"/>
    <x v="1"/>
    <x v="90"/>
    <x v="0"/>
    <x v="3"/>
    <n v="-82.090285599912804"/>
    <n v="-29962.954243968201"/>
    <n v="-107866.635278285"/>
  </r>
  <r>
    <x v="0"/>
    <x v="0"/>
    <x v="1"/>
    <x v="3"/>
    <x v="13"/>
    <s v="SE3_GOT"/>
    <x v="1"/>
    <x v="1"/>
    <x v="90"/>
    <x v="0"/>
    <x v="4"/>
    <n v="-94.735014169587799"/>
    <n v="-34578.280171899598"/>
    <n v="-124481.808618838"/>
  </r>
  <r>
    <x v="0"/>
    <x v="0"/>
    <x v="1"/>
    <x v="3"/>
    <x v="13"/>
    <s v="SE3_GOT"/>
    <x v="1"/>
    <x v="1"/>
    <x v="90"/>
    <x v="0"/>
    <x v="5"/>
    <n v="-143.65622730527599"/>
    <n v="-52434.5229664258"/>
    <n v="-188764.282679133"/>
  </r>
  <r>
    <x v="0"/>
    <x v="0"/>
    <x v="1"/>
    <x v="3"/>
    <x v="13"/>
    <s v="SE3_GOT"/>
    <x v="1"/>
    <x v="1"/>
    <x v="90"/>
    <x v="0"/>
    <x v="6"/>
    <n v="-166.41416103348701"/>
    <n v="-60741.168777222701"/>
    <n v="-218668.20759800199"/>
  </r>
  <r>
    <x v="0"/>
    <x v="0"/>
    <x v="1"/>
    <x v="3"/>
    <x v="13"/>
    <s v="SE3_GOT"/>
    <x v="1"/>
    <x v="1"/>
    <x v="90"/>
    <x v="0"/>
    <x v="7"/>
    <n v="-166.41416103348701"/>
    <n v="-60741.168777222701"/>
    <n v="-218668.20759800199"/>
  </r>
  <r>
    <x v="0"/>
    <x v="0"/>
    <x v="1"/>
    <x v="3"/>
    <x v="13"/>
    <s v="SE3_GOT"/>
    <x v="1"/>
    <x v="1"/>
    <x v="90"/>
    <x v="0"/>
    <x v="8"/>
    <n v="-166.41416103348701"/>
    <n v="-60741.168777222701"/>
    <n v="-218668.20759800199"/>
  </r>
  <r>
    <x v="0"/>
    <x v="0"/>
    <x v="1"/>
    <x v="3"/>
    <x v="13"/>
    <s v="SE3_GOT"/>
    <x v="1"/>
    <x v="1"/>
    <x v="90"/>
    <x v="0"/>
    <x v="9"/>
    <n v="-166.41416103348701"/>
    <n v="-60741.168777222701"/>
    <n v="-218668.20759800199"/>
  </r>
  <r>
    <x v="0"/>
    <x v="0"/>
    <x v="1"/>
    <x v="3"/>
    <x v="13"/>
    <s v="SE3_GOT"/>
    <x v="1"/>
    <x v="1"/>
    <x v="90"/>
    <x v="0"/>
    <x v="10"/>
    <n v="-166.41416103348701"/>
    <n v="-60741.168777222701"/>
    <n v="-218668.20759800199"/>
  </r>
  <r>
    <x v="0"/>
    <x v="0"/>
    <x v="1"/>
    <x v="3"/>
    <x v="13"/>
    <s v="SE3_GOT"/>
    <x v="1"/>
    <x v="1"/>
    <x v="90"/>
    <x v="0"/>
    <x v="11"/>
    <n v="-166.41416103348701"/>
    <n v="-60741.168777222701"/>
    <n v="-218668.20759800199"/>
  </r>
  <r>
    <x v="0"/>
    <x v="0"/>
    <x v="1"/>
    <x v="3"/>
    <x v="13"/>
    <s v="SE3_GOT"/>
    <x v="1"/>
    <x v="1"/>
    <x v="90"/>
    <x v="0"/>
    <x v="12"/>
    <n v="-166.41416103348701"/>
    <n v="-60741.168777222701"/>
    <n v="-218668.20759800199"/>
  </r>
  <r>
    <x v="0"/>
    <x v="0"/>
    <x v="1"/>
    <x v="3"/>
    <x v="13"/>
    <s v="SE3_GOT"/>
    <x v="1"/>
    <x v="1"/>
    <x v="90"/>
    <x v="0"/>
    <x v="13"/>
    <n v="-163.34946530883499"/>
    <n v="-59622.5548377249"/>
    <n v="-214641.19741580999"/>
  </r>
  <r>
    <x v="0"/>
    <x v="0"/>
    <x v="1"/>
    <x v="3"/>
    <x v="13"/>
    <s v="SE3_GOT"/>
    <x v="1"/>
    <x v="1"/>
    <x v="90"/>
    <x v="0"/>
    <x v="14"/>
    <n v="-156.83124830744001"/>
    <n v="-57243.405632215698"/>
    <n v="-206076.260275976"/>
  </r>
  <r>
    <x v="0"/>
    <x v="0"/>
    <x v="1"/>
    <x v="3"/>
    <x v="13"/>
    <s v="SE3_GOT"/>
    <x v="1"/>
    <x v="1"/>
    <x v="90"/>
    <x v="0"/>
    <x v="15"/>
    <n v="-154.06783100342599"/>
    <n v="-56234.758316250598"/>
    <n v="-202445.12993850201"/>
  </r>
  <r>
    <x v="0"/>
    <x v="0"/>
    <x v="1"/>
    <x v="3"/>
    <x v="13"/>
    <s v="SE3_GOT"/>
    <x v="1"/>
    <x v="1"/>
    <x v="90"/>
    <x v="0"/>
    <x v="16"/>
    <n v="-160.23626414712299"/>
    <n v="-58486.236413699997"/>
    <n v="-210550.45108932001"/>
  </r>
  <r>
    <x v="0"/>
    <x v="0"/>
    <x v="1"/>
    <x v="3"/>
    <x v="13"/>
    <s v="SE3_GOT"/>
    <x v="1"/>
    <x v="1"/>
    <x v="90"/>
    <x v="0"/>
    <x v="17"/>
    <n v="-160.93955433196001"/>
    <n v="-58742.937331165303"/>
    <n v="-211474.57439219501"/>
  </r>
  <r>
    <x v="0"/>
    <x v="0"/>
    <x v="1"/>
    <x v="3"/>
    <x v="13"/>
    <s v="SE3_GOT"/>
    <x v="1"/>
    <x v="1"/>
    <x v="90"/>
    <x v="0"/>
    <x v="18"/>
    <n v="-164.76942030834201"/>
    <n v="-60140.838412545003"/>
    <n v="-216507.01828516199"/>
  </r>
  <r>
    <x v="0"/>
    <x v="0"/>
    <x v="1"/>
    <x v="3"/>
    <x v="13"/>
    <s v="SE3_GOT"/>
    <x v="1"/>
    <x v="1"/>
    <x v="90"/>
    <x v="0"/>
    <x v="19"/>
    <n v="-166.41416103348701"/>
    <n v="-60741.168777222701"/>
    <n v="-218668.20759800199"/>
  </r>
  <r>
    <x v="0"/>
    <x v="0"/>
    <x v="1"/>
    <x v="3"/>
    <x v="13"/>
    <s v="SE3_GOT"/>
    <x v="1"/>
    <x v="1"/>
    <x v="90"/>
    <x v="0"/>
    <x v="20"/>
    <n v="-166.41416103348701"/>
    <n v="-60741.168777222701"/>
    <n v="-218668.20759800199"/>
  </r>
  <r>
    <x v="0"/>
    <x v="0"/>
    <x v="1"/>
    <x v="3"/>
    <x v="13"/>
    <s v="SE3_GOT"/>
    <x v="1"/>
    <x v="1"/>
    <x v="90"/>
    <x v="0"/>
    <x v="21"/>
    <n v="-156.68882183389101"/>
    <n v="-57191.419969370203"/>
    <n v="-205889.111889733"/>
  </r>
  <r>
    <x v="0"/>
    <x v="0"/>
    <x v="1"/>
    <x v="3"/>
    <x v="13"/>
    <s v="SE3_GOT"/>
    <x v="1"/>
    <x v="1"/>
    <x v="90"/>
    <x v="0"/>
    <x v="22"/>
    <n v="-140.17832017113"/>
    <n v="-51165.086862462398"/>
    <n v="-184194.31270486501"/>
  </r>
  <r>
    <x v="0"/>
    <x v="0"/>
    <x v="1"/>
    <x v="3"/>
    <x v="13"/>
    <s v="SE3_GOT"/>
    <x v="1"/>
    <x v="1"/>
    <x v="90"/>
    <x v="0"/>
    <x v="23"/>
    <n v="-98.641790390909193"/>
    <n v="-36004.253492681899"/>
    <n v="-129615.312573655"/>
  </r>
  <r>
    <x v="0"/>
    <x v="0"/>
    <x v="1"/>
    <x v="3"/>
    <x v="13"/>
    <s v="SE3_GOT"/>
    <x v="2"/>
    <x v="2"/>
    <x v="61"/>
    <x v="0"/>
    <x v="6"/>
    <n v="16.825257941472099"/>
    <n v="6141.2191486373204"/>
    <n v="22108.388935094299"/>
  </r>
  <r>
    <x v="0"/>
    <x v="0"/>
    <x v="1"/>
    <x v="3"/>
    <x v="13"/>
    <s v="SE3_GOT"/>
    <x v="2"/>
    <x v="2"/>
    <x v="61"/>
    <x v="0"/>
    <x v="7"/>
    <n v="22.876465579484101"/>
    <n v="8349.9099365117108"/>
    <n v="30059.6757714421"/>
  </r>
  <r>
    <x v="0"/>
    <x v="0"/>
    <x v="1"/>
    <x v="3"/>
    <x v="13"/>
    <s v="SE3_GOT"/>
    <x v="2"/>
    <x v="2"/>
    <x v="61"/>
    <x v="0"/>
    <x v="8"/>
    <n v="17.971614822339198"/>
    <n v="6559.6394101538099"/>
    <n v="23614.7018765537"/>
  </r>
  <r>
    <x v="0"/>
    <x v="0"/>
    <x v="1"/>
    <x v="3"/>
    <x v="13"/>
    <s v="SE3_GOT"/>
    <x v="2"/>
    <x v="2"/>
    <x v="61"/>
    <x v="0"/>
    <x v="9"/>
    <n v="12.238680586396001"/>
    <n v="4467.1184140345504"/>
    <n v="16081.6262905244"/>
  </r>
  <r>
    <x v="0"/>
    <x v="0"/>
    <x v="1"/>
    <x v="3"/>
    <x v="13"/>
    <s v="SE3_GOT"/>
    <x v="2"/>
    <x v="2"/>
    <x v="61"/>
    <x v="0"/>
    <x v="10"/>
    <n v="7.9514941745758998"/>
    <n v="2902.2953737202001"/>
    <n v="10448.263345392699"/>
  </r>
  <r>
    <x v="0"/>
    <x v="0"/>
    <x v="1"/>
    <x v="3"/>
    <x v="13"/>
    <s v="SE3_GOT"/>
    <x v="2"/>
    <x v="2"/>
    <x v="61"/>
    <x v="0"/>
    <x v="11"/>
    <n v="4.5822989039258202"/>
    <n v="1672.53909993292"/>
    <n v="6021.1407597585303"/>
  </r>
  <r>
    <x v="0"/>
    <x v="0"/>
    <x v="1"/>
    <x v="3"/>
    <x v="13"/>
    <s v="SE3_GOT"/>
    <x v="2"/>
    <x v="2"/>
    <x v="61"/>
    <x v="0"/>
    <x v="12"/>
    <n v="0.42706476636648899"/>
    <n v="155.878639723768"/>
    <n v="561.16310300556597"/>
  </r>
  <r>
    <x v="0"/>
    <x v="0"/>
    <x v="1"/>
    <x v="3"/>
    <x v="13"/>
    <s v="SE3_GOT"/>
    <x v="2"/>
    <x v="2"/>
    <x v="61"/>
    <x v="0"/>
    <x v="19"/>
    <n v="0.94769614738771901"/>
    <n v="345.90909379651703"/>
    <n v="1245.27273766746"/>
  </r>
  <r>
    <x v="0"/>
    <x v="0"/>
    <x v="1"/>
    <x v="3"/>
    <x v="13"/>
    <s v="SE3_HP"/>
    <x v="1"/>
    <x v="1"/>
    <x v="58"/>
    <x v="0"/>
    <x v="0"/>
    <n v="-87.755102040816297"/>
    <n v="-32030.612244897999"/>
    <n v="-115310.204081633"/>
  </r>
  <r>
    <x v="0"/>
    <x v="0"/>
    <x v="1"/>
    <x v="3"/>
    <x v="13"/>
    <s v="SE3_HP"/>
    <x v="1"/>
    <x v="1"/>
    <x v="58"/>
    <x v="0"/>
    <x v="1"/>
    <n v="-87.755102040816297"/>
    <n v="-32030.612244897999"/>
    <n v="-115310.204081633"/>
  </r>
  <r>
    <x v="0"/>
    <x v="0"/>
    <x v="1"/>
    <x v="3"/>
    <x v="13"/>
    <s v="SE3_HP"/>
    <x v="1"/>
    <x v="1"/>
    <x v="58"/>
    <x v="0"/>
    <x v="2"/>
    <n v="-87.755102040816297"/>
    <n v="-32030.612244897999"/>
    <n v="-115310.204081633"/>
  </r>
  <r>
    <x v="0"/>
    <x v="0"/>
    <x v="1"/>
    <x v="3"/>
    <x v="13"/>
    <s v="SE3_HP"/>
    <x v="1"/>
    <x v="1"/>
    <x v="58"/>
    <x v="0"/>
    <x v="3"/>
    <n v="-87.755102040816297"/>
    <n v="-32030.612244897999"/>
    <n v="-115310.204081633"/>
  </r>
  <r>
    <x v="0"/>
    <x v="0"/>
    <x v="1"/>
    <x v="3"/>
    <x v="13"/>
    <s v="SE3_HP"/>
    <x v="1"/>
    <x v="1"/>
    <x v="58"/>
    <x v="0"/>
    <x v="4"/>
    <n v="-87.755102040816297"/>
    <n v="-32030.612244897999"/>
    <n v="-115310.204081633"/>
  </r>
  <r>
    <x v="0"/>
    <x v="0"/>
    <x v="1"/>
    <x v="3"/>
    <x v="13"/>
    <s v="SE3_HP"/>
    <x v="1"/>
    <x v="1"/>
    <x v="58"/>
    <x v="0"/>
    <x v="5"/>
    <n v="-87.755102040816297"/>
    <n v="-32030.612244897999"/>
    <n v="-115310.204081633"/>
  </r>
  <r>
    <x v="0"/>
    <x v="0"/>
    <x v="1"/>
    <x v="3"/>
    <x v="13"/>
    <s v="SE3_HP"/>
    <x v="1"/>
    <x v="1"/>
    <x v="58"/>
    <x v="0"/>
    <x v="6"/>
    <n v="-87.755102040816297"/>
    <n v="-32030.612244897999"/>
    <n v="-115310.204081633"/>
  </r>
  <r>
    <x v="0"/>
    <x v="0"/>
    <x v="1"/>
    <x v="3"/>
    <x v="13"/>
    <s v="SE3_HP"/>
    <x v="1"/>
    <x v="1"/>
    <x v="58"/>
    <x v="0"/>
    <x v="7"/>
    <n v="-87.755102040816297"/>
    <n v="-32030.612244897999"/>
    <n v="-115310.204081633"/>
  </r>
  <r>
    <x v="0"/>
    <x v="0"/>
    <x v="1"/>
    <x v="3"/>
    <x v="13"/>
    <s v="SE3_HP"/>
    <x v="1"/>
    <x v="1"/>
    <x v="58"/>
    <x v="0"/>
    <x v="8"/>
    <n v="-87.755102040816297"/>
    <n v="-32030.612244897999"/>
    <n v="-115310.204081633"/>
  </r>
  <r>
    <x v="0"/>
    <x v="0"/>
    <x v="1"/>
    <x v="3"/>
    <x v="13"/>
    <s v="SE3_HP"/>
    <x v="1"/>
    <x v="1"/>
    <x v="58"/>
    <x v="0"/>
    <x v="9"/>
    <n v="-87.755102040816297"/>
    <n v="-32030.612244897999"/>
    <n v="-115310.204081633"/>
  </r>
  <r>
    <x v="0"/>
    <x v="0"/>
    <x v="1"/>
    <x v="3"/>
    <x v="13"/>
    <s v="SE3_HP"/>
    <x v="1"/>
    <x v="1"/>
    <x v="58"/>
    <x v="0"/>
    <x v="10"/>
    <n v="-87.755102040816297"/>
    <n v="-32030.612244897999"/>
    <n v="-115310.204081633"/>
  </r>
  <r>
    <x v="0"/>
    <x v="0"/>
    <x v="1"/>
    <x v="3"/>
    <x v="13"/>
    <s v="SE3_HP"/>
    <x v="1"/>
    <x v="1"/>
    <x v="58"/>
    <x v="0"/>
    <x v="11"/>
    <n v="-87.755102040816297"/>
    <n v="-32030.612244897999"/>
    <n v="-115310.204081633"/>
  </r>
  <r>
    <x v="0"/>
    <x v="0"/>
    <x v="1"/>
    <x v="3"/>
    <x v="13"/>
    <s v="SE3_HP"/>
    <x v="1"/>
    <x v="1"/>
    <x v="58"/>
    <x v="0"/>
    <x v="12"/>
    <n v="-87.755102040816297"/>
    <n v="-32030.612244897999"/>
    <n v="-115310.204081633"/>
  </r>
  <r>
    <x v="0"/>
    <x v="0"/>
    <x v="1"/>
    <x v="3"/>
    <x v="13"/>
    <s v="SE3_HP"/>
    <x v="1"/>
    <x v="1"/>
    <x v="58"/>
    <x v="0"/>
    <x v="13"/>
    <n v="-87.755102040816297"/>
    <n v="-32030.612244897999"/>
    <n v="-115310.204081633"/>
  </r>
  <r>
    <x v="0"/>
    <x v="0"/>
    <x v="1"/>
    <x v="3"/>
    <x v="13"/>
    <s v="SE3_HP"/>
    <x v="1"/>
    <x v="1"/>
    <x v="58"/>
    <x v="0"/>
    <x v="14"/>
    <n v="-87.755102040816297"/>
    <n v="-32030.612244897999"/>
    <n v="-115310.204081633"/>
  </r>
  <r>
    <x v="0"/>
    <x v="0"/>
    <x v="1"/>
    <x v="3"/>
    <x v="13"/>
    <s v="SE3_HP"/>
    <x v="1"/>
    <x v="1"/>
    <x v="58"/>
    <x v="0"/>
    <x v="15"/>
    <n v="-87.755102040816297"/>
    <n v="-32030.612244897999"/>
    <n v="-115310.204081633"/>
  </r>
  <r>
    <x v="0"/>
    <x v="0"/>
    <x v="1"/>
    <x v="3"/>
    <x v="13"/>
    <s v="SE3_HP"/>
    <x v="1"/>
    <x v="1"/>
    <x v="58"/>
    <x v="0"/>
    <x v="16"/>
    <n v="-87.755102040816297"/>
    <n v="-32030.612244897999"/>
    <n v="-115310.204081633"/>
  </r>
  <r>
    <x v="0"/>
    <x v="0"/>
    <x v="1"/>
    <x v="3"/>
    <x v="13"/>
    <s v="SE3_HP"/>
    <x v="1"/>
    <x v="1"/>
    <x v="58"/>
    <x v="0"/>
    <x v="17"/>
    <n v="-87.755102040816297"/>
    <n v="-32030.612244897999"/>
    <n v="-115310.204081633"/>
  </r>
  <r>
    <x v="0"/>
    <x v="0"/>
    <x v="1"/>
    <x v="3"/>
    <x v="13"/>
    <s v="SE3_HP"/>
    <x v="1"/>
    <x v="1"/>
    <x v="58"/>
    <x v="0"/>
    <x v="18"/>
    <n v="-87.755102040816297"/>
    <n v="-32030.612244897999"/>
    <n v="-115310.204081633"/>
  </r>
  <r>
    <x v="0"/>
    <x v="0"/>
    <x v="1"/>
    <x v="3"/>
    <x v="13"/>
    <s v="SE3_HP"/>
    <x v="1"/>
    <x v="1"/>
    <x v="58"/>
    <x v="0"/>
    <x v="19"/>
    <n v="-87.755102040816297"/>
    <n v="-32030.612244897999"/>
    <n v="-115310.204081633"/>
  </r>
  <r>
    <x v="0"/>
    <x v="0"/>
    <x v="1"/>
    <x v="3"/>
    <x v="13"/>
    <s v="SE3_HP"/>
    <x v="1"/>
    <x v="1"/>
    <x v="58"/>
    <x v="0"/>
    <x v="20"/>
    <n v="-87.755102040816297"/>
    <n v="-32030.612244897999"/>
    <n v="-115310.204081633"/>
  </r>
  <r>
    <x v="0"/>
    <x v="0"/>
    <x v="1"/>
    <x v="3"/>
    <x v="13"/>
    <s v="SE3_HP"/>
    <x v="1"/>
    <x v="1"/>
    <x v="58"/>
    <x v="0"/>
    <x v="21"/>
    <n v="-87.755102040816297"/>
    <n v="-32030.612244897999"/>
    <n v="-115310.204081633"/>
  </r>
  <r>
    <x v="0"/>
    <x v="0"/>
    <x v="1"/>
    <x v="3"/>
    <x v="13"/>
    <s v="SE3_HP"/>
    <x v="1"/>
    <x v="1"/>
    <x v="58"/>
    <x v="0"/>
    <x v="22"/>
    <n v="-87.755102040816297"/>
    <n v="-32030.612244897999"/>
    <n v="-115310.204081633"/>
  </r>
  <r>
    <x v="0"/>
    <x v="0"/>
    <x v="1"/>
    <x v="3"/>
    <x v="13"/>
    <s v="SE3_HP"/>
    <x v="1"/>
    <x v="1"/>
    <x v="58"/>
    <x v="0"/>
    <x v="23"/>
    <n v="-87.755102040816297"/>
    <n v="-32030.612244897999"/>
    <n v="-115310.204081633"/>
  </r>
  <r>
    <x v="0"/>
    <x v="0"/>
    <x v="1"/>
    <x v="3"/>
    <x v="13"/>
    <s v="SE3_HP"/>
    <x v="1"/>
    <x v="1"/>
    <x v="73"/>
    <x v="0"/>
    <x v="0"/>
    <n v="-58.285714285714299"/>
    <n v="-21274.285714285699"/>
    <n v="-76587.428571428594"/>
  </r>
  <r>
    <x v="0"/>
    <x v="0"/>
    <x v="1"/>
    <x v="3"/>
    <x v="13"/>
    <s v="SE3_HP"/>
    <x v="1"/>
    <x v="1"/>
    <x v="73"/>
    <x v="0"/>
    <x v="1"/>
    <n v="-58.285714285714299"/>
    <n v="-21274.285714285699"/>
    <n v="-76587.428571428594"/>
  </r>
  <r>
    <x v="0"/>
    <x v="0"/>
    <x v="1"/>
    <x v="3"/>
    <x v="13"/>
    <s v="SE3_HP"/>
    <x v="1"/>
    <x v="1"/>
    <x v="73"/>
    <x v="0"/>
    <x v="2"/>
    <n v="-58.285714285714299"/>
    <n v="-21274.285714285699"/>
    <n v="-76587.428571428594"/>
  </r>
  <r>
    <x v="0"/>
    <x v="0"/>
    <x v="1"/>
    <x v="3"/>
    <x v="13"/>
    <s v="SE3_HP"/>
    <x v="1"/>
    <x v="1"/>
    <x v="73"/>
    <x v="0"/>
    <x v="3"/>
    <n v="-58.285714285714299"/>
    <n v="-21274.285714285699"/>
    <n v="-76587.428571428594"/>
  </r>
  <r>
    <x v="0"/>
    <x v="0"/>
    <x v="1"/>
    <x v="3"/>
    <x v="13"/>
    <s v="SE3_HP"/>
    <x v="1"/>
    <x v="1"/>
    <x v="73"/>
    <x v="0"/>
    <x v="4"/>
    <n v="-58.285714285714299"/>
    <n v="-21274.285714285699"/>
    <n v="-76587.428571428594"/>
  </r>
  <r>
    <x v="0"/>
    <x v="0"/>
    <x v="1"/>
    <x v="3"/>
    <x v="13"/>
    <s v="SE3_HP"/>
    <x v="1"/>
    <x v="1"/>
    <x v="73"/>
    <x v="0"/>
    <x v="5"/>
    <n v="-58.285714285714299"/>
    <n v="-21274.285714285699"/>
    <n v="-76587.428571428594"/>
  </r>
  <r>
    <x v="0"/>
    <x v="0"/>
    <x v="1"/>
    <x v="3"/>
    <x v="13"/>
    <s v="SE3_HP"/>
    <x v="1"/>
    <x v="1"/>
    <x v="73"/>
    <x v="0"/>
    <x v="6"/>
    <n v="-58.285714285714299"/>
    <n v="-21274.285714285699"/>
    <n v="-76587.428571428594"/>
  </r>
  <r>
    <x v="0"/>
    <x v="0"/>
    <x v="1"/>
    <x v="3"/>
    <x v="13"/>
    <s v="SE3_HP"/>
    <x v="1"/>
    <x v="1"/>
    <x v="73"/>
    <x v="0"/>
    <x v="7"/>
    <n v="-58.285714285714299"/>
    <n v="-21274.285714285699"/>
    <n v="-76587.428571428594"/>
  </r>
  <r>
    <x v="0"/>
    <x v="0"/>
    <x v="1"/>
    <x v="3"/>
    <x v="13"/>
    <s v="SE3_HP"/>
    <x v="1"/>
    <x v="1"/>
    <x v="73"/>
    <x v="0"/>
    <x v="8"/>
    <n v="-58.285714285714299"/>
    <n v="-21274.285714285699"/>
    <n v="-76587.428571428594"/>
  </r>
  <r>
    <x v="0"/>
    <x v="0"/>
    <x v="1"/>
    <x v="3"/>
    <x v="13"/>
    <s v="SE3_HP"/>
    <x v="1"/>
    <x v="1"/>
    <x v="73"/>
    <x v="0"/>
    <x v="9"/>
    <n v="-58.285714285714299"/>
    <n v="-21274.285714285699"/>
    <n v="-76587.428571428594"/>
  </r>
  <r>
    <x v="0"/>
    <x v="0"/>
    <x v="1"/>
    <x v="3"/>
    <x v="13"/>
    <s v="SE3_HP"/>
    <x v="1"/>
    <x v="1"/>
    <x v="73"/>
    <x v="0"/>
    <x v="10"/>
    <n v="-58.285714285714299"/>
    <n v="-21274.285714285699"/>
    <n v="-76587.428571428594"/>
  </r>
  <r>
    <x v="0"/>
    <x v="0"/>
    <x v="1"/>
    <x v="3"/>
    <x v="13"/>
    <s v="SE3_HP"/>
    <x v="1"/>
    <x v="1"/>
    <x v="73"/>
    <x v="0"/>
    <x v="11"/>
    <n v="-58.285714285714299"/>
    <n v="-21274.285714285699"/>
    <n v="-76587.428571428594"/>
  </r>
  <r>
    <x v="0"/>
    <x v="0"/>
    <x v="1"/>
    <x v="3"/>
    <x v="13"/>
    <s v="SE3_HP"/>
    <x v="1"/>
    <x v="1"/>
    <x v="73"/>
    <x v="0"/>
    <x v="12"/>
    <n v="-58.285714285714299"/>
    <n v="-21274.285714285699"/>
    <n v="-76587.428571428594"/>
  </r>
  <r>
    <x v="0"/>
    <x v="0"/>
    <x v="1"/>
    <x v="3"/>
    <x v="13"/>
    <s v="SE3_HP"/>
    <x v="1"/>
    <x v="1"/>
    <x v="73"/>
    <x v="0"/>
    <x v="13"/>
    <n v="-58.285714285714299"/>
    <n v="-21274.285714285699"/>
    <n v="-76587.428571428594"/>
  </r>
  <r>
    <x v="0"/>
    <x v="0"/>
    <x v="1"/>
    <x v="3"/>
    <x v="13"/>
    <s v="SE3_HP"/>
    <x v="1"/>
    <x v="1"/>
    <x v="73"/>
    <x v="0"/>
    <x v="14"/>
    <n v="-58.285714285714299"/>
    <n v="-21274.285714285699"/>
    <n v="-76587.428571428594"/>
  </r>
  <r>
    <x v="0"/>
    <x v="0"/>
    <x v="1"/>
    <x v="3"/>
    <x v="13"/>
    <s v="SE3_HP"/>
    <x v="1"/>
    <x v="1"/>
    <x v="73"/>
    <x v="0"/>
    <x v="15"/>
    <n v="-58.285714285714299"/>
    <n v="-21274.285714285699"/>
    <n v="-76587.428571428594"/>
  </r>
  <r>
    <x v="0"/>
    <x v="0"/>
    <x v="1"/>
    <x v="3"/>
    <x v="13"/>
    <s v="SE3_HP"/>
    <x v="1"/>
    <x v="1"/>
    <x v="73"/>
    <x v="0"/>
    <x v="16"/>
    <n v="-58.285714285714299"/>
    <n v="-21274.285714285699"/>
    <n v="-76587.428571428594"/>
  </r>
  <r>
    <x v="0"/>
    <x v="0"/>
    <x v="1"/>
    <x v="3"/>
    <x v="13"/>
    <s v="SE3_HP"/>
    <x v="1"/>
    <x v="1"/>
    <x v="73"/>
    <x v="0"/>
    <x v="17"/>
    <n v="-58.285714285714299"/>
    <n v="-21274.285714285699"/>
    <n v="-76587.428571428594"/>
  </r>
  <r>
    <x v="0"/>
    <x v="0"/>
    <x v="1"/>
    <x v="3"/>
    <x v="13"/>
    <s v="SE3_HP"/>
    <x v="1"/>
    <x v="1"/>
    <x v="73"/>
    <x v="0"/>
    <x v="18"/>
    <n v="-58.285714285714299"/>
    <n v="-21274.285714285699"/>
    <n v="-76587.428571428594"/>
  </r>
  <r>
    <x v="0"/>
    <x v="0"/>
    <x v="1"/>
    <x v="3"/>
    <x v="13"/>
    <s v="SE3_HP"/>
    <x v="1"/>
    <x v="1"/>
    <x v="73"/>
    <x v="0"/>
    <x v="19"/>
    <n v="-58.285714285714299"/>
    <n v="-21274.285714285699"/>
    <n v="-76587.428571428594"/>
  </r>
  <r>
    <x v="0"/>
    <x v="0"/>
    <x v="1"/>
    <x v="3"/>
    <x v="13"/>
    <s v="SE3_HP"/>
    <x v="1"/>
    <x v="1"/>
    <x v="73"/>
    <x v="0"/>
    <x v="20"/>
    <n v="-58.285714285714299"/>
    <n v="-21274.285714285699"/>
    <n v="-76587.428571428594"/>
  </r>
  <r>
    <x v="0"/>
    <x v="0"/>
    <x v="1"/>
    <x v="3"/>
    <x v="13"/>
    <s v="SE3_HP"/>
    <x v="1"/>
    <x v="1"/>
    <x v="73"/>
    <x v="0"/>
    <x v="21"/>
    <n v="-58.285714285714299"/>
    <n v="-21274.285714285699"/>
    <n v="-76587.428571428594"/>
  </r>
  <r>
    <x v="0"/>
    <x v="0"/>
    <x v="1"/>
    <x v="3"/>
    <x v="13"/>
    <s v="SE3_HP"/>
    <x v="1"/>
    <x v="1"/>
    <x v="73"/>
    <x v="0"/>
    <x v="22"/>
    <n v="-58.285714285714299"/>
    <n v="-21274.285714285699"/>
    <n v="-76587.428571428594"/>
  </r>
  <r>
    <x v="0"/>
    <x v="0"/>
    <x v="1"/>
    <x v="3"/>
    <x v="13"/>
    <s v="SE3_HP"/>
    <x v="1"/>
    <x v="1"/>
    <x v="73"/>
    <x v="0"/>
    <x v="23"/>
    <n v="-58.285714285714299"/>
    <n v="-21274.285714285699"/>
    <n v="-76587.428571428594"/>
  </r>
  <r>
    <x v="0"/>
    <x v="0"/>
    <x v="1"/>
    <x v="3"/>
    <x v="13"/>
    <s v="SE3_HP"/>
    <x v="1"/>
    <x v="1"/>
    <x v="90"/>
    <x v="0"/>
    <x v="0"/>
    <n v="-28.5528479598891"/>
    <n v="-10421.7895053595"/>
    <n v="-37518.442219294302"/>
  </r>
  <r>
    <x v="0"/>
    <x v="0"/>
    <x v="1"/>
    <x v="3"/>
    <x v="13"/>
    <s v="SE3_HP"/>
    <x v="1"/>
    <x v="1"/>
    <x v="90"/>
    <x v="0"/>
    <x v="1"/>
    <n v="-34.495505023579497"/>
    <n v="-12590.859333606501"/>
    <n v="-45327.093600983499"/>
  </r>
  <r>
    <x v="0"/>
    <x v="0"/>
    <x v="1"/>
    <x v="3"/>
    <x v="13"/>
    <s v="SE3_HP"/>
    <x v="1"/>
    <x v="1"/>
    <x v="90"/>
    <x v="0"/>
    <x v="2"/>
    <n v="-35.130750928966599"/>
    <n v="-12822.724089072801"/>
    <n v="-46161.806720662098"/>
  </r>
  <r>
    <x v="0"/>
    <x v="0"/>
    <x v="1"/>
    <x v="3"/>
    <x v="13"/>
    <s v="SE3_HP"/>
    <x v="1"/>
    <x v="1"/>
    <x v="90"/>
    <x v="0"/>
    <x v="3"/>
    <n v="-49.883262539460397"/>
    <n v="-18207.390826903"/>
    <n v="-65546.606976850904"/>
  </r>
  <r>
    <x v="0"/>
    <x v="0"/>
    <x v="1"/>
    <x v="3"/>
    <x v="13"/>
    <s v="SE3_HP"/>
    <x v="1"/>
    <x v="1"/>
    <x v="90"/>
    <x v="0"/>
    <x v="4"/>
    <n v="-66.704490027314705"/>
    <n v="-24347.138859969898"/>
    <n v="-87649.699895891506"/>
  </r>
  <r>
    <x v="0"/>
    <x v="0"/>
    <x v="1"/>
    <x v="3"/>
    <x v="13"/>
    <s v="SE3_HP"/>
    <x v="1"/>
    <x v="1"/>
    <x v="90"/>
    <x v="0"/>
    <x v="5"/>
    <n v="-108.623664410982"/>
    <n v="-39647.637510008499"/>
    <n v="-142731.49503603001"/>
  </r>
  <r>
    <x v="0"/>
    <x v="0"/>
    <x v="1"/>
    <x v="3"/>
    <x v="13"/>
    <s v="SE3_HP"/>
    <x v="1"/>
    <x v="1"/>
    <x v="90"/>
    <x v="0"/>
    <x v="6"/>
    <n v="-188.751389298297"/>
    <n v="-68894.257093878303"/>
    <n v="-248019.32553796199"/>
  </r>
  <r>
    <x v="0"/>
    <x v="0"/>
    <x v="1"/>
    <x v="3"/>
    <x v="13"/>
    <s v="SE3_HP"/>
    <x v="1"/>
    <x v="1"/>
    <x v="90"/>
    <x v="0"/>
    <x v="7"/>
    <n v="-195.60483911189601"/>
    <n v="-71395.766275842107"/>
    <n v="-257024.758593031"/>
  </r>
  <r>
    <x v="0"/>
    <x v="0"/>
    <x v="1"/>
    <x v="3"/>
    <x v="13"/>
    <s v="SE3_HP"/>
    <x v="1"/>
    <x v="1"/>
    <x v="90"/>
    <x v="0"/>
    <x v="8"/>
    <n v="-195.60483911189601"/>
    <n v="-71395.766275842107"/>
    <n v="-257024.758593031"/>
  </r>
  <r>
    <x v="0"/>
    <x v="0"/>
    <x v="1"/>
    <x v="3"/>
    <x v="13"/>
    <s v="SE3_HP"/>
    <x v="1"/>
    <x v="1"/>
    <x v="90"/>
    <x v="0"/>
    <x v="9"/>
    <n v="-195.60483911189601"/>
    <n v="-71395.766275842107"/>
    <n v="-257024.758593031"/>
  </r>
  <r>
    <x v="0"/>
    <x v="0"/>
    <x v="1"/>
    <x v="3"/>
    <x v="13"/>
    <s v="SE3_HP"/>
    <x v="1"/>
    <x v="1"/>
    <x v="90"/>
    <x v="0"/>
    <x v="10"/>
    <n v="-195.60483911189601"/>
    <n v="-71395.766275842107"/>
    <n v="-257024.758593031"/>
  </r>
  <r>
    <x v="0"/>
    <x v="0"/>
    <x v="1"/>
    <x v="3"/>
    <x v="13"/>
    <s v="SE3_HP"/>
    <x v="1"/>
    <x v="1"/>
    <x v="90"/>
    <x v="0"/>
    <x v="11"/>
    <n v="-195.60483911189601"/>
    <n v="-71395.766275842107"/>
    <n v="-257024.758593031"/>
  </r>
  <r>
    <x v="0"/>
    <x v="0"/>
    <x v="1"/>
    <x v="3"/>
    <x v="13"/>
    <s v="SE3_HP"/>
    <x v="1"/>
    <x v="1"/>
    <x v="90"/>
    <x v="0"/>
    <x v="12"/>
    <n v="-195.60483911189601"/>
    <n v="-71395.766275842107"/>
    <n v="-257024.758593031"/>
  </r>
  <r>
    <x v="0"/>
    <x v="0"/>
    <x v="1"/>
    <x v="3"/>
    <x v="13"/>
    <s v="SE3_HP"/>
    <x v="1"/>
    <x v="1"/>
    <x v="90"/>
    <x v="0"/>
    <x v="13"/>
    <n v="-195.60483911189601"/>
    <n v="-71395.766275842107"/>
    <n v="-257024.758593031"/>
  </r>
  <r>
    <x v="0"/>
    <x v="0"/>
    <x v="1"/>
    <x v="3"/>
    <x v="13"/>
    <s v="SE3_HP"/>
    <x v="1"/>
    <x v="1"/>
    <x v="90"/>
    <x v="0"/>
    <x v="14"/>
    <n v="-195.60483911189601"/>
    <n v="-71395.766275842107"/>
    <n v="-257024.758593031"/>
  </r>
  <r>
    <x v="0"/>
    <x v="0"/>
    <x v="1"/>
    <x v="3"/>
    <x v="13"/>
    <s v="SE3_HP"/>
    <x v="1"/>
    <x v="1"/>
    <x v="90"/>
    <x v="0"/>
    <x v="15"/>
    <n v="-195.60483911189601"/>
    <n v="-71395.766275842107"/>
    <n v="-257024.758593031"/>
  </r>
  <r>
    <x v="0"/>
    <x v="0"/>
    <x v="1"/>
    <x v="3"/>
    <x v="13"/>
    <s v="SE3_HP"/>
    <x v="1"/>
    <x v="1"/>
    <x v="90"/>
    <x v="0"/>
    <x v="16"/>
    <n v="-195.60483911189601"/>
    <n v="-71395.766275842107"/>
    <n v="-257024.758593031"/>
  </r>
  <r>
    <x v="0"/>
    <x v="0"/>
    <x v="1"/>
    <x v="3"/>
    <x v="13"/>
    <s v="SE3_HP"/>
    <x v="1"/>
    <x v="1"/>
    <x v="90"/>
    <x v="0"/>
    <x v="17"/>
    <n v="-195.60483911189601"/>
    <n v="-71395.766275842107"/>
    <n v="-257024.758593031"/>
  </r>
  <r>
    <x v="0"/>
    <x v="0"/>
    <x v="1"/>
    <x v="3"/>
    <x v="13"/>
    <s v="SE3_HP"/>
    <x v="1"/>
    <x v="1"/>
    <x v="90"/>
    <x v="0"/>
    <x v="18"/>
    <n v="-195.60483911189601"/>
    <n v="-71395.766275842107"/>
    <n v="-257024.758593031"/>
  </r>
  <r>
    <x v="0"/>
    <x v="0"/>
    <x v="1"/>
    <x v="3"/>
    <x v="13"/>
    <s v="SE3_HP"/>
    <x v="1"/>
    <x v="1"/>
    <x v="90"/>
    <x v="0"/>
    <x v="19"/>
    <n v="-195.60483911189601"/>
    <n v="-71395.766275842107"/>
    <n v="-257024.758593031"/>
  </r>
  <r>
    <x v="0"/>
    <x v="0"/>
    <x v="1"/>
    <x v="3"/>
    <x v="13"/>
    <s v="SE3_HP"/>
    <x v="1"/>
    <x v="1"/>
    <x v="90"/>
    <x v="0"/>
    <x v="20"/>
    <n v="-189.48813587080701"/>
    <n v="-69163.169592844701"/>
    <n v="-248987.410534241"/>
  </r>
  <r>
    <x v="0"/>
    <x v="0"/>
    <x v="1"/>
    <x v="3"/>
    <x v="13"/>
    <s v="SE3_HP"/>
    <x v="1"/>
    <x v="1"/>
    <x v="90"/>
    <x v="0"/>
    <x v="21"/>
    <n v="-176.98880955497501"/>
    <n v="-64600.915487565697"/>
    <n v="-232563.29575523699"/>
  </r>
  <r>
    <x v="0"/>
    <x v="0"/>
    <x v="1"/>
    <x v="3"/>
    <x v="13"/>
    <s v="SE3_HP"/>
    <x v="1"/>
    <x v="1"/>
    <x v="90"/>
    <x v="0"/>
    <x v="22"/>
    <n v="-159.37876728007899"/>
    <n v="-58173.250057229001"/>
    <n v="-209423.70020602399"/>
  </r>
  <r>
    <x v="0"/>
    <x v="0"/>
    <x v="1"/>
    <x v="3"/>
    <x v="13"/>
    <s v="SE3_HP"/>
    <x v="1"/>
    <x v="1"/>
    <x v="90"/>
    <x v="0"/>
    <x v="23"/>
    <n v="-125.71298172090501"/>
    <n v="-45885.238328130203"/>
    <n v="-165186.85798126899"/>
  </r>
  <r>
    <x v="0"/>
    <x v="0"/>
    <x v="1"/>
    <x v="3"/>
    <x v="13"/>
    <s v="SE3_HP"/>
    <x v="13"/>
    <x v="0"/>
    <x v="74"/>
    <x v="0"/>
    <x v="7"/>
    <n v="3.5063125012443002"/>
    <n v="1279.8040629541699"/>
    <n v="4607.29462663502"/>
  </r>
  <r>
    <x v="0"/>
    <x v="0"/>
    <x v="1"/>
    <x v="3"/>
    <x v="13"/>
    <s v="SE3_HP"/>
    <x v="13"/>
    <x v="0"/>
    <x v="74"/>
    <x v="0"/>
    <x v="8"/>
    <n v="3.1458429960693701"/>
    <n v="1148.23269356532"/>
    <n v="4133.6376968351497"/>
  </r>
  <r>
    <x v="0"/>
    <x v="0"/>
    <x v="1"/>
    <x v="3"/>
    <x v="13"/>
    <s v="SE3_HP"/>
    <x v="13"/>
    <x v="0"/>
    <x v="74"/>
    <x v="0"/>
    <x v="9"/>
    <n v="1.97090296677056"/>
    <n v="719.37958287125605"/>
    <n v="2589.7664983365198"/>
  </r>
  <r>
    <x v="0"/>
    <x v="0"/>
    <x v="1"/>
    <x v="3"/>
    <x v="13"/>
    <s v="SE3_HP"/>
    <x v="13"/>
    <x v="0"/>
    <x v="74"/>
    <x v="0"/>
    <x v="10"/>
    <n v="3.6536459442098201"/>
    <n v="1333.58076963659"/>
    <n v="4800.8907706917098"/>
  </r>
  <r>
    <x v="0"/>
    <x v="0"/>
    <x v="1"/>
    <x v="3"/>
    <x v="13"/>
    <s v="SE3_HP"/>
    <x v="13"/>
    <x v="0"/>
    <x v="74"/>
    <x v="0"/>
    <x v="11"/>
    <n v="8.5840914783507198"/>
    <n v="3133.1933895980101"/>
    <n v="11279.4962025528"/>
  </r>
  <r>
    <x v="0"/>
    <x v="0"/>
    <x v="1"/>
    <x v="3"/>
    <x v="13"/>
    <s v="SE3_HP"/>
    <x v="13"/>
    <x v="0"/>
    <x v="74"/>
    <x v="0"/>
    <x v="12"/>
    <n v="7.4078524415952396"/>
    <n v="2703.86614118226"/>
    <n v="9733.9181082561499"/>
  </r>
  <r>
    <x v="0"/>
    <x v="0"/>
    <x v="1"/>
    <x v="3"/>
    <x v="13"/>
    <s v="SE3_HP"/>
    <x v="13"/>
    <x v="0"/>
    <x v="74"/>
    <x v="0"/>
    <x v="13"/>
    <n v="5.8478949958913402"/>
    <n v="2134.4816735003401"/>
    <n v="7684.1340246012196"/>
  </r>
  <r>
    <x v="0"/>
    <x v="0"/>
    <x v="1"/>
    <x v="3"/>
    <x v="13"/>
    <s v="SE3_HP"/>
    <x v="13"/>
    <x v="0"/>
    <x v="74"/>
    <x v="0"/>
    <x v="14"/>
    <n v="3.3041358930053502"/>
    <n v="1206.0096009469501"/>
    <n v="4341.6345634090403"/>
  </r>
  <r>
    <x v="0"/>
    <x v="0"/>
    <x v="1"/>
    <x v="3"/>
    <x v="13"/>
    <s v="SE3_HP"/>
    <x v="13"/>
    <x v="0"/>
    <x v="74"/>
    <x v="0"/>
    <x v="15"/>
    <n v="1.14134459329632"/>
    <n v="416.59077655315701"/>
    <n v="1499.7267955913701"/>
  </r>
  <r>
    <x v="0"/>
    <x v="0"/>
    <x v="1"/>
    <x v="3"/>
    <x v="13"/>
    <s v="SE3_OTHER"/>
    <x v="1"/>
    <x v="1"/>
    <x v="90"/>
    <x v="0"/>
    <x v="0"/>
    <n v="-738.88050623492904"/>
    <n v="-269691.384775749"/>
    <n v="-970888.98519269703"/>
  </r>
  <r>
    <x v="0"/>
    <x v="0"/>
    <x v="1"/>
    <x v="3"/>
    <x v="13"/>
    <s v="SE3_OTHER"/>
    <x v="1"/>
    <x v="1"/>
    <x v="90"/>
    <x v="0"/>
    <x v="1"/>
    <n v="-761.26424129629504"/>
    <n v="-277861.44807314803"/>
    <n v="-1000301.21306333"/>
  </r>
  <r>
    <x v="0"/>
    <x v="0"/>
    <x v="1"/>
    <x v="3"/>
    <x v="13"/>
    <s v="SE3_OTHER"/>
    <x v="1"/>
    <x v="1"/>
    <x v="90"/>
    <x v="0"/>
    <x v="2"/>
    <n v="-773.98465162044499"/>
    <n v="-282504.39784146199"/>
    <n v="-1017015.83222926"/>
  </r>
  <r>
    <x v="0"/>
    <x v="0"/>
    <x v="1"/>
    <x v="3"/>
    <x v="13"/>
    <s v="SE3_OTHER"/>
    <x v="1"/>
    <x v="1"/>
    <x v="90"/>
    <x v="0"/>
    <x v="3"/>
    <n v="-827.55284060954102"/>
    <n v="-302056.78682248201"/>
    <n v="-1087404.43256094"/>
  </r>
  <r>
    <x v="0"/>
    <x v="0"/>
    <x v="1"/>
    <x v="3"/>
    <x v="13"/>
    <s v="SE3_OTHER"/>
    <x v="1"/>
    <x v="1"/>
    <x v="90"/>
    <x v="0"/>
    <x v="4"/>
    <n v="-880.68297469538902"/>
    <n v="-321449.28576381702"/>
    <n v="-1157217.4287497399"/>
  </r>
  <r>
    <x v="0"/>
    <x v="0"/>
    <x v="1"/>
    <x v="3"/>
    <x v="13"/>
    <s v="SE3_OTHER"/>
    <x v="1"/>
    <x v="1"/>
    <x v="90"/>
    <x v="0"/>
    <x v="5"/>
    <n v="-932.50628887569098"/>
    <n v="-340364.79543962702"/>
    <n v="-1225313.2635826599"/>
  </r>
  <r>
    <x v="0"/>
    <x v="0"/>
    <x v="1"/>
    <x v="3"/>
    <x v="13"/>
    <s v="SE3_OTHER"/>
    <x v="1"/>
    <x v="1"/>
    <x v="90"/>
    <x v="0"/>
    <x v="6"/>
    <n v="-932.50628887569098"/>
    <n v="-340364.79543962702"/>
    <n v="-1225313.2635826599"/>
  </r>
  <r>
    <x v="0"/>
    <x v="0"/>
    <x v="1"/>
    <x v="3"/>
    <x v="13"/>
    <s v="SE3_OTHER"/>
    <x v="1"/>
    <x v="1"/>
    <x v="90"/>
    <x v="0"/>
    <x v="7"/>
    <n v="-932.50628887569098"/>
    <n v="-340364.79543962702"/>
    <n v="-1225313.2635826599"/>
  </r>
  <r>
    <x v="0"/>
    <x v="0"/>
    <x v="1"/>
    <x v="3"/>
    <x v="13"/>
    <s v="SE3_OTHER"/>
    <x v="1"/>
    <x v="1"/>
    <x v="90"/>
    <x v="0"/>
    <x v="8"/>
    <n v="-932.50628887569098"/>
    <n v="-340364.79543962702"/>
    <n v="-1225313.2635826599"/>
  </r>
  <r>
    <x v="0"/>
    <x v="0"/>
    <x v="1"/>
    <x v="3"/>
    <x v="13"/>
    <s v="SE3_OTHER"/>
    <x v="1"/>
    <x v="1"/>
    <x v="90"/>
    <x v="0"/>
    <x v="9"/>
    <n v="-932.50628887569098"/>
    <n v="-340364.79543962702"/>
    <n v="-1225313.2635826599"/>
  </r>
  <r>
    <x v="0"/>
    <x v="0"/>
    <x v="1"/>
    <x v="3"/>
    <x v="13"/>
    <s v="SE3_OTHER"/>
    <x v="1"/>
    <x v="1"/>
    <x v="90"/>
    <x v="0"/>
    <x v="10"/>
    <n v="-932.50628887569098"/>
    <n v="-340364.79543962702"/>
    <n v="-1225313.2635826599"/>
  </r>
  <r>
    <x v="0"/>
    <x v="0"/>
    <x v="1"/>
    <x v="3"/>
    <x v="13"/>
    <s v="SE3_OTHER"/>
    <x v="1"/>
    <x v="1"/>
    <x v="90"/>
    <x v="0"/>
    <x v="11"/>
    <n v="-932.50628887569098"/>
    <n v="-340364.79543962702"/>
    <n v="-1225313.2635826599"/>
  </r>
  <r>
    <x v="0"/>
    <x v="0"/>
    <x v="1"/>
    <x v="3"/>
    <x v="13"/>
    <s v="SE3_OTHER"/>
    <x v="1"/>
    <x v="1"/>
    <x v="90"/>
    <x v="0"/>
    <x v="12"/>
    <n v="-932.50628887569098"/>
    <n v="-340364.79543962702"/>
    <n v="-1225313.2635826599"/>
  </r>
  <r>
    <x v="0"/>
    <x v="0"/>
    <x v="1"/>
    <x v="3"/>
    <x v="13"/>
    <s v="SE3_OTHER"/>
    <x v="1"/>
    <x v="1"/>
    <x v="90"/>
    <x v="0"/>
    <x v="13"/>
    <n v="-932.50628887569098"/>
    <n v="-340364.79543962702"/>
    <n v="-1225313.2635826599"/>
  </r>
  <r>
    <x v="0"/>
    <x v="0"/>
    <x v="1"/>
    <x v="3"/>
    <x v="13"/>
    <s v="SE3_OTHER"/>
    <x v="1"/>
    <x v="1"/>
    <x v="90"/>
    <x v="0"/>
    <x v="14"/>
    <n v="-932.50628887569098"/>
    <n v="-340364.79543962702"/>
    <n v="-1225313.2635826599"/>
  </r>
  <r>
    <x v="0"/>
    <x v="0"/>
    <x v="1"/>
    <x v="3"/>
    <x v="13"/>
    <s v="SE3_OTHER"/>
    <x v="1"/>
    <x v="1"/>
    <x v="90"/>
    <x v="0"/>
    <x v="15"/>
    <n v="-932.50628887569098"/>
    <n v="-340364.79543962702"/>
    <n v="-1225313.2635826599"/>
  </r>
  <r>
    <x v="0"/>
    <x v="0"/>
    <x v="1"/>
    <x v="3"/>
    <x v="13"/>
    <s v="SE3_OTHER"/>
    <x v="1"/>
    <x v="1"/>
    <x v="90"/>
    <x v="0"/>
    <x v="16"/>
    <n v="-932.50628887569098"/>
    <n v="-340364.79543962702"/>
    <n v="-1225313.2635826599"/>
  </r>
  <r>
    <x v="0"/>
    <x v="0"/>
    <x v="1"/>
    <x v="3"/>
    <x v="13"/>
    <s v="SE3_OTHER"/>
    <x v="1"/>
    <x v="1"/>
    <x v="90"/>
    <x v="0"/>
    <x v="17"/>
    <n v="-932.50628887569098"/>
    <n v="-340364.79543962702"/>
    <n v="-1225313.2635826599"/>
  </r>
  <r>
    <x v="0"/>
    <x v="0"/>
    <x v="1"/>
    <x v="3"/>
    <x v="13"/>
    <s v="SE3_OTHER"/>
    <x v="1"/>
    <x v="1"/>
    <x v="90"/>
    <x v="0"/>
    <x v="18"/>
    <n v="-932.50628887569098"/>
    <n v="-340364.79543962702"/>
    <n v="-1225313.2635826599"/>
  </r>
  <r>
    <x v="0"/>
    <x v="0"/>
    <x v="1"/>
    <x v="3"/>
    <x v="13"/>
    <s v="SE3_OTHER"/>
    <x v="1"/>
    <x v="1"/>
    <x v="90"/>
    <x v="0"/>
    <x v="19"/>
    <n v="-932.50628887569098"/>
    <n v="-340364.79543962702"/>
    <n v="-1225313.2635826599"/>
  </r>
  <r>
    <x v="0"/>
    <x v="0"/>
    <x v="1"/>
    <x v="3"/>
    <x v="13"/>
    <s v="SE3_OTHER"/>
    <x v="1"/>
    <x v="1"/>
    <x v="90"/>
    <x v="0"/>
    <x v="20"/>
    <n v="-932.50628887569098"/>
    <n v="-340364.79543962702"/>
    <n v="-1225313.2635826599"/>
  </r>
  <r>
    <x v="0"/>
    <x v="0"/>
    <x v="1"/>
    <x v="3"/>
    <x v="13"/>
    <s v="SE3_OTHER"/>
    <x v="1"/>
    <x v="1"/>
    <x v="90"/>
    <x v="0"/>
    <x v="21"/>
    <n v="-932.50628887569098"/>
    <n v="-340364.79543962702"/>
    <n v="-1225313.2635826599"/>
  </r>
  <r>
    <x v="0"/>
    <x v="0"/>
    <x v="1"/>
    <x v="3"/>
    <x v="13"/>
    <s v="SE3_OTHER"/>
    <x v="1"/>
    <x v="1"/>
    <x v="90"/>
    <x v="0"/>
    <x v="22"/>
    <n v="-914.76652139586099"/>
    <n v="-333889.780309489"/>
    <n v="-1202003.2091141599"/>
  </r>
  <r>
    <x v="0"/>
    <x v="0"/>
    <x v="1"/>
    <x v="3"/>
    <x v="13"/>
    <s v="SE3_OTHER"/>
    <x v="1"/>
    <x v="1"/>
    <x v="90"/>
    <x v="0"/>
    <x v="23"/>
    <n v="-830.595426342525"/>
    <n v="-303167.33061502199"/>
    <n v="-1091402.39021408"/>
  </r>
  <r>
    <x v="0"/>
    <x v="0"/>
    <x v="1"/>
    <x v="3"/>
    <x v="13"/>
    <s v="SE3_OTHER"/>
    <x v="2"/>
    <x v="2"/>
    <x v="61"/>
    <x v="0"/>
    <x v="7"/>
    <n v="22.071249717684399"/>
    <n v="8056.00614695481"/>
    <n v="29001.6221290373"/>
  </r>
  <r>
    <x v="0"/>
    <x v="0"/>
    <x v="1"/>
    <x v="3"/>
    <x v="13"/>
    <s v="SE3_OTHER"/>
    <x v="2"/>
    <x v="2"/>
    <x v="61"/>
    <x v="0"/>
    <x v="8"/>
    <n v="14.922042178120799"/>
    <n v="5446.54539501408"/>
    <n v="19607.563422050702"/>
  </r>
  <r>
    <x v="0"/>
    <x v="0"/>
    <x v="1"/>
    <x v="3"/>
    <x v="13"/>
    <s v="SE3_STO"/>
    <x v="1"/>
    <x v="1"/>
    <x v="58"/>
    <x v="0"/>
    <x v="0"/>
    <n v="-224.30901529641599"/>
    <n v="-81872.790583191905"/>
    <n v="-294742.04609949101"/>
  </r>
  <r>
    <x v="0"/>
    <x v="0"/>
    <x v="1"/>
    <x v="3"/>
    <x v="13"/>
    <s v="SE3_STO"/>
    <x v="1"/>
    <x v="1"/>
    <x v="58"/>
    <x v="0"/>
    <x v="1"/>
    <n v="-343.87755102040802"/>
    <n v="-125515.30612244899"/>
    <n v="-451855.10204081598"/>
  </r>
  <r>
    <x v="0"/>
    <x v="0"/>
    <x v="1"/>
    <x v="3"/>
    <x v="13"/>
    <s v="SE3_STO"/>
    <x v="1"/>
    <x v="1"/>
    <x v="58"/>
    <x v="0"/>
    <x v="2"/>
    <n v="-343.87755102040802"/>
    <n v="-125515.30612244899"/>
    <n v="-451855.10204081598"/>
  </r>
  <r>
    <x v="0"/>
    <x v="0"/>
    <x v="1"/>
    <x v="3"/>
    <x v="13"/>
    <s v="SE3_STO"/>
    <x v="1"/>
    <x v="1"/>
    <x v="58"/>
    <x v="0"/>
    <x v="3"/>
    <n v="-343.87755102040802"/>
    <n v="-125515.30612244899"/>
    <n v="-451855.10204081598"/>
  </r>
  <r>
    <x v="0"/>
    <x v="0"/>
    <x v="1"/>
    <x v="3"/>
    <x v="13"/>
    <s v="SE3_STO"/>
    <x v="1"/>
    <x v="1"/>
    <x v="58"/>
    <x v="0"/>
    <x v="4"/>
    <n v="-343.87755102040802"/>
    <n v="-125515.30612244899"/>
    <n v="-451855.10204081598"/>
  </r>
  <r>
    <x v="0"/>
    <x v="0"/>
    <x v="1"/>
    <x v="3"/>
    <x v="13"/>
    <s v="SE3_STO"/>
    <x v="1"/>
    <x v="1"/>
    <x v="58"/>
    <x v="0"/>
    <x v="5"/>
    <n v="-343.87755102040802"/>
    <n v="-125515.30612244899"/>
    <n v="-451855.10204081598"/>
  </r>
  <r>
    <x v="0"/>
    <x v="0"/>
    <x v="1"/>
    <x v="3"/>
    <x v="13"/>
    <s v="SE3_STO"/>
    <x v="1"/>
    <x v="1"/>
    <x v="58"/>
    <x v="0"/>
    <x v="6"/>
    <n v="-343.87755102040802"/>
    <n v="-125515.30612244899"/>
    <n v="-451855.10204081598"/>
  </r>
  <r>
    <x v="0"/>
    <x v="0"/>
    <x v="1"/>
    <x v="3"/>
    <x v="13"/>
    <s v="SE3_STO"/>
    <x v="1"/>
    <x v="1"/>
    <x v="58"/>
    <x v="0"/>
    <x v="7"/>
    <n v="-343.87755102040802"/>
    <n v="-125515.30612244899"/>
    <n v="-451855.10204081598"/>
  </r>
  <r>
    <x v="0"/>
    <x v="0"/>
    <x v="1"/>
    <x v="3"/>
    <x v="13"/>
    <s v="SE3_STO"/>
    <x v="1"/>
    <x v="1"/>
    <x v="58"/>
    <x v="0"/>
    <x v="8"/>
    <n v="-343.87755102040802"/>
    <n v="-125515.30612244899"/>
    <n v="-451855.10204081598"/>
  </r>
  <r>
    <x v="0"/>
    <x v="0"/>
    <x v="1"/>
    <x v="3"/>
    <x v="13"/>
    <s v="SE3_STO"/>
    <x v="1"/>
    <x v="1"/>
    <x v="58"/>
    <x v="0"/>
    <x v="9"/>
    <n v="-343.87755102040802"/>
    <n v="-125515.30612244899"/>
    <n v="-451855.10204081598"/>
  </r>
  <r>
    <x v="0"/>
    <x v="0"/>
    <x v="1"/>
    <x v="3"/>
    <x v="13"/>
    <s v="SE3_STO"/>
    <x v="1"/>
    <x v="1"/>
    <x v="58"/>
    <x v="0"/>
    <x v="10"/>
    <n v="-343.87755102040802"/>
    <n v="-125515.30612244899"/>
    <n v="-451855.10204081598"/>
  </r>
  <r>
    <x v="0"/>
    <x v="0"/>
    <x v="1"/>
    <x v="3"/>
    <x v="13"/>
    <s v="SE3_STO"/>
    <x v="1"/>
    <x v="1"/>
    <x v="58"/>
    <x v="0"/>
    <x v="11"/>
    <n v="-343.87755102040802"/>
    <n v="-125515.30612244899"/>
    <n v="-451855.10204081598"/>
  </r>
  <r>
    <x v="0"/>
    <x v="0"/>
    <x v="1"/>
    <x v="3"/>
    <x v="13"/>
    <s v="SE3_STO"/>
    <x v="1"/>
    <x v="1"/>
    <x v="58"/>
    <x v="0"/>
    <x v="12"/>
    <n v="-343.87755102040802"/>
    <n v="-125515.30612244899"/>
    <n v="-451855.10204081598"/>
  </r>
  <r>
    <x v="0"/>
    <x v="0"/>
    <x v="1"/>
    <x v="3"/>
    <x v="13"/>
    <s v="SE3_STO"/>
    <x v="1"/>
    <x v="1"/>
    <x v="58"/>
    <x v="0"/>
    <x v="13"/>
    <n v="-343.87755102040802"/>
    <n v="-125515.30612244899"/>
    <n v="-451855.10204081598"/>
  </r>
  <r>
    <x v="0"/>
    <x v="0"/>
    <x v="1"/>
    <x v="3"/>
    <x v="13"/>
    <s v="SE3_STO"/>
    <x v="1"/>
    <x v="1"/>
    <x v="58"/>
    <x v="0"/>
    <x v="14"/>
    <n v="-343.87755102040802"/>
    <n v="-125515.30612244899"/>
    <n v="-451855.10204081598"/>
  </r>
  <r>
    <x v="0"/>
    <x v="0"/>
    <x v="1"/>
    <x v="3"/>
    <x v="13"/>
    <s v="SE3_STO"/>
    <x v="1"/>
    <x v="1"/>
    <x v="58"/>
    <x v="0"/>
    <x v="15"/>
    <n v="-343.87755102040802"/>
    <n v="-125515.30612244899"/>
    <n v="-451855.10204081598"/>
  </r>
  <r>
    <x v="0"/>
    <x v="0"/>
    <x v="1"/>
    <x v="3"/>
    <x v="13"/>
    <s v="SE3_STO"/>
    <x v="1"/>
    <x v="1"/>
    <x v="58"/>
    <x v="0"/>
    <x v="16"/>
    <n v="-343.87755102040802"/>
    <n v="-125515.30612244899"/>
    <n v="-451855.10204081598"/>
  </r>
  <r>
    <x v="0"/>
    <x v="0"/>
    <x v="1"/>
    <x v="3"/>
    <x v="13"/>
    <s v="SE3_STO"/>
    <x v="1"/>
    <x v="1"/>
    <x v="58"/>
    <x v="0"/>
    <x v="17"/>
    <n v="-343.87755102040802"/>
    <n v="-125515.30612244899"/>
    <n v="-451855.10204081598"/>
  </r>
  <r>
    <x v="0"/>
    <x v="0"/>
    <x v="1"/>
    <x v="3"/>
    <x v="13"/>
    <s v="SE3_STO"/>
    <x v="1"/>
    <x v="1"/>
    <x v="58"/>
    <x v="0"/>
    <x v="18"/>
    <n v="-343.87755102040802"/>
    <n v="-125515.30612244899"/>
    <n v="-451855.10204081598"/>
  </r>
  <r>
    <x v="0"/>
    <x v="0"/>
    <x v="1"/>
    <x v="3"/>
    <x v="13"/>
    <s v="SE3_STO"/>
    <x v="1"/>
    <x v="1"/>
    <x v="58"/>
    <x v="0"/>
    <x v="19"/>
    <n v="-343.87755102040802"/>
    <n v="-125515.30612244899"/>
    <n v="-451855.10204081598"/>
  </r>
  <r>
    <x v="0"/>
    <x v="0"/>
    <x v="1"/>
    <x v="3"/>
    <x v="13"/>
    <s v="SE3_STO"/>
    <x v="1"/>
    <x v="1"/>
    <x v="58"/>
    <x v="0"/>
    <x v="20"/>
    <n v="-343.87755102040802"/>
    <n v="-125515.30612244899"/>
    <n v="-451855.10204081598"/>
  </r>
  <r>
    <x v="0"/>
    <x v="0"/>
    <x v="1"/>
    <x v="3"/>
    <x v="13"/>
    <s v="SE3_STO"/>
    <x v="1"/>
    <x v="1"/>
    <x v="58"/>
    <x v="0"/>
    <x v="21"/>
    <n v="-343.87755102040802"/>
    <n v="-125515.30612244899"/>
    <n v="-451855.10204081598"/>
  </r>
  <r>
    <x v="0"/>
    <x v="0"/>
    <x v="1"/>
    <x v="3"/>
    <x v="13"/>
    <s v="SE3_STO"/>
    <x v="1"/>
    <x v="1"/>
    <x v="58"/>
    <x v="0"/>
    <x v="22"/>
    <n v="-343.87755102040802"/>
    <n v="-125515.30612244899"/>
    <n v="-451855.10204081598"/>
  </r>
  <r>
    <x v="0"/>
    <x v="0"/>
    <x v="1"/>
    <x v="3"/>
    <x v="13"/>
    <s v="SE3_STO"/>
    <x v="1"/>
    <x v="1"/>
    <x v="58"/>
    <x v="0"/>
    <x v="23"/>
    <n v="-343.87755102040802"/>
    <n v="-125515.30612244899"/>
    <n v="-451855.10204081598"/>
  </r>
  <r>
    <x v="0"/>
    <x v="0"/>
    <x v="1"/>
    <x v="3"/>
    <x v="13"/>
    <s v="SE3_STO"/>
    <x v="1"/>
    <x v="1"/>
    <x v="67"/>
    <x v="0"/>
    <x v="0"/>
    <n v="-102.727272727273"/>
    <n v="-37495.454545454602"/>
    <n v="-134983.636363636"/>
  </r>
  <r>
    <x v="0"/>
    <x v="0"/>
    <x v="1"/>
    <x v="3"/>
    <x v="13"/>
    <s v="SE3_STO"/>
    <x v="1"/>
    <x v="1"/>
    <x v="67"/>
    <x v="0"/>
    <x v="1"/>
    <n v="-70.462739523901007"/>
    <n v="-25718.899926223901"/>
    <n v="-92588.039734406004"/>
  </r>
  <r>
    <x v="0"/>
    <x v="0"/>
    <x v="1"/>
    <x v="3"/>
    <x v="13"/>
    <s v="SE3_STO"/>
    <x v="1"/>
    <x v="1"/>
    <x v="67"/>
    <x v="0"/>
    <x v="2"/>
    <n v="-70.3524092069826"/>
    <n v="-25678.629360548599"/>
    <n v="-92443.065697975093"/>
  </r>
  <r>
    <x v="0"/>
    <x v="0"/>
    <x v="1"/>
    <x v="3"/>
    <x v="13"/>
    <s v="SE3_STO"/>
    <x v="1"/>
    <x v="1"/>
    <x v="67"/>
    <x v="0"/>
    <x v="3"/>
    <n v="-76.032685159430997"/>
    <n v="-27751.930083192299"/>
    <n v="-99906.948299492302"/>
  </r>
  <r>
    <x v="0"/>
    <x v="0"/>
    <x v="1"/>
    <x v="3"/>
    <x v="13"/>
    <s v="SE3_STO"/>
    <x v="1"/>
    <x v="1"/>
    <x v="67"/>
    <x v="0"/>
    <x v="4"/>
    <n v="-82.845510258152203"/>
    <n v="-30238.611244225602"/>
    <n v="-108859.000479212"/>
  </r>
  <r>
    <x v="0"/>
    <x v="0"/>
    <x v="1"/>
    <x v="3"/>
    <x v="13"/>
    <s v="SE3_STO"/>
    <x v="1"/>
    <x v="1"/>
    <x v="67"/>
    <x v="0"/>
    <x v="5"/>
    <n v="-102.727272727273"/>
    <n v="-37495.454545454602"/>
    <n v="-134983.636363636"/>
  </r>
  <r>
    <x v="0"/>
    <x v="0"/>
    <x v="1"/>
    <x v="3"/>
    <x v="13"/>
    <s v="SE3_STO"/>
    <x v="1"/>
    <x v="1"/>
    <x v="67"/>
    <x v="0"/>
    <x v="6"/>
    <n v="-102.727272727273"/>
    <n v="-37495.454545454602"/>
    <n v="-134983.636363636"/>
  </r>
  <r>
    <x v="0"/>
    <x v="0"/>
    <x v="1"/>
    <x v="3"/>
    <x v="13"/>
    <s v="SE3_STO"/>
    <x v="1"/>
    <x v="1"/>
    <x v="67"/>
    <x v="0"/>
    <x v="7"/>
    <n v="-102.727272727273"/>
    <n v="-37495.454545454602"/>
    <n v="-134983.636363636"/>
  </r>
  <r>
    <x v="0"/>
    <x v="0"/>
    <x v="1"/>
    <x v="3"/>
    <x v="13"/>
    <s v="SE3_STO"/>
    <x v="1"/>
    <x v="1"/>
    <x v="67"/>
    <x v="0"/>
    <x v="8"/>
    <n v="-102.727272727273"/>
    <n v="-37495.454545454602"/>
    <n v="-134983.636363636"/>
  </r>
  <r>
    <x v="0"/>
    <x v="0"/>
    <x v="1"/>
    <x v="3"/>
    <x v="13"/>
    <s v="SE3_STO"/>
    <x v="1"/>
    <x v="1"/>
    <x v="67"/>
    <x v="0"/>
    <x v="9"/>
    <n v="-102.727272727273"/>
    <n v="-37495.454545454602"/>
    <n v="-134983.636363636"/>
  </r>
  <r>
    <x v="0"/>
    <x v="0"/>
    <x v="1"/>
    <x v="3"/>
    <x v="13"/>
    <s v="SE3_STO"/>
    <x v="1"/>
    <x v="1"/>
    <x v="67"/>
    <x v="0"/>
    <x v="10"/>
    <n v="-102.727272727273"/>
    <n v="-37495.454545454602"/>
    <n v="-134983.636363636"/>
  </r>
  <r>
    <x v="0"/>
    <x v="0"/>
    <x v="1"/>
    <x v="3"/>
    <x v="13"/>
    <s v="SE3_STO"/>
    <x v="1"/>
    <x v="1"/>
    <x v="67"/>
    <x v="0"/>
    <x v="11"/>
    <n v="-102.727272727273"/>
    <n v="-37495.454545454602"/>
    <n v="-134983.636363636"/>
  </r>
  <r>
    <x v="0"/>
    <x v="0"/>
    <x v="1"/>
    <x v="3"/>
    <x v="13"/>
    <s v="SE3_STO"/>
    <x v="1"/>
    <x v="1"/>
    <x v="67"/>
    <x v="0"/>
    <x v="12"/>
    <n v="-102.727272727273"/>
    <n v="-37495.454545454602"/>
    <n v="-134983.636363636"/>
  </r>
  <r>
    <x v="0"/>
    <x v="0"/>
    <x v="1"/>
    <x v="3"/>
    <x v="13"/>
    <s v="SE3_STO"/>
    <x v="1"/>
    <x v="1"/>
    <x v="67"/>
    <x v="0"/>
    <x v="13"/>
    <n v="-102.727272727273"/>
    <n v="-37495.454545454602"/>
    <n v="-134983.636363636"/>
  </r>
  <r>
    <x v="0"/>
    <x v="0"/>
    <x v="1"/>
    <x v="3"/>
    <x v="13"/>
    <s v="SE3_STO"/>
    <x v="1"/>
    <x v="1"/>
    <x v="67"/>
    <x v="0"/>
    <x v="14"/>
    <n v="-102.727272727273"/>
    <n v="-37495.454545454602"/>
    <n v="-134983.636363636"/>
  </r>
  <r>
    <x v="0"/>
    <x v="0"/>
    <x v="1"/>
    <x v="3"/>
    <x v="13"/>
    <s v="SE3_STO"/>
    <x v="1"/>
    <x v="1"/>
    <x v="67"/>
    <x v="0"/>
    <x v="15"/>
    <n v="-102.727272727273"/>
    <n v="-37495.454545454602"/>
    <n v="-134983.636363636"/>
  </r>
  <r>
    <x v="0"/>
    <x v="0"/>
    <x v="1"/>
    <x v="3"/>
    <x v="13"/>
    <s v="SE3_STO"/>
    <x v="1"/>
    <x v="1"/>
    <x v="67"/>
    <x v="0"/>
    <x v="16"/>
    <n v="-102.727272727273"/>
    <n v="-37495.454545454602"/>
    <n v="-134983.636363636"/>
  </r>
  <r>
    <x v="0"/>
    <x v="0"/>
    <x v="1"/>
    <x v="3"/>
    <x v="13"/>
    <s v="SE3_STO"/>
    <x v="1"/>
    <x v="1"/>
    <x v="67"/>
    <x v="0"/>
    <x v="17"/>
    <n v="-102.727272727273"/>
    <n v="-37495.454545454602"/>
    <n v="-134983.636363636"/>
  </r>
  <r>
    <x v="0"/>
    <x v="0"/>
    <x v="1"/>
    <x v="3"/>
    <x v="13"/>
    <s v="SE3_STO"/>
    <x v="1"/>
    <x v="1"/>
    <x v="67"/>
    <x v="0"/>
    <x v="18"/>
    <n v="-102.727272727273"/>
    <n v="-37495.454545454602"/>
    <n v="-134983.636363636"/>
  </r>
  <r>
    <x v="0"/>
    <x v="0"/>
    <x v="1"/>
    <x v="3"/>
    <x v="13"/>
    <s v="SE3_STO"/>
    <x v="1"/>
    <x v="1"/>
    <x v="67"/>
    <x v="0"/>
    <x v="19"/>
    <n v="-102.727272727273"/>
    <n v="-37495.454545454602"/>
    <n v="-134983.636363636"/>
  </r>
  <r>
    <x v="0"/>
    <x v="0"/>
    <x v="1"/>
    <x v="3"/>
    <x v="13"/>
    <s v="SE3_STO"/>
    <x v="1"/>
    <x v="1"/>
    <x v="67"/>
    <x v="0"/>
    <x v="20"/>
    <n v="-102.727272727273"/>
    <n v="-37495.454545454602"/>
    <n v="-134983.636363636"/>
  </r>
  <r>
    <x v="0"/>
    <x v="0"/>
    <x v="1"/>
    <x v="3"/>
    <x v="13"/>
    <s v="SE3_STO"/>
    <x v="1"/>
    <x v="1"/>
    <x v="67"/>
    <x v="0"/>
    <x v="21"/>
    <n v="-102.727272727273"/>
    <n v="-37495.454545454602"/>
    <n v="-134983.636363636"/>
  </r>
  <r>
    <x v="0"/>
    <x v="0"/>
    <x v="1"/>
    <x v="3"/>
    <x v="13"/>
    <s v="SE3_STO"/>
    <x v="1"/>
    <x v="1"/>
    <x v="67"/>
    <x v="0"/>
    <x v="22"/>
    <n v="-102.727272727273"/>
    <n v="-37495.454545454602"/>
    <n v="-134983.636363636"/>
  </r>
  <r>
    <x v="0"/>
    <x v="0"/>
    <x v="1"/>
    <x v="3"/>
    <x v="13"/>
    <s v="SE3_STO"/>
    <x v="1"/>
    <x v="1"/>
    <x v="67"/>
    <x v="0"/>
    <x v="23"/>
    <n v="-102.727272727273"/>
    <n v="-37495.454545454602"/>
    <n v="-134983.636363636"/>
  </r>
  <r>
    <x v="0"/>
    <x v="0"/>
    <x v="1"/>
    <x v="3"/>
    <x v="13"/>
    <s v="SE3_STO"/>
    <x v="1"/>
    <x v="1"/>
    <x v="90"/>
    <x v="0"/>
    <x v="6"/>
    <n v="-72.383096835296598"/>
    <n v="-26419.830344883299"/>
    <n v="-95111.389241579804"/>
  </r>
  <r>
    <x v="0"/>
    <x v="0"/>
    <x v="1"/>
    <x v="3"/>
    <x v="13"/>
    <s v="SE3_STO"/>
    <x v="1"/>
    <x v="1"/>
    <x v="90"/>
    <x v="0"/>
    <x v="7"/>
    <n v="-128.588803371176"/>
    <n v="-46934.913230479098"/>
    <n v="-168965.687629725"/>
  </r>
  <r>
    <x v="0"/>
    <x v="0"/>
    <x v="1"/>
    <x v="3"/>
    <x v="13"/>
    <s v="SE3_STO"/>
    <x v="1"/>
    <x v="1"/>
    <x v="90"/>
    <x v="0"/>
    <x v="8"/>
    <n v="-126.88056410734799"/>
    <n v="-46311.4058991821"/>
    <n v="-166721.06123705601"/>
  </r>
  <r>
    <x v="0"/>
    <x v="0"/>
    <x v="1"/>
    <x v="3"/>
    <x v="13"/>
    <s v="SE3_STO"/>
    <x v="1"/>
    <x v="1"/>
    <x v="90"/>
    <x v="0"/>
    <x v="9"/>
    <n v="-121.705864841333"/>
    <n v="-44422.640667086504"/>
    <n v="-159921.506401511"/>
  </r>
  <r>
    <x v="0"/>
    <x v="0"/>
    <x v="1"/>
    <x v="3"/>
    <x v="13"/>
    <s v="SE3_STO"/>
    <x v="1"/>
    <x v="1"/>
    <x v="90"/>
    <x v="0"/>
    <x v="10"/>
    <n v="-128.588803371176"/>
    <n v="-46934.913230479098"/>
    <n v="-168965.687629725"/>
  </r>
  <r>
    <x v="0"/>
    <x v="0"/>
    <x v="1"/>
    <x v="3"/>
    <x v="13"/>
    <s v="SE3_STO"/>
    <x v="1"/>
    <x v="1"/>
    <x v="90"/>
    <x v="0"/>
    <x v="11"/>
    <n v="-128.588803371176"/>
    <n v="-46934.913230479098"/>
    <n v="-168965.687629725"/>
  </r>
  <r>
    <x v="0"/>
    <x v="0"/>
    <x v="1"/>
    <x v="3"/>
    <x v="13"/>
    <s v="SE3_STO"/>
    <x v="1"/>
    <x v="1"/>
    <x v="90"/>
    <x v="0"/>
    <x v="12"/>
    <n v="-128.588803371176"/>
    <n v="-46934.913230479098"/>
    <n v="-168965.687629725"/>
  </r>
  <r>
    <x v="0"/>
    <x v="0"/>
    <x v="1"/>
    <x v="3"/>
    <x v="13"/>
    <s v="SE3_STO"/>
    <x v="1"/>
    <x v="1"/>
    <x v="90"/>
    <x v="0"/>
    <x v="13"/>
    <n v="-128.588803371176"/>
    <n v="-46934.913230479098"/>
    <n v="-168965.687629725"/>
  </r>
  <r>
    <x v="0"/>
    <x v="0"/>
    <x v="1"/>
    <x v="3"/>
    <x v="13"/>
    <s v="SE3_STO"/>
    <x v="1"/>
    <x v="1"/>
    <x v="90"/>
    <x v="0"/>
    <x v="14"/>
    <n v="-128.588803371176"/>
    <n v="-46934.913230479098"/>
    <n v="-168965.687629725"/>
  </r>
  <r>
    <x v="0"/>
    <x v="0"/>
    <x v="1"/>
    <x v="3"/>
    <x v="13"/>
    <s v="SE3_STO"/>
    <x v="1"/>
    <x v="1"/>
    <x v="90"/>
    <x v="0"/>
    <x v="15"/>
    <n v="-126.49187141685501"/>
    <n v="-46169.533067152101"/>
    <n v="-166210.31904174801"/>
  </r>
  <r>
    <x v="0"/>
    <x v="0"/>
    <x v="1"/>
    <x v="3"/>
    <x v="13"/>
    <s v="SE3_STO"/>
    <x v="1"/>
    <x v="1"/>
    <x v="90"/>
    <x v="0"/>
    <x v="16"/>
    <n v="-128.588803371176"/>
    <n v="-46934.913230479098"/>
    <n v="-168965.687629725"/>
  </r>
  <r>
    <x v="0"/>
    <x v="0"/>
    <x v="1"/>
    <x v="3"/>
    <x v="13"/>
    <s v="SE3_STO"/>
    <x v="1"/>
    <x v="1"/>
    <x v="90"/>
    <x v="0"/>
    <x v="17"/>
    <n v="-128.588803371176"/>
    <n v="-46934.913230479098"/>
    <n v="-168965.687629725"/>
  </r>
  <r>
    <x v="0"/>
    <x v="0"/>
    <x v="1"/>
    <x v="3"/>
    <x v="13"/>
    <s v="SE3_STO"/>
    <x v="1"/>
    <x v="1"/>
    <x v="90"/>
    <x v="0"/>
    <x v="18"/>
    <n v="-123.367533336755"/>
    <n v="-45029.149667915699"/>
    <n v="-162104.93880449701"/>
  </r>
  <r>
    <x v="0"/>
    <x v="0"/>
    <x v="1"/>
    <x v="3"/>
    <x v="13"/>
    <s v="SE3_STO"/>
    <x v="1"/>
    <x v="1"/>
    <x v="90"/>
    <x v="0"/>
    <x v="19"/>
    <n v="-122.475901762581"/>
    <n v="-44703.704143342104"/>
    <n v="-160933.33491603201"/>
  </r>
  <r>
    <x v="0"/>
    <x v="0"/>
    <x v="1"/>
    <x v="3"/>
    <x v="13"/>
    <s v="SE3_STO"/>
    <x v="1"/>
    <x v="1"/>
    <x v="90"/>
    <x v="0"/>
    <x v="20"/>
    <n v="-103.72988775914"/>
    <n v="-37861.409032085998"/>
    <n v="-136301.07251550999"/>
  </r>
  <r>
    <x v="0"/>
    <x v="0"/>
    <x v="1"/>
    <x v="3"/>
    <x v="13"/>
    <s v="SE3_STO"/>
    <x v="1"/>
    <x v="1"/>
    <x v="90"/>
    <x v="0"/>
    <x v="21"/>
    <n v="-79.8145957762232"/>
    <n v="-29132.327458321499"/>
    <n v="-104876.37884995699"/>
  </r>
  <r>
    <x v="0"/>
    <x v="0"/>
    <x v="1"/>
    <x v="3"/>
    <x v="13"/>
    <s v="SE3_STO"/>
    <x v="1"/>
    <x v="1"/>
    <x v="90"/>
    <x v="0"/>
    <x v="22"/>
    <n v="-44.649014993392797"/>
    <n v="-16296.8904725884"/>
    <n v="-58668.805701318102"/>
  </r>
  <r>
    <x v="0"/>
    <x v="0"/>
    <x v="1"/>
    <x v="3"/>
    <x v="13"/>
    <s v="SE3_STO"/>
    <x v="2"/>
    <x v="2"/>
    <x v="78"/>
    <x v="0"/>
    <x v="7"/>
    <n v="0.87119205080092099"/>
    <n v="317.985098542336"/>
    <n v="1144.7463547524101"/>
  </r>
  <r>
    <x v="0"/>
    <x v="0"/>
    <x v="1"/>
    <x v="3"/>
    <x v="13"/>
    <s v="SE3_STO"/>
    <x v="2"/>
    <x v="2"/>
    <x v="78"/>
    <x v="0"/>
    <x v="10"/>
    <n v="3.2095242841489098"/>
    <n v="1171.4763637143501"/>
    <n v="4217.3149093716602"/>
  </r>
  <r>
    <x v="0"/>
    <x v="0"/>
    <x v="1"/>
    <x v="3"/>
    <x v="13"/>
    <s v="SE3_STO"/>
    <x v="2"/>
    <x v="2"/>
    <x v="78"/>
    <x v="0"/>
    <x v="11"/>
    <n v="15.204456994675599"/>
    <n v="5549.6268030565998"/>
    <n v="19978.6564910038"/>
  </r>
  <r>
    <x v="0"/>
    <x v="0"/>
    <x v="1"/>
    <x v="3"/>
    <x v="13"/>
    <s v="SE3_STO"/>
    <x v="2"/>
    <x v="2"/>
    <x v="78"/>
    <x v="0"/>
    <x v="12"/>
    <n v="11.0932156659361"/>
    <n v="4049.02371806669"/>
    <n v="14576.4853850401"/>
  </r>
  <r>
    <x v="0"/>
    <x v="0"/>
    <x v="1"/>
    <x v="3"/>
    <x v="13"/>
    <s v="SE3_STO"/>
    <x v="2"/>
    <x v="2"/>
    <x v="78"/>
    <x v="0"/>
    <x v="13"/>
    <n v="6.9284763910284903"/>
    <n v="2528.8938827254001"/>
    <n v="9104.0179778114398"/>
  </r>
  <r>
    <x v="0"/>
    <x v="0"/>
    <x v="1"/>
    <x v="3"/>
    <x v="13"/>
    <s v="SE3_STO"/>
    <x v="2"/>
    <x v="2"/>
    <x v="78"/>
    <x v="0"/>
    <x v="14"/>
    <n v="2.2588945741587398"/>
    <n v="824.49651956794196"/>
    <n v="2968.18747044459"/>
  </r>
  <r>
    <x v="0"/>
    <x v="0"/>
    <x v="1"/>
    <x v="3"/>
    <x v="13"/>
    <s v="SE3_STO"/>
    <x v="2"/>
    <x v="2"/>
    <x v="78"/>
    <x v="0"/>
    <x v="17"/>
    <n v="0.64250825156101898"/>
    <n v="234.515511819772"/>
    <n v="844.25584255117894"/>
  </r>
  <r>
    <x v="0"/>
    <x v="0"/>
    <x v="1"/>
    <x v="3"/>
    <x v="14"/>
    <s v="SE4A"/>
    <x v="4"/>
    <x v="3"/>
    <x v="93"/>
    <x v="0"/>
    <x v="0"/>
    <n v="40850.564976801201"/>
    <n v="14910456.2165324"/>
    <n v="53677642.379516803"/>
  </r>
  <r>
    <x v="0"/>
    <x v="0"/>
    <x v="1"/>
    <x v="3"/>
    <x v="14"/>
    <s v="SE4A"/>
    <x v="4"/>
    <x v="3"/>
    <x v="93"/>
    <x v="0"/>
    <x v="1"/>
    <n v="40643.012819837502"/>
    <n v="14834699.6792407"/>
    <n v="53404918.845266499"/>
  </r>
  <r>
    <x v="0"/>
    <x v="0"/>
    <x v="1"/>
    <x v="3"/>
    <x v="14"/>
    <s v="SE4A"/>
    <x v="4"/>
    <x v="3"/>
    <x v="93"/>
    <x v="0"/>
    <x v="2"/>
    <n v="40465.703053274898"/>
    <n v="14769981.614445301"/>
    <n v="53171933.812003203"/>
  </r>
  <r>
    <x v="0"/>
    <x v="0"/>
    <x v="1"/>
    <x v="3"/>
    <x v="14"/>
    <s v="SE4A"/>
    <x v="4"/>
    <x v="3"/>
    <x v="93"/>
    <x v="0"/>
    <x v="3"/>
    <n v="40543.908713381097"/>
    <n v="14798526.680384099"/>
    <n v="53274696.049382702"/>
  </r>
  <r>
    <x v="0"/>
    <x v="0"/>
    <x v="1"/>
    <x v="3"/>
    <x v="14"/>
    <s v="SE4A"/>
    <x v="4"/>
    <x v="3"/>
    <x v="93"/>
    <x v="0"/>
    <x v="4"/>
    <n v="40667.344277838398"/>
    <n v="14843580.661411"/>
    <n v="53436890.381079704"/>
  </r>
  <r>
    <x v="0"/>
    <x v="0"/>
    <x v="1"/>
    <x v="3"/>
    <x v="14"/>
    <s v="SE4A"/>
    <x v="4"/>
    <x v="3"/>
    <x v="93"/>
    <x v="0"/>
    <x v="5"/>
    <n v="41140.4512191467"/>
    <n v="15016264.694988601"/>
    <n v="54058552.901958801"/>
  </r>
  <r>
    <x v="0"/>
    <x v="0"/>
    <x v="1"/>
    <x v="3"/>
    <x v="14"/>
    <s v="SE4A"/>
    <x v="4"/>
    <x v="3"/>
    <x v="93"/>
    <x v="0"/>
    <x v="6"/>
    <n v="41548.160798883197"/>
    <n v="15165078.691592401"/>
    <n v="54594283.289732501"/>
  </r>
  <r>
    <x v="0"/>
    <x v="0"/>
    <x v="1"/>
    <x v="3"/>
    <x v="14"/>
    <s v="SE4A"/>
    <x v="4"/>
    <x v="3"/>
    <x v="93"/>
    <x v="0"/>
    <x v="7"/>
    <n v="42498.660023754797"/>
    <n v="15512010.9086705"/>
    <n v="55843239.271213703"/>
  </r>
  <r>
    <x v="0"/>
    <x v="0"/>
    <x v="1"/>
    <x v="3"/>
    <x v="14"/>
    <s v="SE4A"/>
    <x v="4"/>
    <x v="3"/>
    <x v="93"/>
    <x v="0"/>
    <x v="8"/>
    <n v="42608.205870782302"/>
    <n v="15551995.1428355"/>
    <n v="55987182.5142079"/>
  </r>
  <r>
    <x v="0"/>
    <x v="0"/>
    <x v="1"/>
    <x v="3"/>
    <x v="14"/>
    <s v="SE4A"/>
    <x v="4"/>
    <x v="3"/>
    <x v="93"/>
    <x v="0"/>
    <x v="9"/>
    <n v="42668.686983924898"/>
    <n v="15574070.7491326"/>
    <n v="56066654.696877301"/>
  </r>
  <r>
    <x v="0"/>
    <x v="0"/>
    <x v="1"/>
    <x v="3"/>
    <x v="14"/>
    <s v="SE4A"/>
    <x v="4"/>
    <x v="3"/>
    <x v="93"/>
    <x v="0"/>
    <x v="10"/>
    <n v="42641.163578271997"/>
    <n v="15564024.7060693"/>
    <n v="56030488.941849403"/>
  </r>
  <r>
    <x v="0"/>
    <x v="0"/>
    <x v="1"/>
    <x v="3"/>
    <x v="14"/>
    <s v="SE4A"/>
    <x v="4"/>
    <x v="3"/>
    <x v="93"/>
    <x v="0"/>
    <x v="11"/>
    <n v="42569.017323182401"/>
    <n v="15537691.3229616"/>
    <n v="55935688.762661703"/>
  </r>
  <r>
    <x v="0"/>
    <x v="0"/>
    <x v="1"/>
    <x v="3"/>
    <x v="14"/>
    <s v="SE4A"/>
    <x v="4"/>
    <x v="3"/>
    <x v="93"/>
    <x v="0"/>
    <x v="12"/>
    <n v="42525.865757039901"/>
    <n v="15521941.0013196"/>
    <n v="55878987.604750402"/>
  </r>
  <r>
    <x v="0"/>
    <x v="0"/>
    <x v="1"/>
    <x v="3"/>
    <x v="14"/>
    <s v="SE4A"/>
    <x v="4"/>
    <x v="3"/>
    <x v="93"/>
    <x v="0"/>
    <x v="13"/>
    <n v="42473.0778471417"/>
    <n v="15502673.4142067"/>
    <n v="55809624.291144297"/>
  </r>
  <r>
    <x v="0"/>
    <x v="0"/>
    <x v="1"/>
    <x v="3"/>
    <x v="14"/>
    <s v="SE4A"/>
    <x v="4"/>
    <x v="3"/>
    <x v="93"/>
    <x v="0"/>
    <x v="14"/>
    <n v="42424.798286352103"/>
    <n v="15485051.374518501"/>
    <n v="55746184.9482667"/>
  </r>
  <r>
    <x v="0"/>
    <x v="0"/>
    <x v="1"/>
    <x v="3"/>
    <x v="14"/>
    <s v="SE4A"/>
    <x v="4"/>
    <x v="3"/>
    <x v="93"/>
    <x v="0"/>
    <x v="15"/>
    <n v="42353.756790130901"/>
    <n v="15459121.2283978"/>
    <n v="55652836.422231898"/>
  </r>
  <r>
    <x v="0"/>
    <x v="0"/>
    <x v="1"/>
    <x v="3"/>
    <x v="14"/>
    <s v="SE4A"/>
    <x v="4"/>
    <x v="3"/>
    <x v="93"/>
    <x v="0"/>
    <x v="16"/>
    <n v="42279.839805784097"/>
    <n v="15432141.529111199"/>
    <n v="55555709.504800297"/>
  </r>
  <r>
    <x v="0"/>
    <x v="0"/>
    <x v="1"/>
    <x v="3"/>
    <x v="14"/>
    <s v="SE4A"/>
    <x v="4"/>
    <x v="3"/>
    <x v="93"/>
    <x v="0"/>
    <x v="17"/>
    <n v="42345.677941016598"/>
    <n v="15456172.448471099"/>
    <n v="55642220.814495899"/>
  </r>
  <r>
    <x v="0"/>
    <x v="0"/>
    <x v="1"/>
    <x v="3"/>
    <x v="14"/>
    <s v="SE4A"/>
    <x v="4"/>
    <x v="3"/>
    <x v="93"/>
    <x v="0"/>
    <x v="18"/>
    <n v="42525.074099946702"/>
    <n v="15521652.0464806"/>
    <n v="55877947.36733"/>
  </r>
  <r>
    <x v="0"/>
    <x v="0"/>
    <x v="1"/>
    <x v="3"/>
    <x v="14"/>
    <s v="SE4A"/>
    <x v="4"/>
    <x v="3"/>
    <x v="93"/>
    <x v="0"/>
    <x v="19"/>
    <n v="42711.418366790698"/>
    <n v="15589667.7038786"/>
    <n v="56122803.733962998"/>
  </r>
  <r>
    <x v="0"/>
    <x v="0"/>
    <x v="1"/>
    <x v="3"/>
    <x v="14"/>
    <s v="SE4A"/>
    <x v="4"/>
    <x v="3"/>
    <x v="93"/>
    <x v="0"/>
    <x v="20"/>
    <n v="42699.1992019639"/>
    <n v="15585207.7087168"/>
    <n v="56106747.7513806"/>
  </r>
  <r>
    <x v="0"/>
    <x v="0"/>
    <x v="1"/>
    <x v="3"/>
    <x v="14"/>
    <s v="SE4A"/>
    <x v="4"/>
    <x v="3"/>
    <x v="93"/>
    <x v="0"/>
    <x v="21"/>
    <n v="42622.876391244397"/>
    <n v="15557349.8828042"/>
    <n v="56006459.578095101"/>
  </r>
  <r>
    <x v="0"/>
    <x v="0"/>
    <x v="1"/>
    <x v="3"/>
    <x v="14"/>
    <s v="SE4A"/>
    <x v="4"/>
    <x v="3"/>
    <x v="93"/>
    <x v="0"/>
    <x v="22"/>
    <n v="42411.058423286697"/>
    <n v="15480036.3244996"/>
    <n v="55728130.768198699"/>
  </r>
  <r>
    <x v="0"/>
    <x v="0"/>
    <x v="1"/>
    <x v="3"/>
    <x v="14"/>
    <s v="SE4A"/>
    <x v="4"/>
    <x v="3"/>
    <x v="93"/>
    <x v="0"/>
    <x v="23"/>
    <n v="41745.064714801803"/>
    <n v="15236948.6209026"/>
    <n v="54853015.035249501"/>
  </r>
  <r>
    <x v="0"/>
    <x v="0"/>
    <x v="1"/>
    <x v="3"/>
    <x v="14"/>
    <s v="SE4A"/>
    <x v="5"/>
    <x v="4"/>
    <x v="56"/>
    <x v="0"/>
    <x v="0"/>
    <n v="95.839366377667005"/>
    <n v="34981.368727848501"/>
    <n v="125932.927420255"/>
  </r>
  <r>
    <x v="0"/>
    <x v="0"/>
    <x v="1"/>
    <x v="3"/>
    <x v="14"/>
    <s v="SE4A"/>
    <x v="5"/>
    <x v="4"/>
    <x v="56"/>
    <x v="0"/>
    <x v="1"/>
    <n v="95.839366377667005"/>
    <n v="34981.368727848501"/>
    <n v="125932.927420255"/>
  </r>
  <r>
    <x v="0"/>
    <x v="0"/>
    <x v="1"/>
    <x v="3"/>
    <x v="14"/>
    <s v="SE4A"/>
    <x v="5"/>
    <x v="4"/>
    <x v="56"/>
    <x v="0"/>
    <x v="2"/>
    <n v="95.839366377667005"/>
    <n v="34981.368727848501"/>
    <n v="125932.927420255"/>
  </r>
  <r>
    <x v="0"/>
    <x v="0"/>
    <x v="1"/>
    <x v="3"/>
    <x v="14"/>
    <s v="SE4A"/>
    <x v="5"/>
    <x v="4"/>
    <x v="56"/>
    <x v="0"/>
    <x v="3"/>
    <n v="95.839366377667005"/>
    <n v="34981.368727848501"/>
    <n v="125932.927420255"/>
  </r>
  <r>
    <x v="0"/>
    <x v="0"/>
    <x v="1"/>
    <x v="3"/>
    <x v="14"/>
    <s v="SE4A"/>
    <x v="5"/>
    <x v="4"/>
    <x v="56"/>
    <x v="0"/>
    <x v="4"/>
    <n v="95.839366377667005"/>
    <n v="34981.368727848501"/>
    <n v="125932.927420255"/>
  </r>
  <r>
    <x v="0"/>
    <x v="0"/>
    <x v="1"/>
    <x v="3"/>
    <x v="14"/>
    <s v="SE4A"/>
    <x v="5"/>
    <x v="4"/>
    <x v="56"/>
    <x v="0"/>
    <x v="5"/>
    <n v="95.839366377667005"/>
    <n v="34981.368727848501"/>
    <n v="125932.927420255"/>
  </r>
  <r>
    <x v="0"/>
    <x v="0"/>
    <x v="1"/>
    <x v="3"/>
    <x v="14"/>
    <s v="SE4A"/>
    <x v="5"/>
    <x v="4"/>
    <x v="56"/>
    <x v="0"/>
    <x v="6"/>
    <n v="95.839366377667005"/>
    <n v="34981.368727848501"/>
    <n v="125932.927420255"/>
  </r>
  <r>
    <x v="0"/>
    <x v="0"/>
    <x v="1"/>
    <x v="3"/>
    <x v="14"/>
    <s v="SE4A"/>
    <x v="5"/>
    <x v="4"/>
    <x v="56"/>
    <x v="0"/>
    <x v="7"/>
    <n v="95.839366377667005"/>
    <n v="34981.368727848501"/>
    <n v="125932.927420255"/>
  </r>
  <r>
    <x v="0"/>
    <x v="0"/>
    <x v="1"/>
    <x v="3"/>
    <x v="14"/>
    <s v="SE4A"/>
    <x v="5"/>
    <x v="4"/>
    <x v="56"/>
    <x v="0"/>
    <x v="8"/>
    <n v="95.839366377667005"/>
    <n v="34981.368727848501"/>
    <n v="125932.927420255"/>
  </r>
  <r>
    <x v="0"/>
    <x v="0"/>
    <x v="1"/>
    <x v="3"/>
    <x v="14"/>
    <s v="SE4A"/>
    <x v="5"/>
    <x v="4"/>
    <x v="56"/>
    <x v="0"/>
    <x v="9"/>
    <n v="95.839366377667005"/>
    <n v="34981.368727848501"/>
    <n v="125932.927420255"/>
  </r>
  <r>
    <x v="0"/>
    <x v="0"/>
    <x v="1"/>
    <x v="3"/>
    <x v="14"/>
    <s v="SE4A"/>
    <x v="5"/>
    <x v="4"/>
    <x v="56"/>
    <x v="0"/>
    <x v="10"/>
    <n v="95.839366377667005"/>
    <n v="34981.368727848501"/>
    <n v="125932.927420255"/>
  </r>
  <r>
    <x v="0"/>
    <x v="0"/>
    <x v="1"/>
    <x v="3"/>
    <x v="14"/>
    <s v="SE4A"/>
    <x v="5"/>
    <x v="4"/>
    <x v="56"/>
    <x v="0"/>
    <x v="11"/>
    <n v="95.839366377667005"/>
    <n v="34981.368727848501"/>
    <n v="125932.927420255"/>
  </r>
  <r>
    <x v="0"/>
    <x v="0"/>
    <x v="1"/>
    <x v="3"/>
    <x v="14"/>
    <s v="SE4A"/>
    <x v="5"/>
    <x v="4"/>
    <x v="56"/>
    <x v="0"/>
    <x v="12"/>
    <n v="95.839366377667005"/>
    <n v="34981.368727848501"/>
    <n v="125932.927420255"/>
  </r>
  <r>
    <x v="0"/>
    <x v="0"/>
    <x v="1"/>
    <x v="3"/>
    <x v="14"/>
    <s v="SE4A"/>
    <x v="5"/>
    <x v="4"/>
    <x v="56"/>
    <x v="0"/>
    <x v="13"/>
    <n v="95.839366377667005"/>
    <n v="34981.368727848501"/>
    <n v="125932.927420255"/>
  </r>
  <r>
    <x v="0"/>
    <x v="0"/>
    <x v="1"/>
    <x v="3"/>
    <x v="14"/>
    <s v="SE4A"/>
    <x v="5"/>
    <x v="4"/>
    <x v="56"/>
    <x v="0"/>
    <x v="14"/>
    <n v="95.839366377667005"/>
    <n v="34981.368727848501"/>
    <n v="125932.927420255"/>
  </r>
  <r>
    <x v="0"/>
    <x v="0"/>
    <x v="1"/>
    <x v="3"/>
    <x v="14"/>
    <s v="SE4A"/>
    <x v="5"/>
    <x v="4"/>
    <x v="56"/>
    <x v="0"/>
    <x v="15"/>
    <n v="95.839366377667005"/>
    <n v="34981.368727848501"/>
    <n v="125932.927420255"/>
  </r>
  <r>
    <x v="0"/>
    <x v="0"/>
    <x v="1"/>
    <x v="3"/>
    <x v="14"/>
    <s v="SE4A"/>
    <x v="5"/>
    <x v="4"/>
    <x v="56"/>
    <x v="0"/>
    <x v="16"/>
    <n v="95.839366377667005"/>
    <n v="34981.368727848501"/>
    <n v="125932.927420255"/>
  </r>
  <r>
    <x v="0"/>
    <x v="0"/>
    <x v="1"/>
    <x v="3"/>
    <x v="14"/>
    <s v="SE4A"/>
    <x v="5"/>
    <x v="4"/>
    <x v="56"/>
    <x v="0"/>
    <x v="17"/>
    <n v="95.839366377667005"/>
    <n v="34981.368727848501"/>
    <n v="125932.927420255"/>
  </r>
  <r>
    <x v="0"/>
    <x v="0"/>
    <x v="1"/>
    <x v="3"/>
    <x v="14"/>
    <s v="SE4A"/>
    <x v="5"/>
    <x v="4"/>
    <x v="56"/>
    <x v="0"/>
    <x v="18"/>
    <n v="95.839366377667005"/>
    <n v="34981.368727848501"/>
    <n v="125932.927420255"/>
  </r>
  <r>
    <x v="0"/>
    <x v="0"/>
    <x v="1"/>
    <x v="3"/>
    <x v="14"/>
    <s v="SE4A"/>
    <x v="5"/>
    <x v="4"/>
    <x v="56"/>
    <x v="0"/>
    <x v="19"/>
    <n v="95.839366377667005"/>
    <n v="34981.368727848501"/>
    <n v="125932.927420255"/>
  </r>
  <r>
    <x v="0"/>
    <x v="0"/>
    <x v="1"/>
    <x v="3"/>
    <x v="14"/>
    <s v="SE4A"/>
    <x v="5"/>
    <x v="4"/>
    <x v="56"/>
    <x v="0"/>
    <x v="20"/>
    <n v="95.839366377667005"/>
    <n v="34981.368727848501"/>
    <n v="125932.927420255"/>
  </r>
  <r>
    <x v="0"/>
    <x v="0"/>
    <x v="1"/>
    <x v="3"/>
    <x v="14"/>
    <s v="SE4A"/>
    <x v="5"/>
    <x v="4"/>
    <x v="56"/>
    <x v="0"/>
    <x v="21"/>
    <n v="95.839366377667005"/>
    <n v="34981.368727848501"/>
    <n v="125932.927420255"/>
  </r>
  <r>
    <x v="0"/>
    <x v="0"/>
    <x v="1"/>
    <x v="3"/>
    <x v="14"/>
    <s v="SE4A"/>
    <x v="5"/>
    <x v="4"/>
    <x v="56"/>
    <x v="0"/>
    <x v="22"/>
    <n v="95.839366377667005"/>
    <n v="34981.368727848501"/>
    <n v="125932.927420255"/>
  </r>
  <r>
    <x v="0"/>
    <x v="0"/>
    <x v="1"/>
    <x v="3"/>
    <x v="14"/>
    <s v="SE4A"/>
    <x v="5"/>
    <x v="4"/>
    <x v="56"/>
    <x v="0"/>
    <x v="23"/>
    <n v="95.839366377667005"/>
    <n v="34981.368727848501"/>
    <n v="125932.927420255"/>
  </r>
  <r>
    <x v="0"/>
    <x v="0"/>
    <x v="1"/>
    <x v="3"/>
    <x v="14"/>
    <s v="SE4A"/>
    <x v="6"/>
    <x v="5"/>
    <x v="11"/>
    <x v="0"/>
    <x v="0"/>
    <n v="135.483492926769"/>
    <n v="49451.474918270796"/>
    <n v="178025.309705775"/>
  </r>
  <r>
    <x v="0"/>
    <x v="0"/>
    <x v="1"/>
    <x v="3"/>
    <x v="14"/>
    <s v="SE4A"/>
    <x v="6"/>
    <x v="5"/>
    <x v="11"/>
    <x v="0"/>
    <x v="1"/>
    <n v="193.133915729927"/>
    <n v="70493.879241423303"/>
    <n v="253777.96526912399"/>
  </r>
  <r>
    <x v="0"/>
    <x v="0"/>
    <x v="1"/>
    <x v="3"/>
    <x v="14"/>
    <s v="SE4A"/>
    <x v="6"/>
    <x v="5"/>
    <x v="11"/>
    <x v="0"/>
    <x v="2"/>
    <n v="269.13621317063399"/>
    <n v="98234.7178072815"/>
    <n v="353644.98410621303"/>
  </r>
  <r>
    <x v="0"/>
    <x v="0"/>
    <x v="1"/>
    <x v="3"/>
    <x v="14"/>
    <s v="SE4A"/>
    <x v="6"/>
    <x v="5"/>
    <x v="11"/>
    <x v="0"/>
    <x v="3"/>
    <n v="297.23294912834803"/>
    <n v="108490.026431847"/>
    <n v="390564.095154649"/>
  </r>
  <r>
    <x v="0"/>
    <x v="0"/>
    <x v="1"/>
    <x v="3"/>
    <x v="14"/>
    <s v="SE4A"/>
    <x v="6"/>
    <x v="5"/>
    <x v="11"/>
    <x v="0"/>
    <x v="4"/>
    <n v="328.84525779565399"/>
    <n v="120028.519095414"/>
    <n v="432102.66874349001"/>
  </r>
  <r>
    <x v="0"/>
    <x v="0"/>
    <x v="1"/>
    <x v="3"/>
    <x v="14"/>
    <s v="SE4A"/>
    <x v="6"/>
    <x v="5"/>
    <x v="11"/>
    <x v="0"/>
    <x v="5"/>
    <n v="361.02923882690698"/>
    <n v="131775.672171821"/>
    <n v="474392.41981855599"/>
  </r>
  <r>
    <x v="0"/>
    <x v="0"/>
    <x v="1"/>
    <x v="3"/>
    <x v="14"/>
    <s v="SE4A"/>
    <x v="6"/>
    <x v="5"/>
    <x v="11"/>
    <x v="0"/>
    <x v="6"/>
    <n v="401.06156516274501"/>
    <n v="146387.47128440201"/>
    <n v="526994.89662384603"/>
  </r>
  <r>
    <x v="0"/>
    <x v="0"/>
    <x v="1"/>
    <x v="3"/>
    <x v="14"/>
    <s v="SE4A"/>
    <x v="6"/>
    <x v="5"/>
    <x v="11"/>
    <x v="0"/>
    <x v="7"/>
    <n v="411.60973279162101"/>
    <n v="150237.55246894201"/>
    <n v="540855.18888818996"/>
  </r>
  <r>
    <x v="0"/>
    <x v="0"/>
    <x v="1"/>
    <x v="3"/>
    <x v="14"/>
    <s v="SE4A"/>
    <x v="6"/>
    <x v="5"/>
    <x v="11"/>
    <x v="0"/>
    <x v="8"/>
    <n v="417.383800096529"/>
    <n v="152345.08703523301"/>
    <n v="548442.31332684006"/>
  </r>
  <r>
    <x v="0"/>
    <x v="0"/>
    <x v="1"/>
    <x v="3"/>
    <x v="14"/>
    <s v="SE4A"/>
    <x v="6"/>
    <x v="5"/>
    <x v="11"/>
    <x v="0"/>
    <x v="9"/>
    <n v="401.91768192952998"/>
    <n v="146699.95390427901"/>
    <n v="528119.83405540301"/>
  </r>
  <r>
    <x v="0"/>
    <x v="0"/>
    <x v="1"/>
    <x v="3"/>
    <x v="14"/>
    <s v="SE4A"/>
    <x v="6"/>
    <x v="5"/>
    <x v="11"/>
    <x v="0"/>
    <x v="10"/>
    <n v="405.13847790225998"/>
    <n v="147875.54443432501"/>
    <n v="532351.95996357"/>
  </r>
  <r>
    <x v="0"/>
    <x v="0"/>
    <x v="1"/>
    <x v="3"/>
    <x v="14"/>
    <s v="SE4A"/>
    <x v="6"/>
    <x v="5"/>
    <x v="11"/>
    <x v="0"/>
    <x v="11"/>
    <n v="408.54371966508899"/>
    <n v="149118.45767775801"/>
    <n v="536826.44763992704"/>
  </r>
  <r>
    <x v="0"/>
    <x v="0"/>
    <x v="1"/>
    <x v="3"/>
    <x v="14"/>
    <s v="SE4A"/>
    <x v="6"/>
    <x v="5"/>
    <x v="11"/>
    <x v="0"/>
    <x v="12"/>
    <n v="405.45712746647598"/>
    <n v="147991.85152526401"/>
    <n v="532770.66549094894"/>
  </r>
  <r>
    <x v="0"/>
    <x v="0"/>
    <x v="1"/>
    <x v="3"/>
    <x v="14"/>
    <s v="SE4A"/>
    <x v="6"/>
    <x v="5"/>
    <x v="11"/>
    <x v="0"/>
    <x v="13"/>
    <n v="412.265793767265"/>
    <n v="150477.01472505199"/>
    <n v="541717.25301018602"/>
  </r>
  <r>
    <x v="0"/>
    <x v="0"/>
    <x v="1"/>
    <x v="3"/>
    <x v="14"/>
    <s v="SE4A"/>
    <x v="6"/>
    <x v="5"/>
    <x v="11"/>
    <x v="0"/>
    <x v="14"/>
    <n v="409.85106907817999"/>
    <n v="149595.64021353601"/>
    <n v="538544.30476872798"/>
  </r>
  <r>
    <x v="0"/>
    <x v="0"/>
    <x v="1"/>
    <x v="3"/>
    <x v="14"/>
    <s v="SE4A"/>
    <x v="6"/>
    <x v="5"/>
    <x v="11"/>
    <x v="0"/>
    <x v="15"/>
    <n v="417.356252837113"/>
    <n v="152335.03228554601"/>
    <n v="548406.11622796697"/>
  </r>
  <r>
    <x v="0"/>
    <x v="0"/>
    <x v="1"/>
    <x v="3"/>
    <x v="14"/>
    <s v="SE4A"/>
    <x v="6"/>
    <x v="5"/>
    <x v="11"/>
    <x v="0"/>
    <x v="16"/>
    <n v="415.691310511246"/>
    <n v="151727.32833660499"/>
    <n v="546218.38201177702"/>
  </r>
  <r>
    <x v="0"/>
    <x v="0"/>
    <x v="1"/>
    <x v="3"/>
    <x v="14"/>
    <s v="SE4A"/>
    <x v="6"/>
    <x v="5"/>
    <x v="11"/>
    <x v="0"/>
    <x v="17"/>
    <n v="398.562190569015"/>
    <n v="145475.19955769001"/>
    <n v="523710.718407685"/>
  </r>
  <r>
    <x v="0"/>
    <x v="0"/>
    <x v="1"/>
    <x v="3"/>
    <x v="14"/>
    <s v="SE4A"/>
    <x v="6"/>
    <x v="5"/>
    <x v="11"/>
    <x v="0"/>
    <x v="18"/>
    <n v="372.667322407379"/>
    <n v="136023.57267869299"/>
    <n v="489684.86164329702"/>
  </r>
  <r>
    <x v="0"/>
    <x v="0"/>
    <x v="1"/>
    <x v="3"/>
    <x v="14"/>
    <s v="SE4A"/>
    <x v="6"/>
    <x v="5"/>
    <x v="11"/>
    <x v="0"/>
    <x v="19"/>
    <n v="329.720758669796"/>
    <n v="120348.07691447499"/>
    <n v="433253.07689211197"/>
  </r>
  <r>
    <x v="0"/>
    <x v="0"/>
    <x v="1"/>
    <x v="3"/>
    <x v="14"/>
    <s v="SE4A"/>
    <x v="6"/>
    <x v="5"/>
    <x v="11"/>
    <x v="0"/>
    <x v="20"/>
    <n v="292.45605285722303"/>
    <n v="106746.459292887"/>
    <n v="384287.25345439202"/>
  </r>
  <r>
    <x v="0"/>
    <x v="0"/>
    <x v="1"/>
    <x v="3"/>
    <x v="14"/>
    <s v="SE4A"/>
    <x v="6"/>
    <x v="5"/>
    <x v="11"/>
    <x v="0"/>
    <x v="21"/>
    <n v="245.71183715888"/>
    <n v="89684.820562991197"/>
    <n v="322865.35402676801"/>
  </r>
  <r>
    <x v="0"/>
    <x v="0"/>
    <x v="1"/>
    <x v="3"/>
    <x v="14"/>
    <s v="SE4A"/>
    <x v="6"/>
    <x v="5"/>
    <x v="11"/>
    <x v="0"/>
    <x v="22"/>
    <n v="225.55883363586"/>
    <n v="82328.974277089103"/>
    <n v="296384.30739752098"/>
  </r>
  <r>
    <x v="0"/>
    <x v="0"/>
    <x v="1"/>
    <x v="3"/>
    <x v="14"/>
    <s v="SE4A"/>
    <x v="6"/>
    <x v="5"/>
    <x v="11"/>
    <x v="0"/>
    <x v="23"/>
    <n v="209.12946071006999"/>
    <n v="76332.253159175598"/>
    <n v="274796.11137303198"/>
  </r>
  <r>
    <x v="0"/>
    <x v="0"/>
    <x v="1"/>
    <x v="3"/>
    <x v="14"/>
    <s v="SE4_EL"/>
    <x v="1"/>
    <x v="1"/>
    <x v="58"/>
    <x v="0"/>
    <x v="0"/>
    <n v="-90.234693877550995"/>
    <n v="-32935.663265306102"/>
    <n v="-118568.387755102"/>
  </r>
  <r>
    <x v="0"/>
    <x v="0"/>
    <x v="1"/>
    <x v="3"/>
    <x v="14"/>
    <s v="SE4_EL"/>
    <x v="1"/>
    <x v="1"/>
    <x v="58"/>
    <x v="0"/>
    <x v="1"/>
    <n v="-90.234693877550995"/>
    <n v="-32935.663265306102"/>
    <n v="-118568.387755102"/>
  </r>
  <r>
    <x v="0"/>
    <x v="0"/>
    <x v="1"/>
    <x v="3"/>
    <x v="14"/>
    <s v="SE4_EL"/>
    <x v="1"/>
    <x v="1"/>
    <x v="58"/>
    <x v="0"/>
    <x v="2"/>
    <n v="-48.739034551659898"/>
    <n v="-17789.747611355899"/>
    <n v="-64043.091400881101"/>
  </r>
  <r>
    <x v="0"/>
    <x v="0"/>
    <x v="1"/>
    <x v="3"/>
    <x v="14"/>
    <s v="SE4_EL"/>
    <x v="1"/>
    <x v="1"/>
    <x v="58"/>
    <x v="0"/>
    <x v="3"/>
    <n v="-52.679594410553896"/>
    <n v="-19228.051959852201"/>
    <n v="-69220.987055467893"/>
  </r>
  <r>
    <x v="0"/>
    <x v="0"/>
    <x v="1"/>
    <x v="3"/>
    <x v="14"/>
    <s v="SE4_EL"/>
    <x v="1"/>
    <x v="1"/>
    <x v="58"/>
    <x v="0"/>
    <x v="4"/>
    <n v="-57.921795578880001"/>
    <n v="-21141.4553862912"/>
    <n v="-76109.239390648407"/>
  </r>
  <r>
    <x v="0"/>
    <x v="0"/>
    <x v="1"/>
    <x v="3"/>
    <x v="14"/>
    <s v="SE4_EL"/>
    <x v="1"/>
    <x v="1"/>
    <x v="58"/>
    <x v="0"/>
    <x v="5"/>
    <n v="-90.234693877550995"/>
    <n v="-32935.663265306102"/>
    <n v="-118568.387755102"/>
  </r>
  <r>
    <x v="0"/>
    <x v="0"/>
    <x v="1"/>
    <x v="3"/>
    <x v="14"/>
    <s v="SE4_EL"/>
    <x v="1"/>
    <x v="1"/>
    <x v="58"/>
    <x v="0"/>
    <x v="6"/>
    <n v="-90.234693877550995"/>
    <n v="-32935.663265306102"/>
    <n v="-118568.387755102"/>
  </r>
  <r>
    <x v="0"/>
    <x v="0"/>
    <x v="1"/>
    <x v="3"/>
    <x v="14"/>
    <s v="SE4_EL"/>
    <x v="1"/>
    <x v="1"/>
    <x v="58"/>
    <x v="0"/>
    <x v="7"/>
    <n v="-90.234693877550995"/>
    <n v="-32935.663265306102"/>
    <n v="-118568.387755102"/>
  </r>
  <r>
    <x v="0"/>
    <x v="0"/>
    <x v="1"/>
    <x v="3"/>
    <x v="14"/>
    <s v="SE4_EL"/>
    <x v="1"/>
    <x v="1"/>
    <x v="58"/>
    <x v="0"/>
    <x v="8"/>
    <n v="-90.234693877550995"/>
    <n v="-32935.663265306102"/>
    <n v="-118568.387755102"/>
  </r>
  <r>
    <x v="0"/>
    <x v="0"/>
    <x v="1"/>
    <x v="3"/>
    <x v="14"/>
    <s v="SE4_EL"/>
    <x v="1"/>
    <x v="1"/>
    <x v="58"/>
    <x v="0"/>
    <x v="9"/>
    <n v="-90.234693877550995"/>
    <n v="-32935.663265306102"/>
    <n v="-118568.387755102"/>
  </r>
  <r>
    <x v="0"/>
    <x v="0"/>
    <x v="1"/>
    <x v="3"/>
    <x v="14"/>
    <s v="SE4_EL"/>
    <x v="1"/>
    <x v="1"/>
    <x v="58"/>
    <x v="0"/>
    <x v="10"/>
    <n v="-90.234693877550995"/>
    <n v="-32935.663265306102"/>
    <n v="-118568.387755102"/>
  </r>
  <r>
    <x v="0"/>
    <x v="0"/>
    <x v="1"/>
    <x v="3"/>
    <x v="14"/>
    <s v="SE4_EL"/>
    <x v="1"/>
    <x v="1"/>
    <x v="58"/>
    <x v="0"/>
    <x v="11"/>
    <n v="-90.234693877550995"/>
    <n v="-32935.663265306102"/>
    <n v="-118568.387755102"/>
  </r>
  <r>
    <x v="0"/>
    <x v="0"/>
    <x v="1"/>
    <x v="3"/>
    <x v="14"/>
    <s v="SE4_EL"/>
    <x v="1"/>
    <x v="1"/>
    <x v="58"/>
    <x v="0"/>
    <x v="12"/>
    <n v="-90.234693877550995"/>
    <n v="-32935.663265306102"/>
    <n v="-118568.387755102"/>
  </r>
  <r>
    <x v="0"/>
    <x v="0"/>
    <x v="1"/>
    <x v="3"/>
    <x v="14"/>
    <s v="SE4_EL"/>
    <x v="1"/>
    <x v="1"/>
    <x v="58"/>
    <x v="0"/>
    <x v="13"/>
    <n v="-90.234693877550995"/>
    <n v="-32935.663265306102"/>
    <n v="-118568.387755102"/>
  </r>
  <r>
    <x v="0"/>
    <x v="0"/>
    <x v="1"/>
    <x v="3"/>
    <x v="14"/>
    <s v="SE4_EL"/>
    <x v="1"/>
    <x v="1"/>
    <x v="58"/>
    <x v="0"/>
    <x v="14"/>
    <n v="-90.234693877550995"/>
    <n v="-32935.663265306102"/>
    <n v="-118568.387755102"/>
  </r>
  <r>
    <x v="0"/>
    <x v="0"/>
    <x v="1"/>
    <x v="3"/>
    <x v="14"/>
    <s v="SE4_EL"/>
    <x v="1"/>
    <x v="1"/>
    <x v="58"/>
    <x v="0"/>
    <x v="15"/>
    <n v="-76.576724001910506"/>
    <n v="-27950.5042606973"/>
    <n v="-100621.81533851"/>
  </r>
  <r>
    <x v="0"/>
    <x v="0"/>
    <x v="1"/>
    <x v="3"/>
    <x v="14"/>
    <s v="SE4_EL"/>
    <x v="1"/>
    <x v="1"/>
    <x v="58"/>
    <x v="0"/>
    <x v="16"/>
    <n v="-90.234693877550995"/>
    <n v="-32935.663265306102"/>
    <n v="-118568.387755102"/>
  </r>
  <r>
    <x v="0"/>
    <x v="0"/>
    <x v="1"/>
    <x v="3"/>
    <x v="14"/>
    <s v="SE4_EL"/>
    <x v="1"/>
    <x v="1"/>
    <x v="58"/>
    <x v="0"/>
    <x v="17"/>
    <n v="-90.234693877550995"/>
    <n v="-32935.663265306102"/>
    <n v="-118568.387755102"/>
  </r>
  <r>
    <x v="0"/>
    <x v="0"/>
    <x v="1"/>
    <x v="3"/>
    <x v="14"/>
    <s v="SE4_EL"/>
    <x v="1"/>
    <x v="1"/>
    <x v="58"/>
    <x v="0"/>
    <x v="18"/>
    <n v="-76.832509262228996"/>
    <n v="-28043.865880713602"/>
    <n v="-100957.917170569"/>
  </r>
  <r>
    <x v="0"/>
    <x v="0"/>
    <x v="1"/>
    <x v="3"/>
    <x v="14"/>
    <s v="SE4_EL"/>
    <x v="1"/>
    <x v="1"/>
    <x v="58"/>
    <x v="0"/>
    <x v="19"/>
    <n v="-78.437270946132401"/>
    <n v="-28629.603895338299"/>
    <n v="-103066.574023218"/>
  </r>
  <r>
    <x v="0"/>
    <x v="0"/>
    <x v="1"/>
    <x v="3"/>
    <x v="14"/>
    <s v="SE4_EL"/>
    <x v="1"/>
    <x v="1"/>
    <x v="58"/>
    <x v="0"/>
    <x v="20"/>
    <n v="-90.234693877550995"/>
    <n v="-32935.663265306102"/>
    <n v="-118568.387755102"/>
  </r>
  <r>
    <x v="0"/>
    <x v="0"/>
    <x v="1"/>
    <x v="3"/>
    <x v="14"/>
    <s v="SE4_EL"/>
    <x v="1"/>
    <x v="1"/>
    <x v="58"/>
    <x v="0"/>
    <x v="21"/>
    <n v="-90.234693877550995"/>
    <n v="-32935.663265306102"/>
    <n v="-118568.387755102"/>
  </r>
  <r>
    <x v="0"/>
    <x v="0"/>
    <x v="1"/>
    <x v="3"/>
    <x v="14"/>
    <s v="SE4_EL"/>
    <x v="1"/>
    <x v="1"/>
    <x v="58"/>
    <x v="0"/>
    <x v="22"/>
    <n v="-72.480329208236597"/>
    <n v="-26455.320161006301"/>
    <n v="-95239.152579622794"/>
  </r>
  <r>
    <x v="0"/>
    <x v="0"/>
    <x v="1"/>
    <x v="3"/>
    <x v="14"/>
    <s v="SE4_EL"/>
    <x v="1"/>
    <x v="1"/>
    <x v="58"/>
    <x v="0"/>
    <x v="23"/>
    <n v="-65.762702434562101"/>
    <n v="-24003.386388615199"/>
    <n v="-86412.190999014696"/>
  </r>
  <r>
    <x v="0"/>
    <x v="0"/>
    <x v="1"/>
    <x v="3"/>
    <x v="14"/>
    <s v="SE4_EL"/>
    <x v="1"/>
    <x v="1"/>
    <x v="80"/>
    <x v="0"/>
    <x v="0"/>
    <n v="-1.49978685902736"/>
    <n v="-547.42220354498602"/>
    <n v="-1970.7199327619501"/>
  </r>
  <r>
    <x v="0"/>
    <x v="0"/>
    <x v="1"/>
    <x v="3"/>
    <x v="14"/>
    <s v="SE4_EL"/>
    <x v="1"/>
    <x v="1"/>
    <x v="80"/>
    <x v="0"/>
    <x v="1"/>
    <n v="-1.55278123156695"/>
    <n v="-566.765149521936"/>
    <n v="-2040.35453827897"/>
  </r>
  <r>
    <x v="0"/>
    <x v="0"/>
    <x v="1"/>
    <x v="3"/>
    <x v="14"/>
    <s v="SE4_EL"/>
    <x v="1"/>
    <x v="1"/>
    <x v="80"/>
    <x v="0"/>
    <x v="2"/>
    <n v="-14.193548387096801"/>
    <n v="-5180.6451612903202"/>
    <n v="-18650.322580645199"/>
  </r>
  <r>
    <x v="0"/>
    <x v="0"/>
    <x v="1"/>
    <x v="3"/>
    <x v="14"/>
    <s v="SE4_EL"/>
    <x v="1"/>
    <x v="1"/>
    <x v="80"/>
    <x v="0"/>
    <x v="3"/>
    <n v="-14.193548387096801"/>
    <n v="-5180.6451612903202"/>
    <n v="-18650.322580645199"/>
  </r>
  <r>
    <x v="0"/>
    <x v="0"/>
    <x v="1"/>
    <x v="3"/>
    <x v="14"/>
    <s v="SE4_EL"/>
    <x v="1"/>
    <x v="1"/>
    <x v="80"/>
    <x v="0"/>
    <x v="4"/>
    <n v="-14.193548387096801"/>
    <n v="-5180.6451612903202"/>
    <n v="-18650.322580645199"/>
  </r>
  <r>
    <x v="0"/>
    <x v="0"/>
    <x v="1"/>
    <x v="3"/>
    <x v="14"/>
    <s v="SE4_EL"/>
    <x v="1"/>
    <x v="1"/>
    <x v="80"/>
    <x v="0"/>
    <x v="5"/>
    <n v="-8.3181557882962807"/>
    <n v="-3036.1268627281402"/>
    <n v="-10930.0567058213"/>
  </r>
  <r>
    <x v="0"/>
    <x v="0"/>
    <x v="1"/>
    <x v="3"/>
    <x v="14"/>
    <s v="SE4_EL"/>
    <x v="1"/>
    <x v="1"/>
    <x v="80"/>
    <x v="0"/>
    <x v="6"/>
    <n v="-14.193548387096801"/>
    <n v="-5180.6451612903202"/>
    <n v="-18650.322580645199"/>
  </r>
  <r>
    <x v="0"/>
    <x v="0"/>
    <x v="1"/>
    <x v="3"/>
    <x v="14"/>
    <s v="SE4_EL"/>
    <x v="1"/>
    <x v="1"/>
    <x v="80"/>
    <x v="0"/>
    <x v="7"/>
    <n v="-14.193548387096801"/>
    <n v="-5180.6451612903202"/>
    <n v="-18650.322580645199"/>
  </r>
  <r>
    <x v="0"/>
    <x v="0"/>
    <x v="1"/>
    <x v="3"/>
    <x v="14"/>
    <s v="SE4_EL"/>
    <x v="1"/>
    <x v="1"/>
    <x v="80"/>
    <x v="0"/>
    <x v="8"/>
    <n v="-14.193548387096801"/>
    <n v="-5180.6451612903202"/>
    <n v="-18650.322580645199"/>
  </r>
  <r>
    <x v="0"/>
    <x v="0"/>
    <x v="1"/>
    <x v="3"/>
    <x v="14"/>
    <s v="SE4_EL"/>
    <x v="1"/>
    <x v="1"/>
    <x v="80"/>
    <x v="0"/>
    <x v="9"/>
    <n v="-14.193548387096801"/>
    <n v="-5180.6451612903202"/>
    <n v="-18650.322580645199"/>
  </r>
  <r>
    <x v="0"/>
    <x v="0"/>
    <x v="1"/>
    <x v="3"/>
    <x v="14"/>
    <s v="SE4_EL"/>
    <x v="1"/>
    <x v="1"/>
    <x v="80"/>
    <x v="0"/>
    <x v="10"/>
    <n v="-14.193548387096801"/>
    <n v="-5180.6451612903202"/>
    <n v="-18650.322580645199"/>
  </r>
  <r>
    <x v="0"/>
    <x v="0"/>
    <x v="1"/>
    <x v="3"/>
    <x v="14"/>
    <s v="SE4_EL"/>
    <x v="1"/>
    <x v="1"/>
    <x v="80"/>
    <x v="0"/>
    <x v="11"/>
    <n v="-14.193548387096801"/>
    <n v="-5180.6451612903202"/>
    <n v="-18650.322580645199"/>
  </r>
  <r>
    <x v="0"/>
    <x v="0"/>
    <x v="1"/>
    <x v="3"/>
    <x v="14"/>
    <s v="SE4_EL"/>
    <x v="1"/>
    <x v="1"/>
    <x v="80"/>
    <x v="0"/>
    <x v="12"/>
    <n v="-13.544509148456401"/>
    <n v="-4943.7458391866003"/>
    <n v="-17797.4850210718"/>
  </r>
  <r>
    <x v="0"/>
    <x v="0"/>
    <x v="1"/>
    <x v="3"/>
    <x v="14"/>
    <s v="SE4_EL"/>
    <x v="1"/>
    <x v="1"/>
    <x v="80"/>
    <x v="0"/>
    <x v="13"/>
    <n v="-12.2717891410551"/>
    <n v="-4479.2030364851298"/>
    <n v="-16125.130931346501"/>
  </r>
  <r>
    <x v="0"/>
    <x v="0"/>
    <x v="1"/>
    <x v="3"/>
    <x v="14"/>
    <s v="SE4_EL"/>
    <x v="1"/>
    <x v="1"/>
    <x v="80"/>
    <x v="0"/>
    <x v="14"/>
    <n v="-10.737114409378201"/>
    <n v="-3919.0467594230199"/>
    <n v="-14108.5683339229"/>
  </r>
  <r>
    <x v="0"/>
    <x v="0"/>
    <x v="1"/>
    <x v="3"/>
    <x v="14"/>
    <s v="SE4_EL"/>
    <x v="1"/>
    <x v="1"/>
    <x v="80"/>
    <x v="0"/>
    <x v="15"/>
    <n v="-14.193548387096801"/>
    <n v="-5180.6451612903202"/>
    <n v="-18650.322580645199"/>
  </r>
  <r>
    <x v="0"/>
    <x v="0"/>
    <x v="1"/>
    <x v="3"/>
    <x v="14"/>
    <s v="SE4_EL"/>
    <x v="1"/>
    <x v="1"/>
    <x v="80"/>
    <x v="0"/>
    <x v="16"/>
    <n v="-9.9953759813373395"/>
    <n v="-3648.31223318813"/>
    <n v="-13133.924039477301"/>
  </r>
  <r>
    <x v="0"/>
    <x v="0"/>
    <x v="1"/>
    <x v="3"/>
    <x v="14"/>
    <s v="SE4_EL"/>
    <x v="1"/>
    <x v="1"/>
    <x v="80"/>
    <x v="0"/>
    <x v="17"/>
    <n v="-9.8109348503822194"/>
    <n v="-3580.9912203895101"/>
    <n v="-12891.5683934022"/>
  </r>
  <r>
    <x v="0"/>
    <x v="0"/>
    <x v="1"/>
    <x v="3"/>
    <x v="14"/>
    <s v="SE4_EL"/>
    <x v="1"/>
    <x v="1"/>
    <x v="80"/>
    <x v="0"/>
    <x v="18"/>
    <n v="-14.193548387096801"/>
    <n v="-5180.6451612903202"/>
    <n v="-18650.322580645199"/>
  </r>
  <r>
    <x v="0"/>
    <x v="0"/>
    <x v="1"/>
    <x v="3"/>
    <x v="14"/>
    <s v="SE4_EL"/>
    <x v="1"/>
    <x v="1"/>
    <x v="80"/>
    <x v="0"/>
    <x v="19"/>
    <n v="-14.193548387096801"/>
    <n v="-5180.6451612903202"/>
    <n v="-18650.322580645199"/>
  </r>
  <r>
    <x v="0"/>
    <x v="0"/>
    <x v="1"/>
    <x v="3"/>
    <x v="14"/>
    <s v="SE4_EL"/>
    <x v="1"/>
    <x v="1"/>
    <x v="80"/>
    <x v="0"/>
    <x v="20"/>
    <n v="-10.323764975775999"/>
    <n v="-3768.1742161582501"/>
    <n v="-13565.427178169701"/>
  </r>
  <r>
    <x v="0"/>
    <x v="0"/>
    <x v="1"/>
    <x v="3"/>
    <x v="14"/>
    <s v="SE4_EL"/>
    <x v="1"/>
    <x v="1"/>
    <x v="80"/>
    <x v="0"/>
    <x v="21"/>
    <n v="-9.7515411856033296"/>
    <n v="-3559.3125327452199"/>
    <n v="-12813.5251178828"/>
  </r>
  <r>
    <x v="0"/>
    <x v="0"/>
    <x v="1"/>
    <x v="3"/>
    <x v="14"/>
    <s v="SE4_EL"/>
    <x v="1"/>
    <x v="1"/>
    <x v="80"/>
    <x v="0"/>
    <x v="22"/>
    <n v="-14.193548387096801"/>
    <n v="-5180.6451612903202"/>
    <n v="-18650.322580645199"/>
  </r>
  <r>
    <x v="0"/>
    <x v="0"/>
    <x v="1"/>
    <x v="3"/>
    <x v="14"/>
    <s v="SE4_EL"/>
    <x v="1"/>
    <x v="1"/>
    <x v="80"/>
    <x v="0"/>
    <x v="23"/>
    <n v="-14.193548387096801"/>
    <n v="-5180.6451612903202"/>
    <n v="-18650.322580645199"/>
  </r>
  <r>
    <x v="0"/>
    <x v="0"/>
    <x v="1"/>
    <x v="3"/>
    <x v="14"/>
    <s v="SE4_HP"/>
    <x v="1"/>
    <x v="1"/>
    <x v="80"/>
    <x v="0"/>
    <x v="0"/>
    <n v="-8.1419354838709701"/>
    <n v="-2971.8064516129002"/>
    <n v="-10698.5032258065"/>
  </r>
  <r>
    <x v="0"/>
    <x v="0"/>
    <x v="1"/>
    <x v="3"/>
    <x v="14"/>
    <s v="SE4_HP"/>
    <x v="1"/>
    <x v="1"/>
    <x v="80"/>
    <x v="0"/>
    <x v="1"/>
    <n v="-8.1419354838709701"/>
    <n v="-2971.8064516129002"/>
    <n v="-10698.5032258065"/>
  </r>
  <r>
    <x v="0"/>
    <x v="0"/>
    <x v="1"/>
    <x v="3"/>
    <x v="14"/>
    <s v="SE4_HP"/>
    <x v="1"/>
    <x v="1"/>
    <x v="80"/>
    <x v="0"/>
    <x v="2"/>
    <n v="-8.1419354838709701"/>
    <n v="-2971.8064516129002"/>
    <n v="-10698.5032258065"/>
  </r>
  <r>
    <x v="0"/>
    <x v="0"/>
    <x v="1"/>
    <x v="3"/>
    <x v="14"/>
    <s v="SE4_HP"/>
    <x v="1"/>
    <x v="1"/>
    <x v="80"/>
    <x v="0"/>
    <x v="3"/>
    <n v="-8.1419354838709701"/>
    <n v="-2971.8064516129002"/>
    <n v="-10698.5032258065"/>
  </r>
  <r>
    <x v="0"/>
    <x v="0"/>
    <x v="1"/>
    <x v="3"/>
    <x v="14"/>
    <s v="SE4_HP"/>
    <x v="1"/>
    <x v="1"/>
    <x v="80"/>
    <x v="0"/>
    <x v="4"/>
    <n v="-8.1419354838709701"/>
    <n v="-2971.8064516129002"/>
    <n v="-10698.5032258065"/>
  </r>
  <r>
    <x v="0"/>
    <x v="0"/>
    <x v="1"/>
    <x v="3"/>
    <x v="14"/>
    <s v="SE4_HP"/>
    <x v="1"/>
    <x v="1"/>
    <x v="80"/>
    <x v="0"/>
    <x v="5"/>
    <n v="-8.1419354838709701"/>
    <n v="-2971.8064516129002"/>
    <n v="-10698.5032258065"/>
  </r>
  <r>
    <x v="0"/>
    <x v="0"/>
    <x v="1"/>
    <x v="3"/>
    <x v="14"/>
    <s v="SE4_HP"/>
    <x v="1"/>
    <x v="1"/>
    <x v="80"/>
    <x v="0"/>
    <x v="6"/>
    <n v="-8.1419354838709701"/>
    <n v="-2971.8064516129002"/>
    <n v="-10698.5032258065"/>
  </r>
  <r>
    <x v="0"/>
    <x v="0"/>
    <x v="1"/>
    <x v="3"/>
    <x v="14"/>
    <s v="SE4_HP"/>
    <x v="1"/>
    <x v="1"/>
    <x v="80"/>
    <x v="0"/>
    <x v="7"/>
    <n v="-8.1419354838709701"/>
    <n v="-2971.8064516129002"/>
    <n v="-10698.5032258065"/>
  </r>
  <r>
    <x v="0"/>
    <x v="0"/>
    <x v="1"/>
    <x v="3"/>
    <x v="14"/>
    <s v="SE4_HP"/>
    <x v="1"/>
    <x v="1"/>
    <x v="80"/>
    <x v="0"/>
    <x v="8"/>
    <n v="-8.1419354838709701"/>
    <n v="-2971.8064516129002"/>
    <n v="-10698.5032258065"/>
  </r>
  <r>
    <x v="0"/>
    <x v="0"/>
    <x v="1"/>
    <x v="3"/>
    <x v="14"/>
    <s v="SE4_HP"/>
    <x v="1"/>
    <x v="1"/>
    <x v="80"/>
    <x v="0"/>
    <x v="9"/>
    <n v="-8.1419354838709701"/>
    <n v="-2971.8064516129002"/>
    <n v="-10698.5032258065"/>
  </r>
  <r>
    <x v="0"/>
    <x v="0"/>
    <x v="1"/>
    <x v="3"/>
    <x v="14"/>
    <s v="SE4_HP"/>
    <x v="1"/>
    <x v="1"/>
    <x v="80"/>
    <x v="0"/>
    <x v="10"/>
    <n v="-8.1419354838709701"/>
    <n v="-2971.8064516129002"/>
    <n v="-10698.5032258065"/>
  </r>
  <r>
    <x v="0"/>
    <x v="0"/>
    <x v="1"/>
    <x v="3"/>
    <x v="14"/>
    <s v="SE4_HP"/>
    <x v="1"/>
    <x v="1"/>
    <x v="80"/>
    <x v="0"/>
    <x v="11"/>
    <n v="-8.1419354838709701"/>
    <n v="-2971.8064516129002"/>
    <n v="-10698.5032258065"/>
  </r>
  <r>
    <x v="0"/>
    <x v="0"/>
    <x v="1"/>
    <x v="3"/>
    <x v="14"/>
    <s v="SE4_HP"/>
    <x v="1"/>
    <x v="1"/>
    <x v="80"/>
    <x v="0"/>
    <x v="12"/>
    <n v="-8.1419354838709701"/>
    <n v="-2971.8064516129002"/>
    <n v="-10698.5032258065"/>
  </r>
  <r>
    <x v="0"/>
    <x v="0"/>
    <x v="1"/>
    <x v="3"/>
    <x v="14"/>
    <s v="SE4_HP"/>
    <x v="1"/>
    <x v="1"/>
    <x v="80"/>
    <x v="0"/>
    <x v="13"/>
    <n v="-8.1419354838709701"/>
    <n v="-2971.8064516129002"/>
    <n v="-10698.5032258065"/>
  </r>
  <r>
    <x v="0"/>
    <x v="0"/>
    <x v="1"/>
    <x v="3"/>
    <x v="14"/>
    <s v="SE4_HP"/>
    <x v="1"/>
    <x v="1"/>
    <x v="80"/>
    <x v="0"/>
    <x v="14"/>
    <n v="-8.1419354838709701"/>
    <n v="-2971.8064516129002"/>
    <n v="-10698.5032258065"/>
  </r>
  <r>
    <x v="0"/>
    <x v="0"/>
    <x v="1"/>
    <x v="3"/>
    <x v="14"/>
    <s v="SE4_HP"/>
    <x v="1"/>
    <x v="1"/>
    <x v="80"/>
    <x v="0"/>
    <x v="15"/>
    <n v="-8.1419354838709701"/>
    <n v="-2971.8064516129002"/>
    <n v="-10698.5032258065"/>
  </r>
  <r>
    <x v="0"/>
    <x v="0"/>
    <x v="1"/>
    <x v="3"/>
    <x v="14"/>
    <s v="SE4_HP"/>
    <x v="1"/>
    <x v="1"/>
    <x v="80"/>
    <x v="0"/>
    <x v="16"/>
    <n v="-8.1419354838709701"/>
    <n v="-2971.8064516129002"/>
    <n v="-10698.5032258065"/>
  </r>
  <r>
    <x v="0"/>
    <x v="0"/>
    <x v="1"/>
    <x v="3"/>
    <x v="14"/>
    <s v="SE4_HP"/>
    <x v="1"/>
    <x v="1"/>
    <x v="80"/>
    <x v="0"/>
    <x v="17"/>
    <n v="-8.1419354838709701"/>
    <n v="-2971.8064516129002"/>
    <n v="-10698.5032258065"/>
  </r>
  <r>
    <x v="0"/>
    <x v="0"/>
    <x v="1"/>
    <x v="3"/>
    <x v="14"/>
    <s v="SE4_HP"/>
    <x v="1"/>
    <x v="1"/>
    <x v="80"/>
    <x v="0"/>
    <x v="18"/>
    <n v="-8.1419354838709701"/>
    <n v="-2971.8064516129002"/>
    <n v="-10698.5032258065"/>
  </r>
  <r>
    <x v="0"/>
    <x v="0"/>
    <x v="1"/>
    <x v="3"/>
    <x v="14"/>
    <s v="SE4_HP"/>
    <x v="1"/>
    <x v="1"/>
    <x v="80"/>
    <x v="0"/>
    <x v="19"/>
    <n v="-8.1419354838709701"/>
    <n v="-2971.8064516129002"/>
    <n v="-10698.5032258065"/>
  </r>
  <r>
    <x v="0"/>
    <x v="0"/>
    <x v="1"/>
    <x v="3"/>
    <x v="14"/>
    <s v="SE4_HP"/>
    <x v="1"/>
    <x v="1"/>
    <x v="80"/>
    <x v="0"/>
    <x v="20"/>
    <n v="-8.1419354838709701"/>
    <n v="-2971.8064516129002"/>
    <n v="-10698.5032258065"/>
  </r>
  <r>
    <x v="0"/>
    <x v="0"/>
    <x v="1"/>
    <x v="3"/>
    <x v="14"/>
    <s v="SE4_HP"/>
    <x v="1"/>
    <x v="1"/>
    <x v="80"/>
    <x v="0"/>
    <x v="21"/>
    <n v="-8.1419354838709701"/>
    <n v="-2971.8064516129002"/>
    <n v="-10698.5032258065"/>
  </r>
  <r>
    <x v="0"/>
    <x v="0"/>
    <x v="1"/>
    <x v="3"/>
    <x v="14"/>
    <s v="SE4_HP"/>
    <x v="1"/>
    <x v="1"/>
    <x v="80"/>
    <x v="0"/>
    <x v="22"/>
    <n v="-8.1419354838709701"/>
    <n v="-2971.8064516129002"/>
    <n v="-10698.5032258065"/>
  </r>
  <r>
    <x v="0"/>
    <x v="0"/>
    <x v="1"/>
    <x v="3"/>
    <x v="14"/>
    <s v="SE4_HP"/>
    <x v="1"/>
    <x v="1"/>
    <x v="80"/>
    <x v="0"/>
    <x v="23"/>
    <n v="-8.1419354838709701"/>
    <n v="-2971.8064516129002"/>
    <n v="-10698.5032258065"/>
  </r>
  <r>
    <x v="0"/>
    <x v="0"/>
    <x v="1"/>
    <x v="3"/>
    <x v="14"/>
    <s v="SE4_HP"/>
    <x v="1"/>
    <x v="1"/>
    <x v="90"/>
    <x v="0"/>
    <x v="0"/>
    <n v="-37.010279161504002"/>
    <n v="-13508.751893949"/>
    <n v="-48631.506818216301"/>
  </r>
  <r>
    <x v="0"/>
    <x v="0"/>
    <x v="1"/>
    <x v="3"/>
    <x v="14"/>
    <s v="SE4_HP"/>
    <x v="1"/>
    <x v="1"/>
    <x v="90"/>
    <x v="0"/>
    <x v="1"/>
    <n v="-38.998531392886697"/>
    <n v="-14234.4639584037"/>
    <n v="-51244.0702502532"/>
  </r>
  <r>
    <x v="0"/>
    <x v="0"/>
    <x v="1"/>
    <x v="3"/>
    <x v="14"/>
    <s v="SE4_HP"/>
    <x v="1"/>
    <x v="1"/>
    <x v="90"/>
    <x v="0"/>
    <x v="2"/>
    <n v="-38.595704033662798"/>
    <n v="-14087.4319722869"/>
    <n v="-50714.755100232898"/>
  </r>
  <r>
    <x v="0"/>
    <x v="0"/>
    <x v="1"/>
    <x v="3"/>
    <x v="14"/>
    <s v="SE4_HP"/>
    <x v="1"/>
    <x v="1"/>
    <x v="90"/>
    <x v="0"/>
    <x v="3"/>
    <n v="-41.293781334684503"/>
    <n v="-15072.230187159899"/>
    <n v="-54260.028673775501"/>
  </r>
  <r>
    <x v="0"/>
    <x v="0"/>
    <x v="1"/>
    <x v="3"/>
    <x v="14"/>
    <s v="SE4_HP"/>
    <x v="1"/>
    <x v="1"/>
    <x v="90"/>
    <x v="0"/>
    <x v="4"/>
    <n v="-44.281468170355801"/>
    <n v="-16162.735882179901"/>
    <n v="-58185.849175847499"/>
  </r>
  <r>
    <x v="0"/>
    <x v="0"/>
    <x v="1"/>
    <x v="3"/>
    <x v="14"/>
    <s v="SE4_HP"/>
    <x v="1"/>
    <x v="1"/>
    <x v="90"/>
    <x v="0"/>
    <x v="5"/>
    <n v="-51.438109300714601"/>
    <n v="-18774.9098947608"/>
    <n v="-67589.675621139002"/>
  </r>
  <r>
    <x v="0"/>
    <x v="0"/>
    <x v="1"/>
    <x v="3"/>
    <x v="14"/>
    <s v="SE4_HP"/>
    <x v="1"/>
    <x v="1"/>
    <x v="90"/>
    <x v="0"/>
    <x v="6"/>
    <n v="-51.438109300714601"/>
    <n v="-18774.9098947608"/>
    <n v="-67589.675621139002"/>
  </r>
  <r>
    <x v="0"/>
    <x v="0"/>
    <x v="1"/>
    <x v="3"/>
    <x v="14"/>
    <s v="SE4_HP"/>
    <x v="1"/>
    <x v="1"/>
    <x v="90"/>
    <x v="0"/>
    <x v="7"/>
    <n v="-51.438109300714601"/>
    <n v="-18774.9098947608"/>
    <n v="-67589.675621139002"/>
  </r>
  <r>
    <x v="0"/>
    <x v="0"/>
    <x v="1"/>
    <x v="3"/>
    <x v="14"/>
    <s v="SE4_HP"/>
    <x v="1"/>
    <x v="1"/>
    <x v="90"/>
    <x v="0"/>
    <x v="8"/>
    <n v="-51.438109300714601"/>
    <n v="-18774.9098947608"/>
    <n v="-67589.675621139002"/>
  </r>
  <r>
    <x v="0"/>
    <x v="0"/>
    <x v="1"/>
    <x v="3"/>
    <x v="14"/>
    <s v="SE4_HP"/>
    <x v="1"/>
    <x v="1"/>
    <x v="90"/>
    <x v="0"/>
    <x v="9"/>
    <n v="-51.438109300714601"/>
    <n v="-18774.9098947608"/>
    <n v="-67589.675621139002"/>
  </r>
  <r>
    <x v="0"/>
    <x v="0"/>
    <x v="1"/>
    <x v="3"/>
    <x v="14"/>
    <s v="SE4_HP"/>
    <x v="1"/>
    <x v="1"/>
    <x v="90"/>
    <x v="0"/>
    <x v="10"/>
    <n v="-51.438109300714601"/>
    <n v="-18774.9098947608"/>
    <n v="-67589.675621139002"/>
  </r>
  <r>
    <x v="0"/>
    <x v="0"/>
    <x v="1"/>
    <x v="3"/>
    <x v="14"/>
    <s v="SE4_HP"/>
    <x v="1"/>
    <x v="1"/>
    <x v="90"/>
    <x v="0"/>
    <x v="11"/>
    <n v="-50.497939638838297"/>
    <n v="-18431.747968176001"/>
    <n v="-66354.292685433495"/>
  </r>
  <r>
    <x v="0"/>
    <x v="0"/>
    <x v="1"/>
    <x v="3"/>
    <x v="14"/>
    <s v="SE4_HP"/>
    <x v="1"/>
    <x v="1"/>
    <x v="90"/>
    <x v="0"/>
    <x v="12"/>
    <n v="-46.701931060355903"/>
    <n v="-17046.204837029902"/>
    <n v="-61366.337413307701"/>
  </r>
  <r>
    <x v="0"/>
    <x v="0"/>
    <x v="1"/>
    <x v="3"/>
    <x v="14"/>
    <s v="SE4_HP"/>
    <x v="1"/>
    <x v="1"/>
    <x v="90"/>
    <x v="0"/>
    <x v="13"/>
    <n v="-46.9739883773317"/>
    <n v="-17145.5057577261"/>
    <n v="-61723.8207278138"/>
  </r>
  <r>
    <x v="0"/>
    <x v="0"/>
    <x v="1"/>
    <x v="3"/>
    <x v="14"/>
    <s v="SE4_HP"/>
    <x v="1"/>
    <x v="1"/>
    <x v="90"/>
    <x v="0"/>
    <x v="14"/>
    <n v="-49.388390119015703"/>
    <n v="-18026.762393440698"/>
    <n v="-64896.344616386697"/>
  </r>
  <r>
    <x v="0"/>
    <x v="0"/>
    <x v="1"/>
    <x v="3"/>
    <x v="14"/>
    <s v="SE4_HP"/>
    <x v="1"/>
    <x v="1"/>
    <x v="90"/>
    <x v="0"/>
    <x v="15"/>
    <n v="-51.438109300714601"/>
    <n v="-18774.9098947608"/>
    <n v="-67589.675621139002"/>
  </r>
  <r>
    <x v="0"/>
    <x v="0"/>
    <x v="1"/>
    <x v="3"/>
    <x v="14"/>
    <s v="SE4_HP"/>
    <x v="1"/>
    <x v="1"/>
    <x v="90"/>
    <x v="0"/>
    <x v="16"/>
    <n v="-51.438109300714601"/>
    <n v="-18774.9098947608"/>
    <n v="-67589.675621139002"/>
  </r>
  <r>
    <x v="0"/>
    <x v="0"/>
    <x v="1"/>
    <x v="3"/>
    <x v="14"/>
    <s v="SE4_HP"/>
    <x v="1"/>
    <x v="1"/>
    <x v="90"/>
    <x v="0"/>
    <x v="17"/>
    <n v="-51.438109300714601"/>
    <n v="-18774.9098947608"/>
    <n v="-67589.675621139002"/>
  </r>
  <r>
    <x v="0"/>
    <x v="0"/>
    <x v="1"/>
    <x v="3"/>
    <x v="14"/>
    <s v="SE4_HP"/>
    <x v="1"/>
    <x v="1"/>
    <x v="90"/>
    <x v="0"/>
    <x v="18"/>
    <n v="-51.438109300714601"/>
    <n v="-18774.9098947608"/>
    <n v="-67589.675621139002"/>
  </r>
  <r>
    <x v="0"/>
    <x v="0"/>
    <x v="1"/>
    <x v="3"/>
    <x v="14"/>
    <s v="SE4_HP"/>
    <x v="1"/>
    <x v="1"/>
    <x v="90"/>
    <x v="0"/>
    <x v="19"/>
    <n v="-51.438109300714601"/>
    <n v="-18774.9098947608"/>
    <n v="-67589.675621139002"/>
  </r>
  <r>
    <x v="0"/>
    <x v="0"/>
    <x v="1"/>
    <x v="3"/>
    <x v="14"/>
    <s v="SE4_HP"/>
    <x v="1"/>
    <x v="1"/>
    <x v="90"/>
    <x v="0"/>
    <x v="20"/>
    <n v="-51.438109300714601"/>
    <n v="-18774.9098947608"/>
    <n v="-67589.675621139002"/>
  </r>
  <r>
    <x v="0"/>
    <x v="0"/>
    <x v="1"/>
    <x v="3"/>
    <x v="14"/>
    <s v="SE4_HP"/>
    <x v="1"/>
    <x v="1"/>
    <x v="90"/>
    <x v="0"/>
    <x v="21"/>
    <n v="-51.438109300714601"/>
    <n v="-18774.9098947608"/>
    <n v="-67589.675621139002"/>
  </r>
  <r>
    <x v="0"/>
    <x v="0"/>
    <x v="1"/>
    <x v="3"/>
    <x v="14"/>
    <s v="SE4_HP"/>
    <x v="1"/>
    <x v="1"/>
    <x v="90"/>
    <x v="0"/>
    <x v="22"/>
    <n v="-51.438109300714601"/>
    <n v="-18774.9098947608"/>
    <n v="-67589.675621139002"/>
  </r>
  <r>
    <x v="0"/>
    <x v="0"/>
    <x v="1"/>
    <x v="3"/>
    <x v="14"/>
    <s v="SE4_HP"/>
    <x v="1"/>
    <x v="1"/>
    <x v="90"/>
    <x v="0"/>
    <x v="23"/>
    <n v="-45.434329876090302"/>
    <n v="-16583.530404772901"/>
    <n v="-59700.709457182602"/>
  </r>
  <r>
    <x v="0"/>
    <x v="0"/>
    <x v="1"/>
    <x v="3"/>
    <x v="14"/>
    <s v="SE4_HP"/>
    <x v="2"/>
    <x v="2"/>
    <x v="83"/>
    <x v="0"/>
    <x v="6"/>
    <n v="10.7149825546829"/>
    <n v="3910.9686324592699"/>
    <n v="14079.4870768534"/>
  </r>
  <r>
    <x v="0"/>
    <x v="0"/>
    <x v="1"/>
    <x v="3"/>
    <x v="14"/>
    <s v="SE4_HP"/>
    <x v="2"/>
    <x v="2"/>
    <x v="83"/>
    <x v="0"/>
    <x v="7"/>
    <n v="12.482101002957499"/>
    <n v="4555.9668660794996"/>
    <n v="16401.480717886199"/>
  </r>
  <r>
    <x v="0"/>
    <x v="0"/>
    <x v="1"/>
    <x v="3"/>
    <x v="14"/>
    <s v="SE4_HP"/>
    <x v="2"/>
    <x v="2"/>
    <x v="83"/>
    <x v="0"/>
    <x v="8"/>
    <n v="4.9313908894638496"/>
    <n v="1799.9576746543"/>
    <n v="6479.8476287554904"/>
  </r>
  <r>
    <x v="0"/>
    <x v="0"/>
    <x v="1"/>
    <x v="3"/>
    <x v="14"/>
    <s v="SE4_MAL"/>
    <x v="1"/>
    <x v="1"/>
    <x v="67"/>
    <x v="0"/>
    <x v="0"/>
    <n v="-0.33333333333333298"/>
    <n v="-121.666666666667"/>
    <n v="-438"/>
  </r>
  <r>
    <x v="0"/>
    <x v="0"/>
    <x v="1"/>
    <x v="3"/>
    <x v="14"/>
    <s v="SE4_MAL"/>
    <x v="1"/>
    <x v="1"/>
    <x v="67"/>
    <x v="0"/>
    <x v="1"/>
    <n v="-0.33333333333333298"/>
    <n v="-121.666666666667"/>
    <n v="-438"/>
  </r>
  <r>
    <x v="0"/>
    <x v="0"/>
    <x v="1"/>
    <x v="3"/>
    <x v="14"/>
    <s v="SE4_MAL"/>
    <x v="1"/>
    <x v="1"/>
    <x v="67"/>
    <x v="0"/>
    <x v="2"/>
    <n v="-0.33333333333333298"/>
    <n v="-121.666666666667"/>
    <n v="-438"/>
  </r>
  <r>
    <x v="0"/>
    <x v="0"/>
    <x v="1"/>
    <x v="3"/>
    <x v="14"/>
    <s v="SE4_MAL"/>
    <x v="1"/>
    <x v="1"/>
    <x v="67"/>
    <x v="0"/>
    <x v="3"/>
    <n v="-0.33333333333333298"/>
    <n v="-121.666666666667"/>
    <n v="-438"/>
  </r>
  <r>
    <x v="0"/>
    <x v="0"/>
    <x v="1"/>
    <x v="3"/>
    <x v="14"/>
    <s v="SE4_MAL"/>
    <x v="1"/>
    <x v="1"/>
    <x v="67"/>
    <x v="0"/>
    <x v="4"/>
    <n v="-0.33333333333333298"/>
    <n v="-121.666666666667"/>
    <n v="-438"/>
  </r>
  <r>
    <x v="0"/>
    <x v="0"/>
    <x v="1"/>
    <x v="3"/>
    <x v="14"/>
    <s v="SE4_MAL"/>
    <x v="1"/>
    <x v="1"/>
    <x v="67"/>
    <x v="0"/>
    <x v="5"/>
    <n v="-0.33333333333333298"/>
    <n v="-121.666666666667"/>
    <n v="-438"/>
  </r>
  <r>
    <x v="0"/>
    <x v="0"/>
    <x v="1"/>
    <x v="3"/>
    <x v="14"/>
    <s v="SE4_MAL"/>
    <x v="1"/>
    <x v="1"/>
    <x v="67"/>
    <x v="0"/>
    <x v="6"/>
    <n v="-0.33333333333333298"/>
    <n v="-121.666666666667"/>
    <n v="-438"/>
  </r>
  <r>
    <x v="0"/>
    <x v="0"/>
    <x v="1"/>
    <x v="3"/>
    <x v="14"/>
    <s v="SE4_MAL"/>
    <x v="1"/>
    <x v="1"/>
    <x v="67"/>
    <x v="0"/>
    <x v="7"/>
    <n v="-0.33333333333333298"/>
    <n v="-121.666666666667"/>
    <n v="-438"/>
  </r>
  <r>
    <x v="0"/>
    <x v="0"/>
    <x v="1"/>
    <x v="3"/>
    <x v="14"/>
    <s v="SE4_MAL"/>
    <x v="1"/>
    <x v="1"/>
    <x v="67"/>
    <x v="0"/>
    <x v="8"/>
    <n v="-0.33333333333333298"/>
    <n v="-121.666666666667"/>
    <n v="-438"/>
  </r>
  <r>
    <x v="0"/>
    <x v="0"/>
    <x v="1"/>
    <x v="3"/>
    <x v="14"/>
    <s v="SE4_MAL"/>
    <x v="1"/>
    <x v="1"/>
    <x v="67"/>
    <x v="0"/>
    <x v="9"/>
    <n v="-0.33333333333333298"/>
    <n v="-121.666666666667"/>
    <n v="-438"/>
  </r>
  <r>
    <x v="0"/>
    <x v="0"/>
    <x v="1"/>
    <x v="3"/>
    <x v="14"/>
    <s v="SE4_MAL"/>
    <x v="1"/>
    <x v="1"/>
    <x v="67"/>
    <x v="0"/>
    <x v="10"/>
    <n v="-0.33333333333333298"/>
    <n v="-121.666666666667"/>
    <n v="-438"/>
  </r>
  <r>
    <x v="0"/>
    <x v="0"/>
    <x v="1"/>
    <x v="3"/>
    <x v="14"/>
    <s v="SE4_MAL"/>
    <x v="1"/>
    <x v="1"/>
    <x v="67"/>
    <x v="0"/>
    <x v="11"/>
    <n v="-0.33333333333333298"/>
    <n v="-121.666666666667"/>
    <n v="-438"/>
  </r>
  <r>
    <x v="0"/>
    <x v="0"/>
    <x v="1"/>
    <x v="3"/>
    <x v="14"/>
    <s v="SE4_MAL"/>
    <x v="1"/>
    <x v="1"/>
    <x v="67"/>
    <x v="0"/>
    <x v="12"/>
    <n v="-0.33333333333333298"/>
    <n v="-121.666666666667"/>
    <n v="-438"/>
  </r>
  <r>
    <x v="0"/>
    <x v="0"/>
    <x v="1"/>
    <x v="3"/>
    <x v="14"/>
    <s v="SE4_MAL"/>
    <x v="1"/>
    <x v="1"/>
    <x v="67"/>
    <x v="0"/>
    <x v="13"/>
    <n v="-0.33333333333333298"/>
    <n v="-121.666666666667"/>
    <n v="-438"/>
  </r>
  <r>
    <x v="0"/>
    <x v="0"/>
    <x v="1"/>
    <x v="3"/>
    <x v="14"/>
    <s v="SE4_MAL"/>
    <x v="1"/>
    <x v="1"/>
    <x v="67"/>
    <x v="0"/>
    <x v="14"/>
    <n v="-0.33333333333333298"/>
    <n v="-121.666666666667"/>
    <n v="-438"/>
  </r>
  <r>
    <x v="0"/>
    <x v="0"/>
    <x v="1"/>
    <x v="3"/>
    <x v="14"/>
    <s v="SE4_MAL"/>
    <x v="1"/>
    <x v="1"/>
    <x v="67"/>
    <x v="0"/>
    <x v="15"/>
    <n v="-0.33333333333333298"/>
    <n v="-121.666666666667"/>
    <n v="-438"/>
  </r>
  <r>
    <x v="0"/>
    <x v="0"/>
    <x v="1"/>
    <x v="3"/>
    <x v="14"/>
    <s v="SE4_MAL"/>
    <x v="1"/>
    <x v="1"/>
    <x v="67"/>
    <x v="0"/>
    <x v="16"/>
    <n v="-0.33333333333333298"/>
    <n v="-121.666666666667"/>
    <n v="-438"/>
  </r>
  <r>
    <x v="0"/>
    <x v="0"/>
    <x v="1"/>
    <x v="3"/>
    <x v="14"/>
    <s v="SE4_MAL"/>
    <x v="1"/>
    <x v="1"/>
    <x v="67"/>
    <x v="0"/>
    <x v="17"/>
    <n v="-0.33333333333333298"/>
    <n v="-121.666666666667"/>
    <n v="-438"/>
  </r>
  <r>
    <x v="0"/>
    <x v="0"/>
    <x v="1"/>
    <x v="3"/>
    <x v="14"/>
    <s v="SE4_MAL"/>
    <x v="1"/>
    <x v="1"/>
    <x v="67"/>
    <x v="0"/>
    <x v="18"/>
    <n v="-0.33333333333333298"/>
    <n v="-121.666666666667"/>
    <n v="-438"/>
  </r>
  <r>
    <x v="0"/>
    <x v="0"/>
    <x v="1"/>
    <x v="3"/>
    <x v="14"/>
    <s v="SE4_MAL"/>
    <x v="1"/>
    <x v="1"/>
    <x v="67"/>
    <x v="0"/>
    <x v="19"/>
    <n v="-0.33333333333333298"/>
    <n v="-121.666666666667"/>
    <n v="-438"/>
  </r>
  <r>
    <x v="0"/>
    <x v="0"/>
    <x v="1"/>
    <x v="3"/>
    <x v="14"/>
    <s v="SE4_MAL"/>
    <x v="1"/>
    <x v="1"/>
    <x v="67"/>
    <x v="0"/>
    <x v="20"/>
    <n v="-0.33333333333333298"/>
    <n v="-121.666666666667"/>
    <n v="-438"/>
  </r>
  <r>
    <x v="0"/>
    <x v="0"/>
    <x v="1"/>
    <x v="3"/>
    <x v="14"/>
    <s v="SE4_MAL"/>
    <x v="1"/>
    <x v="1"/>
    <x v="67"/>
    <x v="0"/>
    <x v="21"/>
    <n v="-0.33333333333333298"/>
    <n v="-121.666666666667"/>
    <n v="-438"/>
  </r>
  <r>
    <x v="0"/>
    <x v="0"/>
    <x v="1"/>
    <x v="3"/>
    <x v="14"/>
    <s v="SE4_MAL"/>
    <x v="1"/>
    <x v="1"/>
    <x v="67"/>
    <x v="0"/>
    <x v="22"/>
    <n v="-0.33333333333333298"/>
    <n v="-121.666666666667"/>
    <n v="-438"/>
  </r>
  <r>
    <x v="0"/>
    <x v="0"/>
    <x v="1"/>
    <x v="3"/>
    <x v="14"/>
    <s v="SE4_MAL"/>
    <x v="1"/>
    <x v="1"/>
    <x v="67"/>
    <x v="0"/>
    <x v="23"/>
    <n v="-0.33333333333333298"/>
    <n v="-121.666666666667"/>
    <n v="-438"/>
  </r>
  <r>
    <x v="0"/>
    <x v="0"/>
    <x v="1"/>
    <x v="3"/>
    <x v="14"/>
    <s v="SE4_MAL"/>
    <x v="1"/>
    <x v="1"/>
    <x v="90"/>
    <x v="0"/>
    <x v="0"/>
    <n v="-137.76014165614899"/>
    <n v="-50282.451704494299"/>
    <n v="-181016.82613617901"/>
  </r>
  <r>
    <x v="0"/>
    <x v="0"/>
    <x v="1"/>
    <x v="3"/>
    <x v="14"/>
    <s v="SE4_MAL"/>
    <x v="1"/>
    <x v="1"/>
    <x v="90"/>
    <x v="0"/>
    <x v="1"/>
    <n v="-141.574853277198"/>
    <n v="-51674.8214461772"/>
    <n v="-186029.357206238"/>
  </r>
  <r>
    <x v="0"/>
    <x v="0"/>
    <x v="1"/>
    <x v="3"/>
    <x v="14"/>
    <s v="SE4_MAL"/>
    <x v="1"/>
    <x v="1"/>
    <x v="90"/>
    <x v="0"/>
    <x v="2"/>
    <n v="-140.51430473036899"/>
    <n v="-51287.721226584697"/>
    <n v="-184635.796415705"/>
  </r>
  <r>
    <x v="0"/>
    <x v="0"/>
    <x v="1"/>
    <x v="3"/>
    <x v="14"/>
    <s v="SE4_MAL"/>
    <x v="1"/>
    <x v="1"/>
    <x v="90"/>
    <x v="0"/>
    <x v="3"/>
    <n v="-143.160336235324"/>
    <n v="-52253.522725893403"/>
    <n v="-188112.68181321601"/>
  </r>
  <r>
    <x v="0"/>
    <x v="0"/>
    <x v="1"/>
    <x v="3"/>
    <x v="14"/>
    <s v="SE4_MAL"/>
    <x v="1"/>
    <x v="1"/>
    <x v="90"/>
    <x v="0"/>
    <x v="4"/>
    <n v="-147.49880625273499"/>
    <n v="-53837.064282248401"/>
    <n v="-193813.43141609401"/>
  </r>
  <r>
    <x v="0"/>
    <x v="0"/>
    <x v="1"/>
    <x v="3"/>
    <x v="14"/>
    <s v="SE4_MAL"/>
    <x v="1"/>
    <x v="1"/>
    <x v="90"/>
    <x v="0"/>
    <x v="5"/>
    <n v="-172.67784334564701"/>
    <n v="-63027.412821161197"/>
    <n v="-226898.68615617999"/>
  </r>
  <r>
    <x v="0"/>
    <x v="0"/>
    <x v="1"/>
    <x v="3"/>
    <x v="14"/>
    <s v="SE4_MAL"/>
    <x v="1"/>
    <x v="1"/>
    <x v="90"/>
    <x v="0"/>
    <x v="6"/>
    <n v="-181.90817282315601"/>
    <n v="-66396.483080452002"/>
    <n v="-239027.339089627"/>
  </r>
  <r>
    <x v="0"/>
    <x v="0"/>
    <x v="1"/>
    <x v="3"/>
    <x v="14"/>
    <s v="SE4_MAL"/>
    <x v="1"/>
    <x v="1"/>
    <x v="90"/>
    <x v="0"/>
    <x v="7"/>
    <n v="-181.90817282315601"/>
    <n v="-66396.483080452002"/>
    <n v="-239027.339089627"/>
  </r>
  <r>
    <x v="0"/>
    <x v="0"/>
    <x v="1"/>
    <x v="3"/>
    <x v="14"/>
    <s v="SE4_MAL"/>
    <x v="1"/>
    <x v="1"/>
    <x v="90"/>
    <x v="0"/>
    <x v="8"/>
    <n v="-181.90817282315601"/>
    <n v="-66396.483080452002"/>
    <n v="-239027.339089627"/>
  </r>
  <r>
    <x v="0"/>
    <x v="0"/>
    <x v="1"/>
    <x v="3"/>
    <x v="14"/>
    <s v="SE4_MAL"/>
    <x v="1"/>
    <x v="1"/>
    <x v="90"/>
    <x v="0"/>
    <x v="9"/>
    <n v="-181.90817282315601"/>
    <n v="-66396.483080452002"/>
    <n v="-239027.339089627"/>
  </r>
  <r>
    <x v="0"/>
    <x v="0"/>
    <x v="1"/>
    <x v="3"/>
    <x v="14"/>
    <s v="SE4_MAL"/>
    <x v="1"/>
    <x v="1"/>
    <x v="90"/>
    <x v="0"/>
    <x v="10"/>
    <n v="-169.073884226046"/>
    <n v="-61711.967742506997"/>
    <n v="-222163.083873025"/>
  </r>
  <r>
    <x v="0"/>
    <x v="0"/>
    <x v="1"/>
    <x v="3"/>
    <x v="14"/>
    <s v="SE4_MAL"/>
    <x v="1"/>
    <x v="1"/>
    <x v="90"/>
    <x v="0"/>
    <x v="11"/>
    <n v="-159.73001774788301"/>
    <n v="-58301.456477977299"/>
    <n v="-209885.243320718"/>
  </r>
  <r>
    <x v="0"/>
    <x v="0"/>
    <x v="1"/>
    <x v="3"/>
    <x v="14"/>
    <s v="SE4_MAL"/>
    <x v="1"/>
    <x v="1"/>
    <x v="90"/>
    <x v="0"/>
    <x v="12"/>
    <n v="-152.19419429445199"/>
    <n v="-55550.880917474897"/>
    <n v="-199983.171302909"/>
  </r>
  <r>
    <x v="0"/>
    <x v="0"/>
    <x v="1"/>
    <x v="3"/>
    <x v="14"/>
    <s v="SE4_MAL"/>
    <x v="1"/>
    <x v="1"/>
    <x v="90"/>
    <x v="0"/>
    <x v="13"/>
    <n v="-152.976575464484"/>
    <n v="-55836.450044536803"/>
    <n v="-201011.220160333"/>
  </r>
  <r>
    <x v="0"/>
    <x v="0"/>
    <x v="1"/>
    <x v="3"/>
    <x v="14"/>
    <s v="SE4_MAL"/>
    <x v="1"/>
    <x v="1"/>
    <x v="90"/>
    <x v="0"/>
    <x v="14"/>
    <n v="-158.74868741401801"/>
    <n v="-57943.270906116602"/>
    <n v="-208595.77526202"/>
  </r>
  <r>
    <x v="0"/>
    <x v="0"/>
    <x v="1"/>
    <x v="3"/>
    <x v="14"/>
    <s v="SE4_MAL"/>
    <x v="1"/>
    <x v="1"/>
    <x v="90"/>
    <x v="0"/>
    <x v="15"/>
    <n v="-166.886052584125"/>
    <n v="-60913.4091932058"/>
    <n v="-219288.27309554099"/>
  </r>
  <r>
    <x v="0"/>
    <x v="0"/>
    <x v="1"/>
    <x v="3"/>
    <x v="14"/>
    <s v="SE4_MAL"/>
    <x v="1"/>
    <x v="1"/>
    <x v="90"/>
    <x v="0"/>
    <x v="16"/>
    <n v="-175.362623679352"/>
    <n v="-64007.357642963601"/>
    <n v="-230426.48751466899"/>
  </r>
  <r>
    <x v="0"/>
    <x v="0"/>
    <x v="1"/>
    <x v="3"/>
    <x v="14"/>
    <s v="SE4_MAL"/>
    <x v="1"/>
    <x v="1"/>
    <x v="90"/>
    <x v="0"/>
    <x v="17"/>
    <n v="-181.90817282315601"/>
    <n v="-66396.483080452002"/>
    <n v="-239027.339089627"/>
  </r>
  <r>
    <x v="0"/>
    <x v="0"/>
    <x v="1"/>
    <x v="3"/>
    <x v="14"/>
    <s v="SE4_MAL"/>
    <x v="1"/>
    <x v="1"/>
    <x v="90"/>
    <x v="0"/>
    <x v="18"/>
    <n v="-181.90817282315601"/>
    <n v="-66396.483080452002"/>
    <n v="-239027.339089627"/>
  </r>
  <r>
    <x v="0"/>
    <x v="0"/>
    <x v="1"/>
    <x v="3"/>
    <x v="14"/>
    <s v="SE4_MAL"/>
    <x v="1"/>
    <x v="1"/>
    <x v="90"/>
    <x v="0"/>
    <x v="19"/>
    <n v="-181.90817282315601"/>
    <n v="-66396.483080452002"/>
    <n v="-239027.339089627"/>
  </r>
  <r>
    <x v="0"/>
    <x v="0"/>
    <x v="1"/>
    <x v="3"/>
    <x v="14"/>
    <s v="SE4_MAL"/>
    <x v="1"/>
    <x v="1"/>
    <x v="90"/>
    <x v="0"/>
    <x v="20"/>
    <n v="-181.90817282315601"/>
    <n v="-66396.483080452002"/>
    <n v="-239027.339089627"/>
  </r>
  <r>
    <x v="0"/>
    <x v="0"/>
    <x v="1"/>
    <x v="3"/>
    <x v="14"/>
    <s v="SE4_MAL"/>
    <x v="1"/>
    <x v="1"/>
    <x v="90"/>
    <x v="0"/>
    <x v="21"/>
    <n v="-181.90817282315601"/>
    <n v="-66396.483080452002"/>
    <n v="-239027.339089627"/>
  </r>
  <r>
    <x v="0"/>
    <x v="0"/>
    <x v="1"/>
    <x v="3"/>
    <x v="14"/>
    <s v="SE4_MAL"/>
    <x v="1"/>
    <x v="1"/>
    <x v="90"/>
    <x v="0"/>
    <x v="22"/>
    <n v="-179.41084839383399"/>
    <n v="-65484.959663749301"/>
    <n v="-235745.85478949701"/>
  </r>
  <r>
    <x v="0"/>
    <x v="0"/>
    <x v="1"/>
    <x v="3"/>
    <x v="14"/>
    <s v="SE4_MAL"/>
    <x v="1"/>
    <x v="1"/>
    <x v="90"/>
    <x v="0"/>
    <x v="23"/>
    <n v="-155.96793316841999"/>
    <n v="-56928.295606473199"/>
    <n v="-204941.86418330399"/>
  </r>
  <r>
    <x v="0"/>
    <x v="0"/>
    <x v="1"/>
    <x v="3"/>
    <x v="14"/>
    <s v="SE4_MAL"/>
    <x v="2"/>
    <x v="2"/>
    <x v="61"/>
    <x v="0"/>
    <x v="6"/>
    <n v="9.2662809773407293"/>
    <n v="3382.1925567293702"/>
    <n v="12175.8932042257"/>
  </r>
  <r>
    <x v="0"/>
    <x v="0"/>
    <x v="1"/>
    <x v="3"/>
    <x v="14"/>
    <s v="SE4_MAL"/>
    <x v="2"/>
    <x v="2"/>
    <x v="61"/>
    <x v="0"/>
    <x v="7"/>
    <n v="10.260733843709801"/>
    <n v="3745.16785295407"/>
    <n v="13482.6042706347"/>
  </r>
  <r>
    <x v="0"/>
    <x v="0"/>
    <x v="1"/>
    <x v="3"/>
    <x v="14"/>
    <s v="SE4_MAL"/>
    <x v="2"/>
    <x v="2"/>
    <x v="61"/>
    <x v="0"/>
    <x v="8"/>
    <n v="4.8323055453231296"/>
    <n v="1763.79152404294"/>
    <n v="6349.6494865545901"/>
  </r>
  <r>
    <x v="0"/>
    <x v="0"/>
    <x v="1"/>
    <x v="3"/>
    <x v="14"/>
    <s v="SE4_MAL"/>
    <x v="2"/>
    <x v="2"/>
    <x v="61"/>
    <x v="0"/>
    <x v="9"/>
    <n v="3.8624190399712002E-2"/>
    <n v="14.097829495894899"/>
    <n v="50.752186185221603"/>
  </r>
  <r>
    <x v="0"/>
    <x v="0"/>
    <x v="1"/>
    <x v="3"/>
    <x v="14"/>
    <s v="SE4_MAL"/>
    <x v="2"/>
    <x v="2"/>
    <x v="61"/>
    <x v="0"/>
    <x v="18"/>
    <n v="1.5772788531522"/>
    <n v="575.70678140055497"/>
    <n v="2072.5444130420001"/>
  </r>
  <r>
    <x v="0"/>
    <x v="0"/>
    <x v="1"/>
    <x v="3"/>
    <x v="14"/>
    <s v="SE4_MAL"/>
    <x v="2"/>
    <x v="2"/>
    <x v="61"/>
    <x v="0"/>
    <x v="19"/>
    <n v="2.7085244921312701"/>
    <n v="988.611439627913"/>
    <n v="3559.00118266049"/>
  </r>
  <r>
    <x v="0"/>
    <x v="0"/>
    <x v="1"/>
    <x v="3"/>
    <x v="14"/>
    <s v="SE4_MAL"/>
    <x v="2"/>
    <x v="2"/>
    <x v="61"/>
    <x v="0"/>
    <x v="20"/>
    <n v="2.77391021335271"/>
    <n v="1012.47722787374"/>
    <n v="3644.9180203454598"/>
  </r>
  <r>
    <x v="0"/>
    <x v="0"/>
    <x v="1"/>
    <x v="3"/>
    <x v="14"/>
    <s v="SE4_MAL"/>
    <x v="2"/>
    <x v="2"/>
    <x v="61"/>
    <x v="0"/>
    <x v="21"/>
    <n v="1.75398328172977"/>
    <n v="640.20389783136704"/>
    <n v="2304.73403219292"/>
  </r>
  <r>
    <x v="0"/>
    <x v="0"/>
    <x v="1"/>
    <x v="3"/>
    <x v="14"/>
    <s v="SE4_OTHER"/>
    <x v="1"/>
    <x v="1"/>
    <x v="90"/>
    <x v="0"/>
    <x v="0"/>
    <n v="-360.46519853239698"/>
    <n v="-131569.79746432501"/>
    <n v="-473651.27087156998"/>
  </r>
  <r>
    <x v="0"/>
    <x v="0"/>
    <x v="1"/>
    <x v="3"/>
    <x v="14"/>
    <s v="SE4_OTHER"/>
    <x v="1"/>
    <x v="1"/>
    <x v="90"/>
    <x v="0"/>
    <x v="1"/>
    <n v="-370.446158444498"/>
    <n v="-135212.847832242"/>
    <n v="-486766.25219606998"/>
  </r>
  <r>
    <x v="0"/>
    <x v="0"/>
    <x v="1"/>
    <x v="3"/>
    <x v="14"/>
    <s v="SE4_OTHER"/>
    <x v="1"/>
    <x v="1"/>
    <x v="90"/>
    <x v="0"/>
    <x v="2"/>
    <n v="-370.44822842116599"/>
    <n v="-135213.60337372599"/>
    <n v="-486768.97214541299"/>
  </r>
  <r>
    <x v="0"/>
    <x v="0"/>
    <x v="1"/>
    <x v="3"/>
    <x v="14"/>
    <s v="SE4_OTHER"/>
    <x v="1"/>
    <x v="1"/>
    <x v="90"/>
    <x v="0"/>
    <x v="3"/>
    <n v="-380.00729708530997"/>
    <n v="-138702.66343613801"/>
    <n v="-499329.58837009798"/>
  </r>
  <r>
    <x v="0"/>
    <x v="0"/>
    <x v="1"/>
    <x v="3"/>
    <x v="14"/>
    <s v="SE4_OTHER"/>
    <x v="1"/>
    <x v="1"/>
    <x v="90"/>
    <x v="0"/>
    <x v="4"/>
    <n v="-380.00729708530997"/>
    <n v="-138702.66343613801"/>
    <n v="-499329.58837009798"/>
  </r>
  <r>
    <x v="0"/>
    <x v="0"/>
    <x v="1"/>
    <x v="3"/>
    <x v="14"/>
    <s v="SE4_OTHER"/>
    <x v="1"/>
    <x v="1"/>
    <x v="90"/>
    <x v="0"/>
    <x v="5"/>
    <n v="-380.00729708530997"/>
    <n v="-138702.66343613801"/>
    <n v="-499329.58837009798"/>
  </r>
  <r>
    <x v="0"/>
    <x v="0"/>
    <x v="1"/>
    <x v="3"/>
    <x v="14"/>
    <s v="SE4_OTHER"/>
    <x v="1"/>
    <x v="1"/>
    <x v="90"/>
    <x v="0"/>
    <x v="6"/>
    <n v="-380.00729708530997"/>
    <n v="-138702.66343613801"/>
    <n v="-499329.58837009798"/>
  </r>
  <r>
    <x v="0"/>
    <x v="0"/>
    <x v="1"/>
    <x v="3"/>
    <x v="14"/>
    <s v="SE4_OTHER"/>
    <x v="1"/>
    <x v="1"/>
    <x v="90"/>
    <x v="0"/>
    <x v="7"/>
    <n v="-380.00729708530997"/>
    <n v="-138702.66343613801"/>
    <n v="-499329.58837009798"/>
  </r>
  <r>
    <x v="0"/>
    <x v="0"/>
    <x v="1"/>
    <x v="3"/>
    <x v="14"/>
    <s v="SE4_OTHER"/>
    <x v="1"/>
    <x v="1"/>
    <x v="90"/>
    <x v="0"/>
    <x v="8"/>
    <n v="-380.00729708530997"/>
    <n v="-138702.66343613801"/>
    <n v="-499329.58837009798"/>
  </r>
  <r>
    <x v="0"/>
    <x v="0"/>
    <x v="1"/>
    <x v="3"/>
    <x v="14"/>
    <s v="SE4_OTHER"/>
    <x v="1"/>
    <x v="1"/>
    <x v="90"/>
    <x v="0"/>
    <x v="9"/>
    <n v="-380.00729708530997"/>
    <n v="-138702.66343613801"/>
    <n v="-499329.58837009798"/>
  </r>
  <r>
    <x v="0"/>
    <x v="0"/>
    <x v="1"/>
    <x v="3"/>
    <x v="14"/>
    <s v="SE4_OTHER"/>
    <x v="1"/>
    <x v="1"/>
    <x v="90"/>
    <x v="0"/>
    <x v="10"/>
    <n v="-380.00729708530997"/>
    <n v="-138702.66343613801"/>
    <n v="-499329.58837009798"/>
  </r>
  <r>
    <x v="0"/>
    <x v="0"/>
    <x v="1"/>
    <x v="3"/>
    <x v="14"/>
    <s v="SE4_OTHER"/>
    <x v="1"/>
    <x v="1"/>
    <x v="90"/>
    <x v="0"/>
    <x v="11"/>
    <n v="-380.00729708530997"/>
    <n v="-138702.66343613801"/>
    <n v="-499329.58837009798"/>
  </r>
  <r>
    <x v="0"/>
    <x v="0"/>
    <x v="1"/>
    <x v="3"/>
    <x v="14"/>
    <s v="SE4_OTHER"/>
    <x v="1"/>
    <x v="1"/>
    <x v="90"/>
    <x v="0"/>
    <x v="12"/>
    <n v="-380.00729708530997"/>
    <n v="-138702.66343613801"/>
    <n v="-499329.58837009798"/>
  </r>
  <r>
    <x v="0"/>
    <x v="0"/>
    <x v="1"/>
    <x v="3"/>
    <x v="14"/>
    <s v="SE4_OTHER"/>
    <x v="1"/>
    <x v="1"/>
    <x v="90"/>
    <x v="0"/>
    <x v="13"/>
    <n v="-380.00729708530997"/>
    <n v="-138702.66343613801"/>
    <n v="-499329.58837009798"/>
  </r>
  <r>
    <x v="0"/>
    <x v="0"/>
    <x v="1"/>
    <x v="3"/>
    <x v="14"/>
    <s v="SE4_OTHER"/>
    <x v="1"/>
    <x v="1"/>
    <x v="90"/>
    <x v="0"/>
    <x v="14"/>
    <n v="-380.00729708530997"/>
    <n v="-138702.66343613801"/>
    <n v="-499329.58837009798"/>
  </r>
  <r>
    <x v="0"/>
    <x v="0"/>
    <x v="1"/>
    <x v="3"/>
    <x v="14"/>
    <s v="SE4_OTHER"/>
    <x v="1"/>
    <x v="1"/>
    <x v="90"/>
    <x v="0"/>
    <x v="15"/>
    <n v="-380.00729708530997"/>
    <n v="-138702.66343613801"/>
    <n v="-499329.58837009798"/>
  </r>
  <r>
    <x v="0"/>
    <x v="0"/>
    <x v="1"/>
    <x v="3"/>
    <x v="14"/>
    <s v="SE4_OTHER"/>
    <x v="1"/>
    <x v="1"/>
    <x v="90"/>
    <x v="0"/>
    <x v="16"/>
    <n v="-380.00729708530997"/>
    <n v="-138702.66343613801"/>
    <n v="-499329.58837009798"/>
  </r>
  <r>
    <x v="0"/>
    <x v="0"/>
    <x v="1"/>
    <x v="3"/>
    <x v="14"/>
    <s v="SE4_OTHER"/>
    <x v="1"/>
    <x v="1"/>
    <x v="90"/>
    <x v="0"/>
    <x v="17"/>
    <n v="-380.00729708530997"/>
    <n v="-138702.66343613801"/>
    <n v="-499329.58837009798"/>
  </r>
  <r>
    <x v="0"/>
    <x v="0"/>
    <x v="1"/>
    <x v="3"/>
    <x v="14"/>
    <s v="SE4_OTHER"/>
    <x v="1"/>
    <x v="1"/>
    <x v="90"/>
    <x v="0"/>
    <x v="18"/>
    <n v="-380.00729708530997"/>
    <n v="-138702.66343613801"/>
    <n v="-499329.58837009798"/>
  </r>
  <r>
    <x v="0"/>
    <x v="0"/>
    <x v="1"/>
    <x v="3"/>
    <x v="14"/>
    <s v="SE4_OTHER"/>
    <x v="1"/>
    <x v="1"/>
    <x v="90"/>
    <x v="0"/>
    <x v="19"/>
    <n v="-380.00729708530997"/>
    <n v="-138702.66343613801"/>
    <n v="-499329.58837009798"/>
  </r>
  <r>
    <x v="0"/>
    <x v="0"/>
    <x v="1"/>
    <x v="3"/>
    <x v="14"/>
    <s v="SE4_OTHER"/>
    <x v="1"/>
    <x v="1"/>
    <x v="90"/>
    <x v="0"/>
    <x v="20"/>
    <n v="-380.00729708530997"/>
    <n v="-138702.66343613801"/>
    <n v="-499329.58837009798"/>
  </r>
  <r>
    <x v="0"/>
    <x v="0"/>
    <x v="1"/>
    <x v="3"/>
    <x v="14"/>
    <s v="SE4_OTHER"/>
    <x v="1"/>
    <x v="1"/>
    <x v="90"/>
    <x v="0"/>
    <x v="21"/>
    <n v="-380.00729708530997"/>
    <n v="-138702.66343613801"/>
    <n v="-499329.58837009798"/>
  </r>
  <r>
    <x v="0"/>
    <x v="0"/>
    <x v="1"/>
    <x v="3"/>
    <x v="14"/>
    <s v="SE4_OTHER"/>
    <x v="1"/>
    <x v="1"/>
    <x v="90"/>
    <x v="0"/>
    <x v="22"/>
    <n v="-380.00729708530997"/>
    <n v="-138702.66343613801"/>
    <n v="-499329.58837009798"/>
  </r>
  <r>
    <x v="0"/>
    <x v="0"/>
    <x v="1"/>
    <x v="3"/>
    <x v="14"/>
    <s v="SE4_OTHER"/>
    <x v="1"/>
    <x v="1"/>
    <x v="90"/>
    <x v="0"/>
    <x v="23"/>
    <n v="-380.00729708530997"/>
    <n v="-138702.66343613801"/>
    <n v="-499329.58837009798"/>
  </r>
</pivotCacheRecords>
</file>

<file path=xl/pivotCache/pivotCacheRecords6.xml><?xml version="1.0" encoding="utf-8"?>
<pivotCacheRecords xmlns="http://schemas.openxmlformats.org/spreadsheetml/2006/main" xmlns:r="http://schemas.openxmlformats.org/officeDocument/2006/relationships" count="388">
  <r>
    <x v="0"/>
    <x v="0"/>
    <x v="0"/>
    <x v="0"/>
    <x v="0"/>
    <s v="DK1_Large"/>
    <x v="0"/>
    <s v="GNR_ST_COAL_EXT_E-43"/>
    <n v="3.25547726666667"/>
    <n v="11.719718159999999"/>
  </r>
  <r>
    <x v="0"/>
    <x v="0"/>
    <x v="0"/>
    <x v="0"/>
    <x v="0"/>
    <s v="DK1_Large"/>
    <x v="0"/>
    <s v="GNR_ST_COAL_EXT_E-47"/>
    <n v="3.7473333333333301"/>
    <n v="13.490399999999999"/>
  </r>
  <r>
    <x v="0"/>
    <x v="0"/>
    <x v="0"/>
    <x v="0"/>
    <x v="0"/>
    <s v="DK1_Large"/>
    <x v="1"/>
    <s v="GNR_BO_MSW_E-105"/>
    <n v="0.27739999999999998"/>
    <n v="0.99863999999999997"/>
  </r>
  <r>
    <x v="0"/>
    <x v="0"/>
    <x v="0"/>
    <x v="0"/>
    <x v="0"/>
    <s v="DK1_Large"/>
    <x v="2"/>
    <s v="GNR_EH_HEAT"/>
    <n v="1.5254664"/>
    <n v="5.4916790400000002"/>
  </r>
  <r>
    <x v="0"/>
    <x v="0"/>
    <x v="0"/>
    <x v="0"/>
    <x v="0"/>
    <s v="DK1_MedSmall"/>
    <x v="3"/>
    <s v="GNR_BO_ELEC_E-100"/>
    <n v="8.7600000000000004E-3"/>
    <n v="3.1536000000000002E-2"/>
  </r>
  <r>
    <x v="0"/>
    <x v="0"/>
    <x v="0"/>
    <x v="0"/>
    <x v="0"/>
    <s v="DK1_MedSmall"/>
    <x v="1"/>
    <s v="GNR_BO_MSW_E-100"/>
    <n v="5.6939999999999998E-2"/>
    <n v="0.204984"/>
  </r>
  <r>
    <x v="0"/>
    <x v="0"/>
    <x v="0"/>
    <x v="0"/>
    <x v="0"/>
    <s v="DK1_MedSmall"/>
    <x v="1"/>
    <s v="GNR_ST_MSW_BP_E-17"/>
    <n v="7.1084492957762493E-2"/>
    <n v="0.25590417464794502"/>
  </r>
  <r>
    <x v="0"/>
    <x v="0"/>
    <x v="0"/>
    <x v="0"/>
    <x v="0"/>
    <s v="DK1_MedSmall"/>
    <x v="1"/>
    <s v="GNR_ST_MSW_BP_E-20"/>
    <n v="9.77411778169235E-2"/>
    <n v="0.35186824014092499"/>
  </r>
  <r>
    <x v="0"/>
    <x v="0"/>
    <x v="0"/>
    <x v="0"/>
    <x v="0"/>
    <s v="DK1_MedSmall"/>
    <x v="1"/>
    <s v="GNR_ST_MSW_BP_E-21"/>
    <n v="0.29618538732401101"/>
    <n v="1.06626739436644"/>
  </r>
  <r>
    <x v="0"/>
    <x v="0"/>
    <x v="0"/>
    <x v="0"/>
    <x v="0"/>
    <s v="DK1_MedSmall"/>
    <x v="1"/>
    <s v="GNR_ST_MSW_BP_E-22"/>
    <n v="0.133283424295805"/>
    <n v="0.479820327464897"/>
  </r>
  <r>
    <x v="0"/>
    <x v="0"/>
    <x v="0"/>
    <x v="0"/>
    <x v="0"/>
    <s v="DK1_MedSmall"/>
    <x v="1"/>
    <s v="GNR_ST_MSW_BP_E-26"/>
    <n v="0.207329771126808"/>
    <n v="0.74638717605650695"/>
  </r>
  <r>
    <x v="0"/>
    <x v="0"/>
    <x v="0"/>
    <x v="0"/>
    <x v="0"/>
    <s v="DK1_MedSmall"/>
    <x v="4"/>
    <s v="GNR_BO_NGAS_E-100"/>
    <n v="8.8266882418866002E-3"/>
    <n v="3.1776077670791797E-2"/>
  </r>
  <r>
    <x v="0"/>
    <x v="0"/>
    <x v="0"/>
    <x v="0"/>
    <x v="0"/>
    <s v="DK1_MedSmall"/>
    <x v="4"/>
    <s v="GNR_BO_NGAS_E-101"/>
    <n v="0.381861258236805"/>
    <n v="1.3747005296524999"/>
  </r>
  <r>
    <x v="0"/>
    <x v="0"/>
    <x v="0"/>
    <x v="0"/>
    <x v="0"/>
    <s v="DK1_MedSmall"/>
    <x v="4"/>
    <s v="GNR_BO_NGAS_E-102"/>
    <n v="4.4676E-2"/>
    <n v="0.16083359999999999"/>
  </r>
  <r>
    <x v="0"/>
    <x v="0"/>
    <x v="0"/>
    <x v="0"/>
    <x v="0"/>
    <s v="DK1_MedSmall"/>
    <x v="4"/>
    <s v="GNR_BO_NGAS_E-104"/>
    <n v="0.100302"/>
    <n v="0.3610872"/>
  </r>
  <r>
    <x v="0"/>
    <x v="0"/>
    <x v="0"/>
    <x v="0"/>
    <x v="0"/>
    <s v="DK1_MedSmall"/>
    <x v="5"/>
    <s v="GNR_BO_STRW_E-102"/>
    <n v="9.3994800000000003E-2"/>
    <n v="0.33838128000000001"/>
  </r>
  <r>
    <x v="0"/>
    <x v="0"/>
    <x v="0"/>
    <x v="0"/>
    <x v="0"/>
    <s v="DK1_MedSmall"/>
    <x v="2"/>
    <s v="GNR_EH_HEAT"/>
    <n v="0.1095"/>
    <n v="0.39419999999999999"/>
  </r>
  <r>
    <x v="0"/>
    <x v="0"/>
    <x v="0"/>
    <x v="0"/>
    <x v="0"/>
    <s v="DK1_MedSmall"/>
    <x v="2"/>
    <s v="GNR_GEO_HEAT_HO"/>
    <n v="7.2707999999999995E-2"/>
    <n v="0.2617488"/>
  </r>
  <r>
    <x v="0"/>
    <x v="0"/>
    <x v="0"/>
    <x v="0"/>
    <x v="0"/>
    <s v="DK1_MedSmall"/>
    <x v="6"/>
    <s v="GNR_BO_WOODCHI_E-100"/>
    <n v="1.8395999999999999E-2"/>
    <n v="6.6225599999999996E-2"/>
  </r>
  <r>
    <x v="0"/>
    <x v="0"/>
    <x v="0"/>
    <x v="0"/>
    <x v="0"/>
    <s v="DK1_MedSmall"/>
    <x v="6"/>
    <s v="GNR_BO_WOODCHI_E-110"/>
    <n v="0.14892"/>
    <n v="0.53611200000000003"/>
  </r>
  <r>
    <x v="0"/>
    <x v="0"/>
    <x v="0"/>
    <x v="0"/>
    <x v="0"/>
    <s v="DK1_Medium"/>
    <x v="3"/>
    <s v="GNR_BO_ELEC_E-100"/>
    <n v="0.18191335027491901"/>
    <n v="0.65488806098970898"/>
  </r>
  <r>
    <x v="0"/>
    <x v="0"/>
    <x v="0"/>
    <x v="0"/>
    <x v="0"/>
    <s v="DK1_Medium"/>
    <x v="1"/>
    <s v="GNR_BO_MSW_E-105"/>
    <n v="6.132E-2"/>
    <n v="0.220752"/>
  </r>
  <r>
    <x v="0"/>
    <x v="0"/>
    <x v="0"/>
    <x v="0"/>
    <x v="0"/>
    <s v="DK1_Medium"/>
    <x v="1"/>
    <s v="GNR_ST_MSW_BP_E-22"/>
    <n v="0.65636103796037504"/>
    <n v="2.3628997366573499"/>
  </r>
  <r>
    <x v="0"/>
    <x v="0"/>
    <x v="0"/>
    <x v="0"/>
    <x v="0"/>
    <s v="DK1_Medium"/>
    <x v="5"/>
    <s v="GNR_BO_STRW_E-102"/>
    <n v="2.1199200000000001E-2"/>
    <n v="7.6317120000000002E-2"/>
  </r>
  <r>
    <x v="0"/>
    <x v="0"/>
    <x v="0"/>
    <x v="0"/>
    <x v="0"/>
    <s v="DK1_Medium"/>
    <x v="2"/>
    <s v="GNR_GEO_HEAT_HO"/>
    <n v="8.7599999999999997E-2"/>
    <n v="0.31535999999999997"/>
  </r>
  <r>
    <x v="0"/>
    <x v="0"/>
    <x v="0"/>
    <x v="0"/>
    <x v="0"/>
    <s v="DK1_Medium"/>
    <x v="6"/>
    <s v="GNR_BO_WOODCHI_E-100"/>
    <n v="0.56458200000000003"/>
    <n v="2.0324952000000001"/>
  </r>
  <r>
    <x v="0"/>
    <x v="0"/>
    <x v="0"/>
    <x v="0"/>
    <x v="0"/>
    <s v="DK1_Medium"/>
    <x v="6"/>
    <s v="GNR_ST_WOODCHI_BP_E-30"/>
    <n v="2.3291294117647099"/>
    <n v="8.3848658823529405"/>
  </r>
  <r>
    <x v="0"/>
    <x v="0"/>
    <x v="0"/>
    <x v="0"/>
    <x v="0"/>
    <s v="DK1_Rural"/>
    <x v="0"/>
    <s v="GNR_BO_COAL_E-91"/>
    <n v="8.7599999999999997E-2"/>
    <n v="0.31535999999999997"/>
  </r>
  <r>
    <x v="0"/>
    <x v="0"/>
    <x v="0"/>
    <x v="0"/>
    <x v="0"/>
    <s v="DK1_Rural"/>
    <x v="3"/>
    <s v="GNR_HP_ELEC_COP-300"/>
    <n v="1.3140000000000001E-2"/>
    <n v="4.7303999999999999E-2"/>
  </r>
  <r>
    <x v="0"/>
    <x v="0"/>
    <x v="0"/>
    <x v="0"/>
    <x v="0"/>
    <s v="DK1_Rural"/>
    <x v="3"/>
    <s v="GNR_HP_ELEC_COP-350"/>
    <n v="1.9175640000000001E-2"/>
    <n v="6.9032304000000003E-2"/>
  </r>
  <r>
    <x v="0"/>
    <x v="0"/>
    <x v="0"/>
    <x v="0"/>
    <x v="0"/>
    <s v="DK1_Rural"/>
    <x v="3"/>
    <s v="GNR_HP_ELEC_COP-400"/>
    <n v="1.7940480000000002E-2"/>
    <n v="6.4585727999999995E-2"/>
  </r>
  <r>
    <x v="0"/>
    <x v="0"/>
    <x v="0"/>
    <x v="0"/>
    <x v="0"/>
    <s v="DK1_Rural"/>
    <x v="3"/>
    <s v="GNR_HP_ELEC_COP-430"/>
    <n v="1.1388000000000001E-2"/>
    <n v="4.09968E-2"/>
  </r>
  <r>
    <x v="0"/>
    <x v="0"/>
    <x v="0"/>
    <x v="0"/>
    <x v="0"/>
    <s v="DK1_Rural"/>
    <x v="3"/>
    <s v="GNR_HP_ELEC_COP-450"/>
    <n v="4.7304000000000001E-3"/>
    <n v="1.702944E-2"/>
  </r>
  <r>
    <x v="0"/>
    <x v="0"/>
    <x v="0"/>
    <x v="0"/>
    <x v="0"/>
    <s v="DK1_Rural"/>
    <x v="3"/>
    <s v="GNR_HP_ELEC_COP-460"/>
    <n v="3.1536000000000002E-2"/>
    <n v="0.11352959999999999"/>
  </r>
  <r>
    <x v="0"/>
    <x v="0"/>
    <x v="0"/>
    <x v="0"/>
    <x v="0"/>
    <s v="DK1_Rural"/>
    <x v="3"/>
    <s v="GNR_HP_ELEC_COP-470"/>
    <n v="8.3219999999999995E-3"/>
    <n v="2.9959199999999998E-2"/>
  </r>
  <r>
    <x v="0"/>
    <x v="0"/>
    <x v="0"/>
    <x v="0"/>
    <x v="0"/>
    <s v="DK1_Rural"/>
    <x v="3"/>
    <s v="GNR_HP_ELEC_COP-500"/>
    <n v="4.3800000000000002E-3"/>
    <n v="1.5768000000000001E-2"/>
  </r>
  <r>
    <x v="0"/>
    <x v="0"/>
    <x v="0"/>
    <x v="0"/>
    <x v="0"/>
    <s v="DK1_Rural"/>
    <x v="3"/>
    <s v="GNR_HP_ELEC_COP-530"/>
    <n v="1.1826E-2"/>
    <n v="4.2573600000000003E-2"/>
  </r>
  <r>
    <x v="0"/>
    <x v="0"/>
    <x v="0"/>
    <x v="0"/>
    <x v="0"/>
    <s v="DK1_Rural"/>
    <x v="3"/>
    <s v="GNR_HP_ELEC_COP-600"/>
    <n v="2.6280000000000001E-3"/>
    <n v="9.4608000000000001E-3"/>
  </r>
  <r>
    <x v="0"/>
    <x v="0"/>
    <x v="0"/>
    <x v="0"/>
    <x v="0"/>
    <s v="DK1_Rural"/>
    <x v="5"/>
    <s v="GNR_BO_STRW_E-100"/>
    <n v="1.1683212000000001"/>
    <n v="4.2059563200000003"/>
  </r>
  <r>
    <x v="0"/>
    <x v="0"/>
    <x v="0"/>
    <x v="0"/>
    <x v="0"/>
    <s v="DK1_Rural"/>
    <x v="5"/>
    <s v="GNR_BO_STRW_E-102"/>
    <n v="0.49896960000000001"/>
    <n v="1.7962905600000001"/>
  </r>
  <r>
    <x v="0"/>
    <x v="0"/>
    <x v="0"/>
    <x v="0"/>
    <x v="0"/>
    <s v="DK1_Rural"/>
    <x v="5"/>
    <s v="GNR_ST_STRW_BP_E-26"/>
    <n v="2.6431640325979801E-2"/>
    <n v="9.5153905173527301E-2"/>
  </r>
  <r>
    <x v="0"/>
    <x v="0"/>
    <x v="0"/>
    <x v="0"/>
    <x v="0"/>
    <s v="DK1_Rural"/>
    <x v="2"/>
    <s v="GNR_EH_HEAT"/>
    <n v="0.76220759999999999"/>
    <n v="2.7439473599999999"/>
  </r>
  <r>
    <x v="0"/>
    <x v="0"/>
    <x v="0"/>
    <x v="0"/>
    <x v="0"/>
    <s v="DK1_Rural"/>
    <x v="6"/>
    <s v="GNR_BO_WOODCHI_E-100"/>
    <n v="0.19578657794037799"/>
    <n v="0.70483168058536105"/>
  </r>
  <r>
    <x v="0"/>
    <x v="0"/>
    <x v="0"/>
    <x v="0"/>
    <x v="0"/>
    <s v="DK1_Rural"/>
    <x v="6"/>
    <s v="GNR_BO_WOODCHI_E-105"/>
    <n v="3.5770000000000003E-2"/>
    <n v="0.128772"/>
  </r>
  <r>
    <x v="0"/>
    <x v="0"/>
    <x v="0"/>
    <x v="0"/>
    <x v="0"/>
    <s v="DK1_Rural"/>
    <x v="6"/>
    <s v="GNR_BO_WOODCHI_E-106"/>
    <n v="1.4052500000000001E-2"/>
    <n v="5.0589000000000002E-2"/>
  </r>
  <r>
    <x v="0"/>
    <x v="0"/>
    <x v="0"/>
    <x v="0"/>
    <x v="0"/>
    <s v="DK1_Rural"/>
    <x v="6"/>
    <s v="GNR_BO_WOODCHI_E-107"/>
    <n v="7.1171231507820704E-2"/>
    <n v="0.25621643342815498"/>
  </r>
  <r>
    <x v="0"/>
    <x v="0"/>
    <x v="0"/>
    <x v="0"/>
    <x v="0"/>
    <s v="DK1_Rural"/>
    <x v="6"/>
    <s v="GNR_BO_WOODCHI_E-108"/>
    <n v="2.14461962146054E-2"/>
    <n v="7.7206306372579497E-2"/>
  </r>
  <r>
    <x v="0"/>
    <x v="0"/>
    <x v="0"/>
    <x v="0"/>
    <x v="0"/>
    <s v="DK1_Rural"/>
    <x v="6"/>
    <s v="GNR_BO_WOODCHI_E-110"/>
    <n v="0.92085853401121598"/>
    <n v="3.3150907224403801"/>
  </r>
  <r>
    <x v="0"/>
    <x v="0"/>
    <x v="0"/>
    <x v="0"/>
    <x v="0"/>
    <s v="DK1_Rural"/>
    <x v="6"/>
    <s v="GNR_BO_WOODCHI_E-112"/>
    <n v="0.16644"/>
    <n v="0.59918400000000005"/>
  </r>
  <r>
    <x v="0"/>
    <x v="0"/>
    <x v="0"/>
    <x v="0"/>
    <x v="0"/>
    <s v="DK1_Rural"/>
    <x v="6"/>
    <s v="GNR_BO_WOODCHI_E-113"/>
    <n v="4.2048000000000002E-2"/>
    <n v="0.1513728"/>
  </r>
  <r>
    <x v="0"/>
    <x v="0"/>
    <x v="0"/>
    <x v="0"/>
    <x v="0"/>
    <s v="DK1_Rural"/>
    <x v="6"/>
    <s v="GNR_BO_WOODCHI_E-114"/>
    <n v="0.18396000000000001"/>
    <n v="0.66225599999999996"/>
  </r>
  <r>
    <x v="0"/>
    <x v="0"/>
    <x v="0"/>
    <x v="0"/>
    <x v="0"/>
    <s v="DK1_Rural"/>
    <x v="6"/>
    <s v="GNR_BO_WOODCHI_E-117"/>
    <n v="0.17519999999999999"/>
    <n v="0.63071999999999995"/>
  </r>
  <r>
    <x v="0"/>
    <x v="0"/>
    <x v="0"/>
    <x v="0"/>
    <x v="0"/>
    <s v="DK1_Rural"/>
    <x v="6"/>
    <s v="GNR_BO_WOODCHI_E-120"/>
    <n v="0.21024000000000001"/>
    <n v="0.75686399999999998"/>
  </r>
  <r>
    <x v="0"/>
    <x v="0"/>
    <x v="0"/>
    <x v="0"/>
    <x v="0"/>
    <s v="DK1_Rural"/>
    <x v="7"/>
    <s v="GNR_BO_WOODWST_E-100"/>
    <n v="0.26937"/>
    <n v="0.96973200000000004"/>
  </r>
  <r>
    <x v="0"/>
    <x v="0"/>
    <x v="0"/>
    <x v="0"/>
    <x v="0"/>
    <s v="DK1_Rural"/>
    <x v="7"/>
    <s v="GNR_BO_WOODWST_E-113"/>
    <n v="3.5040000000000002E-2"/>
    <n v="0.12614400000000001"/>
  </r>
  <r>
    <x v="0"/>
    <x v="0"/>
    <x v="0"/>
    <x v="0"/>
    <x v="0"/>
    <s v="DK1_Rural"/>
    <x v="7"/>
    <s v="GNR_BO_WOODWST_E-84"/>
    <n v="5.0895599999999999E-2"/>
    <n v="0.18322416"/>
  </r>
  <r>
    <x v="0"/>
    <x v="0"/>
    <x v="0"/>
    <x v="0"/>
    <x v="0"/>
    <s v="DK1_Rural"/>
    <x v="7"/>
    <s v="GNR_BO_WOODWST_E-86"/>
    <n v="2.6280000000000001E-2"/>
    <n v="9.4607999999999998E-2"/>
  </r>
  <r>
    <x v="0"/>
    <x v="0"/>
    <x v="0"/>
    <x v="0"/>
    <x v="0"/>
    <s v="DK1_Rural"/>
    <x v="7"/>
    <s v="GNR_BO_WOODWST_E-89"/>
    <n v="6.132E-2"/>
    <n v="0.220752"/>
  </r>
  <r>
    <x v="0"/>
    <x v="0"/>
    <x v="0"/>
    <x v="0"/>
    <x v="0"/>
    <s v="DK1_Rural"/>
    <x v="7"/>
    <s v="GNR_BO_WOODWST_E-90"/>
    <n v="7.8839999999999993E-2"/>
    <n v="0.28382400000000002"/>
  </r>
  <r>
    <x v="0"/>
    <x v="0"/>
    <x v="0"/>
    <x v="0"/>
    <x v="0"/>
    <s v="DK1_Rural"/>
    <x v="7"/>
    <s v="GNR_BO_WOODWST_E-91"/>
    <n v="2.7594E-2"/>
    <n v="9.9338400000000104E-2"/>
  </r>
  <r>
    <x v="0"/>
    <x v="0"/>
    <x v="0"/>
    <x v="0"/>
    <x v="0"/>
    <s v="DK1_Rural"/>
    <x v="7"/>
    <s v="GNR_BO_WOODWST_E-94"/>
    <n v="8.1467999999999992E-3"/>
    <n v="2.9328480000000001E-2"/>
  </r>
  <r>
    <x v="0"/>
    <x v="0"/>
    <x v="0"/>
    <x v="0"/>
    <x v="0"/>
    <s v="DK1_Small"/>
    <x v="1"/>
    <s v="GNR_BO_MSW_E-104"/>
    <n v="1.4904511862395E-2"/>
    <n v="5.3656242704622097E-2"/>
  </r>
  <r>
    <x v="0"/>
    <x v="0"/>
    <x v="0"/>
    <x v="0"/>
    <x v="0"/>
    <s v="DK1_Small"/>
    <x v="1"/>
    <s v="GNR_BO_MSW_E-105"/>
    <n v="0.28658120813760501"/>
    <n v="1.03169234929538"/>
  </r>
  <r>
    <x v="0"/>
    <x v="0"/>
    <x v="0"/>
    <x v="0"/>
    <x v="0"/>
    <s v="DK1_Small"/>
    <x v="2"/>
    <s v="GNR_EH_HEAT"/>
    <n v="0.12264"/>
    <n v="0.44150400000000001"/>
  </r>
  <r>
    <x v="0"/>
    <x v="0"/>
    <x v="0"/>
    <x v="0"/>
    <x v="0"/>
    <s v="DK1_Small"/>
    <x v="7"/>
    <s v="GNR_BO_WOODWST_E-100"/>
    <n v="1.533E-2"/>
    <n v="5.5188000000000001E-2"/>
  </r>
  <r>
    <x v="0"/>
    <x v="0"/>
    <x v="0"/>
    <x v="0"/>
    <x v="0"/>
    <s v="DK1_Small"/>
    <x v="7"/>
    <s v="GNR_BO_WOODWST_E-89"/>
    <n v="1.557528E-2"/>
    <n v="5.6071007999999999E-2"/>
  </r>
  <r>
    <x v="0"/>
    <x v="0"/>
    <x v="0"/>
    <x v="0"/>
    <x v="0"/>
    <s v="DK2_Rural"/>
    <x v="0"/>
    <s v="GNR_ST_COAL_BP_E-35"/>
    <n v="0.43215999999999999"/>
    <n v="1.555776"/>
  </r>
  <r>
    <x v="0"/>
    <x v="0"/>
    <x v="0"/>
    <x v="0"/>
    <x v="0"/>
    <s v="DK2_Rural"/>
    <x v="3"/>
    <s v="GNR_HP_ELEC_COP-400"/>
    <n v="7.0080000000000003E-3"/>
    <n v="2.5228799999999999E-2"/>
  </r>
  <r>
    <x v="0"/>
    <x v="0"/>
    <x v="0"/>
    <x v="0"/>
    <x v="0"/>
    <s v="DK2_Rural"/>
    <x v="1"/>
    <s v="GNR_BO_MSW_E-105"/>
    <n v="6.132E-2"/>
    <n v="0.220752"/>
  </r>
  <r>
    <x v="0"/>
    <x v="0"/>
    <x v="0"/>
    <x v="0"/>
    <x v="0"/>
    <s v="DK2_Rural"/>
    <x v="4"/>
    <s v="GNR_ENG_NGAS_BP_E-43"/>
    <n v="4.0182444444444403E-3"/>
    <n v="1.446568E-2"/>
  </r>
  <r>
    <x v="0"/>
    <x v="0"/>
    <x v="0"/>
    <x v="0"/>
    <x v="0"/>
    <s v="DK2_Rural"/>
    <x v="4"/>
    <s v="GNR_ENG_NGAS_BP_E-45"/>
    <n v="4.8666666666666702E-3"/>
    <n v="1.7520000000000001E-2"/>
  </r>
  <r>
    <x v="0"/>
    <x v="0"/>
    <x v="0"/>
    <x v="0"/>
    <x v="0"/>
    <s v="DK2_Rural"/>
    <x v="4"/>
    <s v="GNR_ENG_NGAS_BP_E-46"/>
    <n v="5.3533333333333297E-3"/>
    <n v="1.9272000000000001E-2"/>
  </r>
  <r>
    <x v="0"/>
    <x v="0"/>
    <x v="0"/>
    <x v="0"/>
    <x v="0"/>
    <s v="DK2_Rural"/>
    <x v="5"/>
    <s v="GNR_BO_STRW_E-100"/>
    <n v="0.27692678740188997"/>
    <n v="0.99693643464680404"/>
  </r>
  <r>
    <x v="0"/>
    <x v="0"/>
    <x v="0"/>
    <x v="0"/>
    <x v="0"/>
    <s v="DK2_Rural"/>
    <x v="5"/>
    <s v="GNR_BO_STRW_E-102"/>
    <n v="0.39526204082550698"/>
    <n v="1.42294334697183"/>
  </r>
  <r>
    <x v="0"/>
    <x v="0"/>
    <x v="0"/>
    <x v="0"/>
    <x v="0"/>
    <s v="DK2_Rural"/>
    <x v="5"/>
    <s v="GNR_ST_STRW_BP_E-24"/>
    <n v="9.8503007426011702E-2"/>
    <n v="0.35461082673364203"/>
  </r>
  <r>
    <x v="0"/>
    <x v="0"/>
    <x v="0"/>
    <x v="0"/>
    <x v="0"/>
    <s v="DK2_Rural"/>
    <x v="5"/>
    <s v="GNR_ST_STRW_BP_E-27"/>
    <n v="0.19661200282232"/>
    <n v="0.70780321016035097"/>
  </r>
  <r>
    <x v="0"/>
    <x v="0"/>
    <x v="0"/>
    <x v="0"/>
    <x v="0"/>
    <s v="DK2_Rural"/>
    <x v="5"/>
    <s v="GNR_ST_STRW_BP_E-28"/>
    <n v="0.226556917079827"/>
    <n v="0.81560490148737697"/>
  </r>
  <r>
    <x v="0"/>
    <x v="0"/>
    <x v="0"/>
    <x v="0"/>
    <x v="0"/>
    <s v="DK2_Rural"/>
    <x v="2"/>
    <s v="GNR_EH_HEAT"/>
    <n v="0.14454"/>
    <n v="0.52034400000000003"/>
  </r>
  <r>
    <x v="0"/>
    <x v="0"/>
    <x v="0"/>
    <x v="0"/>
    <x v="0"/>
    <s v="DK2_Rural"/>
    <x v="7"/>
    <s v="GNR_BO_WOODWST_E-100"/>
    <n v="5.5188000000000001E-2"/>
    <n v="0.19867679999999999"/>
  </r>
  <r>
    <x v="0"/>
    <x v="0"/>
    <x v="0"/>
    <x v="0"/>
    <x v="1"/>
    <s v="DK2_Large"/>
    <x v="0"/>
    <s v="GNR_ST_COAL_EXT_E-42"/>
    <n v="4.8666666666666698"/>
    <n v="17.52"/>
  </r>
  <r>
    <x v="0"/>
    <x v="0"/>
    <x v="0"/>
    <x v="0"/>
    <x v="1"/>
    <s v="DK2_Large"/>
    <x v="3"/>
    <s v="GNR_BO_ELEC_E-100"/>
    <n v="3.8136041545813099E-2"/>
    <n v="0.13728974956492701"/>
  </r>
  <r>
    <x v="0"/>
    <x v="0"/>
    <x v="0"/>
    <x v="0"/>
    <x v="1"/>
    <s v="DK2_Large"/>
    <x v="3"/>
    <s v="GNR_HP_ELEC_COP-300"/>
    <n v="2.9784E-3"/>
    <n v="1.0722239999999999E-2"/>
  </r>
  <r>
    <x v="0"/>
    <x v="0"/>
    <x v="0"/>
    <x v="0"/>
    <x v="1"/>
    <s v="DK2_Large"/>
    <x v="1"/>
    <s v="GNR_ST_MSW_BP_E-16"/>
    <n v="0.49638189145578099"/>
    <n v="1.78697480924081"/>
  </r>
  <r>
    <x v="0"/>
    <x v="0"/>
    <x v="0"/>
    <x v="0"/>
    <x v="1"/>
    <s v="DK2_Large"/>
    <x v="1"/>
    <s v="GNR_ST_MSW_BP_E-20"/>
    <n v="1.0947324106149301"/>
    <n v="3.9410366782137598"/>
  </r>
  <r>
    <x v="0"/>
    <x v="0"/>
    <x v="0"/>
    <x v="0"/>
    <x v="1"/>
    <s v="DK2_Large"/>
    <x v="1"/>
    <s v="GNR_ST_MSW_BP_E-21"/>
    <n v="0.40577398063389503"/>
    <n v="1.4607863302820201"/>
  </r>
  <r>
    <x v="0"/>
    <x v="0"/>
    <x v="0"/>
    <x v="0"/>
    <x v="1"/>
    <s v="DK2_Large"/>
    <x v="1"/>
    <s v="GNR_ST_MSW_BP_E-27"/>
    <n v="0.57459965140858105"/>
    <n v="2.0685587450708902"/>
  </r>
  <r>
    <x v="0"/>
    <x v="0"/>
    <x v="0"/>
    <x v="0"/>
    <x v="1"/>
    <s v="DK2_Large"/>
    <x v="4"/>
    <s v="GNR_BO_NGAS_E-101"/>
    <n v="0.32536676943903498"/>
    <n v="1.1713203699805299"/>
  </r>
  <r>
    <x v="0"/>
    <x v="0"/>
    <x v="0"/>
    <x v="0"/>
    <x v="1"/>
    <s v="DK2_Large"/>
    <x v="2"/>
    <s v="GNR_GEO_HEAT_HO"/>
    <n v="0.12264"/>
    <n v="0.44150400000000001"/>
  </r>
  <r>
    <x v="0"/>
    <x v="0"/>
    <x v="0"/>
    <x v="0"/>
    <x v="1"/>
    <s v="DK2_Large"/>
    <x v="6"/>
    <s v="GNR_ST_WOODCHI_BP_E-27"/>
    <n v="0.38647058823529401"/>
    <n v="1.3912941176470599"/>
  </r>
  <r>
    <x v="0"/>
    <x v="0"/>
    <x v="0"/>
    <x v="0"/>
    <x v="1"/>
    <s v="DK2_Large"/>
    <x v="7"/>
    <s v="GNR_BO_WOODWST_E-90"/>
    <n v="5.83416E-2"/>
    <n v="0.21002976000000001"/>
  </r>
  <r>
    <x v="0"/>
    <x v="0"/>
    <x v="0"/>
    <x v="0"/>
    <x v="1"/>
    <s v="DK2_MedSmall"/>
    <x v="1"/>
    <s v="GNR_BO_MSW_E-105"/>
    <n v="0.14892"/>
    <n v="0.53611200000000003"/>
  </r>
  <r>
    <x v="0"/>
    <x v="0"/>
    <x v="0"/>
    <x v="0"/>
    <x v="1"/>
    <s v="DK2_MedSmall"/>
    <x v="1"/>
    <s v="GNR_ST_MSW_BP_E-28"/>
    <n v="6.9835102001710003E-2"/>
    <n v="0.251406367206156"/>
  </r>
  <r>
    <x v="0"/>
    <x v="0"/>
    <x v="0"/>
    <x v="0"/>
    <x v="1"/>
    <s v="DK2_MedSmall"/>
    <x v="5"/>
    <s v="GNR_BO_STRW_E-100"/>
    <n v="0.12956039999999999"/>
    <n v="0.46641744000000002"/>
  </r>
  <r>
    <x v="0"/>
    <x v="0"/>
    <x v="0"/>
    <x v="0"/>
    <x v="1"/>
    <s v="DK2_MedSmall"/>
    <x v="5"/>
    <s v="GNR_BO_STRW_E-102"/>
    <n v="8.7599999999999997E-2"/>
    <n v="0.31535999999999997"/>
  </r>
  <r>
    <x v="0"/>
    <x v="0"/>
    <x v="0"/>
    <x v="0"/>
    <x v="1"/>
    <s v="DK2_MedSmall"/>
    <x v="2"/>
    <s v="GNR_EH_HEAT"/>
    <n v="1.7520000000000001E-2"/>
    <n v="6.3072000000000003E-2"/>
  </r>
  <r>
    <x v="0"/>
    <x v="0"/>
    <x v="0"/>
    <x v="0"/>
    <x v="1"/>
    <s v="DK2_MedSmall"/>
    <x v="6"/>
    <s v="GNR_BO_WOODCHI_E-112"/>
    <n v="0.10603449799829"/>
    <n v="0.38172419279384401"/>
  </r>
  <r>
    <x v="0"/>
    <x v="0"/>
    <x v="0"/>
    <x v="0"/>
    <x v="1"/>
    <s v="DK2_MedSmall"/>
    <x v="6"/>
    <s v="GNR_BO_WOODCHI_E-118"/>
    <n v="9.2855999999999994E-2"/>
    <n v="0.33428160000000001"/>
  </r>
  <r>
    <x v="0"/>
    <x v="0"/>
    <x v="0"/>
    <x v="0"/>
    <x v="1"/>
    <s v="DK2_Medium"/>
    <x v="0"/>
    <s v="GNR_ST_COAL_BP_E-38"/>
    <n v="1.4251020000000001"/>
    <n v="5.1303672000000002"/>
  </r>
  <r>
    <x v="0"/>
    <x v="0"/>
    <x v="0"/>
    <x v="0"/>
    <x v="1"/>
    <s v="DK2_Medium"/>
    <x v="1"/>
    <s v="GNR_BO_MSW_E-105"/>
    <n v="0.18396000000000001"/>
    <n v="0.66225599999999996"/>
  </r>
  <r>
    <x v="0"/>
    <x v="0"/>
    <x v="0"/>
    <x v="0"/>
    <x v="1"/>
    <s v="DK2_Medium"/>
    <x v="2"/>
    <s v="GNR_EH_HEAT"/>
    <n v="1.7520000000000001E-2"/>
    <n v="6.3072000000000003E-2"/>
  </r>
  <r>
    <x v="0"/>
    <x v="0"/>
    <x v="0"/>
    <x v="0"/>
    <x v="1"/>
    <s v="DK2_Medium"/>
    <x v="7"/>
    <s v="GNR_BO_WOODWST_E-82"/>
    <n v="6.1320000000000003E-3"/>
    <n v="2.20752E-2"/>
  </r>
  <r>
    <x v="0"/>
    <x v="0"/>
    <x v="0"/>
    <x v="0"/>
    <x v="1"/>
    <s v="DK2_Rural"/>
    <x v="0"/>
    <s v="GNR_ST_COAL_BP_E-35"/>
    <n v="0.43215999999999999"/>
    <n v="1.555776"/>
  </r>
  <r>
    <x v="0"/>
    <x v="0"/>
    <x v="0"/>
    <x v="0"/>
    <x v="1"/>
    <s v="DK2_Rural"/>
    <x v="3"/>
    <s v="GNR_HP_ELEC_COP-400"/>
    <n v="7.0080000000000003E-3"/>
    <n v="2.5228799999999999E-2"/>
  </r>
  <r>
    <x v="0"/>
    <x v="0"/>
    <x v="0"/>
    <x v="0"/>
    <x v="1"/>
    <s v="DK2_Rural"/>
    <x v="1"/>
    <s v="GNR_BO_MSW_E-105"/>
    <n v="6.132E-2"/>
    <n v="0.220752"/>
  </r>
  <r>
    <x v="0"/>
    <x v="0"/>
    <x v="0"/>
    <x v="0"/>
    <x v="1"/>
    <s v="DK2_Rural"/>
    <x v="4"/>
    <s v="GNR_ENG_NGAS_BP_E-43"/>
    <n v="4.0182444444444403E-3"/>
    <n v="1.446568E-2"/>
  </r>
  <r>
    <x v="0"/>
    <x v="0"/>
    <x v="0"/>
    <x v="0"/>
    <x v="1"/>
    <s v="DK2_Rural"/>
    <x v="4"/>
    <s v="GNR_ENG_NGAS_BP_E-45"/>
    <n v="4.8666666666666702E-3"/>
    <n v="1.7520000000000001E-2"/>
  </r>
  <r>
    <x v="0"/>
    <x v="0"/>
    <x v="0"/>
    <x v="0"/>
    <x v="1"/>
    <s v="DK2_Rural"/>
    <x v="4"/>
    <s v="GNR_ENG_NGAS_BP_E-46"/>
    <n v="5.3533333333333297E-3"/>
    <n v="1.9272000000000001E-2"/>
  </r>
  <r>
    <x v="0"/>
    <x v="0"/>
    <x v="0"/>
    <x v="0"/>
    <x v="1"/>
    <s v="DK2_Rural"/>
    <x v="5"/>
    <s v="GNR_BO_STRW_E-100"/>
    <n v="0.27692678740188997"/>
    <n v="0.99693643464680404"/>
  </r>
  <r>
    <x v="0"/>
    <x v="0"/>
    <x v="0"/>
    <x v="0"/>
    <x v="1"/>
    <s v="DK2_Rural"/>
    <x v="5"/>
    <s v="GNR_BO_STRW_E-102"/>
    <n v="0.39526204082550698"/>
    <n v="1.42294334697183"/>
  </r>
  <r>
    <x v="0"/>
    <x v="0"/>
    <x v="0"/>
    <x v="0"/>
    <x v="1"/>
    <s v="DK2_Rural"/>
    <x v="5"/>
    <s v="GNR_ST_STRW_BP_E-24"/>
    <n v="9.8503007426011702E-2"/>
    <n v="0.35461082673364203"/>
  </r>
  <r>
    <x v="0"/>
    <x v="0"/>
    <x v="0"/>
    <x v="0"/>
    <x v="1"/>
    <s v="DK2_Rural"/>
    <x v="5"/>
    <s v="GNR_ST_STRW_BP_E-27"/>
    <n v="0.19661200282232"/>
    <n v="0.70780321016035097"/>
  </r>
  <r>
    <x v="0"/>
    <x v="0"/>
    <x v="0"/>
    <x v="0"/>
    <x v="1"/>
    <s v="DK2_Rural"/>
    <x v="5"/>
    <s v="GNR_ST_STRW_BP_E-28"/>
    <n v="0.226556917079827"/>
    <n v="0.81560490148737697"/>
  </r>
  <r>
    <x v="0"/>
    <x v="0"/>
    <x v="0"/>
    <x v="0"/>
    <x v="1"/>
    <s v="DK2_Rural"/>
    <x v="2"/>
    <s v="GNR_EH_HEAT"/>
    <n v="0.14454"/>
    <n v="0.52034400000000003"/>
  </r>
  <r>
    <x v="0"/>
    <x v="0"/>
    <x v="0"/>
    <x v="0"/>
    <x v="1"/>
    <s v="DK2_Rural"/>
    <x v="7"/>
    <s v="GNR_BO_WOODWST_E-100"/>
    <n v="5.5188000000000001E-2"/>
    <n v="0.19867679999999999"/>
  </r>
  <r>
    <x v="0"/>
    <x v="0"/>
    <x v="0"/>
    <x v="0"/>
    <x v="1"/>
    <s v="DK2_Small"/>
    <x v="1"/>
    <s v="GNR_BO_MSW_E-105"/>
    <n v="2.8908E-2"/>
    <n v="0.1040688"/>
  </r>
  <r>
    <x v="0"/>
    <x v="0"/>
    <x v="0"/>
    <x v="0"/>
    <x v="1"/>
    <s v="DK2_Small"/>
    <x v="4"/>
    <s v="GNR_BO_NGAS_E-101"/>
    <n v="2.6814040788613401E-2"/>
    <n v="9.6530546839008205E-2"/>
  </r>
  <r>
    <x v="0"/>
    <x v="0"/>
    <x v="0"/>
    <x v="0"/>
    <x v="1"/>
    <s v="DK2_Small"/>
    <x v="4"/>
    <s v="GNR_BO_NGAS_E-104"/>
    <n v="4.0596959211386598E-2"/>
    <n v="0.146149053160992"/>
  </r>
  <r>
    <x v="0"/>
    <x v="0"/>
    <x v="0"/>
    <x v="0"/>
    <x v="1"/>
    <s v="DK2_Small"/>
    <x v="5"/>
    <s v="GNR_BO_STRW_E-100"/>
    <n v="5.6939999999999998E-2"/>
    <n v="0.204984"/>
  </r>
  <r>
    <x v="0"/>
    <x v="0"/>
    <x v="0"/>
    <x v="1"/>
    <x v="2"/>
    <s v="DE4-E_A"/>
    <x v="8"/>
    <s v="GNR_ST_LIGN_BP_E-39"/>
    <n v="108.873952"/>
    <n v="391.94622720000001"/>
  </r>
  <r>
    <x v="0"/>
    <x v="0"/>
    <x v="0"/>
    <x v="1"/>
    <x v="3"/>
    <s v="DE4-W_A"/>
    <x v="8"/>
    <s v="GNR_ST_LIGN_BP_E-33"/>
    <n v="9.1863200000000003"/>
    <n v="33.070751999999999"/>
  </r>
  <r>
    <x v="0"/>
    <x v="0"/>
    <x v="0"/>
    <x v="1"/>
    <x v="3"/>
    <s v="DE4-W_A"/>
    <x v="8"/>
    <s v="GNR_ST_LIGN_BP_E-37"/>
    <n v="38.388655999999997"/>
    <n v="138.1991616"/>
  </r>
  <r>
    <x v="0"/>
    <x v="0"/>
    <x v="0"/>
    <x v="2"/>
    <x v="4"/>
    <s v="NO1_A1"/>
    <x v="3"/>
    <s v="GETOH_HEATPUMP"/>
    <n v="6.9046192289735298E-2"/>
    <n v="0.24856629224304699"/>
  </r>
  <r>
    <x v="0"/>
    <x v="0"/>
    <x v="0"/>
    <x v="2"/>
    <x v="4"/>
    <s v="NO1_A1"/>
    <x v="9"/>
    <s v="GHOB_LNG"/>
    <n v="0.20147999999999999"/>
    <n v="0.72532799999999997"/>
  </r>
  <r>
    <x v="0"/>
    <x v="0"/>
    <x v="0"/>
    <x v="2"/>
    <x v="4"/>
    <s v="NO1_A1"/>
    <x v="9"/>
    <s v="GHOB_LPG"/>
    <n v="0.36441600000000002"/>
    <n v="1.3118976"/>
  </r>
  <r>
    <x v="0"/>
    <x v="0"/>
    <x v="0"/>
    <x v="2"/>
    <x v="4"/>
    <s v="NO1_A1"/>
    <x v="1"/>
    <s v="GBPR_MUNIWASTE"/>
    <n v="0.23171612903225799"/>
    <n v="0.83417806451612897"/>
  </r>
  <r>
    <x v="0"/>
    <x v="0"/>
    <x v="0"/>
    <x v="2"/>
    <x v="4"/>
    <s v="NO1_A1"/>
    <x v="1"/>
    <s v="GHOB_MUNIWASTE"/>
    <n v="6.5209439999999994E-2"/>
    <n v="0.234753984"/>
  </r>
  <r>
    <x v="0"/>
    <x v="0"/>
    <x v="0"/>
    <x v="2"/>
    <x v="4"/>
    <s v="NO1_A1"/>
    <x v="2"/>
    <s v="GHOB_WASTEHEAT"/>
    <n v="2.5974162087911999E-2"/>
    <n v="9.3506983516483094E-2"/>
  </r>
  <r>
    <x v="0"/>
    <x v="0"/>
    <x v="0"/>
    <x v="2"/>
    <x v="4"/>
    <s v="NO1_A1"/>
    <x v="7"/>
    <s v="GHOB_WOODWASTE"/>
    <n v="0.34805307659009499"/>
    <n v="1.2529910757243401"/>
  </r>
  <r>
    <x v="0"/>
    <x v="0"/>
    <x v="0"/>
    <x v="2"/>
    <x v="4"/>
    <s v="NO1_A2"/>
    <x v="3"/>
    <s v="GETOH_ELECTRICBOILER"/>
    <n v="7.2309903559061306E-2"/>
    <n v="0.26031565281262098"/>
  </r>
  <r>
    <x v="0"/>
    <x v="0"/>
    <x v="0"/>
    <x v="2"/>
    <x v="4"/>
    <s v="NO1_A2"/>
    <x v="3"/>
    <s v="GETOH_HEATPUMP"/>
    <n v="8.8163460211441405E-2"/>
    <n v="0.31738845676118899"/>
  </r>
  <r>
    <x v="0"/>
    <x v="0"/>
    <x v="0"/>
    <x v="2"/>
    <x v="4"/>
    <s v="NO1_A2"/>
    <x v="9"/>
    <s v="GHOB_LPG"/>
    <n v="0.84530686055526405"/>
    <n v="3.0431046979989498"/>
  </r>
  <r>
    <x v="0"/>
    <x v="0"/>
    <x v="0"/>
    <x v="2"/>
    <x v="4"/>
    <s v="NO1_A2"/>
    <x v="1"/>
    <s v="GBPR_MUNIWASTE"/>
    <n v="0.31347612903225403"/>
    <n v="1.12851406451612"/>
  </r>
  <r>
    <x v="0"/>
    <x v="0"/>
    <x v="0"/>
    <x v="2"/>
    <x v="4"/>
    <s v="NO1_A2"/>
    <x v="1"/>
    <s v="GHOB_MUNIWASTE"/>
    <n v="0.28032000000000001"/>
    <n v="1.009152"/>
  </r>
  <r>
    <x v="0"/>
    <x v="0"/>
    <x v="0"/>
    <x v="2"/>
    <x v="4"/>
    <s v="NO1_A2"/>
    <x v="7"/>
    <s v="GHOB_WOODWASTE"/>
    <n v="7.2785646641979104E-2"/>
    <n v="0.26202832791112501"/>
  </r>
  <r>
    <x v="0"/>
    <x v="0"/>
    <x v="0"/>
    <x v="2"/>
    <x v="5"/>
    <s v="NO2_A1"/>
    <x v="9"/>
    <s v="GHOB_LNG"/>
    <n v="1.1195022645225599E-2"/>
    <n v="4.03020815228122E-2"/>
  </r>
  <r>
    <x v="0"/>
    <x v="0"/>
    <x v="0"/>
    <x v="2"/>
    <x v="5"/>
    <s v="NO2_A1"/>
    <x v="9"/>
    <s v="GHOB_LPG"/>
    <n v="3.29529900801631E-2"/>
    <n v="0.118630764288587"/>
  </r>
  <r>
    <x v="0"/>
    <x v="0"/>
    <x v="0"/>
    <x v="2"/>
    <x v="5"/>
    <s v="NO2_A1"/>
    <x v="1"/>
    <s v="GBPR_MUNIWASTE"/>
    <n v="0.30357471090594201"/>
    <n v="1.09286895926139"/>
  </r>
  <r>
    <x v="0"/>
    <x v="0"/>
    <x v="0"/>
    <x v="2"/>
    <x v="5"/>
    <s v="NO2_A1"/>
    <x v="2"/>
    <s v="GHOB_WASTEHEAT"/>
    <n v="3.8816276368669397E-2"/>
    <n v="0.13973859492721"/>
  </r>
  <r>
    <x v="0"/>
    <x v="0"/>
    <x v="0"/>
    <x v="2"/>
    <x v="6"/>
    <s v="NO3_A1"/>
    <x v="9"/>
    <s v="GHOB_LNG"/>
    <n v="3.5909349453618199E-2"/>
    <n v="0.12927365803302501"/>
  </r>
  <r>
    <x v="0"/>
    <x v="0"/>
    <x v="0"/>
    <x v="2"/>
    <x v="6"/>
    <s v="NO3_A1"/>
    <x v="9"/>
    <s v="GHOB_LPG"/>
    <n v="2.6383755154173998E-2"/>
    <n v="9.4981518555026595E-2"/>
  </r>
  <r>
    <x v="0"/>
    <x v="0"/>
    <x v="0"/>
    <x v="2"/>
    <x v="6"/>
    <s v="NO3_A1"/>
    <x v="1"/>
    <s v="GBPR_MUNIWASTE"/>
    <n v="0.12122709677419399"/>
    <n v="0.43641754838709701"/>
  </r>
  <r>
    <x v="0"/>
    <x v="0"/>
    <x v="0"/>
    <x v="2"/>
    <x v="6"/>
    <s v="NO3_A1"/>
    <x v="2"/>
    <s v="GHOB_WASTEHEAT"/>
    <n v="3.7584798618014198E-2"/>
    <n v="0.13530527502485101"/>
  </r>
  <r>
    <x v="0"/>
    <x v="0"/>
    <x v="0"/>
    <x v="2"/>
    <x v="6"/>
    <s v="NO3_A2"/>
    <x v="9"/>
    <s v="GHOB_LNG"/>
    <n v="2.7772190508537901E-2"/>
    <n v="9.9979885830736595E-2"/>
  </r>
  <r>
    <x v="0"/>
    <x v="0"/>
    <x v="0"/>
    <x v="2"/>
    <x v="6"/>
    <s v="NO3_A2"/>
    <x v="9"/>
    <s v="GHOB_LPG"/>
    <n v="2.6244615291042502E-2"/>
    <n v="9.4480615047752903E-2"/>
  </r>
  <r>
    <x v="0"/>
    <x v="0"/>
    <x v="0"/>
    <x v="2"/>
    <x v="6"/>
    <s v="NO3_A2"/>
    <x v="1"/>
    <s v="GHOB_MUNIWASTE"/>
    <n v="0.56821919420042"/>
    <n v="2.0455890991215102"/>
  </r>
  <r>
    <x v="0"/>
    <x v="0"/>
    <x v="0"/>
    <x v="2"/>
    <x v="7"/>
    <s v="NO4_A1"/>
    <x v="9"/>
    <s v="GHOB_LNG"/>
    <n v="1.9751048028701201E-2"/>
    <n v="7.1103772903324203E-2"/>
  </r>
  <r>
    <x v="0"/>
    <x v="0"/>
    <x v="0"/>
    <x v="2"/>
    <x v="7"/>
    <s v="NO4_A1"/>
    <x v="9"/>
    <s v="GHOB_LPG"/>
    <n v="5.8979719863790497E-3"/>
    <n v="2.1232699150964599E-2"/>
  </r>
  <r>
    <x v="0"/>
    <x v="0"/>
    <x v="0"/>
    <x v="2"/>
    <x v="7"/>
    <s v="NO4_A1"/>
    <x v="1"/>
    <s v="GBPR_MUNIWASTE"/>
    <n v="3.8453574193548401E-3"/>
    <n v="1.38432867096774E-2"/>
  </r>
  <r>
    <x v="0"/>
    <x v="0"/>
    <x v="0"/>
    <x v="2"/>
    <x v="7"/>
    <s v="NO4_A1"/>
    <x v="1"/>
    <s v="GHOB_MUNIWASTE"/>
    <n v="0.12848856212600501"/>
    <n v="0.462558823653618"/>
  </r>
  <r>
    <x v="0"/>
    <x v="0"/>
    <x v="0"/>
    <x v="2"/>
    <x v="7"/>
    <s v="NO4_A1"/>
    <x v="2"/>
    <s v="GHOB_WASTEHEAT"/>
    <n v="8.7987060439560102E-2"/>
    <n v="0.31675341758241599"/>
  </r>
  <r>
    <x v="0"/>
    <x v="0"/>
    <x v="0"/>
    <x v="2"/>
    <x v="8"/>
    <s v="NO5_A1"/>
    <x v="9"/>
    <s v="GHOB_LPG"/>
    <n v="7.3728483870967795E-2"/>
    <n v="0.26542254193548398"/>
  </r>
  <r>
    <x v="0"/>
    <x v="0"/>
    <x v="0"/>
    <x v="2"/>
    <x v="8"/>
    <s v="NO5_A1"/>
    <x v="1"/>
    <s v="GBPR_MUNIWASTE"/>
    <n v="0.226064516129032"/>
    <n v="0.81383225806451598"/>
  </r>
  <r>
    <x v="0"/>
    <x v="0"/>
    <x v="0"/>
    <x v="3"/>
    <x v="9"/>
    <s v="SE1_EL"/>
    <x v="1"/>
    <s v="GBPR_MUNIWASTE"/>
    <n v="0.100573749540152"/>
    <n v="0.36206549834454699"/>
  </r>
  <r>
    <x v="0"/>
    <x v="0"/>
    <x v="0"/>
    <x v="3"/>
    <x v="9"/>
    <s v="SE1_EL"/>
    <x v="2"/>
    <s v="GHOB_WASTEHEAT"/>
    <n v="1.0915592504598499"/>
    <n v="3.9296133016554502"/>
  </r>
  <r>
    <x v="0"/>
    <x v="0"/>
    <x v="0"/>
    <x v="3"/>
    <x v="9"/>
    <s v="SE1_OTHER"/>
    <x v="10"/>
    <s v="GBPR_PEAT_38"/>
    <n v="9.4528812324472397E-2"/>
    <n v="0.34030372436810102"/>
  </r>
  <r>
    <x v="0"/>
    <x v="0"/>
    <x v="0"/>
    <x v="3"/>
    <x v="9"/>
    <s v="SE1_OTHER"/>
    <x v="10"/>
    <s v="GHOB_PEAT"/>
    <n v="8.6921449657322902E-2"/>
    <n v="0.31291721876636203"/>
  </r>
  <r>
    <x v="0"/>
    <x v="0"/>
    <x v="0"/>
    <x v="3"/>
    <x v="9"/>
    <s v="SE1_OTHER"/>
    <x v="2"/>
    <s v="GHOB_WASTEHEAT"/>
    <n v="0.31385989010988902"/>
    <n v="1.1298956043956001"/>
  </r>
  <r>
    <x v="0"/>
    <x v="0"/>
    <x v="0"/>
    <x v="3"/>
    <x v="9"/>
    <s v="SE1_OTHER"/>
    <x v="7"/>
    <s v="GBPR_WOODWASTE"/>
    <n v="0.412692802388677"/>
    <n v="1.48569408859924"/>
  </r>
  <r>
    <x v="0"/>
    <x v="0"/>
    <x v="0"/>
    <x v="3"/>
    <x v="9"/>
    <s v="SE1_OTHER"/>
    <x v="7"/>
    <s v="GHOB_WOODWASTE"/>
    <n v="0.185167045519639"/>
    <n v="0.66660136387070101"/>
  </r>
  <r>
    <x v="0"/>
    <x v="0"/>
    <x v="0"/>
    <x v="3"/>
    <x v="10"/>
    <s v="SE2_EL"/>
    <x v="1"/>
    <s v="GBPR_MUNIWASTE_24"/>
    <n v="1.37760045089797"/>
    <n v="4.9593616232326898"/>
  </r>
  <r>
    <x v="0"/>
    <x v="0"/>
    <x v="0"/>
    <x v="3"/>
    <x v="10"/>
    <s v="SE2_EL"/>
    <x v="2"/>
    <s v="GHOB_WASTEHEAT"/>
    <n v="0.151414835164835"/>
    <n v="0.545093406593404"/>
  </r>
  <r>
    <x v="0"/>
    <x v="0"/>
    <x v="0"/>
    <x v="3"/>
    <x v="10"/>
    <s v="SE2_EL"/>
    <x v="7"/>
    <s v="GBPR_WOODWASTE_25"/>
    <n v="0.95901445365544502"/>
    <n v="3.4524520331596"/>
  </r>
  <r>
    <x v="0"/>
    <x v="0"/>
    <x v="0"/>
    <x v="3"/>
    <x v="10"/>
    <s v="SE2_EL"/>
    <x v="7"/>
    <s v="GEXT_WOODWASTE_HORNEBORG"/>
    <n v="5.9895260281752599E-2"/>
    <n v="0.21562293701430901"/>
  </r>
  <r>
    <x v="0"/>
    <x v="0"/>
    <x v="0"/>
    <x v="3"/>
    <x v="10"/>
    <s v="SE2_OTHER"/>
    <x v="1"/>
    <s v="GBPR_MUNIWASTE_24"/>
    <n v="0.104421241893802"/>
    <n v="0.37591647081768598"/>
  </r>
  <r>
    <x v="0"/>
    <x v="0"/>
    <x v="0"/>
    <x v="3"/>
    <x v="10"/>
    <s v="SE2_OTHER"/>
    <x v="2"/>
    <s v="GHOB_WASTEHEAT"/>
    <n v="0.14043415109890101"/>
    <n v="0.50556294395604195"/>
  </r>
  <r>
    <x v="0"/>
    <x v="0"/>
    <x v="0"/>
    <x v="3"/>
    <x v="10"/>
    <s v="SE2_OTHER"/>
    <x v="7"/>
    <s v="GBPR_WOODWASTE_36"/>
    <n v="0.86757685069494095"/>
    <n v="3.1232766625017798"/>
  </r>
  <r>
    <x v="0"/>
    <x v="0"/>
    <x v="0"/>
    <x v="3"/>
    <x v="10"/>
    <s v="SE2_OTHER"/>
    <x v="7"/>
    <s v="GHOB_WOODWASTE"/>
    <n v="0.67215175631235702"/>
    <n v="2.4197463227244902"/>
  </r>
  <r>
    <x v="0"/>
    <x v="0"/>
    <x v="0"/>
    <x v="3"/>
    <x v="11"/>
    <s v="SE3_EL"/>
    <x v="0"/>
    <s v="GEXT_COAL_LINK"/>
    <n v="0.21822397483328099"/>
    <n v="0.78560630939981102"/>
  </r>
  <r>
    <x v="0"/>
    <x v="0"/>
    <x v="0"/>
    <x v="3"/>
    <x v="11"/>
    <s v="SE3_EL"/>
    <x v="3"/>
    <s v="GETOH_ELECTRICBOILER"/>
    <n v="2.2816150098102599E-2"/>
    <n v="8.2138140353169395E-2"/>
  </r>
  <r>
    <x v="0"/>
    <x v="0"/>
    <x v="0"/>
    <x v="3"/>
    <x v="11"/>
    <s v="SE3_EL"/>
    <x v="3"/>
    <s v="GETOH_HEATPUMP33"/>
    <n v="0.47514240000000002"/>
    <n v="1.7105126399999999"/>
  </r>
  <r>
    <x v="0"/>
    <x v="0"/>
    <x v="0"/>
    <x v="3"/>
    <x v="11"/>
    <s v="SE3_EL"/>
    <x v="1"/>
    <s v="GBPR_MUNIWASTE_24"/>
    <n v="1.52604369229308"/>
    <n v="5.4937572922550801"/>
  </r>
  <r>
    <x v="0"/>
    <x v="0"/>
    <x v="0"/>
    <x v="3"/>
    <x v="11"/>
    <s v="SE3_EL"/>
    <x v="1"/>
    <s v="GBPR_MUNIWASTE_LINK"/>
    <n v="1.4919184505859899"/>
    <n v="5.3709064221095497"/>
  </r>
  <r>
    <x v="0"/>
    <x v="0"/>
    <x v="0"/>
    <x v="3"/>
    <x v="11"/>
    <s v="SE3_EL"/>
    <x v="1"/>
    <s v="GHOB_MUNIWASTE"/>
    <n v="1.4088781112626201"/>
    <n v="5.0719612005454504"/>
  </r>
  <r>
    <x v="0"/>
    <x v="0"/>
    <x v="0"/>
    <x v="3"/>
    <x v="11"/>
    <s v="SE3_EL"/>
    <x v="10"/>
    <s v="GBPR_PEAT_38"/>
    <n v="0.22354905289164501"/>
    <n v="0.80477659040992"/>
  </r>
  <r>
    <x v="0"/>
    <x v="0"/>
    <x v="0"/>
    <x v="3"/>
    <x v="11"/>
    <s v="SE3_EL"/>
    <x v="10"/>
    <s v="GEXT_PEAT"/>
    <n v="0.97956173093894205"/>
    <n v="3.5264222313801898"/>
  </r>
  <r>
    <x v="0"/>
    <x v="0"/>
    <x v="0"/>
    <x v="3"/>
    <x v="11"/>
    <s v="SE3_EL"/>
    <x v="10"/>
    <s v="GHOB_PEAT"/>
    <n v="0.15546324967993499"/>
    <n v="0.55966769884776602"/>
  </r>
  <r>
    <x v="0"/>
    <x v="0"/>
    <x v="0"/>
    <x v="3"/>
    <x v="11"/>
    <s v="SE3_EL"/>
    <x v="11"/>
    <s v="GBPR_RECYCLEDWOOD_SE3EL"/>
    <n v="0.54329187100051701"/>
    <n v="1.95585073560186"/>
  </r>
  <r>
    <x v="0"/>
    <x v="0"/>
    <x v="0"/>
    <x v="3"/>
    <x v="11"/>
    <s v="SE3_EL"/>
    <x v="11"/>
    <s v="GHOB_RECYCLEDWOOD"/>
    <n v="0.20044645088597601"/>
    <n v="0.72160722318951198"/>
  </r>
  <r>
    <x v="0"/>
    <x v="0"/>
    <x v="0"/>
    <x v="3"/>
    <x v="11"/>
    <s v="SE3_EL"/>
    <x v="2"/>
    <s v="GHOB_WASTEHEAT"/>
    <n v="0.23845329670329601"/>
    <n v="0.85843186813186501"/>
  </r>
  <r>
    <x v="0"/>
    <x v="0"/>
    <x v="0"/>
    <x v="3"/>
    <x v="11"/>
    <s v="SE3_EL"/>
    <x v="7"/>
    <s v="GBPR_WOODWASTE_25"/>
    <n v="1.55049754003503"/>
    <n v="5.5817911441260897"/>
  </r>
  <r>
    <x v="0"/>
    <x v="0"/>
    <x v="0"/>
    <x v="3"/>
    <x v="11"/>
    <s v="SE3_EL"/>
    <x v="7"/>
    <s v="GBPR_WOODWASTE_ABY"/>
    <n v="0.64790739614710802"/>
    <n v="2.3324666261295901"/>
  </r>
  <r>
    <x v="0"/>
    <x v="0"/>
    <x v="0"/>
    <x v="3"/>
    <x v="11"/>
    <s v="SE3_EL"/>
    <x v="7"/>
    <s v="GHOB_WOODWASTE"/>
    <n v="0.40924463264448302"/>
    <n v="1.4732806775201399"/>
  </r>
  <r>
    <x v="0"/>
    <x v="0"/>
    <x v="0"/>
    <x v="3"/>
    <x v="11"/>
    <s v="SE3_GOT"/>
    <x v="3"/>
    <s v="GETOH_HEATPUMP33"/>
    <n v="0.94687094572951302"/>
    <n v="3.4087354046262499"/>
  </r>
  <r>
    <x v="0"/>
    <x v="0"/>
    <x v="0"/>
    <x v="3"/>
    <x v="11"/>
    <s v="SE3_GOT"/>
    <x v="1"/>
    <s v="GBPR_MUNIWASTE_24"/>
    <n v="1.4819"/>
    <n v="5.3348399999999998"/>
  </r>
  <r>
    <x v="0"/>
    <x v="0"/>
    <x v="0"/>
    <x v="3"/>
    <x v="11"/>
    <s v="SE3_GOT"/>
    <x v="4"/>
    <s v="GHOB_NATGAS"/>
    <n v="6.79909352410899E-2"/>
    <n v="0.244767366867924"/>
  </r>
  <r>
    <x v="0"/>
    <x v="0"/>
    <x v="0"/>
    <x v="3"/>
    <x v="11"/>
    <s v="SE3_GOT"/>
    <x v="2"/>
    <s v="GHOB_WASTEHEAT"/>
    <n v="1.03583791208791"/>
    <n v="3.7290164835164701"/>
  </r>
  <r>
    <x v="0"/>
    <x v="0"/>
    <x v="0"/>
    <x v="3"/>
    <x v="11"/>
    <s v="SE3_GOT"/>
    <x v="7"/>
    <s v="GBPR_WOODWASTE_GOT"/>
    <n v="0.56271920694148903"/>
    <n v="2.0257891449893601"/>
  </r>
  <r>
    <x v="0"/>
    <x v="0"/>
    <x v="0"/>
    <x v="3"/>
    <x v="11"/>
    <s v="SE3_HP"/>
    <x v="3"/>
    <s v="GETOH_HEATPUMP2"/>
    <n v="0.44426721005783898"/>
    <n v="1.59936195620822"/>
  </r>
  <r>
    <x v="0"/>
    <x v="0"/>
    <x v="0"/>
    <x v="3"/>
    <x v="11"/>
    <s v="SE3_HP"/>
    <x v="1"/>
    <s v="GBPR_MUNIWASTE_24"/>
    <n v="1.09509020676984"/>
    <n v="3.94232474437141"/>
  </r>
  <r>
    <x v="0"/>
    <x v="0"/>
    <x v="0"/>
    <x v="3"/>
    <x v="11"/>
    <s v="SE3_HP"/>
    <x v="2"/>
    <s v="GHOB_WASTEHEAT"/>
    <n v="3.0082417582417501E-5"/>
    <n v="1.08296703296703E-4"/>
  </r>
  <r>
    <x v="0"/>
    <x v="0"/>
    <x v="0"/>
    <x v="3"/>
    <x v="11"/>
    <s v="SE3_HP"/>
    <x v="7"/>
    <s v="GBPR_WOODWASTE_36"/>
    <n v="0.49361295971979002"/>
    <n v="1.77700665499124"/>
  </r>
  <r>
    <x v="0"/>
    <x v="0"/>
    <x v="0"/>
    <x v="3"/>
    <x v="11"/>
    <s v="SE3_HP"/>
    <x v="7"/>
    <s v="GEXT_WOODWASTE"/>
    <n v="1.7616293672766301"/>
    <n v="6.3418657221958803"/>
  </r>
  <r>
    <x v="0"/>
    <x v="0"/>
    <x v="0"/>
    <x v="3"/>
    <x v="11"/>
    <s v="SE3_HP"/>
    <x v="7"/>
    <s v="GHOB_WOODWASTE"/>
    <n v="0.124722173758319"/>
    <n v="0.44899982552994699"/>
  </r>
  <r>
    <x v="0"/>
    <x v="0"/>
    <x v="0"/>
    <x v="3"/>
    <x v="11"/>
    <s v="SE3_OTHER"/>
    <x v="0"/>
    <s v="GBPR_COAL_SE3"/>
    <n v="0.32738176876526998"/>
    <n v="1.17857436755497"/>
  </r>
  <r>
    <x v="0"/>
    <x v="0"/>
    <x v="0"/>
    <x v="3"/>
    <x v="11"/>
    <s v="SE3_OTHER"/>
    <x v="1"/>
    <s v="GBPR_MUNIWASTE_24"/>
    <n v="0.95472570214786701"/>
    <n v="3.4370125277323198"/>
  </r>
  <r>
    <x v="0"/>
    <x v="0"/>
    <x v="0"/>
    <x v="3"/>
    <x v="11"/>
    <s v="SE3_OTHER"/>
    <x v="1"/>
    <s v="GHOB_MUNIWASTE"/>
    <n v="0.942134073581398"/>
    <n v="3.3916826648930298"/>
  </r>
  <r>
    <x v="0"/>
    <x v="0"/>
    <x v="0"/>
    <x v="3"/>
    <x v="11"/>
    <s v="SE3_OTHER"/>
    <x v="12"/>
    <s v="GHOB_OTHERGAS"/>
    <n v="0.17519999999999999"/>
    <n v="0.63071999999999995"/>
  </r>
  <r>
    <x v="0"/>
    <x v="0"/>
    <x v="0"/>
    <x v="3"/>
    <x v="11"/>
    <s v="SE3_OTHER"/>
    <x v="11"/>
    <s v="GBPR_RECYCLEDWOOD_SE3OTHER"/>
    <n v="0.367022089761397"/>
    <n v="1.3212795231410299"/>
  </r>
  <r>
    <x v="0"/>
    <x v="0"/>
    <x v="0"/>
    <x v="3"/>
    <x v="11"/>
    <s v="SE3_OTHER"/>
    <x v="11"/>
    <s v="GHOB_RECYCLEDWOOD"/>
    <n v="0.46770876074162099"/>
    <n v="1.6837515386698301"/>
  </r>
  <r>
    <x v="0"/>
    <x v="0"/>
    <x v="0"/>
    <x v="3"/>
    <x v="11"/>
    <s v="SE3_OTHER"/>
    <x v="5"/>
    <s v="GHOB_STRAW"/>
    <n v="5.9723125000000002E-3"/>
    <n v="2.1500325000000001E-2"/>
  </r>
  <r>
    <x v="0"/>
    <x v="0"/>
    <x v="0"/>
    <x v="3"/>
    <x v="11"/>
    <s v="SE3_OTHER"/>
    <x v="2"/>
    <s v="GHOB_WASTEHEAT"/>
    <n v="1.18305324175824"/>
    <n v="4.2589916703296504"/>
  </r>
  <r>
    <x v="0"/>
    <x v="0"/>
    <x v="0"/>
    <x v="3"/>
    <x v="11"/>
    <s v="SE3_OTHER"/>
    <x v="6"/>
    <s v="GHOB_WOODCHIPS"/>
    <n v="0.40742584963654499"/>
    <n v="1.4667330586915599"/>
  </r>
  <r>
    <x v="0"/>
    <x v="0"/>
    <x v="0"/>
    <x v="3"/>
    <x v="11"/>
    <s v="SE3_OTHER"/>
    <x v="7"/>
    <s v="GBPR_WOODWASTE_25"/>
    <n v="4.2820387204791599"/>
    <n v="15.415339393725001"/>
  </r>
  <r>
    <x v="0"/>
    <x v="0"/>
    <x v="0"/>
    <x v="3"/>
    <x v="11"/>
    <s v="SE3_OTHER"/>
    <x v="7"/>
    <s v="GHOB_WOODWASTE"/>
    <n v="2.7047424806285001"/>
    <n v="9.7370729302626096"/>
  </r>
  <r>
    <x v="0"/>
    <x v="0"/>
    <x v="0"/>
    <x v="3"/>
    <x v="11"/>
    <s v="SE3_STO"/>
    <x v="0"/>
    <s v="GBPR_COAL_VARTAN"/>
    <n v="0.78523928319977299"/>
    <n v="2.8268614195191799"/>
  </r>
  <r>
    <x v="0"/>
    <x v="0"/>
    <x v="0"/>
    <x v="3"/>
    <x v="11"/>
    <s v="SE3_STO"/>
    <x v="3"/>
    <s v="GETOH_ELECTRICBOILER"/>
    <n v="0.198393417507223"/>
    <n v="0.71421630302600203"/>
  </r>
  <r>
    <x v="0"/>
    <x v="0"/>
    <x v="0"/>
    <x v="3"/>
    <x v="11"/>
    <s v="SE3_STO"/>
    <x v="3"/>
    <s v="GETOH_HEATPUMP33"/>
    <n v="2.6063277527826698"/>
    <n v="9.3827799100176197"/>
  </r>
  <r>
    <x v="0"/>
    <x v="0"/>
    <x v="0"/>
    <x v="3"/>
    <x v="11"/>
    <s v="SE3_STO"/>
    <x v="1"/>
    <s v="GBPR_MUNIWASTE_HOGDALEN"/>
    <n v="0.94688322715209505"/>
    <n v="3.4087796177475398"/>
  </r>
  <r>
    <x v="0"/>
    <x v="0"/>
    <x v="0"/>
    <x v="3"/>
    <x v="11"/>
    <s v="SE3_STO"/>
    <x v="1"/>
    <s v="GHOB_MUNIWASTE"/>
    <n v="0.900693801437359"/>
    <n v="3.2424976851744902"/>
  </r>
  <r>
    <x v="0"/>
    <x v="0"/>
    <x v="0"/>
    <x v="3"/>
    <x v="11"/>
    <s v="SE3_STO"/>
    <x v="7"/>
    <s v="GBPR_WOODWASTE"/>
    <n v="1.4201487611610399"/>
    <n v="5.1125355401797297"/>
  </r>
  <r>
    <x v="0"/>
    <x v="0"/>
    <x v="0"/>
    <x v="3"/>
    <x v="11"/>
    <s v="SE3_STO"/>
    <x v="7"/>
    <s v="GBPR_WOODWASTE_BRISTA"/>
    <n v="0.87716875675984396"/>
    <n v="3.15780752433544"/>
  </r>
  <r>
    <x v="0"/>
    <x v="0"/>
    <x v="0"/>
    <x v="3"/>
    <x v="12"/>
    <s v="SE4_EL"/>
    <x v="3"/>
    <s v="GETOH_ELECTRICBOILER"/>
    <n v="5.0740014374050103E-4"/>
    <n v="1.8266405174658001E-3"/>
  </r>
  <r>
    <x v="0"/>
    <x v="0"/>
    <x v="0"/>
    <x v="3"/>
    <x v="12"/>
    <s v="SE4_EL"/>
    <x v="3"/>
    <s v="GETOH_HEATPUMP1"/>
    <n v="0.38531594058818502"/>
    <n v="1.3871373861174701"/>
  </r>
  <r>
    <x v="0"/>
    <x v="0"/>
    <x v="0"/>
    <x v="3"/>
    <x v="12"/>
    <s v="SE4_EL"/>
    <x v="11"/>
    <s v="GBPR_RECYCLEDWOOD"/>
    <n v="0.24365985184859701"/>
    <n v="0.87717546665495005"/>
  </r>
  <r>
    <x v="0"/>
    <x v="0"/>
    <x v="0"/>
    <x v="3"/>
    <x v="12"/>
    <s v="SE4_EL"/>
    <x v="11"/>
    <s v="GBPR_RECYCLEDWOOD_SE4EL"/>
    <n v="9.6153984164822799E-3"/>
    <n v="3.4615434299336202E-2"/>
  </r>
  <r>
    <x v="0"/>
    <x v="0"/>
    <x v="0"/>
    <x v="3"/>
    <x v="12"/>
    <s v="SE4_EL"/>
    <x v="11"/>
    <s v="GHOB_RECYCLEDWOOD"/>
    <n v="7.0864871453590198E-3"/>
    <n v="2.5511353723292499E-2"/>
  </r>
  <r>
    <x v="0"/>
    <x v="0"/>
    <x v="0"/>
    <x v="3"/>
    <x v="12"/>
    <s v="SE4_EL"/>
    <x v="5"/>
    <s v="GHOB_STRAW"/>
    <n v="9.5126350387157103E-4"/>
    <n v="3.4245486139376602E-3"/>
  </r>
  <r>
    <x v="0"/>
    <x v="0"/>
    <x v="0"/>
    <x v="3"/>
    <x v="12"/>
    <s v="SE4_EL"/>
    <x v="2"/>
    <s v="GHOB_WASTEHEAT"/>
    <n v="9.1249999999999595E-2"/>
    <n v="0.32849999999999902"/>
  </r>
  <r>
    <x v="0"/>
    <x v="0"/>
    <x v="0"/>
    <x v="3"/>
    <x v="12"/>
    <s v="SE4_EL"/>
    <x v="7"/>
    <s v="GHOB_WOODWASTE"/>
    <n v="0.39507165835376501"/>
    <n v="1.42225797007355"/>
  </r>
  <r>
    <x v="0"/>
    <x v="0"/>
    <x v="0"/>
    <x v="3"/>
    <x v="12"/>
    <s v="SE4_HP"/>
    <x v="3"/>
    <s v="GETOH_HEATPUMP1"/>
    <n v="0.2211024"/>
    <n v="0.79596864000000001"/>
  </r>
  <r>
    <x v="0"/>
    <x v="0"/>
    <x v="0"/>
    <x v="3"/>
    <x v="12"/>
    <s v="SE4_HP"/>
    <x v="1"/>
    <s v="GBPR_MUNIWASTE_65"/>
    <n v="0.250285714285714"/>
    <n v="0.90102857142857096"/>
  </r>
  <r>
    <x v="0"/>
    <x v="0"/>
    <x v="0"/>
    <x v="3"/>
    <x v="12"/>
    <s v="SE4_HP"/>
    <x v="4"/>
    <s v="GHOB_NATGAS"/>
    <n v="0.19787279927253201"/>
    <n v="0.71234207738111699"/>
  </r>
  <r>
    <x v="0"/>
    <x v="0"/>
    <x v="0"/>
    <x v="3"/>
    <x v="12"/>
    <s v="SE4_HP"/>
    <x v="2"/>
    <s v="GHOB_WASTEHEAT"/>
    <n v="0.30282967032966901"/>
    <n v="1.09018681318681"/>
  </r>
  <r>
    <x v="0"/>
    <x v="0"/>
    <x v="0"/>
    <x v="3"/>
    <x v="12"/>
    <s v="SE4_HP"/>
    <x v="7"/>
    <s v="GHOB_WOODWASTE"/>
    <n v="0.11515541611208401"/>
    <n v="0.414559498003503"/>
  </r>
  <r>
    <x v="0"/>
    <x v="0"/>
    <x v="0"/>
    <x v="3"/>
    <x v="12"/>
    <s v="SE4_MAL"/>
    <x v="3"/>
    <s v="GETOH_HEATPUMP33"/>
    <n v="9.6360000000000005E-3"/>
    <n v="3.4689600000000001E-2"/>
  </r>
  <r>
    <x v="0"/>
    <x v="0"/>
    <x v="0"/>
    <x v="3"/>
    <x v="12"/>
    <s v="SE4_MAL"/>
    <x v="1"/>
    <s v="GBPR_MUNIWASTE_24"/>
    <n v="0.83632016659572495"/>
    <n v="3.0107525997446101"/>
  </r>
  <r>
    <x v="0"/>
    <x v="0"/>
    <x v="0"/>
    <x v="3"/>
    <x v="12"/>
    <s v="SE4_MAL"/>
    <x v="1"/>
    <s v="GHOB_MUNIWASTE"/>
    <n v="0.38601162918743998"/>
    <n v="1.3896418650747799"/>
  </r>
  <r>
    <x v="0"/>
    <x v="0"/>
    <x v="0"/>
    <x v="3"/>
    <x v="12"/>
    <s v="SE4_MAL"/>
    <x v="4"/>
    <s v="GBPR_NATGAS_MAL"/>
    <n v="0.220317765996943"/>
    <n v="0.79314395758899303"/>
  </r>
  <r>
    <x v="0"/>
    <x v="0"/>
    <x v="0"/>
    <x v="3"/>
    <x v="12"/>
    <s v="SE4_MAL"/>
    <x v="2"/>
    <s v="GHOB_WASTEHEAT"/>
    <n v="0.108296703296703"/>
    <n v="0.38986813186813102"/>
  </r>
  <r>
    <x v="0"/>
    <x v="0"/>
    <x v="0"/>
    <x v="3"/>
    <x v="12"/>
    <s v="SE4_MAL"/>
    <x v="6"/>
    <s v="GHOB_WOODCHIPS"/>
    <n v="0.59717673492319001"/>
    <n v="2.1498362457234799"/>
  </r>
  <r>
    <x v="0"/>
    <x v="0"/>
    <x v="0"/>
    <x v="3"/>
    <x v="12"/>
    <s v="SE4_OTHER"/>
    <x v="1"/>
    <s v="GBPR_MUNIWASTE_19"/>
    <n v="0.48127606264548101"/>
    <n v="1.7325938255237301"/>
  </r>
  <r>
    <x v="0"/>
    <x v="0"/>
    <x v="0"/>
    <x v="3"/>
    <x v="12"/>
    <s v="SE4_OTHER"/>
    <x v="1"/>
    <s v="GHOB_MUNIWASTE"/>
    <n v="0.104255307516374"/>
    <n v="0.375319107058948"/>
  </r>
  <r>
    <x v="0"/>
    <x v="0"/>
    <x v="0"/>
    <x v="3"/>
    <x v="12"/>
    <s v="SE4_OTHER"/>
    <x v="11"/>
    <s v="GHOB_RECYCLEDWOOD"/>
    <n v="0.33285923398714401"/>
    <n v="1.19829324235372"/>
  </r>
  <r>
    <x v="0"/>
    <x v="0"/>
    <x v="0"/>
    <x v="3"/>
    <x v="12"/>
    <s v="SE4_OTHER"/>
    <x v="2"/>
    <s v="GHOB_WASTEHEAT"/>
    <n v="0.481388873626372"/>
    <n v="1.73299994505494"/>
  </r>
  <r>
    <x v="0"/>
    <x v="0"/>
    <x v="0"/>
    <x v="3"/>
    <x v="12"/>
    <s v="SE4_OTHER"/>
    <x v="6"/>
    <s v="GBPR_WOODCHIPS_25"/>
    <n v="3.9431644976584898E-3"/>
    <n v="1.4195392191570601E-2"/>
  </r>
  <r>
    <x v="0"/>
    <x v="0"/>
    <x v="0"/>
    <x v="3"/>
    <x v="12"/>
    <s v="SE4_OTHER"/>
    <x v="6"/>
    <s v="GHOB_WOODCHIPS"/>
    <n v="0.267186713092885"/>
    <n v="0.96187216713438495"/>
  </r>
  <r>
    <x v="0"/>
    <x v="0"/>
    <x v="0"/>
    <x v="3"/>
    <x v="12"/>
    <s v="SE4_OTHER"/>
    <x v="7"/>
    <s v="GBPR_WOODWASTE_36"/>
    <n v="1.39264669702277"/>
    <n v="5.0135281092819604"/>
  </r>
  <r>
    <x v="0"/>
    <x v="0"/>
    <x v="0"/>
    <x v="3"/>
    <x v="12"/>
    <s v="SE4_OTHER"/>
    <x v="7"/>
    <s v="GHOB_WOODWASTE"/>
    <n v="1.7626909476113199"/>
    <n v="6.3456874114007498"/>
  </r>
  <r>
    <x v="0"/>
    <x v="0"/>
    <x v="1"/>
    <x v="0"/>
    <x v="0"/>
    <s v="DK1_Large"/>
    <x v="3"/>
    <s v="GNR_BO_ELEC_E-100"/>
    <n v="0.16875169232850801"/>
    <n v="0.60750609238262798"/>
  </r>
  <r>
    <x v="0"/>
    <x v="0"/>
    <x v="1"/>
    <x v="0"/>
    <x v="0"/>
    <s v="DK1_Large"/>
    <x v="3"/>
    <s v="GNR_BO_ELEC_E-99_LS-10-MW-FEED_Y-2030"/>
    <n v="0.128189740833446"/>
    <n v="0.46148306700040598"/>
  </r>
  <r>
    <x v="0"/>
    <x v="0"/>
    <x v="1"/>
    <x v="0"/>
    <x v="0"/>
    <s v="DK1_Large"/>
    <x v="3"/>
    <s v="GNR_HP_ELEC_COP-1200_Y-2030"/>
    <n v="8.3761921457854207"/>
    <n v="30.154291724827502"/>
  </r>
  <r>
    <x v="0"/>
    <x v="0"/>
    <x v="1"/>
    <x v="0"/>
    <x v="0"/>
    <s v="DK1_Large"/>
    <x v="1"/>
    <s v="GNR_BO_MSW_E-105"/>
    <n v="0.101353558720065"/>
    <n v="0.36487281139223399"/>
  </r>
  <r>
    <x v="0"/>
    <x v="0"/>
    <x v="1"/>
    <x v="0"/>
    <x v="0"/>
    <s v="DK1_Large"/>
    <x v="1"/>
    <s v="GNR_ST_MSW_BP_E-27"/>
    <n v="6.6271480413747405E-2"/>
    <n v="0.23857732948949101"/>
  </r>
  <r>
    <x v="0"/>
    <x v="0"/>
    <x v="1"/>
    <x v="0"/>
    <x v="0"/>
    <s v="DK1_Large"/>
    <x v="5"/>
    <s v="GNR_BO_STRW_E-100"/>
    <n v="1.8797499999999999E-3"/>
    <n v="6.7670999999999999E-3"/>
  </r>
  <r>
    <x v="0"/>
    <x v="0"/>
    <x v="1"/>
    <x v="0"/>
    <x v="0"/>
    <s v="DK1_Large"/>
    <x v="5"/>
    <s v="GNR_BO_STRW_E-102"/>
    <n v="2.68779397293973E-3"/>
    <n v="9.6760583025830398E-3"/>
  </r>
  <r>
    <x v="0"/>
    <x v="0"/>
    <x v="1"/>
    <x v="0"/>
    <x v="0"/>
    <s v="DK1_Large"/>
    <x v="2"/>
    <s v="GNR_EH_HEAT"/>
    <n v="5.89475E-2"/>
    <n v="0.21221100000000001"/>
  </r>
  <r>
    <x v="0"/>
    <x v="0"/>
    <x v="1"/>
    <x v="0"/>
    <x v="0"/>
    <s v="DK1_Large"/>
    <x v="6"/>
    <s v="GNR_BO_WOODCHI_E-100"/>
    <n v="1.4843597111892599E-2"/>
    <n v="5.34369496028132E-2"/>
  </r>
  <r>
    <x v="0"/>
    <x v="0"/>
    <x v="1"/>
    <x v="0"/>
    <x v="0"/>
    <s v="DK1_Large"/>
    <x v="6"/>
    <s v="GNR_ST_WOODCHI_BP_E-23"/>
    <n v="3.6537408339869901E-3"/>
    <n v="1.31534670023532E-2"/>
  </r>
  <r>
    <x v="0"/>
    <x v="0"/>
    <x v="1"/>
    <x v="0"/>
    <x v="0"/>
    <s v="DK1_MedSmall"/>
    <x v="3"/>
    <s v="GNR_BO_ELEC_E-100"/>
    <n v="1.74292234572248E-3"/>
    <n v="6.2745204446009104E-3"/>
  </r>
  <r>
    <x v="0"/>
    <x v="0"/>
    <x v="1"/>
    <x v="0"/>
    <x v="0"/>
    <s v="DK1_MedSmall"/>
    <x v="3"/>
    <s v="GNR_HP_ELEC_COP-1200_Y-2030"/>
    <n v="1.81265977971131"/>
    <n v="6.5255752069607196"/>
  </r>
  <r>
    <x v="0"/>
    <x v="0"/>
    <x v="1"/>
    <x v="0"/>
    <x v="0"/>
    <s v="DK1_MedSmall"/>
    <x v="2"/>
    <s v="GNR_EH_HEAT"/>
    <n v="5.8400000000000001E-2"/>
    <n v="0.21024000000000001"/>
  </r>
  <r>
    <x v="0"/>
    <x v="0"/>
    <x v="1"/>
    <x v="0"/>
    <x v="0"/>
    <s v="DK1_MedSmall"/>
    <x v="6"/>
    <s v="GNR_BO_WOODCHI_E-110"/>
    <n v="2.31229794296637E-3"/>
    <n v="8.3242725946789092E-3"/>
  </r>
  <r>
    <x v="0"/>
    <x v="0"/>
    <x v="1"/>
    <x v="0"/>
    <x v="0"/>
    <s v="DK1_Medium"/>
    <x v="3"/>
    <s v="GNR_BO_ELEC_E-100"/>
    <n v="1.8096528290499399E-2"/>
    <n v="6.5147501845797706E-2"/>
  </r>
  <r>
    <x v="0"/>
    <x v="0"/>
    <x v="1"/>
    <x v="0"/>
    <x v="0"/>
    <s v="DK1_Medium"/>
    <x v="3"/>
    <s v="GNR_HP_ELEC_COP-1200_Y-2030"/>
    <n v="3.8705352685208498"/>
    <n v="13.933926966674999"/>
  </r>
  <r>
    <x v="0"/>
    <x v="0"/>
    <x v="1"/>
    <x v="0"/>
    <x v="0"/>
    <s v="DK1_Medium"/>
    <x v="2"/>
    <s v="GNR_GEO_HEAT_HO"/>
    <n v="5.8400000000000001E-2"/>
    <n v="0.21024000000000001"/>
  </r>
  <r>
    <x v="0"/>
    <x v="0"/>
    <x v="1"/>
    <x v="0"/>
    <x v="0"/>
    <s v="DK1_Medium"/>
    <x v="6"/>
    <s v="GNR_BO_WOODCHI_E-100"/>
    <n v="6.9602031886535701E-3"/>
    <n v="2.50567314791529E-2"/>
  </r>
  <r>
    <x v="0"/>
    <x v="0"/>
    <x v="1"/>
    <x v="0"/>
    <x v="0"/>
    <s v="DK1_Rural"/>
    <x v="3"/>
    <s v="GNR_BO_ELEC_E-100"/>
    <n v="2.4408128652617898E-2"/>
    <n v="8.7869263149424406E-2"/>
  </r>
  <r>
    <x v="0"/>
    <x v="0"/>
    <x v="1"/>
    <x v="0"/>
    <x v="0"/>
    <s v="DK1_Rural"/>
    <x v="3"/>
    <s v="GNR_HP_ELEC_COP-1200_Y-2030"/>
    <n v="4.9184329464932404"/>
    <n v="17.706358607375599"/>
  </r>
  <r>
    <x v="0"/>
    <x v="0"/>
    <x v="1"/>
    <x v="0"/>
    <x v="0"/>
    <s v="DK1_Rural"/>
    <x v="3"/>
    <s v="GNR_HP_ELEC_COP-300"/>
    <n v="6.0225000000000001E-3"/>
    <n v="2.1680999999999999E-2"/>
  </r>
  <r>
    <x v="0"/>
    <x v="0"/>
    <x v="1"/>
    <x v="0"/>
    <x v="0"/>
    <s v="DK1_Rural"/>
    <x v="3"/>
    <s v="GNR_HP_ELEC_COP-350"/>
    <n v="9.8614202240607796E-3"/>
    <n v="3.5501112806618801E-2"/>
  </r>
  <r>
    <x v="0"/>
    <x v="0"/>
    <x v="1"/>
    <x v="0"/>
    <x v="0"/>
    <s v="DK1_Rural"/>
    <x v="3"/>
    <s v="GNR_HP_ELEC_COP-400"/>
    <n v="9.7177600000000006E-3"/>
    <n v="3.4983936E-2"/>
  </r>
  <r>
    <x v="0"/>
    <x v="0"/>
    <x v="1"/>
    <x v="0"/>
    <x v="0"/>
    <s v="DK1_Rural"/>
    <x v="3"/>
    <s v="GNR_HP_ELEC_COP-430"/>
    <n v="6.6429999999999996E-3"/>
    <n v="2.39148E-2"/>
  </r>
  <r>
    <x v="0"/>
    <x v="0"/>
    <x v="1"/>
    <x v="0"/>
    <x v="0"/>
    <s v="DK1_Rural"/>
    <x v="3"/>
    <s v="GNR_HP_ELEC_COP-450"/>
    <n v="2.7594E-3"/>
    <n v="9.9338399999999993E-3"/>
  </r>
  <r>
    <x v="0"/>
    <x v="0"/>
    <x v="1"/>
    <x v="0"/>
    <x v="0"/>
    <s v="DK1_Rural"/>
    <x v="3"/>
    <s v="GNR_HP_ELEC_COP-460"/>
    <n v="1.8395999999999999E-2"/>
    <n v="6.6225599999999996E-2"/>
  </r>
  <r>
    <x v="0"/>
    <x v="0"/>
    <x v="1"/>
    <x v="0"/>
    <x v="0"/>
    <s v="DK1_Rural"/>
    <x v="3"/>
    <s v="GNR_HP_ELEC_COP-470"/>
    <n v="4.8545000000000003E-3"/>
    <n v="1.7476200000000001E-2"/>
  </r>
  <r>
    <x v="0"/>
    <x v="0"/>
    <x v="1"/>
    <x v="0"/>
    <x v="0"/>
    <s v="DK1_Rural"/>
    <x v="3"/>
    <s v="GNR_HP_ELEC_COP-500"/>
    <n v="2.555E-3"/>
    <n v="9.1979999999999996E-3"/>
  </r>
  <r>
    <x v="0"/>
    <x v="0"/>
    <x v="1"/>
    <x v="0"/>
    <x v="0"/>
    <s v="DK1_Rural"/>
    <x v="3"/>
    <s v="GNR_HP_ELEC_COP-530"/>
    <n v="6.8985000000000001E-3"/>
    <n v="2.4834599999999998E-2"/>
  </r>
  <r>
    <x v="0"/>
    <x v="0"/>
    <x v="1"/>
    <x v="0"/>
    <x v="0"/>
    <s v="DK1_Rural"/>
    <x v="3"/>
    <s v="GNR_HP_ELEC_COP-600"/>
    <n v="1.5330000000000001E-3"/>
    <n v="5.5187999999999999E-3"/>
  </r>
  <r>
    <x v="0"/>
    <x v="0"/>
    <x v="1"/>
    <x v="0"/>
    <x v="0"/>
    <s v="DK1_Rural"/>
    <x v="2"/>
    <s v="GNR_EH_HEAT"/>
    <n v="0.14374866410828299"/>
    <n v="0.51749519078981998"/>
  </r>
  <r>
    <x v="0"/>
    <x v="0"/>
    <x v="1"/>
    <x v="0"/>
    <x v="0"/>
    <s v="DK1_Rural"/>
    <x v="6"/>
    <s v="GNR_BO_WOODCHI_E-120"/>
    <n v="9.3877417894684696E-3"/>
    <n v="3.3795870442086498E-2"/>
  </r>
  <r>
    <x v="0"/>
    <x v="0"/>
    <x v="1"/>
    <x v="0"/>
    <x v="0"/>
    <s v="DK1_Rural"/>
    <x v="7"/>
    <s v="GNR_BO_WOODWST_E-100"/>
    <n v="0.11114250000000001"/>
    <n v="0.400113"/>
  </r>
  <r>
    <x v="0"/>
    <x v="0"/>
    <x v="1"/>
    <x v="0"/>
    <x v="0"/>
    <s v="DK1_Rural"/>
    <x v="7"/>
    <s v="GNR_BO_WOODWST_E-113"/>
    <n v="2.044E-2"/>
    <n v="7.3583999999999997E-2"/>
  </r>
  <r>
    <x v="0"/>
    <x v="0"/>
    <x v="1"/>
    <x v="0"/>
    <x v="0"/>
    <s v="DK1_Rural"/>
    <x v="7"/>
    <s v="GNR_BO_WOODWST_E-86"/>
    <n v="1.36467930601519E-2"/>
    <n v="4.91284550165468E-2"/>
  </r>
  <r>
    <x v="0"/>
    <x v="0"/>
    <x v="1"/>
    <x v="0"/>
    <x v="0"/>
    <s v="DK1_Rural"/>
    <x v="7"/>
    <s v="GNR_BO_WOODWST_E-89"/>
    <n v="9.4900000000000002E-3"/>
    <n v="3.4164E-2"/>
  </r>
  <r>
    <x v="0"/>
    <x v="0"/>
    <x v="1"/>
    <x v="0"/>
    <x v="0"/>
    <s v="DK1_Rural"/>
    <x v="7"/>
    <s v="GNR_BO_WOODWST_E-90"/>
    <n v="8.541E-3"/>
    <n v="3.07476E-2"/>
  </r>
  <r>
    <x v="0"/>
    <x v="0"/>
    <x v="1"/>
    <x v="0"/>
    <x v="0"/>
    <s v="DK1_Rural"/>
    <x v="7"/>
    <s v="GNR_BO_WOODWST_E-94"/>
    <n v="4.5631456721822502E-3"/>
    <n v="1.6427324419856101E-2"/>
  </r>
  <r>
    <x v="0"/>
    <x v="0"/>
    <x v="1"/>
    <x v="0"/>
    <x v="0"/>
    <s v="DK1_Small"/>
    <x v="3"/>
    <s v="GNR_HP_ELEC_COP-1200_Y-2030"/>
    <n v="0.45324866704521499"/>
    <n v="1.6316952013627699"/>
  </r>
  <r>
    <x v="0"/>
    <x v="0"/>
    <x v="1"/>
    <x v="0"/>
    <x v="0"/>
    <s v="DK1_Small"/>
    <x v="6"/>
    <s v="GNR_BO_WOODCHI_E-110"/>
    <n v="6.2612352260724602E-4"/>
    <n v="2.2540446813860801E-3"/>
  </r>
  <r>
    <x v="0"/>
    <x v="0"/>
    <x v="1"/>
    <x v="0"/>
    <x v="0"/>
    <s v="DK1_Small"/>
    <x v="7"/>
    <s v="GNR_BO_WOODWST_E-89"/>
    <n v="7.2072094321782403E-3"/>
    <n v="2.5945953955841601E-2"/>
  </r>
  <r>
    <x v="0"/>
    <x v="0"/>
    <x v="1"/>
    <x v="0"/>
    <x v="0"/>
    <s v="DK2_Rural"/>
    <x v="3"/>
    <s v="GNR_BO_ELEC_E-100"/>
    <n v="4.6672089724890502E-3"/>
    <n v="1.6801952300960599E-2"/>
  </r>
  <r>
    <x v="0"/>
    <x v="0"/>
    <x v="1"/>
    <x v="0"/>
    <x v="0"/>
    <s v="DK2_Rural"/>
    <x v="3"/>
    <s v="GNR_HP_ELEC_COP-1200_Y-2030"/>
    <n v="1.82507706115777"/>
    <n v="6.5702774201679803"/>
  </r>
  <r>
    <x v="0"/>
    <x v="0"/>
    <x v="1"/>
    <x v="0"/>
    <x v="0"/>
    <s v="DK2_Rural"/>
    <x v="3"/>
    <s v="GNR_HP_ELEC_COP-400"/>
    <n v="2.8225069657496298E-3"/>
    <n v="1.01610250766987E-2"/>
  </r>
  <r>
    <x v="0"/>
    <x v="0"/>
    <x v="1"/>
    <x v="0"/>
    <x v="0"/>
    <s v="DK2_Rural"/>
    <x v="2"/>
    <s v="GNR_EH_HEAT"/>
    <n v="9.6360000000000001E-2"/>
    <n v="0.34689599999999998"/>
  </r>
  <r>
    <x v="0"/>
    <x v="0"/>
    <x v="1"/>
    <x v="0"/>
    <x v="0"/>
    <s v="DK2_Rural"/>
    <x v="6"/>
    <s v="GNR_BO_WOODCHI_E-110"/>
    <n v="4.7642229039883098E-3"/>
    <n v="1.7151202454357899E-2"/>
  </r>
  <r>
    <x v="0"/>
    <x v="0"/>
    <x v="1"/>
    <x v="0"/>
    <x v="1"/>
    <s v="DK2_Large"/>
    <x v="3"/>
    <s v="GNR_BO_ELEC_E-100"/>
    <n v="3.2849999999999997E-2"/>
    <n v="0.11826"/>
  </r>
  <r>
    <x v="0"/>
    <x v="0"/>
    <x v="1"/>
    <x v="0"/>
    <x v="1"/>
    <s v="DK2_Large"/>
    <x v="3"/>
    <s v="GNR_BO_ELEC_E-99_LS-10-MW-FEED_Y-2030"/>
    <n v="0.26571574443895801"/>
    <n v="0.95657667998024998"/>
  </r>
  <r>
    <x v="0"/>
    <x v="0"/>
    <x v="1"/>
    <x v="0"/>
    <x v="1"/>
    <s v="DK2_Large"/>
    <x v="3"/>
    <s v="GNR_HP_ELEC_COP-1200_Y-2030"/>
    <n v="8.0056850478234605"/>
    <n v="28.820466172164402"/>
  </r>
  <r>
    <x v="0"/>
    <x v="0"/>
    <x v="1"/>
    <x v="0"/>
    <x v="1"/>
    <s v="DK2_Large"/>
    <x v="3"/>
    <s v="GNR_HP_ELEC_COP-300"/>
    <n v="1.4892E-3"/>
    <n v="5.3611199999999996E-3"/>
  </r>
  <r>
    <x v="0"/>
    <x v="0"/>
    <x v="1"/>
    <x v="0"/>
    <x v="1"/>
    <s v="DK2_Large"/>
    <x v="1"/>
    <s v="GNR_ST_MSW_BP_E-27"/>
    <n v="7.1359807737584699E-2"/>
    <n v="0.25689530785530501"/>
  </r>
  <r>
    <x v="0"/>
    <x v="0"/>
    <x v="1"/>
    <x v="0"/>
    <x v="1"/>
    <s v="DK2_Large"/>
    <x v="2"/>
    <s v="GNR_GEO_HEAT_HO"/>
    <n v="8.6870000000000003E-2"/>
    <n v="0.31273200000000001"/>
  </r>
  <r>
    <x v="0"/>
    <x v="0"/>
    <x v="1"/>
    <x v="0"/>
    <x v="1"/>
    <s v="DK2_Large"/>
    <x v="7"/>
    <s v="GNR_BO_WOODWST_E-90"/>
    <n v="1.9447200000000001E-2"/>
    <n v="7.0009920000000003E-2"/>
  </r>
  <r>
    <x v="0"/>
    <x v="0"/>
    <x v="1"/>
    <x v="0"/>
    <x v="1"/>
    <s v="DK2_MedSmall"/>
    <x v="3"/>
    <s v="GNR_BO_ELEC_E-99_SS-1-MW-FEED_Y-2030"/>
    <n v="2.90889641905145E-3"/>
    <n v="1.04720271085852E-2"/>
  </r>
  <r>
    <x v="0"/>
    <x v="0"/>
    <x v="1"/>
    <x v="0"/>
    <x v="1"/>
    <s v="DK2_MedSmall"/>
    <x v="3"/>
    <s v="GNR_HP_ELEC_COP-1200_Y-2030"/>
    <n v="0.645132189156566"/>
    <n v="2.3224758809636401"/>
  </r>
  <r>
    <x v="0"/>
    <x v="0"/>
    <x v="1"/>
    <x v="0"/>
    <x v="1"/>
    <s v="DK2_MedSmall"/>
    <x v="2"/>
    <s v="GNR_EH_HEAT"/>
    <n v="1.1679999999999999E-2"/>
    <n v="4.2048000000000002E-2"/>
  </r>
  <r>
    <x v="0"/>
    <x v="0"/>
    <x v="1"/>
    <x v="0"/>
    <x v="1"/>
    <s v="DK2_MedSmall"/>
    <x v="6"/>
    <s v="GNR_BO_WOODCHI_E-118"/>
    <n v="1.27991442438263E-3"/>
    <n v="4.60769192777747E-3"/>
  </r>
  <r>
    <x v="0"/>
    <x v="0"/>
    <x v="1"/>
    <x v="0"/>
    <x v="1"/>
    <s v="DK2_Medium"/>
    <x v="3"/>
    <s v="GNR_BO_ELEC_E-99_LS-10-MW-FEED_Y-2030"/>
    <n v="5.7584257565925501E-3"/>
    <n v="2.0730332723733199E-2"/>
  </r>
  <r>
    <x v="0"/>
    <x v="0"/>
    <x v="1"/>
    <x v="0"/>
    <x v="1"/>
    <s v="DK2_Medium"/>
    <x v="3"/>
    <s v="GNR_HP_ELEC_COP-1200_Y-2030"/>
    <n v="1.6321065524157901"/>
    <n v="5.8755835886968297"/>
  </r>
  <r>
    <x v="0"/>
    <x v="0"/>
    <x v="1"/>
    <x v="0"/>
    <x v="1"/>
    <s v="DK2_Medium"/>
    <x v="2"/>
    <s v="GNR_EH_HEAT"/>
    <n v="1.0996796944133099E-2"/>
    <n v="3.9588468998879099E-2"/>
  </r>
  <r>
    <x v="0"/>
    <x v="0"/>
    <x v="1"/>
    <x v="0"/>
    <x v="1"/>
    <s v="DK2_Medium"/>
    <x v="6"/>
    <s v="GNR_BO_WOODCHI_E-110"/>
    <n v="5.5632248834876904E-3"/>
    <n v="2.0027609580555699E-2"/>
  </r>
  <r>
    <x v="0"/>
    <x v="0"/>
    <x v="1"/>
    <x v="0"/>
    <x v="1"/>
    <s v="DK2_Rural"/>
    <x v="3"/>
    <s v="GNR_BO_ELEC_E-100"/>
    <n v="4.6672089724890502E-3"/>
    <n v="1.6801952300960599E-2"/>
  </r>
  <r>
    <x v="0"/>
    <x v="0"/>
    <x v="1"/>
    <x v="0"/>
    <x v="1"/>
    <s v="DK2_Rural"/>
    <x v="3"/>
    <s v="GNR_HP_ELEC_COP-1200_Y-2030"/>
    <n v="1.82507706115777"/>
    <n v="6.5702774201679803"/>
  </r>
  <r>
    <x v="0"/>
    <x v="0"/>
    <x v="1"/>
    <x v="0"/>
    <x v="1"/>
    <s v="DK2_Rural"/>
    <x v="3"/>
    <s v="GNR_HP_ELEC_COP-400"/>
    <n v="2.8225069657496298E-3"/>
    <n v="1.01610250766987E-2"/>
  </r>
  <r>
    <x v="0"/>
    <x v="0"/>
    <x v="1"/>
    <x v="0"/>
    <x v="1"/>
    <s v="DK2_Rural"/>
    <x v="2"/>
    <s v="GNR_EH_HEAT"/>
    <n v="9.6360000000000001E-2"/>
    <n v="0.34689599999999998"/>
  </r>
  <r>
    <x v="0"/>
    <x v="0"/>
    <x v="1"/>
    <x v="0"/>
    <x v="1"/>
    <s v="DK2_Rural"/>
    <x v="6"/>
    <s v="GNR_BO_WOODCHI_E-110"/>
    <n v="4.7642229039883098E-3"/>
    <n v="1.7151202454357899E-2"/>
  </r>
  <r>
    <x v="0"/>
    <x v="0"/>
    <x v="1"/>
    <x v="0"/>
    <x v="1"/>
    <s v="DK2_Small"/>
    <x v="3"/>
    <s v="GNR_BO_ELEC_E-99_SS-1-MW-FEED_Y-2030"/>
    <n v="5.8188535432278398E-4"/>
    <n v="2.0947872755620201E-3"/>
  </r>
  <r>
    <x v="0"/>
    <x v="0"/>
    <x v="1"/>
    <x v="0"/>
    <x v="1"/>
    <s v="DK2_Small"/>
    <x v="3"/>
    <s v="GNR_HP_ELEC_COP-1200_Y-2030"/>
    <n v="0.15446908258311101"/>
    <n v="0.55608869729919996"/>
  </r>
  <r>
    <x v="0"/>
    <x v="0"/>
    <x v="1"/>
    <x v="0"/>
    <x v="1"/>
    <s v="DK2_Small"/>
    <x v="5"/>
    <s v="GNR_BO_STRW_E-100"/>
    <n v="2.4603206256600802E-4"/>
    <n v="8.8571542523762997E-4"/>
  </r>
  <r>
    <x v="0"/>
    <x v="0"/>
    <x v="1"/>
    <x v="2"/>
    <x v="4"/>
    <s v="NO1_A1"/>
    <x v="13"/>
    <s v="GNR_SH_SUN_Y-2020"/>
    <n v="1.2653374967615101"/>
    <n v="4.5552149883414303"/>
  </r>
  <r>
    <x v="0"/>
    <x v="0"/>
    <x v="1"/>
    <x v="2"/>
    <x v="4"/>
    <s v="NO1_A1"/>
    <x v="13"/>
    <s v="GNR_SH_SUN_Y-2030"/>
    <n v="0.86064250323849101"/>
    <n v="3.0983130116585702"/>
  </r>
  <r>
    <x v="0"/>
    <x v="0"/>
    <x v="1"/>
    <x v="2"/>
    <x v="4"/>
    <s v="NO1_A2"/>
    <x v="3"/>
    <s v="GETOH_ELECTRICBOILER"/>
    <n v="2.11711541713407"/>
    <n v="7.6216155016826397"/>
  </r>
  <r>
    <x v="0"/>
    <x v="0"/>
    <x v="1"/>
    <x v="2"/>
    <x v="4"/>
    <s v="NO1_A2"/>
    <x v="3"/>
    <s v="GETOH_HEATPUMP"/>
    <n v="0.24146992760681801"/>
    <n v="0.86929173938454396"/>
  </r>
  <r>
    <x v="0"/>
    <x v="0"/>
    <x v="1"/>
    <x v="2"/>
    <x v="4"/>
    <s v="NO1_A2"/>
    <x v="3"/>
    <s v="GNR_BO_ELEC_E-99_SS-1-MW-FEED_Y-2030"/>
    <n v="0.174302617073122"/>
    <n v="0.62748942146324005"/>
  </r>
  <r>
    <x v="0"/>
    <x v="0"/>
    <x v="1"/>
    <x v="2"/>
    <x v="4"/>
    <s v="NO1_A2"/>
    <x v="9"/>
    <s v="GHOB_LPG"/>
    <n v="4.1684789583680098E-4"/>
    <n v="1.50065242501248E-3"/>
  </r>
  <r>
    <x v="0"/>
    <x v="0"/>
    <x v="1"/>
    <x v="2"/>
    <x v="4"/>
    <s v="NO1_A2"/>
    <x v="1"/>
    <s v="GBPR_MUNIWASTE"/>
    <n v="3.1271965117060201E-2"/>
    <n v="0.112579074421417"/>
  </r>
  <r>
    <x v="0"/>
    <x v="0"/>
    <x v="1"/>
    <x v="2"/>
    <x v="4"/>
    <s v="NO1_A2"/>
    <x v="1"/>
    <s v="GHOB_MUNIWASTE"/>
    <n v="0.134166043863755"/>
    <n v="0.48299775790951599"/>
  </r>
  <r>
    <x v="0"/>
    <x v="0"/>
    <x v="1"/>
    <x v="2"/>
    <x v="4"/>
    <s v="NO1_A2"/>
    <x v="7"/>
    <s v="GHOB_WOODWASTE"/>
    <n v="2.3838181309340799E-2"/>
    <n v="8.5817452713626993E-2"/>
  </r>
  <r>
    <x v="0"/>
    <x v="0"/>
    <x v="1"/>
    <x v="2"/>
    <x v="5"/>
    <s v="NO2_A1"/>
    <x v="13"/>
    <s v="GNR_SH_SUN_Y-2020"/>
    <n v="0.34944546311432501"/>
    <n v="1.25800366721157"/>
  </r>
  <r>
    <x v="0"/>
    <x v="0"/>
    <x v="1"/>
    <x v="2"/>
    <x v="5"/>
    <s v="NO2_A1"/>
    <x v="13"/>
    <s v="GNR_SH_SUN_Y-2030"/>
    <n v="0.27983553688567497"/>
    <n v="1.00740793278843"/>
  </r>
  <r>
    <x v="0"/>
    <x v="0"/>
    <x v="1"/>
    <x v="2"/>
    <x v="6"/>
    <s v="NO3_A1"/>
    <x v="13"/>
    <s v="GNR_SH_SUN_Y-2020"/>
    <n v="0.21683508094572301"/>
    <n v="0.78060629140460203"/>
  </r>
  <r>
    <x v="0"/>
    <x v="0"/>
    <x v="1"/>
    <x v="2"/>
    <x v="6"/>
    <s v="NO3_A1"/>
    <x v="13"/>
    <s v="GNR_SH_SUN_Y-2030"/>
    <n v="0.14312191905427701"/>
    <n v="0.515238908595398"/>
  </r>
  <r>
    <x v="0"/>
    <x v="0"/>
    <x v="1"/>
    <x v="2"/>
    <x v="6"/>
    <s v="NO3_A2"/>
    <x v="3"/>
    <s v="GETOH_ELECTRICBOILER"/>
    <n v="0.77345800288208"/>
    <n v="2.7844488103754901"/>
  </r>
  <r>
    <x v="0"/>
    <x v="0"/>
    <x v="1"/>
    <x v="2"/>
    <x v="6"/>
    <s v="NO3_A2"/>
    <x v="3"/>
    <s v="GETOH_HEATPUMP"/>
    <n v="8.7600000000000004E-3"/>
    <n v="3.1536000000000002E-2"/>
  </r>
  <r>
    <x v="0"/>
    <x v="0"/>
    <x v="1"/>
    <x v="2"/>
    <x v="6"/>
    <s v="NO3_A2"/>
    <x v="1"/>
    <s v="GHOB_MUNIWASTE"/>
    <n v="0.23077399711791999"/>
    <n v="0.83078638962451201"/>
  </r>
  <r>
    <x v="0"/>
    <x v="0"/>
    <x v="1"/>
    <x v="2"/>
    <x v="7"/>
    <s v="NO4_A1"/>
    <x v="13"/>
    <s v="GNR_SH_SUN_Y-2020"/>
    <n v="0.117845432015452"/>
    <n v="0.42424355525562601"/>
  </r>
  <r>
    <x v="0"/>
    <x v="0"/>
    <x v="1"/>
    <x v="2"/>
    <x v="7"/>
    <s v="NO4_A1"/>
    <x v="13"/>
    <s v="GNR_SH_SUN_Y-2030"/>
    <n v="0.28258956798454798"/>
    <n v="1.0173224447443701"/>
  </r>
  <r>
    <x v="0"/>
    <x v="0"/>
    <x v="1"/>
    <x v="2"/>
    <x v="8"/>
    <s v="NO5_A1"/>
    <x v="13"/>
    <s v="GNR_SH_SUN_Y-2020"/>
    <n v="0.23585682196083901"/>
    <n v="0.84908455905902103"/>
  </r>
  <r>
    <x v="0"/>
    <x v="0"/>
    <x v="1"/>
    <x v="2"/>
    <x v="8"/>
    <s v="NO5_A1"/>
    <x v="13"/>
    <s v="GNR_SH_SUN_Y-2030"/>
    <n v="0.25220417803916101"/>
    <n v="0.90793504094097899"/>
  </r>
  <r>
    <x v="0"/>
    <x v="0"/>
    <x v="1"/>
    <x v="3"/>
    <x v="9"/>
    <s v="SE1_EL"/>
    <x v="3"/>
    <s v="GETOH_ELECTRICBOILER"/>
    <n v="0.66641700000000004"/>
    <n v="2.3991012"/>
  </r>
  <r>
    <x v="0"/>
    <x v="0"/>
    <x v="1"/>
    <x v="3"/>
    <x v="9"/>
    <s v="SE1_EL"/>
    <x v="2"/>
    <s v="GHOB_WASTEHEAT"/>
    <n v="0.43662099999999998"/>
    <n v="1.5718356"/>
  </r>
  <r>
    <x v="0"/>
    <x v="0"/>
    <x v="1"/>
    <x v="3"/>
    <x v="9"/>
    <s v="SE1_OTHER"/>
    <x v="3"/>
    <s v="GNR_BO_ELEC_E-99_SS-1-MW-FEED_Y-2030"/>
    <n v="0.64026894556224501"/>
    <n v="2.30496820402408"/>
  </r>
  <r>
    <x v="0"/>
    <x v="0"/>
    <x v="1"/>
    <x v="3"/>
    <x v="9"/>
    <s v="SE1_OTHER"/>
    <x v="2"/>
    <s v="GHOB_WASTEHEAT"/>
    <n v="0.31385989010988902"/>
    <n v="1.1298956043956001"/>
  </r>
  <r>
    <x v="0"/>
    <x v="0"/>
    <x v="1"/>
    <x v="3"/>
    <x v="9"/>
    <s v="SE1_OTHER"/>
    <x v="7"/>
    <s v="GBPR_WOODWASTE"/>
    <n v="8.1931440268318196E-4"/>
    <n v="2.94953184965946E-3"/>
  </r>
  <r>
    <x v="0"/>
    <x v="0"/>
    <x v="1"/>
    <x v="3"/>
    <x v="9"/>
    <s v="SE1_OTHER"/>
    <x v="7"/>
    <s v="GHOB_WOODWASTE"/>
    <n v="5.6520849925182998E-2"/>
    <n v="0.20347505973065899"/>
  </r>
  <r>
    <x v="0"/>
    <x v="0"/>
    <x v="1"/>
    <x v="3"/>
    <x v="10"/>
    <s v="SE2_EL"/>
    <x v="3"/>
    <s v="GETOH_ELECTRICBOILER"/>
    <n v="1.54176"/>
    <n v="5.5503359999999997"/>
  </r>
  <r>
    <x v="0"/>
    <x v="0"/>
    <x v="1"/>
    <x v="3"/>
    <x v="10"/>
    <s v="SE2_EL"/>
    <x v="3"/>
    <s v="GETOH_HEATPUMP"/>
    <n v="5.7815999999999999E-2"/>
    <n v="0.20813760000000001"/>
  </r>
  <r>
    <x v="0"/>
    <x v="0"/>
    <x v="1"/>
    <x v="3"/>
    <x v="10"/>
    <s v="SE2_EL"/>
    <x v="3"/>
    <s v="GNR_BO_ELEC_E-99_SS-1-MW-FEED_Y-2030"/>
    <n v="0.44068271346606103"/>
    <n v="1.5864577684778201"/>
  </r>
  <r>
    <x v="0"/>
    <x v="0"/>
    <x v="1"/>
    <x v="3"/>
    <x v="10"/>
    <s v="SE2_EL"/>
    <x v="1"/>
    <s v="GBPR_MUNIWASTE_24"/>
    <n v="1.7852210673230201E-2"/>
    <n v="6.4267958423628896E-2"/>
  </r>
  <r>
    <x v="0"/>
    <x v="0"/>
    <x v="1"/>
    <x v="3"/>
    <x v="10"/>
    <s v="SE2_EL"/>
    <x v="2"/>
    <s v="GHOB_WASTEHEAT"/>
    <n v="0.151414835164835"/>
    <n v="0.545093406593404"/>
  </r>
  <r>
    <x v="0"/>
    <x v="0"/>
    <x v="1"/>
    <x v="3"/>
    <x v="10"/>
    <s v="SE2_EL"/>
    <x v="7"/>
    <s v="GEXT_WOODWASTE_HORNEBORG"/>
    <n v="0.14797724069587501"/>
    <n v="0.53271806650514997"/>
  </r>
  <r>
    <x v="0"/>
    <x v="0"/>
    <x v="1"/>
    <x v="3"/>
    <x v="10"/>
    <s v="SE2_OTHER"/>
    <x v="3"/>
    <s v="GNR_BO_ELEC_E-99_SS-1-MW-FEED_Y-2030"/>
    <n v="1.14131002460008"/>
    <n v="4.1087160885602803"/>
  </r>
  <r>
    <x v="0"/>
    <x v="0"/>
    <x v="1"/>
    <x v="3"/>
    <x v="10"/>
    <s v="SE2_OTHER"/>
    <x v="2"/>
    <s v="GHOB_WASTEHEAT"/>
    <n v="0.14043415109890101"/>
    <n v="0.50556294395604195"/>
  </r>
  <r>
    <x v="0"/>
    <x v="0"/>
    <x v="1"/>
    <x v="3"/>
    <x v="10"/>
    <s v="SE2_OTHER"/>
    <x v="7"/>
    <s v="GHOB_WOODWASTE"/>
    <n v="0.36946682430102201"/>
    <n v="1.33008056748368"/>
  </r>
  <r>
    <x v="0"/>
    <x v="0"/>
    <x v="1"/>
    <x v="3"/>
    <x v="11"/>
    <s v="SE3_EL"/>
    <x v="3"/>
    <s v="GETOH_ELECTRICBOILER"/>
    <n v="2.6597111999999998"/>
    <n v="9.5749603200000006"/>
  </r>
  <r>
    <x v="0"/>
    <x v="0"/>
    <x v="1"/>
    <x v="3"/>
    <x v="11"/>
    <s v="SE3_EL"/>
    <x v="3"/>
    <s v="GETOH_HEATPUMP33"/>
    <n v="0.47514240000000002"/>
    <n v="1.7105126399999999"/>
  </r>
  <r>
    <x v="0"/>
    <x v="0"/>
    <x v="1"/>
    <x v="3"/>
    <x v="11"/>
    <s v="SE3_EL"/>
    <x v="3"/>
    <s v="GNR_BO_ELEC_E-99_SS-1-MW-FEED_Y-2030"/>
    <n v="4.0153336000931796"/>
    <n v="14.4552009603355"/>
  </r>
  <r>
    <x v="0"/>
    <x v="0"/>
    <x v="1"/>
    <x v="3"/>
    <x v="11"/>
    <s v="SE3_EL"/>
    <x v="1"/>
    <s v="GBPR_MUNIWASTE_24"/>
    <n v="4.7886246778496101E-2"/>
    <n v="0.172390488402586"/>
  </r>
  <r>
    <x v="0"/>
    <x v="0"/>
    <x v="1"/>
    <x v="3"/>
    <x v="11"/>
    <s v="SE3_EL"/>
    <x v="1"/>
    <s v="GBPR_MUNIWASTE_LINK"/>
    <n v="0.34444545298496598"/>
    <n v="1.2400036307458799"/>
  </r>
  <r>
    <x v="0"/>
    <x v="0"/>
    <x v="1"/>
    <x v="3"/>
    <x v="11"/>
    <s v="SE3_EL"/>
    <x v="1"/>
    <s v="GHOB_MUNIWASTE"/>
    <n v="1.4088781112626201"/>
    <n v="5.0719612005454504"/>
  </r>
  <r>
    <x v="0"/>
    <x v="0"/>
    <x v="1"/>
    <x v="3"/>
    <x v="11"/>
    <s v="SE3_EL"/>
    <x v="2"/>
    <s v="GHOB_WASTEHEAT"/>
    <n v="0.23845329670329601"/>
    <n v="0.85843186813186501"/>
  </r>
  <r>
    <x v="0"/>
    <x v="0"/>
    <x v="1"/>
    <x v="3"/>
    <x v="11"/>
    <s v="SE3_EL"/>
    <x v="7"/>
    <s v="GHOB_WOODWASTE"/>
    <n v="0.147393692177436"/>
    <n v="0.53061729183876905"/>
  </r>
  <r>
    <x v="0"/>
    <x v="0"/>
    <x v="1"/>
    <x v="3"/>
    <x v="11"/>
    <s v="SE3_GOT"/>
    <x v="3"/>
    <s v="GETOH_HEATPUMP33"/>
    <n v="1.4016"/>
    <n v="5.0457599999999996"/>
  </r>
  <r>
    <x v="0"/>
    <x v="0"/>
    <x v="1"/>
    <x v="3"/>
    <x v="11"/>
    <s v="SE3_GOT"/>
    <x v="3"/>
    <s v="GNR_BO_ELEC_E-99_SS-1-MW-FEED_Y-2030"/>
    <n v="1.2243359665933"/>
    <n v="4.4076094797358696"/>
  </r>
  <r>
    <x v="0"/>
    <x v="0"/>
    <x v="1"/>
    <x v="3"/>
    <x v="11"/>
    <s v="SE3_GOT"/>
    <x v="1"/>
    <s v="GBPR_MUNIWASTE_24"/>
    <n v="0.12747712131879499"/>
    <n v="0.45891763674766201"/>
  </r>
  <r>
    <x v="0"/>
    <x v="0"/>
    <x v="1"/>
    <x v="3"/>
    <x v="11"/>
    <s v="SE3_GOT"/>
    <x v="2"/>
    <s v="GHOB_WASTEHEAT"/>
    <n v="1.03583791208791"/>
    <n v="3.7290164835164701"/>
  </r>
  <r>
    <x v="0"/>
    <x v="0"/>
    <x v="1"/>
    <x v="3"/>
    <x v="11"/>
    <s v="SE3_HP"/>
    <x v="3"/>
    <s v="GETOH_ELECTRICBOILER"/>
    <n v="0.75336000000000003"/>
    <n v="2.7120959999999998"/>
  </r>
  <r>
    <x v="0"/>
    <x v="0"/>
    <x v="1"/>
    <x v="3"/>
    <x v="11"/>
    <s v="SE3_HP"/>
    <x v="3"/>
    <s v="GETOH_HEATPUMP2"/>
    <n v="1.429632"/>
    <n v="5.1466751999999998"/>
  </r>
  <r>
    <x v="0"/>
    <x v="0"/>
    <x v="1"/>
    <x v="3"/>
    <x v="11"/>
    <s v="SE3_HP"/>
    <x v="3"/>
    <s v="GNR_BO_ELEC_E-99_SS-1-MW-FEED_Y-2030"/>
    <n v="1.33937033894781"/>
    <n v="4.8217332202121099"/>
  </r>
  <r>
    <x v="0"/>
    <x v="0"/>
    <x v="1"/>
    <x v="3"/>
    <x v="11"/>
    <s v="SE3_HP"/>
    <x v="2"/>
    <s v="GHOB_WASTEHEAT"/>
    <n v="3.0082417582417501E-5"/>
    <n v="1.08296703296703E-4"/>
  </r>
  <r>
    <x v="0"/>
    <x v="0"/>
    <x v="1"/>
    <x v="3"/>
    <x v="11"/>
    <s v="SE3_HP"/>
    <x v="7"/>
    <s v="GEXT_WOODWASTE"/>
    <n v="4.6917128969360199E-2"/>
    <n v="0.168901664289697"/>
  </r>
  <r>
    <x v="0"/>
    <x v="0"/>
    <x v="1"/>
    <x v="3"/>
    <x v="11"/>
    <s v="SE3_HP"/>
    <x v="7"/>
    <s v="GHOB_WOODWASTE"/>
    <n v="5.7125449665246901E-2"/>
    <n v="0.205651618794889"/>
  </r>
  <r>
    <x v="0"/>
    <x v="0"/>
    <x v="1"/>
    <x v="3"/>
    <x v="11"/>
    <s v="SE3_OTHER"/>
    <x v="3"/>
    <s v="GNR_BO_ELEC_E-99_SS-1-MW-FEED_Y-2030"/>
    <n v="7.7980537173080799"/>
    <n v="28.0729933823091"/>
  </r>
  <r>
    <x v="0"/>
    <x v="0"/>
    <x v="1"/>
    <x v="3"/>
    <x v="11"/>
    <s v="SE3_OTHER"/>
    <x v="1"/>
    <s v="GBPR_MUNIWASTE_24"/>
    <n v="5.6260631424870401E-2"/>
    <n v="0.20253827312953299"/>
  </r>
  <r>
    <x v="0"/>
    <x v="0"/>
    <x v="1"/>
    <x v="3"/>
    <x v="11"/>
    <s v="SE3_OTHER"/>
    <x v="1"/>
    <s v="GHOB_MUNIWASTE"/>
    <n v="0.942134073581398"/>
    <n v="3.3916826648930298"/>
  </r>
  <r>
    <x v="0"/>
    <x v="0"/>
    <x v="1"/>
    <x v="3"/>
    <x v="11"/>
    <s v="SE3_OTHER"/>
    <x v="2"/>
    <s v="GHOB_WASTEHEAT"/>
    <n v="1.18305324175824"/>
    <n v="4.2589916703296504"/>
  </r>
  <r>
    <x v="0"/>
    <x v="0"/>
    <x v="1"/>
    <x v="3"/>
    <x v="11"/>
    <s v="SE3_OTHER"/>
    <x v="7"/>
    <s v="GHOB_WOODWASTE"/>
    <n v="0.95471733592741204"/>
    <n v="3.4369824093386798"/>
  </r>
  <r>
    <x v="0"/>
    <x v="0"/>
    <x v="1"/>
    <x v="3"/>
    <x v="11"/>
    <s v="SE3_STO"/>
    <x v="3"/>
    <s v="GETOH_ELECTRICBOILER"/>
    <n v="2.9093503347715299"/>
    <n v="10.4736612051775"/>
  </r>
  <r>
    <x v="0"/>
    <x v="0"/>
    <x v="1"/>
    <x v="3"/>
    <x v="11"/>
    <s v="SE3_STO"/>
    <x v="3"/>
    <s v="GETOH_HEATPUMP33"/>
    <n v="2.83568063302683"/>
    <n v="10.208450278896599"/>
  </r>
  <r>
    <x v="0"/>
    <x v="0"/>
    <x v="1"/>
    <x v="3"/>
    <x v="11"/>
    <s v="SE3_STO"/>
    <x v="3"/>
    <s v="GNR_BO_ELEC_E-99_SS-1-MW-FEED_Y-2030"/>
    <n v="0.70470793463042603"/>
    <n v="2.53694856466953"/>
  </r>
  <r>
    <x v="0"/>
    <x v="0"/>
    <x v="1"/>
    <x v="3"/>
    <x v="11"/>
    <s v="SE3_STO"/>
    <x v="1"/>
    <s v="GBPR_MUNIWASTE_HOGDALEN"/>
    <n v="3.4942899755935897E-2"/>
    <n v="0.12579443912136901"/>
  </r>
  <r>
    <x v="0"/>
    <x v="0"/>
    <x v="1"/>
    <x v="3"/>
    <x v="11"/>
    <s v="SE3_STO"/>
    <x v="1"/>
    <s v="GHOB_MUNIWASTE"/>
    <n v="0.67210119781528099"/>
    <n v="2.4195643121350101"/>
  </r>
  <r>
    <x v="0"/>
    <x v="0"/>
    <x v="1"/>
    <x v="3"/>
    <x v="12"/>
    <s v="SE4_EL"/>
    <x v="3"/>
    <s v="GETOH_ELECTRICBOILER"/>
    <n v="0.70580829683299295"/>
    <n v="2.5409098685987699"/>
  </r>
  <r>
    <x v="0"/>
    <x v="0"/>
    <x v="1"/>
    <x v="3"/>
    <x v="12"/>
    <s v="SE4_EL"/>
    <x v="3"/>
    <s v="GETOH_HEATPUMP1"/>
    <n v="0.32419221016545002"/>
    <n v="1.1670919565956199"/>
  </r>
  <r>
    <x v="0"/>
    <x v="0"/>
    <x v="1"/>
    <x v="3"/>
    <x v="12"/>
    <s v="SE4_EL"/>
    <x v="2"/>
    <s v="GHOB_WASTEHEAT"/>
    <n v="1.7529216733151502E-2"/>
    <n v="6.3105180239345401E-2"/>
  </r>
  <r>
    <x v="0"/>
    <x v="0"/>
    <x v="1"/>
    <x v="3"/>
    <x v="12"/>
    <s v="SE4_EL"/>
    <x v="7"/>
    <s v="GHOB_WOODWASTE"/>
    <n v="1.21827626840617E-3"/>
    <n v="4.3857945662622204E-3"/>
  </r>
  <r>
    <x v="0"/>
    <x v="0"/>
    <x v="1"/>
    <x v="3"/>
    <x v="12"/>
    <s v="SE4_HP"/>
    <x v="3"/>
    <s v="GETOH_HEATPUMP1"/>
    <n v="0.2211024"/>
    <n v="0.79596864000000001"/>
  </r>
  <r>
    <x v="0"/>
    <x v="0"/>
    <x v="1"/>
    <x v="3"/>
    <x v="12"/>
    <s v="SE4_HP"/>
    <x v="3"/>
    <s v="GNR_BO_ELEC_E-99_SS-1-MW-FEED_Y-2030"/>
    <n v="0.41891662274395902"/>
    <n v="1.5080998418782501"/>
  </r>
  <r>
    <x v="0"/>
    <x v="0"/>
    <x v="1"/>
    <x v="3"/>
    <x v="12"/>
    <s v="SE4_HP"/>
    <x v="1"/>
    <s v="GBPR_MUNIWASTE_65"/>
    <n v="1.62966558304652E-2"/>
    <n v="5.8667960989674701E-2"/>
  </r>
  <r>
    <x v="0"/>
    <x v="0"/>
    <x v="1"/>
    <x v="3"/>
    <x v="12"/>
    <s v="SE4_HP"/>
    <x v="2"/>
    <s v="GHOB_WASTEHEAT"/>
    <n v="0.30282967032966901"/>
    <n v="1.09018681318681"/>
  </r>
  <r>
    <x v="0"/>
    <x v="0"/>
    <x v="1"/>
    <x v="3"/>
    <x v="12"/>
    <s v="SE4_HP"/>
    <x v="7"/>
    <s v="GHOB_WOODWASTE"/>
    <n v="4.6843651095906998E-2"/>
    <n v="0.16863714394526499"/>
  </r>
  <r>
    <x v="0"/>
    <x v="0"/>
    <x v="1"/>
    <x v="3"/>
    <x v="12"/>
    <s v="SE4_MAL"/>
    <x v="3"/>
    <s v="GETOH_HEATPUMP33"/>
    <n v="9.6360000000000005E-3"/>
    <n v="3.4689600000000001E-2"/>
  </r>
  <r>
    <x v="0"/>
    <x v="0"/>
    <x v="1"/>
    <x v="3"/>
    <x v="12"/>
    <s v="SE4_MAL"/>
    <x v="3"/>
    <s v="GNR_BO_ELEC_E-99_SS-1-MW-FEED_Y-2030"/>
    <n v="1.4420432962243801"/>
    <n v="5.1913558664077497"/>
  </r>
  <r>
    <x v="0"/>
    <x v="0"/>
    <x v="1"/>
    <x v="3"/>
    <x v="12"/>
    <s v="SE4_MAL"/>
    <x v="1"/>
    <s v="GBPR_MUNIWASTE_24"/>
    <n v="5.0509371291482703E-2"/>
    <n v="0.181833736649338"/>
  </r>
  <r>
    <x v="0"/>
    <x v="0"/>
    <x v="1"/>
    <x v="3"/>
    <x v="12"/>
    <s v="SE4_MAL"/>
    <x v="1"/>
    <s v="GHOB_MUNIWASTE"/>
    <n v="0.38601162918743998"/>
    <n v="1.3896418650747799"/>
  </r>
  <r>
    <x v="0"/>
    <x v="0"/>
    <x v="1"/>
    <x v="3"/>
    <x v="12"/>
    <s v="SE4_MAL"/>
    <x v="2"/>
    <s v="GHOB_WASTEHEAT"/>
    <n v="0.108296703296703"/>
    <n v="0.38986813186813102"/>
  </r>
  <r>
    <x v="0"/>
    <x v="0"/>
    <x v="1"/>
    <x v="3"/>
    <x v="12"/>
    <s v="SE4_OTHER"/>
    <x v="3"/>
    <s v="GNR_BO_ELEC_E-99_SS-1-MW-FEED_Y-2030"/>
    <n v="3.2816046590208998"/>
    <n v="11.813776772475199"/>
  </r>
  <r>
    <x v="0"/>
    <x v="0"/>
    <x v="1"/>
    <x v="3"/>
    <x v="12"/>
    <s v="SE4_OTHER"/>
    <x v="1"/>
    <s v="GHOB_MUNIWASTE"/>
    <n v="0.104255307516374"/>
    <n v="0.375319107058948"/>
  </r>
  <r>
    <x v="0"/>
    <x v="0"/>
    <x v="1"/>
    <x v="3"/>
    <x v="12"/>
    <s v="SE4_OTHER"/>
    <x v="2"/>
    <s v="GHOB_WASTEHEAT"/>
    <n v="0.481388873626372"/>
    <n v="1.73299994505494"/>
  </r>
  <r>
    <x v="0"/>
    <x v="0"/>
    <x v="1"/>
    <x v="3"/>
    <x v="12"/>
    <s v="SE4_OTHER"/>
    <x v="7"/>
    <s v="GHOB_WOODWASTE"/>
    <n v="0.59830215983635204"/>
    <n v="2.1538877754108698"/>
  </r>
</pivotCacheRecords>
</file>

<file path=xl/pivotCache/pivotCacheRecords7.xml><?xml version="1.0" encoding="utf-8"?>
<pivotCacheRecords xmlns="http://schemas.openxmlformats.org/spreadsheetml/2006/main" xmlns:r="http://schemas.openxmlformats.org/officeDocument/2006/relationships" count="7274">
  <r>
    <x v="0"/>
    <x v="0"/>
    <x v="0"/>
    <x v="0"/>
    <x v="0"/>
    <s v="DK1_Large"/>
    <x v="0"/>
    <s v="GNR_ST_COAL_EXT_E-43"/>
    <x v="0"/>
    <x v="0"/>
    <n v="224.53113256548201"/>
    <n v="81953.863386400903"/>
    <n v="295033.90819104301"/>
  </r>
  <r>
    <x v="0"/>
    <x v="0"/>
    <x v="0"/>
    <x v="0"/>
    <x v="0"/>
    <s v="DK1_Large"/>
    <x v="0"/>
    <s v="GNR_ST_COAL_EXT_E-43"/>
    <x v="0"/>
    <x v="1"/>
    <n v="224.53113256548201"/>
    <n v="81953.863386400903"/>
    <n v="295033.90819104301"/>
  </r>
  <r>
    <x v="0"/>
    <x v="0"/>
    <x v="0"/>
    <x v="0"/>
    <x v="0"/>
    <s v="DK1_Large"/>
    <x v="0"/>
    <s v="GNR_ST_COAL_EXT_E-43"/>
    <x v="0"/>
    <x v="2"/>
    <n v="234.86752608122899"/>
    <n v="85726.647019648502"/>
    <n v="308615.92927073501"/>
  </r>
  <r>
    <x v="0"/>
    <x v="0"/>
    <x v="0"/>
    <x v="0"/>
    <x v="0"/>
    <s v="DK1_Large"/>
    <x v="0"/>
    <s v="GNR_ST_COAL_EXT_E-43"/>
    <x v="0"/>
    <x v="3"/>
    <n v="294.70980433029001"/>
    <n v="107569.078580556"/>
    <n v="387248.68289000099"/>
  </r>
  <r>
    <x v="0"/>
    <x v="0"/>
    <x v="0"/>
    <x v="0"/>
    <x v="0"/>
    <s v="DK1_Large"/>
    <x v="0"/>
    <s v="GNR_ST_COAL_EXT_E-43"/>
    <x v="0"/>
    <x v="4"/>
    <n v="385.56126312659302"/>
    <n v="140729.86104120599"/>
    <n v="506627.49974834302"/>
  </r>
  <r>
    <x v="0"/>
    <x v="0"/>
    <x v="0"/>
    <x v="0"/>
    <x v="0"/>
    <s v="DK1_Large"/>
    <x v="0"/>
    <s v="GNR_ST_COAL_EXT_E-43"/>
    <x v="0"/>
    <x v="5"/>
    <n v="536.255000171956"/>
    <n v="195733.07506276399"/>
    <n v="704639.07022594998"/>
  </r>
  <r>
    <x v="0"/>
    <x v="0"/>
    <x v="0"/>
    <x v="0"/>
    <x v="0"/>
    <s v="DK1_Large"/>
    <x v="0"/>
    <s v="GNR_ST_COAL_EXT_E-43"/>
    <x v="0"/>
    <x v="6"/>
    <n v="556.38376649209499"/>
    <n v="203080.07476961499"/>
    <n v="731088.26917061303"/>
  </r>
  <r>
    <x v="0"/>
    <x v="0"/>
    <x v="0"/>
    <x v="0"/>
    <x v="0"/>
    <s v="DK1_Large"/>
    <x v="0"/>
    <s v="GNR_ST_COAL_EXT_E-43"/>
    <x v="0"/>
    <x v="7"/>
    <n v="546.04737297634802"/>
    <n v="199307.29113636701"/>
    <n v="717506.24809092097"/>
  </r>
  <r>
    <x v="0"/>
    <x v="0"/>
    <x v="0"/>
    <x v="0"/>
    <x v="0"/>
    <s v="DK1_Large"/>
    <x v="0"/>
    <s v="GNR_ST_COAL_EXT_E-43"/>
    <x v="0"/>
    <x v="8"/>
    <n v="516.12623385181701"/>
    <n v="188386.075355913"/>
    <n v="678189.87128128798"/>
  </r>
  <r>
    <x v="0"/>
    <x v="0"/>
    <x v="0"/>
    <x v="0"/>
    <x v="0"/>
    <s v="DK1_Large"/>
    <x v="0"/>
    <s v="GNR_ST_COAL_EXT_E-43"/>
    <x v="0"/>
    <x v="9"/>
    <n v="445.94756208700898"/>
    <n v="162770.860161758"/>
    <n v="585975.09658232995"/>
  </r>
  <r>
    <x v="0"/>
    <x v="0"/>
    <x v="0"/>
    <x v="0"/>
    <x v="0"/>
    <s v="DK1_Large"/>
    <x v="0"/>
    <s v="GNR_ST_COAL_EXT_E-43"/>
    <x v="0"/>
    <x v="10"/>
    <n v="395.35363593098401"/>
    <n v="144304.07711480901"/>
    <n v="519494.67761331302"/>
  </r>
  <r>
    <x v="0"/>
    <x v="0"/>
    <x v="0"/>
    <x v="0"/>
    <x v="0"/>
    <s v="DK1_Large"/>
    <x v="0"/>
    <s v="GNR_ST_COAL_EXT_E-43"/>
    <x v="0"/>
    <x v="11"/>
    <n v="345.30373048631498"/>
    <n v="126035.861627505"/>
    <n v="453729.10185901797"/>
  </r>
  <r>
    <x v="0"/>
    <x v="0"/>
    <x v="0"/>
    <x v="0"/>
    <x v="0"/>
    <s v="DK1_Large"/>
    <x v="0"/>
    <s v="GNR_ST_COAL_EXT_E-43"/>
    <x v="0"/>
    <x v="12"/>
    <n v="294.70980433029001"/>
    <n v="107569.078580556"/>
    <n v="387248.68289000099"/>
  </r>
  <r>
    <x v="0"/>
    <x v="0"/>
    <x v="0"/>
    <x v="0"/>
    <x v="0"/>
    <s v="DK1_Large"/>
    <x v="0"/>
    <s v="GNR_ST_COAL_EXT_E-43"/>
    <x v="0"/>
    <x v="13"/>
    <n v="284.917431525898"/>
    <n v="103994.862506953"/>
    <n v="374381.50502503"/>
  </r>
  <r>
    <x v="0"/>
    <x v="0"/>
    <x v="0"/>
    <x v="0"/>
    <x v="0"/>
    <s v="DK1_Large"/>
    <x v="0"/>
    <s v="GNR_ST_COAL_EXT_E-43"/>
    <x v="0"/>
    <x v="14"/>
    <n v="264.788665205759"/>
    <n v="96647.862800102201"/>
    <n v="347932.306080368"/>
  </r>
  <r>
    <x v="0"/>
    <x v="0"/>
    <x v="0"/>
    <x v="0"/>
    <x v="0"/>
    <s v="DK1_Large"/>
    <x v="0"/>
    <s v="GNR_ST_COAL_EXT_E-43"/>
    <x v="0"/>
    <x v="15"/>
    <n v="284.917431525898"/>
    <n v="103994.862506953"/>
    <n v="374381.50502503"/>
  </r>
  <r>
    <x v="0"/>
    <x v="0"/>
    <x v="0"/>
    <x v="0"/>
    <x v="0"/>
    <s v="DK1_Large"/>
    <x v="0"/>
    <s v="GNR_ST_COAL_EXT_E-43"/>
    <x v="0"/>
    <x v="16"/>
    <n v="365.43249680645403"/>
    <n v="133382.86133435601"/>
    <n v="480178.30080367997"/>
  </r>
  <r>
    <x v="0"/>
    <x v="0"/>
    <x v="0"/>
    <x v="0"/>
    <x v="0"/>
    <s v="DK1_Large"/>
    <x v="0"/>
    <s v="GNR_ST_COAL_EXT_E-43"/>
    <x v="0"/>
    <x v="17"/>
    <n v="435.611168571262"/>
    <n v="158998.07652851101"/>
    <n v="572393.07550263801"/>
  </r>
  <r>
    <x v="0"/>
    <x v="0"/>
    <x v="0"/>
    <x v="0"/>
    <x v="0"/>
    <s v="DK1_Large"/>
    <x v="0"/>
    <s v="GNR_ST_COAL_EXT_E-43"/>
    <x v="0"/>
    <x v="18"/>
    <n v="513.86870121154004"/>
    <n v="187562.07594221199"/>
    <n v="675223.47339196305"/>
  </r>
  <r>
    <x v="0"/>
    <x v="0"/>
    <x v="0"/>
    <x v="0"/>
    <x v="0"/>
    <s v="DK1_Large"/>
    <x v="0"/>
    <s v="GNR_ST_COAL_EXT_E-43"/>
    <x v="0"/>
    <x v="19"/>
    <n v="493.73993489140099"/>
    <n v="180215.07623536099"/>
    <n v="648774.27444730105"/>
  </r>
  <r>
    <x v="0"/>
    <x v="0"/>
    <x v="0"/>
    <x v="0"/>
    <x v="0"/>
    <s v="DK1_Large"/>
    <x v="0"/>
    <s v="GNR_ST_COAL_EXT_E-43"/>
    <x v="0"/>
    <x v="20"/>
    <n v="413.22486961084599"/>
    <n v="150827.077407959"/>
    <n v="542977.47866865096"/>
  </r>
  <r>
    <x v="0"/>
    <x v="0"/>
    <x v="0"/>
    <x v="0"/>
    <x v="0"/>
    <s v="DK1_Large"/>
    <x v="0"/>
    <s v="GNR_ST_COAL_EXT_E-43"/>
    <x v="0"/>
    <x v="21"/>
    <n v="363.17496416617598"/>
    <n v="132558.86192065399"/>
    <n v="477211.90291435499"/>
  </r>
  <r>
    <x v="0"/>
    <x v="0"/>
    <x v="0"/>
    <x v="0"/>
    <x v="0"/>
    <s v="DK1_Large"/>
    <x v="0"/>
    <s v="GNR_ST_COAL_EXT_E-43"/>
    <x v="0"/>
    <x v="22"/>
    <n v="274.58103801015102"/>
    <n v="100222.078873705"/>
    <n v="360799.48394533899"/>
  </r>
  <r>
    <x v="0"/>
    <x v="0"/>
    <x v="0"/>
    <x v="0"/>
    <x v="0"/>
    <s v="DK1_Large"/>
    <x v="0"/>
    <s v="GNR_ST_COAL_EXT_E-43"/>
    <x v="0"/>
    <x v="23"/>
    <n v="224.53113256548201"/>
    <n v="81953.863386400903"/>
    <n v="295033.90819104301"/>
  </r>
  <r>
    <x v="0"/>
    <x v="0"/>
    <x v="0"/>
    <x v="0"/>
    <x v="0"/>
    <s v="DK1_Large"/>
    <x v="0"/>
    <s v="GNR_ST_COAL_EXT_E-47"/>
    <x v="0"/>
    <x v="0"/>
    <n v="427.777777777778"/>
    <n v="156138.88888888899"/>
    <n v="562100"/>
  </r>
  <r>
    <x v="0"/>
    <x v="0"/>
    <x v="0"/>
    <x v="0"/>
    <x v="0"/>
    <s v="DK1_Large"/>
    <x v="0"/>
    <s v="GNR_ST_COAL_EXT_E-47"/>
    <x v="0"/>
    <x v="1"/>
    <n v="427.777777777778"/>
    <n v="156138.88888888899"/>
    <n v="562100"/>
  </r>
  <r>
    <x v="0"/>
    <x v="0"/>
    <x v="0"/>
    <x v="0"/>
    <x v="0"/>
    <s v="DK1_Large"/>
    <x v="0"/>
    <s v="GNR_ST_COAL_EXT_E-47"/>
    <x v="0"/>
    <x v="2"/>
    <n v="427.777777777778"/>
    <n v="156138.88888888899"/>
    <n v="562100"/>
  </r>
  <r>
    <x v="0"/>
    <x v="0"/>
    <x v="0"/>
    <x v="0"/>
    <x v="0"/>
    <s v="DK1_Large"/>
    <x v="0"/>
    <s v="GNR_ST_COAL_EXT_E-47"/>
    <x v="0"/>
    <x v="3"/>
    <n v="427.777777777778"/>
    <n v="156138.88888888899"/>
    <n v="562100"/>
  </r>
  <r>
    <x v="0"/>
    <x v="0"/>
    <x v="0"/>
    <x v="0"/>
    <x v="0"/>
    <s v="DK1_Large"/>
    <x v="0"/>
    <s v="GNR_ST_COAL_EXT_E-47"/>
    <x v="0"/>
    <x v="4"/>
    <n v="427.777777777778"/>
    <n v="156138.88888888899"/>
    <n v="562100"/>
  </r>
  <r>
    <x v="0"/>
    <x v="0"/>
    <x v="0"/>
    <x v="0"/>
    <x v="0"/>
    <s v="DK1_Large"/>
    <x v="0"/>
    <s v="GNR_ST_COAL_EXT_E-47"/>
    <x v="0"/>
    <x v="5"/>
    <n v="427.777777777778"/>
    <n v="156138.88888888899"/>
    <n v="562100"/>
  </r>
  <r>
    <x v="0"/>
    <x v="0"/>
    <x v="0"/>
    <x v="0"/>
    <x v="0"/>
    <s v="DK1_Large"/>
    <x v="0"/>
    <s v="GNR_ST_COAL_EXT_E-47"/>
    <x v="0"/>
    <x v="6"/>
    <n v="427.777777777778"/>
    <n v="156138.88888888899"/>
    <n v="562100"/>
  </r>
  <r>
    <x v="0"/>
    <x v="0"/>
    <x v="0"/>
    <x v="0"/>
    <x v="0"/>
    <s v="DK1_Large"/>
    <x v="0"/>
    <s v="GNR_ST_COAL_EXT_E-47"/>
    <x v="0"/>
    <x v="7"/>
    <n v="427.777777777778"/>
    <n v="156138.88888888899"/>
    <n v="562100"/>
  </r>
  <r>
    <x v="0"/>
    <x v="0"/>
    <x v="0"/>
    <x v="0"/>
    <x v="0"/>
    <s v="DK1_Large"/>
    <x v="0"/>
    <s v="GNR_ST_COAL_EXT_E-47"/>
    <x v="0"/>
    <x v="8"/>
    <n v="427.777777777778"/>
    <n v="156138.88888888899"/>
    <n v="562100"/>
  </r>
  <r>
    <x v="0"/>
    <x v="0"/>
    <x v="0"/>
    <x v="0"/>
    <x v="0"/>
    <s v="DK1_Large"/>
    <x v="0"/>
    <s v="GNR_ST_COAL_EXT_E-47"/>
    <x v="0"/>
    <x v="9"/>
    <n v="427.777777777778"/>
    <n v="156138.88888888899"/>
    <n v="562100"/>
  </r>
  <r>
    <x v="0"/>
    <x v="0"/>
    <x v="0"/>
    <x v="0"/>
    <x v="0"/>
    <s v="DK1_Large"/>
    <x v="0"/>
    <s v="GNR_ST_COAL_EXT_E-47"/>
    <x v="0"/>
    <x v="10"/>
    <n v="427.777777777778"/>
    <n v="156138.88888888899"/>
    <n v="562100"/>
  </r>
  <r>
    <x v="0"/>
    <x v="0"/>
    <x v="0"/>
    <x v="0"/>
    <x v="0"/>
    <s v="DK1_Large"/>
    <x v="0"/>
    <s v="GNR_ST_COAL_EXT_E-47"/>
    <x v="0"/>
    <x v="11"/>
    <n v="427.777777777778"/>
    <n v="156138.88888888899"/>
    <n v="562100"/>
  </r>
  <r>
    <x v="0"/>
    <x v="0"/>
    <x v="0"/>
    <x v="0"/>
    <x v="0"/>
    <s v="DK1_Large"/>
    <x v="0"/>
    <s v="GNR_ST_COAL_EXT_E-47"/>
    <x v="0"/>
    <x v="12"/>
    <n v="427.777777777778"/>
    <n v="156138.88888888899"/>
    <n v="562100"/>
  </r>
  <r>
    <x v="0"/>
    <x v="0"/>
    <x v="0"/>
    <x v="0"/>
    <x v="0"/>
    <s v="DK1_Large"/>
    <x v="0"/>
    <s v="GNR_ST_COAL_EXT_E-47"/>
    <x v="0"/>
    <x v="13"/>
    <n v="427.777777777778"/>
    <n v="156138.88888888899"/>
    <n v="562100"/>
  </r>
  <r>
    <x v="0"/>
    <x v="0"/>
    <x v="0"/>
    <x v="0"/>
    <x v="0"/>
    <s v="DK1_Large"/>
    <x v="0"/>
    <s v="GNR_ST_COAL_EXT_E-47"/>
    <x v="0"/>
    <x v="14"/>
    <n v="427.777777777778"/>
    <n v="156138.88888888899"/>
    <n v="562100"/>
  </r>
  <r>
    <x v="0"/>
    <x v="0"/>
    <x v="0"/>
    <x v="0"/>
    <x v="0"/>
    <s v="DK1_Large"/>
    <x v="0"/>
    <s v="GNR_ST_COAL_EXT_E-47"/>
    <x v="0"/>
    <x v="15"/>
    <n v="427.777777777778"/>
    <n v="156138.88888888899"/>
    <n v="562100"/>
  </r>
  <r>
    <x v="0"/>
    <x v="0"/>
    <x v="0"/>
    <x v="0"/>
    <x v="0"/>
    <s v="DK1_Large"/>
    <x v="0"/>
    <s v="GNR_ST_COAL_EXT_E-47"/>
    <x v="0"/>
    <x v="16"/>
    <n v="427.777777777778"/>
    <n v="156138.88888888899"/>
    <n v="562100"/>
  </r>
  <r>
    <x v="0"/>
    <x v="0"/>
    <x v="0"/>
    <x v="0"/>
    <x v="0"/>
    <s v="DK1_Large"/>
    <x v="0"/>
    <s v="GNR_ST_COAL_EXT_E-47"/>
    <x v="0"/>
    <x v="17"/>
    <n v="427.777777777778"/>
    <n v="156138.88888888899"/>
    <n v="562100"/>
  </r>
  <r>
    <x v="0"/>
    <x v="0"/>
    <x v="0"/>
    <x v="0"/>
    <x v="0"/>
    <s v="DK1_Large"/>
    <x v="0"/>
    <s v="GNR_ST_COAL_EXT_E-47"/>
    <x v="0"/>
    <x v="18"/>
    <n v="427.777777777778"/>
    <n v="156138.88888888899"/>
    <n v="562100"/>
  </r>
  <r>
    <x v="0"/>
    <x v="0"/>
    <x v="0"/>
    <x v="0"/>
    <x v="0"/>
    <s v="DK1_Large"/>
    <x v="0"/>
    <s v="GNR_ST_COAL_EXT_E-47"/>
    <x v="0"/>
    <x v="19"/>
    <n v="427.777777777778"/>
    <n v="156138.88888888899"/>
    <n v="562100"/>
  </r>
  <r>
    <x v="0"/>
    <x v="0"/>
    <x v="0"/>
    <x v="0"/>
    <x v="0"/>
    <s v="DK1_Large"/>
    <x v="0"/>
    <s v="GNR_ST_COAL_EXT_E-47"/>
    <x v="0"/>
    <x v="20"/>
    <n v="427.777777777778"/>
    <n v="156138.88888888899"/>
    <n v="562100"/>
  </r>
  <r>
    <x v="0"/>
    <x v="0"/>
    <x v="0"/>
    <x v="0"/>
    <x v="0"/>
    <s v="DK1_Large"/>
    <x v="0"/>
    <s v="GNR_ST_COAL_EXT_E-47"/>
    <x v="0"/>
    <x v="21"/>
    <n v="427.777777777778"/>
    <n v="156138.88888888899"/>
    <n v="562100"/>
  </r>
  <r>
    <x v="0"/>
    <x v="0"/>
    <x v="0"/>
    <x v="0"/>
    <x v="0"/>
    <s v="DK1_Large"/>
    <x v="0"/>
    <s v="GNR_ST_COAL_EXT_E-47"/>
    <x v="0"/>
    <x v="22"/>
    <n v="427.777777777778"/>
    <n v="156138.88888888899"/>
    <n v="562100"/>
  </r>
  <r>
    <x v="0"/>
    <x v="0"/>
    <x v="0"/>
    <x v="0"/>
    <x v="0"/>
    <s v="DK1_Large"/>
    <x v="0"/>
    <s v="GNR_ST_COAL_EXT_E-47"/>
    <x v="0"/>
    <x v="23"/>
    <n v="427.777777777778"/>
    <n v="156138.88888888899"/>
    <n v="562100"/>
  </r>
  <r>
    <x v="0"/>
    <x v="0"/>
    <x v="0"/>
    <x v="0"/>
    <x v="0"/>
    <s v="DK1_Large"/>
    <x v="1"/>
    <s v="GNR_BO_MSW_E-105"/>
    <x v="0"/>
    <x v="0"/>
    <n v="38"/>
    <n v="13870"/>
    <n v="49932"/>
  </r>
  <r>
    <x v="0"/>
    <x v="0"/>
    <x v="0"/>
    <x v="0"/>
    <x v="0"/>
    <s v="DK1_Large"/>
    <x v="1"/>
    <s v="GNR_BO_MSW_E-105"/>
    <x v="0"/>
    <x v="1"/>
    <n v="38"/>
    <n v="13870"/>
    <n v="49932"/>
  </r>
  <r>
    <x v="0"/>
    <x v="0"/>
    <x v="0"/>
    <x v="0"/>
    <x v="0"/>
    <s v="DK1_Large"/>
    <x v="1"/>
    <s v="GNR_BO_MSW_E-105"/>
    <x v="0"/>
    <x v="2"/>
    <n v="38"/>
    <n v="13870"/>
    <n v="49932"/>
  </r>
  <r>
    <x v="0"/>
    <x v="0"/>
    <x v="0"/>
    <x v="0"/>
    <x v="0"/>
    <s v="DK1_Large"/>
    <x v="1"/>
    <s v="GNR_BO_MSW_E-105"/>
    <x v="0"/>
    <x v="3"/>
    <n v="38"/>
    <n v="13870"/>
    <n v="49932"/>
  </r>
  <r>
    <x v="0"/>
    <x v="0"/>
    <x v="0"/>
    <x v="0"/>
    <x v="0"/>
    <s v="DK1_Large"/>
    <x v="1"/>
    <s v="GNR_BO_MSW_E-105"/>
    <x v="0"/>
    <x v="4"/>
    <n v="38"/>
    <n v="13870"/>
    <n v="49932"/>
  </r>
  <r>
    <x v="0"/>
    <x v="0"/>
    <x v="0"/>
    <x v="0"/>
    <x v="0"/>
    <s v="DK1_Large"/>
    <x v="1"/>
    <s v="GNR_BO_MSW_E-105"/>
    <x v="0"/>
    <x v="5"/>
    <n v="38"/>
    <n v="13870"/>
    <n v="49932"/>
  </r>
  <r>
    <x v="0"/>
    <x v="0"/>
    <x v="0"/>
    <x v="0"/>
    <x v="0"/>
    <s v="DK1_Large"/>
    <x v="1"/>
    <s v="GNR_BO_MSW_E-105"/>
    <x v="0"/>
    <x v="6"/>
    <n v="38"/>
    <n v="13870"/>
    <n v="49932"/>
  </r>
  <r>
    <x v="0"/>
    <x v="0"/>
    <x v="0"/>
    <x v="0"/>
    <x v="0"/>
    <s v="DK1_Large"/>
    <x v="1"/>
    <s v="GNR_BO_MSW_E-105"/>
    <x v="0"/>
    <x v="7"/>
    <n v="38"/>
    <n v="13870"/>
    <n v="49932"/>
  </r>
  <r>
    <x v="0"/>
    <x v="0"/>
    <x v="0"/>
    <x v="0"/>
    <x v="0"/>
    <s v="DK1_Large"/>
    <x v="1"/>
    <s v="GNR_BO_MSW_E-105"/>
    <x v="0"/>
    <x v="8"/>
    <n v="38"/>
    <n v="13870"/>
    <n v="49932"/>
  </r>
  <r>
    <x v="0"/>
    <x v="0"/>
    <x v="0"/>
    <x v="0"/>
    <x v="0"/>
    <s v="DK1_Large"/>
    <x v="1"/>
    <s v="GNR_BO_MSW_E-105"/>
    <x v="0"/>
    <x v="9"/>
    <n v="38"/>
    <n v="13870"/>
    <n v="49932"/>
  </r>
  <r>
    <x v="0"/>
    <x v="0"/>
    <x v="0"/>
    <x v="0"/>
    <x v="0"/>
    <s v="DK1_Large"/>
    <x v="1"/>
    <s v="GNR_BO_MSW_E-105"/>
    <x v="0"/>
    <x v="10"/>
    <n v="38"/>
    <n v="13870"/>
    <n v="49932"/>
  </r>
  <r>
    <x v="0"/>
    <x v="0"/>
    <x v="0"/>
    <x v="0"/>
    <x v="0"/>
    <s v="DK1_Large"/>
    <x v="1"/>
    <s v="GNR_BO_MSW_E-105"/>
    <x v="0"/>
    <x v="11"/>
    <n v="38"/>
    <n v="13870"/>
    <n v="49932"/>
  </r>
  <r>
    <x v="0"/>
    <x v="0"/>
    <x v="0"/>
    <x v="0"/>
    <x v="0"/>
    <s v="DK1_Large"/>
    <x v="1"/>
    <s v="GNR_BO_MSW_E-105"/>
    <x v="0"/>
    <x v="12"/>
    <n v="38"/>
    <n v="13870"/>
    <n v="49932"/>
  </r>
  <r>
    <x v="0"/>
    <x v="0"/>
    <x v="0"/>
    <x v="0"/>
    <x v="0"/>
    <s v="DK1_Large"/>
    <x v="1"/>
    <s v="GNR_BO_MSW_E-105"/>
    <x v="0"/>
    <x v="13"/>
    <n v="38"/>
    <n v="13870"/>
    <n v="49932"/>
  </r>
  <r>
    <x v="0"/>
    <x v="0"/>
    <x v="0"/>
    <x v="0"/>
    <x v="0"/>
    <s v="DK1_Large"/>
    <x v="1"/>
    <s v="GNR_BO_MSW_E-105"/>
    <x v="0"/>
    <x v="14"/>
    <n v="38"/>
    <n v="13870"/>
    <n v="49932"/>
  </r>
  <r>
    <x v="0"/>
    <x v="0"/>
    <x v="0"/>
    <x v="0"/>
    <x v="0"/>
    <s v="DK1_Large"/>
    <x v="1"/>
    <s v="GNR_BO_MSW_E-105"/>
    <x v="0"/>
    <x v="15"/>
    <n v="38"/>
    <n v="13870"/>
    <n v="49932"/>
  </r>
  <r>
    <x v="0"/>
    <x v="0"/>
    <x v="0"/>
    <x v="0"/>
    <x v="0"/>
    <s v="DK1_Large"/>
    <x v="1"/>
    <s v="GNR_BO_MSW_E-105"/>
    <x v="0"/>
    <x v="16"/>
    <n v="38"/>
    <n v="13870"/>
    <n v="49932"/>
  </r>
  <r>
    <x v="0"/>
    <x v="0"/>
    <x v="0"/>
    <x v="0"/>
    <x v="0"/>
    <s v="DK1_Large"/>
    <x v="1"/>
    <s v="GNR_BO_MSW_E-105"/>
    <x v="0"/>
    <x v="17"/>
    <n v="38"/>
    <n v="13870"/>
    <n v="49932"/>
  </r>
  <r>
    <x v="0"/>
    <x v="0"/>
    <x v="0"/>
    <x v="0"/>
    <x v="0"/>
    <s v="DK1_Large"/>
    <x v="1"/>
    <s v="GNR_BO_MSW_E-105"/>
    <x v="0"/>
    <x v="22"/>
    <n v="38"/>
    <n v="13870"/>
    <n v="49932"/>
  </r>
  <r>
    <x v="0"/>
    <x v="0"/>
    <x v="0"/>
    <x v="0"/>
    <x v="0"/>
    <s v="DK1_Large"/>
    <x v="1"/>
    <s v="GNR_BO_MSW_E-105"/>
    <x v="0"/>
    <x v="23"/>
    <n v="38"/>
    <n v="13870"/>
    <n v="49932"/>
  </r>
  <r>
    <x v="0"/>
    <x v="0"/>
    <x v="0"/>
    <x v="0"/>
    <x v="0"/>
    <s v="DK1_Large"/>
    <x v="2"/>
    <s v="GNR_EH_HEAT"/>
    <x v="0"/>
    <x v="0"/>
    <n v="174.14"/>
    <n v="63561.1"/>
    <n v="228819.96"/>
  </r>
  <r>
    <x v="0"/>
    <x v="0"/>
    <x v="0"/>
    <x v="0"/>
    <x v="0"/>
    <s v="DK1_Large"/>
    <x v="2"/>
    <s v="GNR_EH_HEAT"/>
    <x v="0"/>
    <x v="1"/>
    <n v="174.14"/>
    <n v="63561.1"/>
    <n v="228819.96"/>
  </r>
  <r>
    <x v="0"/>
    <x v="0"/>
    <x v="0"/>
    <x v="0"/>
    <x v="0"/>
    <s v="DK1_Large"/>
    <x v="2"/>
    <s v="GNR_EH_HEAT"/>
    <x v="0"/>
    <x v="2"/>
    <n v="174.14"/>
    <n v="63561.1"/>
    <n v="228819.96"/>
  </r>
  <r>
    <x v="0"/>
    <x v="0"/>
    <x v="0"/>
    <x v="0"/>
    <x v="0"/>
    <s v="DK1_Large"/>
    <x v="2"/>
    <s v="GNR_EH_HEAT"/>
    <x v="0"/>
    <x v="3"/>
    <n v="174.14"/>
    <n v="63561.1"/>
    <n v="228819.96"/>
  </r>
  <r>
    <x v="0"/>
    <x v="0"/>
    <x v="0"/>
    <x v="0"/>
    <x v="0"/>
    <s v="DK1_Large"/>
    <x v="2"/>
    <s v="GNR_EH_HEAT"/>
    <x v="0"/>
    <x v="4"/>
    <n v="174.14"/>
    <n v="63561.1"/>
    <n v="228819.96"/>
  </r>
  <r>
    <x v="0"/>
    <x v="0"/>
    <x v="0"/>
    <x v="0"/>
    <x v="0"/>
    <s v="DK1_Large"/>
    <x v="2"/>
    <s v="GNR_EH_HEAT"/>
    <x v="0"/>
    <x v="5"/>
    <n v="174.14"/>
    <n v="63561.1"/>
    <n v="228819.96"/>
  </r>
  <r>
    <x v="0"/>
    <x v="0"/>
    <x v="0"/>
    <x v="0"/>
    <x v="0"/>
    <s v="DK1_Large"/>
    <x v="2"/>
    <s v="GNR_EH_HEAT"/>
    <x v="0"/>
    <x v="6"/>
    <n v="174.14"/>
    <n v="63561.1"/>
    <n v="228819.96"/>
  </r>
  <r>
    <x v="0"/>
    <x v="0"/>
    <x v="0"/>
    <x v="0"/>
    <x v="0"/>
    <s v="DK1_Large"/>
    <x v="2"/>
    <s v="GNR_EH_HEAT"/>
    <x v="0"/>
    <x v="7"/>
    <n v="174.14"/>
    <n v="63561.1"/>
    <n v="228819.96"/>
  </r>
  <r>
    <x v="0"/>
    <x v="0"/>
    <x v="0"/>
    <x v="0"/>
    <x v="0"/>
    <s v="DK1_Large"/>
    <x v="2"/>
    <s v="GNR_EH_HEAT"/>
    <x v="0"/>
    <x v="8"/>
    <n v="174.14"/>
    <n v="63561.1"/>
    <n v="228819.96"/>
  </r>
  <r>
    <x v="0"/>
    <x v="0"/>
    <x v="0"/>
    <x v="0"/>
    <x v="0"/>
    <s v="DK1_Large"/>
    <x v="2"/>
    <s v="GNR_EH_HEAT"/>
    <x v="0"/>
    <x v="9"/>
    <n v="174.14"/>
    <n v="63561.1"/>
    <n v="228819.96"/>
  </r>
  <r>
    <x v="0"/>
    <x v="0"/>
    <x v="0"/>
    <x v="0"/>
    <x v="0"/>
    <s v="DK1_Large"/>
    <x v="2"/>
    <s v="GNR_EH_HEAT"/>
    <x v="0"/>
    <x v="10"/>
    <n v="174.14"/>
    <n v="63561.1"/>
    <n v="228819.96"/>
  </r>
  <r>
    <x v="0"/>
    <x v="0"/>
    <x v="0"/>
    <x v="0"/>
    <x v="0"/>
    <s v="DK1_Large"/>
    <x v="2"/>
    <s v="GNR_EH_HEAT"/>
    <x v="0"/>
    <x v="11"/>
    <n v="174.14"/>
    <n v="63561.1"/>
    <n v="228819.96"/>
  </r>
  <r>
    <x v="0"/>
    <x v="0"/>
    <x v="0"/>
    <x v="0"/>
    <x v="0"/>
    <s v="DK1_Large"/>
    <x v="2"/>
    <s v="GNR_EH_HEAT"/>
    <x v="0"/>
    <x v="12"/>
    <n v="174.14"/>
    <n v="63561.1"/>
    <n v="228819.96"/>
  </r>
  <r>
    <x v="0"/>
    <x v="0"/>
    <x v="0"/>
    <x v="0"/>
    <x v="0"/>
    <s v="DK1_Large"/>
    <x v="2"/>
    <s v="GNR_EH_HEAT"/>
    <x v="0"/>
    <x v="13"/>
    <n v="174.14"/>
    <n v="63561.1"/>
    <n v="228819.96"/>
  </r>
  <r>
    <x v="0"/>
    <x v="0"/>
    <x v="0"/>
    <x v="0"/>
    <x v="0"/>
    <s v="DK1_Large"/>
    <x v="2"/>
    <s v="GNR_EH_HEAT"/>
    <x v="0"/>
    <x v="14"/>
    <n v="174.14"/>
    <n v="63561.1"/>
    <n v="228819.96"/>
  </r>
  <r>
    <x v="0"/>
    <x v="0"/>
    <x v="0"/>
    <x v="0"/>
    <x v="0"/>
    <s v="DK1_Large"/>
    <x v="2"/>
    <s v="GNR_EH_HEAT"/>
    <x v="0"/>
    <x v="15"/>
    <n v="174.14"/>
    <n v="63561.1"/>
    <n v="228819.96"/>
  </r>
  <r>
    <x v="0"/>
    <x v="0"/>
    <x v="0"/>
    <x v="0"/>
    <x v="0"/>
    <s v="DK1_Large"/>
    <x v="2"/>
    <s v="GNR_EH_HEAT"/>
    <x v="0"/>
    <x v="16"/>
    <n v="174.14"/>
    <n v="63561.1"/>
    <n v="228819.96"/>
  </r>
  <r>
    <x v="0"/>
    <x v="0"/>
    <x v="0"/>
    <x v="0"/>
    <x v="0"/>
    <s v="DK1_Large"/>
    <x v="2"/>
    <s v="GNR_EH_HEAT"/>
    <x v="0"/>
    <x v="17"/>
    <n v="174.14"/>
    <n v="63561.1"/>
    <n v="228819.96"/>
  </r>
  <r>
    <x v="0"/>
    <x v="0"/>
    <x v="0"/>
    <x v="0"/>
    <x v="0"/>
    <s v="DK1_Large"/>
    <x v="2"/>
    <s v="GNR_EH_HEAT"/>
    <x v="0"/>
    <x v="18"/>
    <n v="174.14"/>
    <n v="63561.1"/>
    <n v="228819.96"/>
  </r>
  <r>
    <x v="0"/>
    <x v="0"/>
    <x v="0"/>
    <x v="0"/>
    <x v="0"/>
    <s v="DK1_Large"/>
    <x v="2"/>
    <s v="GNR_EH_HEAT"/>
    <x v="0"/>
    <x v="19"/>
    <n v="174.14"/>
    <n v="63561.1"/>
    <n v="228819.96"/>
  </r>
  <r>
    <x v="0"/>
    <x v="0"/>
    <x v="0"/>
    <x v="0"/>
    <x v="0"/>
    <s v="DK1_Large"/>
    <x v="2"/>
    <s v="GNR_EH_HEAT"/>
    <x v="0"/>
    <x v="20"/>
    <n v="174.14"/>
    <n v="63561.1"/>
    <n v="228819.96"/>
  </r>
  <r>
    <x v="0"/>
    <x v="0"/>
    <x v="0"/>
    <x v="0"/>
    <x v="0"/>
    <s v="DK1_Large"/>
    <x v="2"/>
    <s v="GNR_EH_HEAT"/>
    <x v="0"/>
    <x v="21"/>
    <n v="174.14"/>
    <n v="63561.1"/>
    <n v="228819.96"/>
  </r>
  <r>
    <x v="0"/>
    <x v="0"/>
    <x v="0"/>
    <x v="0"/>
    <x v="0"/>
    <s v="DK1_Large"/>
    <x v="2"/>
    <s v="GNR_EH_HEAT"/>
    <x v="0"/>
    <x v="22"/>
    <n v="174.14"/>
    <n v="63561.1"/>
    <n v="228819.96"/>
  </r>
  <r>
    <x v="0"/>
    <x v="0"/>
    <x v="0"/>
    <x v="0"/>
    <x v="0"/>
    <s v="DK1_Large"/>
    <x v="2"/>
    <s v="GNR_EH_HEAT"/>
    <x v="0"/>
    <x v="23"/>
    <n v="174.14"/>
    <n v="63561.1"/>
    <n v="228819.96"/>
  </r>
  <r>
    <x v="0"/>
    <x v="0"/>
    <x v="0"/>
    <x v="0"/>
    <x v="0"/>
    <s v="DK1_MedSmall"/>
    <x v="3"/>
    <s v="GNR_BO_ELEC_E-100"/>
    <x v="0"/>
    <x v="0"/>
    <n v="1"/>
    <n v="365"/>
    <n v="1314"/>
  </r>
  <r>
    <x v="0"/>
    <x v="0"/>
    <x v="0"/>
    <x v="0"/>
    <x v="0"/>
    <s v="DK1_MedSmall"/>
    <x v="3"/>
    <s v="GNR_BO_ELEC_E-100"/>
    <x v="0"/>
    <x v="1"/>
    <n v="1"/>
    <n v="365"/>
    <n v="1314"/>
  </r>
  <r>
    <x v="0"/>
    <x v="0"/>
    <x v="0"/>
    <x v="0"/>
    <x v="0"/>
    <s v="DK1_MedSmall"/>
    <x v="3"/>
    <s v="GNR_BO_ELEC_E-100"/>
    <x v="0"/>
    <x v="2"/>
    <n v="1"/>
    <n v="365"/>
    <n v="1314"/>
  </r>
  <r>
    <x v="0"/>
    <x v="0"/>
    <x v="0"/>
    <x v="0"/>
    <x v="0"/>
    <s v="DK1_MedSmall"/>
    <x v="3"/>
    <s v="GNR_BO_ELEC_E-100"/>
    <x v="0"/>
    <x v="3"/>
    <n v="1"/>
    <n v="365"/>
    <n v="1314"/>
  </r>
  <r>
    <x v="0"/>
    <x v="0"/>
    <x v="0"/>
    <x v="0"/>
    <x v="0"/>
    <s v="DK1_MedSmall"/>
    <x v="3"/>
    <s v="GNR_BO_ELEC_E-100"/>
    <x v="0"/>
    <x v="4"/>
    <n v="1"/>
    <n v="365"/>
    <n v="1314"/>
  </r>
  <r>
    <x v="0"/>
    <x v="0"/>
    <x v="0"/>
    <x v="0"/>
    <x v="0"/>
    <s v="DK1_MedSmall"/>
    <x v="3"/>
    <s v="GNR_BO_ELEC_E-100"/>
    <x v="0"/>
    <x v="5"/>
    <n v="1"/>
    <n v="365"/>
    <n v="1314"/>
  </r>
  <r>
    <x v="0"/>
    <x v="0"/>
    <x v="0"/>
    <x v="0"/>
    <x v="0"/>
    <s v="DK1_MedSmall"/>
    <x v="3"/>
    <s v="GNR_BO_ELEC_E-100"/>
    <x v="0"/>
    <x v="6"/>
    <n v="1"/>
    <n v="365"/>
    <n v="1314"/>
  </r>
  <r>
    <x v="0"/>
    <x v="0"/>
    <x v="0"/>
    <x v="0"/>
    <x v="0"/>
    <s v="DK1_MedSmall"/>
    <x v="3"/>
    <s v="GNR_BO_ELEC_E-100"/>
    <x v="0"/>
    <x v="7"/>
    <n v="1"/>
    <n v="365"/>
    <n v="1314"/>
  </r>
  <r>
    <x v="0"/>
    <x v="0"/>
    <x v="0"/>
    <x v="0"/>
    <x v="0"/>
    <s v="DK1_MedSmall"/>
    <x v="3"/>
    <s v="GNR_BO_ELEC_E-100"/>
    <x v="0"/>
    <x v="8"/>
    <n v="1"/>
    <n v="365"/>
    <n v="1314"/>
  </r>
  <r>
    <x v="0"/>
    <x v="0"/>
    <x v="0"/>
    <x v="0"/>
    <x v="0"/>
    <s v="DK1_MedSmall"/>
    <x v="3"/>
    <s v="GNR_BO_ELEC_E-100"/>
    <x v="0"/>
    <x v="9"/>
    <n v="1"/>
    <n v="365"/>
    <n v="1314"/>
  </r>
  <r>
    <x v="0"/>
    <x v="0"/>
    <x v="0"/>
    <x v="0"/>
    <x v="0"/>
    <s v="DK1_MedSmall"/>
    <x v="3"/>
    <s v="GNR_BO_ELEC_E-100"/>
    <x v="0"/>
    <x v="10"/>
    <n v="1"/>
    <n v="365"/>
    <n v="1314"/>
  </r>
  <r>
    <x v="0"/>
    <x v="0"/>
    <x v="0"/>
    <x v="0"/>
    <x v="0"/>
    <s v="DK1_MedSmall"/>
    <x v="3"/>
    <s v="GNR_BO_ELEC_E-100"/>
    <x v="0"/>
    <x v="11"/>
    <n v="1"/>
    <n v="365"/>
    <n v="1314"/>
  </r>
  <r>
    <x v="0"/>
    <x v="0"/>
    <x v="0"/>
    <x v="0"/>
    <x v="0"/>
    <s v="DK1_MedSmall"/>
    <x v="3"/>
    <s v="GNR_BO_ELEC_E-100"/>
    <x v="0"/>
    <x v="12"/>
    <n v="1"/>
    <n v="365"/>
    <n v="1314"/>
  </r>
  <r>
    <x v="0"/>
    <x v="0"/>
    <x v="0"/>
    <x v="0"/>
    <x v="0"/>
    <s v="DK1_MedSmall"/>
    <x v="3"/>
    <s v="GNR_BO_ELEC_E-100"/>
    <x v="0"/>
    <x v="13"/>
    <n v="1"/>
    <n v="365"/>
    <n v="1314"/>
  </r>
  <r>
    <x v="0"/>
    <x v="0"/>
    <x v="0"/>
    <x v="0"/>
    <x v="0"/>
    <s v="DK1_MedSmall"/>
    <x v="3"/>
    <s v="GNR_BO_ELEC_E-100"/>
    <x v="0"/>
    <x v="14"/>
    <n v="1"/>
    <n v="365"/>
    <n v="1314"/>
  </r>
  <r>
    <x v="0"/>
    <x v="0"/>
    <x v="0"/>
    <x v="0"/>
    <x v="0"/>
    <s v="DK1_MedSmall"/>
    <x v="3"/>
    <s v="GNR_BO_ELEC_E-100"/>
    <x v="0"/>
    <x v="15"/>
    <n v="1"/>
    <n v="365"/>
    <n v="1314"/>
  </r>
  <r>
    <x v="0"/>
    <x v="0"/>
    <x v="0"/>
    <x v="0"/>
    <x v="0"/>
    <s v="DK1_MedSmall"/>
    <x v="3"/>
    <s v="GNR_BO_ELEC_E-100"/>
    <x v="0"/>
    <x v="16"/>
    <n v="1"/>
    <n v="365"/>
    <n v="1314"/>
  </r>
  <r>
    <x v="0"/>
    <x v="0"/>
    <x v="0"/>
    <x v="0"/>
    <x v="0"/>
    <s v="DK1_MedSmall"/>
    <x v="3"/>
    <s v="GNR_BO_ELEC_E-100"/>
    <x v="0"/>
    <x v="17"/>
    <n v="1"/>
    <n v="365"/>
    <n v="1314"/>
  </r>
  <r>
    <x v="0"/>
    <x v="0"/>
    <x v="0"/>
    <x v="0"/>
    <x v="0"/>
    <s v="DK1_MedSmall"/>
    <x v="3"/>
    <s v="GNR_BO_ELEC_E-100"/>
    <x v="0"/>
    <x v="18"/>
    <n v="1"/>
    <n v="365"/>
    <n v="1314"/>
  </r>
  <r>
    <x v="0"/>
    <x v="0"/>
    <x v="0"/>
    <x v="0"/>
    <x v="0"/>
    <s v="DK1_MedSmall"/>
    <x v="3"/>
    <s v="GNR_BO_ELEC_E-100"/>
    <x v="0"/>
    <x v="19"/>
    <n v="1"/>
    <n v="365"/>
    <n v="1314"/>
  </r>
  <r>
    <x v="0"/>
    <x v="0"/>
    <x v="0"/>
    <x v="0"/>
    <x v="0"/>
    <s v="DK1_MedSmall"/>
    <x v="3"/>
    <s v="GNR_BO_ELEC_E-100"/>
    <x v="0"/>
    <x v="20"/>
    <n v="1"/>
    <n v="365"/>
    <n v="1314"/>
  </r>
  <r>
    <x v="0"/>
    <x v="0"/>
    <x v="0"/>
    <x v="0"/>
    <x v="0"/>
    <s v="DK1_MedSmall"/>
    <x v="3"/>
    <s v="GNR_BO_ELEC_E-100"/>
    <x v="0"/>
    <x v="21"/>
    <n v="1"/>
    <n v="365"/>
    <n v="1314"/>
  </r>
  <r>
    <x v="0"/>
    <x v="0"/>
    <x v="0"/>
    <x v="0"/>
    <x v="0"/>
    <s v="DK1_MedSmall"/>
    <x v="3"/>
    <s v="GNR_BO_ELEC_E-100"/>
    <x v="0"/>
    <x v="22"/>
    <n v="1"/>
    <n v="365"/>
    <n v="1314"/>
  </r>
  <r>
    <x v="0"/>
    <x v="0"/>
    <x v="0"/>
    <x v="0"/>
    <x v="0"/>
    <s v="DK1_MedSmall"/>
    <x v="3"/>
    <s v="GNR_BO_ELEC_E-100"/>
    <x v="0"/>
    <x v="23"/>
    <n v="1"/>
    <n v="365"/>
    <n v="1314"/>
  </r>
  <r>
    <x v="0"/>
    <x v="0"/>
    <x v="0"/>
    <x v="0"/>
    <x v="0"/>
    <s v="DK1_MedSmall"/>
    <x v="1"/>
    <s v="GNR_BO_MSW_E-100"/>
    <x v="0"/>
    <x v="0"/>
    <n v="6.5"/>
    <n v="2372.5"/>
    <n v="8541"/>
  </r>
  <r>
    <x v="0"/>
    <x v="0"/>
    <x v="0"/>
    <x v="0"/>
    <x v="0"/>
    <s v="DK1_MedSmall"/>
    <x v="1"/>
    <s v="GNR_BO_MSW_E-100"/>
    <x v="0"/>
    <x v="1"/>
    <n v="6.5"/>
    <n v="2372.5"/>
    <n v="8541"/>
  </r>
  <r>
    <x v="0"/>
    <x v="0"/>
    <x v="0"/>
    <x v="0"/>
    <x v="0"/>
    <s v="DK1_MedSmall"/>
    <x v="1"/>
    <s v="GNR_BO_MSW_E-100"/>
    <x v="0"/>
    <x v="2"/>
    <n v="6.5"/>
    <n v="2372.5"/>
    <n v="8541"/>
  </r>
  <r>
    <x v="0"/>
    <x v="0"/>
    <x v="0"/>
    <x v="0"/>
    <x v="0"/>
    <s v="DK1_MedSmall"/>
    <x v="1"/>
    <s v="GNR_BO_MSW_E-100"/>
    <x v="0"/>
    <x v="3"/>
    <n v="6.5"/>
    <n v="2372.5"/>
    <n v="8541"/>
  </r>
  <r>
    <x v="0"/>
    <x v="0"/>
    <x v="0"/>
    <x v="0"/>
    <x v="0"/>
    <s v="DK1_MedSmall"/>
    <x v="1"/>
    <s v="GNR_BO_MSW_E-100"/>
    <x v="0"/>
    <x v="4"/>
    <n v="6.5"/>
    <n v="2372.5"/>
    <n v="8541"/>
  </r>
  <r>
    <x v="0"/>
    <x v="0"/>
    <x v="0"/>
    <x v="0"/>
    <x v="0"/>
    <s v="DK1_MedSmall"/>
    <x v="1"/>
    <s v="GNR_BO_MSW_E-100"/>
    <x v="0"/>
    <x v="5"/>
    <n v="6.5"/>
    <n v="2372.5"/>
    <n v="8541"/>
  </r>
  <r>
    <x v="0"/>
    <x v="0"/>
    <x v="0"/>
    <x v="0"/>
    <x v="0"/>
    <s v="DK1_MedSmall"/>
    <x v="1"/>
    <s v="GNR_BO_MSW_E-100"/>
    <x v="0"/>
    <x v="6"/>
    <n v="6.5"/>
    <n v="2372.5"/>
    <n v="8541"/>
  </r>
  <r>
    <x v="0"/>
    <x v="0"/>
    <x v="0"/>
    <x v="0"/>
    <x v="0"/>
    <s v="DK1_MedSmall"/>
    <x v="1"/>
    <s v="GNR_BO_MSW_E-100"/>
    <x v="0"/>
    <x v="7"/>
    <n v="6.5"/>
    <n v="2372.5"/>
    <n v="8541"/>
  </r>
  <r>
    <x v="0"/>
    <x v="0"/>
    <x v="0"/>
    <x v="0"/>
    <x v="0"/>
    <s v="DK1_MedSmall"/>
    <x v="1"/>
    <s v="GNR_BO_MSW_E-100"/>
    <x v="0"/>
    <x v="8"/>
    <n v="6.5"/>
    <n v="2372.5"/>
    <n v="8541"/>
  </r>
  <r>
    <x v="0"/>
    <x v="0"/>
    <x v="0"/>
    <x v="0"/>
    <x v="0"/>
    <s v="DK1_MedSmall"/>
    <x v="1"/>
    <s v="GNR_BO_MSW_E-100"/>
    <x v="0"/>
    <x v="9"/>
    <n v="6.5"/>
    <n v="2372.5"/>
    <n v="8541"/>
  </r>
  <r>
    <x v="0"/>
    <x v="0"/>
    <x v="0"/>
    <x v="0"/>
    <x v="0"/>
    <s v="DK1_MedSmall"/>
    <x v="1"/>
    <s v="GNR_BO_MSW_E-100"/>
    <x v="0"/>
    <x v="10"/>
    <n v="6.5"/>
    <n v="2372.5"/>
    <n v="8541"/>
  </r>
  <r>
    <x v="0"/>
    <x v="0"/>
    <x v="0"/>
    <x v="0"/>
    <x v="0"/>
    <s v="DK1_MedSmall"/>
    <x v="1"/>
    <s v="GNR_BO_MSW_E-100"/>
    <x v="0"/>
    <x v="11"/>
    <n v="6.5"/>
    <n v="2372.5"/>
    <n v="8541"/>
  </r>
  <r>
    <x v="0"/>
    <x v="0"/>
    <x v="0"/>
    <x v="0"/>
    <x v="0"/>
    <s v="DK1_MedSmall"/>
    <x v="1"/>
    <s v="GNR_BO_MSW_E-100"/>
    <x v="0"/>
    <x v="12"/>
    <n v="6.5"/>
    <n v="2372.5"/>
    <n v="8541"/>
  </r>
  <r>
    <x v="0"/>
    <x v="0"/>
    <x v="0"/>
    <x v="0"/>
    <x v="0"/>
    <s v="DK1_MedSmall"/>
    <x v="1"/>
    <s v="GNR_BO_MSW_E-100"/>
    <x v="0"/>
    <x v="13"/>
    <n v="6.5"/>
    <n v="2372.5"/>
    <n v="8541"/>
  </r>
  <r>
    <x v="0"/>
    <x v="0"/>
    <x v="0"/>
    <x v="0"/>
    <x v="0"/>
    <s v="DK1_MedSmall"/>
    <x v="1"/>
    <s v="GNR_BO_MSW_E-100"/>
    <x v="0"/>
    <x v="14"/>
    <n v="6.5"/>
    <n v="2372.5"/>
    <n v="8541"/>
  </r>
  <r>
    <x v="0"/>
    <x v="0"/>
    <x v="0"/>
    <x v="0"/>
    <x v="0"/>
    <s v="DK1_MedSmall"/>
    <x v="1"/>
    <s v="GNR_BO_MSW_E-100"/>
    <x v="0"/>
    <x v="15"/>
    <n v="6.5"/>
    <n v="2372.5"/>
    <n v="8541"/>
  </r>
  <r>
    <x v="0"/>
    <x v="0"/>
    <x v="0"/>
    <x v="0"/>
    <x v="0"/>
    <s v="DK1_MedSmall"/>
    <x v="1"/>
    <s v="GNR_BO_MSW_E-100"/>
    <x v="0"/>
    <x v="16"/>
    <n v="6.5"/>
    <n v="2372.5"/>
    <n v="8541"/>
  </r>
  <r>
    <x v="0"/>
    <x v="0"/>
    <x v="0"/>
    <x v="0"/>
    <x v="0"/>
    <s v="DK1_MedSmall"/>
    <x v="1"/>
    <s v="GNR_BO_MSW_E-100"/>
    <x v="0"/>
    <x v="17"/>
    <n v="6.5"/>
    <n v="2372.5"/>
    <n v="8541"/>
  </r>
  <r>
    <x v="0"/>
    <x v="0"/>
    <x v="0"/>
    <x v="0"/>
    <x v="0"/>
    <s v="DK1_MedSmall"/>
    <x v="1"/>
    <s v="GNR_BO_MSW_E-100"/>
    <x v="0"/>
    <x v="18"/>
    <n v="6.5"/>
    <n v="2372.5"/>
    <n v="8541"/>
  </r>
  <r>
    <x v="0"/>
    <x v="0"/>
    <x v="0"/>
    <x v="0"/>
    <x v="0"/>
    <s v="DK1_MedSmall"/>
    <x v="1"/>
    <s v="GNR_BO_MSW_E-100"/>
    <x v="0"/>
    <x v="19"/>
    <n v="6.5"/>
    <n v="2372.5"/>
    <n v="8541"/>
  </r>
  <r>
    <x v="0"/>
    <x v="0"/>
    <x v="0"/>
    <x v="0"/>
    <x v="0"/>
    <s v="DK1_MedSmall"/>
    <x v="1"/>
    <s v="GNR_BO_MSW_E-100"/>
    <x v="0"/>
    <x v="20"/>
    <n v="6.5"/>
    <n v="2372.5"/>
    <n v="8541"/>
  </r>
  <r>
    <x v="0"/>
    <x v="0"/>
    <x v="0"/>
    <x v="0"/>
    <x v="0"/>
    <s v="DK1_MedSmall"/>
    <x v="1"/>
    <s v="GNR_BO_MSW_E-100"/>
    <x v="0"/>
    <x v="21"/>
    <n v="6.5"/>
    <n v="2372.5"/>
    <n v="8541"/>
  </r>
  <r>
    <x v="0"/>
    <x v="0"/>
    <x v="0"/>
    <x v="0"/>
    <x v="0"/>
    <s v="DK1_MedSmall"/>
    <x v="1"/>
    <s v="GNR_BO_MSW_E-100"/>
    <x v="0"/>
    <x v="22"/>
    <n v="6.5"/>
    <n v="2372.5"/>
    <n v="8541"/>
  </r>
  <r>
    <x v="0"/>
    <x v="0"/>
    <x v="0"/>
    <x v="0"/>
    <x v="0"/>
    <s v="DK1_MedSmall"/>
    <x v="1"/>
    <s v="GNR_BO_MSW_E-100"/>
    <x v="0"/>
    <x v="23"/>
    <n v="6.5"/>
    <n v="2372.5"/>
    <n v="8541"/>
  </r>
  <r>
    <x v="0"/>
    <x v="0"/>
    <x v="0"/>
    <x v="0"/>
    <x v="0"/>
    <s v="DK1_MedSmall"/>
    <x v="1"/>
    <s v="GNR_ST_MSW_BP_E-17"/>
    <x v="0"/>
    <x v="0"/>
    <n v="8.1146681458633108"/>
    <n v="2961.8538732401098"/>
    <n v="10662.6739436644"/>
  </r>
  <r>
    <x v="0"/>
    <x v="0"/>
    <x v="0"/>
    <x v="0"/>
    <x v="0"/>
    <s v="DK1_MedSmall"/>
    <x v="1"/>
    <s v="GNR_ST_MSW_BP_E-17"/>
    <x v="0"/>
    <x v="1"/>
    <n v="8.1146681458633108"/>
    <n v="2961.8538732401098"/>
    <n v="10662.6739436644"/>
  </r>
  <r>
    <x v="0"/>
    <x v="0"/>
    <x v="0"/>
    <x v="0"/>
    <x v="0"/>
    <s v="DK1_MedSmall"/>
    <x v="1"/>
    <s v="GNR_ST_MSW_BP_E-17"/>
    <x v="0"/>
    <x v="2"/>
    <n v="8.1146681458633108"/>
    <n v="2961.8538732401098"/>
    <n v="10662.6739436644"/>
  </r>
  <r>
    <x v="0"/>
    <x v="0"/>
    <x v="0"/>
    <x v="0"/>
    <x v="0"/>
    <s v="DK1_MedSmall"/>
    <x v="1"/>
    <s v="GNR_ST_MSW_BP_E-17"/>
    <x v="0"/>
    <x v="3"/>
    <n v="8.1146681458633108"/>
    <n v="2961.8538732401098"/>
    <n v="10662.6739436644"/>
  </r>
  <r>
    <x v="0"/>
    <x v="0"/>
    <x v="0"/>
    <x v="0"/>
    <x v="0"/>
    <s v="DK1_MedSmall"/>
    <x v="1"/>
    <s v="GNR_ST_MSW_BP_E-17"/>
    <x v="0"/>
    <x v="4"/>
    <n v="8.1146681458633108"/>
    <n v="2961.8538732401098"/>
    <n v="10662.6739436644"/>
  </r>
  <r>
    <x v="0"/>
    <x v="0"/>
    <x v="0"/>
    <x v="0"/>
    <x v="0"/>
    <s v="DK1_MedSmall"/>
    <x v="1"/>
    <s v="GNR_ST_MSW_BP_E-17"/>
    <x v="0"/>
    <x v="5"/>
    <n v="8.1146681458633108"/>
    <n v="2961.8538732401098"/>
    <n v="10662.6739436644"/>
  </r>
  <r>
    <x v="0"/>
    <x v="0"/>
    <x v="0"/>
    <x v="0"/>
    <x v="0"/>
    <s v="DK1_MedSmall"/>
    <x v="1"/>
    <s v="GNR_ST_MSW_BP_E-17"/>
    <x v="0"/>
    <x v="6"/>
    <n v="8.1146681458633108"/>
    <n v="2961.8538732401098"/>
    <n v="10662.6739436644"/>
  </r>
  <r>
    <x v="0"/>
    <x v="0"/>
    <x v="0"/>
    <x v="0"/>
    <x v="0"/>
    <s v="DK1_MedSmall"/>
    <x v="1"/>
    <s v="GNR_ST_MSW_BP_E-17"/>
    <x v="0"/>
    <x v="7"/>
    <n v="8.1146681458633108"/>
    <n v="2961.8538732401098"/>
    <n v="10662.6739436644"/>
  </r>
  <r>
    <x v="0"/>
    <x v="0"/>
    <x v="0"/>
    <x v="0"/>
    <x v="0"/>
    <s v="DK1_MedSmall"/>
    <x v="1"/>
    <s v="GNR_ST_MSW_BP_E-17"/>
    <x v="0"/>
    <x v="8"/>
    <n v="8.1146681458633108"/>
    <n v="2961.8538732401098"/>
    <n v="10662.6739436644"/>
  </r>
  <r>
    <x v="0"/>
    <x v="0"/>
    <x v="0"/>
    <x v="0"/>
    <x v="0"/>
    <s v="DK1_MedSmall"/>
    <x v="1"/>
    <s v="GNR_ST_MSW_BP_E-17"/>
    <x v="0"/>
    <x v="9"/>
    <n v="8.1146681458633108"/>
    <n v="2961.8538732401098"/>
    <n v="10662.6739436644"/>
  </r>
  <r>
    <x v="0"/>
    <x v="0"/>
    <x v="0"/>
    <x v="0"/>
    <x v="0"/>
    <s v="DK1_MedSmall"/>
    <x v="1"/>
    <s v="GNR_ST_MSW_BP_E-17"/>
    <x v="0"/>
    <x v="10"/>
    <n v="8.1146681458633108"/>
    <n v="2961.8538732401098"/>
    <n v="10662.6739436644"/>
  </r>
  <r>
    <x v="0"/>
    <x v="0"/>
    <x v="0"/>
    <x v="0"/>
    <x v="0"/>
    <s v="DK1_MedSmall"/>
    <x v="1"/>
    <s v="GNR_ST_MSW_BP_E-17"/>
    <x v="0"/>
    <x v="11"/>
    <n v="8.1146681458633108"/>
    <n v="2961.8538732401098"/>
    <n v="10662.6739436644"/>
  </r>
  <r>
    <x v="0"/>
    <x v="0"/>
    <x v="0"/>
    <x v="0"/>
    <x v="0"/>
    <s v="DK1_MedSmall"/>
    <x v="1"/>
    <s v="GNR_ST_MSW_BP_E-17"/>
    <x v="0"/>
    <x v="12"/>
    <n v="8.1146681458633108"/>
    <n v="2961.8538732401098"/>
    <n v="10662.6739436644"/>
  </r>
  <r>
    <x v="0"/>
    <x v="0"/>
    <x v="0"/>
    <x v="0"/>
    <x v="0"/>
    <s v="DK1_MedSmall"/>
    <x v="1"/>
    <s v="GNR_ST_MSW_BP_E-17"/>
    <x v="0"/>
    <x v="13"/>
    <n v="8.1146681458633108"/>
    <n v="2961.8538732401098"/>
    <n v="10662.6739436644"/>
  </r>
  <r>
    <x v="0"/>
    <x v="0"/>
    <x v="0"/>
    <x v="0"/>
    <x v="0"/>
    <s v="DK1_MedSmall"/>
    <x v="1"/>
    <s v="GNR_ST_MSW_BP_E-17"/>
    <x v="0"/>
    <x v="14"/>
    <n v="8.1146681458633108"/>
    <n v="2961.8538732401098"/>
    <n v="10662.6739436644"/>
  </r>
  <r>
    <x v="0"/>
    <x v="0"/>
    <x v="0"/>
    <x v="0"/>
    <x v="0"/>
    <s v="DK1_MedSmall"/>
    <x v="1"/>
    <s v="GNR_ST_MSW_BP_E-17"/>
    <x v="0"/>
    <x v="15"/>
    <n v="8.1146681458633108"/>
    <n v="2961.8538732401098"/>
    <n v="10662.6739436644"/>
  </r>
  <r>
    <x v="0"/>
    <x v="0"/>
    <x v="0"/>
    <x v="0"/>
    <x v="0"/>
    <s v="DK1_MedSmall"/>
    <x v="1"/>
    <s v="GNR_ST_MSW_BP_E-17"/>
    <x v="0"/>
    <x v="16"/>
    <n v="8.1146681458633108"/>
    <n v="2961.8538732401098"/>
    <n v="10662.6739436644"/>
  </r>
  <r>
    <x v="0"/>
    <x v="0"/>
    <x v="0"/>
    <x v="0"/>
    <x v="0"/>
    <s v="DK1_MedSmall"/>
    <x v="1"/>
    <s v="GNR_ST_MSW_BP_E-17"/>
    <x v="0"/>
    <x v="17"/>
    <n v="8.1146681458633108"/>
    <n v="2961.8538732401098"/>
    <n v="10662.6739436644"/>
  </r>
  <r>
    <x v="0"/>
    <x v="0"/>
    <x v="0"/>
    <x v="0"/>
    <x v="0"/>
    <s v="DK1_MedSmall"/>
    <x v="1"/>
    <s v="GNR_ST_MSW_BP_E-17"/>
    <x v="0"/>
    <x v="18"/>
    <n v="8.1146681458633108"/>
    <n v="2961.8538732401098"/>
    <n v="10662.6739436644"/>
  </r>
  <r>
    <x v="0"/>
    <x v="0"/>
    <x v="0"/>
    <x v="0"/>
    <x v="0"/>
    <s v="DK1_MedSmall"/>
    <x v="1"/>
    <s v="GNR_ST_MSW_BP_E-17"/>
    <x v="0"/>
    <x v="19"/>
    <n v="8.1146681458633108"/>
    <n v="2961.8538732401098"/>
    <n v="10662.6739436644"/>
  </r>
  <r>
    <x v="0"/>
    <x v="0"/>
    <x v="0"/>
    <x v="0"/>
    <x v="0"/>
    <s v="DK1_MedSmall"/>
    <x v="1"/>
    <s v="GNR_ST_MSW_BP_E-17"/>
    <x v="0"/>
    <x v="20"/>
    <n v="8.1146681458633108"/>
    <n v="2961.8538732401098"/>
    <n v="10662.6739436644"/>
  </r>
  <r>
    <x v="0"/>
    <x v="0"/>
    <x v="0"/>
    <x v="0"/>
    <x v="0"/>
    <s v="DK1_MedSmall"/>
    <x v="1"/>
    <s v="GNR_ST_MSW_BP_E-17"/>
    <x v="0"/>
    <x v="21"/>
    <n v="8.1146681458633108"/>
    <n v="2961.8538732401098"/>
    <n v="10662.6739436644"/>
  </r>
  <r>
    <x v="0"/>
    <x v="0"/>
    <x v="0"/>
    <x v="0"/>
    <x v="0"/>
    <s v="DK1_MedSmall"/>
    <x v="1"/>
    <s v="GNR_ST_MSW_BP_E-17"/>
    <x v="0"/>
    <x v="22"/>
    <n v="8.1146681458633108"/>
    <n v="2961.8538732401098"/>
    <n v="10662.6739436644"/>
  </r>
  <r>
    <x v="0"/>
    <x v="0"/>
    <x v="0"/>
    <x v="0"/>
    <x v="0"/>
    <s v="DK1_MedSmall"/>
    <x v="1"/>
    <s v="GNR_ST_MSW_BP_E-17"/>
    <x v="0"/>
    <x v="23"/>
    <n v="8.1146681458633108"/>
    <n v="2961.8538732401098"/>
    <n v="10662.6739436644"/>
  </r>
  <r>
    <x v="0"/>
    <x v="0"/>
    <x v="0"/>
    <x v="0"/>
    <x v="0"/>
    <s v="DK1_MedSmall"/>
    <x v="1"/>
    <s v="GNR_ST_MSW_BP_E-20"/>
    <x v="0"/>
    <x v="0"/>
    <n v="11.157668700562001"/>
    <n v="4072.5490757051498"/>
    <n v="14661.1766725385"/>
  </r>
  <r>
    <x v="0"/>
    <x v="0"/>
    <x v="0"/>
    <x v="0"/>
    <x v="0"/>
    <s v="DK1_MedSmall"/>
    <x v="1"/>
    <s v="GNR_ST_MSW_BP_E-20"/>
    <x v="0"/>
    <x v="1"/>
    <n v="11.157668700562001"/>
    <n v="4072.5490757051498"/>
    <n v="14661.1766725385"/>
  </r>
  <r>
    <x v="0"/>
    <x v="0"/>
    <x v="0"/>
    <x v="0"/>
    <x v="0"/>
    <s v="DK1_MedSmall"/>
    <x v="1"/>
    <s v="GNR_ST_MSW_BP_E-20"/>
    <x v="0"/>
    <x v="2"/>
    <n v="11.157668700562001"/>
    <n v="4072.5490757051498"/>
    <n v="14661.1766725385"/>
  </r>
  <r>
    <x v="0"/>
    <x v="0"/>
    <x v="0"/>
    <x v="0"/>
    <x v="0"/>
    <s v="DK1_MedSmall"/>
    <x v="1"/>
    <s v="GNR_ST_MSW_BP_E-20"/>
    <x v="0"/>
    <x v="3"/>
    <n v="11.157668700562001"/>
    <n v="4072.5490757051498"/>
    <n v="14661.1766725385"/>
  </r>
  <r>
    <x v="0"/>
    <x v="0"/>
    <x v="0"/>
    <x v="0"/>
    <x v="0"/>
    <s v="DK1_MedSmall"/>
    <x v="1"/>
    <s v="GNR_ST_MSW_BP_E-20"/>
    <x v="0"/>
    <x v="4"/>
    <n v="11.157668700562001"/>
    <n v="4072.5490757051498"/>
    <n v="14661.1766725385"/>
  </r>
  <r>
    <x v="0"/>
    <x v="0"/>
    <x v="0"/>
    <x v="0"/>
    <x v="0"/>
    <s v="DK1_MedSmall"/>
    <x v="1"/>
    <s v="GNR_ST_MSW_BP_E-20"/>
    <x v="0"/>
    <x v="5"/>
    <n v="11.157668700562001"/>
    <n v="4072.5490757051498"/>
    <n v="14661.1766725385"/>
  </r>
  <r>
    <x v="0"/>
    <x v="0"/>
    <x v="0"/>
    <x v="0"/>
    <x v="0"/>
    <s v="DK1_MedSmall"/>
    <x v="1"/>
    <s v="GNR_ST_MSW_BP_E-20"/>
    <x v="0"/>
    <x v="6"/>
    <n v="11.157668700562001"/>
    <n v="4072.5490757051498"/>
    <n v="14661.1766725385"/>
  </r>
  <r>
    <x v="0"/>
    <x v="0"/>
    <x v="0"/>
    <x v="0"/>
    <x v="0"/>
    <s v="DK1_MedSmall"/>
    <x v="1"/>
    <s v="GNR_ST_MSW_BP_E-20"/>
    <x v="0"/>
    <x v="7"/>
    <n v="11.157668700562001"/>
    <n v="4072.5490757051498"/>
    <n v="14661.1766725385"/>
  </r>
  <r>
    <x v="0"/>
    <x v="0"/>
    <x v="0"/>
    <x v="0"/>
    <x v="0"/>
    <s v="DK1_MedSmall"/>
    <x v="1"/>
    <s v="GNR_ST_MSW_BP_E-20"/>
    <x v="0"/>
    <x v="8"/>
    <n v="11.157668700562001"/>
    <n v="4072.5490757051498"/>
    <n v="14661.1766725385"/>
  </r>
  <r>
    <x v="0"/>
    <x v="0"/>
    <x v="0"/>
    <x v="0"/>
    <x v="0"/>
    <s v="DK1_MedSmall"/>
    <x v="1"/>
    <s v="GNR_ST_MSW_BP_E-20"/>
    <x v="0"/>
    <x v="9"/>
    <n v="11.157668700562001"/>
    <n v="4072.5490757051498"/>
    <n v="14661.1766725385"/>
  </r>
  <r>
    <x v="0"/>
    <x v="0"/>
    <x v="0"/>
    <x v="0"/>
    <x v="0"/>
    <s v="DK1_MedSmall"/>
    <x v="1"/>
    <s v="GNR_ST_MSW_BP_E-20"/>
    <x v="0"/>
    <x v="10"/>
    <n v="11.157668700562001"/>
    <n v="4072.5490757051498"/>
    <n v="14661.1766725385"/>
  </r>
  <r>
    <x v="0"/>
    <x v="0"/>
    <x v="0"/>
    <x v="0"/>
    <x v="0"/>
    <s v="DK1_MedSmall"/>
    <x v="1"/>
    <s v="GNR_ST_MSW_BP_E-20"/>
    <x v="0"/>
    <x v="11"/>
    <n v="11.157668700562001"/>
    <n v="4072.5490757051498"/>
    <n v="14661.1766725385"/>
  </r>
  <r>
    <x v="0"/>
    <x v="0"/>
    <x v="0"/>
    <x v="0"/>
    <x v="0"/>
    <s v="DK1_MedSmall"/>
    <x v="1"/>
    <s v="GNR_ST_MSW_BP_E-20"/>
    <x v="0"/>
    <x v="12"/>
    <n v="11.157668700562001"/>
    <n v="4072.5490757051498"/>
    <n v="14661.1766725385"/>
  </r>
  <r>
    <x v="0"/>
    <x v="0"/>
    <x v="0"/>
    <x v="0"/>
    <x v="0"/>
    <s v="DK1_MedSmall"/>
    <x v="1"/>
    <s v="GNR_ST_MSW_BP_E-20"/>
    <x v="0"/>
    <x v="13"/>
    <n v="11.157668700562001"/>
    <n v="4072.5490757051498"/>
    <n v="14661.1766725385"/>
  </r>
  <r>
    <x v="0"/>
    <x v="0"/>
    <x v="0"/>
    <x v="0"/>
    <x v="0"/>
    <s v="DK1_MedSmall"/>
    <x v="1"/>
    <s v="GNR_ST_MSW_BP_E-20"/>
    <x v="0"/>
    <x v="14"/>
    <n v="11.157668700562001"/>
    <n v="4072.5490757051498"/>
    <n v="14661.1766725385"/>
  </r>
  <r>
    <x v="0"/>
    <x v="0"/>
    <x v="0"/>
    <x v="0"/>
    <x v="0"/>
    <s v="DK1_MedSmall"/>
    <x v="1"/>
    <s v="GNR_ST_MSW_BP_E-20"/>
    <x v="0"/>
    <x v="15"/>
    <n v="11.157668700562001"/>
    <n v="4072.5490757051498"/>
    <n v="14661.1766725385"/>
  </r>
  <r>
    <x v="0"/>
    <x v="0"/>
    <x v="0"/>
    <x v="0"/>
    <x v="0"/>
    <s v="DK1_MedSmall"/>
    <x v="1"/>
    <s v="GNR_ST_MSW_BP_E-20"/>
    <x v="0"/>
    <x v="16"/>
    <n v="11.157668700562001"/>
    <n v="4072.5490757051498"/>
    <n v="14661.1766725385"/>
  </r>
  <r>
    <x v="0"/>
    <x v="0"/>
    <x v="0"/>
    <x v="0"/>
    <x v="0"/>
    <s v="DK1_MedSmall"/>
    <x v="1"/>
    <s v="GNR_ST_MSW_BP_E-20"/>
    <x v="0"/>
    <x v="17"/>
    <n v="11.157668700562001"/>
    <n v="4072.5490757051498"/>
    <n v="14661.1766725385"/>
  </r>
  <r>
    <x v="0"/>
    <x v="0"/>
    <x v="0"/>
    <x v="0"/>
    <x v="0"/>
    <s v="DK1_MedSmall"/>
    <x v="1"/>
    <s v="GNR_ST_MSW_BP_E-20"/>
    <x v="0"/>
    <x v="18"/>
    <n v="11.157668700562001"/>
    <n v="4072.5490757051498"/>
    <n v="14661.1766725385"/>
  </r>
  <r>
    <x v="0"/>
    <x v="0"/>
    <x v="0"/>
    <x v="0"/>
    <x v="0"/>
    <s v="DK1_MedSmall"/>
    <x v="1"/>
    <s v="GNR_ST_MSW_BP_E-20"/>
    <x v="0"/>
    <x v="19"/>
    <n v="11.157668700562001"/>
    <n v="4072.5490757051498"/>
    <n v="14661.1766725385"/>
  </r>
  <r>
    <x v="0"/>
    <x v="0"/>
    <x v="0"/>
    <x v="0"/>
    <x v="0"/>
    <s v="DK1_MedSmall"/>
    <x v="1"/>
    <s v="GNR_ST_MSW_BP_E-20"/>
    <x v="0"/>
    <x v="20"/>
    <n v="11.157668700562001"/>
    <n v="4072.5490757051498"/>
    <n v="14661.1766725385"/>
  </r>
  <r>
    <x v="0"/>
    <x v="0"/>
    <x v="0"/>
    <x v="0"/>
    <x v="0"/>
    <s v="DK1_MedSmall"/>
    <x v="1"/>
    <s v="GNR_ST_MSW_BP_E-20"/>
    <x v="0"/>
    <x v="21"/>
    <n v="11.157668700562001"/>
    <n v="4072.5490757051498"/>
    <n v="14661.1766725385"/>
  </r>
  <r>
    <x v="0"/>
    <x v="0"/>
    <x v="0"/>
    <x v="0"/>
    <x v="0"/>
    <s v="DK1_MedSmall"/>
    <x v="1"/>
    <s v="GNR_ST_MSW_BP_E-20"/>
    <x v="0"/>
    <x v="22"/>
    <n v="11.157668700562001"/>
    <n v="4072.5490757051498"/>
    <n v="14661.1766725385"/>
  </r>
  <r>
    <x v="0"/>
    <x v="0"/>
    <x v="0"/>
    <x v="0"/>
    <x v="0"/>
    <s v="DK1_MedSmall"/>
    <x v="1"/>
    <s v="GNR_ST_MSW_BP_E-20"/>
    <x v="0"/>
    <x v="23"/>
    <n v="11.157668700562001"/>
    <n v="4072.5490757051498"/>
    <n v="14661.1766725385"/>
  </r>
  <r>
    <x v="0"/>
    <x v="0"/>
    <x v="0"/>
    <x v="0"/>
    <x v="0"/>
    <s v="DK1_MedSmall"/>
    <x v="1"/>
    <s v="GNR_ST_MSW_BP_E-21"/>
    <x v="0"/>
    <x v="0"/>
    <n v="33.811117274430401"/>
    <n v="12341.0578051671"/>
    <n v="44427.808098601599"/>
  </r>
  <r>
    <x v="0"/>
    <x v="0"/>
    <x v="0"/>
    <x v="0"/>
    <x v="0"/>
    <s v="DK1_MedSmall"/>
    <x v="1"/>
    <s v="GNR_ST_MSW_BP_E-21"/>
    <x v="0"/>
    <x v="1"/>
    <n v="33.811117274430401"/>
    <n v="12341.0578051671"/>
    <n v="44427.808098601599"/>
  </r>
  <r>
    <x v="0"/>
    <x v="0"/>
    <x v="0"/>
    <x v="0"/>
    <x v="0"/>
    <s v="DK1_MedSmall"/>
    <x v="1"/>
    <s v="GNR_ST_MSW_BP_E-21"/>
    <x v="0"/>
    <x v="2"/>
    <n v="33.811117274430401"/>
    <n v="12341.0578051671"/>
    <n v="44427.808098601599"/>
  </r>
  <r>
    <x v="0"/>
    <x v="0"/>
    <x v="0"/>
    <x v="0"/>
    <x v="0"/>
    <s v="DK1_MedSmall"/>
    <x v="1"/>
    <s v="GNR_ST_MSW_BP_E-21"/>
    <x v="0"/>
    <x v="3"/>
    <n v="33.811117274430401"/>
    <n v="12341.0578051671"/>
    <n v="44427.808098601599"/>
  </r>
  <r>
    <x v="0"/>
    <x v="0"/>
    <x v="0"/>
    <x v="0"/>
    <x v="0"/>
    <s v="DK1_MedSmall"/>
    <x v="1"/>
    <s v="GNR_ST_MSW_BP_E-21"/>
    <x v="0"/>
    <x v="4"/>
    <n v="33.811117274430401"/>
    <n v="12341.0578051671"/>
    <n v="44427.808098601599"/>
  </r>
  <r>
    <x v="0"/>
    <x v="0"/>
    <x v="0"/>
    <x v="0"/>
    <x v="0"/>
    <s v="DK1_MedSmall"/>
    <x v="1"/>
    <s v="GNR_ST_MSW_BP_E-21"/>
    <x v="0"/>
    <x v="5"/>
    <n v="33.811117274430401"/>
    <n v="12341.0578051671"/>
    <n v="44427.808098601599"/>
  </r>
  <r>
    <x v="0"/>
    <x v="0"/>
    <x v="0"/>
    <x v="0"/>
    <x v="0"/>
    <s v="DK1_MedSmall"/>
    <x v="1"/>
    <s v="GNR_ST_MSW_BP_E-21"/>
    <x v="0"/>
    <x v="6"/>
    <n v="33.811117274430401"/>
    <n v="12341.0578051671"/>
    <n v="44427.808098601599"/>
  </r>
  <r>
    <x v="0"/>
    <x v="0"/>
    <x v="0"/>
    <x v="0"/>
    <x v="0"/>
    <s v="DK1_MedSmall"/>
    <x v="1"/>
    <s v="GNR_ST_MSW_BP_E-21"/>
    <x v="0"/>
    <x v="7"/>
    <n v="33.811117274430401"/>
    <n v="12341.0578051671"/>
    <n v="44427.808098601599"/>
  </r>
  <r>
    <x v="0"/>
    <x v="0"/>
    <x v="0"/>
    <x v="0"/>
    <x v="0"/>
    <s v="DK1_MedSmall"/>
    <x v="1"/>
    <s v="GNR_ST_MSW_BP_E-21"/>
    <x v="0"/>
    <x v="8"/>
    <n v="33.811117274430401"/>
    <n v="12341.0578051671"/>
    <n v="44427.808098601599"/>
  </r>
  <r>
    <x v="0"/>
    <x v="0"/>
    <x v="0"/>
    <x v="0"/>
    <x v="0"/>
    <s v="DK1_MedSmall"/>
    <x v="1"/>
    <s v="GNR_ST_MSW_BP_E-21"/>
    <x v="0"/>
    <x v="9"/>
    <n v="33.811117274430401"/>
    <n v="12341.0578051671"/>
    <n v="44427.808098601599"/>
  </r>
  <r>
    <x v="0"/>
    <x v="0"/>
    <x v="0"/>
    <x v="0"/>
    <x v="0"/>
    <s v="DK1_MedSmall"/>
    <x v="1"/>
    <s v="GNR_ST_MSW_BP_E-21"/>
    <x v="0"/>
    <x v="10"/>
    <n v="33.811117274430401"/>
    <n v="12341.0578051671"/>
    <n v="44427.808098601599"/>
  </r>
  <r>
    <x v="0"/>
    <x v="0"/>
    <x v="0"/>
    <x v="0"/>
    <x v="0"/>
    <s v="DK1_MedSmall"/>
    <x v="1"/>
    <s v="GNR_ST_MSW_BP_E-21"/>
    <x v="0"/>
    <x v="11"/>
    <n v="33.811117274430401"/>
    <n v="12341.0578051671"/>
    <n v="44427.808098601599"/>
  </r>
  <r>
    <x v="0"/>
    <x v="0"/>
    <x v="0"/>
    <x v="0"/>
    <x v="0"/>
    <s v="DK1_MedSmall"/>
    <x v="1"/>
    <s v="GNR_ST_MSW_BP_E-21"/>
    <x v="0"/>
    <x v="12"/>
    <n v="33.811117274430401"/>
    <n v="12341.0578051671"/>
    <n v="44427.808098601599"/>
  </r>
  <r>
    <x v="0"/>
    <x v="0"/>
    <x v="0"/>
    <x v="0"/>
    <x v="0"/>
    <s v="DK1_MedSmall"/>
    <x v="1"/>
    <s v="GNR_ST_MSW_BP_E-21"/>
    <x v="0"/>
    <x v="13"/>
    <n v="33.811117274430401"/>
    <n v="12341.0578051671"/>
    <n v="44427.808098601599"/>
  </r>
  <r>
    <x v="0"/>
    <x v="0"/>
    <x v="0"/>
    <x v="0"/>
    <x v="0"/>
    <s v="DK1_MedSmall"/>
    <x v="1"/>
    <s v="GNR_ST_MSW_BP_E-21"/>
    <x v="0"/>
    <x v="14"/>
    <n v="33.811117274430401"/>
    <n v="12341.0578051671"/>
    <n v="44427.808098601599"/>
  </r>
  <r>
    <x v="0"/>
    <x v="0"/>
    <x v="0"/>
    <x v="0"/>
    <x v="0"/>
    <s v="DK1_MedSmall"/>
    <x v="1"/>
    <s v="GNR_ST_MSW_BP_E-21"/>
    <x v="0"/>
    <x v="15"/>
    <n v="33.811117274430401"/>
    <n v="12341.0578051671"/>
    <n v="44427.808098601599"/>
  </r>
  <r>
    <x v="0"/>
    <x v="0"/>
    <x v="0"/>
    <x v="0"/>
    <x v="0"/>
    <s v="DK1_MedSmall"/>
    <x v="1"/>
    <s v="GNR_ST_MSW_BP_E-21"/>
    <x v="0"/>
    <x v="16"/>
    <n v="33.811117274430401"/>
    <n v="12341.0578051671"/>
    <n v="44427.808098601599"/>
  </r>
  <r>
    <x v="0"/>
    <x v="0"/>
    <x v="0"/>
    <x v="0"/>
    <x v="0"/>
    <s v="DK1_MedSmall"/>
    <x v="1"/>
    <s v="GNR_ST_MSW_BP_E-21"/>
    <x v="0"/>
    <x v="17"/>
    <n v="33.811117274430401"/>
    <n v="12341.0578051671"/>
    <n v="44427.808098601599"/>
  </r>
  <r>
    <x v="0"/>
    <x v="0"/>
    <x v="0"/>
    <x v="0"/>
    <x v="0"/>
    <s v="DK1_MedSmall"/>
    <x v="1"/>
    <s v="GNR_ST_MSW_BP_E-21"/>
    <x v="0"/>
    <x v="18"/>
    <n v="33.811117274430401"/>
    <n v="12341.0578051671"/>
    <n v="44427.808098601599"/>
  </r>
  <r>
    <x v="0"/>
    <x v="0"/>
    <x v="0"/>
    <x v="0"/>
    <x v="0"/>
    <s v="DK1_MedSmall"/>
    <x v="1"/>
    <s v="GNR_ST_MSW_BP_E-21"/>
    <x v="0"/>
    <x v="19"/>
    <n v="33.811117274430401"/>
    <n v="12341.0578051671"/>
    <n v="44427.808098601599"/>
  </r>
  <r>
    <x v="0"/>
    <x v="0"/>
    <x v="0"/>
    <x v="0"/>
    <x v="0"/>
    <s v="DK1_MedSmall"/>
    <x v="1"/>
    <s v="GNR_ST_MSW_BP_E-21"/>
    <x v="0"/>
    <x v="20"/>
    <n v="33.811117274430401"/>
    <n v="12341.0578051671"/>
    <n v="44427.808098601599"/>
  </r>
  <r>
    <x v="0"/>
    <x v="0"/>
    <x v="0"/>
    <x v="0"/>
    <x v="0"/>
    <s v="DK1_MedSmall"/>
    <x v="1"/>
    <s v="GNR_ST_MSW_BP_E-21"/>
    <x v="0"/>
    <x v="21"/>
    <n v="33.811117274430401"/>
    <n v="12341.0578051671"/>
    <n v="44427.808098601599"/>
  </r>
  <r>
    <x v="0"/>
    <x v="0"/>
    <x v="0"/>
    <x v="0"/>
    <x v="0"/>
    <s v="DK1_MedSmall"/>
    <x v="1"/>
    <s v="GNR_ST_MSW_BP_E-21"/>
    <x v="0"/>
    <x v="22"/>
    <n v="33.811117274430401"/>
    <n v="12341.0578051671"/>
    <n v="44427.808098601599"/>
  </r>
  <r>
    <x v="0"/>
    <x v="0"/>
    <x v="0"/>
    <x v="0"/>
    <x v="0"/>
    <s v="DK1_MedSmall"/>
    <x v="1"/>
    <s v="GNR_ST_MSW_BP_E-21"/>
    <x v="0"/>
    <x v="23"/>
    <n v="33.811117274430401"/>
    <n v="12341.0578051671"/>
    <n v="44427.808098601599"/>
  </r>
  <r>
    <x v="0"/>
    <x v="0"/>
    <x v="0"/>
    <x v="0"/>
    <x v="0"/>
    <s v="DK1_MedSmall"/>
    <x v="1"/>
    <s v="GNR_ST_MSW_BP_E-22"/>
    <x v="0"/>
    <x v="0"/>
    <n v="15.215002773493699"/>
    <n v="5553.4760123251999"/>
    <n v="19992.513644370702"/>
  </r>
  <r>
    <x v="0"/>
    <x v="0"/>
    <x v="0"/>
    <x v="0"/>
    <x v="0"/>
    <s v="DK1_MedSmall"/>
    <x v="1"/>
    <s v="GNR_ST_MSW_BP_E-22"/>
    <x v="0"/>
    <x v="1"/>
    <n v="15.215002773493699"/>
    <n v="5553.4760123251999"/>
    <n v="19992.513644370702"/>
  </r>
  <r>
    <x v="0"/>
    <x v="0"/>
    <x v="0"/>
    <x v="0"/>
    <x v="0"/>
    <s v="DK1_MedSmall"/>
    <x v="1"/>
    <s v="GNR_ST_MSW_BP_E-22"/>
    <x v="0"/>
    <x v="2"/>
    <n v="15.215002773493699"/>
    <n v="5553.4760123251999"/>
    <n v="19992.513644370702"/>
  </r>
  <r>
    <x v="0"/>
    <x v="0"/>
    <x v="0"/>
    <x v="0"/>
    <x v="0"/>
    <s v="DK1_MedSmall"/>
    <x v="1"/>
    <s v="GNR_ST_MSW_BP_E-22"/>
    <x v="0"/>
    <x v="3"/>
    <n v="15.215002773493699"/>
    <n v="5553.4760123251999"/>
    <n v="19992.513644370702"/>
  </r>
  <r>
    <x v="0"/>
    <x v="0"/>
    <x v="0"/>
    <x v="0"/>
    <x v="0"/>
    <s v="DK1_MedSmall"/>
    <x v="1"/>
    <s v="GNR_ST_MSW_BP_E-22"/>
    <x v="0"/>
    <x v="4"/>
    <n v="15.215002773493699"/>
    <n v="5553.4760123251999"/>
    <n v="19992.513644370702"/>
  </r>
  <r>
    <x v="0"/>
    <x v="0"/>
    <x v="0"/>
    <x v="0"/>
    <x v="0"/>
    <s v="DK1_MedSmall"/>
    <x v="1"/>
    <s v="GNR_ST_MSW_BP_E-22"/>
    <x v="0"/>
    <x v="5"/>
    <n v="15.215002773493699"/>
    <n v="5553.4760123251999"/>
    <n v="19992.513644370702"/>
  </r>
  <r>
    <x v="0"/>
    <x v="0"/>
    <x v="0"/>
    <x v="0"/>
    <x v="0"/>
    <s v="DK1_MedSmall"/>
    <x v="1"/>
    <s v="GNR_ST_MSW_BP_E-22"/>
    <x v="0"/>
    <x v="6"/>
    <n v="15.215002773493699"/>
    <n v="5553.4760123251999"/>
    <n v="19992.513644370702"/>
  </r>
  <r>
    <x v="0"/>
    <x v="0"/>
    <x v="0"/>
    <x v="0"/>
    <x v="0"/>
    <s v="DK1_MedSmall"/>
    <x v="1"/>
    <s v="GNR_ST_MSW_BP_E-22"/>
    <x v="0"/>
    <x v="7"/>
    <n v="15.215002773493699"/>
    <n v="5553.4760123251999"/>
    <n v="19992.513644370702"/>
  </r>
  <r>
    <x v="0"/>
    <x v="0"/>
    <x v="0"/>
    <x v="0"/>
    <x v="0"/>
    <s v="DK1_MedSmall"/>
    <x v="1"/>
    <s v="GNR_ST_MSW_BP_E-22"/>
    <x v="0"/>
    <x v="8"/>
    <n v="15.215002773493699"/>
    <n v="5553.4760123251999"/>
    <n v="19992.513644370702"/>
  </r>
  <r>
    <x v="0"/>
    <x v="0"/>
    <x v="0"/>
    <x v="0"/>
    <x v="0"/>
    <s v="DK1_MedSmall"/>
    <x v="1"/>
    <s v="GNR_ST_MSW_BP_E-22"/>
    <x v="0"/>
    <x v="9"/>
    <n v="15.215002773493699"/>
    <n v="5553.4760123251999"/>
    <n v="19992.513644370702"/>
  </r>
  <r>
    <x v="0"/>
    <x v="0"/>
    <x v="0"/>
    <x v="0"/>
    <x v="0"/>
    <s v="DK1_MedSmall"/>
    <x v="1"/>
    <s v="GNR_ST_MSW_BP_E-22"/>
    <x v="0"/>
    <x v="10"/>
    <n v="15.215002773493699"/>
    <n v="5553.4760123251999"/>
    <n v="19992.513644370702"/>
  </r>
  <r>
    <x v="0"/>
    <x v="0"/>
    <x v="0"/>
    <x v="0"/>
    <x v="0"/>
    <s v="DK1_MedSmall"/>
    <x v="1"/>
    <s v="GNR_ST_MSW_BP_E-22"/>
    <x v="0"/>
    <x v="11"/>
    <n v="15.215002773493699"/>
    <n v="5553.4760123251999"/>
    <n v="19992.513644370702"/>
  </r>
  <r>
    <x v="0"/>
    <x v="0"/>
    <x v="0"/>
    <x v="0"/>
    <x v="0"/>
    <s v="DK1_MedSmall"/>
    <x v="1"/>
    <s v="GNR_ST_MSW_BP_E-22"/>
    <x v="0"/>
    <x v="12"/>
    <n v="15.215002773493699"/>
    <n v="5553.4760123251999"/>
    <n v="19992.513644370702"/>
  </r>
  <r>
    <x v="0"/>
    <x v="0"/>
    <x v="0"/>
    <x v="0"/>
    <x v="0"/>
    <s v="DK1_MedSmall"/>
    <x v="1"/>
    <s v="GNR_ST_MSW_BP_E-22"/>
    <x v="0"/>
    <x v="13"/>
    <n v="15.215002773493699"/>
    <n v="5553.4760123251999"/>
    <n v="19992.513644370702"/>
  </r>
  <r>
    <x v="0"/>
    <x v="0"/>
    <x v="0"/>
    <x v="0"/>
    <x v="0"/>
    <s v="DK1_MedSmall"/>
    <x v="1"/>
    <s v="GNR_ST_MSW_BP_E-22"/>
    <x v="0"/>
    <x v="14"/>
    <n v="15.215002773493699"/>
    <n v="5553.4760123251999"/>
    <n v="19992.513644370702"/>
  </r>
  <r>
    <x v="0"/>
    <x v="0"/>
    <x v="0"/>
    <x v="0"/>
    <x v="0"/>
    <s v="DK1_MedSmall"/>
    <x v="1"/>
    <s v="GNR_ST_MSW_BP_E-22"/>
    <x v="0"/>
    <x v="15"/>
    <n v="15.215002773493699"/>
    <n v="5553.4760123251999"/>
    <n v="19992.513644370702"/>
  </r>
  <r>
    <x v="0"/>
    <x v="0"/>
    <x v="0"/>
    <x v="0"/>
    <x v="0"/>
    <s v="DK1_MedSmall"/>
    <x v="1"/>
    <s v="GNR_ST_MSW_BP_E-22"/>
    <x v="0"/>
    <x v="16"/>
    <n v="15.215002773493699"/>
    <n v="5553.4760123251999"/>
    <n v="19992.513644370702"/>
  </r>
  <r>
    <x v="0"/>
    <x v="0"/>
    <x v="0"/>
    <x v="0"/>
    <x v="0"/>
    <s v="DK1_MedSmall"/>
    <x v="1"/>
    <s v="GNR_ST_MSW_BP_E-22"/>
    <x v="0"/>
    <x v="17"/>
    <n v="15.215002773493699"/>
    <n v="5553.4760123251999"/>
    <n v="19992.513644370702"/>
  </r>
  <r>
    <x v="0"/>
    <x v="0"/>
    <x v="0"/>
    <x v="0"/>
    <x v="0"/>
    <s v="DK1_MedSmall"/>
    <x v="1"/>
    <s v="GNR_ST_MSW_BP_E-22"/>
    <x v="0"/>
    <x v="18"/>
    <n v="15.215002773493699"/>
    <n v="5553.4760123251999"/>
    <n v="19992.513644370702"/>
  </r>
  <r>
    <x v="0"/>
    <x v="0"/>
    <x v="0"/>
    <x v="0"/>
    <x v="0"/>
    <s v="DK1_MedSmall"/>
    <x v="1"/>
    <s v="GNR_ST_MSW_BP_E-22"/>
    <x v="0"/>
    <x v="19"/>
    <n v="15.215002773493699"/>
    <n v="5553.4760123251999"/>
    <n v="19992.513644370702"/>
  </r>
  <r>
    <x v="0"/>
    <x v="0"/>
    <x v="0"/>
    <x v="0"/>
    <x v="0"/>
    <s v="DK1_MedSmall"/>
    <x v="1"/>
    <s v="GNR_ST_MSW_BP_E-22"/>
    <x v="0"/>
    <x v="20"/>
    <n v="15.215002773493699"/>
    <n v="5553.4760123251999"/>
    <n v="19992.513644370702"/>
  </r>
  <r>
    <x v="0"/>
    <x v="0"/>
    <x v="0"/>
    <x v="0"/>
    <x v="0"/>
    <s v="DK1_MedSmall"/>
    <x v="1"/>
    <s v="GNR_ST_MSW_BP_E-22"/>
    <x v="0"/>
    <x v="21"/>
    <n v="15.215002773493699"/>
    <n v="5553.4760123251999"/>
    <n v="19992.513644370702"/>
  </r>
  <r>
    <x v="0"/>
    <x v="0"/>
    <x v="0"/>
    <x v="0"/>
    <x v="0"/>
    <s v="DK1_MedSmall"/>
    <x v="1"/>
    <s v="GNR_ST_MSW_BP_E-22"/>
    <x v="0"/>
    <x v="22"/>
    <n v="15.215002773493699"/>
    <n v="5553.4760123251999"/>
    <n v="19992.513644370702"/>
  </r>
  <r>
    <x v="0"/>
    <x v="0"/>
    <x v="0"/>
    <x v="0"/>
    <x v="0"/>
    <s v="DK1_MedSmall"/>
    <x v="1"/>
    <s v="GNR_ST_MSW_BP_E-22"/>
    <x v="0"/>
    <x v="23"/>
    <n v="15.215002773493699"/>
    <n v="5553.4760123251999"/>
    <n v="19992.513644370702"/>
  </r>
  <r>
    <x v="0"/>
    <x v="0"/>
    <x v="0"/>
    <x v="0"/>
    <x v="0"/>
    <s v="DK1_MedSmall"/>
    <x v="1"/>
    <s v="GNR_ST_MSW_BP_E-26"/>
    <x v="0"/>
    <x v="0"/>
    <n v="23.667782092101302"/>
    <n v="8638.7404636169795"/>
    <n v="31099.465669021101"/>
  </r>
  <r>
    <x v="0"/>
    <x v="0"/>
    <x v="0"/>
    <x v="0"/>
    <x v="0"/>
    <s v="DK1_MedSmall"/>
    <x v="1"/>
    <s v="GNR_ST_MSW_BP_E-26"/>
    <x v="0"/>
    <x v="1"/>
    <n v="23.667782092101302"/>
    <n v="8638.7404636169795"/>
    <n v="31099.465669021101"/>
  </r>
  <r>
    <x v="0"/>
    <x v="0"/>
    <x v="0"/>
    <x v="0"/>
    <x v="0"/>
    <s v="DK1_MedSmall"/>
    <x v="1"/>
    <s v="GNR_ST_MSW_BP_E-26"/>
    <x v="0"/>
    <x v="2"/>
    <n v="23.667782092101302"/>
    <n v="8638.7404636169795"/>
    <n v="31099.465669021101"/>
  </r>
  <r>
    <x v="0"/>
    <x v="0"/>
    <x v="0"/>
    <x v="0"/>
    <x v="0"/>
    <s v="DK1_MedSmall"/>
    <x v="1"/>
    <s v="GNR_ST_MSW_BP_E-26"/>
    <x v="0"/>
    <x v="3"/>
    <n v="23.667782092101302"/>
    <n v="8638.7404636169795"/>
    <n v="31099.465669021101"/>
  </r>
  <r>
    <x v="0"/>
    <x v="0"/>
    <x v="0"/>
    <x v="0"/>
    <x v="0"/>
    <s v="DK1_MedSmall"/>
    <x v="1"/>
    <s v="GNR_ST_MSW_BP_E-26"/>
    <x v="0"/>
    <x v="4"/>
    <n v="23.667782092101302"/>
    <n v="8638.7404636169795"/>
    <n v="31099.465669021101"/>
  </r>
  <r>
    <x v="0"/>
    <x v="0"/>
    <x v="0"/>
    <x v="0"/>
    <x v="0"/>
    <s v="DK1_MedSmall"/>
    <x v="1"/>
    <s v="GNR_ST_MSW_BP_E-26"/>
    <x v="0"/>
    <x v="5"/>
    <n v="23.667782092101302"/>
    <n v="8638.7404636169795"/>
    <n v="31099.465669021101"/>
  </r>
  <r>
    <x v="0"/>
    <x v="0"/>
    <x v="0"/>
    <x v="0"/>
    <x v="0"/>
    <s v="DK1_MedSmall"/>
    <x v="1"/>
    <s v="GNR_ST_MSW_BP_E-26"/>
    <x v="0"/>
    <x v="6"/>
    <n v="23.667782092101302"/>
    <n v="8638.7404636169795"/>
    <n v="31099.465669021101"/>
  </r>
  <r>
    <x v="0"/>
    <x v="0"/>
    <x v="0"/>
    <x v="0"/>
    <x v="0"/>
    <s v="DK1_MedSmall"/>
    <x v="1"/>
    <s v="GNR_ST_MSW_BP_E-26"/>
    <x v="0"/>
    <x v="7"/>
    <n v="23.667782092101302"/>
    <n v="8638.7404636169795"/>
    <n v="31099.465669021101"/>
  </r>
  <r>
    <x v="0"/>
    <x v="0"/>
    <x v="0"/>
    <x v="0"/>
    <x v="0"/>
    <s v="DK1_MedSmall"/>
    <x v="1"/>
    <s v="GNR_ST_MSW_BP_E-26"/>
    <x v="0"/>
    <x v="8"/>
    <n v="23.667782092101302"/>
    <n v="8638.7404636169795"/>
    <n v="31099.465669021101"/>
  </r>
  <r>
    <x v="0"/>
    <x v="0"/>
    <x v="0"/>
    <x v="0"/>
    <x v="0"/>
    <s v="DK1_MedSmall"/>
    <x v="1"/>
    <s v="GNR_ST_MSW_BP_E-26"/>
    <x v="0"/>
    <x v="9"/>
    <n v="23.667782092101302"/>
    <n v="8638.7404636169795"/>
    <n v="31099.465669021101"/>
  </r>
  <r>
    <x v="0"/>
    <x v="0"/>
    <x v="0"/>
    <x v="0"/>
    <x v="0"/>
    <s v="DK1_MedSmall"/>
    <x v="1"/>
    <s v="GNR_ST_MSW_BP_E-26"/>
    <x v="0"/>
    <x v="10"/>
    <n v="23.667782092101302"/>
    <n v="8638.7404636169795"/>
    <n v="31099.465669021101"/>
  </r>
  <r>
    <x v="0"/>
    <x v="0"/>
    <x v="0"/>
    <x v="0"/>
    <x v="0"/>
    <s v="DK1_MedSmall"/>
    <x v="1"/>
    <s v="GNR_ST_MSW_BP_E-26"/>
    <x v="0"/>
    <x v="11"/>
    <n v="23.667782092101302"/>
    <n v="8638.7404636169795"/>
    <n v="31099.465669021101"/>
  </r>
  <r>
    <x v="0"/>
    <x v="0"/>
    <x v="0"/>
    <x v="0"/>
    <x v="0"/>
    <s v="DK1_MedSmall"/>
    <x v="1"/>
    <s v="GNR_ST_MSW_BP_E-26"/>
    <x v="0"/>
    <x v="12"/>
    <n v="23.667782092101302"/>
    <n v="8638.7404636169795"/>
    <n v="31099.465669021101"/>
  </r>
  <r>
    <x v="0"/>
    <x v="0"/>
    <x v="0"/>
    <x v="0"/>
    <x v="0"/>
    <s v="DK1_MedSmall"/>
    <x v="1"/>
    <s v="GNR_ST_MSW_BP_E-26"/>
    <x v="0"/>
    <x v="13"/>
    <n v="23.667782092101302"/>
    <n v="8638.7404636169795"/>
    <n v="31099.465669021101"/>
  </r>
  <r>
    <x v="0"/>
    <x v="0"/>
    <x v="0"/>
    <x v="0"/>
    <x v="0"/>
    <s v="DK1_MedSmall"/>
    <x v="1"/>
    <s v="GNR_ST_MSW_BP_E-26"/>
    <x v="0"/>
    <x v="14"/>
    <n v="23.667782092101302"/>
    <n v="8638.7404636169795"/>
    <n v="31099.465669021101"/>
  </r>
  <r>
    <x v="0"/>
    <x v="0"/>
    <x v="0"/>
    <x v="0"/>
    <x v="0"/>
    <s v="DK1_MedSmall"/>
    <x v="1"/>
    <s v="GNR_ST_MSW_BP_E-26"/>
    <x v="0"/>
    <x v="15"/>
    <n v="23.667782092101302"/>
    <n v="8638.7404636169795"/>
    <n v="31099.465669021101"/>
  </r>
  <r>
    <x v="0"/>
    <x v="0"/>
    <x v="0"/>
    <x v="0"/>
    <x v="0"/>
    <s v="DK1_MedSmall"/>
    <x v="1"/>
    <s v="GNR_ST_MSW_BP_E-26"/>
    <x v="0"/>
    <x v="16"/>
    <n v="23.667782092101302"/>
    <n v="8638.7404636169795"/>
    <n v="31099.465669021101"/>
  </r>
  <r>
    <x v="0"/>
    <x v="0"/>
    <x v="0"/>
    <x v="0"/>
    <x v="0"/>
    <s v="DK1_MedSmall"/>
    <x v="1"/>
    <s v="GNR_ST_MSW_BP_E-26"/>
    <x v="0"/>
    <x v="17"/>
    <n v="23.667782092101302"/>
    <n v="8638.7404636169795"/>
    <n v="31099.465669021101"/>
  </r>
  <r>
    <x v="0"/>
    <x v="0"/>
    <x v="0"/>
    <x v="0"/>
    <x v="0"/>
    <s v="DK1_MedSmall"/>
    <x v="1"/>
    <s v="GNR_ST_MSW_BP_E-26"/>
    <x v="0"/>
    <x v="18"/>
    <n v="23.667782092101302"/>
    <n v="8638.7404636169795"/>
    <n v="31099.465669021101"/>
  </r>
  <r>
    <x v="0"/>
    <x v="0"/>
    <x v="0"/>
    <x v="0"/>
    <x v="0"/>
    <s v="DK1_MedSmall"/>
    <x v="1"/>
    <s v="GNR_ST_MSW_BP_E-26"/>
    <x v="0"/>
    <x v="19"/>
    <n v="23.667782092101302"/>
    <n v="8638.7404636169795"/>
    <n v="31099.465669021101"/>
  </r>
  <r>
    <x v="0"/>
    <x v="0"/>
    <x v="0"/>
    <x v="0"/>
    <x v="0"/>
    <s v="DK1_MedSmall"/>
    <x v="1"/>
    <s v="GNR_ST_MSW_BP_E-26"/>
    <x v="0"/>
    <x v="20"/>
    <n v="23.667782092101302"/>
    <n v="8638.7404636169795"/>
    <n v="31099.465669021101"/>
  </r>
  <r>
    <x v="0"/>
    <x v="0"/>
    <x v="0"/>
    <x v="0"/>
    <x v="0"/>
    <s v="DK1_MedSmall"/>
    <x v="1"/>
    <s v="GNR_ST_MSW_BP_E-26"/>
    <x v="0"/>
    <x v="21"/>
    <n v="23.667782092101302"/>
    <n v="8638.7404636169795"/>
    <n v="31099.465669021101"/>
  </r>
  <r>
    <x v="0"/>
    <x v="0"/>
    <x v="0"/>
    <x v="0"/>
    <x v="0"/>
    <s v="DK1_MedSmall"/>
    <x v="1"/>
    <s v="GNR_ST_MSW_BP_E-26"/>
    <x v="0"/>
    <x v="22"/>
    <n v="23.667782092101302"/>
    <n v="8638.7404636169795"/>
    <n v="31099.465669021101"/>
  </r>
  <r>
    <x v="0"/>
    <x v="0"/>
    <x v="0"/>
    <x v="0"/>
    <x v="0"/>
    <s v="DK1_MedSmall"/>
    <x v="1"/>
    <s v="GNR_ST_MSW_BP_E-26"/>
    <x v="0"/>
    <x v="23"/>
    <n v="23.667782092101302"/>
    <n v="8638.7404636169795"/>
    <n v="31099.465669021101"/>
  </r>
  <r>
    <x v="0"/>
    <x v="0"/>
    <x v="0"/>
    <x v="0"/>
    <x v="0"/>
    <s v="DK1_MedSmall"/>
    <x v="4"/>
    <s v="GNR_BO_NGAS_E-100"/>
    <x v="0"/>
    <x v="8"/>
    <n v="1.4687008086106099"/>
    <n v="536.07579514287102"/>
    <n v="1929.8728625143401"/>
  </r>
  <r>
    <x v="0"/>
    <x v="0"/>
    <x v="0"/>
    <x v="0"/>
    <x v="0"/>
    <s v="DK1_MedSmall"/>
    <x v="4"/>
    <s v="GNR_BO_NGAS_E-100"/>
    <x v="0"/>
    <x v="9"/>
    <n v="4.2735473802326904"/>
    <n v="1559.8447937849301"/>
    <n v="5615.44125762575"/>
  </r>
  <r>
    <x v="0"/>
    <x v="0"/>
    <x v="0"/>
    <x v="0"/>
    <x v="0"/>
    <s v="DK1_MedSmall"/>
    <x v="4"/>
    <s v="GNR_BO_NGAS_E-100"/>
    <x v="0"/>
    <x v="10"/>
    <n v="3.5085892243357399"/>
    <n v="1280.6350668825401"/>
    <n v="4610.2862407771599"/>
  </r>
  <r>
    <x v="0"/>
    <x v="0"/>
    <x v="0"/>
    <x v="0"/>
    <x v="0"/>
    <s v="DK1_MedSmall"/>
    <x v="4"/>
    <s v="GNR_BO_NGAS_E-100"/>
    <x v="0"/>
    <x v="11"/>
    <n v="3.6360822503185699"/>
    <n v="1327.17002136628"/>
    <n v="4777.8120769185998"/>
  </r>
  <r>
    <x v="0"/>
    <x v="0"/>
    <x v="0"/>
    <x v="0"/>
    <x v="0"/>
    <s v="DK1_MedSmall"/>
    <x v="4"/>
    <s v="GNR_BO_NGAS_E-100"/>
    <x v="0"/>
    <x v="12"/>
    <n v="2.23365896450753"/>
    <n v="815.28552204524703"/>
    <n v="2935.02787936289"/>
  </r>
  <r>
    <x v="0"/>
    <x v="0"/>
    <x v="0"/>
    <x v="0"/>
    <x v="0"/>
    <s v="DK1_MedSmall"/>
    <x v="4"/>
    <s v="GNR_BO_NGAS_E-100"/>
    <x v="0"/>
    <x v="16"/>
    <n v="2.6161380424559901"/>
    <n v="954.89038549643499"/>
    <n v="3437.60538778717"/>
  </r>
  <r>
    <x v="0"/>
    <x v="0"/>
    <x v="0"/>
    <x v="0"/>
    <x v="0"/>
    <s v="DK1_MedSmall"/>
    <x v="4"/>
    <s v="GNR_BO_NGAS_E-100"/>
    <x v="0"/>
    <x v="17"/>
    <n v="1.9786729125419"/>
    <n v="722.215613077792"/>
    <n v="2599.9762070800498"/>
  </r>
  <r>
    <x v="0"/>
    <x v="0"/>
    <x v="0"/>
    <x v="0"/>
    <x v="0"/>
    <s v="DK1_MedSmall"/>
    <x v="4"/>
    <s v="GNR_BO_NGAS_E-100"/>
    <x v="0"/>
    <x v="18"/>
    <n v="2.4886450164731899"/>
    <n v="908.35543101271298"/>
    <n v="3270.0795516457702"/>
  </r>
  <r>
    <x v="0"/>
    <x v="0"/>
    <x v="0"/>
    <x v="0"/>
    <x v="0"/>
    <s v="DK1_MedSmall"/>
    <x v="4"/>
    <s v="GNR_BO_NGAS_E-100"/>
    <x v="0"/>
    <x v="19"/>
    <n v="1.9786729125419"/>
    <n v="722.215613077792"/>
    <n v="2599.9762070800498"/>
  </r>
  <r>
    <x v="0"/>
    <x v="0"/>
    <x v="0"/>
    <x v="0"/>
    <x v="0"/>
    <s v="DK1_MedSmall"/>
    <x v="4"/>
    <s v="GNR_BO_NGAS_E-101"/>
    <x v="0"/>
    <x v="0"/>
    <n v="5.5968391163409601"/>
    <n v="2042.8462774644499"/>
    <n v="7354.2465988720196"/>
  </r>
  <r>
    <x v="0"/>
    <x v="0"/>
    <x v="0"/>
    <x v="0"/>
    <x v="0"/>
    <s v="DK1_MedSmall"/>
    <x v="4"/>
    <s v="GNR_BO_NGAS_E-101"/>
    <x v="0"/>
    <x v="1"/>
    <n v="3.6844437265986301"/>
    <n v="1344.8219602085001"/>
    <n v="4841.3590567505998"/>
  </r>
  <r>
    <x v="0"/>
    <x v="0"/>
    <x v="0"/>
    <x v="0"/>
    <x v="0"/>
    <s v="DK1_MedSmall"/>
    <x v="4"/>
    <s v="GNR_BO_NGAS_E-101"/>
    <x v="0"/>
    <x v="2"/>
    <n v="2.2820204407875901"/>
    <n v="832.93746088747105"/>
    <n v="2998.57485919489"/>
  </r>
  <r>
    <x v="0"/>
    <x v="0"/>
    <x v="0"/>
    <x v="0"/>
    <x v="0"/>
    <s v="DK1_MedSmall"/>
    <x v="4"/>
    <s v="GNR_BO_NGAS_E-101"/>
    <x v="0"/>
    <x v="3"/>
    <n v="3.3019646486501699"/>
    <n v="1205.2170967573099"/>
    <n v="4338.7815483263203"/>
  </r>
  <r>
    <x v="0"/>
    <x v="0"/>
    <x v="0"/>
    <x v="0"/>
    <x v="0"/>
    <s v="DK1_MedSmall"/>
    <x v="4"/>
    <s v="GNR_BO_NGAS_E-101"/>
    <x v="0"/>
    <x v="4"/>
    <n v="8.2741926619802104"/>
    <n v="3020.08032162278"/>
    <n v="10872.289157842"/>
  </r>
  <r>
    <x v="0"/>
    <x v="0"/>
    <x v="0"/>
    <x v="0"/>
    <x v="0"/>
    <s v="DK1_MedSmall"/>
    <x v="4"/>
    <s v="GNR_BO_NGAS_E-101"/>
    <x v="0"/>
    <x v="5"/>
    <n v="11.971490415482"/>
    <n v="4369.5940016509503"/>
    <n v="15730.5384059434"/>
  </r>
  <r>
    <x v="0"/>
    <x v="0"/>
    <x v="0"/>
    <x v="0"/>
    <x v="0"/>
    <s v="DK1_MedSmall"/>
    <x v="4"/>
    <s v="GNR_BO_NGAS_E-101"/>
    <x v="0"/>
    <x v="6"/>
    <n v="35.302714170338398"/>
    <n v="12885.490672173501"/>
    <n v="46387.766419824598"/>
  </r>
  <r>
    <x v="0"/>
    <x v="0"/>
    <x v="0"/>
    <x v="0"/>
    <x v="0"/>
    <s v="DK1_MedSmall"/>
    <x v="4"/>
    <s v="GNR_BO_NGAS_E-101"/>
    <x v="0"/>
    <x v="7"/>
    <n v="57.6139937173321"/>
    <n v="21029.107706826198"/>
    <n v="75704.787744574394"/>
  </r>
  <r>
    <x v="0"/>
    <x v="0"/>
    <x v="0"/>
    <x v="0"/>
    <x v="0"/>
    <s v="DK1_MedSmall"/>
    <x v="4"/>
    <s v="GNR_BO_NGAS_E-101"/>
    <x v="0"/>
    <x v="8"/>
    <n v="61.5"/>
    <n v="22447.5"/>
    <n v="80811"/>
  </r>
  <r>
    <x v="0"/>
    <x v="0"/>
    <x v="0"/>
    <x v="0"/>
    <x v="0"/>
    <s v="DK1_MedSmall"/>
    <x v="4"/>
    <s v="GNR_BO_NGAS_E-101"/>
    <x v="0"/>
    <x v="9"/>
    <n v="61.5"/>
    <n v="22447.5"/>
    <n v="80811"/>
  </r>
  <r>
    <x v="0"/>
    <x v="0"/>
    <x v="0"/>
    <x v="0"/>
    <x v="0"/>
    <s v="DK1_MedSmall"/>
    <x v="4"/>
    <s v="GNR_BO_NGAS_E-101"/>
    <x v="0"/>
    <x v="10"/>
    <n v="61.5"/>
    <n v="22447.5"/>
    <n v="80811"/>
  </r>
  <r>
    <x v="0"/>
    <x v="0"/>
    <x v="0"/>
    <x v="0"/>
    <x v="0"/>
    <s v="DK1_MedSmall"/>
    <x v="4"/>
    <s v="GNR_BO_NGAS_E-101"/>
    <x v="0"/>
    <x v="11"/>
    <n v="61.5"/>
    <n v="22447.5"/>
    <n v="80811"/>
  </r>
  <r>
    <x v="0"/>
    <x v="0"/>
    <x v="0"/>
    <x v="0"/>
    <x v="0"/>
    <s v="DK1_MedSmall"/>
    <x v="4"/>
    <s v="GNR_BO_NGAS_E-101"/>
    <x v="0"/>
    <x v="12"/>
    <n v="61.5"/>
    <n v="22447.5"/>
    <n v="80811"/>
  </r>
  <r>
    <x v="0"/>
    <x v="0"/>
    <x v="0"/>
    <x v="0"/>
    <x v="0"/>
    <s v="DK1_MedSmall"/>
    <x v="4"/>
    <s v="GNR_BO_NGAS_E-101"/>
    <x v="0"/>
    <x v="13"/>
    <n v="58.123965821263397"/>
    <n v="21215.2475247611"/>
    <n v="76374.891089140103"/>
  </r>
  <r>
    <x v="0"/>
    <x v="0"/>
    <x v="0"/>
    <x v="0"/>
    <x v="0"/>
    <s v="DK1_MedSmall"/>
    <x v="4"/>
    <s v="GNR_BO_NGAS_E-101"/>
    <x v="0"/>
    <x v="14"/>
    <n v="59.653882133057301"/>
    <n v="21773.6669785659"/>
    <n v="78385.201122837199"/>
  </r>
  <r>
    <x v="0"/>
    <x v="0"/>
    <x v="0"/>
    <x v="0"/>
    <x v="0"/>
    <s v="DK1_MedSmall"/>
    <x v="4"/>
    <s v="GNR_BO_NGAS_E-101"/>
    <x v="0"/>
    <x v="15"/>
    <n v="61.183798444851099"/>
    <n v="22332.086432370699"/>
    <n v="80395.511156534398"/>
  </r>
  <r>
    <x v="0"/>
    <x v="0"/>
    <x v="0"/>
    <x v="0"/>
    <x v="0"/>
    <s v="DK1_MedSmall"/>
    <x v="4"/>
    <s v="GNR_BO_NGAS_E-101"/>
    <x v="0"/>
    <x v="16"/>
    <n v="61.5"/>
    <n v="22447.5"/>
    <n v="80811"/>
  </r>
  <r>
    <x v="0"/>
    <x v="0"/>
    <x v="0"/>
    <x v="0"/>
    <x v="0"/>
    <s v="DK1_MedSmall"/>
    <x v="4"/>
    <s v="GNR_BO_NGAS_E-101"/>
    <x v="0"/>
    <x v="17"/>
    <n v="61.5"/>
    <n v="22447.5"/>
    <n v="80811"/>
  </r>
  <r>
    <x v="0"/>
    <x v="0"/>
    <x v="0"/>
    <x v="0"/>
    <x v="0"/>
    <s v="DK1_MedSmall"/>
    <x v="4"/>
    <s v="GNR_BO_NGAS_E-101"/>
    <x v="0"/>
    <x v="18"/>
    <n v="61.5"/>
    <n v="22447.5"/>
    <n v="80811"/>
  </r>
  <r>
    <x v="0"/>
    <x v="0"/>
    <x v="0"/>
    <x v="0"/>
    <x v="0"/>
    <s v="DK1_MedSmall"/>
    <x v="4"/>
    <s v="GNR_BO_NGAS_E-101"/>
    <x v="0"/>
    <x v="19"/>
    <n v="61.5"/>
    <n v="22447.5"/>
    <n v="80811"/>
  </r>
  <r>
    <x v="0"/>
    <x v="0"/>
    <x v="0"/>
    <x v="0"/>
    <x v="0"/>
    <s v="DK1_MedSmall"/>
    <x v="4"/>
    <s v="GNR_BO_NGAS_E-101"/>
    <x v="0"/>
    <x v="20"/>
    <n v="60.673826340919803"/>
    <n v="22145.946614435699"/>
    <n v="79725.407811968704"/>
  </r>
  <r>
    <x v="0"/>
    <x v="0"/>
    <x v="0"/>
    <x v="0"/>
    <x v="0"/>
    <s v="DK1_MedSmall"/>
    <x v="4"/>
    <s v="GNR_BO_NGAS_E-101"/>
    <x v="0"/>
    <x v="21"/>
    <n v="43.589760859221698"/>
    <n v="15910.262713615901"/>
    <n v="57276.945769017402"/>
  </r>
  <r>
    <x v="0"/>
    <x v="0"/>
    <x v="0"/>
    <x v="0"/>
    <x v="0"/>
    <s v="DK1_MedSmall"/>
    <x v="4"/>
    <s v="GNR_BO_NGAS_E-101"/>
    <x v="0"/>
    <x v="22"/>
    <n v="42.314830599393503"/>
    <n v="15444.913168778599"/>
    <n v="55601.687407603102"/>
  </r>
  <r>
    <x v="0"/>
    <x v="0"/>
    <x v="0"/>
    <x v="0"/>
    <x v="0"/>
    <s v="DK1_MedSmall"/>
    <x v="4"/>
    <s v="GNR_BO_NGAS_E-101"/>
    <x v="0"/>
    <x v="23"/>
    <n v="39.127504949822999"/>
    <n v="14281.539306685399"/>
    <n v="51413.541504067398"/>
  </r>
  <r>
    <x v="0"/>
    <x v="0"/>
    <x v="0"/>
    <x v="0"/>
    <x v="0"/>
    <s v="DK1_MedSmall"/>
    <x v="4"/>
    <s v="GNR_BO_NGAS_E-102"/>
    <x v="0"/>
    <x v="0"/>
    <n v="5.0999999999999996"/>
    <n v="1861.5"/>
    <n v="6701.4"/>
  </r>
  <r>
    <x v="0"/>
    <x v="0"/>
    <x v="0"/>
    <x v="0"/>
    <x v="0"/>
    <s v="DK1_MedSmall"/>
    <x v="4"/>
    <s v="GNR_BO_NGAS_E-102"/>
    <x v="0"/>
    <x v="1"/>
    <n v="5.0999999999999996"/>
    <n v="1861.5"/>
    <n v="6701.4"/>
  </r>
  <r>
    <x v="0"/>
    <x v="0"/>
    <x v="0"/>
    <x v="0"/>
    <x v="0"/>
    <s v="DK1_MedSmall"/>
    <x v="4"/>
    <s v="GNR_BO_NGAS_E-102"/>
    <x v="0"/>
    <x v="2"/>
    <n v="5.0999999999999996"/>
    <n v="1861.5"/>
    <n v="6701.4"/>
  </r>
  <r>
    <x v="0"/>
    <x v="0"/>
    <x v="0"/>
    <x v="0"/>
    <x v="0"/>
    <s v="DK1_MedSmall"/>
    <x v="4"/>
    <s v="GNR_BO_NGAS_E-102"/>
    <x v="0"/>
    <x v="3"/>
    <n v="5.0999999999999996"/>
    <n v="1861.5"/>
    <n v="6701.4"/>
  </r>
  <r>
    <x v="0"/>
    <x v="0"/>
    <x v="0"/>
    <x v="0"/>
    <x v="0"/>
    <s v="DK1_MedSmall"/>
    <x v="4"/>
    <s v="GNR_BO_NGAS_E-102"/>
    <x v="0"/>
    <x v="4"/>
    <n v="5.0999999999999996"/>
    <n v="1861.5"/>
    <n v="6701.4"/>
  </r>
  <r>
    <x v="0"/>
    <x v="0"/>
    <x v="0"/>
    <x v="0"/>
    <x v="0"/>
    <s v="DK1_MedSmall"/>
    <x v="4"/>
    <s v="GNR_BO_NGAS_E-102"/>
    <x v="0"/>
    <x v="5"/>
    <n v="5.0999999999999996"/>
    <n v="1861.5"/>
    <n v="6701.4"/>
  </r>
  <r>
    <x v="0"/>
    <x v="0"/>
    <x v="0"/>
    <x v="0"/>
    <x v="0"/>
    <s v="DK1_MedSmall"/>
    <x v="4"/>
    <s v="GNR_BO_NGAS_E-102"/>
    <x v="0"/>
    <x v="6"/>
    <n v="5.0999999999999996"/>
    <n v="1861.5"/>
    <n v="6701.4"/>
  </r>
  <r>
    <x v="0"/>
    <x v="0"/>
    <x v="0"/>
    <x v="0"/>
    <x v="0"/>
    <s v="DK1_MedSmall"/>
    <x v="4"/>
    <s v="GNR_BO_NGAS_E-102"/>
    <x v="0"/>
    <x v="7"/>
    <n v="5.0999999999999996"/>
    <n v="1861.5"/>
    <n v="6701.4"/>
  </r>
  <r>
    <x v="0"/>
    <x v="0"/>
    <x v="0"/>
    <x v="0"/>
    <x v="0"/>
    <s v="DK1_MedSmall"/>
    <x v="4"/>
    <s v="GNR_BO_NGAS_E-102"/>
    <x v="0"/>
    <x v="8"/>
    <n v="5.0999999999999996"/>
    <n v="1861.5"/>
    <n v="6701.4"/>
  </r>
  <r>
    <x v="0"/>
    <x v="0"/>
    <x v="0"/>
    <x v="0"/>
    <x v="0"/>
    <s v="DK1_MedSmall"/>
    <x v="4"/>
    <s v="GNR_BO_NGAS_E-102"/>
    <x v="0"/>
    <x v="9"/>
    <n v="5.0999999999999996"/>
    <n v="1861.5"/>
    <n v="6701.4"/>
  </r>
  <r>
    <x v="0"/>
    <x v="0"/>
    <x v="0"/>
    <x v="0"/>
    <x v="0"/>
    <s v="DK1_MedSmall"/>
    <x v="4"/>
    <s v="GNR_BO_NGAS_E-102"/>
    <x v="0"/>
    <x v="10"/>
    <n v="5.0999999999999996"/>
    <n v="1861.5"/>
    <n v="6701.4"/>
  </r>
  <r>
    <x v="0"/>
    <x v="0"/>
    <x v="0"/>
    <x v="0"/>
    <x v="0"/>
    <s v="DK1_MedSmall"/>
    <x v="4"/>
    <s v="GNR_BO_NGAS_E-102"/>
    <x v="0"/>
    <x v="11"/>
    <n v="5.0999999999999996"/>
    <n v="1861.5"/>
    <n v="6701.4"/>
  </r>
  <r>
    <x v="0"/>
    <x v="0"/>
    <x v="0"/>
    <x v="0"/>
    <x v="0"/>
    <s v="DK1_MedSmall"/>
    <x v="4"/>
    <s v="GNR_BO_NGAS_E-102"/>
    <x v="0"/>
    <x v="12"/>
    <n v="5.0999999999999996"/>
    <n v="1861.5"/>
    <n v="6701.4"/>
  </r>
  <r>
    <x v="0"/>
    <x v="0"/>
    <x v="0"/>
    <x v="0"/>
    <x v="0"/>
    <s v="DK1_MedSmall"/>
    <x v="4"/>
    <s v="GNR_BO_NGAS_E-102"/>
    <x v="0"/>
    <x v="13"/>
    <n v="5.0999999999999996"/>
    <n v="1861.5"/>
    <n v="6701.4"/>
  </r>
  <r>
    <x v="0"/>
    <x v="0"/>
    <x v="0"/>
    <x v="0"/>
    <x v="0"/>
    <s v="DK1_MedSmall"/>
    <x v="4"/>
    <s v="GNR_BO_NGAS_E-102"/>
    <x v="0"/>
    <x v="14"/>
    <n v="5.0999999999999996"/>
    <n v="1861.5"/>
    <n v="6701.4"/>
  </r>
  <r>
    <x v="0"/>
    <x v="0"/>
    <x v="0"/>
    <x v="0"/>
    <x v="0"/>
    <s v="DK1_MedSmall"/>
    <x v="4"/>
    <s v="GNR_BO_NGAS_E-102"/>
    <x v="0"/>
    <x v="15"/>
    <n v="5.0999999999999996"/>
    <n v="1861.5"/>
    <n v="6701.4"/>
  </r>
  <r>
    <x v="0"/>
    <x v="0"/>
    <x v="0"/>
    <x v="0"/>
    <x v="0"/>
    <s v="DK1_MedSmall"/>
    <x v="4"/>
    <s v="GNR_BO_NGAS_E-102"/>
    <x v="0"/>
    <x v="16"/>
    <n v="5.0999999999999996"/>
    <n v="1861.5"/>
    <n v="6701.4"/>
  </r>
  <r>
    <x v="0"/>
    <x v="0"/>
    <x v="0"/>
    <x v="0"/>
    <x v="0"/>
    <s v="DK1_MedSmall"/>
    <x v="4"/>
    <s v="GNR_BO_NGAS_E-102"/>
    <x v="0"/>
    <x v="17"/>
    <n v="5.0999999999999996"/>
    <n v="1861.5"/>
    <n v="6701.4"/>
  </r>
  <r>
    <x v="0"/>
    <x v="0"/>
    <x v="0"/>
    <x v="0"/>
    <x v="0"/>
    <s v="DK1_MedSmall"/>
    <x v="4"/>
    <s v="GNR_BO_NGAS_E-102"/>
    <x v="0"/>
    <x v="18"/>
    <n v="5.0999999999999996"/>
    <n v="1861.5"/>
    <n v="6701.4"/>
  </r>
  <r>
    <x v="0"/>
    <x v="0"/>
    <x v="0"/>
    <x v="0"/>
    <x v="0"/>
    <s v="DK1_MedSmall"/>
    <x v="4"/>
    <s v="GNR_BO_NGAS_E-102"/>
    <x v="0"/>
    <x v="19"/>
    <n v="5.0999999999999996"/>
    <n v="1861.5"/>
    <n v="6701.4"/>
  </r>
  <r>
    <x v="0"/>
    <x v="0"/>
    <x v="0"/>
    <x v="0"/>
    <x v="0"/>
    <s v="DK1_MedSmall"/>
    <x v="4"/>
    <s v="GNR_BO_NGAS_E-102"/>
    <x v="0"/>
    <x v="20"/>
    <n v="5.0999999999999996"/>
    <n v="1861.5"/>
    <n v="6701.4"/>
  </r>
  <r>
    <x v="0"/>
    <x v="0"/>
    <x v="0"/>
    <x v="0"/>
    <x v="0"/>
    <s v="DK1_MedSmall"/>
    <x v="4"/>
    <s v="GNR_BO_NGAS_E-102"/>
    <x v="0"/>
    <x v="21"/>
    <n v="5.0999999999999996"/>
    <n v="1861.5"/>
    <n v="6701.4"/>
  </r>
  <r>
    <x v="0"/>
    <x v="0"/>
    <x v="0"/>
    <x v="0"/>
    <x v="0"/>
    <s v="DK1_MedSmall"/>
    <x v="4"/>
    <s v="GNR_BO_NGAS_E-102"/>
    <x v="0"/>
    <x v="22"/>
    <n v="5.0999999999999996"/>
    <n v="1861.5"/>
    <n v="6701.4"/>
  </r>
  <r>
    <x v="0"/>
    <x v="0"/>
    <x v="0"/>
    <x v="0"/>
    <x v="0"/>
    <s v="DK1_MedSmall"/>
    <x v="4"/>
    <s v="GNR_BO_NGAS_E-102"/>
    <x v="0"/>
    <x v="23"/>
    <n v="5.0999999999999996"/>
    <n v="1861.5"/>
    <n v="6701.4"/>
  </r>
  <r>
    <x v="0"/>
    <x v="0"/>
    <x v="0"/>
    <x v="0"/>
    <x v="0"/>
    <s v="DK1_MedSmall"/>
    <x v="4"/>
    <s v="GNR_BO_NGAS_E-104"/>
    <x v="0"/>
    <x v="0"/>
    <n v="11.45"/>
    <n v="4179.25"/>
    <n v="15045.3"/>
  </r>
  <r>
    <x v="0"/>
    <x v="0"/>
    <x v="0"/>
    <x v="0"/>
    <x v="0"/>
    <s v="DK1_MedSmall"/>
    <x v="4"/>
    <s v="GNR_BO_NGAS_E-104"/>
    <x v="0"/>
    <x v="1"/>
    <n v="11.45"/>
    <n v="4179.25"/>
    <n v="15045.3"/>
  </r>
  <r>
    <x v="0"/>
    <x v="0"/>
    <x v="0"/>
    <x v="0"/>
    <x v="0"/>
    <s v="DK1_MedSmall"/>
    <x v="4"/>
    <s v="GNR_BO_NGAS_E-104"/>
    <x v="0"/>
    <x v="2"/>
    <n v="11.45"/>
    <n v="4179.25"/>
    <n v="15045.3"/>
  </r>
  <r>
    <x v="0"/>
    <x v="0"/>
    <x v="0"/>
    <x v="0"/>
    <x v="0"/>
    <s v="DK1_MedSmall"/>
    <x v="4"/>
    <s v="GNR_BO_NGAS_E-104"/>
    <x v="0"/>
    <x v="3"/>
    <n v="11.45"/>
    <n v="4179.25"/>
    <n v="15045.3"/>
  </r>
  <r>
    <x v="0"/>
    <x v="0"/>
    <x v="0"/>
    <x v="0"/>
    <x v="0"/>
    <s v="DK1_MedSmall"/>
    <x v="4"/>
    <s v="GNR_BO_NGAS_E-104"/>
    <x v="0"/>
    <x v="4"/>
    <n v="11.45"/>
    <n v="4179.25"/>
    <n v="15045.3"/>
  </r>
  <r>
    <x v="0"/>
    <x v="0"/>
    <x v="0"/>
    <x v="0"/>
    <x v="0"/>
    <s v="DK1_MedSmall"/>
    <x v="4"/>
    <s v="GNR_BO_NGAS_E-104"/>
    <x v="0"/>
    <x v="5"/>
    <n v="11.45"/>
    <n v="4179.25"/>
    <n v="15045.3"/>
  </r>
  <r>
    <x v="0"/>
    <x v="0"/>
    <x v="0"/>
    <x v="0"/>
    <x v="0"/>
    <s v="DK1_MedSmall"/>
    <x v="4"/>
    <s v="GNR_BO_NGAS_E-104"/>
    <x v="0"/>
    <x v="6"/>
    <n v="11.45"/>
    <n v="4179.25"/>
    <n v="15045.3"/>
  </r>
  <r>
    <x v="0"/>
    <x v="0"/>
    <x v="0"/>
    <x v="0"/>
    <x v="0"/>
    <s v="DK1_MedSmall"/>
    <x v="4"/>
    <s v="GNR_BO_NGAS_E-104"/>
    <x v="0"/>
    <x v="7"/>
    <n v="11.45"/>
    <n v="4179.25"/>
    <n v="15045.3"/>
  </r>
  <r>
    <x v="0"/>
    <x v="0"/>
    <x v="0"/>
    <x v="0"/>
    <x v="0"/>
    <s v="DK1_MedSmall"/>
    <x v="4"/>
    <s v="GNR_BO_NGAS_E-104"/>
    <x v="0"/>
    <x v="8"/>
    <n v="11.45"/>
    <n v="4179.25"/>
    <n v="15045.3"/>
  </r>
  <r>
    <x v="0"/>
    <x v="0"/>
    <x v="0"/>
    <x v="0"/>
    <x v="0"/>
    <s v="DK1_MedSmall"/>
    <x v="4"/>
    <s v="GNR_BO_NGAS_E-104"/>
    <x v="0"/>
    <x v="9"/>
    <n v="11.45"/>
    <n v="4179.25"/>
    <n v="15045.3"/>
  </r>
  <r>
    <x v="0"/>
    <x v="0"/>
    <x v="0"/>
    <x v="0"/>
    <x v="0"/>
    <s v="DK1_MedSmall"/>
    <x v="4"/>
    <s v="GNR_BO_NGAS_E-104"/>
    <x v="0"/>
    <x v="10"/>
    <n v="11.45"/>
    <n v="4179.25"/>
    <n v="15045.3"/>
  </r>
  <r>
    <x v="0"/>
    <x v="0"/>
    <x v="0"/>
    <x v="0"/>
    <x v="0"/>
    <s v="DK1_MedSmall"/>
    <x v="4"/>
    <s v="GNR_BO_NGAS_E-104"/>
    <x v="0"/>
    <x v="11"/>
    <n v="11.45"/>
    <n v="4179.25"/>
    <n v="15045.3"/>
  </r>
  <r>
    <x v="0"/>
    <x v="0"/>
    <x v="0"/>
    <x v="0"/>
    <x v="0"/>
    <s v="DK1_MedSmall"/>
    <x v="4"/>
    <s v="GNR_BO_NGAS_E-104"/>
    <x v="0"/>
    <x v="12"/>
    <n v="11.45"/>
    <n v="4179.25"/>
    <n v="15045.3"/>
  </r>
  <r>
    <x v="0"/>
    <x v="0"/>
    <x v="0"/>
    <x v="0"/>
    <x v="0"/>
    <s v="DK1_MedSmall"/>
    <x v="4"/>
    <s v="GNR_BO_NGAS_E-104"/>
    <x v="0"/>
    <x v="13"/>
    <n v="11.45"/>
    <n v="4179.25"/>
    <n v="15045.3"/>
  </r>
  <r>
    <x v="0"/>
    <x v="0"/>
    <x v="0"/>
    <x v="0"/>
    <x v="0"/>
    <s v="DK1_MedSmall"/>
    <x v="4"/>
    <s v="GNR_BO_NGAS_E-104"/>
    <x v="0"/>
    <x v="14"/>
    <n v="11.45"/>
    <n v="4179.25"/>
    <n v="15045.3"/>
  </r>
  <r>
    <x v="0"/>
    <x v="0"/>
    <x v="0"/>
    <x v="0"/>
    <x v="0"/>
    <s v="DK1_MedSmall"/>
    <x v="4"/>
    <s v="GNR_BO_NGAS_E-104"/>
    <x v="0"/>
    <x v="15"/>
    <n v="11.45"/>
    <n v="4179.25"/>
    <n v="15045.3"/>
  </r>
  <r>
    <x v="0"/>
    <x v="0"/>
    <x v="0"/>
    <x v="0"/>
    <x v="0"/>
    <s v="DK1_MedSmall"/>
    <x v="4"/>
    <s v="GNR_BO_NGAS_E-104"/>
    <x v="0"/>
    <x v="16"/>
    <n v="11.45"/>
    <n v="4179.25"/>
    <n v="15045.3"/>
  </r>
  <r>
    <x v="0"/>
    <x v="0"/>
    <x v="0"/>
    <x v="0"/>
    <x v="0"/>
    <s v="DK1_MedSmall"/>
    <x v="4"/>
    <s v="GNR_BO_NGAS_E-104"/>
    <x v="0"/>
    <x v="17"/>
    <n v="11.45"/>
    <n v="4179.25"/>
    <n v="15045.3"/>
  </r>
  <r>
    <x v="0"/>
    <x v="0"/>
    <x v="0"/>
    <x v="0"/>
    <x v="0"/>
    <s v="DK1_MedSmall"/>
    <x v="4"/>
    <s v="GNR_BO_NGAS_E-104"/>
    <x v="0"/>
    <x v="18"/>
    <n v="11.45"/>
    <n v="4179.25"/>
    <n v="15045.3"/>
  </r>
  <r>
    <x v="0"/>
    <x v="0"/>
    <x v="0"/>
    <x v="0"/>
    <x v="0"/>
    <s v="DK1_MedSmall"/>
    <x v="4"/>
    <s v="GNR_BO_NGAS_E-104"/>
    <x v="0"/>
    <x v="19"/>
    <n v="11.45"/>
    <n v="4179.25"/>
    <n v="15045.3"/>
  </r>
  <r>
    <x v="0"/>
    <x v="0"/>
    <x v="0"/>
    <x v="0"/>
    <x v="0"/>
    <s v="DK1_MedSmall"/>
    <x v="4"/>
    <s v="GNR_BO_NGAS_E-104"/>
    <x v="0"/>
    <x v="20"/>
    <n v="11.45"/>
    <n v="4179.25"/>
    <n v="15045.3"/>
  </r>
  <r>
    <x v="0"/>
    <x v="0"/>
    <x v="0"/>
    <x v="0"/>
    <x v="0"/>
    <s v="DK1_MedSmall"/>
    <x v="4"/>
    <s v="GNR_BO_NGAS_E-104"/>
    <x v="0"/>
    <x v="21"/>
    <n v="11.45"/>
    <n v="4179.25"/>
    <n v="15045.3"/>
  </r>
  <r>
    <x v="0"/>
    <x v="0"/>
    <x v="0"/>
    <x v="0"/>
    <x v="0"/>
    <s v="DK1_MedSmall"/>
    <x v="4"/>
    <s v="GNR_BO_NGAS_E-104"/>
    <x v="0"/>
    <x v="22"/>
    <n v="11.45"/>
    <n v="4179.25"/>
    <n v="15045.3"/>
  </r>
  <r>
    <x v="0"/>
    <x v="0"/>
    <x v="0"/>
    <x v="0"/>
    <x v="0"/>
    <s v="DK1_MedSmall"/>
    <x v="4"/>
    <s v="GNR_BO_NGAS_E-104"/>
    <x v="0"/>
    <x v="23"/>
    <n v="11.45"/>
    <n v="4179.25"/>
    <n v="15045.3"/>
  </r>
  <r>
    <x v="0"/>
    <x v="0"/>
    <x v="0"/>
    <x v="0"/>
    <x v="0"/>
    <s v="DK1_MedSmall"/>
    <x v="5"/>
    <s v="GNR_BO_STRW_E-102"/>
    <x v="0"/>
    <x v="0"/>
    <n v="10.73"/>
    <n v="3916.45"/>
    <n v="14099.22"/>
  </r>
  <r>
    <x v="0"/>
    <x v="0"/>
    <x v="0"/>
    <x v="0"/>
    <x v="0"/>
    <s v="DK1_MedSmall"/>
    <x v="5"/>
    <s v="GNR_BO_STRW_E-102"/>
    <x v="0"/>
    <x v="1"/>
    <n v="10.73"/>
    <n v="3916.45"/>
    <n v="14099.22"/>
  </r>
  <r>
    <x v="0"/>
    <x v="0"/>
    <x v="0"/>
    <x v="0"/>
    <x v="0"/>
    <s v="DK1_MedSmall"/>
    <x v="5"/>
    <s v="GNR_BO_STRW_E-102"/>
    <x v="0"/>
    <x v="2"/>
    <n v="10.73"/>
    <n v="3916.45"/>
    <n v="14099.22"/>
  </r>
  <r>
    <x v="0"/>
    <x v="0"/>
    <x v="0"/>
    <x v="0"/>
    <x v="0"/>
    <s v="DK1_MedSmall"/>
    <x v="5"/>
    <s v="GNR_BO_STRW_E-102"/>
    <x v="0"/>
    <x v="3"/>
    <n v="10.73"/>
    <n v="3916.45"/>
    <n v="14099.22"/>
  </r>
  <r>
    <x v="0"/>
    <x v="0"/>
    <x v="0"/>
    <x v="0"/>
    <x v="0"/>
    <s v="DK1_MedSmall"/>
    <x v="5"/>
    <s v="GNR_BO_STRW_E-102"/>
    <x v="0"/>
    <x v="4"/>
    <n v="10.73"/>
    <n v="3916.45"/>
    <n v="14099.22"/>
  </r>
  <r>
    <x v="0"/>
    <x v="0"/>
    <x v="0"/>
    <x v="0"/>
    <x v="0"/>
    <s v="DK1_MedSmall"/>
    <x v="5"/>
    <s v="GNR_BO_STRW_E-102"/>
    <x v="0"/>
    <x v="5"/>
    <n v="10.73"/>
    <n v="3916.45"/>
    <n v="14099.22"/>
  </r>
  <r>
    <x v="0"/>
    <x v="0"/>
    <x v="0"/>
    <x v="0"/>
    <x v="0"/>
    <s v="DK1_MedSmall"/>
    <x v="5"/>
    <s v="GNR_BO_STRW_E-102"/>
    <x v="0"/>
    <x v="6"/>
    <n v="10.73"/>
    <n v="3916.45"/>
    <n v="14099.22"/>
  </r>
  <r>
    <x v="0"/>
    <x v="0"/>
    <x v="0"/>
    <x v="0"/>
    <x v="0"/>
    <s v="DK1_MedSmall"/>
    <x v="5"/>
    <s v="GNR_BO_STRW_E-102"/>
    <x v="0"/>
    <x v="7"/>
    <n v="10.73"/>
    <n v="3916.45"/>
    <n v="14099.22"/>
  </r>
  <r>
    <x v="0"/>
    <x v="0"/>
    <x v="0"/>
    <x v="0"/>
    <x v="0"/>
    <s v="DK1_MedSmall"/>
    <x v="5"/>
    <s v="GNR_BO_STRW_E-102"/>
    <x v="0"/>
    <x v="8"/>
    <n v="10.73"/>
    <n v="3916.45"/>
    <n v="14099.22"/>
  </r>
  <r>
    <x v="0"/>
    <x v="0"/>
    <x v="0"/>
    <x v="0"/>
    <x v="0"/>
    <s v="DK1_MedSmall"/>
    <x v="5"/>
    <s v="GNR_BO_STRW_E-102"/>
    <x v="0"/>
    <x v="9"/>
    <n v="10.73"/>
    <n v="3916.45"/>
    <n v="14099.22"/>
  </r>
  <r>
    <x v="0"/>
    <x v="0"/>
    <x v="0"/>
    <x v="0"/>
    <x v="0"/>
    <s v="DK1_MedSmall"/>
    <x v="5"/>
    <s v="GNR_BO_STRW_E-102"/>
    <x v="0"/>
    <x v="10"/>
    <n v="10.73"/>
    <n v="3916.45"/>
    <n v="14099.22"/>
  </r>
  <r>
    <x v="0"/>
    <x v="0"/>
    <x v="0"/>
    <x v="0"/>
    <x v="0"/>
    <s v="DK1_MedSmall"/>
    <x v="5"/>
    <s v="GNR_BO_STRW_E-102"/>
    <x v="0"/>
    <x v="11"/>
    <n v="10.73"/>
    <n v="3916.45"/>
    <n v="14099.22"/>
  </r>
  <r>
    <x v="0"/>
    <x v="0"/>
    <x v="0"/>
    <x v="0"/>
    <x v="0"/>
    <s v="DK1_MedSmall"/>
    <x v="5"/>
    <s v="GNR_BO_STRW_E-102"/>
    <x v="0"/>
    <x v="12"/>
    <n v="10.73"/>
    <n v="3916.45"/>
    <n v="14099.22"/>
  </r>
  <r>
    <x v="0"/>
    <x v="0"/>
    <x v="0"/>
    <x v="0"/>
    <x v="0"/>
    <s v="DK1_MedSmall"/>
    <x v="5"/>
    <s v="GNR_BO_STRW_E-102"/>
    <x v="0"/>
    <x v="13"/>
    <n v="10.73"/>
    <n v="3916.45"/>
    <n v="14099.22"/>
  </r>
  <r>
    <x v="0"/>
    <x v="0"/>
    <x v="0"/>
    <x v="0"/>
    <x v="0"/>
    <s v="DK1_MedSmall"/>
    <x v="5"/>
    <s v="GNR_BO_STRW_E-102"/>
    <x v="0"/>
    <x v="14"/>
    <n v="10.73"/>
    <n v="3916.45"/>
    <n v="14099.22"/>
  </r>
  <r>
    <x v="0"/>
    <x v="0"/>
    <x v="0"/>
    <x v="0"/>
    <x v="0"/>
    <s v="DK1_MedSmall"/>
    <x v="5"/>
    <s v="GNR_BO_STRW_E-102"/>
    <x v="0"/>
    <x v="15"/>
    <n v="10.73"/>
    <n v="3916.45"/>
    <n v="14099.22"/>
  </r>
  <r>
    <x v="0"/>
    <x v="0"/>
    <x v="0"/>
    <x v="0"/>
    <x v="0"/>
    <s v="DK1_MedSmall"/>
    <x v="5"/>
    <s v="GNR_BO_STRW_E-102"/>
    <x v="0"/>
    <x v="16"/>
    <n v="10.73"/>
    <n v="3916.45"/>
    <n v="14099.22"/>
  </r>
  <r>
    <x v="0"/>
    <x v="0"/>
    <x v="0"/>
    <x v="0"/>
    <x v="0"/>
    <s v="DK1_MedSmall"/>
    <x v="5"/>
    <s v="GNR_BO_STRW_E-102"/>
    <x v="0"/>
    <x v="17"/>
    <n v="10.73"/>
    <n v="3916.45"/>
    <n v="14099.22"/>
  </r>
  <r>
    <x v="0"/>
    <x v="0"/>
    <x v="0"/>
    <x v="0"/>
    <x v="0"/>
    <s v="DK1_MedSmall"/>
    <x v="5"/>
    <s v="GNR_BO_STRW_E-102"/>
    <x v="0"/>
    <x v="18"/>
    <n v="10.73"/>
    <n v="3916.45"/>
    <n v="14099.22"/>
  </r>
  <r>
    <x v="0"/>
    <x v="0"/>
    <x v="0"/>
    <x v="0"/>
    <x v="0"/>
    <s v="DK1_MedSmall"/>
    <x v="5"/>
    <s v="GNR_BO_STRW_E-102"/>
    <x v="0"/>
    <x v="19"/>
    <n v="10.73"/>
    <n v="3916.45"/>
    <n v="14099.22"/>
  </r>
  <r>
    <x v="0"/>
    <x v="0"/>
    <x v="0"/>
    <x v="0"/>
    <x v="0"/>
    <s v="DK1_MedSmall"/>
    <x v="5"/>
    <s v="GNR_BO_STRW_E-102"/>
    <x v="0"/>
    <x v="20"/>
    <n v="10.73"/>
    <n v="3916.45"/>
    <n v="14099.22"/>
  </r>
  <r>
    <x v="0"/>
    <x v="0"/>
    <x v="0"/>
    <x v="0"/>
    <x v="0"/>
    <s v="DK1_MedSmall"/>
    <x v="5"/>
    <s v="GNR_BO_STRW_E-102"/>
    <x v="0"/>
    <x v="21"/>
    <n v="10.73"/>
    <n v="3916.45"/>
    <n v="14099.22"/>
  </r>
  <r>
    <x v="0"/>
    <x v="0"/>
    <x v="0"/>
    <x v="0"/>
    <x v="0"/>
    <s v="DK1_MedSmall"/>
    <x v="5"/>
    <s v="GNR_BO_STRW_E-102"/>
    <x v="0"/>
    <x v="22"/>
    <n v="10.73"/>
    <n v="3916.45"/>
    <n v="14099.22"/>
  </r>
  <r>
    <x v="0"/>
    <x v="0"/>
    <x v="0"/>
    <x v="0"/>
    <x v="0"/>
    <s v="DK1_MedSmall"/>
    <x v="5"/>
    <s v="GNR_BO_STRW_E-102"/>
    <x v="0"/>
    <x v="23"/>
    <n v="10.73"/>
    <n v="3916.45"/>
    <n v="14099.22"/>
  </r>
  <r>
    <x v="0"/>
    <x v="0"/>
    <x v="0"/>
    <x v="0"/>
    <x v="0"/>
    <s v="DK1_MedSmall"/>
    <x v="2"/>
    <s v="GNR_EH_HEAT"/>
    <x v="0"/>
    <x v="0"/>
    <n v="12.5"/>
    <n v="4562.5"/>
    <n v="16425"/>
  </r>
  <r>
    <x v="0"/>
    <x v="0"/>
    <x v="0"/>
    <x v="0"/>
    <x v="0"/>
    <s v="DK1_MedSmall"/>
    <x v="2"/>
    <s v="GNR_EH_HEAT"/>
    <x v="0"/>
    <x v="1"/>
    <n v="12.5"/>
    <n v="4562.5"/>
    <n v="16425"/>
  </r>
  <r>
    <x v="0"/>
    <x v="0"/>
    <x v="0"/>
    <x v="0"/>
    <x v="0"/>
    <s v="DK1_MedSmall"/>
    <x v="2"/>
    <s v="GNR_EH_HEAT"/>
    <x v="0"/>
    <x v="2"/>
    <n v="12.5"/>
    <n v="4562.5"/>
    <n v="16425"/>
  </r>
  <r>
    <x v="0"/>
    <x v="0"/>
    <x v="0"/>
    <x v="0"/>
    <x v="0"/>
    <s v="DK1_MedSmall"/>
    <x v="2"/>
    <s v="GNR_EH_HEAT"/>
    <x v="0"/>
    <x v="3"/>
    <n v="12.5"/>
    <n v="4562.5"/>
    <n v="16425"/>
  </r>
  <r>
    <x v="0"/>
    <x v="0"/>
    <x v="0"/>
    <x v="0"/>
    <x v="0"/>
    <s v="DK1_MedSmall"/>
    <x v="2"/>
    <s v="GNR_EH_HEAT"/>
    <x v="0"/>
    <x v="4"/>
    <n v="12.5"/>
    <n v="4562.5"/>
    <n v="16425"/>
  </r>
  <r>
    <x v="0"/>
    <x v="0"/>
    <x v="0"/>
    <x v="0"/>
    <x v="0"/>
    <s v="DK1_MedSmall"/>
    <x v="2"/>
    <s v="GNR_EH_HEAT"/>
    <x v="0"/>
    <x v="5"/>
    <n v="12.5"/>
    <n v="4562.5"/>
    <n v="16425"/>
  </r>
  <r>
    <x v="0"/>
    <x v="0"/>
    <x v="0"/>
    <x v="0"/>
    <x v="0"/>
    <s v="DK1_MedSmall"/>
    <x v="2"/>
    <s v="GNR_EH_HEAT"/>
    <x v="0"/>
    <x v="6"/>
    <n v="12.5"/>
    <n v="4562.5"/>
    <n v="16425"/>
  </r>
  <r>
    <x v="0"/>
    <x v="0"/>
    <x v="0"/>
    <x v="0"/>
    <x v="0"/>
    <s v="DK1_MedSmall"/>
    <x v="2"/>
    <s v="GNR_EH_HEAT"/>
    <x v="0"/>
    <x v="7"/>
    <n v="12.5"/>
    <n v="4562.5"/>
    <n v="16425"/>
  </r>
  <r>
    <x v="0"/>
    <x v="0"/>
    <x v="0"/>
    <x v="0"/>
    <x v="0"/>
    <s v="DK1_MedSmall"/>
    <x v="2"/>
    <s v="GNR_EH_HEAT"/>
    <x v="0"/>
    <x v="8"/>
    <n v="12.5"/>
    <n v="4562.5"/>
    <n v="16425"/>
  </r>
  <r>
    <x v="0"/>
    <x v="0"/>
    <x v="0"/>
    <x v="0"/>
    <x v="0"/>
    <s v="DK1_MedSmall"/>
    <x v="2"/>
    <s v="GNR_EH_HEAT"/>
    <x v="0"/>
    <x v="9"/>
    <n v="12.5"/>
    <n v="4562.5"/>
    <n v="16425"/>
  </r>
  <r>
    <x v="0"/>
    <x v="0"/>
    <x v="0"/>
    <x v="0"/>
    <x v="0"/>
    <s v="DK1_MedSmall"/>
    <x v="2"/>
    <s v="GNR_EH_HEAT"/>
    <x v="0"/>
    <x v="10"/>
    <n v="12.5"/>
    <n v="4562.5"/>
    <n v="16425"/>
  </r>
  <r>
    <x v="0"/>
    <x v="0"/>
    <x v="0"/>
    <x v="0"/>
    <x v="0"/>
    <s v="DK1_MedSmall"/>
    <x v="2"/>
    <s v="GNR_EH_HEAT"/>
    <x v="0"/>
    <x v="11"/>
    <n v="12.5"/>
    <n v="4562.5"/>
    <n v="16425"/>
  </r>
  <r>
    <x v="0"/>
    <x v="0"/>
    <x v="0"/>
    <x v="0"/>
    <x v="0"/>
    <s v="DK1_MedSmall"/>
    <x v="2"/>
    <s v="GNR_EH_HEAT"/>
    <x v="0"/>
    <x v="12"/>
    <n v="12.5"/>
    <n v="4562.5"/>
    <n v="16425"/>
  </r>
  <r>
    <x v="0"/>
    <x v="0"/>
    <x v="0"/>
    <x v="0"/>
    <x v="0"/>
    <s v="DK1_MedSmall"/>
    <x v="2"/>
    <s v="GNR_EH_HEAT"/>
    <x v="0"/>
    <x v="13"/>
    <n v="12.5"/>
    <n v="4562.5"/>
    <n v="16425"/>
  </r>
  <r>
    <x v="0"/>
    <x v="0"/>
    <x v="0"/>
    <x v="0"/>
    <x v="0"/>
    <s v="DK1_MedSmall"/>
    <x v="2"/>
    <s v="GNR_EH_HEAT"/>
    <x v="0"/>
    <x v="14"/>
    <n v="12.5"/>
    <n v="4562.5"/>
    <n v="16425"/>
  </r>
  <r>
    <x v="0"/>
    <x v="0"/>
    <x v="0"/>
    <x v="0"/>
    <x v="0"/>
    <s v="DK1_MedSmall"/>
    <x v="2"/>
    <s v="GNR_EH_HEAT"/>
    <x v="0"/>
    <x v="15"/>
    <n v="12.5"/>
    <n v="4562.5"/>
    <n v="16425"/>
  </r>
  <r>
    <x v="0"/>
    <x v="0"/>
    <x v="0"/>
    <x v="0"/>
    <x v="0"/>
    <s v="DK1_MedSmall"/>
    <x v="2"/>
    <s v="GNR_EH_HEAT"/>
    <x v="0"/>
    <x v="16"/>
    <n v="12.5"/>
    <n v="4562.5"/>
    <n v="16425"/>
  </r>
  <r>
    <x v="0"/>
    <x v="0"/>
    <x v="0"/>
    <x v="0"/>
    <x v="0"/>
    <s v="DK1_MedSmall"/>
    <x v="2"/>
    <s v="GNR_EH_HEAT"/>
    <x v="0"/>
    <x v="17"/>
    <n v="12.5"/>
    <n v="4562.5"/>
    <n v="16425"/>
  </r>
  <r>
    <x v="0"/>
    <x v="0"/>
    <x v="0"/>
    <x v="0"/>
    <x v="0"/>
    <s v="DK1_MedSmall"/>
    <x v="2"/>
    <s v="GNR_EH_HEAT"/>
    <x v="0"/>
    <x v="18"/>
    <n v="12.5"/>
    <n v="4562.5"/>
    <n v="16425"/>
  </r>
  <r>
    <x v="0"/>
    <x v="0"/>
    <x v="0"/>
    <x v="0"/>
    <x v="0"/>
    <s v="DK1_MedSmall"/>
    <x v="2"/>
    <s v="GNR_EH_HEAT"/>
    <x v="0"/>
    <x v="19"/>
    <n v="12.5"/>
    <n v="4562.5"/>
    <n v="16425"/>
  </r>
  <r>
    <x v="0"/>
    <x v="0"/>
    <x v="0"/>
    <x v="0"/>
    <x v="0"/>
    <s v="DK1_MedSmall"/>
    <x v="2"/>
    <s v="GNR_EH_HEAT"/>
    <x v="0"/>
    <x v="20"/>
    <n v="12.5"/>
    <n v="4562.5"/>
    <n v="16425"/>
  </r>
  <r>
    <x v="0"/>
    <x v="0"/>
    <x v="0"/>
    <x v="0"/>
    <x v="0"/>
    <s v="DK1_MedSmall"/>
    <x v="2"/>
    <s v="GNR_EH_HEAT"/>
    <x v="0"/>
    <x v="21"/>
    <n v="12.5"/>
    <n v="4562.5"/>
    <n v="16425"/>
  </r>
  <r>
    <x v="0"/>
    <x v="0"/>
    <x v="0"/>
    <x v="0"/>
    <x v="0"/>
    <s v="DK1_MedSmall"/>
    <x v="2"/>
    <s v="GNR_EH_HEAT"/>
    <x v="0"/>
    <x v="22"/>
    <n v="12.5"/>
    <n v="4562.5"/>
    <n v="16425"/>
  </r>
  <r>
    <x v="0"/>
    <x v="0"/>
    <x v="0"/>
    <x v="0"/>
    <x v="0"/>
    <s v="DK1_MedSmall"/>
    <x v="2"/>
    <s v="GNR_EH_HEAT"/>
    <x v="0"/>
    <x v="23"/>
    <n v="12.5"/>
    <n v="4562.5"/>
    <n v="16425"/>
  </r>
  <r>
    <x v="0"/>
    <x v="0"/>
    <x v="0"/>
    <x v="0"/>
    <x v="0"/>
    <s v="DK1_MedSmall"/>
    <x v="2"/>
    <s v="GNR_GEO_HEAT_HO"/>
    <x v="0"/>
    <x v="0"/>
    <n v="8.3000000000000007"/>
    <n v="3029.5"/>
    <n v="10906.2"/>
  </r>
  <r>
    <x v="0"/>
    <x v="0"/>
    <x v="0"/>
    <x v="0"/>
    <x v="0"/>
    <s v="DK1_MedSmall"/>
    <x v="2"/>
    <s v="GNR_GEO_HEAT_HO"/>
    <x v="0"/>
    <x v="1"/>
    <n v="8.3000000000000007"/>
    <n v="3029.5"/>
    <n v="10906.2"/>
  </r>
  <r>
    <x v="0"/>
    <x v="0"/>
    <x v="0"/>
    <x v="0"/>
    <x v="0"/>
    <s v="DK1_MedSmall"/>
    <x v="2"/>
    <s v="GNR_GEO_HEAT_HO"/>
    <x v="0"/>
    <x v="2"/>
    <n v="8.3000000000000007"/>
    <n v="3029.5"/>
    <n v="10906.2"/>
  </r>
  <r>
    <x v="0"/>
    <x v="0"/>
    <x v="0"/>
    <x v="0"/>
    <x v="0"/>
    <s v="DK1_MedSmall"/>
    <x v="2"/>
    <s v="GNR_GEO_HEAT_HO"/>
    <x v="0"/>
    <x v="3"/>
    <n v="8.3000000000000007"/>
    <n v="3029.5"/>
    <n v="10906.2"/>
  </r>
  <r>
    <x v="0"/>
    <x v="0"/>
    <x v="0"/>
    <x v="0"/>
    <x v="0"/>
    <s v="DK1_MedSmall"/>
    <x v="2"/>
    <s v="GNR_GEO_HEAT_HO"/>
    <x v="0"/>
    <x v="4"/>
    <n v="8.3000000000000007"/>
    <n v="3029.5"/>
    <n v="10906.2"/>
  </r>
  <r>
    <x v="0"/>
    <x v="0"/>
    <x v="0"/>
    <x v="0"/>
    <x v="0"/>
    <s v="DK1_MedSmall"/>
    <x v="2"/>
    <s v="GNR_GEO_HEAT_HO"/>
    <x v="0"/>
    <x v="5"/>
    <n v="8.3000000000000007"/>
    <n v="3029.5"/>
    <n v="10906.2"/>
  </r>
  <r>
    <x v="0"/>
    <x v="0"/>
    <x v="0"/>
    <x v="0"/>
    <x v="0"/>
    <s v="DK1_MedSmall"/>
    <x v="2"/>
    <s v="GNR_GEO_HEAT_HO"/>
    <x v="0"/>
    <x v="6"/>
    <n v="8.3000000000000007"/>
    <n v="3029.5"/>
    <n v="10906.2"/>
  </r>
  <r>
    <x v="0"/>
    <x v="0"/>
    <x v="0"/>
    <x v="0"/>
    <x v="0"/>
    <s v="DK1_MedSmall"/>
    <x v="2"/>
    <s v="GNR_GEO_HEAT_HO"/>
    <x v="0"/>
    <x v="7"/>
    <n v="8.3000000000000007"/>
    <n v="3029.5"/>
    <n v="10906.2"/>
  </r>
  <r>
    <x v="0"/>
    <x v="0"/>
    <x v="0"/>
    <x v="0"/>
    <x v="0"/>
    <s v="DK1_MedSmall"/>
    <x v="2"/>
    <s v="GNR_GEO_HEAT_HO"/>
    <x v="0"/>
    <x v="8"/>
    <n v="8.3000000000000007"/>
    <n v="3029.5"/>
    <n v="10906.2"/>
  </r>
  <r>
    <x v="0"/>
    <x v="0"/>
    <x v="0"/>
    <x v="0"/>
    <x v="0"/>
    <s v="DK1_MedSmall"/>
    <x v="2"/>
    <s v="GNR_GEO_HEAT_HO"/>
    <x v="0"/>
    <x v="9"/>
    <n v="8.3000000000000007"/>
    <n v="3029.5"/>
    <n v="10906.2"/>
  </r>
  <r>
    <x v="0"/>
    <x v="0"/>
    <x v="0"/>
    <x v="0"/>
    <x v="0"/>
    <s v="DK1_MedSmall"/>
    <x v="2"/>
    <s v="GNR_GEO_HEAT_HO"/>
    <x v="0"/>
    <x v="10"/>
    <n v="8.3000000000000007"/>
    <n v="3029.5"/>
    <n v="10906.2"/>
  </r>
  <r>
    <x v="0"/>
    <x v="0"/>
    <x v="0"/>
    <x v="0"/>
    <x v="0"/>
    <s v="DK1_MedSmall"/>
    <x v="2"/>
    <s v="GNR_GEO_HEAT_HO"/>
    <x v="0"/>
    <x v="11"/>
    <n v="8.3000000000000007"/>
    <n v="3029.5"/>
    <n v="10906.2"/>
  </r>
  <r>
    <x v="0"/>
    <x v="0"/>
    <x v="0"/>
    <x v="0"/>
    <x v="0"/>
    <s v="DK1_MedSmall"/>
    <x v="2"/>
    <s v="GNR_GEO_HEAT_HO"/>
    <x v="0"/>
    <x v="12"/>
    <n v="8.3000000000000007"/>
    <n v="3029.5"/>
    <n v="10906.2"/>
  </r>
  <r>
    <x v="0"/>
    <x v="0"/>
    <x v="0"/>
    <x v="0"/>
    <x v="0"/>
    <s v="DK1_MedSmall"/>
    <x v="2"/>
    <s v="GNR_GEO_HEAT_HO"/>
    <x v="0"/>
    <x v="13"/>
    <n v="8.3000000000000007"/>
    <n v="3029.5"/>
    <n v="10906.2"/>
  </r>
  <r>
    <x v="0"/>
    <x v="0"/>
    <x v="0"/>
    <x v="0"/>
    <x v="0"/>
    <s v="DK1_MedSmall"/>
    <x v="2"/>
    <s v="GNR_GEO_HEAT_HO"/>
    <x v="0"/>
    <x v="14"/>
    <n v="8.3000000000000007"/>
    <n v="3029.5"/>
    <n v="10906.2"/>
  </r>
  <r>
    <x v="0"/>
    <x v="0"/>
    <x v="0"/>
    <x v="0"/>
    <x v="0"/>
    <s v="DK1_MedSmall"/>
    <x v="2"/>
    <s v="GNR_GEO_HEAT_HO"/>
    <x v="0"/>
    <x v="15"/>
    <n v="8.3000000000000007"/>
    <n v="3029.5"/>
    <n v="10906.2"/>
  </r>
  <r>
    <x v="0"/>
    <x v="0"/>
    <x v="0"/>
    <x v="0"/>
    <x v="0"/>
    <s v="DK1_MedSmall"/>
    <x v="2"/>
    <s v="GNR_GEO_HEAT_HO"/>
    <x v="0"/>
    <x v="16"/>
    <n v="8.3000000000000007"/>
    <n v="3029.5"/>
    <n v="10906.2"/>
  </r>
  <r>
    <x v="0"/>
    <x v="0"/>
    <x v="0"/>
    <x v="0"/>
    <x v="0"/>
    <s v="DK1_MedSmall"/>
    <x v="2"/>
    <s v="GNR_GEO_HEAT_HO"/>
    <x v="0"/>
    <x v="17"/>
    <n v="8.3000000000000007"/>
    <n v="3029.5"/>
    <n v="10906.2"/>
  </r>
  <r>
    <x v="0"/>
    <x v="0"/>
    <x v="0"/>
    <x v="0"/>
    <x v="0"/>
    <s v="DK1_MedSmall"/>
    <x v="2"/>
    <s v="GNR_GEO_HEAT_HO"/>
    <x v="0"/>
    <x v="18"/>
    <n v="8.3000000000000007"/>
    <n v="3029.5"/>
    <n v="10906.2"/>
  </r>
  <r>
    <x v="0"/>
    <x v="0"/>
    <x v="0"/>
    <x v="0"/>
    <x v="0"/>
    <s v="DK1_MedSmall"/>
    <x v="2"/>
    <s v="GNR_GEO_HEAT_HO"/>
    <x v="0"/>
    <x v="19"/>
    <n v="8.3000000000000007"/>
    <n v="3029.5"/>
    <n v="10906.2"/>
  </r>
  <r>
    <x v="0"/>
    <x v="0"/>
    <x v="0"/>
    <x v="0"/>
    <x v="0"/>
    <s v="DK1_MedSmall"/>
    <x v="2"/>
    <s v="GNR_GEO_HEAT_HO"/>
    <x v="0"/>
    <x v="20"/>
    <n v="8.3000000000000007"/>
    <n v="3029.5"/>
    <n v="10906.2"/>
  </r>
  <r>
    <x v="0"/>
    <x v="0"/>
    <x v="0"/>
    <x v="0"/>
    <x v="0"/>
    <s v="DK1_MedSmall"/>
    <x v="2"/>
    <s v="GNR_GEO_HEAT_HO"/>
    <x v="0"/>
    <x v="21"/>
    <n v="8.3000000000000007"/>
    <n v="3029.5"/>
    <n v="10906.2"/>
  </r>
  <r>
    <x v="0"/>
    <x v="0"/>
    <x v="0"/>
    <x v="0"/>
    <x v="0"/>
    <s v="DK1_MedSmall"/>
    <x v="2"/>
    <s v="GNR_GEO_HEAT_HO"/>
    <x v="0"/>
    <x v="22"/>
    <n v="8.3000000000000007"/>
    <n v="3029.5"/>
    <n v="10906.2"/>
  </r>
  <r>
    <x v="0"/>
    <x v="0"/>
    <x v="0"/>
    <x v="0"/>
    <x v="0"/>
    <s v="DK1_MedSmall"/>
    <x v="2"/>
    <s v="GNR_GEO_HEAT_HO"/>
    <x v="0"/>
    <x v="23"/>
    <n v="8.3000000000000007"/>
    <n v="3029.5"/>
    <n v="10906.2"/>
  </r>
  <r>
    <x v="0"/>
    <x v="0"/>
    <x v="0"/>
    <x v="0"/>
    <x v="0"/>
    <s v="DK1_MedSmall"/>
    <x v="6"/>
    <s v="GNR_BO_WOODCHI_E-100"/>
    <x v="0"/>
    <x v="0"/>
    <n v="2.1"/>
    <n v="766.5"/>
    <n v="2759.4"/>
  </r>
  <r>
    <x v="0"/>
    <x v="0"/>
    <x v="0"/>
    <x v="0"/>
    <x v="0"/>
    <s v="DK1_MedSmall"/>
    <x v="6"/>
    <s v="GNR_BO_WOODCHI_E-100"/>
    <x v="0"/>
    <x v="1"/>
    <n v="2.1"/>
    <n v="766.5"/>
    <n v="2759.4"/>
  </r>
  <r>
    <x v="0"/>
    <x v="0"/>
    <x v="0"/>
    <x v="0"/>
    <x v="0"/>
    <s v="DK1_MedSmall"/>
    <x v="6"/>
    <s v="GNR_BO_WOODCHI_E-100"/>
    <x v="0"/>
    <x v="2"/>
    <n v="2.1"/>
    <n v="766.5"/>
    <n v="2759.4"/>
  </r>
  <r>
    <x v="0"/>
    <x v="0"/>
    <x v="0"/>
    <x v="0"/>
    <x v="0"/>
    <s v="DK1_MedSmall"/>
    <x v="6"/>
    <s v="GNR_BO_WOODCHI_E-100"/>
    <x v="0"/>
    <x v="3"/>
    <n v="2.1"/>
    <n v="766.5"/>
    <n v="2759.4"/>
  </r>
  <r>
    <x v="0"/>
    <x v="0"/>
    <x v="0"/>
    <x v="0"/>
    <x v="0"/>
    <s v="DK1_MedSmall"/>
    <x v="6"/>
    <s v="GNR_BO_WOODCHI_E-100"/>
    <x v="0"/>
    <x v="4"/>
    <n v="2.1"/>
    <n v="766.5"/>
    <n v="2759.4"/>
  </r>
  <r>
    <x v="0"/>
    <x v="0"/>
    <x v="0"/>
    <x v="0"/>
    <x v="0"/>
    <s v="DK1_MedSmall"/>
    <x v="6"/>
    <s v="GNR_BO_WOODCHI_E-100"/>
    <x v="0"/>
    <x v="5"/>
    <n v="2.1"/>
    <n v="766.5"/>
    <n v="2759.4"/>
  </r>
  <r>
    <x v="0"/>
    <x v="0"/>
    <x v="0"/>
    <x v="0"/>
    <x v="0"/>
    <s v="DK1_MedSmall"/>
    <x v="6"/>
    <s v="GNR_BO_WOODCHI_E-100"/>
    <x v="0"/>
    <x v="6"/>
    <n v="2.1"/>
    <n v="766.5"/>
    <n v="2759.4"/>
  </r>
  <r>
    <x v="0"/>
    <x v="0"/>
    <x v="0"/>
    <x v="0"/>
    <x v="0"/>
    <s v="DK1_MedSmall"/>
    <x v="6"/>
    <s v="GNR_BO_WOODCHI_E-100"/>
    <x v="0"/>
    <x v="7"/>
    <n v="2.1"/>
    <n v="766.5"/>
    <n v="2759.4"/>
  </r>
  <r>
    <x v="0"/>
    <x v="0"/>
    <x v="0"/>
    <x v="0"/>
    <x v="0"/>
    <s v="DK1_MedSmall"/>
    <x v="6"/>
    <s v="GNR_BO_WOODCHI_E-100"/>
    <x v="0"/>
    <x v="8"/>
    <n v="2.1"/>
    <n v="766.5"/>
    <n v="2759.4"/>
  </r>
  <r>
    <x v="0"/>
    <x v="0"/>
    <x v="0"/>
    <x v="0"/>
    <x v="0"/>
    <s v="DK1_MedSmall"/>
    <x v="6"/>
    <s v="GNR_BO_WOODCHI_E-100"/>
    <x v="0"/>
    <x v="9"/>
    <n v="2.1"/>
    <n v="766.5"/>
    <n v="2759.4"/>
  </r>
  <r>
    <x v="0"/>
    <x v="0"/>
    <x v="0"/>
    <x v="0"/>
    <x v="0"/>
    <s v="DK1_MedSmall"/>
    <x v="6"/>
    <s v="GNR_BO_WOODCHI_E-100"/>
    <x v="0"/>
    <x v="10"/>
    <n v="2.1"/>
    <n v="766.5"/>
    <n v="2759.4"/>
  </r>
  <r>
    <x v="0"/>
    <x v="0"/>
    <x v="0"/>
    <x v="0"/>
    <x v="0"/>
    <s v="DK1_MedSmall"/>
    <x v="6"/>
    <s v="GNR_BO_WOODCHI_E-100"/>
    <x v="0"/>
    <x v="11"/>
    <n v="2.1"/>
    <n v="766.5"/>
    <n v="2759.4"/>
  </r>
  <r>
    <x v="0"/>
    <x v="0"/>
    <x v="0"/>
    <x v="0"/>
    <x v="0"/>
    <s v="DK1_MedSmall"/>
    <x v="6"/>
    <s v="GNR_BO_WOODCHI_E-100"/>
    <x v="0"/>
    <x v="12"/>
    <n v="2.1"/>
    <n v="766.5"/>
    <n v="2759.4"/>
  </r>
  <r>
    <x v="0"/>
    <x v="0"/>
    <x v="0"/>
    <x v="0"/>
    <x v="0"/>
    <s v="DK1_MedSmall"/>
    <x v="6"/>
    <s v="GNR_BO_WOODCHI_E-100"/>
    <x v="0"/>
    <x v="13"/>
    <n v="2.1"/>
    <n v="766.5"/>
    <n v="2759.4"/>
  </r>
  <r>
    <x v="0"/>
    <x v="0"/>
    <x v="0"/>
    <x v="0"/>
    <x v="0"/>
    <s v="DK1_MedSmall"/>
    <x v="6"/>
    <s v="GNR_BO_WOODCHI_E-100"/>
    <x v="0"/>
    <x v="14"/>
    <n v="2.1"/>
    <n v="766.5"/>
    <n v="2759.4"/>
  </r>
  <r>
    <x v="0"/>
    <x v="0"/>
    <x v="0"/>
    <x v="0"/>
    <x v="0"/>
    <s v="DK1_MedSmall"/>
    <x v="6"/>
    <s v="GNR_BO_WOODCHI_E-100"/>
    <x v="0"/>
    <x v="15"/>
    <n v="2.1"/>
    <n v="766.5"/>
    <n v="2759.4"/>
  </r>
  <r>
    <x v="0"/>
    <x v="0"/>
    <x v="0"/>
    <x v="0"/>
    <x v="0"/>
    <s v="DK1_MedSmall"/>
    <x v="6"/>
    <s v="GNR_BO_WOODCHI_E-100"/>
    <x v="0"/>
    <x v="16"/>
    <n v="2.1"/>
    <n v="766.5"/>
    <n v="2759.4"/>
  </r>
  <r>
    <x v="0"/>
    <x v="0"/>
    <x v="0"/>
    <x v="0"/>
    <x v="0"/>
    <s v="DK1_MedSmall"/>
    <x v="6"/>
    <s v="GNR_BO_WOODCHI_E-100"/>
    <x v="0"/>
    <x v="17"/>
    <n v="2.1"/>
    <n v="766.5"/>
    <n v="2759.4"/>
  </r>
  <r>
    <x v="0"/>
    <x v="0"/>
    <x v="0"/>
    <x v="0"/>
    <x v="0"/>
    <s v="DK1_MedSmall"/>
    <x v="6"/>
    <s v="GNR_BO_WOODCHI_E-100"/>
    <x v="0"/>
    <x v="18"/>
    <n v="2.1"/>
    <n v="766.5"/>
    <n v="2759.4"/>
  </r>
  <r>
    <x v="0"/>
    <x v="0"/>
    <x v="0"/>
    <x v="0"/>
    <x v="0"/>
    <s v="DK1_MedSmall"/>
    <x v="6"/>
    <s v="GNR_BO_WOODCHI_E-100"/>
    <x v="0"/>
    <x v="19"/>
    <n v="2.1"/>
    <n v="766.5"/>
    <n v="2759.4"/>
  </r>
  <r>
    <x v="0"/>
    <x v="0"/>
    <x v="0"/>
    <x v="0"/>
    <x v="0"/>
    <s v="DK1_MedSmall"/>
    <x v="6"/>
    <s v="GNR_BO_WOODCHI_E-100"/>
    <x v="0"/>
    <x v="20"/>
    <n v="2.1"/>
    <n v="766.5"/>
    <n v="2759.4"/>
  </r>
  <r>
    <x v="0"/>
    <x v="0"/>
    <x v="0"/>
    <x v="0"/>
    <x v="0"/>
    <s v="DK1_MedSmall"/>
    <x v="6"/>
    <s v="GNR_BO_WOODCHI_E-100"/>
    <x v="0"/>
    <x v="21"/>
    <n v="2.1"/>
    <n v="766.5"/>
    <n v="2759.4"/>
  </r>
  <r>
    <x v="0"/>
    <x v="0"/>
    <x v="0"/>
    <x v="0"/>
    <x v="0"/>
    <s v="DK1_MedSmall"/>
    <x v="6"/>
    <s v="GNR_BO_WOODCHI_E-100"/>
    <x v="0"/>
    <x v="22"/>
    <n v="2.1"/>
    <n v="766.5"/>
    <n v="2759.4"/>
  </r>
  <r>
    <x v="0"/>
    <x v="0"/>
    <x v="0"/>
    <x v="0"/>
    <x v="0"/>
    <s v="DK1_MedSmall"/>
    <x v="6"/>
    <s v="GNR_BO_WOODCHI_E-100"/>
    <x v="0"/>
    <x v="23"/>
    <n v="2.1"/>
    <n v="766.5"/>
    <n v="2759.4"/>
  </r>
  <r>
    <x v="0"/>
    <x v="0"/>
    <x v="0"/>
    <x v="0"/>
    <x v="0"/>
    <s v="DK1_MedSmall"/>
    <x v="6"/>
    <s v="GNR_BO_WOODCHI_E-110"/>
    <x v="0"/>
    <x v="0"/>
    <n v="17"/>
    <n v="6205"/>
    <n v="22338"/>
  </r>
  <r>
    <x v="0"/>
    <x v="0"/>
    <x v="0"/>
    <x v="0"/>
    <x v="0"/>
    <s v="DK1_MedSmall"/>
    <x v="6"/>
    <s v="GNR_BO_WOODCHI_E-110"/>
    <x v="0"/>
    <x v="1"/>
    <n v="17"/>
    <n v="6205"/>
    <n v="22338"/>
  </r>
  <r>
    <x v="0"/>
    <x v="0"/>
    <x v="0"/>
    <x v="0"/>
    <x v="0"/>
    <s v="DK1_MedSmall"/>
    <x v="6"/>
    <s v="GNR_BO_WOODCHI_E-110"/>
    <x v="0"/>
    <x v="2"/>
    <n v="17"/>
    <n v="6205"/>
    <n v="22338"/>
  </r>
  <r>
    <x v="0"/>
    <x v="0"/>
    <x v="0"/>
    <x v="0"/>
    <x v="0"/>
    <s v="DK1_MedSmall"/>
    <x v="6"/>
    <s v="GNR_BO_WOODCHI_E-110"/>
    <x v="0"/>
    <x v="3"/>
    <n v="17"/>
    <n v="6205"/>
    <n v="22338"/>
  </r>
  <r>
    <x v="0"/>
    <x v="0"/>
    <x v="0"/>
    <x v="0"/>
    <x v="0"/>
    <s v="DK1_MedSmall"/>
    <x v="6"/>
    <s v="GNR_BO_WOODCHI_E-110"/>
    <x v="0"/>
    <x v="4"/>
    <n v="17"/>
    <n v="6205"/>
    <n v="22338"/>
  </r>
  <r>
    <x v="0"/>
    <x v="0"/>
    <x v="0"/>
    <x v="0"/>
    <x v="0"/>
    <s v="DK1_MedSmall"/>
    <x v="6"/>
    <s v="GNR_BO_WOODCHI_E-110"/>
    <x v="0"/>
    <x v="5"/>
    <n v="17"/>
    <n v="6205"/>
    <n v="22338"/>
  </r>
  <r>
    <x v="0"/>
    <x v="0"/>
    <x v="0"/>
    <x v="0"/>
    <x v="0"/>
    <s v="DK1_MedSmall"/>
    <x v="6"/>
    <s v="GNR_BO_WOODCHI_E-110"/>
    <x v="0"/>
    <x v="6"/>
    <n v="17"/>
    <n v="6205"/>
    <n v="22338"/>
  </r>
  <r>
    <x v="0"/>
    <x v="0"/>
    <x v="0"/>
    <x v="0"/>
    <x v="0"/>
    <s v="DK1_MedSmall"/>
    <x v="6"/>
    <s v="GNR_BO_WOODCHI_E-110"/>
    <x v="0"/>
    <x v="7"/>
    <n v="17"/>
    <n v="6205"/>
    <n v="22338"/>
  </r>
  <r>
    <x v="0"/>
    <x v="0"/>
    <x v="0"/>
    <x v="0"/>
    <x v="0"/>
    <s v="DK1_MedSmall"/>
    <x v="6"/>
    <s v="GNR_BO_WOODCHI_E-110"/>
    <x v="0"/>
    <x v="8"/>
    <n v="17"/>
    <n v="6205"/>
    <n v="22338"/>
  </r>
  <r>
    <x v="0"/>
    <x v="0"/>
    <x v="0"/>
    <x v="0"/>
    <x v="0"/>
    <s v="DK1_MedSmall"/>
    <x v="6"/>
    <s v="GNR_BO_WOODCHI_E-110"/>
    <x v="0"/>
    <x v="9"/>
    <n v="17"/>
    <n v="6205"/>
    <n v="22338"/>
  </r>
  <r>
    <x v="0"/>
    <x v="0"/>
    <x v="0"/>
    <x v="0"/>
    <x v="0"/>
    <s v="DK1_MedSmall"/>
    <x v="6"/>
    <s v="GNR_BO_WOODCHI_E-110"/>
    <x v="0"/>
    <x v="10"/>
    <n v="17"/>
    <n v="6205"/>
    <n v="22338"/>
  </r>
  <r>
    <x v="0"/>
    <x v="0"/>
    <x v="0"/>
    <x v="0"/>
    <x v="0"/>
    <s v="DK1_MedSmall"/>
    <x v="6"/>
    <s v="GNR_BO_WOODCHI_E-110"/>
    <x v="0"/>
    <x v="11"/>
    <n v="17"/>
    <n v="6205"/>
    <n v="22338"/>
  </r>
  <r>
    <x v="0"/>
    <x v="0"/>
    <x v="0"/>
    <x v="0"/>
    <x v="0"/>
    <s v="DK1_MedSmall"/>
    <x v="6"/>
    <s v="GNR_BO_WOODCHI_E-110"/>
    <x v="0"/>
    <x v="12"/>
    <n v="17"/>
    <n v="6205"/>
    <n v="22338"/>
  </r>
  <r>
    <x v="0"/>
    <x v="0"/>
    <x v="0"/>
    <x v="0"/>
    <x v="0"/>
    <s v="DK1_MedSmall"/>
    <x v="6"/>
    <s v="GNR_BO_WOODCHI_E-110"/>
    <x v="0"/>
    <x v="13"/>
    <n v="17"/>
    <n v="6205"/>
    <n v="22338"/>
  </r>
  <r>
    <x v="0"/>
    <x v="0"/>
    <x v="0"/>
    <x v="0"/>
    <x v="0"/>
    <s v="DK1_MedSmall"/>
    <x v="6"/>
    <s v="GNR_BO_WOODCHI_E-110"/>
    <x v="0"/>
    <x v="14"/>
    <n v="17"/>
    <n v="6205"/>
    <n v="22338"/>
  </r>
  <r>
    <x v="0"/>
    <x v="0"/>
    <x v="0"/>
    <x v="0"/>
    <x v="0"/>
    <s v="DK1_MedSmall"/>
    <x v="6"/>
    <s v="GNR_BO_WOODCHI_E-110"/>
    <x v="0"/>
    <x v="15"/>
    <n v="17"/>
    <n v="6205"/>
    <n v="22338"/>
  </r>
  <r>
    <x v="0"/>
    <x v="0"/>
    <x v="0"/>
    <x v="0"/>
    <x v="0"/>
    <s v="DK1_MedSmall"/>
    <x v="6"/>
    <s v="GNR_BO_WOODCHI_E-110"/>
    <x v="0"/>
    <x v="16"/>
    <n v="17"/>
    <n v="6205"/>
    <n v="22338"/>
  </r>
  <r>
    <x v="0"/>
    <x v="0"/>
    <x v="0"/>
    <x v="0"/>
    <x v="0"/>
    <s v="DK1_MedSmall"/>
    <x v="6"/>
    <s v="GNR_BO_WOODCHI_E-110"/>
    <x v="0"/>
    <x v="17"/>
    <n v="17"/>
    <n v="6205"/>
    <n v="22338"/>
  </r>
  <r>
    <x v="0"/>
    <x v="0"/>
    <x v="0"/>
    <x v="0"/>
    <x v="0"/>
    <s v="DK1_MedSmall"/>
    <x v="6"/>
    <s v="GNR_BO_WOODCHI_E-110"/>
    <x v="0"/>
    <x v="18"/>
    <n v="17"/>
    <n v="6205"/>
    <n v="22338"/>
  </r>
  <r>
    <x v="0"/>
    <x v="0"/>
    <x v="0"/>
    <x v="0"/>
    <x v="0"/>
    <s v="DK1_MedSmall"/>
    <x v="6"/>
    <s v="GNR_BO_WOODCHI_E-110"/>
    <x v="0"/>
    <x v="19"/>
    <n v="17"/>
    <n v="6205"/>
    <n v="22338"/>
  </r>
  <r>
    <x v="0"/>
    <x v="0"/>
    <x v="0"/>
    <x v="0"/>
    <x v="0"/>
    <s v="DK1_MedSmall"/>
    <x v="6"/>
    <s v="GNR_BO_WOODCHI_E-110"/>
    <x v="0"/>
    <x v="20"/>
    <n v="17"/>
    <n v="6205"/>
    <n v="22338"/>
  </r>
  <r>
    <x v="0"/>
    <x v="0"/>
    <x v="0"/>
    <x v="0"/>
    <x v="0"/>
    <s v="DK1_MedSmall"/>
    <x v="6"/>
    <s v="GNR_BO_WOODCHI_E-110"/>
    <x v="0"/>
    <x v="21"/>
    <n v="17"/>
    <n v="6205"/>
    <n v="22338"/>
  </r>
  <r>
    <x v="0"/>
    <x v="0"/>
    <x v="0"/>
    <x v="0"/>
    <x v="0"/>
    <s v="DK1_MedSmall"/>
    <x v="6"/>
    <s v="GNR_BO_WOODCHI_E-110"/>
    <x v="0"/>
    <x v="22"/>
    <n v="17"/>
    <n v="6205"/>
    <n v="22338"/>
  </r>
  <r>
    <x v="0"/>
    <x v="0"/>
    <x v="0"/>
    <x v="0"/>
    <x v="0"/>
    <s v="DK1_MedSmall"/>
    <x v="6"/>
    <s v="GNR_BO_WOODCHI_E-110"/>
    <x v="0"/>
    <x v="23"/>
    <n v="17"/>
    <n v="6205"/>
    <n v="22338"/>
  </r>
  <r>
    <x v="0"/>
    <x v="0"/>
    <x v="0"/>
    <x v="0"/>
    <x v="0"/>
    <s v="DK1_Medium"/>
    <x v="3"/>
    <s v="GNR_BO_ELEC_E-100"/>
    <x v="0"/>
    <x v="0"/>
    <n v="13.450731334714201"/>
    <n v="4909.5169371706797"/>
    <n v="17674.260973814398"/>
  </r>
  <r>
    <x v="0"/>
    <x v="0"/>
    <x v="0"/>
    <x v="0"/>
    <x v="0"/>
    <s v="DK1_Medium"/>
    <x v="3"/>
    <s v="GNR_BO_ELEC_E-100"/>
    <x v="0"/>
    <x v="1"/>
    <n v="9.4181286225466501"/>
    <n v="3437.6169472295301"/>
    <n v="12375.421010026301"/>
  </r>
  <r>
    <x v="0"/>
    <x v="0"/>
    <x v="0"/>
    <x v="0"/>
    <x v="0"/>
    <s v="DK1_Medium"/>
    <x v="3"/>
    <s v="GNR_BO_ELEC_E-100"/>
    <x v="0"/>
    <x v="2"/>
    <n v="6.4608866336237698"/>
    <n v="2358.2236212726798"/>
    <n v="8489.6050365816409"/>
  </r>
  <r>
    <x v="0"/>
    <x v="0"/>
    <x v="0"/>
    <x v="0"/>
    <x v="0"/>
    <s v="DK1_Medium"/>
    <x v="3"/>
    <s v="GNR_BO_ELEC_E-100"/>
    <x v="0"/>
    <x v="3"/>
    <n v="8.6116080801131698"/>
    <n v="3143.23694924131"/>
    <n v="11315.6530172687"/>
  </r>
  <r>
    <x v="0"/>
    <x v="0"/>
    <x v="0"/>
    <x v="0"/>
    <x v="0"/>
    <s v="DK1_Medium"/>
    <x v="3"/>
    <s v="GNR_BO_ELEC_E-100"/>
    <x v="0"/>
    <x v="4"/>
    <n v="19.0963751317488"/>
    <n v="6970.1769230883101"/>
    <n v="25092.636923117901"/>
  </r>
  <r>
    <x v="0"/>
    <x v="0"/>
    <x v="0"/>
    <x v="0"/>
    <x v="0"/>
    <s v="DK1_Medium"/>
    <x v="3"/>
    <s v="GNR_BO_ELEC_E-100"/>
    <x v="0"/>
    <x v="5"/>
    <n v="26.892740375272702"/>
    <n v="9815.8502369745293"/>
    <n v="35337.060853108298"/>
  </r>
  <r>
    <x v="0"/>
    <x v="0"/>
    <x v="0"/>
    <x v="0"/>
    <x v="0"/>
    <s v="DK1_Medium"/>
    <x v="3"/>
    <s v="GNR_BO_ELEC_E-100"/>
    <x v="0"/>
    <x v="6"/>
    <n v="30"/>
    <n v="10950"/>
    <n v="39420"/>
  </r>
  <r>
    <x v="0"/>
    <x v="0"/>
    <x v="0"/>
    <x v="0"/>
    <x v="0"/>
    <s v="DK1_Medium"/>
    <x v="3"/>
    <s v="GNR_BO_ELEC_E-100"/>
    <x v="0"/>
    <x v="7"/>
    <n v="30"/>
    <n v="10950"/>
    <n v="39420"/>
  </r>
  <r>
    <x v="0"/>
    <x v="0"/>
    <x v="0"/>
    <x v="0"/>
    <x v="0"/>
    <s v="DK1_Medium"/>
    <x v="3"/>
    <s v="GNR_BO_ELEC_E-100"/>
    <x v="0"/>
    <x v="8"/>
    <n v="30"/>
    <n v="10950"/>
    <n v="39420"/>
  </r>
  <r>
    <x v="0"/>
    <x v="0"/>
    <x v="0"/>
    <x v="0"/>
    <x v="0"/>
    <s v="DK1_Medium"/>
    <x v="3"/>
    <s v="GNR_BO_ELEC_E-100"/>
    <x v="0"/>
    <x v="9"/>
    <n v="30"/>
    <n v="10950"/>
    <n v="39420"/>
  </r>
  <r>
    <x v="0"/>
    <x v="0"/>
    <x v="0"/>
    <x v="0"/>
    <x v="0"/>
    <s v="DK1_Medium"/>
    <x v="3"/>
    <s v="GNR_BO_ELEC_E-100"/>
    <x v="0"/>
    <x v="10"/>
    <n v="30"/>
    <n v="10950"/>
    <n v="39420"/>
  </r>
  <r>
    <x v="0"/>
    <x v="0"/>
    <x v="0"/>
    <x v="0"/>
    <x v="0"/>
    <s v="DK1_Medium"/>
    <x v="3"/>
    <s v="GNR_BO_ELEC_E-100"/>
    <x v="0"/>
    <x v="11"/>
    <n v="30"/>
    <n v="10950"/>
    <n v="39420"/>
  </r>
  <r>
    <x v="0"/>
    <x v="0"/>
    <x v="0"/>
    <x v="0"/>
    <x v="0"/>
    <s v="DK1_Medium"/>
    <x v="3"/>
    <s v="GNR_BO_ELEC_E-100"/>
    <x v="0"/>
    <x v="12"/>
    <n v="30"/>
    <n v="10950"/>
    <n v="39420"/>
  </r>
  <r>
    <x v="0"/>
    <x v="0"/>
    <x v="0"/>
    <x v="0"/>
    <x v="0"/>
    <s v="DK1_Medium"/>
    <x v="3"/>
    <s v="GNR_BO_ELEC_E-100"/>
    <x v="0"/>
    <x v="13"/>
    <n v="30"/>
    <n v="10950"/>
    <n v="39420"/>
  </r>
  <r>
    <x v="0"/>
    <x v="0"/>
    <x v="0"/>
    <x v="0"/>
    <x v="0"/>
    <s v="DK1_Medium"/>
    <x v="3"/>
    <s v="GNR_BO_ELEC_E-100"/>
    <x v="0"/>
    <x v="14"/>
    <n v="30"/>
    <n v="10950"/>
    <n v="39420"/>
  </r>
  <r>
    <x v="0"/>
    <x v="0"/>
    <x v="0"/>
    <x v="0"/>
    <x v="0"/>
    <s v="DK1_Medium"/>
    <x v="3"/>
    <s v="GNR_BO_ELEC_E-100"/>
    <x v="0"/>
    <x v="15"/>
    <n v="30"/>
    <n v="10950"/>
    <n v="39420"/>
  </r>
  <r>
    <x v="0"/>
    <x v="0"/>
    <x v="0"/>
    <x v="0"/>
    <x v="0"/>
    <s v="DK1_Medium"/>
    <x v="3"/>
    <s v="GNR_BO_ELEC_E-100"/>
    <x v="0"/>
    <x v="16"/>
    <n v="30"/>
    <n v="10950"/>
    <n v="39420"/>
  </r>
  <r>
    <x v="0"/>
    <x v="0"/>
    <x v="0"/>
    <x v="0"/>
    <x v="0"/>
    <s v="DK1_Medium"/>
    <x v="3"/>
    <s v="GNR_BO_ELEC_E-100"/>
    <x v="0"/>
    <x v="17"/>
    <n v="24.4622703012115"/>
    <n v="8928.7286599422096"/>
    <n v="32143.423175791999"/>
  </r>
  <r>
    <x v="0"/>
    <x v="0"/>
    <x v="0"/>
    <x v="0"/>
    <x v="0"/>
    <s v="DK1_Medium"/>
    <x v="3"/>
    <s v="GNR_BO_ELEC_E-100"/>
    <x v="0"/>
    <x v="22"/>
    <n v="30"/>
    <n v="10950"/>
    <n v="39420"/>
  </r>
  <r>
    <x v="0"/>
    <x v="0"/>
    <x v="0"/>
    <x v="0"/>
    <x v="0"/>
    <s v="DK1_Medium"/>
    <x v="3"/>
    <s v="GNR_BO_ELEC_E-100"/>
    <x v="0"/>
    <x v="23"/>
    <n v="30"/>
    <n v="10950"/>
    <n v="39420"/>
  </r>
  <r>
    <x v="0"/>
    <x v="0"/>
    <x v="0"/>
    <x v="0"/>
    <x v="0"/>
    <s v="DK1_Medium"/>
    <x v="1"/>
    <s v="GNR_BO_MSW_E-105"/>
    <x v="0"/>
    <x v="0"/>
    <n v="7"/>
    <n v="2555"/>
    <n v="9198"/>
  </r>
  <r>
    <x v="0"/>
    <x v="0"/>
    <x v="0"/>
    <x v="0"/>
    <x v="0"/>
    <s v="DK1_Medium"/>
    <x v="1"/>
    <s v="GNR_BO_MSW_E-105"/>
    <x v="0"/>
    <x v="1"/>
    <n v="7"/>
    <n v="2555"/>
    <n v="9198"/>
  </r>
  <r>
    <x v="0"/>
    <x v="0"/>
    <x v="0"/>
    <x v="0"/>
    <x v="0"/>
    <s v="DK1_Medium"/>
    <x v="1"/>
    <s v="GNR_BO_MSW_E-105"/>
    <x v="0"/>
    <x v="2"/>
    <n v="7"/>
    <n v="2555"/>
    <n v="9198"/>
  </r>
  <r>
    <x v="0"/>
    <x v="0"/>
    <x v="0"/>
    <x v="0"/>
    <x v="0"/>
    <s v="DK1_Medium"/>
    <x v="1"/>
    <s v="GNR_BO_MSW_E-105"/>
    <x v="0"/>
    <x v="3"/>
    <n v="7"/>
    <n v="2555"/>
    <n v="9198"/>
  </r>
  <r>
    <x v="0"/>
    <x v="0"/>
    <x v="0"/>
    <x v="0"/>
    <x v="0"/>
    <s v="DK1_Medium"/>
    <x v="1"/>
    <s v="GNR_BO_MSW_E-105"/>
    <x v="0"/>
    <x v="4"/>
    <n v="7"/>
    <n v="2555"/>
    <n v="9198"/>
  </r>
  <r>
    <x v="0"/>
    <x v="0"/>
    <x v="0"/>
    <x v="0"/>
    <x v="0"/>
    <s v="DK1_Medium"/>
    <x v="1"/>
    <s v="GNR_BO_MSW_E-105"/>
    <x v="0"/>
    <x v="5"/>
    <n v="7"/>
    <n v="2555"/>
    <n v="9198"/>
  </r>
  <r>
    <x v="0"/>
    <x v="0"/>
    <x v="0"/>
    <x v="0"/>
    <x v="0"/>
    <s v="DK1_Medium"/>
    <x v="1"/>
    <s v="GNR_BO_MSW_E-105"/>
    <x v="0"/>
    <x v="6"/>
    <n v="7"/>
    <n v="2555"/>
    <n v="9198"/>
  </r>
  <r>
    <x v="0"/>
    <x v="0"/>
    <x v="0"/>
    <x v="0"/>
    <x v="0"/>
    <s v="DK1_Medium"/>
    <x v="1"/>
    <s v="GNR_BO_MSW_E-105"/>
    <x v="0"/>
    <x v="7"/>
    <n v="7"/>
    <n v="2555"/>
    <n v="9198"/>
  </r>
  <r>
    <x v="0"/>
    <x v="0"/>
    <x v="0"/>
    <x v="0"/>
    <x v="0"/>
    <s v="DK1_Medium"/>
    <x v="1"/>
    <s v="GNR_BO_MSW_E-105"/>
    <x v="0"/>
    <x v="8"/>
    <n v="7"/>
    <n v="2555"/>
    <n v="9198"/>
  </r>
  <r>
    <x v="0"/>
    <x v="0"/>
    <x v="0"/>
    <x v="0"/>
    <x v="0"/>
    <s v="DK1_Medium"/>
    <x v="1"/>
    <s v="GNR_BO_MSW_E-105"/>
    <x v="0"/>
    <x v="9"/>
    <n v="7"/>
    <n v="2555"/>
    <n v="9198"/>
  </r>
  <r>
    <x v="0"/>
    <x v="0"/>
    <x v="0"/>
    <x v="0"/>
    <x v="0"/>
    <s v="DK1_Medium"/>
    <x v="1"/>
    <s v="GNR_BO_MSW_E-105"/>
    <x v="0"/>
    <x v="10"/>
    <n v="7"/>
    <n v="2555"/>
    <n v="9198"/>
  </r>
  <r>
    <x v="0"/>
    <x v="0"/>
    <x v="0"/>
    <x v="0"/>
    <x v="0"/>
    <s v="DK1_Medium"/>
    <x v="1"/>
    <s v="GNR_BO_MSW_E-105"/>
    <x v="0"/>
    <x v="11"/>
    <n v="7"/>
    <n v="2555"/>
    <n v="9198"/>
  </r>
  <r>
    <x v="0"/>
    <x v="0"/>
    <x v="0"/>
    <x v="0"/>
    <x v="0"/>
    <s v="DK1_Medium"/>
    <x v="1"/>
    <s v="GNR_BO_MSW_E-105"/>
    <x v="0"/>
    <x v="12"/>
    <n v="7"/>
    <n v="2555"/>
    <n v="9198"/>
  </r>
  <r>
    <x v="0"/>
    <x v="0"/>
    <x v="0"/>
    <x v="0"/>
    <x v="0"/>
    <s v="DK1_Medium"/>
    <x v="1"/>
    <s v="GNR_BO_MSW_E-105"/>
    <x v="0"/>
    <x v="13"/>
    <n v="7"/>
    <n v="2555"/>
    <n v="9198"/>
  </r>
  <r>
    <x v="0"/>
    <x v="0"/>
    <x v="0"/>
    <x v="0"/>
    <x v="0"/>
    <s v="DK1_Medium"/>
    <x v="1"/>
    <s v="GNR_BO_MSW_E-105"/>
    <x v="0"/>
    <x v="14"/>
    <n v="7"/>
    <n v="2555"/>
    <n v="9198"/>
  </r>
  <r>
    <x v="0"/>
    <x v="0"/>
    <x v="0"/>
    <x v="0"/>
    <x v="0"/>
    <s v="DK1_Medium"/>
    <x v="1"/>
    <s v="GNR_BO_MSW_E-105"/>
    <x v="0"/>
    <x v="15"/>
    <n v="7"/>
    <n v="2555"/>
    <n v="9198"/>
  </r>
  <r>
    <x v="0"/>
    <x v="0"/>
    <x v="0"/>
    <x v="0"/>
    <x v="0"/>
    <s v="DK1_Medium"/>
    <x v="1"/>
    <s v="GNR_BO_MSW_E-105"/>
    <x v="0"/>
    <x v="16"/>
    <n v="7"/>
    <n v="2555"/>
    <n v="9198"/>
  </r>
  <r>
    <x v="0"/>
    <x v="0"/>
    <x v="0"/>
    <x v="0"/>
    <x v="0"/>
    <s v="DK1_Medium"/>
    <x v="1"/>
    <s v="GNR_BO_MSW_E-105"/>
    <x v="0"/>
    <x v="17"/>
    <n v="7"/>
    <n v="2555"/>
    <n v="9198"/>
  </r>
  <r>
    <x v="0"/>
    <x v="0"/>
    <x v="0"/>
    <x v="0"/>
    <x v="0"/>
    <s v="DK1_Medium"/>
    <x v="1"/>
    <s v="GNR_BO_MSW_E-105"/>
    <x v="0"/>
    <x v="18"/>
    <n v="7"/>
    <n v="2555"/>
    <n v="9198"/>
  </r>
  <r>
    <x v="0"/>
    <x v="0"/>
    <x v="0"/>
    <x v="0"/>
    <x v="0"/>
    <s v="DK1_Medium"/>
    <x v="1"/>
    <s v="GNR_BO_MSW_E-105"/>
    <x v="0"/>
    <x v="19"/>
    <n v="7"/>
    <n v="2555"/>
    <n v="9198"/>
  </r>
  <r>
    <x v="0"/>
    <x v="0"/>
    <x v="0"/>
    <x v="0"/>
    <x v="0"/>
    <s v="DK1_Medium"/>
    <x v="1"/>
    <s v="GNR_BO_MSW_E-105"/>
    <x v="0"/>
    <x v="20"/>
    <n v="7"/>
    <n v="2555"/>
    <n v="9198"/>
  </r>
  <r>
    <x v="0"/>
    <x v="0"/>
    <x v="0"/>
    <x v="0"/>
    <x v="0"/>
    <s v="DK1_Medium"/>
    <x v="1"/>
    <s v="GNR_BO_MSW_E-105"/>
    <x v="0"/>
    <x v="21"/>
    <n v="7"/>
    <n v="2555"/>
    <n v="9198"/>
  </r>
  <r>
    <x v="0"/>
    <x v="0"/>
    <x v="0"/>
    <x v="0"/>
    <x v="0"/>
    <s v="DK1_Medium"/>
    <x v="1"/>
    <s v="GNR_BO_MSW_E-105"/>
    <x v="0"/>
    <x v="22"/>
    <n v="7"/>
    <n v="2555"/>
    <n v="9198"/>
  </r>
  <r>
    <x v="0"/>
    <x v="0"/>
    <x v="0"/>
    <x v="0"/>
    <x v="0"/>
    <s v="DK1_Medium"/>
    <x v="1"/>
    <s v="GNR_BO_MSW_E-105"/>
    <x v="0"/>
    <x v="23"/>
    <n v="7"/>
    <n v="2555"/>
    <n v="9198"/>
  </r>
  <r>
    <x v="0"/>
    <x v="0"/>
    <x v="0"/>
    <x v="0"/>
    <x v="0"/>
    <s v="DK1_Medium"/>
    <x v="1"/>
    <s v="GNR_ST_MSW_BP_E-22"/>
    <x v="0"/>
    <x v="6"/>
    <n v="46.090493463716797"/>
    <n v="16823.030114256599"/>
    <n v="60562.908411323901"/>
  </r>
  <r>
    <x v="0"/>
    <x v="0"/>
    <x v="0"/>
    <x v="0"/>
    <x v="0"/>
    <s v="DK1_Medium"/>
    <x v="1"/>
    <s v="GNR_ST_MSW_BP_E-22"/>
    <x v="0"/>
    <x v="7"/>
    <n v="93.1375251056716"/>
    <n v="33995.196663570103"/>
    <n v="122382.70798885199"/>
  </r>
  <r>
    <x v="0"/>
    <x v="0"/>
    <x v="0"/>
    <x v="0"/>
    <x v="0"/>
    <s v="DK1_Medium"/>
    <x v="1"/>
    <s v="GNR_ST_MSW_BP_E-22"/>
    <x v="0"/>
    <x v="8"/>
    <n v="104.428812699741"/>
    <n v="38116.516635405402"/>
    <n v="137219.459887459"/>
  </r>
  <r>
    <x v="0"/>
    <x v="0"/>
    <x v="0"/>
    <x v="0"/>
    <x v="0"/>
    <s v="DK1_Medium"/>
    <x v="1"/>
    <s v="GNR_ST_MSW_BP_E-22"/>
    <x v="0"/>
    <x v="9"/>
    <n v="110.343296677586"/>
    <n v="40275.303287319097"/>
    <n v="144991.091834349"/>
  </r>
  <r>
    <x v="0"/>
    <x v="0"/>
    <x v="0"/>
    <x v="0"/>
    <x v="0"/>
    <s v="DK1_Medium"/>
    <x v="1"/>
    <s v="GNR_ST_MSW_BP_E-22"/>
    <x v="0"/>
    <x v="10"/>
    <n v="108.730255592719"/>
    <n v="39686.543291342598"/>
    <n v="142871.555848833"/>
  </r>
  <r>
    <x v="0"/>
    <x v="0"/>
    <x v="0"/>
    <x v="0"/>
    <x v="0"/>
    <s v="DK1_Medium"/>
    <x v="1"/>
    <s v="GNR_ST_MSW_BP_E-22"/>
    <x v="0"/>
    <x v="11"/>
    <n v="108.999095773531"/>
    <n v="39784.669957338701"/>
    <n v="143224.811846419"/>
  </r>
  <r>
    <x v="0"/>
    <x v="0"/>
    <x v="0"/>
    <x v="0"/>
    <x v="0"/>
    <s v="DK1_Medium"/>
    <x v="1"/>
    <s v="GNR_ST_MSW_BP_E-22"/>
    <x v="0"/>
    <x v="12"/>
    <n v="106.04185378460799"/>
    <n v="38705.276631381799"/>
    <n v="139338.99587297501"/>
  </r>
  <r>
    <x v="0"/>
    <x v="0"/>
    <x v="0"/>
    <x v="0"/>
    <x v="0"/>
    <s v="DK1_Medium"/>
    <x v="1"/>
    <s v="GNR_ST_MSW_BP_E-22"/>
    <x v="0"/>
    <x v="13"/>
    <n v="94.2128858289162"/>
    <n v="34387.703327554402"/>
    <n v="123795.731979196"/>
  </r>
  <r>
    <x v="0"/>
    <x v="0"/>
    <x v="0"/>
    <x v="0"/>
    <x v="0"/>
    <s v="DK1_Medium"/>
    <x v="1"/>
    <s v="GNR_ST_MSW_BP_E-22"/>
    <x v="0"/>
    <x v="14"/>
    <n v="97.438967998650298"/>
    <n v="35565.2233195074"/>
    <n v="128034.80395022601"/>
  </r>
  <r>
    <x v="0"/>
    <x v="0"/>
    <x v="0"/>
    <x v="0"/>
    <x v="0"/>
    <s v="DK1_Medium"/>
    <x v="1"/>
    <s v="GNR_ST_MSW_BP_E-22"/>
    <x v="0"/>
    <x v="15"/>
    <n v="100.665050168384"/>
    <n v="36742.743311460297"/>
    <n v="132273.87592125699"/>
  </r>
  <r>
    <x v="0"/>
    <x v="0"/>
    <x v="0"/>
    <x v="0"/>
    <x v="0"/>
    <s v="DK1_Medium"/>
    <x v="1"/>
    <s v="GNR_ST_MSW_BP_E-22"/>
    <x v="0"/>
    <x v="16"/>
    <n v="106.848374327041"/>
    <n v="38999.656629370103"/>
    <n v="140398.76386573201"/>
  </r>
  <r>
    <x v="0"/>
    <x v="0"/>
    <x v="0"/>
    <x v="0"/>
    <x v="0"/>
    <s v="DK1_Medium"/>
    <x v="1"/>
    <s v="GNR_ST_MSW_BP_E-22"/>
    <x v="0"/>
    <x v="17"/>
    <n v="111.041903121774"/>
    <n v="40530.2946394475"/>
    <n v="145909.06070201099"/>
  </r>
  <r>
    <x v="0"/>
    <x v="0"/>
    <x v="0"/>
    <x v="0"/>
    <x v="0"/>
    <s v="DK1_Medium"/>
    <x v="1"/>
    <s v="GNR_ST_MSW_BP_E-22"/>
    <x v="0"/>
    <x v="18"/>
    <n v="136.57953414623"/>
    <n v="49851.529963374"/>
    <n v="179465.507868146"/>
  </r>
  <r>
    <x v="0"/>
    <x v="0"/>
    <x v="0"/>
    <x v="0"/>
    <x v="0"/>
    <s v="DK1_Medium"/>
    <x v="1"/>
    <s v="GNR_ST_MSW_BP_E-22"/>
    <x v="0"/>
    <x v="19"/>
    <n v="135.50417342298499"/>
    <n v="49459.023299389701"/>
    <n v="178052.483877803"/>
  </r>
  <r>
    <x v="0"/>
    <x v="0"/>
    <x v="0"/>
    <x v="0"/>
    <x v="0"/>
    <s v="DK1_Medium"/>
    <x v="1"/>
    <s v="GNR_ST_MSW_BP_E-22"/>
    <x v="0"/>
    <x v="20"/>
    <n v="129.58968944514001"/>
    <n v="47300.236647475998"/>
    <n v="170280.85193091299"/>
  </r>
  <r>
    <x v="0"/>
    <x v="0"/>
    <x v="0"/>
    <x v="0"/>
    <x v="0"/>
    <s v="DK1_Medium"/>
    <x v="1"/>
    <s v="GNR_ST_MSW_BP_E-22"/>
    <x v="0"/>
    <x v="21"/>
    <n v="93.565105216442902"/>
    <n v="34151.263404001598"/>
    <n v="122944.54825440601"/>
  </r>
  <r>
    <x v="0"/>
    <x v="0"/>
    <x v="0"/>
    <x v="0"/>
    <x v="0"/>
    <s v="DK1_Medium"/>
    <x v="1"/>
    <s v="GNR_ST_MSW_BP_E-22"/>
    <x v="0"/>
    <x v="22"/>
    <n v="60.876703408331103"/>
    <n v="22219.996744040898"/>
    <n v="79991.988278547098"/>
  </r>
  <r>
    <x v="0"/>
    <x v="0"/>
    <x v="0"/>
    <x v="0"/>
    <x v="0"/>
    <s v="DK1_Medium"/>
    <x v="1"/>
    <s v="GNR_ST_MSW_BP_E-22"/>
    <x v="0"/>
    <x v="23"/>
    <n v="54.155698888051901"/>
    <n v="19766.830094138899"/>
    <n v="71160.588338900197"/>
  </r>
  <r>
    <x v="0"/>
    <x v="0"/>
    <x v="0"/>
    <x v="0"/>
    <x v="0"/>
    <s v="DK1_Medium"/>
    <x v="5"/>
    <s v="GNR_BO_STRW_E-102"/>
    <x v="0"/>
    <x v="0"/>
    <n v="2.42"/>
    <n v="883.3"/>
    <n v="3179.88"/>
  </r>
  <r>
    <x v="0"/>
    <x v="0"/>
    <x v="0"/>
    <x v="0"/>
    <x v="0"/>
    <s v="DK1_Medium"/>
    <x v="5"/>
    <s v="GNR_BO_STRW_E-102"/>
    <x v="0"/>
    <x v="1"/>
    <n v="2.42"/>
    <n v="883.3"/>
    <n v="3179.88"/>
  </r>
  <r>
    <x v="0"/>
    <x v="0"/>
    <x v="0"/>
    <x v="0"/>
    <x v="0"/>
    <s v="DK1_Medium"/>
    <x v="5"/>
    <s v="GNR_BO_STRW_E-102"/>
    <x v="0"/>
    <x v="2"/>
    <n v="2.42"/>
    <n v="883.3"/>
    <n v="3179.88"/>
  </r>
  <r>
    <x v="0"/>
    <x v="0"/>
    <x v="0"/>
    <x v="0"/>
    <x v="0"/>
    <s v="DK1_Medium"/>
    <x v="5"/>
    <s v="GNR_BO_STRW_E-102"/>
    <x v="0"/>
    <x v="3"/>
    <n v="2.42"/>
    <n v="883.3"/>
    <n v="3179.88"/>
  </r>
  <r>
    <x v="0"/>
    <x v="0"/>
    <x v="0"/>
    <x v="0"/>
    <x v="0"/>
    <s v="DK1_Medium"/>
    <x v="5"/>
    <s v="GNR_BO_STRW_E-102"/>
    <x v="0"/>
    <x v="4"/>
    <n v="2.42"/>
    <n v="883.3"/>
    <n v="3179.88"/>
  </r>
  <r>
    <x v="0"/>
    <x v="0"/>
    <x v="0"/>
    <x v="0"/>
    <x v="0"/>
    <s v="DK1_Medium"/>
    <x v="5"/>
    <s v="GNR_BO_STRW_E-102"/>
    <x v="0"/>
    <x v="5"/>
    <n v="2.42"/>
    <n v="883.3"/>
    <n v="3179.88"/>
  </r>
  <r>
    <x v="0"/>
    <x v="0"/>
    <x v="0"/>
    <x v="0"/>
    <x v="0"/>
    <s v="DK1_Medium"/>
    <x v="5"/>
    <s v="GNR_BO_STRW_E-102"/>
    <x v="0"/>
    <x v="6"/>
    <n v="2.42"/>
    <n v="883.3"/>
    <n v="3179.88"/>
  </r>
  <r>
    <x v="0"/>
    <x v="0"/>
    <x v="0"/>
    <x v="0"/>
    <x v="0"/>
    <s v="DK1_Medium"/>
    <x v="5"/>
    <s v="GNR_BO_STRW_E-102"/>
    <x v="0"/>
    <x v="7"/>
    <n v="2.42"/>
    <n v="883.3"/>
    <n v="3179.88"/>
  </r>
  <r>
    <x v="0"/>
    <x v="0"/>
    <x v="0"/>
    <x v="0"/>
    <x v="0"/>
    <s v="DK1_Medium"/>
    <x v="5"/>
    <s v="GNR_BO_STRW_E-102"/>
    <x v="0"/>
    <x v="8"/>
    <n v="2.42"/>
    <n v="883.3"/>
    <n v="3179.88"/>
  </r>
  <r>
    <x v="0"/>
    <x v="0"/>
    <x v="0"/>
    <x v="0"/>
    <x v="0"/>
    <s v="DK1_Medium"/>
    <x v="5"/>
    <s v="GNR_BO_STRW_E-102"/>
    <x v="0"/>
    <x v="9"/>
    <n v="2.42"/>
    <n v="883.3"/>
    <n v="3179.88"/>
  </r>
  <r>
    <x v="0"/>
    <x v="0"/>
    <x v="0"/>
    <x v="0"/>
    <x v="0"/>
    <s v="DK1_Medium"/>
    <x v="5"/>
    <s v="GNR_BO_STRW_E-102"/>
    <x v="0"/>
    <x v="10"/>
    <n v="2.42"/>
    <n v="883.3"/>
    <n v="3179.88"/>
  </r>
  <r>
    <x v="0"/>
    <x v="0"/>
    <x v="0"/>
    <x v="0"/>
    <x v="0"/>
    <s v="DK1_Medium"/>
    <x v="5"/>
    <s v="GNR_BO_STRW_E-102"/>
    <x v="0"/>
    <x v="11"/>
    <n v="2.42"/>
    <n v="883.3"/>
    <n v="3179.88"/>
  </r>
  <r>
    <x v="0"/>
    <x v="0"/>
    <x v="0"/>
    <x v="0"/>
    <x v="0"/>
    <s v="DK1_Medium"/>
    <x v="5"/>
    <s v="GNR_BO_STRW_E-102"/>
    <x v="0"/>
    <x v="12"/>
    <n v="2.42"/>
    <n v="883.3"/>
    <n v="3179.88"/>
  </r>
  <r>
    <x v="0"/>
    <x v="0"/>
    <x v="0"/>
    <x v="0"/>
    <x v="0"/>
    <s v="DK1_Medium"/>
    <x v="5"/>
    <s v="GNR_BO_STRW_E-102"/>
    <x v="0"/>
    <x v="13"/>
    <n v="2.42"/>
    <n v="883.3"/>
    <n v="3179.88"/>
  </r>
  <r>
    <x v="0"/>
    <x v="0"/>
    <x v="0"/>
    <x v="0"/>
    <x v="0"/>
    <s v="DK1_Medium"/>
    <x v="5"/>
    <s v="GNR_BO_STRW_E-102"/>
    <x v="0"/>
    <x v="14"/>
    <n v="2.42"/>
    <n v="883.3"/>
    <n v="3179.88"/>
  </r>
  <r>
    <x v="0"/>
    <x v="0"/>
    <x v="0"/>
    <x v="0"/>
    <x v="0"/>
    <s v="DK1_Medium"/>
    <x v="5"/>
    <s v="GNR_BO_STRW_E-102"/>
    <x v="0"/>
    <x v="15"/>
    <n v="2.42"/>
    <n v="883.3"/>
    <n v="3179.88"/>
  </r>
  <r>
    <x v="0"/>
    <x v="0"/>
    <x v="0"/>
    <x v="0"/>
    <x v="0"/>
    <s v="DK1_Medium"/>
    <x v="5"/>
    <s v="GNR_BO_STRW_E-102"/>
    <x v="0"/>
    <x v="16"/>
    <n v="2.42"/>
    <n v="883.3"/>
    <n v="3179.88"/>
  </r>
  <r>
    <x v="0"/>
    <x v="0"/>
    <x v="0"/>
    <x v="0"/>
    <x v="0"/>
    <s v="DK1_Medium"/>
    <x v="5"/>
    <s v="GNR_BO_STRW_E-102"/>
    <x v="0"/>
    <x v="17"/>
    <n v="2.42"/>
    <n v="883.3"/>
    <n v="3179.88"/>
  </r>
  <r>
    <x v="0"/>
    <x v="0"/>
    <x v="0"/>
    <x v="0"/>
    <x v="0"/>
    <s v="DK1_Medium"/>
    <x v="5"/>
    <s v="GNR_BO_STRW_E-102"/>
    <x v="0"/>
    <x v="18"/>
    <n v="2.42"/>
    <n v="883.3"/>
    <n v="3179.88"/>
  </r>
  <r>
    <x v="0"/>
    <x v="0"/>
    <x v="0"/>
    <x v="0"/>
    <x v="0"/>
    <s v="DK1_Medium"/>
    <x v="5"/>
    <s v="GNR_BO_STRW_E-102"/>
    <x v="0"/>
    <x v="19"/>
    <n v="2.42"/>
    <n v="883.3"/>
    <n v="3179.88"/>
  </r>
  <r>
    <x v="0"/>
    <x v="0"/>
    <x v="0"/>
    <x v="0"/>
    <x v="0"/>
    <s v="DK1_Medium"/>
    <x v="5"/>
    <s v="GNR_BO_STRW_E-102"/>
    <x v="0"/>
    <x v="20"/>
    <n v="2.42"/>
    <n v="883.3"/>
    <n v="3179.88"/>
  </r>
  <r>
    <x v="0"/>
    <x v="0"/>
    <x v="0"/>
    <x v="0"/>
    <x v="0"/>
    <s v="DK1_Medium"/>
    <x v="5"/>
    <s v="GNR_BO_STRW_E-102"/>
    <x v="0"/>
    <x v="21"/>
    <n v="2.42"/>
    <n v="883.3"/>
    <n v="3179.88"/>
  </r>
  <r>
    <x v="0"/>
    <x v="0"/>
    <x v="0"/>
    <x v="0"/>
    <x v="0"/>
    <s v="DK1_Medium"/>
    <x v="5"/>
    <s v="GNR_BO_STRW_E-102"/>
    <x v="0"/>
    <x v="22"/>
    <n v="2.42"/>
    <n v="883.3"/>
    <n v="3179.88"/>
  </r>
  <r>
    <x v="0"/>
    <x v="0"/>
    <x v="0"/>
    <x v="0"/>
    <x v="0"/>
    <s v="DK1_Medium"/>
    <x v="5"/>
    <s v="GNR_BO_STRW_E-102"/>
    <x v="0"/>
    <x v="23"/>
    <n v="2.42"/>
    <n v="883.3"/>
    <n v="3179.88"/>
  </r>
  <r>
    <x v="0"/>
    <x v="0"/>
    <x v="0"/>
    <x v="0"/>
    <x v="0"/>
    <s v="DK1_Medium"/>
    <x v="2"/>
    <s v="GNR_GEO_HEAT_HO"/>
    <x v="0"/>
    <x v="0"/>
    <n v="10"/>
    <n v="3650"/>
    <n v="13140"/>
  </r>
  <r>
    <x v="0"/>
    <x v="0"/>
    <x v="0"/>
    <x v="0"/>
    <x v="0"/>
    <s v="DK1_Medium"/>
    <x v="2"/>
    <s v="GNR_GEO_HEAT_HO"/>
    <x v="0"/>
    <x v="1"/>
    <n v="10"/>
    <n v="3650"/>
    <n v="13140"/>
  </r>
  <r>
    <x v="0"/>
    <x v="0"/>
    <x v="0"/>
    <x v="0"/>
    <x v="0"/>
    <s v="DK1_Medium"/>
    <x v="2"/>
    <s v="GNR_GEO_HEAT_HO"/>
    <x v="0"/>
    <x v="2"/>
    <n v="10"/>
    <n v="3650"/>
    <n v="13140"/>
  </r>
  <r>
    <x v="0"/>
    <x v="0"/>
    <x v="0"/>
    <x v="0"/>
    <x v="0"/>
    <s v="DK1_Medium"/>
    <x v="2"/>
    <s v="GNR_GEO_HEAT_HO"/>
    <x v="0"/>
    <x v="3"/>
    <n v="10"/>
    <n v="3650"/>
    <n v="13140"/>
  </r>
  <r>
    <x v="0"/>
    <x v="0"/>
    <x v="0"/>
    <x v="0"/>
    <x v="0"/>
    <s v="DK1_Medium"/>
    <x v="2"/>
    <s v="GNR_GEO_HEAT_HO"/>
    <x v="0"/>
    <x v="4"/>
    <n v="10"/>
    <n v="3650"/>
    <n v="13140"/>
  </r>
  <r>
    <x v="0"/>
    <x v="0"/>
    <x v="0"/>
    <x v="0"/>
    <x v="0"/>
    <s v="DK1_Medium"/>
    <x v="2"/>
    <s v="GNR_GEO_HEAT_HO"/>
    <x v="0"/>
    <x v="5"/>
    <n v="10"/>
    <n v="3650"/>
    <n v="13140"/>
  </r>
  <r>
    <x v="0"/>
    <x v="0"/>
    <x v="0"/>
    <x v="0"/>
    <x v="0"/>
    <s v="DK1_Medium"/>
    <x v="2"/>
    <s v="GNR_GEO_HEAT_HO"/>
    <x v="0"/>
    <x v="6"/>
    <n v="10"/>
    <n v="3650"/>
    <n v="13140"/>
  </r>
  <r>
    <x v="0"/>
    <x v="0"/>
    <x v="0"/>
    <x v="0"/>
    <x v="0"/>
    <s v="DK1_Medium"/>
    <x v="2"/>
    <s v="GNR_GEO_HEAT_HO"/>
    <x v="0"/>
    <x v="7"/>
    <n v="10"/>
    <n v="3650"/>
    <n v="13140"/>
  </r>
  <r>
    <x v="0"/>
    <x v="0"/>
    <x v="0"/>
    <x v="0"/>
    <x v="0"/>
    <s v="DK1_Medium"/>
    <x v="2"/>
    <s v="GNR_GEO_HEAT_HO"/>
    <x v="0"/>
    <x v="8"/>
    <n v="10"/>
    <n v="3650"/>
    <n v="13140"/>
  </r>
  <r>
    <x v="0"/>
    <x v="0"/>
    <x v="0"/>
    <x v="0"/>
    <x v="0"/>
    <s v="DK1_Medium"/>
    <x v="2"/>
    <s v="GNR_GEO_HEAT_HO"/>
    <x v="0"/>
    <x v="9"/>
    <n v="10"/>
    <n v="3650"/>
    <n v="13140"/>
  </r>
  <r>
    <x v="0"/>
    <x v="0"/>
    <x v="0"/>
    <x v="0"/>
    <x v="0"/>
    <s v="DK1_Medium"/>
    <x v="2"/>
    <s v="GNR_GEO_HEAT_HO"/>
    <x v="0"/>
    <x v="10"/>
    <n v="10"/>
    <n v="3650"/>
    <n v="13140"/>
  </r>
  <r>
    <x v="0"/>
    <x v="0"/>
    <x v="0"/>
    <x v="0"/>
    <x v="0"/>
    <s v="DK1_Medium"/>
    <x v="2"/>
    <s v="GNR_GEO_HEAT_HO"/>
    <x v="0"/>
    <x v="11"/>
    <n v="10"/>
    <n v="3650"/>
    <n v="13140"/>
  </r>
  <r>
    <x v="0"/>
    <x v="0"/>
    <x v="0"/>
    <x v="0"/>
    <x v="0"/>
    <s v="DK1_Medium"/>
    <x v="2"/>
    <s v="GNR_GEO_HEAT_HO"/>
    <x v="0"/>
    <x v="12"/>
    <n v="10"/>
    <n v="3650"/>
    <n v="13140"/>
  </r>
  <r>
    <x v="0"/>
    <x v="0"/>
    <x v="0"/>
    <x v="0"/>
    <x v="0"/>
    <s v="DK1_Medium"/>
    <x v="2"/>
    <s v="GNR_GEO_HEAT_HO"/>
    <x v="0"/>
    <x v="13"/>
    <n v="10"/>
    <n v="3650"/>
    <n v="13140"/>
  </r>
  <r>
    <x v="0"/>
    <x v="0"/>
    <x v="0"/>
    <x v="0"/>
    <x v="0"/>
    <s v="DK1_Medium"/>
    <x v="2"/>
    <s v="GNR_GEO_HEAT_HO"/>
    <x v="0"/>
    <x v="14"/>
    <n v="10"/>
    <n v="3650"/>
    <n v="13140"/>
  </r>
  <r>
    <x v="0"/>
    <x v="0"/>
    <x v="0"/>
    <x v="0"/>
    <x v="0"/>
    <s v="DK1_Medium"/>
    <x v="2"/>
    <s v="GNR_GEO_HEAT_HO"/>
    <x v="0"/>
    <x v="15"/>
    <n v="10"/>
    <n v="3650"/>
    <n v="13140"/>
  </r>
  <r>
    <x v="0"/>
    <x v="0"/>
    <x v="0"/>
    <x v="0"/>
    <x v="0"/>
    <s v="DK1_Medium"/>
    <x v="2"/>
    <s v="GNR_GEO_HEAT_HO"/>
    <x v="0"/>
    <x v="16"/>
    <n v="10"/>
    <n v="3650"/>
    <n v="13140"/>
  </r>
  <r>
    <x v="0"/>
    <x v="0"/>
    <x v="0"/>
    <x v="0"/>
    <x v="0"/>
    <s v="DK1_Medium"/>
    <x v="2"/>
    <s v="GNR_GEO_HEAT_HO"/>
    <x v="0"/>
    <x v="17"/>
    <n v="10"/>
    <n v="3650"/>
    <n v="13140"/>
  </r>
  <r>
    <x v="0"/>
    <x v="0"/>
    <x v="0"/>
    <x v="0"/>
    <x v="0"/>
    <s v="DK1_Medium"/>
    <x v="2"/>
    <s v="GNR_GEO_HEAT_HO"/>
    <x v="0"/>
    <x v="18"/>
    <n v="10"/>
    <n v="3650"/>
    <n v="13140"/>
  </r>
  <r>
    <x v="0"/>
    <x v="0"/>
    <x v="0"/>
    <x v="0"/>
    <x v="0"/>
    <s v="DK1_Medium"/>
    <x v="2"/>
    <s v="GNR_GEO_HEAT_HO"/>
    <x v="0"/>
    <x v="19"/>
    <n v="10"/>
    <n v="3650"/>
    <n v="13140"/>
  </r>
  <r>
    <x v="0"/>
    <x v="0"/>
    <x v="0"/>
    <x v="0"/>
    <x v="0"/>
    <s v="DK1_Medium"/>
    <x v="2"/>
    <s v="GNR_GEO_HEAT_HO"/>
    <x v="0"/>
    <x v="20"/>
    <n v="10"/>
    <n v="3650"/>
    <n v="13140"/>
  </r>
  <r>
    <x v="0"/>
    <x v="0"/>
    <x v="0"/>
    <x v="0"/>
    <x v="0"/>
    <s v="DK1_Medium"/>
    <x v="2"/>
    <s v="GNR_GEO_HEAT_HO"/>
    <x v="0"/>
    <x v="21"/>
    <n v="10"/>
    <n v="3650"/>
    <n v="13140"/>
  </r>
  <r>
    <x v="0"/>
    <x v="0"/>
    <x v="0"/>
    <x v="0"/>
    <x v="0"/>
    <s v="DK1_Medium"/>
    <x v="2"/>
    <s v="GNR_GEO_HEAT_HO"/>
    <x v="0"/>
    <x v="22"/>
    <n v="10"/>
    <n v="3650"/>
    <n v="13140"/>
  </r>
  <r>
    <x v="0"/>
    <x v="0"/>
    <x v="0"/>
    <x v="0"/>
    <x v="0"/>
    <s v="DK1_Medium"/>
    <x v="2"/>
    <s v="GNR_GEO_HEAT_HO"/>
    <x v="0"/>
    <x v="23"/>
    <n v="10"/>
    <n v="3650"/>
    <n v="13140"/>
  </r>
  <r>
    <x v="0"/>
    <x v="0"/>
    <x v="0"/>
    <x v="0"/>
    <x v="0"/>
    <s v="DK1_Medium"/>
    <x v="6"/>
    <s v="GNR_BO_WOODCHI_E-100"/>
    <x v="0"/>
    <x v="0"/>
    <n v="64.45"/>
    <n v="23524.25"/>
    <n v="84687.3"/>
  </r>
  <r>
    <x v="0"/>
    <x v="0"/>
    <x v="0"/>
    <x v="0"/>
    <x v="0"/>
    <s v="DK1_Medium"/>
    <x v="6"/>
    <s v="GNR_BO_WOODCHI_E-100"/>
    <x v="0"/>
    <x v="1"/>
    <n v="64.45"/>
    <n v="23524.25"/>
    <n v="84687.3"/>
  </r>
  <r>
    <x v="0"/>
    <x v="0"/>
    <x v="0"/>
    <x v="0"/>
    <x v="0"/>
    <s v="DK1_Medium"/>
    <x v="6"/>
    <s v="GNR_BO_WOODCHI_E-100"/>
    <x v="0"/>
    <x v="2"/>
    <n v="64.45"/>
    <n v="23524.25"/>
    <n v="84687.3"/>
  </r>
  <r>
    <x v="0"/>
    <x v="0"/>
    <x v="0"/>
    <x v="0"/>
    <x v="0"/>
    <s v="DK1_Medium"/>
    <x v="6"/>
    <s v="GNR_BO_WOODCHI_E-100"/>
    <x v="0"/>
    <x v="3"/>
    <n v="64.45"/>
    <n v="23524.25"/>
    <n v="84687.3"/>
  </r>
  <r>
    <x v="0"/>
    <x v="0"/>
    <x v="0"/>
    <x v="0"/>
    <x v="0"/>
    <s v="DK1_Medium"/>
    <x v="6"/>
    <s v="GNR_BO_WOODCHI_E-100"/>
    <x v="0"/>
    <x v="4"/>
    <n v="64.45"/>
    <n v="23524.25"/>
    <n v="84687.3"/>
  </r>
  <r>
    <x v="0"/>
    <x v="0"/>
    <x v="0"/>
    <x v="0"/>
    <x v="0"/>
    <s v="DK1_Medium"/>
    <x v="6"/>
    <s v="GNR_BO_WOODCHI_E-100"/>
    <x v="0"/>
    <x v="5"/>
    <n v="64.45"/>
    <n v="23524.25"/>
    <n v="84687.3"/>
  </r>
  <r>
    <x v="0"/>
    <x v="0"/>
    <x v="0"/>
    <x v="0"/>
    <x v="0"/>
    <s v="DK1_Medium"/>
    <x v="6"/>
    <s v="GNR_BO_WOODCHI_E-100"/>
    <x v="0"/>
    <x v="6"/>
    <n v="64.45"/>
    <n v="23524.25"/>
    <n v="84687.3"/>
  </r>
  <r>
    <x v="0"/>
    <x v="0"/>
    <x v="0"/>
    <x v="0"/>
    <x v="0"/>
    <s v="DK1_Medium"/>
    <x v="6"/>
    <s v="GNR_BO_WOODCHI_E-100"/>
    <x v="0"/>
    <x v="7"/>
    <n v="64.45"/>
    <n v="23524.25"/>
    <n v="84687.3"/>
  </r>
  <r>
    <x v="0"/>
    <x v="0"/>
    <x v="0"/>
    <x v="0"/>
    <x v="0"/>
    <s v="DK1_Medium"/>
    <x v="6"/>
    <s v="GNR_BO_WOODCHI_E-100"/>
    <x v="0"/>
    <x v="8"/>
    <n v="64.45"/>
    <n v="23524.25"/>
    <n v="84687.3"/>
  </r>
  <r>
    <x v="0"/>
    <x v="0"/>
    <x v="0"/>
    <x v="0"/>
    <x v="0"/>
    <s v="DK1_Medium"/>
    <x v="6"/>
    <s v="GNR_BO_WOODCHI_E-100"/>
    <x v="0"/>
    <x v="9"/>
    <n v="64.45"/>
    <n v="23524.25"/>
    <n v="84687.3"/>
  </r>
  <r>
    <x v="0"/>
    <x v="0"/>
    <x v="0"/>
    <x v="0"/>
    <x v="0"/>
    <s v="DK1_Medium"/>
    <x v="6"/>
    <s v="GNR_BO_WOODCHI_E-100"/>
    <x v="0"/>
    <x v="10"/>
    <n v="64.45"/>
    <n v="23524.25"/>
    <n v="84687.3"/>
  </r>
  <r>
    <x v="0"/>
    <x v="0"/>
    <x v="0"/>
    <x v="0"/>
    <x v="0"/>
    <s v="DK1_Medium"/>
    <x v="6"/>
    <s v="GNR_BO_WOODCHI_E-100"/>
    <x v="0"/>
    <x v="11"/>
    <n v="64.45"/>
    <n v="23524.25"/>
    <n v="84687.3"/>
  </r>
  <r>
    <x v="0"/>
    <x v="0"/>
    <x v="0"/>
    <x v="0"/>
    <x v="0"/>
    <s v="DK1_Medium"/>
    <x v="6"/>
    <s v="GNR_BO_WOODCHI_E-100"/>
    <x v="0"/>
    <x v="12"/>
    <n v="64.45"/>
    <n v="23524.25"/>
    <n v="84687.3"/>
  </r>
  <r>
    <x v="0"/>
    <x v="0"/>
    <x v="0"/>
    <x v="0"/>
    <x v="0"/>
    <s v="DK1_Medium"/>
    <x v="6"/>
    <s v="GNR_BO_WOODCHI_E-100"/>
    <x v="0"/>
    <x v="13"/>
    <n v="64.45"/>
    <n v="23524.25"/>
    <n v="84687.3"/>
  </r>
  <r>
    <x v="0"/>
    <x v="0"/>
    <x v="0"/>
    <x v="0"/>
    <x v="0"/>
    <s v="DK1_Medium"/>
    <x v="6"/>
    <s v="GNR_BO_WOODCHI_E-100"/>
    <x v="0"/>
    <x v="14"/>
    <n v="64.45"/>
    <n v="23524.25"/>
    <n v="84687.3"/>
  </r>
  <r>
    <x v="0"/>
    <x v="0"/>
    <x v="0"/>
    <x v="0"/>
    <x v="0"/>
    <s v="DK1_Medium"/>
    <x v="6"/>
    <s v="GNR_BO_WOODCHI_E-100"/>
    <x v="0"/>
    <x v="15"/>
    <n v="64.45"/>
    <n v="23524.25"/>
    <n v="84687.3"/>
  </r>
  <r>
    <x v="0"/>
    <x v="0"/>
    <x v="0"/>
    <x v="0"/>
    <x v="0"/>
    <s v="DK1_Medium"/>
    <x v="6"/>
    <s v="GNR_BO_WOODCHI_E-100"/>
    <x v="0"/>
    <x v="16"/>
    <n v="64.45"/>
    <n v="23524.25"/>
    <n v="84687.3"/>
  </r>
  <r>
    <x v="0"/>
    <x v="0"/>
    <x v="0"/>
    <x v="0"/>
    <x v="0"/>
    <s v="DK1_Medium"/>
    <x v="6"/>
    <s v="GNR_BO_WOODCHI_E-100"/>
    <x v="0"/>
    <x v="17"/>
    <n v="64.45"/>
    <n v="23524.25"/>
    <n v="84687.3"/>
  </r>
  <r>
    <x v="0"/>
    <x v="0"/>
    <x v="0"/>
    <x v="0"/>
    <x v="0"/>
    <s v="DK1_Medium"/>
    <x v="6"/>
    <s v="GNR_BO_WOODCHI_E-100"/>
    <x v="0"/>
    <x v="18"/>
    <n v="64.45"/>
    <n v="23524.25"/>
    <n v="84687.3"/>
  </r>
  <r>
    <x v="0"/>
    <x v="0"/>
    <x v="0"/>
    <x v="0"/>
    <x v="0"/>
    <s v="DK1_Medium"/>
    <x v="6"/>
    <s v="GNR_BO_WOODCHI_E-100"/>
    <x v="0"/>
    <x v="19"/>
    <n v="64.45"/>
    <n v="23524.25"/>
    <n v="84687.3"/>
  </r>
  <r>
    <x v="0"/>
    <x v="0"/>
    <x v="0"/>
    <x v="0"/>
    <x v="0"/>
    <s v="DK1_Medium"/>
    <x v="6"/>
    <s v="GNR_BO_WOODCHI_E-100"/>
    <x v="0"/>
    <x v="20"/>
    <n v="64.45"/>
    <n v="23524.25"/>
    <n v="84687.3"/>
  </r>
  <r>
    <x v="0"/>
    <x v="0"/>
    <x v="0"/>
    <x v="0"/>
    <x v="0"/>
    <s v="DK1_Medium"/>
    <x v="6"/>
    <s v="GNR_BO_WOODCHI_E-100"/>
    <x v="0"/>
    <x v="21"/>
    <n v="64.45"/>
    <n v="23524.25"/>
    <n v="84687.3"/>
  </r>
  <r>
    <x v="0"/>
    <x v="0"/>
    <x v="0"/>
    <x v="0"/>
    <x v="0"/>
    <s v="DK1_Medium"/>
    <x v="6"/>
    <s v="GNR_BO_WOODCHI_E-100"/>
    <x v="0"/>
    <x v="22"/>
    <n v="64.45"/>
    <n v="23524.25"/>
    <n v="84687.3"/>
  </r>
  <r>
    <x v="0"/>
    <x v="0"/>
    <x v="0"/>
    <x v="0"/>
    <x v="0"/>
    <s v="DK1_Medium"/>
    <x v="6"/>
    <s v="GNR_BO_WOODCHI_E-100"/>
    <x v="0"/>
    <x v="23"/>
    <n v="64.45"/>
    <n v="23524.25"/>
    <n v="84687.3"/>
  </r>
  <r>
    <x v="0"/>
    <x v="0"/>
    <x v="0"/>
    <x v="0"/>
    <x v="0"/>
    <s v="DK1_Medium"/>
    <x v="6"/>
    <s v="GNR_ST_WOODCHI_BP_E-30"/>
    <x v="0"/>
    <x v="0"/>
    <n v="265.88235294117601"/>
    <n v="97047.058823529398"/>
    <n v="349369.41176470602"/>
  </r>
  <r>
    <x v="0"/>
    <x v="0"/>
    <x v="0"/>
    <x v="0"/>
    <x v="0"/>
    <s v="DK1_Medium"/>
    <x v="6"/>
    <s v="GNR_ST_WOODCHI_BP_E-30"/>
    <x v="0"/>
    <x v="1"/>
    <n v="265.88235294117601"/>
    <n v="97047.058823529398"/>
    <n v="349369.41176470602"/>
  </r>
  <r>
    <x v="0"/>
    <x v="0"/>
    <x v="0"/>
    <x v="0"/>
    <x v="0"/>
    <s v="DK1_Medium"/>
    <x v="6"/>
    <s v="GNR_ST_WOODCHI_BP_E-30"/>
    <x v="0"/>
    <x v="2"/>
    <n v="265.88235294117601"/>
    <n v="97047.058823529398"/>
    <n v="349369.41176470602"/>
  </r>
  <r>
    <x v="0"/>
    <x v="0"/>
    <x v="0"/>
    <x v="0"/>
    <x v="0"/>
    <s v="DK1_Medium"/>
    <x v="6"/>
    <s v="GNR_ST_WOODCHI_BP_E-30"/>
    <x v="0"/>
    <x v="3"/>
    <n v="265.88235294117601"/>
    <n v="97047.058823529398"/>
    <n v="349369.41176470602"/>
  </r>
  <r>
    <x v="0"/>
    <x v="0"/>
    <x v="0"/>
    <x v="0"/>
    <x v="0"/>
    <s v="DK1_Medium"/>
    <x v="6"/>
    <s v="GNR_ST_WOODCHI_BP_E-30"/>
    <x v="0"/>
    <x v="4"/>
    <n v="265.88235294117601"/>
    <n v="97047.058823529398"/>
    <n v="349369.41176470602"/>
  </r>
  <r>
    <x v="0"/>
    <x v="0"/>
    <x v="0"/>
    <x v="0"/>
    <x v="0"/>
    <s v="DK1_Medium"/>
    <x v="6"/>
    <s v="GNR_ST_WOODCHI_BP_E-30"/>
    <x v="0"/>
    <x v="5"/>
    <n v="265.88235294117601"/>
    <n v="97047.058823529398"/>
    <n v="349369.41176470602"/>
  </r>
  <r>
    <x v="0"/>
    <x v="0"/>
    <x v="0"/>
    <x v="0"/>
    <x v="0"/>
    <s v="DK1_Medium"/>
    <x v="6"/>
    <s v="GNR_ST_WOODCHI_BP_E-30"/>
    <x v="0"/>
    <x v="6"/>
    <n v="265.88235294117601"/>
    <n v="97047.058823529398"/>
    <n v="349369.41176470602"/>
  </r>
  <r>
    <x v="0"/>
    <x v="0"/>
    <x v="0"/>
    <x v="0"/>
    <x v="0"/>
    <s v="DK1_Medium"/>
    <x v="6"/>
    <s v="GNR_ST_WOODCHI_BP_E-30"/>
    <x v="0"/>
    <x v="7"/>
    <n v="265.88235294117601"/>
    <n v="97047.058823529398"/>
    <n v="349369.41176470602"/>
  </r>
  <r>
    <x v="0"/>
    <x v="0"/>
    <x v="0"/>
    <x v="0"/>
    <x v="0"/>
    <s v="DK1_Medium"/>
    <x v="6"/>
    <s v="GNR_ST_WOODCHI_BP_E-30"/>
    <x v="0"/>
    <x v="8"/>
    <n v="265.88235294117601"/>
    <n v="97047.058823529398"/>
    <n v="349369.41176470602"/>
  </r>
  <r>
    <x v="0"/>
    <x v="0"/>
    <x v="0"/>
    <x v="0"/>
    <x v="0"/>
    <s v="DK1_Medium"/>
    <x v="6"/>
    <s v="GNR_ST_WOODCHI_BP_E-30"/>
    <x v="0"/>
    <x v="9"/>
    <n v="265.88235294117601"/>
    <n v="97047.058823529398"/>
    <n v="349369.41176470602"/>
  </r>
  <r>
    <x v="0"/>
    <x v="0"/>
    <x v="0"/>
    <x v="0"/>
    <x v="0"/>
    <s v="DK1_Medium"/>
    <x v="6"/>
    <s v="GNR_ST_WOODCHI_BP_E-30"/>
    <x v="0"/>
    <x v="10"/>
    <n v="265.88235294117601"/>
    <n v="97047.058823529398"/>
    <n v="349369.41176470602"/>
  </r>
  <r>
    <x v="0"/>
    <x v="0"/>
    <x v="0"/>
    <x v="0"/>
    <x v="0"/>
    <s v="DK1_Medium"/>
    <x v="6"/>
    <s v="GNR_ST_WOODCHI_BP_E-30"/>
    <x v="0"/>
    <x v="11"/>
    <n v="265.88235294117601"/>
    <n v="97047.058823529398"/>
    <n v="349369.41176470602"/>
  </r>
  <r>
    <x v="0"/>
    <x v="0"/>
    <x v="0"/>
    <x v="0"/>
    <x v="0"/>
    <s v="DK1_Medium"/>
    <x v="6"/>
    <s v="GNR_ST_WOODCHI_BP_E-30"/>
    <x v="0"/>
    <x v="12"/>
    <n v="265.88235294117601"/>
    <n v="97047.058823529398"/>
    <n v="349369.41176470602"/>
  </r>
  <r>
    <x v="0"/>
    <x v="0"/>
    <x v="0"/>
    <x v="0"/>
    <x v="0"/>
    <s v="DK1_Medium"/>
    <x v="6"/>
    <s v="GNR_ST_WOODCHI_BP_E-30"/>
    <x v="0"/>
    <x v="13"/>
    <n v="265.88235294117601"/>
    <n v="97047.058823529398"/>
    <n v="349369.41176470602"/>
  </r>
  <r>
    <x v="0"/>
    <x v="0"/>
    <x v="0"/>
    <x v="0"/>
    <x v="0"/>
    <s v="DK1_Medium"/>
    <x v="6"/>
    <s v="GNR_ST_WOODCHI_BP_E-30"/>
    <x v="0"/>
    <x v="14"/>
    <n v="265.88235294117601"/>
    <n v="97047.058823529398"/>
    <n v="349369.41176470602"/>
  </r>
  <r>
    <x v="0"/>
    <x v="0"/>
    <x v="0"/>
    <x v="0"/>
    <x v="0"/>
    <s v="DK1_Medium"/>
    <x v="6"/>
    <s v="GNR_ST_WOODCHI_BP_E-30"/>
    <x v="0"/>
    <x v="15"/>
    <n v="265.88235294117601"/>
    <n v="97047.058823529398"/>
    <n v="349369.41176470602"/>
  </r>
  <r>
    <x v="0"/>
    <x v="0"/>
    <x v="0"/>
    <x v="0"/>
    <x v="0"/>
    <s v="DK1_Medium"/>
    <x v="6"/>
    <s v="GNR_ST_WOODCHI_BP_E-30"/>
    <x v="0"/>
    <x v="16"/>
    <n v="265.88235294117601"/>
    <n v="97047.058823529398"/>
    <n v="349369.41176470602"/>
  </r>
  <r>
    <x v="0"/>
    <x v="0"/>
    <x v="0"/>
    <x v="0"/>
    <x v="0"/>
    <s v="DK1_Medium"/>
    <x v="6"/>
    <s v="GNR_ST_WOODCHI_BP_E-30"/>
    <x v="0"/>
    <x v="17"/>
    <n v="265.88235294117601"/>
    <n v="97047.058823529398"/>
    <n v="349369.41176470602"/>
  </r>
  <r>
    <x v="0"/>
    <x v="0"/>
    <x v="0"/>
    <x v="0"/>
    <x v="0"/>
    <s v="DK1_Medium"/>
    <x v="6"/>
    <s v="GNR_ST_WOODCHI_BP_E-30"/>
    <x v="0"/>
    <x v="18"/>
    <n v="265.88235294117601"/>
    <n v="97047.058823529398"/>
    <n v="349369.41176470602"/>
  </r>
  <r>
    <x v="0"/>
    <x v="0"/>
    <x v="0"/>
    <x v="0"/>
    <x v="0"/>
    <s v="DK1_Medium"/>
    <x v="6"/>
    <s v="GNR_ST_WOODCHI_BP_E-30"/>
    <x v="0"/>
    <x v="19"/>
    <n v="265.88235294117601"/>
    <n v="97047.058823529398"/>
    <n v="349369.41176470602"/>
  </r>
  <r>
    <x v="0"/>
    <x v="0"/>
    <x v="0"/>
    <x v="0"/>
    <x v="0"/>
    <s v="DK1_Medium"/>
    <x v="6"/>
    <s v="GNR_ST_WOODCHI_BP_E-30"/>
    <x v="0"/>
    <x v="20"/>
    <n v="265.88235294117601"/>
    <n v="97047.058823529398"/>
    <n v="349369.41176470602"/>
  </r>
  <r>
    <x v="0"/>
    <x v="0"/>
    <x v="0"/>
    <x v="0"/>
    <x v="0"/>
    <s v="DK1_Medium"/>
    <x v="6"/>
    <s v="GNR_ST_WOODCHI_BP_E-30"/>
    <x v="0"/>
    <x v="21"/>
    <n v="265.88235294117601"/>
    <n v="97047.058823529398"/>
    <n v="349369.41176470602"/>
  </r>
  <r>
    <x v="0"/>
    <x v="0"/>
    <x v="0"/>
    <x v="0"/>
    <x v="0"/>
    <s v="DK1_Medium"/>
    <x v="6"/>
    <s v="GNR_ST_WOODCHI_BP_E-30"/>
    <x v="0"/>
    <x v="22"/>
    <n v="265.88235294117601"/>
    <n v="97047.058823529398"/>
    <n v="349369.41176470602"/>
  </r>
  <r>
    <x v="0"/>
    <x v="0"/>
    <x v="0"/>
    <x v="0"/>
    <x v="0"/>
    <s v="DK1_Medium"/>
    <x v="6"/>
    <s v="GNR_ST_WOODCHI_BP_E-30"/>
    <x v="0"/>
    <x v="23"/>
    <n v="265.88235294117601"/>
    <n v="97047.058823529398"/>
    <n v="349369.41176470602"/>
  </r>
  <r>
    <x v="0"/>
    <x v="0"/>
    <x v="0"/>
    <x v="0"/>
    <x v="0"/>
    <s v="DK1_Rural"/>
    <x v="0"/>
    <s v="GNR_BO_COAL_E-91"/>
    <x v="0"/>
    <x v="0"/>
    <n v="10"/>
    <n v="3650"/>
    <n v="13140"/>
  </r>
  <r>
    <x v="0"/>
    <x v="0"/>
    <x v="0"/>
    <x v="0"/>
    <x v="0"/>
    <s v="DK1_Rural"/>
    <x v="0"/>
    <s v="GNR_BO_COAL_E-91"/>
    <x v="0"/>
    <x v="1"/>
    <n v="10"/>
    <n v="3650"/>
    <n v="13140"/>
  </r>
  <r>
    <x v="0"/>
    <x v="0"/>
    <x v="0"/>
    <x v="0"/>
    <x v="0"/>
    <s v="DK1_Rural"/>
    <x v="0"/>
    <s v="GNR_BO_COAL_E-91"/>
    <x v="0"/>
    <x v="2"/>
    <n v="10"/>
    <n v="3650"/>
    <n v="13140"/>
  </r>
  <r>
    <x v="0"/>
    <x v="0"/>
    <x v="0"/>
    <x v="0"/>
    <x v="0"/>
    <s v="DK1_Rural"/>
    <x v="0"/>
    <s v="GNR_BO_COAL_E-91"/>
    <x v="0"/>
    <x v="3"/>
    <n v="10"/>
    <n v="3650"/>
    <n v="13140"/>
  </r>
  <r>
    <x v="0"/>
    <x v="0"/>
    <x v="0"/>
    <x v="0"/>
    <x v="0"/>
    <s v="DK1_Rural"/>
    <x v="0"/>
    <s v="GNR_BO_COAL_E-91"/>
    <x v="0"/>
    <x v="4"/>
    <n v="10"/>
    <n v="3650"/>
    <n v="13140"/>
  </r>
  <r>
    <x v="0"/>
    <x v="0"/>
    <x v="0"/>
    <x v="0"/>
    <x v="0"/>
    <s v="DK1_Rural"/>
    <x v="0"/>
    <s v="GNR_BO_COAL_E-91"/>
    <x v="0"/>
    <x v="5"/>
    <n v="10"/>
    <n v="3650"/>
    <n v="13140"/>
  </r>
  <r>
    <x v="0"/>
    <x v="0"/>
    <x v="0"/>
    <x v="0"/>
    <x v="0"/>
    <s v="DK1_Rural"/>
    <x v="0"/>
    <s v="GNR_BO_COAL_E-91"/>
    <x v="0"/>
    <x v="6"/>
    <n v="10"/>
    <n v="3650"/>
    <n v="13140"/>
  </r>
  <r>
    <x v="0"/>
    <x v="0"/>
    <x v="0"/>
    <x v="0"/>
    <x v="0"/>
    <s v="DK1_Rural"/>
    <x v="0"/>
    <s v="GNR_BO_COAL_E-91"/>
    <x v="0"/>
    <x v="7"/>
    <n v="10"/>
    <n v="3650"/>
    <n v="13140"/>
  </r>
  <r>
    <x v="0"/>
    <x v="0"/>
    <x v="0"/>
    <x v="0"/>
    <x v="0"/>
    <s v="DK1_Rural"/>
    <x v="0"/>
    <s v="GNR_BO_COAL_E-91"/>
    <x v="0"/>
    <x v="8"/>
    <n v="10"/>
    <n v="3650"/>
    <n v="13140"/>
  </r>
  <r>
    <x v="0"/>
    <x v="0"/>
    <x v="0"/>
    <x v="0"/>
    <x v="0"/>
    <s v="DK1_Rural"/>
    <x v="0"/>
    <s v="GNR_BO_COAL_E-91"/>
    <x v="0"/>
    <x v="9"/>
    <n v="10"/>
    <n v="3650"/>
    <n v="13140"/>
  </r>
  <r>
    <x v="0"/>
    <x v="0"/>
    <x v="0"/>
    <x v="0"/>
    <x v="0"/>
    <s v="DK1_Rural"/>
    <x v="0"/>
    <s v="GNR_BO_COAL_E-91"/>
    <x v="0"/>
    <x v="10"/>
    <n v="10"/>
    <n v="3650"/>
    <n v="13140"/>
  </r>
  <r>
    <x v="0"/>
    <x v="0"/>
    <x v="0"/>
    <x v="0"/>
    <x v="0"/>
    <s v="DK1_Rural"/>
    <x v="0"/>
    <s v="GNR_BO_COAL_E-91"/>
    <x v="0"/>
    <x v="11"/>
    <n v="10"/>
    <n v="3650"/>
    <n v="13140"/>
  </r>
  <r>
    <x v="0"/>
    <x v="0"/>
    <x v="0"/>
    <x v="0"/>
    <x v="0"/>
    <s v="DK1_Rural"/>
    <x v="0"/>
    <s v="GNR_BO_COAL_E-91"/>
    <x v="0"/>
    <x v="12"/>
    <n v="10"/>
    <n v="3650"/>
    <n v="13140"/>
  </r>
  <r>
    <x v="0"/>
    <x v="0"/>
    <x v="0"/>
    <x v="0"/>
    <x v="0"/>
    <s v="DK1_Rural"/>
    <x v="0"/>
    <s v="GNR_BO_COAL_E-91"/>
    <x v="0"/>
    <x v="13"/>
    <n v="10"/>
    <n v="3650"/>
    <n v="13140"/>
  </r>
  <r>
    <x v="0"/>
    <x v="0"/>
    <x v="0"/>
    <x v="0"/>
    <x v="0"/>
    <s v="DK1_Rural"/>
    <x v="0"/>
    <s v="GNR_BO_COAL_E-91"/>
    <x v="0"/>
    <x v="14"/>
    <n v="10"/>
    <n v="3650"/>
    <n v="13140"/>
  </r>
  <r>
    <x v="0"/>
    <x v="0"/>
    <x v="0"/>
    <x v="0"/>
    <x v="0"/>
    <s v="DK1_Rural"/>
    <x v="0"/>
    <s v="GNR_BO_COAL_E-91"/>
    <x v="0"/>
    <x v="15"/>
    <n v="10"/>
    <n v="3650"/>
    <n v="13140"/>
  </r>
  <r>
    <x v="0"/>
    <x v="0"/>
    <x v="0"/>
    <x v="0"/>
    <x v="0"/>
    <s v="DK1_Rural"/>
    <x v="0"/>
    <s v="GNR_BO_COAL_E-91"/>
    <x v="0"/>
    <x v="16"/>
    <n v="10"/>
    <n v="3650"/>
    <n v="13140"/>
  </r>
  <r>
    <x v="0"/>
    <x v="0"/>
    <x v="0"/>
    <x v="0"/>
    <x v="0"/>
    <s v="DK1_Rural"/>
    <x v="0"/>
    <s v="GNR_BO_COAL_E-91"/>
    <x v="0"/>
    <x v="17"/>
    <n v="10"/>
    <n v="3650"/>
    <n v="13140"/>
  </r>
  <r>
    <x v="0"/>
    <x v="0"/>
    <x v="0"/>
    <x v="0"/>
    <x v="0"/>
    <s v="DK1_Rural"/>
    <x v="0"/>
    <s v="GNR_BO_COAL_E-91"/>
    <x v="0"/>
    <x v="18"/>
    <n v="10"/>
    <n v="3650"/>
    <n v="13140"/>
  </r>
  <r>
    <x v="0"/>
    <x v="0"/>
    <x v="0"/>
    <x v="0"/>
    <x v="0"/>
    <s v="DK1_Rural"/>
    <x v="0"/>
    <s v="GNR_BO_COAL_E-91"/>
    <x v="0"/>
    <x v="19"/>
    <n v="10"/>
    <n v="3650"/>
    <n v="13140"/>
  </r>
  <r>
    <x v="0"/>
    <x v="0"/>
    <x v="0"/>
    <x v="0"/>
    <x v="0"/>
    <s v="DK1_Rural"/>
    <x v="0"/>
    <s v="GNR_BO_COAL_E-91"/>
    <x v="0"/>
    <x v="20"/>
    <n v="10"/>
    <n v="3650"/>
    <n v="13140"/>
  </r>
  <r>
    <x v="0"/>
    <x v="0"/>
    <x v="0"/>
    <x v="0"/>
    <x v="0"/>
    <s v="DK1_Rural"/>
    <x v="0"/>
    <s v="GNR_BO_COAL_E-91"/>
    <x v="0"/>
    <x v="21"/>
    <n v="10"/>
    <n v="3650"/>
    <n v="13140"/>
  </r>
  <r>
    <x v="0"/>
    <x v="0"/>
    <x v="0"/>
    <x v="0"/>
    <x v="0"/>
    <s v="DK1_Rural"/>
    <x v="0"/>
    <s v="GNR_BO_COAL_E-91"/>
    <x v="0"/>
    <x v="22"/>
    <n v="10"/>
    <n v="3650"/>
    <n v="13140"/>
  </r>
  <r>
    <x v="0"/>
    <x v="0"/>
    <x v="0"/>
    <x v="0"/>
    <x v="0"/>
    <s v="DK1_Rural"/>
    <x v="0"/>
    <s v="GNR_BO_COAL_E-91"/>
    <x v="0"/>
    <x v="23"/>
    <n v="10"/>
    <n v="3650"/>
    <n v="13140"/>
  </r>
  <r>
    <x v="0"/>
    <x v="0"/>
    <x v="0"/>
    <x v="0"/>
    <x v="0"/>
    <s v="DK1_Rural"/>
    <x v="3"/>
    <s v="GNR_HP_ELEC_COP-300"/>
    <x v="0"/>
    <x v="0"/>
    <n v="1.5"/>
    <n v="547.5"/>
    <n v="1971"/>
  </r>
  <r>
    <x v="0"/>
    <x v="0"/>
    <x v="0"/>
    <x v="0"/>
    <x v="0"/>
    <s v="DK1_Rural"/>
    <x v="3"/>
    <s v="GNR_HP_ELEC_COP-300"/>
    <x v="0"/>
    <x v="1"/>
    <n v="1.5"/>
    <n v="547.5"/>
    <n v="1971"/>
  </r>
  <r>
    <x v="0"/>
    <x v="0"/>
    <x v="0"/>
    <x v="0"/>
    <x v="0"/>
    <s v="DK1_Rural"/>
    <x v="3"/>
    <s v="GNR_HP_ELEC_COP-300"/>
    <x v="0"/>
    <x v="2"/>
    <n v="1.5"/>
    <n v="547.5"/>
    <n v="1971"/>
  </r>
  <r>
    <x v="0"/>
    <x v="0"/>
    <x v="0"/>
    <x v="0"/>
    <x v="0"/>
    <s v="DK1_Rural"/>
    <x v="3"/>
    <s v="GNR_HP_ELEC_COP-300"/>
    <x v="0"/>
    <x v="3"/>
    <n v="1.5"/>
    <n v="547.5"/>
    <n v="1971"/>
  </r>
  <r>
    <x v="0"/>
    <x v="0"/>
    <x v="0"/>
    <x v="0"/>
    <x v="0"/>
    <s v="DK1_Rural"/>
    <x v="3"/>
    <s v="GNR_HP_ELEC_COP-300"/>
    <x v="0"/>
    <x v="4"/>
    <n v="1.5"/>
    <n v="547.5"/>
    <n v="1971"/>
  </r>
  <r>
    <x v="0"/>
    <x v="0"/>
    <x v="0"/>
    <x v="0"/>
    <x v="0"/>
    <s v="DK1_Rural"/>
    <x v="3"/>
    <s v="GNR_HP_ELEC_COP-300"/>
    <x v="0"/>
    <x v="5"/>
    <n v="1.5"/>
    <n v="547.5"/>
    <n v="1971"/>
  </r>
  <r>
    <x v="0"/>
    <x v="0"/>
    <x v="0"/>
    <x v="0"/>
    <x v="0"/>
    <s v="DK1_Rural"/>
    <x v="3"/>
    <s v="GNR_HP_ELEC_COP-300"/>
    <x v="0"/>
    <x v="6"/>
    <n v="1.5"/>
    <n v="547.5"/>
    <n v="1971"/>
  </r>
  <r>
    <x v="0"/>
    <x v="0"/>
    <x v="0"/>
    <x v="0"/>
    <x v="0"/>
    <s v="DK1_Rural"/>
    <x v="3"/>
    <s v="GNR_HP_ELEC_COP-300"/>
    <x v="0"/>
    <x v="7"/>
    <n v="1.5"/>
    <n v="547.5"/>
    <n v="1971"/>
  </r>
  <r>
    <x v="0"/>
    <x v="0"/>
    <x v="0"/>
    <x v="0"/>
    <x v="0"/>
    <s v="DK1_Rural"/>
    <x v="3"/>
    <s v="GNR_HP_ELEC_COP-300"/>
    <x v="0"/>
    <x v="8"/>
    <n v="1.5"/>
    <n v="547.5"/>
    <n v="1971"/>
  </r>
  <r>
    <x v="0"/>
    <x v="0"/>
    <x v="0"/>
    <x v="0"/>
    <x v="0"/>
    <s v="DK1_Rural"/>
    <x v="3"/>
    <s v="GNR_HP_ELEC_COP-300"/>
    <x v="0"/>
    <x v="9"/>
    <n v="1.5"/>
    <n v="547.5"/>
    <n v="1971"/>
  </r>
  <r>
    <x v="0"/>
    <x v="0"/>
    <x v="0"/>
    <x v="0"/>
    <x v="0"/>
    <s v="DK1_Rural"/>
    <x v="3"/>
    <s v="GNR_HP_ELEC_COP-300"/>
    <x v="0"/>
    <x v="10"/>
    <n v="1.5"/>
    <n v="547.5"/>
    <n v="1971"/>
  </r>
  <r>
    <x v="0"/>
    <x v="0"/>
    <x v="0"/>
    <x v="0"/>
    <x v="0"/>
    <s v="DK1_Rural"/>
    <x v="3"/>
    <s v="GNR_HP_ELEC_COP-300"/>
    <x v="0"/>
    <x v="11"/>
    <n v="1.5"/>
    <n v="547.5"/>
    <n v="1971"/>
  </r>
  <r>
    <x v="0"/>
    <x v="0"/>
    <x v="0"/>
    <x v="0"/>
    <x v="0"/>
    <s v="DK1_Rural"/>
    <x v="3"/>
    <s v="GNR_HP_ELEC_COP-300"/>
    <x v="0"/>
    <x v="12"/>
    <n v="1.5"/>
    <n v="547.5"/>
    <n v="1971"/>
  </r>
  <r>
    <x v="0"/>
    <x v="0"/>
    <x v="0"/>
    <x v="0"/>
    <x v="0"/>
    <s v="DK1_Rural"/>
    <x v="3"/>
    <s v="GNR_HP_ELEC_COP-300"/>
    <x v="0"/>
    <x v="13"/>
    <n v="1.5"/>
    <n v="547.5"/>
    <n v="1971"/>
  </r>
  <r>
    <x v="0"/>
    <x v="0"/>
    <x v="0"/>
    <x v="0"/>
    <x v="0"/>
    <s v="DK1_Rural"/>
    <x v="3"/>
    <s v="GNR_HP_ELEC_COP-300"/>
    <x v="0"/>
    <x v="14"/>
    <n v="1.5"/>
    <n v="547.5"/>
    <n v="1971"/>
  </r>
  <r>
    <x v="0"/>
    <x v="0"/>
    <x v="0"/>
    <x v="0"/>
    <x v="0"/>
    <s v="DK1_Rural"/>
    <x v="3"/>
    <s v="GNR_HP_ELEC_COP-300"/>
    <x v="0"/>
    <x v="15"/>
    <n v="1.5"/>
    <n v="547.5"/>
    <n v="1971"/>
  </r>
  <r>
    <x v="0"/>
    <x v="0"/>
    <x v="0"/>
    <x v="0"/>
    <x v="0"/>
    <s v="DK1_Rural"/>
    <x v="3"/>
    <s v="GNR_HP_ELEC_COP-300"/>
    <x v="0"/>
    <x v="16"/>
    <n v="1.5"/>
    <n v="547.5"/>
    <n v="1971"/>
  </r>
  <r>
    <x v="0"/>
    <x v="0"/>
    <x v="0"/>
    <x v="0"/>
    <x v="0"/>
    <s v="DK1_Rural"/>
    <x v="3"/>
    <s v="GNR_HP_ELEC_COP-300"/>
    <x v="0"/>
    <x v="17"/>
    <n v="1.5"/>
    <n v="547.5"/>
    <n v="1971"/>
  </r>
  <r>
    <x v="0"/>
    <x v="0"/>
    <x v="0"/>
    <x v="0"/>
    <x v="0"/>
    <s v="DK1_Rural"/>
    <x v="3"/>
    <s v="GNR_HP_ELEC_COP-300"/>
    <x v="0"/>
    <x v="18"/>
    <n v="1.5"/>
    <n v="547.5"/>
    <n v="1971"/>
  </r>
  <r>
    <x v="0"/>
    <x v="0"/>
    <x v="0"/>
    <x v="0"/>
    <x v="0"/>
    <s v="DK1_Rural"/>
    <x v="3"/>
    <s v="GNR_HP_ELEC_COP-300"/>
    <x v="0"/>
    <x v="19"/>
    <n v="1.5"/>
    <n v="547.5"/>
    <n v="1971"/>
  </r>
  <r>
    <x v="0"/>
    <x v="0"/>
    <x v="0"/>
    <x v="0"/>
    <x v="0"/>
    <s v="DK1_Rural"/>
    <x v="3"/>
    <s v="GNR_HP_ELEC_COP-300"/>
    <x v="0"/>
    <x v="20"/>
    <n v="1.5"/>
    <n v="547.5"/>
    <n v="1971"/>
  </r>
  <r>
    <x v="0"/>
    <x v="0"/>
    <x v="0"/>
    <x v="0"/>
    <x v="0"/>
    <s v="DK1_Rural"/>
    <x v="3"/>
    <s v="GNR_HP_ELEC_COP-300"/>
    <x v="0"/>
    <x v="21"/>
    <n v="1.5"/>
    <n v="547.5"/>
    <n v="1971"/>
  </r>
  <r>
    <x v="0"/>
    <x v="0"/>
    <x v="0"/>
    <x v="0"/>
    <x v="0"/>
    <s v="DK1_Rural"/>
    <x v="3"/>
    <s v="GNR_HP_ELEC_COP-300"/>
    <x v="0"/>
    <x v="22"/>
    <n v="1.5"/>
    <n v="547.5"/>
    <n v="1971"/>
  </r>
  <r>
    <x v="0"/>
    <x v="0"/>
    <x v="0"/>
    <x v="0"/>
    <x v="0"/>
    <s v="DK1_Rural"/>
    <x v="3"/>
    <s v="GNR_HP_ELEC_COP-300"/>
    <x v="0"/>
    <x v="23"/>
    <n v="1.5"/>
    <n v="547.5"/>
    <n v="1971"/>
  </r>
  <r>
    <x v="0"/>
    <x v="0"/>
    <x v="0"/>
    <x v="0"/>
    <x v="0"/>
    <s v="DK1_Rural"/>
    <x v="3"/>
    <s v="GNR_HP_ELEC_COP-350"/>
    <x v="0"/>
    <x v="0"/>
    <n v="2.1890000000000001"/>
    <n v="798.98500000000001"/>
    <n v="2876.346"/>
  </r>
  <r>
    <x v="0"/>
    <x v="0"/>
    <x v="0"/>
    <x v="0"/>
    <x v="0"/>
    <s v="DK1_Rural"/>
    <x v="3"/>
    <s v="GNR_HP_ELEC_COP-350"/>
    <x v="0"/>
    <x v="1"/>
    <n v="2.1890000000000001"/>
    <n v="798.98500000000001"/>
    <n v="2876.346"/>
  </r>
  <r>
    <x v="0"/>
    <x v="0"/>
    <x v="0"/>
    <x v="0"/>
    <x v="0"/>
    <s v="DK1_Rural"/>
    <x v="3"/>
    <s v="GNR_HP_ELEC_COP-350"/>
    <x v="0"/>
    <x v="2"/>
    <n v="2.1890000000000001"/>
    <n v="798.98500000000001"/>
    <n v="2876.346"/>
  </r>
  <r>
    <x v="0"/>
    <x v="0"/>
    <x v="0"/>
    <x v="0"/>
    <x v="0"/>
    <s v="DK1_Rural"/>
    <x v="3"/>
    <s v="GNR_HP_ELEC_COP-350"/>
    <x v="0"/>
    <x v="3"/>
    <n v="2.1890000000000001"/>
    <n v="798.98500000000001"/>
    <n v="2876.346"/>
  </r>
  <r>
    <x v="0"/>
    <x v="0"/>
    <x v="0"/>
    <x v="0"/>
    <x v="0"/>
    <s v="DK1_Rural"/>
    <x v="3"/>
    <s v="GNR_HP_ELEC_COP-350"/>
    <x v="0"/>
    <x v="4"/>
    <n v="2.1890000000000001"/>
    <n v="798.98500000000001"/>
    <n v="2876.346"/>
  </r>
  <r>
    <x v="0"/>
    <x v="0"/>
    <x v="0"/>
    <x v="0"/>
    <x v="0"/>
    <s v="DK1_Rural"/>
    <x v="3"/>
    <s v="GNR_HP_ELEC_COP-350"/>
    <x v="0"/>
    <x v="5"/>
    <n v="2.1890000000000001"/>
    <n v="798.98500000000001"/>
    <n v="2876.346"/>
  </r>
  <r>
    <x v="0"/>
    <x v="0"/>
    <x v="0"/>
    <x v="0"/>
    <x v="0"/>
    <s v="DK1_Rural"/>
    <x v="3"/>
    <s v="GNR_HP_ELEC_COP-350"/>
    <x v="0"/>
    <x v="6"/>
    <n v="2.1890000000000001"/>
    <n v="798.98500000000001"/>
    <n v="2876.346"/>
  </r>
  <r>
    <x v="0"/>
    <x v="0"/>
    <x v="0"/>
    <x v="0"/>
    <x v="0"/>
    <s v="DK1_Rural"/>
    <x v="3"/>
    <s v="GNR_HP_ELEC_COP-350"/>
    <x v="0"/>
    <x v="7"/>
    <n v="2.1890000000000001"/>
    <n v="798.98500000000001"/>
    <n v="2876.346"/>
  </r>
  <r>
    <x v="0"/>
    <x v="0"/>
    <x v="0"/>
    <x v="0"/>
    <x v="0"/>
    <s v="DK1_Rural"/>
    <x v="3"/>
    <s v="GNR_HP_ELEC_COP-350"/>
    <x v="0"/>
    <x v="8"/>
    <n v="2.1890000000000001"/>
    <n v="798.98500000000001"/>
    <n v="2876.346"/>
  </r>
  <r>
    <x v="0"/>
    <x v="0"/>
    <x v="0"/>
    <x v="0"/>
    <x v="0"/>
    <s v="DK1_Rural"/>
    <x v="3"/>
    <s v="GNR_HP_ELEC_COP-350"/>
    <x v="0"/>
    <x v="9"/>
    <n v="2.1890000000000001"/>
    <n v="798.98500000000001"/>
    <n v="2876.346"/>
  </r>
  <r>
    <x v="0"/>
    <x v="0"/>
    <x v="0"/>
    <x v="0"/>
    <x v="0"/>
    <s v="DK1_Rural"/>
    <x v="3"/>
    <s v="GNR_HP_ELEC_COP-350"/>
    <x v="0"/>
    <x v="10"/>
    <n v="2.1890000000000001"/>
    <n v="798.98500000000001"/>
    <n v="2876.346"/>
  </r>
  <r>
    <x v="0"/>
    <x v="0"/>
    <x v="0"/>
    <x v="0"/>
    <x v="0"/>
    <s v="DK1_Rural"/>
    <x v="3"/>
    <s v="GNR_HP_ELEC_COP-350"/>
    <x v="0"/>
    <x v="11"/>
    <n v="2.1890000000000001"/>
    <n v="798.98500000000001"/>
    <n v="2876.346"/>
  </r>
  <r>
    <x v="0"/>
    <x v="0"/>
    <x v="0"/>
    <x v="0"/>
    <x v="0"/>
    <s v="DK1_Rural"/>
    <x v="3"/>
    <s v="GNR_HP_ELEC_COP-350"/>
    <x v="0"/>
    <x v="12"/>
    <n v="2.1890000000000001"/>
    <n v="798.98500000000001"/>
    <n v="2876.346"/>
  </r>
  <r>
    <x v="0"/>
    <x v="0"/>
    <x v="0"/>
    <x v="0"/>
    <x v="0"/>
    <s v="DK1_Rural"/>
    <x v="3"/>
    <s v="GNR_HP_ELEC_COP-350"/>
    <x v="0"/>
    <x v="13"/>
    <n v="2.1890000000000001"/>
    <n v="798.98500000000001"/>
    <n v="2876.346"/>
  </r>
  <r>
    <x v="0"/>
    <x v="0"/>
    <x v="0"/>
    <x v="0"/>
    <x v="0"/>
    <s v="DK1_Rural"/>
    <x v="3"/>
    <s v="GNR_HP_ELEC_COP-350"/>
    <x v="0"/>
    <x v="14"/>
    <n v="2.1890000000000001"/>
    <n v="798.98500000000001"/>
    <n v="2876.346"/>
  </r>
  <r>
    <x v="0"/>
    <x v="0"/>
    <x v="0"/>
    <x v="0"/>
    <x v="0"/>
    <s v="DK1_Rural"/>
    <x v="3"/>
    <s v="GNR_HP_ELEC_COP-350"/>
    <x v="0"/>
    <x v="15"/>
    <n v="2.1890000000000001"/>
    <n v="798.98500000000001"/>
    <n v="2876.346"/>
  </r>
  <r>
    <x v="0"/>
    <x v="0"/>
    <x v="0"/>
    <x v="0"/>
    <x v="0"/>
    <s v="DK1_Rural"/>
    <x v="3"/>
    <s v="GNR_HP_ELEC_COP-350"/>
    <x v="0"/>
    <x v="16"/>
    <n v="2.1890000000000001"/>
    <n v="798.98500000000001"/>
    <n v="2876.346"/>
  </r>
  <r>
    <x v="0"/>
    <x v="0"/>
    <x v="0"/>
    <x v="0"/>
    <x v="0"/>
    <s v="DK1_Rural"/>
    <x v="3"/>
    <s v="GNR_HP_ELEC_COP-350"/>
    <x v="0"/>
    <x v="17"/>
    <n v="2.1890000000000001"/>
    <n v="798.98500000000001"/>
    <n v="2876.346"/>
  </r>
  <r>
    <x v="0"/>
    <x v="0"/>
    <x v="0"/>
    <x v="0"/>
    <x v="0"/>
    <s v="DK1_Rural"/>
    <x v="3"/>
    <s v="GNR_HP_ELEC_COP-350"/>
    <x v="0"/>
    <x v="18"/>
    <n v="2.1890000000000001"/>
    <n v="798.98500000000001"/>
    <n v="2876.346"/>
  </r>
  <r>
    <x v="0"/>
    <x v="0"/>
    <x v="0"/>
    <x v="0"/>
    <x v="0"/>
    <s v="DK1_Rural"/>
    <x v="3"/>
    <s v="GNR_HP_ELEC_COP-350"/>
    <x v="0"/>
    <x v="19"/>
    <n v="2.1890000000000001"/>
    <n v="798.98500000000001"/>
    <n v="2876.346"/>
  </r>
  <r>
    <x v="0"/>
    <x v="0"/>
    <x v="0"/>
    <x v="0"/>
    <x v="0"/>
    <s v="DK1_Rural"/>
    <x v="3"/>
    <s v="GNR_HP_ELEC_COP-350"/>
    <x v="0"/>
    <x v="20"/>
    <n v="2.1890000000000001"/>
    <n v="798.98500000000001"/>
    <n v="2876.346"/>
  </r>
  <r>
    <x v="0"/>
    <x v="0"/>
    <x v="0"/>
    <x v="0"/>
    <x v="0"/>
    <s v="DK1_Rural"/>
    <x v="3"/>
    <s v="GNR_HP_ELEC_COP-350"/>
    <x v="0"/>
    <x v="21"/>
    <n v="2.1890000000000001"/>
    <n v="798.98500000000001"/>
    <n v="2876.346"/>
  </r>
  <r>
    <x v="0"/>
    <x v="0"/>
    <x v="0"/>
    <x v="0"/>
    <x v="0"/>
    <s v="DK1_Rural"/>
    <x v="3"/>
    <s v="GNR_HP_ELEC_COP-350"/>
    <x v="0"/>
    <x v="22"/>
    <n v="2.1890000000000001"/>
    <n v="798.98500000000001"/>
    <n v="2876.346"/>
  </r>
  <r>
    <x v="0"/>
    <x v="0"/>
    <x v="0"/>
    <x v="0"/>
    <x v="0"/>
    <s v="DK1_Rural"/>
    <x v="3"/>
    <s v="GNR_HP_ELEC_COP-350"/>
    <x v="0"/>
    <x v="23"/>
    <n v="2.1890000000000001"/>
    <n v="798.98500000000001"/>
    <n v="2876.346"/>
  </r>
  <r>
    <x v="0"/>
    <x v="0"/>
    <x v="0"/>
    <x v="0"/>
    <x v="0"/>
    <s v="DK1_Rural"/>
    <x v="3"/>
    <s v="GNR_HP_ELEC_COP-400"/>
    <x v="0"/>
    <x v="0"/>
    <n v="2.048"/>
    <n v="747.52"/>
    <n v="2691.0720000000001"/>
  </r>
  <r>
    <x v="0"/>
    <x v="0"/>
    <x v="0"/>
    <x v="0"/>
    <x v="0"/>
    <s v="DK1_Rural"/>
    <x v="3"/>
    <s v="GNR_HP_ELEC_COP-400"/>
    <x v="0"/>
    <x v="1"/>
    <n v="2.048"/>
    <n v="747.52"/>
    <n v="2691.0720000000001"/>
  </r>
  <r>
    <x v="0"/>
    <x v="0"/>
    <x v="0"/>
    <x v="0"/>
    <x v="0"/>
    <s v="DK1_Rural"/>
    <x v="3"/>
    <s v="GNR_HP_ELEC_COP-400"/>
    <x v="0"/>
    <x v="2"/>
    <n v="2.048"/>
    <n v="747.52"/>
    <n v="2691.0720000000001"/>
  </r>
  <r>
    <x v="0"/>
    <x v="0"/>
    <x v="0"/>
    <x v="0"/>
    <x v="0"/>
    <s v="DK1_Rural"/>
    <x v="3"/>
    <s v="GNR_HP_ELEC_COP-400"/>
    <x v="0"/>
    <x v="3"/>
    <n v="2.048"/>
    <n v="747.52"/>
    <n v="2691.0720000000001"/>
  </r>
  <r>
    <x v="0"/>
    <x v="0"/>
    <x v="0"/>
    <x v="0"/>
    <x v="0"/>
    <s v="DK1_Rural"/>
    <x v="3"/>
    <s v="GNR_HP_ELEC_COP-400"/>
    <x v="0"/>
    <x v="4"/>
    <n v="2.048"/>
    <n v="747.52"/>
    <n v="2691.0720000000001"/>
  </r>
  <r>
    <x v="0"/>
    <x v="0"/>
    <x v="0"/>
    <x v="0"/>
    <x v="0"/>
    <s v="DK1_Rural"/>
    <x v="3"/>
    <s v="GNR_HP_ELEC_COP-400"/>
    <x v="0"/>
    <x v="5"/>
    <n v="2.048"/>
    <n v="747.52"/>
    <n v="2691.0720000000001"/>
  </r>
  <r>
    <x v="0"/>
    <x v="0"/>
    <x v="0"/>
    <x v="0"/>
    <x v="0"/>
    <s v="DK1_Rural"/>
    <x v="3"/>
    <s v="GNR_HP_ELEC_COP-400"/>
    <x v="0"/>
    <x v="6"/>
    <n v="2.048"/>
    <n v="747.52"/>
    <n v="2691.0720000000001"/>
  </r>
  <r>
    <x v="0"/>
    <x v="0"/>
    <x v="0"/>
    <x v="0"/>
    <x v="0"/>
    <s v="DK1_Rural"/>
    <x v="3"/>
    <s v="GNR_HP_ELEC_COP-400"/>
    <x v="0"/>
    <x v="7"/>
    <n v="2.048"/>
    <n v="747.52"/>
    <n v="2691.0720000000001"/>
  </r>
  <r>
    <x v="0"/>
    <x v="0"/>
    <x v="0"/>
    <x v="0"/>
    <x v="0"/>
    <s v="DK1_Rural"/>
    <x v="3"/>
    <s v="GNR_HP_ELEC_COP-400"/>
    <x v="0"/>
    <x v="8"/>
    <n v="2.048"/>
    <n v="747.52"/>
    <n v="2691.0720000000001"/>
  </r>
  <r>
    <x v="0"/>
    <x v="0"/>
    <x v="0"/>
    <x v="0"/>
    <x v="0"/>
    <s v="DK1_Rural"/>
    <x v="3"/>
    <s v="GNR_HP_ELEC_COP-400"/>
    <x v="0"/>
    <x v="9"/>
    <n v="2.048"/>
    <n v="747.52"/>
    <n v="2691.0720000000001"/>
  </r>
  <r>
    <x v="0"/>
    <x v="0"/>
    <x v="0"/>
    <x v="0"/>
    <x v="0"/>
    <s v="DK1_Rural"/>
    <x v="3"/>
    <s v="GNR_HP_ELEC_COP-400"/>
    <x v="0"/>
    <x v="10"/>
    <n v="2.048"/>
    <n v="747.52"/>
    <n v="2691.0720000000001"/>
  </r>
  <r>
    <x v="0"/>
    <x v="0"/>
    <x v="0"/>
    <x v="0"/>
    <x v="0"/>
    <s v="DK1_Rural"/>
    <x v="3"/>
    <s v="GNR_HP_ELEC_COP-400"/>
    <x v="0"/>
    <x v="11"/>
    <n v="2.048"/>
    <n v="747.52"/>
    <n v="2691.0720000000001"/>
  </r>
  <r>
    <x v="0"/>
    <x v="0"/>
    <x v="0"/>
    <x v="0"/>
    <x v="0"/>
    <s v="DK1_Rural"/>
    <x v="3"/>
    <s v="GNR_HP_ELEC_COP-400"/>
    <x v="0"/>
    <x v="12"/>
    <n v="2.048"/>
    <n v="747.52"/>
    <n v="2691.0720000000001"/>
  </r>
  <r>
    <x v="0"/>
    <x v="0"/>
    <x v="0"/>
    <x v="0"/>
    <x v="0"/>
    <s v="DK1_Rural"/>
    <x v="3"/>
    <s v="GNR_HP_ELEC_COP-400"/>
    <x v="0"/>
    <x v="13"/>
    <n v="2.048"/>
    <n v="747.52"/>
    <n v="2691.0720000000001"/>
  </r>
  <r>
    <x v="0"/>
    <x v="0"/>
    <x v="0"/>
    <x v="0"/>
    <x v="0"/>
    <s v="DK1_Rural"/>
    <x v="3"/>
    <s v="GNR_HP_ELEC_COP-400"/>
    <x v="0"/>
    <x v="14"/>
    <n v="2.048"/>
    <n v="747.52"/>
    <n v="2691.0720000000001"/>
  </r>
  <r>
    <x v="0"/>
    <x v="0"/>
    <x v="0"/>
    <x v="0"/>
    <x v="0"/>
    <s v="DK1_Rural"/>
    <x v="3"/>
    <s v="GNR_HP_ELEC_COP-400"/>
    <x v="0"/>
    <x v="15"/>
    <n v="2.048"/>
    <n v="747.52"/>
    <n v="2691.0720000000001"/>
  </r>
  <r>
    <x v="0"/>
    <x v="0"/>
    <x v="0"/>
    <x v="0"/>
    <x v="0"/>
    <s v="DK1_Rural"/>
    <x v="3"/>
    <s v="GNR_HP_ELEC_COP-400"/>
    <x v="0"/>
    <x v="16"/>
    <n v="2.048"/>
    <n v="747.52"/>
    <n v="2691.0720000000001"/>
  </r>
  <r>
    <x v="0"/>
    <x v="0"/>
    <x v="0"/>
    <x v="0"/>
    <x v="0"/>
    <s v="DK1_Rural"/>
    <x v="3"/>
    <s v="GNR_HP_ELEC_COP-400"/>
    <x v="0"/>
    <x v="17"/>
    <n v="2.048"/>
    <n v="747.52"/>
    <n v="2691.0720000000001"/>
  </r>
  <r>
    <x v="0"/>
    <x v="0"/>
    <x v="0"/>
    <x v="0"/>
    <x v="0"/>
    <s v="DK1_Rural"/>
    <x v="3"/>
    <s v="GNR_HP_ELEC_COP-400"/>
    <x v="0"/>
    <x v="18"/>
    <n v="2.048"/>
    <n v="747.52"/>
    <n v="2691.0720000000001"/>
  </r>
  <r>
    <x v="0"/>
    <x v="0"/>
    <x v="0"/>
    <x v="0"/>
    <x v="0"/>
    <s v="DK1_Rural"/>
    <x v="3"/>
    <s v="GNR_HP_ELEC_COP-400"/>
    <x v="0"/>
    <x v="19"/>
    <n v="2.048"/>
    <n v="747.52"/>
    <n v="2691.0720000000001"/>
  </r>
  <r>
    <x v="0"/>
    <x v="0"/>
    <x v="0"/>
    <x v="0"/>
    <x v="0"/>
    <s v="DK1_Rural"/>
    <x v="3"/>
    <s v="GNR_HP_ELEC_COP-400"/>
    <x v="0"/>
    <x v="20"/>
    <n v="2.048"/>
    <n v="747.52"/>
    <n v="2691.0720000000001"/>
  </r>
  <r>
    <x v="0"/>
    <x v="0"/>
    <x v="0"/>
    <x v="0"/>
    <x v="0"/>
    <s v="DK1_Rural"/>
    <x v="3"/>
    <s v="GNR_HP_ELEC_COP-400"/>
    <x v="0"/>
    <x v="21"/>
    <n v="2.048"/>
    <n v="747.52"/>
    <n v="2691.0720000000001"/>
  </r>
  <r>
    <x v="0"/>
    <x v="0"/>
    <x v="0"/>
    <x v="0"/>
    <x v="0"/>
    <s v="DK1_Rural"/>
    <x v="3"/>
    <s v="GNR_HP_ELEC_COP-400"/>
    <x v="0"/>
    <x v="22"/>
    <n v="2.048"/>
    <n v="747.52"/>
    <n v="2691.0720000000001"/>
  </r>
  <r>
    <x v="0"/>
    <x v="0"/>
    <x v="0"/>
    <x v="0"/>
    <x v="0"/>
    <s v="DK1_Rural"/>
    <x v="3"/>
    <s v="GNR_HP_ELEC_COP-400"/>
    <x v="0"/>
    <x v="23"/>
    <n v="2.048"/>
    <n v="747.52"/>
    <n v="2691.0720000000001"/>
  </r>
  <r>
    <x v="0"/>
    <x v="0"/>
    <x v="0"/>
    <x v="0"/>
    <x v="0"/>
    <s v="DK1_Rural"/>
    <x v="3"/>
    <s v="GNR_HP_ELEC_COP-430"/>
    <x v="0"/>
    <x v="0"/>
    <n v="1.3"/>
    <n v="474.5"/>
    <n v="1708.2"/>
  </r>
  <r>
    <x v="0"/>
    <x v="0"/>
    <x v="0"/>
    <x v="0"/>
    <x v="0"/>
    <s v="DK1_Rural"/>
    <x v="3"/>
    <s v="GNR_HP_ELEC_COP-430"/>
    <x v="0"/>
    <x v="1"/>
    <n v="1.3"/>
    <n v="474.5"/>
    <n v="1708.2"/>
  </r>
  <r>
    <x v="0"/>
    <x v="0"/>
    <x v="0"/>
    <x v="0"/>
    <x v="0"/>
    <s v="DK1_Rural"/>
    <x v="3"/>
    <s v="GNR_HP_ELEC_COP-430"/>
    <x v="0"/>
    <x v="2"/>
    <n v="1.3"/>
    <n v="474.5"/>
    <n v="1708.2"/>
  </r>
  <r>
    <x v="0"/>
    <x v="0"/>
    <x v="0"/>
    <x v="0"/>
    <x v="0"/>
    <s v="DK1_Rural"/>
    <x v="3"/>
    <s v="GNR_HP_ELEC_COP-430"/>
    <x v="0"/>
    <x v="3"/>
    <n v="1.3"/>
    <n v="474.5"/>
    <n v="1708.2"/>
  </r>
  <r>
    <x v="0"/>
    <x v="0"/>
    <x v="0"/>
    <x v="0"/>
    <x v="0"/>
    <s v="DK1_Rural"/>
    <x v="3"/>
    <s v="GNR_HP_ELEC_COP-430"/>
    <x v="0"/>
    <x v="4"/>
    <n v="1.3"/>
    <n v="474.5"/>
    <n v="1708.2"/>
  </r>
  <r>
    <x v="0"/>
    <x v="0"/>
    <x v="0"/>
    <x v="0"/>
    <x v="0"/>
    <s v="DK1_Rural"/>
    <x v="3"/>
    <s v="GNR_HP_ELEC_COP-430"/>
    <x v="0"/>
    <x v="5"/>
    <n v="1.3"/>
    <n v="474.5"/>
    <n v="1708.2"/>
  </r>
  <r>
    <x v="0"/>
    <x v="0"/>
    <x v="0"/>
    <x v="0"/>
    <x v="0"/>
    <s v="DK1_Rural"/>
    <x v="3"/>
    <s v="GNR_HP_ELEC_COP-430"/>
    <x v="0"/>
    <x v="6"/>
    <n v="1.3"/>
    <n v="474.5"/>
    <n v="1708.2"/>
  </r>
  <r>
    <x v="0"/>
    <x v="0"/>
    <x v="0"/>
    <x v="0"/>
    <x v="0"/>
    <s v="DK1_Rural"/>
    <x v="3"/>
    <s v="GNR_HP_ELEC_COP-430"/>
    <x v="0"/>
    <x v="7"/>
    <n v="1.3"/>
    <n v="474.5"/>
    <n v="1708.2"/>
  </r>
  <r>
    <x v="0"/>
    <x v="0"/>
    <x v="0"/>
    <x v="0"/>
    <x v="0"/>
    <s v="DK1_Rural"/>
    <x v="3"/>
    <s v="GNR_HP_ELEC_COP-430"/>
    <x v="0"/>
    <x v="8"/>
    <n v="1.3"/>
    <n v="474.5"/>
    <n v="1708.2"/>
  </r>
  <r>
    <x v="0"/>
    <x v="0"/>
    <x v="0"/>
    <x v="0"/>
    <x v="0"/>
    <s v="DK1_Rural"/>
    <x v="3"/>
    <s v="GNR_HP_ELEC_COP-430"/>
    <x v="0"/>
    <x v="9"/>
    <n v="1.3"/>
    <n v="474.5"/>
    <n v="1708.2"/>
  </r>
  <r>
    <x v="0"/>
    <x v="0"/>
    <x v="0"/>
    <x v="0"/>
    <x v="0"/>
    <s v="DK1_Rural"/>
    <x v="3"/>
    <s v="GNR_HP_ELEC_COP-430"/>
    <x v="0"/>
    <x v="10"/>
    <n v="1.3"/>
    <n v="474.5"/>
    <n v="1708.2"/>
  </r>
  <r>
    <x v="0"/>
    <x v="0"/>
    <x v="0"/>
    <x v="0"/>
    <x v="0"/>
    <s v="DK1_Rural"/>
    <x v="3"/>
    <s v="GNR_HP_ELEC_COP-430"/>
    <x v="0"/>
    <x v="11"/>
    <n v="1.3"/>
    <n v="474.5"/>
    <n v="1708.2"/>
  </r>
  <r>
    <x v="0"/>
    <x v="0"/>
    <x v="0"/>
    <x v="0"/>
    <x v="0"/>
    <s v="DK1_Rural"/>
    <x v="3"/>
    <s v="GNR_HP_ELEC_COP-430"/>
    <x v="0"/>
    <x v="12"/>
    <n v="1.3"/>
    <n v="474.5"/>
    <n v="1708.2"/>
  </r>
  <r>
    <x v="0"/>
    <x v="0"/>
    <x v="0"/>
    <x v="0"/>
    <x v="0"/>
    <s v="DK1_Rural"/>
    <x v="3"/>
    <s v="GNR_HP_ELEC_COP-430"/>
    <x v="0"/>
    <x v="13"/>
    <n v="1.3"/>
    <n v="474.5"/>
    <n v="1708.2"/>
  </r>
  <r>
    <x v="0"/>
    <x v="0"/>
    <x v="0"/>
    <x v="0"/>
    <x v="0"/>
    <s v="DK1_Rural"/>
    <x v="3"/>
    <s v="GNR_HP_ELEC_COP-430"/>
    <x v="0"/>
    <x v="14"/>
    <n v="1.3"/>
    <n v="474.5"/>
    <n v="1708.2"/>
  </r>
  <r>
    <x v="0"/>
    <x v="0"/>
    <x v="0"/>
    <x v="0"/>
    <x v="0"/>
    <s v="DK1_Rural"/>
    <x v="3"/>
    <s v="GNR_HP_ELEC_COP-430"/>
    <x v="0"/>
    <x v="15"/>
    <n v="1.3"/>
    <n v="474.5"/>
    <n v="1708.2"/>
  </r>
  <r>
    <x v="0"/>
    <x v="0"/>
    <x v="0"/>
    <x v="0"/>
    <x v="0"/>
    <s v="DK1_Rural"/>
    <x v="3"/>
    <s v="GNR_HP_ELEC_COP-430"/>
    <x v="0"/>
    <x v="16"/>
    <n v="1.3"/>
    <n v="474.5"/>
    <n v="1708.2"/>
  </r>
  <r>
    <x v="0"/>
    <x v="0"/>
    <x v="0"/>
    <x v="0"/>
    <x v="0"/>
    <s v="DK1_Rural"/>
    <x v="3"/>
    <s v="GNR_HP_ELEC_COP-430"/>
    <x v="0"/>
    <x v="17"/>
    <n v="1.3"/>
    <n v="474.5"/>
    <n v="1708.2"/>
  </r>
  <r>
    <x v="0"/>
    <x v="0"/>
    <x v="0"/>
    <x v="0"/>
    <x v="0"/>
    <s v="DK1_Rural"/>
    <x v="3"/>
    <s v="GNR_HP_ELEC_COP-430"/>
    <x v="0"/>
    <x v="18"/>
    <n v="1.3"/>
    <n v="474.5"/>
    <n v="1708.2"/>
  </r>
  <r>
    <x v="0"/>
    <x v="0"/>
    <x v="0"/>
    <x v="0"/>
    <x v="0"/>
    <s v="DK1_Rural"/>
    <x v="3"/>
    <s v="GNR_HP_ELEC_COP-430"/>
    <x v="0"/>
    <x v="19"/>
    <n v="1.3"/>
    <n v="474.5"/>
    <n v="1708.2"/>
  </r>
  <r>
    <x v="0"/>
    <x v="0"/>
    <x v="0"/>
    <x v="0"/>
    <x v="0"/>
    <s v="DK1_Rural"/>
    <x v="3"/>
    <s v="GNR_HP_ELEC_COP-430"/>
    <x v="0"/>
    <x v="20"/>
    <n v="1.3"/>
    <n v="474.5"/>
    <n v="1708.2"/>
  </r>
  <r>
    <x v="0"/>
    <x v="0"/>
    <x v="0"/>
    <x v="0"/>
    <x v="0"/>
    <s v="DK1_Rural"/>
    <x v="3"/>
    <s v="GNR_HP_ELEC_COP-430"/>
    <x v="0"/>
    <x v="21"/>
    <n v="1.3"/>
    <n v="474.5"/>
    <n v="1708.2"/>
  </r>
  <r>
    <x v="0"/>
    <x v="0"/>
    <x v="0"/>
    <x v="0"/>
    <x v="0"/>
    <s v="DK1_Rural"/>
    <x v="3"/>
    <s v="GNR_HP_ELEC_COP-430"/>
    <x v="0"/>
    <x v="22"/>
    <n v="1.3"/>
    <n v="474.5"/>
    <n v="1708.2"/>
  </r>
  <r>
    <x v="0"/>
    <x v="0"/>
    <x v="0"/>
    <x v="0"/>
    <x v="0"/>
    <s v="DK1_Rural"/>
    <x v="3"/>
    <s v="GNR_HP_ELEC_COP-430"/>
    <x v="0"/>
    <x v="23"/>
    <n v="1.3"/>
    <n v="474.5"/>
    <n v="1708.2"/>
  </r>
  <r>
    <x v="0"/>
    <x v="0"/>
    <x v="0"/>
    <x v="0"/>
    <x v="0"/>
    <s v="DK1_Rural"/>
    <x v="3"/>
    <s v="GNR_HP_ELEC_COP-450"/>
    <x v="0"/>
    <x v="0"/>
    <n v="0.54"/>
    <n v="197.1"/>
    <n v="709.56"/>
  </r>
  <r>
    <x v="0"/>
    <x v="0"/>
    <x v="0"/>
    <x v="0"/>
    <x v="0"/>
    <s v="DK1_Rural"/>
    <x v="3"/>
    <s v="GNR_HP_ELEC_COP-450"/>
    <x v="0"/>
    <x v="1"/>
    <n v="0.54"/>
    <n v="197.1"/>
    <n v="709.56"/>
  </r>
  <r>
    <x v="0"/>
    <x v="0"/>
    <x v="0"/>
    <x v="0"/>
    <x v="0"/>
    <s v="DK1_Rural"/>
    <x v="3"/>
    <s v="GNR_HP_ELEC_COP-450"/>
    <x v="0"/>
    <x v="2"/>
    <n v="0.54"/>
    <n v="197.1"/>
    <n v="709.56"/>
  </r>
  <r>
    <x v="0"/>
    <x v="0"/>
    <x v="0"/>
    <x v="0"/>
    <x v="0"/>
    <s v="DK1_Rural"/>
    <x v="3"/>
    <s v="GNR_HP_ELEC_COP-450"/>
    <x v="0"/>
    <x v="3"/>
    <n v="0.54"/>
    <n v="197.1"/>
    <n v="709.56"/>
  </r>
  <r>
    <x v="0"/>
    <x v="0"/>
    <x v="0"/>
    <x v="0"/>
    <x v="0"/>
    <s v="DK1_Rural"/>
    <x v="3"/>
    <s v="GNR_HP_ELEC_COP-450"/>
    <x v="0"/>
    <x v="4"/>
    <n v="0.54"/>
    <n v="197.1"/>
    <n v="709.56"/>
  </r>
  <r>
    <x v="0"/>
    <x v="0"/>
    <x v="0"/>
    <x v="0"/>
    <x v="0"/>
    <s v="DK1_Rural"/>
    <x v="3"/>
    <s v="GNR_HP_ELEC_COP-450"/>
    <x v="0"/>
    <x v="5"/>
    <n v="0.54"/>
    <n v="197.1"/>
    <n v="709.56"/>
  </r>
  <r>
    <x v="0"/>
    <x v="0"/>
    <x v="0"/>
    <x v="0"/>
    <x v="0"/>
    <s v="DK1_Rural"/>
    <x v="3"/>
    <s v="GNR_HP_ELEC_COP-450"/>
    <x v="0"/>
    <x v="6"/>
    <n v="0.54"/>
    <n v="197.1"/>
    <n v="709.56"/>
  </r>
  <r>
    <x v="0"/>
    <x v="0"/>
    <x v="0"/>
    <x v="0"/>
    <x v="0"/>
    <s v="DK1_Rural"/>
    <x v="3"/>
    <s v="GNR_HP_ELEC_COP-450"/>
    <x v="0"/>
    <x v="7"/>
    <n v="0.54"/>
    <n v="197.1"/>
    <n v="709.56"/>
  </r>
  <r>
    <x v="0"/>
    <x v="0"/>
    <x v="0"/>
    <x v="0"/>
    <x v="0"/>
    <s v="DK1_Rural"/>
    <x v="3"/>
    <s v="GNR_HP_ELEC_COP-450"/>
    <x v="0"/>
    <x v="8"/>
    <n v="0.54"/>
    <n v="197.1"/>
    <n v="709.56"/>
  </r>
  <r>
    <x v="0"/>
    <x v="0"/>
    <x v="0"/>
    <x v="0"/>
    <x v="0"/>
    <s v="DK1_Rural"/>
    <x v="3"/>
    <s v="GNR_HP_ELEC_COP-450"/>
    <x v="0"/>
    <x v="9"/>
    <n v="0.54"/>
    <n v="197.1"/>
    <n v="709.56"/>
  </r>
  <r>
    <x v="0"/>
    <x v="0"/>
    <x v="0"/>
    <x v="0"/>
    <x v="0"/>
    <s v="DK1_Rural"/>
    <x v="3"/>
    <s v="GNR_HP_ELEC_COP-450"/>
    <x v="0"/>
    <x v="10"/>
    <n v="0.54"/>
    <n v="197.1"/>
    <n v="709.56"/>
  </r>
  <r>
    <x v="0"/>
    <x v="0"/>
    <x v="0"/>
    <x v="0"/>
    <x v="0"/>
    <s v="DK1_Rural"/>
    <x v="3"/>
    <s v="GNR_HP_ELEC_COP-450"/>
    <x v="0"/>
    <x v="11"/>
    <n v="0.54"/>
    <n v="197.1"/>
    <n v="709.56"/>
  </r>
  <r>
    <x v="0"/>
    <x v="0"/>
    <x v="0"/>
    <x v="0"/>
    <x v="0"/>
    <s v="DK1_Rural"/>
    <x v="3"/>
    <s v="GNR_HP_ELEC_COP-450"/>
    <x v="0"/>
    <x v="12"/>
    <n v="0.54"/>
    <n v="197.1"/>
    <n v="709.56"/>
  </r>
  <r>
    <x v="0"/>
    <x v="0"/>
    <x v="0"/>
    <x v="0"/>
    <x v="0"/>
    <s v="DK1_Rural"/>
    <x v="3"/>
    <s v="GNR_HP_ELEC_COP-450"/>
    <x v="0"/>
    <x v="13"/>
    <n v="0.54"/>
    <n v="197.1"/>
    <n v="709.56"/>
  </r>
  <r>
    <x v="0"/>
    <x v="0"/>
    <x v="0"/>
    <x v="0"/>
    <x v="0"/>
    <s v="DK1_Rural"/>
    <x v="3"/>
    <s v="GNR_HP_ELEC_COP-450"/>
    <x v="0"/>
    <x v="14"/>
    <n v="0.54"/>
    <n v="197.1"/>
    <n v="709.56"/>
  </r>
  <r>
    <x v="0"/>
    <x v="0"/>
    <x v="0"/>
    <x v="0"/>
    <x v="0"/>
    <s v="DK1_Rural"/>
    <x v="3"/>
    <s v="GNR_HP_ELEC_COP-450"/>
    <x v="0"/>
    <x v="15"/>
    <n v="0.54"/>
    <n v="197.1"/>
    <n v="709.56"/>
  </r>
  <r>
    <x v="0"/>
    <x v="0"/>
    <x v="0"/>
    <x v="0"/>
    <x v="0"/>
    <s v="DK1_Rural"/>
    <x v="3"/>
    <s v="GNR_HP_ELEC_COP-450"/>
    <x v="0"/>
    <x v="16"/>
    <n v="0.54"/>
    <n v="197.1"/>
    <n v="709.56"/>
  </r>
  <r>
    <x v="0"/>
    <x v="0"/>
    <x v="0"/>
    <x v="0"/>
    <x v="0"/>
    <s v="DK1_Rural"/>
    <x v="3"/>
    <s v="GNR_HP_ELEC_COP-450"/>
    <x v="0"/>
    <x v="17"/>
    <n v="0.54"/>
    <n v="197.1"/>
    <n v="709.56"/>
  </r>
  <r>
    <x v="0"/>
    <x v="0"/>
    <x v="0"/>
    <x v="0"/>
    <x v="0"/>
    <s v="DK1_Rural"/>
    <x v="3"/>
    <s v="GNR_HP_ELEC_COP-450"/>
    <x v="0"/>
    <x v="18"/>
    <n v="0.54"/>
    <n v="197.1"/>
    <n v="709.56"/>
  </r>
  <r>
    <x v="0"/>
    <x v="0"/>
    <x v="0"/>
    <x v="0"/>
    <x v="0"/>
    <s v="DK1_Rural"/>
    <x v="3"/>
    <s v="GNR_HP_ELEC_COP-450"/>
    <x v="0"/>
    <x v="19"/>
    <n v="0.54"/>
    <n v="197.1"/>
    <n v="709.56"/>
  </r>
  <r>
    <x v="0"/>
    <x v="0"/>
    <x v="0"/>
    <x v="0"/>
    <x v="0"/>
    <s v="DK1_Rural"/>
    <x v="3"/>
    <s v="GNR_HP_ELEC_COP-450"/>
    <x v="0"/>
    <x v="20"/>
    <n v="0.54"/>
    <n v="197.1"/>
    <n v="709.56"/>
  </r>
  <r>
    <x v="0"/>
    <x v="0"/>
    <x v="0"/>
    <x v="0"/>
    <x v="0"/>
    <s v="DK1_Rural"/>
    <x v="3"/>
    <s v="GNR_HP_ELEC_COP-450"/>
    <x v="0"/>
    <x v="21"/>
    <n v="0.54"/>
    <n v="197.1"/>
    <n v="709.56"/>
  </r>
  <r>
    <x v="0"/>
    <x v="0"/>
    <x v="0"/>
    <x v="0"/>
    <x v="0"/>
    <s v="DK1_Rural"/>
    <x v="3"/>
    <s v="GNR_HP_ELEC_COP-450"/>
    <x v="0"/>
    <x v="22"/>
    <n v="0.54"/>
    <n v="197.1"/>
    <n v="709.56"/>
  </r>
  <r>
    <x v="0"/>
    <x v="0"/>
    <x v="0"/>
    <x v="0"/>
    <x v="0"/>
    <s v="DK1_Rural"/>
    <x v="3"/>
    <s v="GNR_HP_ELEC_COP-450"/>
    <x v="0"/>
    <x v="23"/>
    <n v="0.54"/>
    <n v="197.1"/>
    <n v="709.56"/>
  </r>
  <r>
    <x v="0"/>
    <x v="0"/>
    <x v="0"/>
    <x v="0"/>
    <x v="0"/>
    <s v="DK1_Rural"/>
    <x v="3"/>
    <s v="GNR_HP_ELEC_COP-460"/>
    <x v="0"/>
    <x v="0"/>
    <n v="3.6"/>
    <n v="1314"/>
    <n v="4730.3999999999996"/>
  </r>
  <r>
    <x v="0"/>
    <x v="0"/>
    <x v="0"/>
    <x v="0"/>
    <x v="0"/>
    <s v="DK1_Rural"/>
    <x v="3"/>
    <s v="GNR_HP_ELEC_COP-460"/>
    <x v="0"/>
    <x v="1"/>
    <n v="3.6"/>
    <n v="1314"/>
    <n v="4730.3999999999996"/>
  </r>
  <r>
    <x v="0"/>
    <x v="0"/>
    <x v="0"/>
    <x v="0"/>
    <x v="0"/>
    <s v="DK1_Rural"/>
    <x v="3"/>
    <s v="GNR_HP_ELEC_COP-460"/>
    <x v="0"/>
    <x v="2"/>
    <n v="3.6"/>
    <n v="1314"/>
    <n v="4730.3999999999996"/>
  </r>
  <r>
    <x v="0"/>
    <x v="0"/>
    <x v="0"/>
    <x v="0"/>
    <x v="0"/>
    <s v="DK1_Rural"/>
    <x v="3"/>
    <s v="GNR_HP_ELEC_COP-460"/>
    <x v="0"/>
    <x v="3"/>
    <n v="3.6"/>
    <n v="1314"/>
    <n v="4730.3999999999996"/>
  </r>
  <r>
    <x v="0"/>
    <x v="0"/>
    <x v="0"/>
    <x v="0"/>
    <x v="0"/>
    <s v="DK1_Rural"/>
    <x v="3"/>
    <s v="GNR_HP_ELEC_COP-460"/>
    <x v="0"/>
    <x v="4"/>
    <n v="3.6"/>
    <n v="1314"/>
    <n v="4730.3999999999996"/>
  </r>
  <r>
    <x v="0"/>
    <x v="0"/>
    <x v="0"/>
    <x v="0"/>
    <x v="0"/>
    <s v="DK1_Rural"/>
    <x v="3"/>
    <s v="GNR_HP_ELEC_COP-460"/>
    <x v="0"/>
    <x v="5"/>
    <n v="3.6"/>
    <n v="1314"/>
    <n v="4730.3999999999996"/>
  </r>
  <r>
    <x v="0"/>
    <x v="0"/>
    <x v="0"/>
    <x v="0"/>
    <x v="0"/>
    <s v="DK1_Rural"/>
    <x v="3"/>
    <s v="GNR_HP_ELEC_COP-460"/>
    <x v="0"/>
    <x v="6"/>
    <n v="3.6"/>
    <n v="1314"/>
    <n v="4730.3999999999996"/>
  </r>
  <r>
    <x v="0"/>
    <x v="0"/>
    <x v="0"/>
    <x v="0"/>
    <x v="0"/>
    <s v="DK1_Rural"/>
    <x v="3"/>
    <s v="GNR_HP_ELEC_COP-460"/>
    <x v="0"/>
    <x v="7"/>
    <n v="3.6"/>
    <n v="1314"/>
    <n v="4730.3999999999996"/>
  </r>
  <r>
    <x v="0"/>
    <x v="0"/>
    <x v="0"/>
    <x v="0"/>
    <x v="0"/>
    <s v="DK1_Rural"/>
    <x v="3"/>
    <s v="GNR_HP_ELEC_COP-460"/>
    <x v="0"/>
    <x v="8"/>
    <n v="3.6"/>
    <n v="1314"/>
    <n v="4730.3999999999996"/>
  </r>
  <r>
    <x v="0"/>
    <x v="0"/>
    <x v="0"/>
    <x v="0"/>
    <x v="0"/>
    <s v="DK1_Rural"/>
    <x v="3"/>
    <s v="GNR_HP_ELEC_COP-460"/>
    <x v="0"/>
    <x v="9"/>
    <n v="3.6"/>
    <n v="1314"/>
    <n v="4730.3999999999996"/>
  </r>
  <r>
    <x v="0"/>
    <x v="0"/>
    <x v="0"/>
    <x v="0"/>
    <x v="0"/>
    <s v="DK1_Rural"/>
    <x v="3"/>
    <s v="GNR_HP_ELEC_COP-460"/>
    <x v="0"/>
    <x v="10"/>
    <n v="3.6"/>
    <n v="1314"/>
    <n v="4730.3999999999996"/>
  </r>
  <r>
    <x v="0"/>
    <x v="0"/>
    <x v="0"/>
    <x v="0"/>
    <x v="0"/>
    <s v="DK1_Rural"/>
    <x v="3"/>
    <s v="GNR_HP_ELEC_COP-460"/>
    <x v="0"/>
    <x v="11"/>
    <n v="3.6"/>
    <n v="1314"/>
    <n v="4730.3999999999996"/>
  </r>
  <r>
    <x v="0"/>
    <x v="0"/>
    <x v="0"/>
    <x v="0"/>
    <x v="0"/>
    <s v="DK1_Rural"/>
    <x v="3"/>
    <s v="GNR_HP_ELEC_COP-460"/>
    <x v="0"/>
    <x v="12"/>
    <n v="3.6"/>
    <n v="1314"/>
    <n v="4730.3999999999996"/>
  </r>
  <r>
    <x v="0"/>
    <x v="0"/>
    <x v="0"/>
    <x v="0"/>
    <x v="0"/>
    <s v="DK1_Rural"/>
    <x v="3"/>
    <s v="GNR_HP_ELEC_COP-460"/>
    <x v="0"/>
    <x v="13"/>
    <n v="3.6"/>
    <n v="1314"/>
    <n v="4730.3999999999996"/>
  </r>
  <r>
    <x v="0"/>
    <x v="0"/>
    <x v="0"/>
    <x v="0"/>
    <x v="0"/>
    <s v="DK1_Rural"/>
    <x v="3"/>
    <s v="GNR_HP_ELEC_COP-460"/>
    <x v="0"/>
    <x v="14"/>
    <n v="3.6"/>
    <n v="1314"/>
    <n v="4730.3999999999996"/>
  </r>
  <r>
    <x v="0"/>
    <x v="0"/>
    <x v="0"/>
    <x v="0"/>
    <x v="0"/>
    <s v="DK1_Rural"/>
    <x v="3"/>
    <s v="GNR_HP_ELEC_COP-460"/>
    <x v="0"/>
    <x v="15"/>
    <n v="3.6"/>
    <n v="1314"/>
    <n v="4730.3999999999996"/>
  </r>
  <r>
    <x v="0"/>
    <x v="0"/>
    <x v="0"/>
    <x v="0"/>
    <x v="0"/>
    <s v="DK1_Rural"/>
    <x v="3"/>
    <s v="GNR_HP_ELEC_COP-460"/>
    <x v="0"/>
    <x v="16"/>
    <n v="3.6"/>
    <n v="1314"/>
    <n v="4730.3999999999996"/>
  </r>
  <r>
    <x v="0"/>
    <x v="0"/>
    <x v="0"/>
    <x v="0"/>
    <x v="0"/>
    <s v="DK1_Rural"/>
    <x v="3"/>
    <s v="GNR_HP_ELEC_COP-460"/>
    <x v="0"/>
    <x v="17"/>
    <n v="3.6"/>
    <n v="1314"/>
    <n v="4730.3999999999996"/>
  </r>
  <r>
    <x v="0"/>
    <x v="0"/>
    <x v="0"/>
    <x v="0"/>
    <x v="0"/>
    <s v="DK1_Rural"/>
    <x v="3"/>
    <s v="GNR_HP_ELEC_COP-460"/>
    <x v="0"/>
    <x v="18"/>
    <n v="3.6"/>
    <n v="1314"/>
    <n v="4730.3999999999996"/>
  </r>
  <r>
    <x v="0"/>
    <x v="0"/>
    <x v="0"/>
    <x v="0"/>
    <x v="0"/>
    <s v="DK1_Rural"/>
    <x v="3"/>
    <s v="GNR_HP_ELEC_COP-460"/>
    <x v="0"/>
    <x v="19"/>
    <n v="3.6"/>
    <n v="1314"/>
    <n v="4730.3999999999996"/>
  </r>
  <r>
    <x v="0"/>
    <x v="0"/>
    <x v="0"/>
    <x v="0"/>
    <x v="0"/>
    <s v="DK1_Rural"/>
    <x v="3"/>
    <s v="GNR_HP_ELEC_COP-460"/>
    <x v="0"/>
    <x v="20"/>
    <n v="3.6"/>
    <n v="1314"/>
    <n v="4730.3999999999996"/>
  </r>
  <r>
    <x v="0"/>
    <x v="0"/>
    <x v="0"/>
    <x v="0"/>
    <x v="0"/>
    <s v="DK1_Rural"/>
    <x v="3"/>
    <s v="GNR_HP_ELEC_COP-460"/>
    <x v="0"/>
    <x v="21"/>
    <n v="3.6"/>
    <n v="1314"/>
    <n v="4730.3999999999996"/>
  </r>
  <r>
    <x v="0"/>
    <x v="0"/>
    <x v="0"/>
    <x v="0"/>
    <x v="0"/>
    <s v="DK1_Rural"/>
    <x v="3"/>
    <s v="GNR_HP_ELEC_COP-460"/>
    <x v="0"/>
    <x v="22"/>
    <n v="3.6"/>
    <n v="1314"/>
    <n v="4730.3999999999996"/>
  </r>
  <r>
    <x v="0"/>
    <x v="0"/>
    <x v="0"/>
    <x v="0"/>
    <x v="0"/>
    <s v="DK1_Rural"/>
    <x v="3"/>
    <s v="GNR_HP_ELEC_COP-460"/>
    <x v="0"/>
    <x v="23"/>
    <n v="3.6"/>
    <n v="1314"/>
    <n v="4730.3999999999996"/>
  </r>
  <r>
    <x v="0"/>
    <x v="0"/>
    <x v="0"/>
    <x v="0"/>
    <x v="0"/>
    <s v="DK1_Rural"/>
    <x v="3"/>
    <s v="GNR_HP_ELEC_COP-470"/>
    <x v="0"/>
    <x v="0"/>
    <n v="0.95"/>
    <n v="346.75"/>
    <n v="1248.3"/>
  </r>
  <r>
    <x v="0"/>
    <x v="0"/>
    <x v="0"/>
    <x v="0"/>
    <x v="0"/>
    <s v="DK1_Rural"/>
    <x v="3"/>
    <s v="GNR_HP_ELEC_COP-470"/>
    <x v="0"/>
    <x v="1"/>
    <n v="0.95"/>
    <n v="346.75"/>
    <n v="1248.3"/>
  </r>
  <r>
    <x v="0"/>
    <x v="0"/>
    <x v="0"/>
    <x v="0"/>
    <x v="0"/>
    <s v="DK1_Rural"/>
    <x v="3"/>
    <s v="GNR_HP_ELEC_COP-470"/>
    <x v="0"/>
    <x v="2"/>
    <n v="0.95"/>
    <n v="346.75"/>
    <n v="1248.3"/>
  </r>
  <r>
    <x v="0"/>
    <x v="0"/>
    <x v="0"/>
    <x v="0"/>
    <x v="0"/>
    <s v="DK1_Rural"/>
    <x v="3"/>
    <s v="GNR_HP_ELEC_COP-470"/>
    <x v="0"/>
    <x v="3"/>
    <n v="0.95"/>
    <n v="346.75"/>
    <n v="1248.3"/>
  </r>
  <r>
    <x v="0"/>
    <x v="0"/>
    <x v="0"/>
    <x v="0"/>
    <x v="0"/>
    <s v="DK1_Rural"/>
    <x v="3"/>
    <s v="GNR_HP_ELEC_COP-470"/>
    <x v="0"/>
    <x v="4"/>
    <n v="0.95"/>
    <n v="346.75"/>
    <n v="1248.3"/>
  </r>
  <r>
    <x v="0"/>
    <x v="0"/>
    <x v="0"/>
    <x v="0"/>
    <x v="0"/>
    <s v="DK1_Rural"/>
    <x v="3"/>
    <s v="GNR_HP_ELEC_COP-470"/>
    <x v="0"/>
    <x v="5"/>
    <n v="0.95"/>
    <n v="346.75"/>
    <n v="1248.3"/>
  </r>
  <r>
    <x v="0"/>
    <x v="0"/>
    <x v="0"/>
    <x v="0"/>
    <x v="0"/>
    <s v="DK1_Rural"/>
    <x v="3"/>
    <s v="GNR_HP_ELEC_COP-470"/>
    <x v="0"/>
    <x v="6"/>
    <n v="0.95"/>
    <n v="346.75"/>
    <n v="1248.3"/>
  </r>
  <r>
    <x v="0"/>
    <x v="0"/>
    <x v="0"/>
    <x v="0"/>
    <x v="0"/>
    <s v="DK1_Rural"/>
    <x v="3"/>
    <s v="GNR_HP_ELEC_COP-470"/>
    <x v="0"/>
    <x v="7"/>
    <n v="0.95"/>
    <n v="346.75"/>
    <n v="1248.3"/>
  </r>
  <r>
    <x v="0"/>
    <x v="0"/>
    <x v="0"/>
    <x v="0"/>
    <x v="0"/>
    <s v="DK1_Rural"/>
    <x v="3"/>
    <s v="GNR_HP_ELEC_COP-470"/>
    <x v="0"/>
    <x v="8"/>
    <n v="0.95"/>
    <n v="346.75"/>
    <n v="1248.3"/>
  </r>
  <r>
    <x v="0"/>
    <x v="0"/>
    <x v="0"/>
    <x v="0"/>
    <x v="0"/>
    <s v="DK1_Rural"/>
    <x v="3"/>
    <s v="GNR_HP_ELEC_COP-470"/>
    <x v="0"/>
    <x v="9"/>
    <n v="0.95"/>
    <n v="346.75"/>
    <n v="1248.3"/>
  </r>
  <r>
    <x v="0"/>
    <x v="0"/>
    <x v="0"/>
    <x v="0"/>
    <x v="0"/>
    <s v="DK1_Rural"/>
    <x v="3"/>
    <s v="GNR_HP_ELEC_COP-470"/>
    <x v="0"/>
    <x v="10"/>
    <n v="0.95"/>
    <n v="346.75"/>
    <n v="1248.3"/>
  </r>
  <r>
    <x v="0"/>
    <x v="0"/>
    <x v="0"/>
    <x v="0"/>
    <x v="0"/>
    <s v="DK1_Rural"/>
    <x v="3"/>
    <s v="GNR_HP_ELEC_COP-470"/>
    <x v="0"/>
    <x v="11"/>
    <n v="0.95"/>
    <n v="346.75"/>
    <n v="1248.3"/>
  </r>
  <r>
    <x v="0"/>
    <x v="0"/>
    <x v="0"/>
    <x v="0"/>
    <x v="0"/>
    <s v="DK1_Rural"/>
    <x v="3"/>
    <s v="GNR_HP_ELEC_COP-470"/>
    <x v="0"/>
    <x v="12"/>
    <n v="0.95"/>
    <n v="346.75"/>
    <n v="1248.3"/>
  </r>
  <r>
    <x v="0"/>
    <x v="0"/>
    <x v="0"/>
    <x v="0"/>
    <x v="0"/>
    <s v="DK1_Rural"/>
    <x v="3"/>
    <s v="GNR_HP_ELEC_COP-470"/>
    <x v="0"/>
    <x v="13"/>
    <n v="0.95"/>
    <n v="346.75"/>
    <n v="1248.3"/>
  </r>
  <r>
    <x v="0"/>
    <x v="0"/>
    <x v="0"/>
    <x v="0"/>
    <x v="0"/>
    <s v="DK1_Rural"/>
    <x v="3"/>
    <s v="GNR_HP_ELEC_COP-470"/>
    <x v="0"/>
    <x v="14"/>
    <n v="0.95"/>
    <n v="346.75"/>
    <n v="1248.3"/>
  </r>
  <r>
    <x v="0"/>
    <x v="0"/>
    <x v="0"/>
    <x v="0"/>
    <x v="0"/>
    <s v="DK1_Rural"/>
    <x v="3"/>
    <s v="GNR_HP_ELEC_COP-470"/>
    <x v="0"/>
    <x v="15"/>
    <n v="0.95"/>
    <n v="346.75"/>
    <n v="1248.3"/>
  </r>
  <r>
    <x v="0"/>
    <x v="0"/>
    <x v="0"/>
    <x v="0"/>
    <x v="0"/>
    <s v="DK1_Rural"/>
    <x v="3"/>
    <s v="GNR_HP_ELEC_COP-470"/>
    <x v="0"/>
    <x v="16"/>
    <n v="0.95"/>
    <n v="346.75"/>
    <n v="1248.3"/>
  </r>
  <r>
    <x v="0"/>
    <x v="0"/>
    <x v="0"/>
    <x v="0"/>
    <x v="0"/>
    <s v="DK1_Rural"/>
    <x v="3"/>
    <s v="GNR_HP_ELEC_COP-470"/>
    <x v="0"/>
    <x v="17"/>
    <n v="0.95"/>
    <n v="346.75"/>
    <n v="1248.3"/>
  </r>
  <r>
    <x v="0"/>
    <x v="0"/>
    <x v="0"/>
    <x v="0"/>
    <x v="0"/>
    <s v="DK1_Rural"/>
    <x v="3"/>
    <s v="GNR_HP_ELEC_COP-470"/>
    <x v="0"/>
    <x v="18"/>
    <n v="0.95"/>
    <n v="346.75"/>
    <n v="1248.3"/>
  </r>
  <r>
    <x v="0"/>
    <x v="0"/>
    <x v="0"/>
    <x v="0"/>
    <x v="0"/>
    <s v="DK1_Rural"/>
    <x v="3"/>
    <s v="GNR_HP_ELEC_COP-470"/>
    <x v="0"/>
    <x v="19"/>
    <n v="0.95"/>
    <n v="346.75"/>
    <n v="1248.3"/>
  </r>
  <r>
    <x v="0"/>
    <x v="0"/>
    <x v="0"/>
    <x v="0"/>
    <x v="0"/>
    <s v="DK1_Rural"/>
    <x v="3"/>
    <s v="GNR_HP_ELEC_COP-470"/>
    <x v="0"/>
    <x v="20"/>
    <n v="0.95"/>
    <n v="346.75"/>
    <n v="1248.3"/>
  </r>
  <r>
    <x v="0"/>
    <x v="0"/>
    <x v="0"/>
    <x v="0"/>
    <x v="0"/>
    <s v="DK1_Rural"/>
    <x v="3"/>
    <s v="GNR_HP_ELEC_COP-470"/>
    <x v="0"/>
    <x v="21"/>
    <n v="0.95"/>
    <n v="346.75"/>
    <n v="1248.3"/>
  </r>
  <r>
    <x v="0"/>
    <x v="0"/>
    <x v="0"/>
    <x v="0"/>
    <x v="0"/>
    <s v="DK1_Rural"/>
    <x v="3"/>
    <s v="GNR_HP_ELEC_COP-470"/>
    <x v="0"/>
    <x v="22"/>
    <n v="0.95"/>
    <n v="346.75"/>
    <n v="1248.3"/>
  </r>
  <r>
    <x v="0"/>
    <x v="0"/>
    <x v="0"/>
    <x v="0"/>
    <x v="0"/>
    <s v="DK1_Rural"/>
    <x v="3"/>
    <s v="GNR_HP_ELEC_COP-470"/>
    <x v="0"/>
    <x v="23"/>
    <n v="0.95"/>
    <n v="346.75"/>
    <n v="1248.3"/>
  </r>
  <r>
    <x v="0"/>
    <x v="0"/>
    <x v="0"/>
    <x v="0"/>
    <x v="0"/>
    <s v="DK1_Rural"/>
    <x v="3"/>
    <s v="GNR_HP_ELEC_COP-500"/>
    <x v="0"/>
    <x v="0"/>
    <n v="0.5"/>
    <n v="182.5"/>
    <n v="657"/>
  </r>
  <r>
    <x v="0"/>
    <x v="0"/>
    <x v="0"/>
    <x v="0"/>
    <x v="0"/>
    <s v="DK1_Rural"/>
    <x v="3"/>
    <s v="GNR_HP_ELEC_COP-500"/>
    <x v="0"/>
    <x v="1"/>
    <n v="0.5"/>
    <n v="182.5"/>
    <n v="657"/>
  </r>
  <r>
    <x v="0"/>
    <x v="0"/>
    <x v="0"/>
    <x v="0"/>
    <x v="0"/>
    <s v="DK1_Rural"/>
    <x v="3"/>
    <s v="GNR_HP_ELEC_COP-500"/>
    <x v="0"/>
    <x v="2"/>
    <n v="0.5"/>
    <n v="182.5"/>
    <n v="657"/>
  </r>
  <r>
    <x v="0"/>
    <x v="0"/>
    <x v="0"/>
    <x v="0"/>
    <x v="0"/>
    <s v="DK1_Rural"/>
    <x v="3"/>
    <s v="GNR_HP_ELEC_COP-500"/>
    <x v="0"/>
    <x v="3"/>
    <n v="0.5"/>
    <n v="182.5"/>
    <n v="657"/>
  </r>
  <r>
    <x v="0"/>
    <x v="0"/>
    <x v="0"/>
    <x v="0"/>
    <x v="0"/>
    <s v="DK1_Rural"/>
    <x v="3"/>
    <s v="GNR_HP_ELEC_COP-500"/>
    <x v="0"/>
    <x v="4"/>
    <n v="0.5"/>
    <n v="182.5"/>
    <n v="657"/>
  </r>
  <r>
    <x v="0"/>
    <x v="0"/>
    <x v="0"/>
    <x v="0"/>
    <x v="0"/>
    <s v="DK1_Rural"/>
    <x v="3"/>
    <s v="GNR_HP_ELEC_COP-500"/>
    <x v="0"/>
    <x v="5"/>
    <n v="0.5"/>
    <n v="182.5"/>
    <n v="657"/>
  </r>
  <r>
    <x v="0"/>
    <x v="0"/>
    <x v="0"/>
    <x v="0"/>
    <x v="0"/>
    <s v="DK1_Rural"/>
    <x v="3"/>
    <s v="GNR_HP_ELEC_COP-500"/>
    <x v="0"/>
    <x v="6"/>
    <n v="0.5"/>
    <n v="182.5"/>
    <n v="657"/>
  </r>
  <r>
    <x v="0"/>
    <x v="0"/>
    <x v="0"/>
    <x v="0"/>
    <x v="0"/>
    <s v="DK1_Rural"/>
    <x v="3"/>
    <s v="GNR_HP_ELEC_COP-500"/>
    <x v="0"/>
    <x v="7"/>
    <n v="0.5"/>
    <n v="182.5"/>
    <n v="657"/>
  </r>
  <r>
    <x v="0"/>
    <x v="0"/>
    <x v="0"/>
    <x v="0"/>
    <x v="0"/>
    <s v="DK1_Rural"/>
    <x v="3"/>
    <s v="GNR_HP_ELEC_COP-500"/>
    <x v="0"/>
    <x v="8"/>
    <n v="0.5"/>
    <n v="182.5"/>
    <n v="657"/>
  </r>
  <r>
    <x v="0"/>
    <x v="0"/>
    <x v="0"/>
    <x v="0"/>
    <x v="0"/>
    <s v="DK1_Rural"/>
    <x v="3"/>
    <s v="GNR_HP_ELEC_COP-500"/>
    <x v="0"/>
    <x v="9"/>
    <n v="0.5"/>
    <n v="182.5"/>
    <n v="657"/>
  </r>
  <r>
    <x v="0"/>
    <x v="0"/>
    <x v="0"/>
    <x v="0"/>
    <x v="0"/>
    <s v="DK1_Rural"/>
    <x v="3"/>
    <s v="GNR_HP_ELEC_COP-500"/>
    <x v="0"/>
    <x v="10"/>
    <n v="0.5"/>
    <n v="182.5"/>
    <n v="657"/>
  </r>
  <r>
    <x v="0"/>
    <x v="0"/>
    <x v="0"/>
    <x v="0"/>
    <x v="0"/>
    <s v="DK1_Rural"/>
    <x v="3"/>
    <s v="GNR_HP_ELEC_COP-500"/>
    <x v="0"/>
    <x v="11"/>
    <n v="0.5"/>
    <n v="182.5"/>
    <n v="657"/>
  </r>
  <r>
    <x v="0"/>
    <x v="0"/>
    <x v="0"/>
    <x v="0"/>
    <x v="0"/>
    <s v="DK1_Rural"/>
    <x v="3"/>
    <s v="GNR_HP_ELEC_COP-500"/>
    <x v="0"/>
    <x v="12"/>
    <n v="0.5"/>
    <n v="182.5"/>
    <n v="657"/>
  </r>
  <r>
    <x v="0"/>
    <x v="0"/>
    <x v="0"/>
    <x v="0"/>
    <x v="0"/>
    <s v="DK1_Rural"/>
    <x v="3"/>
    <s v="GNR_HP_ELEC_COP-500"/>
    <x v="0"/>
    <x v="13"/>
    <n v="0.5"/>
    <n v="182.5"/>
    <n v="657"/>
  </r>
  <r>
    <x v="0"/>
    <x v="0"/>
    <x v="0"/>
    <x v="0"/>
    <x v="0"/>
    <s v="DK1_Rural"/>
    <x v="3"/>
    <s v="GNR_HP_ELEC_COP-500"/>
    <x v="0"/>
    <x v="14"/>
    <n v="0.5"/>
    <n v="182.5"/>
    <n v="657"/>
  </r>
  <r>
    <x v="0"/>
    <x v="0"/>
    <x v="0"/>
    <x v="0"/>
    <x v="0"/>
    <s v="DK1_Rural"/>
    <x v="3"/>
    <s v="GNR_HP_ELEC_COP-500"/>
    <x v="0"/>
    <x v="15"/>
    <n v="0.5"/>
    <n v="182.5"/>
    <n v="657"/>
  </r>
  <r>
    <x v="0"/>
    <x v="0"/>
    <x v="0"/>
    <x v="0"/>
    <x v="0"/>
    <s v="DK1_Rural"/>
    <x v="3"/>
    <s v="GNR_HP_ELEC_COP-500"/>
    <x v="0"/>
    <x v="16"/>
    <n v="0.5"/>
    <n v="182.5"/>
    <n v="657"/>
  </r>
  <r>
    <x v="0"/>
    <x v="0"/>
    <x v="0"/>
    <x v="0"/>
    <x v="0"/>
    <s v="DK1_Rural"/>
    <x v="3"/>
    <s v="GNR_HP_ELEC_COP-500"/>
    <x v="0"/>
    <x v="17"/>
    <n v="0.5"/>
    <n v="182.5"/>
    <n v="657"/>
  </r>
  <r>
    <x v="0"/>
    <x v="0"/>
    <x v="0"/>
    <x v="0"/>
    <x v="0"/>
    <s v="DK1_Rural"/>
    <x v="3"/>
    <s v="GNR_HP_ELEC_COP-500"/>
    <x v="0"/>
    <x v="18"/>
    <n v="0.5"/>
    <n v="182.5"/>
    <n v="657"/>
  </r>
  <r>
    <x v="0"/>
    <x v="0"/>
    <x v="0"/>
    <x v="0"/>
    <x v="0"/>
    <s v="DK1_Rural"/>
    <x v="3"/>
    <s v="GNR_HP_ELEC_COP-500"/>
    <x v="0"/>
    <x v="19"/>
    <n v="0.5"/>
    <n v="182.5"/>
    <n v="657"/>
  </r>
  <r>
    <x v="0"/>
    <x v="0"/>
    <x v="0"/>
    <x v="0"/>
    <x v="0"/>
    <s v="DK1_Rural"/>
    <x v="3"/>
    <s v="GNR_HP_ELEC_COP-500"/>
    <x v="0"/>
    <x v="20"/>
    <n v="0.5"/>
    <n v="182.5"/>
    <n v="657"/>
  </r>
  <r>
    <x v="0"/>
    <x v="0"/>
    <x v="0"/>
    <x v="0"/>
    <x v="0"/>
    <s v="DK1_Rural"/>
    <x v="3"/>
    <s v="GNR_HP_ELEC_COP-500"/>
    <x v="0"/>
    <x v="21"/>
    <n v="0.5"/>
    <n v="182.5"/>
    <n v="657"/>
  </r>
  <r>
    <x v="0"/>
    <x v="0"/>
    <x v="0"/>
    <x v="0"/>
    <x v="0"/>
    <s v="DK1_Rural"/>
    <x v="3"/>
    <s v="GNR_HP_ELEC_COP-500"/>
    <x v="0"/>
    <x v="22"/>
    <n v="0.5"/>
    <n v="182.5"/>
    <n v="657"/>
  </r>
  <r>
    <x v="0"/>
    <x v="0"/>
    <x v="0"/>
    <x v="0"/>
    <x v="0"/>
    <s v="DK1_Rural"/>
    <x v="3"/>
    <s v="GNR_HP_ELEC_COP-500"/>
    <x v="0"/>
    <x v="23"/>
    <n v="0.5"/>
    <n v="182.5"/>
    <n v="657"/>
  </r>
  <r>
    <x v="0"/>
    <x v="0"/>
    <x v="0"/>
    <x v="0"/>
    <x v="0"/>
    <s v="DK1_Rural"/>
    <x v="3"/>
    <s v="GNR_HP_ELEC_COP-530"/>
    <x v="0"/>
    <x v="0"/>
    <n v="1.35"/>
    <n v="492.75"/>
    <n v="1773.9"/>
  </r>
  <r>
    <x v="0"/>
    <x v="0"/>
    <x v="0"/>
    <x v="0"/>
    <x v="0"/>
    <s v="DK1_Rural"/>
    <x v="3"/>
    <s v="GNR_HP_ELEC_COP-530"/>
    <x v="0"/>
    <x v="1"/>
    <n v="1.35"/>
    <n v="492.75"/>
    <n v="1773.9"/>
  </r>
  <r>
    <x v="0"/>
    <x v="0"/>
    <x v="0"/>
    <x v="0"/>
    <x v="0"/>
    <s v="DK1_Rural"/>
    <x v="3"/>
    <s v="GNR_HP_ELEC_COP-530"/>
    <x v="0"/>
    <x v="2"/>
    <n v="1.35"/>
    <n v="492.75"/>
    <n v="1773.9"/>
  </r>
  <r>
    <x v="0"/>
    <x v="0"/>
    <x v="0"/>
    <x v="0"/>
    <x v="0"/>
    <s v="DK1_Rural"/>
    <x v="3"/>
    <s v="GNR_HP_ELEC_COP-530"/>
    <x v="0"/>
    <x v="3"/>
    <n v="1.35"/>
    <n v="492.75"/>
    <n v="1773.9"/>
  </r>
  <r>
    <x v="0"/>
    <x v="0"/>
    <x v="0"/>
    <x v="0"/>
    <x v="0"/>
    <s v="DK1_Rural"/>
    <x v="3"/>
    <s v="GNR_HP_ELEC_COP-530"/>
    <x v="0"/>
    <x v="4"/>
    <n v="1.35"/>
    <n v="492.75"/>
    <n v="1773.9"/>
  </r>
  <r>
    <x v="0"/>
    <x v="0"/>
    <x v="0"/>
    <x v="0"/>
    <x v="0"/>
    <s v="DK1_Rural"/>
    <x v="3"/>
    <s v="GNR_HP_ELEC_COP-530"/>
    <x v="0"/>
    <x v="5"/>
    <n v="1.35"/>
    <n v="492.75"/>
    <n v="1773.9"/>
  </r>
  <r>
    <x v="0"/>
    <x v="0"/>
    <x v="0"/>
    <x v="0"/>
    <x v="0"/>
    <s v="DK1_Rural"/>
    <x v="3"/>
    <s v="GNR_HP_ELEC_COP-530"/>
    <x v="0"/>
    <x v="6"/>
    <n v="1.35"/>
    <n v="492.75"/>
    <n v="1773.9"/>
  </r>
  <r>
    <x v="0"/>
    <x v="0"/>
    <x v="0"/>
    <x v="0"/>
    <x v="0"/>
    <s v="DK1_Rural"/>
    <x v="3"/>
    <s v="GNR_HP_ELEC_COP-530"/>
    <x v="0"/>
    <x v="7"/>
    <n v="1.35"/>
    <n v="492.75"/>
    <n v="1773.9"/>
  </r>
  <r>
    <x v="0"/>
    <x v="0"/>
    <x v="0"/>
    <x v="0"/>
    <x v="0"/>
    <s v="DK1_Rural"/>
    <x v="3"/>
    <s v="GNR_HP_ELEC_COP-530"/>
    <x v="0"/>
    <x v="8"/>
    <n v="1.35"/>
    <n v="492.75"/>
    <n v="1773.9"/>
  </r>
  <r>
    <x v="0"/>
    <x v="0"/>
    <x v="0"/>
    <x v="0"/>
    <x v="0"/>
    <s v="DK1_Rural"/>
    <x v="3"/>
    <s v="GNR_HP_ELEC_COP-530"/>
    <x v="0"/>
    <x v="9"/>
    <n v="1.35"/>
    <n v="492.75"/>
    <n v="1773.9"/>
  </r>
  <r>
    <x v="0"/>
    <x v="0"/>
    <x v="0"/>
    <x v="0"/>
    <x v="0"/>
    <s v="DK1_Rural"/>
    <x v="3"/>
    <s v="GNR_HP_ELEC_COP-530"/>
    <x v="0"/>
    <x v="10"/>
    <n v="1.35"/>
    <n v="492.75"/>
    <n v="1773.9"/>
  </r>
  <r>
    <x v="0"/>
    <x v="0"/>
    <x v="0"/>
    <x v="0"/>
    <x v="0"/>
    <s v="DK1_Rural"/>
    <x v="3"/>
    <s v="GNR_HP_ELEC_COP-530"/>
    <x v="0"/>
    <x v="11"/>
    <n v="1.35"/>
    <n v="492.75"/>
    <n v="1773.9"/>
  </r>
  <r>
    <x v="0"/>
    <x v="0"/>
    <x v="0"/>
    <x v="0"/>
    <x v="0"/>
    <s v="DK1_Rural"/>
    <x v="3"/>
    <s v="GNR_HP_ELEC_COP-530"/>
    <x v="0"/>
    <x v="12"/>
    <n v="1.35"/>
    <n v="492.75"/>
    <n v="1773.9"/>
  </r>
  <r>
    <x v="0"/>
    <x v="0"/>
    <x v="0"/>
    <x v="0"/>
    <x v="0"/>
    <s v="DK1_Rural"/>
    <x v="3"/>
    <s v="GNR_HP_ELEC_COP-530"/>
    <x v="0"/>
    <x v="13"/>
    <n v="1.35"/>
    <n v="492.75"/>
    <n v="1773.9"/>
  </r>
  <r>
    <x v="0"/>
    <x v="0"/>
    <x v="0"/>
    <x v="0"/>
    <x v="0"/>
    <s v="DK1_Rural"/>
    <x v="3"/>
    <s v="GNR_HP_ELEC_COP-530"/>
    <x v="0"/>
    <x v="14"/>
    <n v="1.35"/>
    <n v="492.75"/>
    <n v="1773.9"/>
  </r>
  <r>
    <x v="0"/>
    <x v="0"/>
    <x v="0"/>
    <x v="0"/>
    <x v="0"/>
    <s v="DK1_Rural"/>
    <x v="3"/>
    <s v="GNR_HP_ELEC_COP-530"/>
    <x v="0"/>
    <x v="15"/>
    <n v="1.35"/>
    <n v="492.75"/>
    <n v="1773.9"/>
  </r>
  <r>
    <x v="0"/>
    <x v="0"/>
    <x v="0"/>
    <x v="0"/>
    <x v="0"/>
    <s v="DK1_Rural"/>
    <x v="3"/>
    <s v="GNR_HP_ELEC_COP-530"/>
    <x v="0"/>
    <x v="16"/>
    <n v="1.35"/>
    <n v="492.75"/>
    <n v="1773.9"/>
  </r>
  <r>
    <x v="0"/>
    <x v="0"/>
    <x v="0"/>
    <x v="0"/>
    <x v="0"/>
    <s v="DK1_Rural"/>
    <x v="3"/>
    <s v="GNR_HP_ELEC_COP-530"/>
    <x v="0"/>
    <x v="17"/>
    <n v="1.35"/>
    <n v="492.75"/>
    <n v="1773.9"/>
  </r>
  <r>
    <x v="0"/>
    <x v="0"/>
    <x v="0"/>
    <x v="0"/>
    <x v="0"/>
    <s v="DK1_Rural"/>
    <x v="3"/>
    <s v="GNR_HP_ELEC_COP-530"/>
    <x v="0"/>
    <x v="18"/>
    <n v="1.35"/>
    <n v="492.75"/>
    <n v="1773.9"/>
  </r>
  <r>
    <x v="0"/>
    <x v="0"/>
    <x v="0"/>
    <x v="0"/>
    <x v="0"/>
    <s v="DK1_Rural"/>
    <x v="3"/>
    <s v="GNR_HP_ELEC_COP-530"/>
    <x v="0"/>
    <x v="19"/>
    <n v="1.35"/>
    <n v="492.75"/>
    <n v="1773.9"/>
  </r>
  <r>
    <x v="0"/>
    <x v="0"/>
    <x v="0"/>
    <x v="0"/>
    <x v="0"/>
    <s v="DK1_Rural"/>
    <x v="3"/>
    <s v="GNR_HP_ELEC_COP-530"/>
    <x v="0"/>
    <x v="20"/>
    <n v="1.35"/>
    <n v="492.75"/>
    <n v="1773.9"/>
  </r>
  <r>
    <x v="0"/>
    <x v="0"/>
    <x v="0"/>
    <x v="0"/>
    <x v="0"/>
    <s v="DK1_Rural"/>
    <x v="3"/>
    <s v="GNR_HP_ELEC_COP-530"/>
    <x v="0"/>
    <x v="21"/>
    <n v="1.35"/>
    <n v="492.75"/>
    <n v="1773.9"/>
  </r>
  <r>
    <x v="0"/>
    <x v="0"/>
    <x v="0"/>
    <x v="0"/>
    <x v="0"/>
    <s v="DK1_Rural"/>
    <x v="3"/>
    <s v="GNR_HP_ELEC_COP-530"/>
    <x v="0"/>
    <x v="22"/>
    <n v="1.35"/>
    <n v="492.75"/>
    <n v="1773.9"/>
  </r>
  <r>
    <x v="0"/>
    <x v="0"/>
    <x v="0"/>
    <x v="0"/>
    <x v="0"/>
    <s v="DK1_Rural"/>
    <x v="3"/>
    <s v="GNR_HP_ELEC_COP-530"/>
    <x v="0"/>
    <x v="23"/>
    <n v="1.35"/>
    <n v="492.75"/>
    <n v="1773.9"/>
  </r>
  <r>
    <x v="0"/>
    <x v="0"/>
    <x v="0"/>
    <x v="0"/>
    <x v="0"/>
    <s v="DK1_Rural"/>
    <x v="3"/>
    <s v="GNR_HP_ELEC_COP-600"/>
    <x v="0"/>
    <x v="0"/>
    <n v="0.3"/>
    <n v="109.5"/>
    <n v="394.2"/>
  </r>
  <r>
    <x v="0"/>
    <x v="0"/>
    <x v="0"/>
    <x v="0"/>
    <x v="0"/>
    <s v="DK1_Rural"/>
    <x v="3"/>
    <s v="GNR_HP_ELEC_COP-600"/>
    <x v="0"/>
    <x v="1"/>
    <n v="0.3"/>
    <n v="109.5"/>
    <n v="394.2"/>
  </r>
  <r>
    <x v="0"/>
    <x v="0"/>
    <x v="0"/>
    <x v="0"/>
    <x v="0"/>
    <s v="DK1_Rural"/>
    <x v="3"/>
    <s v="GNR_HP_ELEC_COP-600"/>
    <x v="0"/>
    <x v="2"/>
    <n v="0.3"/>
    <n v="109.5"/>
    <n v="394.2"/>
  </r>
  <r>
    <x v="0"/>
    <x v="0"/>
    <x v="0"/>
    <x v="0"/>
    <x v="0"/>
    <s v="DK1_Rural"/>
    <x v="3"/>
    <s v="GNR_HP_ELEC_COP-600"/>
    <x v="0"/>
    <x v="3"/>
    <n v="0.3"/>
    <n v="109.5"/>
    <n v="394.2"/>
  </r>
  <r>
    <x v="0"/>
    <x v="0"/>
    <x v="0"/>
    <x v="0"/>
    <x v="0"/>
    <s v="DK1_Rural"/>
    <x v="3"/>
    <s v="GNR_HP_ELEC_COP-600"/>
    <x v="0"/>
    <x v="4"/>
    <n v="0.3"/>
    <n v="109.5"/>
    <n v="394.2"/>
  </r>
  <r>
    <x v="0"/>
    <x v="0"/>
    <x v="0"/>
    <x v="0"/>
    <x v="0"/>
    <s v="DK1_Rural"/>
    <x v="3"/>
    <s v="GNR_HP_ELEC_COP-600"/>
    <x v="0"/>
    <x v="5"/>
    <n v="0.3"/>
    <n v="109.5"/>
    <n v="394.2"/>
  </r>
  <r>
    <x v="0"/>
    <x v="0"/>
    <x v="0"/>
    <x v="0"/>
    <x v="0"/>
    <s v="DK1_Rural"/>
    <x v="3"/>
    <s v="GNR_HP_ELEC_COP-600"/>
    <x v="0"/>
    <x v="6"/>
    <n v="0.3"/>
    <n v="109.5"/>
    <n v="394.2"/>
  </r>
  <r>
    <x v="0"/>
    <x v="0"/>
    <x v="0"/>
    <x v="0"/>
    <x v="0"/>
    <s v="DK1_Rural"/>
    <x v="3"/>
    <s v="GNR_HP_ELEC_COP-600"/>
    <x v="0"/>
    <x v="7"/>
    <n v="0.3"/>
    <n v="109.5"/>
    <n v="394.2"/>
  </r>
  <r>
    <x v="0"/>
    <x v="0"/>
    <x v="0"/>
    <x v="0"/>
    <x v="0"/>
    <s v="DK1_Rural"/>
    <x v="3"/>
    <s v="GNR_HP_ELEC_COP-600"/>
    <x v="0"/>
    <x v="8"/>
    <n v="0.3"/>
    <n v="109.5"/>
    <n v="394.2"/>
  </r>
  <r>
    <x v="0"/>
    <x v="0"/>
    <x v="0"/>
    <x v="0"/>
    <x v="0"/>
    <s v="DK1_Rural"/>
    <x v="3"/>
    <s v="GNR_HP_ELEC_COP-600"/>
    <x v="0"/>
    <x v="9"/>
    <n v="0.3"/>
    <n v="109.5"/>
    <n v="394.2"/>
  </r>
  <r>
    <x v="0"/>
    <x v="0"/>
    <x v="0"/>
    <x v="0"/>
    <x v="0"/>
    <s v="DK1_Rural"/>
    <x v="3"/>
    <s v="GNR_HP_ELEC_COP-600"/>
    <x v="0"/>
    <x v="10"/>
    <n v="0.3"/>
    <n v="109.5"/>
    <n v="394.2"/>
  </r>
  <r>
    <x v="0"/>
    <x v="0"/>
    <x v="0"/>
    <x v="0"/>
    <x v="0"/>
    <s v="DK1_Rural"/>
    <x v="3"/>
    <s v="GNR_HP_ELEC_COP-600"/>
    <x v="0"/>
    <x v="11"/>
    <n v="0.3"/>
    <n v="109.5"/>
    <n v="394.2"/>
  </r>
  <r>
    <x v="0"/>
    <x v="0"/>
    <x v="0"/>
    <x v="0"/>
    <x v="0"/>
    <s v="DK1_Rural"/>
    <x v="3"/>
    <s v="GNR_HP_ELEC_COP-600"/>
    <x v="0"/>
    <x v="12"/>
    <n v="0.3"/>
    <n v="109.5"/>
    <n v="394.2"/>
  </r>
  <r>
    <x v="0"/>
    <x v="0"/>
    <x v="0"/>
    <x v="0"/>
    <x v="0"/>
    <s v="DK1_Rural"/>
    <x v="3"/>
    <s v="GNR_HP_ELEC_COP-600"/>
    <x v="0"/>
    <x v="13"/>
    <n v="0.3"/>
    <n v="109.5"/>
    <n v="394.2"/>
  </r>
  <r>
    <x v="0"/>
    <x v="0"/>
    <x v="0"/>
    <x v="0"/>
    <x v="0"/>
    <s v="DK1_Rural"/>
    <x v="3"/>
    <s v="GNR_HP_ELEC_COP-600"/>
    <x v="0"/>
    <x v="14"/>
    <n v="0.3"/>
    <n v="109.5"/>
    <n v="394.2"/>
  </r>
  <r>
    <x v="0"/>
    <x v="0"/>
    <x v="0"/>
    <x v="0"/>
    <x v="0"/>
    <s v="DK1_Rural"/>
    <x v="3"/>
    <s v="GNR_HP_ELEC_COP-600"/>
    <x v="0"/>
    <x v="15"/>
    <n v="0.3"/>
    <n v="109.5"/>
    <n v="394.2"/>
  </r>
  <r>
    <x v="0"/>
    <x v="0"/>
    <x v="0"/>
    <x v="0"/>
    <x v="0"/>
    <s v="DK1_Rural"/>
    <x v="3"/>
    <s v="GNR_HP_ELEC_COP-600"/>
    <x v="0"/>
    <x v="16"/>
    <n v="0.3"/>
    <n v="109.5"/>
    <n v="394.2"/>
  </r>
  <r>
    <x v="0"/>
    <x v="0"/>
    <x v="0"/>
    <x v="0"/>
    <x v="0"/>
    <s v="DK1_Rural"/>
    <x v="3"/>
    <s v="GNR_HP_ELEC_COP-600"/>
    <x v="0"/>
    <x v="17"/>
    <n v="0.3"/>
    <n v="109.5"/>
    <n v="394.2"/>
  </r>
  <r>
    <x v="0"/>
    <x v="0"/>
    <x v="0"/>
    <x v="0"/>
    <x v="0"/>
    <s v="DK1_Rural"/>
    <x v="3"/>
    <s v="GNR_HP_ELEC_COP-600"/>
    <x v="0"/>
    <x v="18"/>
    <n v="0.3"/>
    <n v="109.5"/>
    <n v="394.2"/>
  </r>
  <r>
    <x v="0"/>
    <x v="0"/>
    <x v="0"/>
    <x v="0"/>
    <x v="0"/>
    <s v="DK1_Rural"/>
    <x v="3"/>
    <s v="GNR_HP_ELEC_COP-600"/>
    <x v="0"/>
    <x v="19"/>
    <n v="0.3"/>
    <n v="109.5"/>
    <n v="394.2"/>
  </r>
  <r>
    <x v="0"/>
    <x v="0"/>
    <x v="0"/>
    <x v="0"/>
    <x v="0"/>
    <s v="DK1_Rural"/>
    <x v="3"/>
    <s v="GNR_HP_ELEC_COP-600"/>
    <x v="0"/>
    <x v="20"/>
    <n v="0.3"/>
    <n v="109.5"/>
    <n v="394.2"/>
  </r>
  <r>
    <x v="0"/>
    <x v="0"/>
    <x v="0"/>
    <x v="0"/>
    <x v="0"/>
    <s v="DK1_Rural"/>
    <x v="3"/>
    <s v="GNR_HP_ELEC_COP-600"/>
    <x v="0"/>
    <x v="21"/>
    <n v="0.3"/>
    <n v="109.5"/>
    <n v="394.2"/>
  </r>
  <r>
    <x v="0"/>
    <x v="0"/>
    <x v="0"/>
    <x v="0"/>
    <x v="0"/>
    <s v="DK1_Rural"/>
    <x v="3"/>
    <s v="GNR_HP_ELEC_COP-600"/>
    <x v="0"/>
    <x v="22"/>
    <n v="0.3"/>
    <n v="109.5"/>
    <n v="394.2"/>
  </r>
  <r>
    <x v="0"/>
    <x v="0"/>
    <x v="0"/>
    <x v="0"/>
    <x v="0"/>
    <s v="DK1_Rural"/>
    <x v="3"/>
    <s v="GNR_HP_ELEC_COP-600"/>
    <x v="0"/>
    <x v="23"/>
    <n v="0.3"/>
    <n v="109.5"/>
    <n v="394.2"/>
  </r>
  <r>
    <x v="0"/>
    <x v="0"/>
    <x v="0"/>
    <x v="0"/>
    <x v="0"/>
    <s v="DK1_Rural"/>
    <x v="5"/>
    <s v="GNR_BO_STRW_E-100"/>
    <x v="0"/>
    <x v="0"/>
    <n v="133.37"/>
    <n v="48680.05"/>
    <n v="175248.18"/>
  </r>
  <r>
    <x v="0"/>
    <x v="0"/>
    <x v="0"/>
    <x v="0"/>
    <x v="0"/>
    <s v="DK1_Rural"/>
    <x v="5"/>
    <s v="GNR_BO_STRW_E-100"/>
    <x v="0"/>
    <x v="1"/>
    <n v="133.37"/>
    <n v="48680.05"/>
    <n v="175248.18"/>
  </r>
  <r>
    <x v="0"/>
    <x v="0"/>
    <x v="0"/>
    <x v="0"/>
    <x v="0"/>
    <s v="DK1_Rural"/>
    <x v="5"/>
    <s v="GNR_BO_STRW_E-100"/>
    <x v="0"/>
    <x v="2"/>
    <n v="133.37"/>
    <n v="48680.05"/>
    <n v="175248.18"/>
  </r>
  <r>
    <x v="0"/>
    <x v="0"/>
    <x v="0"/>
    <x v="0"/>
    <x v="0"/>
    <s v="DK1_Rural"/>
    <x v="5"/>
    <s v="GNR_BO_STRW_E-100"/>
    <x v="0"/>
    <x v="3"/>
    <n v="133.37"/>
    <n v="48680.05"/>
    <n v="175248.18"/>
  </r>
  <r>
    <x v="0"/>
    <x v="0"/>
    <x v="0"/>
    <x v="0"/>
    <x v="0"/>
    <s v="DK1_Rural"/>
    <x v="5"/>
    <s v="GNR_BO_STRW_E-100"/>
    <x v="0"/>
    <x v="4"/>
    <n v="133.37"/>
    <n v="48680.05"/>
    <n v="175248.18"/>
  </r>
  <r>
    <x v="0"/>
    <x v="0"/>
    <x v="0"/>
    <x v="0"/>
    <x v="0"/>
    <s v="DK1_Rural"/>
    <x v="5"/>
    <s v="GNR_BO_STRW_E-100"/>
    <x v="0"/>
    <x v="5"/>
    <n v="133.37"/>
    <n v="48680.05"/>
    <n v="175248.18"/>
  </r>
  <r>
    <x v="0"/>
    <x v="0"/>
    <x v="0"/>
    <x v="0"/>
    <x v="0"/>
    <s v="DK1_Rural"/>
    <x v="5"/>
    <s v="GNR_BO_STRW_E-100"/>
    <x v="0"/>
    <x v="6"/>
    <n v="133.37"/>
    <n v="48680.05"/>
    <n v="175248.18"/>
  </r>
  <r>
    <x v="0"/>
    <x v="0"/>
    <x v="0"/>
    <x v="0"/>
    <x v="0"/>
    <s v="DK1_Rural"/>
    <x v="5"/>
    <s v="GNR_BO_STRW_E-100"/>
    <x v="0"/>
    <x v="7"/>
    <n v="133.37"/>
    <n v="48680.05"/>
    <n v="175248.18"/>
  </r>
  <r>
    <x v="0"/>
    <x v="0"/>
    <x v="0"/>
    <x v="0"/>
    <x v="0"/>
    <s v="DK1_Rural"/>
    <x v="5"/>
    <s v="GNR_BO_STRW_E-100"/>
    <x v="0"/>
    <x v="8"/>
    <n v="133.37"/>
    <n v="48680.05"/>
    <n v="175248.18"/>
  </r>
  <r>
    <x v="0"/>
    <x v="0"/>
    <x v="0"/>
    <x v="0"/>
    <x v="0"/>
    <s v="DK1_Rural"/>
    <x v="5"/>
    <s v="GNR_BO_STRW_E-100"/>
    <x v="0"/>
    <x v="9"/>
    <n v="133.37"/>
    <n v="48680.05"/>
    <n v="175248.18"/>
  </r>
  <r>
    <x v="0"/>
    <x v="0"/>
    <x v="0"/>
    <x v="0"/>
    <x v="0"/>
    <s v="DK1_Rural"/>
    <x v="5"/>
    <s v="GNR_BO_STRW_E-100"/>
    <x v="0"/>
    <x v="10"/>
    <n v="133.37"/>
    <n v="48680.05"/>
    <n v="175248.18"/>
  </r>
  <r>
    <x v="0"/>
    <x v="0"/>
    <x v="0"/>
    <x v="0"/>
    <x v="0"/>
    <s v="DK1_Rural"/>
    <x v="5"/>
    <s v="GNR_BO_STRW_E-100"/>
    <x v="0"/>
    <x v="11"/>
    <n v="133.37"/>
    <n v="48680.05"/>
    <n v="175248.18"/>
  </r>
  <r>
    <x v="0"/>
    <x v="0"/>
    <x v="0"/>
    <x v="0"/>
    <x v="0"/>
    <s v="DK1_Rural"/>
    <x v="5"/>
    <s v="GNR_BO_STRW_E-100"/>
    <x v="0"/>
    <x v="12"/>
    <n v="133.37"/>
    <n v="48680.05"/>
    <n v="175248.18"/>
  </r>
  <r>
    <x v="0"/>
    <x v="0"/>
    <x v="0"/>
    <x v="0"/>
    <x v="0"/>
    <s v="DK1_Rural"/>
    <x v="5"/>
    <s v="GNR_BO_STRW_E-100"/>
    <x v="0"/>
    <x v="13"/>
    <n v="133.37"/>
    <n v="48680.05"/>
    <n v="175248.18"/>
  </r>
  <r>
    <x v="0"/>
    <x v="0"/>
    <x v="0"/>
    <x v="0"/>
    <x v="0"/>
    <s v="DK1_Rural"/>
    <x v="5"/>
    <s v="GNR_BO_STRW_E-100"/>
    <x v="0"/>
    <x v="14"/>
    <n v="133.37"/>
    <n v="48680.05"/>
    <n v="175248.18"/>
  </r>
  <r>
    <x v="0"/>
    <x v="0"/>
    <x v="0"/>
    <x v="0"/>
    <x v="0"/>
    <s v="DK1_Rural"/>
    <x v="5"/>
    <s v="GNR_BO_STRW_E-100"/>
    <x v="0"/>
    <x v="15"/>
    <n v="133.37"/>
    <n v="48680.05"/>
    <n v="175248.18"/>
  </r>
  <r>
    <x v="0"/>
    <x v="0"/>
    <x v="0"/>
    <x v="0"/>
    <x v="0"/>
    <s v="DK1_Rural"/>
    <x v="5"/>
    <s v="GNR_BO_STRW_E-100"/>
    <x v="0"/>
    <x v="16"/>
    <n v="133.37"/>
    <n v="48680.05"/>
    <n v="175248.18"/>
  </r>
  <r>
    <x v="0"/>
    <x v="0"/>
    <x v="0"/>
    <x v="0"/>
    <x v="0"/>
    <s v="DK1_Rural"/>
    <x v="5"/>
    <s v="GNR_BO_STRW_E-100"/>
    <x v="0"/>
    <x v="17"/>
    <n v="133.37"/>
    <n v="48680.05"/>
    <n v="175248.18"/>
  </r>
  <r>
    <x v="0"/>
    <x v="0"/>
    <x v="0"/>
    <x v="0"/>
    <x v="0"/>
    <s v="DK1_Rural"/>
    <x v="5"/>
    <s v="GNR_BO_STRW_E-100"/>
    <x v="0"/>
    <x v="18"/>
    <n v="133.37"/>
    <n v="48680.05"/>
    <n v="175248.18"/>
  </r>
  <r>
    <x v="0"/>
    <x v="0"/>
    <x v="0"/>
    <x v="0"/>
    <x v="0"/>
    <s v="DK1_Rural"/>
    <x v="5"/>
    <s v="GNR_BO_STRW_E-100"/>
    <x v="0"/>
    <x v="19"/>
    <n v="133.37"/>
    <n v="48680.05"/>
    <n v="175248.18"/>
  </r>
  <r>
    <x v="0"/>
    <x v="0"/>
    <x v="0"/>
    <x v="0"/>
    <x v="0"/>
    <s v="DK1_Rural"/>
    <x v="5"/>
    <s v="GNR_BO_STRW_E-100"/>
    <x v="0"/>
    <x v="20"/>
    <n v="133.37"/>
    <n v="48680.05"/>
    <n v="175248.18"/>
  </r>
  <r>
    <x v="0"/>
    <x v="0"/>
    <x v="0"/>
    <x v="0"/>
    <x v="0"/>
    <s v="DK1_Rural"/>
    <x v="5"/>
    <s v="GNR_BO_STRW_E-100"/>
    <x v="0"/>
    <x v="21"/>
    <n v="133.37"/>
    <n v="48680.05"/>
    <n v="175248.18"/>
  </r>
  <r>
    <x v="0"/>
    <x v="0"/>
    <x v="0"/>
    <x v="0"/>
    <x v="0"/>
    <s v="DK1_Rural"/>
    <x v="5"/>
    <s v="GNR_BO_STRW_E-100"/>
    <x v="0"/>
    <x v="22"/>
    <n v="133.37"/>
    <n v="48680.05"/>
    <n v="175248.18"/>
  </r>
  <r>
    <x v="0"/>
    <x v="0"/>
    <x v="0"/>
    <x v="0"/>
    <x v="0"/>
    <s v="DK1_Rural"/>
    <x v="5"/>
    <s v="GNR_BO_STRW_E-100"/>
    <x v="0"/>
    <x v="23"/>
    <n v="133.37"/>
    <n v="48680.05"/>
    <n v="175248.18"/>
  </r>
  <r>
    <x v="0"/>
    <x v="0"/>
    <x v="0"/>
    <x v="0"/>
    <x v="0"/>
    <s v="DK1_Rural"/>
    <x v="5"/>
    <s v="GNR_BO_STRW_E-102"/>
    <x v="0"/>
    <x v="0"/>
    <n v="56.96"/>
    <n v="20790.400000000001"/>
    <n v="74845.440000000002"/>
  </r>
  <r>
    <x v="0"/>
    <x v="0"/>
    <x v="0"/>
    <x v="0"/>
    <x v="0"/>
    <s v="DK1_Rural"/>
    <x v="5"/>
    <s v="GNR_BO_STRW_E-102"/>
    <x v="0"/>
    <x v="1"/>
    <n v="56.96"/>
    <n v="20790.400000000001"/>
    <n v="74845.440000000002"/>
  </r>
  <r>
    <x v="0"/>
    <x v="0"/>
    <x v="0"/>
    <x v="0"/>
    <x v="0"/>
    <s v="DK1_Rural"/>
    <x v="5"/>
    <s v="GNR_BO_STRW_E-102"/>
    <x v="0"/>
    <x v="2"/>
    <n v="56.96"/>
    <n v="20790.400000000001"/>
    <n v="74845.440000000002"/>
  </r>
  <r>
    <x v="0"/>
    <x v="0"/>
    <x v="0"/>
    <x v="0"/>
    <x v="0"/>
    <s v="DK1_Rural"/>
    <x v="5"/>
    <s v="GNR_BO_STRW_E-102"/>
    <x v="0"/>
    <x v="3"/>
    <n v="56.96"/>
    <n v="20790.400000000001"/>
    <n v="74845.440000000002"/>
  </r>
  <r>
    <x v="0"/>
    <x v="0"/>
    <x v="0"/>
    <x v="0"/>
    <x v="0"/>
    <s v="DK1_Rural"/>
    <x v="5"/>
    <s v="GNR_BO_STRW_E-102"/>
    <x v="0"/>
    <x v="4"/>
    <n v="56.96"/>
    <n v="20790.400000000001"/>
    <n v="74845.440000000002"/>
  </r>
  <r>
    <x v="0"/>
    <x v="0"/>
    <x v="0"/>
    <x v="0"/>
    <x v="0"/>
    <s v="DK1_Rural"/>
    <x v="5"/>
    <s v="GNR_BO_STRW_E-102"/>
    <x v="0"/>
    <x v="5"/>
    <n v="56.96"/>
    <n v="20790.400000000001"/>
    <n v="74845.440000000002"/>
  </r>
  <r>
    <x v="0"/>
    <x v="0"/>
    <x v="0"/>
    <x v="0"/>
    <x v="0"/>
    <s v="DK1_Rural"/>
    <x v="5"/>
    <s v="GNR_BO_STRW_E-102"/>
    <x v="0"/>
    <x v="6"/>
    <n v="56.96"/>
    <n v="20790.400000000001"/>
    <n v="74845.440000000002"/>
  </r>
  <r>
    <x v="0"/>
    <x v="0"/>
    <x v="0"/>
    <x v="0"/>
    <x v="0"/>
    <s v="DK1_Rural"/>
    <x v="5"/>
    <s v="GNR_BO_STRW_E-102"/>
    <x v="0"/>
    <x v="7"/>
    <n v="56.96"/>
    <n v="20790.400000000001"/>
    <n v="74845.440000000002"/>
  </r>
  <r>
    <x v="0"/>
    <x v="0"/>
    <x v="0"/>
    <x v="0"/>
    <x v="0"/>
    <s v="DK1_Rural"/>
    <x v="5"/>
    <s v="GNR_BO_STRW_E-102"/>
    <x v="0"/>
    <x v="8"/>
    <n v="56.96"/>
    <n v="20790.400000000001"/>
    <n v="74845.440000000002"/>
  </r>
  <r>
    <x v="0"/>
    <x v="0"/>
    <x v="0"/>
    <x v="0"/>
    <x v="0"/>
    <s v="DK1_Rural"/>
    <x v="5"/>
    <s v="GNR_BO_STRW_E-102"/>
    <x v="0"/>
    <x v="9"/>
    <n v="56.96"/>
    <n v="20790.400000000001"/>
    <n v="74845.440000000002"/>
  </r>
  <r>
    <x v="0"/>
    <x v="0"/>
    <x v="0"/>
    <x v="0"/>
    <x v="0"/>
    <s v="DK1_Rural"/>
    <x v="5"/>
    <s v="GNR_BO_STRW_E-102"/>
    <x v="0"/>
    <x v="10"/>
    <n v="56.96"/>
    <n v="20790.400000000001"/>
    <n v="74845.440000000002"/>
  </r>
  <r>
    <x v="0"/>
    <x v="0"/>
    <x v="0"/>
    <x v="0"/>
    <x v="0"/>
    <s v="DK1_Rural"/>
    <x v="5"/>
    <s v="GNR_BO_STRW_E-102"/>
    <x v="0"/>
    <x v="11"/>
    <n v="56.96"/>
    <n v="20790.400000000001"/>
    <n v="74845.440000000002"/>
  </r>
  <r>
    <x v="0"/>
    <x v="0"/>
    <x v="0"/>
    <x v="0"/>
    <x v="0"/>
    <s v="DK1_Rural"/>
    <x v="5"/>
    <s v="GNR_BO_STRW_E-102"/>
    <x v="0"/>
    <x v="12"/>
    <n v="56.96"/>
    <n v="20790.400000000001"/>
    <n v="74845.440000000002"/>
  </r>
  <r>
    <x v="0"/>
    <x v="0"/>
    <x v="0"/>
    <x v="0"/>
    <x v="0"/>
    <s v="DK1_Rural"/>
    <x v="5"/>
    <s v="GNR_BO_STRW_E-102"/>
    <x v="0"/>
    <x v="13"/>
    <n v="56.96"/>
    <n v="20790.400000000001"/>
    <n v="74845.440000000002"/>
  </r>
  <r>
    <x v="0"/>
    <x v="0"/>
    <x v="0"/>
    <x v="0"/>
    <x v="0"/>
    <s v="DK1_Rural"/>
    <x v="5"/>
    <s v="GNR_BO_STRW_E-102"/>
    <x v="0"/>
    <x v="14"/>
    <n v="56.96"/>
    <n v="20790.400000000001"/>
    <n v="74845.440000000002"/>
  </r>
  <r>
    <x v="0"/>
    <x v="0"/>
    <x v="0"/>
    <x v="0"/>
    <x v="0"/>
    <s v="DK1_Rural"/>
    <x v="5"/>
    <s v="GNR_BO_STRW_E-102"/>
    <x v="0"/>
    <x v="15"/>
    <n v="56.96"/>
    <n v="20790.400000000001"/>
    <n v="74845.440000000002"/>
  </r>
  <r>
    <x v="0"/>
    <x v="0"/>
    <x v="0"/>
    <x v="0"/>
    <x v="0"/>
    <s v="DK1_Rural"/>
    <x v="5"/>
    <s v="GNR_BO_STRW_E-102"/>
    <x v="0"/>
    <x v="16"/>
    <n v="56.96"/>
    <n v="20790.400000000001"/>
    <n v="74845.440000000002"/>
  </r>
  <r>
    <x v="0"/>
    <x v="0"/>
    <x v="0"/>
    <x v="0"/>
    <x v="0"/>
    <s v="DK1_Rural"/>
    <x v="5"/>
    <s v="GNR_BO_STRW_E-102"/>
    <x v="0"/>
    <x v="17"/>
    <n v="56.96"/>
    <n v="20790.400000000001"/>
    <n v="74845.440000000002"/>
  </r>
  <r>
    <x v="0"/>
    <x v="0"/>
    <x v="0"/>
    <x v="0"/>
    <x v="0"/>
    <s v="DK1_Rural"/>
    <x v="5"/>
    <s v="GNR_BO_STRW_E-102"/>
    <x v="0"/>
    <x v="18"/>
    <n v="56.96"/>
    <n v="20790.400000000001"/>
    <n v="74845.440000000002"/>
  </r>
  <r>
    <x v="0"/>
    <x v="0"/>
    <x v="0"/>
    <x v="0"/>
    <x v="0"/>
    <s v="DK1_Rural"/>
    <x v="5"/>
    <s v="GNR_BO_STRW_E-102"/>
    <x v="0"/>
    <x v="19"/>
    <n v="56.96"/>
    <n v="20790.400000000001"/>
    <n v="74845.440000000002"/>
  </r>
  <r>
    <x v="0"/>
    <x v="0"/>
    <x v="0"/>
    <x v="0"/>
    <x v="0"/>
    <s v="DK1_Rural"/>
    <x v="5"/>
    <s v="GNR_BO_STRW_E-102"/>
    <x v="0"/>
    <x v="20"/>
    <n v="56.96"/>
    <n v="20790.400000000001"/>
    <n v="74845.440000000002"/>
  </r>
  <r>
    <x v="0"/>
    <x v="0"/>
    <x v="0"/>
    <x v="0"/>
    <x v="0"/>
    <s v="DK1_Rural"/>
    <x v="5"/>
    <s v="GNR_BO_STRW_E-102"/>
    <x v="0"/>
    <x v="21"/>
    <n v="56.96"/>
    <n v="20790.400000000001"/>
    <n v="74845.440000000002"/>
  </r>
  <r>
    <x v="0"/>
    <x v="0"/>
    <x v="0"/>
    <x v="0"/>
    <x v="0"/>
    <s v="DK1_Rural"/>
    <x v="5"/>
    <s v="GNR_BO_STRW_E-102"/>
    <x v="0"/>
    <x v="22"/>
    <n v="56.96"/>
    <n v="20790.400000000001"/>
    <n v="74845.440000000002"/>
  </r>
  <r>
    <x v="0"/>
    <x v="0"/>
    <x v="0"/>
    <x v="0"/>
    <x v="0"/>
    <s v="DK1_Rural"/>
    <x v="5"/>
    <s v="GNR_BO_STRW_E-102"/>
    <x v="0"/>
    <x v="23"/>
    <n v="56.96"/>
    <n v="20790.400000000001"/>
    <n v="74845.440000000002"/>
  </r>
  <r>
    <x v="0"/>
    <x v="0"/>
    <x v="0"/>
    <x v="0"/>
    <x v="0"/>
    <s v="DK1_Rural"/>
    <x v="5"/>
    <s v="GNR_ST_STRW_BP_E-26"/>
    <x v="0"/>
    <x v="7"/>
    <n v="5.1725323534207099"/>
    <n v="1887.97430899856"/>
    <n v="6796.7075123948098"/>
  </r>
  <r>
    <x v="0"/>
    <x v="0"/>
    <x v="0"/>
    <x v="0"/>
    <x v="0"/>
    <s v="DK1_Rural"/>
    <x v="5"/>
    <s v="GNR_ST_STRW_BP_E-26"/>
    <x v="0"/>
    <x v="8"/>
    <n v="5.1725323534207099"/>
    <n v="1887.97430899856"/>
    <n v="6796.7075123948098"/>
  </r>
  <r>
    <x v="0"/>
    <x v="0"/>
    <x v="0"/>
    <x v="0"/>
    <x v="0"/>
    <s v="DK1_Rural"/>
    <x v="5"/>
    <s v="GNR_ST_STRW_BP_E-26"/>
    <x v="0"/>
    <x v="9"/>
    <n v="5.1725323534207099"/>
    <n v="1887.97430899856"/>
    <n v="6796.7075123948098"/>
  </r>
  <r>
    <x v="0"/>
    <x v="0"/>
    <x v="0"/>
    <x v="0"/>
    <x v="0"/>
    <s v="DK1_Rural"/>
    <x v="5"/>
    <s v="GNR_ST_STRW_BP_E-26"/>
    <x v="0"/>
    <x v="10"/>
    <n v="5.1725323534207099"/>
    <n v="1887.97430899856"/>
    <n v="6796.7075123948098"/>
  </r>
  <r>
    <x v="0"/>
    <x v="0"/>
    <x v="0"/>
    <x v="0"/>
    <x v="0"/>
    <s v="DK1_Rural"/>
    <x v="5"/>
    <s v="GNR_ST_STRW_BP_E-26"/>
    <x v="0"/>
    <x v="11"/>
    <n v="5.1725323534207099"/>
    <n v="1887.97430899856"/>
    <n v="6796.7075123948098"/>
  </r>
  <r>
    <x v="0"/>
    <x v="0"/>
    <x v="0"/>
    <x v="0"/>
    <x v="0"/>
    <s v="DK1_Rural"/>
    <x v="5"/>
    <s v="GNR_ST_STRW_BP_E-26"/>
    <x v="0"/>
    <x v="12"/>
    <n v="5.1725323534207099"/>
    <n v="1887.97430899856"/>
    <n v="6796.7075123948098"/>
  </r>
  <r>
    <x v="0"/>
    <x v="0"/>
    <x v="0"/>
    <x v="0"/>
    <x v="0"/>
    <s v="DK1_Rural"/>
    <x v="5"/>
    <s v="GNR_ST_STRW_BP_E-26"/>
    <x v="0"/>
    <x v="13"/>
    <n v="5.1725323534207099"/>
    <n v="1887.97430899856"/>
    <n v="6796.7075123948098"/>
  </r>
  <r>
    <x v="0"/>
    <x v="0"/>
    <x v="0"/>
    <x v="0"/>
    <x v="0"/>
    <s v="DK1_Rural"/>
    <x v="5"/>
    <s v="GNR_ST_STRW_BP_E-26"/>
    <x v="0"/>
    <x v="14"/>
    <n v="5.1725323534207099"/>
    <n v="1887.97430899856"/>
    <n v="6796.7075123948098"/>
  </r>
  <r>
    <x v="0"/>
    <x v="0"/>
    <x v="0"/>
    <x v="0"/>
    <x v="0"/>
    <s v="DK1_Rural"/>
    <x v="5"/>
    <s v="GNR_ST_STRW_BP_E-26"/>
    <x v="0"/>
    <x v="15"/>
    <n v="5.1725323534207099"/>
    <n v="1887.97430899856"/>
    <n v="6796.7075123948098"/>
  </r>
  <r>
    <x v="0"/>
    <x v="0"/>
    <x v="0"/>
    <x v="0"/>
    <x v="0"/>
    <s v="DK1_Rural"/>
    <x v="5"/>
    <s v="GNR_ST_STRW_BP_E-26"/>
    <x v="0"/>
    <x v="16"/>
    <n v="5.1725323534207099"/>
    <n v="1887.97430899856"/>
    <n v="6796.7075123948098"/>
  </r>
  <r>
    <x v="0"/>
    <x v="0"/>
    <x v="0"/>
    <x v="0"/>
    <x v="0"/>
    <s v="DK1_Rural"/>
    <x v="5"/>
    <s v="GNR_ST_STRW_BP_E-26"/>
    <x v="0"/>
    <x v="17"/>
    <n v="5.1725323534207099"/>
    <n v="1887.97430899856"/>
    <n v="6796.7075123948098"/>
  </r>
  <r>
    <x v="0"/>
    <x v="0"/>
    <x v="0"/>
    <x v="0"/>
    <x v="0"/>
    <s v="DK1_Rural"/>
    <x v="5"/>
    <s v="GNR_ST_STRW_BP_E-26"/>
    <x v="0"/>
    <x v="18"/>
    <n v="5.1725323534207099"/>
    <n v="1887.97430899856"/>
    <n v="6796.7075123948098"/>
  </r>
  <r>
    <x v="0"/>
    <x v="0"/>
    <x v="0"/>
    <x v="0"/>
    <x v="0"/>
    <s v="DK1_Rural"/>
    <x v="5"/>
    <s v="GNR_ST_STRW_BP_E-26"/>
    <x v="0"/>
    <x v="19"/>
    <n v="5.1725323534207099"/>
    <n v="1887.97430899856"/>
    <n v="6796.7075123948098"/>
  </r>
  <r>
    <x v="0"/>
    <x v="0"/>
    <x v="0"/>
    <x v="0"/>
    <x v="0"/>
    <s v="DK1_Rural"/>
    <x v="5"/>
    <s v="GNR_ST_STRW_BP_E-26"/>
    <x v="0"/>
    <x v="20"/>
    <n v="5.1725323534207099"/>
    <n v="1887.97430899856"/>
    <n v="6796.7075123948098"/>
  </r>
  <r>
    <x v="0"/>
    <x v="0"/>
    <x v="0"/>
    <x v="0"/>
    <x v="0"/>
    <s v="DK1_Rural"/>
    <x v="2"/>
    <s v="GNR_EH_HEAT"/>
    <x v="0"/>
    <x v="0"/>
    <n v="87.01"/>
    <n v="31758.65"/>
    <n v="114331.14"/>
  </r>
  <r>
    <x v="0"/>
    <x v="0"/>
    <x v="0"/>
    <x v="0"/>
    <x v="0"/>
    <s v="DK1_Rural"/>
    <x v="2"/>
    <s v="GNR_EH_HEAT"/>
    <x v="0"/>
    <x v="1"/>
    <n v="87.01"/>
    <n v="31758.65"/>
    <n v="114331.14"/>
  </r>
  <r>
    <x v="0"/>
    <x v="0"/>
    <x v="0"/>
    <x v="0"/>
    <x v="0"/>
    <s v="DK1_Rural"/>
    <x v="2"/>
    <s v="GNR_EH_HEAT"/>
    <x v="0"/>
    <x v="2"/>
    <n v="87.01"/>
    <n v="31758.65"/>
    <n v="114331.14"/>
  </r>
  <r>
    <x v="0"/>
    <x v="0"/>
    <x v="0"/>
    <x v="0"/>
    <x v="0"/>
    <s v="DK1_Rural"/>
    <x v="2"/>
    <s v="GNR_EH_HEAT"/>
    <x v="0"/>
    <x v="3"/>
    <n v="87.01"/>
    <n v="31758.65"/>
    <n v="114331.14"/>
  </r>
  <r>
    <x v="0"/>
    <x v="0"/>
    <x v="0"/>
    <x v="0"/>
    <x v="0"/>
    <s v="DK1_Rural"/>
    <x v="2"/>
    <s v="GNR_EH_HEAT"/>
    <x v="0"/>
    <x v="4"/>
    <n v="87.01"/>
    <n v="31758.65"/>
    <n v="114331.14"/>
  </r>
  <r>
    <x v="0"/>
    <x v="0"/>
    <x v="0"/>
    <x v="0"/>
    <x v="0"/>
    <s v="DK1_Rural"/>
    <x v="2"/>
    <s v="GNR_EH_HEAT"/>
    <x v="0"/>
    <x v="5"/>
    <n v="87.01"/>
    <n v="31758.65"/>
    <n v="114331.14"/>
  </r>
  <r>
    <x v="0"/>
    <x v="0"/>
    <x v="0"/>
    <x v="0"/>
    <x v="0"/>
    <s v="DK1_Rural"/>
    <x v="2"/>
    <s v="GNR_EH_HEAT"/>
    <x v="0"/>
    <x v="6"/>
    <n v="87.01"/>
    <n v="31758.65"/>
    <n v="114331.14"/>
  </r>
  <r>
    <x v="0"/>
    <x v="0"/>
    <x v="0"/>
    <x v="0"/>
    <x v="0"/>
    <s v="DK1_Rural"/>
    <x v="2"/>
    <s v="GNR_EH_HEAT"/>
    <x v="0"/>
    <x v="7"/>
    <n v="87.01"/>
    <n v="31758.65"/>
    <n v="114331.14"/>
  </r>
  <r>
    <x v="0"/>
    <x v="0"/>
    <x v="0"/>
    <x v="0"/>
    <x v="0"/>
    <s v="DK1_Rural"/>
    <x v="2"/>
    <s v="GNR_EH_HEAT"/>
    <x v="0"/>
    <x v="8"/>
    <n v="87.01"/>
    <n v="31758.65"/>
    <n v="114331.14"/>
  </r>
  <r>
    <x v="0"/>
    <x v="0"/>
    <x v="0"/>
    <x v="0"/>
    <x v="0"/>
    <s v="DK1_Rural"/>
    <x v="2"/>
    <s v="GNR_EH_HEAT"/>
    <x v="0"/>
    <x v="9"/>
    <n v="87.01"/>
    <n v="31758.65"/>
    <n v="114331.14"/>
  </r>
  <r>
    <x v="0"/>
    <x v="0"/>
    <x v="0"/>
    <x v="0"/>
    <x v="0"/>
    <s v="DK1_Rural"/>
    <x v="2"/>
    <s v="GNR_EH_HEAT"/>
    <x v="0"/>
    <x v="10"/>
    <n v="87.01"/>
    <n v="31758.65"/>
    <n v="114331.14"/>
  </r>
  <r>
    <x v="0"/>
    <x v="0"/>
    <x v="0"/>
    <x v="0"/>
    <x v="0"/>
    <s v="DK1_Rural"/>
    <x v="2"/>
    <s v="GNR_EH_HEAT"/>
    <x v="0"/>
    <x v="11"/>
    <n v="87.01"/>
    <n v="31758.65"/>
    <n v="114331.14"/>
  </r>
  <r>
    <x v="0"/>
    <x v="0"/>
    <x v="0"/>
    <x v="0"/>
    <x v="0"/>
    <s v="DK1_Rural"/>
    <x v="2"/>
    <s v="GNR_EH_HEAT"/>
    <x v="0"/>
    <x v="12"/>
    <n v="87.01"/>
    <n v="31758.65"/>
    <n v="114331.14"/>
  </r>
  <r>
    <x v="0"/>
    <x v="0"/>
    <x v="0"/>
    <x v="0"/>
    <x v="0"/>
    <s v="DK1_Rural"/>
    <x v="2"/>
    <s v="GNR_EH_HEAT"/>
    <x v="0"/>
    <x v="13"/>
    <n v="87.01"/>
    <n v="31758.65"/>
    <n v="114331.14"/>
  </r>
  <r>
    <x v="0"/>
    <x v="0"/>
    <x v="0"/>
    <x v="0"/>
    <x v="0"/>
    <s v="DK1_Rural"/>
    <x v="2"/>
    <s v="GNR_EH_HEAT"/>
    <x v="0"/>
    <x v="14"/>
    <n v="87.01"/>
    <n v="31758.65"/>
    <n v="114331.14"/>
  </r>
  <r>
    <x v="0"/>
    <x v="0"/>
    <x v="0"/>
    <x v="0"/>
    <x v="0"/>
    <s v="DK1_Rural"/>
    <x v="2"/>
    <s v="GNR_EH_HEAT"/>
    <x v="0"/>
    <x v="15"/>
    <n v="87.01"/>
    <n v="31758.65"/>
    <n v="114331.14"/>
  </r>
  <r>
    <x v="0"/>
    <x v="0"/>
    <x v="0"/>
    <x v="0"/>
    <x v="0"/>
    <s v="DK1_Rural"/>
    <x v="2"/>
    <s v="GNR_EH_HEAT"/>
    <x v="0"/>
    <x v="16"/>
    <n v="87.01"/>
    <n v="31758.65"/>
    <n v="114331.14"/>
  </r>
  <r>
    <x v="0"/>
    <x v="0"/>
    <x v="0"/>
    <x v="0"/>
    <x v="0"/>
    <s v="DK1_Rural"/>
    <x v="2"/>
    <s v="GNR_EH_HEAT"/>
    <x v="0"/>
    <x v="17"/>
    <n v="87.01"/>
    <n v="31758.65"/>
    <n v="114331.14"/>
  </r>
  <r>
    <x v="0"/>
    <x v="0"/>
    <x v="0"/>
    <x v="0"/>
    <x v="0"/>
    <s v="DK1_Rural"/>
    <x v="2"/>
    <s v="GNR_EH_HEAT"/>
    <x v="0"/>
    <x v="18"/>
    <n v="87.01"/>
    <n v="31758.65"/>
    <n v="114331.14"/>
  </r>
  <r>
    <x v="0"/>
    <x v="0"/>
    <x v="0"/>
    <x v="0"/>
    <x v="0"/>
    <s v="DK1_Rural"/>
    <x v="2"/>
    <s v="GNR_EH_HEAT"/>
    <x v="0"/>
    <x v="19"/>
    <n v="87.01"/>
    <n v="31758.65"/>
    <n v="114331.14"/>
  </r>
  <r>
    <x v="0"/>
    <x v="0"/>
    <x v="0"/>
    <x v="0"/>
    <x v="0"/>
    <s v="DK1_Rural"/>
    <x v="2"/>
    <s v="GNR_EH_HEAT"/>
    <x v="0"/>
    <x v="20"/>
    <n v="87.01"/>
    <n v="31758.65"/>
    <n v="114331.14"/>
  </r>
  <r>
    <x v="0"/>
    <x v="0"/>
    <x v="0"/>
    <x v="0"/>
    <x v="0"/>
    <s v="DK1_Rural"/>
    <x v="2"/>
    <s v="GNR_EH_HEAT"/>
    <x v="0"/>
    <x v="21"/>
    <n v="87.01"/>
    <n v="31758.65"/>
    <n v="114331.14"/>
  </r>
  <r>
    <x v="0"/>
    <x v="0"/>
    <x v="0"/>
    <x v="0"/>
    <x v="0"/>
    <s v="DK1_Rural"/>
    <x v="2"/>
    <s v="GNR_EH_HEAT"/>
    <x v="0"/>
    <x v="22"/>
    <n v="87.01"/>
    <n v="31758.65"/>
    <n v="114331.14"/>
  </r>
  <r>
    <x v="0"/>
    <x v="0"/>
    <x v="0"/>
    <x v="0"/>
    <x v="0"/>
    <s v="DK1_Rural"/>
    <x v="2"/>
    <s v="GNR_EH_HEAT"/>
    <x v="0"/>
    <x v="23"/>
    <n v="87.01"/>
    <n v="31758.65"/>
    <n v="114331.14"/>
  </r>
  <r>
    <x v="0"/>
    <x v="0"/>
    <x v="0"/>
    <x v="0"/>
    <x v="0"/>
    <s v="DK1_Rural"/>
    <x v="6"/>
    <s v="GNR_BO_WOODCHI_E-100"/>
    <x v="0"/>
    <x v="7"/>
    <n v="24.4318256043308"/>
    <n v="8917.61634558072"/>
    <n v="32103.4188440906"/>
  </r>
  <r>
    <x v="0"/>
    <x v="0"/>
    <x v="0"/>
    <x v="0"/>
    <x v="0"/>
    <s v="DK1_Rural"/>
    <x v="6"/>
    <s v="GNR_BO_WOODCHI_E-100"/>
    <x v="0"/>
    <x v="8"/>
    <n v="39.6612156181031"/>
    <n v="14476.3437006076"/>
    <n v="52114.837322187399"/>
  </r>
  <r>
    <x v="0"/>
    <x v="0"/>
    <x v="0"/>
    <x v="0"/>
    <x v="0"/>
    <s v="DK1_Rural"/>
    <x v="6"/>
    <s v="GNR_BO_WOODCHI_E-100"/>
    <x v="0"/>
    <x v="9"/>
    <n v="47.638515149126697"/>
    <n v="17388.058029431199"/>
    <n v="62597.008905952498"/>
  </r>
  <r>
    <x v="0"/>
    <x v="0"/>
    <x v="0"/>
    <x v="0"/>
    <x v="0"/>
    <s v="DK1_Rural"/>
    <x v="6"/>
    <s v="GNR_BO_WOODCHI_E-100"/>
    <x v="0"/>
    <x v="10"/>
    <n v="45.462888004302101"/>
    <n v="16593.954121570299"/>
    <n v="59738.234837652999"/>
  </r>
  <r>
    <x v="0"/>
    <x v="0"/>
    <x v="0"/>
    <x v="0"/>
    <x v="0"/>
    <s v="DK1_Rural"/>
    <x v="6"/>
    <s v="GNR_BO_WOODCHI_E-100"/>
    <x v="0"/>
    <x v="11"/>
    <n v="45.825492528439497"/>
    <n v="16726.304772880401"/>
    <n v="60214.697182369498"/>
  </r>
  <r>
    <x v="0"/>
    <x v="0"/>
    <x v="0"/>
    <x v="0"/>
    <x v="0"/>
    <s v="DK1_Rural"/>
    <x v="6"/>
    <s v="GNR_BO_WOODCHI_E-100"/>
    <x v="0"/>
    <x v="12"/>
    <n v="41.836842762927702"/>
    <n v="15270.447608468599"/>
    <n v="54973.611390487"/>
  </r>
  <r>
    <x v="0"/>
    <x v="0"/>
    <x v="0"/>
    <x v="0"/>
    <x v="0"/>
    <s v="DK1_Rural"/>
    <x v="6"/>
    <s v="GNR_BO_WOODCHI_E-100"/>
    <x v="0"/>
    <x v="13"/>
    <n v="25.882243700880402"/>
    <n v="9447.0189508213607"/>
    <n v="34009.268222956904"/>
  </r>
  <r>
    <x v="0"/>
    <x v="0"/>
    <x v="0"/>
    <x v="0"/>
    <x v="0"/>
    <s v="DK1_Rural"/>
    <x v="6"/>
    <s v="GNR_BO_WOODCHI_E-100"/>
    <x v="0"/>
    <x v="14"/>
    <n v="30.233497990529798"/>
    <n v="11035.226766543399"/>
    <n v="39726.816359556098"/>
  </r>
  <r>
    <x v="0"/>
    <x v="0"/>
    <x v="0"/>
    <x v="0"/>
    <x v="0"/>
    <s v="DK1_Rural"/>
    <x v="6"/>
    <s v="GNR_BO_WOODCHI_E-100"/>
    <x v="0"/>
    <x v="15"/>
    <n v="34.584752280179003"/>
    <n v="12623.434582265299"/>
    <n v="45444.364496155198"/>
  </r>
  <r>
    <x v="0"/>
    <x v="0"/>
    <x v="0"/>
    <x v="0"/>
    <x v="0"/>
    <s v="DK1_Rural"/>
    <x v="6"/>
    <s v="GNR_BO_WOODCHI_E-100"/>
    <x v="0"/>
    <x v="16"/>
    <n v="42.924656335340003"/>
    <n v="15667.4995623991"/>
    <n v="56402.998424636702"/>
  </r>
  <r>
    <x v="0"/>
    <x v="0"/>
    <x v="0"/>
    <x v="0"/>
    <x v="0"/>
    <s v="DK1_Rural"/>
    <x v="6"/>
    <s v="GNR_BO_WOODCHI_E-100"/>
    <x v="0"/>
    <x v="17"/>
    <n v="41.111633714652797"/>
    <n v="15005.746305848301"/>
    <n v="54020.686701053797"/>
  </r>
  <r>
    <x v="0"/>
    <x v="0"/>
    <x v="0"/>
    <x v="0"/>
    <x v="0"/>
    <s v="DK1_Rural"/>
    <x v="6"/>
    <s v="GNR_BO_WOODCHI_E-100"/>
    <x v="0"/>
    <x v="18"/>
    <n v="42.562051811202601"/>
    <n v="15535.1489110889"/>
    <n v="55926.536079920203"/>
  </r>
  <r>
    <x v="0"/>
    <x v="0"/>
    <x v="0"/>
    <x v="0"/>
    <x v="0"/>
    <s v="DK1_Rural"/>
    <x v="6"/>
    <s v="GNR_BO_WOODCHI_E-100"/>
    <x v="0"/>
    <x v="19"/>
    <n v="41.111633714652797"/>
    <n v="15005.746305848301"/>
    <n v="54020.686701053797"/>
  </r>
  <r>
    <x v="0"/>
    <x v="0"/>
    <x v="0"/>
    <x v="0"/>
    <x v="0"/>
    <s v="DK1_Rural"/>
    <x v="6"/>
    <s v="GNR_BO_WOODCHI_E-100"/>
    <x v="0"/>
    <x v="20"/>
    <n v="33.1343341836292"/>
    <n v="12094.031977024601"/>
    <n v="43538.515117288698"/>
  </r>
  <r>
    <x v="0"/>
    <x v="0"/>
    <x v="0"/>
    <x v="0"/>
    <x v="0"/>
    <s v="DK1_Rural"/>
    <x v="6"/>
    <s v="GNR_BO_WOODCHI_E-105"/>
    <x v="0"/>
    <x v="7"/>
    <n v="7"/>
    <n v="2555"/>
    <n v="9198"/>
  </r>
  <r>
    <x v="0"/>
    <x v="0"/>
    <x v="0"/>
    <x v="0"/>
    <x v="0"/>
    <s v="DK1_Rural"/>
    <x v="6"/>
    <s v="GNR_BO_WOODCHI_E-105"/>
    <x v="0"/>
    <x v="8"/>
    <n v="7"/>
    <n v="2555"/>
    <n v="9198"/>
  </r>
  <r>
    <x v="0"/>
    <x v="0"/>
    <x v="0"/>
    <x v="0"/>
    <x v="0"/>
    <s v="DK1_Rural"/>
    <x v="6"/>
    <s v="GNR_BO_WOODCHI_E-105"/>
    <x v="0"/>
    <x v="9"/>
    <n v="7"/>
    <n v="2555"/>
    <n v="9198"/>
  </r>
  <r>
    <x v="0"/>
    <x v="0"/>
    <x v="0"/>
    <x v="0"/>
    <x v="0"/>
    <s v="DK1_Rural"/>
    <x v="6"/>
    <s v="GNR_BO_WOODCHI_E-105"/>
    <x v="0"/>
    <x v="10"/>
    <n v="7"/>
    <n v="2555"/>
    <n v="9198"/>
  </r>
  <r>
    <x v="0"/>
    <x v="0"/>
    <x v="0"/>
    <x v="0"/>
    <x v="0"/>
    <s v="DK1_Rural"/>
    <x v="6"/>
    <s v="GNR_BO_WOODCHI_E-105"/>
    <x v="0"/>
    <x v="11"/>
    <n v="7"/>
    <n v="2555"/>
    <n v="9198"/>
  </r>
  <r>
    <x v="0"/>
    <x v="0"/>
    <x v="0"/>
    <x v="0"/>
    <x v="0"/>
    <s v="DK1_Rural"/>
    <x v="6"/>
    <s v="GNR_BO_WOODCHI_E-105"/>
    <x v="0"/>
    <x v="12"/>
    <n v="7"/>
    <n v="2555"/>
    <n v="9198"/>
  </r>
  <r>
    <x v="0"/>
    <x v="0"/>
    <x v="0"/>
    <x v="0"/>
    <x v="0"/>
    <s v="DK1_Rural"/>
    <x v="6"/>
    <s v="GNR_BO_WOODCHI_E-105"/>
    <x v="0"/>
    <x v="13"/>
    <n v="7"/>
    <n v="2555"/>
    <n v="9198"/>
  </r>
  <r>
    <x v="0"/>
    <x v="0"/>
    <x v="0"/>
    <x v="0"/>
    <x v="0"/>
    <s v="DK1_Rural"/>
    <x v="6"/>
    <s v="GNR_BO_WOODCHI_E-105"/>
    <x v="0"/>
    <x v="14"/>
    <n v="7"/>
    <n v="2555"/>
    <n v="9198"/>
  </r>
  <r>
    <x v="0"/>
    <x v="0"/>
    <x v="0"/>
    <x v="0"/>
    <x v="0"/>
    <s v="DK1_Rural"/>
    <x v="6"/>
    <s v="GNR_BO_WOODCHI_E-105"/>
    <x v="0"/>
    <x v="15"/>
    <n v="7"/>
    <n v="2555"/>
    <n v="9198"/>
  </r>
  <r>
    <x v="0"/>
    <x v="0"/>
    <x v="0"/>
    <x v="0"/>
    <x v="0"/>
    <s v="DK1_Rural"/>
    <x v="6"/>
    <s v="GNR_BO_WOODCHI_E-105"/>
    <x v="0"/>
    <x v="16"/>
    <n v="7"/>
    <n v="2555"/>
    <n v="9198"/>
  </r>
  <r>
    <x v="0"/>
    <x v="0"/>
    <x v="0"/>
    <x v="0"/>
    <x v="0"/>
    <s v="DK1_Rural"/>
    <x v="6"/>
    <s v="GNR_BO_WOODCHI_E-105"/>
    <x v="0"/>
    <x v="17"/>
    <n v="7"/>
    <n v="2555"/>
    <n v="9198"/>
  </r>
  <r>
    <x v="0"/>
    <x v="0"/>
    <x v="0"/>
    <x v="0"/>
    <x v="0"/>
    <s v="DK1_Rural"/>
    <x v="6"/>
    <s v="GNR_BO_WOODCHI_E-105"/>
    <x v="0"/>
    <x v="18"/>
    <n v="7"/>
    <n v="2555"/>
    <n v="9198"/>
  </r>
  <r>
    <x v="0"/>
    <x v="0"/>
    <x v="0"/>
    <x v="0"/>
    <x v="0"/>
    <s v="DK1_Rural"/>
    <x v="6"/>
    <s v="GNR_BO_WOODCHI_E-105"/>
    <x v="0"/>
    <x v="19"/>
    <n v="7"/>
    <n v="2555"/>
    <n v="9198"/>
  </r>
  <r>
    <x v="0"/>
    <x v="0"/>
    <x v="0"/>
    <x v="0"/>
    <x v="0"/>
    <s v="DK1_Rural"/>
    <x v="6"/>
    <s v="GNR_BO_WOODCHI_E-105"/>
    <x v="0"/>
    <x v="20"/>
    <n v="7"/>
    <n v="2555"/>
    <n v="9198"/>
  </r>
  <r>
    <x v="0"/>
    <x v="0"/>
    <x v="0"/>
    <x v="0"/>
    <x v="0"/>
    <s v="DK1_Rural"/>
    <x v="6"/>
    <s v="GNR_BO_WOODCHI_E-106"/>
    <x v="0"/>
    <x v="7"/>
    <n v="2.75"/>
    <n v="1003.75"/>
    <n v="3613.5"/>
  </r>
  <r>
    <x v="0"/>
    <x v="0"/>
    <x v="0"/>
    <x v="0"/>
    <x v="0"/>
    <s v="DK1_Rural"/>
    <x v="6"/>
    <s v="GNR_BO_WOODCHI_E-106"/>
    <x v="0"/>
    <x v="8"/>
    <n v="2.75"/>
    <n v="1003.75"/>
    <n v="3613.5"/>
  </r>
  <r>
    <x v="0"/>
    <x v="0"/>
    <x v="0"/>
    <x v="0"/>
    <x v="0"/>
    <s v="DK1_Rural"/>
    <x v="6"/>
    <s v="GNR_BO_WOODCHI_E-106"/>
    <x v="0"/>
    <x v="9"/>
    <n v="2.75"/>
    <n v="1003.75"/>
    <n v="3613.5"/>
  </r>
  <r>
    <x v="0"/>
    <x v="0"/>
    <x v="0"/>
    <x v="0"/>
    <x v="0"/>
    <s v="DK1_Rural"/>
    <x v="6"/>
    <s v="GNR_BO_WOODCHI_E-106"/>
    <x v="0"/>
    <x v="10"/>
    <n v="2.75"/>
    <n v="1003.75"/>
    <n v="3613.5"/>
  </r>
  <r>
    <x v="0"/>
    <x v="0"/>
    <x v="0"/>
    <x v="0"/>
    <x v="0"/>
    <s v="DK1_Rural"/>
    <x v="6"/>
    <s v="GNR_BO_WOODCHI_E-106"/>
    <x v="0"/>
    <x v="11"/>
    <n v="2.75"/>
    <n v="1003.75"/>
    <n v="3613.5"/>
  </r>
  <r>
    <x v="0"/>
    <x v="0"/>
    <x v="0"/>
    <x v="0"/>
    <x v="0"/>
    <s v="DK1_Rural"/>
    <x v="6"/>
    <s v="GNR_BO_WOODCHI_E-106"/>
    <x v="0"/>
    <x v="12"/>
    <n v="2.75"/>
    <n v="1003.75"/>
    <n v="3613.5"/>
  </r>
  <r>
    <x v="0"/>
    <x v="0"/>
    <x v="0"/>
    <x v="0"/>
    <x v="0"/>
    <s v="DK1_Rural"/>
    <x v="6"/>
    <s v="GNR_BO_WOODCHI_E-106"/>
    <x v="0"/>
    <x v="13"/>
    <n v="2.75"/>
    <n v="1003.75"/>
    <n v="3613.5"/>
  </r>
  <r>
    <x v="0"/>
    <x v="0"/>
    <x v="0"/>
    <x v="0"/>
    <x v="0"/>
    <s v="DK1_Rural"/>
    <x v="6"/>
    <s v="GNR_BO_WOODCHI_E-106"/>
    <x v="0"/>
    <x v="14"/>
    <n v="2.75"/>
    <n v="1003.75"/>
    <n v="3613.5"/>
  </r>
  <r>
    <x v="0"/>
    <x v="0"/>
    <x v="0"/>
    <x v="0"/>
    <x v="0"/>
    <s v="DK1_Rural"/>
    <x v="6"/>
    <s v="GNR_BO_WOODCHI_E-106"/>
    <x v="0"/>
    <x v="15"/>
    <n v="2.75"/>
    <n v="1003.75"/>
    <n v="3613.5"/>
  </r>
  <r>
    <x v="0"/>
    <x v="0"/>
    <x v="0"/>
    <x v="0"/>
    <x v="0"/>
    <s v="DK1_Rural"/>
    <x v="6"/>
    <s v="GNR_BO_WOODCHI_E-106"/>
    <x v="0"/>
    <x v="16"/>
    <n v="2.75"/>
    <n v="1003.75"/>
    <n v="3613.5"/>
  </r>
  <r>
    <x v="0"/>
    <x v="0"/>
    <x v="0"/>
    <x v="0"/>
    <x v="0"/>
    <s v="DK1_Rural"/>
    <x v="6"/>
    <s v="GNR_BO_WOODCHI_E-106"/>
    <x v="0"/>
    <x v="17"/>
    <n v="2.75"/>
    <n v="1003.75"/>
    <n v="3613.5"/>
  </r>
  <r>
    <x v="0"/>
    <x v="0"/>
    <x v="0"/>
    <x v="0"/>
    <x v="0"/>
    <s v="DK1_Rural"/>
    <x v="6"/>
    <s v="GNR_BO_WOODCHI_E-106"/>
    <x v="0"/>
    <x v="18"/>
    <n v="2.75"/>
    <n v="1003.75"/>
    <n v="3613.5"/>
  </r>
  <r>
    <x v="0"/>
    <x v="0"/>
    <x v="0"/>
    <x v="0"/>
    <x v="0"/>
    <s v="DK1_Rural"/>
    <x v="6"/>
    <s v="GNR_BO_WOODCHI_E-106"/>
    <x v="0"/>
    <x v="19"/>
    <n v="2.75"/>
    <n v="1003.75"/>
    <n v="3613.5"/>
  </r>
  <r>
    <x v="0"/>
    <x v="0"/>
    <x v="0"/>
    <x v="0"/>
    <x v="0"/>
    <s v="DK1_Rural"/>
    <x v="6"/>
    <s v="GNR_BO_WOODCHI_E-106"/>
    <x v="0"/>
    <x v="20"/>
    <n v="2.75"/>
    <n v="1003.75"/>
    <n v="3613.5"/>
  </r>
  <r>
    <x v="0"/>
    <x v="0"/>
    <x v="0"/>
    <x v="0"/>
    <x v="0"/>
    <s v="DK1_Rural"/>
    <x v="6"/>
    <s v="GNR_BO_WOODCHI_E-107"/>
    <x v="0"/>
    <x v="7"/>
    <n v="12.48"/>
    <n v="4555.2"/>
    <n v="16398.72"/>
  </r>
  <r>
    <x v="0"/>
    <x v="0"/>
    <x v="0"/>
    <x v="0"/>
    <x v="0"/>
    <s v="DK1_Rural"/>
    <x v="6"/>
    <s v="GNR_BO_WOODCHI_E-107"/>
    <x v="0"/>
    <x v="8"/>
    <n v="12.48"/>
    <n v="4555.2"/>
    <n v="16398.72"/>
  </r>
  <r>
    <x v="0"/>
    <x v="0"/>
    <x v="0"/>
    <x v="0"/>
    <x v="0"/>
    <s v="DK1_Rural"/>
    <x v="6"/>
    <s v="GNR_BO_WOODCHI_E-107"/>
    <x v="0"/>
    <x v="9"/>
    <n v="12.48"/>
    <n v="4555.2"/>
    <n v="16398.72"/>
  </r>
  <r>
    <x v="0"/>
    <x v="0"/>
    <x v="0"/>
    <x v="0"/>
    <x v="0"/>
    <s v="DK1_Rural"/>
    <x v="6"/>
    <s v="GNR_BO_WOODCHI_E-107"/>
    <x v="0"/>
    <x v="10"/>
    <n v="12.48"/>
    <n v="4555.2"/>
    <n v="16398.72"/>
  </r>
  <r>
    <x v="0"/>
    <x v="0"/>
    <x v="0"/>
    <x v="0"/>
    <x v="0"/>
    <s v="DK1_Rural"/>
    <x v="6"/>
    <s v="GNR_BO_WOODCHI_E-107"/>
    <x v="0"/>
    <x v="11"/>
    <n v="12.48"/>
    <n v="4555.2"/>
    <n v="16398.72"/>
  </r>
  <r>
    <x v="0"/>
    <x v="0"/>
    <x v="0"/>
    <x v="0"/>
    <x v="0"/>
    <s v="DK1_Rural"/>
    <x v="6"/>
    <s v="GNR_BO_WOODCHI_E-107"/>
    <x v="0"/>
    <x v="12"/>
    <n v="12.48"/>
    <n v="4555.2"/>
    <n v="16398.72"/>
  </r>
  <r>
    <x v="0"/>
    <x v="0"/>
    <x v="0"/>
    <x v="0"/>
    <x v="0"/>
    <s v="DK1_Rural"/>
    <x v="6"/>
    <s v="GNR_BO_WOODCHI_E-107"/>
    <x v="0"/>
    <x v="13"/>
    <n v="12.48"/>
    <n v="4555.2"/>
    <n v="16398.72"/>
  </r>
  <r>
    <x v="0"/>
    <x v="0"/>
    <x v="0"/>
    <x v="0"/>
    <x v="0"/>
    <s v="DK1_Rural"/>
    <x v="6"/>
    <s v="GNR_BO_WOODCHI_E-107"/>
    <x v="0"/>
    <x v="14"/>
    <n v="12.48"/>
    <n v="4555.2"/>
    <n v="16398.72"/>
  </r>
  <r>
    <x v="0"/>
    <x v="0"/>
    <x v="0"/>
    <x v="0"/>
    <x v="0"/>
    <s v="DK1_Rural"/>
    <x v="6"/>
    <s v="GNR_BO_WOODCHI_E-107"/>
    <x v="0"/>
    <x v="15"/>
    <n v="12.48"/>
    <n v="4555.2"/>
    <n v="16398.72"/>
  </r>
  <r>
    <x v="0"/>
    <x v="0"/>
    <x v="0"/>
    <x v="0"/>
    <x v="0"/>
    <s v="DK1_Rural"/>
    <x v="6"/>
    <s v="GNR_BO_WOODCHI_E-107"/>
    <x v="0"/>
    <x v="16"/>
    <n v="12.48"/>
    <n v="4555.2"/>
    <n v="16398.72"/>
  </r>
  <r>
    <x v="0"/>
    <x v="0"/>
    <x v="0"/>
    <x v="0"/>
    <x v="0"/>
    <s v="DK1_Rural"/>
    <x v="6"/>
    <s v="GNR_BO_WOODCHI_E-107"/>
    <x v="0"/>
    <x v="17"/>
    <n v="12.48"/>
    <n v="4555.2"/>
    <n v="16398.72"/>
  </r>
  <r>
    <x v="0"/>
    <x v="0"/>
    <x v="0"/>
    <x v="0"/>
    <x v="0"/>
    <s v="DK1_Rural"/>
    <x v="6"/>
    <s v="GNR_BO_WOODCHI_E-107"/>
    <x v="0"/>
    <x v="18"/>
    <n v="12.48"/>
    <n v="4555.2"/>
    <n v="16398.72"/>
  </r>
  <r>
    <x v="0"/>
    <x v="0"/>
    <x v="0"/>
    <x v="0"/>
    <x v="0"/>
    <s v="DK1_Rural"/>
    <x v="6"/>
    <s v="GNR_BO_WOODCHI_E-107"/>
    <x v="0"/>
    <x v="19"/>
    <n v="12.48"/>
    <n v="4555.2"/>
    <n v="16398.72"/>
  </r>
  <r>
    <x v="0"/>
    <x v="0"/>
    <x v="0"/>
    <x v="0"/>
    <x v="0"/>
    <s v="DK1_Rural"/>
    <x v="6"/>
    <s v="GNR_BO_WOODCHI_E-107"/>
    <x v="0"/>
    <x v="20"/>
    <n v="12.48"/>
    <n v="4555.2"/>
    <n v="16398.72"/>
  </r>
  <r>
    <x v="0"/>
    <x v="0"/>
    <x v="0"/>
    <x v="0"/>
    <x v="0"/>
    <s v="DK1_Rural"/>
    <x v="6"/>
    <s v="GNR_BO_WOODCHI_E-107"/>
    <x v="0"/>
    <x v="21"/>
    <n v="11.9478603026334"/>
    <n v="4360.96901046119"/>
    <n v="15699.4884376603"/>
  </r>
  <r>
    <x v="0"/>
    <x v="0"/>
    <x v="0"/>
    <x v="0"/>
    <x v="0"/>
    <s v="DK1_Rural"/>
    <x v="6"/>
    <s v="GNR_BO_WOODCHI_E-107"/>
    <x v="0"/>
    <x v="22"/>
    <n v="8.3218150612589703"/>
    <n v="3037.4624973595301"/>
    <n v="10934.864990494299"/>
  </r>
  <r>
    <x v="0"/>
    <x v="0"/>
    <x v="0"/>
    <x v="0"/>
    <x v="0"/>
    <s v="DK1_Rural"/>
    <x v="6"/>
    <s v="GNR_BO_WOODCHI_E-108"/>
    <x v="0"/>
    <x v="7"/>
    <n v="3.5"/>
    <n v="1277.5"/>
    <n v="4599"/>
  </r>
  <r>
    <x v="0"/>
    <x v="0"/>
    <x v="0"/>
    <x v="0"/>
    <x v="0"/>
    <s v="DK1_Rural"/>
    <x v="6"/>
    <s v="GNR_BO_WOODCHI_E-108"/>
    <x v="0"/>
    <x v="8"/>
    <n v="3.5"/>
    <n v="1277.5"/>
    <n v="4599"/>
  </r>
  <r>
    <x v="0"/>
    <x v="0"/>
    <x v="0"/>
    <x v="0"/>
    <x v="0"/>
    <s v="DK1_Rural"/>
    <x v="6"/>
    <s v="GNR_BO_WOODCHI_E-108"/>
    <x v="0"/>
    <x v="9"/>
    <n v="3.5"/>
    <n v="1277.5"/>
    <n v="4599"/>
  </r>
  <r>
    <x v="0"/>
    <x v="0"/>
    <x v="0"/>
    <x v="0"/>
    <x v="0"/>
    <s v="DK1_Rural"/>
    <x v="6"/>
    <s v="GNR_BO_WOODCHI_E-108"/>
    <x v="0"/>
    <x v="10"/>
    <n v="3.5"/>
    <n v="1277.5"/>
    <n v="4599"/>
  </r>
  <r>
    <x v="0"/>
    <x v="0"/>
    <x v="0"/>
    <x v="0"/>
    <x v="0"/>
    <s v="DK1_Rural"/>
    <x v="6"/>
    <s v="GNR_BO_WOODCHI_E-108"/>
    <x v="0"/>
    <x v="11"/>
    <n v="3.5"/>
    <n v="1277.5"/>
    <n v="4599"/>
  </r>
  <r>
    <x v="0"/>
    <x v="0"/>
    <x v="0"/>
    <x v="0"/>
    <x v="0"/>
    <s v="DK1_Rural"/>
    <x v="6"/>
    <s v="GNR_BO_WOODCHI_E-108"/>
    <x v="0"/>
    <x v="12"/>
    <n v="3.5"/>
    <n v="1277.5"/>
    <n v="4599"/>
  </r>
  <r>
    <x v="0"/>
    <x v="0"/>
    <x v="0"/>
    <x v="0"/>
    <x v="0"/>
    <s v="DK1_Rural"/>
    <x v="6"/>
    <s v="GNR_BO_WOODCHI_E-108"/>
    <x v="0"/>
    <x v="13"/>
    <n v="3.5"/>
    <n v="1277.5"/>
    <n v="4599"/>
  </r>
  <r>
    <x v="0"/>
    <x v="0"/>
    <x v="0"/>
    <x v="0"/>
    <x v="0"/>
    <s v="DK1_Rural"/>
    <x v="6"/>
    <s v="GNR_BO_WOODCHI_E-108"/>
    <x v="0"/>
    <x v="14"/>
    <n v="3.5"/>
    <n v="1277.5"/>
    <n v="4599"/>
  </r>
  <r>
    <x v="0"/>
    <x v="0"/>
    <x v="0"/>
    <x v="0"/>
    <x v="0"/>
    <s v="DK1_Rural"/>
    <x v="6"/>
    <s v="GNR_BO_WOODCHI_E-108"/>
    <x v="0"/>
    <x v="15"/>
    <n v="3.5"/>
    <n v="1277.5"/>
    <n v="4599"/>
  </r>
  <r>
    <x v="0"/>
    <x v="0"/>
    <x v="0"/>
    <x v="0"/>
    <x v="0"/>
    <s v="DK1_Rural"/>
    <x v="6"/>
    <s v="GNR_BO_WOODCHI_E-108"/>
    <x v="0"/>
    <x v="16"/>
    <n v="3.5"/>
    <n v="1277.5"/>
    <n v="4599"/>
  </r>
  <r>
    <x v="0"/>
    <x v="0"/>
    <x v="0"/>
    <x v="0"/>
    <x v="0"/>
    <s v="DK1_Rural"/>
    <x v="6"/>
    <s v="GNR_BO_WOODCHI_E-108"/>
    <x v="0"/>
    <x v="17"/>
    <n v="3.5"/>
    <n v="1277.5"/>
    <n v="4599"/>
  </r>
  <r>
    <x v="0"/>
    <x v="0"/>
    <x v="0"/>
    <x v="0"/>
    <x v="0"/>
    <s v="DK1_Rural"/>
    <x v="6"/>
    <s v="GNR_BO_WOODCHI_E-108"/>
    <x v="0"/>
    <x v="18"/>
    <n v="3.5"/>
    <n v="1277.5"/>
    <n v="4599"/>
  </r>
  <r>
    <x v="0"/>
    <x v="0"/>
    <x v="0"/>
    <x v="0"/>
    <x v="0"/>
    <s v="DK1_Rural"/>
    <x v="6"/>
    <s v="GNR_BO_WOODCHI_E-108"/>
    <x v="0"/>
    <x v="19"/>
    <n v="3.5"/>
    <n v="1277.5"/>
    <n v="4599"/>
  </r>
  <r>
    <x v="0"/>
    <x v="0"/>
    <x v="0"/>
    <x v="0"/>
    <x v="0"/>
    <s v="DK1_Rural"/>
    <x v="6"/>
    <s v="GNR_BO_WOODCHI_E-108"/>
    <x v="0"/>
    <x v="20"/>
    <n v="3.5"/>
    <n v="1277.5"/>
    <n v="4599"/>
  </r>
  <r>
    <x v="0"/>
    <x v="0"/>
    <x v="0"/>
    <x v="0"/>
    <x v="0"/>
    <s v="DK1_Rural"/>
    <x v="6"/>
    <s v="GNR_BO_WOODCHI_E-108"/>
    <x v="0"/>
    <x v="21"/>
    <n v="3.5"/>
    <n v="1277.5"/>
    <n v="4599"/>
  </r>
  <r>
    <x v="0"/>
    <x v="0"/>
    <x v="0"/>
    <x v="0"/>
    <x v="0"/>
    <s v="DK1_Rural"/>
    <x v="6"/>
    <s v="GNR_BO_WOODCHI_E-108"/>
    <x v="0"/>
    <x v="22"/>
    <n v="3.5"/>
    <n v="1277.5"/>
    <n v="4599"/>
  </r>
  <r>
    <x v="0"/>
    <x v="0"/>
    <x v="0"/>
    <x v="0"/>
    <x v="0"/>
    <s v="DK1_Rural"/>
    <x v="6"/>
    <s v="GNR_BO_WOODCHI_E-108"/>
    <x v="0"/>
    <x v="23"/>
    <n v="2.7567019578230498"/>
    <n v="1006.19621460541"/>
    <n v="3622.30637257949"/>
  </r>
  <r>
    <x v="0"/>
    <x v="0"/>
    <x v="0"/>
    <x v="0"/>
    <x v="0"/>
    <s v="DK1_Rural"/>
    <x v="6"/>
    <s v="GNR_BO_WOODCHI_E-110"/>
    <x v="0"/>
    <x v="0"/>
    <n v="35.8217121096772"/>
    <n v="13074.924920032199"/>
    <n v="47069.729712115899"/>
  </r>
  <r>
    <x v="0"/>
    <x v="0"/>
    <x v="0"/>
    <x v="0"/>
    <x v="0"/>
    <s v="DK1_Rural"/>
    <x v="6"/>
    <s v="GNR_BO_WOODCHI_E-110"/>
    <x v="0"/>
    <x v="1"/>
    <n v="30.382644247615598"/>
    <n v="11089.6651503797"/>
    <n v="39922.794541367002"/>
  </r>
  <r>
    <x v="0"/>
    <x v="0"/>
    <x v="0"/>
    <x v="0"/>
    <x v="0"/>
    <s v="DK1_Rural"/>
    <x v="6"/>
    <s v="GNR_BO_WOODCHI_E-110"/>
    <x v="0"/>
    <x v="2"/>
    <n v="26.3939944821038"/>
    <n v="9633.8079859679001"/>
    <n v="34681.708749484402"/>
  </r>
  <r>
    <x v="0"/>
    <x v="0"/>
    <x v="0"/>
    <x v="0"/>
    <x v="0"/>
    <s v="DK1_Rural"/>
    <x v="6"/>
    <s v="GNR_BO_WOODCHI_E-110"/>
    <x v="0"/>
    <x v="3"/>
    <n v="29.294830675203301"/>
    <n v="10692.6131964492"/>
    <n v="38493.407507217198"/>
  </r>
  <r>
    <x v="0"/>
    <x v="0"/>
    <x v="0"/>
    <x v="0"/>
    <x v="0"/>
    <s v="DK1_Rural"/>
    <x v="6"/>
    <s v="GNR_BO_WOODCHI_E-110"/>
    <x v="0"/>
    <x v="4"/>
    <n v="43.436407116563402"/>
    <n v="15854.288597545599"/>
    <n v="57075.438951164302"/>
  </r>
  <r>
    <x v="0"/>
    <x v="0"/>
    <x v="0"/>
    <x v="0"/>
    <x v="0"/>
    <s v="DK1_Rural"/>
    <x v="6"/>
    <s v="GNR_BO_WOODCHI_E-110"/>
    <x v="0"/>
    <x v="5"/>
    <n v="53.951938316548997"/>
    <n v="19692.457485540399"/>
    <n v="70892.846947945407"/>
  </r>
  <r>
    <x v="0"/>
    <x v="0"/>
    <x v="0"/>
    <x v="0"/>
    <x v="0"/>
    <s v="DK1_Rural"/>
    <x v="6"/>
    <s v="GNR_BO_WOODCHI_E-110"/>
    <x v="0"/>
    <x v="6"/>
    <n v="120.30856623370001"/>
    <n v="43912.626675300497"/>
    <n v="158085.45603108199"/>
  </r>
  <r>
    <x v="0"/>
    <x v="0"/>
    <x v="0"/>
    <x v="0"/>
    <x v="0"/>
    <s v="DK1_Rural"/>
    <x v="6"/>
    <s v="GNR_BO_WOODCHI_E-110"/>
    <x v="0"/>
    <x v="7"/>
    <n v="128.43"/>
    <n v="46876.95"/>
    <n v="168757.02"/>
  </r>
  <r>
    <x v="0"/>
    <x v="0"/>
    <x v="0"/>
    <x v="0"/>
    <x v="0"/>
    <s v="DK1_Rural"/>
    <x v="6"/>
    <s v="GNR_BO_WOODCHI_E-110"/>
    <x v="0"/>
    <x v="8"/>
    <n v="128.43"/>
    <n v="46876.95"/>
    <n v="168757.02"/>
  </r>
  <r>
    <x v="0"/>
    <x v="0"/>
    <x v="0"/>
    <x v="0"/>
    <x v="0"/>
    <s v="DK1_Rural"/>
    <x v="6"/>
    <s v="GNR_BO_WOODCHI_E-110"/>
    <x v="0"/>
    <x v="9"/>
    <n v="128.43"/>
    <n v="46876.95"/>
    <n v="168757.02"/>
  </r>
  <r>
    <x v="0"/>
    <x v="0"/>
    <x v="0"/>
    <x v="0"/>
    <x v="0"/>
    <s v="DK1_Rural"/>
    <x v="6"/>
    <s v="GNR_BO_WOODCHI_E-110"/>
    <x v="0"/>
    <x v="10"/>
    <n v="128.43"/>
    <n v="46876.95"/>
    <n v="168757.02"/>
  </r>
  <r>
    <x v="0"/>
    <x v="0"/>
    <x v="0"/>
    <x v="0"/>
    <x v="0"/>
    <s v="DK1_Rural"/>
    <x v="6"/>
    <s v="GNR_BO_WOODCHI_E-110"/>
    <x v="0"/>
    <x v="11"/>
    <n v="128.43"/>
    <n v="46876.95"/>
    <n v="168757.02"/>
  </r>
  <r>
    <x v="0"/>
    <x v="0"/>
    <x v="0"/>
    <x v="0"/>
    <x v="0"/>
    <s v="DK1_Rural"/>
    <x v="6"/>
    <s v="GNR_BO_WOODCHI_E-110"/>
    <x v="0"/>
    <x v="12"/>
    <n v="128.43"/>
    <n v="46876.95"/>
    <n v="168757.02"/>
  </r>
  <r>
    <x v="0"/>
    <x v="0"/>
    <x v="0"/>
    <x v="0"/>
    <x v="0"/>
    <s v="DK1_Rural"/>
    <x v="6"/>
    <s v="GNR_BO_WOODCHI_E-110"/>
    <x v="0"/>
    <x v="13"/>
    <n v="128.43"/>
    <n v="46876.95"/>
    <n v="168757.02"/>
  </r>
  <r>
    <x v="0"/>
    <x v="0"/>
    <x v="0"/>
    <x v="0"/>
    <x v="0"/>
    <s v="DK1_Rural"/>
    <x v="6"/>
    <s v="GNR_BO_WOODCHI_E-110"/>
    <x v="0"/>
    <x v="14"/>
    <n v="128.43"/>
    <n v="46876.95"/>
    <n v="168757.02"/>
  </r>
  <r>
    <x v="0"/>
    <x v="0"/>
    <x v="0"/>
    <x v="0"/>
    <x v="0"/>
    <s v="DK1_Rural"/>
    <x v="6"/>
    <s v="GNR_BO_WOODCHI_E-110"/>
    <x v="0"/>
    <x v="15"/>
    <n v="128.43"/>
    <n v="46876.95"/>
    <n v="168757.02"/>
  </r>
  <r>
    <x v="0"/>
    <x v="0"/>
    <x v="0"/>
    <x v="0"/>
    <x v="0"/>
    <s v="DK1_Rural"/>
    <x v="6"/>
    <s v="GNR_BO_WOODCHI_E-110"/>
    <x v="0"/>
    <x v="16"/>
    <n v="128.43"/>
    <n v="46876.95"/>
    <n v="168757.02"/>
  </r>
  <r>
    <x v="0"/>
    <x v="0"/>
    <x v="0"/>
    <x v="0"/>
    <x v="0"/>
    <s v="DK1_Rural"/>
    <x v="6"/>
    <s v="GNR_BO_WOODCHI_E-110"/>
    <x v="0"/>
    <x v="17"/>
    <n v="128.43"/>
    <n v="46876.95"/>
    <n v="168757.02"/>
  </r>
  <r>
    <x v="0"/>
    <x v="0"/>
    <x v="0"/>
    <x v="0"/>
    <x v="0"/>
    <s v="DK1_Rural"/>
    <x v="6"/>
    <s v="GNR_BO_WOODCHI_E-110"/>
    <x v="0"/>
    <x v="18"/>
    <n v="128.43"/>
    <n v="46876.95"/>
    <n v="168757.02"/>
  </r>
  <r>
    <x v="0"/>
    <x v="0"/>
    <x v="0"/>
    <x v="0"/>
    <x v="0"/>
    <s v="DK1_Rural"/>
    <x v="6"/>
    <s v="GNR_BO_WOODCHI_E-110"/>
    <x v="0"/>
    <x v="19"/>
    <n v="128.43"/>
    <n v="46876.95"/>
    <n v="168757.02"/>
  </r>
  <r>
    <x v="0"/>
    <x v="0"/>
    <x v="0"/>
    <x v="0"/>
    <x v="0"/>
    <s v="DK1_Rural"/>
    <x v="6"/>
    <s v="GNR_BO_WOODCHI_E-110"/>
    <x v="0"/>
    <x v="20"/>
    <n v="128.43"/>
    <n v="46876.95"/>
    <n v="168757.02"/>
  </r>
  <r>
    <x v="0"/>
    <x v="0"/>
    <x v="0"/>
    <x v="0"/>
    <x v="0"/>
    <s v="DK1_Rural"/>
    <x v="6"/>
    <s v="GNR_BO_WOODCHI_E-110"/>
    <x v="0"/>
    <x v="21"/>
    <n v="128.43"/>
    <n v="46876.95"/>
    <n v="168757.02"/>
  </r>
  <r>
    <x v="0"/>
    <x v="0"/>
    <x v="0"/>
    <x v="0"/>
    <x v="0"/>
    <s v="DK1_Rural"/>
    <x v="6"/>
    <s v="GNR_BO_WOODCHI_E-110"/>
    <x v="0"/>
    <x v="22"/>
    <n v="128.43"/>
    <n v="46876.95"/>
    <n v="168757.02"/>
  </r>
  <r>
    <x v="0"/>
    <x v="0"/>
    <x v="0"/>
    <x v="0"/>
    <x v="0"/>
    <s v="DK1_Rural"/>
    <x v="6"/>
    <s v="GNR_BO_WOODCHI_E-110"/>
    <x v="0"/>
    <x v="23"/>
    <n v="128.43"/>
    <n v="46876.95"/>
    <n v="168757.02"/>
  </r>
  <r>
    <x v="0"/>
    <x v="0"/>
    <x v="0"/>
    <x v="0"/>
    <x v="0"/>
    <s v="DK1_Rural"/>
    <x v="6"/>
    <s v="GNR_BO_WOODCHI_E-112"/>
    <x v="0"/>
    <x v="0"/>
    <n v="19"/>
    <n v="6935"/>
    <n v="24966"/>
  </r>
  <r>
    <x v="0"/>
    <x v="0"/>
    <x v="0"/>
    <x v="0"/>
    <x v="0"/>
    <s v="DK1_Rural"/>
    <x v="6"/>
    <s v="GNR_BO_WOODCHI_E-112"/>
    <x v="0"/>
    <x v="1"/>
    <n v="19"/>
    <n v="6935"/>
    <n v="24966"/>
  </r>
  <r>
    <x v="0"/>
    <x v="0"/>
    <x v="0"/>
    <x v="0"/>
    <x v="0"/>
    <s v="DK1_Rural"/>
    <x v="6"/>
    <s v="GNR_BO_WOODCHI_E-112"/>
    <x v="0"/>
    <x v="2"/>
    <n v="19"/>
    <n v="6935"/>
    <n v="24966"/>
  </r>
  <r>
    <x v="0"/>
    <x v="0"/>
    <x v="0"/>
    <x v="0"/>
    <x v="0"/>
    <s v="DK1_Rural"/>
    <x v="6"/>
    <s v="GNR_BO_WOODCHI_E-112"/>
    <x v="0"/>
    <x v="3"/>
    <n v="19"/>
    <n v="6935"/>
    <n v="24966"/>
  </r>
  <r>
    <x v="0"/>
    <x v="0"/>
    <x v="0"/>
    <x v="0"/>
    <x v="0"/>
    <s v="DK1_Rural"/>
    <x v="6"/>
    <s v="GNR_BO_WOODCHI_E-112"/>
    <x v="0"/>
    <x v="4"/>
    <n v="19"/>
    <n v="6935"/>
    <n v="24966"/>
  </r>
  <r>
    <x v="0"/>
    <x v="0"/>
    <x v="0"/>
    <x v="0"/>
    <x v="0"/>
    <s v="DK1_Rural"/>
    <x v="6"/>
    <s v="GNR_BO_WOODCHI_E-112"/>
    <x v="0"/>
    <x v="5"/>
    <n v="19"/>
    <n v="6935"/>
    <n v="24966"/>
  </r>
  <r>
    <x v="0"/>
    <x v="0"/>
    <x v="0"/>
    <x v="0"/>
    <x v="0"/>
    <s v="DK1_Rural"/>
    <x v="6"/>
    <s v="GNR_BO_WOODCHI_E-112"/>
    <x v="0"/>
    <x v="6"/>
    <n v="19"/>
    <n v="6935"/>
    <n v="24966"/>
  </r>
  <r>
    <x v="0"/>
    <x v="0"/>
    <x v="0"/>
    <x v="0"/>
    <x v="0"/>
    <s v="DK1_Rural"/>
    <x v="6"/>
    <s v="GNR_BO_WOODCHI_E-112"/>
    <x v="0"/>
    <x v="7"/>
    <n v="19"/>
    <n v="6935"/>
    <n v="24966"/>
  </r>
  <r>
    <x v="0"/>
    <x v="0"/>
    <x v="0"/>
    <x v="0"/>
    <x v="0"/>
    <s v="DK1_Rural"/>
    <x v="6"/>
    <s v="GNR_BO_WOODCHI_E-112"/>
    <x v="0"/>
    <x v="8"/>
    <n v="19"/>
    <n v="6935"/>
    <n v="24966"/>
  </r>
  <r>
    <x v="0"/>
    <x v="0"/>
    <x v="0"/>
    <x v="0"/>
    <x v="0"/>
    <s v="DK1_Rural"/>
    <x v="6"/>
    <s v="GNR_BO_WOODCHI_E-112"/>
    <x v="0"/>
    <x v="9"/>
    <n v="19"/>
    <n v="6935"/>
    <n v="24966"/>
  </r>
  <r>
    <x v="0"/>
    <x v="0"/>
    <x v="0"/>
    <x v="0"/>
    <x v="0"/>
    <s v="DK1_Rural"/>
    <x v="6"/>
    <s v="GNR_BO_WOODCHI_E-112"/>
    <x v="0"/>
    <x v="10"/>
    <n v="19"/>
    <n v="6935"/>
    <n v="24966"/>
  </r>
  <r>
    <x v="0"/>
    <x v="0"/>
    <x v="0"/>
    <x v="0"/>
    <x v="0"/>
    <s v="DK1_Rural"/>
    <x v="6"/>
    <s v="GNR_BO_WOODCHI_E-112"/>
    <x v="0"/>
    <x v="11"/>
    <n v="19"/>
    <n v="6935"/>
    <n v="24966"/>
  </r>
  <r>
    <x v="0"/>
    <x v="0"/>
    <x v="0"/>
    <x v="0"/>
    <x v="0"/>
    <s v="DK1_Rural"/>
    <x v="6"/>
    <s v="GNR_BO_WOODCHI_E-112"/>
    <x v="0"/>
    <x v="12"/>
    <n v="19"/>
    <n v="6935"/>
    <n v="24966"/>
  </r>
  <r>
    <x v="0"/>
    <x v="0"/>
    <x v="0"/>
    <x v="0"/>
    <x v="0"/>
    <s v="DK1_Rural"/>
    <x v="6"/>
    <s v="GNR_BO_WOODCHI_E-112"/>
    <x v="0"/>
    <x v="13"/>
    <n v="19"/>
    <n v="6935"/>
    <n v="24966"/>
  </r>
  <r>
    <x v="0"/>
    <x v="0"/>
    <x v="0"/>
    <x v="0"/>
    <x v="0"/>
    <s v="DK1_Rural"/>
    <x v="6"/>
    <s v="GNR_BO_WOODCHI_E-112"/>
    <x v="0"/>
    <x v="14"/>
    <n v="19"/>
    <n v="6935"/>
    <n v="24966"/>
  </r>
  <r>
    <x v="0"/>
    <x v="0"/>
    <x v="0"/>
    <x v="0"/>
    <x v="0"/>
    <s v="DK1_Rural"/>
    <x v="6"/>
    <s v="GNR_BO_WOODCHI_E-112"/>
    <x v="0"/>
    <x v="15"/>
    <n v="19"/>
    <n v="6935"/>
    <n v="24966"/>
  </r>
  <r>
    <x v="0"/>
    <x v="0"/>
    <x v="0"/>
    <x v="0"/>
    <x v="0"/>
    <s v="DK1_Rural"/>
    <x v="6"/>
    <s v="GNR_BO_WOODCHI_E-112"/>
    <x v="0"/>
    <x v="16"/>
    <n v="19"/>
    <n v="6935"/>
    <n v="24966"/>
  </r>
  <r>
    <x v="0"/>
    <x v="0"/>
    <x v="0"/>
    <x v="0"/>
    <x v="0"/>
    <s v="DK1_Rural"/>
    <x v="6"/>
    <s v="GNR_BO_WOODCHI_E-112"/>
    <x v="0"/>
    <x v="17"/>
    <n v="19"/>
    <n v="6935"/>
    <n v="24966"/>
  </r>
  <r>
    <x v="0"/>
    <x v="0"/>
    <x v="0"/>
    <x v="0"/>
    <x v="0"/>
    <s v="DK1_Rural"/>
    <x v="6"/>
    <s v="GNR_BO_WOODCHI_E-112"/>
    <x v="0"/>
    <x v="18"/>
    <n v="19"/>
    <n v="6935"/>
    <n v="24966"/>
  </r>
  <r>
    <x v="0"/>
    <x v="0"/>
    <x v="0"/>
    <x v="0"/>
    <x v="0"/>
    <s v="DK1_Rural"/>
    <x v="6"/>
    <s v="GNR_BO_WOODCHI_E-112"/>
    <x v="0"/>
    <x v="19"/>
    <n v="19"/>
    <n v="6935"/>
    <n v="24966"/>
  </r>
  <r>
    <x v="0"/>
    <x v="0"/>
    <x v="0"/>
    <x v="0"/>
    <x v="0"/>
    <s v="DK1_Rural"/>
    <x v="6"/>
    <s v="GNR_BO_WOODCHI_E-112"/>
    <x v="0"/>
    <x v="20"/>
    <n v="19"/>
    <n v="6935"/>
    <n v="24966"/>
  </r>
  <r>
    <x v="0"/>
    <x v="0"/>
    <x v="0"/>
    <x v="0"/>
    <x v="0"/>
    <s v="DK1_Rural"/>
    <x v="6"/>
    <s v="GNR_BO_WOODCHI_E-112"/>
    <x v="0"/>
    <x v="21"/>
    <n v="19"/>
    <n v="6935"/>
    <n v="24966"/>
  </r>
  <r>
    <x v="0"/>
    <x v="0"/>
    <x v="0"/>
    <x v="0"/>
    <x v="0"/>
    <s v="DK1_Rural"/>
    <x v="6"/>
    <s v="GNR_BO_WOODCHI_E-112"/>
    <x v="0"/>
    <x v="22"/>
    <n v="19"/>
    <n v="6935"/>
    <n v="24966"/>
  </r>
  <r>
    <x v="0"/>
    <x v="0"/>
    <x v="0"/>
    <x v="0"/>
    <x v="0"/>
    <s v="DK1_Rural"/>
    <x v="6"/>
    <s v="GNR_BO_WOODCHI_E-112"/>
    <x v="0"/>
    <x v="23"/>
    <n v="19"/>
    <n v="6935"/>
    <n v="24966"/>
  </r>
  <r>
    <x v="0"/>
    <x v="0"/>
    <x v="0"/>
    <x v="0"/>
    <x v="0"/>
    <s v="DK1_Rural"/>
    <x v="6"/>
    <s v="GNR_BO_WOODCHI_E-113"/>
    <x v="0"/>
    <x v="0"/>
    <n v="4.8"/>
    <n v="1752"/>
    <n v="6307.2"/>
  </r>
  <r>
    <x v="0"/>
    <x v="0"/>
    <x v="0"/>
    <x v="0"/>
    <x v="0"/>
    <s v="DK1_Rural"/>
    <x v="6"/>
    <s v="GNR_BO_WOODCHI_E-113"/>
    <x v="0"/>
    <x v="1"/>
    <n v="4.8"/>
    <n v="1752"/>
    <n v="6307.2"/>
  </r>
  <r>
    <x v="0"/>
    <x v="0"/>
    <x v="0"/>
    <x v="0"/>
    <x v="0"/>
    <s v="DK1_Rural"/>
    <x v="6"/>
    <s v="GNR_BO_WOODCHI_E-113"/>
    <x v="0"/>
    <x v="2"/>
    <n v="4.8"/>
    <n v="1752"/>
    <n v="6307.2"/>
  </r>
  <r>
    <x v="0"/>
    <x v="0"/>
    <x v="0"/>
    <x v="0"/>
    <x v="0"/>
    <s v="DK1_Rural"/>
    <x v="6"/>
    <s v="GNR_BO_WOODCHI_E-113"/>
    <x v="0"/>
    <x v="3"/>
    <n v="4.8"/>
    <n v="1752"/>
    <n v="6307.2"/>
  </r>
  <r>
    <x v="0"/>
    <x v="0"/>
    <x v="0"/>
    <x v="0"/>
    <x v="0"/>
    <s v="DK1_Rural"/>
    <x v="6"/>
    <s v="GNR_BO_WOODCHI_E-113"/>
    <x v="0"/>
    <x v="4"/>
    <n v="4.8"/>
    <n v="1752"/>
    <n v="6307.2"/>
  </r>
  <r>
    <x v="0"/>
    <x v="0"/>
    <x v="0"/>
    <x v="0"/>
    <x v="0"/>
    <s v="DK1_Rural"/>
    <x v="6"/>
    <s v="GNR_BO_WOODCHI_E-113"/>
    <x v="0"/>
    <x v="5"/>
    <n v="4.8"/>
    <n v="1752"/>
    <n v="6307.2"/>
  </r>
  <r>
    <x v="0"/>
    <x v="0"/>
    <x v="0"/>
    <x v="0"/>
    <x v="0"/>
    <s v="DK1_Rural"/>
    <x v="6"/>
    <s v="GNR_BO_WOODCHI_E-113"/>
    <x v="0"/>
    <x v="6"/>
    <n v="4.8"/>
    <n v="1752"/>
    <n v="6307.2"/>
  </r>
  <r>
    <x v="0"/>
    <x v="0"/>
    <x v="0"/>
    <x v="0"/>
    <x v="0"/>
    <s v="DK1_Rural"/>
    <x v="6"/>
    <s v="GNR_BO_WOODCHI_E-113"/>
    <x v="0"/>
    <x v="7"/>
    <n v="4.8"/>
    <n v="1752"/>
    <n v="6307.2"/>
  </r>
  <r>
    <x v="0"/>
    <x v="0"/>
    <x v="0"/>
    <x v="0"/>
    <x v="0"/>
    <s v="DK1_Rural"/>
    <x v="6"/>
    <s v="GNR_BO_WOODCHI_E-113"/>
    <x v="0"/>
    <x v="8"/>
    <n v="4.8"/>
    <n v="1752"/>
    <n v="6307.2"/>
  </r>
  <r>
    <x v="0"/>
    <x v="0"/>
    <x v="0"/>
    <x v="0"/>
    <x v="0"/>
    <s v="DK1_Rural"/>
    <x v="6"/>
    <s v="GNR_BO_WOODCHI_E-113"/>
    <x v="0"/>
    <x v="9"/>
    <n v="4.8"/>
    <n v="1752"/>
    <n v="6307.2"/>
  </r>
  <r>
    <x v="0"/>
    <x v="0"/>
    <x v="0"/>
    <x v="0"/>
    <x v="0"/>
    <s v="DK1_Rural"/>
    <x v="6"/>
    <s v="GNR_BO_WOODCHI_E-113"/>
    <x v="0"/>
    <x v="10"/>
    <n v="4.8"/>
    <n v="1752"/>
    <n v="6307.2"/>
  </r>
  <r>
    <x v="0"/>
    <x v="0"/>
    <x v="0"/>
    <x v="0"/>
    <x v="0"/>
    <s v="DK1_Rural"/>
    <x v="6"/>
    <s v="GNR_BO_WOODCHI_E-113"/>
    <x v="0"/>
    <x v="11"/>
    <n v="4.8"/>
    <n v="1752"/>
    <n v="6307.2"/>
  </r>
  <r>
    <x v="0"/>
    <x v="0"/>
    <x v="0"/>
    <x v="0"/>
    <x v="0"/>
    <s v="DK1_Rural"/>
    <x v="6"/>
    <s v="GNR_BO_WOODCHI_E-113"/>
    <x v="0"/>
    <x v="12"/>
    <n v="4.8"/>
    <n v="1752"/>
    <n v="6307.2"/>
  </r>
  <r>
    <x v="0"/>
    <x v="0"/>
    <x v="0"/>
    <x v="0"/>
    <x v="0"/>
    <s v="DK1_Rural"/>
    <x v="6"/>
    <s v="GNR_BO_WOODCHI_E-113"/>
    <x v="0"/>
    <x v="13"/>
    <n v="4.8"/>
    <n v="1752"/>
    <n v="6307.2"/>
  </r>
  <r>
    <x v="0"/>
    <x v="0"/>
    <x v="0"/>
    <x v="0"/>
    <x v="0"/>
    <s v="DK1_Rural"/>
    <x v="6"/>
    <s v="GNR_BO_WOODCHI_E-113"/>
    <x v="0"/>
    <x v="14"/>
    <n v="4.8"/>
    <n v="1752"/>
    <n v="6307.2"/>
  </r>
  <r>
    <x v="0"/>
    <x v="0"/>
    <x v="0"/>
    <x v="0"/>
    <x v="0"/>
    <s v="DK1_Rural"/>
    <x v="6"/>
    <s v="GNR_BO_WOODCHI_E-113"/>
    <x v="0"/>
    <x v="15"/>
    <n v="4.8"/>
    <n v="1752"/>
    <n v="6307.2"/>
  </r>
  <r>
    <x v="0"/>
    <x v="0"/>
    <x v="0"/>
    <x v="0"/>
    <x v="0"/>
    <s v="DK1_Rural"/>
    <x v="6"/>
    <s v="GNR_BO_WOODCHI_E-113"/>
    <x v="0"/>
    <x v="16"/>
    <n v="4.8"/>
    <n v="1752"/>
    <n v="6307.2"/>
  </r>
  <r>
    <x v="0"/>
    <x v="0"/>
    <x v="0"/>
    <x v="0"/>
    <x v="0"/>
    <s v="DK1_Rural"/>
    <x v="6"/>
    <s v="GNR_BO_WOODCHI_E-113"/>
    <x v="0"/>
    <x v="17"/>
    <n v="4.8"/>
    <n v="1752"/>
    <n v="6307.2"/>
  </r>
  <r>
    <x v="0"/>
    <x v="0"/>
    <x v="0"/>
    <x v="0"/>
    <x v="0"/>
    <s v="DK1_Rural"/>
    <x v="6"/>
    <s v="GNR_BO_WOODCHI_E-113"/>
    <x v="0"/>
    <x v="18"/>
    <n v="4.8"/>
    <n v="1752"/>
    <n v="6307.2"/>
  </r>
  <r>
    <x v="0"/>
    <x v="0"/>
    <x v="0"/>
    <x v="0"/>
    <x v="0"/>
    <s v="DK1_Rural"/>
    <x v="6"/>
    <s v="GNR_BO_WOODCHI_E-113"/>
    <x v="0"/>
    <x v="19"/>
    <n v="4.8"/>
    <n v="1752"/>
    <n v="6307.2"/>
  </r>
  <r>
    <x v="0"/>
    <x v="0"/>
    <x v="0"/>
    <x v="0"/>
    <x v="0"/>
    <s v="DK1_Rural"/>
    <x v="6"/>
    <s v="GNR_BO_WOODCHI_E-113"/>
    <x v="0"/>
    <x v="20"/>
    <n v="4.8"/>
    <n v="1752"/>
    <n v="6307.2"/>
  </r>
  <r>
    <x v="0"/>
    <x v="0"/>
    <x v="0"/>
    <x v="0"/>
    <x v="0"/>
    <s v="DK1_Rural"/>
    <x v="6"/>
    <s v="GNR_BO_WOODCHI_E-113"/>
    <x v="0"/>
    <x v="21"/>
    <n v="4.8"/>
    <n v="1752"/>
    <n v="6307.2"/>
  </r>
  <r>
    <x v="0"/>
    <x v="0"/>
    <x v="0"/>
    <x v="0"/>
    <x v="0"/>
    <s v="DK1_Rural"/>
    <x v="6"/>
    <s v="GNR_BO_WOODCHI_E-113"/>
    <x v="0"/>
    <x v="22"/>
    <n v="4.8"/>
    <n v="1752"/>
    <n v="6307.2"/>
  </r>
  <r>
    <x v="0"/>
    <x v="0"/>
    <x v="0"/>
    <x v="0"/>
    <x v="0"/>
    <s v="DK1_Rural"/>
    <x v="6"/>
    <s v="GNR_BO_WOODCHI_E-113"/>
    <x v="0"/>
    <x v="23"/>
    <n v="4.8"/>
    <n v="1752"/>
    <n v="6307.2"/>
  </r>
  <r>
    <x v="0"/>
    <x v="0"/>
    <x v="0"/>
    <x v="0"/>
    <x v="0"/>
    <s v="DK1_Rural"/>
    <x v="6"/>
    <s v="GNR_BO_WOODCHI_E-114"/>
    <x v="0"/>
    <x v="0"/>
    <n v="21"/>
    <n v="7665"/>
    <n v="27594"/>
  </r>
  <r>
    <x v="0"/>
    <x v="0"/>
    <x v="0"/>
    <x v="0"/>
    <x v="0"/>
    <s v="DK1_Rural"/>
    <x v="6"/>
    <s v="GNR_BO_WOODCHI_E-114"/>
    <x v="0"/>
    <x v="1"/>
    <n v="21"/>
    <n v="7665"/>
    <n v="27594"/>
  </r>
  <r>
    <x v="0"/>
    <x v="0"/>
    <x v="0"/>
    <x v="0"/>
    <x v="0"/>
    <s v="DK1_Rural"/>
    <x v="6"/>
    <s v="GNR_BO_WOODCHI_E-114"/>
    <x v="0"/>
    <x v="2"/>
    <n v="21"/>
    <n v="7665"/>
    <n v="27594"/>
  </r>
  <r>
    <x v="0"/>
    <x v="0"/>
    <x v="0"/>
    <x v="0"/>
    <x v="0"/>
    <s v="DK1_Rural"/>
    <x v="6"/>
    <s v="GNR_BO_WOODCHI_E-114"/>
    <x v="0"/>
    <x v="3"/>
    <n v="21"/>
    <n v="7665"/>
    <n v="27594"/>
  </r>
  <r>
    <x v="0"/>
    <x v="0"/>
    <x v="0"/>
    <x v="0"/>
    <x v="0"/>
    <s v="DK1_Rural"/>
    <x v="6"/>
    <s v="GNR_BO_WOODCHI_E-114"/>
    <x v="0"/>
    <x v="4"/>
    <n v="21"/>
    <n v="7665"/>
    <n v="27594"/>
  </r>
  <r>
    <x v="0"/>
    <x v="0"/>
    <x v="0"/>
    <x v="0"/>
    <x v="0"/>
    <s v="DK1_Rural"/>
    <x v="6"/>
    <s v="GNR_BO_WOODCHI_E-114"/>
    <x v="0"/>
    <x v="5"/>
    <n v="21"/>
    <n v="7665"/>
    <n v="27594"/>
  </r>
  <r>
    <x v="0"/>
    <x v="0"/>
    <x v="0"/>
    <x v="0"/>
    <x v="0"/>
    <s v="DK1_Rural"/>
    <x v="6"/>
    <s v="GNR_BO_WOODCHI_E-114"/>
    <x v="0"/>
    <x v="6"/>
    <n v="21"/>
    <n v="7665"/>
    <n v="27594"/>
  </r>
  <r>
    <x v="0"/>
    <x v="0"/>
    <x v="0"/>
    <x v="0"/>
    <x v="0"/>
    <s v="DK1_Rural"/>
    <x v="6"/>
    <s v="GNR_BO_WOODCHI_E-114"/>
    <x v="0"/>
    <x v="7"/>
    <n v="21"/>
    <n v="7665"/>
    <n v="27594"/>
  </r>
  <r>
    <x v="0"/>
    <x v="0"/>
    <x v="0"/>
    <x v="0"/>
    <x v="0"/>
    <s v="DK1_Rural"/>
    <x v="6"/>
    <s v="GNR_BO_WOODCHI_E-114"/>
    <x v="0"/>
    <x v="8"/>
    <n v="21"/>
    <n v="7665"/>
    <n v="27594"/>
  </r>
  <r>
    <x v="0"/>
    <x v="0"/>
    <x v="0"/>
    <x v="0"/>
    <x v="0"/>
    <s v="DK1_Rural"/>
    <x v="6"/>
    <s v="GNR_BO_WOODCHI_E-114"/>
    <x v="0"/>
    <x v="9"/>
    <n v="21"/>
    <n v="7665"/>
    <n v="27594"/>
  </r>
  <r>
    <x v="0"/>
    <x v="0"/>
    <x v="0"/>
    <x v="0"/>
    <x v="0"/>
    <s v="DK1_Rural"/>
    <x v="6"/>
    <s v="GNR_BO_WOODCHI_E-114"/>
    <x v="0"/>
    <x v="10"/>
    <n v="21"/>
    <n v="7665"/>
    <n v="27594"/>
  </r>
  <r>
    <x v="0"/>
    <x v="0"/>
    <x v="0"/>
    <x v="0"/>
    <x v="0"/>
    <s v="DK1_Rural"/>
    <x v="6"/>
    <s v="GNR_BO_WOODCHI_E-114"/>
    <x v="0"/>
    <x v="11"/>
    <n v="21"/>
    <n v="7665"/>
    <n v="27594"/>
  </r>
  <r>
    <x v="0"/>
    <x v="0"/>
    <x v="0"/>
    <x v="0"/>
    <x v="0"/>
    <s v="DK1_Rural"/>
    <x v="6"/>
    <s v="GNR_BO_WOODCHI_E-114"/>
    <x v="0"/>
    <x v="12"/>
    <n v="21"/>
    <n v="7665"/>
    <n v="27594"/>
  </r>
  <r>
    <x v="0"/>
    <x v="0"/>
    <x v="0"/>
    <x v="0"/>
    <x v="0"/>
    <s v="DK1_Rural"/>
    <x v="6"/>
    <s v="GNR_BO_WOODCHI_E-114"/>
    <x v="0"/>
    <x v="13"/>
    <n v="21"/>
    <n v="7665"/>
    <n v="27594"/>
  </r>
  <r>
    <x v="0"/>
    <x v="0"/>
    <x v="0"/>
    <x v="0"/>
    <x v="0"/>
    <s v="DK1_Rural"/>
    <x v="6"/>
    <s v="GNR_BO_WOODCHI_E-114"/>
    <x v="0"/>
    <x v="14"/>
    <n v="21"/>
    <n v="7665"/>
    <n v="27594"/>
  </r>
  <r>
    <x v="0"/>
    <x v="0"/>
    <x v="0"/>
    <x v="0"/>
    <x v="0"/>
    <s v="DK1_Rural"/>
    <x v="6"/>
    <s v="GNR_BO_WOODCHI_E-114"/>
    <x v="0"/>
    <x v="15"/>
    <n v="21"/>
    <n v="7665"/>
    <n v="27594"/>
  </r>
  <r>
    <x v="0"/>
    <x v="0"/>
    <x v="0"/>
    <x v="0"/>
    <x v="0"/>
    <s v="DK1_Rural"/>
    <x v="6"/>
    <s v="GNR_BO_WOODCHI_E-114"/>
    <x v="0"/>
    <x v="16"/>
    <n v="21"/>
    <n v="7665"/>
    <n v="27594"/>
  </r>
  <r>
    <x v="0"/>
    <x v="0"/>
    <x v="0"/>
    <x v="0"/>
    <x v="0"/>
    <s v="DK1_Rural"/>
    <x v="6"/>
    <s v="GNR_BO_WOODCHI_E-114"/>
    <x v="0"/>
    <x v="17"/>
    <n v="21"/>
    <n v="7665"/>
    <n v="27594"/>
  </r>
  <r>
    <x v="0"/>
    <x v="0"/>
    <x v="0"/>
    <x v="0"/>
    <x v="0"/>
    <s v="DK1_Rural"/>
    <x v="6"/>
    <s v="GNR_BO_WOODCHI_E-114"/>
    <x v="0"/>
    <x v="18"/>
    <n v="21"/>
    <n v="7665"/>
    <n v="27594"/>
  </r>
  <r>
    <x v="0"/>
    <x v="0"/>
    <x v="0"/>
    <x v="0"/>
    <x v="0"/>
    <s v="DK1_Rural"/>
    <x v="6"/>
    <s v="GNR_BO_WOODCHI_E-114"/>
    <x v="0"/>
    <x v="19"/>
    <n v="21"/>
    <n v="7665"/>
    <n v="27594"/>
  </r>
  <r>
    <x v="0"/>
    <x v="0"/>
    <x v="0"/>
    <x v="0"/>
    <x v="0"/>
    <s v="DK1_Rural"/>
    <x v="6"/>
    <s v="GNR_BO_WOODCHI_E-114"/>
    <x v="0"/>
    <x v="20"/>
    <n v="21"/>
    <n v="7665"/>
    <n v="27594"/>
  </r>
  <r>
    <x v="0"/>
    <x v="0"/>
    <x v="0"/>
    <x v="0"/>
    <x v="0"/>
    <s v="DK1_Rural"/>
    <x v="6"/>
    <s v="GNR_BO_WOODCHI_E-114"/>
    <x v="0"/>
    <x v="21"/>
    <n v="21"/>
    <n v="7665"/>
    <n v="27594"/>
  </r>
  <r>
    <x v="0"/>
    <x v="0"/>
    <x v="0"/>
    <x v="0"/>
    <x v="0"/>
    <s v="DK1_Rural"/>
    <x v="6"/>
    <s v="GNR_BO_WOODCHI_E-114"/>
    <x v="0"/>
    <x v="22"/>
    <n v="21"/>
    <n v="7665"/>
    <n v="27594"/>
  </r>
  <r>
    <x v="0"/>
    <x v="0"/>
    <x v="0"/>
    <x v="0"/>
    <x v="0"/>
    <s v="DK1_Rural"/>
    <x v="6"/>
    <s v="GNR_BO_WOODCHI_E-114"/>
    <x v="0"/>
    <x v="23"/>
    <n v="21"/>
    <n v="7665"/>
    <n v="27594"/>
  </r>
  <r>
    <x v="0"/>
    <x v="0"/>
    <x v="0"/>
    <x v="0"/>
    <x v="0"/>
    <s v="DK1_Rural"/>
    <x v="6"/>
    <s v="GNR_BO_WOODCHI_E-117"/>
    <x v="0"/>
    <x v="0"/>
    <n v="20"/>
    <n v="7300"/>
    <n v="26280"/>
  </r>
  <r>
    <x v="0"/>
    <x v="0"/>
    <x v="0"/>
    <x v="0"/>
    <x v="0"/>
    <s v="DK1_Rural"/>
    <x v="6"/>
    <s v="GNR_BO_WOODCHI_E-117"/>
    <x v="0"/>
    <x v="1"/>
    <n v="20"/>
    <n v="7300"/>
    <n v="26280"/>
  </r>
  <r>
    <x v="0"/>
    <x v="0"/>
    <x v="0"/>
    <x v="0"/>
    <x v="0"/>
    <s v="DK1_Rural"/>
    <x v="6"/>
    <s v="GNR_BO_WOODCHI_E-117"/>
    <x v="0"/>
    <x v="2"/>
    <n v="20"/>
    <n v="7300"/>
    <n v="26280"/>
  </r>
  <r>
    <x v="0"/>
    <x v="0"/>
    <x v="0"/>
    <x v="0"/>
    <x v="0"/>
    <s v="DK1_Rural"/>
    <x v="6"/>
    <s v="GNR_BO_WOODCHI_E-117"/>
    <x v="0"/>
    <x v="3"/>
    <n v="20"/>
    <n v="7300"/>
    <n v="26280"/>
  </r>
  <r>
    <x v="0"/>
    <x v="0"/>
    <x v="0"/>
    <x v="0"/>
    <x v="0"/>
    <s v="DK1_Rural"/>
    <x v="6"/>
    <s v="GNR_BO_WOODCHI_E-117"/>
    <x v="0"/>
    <x v="4"/>
    <n v="20"/>
    <n v="7300"/>
    <n v="26280"/>
  </r>
  <r>
    <x v="0"/>
    <x v="0"/>
    <x v="0"/>
    <x v="0"/>
    <x v="0"/>
    <s v="DK1_Rural"/>
    <x v="6"/>
    <s v="GNR_BO_WOODCHI_E-117"/>
    <x v="0"/>
    <x v="5"/>
    <n v="20"/>
    <n v="7300"/>
    <n v="26280"/>
  </r>
  <r>
    <x v="0"/>
    <x v="0"/>
    <x v="0"/>
    <x v="0"/>
    <x v="0"/>
    <s v="DK1_Rural"/>
    <x v="6"/>
    <s v="GNR_BO_WOODCHI_E-117"/>
    <x v="0"/>
    <x v="6"/>
    <n v="20"/>
    <n v="7300"/>
    <n v="26280"/>
  </r>
  <r>
    <x v="0"/>
    <x v="0"/>
    <x v="0"/>
    <x v="0"/>
    <x v="0"/>
    <s v="DK1_Rural"/>
    <x v="6"/>
    <s v="GNR_BO_WOODCHI_E-117"/>
    <x v="0"/>
    <x v="7"/>
    <n v="20"/>
    <n v="7300"/>
    <n v="26280"/>
  </r>
  <r>
    <x v="0"/>
    <x v="0"/>
    <x v="0"/>
    <x v="0"/>
    <x v="0"/>
    <s v="DK1_Rural"/>
    <x v="6"/>
    <s v="GNR_BO_WOODCHI_E-117"/>
    <x v="0"/>
    <x v="8"/>
    <n v="20"/>
    <n v="7300"/>
    <n v="26280"/>
  </r>
  <r>
    <x v="0"/>
    <x v="0"/>
    <x v="0"/>
    <x v="0"/>
    <x v="0"/>
    <s v="DK1_Rural"/>
    <x v="6"/>
    <s v="GNR_BO_WOODCHI_E-117"/>
    <x v="0"/>
    <x v="9"/>
    <n v="20"/>
    <n v="7300"/>
    <n v="26280"/>
  </r>
  <r>
    <x v="0"/>
    <x v="0"/>
    <x v="0"/>
    <x v="0"/>
    <x v="0"/>
    <s v="DK1_Rural"/>
    <x v="6"/>
    <s v="GNR_BO_WOODCHI_E-117"/>
    <x v="0"/>
    <x v="10"/>
    <n v="20"/>
    <n v="7300"/>
    <n v="26280"/>
  </r>
  <r>
    <x v="0"/>
    <x v="0"/>
    <x v="0"/>
    <x v="0"/>
    <x v="0"/>
    <s v="DK1_Rural"/>
    <x v="6"/>
    <s v="GNR_BO_WOODCHI_E-117"/>
    <x v="0"/>
    <x v="11"/>
    <n v="20"/>
    <n v="7300"/>
    <n v="26280"/>
  </r>
  <r>
    <x v="0"/>
    <x v="0"/>
    <x v="0"/>
    <x v="0"/>
    <x v="0"/>
    <s v="DK1_Rural"/>
    <x v="6"/>
    <s v="GNR_BO_WOODCHI_E-117"/>
    <x v="0"/>
    <x v="12"/>
    <n v="20"/>
    <n v="7300"/>
    <n v="26280"/>
  </r>
  <r>
    <x v="0"/>
    <x v="0"/>
    <x v="0"/>
    <x v="0"/>
    <x v="0"/>
    <s v="DK1_Rural"/>
    <x v="6"/>
    <s v="GNR_BO_WOODCHI_E-117"/>
    <x v="0"/>
    <x v="13"/>
    <n v="20"/>
    <n v="7300"/>
    <n v="26280"/>
  </r>
  <r>
    <x v="0"/>
    <x v="0"/>
    <x v="0"/>
    <x v="0"/>
    <x v="0"/>
    <s v="DK1_Rural"/>
    <x v="6"/>
    <s v="GNR_BO_WOODCHI_E-117"/>
    <x v="0"/>
    <x v="14"/>
    <n v="20"/>
    <n v="7300"/>
    <n v="26280"/>
  </r>
  <r>
    <x v="0"/>
    <x v="0"/>
    <x v="0"/>
    <x v="0"/>
    <x v="0"/>
    <s v="DK1_Rural"/>
    <x v="6"/>
    <s v="GNR_BO_WOODCHI_E-117"/>
    <x v="0"/>
    <x v="15"/>
    <n v="20"/>
    <n v="7300"/>
    <n v="26280"/>
  </r>
  <r>
    <x v="0"/>
    <x v="0"/>
    <x v="0"/>
    <x v="0"/>
    <x v="0"/>
    <s v="DK1_Rural"/>
    <x v="6"/>
    <s v="GNR_BO_WOODCHI_E-117"/>
    <x v="0"/>
    <x v="16"/>
    <n v="20"/>
    <n v="7300"/>
    <n v="26280"/>
  </r>
  <r>
    <x v="0"/>
    <x v="0"/>
    <x v="0"/>
    <x v="0"/>
    <x v="0"/>
    <s v="DK1_Rural"/>
    <x v="6"/>
    <s v="GNR_BO_WOODCHI_E-117"/>
    <x v="0"/>
    <x v="17"/>
    <n v="20"/>
    <n v="7300"/>
    <n v="26280"/>
  </r>
  <r>
    <x v="0"/>
    <x v="0"/>
    <x v="0"/>
    <x v="0"/>
    <x v="0"/>
    <s v="DK1_Rural"/>
    <x v="6"/>
    <s v="GNR_BO_WOODCHI_E-117"/>
    <x v="0"/>
    <x v="18"/>
    <n v="20"/>
    <n v="7300"/>
    <n v="26280"/>
  </r>
  <r>
    <x v="0"/>
    <x v="0"/>
    <x v="0"/>
    <x v="0"/>
    <x v="0"/>
    <s v="DK1_Rural"/>
    <x v="6"/>
    <s v="GNR_BO_WOODCHI_E-117"/>
    <x v="0"/>
    <x v="19"/>
    <n v="20"/>
    <n v="7300"/>
    <n v="26280"/>
  </r>
  <r>
    <x v="0"/>
    <x v="0"/>
    <x v="0"/>
    <x v="0"/>
    <x v="0"/>
    <s v="DK1_Rural"/>
    <x v="6"/>
    <s v="GNR_BO_WOODCHI_E-117"/>
    <x v="0"/>
    <x v="20"/>
    <n v="20"/>
    <n v="7300"/>
    <n v="26280"/>
  </r>
  <r>
    <x v="0"/>
    <x v="0"/>
    <x v="0"/>
    <x v="0"/>
    <x v="0"/>
    <s v="DK1_Rural"/>
    <x v="6"/>
    <s v="GNR_BO_WOODCHI_E-117"/>
    <x v="0"/>
    <x v="21"/>
    <n v="20"/>
    <n v="7300"/>
    <n v="26280"/>
  </r>
  <r>
    <x v="0"/>
    <x v="0"/>
    <x v="0"/>
    <x v="0"/>
    <x v="0"/>
    <s v="DK1_Rural"/>
    <x v="6"/>
    <s v="GNR_BO_WOODCHI_E-117"/>
    <x v="0"/>
    <x v="22"/>
    <n v="20"/>
    <n v="7300"/>
    <n v="26280"/>
  </r>
  <r>
    <x v="0"/>
    <x v="0"/>
    <x v="0"/>
    <x v="0"/>
    <x v="0"/>
    <s v="DK1_Rural"/>
    <x v="6"/>
    <s v="GNR_BO_WOODCHI_E-117"/>
    <x v="0"/>
    <x v="23"/>
    <n v="20"/>
    <n v="7300"/>
    <n v="26280"/>
  </r>
  <r>
    <x v="0"/>
    <x v="0"/>
    <x v="0"/>
    <x v="0"/>
    <x v="0"/>
    <s v="DK1_Rural"/>
    <x v="6"/>
    <s v="GNR_BO_WOODCHI_E-120"/>
    <x v="0"/>
    <x v="0"/>
    <n v="24"/>
    <n v="8760"/>
    <n v="31536"/>
  </r>
  <r>
    <x v="0"/>
    <x v="0"/>
    <x v="0"/>
    <x v="0"/>
    <x v="0"/>
    <s v="DK1_Rural"/>
    <x v="6"/>
    <s v="GNR_BO_WOODCHI_E-120"/>
    <x v="0"/>
    <x v="1"/>
    <n v="24"/>
    <n v="8760"/>
    <n v="31536"/>
  </r>
  <r>
    <x v="0"/>
    <x v="0"/>
    <x v="0"/>
    <x v="0"/>
    <x v="0"/>
    <s v="DK1_Rural"/>
    <x v="6"/>
    <s v="GNR_BO_WOODCHI_E-120"/>
    <x v="0"/>
    <x v="2"/>
    <n v="24"/>
    <n v="8760"/>
    <n v="31536"/>
  </r>
  <r>
    <x v="0"/>
    <x v="0"/>
    <x v="0"/>
    <x v="0"/>
    <x v="0"/>
    <s v="DK1_Rural"/>
    <x v="6"/>
    <s v="GNR_BO_WOODCHI_E-120"/>
    <x v="0"/>
    <x v="3"/>
    <n v="24"/>
    <n v="8760"/>
    <n v="31536"/>
  </r>
  <r>
    <x v="0"/>
    <x v="0"/>
    <x v="0"/>
    <x v="0"/>
    <x v="0"/>
    <s v="DK1_Rural"/>
    <x v="6"/>
    <s v="GNR_BO_WOODCHI_E-120"/>
    <x v="0"/>
    <x v="4"/>
    <n v="24"/>
    <n v="8760"/>
    <n v="31536"/>
  </r>
  <r>
    <x v="0"/>
    <x v="0"/>
    <x v="0"/>
    <x v="0"/>
    <x v="0"/>
    <s v="DK1_Rural"/>
    <x v="6"/>
    <s v="GNR_BO_WOODCHI_E-120"/>
    <x v="0"/>
    <x v="5"/>
    <n v="24"/>
    <n v="8760"/>
    <n v="31536"/>
  </r>
  <r>
    <x v="0"/>
    <x v="0"/>
    <x v="0"/>
    <x v="0"/>
    <x v="0"/>
    <s v="DK1_Rural"/>
    <x v="6"/>
    <s v="GNR_BO_WOODCHI_E-120"/>
    <x v="0"/>
    <x v="6"/>
    <n v="24"/>
    <n v="8760"/>
    <n v="31536"/>
  </r>
  <r>
    <x v="0"/>
    <x v="0"/>
    <x v="0"/>
    <x v="0"/>
    <x v="0"/>
    <s v="DK1_Rural"/>
    <x v="6"/>
    <s v="GNR_BO_WOODCHI_E-120"/>
    <x v="0"/>
    <x v="7"/>
    <n v="24"/>
    <n v="8760"/>
    <n v="31536"/>
  </r>
  <r>
    <x v="0"/>
    <x v="0"/>
    <x v="0"/>
    <x v="0"/>
    <x v="0"/>
    <s v="DK1_Rural"/>
    <x v="6"/>
    <s v="GNR_BO_WOODCHI_E-120"/>
    <x v="0"/>
    <x v="8"/>
    <n v="24"/>
    <n v="8760"/>
    <n v="31536"/>
  </r>
  <r>
    <x v="0"/>
    <x v="0"/>
    <x v="0"/>
    <x v="0"/>
    <x v="0"/>
    <s v="DK1_Rural"/>
    <x v="6"/>
    <s v="GNR_BO_WOODCHI_E-120"/>
    <x v="0"/>
    <x v="9"/>
    <n v="24"/>
    <n v="8760"/>
    <n v="31536"/>
  </r>
  <r>
    <x v="0"/>
    <x v="0"/>
    <x v="0"/>
    <x v="0"/>
    <x v="0"/>
    <s v="DK1_Rural"/>
    <x v="6"/>
    <s v="GNR_BO_WOODCHI_E-120"/>
    <x v="0"/>
    <x v="10"/>
    <n v="24"/>
    <n v="8760"/>
    <n v="31536"/>
  </r>
  <r>
    <x v="0"/>
    <x v="0"/>
    <x v="0"/>
    <x v="0"/>
    <x v="0"/>
    <s v="DK1_Rural"/>
    <x v="6"/>
    <s v="GNR_BO_WOODCHI_E-120"/>
    <x v="0"/>
    <x v="11"/>
    <n v="24"/>
    <n v="8760"/>
    <n v="31536"/>
  </r>
  <r>
    <x v="0"/>
    <x v="0"/>
    <x v="0"/>
    <x v="0"/>
    <x v="0"/>
    <s v="DK1_Rural"/>
    <x v="6"/>
    <s v="GNR_BO_WOODCHI_E-120"/>
    <x v="0"/>
    <x v="12"/>
    <n v="24"/>
    <n v="8760"/>
    <n v="31536"/>
  </r>
  <r>
    <x v="0"/>
    <x v="0"/>
    <x v="0"/>
    <x v="0"/>
    <x v="0"/>
    <s v="DK1_Rural"/>
    <x v="6"/>
    <s v="GNR_BO_WOODCHI_E-120"/>
    <x v="0"/>
    <x v="13"/>
    <n v="24"/>
    <n v="8760"/>
    <n v="31536"/>
  </r>
  <r>
    <x v="0"/>
    <x v="0"/>
    <x v="0"/>
    <x v="0"/>
    <x v="0"/>
    <s v="DK1_Rural"/>
    <x v="6"/>
    <s v="GNR_BO_WOODCHI_E-120"/>
    <x v="0"/>
    <x v="14"/>
    <n v="24"/>
    <n v="8760"/>
    <n v="31536"/>
  </r>
  <r>
    <x v="0"/>
    <x v="0"/>
    <x v="0"/>
    <x v="0"/>
    <x v="0"/>
    <s v="DK1_Rural"/>
    <x v="6"/>
    <s v="GNR_BO_WOODCHI_E-120"/>
    <x v="0"/>
    <x v="15"/>
    <n v="24"/>
    <n v="8760"/>
    <n v="31536"/>
  </r>
  <r>
    <x v="0"/>
    <x v="0"/>
    <x v="0"/>
    <x v="0"/>
    <x v="0"/>
    <s v="DK1_Rural"/>
    <x v="6"/>
    <s v="GNR_BO_WOODCHI_E-120"/>
    <x v="0"/>
    <x v="16"/>
    <n v="24"/>
    <n v="8760"/>
    <n v="31536"/>
  </r>
  <r>
    <x v="0"/>
    <x v="0"/>
    <x v="0"/>
    <x v="0"/>
    <x v="0"/>
    <s v="DK1_Rural"/>
    <x v="6"/>
    <s v="GNR_BO_WOODCHI_E-120"/>
    <x v="0"/>
    <x v="17"/>
    <n v="24"/>
    <n v="8760"/>
    <n v="31536"/>
  </r>
  <r>
    <x v="0"/>
    <x v="0"/>
    <x v="0"/>
    <x v="0"/>
    <x v="0"/>
    <s v="DK1_Rural"/>
    <x v="6"/>
    <s v="GNR_BO_WOODCHI_E-120"/>
    <x v="0"/>
    <x v="18"/>
    <n v="24"/>
    <n v="8760"/>
    <n v="31536"/>
  </r>
  <r>
    <x v="0"/>
    <x v="0"/>
    <x v="0"/>
    <x v="0"/>
    <x v="0"/>
    <s v="DK1_Rural"/>
    <x v="6"/>
    <s v="GNR_BO_WOODCHI_E-120"/>
    <x v="0"/>
    <x v="19"/>
    <n v="24"/>
    <n v="8760"/>
    <n v="31536"/>
  </r>
  <r>
    <x v="0"/>
    <x v="0"/>
    <x v="0"/>
    <x v="0"/>
    <x v="0"/>
    <s v="DK1_Rural"/>
    <x v="6"/>
    <s v="GNR_BO_WOODCHI_E-120"/>
    <x v="0"/>
    <x v="20"/>
    <n v="24"/>
    <n v="8760"/>
    <n v="31536"/>
  </r>
  <r>
    <x v="0"/>
    <x v="0"/>
    <x v="0"/>
    <x v="0"/>
    <x v="0"/>
    <s v="DK1_Rural"/>
    <x v="6"/>
    <s v="GNR_BO_WOODCHI_E-120"/>
    <x v="0"/>
    <x v="21"/>
    <n v="24"/>
    <n v="8760"/>
    <n v="31536"/>
  </r>
  <r>
    <x v="0"/>
    <x v="0"/>
    <x v="0"/>
    <x v="0"/>
    <x v="0"/>
    <s v="DK1_Rural"/>
    <x v="6"/>
    <s v="GNR_BO_WOODCHI_E-120"/>
    <x v="0"/>
    <x v="22"/>
    <n v="24"/>
    <n v="8760"/>
    <n v="31536"/>
  </r>
  <r>
    <x v="0"/>
    <x v="0"/>
    <x v="0"/>
    <x v="0"/>
    <x v="0"/>
    <s v="DK1_Rural"/>
    <x v="6"/>
    <s v="GNR_BO_WOODCHI_E-120"/>
    <x v="0"/>
    <x v="23"/>
    <n v="24"/>
    <n v="8760"/>
    <n v="31536"/>
  </r>
  <r>
    <x v="0"/>
    <x v="0"/>
    <x v="0"/>
    <x v="0"/>
    <x v="0"/>
    <s v="DK1_Rural"/>
    <x v="7"/>
    <s v="GNR_BO_WOODWST_E-100"/>
    <x v="0"/>
    <x v="0"/>
    <n v="30.75"/>
    <n v="11223.75"/>
    <n v="40405.5"/>
  </r>
  <r>
    <x v="0"/>
    <x v="0"/>
    <x v="0"/>
    <x v="0"/>
    <x v="0"/>
    <s v="DK1_Rural"/>
    <x v="7"/>
    <s v="GNR_BO_WOODWST_E-100"/>
    <x v="0"/>
    <x v="1"/>
    <n v="30.75"/>
    <n v="11223.75"/>
    <n v="40405.5"/>
  </r>
  <r>
    <x v="0"/>
    <x v="0"/>
    <x v="0"/>
    <x v="0"/>
    <x v="0"/>
    <s v="DK1_Rural"/>
    <x v="7"/>
    <s v="GNR_BO_WOODWST_E-100"/>
    <x v="0"/>
    <x v="2"/>
    <n v="30.75"/>
    <n v="11223.75"/>
    <n v="40405.5"/>
  </r>
  <r>
    <x v="0"/>
    <x v="0"/>
    <x v="0"/>
    <x v="0"/>
    <x v="0"/>
    <s v="DK1_Rural"/>
    <x v="7"/>
    <s v="GNR_BO_WOODWST_E-100"/>
    <x v="0"/>
    <x v="3"/>
    <n v="30.75"/>
    <n v="11223.75"/>
    <n v="40405.5"/>
  </r>
  <r>
    <x v="0"/>
    <x v="0"/>
    <x v="0"/>
    <x v="0"/>
    <x v="0"/>
    <s v="DK1_Rural"/>
    <x v="7"/>
    <s v="GNR_BO_WOODWST_E-100"/>
    <x v="0"/>
    <x v="4"/>
    <n v="30.75"/>
    <n v="11223.75"/>
    <n v="40405.5"/>
  </r>
  <r>
    <x v="0"/>
    <x v="0"/>
    <x v="0"/>
    <x v="0"/>
    <x v="0"/>
    <s v="DK1_Rural"/>
    <x v="7"/>
    <s v="GNR_BO_WOODWST_E-100"/>
    <x v="0"/>
    <x v="5"/>
    <n v="30.75"/>
    <n v="11223.75"/>
    <n v="40405.5"/>
  </r>
  <r>
    <x v="0"/>
    <x v="0"/>
    <x v="0"/>
    <x v="0"/>
    <x v="0"/>
    <s v="DK1_Rural"/>
    <x v="7"/>
    <s v="GNR_BO_WOODWST_E-100"/>
    <x v="0"/>
    <x v="6"/>
    <n v="30.75"/>
    <n v="11223.75"/>
    <n v="40405.5"/>
  </r>
  <r>
    <x v="0"/>
    <x v="0"/>
    <x v="0"/>
    <x v="0"/>
    <x v="0"/>
    <s v="DK1_Rural"/>
    <x v="7"/>
    <s v="GNR_BO_WOODWST_E-100"/>
    <x v="0"/>
    <x v="7"/>
    <n v="30.75"/>
    <n v="11223.75"/>
    <n v="40405.5"/>
  </r>
  <r>
    <x v="0"/>
    <x v="0"/>
    <x v="0"/>
    <x v="0"/>
    <x v="0"/>
    <s v="DK1_Rural"/>
    <x v="7"/>
    <s v="GNR_BO_WOODWST_E-100"/>
    <x v="0"/>
    <x v="8"/>
    <n v="30.75"/>
    <n v="11223.75"/>
    <n v="40405.5"/>
  </r>
  <r>
    <x v="0"/>
    <x v="0"/>
    <x v="0"/>
    <x v="0"/>
    <x v="0"/>
    <s v="DK1_Rural"/>
    <x v="7"/>
    <s v="GNR_BO_WOODWST_E-100"/>
    <x v="0"/>
    <x v="9"/>
    <n v="30.75"/>
    <n v="11223.75"/>
    <n v="40405.5"/>
  </r>
  <r>
    <x v="0"/>
    <x v="0"/>
    <x v="0"/>
    <x v="0"/>
    <x v="0"/>
    <s v="DK1_Rural"/>
    <x v="7"/>
    <s v="GNR_BO_WOODWST_E-100"/>
    <x v="0"/>
    <x v="10"/>
    <n v="30.75"/>
    <n v="11223.75"/>
    <n v="40405.5"/>
  </r>
  <r>
    <x v="0"/>
    <x v="0"/>
    <x v="0"/>
    <x v="0"/>
    <x v="0"/>
    <s v="DK1_Rural"/>
    <x v="7"/>
    <s v="GNR_BO_WOODWST_E-100"/>
    <x v="0"/>
    <x v="11"/>
    <n v="30.75"/>
    <n v="11223.75"/>
    <n v="40405.5"/>
  </r>
  <r>
    <x v="0"/>
    <x v="0"/>
    <x v="0"/>
    <x v="0"/>
    <x v="0"/>
    <s v="DK1_Rural"/>
    <x v="7"/>
    <s v="GNR_BO_WOODWST_E-100"/>
    <x v="0"/>
    <x v="12"/>
    <n v="30.75"/>
    <n v="11223.75"/>
    <n v="40405.5"/>
  </r>
  <r>
    <x v="0"/>
    <x v="0"/>
    <x v="0"/>
    <x v="0"/>
    <x v="0"/>
    <s v="DK1_Rural"/>
    <x v="7"/>
    <s v="GNR_BO_WOODWST_E-100"/>
    <x v="0"/>
    <x v="13"/>
    <n v="30.75"/>
    <n v="11223.75"/>
    <n v="40405.5"/>
  </r>
  <r>
    <x v="0"/>
    <x v="0"/>
    <x v="0"/>
    <x v="0"/>
    <x v="0"/>
    <s v="DK1_Rural"/>
    <x v="7"/>
    <s v="GNR_BO_WOODWST_E-100"/>
    <x v="0"/>
    <x v="14"/>
    <n v="30.75"/>
    <n v="11223.75"/>
    <n v="40405.5"/>
  </r>
  <r>
    <x v="0"/>
    <x v="0"/>
    <x v="0"/>
    <x v="0"/>
    <x v="0"/>
    <s v="DK1_Rural"/>
    <x v="7"/>
    <s v="GNR_BO_WOODWST_E-100"/>
    <x v="0"/>
    <x v="15"/>
    <n v="30.75"/>
    <n v="11223.75"/>
    <n v="40405.5"/>
  </r>
  <r>
    <x v="0"/>
    <x v="0"/>
    <x v="0"/>
    <x v="0"/>
    <x v="0"/>
    <s v="DK1_Rural"/>
    <x v="7"/>
    <s v="GNR_BO_WOODWST_E-100"/>
    <x v="0"/>
    <x v="16"/>
    <n v="30.75"/>
    <n v="11223.75"/>
    <n v="40405.5"/>
  </r>
  <r>
    <x v="0"/>
    <x v="0"/>
    <x v="0"/>
    <x v="0"/>
    <x v="0"/>
    <s v="DK1_Rural"/>
    <x v="7"/>
    <s v="GNR_BO_WOODWST_E-100"/>
    <x v="0"/>
    <x v="17"/>
    <n v="30.75"/>
    <n v="11223.75"/>
    <n v="40405.5"/>
  </r>
  <r>
    <x v="0"/>
    <x v="0"/>
    <x v="0"/>
    <x v="0"/>
    <x v="0"/>
    <s v="DK1_Rural"/>
    <x v="7"/>
    <s v="GNR_BO_WOODWST_E-100"/>
    <x v="0"/>
    <x v="18"/>
    <n v="30.75"/>
    <n v="11223.75"/>
    <n v="40405.5"/>
  </r>
  <r>
    <x v="0"/>
    <x v="0"/>
    <x v="0"/>
    <x v="0"/>
    <x v="0"/>
    <s v="DK1_Rural"/>
    <x v="7"/>
    <s v="GNR_BO_WOODWST_E-100"/>
    <x v="0"/>
    <x v="19"/>
    <n v="30.75"/>
    <n v="11223.75"/>
    <n v="40405.5"/>
  </r>
  <r>
    <x v="0"/>
    <x v="0"/>
    <x v="0"/>
    <x v="0"/>
    <x v="0"/>
    <s v="DK1_Rural"/>
    <x v="7"/>
    <s v="GNR_BO_WOODWST_E-100"/>
    <x v="0"/>
    <x v="20"/>
    <n v="30.75"/>
    <n v="11223.75"/>
    <n v="40405.5"/>
  </r>
  <r>
    <x v="0"/>
    <x v="0"/>
    <x v="0"/>
    <x v="0"/>
    <x v="0"/>
    <s v="DK1_Rural"/>
    <x v="7"/>
    <s v="GNR_BO_WOODWST_E-100"/>
    <x v="0"/>
    <x v="21"/>
    <n v="30.75"/>
    <n v="11223.75"/>
    <n v="40405.5"/>
  </r>
  <r>
    <x v="0"/>
    <x v="0"/>
    <x v="0"/>
    <x v="0"/>
    <x v="0"/>
    <s v="DK1_Rural"/>
    <x v="7"/>
    <s v="GNR_BO_WOODWST_E-100"/>
    <x v="0"/>
    <x v="22"/>
    <n v="30.75"/>
    <n v="11223.75"/>
    <n v="40405.5"/>
  </r>
  <r>
    <x v="0"/>
    <x v="0"/>
    <x v="0"/>
    <x v="0"/>
    <x v="0"/>
    <s v="DK1_Rural"/>
    <x v="7"/>
    <s v="GNR_BO_WOODWST_E-100"/>
    <x v="0"/>
    <x v="23"/>
    <n v="30.75"/>
    <n v="11223.75"/>
    <n v="40405.5"/>
  </r>
  <r>
    <x v="0"/>
    <x v="0"/>
    <x v="0"/>
    <x v="0"/>
    <x v="0"/>
    <s v="DK1_Rural"/>
    <x v="7"/>
    <s v="GNR_BO_WOODWST_E-113"/>
    <x v="0"/>
    <x v="0"/>
    <n v="4"/>
    <n v="1460"/>
    <n v="5256"/>
  </r>
  <r>
    <x v="0"/>
    <x v="0"/>
    <x v="0"/>
    <x v="0"/>
    <x v="0"/>
    <s v="DK1_Rural"/>
    <x v="7"/>
    <s v="GNR_BO_WOODWST_E-113"/>
    <x v="0"/>
    <x v="1"/>
    <n v="4"/>
    <n v="1460"/>
    <n v="5256"/>
  </r>
  <r>
    <x v="0"/>
    <x v="0"/>
    <x v="0"/>
    <x v="0"/>
    <x v="0"/>
    <s v="DK1_Rural"/>
    <x v="7"/>
    <s v="GNR_BO_WOODWST_E-113"/>
    <x v="0"/>
    <x v="2"/>
    <n v="4"/>
    <n v="1460"/>
    <n v="5256"/>
  </r>
  <r>
    <x v="0"/>
    <x v="0"/>
    <x v="0"/>
    <x v="0"/>
    <x v="0"/>
    <s v="DK1_Rural"/>
    <x v="7"/>
    <s v="GNR_BO_WOODWST_E-113"/>
    <x v="0"/>
    <x v="3"/>
    <n v="4"/>
    <n v="1460"/>
    <n v="5256"/>
  </r>
  <r>
    <x v="0"/>
    <x v="0"/>
    <x v="0"/>
    <x v="0"/>
    <x v="0"/>
    <s v="DK1_Rural"/>
    <x v="7"/>
    <s v="GNR_BO_WOODWST_E-113"/>
    <x v="0"/>
    <x v="4"/>
    <n v="4"/>
    <n v="1460"/>
    <n v="5256"/>
  </r>
  <r>
    <x v="0"/>
    <x v="0"/>
    <x v="0"/>
    <x v="0"/>
    <x v="0"/>
    <s v="DK1_Rural"/>
    <x v="7"/>
    <s v="GNR_BO_WOODWST_E-113"/>
    <x v="0"/>
    <x v="5"/>
    <n v="4"/>
    <n v="1460"/>
    <n v="5256"/>
  </r>
  <r>
    <x v="0"/>
    <x v="0"/>
    <x v="0"/>
    <x v="0"/>
    <x v="0"/>
    <s v="DK1_Rural"/>
    <x v="7"/>
    <s v="GNR_BO_WOODWST_E-113"/>
    <x v="0"/>
    <x v="6"/>
    <n v="4"/>
    <n v="1460"/>
    <n v="5256"/>
  </r>
  <r>
    <x v="0"/>
    <x v="0"/>
    <x v="0"/>
    <x v="0"/>
    <x v="0"/>
    <s v="DK1_Rural"/>
    <x v="7"/>
    <s v="GNR_BO_WOODWST_E-113"/>
    <x v="0"/>
    <x v="7"/>
    <n v="4"/>
    <n v="1460"/>
    <n v="5256"/>
  </r>
  <r>
    <x v="0"/>
    <x v="0"/>
    <x v="0"/>
    <x v="0"/>
    <x v="0"/>
    <s v="DK1_Rural"/>
    <x v="7"/>
    <s v="GNR_BO_WOODWST_E-113"/>
    <x v="0"/>
    <x v="8"/>
    <n v="4"/>
    <n v="1460"/>
    <n v="5256"/>
  </r>
  <r>
    <x v="0"/>
    <x v="0"/>
    <x v="0"/>
    <x v="0"/>
    <x v="0"/>
    <s v="DK1_Rural"/>
    <x v="7"/>
    <s v="GNR_BO_WOODWST_E-113"/>
    <x v="0"/>
    <x v="9"/>
    <n v="4"/>
    <n v="1460"/>
    <n v="5256"/>
  </r>
  <r>
    <x v="0"/>
    <x v="0"/>
    <x v="0"/>
    <x v="0"/>
    <x v="0"/>
    <s v="DK1_Rural"/>
    <x v="7"/>
    <s v="GNR_BO_WOODWST_E-113"/>
    <x v="0"/>
    <x v="10"/>
    <n v="4"/>
    <n v="1460"/>
    <n v="5256"/>
  </r>
  <r>
    <x v="0"/>
    <x v="0"/>
    <x v="0"/>
    <x v="0"/>
    <x v="0"/>
    <s v="DK1_Rural"/>
    <x v="7"/>
    <s v="GNR_BO_WOODWST_E-113"/>
    <x v="0"/>
    <x v="11"/>
    <n v="4"/>
    <n v="1460"/>
    <n v="5256"/>
  </r>
  <r>
    <x v="0"/>
    <x v="0"/>
    <x v="0"/>
    <x v="0"/>
    <x v="0"/>
    <s v="DK1_Rural"/>
    <x v="7"/>
    <s v="GNR_BO_WOODWST_E-113"/>
    <x v="0"/>
    <x v="12"/>
    <n v="4"/>
    <n v="1460"/>
    <n v="5256"/>
  </r>
  <r>
    <x v="0"/>
    <x v="0"/>
    <x v="0"/>
    <x v="0"/>
    <x v="0"/>
    <s v="DK1_Rural"/>
    <x v="7"/>
    <s v="GNR_BO_WOODWST_E-113"/>
    <x v="0"/>
    <x v="13"/>
    <n v="4"/>
    <n v="1460"/>
    <n v="5256"/>
  </r>
  <r>
    <x v="0"/>
    <x v="0"/>
    <x v="0"/>
    <x v="0"/>
    <x v="0"/>
    <s v="DK1_Rural"/>
    <x v="7"/>
    <s v="GNR_BO_WOODWST_E-113"/>
    <x v="0"/>
    <x v="14"/>
    <n v="4"/>
    <n v="1460"/>
    <n v="5256"/>
  </r>
  <r>
    <x v="0"/>
    <x v="0"/>
    <x v="0"/>
    <x v="0"/>
    <x v="0"/>
    <s v="DK1_Rural"/>
    <x v="7"/>
    <s v="GNR_BO_WOODWST_E-113"/>
    <x v="0"/>
    <x v="15"/>
    <n v="4"/>
    <n v="1460"/>
    <n v="5256"/>
  </r>
  <r>
    <x v="0"/>
    <x v="0"/>
    <x v="0"/>
    <x v="0"/>
    <x v="0"/>
    <s v="DK1_Rural"/>
    <x v="7"/>
    <s v="GNR_BO_WOODWST_E-113"/>
    <x v="0"/>
    <x v="16"/>
    <n v="4"/>
    <n v="1460"/>
    <n v="5256"/>
  </r>
  <r>
    <x v="0"/>
    <x v="0"/>
    <x v="0"/>
    <x v="0"/>
    <x v="0"/>
    <s v="DK1_Rural"/>
    <x v="7"/>
    <s v="GNR_BO_WOODWST_E-113"/>
    <x v="0"/>
    <x v="17"/>
    <n v="4"/>
    <n v="1460"/>
    <n v="5256"/>
  </r>
  <r>
    <x v="0"/>
    <x v="0"/>
    <x v="0"/>
    <x v="0"/>
    <x v="0"/>
    <s v="DK1_Rural"/>
    <x v="7"/>
    <s v="GNR_BO_WOODWST_E-113"/>
    <x v="0"/>
    <x v="18"/>
    <n v="4"/>
    <n v="1460"/>
    <n v="5256"/>
  </r>
  <r>
    <x v="0"/>
    <x v="0"/>
    <x v="0"/>
    <x v="0"/>
    <x v="0"/>
    <s v="DK1_Rural"/>
    <x v="7"/>
    <s v="GNR_BO_WOODWST_E-113"/>
    <x v="0"/>
    <x v="19"/>
    <n v="4"/>
    <n v="1460"/>
    <n v="5256"/>
  </r>
  <r>
    <x v="0"/>
    <x v="0"/>
    <x v="0"/>
    <x v="0"/>
    <x v="0"/>
    <s v="DK1_Rural"/>
    <x v="7"/>
    <s v="GNR_BO_WOODWST_E-113"/>
    <x v="0"/>
    <x v="20"/>
    <n v="4"/>
    <n v="1460"/>
    <n v="5256"/>
  </r>
  <r>
    <x v="0"/>
    <x v="0"/>
    <x v="0"/>
    <x v="0"/>
    <x v="0"/>
    <s v="DK1_Rural"/>
    <x v="7"/>
    <s v="GNR_BO_WOODWST_E-113"/>
    <x v="0"/>
    <x v="21"/>
    <n v="4"/>
    <n v="1460"/>
    <n v="5256"/>
  </r>
  <r>
    <x v="0"/>
    <x v="0"/>
    <x v="0"/>
    <x v="0"/>
    <x v="0"/>
    <s v="DK1_Rural"/>
    <x v="7"/>
    <s v="GNR_BO_WOODWST_E-113"/>
    <x v="0"/>
    <x v="22"/>
    <n v="4"/>
    <n v="1460"/>
    <n v="5256"/>
  </r>
  <r>
    <x v="0"/>
    <x v="0"/>
    <x v="0"/>
    <x v="0"/>
    <x v="0"/>
    <s v="DK1_Rural"/>
    <x v="7"/>
    <s v="GNR_BO_WOODWST_E-113"/>
    <x v="0"/>
    <x v="23"/>
    <n v="4"/>
    <n v="1460"/>
    <n v="5256"/>
  </r>
  <r>
    <x v="0"/>
    <x v="0"/>
    <x v="0"/>
    <x v="0"/>
    <x v="0"/>
    <s v="DK1_Rural"/>
    <x v="7"/>
    <s v="GNR_BO_WOODWST_E-84"/>
    <x v="0"/>
    <x v="0"/>
    <n v="5.81"/>
    <n v="2120.65"/>
    <n v="7634.34"/>
  </r>
  <r>
    <x v="0"/>
    <x v="0"/>
    <x v="0"/>
    <x v="0"/>
    <x v="0"/>
    <s v="DK1_Rural"/>
    <x v="7"/>
    <s v="GNR_BO_WOODWST_E-84"/>
    <x v="0"/>
    <x v="1"/>
    <n v="5.81"/>
    <n v="2120.65"/>
    <n v="7634.34"/>
  </r>
  <r>
    <x v="0"/>
    <x v="0"/>
    <x v="0"/>
    <x v="0"/>
    <x v="0"/>
    <s v="DK1_Rural"/>
    <x v="7"/>
    <s v="GNR_BO_WOODWST_E-84"/>
    <x v="0"/>
    <x v="2"/>
    <n v="5.81"/>
    <n v="2120.65"/>
    <n v="7634.34"/>
  </r>
  <r>
    <x v="0"/>
    <x v="0"/>
    <x v="0"/>
    <x v="0"/>
    <x v="0"/>
    <s v="DK1_Rural"/>
    <x v="7"/>
    <s v="GNR_BO_WOODWST_E-84"/>
    <x v="0"/>
    <x v="3"/>
    <n v="5.81"/>
    <n v="2120.65"/>
    <n v="7634.34"/>
  </r>
  <r>
    <x v="0"/>
    <x v="0"/>
    <x v="0"/>
    <x v="0"/>
    <x v="0"/>
    <s v="DK1_Rural"/>
    <x v="7"/>
    <s v="GNR_BO_WOODWST_E-84"/>
    <x v="0"/>
    <x v="4"/>
    <n v="5.81"/>
    <n v="2120.65"/>
    <n v="7634.34"/>
  </r>
  <r>
    <x v="0"/>
    <x v="0"/>
    <x v="0"/>
    <x v="0"/>
    <x v="0"/>
    <s v="DK1_Rural"/>
    <x v="7"/>
    <s v="GNR_BO_WOODWST_E-84"/>
    <x v="0"/>
    <x v="5"/>
    <n v="5.81"/>
    <n v="2120.65"/>
    <n v="7634.34"/>
  </r>
  <r>
    <x v="0"/>
    <x v="0"/>
    <x v="0"/>
    <x v="0"/>
    <x v="0"/>
    <s v="DK1_Rural"/>
    <x v="7"/>
    <s v="GNR_BO_WOODWST_E-84"/>
    <x v="0"/>
    <x v="6"/>
    <n v="5.81"/>
    <n v="2120.65"/>
    <n v="7634.34"/>
  </r>
  <r>
    <x v="0"/>
    <x v="0"/>
    <x v="0"/>
    <x v="0"/>
    <x v="0"/>
    <s v="DK1_Rural"/>
    <x v="7"/>
    <s v="GNR_BO_WOODWST_E-84"/>
    <x v="0"/>
    <x v="7"/>
    <n v="5.81"/>
    <n v="2120.65"/>
    <n v="7634.34"/>
  </r>
  <r>
    <x v="0"/>
    <x v="0"/>
    <x v="0"/>
    <x v="0"/>
    <x v="0"/>
    <s v="DK1_Rural"/>
    <x v="7"/>
    <s v="GNR_BO_WOODWST_E-84"/>
    <x v="0"/>
    <x v="8"/>
    <n v="5.81"/>
    <n v="2120.65"/>
    <n v="7634.34"/>
  </r>
  <r>
    <x v="0"/>
    <x v="0"/>
    <x v="0"/>
    <x v="0"/>
    <x v="0"/>
    <s v="DK1_Rural"/>
    <x v="7"/>
    <s v="GNR_BO_WOODWST_E-84"/>
    <x v="0"/>
    <x v="9"/>
    <n v="5.81"/>
    <n v="2120.65"/>
    <n v="7634.34"/>
  </r>
  <r>
    <x v="0"/>
    <x v="0"/>
    <x v="0"/>
    <x v="0"/>
    <x v="0"/>
    <s v="DK1_Rural"/>
    <x v="7"/>
    <s v="GNR_BO_WOODWST_E-84"/>
    <x v="0"/>
    <x v="10"/>
    <n v="5.81"/>
    <n v="2120.65"/>
    <n v="7634.34"/>
  </r>
  <r>
    <x v="0"/>
    <x v="0"/>
    <x v="0"/>
    <x v="0"/>
    <x v="0"/>
    <s v="DK1_Rural"/>
    <x v="7"/>
    <s v="GNR_BO_WOODWST_E-84"/>
    <x v="0"/>
    <x v="11"/>
    <n v="5.81"/>
    <n v="2120.65"/>
    <n v="7634.34"/>
  </r>
  <r>
    <x v="0"/>
    <x v="0"/>
    <x v="0"/>
    <x v="0"/>
    <x v="0"/>
    <s v="DK1_Rural"/>
    <x v="7"/>
    <s v="GNR_BO_WOODWST_E-84"/>
    <x v="0"/>
    <x v="12"/>
    <n v="5.81"/>
    <n v="2120.65"/>
    <n v="7634.34"/>
  </r>
  <r>
    <x v="0"/>
    <x v="0"/>
    <x v="0"/>
    <x v="0"/>
    <x v="0"/>
    <s v="DK1_Rural"/>
    <x v="7"/>
    <s v="GNR_BO_WOODWST_E-84"/>
    <x v="0"/>
    <x v="13"/>
    <n v="5.81"/>
    <n v="2120.65"/>
    <n v="7634.34"/>
  </r>
  <r>
    <x v="0"/>
    <x v="0"/>
    <x v="0"/>
    <x v="0"/>
    <x v="0"/>
    <s v="DK1_Rural"/>
    <x v="7"/>
    <s v="GNR_BO_WOODWST_E-84"/>
    <x v="0"/>
    <x v="14"/>
    <n v="5.81"/>
    <n v="2120.65"/>
    <n v="7634.34"/>
  </r>
  <r>
    <x v="0"/>
    <x v="0"/>
    <x v="0"/>
    <x v="0"/>
    <x v="0"/>
    <s v="DK1_Rural"/>
    <x v="7"/>
    <s v="GNR_BO_WOODWST_E-84"/>
    <x v="0"/>
    <x v="15"/>
    <n v="5.81"/>
    <n v="2120.65"/>
    <n v="7634.34"/>
  </r>
  <r>
    <x v="0"/>
    <x v="0"/>
    <x v="0"/>
    <x v="0"/>
    <x v="0"/>
    <s v="DK1_Rural"/>
    <x v="7"/>
    <s v="GNR_BO_WOODWST_E-84"/>
    <x v="0"/>
    <x v="16"/>
    <n v="5.81"/>
    <n v="2120.65"/>
    <n v="7634.34"/>
  </r>
  <r>
    <x v="0"/>
    <x v="0"/>
    <x v="0"/>
    <x v="0"/>
    <x v="0"/>
    <s v="DK1_Rural"/>
    <x v="7"/>
    <s v="GNR_BO_WOODWST_E-84"/>
    <x v="0"/>
    <x v="17"/>
    <n v="5.81"/>
    <n v="2120.65"/>
    <n v="7634.34"/>
  </r>
  <r>
    <x v="0"/>
    <x v="0"/>
    <x v="0"/>
    <x v="0"/>
    <x v="0"/>
    <s v="DK1_Rural"/>
    <x v="7"/>
    <s v="GNR_BO_WOODWST_E-84"/>
    <x v="0"/>
    <x v="18"/>
    <n v="5.81"/>
    <n v="2120.65"/>
    <n v="7634.34"/>
  </r>
  <r>
    <x v="0"/>
    <x v="0"/>
    <x v="0"/>
    <x v="0"/>
    <x v="0"/>
    <s v="DK1_Rural"/>
    <x v="7"/>
    <s v="GNR_BO_WOODWST_E-84"/>
    <x v="0"/>
    <x v="19"/>
    <n v="5.81"/>
    <n v="2120.65"/>
    <n v="7634.34"/>
  </r>
  <r>
    <x v="0"/>
    <x v="0"/>
    <x v="0"/>
    <x v="0"/>
    <x v="0"/>
    <s v="DK1_Rural"/>
    <x v="7"/>
    <s v="GNR_BO_WOODWST_E-84"/>
    <x v="0"/>
    <x v="20"/>
    <n v="5.81"/>
    <n v="2120.65"/>
    <n v="7634.34"/>
  </r>
  <r>
    <x v="0"/>
    <x v="0"/>
    <x v="0"/>
    <x v="0"/>
    <x v="0"/>
    <s v="DK1_Rural"/>
    <x v="7"/>
    <s v="GNR_BO_WOODWST_E-84"/>
    <x v="0"/>
    <x v="21"/>
    <n v="5.81"/>
    <n v="2120.65"/>
    <n v="7634.34"/>
  </r>
  <r>
    <x v="0"/>
    <x v="0"/>
    <x v="0"/>
    <x v="0"/>
    <x v="0"/>
    <s v="DK1_Rural"/>
    <x v="7"/>
    <s v="GNR_BO_WOODWST_E-84"/>
    <x v="0"/>
    <x v="22"/>
    <n v="5.81"/>
    <n v="2120.65"/>
    <n v="7634.34"/>
  </r>
  <r>
    <x v="0"/>
    <x v="0"/>
    <x v="0"/>
    <x v="0"/>
    <x v="0"/>
    <s v="DK1_Rural"/>
    <x v="7"/>
    <s v="GNR_BO_WOODWST_E-84"/>
    <x v="0"/>
    <x v="23"/>
    <n v="5.81"/>
    <n v="2120.65"/>
    <n v="7634.34"/>
  </r>
  <r>
    <x v="0"/>
    <x v="0"/>
    <x v="0"/>
    <x v="0"/>
    <x v="0"/>
    <s v="DK1_Rural"/>
    <x v="7"/>
    <s v="GNR_BO_WOODWST_E-86"/>
    <x v="0"/>
    <x v="0"/>
    <n v="3"/>
    <n v="1095"/>
    <n v="3942"/>
  </r>
  <r>
    <x v="0"/>
    <x v="0"/>
    <x v="0"/>
    <x v="0"/>
    <x v="0"/>
    <s v="DK1_Rural"/>
    <x v="7"/>
    <s v="GNR_BO_WOODWST_E-86"/>
    <x v="0"/>
    <x v="1"/>
    <n v="3"/>
    <n v="1095"/>
    <n v="3942"/>
  </r>
  <r>
    <x v="0"/>
    <x v="0"/>
    <x v="0"/>
    <x v="0"/>
    <x v="0"/>
    <s v="DK1_Rural"/>
    <x v="7"/>
    <s v="GNR_BO_WOODWST_E-86"/>
    <x v="0"/>
    <x v="2"/>
    <n v="3"/>
    <n v="1095"/>
    <n v="3942"/>
  </r>
  <r>
    <x v="0"/>
    <x v="0"/>
    <x v="0"/>
    <x v="0"/>
    <x v="0"/>
    <s v="DK1_Rural"/>
    <x v="7"/>
    <s v="GNR_BO_WOODWST_E-86"/>
    <x v="0"/>
    <x v="3"/>
    <n v="3"/>
    <n v="1095"/>
    <n v="3942"/>
  </r>
  <r>
    <x v="0"/>
    <x v="0"/>
    <x v="0"/>
    <x v="0"/>
    <x v="0"/>
    <s v="DK1_Rural"/>
    <x v="7"/>
    <s v="GNR_BO_WOODWST_E-86"/>
    <x v="0"/>
    <x v="4"/>
    <n v="3"/>
    <n v="1095"/>
    <n v="3942"/>
  </r>
  <r>
    <x v="0"/>
    <x v="0"/>
    <x v="0"/>
    <x v="0"/>
    <x v="0"/>
    <s v="DK1_Rural"/>
    <x v="7"/>
    <s v="GNR_BO_WOODWST_E-86"/>
    <x v="0"/>
    <x v="5"/>
    <n v="3"/>
    <n v="1095"/>
    <n v="3942"/>
  </r>
  <r>
    <x v="0"/>
    <x v="0"/>
    <x v="0"/>
    <x v="0"/>
    <x v="0"/>
    <s v="DK1_Rural"/>
    <x v="7"/>
    <s v="GNR_BO_WOODWST_E-86"/>
    <x v="0"/>
    <x v="6"/>
    <n v="3"/>
    <n v="1095"/>
    <n v="3942"/>
  </r>
  <r>
    <x v="0"/>
    <x v="0"/>
    <x v="0"/>
    <x v="0"/>
    <x v="0"/>
    <s v="DK1_Rural"/>
    <x v="7"/>
    <s v="GNR_BO_WOODWST_E-86"/>
    <x v="0"/>
    <x v="7"/>
    <n v="3"/>
    <n v="1095"/>
    <n v="3942"/>
  </r>
  <r>
    <x v="0"/>
    <x v="0"/>
    <x v="0"/>
    <x v="0"/>
    <x v="0"/>
    <s v="DK1_Rural"/>
    <x v="7"/>
    <s v="GNR_BO_WOODWST_E-86"/>
    <x v="0"/>
    <x v="8"/>
    <n v="3"/>
    <n v="1095"/>
    <n v="3942"/>
  </r>
  <r>
    <x v="0"/>
    <x v="0"/>
    <x v="0"/>
    <x v="0"/>
    <x v="0"/>
    <s v="DK1_Rural"/>
    <x v="7"/>
    <s v="GNR_BO_WOODWST_E-86"/>
    <x v="0"/>
    <x v="9"/>
    <n v="3"/>
    <n v="1095"/>
    <n v="3942"/>
  </r>
  <r>
    <x v="0"/>
    <x v="0"/>
    <x v="0"/>
    <x v="0"/>
    <x v="0"/>
    <s v="DK1_Rural"/>
    <x v="7"/>
    <s v="GNR_BO_WOODWST_E-86"/>
    <x v="0"/>
    <x v="10"/>
    <n v="3"/>
    <n v="1095"/>
    <n v="3942"/>
  </r>
  <r>
    <x v="0"/>
    <x v="0"/>
    <x v="0"/>
    <x v="0"/>
    <x v="0"/>
    <s v="DK1_Rural"/>
    <x v="7"/>
    <s v="GNR_BO_WOODWST_E-86"/>
    <x v="0"/>
    <x v="11"/>
    <n v="3"/>
    <n v="1095"/>
    <n v="3942"/>
  </r>
  <r>
    <x v="0"/>
    <x v="0"/>
    <x v="0"/>
    <x v="0"/>
    <x v="0"/>
    <s v="DK1_Rural"/>
    <x v="7"/>
    <s v="GNR_BO_WOODWST_E-86"/>
    <x v="0"/>
    <x v="12"/>
    <n v="3"/>
    <n v="1095"/>
    <n v="3942"/>
  </r>
  <r>
    <x v="0"/>
    <x v="0"/>
    <x v="0"/>
    <x v="0"/>
    <x v="0"/>
    <s v="DK1_Rural"/>
    <x v="7"/>
    <s v="GNR_BO_WOODWST_E-86"/>
    <x v="0"/>
    <x v="13"/>
    <n v="3"/>
    <n v="1095"/>
    <n v="3942"/>
  </r>
  <r>
    <x v="0"/>
    <x v="0"/>
    <x v="0"/>
    <x v="0"/>
    <x v="0"/>
    <s v="DK1_Rural"/>
    <x v="7"/>
    <s v="GNR_BO_WOODWST_E-86"/>
    <x v="0"/>
    <x v="14"/>
    <n v="3"/>
    <n v="1095"/>
    <n v="3942"/>
  </r>
  <r>
    <x v="0"/>
    <x v="0"/>
    <x v="0"/>
    <x v="0"/>
    <x v="0"/>
    <s v="DK1_Rural"/>
    <x v="7"/>
    <s v="GNR_BO_WOODWST_E-86"/>
    <x v="0"/>
    <x v="15"/>
    <n v="3"/>
    <n v="1095"/>
    <n v="3942"/>
  </r>
  <r>
    <x v="0"/>
    <x v="0"/>
    <x v="0"/>
    <x v="0"/>
    <x v="0"/>
    <s v="DK1_Rural"/>
    <x v="7"/>
    <s v="GNR_BO_WOODWST_E-86"/>
    <x v="0"/>
    <x v="16"/>
    <n v="3"/>
    <n v="1095"/>
    <n v="3942"/>
  </r>
  <r>
    <x v="0"/>
    <x v="0"/>
    <x v="0"/>
    <x v="0"/>
    <x v="0"/>
    <s v="DK1_Rural"/>
    <x v="7"/>
    <s v="GNR_BO_WOODWST_E-86"/>
    <x v="0"/>
    <x v="17"/>
    <n v="3"/>
    <n v="1095"/>
    <n v="3942"/>
  </r>
  <r>
    <x v="0"/>
    <x v="0"/>
    <x v="0"/>
    <x v="0"/>
    <x v="0"/>
    <s v="DK1_Rural"/>
    <x v="7"/>
    <s v="GNR_BO_WOODWST_E-86"/>
    <x v="0"/>
    <x v="18"/>
    <n v="3"/>
    <n v="1095"/>
    <n v="3942"/>
  </r>
  <r>
    <x v="0"/>
    <x v="0"/>
    <x v="0"/>
    <x v="0"/>
    <x v="0"/>
    <s v="DK1_Rural"/>
    <x v="7"/>
    <s v="GNR_BO_WOODWST_E-86"/>
    <x v="0"/>
    <x v="19"/>
    <n v="3"/>
    <n v="1095"/>
    <n v="3942"/>
  </r>
  <r>
    <x v="0"/>
    <x v="0"/>
    <x v="0"/>
    <x v="0"/>
    <x v="0"/>
    <s v="DK1_Rural"/>
    <x v="7"/>
    <s v="GNR_BO_WOODWST_E-86"/>
    <x v="0"/>
    <x v="20"/>
    <n v="3"/>
    <n v="1095"/>
    <n v="3942"/>
  </r>
  <r>
    <x v="0"/>
    <x v="0"/>
    <x v="0"/>
    <x v="0"/>
    <x v="0"/>
    <s v="DK1_Rural"/>
    <x v="7"/>
    <s v="GNR_BO_WOODWST_E-86"/>
    <x v="0"/>
    <x v="21"/>
    <n v="3"/>
    <n v="1095"/>
    <n v="3942"/>
  </r>
  <r>
    <x v="0"/>
    <x v="0"/>
    <x v="0"/>
    <x v="0"/>
    <x v="0"/>
    <s v="DK1_Rural"/>
    <x v="7"/>
    <s v="GNR_BO_WOODWST_E-86"/>
    <x v="0"/>
    <x v="22"/>
    <n v="3"/>
    <n v="1095"/>
    <n v="3942"/>
  </r>
  <r>
    <x v="0"/>
    <x v="0"/>
    <x v="0"/>
    <x v="0"/>
    <x v="0"/>
    <s v="DK1_Rural"/>
    <x v="7"/>
    <s v="GNR_BO_WOODWST_E-86"/>
    <x v="0"/>
    <x v="23"/>
    <n v="3"/>
    <n v="1095"/>
    <n v="3942"/>
  </r>
  <r>
    <x v="0"/>
    <x v="0"/>
    <x v="0"/>
    <x v="0"/>
    <x v="0"/>
    <s v="DK1_Rural"/>
    <x v="7"/>
    <s v="GNR_BO_WOODWST_E-89"/>
    <x v="0"/>
    <x v="0"/>
    <n v="7"/>
    <n v="2555"/>
    <n v="9198"/>
  </r>
  <r>
    <x v="0"/>
    <x v="0"/>
    <x v="0"/>
    <x v="0"/>
    <x v="0"/>
    <s v="DK1_Rural"/>
    <x v="7"/>
    <s v="GNR_BO_WOODWST_E-89"/>
    <x v="0"/>
    <x v="1"/>
    <n v="7"/>
    <n v="2555"/>
    <n v="9198"/>
  </r>
  <r>
    <x v="0"/>
    <x v="0"/>
    <x v="0"/>
    <x v="0"/>
    <x v="0"/>
    <s v="DK1_Rural"/>
    <x v="7"/>
    <s v="GNR_BO_WOODWST_E-89"/>
    <x v="0"/>
    <x v="2"/>
    <n v="7"/>
    <n v="2555"/>
    <n v="9198"/>
  </r>
  <r>
    <x v="0"/>
    <x v="0"/>
    <x v="0"/>
    <x v="0"/>
    <x v="0"/>
    <s v="DK1_Rural"/>
    <x v="7"/>
    <s v="GNR_BO_WOODWST_E-89"/>
    <x v="0"/>
    <x v="3"/>
    <n v="7"/>
    <n v="2555"/>
    <n v="9198"/>
  </r>
  <r>
    <x v="0"/>
    <x v="0"/>
    <x v="0"/>
    <x v="0"/>
    <x v="0"/>
    <s v="DK1_Rural"/>
    <x v="7"/>
    <s v="GNR_BO_WOODWST_E-89"/>
    <x v="0"/>
    <x v="4"/>
    <n v="7"/>
    <n v="2555"/>
    <n v="9198"/>
  </r>
  <r>
    <x v="0"/>
    <x v="0"/>
    <x v="0"/>
    <x v="0"/>
    <x v="0"/>
    <s v="DK1_Rural"/>
    <x v="7"/>
    <s v="GNR_BO_WOODWST_E-89"/>
    <x v="0"/>
    <x v="5"/>
    <n v="7"/>
    <n v="2555"/>
    <n v="9198"/>
  </r>
  <r>
    <x v="0"/>
    <x v="0"/>
    <x v="0"/>
    <x v="0"/>
    <x v="0"/>
    <s v="DK1_Rural"/>
    <x v="7"/>
    <s v="GNR_BO_WOODWST_E-89"/>
    <x v="0"/>
    <x v="6"/>
    <n v="7"/>
    <n v="2555"/>
    <n v="9198"/>
  </r>
  <r>
    <x v="0"/>
    <x v="0"/>
    <x v="0"/>
    <x v="0"/>
    <x v="0"/>
    <s v="DK1_Rural"/>
    <x v="7"/>
    <s v="GNR_BO_WOODWST_E-89"/>
    <x v="0"/>
    <x v="7"/>
    <n v="7"/>
    <n v="2555"/>
    <n v="9198"/>
  </r>
  <r>
    <x v="0"/>
    <x v="0"/>
    <x v="0"/>
    <x v="0"/>
    <x v="0"/>
    <s v="DK1_Rural"/>
    <x v="7"/>
    <s v="GNR_BO_WOODWST_E-89"/>
    <x v="0"/>
    <x v="8"/>
    <n v="7"/>
    <n v="2555"/>
    <n v="9198"/>
  </r>
  <r>
    <x v="0"/>
    <x v="0"/>
    <x v="0"/>
    <x v="0"/>
    <x v="0"/>
    <s v="DK1_Rural"/>
    <x v="7"/>
    <s v="GNR_BO_WOODWST_E-89"/>
    <x v="0"/>
    <x v="9"/>
    <n v="7"/>
    <n v="2555"/>
    <n v="9198"/>
  </r>
  <r>
    <x v="0"/>
    <x v="0"/>
    <x v="0"/>
    <x v="0"/>
    <x v="0"/>
    <s v="DK1_Rural"/>
    <x v="7"/>
    <s v="GNR_BO_WOODWST_E-89"/>
    <x v="0"/>
    <x v="10"/>
    <n v="7"/>
    <n v="2555"/>
    <n v="9198"/>
  </r>
  <r>
    <x v="0"/>
    <x v="0"/>
    <x v="0"/>
    <x v="0"/>
    <x v="0"/>
    <s v="DK1_Rural"/>
    <x v="7"/>
    <s v="GNR_BO_WOODWST_E-89"/>
    <x v="0"/>
    <x v="11"/>
    <n v="7"/>
    <n v="2555"/>
    <n v="9198"/>
  </r>
  <r>
    <x v="0"/>
    <x v="0"/>
    <x v="0"/>
    <x v="0"/>
    <x v="0"/>
    <s v="DK1_Rural"/>
    <x v="7"/>
    <s v="GNR_BO_WOODWST_E-89"/>
    <x v="0"/>
    <x v="12"/>
    <n v="7"/>
    <n v="2555"/>
    <n v="9198"/>
  </r>
  <r>
    <x v="0"/>
    <x v="0"/>
    <x v="0"/>
    <x v="0"/>
    <x v="0"/>
    <s v="DK1_Rural"/>
    <x v="7"/>
    <s v="GNR_BO_WOODWST_E-89"/>
    <x v="0"/>
    <x v="13"/>
    <n v="7"/>
    <n v="2555"/>
    <n v="9198"/>
  </r>
  <r>
    <x v="0"/>
    <x v="0"/>
    <x v="0"/>
    <x v="0"/>
    <x v="0"/>
    <s v="DK1_Rural"/>
    <x v="7"/>
    <s v="GNR_BO_WOODWST_E-89"/>
    <x v="0"/>
    <x v="14"/>
    <n v="7"/>
    <n v="2555"/>
    <n v="9198"/>
  </r>
  <r>
    <x v="0"/>
    <x v="0"/>
    <x v="0"/>
    <x v="0"/>
    <x v="0"/>
    <s v="DK1_Rural"/>
    <x v="7"/>
    <s v="GNR_BO_WOODWST_E-89"/>
    <x v="0"/>
    <x v="15"/>
    <n v="7"/>
    <n v="2555"/>
    <n v="9198"/>
  </r>
  <r>
    <x v="0"/>
    <x v="0"/>
    <x v="0"/>
    <x v="0"/>
    <x v="0"/>
    <s v="DK1_Rural"/>
    <x v="7"/>
    <s v="GNR_BO_WOODWST_E-89"/>
    <x v="0"/>
    <x v="16"/>
    <n v="7"/>
    <n v="2555"/>
    <n v="9198"/>
  </r>
  <r>
    <x v="0"/>
    <x v="0"/>
    <x v="0"/>
    <x v="0"/>
    <x v="0"/>
    <s v="DK1_Rural"/>
    <x v="7"/>
    <s v="GNR_BO_WOODWST_E-89"/>
    <x v="0"/>
    <x v="17"/>
    <n v="7"/>
    <n v="2555"/>
    <n v="9198"/>
  </r>
  <r>
    <x v="0"/>
    <x v="0"/>
    <x v="0"/>
    <x v="0"/>
    <x v="0"/>
    <s v="DK1_Rural"/>
    <x v="7"/>
    <s v="GNR_BO_WOODWST_E-89"/>
    <x v="0"/>
    <x v="18"/>
    <n v="7"/>
    <n v="2555"/>
    <n v="9198"/>
  </r>
  <r>
    <x v="0"/>
    <x v="0"/>
    <x v="0"/>
    <x v="0"/>
    <x v="0"/>
    <s v="DK1_Rural"/>
    <x v="7"/>
    <s v="GNR_BO_WOODWST_E-89"/>
    <x v="0"/>
    <x v="19"/>
    <n v="7"/>
    <n v="2555"/>
    <n v="9198"/>
  </r>
  <r>
    <x v="0"/>
    <x v="0"/>
    <x v="0"/>
    <x v="0"/>
    <x v="0"/>
    <s v="DK1_Rural"/>
    <x v="7"/>
    <s v="GNR_BO_WOODWST_E-89"/>
    <x v="0"/>
    <x v="20"/>
    <n v="7"/>
    <n v="2555"/>
    <n v="9198"/>
  </r>
  <r>
    <x v="0"/>
    <x v="0"/>
    <x v="0"/>
    <x v="0"/>
    <x v="0"/>
    <s v="DK1_Rural"/>
    <x v="7"/>
    <s v="GNR_BO_WOODWST_E-89"/>
    <x v="0"/>
    <x v="21"/>
    <n v="7"/>
    <n v="2555"/>
    <n v="9198"/>
  </r>
  <r>
    <x v="0"/>
    <x v="0"/>
    <x v="0"/>
    <x v="0"/>
    <x v="0"/>
    <s v="DK1_Rural"/>
    <x v="7"/>
    <s v="GNR_BO_WOODWST_E-89"/>
    <x v="0"/>
    <x v="22"/>
    <n v="7"/>
    <n v="2555"/>
    <n v="9198"/>
  </r>
  <r>
    <x v="0"/>
    <x v="0"/>
    <x v="0"/>
    <x v="0"/>
    <x v="0"/>
    <s v="DK1_Rural"/>
    <x v="7"/>
    <s v="GNR_BO_WOODWST_E-89"/>
    <x v="0"/>
    <x v="23"/>
    <n v="7"/>
    <n v="2555"/>
    <n v="9198"/>
  </r>
  <r>
    <x v="0"/>
    <x v="0"/>
    <x v="0"/>
    <x v="0"/>
    <x v="0"/>
    <s v="DK1_Rural"/>
    <x v="7"/>
    <s v="GNR_BO_WOODWST_E-90"/>
    <x v="0"/>
    <x v="0"/>
    <n v="9"/>
    <n v="3285"/>
    <n v="11826"/>
  </r>
  <r>
    <x v="0"/>
    <x v="0"/>
    <x v="0"/>
    <x v="0"/>
    <x v="0"/>
    <s v="DK1_Rural"/>
    <x v="7"/>
    <s v="GNR_BO_WOODWST_E-90"/>
    <x v="0"/>
    <x v="1"/>
    <n v="9"/>
    <n v="3285"/>
    <n v="11826"/>
  </r>
  <r>
    <x v="0"/>
    <x v="0"/>
    <x v="0"/>
    <x v="0"/>
    <x v="0"/>
    <s v="DK1_Rural"/>
    <x v="7"/>
    <s v="GNR_BO_WOODWST_E-90"/>
    <x v="0"/>
    <x v="2"/>
    <n v="9"/>
    <n v="3285"/>
    <n v="11826"/>
  </r>
  <r>
    <x v="0"/>
    <x v="0"/>
    <x v="0"/>
    <x v="0"/>
    <x v="0"/>
    <s v="DK1_Rural"/>
    <x v="7"/>
    <s v="GNR_BO_WOODWST_E-90"/>
    <x v="0"/>
    <x v="3"/>
    <n v="9"/>
    <n v="3285"/>
    <n v="11826"/>
  </r>
  <r>
    <x v="0"/>
    <x v="0"/>
    <x v="0"/>
    <x v="0"/>
    <x v="0"/>
    <s v="DK1_Rural"/>
    <x v="7"/>
    <s v="GNR_BO_WOODWST_E-90"/>
    <x v="0"/>
    <x v="4"/>
    <n v="9"/>
    <n v="3285"/>
    <n v="11826"/>
  </r>
  <r>
    <x v="0"/>
    <x v="0"/>
    <x v="0"/>
    <x v="0"/>
    <x v="0"/>
    <s v="DK1_Rural"/>
    <x v="7"/>
    <s v="GNR_BO_WOODWST_E-90"/>
    <x v="0"/>
    <x v="5"/>
    <n v="9"/>
    <n v="3285"/>
    <n v="11826"/>
  </r>
  <r>
    <x v="0"/>
    <x v="0"/>
    <x v="0"/>
    <x v="0"/>
    <x v="0"/>
    <s v="DK1_Rural"/>
    <x v="7"/>
    <s v="GNR_BO_WOODWST_E-90"/>
    <x v="0"/>
    <x v="6"/>
    <n v="9"/>
    <n v="3285"/>
    <n v="11826"/>
  </r>
  <r>
    <x v="0"/>
    <x v="0"/>
    <x v="0"/>
    <x v="0"/>
    <x v="0"/>
    <s v="DK1_Rural"/>
    <x v="7"/>
    <s v="GNR_BO_WOODWST_E-90"/>
    <x v="0"/>
    <x v="7"/>
    <n v="9"/>
    <n v="3285"/>
    <n v="11826"/>
  </r>
  <r>
    <x v="0"/>
    <x v="0"/>
    <x v="0"/>
    <x v="0"/>
    <x v="0"/>
    <s v="DK1_Rural"/>
    <x v="7"/>
    <s v="GNR_BO_WOODWST_E-90"/>
    <x v="0"/>
    <x v="8"/>
    <n v="9"/>
    <n v="3285"/>
    <n v="11826"/>
  </r>
  <r>
    <x v="0"/>
    <x v="0"/>
    <x v="0"/>
    <x v="0"/>
    <x v="0"/>
    <s v="DK1_Rural"/>
    <x v="7"/>
    <s v="GNR_BO_WOODWST_E-90"/>
    <x v="0"/>
    <x v="9"/>
    <n v="9"/>
    <n v="3285"/>
    <n v="11826"/>
  </r>
  <r>
    <x v="0"/>
    <x v="0"/>
    <x v="0"/>
    <x v="0"/>
    <x v="0"/>
    <s v="DK1_Rural"/>
    <x v="7"/>
    <s v="GNR_BO_WOODWST_E-90"/>
    <x v="0"/>
    <x v="10"/>
    <n v="9"/>
    <n v="3285"/>
    <n v="11826"/>
  </r>
  <r>
    <x v="0"/>
    <x v="0"/>
    <x v="0"/>
    <x v="0"/>
    <x v="0"/>
    <s v="DK1_Rural"/>
    <x v="7"/>
    <s v="GNR_BO_WOODWST_E-90"/>
    <x v="0"/>
    <x v="11"/>
    <n v="9"/>
    <n v="3285"/>
    <n v="11826"/>
  </r>
  <r>
    <x v="0"/>
    <x v="0"/>
    <x v="0"/>
    <x v="0"/>
    <x v="0"/>
    <s v="DK1_Rural"/>
    <x v="7"/>
    <s v="GNR_BO_WOODWST_E-90"/>
    <x v="0"/>
    <x v="12"/>
    <n v="9"/>
    <n v="3285"/>
    <n v="11826"/>
  </r>
  <r>
    <x v="0"/>
    <x v="0"/>
    <x v="0"/>
    <x v="0"/>
    <x v="0"/>
    <s v="DK1_Rural"/>
    <x v="7"/>
    <s v="GNR_BO_WOODWST_E-90"/>
    <x v="0"/>
    <x v="13"/>
    <n v="9"/>
    <n v="3285"/>
    <n v="11826"/>
  </r>
  <r>
    <x v="0"/>
    <x v="0"/>
    <x v="0"/>
    <x v="0"/>
    <x v="0"/>
    <s v="DK1_Rural"/>
    <x v="7"/>
    <s v="GNR_BO_WOODWST_E-90"/>
    <x v="0"/>
    <x v="14"/>
    <n v="9"/>
    <n v="3285"/>
    <n v="11826"/>
  </r>
  <r>
    <x v="0"/>
    <x v="0"/>
    <x v="0"/>
    <x v="0"/>
    <x v="0"/>
    <s v="DK1_Rural"/>
    <x v="7"/>
    <s v="GNR_BO_WOODWST_E-90"/>
    <x v="0"/>
    <x v="15"/>
    <n v="9"/>
    <n v="3285"/>
    <n v="11826"/>
  </r>
  <r>
    <x v="0"/>
    <x v="0"/>
    <x v="0"/>
    <x v="0"/>
    <x v="0"/>
    <s v="DK1_Rural"/>
    <x v="7"/>
    <s v="GNR_BO_WOODWST_E-90"/>
    <x v="0"/>
    <x v="16"/>
    <n v="9"/>
    <n v="3285"/>
    <n v="11826"/>
  </r>
  <r>
    <x v="0"/>
    <x v="0"/>
    <x v="0"/>
    <x v="0"/>
    <x v="0"/>
    <s v="DK1_Rural"/>
    <x v="7"/>
    <s v="GNR_BO_WOODWST_E-90"/>
    <x v="0"/>
    <x v="17"/>
    <n v="9"/>
    <n v="3285"/>
    <n v="11826"/>
  </r>
  <r>
    <x v="0"/>
    <x v="0"/>
    <x v="0"/>
    <x v="0"/>
    <x v="0"/>
    <s v="DK1_Rural"/>
    <x v="7"/>
    <s v="GNR_BO_WOODWST_E-90"/>
    <x v="0"/>
    <x v="18"/>
    <n v="9"/>
    <n v="3285"/>
    <n v="11826"/>
  </r>
  <r>
    <x v="0"/>
    <x v="0"/>
    <x v="0"/>
    <x v="0"/>
    <x v="0"/>
    <s v="DK1_Rural"/>
    <x v="7"/>
    <s v="GNR_BO_WOODWST_E-90"/>
    <x v="0"/>
    <x v="19"/>
    <n v="9"/>
    <n v="3285"/>
    <n v="11826"/>
  </r>
  <r>
    <x v="0"/>
    <x v="0"/>
    <x v="0"/>
    <x v="0"/>
    <x v="0"/>
    <s v="DK1_Rural"/>
    <x v="7"/>
    <s v="GNR_BO_WOODWST_E-90"/>
    <x v="0"/>
    <x v="20"/>
    <n v="9"/>
    <n v="3285"/>
    <n v="11826"/>
  </r>
  <r>
    <x v="0"/>
    <x v="0"/>
    <x v="0"/>
    <x v="0"/>
    <x v="0"/>
    <s v="DK1_Rural"/>
    <x v="7"/>
    <s v="GNR_BO_WOODWST_E-90"/>
    <x v="0"/>
    <x v="21"/>
    <n v="9"/>
    <n v="3285"/>
    <n v="11826"/>
  </r>
  <r>
    <x v="0"/>
    <x v="0"/>
    <x v="0"/>
    <x v="0"/>
    <x v="0"/>
    <s v="DK1_Rural"/>
    <x v="7"/>
    <s v="GNR_BO_WOODWST_E-90"/>
    <x v="0"/>
    <x v="22"/>
    <n v="9"/>
    <n v="3285"/>
    <n v="11826"/>
  </r>
  <r>
    <x v="0"/>
    <x v="0"/>
    <x v="0"/>
    <x v="0"/>
    <x v="0"/>
    <s v="DK1_Rural"/>
    <x v="7"/>
    <s v="GNR_BO_WOODWST_E-90"/>
    <x v="0"/>
    <x v="23"/>
    <n v="9"/>
    <n v="3285"/>
    <n v="11826"/>
  </r>
  <r>
    <x v="0"/>
    <x v="0"/>
    <x v="0"/>
    <x v="0"/>
    <x v="0"/>
    <s v="DK1_Rural"/>
    <x v="7"/>
    <s v="GNR_BO_WOODWST_E-91"/>
    <x v="0"/>
    <x v="0"/>
    <n v="3.15"/>
    <n v="1149.75"/>
    <n v="4139.1000000000004"/>
  </r>
  <r>
    <x v="0"/>
    <x v="0"/>
    <x v="0"/>
    <x v="0"/>
    <x v="0"/>
    <s v="DK1_Rural"/>
    <x v="7"/>
    <s v="GNR_BO_WOODWST_E-91"/>
    <x v="0"/>
    <x v="1"/>
    <n v="3.15"/>
    <n v="1149.75"/>
    <n v="4139.1000000000004"/>
  </r>
  <r>
    <x v="0"/>
    <x v="0"/>
    <x v="0"/>
    <x v="0"/>
    <x v="0"/>
    <s v="DK1_Rural"/>
    <x v="7"/>
    <s v="GNR_BO_WOODWST_E-91"/>
    <x v="0"/>
    <x v="2"/>
    <n v="3.15"/>
    <n v="1149.75"/>
    <n v="4139.1000000000004"/>
  </r>
  <r>
    <x v="0"/>
    <x v="0"/>
    <x v="0"/>
    <x v="0"/>
    <x v="0"/>
    <s v="DK1_Rural"/>
    <x v="7"/>
    <s v="GNR_BO_WOODWST_E-91"/>
    <x v="0"/>
    <x v="3"/>
    <n v="3.15"/>
    <n v="1149.75"/>
    <n v="4139.1000000000004"/>
  </r>
  <r>
    <x v="0"/>
    <x v="0"/>
    <x v="0"/>
    <x v="0"/>
    <x v="0"/>
    <s v="DK1_Rural"/>
    <x v="7"/>
    <s v="GNR_BO_WOODWST_E-91"/>
    <x v="0"/>
    <x v="4"/>
    <n v="3.15"/>
    <n v="1149.75"/>
    <n v="4139.1000000000004"/>
  </r>
  <r>
    <x v="0"/>
    <x v="0"/>
    <x v="0"/>
    <x v="0"/>
    <x v="0"/>
    <s v="DK1_Rural"/>
    <x v="7"/>
    <s v="GNR_BO_WOODWST_E-91"/>
    <x v="0"/>
    <x v="5"/>
    <n v="3.15"/>
    <n v="1149.75"/>
    <n v="4139.1000000000004"/>
  </r>
  <r>
    <x v="0"/>
    <x v="0"/>
    <x v="0"/>
    <x v="0"/>
    <x v="0"/>
    <s v="DK1_Rural"/>
    <x v="7"/>
    <s v="GNR_BO_WOODWST_E-91"/>
    <x v="0"/>
    <x v="6"/>
    <n v="3.15"/>
    <n v="1149.75"/>
    <n v="4139.1000000000004"/>
  </r>
  <r>
    <x v="0"/>
    <x v="0"/>
    <x v="0"/>
    <x v="0"/>
    <x v="0"/>
    <s v="DK1_Rural"/>
    <x v="7"/>
    <s v="GNR_BO_WOODWST_E-91"/>
    <x v="0"/>
    <x v="7"/>
    <n v="3.15"/>
    <n v="1149.75"/>
    <n v="4139.1000000000004"/>
  </r>
  <r>
    <x v="0"/>
    <x v="0"/>
    <x v="0"/>
    <x v="0"/>
    <x v="0"/>
    <s v="DK1_Rural"/>
    <x v="7"/>
    <s v="GNR_BO_WOODWST_E-91"/>
    <x v="0"/>
    <x v="8"/>
    <n v="3.15"/>
    <n v="1149.75"/>
    <n v="4139.1000000000004"/>
  </r>
  <r>
    <x v="0"/>
    <x v="0"/>
    <x v="0"/>
    <x v="0"/>
    <x v="0"/>
    <s v="DK1_Rural"/>
    <x v="7"/>
    <s v="GNR_BO_WOODWST_E-91"/>
    <x v="0"/>
    <x v="9"/>
    <n v="3.15"/>
    <n v="1149.75"/>
    <n v="4139.1000000000004"/>
  </r>
  <r>
    <x v="0"/>
    <x v="0"/>
    <x v="0"/>
    <x v="0"/>
    <x v="0"/>
    <s v="DK1_Rural"/>
    <x v="7"/>
    <s v="GNR_BO_WOODWST_E-91"/>
    <x v="0"/>
    <x v="10"/>
    <n v="3.15"/>
    <n v="1149.75"/>
    <n v="4139.1000000000004"/>
  </r>
  <r>
    <x v="0"/>
    <x v="0"/>
    <x v="0"/>
    <x v="0"/>
    <x v="0"/>
    <s v="DK1_Rural"/>
    <x v="7"/>
    <s v="GNR_BO_WOODWST_E-91"/>
    <x v="0"/>
    <x v="11"/>
    <n v="3.15"/>
    <n v="1149.75"/>
    <n v="4139.1000000000004"/>
  </r>
  <r>
    <x v="0"/>
    <x v="0"/>
    <x v="0"/>
    <x v="0"/>
    <x v="0"/>
    <s v="DK1_Rural"/>
    <x v="7"/>
    <s v="GNR_BO_WOODWST_E-91"/>
    <x v="0"/>
    <x v="12"/>
    <n v="3.15"/>
    <n v="1149.75"/>
    <n v="4139.1000000000004"/>
  </r>
  <r>
    <x v="0"/>
    <x v="0"/>
    <x v="0"/>
    <x v="0"/>
    <x v="0"/>
    <s v="DK1_Rural"/>
    <x v="7"/>
    <s v="GNR_BO_WOODWST_E-91"/>
    <x v="0"/>
    <x v="13"/>
    <n v="3.15"/>
    <n v="1149.75"/>
    <n v="4139.1000000000004"/>
  </r>
  <r>
    <x v="0"/>
    <x v="0"/>
    <x v="0"/>
    <x v="0"/>
    <x v="0"/>
    <s v="DK1_Rural"/>
    <x v="7"/>
    <s v="GNR_BO_WOODWST_E-91"/>
    <x v="0"/>
    <x v="14"/>
    <n v="3.15"/>
    <n v="1149.75"/>
    <n v="4139.1000000000004"/>
  </r>
  <r>
    <x v="0"/>
    <x v="0"/>
    <x v="0"/>
    <x v="0"/>
    <x v="0"/>
    <s v="DK1_Rural"/>
    <x v="7"/>
    <s v="GNR_BO_WOODWST_E-91"/>
    <x v="0"/>
    <x v="15"/>
    <n v="3.15"/>
    <n v="1149.75"/>
    <n v="4139.1000000000004"/>
  </r>
  <r>
    <x v="0"/>
    <x v="0"/>
    <x v="0"/>
    <x v="0"/>
    <x v="0"/>
    <s v="DK1_Rural"/>
    <x v="7"/>
    <s v="GNR_BO_WOODWST_E-91"/>
    <x v="0"/>
    <x v="16"/>
    <n v="3.15"/>
    <n v="1149.75"/>
    <n v="4139.1000000000004"/>
  </r>
  <r>
    <x v="0"/>
    <x v="0"/>
    <x v="0"/>
    <x v="0"/>
    <x v="0"/>
    <s v="DK1_Rural"/>
    <x v="7"/>
    <s v="GNR_BO_WOODWST_E-91"/>
    <x v="0"/>
    <x v="17"/>
    <n v="3.15"/>
    <n v="1149.75"/>
    <n v="4139.1000000000004"/>
  </r>
  <r>
    <x v="0"/>
    <x v="0"/>
    <x v="0"/>
    <x v="0"/>
    <x v="0"/>
    <s v="DK1_Rural"/>
    <x v="7"/>
    <s v="GNR_BO_WOODWST_E-91"/>
    <x v="0"/>
    <x v="18"/>
    <n v="3.15"/>
    <n v="1149.75"/>
    <n v="4139.1000000000004"/>
  </r>
  <r>
    <x v="0"/>
    <x v="0"/>
    <x v="0"/>
    <x v="0"/>
    <x v="0"/>
    <s v="DK1_Rural"/>
    <x v="7"/>
    <s v="GNR_BO_WOODWST_E-91"/>
    <x v="0"/>
    <x v="19"/>
    <n v="3.15"/>
    <n v="1149.75"/>
    <n v="4139.1000000000004"/>
  </r>
  <r>
    <x v="0"/>
    <x v="0"/>
    <x v="0"/>
    <x v="0"/>
    <x v="0"/>
    <s v="DK1_Rural"/>
    <x v="7"/>
    <s v="GNR_BO_WOODWST_E-91"/>
    <x v="0"/>
    <x v="20"/>
    <n v="3.15"/>
    <n v="1149.75"/>
    <n v="4139.1000000000004"/>
  </r>
  <r>
    <x v="0"/>
    <x v="0"/>
    <x v="0"/>
    <x v="0"/>
    <x v="0"/>
    <s v="DK1_Rural"/>
    <x v="7"/>
    <s v="GNR_BO_WOODWST_E-91"/>
    <x v="0"/>
    <x v="21"/>
    <n v="3.15"/>
    <n v="1149.75"/>
    <n v="4139.1000000000004"/>
  </r>
  <r>
    <x v="0"/>
    <x v="0"/>
    <x v="0"/>
    <x v="0"/>
    <x v="0"/>
    <s v="DK1_Rural"/>
    <x v="7"/>
    <s v="GNR_BO_WOODWST_E-91"/>
    <x v="0"/>
    <x v="22"/>
    <n v="3.15"/>
    <n v="1149.75"/>
    <n v="4139.1000000000004"/>
  </r>
  <r>
    <x v="0"/>
    <x v="0"/>
    <x v="0"/>
    <x v="0"/>
    <x v="0"/>
    <s v="DK1_Rural"/>
    <x v="7"/>
    <s v="GNR_BO_WOODWST_E-91"/>
    <x v="0"/>
    <x v="23"/>
    <n v="3.15"/>
    <n v="1149.75"/>
    <n v="4139.1000000000004"/>
  </r>
  <r>
    <x v="0"/>
    <x v="0"/>
    <x v="0"/>
    <x v="0"/>
    <x v="0"/>
    <s v="DK1_Rural"/>
    <x v="7"/>
    <s v="GNR_BO_WOODWST_E-94"/>
    <x v="0"/>
    <x v="0"/>
    <n v="0.93"/>
    <n v="339.45"/>
    <n v="1222.02"/>
  </r>
  <r>
    <x v="0"/>
    <x v="0"/>
    <x v="0"/>
    <x v="0"/>
    <x v="0"/>
    <s v="DK1_Rural"/>
    <x v="7"/>
    <s v="GNR_BO_WOODWST_E-94"/>
    <x v="0"/>
    <x v="1"/>
    <n v="0.93"/>
    <n v="339.45"/>
    <n v="1222.02"/>
  </r>
  <r>
    <x v="0"/>
    <x v="0"/>
    <x v="0"/>
    <x v="0"/>
    <x v="0"/>
    <s v="DK1_Rural"/>
    <x v="7"/>
    <s v="GNR_BO_WOODWST_E-94"/>
    <x v="0"/>
    <x v="2"/>
    <n v="0.93"/>
    <n v="339.45"/>
    <n v="1222.02"/>
  </r>
  <r>
    <x v="0"/>
    <x v="0"/>
    <x v="0"/>
    <x v="0"/>
    <x v="0"/>
    <s v="DK1_Rural"/>
    <x v="7"/>
    <s v="GNR_BO_WOODWST_E-94"/>
    <x v="0"/>
    <x v="3"/>
    <n v="0.93"/>
    <n v="339.45"/>
    <n v="1222.02"/>
  </r>
  <r>
    <x v="0"/>
    <x v="0"/>
    <x v="0"/>
    <x v="0"/>
    <x v="0"/>
    <s v="DK1_Rural"/>
    <x v="7"/>
    <s v="GNR_BO_WOODWST_E-94"/>
    <x v="0"/>
    <x v="4"/>
    <n v="0.93"/>
    <n v="339.45"/>
    <n v="1222.02"/>
  </r>
  <r>
    <x v="0"/>
    <x v="0"/>
    <x v="0"/>
    <x v="0"/>
    <x v="0"/>
    <s v="DK1_Rural"/>
    <x v="7"/>
    <s v="GNR_BO_WOODWST_E-94"/>
    <x v="0"/>
    <x v="5"/>
    <n v="0.93"/>
    <n v="339.45"/>
    <n v="1222.02"/>
  </r>
  <r>
    <x v="0"/>
    <x v="0"/>
    <x v="0"/>
    <x v="0"/>
    <x v="0"/>
    <s v="DK1_Rural"/>
    <x v="7"/>
    <s v="GNR_BO_WOODWST_E-94"/>
    <x v="0"/>
    <x v="6"/>
    <n v="0.93"/>
    <n v="339.45"/>
    <n v="1222.02"/>
  </r>
  <r>
    <x v="0"/>
    <x v="0"/>
    <x v="0"/>
    <x v="0"/>
    <x v="0"/>
    <s v="DK1_Rural"/>
    <x v="7"/>
    <s v="GNR_BO_WOODWST_E-94"/>
    <x v="0"/>
    <x v="7"/>
    <n v="0.93"/>
    <n v="339.45"/>
    <n v="1222.02"/>
  </r>
  <r>
    <x v="0"/>
    <x v="0"/>
    <x v="0"/>
    <x v="0"/>
    <x v="0"/>
    <s v="DK1_Rural"/>
    <x v="7"/>
    <s v="GNR_BO_WOODWST_E-94"/>
    <x v="0"/>
    <x v="8"/>
    <n v="0.93"/>
    <n v="339.45"/>
    <n v="1222.02"/>
  </r>
  <r>
    <x v="0"/>
    <x v="0"/>
    <x v="0"/>
    <x v="0"/>
    <x v="0"/>
    <s v="DK1_Rural"/>
    <x v="7"/>
    <s v="GNR_BO_WOODWST_E-94"/>
    <x v="0"/>
    <x v="9"/>
    <n v="0.93"/>
    <n v="339.45"/>
    <n v="1222.02"/>
  </r>
  <r>
    <x v="0"/>
    <x v="0"/>
    <x v="0"/>
    <x v="0"/>
    <x v="0"/>
    <s v="DK1_Rural"/>
    <x v="7"/>
    <s v="GNR_BO_WOODWST_E-94"/>
    <x v="0"/>
    <x v="10"/>
    <n v="0.93"/>
    <n v="339.45"/>
    <n v="1222.02"/>
  </r>
  <r>
    <x v="0"/>
    <x v="0"/>
    <x v="0"/>
    <x v="0"/>
    <x v="0"/>
    <s v="DK1_Rural"/>
    <x v="7"/>
    <s v="GNR_BO_WOODWST_E-94"/>
    <x v="0"/>
    <x v="11"/>
    <n v="0.93"/>
    <n v="339.45"/>
    <n v="1222.02"/>
  </r>
  <r>
    <x v="0"/>
    <x v="0"/>
    <x v="0"/>
    <x v="0"/>
    <x v="0"/>
    <s v="DK1_Rural"/>
    <x v="7"/>
    <s v="GNR_BO_WOODWST_E-94"/>
    <x v="0"/>
    <x v="12"/>
    <n v="0.93"/>
    <n v="339.45"/>
    <n v="1222.02"/>
  </r>
  <r>
    <x v="0"/>
    <x v="0"/>
    <x v="0"/>
    <x v="0"/>
    <x v="0"/>
    <s v="DK1_Rural"/>
    <x v="7"/>
    <s v="GNR_BO_WOODWST_E-94"/>
    <x v="0"/>
    <x v="13"/>
    <n v="0.93"/>
    <n v="339.45"/>
    <n v="1222.02"/>
  </r>
  <r>
    <x v="0"/>
    <x v="0"/>
    <x v="0"/>
    <x v="0"/>
    <x v="0"/>
    <s v="DK1_Rural"/>
    <x v="7"/>
    <s v="GNR_BO_WOODWST_E-94"/>
    <x v="0"/>
    <x v="14"/>
    <n v="0.93"/>
    <n v="339.45"/>
    <n v="1222.02"/>
  </r>
  <r>
    <x v="0"/>
    <x v="0"/>
    <x v="0"/>
    <x v="0"/>
    <x v="0"/>
    <s v="DK1_Rural"/>
    <x v="7"/>
    <s v="GNR_BO_WOODWST_E-94"/>
    <x v="0"/>
    <x v="15"/>
    <n v="0.93"/>
    <n v="339.45"/>
    <n v="1222.02"/>
  </r>
  <r>
    <x v="0"/>
    <x v="0"/>
    <x v="0"/>
    <x v="0"/>
    <x v="0"/>
    <s v="DK1_Rural"/>
    <x v="7"/>
    <s v="GNR_BO_WOODWST_E-94"/>
    <x v="0"/>
    <x v="16"/>
    <n v="0.93"/>
    <n v="339.45"/>
    <n v="1222.02"/>
  </r>
  <r>
    <x v="0"/>
    <x v="0"/>
    <x v="0"/>
    <x v="0"/>
    <x v="0"/>
    <s v="DK1_Rural"/>
    <x v="7"/>
    <s v="GNR_BO_WOODWST_E-94"/>
    <x v="0"/>
    <x v="17"/>
    <n v="0.93"/>
    <n v="339.45"/>
    <n v="1222.02"/>
  </r>
  <r>
    <x v="0"/>
    <x v="0"/>
    <x v="0"/>
    <x v="0"/>
    <x v="0"/>
    <s v="DK1_Rural"/>
    <x v="7"/>
    <s v="GNR_BO_WOODWST_E-94"/>
    <x v="0"/>
    <x v="18"/>
    <n v="0.93"/>
    <n v="339.45"/>
    <n v="1222.02"/>
  </r>
  <r>
    <x v="0"/>
    <x v="0"/>
    <x v="0"/>
    <x v="0"/>
    <x v="0"/>
    <s v="DK1_Rural"/>
    <x v="7"/>
    <s v="GNR_BO_WOODWST_E-94"/>
    <x v="0"/>
    <x v="19"/>
    <n v="0.93"/>
    <n v="339.45"/>
    <n v="1222.02"/>
  </r>
  <r>
    <x v="0"/>
    <x v="0"/>
    <x v="0"/>
    <x v="0"/>
    <x v="0"/>
    <s v="DK1_Rural"/>
    <x v="7"/>
    <s v="GNR_BO_WOODWST_E-94"/>
    <x v="0"/>
    <x v="20"/>
    <n v="0.93"/>
    <n v="339.45"/>
    <n v="1222.02"/>
  </r>
  <r>
    <x v="0"/>
    <x v="0"/>
    <x v="0"/>
    <x v="0"/>
    <x v="0"/>
    <s v="DK1_Rural"/>
    <x v="7"/>
    <s v="GNR_BO_WOODWST_E-94"/>
    <x v="0"/>
    <x v="21"/>
    <n v="0.93"/>
    <n v="339.45"/>
    <n v="1222.02"/>
  </r>
  <r>
    <x v="0"/>
    <x v="0"/>
    <x v="0"/>
    <x v="0"/>
    <x v="0"/>
    <s v="DK1_Rural"/>
    <x v="7"/>
    <s v="GNR_BO_WOODWST_E-94"/>
    <x v="0"/>
    <x v="22"/>
    <n v="0.93"/>
    <n v="339.45"/>
    <n v="1222.02"/>
  </r>
  <r>
    <x v="0"/>
    <x v="0"/>
    <x v="0"/>
    <x v="0"/>
    <x v="0"/>
    <s v="DK1_Rural"/>
    <x v="7"/>
    <s v="GNR_BO_WOODWST_E-94"/>
    <x v="0"/>
    <x v="23"/>
    <n v="0.93"/>
    <n v="339.45"/>
    <n v="1222.02"/>
  </r>
  <r>
    <x v="0"/>
    <x v="0"/>
    <x v="0"/>
    <x v="0"/>
    <x v="0"/>
    <s v="DK1_Small"/>
    <x v="1"/>
    <s v="GNR_BO_MSW_E-104"/>
    <x v="0"/>
    <x v="7"/>
    <n v="1.7164807603935099"/>
    <n v="626.51547754363003"/>
    <n v="2255.4557191570698"/>
  </r>
  <r>
    <x v="0"/>
    <x v="0"/>
    <x v="0"/>
    <x v="0"/>
    <x v="0"/>
    <s v="DK1_Small"/>
    <x v="1"/>
    <s v="GNR_BO_MSW_E-104"/>
    <x v="0"/>
    <x v="8"/>
    <n v="3.03317671942508"/>
    <n v="1107.10950259015"/>
    <n v="3985.5942093245499"/>
  </r>
  <r>
    <x v="0"/>
    <x v="0"/>
    <x v="0"/>
    <x v="0"/>
    <x v="0"/>
    <s v="DK1_Small"/>
    <x v="1"/>
    <s v="GNR_BO_MSW_E-104"/>
    <x v="0"/>
    <x v="9"/>
    <n v="3.7228746027273298"/>
    <n v="1358.8492299954801"/>
    <n v="4891.8572279837099"/>
  </r>
  <r>
    <x v="0"/>
    <x v="0"/>
    <x v="0"/>
    <x v="0"/>
    <x v="0"/>
    <s v="DK1_Small"/>
    <x v="1"/>
    <s v="GNR_BO_MSW_E-104"/>
    <x v="0"/>
    <x v="10"/>
    <n v="3.5347751800085301"/>
    <n v="1290.19294070311"/>
    <n v="4644.69458653121"/>
  </r>
  <r>
    <x v="0"/>
    <x v="0"/>
    <x v="0"/>
    <x v="0"/>
    <x v="0"/>
    <s v="DK1_Small"/>
    <x v="1"/>
    <s v="GNR_BO_MSW_E-104"/>
    <x v="0"/>
    <x v="11"/>
    <n v="3.5661250837949998"/>
    <n v="1301.6356555851801"/>
    <n v="4685.88836010663"/>
  </r>
  <r>
    <x v="0"/>
    <x v="0"/>
    <x v="0"/>
    <x v="0"/>
    <x v="0"/>
    <s v="DK1_Small"/>
    <x v="1"/>
    <s v="GNR_BO_MSW_E-104"/>
    <x v="0"/>
    <x v="12"/>
    <n v="3.22127614214387"/>
    <n v="1175.76579188251"/>
    <n v="4232.7568507770502"/>
  </r>
  <r>
    <x v="0"/>
    <x v="0"/>
    <x v="0"/>
    <x v="0"/>
    <x v="0"/>
    <s v="DK1_Small"/>
    <x v="1"/>
    <s v="GNR_BO_MSW_E-104"/>
    <x v="0"/>
    <x v="13"/>
    <n v="1.84188037553937"/>
    <n v="672.286337071871"/>
    <n v="2420.2308134587402"/>
  </r>
  <r>
    <x v="0"/>
    <x v="0"/>
    <x v="0"/>
    <x v="0"/>
    <x v="0"/>
    <s v="DK1_Small"/>
    <x v="1"/>
    <s v="GNR_BO_MSW_E-104"/>
    <x v="0"/>
    <x v="14"/>
    <n v="2.21807922097697"/>
    <n v="809.59891565659302"/>
    <n v="2914.5560963637399"/>
  </r>
  <r>
    <x v="0"/>
    <x v="0"/>
    <x v="0"/>
    <x v="0"/>
    <x v="0"/>
    <s v="DK1_Small"/>
    <x v="1"/>
    <s v="GNR_BO_MSW_E-104"/>
    <x v="0"/>
    <x v="15"/>
    <n v="2.5942780664145499"/>
    <n v="946.91149424131197"/>
    <n v="3408.8813792687201"/>
  </r>
  <r>
    <x v="0"/>
    <x v="0"/>
    <x v="0"/>
    <x v="0"/>
    <x v="0"/>
    <s v="DK1_Small"/>
    <x v="1"/>
    <s v="GNR_BO_MSW_E-104"/>
    <x v="0"/>
    <x v="16"/>
    <n v="3.3153258535032699"/>
    <n v="1210.0939365286899"/>
    <n v="4356.3381715032901"/>
  </r>
  <r>
    <x v="0"/>
    <x v="0"/>
    <x v="0"/>
    <x v="0"/>
    <x v="0"/>
    <s v="DK1_Small"/>
    <x v="1"/>
    <s v="GNR_BO_MSW_E-104"/>
    <x v="0"/>
    <x v="17"/>
    <n v="3.1585763345709399"/>
    <n v="1152.8803621183899"/>
    <n v="4150.3693036262102"/>
  </r>
  <r>
    <x v="0"/>
    <x v="0"/>
    <x v="0"/>
    <x v="0"/>
    <x v="0"/>
    <s v="DK1_Small"/>
    <x v="1"/>
    <s v="GNR_BO_MSW_E-104"/>
    <x v="0"/>
    <x v="18"/>
    <n v="3.2839759497168002"/>
    <n v="1198.6512216466299"/>
    <n v="4315.1443979278802"/>
  </r>
  <r>
    <x v="0"/>
    <x v="0"/>
    <x v="0"/>
    <x v="0"/>
    <x v="0"/>
    <s v="DK1_Small"/>
    <x v="1"/>
    <s v="GNR_BO_MSW_E-104"/>
    <x v="0"/>
    <x v="19"/>
    <n v="3.1585763345709399"/>
    <n v="1152.8803621183899"/>
    <n v="4150.3693036262102"/>
  </r>
  <r>
    <x v="0"/>
    <x v="0"/>
    <x v="0"/>
    <x v="0"/>
    <x v="0"/>
    <s v="DK1_Small"/>
    <x v="1"/>
    <s v="GNR_BO_MSW_E-104"/>
    <x v="0"/>
    <x v="20"/>
    <n v="2.4688784512686901"/>
    <n v="901.14063471307304"/>
    <n v="3244.1062849670602"/>
  </r>
  <r>
    <x v="0"/>
    <x v="0"/>
    <x v="0"/>
    <x v="0"/>
    <x v="0"/>
    <s v="DK1_Small"/>
    <x v="1"/>
    <s v="GNR_BO_MSW_E-105"/>
    <x v="0"/>
    <x v="0"/>
    <n v="24.825720015515401"/>
    <n v="9061.3878056631293"/>
    <n v="32620.9961003873"/>
  </r>
  <r>
    <x v="0"/>
    <x v="0"/>
    <x v="0"/>
    <x v="0"/>
    <x v="0"/>
    <s v="DK1_Small"/>
    <x v="1"/>
    <s v="GNR_BO_MSW_E-105"/>
    <x v="0"/>
    <x v="1"/>
    <n v="24.355471458718402"/>
    <n v="8889.7470824322299"/>
    <n v="32003.089496756002"/>
  </r>
  <r>
    <x v="0"/>
    <x v="0"/>
    <x v="0"/>
    <x v="0"/>
    <x v="0"/>
    <s v="DK1_Small"/>
    <x v="1"/>
    <s v="GNR_BO_MSW_E-105"/>
    <x v="0"/>
    <x v="2"/>
    <n v="24.010622517067301"/>
    <n v="8763.8772187295708"/>
    <n v="31549.957987426402"/>
  </r>
  <r>
    <x v="0"/>
    <x v="0"/>
    <x v="0"/>
    <x v="0"/>
    <x v="0"/>
    <s v="DK1_Small"/>
    <x v="1"/>
    <s v="GNR_BO_MSW_E-105"/>
    <x v="0"/>
    <x v="3"/>
    <n v="24.261421747359002"/>
    <n v="8855.4189377860494"/>
    <n v="31879.508176029802"/>
  </r>
  <r>
    <x v="0"/>
    <x v="0"/>
    <x v="0"/>
    <x v="0"/>
    <x v="0"/>
    <s v="DK1_Small"/>
    <x v="1"/>
    <s v="GNR_BO_MSW_E-105"/>
    <x v="0"/>
    <x v="4"/>
    <n v="25.4840679950312"/>
    <n v="9301.6848181863897"/>
    <n v="33486.065345470997"/>
  </r>
  <r>
    <x v="0"/>
    <x v="0"/>
    <x v="0"/>
    <x v="0"/>
    <x v="0"/>
    <s v="DK1_Small"/>
    <x v="1"/>
    <s v="GNR_BO_MSW_E-105"/>
    <x v="0"/>
    <x v="5"/>
    <n v="26.3932152048387"/>
    <n v="9633.5235497661306"/>
    <n v="34680.684779158102"/>
  </r>
  <r>
    <x v="0"/>
    <x v="0"/>
    <x v="0"/>
    <x v="0"/>
    <x v="0"/>
    <s v="DK1_Small"/>
    <x v="1"/>
    <s v="GNR_BO_MSW_E-105"/>
    <x v="0"/>
    <x v="6"/>
    <n v="32.130247597762001"/>
    <n v="11727.540373183099"/>
    <n v="42219.145343459197"/>
  </r>
  <r>
    <x v="0"/>
    <x v="0"/>
    <x v="0"/>
    <x v="0"/>
    <x v="0"/>
    <s v="DK1_Small"/>
    <x v="1"/>
    <s v="GNR_BO_MSW_E-105"/>
    <x v="0"/>
    <x v="7"/>
    <n v="35.9"/>
    <n v="13103.5"/>
    <n v="47172.6"/>
  </r>
  <r>
    <x v="0"/>
    <x v="0"/>
    <x v="0"/>
    <x v="0"/>
    <x v="0"/>
    <s v="DK1_Small"/>
    <x v="1"/>
    <s v="GNR_BO_MSW_E-105"/>
    <x v="0"/>
    <x v="8"/>
    <n v="35.9"/>
    <n v="13103.5"/>
    <n v="47172.6"/>
  </r>
  <r>
    <x v="0"/>
    <x v="0"/>
    <x v="0"/>
    <x v="0"/>
    <x v="0"/>
    <s v="DK1_Small"/>
    <x v="1"/>
    <s v="GNR_BO_MSW_E-105"/>
    <x v="0"/>
    <x v="9"/>
    <n v="35.9"/>
    <n v="13103.5"/>
    <n v="47172.6"/>
  </r>
  <r>
    <x v="0"/>
    <x v="0"/>
    <x v="0"/>
    <x v="0"/>
    <x v="0"/>
    <s v="DK1_Small"/>
    <x v="1"/>
    <s v="GNR_BO_MSW_E-105"/>
    <x v="0"/>
    <x v="10"/>
    <n v="35.9"/>
    <n v="13103.5"/>
    <n v="47172.6"/>
  </r>
  <r>
    <x v="0"/>
    <x v="0"/>
    <x v="0"/>
    <x v="0"/>
    <x v="0"/>
    <s v="DK1_Small"/>
    <x v="1"/>
    <s v="GNR_BO_MSW_E-105"/>
    <x v="0"/>
    <x v="11"/>
    <n v="35.9"/>
    <n v="13103.5"/>
    <n v="47172.6"/>
  </r>
  <r>
    <x v="0"/>
    <x v="0"/>
    <x v="0"/>
    <x v="0"/>
    <x v="0"/>
    <s v="DK1_Small"/>
    <x v="1"/>
    <s v="GNR_BO_MSW_E-105"/>
    <x v="0"/>
    <x v="12"/>
    <n v="35.9"/>
    <n v="13103.5"/>
    <n v="47172.6"/>
  </r>
  <r>
    <x v="0"/>
    <x v="0"/>
    <x v="0"/>
    <x v="0"/>
    <x v="0"/>
    <s v="DK1_Small"/>
    <x v="1"/>
    <s v="GNR_BO_MSW_E-105"/>
    <x v="0"/>
    <x v="13"/>
    <n v="35.9"/>
    <n v="13103.5"/>
    <n v="47172.6"/>
  </r>
  <r>
    <x v="0"/>
    <x v="0"/>
    <x v="0"/>
    <x v="0"/>
    <x v="0"/>
    <s v="DK1_Small"/>
    <x v="1"/>
    <s v="GNR_BO_MSW_E-105"/>
    <x v="0"/>
    <x v="14"/>
    <n v="35.9"/>
    <n v="13103.5"/>
    <n v="47172.6"/>
  </r>
  <r>
    <x v="0"/>
    <x v="0"/>
    <x v="0"/>
    <x v="0"/>
    <x v="0"/>
    <s v="DK1_Small"/>
    <x v="1"/>
    <s v="GNR_BO_MSW_E-105"/>
    <x v="0"/>
    <x v="15"/>
    <n v="35.9"/>
    <n v="13103.5"/>
    <n v="47172.6"/>
  </r>
  <r>
    <x v="0"/>
    <x v="0"/>
    <x v="0"/>
    <x v="0"/>
    <x v="0"/>
    <s v="DK1_Small"/>
    <x v="1"/>
    <s v="GNR_BO_MSW_E-105"/>
    <x v="0"/>
    <x v="16"/>
    <n v="35.9"/>
    <n v="13103.5"/>
    <n v="47172.6"/>
  </r>
  <r>
    <x v="0"/>
    <x v="0"/>
    <x v="0"/>
    <x v="0"/>
    <x v="0"/>
    <s v="DK1_Small"/>
    <x v="1"/>
    <s v="GNR_BO_MSW_E-105"/>
    <x v="0"/>
    <x v="17"/>
    <n v="35.9"/>
    <n v="13103.5"/>
    <n v="47172.6"/>
  </r>
  <r>
    <x v="0"/>
    <x v="0"/>
    <x v="0"/>
    <x v="0"/>
    <x v="0"/>
    <s v="DK1_Small"/>
    <x v="1"/>
    <s v="GNR_BO_MSW_E-105"/>
    <x v="0"/>
    <x v="18"/>
    <n v="35.9"/>
    <n v="13103.5"/>
    <n v="47172.6"/>
  </r>
  <r>
    <x v="0"/>
    <x v="0"/>
    <x v="0"/>
    <x v="0"/>
    <x v="0"/>
    <s v="DK1_Small"/>
    <x v="1"/>
    <s v="GNR_BO_MSW_E-105"/>
    <x v="0"/>
    <x v="19"/>
    <n v="35.9"/>
    <n v="13103.5"/>
    <n v="47172.6"/>
  </r>
  <r>
    <x v="0"/>
    <x v="0"/>
    <x v="0"/>
    <x v="0"/>
    <x v="0"/>
    <s v="DK1_Small"/>
    <x v="1"/>
    <s v="GNR_BO_MSW_E-105"/>
    <x v="0"/>
    <x v="20"/>
    <n v="35.9"/>
    <n v="13103.5"/>
    <n v="47172.6"/>
  </r>
  <r>
    <x v="0"/>
    <x v="0"/>
    <x v="0"/>
    <x v="0"/>
    <x v="0"/>
    <s v="DK1_Small"/>
    <x v="1"/>
    <s v="GNR_BO_MSW_E-105"/>
    <x v="0"/>
    <x v="21"/>
    <n v="34.167991343882299"/>
    <n v="12471.316840517"/>
    <n v="44896.740625861297"/>
  </r>
  <r>
    <x v="0"/>
    <x v="0"/>
    <x v="0"/>
    <x v="0"/>
    <x v="0"/>
    <s v="DK1_Small"/>
    <x v="1"/>
    <s v="GNR_BO_MSW_E-105"/>
    <x v="0"/>
    <x v="22"/>
    <n v="33.854492306017598"/>
    <n v="12356.8896916964"/>
    <n v="44484.802890107101"/>
  </r>
  <r>
    <x v="0"/>
    <x v="0"/>
    <x v="0"/>
    <x v="0"/>
    <x v="0"/>
    <s v="DK1_Small"/>
    <x v="1"/>
    <s v="GNR_BO_MSW_E-105"/>
    <x v="0"/>
    <x v="23"/>
    <n v="33.070744711355999"/>
    <n v="12070.8218196449"/>
    <n v="43454.958550721698"/>
  </r>
  <r>
    <x v="0"/>
    <x v="0"/>
    <x v="0"/>
    <x v="0"/>
    <x v="0"/>
    <s v="DK1_Small"/>
    <x v="2"/>
    <s v="GNR_EH_HEAT"/>
    <x v="0"/>
    <x v="0"/>
    <n v="14"/>
    <n v="5110"/>
    <n v="18396"/>
  </r>
  <r>
    <x v="0"/>
    <x v="0"/>
    <x v="0"/>
    <x v="0"/>
    <x v="0"/>
    <s v="DK1_Small"/>
    <x v="2"/>
    <s v="GNR_EH_HEAT"/>
    <x v="0"/>
    <x v="1"/>
    <n v="14"/>
    <n v="5110"/>
    <n v="18396"/>
  </r>
  <r>
    <x v="0"/>
    <x v="0"/>
    <x v="0"/>
    <x v="0"/>
    <x v="0"/>
    <s v="DK1_Small"/>
    <x v="2"/>
    <s v="GNR_EH_HEAT"/>
    <x v="0"/>
    <x v="2"/>
    <n v="14"/>
    <n v="5110"/>
    <n v="18396"/>
  </r>
  <r>
    <x v="0"/>
    <x v="0"/>
    <x v="0"/>
    <x v="0"/>
    <x v="0"/>
    <s v="DK1_Small"/>
    <x v="2"/>
    <s v="GNR_EH_HEAT"/>
    <x v="0"/>
    <x v="3"/>
    <n v="14"/>
    <n v="5110"/>
    <n v="18396"/>
  </r>
  <r>
    <x v="0"/>
    <x v="0"/>
    <x v="0"/>
    <x v="0"/>
    <x v="0"/>
    <s v="DK1_Small"/>
    <x v="2"/>
    <s v="GNR_EH_HEAT"/>
    <x v="0"/>
    <x v="4"/>
    <n v="14"/>
    <n v="5110"/>
    <n v="18396"/>
  </r>
  <r>
    <x v="0"/>
    <x v="0"/>
    <x v="0"/>
    <x v="0"/>
    <x v="0"/>
    <s v="DK1_Small"/>
    <x v="2"/>
    <s v="GNR_EH_HEAT"/>
    <x v="0"/>
    <x v="5"/>
    <n v="14"/>
    <n v="5110"/>
    <n v="18396"/>
  </r>
  <r>
    <x v="0"/>
    <x v="0"/>
    <x v="0"/>
    <x v="0"/>
    <x v="0"/>
    <s v="DK1_Small"/>
    <x v="2"/>
    <s v="GNR_EH_HEAT"/>
    <x v="0"/>
    <x v="6"/>
    <n v="14"/>
    <n v="5110"/>
    <n v="18396"/>
  </r>
  <r>
    <x v="0"/>
    <x v="0"/>
    <x v="0"/>
    <x v="0"/>
    <x v="0"/>
    <s v="DK1_Small"/>
    <x v="2"/>
    <s v="GNR_EH_HEAT"/>
    <x v="0"/>
    <x v="7"/>
    <n v="14"/>
    <n v="5110"/>
    <n v="18396"/>
  </r>
  <r>
    <x v="0"/>
    <x v="0"/>
    <x v="0"/>
    <x v="0"/>
    <x v="0"/>
    <s v="DK1_Small"/>
    <x v="2"/>
    <s v="GNR_EH_HEAT"/>
    <x v="0"/>
    <x v="8"/>
    <n v="14"/>
    <n v="5110"/>
    <n v="18396"/>
  </r>
  <r>
    <x v="0"/>
    <x v="0"/>
    <x v="0"/>
    <x v="0"/>
    <x v="0"/>
    <s v="DK1_Small"/>
    <x v="2"/>
    <s v="GNR_EH_HEAT"/>
    <x v="0"/>
    <x v="9"/>
    <n v="14"/>
    <n v="5110"/>
    <n v="18396"/>
  </r>
  <r>
    <x v="0"/>
    <x v="0"/>
    <x v="0"/>
    <x v="0"/>
    <x v="0"/>
    <s v="DK1_Small"/>
    <x v="2"/>
    <s v="GNR_EH_HEAT"/>
    <x v="0"/>
    <x v="10"/>
    <n v="14"/>
    <n v="5110"/>
    <n v="18396"/>
  </r>
  <r>
    <x v="0"/>
    <x v="0"/>
    <x v="0"/>
    <x v="0"/>
    <x v="0"/>
    <s v="DK1_Small"/>
    <x v="2"/>
    <s v="GNR_EH_HEAT"/>
    <x v="0"/>
    <x v="11"/>
    <n v="14"/>
    <n v="5110"/>
    <n v="18396"/>
  </r>
  <r>
    <x v="0"/>
    <x v="0"/>
    <x v="0"/>
    <x v="0"/>
    <x v="0"/>
    <s v="DK1_Small"/>
    <x v="2"/>
    <s v="GNR_EH_HEAT"/>
    <x v="0"/>
    <x v="12"/>
    <n v="14"/>
    <n v="5110"/>
    <n v="18396"/>
  </r>
  <r>
    <x v="0"/>
    <x v="0"/>
    <x v="0"/>
    <x v="0"/>
    <x v="0"/>
    <s v="DK1_Small"/>
    <x v="2"/>
    <s v="GNR_EH_HEAT"/>
    <x v="0"/>
    <x v="13"/>
    <n v="14"/>
    <n v="5110"/>
    <n v="18396"/>
  </r>
  <r>
    <x v="0"/>
    <x v="0"/>
    <x v="0"/>
    <x v="0"/>
    <x v="0"/>
    <s v="DK1_Small"/>
    <x v="2"/>
    <s v="GNR_EH_HEAT"/>
    <x v="0"/>
    <x v="14"/>
    <n v="14"/>
    <n v="5110"/>
    <n v="18396"/>
  </r>
  <r>
    <x v="0"/>
    <x v="0"/>
    <x v="0"/>
    <x v="0"/>
    <x v="0"/>
    <s v="DK1_Small"/>
    <x v="2"/>
    <s v="GNR_EH_HEAT"/>
    <x v="0"/>
    <x v="15"/>
    <n v="14"/>
    <n v="5110"/>
    <n v="18396"/>
  </r>
  <r>
    <x v="0"/>
    <x v="0"/>
    <x v="0"/>
    <x v="0"/>
    <x v="0"/>
    <s v="DK1_Small"/>
    <x v="2"/>
    <s v="GNR_EH_HEAT"/>
    <x v="0"/>
    <x v="16"/>
    <n v="14"/>
    <n v="5110"/>
    <n v="18396"/>
  </r>
  <r>
    <x v="0"/>
    <x v="0"/>
    <x v="0"/>
    <x v="0"/>
    <x v="0"/>
    <s v="DK1_Small"/>
    <x v="2"/>
    <s v="GNR_EH_HEAT"/>
    <x v="0"/>
    <x v="17"/>
    <n v="14"/>
    <n v="5110"/>
    <n v="18396"/>
  </r>
  <r>
    <x v="0"/>
    <x v="0"/>
    <x v="0"/>
    <x v="0"/>
    <x v="0"/>
    <s v="DK1_Small"/>
    <x v="2"/>
    <s v="GNR_EH_HEAT"/>
    <x v="0"/>
    <x v="18"/>
    <n v="14"/>
    <n v="5110"/>
    <n v="18396"/>
  </r>
  <r>
    <x v="0"/>
    <x v="0"/>
    <x v="0"/>
    <x v="0"/>
    <x v="0"/>
    <s v="DK1_Small"/>
    <x v="2"/>
    <s v="GNR_EH_HEAT"/>
    <x v="0"/>
    <x v="19"/>
    <n v="14"/>
    <n v="5110"/>
    <n v="18396"/>
  </r>
  <r>
    <x v="0"/>
    <x v="0"/>
    <x v="0"/>
    <x v="0"/>
    <x v="0"/>
    <s v="DK1_Small"/>
    <x v="2"/>
    <s v="GNR_EH_HEAT"/>
    <x v="0"/>
    <x v="20"/>
    <n v="14"/>
    <n v="5110"/>
    <n v="18396"/>
  </r>
  <r>
    <x v="0"/>
    <x v="0"/>
    <x v="0"/>
    <x v="0"/>
    <x v="0"/>
    <s v="DK1_Small"/>
    <x v="2"/>
    <s v="GNR_EH_HEAT"/>
    <x v="0"/>
    <x v="21"/>
    <n v="14"/>
    <n v="5110"/>
    <n v="18396"/>
  </r>
  <r>
    <x v="0"/>
    <x v="0"/>
    <x v="0"/>
    <x v="0"/>
    <x v="0"/>
    <s v="DK1_Small"/>
    <x v="2"/>
    <s v="GNR_EH_HEAT"/>
    <x v="0"/>
    <x v="22"/>
    <n v="14"/>
    <n v="5110"/>
    <n v="18396"/>
  </r>
  <r>
    <x v="0"/>
    <x v="0"/>
    <x v="0"/>
    <x v="0"/>
    <x v="0"/>
    <s v="DK1_Small"/>
    <x v="2"/>
    <s v="GNR_EH_HEAT"/>
    <x v="0"/>
    <x v="23"/>
    <n v="14"/>
    <n v="5110"/>
    <n v="18396"/>
  </r>
  <r>
    <x v="0"/>
    <x v="0"/>
    <x v="0"/>
    <x v="0"/>
    <x v="0"/>
    <s v="DK1_Small"/>
    <x v="7"/>
    <s v="GNR_BO_WOODWST_E-100"/>
    <x v="0"/>
    <x v="0"/>
    <n v="1.75"/>
    <n v="638.75"/>
    <n v="2299.5"/>
  </r>
  <r>
    <x v="0"/>
    <x v="0"/>
    <x v="0"/>
    <x v="0"/>
    <x v="0"/>
    <s v="DK1_Small"/>
    <x v="7"/>
    <s v="GNR_BO_WOODWST_E-100"/>
    <x v="0"/>
    <x v="1"/>
    <n v="1.75"/>
    <n v="638.75"/>
    <n v="2299.5"/>
  </r>
  <r>
    <x v="0"/>
    <x v="0"/>
    <x v="0"/>
    <x v="0"/>
    <x v="0"/>
    <s v="DK1_Small"/>
    <x v="7"/>
    <s v="GNR_BO_WOODWST_E-100"/>
    <x v="0"/>
    <x v="2"/>
    <n v="1.75"/>
    <n v="638.75"/>
    <n v="2299.5"/>
  </r>
  <r>
    <x v="0"/>
    <x v="0"/>
    <x v="0"/>
    <x v="0"/>
    <x v="0"/>
    <s v="DK1_Small"/>
    <x v="7"/>
    <s v="GNR_BO_WOODWST_E-100"/>
    <x v="0"/>
    <x v="3"/>
    <n v="1.75"/>
    <n v="638.75"/>
    <n v="2299.5"/>
  </r>
  <r>
    <x v="0"/>
    <x v="0"/>
    <x v="0"/>
    <x v="0"/>
    <x v="0"/>
    <s v="DK1_Small"/>
    <x v="7"/>
    <s v="GNR_BO_WOODWST_E-100"/>
    <x v="0"/>
    <x v="4"/>
    <n v="1.75"/>
    <n v="638.75"/>
    <n v="2299.5"/>
  </r>
  <r>
    <x v="0"/>
    <x v="0"/>
    <x v="0"/>
    <x v="0"/>
    <x v="0"/>
    <s v="DK1_Small"/>
    <x v="7"/>
    <s v="GNR_BO_WOODWST_E-100"/>
    <x v="0"/>
    <x v="5"/>
    <n v="1.75"/>
    <n v="638.75"/>
    <n v="2299.5"/>
  </r>
  <r>
    <x v="0"/>
    <x v="0"/>
    <x v="0"/>
    <x v="0"/>
    <x v="0"/>
    <s v="DK1_Small"/>
    <x v="7"/>
    <s v="GNR_BO_WOODWST_E-100"/>
    <x v="0"/>
    <x v="6"/>
    <n v="1.75"/>
    <n v="638.75"/>
    <n v="2299.5"/>
  </r>
  <r>
    <x v="0"/>
    <x v="0"/>
    <x v="0"/>
    <x v="0"/>
    <x v="0"/>
    <s v="DK1_Small"/>
    <x v="7"/>
    <s v="GNR_BO_WOODWST_E-100"/>
    <x v="0"/>
    <x v="7"/>
    <n v="1.75"/>
    <n v="638.75"/>
    <n v="2299.5"/>
  </r>
  <r>
    <x v="0"/>
    <x v="0"/>
    <x v="0"/>
    <x v="0"/>
    <x v="0"/>
    <s v="DK1_Small"/>
    <x v="7"/>
    <s v="GNR_BO_WOODWST_E-100"/>
    <x v="0"/>
    <x v="8"/>
    <n v="1.75"/>
    <n v="638.75"/>
    <n v="2299.5"/>
  </r>
  <r>
    <x v="0"/>
    <x v="0"/>
    <x v="0"/>
    <x v="0"/>
    <x v="0"/>
    <s v="DK1_Small"/>
    <x v="7"/>
    <s v="GNR_BO_WOODWST_E-100"/>
    <x v="0"/>
    <x v="9"/>
    <n v="1.75"/>
    <n v="638.75"/>
    <n v="2299.5"/>
  </r>
  <r>
    <x v="0"/>
    <x v="0"/>
    <x v="0"/>
    <x v="0"/>
    <x v="0"/>
    <s v="DK1_Small"/>
    <x v="7"/>
    <s v="GNR_BO_WOODWST_E-100"/>
    <x v="0"/>
    <x v="10"/>
    <n v="1.75"/>
    <n v="638.75"/>
    <n v="2299.5"/>
  </r>
  <r>
    <x v="0"/>
    <x v="0"/>
    <x v="0"/>
    <x v="0"/>
    <x v="0"/>
    <s v="DK1_Small"/>
    <x v="7"/>
    <s v="GNR_BO_WOODWST_E-100"/>
    <x v="0"/>
    <x v="11"/>
    <n v="1.75"/>
    <n v="638.75"/>
    <n v="2299.5"/>
  </r>
  <r>
    <x v="0"/>
    <x v="0"/>
    <x v="0"/>
    <x v="0"/>
    <x v="0"/>
    <s v="DK1_Small"/>
    <x v="7"/>
    <s v="GNR_BO_WOODWST_E-100"/>
    <x v="0"/>
    <x v="12"/>
    <n v="1.75"/>
    <n v="638.75"/>
    <n v="2299.5"/>
  </r>
  <r>
    <x v="0"/>
    <x v="0"/>
    <x v="0"/>
    <x v="0"/>
    <x v="0"/>
    <s v="DK1_Small"/>
    <x v="7"/>
    <s v="GNR_BO_WOODWST_E-100"/>
    <x v="0"/>
    <x v="13"/>
    <n v="1.75"/>
    <n v="638.75"/>
    <n v="2299.5"/>
  </r>
  <r>
    <x v="0"/>
    <x v="0"/>
    <x v="0"/>
    <x v="0"/>
    <x v="0"/>
    <s v="DK1_Small"/>
    <x v="7"/>
    <s v="GNR_BO_WOODWST_E-100"/>
    <x v="0"/>
    <x v="14"/>
    <n v="1.75"/>
    <n v="638.75"/>
    <n v="2299.5"/>
  </r>
  <r>
    <x v="0"/>
    <x v="0"/>
    <x v="0"/>
    <x v="0"/>
    <x v="0"/>
    <s v="DK1_Small"/>
    <x v="7"/>
    <s v="GNR_BO_WOODWST_E-100"/>
    <x v="0"/>
    <x v="15"/>
    <n v="1.75"/>
    <n v="638.75"/>
    <n v="2299.5"/>
  </r>
  <r>
    <x v="0"/>
    <x v="0"/>
    <x v="0"/>
    <x v="0"/>
    <x v="0"/>
    <s v="DK1_Small"/>
    <x v="7"/>
    <s v="GNR_BO_WOODWST_E-100"/>
    <x v="0"/>
    <x v="16"/>
    <n v="1.75"/>
    <n v="638.75"/>
    <n v="2299.5"/>
  </r>
  <r>
    <x v="0"/>
    <x v="0"/>
    <x v="0"/>
    <x v="0"/>
    <x v="0"/>
    <s v="DK1_Small"/>
    <x v="7"/>
    <s v="GNR_BO_WOODWST_E-100"/>
    <x v="0"/>
    <x v="17"/>
    <n v="1.75"/>
    <n v="638.75"/>
    <n v="2299.5"/>
  </r>
  <r>
    <x v="0"/>
    <x v="0"/>
    <x v="0"/>
    <x v="0"/>
    <x v="0"/>
    <s v="DK1_Small"/>
    <x v="7"/>
    <s v="GNR_BO_WOODWST_E-100"/>
    <x v="0"/>
    <x v="18"/>
    <n v="1.75"/>
    <n v="638.75"/>
    <n v="2299.5"/>
  </r>
  <r>
    <x v="0"/>
    <x v="0"/>
    <x v="0"/>
    <x v="0"/>
    <x v="0"/>
    <s v="DK1_Small"/>
    <x v="7"/>
    <s v="GNR_BO_WOODWST_E-100"/>
    <x v="0"/>
    <x v="19"/>
    <n v="1.75"/>
    <n v="638.75"/>
    <n v="2299.5"/>
  </r>
  <r>
    <x v="0"/>
    <x v="0"/>
    <x v="0"/>
    <x v="0"/>
    <x v="0"/>
    <s v="DK1_Small"/>
    <x v="7"/>
    <s v="GNR_BO_WOODWST_E-100"/>
    <x v="0"/>
    <x v="20"/>
    <n v="1.75"/>
    <n v="638.75"/>
    <n v="2299.5"/>
  </r>
  <r>
    <x v="0"/>
    <x v="0"/>
    <x v="0"/>
    <x v="0"/>
    <x v="0"/>
    <s v="DK1_Small"/>
    <x v="7"/>
    <s v="GNR_BO_WOODWST_E-100"/>
    <x v="0"/>
    <x v="21"/>
    <n v="1.75"/>
    <n v="638.75"/>
    <n v="2299.5"/>
  </r>
  <r>
    <x v="0"/>
    <x v="0"/>
    <x v="0"/>
    <x v="0"/>
    <x v="0"/>
    <s v="DK1_Small"/>
    <x v="7"/>
    <s v="GNR_BO_WOODWST_E-100"/>
    <x v="0"/>
    <x v="22"/>
    <n v="1.75"/>
    <n v="638.75"/>
    <n v="2299.5"/>
  </r>
  <r>
    <x v="0"/>
    <x v="0"/>
    <x v="0"/>
    <x v="0"/>
    <x v="0"/>
    <s v="DK1_Small"/>
    <x v="7"/>
    <s v="GNR_BO_WOODWST_E-100"/>
    <x v="0"/>
    <x v="23"/>
    <n v="1.75"/>
    <n v="638.75"/>
    <n v="2299.5"/>
  </r>
  <r>
    <x v="0"/>
    <x v="0"/>
    <x v="0"/>
    <x v="0"/>
    <x v="0"/>
    <s v="DK1_Small"/>
    <x v="7"/>
    <s v="GNR_BO_WOODWST_E-89"/>
    <x v="0"/>
    <x v="0"/>
    <n v="1.778"/>
    <n v="648.97"/>
    <n v="2336.2919999999999"/>
  </r>
  <r>
    <x v="0"/>
    <x v="0"/>
    <x v="0"/>
    <x v="0"/>
    <x v="0"/>
    <s v="DK1_Small"/>
    <x v="7"/>
    <s v="GNR_BO_WOODWST_E-89"/>
    <x v="0"/>
    <x v="1"/>
    <n v="1.778"/>
    <n v="648.97"/>
    <n v="2336.2919999999999"/>
  </r>
  <r>
    <x v="0"/>
    <x v="0"/>
    <x v="0"/>
    <x v="0"/>
    <x v="0"/>
    <s v="DK1_Small"/>
    <x v="7"/>
    <s v="GNR_BO_WOODWST_E-89"/>
    <x v="0"/>
    <x v="2"/>
    <n v="1.778"/>
    <n v="648.97"/>
    <n v="2336.2919999999999"/>
  </r>
  <r>
    <x v="0"/>
    <x v="0"/>
    <x v="0"/>
    <x v="0"/>
    <x v="0"/>
    <s v="DK1_Small"/>
    <x v="7"/>
    <s v="GNR_BO_WOODWST_E-89"/>
    <x v="0"/>
    <x v="3"/>
    <n v="1.778"/>
    <n v="648.97"/>
    <n v="2336.2919999999999"/>
  </r>
  <r>
    <x v="0"/>
    <x v="0"/>
    <x v="0"/>
    <x v="0"/>
    <x v="0"/>
    <s v="DK1_Small"/>
    <x v="7"/>
    <s v="GNR_BO_WOODWST_E-89"/>
    <x v="0"/>
    <x v="4"/>
    <n v="1.778"/>
    <n v="648.97"/>
    <n v="2336.2919999999999"/>
  </r>
  <r>
    <x v="0"/>
    <x v="0"/>
    <x v="0"/>
    <x v="0"/>
    <x v="0"/>
    <s v="DK1_Small"/>
    <x v="7"/>
    <s v="GNR_BO_WOODWST_E-89"/>
    <x v="0"/>
    <x v="5"/>
    <n v="1.778"/>
    <n v="648.97"/>
    <n v="2336.2919999999999"/>
  </r>
  <r>
    <x v="0"/>
    <x v="0"/>
    <x v="0"/>
    <x v="0"/>
    <x v="0"/>
    <s v="DK1_Small"/>
    <x v="7"/>
    <s v="GNR_BO_WOODWST_E-89"/>
    <x v="0"/>
    <x v="6"/>
    <n v="1.778"/>
    <n v="648.97"/>
    <n v="2336.2919999999999"/>
  </r>
  <r>
    <x v="0"/>
    <x v="0"/>
    <x v="0"/>
    <x v="0"/>
    <x v="0"/>
    <s v="DK1_Small"/>
    <x v="7"/>
    <s v="GNR_BO_WOODWST_E-89"/>
    <x v="0"/>
    <x v="7"/>
    <n v="1.778"/>
    <n v="648.97"/>
    <n v="2336.2919999999999"/>
  </r>
  <r>
    <x v="0"/>
    <x v="0"/>
    <x v="0"/>
    <x v="0"/>
    <x v="0"/>
    <s v="DK1_Small"/>
    <x v="7"/>
    <s v="GNR_BO_WOODWST_E-89"/>
    <x v="0"/>
    <x v="8"/>
    <n v="1.778"/>
    <n v="648.97"/>
    <n v="2336.2919999999999"/>
  </r>
  <r>
    <x v="0"/>
    <x v="0"/>
    <x v="0"/>
    <x v="0"/>
    <x v="0"/>
    <s v="DK1_Small"/>
    <x v="7"/>
    <s v="GNR_BO_WOODWST_E-89"/>
    <x v="0"/>
    <x v="9"/>
    <n v="1.778"/>
    <n v="648.97"/>
    <n v="2336.2919999999999"/>
  </r>
  <r>
    <x v="0"/>
    <x v="0"/>
    <x v="0"/>
    <x v="0"/>
    <x v="0"/>
    <s v="DK1_Small"/>
    <x v="7"/>
    <s v="GNR_BO_WOODWST_E-89"/>
    <x v="0"/>
    <x v="10"/>
    <n v="1.778"/>
    <n v="648.97"/>
    <n v="2336.2919999999999"/>
  </r>
  <r>
    <x v="0"/>
    <x v="0"/>
    <x v="0"/>
    <x v="0"/>
    <x v="0"/>
    <s v="DK1_Small"/>
    <x v="7"/>
    <s v="GNR_BO_WOODWST_E-89"/>
    <x v="0"/>
    <x v="11"/>
    <n v="1.778"/>
    <n v="648.97"/>
    <n v="2336.2919999999999"/>
  </r>
  <r>
    <x v="0"/>
    <x v="0"/>
    <x v="0"/>
    <x v="0"/>
    <x v="0"/>
    <s v="DK1_Small"/>
    <x v="7"/>
    <s v="GNR_BO_WOODWST_E-89"/>
    <x v="0"/>
    <x v="12"/>
    <n v="1.778"/>
    <n v="648.97"/>
    <n v="2336.2919999999999"/>
  </r>
  <r>
    <x v="0"/>
    <x v="0"/>
    <x v="0"/>
    <x v="0"/>
    <x v="0"/>
    <s v="DK1_Small"/>
    <x v="7"/>
    <s v="GNR_BO_WOODWST_E-89"/>
    <x v="0"/>
    <x v="13"/>
    <n v="1.778"/>
    <n v="648.97"/>
    <n v="2336.2919999999999"/>
  </r>
  <r>
    <x v="0"/>
    <x v="0"/>
    <x v="0"/>
    <x v="0"/>
    <x v="0"/>
    <s v="DK1_Small"/>
    <x v="7"/>
    <s v="GNR_BO_WOODWST_E-89"/>
    <x v="0"/>
    <x v="14"/>
    <n v="1.778"/>
    <n v="648.97"/>
    <n v="2336.2919999999999"/>
  </r>
  <r>
    <x v="0"/>
    <x v="0"/>
    <x v="0"/>
    <x v="0"/>
    <x v="0"/>
    <s v="DK1_Small"/>
    <x v="7"/>
    <s v="GNR_BO_WOODWST_E-89"/>
    <x v="0"/>
    <x v="15"/>
    <n v="1.778"/>
    <n v="648.97"/>
    <n v="2336.2919999999999"/>
  </r>
  <r>
    <x v="0"/>
    <x v="0"/>
    <x v="0"/>
    <x v="0"/>
    <x v="0"/>
    <s v="DK1_Small"/>
    <x v="7"/>
    <s v="GNR_BO_WOODWST_E-89"/>
    <x v="0"/>
    <x v="16"/>
    <n v="1.778"/>
    <n v="648.97"/>
    <n v="2336.2919999999999"/>
  </r>
  <r>
    <x v="0"/>
    <x v="0"/>
    <x v="0"/>
    <x v="0"/>
    <x v="0"/>
    <s v="DK1_Small"/>
    <x v="7"/>
    <s v="GNR_BO_WOODWST_E-89"/>
    <x v="0"/>
    <x v="17"/>
    <n v="1.778"/>
    <n v="648.97"/>
    <n v="2336.2919999999999"/>
  </r>
  <r>
    <x v="0"/>
    <x v="0"/>
    <x v="0"/>
    <x v="0"/>
    <x v="0"/>
    <s v="DK1_Small"/>
    <x v="7"/>
    <s v="GNR_BO_WOODWST_E-89"/>
    <x v="0"/>
    <x v="18"/>
    <n v="1.778"/>
    <n v="648.97"/>
    <n v="2336.2919999999999"/>
  </r>
  <r>
    <x v="0"/>
    <x v="0"/>
    <x v="0"/>
    <x v="0"/>
    <x v="0"/>
    <s v="DK1_Small"/>
    <x v="7"/>
    <s v="GNR_BO_WOODWST_E-89"/>
    <x v="0"/>
    <x v="19"/>
    <n v="1.778"/>
    <n v="648.97"/>
    <n v="2336.2919999999999"/>
  </r>
  <r>
    <x v="0"/>
    <x v="0"/>
    <x v="0"/>
    <x v="0"/>
    <x v="0"/>
    <s v="DK1_Small"/>
    <x v="7"/>
    <s v="GNR_BO_WOODWST_E-89"/>
    <x v="0"/>
    <x v="20"/>
    <n v="1.778"/>
    <n v="648.97"/>
    <n v="2336.2919999999999"/>
  </r>
  <r>
    <x v="0"/>
    <x v="0"/>
    <x v="0"/>
    <x v="0"/>
    <x v="0"/>
    <s v="DK1_Small"/>
    <x v="7"/>
    <s v="GNR_BO_WOODWST_E-89"/>
    <x v="0"/>
    <x v="21"/>
    <n v="1.778"/>
    <n v="648.97"/>
    <n v="2336.2919999999999"/>
  </r>
  <r>
    <x v="0"/>
    <x v="0"/>
    <x v="0"/>
    <x v="0"/>
    <x v="0"/>
    <s v="DK1_Small"/>
    <x v="7"/>
    <s v="GNR_BO_WOODWST_E-89"/>
    <x v="0"/>
    <x v="22"/>
    <n v="1.778"/>
    <n v="648.97"/>
    <n v="2336.2919999999999"/>
  </r>
  <r>
    <x v="0"/>
    <x v="0"/>
    <x v="0"/>
    <x v="0"/>
    <x v="0"/>
    <s v="DK1_Small"/>
    <x v="7"/>
    <s v="GNR_BO_WOODWST_E-89"/>
    <x v="0"/>
    <x v="23"/>
    <n v="1.778"/>
    <n v="648.97"/>
    <n v="2336.2919999999999"/>
  </r>
  <r>
    <x v="0"/>
    <x v="0"/>
    <x v="0"/>
    <x v="0"/>
    <x v="0"/>
    <s v="DK2_Rural"/>
    <x v="0"/>
    <s v="GNR_ST_COAL_BP_E-35"/>
    <x v="0"/>
    <x v="0"/>
    <n v="49.3333333333333"/>
    <n v="18006.666666666701"/>
    <n v="64824"/>
  </r>
  <r>
    <x v="0"/>
    <x v="0"/>
    <x v="0"/>
    <x v="0"/>
    <x v="0"/>
    <s v="DK2_Rural"/>
    <x v="0"/>
    <s v="GNR_ST_COAL_BP_E-35"/>
    <x v="0"/>
    <x v="1"/>
    <n v="49.3333333333333"/>
    <n v="18006.666666666701"/>
    <n v="64824"/>
  </r>
  <r>
    <x v="0"/>
    <x v="0"/>
    <x v="0"/>
    <x v="0"/>
    <x v="0"/>
    <s v="DK2_Rural"/>
    <x v="0"/>
    <s v="GNR_ST_COAL_BP_E-35"/>
    <x v="0"/>
    <x v="2"/>
    <n v="49.3333333333333"/>
    <n v="18006.666666666701"/>
    <n v="64824"/>
  </r>
  <r>
    <x v="0"/>
    <x v="0"/>
    <x v="0"/>
    <x v="0"/>
    <x v="0"/>
    <s v="DK2_Rural"/>
    <x v="0"/>
    <s v="GNR_ST_COAL_BP_E-35"/>
    <x v="0"/>
    <x v="3"/>
    <n v="49.3333333333333"/>
    <n v="18006.666666666701"/>
    <n v="64824"/>
  </r>
  <r>
    <x v="0"/>
    <x v="0"/>
    <x v="0"/>
    <x v="0"/>
    <x v="0"/>
    <s v="DK2_Rural"/>
    <x v="0"/>
    <s v="GNR_ST_COAL_BP_E-35"/>
    <x v="0"/>
    <x v="4"/>
    <n v="49.3333333333333"/>
    <n v="18006.666666666701"/>
    <n v="64824"/>
  </r>
  <r>
    <x v="0"/>
    <x v="0"/>
    <x v="0"/>
    <x v="0"/>
    <x v="0"/>
    <s v="DK2_Rural"/>
    <x v="0"/>
    <s v="GNR_ST_COAL_BP_E-35"/>
    <x v="0"/>
    <x v="5"/>
    <n v="49.3333333333333"/>
    <n v="18006.666666666701"/>
    <n v="64824"/>
  </r>
  <r>
    <x v="0"/>
    <x v="0"/>
    <x v="0"/>
    <x v="0"/>
    <x v="0"/>
    <s v="DK2_Rural"/>
    <x v="0"/>
    <s v="GNR_ST_COAL_BP_E-35"/>
    <x v="0"/>
    <x v="6"/>
    <n v="49.3333333333333"/>
    <n v="18006.666666666701"/>
    <n v="64824"/>
  </r>
  <r>
    <x v="0"/>
    <x v="0"/>
    <x v="0"/>
    <x v="0"/>
    <x v="0"/>
    <s v="DK2_Rural"/>
    <x v="0"/>
    <s v="GNR_ST_COAL_BP_E-35"/>
    <x v="0"/>
    <x v="7"/>
    <n v="49.3333333333333"/>
    <n v="18006.666666666701"/>
    <n v="64824"/>
  </r>
  <r>
    <x v="0"/>
    <x v="0"/>
    <x v="0"/>
    <x v="0"/>
    <x v="0"/>
    <s v="DK2_Rural"/>
    <x v="0"/>
    <s v="GNR_ST_COAL_BP_E-35"/>
    <x v="0"/>
    <x v="8"/>
    <n v="49.3333333333333"/>
    <n v="18006.666666666701"/>
    <n v="64824"/>
  </r>
  <r>
    <x v="0"/>
    <x v="0"/>
    <x v="0"/>
    <x v="0"/>
    <x v="0"/>
    <s v="DK2_Rural"/>
    <x v="0"/>
    <s v="GNR_ST_COAL_BP_E-35"/>
    <x v="0"/>
    <x v="9"/>
    <n v="49.3333333333333"/>
    <n v="18006.666666666701"/>
    <n v="64824"/>
  </r>
  <r>
    <x v="0"/>
    <x v="0"/>
    <x v="0"/>
    <x v="0"/>
    <x v="0"/>
    <s v="DK2_Rural"/>
    <x v="0"/>
    <s v="GNR_ST_COAL_BP_E-35"/>
    <x v="0"/>
    <x v="10"/>
    <n v="49.3333333333333"/>
    <n v="18006.666666666701"/>
    <n v="64824"/>
  </r>
  <r>
    <x v="0"/>
    <x v="0"/>
    <x v="0"/>
    <x v="0"/>
    <x v="0"/>
    <s v="DK2_Rural"/>
    <x v="0"/>
    <s v="GNR_ST_COAL_BP_E-35"/>
    <x v="0"/>
    <x v="11"/>
    <n v="49.3333333333333"/>
    <n v="18006.666666666701"/>
    <n v="64824"/>
  </r>
  <r>
    <x v="0"/>
    <x v="0"/>
    <x v="0"/>
    <x v="0"/>
    <x v="0"/>
    <s v="DK2_Rural"/>
    <x v="0"/>
    <s v="GNR_ST_COAL_BP_E-35"/>
    <x v="0"/>
    <x v="12"/>
    <n v="49.3333333333333"/>
    <n v="18006.666666666701"/>
    <n v="64824"/>
  </r>
  <r>
    <x v="0"/>
    <x v="0"/>
    <x v="0"/>
    <x v="0"/>
    <x v="0"/>
    <s v="DK2_Rural"/>
    <x v="0"/>
    <s v="GNR_ST_COAL_BP_E-35"/>
    <x v="0"/>
    <x v="13"/>
    <n v="49.3333333333333"/>
    <n v="18006.666666666701"/>
    <n v="64824"/>
  </r>
  <r>
    <x v="0"/>
    <x v="0"/>
    <x v="0"/>
    <x v="0"/>
    <x v="0"/>
    <s v="DK2_Rural"/>
    <x v="0"/>
    <s v="GNR_ST_COAL_BP_E-35"/>
    <x v="0"/>
    <x v="14"/>
    <n v="49.3333333333333"/>
    <n v="18006.666666666701"/>
    <n v="64824"/>
  </r>
  <r>
    <x v="0"/>
    <x v="0"/>
    <x v="0"/>
    <x v="0"/>
    <x v="0"/>
    <s v="DK2_Rural"/>
    <x v="0"/>
    <s v="GNR_ST_COAL_BP_E-35"/>
    <x v="0"/>
    <x v="15"/>
    <n v="49.3333333333333"/>
    <n v="18006.666666666701"/>
    <n v="64824"/>
  </r>
  <r>
    <x v="0"/>
    <x v="0"/>
    <x v="0"/>
    <x v="0"/>
    <x v="0"/>
    <s v="DK2_Rural"/>
    <x v="0"/>
    <s v="GNR_ST_COAL_BP_E-35"/>
    <x v="0"/>
    <x v="16"/>
    <n v="49.3333333333333"/>
    <n v="18006.666666666701"/>
    <n v="64824"/>
  </r>
  <r>
    <x v="0"/>
    <x v="0"/>
    <x v="0"/>
    <x v="0"/>
    <x v="0"/>
    <s v="DK2_Rural"/>
    <x v="0"/>
    <s v="GNR_ST_COAL_BP_E-35"/>
    <x v="0"/>
    <x v="17"/>
    <n v="49.3333333333333"/>
    <n v="18006.666666666701"/>
    <n v="64824"/>
  </r>
  <r>
    <x v="0"/>
    <x v="0"/>
    <x v="0"/>
    <x v="0"/>
    <x v="0"/>
    <s v="DK2_Rural"/>
    <x v="0"/>
    <s v="GNR_ST_COAL_BP_E-35"/>
    <x v="0"/>
    <x v="18"/>
    <n v="49.3333333333333"/>
    <n v="18006.666666666701"/>
    <n v="64824"/>
  </r>
  <r>
    <x v="0"/>
    <x v="0"/>
    <x v="0"/>
    <x v="0"/>
    <x v="0"/>
    <s v="DK2_Rural"/>
    <x v="0"/>
    <s v="GNR_ST_COAL_BP_E-35"/>
    <x v="0"/>
    <x v="19"/>
    <n v="49.3333333333333"/>
    <n v="18006.666666666701"/>
    <n v="64824"/>
  </r>
  <r>
    <x v="0"/>
    <x v="0"/>
    <x v="0"/>
    <x v="0"/>
    <x v="0"/>
    <s v="DK2_Rural"/>
    <x v="0"/>
    <s v="GNR_ST_COAL_BP_E-35"/>
    <x v="0"/>
    <x v="20"/>
    <n v="49.3333333333333"/>
    <n v="18006.666666666701"/>
    <n v="64824"/>
  </r>
  <r>
    <x v="0"/>
    <x v="0"/>
    <x v="0"/>
    <x v="0"/>
    <x v="0"/>
    <s v="DK2_Rural"/>
    <x v="0"/>
    <s v="GNR_ST_COAL_BP_E-35"/>
    <x v="0"/>
    <x v="21"/>
    <n v="49.3333333333333"/>
    <n v="18006.666666666701"/>
    <n v="64824"/>
  </r>
  <r>
    <x v="0"/>
    <x v="0"/>
    <x v="0"/>
    <x v="0"/>
    <x v="0"/>
    <s v="DK2_Rural"/>
    <x v="0"/>
    <s v="GNR_ST_COAL_BP_E-35"/>
    <x v="0"/>
    <x v="22"/>
    <n v="49.3333333333333"/>
    <n v="18006.666666666701"/>
    <n v="64824"/>
  </r>
  <r>
    <x v="0"/>
    <x v="0"/>
    <x v="0"/>
    <x v="0"/>
    <x v="0"/>
    <s v="DK2_Rural"/>
    <x v="0"/>
    <s v="GNR_ST_COAL_BP_E-35"/>
    <x v="0"/>
    <x v="23"/>
    <n v="49.3333333333333"/>
    <n v="18006.666666666701"/>
    <n v="64824"/>
  </r>
  <r>
    <x v="0"/>
    <x v="0"/>
    <x v="0"/>
    <x v="0"/>
    <x v="0"/>
    <s v="DK2_Rural"/>
    <x v="3"/>
    <s v="GNR_HP_ELEC_COP-400"/>
    <x v="0"/>
    <x v="0"/>
    <n v="0.8"/>
    <n v="292"/>
    <n v="1051.2"/>
  </r>
  <r>
    <x v="0"/>
    <x v="0"/>
    <x v="0"/>
    <x v="0"/>
    <x v="0"/>
    <s v="DK2_Rural"/>
    <x v="3"/>
    <s v="GNR_HP_ELEC_COP-400"/>
    <x v="0"/>
    <x v="1"/>
    <n v="0.8"/>
    <n v="292"/>
    <n v="1051.2"/>
  </r>
  <r>
    <x v="0"/>
    <x v="0"/>
    <x v="0"/>
    <x v="0"/>
    <x v="0"/>
    <s v="DK2_Rural"/>
    <x v="3"/>
    <s v="GNR_HP_ELEC_COP-400"/>
    <x v="0"/>
    <x v="2"/>
    <n v="0.8"/>
    <n v="292"/>
    <n v="1051.2"/>
  </r>
  <r>
    <x v="0"/>
    <x v="0"/>
    <x v="0"/>
    <x v="0"/>
    <x v="0"/>
    <s v="DK2_Rural"/>
    <x v="3"/>
    <s v="GNR_HP_ELEC_COP-400"/>
    <x v="0"/>
    <x v="3"/>
    <n v="0.8"/>
    <n v="292"/>
    <n v="1051.2"/>
  </r>
  <r>
    <x v="0"/>
    <x v="0"/>
    <x v="0"/>
    <x v="0"/>
    <x v="0"/>
    <s v="DK2_Rural"/>
    <x v="3"/>
    <s v="GNR_HP_ELEC_COP-400"/>
    <x v="0"/>
    <x v="4"/>
    <n v="0.8"/>
    <n v="292"/>
    <n v="1051.2"/>
  </r>
  <r>
    <x v="0"/>
    <x v="0"/>
    <x v="0"/>
    <x v="0"/>
    <x v="0"/>
    <s v="DK2_Rural"/>
    <x v="3"/>
    <s v="GNR_HP_ELEC_COP-400"/>
    <x v="0"/>
    <x v="5"/>
    <n v="0.8"/>
    <n v="292"/>
    <n v="1051.2"/>
  </r>
  <r>
    <x v="0"/>
    <x v="0"/>
    <x v="0"/>
    <x v="0"/>
    <x v="0"/>
    <s v="DK2_Rural"/>
    <x v="3"/>
    <s v="GNR_HP_ELEC_COP-400"/>
    <x v="0"/>
    <x v="6"/>
    <n v="0.8"/>
    <n v="292"/>
    <n v="1051.2"/>
  </r>
  <r>
    <x v="0"/>
    <x v="0"/>
    <x v="0"/>
    <x v="0"/>
    <x v="0"/>
    <s v="DK2_Rural"/>
    <x v="3"/>
    <s v="GNR_HP_ELEC_COP-400"/>
    <x v="0"/>
    <x v="7"/>
    <n v="0.8"/>
    <n v="292"/>
    <n v="1051.2"/>
  </r>
  <r>
    <x v="0"/>
    <x v="0"/>
    <x v="0"/>
    <x v="0"/>
    <x v="0"/>
    <s v="DK2_Rural"/>
    <x v="3"/>
    <s v="GNR_HP_ELEC_COP-400"/>
    <x v="0"/>
    <x v="8"/>
    <n v="0.8"/>
    <n v="292"/>
    <n v="1051.2"/>
  </r>
  <r>
    <x v="0"/>
    <x v="0"/>
    <x v="0"/>
    <x v="0"/>
    <x v="0"/>
    <s v="DK2_Rural"/>
    <x v="3"/>
    <s v="GNR_HP_ELEC_COP-400"/>
    <x v="0"/>
    <x v="9"/>
    <n v="0.8"/>
    <n v="292"/>
    <n v="1051.2"/>
  </r>
  <r>
    <x v="0"/>
    <x v="0"/>
    <x v="0"/>
    <x v="0"/>
    <x v="0"/>
    <s v="DK2_Rural"/>
    <x v="3"/>
    <s v="GNR_HP_ELEC_COP-400"/>
    <x v="0"/>
    <x v="10"/>
    <n v="0.8"/>
    <n v="292"/>
    <n v="1051.2"/>
  </r>
  <r>
    <x v="0"/>
    <x v="0"/>
    <x v="0"/>
    <x v="0"/>
    <x v="0"/>
    <s v="DK2_Rural"/>
    <x v="3"/>
    <s v="GNR_HP_ELEC_COP-400"/>
    <x v="0"/>
    <x v="11"/>
    <n v="0.8"/>
    <n v="292"/>
    <n v="1051.2"/>
  </r>
  <r>
    <x v="0"/>
    <x v="0"/>
    <x v="0"/>
    <x v="0"/>
    <x v="0"/>
    <s v="DK2_Rural"/>
    <x v="3"/>
    <s v="GNR_HP_ELEC_COP-400"/>
    <x v="0"/>
    <x v="12"/>
    <n v="0.8"/>
    <n v="292"/>
    <n v="1051.2"/>
  </r>
  <r>
    <x v="0"/>
    <x v="0"/>
    <x v="0"/>
    <x v="0"/>
    <x v="0"/>
    <s v="DK2_Rural"/>
    <x v="3"/>
    <s v="GNR_HP_ELEC_COP-400"/>
    <x v="0"/>
    <x v="13"/>
    <n v="0.8"/>
    <n v="292"/>
    <n v="1051.2"/>
  </r>
  <r>
    <x v="0"/>
    <x v="0"/>
    <x v="0"/>
    <x v="0"/>
    <x v="0"/>
    <s v="DK2_Rural"/>
    <x v="3"/>
    <s v="GNR_HP_ELEC_COP-400"/>
    <x v="0"/>
    <x v="14"/>
    <n v="0.8"/>
    <n v="292"/>
    <n v="1051.2"/>
  </r>
  <r>
    <x v="0"/>
    <x v="0"/>
    <x v="0"/>
    <x v="0"/>
    <x v="0"/>
    <s v="DK2_Rural"/>
    <x v="3"/>
    <s v="GNR_HP_ELEC_COP-400"/>
    <x v="0"/>
    <x v="15"/>
    <n v="0.8"/>
    <n v="292"/>
    <n v="1051.2"/>
  </r>
  <r>
    <x v="0"/>
    <x v="0"/>
    <x v="0"/>
    <x v="0"/>
    <x v="0"/>
    <s v="DK2_Rural"/>
    <x v="3"/>
    <s v="GNR_HP_ELEC_COP-400"/>
    <x v="0"/>
    <x v="16"/>
    <n v="0.8"/>
    <n v="292"/>
    <n v="1051.2"/>
  </r>
  <r>
    <x v="0"/>
    <x v="0"/>
    <x v="0"/>
    <x v="0"/>
    <x v="0"/>
    <s v="DK2_Rural"/>
    <x v="3"/>
    <s v="GNR_HP_ELEC_COP-400"/>
    <x v="0"/>
    <x v="17"/>
    <n v="0.8"/>
    <n v="292"/>
    <n v="1051.2"/>
  </r>
  <r>
    <x v="0"/>
    <x v="0"/>
    <x v="0"/>
    <x v="0"/>
    <x v="0"/>
    <s v="DK2_Rural"/>
    <x v="3"/>
    <s v="GNR_HP_ELEC_COP-400"/>
    <x v="0"/>
    <x v="18"/>
    <n v="0.8"/>
    <n v="292"/>
    <n v="1051.2"/>
  </r>
  <r>
    <x v="0"/>
    <x v="0"/>
    <x v="0"/>
    <x v="0"/>
    <x v="0"/>
    <s v="DK2_Rural"/>
    <x v="3"/>
    <s v="GNR_HP_ELEC_COP-400"/>
    <x v="0"/>
    <x v="19"/>
    <n v="0.8"/>
    <n v="292"/>
    <n v="1051.2"/>
  </r>
  <r>
    <x v="0"/>
    <x v="0"/>
    <x v="0"/>
    <x v="0"/>
    <x v="0"/>
    <s v="DK2_Rural"/>
    <x v="3"/>
    <s v="GNR_HP_ELEC_COP-400"/>
    <x v="0"/>
    <x v="20"/>
    <n v="0.8"/>
    <n v="292"/>
    <n v="1051.2"/>
  </r>
  <r>
    <x v="0"/>
    <x v="0"/>
    <x v="0"/>
    <x v="0"/>
    <x v="0"/>
    <s v="DK2_Rural"/>
    <x v="3"/>
    <s v="GNR_HP_ELEC_COP-400"/>
    <x v="0"/>
    <x v="21"/>
    <n v="0.8"/>
    <n v="292"/>
    <n v="1051.2"/>
  </r>
  <r>
    <x v="0"/>
    <x v="0"/>
    <x v="0"/>
    <x v="0"/>
    <x v="0"/>
    <s v="DK2_Rural"/>
    <x v="3"/>
    <s v="GNR_HP_ELEC_COP-400"/>
    <x v="0"/>
    <x v="22"/>
    <n v="0.8"/>
    <n v="292"/>
    <n v="1051.2"/>
  </r>
  <r>
    <x v="0"/>
    <x v="0"/>
    <x v="0"/>
    <x v="0"/>
    <x v="0"/>
    <s v="DK2_Rural"/>
    <x v="3"/>
    <s v="GNR_HP_ELEC_COP-400"/>
    <x v="0"/>
    <x v="23"/>
    <n v="0.8"/>
    <n v="292"/>
    <n v="1051.2"/>
  </r>
  <r>
    <x v="0"/>
    <x v="0"/>
    <x v="0"/>
    <x v="0"/>
    <x v="0"/>
    <s v="DK2_Rural"/>
    <x v="1"/>
    <s v="GNR_BO_MSW_E-105"/>
    <x v="0"/>
    <x v="0"/>
    <n v="7"/>
    <n v="2555"/>
    <n v="9198"/>
  </r>
  <r>
    <x v="0"/>
    <x v="0"/>
    <x v="0"/>
    <x v="0"/>
    <x v="0"/>
    <s v="DK2_Rural"/>
    <x v="1"/>
    <s v="GNR_BO_MSW_E-105"/>
    <x v="0"/>
    <x v="1"/>
    <n v="7"/>
    <n v="2555"/>
    <n v="9198"/>
  </r>
  <r>
    <x v="0"/>
    <x v="0"/>
    <x v="0"/>
    <x v="0"/>
    <x v="0"/>
    <s v="DK2_Rural"/>
    <x v="1"/>
    <s v="GNR_BO_MSW_E-105"/>
    <x v="0"/>
    <x v="2"/>
    <n v="7"/>
    <n v="2555"/>
    <n v="9198"/>
  </r>
  <r>
    <x v="0"/>
    <x v="0"/>
    <x v="0"/>
    <x v="0"/>
    <x v="0"/>
    <s v="DK2_Rural"/>
    <x v="1"/>
    <s v="GNR_BO_MSW_E-105"/>
    <x v="0"/>
    <x v="3"/>
    <n v="7"/>
    <n v="2555"/>
    <n v="9198"/>
  </r>
  <r>
    <x v="0"/>
    <x v="0"/>
    <x v="0"/>
    <x v="0"/>
    <x v="0"/>
    <s v="DK2_Rural"/>
    <x v="1"/>
    <s v="GNR_BO_MSW_E-105"/>
    <x v="0"/>
    <x v="4"/>
    <n v="7"/>
    <n v="2555"/>
    <n v="9198"/>
  </r>
  <r>
    <x v="0"/>
    <x v="0"/>
    <x v="0"/>
    <x v="0"/>
    <x v="0"/>
    <s v="DK2_Rural"/>
    <x v="1"/>
    <s v="GNR_BO_MSW_E-105"/>
    <x v="0"/>
    <x v="5"/>
    <n v="7"/>
    <n v="2555"/>
    <n v="9198"/>
  </r>
  <r>
    <x v="0"/>
    <x v="0"/>
    <x v="0"/>
    <x v="0"/>
    <x v="0"/>
    <s v="DK2_Rural"/>
    <x v="1"/>
    <s v="GNR_BO_MSW_E-105"/>
    <x v="0"/>
    <x v="6"/>
    <n v="7"/>
    <n v="2555"/>
    <n v="9198"/>
  </r>
  <r>
    <x v="0"/>
    <x v="0"/>
    <x v="0"/>
    <x v="0"/>
    <x v="0"/>
    <s v="DK2_Rural"/>
    <x v="1"/>
    <s v="GNR_BO_MSW_E-105"/>
    <x v="0"/>
    <x v="7"/>
    <n v="7"/>
    <n v="2555"/>
    <n v="9198"/>
  </r>
  <r>
    <x v="0"/>
    <x v="0"/>
    <x v="0"/>
    <x v="0"/>
    <x v="0"/>
    <s v="DK2_Rural"/>
    <x v="1"/>
    <s v="GNR_BO_MSW_E-105"/>
    <x v="0"/>
    <x v="8"/>
    <n v="7"/>
    <n v="2555"/>
    <n v="9198"/>
  </r>
  <r>
    <x v="0"/>
    <x v="0"/>
    <x v="0"/>
    <x v="0"/>
    <x v="0"/>
    <s v="DK2_Rural"/>
    <x v="1"/>
    <s v="GNR_BO_MSW_E-105"/>
    <x v="0"/>
    <x v="9"/>
    <n v="7"/>
    <n v="2555"/>
    <n v="9198"/>
  </r>
  <r>
    <x v="0"/>
    <x v="0"/>
    <x v="0"/>
    <x v="0"/>
    <x v="0"/>
    <s v="DK2_Rural"/>
    <x v="1"/>
    <s v="GNR_BO_MSW_E-105"/>
    <x v="0"/>
    <x v="10"/>
    <n v="7"/>
    <n v="2555"/>
    <n v="9198"/>
  </r>
  <r>
    <x v="0"/>
    <x v="0"/>
    <x v="0"/>
    <x v="0"/>
    <x v="0"/>
    <s v="DK2_Rural"/>
    <x v="1"/>
    <s v="GNR_BO_MSW_E-105"/>
    <x v="0"/>
    <x v="11"/>
    <n v="7"/>
    <n v="2555"/>
    <n v="9198"/>
  </r>
  <r>
    <x v="0"/>
    <x v="0"/>
    <x v="0"/>
    <x v="0"/>
    <x v="0"/>
    <s v="DK2_Rural"/>
    <x v="1"/>
    <s v="GNR_BO_MSW_E-105"/>
    <x v="0"/>
    <x v="12"/>
    <n v="7"/>
    <n v="2555"/>
    <n v="9198"/>
  </r>
  <r>
    <x v="0"/>
    <x v="0"/>
    <x v="0"/>
    <x v="0"/>
    <x v="0"/>
    <s v="DK2_Rural"/>
    <x v="1"/>
    <s v="GNR_BO_MSW_E-105"/>
    <x v="0"/>
    <x v="13"/>
    <n v="7"/>
    <n v="2555"/>
    <n v="9198"/>
  </r>
  <r>
    <x v="0"/>
    <x v="0"/>
    <x v="0"/>
    <x v="0"/>
    <x v="0"/>
    <s v="DK2_Rural"/>
    <x v="1"/>
    <s v="GNR_BO_MSW_E-105"/>
    <x v="0"/>
    <x v="14"/>
    <n v="7"/>
    <n v="2555"/>
    <n v="9198"/>
  </r>
  <r>
    <x v="0"/>
    <x v="0"/>
    <x v="0"/>
    <x v="0"/>
    <x v="0"/>
    <s v="DK2_Rural"/>
    <x v="1"/>
    <s v="GNR_BO_MSW_E-105"/>
    <x v="0"/>
    <x v="15"/>
    <n v="7"/>
    <n v="2555"/>
    <n v="9198"/>
  </r>
  <r>
    <x v="0"/>
    <x v="0"/>
    <x v="0"/>
    <x v="0"/>
    <x v="0"/>
    <s v="DK2_Rural"/>
    <x v="1"/>
    <s v="GNR_BO_MSW_E-105"/>
    <x v="0"/>
    <x v="16"/>
    <n v="7"/>
    <n v="2555"/>
    <n v="9198"/>
  </r>
  <r>
    <x v="0"/>
    <x v="0"/>
    <x v="0"/>
    <x v="0"/>
    <x v="0"/>
    <s v="DK2_Rural"/>
    <x v="1"/>
    <s v="GNR_BO_MSW_E-105"/>
    <x v="0"/>
    <x v="17"/>
    <n v="7"/>
    <n v="2555"/>
    <n v="9198"/>
  </r>
  <r>
    <x v="0"/>
    <x v="0"/>
    <x v="0"/>
    <x v="0"/>
    <x v="0"/>
    <s v="DK2_Rural"/>
    <x v="1"/>
    <s v="GNR_BO_MSW_E-105"/>
    <x v="0"/>
    <x v="18"/>
    <n v="7"/>
    <n v="2555"/>
    <n v="9198"/>
  </r>
  <r>
    <x v="0"/>
    <x v="0"/>
    <x v="0"/>
    <x v="0"/>
    <x v="0"/>
    <s v="DK2_Rural"/>
    <x v="1"/>
    <s v="GNR_BO_MSW_E-105"/>
    <x v="0"/>
    <x v="19"/>
    <n v="7"/>
    <n v="2555"/>
    <n v="9198"/>
  </r>
  <r>
    <x v="0"/>
    <x v="0"/>
    <x v="0"/>
    <x v="0"/>
    <x v="0"/>
    <s v="DK2_Rural"/>
    <x v="1"/>
    <s v="GNR_BO_MSW_E-105"/>
    <x v="0"/>
    <x v="20"/>
    <n v="7"/>
    <n v="2555"/>
    <n v="9198"/>
  </r>
  <r>
    <x v="0"/>
    <x v="0"/>
    <x v="0"/>
    <x v="0"/>
    <x v="0"/>
    <s v="DK2_Rural"/>
    <x v="1"/>
    <s v="GNR_BO_MSW_E-105"/>
    <x v="0"/>
    <x v="21"/>
    <n v="7"/>
    <n v="2555"/>
    <n v="9198"/>
  </r>
  <r>
    <x v="0"/>
    <x v="0"/>
    <x v="0"/>
    <x v="0"/>
    <x v="0"/>
    <s v="DK2_Rural"/>
    <x v="1"/>
    <s v="GNR_BO_MSW_E-105"/>
    <x v="0"/>
    <x v="22"/>
    <n v="7"/>
    <n v="2555"/>
    <n v="9198"/>
  </r>
  <r>
    <x v="0"/>
    <x v="0"/>
    <x v="0"/>
    <x v="0"/>
    <x v="0"/>
    <s v="DK2_Rural"/>
    <x v="1"/>
    <s v="GNR_BO_MSW_E-105"/>
    <x v="0"/>
    <x v="23"/>
    <n v="7"/>
    <n v="2555"/>
    <n v="9198"/>
  </r>
  <r>
    <x v="0"/>
    <x v="0"/>
    <x v="0"/>
    <x v="0"/>
    <x v="0"/>
    <s v="DK2_Rural"/>
    <x v="4"/>
    <s v="GNR_ENG_NGAS_BP_E-43"/>
    <x v="0"/>
    <x v="18"/>
    <n v="2.7522222222222199"/>
    <n v="1004.56111111111"/>
    <n v="3616.42"/>
  </r>
  <r>
    <x v="0"/>
    <x v="0"/>
    <x v="0"/>
    <x v="0"/>
    <x v="0"/>
    <s v="DK2_Rural"/>
    <x v="4"/>
    <s v="GNR_ENG_NGAS_BP_E-43"/>
    <x v="0"/>
    <x v="19"/>
    <n v="2.7522222222222199"/>
    <n v="1004.56111111111"/>
    <n v="3616.42"/>
  </r>
  <r>
    <x v="0"/>
    <x v="0"/>
    <x v="0"/>
    <x v="0"/>
    <x v="0"/>
    <s v="DK2_Rural"/>
    <x v="4"/>
    <s v="GNR_ENG_NGAS_BP_E-43"/>
    <x v="0"/>
    <x v="20"/>
    <n v="2.7522222222222199"/>
    <n v="1004.56111111111"/>
    <n v="3616.42"/>
  </r>
  <r>
    <x v="0"/>
    <x v="0"/>
    <x v="0"/>
    <x v="0"/>
    <x v="0"/>
    <s v="DK2_Rural"/>
    <x v="4"/>
    <s v="GNR_ENG_NGAS_BP_E-43"/>
    <x v="0"/>
    <x v="21"/>
    <n v="2.7522222222222199"/>
    <n v="1004.56111111111"/>
    <n v="3616.42"/>
  </r>
  <r>
    <x v="0"/>
    <x v="0"/>
    <x v="0"/>
    <x v="0"/>
    <x v="0"/>
    <s v="DK2_Rural"/>
    <x v="4"/>
    <s v="GNR_ENG_NGAS_BP_E-45"/>
    <x v="0"/>
    <x v="0"/>
    <n v="0.55555555555555602"/>
    <n v="202.777777777778"/>
    <n v="730"/>
  </r>
  <r>
    <x v="0"/>
    <x v="0"/>
    <x v="0"/>
    <x v="0"/>
    <x v="0"/>
    <s v="DK2_Rural"/>
    <x v="4"/>
    <s v="GNR_ENG_NGAS_BP_E-45"/>
    <x v="0"/>
    <x v="1"/>
    <n v="0.55555555555555602"/>
    <n v="202.777777777778"/>
    <n v="730"/>
  </r>
  <r>
    <x v="0"/>
    <x v="0"/>
    <x v="0"/>
    <x v="0"/>
    <x v="0"/>
    <s v="DK2_Rural"/>
    <x v="4"/>
    <s v="GNR_ENG_NGAS_BP_E-45"/>
    <x v="0"/>
    <x v="2"/>
    <n v="0.55555555555555602"/>
    <n v="202.777777777778"/>
    <n v="730"/>
  </r>
  <r>
    <x v="0"/>
    <x v="0"/>
    <x v="0"/>
    <x v="0"/>
    <x v="0"/>
    <s v="DK2_Rural"/>
    <x v="4"/>
    <s v="GNR_ENG_NGAS_BP_E-45"/>
    <x v="0"/>
    <x v="3"/>
    <n v="0.55555555555555602"/>
    <n v="202.777777777778"/>
    <n v="730"/>
  </r>
  <r>
    <x v="0"/>
    <x v="0"/>
    <x v="0"/>
    <x v="0"/>
    <x v="0"/>
    <s v="DK2_Rural"/>
    <x v="4"/>
    <s v="GNR_ENG_NGAS_BP_E-45"/>
    <x v="0"/>
    <x v="4"/>
    <n v="0.55555555555555602"/>
    <n v="202.777777777778"/>
    <n v="730"/>
  </r>
  <r>
    <x v="0"/>
    <x v="0"/>
    <x v="0"/>
    <x v="0"/>
    <x v="0"/>
    <s v="DK2_Rural"/>
    <x v="4"/>
    <s v="GNR_ENG_NGAS_BP_E-45"/>
    <x v="0"/>
    <x v="5"/>
    <n v="0.55555555555555602"/>
    <n v="202.777777777778"/>
    <n v="730"/>
  </r>
  <r>
    <x v="0"/>
    <x v="0"/>
    <x v="0"/>
    <x v="0"/>
    <x v="0"/>
    <s v="DK2_Rural"/>
    <x v="4"/>
    <s v="GNR_ENG_NGAS_BP_E-45"/>
    <x v="0"/>
    <x v="6"/>
    <n v="0.55555555555555602"/>
    <n v="202.777777777778"/>
    <n v="730"/>
  </r>
  <r>
    <x v="0"/>
    <x v="0"/>
    <x v="0"/>
    <x v="0"/>
    <x v="0"/>
    <s v="DK2_Rural"/>
    <x v="4"/>
    <s v="GNR_ENG_NGAS_BP_E-45"/>
    <x v="0"/>
    <x v="7"/>
    <n v="0.55555555555555602"/>
    <n v="202.777777777778"/>
    <n v="730"/>
  </r>
  <r>
    <x v="0"/>
    <x v="0"/>
    <x v="0"/>
    <x v="0"/>
    <x v="0"/>
    <s v="DK2_Rural"/>
    <x v="4"/>
    <s v="GNR_ENG_NGAS_BP_E-45"/>
    <x v="0"/>
    <x v="8"/>
    <n v="0.55555555555555602"/>
    <n v="202.777777777778"/>
    <n v="730"/>
  </r>
  <r>
    <x v="0"/>
    <x v="0"/>
    <x v="0"/>
    <x v="0"/>
    <x v="0"/>
    <s v="DK2_Rural"/>
    <x v="4"/>
    <s v="GNR_ENG_NGAS_BP_E-45"/>
    <x v="0"/>
    <x v="9"/>
    <n v="0.55555555555555602"/>
    <n v="202.777777777778"/>
    <n v="730"/>
  </r>
  <r>
    <x v="0"/>
    <x v="0"/>
    <x v="0"/>
    <x v="0"/>
    <x v="0"/>
    <s v="DK2_Rural"/>
    <x v="4"/>
    <s v="GNR_ENG_NGAS_BP_E-45"/>
    <x v="0"/>
    <x v="10"/>
    <n v="0.55555555555555602"/>
    <n v="202.777777777778"/>
    <n v="730"/>
  </r>
  <r>
    <x v="0"/>
    <x v="0"/>
    <x v="0"/>
    <x v="0"/>
    <x v="0"/>
    <s v="DK2_Rural"/>
    <x v="4"/>
    <s v="GNR_ENG_NGAS_BP_E-45"/>
    <x v="0"/>
    <x v="11"/>
    <n v="0.55555555555555602"/>
    <n v="202.777777777778"/>
    <n v="730"/>
  </r>
  <r>
    <x v="0"/>
    <x v="0"/>
    <x v="0"/>
    <x v="0"/>
    <x v="0"/>
    <s v="DK2_Rural"/>
    <x v="4"/>
    <s v="GNR_ENG_NGAS_BP_E-45"/>
    <x v="0"/>
    <x v="12"/>
    <n v="0.55555555555555602"/>
    <n v="202.777777777778"/>
    <n v="730"/>
  </r>
  <r>
    <x v="0"/>
    <x v="0"/>
    <x v="0"/>
    <x v="0"/>
    <x v="0"/>
    <s v="DK2_Rural"/>
    <x v="4"/>
    <s v="GNR_ENG_NGAS_BP_E-45"/>
    <x v="0"/>
    <x v="13"/>
    <n v="0.55555555555555602"/>
    <n v="202.777777777778"/>
    <n v="730"/>
  </r>
  <r>
    <x v="0"/>
    <x v="0"/>
    <x v="0"/>
    <x v="0"/>
    <x v="0"/>
    <s v="DK2_Rural"/>
    <x v="4"/>
    <s v="GNR_ENG_NGAS_BP_E-45"/>
    <x v="0"/>
    <x v="14"/>
    <n v="0.55555555555555602"/>
    <n v="202.777777777778"/>
    <n v="730"/>
  </r>
  <r>
    <x v="0"/>
    <x v="0"/>
    <x v="0"/>
    <x v="0"/>
    <x v="0"/>
    <s v="DK2_Rural"/>
    <x v="4"/>
    <s v="GNR_ENG_NGAS_BP_E-45"/>
    <x v="0"/>
    <x v="15"/>
    <n v="0.55555555555555602"/>
    <n v="202.777777777778"/>
    <n v="730"/>
  </r>
  <r>
    <x v="0"/>
    <x v="0"/>
    <x v="0"/>
    <x v="0"/>
    <x v="0"/>
    <s v="DK2_Rural"/>
    <x v="4"/>
    <s v="GNR_ENG_NGAS_BP_E-45"/>
    <x v="0"/>
    <x v="16"/>
    <n v="0.55555555555555602"/>
    <n v="202.777777777778"/>
    <n v="730"/>
  </r>
  <r>
    <x v="0"/>
    <x v="0"/>
    <x v="0"/>
    <x v="0"/>
    <x v="0"/>
    <s v="DK2_Rural"/>
    <x v="4"/>
    <s v="GNR_ENG_NGAS_BP_E-45"/>
    <x v="0"/>
    <x v="17"/>
    <n v="0.55555555555555602"/>
    <n v="202.777777777778"/>
    <n v="730"/>
  </r>
  <r>
    <x v="0"/>
    <x v="0"/>
    <x v="0"/>
    <x v="0"/>
    <x v="0"/>
    <s v="DK2_Rural"/>
    <x v="4"/>
    <s v="GNR_ENG_NGAS_BP_E-45"/>
    <x v="0"/>
    <x v="18"/>
    <n v="0.55555555555555602"/>
    <n v="202.777777777778"/>
    <n v="730"/>
  </r>
  <r>
    <x v="0"/>
    <x v="0"/>
    <x v="0"/>
    <x v="0"/>
    <x v="0"/>
    <s v="DK2_Rural"/>
    <x v="4"/>
    <s v="GNR_ENG_NGAS_BP_E-45"/>
    <x v="0"/>
    <x v="19"/>
    <n v="0.55555555555555602"/>
    <n v="202.777777777778"/>
    <n v="730"/>
  </r>
  <r>
    <x v="0"/>
    <x v="0"/>
    <x v="0"/>
    <x v="0"/>
    <x v="0"/>
    <s v="DK2_Rural"/>
    <x v="4"/>
    <s v="GNR_ENG_NGAS_BP_E-45"/>
    <x v="0"/>
    <x v="20"/>
    <n v="0.55555555555555602"/>
    <n v="202.777777777778"/>
    <n v="730"/>
  </r>
  <r>
    <x v="0"/>
    <x v="0"/>
    <x v="0"/>
    <x v="0"/>
    <x v="0"/>
    <s v="DK2_Rural"/>
    <x v="4"/>
    <s v="GNR_ENG_NGAS_BP_E-45"/>
    <x v="0"/>
    <x v="21"/>
    <n v="0.55555555555555602"/>
    <n v="202.777777777778"/>
    <n v="730"/>
  </r>
  <r>
    <x v="0"/>
    <x v="0"/>
    <x v="0"/>
    <x v="0"/>
    <x v="0"/>
    <s v="DK2_Rural"/>
    <x v="4"/>
    <s v="GNR_ENG_NGAS_BP_E-45"/>
    <x v="0"/>
    <x v="22"/>
    <n v="0.55555555555555602"/>
    <n v="202.777777777778"/>
    <n v="730"/>
  </r>
  <r>
    <x v="0"/>
    <x v="0"/>
    <x v="0"/>
    <x v="0"/>
    <x v="0"/>
    <s v="DK2_Rural"/>
    <x v="4"/>
    <s v="GNR_ENG_NGAS_BP_E-45"/>
    <x v="0"/>
    <x v="23"/>
    <n v="0.55555555555555602"/>
    <n v="202.777777777778"/>
    <n v="730"/>
  </r>
  <r>
    <x v="0"/>
    <x v="0"/>
    <x v="0"/>
    <x v="0"/>
    <x v="0"/>
    <s v="DK2_Rural"/>
    <x v="4"/>
    <s v="GNR_ENG_NGAS_BP_E-46"/>
    <x v="0"/>
    <x v="0"/>
    <n v="0.61111111111111105"/>
    <n v="223.055555555556"/>
    <n v="803"/>
  </r>
  <r>
    <x v="0"/>
    <x v="0"/>
    <x v="0"/>
    <x v="0"/>
    <x v="0"/>
    <s v="DK2_Rural"/>
    <x v="4"/>
    <s v="GNR_ENG_NGAS_BP_E-46"/>
    <x v="0"/>
    <x v="1"/>
    <n v="0.61111111111111105"/>
    <n v="223.055555555556"/>
    <n v="803"/>
  </r>
  <r>
    <x v="0"/>
    <x v="0"/>
    <x v="0"/>
    <x v="0"/>
    <x v="0"/>
    <s v="DK2_Rural"/>
    <x v="4"/>
    <s v="GNR_ENG_NGAS_BP_E-46"/>
    <x v="0"/>
    <x v="2"/>
    <n v="0.61111111111111105"/>
    <n v="223.055555555556"/>
    <n v="803"/>
  </r>
  <r>
    <x v="0"/>
    <x v="0"/>
    <x v="0"/>
    <x v="0"/>
    <x v="0"/>
    <s v="DK2_Rural"/>
    <x v="4"/>
    <s v="GNR_ENG_NGAS_BP_E-46"/>
    <x v="0"/>
    <x v="3"/>
    <n v="0.61111111111111105"/>
    <n v="223.055555555556"/>
    <n v="803"/>
  </r>
  <r>
    <x v="0"/>
    <x v="0"/>
    <x v="0"/>
    <x v="0"/>
    <x v="0"/>
    <s v="DK2_Rural"/>
    <x v="4"/>
    <s v="GNR_ENG_NGAS_BP_E-46"/>
    <x v="0"/>
    <x v="4"/>
    <n v="0.61111111111111105"/>
    <n v="223.055555555556"/>
    <n v="803"/>
  </r>
  <r>
    <x v="0"/>
    <x v="0"/>
    <x v="0"/>
    <x v="0"/>
    <x v="0"/>
    <s v="DK2_Rural"/>
    <x v="4"/>
    <s v="GNR_ENG_NGAS_BP_E-46"/>
    <x v="0"/>
    <x v="5"/>
    <n v="0.61111111111111105"/>
    <n v="223.055555555556"/>
    <n v="803"/>
  </r>
  <r>
    <x v="0"/>
    <x v="0"/>
    <x v="0"/>
    <x v="0"/>
    <x v="0"/>
    <s v="DK2_Rural"/>
    <x v="4"/>
    <s v="GNR_ENG_NGAS_BP_E-46"/>
    <x v="0"/>
    <x v="6"/>
    <n v="0.61111111111111105"/>
    <n v="223.055555555556"/>
    <n v="803"/>
  </r>
  <r>
    <x v="0"/>
    <x v="0"/>
    <x v="0"/>
    <x v="0"/>
    <x v="0"/>
    <s v="DK2_Rural"/>
    <x v="4"/>
    <s v="GNR_ENG_NGAS_BP_E-46"/>
    <x v="0"/>
    <x v="7"/>
    <n v="0.61111111111111105"/>
    <n v="223.055555555556"/>
    <n v="803"/>
  </r>
  <r>
    <x v="0"/>
    <x v="0"/>
    <x v="0"/>
    <x v="0"/>
    <x v="0"/>
    <s v="DK2_Rural"/>
    <x v="4"/>
    <s v="GNR_ENG_NGAS_BP_E-46"/>
    <x v="0"/>
    <x v="8"/>
    <n v="0.61111111111111105"/>
    <n v="223.055555555556"/>
    <n v="803"/>
  </r>
  <r>
    <x v="0"/>
    <x v="0"/>
    <x v="0"/>
    <x v="0"/>
    <x v="0"/>
    <s v="DK2_Rural"/>
    <x v="4"/>
    <s v="GNR_ENG_NGAS_BP_E-46"/>
    <x v="0"/>
    <x v="9"/>
    <n v="0.61111111111111105"/>
    <n v="223.055555555556"/>
    <n v="803"/>
  </r>
  <r>
    <x v="0"/>
    <x v="0"/>
    <x v="0"/>
    <x v="0"/>
    <x v="0"/>
    <s v="DK2_Rural"/>
    <x v="4"/>
    <s v="GNR_ENG_NGAS_BP_E-46"/>
    <x v="0"/>
    <x v="10"/>
    <n v="0.61111111111111105"/>
    <n v="223.055555555556"/>
    <n v="803"/>
  </r>
  <r>
    <x v="0"/>
    <x v="0"/>
    <x v="0"/>
    <x v="0"/>
    <x v="0"/>
    <s v="DK2_Rural"/>
    <x v="4"/>
    <s v="GNR_ENG_NGAS_BP_E-46"/>
    <x v="0"/>
    <x v="11"/>
    <n v="0.61111111111111105"/>
    <n v="223.055555555556"/>
    <n v="803"/>
  </r>
  <r>
    <x v="0"/>
    <x v="0"/>
    <x v="0"/>
    <x v="0"/>
    <x v="0"/>
    <s v="DK2_Rural"/>
    <x v="4"/>
    <s v="GNR_ENG_NGAS_BP_E-46"/>
    <x v="0"/>
    <x v="12"/>
    <n v="0.61111111111111105"/>
    <n v="223.055555555556"/>
    <n v="803"/>
  </r>
  <r>
    <x v="0"/>
    <x v="0"/>
    <x v="0"/>
    <x v="0"/>
    <x v="0"/>
    <s v="DK2_Rural"/>
    <x v="4"/>
    <s v="GNR_ENG_NGAS_BP_E-46"/>
    <x v="0"/>
    <x v="13"/>
    <n v="0.61111111111111105"/>
    <n v="223.055555555556"/>
    <n v="803"/>
  </r>
  <r>
    <x v="0"/>
    <x v="0"/>
    <x v="0"/>
    <x v="0"/>
    <x v="0"/>
    <s v="DK2_Rural"/>
    <x v="4"/>
    <s v="GNR_ENG_NGAS_BP_E-46"/>
    <x v="0"/>
    <x v="14"/>
    <n v="0.61111111111111105"/>
    <n v="223.055555555556"/>
    <n v="803"/>
  </r>
  <r>
    <x v="0"/>
    <x v="0"/>
    <x v="0"/>
    <x v="0"/>
    <x v="0"/>
    <s v="DK2_Rural"/>
    <x v="4"/>
    <s v="GNR_ENG_NGAS_BP_E-46"/>
    <x v="0"/>
    <x v="15"/>
    <n v="0.61111111111111105"/>
    <n v="223.055555555556"/>
    <n v="803"/>
  </r>
  <r>
    <x v="0"/>
    <x v="0"/>
    <x v="0"/>
    <x v="0"/>
    <x v="0"/>
    <s v="DK2_Rural"/>
    <x v="4"/>
    <s v="GNR_ENG_NGAS_BP_E-46"/>
    <x v="0"/>
    <x v="16"/>
    <n v="0.61111111111111105"/>
    <n v="223.055555555556"/>
    <n v="803"/>
  </r>
  <r>
    <x v="0"/>
    <x v="0"/>
    <x v="0"/>
    <x v="0"/>
    <x v="0"/>
    <s v="DK2_Rural"/>
    <x v="4"/>
    <s v="GNR_ENG_NGAS_BP_E-46"/>
    <x v="0"/>
    <x v="17"/>
    <n v="0.61111111111111105"/>
    <n v="223.055555555556"/>
    <n v="803"/>
  </r>
  <r>
    <x v="0"/>
    <x v="0"/>
    <x v="0"/>
    <x v="0"/>
    <x v="0"/>
    <s v="DK2_Rural"/>
    <x v="4"/>
    <s v="GNR_ENG_NGAS_BP_E-46"/>
    <x v="0"/>
    <x v="18"/>
    <n v="0.61111111111111105"/>
    <n v="223.055555555556"/>
    <n v="803"/>
  </r>
  <r>
    <x v="0"/>
    <x v="0"/>
    <x v="0"/>
    <x v="0"/>
    <x v="0"/>
    <s v="DK2_Rural"/>
    <x v="4"/>
    <s v="GNR_ENG_NGAS_BP_E-46"/>
    <x v="0"/>
    <x v="19"/>
    <n v="0.61111111111111105"/>
    <n v="223.055555555556"/>
    <n v="803"/>
  </r>
  <r>
    <x v="0"/>
    <x v="0"/>
    <x v="0"/>
    <x v="0"/>
    <x v="0"/>
    <s v="DK2_Rural"/>
    <x v="4"/>
    <s v="GNR_ENG_NGAS_BP_E-46"/>
    <x v="0"/>
    <x v="20"/>
    <n v="0.61111111111111105"/>
    <n v="223.055555555556"/>
    <n v="803"/>
  </r>
  <r>
    <x v="0"/>
    <x v="0"/>
    <x v="0"/>
    <x v="0"/>
    <x v="0"/>
    <s v="DK2_Rural"/>
    <x v="4"/>
    <s v="GNR_ENG_NGAS_BP_E-46"/>
    <x v="0"/>
    <x v="21"/>
    <n v="0.61111111111111105"/>
    <n v="223.055555555556"/>
    <n v="803"/>
  </r>
  <r>
    <x v="0"/>
    <x v="0"/>
    <x v="0"/>
    <x v="0"/>
    <x v="0"/>
    <s v="DK2_Rural"/>
    <x v="4"/>
    <s v="GNR_ENG_NGAS_BP_E-46"/>
    <x v="0"/>
    <x v="22"/>
    <n v="0.61111111111111105"/>
    <n v="223.055555555556"/>
    <n v="803"/>
  </r>
  <r>
    <x v="0"/>
    <x v="0"/>
    <x v="0"/>
    <x v="0"/>
    <x v="0"/>
    <s v="DK2_Rural"/>
    <x v="4"/>
    <s v="GNR_ENG_NGAS_BP_E-46"/>
    <x v="0"/>
    <x v="23"/>
    <n v="0.61111111111111105"/>
    <n v="223.055555555556"/>
    <n v="803"/>
  </r>
  <r>
    <x v="0"/>
    <x v="0"/>
    <x v="0"/>
    <x v="0"/>
    <x v="0"/>
    <s v="DK2_Rural"/>
    <x v="5"/>
    <s v="GNR_BO_STRW_E-100"/>
    <x v="0"/>
    <x v="6"/>
    <n v="19.855822836046499"/>
    <n v="7247.3753351569603"/>
    <n v="26090.551206565098"/>
  </r>
  <r>
    <x v="0"/>
    <x v="0"/>
    <x v="0"/>
    <x v="0"/>
    <x v="0"/>
    <s v="DK2_Rural"/>
    <x v="5"/>
    <s v="GNR_BO_STRW_E-100"/>
    <x v="0"/>
    <x v="7"/>
    <n v="42.864059720450399"/>
    <n v="15645.381797964401"/>
    <n v="56323.3744726718"/>
  </r>
  <r>
    <x v="0"/>
    <x v="0"/>
    <x v="0"/>
    <x v="0"/>
    <x v="0"/>
    <s v="DK2_Rural"/>
    <x v="5"/>
    <s v="GNR_BO_STRW_E-100"/>
    <x v="0"/>
    <x v="8"/>
    <n v="48.386036572707297"/>
    <n v="17660.903349038199"/>
    <n v="63579.2520565374"/>
  </r>
  <r>
    <x v="0"/>
    <x v="0"/>
    <x v="0"/>
    <x v="0"/>
    <x v="0"/>
    <s v="DK2_Rural"/>
    <x v="5"/>
    <s v="GNR_BO_STRW_E-100"/>
    <x v="0"/>
    <x v="9"/>
    <n v="51.278500638175203"/>
    <n v="18716.652732933999"/>
    <n v="67379.949838562199"/>
  </r>
  <r>
    <x v="0"/>
    <x v="0"/>
    <x v="0"/>
    <x v="0"/>
    <x v="0"/>
    <s v="DK2_Rural"/>
    <x v="5"/>
    <s v="GNR_BO_STRW_E-100"/>
    <x v="0"/>
    <x v="10"/>
    <n v="50.489646802138502"/>
    <n v="18428.721082780601"/>
    <n v="66343.39589801"/>
  </r>
  <r>
    <x v="0"/>
    <x v="0"/>
    <x v="0"/>
    <x v="0"/>
    <x v="0"/>
    <s v="DK2_Rural"/>
    <x v="5"/>
    <s v="GNR_BO_STRW_E-100"/>
    <x v="0"/>
    <x v="11"/>
    <n v="50.621122441478001"/>
    <n v="18476.709691139498"/>
    <n v="66516.154888102101"/>
  </r>
  <r>
    <x v="0"/>
    <x v="0"/>
    <x v="0"/>
    <x v="0"/>
    <x v="0"/>
    <s v="DK2_Rural"/>
    <x v="5"/>
    <s v="GNR_BO_STRW_E-100"/>
    <x v="0"/>
    <x v="12"/>
    <n v="49.174890408743998"/>
    <n v="17948.8349991916"/>
    <n v="64615.805997089599"/>
  </r>
  <r>
    <x v="0"/>
    <x v="0"/>
    <x v="0"/>
    <x v="0"/>
    <x v="0"/>
    <s v="DK2_Rural"/>
    <x v="5"/>
    <s v="GNR_BO_STRW_E-100"/>
    <x v="0"/>
    <x v="13"/>
    <n v="43.389962277808202"/>
    <n v="15837.336231400001"/>
    <n v="57014.410433039899"/>
  </r>
  <r>
    <x v="0"/>
    <x v="0"/>
    <x v="0"/>
    <x v="0"/>
    <x v="0"/>
    <s v="DK2_Rural"/>
    <x v="5"/>
    <s v="GNR_BO_STRW_E-100"/>
    <x v="0"/>
    <x v="14"/>
    <n v="44.967669949881603"/>
    <n v="16413.199531706799"/>
    <n v="59087.518314144399"/>
  </r>
  <r>
    <x v="0"/>
    <x v="0"/>
    <x v="0"/>
    <x v="0"/>
    <x v="0"/>
    <s v="DK2_Rural"/>
    <x v="5"/>
    <s v="GNR_BO_STRW_E-100"/>
    <x v="0"/>
    <x v="15"/>
    <n v="46.545377621954998"/>
    <n v="16989.062832013598"/>
    <n v="61160.6261952489"/>
  </r>
  <r>
    <x v="0"/>
    <x v="0"/>
    <x v="0"/>
    <x v="0"/>
    <x v="0"/>
    <s v="DK2_Rural"/>
    <x v="5"/>
    <s v="GNR_BO_STRW_E-100"/>
    <x v="0"/>
    <x v="16"/>
    <n v="49.569317326762402"/>
    <n v="18092.800824268299"/>
    <n v="65134.082967365699"/>
  </r>
  <r>
    <x v="0"/>
    <x v="0"/>
    <x v="0"/>
    <x v="0"/>
    <x v="0"/>
    <s v="DK2_Rural"/>
    <x v="5"/>
    <s v="GNR_BO_STRW_E-100"/>
    <x v="0"/>
    <x v="17"/>
    <n v="48.9119391300651"/>
    <n v="17852.857782473799"/>
    <n v="64270.288016905601"/>
  </r>
  <r>
    <x v="0"/>
    <x v="0"/>
    <x v="0"/>
    <x v="0"/>
    <x v="0"/>
    <s v="DK2_Rural"/>
    <x v="5"/>
    <s v="GNR_BO_STRW_E-100"/>
    <x v="0"/>
    <x v="18"/>
    <n v="46.685619465200702"/>
    <n v="17040.251104798299"/>
    <n v="61344.903977273701"/>
  </r>
  <r>
    <x v="0"/>
    <x v="0"/>
    <x v="0"/>
    <x v="0"/>
    <x v="0"/>
    <s v="DK2_Rural"/>
    <x v="5"/>
    <s v="GNR_BO_STRW_E-100"/>
    <x v="0"/>
    <x v="19"/>
    <n v="46.159716907842899"/>
    <n v="16848.296671362699"/>
    <n v="60653.868016905602"/>
  </r>
  <r>
    <x v="0"/>
    <x v="0"/>
    <x v="0"/>
    <x v="0"/>
    <x v="0"/>
    <s v="DK2_Rural"/>
    <x v="5"/>
    <s v="GNR_BO_STRW_E-100"/>
    <x v="0"/>
    <x v="20"/>
    <n v="43.267252842375001"/>
    <n v="15792.547287466899"/>
    <n v="56853.170234880701"/>
  </r>
  <r>
    <x v="0"/>
    <x v="0"/>
    <x v="0"/>
    <x v="0"/>
    <x v="0"/>
    <s v="DK2_Rural"/>
    <x v="5"/>
    <s v="GNR_BO_STRW_E-100"/>
    <x v="0"/>
    <x v="21"/>
    <n v="25.649517170888601"/>
    <n v="9362.0737673743206"/>
    <n v="33703.465562547601"/>
  </r>
  <r>
    <x v="0"/>
    <x v="0"/>
    <x v="0"/>
    <x v="0"/>
    <x v="0"/>
    <s v="DK2_Rural"/>
    <x v="5"/>
    <s v="GNR_BO_STRW_E-100"/>
    <x v="0"/>
    <x v="22"/>
    <n v="27.086982999716302"/>
    <n v="9886.7487948964408"/>
    <n v="35592.295661627199"/>
  </r>
  <r>
    <x v="0"/>
    <x v="0"/>
    <x v="0"/>
    <x v="0"/>
    <x v="0"/>
    <s v="DK2_Rural"/>
    <x v="5"/>
    <s v="GNR_BO_STRW_E-100"/>
    <x v="0"/>
    <x v="23"/>
    <n v="23.80009201623"/>
    <n v="8687.0335859239494"/>
    <n v="31273.320909326201"/>
  </r>
  <r>
    <x v="0"/>
    <x v="0"/>
    <x v="0"/>
    <x v="0"/>
    <x v="0"/>
    <s v="DK2_Rural"/>
    <x v="5"/>
    <s v="GNR_BO_STRW_E-102"/>
    <x v="0"/>
    <x v="0"/>
    <n v="36.971998869954398"/>
    <n v="13494.7795875334"/>
    <n v="48581.206515120102"/>
  </r>
  <r>
    <x v="0"/>
    <x v="0"/>
    <x v="0"/>
    <x v="0"/>
    <x v="0"/>
    <s v="DK2_Rural"/>
    <x v="5"/>
    <s v="GNR_BO_STRW_E-102"/>
    <x v="0"/>
    <x v="1"/>
    <n v="34.999864279862699"/>
    <n v="12774.9504621499"/>
    <n v="45989.821663739502"/>
  </r>
  <r>
    <x v="0"/>
    <x v="0"/>
    <x v="0"/>
    <x v="0"/>
    <x v="0"/>
    <s v="DK2_Rural"/>
    <x v="5"/>
    <s v="GNR_BO_STRW_E-102"/>
    <x v="0"/>
    <x v="2"/>
    <n v="33.553632247128697"/>
    <n v="12247.075770202"/>
    <n v="44089.472772727102"/>
  </r>
  <r>
    <x v="0"/>
    <x v="0"/>
    <x v="0"/>
    <x v="0"/>
    <x v="0"/>
    <s v="DK2_Rural"/>
    <x v="5"/>
    <s v="GNR_BO_STRW_E-102"/>
    <x v="0"/>
    <x v="3"/>
    <n v="34.605437361844302"/>
    <n v="12630.984637073199"/>
    <n v="45471.544693463402"/>
  </r>
  <r>
    <x v="0"/>
    <x v="0"/>
    <x v="0"/>
    <x v="0"/>
    <x v="0"/>
    <s v="DK2_Rural"/>
    <x v="5"/>
    <s v="GNR_BO_STRW_E-102"/>
    <x v="0"/>
    <x v="4"/>
    <n v="39.732987296082896"/>
    <n v="14502.5403630703"/>
    <n v="52209.145307052902"/>
  </r>
  <r>
    <x v="0"/>
    <x v="0"/>
    <x v="0"/>
    <x v="0"/>
    <x v="0"/>
    <s v="DK2_Rural"/>
    <x v="5"/>
    <s v="GNR_BO_STRW_E-102"/>
    <x v="0"/>
    <x v="5"/>
    <n v="43.545780836927001"/>
    <n v="15894.2100054783"/>
    <n v="57219.156019722002"/>
  </r>
  <r>
    <x v="0"/>
    <x v="0"/>
    <x v="0"/>
    <x v="0"/>
    <x v="0"/>
    <s v="DK2_Rural"/>
    <x v="5"/>
    <s v="GNR_BO_STRW_E-102"/>
    <x v="0"/>
    <x v="6"/>
    <n v="47.75"/>
    <n v="17428.75"/>
    <n v="62743.5"/>
  </r>
  <r>
    <x v="0"/>
    <x v="0"/>
    <x v="0"/>
    <x v="0"/>
    <x v="0"/>
    <s v="DK2_Rural"/>
    <x v="5"/>
    <s v="GNR_BO_STRW_E-102"/>
    <x v="0"/>
    <x v="7"/>
    <n v="47.75"/>
    <n v="17428.75"/>
    <n v="62743.5"/>
  </r>
  <r>
    <x v="0"/>
    <x v="0"/>
    <x v="0"/>
    <x v="0"/>
    <x v="0"/>
    <s v="DK2_Rural"/>
    <x v="5"/>
    <s v="GNR_BO_STRW_E-102"/>
    <x v="0"/>
    <x v="8"/>
    <n v="47.75"/>
    <n v="17428.75"/>
    <n v="62743.5"/>
  </r>
  <r>
    <x v="0"/>
    <x v="0"/>
    <x v="0"/>
    <x v="0"/>
    <x v="0"/>
    <s v="DK2_Rural"/>
    <x v="5"/>
    <s v="GNR_BO_STRW_E-102"/>
    <x v="0"/>
    <x v="9"/>
    <n v="47.75"/>
    <n v="17428.75"/>
    <n v="62743.5"/>
  </r>
  <r>
    <x v="0"/>
    <x v="0"/>
    <x v="0"/>
    <x v="0"/>
    <x v="0"/>
    <s v="DK2_Rural"/>
    <x v="5"/>
    <s v="GNR_BO_STRW_E-102"/>
    <x v="0"/>
    <x v="10"/>
    <n v="47.75"/>
    <n v="17428.75"/>
    <n v="62743.5"/>
  </r>
  <r>
    <x v="0"/>
    <x v="0"/>
    <x v="0"/>
    <x v="0"/>
    <x v="0"/>
    <s v="DK2_Rural"/>
    <x v="5"/>
    <s v="GNR_BO_STRW_E-102"/>
    <x v="0"/>
    <x v="11"/>
    <n v="47.75"/>
    <n v="17428.75"/>
    <n v="62743.5"/>
  </r>
  <r>
    <x v="0"/>
    <x v="0"/>
    <x v="0"/>
    <x v="0"/>
    <x v="0"/>
    <s v="DK2_Rural"/>
    <x v="5"/>
    <s v="GNR_BO_STRW_E-102"/>
    <x v="0"/>
    <x v="12"/>
    <n v="47.75"/>
    <n v="17428.75"/>
    <n v="62743.5"/>
  </r>
  <r>
    <x v="0"/>
    <x v="0"/>
    <x v="0"/>
    <x v="0"/>
    <x v="0"/>
    <s v="DK2_Rural"/>
    <x v="5"/>
    <s v="GNR_BO_STRW_E-102"/>
    <x v="0"/>
    <x v="13"/>
    <n v="47.75"/>
    <n v="17428.75"/>
    <n v="62743.5"/>
  </r>
  <r>
    <x v="0"/>
    <x v="0"/>
    <x v="0"/>
    <x v="0"/>
    <x v="0"/>
    <s v="DK2_Rural"/>
    <x v="5"/>
    <s v="GNR_BO_STRW_E-102"/>
    <x v="0"/>
    <x v="14"/>
    <n v="47.75"/>
    <n v="17428.75"/>
    <n v="62743.5"/>
  </r>
  <r>
    <x v="0"/>
    <x v="0"/>
    <x v="0"/>
    <x v="0"/>
    <x v="0"/>
    <s v="DK2_Rural"/>
    <x v="5"/>
    <s v="GNR_BO_STRW_E-102"/>
    <x v="0"/>
    <x v="15"/>
    <n v="47.75"/>
    <n v="17428.75"/>
    <n v="62743.5"/>
  </r>
  <r>
    <x v="0"/>
    <x v="0"/>
    <x v="0"/>
    <x v="0"/>
    <x v="0"/>
    <s v="DK2_Rural"/>
    <x v="5"/>
    <s v="GNR_BO_STRW_E-102"/>
    <x v="0"/>
    <x v="16"/>
    <n v="47.75"/>
    <n v="17428.75"/>
    <n v="62743.5"/>
  </r>
  <r>
    <x v="0"/>
    <x v="0"/>
    <x v="0"/>
    <x v="0"/>
    <x v="0"/>
    <s v="DK2_Rural"/>
    <x v="5"/>
    <s v="GNR_BO_STRW_E-102"/>
    <x v="0"/>
    <x v="17"/>
    <n v="47.75"/>
    <n v="17428.75"/>
    <n v="62743.5"/>
  </r>
  <r>
    <x v="0"/>
    <x v="0"/>
    <x v="0"/>
    <x v="0"/>
    <x v="0"/>
    <s v="DK2_Rural"/>
    <x v="5"/>
    <s v="GNR_BO_STRW_E-102"/>
    <x v="0"/>
    <x v="18"/>
    <n v="47.75"/>
    <n v="17428.75"/>
    <n v="62743.5"/>
  </r>
  <r>
    <x v="0"/>
    <x v="0"/>
    <x v="0"/>
    <x v="0"/>
    <x v="0"/>
    <s v="DK2_Rural"/>
    <x v="5"/>
    <s v="GNR_BO_STRW_E-102"/>
    <x v="0"/>
    <x v="19"/>
    <n v="47.75"/>
    <n v="17428.75"/>
    <n v="62743.5"/>
  </r>
  <r>
    <x v="0"/>
    <x v="0"/>
    <x v="0"/>
    <x v="0"/>
    <x v="0"/>
    <s v="DK2_Rural"/>
    <x v="5"/>
    <s v="GNR_BO_STRW_E-102"/>
    <x v="0"/>
    <x v="20"/>
    <n v="47.75"/>
    <n v="17428.75"/>
    <n v="62743.5"/>
  </r>
  <r>
    <x v="0"/>
    <x v="0"/>
    <x v="0"/>
    <x v="0"/>
    <x v="0"/>
    <s v="DK2_Rural"/>
    <x v="5"/>
    <s v="GNR_BO_STRW_E-102"/>
    <x v="0"/>
    <x v="21"/>
    <n v="47.75"/>
    <n v="17428.75"/>
    <n v="62743.5"/>
  </r>
  <r>
    <x v="0"/>
    <x v="0"/>
    <x v="0"/>
    <x v="0"/>
    <x v="0"/>
    <s v="DK2_Rural"/>
    <x v="5"/>
    <s v="GNR_BO_STRW_E-102"/>
    <x v="0"/>
    <x v="22"/>
    <n v="47.75"/>
    <n v="17428.75"/>
    <n v="62743.5"/>
  </r>
  <r>
    <x v="0"/>
    <x v="0"/>
    <x v="0"/>
    <x v="0"/>
    <x v="0"/>
    <s v="DK2_Rural"/>
    <x v="5"/>
    <s v="GNR_BO_STRW_E-102"/>
    <x v="0"/>
    <x v="23"/>
    <n v="47.75"/>
    <n v="17428.75"/>
    <n v="62743.5"/>
  </r>
  <r>
    <x v="0"/>
    <x v="0"/>
    <x v="0"/>
    <x v="0"/>
    <x v="0"/>
    <s v="DK2_Rural"/>
    <x v="5"/>
    <s v="GNR_ST_STRW_BP_E-24"/>
    <x v="0"/>
    <x v="0"/>
    <n v="11.2446355509146"/>
    <n v="4104.2919760838204"/>
    <n v="14775.4511139018"/>
  </r>
  <r>
    <x v="0"/>
    <x v="0"/>
    <x v="0"/>
    <x v="0"/>
    <x v="0"/>
    <s v="DK2_Rural"/>
    <x v="5"/>
    <s v="GNR_ST_STRW_BP_E-24"/>
    <x v="0"/>
    <x v="1"/>
    <n v="11.2446355509146"/>
    <n v="4104.2919760838204"/>
    <n v="14775.4511139018"/>
  </r>
  <r>
    <x v="0"/>
    <x v="0"/>
    <x v="0"/>
    <x v="0"/>
    <x v="0"/>
    <s v="DK2_Rural"/>
    <x v="5"/>
    <s v="GNR_ST_STRW_BP_E-24"/>
    <x v="0"/>
    <x v="2"/>
    <n v="11.2446355509146"/>
    <n v="4104.2919760838204"/>
    <n v="14775.4511139018"/>
  </r>
  <r>
    <x v="0"/>
    <x v="0"/>
    <x v="0"/>
    <x v="0"/>
    <x v="0"/>
    <s v="DK2_Rural"/>
    <x v="5"/>
    <s v="GNR_ST_STRW_BP_E-24"/>
    <x v="0"/>
    <x v="3"/>
    <n v="11.2446355509146"/>
    <n v="4104.2919760838204"/>
    <n v="14775.4511139018"/>
  </r>
  <r>
    <x v="0"/>
    <x v="0"/>
    <x v="0"/>
    <x v="0"/>
    <x v="0"/>
    <s v="DK2_Rural"/>
    <x v="5"/>
    <s v="GNR_ST_STRW_BP_E-24"/>
    <x v="0"/>
    <x v="4"/>
    <n v="11.2446355509146"/>
    <n v="4104.2919760838204"/>
    <n v="14775.4511139018"/>
  </r>
  <r>
    <x v="0"/>
    <x v="0"/>
    <x v="0"/>
    <x v="0"/>
    <x v="0"/>
    <s v="DK2_Rural"/>
    <x v="5"/>
    <s v="GNR_ST_STRW_BP_E-24"/>
    <x v="0"/>
    <x v="5"/>
    <n v="11.2446355509146"/>
    <n v="4104.2919760838204"/>
    <n v="14775.4511139018"/>
  </r>
  <r>
    <x v="0"/>
    <x v="0"/>
    <x v="0"/>
    <x v="0"/>
    <x v="0"/>
    <s v="DK2_Rural"/>
    <x v="5"/>
    <s v="GNR_ST_STRW_BP_E-24"/>
    <x v="0"/>
    <x v="6"/>
    <n v="11.2446355509146"/>
    <n v="4104.2919760838204"/>
    <n v="14775.4511139018"/>
  </r>
  <r>
    <x v="0"/>
    <x v="0"/>
    <x v="0"/>
    <x v="0"/>
    <x v="0"/>
    <s v="DK2_Rural"/>
    <x v="5"/>
    <s v="GNR_ST_STRW_BP_E-24"/>
    <x v="0"/>
    <x v="7"/>
    <n v="11.2446355509146"/>
    <n v="4104.2919760838204"/>
    <n v="14775.4511139018"/>
  </r>
  <r>
    <x v="0"/>
    <x v="0"/>
    <x v="0"/>
    <x v="0"/>
    <x v="0"/>
    <s v="DK2_Rural"/>
    <x v="5"/>
    <s v="GNR_ST_STRW_BP_E-24"/>
    <x v="0"/>
    <x v="8"/>
    <n v="11.2446355509146"/>
    <n v="4104.2919760838204"/>
    <n v="14775.4511139018"/>
  </r>
  <r>
    <x v="0"/>
    <x v="0"/>
    <x v="0"/>
    <x v="0"/>
    <x v="0"/>
    <s v="DK2_Rural"/>
    <x v="5"/>
    <s v="GNR_ST_STRW_BP_E-24"/>
    <x v="0"/>
    <x v="9"/>
    <n v="11.2446355509146"/>
    <n v="4104.2919760838204"/>
    <n v="14775.4511139018"/>
  </r>
  <r>
    <x v="0"/>
    <x v="0"/>
    <x v="0"/>
    <x v="0"/>
    <x v="0"/>
    <s v="DK2_Rural"/>
    <x v="5"/>
    <s v="GNR_ST_STRW_BP_E-24"/>
    <x v="0"/>
    <x v="10"/>
    <n v="11.2446355509146"/>
    <n v="4104.2919760838204"/>
    <n v="14775.4511139018"/>
  </r>
  <r>
    <x v="0"/>
    <x v="0"/>
    <x v="0"/>
    <x v="0"/>
    <x v="0"/>
    <s v="DK2_Rural"/>
    <x v="5"/>
    <s v="GNR_ST_STRW_BP_E-24"/>
    <x v="0"/>
    <x v="11"/>
    <n v="11.2446355509146"/>
    <n v="4104.2919760838204"/>
    <n v="14775.4511139018"/>
  </r>
  <r>
    <x v="0"/>
    <x v="0"/>
    <x v="0"/>
    <x v="0"/>
    <x v="0"/>
    <s v="DK2_Rural"/>
    <x v="5"/>
    <s v="GNR_ST_STRW_BP_E-24"/>
    <x v="0"/>
    <x v="12"/>
    <n v="11.2446355509146"/>
    <n v="4104.2919760838204"/>
    <n v="14775.4511139018"/>
  </r>
  <r>
    <x v="0"/>
    <x v="0"/>
    <x v="0"/>
    <x v="0"/>
    <x v="0"/>
    <s v="DK2_Rural"/>
    <x v="5"/>
    <s v="GNR_ST_STRW_BP_E-24"/>
    <x v="0"/>
    <x v="13"/>
    <n v="11.2446355509146"/>
    <n v="4104.2919760838204"/>
    <n v="14775.4511139018"/>
  </r>
  <r>
    <x v="0"/>
    <x v="0"/>
    <x v="0"/>
    <x v="0"/>
    <x v="0"/>
    <s v="DK2_Rural"/>
    <x v="5"/>
    <s v="GNR_ST_STRW_BP_E-24"/>
    <x v="0"/>
    <x v="14"/>
    <n v="11.2446355509146"/>
    <n v="4104.2919760838204"/>
    <n v="14775.4511139018"/>
  </r>
  <r>
    <x v="0"/>
    <x v="0"/>
    <x v="0"/>
    <x v="0"/>
    <x v="0"/>
    <s v="DK2_Rural"/>
    <x v="5"/>
    <s v="GNR_ST_STRW_BP_E-24"/>
    <x v="0"/>
    <x v="15"/>
    <n v="11.2446355509146"/>
    <n v="4104.2919760838204"/>
    <n v="14775.4511139018"/>
  </r>
  <r>
    <x v="0"/>
    <x v="0"/>
    <x v="0"/>
    <x v="0"/>
    <x v="0"/>
    <s v="DK2_Rural"/>
    <x v="5"/>
    <s v="GNR_ST_STRW_BP_E-24"/>
    <x v="0"/>
    <x v="16"/>
    <n v="11.2446355509146"/>
    <n v="4104.2919760838204"/>
    <n v="14775.4511139018"/>
  </r>
  <r>
    <x v="0"/>
    <x v="0"/>
    <x v="0"/>
    <x v="0"/>
    <x v="0"/>
    <s v="DK2_Rural"/>
    <x v="5"/>
    <s v="GNR_ST_STRW_BP_E-24"/>
    <x v="0"/>
    <x v="17"/>
    <n v="11.2446355509146"/>
    <n v="4104.2919760838204"/>
    <n v="14775.4511139018"/>
  </r>
  <r>
    <x v="0"/>
    <x v="0"/>
    <x v="0"/>
    <x v="0"/>
    <x v="0"/>
    <s v="DK2_Rural"/>
    <x v="5"/>
    <s v="GNR_ST_STRW_BP_E-24"/>
    <x v="0"/>
    <x v="18"/>
    <n v="11.2446355509146"/>
    <n v="4104.2919760838204"/>
    <n v="14775.4511139018"/>
  </r>
  <r>
    <x v="0"/>
    <x v="0"/>
    <x v="0"/>
    <x v="0"/>
    <x v="0"/>
    <s v="DK2_Rural"/>
    <x v="5"/>
    <s v="GNR_ST_STRW_BP_E-24"/>
    <x v="0"/>
    <x v="19"/>
    <n v="11.2446355509146"/>
    <n v="4104.2919760838204"/>
    <n v="14775.4511139018"/>
  </r>
  <r>
    <x v="0"/>
    <x v="0"/>
    <x v="0"/>
    <x v="0"/>
    <x v="0"/>
    <s v="DK2_Rural"/>
    <x v="5"/>
    <s v="GNR_ST_STRW_BP_E-24"/>
    <x v="0"/>
    <x v="20"/>
    <n v="11.2446355509146"/>
    <n v="4104.2919760838204"/>
    <n v="14775.4511139018"/>
  </r>
  <r>
    <x v="0"/>
    <x v="0"/>
    <x v="0"/>
    <x v="0"/>
    <x v="0"/>
    <s v="DK2_Rural"/>
    <x v="5"/>
    <s v="GNR_ST_STRW_BP_E-24"/>
    <x v="0"/>
    <x v="21"/>
    <n v="11.2446355509146"/>
    <n v="4104.2919760838204"/>
    <n v="14775.4511139018"/>
  </r>
  <r>
    <x v="0"/>
    <x v="0"/>
    <x v="0"/>
    <x v="0"/>
    <x v="0"/>
    <s v="DK2_Rural"/>
    <x v="5"/>
    <s v="GNR_ST_STRW_BP_E-24"/>
    <x v="0"/>
    <x v="22"/>
    <n v="11.2446355509146"/>
    <n v="4104.2919760838204"/>
    <n v="14775.4511139018"/>
  </r>
  <r>
    <x v="0"/>
    <x v="0"/>
    <x v="0"/>
    <x v="0"/>
    <x v="0"/>
    <s v="DK2_Rural"/>
    <x v="5"/>
    <s v="GNR_ST_STRW_BP_E-24"/>
    <x v="0"/>
    <x v="23"/>
    <n v="11.2446355509146"/>
    <n v="4104.2919760838204"/>
    <n v="14775.4511139018"/>
  </r>
  <r>
    <x v="0"/>
    <x v="0"/>
    <x v="0"/>
    <x v="0"/>
    <x v="0"/>
    <s v="DK2_Rural"/>
    <x v="5"/>
    <s v="GNR_ST_STRW_BP_E-27"/>
    <x v="0"/>
    <x v="0"/>
    <n v="22.444292559625499"/>
    <n v="8192.1667842633105"/>
    <n v="29491.800423347901"/>
  </r>
  <r>
    <x v="0"/>
    <x v="0"/>
    <x v="0"/>
    <x v="0"/>
    <x v="0"/>
    <s v="DK2_Rural"/>
    <x v="5"/>
    <s v="GNR_ST_STRW_BP_E-27"/>
    <x v="0"/>
    <x v="1"/>
    <n v="22.444292559625499"/>
    <n v="8192.1667842633105"/>
    <n v="29491.800423347901"/>
  </r>
  <r>
    <x v="0"/>
    <x v="0"/>
    <x v="0"/>
    <x v="0"/>
    <x v="0"/>
    <s v="DK2_Rural"/>
    <x v="5"/>
    <s v="GNR_ST_STRW_BP_E-27"/>
    <x v="0"/>
    <x v="2"/>
    <n v="22.444292559625499"/>
    <n v="8192.1667842633105"/>
    <n v="29491.800423347901"/>
  </r>
  <r>
    <x v="0"/>
    <x v="0"/>
    <x v="0"/>
    <x v="0"/>
    <x v="0"/>
    <s v="DK2_Rural"/>
    <x v="5"/>
    <s v="GNR_ST_STRW_BP_E-27"/>
    <x v="0"/>
    <x v="3"/>
    <n v="22.444292559625499"/>
    <n v="8192.1667842633105"/>
    <n v="29491.800423347901"/>
  </r>
  <r>
    <x v="0"/>
    <x v="0"/>
    <x v="0"/>
    <x v="0"/>
    <x v="0"/>
    <s v="DK2_Rural"/>
    <x v="5"/>
    <s v="GNR_ST_STRW_BP_E-27"/>
    <x v="0"/>
    <x v="4"/>
    <n v="22.444292559625499"/>
    <n v="8192.1667842633105"/>
    <n v="29491.800423347901"/>
  </r>
  <r>
    <x v="0"/>
    <x v="0"/>
    <x v="0"/>
    <x v="0"/>
    <x v="0"/>
    <s v="DK2_Rural"/>
    <x v="5"/>
    <s v="GNR_ST_STRW_BP_E-27"/>
    <x v="0"/>
    <x v="5"/>
    <n v="22.444292559625499"/>
    <n v="8192.1667842633105"/>
    <n v="29491.800423347901"/>
  </r>
  <r>
    <x v="0"/>
    <x v="0"/>
    <x v="0"/>
    <x v="0"/>
    <x v="0"/>
    <s v="DK2_Rural"/>
    <x v="5"/>
    <s v="GNR_ST_STRW_BP_E-27"/>
    <x v="0"/>
    <x v="6"/>
    <n v="22.444292559625499"/>
    <n v="8192.1667842633105"/>
    <n v="29491.800423347901"/>
  </r>
  <r>
    <x v="0"/>
    <x v="0"/>
    <x v="0"/>
    <x v="0"/>
    <x v="0"/>
    <s v="DK2_Rural"/>
    <x v="5"/>
    <s v="GNR_ST_STRW_BP_E-27"/>
    <x v="0"/>
    <x v="7"/>
    <n v="22.444292559625499"/>
    <n v="8192.1667842633105"/>
    <n v="29491.800423347901"/>
  </r>
  <r>
    <x v="0"/>
    <x v="0"/>
    <x v="0"/>
    <x v="0"/>
    <x v="0"/>
    <s v="DK2_Rural"/>
    <x v="5"/>
    <s v="GNR_ST_STRW_BP_E-27"/>
    <x v="0"/>
    <x v="8"/>
    <n v="22.444292559625499"/>
    <n v="8192.1667842633105"/>
    <n v="29491.800423347901"/>
  </r>
  <r>
    <x v="0"/>
    <x v="0"/>
    <x v="0"/>
    <x v="0"/>
    <x v="0"/>
    <s v="DK2_Rural"/>
    <x v="5"/>
    <s v="GNR_ST_STRW_BP_E-27"/>
    <x v="0"/>
    <x v="9"/>
    <n v="22.444292559625499"/>
    <n v="8192.1667842633105"/>
    <n v="29491.800423347901"/>
  </r>
  <r>
    <x v="0"/>
    <x v="0"/>
    <x v="0"/>
    <x v="0"/>
    <x v="0"/>
    <s v="DK2_Rural"/>
    <x v="5"/>
    <s v="GNR_ST_STRW_BP_E-27"/>
    <x v="0"/>
    <x v="10"/>
    <n v="22.444292559625499"/>
    <n v="8192.1667842633105"/>
    <n v="29491.800423347901"/>
  </r>
  <r>
    <x v="0"/>
    <x v="0"/>
    <x v="0"/>
    <x v="0"/>
    <x v="0"/>
    <s v="DK2_Rural"/>
    <x v="5"/>
    <s v="GNR_ST_STRW_BP_E-27"/>
    <x v="0"/>
    <x v="11"/>
    <n v="22.444292559625499"/>
    <n v="8192.1667842633105"/>
    <n v="29491.800423347901"/>
  </r>
  <r>
    <x v="0"/>
    <x v="0"/>
    <x v="0"/>
    <x v="0"/>
    <x v="0"/>
    <s v="DK2_Rural"/>
    <x v="5"/>
    <s v="GNR_ST_STRW_BP_E-27"/>
    <x v="0"/>
    <x v="12"/>
    <n v="22.444292559625499"/>
    <n v="8192.1667842633105"/>
    <n v="29491.800423347901"/>
  </r>
  <r>
    <x v="0"/>
    <x v="0"/>
    <x v="0"/>
    <x v="0"/>
    <x v="0"/>
    <s v="DK2_Rural"/>
    <x v="5"/>
    <s v="GNR_ST_STRW_BP_E-27"/>
    <x v="0"/>
    <x v="13"/>
    <n v="22.444292559625499"/>
    <n v="8192.1667842633105"/>
    <n v="29491.800423347901"/>
  </r>
  <r>
    <x v="0"/>
    <x v="0"/>
    <x v="0"/>
    <x v="0"/>
    <x v="0"/>
    <s v="DK2_Rural"/>
    <x v="5"/>
    <s v="GNR_ST_STRW_BP_E-27"/>
    <x v="0"/>
    <x v="14"/>
    <n v="22.444292559625499"/>
    <n v="8192.1667842633105"/>
    <n v="29491.800423347901"/>
  </r>
  <r>
    <x v="0"/>
    <x v="0"/>
    <x v="0"/>
    <x v="0"/>
    <x v="0"/>
    <s v="DK2_Rural"/>
    <x v="5"/>
    <s v="GNR_ST_STRW_BP_E-27"/>
    <x v="0"/>
    <x v="15"/>
    <n v="22.444292559625499"/>
    <n v="8192.1667842633105"/>
    <n v="29491.800423347901"/>
  </r>
  <r>
    <x v="0"/>
    <x v="0"/>
    <x v="0"/>
    <x v="0"/>
    <x v="0"/>
    <s v="DK2_Rural"/>
    <x v="5"/>
    <s v="GNR_ST_STRW_BP_E-27"/>
    <x v="0"/>
    <x v="16"/>
    <n v="22.444292559625499"/>
    <n v="8192.1667842633105"/>
    <n v="29491.800423347901"/>
  </r>
  <r>
    <x v="0"/>
    <x v="0"/>
    <x v="0"/>
    <x v="0"/>
    <x v="0"/>
    <s v="DK2_Rural"/>
    <x v="5"/>
    <s v="GNR_ST_STRW_BP_E-27"/>
    <x v="0"/>
    <x v="17"/>
    <n v="22.444292559625499"/>
    <n v="8192.1667842633105"/>
    <n v="29491.800423347901"/>
  </r>
  <r>
    <x v="0"/>
    <x v="0"/>
    <x v="0"/>
    <x v="0"/>
    <x v="0"/>
    <s v="DK2_Rural"/>
    <x v="5"/>
    <s v="GNR_ST_STRW_BP_E-27"/>
    <x v="0"/>
    <x v="18"/>
    <n v="22.444292559625499"/>
    <n v="8192.1667842633105"/>
    <n v="29491.800423347901"/>
  </r>
  <r>
    <x v="0"/>
    <x v="0"/>
    <x v="0"/>
    <x v="0"/>
    <x v="0"/>
    <s v="DK2_Rural"/>
    <x v="5"/>
    <s v="GNR_ST_STRW_BP_E-27"/>
    <x v="0"/>
    <x v="19"/>
    <n v="22.444292559625499"/>
    <n v="8192.1667842633105"/>
    <n v="29491.800423347901"/>
  </r>
  <r>
    <x v="0"/>
    <x v="0"/>
    <x v="0"/>
    <x v="0"/>
    <x v="0"/>
    <s v="DK2_Rural"/>
    <x v="5"/>
    <s v="GNR_ST_STRW_BP_E-27"/>
    <x v="0"/>
    <x v="20"/>
    <n v="22.444292559625499"/>
    <n v="8192.1667842633105"/>
    <n v="29491.800423347901"/>
  </r>
  <r>
    <x v="0"/>
    <x v="0"/>
    <x v="0"/>
    <x v="0"/>
    <x v="0"/>
    <s v="DK2_Rural"/>
    <x v="5"/>
    <s v="GNR_ST_STRW_BP_E-27"/>
    <x v="0"/>
    <x v="21"/>
    <n v="22.444292559625499"/>
    <n v="8192.1667842633105"/>
    <n v="29491.800423347901"/>
  </r>
  <r>
    <x v="0"/>
    <x v="0"/>
    <x v="0"/>
    <x v="0"/>
    <x v="0"/>
    <s v="DK2_Rural"/>
    <x v="5"/>
    <s v="GNR_ST_STRW_BP_E-27"/>
    <x v="0"/>
    <x v="22"/>
    <n v="22.444292559625499"/>
    <n v="8192.1667842633105"/>
    <n v="29491.800423347901"/>
  </r>
  <r>
    <x v="0"/>
    <x v="0"/>
    <x v="0"/>
    <x v="0"/>
    <x v="0"/>
    <s v="DK2_Rural"/>
    <x v="5"/>
    <s v="GNR_ST_STRW_BP_E-27"/>
    <x v="0"/>
    <x v="23"/>
    <n v="22.444292559625499"/>
    <n v="8192.1667842633105"/>
    <n v="29491.800423347901"/>
  </r>
  <r>
    <x v="0"/>
    <x v="0"/>
    <x v="0"/>
    <x v="0"/>
    <x v="0"/>
    <s v="DK2_Rural"/>
    <x v="5"/>
    <s v="GNR_ST_STRW_BP_E-28"/>
    <x v="0"/>
    <x v="0"/>
    <n v="25.862661767103599"/>
    <n v="9439.8715449928004"/>
    <n v="33983.537561974103"/>
  </r>
  <r>
    <x v="0"/>
    <x v="0"/>
    <x v="0"/>
    <x v="0"/>
    <x v="0"/>
    <s v="DK2_Rural"/>
    <x v="5"/>
    <s v="GNR_ST_STRW_BP_E-28"/>
    <x v="0"/>
    <x v="1"/>
    <n v="25.862661767103599"/>
    <n v="9439.8715449928004"/>
    <n v="33983.537561974103"/>
  </r>
  <r>
    <x v="0"/>
    <x v="0"/>
    <x v="0"/>
    <x v="0"/>
    <x v="0"/>
    <s v="DK2_Rural"/>
    <x v="5"/>
    <s v="GNR_ST_STRW_BP_E-28"/>
    <x v="0"/>
    <x v="2"/>
    <n v="25.862661767103599"/>
    <n v="9439.8715449928004"/>
    <n v="33983.537561974103"/>
  </r>
  <r>
    <x v="0"/>
    <x v="0"/>
    <x v="0"/>
    <x v="0"/>
    <x v="0"/>
    <s v="DK2_Rural"/>
    <x v="5"/>
    <s v="GNR_ST_STRW_BP_E-28"/>
    <x v="0"/>
    <x v="3"/>
    <n v="25.862661767103599"/>
    <n v="9439.8715449928004"/>
    <n v="33983.537561974103"/>
  </r>
  <r>
    <x v="0"/>
    <x v="0"/>
    <x v="0"/>
    <x v="0"/>
    <x v="0"/>
    <s v="DK2_Rural"/>
    <x v="5"/>
    <s v="GNR_ST_STRW_BP_E-28"/>
    <x v="0"/>
    <x v="4"/>
    <n v="25.862661767103599"/>
    <n v="9439.8715449928004"/>
    <n v="33983.537561974103"/>
  </r>
  <r>
    <x v="0"/>
    <x v="0"/>
    <x v="0"/>
    <x v="0"/>
    <x v="0"/>
    <s v="DK2_Rural"/>
    <x v="5"/>
    <s v="GNR_ST_STRW_BP_E-28"/>
    <x v="0"/>
    <x v="5"/>
    <n v="25.862661767103599"/>
    <n v="9439.8715449928004"/>
    <n v="33983.537561974103"/>
  </r>
  <r>
    <x v="0"/>
    <x v="0"/>
    <x v="0"/>
    <x v="0"/>
    <x v="0"/>
    <s v="DK2_Rural"/>
    <x v="5"/>
    <s v="GNR_ST_STRW_BP_E-28"/>
    <x v="0"/>
    <x v="6"/>
    <n v="25.862661767103599"/>
    <n v="9439.8715449928004"/>
    <n v="33983.537561974103"/>
  </r>
  <r>
    <x v="0"/>
    <x v="0"/>
    <x v="0"/>
    <x v="0"/>
    <x v="0"/>
    <s v="DK2_Rural"/>
    <x v="5"/>
    <s v="GNR_ST_STRW_BP_E-28"/>
    <x v="0"/>
    <x v="7"/>
    <n v="25.862661767103599"/>
    <n v="9439.8715449928004"/>
    <n v="33983.537561974103"/>
  </r>
  <r>
    <x v="0"/>
    <x v="0"/>
    <x v="0"/>
    <x v="0"/>
    <x v="0"/>
    <s v="DK2_Rural"/>
    <x v="5"/>
    <s v="GNR_ST_STRW_BP_E-28"/>
    <x v="0"/>
    <x v="8"/>
    <n v="25.862661767103599"/>
    <n v="9439.8715449928004"/>
    <n v="33983.537561974103"/>
  </r>
  <r>
    <x v="0"/>
    <x v="0"/>
    <x v="0"/>
    <x v="0"/>
    <x v="0"/>
    <s v="DK2_Rural"/>
    <x v="5"/>
    <s v="GNR_ST_STRW_BP_E-28"/>
    <x v="0"/>
    <x v="9"/>
    <n v="25.862661767103599"/>
    <n v="9439.8715449928004"/>
    <n v="33983.537561974103"/>
  </r>
  <r>
    <x v="0"/>
    <x v="0"/>
    <x v="0"/>
    <x v="0"/>
    <x v="0"/>
    <s v="DK2_Rural"/>
    <x v="5"/>
    <s v="GNR_ST_STRW_BP_E-28"/>
    <x v="0"/>
    <x v="10"/>
    <n v="25.862661767103599"/>
    <n v="9439.8715449928004"/>
    <n v="33983.537561974103"/>
  </r>
  <r>
    <x v="0"/>
    <x v="0"/>
    <x v="0"/>
    <x v="0"/>
    <x v="0"/>
    <s v="DK2_Rural"/>
    <x v="5"/>
    <s v="GNR_ST_STRW_BP_E-28"/>
    <x v="0"/>
    <x v="11"/>
    <n v="25.862661767103599"/>
    <n v="9439.8715449928004"/>
    <n v="33983.537561974103"/>
  </r>
  <r>
    <x v="0"/>
    <x v="0"/>
    <x v="0"/>
    <x v="0"/>
    <x v="0"/>
    <s v="DK2_Rural"/>
    <x v="5"/>
    <s v="GNR_ST_STRW_BP_E-28"/>
    <x v="0"/>
    <x v="12"/>
    <n v="25.862661767103599"/>
    <n v="9439.8715449928004"/>
    <n v="33983.537561974103"/>
  </r>
  <r>
    <x v="0"/>
    <x v="0"/>
    <x v="0"/>
    <x v="0"/>
    <x v="0"/>
    <s v="DK2_Rural"/>
    <x v="5"/>
    <s v="GNR_ST_STRW_BP_E-28"/>
    <x v="0"/>
    <x v="13"/>
    <n v="25.862661767103599"/>
    <n v="9439.8715449928004"/>
    <n v="33983.537561974103"/>
  </r>
  <r>
    <x v="0"/>
    <x v="0"/>
    <x v="0"/>
    <x v="0"/>
    <x v="0"/>
    <s v="DK2_Rural"/>
    <x v="5"/>
    <s v="GNR_ST_STRW_BP_E-28"/>
    <x v="0"/>
    <x v="14"/>
    <n v="25.862661767103599"/>
    <n v="9439.8715449928004"/>
    <n v="33983.537561974103"/>
  </r>
  <r>
    <x v="0"/>
    <x v="0"/>
    <x v="0"/>
    <x v="0"/>
    <x v="0"/>
    <s v="DK2_Rural"/>
    <x v="5"/>
    <s v="GNR_ST_STRW_BP_E-28"/>
    <x v="0"/>
    <x v="15"/>
    <n v="25.862661767103599"/>
    <n v="9439.8715449928004"/>
    <n v="33983.537561974103"/>
  </r>
  <r>
    <x v="0"/>
    <x v="0"/>
    <x v="0"/>
    <x v="0"/>
    <x v="0"/>
    <s v="DK2_Rural"/>
    <x v="5"/>
    <s v="GNR_ST_STRW_BP_E-28"/>
    <x v="0"/>
    <x v="16"/>
    <n v="25.862661767103599"/>
    <n v="9439.8715449928004"/>
    <n v="33983.537561974103"/>
  </r>
  <r>
    <x v="0"/>
    <x v="0"/>
    <x v="0"/>
    <x v="0"/>
    <x v="0"/>
    <s v="DK2_Rural"/>
    <x v="5"/>
    <s v="GNR_ST_STRW_BP_E-28"/>
    <x v="0"/>
    <x v="17"/>
    <n v="25.862661767103599"/>
    <n v="9439.8715449928004"/>
    <n v="33983.537561974103"/>
  </r>
  <r>
    <x v="0"/>
    <x v="0"/>
    <x v="0"/>
    <x v="0"/>
    <x v="0"/>
    <s v="DK2_Rural"/>
    <x v="5"/>
    <s v="GNR_ST_STRW_BP_E-28"/>
    <x v="0"/>
    <x v="18"/>
    <n v="25.862661767103599"/>
    <n v="9439.8715449928004"/>
    <n v="33983.537561974103"/>
  </r>
  <r>
    <x v="0"/>
    <x v="0"/>
    <x v="0"/>
    <x v="0"/>
    <x v="0"/>
    <s v="DK2_Rural"/>
    <x v="5"/>
    <s v="GNR_ST_STRW_BP_E-28"/>
    <x v="0"/>
    <x v="19"/>
    <n v="25.862661767103599"/>
    <n v="9439.8715449928004"/>
    <n v="33983.537561974103"/>
  </r>
  <r>
    <x v="0"/>
    <x v="0"/>
    <x v="0"/>
    <x v="0"/>
    <x v="0"/>
    <s v="DK2_Rural"/>
    <x v="5"/>
    <s v="GNR_ST_STRW_BP_E-28"/>
    <x v="0"/>
    <x v="20"/>
    <n v="25.862661767103599"/>
    <n v="9439.8715449928004"/>
    <n v="33983.537561974103"/>
  </r>
  <r>
    <x v="0"/>
    <x v="0"/>
    <x v="0"/>
    <x v="0"/>
    <x v="0"/>
    <s v="DK2_Rural"/>
    <x v="5"/>
    <s v="GNR_ST_STRW_BP_E-28"/>
    <x v="0"/>
    <x v="21"/>
    <n v="25.862661767103599"/>
    <n v="9439.8715449928004"/>
    <n v="33983.537561974103"/>
  </r>
  <r>
    <x v="0"/>
    <x v="0"/>
    <x v="0"/>
    <x v="0"/>
    <x v="0"/>
    <s v="DK2_Rural"/>
    <x v="5"/>
    <s v="GNR_ST_STRW_BP_E-28"/>
    <x v="0"/>
    <x v="22"/>
    <n v="25.862661767103599"/>
    <n v="9439.8715449928004"/>
    <n v="33983.537561974103"/>
  </r>
  <r>
    <x v="0"/>
    <x v="0"/>
    <x v="0"/>
    <x v="0"/>
    <x v="0"/>
    <s v="DK2_Rural"/>
    <x v="5"/>
    <s v="GNR_ST_STRW_BP_E-28"/>
    <x v="0"/>
    <x v="23"/>
    <n v="25.862661767103599"/>
    <n v="9439.8715449928004"/>
    <n v="33983.537561974103"/>
  </r>
  <r>
    <x v="0"/>
    <x v="0"/>
    <x v="0"/>
    <x v="0"/>
    <x v="0"/>
    <s v="DK2_Rural"/>
    <x v="2"/>
    <s v="GNR_EH_HEAT"/>
    <x v="0"/>
    <x v="0"/>
    <n v="16.5"/>
    <n v="6022.5"/>
    <n v="21681"/>
  </r>
  <r>
    <x v="0"/>
    <x v="0"/>
    <x v="0"/>
    <x v="0"/>
    <x v="0"/>
    <s v="DK2_Rural"/>
    <x v="2"/>
    <s v="GNR_EH_HEAT"/>
    <x v="0"/>
    <x v="1"/>
    <n v="16.5"/>
    <n v="6022.5"/>
    <n v="21681"/>
  </r>
  <r>
    <x v="0"/>
    <x v="0"/>
    <x v="0"/>
    <x v="0"/>
    <x v="0"/>
    <s v="DK2_Rural"/>
    <x v="2"/>
    <s v="GNR_EH_HEAT"/>
    <x v="0"/>
    <x v="2"/>
    <n v="16.5"/>
    <n v="6022.5"/>
    <n v="21681"/>
  </r>
  <r>
    <x v="0"/>
    <x v="0"/>
    <x v="0"/>
    <x v="0"/>
    <x v="0"/>
    <s v="DK2_Rural"/>
    <x v="2"/>
    <s v="GNR_EH_HEAT"/>
    <x v="0"/>
    <x v="3"/>
    <n v="16.5"/>
    <n v="6022.5"/>
    <n v="21681"/>
  </r>
  <r>
    <x v="0"/>
    <x v="0"/>
    <x v="0"/>
    <x v="0"/>
    <x v="0"/>
    <s v="DK2_Rural"/>
    <x v="2"/>
    <s v="GNR_EH_HEAT"/>
    <x v="0"/>
    <x v="4"/>
    <n v="16.5"/>
    <n v="6022.5"/>
    <n v="21681"/>
  </r>
  <r>
    <x v="0"/>
    <x v="0"/>
    <x v="0"/>
    <x v="0"/>
    <x v="0"/>
    <s v="DK2_Rural"/>
    <x v="2"/>
    <s v="GNR_EH_HEAT"/>
    <x v="0"/>
    <x v="5"/>
    <n v="16.5"/>
    <n v="6022.5"/>
    <n v="21681"/>
  </r>
  <r>
    <x v="0"/>
    <x v="0"/>
    <x v="0"/>
    <x v="0"/>
    <x v="0"/>
    <s v="DK2_Rural"/>
    <x v="2"/>
    <s v="GNR_EH_HEAT"/>
    <x v="0"/>
    <x v="6"/>
    <n v="16.5"/>
    <n v="6022.5"/>
    <n v="21681"/>
  </r>
  <r>
    <x v="0"/>
    <x v="0"/>
    <x v="0"/>
    <x v="0"/>
    <x v="0"/>
    <s v="DK2_Rural"/>
    <x v="2"/>
    <s v="GNR_EH_HEAT"/>
    <x v="0"/>
    <x v="7"/>
    <n v="16.5"/>
    <n v="6022.5"/>
    <n v="21681"/>
  </r>
  <r>
    <x v="0"/>
    <x v="0"/>
    <x v="0"/>
    <x v="0"/>
    <x v="0"/>
    <s v="DK2_Rural"/>
    <x v="2"/>
    <s v="GNR_EH_HEAT"/>
    <x v="0"/>
    <x v="8"/>
    <n v="16.5"/>
    <n v="6022.5"/>
    <n v="21681"/>
  </r>
  <r>
    <x v="0"/>
    <x v="0"/>
    <x v="0"/>
    <x v="0"/>
    <x v="0"/>
    <s v="DK2_Rural"/>
    <x v="2"/>
    <s v="GNR_EH_HEAT"/>
    <x v="0"/>
    <x v="9"/>
    <n v="16.5"/>
    <n v="6022.5"/>
    <n v="21681"/>
  </r>
  <r>
    <x v="0"/>
    <x v="0"/>
    <x v="0"/>
    <x v="0"/>
    <x v="0"/>
    <s v="DK2_Rural"/>
    <x v="2"/>
    <s v="GNR_EH_HEAT"/>
    <x v="0"/>
    <x v="10"/>
    <n v="16.5"/>
    <n v="6022.5"/>
    <n v="21681"/>
  </r>
  <r>
    <x v="0"/>
    <x v="0"/>
    <x v="0"/>
    <x v="0"/>
    <x v="0"/>
    <s v="DK2_Rural"/>
    <x v="2"/>
    <s v="GNR_EH_HEAT"/>
    <x v="0"/>
    <x v="11"/>
    <n v="16.5"/>
    <n v="6022.5"/>
    <n v="21681"/>
  </r>
  <r>
    <x v="0"/>
    <x v="0"/>
    <x v="0"/>
    <x v="0"/>
    <x v="0"/>
    <s v="DK2_Rural"/>
    <x v="2"/>
    <s v="GNR_EH_HEAT"/>
    <x v="0"/>
    <x v="12"/>
    <n v="16.5"/>
    <n v="6022.5"/>
    <n v="21681"/>
  </r>
  <r>
    <x v="0"/>
    <x v="0"/>
    <x v="0"/>
    <x v="0"/>
    <x v="0"/>
    <s v="DK2_Rural"/>
    <x v="2"/>
    <s v="GNR_EH_HEAT"/>
    <x v="0"/>
    <x v="13"/>
    <n v="16.5"/>
    <n v="6022.5"/>
    <n v="21681"/>
  </r>
  <r>
    <x v="0"/>
    <x v="0"/>
    <x v="0"/>
    <x v="0"/>
    <x v="0"/>
    <s v="DK2_Rural"/>
    <x v="2"/>
    <s v="GNR_EH_HEAT"/>
    <x v="0"/>
    <x v="14"/>
    <n v="16.5"/>
    <n v="6022.5"/>
    <n v="21681"/>
  </r>
  <r>
    <x v="0"/>
    <x v="0"/>
    <x v="0"/>
    <x v="0"/>
    <x v="0"/>
    <s v="DK2_Rural"/>
    <x v="2"/>
    <s v="GNR_EH_HEAT"/>
    <x v="0"/>
    <x v="15"/>
    <n v="16.5"/>
    <n v="6022.5"/>
    <n v="21681"/>
  </r>
  <r>
    <x v="0"/>
    <x v="0"/>
    <x v="0"/>
    <x v="0"/>
    <x v="0"/>
    <s v="DK2_Rural"/>
    <x v="2"/>
    <s v="GNR_EH_HEAT"/>
    <x v="0"/>
    <x v="16"/>
    <n v="16.5"/>
    <n v="6022.5"/>
    <n v="21681"/>
  </r>
  <r>
    <x v="0"/>
    <x v="0"/>
    <x v="0"/>
    <x v="0"/>
    <x v="0"/>
    <s v="DK2_Rural"/>
    <x v="2"/>
    <s v="GNR_EH_HEAT"/>
    <x v="0"/>
    <x v="17"/>
    <n v="16.5"/>
    <n v="6022.5"/>
    <n v="21681"/>
  </r>
  <r>
    <x v="0"/>
    <x v="0"/>
    <x v="0"/>
    <x v="0"/>
    <x v="0"/>
    <s v="DK2_Rural"/>
    <x v="2"/>
    <s v="GNR_EH_HEAT"/>
    <x v="0"/>
    <x v="18"/>
    <n v="16.5"/>
    <n v="6022.5"/>
    <n v="21681"/>
  </r>
  <r>
    <x v="0"/>
    <x v="0"/>
    <x v="0"/>
    <x v="0"/>
    <x v="0"/>
    <s v="DK2_Rural"/>
    <x v="2"/>
    <s v="GNR_EH_HEAT"/>
    <x v="0"/>
    <x v="19"/>
    <n v="16.5"/>
    <n v="6022.5"/>
    <n v="21681"/>
  </r>
  <r>
    <x v="0"/>
    <x v="0"/>
    <x v="0"/>
    <x v="0"/>
    <x v="0"/>
    <s v="DK2_Rural"/>
    <x v="2"/>
    <s v="GNR_EH_HEAT"/>
    <x v="0"/>
    <x v="20"/>
    <n v="16.5"/>
    <n v="6022.5"/>
    <n v="21681"/>
  </r>
  <r>
    <x v="0"/>
    <x v="0"/>
    <x v="0"/>
    <x v="0"/>
    <x v="0"/>
    <s v="DK2_Rural"/>
    <x v="2"/>
    <s v="GNR_EH_HEAT"/>
    <x v="0"/>
    <x v="21"/>
    <n v="16.5"/>
    <n v="6022.5"/>
    <n v="21681"/>
  </r>
  <r>
    <x v="0"/>
    <x v="0"/>
    <x v="0"/>
    <x v="0"/>
    <x v="0"/>
    <s v="DK2_Rural"/>
    <x v="2"/>
    <s v="GNR_EH_HEAT"/>
    <x v="0"/>
    <x v="22"/>
    <n v="16.5"/>
    <n v="6022.5"/>
    <n v="21681"/>
  </r>
  <r>
    <x v="0"/>
    <x v="0"/>
    <x v="0"/>
    <x v="0"/>
    <x v="0"/>
    <s v="DK2_Rural"/>
    <x v="2"/>
    <s v="GNR_EH_HEAT"/>
    <x v="0"/>
    <x v="23"/>
    <n v="16.5"/>
    <n v="6022.5"/>
    <n v="21681"/>
  </r>
  <r>
    <x v="0"/>
    <x v="0"/>
    <x v="0"/>
    <x v="0"/>
    <x v="0"/>
    <s v="DK2_Rural"/>
    <x v="7"/>
    <s v="GNR_BO_WOODWST_E-100"/>
    <x v="0"/>
    <x v="0"/>
    <n v="6.3"/>
    <n v="2299.5"/>
    <n v="8278.2000000000007"/>
  </r>
  <r>
    <x v="0"/>
    <x v="0"/>
    <x v="0"/>
    <x v="0"/>
    <x v="0"/>
    <s v="DK2_Rural"/>
    <x v="7"/>
    <s v="GNR_BO_WOODWST_E-100"/>
    <x v="0"/>
    <x v="1"/>
    <n v="6.3"/>
    <n v="2299.5"/>
    <n v="8278.2000000000007"/>
  </r>
  <r>
    <x v="0"/>
    <x v="0"/>
    <x v="0"/>
    <x v="0"/>
    <x v="0"/>
    <s v="DK2_Rural"/>
    <x v="7"/>
    <s v="GNR_BO_WOODWST_E-100"/>
    <x v="0"/>
    <x v="2"/>
    <n v="6.3"/>
    <n v="2299.5"/>
    <n v="8278.2000000000007"/>
  </r>
  <r>
    <x v="0"/>
    <x v="0"/>
    <x v="0"/>
    <x v="0"/>
    <x v="0"/>
    <s v="DK2_Rural"/>
    <x v="7"/>
    <s v="GNR_BO_WOODWST_E-100"/>
    <x v="0"/>
    <x v="3"/>
    <n v="6.3"/>
    <n v="2299.5"/>
    <n v="8278.2000000000007"/>
  </r>
  <r>
    <x v="0"/>
    <x v="0"/>
    <x v="0"/>
    <x v="0"/>
    <x v="0"/>
    <s v="DK2_Rural"/>
    <x v="7"/>
    <s v="GNR_BO_WOODWST_E-100"/>
    <x v="0"/>
    <x v="4"/>
    <n v="6.3"/>
    <n v="2299.5"/>
    <n v="8278.2000000000007"/>
  </r>
  <r>
    <x v="0"/>
    <x v="0"/>
    <x v="0"/>
    <x v="0"/>
    <x v="0"/>
    <s v="DK2_Rural"/>
    <x v="7"/>
    <s v="GNR_BO_WOODWST_E-100"/>
    <x v="0"/>
    <x v="5"/>
    <n v="6.3"/>
    <n v="2299.5"/>
    <n v="8278.2000000000007"/>
  </r>
  <r>
    <x v="0"/>
    <x v="0"/>
    <x v="0"/>
    <x v="0"/>
    <x v="0"/>
    <s v="DK2_Rural"/>
    <x v="7"/>
    <s v="GNR_BO_WOODWST_E-100"/>
    <x v="0"/>
    <x v="6"/>
    <n v="6.3"/>
    <n v="2299.5"/>
    <n v="8278.2000000000007"/>
  </r>
  <r>
    <x v="0"/>
    <x v="0"/>
    <x v="0"/>
    <x v="0"/>
    <x v="0"/>
    <s v="DK2_Rural"/>
    <x v="7"/>
    <s v="GNR_BO_WOODWST_E-100"/>
    <x v="0"/>
    <x v="7"/>
    <n v="6.3"/>
    <n v="2299.5"/>
    <n v="8278.2000000000007"/>
  </r>
  <r>
    <x v="0"/>
    <x v="0"/>
    <x v="0"/>
    <x v="0"/>
    <x v="0"/>
    <s v="DK2_Rural"/>
    <x v="7"/>
    <s v="GNR_BO_WOODWST_E-100"/>
    <x v="0"/>
    <x v="8"/>
    <n v="6.3"/>
    <n v="2299.5"/>
    <n v="8278.2000000000007"/>
  </r>
  <r>
    <x v="0"/>
    <x v="0"/>
    <x v="0"/>
    <x v="0"/>
    <x v="0"/>
    <s v="DK2_Rural"/>
    <x v="7"/>
    <s v="GNR_BO_WOODWST_E-100"/>
    <x v="0"/>
    <x v="9"/>
    <n v="6.3"/>
    <n v="2299.5"/>
    <n v="8278.2000000000007"/>
  </r>
  <r>
    <x v="0"/>
    <x v="0"/>
    <x v="0"/>
    <x v="0"/>
    <x v="0"/>
    <s v="DK2_Rural"/>
    <x v="7"/>
    <s v="GNR_BO_WOODWST_E-100"/>
    <x v="0"/>
    <x v="10"/>
    <n v="6.3"/>
    <n v="2299.5"/>
    <n v="8278.2000000000007"/>
  </r>
  <r>
    <x v="0"/>
    <x v="0"/>
    <x v="0"/>
    <x v="0"/>
    <x v="0"/>
    <s v="DK2_Rural"/>
    <x v="7"/>
    <s v="GNR_BO_WOODWST_E-100"/>
    <x v="0"/>
    <x v="11"/>
    <n v="6.3"/>
    <n v="2299.5"/>
    <n v="8278.2000000000007"/>
  </r>
  <r>
    <x v="0"/>
    <x v="0"/>
    <x v="0"/>
    <x v="0"/>
    <x v="0"/>
    <s v="DK2_Rural"/>
    <x v="7"/>
    <s v="GNR_BO_WOODWST_E-100"/>
    <x v="0"/>
    <x v="12"/>
    <n v="6.3"/>
    <n v="2299.5"/>
    <n v="8278.2000000000007"/>
  </r>
  <r>
    <x v="0"/>
    <x v="0"/>
    <x v="0"/>
    <x v="0"/>
    <x v="0"/>
    <s v="DK2_Rural"/>
    <x v="7"/>
    <s v="GNR_BO_WOODWST_E-100"/>
    <x v="0"/>
    <x v="13"/>
    <n v="6.3"/>
    <n v="2299.5"/>
    <n v="8278.2000000000007"/>
  </r>
  <r>
    <x v="0"/>
    <x v="0"/>
    <x v="0"/>
    <x v="0"/>
    <x v="0"/>
    <s v="DK2_Rural"/>
    <x v="7"/>
    <s v="GNR_BO_WOODWST_E-100"/>
    <x v="0"/>
    <x v="14"/>
    <n v="6.3"/>
    <n v="2299.5"/>
    <n v="8278.2000000000007"/>
  </r>
  <r>
    <x v="0"/>
    <x v="0"/>
    <x v="0"/>
    <x v="0"/>
    <x v="0"/>
    <s v="DK2_Rural"/>
    <x v="7"/>
    <s v="GNR_BO_WOODWST_E-100"/>
    <x v="0"/>
    <x v="15"/>
    <n v="6.3"/>
    <n v="2299.5"/>
    <n v="8278.2000000000007"/>
  </r>
  <r>
    <x v="0"/>
    <x v="0"/>
    <x v="0"/>
    <x v="0"/>
    <x v="0"/>
    <s v="DK2_Rural"/>
    <x v="7"/>
    <s v="GNR_BO_WOODWST_E-100"/>
    <x v="0"/>
    <x v="16"/>
    <n v="6.3"/>
    <n v="2299.5"/>
    <n v="8278.2000000000007"/>
  </r>
  <r>
    <x v="0"/>
    <x v="0"/>
    <x v="0"/>
    <x v="0"/>
    <x v="0"/>
    <s v="DK2_Rural"/>
    <x v="7"/>
    <s v="GNR_BO_WOODWST_E-100"/>
    <x v="0"/>
    <x v="17"/>
    <n v="6.3"/>
    <n v="2299.5"/>
    <n v="8278.2000000000007"/>
  </r>
  <r>
    <x v="0"/>
    <x v="0"/>
    <x v="0"/>
    <x v="0"/>
    <x v="0"/>
    <s v="DK2_Rural"/>
    <x v="7"/>
    <s v="GNR_BO_WOODWST_E-100"/>
    <x v="0"/>
    <x v="18"/>
    <n v="6.3"/>
    <n v="2299.5"/>
    <n v="8278.2000000000007"/>
  </r>
  <r>
    <x v="0"/>
    <x v="0"/>
    <x v="0"/>
    <x v="0"/>
    <x v="0"/>
    <s v="DK2_Rural"/>
    <x v="7"/>
    <s v="GNR_BO_WOODWST_E-100"/>
    <x v="0"/>
    <x v="19"/>
    <n v="6.3"/>
    <n v="2299.5"/>
    <n v="8278.2000000000007"/>
  </r>
  <r>
    <x v="0"/>
    <x v="0"/>
    <x v="0"/>
    <x v="0"/>
    <x v="0"/>
    <s v="DK2_Rural"/>
    <x v="7"/>
    <s v="GNR_BO_WOODWST_E-100"/>
    <x v="0"/>
    <x v="20"/>
    <n v="6.3"/>
    <n v="2299.5"/>
    <n v="8278.2000000000007"/>
  </r>
  <r>
    <x v="0"/>
    <x v="0"/>
    <x v="0"/>
    <x v="0"/>
    <x v="0"/>
    <s v="DK2_Rural"/>
    <x v="7"/>
    <s v="GNR_BO_WOODWST_E-100"/>
    <x v="0"/>
    <x v="21"/>
    <n v="6.3"/>
    <n v="2299.5"/>
    <n v="8278.2000000000007"/>
  </r>
  <r>
    <x v="0"/>
    <x v="0"/>
    <x v="0"/>
    <x v="0"/>
    <x v="0"/>
    <s v="DK2_Rural"/>
    <x v="7"/>
    <s v="GNR_BO_WOODWST_E-100"/>
    <x v="0"/>
    <x v="22"/>
    <n v="6.3"/>
    <n v="2299.5"/>
    <n v="8278.2000000000007"/>
  </r>
  <r>
    <x v="0"/>
    <x v="0"/>
    <x v="0"/>
    <x v="0"/>
    <x v="0"/>
    <s v="DK2_Rural"/>
    <x v="7"/>
    <s v="GNR_BO_WOODWST_E-100"/>
    <x v="0"/>
    <x v="23"/>
    <n v="6.3"/>
    <n v="2299.5"/>
    <n v="8278.2000000000007"/>
  </r>
  <r>
    <x v="0"/>
    <x v="0"/>
    <x v="0"/>
    <x v="0"/>
    <x v="1"/>
    <s v="DK2_Large"/>
    <x v="0"/>
    <s v="GNR_ST_COAL_EXT_E-42"/>
    <x v="0"/>
    <x v="0"/>
    <n v="555.555555555556"/>
    <n v="202777.77777777801"/>
    <n v="730000"/>
  </r>
  <r>
    <x v="0"/>
    <x v="0"/>
    <x v="0"/>
    <x v="0"/>
    <x v="1"/>
    <s v="DK2_Large"/>
    <x v="0"/>
    <s v="GNR_ST_COAL_EXT_E-42"/>
    <x v="0"/>
    <x v="1"/>
    <n v="555.555555555556"/>
    <n v="202777.77777777801"/>
    <n v="730000"/>
  </r>
  <r>
    <x v="0"/>
    <x v="0"/>
    <x v="0"/>
    <x v="0"/>
    <x v="1"/>
    <s v="DK2_Large"/>
    <x v="0"/>
    <s v="GNR_ST_COAL_EXT_E-42"/>
    <x v="0"/>
    <x v="2"/>
    <n v="555.555555555556"/>
    <n v="202777.77777777801"/>
    <n v="730000"/>
  </r>
  <r>
    <x v="0"/>
    <x v="0"/>
    <x v="0"/>
    <x v="0"/>
    <x v="1"/>
    <s v="DK2_Large"/>
    <x v="0"/>
    <s v="GNR_ST_COAL_EXT_E-42"/>
    <x v="0"/>
    <x v="3"/>
    <n v="555.555555555556"/>
    <n v="202777.77777777801"/>
    <n v="730000"/>
  </r>
  <r>
    <x v="0"/>
    <x v="0"/>
    <x v="0"/>
    <x v="0"/>
    <x v="1"/>
    <s v="DK2_Large"/>
    <x v="0"/>
    <s v="GNR_ST_COAL_EXT_E-42"/>
    <x v="0"/>
    <x v="4"/>
    <n v="555.555555555556"/>
    <n v="202777.77777777801"/>
    <n v="730000"/>
  </r>
  <r>
    <x v="0"/>
    <x v="0"/>
    <x v="0"/>
    <x v="0"/>
    <x v="1"/>
    <s v="DK2_Large"/>
    <x v="0"/>
    <s v="GNR_ST_COAL_EXT_E-42"/>
    <x v="0"/>
    <x v="5"/>
    <n v="555.555555555556"/>
    <n v="202777.77777777801"/>
    <n v="730000"/>
  </r>
  <r>
    <x v="0"/>
    <x v="0"/>
    <x v="0"/>
    <x v="0"/>
    <x v="1"/>
    <s v="DK2_Large"/>
    <x v="0"/>
    <s v="GNR_ST_COAL_EXT_E-42"/>
    <x v="0"/>
    <x v="6"/>
    <n v="555.555555555556"/>
    <n v="202777.77777777801"/>
    <n v="730000"/>
  </r>
  <r>
    <x v="0"/>
    <x v="0"/>
    <x v="0"/>
    <x v="0"/>
    <x v="1"/>
    <s v="DK2_Large"/>
    <x v="0"/>
    <s v="GNR_ST_COAL_EXT_E-42"/>
    <x v="0"/>
    <x v="7"/>
    <n v="555.555555555556"/>
    <n v="202777.77777777801"/>
    <n v="730000"/>
  </r>
  <r>
    <x v="0"/>
    <x v="0"/>
    <x v="0"/>
    <x v="0"/>
    <x v="1"/>
    <s v="DK2_Large"/>
    <x v="0"/>
    <s v="GNR_ST_COAL_EXT_E-42"/>
    <x v="0"/>
    <x v="8"/>
    <n v="555.555555555556"/>
    <n v="202777.77777777801"/>
    <n v="730000"/>
  </r>
  <r>
    <x v="0"/>
    <x v="0"/>
    <x v="0"/>
    <x v="0"/>
    <x v="1"/>
    <s v="DK2_Large"/>
    <x v="0"/>
    <s v="GNR_ST_COAL_EXT_E-42"/>
    <x v="0"/>
    <x v="9"/>
    <n v="555.555555555556"/>
    <n v="202777.77777777801"/>
    <n v="730000"/>
  </r>
  <r>
    <x v="0"/>
    <x v="0"/>
    <x v="0"/>
    <x v="0"/>
    <x v="1"/>
    <s v="DK2_Large"/>
    <x v="0"/>
    <s v="GNR_ST_COAL_EXT_E-42"/>
    <x v="0"/>
    <x v="10"/>
    <n v="555.555555555556"/>
    <n v="202777.77777777801"/>
    <n v="730000"/>
  </r>
  <r>
    <x v="0"/>
    <x v="0"/>
    <x v="0"/>
    <x v="0"/>
    <x v="1"/>
    <s v="DK2_Large"/>
    <x v="0"/>
    <s v="GNR_ST_COAL_EXT_E-42"/>
    <x v="0"/>
    <x v="11"/>
    <n v="555.555555555556"/>
    <n v="202777.77777777801"/>
    <n v="730000"/>
  </r>
  <r>
    <x v="0"/>
    <x v="0"/>
    <x v="0"/>
    <x v="0"/>
    <x v="1"/>
    <s v="DK2_Large"/>
    <x v="0"/>
    <s v="GNR_ST_COAL_EXT_E-42"/>
    <x v="0"/>
    <x v="12"/>
    <n v="555.555555555556"/>
    <n v="202777.77777777801"/>
    <n v="730000"/>
  </r>
  <r>
    <x v="0"/>
    <x v="0"/>
    <x v="0"/>
    <x v="0"/>
    <x v="1"/>
    <s v="DK2_Large"/>
    <x v="0"/>
    <s v="GNR_ST_COAL_EXT_E-42"/>
    <x v="0"/>
    <x v="13"/>
    <n v="555.555555555556"/>
    <n v="202777.77777777801"/>
    <n v="730000"/>
  </r>
  <r>
    <x v="0"/>
    <x v="0"/>
    <x v="0"/>
    <x v="0"/>
    <x v="1"/>
    <s v="DK2_Large"/>
    <x v="0"/>
    <s v="GNR_ST_COAL_EXT_E-42"/>
    <x v="0"/>
    <x v="14"/>
    <n v="555.555555555556"/>
    <n v="202777.77777777801"/>
    <n v="730000"/>
  </r>
  <r>
    <x v="0"/>
    <x v="0"/>
    <x v="0"/>
    <x v="0"/>
    <x v="1"/>
    <s v="DK2_Large"/>
    <x v="0"/>
    <s v="GNR_ST_COAL_EXT_E-42"/>
    <x v="0"/>
    <x v="15"/>
    <n v="555.555555555556"/>
    <n v="202777.77777777801"/>
    <n v="730000"/>
  </r>
  <r>
    <x v="0"/>
    <x v="0"/>
    <x v="0"/>
    <x v="0"/>
    <x v="1"/>
    <s v="DK2_Large"/>
    <x v="0"/>
    <s v="GNR_ST_COAL_EXT_E-42"/>
    <x v="0"/>
    <x v="16"/>
    <n v="555.555555555556"/>
    <n v="202777.77777777801"/>
    <n v="730000"/>
  </r>
  <r>
    <x v="0"/>
    <x v="0"/>
    <x v="0"/>
    <x v="0"/>
    <x v="1"/>
    <s v="DK2_Large"/>
    <x v="0"/>
    <s v="GNR_ST_COAL_EXT_E-42"/>
    <x v="0"/>
    <x v="17"/>
    <n v="555.555555555556"/>
    <n v="202777.77777777801"/>
    <n v="730000"/>
  </r>
  <r>
    <x v="0"/>
    <x v="0"/>
    <x v="0"/>
    <x v="0"/>
    <x v="1"/>
    <s v="DK2_Large"/>
    <x v="0"/>
    <s v="GNR_ST_COAL_EXT_E-42"/>
    <x v="0"/>
    <x v="18"/>
    <n v="555.555555555556"/>
    <n v="202777.77777777801"/>
    <n v="730000"/>
  </r>
  <r>
    <x v="0"/>
    <x v="0"/>
    <x v="0"/>
    <x v="0"/>
    <x v="1"/>
    <s v="DK2_Large"/>
    <x v="0"/>
    <s v="GNR_ST_COAL_EXT_E-42"/>
    <x v="0"/>
    <x v="19"/>
    <n v="555.555555555556"/>
    <n v="202777.77777777801"/>
    <n v="730000"/>
  </r>
  <r>
    <x v="0"/>
    <x v="0"/>
    <x v="0"/>
    <x v="0"/>
    <x v="1"/>
    <s v="DK2_Large"/>
    <x v="0"/>
    <s v="GNR_ST_COAL_EXT_E-42"/>
    <x v="0"/>
    <x v="20"/>
    <n v="555.555555555556"/>
    <n v="202777.77777777801"/>
    <n v="730000"/>
  </r>
  <r>
    <x v="0"/>
    <x v="0"/>
    <x v="0"/>
    <x v="0"/>
    <x v="1"/>
    <s v="DK2_Large"/>
    <x v="0"/>
    <s v="GNR_ST_COAL_EXT_E-42"/>
    <x v="0"/>
    <x v="21"/>
    <n v="555.555555555556"/>
    <n v="202777.77777777801"/>
    <n v="730000"/>
  </r>
  <r>
    <x v="0"/>
    <x v="0"/>
    <x v="0"/>
    <x v="0"/>
    <x v="1"/>
    <s v="DK2_Large"/>
    <x v="0"/>
    <s v="GNR_ST_COAL_EXT_E-42"/>
    <x v="0"/>
    <x v="22"/>
    <n v="555.555555555556"/>
    <n v="202777.77777777801"/>
    <n v="730000"/>
  </r>
  <r>
    <x v="0"/>
    <x v="0"/>
    <x v="0"/>
    <x v="0"/>
    <x v="1"/>
    <s v="DK2_Large"/>
    <x v="0"/>
    <s v="GNR_ST_COAL_EXT_E-42"/>
    <x v="0"/>
    <x v="23"/>
    <n v="555.555555555556"/>
    <n v="202777.77777777801"/>
    <n v="730000"/>
  </r>
  <r>
    <x v="0"/>
    <x v="0"/>
    <x v="0"/>
    <x v="0"/>
    <x v="1"/>
    <s v="DK2_Large"/>
    <x v="3"/>
    <s v="GNR_BO_ELEC_E-100"/>
    <x v="0"/>
    <x v="4"/>
    <n v="10"/>
    <n v="3650"/>
    <n v="13140"/>
  </r>
  <r>
    <x v="0"/>
    <x v="0"/>
    <x v="0"/>
    <x v="0"/>
    <x v="1"/>
    <s v="DK2_Large"/>
    <x v="3"/>
    <s v="GNR_BO_ELEC_E-100"/>
    <x v="0"/>
    <x v="5"/>
    <n v="10"/>
    <n v="3650"/>
    <n v="13140"/>
  </r>
  <r>
    <x v="0"/>
    <x v="0"/>
    <x v="0"/>
    <x v="0"/>
    <x v="1"/>
    <s v="DK2_Large"/>
    <x v="3"/>
    <s v="GNR_BO_ELEC_E-100"/>
    <x v="0"/>
    <x v="6"/>
    <n v="10"/>
    <n v="3650"/>
    <n v="13140"/>
  </r>
  <r>
    <x v="0"/>
    <x v="0"/>
    <x v="0"/>
    <x v="0"/>
    <x v="1"/>
    <s v="DK2_Large"/>
    <x v="3"/>
    <s v="GNR_BO_ELEC_E-100"/>
    <x v="0"/>
    <x v="7"/>
    <n v="10"/>
    <n v="3650"/>
    <n v="13140"/>
  </r>
  <r>
    <x v="0"/>
    <x v="0"/>
    <x v="0"/>
    <x v="0"/>
    <x v="1"/>
    <s v="DK2_Large"/>
    <x v="3"/>
    <s v="GNR_BO_ELEC_E-100"/>
    <x v="0"/>
    <x v="8"/>
    <n v="10"/>
    <n v="3650"/>
    <n v="13140"/>
  </r>
  <r>
    <x v="0"/>
    <x v="0"/>
    <x v="0"/>
    <x v="0"/>
    <x v="1"/>
    <s v="DK2_Large"/>
    <x v="3"/>
    <s v="GNR_BO_ELEC_E-100"/>
    <x v="0"/>
    <x v="9"/>
    <n v="10"/>
    <n v="3650"/>
    <n v="13140"/>
  </r>
  <r>
    <x v="0"/>
    <x v="0"/>
    <x v="0"/>
    <x v="0"/>
    <x v="1"/>
    <s v="DK2_Large"/>
    <x v="3"/>
    <s v="GNR_BO_ELEC_E-100"/>
    <x v="0"/>
    <x v="10"/>
    <n v="10"/>
    <n v="3650"/>
    <n v="13140"/>
  </r>
  <r>
    <x v="0"/>
    <x v="0"/>
    <x v="0"/>
    <x v="0"/>
    <x v="1"/>
    <s v="DK2_Large"/>
    <x v="3"/>
    <s v="GNR_BO_ELEC_E-100"/>
    <x v="0"/>
    <x v="17"/>
    <n v="10"/>
    <n v="3650"/>
    <n v="13140"/>
  </r>
  <r>
    <x v="0"/>
    <x v="0"/>
    <x v="0"/>
    <x v="0"/>
    <x v="1"/>
    <s v="DK2_Large"/>
    <x v="3"/>
    <s v="GNR_BO_ELEC_E-100"/>
    <x v="0"/>
    <x v="18"/>
    <n v="10"/>
    <n v="3650"/>
    <n v="13140"/>
  </r>
  <r>
    <x v="0"/>
    <x v="0"/>
    <x v="0"/>
    <x v="0"/>
    <x v="1"/>
    <s v="DK2_Large"/>
    <x v="3"/>
    <s v="GNR_BO_ELEC_E-100"/>
    <x v="0"/>
    <x v="19"/>
    <n v="10"/>
    <n v="3650"/>
    <n v="13140"/>
  </r>
  <r>
    <x v="0"/>
    <x v="0"/>
    <x v="0"/>
    <x v="0"/>
    <x v="1"/>
    <s v="DK2_Large"/>
    <x v="3"/>
    <s v="GNR_BO_ELEC_E-100"/>
    <x v="0"/>
    <x v="20"/>
    <n v="4.4823056049673697"/>
    <n v="1636.0415458130899"/>
    <n v="5889.7495649271204"/>
  </r>
  <r>
    <x v="0"/>
    <x v="0"/>
    <x v="0"/>
    <x v="0"/>
    <x v="1"/>
    <s v="DK2_Large"/>
    <x v="3"/>
    <s v="GNR_HP_ELEC_COP-300"/>
    <x v="0"/>
    <x v="0"/>
    <n v="0.34"/>
    <n v="124.1"/>
    <n v="446.76"/>
  </r>
  <r>
    <x v="0"/>
    <x v="0"/>
    <x v="0"/>
    <x v="0"/>
    <x v="1"/>
    <s v="DK2_Large"/>
    <x v="3"/>
    <s v="GNR_HP_ELEC_COP-300"/>
    <x v="0"/>
    <x v="1"/>
    <n v="0.34"/>
    <n v="124.1"/>
    <n v="446.76"/>
  </r>
  <r>
    <x v="0"/>
    <x v="0"/>
    <x v="0"/>
    <x v="0"/>
    <x v="1"/>
    <s v="DK2_Large"/>
    <x v="3"/>
    <s v="GNR_HP_ELEC_COP-300"/>
    <x v="0"/>
    <x v="2"/>
    <n v="0.34"/>
    <n v="124.1"/>
    <n v="446.76"/>
  </r>
  <r>
    <x v="0"/>
    <x v="0"/>
    <x v="0"/>
    <x v="0"/>
    <x v="1"/>
    <s v="DK2_Large"/>
    <x v="3"/>
    <s v="GNR_HP_ELEC_COP-300"/>
    <x v="0"/>
    <x v="3"/>
    <n v="0.34"/>
    <n v="124.1"/>
    <n v="446.76"/>
  </r>
  <r>
    <x v="0"/>
    <x v="0"/>
    <x v="0"/>
    <x v="0"/>
    <x v="1"/>
    <s v="DK2_Large"/>
    <x v="3"/>
    <s v="GNR_HP_ELEC_COP-300"/>
    <x v="0"/>
    <x v="4"/>
    <n v="0.34"/>
    <n v="124.1"/>
    <n v="446.76"/>
  </r>
  <r>
    <x v="0"/>
    <x v="0"/>
    <x v="0"/>
    <x v="0"/>
    <x v="1"/>
    <s v="DK2_Large"/>
    <x v="3"/>
    <s v="GNR_HP_ELEC_COP-300"/>
    <x v="0"/>
    <x v="5"/>
    <n v="0.34"/>
    <n v="124.1"/>
    <n v="446.76"/>
  </r>
  <r>
    <x v="0"/>
    <x v="0"/>
    <x v="0"/>
    <x v="0"/>
    <x v="1"/>
    <s v="DK2_Large"/>
    <x v="3"/>
    <s v="GNR_HP_ELEC_COP-300"/>
    <x v="0"/>
    <x v="6"/>
    <n v="0.34"/>
    <n v="124.1"/>
    <n v="446.76"/>
  </r>
  <r>
    <x v="0"/>
    <x v="0"/>
    <x v="0"/>
    <x v="0"/>
    <x v="1"/>
    <s v="DK2_Large"/>
    <x v="3"/>
    <s v="GNR_HP_ELEC_COP-300"/>
    <x v="0"/>
    <x v="7"/>
    <n v="0.34"/>
    <n v="124.1"/>
    <n v="446.76"/>
  </r>
  <r>
    <x v="0"/>
    <x v="0"/>
    <x v="0"/>
    <x v="0"/>
    <x v="1"/>
    <s v="DK2_Large"/>
    <x v="3"/>
    <s v="GNR_HP_ELEC_COP-300"/>
    <x v="0"/>
    <x v="8"/>
    <n v="0.34"/>
    <n v="124.1"/>
    <n v="446.76"/>
  </r>
  <r>
    <x v="0"/>
    <x v="0"/>
    <x v="0"/>
    <x v="0"/>
    <x v="1"/>
    <s v="DK2_Large"/>
    <x v="3"/>
    <s v="GNR_HP_ELEC_COP-300"/>
    <x v="0"/>
    <x v="9"/>
    <n v="0.34"/>
    <n v="124.1"/>
    <n v="446.76"/>
  </r>
  <r>
    <x v="0"/>
    <x v="0"/>
    <x v="0"/>
    <x v="0"/>
    <x v="1"/>
    <s v="DK2_Large"/>
    <x v="3"/>
    <s v="GNR_HP_ELEC_COP-300"/>
    <x v="0"/>
    <x v="10"/>
    <n v="0.34"/>
    <n v="124.1"/>
    <n v="446.76"/>
  </r>
  <r>
    <x v="0"/>
    <x v="0"/>
    <x v="0"/>
    <x v="0"/>
    <x v="1"/>
    <s v="DK2_Large"/>
    <x v="3"/>
    <s v="GNR_HP_ELEC_COP-300"/>
    <x v="0"/>
    <x v="11"/>
    <n v="0.34"/>
    <n v="124.1"/>
    <n v="446.76"/>
  </r>
  <r>
    <x v="0"/>
    <x v="0"/>
    <x v="0"/>
    <x v="0"/>
    <x v="1"/>
    <s v="DK2_Large"/>
    <x v="3"/>
    <s v="GNR_HP_ELEC_COP-300"/>
    <x v="0"/>
    <x v="12"/>
    <n v="0.34"/>
    <n v="124.1"/>
    <n v="446.76"/>
  </r>
  <r>
    <x v="0"/>
    <x v="0"/>
    <x v="0"/>
    <x v="0"/>
    <x v="1"/>
    <s v="DK2_Large"/>
    <x v="3"/>
    <s v="GNR_HP_ELEC_COP-300"/>
    <x v="0"/>
    <x v="13"/>
    <n v="0.34"/>
    <n v="124.1"/>
    <n v="446.76"/>
  </r>
  <r>
    <x v="0"/>
    <x v="0"/>
    <x v="0"/>
    <x v="0"/>
    <x v="1"/>
    <s v="DK2_Large"/>
    <x v="3"/>
    <s v="GNR_HP_ELEC_COP-300"/>
    <x v="0"/>
    <x v="14"/>
    <n v="0.34"/>
    <n v="124.1"/>
    <n v="446.76"/>
  </r>
  <r>
    <x v="0"/>
    <x v="0"/>
    <x v="0"/>
    <x v="0"/>
    <x v="1"/>
    <s v="DK2_Large"/>
    <x v="3"/>
    <s v="GNR_HP_ELEC_COP-300"/>
    <x v="0"/>
    <x v="15"/>
    <n v="0.34"/>
    <n v="124.1"/>
    <n v="446.76"/>
  </r>
  <r>
    <x v="0"/>
    <x v="0"/>
    <x v="0"/>
    <x v="0"/>
    <x v="1"/>
    <s v="DK2_Large"/>
    <x v="3"/>
    <s v="GNR_HP_ELEC_COP-300"/>
    <x v="0"/>
    <x v="16"/>
    <n v="0.34"/>
    <n v="124.1"/>
    <n v="446.76"/>
  </r>
  <r>
    <x v="0"/>
    <x v="0"/>
    <x v="0"/>
    <x v="0"/>
    <x v="1"/>
    <s v="DK2_Large"/>
    <x v="3"/>
    <s v="GNR_HP_ELEC_COP-300"/>
    <x v="0"/>
    <x v="17"/>
    <n v="0.34"/>
    <n v="124.1"/>
    <n v="446.76"/>
  </r>
  <r>
    <x v="0"/>
    <x v="0"/>
    <x v="0"/>
    <x v="0"/>
    <x v="1"/>
    <s v="DK2_Large"/>
    <x v="3"/>
    <s v="GNR_HP_ELEC_COP-300"/>
    <x v="0"/>
    <x v="18"/>
    <n v="0.34"/>
    <n v="124.1"/>
    <n v="446.76"/>
  </r>
  <r>
    <x v="0"/>
    <x v="0"/>
    <x v="0"/>
    <x v="0"/>
    <x v="1"/>
    <s v="DK2_Large"/>
    <x v="3"/>
    <s v="GNR_HP_ELEC_COP-300"/>
    <x v="0"/>
    <x v="19"/>
    <n v="0.34"/>
    <n v="124.1"/>
    <n v="446.76"/>
  </r>
  <r>
    <x v="0"/>
    <x v="0"/>
    <x v="0"/>
    <x v="0"/>
    <x v="1"/>
    <s v="DK2_Large"/>
    <x v="3"/>
    <s v="GNR_HP_ELEC_COP-300"/>
    <x v="0"/>
    <x v="20"/>
    <n v="0.34"/>
    <n v="124.1"/>
    <n v="446.76"/>
  </r>
  <r>
    <x v="0"/>
    <x v="0"/>
    <x v="0"/>
    <x v="0"/>
    <x v="1"/>
    <s v="DK2_Large"/>
    <x v="3"/>
    <s v="GNR_HP_ELEC_COP-300"/>
    <x v="0"/>
    <x v="21"/>
    <n v="0.34"/>
    <n v="124.1"/>
    <n v="446.76"/>
  </r>
  <r>
    <x v="0"/>
    <x v="0"/>
    <x v="0"/>
    <x v="0"/>
    <x v="1"/>
    <s v="DK2_Large"/>
    <x v="3"/>
    <s v="GNR_HP_ELEC_COP-300"/>
    <x v="0"/>
    <x v="22"/>
    <n v="0.34"/>
    <n v="124.1"/>
    <n v="446.76"/>
  </r>
  <r>
    <x v="0"/>
    <x v="0"/>
    <x v="0"/>
    <x v="0"/>
    <x v="1"/>
    <s v="DK2_Large"/>
    <x v="3"/>
    <s v="GNR_HP_ELEC_COP-300"/>
    <x v="0"/>
    <x v="23"/>
    <n v="0.34"/>
    <n v="124.1"/>
    <n v="446.76"/>
  </r>
  <r>
    <x v="0"/>
    <x v="0"/>
    <x v="0"/>
    <x v="0"/>
    <x v="1"/>
    <s v="DK2_Large"/>
    <x v="1"/>
    <s v="GNR_ST_MSW_BP_E-16"/>
    <x v="0"/>
    <x v="3"/>
    <n v="24.2236715895848"/>
    <n v="8841.6401301984606"/>
    <n v="31829.9044687145"/>
  </r>
  <r>
    <x v="0"/>
    <x v="0"/>
    <x v="0"/>
    <x v="0"/>
    <x v="1"/>
    <s v="DK2_Large"/>
    <x v="1"/>
    <s v="GNR_ST_MSW_BP_E-16"/>
    <x v="0"/>
    <x v="4"/>
    <n v="96.361684232126805"/>
    <n v="35172.014744726301"/>
    <n v="126619.25308101501"/>
  </r>
  <r>
    <x v="0"/>
    <x v="0"/>
    <x v="0"/>
    <x v="0"/>
    <x v="1"/>
    <s v="DK2_Large"/>
    <x v="1"/>
    <s v="GNR_ST_MSW_BP_E-16"/>
    <x v="0"/>
    <x v="5"/>
    <n v="96.361684232126805"/>
    <n v="35172.014744726301"/>
    <n v="126619.25308101501"/>
  </r>
  <r>
    <x v="0"/>
    <x v="0"/>
    <x v="0"/>
    <x v="0"/>
    <x v="1"/>
    <s v="DK2_Large"/>
    <x v="1"/>
    <s v="GNR_ST_MSW_BP_E-16"/>
    <x v="0"/>
    <x v="6"/>
    <n v="96.361684232126805"/>
    <n v="35172.014744726301"/>
    <n v="126619.25308101501"/>
  </r>
  <r>
    <x v="0"/>
    <x v="0"/>
    <x v="0"/>
    <x v="0"/>
    <x v="1"/>
    <s v="DK2_Large"/>
    <x v="1"/>
    <s v="GNR_ST_MSW_BP_E-16"/>
    <x v="0"/>
    <x v="7"/>
    <n v="96.361684232126805"/>
    <n v="35172.014744726301"/>
    <n v="126619.25308101501"/>
  </r>
  <r>
    <x v="0"/>
    <x v="0"/>
    <x v="0"/>
    <x v="0"/>
    <x v="1"/>
    <s v="DK2_Large"/>
    <x v="1"/>
    <s v="GNR_ST_MSW_BP_E-16"/>
    <x v="0"/>
    <x v="8"/>
    <n v="96.361684232126805"/>
    <n v="35172.014744726301"/>
    <n v="126619.25308101501"/>
  </r>
  <r>
    <x v="0"/>
    <x v="0"/>
    <x v="0"/>
    <x v="0"/>
    <x v="1"/>
    <s v="DK2_Large"/>
    <x v="1"/>
    <s v="GNR_ST_MSW_BP_E-16"/>
    <x v="0"/>
    <x v="9"/>
    <n v="96.361684232126805"/>
    <n v="35172.014744726301"/>
    <n v="126619.25308101501"/>
  </r>
  <r>
    <x v="0"/>
    <x v="0"/>
    <x v="0"/>
    <x v="0"/>
    <x v="1"/>
    <s v="DK2_Large"/>
    <x v="1"/>
    <s v="GNR_ST_MSW_BP_E-16"/>
    <x v="0"/>
    <x v="10"/>
    <n v="96.361684232126805"/>
    <n v="35172.014744726301"/>
    <n v="126619.25308101501"/>
  </r>
  <r>
    <x v="0"/>
    <x v="0"/>
    <x v="0"/>
    <x v="0"/>
    <x v="1"/>
    <s v="DK2_Large"/>
    <x v="1"/>
    <s v="GNR_ST_MSW_BP_E-16"/>
    <x v="0"/>
    <x v="11"/>
    <n v="72.488438989590705"/>
    <n v="26458.280231200599"/>
    <n v="95249.808832322204"/>
  </r>
  <r>
    <x v="0"/>
    <x v="0"/>
    <x v="0"/>
    <x v="0"/>
    <x v="1"/>
    <s v="DK2_Large"/>
    <x v="1"/>
    <s v="GNR_ST_MSW_BP_E-16"/>
    <x v="0"/>
    <x v="12"/>
    <n v="24.2236715895848"/>
    <n v="8841.6401301984606"/>
    <n v="31829.9044687145"/>
  </r>
  <r>
    <x v="0"/>
    <x v="0"/>
    <x v="0"/>
    <x v="0"/>
    <x v="1"/>
    <s v="DK2_Large"/>
    <x v="1"/>
    <s v="GNR_ST_MSW_BP_E-16"/>
    <x v="0"/>
    <x v="13"/>
    <n v="14.5707181095837"/>
    <n v="5318.3121099980599"/>
    <n v="19145.923595993001"/>
  </r>
  <r>
    <x v="0"/>
    <x v="0"/>
    <x v="0"/>
    <x v="0"/>
    <x v="1"/>
    <s v="DK2_Large"/>
    <x v="1"/>
    <s v="GNR_ST_MSW_BP_E-16"/>
    <x v="0"/>
    <x v="15"/>
    <n v="14.5707181095837"/>
    <n v="5318.3121099980599"/>
    <n v="19145.923595993001"/>
  </r>
  <r>
    <x v="0"/>
    <x v="0"/>
    <x v="0"/>
    <x v="0"/>
    <x v="1"/>
    <s v="DK2_Large"/>
    <x v="1"/>
    <s v="GNR_ST_MSW_BP_E-16"/>
    <x v="0"/>
    <x v="16"/>
    <n v="91.191036357092898"/>
    <n v="33284.728270338899"/>
    <n v="119825.02177322"/>
  </r>
  <r>
    <x v="0"/>
    <x v="0"/>
    <x v="0"/>
    <x v="0"/>
    <x v="1"/>
    <s v="DK2_Large"/>
    <x v="1"/>
    <s v="GNR_ST_MSW_BP_E-16"/>
    <x v="0"/>
    <x v="17"/>
    <n v="96.361684232126805"/>
    <n v="35172.014744726301"/>
    <n v="126619.25308101501"/>
  </r>
  <r>
    <x v="0"/>
    <x v="0"/>
    <x v="0"/>
    <x v="0"/>
    <x v="1"/>
    <s v="DK2_Large"/>
    <x v="1"/>
    <s v="GNR_ST_MSW_BP_E-16"/>
    <x v="0"/>
    <x v="18"/>
    <n v="96.361684232126805"/>
    <n v="35172.014744726301"/>
    <n v="126619.25308101501"/>
  </r>
  <r>
    <x v="0"/>
    <x v="0"/>
    <x v="0"/>
    <x v="0"/>
    <x v="1"/>
    <s v="DK2_Large"/>
    <x v="1"/>
    <s v="GNR_ST_MSW_BP_E-16"/>
    <x v="0"/>
    <x v="19"/>
    <n v="96.361684232126805"/>
    <n v="35172.014744726301"/>
    <n v="126619.25308101501"/>
  </r>
  <r>
    <x v="0"/>
    <x v="0"/>
    <x v="0"/>
    <x v="0"/>
    <x v="1"/>
    <s v="DK2_Large"/>
    <x v="1"/>
    <s v="GNR_ST_MSW_BP_E-16"/>
    <x v="0"/>
    <x v="20"/>
    <n v="96.361684232126805"/>
    <n v="35172.014744726301"/>
    <n v="126619.25308101501"/>
  </r>
  <r>
    <x v="0"/>
    <x v="0"/>
    <x v="0"/>
    <x v="0"/>
    <x v="1"/>
    <s v="DK2_Large"/>
    <x v="1"/>
    <s v="GNR_ST_MSW_BP_E-16"/>
    <x v="0"/>
    <x v="21"/>
    <n v="53.182532029588302"/>
    <n v="19411.624190799699"/>
    <n v="69881.847086879003"/>
  </r>
  <r>
    <x v="0"/>
    <x v="0"/>
    <x v="0"/>
    <x v="0"/>
    <x v="1"/>
    <s v="DK2_Large"/>
    <x v="1"/>
    <s v="GNR_ST_MSW_BP_E-16"/>
    <x v="0"/>
    <x v="22"/>
    <n v="5.5210742220825999"/>
    <n v="2015.19209106015"/>
    <n v="7254.6915278165397"/>
  </r>
  <r>
    <x v="0"/>
    <x v="0"/>
    <x v="0"/>
    <x v="0"/>
    <x v="1"/>
    <s v="DK2_Large"/>
    <x v="1"/>
    <s v="GNR_ST_MSW_BP_E-20"/>
    <x v="0"/>
    <x v="0"/>
    <n v="89.1196641923556"/>
    <n v="32528.677430209798"/>
    <n v="117103.238748755"/>
  </r>
  <r>
    <x v="0"/>
    <x v="0"/>
    <x v="0"/>
    <x v="0"/>
    <x v="1"/>
    <s v="DK2_Large"/>
    <x v="1"/>
    <s v="GNR_ST_MSW_BP_E-20"/>
    <x v="0"/>
    <x v="1"/>
    <n v="89.1196641923556"/>
    <n v="32528.677430209798"/>
    <n v="117103.238748755"/>
  </r>
  <r>
    <x v="0"/>
    <x v="0"/>
    <x v="0"/>
    <x v="0"/>
    <x v="1"/>
    <s v="DK2_Large"/>
    <x v="1"/>
    <s v="GNR_ST_MSW_BP_E-20"/>
    <x v="0"/>
    <x v="2"/>
    <n v="98.772617672356702"/>
    <n v="36052.005450410201"/>
    <n v="129787.21962147699"/>
  </r>
  <r>
    <x v="0"/>
    <x v="0"/>
    <x v="0"/>
    <x v="0"/>
    <x v="1"/>
    <s v="DK2_Large"/>
    <x v="1"/>
    <s v="GNR_ST_MSW_BP_E-20"/>
    <x v="0"/>
    <x v="3"/>
    <n v="131.863357370279"/>
    <n v="48130.1254401517"/>
    <n v="173268.45158454601"/>
  </r>
  <r>
    <x v="0"/>
    <x v="0"/>
    <x v="0"/>
    <x v="0"/>
    <x v="1"/>
    <s v="DK2_Large"/>
    <x v="1"/>
    <s v="GNR_ST_MSW_BP_E-20"/>
    <x v="0"/>
    <x v="4"/>
    <n v="131.863357370279"/>
    <n v="48130.1254401517"/>
    <n v="173268.45158454601"/>
  </r>
  <r>
    <x v="0"/>
    <x v="0"/>
    <x v="0"/>
    <x v="0"/>
    <x v="1"/>
    <s v="DK2_Large"/>
    <x v="1"/>
    <s v="GNR_ST_MSW_BP_E-20"/>
    <x v="0"/>
    <x v="5"/>
    <n v="131.863357370279"/>
    <n v="48130.1254401517"/>
    <n v="173268.45158454601"/>
  </r>
  <r>
    <x v="0"/>
    <x v="0"/>
    <x v="0"/>
    <x v="0"/>
    <x v="1"/>
    <s v="DK2_Large"/>
    <x v="1"/>
    <s v="GNR_ST_MSW_BP_E-20"/>
    <x v="0"/>
    <x v="6"/>
    <n v="131.863357370279"/>
    <n v="48130.1254401517"/>
    <n v="173268.45158454601"/>
  </r>
  <r>
    <x v="0"/>
    <x v="0"/>
    <x v="0"/>
    <x v="0"/>
    <x v="1"/>
    <s v="DK2_Large"/>
    <x v="1"/>
    <s v="GNR_ST_MSW_BP_E-20"/>
    <x v="0"/>
    <x v="7"/>
    <n v="131.863357370279"/>
    <n v="48130.1254401517"/>
    <n v="173268.45158454601"/>
  </r>
  <r>
    <x v="0"/>
    <x v="0"/>
    <x v="0"/>
    <x v="0"/>
    <x v="1"/>
    <s v="DK2_Large"/>
    <x v="1"/>
    <s v="GNR_ST_MSW_BP_E-20"/>
    <x v="0"/>
    <x v="8"/>
    <n v="131.863357370279"/>
    <n v="48130.1254401517"/>
    <n v="173268.45158454601"/>
  </r>
  <r>
    <x v="0"/>
    <x v="0"/>
    <x v="0"/>
    <x v="0"/>
    <x v="1"/>
    <s v="DK2_Large"/>
    <x v="1"/>
    <s v="GNR_ST_MSW_BP_E-20"/>
    <x v="0"/>
    <x v="9"/>
    <n v="131.863357370279"/>
    <n v="48130.1254401517"/>
    <n v="173268.45158454601"/>
  </r>
  <r>
    <x v="0"/>
    <x v="0"/>
    <x v="0"/>
    <x v="0"/>
    <x v="1"/>
    <s v="DK2_Large"/>
    <x v="1"/>
    <s v="GNR_ST_MSW_BP_E-20"/>
    <x v="0"/>
    <x v="10"/>
    <n v="131.863357370279"/>
    <n v="48130.1254401517"/>
    <n v="173268.45158454601"/>
  </r>
  <r>
    <x v="0"/>
    <x v="0"/>
    <x v="0"/>
    <x v="0"/>
    <x v="1"/>
    <s v="DK2_Large"/>
    <x v="1"/>
    <s v="GNR_ST_MSW_BP_E-20"/>
    <x v="0"/>
    <x v="11"/>
    <n v="131.863357370279"/>
    <n v="48130.1254401517"/>
    <n v="173268.45158454601"/>
  </r>
  <r>
    <x v="0"/>
    <x v="0"/>
    <x v="0"/>
    <x v="0"/>
    <x v="1"/>
    <s v="DK2_Large"/>
    <x v="1"/>
    <s v="GNR_ST_MSW_BP_E-20"/>
    <x v="0"/>
    <x v="12"/>
    <n v="131.863357370279"/>
    <n v="48130.1254401517"/>
    <n v="173268.45158454601"/>
  </r>
  <r>
    <x v="0"/>
    <x v="0"/>
    <x v="0"/>
    <x v="0"/>
    <x v="1"/>
    <s v="DK2_Large"/>
    <x v="1"/>
    <s v="GNR_ST_MSW_BP_E-20"/>
    <x v="0"/>
    <x v="13"/>
    <n v="131.863357370279"/>
    <n v="48130.1254401517"/>
    <n v="173268.45158454601"/>
  </r>
  <r>
    <x v="0"/>
    <x v="0"/>
    <x v="0"/>
    <x v="0"/>
    <x v="1"/>
    <s v="DK2_Large"/>
    <x v="1"/>
    <s v="GNR_ST_MSW_BP_E-20"/>
    <x v="0"/>
    <x v="14"/>
    <n v="127.73147811235999"/>
    <n v="46621.989511011503"/>
    <n v="167839.16223964101"/>
  </r>
  <r>
    <x v="0"/>
    <x v="0"/>
    <x v="0"/>
    <x v="0"/>
    <x v="1"/>
    <s v="DK2_Large"/>
    <x v="1"/>
    <s v="GNR_ST_MSW_BP_E-20"/>
    <x v="0"/>
    <x v="15"/>
    <n v="131.863357370279"/>
    <n v="48130.1254401517"/>
    <n v="173268.45158454601"/>
  </r>
  <r>
    <x v="0"/>
    <x v="0"/>
    <x v="0"/>
    <x v="0"/>
    <x v="1"/>
    <s v="DK2_Large"/>
    <x v="1"/>
    <s v="GNR_ST_MSW_BP_E-20"/>
    <x v="0"/>
    <x v="16"/>
    <n v="131.863357370279"/>
    <n v="48130.1254401517"/>
    <n v="173268.45158454601"/>
  </r>
  <r>
    <x v="0"/>
    <x v="0"/>
    <x v="0"/>
    <x v="0"/>
    <x v="1"/>
    <s v="DK2_Large"/>
    <x v="1"/>
    <s v="GNR_ST_MSW_BP_E-20"/>
    <x v="0"/>
    <x v="17"/>
    <n v="131.863357370279"/>
    <n v="48130.1254401517"/>
    <n v="173268.45158454601"/>
  </r>
  <r>
    <x v="0"/>
    <x v="0"/>
    <x v="0"/>
    <x v="0"/>
    <x v="1"/>
    <s v="DK2_Large"/>
    <x v="1"/>
    <s v="GNR_ST_MSW_BP_E-20"/>
    <x v="0"/>
    <x v="18"/>
    <n v="131.863357370279"/>
    <n v="48130.1254401517"/>
    <n v="173268.45158454601"/>
  </r>
  <r>
    <x v="0"/>
    <x v="0"/>
    <x v="0"/>
    <x v="0"/>
    <x v="1"/>
    <s v="DK2_Large"/>
    <x v="1"/>
    <s v="GNR_ST_MSW_BP_E-20"/>
    <x v="0"/>
    <x v="19"/>
    <n v="131.863357370279"/>
    <n v="48130.1254401517"/>
    <n v="173268.45158454601"/>
  </r>
  <r>
    <x v="0"/>
    <x v="0"/>
    <x v="0"/>
    <x v="0"/>
    <x v="1"/>
    <s v="DK2_Large"/>
    <x v="1"/>
    <s v="GNR_ST_MSW_BP_E-20"/>
    <x v="0"/>
    <x v="20"/>
    <n v="131.863357370279"/>
    <n v="48130.1254401517"/>
    <n v="173268.45158454601"/>
  </r>
  <r>
    <x v="0"/>
    <x v="0"/>
    <x v="0"/>
    <x v="0"/>
    <x v="1"/>
    <s v="DK2_Large"/>
    <x v="1"/>
    <s v="GNR_ST_MSW_BP_E-20"/>
    <x v="0"/>
    <x v="21"/>
    <n v="131.863357370279"/>
    <n v="48130.1254401517"/>
    <n v="173268.45158454601"/>
  </r>
  <r>
    <x v="0"/>
    <x v="0"/>
    <x v="0"/>
    <x v="0"/>
    <x v="1"/>
    <s v="DK2_Large"/>
    <x v="1"/>
    <s v="GNR_ST_MSW_BP_E-20"/>
    <x v="0"/>
    <x v="22"/>
    <n v="131.863357370279"/>
    <n v="48130.1254401517"/>
    <n v="173268.45158454601"/>
  </r>
  <r>
    <x v="0"/>
    <x v="0"/>
    <x v="0"/>
    <x v="0"/>
    <x v="1"/>
    <s v="DK2_Large"/>
    <x v="1"/>
    <s v="GNR_ST_MSW_BP_E-20"/>
    <x v="0"/>
    <x v="23"/>
    <n v="89.1196641923556"/>
    <n v="32528.677430209798"/>
    <n v="117103.238748755"/>
  </r>
  <r>
    <x v="0"/>
    <x v="0"/>
    <x v="0"/>
    <x v="0"/>
    <x v="1"/>
    <s v="DK2_Large"/>
    <x v="1"/>
    <s v="GNR_ST_MSW_BP_E-21"/>
    <x v="0"/>
    <x v="0"/>
    <n v="46.321230665969701"/>
    <n v="16907.2491930789"/>
    <n v="60866.097095084202"/>
  </r>
  <r>
    <x v="0"/>
    <x v="0"/>
    <x v="0"/>
    <x v="0"/>
    <x v="1"/>
    <s v="DK2_Large"/>
    <x v="1"/>
    <s v="GNR_ST_MSW_BP_E-21"/>
    <x v="0"/>
    <x v="1"/>
    <n v="46.321230665969701"/>
    <n v="16907.2491930789"/>
    <n v="60866.097095084202"/>
  </r>
  <r>
    <x v="0"/>
    <x v="0"/>
    <x v="0"/>
    <x v="0"/>
    <x v="1"/>
    <s v="DK2_Large"/>
    <x v="1"/>
    <s v="GNR_ST_MSW_BP_E-21"/>
    <x v="0"/>
    <x v="2"/>
    <n v="46.321230665969701"/>
    <n v="16907.2491930789"/>
    <n v="60866.097095084202"/>
  </r>
  <r>
    <x v="0"/>
    <x v="0"/>
    <x v="0"/>
    <x v="0"/>
    <x v="1"/>
    <s v="DK2_Large"/>
    <x v="1"/>
    <s v="GNR_ST_MSW_BP_E-21"/>
    <x v="0"/>
    <x v="3"/>
    <n v="46.321230665969701"/>
    <n v="16907.2491930789"/>
    <n v="60866.097095084202"/>
  </r>
  <r>
    <x v="0"/>
    <x v="0"/>
    <x v="0"/>
    <x v="0"/>
    <x v="1"/>
    <s v="DK2_Large"/>
    <x v="1"/>
    <s v="GNR_ST_MSW_BP_E-21"/>
    <x v="0"/>
    <x v="4"/>
    <n v="46.321230665969701"/>
    <n v="16907.2491930789"/>
    <n v="60866.097095084202"/>
  </r>
  <r>
    <x v="0"/>
    <x v="0"/>
    <x v="0"/>
    <x v="0"/>
    <x v="1"/>
    <s v="DK2_Large"/>
    <x v="1"/>
    <s v="GNR_ST_MSW_BP_E-21"/>
    <x v="0"/>
    <x v="5"/>
    <n v="46.321230665969701"/>
    <n v="16907.2491930789"/>
    <n v="60866.097095084202"/>
  </r>
  <r>
    <x v="0"/>
    <x v="0"/>
    <x v="0"/>
    <x v="0"/>
    <x v="1"/>
    <s v="DK2_Large"/>
    <x v="1"/>
    <s v="GNR_ST_MSW_BP_E-21"/>
    <x v="0"/>
    <x v="6"/>
    <n v="46.321230665969701"/>
    <n v="16907.2491930789"/>
    <n v="60866.097095084202"/>
  </r>
  <r>
    <x v="0"/>
    <x v="0"/>
    <x v="0"/>
    <x v="0"/>
    <x v="1"/>
    <s v="DK2_Large"/>
    <x v="1"/>
    <s v="GNR_ST_MSW_BP_E-21"/>
    <x v="0"/>
    <x v="7"/>
    <n v="46.321230665969701"/>
    <n v="16907.2491930789"/>
    <n v="60866.097095084202"/>
  </r>
  <r>
    <x v="0"/>
    <x v="0"/>
    <x v="0"/>
    <x v="0"/>
    <x v="1"/>
    <s v="DK2_Large"/>
    <x v="1"/>
    <s v="GNR_ST_MSW_BP_E-21"/>
    <x v="0"/>
    <x v="8"/>
    <n v="46.321230665969701"/>
    <n v="16907.2491930789"/>
    <n v="60866.097095084202"/>
  </r>
  <r>
    <x v="0"/>
    <x v="0"/>
    <x v="0"/>
    <x v="0"/>
    <x v="1"/>
    <s v="DK2_Large"/>
    <x v="1"/>
    <s v="GNR_ST_MSW_BP_E-21"/>
    <x v="0"/>
    <x v="9"/>
    <n v="46.321230665969701"/>
    <n v="16907.2491930789"/>
    <n v="60866.097095084202"/>
  </r>
  <r>
    <x v="0"/>
    <x v="0"/>
    <x v="0"/>
    <x v="0"/>
    <x v="1"/>
    <s v="DK2_Large"/>
    <x v="1"/>
    <s v="GNR_ST_MSW_BP_E-21"/>
    <x v="0"/>
    <x v="10"/>
    <n v="46.321230665969701"/>
    <n v="16907.2491930789"/>
    <n v="60866.097095084202"/>
  </r>
  <r>
    <x v="0"/>
    <x v="0"/>
    <x v="0"/>
    <x v="0"/>
    <x v="1"/>
    <s v="DK2_Large"/>
    <x v="1"/>
    <s v="GNR_ST_MSW_BP_E-21"/>
    <x v="0"/>
    <x v="11"/>
    <n v="46.321230665969701"/>
    <n v="16907.2491930789"/>
    <n v="60866.097095084202"/>
  </r>
  <r>
    <x v="0"/>
    <x v="0"/>
    <x v="0"/>
    <x v="0"/>
    <x v="1"/>
    <s v="DK2_Large"/>
    <x v="1"/>
    <s v="GNR_ST_MSW_BP_E-21"/>
    <x v="0"/>
    <x v="12"/>
    <n v="46.321230665969701"/>
    <n v="16907.2491930789"/>
    <n v="60866.097095084202"/>
  </r>
  <r>
    <x v="0"/>
    <x v="0"/>
    <x v="0"/>
    <x v="0"/>
    <x v="1"/>
    <s v="DK2_Large"/>
    <x v="1"/>
    <s v="GNR_ST_MSW_BP_E-21"/>
    <x v="0"/>
    <x v="13"/>
    <n v="46.321230665969701"/>
    <n v="16907.2491930789"/>
    <n v="60866.097095084202"/>
  </r>
  <r>
    <x v="0"/>
    <x v="0"/>
    <x v="0"/>
    <x v="0"/>
    <x v="1"/>
    <s v="DK2_Large"/>
    <x v="1"/>
    <s v="GNR_ST_MSW_BP_E-21"/>
    <x v="0"/>
    <x v="14"/>
    <n v="46.321230665969701"/>
    <n v="16907.2491930789"/>
    <n v="60866.097095084202"/>
  </r>
  <r>
    <x v="0"/>
    <x v="0"/>
    <x v="0"/>
    <x v="0"/>
    <x v="1"/>
    <s v="DK2_Large"/>
    <x v="1"/>
    <s v="GNR_ST_MSW_BP_E-21"/>
    <x v="0"/>
    <x v="15"/>
    <n v="46.321230665969701"/>
    <n v="16907.2491930789"/>
    <n v="60866.097095084202"/>
  </r>
  <r>
    <x v="0"/>
    <x v="0"/>
    <x v="0"/>
    <x v="0"/>
    <x v="1"/>
    <s v="DK2_Large"/>
    <x v="1"/>
    <s v="GNR_ST_MSW_BP_E-21"/>
    <x v="0"/>
    <x v="16"/>
    <n v="46.321230665969701"/>
    <n v="16907.2491930789"/>
    <n v="60866.097095084202"/>
  </r>
  <r>
    <x v="0"/>
    <x v="0"/>
    <x v="0"/>
    <x v="0"/>
    <x v="1"/>
    <s v="DK2_Large"/>
    <x v="1"/>
    <s v="GNR_ST_MSW_BP_E-21"/>
    <x v="0"/>
    <x v="17"/>
    <n v="46.321230665969701"/>
    <n v="16907.2491930789"/>
    <n v="60866.097095084202"/>
  </r>
  <r>
    <x v="0"/>
    <x v="0"/>
    <x v="0"/>
    <x v="0"/>
    <x v="1"/>
    <s v="DK2_Large"/>
    <x v="1"/>
    <s v="GNR_ST_MSW_BP_E-21"/>
    <x v="0"/>
    <x v="18"/>
    <n v="46.321230665969701"/>
    <n v="16907.2491930789"/>
    <n v="60866.097095084202"/>
  </r>
  <r>
    <x v="0"/>
    <x v="0"/>
    <x v="0"/>
    <x v="0"/>
    <x v="1"/>
    <s v="DK2_Large"/>
    <x v="1"/>
    <s v="GNR_ST_MSW_BP_E-21"/>
    <x v="0"/>
    <x v="19"/>
    <n v="46.321230665969701"/>
    <n v="16907.2491930789"/>
    <n v="60866.097095084202"/>
  </r>
  <r>
    <x v="0"/>
    <x v="0"/>
    <x v="0"/>
    <x v="0"/>
    <x v="1"/>
    <s v="DK2_Large"/>
    <x v="1"/>
    <s v="GNR_ST_MSW_BP_E-21"/>
    <x v="0"/>
    <x v="20"/>
    <n v="46.321230665969701"/>
    <n v="16907.2491930789"/>
    <n v="60866.097095084202"/>
  </r>
  <r>
    <x v="0"/>
    <x v="0"/>
    <x v="0"/>
    <x v="0"/>
    <x v="1"/>
    <s v="DK2_Large"/>
    <x v="1"/>
    <s v="GNR_ST_MSW_BP_E-21"/>
    <x v="0"/>
    <x v="21"/>
    <n v="46.321230665969701"/>
    <n v="16907.2491930789"/>
    <n v="60866.097095084202"/>
  </r>
  <r>
    <x v="0"/>
    <x v="0"/>
    <x v="0"/>
    <x v="0"/>
    <x v="1"/>
    <s v="DK2_Large"/>
    <x v="1"/>
    <s v="GNR_ST_MSW_BP_E-21"/>
    <x v="0"/>
    <x v="22"/>
    <n v="46.321230665969701"/>
    <n v="16907.2491930789"/>
    <n v="60866.097095084202"/>
  </r>
  <r>
    <x v="0"/>
    <x v="0"/>
    <x v="0"/>
    <x v="0"/>
    <x v="1"/>
    <s v="DK2_Large"/>
    <x v="1"/>
    <s v="GNR_ST_MSW_BP_E-21"/>
    <x v="0"/>
    <x v="23"/>
    <n v="46.321230665969701"/>
    <n v="16907.2491930789"/>
    <n v="60866.097095084202"/>
  </r>
  <r>
    <x v="0"/>
    <x v="0"/>
    <x v="0"/>
    <x v="0"/>
    <x v="1"/>
    <s v="DK2_Large"/>
    <x v="1"/>
    <s v="GNR_ST_MSW_BP_E-27"/>
    <x v="0"/>
    <x v="0"/>
    <n v="65.593567512395097"/>
    <n v="23941.652142024199"/>
    <n v="86189.947711287095"/>
  </r>
  <r>
    <x v="0"/>
    <x v="0"/>
    <x v="0"/>
    <x v="0"/>
    <x v="1"/>
    <s v="DK2_Large"/>
    <x v="1"/>
    <s v="GNR_ST_MSW_BP_E-27"/>
    <x v="0"/>
    <x v="1"/>
    <n v="65.593567512395097"/>
    <n v="23941.652142024199"/>
    <n v="86189.947711287095"/>
  </r>
  <r>
    <x v="0"/>
    <x v="0"/>
    <x v="0"/>
    <x v="0"/>
    <x v="1"/>
    <s v="DK2_Large"/>
    <x v="1"/>
    <s v="GNR_ST_MSW_BP_E-27"/>
    <x v="0"/>
    <x v="2"/>
    <n v="65.593567512395097"/>
    <n v="23941.652142024199"/>
    <n v="86189.947711287095"/>
  </r>
  <r>
    <x v="0"/>
    <x v="0"/>
    <x v="0"/>
    <x v="0"/>
    <x v="1"/>
    <s v="DK2_Large"/>
    <x v="1"/>
    <s v="GNR_ST_MSW_BP_E-27"/>
    <x v="0"/>
    <x v="3"/>
    <n v="65.593567512395097"/>
    <n v="23941.652142024199"/>
    <n v="86189.947711287095"/>
  </r>
  <r>
    <x v="0"/>
    <x v="0"/>
    <x v="0"/>
    <x v="0"/>
    <x v="1"/>
    <s v="DK2_Large"/>
    <x v="1"/>
    <s v="GNR_ST_MSW_BP_E-27"/>
    <x v="0"/>
    <x v="4"/>
    <n v="65.593567512395097"/>
    <n v="23941.652142024199"/>
    <n v="86189.947711287095"/>
  </r>
  <r>
    <x v="0"/>
    <x v="0"/>
    <x v="0"/>
    <x v="0"/>
    <x v="1"/>
    <s v="DK2_Large"/>
    <x v="1"/>
    <s v="GNR_ST_MSW_BP_E-27"/>
    <x v="0"/>
    <x v="5"/>
    <n v="65.593567512395097"/>
    <n v="23941.652142024199"/>
    <n v="86189.947711287095"/>
  </r>
  <r>
    <x v="0"/>
    <x v="0"/>
    <x v="0"/>
    <x v="0"/>
    <x v="1"/>
    <s v="DK2_Large"/>
    <x v="1"/>
    <s v="GNR_ST_MSW_BP_E-27"/>
    <x v="0"/>
    <x v="6"/>
    <n v="65.593567512395097"/>
    <n v="23941.652142024199"/>
    <n v="86189.947711287095"/>
  </r>
  <r>
    <x v="0"/>
    <x v="0"/>
    <x v="0"/>
    <x v="0"/>
    <x v="1"/>
    <s v="DK2_Large"/>
    <x v="1"/>
    <s v="GNR_ST_MSW_BP_E-27"/>
    <x v="0"/>
    <x v="7"/>
    <n v="65.593567512395097"/>
    <n v="23941.652142024199"/>
    <n v="86189.947711287095"/>
  </r>
  <r>
    <x v="0"/>
    <x v="0"/>
    <x v="0"/>
    <x v="0"/>
    <x v="1"/>
    <s v="DK2_Large"/>
    <x v="1"/>
    <s v="GNR_ST_MSW_BP_E-27"/>
    <x v="0"/>
    <x v="8"/>
    <n v="65.593567512395097"/>
    <n v="23941.652142024199"/>
    <n v="86189.947711287095"/>
  </r>
  <r>
    <x v="0"/>
    <x v="0"/>
    <x v="0"/>
    <x v="0"/>
    <x v="1"/>
    <s v="DK2_Large"/>
    <x v="1"/>
    <s v="GNR_ST_MSW_BP_E-27"/>
    <x v="0"/>
    <x v="9"/>
    <n v="65.593567512395097"/>
    <n v="23941.652142024199"/>
    <n v="86189.947711287095"/>
  </r>
  <r>
    <x v="0"/>
    <x v="0"/>
    <x v="0"/>
    <x v="0"/>
    <x v="1"/>
    <s v="DK2_Large"/>
    <x v="1"/>
    <s v="GNR_ST_MSW_BP_E-27"/>
    <x v="0"/>
    <x v="10"/>
    <n v="65.593567512395097"/>
    <n v="23941.652142024199"/>
    <n v="86189.947711287095"/>
  </r>
  <r>
    <x v="0"/>
    <x v="0"/>
    <x v="0"/>
    <x v="0"/>
    <x v="1"/>
    <s v="DK2_Large"/>
    <x v="1"/>
    <s v="GNR_ST_MSW_BP_E-27"/>
    <x v="0"/>
    <x v="11"/>
    <n v="65.593567512395097"/>
    <n v="23941.652142024199"/>
    <n v="86189.947711287095"/>
  </r>
  <r>
    <x v="0"/>
    <x v="0"/>
    <x v="0"/>
    <x v="0"/>
    <x v="1"/>
    <s v="DK2_Large"/>
    <x v="1"/>
    <s v="GNR_ST_MSW_BP_E-27"/>
    <x v="0"/>
    <x v="12"/>
    <n v="65.593567512395097"/>
    <n v="23941.652142024199"/>
    <n v="86189.947711287095"/>
  </r>
  <r>
    <x v="0"/>
    <x v="0"/>
    <x v="0"/>
    <x v="0"/>
    <x v="1"/>
    <s v="DK2_Large"/>
    <x v="1"/>
    <s v="GNR_ST_MSW_BP_E-27"/>
    <x v="0"/>
    <x v="13"/>
    <n v="65.593567512395097"/>
    <n v="23941.652142024199"/>
    <n v="86189.947711287095"/>
  </r>
  <r>
    <x v="0"/>
    <x v="0"/>
    <x v="0"/>
    <x v="0"/>
    <x v="1"/>
    <s v="DK2_Large"/>
    <x v="1"/>
    <s v="GNR_ST_MSW_BP_E-27"/>
    <x v="0"/>
    <x v="14"/>
    <n v="65.593567512395097"/>
    <n v="23941.652142024199"/>
    <n v="86189.947711287095"/>
  </r>
  <r>
    <x v="0"/>
    <x v="0"/>
    <x v="0"/>
    <x v="0"/>
    <x v="1"/>
    <s v="DK2_Large"/>
    <x v="1"/>
    <s v="GNR_ST_MSW_BP_E-27"/>
    <x v="0"/>
    <x v="15"/>
    <n v="65.593567512395097"/>
    <n v="23941.652142024199"/>
    <n v="86189.947711287095"/>
  </r>
  <r>
    <x v="0"/>
    <x v="0"/>
    <x v="0"/>
    <x v="0"/>
    <x v="1"/>
    <s v="DK2_Large"/>
    <x v="1"/>
    <s v="GNR_ST_MSW_BP_E-27"/>
    <x v="0"/>
    <x v="16"/>
    <n v="65.593567512395097"/>
    <n v="23941.652142024199"/>
    <n v="86189.947711287095"/>
  </r>
  <r>
    <x v="0"/>
    <x v="0"/>
    <x v="0"/>
    <x v="0"/>
    <x v="1"/>
    <s v="DK2_Large"/>
    <x v="1"/>
    <s v="GNR_ST_MSW_BP_E-27"/>
    <x v="0"/>
    <x v="17"/>
    <n v="65.593567512395097"/>
    <n v="23941.652142024199"/>
    <n v="86189.947711287095"/>
  </r>
  <r>
    <x v="0"/>
    <x v="0"/>
    <x v="0"/>
    <x v="0"/>
    <x v="1"/>
    <s v="DK2_Large"/>
    <x v="1"/>
    <s v="GNR_ST_MSW_BP_E-27"/>
    <x v="0"/>
    <x v="18"/>
    <n v="65.593567512395097"/>
    <n v="23941.652142024199"/>
    <n v="86189.947711287095"/>
  </r>
  <r>
    <x v="0"/>
    <x v="0"/>
    <x v="0"/>
    <x v="0"/>
    <x v="1"/>
    <s v="DK2_Large"/>
    <x v="1"/>
    <s v="GNR_ST_MSW_BP_E-27"/>
    <x v="0"/>
    <x v="19"/>
    <n v="65.593567512395097"/>
    <n v="23941.652142024199"/>
    <n v="86189.947711287095"/>
  </r>
  <r>
    <x v="0"/>
    <x v="0"/>
    <x v="0"/>
    <x v="0"/>
    <x v="1"/>
    <s v="DK2_Large"/>
    <x v="1"/>
    <s v="GNR_ST_MSW_BP_E-27"/>
    <x v="0"/>
    <x v="20"/>
    <n v="65.593567512395097"/>
    <n v="23941.652142024199"/>
    <n v="86189.947711287095"/>
  </r>
  <r>
    <x v="0"/>
    <x v="0"/>
    <x v="0"/>
    <x v="0"/>
    <x v="1"/>
    <s v="DK2_Large"/>
    <x v="1"/>
    <s v="GNR_ST_MSW_BP_E-27"/>
    <x v="0"/>
    <x v="21"/>
    <n v="65.593567512395097"/>
    <n v="23941.652142024199"/>
    <n v="86189.947711287095"/>
  </r>
  <r>
    <x v="0"/>
    <x v="0"/>
    <x v="0"/>
    <x v="0"/>
    <x v="1"/>
    <s v="DK2_Large"/>
    <x v="1"/>
    <s v="GNR_ST_MSW_BP_E-27"/>
    <x v="0"/>
    <x v="22"/>
    <n v="65.593567512395097"/>
    <n v="23941.652142024199"/>
    <n v="86189.947711287095"/>
  </r>
  <r>
    <x v="0"/>
    <x v="0"/>
    <x v="0"/>
    <x v="0"/>
    <x v="1"/>
    <s v="DK2_Large"/>
    <x v="1"/>
    <s v="GNR_ST_MSW_BP_E-27"/>
    <x v="0"/>
    <x v="23"/>
    <n v="65.593567512395097"/>
    <n v="23941.652142024199"/>
    <n v="86189.947711287095"/>
  </r>
  <r>
    <x v="0"/>
    <x v="0"/>
    <x v="0"/>
    <x v="0"/>
    <x v="1"/>
    <s v="DK2_Large"/>
    <x v="4"/>
    <s v="GNR_BO_NGAS_E-101"/>
    <x v="0"/>
    <x v="4"/>
    <n v="4.1352590849685704"/>
    <n v="1509.3695660135299"/>
    <n v="5433.7304376487"/>
  </r>
  <r>
    <x v="0"/>
    <x v="0"/>
    <x v="0"/>
    <x v="0"/>
    <x v="1"/>
    <s v="DK2_Large"/>
    <x v="4"/>
    <s v="GNR_BO_NGAS_E-101"/>
    <x v="0"/>
    <x v="5"/>
    <n v="147.722942099986"/>
    <n v="53918.873866494898"/>
    <n v="194107.94591938201"/>
  </r>
  <r>
    <x v="0"/>
    <x v="0"/>
    <x v="0"/>
    <x v="0"/>
    <x v="1"/>
    <s v="DK2_Large"/>
    <x v="4"/>
    <s v="GNR_BO_NGAS_E-101"/>
    <x v="0"/>
    <x v="6"/>
    <n v="166.42553946748799"/>
    <n v="60745.321905633202"/>
    <n v="218683.15886027901"/>
  </r>
  <r>
    <x v="0"/>
    <x v="0"/>
    <x v="0"/>
    <x v="0"/>
    <x v="1"/>
    <s v="DK2_Large"/>
    <x v="4"/>
    <s v="GNR_BO_NGAS_E-101"/>
    <x v="0"/>
    <x v="7"/>
    <n v="156.77258598748699"/>
    <n v="57221.993885432697"/>
    <n v="205999.17798755801"/>
  </r>
  <r>
    <x v="0"/>
    <x v="0"/>
    <x v="0"/>
    <x v="0"/>
    <x v="1"/>
    <s v="DK2_Large"/>
    <x v="4"/>
    <s v="GNR_BO_NGAS_E-101"/>
    <x v="0"/>
    <x v="8"/>
    <n v="128.41703513998399"/>
    <n v="46872.217826093998"/>
    <n v="168739.98417393799"/>
  </r>
  <r>
    <x v="0"/>
    <x v="0"/>
    <x v="0"/>
    <x v="0"/>
    <x v="1"/>
    <s v="DK2_Large"/>
    <x v="4"/>
    <s v="GNR_BO_NGAS_E-101"/>
    <x v="0"/>
    <x v="9"/>
    <n v="61.449670372475502"/>
    <n v="22429.129685953601"/>
    <n v="80744.866869432793"/>
  </r>
  <r>
    <x v="0"/>
    <x v="0"/>
    <x v="0"/>
    <x v="0"/>
    <x v="1"/>
    <s v="DK2_Large"/>
    <x v="4"/>
    <s v="GNR_BO_NGAS_E-101"/>
    <x v="0"/>
    <x v="10"/>
    <n v="13.788212564969699"/>
    <n v="5032.6975862139197"/>
    <n v="18117.711310370101"/>
  </r>
  <r>
    <x v="0"/>
    <x v="0"/>
    <x v="0"/>
    <x v="0"/>
    <x v="1"/>
    <s v="DK2_Large"/>
    <x v="4"/>
    <s v="GNR_BO_NGAS_E-101"/>
    <x v="0"/>
    <x v="17"/>
    <n v="51.796716892474301"/>
    <n v="18905.801665753101"/>
    <n v="68060.885996711193"/>
  </r>
  <r>
    <x v="0"/>
    <x v="0"/>
    <x v="0"/>
    <x v="0"/>
    <x v="1"/>
    <s v="DK2_Large"/>
    <x v="4"/>
    <s v="GNR_BO_NGAS_E-101"/>
    <x v="0"/>
    <x v="18"/>
    <n v="89.805221219978804"/>
    <n v="32778.905745292301"/>
    <n v="118004.060683052"/>
  </r>
  <r>
    <x v="0"/>
    <x v="0"/>
    <x v="0"/>
    <x v="0"/>
    <x v="1"/>
    <s v="DK2_Large"/>
    <x v="4"/>
    <s v="GNR_BO_NGAS_E-101"/>
    <x v="0"/>
    <x v="19"/>
    <n v="71.102623852476498"/>
    <n v="25952.457706153898"/>
    <n v="93428.847742154103"/>
  </r>
  <r>
    <x v="0"/>
    <x v="0"/>
    <x v="0"/>
    <x v="0"/>
    <x v="1"/>
    <s v="DK2_Large"/>
    <x v="2"/>
    <s v="GNR_GEO_HEAT_HO"/>
    <x v="0"/>
    <x v="0"/>
    <n v="14"/>
    <n v="5110"/>
    <n v="18396"/>
  </r>
  <r>
    <x v="0"/>
    <x v="0"/>
    <x v="0"/>
    <x v="0"/>
    <x v="1"/>
    <s v="DK2_Large"/>
    <x v="2"/>
    <s v="GNR_GEO_HEAT_HO"/>
    <x v="0"/>
    <x v="1"/>
    <n v="14"/>
    <n v="5110"/>
    <n v="18396"/>
  </r>
  <r>
    <x v="0"/>
    <x v="0"/>
    <x v="0"/>
    <x v="0"/>
    <x v="1"/>
    <s v="DK2_Large"/>
    <x v="2"/>
    <s v="GNR_GEO_HEAT_HO"/>
    <x v="0"/>
    <x v="2"/>
    <n v="14"/>
    <n v="5110"/>
    <n v="18396"/>
  </r>
  <r>
    <x v="0"/>
    <x v="0"/>
    <x v="0"/>
    <x v="0"/>
    <x v="1"/>
    <s v="DK2_Large"/>
    <x v="2"/>
    <s v="GNR_GEO_HEAT_HO"/>
    <x v="0"/>
    <x v="3"/>
    <n v="14"/>
    <n v="5110"/>
    <n v="18396"/>
  </r>
  <r>
    <x v="0"/>
    <x v="0"/>
    <x v="0"/>
    <x v="0"/>
    <x v="1"/>
    <s v="DK2_Large"/>
    <x v="2"/>
    <s v="GNR_GEO_HEAT_HO"/>
    <x v="0"/>
    <x v="4"/>
    <n v="14"/>
    <n v="5110"/>
    <n v="18396"/>
  </r>
  <r>
    <x v="0"/>
    <x v="0"/>
    <x v="0"/>
    <x v="0"/>
    <x v="1"/>
    <s v="DK2_Large"/>
    <x v="2"/>
    <s v="GNR_GEO_HEAT_HO"/>
    <x v="0"/>
    <x v="5"/>
    <n v="14"/>
    <n v="5110"/>
    <n v="18396"/>
  </r>
  <r>
    <x v="0"/>
    <x v="0"/>
    <x v="0"/>
    <x v="0"/>
    <x v="1"/>
    <s v="DK2_Large"/>
    <x v="2"/>
    <s v="GNR_GEO_HEAT_HO"/>
    <x v="0"/>
    <x v="6"/>
    <n v="14"/>
    <n v="5110"/>
    <n v="18396"/>
  </r>
  <r>
    <x v="0"/>
    <x v="0"/>
    <x v="0"/>
    <x v="0"/>
    <x v="1"/>
    <s v="DK2_Large"/>
    <x v="2"/>
    <s v="GNR_GEO_HEAT_HO"/>
    <x v="0"/>
    <x v="7"/>
    <n v="14"/>
    <n v="5110"/>
    <n v="18396"/>
  </r>
  <r>
    <x v="0"/>
    <x v="0"/>
    <x v="0"/>
    <x v="0"/>
    <x v="1"/>
    <s v="DK2_Large"/>
    <x v="2"/>
    <s v="GNR_GEO_HEAT_HO"/>
    <x v="0"/>
    <x v="8"/>
    <n v="14"/>
    <n v="5110"/>
    <n v="18396"/>
  </r>
  <r>
    <x v="0"/>
    <x v="0"/>
    <x v="0"/>
    <x v="0"/>
    <x v="1"/>
    <s v="DK2_Large"/>
    <x v="2"/>
    <s v="GNR_GEO_HEAT_HO"/>
    <x v="0"/>
    <x v="9"/>
    <n v="14"/>
    <n v="5110"/>
    <n v="18396"/>
  </r>
  <r>
    <x v="0"/>
    <x v="0"/>
    <x v="0"/>
    <x v="0"/>
    <x v="1"/>
    <s v="DK2_Large"/>
    <x v="2"/>
    <s v="GNR_GEO_HEAT_HO"/>
    <x v="0"/>
    <x v="10"/>
    <n v="14"/>
    <n v="5110"/>
    <n v="18396"/>
  </r>
  <r>
    <x v="0"/>
    <x v="0"/>
    <x v="0"/>
    <x v="0"/>
    <x v="1"/>
    <s v="DK2_Large"/>
    <x v="2"/>
    <s v="GNR_GEO_HEAT_HO"/>
    <x v="0"/>
    <x v="11"/>
    <n v="14"/>
    <n v="5110"/>
    <n v="18396"/>
  </r>
  <r>
    <x v="0"/>
    <x v="0"/>
    <x v="0"/>
    <x v="0"/>
    <x v="1"/>
    <s v="DK2_Large"/>
    <x v="2"/>
    <s v="GNR_GEO_HEAT_HO"/>
    <x v="0"/>
    <x v="12"/>
    <n v="14"/>
    <n v="5110"/>
    <n v="18396"/>
  </r>
  <r>
    <x v="0"/>
    <x v="0"/>
    <x v="0"/>
    <x v="0"/>
    <x v="1"/>
    <s v="DK2_Large"/>
    <x v="2"/>
    <s v="GNR_GEO_HEAT_HO"/>
    <x v="0"/>
    <x v="13"/>
    <n v="14"/>
    <n v="5110"/>
    <n v="18396"/>
  </r>
  <r>
    <x v="0"/>
    <x v="0"/>
    <x v="0"/>
    <x v="0"/>
    <x v="1"/>
    <s v="DK2_Large"/>
    <x v="2"/>
    <s v="GNR_GEO_HEAT_HO"/>
    <x v="0"/>
    <x v="14"/>
    <n v="14"/>
    <n v="5110"/>
    <n v="18396"/>
  </r>
  <r>
    <x v="0"/>
    <x v="0"/>
    <x v="0"/>
    <x v="0"/>
    <x v="1"/>
    <s v="DK2_Large"/>
    <x v="2"/>
    <s v="GNR_GEO_HEAT_HO"/>
    <x v="0"/>
    <x v="15"/>
    <n v="14"/>
    <n v="5110"/>
    <n v="18396"/>
  </r>
  <r>
    <x v="0"/>
    <x v="0"/>
    <x v="0"/>
    <x v="0"/>
    <x v="1"/>
    <s v="DK2_Large"/>
    <x v="2"/>
    <s v="GNR_GEO_HEAT_HO"/>
    <x v="0"/>
    <x v="16"/>
    <n v="14"/>
    <n v="5110"/>
    <n v="18396"/>
  </r>
  <r>
    <x v="0"/>
    <x v="0"/>
    <x v="0"/>
    <x v="0"/>
    <x v="1"/>
    <s v="DK2_Large"/>
    <x v="2"/>
    <s v="GNR_GEO_HEAT_HO"/>
    <x v="0"/>
    <x v="17"/>
    <n v="14"/>
    <n v="5110"/>
    <n v="18396"/>
  </r>
  <r>
    <x v="0"/>
    <x v="0"/>
    <x v="0"/>
    <x v="0"/>
    <x v="1"/>
    <s v="DK2_Large"/>
    <x v="2"/>
    <s v="GNR_GEO_HEAT_HO"/>
    <x v="0"/>
    <x v="18"/>
    <n v="14"/>
    <n v="5110"/>
    <n v="18396"/>
  </r>
  <r>
    <x v="0"/>
    <x v="0"/>
    <x v="0"/>
    <x v="0"/>
    <x v="1"/>
    <s v="DK2_Large"/>
    <x v="2"/>
    <s v="GNR_GEO_HEAT_HO"/>
    <x v="0"/>
    <x v="19"/>
    <n v="14"/>
    <n v="5110"/>
    <n v="18396"/>
  </r>
  <r>
    <x v="0"/>
    <x v="0"/>
    <x v="0"/>
    <x v="0"/>
    <x v="1"/>
    <s v="DK2_Large"/>
    <x v="2"/>
    <s v="GNR_GEO_HEAT_HO"/>
    <x v="0"/>
    <x v="20"/>
    <n v="14"/>
    <n v="5110"/>
    <n v="18396"/>
  </r>
  <r>
    <x v="0"/>
    <x v="0"/>
    <x v="0"/>
    <x v="0"/>
    <x v="1"/>
    <s v="DK2_Large"/>
    <x v="2"/>
    <s v="GNR_GEO_HEAT_HO"/>
    <x v="0"/>
    <x v="21"/>
    <n v="14"/>
    <n v="5110"/>
    <n v="18396"/>
  </r>
  <r>
    <x v="0"/>
    <x v="0"/>
    <x v="0"/>
    <x v="0"/>
    <x v="1"/>
    <s v="DK2_Large"/>
    <x v="2"/>
    <s v="GNR_GEO_HEAT_HO"/>
    <x v="0"/>
    <x v="22"/>
    <n v="14"/>
    <n v="5110"/>
    <n v="18396"/>
  </r>
  <r>
    <x v="0"/>
    <x v="0"/>
    <x v="0"/>
    <x v="0"/>
    <x v="1"/>
    <s v="DK2_Large"/>
    <x v="2"/>
    <s v="GNR_GEO_HEAT_HO"/>
    <x v="0"/>
    <x v="23"/>
    <n v="14"/>
    <n v="5110"/>
    <n v="18396"/>
  </r>
  <r>
    <x v="0"/>
    <x v="0"/>
    <x v="0"/>
    <x v="0"/>
    <x v="1"/>
    <s v="DK2_Large"/>
    <x v="6"/>
    <s v="GNR_ST_WOODCHI_BP_E-27"/>
    <x v="0"/>
    <x v="0"/>
    <n v="44.117647058823501"/>
    <n v="16102.9411764706"/>
    <n v="57970.588235294097"/>
  </r>
  <r>
    <x v="0"/>
    <x v="0"/>
    <x v="0"/>
    <x v="0"/>
    <x v="1"/>
    <s v="DK2_Large"/>
    <x v="6"/>
    <s v="GNR_ST_WOODCHI_BP_E-27"/>
    <x v="0"/>
    <x v="1"/>
    <n v="44.117647058823501"/>
    <n v="16102.9411764706"/>
    <n v="57970.588235294097"/>
  </r>
  <r>
    <x v="0"/>
    <x v="0"/>
    <x v="0"/>
    <x v="0"/>
    <x v="1"/>
    <s v="DK2_Large"/>
    <x v="6"/>
    <s v="GNR_ST_WOODCHI_BP_E-27"/>
    <x v="0"/>
    <x v="2"/>
    <n v="44.117647058823501"/>
    <n v="16102.9411764706"/>
    <n v="57970.588235294097"/>
  </r>
  <r>
    <x v="0"/>
    <x v="0"/>
    <x v="0"/>
    <x v="0"/>
    <x v="1"/>
    <s v="DK2_Large"/>
    <x v="6"/>
    <s v="GNR_ST_WOODCHI_BP_E-27"/>
    <x v="0"/>
    <x v="3"/>
    <n v="44.117647058823501"/>
    <n v="16102.9411764706"/>
    <n v="57970.588235294097"/>
  </r>
  <r>
    <x v="0"/>
    <x v="0"/>
    <x v="0"/>
    <x v="0"/>
    <x v="1"/>
    <s v="DK2_Large"/>
    <x v="6"/>
    <s v="GNR_ST_WOODCHI_BP_E-27"/>
    <x v="0"/>
    <x v="4"/>
    <n v="44.117647058823501"/>
    <n v="16102.9411764706"/>
    <n v="57970.588235294097"/>
  </r>
  <r>
    <x v="0"/>
    <x v="0"/>
    <x v="0"/>
    <x v="0"/>
    <x v="1"/>
    <s v="DK2_Large"/>
    <x v="6"/>
    <s v="GNR_ST_WOODCHI_BP_E-27"/>
    <x v="0"/>
    <x v="5"/>
    <n v="44.117647058823501"/>
    <n v="16102.9411764706"/>
    <n v="57970.588235294097"/>
  </r>
  <r>
    <x v="0"/>
    <x v="0"/>
    <x v="0"/>
    <x v="0"/>
    <x v="1"/>
    <s v="DK2_Large"/>
    <x v="6"/>
    <s v="GNR_ST_WOODCHI_BP_E-27"/>
    <x v="0"/>
    <x v="6"/>
    <n v="44.117647058823501"/>
    <n v="16102.9411764706"/>
    <n v="57970.588235294097"/>
  </r>
  <r>
    <x v="0"/>
    <x v="0"/>
    <x v="0"/>
    <x v="0"/>
    <x v="1"/>
    <s v="DK2_Large"/>
    <x v="6"/>
    <s v="GNR_ST_WOODCHI_BP_E-27"/>
    <x v="0"/>
    <x v="7"/>
    <n v="44.117647058823501"/>
    <n v="16102.9411764706"/>
    <n v="57970.588235294097"/>
  </r>
  <r>
    <x v="0"/>
    <x v="0"/>
    <x v="0"/>
    <x v="0"/>
    <x v="1"/>
    <s v="DK2_Large"/>
    <x v="6"/>
    <s v="GNR_ST_WOODCHI_BP_E-27"/>
    <x v="0"/>
    <x v="8"/>
    <n v="44.117647058823501"/>
    <n v="16102.9411764706"/>
    <n v="57970.588235294097"/>
  </r>
  <r>
    <x v="0"/>
    <x v="0"/>
    <x v="0"/>
    <x v="0"/>
    <x v="1"/>
    <s v="DK2_Large"/>
    <x v="6"/>
    <s v="GNR_ST_WOODCHI_BP_E-27"/>
    <x v="0"/>
    <x v="9"/>
    <n v="44.117647058823501"/>
    <n v="16102.9411764706"/>
    <n v="57970.588235294097"/>
  </r>
  <r>
    <x v="0"/>
    <x v="0"/>
    <x v="0"/>
    <x v="0"/>
    <x v="1"/>
    <s v="DK2_Large"/>
    <x v="6"/>
    <s v="GNR_ST_WOODCHI_BP_E-27"/>
    <x v="0"/>
    <x v="10"/>
    <n v="44.117647058823501"/>
    <n v="16102.9411764706"/>
    <n v="57970.588235294097"/>
  </r>
  <r>
    <x v="0"/>
    <x v="0"/>
    <x v="0"/>
    <x v="0"/>
    <x v="1"/>
    <s v="DK2_Large"/>
    <x v="6"/>
    <s v="GNR_ST_WOODCHI_BP_E-27"/>
    <x v="0"/>
    <x v="11"/>
    <n v="44.117647058823501"/>
    <n v="16102.9411764706"/>
    <n v="57970.588235294097"/>
  </r>
  <r>
    <x v="0"/>
    <x v="0"/>
    <x v="0"/>
    <x v="0"/>
    <x v="1"/>
    <s v="DK2_Large"/>
    <x v="6"/>
    <s v="GNR_ST_WOODCHI_BP_E-27"/>
    <x v="0"/>
    <x v="12"/>
    <n v="44.117647058823501"/>
    <n v="16102.9411764706"/>
    <n v="57970.588235294097"/>
  </r>
  <r>
    <x v="0"/>
    <x v="0"/>
    <x v="0"/>
    <x v="0"/>
    <x v="1"/>
    <s v="DK2_Large"/>
    <x v="6"/>
    <s v="GNR_ST_WOODCHI_BP_E-27"/>
    <x v="0"/>
    <x v="13"/>
    <n v="44.117647058823501"/>
    <n v="16102.9411764706"/>
    <n v="57970.588235294097"/>
  </r>
  <r>
    <x v="0"/>
    <x v="0"/>
    <x v="0"/>
    <x v="0"/>
    <x v="1"/>
    <s v="DK2_Large"/>
    <x v="6"/>
    <s v="GNR_ST_WOODCHI_BP_E-27"/>
    <x v="0"/>
    <x v="14"/>
    <n v="44.117647058823501"/>
    <n v="16102.9411764706"/>
    <n v="57970.588235294097"/>
  </r>
  <r>
    <x v="0"/>
    <x v="0"/>
    <x v="0"/>
    <x v="0"/>
    <x v="1"/>
    <s v="DK2_Large"/>
    <x v="6"/>
    <s v="GNR_ST_WOODCHI_BP_E-27"/>
    <x v="0"/>
    <x v="15"/>
    <n v="44.117647058823501"/>
    <n v="16102.9411764706"/>
    <n v="57970.588235294097"/>
  </r>
  <r>
    <x v="0"/>
    <x v="0"/>
    <x v="0"/>
    <x v="0"/>
    <x v="1"/>
    <s v="DK2_Large"/>
    <x v="6"/>
    <s v="GNR_ST_WOODCHI_BP_E-27"/>
    <x v="0"/>
    <x v="16"/>
    <n v="44.117647058823501"/>
    <n v="16102.9411764706"/>
    <n v="57970.588235294097"/>
  </r>
  <r>
    <x v="0"/>
    <x v="0"/>
    <x v="0"/>
    <x v="0"/>
    <x v="1"/>
    <s v="DK2_Large"/>
    <x v="6"/>
    <s v="GNR_ST_WOODCHI_BP_E-27"/>
    <x v="0"/>
    <x v="17"/>
    <n v="44.117647058823501"/>
    <n v="16102.9411764706"/>
    <n v="57970.588235294097"/>
  </r>
  <r>
    <x v="0"/>
    <x v="0"/>
    <x v="0"/>
    <x v="0"/>
    <x v="1"/>
    <s v="DK2_Large"/>
    <x v="6"/>
    <s v="GNR_ST_WOODCHI_BP_E-27"/>
    <x v="0"/>
    <x v="18"/>
    <n v="44.117647058823501"/>
    <n v="16102.9411764706"/>
    <n v="57970.588235294097"/>
  </r>
  <r>
    <x v="0"/>
    <x v="0"/>
    <x v="0"/>
    <x v="0"/>
    <x v="1"/>
    <s v="DK2_Large"/>
    <x v="6"/>
    <s v="GNR_ST_WOODCHI_BP_E-27"/>
    <x v="0"/>
    <x v="19"/>
    <n v="44.117647058823501"/>
    <n v="16102.9411764706"/>
    <n v="57970.588235294097"/>
  </r>
  <r>
    <x v="0"/>
    <x v="0"/>
    <x v="0"/>
    <x v="0"/>
    <x v="1"/>
    <s v="DK2_Large"/>
    <x v="6"/>
    <s v="GNR_ST_WOODCHI_BP_E-27"/>
    <x v="0"/>
    <x v="20"/>
    <n v="44.117647058823501"/>
    <n v="16102.9411764706"/>
    <n v="57970.588235294097"/>
  </r>
  <r>
    <x v="0"/>
    <x v="0"/>
    <x v="0"/>
    <x v="0"/>
    <x v="1"/>
    <s v="DK2_Large"/>
    <x v="6"/>
    <s v="GNR_ST_WOODCHI_BP_E-27"/>
    <x v="0"/>
    <x v="21"/>
    <n v="44.117647058823501"/>
    <n v="16102.9411764706"/>
    <n v="57970.588235294097"/>
  </r>
  <r>
    <x v="0"/>
    <x v="0"/>
    <x v="0"/>
    <x v="0"/>
    <x v="1"/>
    <s v="DK2_Large"/>
    <x v="6"/>
    <s v="GNR_ST_WOODCHI_BP_E-27"/>
    <x v="0"/>
    <x v="22"/>
    <n v="44.117647058823501"/>
    <n v="16102.9411764706"/>
    <n v="57970.588235294097"/>
  </r>
  <r>
    <x v="0"/>
    <x v="0"/>
    <x v="0"/>
    <x v="0"/>
    <x v="1"/>
    <s v="DK2_Large"/>
    <x v="6"/>
    <s v="GNR_ST_WOODCHI_BP_E-27"/>
    <x v="0"/>
    <x v="23"/>
    <n v="44.117647058823501"/>
    <n v="16102.9411764706"/>
    <n v="57970.588235294097"/>
  </r>
  <r>
    <x v="0"/>
    <x v="0"/>
    <x v="0"/>
    <x v="0"/>
    <x v="1"/>
    <s v="DK2_Large"/>
    <x v="7"/>
    <s v="GNR_BO_WOODWST_E-90"/>
    <x v="0"/>
    <x v="0"/>
    <n v="6.66"/>
    <n v="2430.9"/>
    <n v="8751.24"/>
  </r>
  <r>
    <x v="0"/>
    <x v="0"/>
    <x v="0"/>
    <x v="0"/>
    <x v="1"/>
    <s v="DK2_Large"/>
    <x v="7"/>
    <s v="GNR_BO_WOODWST_E-90"/>
    <x v="0"/>
    <x v="1"/>
    <n v="6.66"/>
    <n v="2430.9"/>
    <n v="8751.24"/>
  </r>
  <r>
    <x v="0"/>
    <x v="0"/>
    <x v="0"/>
    <x v="0"/>
    <x v="1"/>
    <s v="DK2_Large"/>
    <x v="7"/>
    <s v="GNR_BO_WOODWST_E-90"/>
    <x v="0"/>
    <x v="2"/>
    <n v="6.66"/>
    <n v="2430.9"/>
    <n v="8751.24"/>
  </r>
  <r>
    <x v="0"/>
    <x v="0"/>
    <x v="0"/>
    <x v="0"/>
    <x v="1"/>
    <s v="DK2_Large"/>
    <x v="7"/>
    <s v="GNR_BO_WOODWST_E-90"/>
    <x v="0"/>
    <x v="3"/>
    <n v="6.66"/>
    <n v="2430.9"/>
    <n v="8751.24"/>
  </r>
  <r>
    <x v="0"/>
    <x v="0"/>
    <x v="0"/>
    <x v="0"/>
    <x v="1"/>
    <s v="DK2_Large"/>
    <x v="7"/>
    <s v="GNR_BO_WOODWST_E-90"/>
    <x v="0"/>
    <x v="4"/>
    <n v="6.66"/>
    <n v="2430.9"/>
    <n v="8751.24"/>
  </r>
  <r>
    <x v="0"/>
    <x v="0"/>
    <x v="0"/>
    <x v="0"/>
    <x v="1"/>
    <s v="DK2_Large"/>
    <x v="7"/>
    <s v="GNR_BO_WOODWST_E-90"/>
    <x v="0"/>
    <x v="5"/>
    <n v="6.66"/>
    <n v="2430.9"/>
    <n v="8751.24"/>
  </r>
  <r>
    <x v="0"/>
    <x v="0"/>
    <x v="0"/>
    <x v="0"/>
    <x v="1"/>
    <s v="DK2_Large"/>
    <x v="7"/>
    <s v="GNR_BO_WOODWST_E-90"/>
    <x v="0"/>
    <x v="6"/>
    <n v="6.66"/>
    <n v="2430.9"/>
    <n v="8751.24"/>
  </r>
  <r>
    <x v="0"/>
    <x v="0"/>
    <x v="0"/>
    <x v="0"/>
    <x v="1"/>
    <s v="DK2_Large"/>
    <x v="7"/>
    <s v="GNR_BO_WOODWST_E-90"/>
    <x v="0"/>
    <x v="7"/>
    <n v="6.66"/>
    <n v="2430.9"/>
    <n v="8751.24"/>
  </r>
  <r>
    <x v="0"/>
    <x v="0"/>
    <x v="0"/>
    <x v="0"/>
    <x v="1"/>
    <s v="DK2_Large"/>
    <x v="7"/>
    <s v="GNR_BO_WOODWST_E-90"/>
    <x v="0"/>
    <x v="8"/>
    <n v="6.66"/>
    <n v="2430.9"/>
    <n v="8751.24"/>
  </r>
  <r>
    <x v="0"/>
    <x v="0"/>
    <x v="0"/>
    <x v="0"/>
    <x v="1"/>
    <s v="DK2_Large"/>
    <x v="7"/>
    <s v="GNR_BO_WOODWST_E-90"/>
    <x v="0"/>
    <x v="9"/>
    <n v="6.66"/>
    <n v="2430.9"/>
    <n v="8751.24"/>
  </r>
  <r>
    <x v="0"/>
    <x v="0"/>
    <x v="0"/>
    <x v="0"/>
    <x v="1"/>
    <s v="DK2_Large"/>
    <x v="7"/>
    <s v="GNR_BO_WOODWST_E-90"/>
    <x v="0"/>
    <x v="10"/>
    <n v="6.66"/>
    <n v="2430.9"/>
    <n v="8751.24"/>
  </r>
  <r>
    <x v="0"/>
    <x v="0"/>
    <x v="0"/>
    <x v="0"/>
    <x v="1"/>
    <s v="DK2_Large"/>
    <x v="7"/>
    <s v="GNR_BO_WOODWST_E-90"/>
    <x v="0"/>
    <x v="11"/>
    <n v="6.66"/>
    <n v="2430.9"/>
    <n v="8751.24"/>
  </r>
  <r>
    <x v="0"/>
    <x v="0"/>
    <x v="0"/>
    <x v="0"/>
    <x v="1"/>
    <s v="DK2_Large"/>
    <x v="7"/>
    <s v="GNR_BO_WOODWST_E-90"/>
    <x v="0"/>
    <x v="12"/>
    <n v="6.66"/>
    <n v="2430.9"/>
    <n v="8751.24"/>
  </r>
  <r>
    <x v="0"/>
    <x v="0"/>
    <x v="0"/>
    <x v="0"/>
    <x v="1"/>
    <s v="DK2_Large"/>
    <x v="7"/>
    <s v="GNR_BO_WOODWST_E-90"/>
    <x v="0"/>
    <x v="13"/>
    <n v="6.66"/>
    <n v="2430.9"/>
    <n v="8751.24"/>
  </r>
  <r>
    <x v="0"/>
    <x v="0"/>
    <x v="0"/>
    <x v="0"/>
    <x v="1"/>
    <s v="DK2_Large"/>
    <x v="7"/>
    <s v="GNR_BO_WOODWST_E-90"/>
    <x v="0"/>
    <x v="14"/>
    <n v="6.66"/>
    <n v="2430.9"/>
    <n v="8751.24"/>
  </r>
  <r>
    <x v="0"/>
    <x v="0"/>
    <x v="0"/>
    <x v="0"/>
    <x v="1"/>
    <s v="DK2_Large"/>
    <x v="7"/>
    <s v="GNR_BO_WOODWST_E-90"/>
    <x v="0"/>
    <x v="15"/>
    <n v="6.66"/>
    <n v="2430.9"/>
    <n v="8751.24"/>
  </r>
  <r>
    <x v="0"/>
    <x v="0"/>
    <x v="0"/>
    <x v="0"/>
    <x v="1"/>
    <s v="DK2_Large"/>
    <x v="7"/>
    <s v="GNR_BO_WOODWST_E-90"/>
    <x v="0"/>
    <x v="16"/>
    <n v="6.66"/>
    <n v="2430.9"/>
    <n v="8751.24"/>
  </r>
  <r>
    <x v="0"/>
    <x v="0"/>
    <x v="0"/>
    <x v="0"/>
    <x v="1"/>
    <s v="DK2_Large"/>
    <x v="7"/>
    <s v="GNR_BO_WOODWST_E-90"/>
    <x v="0"/>
    <x v="17"/>
    <n v="6.66"/>
    <n v="2430.9"/>
    <n v="8751.24"/>
  </r>
  <r>
    <x v="0"/>
    <x v="0"/>
    <x v="0"/>
    <x v="0"/>
    <x v="1"/>
    <s v="DK2_Large"/>
    <x v="7"/>
    <s v="GNR_BO_WOODWST_E-90"/>
    <x v="0"/>
    <x v="18"/>
    <n v="6.66"/>
    <n v="2430.9"/>
    <n v="8751.24"/>
  </r>
  <r>
    <x v="0"/>
    <x v="0"/>
    <x v="0"/>
    <x v="0"/>
    <x v="1"/>
    <s v="DK2_Large"/>
    <x v="7"/>
    <s v="GNR_BO_WOODWST_E-90"/>
    <x v="0"/>
    <x v="19"/>
    <n v="6.66"/>
    <n v="2430.9"/>
    <n v="8751.24"/>
  </r>
  <r>
    <x v="0"/>
    <x v="0"/>
    <x v="0"/>
    <x v="0"/>
    <x v="1"/>
    <s v="DK2_Large"/>
    <x v="7"/>
    <s v="GNR_BO_WOODWST_E-90"/>
    <x v="0"/>
    <x v="20"/>
    <n v="6.66"/>
    <n v="2430.9"/>
    <n v="8751.24"/>
  </r>
  <r>
    <x v="0"/>
    <x v="0"/>
    <x v="0"/>
    <x v="0"/>
    <x v="1"/>
    <s v="DK2_Large"/>
    <x v="7"/>
    <s v="GNR_BO_WOODWST_E-90"/>
    <x v="0"/>
    <x v="21"/>
    <n v="6.66"/>
    <n v="2430.9"/>
    <n v="8751.24"/>
  </r>
  <r>
    <x v="0"/>
    <x v="0"/>
    <x v="0"/>
    <x v="0"/>
    <x v="1"/>
    <s v="DK2_Large"/>
    <x v="7"/>
    <s v="GNR_BO_WOODWST_E-90"/>
    <x v="0"/>
    <x v="22"/>
    <n v="6.66"/>
    <n v="2430.9"/>
    <n v="8751.24"/>
  </r>
  <r>
    <x v="0"/>
    <x v="0"/>
    <x v="0"/>
    <x v="0"/>
    <x v="1"/>
    <s v="DK2_Large"/>
    <x v="7"/>
    <s v="GNR_BO_WOODWST_E-90"/>
    <x v="0"/>
    <x v="23"/>
    <n v="6.66"/>
    <n v="2430.9"/>
    <n v="8751.24"/>
  </r>
  <r>
    <x v="0"/>
    <x v="0"/>
    <x v="0"/>
    <x v="0"/>
    <x v="1"/>
    <s v="DK2_MedSmall"/>
    <x v="1"/>
    <s v="GNR_BO_MSW_E-105"/>
    <x v="0"/>
    <x v="0"/>
    <n v="17"/>
    <n v="6205"/>
    <n v="22338"/>
  </r>
  <r>
    <x v="0"/>
    <x v="0"/>
    <x v="0"/>
    <x v="0"/>
    <x v="1"/>
    <s v="DK2_MedSmall"/>
    <x v="1"/>
    <s v="GNR_BO_MSW_E-105"/>
    <x v="0"/>
    <x v="1"/>
    <n v="17"/>
    <n v="6205"/>
    <n v="22338"/>
  </r>
  <r>
    <x v="0"/>
    <x v="0"/>
    <x v="0"/>
    <x v="0"/>
    <x v="1"/>
    <s v="DK2_MedSmall"/>
    <x v="1"/>
    <s v="GNR_BO_MSW_E-105"/>
    <x v="0"/>
    <x v="2"/>
    <n v="17"/>
    <n v="6205"/>
    <n v="22338"/>
  </r>
  <r>
    <x v="0"/>
    <x v="0"/>
    <x v="0"/>
    <x v="0"/>
    <x v="1"/>
    <s v="DK2_MedSmall"/>
    <x v="1"/>
    <s v="GNR_BO_MSW_E-105"/>
    <x v="0"/>
    <x v="3"/>
    <n v="17"/>
    <n v="6205"/>
    <n v="22338"/>
  </r>
  <r>
    <x v="0"/>
    <x v="0"/>
    <x v="0"/>
    <x v="0"/>
    <x v="1"/>
    <s v="DK2_MedSmall"/>
    <x v="1"/>
    <s v="GNR_BO_MSW_E-105"/>
    <x v="0"/>
    <x v="4"/>
    <n v="17"/>
    <n v="6205"/>
    <n v="22338"/>
  </r>
  <r>
    <x v="0"/>
    <x v="0"/>
    <x v="0"/>
    <x v="0"/>
    <x v="1"/>
    <s v="DK2_MedSmall"/>
    <x v="1"/>
    <s v="GNR_BO_MSW_E-105"/>
    <x v="0"/>
    <x v="5"/>
    <n v="17"/>
    <n v="6205"/>
    <n v="22338"/>
  </r>
  <r>
    <x v="0"/>
    <x v="0"/>
    <x v="0"/>
    <x v="0"/>
    <x v="1"/>
    <s v="DK2_MedSmall"/>
    <x v="1"/>
    <s v="GNR_BO_MSW_E-105"/>
    <x v="0"/>
    <x v="6"/>
    <n v="17"/>
    <n v="6205"/>
    <n v="22338"/>
  </r>
  <r>
    <x v="0"/>
    <x v="0"/>
    <x v="0"/>
    <x v="0"/>
    <x v="1"/>
    <s v="DK2_MedSmall"/>
    <x v="1"/>
    <s v="GNR_BO_MSW_E-105"/>
    <x v="0"/>
    <x v="7"/>
    <n v="17"/>
    <n v="6205"/>
    <n v="22338"/>
  </r>
  <r>
    <x v="0"/>
    <x v="0"/>
    <x v="0"/>
    <x v="0"/>
    <x v="1"/>
    <s v="DK2_MedSmall"/>
    <x v="1"/>
    <s v="GNR_BO_MSW_E-105"/>
    <x v="0"/>
    <x v="8"/>
    <n v="17"/>
    <n v="6205"/>
    <n v="22338"/>
  </r>
  <r>
    <x v="0"/>
    <x v="0"/>
    <x v="0"/>
    <x v="0"/>
    <x v="1"/>
    <s v="DK2_MedSmall"/>
    <x v="1"/>
    <s v="GNR_BO_MSW_E-105"/>
    <x v="0"/>
    <x v="9"/>
    <n v="17"/>
    <n v="6205"/>
    <n v="22338"/>
  </r>
  <r>
    <x v="0"/>
    <x v="0"/>
    <x v="0"/>
    <x v="0"/>
    <x v="1"/>
    <s v="DK2_MedSmall"/>
    <x v="1"/>
    <s v="GNR_BO_MSW_E-105"/>
    <x v="0"/>
    <x v="10"/>
    <n v="17"/>
    <n v="6205"/>
    <n v="22338"/>
  </r>
  <r>
    <x v="0"/>
    <x v="0"/>
    <x v="0"/>
    <x v="0"/>
    <x v="1"/>
    <s v="DK2_MedSmall"/>
    <x v="1"/>
    <s v="GNR_BO_MSW_E-105"/>
    <x v="0"/>
    <x v="11"/>
    <n v="17"/>
    <n v="6205"/>
    <n v="22338"/>
  </r>
  <r>
    <x v="0"/>
    <x v="0"/>
    <x v="0"/>
    <x v="0"/>
    <x v="1"/>
    <s v="DK2_MedSmall"/>
    <x v="1"/>
    <s v="GNR_BO_MSW_E-105"/>
    <x v="0"/>
    <x v="12"/>
    <n v="17"/>
    <n v="6205"/>
    <n v="22338"/>
  </r>
  <r>
    <x v="0"/>
    <x v="0"/>
    <x v="0"/>
    <x v="0"/>
    <x v="1"/>
    <s v="DK2_MedSmall"/>
    <x v="1"/>
    <s v="GNR_BO_MSW_E-105"/>
    <x v="0"/>
    <x v="13"/>
    <n v="17"/>
    <n v="6205"/>
    <n v="22338"/>
  </r>
  <r>
    <x v="0"/>
    <x v="0"/>
    <x v="0"/>
    <x v="0"/>
    <x v="1"/>
    <s v="DK2_MedSmall"/>
    <x v="1"/>
    <s v="GNR_BO_MSW_E-105"/>
    <x v="0"/>
    <x v="14"/>
    <n v="17"/>
    <n v="6205"/>
    <n v="22338"/>
  </r>
  <r>
    <x v="0"/>
    <x v="0"/>
    <x v="0"/>
    <x v="0"/>
    <x v="1"/>
    <s v="DK2_MedSmall"/>
    <x v="1"/>
    <s v="GNR_BO_MSW_E-105"/>
    <x v="0"/>
    <x v="15"/>
    <n v="17"/>
    <n v="6205"/>
    <n v="22338"/>
  </r>
  <r>
    <x v="0"/>
    <x v="0"/>
    <x v="0"/>
    <x v="0"/>
    <x v="1"/>
    <s v="DK2_MedSmall"/>
    <x v="1"/>
    <s v="GNR_BO_MSW_E-105"/>
    <x v="0"/>
    <x v="16"/>
    <n v="17"/>
    <n v="6205"/>
    <n v="22338"/>
  </r>
  <r>
    <x v="0"/>
    <x v="0"/>
    <x v="0"/>
    <x v="0"/>
    <x v="1"/>
    <s v="DK2_MedSmall"/>
    <x v="1"/>
    <s v="GNR_BO_MSW_E-105"/>
    <x v="0"/>
    <x v="17"/>
    <n v="17"/>
    <n v="6205"/>
    <n v="22338"/>
  </r>
  <r>
    <x v="0"/>
    <x v="0"/>
    <x v="0"/>
    <x v="0"/>
    <x v="1"/>
    <s v="DK2_MedSmall"/>
    <x v="1"/>
    <s v="GNR_BO_MSW_E-105"/>
    <x v="0"/>
    <x v="18"/>
    <n v="17"/>
    <n v="6205"/>
    <n v="22338"/>
  </r>
  <r>
    <x v="0"/>
    <x v="0"/>
    <x v="0"/>
    <x v="0"/>
    <x v="1"/>
    <s v="DK2_MedSmall"/>
    <x v="1"/>
    <s v="GNR_BO_MSW_E-105"/>
    <x v="0"/>
    <x v="19"/>
    <n v="17"/>
    <n v="6205"/>
    <n v="22338"/>
  </r>
  <r>
    <x v="0"/>
    <x v="0"/>
    <x v="0"/>
    <x v="0"/>
    <x v="1"/>
    <s v="DK2_MedSmall"/>
    <x v="1"/>
    <s v="GNR_BO_MSW_E-105"/>
    <x v="0"/>
    <x v="20"/>
    <n v="17"/>
    <n v="6205"/>
    <n v="22338"/>
  </r>
  <r>
    <x v="0"/>
    <x v="0"/>
    <x v="0"/>
    <x v="0"/>
    <x v="1"/>
    <s v="DK2_MedSmall"/>
    <x v="1"/>
    <s v="GNR_BO_MSW_E-105"/>
    <x v="0"/>
    <x v="21"/>
    <n v="17"/>
    <n v="6205"/>
    <n v="22338"/>
  </r>
  <r>
    <x v="0"/>
    <x v="0"/>
    <x v="0"/>
    <x v="0"/>
    <x v="1"/>
    <s v="DK2_MedSmall"/>
    <x v="1"/>
    <s v="GNR_BO_MSW_E-105"/>
    <x v="0"/>
    <x v="22"/>
    <n v="17"/>
    <n v="6205"/>
    <n v="22338"/>
  </r>
  <r>
    <x v="0"/>
    <x v="0"/>
    <x v="0"/>
    <x v="0"/>
    <x v="1"/>
    <s v="DK2_MedSmall"/>
    <x v="1"/>
    <s v="GNR_BO_MSW_E-105"/>
    <x v="0"/>
    <x v="23"/>
    <n v="17"/>
    <n v="6205"/>
    <n v="22338"/>
  </r>
  <r>
    <x v="0"/>
    <x v="0"/>
    <x v="0"/>
    <x v="0"/>
    <x v="1"/>
    <s v="DK2_MedSmall"/>
    <x v="1"/>
    <s v="GNR_ST_MSW_BP_E-28"/>
    <x v="0"/>
    <x v="6"/>
    <n v="2.7993607742278699"/>
    <n v="1021.76668259317"/>
    <n v="3678.3600573354202"/>
  </r>
  <r>
    <x v="0"/>
    <x v="0"/>
    <x v="0"/>
    <x v="0"/>
    <x v="1"/>
    <s v="DK2_MedSmall"/>
    <x v="1"/>
    <s v="GNR_ST_MSW_BP_E-28"/>
    <x v="0"/>
    <x v="7"/>
    <n v="10.664346970875499"/>
    <n v="3892.4866443695601"/>
    <n v="14012.9519197304"/>
  </r>
  <r>
    <x v="0"/>
    <x v="0"/>
    <x v="0"/>
    <x v="0"/>
    <x v="1"/>
    <s v="DK2_MedSmall"/>
    <x v="1"/>
    <s v="GNR_ST_MSW_BP_E-28"/>
    <x v="0"/>
    <x v="8"/>
    <n v="12.551943658071"/>
    <n v="4581.4594351959004"/>
    <n v="16493.253966705201"/>
  </r>
  <r>
    <x v="0"/>
    <x v="0"/>
    <x v="0"/>
    <x v="0"/>
    <x v="1"/>
    <s v="DK2_MedSmall"/>
    <x v="1"/>
    <s v="GNR_ST_MSW_BP_E-28"/>
    <x v="0"/>
    <x v="9"/>
    <n v="13.5406847799352"/>
    <n v="4942.3499446763599"/>
    <n v="17792.459800834898"/>
  </r>
  <r>
    <x v="0"/>
    <x v="0"/>
    <x v="0"/>
    <x v="0"/>
    <x v="1"/>
    <s v="DK2_MedSmall"/>
    <x v="1"/>
    <s v="GNR_ST_MSW_BP_E-28"/>
    <x v="0"/>
    <x v="10"/>
    <n v="13.2710281103359"/>
    <n v="4843.9252602726001"/>
    <n v="17438.130936981299"/>
  </r>
  <r>
    <x v="0"/>
    <x v="0"/>
    <x v="0"/>
    <x v="0"/>
    <x v="1"/>
    <s v="DK2_MedSmall"/>
    <x v="1"/>
    <s v="GNR_ST_MSW_BP_E-28"/>
    <x v="0"/>
    <x v="11"/>
    <n v="13.315970888602401"/>
    <n v="4860.3293743398899"/>
    <n v="17497.1857476236"/>
  </r>
  <r>
    <x v="0"/>
    <x v="0"/>
    <x v="0"/>
    <x v="0"/>
    <x v="1"/>
    <s v="DK2_MedSmall"/>
    <x v="1"/>
    <s v="GNR_ST_MSW_BP_E-28"/>
    <x v="0"/>
    <x v="12"/>
    <n v="12.8216003276703"/>
    <n v="4679.8841195996602"/>
    <n v="16847.5828305588"/>
  </r>
  <r>
    <x v="0"/>
    <x v="0"/>
    <x v="0"/>
    <x v="0"/>
    <x v="1"/>
    <s v="DK2_MedSmall"/>
    <x v="1"/>
    <s v="GNR_ST_MSW_BP_E-28"/>
    <x v="0"/>
    <x v="13"/>
    <n v="10.8441180839417"/>
    <n v="3958.1031006387302"/>
    <n v="14249.171162299401"/>
  </r>
  <r>
    <x v="0"/>
    <x v="0"/>
    <x v="0"/>
    <x v="0"/>
    <x v="1"/>
    <s v="DK2_MedSmall"/>
    <x v="1"/>
    <s v="GNR_ST_MSW_BP_E-28"/>
    <x v="0"/>
    <x v="14"/>
    <n v="11.383431423140401"/>
    <n v="4154.9524694462598"/>
    <n v="14957.8288900065"/>
  </r>
  <r>
    <x v="0"/>
    <x v="0"/>
    <x v="0"/>
    <x v="0"/>
    <x v="1"/>
    <s v="DK2_MedSmall"/>
    <x v="1"/>
    <s v="GNR_ST_MSW_BP_E-28"/>
    <x v="0"/>
    <x v="15"/>
    <n v="11.9227447623391"/>
    <n v="4351.8018382537803"/>
    <n v="15666.486617713599"/>
  </r>
  <r>
    <x v="0"/>
    <x v="0"/>
    <x v="0"/>
    <x v="0"/>
    <x v="1"/>
    <s v="DK2_MedSmall"/>
    <x v="1"/>
    <s v="GNR_ST_MSW_BP_E-28"/>
    <x v="0"/>
    <x v="16"/>
    <n v="12.95642866247"/>
    <n v="4729.0964618015396"/>
    <n v="17024.747262485598"/>
  </r>
  <r>
    <x v="0"/>
    <x v="0"/>
    <x v="0"/>
    <x v="0"/>
    <x v="1"/>
    <s v="DK2_MedSmall"/>
    <x v="1"/>
    <s v="GNR_ST_MSW_BP_E-28"/>
    <x v="0"/>
    <x v="17"/>
    <n v="12.731714771137201"/>
    <n v="4647.0758914650696"/>
    <n v="16729.4732092743"/>
  </r>
  <r>
    <x v="0"/>
    <x v="0"/>
    <x v="0"/>
    <x v="0"/>
    <x v="1"/>
    <s v="DK2_MedSmall"/>
    <x v="1"/>
    <s v="GNR_ST_MSW_BP_E-28"/>
    <x v="0"/>
    <x v="18"/>
    <n v="12.911485884203399"/>
    <n v="4712.6923477342498"/>
    <n v="16965.692451843301"/>
  </r>
  <r>
    <x v="0"/>
    <x v="0"/>
    <x v="0"/>
    <x v="0"/>
    <x v="1"/>
    <s v="DK2_MedSmall"/>
    <x v="1"/>
    <s v="GNR_ST_MSW_BP_E-28"/>
    <x v="0"/>
    <x v="19"/>
    <n v="12.731714771137201"/>
    <n v="4647.0758914650696"/>
    <n v="16729.4732092743"/>
  </r>
  <r>
    <x v="0"/>
    <x v="0"/>
    <x v="0"/>
    <x v="0"/>
    <x v="1"/>
    <s v="DK2_MedSmall"/>
    <x v="1"/>
    <s v="GNR_ST_MSW_BP_E-28"/>
    <x v="0"/>
    <x v="20"/>
    <n v="11.7429736492729"/>
    <n v="4286.1853819846101"/>
    <n v="15430.2673751446"/>
  </r>
  <r>
    <x v="0"/>
    <x v="0"/>
    <x v="0"/>
    <x v="0"/>
    <x v="1"/>
    <s v="DK2_MedSmall"/>
    <x v="1"/>
    <s v="GNR_ST_MSW_BP_E-28"/>
    <x v="0"/>
    <x v="21"/>
    <n v="5.7206413615541303"/>
    <n v="2088.0340969672602"/>
    <n v="7516.9227490821304"/>
  </r>
  <r>
    <x v="0"/>
    <x v="0"/>
    <x v="0"/>
    <x v="0"/>
    <x v="1"/>
    <s v="DK2_MedSmall"/>
    <x v="1"/>
    <s v="GNR_ST_MSW_BP_E-28"/>
    <x v="0"/>
    <x v="22"/>
    <n v="5.2712135788885499"/>
    <n v="1923.99295629432"/>
    <n v="6926.3746426595599"/>
  </r>
  <r>
    <x v="0"/>
    <x v="0"/>
    <x v="0"/>
    <x v="0"/>
    <x v="1"/>
    <s v="DK2_MedSmall"/>
    <x v="1"/>
    <s v="GNR_ST_MSW_BP_E-28"/>
    <x v="0"/>
    <x v="23"/>
    <n v="4.1476441222246097"/>
    <n v="1513.89010461198"/>
    <n v="5450.0043766031304"/>
  </r>
  <r>
    <x v="0"/>
    <x v="0"/>
    <x v="0"/>
    <x v="0"/>
    <x v="1"/>
    <s v="DK2_MedSmall"/>
    <x v="5"/>
    <s v="GNR_BO_STRW_E-100"/>
    <x v="0"/>
    <x v="0"/>
    <n v="14.79"/>
    <n v="5398.35"/>
    <n v="19434.060000000001"/>
  </r>
  <r>
    <x v="0"/>
    <x v="0"/>
    <x v="0"/>
    <x v="0"/>
    <x v="1"/>
    <s v="DK2_MedSmall"/>
    <x v="5"/>
    <s v="GNR_BO_STRW_E-100"/>
    <x v="0"/>
    <x v="1"/>
    <n v="14.79"/>
    <n v="5398.35"/>
    <n v="19434.060000000001"/>
  </r>
  <r>
    <x v="0"/>
    <x v="0"/>
    <x v="0"/>
    <x v="0"/>
    <x v="1"/>
    <s v="DK2_MedSmall"/>
    <x v="5"/>
    <s v="GNR_BO_STRW_E-100"/>
    <x v="0"/>
    <x v="2"/>
    <n v="14.79"/>
    <n v="5398.35"/>
    <n v="19434.060000000001"/>
  </r>
  <r>
    <x v="0"/>
    <x v="0"/>
    <x v="0"/>
    <x v="0"/>
    <x v="1"/>
    <s v="DK2_MedSmall"/>
    <x v="5"/>
    <s v="GNR_BO_STRW_E-100"/>
    <x v="0"/>
    <x v="3"/>
    <n v="14.79"/>
    <n v="5398.35"/>
    <n v="19434.060000000001"/>
  </r>
  <r>
    <x v="0"/>
    <x v="0"/>
    <x v="0"/>
    <x v="0"/>
    <x v="1"/>
    <s v="DK2_MedSmall"/>
    <x v="5"/>
    <s v="GNR_BO_STRW_E-100"/>
    <x v="0"/>
    <x v="4"/>
    <n v="14.79"/>
    <n v="5398.35"/>
    <n v="19434.060000000001"/>
  </r>
  <r>
    <x v="0"/>
    <x v="0"/>
    <x v="0"/>
    <x v="0"/>
    <x v="1"/>
    <s v="DK2_MedSmall"/>
    <x v="5"/>
    <s v="GNR_BO_STRW_E-100"/>
    <x v="0"/>
    <x v="5"/>
    <n v="14.79"/>
    <n v="5398.35"/>
    <n v="19434.060000000001"/>
  </r>
  <r>
    <x v="0"/>
    <x v="0"/>
    <x v="0"/>
    <x v="0"/>
    <x v="1"/>
    <s v="DK2_MedSmall"/>
    <x v="5"/>
    <s v="GNR_BO_STRW_E-100"/>
    <x v="0"/>
    <x v="6"/>
    <n v="14.79"/>
    <n v="5398.35"/>
    <n v="19434.060000000001"/>
  </r>
  <r>
    <x v="0"/>
    <x v="0"/>
    <x v="0"/>
    <x v="0"/>
    <x v="1"/>
    <s v="DK2_MedSmall"/>
    <x v="5"/>
    <s v="GNR_BO_STRW_E-100"/>
    <x v="0"/>
    <x v="7"/>
    <n v="14.79"/>
    <n v="5398.35"/>
    <n v="19434.060000000001"/>
  </r>
  <r>
    <x v="0"/>
    <x v="0"/>
    <x v="0"/>
    <x v="0"/>
    <x v="1"/>
    <s v="DK2_MedSmall"/>
    <x v="5"/>
    <s v="GNR_BO_STRW_E-100"/>
    <x v="0"/>
    <x v="8"/>
    <n v="14.79"/>
    <n v="5398.35"/>
    <n v="19434.060000000001"/>
  </r>
  <r>
    <x v="0"/>
    <x v="0"/>
    <x v="0"/>
    <x v="0"/>
    <x v="1"/>
    <s v="DK2_MedSmall"/>
    <x v="5"/>
    <s v="GNR_BO_STRW_E-100"/>
    <x v="0"/>
    <x v="9"/>
    <n v="14.79"/>
    <n v="5398.35"/>
    <n v="19434.060000000001"/>
  </r>
  <r>
    <x v="0"/>
    <x v="0"/>
    <x v="0"/>
    <x v="0"/>
    <x v="1"/>
    <s v="DK2_MedSmall"/>
    <x v="5"/>
    <s v="GNR_BO_STRW_E-100"/>
    <x v="0"/>
    <x v="10"/>
    <n v="14.79"/>
    <n v="5398.35"/>
    <n v="19434.060000000001"/>
  </r>
  <r>
    <x v="0"/>
    <x v="0"/>
    <x v="0"/>
    <x v="0"/>
    <x v="1"/>
    <s v="DK2_MedSmall"/>
    <x v="5"/>
    <s v="GNR_BO_STRW_E-100"/>
    <x v="0"/>
    <x v="11"/>
    <n v="14.79"/>
    <n v="5398.35"/>
    <n v="19434.060000000001"/>
  </r>
  <r>
    <x v="0"/>
    <x v="0"/>
    <x v="0"/>
    <x v="0"/>
    <x v="1"/>
    <s v="DK2_MedSmall"/>
    <x v="5"/>
    <s v="GNR_BO_STRW_E-100"/>
    <x v="0"/>
    <x v="12"/>
    <n v="14.79"/>
    <n v="5398.35"/>
    <n v="19434.060000000001"/>
  </r>
  <r>
    <x v="0"/>
    <x v="0"/>
    <x v="0"/>
    <x v="0"/>
    <x v="1"/>
    <s v="DK2_MedSmall"/>
    <x v="5"/>
    <s v="GNR_BO_STRW_E-100"/>
    <x v="0"/>
    <x v="13"/>
    <n v="14.79"/>
    <n v="5398.35"/>
    <n v="19434.060000000001"/>
  </r>
  <r>
    <x v="0"/>
    <x v="0"/>
    <x v="0"/>
    <x v="0"/>
    <x v="1"/>
    <s v="DK2_MedSmall"/>
    <x v="5"/>
    <s v="GNR_BO_STRW_E-100"/>
    <x v="0"/>
    <x v="14"/>
    <n v="14.79"/>
    <n v="5398.35"/>
    <n v="19434.060000000001"/>
  </r>
  <r>
    <x v="0"/>
    <x v="0"/>
    <x v="0"/>
    <x v="0"/>
    <x v="1"/>
    <s v="DK2_MedSmall"/>
    <x v="5"/>
    <s v="GNR_BO_STRW_E-100"/>
    <x v="0"/>
    <x v="15"/>
    <n v="14.79"/>
    <n v="5398.35"/>
    <n v="19434.060000000001"/>
  </r>
  <r>
    <x v="0"/>
    <x v="0"/>
    <x v="0"/>
    <x v="0"/>
    <x v="1"/>
    <s v="DK2_MedSmall"/>
    <x v="5"/>
    <s v="GNR_BO_STRW_E-100"/>
    <x v="0"/>
    <x v="16"/>
    <n v="14.79"/>
    <n v="5398.35"/>
    <n v="19434.060000000001"/>
  </r>
  <r>
    <x v="0"/>
    <x v="0"/>
    <x v="0"/>
    <x v="0"/>
    <x v="1"/>
    <s v="DK2_MedSmall"/>
    <x v="5"/>
    <s v="GNR_BO_STRW_E-100"/>
    <x v="0"/>
    <x v="17"/>
    <n v="14.79"/>
    <n v="5398.35"/>
    <n v="19434.060000000001"/>
  </r>
  <r>
    <x v="0"/>
    <x v="0"/>
    <x v="0"/>
    <x v="0"/>
    <x v="1"/>
    <s v="DK2_MedSmall"/>
    <x v="5"/>
    <s v="GNR_BO_STRW_E-100"/>
    <x v="0"/>
    <x v="18"/>
    <n v="14.79"/>
    <n v="5398.35"/>
    <n v="19434.060000000001"/>
  </r>
  <r>
    <x v="0"/>
    <x v="0"/>
    <x v="0"/>
    <x v="0"/>
    <x v="1"/>
    <s v="DK2_MedSmall"/>
    <x v="5"/>
    <s v="GNR_BO_STRW_E-100"/>
    <x v="0"/>
    <x v="19"/>
    <n v="14.79"/>
    <n v="5398.35"/>
    <n v="19434.060000000001"/>
  </r>
  <r>
    <x v="0"/>
    <x v="0"/>
    <x v="0"/>
    <x v="0"/>
    <x v="1"/>
    <s v="DK2_MedSmall"/>
    <x v="5"/>
    <s v="GNR_BO_STRW_E-100"/>
    <x v="0"/>
    <x v="20"/>
    <n v="14.79"/>
    <n v="5398.35"/>
    <n v="19434.060000000001"/>
  </r>
  <r>
    <x v="0"/>
    <x v="0"/>
    <x v="0"/>
    <x v="0"/>
    <x v="1"/>
    <s v="DK2_MedSmall"/>
    <x v="5"/>
    <s v="GNR_BO_STRW_E-100"/>
    <x v="0"/>
    <x v="21"/>
    <n v="14.79"/>
    <n v="5398.35"/>
    <n v="19434.060000000001"/>
  </r>
  <r>
    <x v="0"/>
    <x v="0"/>
    <x v="0"/>
    <x v="0"/>
    <x v="1"/>
    <s v="DK2_MedSmall"/>
    <x v="5"/>
    <s v="GNR_BO_STRW_E-100"/>
    <x v="0"/>
    <x v="22"/>
    <n v="14.79"/>
    <n v="5398.35"/>
    <n v="19434.060000000001"/>
  </r>
  <r>
    <x v="0"/>
    <x v="0"/>
    <x v="0"/>
    <x v="0"/>
    <x v="1"/>
    <s v="DK2_MedSmall"/>
    <x v="5"/>
    <s v="GNR_BO_STRW_E-100"/>
    <x v="0"/>
    <x v="23"/>
    <n v="14.79"/>
    <n v="5398.35"/>
    <n v="19434.060000000001"/>
  </r>
  <r>
    <x v="0"/>
    <x v="0"/>
    <x v="0"/>
    <x v="0"/>
    <x v="1"/>
    <s v="DK2_MedSmall"/>
    <x v="5"/>
    <s v="GNR_BO_STRW_E-102"/>
    <x v="0"/>
    <x v="0"/>
    <n v="10"/>
    <n v="3650"/>
    <n v="13140"/>
  </r>
  <r>
    <x v="0"/>
    <x v="0"/>
    <x v="0"/>
    <x v="0"/>
    <x v="1"/>
    <s v="DK2_MedSmall"/>
    <x v="5"/>
    <s v="GNR_BO_STRW_E-102"/>
    <x v="0"/>
    <x v="1"/>
    <n v="10"/>
    <n v="3650"/>
    <n v="13140"/>
  </r>
  <r>
    <x v="0"/>
    <x v="0"/>
    <x v="0"/>
    <x v="0"/>
    <x v="1"/>
    <s v="DK2_MedSmall"/>
    <x v="5"/>
    <s v="GNR_BO_STRW_E-102"/>
    <x v="0"/>
    <x v="2"/>
    <n v="10"/>
    <n v="3650"/>
    <n v="13140"/>
  </r>
  <r>
    <x v="0"/>
    <x v="0"/>
    <x v="0"/>
    <x v="0"/>
    <x v="1"/>
    <s v="DK2_MedSmall"/>
    <x v="5"/>
    <s v="GNR_BO_STRW_E-102"/>
    <x v="0"/>
    <x v="3"/>
    <n v="10"/>
    <n v="3650"/>
    <n v="13140"/>
  </r>
  <r>
    <x v="0"/>
    <x v="0"/>
    <x v="0"/>
    <x v="0"/>
    <x v="1"/>
    <s v="DK2_MedSmall"/>
    <x v="5"/>
    <s v="GNR_BO_STRW_E-102"/>
    <x v="0"/>
    <x v="4"/>
    <n v="10"/>
    <n v="3650"/>
    <n v="13140"/>
  </r>
  <r>
    <x v="0"/>
    <x v="0"/>
    <x v="0"/>
    <x v="0"/>
    <x v="1"/>
    <s v="DK2_MedSmall"/>
    <x v="5"/>
    <s v="GNR_BO_STRW_E-102"/>
    <x v="0"/>
    <x v="5"/>
    <n v="10"/>
    <n v="3650"/>
    <n v="13140"/>
  </r>
  <r>
    <x v="0"/>
    <x v="0"/>
    <x v="0"/>
    <x v="0"/>
    <x v="1"/>
    <s v="DK2_MedSmall"/>
    <x v="5"/>
    <s v="GNR_BO_STRW_E-102"/>
    <x v="0"/>
    <x v="6"/>
    <n v="10"/>
    <n v="3650"/>
    <n v="13140"/>
  </r>
  <r>
    <x v="0"/>
    <x v="0"/>
    <x v="0"/>
    <x v="0"/>
    <x v="1"/>
    <s v="DK2_MedSmall"/>
    <x v="5"/>
    <s v="GNR_BO_STRW_E-102"/>
    <x v="0"/>
    <x v="7"/>
    <n v="10"/>
    <n v="3650"/>
    <n v="13140"/>
  </r>
  <r>
    <x v="0"/>
    <x v="0"/>
    <x v="0"/>
    <x v="0"/>
    <x v="1"/>
    <s v="DK2_MedSmall"/>
    <x v="5"/>
    <s v="GNR_BO_STRW_E-102"/>
    <x v="0"/>
    <x v="8"/>
    <n v="10"/>
    <n v="3650"/>
    <n v="13140"/>
  </r>
  <r>
    <x v="0"/>
    <x v="0"/>
    <x v="0"/>
    <x v="0"/>
    <x v="1"/>
    <s v="DK2_MedSmall"/>
    <x v="5"/>
    <s v="GNR_BO_STRW_E-102"/>
    <x v="0"/>
    <x v="9"/>
    <n v="10"/>
    <n v="3650"/>
    <n v="13140"/>
  </r>
  <r>
    <x v="0"/>
    <x v="0"/>
    <x v="0"/>
    <x v="0"/>
    <x v="1"/>
    <s v="DK2_MedSmall"/>
    <x v="5"/>
    <s v="GNR_BO_STRW_E-102"/>
    <x v="0"/>
    <x v="10"/>
    <n v="10"/>
    <n v="3650"/>
    <n v="13140"/>
  </r>
  <r>
    <x v="0"/>
    <x v="0"/>
    <x v="0"/>
    <x v="0"/>
    <x v="1"/>
    <s v="DK2_MedSmall"/>
    <x v="5"/>
    <s v="GNR_BO_STRW_E-102"/>
    <x v="0"/>
    <x v="11"/>
    <n v="10"/>
    <n v="3650"/>
    <n v="13140"/>
  </r>
  <r>
    <x v="0"/>
    <x v="0"/>
    <x v="0"/>
    <x v="0"/>
    <x v="1"/>
    <s v="DK2_MedSmall"/>
    <x v="5"/>
    <s v="GNR_BO_STRW_E-102"/>
    <x v="0"/>
    <x v="12"/>
    <n v="10"/>
    <n v="3650"/>
    <n v="13140"/>
  </r>
  <r>
    <x v="0"/>
    <x v="0"/>
    <x v="0"/>
    <x v="0"/>
    <x v="1"/>
    <s v="DK2_MedSmall"/>
    <x v="5"/>
    <s v="GNR_BO_STRW_E-102"/>
    <x v="0"/>
    <x v="13"/>
    <n v="10"/>
    <n v="3650"/>
    <n v="13140"/>
  </r>
  <r>
    <x v="0"/>
    <x v="0"/>
    <x v="0"/>
    <x v="0"/>
    <x v="1"/>
    <s v="DK2_MedSmall"/>
    <x v="5"/>
    <s v="GNR_BO_STRW_E-102"/>
    <x v="0"/>
    <x v="14"/>
    <n v="10"/>
    <n v="3650"/>
    <n v="13140"/>
  </r>
  <r>
    <x v="0"/>
    <x v="0"/>
    <x v="0"/>
    <x v="0"/>
    <x v="1"/>
    <s v="DK2_MedSmall"/>
    <x v="5"/>
    <s v="GNR_BO_STRW_E-102"/>
    <x v="0"/>
    <x v="15"/>
    <n v="10"/>
    <n v="3650"/>
    <n v="13140"/>
  </r>
  <r>
    <x v="0"/>
    <x v="0"/>
    <x v="0"/>
    <x v="0"/>
    <x v="1"/>
    <s v="DK2_MedSmall"/>
    <x v="5"/>
    <s v="GNR_BO_STRW_E-102"/>
    <x v="0"/>
    <x v="16"/>
    <n v="10"/>
    <n v="3650"/>
    <n v="13140"/>
  </r>
  <r>
    <x v="0"/>
    <x v="0"/>
    <x v="0"/>
    <x v="0"/>
    <x v="1"/>
    <s v="DK2_MedSmall"/>
    <x v="5"/>
    <s v="GNR_BO_STRW_E-102"/>
    <x v="0"/>
    <x v="17"/>
    <n v="10"/>
    <n v="3650"/>
    <n v="13140"/>
  </r>
  <r>
    <x v="0"/>
    <x v="0"/>
    <x v="0"/>
    <x v="0"/>
    <x v="1"/>
    <s v="DK2_MedSmall"/>
    <x v="5"/>
    <s v="GNR_BO_STRW_E-102"/>
    <x v="0"/>
    <x v="18"/>
    <n v="10"/>
    <n v="3650"/>
    <n v="13140"/>
  </r>
  <r>
    <x v="0"/>
    <x v="0"/>
    <x v="0"/>
    <x v="0"/>
    <x v="1"/>
    <s v="DK2_MedSmall"/>
    <x v="5"/>
    <s v="GNR_BO_STRW_E-102"/>
    <x v="0"/>
    <x v="19"/>
    <n v="10"/>
    <n v="3650"/>
    <n v="13140"/>
  </r>
  <r>
    <x v="0"/>
    <x v="0"/>
    <x v="0"/>
    <x v="0"/>
    <x v="1"/>
    <s v="DK2_MedSmall"/>
    <x v="5"/>
    <s v="GNR_BO_STRW_E-102"/>
    <x v="0"/>
    <x v="20"/>
    <n v="10"/>
    <n v="3650"/>
    <n v="13140"/>
  </r>
  <r>
    <x v="0"/>
    <x v="0"/>
    <x v="0"/>
    <x v="0"/>
    <x v="1"/>
    <s v="DK2_MedSmall"/>
    <x v="5"/>
    <s v="GNR_BO_STRW_E-102"/>
    <x v="0"/>
    <x v="21"/>
    <n v="10"/>
    <n v="3650"/>
    <n v="13140"/>
  </r>
  <r>
    <x v="0"/>
    <x v="0"/>
    <x v="0"/>
    <x v="0"/>
    <x v="1"/>
    <s v="DK2_MedSmall"/>
    <x v="5"/>
    <s v="GNR_BO_STRW_E-102"/>
    <x v="0"/>
    <x v="22"/>
    <n v="10"/>
    <n v="3650"/>
    <n v="13140"/>
  </r>
  <r>
    <x v="0"/>
    <x v="0"/>
    <x v="0"/>
    <x v="0"/>
    <x v="1"/>
    <s v="DK2_MedSmall"/>
    <x v="5"/>
    <s v="GNR_BO_STRW_E-102"/>
    <x v="0"/>
    <x v="23"/>
    <n v="10"/>
    <n v="3650"/>
    <n v="13140"/>
  </r>
  <r>
    <x v="0"/>
    <x v="0"/>
    <x v="0"/>
    <x v="0"/>
    <x v="1"/>
    <s v="DK2_MedSmall"/>
    <x v="2"/>
    <s v="GNR_EH_HEAT"/>
    <x v="0"/>
    <x v="0"/>
    <n v="2"/>
    <n v="730"/>
    <n v="2628"/>
  </r>
  <r>
    <x v="0"/>
    <x v="0"/>
    <x v="0"/>
    <x v="0"/>
    <x v="1"/>
    <s v="DK2_MedSmall"/>
    <x v="2"/>
    <s v="GNR_EH_HEAT"/>
    <x v="0"/>
    <x v="1"/>
    <n v="2"/>
    <n v="730"/>
    <n v="2628"/>
  </r>
  <r>
    <x v="0"/>
    <x v="0"/>
    <x v="0"/>
    <x v="0"/>
    <x v="1"/>
    <s v="DK2_MedSmall"/>
    <x v="2"/>
    <s v="GNR_EH_HEAT"/>
    <x v="0"/>
    <x v="2"/>
    <n v="2"/>
    <n v="730"/>
    <n v="2628"/>
  </r>
  <r>
    <x v="0"/>
    <x v="0"/>
    <x v="0"/>
    <x v="0"/>
    <x v="1"/>
    <s v="DK2_MedSmall"/>
    <x v="2"/>
    <s v="GNR_EH_HEAT"/>
    <x v="0"/>
    <x v="3"/>
    <n v="2"/>
    <n v="730"/>
    <n v="2628"/>
  </r>
  <r>
    <x v="0"/>
    <x v="0"/>
    <x v="0"/>
    <x v="0"/>
    <x v="1"/>
    <s v="DK2_MedSmall"/>
    <x v="2"/>
    <s v="GNR_EH_HEAT"/>
    <x v="0"/>
    <x v="4"/>
    <n v="2"/>
    <n v="730"/>
    <n v="2628"/>
  </r>
  <r>
    <x v="0"/>
    <x v="0"/>
    <x v="0"/>
    <x v="0"/>
    <x v="1"/>
    <s v="DK2_MedSmall"/>
    <x v="2"/>
    <s v="GNR_EH_HEAT"/>
    <x v="0"/>
    <x v="5"/>
    <n v="2"/>
    <n v="730"/>
    <n v="2628"/>
  </r>
  <r>
    <x v="0"/>
    <x v="0"/>
    <x v="0"/>
    <x v="0"/>
    <x v="1"/>
    <s v="DK2_MedSmall"/>
    <x v="2"/>
    <s v="GNR_EH_HEAT"/>
    <x v="0"/>
    <x v="6"/>
    <n v="2"/>
    <n v="730"/>
    <n v="2628"/>
  </r>
  <r>
    <x v="0"/>
    <x v="0"/>
    <x v="0"/>
    <x v="0"/>
    <x v="1"/>
    <s v="DK2_MedSmall"/>
    <x v="2"/>
    <s v="GNR_EH_HEAT"/>
    <x v="0"/>
    <x v="7"/>
    <n v="2"/>
    <n v="730"/>
    <n v="2628"/>
  </r>
  <r>
    <x v="0"/>
    <x v="0"/>
    <x v="0"/>
    <x v="0"/>
    <x v="1"/>
    <s v="DK2_MedSmall"/>
    <x v="2"/>
    <s v="GNR_EH_HEAT"/>
    <x v="0"/>
    <x v="8"/>
    <n v="2"/>
    <n v="730"/>
    <n v="2628"/>
  </r>
  <r>
    <x v="0"/>
    <x v="0"/>
    <x v="0"/>
    <x v="0"/>
    <x v="1"/>
    <s v="DK2_MedSmall"/>
    <x v="2"/>
    <s v="GNR_EH_HEAT"/>
    <x v="0"/>
    <x v="9"/>
    <n v="2"/>
    <n v="730"/>
    <n v="2628"/>
  </r>
  <r>
    <x v="0"/>
    <x v="0"/>
    <x v="0"/>
    <x v="0"/>
    <x v="1"/>
    <s v="DK2_MedSmall"/>
    <x v="2"/>
    <s v="GNR_EH_HEAT"/>
    <x v="0"/>
    <x v="10"/>
    <n v="2"/>
    <n v="730"/>
    <n v="2628"/>
  </r>
  <r>
    <x v="0"/>
    <x v="0"/>
    <x v="0"/>
    <x v="0"/>
    <x v="1"/>
    <s v="DK2_MedSmall"/>
    <x v="2"/>
    <s v="GNR_EH_HEAT"/>
    <x v="0"/>
    <x v="11"/>
    <n v="2"/>
    <n v="730"/>
    <n v="2628"/>
  </r>
  <r>
    <x v="0"/>
    <x v="0"/>
    <x v="0"/>
    <x v="0"/>
    <x v="1"/>
    <s v="DK2_MedSmall"/>
    <x v="2"/>
    <s v="GNR_EH_HEAT"/>
    <x v="0"/>
    <x v="12"/>
    <n v="2"/>
    <n v="730"/>
    <n v="2628"/>
  </r>
  <r>
    <x v="0"/>
    <x v="0"/>
    <x v="0"/>
    <x v="0"/>
    <x v="1"/>
    <s v="DK2_MedSmall"/>
    <x v="2"/>
    <s v="GNR_EH_HEAT"/>
    <x v="0"/>
    <x v="13"/>
    <n v="2"/>
    <n v="730"/>
    <n v="2628"/>
  </r>
  <r>
    <x v="0"/>
    <x v="0"/>
    <x v="0"/>
    <x v="0"/>
    <x v="1"/>
    <s v="DK2_MedSmall"/>
    <x v="2"/>
    <s v="GNR_EH_HEAT"/>
    <x v="0"/>
    <x v="14"/>
    <n v="2"/>
    <n v="730"/>
    <n v="2628"/>
  </r>
  <r>
    <x v="0"/>
    <x v="0"/>
    <x v="0"/>
    <x v="0"/>
    <x v="1"/>
    <s v="DK2_MedSmall"/>
    <x v="2"/>
    <s v="GNR_EH_HEAT"/>
    <x v="0"/>
    <x v="15"/>
    <n v="2"/>
    <n v="730"/>
    <n v="2628"/>
  </r>
  <r>
    <x v="0"/>
    <x v="0"/>
    <x v="0"/>
    <x v="0"/>
    <x v="1"/>
    <s v="DK2_MedSmall"/>
    <x v="2"/>
    <s v="GNR_EH_HEAT"/>
    <x v="0"/>
    <x v="16"/>
    <n v="2"/>
    <n v="730"/>
    <n v="2628"/>
  </r>
  <r>
    <x v="0"/>
    <x v="0"/>
    <x v="0"/>
    <x v="0"/>
    <x v="1"/>
    <s v="DK2_MedSmall"/>
    <x v="2"/>
    <s v="GNR_EH_HEAT"/>
    <x v="0"/>
    <x v="17"/>
    <n v="2"/>
    <n v="730"/>
    <n v="2628"/>
  </r>
  <r>
    <x v="0"/>
    <x v="0"/>
    <x v="0"/>
    <x v="0"/>
    <x v="1"/>
    <s v="DK2_MedSmall"/>
    <x v="2"/>
    <s v="GNR_EH_HEAT"/>
    <x v="0"/>
    <x v="18"/>
    <n v="2"/>
    <n v="730"/>
    <n v="2628"/>
  </r>
  <r>
    <x v="0"/>
    <x v="0"/>
    <x v="0"/>
    <x v="0"/>
    <x v="1"/>
    <s v="DK2_MedSmall"/>
    <x v="2"/>
    <s v="GNR_EH_HEAT"/>
    <x v="0"/>
    <x v="19"/>
    <n v="2"/>
    <n v="730"/>
    <n v="2628"/>
  </r>
  <r>
    <x v="0"/>
    <x v="0"/>
    <x v="0"/>
    <x v="0"/>
    <x v="1"/>
    <s v="DK2_MedSmall"/>
    <x v="2"/>
    <s v="GNR_EH_HEAT"/>
    <x v="0"/>
    <x v="20"/>
    <n v="2"/>
    <n v="730"/>
    <n v="2628"/>
  </r>
  <r>
    <x v="0"/>
    <x v="0"/>
    <x v="0"/>
    <x v="0"/>
    <x v="1"/>
    <s v="DK2_MedSmall"/>
    <x v="2"/>
    <s v="GNR_EH_HEAT"/>
    <x v="0"/>
    <x v="21"/>
    <n v="2"/>
    <n v="730"/>
    <n v="2628"/>
  </r>
  <r>
    <x v="0"/>
    <x v="0"/>
    <x v="0"/>
    <x v="0"/>
    <x v="1"/>
    <s v="DK2_MedSmall"/>
    <x v="2"/>
    <s v="GNR_EH_HEAT"/>
    <x v="0"/>
    <x v="22"/>
    <n v="2"/>
    <n v="730"/>
    <n v="2628"/>
  </r>
  <r>
    <x v="0"/>
    <x v="0"/>
    <x v="0"/>
    <x v="0"/>
    <x v="1"/>
    <s v="DK2_MedSmall"/>
    <x v="2"/>
    <s v="GNR_EH_HEAT"/>
    <x v="0"/>
    <x v="23"/>
    <n v="2"/>
    <n v="730"/>
    <n v="2628"/>
  </r>
  <r>
    <x v="0"/>
    <x v="0"/>
    <x v="0"/>
    <x v="0"/>
    <x v="1"/>
    <s v="DK2_MedSmall"/>
    <x v="6"/>
    <s v="GNR_BO_WOODCHI_E-112"/>
    <x v="0"/>
    <x v="0"/>
    <n v="6.3276934381198497"/>
    <n v="2309.6081049137501"/>
    <n v="8314.5891776894896"/>
  </r>
  <r>
    <x v="0"/>
    <x v="0"/>
    <x v="0"/>
    <x v="0"/>
    <x v="1"/>
    <s v="DK2_MedSmall"/>
    <x v="6"/>
    <s v="GNR_BO_WOODCHI_E-112"/>
    <x v="0"/>
    <x v="1"/>
    <n v="5.6535517641214801"/>
    <n v="2063.5463939043402"/>
    <n v="7428.7670180556297"/>
  </r>
  <r>
    <x v="0"/>
    <x v="0"/>
    <x v="0"/>
    <x v="0"/>
    <x v="1"/>
    <s v="DK2_MedSmall"/>
    <x v="6"/>
    <s v="GNR_BO_WOODCHI_E-112"/>
    <x v="0"/>
    <x v="2"/>
    <n v="5.1591812031893403"/>
    <n v="1883.10113916411"/>
    <n v="6779.1641009907999"/>
  </r>
  <r>
    <x v="0"/>
    <x v="0"/>
    <x v="0"/>
    <x v="0"/>
    <x v="1"/>
    <s v="DK2_MedSmall"/>
    <x v="6"/>
    <s v="GNR_BO_WOODCHI_E-112"/>
    <x v="0"/>
    <x v="3"/>
    <n v="5.5187234293217999"/>
    <n v="2014.3340517024601"/>
    <n v="7251.6025861288499"/>
  </r>
  <r>
    <x v="0"/>
    <x v="0"/>
    <x v="0"/>
    <x v="0"/>
    <x v="1"/>
    <s v="DK2_MedSmall"/>
    <x v="6"/>
    <s v="GNR_BO_WOODCHI_E-112"/>
    <x v="0"/>
    <x v="4"/>
    <n v="7.2714917817175699"/>
    <n v="2654.0945003269098"/>
    <n v="9554.7402011768809"/>
  </r>
  <r>
    <x v="0"/>
    <x v="0"/>
    <x v="0"/>
    <x v="0"/>
    <x v="1"/>
    <s v="DK2_MedSmall"/>
    <x v="6"/>
    <s v="GNR_BO_WOODCHI_E-112"/>
    <x v="0"/>
    <x v="5"/>
    <n v="8.5748323514477498"/>
    <n v="3129.8138082784299"/>
    <n v="11267.329709802299"/>
  </r>
  <r>
    <x v="0"/>
    <x v="0"/>
    <x v="0"/>
    <x v="0"/>
    <x v="1"/>
    <s v="DK2_MedSmall"/>
    <x v="6"/>
    <s v="GNR_BO_WOODCHI_E-112"/>
    <x v="0"/>
    <x v="6"/>
    <n v="14"/>
    <n v="5110"/>
    <n v="18396"/>
  </r>
  <r>
    <x v="0"/>
    <x v="0"/>
    <x v="0"/>
    <x v="0"/>
    <x v="1"/>
    <s v="DK2_MedSmall"/>
    <x v="6"/>
    <s v="GNR_BO_WOODCHI_E-112"/>
    <x v="0"/>
    <x v="7"/>
    <n v="14"/>
    <n v="5110"/>
    <n v="18396"/>
  </r>
  <r>
    <x v="0"/>
    <x v="0"/>
    <x v="0"/>
    <x v="0"/>
    <x v="1"/>
    <s v="DK2_MedSmall"/>
    <x v="6"/>
    <s v="GNR_BO_WOODCHI_E-112"/>
    <x v="0"/>
    <x v="8"/>
    <n v="14"/>
    <n v="5110"/>
    <n v="18396"/>
  </r>
  <r>
    <x v="0"/>
    <x v="0"/>
    <x v="0"/>
    <x v="0"/>
    <x v="1"/>
    <s v="DK2_MedSmall"/>
    <x v="6"/>
    <s v="GNR_BO_WOODCHI_E-112"/>
    <x v="0"/>
    <x v="9"/>
    <n v="14"/>
    <n v="5110"/>
    <n v="18396"/>
  </r>
  <r>
    <x v="0"/>
    <x v="0"/>
    <x v="0"/>
    <x v="0"/>
    <x v="1"/>
    <s v="DK2_MedSmall"/>
    <x v="6"/>
    <s v="GNR_BO_WOODCHI_E-112"/>
    <x v="0"/>
    <x v="10"/>
    <n v="14"/>
    <n v="5110"/>
    <n v="18396"/>
  </r>
  <r>
    <x v="0"/>
    <x v="0"/>
    <x v="0"/>
    <x v="0"/>
    <x v="1"/>
    <s v="DK2_MedSmall"/>
    <x v="6"/>
    <s v="GNR_BO_WOODCHI_E-112"/>
    <x v="0"/>
    <x v="11"/>
    <n v="14"/>
    <n v="5110"/>
    <n v="18396"/>
  </r>
  <r>
    <x v="0"/>
    <x v="0"/>
    <x v="0"/>
    <x v="0"/>
    <x v="1"/>
    <s v="DK2_MedSmall"/>
    <x v="6"/>
    <s v="GNR_BO_WOODCHI_E-112"/>
    <x v="0"/>
    <x v="12"/>
    <n v="14"/>
    <n v="5110"/>
    <n v="18396"/>
  </r>
  <r>
    <x v="0"/>
    <x v="0"/>
    <x v="0"/>
    <x v="0"/>
    <x v="1"/>
    <s v="DK2_MedSmall"/>
    <x v="6"/>
    <s v="GNR_BO_WOODCHI_E-112"/>
    <x v="0"/>
    <x v="13"/>
    <n v="14"/>
    <n v="5110"/>
    <n v="18396"/>
  </r>
  <r>
    <x v="0"/>
    <x v="0"/>
    <x v="0"/>
    <x v="0"/>
    <x v="1"/>
    <s v="DK2_MedSmall"/>
    <x v="6"/>
    <s v="GNR_BO_WOODCHI_E-112"/>
    <x v="0"/>
    <x v="14"/>
    <n v="14"/>
    <n v="5110"/>
    <n v="18396"/>
  </r>
  <r>
    <x v="0"/>
    <x v="0"/>
    <x v="0"/>
    <x v="0"/>
    <x v="1"/>
    <s v="DK2_MedSmall"/>
    <x v="6"/>
    <s v="GNR_BO_WOODCHI_E-112"/>
    <x v="0"/>
    <x v="15"/>
    <n v="14"/>
    <n v="5110"/>
    <n v="18396"/>
  </r>
  <r>
    <x v="0"/>
    <x v="0"/>
    <x v="0"/>
    <x v="0"/>
    <x v="1"/>
    <s v="DK2_MedSmall"/>
    <x v="6"/>
    <s v="GNR_BO_WOODCHI_E-112"/>
    <x v="0"/>
    <x v="16"/>
    <n v="14"/>
    <n v="5110"/>
    <n v="18396"/>
  </r>
  <r>
    <x v="0"/>
    <x v="0"/>
    <x v="0"/>
    <x v="0"/>
    <x v="1"/>
    <s v="DK2_MedSmall"/>
    <x v="6"/>
    <s v="GNR_BO_WOODCHI_E-112"/>
    <x v="0"/>
    <x v="17"/>
    <n v="14"/>
    <n v="5110"/>
    <n v="18396"/>
  </r>
  <r>
    <x v="0"/>
    <x v="0"/>
    <x v="0"/>
    <x v="0"/>
    <x v="1"/>
    <s v="DK2_MedSmall"/>
    <x v="6"/>
    <s v="GNR_BO_WOODCHI_E-112"/>
    <x v="0"/>
    <x v="18"/>
    <n v="14"/>
    <n v="5110"/>
    <n v="18396"/>
  </r>
  <r>
    <x v="0"/>
    <x v="0"/>
    <x v="0"/>
    <x v="0"/>
    <x v="1"/>
    <s v="DK2_MedSmall"/>
    <x v="6"/>
    <s v="GNR_BO_WOODCHI_E-112"/>
    <x v="0"/>
    <x v="19"/>
    <n v="14"/>
    <n v="5110"/>
    <n v="18396"/>
  </r>
  <r>
    <x v="0"/>
    <x v="0"/>
    <x v="0"/>
    <x v="0"/>
    <x v="1"/>
    <s v="DK2_MedSmall"/>
    <x v="6"/>
    <s v="GNR_BO_WOODCHI_E-112"/>
    <x v="0"/>
    <x v="20"/>
    <n v="14"/>
    <n v="5110"/>
    <n v="18396"/>
  </r>
  <r>
    <x v="0"/>
    <x v="0"/>
    <x v="0"/>
    <x v="0"/>
    <x v="1"/>
    <s v="DK2_MedSmall"/>
    <x v="6"/>
    <s v="GNR_BO_WOODCHI_E-112"/>
    <x v="0"/>
    <x v="21"/>
    <n v="14"/>
    <n v="5110"/>
    <n v="18396"/>
  </r>
  <r>
    <x v="0"/>
    <x v="0"/>
    <x v="0"/>
    <x v="0"/>
    <x v="1"/>
    <s v="DK2_MedSmall"/>
    <x v="6"/>
    <s v="GNR_BO_WOODCHI_E-112"/>
    <x v="0"/>
    <x v="22"/>
    <n v="14"/>
    <n v="5110"/>
    <n v="18396"/>
  </r>
  <r>
    <x v="0"/>
    <x v="0"/>
    <x v="0"/>
    <x v="0"/>
    <x v="1"/>
    <s v="DK2_MedSmall"/>
    <x v="6"/>
    <s v="GNR_BO_WOODCHI_E-112"/>
    <x v="0"/>
    <x v="23"/>
    <n v="14"/>
    <n v="5110"/>
    <n v="18396"/>
  </r>
  <r>
    <x v="0"/>
    <x v="0"/>
    <x v="0"/>
    <x v="0"/>
    <x v="1"/>
    <s v="DK2_MedSmall"/>
    <x v="6"/>
    <s v="GNR_BO_WOODCHI_E-118"/>
    <x v="0"/>
    <x v="0"/>
    <n v="10.6"/>
    <n v="3869"/>
    <n v="13928.4"/>
  </r>
  <r>
    <x v="0"/>
    <x v="0"/>
    <x v="0"/>
    <x v="0"/>
    <x v="1"/>
    <s v="DK2_MedSmall"/>
    <x v="6"/>
    <s v="GNR_BO_WOODCHI_E-118"/>
    <x v="0"/>
    <x v="1"/>
    <n v="10.6"/>
    <n v="3869"/>
    <n v="13928.4"/>
  </r>
  <r>
    <x v="0"/>
    <x v="0"/>
    <x v="0"/>
    <x v="0"/>
    <x v="1"/>
    <s v="DK2_MedSmall"/>
    <x v="6"/>
    <s v="GNR_BO_WOODCHI_E-118"/>
    <x v="0"/>
    <x v="2"/>
    <n v="10.6"/>
    <n v="3869"/>
    <n v="13928.4"/>
  </r>
  <r>
    <x v="0"/>
    <x v="0"/>
    <x v="0"/>
    <x v="0"/>
    <x v="1"/>
    <s v="DK2_MedSmall"/>
    <x v="6"/>
    <s v="GNR_BO_WOODCHI_E-118"/>
    <x v="0"/>
    <x v="3"/>
    <n v="10.6"/>
    <n v="3869"/>
    <n v="13928.4"/>
  </r>
  <r>
    <x v="0"/>
    <x v="0"/>
    <x v="0"/>
    <x v="0"/>
    <x v="1"/>
    <s v="DK2_MedSmall"/>
    <x v="6"/>
    <s v="GNR_BO_WOODCHI_E-118"/>
    <x v="0"/>
    <x v="4"/>
    <n v="10.6"/>
    <n v="3869"/>
    <n v="13928.4"/>
  </r>
  <r>
    <x v="0"/>
    <x v="0"/>
    <x v="0"/>
    <x v="0"/>
    <x v="1"/>
    <s v="DK2_MedSmall"/>
    <x v="6"/>
    <s v="GNR_BO_WOODCHI_E-118"/>
    <x v="0"/>
    <x v="5"/>
    <n v="10.6"/>
    <n v="3869"/>
    <n v="13928.4"/>
  </r>
  <r>
    <x v="0"/>
    <x v="0"/>
    <x v="0"/>
    <x v="0"/>
    <x v="1"/>
    <s v="DK2_MedSmall"/>
    <x v="6"/>
    <s v="GNR_BO_WOODCHI_E-118"/>
    <x v="0"/>
    <x v="6"/>
    <n v="10.6"/>
    <n v="3869"/>
    <n v="13928.4"/>
  </r>
  <r>
    <x v="0"/>
    <x v="0"/>
    <x v="0"/>
    <x v="0"/>
    <x v="1"/>
    <s v="DK2_MedSmall"/>
    <x v="6"/>
    <s v="GNR_BO_WOODCHI_E-118"/>
    <x v="0"/>
    <x v="7"/>
    <n v="10.6"/>
    <n v="3869"/>
    <n v="13928.4"/>
  </r>
  <r>
    <x v="0"/>
    <x v="0"/>
    <x v="0"/>
    <x v="0"/>
    <x v="1"/>
    <s v="DK2_MedSmall"/>
    <x v="6"/>
    <s v="GNR_BO_WOODCHI_E-118"/>
    <x v="0"/>
    <x v="8"/>
    <n v="10.6"/>
    <n v="3869"/>
    <n v="13928.4"/>
  </r>
  <r>
    <x v="0"/>
    <x v="0"/>
    <x v="0"/>
    <x v="0"/>
    <x v="1"/>
    <s v="DK2_MedSmall"/>
    <x v="6"/>
    <s v="GNR_BO_WOODCHI_E-118"/>
    <x v="0"/>
    <x v="9"/>
    <n v="10.6"/>
    <n v="3869"/>
    <n v="13928.4"/>
  </r>
  <r>
    <x v="0"/>
    <x v="0"/>
    <x v="0"/>
    <x v="0"/>
    <x v="1"/>
    <s v="DK2_MedSmall"/>
    <x v="6"/>
    <s v="GNR_BO_WOODCHI_E-118"/>
    <x v="0"/>
    <x v="10"/>
    <n v="10.6"/>
    <n v="3869"/>
    <n v="13928.4"/>
  </r>
  <r>
    <x v="0"/>
    <x v="0"/>
    <x v="0"/>
    <x v="0"/>
    <x v="1"/>
    <s v="DK2_MedSmall"/>
    <x v="6"/>
    <s v="GNR_BO_WOODCHI_E-118"/>
    <x v="0"/>
    <x v="11"/>
    <n v="10.6"/>
    <n v="3869"/>
    <n v="13928.4"/>
  </r>
  <r>
    <x v="0"/>
    <x v="0"/>
    <x v="0"/>
    <x v="0"/>
    <x v="1"/>
    <s v="DK2_MedSmall"/>
    <x v="6"/>
    <s v="GNR_BO_WOODCHI_E-118"/>
    <x v="0"/>
    <x v="12"/>
    <n v="10.6"/>
    <n v="3869"/>
    <n v="13928.4"/>
  </r>
  <r>
    <x v="0"/>
    <x v="0"/>
    <x v="0"/>
    <x v="0"/>
    <x v="1"/>
    <s v="DK2_MedSmall"/>
    <x v="6"/>
    <s v="GNR_BO_WOODCHI_E-118"/>
    <x v="0"/>
    <x v="13"/>
    <n v="10.6"/>
    <n v="3869"/>
    <n v="13928.4"/>
  </r>
  <r>
    <x v="0"/>
    <x v="0"/>
    <x v="0"/>
    <x v="0"/>
    <x v="1"/>
    <s v="DK2_MedSmall"/>
    <x v="6"/>
    <s v="GNR_BO_WOODCHI_E-118"/>
    <x v="0"/>
    <x v="14"/>
    <n v="10.6"/>
    <n v="3869"/>
    <n v="13928.4"/>
  </r>
  <r>
    <x v="0"/>
    <x v="0"/>
    <x v="0"/>
    <x v="0"/>
    <x v="1"/>
    <s v="DK2_MedSmall"/>
    <x v="6"/>
    <s v="GNR_BO_WOODCHI_E-118"/>
    <x v="0"/>
    <x v="15"/>
    <n v="10.6"/>
    <n v="3869"/>
    <n v="13928.4"/>
  </r>
  <r>
    <x v="0"/>
    <x v="0"/>
    <x v="0"/>
    <x v="0"/>
    <x v="1"/>
    <s v="DK2_MedSmall"/>
    <x v="6"/>
    <s v="GNR_BO_WOODCHI_E-118"/>
    <x v="0"/>
    <x v="16"/>
    <n v="10.6"/>
    <n v="3869"/>
    <n v="13928.4"/>
  </r>
  <r>
    <x v="0"/>
    <x v="0"/>
    <x v="0"/>
    <x v="0"/>
    <x v="1"/>
    <s v="DK2_MedSmall"/>
    <x v="6"/>
    <s v="GNR_BO_WOODCHI_E-118"/>
    <x v="0"/>
    <x v="17"/>
    <n v="10.6"/>
    <n v="3869"/>
    <n v="13928.4"/>
  </r>
  <r>
    <x v="0"/>
    <x v="0"/>
    <x v="0"/>
    <x v="0"/>
    <x v="1"/>
    <s v="DK2_MedSmall"/>
    <x v="6"/>
    <s v="GNR_BO_WOODCHI_E-118"/>
    <x v="0"/>
    <x v="18"/>
    <n v="10.6"/>
    <n v="3869"/>
    <n v="13928.4"/>
  </r>
  <r>
    <x v="0"/>
    <x v="0"/>
    <x v="0"/>
    <x v="0"/>
    <x v="1"/>
    <s v="DK2_MedSmall"/>
    <x v="6"/>
    <s v="GNR_BO_WOODCHI_E-118"/>
    <x v="0"/>
    <x v="19"/>
    <n v="10.6"/>
    <n v="3869"/>
    <n v="13928.4"/>
  </r>
  <r>
    <x v="0"/>
    <x v="0"/>
    <x v="0"/>
    <x v="0"/>
    <x v="1"/>
    <s v="DK2_MedSmall"/>
    <x v="6"/>
    <s v="GNR_BO_WOODCHI_E-118"/>
    <x v="0"/>
    <x v="20"/>
    <n v="10.6"/>
    <n v="3869"/>
    <n v="13928.4"/>
  </r>
  <r>
    <x v="0"/>
    <x v="0"/>
    <x v="0"/>
    <x v="0"/>
    <x v="1"/>
    <s v="DK2_MedSmall"/>
    <x v="6"/>
    <s v="GNR_BO_WOODCHI_E-118"/>
    <x v="0"/>
    <x v="21"/>
    <n v="10.6"/>
    <n v="3869"/>
    <n v="13928.4"/>
  </r>
  <r>
    <x v="0"/>
    <x v="0"/>
    <x v="0"/>
    <x v="0"/>
    <x v="1"/>
    <s v="DK2_MedSmall"/>
    <x v="6"/>
    <s v="GNR_BO_WOODCHI_E-118"/>
    <x v="0"/>
    <x v="22"/>
    <n v="10.6"/>
    <n v="3869"/>
    <n v="13928.4"/>
  </r>
  <r>
    <x v="0"/>
    <x v="0"/>
    <x v="0"/>
    <x v="0"/>
    <x v="1"/>
    <s v="DK2_MedSmall"/>
    <x v="6"/>
    <s v="GNR_BO_WOODCHI_E-118"/>
    <x v="0"/>
    <x v="23"/>
    <n v="10.6"/>
    <n v="3869"/>
    <n v="13928.4"/>
  </r>
  <r>
    <x v="0"/>
    <x v="0"/>
    <x v="0"/>
    <x v="0"/>
    <x v="1"/>
    <s v="DK2_Medium"/>
    <x v="0"/>
    <s v="GNR_ST_COAL_BP_E-38"/>
    <x v="0"/>
    <x v="0"/>
    <n v="136.744748804572"/>
    <n v="49911.833313668802"/>
    <n v="179682.59992920799"/>
  </r>
  <r>
    <x v="0"/>
    <x v="0"/>
    <x v="0"/>
    <x v="0"/>
    <x v="1"/>
    <s v="DK2_Medium"/>
    <x v="0"/>
    <s v="GNR_ST_COAL_BP_E-38"/>
    <x v="0"/>
    <x v="1"/>
    <n v="134.10585490976001"/>
    <n v="48948.637042062401"/>
    <n v="176215.09335142499"/>
  </r>
  <r>
    <x v="0"/>
    <x v="0"/>
    <x v="0"/>
    <x v="0"/>
    <x v="1"/>
    <s v="DK2_Medium"/>
    <x v="0"/>
    <s v="GNR_ST_COAL_BP_E-38"/>
    <x v="0"/>
    <x v="2"/>
    <n v="135.689191246647"/>
    <n v="49526.554805026302"/>
    <n v="178295.597298095"/>
  </r>
  <r>
    <x v="0"/>
    <x v="0"/>
    <x v="0"/>
    <x v="0"/>
    <x v="1"/>
    <s v="DK2_Medium"/>
    <x v="0"/>
    <s v="GNR_ST_COAL_BP_E-38"/>
    <x v="0"/>
    <x v="3"/>
    <n v="137.00863819405299"/>
    <n v="50008.152940829503"/>
    <n v="180029.35058698599"/>
  </r>
  <r>
    <x v="0"/>
    <x v="0"/>
    <x v="0"/>
    <x v="0"/>
    <x v="1"/>
    <s v="DK2_Medium"/>
    <x v="0"/>
    <s v="GNR_ST_COAL_BP_E-38"/>
    <x v="0"/>
    <x v="4"/>
    <n v="136.480859415091"/>
    <n v="49815.513686508202"/>
    <n v="179335.849271429"/>
  </r>
  <r>
    <x v="0"/>
    <x v="0"/>
    <x v="0"/>
    <x v="0"/>
    <x v="1"/>
    <s v="DK2_Medium"/>
    <x v="0"/>
    <s v="GNR_ST_COAL_BP_E-38"/>
    <x v="0"/>
    <x v="5"/>
    <n v="143.60587293108301"/>
    <n v="52416.143619845403"/>
    <n v="188698.11703144401"/>
  </r>
  <r>
    <x v="0"/>
    <x v="0"/>
    <x v="0"/>
    <x v="0"/>
    <x v="1"/>
    <s v="DK2_Medium"/>
    <x v="0"/>
    <s v="GNR_ST_COAL_BP_E-38"/>
    <x v="0"/>
    <x v="6"/>
    <n v="162.07813019476799"/>
    <n v="59158.517521090202"/>
    <n v="212970.663075925"/>
  </r>
  <r>
    <x v="0"/>
    <x v="0"/>
    <x v="0"/>
    <x v="0"/>
    <x v="1"/>
    <s v="DK2_Medium"/>
    <x v="0"/>
    <s v="GNR_ST_COAL_BP_E-38"/>
    <x v="0"/>
    <x v="7"/>
    <n v="169.20314371076"/>
    <n v="61759.147454427497"/>
    <n v="222332.93083593901"/>
  </r>
  <r>
    <x v="0"/>
    <x v="0"/>
    <x v="0"/>
    <x v="0"/>
    <x v="1"/>
    <s v="DK2_Medium"/>
    <x v="0"/>
    <s v="GNR_ST_COAL_BP_E-38"/>
    <x v="0"/>
    <x v="8"/>
    <n v="172.63370577401599"/>
    <n v="63011.302607515798"/>
    <n v="226840.68938705701"/>
  </r>
  <r>
    <x v="0"/>
    <x v="0"/>
    <x v="0"/>
    <x v="0"/>
    <x v="1"/>
    <s v="DK2_Medium"/>
    <x v="0"/>
    <s v="GNR_ST_COAL_BP_E-38"/>
    <x v="0"/>
    <x v="9"/>
    <n v="172.369816384535"/>
    <n v="62914.982980355097"/>
    <n v="226493.93872927901"/>
  </r>
  <r>
    <x v="0"/>
    <x v="0"/>
    <x v="0"/>
    <x v="0"/>
    <x v="1"/>
    <s v="DK2_Medium"/>
    <x v="0"/>
    <s v="GNR_ST_COAL_BP_E-38"/>
    <x v="0"/>
    <x v="10"/>
    <n v="173.16148455297801"/>
    <n v="63203.941861837098"/>
    <n v="227534.19070261301"/>
  </r>
  <r>
    <x v="0"/>
    <x v="0"/>
    <x v="0"/>
    <x v="0"/>
    <x v="1"/>
    <s v="DK2_Medium"/>
    <x v="0"/>
    <s v="GNR_ST_COAL_BP_E-38"/>
    <x v="0"/>
    <x v="11"/>
    <n v="170.522590658166"/>
    <n v="62240.745590230697"/>
    <n v="224066.68412483"/>
  </r>
  <r>
    <x v="0"/>
    <x v="0"/>
    <x v="0"/>
    <x v="0"/>
    <x v="1"/>
    <s v="DK2_Medium"/>
    <x v="0"/>
    <s v="GNR_ST_COAL_BP_E-38"/>
    <x v="0"/>
    <x v="12"/>
    <n v="173.16148455297801"/>
    <n v="63203.941861837098"/>
    <n v="227534.19070261301"/>
  </r>
  <r>
    <x v="0"/>
    <x v="0"/>
    <x v="0"/>
    <x v="0"/>
    <x v="1"/>
    <s v="DK2_Medium"/>
    <x v="0"/>
    <s v="GNR_ST_COAL_BP_E-38"/>
    <x v="0"/>
    <x v="13"/>
    <n v="175.27259966882801"/>
    <n v="63974.498879122199"/>
    <n v="230308.19596484001"/>
  </r>
  <r>
    <x v="0"/>
    <x v="0"/>
    <x v="0"/>
    <x v="0"/>
    <x v="1"/>
    <s v="DK2_Medium"/>
    <x v="0"/>
    <s v="GNR_ST_COAL_BP_E-38"/>
    <x v="0"/>
    <x v="14"/>
    <n v="176.06426783727201"/>
    <n v="64263.457760604098"/>
    <n v="231348.447938175"/>
  </r>
  <r>
    <x v="0"/>
    <x v="0"/>
    <x v="0"/>
    <x v="0"/>
    <x v="1"/>
    <s v="DK2_Medium"/>
    <x v="0"/>
    <s v="GNR_ST_COAL_BP_E-38"/>
    <x v="0"/>
    <x v="15"/>
    <n v="175.80037844779"/>
    <n v="64167.138133443499"/>
    <n v="231001.69728039601"/>
  </r>
  <r>
    <x v="0"/>
    <x v="0"/>
    <x v="0"/>
    <x v="0"/>
    <x v="1"/>
    <s v="DK2_Medium"/>
    <x v="0"/>
    <s v="GNR_ST_COAL_BP_E-38"/>
    <x v="0"/>
    <x v="16"/>
    <n v="176.32815722675301"/>
    <n v="64359.777387764698"/>
    <n v="231695.198595953"/>
  </r>
  <r>
    <x v="0"/>
    <x v="0"/>
    <x v="0"/>
    <x v="0"/>
    <x v="1"/>
    <s v="DK2_Medium"/>
    <x v="0"/>
    <s v="GNR_ST_COAL_BP_E-38"/>
    <x v="0"/>
    <x v="17"/>
    <n v="177.647604174159"/>
    <n v="64841.375523567898"/>
    <n v="233428.95188484501"/>
  </r>
  <r>
    <x v="0"/>
    <x v="0"/>
    <x v="0"/>
    <x v="0"/>
    <x v="1"/>
    <s v="DK2_Medium"/>
    <x v="0"/>
    <s v="GNR_ST_COAL_BP_E-38"/>
    <x v="0"/>
    <x v="18"/>
    <n v="177.647604174159"/>
    <n v="64841.375523567898"/>
    <n v="233428.95188484501"/>
  </r>
  <r>
    <x v="0"/>
    <x v="0"/>
    <x v="0"/>
    <x v="0"/>
    <x v="1"/>
    <s v="DK2_Medium"/>
    <x v="0"/>
    <s v="GNR_ST_COAL_BP_E-38"/>
    <x v="0"/>
    <x v="19"/>
    <n v="176.06426783727201"/>
    <n v="64263.457760604098"/>
    <n v="231348.447938175"/>
  </r>
  <r>
    <x v="0"/>
    <x v="0"/>
    <x v="0"/>
    <x v="0"/>
    <x v="1"/>
    <s v="DK2_Medium"/>
    <x v="0"/>
    <s v="GNR_ST_COAL_BP_E-38"/>
    <x v="0"/>
    <x v="20"/>
    <n v="172.89759516349699"/>
    <n v="63107.622234676397"/>
    <n v="227187.44004483501"/>
  </r>
  <r>
    <x v="0"/>
    <x v="0"/>
    <x v="0"/>
    <x v="0"/>
    <x v="1"/>
    <s v="DK2_Medium"/>
    <x v="0"/>
    <s v="GNR_ST_COAL_BP_E-38"/>
    <x v="0"/>
    <x v="21"/>
    <n v="162.34201958424899"/>
    <n v="59254.837148250903"/>
    <n v="213317.413733703"/>
  </r>
  <r>
    <x v="0"/>
    <x v="0"/>
    <x v="0"/>
    <x v="0"/>
    <x v="1"/>
    <s v="DK2_Medium"/>
    <x v="0"/>
    <s v="GNR_ST_COAL_BP_E-38"/>
    <x v="0"/>
    <x v="22"/>
    <n v="159.703125689437"/>
    <n v="58291.640876644502"/>
    <n v="209849.90715591999"/>
  </r>
  <r>
    <x v="0"/>
    <x v="0"/>
    <x v="0"/>
    <x v="0"/>
    <x v="1"/>
    <s v="DK2_Medium"/>
    <x v="0"/>
    <s v="GNR_ST_COAL_BP_E-38"/>
    <x v="0"/>
    <x v="23"/>
    <n v="157.855899963068"/>
    <n v="57617.403486520001"/>
    <n v="207422.65255147201"/>
  </r>
  <r>
    <x v="0"/>
    <x v="0"/>
    <x v="0"/>
    <x v="0"/>
    <x v="1"/>
    <s v="DK2_Medium"/>
    <x v="1"/>
    <s v="GNR_BO_MSW_E-105"/>
    <x v="0"/>
    <x v="0"/>
    <n v="21"/>
    <n v="7665"/>
    <n v="27594"/>
  </r>
  <r>
    <x v="0"/>
    <x v="0"/>
    <x v="0"/>
    <x v="0"/>
    <x v="1"/>
    <s v="DK2_Medium"/>
    <x v="1"/>
    <s v="GNR_BO_MSW_E-105"/>
    <x v="0"/>
    <x v="1"/>
    <n v="21"/>
    <n v="7665"/>
    <n v="27594"/>
  </r>
  <r>
    <x v="0"/>
    <x v="0"/>
    <x v="0"/>
    <x v="0"/>
    <x v="1"/>
    <s v="DK2_Medium"/>
    <x v="1"/>
    <s v="GNR_BO_MSW_E-105"/>
    <x v="0"/>
    <x v="2"/>
    <n v="21"/>
    <n v="7665"/>
    <n v="27594"/>
  </r>
  <r>
    <x v="0"/>
    <x v="0"/>
    <x v="0"/>
    <x v="0"/>
    <x v="1"/>
    <s v="DK2_Medium"/>
    <x v="1"/>
    <s v="GNR_BO_MSW_E-105"/>
    <x v="0"/>
    <x v="3"/>
    <n v="21"/>
    <n v="7665"/>
    <n v="27594"/>
  </r>
  <r>
    <x v="0"/>
    <x v="0"/>
    <x v="0"/>
    <x v="0"/>
    <x v="1"/>
    <s v="DK2_Medium"/>
    <x v="1"/>
    <s v="GNR_BO_MSW_E-105"/>
    <x v="0"/>
    <x v="4"/>
    <n v="21"/>
    <n v="7665"/>
    <n v="27594"/>
  </r>
  <r>
    <x v="0"/>
    <x v="0"/>
    <x v="0"/>
    <x v="0"/>
    <x v="1"/>
    <s v="DK2_Medium"/>
    <x v="1"/>
    <s v="GNR_BO_MSW_E-105"/>
    <x v="0"/>
    <x v="5"/>
    <n v="21"/>
    <n v="7665"/>
    <n v="27594"/>
  </r>
  <r>
    <x v="0"/>
    <x v="0"/>
    <x v="0"/>
    <x v="0"/>
    <x v="1"/>
    <s v="DK2_Medium"/>
    <x v="1"/>
    <s v="GNR_BO_MSW_E-105"/>
    <x v="0"/>
    <x v="6"/>
    <n v="21"/>
    <n v="7665"/>
    <n v="27594"/>
  </r>
  <r>
    <x v="0"/>
    <x v="0"/>
    <x v="0"/>
    <x v="0"/>
    <x v="1"/>
    <s v="DK2_Medium"/>
    <x v="1"/>
    <s v="GNR_BO_MSW_E-105"/>
    <x v="0"/>
    <x v="7"/>
    <n v="21"/>
    <n v="7665"/>
    <n v="27594"/>
  </r>
  <r>
    <x v="0"/>
    <x v="0"/>
    <x v="0"/>
    <x v="0"/>
    <x v="1"/>
    <s v="DK2_Medium"/>
    <x v="1"/>
    <s v="GNR_BO_MSW_E-105"/>
    <x v="0"/>
    <x v="8"/>
    <n v="21"/>
    <n v="7665"/>
    <n v="27594"/>
  </r>
  <r>
    <x v="0"/>
    <x v="0"/>
    <x v="0"/>
    <x v="0"/>
    <x v="1"/>
    <s v="DK2_Medium"/>
    <x v="1"/>
    <s v="GNR_BO_MSW_E-105"/>
    <x v="0"/>
    <x v="9"/>
    <n v="21"/>
    <n v="7665"/>
    <n v="27594"/>
  </r>
  <r>
    <x v="0"/>
    <x v="0"/>
    <x v="0"/>
    <x v="0"/>
    <x v="1"/>
    <s v="DK2_Medium"/>
    <x v="1"/>
    <s v="GNR_BO_MSW_E-105"/>
    <x v="0"/>
    <x v="10"/>
    <n v="21"/>
    <n v="7665"/>
    <n v="27594"/>
  </r>
  <r>
    <x v="0"/>
    <x v="0"/>
    <x v="0"/>
    <x v="0"/>
    <x v="1"/>
    <s v="DK2_Medium"/>
    <x v="1"/>
    <s v="GNR_BO_MSW_E-105"/>
    <x v="0"/>
    <x v="11"/>
    <n v="21"/>
    <n v="7665"/>
    <n v="27594"/>
  </r>
  <r>
    <x v="0"/>
    <x v="0"/>
    <x v="0"/>
    <x v="0"/>
    <x v="1"/>
    <s v="DK2_Medium"/>
    <x v="1"/>
    <s v="GNR_BO_MSW_E-105"/>
    <x v="0"/>
    <x v="12"/>
    <n v="21"/>
    <n v="7665"/>
    <n v="27594"/>
  </r>
  <r>
    <x v="0"/>
    <x v="0"/>
    <x v="0"/>
    <x v="0"/>
    <x v="1"/>
    <s v="DK2_Medium"/>
    <x v="1"/>
    <s v="GNR_BO_MSW_E-105"/>
    <x v="0"/>
    <x v="13"/>
    <n v="21"/>
    <n v="7665"/>
    <n v="27594"/>
  </r>
  <r>
    <x v="0"/>
    <x v="0"/>
    <x v="0"/>
    <x v="0"/>
    <x v="1"/>
    <s v="DK2_Medium"/>
    <x v="1"/>
    <s v="GNR_BO_MSW_E-105"/>
    <x v="0"/>
    <x v="14"/>
    <n v="21"/>
    <n v="7665"/>
    <n v="27594"/>
  </r>
  <r>
    <x v="0"/>
    <x v="0"/>
    <x v="0"/>
    <x v="0"/>
    <x v="1"/>
    <s v="DK2_Medium"/>
    <x v="1"/>
    <s v="GNR_BO_MSW_E-105"/>
    <x v="0"/>
    <x v="15"/>
    <n v="21"/>
    <n v="7665"/>
    <n v="27594"/>
  </r>
  <r>
    <x v="0"/>
    <x v="0"/>
    <x v="0"/>
    <x v="0"/>
    <x v="1"/>
    <s v="DK2_Medium"/>
    <x v="1"/>
    <s v="GNR_BO_MSW_E-105"/>
    <x v="0"/>
    <x v="16"/>
    <n v="21"/>
    <n v="7665"/>
    <n v="27594"/>
  </r>
  <r>
    <x v="0"/>
    <x v="0"/>
    <x v="0"/>
    <x v="0"/>
    <x v="1"/>
    <s v="DK2_Medium"/>
    <x v="1"/>
    <s v="GNR_BO_MSW_E-105"/>
    <x v="0"/>
    <x v="17"/>
    <n v="21"/>
    <n v="7665"/>
    <n v="27594"/>
  </r>
  <r>
    <x v="0"/>
    <x v="0"/>
    <x v="0"/>
    <x v="0"/>
    <x v="1"/>
    <s v="DK2_Medium"/>
    <x v="1"/>
    <s v="GNR_BO_MSW_E-105"/>
    <x v="0"/>
    <x v="18"/>
    <n v="21"/>
    <n v="7665"/>
    <n v="27594"/>
  </r>
  <r>
    <x v="0"/>
    <x v="0"/>
    <x v="0"/>
    <x v="0"/>
    <x v="1"/>
    <s v="DK2_Medium"/>
    <x v="1"/>
    <s v="GNR_BO_MSW_E-105"/>
    <x v="0"/>
    <x v="19"/>
    <n v="21"/>
    <n v="7665"/>
    <n v="27594"/>
  </r>
  <r>
    <x v="0"/>
    <x v="0"/>
    <x v="0"/>
    <x v="0"/>
    <x v="1"/>
    <s v="DK2_Medium"/>
    <x v="1"/>
    <s v="GNR_BO_MSW_E-105"/>
    <x v="0"/>
    <x v="20"/>
    <n v="21"/>
    <n v="7665"/>
    <n v="27594"/>
  </r>
  <r>
    <x v="0"/>
    <x v="0"/>
    <x v="0"/>
    <x v="0"/>
    <x v="1"/>
    <s v="DK2_Medium"/>
    <x v="1"/>
    <s v="GNR_BO_MSW_E-105"/>
    <x v="0"/>
    <x v="21"/>
    <n v="21"/>
    <n v="7665"/>
    <n v="27594"/>
  </r>
  <r>
    <x v="0"/>
    <x v="0"/>
    <x v="0"/>
    <x v="0"/>
    <x v="1"/>
    <s v="DK2_Medium"/>
    <x v="1"/>
    <s v="GNR_BO_MSW_E-105"/>
    <x v="0"/>
    <x v="22"/>
    <n v="21"/>
    <n v="7665"/>
    <n v="27594"/>
  </r>
  <r>
    <x v="0"/>
    <x v="0"/>
    <x v="0"/>
    <x v="0"/>
    <x v="1"/>
    <s v="DK2_Medium"/>
    <x v="1"/>
    <s v="GNR_BO_MSW_E-105"/>
    <x v="0"/>
    <x v="23"/>
    <n v="21"/>
    <n v="7665"/>
    <n v="27594"/>
  </r>
  <r>
    <x v="0"/>
    <x v="0"/>
    <x v="0"/>
    <x v="0"/>
    <x v="1"/>
    <s v="DK2_Medium"/>
    <x v="2"/>
    <s v="GNR_EH_HEAT"/>
    <x v="0"/>
    <x v="0"/>
    <n v="2"/>
    <n v="730"/>
    <n v="2628"/>
  </r>
  <r>
    <x v="0"/>
    <x v="0"/>
    <x v="0"/>
    <x v="0"/>
    <x v="1"/>
    <s v="DK2_Medium"/>
    <x v="2"/>
    <s v="GNR_EH_HEAT"/>
    <x v="0"/>
    <x v="1"/>
    <n v="2"/>
    <n v="730"/>
    <n v="2628"/>
  </r>
  <r>
    <x v="0"/>
    <x v="0"/>
    <x v="0"/>
    <x v="0"/>
    <x v="1"/>
    <s v="DK2_Medium"/>
    <x v="2"/>
    <s v="GNR_EH_HEAT"/>
    <x v="0"/>
    <x v="2"/>
    <n v="2"/>
    <n v="730"/>
    <n v="2628"/>
  </r>
  <r>
    <x v="0"/>
    <x v="0"/>
    <x v="0"/>
    <x v="0"/>
    <x v="1"/>
    <s v="DK2_Medium"/>
    <x v="2"/>
    <s v="GNR_EH_HEAT"/>
    <x v="0"/>
    <x v="3"/>
    <n v="2"/>
    <n v="730"/>
    <n v="2628"/>
  </r>
  <r>
    <x v="0"/>
    <x v="0"/>
    <x v="0"/>
    <x v="0"/>
    <x v="1"/>
    <s v="DK2_Medium"/>
    <x v="2"/>
    <s v="GNR_EH_HEAT"/>
    <x v="0"/>
    <x v="4"/>
    <n v="2"/>
    <n v="730"/>
    <n v="2628"/>
  </r>
  <r>
    <x v="0"/>
    <x v="0"/>
    <x v="0"/>
    <x v="0"/>
    <x v="1"/>
    <s v="DK2_Medium"/>
    <x v="2"/>
    <s v="GNR_EH_HEAT"/>
    <x v="0"/>
    <x v="5"/>
    <n v="2"/>
    <n v="730"/>
    <n v="2628"/>
  </r>
  <r>
    <x v="0"/>
    <x v="0"/>
    <x v="0"/>
    <x v="0"/>
    <x v="1"/>
    <s v="DK2_Medium"/>
    <x v="2"/>
    <s v="GNR_EH_HEAT"/>
    <x v="0"/>
    <x v="6"/>
    <n v="2"/>
    <n v="730"/>
    <n v="2628"/>
  </r>
  <r>
    <x v="0"/>
    <x v="0"/>
    <x v="0"/>
    <x v="0"/>
    <x v="1"/>
    <s v="DK2_Medium"/>
    <x v="2"/>
    <s v="GNR_EH_HEAT"/>
    <x v="0"/>
    <x v="7"/>
    <n v="2"/>
    <n v="730"/>
    <n v="2628"/>
  </r>
  <r>
    <x v="0"/>
    <x v="0"/>
    <x v="0"/>
    <x v="0"/>
    <x v="1"/>
    <s v="DK2_Medium"/>
    <x v="2"/>
    <s v="GNR_EH_HEAT"/>
    <x v="0"/>
    <x v="8"/>
    <n v="2"/>
    <n v="730"/>
    <n v="2628"/>
  </r>
  <r>
    <x v="0"/>
    <x v="0"/>
    <x v="0"/>
    <x v="0"/>
    <x v="1"/>
    <s v="DK2_Medium"/>
    <x v="2"/>
    <s v="GNR_EH_HEAT"/>
    <x v="0"/>
    <x v="9"/>
    <n v="2"/>
    <n v="730"/>
    <n v="2628"/>
  </r>
  <r>
    <x v="0"/>
    <x v="0"/>
    <x v="0"/>
    <x v="0"/>
    <x v="1"/>
    <s v="DK2_Medium"/>
    <x v="2"/>
    <s v="GNR_EH_HEAT"/>
    <x v="0"/>
    <x v="10"/>
    <n v="2"/>
    <n v="730"/>
    <n v="2628"/>
  </r>
  <r>
    <x v="0"/>
    <x v="0"/>
    <x v="0"/>
    <x v="0"/>
    <x v="1"/>
    <s v="DK2_Medium"/>
    <x v="2"/>
    <s v="GNR_EH_HEAT"/>
    <x v="0"/>
    <x v="11"/>
    <n v="2"/>
    <n v="730"/>
    <n v="2628"/>
  </r>
  <r>
    <x v="0"/>
    <x v="0"/>
    <x v="0"/>
    <x v="0"/>
    <x v="1"/>
    <s v="DK2_Medium"/>
    <x v="2"/>
    <s v="GNR_EH_HEAT"/>
    <x v="0"/>
    <x v="12"/>
    <n v="2"/>
    <n v="730"/>
    <n v="2628"/>
  </r>
  <r>
    <x v="0"/>
    <x v="0"/>
    <x v="0"/>
    <x v="0"/>
    <x v="1"/>
    <s v="DK2_Medium"/>
    <x v="2"/>
    <s v="GNR_EH_HEAT"/>
    <x v="0"/>
    <x v="13"/>
    <n v="2"/>
    <n v="730"/>
    <n v="2628"/>
  </r>
  <r>
    <x v="0"/>
    <x v="0"/>
    <x v="0"/>
    <x v="0"/>
    <x v="1"/>
    <s v="DK2_Medium"/>
    <x v="2"/>
    <s v="GNR_EH_HEAT"/>
    <x v="0"/>
    <x v="14"/>
    <n v="2"/>
    <n v="730"/>
    <n v="2628"/>
  </r>
  <r>
    <x v="0"/>
    <x v="0"/>
    <x v="0"/>
    <x v="0"/>
    <x v="1"/>
    <s v="DK2_Medium"/>
    <x v="2"/>
    <s v="GNR_EH_HEAT"/>
    <x v="0"/>
    <x v="15"/>
    <n v="2"/>
    <n v="730"/>
    <n v="2628"/>
  </r>
  <r>
    <x v="0"/>
    <x v="0"/>
    <x v="0"/>
    <x v="0"/>
    <x v="1"/>
    <s v="DK2_Medium"/>
    <x v="2"/>
    <s v="GNR_EH_HEAT"/>
    <x v="0"/>
    <x v="16"/>
    <n v="2"/>
    <n v="730"/>
    <n v="2628"/>
  </r>
  <r>
    <x v="0"/>
    <x v="0"/>
    <x v="0"/>
    <x v="0"/>
    <x v="1"/>
    <s v="DK2_Medium"/>
    <x v="2"/>
    <s v="GNR_EH_HEAT"/>
    <x v="0"/>
    <x v="17"/>
    <n v="2"/>
    <n v="730"/>
    <n v="2628"/>
  </r>
  <r>
    <x v="0"/>
    <x v="0"/>
    <x v="0"/>
    <x v="0"/>
    <x v="1"/>
    <s v="DK2_Medium"/>
    <x v="2"/>
    <s v="GNR_EH_HEAT"/>
    <x v="0"/>
    <x v="18"/>
    <n v="2"/>
    <n v="730"/>
    <n v="2628"/>
  </r>
  <r>
    <x v="0"/>
    <x v="0"/>
    <x v="0"/>
    <x v="0"/>
    <x v="1"/>
    <s v="DK2_Medium"/>
    <x v="2"/>
    <s v="GNR_EH_HEAT"/>
    <x v="0"/>
    <x v="19"/>
    <n v="2"/>
    <n v="730"/>
    <n v="2628"/>
  </r>
  <r>
    <x v="0"/>
    <x v="0"/>
    <x v="0"/>
    <x v="0"/>
    <x v="1"/>
    <s v="DK2_Medium"/>
    <x v="2"/>
    <s v="GNR_EH_HEAT"/>
    <x v="0"/>
    <x v="20"/>
    <n v="2"/>
    <n v="730"/>
    <n v="2628"/>
  </r>
  <r>
    <x v="0"/>
    <x v="0"/>
    <x v="0"/>
    <x v="0"/>
    <x v="1"/>
    <s v="DK2_Medium"/>
    <x v="2"/>
    <s v="GNR_EH_HEAT"/>
    <x v="0"/>
    <x v="21"/>
    <n v="2"/>
    <n v="730"/>
    <n v="2628"/>
  </r>
  <r>
    <x v="0"/>
    <x v="0"/>
    <x v="0"/>
    <x v="0"/>
    <x v="1"/>
    <s v="DK2_Medium"/>
    <x v="2"/>
    <s v="GNR_EH_HEAT"/>
    <x v="0"/>
    <x v="22"/>
    <n v="2"/>
    <n v="730"/>
    <n v="2628"/>
  </r>
  <r>
    <x v="0"/>
    <x v="0"/>
    <x v="0"/>
    <x v="0"/>
    <x v="1"/>
    <s v="DK2_Medium"/>
    <x v="2"/>
    <s v="GNR_EH_HEAT"/>
    <x v="0"/>
    <x v="23"/>
    <n v="2"/>
    <n v="730"/>
    <n v="2628"/>
  </r>
  <r>
    <x v="0"/>
    <x v="0"/>
    <x v="0"/>
    <x v="0"/>
    <x v="1"/>
    <s v="DK2_Medium"/>
    <x v="7"/>
    <s v="GNR_BO_WOODWST_E-82"/>
    <x v="0"/>
    <x v="0"/>
    <n v="0.7"/>
    <n v="255.5"/>
    <n v="919.8"/>
  </r>
  <r>
    <x v="0"/>
    <x v="0"/>
    <x v="0"/>
    <x v="0"/>
    <x v="1"/>
    <s v="DK2_Medium"/>
    <x v="7"/>
    <s v="GNR_BO_WOODWST_E-82"/>
    <x v="0"/>
    <x v="1"/>
    <n v="0.7"/>
    <n v="255.5"/>
    <n v="919.8"/>
  </r>
  <r>
    <x v="0"/>
    <x v="0"/>
    <x v="0"/>
    <x v="0"/>
    <x v="1"/>
    <s v="DK2_Medium"/>
    <x v="7"/>
    <s v="GNR_BO_WOODWST_E-82"/>
    <x v="0"/>
    <x v="2"/>
    <n v="0.7"/>
    <n v="255.5"/>
    <n v="919.8"/>
  </r>
  <r>
    <x v="0"/>
    <x v="0"/>
    <x v="0"/>
    <x v="0"/>
    <x v="1"/>
    <s v="DK2_Medium"/>
    <x v="7"/>
    <s v="GNR_BO_WOODWST_E-82"/>
    <x v="0"/>
    <x v="3"/>
    <n v="0.7"/>
    <n v="255.5"/>
    <n v="919.8"/>
  </r>
  <r>
    <x v="0"/>
    <x v="0"/>
    <x v="0"/>
    <x v="0"/>
    <x v="1"/>
    <s v="DK2_Medium"/>
    <x v="7"/>
    <s v="GNR_BO_WOODWST_E-82"/>
    <x v="0"/>
    <x v="4"/>
    <n v="0.7"/>
    <n v="255.5"/>
    <n v="919.8"/>
  </r>
  <r>
    <x v="0"/>
    <x v="0"/>
    <x v="0"/>
    <x v="0"/>
    <x v="1"/>
    <s v="DK2_Medium"/>
    <x v="7"/>
    <s v="GNR_BO_WOODWST_E-82"/>
    <x v="0"/>
    <x v="5"/>
    <n v="0.7"/>
    <n v="255.5"/>
    <n v="919.8"/>
  </r>
  <r>
    <x v="0"/>
    <x v="0"/>
    <x v="0"/>
    <x v="0"/>
    <x v="1"/>
    <s v="DK2_Medium"/>
    <x v="7"/>
    <s v="GNR_BO_WOODWST_E-82"/>
    <x v="0"/>
    <x v="6"/>
    <n v="0.7"/>
    <n v="255.5"/>
    <n v="919.8"/>
  </r>
  <r>
    <x v="0"/>
    <x v="0"/>
    <x v="0"/>
    <x v="0"/>
    <x v="1"/>
    <s v="DK2_Medium"/>
    <x v="7"/>
    <s v="GNR_BO_WOODWST_E-82"/>
    <x v="0"/>
    <x v="7"/>
    <n v="0.7"/>
    <n v="255.5"/>
    <n v="919.8"/>
  </r>
  <r>
    <x v="0"/>
    <x v="0"/>
    <x v="0"/>
    <x v="0"/>
    <x v="1"/>
    <s v="DK2_Medium"/>
    <x v="7"/>
    <s v="GNR_BO_WOODWST_E-82"/>
    <x v="0"/>
    <x v="8"/>
    <n v="0.7"/>
    <n v="255.5"/>
    <n v="919.8"/>
  </r>
  <r>
    <x v="0"/>
    <x v="0"/>
    <x v="0"/>
    <x v="0"/>
    <x v="1"/>
    <s v="DK2_Medium"/>
    <x v="7"/>
    <s v="GNR_BO_WOODWST_E-82"/>
    <x v="0"/>
    <x v="9"/>
    <n v="0.7"/>
    <n v="255.5"/>
    <n v="919.8"/>
  </r>
  <r>
    <x v="0"/>
    <x v="0"/>
    <x v="0"/>
    <x v="0"/>
    <x v="1"/>
    <s v="DK2_Medium"/>
    <x v="7"/>
    <s v="GNR_BO_WOODWST_E-82"/>
    <x v="0"/>
    <x v="10"/>
    <n v="0.7"/>
    <n v="255.5"/>
    <n v="919.8"/>
  </r>
  <r>
    <x v="0"/>
    <x v="0"/>
    <x v="0"/>
    <x v="0"/>
    <x v="1"/>
    <s v="DK2_Medium"/>
    <x v="7"/>
    <s v="GNR_BO_WOODWST_E-82"/>
    <x v="0"/>
    <x v="11"/>
    <n v="0.7"/>
    <n v="255.5"/>
    <n v="919.8"/>
  </r>
  <r>
    <x v="0"/>
    <x v="0"/>
    <x v="0"/>
    <x v="0"/>
    <x v="1"/>
    <s v="DK2_Medium"/>
    <x v="7"/>
    <s v="GNR_BO_WOODWST_E-82"/>
    <x v="0"/>
    <x v="12"/>
    <n v="0.7"/>
    <n v="255.5"/>
    <n v="919.8"/>
  </r>
  <r>
    <x v="0"/>
    <x v="0"/>
    <x v="0"/>
    <x v="0"/>
    <x v="1"/>
    <s v="DK2_Medium"/>
    <x v="7"/>
    <s v="GNR_BO_WOODWST_E-82"/>
    <x v="0"/>
    <x v="13"/>
    <n v="0.7"/>
    <n v="255.5"/>
    <n v="919.8"/>
  </r>
  <r>
    <x v="0"/>
    <x v="0"/>
    <x v="0"/>
    <x v="0"/>
    <x v="1"/>
    <s v="DK2_Medium"/>
    <x v="7"/>
    <s v="GNR_BO_WOODWST_E-82"/>
    <x v="0"/>
    <x v="14"/>
    <n v="0.7"/>
    <n v="255.5"/>
    <n v="919.8"/>
  </r>
  <r>
    <x v="0"/>
    <x v="0"/>
    <x v="0"/>
    <x v="0"/>
    <x v="1"/>
    <s v="DK2_Medium"/>
    <x v="7"/>
    <s v="GNR_BO_WOODWST_E-82"/>
    <x v="0"/>
    <x v="15"/>
    <n v="0.7"/>
    <n v="255.5"/>
    <n v="919.8"/>
  </r>
  <r>
    <x v="0"/>
    <x v="0"/>
    <x v="0"/>
    <x v="0"/>
    <x v="1"/>
    <s v="DK2_Medium"/>
    <x v="7"/>
    <s v="GNR_BO_WOODWST_E-82"/>
    <x v="0"/>
    <x v="16"/>
    <n v="0.7"/>
    <n v="255.5"/>
    <n v="919.8"/>
  </r>
  <r>
    <x v="0"/>
    <x v="0"/>
    <x v="0"/>
    <x v="0"/>
    <x v="1"/>
    <s v="DK2_Medium"/>
    <x v="7"/>
    <s v="GNR_BO_WOODWST_E-82"/>
    <x v="0"/>
    <x v="17"/>
    <n v="0.7"/>
    <n v="255.5"/>
    <n v="919.8"/>
  </r>
  <r>
    <x v="0"/>
    <x v="0"/>
    <x v="0"/>
    <x v="0"/>
    <x v="1"/>
    <s v="DK2_Medium"/>
    <x v="7"/>
    <s v="GNR_BO_WOODWST_E-82"/>
    <x v="0"/>
    <x v="18"/>
    <n v="0.7"/>
    <n v="255.5"/>
    <n v="919.8"/>
  </r>
  <r>
    <x v="0"/>
    <x v="0"/>
    <x v="0"/>
    <x v="0"/>
    <x v="1"/>
    <s v="DK2_Medium"/>
    <x v="7"/>
    <s v="GNR_BO_WOODWST_E-82"/>
    <x v="0"/>
    <x v="19"/>
    <n v="0.7"/>
    <n v="255.5"/>
    <n v="919.8"/>
  </r>
  <r>
    <x v="0"/>
    <x v="0"/>
    <x v="0"/>
    <x v="0"/>
    <x v="1"/>
    <s v="DK2_Medium"/>
    <x v="7"/>
    <s v="GNR_BO_WOODWST_E-82"/>
    <x v="0"/>
    <x v="20"/>
    <n v="0.7"/>
    <n v="255.5"/>
    <n v="919.8"/>
  </r>
  <r>
    <x v="0"/>
    <x v="0"/>
    <x v="0"/>
    <x v="0"/>
    <x v="1"/>
    <s v="DK2_Medium"/>
    <x v="7"/>
    <s v="GNR_BO_WOODWST_E-82"/>
    <x v="0"/>
    <x v="21"/>
    <n v="0.7"/>
    <n v="255.5"/>
    <n v="919.8"/>
  </r>
  <r>
    <x v="0"/>
    <x v="0"/>
    <x v="0"/>
    <x v="0"/>
    <x v="1"/>
    <s v="DK2_Medium"/>
    <x v="7"/>
    <s v="GNR_BO_WOODWST_E-82"/>
    <x v="0"/>
    <x v="22"/>
    <n v="0.7"/>
    <n v="255.5"/>
    <n v="919.8"/>
  </r>
  <r>
    <x v="0"/>
    <x v="0"/>
    <x v="0"/>
    <x v="0"/>
    <x v="1"/>
    <s v="DK2_Medium"/>
    <x v="7"/>
    <s v="GNR_BO_WOODWST_E-82"/>
    <x v="0"/>
    <x v="23"/>
    <n v="0.7"/>
    <n v="255.5"/>
    <n v="919.8"/>
  </r>
  <r>
    <x v="0"/>
    <x v="0"/>
    <x v="0"/>
    <x v="0"/>
    <x v="1"/>
    <s v="DK2_Rural"/>
    <x v="0"/>
    <s v="GNR_ST_COAL_BP_E-35"/>
    <x v="0"/>
    <x v="0"/>
    <n v="49.3333333333333"/>
    <n v="18006.666666666701"/>
    <n v="64824"/>
  </r>
  <r>
    <x v="0"/>
    <x v="0"/>
    <x v="0"/>
    <x v="0"/>
    <x v="1"/>
    <s v="DK2_Rural"/>
    <x v="0"/>
    <s v="GNR_ST_COAL_BP_E-35"/>
    <x v="0"/>
    <x v="1"/>
    <n v="49.3333333333333"/>
    <n v="18006.666666666701"/>
    <n v="64824"/>
  </r>
  <r>
    <x v="0"/>
    <x v="0"/>
    <x v="0"/>
    <x v="0"/>
    <x v="1"/>
    <s v="DK2_Rural"/>
    <x v="0"/>
    <s v="GNR_ST_COAL_BP_E-35"/>
    <x v="0"/>
    <x v="2"/>
    <n v="49.3333333333333"/>
    <n v="18006.666666666701"/>
    <n v="64824"/>
  </r>
  <r>
    <x v="0"/>
    <x v="0"/>
    <x v="0"/>
    <x v="0"/>
    <x v="1"/>
    <s v="DK2_Rural"/>
    <x v="0"/>
    <s v="GNR_ST_COAL_BP_E-35"/>
    <x v="0"/>
    <x v="3"/>
    <n v="49.3333333333333"/>
    <n v="18006.666666666701"/>
    <n v="64824"/>
  </r>
  <r>
    <x v="0"/>
    <x v="0"/>
    <x v="0"/>
    <x v="0"/>
    <x v="1"/>
    <s v="DK2_Rural"/>
    <x v="0"/>
    <s v="GNR_ST_COAL_BP_E-35"/>
    <x v="0"/>
    <x v="4"/>
    <n v="49.3333333333333"/>
    <n v="18006.666666666701"/>
    <n v="64824"/>
  </r>
  <r>
    <x v="0"/>
    <x v="0"/>
    <x v="0"/>
    <x v="0"/>
    <x v="1"/>
    <s v="DK2_Rural"/>
    <x v="0"/>
    <s v="GNR_ST_COAL_BP_E-35"/>
    <x v="0"/>
    <x v="5"/>
    <n v="49.3333333333333"/>
    <n v="18006.666666666701"/>
    <n v="64824"/>
  </r>
  <r>
    <x v="0"/>
    <x v="0"/>
    <x v="0"/>
    <x v="0"/>
    <x v="1"/>
    <s v="DK2_Rural"/>
    <x v="0"/>
    <s v="GNR_ST_COAL_BP_E-35"/>
    <x v="0"/>
    <x v="6"/>
    <n v="49.3333333333333"/>
    <n v="18006.666666666701"/>
    <n v="64824"/>
  </r>
  <r>
    <x v="0"/>
    <x v="0"/>
    <x v="0"/>
    <x v="0"/>
    <x v="1"/>
    <s v="DK2_Rural"/>
    <x v="0"/>
    <s v="GNR_ST_COAL_BP_E-35"/>
    <x v="0"/>
    <x v="7"/>
    <n v="49.3333333333333"/>
    <n v="18006.666666666701"/>
    <n v="64824"/>
  </r>
  <r>
    <x v="0"/>
    <x v="0"/>
    <x v="0"/>
    <x v="0"/>
    <x v="1"/>
    <s v="DK2_Rural"/>
    <x v="0"/>
    <s v="GNR_ST_COAL_BP_E-35"/>
    <x v="0"/>
    <x v="8"/>
    <n v="49.3333333333333"/>
    <n v="18006.666666666701"/>
    <n v="64824"/>
  </r>
  <r>
    <x v="0"/>
    <x v="0"/>
    <x v="0"/>
    <x v="0"/>
    <x v="1"/>
    <s v="DK2_Rural"/>
    <x v="0"/>
    <s v="GNR_ST_COAL_BP_E-35"/>
    <x v="0"/>
    <x v="9"/>
    <n v="49.3333333333333"/>
    <n v="18006.666666666701"/>
    <n v="64824"/>
  </r>
  <r>
    <x v="0"/>
    <x v="0"/>
    <x v="0"/>
    <x v="0"/>
    <x v="1"/>
    <s v="DK2_Rural"/>
    <x v="0"/>
    <s v="GNR_ST_COAL_BP_E-35"/>
    <x v="0"/>
    <x v="10"/>
    <n v="49.3333333333333"/>
    <n v="18006.666666666701"/>
    <n v="64824"/>
  </r>
  <r>
    <x v="0"/>
    <x v="0"/>
    <x v="0"/>
    <x v="0"/>
    <x v="1"/>
    <s v="DK2_Rural"/>
    <x v="0"/>
    <s v="GNR_ST_COAL_BP_E-35"/>
    <x v="0"/>
    <x v="11"/>
    <n v="49.3333333333333"/>
    <n v="18006.666666666701"/>
    <n v="64824"/>
  </r>
  <r>
    <x v="0"/>
    <x v="0"/>
    <x v="0"/>
    <x v="0"/>
    <x v="1"/>
    <s v="DK2_Rural"/>
    <x v="0"/>
    <s v="GNR_ST_COAL_BP_E-35"/>
    <x v="0"/>
    <x v="12"/>
    <n v="49.3333333333333"/>
    <n v="18006.666666666701"/>
    <n v="64824"/>
  </r>
  <r>
    <x v="0"/>
    <x v="0"/>
    <x v="0"/>
    <x v="0"/>
    <x v="1"/>
    <s v="DK2_Rural"/>
    <x v="0"/>
    <s v="GNR_ST_COAL_BP_E-35"/>
    <x v="0"/>
    <x v="13"/>
    <n v="49.3333333333333"/>
    <n v="18006.666666666701"/>
    <n v="64824"/>
  </r>
  <r>
    <x v="0"/>
    <x v="0"/>
    <x v="0"/>
    <x v="0"/>
    <x v="1"/>
    <s v="DK2_Rural"/>
    <x v="0"/>
    <s v="GNR_ST_COAL_BP_E-35"/>
    <x v="0"/>
    <x v="14"/>
    <n v="49.3333333333333"/>
    <n v="18006.666666666701"/>
    <n v="64824"/>
  </r>
  <r>
    <x v="0"/>
    <x v="0"/>
    <x v="0"/>
    <x v="0"/>
    <x v="1"/>
    <s v="DK2_Rural"/>
    <x v="0"/>
    <s v="GNR_ST_COAL_BP_E-35"/>
    <x v="0"/>
    <x v="15"/>
    <n v="49.3333333333333"/>
    <n v="18006.666666666701"/>
    <n v="64824"/>
  </r>
  <r>
    <x v="0"/>
    <x v="0"/>
    <x v="0"/>
    <x v="0"/>
    <x v="1"/>
    <s v="DK2_Rural"/>
    <x v="0"/>
    <s v="GNR_ST_COAL_BP_E-35"/>
    <x v="0"/>
    <x v="16"/>
    <n v="49.3333333333333"/>
    <n v="18006.666666666701"/>
    <n v="64824"/>
  </r>
  <r>
    <x v="0"/>
    <x v="0"/>
    <x v="0"/>
    <x v="0"/>
    <x v="1"/>
    <s v="DK2_Rural"/>
    <x v="0"/>
    <s v="GNR_ST_COAL_BP_E-35"/>
    <x v="0"/>
    <x v="17"/>
    <n v="49.3333333333333"/>
    <n v="18006.666666666701"/>
    <n v="64824"/>
  </r>
  <r>
    <x v="0"/>
    <x v="0"/>
    <x v="0"/>
    <x v="0"/>
    <x v="1"/>
    <s v="DK2_Rural"/>
    <x v="0"/>
    <s v="GNR_ST_COAL_BP_E-35"/>
    <x v="0"/>
    <x v="18"/>
    <n v="49.3333333333333"/>
    <n v="18006.666666666701"/>
    <n v="64824"/>
  </r>
  <r>
    <x v="0"/>
    <x v="0"/>
    <x v="0"/>
    <x v="0"/>
    <x v="1"/>
    <s v="DK2_Rural"/>
    <x v="0"/>
    <s v="GNR_ST_COAL_BP_E-35"/>
    <x v="0"/>
    <x v="19"/>
    <n v="49.3333333333333"/>
    <n v="18006.666666666701"/>
    <n v="64824"/>
  </r>
  <r>
    <x v="0"/>
    <x v="0"/>
    <x v="0"/>
    <x v="0"/>
    <x v="1"/>
    <s v="DK2_Rural"/>
    <x v="0"/>
    <s v="GNR_ST_COAL_BP_E-35"/>
    <x v="0"/>
    <x v="20"/>
    <n v="49.3333333333333"/>
    <n v="18006.666666666701"/>
    <n v="64824"/>
  </r>
  <r>
    <x v="0"/>
    <x v="0"/>
    <x v="0"/>
    <x v="0"/>
    <x v="1"/>
    <s v="DK2_Rural"/>
    <x v="0"/>
    <s v="GNR_ST_COAL_BP_E-35"/>
    <x v="0"/>
    <x v="21"/>
    <n v="49.3333333333333"/>
    <n v="18006.666666666701"/>
    <n v="64824"/>
  </r>
  <r>
    <x v="0"/>
    <x v="0"/>
    <x v="0"/>
    <x v="0"/>
    <x v="1"/>
    <s v="DK2_Rural"/>
    <x v="0"/>
    <s v="GNR_ST_COAL_BP_E-35"/>
    <x v="0"/>
    <x v="22"/>
    <n v="49.3333333333333"/>
    <n v="18006.666666666701"/>
    <n v="64824"/>
  </r>
  <r>
    <x v="0"/>
    <x v="0"/>
    <x v="0"/>
    <x v="0"/>
    <x v="1"/>
    <s v="DK2_Rural"/>
    <x v="0"/>
    <s v="GNR_ST_COAL_BP_E-35"/>
    <x v="0"/>
    <x v="23"/>
    <n v="49.3333333333333"/>
    <n v="18006.666666666701"/>
    <n v="64824"/>
  </r>
  <r>
    <x v="0"/>
    <x v="0"/>
    <x v="0"/>
    <x v="0"/>
    <x v="1"/>
    <s v="DK2_Rural"/>
    <x v="3"/>
    <s v="GNR_HP_ELEC_COP-400"/>
    <x v="0"/>
    <x v="0"/>
    <n v="0.8"/>
    <n v="292"/>
    <n v="1051.2"/>
  </r>
  <r>
    <x v="0"/>
    <x v="0"/>
    <x v="0"/>
    <x v="0"/>
    <x v="1"/>
    <s v="DK2_Rural"/>
    <x v="3"/>
    <s v="GNR_HP_ELEC_COP-400"/>
    <x v="0"/>
    <x v="1"/>
    <n v="0.8"/>
    <n v="292"/>
    <n v="1051.2"/>
  </r>
  <r>
    <x v="0"/>
    <x v="0"/>
    <x v="0"/>
    <x v="0"/>
    <x v="1"/>
    <s v="DK2_Rural"/>
    <x v="3"/>
    <s v="GNR_HP_ELEC_COP-400"/>
    <x v="0"/>
    <x v="2"/>
    <n v="0.8"/>
    <n v="292"/>
    <n v="1051.2"/>
  </r>
  <r>
    <x v="0"/>
    <x v="0"/>
    <x v="0"/>
    <x v="0"/>
    <x v="1"/>
    <s v="DK2_Rural"/>
    <x v="3"/>
    <s v="GNR_HP_ELEC_COP-400"/>
    <x v="0"/>
    <x v="3"/>
    <n v="0.8"/>
    <n v="292"/>
    <n v="1051.2"/>
  </r>
  <r>
    <x v="0"/>
    <x v="0"/>
    <x v="0"/>
    <x v="0"/>
    <x v="1"/>
    <s v="DK2_Rural"/>
    <x v="3"/>
    <s v="GNR_HP_ELEC_COP-400"/>
    <x v="0"/>
    <x v="4"/>
    <n v="0.8"/>
    <n v="292"/>
    <n v="1051.2"/>
  </r>
  <r>
    <x v="0"/>
    <x v="0"/>
    <x v="0"/>
    <x v="0"/>
    <x v="1"/>
    <s v="DK2_Rural"/>
    <x v="3"/>
    <s v="GNR_HP_ELEC_COP-400"/>
    <x v="0"/>
    <x v="5"/>
    <n v="0.8"/>
    <n v="292"/>
    <n v="1051.2"/>
  </r>
  <r>
    <x v="0"/>
    <x v="0"/>
    <x v="0"/>
    <x v="0"/>
    <x v="1"/>
    <s v="DK2_Rural"/>
    <x v="3"/>
    <s v="GNR_HP_ELEC_COP-400"/>
    <x v="0"/>
    <x v="6"/>
    <n v="0.8"/>
    <n v="292"/>
    <n v="1051.2"/>
  </r>
  <r>
    <x v="0"/>
    <x v="0"/>
    <x v="0"/>
    <x v="0"/>
    <x v="1"/>
    <s v="DK2_Rural"/>
    <x v="3"/>
    <s v="GNR_HP_ELEC_COP-400"/>
    <x v="0"/>
    <x v="7"/>
    <n v="0.8"/>
    <n v="292"/>
    <n v="1051.2"/>
  </r>
  <r>
    <x v="0"/>
    <x v="0"/>
    <x v="0"/>
    <x v="0"/>
    <x v="1"/>
    <s v="DK2_Rural"/>
    <x v="3"/>
    <s v="GNR_HP_ELEC_COP-400"/>
    <x v="0"/>
    <x v="8"/>
    <n v="0.8"/>
    <n v="292"/>
    <n v="1051.2"/>
  </r>
  <r>
    <x v="0"/>
    <x v="0"/>
    <x v="0"/>
    <x v="0"/>
    <x v="1"/>
    <s v="DK2_Rural"/>
    <x v="3"/>
    <s v="GNR_HP_ELEC_COP-400"/>
    <x v="0"/>
    <x v="9"/>
    <n v="0.8"/>
    <n v="292"/>
    <n v="1051.2"/>
  </r>
  <r>
    <x v="0"/>
    <x v="0"/>
    <x v="0"/>
    <x v="0"/>
    <x v="1"/>
    <s v="DK2_Rural"/>
    <x v="3"/>
    <s v="GNR_HP_ELEC_COP-400"/>
    <x v="0"/>
    <x v="10"/>
    <n v="0.8"/>
    <n v="292"/>
    <n v="1051.2"/>
  </r>
  <r>
    <x v="0"/>
    <x v="0"/>
    <x v="0"/>
    <x v="0"/>
    <x v="1"/>
    <s v="DK2_Rural"/>
    <x v="3"/>
    <s v="GNR_HP_ELEC_COP-400"/>
    <x v="0"/>
    <x v="11"/>
    <n v="0.8"/>
    <n v="292"/>
    <n v="1051.2"/>
  </r>
  <r>
    <x v="0"/>
    <x v="0"/>
    <x v="0"/>
    <x v="0"/>
    <x v="1"/>
    <s v="DK2_Rural"/>
    <x v="3"/>
    <s v="GNR_HP_ELEC_COP-400"/>
    <x v="0"/>
    <x v="12"/>
    <n v="0.8"/>
    <n v="292"/>
    <n v="1051.2"/>
  </r>
  <r>
    <x v="0"/>
    <x v="0"/>
    <x v="0"/>
    <x v="0"/>
    <x v="1"/>
    <s v="DK2_Rural"/>
    <x v="3"/>
    <s v="GNR_HP_ELEC_COP-400"/>
    <x v="0"/>
    <x v="13"/>
    <n v="0.8"/>
    <n v="292"/>
    <n v="1051.2"/>
  </r>
  <r>
    <x v="0"/>
    <x v="0"/>
    <x v="0"/>
    <x v="0"/>
    <x v="1"/>
    <s v="DK2_Rural"/>
    <x v="3"/>
    <s v="GNR_HP_ELEC_COP-400"/>
    <x v="0"/>
    <x v="14"/>
    <n v="0.8"/>
    <n v="292"/>
    <n v="1051.2"/>
  </r>
  <r>
    <x v="0"/>
    <x v="0"/>
    <x v="0"/>
    <x v="0"/>
    <x v="1"/>
    <s v="DK2_Rural"/>
    <x v="3"/>
    <s v="GNR_HP_ELEC_COP-400"/>
    <x v="0"/>
    <x v="15"/>
    <n v="0.8"/>
    <n v="292"/>
    <n v="1051.2"/>
  </r>
  <r>
    <x v="0"/>
    <x v="0"/>
    <x v="0"/>
    <x v="0"/>
    <x v="1"/>
    <s v="DK2_Rural"/>
    <x v="3"/>
    <s v="GNR_HP_ELEC_COP-400"/>
    <x v="0"/>
    <x v="16"/>
    <n v="0.8"/>
    <n v="292"/>
    <n v="1051.2"/>
  </r>
  <r>
    <x v="0"/>
    <x v="0"/>
    <x v="0"/>
    <x v="0"/>
    <x v="1"/>
    <s v="DK2_Rural"/>
    <x v="3"/>
    <s v="GNR_HP_ELEC_COP-400"/>
    <x v="0"/>
    <x v="17"/>
    <n v="0.8"/>
    <n v="292"/>
    <n v="1051.2"/>
  </r>
  <r>
    <x v="0"/>
    <x v="0"/>
    <x v="0"/>
    <x v="0"/>
    <x v="1"/>
    <s v="DK2_Rural"/>
    <x v="3"/>
    <s v="GNR_HP_ELEC_COP-400"/>
    <x v="0"/>
    <x v="18"/>
    <n v="0.8"/>
    <n v="292"/>
    <n v="1051.2"/>
  </r>
  <r>
    <x v="0"/>
    <x v="0"/>
    <x v="0"/>
    <x v="0"/>
    <x v="1"/>
    <s v="DK2_Rural"/>
    <x v="3"/>
    <s v="GNR_HP_ELEC_COP-400"/>
    <x v="0"/>
    <x v="19"/>
    <n v="0.8"/>
    <n v="292"/>
    <n v="1051.2"/>
  </r>
  <r>
    <x v="0"/>
    <x v="0"/>
    <x v="0"/>
    <x v="0"/>
    <x v="1"/>
    <s v="DK2_Rural"/>
    <x v="3"/>
    <s v="GNR_HP_ELEC_COP-400"/>
    <x v="0"/>
    <x v="20"/>
    <n v="0.8"/>
    <n v="292"/>
    <n v="1051.2"/>
  </r>
  <r>
    <x v="0"/>
    <x v="0"/>
    <x v="0"/>
    <x v="0"/>
    <x v="1"/>
    <s v="DK2_Rural"/>
    <x v="3"/>
    <s v="GNR_HP_ELEC_COP-400"/>
    <x v="0"/>
    <x v="21"/>
    <n v="0.8"/>
    <n v="292"/>
    <n v="1051.2"/>
  </r>
  <r>
    <x v="0"/>
    <x v="0"/>
    <x v="0"/>
    <x v="0"/>
    <x v="1"/>
    <s v="DK2_Rural"/>
    <x v="3"/>
    <s v="GNR_HP_ELEC_COP-400"/>
    <x v="0"/>
    <x v="22"/>
    <n v="0.8"/>
    <n v="292"/>
    <n v="1051.2"/>
  </r>
  <r>
    <x v="0"/>
    <x v="0"/>
    <x v="0"/>
    <x v="0"/>
    <x v="1"/>
    <s v="DK2_Rural"/>
    <x v="3"/>
    <s v="GNR_HP_ELEC_COP-400"/>
    <x v="0"/>
    <x v="23"/>
    <n v="0.8"/>
    <n v="292"/>
    <n v="1051.2"/>
  </r>
  <r>
    <x v="0"/>
    <x v="0"/>
    <x v="0"/>
    <x v="0"/>
    <x v="1"/>
    <s v="DK2_Rural"/>
    <x v="1"/>
    <s v="GNR_BO_MSW_E-105"/>
    <x v="0"/>
    <x v="0"/>
    <n v="7"/>
    <n v="2555"/>
    <n v="9198"/>
  </r>
  <r>
    <x v="0"/>
    <x v="0"/>
    <x v="0"/>
    <x v="0"/>
    <x v="1"/>
    <s v="DK2_Rural"/>
    <x v="1"/>
    <s v="GNR_BO_MSW_E-105"/>
    <x v="0"/>
    <x v="1"/>
    <n v="7"/>
    <n v="2555"/>
    <n v="9198"/>
  </r>
  <r>
    <x v="0"/>
    <x v="0"/>
    <x v="0"/>
    <x v="0"/>
    <x v="1"/>
    <s v="DK2_Rural"/>
    <x v="1"/>
    <s v="GNR_BO_MSW_E-105"/>
    <x v="0"/>
    <x v="2"/>
    <n v="7"/>
    <n v="2555"/>
    <n v="9198"/>
  </r>
  <r>
    <x v="0"/>
    <x v="0"/>
    <x v="0"/>
    <x v="0"/>
    <x v="1"/>
    <s v="DK2_Rural"/>
    <x v="1"/>
    <s v="GNR_BO_MSW_E-105"/>
    <x v="0"/>
    <x v="3"/>
    <n v="7"/>
    <n v="2555"/>
    <n v="9198"/>
  </r>
  <r>
    <x v="0"/>
    <x v="0"/>
    <x v="0"/>
    <x v="0"/>
    <x v="1"/>
    <s v="DK2_Rural"/>
    <x v="1"/>
    <s v="GNR_BO_MSW_E-105"/>
    <x v="0"/>
    <x v="4"/>
    <n v="7"/>
    <n v="2555"/>
    <n v="9198"/>
  </r>
  <r>
    <x v="0"/>
    <x v="0"/>
    <x v="0"/>
    <x v="0"/>
    <x v="1"/>
    <s v="DK2_Rural"/>
    <x v="1"/>
    <s v="GNR_BO_MSW_E-105"/>
    <x v="0"/>
    <x v="5"/>
    <n v="7"/>
    <n v="2555"/>
    <n v="9198"/>
  </r>
  <r>
    <x v="0"/>
    <x v="0"/>
    <x v="0"/>
    <x v="0"/>
    <x v="1"/>
    <s v="DK2_Rural"/>
    <x v="1"/>
    <s v="GNR_BO_MSW_E-105"/>
    <x v="0"/>
    <x v="6"/>
    <n v="7"/>
    <n v="2555"/>
    <n v="9198"/>
  </r>
  <r>
    <x v="0"/>
    <x v="0"/>
    <x v="0"/>
    <x v="0"/>
    <x v="1"/>
    <s v="DK2_Rural"/>
    <x v="1"/>
    <s v="GNR_BO_MSW_E-105"/>
    <x v="0"/>
    <x v="7"/>
    <n v="7"/>
    <n v="2555"/>
    <n v="9198"/>
  </r>
  <r>
    <x v="0"/>
    <x v="0"/>
    <x v="0"/>
    <x v="0"/>
    <x v="1"/>
    <s v="DK2_Rural"/>
    <x v="1"/>
    <s v="GNR_BO_MSW_E-105"/>
    <x v="0"/>
    <x v="8"/>
    <n v="7"/>
    <n v="2555"/>
    <n v="9198"/>
  </r>
  <r>
    <x v="0"/>
    <x v="0"/>
    <x v="0"/>
    <x v="0"/>
    <x v="1"/>
    <s v="DK2_Rural"/>
    <x v="1"/>
    <s v="GNR_BO_MSW_E-105"/>
    <x v="0"/>
    <x v="9"/>
    <n v="7"/>
    <n v="2555"/>
    <n v="9198"/>
  </r>
  <r>
    <x v="0"/>
    <x v="0"/>
    <x v="0"/>
    <x v="0"/>
    <x v="1"/>
    <s v="DK2_Rural"/>
    <x v="1"/>
    <s v="GNR_BO_MSW_E-105"/>
    <x v="0"/>
    <x v="10"/>
    <n v="7"/>
    <n v="2555"/>
    <n v="9198"/>
  </r>
  <r>
    <x v="0"/>
    <x v="0"/>
    <x v="0"/>
    <x v="0"/>
    <x v="1"/>
    <s v="DK2_Rural"/>
    <x v="1"/>
    <s v="GNR_BO_MSW_E-105"/>
    <x v="0"/>
    <x v="11"/>
    <n v="7"/>
    <n v="2555"/>
    <n v="9198"/>
  </r>
  <r>
    <x v="0"/>
    <x v="0"/>
    <x v="0"/>
    <x v="0"/>
    <x v="1"/>
    <s v="DK2_Rural"/>
    <x v="1"/>
    <s v="GNR_BO_MSW_E-105"/>
    <x v="0"/>
    <x v="12"/>
    <n v="7"/>
    <n v="2555"/>
    <n v="9198"/>
  </r>
  <r>
    <x v="0"/>
    <x v="0"/>
    <x v="0"/>
    <x v="0"/>
    <x v="1"/>
    <s v="DK2_Rural"/>
    <x v="1"/>
    <s v="GNR_BO_MSW_E-105"/>
    <x v="0"/>
    <x v="13"/>
    <n v="7"/>
    <n v="2555"/>
    <n v="9198"/>
  </r>
  <r>
    <x v="0"/>
    <x v="0"/>
    <x v="0"/>
    <x v="0"/>
    <x v="1"/>
    <s v="DK2_Rural"/>
    <x v="1"/>
    <s v="GNR_BO_MSW_E-105"/>
    <x v="0"/>
    <x v="14"/>
    <n v="7"/>
    <n v="2555"/>
    <n v="9198"/>
  </r>
  <r>
    <x v="0"/>
    <x v="0"/>
    <x v="0"/>
    <x v="0"/>
    <x v="1"/>
    <s v="DK2_Rural"/>
    <x v="1"/>
    <s v="GNR_BO_MSW_E-105"/>
    <x v="0"/>
    <x v="15"/>
    <n v="7"/>
    <n v="2555"/>
    <n v="9198"/>
  </r>
  <r>
    <x v="0"/>
    <x v="0"/>
    <x v="0"/>
    <x v="0"/>
    <x v="1"/>
    <s v="DK2_Rural"/>
    <x v="1"/>
    <s v="GNR_BO_MSW_E-105"/>
    <x v="0"/>
    <x v="16"/>
    <n v="7"/>
    <n v="2555"/>
    <n v="9198"/>
  </r>
  <r>
    <x v="0"/>
    <x v="0"/>
    <x v="0"/>
    <x v="0"/>
    <x v="1"/>
    <s v="DK2_Rural"/>
    <x v="1"/>
    <s v="GNR_BO_MSW_E-105"/>
    <x v="0"/>
    <x v="17"/>
    <n v="7"/>
    <n v="2555"/>
    <n v="9198"/>
  </r>
  <r>
    <x v="0"/>
    <x v="0"/>
    <x v="0"/>
    <x v="0"/>
    <x v="1"/>
    <s v="DK2_Rural"/>
    <x v="1"/>
    <s v="GNR_BO_MSW_E-105"/>
    <x v="0"/>
    <x v="18"/>
    <n v="7"/>
    <n v="2555"/>
    <n v="9198"/>
  </r>
  <r>
    <x v="0"/>
    <x v="0"/>
    <x v="0"/>
    <x v="0"/>
    <x v="1"/>
    <s v="DK2_Rural"/>
    <x v="1"/>
    <s v="GNR_BO_MSW_E-105"/>
    <x v="0"/>
    <x v="19"/>
    <n v="7"/>
    <n v="2555"/>
    <n v="9198"/>
  </r>
  <r>
    <x v="0"/>
    <x v="0"/>
    <x v="0"/>
    <x v="0"/>
    <x v="1"/>
    <s v="DK2_Rural"/>
    <x v="1"/>
    <s v="GNR_BO_MSW_E-105"/>
    <x v="0"/>
    <x v="20"/>
    <n v="7"/>
    <n v="2555"/>
    <n v="9198"/>
  </r>
  <r>
    <x v="0"/>
    <x v="0"/>
    <x v="0"/>
    <x v="0"/>
    <x v="1"/>
    <s v="DK2_Rural"/>
    <x v="1"/>
    <s v="GNR_BO_MSW_E-105"/>
    <x v="0"/>
    <x v="21"/>
    <n v="7"/>
    <n v="2555"/>
    <n v="9198"/>
  </r>
  <r>
    <x v="0"/>
    <x v="0"/>
    <x v="0"/>
    <x v="0"/>
    <x v="1"/>
    <s v="DK2_Rural"/>
    <x v="1"/>
    <s v="GNR_BO_MSW_E-105"/>
    <x v="0"/>
    <x v="22"/>
    <n v="7"/>
    <n v="2555"/>
    <n v="9198"/>
  </r>
  <r>
    <x v="0"/>
    <x v="0"/>
    <x v="0"/>
    <x v="0"/>
    <x v="1"/>
    <s v="DK2_Rural"/>
    <x v="1"/>
    <s v="GNR_BO_MSW_E-105"/>
    <x v="0"/>
    <x v="23"/>
    <n v="7"/>
    <n v="2555"/>
    <n v="9198"/>
  </r>
  <r>
    <x v="0"/>
    <x v="0"/>
    <x v="0"/>
    <x v="0"/>
    <x v="1"/>
    <s v="DK2_Rural"/>
    <x v="4"/>
    <s v="GNR_ENG_NGAS_BP_E-43"/>
    <x v="0"/>
    <x v="18"/>
    <n v="2.7522222222222199"/>
    <n v="1004.56111111111"/>
    <n v="3616.42"/>
  </r>
  <r>
    <x v="0"/>
    <x v="0"/>
    <x v="0"/>
    <x v="0"/>
    <x v="1"/>
    <s v="DK2_Rural"/>
    <x v="4"/>
    <s v="GNR_ENG_NGAS_BP_E-43"/>
    <x v="0"/>
    <x v="19"/>
    <n v="2.7522222222222199"/>
    <n v="1004.56111111111"/>
    <n v="3616.42"/>
  </r>
  <r>
    <x v="0"/>
    <x v="0"/>
    <x v="0"/>
    <x v="0"/>
    <x v="1"/>
    <s v="DK2_Rural"/>
    <x v="4"/>
    <s v="GNR_ENG_NGAS_BP_E-43"/>
    <x v="0"/>
    <x v="20"/>
    <n v="2.7522222222222199"/>
    <n v="1004.56111111111"/>
    <n v="3616.42"/>
  </r>
  <r>
    <x v="0"/>
    <x v="0"/>
    <x v="0"/>
    <x v="0"/>
    <x v="1"/>
    <s v="DK2_Rural"/>
    <x v="4"/>
    <s v="GNR_ENG_NGAS_BP_E-43"/>
    <x v="0"/>
    <x v="21"/>
    <n v="2.7522222222222199"/>
    <n v="1004.56111111111"/>
    <n v="3616.42"/>
  </r>
  <r>
    <x v="0"/>
    <x v="0"/>
    <x v="0"/>
    <x v="0"/>
    <x v="1"/>
    <s v="DK2_Rural"/>
    <x v="4"/>
    <s v="GNR_ENG_NGAS_BP_E-45"/>
    <x v="0"/>
    <x v="0"/>
    <n v="0.55555555555555602"/>
    <n v="202.777777777778"/>
    <n v="730"/>
  </r>
  <r>
    <x v="0"/>
    <x v="0"/>
    <x v="0"/>
    <x v="0"/>
    <x v="1"/>
    <s v="DK2_Rural"/>
    <x v="4"/>
    <s v="GNR_ENG_NGAS_BP_E-45"/>
    <x v="0"/>
    <x v="1"/>
    <n v="0.55555555555555602"/>
    <n v="202.777777777778"/>
    <n v="730"/>
  </r>
  <r>
    <x v="0"/>
    <x v="0"/>
    <x v="0"/>
    <x v="0"/>
    <x v="1"/>
    <s v="DK2_Rural"/>
    <x v="4"/>
    <s v="GNR_ENG_NGAS_BP_E-45"/>
    <x v="0"/>
    <x v="2"/>
    <n v="0.55555555555555602"/>
    <n v="202.777777777778"/>
    <n v="730"/>
  </r>
  <r>
    <x v="0"/>
    <x v="0"/>
    <x v="0"/>
    <x v="0"/>
    <x v="1"/>
    <s v="DK2_Rural"/>
    <x v="4"/>
    <s v="GNR_ENG_NGAS_BP_E-45"/>
    <x v="0"/>
    <x v="3"/>
    <n v="0.55555555555555602"/>
    <n v="202.777777777778"/>
    <n v="730"/>
  </r>
  <r>
    <x v="0"/>
    <x v="0"/>
    <x v="0"/>
    <x v="0"/>
    <x v="1"/>
    <s v="DK2_Rural"/>
    <x v="4"/>
    <s v="GNR_ENG_NGAS_BP_E-45"/>
    <x v="0"/>
    <x v="4"/>
    <n v="0.55555555555555602"/>
    <n v="202.777777777778"/>
    <n v="730"/>
  </r>
  <r>
    <x v="0"/>
    <x v="0"/>
    <x v="0"/>
    <x v="0"/>
    <x v="1"/>
    <s v="DK2_Rural"/>
    <x v="4"/>
    <s v="GNR_ENG_NGAS_BP_E-45"/>
    <x v="0"/>
    <x v="5"/>
    <n v="0.55555555555555602"/>
    <n v="202.777777777778"/>
    <n v="730"/>
  </r>
  <r>
    <x v="0"/>
    <x v="0"/>
    <x v="0"/>
    <x v="0"/>
    <x v="1"/>
    <s v="DK2_Rural"/>
    <x v="4"/>
    <s v="GNR_ENG_NGAS_BP_E-45"/>
    <x v="0"/>
    <x v="6"/>
    <n v="0.55555555555555602"/>
    <n v="202.777777777778"/>
    <n v="730"/>
  </r>
  <r>
    <x v="0"/>
    <x v="0"/>
    <x v="0"/>
    <x v="0"/>
    <x v="1"/>
    <s v="DK2_Rural"/>
    <x v="4"/>
    <s v="GNR_ENG_NGAS_BP_E-45"/>
    <x v="0"/>
    <x v="7"/>
    <n v="0.55555555555555602"/>
    <n v="202.777777777778"/>
    <n v="730"/>
  </r>
  <r>
    <x v="0"/>
    <x v="0"/>
    <x v="0"/>
    <x v="0"/>
    <x v="1"/>
    <s v="DK2_Rural"/>
    <x v="4"/>
    <s v="GNR_ENG_NGAS_BP_E-45"/>
    <x v="0"/>
    <x v="8"/>
    <n v="0.55555555555555602"/>
    <n v="202.777777777778"/>
    <n v="730"/>
  </r>
  <r>
    <x v="0"/>
    <x v="0"/>
    <x v="0"/>
    <x v="0"/>
    <x v="1"/>
    <s v="DK2_Rural"/>
    <x v="4"/>
    <s v="GNR_ENG_NGAS_BP_E-45"/>
    <x v="0"/>
    <x v="9"/>
    <n v="0.55555555555555602"/>
    <n v="202.777777777778"/>
    <n v="730"/>
  </r>
  <r>
    <x v="0"/>
    <x v="0"/>
    <x v="0"/>
    <x v="0"/>
    <x v="1"/>
    <s v="DK2_Rural"/>
    <x v="4"/>
    <s v="GNR_ENG_NGAS_BP_E-45"/>
    <x v="0"/>
    <x v="10"/>
    <n v="0.55555555555555602"/>
    <n v="202.777777777778"/>
    <n v="730"/>
  </r>
  <r>
    <x v="0"/>
    <x v="0"/>
    <x v="0"/>
    <x v="0"/>
    <x v="1"/>
    <s v="DK2_Rural"/>
    <x v="4"/>
    <s v="GNR_ENG_NGAS_BP_E-45"/>
    <x v="0"/>
    <x v="11"/>
    <n v="0.55555555555555602"/>
    <n v="202.777777777778"/>
    <n v="730"/>
  </r>
  <r>
    <x v="0"/>
    <x v="0"/>
    <x v="0"/>
    <x v="0"/>
    <x v="1"/>
    <s v="DK2_Rural"/>
    <x v="4"/>
    <s v="GNR_ENG_NGAS_BP_E-45"/>
    <x v="0"/>
    <x v="12"/>
    <n v="0.55555555555555602"/>
    <n v="202.777777777778"/>
    <n v="730"/>
  </r>
  <r>
    <x v="0"/>
    <x v="0"/>
    <x v="0"/>
    <x v="0"/>
    <x v="1"/>
    <s v="DK2_Rural"/>
    <x v="4"/>
    <s v="GNR_ENG_NGAS_BP_E-45"/>
    <x v="0"/>
    <x v="13"/>
    <n v="0.55555555555555602"/>
    <n v="202.777777777778"/>
    <n v="730"/>
  </r>
  <r>
    <x v="0"/>
    <x v="0"/>
    <x v="0"/>
    <x v="0"/>
    <x v="1"/>
    <s v="DK2_Rural"/>
    <x v="4"/>
    <s v="GNR_ENG_NGAS_BP_E-45"/>
    <x v="0"/>
    <x v="14"/>
    <n v="0.55555555555555602"/>
    <n v="202.777777777778"/>
    <n v="730"/>
  </r>
  <r>
    <x v="0"/>
    <x v="0"/>
    <x v="0"/>
    <x v="0"/>
    <x v="1"/>
    <s v="DK2_Rural"/>
    <x v="4"/>
    <s v="GNR_ENG_NGAS_BP_E-45"/>
    <x v="0"/>
    <x v="15"/>
    <n v="0.55555555555555602"/>
    <n v="202.777777777778"/>
    <n v="730"/>
  </r>
  <r>
    <x v="0"/>
    <x v="0"/>
    <x v="0"/>
    <x v="0"/>
    <x v="1"/>
    <s v="DK2_Rural"/>
    <x v="4"/>
    <s v="GNR_ENG_NGAS_BP_E-45"/>
    <x v="0"/>
    <x v="16"/>
    <n v="0.55555555555555602"/>
    <n v="202.777777777778"/>
    <n v="730"/>
  </r>
  <r>
    <x v="0"/>
    <x v="0"/>
    <x v="0"/>
    <x v="0"/>
    <x v="1"/>
    <s v="DK2_Rural"/>
    <x v="4"/>
    <s v="GNR_ENG_NGAS_BP_E-45"/>
    <x v="0"/>
    <x v="17"/>
    <n v="0.55555555555555602"/>
    <n v="202.777777777778"/>
    <n v="730"/>
  </r>
  <r>
    <x v="0"/>
    <x v="0"/>
    <x v="0"/>
    <x v="0"/>
    <x v="1"/>
    <s v="DK2_Rural"/>
    <x v="4"/>
    <s v="GNR_ENG_NGAS_BP_E-45"/>
    <x v="0"/>
    <x v="18"/>
    <n v="0.55555555555555602"/>
    <n v="202.777777777778"/>
    <n v="730"/>
  </r>
  <r>
    <x v="0"/>
    <x v="0"/>
    <x v="0"/>
    <x v="0"/>
    <x v="1"/>
    <s v="DK2_Rural"/>
    <x v="4"/>
    <s v="GNR_ENG_NGAS_BP_E-45"/>
    <x v="0"/>
    <x v="19"/>
    <n v="0.55555555555555602"/>
    <n v="202.777777777778"/>
    <n v="730"/>
  </r>
  <r>
    <x v="0"/>
    <x v="0"/>
    <x v="0"/>
    <x v="0"/>
    <x v="1"/>
    <s v="DK2_Rural"/>
    <x v="4"/>
    <s v="GNR_ENG_NGAS_BP_E-45"/>
    <x v="0"/>
    <x v="20"/>
    <n v="0.55555555555555602"/>
    <n v="202.777777777778"/>
    <n v="730"/>
  </r>
  <r>
    <x v="0"/>
    <x v="0"/>
    <x v="0"/>
    <x v="0"/>
    <x v="1"/>
    <s v="DK2_Rural"/>
    <x v="4"/>
    <s v="GNR_ENG_NGAS_BP_E-45"/>
    <x v="0"/>
    <x v="21"/>
    <n v="0.55555555555555602"/>
    <n v="202.777777777778"/>
    <n v="730"/>
  </r>
  <r>
    <x v="0"/>
    <x v="0"/>
    <x v="0"/>
    <x v="0"/>
    <x v="1"/>
    <s v="DK2_Rural"/>
    <x v="4"/>
    <s v="GNR_ENG_NGAS_BP_E-45"/>
    <x v="0"/>
    <x v="22"/>
    <n v="0.55555555555555602"/>
    <n v="202.777777777778"/>
    <n v="730"/>
  </r>
  <r>
    <x v="0"/>
    <x v="0"/>
    <x v="0"/>
    <x v="0"/>
    <x v="1"/>
    <s v="DK2_Rural"/>
    <x v="4"/>
    <s v="GNR_ENG_NGAS_BP_E-45"/>
    <x v="0"/>
    <x v="23"/>
    <n v="0.55555555555555602"/>
    <n v="202.777777777778"/>
    <n v="730"/>
  </r>
  <r>
    <x v="0"/>
    <x v="0"/>
    <x v="0"/>
    <x v="0"/>
    <x v="1"/>
    <s v="DK2_Rural"/>
    <x v="4"/>
    <s v="GNR_ENG_NGAS_BP_E-46"/>
    <x v="0"/>
    <x v="0"/>
    <n v="0.61111111111111105"/>
    <n v="223.055555555556"/>
    <n v="803"/>
  </r>
  <r>
    <x v="0"/>
    <x v="0"/>
    <x v="0"/>
    <x v="0"/>
    <x v="1"/>
    <s v="DK2_Rural"/>
    <x v="4"/>
    <s v="GNR_ENG_NGAS_BP_E-46"/>
    <x v="0"/>
    <x v="1"/>
    <n v="0.61111111111111105"/>
    <n v="223.055555555556"/>
    <n v="803"/>
  </r>
  <r>
    <x v="0"/>
    <x v="0"/>
    <x v="0"/>
    <x v="0"/>
    <x v="1"/>
    <s v="DK2_Rural"/>
    <x v="4"/>
    <s v="GNR_ENG_NGAS_BP_E-46"/>
    <x v="0"/>
    <x v="2"/>
    <n v="0.61111111111111105"/>
    <n v="223.055555555556"/>
    <n v="803"/>
  </r>
  <r>
    <x v="0"/>
    <x v="0"/>
    <x v="0"/>
    <x v="0"/>
    <x v="1"/>
    <s v="DK2_Rural"/>
    <x v="4"/>
    <s v="GNR_ENG_NGAS_BP_E-46"/>
    <x v="0"/>
    <x v="3"/>
    <n v="0.61111111111111105"/>
    <n v="223.055555555556"/>
    <n v="803"/>
  </r>
  <r>
    <x v="0"/>
    <x v="0"/>
    <x v="0"/>
    <x v="0"/>
    <x v="1"/>
    <s v="DK2_Rural"/>
    <x v="4"/>
    <s v="GNR_ENG_NGAS_BP_E-46"/>
    <x v="0"/>
    <x v="4"/>
    <n v="0.61111111111111105"/>
    <n v="223.055555555556"/>
    <n v="803"/>
  </r>
  <r>
    <x v="0"/>
    <x v="0"/>
    <x v="0"/>
    <x v="0"/>
    <x v="1"/>
    <s v="DK2_Rural"/>
    <x v="4"/>
    <s v="GNR_ENG_NGAS_BP_E-46"/>
    <x v="0"/>
    <x v="5"/>
    <n v="0.61111111111111105"/>
    <n v="223.055555555556"/>
    <n v="803"/>
  </r>
  <r>
    <x v="0"/>
    <x v="0"/>
    <x v="0"/>
    <x v="0"/>
    <x v="1"/>
    <s v="DK2_Rural"/>
    <x v="4"/>
    <s v="GNR_ENG_NGAS_BP_E-46"/>
    <x v="0"/>
    <x v="6"/>
    <n v="0.61111111111111105"/>
    <n v="223.055555555556"/>
    <n v="803"/>
  </r>
  <r>
    <x v="0"/>
    <x v="0"/>
    <x v="0"/>
    <x v="0"/>
    <x v="1"/>
    <s v="DK2_Rural"/>
    <x v="4"/>
    <s v="GNR_ENG_NGAS_BP_E-46"/>
    <x v="0"/>
    <x v="7"/>
    <n v="0.61111111111111105"/>
    <n v="223.055555555556"/>
    <n v="803"/>
  </r>
  <r>
    <x v="0"/>
    <x v="0"/>
    <x v="0"/>
    <x v="0"/>
    <x v="1"/>
    <s v="DK2_Rural"/>
    <x v="4"/>
    <s v="GNR_ENG_NGAS_BP_E-46"/>
    <x v="0"/>
    <x v="8"/>
    <n v="0.61111111111111105"/>
    <n v="223.055555555556"/>
    <n v="803"/>
  </r>
  <r>
    <x v="0"/>
    <x v="0"/>
    <x v="0"/>
    <x v="0"/>
    <x v="1"/>
    <s v="DK2_Rural"/>
    <x v="4"/>
    <s v="GNR_ENG_NGAS_BP_E-46"/>
    <x v="0"/>
    <x v="9"/>
    <n v="0.61111111111111105"/>
    <n v="223.055555555556"/>
    <n v="803"/>
  </r>
  <r>
    <x v="0"/>
    <x v="0"/>
    <x v="0"/>
    <x v="0"/>
    <x v="1"/>
    <s v="DK2_Rural"/>
    <x v="4"/>
    <s v="GNR_ENG_NGAS_BP_E-46"/>
    <x v="0"/>
    <x v="10"/>
    <n v="0.61111111111111105"/>
    <n v="223.055555555556"/>
    <n v="803"/>
  </r>
  <r>
    <x v="0"/>
    <x v="0"/>
    <x v="0"/>
    <x v="0"/>
    <x v="1"/>
    <s v="DK2_Rural"/>
    <x v="4"/>
    <s v="GNR_ENG_NGAS_BP_E-46"/>
    <x v="0"/>
    <x v="11"/>
    <n v="0.61111111111111105"/>
    <n v="223.055555555556"/>
    <n v="803"/>
  </r>
  <r>
    <x v="0"/>
    <x v="0"/>
    <x v="0"/>
    <x v="0"/>
    <x v="1"/>
    <s v="DK2_Rural"/>
    <x v="4"/>
    <s v="GNR_ENG_NGAS_BP_E-46"/>
    <x v="0"/>
    <x v="12"/>
    <n v="0.61111111111111105"/>
    <n v="223.055555555556"/>
    <n v="803"/>
  </r>
  <r>
    <x v="0"/>
    <x v="0"/>
    <x v="0"/>
    <x v="0"/>
    <x v="1"/>
    <s v="DK2_Rural"/>
    <x v="4"/>
    <s v="GNR_ENG_NGAS_BP_E-46"/>
    <x v="0"/>
    <x v="13"/>
    <n v="0.61111111111111105"/>
    <n v="223.055555555556"/>
    <n v="803"/>
  </r>
  <r>
    <x v="0"/>
    <x v="0"/>
    <x v="0"/>
    <x v="0"/>
    <x v="1"/>
    <s v="DK2_Rural"/>
    <x v="4"/>
    <s v="GNR_ENG_NGAS_BP_E-46"/>
    <x v="0"/>
    <x v="14"/>
    <n v="0.61111111111111105"/>
    <n v="223.055555555556"/>
    <n v="803"/>
  </r>
  <r>
    <x v="0"/>
    <x v="0"/>
    <x v="0"/>
    <x v="0"/>
    <x v="1"/>
    <s v="DK2_Rural"/>
    <x v="4"/>
    <s v="GNR_ENG_NGAS_BP_E-46"/>
    <x v="0"/>
    <x v="15"/>
    <n v="0.61111111111111105"/>
    <n v="223.055555555556"/>
    <n v="803"/>
  </r>
  <r>
    <x v="0"/>
    <x v="0"/>
    <x v="0"/>
    <x v="0"/>
    <x v="1"/>
    <s v="DK2_Rural"/>
    <x v="4"/>
    <s v="GNR_ENG_NGAS_BP_E-46"/>
    <x v="0"/>
    <x v="16"/>
    <n v="0.61111111111111105"/>
    <n v="223.055555555556"/>
    <n v="803"/>
  </r>
  <r>
    <x v="0"/>
    <x v="0"/>
    <x v="0"/>
    <x v="0"/>
    <x v="1"/>
    <s v="DK2_Rural"/>
    <x v="4"/>
    <s v="GNR_ENG_NGAS_BP_E-46"/>
    <x v="0"/>
    <x v="17"/>
    <n v="0.61111111111111105"/>
    <n v="223.055555555556"/>
    <n v="803"/>
  </r>
  <r>
    <x v="0"/>
    <x v="0"/>
    <x v="0"/>
    <x v="0"/>
    <x v="1"/>
    <s v="DK2_Rural"/>
    <x v="4"/>
    <s v="GNR_ENG_NGAS_BP_E-46"/>
    <x v="0"/>
    <x v="18"/>
    <n v="0.61111111111111105"/>
    <n v="223.055555555556"/>
    <n v="803"/>
  </r>
  <r>
    <x v="0"/>
    <x v="0"/>
    <x v="0"/>
    <x v="0"/>
    <x v="1"/>
    <s v="DK2_Rural"/>
    <x v="4"/>
    <s v="GNR_ENG_NGAS_BP_E-46"/>
    <x v="0"/>
    <x v="19"/>
    <n v="0.61111111111111105"/>
    <n v="223.055555555556"/>
    <n v="803"/>
  </r>
  <r>
    <x v="0"/>
    <x v="0"/>
    <x v="0"/>
    <x v="0"/>
    <x v="1"/>
    <s v="DK2_Rural"/>
    <x v="4"/>
    <s v="GNR_ENG_NGAS_BP_E-46"/>
    <x v="0"/>
    <x v="20"/>
    <n v="0.61111111111111105"/>
    <n v="223.055555555556"/>
    <n v="803"/>
  </r>
  <r>
    <x v="0"/>
    <x v="0"/>
    <x v="0"/>
    <x v="0"/>
    <x v="1"/>
    <s v="DK2_Rural"/>
    <x v="4"/>
    <s v="GNR_ENG_NGAS_BP_E-46"/>
    <x v="0"/>
    <x v="21"/>
    <n v="0.61111111111111105"/>
    <n v="223.055555555556"/>
    <n v="803"/>
  </r>
  <r>
    <x v="0"/>
    <x v="0"/>
    <x v="0"/>
    <x v="0"/>
    <x v="1"/>
    <s v="DK2_Rural"/>
    <x v="4"/>
    <s v="GNR_ENG_NGAS_BP_E-46"/>
    <x v="0"/>
    <x v="22"/>
    <n v="0.61111111111111105"/>
    <n v="223.055555555556"/>
    <n v="803"/>
  </r>
  <r>
    <x v="0"/>
    <x v="0"/>
    <x v="0"/>
    <x v="0"/>
    <x v="1"/>
    <s v="DK2_Rural"/>
    <x v="4"/>
    <s v="GNR_ENG_NGAS_BP_E-46"/>
    <x v="0"/>
    <x v="23"/>
    <n v="0.61111111111111105"/>
    <n v="223.055555555556"/>
    <n v="803"/>
  </r>
  <r>
    <x v="0"/>
    <x v="0"/>
    <x v="0"/>
    <x v="0"/>
    <x v="1"/>
    <s v="DK2_Rural"/>
    <x v="5"/>
    <s v="GNR_BO_STRW_E-100"/>
    <x v="0"/>
    <x v="6"/>
    <n v="19.855822836046499"/>
    <n v="7247.3753351569603"/>
    <n v="26090.551206565098"/>
  </r>
  <r>
    <x v="0"/>
    <x v="0"/>
    <x v="0"/>
    <x v="0"/>
    <x v="1"/>
    <s v="DK2_Rural"/>
    <x v="5"/>
    <s v="GNR_BO_STRW_E-100"/>
    <x v="0"/>
    <x v="7"/>
    <n v="42.864059720450399"/>
    <n v="15645.381797964401"/>
    <n v="56323.3744726718"/>
  </r>
  <r>
    <x v="0"/>
    <x v="0"/>
    <x v="0"/>
    <x v="0"/>
    <x v="1"/>
    <s v="DK2_Rural"/>
    <x v="5"/>
    <s v="GNR_BO_STRW_E-100"/>
    <x v="0"/>
    <x v="8"/>
    <n v="48.386036572707297"/>
    <n v="17660.903349038199"/>
    <n v="63579.2520565374"/>
  </r>
  <r>
    <x v="0"/>
    <x v="0"/>
    <x v="0"/>
    <x v="0"/>
    <x v="1"/>
    <s v="DK2_Rural"/>
    <x v="5"/>
    <s v="GNR_BO_STRW_E-100"/>
    <x v="0"/>
    <x v="9"/>
    <n v="51.278500638175203"/>
    <n v="18716.652732933999"/>
    <n v="67379.949838562199"/>
  </r>
  <r>
    <x v="0"/>
    <x v="0"/>
    <x v="0"/>
    <x v="0"/>
    <x v="1"/>
    <s v="DK2_Rural"/>
    <x v="5"/>
    <s v="GNR_BO_STRW_E-100"/>
    <x v="0"/>
    <x v="10"/>
    <n v="50.489646802138502"/>
    <n v="18428.721082780601"/>
    <n v="66343.39589801"/>
  </r>
  <r>
    <x v="0"/>
    <x v="0"/>
    <x v="0"/>
    <x v="0"/>
    <x v="1"/>
    <s v="DK2_Rural"/>
    <x v="5"/>
    <s v="GNR_BO_STRW_E-100"/>
    <x v="0"/>
    <x v="11"/>
    <n v="50.621122441478001"/>
    <n v="18476.709691139498"/>
    <n v="66516.154888102101"/>
  </r>
  <r>
    <x v="0"/>
    <x v="0"/>
    <x v="0"/>
    <x v="0"/>
    <x v="1"/>
    <s v="DK2_Rural"/>
    <x v="5"/>
    <s v="GNR_BO_STRW_E-100"/>
    <x v="0"/>
    <x v="12"/>
    <n v="49.174890408743998"/>
    <n v="17948.8349991916"/>
    <n v="64615.805997089599"/>
  </r>
  <r>
    <x v="0"/>
    <x v="0"/>
    <x v="0"/>
    <x v="0"/>
    <x v="1"/>
    <s v="DK2_Rural"/>
    <x v="5"/>
    <s v="GNR_BO_STRW_E-100"/>
    <x v="0"/>
    <x v="13"/>
    <n v="43.389962277808202"/>
    <n v="15837.336231400001"/>
    <n v="57014.410433039899"/>
  </r>
  <r>
    <x v="0"/>
    <x v="0"/>
    <x v="0"/>
    <x v="0"/>
    <x v="1"/>
    <s v="DK2_Rural"/>
    <x v="5"/>
    <s v="GNR_BO_STRW_E-100"/>
    <x v="0"/>
    <x v="14"/>
    <n v="44.967669949881603"/>
    <n v="16413.199531706799"/>
    <n v="59087.518314144399"/>
  </r>
  <r>
    <x v="0"/>
    <x v="0"/>
    <x v="0"/>
    <x v="0"/>
    <x v="1"/>
    <s v="DK2_Rural"/>
    <x v="5"/>
    <s v="GNR_BO_STRW_E-100"/>
    <x v="0"/>
    <x v="15"/>
    <n v="46.545377621954998"/>
    <n v="16989.062832013598"/>
    <n v="61160.6261952489"/>
  </r>
  <r>
    <x v="0"/>
    <x v="0"/>
    <x v="0"/>
    <x v="0"/>
    <x v="1"/>
    <s v="DK2_Rural"/>
    <x v="5"/>
    <s v="GNR_BO_STRW_E-100"/>
    <x v="0"/>
    <x v="16"/>
    <n v="49.569317326762402"/>
    <n v="18092.800824268299"/>
    <n v="65134.082967365699"/>
  </r>
  <r>
    <x v="0"/>
    <x v="0"/>
    <x v="0"/>
    <x v="0"/>
    <x v="1"/>
    <s v="DK2_Rural"/>
    <x v="5"/>
    <s v="GNR_BO_STRW_E-100"/>
    <x v="0"/>
    <x v="17"/>
    <n v="48.9119391300651"/>
    <n v="17852.857782473799"/>
    <n v="64270.288016905601"/>
  </r>
  <r>
    <x v="0"/>
    <x v="0"/>
    <x v="0"/>
    <x v="0"/>
    <x v="1"/>
    <s v="DK2_Rural"/>
    <x v="5"/>
    <s v="GNR_BO_STRW_E-100"/>
    <x v="0"/>
    <x v="18"/>
    <n v="46.685619465200702"/>
    <n v="17040.251104798299"/>
    <n v="61344.903977273701"/>
  </r>
  <r>
    <x v="0"/>
    <x v="0"/>
    <x v="0"/>
    <x v="0"/>
    <x v="1"/>
    <s v="DK2_Rural"/>
    <x v="5"/>
    <s v="GNR_BO_STRW_E-100"/>
    <x v="0"/>
    <x v="19"/>
    <n v="46.159716907842899"/>
    <n v="16848.296671362699"/>
    <n v="60653.868016905602"/>
  </r>
  <r>
    <x v="0"/>
    <x v="0"/>
    <x v="0"/>
    <x v="0"/>
    <x v="1"/>
    <s v="DK2_Rural"/>
    <x v="5"/>
    <s v="GNR_BO_STRW_E-100"/>
    <x v="0"/>
    <x v="20"/>
    <n v="43.267252842375001"/>
    <n v="15792.547287466899"/>
    <n v="56853.170234880701"/>
  </r>
  <r>
    <x v="0"/>
    <x v="0"/>
    <x v="0"/>
    <x v="0"/>
    <x v="1"/>
    <s v="DK2_Rural"/>
    <x v="5"/>
    <s v="GNR_BO_STRW_E-100"/>
    <x v="0"/>
    <x v="21"/>
    <n v="25.649517170888601"/>
    <n v="9362.0737673743206"/>
    <n v="33703.465562547601"/>
  </r>
  <r>
    <x v="0"/>
    <x v="0"/>
    <x v="0"/>
    <x v="0"/>
    <x v="1"/>
    <s v="DK2_Rural"/>
    <x v="5"/>
    <s v="GNR_BO_STRW_E-100"/>
    <x v="0"/>
    <x v="22"/>
    <n v="27.086982999716302"/>
    <n v="9886.7487948964408"/>
    <n v="35592.295661627199"/>
  </r>
  <r>
    <x v="0"/>
    <x v="0"/>
    <x v="0"/>
    <x v="0"/>
    <x v="1"/>
    <s v="DK2_Rural"/>
    <x v="5"/>
    <s v="GNR_BO_STRW_E-100"/>
    <x v="0"/>
    <x v="23"/>
    <n v="23.80009201623"/>
    <n v="8687.0335859239494"/>
    <n v="31273.320909326201"/>
  </r>
  <r>
    <x v="0"/>
    <x v="0"/>
    <x v="0"/>
    <x v="0"/>
    <x v="1"/>
    <s v="DK2_Rural"/>
    <x v="5"/>
    <s v="GNR_BO_STRW_E-102"/>
    <x v="0"/>
    <x v="0"/>
    <n v="36.971998869954398"/>
    <n v="13494.7795875334"/>
    <n v="48581.206515120102"/>
  </r>
  <r>
    <x v="0"/>
    <x v="0"/>
    <x v="0"/>
    <x v="0"/>
    <x v="1"/>
    <s v="DK2_Rural"/>
    <x v="5"/>
    <s v="GNR_BO_STRW_E-102"/>
    <x v="0"/>
    <x v="1"/>
    <n v="34.999864279862699"/>
    <n v="12774.9504621499"/>
    <n v="45989.821663739502"/>
  </r>
  <r>
    <x v="0"/>
    <x v="0"/>
    <x v="0"/>
    <x v="0"/>
    <x v="1"/>
    <s v="DK2_Rural"/>
    <x v="5"/>
    <s v="GNR_BO_STRW_E-102"/>
    <x v="0"/>
    <x v="2"/>
    <n v="33.553632247128697"/>
    <n v="12247.075770202"/>
    <n v="44089.472772727102"/>
  </r>
  <r>
    <x v="0"/>
    <x v="0"/>
    <x v="0"/>
    <x v="0"/>
    <x v="1"/>
    <s v="DK2_Rural"/>
    <x v="5"/>
    <s v="GNR_BO_STRW_E-102"/>
    <x v="0"/>
    <x v="3"/>
    <n v="34.605437361844302"/>
    <n v="12630.984637073199"/>
    <n v="45471.544693463402"/>
  </r>
  <r>
    <x v="0"/>
    <x v="0"/>
    <x v="0"/>
    <x v="0"/>
    <x v="1"/>
    <s v="DK2_Rural"/>
    <x v="5"/>
    <s v="GNR_BO_STRW_E-102"/>
    <x v="0"/>
    <x v="4"/>
    <n v="39.732987296082896"/>
    <n v="14502.5403630703"/>
    <n v="52209.145307052902"/>
  </r>
  <r>
    <x v="0"/>
    <x v="0"/>
    <x v="0"/>
    <x v="0"/>
    <x v="1"/>
    <s v="DK2_Rural"/>
    <x v="5"/>
    <s v="GNR_BO_STRW_E-102"/>
    <x v="0"/>
    <x v="5"/>
    <n v="43.545780836927001"/>
    <n v="15894.2100054783"/>
    <n v="57219.156019722002"/>
  </r>
  <r>
    <x v="0"/>
    <x v="0"/>
    <x v="0"/>
    <x v="0"/>
    <x v="1"/>
    <s v="DK2_Rural"/>
    <x v="5"/>
    <s v="GNR_BO_STRW_E-102"/>
    <x v="0"/>
    <x v="6"/>
    <n v="47.75"/>
    <n v="17428.75"/>
    <n v="62743.5"/>
  </r>
  <r>
    <x v="0"/>
    <x v="0"/>
    <x v="0"/>
    <x v="0"/>
    <x v="1"/>
    <s v="DK2_Rural"/>
    <x v="5"/>
    <s v="GNR_BO_STRW_E-102"/>
    <x v="0"/>
    <x v="7"/>
    <n v="47.75"/>
    <n v="17428.75"/>
    <n v="62743.5"/>
  </r>
  <r>
    <x v="0"/>
    <x v="0"/>
    <x v="0"/>
    <x v="0"/>
    <x v="1"/>
    <s v="DK2_Rural"/>
    <x v="5"/>
    <s v="GNR_BO_STRW_E-102"/>
    <x v="0"/>
    <x v="8"/>
    <n v="47.75"/>
    <n v="17428.75"/>
    <n v="62743.5"/>
  </r>
  <r>
    <x v="0"/>
    <x v="0"/>
    <x v="0"/>
    <x v="0"/>
    <x v="1"/>
    <s v="DK2_Rural"/>
    <x v="5"/>
    <s v="GNR_BO_STRW_E-102"/>
    <x v="0"/>
    <x v="9"/>
    <n v="47.75"/>
    <n v="17428.75"/>
    <n v="62743.5"/>
  </r>
  <r>
    <x v="0"/>
    <x v="0"/>
    <x v="0"/>
    <x v="0"/>
    <x v="1"/>
    <s v="DK2_Rural"/>
    <x v="5"/>
    <s v="GNR_BO_STRW_E-102"/>
    <x v="0"/>
    <x v="10"/>
    <n v="47.75"/>
    <n v="17428.75"/>
    <n v="62743.5"/>
  </r>
  <r>
    <x v="0"/>
    <x v="0"/>
    <x v="0"/>
    <x v="0"/>
    <x v="1"/>
    <s v="DK2_Rural"/>
    <x v="5"/>
    <s v="GNR_BO_STRW_E-102"/>
    <x v="0"/>
    <x v="11"/>
    <n v="47.75"/>
    <n v="17428.75"/>
    <n v="62743.5"/>
  </r>
  <r>
    <x v="0"/>
    <x v="0"/>
    <x v="0"/>
    <x v="0"/>
    <x v="1"/>
    <s v="DK2_Rural"/>
    <x v="5"/>
    <s v="GNR_BO_STRW_E-102"/>
    <x v="0"/>
    <x v="12"/>
    <n v="47.75"/>
    <n v="17428.75"/>
    <n v="62743.5"/>
  </r>
  <r>
    <x v="0"/>
    <x v="0"/>
    <x v="0"/>
    <x v="0"/>
    <x v="1"/>
    <s v="DK2_Rural"/>
    <x v="5"/>
    <s v="GNR_BO_STRW_E-102"/>
    <x v="0"/>
    <x v="13"/>
    <n v="47.75"/>
    <n v="17428.75"/>
    <n v="62743.5"/>
  </r>
  <r>
    <x v="0"/>
    <x v="0"/>
    <x v="0"/>
    <x v="0"/>
    <x v="1"/>
    <s v="DK2_Rural"/>
    <x v="5"/>
    <s v="GNR_BO_STRW_E-102"/>
    <x v="0"/>
    <x v="14"/>
    <n v="47.75"/>
    <n v="17428.75"/>
    <n v="62743.5"/>
  </r>
  <r>
    <x v="0"/>
    <x v="0"/>
    <x v="0"/>
    <x v="0"/>
    <x v="1"/>
    <s v="DK2_Rural"/>
    <x v="5"/>
    <s v="GNR_BO_STRW_E-102"/>
    <x v="0"/>
    <x v="15"/>
    <n v="47.75"/>
    <n v="17428.75"/>
    <n v="62743.5"/>
  </r>
  <r>
    <x v="0"/>
    <x v="0"/>
    <x v="0"/>
    <x v="0"/>
    <x v="1"/>
    <s v="DK2_Rural"/>
    <x v="5"/>
    <s v="GNR_BO_STRW_E-102"/>
    <x v="0"/>
    <x v="16"/>
    <n v="47.75"/>
    <n v="17428.75"/>
    <n v="62743.5"/>
  </r>
  <r>
    <x v="0"/>
    <x v="0"/>
    <x v="0"/>
    <x v="0"/>
    <x v="1"/>
    <s v="DK2_Rural"/>
    <x v="5"/>
    <s v="GNR_BO_STRW_E-102"/>
    <x v="0"/>
    <x v="17"/>
    <n v="47.75"/>
    <n v="17428.75"/>
    <n v="62743.5"/>
  </r>
  <r>
    <x v="0"/>
    <x v="0"/>
    <x v="0"/>
    <x v="0"/>
    <x v="1"/>
    <s v="DK2_Rural"/>
    <x v="5"/>
    <s v="GNR_BO_STRW_E-102"/>
    <x v="0"/>
    <x v="18"/>
    <n v="47.75"/>
    <n v="17428.75"/>
    <n v="62743.5"/>
  </r>
  <r>
    <x v="0"/>
    <x v="0"/>
    <x v="0"/>
    <x v="0"/>
    <x v="1"/>
    <s v="DK2_Rural"/>
    <x v="5"/>
    <s v="GNR_BO_STRW_E-102"/>
    <x v="0"/>
    <x v="19"/>
    <n v="47.75"/>
    <n v="17428.75"/>
    <n v="62743.5"/>
  </r>
  <r>
    <x v="0"/>
    <x v="0"/>
    <x v="0"/>
    <x v="0"/>
    <x v="1"/>
    <s v="DK2_Rural"/>
    <x v="5"/>
    <s v="GNR_BO_STRW_E-102"/>
    <x v="0"/>
    <x v="20"/>
    <n v="47.75"/>
    <n v="17428.75"/>
    <n v="62743.5"/>
  </r>
  <r>
    <x v="0"/>
    <x v="0"/>
    <x v="0"/>
    <x v="0"/>
    <x v="1"/>
    <s v="DK2_Rural"/>
    <x v="5"/>
    <s v="GNR_BO_STRW_E-102"/>
    <x v="0"/>
    <x v="21"/>
    <n v="47.75"/>
    <n v="17428.75"/>
    <n v="62743.5"/>
  </r>
  <r>
    <x v="0"/>
    <x v="0"/>
    <x v="0"/>
    <x v="0"/>
    <x v="1"/>
    <s v="DK2_Rural"/>
    <x v="5"/>
    <s v="GNR_BO_STRW_E-102"/>
    <x v="0"/>
    <x v="22"/>
    <n v="47.75"/>
    <n v="17428.75"/>
    <n v="62743.5"/>
  </r>
  <r>
    <x v="0"/>
    <x v="0"/>
    <x v="0"/>
    <x v="0"/>
    <x v="1"/>
    <s v="DK2_Rural"/>
    <x v="5"/>
    <s v="GNR_BO_STRW_E-102"/>
    <x v="0"/>
    <x v="23"/>
    <n v="47.75"/>
    <n v="17428.75"/>
    <n v="62743.5"/>
  </r>
  <r>
    <x v="0"/>
    <x v="0"/>
    <x v="0"/>
    <x v="0"/>
    <x v="1"/>
    <s v="DK2_Rural"/>
    <x v="5"/>
    <s v="GNR_ST_STRW_BP_E-24"/>
    <x v="0"/>
    <x v="0"/>
    <n v="11.2446355509146"/>
    <n v="4104.2919760838204"/>
    <n v="14775.4511139018"/>
  </r>
  <r>
    <x v="0"/>
    <x v="0"/>
    <x v="0"/>
    <x v="0"/>
    <x v="1"/>
    <s v="DK2_Rural"/>
    <x v="5"/>
    <s v="GNR_ST_STRW_BP_E-24"/>
    <x v="0"/>
    <x v="1"/>
    <n v="11.2446355509146"/>
    <n v="4104.2919760838204"/>
    <n v="14775.4511139018"/>
  </r>
  <r>
    <x v="0"/>
    <x v="0"/>
    <x v="0"/>
    <x v="0"/>
    <x v="1"/>
    <s v="DK2_Rural"/>
    <x v="5"/>
    <s v="GNR_ST_STRW_BP_E-24"/>
    <x v="0"/>
    <x v="2"/>
    <n v="11.2446355509146"/>
    <n v="4104.2919760838204"/>
    <n v="14775.4511139018"/>
  </r>
  <r>
    <x v="0"/>
    <x v="0"/>
    <x v="0"/>
    <x v="0"/>
    <x v="1"/>
    <s v="DK2_Rural"/>
    <x v="5"/>
    <s v="GNR_ST_STRW_BP_E-24"/>
    <x v="0"/>
    <x v="3"/>
    <n v="11.2446355509146"/>
    <n v="4104.2919760838204"/>
    <n v="14775.4511139018"/>
  </r>
  <r>
    <x v="0"/>
    <x v="0"/>
    <x v="0"/>
    <x v="0"/>
    <x v="1"/>
    <s v="DK2_Rural"/>
    <x v="5"/>
    <s v="GNR_ST_STRW_BP_E-24"/>
    <x v="0"/>
    <x v="4"/>
    <n v="11.2446355509146"/>
    <n v="4104.2919760838204"/>
    <n v="14775.4511139018"/>
  </r>
  <r>
    <x v="0"/>
    <x v="0"/>
    <x v="0"/>
    <x v="0"/>
    <x v="1"/>
    <s v="DK2_Rural"/>
    <x v="5"/>
    <s v="GNR_ST_STRW_BP_E-24"/>
    <x v="0"/>
    <x v="5"/>
    <n v="11.2446355509146"/>
    <n v="4104.2919760838204"/>
    <n v="14775.4511139018"/>
  </r>
  <r>
    <x v="0"/>
    <x v="0"/>
    <x v="0"/>
    <x v="0"/>
    <x v="1"/>
    <s v="DK2_Rural"/>
    <x v="5"/>
    <s v="GNR_ST_STRW_BP_E-24"/>
    <x v="0"/>
    <x v="6"/>
    <n v="11.2446355509146"/>
    <n v="4104.2919760838204"/>
    <n v="14775.4511139018"/>
  </r>
  <r>
    <x v="0"/>
    <x v="0"/>
    <x v="0"/>
    <x v="0"/>
    <x v="1"/>
    <s v="DK2_Rural"/>
    <x v="5"/>
    <s v="GNR_ST_STRW_BP_E-24"/>
    <x v="0"/>
    <x v="7"/>
    <n v="11.2446355509146"/>
    <n v="4104.2919760838204"/>
    <n v="14775.4511139018"/>
  </r>
  <r>
    <x v="0"/>
    <x v="0"/>
    <x v="0"/>
    <x v="0"/>
    <x v="1"/>
    <s v="DK2_Rural"/>
    <x v="5"/>
    <s v="GNR_ST_STRW_BP_E-24"/>
    <x v="0"/>
    <x v="8"/>
    <n v="11.2446355509146"/>
    <n v="4104.2919760838204"/>
    <n v="14775.4511139018"/>
  </r>
  <r>
    <x v="0"/>
    <x v="0"/>
    <x v="0"/>
    <x v="0"/>
    <x v="1"/>
    <s v="DK2_Rural"/>
    <x v="5"/>
    <s v="GNR_ST_STRW_BP_E-24"/>
    <x v="0"/>
    <x v="9"/>
    <n v="11.2446355509146"/>
    <n v="4104.2919760838204"/>
    <n v="14775.4511139018"/>
  </r>
  <r>
    <x v="0"/>
    <x v="0"/>
    <x v="0"/>
    <x v="0"/>
    <x v="1"/>
    <s v="DK2_Rural"/>
    <x v="5"/>
    <s v="GNR_ST_STRW_BP_E-24"/>
    <x v="0"/>
    <x v="10"/>
    <n v="11.2446355509146"/>
    <n v="4104.2919760838204"/>
    <n v="14775.4511139018"/>
  </r>
  <r>
    <x v="0"/>
    <x v="0"/>
    <x v="0"/>
    <x v="0"/>
    <x v="1"/>
    <s v="DK2_Rural"/>
    <x v="5"/>
    <s v="GNR_ST_STRW_BP_E-24"/>
    <x v="0"/>
    <x v="11"/>
    <n v="11.2446355509146"/>
    <n v="4104.2919760838204"/>
    <n v="14775.4511139018"/>
  </r>
  <r>
    <x v="0"/>
    <x v="0"/>
    <x v="0"/>
    <x v="0"/>
    <x v="1"/>
    <s v="DK2_Rural"/>
    <x v="5"/>
    <s v="GNR_ST_STRW_BP_E-24"/>
    <x v="0"/>
    <x v="12"/>
    <n v="11.2446355509146"/>
    <n v="4104.2919760838204"/>
    <n v="14775.4511139018"/>
  </r>
  <r>
    <x v="0"/>
    <x v="0"/>
    <x v="0"/>
    <x v="0"/>
    <x v="1"/>
    <s v="DK2_Rural"/>
    <x v="5"/>
    <s v="GNR_ST_STRW_BP_E-24"/>
    <x v="0"/>
    <x v="13"/>
    <n v="11.2446355509146"/>
    <n v="4104.2919760838204"/>
    <n v="14775.4511139018"/>
  </r>
  <r>
    <x v="0"/>
    <x v="0"/>
    <x v="0"/>
    <x v="0"/>
    <x v="1"/>
    <s v="DK2_Rural"/>
    <x v="5"/>
    <s v="GNR_ST_STRW_BP_E-24"/>
    <x v="0"/>
    <x v="14"/>
    <n v="11.2446355509146"/>
    <n v="4104.2919760838204"/>
    <n v="14775.4511139018"/>
  </r>
  <r>
    <x v="0"/>
    <x v="0"/>
    <x v="0"/>
    <x v="0"/>
    <x v="1"/>
    <s v="DK2_Rural"/>
    <x v="5"/>
    <s v="GNR_ST_STRW_BP_E-24"/>
    <x v="0"/>
    <x v="15"/>
    <n v="11.2446355509146"/>
    <n v="4104.2919760838204"/>
    <n v="14775.4511139018"/>
  </r>
  <r>
    <x v="0"/>
    <x v="0"/>
    <x v="0"/>
    <x v="0"/>
    <x v="1"/>
    <s v="DK2_Rural"/>
    <x v="5"/>
    <s v="GNR_ST_STRW_BP_E-24"/>
    <x v="0"/>
    <x v="16"/>
    <n v="11.2446355509146"/>
    <n v="4104.2919760838204"/>
    <n v="14775.4511139018"/>
  </r>
  <r>
    <x v="0"/>
    <x v="0"/>
    <x v="0"/>
    <x v="0"/>
    <x v="1"/>
    <s v="DK2_Rural"/>
    <x v="5"/>
    <s v="GNR_ST_STRW_BP_E-24"/>
    <x v="0"/>
    <x v="17"/>
    <n v="11.2446355509146"/>
    <n v="4104.2919760838204"/>
    <n v="14775.4511139018"/>
  </r>
  <r>
    <x v="0"/>
    <x v="0"/>
    <x v="0"/>
    <x v="0"/>
    <x v="1"/>
    <s v="DK2_Rural"/>
    <x v="5"/>
    <s v="GNR_ST_STRW_BP_E-24"/>
    <x v="0"/>
    <x v="18"/>
    <n v="11.2446355509146"/>
    <n v="4104.2919760838204"/>
    <n v="14775.4511139018"/>
  </r>
  <r>
    <x v="0"/>
    <x v="0"/>
    <x v="0"/>
    <x v="0"/>
    <x v="1"/>
    <s v="DK2_Rural"/>
    <x v="5"/>
    <s v="GNR_ST_STRW_BP_E-24"/>
    <x v="0"/>
    <x v="19"/>
    <n v="11.2446355509146"/>
    <n v="4104.2919760838204"/>
    <n v="14775.4511139018"/>
  </r>
  <r>
    <x v="0"/>
    <x v="0"/>
    <x v="0"/>
    <x v="0"/>
    <x v="1"/>
    <s v="DK2_Rural"/>
    <x v="5"/>
    <s v="GNR_ST_STRW_BP_E-24"/>
    <x v="0"/>
    <x v="20"/>
    <n v="11.2446355509146"/>
    <n v="4104.2919760838204"/>
    <n v="14775.4511139018"/>
  </r>
  <r>
    <x v="0"/>
    <x v="0"/>
    <x v="0"/>
    <x v="0"/>
    <x v="1"/>
    <s v="DK2_Rural"/>
    <x v="5"/>
    <s v="GNR_ST_STRW_BP_E-24"/>
    <x v="0"/>
    <x v="21"/>
    <n v="11.2446355509146"/>
    <n v="4104.2919760838204"/>
    <n v="14775.4511139018"/>
  </r>
  <r>
    <x v="0"/>
    <x v="0"/>
    <x v="0"/>
    <x v="0"/>
    <x v="1"/>
    <s v="DK2_Rural"/>
    <x v="5"/>
    <s v="GNR_ST_STRW_BP_E-24"/>
    <x v="0"/>
    <x v="22"/>
    <n v="11.2446355509146"/>
    <n v="4104.2919760838204"/>
    <n v="14775.4511139018"/>
  </r>
  <r>
    <x v="0"/>
    <x v="0"/>
    <x v="0"/>
    <x v="0"/>
    <x v="1"/>
    <s v="DK2_Rural"/>
    <x v="5"/>
    <s v="GNR_ST_STRW_BP_E-24"/>
    <x v="0"/>
    <x v="23"/>
    <n v="11.2446355509146"/>
    <n v="4104.2919760838204"/>
    <n v="14775.4511139018"/>
  </r>
  <r>
    <x v="0"/>
    <x v="0"/>
    <x v="0"/>
    <x v="0"/>
    <x v="1"/>
    <s v="DK2_Rural"/>
    <x v="5"/>
    <s v="GNR_ST_STRW_BP_E-27"/>
    <x v="0"/>
    <x v="0"/>
    <n v="22.444292559625499"/>
    <n v="8192.1667842633105"/>
    <n v="29491.800423347901"/>
  </r>
  <r>
    <x v="0"/>
    <x v="0"/>
    <x v="0"/>
    <x v="0"/>
    <x v="1"/>
    <s v="DK2_Rural"/>
    <x v="5"/>
    <s v="GNR_ST_STRW_BP_E-27"/>
    <x v="0"/>
    <x v="1"/>
    <n v="22.444292559625499"/>
    <n v="8192.1667842633105"/>
    <n v="29491.800423347901"/>
  </r>
  <r>
    <x v="0"/>
    <x v="0"/>
    <x v="0"/>
    <x v="0"/>
    <x v="1"/>
    <s v="DK2_Rural"/>
    <x v="5"/>
    <s v="GNR_ST_STRW_BP_E-27"/>
    <x v="0"/>
    <x v="2"/>
    <n v="22.444292559625499"/>
    <n v="8192.1667842633105"/>
    <n v="29491.800423347901"/>
  </r>
  <r>
    <x v="0"/>
    <x v="0"/>
    <x v="0"/>
    <x v="0"/>
    <x v="1"/>
    <s v="DK2_Rural"/>
    <x v="5"/>
    <s v="GNR_ST_STRW_BP_E-27"/>
    <x v="0"/>
    <x v="3"/>
    <n v="22.444292559625499"/>
    <n v="8192.1667842633105"/>
    <n v="29491.800423347901"/>
  </r>
  <r>
    <x v="0"/>
    <x v="0"/>
    <x v="0"/>
    <x v="0"/>
    <x v="1"/>
    <s v="DK2_Rural"/>
    <x v="5"/>
    <s v="GNR_ST_STRW_BP_E-27"/>
    <x v="0"/>
    <x v="4"/>
    <n v="22.444292559625499"/>
    <n v="8192.1667842633105"/>
    <n v="29491.800423347901"/>
  </r>
  <r>
    <x v="0"/>
    <x v="0"/>
    <x v="0"/>
    <x v="0"/>
    <x v="1"/>
    <s v="DK2_Rural"/>
    <x v="5"/>
    <s v="GNR_ST_STRW_BP_E-27"/>
    <x v="0"/>
    <x v="5"/>
    <n v="22.444292559625499"/>
    <n v="8192.1667842633105"/>
    <n v="29491.800423347901"/>
  </r>
  <r>
    <x v="0"/>
    <x v="0"/>
    <x v="0"/>
    <x v="0"/>
    <x v="1"/>
    <s v="DK2_Rural"/>
    <x v="5"/>
    <s v="GNR_ST_STRW_BP_E-27"/>
    <x v="0"/>
    <x v="6"/>
    <n v="22.444292559625499"/>
    <n v="8192.1667842633105"/>
    <n v="29491.800423347901"/>
  </r>
  <r>
    <x v="0"/>
    <x v="0"/>
    <x v="0"/>
    <x v="0"/>
    <x v="1"/>
    <s v="DK2_Rural"/>
    <x v="5"/>
    <s v="GNR_ST_STRW_BP_E-27"/>
    <x v="0"/>
    <x v="7"/>
    <n v="22.444292559625499"/>
    <n v="8192.1667842633105"/>
    <n v="29491.800423347901"/>
  </r>
  <r>
    <x v="0"/>
    <x v="0"/>
    <x v="0"/>
    <x v="0"/>
    <x v="1"/>
    <s v="DK2_Rural"/>
    <x v="5"/>
    <s v="GNR_ST_STRW_BP_E-27"/>
    <x v="0"/>
    <x v="8"/>
    <n v="22.444292559625499"/>
    <n v="8192.1667842633105"/>
    <n v="29491.800423347901"/>
  </r>
  <r>
    <x v="0"/>
    <x v="0"/>
    <x v="0"/>
    <x v="0"/>
    <x v="1"/>
    <s v="DK2_Rural"/>
    <x v="5"/>
    <s v="GNR_ST_STRW_BP_E-27"/>
    <x v="0"/>
    <x v="9"/>
    <n v="22.444292559625499"/>
    <n v="8192.1667842633105"/>
    <n v="29491.800423347901"/>
  </r>
  <r>
    <x v="0"/>
    <x v="0"/>
    <x v="0"/>
    <x v="0"/>
    <x v="1"/>
    <s v="DK2_Rural"/>
    <x v="5"/>
    <s v="GNR_ST_STRW_BP_E-27"/>
    <x v="0"/>
    <x v="10"/>
    <n v="22.444292559625499"/>
    <n v="8192.1667842633105"/>
    <n v="29491.800423347901"/>
  </r>
  <r>
    <x v="0"/>
    <x v="0"/>
    <x v="0"/>
    <x v="0"/>
    <x v="1"/>
    <s v="DK2_Rural"/>
    <x v="5"/>
    <s v="GNR_ST_STRW_BP_E-27"/>
    <x v="0"/>
    <x v="11"/>
    <n v="22.444292559625499"/>
    <n v="8192.1667842633105"/>
    <n v="29491.800423347901"/>
  </r>
  <r>
    <x v="0"/>
    <x v="0"/>
    <x v="0"/>
    <x v="0"/>
    <x v="1"/>
    <s v="DK2_Rural"/>
    <x v="5"/>
    <s v="GNR_ST_STRW_BP_E-27"/>
    <x v="0"/>
    <x v="12"/>
    <n v="22.444292559625499"/>
    <n v="8192.1667842633105"/>
    <n v="29491.800423347901"/>
  </r>
  <r>
    <x v="0"/>
    <x v="0"/>
    <x v="0"/>
    <x v="0"/>
    <x v="1"/>
    <s v="DK2_Rural"/>
    <x v="5"/>
    <s v="GNR_ST_STRW_BP_E-27"/>
    <x v="0"/>
    <x v="13"/>
    <n v="22.444292559625499"/>
    <n v="8192.1667842633105"/>
    <n v="29491.800423347901"/>
  </r>
  <r>
    <x v="0"/>
    <x v="0"/>
    <x v="0"/>
    <x v="0"/>
    <x v="1"/>
    <s v="DK2_Rural"/>
    <x v="5"/>
    <s v="GNR_ST_STRW_BP_E-27"/>
    <x v="0"/>
    <x v="14"/>
    <n v="22.444292559625499"/>
    <n v="8192.1667842633105"/>
    <n v="29491.800423347901"/>
  </r>
  <r>
    <x v="0"/>
    <x v="0"/>
    <x v="0"/>
    <x v="0"/>
    <x v="1"/>
    <s v="DK2_Rural"/>
    <x v="5"/>
    <s v="GNR_ST_STRW_BP_E-27"/>
    <x v="0"/>
    <x v="15"/>
    <n v="22.444292559625499"/>
    <n v="8192.1667842633105"/>
    <n v="29491.800423347901"/>
  </r>
  <r>
    <x v="0"/>
    <x v="0"/>
    <x v="0"/>
    <x v="0"/>
    <x v="1"/>
    <s v="DK2_Rural"/>
    <x v="5"/>
    <s v="GNR_ST_STRW_BP_E-27"/>
    <x v="0"/>
    <x v="16"/>
    <n v="22.444292559625499"/>
    <n v="8192.1667842633105"/>
    <n v="29491.800423347901"/>
  </r>
  <r>
    <x v="0"/>
    <x v="0"/>
    <x v="0"/>
    <x v="0"/>
    <x v="1"/>
    <s v="DK2_Rural"/>
    <x v="5"/>
    <s v="GNR_ST_STRW_BP_E-27"/>
    <x v="0"/>
    <x v="17"/>
    <n v="22.444292559625499"/>
    <n v="8192.1667842633105"/>
    <n v="29491.800423347901"/>
  </r>
  <r>
    <x v="0"/>
    <x v="0"/>
    <x v="0"/>
    <x v="0"/>
    <x v="1"/>
    <s v="DK2_Rural"/>
    <x v="5"/>
    <s v="GNR_ST_STRW_BP_E-27"/>
    <x v="0"/>
    <x v="18"/>
    <n v="22.444292559625499"/>
    <n v="8192.1667842633105"/>
    <n v="29491.800423347901"/>
  </r>
  <r>
    <x v="0"/>
    <x v="0"/>
    <x v="0"/>
    <x v="0"/>
    <x v="1"/>
    <s v="DK2_Rural"/>
    <x v="5"/>
    <s v="GNR_ST_STRW_BP_E-27"/>
    <x v="0"/>
    <x v="19"/>
    <n v="22.444292559625499"/>
    <n v="8192.1667842633105"/>
    <n v="29491.800423347901"/>
  </r>
  <r>
    <x v="0"/>
    <x v="0"/>
    <x v="0"/>
    <x v="0"/>
    <x v="1"/>
    <s v="DK2_Rural"/>
    <x v="5"/>
    <s v="GNR_ST_STRW_BP_E-27"/>
    <x v="0"/>
    <x v="20"/>
    <n v="22.444292559625499"/>
    <n v="8192.1667842633105"/>
    <n v="29491.800423347901"/>
  </r>
  <r>
    <x v="0"/>
    <x v="0"/>
    <x v="0"/>
    <x v="0"/>
    <x v="1"/>
    <s v="DK2_Rural"/>
    <x v="5"/>
    <s v="GNR_ST_STRW_BP_E-27"/>
    <x v="0"/>
    <x v="21"/>
    <n v="22.444292559625499"/>
    <n v="8192.1667842633105"/>
    <n v="29491.800423347901"/>
  </r>
  <r>
    <x v="0"/>
    <x v="0"/>
    <x v="0"/>
    <x v="0"/>
    <x v="1"/>
    <s v="DK2_Rural"/>
    <x v="5"/>
    <s v="GNR_ST_STRW_BP_E-27"/>
    <x v="0"/>
    <x v="22"/>
    <n v="22.444292559625499"/>
    <n v="8192.1667842633105"/>
    <n v="29491.800423347901"/>
  </r>
  <r>
    <x v="0"/>
    <x v="0"/>
    <x v="0"/>
    <x v="0"/>
    <x v="1"/>
    <s v="DK2_Rural"/>
    <x v="5"/>
    <s v="GNR_ST_STRW_BP_E-27"/>
    <x v="0"/>
    <x v="23"/>
    <n v="22.444292559625499"/>
    <n v="8192.1667842633105"/>
    <n v="29491.800423347901"/>
  </r>
  <r>
    <x v="0"/>
    <x v="0"/>
    <x v="0"/>
    <x v="0"/>
    <x v="1"/>
    <s v="DK2_Rural"/>
    <x v="5"/>
    <s v="GNR_ST_STRW_BP_E-28"/>
    <x v="0"/>
    <x v="0"/>
    <n v="25.862661767103599"/>
    <n v="9439.8715449928004"/>
    <n v="33983.537561974103"/>
  </r>
  <r>
    <x v="0"/>
    <x v="0"/>
    <x v="0"/>
    <x v="0"/>
    <x v="1"/>
    <s v="DK2_Rural"/>
    <x v="5"/>
    <s v="GNR_ST_STRW_BP_E-28"/>
    <x v="0"/>
    <x v="1"/>
    <n v="25.862661767103599"/>
    <n v="9439.8715449928004"/>
    <n v="33983.537561974103"/>
  </r>
  <r>
    <x v="0"/>
    <x v="0"/>
    <x v="0"/>
    <x v="0"/>
    <x v="1"/>
    <s v="DK2_Rural"/>
    <x v="5"/>
    <s v="GNR_ST_STRW_BP_E-28"/>
    <x v="0"/>
    <x v="2"/>
    <n v="25.862661767103599"/>
    <n v="9439.8715449928004"/>
    <n v="33983.537561974103"/>
  </r>
  <r>
    <x v="0"/>
    <x v="0"/>
    <x v="0"/>
    <x v="0"/>
    <x v="1"/>
    <s v="DK2_Rural"/>
    <x v="5"/>
    <s v="GNR_ST_STRW_BP_E-28"/>
    <x v="0"/>
    <x v="3"/>
    <n v="25.862661767103599"/>
    <n v="9439.8715449928004"/>
    <n v="33983.537561974103"/>
  </r>
  <r>
    <x v="0"/>
    <x v="0"/>
    <x v="0"/>
    <x v="0"/>
    <x v="1"/>
    <s v="DK2_Rural"/>
    <x v="5"/>
    <s v="GNR_ST_STRW_BP_E-28"/>
    <x v="0"/>
    <x v="4"/>
    <n v="25.862661767103599"/>
    <n v="9439.8715449928004"/>
    <n v="33983.537561974103"/>
  </r>
  <r>
    <x v="0"/>
    <x v="0"/>
    <x v="0"/>
    <x v="0"/>
    <x v="1"/>
    <s v="DK2_Rural"/>
    <x v="5"/>
    <s v="GNR_ST_STRW_BP_E-28"/>
    <x v="0"/>
    <x v="5"/>
    <n v="25.862661767103599"/>
    <n v="9439.8715449928004"/>
    <n v="33983.537561974103"/>
  </r>
  <r>
    <x v="0"/>
    <x v="0"/>
    <x v="0"/>
    <x v="0"/>
    <x v="1"/>
    <s v="DK2_Rural"/>
    <x v="5"/>
    <s v="GNR_ST_STRW_BP_E-28"/>
    <x v="0"/>
    <x v="6"/>
    <n v="25.862661767103599"/>
    <n v="9439.8715449928004"/>
    <n v="33983.537561974103"/>
  </r>
  <r>
    <x v="0"/>
    <x v="0"/>
    <x v="0"/>
    <x v="0"/>
    <x v="1"/>
    <s v="DK2_Rural"/>
    <x v="5"/>
    <s v="GNR_ST_STRW_BP_E-28"/>
    <x v="0"/>
    <x v="7"/>
    <n v="25.862661767103599"/>
    <n v="9439.8715449928004"/>
    <n v="33983.537561974103"/>
  </r>
  <r>
    <x v="0"/>
    <x v="0"/>
    <x v="0"/>
    <x v="0"/>
    <x v="1"/>
    <s v="DK2_Rural"/>
    <x v="5"/>
    <s v="GNR_ST_STRW_BP_E-28"/>
    <x v="0"/>
    <x v="8"/>
    <n v="25.862661767103599"/>
    <n v="9439.8715449928004"/>
    <n v="33983.537561974103"/>
  </r>
  <r>
    <x v="0"/>
    <x v="0"/>
    <x v="0"/>
    <x v="0"/>
    <x v="1"/>
    <s v="DK2_Rural"/>
    <x v="5"/>
    <s v="GNR_ST_STRW_BP_E-28"/>
    <x v="0"/>
    <x v="9"/>
    <n v="25.862661767103599"/>
    <n v="9439.8715449928004"/>
    <n v="33983.537561974103"/>
  </r>
  <r>
    <x v="0"/>
    <x v="0"/>
    <x v="0"/>
    <x v="0"/>
    <x v="1"/>
    <s v="DK2_Rural"/>
    <x v="5"/>
    <s v="GNR_ST_STRW_BP_E-28"/>
    <x v="0"/>
    <x v="10"/>
    <n v="25.862661767103599"/>
    <n v="9439.8715449928004"/>
    <n v="33983.537561974103"/>
  </r>
  <r>
    <x v="0"/>
    <x v="0"/>
    <x v="0"/>
    <x v="0"/>
    <x v="1"/>
    <s v="DK2_Rural"/>
    <x v="5"/>
    <s v="GNR_ST_STRW_BP_E-28"/>
    <x v="0"/>
    <x v="11"/>
    <n v="25.862661767103599"/>
    <n v="9439.8715449928004"/>
    <n v="33983.537561974103"/>
  </r>
  <r>
    <x v="0"/>
    <x v="0"/>
    <x v="0"/>
    <x v="0"/>
    <x v="1"/>
    <s v="DK2_Rural"/>
    <x v="5"/>
    <s v="GNR_ST_STRW_BP_E-28"/>
    <x v="0"/>
    <x v="12"/>
    <n v="25.862661767103599"/>
    <n v="9439.8715449928004"/>
    <n v="33983.537561974103"/>
  </r>
  <r>
    <x v="0"/>
    <x v="0"/>
    <x v="0"/>
    <x v="0"/>
    <x v="1"/>
    <s v="DK2_Rural"/>
    <x v="5"/>
    <s v="GNR_ST_STRW_BP_E-28"/>
    <x v="0"/>
    <x v="13"/>
    <n v="25.862661767103599"/>
    <n v="9439.8715449928004"/>
    <n v="33983.537561974103"/>
  </r>
  <r>
    <x v="0"/>
    <x v="0"/>
    <x v="0"/>
    <x v="0"/>
    <x v="1"/>
    <s v="DK2_Rural"/>
    <x v="5"/>
    <s v="GNR_ST_STRW_BP_E-28"/>
    <x v="0"/>
    <x v="14"/>
    <n v="25.862661767103599"/>
    <n v="9439.8715449928004"/>
    <n v="33983.537561974103"/>
  </r>
  <r>
    <x v="0"/>
    <x v="0"/>
    <x v="0"/>
    <x v="0"/>
    <x v="1"/>
    <s v="DK2_Rural"/>
    <x v="5"/>
    <s v="GNR_ST_STRW_BP_E-28"/>
    <x v="0"/>
    <x v="15"/>
    <n v="25.862661767103599"/>
    <n v="9439.8715449928004"/>
    <n v="33983.537561974103"/>
  </r>
  <r>
    <x v="0"/>
    <x v="0"/>
    <x v="0"/>
    <x v="0"/>
    <x v="1"/>
    <s v="DK2_Rural"/>
    <x v="5"/>
    <s v="GNR_ST_STRW_BP_E-28"/>
    <x v="0"/>
    <x v="16"/>
    <n v="25.862661767103599"/>
    <n v="9439.8715449928004"/>
    <n v="33983.537561974103"/>
  </r>
  <r>
    <x v="0"/>
    <x v="0"/>
    <x v="0"/>
    <x v="0"/>
    <x v="1"/>
    <s v="DK2_Rural"/>
    <x v="5"/>
    <s v="GNR_ST_STRW_BP_E-28"/>
    <x v="0"/>
    <x v="17"/>
    <n v="25.862661767103599"/>
    <n v="9439.8715449928004"/>
    <n v="33983.537561974103"/>
  </r>
  <r>
    <x v="0"/>
    <x v="0"/>
    <x v="0"/>
    <x v="0"/>
    <x v="1"/>
    <s v="DK2_Rural"/>
    <x v="5"/>
    <s v="GNR_ST_STRW_BP_E-28"/>
    <x v="0"/>
    <x v="18"/>
    <n v="25.862661767103599"/>
    <n v="9439.8715449928004"/>
    <n v="33983.537561974103"/>
  </r>
  <r>
    <x v="0"/>
    <x v="0"/>
    <x v="0"/>
    <x v="0"/>
    <x v="1"/>
    <s v="DK2_Rural"/>
    <x v="5"/>
    <s v="GNR_ST_STRW_BP_E-28"/>
    <x v="0"/>
    <x v="19"/>
    <n v="25.862661767103599"/>
    <n v="9439.8715449928004"/>
    <n v="33983.537561974103"/>
  </r>
  <r>
    <x v="0"/>
    <x v="0"/>
    <x v="0"/>
    <x v="0"/>
    <x v="1"/>
    <s v="DK2_Rural"/>
    <x v="5"/>
    <s v="GNR_ST_STRW_BP_E-28"/>
    <x v="0"/>
    <x v="20"/>
    <n v="25.862661767103599"/>
    <n v="9439.8715449928004"/>
    <n v="33983.537561974103"/>
  </r>
  <r>
    <x v="0"/>
    <x v="0"/>
    <x v="0"/>
    <x v="0"/>
    <x v="1"/>
    <s v="DK2_Rural"/>
    <x v="5"/>
    <s v="GNR_ST_STRW_BP_E-28"/>
    <x v="0"/>
    <x v="21"/>
    <n v="25.862661767103599"/>
    <n v="9439.8715449928004"/>
    <n v="33983.537561974103"/>
  </r>
  <r>
    <x v="0"/>
    <x v="0"/>
    <x v="0"/>
    <x v="0"/>
    <x v="1"/>
    <s v="DK2_Rural"/>
    <x v="5"/>
    <s v="GNR_ST_STRW_BP_E-28"/>
    <x v="0"/>
    <x v="22"/>
    <n v="25.862661767103599"/>
    <n v="9439.8715449928004"/>
    <n v="33983.537561974103"/>
  </r>
  <r>
    <x v="0"/>
    <x v="0"/>
    <x v="0"/>
    <x v="0"/>
    <x v="1"/>
    <s v="DK2_Rural"/>
    <x v="5"/>
    <s v="GNR_ST_STRW_BP_E-28"/>
    <x v="0"/>
    <x v="23"/>
    <n v="25.862661767103599"/>
    <n v="9439.8715449928004"/>
    <n v="33983.537561974103"/>
  </r>
  <r>
    <x v="0"/>
    <x v="0"/>
    <x v="0"/>
    <x v="0"/>
    <x v="1"/>
    <s v="DK2_Rural"/>
    <x v="2"/>
    <s v="GNR_EH_HEAT"/>
    <x v="0"/>
    <x v="0"/>
    <n v="16.5"/>
    <n v="6022.5"/>
    <n v="21681"/>
  </r>
  <r>
    <x v="0"/>
    <x v="0"/>
    <x v="0"/>
    <x v="0"/>
    <x v="1"/>
    <s v="DK2_Rural"/>
    <x v="2"/>
    <s v="GNR_EH_HEAT"/>
    <x v="0"/>
    <x v="1"/>
    <n v="16.5"/>
    <n v="6022.5"/>
    <n v="21681"/>
  </r>
  <r>
    <x v="0"/>
    <x v="0"/>
    <x v="0"/>
    <x v="0"/>
    <x v="1"/>
    <s v="DK2_Rural"/>
    <x v="2"/>
    <s v="GNR_EH_HEAT"/>
    <x v="0"/>
    <x v="2"/>
    <n v="16.5"/>
    <n v="6022.5"/>
    <n v="21681"/>
  </r>
  <r>
    <x v="0"/>
    <x v="0"/>
    <x v="0"/>
    <x v="0"/>
    <x v="1"/>
    <s v="DK2_Rural"/>
    <x v="2"/>
    <s v="GNR_EH_HEAT"/>
    <x v="0"/>
    <x v="3"/>
    <n v="16.5"/>
    <n v="6022.5"/>
    <n v="21681"/>
  </r>
  <r>
    <x v="0"/>
    <x v="0"/>
    <x v="0"/>
    <x v="0"/>
    <x v="1"/>
    <s v="DK2_Rural"/>
    <x v="2"/>
    <s v="GNR_EH_HEAT"/>
    <x v="0"/>
    <x v="4"/>
    <n v="16.5"/>
    <n v="6022.5"/>
    <n v="21681"/>
  </r>
  <r>
    <x v="0"/>
    <x v="0"/>
    <x v="0"/>
    <x v="0"/>
    <x v="1"/>
    <s v="DK2_Rural"/>
    <x v="2"/>
    <s v="GNR_EH_HEAT"/>
    <x v="0"/>
    <x v="5"/>
    <n v="16.5"/>
    <n v="6022.5"/>
    <n v="21681"/>
  </r>
  <r>
    <x v="0"/>
    <x v="0"/>
    <x v="0"/>
    <x v="0"/>
    <x v="1"/>
    <s v="DK2_Rural"/>
    <x v="2"/>
    <s v="GNR_EH_HEAT"/>
    <x v="0"/>
    <x v="6"/>
    <n v="16.5"/>
    <n v="6022.5"/>
    <n v="21681"/>
  </r>
  <r>
    <x v="0"/>
    <x v="0"/>
    <x v="0"/>
    <x v="0"/>
    <x v="1"/>
    <s v="DK2_Rural"/>
    <x v="2"/>
    <s v="GNR_EH_HEAT"/>
    <x v="0"/>
    <x v="7"/>
    <n v="16.5"/>
    <n v="6022.5"/>
    <n v="21681"/>
  </r>
  <r>
    <x v="0"/>
    <x v="0"/>
    <x v="0"/>
    <x v="0"/>
    <x v="1"/>
    <s v="DK2_Rural"/>
    <x v="2"/>
    <s v="GNR_EH_HEAT"/>
    <x v="0"/>
    <x v="8"/>
    <n v="16.5"/>
    <n v="6022.5"/>
    <n v="21681"/>
  </r>
  <r>
    <x v="0"/>
    <x v="0"/>
    <x v="0"/>
    <x v="0"/>
    <x v="1"/>
    <s v="DK2_Rural"/>
    <x v="2"/>
    <s v="GNR_EH_HEAT"/>
    <x v="0"/>
    <x v="9"/>
    <n v="16.5"/>
    <n v="6022.5"/>
    <n v="21681"/>
  </r>
  <r>
    <x v="0"/>
    <x v="0"/>
    <x v="0"/>
    <x v="0"/>
    <x v="1"/>
    <s v="DK2_Rural"/>
    <x v="2"/>
    <s v="GNR_EH_HEAT"/>
    <x v="0"/>
    <x v="10"/>
    <n v="16.5"/>
    <n v="6022.5"/>
    <n v="21681"/>
  </r>
  <r>
    <x v="0"/>
    <x v="0"/>
    <x v="0"/>
    <x v="0"/>
    <x v="1"/>
    <s v="DK2_Rural"/>
    <x v="2"/>
    <s v="GNR_EH_HEAT"/>
    <x v="0"/>
    <x v="11"/>
    <n v="16.5"/>
    <n v="6022.5"/>
    <n v="21681"/>
  </r>
  <r>
    <x v="0"/>
    <x v="0"/>
    <x v="0"/>
    <x v="0"/>
    <x v="1"/>
    <s v="DK2_Rural"/>
    <x v="2"/>
    <s v="GNR_EH_HEAT"/>
    <x v="0"/>
    <x v="12"/>
    <n v="16.5"/>
    <n v="6022.5"/>
    <n v="21681"/>
  </r>
  <r>
    <x v="0"/>
    <x v="0"/>
    <x v="0"/>
    <x v="0"/>
    <x v="1"/>
    <s v="DK2_Rural"/>
    <x v="2"/>
    <s v="GNR_EH_HEAT"/>
    <x v="0"/>
    <x v="13"/>
    <n v="16.5"/>
    <n v="6022.5"/>
    <n v="21681"/>
  </r>
  <r>
    <x v="0"/>
    <x v="0"/>
    <x v="0"/>
    <x v="0"/>
    <x v="1"/>
    <s v="DK2_Rural"/>
    <x v="2"/>
    <s v="GNR_EH_HEAT"/>
    <x v="0"/>
    <x v="14"/>
    <n v="16.5"/>
    <n v="6022.5"/>
    <n v="21681"/>
  </r>
  <r>
    <x v="0"/>
    <x v="0"/>
    <x v="0"/>
    <x v="0"/>
    <x v="1"/>
    <s v="DK2_Rural"/>
    <x v="2"/>
    <s v="GNR_EH_HEAT"/>
    <x v="0"/>
    <x v="15"/>
    <n v="16.5"/>
    <n v="6022.5"/>
    <n v="21681"/>
  </r>
  <r>
    <x v="0"/>
    <x v="0"/>
    <x v="0"/>
    <x v="0"/>
    <x v="1"/>
    <s v="DK2_Rural"/>
    <x v="2"/>
    <s v="GNR_EH_HEAT"/>
    <x v="0"/>
    <x v="16"/>
    <n v="16.5"/>
    <n v="6022.5"/>
    <n v="21681"/>
  </r>
  <r>
    <x v="0"/>
    <x v="0"/>
    <x v="0"/>
    <x v="0"/>
    <x v="1"/>
    <s v="DK2_Rural"/>
    <x v="2"/>
    <s v="GNR_EH_HEAT"/>
    <x v="0"/>
    <x v="17"/>
    <n v="16.5"/>
    <n v="6022.5"/>
    <n v="21681"/>
  </r>
  <r>
    <x v="0"/>
    <x v="0"/>
    <x v="0"/>
    <x v="0"/>
    <x v="1"/>
    <s v="DK2_Rural"/>
    <x v="2"/>
    <s v="GNR_EH_HEAT"/>
    <x v="0"/>
    <x v="18"/>
    <n v="16.5"/>
    <n v="6022.5"/>
    <n v="21681"/>
  </r>
  <r>
    <x v="0"/>
    <x v="0"/>
    <x v="0"/>
    <x v="0"/>
    <x v="1"/>
    <s v="DK2_Rural"/>
    <x v="2"/>
    <s v="GNR_EH_HEAT"/>
    <x v="0"/>
    <x v="19"/>
    <n v="16.5"/>
    <n v="6022.5"/>
    <n v="21681"/>
  </r>
  <r>
    <x v="0"/>
    <x v="0"/>
    <x v="0"/>
    <x v="0"/>
    <x v="1"/>
    <s v="DK2_Rural"/>
    <x v="2"/>
    <s v="GNR_EH_HEAT"/>
    <x v="0"/>
    <x v="20"/>
    <n v="16.5"/>
    <n v="6022.5"/>
    <n v="21681"/>
  </r>
  <r>
    <x v="0"/>
    <x v="0"/>
    <x v="0"/>
    <x v="0"/>
    <x v="1"/>
    <s v="DK2_Rural"/>
    <x v="2"/>
    <s v="GNR_EH_HEAT"/>
    <x v="0"/>
    <x v="21"/>
    <n v="16.5"/>
    <n v="6022.5"/>
    <n v="21681"/>
  </r>
  <r>
    <x v="0"/>
    <x v="0"/>
    <x v="0"/>
    <x v="0"/>
    <x v="1"/>
    <s v="DK2_Rural"/>
    <x v="2"/>
    <s v="GNR_EH_HEAT"/>
    <x v="0"/>
    <x v="22"/>
    <n v="16.5"/>
    <n v="6022.5"/>
    <n v="21681"/>
  </r>
  <r>
    <x v="0"/>
    <x v="0"/>
    <x v="0"/>
    <x v="0"/>
    <x v="1"/>
    <s v="DK2_Rural"/>
    <x v="2"/>
    <s v="GNR_EH_HEAT"/>
    <x v="0"/>
    <x v="23"/>
    <n v="16.5"/>
    <n v="6022.5"/>
    <n v="21681"/>
  </r>
  <r>
    <x v="0"/>
    <x v="0"/>
    <x v="0"/>
    <x v="0"/>
    <x v="1"/>
    <s v="DK2_Rural"/>
    <x v="7"/>
    <s v="GNR_BO_WOODWST_E-100"/>
    <x v="0"/>
    <x v="0"/>
    <n v="6.3"/>
    <n v="2299.5"/>
    <n v="8278.2000000000007"/>
  </r>
  <r>
    <x v="0"/>
    <x v="0"/>
    <x v="0"/>
    <x v="0"/>
    <x v="1"/>
    <s v="DK2_Rural"/>
    <x v="7"/>
    <s v="GNR_BO_WOODWST_E-100"/>
    <x v="0"/>
    <x v="1"/>
    <n v="6.3"/>
    <n v="2299.5"/>
    <n v="8278.2000000000007"/>
  </r>
  <r>
    <x v="0"/>
    <x v="0"/>
    <x v="0"/>
    <x v="0"/>
    <x v="1"/>
    <s v="DK2_Rural"/>
    <x v="7"/>
    <s v="GNR_BO_WOODWST_E-100"/>
    <x v="0"/>
    <x v="2"/>
    <n v="6.3"/>
    <n v="2299.5"/>
    <n v="8278.2000000000007"/>
  </r>
  <r>
    <x v="0"/>
    <x v="0"/>
    <x v="0"/>
    <x v="0"/>
    <x v="1"/>
    <s v="DK2_Rural"/>
    <x v="7"/>
    <s v="GNR_BO_WOODWST_E-100"/>
    <x v="0"/>
    <x v="3"/>
    <n v="6.3"/>
    <n v="2299.5"/>
    <n v="8278.2000000000007"/>
  </r>
  <r>
    <x v="0"/>
    <x v="0"/>
    <x v="0"/>
    <x v="0"/>
    <x v="1"/>
    <s v="DK2_Rural"/>
    <x v="7"/>
    <s v="GNR_BO_WOODWST_E-100"/>
    <x v="0"/>
    <x v="4"/>
    <n v="6.3"/>
    <n v="2299.5"/>
    <n v="8278.2000000000007"/>
  </r>
  <r>
    <x v="0"/>
    <x v="0"/>
    <x v="0"/>
    <x v="0"/>
    <x v="1"/>
    <s v="DK2_Rural"/>
    <x v="7"/>
    <s v="GNR_BO_WOODWST_E-100"/>
    <x v="0"/>
    <x v="5"/>
    <n v="6.3"/>
    <n v="2299.5"/>
    <n v="8278.2000000000007"/>
  </r>
  <r>
    <x v="0"/>
    <x v="0"/>
    <x v="0"/>
    <x v="0"/>
    <x v="1"/>
    <s v="DK2_Rural"/>
    <x v="7"/>
    <s v="GNR_BO_WOODWST_E-100"/>
    <x v="0"/>
    <x v="6"/>
    <n v="6.3"/>
    <n v="2299.5"/>
    <n v="8278.2000000000007"/>
  </r>
  <r>
    <x v="0"/>
    <x v="0"/>
    <x v="0"/>
    <x v="0"/>
    <x v="1"/>
    <s v="DK2_Rural"/>
    <x v="7"/>
    <s v="GNR_BO_WOODWST_E-100"/>
    <x v="0"/>
    <x v="7"/>
    <n v="6.3"/>
    <n v="2299.5"/>
    <n v="8278.2000000000007"/>
  </r>
  <r>
    <x v="0"/>
    <x v="0"/>
    <x v="0"/>
    <x v="0"/>
    <x v="1"/>
    <s v="DK2_Rural"/>
    <x v="7"/>
    <s v="GNR_BO_WOODWST_E-100"/>
    <x v="0"/>
    <x v="8"/>
    <n v="6.3"/>
    <n v="2299.5"/>
    <n v="8278.2000000000007"/>
  </r>
  <r>
    <x v="0"/>
    <x v="0"/>
    <x v="0"/>
    <x v="0"/>
    <x v="1"/>
    <s v="DK2_Rural"/>
    <x v="7"/>
    <s v="GNR_BO_WOODWST_E-100"/>
    <x v="0"/>
    <x v="9"/>
    <n v="6.3"/>
    <n v="2299.5"/>
    <n v="8278.2000000000007"/>
  </r>
  <r>
    <x v="0"/>
    <x v="0"/>
    <x v="0"/>
    <x v="0"/>
    <x v="1"/>
    <s v="DK2_Rural"/>
    <x v="7"/>
    <s v="GNR_BO_WOODWST_E-100"/>
    <x v="0"/>
    <x v="10"/>
    <n v="6.3"/>
    <n v="2299.5"/>
    <n v="8278.2000000000007"/>
  </r>
  <r>
    <x v="0"/>
    <x v="0"/>
    <x v="0"/>
    <x v="0"/>
    <x v="1"/>
    <s v="DK2_Rural"/>
    <x v="7"/>
    <s v="GNR_BO_WOODWST_E-100"/>
    <x v="0"/>
    <x v="11"/>
    <n v="6.3"/>
    <n v="2299.5"/>
    <n v="8278.2000000000007"/>
  </r>
  <r>
    <x v="0"/>
    <x v="0"/>
    <x v="0"/>
    <x v="0"/>
    <x v="1"/>
    <s v="DK2_Rural"/>
    <x v="7"/>
    <s v="GNR_BO_WOODWST_E-100"/>
    <x v="0"/>
    <x v="12"/>
    <n v="6.3"/>
    <n v="2299.5"/>
    <n v="8278.2000000000007"/>
  </r>
  <r>
    <x v="0"/>
    <x v="0"/>
    <x v="0"/>
    <x v="0"/>
    <x v="1"/>
    <s v="DK2_Rural"/>
    <x v="7"/>
    <s v="GNR_BO_WOODWST_E-100"/>
    <x v="0"/>
    <x v="13"/>
    <n v="6.3"/>
    <n v="2299.5"/>
    <n v="8278.2000000000007"/>
  </r>
  <r>
    <x v="0"/>
    <x v="0"/>
    <x v="0"/>
    <x v="0"/>
    <x v="1"/>
    <s v="DK2_Rural"/>
    <x v="7"/>
    <s v="GNR_BO_WOODWST_E-100"/>
    <x v="0"/>
    <x v="14"/>
    <n v="6.3"/>
    <n v="2299.5"/>
    <n v="8278.2000000000007"/>
  </r>
  <r>
    <x v="0"/>
    <x v="0"/>
    <x v="0"/>
    <x v="0"/>
    <x v="1"/>
    <s v="DK2_Rural"/>
    <x v="7"/>
    <s v="GNR_BO_WOODWST_E-100"/>
    <x v="0"/>
    <x v="15"/>
    <n v="6.3"/>
    <n v="2299.5"/>
    <n v="8278.2000000000007"/>
  </r>
  <r>
    <x v="0"/>
    <x v="0"/>
    <x v="0"/>
    <x v="0"/>
    <x v="1"/>
    <s v="DK2_Rural"/>
    <x v="7"/>
    <s v="GNR_BO_WOODWST_E-100"/>
    <x v="0"/>
    <x v="16"/>
    <n v="6.3"/>
    <n v="2299.5"/>
    <n v="8278.2000000000007"/>
  </r>
  <r>
    <x v="0"/>
    <x v="0"/>
    <x v="0"/>
    <x v="0"/>
    <x v="1"/>
    <s v="DK2_Rural"/>
    <x v="7"/>
    <s v="GNR_BO_WOODWST_E-100"/>
    <x v="0"/>
    <x v="17"/>
    <n v="6.3"/>
    <n v="2299.5"/>
    <n v="8278.2000000000007"/>
  </r>
  <r>
    <x v="0"/>
    <x v="0"/>
    <x v="0"/>
    <x v="0"/>
    <x v="1"/>
    <s v="DK2_Rural"/>
    <x v="7"/>
    <s v="GNR_BO_WOODWST_E-100"/>
    <x v="0"/>
    <x v="18"/>
    <n v="6.3"/>
    <n v="2299.5"/>
    <n v="8278.2000000000007"/>
  </r>
  <r>
    <x v="0"/>
    <x v="0"/>
    <x v="0"/>
    <x v="0"/>
    <x v="1"/>
    <s v="DK2_Rural"/>
    <x v="7"/>
    <s v="GNR_BO_WOODWST_E-100"/>
    <x v="0"/>
    <x v="19"/>
    <n v="6.3"/>
    <n v="2299.5"/>
    <n v="8278.2000000000007"/>
  </r>
  <r>
    <x v="0"/>
    <x v="0"/>
    <x v="0"/>
    <x v="0"/>
    <x v="1"/>
    <s v="DK2_Rural"/>
    <x v="7"/>
    <s v="GNR_BO_WOODWST_E-100"/>
    <x v="0"/>
    <x v="20"/>
    <n v="6.3"/>
    <n v="2299.5"/>
    <n v="8278.2000000000007"/>
  </r>
  <r>
    <x v="0"/>
    <x v="0"/>
    <x v="0"/>
    <x v="0"/>
    <x v="1"/>
    <s v="DK2_Rural"/>
    <x v="7"/>
    <s v="GNR_BO_WOODWST_E-100"/>
    <x v="0"/>
    <x v="21"/>
    <n v="6.3"/>
    <n v="2299.5"/>
    <n v="8278.2000000000007"/>
  </r>
  <r>
    <x v="0"/>
    <x v="0"/>
    <x v="0"/>
    <x v="0"/>
    <x v="1"/>
    <s v="DK2_Rural"/>
    <x v="7"/>
    <s v="GNR_BO_WOODWST_E-100"/>
    <x v="0"/>
    <x v="22"/>
    <n v="6.3"/>
    <n v="2299.5"/>
    <n v="8278.2000000000007"/>
  </r>
  <r>
    <x v="0"/>
    <x v="0"/>
    <x v="0"/>
    <x v="0"/>
    <x v="1"/>
    <s v="DK2_Rural"/>
    <x v="7"/>
    <s v="GNR_BO_WOODWST_E-100"/>
    <x v="0"/>
    <x v="23"/>
    <n v="6.3"/>
    <n v="2299.5"/>
    <n v="8278.2000000000007"/>
  </r>
  <r>
    <x v="0"/>
    <x v="0"/>
    <x v="0"/>
    <x v="0"/>
    <x v="1"/>
    <s v="DK2_Small"/>
    <x v="1"/>
    <s v="GNR_BO_MSW_E-105"/>
    <x v="0"/>
    <x v="0"/>
    <n v="3.3"/>
    <n v="1204.5"/>
    <n v="4336.2"/>
  </r>
  <r>
    <x v="0"/>
    <x v="0"/>
    <x v="0"/>
    <x v="0"/>
    <x v="1"/>
    <s v="DK2_Small"/>
    <x v="1"/>
    <s v="GNR_BO_MSW_E-105"/>
    <x v="0"/>
    <x v="1"/>
    <n v="3.3"/>
    <n v="1204.5"/>
    <n v="4336.2"/>
  </r>
  <r>
    <x v="0"/>
    <x v="0"/>
    <x v="0"/>
    <x v="0"/>
    <x v="1"/>
    <s v="DK2_Small"/>
    <x v="1"/>
    <s v="GNR_BO_MSW_E-105"/>
    <x v="0"/>
    <x v="2"/>
    <n v="3.3"/>
    <n v="1204.5"/>
    <n v="4336.2"/>
  </r>
  <r>
    <x v="0"/>
    <x v="0"/>
    <x v="0"/>
    <x v="0"/>
    <x v="1"/>
    <s v="DK2_Small"/>
    <x v="1"/>
    <s v="GNR_BO_MSW_E-105"/>
    <x v="0"/>
    <x v="3"/>
    <n v="3.3"/>
    <n v="1204.5"/>
    <n v="4336.2"/>
  </r>
  <r>
    <x v="0"/>
    <x v="0"/>
    <x v="0"/>
    <x v="0"/>
    <x v="1"/>
    <s v="DK2_Small"/>
    <x v="1"/>
    <s v="GNR_BO_MSW_E-105"/>
    <x v="0"/>
    <x v="4"/>
    <n v="3.3"/>
    <n v="1204.5"/>
    <n v="4336.2"/>
  </r>
  <r>
    <x v="0"/>
    <x v="0"/>
    <x v="0"/>
    <x v="0"/>
    <x v="1"/>
    <s v="DK2_Small"/>
    <x v="1"/>
    <s v="GNR_BO_MSW_E-105"/>
    <x v="0"/>
    <x v="5"/>
    <n v="3.3"/>
    <n v="1204.5"/>
    <n v="4336.2"/>
  </r>
  <r>
    <x v="0"/>
    <x v="0"/>
    <x v="0"/>
    <x v="0"/>
    <x v="1"/>
    <s v="DK2_Small"/>
    <x v="1"/>
    <s v="GNR_BO_MSW_E-105"/>
    <x v="0"/>
    <x v="6"/>
    <n v="3.3"/>
    <n v="1204.5"/>
    <n v="4336.2"/>
  </r>
  <r>
    <x v="0"/>
    <x v="0"/>
    <x v="0"/>
    <x v="0"/>
    <x v="1"/>
    <s v="DK2_Small"/>
    <x v="1"/>
    <s v="GNR_BO_MSW_E-105"/>
    <x v="0"/>
    <x v="7"/>
    <n v="3.3"/>
    <n v="1204.5"/>
    <n v="4336.2"/>
  </r>
  <r>
    <x v="0"/>
    <x v="0"/>
    <x v="0"/>
    <x v="0"/>
    <x v="1"/>
    <s v="DK2_Small"/>
    <x v="1"/>
    <s v="GNR_BO_MSW_E-105"/>
    <x v="0"/>
    <x v="8"/>
    <n v="3.3"/>
    <n v="1204.5"/>
    <n v="4336.2"/>
  </r>
  <r>
    <x v="0"/>
    <x v="0"/>
    <x v="0"/>
    <x v="0"/>
    <x v="1"/>
    <s v="DK2_Small"/>
    <x v="1"/>
    <s v="GNR_BO_MSW_E-105"/>
    <x v="0"/>
    <x v="9"/>
    <n v="3.3"/>
    <n v="1204.5"/>
    <n v="4336.2"/>
  </r>
  <r>
    <x v="0"/>
    <x v="0"/>
    <x v="0"/>
    <x v="0"/>
    <x v="1"/>
    <s v="DK2_Small"/>
    <x v="1"/>
    <s v="GNR_BO_MSW_E-105"/>
    <x v="0"/>
    <x v="10"/>
    <n v="3.3"/>
    <n v="1204.5"/>
    <n v="4336.2"/>
  </r>
  <r>
    <x v="0"/>
    <x v="0"/>
    <x v="0"/>
    <x v="0"/>
    <x v="1"/>
    <s v="DK2_Small"/>
    <x v="1"/>
    <s v="GNR_BO_MSW_E-105"/>
    <x v="0"/>
    <x v="11"/>
    <n v="3.3"/>
    <n v="1204.5"/>
    <n v="4336.2"/>
  </r>
  <r>
    <x v="0"/>
    <x v="0"/>
    <x v="0"/>
    <x v="0"/>
    <x v="1"/>
    <s v="DK2_Small"/>
    <x v="1"/>
    <s v="GNR_BO_MSW_E-105"/>
    <x v="0"/>
    <x v="12"/>
    <n v="3.3"/>
    <n v="1204.5"/>
    <n v="4336.2"/>
  </r>
  <r>
    <x v="0"/>
    <x v="0"/>
    <x v="0"/>
    <x v="0"/>
    <x v="1"/>
    <s v="DK2_Small"/>
    <x v="1"/>
    <s v="GNR_BO_MSW_E-105"/>
    <x v="0"/>
    <x v="13"/>
    <n v="3.3"/>
    <n v="1204.5"/>
    <n v="4336.2"/>
  </r>
  <r>
    <x v="0"/>
    <x v="0"/>
    <x v="0"/>
    <x v="0"/>
    <x v="1"/>
    <s v="DK2_Small"/>
    <x v="1"/>
    <s v="GNR_BO_MSW_E-105"/>
    <x v="0"/>
    <x v="14"/>
    <n v="3.3"/>
    <n v="1204.5"/>
    <n v="4336.2"/>
  </r>
  <r>
    <x v="0"/>
    <x v="0"/>
    <x v="0"/>
    <x v="0"/>
    <x v="1"/>
    <s v="DK2_Small"/>
    <x v="1"/>
    <s v="GNR_BO_MSW_E-105"/>
    <x v="0"/>
    <x v="15"/>
    <n v="3.3"/>
    <n v="1204.5"/>
    <n v="4336.2"/>
  </r>
  <r>
    <x v="0"/>
    <x v="0"/>
    <x v="0"/>
    <x v="0"/>
    <x v="1"/>
    <s v="DK2_Small"/>
    <x v="1"/>
    <s v="GNR_BO_MSW_E-105"/>
    <x v="0"/>
    <x v="16"/>
    <n v="3.3"/>
    <n v="1204.5"/>
    <n v="4336.2"/>
  </r>
  <r>
    <x v="0"/>
    <x v="0"/>
    <x v="0"/>
    <x v="0"/>
    <x v="1"/>
    <s v="DK2_Small"/>
    <x v="1"/>
    <s v="GNR_BO_MSW_E-105"/>
    <x v="0"/>
    <x v="17"/>
    <n v="3.3"/>
    <n v="1204.5"/>
    <n v="4336.2"/>
  </r>
  <r>
    <x v="0"/>
    <x v="0"/>
    <x v="0"/>
    <x v="0"/>
    <x v="1"/>
    <s v="DK2_Small"/>
    <x v="1"/>
    <s v="GNR_BO_MSW_E-105"/>
    <x v="0"/>
    <x v="18"/>
    <n v="3.3"/>
    <n v="1204.5"/>
    <n v="4336.2"/>
  </r>
  <r>
    <x v="0"/>
    <x v="0"/>
    <x v="0"/>
    <x v="0"/>
    <x v="1"/>
    <s v="DK2_Small"/>
    <x v="1"/>
    <s v="GNR_BO_MSW_E-105"/>
    <x v="0"/>
    <x v="19"/>
    <n v="3.3"/>
    <n v="1204.5"/>
    <n v="4336.2"/>
  </r>
  <r>
    <x v="0"/>
    <x v="0"/>
    <x v="0"/>
    <x v="0"/>
    <x v="1"/>
    <s v="DK2_Small"/>
    <x v="1"/>
    <s v="GNR_BO_MSW_E-105"/>
    <x v="0"/>
    <x v="20"/>
    <n v="3.3"/>
    <n v="1204.5"/>
    <n v="4336.2"/>
  </r>
  <r>
    <x v="0"/>
    <x v="0"/>
    <x v="0"/>
    <x v="0"/>
    <x v="1"/>
    <s v="DK2_Small"/>
    <x v="1"/>
    <s v="GNR_BO_MSW_E-105"/>
    <x v="0"/>
    <x v="21"/>
    <n v="3.3"/>
    <n v="1204.5"/>
    <n v="4336.2"/>
  </r>
  <r>
    <x v="0"/>
    <x v="0"/>
    <x v="0"/>
    <x v="0"/>
    <x v="1"/>
    <s v="DK2_Small"/>
    <x v="1"/>
    <s v="GNR_BO_MSW_E-105"/>
    <x v="0"/>
    <x v="22"/>
    <n v="3.3"/>
    <n v="1204.5"/>
    <n v="4336.2"/>
  </r>
  <r>
    <x v="0"/>
    <x v="0"/>
    <x v="0"/>
    <x v="0"/>
    <x v="1"/>
    <s v="DK2_Small"/>
    <x v="1"/>
    <s v="GNR_BO_MSW_E-105"/>
    <x v="0"/>
    <x v="23"/>
    <n v="3.3"/>
    <n v="1204.5"/>
    <n v="4336.2"/>
  </r>
  <r>
    <x v="0"/>
    <x v="0"/>
    <x v="0"/>
    <x v="0"/>
    <x v="1"/>
    <s v="DK2_Small"/>
    <x v="4"/>
    <s v="GNR_BO_NGAS_E-101"/>
    <x v="0"/>
    <x v="5"/>
    <n v="0.29310535123623799"/>
    <n v="106.98345320122699"/>
    <n v="385.14043152441701"/>
  </r>
  <r>
    <x v="0"/>
    <x v="0"/>
    <x v="0"/>
    <x v="0"/>
    <x v="1"/>
    <s v="DK2_Small"/>
    <x v="4"/>
    <s v="GNR_BO_NGAS_E-101"/>
    <x v="0"/>
    <x v="6"/>
    <n v="2.2253953435818699"/>
    <n v="812.26930040738398"/>
    <n v="2924.1694814665798"/>
  </r>
  <r>
    <x v="0"/>
    <x v="0"/>
    <x v="0"/>
    <x v="0"/>
    <x v="1"/>
    <s v="DK2_Small"/>
    <x v="4"/>
    <s v="GNR_BO_NGAS_E-101"/>
    <x v="0"/>
    <x v="7"/>
    <n v="4.0732136422730498"/>
    <n v="1486.72297942966"/>
    <n v="5352.2027259467905"/>
  </r>
  <r>
    <x v="0"/>
    <x v="0"/>
    <x v="0"/>
    <x v="0"/>
    <x v="1"/>
    <s v="DK2_Small"/>
    <x v="4"/>
    <s v="GNR_BO_NGAS_E-101"/>
    <x v="0"/>
    <x v="8"/>
    <n v="4.5166900339589304"/>
    <n v="1648.5918623950099"/>
    <n v="5934.9307046220401"/>
  </r>
  <r>
    <x v="0"/>
    <x v="0"/>
    <x v="0"/>
    <x v="0"/>
    <x v="1"/>
    <s v="DK2_Small"/>
    <x v="4"/>
    <s v="GNR_BO_NGAS_E-101"/>
    <x v="0"/>
    <x v="9"/>
    <n v="4.7489871915086797"/>
    <n v="1733.3803249006701"/>
    <n v="6240.1691696424105"/>
  </r>
  <r>
    <x v="0"/>
    <x v="0"/>
    <x v="0"/>
    <x v="0"/>
    <x v="1"/>
    <s v="DK2_Small"/>
    <x v="4"/>
    <s v="GNR_BO_NGAS_E-101"/>
    <x v="0"/>
    <x v="10"/>
    <n v="4.6856334212678403"/>
    <n v="1710.2561987627601"/>
    <n v="6156.9223155459404"/>
  </r>
  <r>
    <x v="0"/>
    <x v="0"/>
    <x v="0"/>
    <x v="0"/>
    <x v="1"/>
    <s v="DK2_Small"/>
    <x v="4"/>
    <s v="GNR_BO_NGAS_E-101"/>
    <x v="0"/>
    <x v="11"/>
    <n v="4.6961923829746501"/>
    <n v="1714.1102197857499"/>
    <n v="6170.7967912286904"/>
  </r>
  <r>
    <x v="0"/>
    <x v="0"/>
    <x v="0"/>
    <x v="0"/>
    <x v="1"/>
    <s v="DK2_Small"/>
    <x v="4"/>
    <s v="GNR_BO_NGAS_E-101"/>
    <x v="0"/>
    <x v="12"/>
    <n v="4.5800438041997804"/>
    <n v="1671.7159885329199"/>
    <n v="6018.1775587185002"/>
  </r>
  <r>
    <x v="0"/>
    <x v="0"/>
    <x v="0"/>
    <x v="0"/>
    <x v="1"/>
    <s v="DK2_Small"/>
    <x v="4"/>
    <s v="GNR_BO_NGAS_E-101"/>
    <x v="0"/>
    <x v="13"/>
    <n v="4.1154494891002802"/>
    <n v="1502.1390635216001"/>
    <n v="5407.7006286777696"/>
  </r>
  <r>
    <x v="0"/>
    <x v="0"/>
    <x v="0"/>
    <x v="0"/>
    <x v="1"/>
    <s v="DK2_Small"/>
    <x v="4"/>
    <s v="GNR_BO_NGAS_E-101"/>
    <x v="0"/>
    <x v="14"/>
    <n v="4.2421570295819597"/>
    <n v="1548.3873157974101"/>
    <n v="5574.1943368706898"/>
  </r>
  <r>
    <x v="0"/>
    <x v="0"/>
    <x v="0"/>
    <x v="0"/>
    <x v="1"/>
    <s v="DK2_Small"/>
    <x v="4"/>
    <s v="GNR_BO_NGAS_E-101"/>
    <x v="0"/>
    <x v="15"/>
    <n v="4.3688645700636402"/>
    <n v="1594.6355680732299"/>
    <n v="5740.6880450636199"/>
  </r>
  <r>
    <x v="0"/>
    <x v="0"/>
    <x v="0"/>
    <x v="0"/>
    <x v="1"/>
    <s v="DK2_Small"/>
    <x v="4"/>
    <s v="GNR_BO_NGAS_E-101"/>
    <x v="0"/>
    <x v="16"/>
    <n v="4.6117206893201903"/>
    <n v="1683.2780516018699"/>
    <n v="6059.8009857667303"/>
  </r>
  <r>
    <x v="0"/>
    <x v="0"/>
    <x v="0"/>
    <x v="0"/>
    <x v="1"/>
    <s v="DK2_Small"/>
    <x v="4"/>
    <s v="GNR_BO_NGAS_E-101"/>
    <x v="0"/>
    <x v="17"/>
    <n v="4.5589258807861599"/>
    <n v="1664.00794648695"/>
    <n v="5990.4286073530102"/>
  </r>
  <r>
    <x v="0"/>
    <x v="0"/>
    <x v="0"/>
    <x v="0"/>
    <x v="1"/>
    <s v="DK2_Small"/>
    <x v="4"/>
    <s v="GNR_BO_NGAS_E-101"/>
    <x v="0"/>
    <x v="18"/>
    <n v="4.6011617276133903"/>
    <n v="1679.4240305788901"/>
    <n v="6045.9265100839903"/>
  </r>
  <r>
    <x v="0"/>
    <x v="0"/>
    <x v="0"/>
    <x v="0"/>
    <x v="1"/>
    <s v="DK2_Small"/>
    <x v="4"/>
    <s v="GNR_BO_NGAS_E-101"/>
    <x v="0"/>
    <x v="19"/>
    <n v="4.5589258807861599"/>
    <n v="1664.00794648695"/>
    <n v="5990.4286073530102"/>
  </r>
  <r>
    <x v="0"/>
    <x v="0"/>
    <x v="0"/>
    <x v="0"/>
    <x v="1"/>
    <s v="DK2_Small"/>
    <x v="4"/>
    <s v="GNR_BO_NGAS_E-101"/>
    <x v="0"/>
    <x v="20"/>
    <n v="4.3266287232364098"/>
    <n v="1579.2194839812901"/>
    <n v="5685.1901423326499"/>
  </r>
  <r>
    <x v="0"/>
    <x v="0"/>
    <x v="0"/>
    <x v="0"/>
    <x v="1"/>
    <s v="DK2_Small"/>
    <x v="4"/>
    <s v="GNR_BO_NGAS_E-101"/>
    <x v="0"/>
    <x v="21"/>
    <n v="2.9117278545243099"/>
    <n v="1062.7806669013701"/>
    <n v="3826.0104008449398"/>
  </r>
  <r>
    <x v="0"/>
    <x v="0"/>
    <x v="0"/>
    <x v="0"/>
    <x v="1"/>
    <s v="DK2_Small"/>
    <x v="4"/>
    <s v="GNR_BO_NGAS_E-101"/>
    <x v="0"/>
    <x v="22"/>
    <n v="2.8061382374562398"/>
    <n v="1024.24045667153"/>
    <n v="3687.2656440175001"/>
  </r>
  <r>
    <x v="0"/>
    <x v="0"/>
    <x v="0"/>
    <x v="0"/>
    <x v="1"/>
    <s v="DK2_Small"/>
    <x v="4"/>
    <s v="GNR_BO_NGAS_E-101"/>
    <x v="0"/>
    <x v="23"/>
    <n v="2.54216419478607"/>
    <n v="927.88993109691705"/>
    <n v="3340.4037519489002"/>
  </r>
  <r>
    <x v="0"/>
    <x v="0"/>
    <x v="0"/>
    <x v="0"/>
    <x v="1"/>
    <s v="DK2_Small"/>
    <x v="4"/>
    <s v="GNR_BO_NGAS_E-104"/>
    <x v="0"/>
    <x v="0"/>
    <n v="4.4651572658958996"/>
    <n v="1629.782402052"/>
    <n v="5867.2166473872103"/>
  </r>
  <r>
    <x v="0"/>
    <x v="0"/>
    <x v="0"/>
    <x v="0"/>
    <x v="1"/>
    <s v="DK2_Small"/>
    <x v="4"/>
    <s v="GNR_BO_NGAS_E-104"/>
    <x v="0"/>
    <x v="1"/>
    <n v="4.3067728402938004"/>
    <n v="1571.9720867072399"/>
    <n v="5659.0995121460501"/>
  </r>
  <r>
    <x v="0"/>
    <x v="0"/>
    <x v="0"/>
    <x v="0"/>
    <x v="1"/>
    <s v="DK2_Small"/>
    <x v="4"/>
    <s v="GNR_BO_NGAS_E-104"/>
    <x v="0"/>
    <x v="2"/>
    <n v="4.1906242615189297"/>
    <n v="1529.5778554544099"/>
    <n v="5506.4802796358699"/>
  </r>
  <r>
    <x v="0"/>
    <x v="0"/>
    <x v="0"/>
    <x v="0"/>
    <x v="1"/>
    <s v="DK2_Small"/>
    <x v="4"/>
    <s v="GNR_BO_NGAS_E-104"/>
    <x v="0"/>
    <x v="3"/>
    <n v="4.2750959551733798"/>
    <n v="1560.4100236382801"/>
    <n v="5617.47608509782"/>
  </r>
  <r>
    <x v="0"/>
    <x v="0"/>
    <x v="0"/>
    <x v="0"/>
    <x v="1"/>
    <s v="DK2_Small"/>
    <x v="4"/>
    <s v="GNR_BO_NGAS_E-104"/>
    <x v="0"/>
    <x v="4"/>
    <n v="4.6868954617388399"/>
    <n v="1710.71684353468"/>
    <n v="6158.5806367248397"/>
  </r>
  <r>
    <x v="0"/>
    <x v="0"/>
    <x v="0"/>
    <x v="0"/>
    <x v="1"/>
    <s v="DK2_Small"/>
    <x v="4"/>
    <s v="GNR_BO_NGAS_E-104"/>
    <x v="0"/>
    <x v="5"/>
    <n v="4.7"/>
    <n v="1715.5"/>
    <n v="6175.8"/>
  </r>
  <r>
    <x v="0"/>
    <x v="0"/>
    <x v="0"/>
    <x v="0"/>
    <x v="1"/>
    <s v="DK2_Small"/>
    <x v="4"/>
    <s v="GNR_BO_NGAS_E-104"/>
    <x v="0"/>
    <x v="6"/>
    <n v="4.7"/>
    <n v="1715.5"/>
    <n v="6175.8"/>
  </r>
  <r>
    <x v="0"/>
    <x v="0"/>
    <x v="0"/>
    <x v="0"/>
    <x v="1"/>
    <s v="DK2_Small"/>
    <x v="4"/>
    <s v="GNR_BO_NGAS_E-104"/>
    <x v="0"/>
    <x v="7"/>
    <n v="4.7"/>
    <n v="1715.5"/>
    <n v="6175.8"/>
  </r>
  <r>
    <x v="0"/>
    <x v="0"/>
    <x v="0"/>
    <x v="0"/>
    <x v="1"/>
    <s v="DK2_Small"/>
    <x v="4"/>
    <s v="GNR_BO_NGAS_E-104"/>
    <x v="0"/>
    <x v="8"/>
    <n v="4.7"/>
    <n v="1715.5"/>
    <n v="6175.8"/>
  </r>
  <r>
    <x v="0"/>
    <x v="0"/>
    <x v="0"/>
    <x v="0"/>
    <x v="1"/>
    <s v="DK2_Small"/>
    <x v="4"/>
    <s v="GNR_BO_NGAS_E-104"/>
    <x v="0"/>
    <x v="9"/>
    <n v="4.7"/>
    <n v="1715.5"/>
    <n v="6175.8"/>
  </r>
  <r>
    <x v="0"/>
    <x v="0"/>
    <x v="0"/>
    <x v="0"/>
    <x v="1"/>
    <s v="DK2_Small"/>
    <x v="4"/>
    <s v="GNR_BO_NGAS_E-104"/>
    <x v="0"/>
    <x v="10"/>
    <n v="4.7"/>
    <n v="1715.5"/>
    <n v="6175.8"/>
  </r>
  <r>
    <x v="0"/>
    <x v="0"/>
    <x v="0"/>
    <x v="0"/>
    <x v="1"/>
    <s v="DK2_Small"/>
    <x v="4"/>
    <s v="GNR_BO_NGAS_E-104"/>
    <x v="0"/>
    <x v="11"/>
    <n v="4.7"/>
    <n v="1715.5"/>
    <n v="6175.8"/>
  </r>
  <r>
    <x v="0"/>
    <x v="0"/>
    <x v="0"/>
    <x v="0"/>
    <x v="1"/>
    <s v="DK2_Small"/>
    <x v="4"/>
    <s v="GNR_BO_NGAS_E-104"/>
    <x v="0"/>
    <x v="12"/>
    <n v="4.7"/>
    <n v="1715.5"/>
    <n v="6175.8"/>
  </r>
  <r>
    <x v="0"/>
    <x v="0"/>
    <x v="0"/>
    <x v="0"/>
    <x v="1"/>
    <s v="DK2_Small"/>
    <x v="4"/>
    <s v="GNR_BO_NGAS_E-104"/>
    <x v="0"/>
    <x v="13"/>
    <n v="4.7"/>
    <n v="1715.5"/>
    <n v="6175.8"/>
  </r>
  <r>
    <x v="0"/>
    <x v="0"/>
    <x v="0"/>
    <x v="0"/>
    <x v="1"/>
    <s v="DK2_Small"/>
    <x v="4"/>
    <s v="GNR_BO_NGAS_E-104"/>
    <x v="0"/>
    <x v="14"/>
    <n v="4.7"/>
    <n v="1715.5"/>
    <n v="6175.8"/>
  </r>
  <r>
    <x v="0"/>
    <x v="0"/>
    <x v="0"/>
    <x v="0"/>
    <x v="1"/>
    <s v="DK2_Small"/>
    <x v="4"/>
    <s v="GNR_BO_NGAS_E-104"/>
    <x v="0"/>
    <x v="15"/>
    <n v="4.7"/>
    <n v="1715.5"/>
    <n v="6175.8"/>
  </r>
  <r>
    <x v="0"/>
    <x v="0"/>
    <x v="0"/>
    <x v="0"/>
    <x v="1"/>
    <s v="DK2_Small"/>
    <x v="4"/>
    <s v="GNR_BO_NGAS_E-104"/>
    <x v="0"/>
    <x v="16"/>
    <n v="4.7"/>
    <n v="1715.5"/>
    <n v="6175.8"/>
  </r>
  <r>
    <x v="0"/>
    <x v="0"/>
    <x v="0"/>
    <x v="0"/>
    <x v="1"/>
    <s v="DK2_Small"/>
    <x v="4"/>
    <s v="GNR_BO_NGAS_E-104"/>
    <x v="0"/>
    <x v="17"/>
    <n v="4.7"/>
    <n v="1715.5"/>
    <n v="6175.8"/>
  </r>
  <r>
    <x v="0"/>
    <x v="0"/>
    <x v="0"/>
    <x v="0"/>
    <x v="1"/>
    <s v="DK2_Small"/>
    <x v="4"/>
    <s v="GNR_BO_NGAS_E-104"/>
    <x v="0"/>
    <x v="18"/>
    <n v="4.7"/>
    <n v="1715.5"/>
    <n v="6175.8"/>
  </r>
  <r>
    <x v="0"/>
    <x v="0"/>
    <x v="0"/>
    <x v="0"/>
    <x v="1"/>
    <s v="DK2_Small"/>
    <x v="4"/>
    <s v="GNR_BO_NGAS_E-104"/>
    <x v="0"/>
    <x v="19"/>
    <n v="4.7"/>
    <n v="1715.5"/>
    <n v="6175.8"/>
  </r>
  <r>
    <x v="0"/>
    <x v="0"/>
    <x v="0"/>
    <x v="0"/>
    <x v="1"/>
    <s v="DK2_Small"/>
    <x v="4"/>
    <s v="GNR_BO_NGAS_E-104"/>
    <x v="0"/>
    <x v="20"/>
    <n v="4.7"/>
    <n v="1715.5"/>
    <n v="6175.8"/>
  </r>
  <r>
    <x v="0"/>
    <x v="0"/>
    <x v="0"/>
    <x v="0"/>
    <x v="1"/>
    <s v="DK2_Small"/>
    <x v="4"/>
    <s v="GNR_BO_NGAS_E-104"/>
    <x v="0"/>
    <x v="21"/>
    <n v="4.7"/>
    <n v="1715.5"/>
    <n v="6175.8"/>
  </r>
  <r>
    <x v="0"/>
    <x v="0"/>
    <x v="0"/>
    <x v="0"/>
    <x v="1"/>
    <s v="DK2_Small"/>
    <x v="4"/>
    <s v="GNR_BO_NGAS_E-104"/>
    <x v="0"/>
    <x v="22"/>
    <n v="4.7"/>
    <n v="1715.5"/>
    <n v="6175.8"/>
  </r>
  <r>
    <x v="0"/>
    <x v="0"/>
    <x v="0"/>
    <x v="0"/>
    <x v="1"/>
    <s v="DK2_Small"/>
    <x v="4"/>
    <s v="GNR_BO_NGAS_E-104"/>
    <x v="0"/>
    <x v="23"/>
    <n v="4.7"/>
    <n v="1715.5"/>
    <n v="6175.8"/>
  </r>
  <r>
    <x v="0"/>
    <x v="0"/>
    <x v="0"/>
    <x v="0"/>
    <x v="1"/>
    <s v="DK2_Small"/>
    <x v="5"/>
    <s v="GNR_BO_STRW_E-100"/>
    <x v="0"/>
    <x v="0"/>
    <n v="6.5"/>
    <n v="2372.5"/>
    <n v="8541"/>
  </r>
  <r>
    <x v="0"/>
    <x v="0"/>
    <x v="0"/>
    <x v="0"/>
    <x v="1"/>
    <s v="DK2_Small"/>
    <x v="5"/>
    <s v="GNR_BO_STRW_E-100"/>
    <x v="0"/>
    <x v="1"/>
    <n v="6.5"/>
    <n v="2372.5"/>
    <n v="8541"/>
  </r>
  <r>
    <x v="0"/>
    <x v="0"/>
    <x v="0"/>
    <x v="0"/>
    <x v="1"/>
    <s v="DK2_Small"/>
    <x v="5"/>
    <s v="GNR_BO_STRW_E-100"/>
    <x v="0"/>
    <x v="2"/>
    <n v="6.5"/>
    <n v="2372.5"/>
    <n v="8541"/>
  </r>
  <r>
    <x v="0"/>
    <x v="0"/>
    <x v="0"/>
    <x v="0"/>
    <x v="1"/>
    <s v="DK2_Small"/>
    <x v="5"/>
    <s v="GNR_BO_STRW_E-100"/>
    <x v="0"/>
    <x v="3"/>
    <n v="6.5"/>
    <n v="2372.5"/>
    <n v="8541"/>
  </r>
  <r>
    <x v="0"/>
    <x v="0"/>
    <x v="0"/>
    <x v="0"/>
    <x v="1"/>
    <s v="DK2_Small"/>
    <x v="5"/>
    <s v="GNR_BO_STRW_E-100"/>
    <x v="0"/>
    <x v="4"/>
    <n v="6.5"/>
    <n v="2372.5"/>
    <n v="8541"/>
  </r>
  <r>
    <x v="0"/>
    <x v="0"/>
    <x v="0"/>
    <x v="0"/>
    <x v="1"/>
    <s v="DK2_Small"/>
    <x v="5"/>
    <s v="GNR_BO_STRW_E-100"/>
    <x v="0"/>
    <x v="5"/>
    <n v="6.5"/>
    <n v="2372.5"/>
    <n v="8541"/>
  </r>
  <r>
    <x v="0"/>
    <x v="0"/>
    <x v="0"/>
    <x v="0"/>
    <x v="1"/>
    <s v="DK2_Small"/>
    <x v="5"/>
    <s v="GNR_BO_STRW_E-100"/>
    <x v="0"/>
    <x v="6"/>
    <n v="6.5"/>
    <n v="2372.5"/>
    <n v="8541"/>
  </r>
  <r>
    <x v="0"/>
    <x v="0"/>
    <x v="0"/>
    <x v="0"/>
    <x v="1"/>
    <s v="DK2_Small"/>
    <x v="5"/>
    <s v="GNR_BO_STRW_E-100"/>
    <x v="0"/>
    <x v="7"/>
    <n v="6.5"/>
    <n v="2372.5"/>
    <n v="8541"/>
  </r>
  <r>
    <x v="0"/>
    <x v="0"/>
    <x v="0"/>
    <x v="0"/>
    <x v="1"/>
    <s v="DK2_Small"/>
    <x v="5"/>
    <s v="GNR_BO_STRW_E-100"/>
    <x v="0"/>
    <x v="8"/>
    <n v="6.5"/>
    <n v="2372.5"/>
    <n v="8541"/>
  </r>
  <r>
    <x v="0"/>
    <x v="0"/>
    <x v="0"/>
    <x v="0"/>
    <x v="1"/>
    <s v="DK2_Small"/>
    <x v="5"/>
    <s v="GNR_BO_STRW_E-100"/>
    <x v="0"/>
    <x v="9"/>
    <n v="6.5"/>
    <n v="2372.5"/>
    <n v="8541"/>
  </r>
  <r>
    <x v="0"/>
    <x v="0"/>
    <x v="0"/>
    <x v="0"/>
    <x v="1"/>
    <s v="DK2_Small"/>
    <x v="5"/>
    <s v="GNR_BO_STRW_E-100"/>
    <x v="0"/>
    <x v="10"/>
    <n v="6.5"/>
    <n v="2372.5"/>
    <n v="8541"/>
  </r>
  <r>
    <x v="0"/>
    <x v="0"/>
    <x v="0"/>
    <x v="0"/>
    <x v="1"/>
    <s v="DK2_Small"/>
    <x v="5"/>
    <s v="GNR_BO_STRW_E-100"/>
    <x v="0"/>
    <x v="11"/>
    <n v="6.5"/>
    <n v="2372.5"/>
    <n v="8541"/>
  </r>
  <r>
    <x v="0"/>
    <x v="0"/>
    <x v="0"/>
    <x v="0"/>
    <x v="1"/>
    <s v="DK2_Small"/>
    <x v="5"/>
    <s v="GNR_BO_STRW_E-100"/>
    <x v="0"/>
    <x v="12"/>
    <n v="6.5"/>
    <n v="2372.5"/>
    <n v="8541"/>
  </r>
  <r>
    <x v="0"/>
    <x v="0"/>
    <x v="0"/>
    <x v="0"/>
    <x v="1"/>
    <s v="DK2_Small"/>
    <x v="5"/>
    <s v="GNR_BO_STRW_E-100"/>
    <x v="0"/>
    <x v="13"/>
    <n v="6.5"/>
    <n v="2372.5"/>
    <n v="8541"/>
  </r>
  <r>
    <x v="0"/>
    <x v="0"/>
    <x v="0"/>
    <x v="0"/>
    <x v="1"/>
    <s v="DK2_Small"/>
    <x v="5"/>
    <s v="GNR_BO_STRW_E-100"/>
    <x v="0"/>
    <x v="14"/>
    <n v="6.5"/>
    <n v="2372.5"/>
    <n v="8541"/>
  </r>
  <r>
    <x v="0"/>
    <x v="0"/>
    <x v="0"/>
    <x v="0"/>
    <x v="1"/>
    <s v="DK2_Small"/>
    <x v="5"/>
    <s v="GNR_BO_STRW_E-100"/>
    <x v="0"/>
    <x v="15"/>
    <n v="6.5"/>
    <n v="2372.5"/>
    <n v="8541"/>
  </r>
  <r>
    <x v="0"/>
    <x v="0"/>
    <x v="0"/>
    <x v="0"/>
    <x v="1"/>
    <s v="DK2_Small"/>
    <x v="5"/>
    <s v="GNR_BO_STRW_E-100"/>
    <x v="0"/>
    <x v="16"/>
    <n v="6.5"/>
    <n v="2372.5"/>
    <n v="8541"/>
  </r>
  <r>
    <x v="0"/>
    <x v="0"/>
    <x v="0"/>
    <x v="0"/>
    <x v="1"/>
    <s v="DK2_Small"/>
    <x v="5"/>
    <s v="GNR_BO_STRW_E-100"/>
    <x v="0"/>
    <x v="17"/>
    <n v="6.5"/>
    <n v="2372.5"/>
    <n v="8541"/>
  </r>
  <r>
    <x v="0"/>
    <x v="0"/>
    <x v="0"/>
    <x v="0"/>
    <x v="1"/>
    <s v="DK2_Small"/>
    <x v="5"/>
    <s v="GNR_BO_STRW_E-100"/>
    <x v="0"/>
    <x v="18"/>
    <n v="6.5"/>
    <n v="2372.5"/>
    <n v="8541"/>
  </r>
  <r>
    <x v="0"/>
    <x v="0"/>
    <x v="0"/>
    <x v="0"/>
    <x v="1"/>
    <s v="DK2_Small"/>
    <x v="5"/>
    <s v="GNR_BO_STRW_E-100"/>
    <x v="0"/>
    <x v="19"/>
    <n v="6.5"/>
    <n v="2372.5"/>
    <n v="8541"/>
  </r>
  <r>
    <x v="0"/>
    <x v="0"/>
    <x v="0"/>
    <x v="0"/>
    <x v="1"/>
    <s v="DK2_Small"/>
    <x v="5"/>
    <s v="GNR_BO_STRW_E-100"/>
    <x v="0"/>
    <x v="20"/>
    <n v="6.5"/>
    <n v="2372.5"/>
    <n v="8541"/>
  </r>
  <r>
    <x v="0"/>
    <x v="0"/>
    <x v="0"/>
    <x v="0"/>
    <x v="1"/>
    <s v="DK2_Small"/>
    <x v="5"/>
    <s v="GNR_BO_STRW_E-100"/>
    <x v="0"/>
    <x v="21"/>
    <n v="6.5"/>
    <n v="2372.5"/>
    <n v="8541"/>
  </r>
  <r>
    <x v="0"/>
    <x v="0"/>
    <x v="0"/>
    <x v="0"/>
    <x v="1"/>
    <s v="DK2_Small"/>
    <x v="5"/>
    <s v="GNR_BO_STRW_E-100"/>
    <x v="0"/>
    <x v="22"/>
    <n v="6.5"/>
    <n v="2372.5"/>
    <n v="8541"/>
  </r>
  <r>
    <x v="0"/>
    <x v="0"/>
    <x v="0"/>
    <x v="0"/>
    <x v="1"/>
    <s v="DK2_Small"/>
    <x v="5"/>
    <s v="GNR_BO_STRW_E-100"/>
    <x v="0"/>
    <x v="23"/>
    <n v="6.5"/>
    <n v="2372.5"/>
    <n v="8541"/>
  </r>
  <r>
    <x v="0"/>
    <x v="0"/>
    <x v="0"/>
    <x v="1"/>
    <x v="2"/>
    <s v="DE4-E_A"/>
    <x v="8"/>
    <s v="GNR_ST_LIGN_BP_E-39"/>
    <x v="0"/>
    <x v="0"/>
    <n v="12428.5333333333"/>
    <n v="4536414.6666666698"/>
    <n v="16331092.800000001"/>
  </r>
  <r>
    <x v="0"/>
    <x v="0"/>
    <x v="0"/>
    <x v="1"/>
    <x v="2"/>
    <s v="DE4-E_A"/>
    <x v="8"/>
    <s v="GNR_ST_LIGN_BP_E-39"/>
    <x v="0"/>
    <x v="1"/>
    <n v="12428.5333333333"/>
    <n v="4536414.6666666698"/>
    <n v="16331092.800000001"/>
  </r>
  <r>
    <x v="0"/>
    <x v="0"/>
    <x v="0"/>
    <x v="1"/>
    <x v="2"/>
    <s v="DE4-E_A"/>
    <x v="8"/>
    <s v="GNR_ST_LIGN_BP_E-39"/>
    <x v="0"/>
    <x v="2"/>
    <n v="12428.5333333333"/>
    <n v="4536414.6666666698"/>
    <n v="16331092.800000001"/>
  </r>
  <r>
    <x v="0"/>
    <x v="0"/>
    <x v="0"/>
    <x v="1"/>
    <x v="2"/>
    <s v="DE4-E_A"/>
    <x v="8"/>
    <s v="GNR_ST_LIGN_BP_E-39"/>
    <x v="0"/>
    <x v="3"/>
    <n v="12428.5333333333"/>
    <n v="4536414.6666666698"/>
    <n v="16331092.800000001"/>
  </r>
  <r>
    <x v="0"/>
    <x v="0"/>
    <x v="0"/>
    <x v="1"/>
    <x v="2"/>
    <s v="DE4-E_A"/>
    <x v="8"/>
    <s v="GNR_ST_LIGN_BP_E-39"/>
    <x v="0"/>
    <x v="4"/>
    <n v="12428.5333333333"/>
    <n v="4536414.6666666698"/>
    <n v="16331092.800000001"/>
  </r>
  <r>
    <x v="0"/>
    <x v="0"/>
    <x v="0"/>
    <x v="1"/>
    <x v="2"/>
    <s v="DE4-E_A"/>
    <x v="8"/>
    <s v="GNR_ST_LIGN_BP_E-39"/>
    <x v="0"/>
    <x v="5"/>
    <n v="12428.5333333333"/>
    <n v="4536414.6666666698"/>
    <n v="16331092.800000001"/>
  </r>
  <r>
    <x v="0"/>
    <x v="0"/>
    <x v="0"/>
    <x v="1"/>
    <x v="2"/>
    <s v="DE4-E_A"/>
    <x v="8"/>
    <s v="GNR_ST_LIGN_BP_E-39"/>
    <x v="0"/>
    <x v="6"/>
    <n v="12428.5333333333"/>
    <n v="4536414.6666666698"/>
    <n v="16331092.800000001"/>
  </r>
  <r>
    <x v="0"/>
    <x v="0"/>
    <x v="0"/>
    <x v="1"/>
    <x v="2"/>
    <s v="DE4-E_A"/>
    <x v="8"/>
    <s v="GNR_ST_LIGN_BP_E-39"/>
    <x v="0"/>
    <x v="7"/>
    <n v="12428.5333333333"/>
    <n v="4536414.6666666698"/>
    <n v="16331092.800000001"/>
  </r>
  <r>
    <x v="0"/>
    <x v="0"/>
    <x v="0"/>
    <x v="1"/>
    <x v="2"/>
    <s v="DE4-E_A"/>
    <x v="8"/>
    <s v="GNR_ST_LIGN_BP_E-39"/>
    <x v="0"/>
    <x v="8"/>
    <n v="12428.5333333333"/>
    <n v="4536414.6666666698"/>
    <n v="16331092.800000001"/>
  </r>
  <r>
    <x v="0"/>
    <x v="0"/>
    <x v="0"/>
    <x v="1"/>
    <x v="2"/>
    <s v="DE4-E_A"/>
    <x v="8"/>
    <s v="GNR_ST_LIGN_BP_E-39"/>
    <x v="0"/>
    <x v="9"/>
    <n v="12428.5333333333"/>
    <n v="4536414.6666666698"/>
    <n v="16331092.800000001"/>
  </r>
  <r>
    <x v="0"/>
    <x v="0"/>
    <x v="0"/>
    <x v="1"/>
    <x v="2"/>
    <s v="DE4-E_A"/>
    <x v="8"/>
    <s v="GNR_ST_LIGN_BP_E-39"/>
    <x v="0"/>
    <x v="10"/>
    <n v="12428.5333333333"/>
    <n v="4536414.6666666698"/>
    <n v="16331092.800000001"/>
  </r>
  <r>
    <x v="0"/>
    <x v="0"/>
    <x v="0"/>
    <x v="1"/>
    <x v="2"/>
    <s v="DE4-E_A"/>
    <x v="8"/>
    <s v="GNR_ST_LIGN_BP_E-39"/>
    <x v="0"/>
    <x v="11"/>
    <n v="12428.5333333333"/>
    <n v="4536414.6666666698"/>
    <n v="16331092.800000001"/>
  </r>
  <r>
    <x v="0"/>
    <x v="0"/>
    <x v="0"/>
    <x v="1"/>
    <x v="2"/>
    <s v="DE4-E_A"/>
    <x v="8"/>
    <s v="GNR_ST_LIGN_BP_E-39"/>
    <x v="0"/>
    <x v="12"/>
    <n v="12428.5333333333"/>
    <n v="4536414.6666666698"/>
    <n v="16331092.800000001"/>
  </r>
  <r>
    <x v="0"/>
    <x v="0"/>
    <x v="0"/>
    <x v="1"/>
    <x v="2"/>
    <s v="DE4-E_A"/>
    <x v="8"/>
    <s v="GNR_ST_LIGN_BP_E-39"/>
    <x v="0"/>
    <x v="13"/>
    <n v="12428.5333333333"/>
    <n v="4536414.6666666698"/>
    <n v="16331092.800000001"/>
  </r>
  <r>
    <x v="0"/>
    <x v="0"/>
    <x v="0"/>
    <x v="1"/>
    <x v="2"/>
    <s v="DE4-E_A"/>
    <x v="8"/>
    <s v="GNR_ST_LIGN_BP_E-39"/>
    <x v="0"/>
    <x v="14"/>
    <n v="12428.5333333333"/>
    <n v="4536414.6666666698"/>
    <n v="16331092.800000001"/>
  </r>
  <r>
    <x v="0"/>
    <x v="0"/>
    <x v="0"/>
    <x v="1"/>
    <x v="2"/>
    <s v="DE4-E_A"/>
    <x v="8"/>
    <s v="GNR_ST_LIGN_BP_E-39"/>
    <x v="0"/>
    <x v="15"/>
    <n v="12428.5333333333"/>
    <n v="4536414.6666666698"/>
    <n v="16331092.800000001"/>
  </r>
  <r>
    <x v="0"/>
    <x v="0"/>
    <x v="0"/>
    <x v="1"/>
    <x v="2"/>
    <s v="DE4-E_A"/>
    <x v="8"/>
    <s v="GNR_ST_LIGN_BP_E-39"/>
    <x v="0"/>
    <x v="16"/>
    <n v="12428.5333333333"/>
    <n v="4536414.6666666698"/>
    <n v="16331092.800000001"/>
  </r>
  <r>
    <x v="0"/>
    <x v="0"/>
    <x v="0"/>
    <x v="1"/>
    <x v="2"/>
    <s v="DE4-E_A"/>
    <x v="8"/>
    <s v="GNR_ST_LIGN_BP_E-39"/>
    <x v="0"/>
    <x v="17"/>
    <n v="12428.5333333333"/>
    <n v="4536414.6666666698"/>
    <n v="16331092.800000001"/>
  </r>
  <r>
    <x v="0"/>
    <x v="0"/>
    <x v="0"/>
    <x v="1"/>
    <x v="2"/>
    <s v="DE4-E_A"/>
    <x v="8"/>
    <s v="GNR_ST_LIGN_BP_E-39"/>
    <x v="0"/>
    <x v="18"/>
    <n v="12428.5333333333"/>
    <n v="4536414.6666666698"/>
    <n v="16331092.800000001"/>
  </r>
  <r>
    <x v="0"/>
    <x v="0"/>
    <x v="0"/>
    <x v="1"/>
    <x v="2"/>
    <s v="DE4-E_A"/>
    <x v="8"/>
    <s v="GNR_ST_LIGN_BP_E-39"/>
    <x v="0"/>
    <x v="19"/>
    <n v="12428.5333333333"/>
    <n v="4536414.6666666698"/>
    <n v="16331092.800000001"/>
  </r>
  <r>
    <x v="0"/>
    <x v="0"/>
    <x v="0"/>
    <x v="1"/>
    <x v="2"/>
    <s v="DE4-E_A"/>
    <x v="8"/>
    <s v="GNR_ST_LIGN_BP_E-39"/>
    <x v="0"/>
    <x v="20"/>
    <n v="12428.5333333333"/>
    <n v="4536414.6666666698"/>
    <n v="16331092.800000001"/>
  </r>
  <r>
    <x v="0"/>
    <x v="0"/>
    <x v="0"/>
    <x v="1"/>
    <x v="2"/>
    <s v="DE4-E_A"/>
    <x v="8"/>
    <s v="GNR_ST_LIGN_BP_E-39"/>
    <x v="0"/>
    <x v="21"/>
    <n v="12428.5333333333"/>
    <n v="4536414.6666666698"/>
    <n v="16331092.800000001"/>
  </r>
  <r>
    <x v="0"/>
    <x v="0"/>
    <x v="0"/>
    <x v="1"/>
    <x v="2"/>
    <s v="DE4-E_A"/>
    <x v="8"/>
    <s v="GNR_ST_LIGN_BP_E-39"/>
    <x v="0"/>
    <x v="22"/>
    <n v="12428.5333333333"/>
    <n v="4536414.6666666698"/>
    <n v="16331092.800000001"/>
  </r>
  <r>
    <x v="0"/>
    <x v="0"/>
    <x v="0"/>
    <x v="1"/>
    <x v="2"/>
    <s v="DE4-E_A"/>
    <x v="8"/>
    <s v="GNR_ST_LIGN_BP_E-39"/>
    <x v="0"/>
    <x v="23"/>
    <n v="12428.5333333333"/>
    <n v="4536414.6666666698"/>
    <n v="16331092.800000001"/>
  </r>
  <r>
    <x v="0"/>
    <x v="0"/>
    <x v="0"/>
    <x v="1"/>
    <x v="3"/>
    <s v="DE4-W_A"/>
    <x v="8"/>
    <s v="GNR_ST_LIGN_BP_E-33"/>
    <x v="0"/>
    <x v="0"/>
    <n v="1048.6666666666699"/>
    <n v="382763.33333333302"/>
    <n v="1377948"/>
  </r>
  <r>
    <x v="0"/>
    <x v="0"/>
    <x v="0"/>
    <x v="1"/>
    <x v="3"/>
    <s v="DE4-W_A"/>
    <x v="8"/>
    <s v="GNR_ST_LIGN_BP_E-33"/>
    <x v="0"/>
    <x v="1"/>
    <n v="1048.6666666666699"/>
    <n v="382763.33333333302"/>
    <n v="1377948"/>
  </r>
  <r>
    <x v="0"/>
    <x v="0"/>
    <x v="0"/>
    <x v="1"/>
    <x v="3"/>
    <s v="DE4-W_A"/>
    <x v="8"/>
    <s v="GNR_ST_LIGN_BP_E-33"/>
    <x v="0"/>
    <x v="2"/>
    <n v="1048.6666666666699"/>
    <n v="382763.33333333302"/>
    <n v="1377948"/>
  </r>
  <r>
    <x v="0"/>
    <x v="0"/>
    <x v="0"/>
    <x v="1"/>
    <x v="3"/>
    <s v="DE4-W_A"/>
    <x v="8"/>
    <s v="GNR_ST_LIGN_BP_E-33"/>
    <x v="0"/>
    <x v="3"/>
    <n v="1048.6666666666699"/>
    <n v="382763.33333333302"/>
    <n v="1377948"/>
  </r>
  <r>
    <x v="0"/>
    <x v="0"/>
    <x v="0"/>
    <x v="1"/>
    <x v="3"/>
    <s v="DE4-W_A"/>
    <x v="8"/>
    <s v="GNR_ST_LIGN_BP_E-33"/>
    <x v="0"/>
    <x v="4"/>
    <n v="1048.6666666666699"/>
    <n v="382763.33333333302"/>
    <n v="1377948"/>
  </r>
  <r>
    <x v="0"/>
    <x v="0"/>
    <x v="0"/>
    <x v="1"/>
    <x v="3"/>
    <s v="DE4-W_A"/>
    <x v="8"/>
    <s v="GNR_ST_LIGN_BP_E-33"/>
    <x v="0"/>
    <x v="5"/>
    <n v="1048.6666666666699"/>
    <n v="382763.33333333302"/>
    <n v="1377948"/>
  </r>
  <r>
    <x v="0"/>
    <x v="0"/>
    <x v="0"/>
    <x v="1"/>
    <x v="3"/>
    <s v="DE4-W_A"/>
    <x v="8"/>
    <s v="GNR_ST_LIGN_BP_E-33"/>
    <x v="0"/>
    <x v="6"/>
    <n v="1048.6666666666699"/>
    <n v="382763.33333333302"/>
    <n v="1377948"/>
  </r>
  <r>
    <x v="0"/>
    <x v="0"/>
    <x v="0"/>
    <x v="1"/>
    <x v="3"/>
    <s v="DE4-W_A"/>
    <x v="8"/>
    <s v="GNR_ST_LIGN_BP_E-33"/>
    <x v="0"/>
    <x v="7"/>
    <n v="1048.6666666666699"/>
    <n v="382763.33333333302"/>
    <n v="1377948"/>
  </r>
  <r>
    <x v="0"/>
    <x v="0"/>
    <x v="0"/>
    <x v="1"/>
    <x v="3"/>
    <s v="DE4-W_A"/>
    <x v="8"/>
    <s v="GNR_ST_LIGN_BP_E-33"/>
    <x v="0"/>
    <x v="8"/>
    <n v="1048.6666666666699"/>
    <n v="382763.33333333302"/>
    <n v="1377948"/>
  </r>
  <r>
    <x v="0"/>
    <x v="0"/>
    <x v="0"/>
    <x v="1"/>
    <x v="3"/>
    <s v="DE4-W_A"/>
    <x v="8"/>
    <s v="GNR_ST_LIGN_BP_E-33"/>
    <x v="0"/>
    <x v="9"/>
    <n v="1048.6666666666699"/>
    <n v="382763.33333333302"/>
    <n v="1377948"/>
  </r>
  <r>
    <x v="0"/>
    <x v="0"/>
    <x v="0"/>
    <x v="1"/>
    <x v="3"/>
    <s v="DE4-W_A"/>
    <x v="8"/>
    <s v="GNR_ST_LIGN_BP_E-33"/>
    <x v="0"/>
    <x v="10"/>
    <n v="1048.6666666666699"/>
    <n v="382763.33333333302"/>
    <n v="1377948"/>
  </r>
  <r>
    <x v="0"/>
    <x v="0"/>
    <x v="0"/>
    <x v="1"/>
    <x v="3"/>
    <s v="DE4-W_A"/>
    <x v="8"/>
    <s v="GNR_ST_LIGN_BP_E-33"/>
    <x v="0"/>
    <x v="11"/>
    <n v="1048.6666666666699"/>
    <n v="382763.33333333302"/>
    <n v="1377948"/>
  </r>
  <r>
    <x v="0"/>
    <x v="0"/>
    <x v="0"/>
    <x v="1"/>
    <x v="3"/>
    <s v="DE4-W_A"/>
    <x v="8"/>
    <s v="GNR_ST_LIGN_BP_E-33"/>
    <x v="0"/>
    <x v="12"/>
    <n v="1048.6666666666699"/>
    <n v="382763.33333333302"/>
    <n v="1377948"/>
  </r>
  <r>
    <x v="0"/>
    <x v="0"/>
    <x v="0"/>
    <x v="1"/>
    <x v="3"/>
    <s v="DE4-W_A"/>
    <x v="8"/>
    <s v="GNR_ST_LIGN_BP_E-33"/>
    <x v="0"/>
    <x v="13"/>
    <n v="1048.6666666666699"/>
    <n v="382763.33333333302"/>
    <n v="1377948"/>
  </r>
  <r>
    <x v="0"/>
    <x v="0"/>
    <x v="0"/>
    <x v="1"/>
    <x v="3"/>
    <s v="DE4-W_A"/>
    <x v="8"/>
    <s v="GNR_ST_LIGN_BP_E-33"/>
    <x v="0"/>
    <x v="14"/>
    <n v="1048.6666666666699"/>
    <n v="382763.33333333302"/>
    <n v="1377948"/>
  </r>
  <r>
    <x v="0"/>
    <x v="0"/>
    <x v="0"/>
    <x v="1"/>
    <x v="3"/>
    <s v="DE4-W_A"/>
    <x v="8"/>
    <s v="GNR_ST_LIGN_BP_E-33"/>
    <x v="0"/>
    <x v="15"/>
    <n v="1048.6666666666699"/>
    <n v="382763.33333333302"/>
    <n v="1377948"/>
  </r>
  <r>
    <x v="0"/>
    <x v="0"/>
    <x v="0"/>
    <x v="1"/>
    <x v="3"/>
    <s v="DE4-W_A"/>
    <x v="8"/>
    <s v="GNR_ST_LIGN_BP_E-33"/>
    <x v="0"/>
    <x v="16"/>
    <n v="1048.6666666666699"/>
    <n v="382763.33333333302"/>
    <n v="1377948"/>
  </r>
  <r>
    <x v="0"/>
    <x v="0"/>
    <x v="0"/>
    <x v="1"/>
    <x v="3"/>
    <s v="DE4-W_A"/>
    <x v="8"/>
    <s v="GNR_ST_LIGN_BP_E-33"/>
    <x v="0"/>
    <x v="17"/>
    <n v="1048.6666666666699"/>
    <n v="382763.33333333302"/>
    <n v="1377948"/>
  </r>
  <r>
    <x v="0"/>
    <x v="0"/>
    <x v="0"/>
    <x v="1"/>
    <x v="3"/>
    <s v="DE4-W_A"/>
    <x v="8"/>
    <s v="GNR_ST_LIGN_BP_E-33"/>
    <x v="0"/>
    <x v="18"/>
    <n v="1048.6666666666699"/>
    <n v="382763.33333333302"/>
    <n v="1377948"/>
  </r>
  <r>
    <x v="0"/>
    <x v="0"/>
    <x v="0"/>
    <x v="1"/>
    <x v="3"/>
    <s v="DE4-W_A"/>
    <x v="8"/>
    <s v="GNR_ST_LIGN_BP_E-33"/>
    <x v="0"/>
    <x v="19"/>
    <n v="1048.6666666666699"/>
    <n v="382763.33333333302"/>
    <n v="1377948"/>
  </r>
  <r>
    <x v="0"/>
    <x v="0"/>
    <x v="0"/>
    <x v="1"/>
    <x v="3"/>
    <s v="DE4-W_A"/>
    <x v="8"/>
    <s v="GNR_ST_LIGN_BP_E-33"/>
    <x v="0"/>
    <x v="20"/>
    <n v="1048.6666666666699"/>
    <n v="382763.33333333302"/>
    <n v="1377948"/>
  </r>
  <r>
    <x v="0"/>
    <x v="0"/>
    <x v="0"/>
    <x v="1"/>
    <x v="3"/>
    <s v="DE4-W_A"/>
    <x v="8"/>
    <s v="GNR_ST_LIGN_BP_E-33"/>
    <x v="0"/>
    <x v="21"/>
    <n v="1048.6666666666699"/>
    <n v="382763.33333333302"/>
    <n v="1377948"/>
  </r>
  <r>
    <x v="0"/>
    <x v="0"/>
    <x v="0"/>
    <x v="1"/>
    <x v="3"/>
    <s v="DE4-W_A"/>
    <x v="8"/>
    <s v="GNR_ST_LIGN_BP_E-33"/>
    <x v="0"/>
    <x v="22"/>
    <n v="1048.6666666666699"/>
    <n v="382763.33333333302"/>
    <n v="1377948"/>
  </r>
  <r>
    <x v="0"/>
    <x v="0"/>
    <x v="0"/>
    <x v="1"/>
    <x v="3"/>
    <s v="DE4-W_A"/>
    <x v="8"/>
    <s v="GNR_ST_LIGN_BP_E-33"/>
    <x v="0"/>
    <x v="23"/>
    <n v="1048.6666666666699"/>
    <n v="382763.33333333302"/>
    <n v="1377948"/>
  </r>
  <r>
    <x v="0"/>
    <x v="0"/>
    <x v="0"/>
    <x v="1"/>
    <x v="3"/>
    <s v="DE4-W_A"/>
    <x v="8"/>
    <s v="GNR_ST_LIGN_BP_E-37"/>
    <x v="0"/>
    <x v="0"/>
    <n v="4382.2666666666701"/>
    <n v="1599527.33333333"/>
    <n v="5758298.4000000004"/>
  </r>
  <r>
    <x v="0"/>
    <x v="0"/>
    <x v="0"/>
    <x v="1"/>
    <x v="3"/>
    <s v="DE4-W_A"/>
    <x v="8"/>
    <s v="GNR_ST_LIGN_BP_E-37"/>
    <x v="0"/>
    <x v="1"/>
    <n v="4382.2666666666701"/>
    <n v="1599527.33333333"/>
    <n v="5758298.4000000004"/>
  </r>
  <r>
    <x v="0"/>
    <x v="0"/>
    <x v="0"/>
    <x v="1"/>
    <x v="3"/>
    <s v="DE4-W_A"/>
    <x v="8"/>
    <s v="GNR_ST_LIGN_BP_E-37"/>
    <x v="0"/>
    <x v="2"/>
    <n v="4382.2666666666701"/>
    <n v="1599527.33333333"/>
    <n v="5758298.4000000004"/>
  </r>
  <r>
    <x v="0"/>
    <x v="0"/>
    <x v="0"/>
    <x v="1"/>
    <x v="3"/>
    <s v="DE4-W_A"/>
    <x v="8"/>
    <s v="GNR_ST_LIGN_BP_E-37"/>
    <x v="0"/>
    <x v="3"/>
    <n v="4382.2666666666701"/>
    <n v="1599527.33333333"/>
    <n v="5758298.4000000004"/>
  </r>
  <r>
    <x v="0"/>
    <x v="0"/>
    <x v="0"/>
    <x v="1"/>
    <x v="3"/>
    <s v="DE4-W_A"/>
    <x v="8"/>
    <s v="GNR_ST_LIGN_BP_E-37"/>
    <x v="0"/>
    <x v="4"/>
    <n v="4382.2666666666701"/>
    <n v="1599527.33333333"/>
    <n v="5758298.4000000004"/>
  </r>
  <r>
    <x v="0"/>
    <x v="0"/>
    <x v="0"/>
    <x v="1"/>
    <x v="3"/>
    <s v="DE4-W_A"/>
    <x v="8"/>
    <s v="GNR_ST_LIGN_BP_E-37"/>
    <x v="0"/>
    <x v="5"/>
    <n v="4382.2666666666701"/>
    <n v="1599527.33333333"/>
    <n v="5758298.4000000004"/>
  </r>
  <r>
    <x v="0"/>
    <x v="0"/>
    <x v="0"/>
    <x v="1"/>
    <x v="3"/>
    <s v="DE4-W_A"/>
    <x v="8"/>
    <s v="GNR_ST_LIGN_BP_E-37"/>
    <x v="0"/>
    <x v="6"/>
    <n v="4382.2666666666701"/>
    <n v="1599527.33333333"/>
    <n v="5758298.4000000004"/>
  </r>
  <r>
    <x v="0"/>
    <x v="0"/>
    <x v="0"/>
    <x v="1"/>
    <x v="3"/>
    <s v="DE4-W_A"/>
    <x v="8"/>
    <s v="GNR_ST_LIGN_BP_E-37"/>
    <x v="0"/>
    <x v="7"/>
    <n v="4382.2666666666701"/>
    <n v="1599527.33333333"/>
    <n v="5758298.4000000004"/>
  </r>
  <r>
    <x v="0"/>
    <x v="0"/>
    <x v="0"/>
    <x v="1"/>
    <x v="3"/>
    <s v="DE4-W_A"/>
    <x v="8"/>
    <s v="GNR_ST_LIGN_BP_E-37"/>
    <x v="0"/>
    <x v="8"/>
    <n v="4382.2666666666701"/>
    <n v="1599527.33333333"/>
    <n v="5758298.4000000004"/>
  </r>
  <r>
    <x v="0"/>
    <x v="0"/>
    <x v="0"/>
    <x v="1"/>
    <x v="3"/>
    <s v="DE4-W_A"/>
    <x v="8"/>
    <s v="GNR_ST_LIGN_BP_E-37"/>
    <x v="0"/>
    <x v="9"/>
    <n v="4382.2666666666701"/>
    <n v="1599527.33333333"/>
    <n v="5758298.4000000004"/>
  </r>
  <r>
    <x v="0"/>
    <x v="0"/>
    <x v="0"/>
    <x v="1"/>
    <x v="3"/>
    <s v="DE4-W_A"/>
    <x v="8"/>
    <s v="GNR_ST_LIGN_BP_E-37"/>
    <x v="0"/>
    <x v="10"/>
    <n v="4382.2666666666701"/>
    <n v="1599527.33333333"/>
    <n v="5758298.4000000004"/>
  </r>
  <r>
    <x v="0"/>
    <x v="0"/>
    <x v="0"/>
    <x v="1"/>
    <x v="3"/>
    <s v="DE4-W_A"/>
    <x v="8"/>
    <s v="GNR_ST_LIGN_BP_E-37"/>
    <x v="0"/>
    <x v="11"/>
    <n v="4382.2666666666701"/>
    <n v="1599527.33333333"/>
    <n v="5758298.4000000004"/>
  </r>
  <r>
    <x v="0"/>
    <x v="0"/>
    <x v="0"/>
    <x v="1"/>
    <x v="3"/>
    <s v="DE4-W_A"/>
    <x v="8"/>
    <s v="GNR_ST_LIGN_BP_E-37"/>
    <x v="0"/>
    <x v="12"/>
    <n v="4382.2666666666701"/>
    <n v="1599527.33333333"/>
    <n v="5758298.4000000004"/>
  </r>
  <r>
    <x v="0"/>
    <x v="0"/>
    <x v="0"/>
    <x v="1"/>
    <x v="3"/>
    <s v="DE4-W_A"/>
    <x v="8"/>
    <s v="GNR_ST_LIGN_BP_E-37"/>
    <x v="0"/>
    <x v="13"/>
    <n v="4382.2666666666701"/>
    <n v="1599527.33333333"/>
    <n v="5758298.4000000004"/>
  </r>
  <r>
    <x v="0"/>
    <x v="0"/>
    <x v="0"/>
    <x v="1"/>
    <x v="3"/>
    <s v="DE4-W_A"/>
    <x v="8"/>
    <s v="GNR_ST_LIGN_BP_E-37"/>
    <x v="0"/>
    <x v="14"/>
    <n v="4382.2666666666701"/>
    <n v="1599527.33333333"/>
    <n v="5758298.4000000004"/>
  </r>
  <r>
    <x v="0"/>
    <x v="0"/>
    <x v="0"/>
    <x v="1"/>
    <x v="3"/>
    <s v="DE4-W_A"/>
    <x v="8"/>
    <s v="GNR_ST_LIGN_BP_E-37"/>
    <x v="0"/>
    <x v="15"/>
    <n v="4382.2666666666701"/>
    <n v="1599527.33333333"/>
    <n v="5758298.4000000004"/>
  </r>
  <r>
    <x v="0"/>
    <x v="0"/>
    <x v="0"/>
    <x v="1"/>
    <x v="3"/>
    <s v="DE4-W_A"/>
    <x v="8"/>
    <s v="GNR_ST_LIGN_BP_E-37"/>
    <x v="0"/>
    <x v="16"/>
    <n v="4382.2666666666701"/>
    <n v="1599527.33333333"/>
    <n v="5758298.4000000004"/>
  </r>
  <r>
    <x v="0"/>
    <x v="0"/>
    <x v="0"/>
    <x v="1"/>
    <x v="3"/>
    <s v="DE4-W_A"/>
    <x v="8"/>
    <s v="GNR_ST_LIGN_BP_E-37"/>
    <x v="0"/>
    <x v="17"/>
    <n v="4382.2666666666701"/>
    <n v="1599527.33333333"/>
    <n v="5758298.4000000004"/>
  </r>
  <r>
    <x v="0"/>
    <x v="0"/>
    <x v="0"/>
    <x v="1"/>
    <x v="3"/>
    <s v="DE4-W_A"/>
    <x v="8"/>
    <s v="GNR_ST_LIGN_BP_E-37"/>
    <x v="0"/>
    <x v="18"/>
    <n v="4382.2666666666701"/>
    <n v="1599527.33333333"/>
    <n v="5758298.4000000004"/>
  </r>
  <r>
    <x v="0"/>
    <x v="0"/>
    <x v="0"/>
    <x v="1"/>
    <x v="3"/>
    <s v="DE4-W_A"/>
    <x v="8"/>
    <s v="GNR_ST_LIGN_BP_E-37"/>
    <x v="0"/>
    <x v="19"/>
    <n v="4382.2666666666701"/>
    <n v="1599527.33333333"/>
    <n v="5758298.4000000004"/>
  </r>
  <r>
    <x v="0"/>
    <x v="0"/>
    <x v="0"/>
    <x v="1"/>
    <x v="3"/>
    <s v="DE4-W_A"/>
    <x v="8"/>
    <s v="GNR_ST_LIGN_BP_E-37"/>
    <x v="0"/>
    <x v="20"/>
    <n v="4382.2666666666701"/>
    <n v="1599527.33333333"/>
    <n v="5758298.4000000004"/>
  </r>
  <r>
    <x v="0"/>
    <x v="0"/>
    <x v="0"/>
    <x v="1"/>
    <x v="3"/>
    <s v="DE4-W_A"/>
    <x v="8"/>
    <s v="GNR_ST_LIGN_BP_E-37"/>
    <x v="0"/>
    <x v="21"/>
    <n v="4382.2666666666701"/>
    <n v="1599527.33333333"/>
    <n v="5758298.4000000004"/>
  </r>
  <r>
    <x v="0"/>
    <x v="0"/>
    <x v="0"/>
    <x v="1"/>
    <x v="3"/>
    <s v="DE4-W_A"/>
    <x v="8"/>
    <s v="GNR_ST_LIGN_BP_E-37"/>
    <x v="0"/>
    <x v="22"/>
    <n v="4382.2666666666701"/>
    <n v="1599527.33333333"/>
    <n v="5758298.4000000004"/>
  </r>
  <r>
    <x v="0"/>
    <x v="0"/>
    <x v="0"/>
    <x v="1"/>
    <x v="3"/>
    <s v="DE4-W_A"/>
    <x v="8"/>
    <s v="GNR_ST_LIGN_BP_E-37"/>
    <x v="0"/>
    <x v="23"/>
    <n v="4382.2666666666701"/>
    <n v="1599527.33333333"/>
    <n v="5758298.4000000004"/>
  </r>
  <r>
    <x v="0"/>
    <x v="0"/>
    <x v="0"/>
    <x v="2"/>
    <x v="4"/>
    <s v="NO1_A1"/>
    <x v="3"/>
    <s v="GETOH_HEATPUMP"/>
    <x v="0"/>
    <x v="6"/>
    <n v="20.538313569899"/>
    <n v="7496.4844530131504"/>
    <n v="26987.3440308473"/>
  </r>
  <r>
    <x v="0"/>
    <x v="0"/>
    <x v="0"/>
    <x v="2"/>
    <x v="4"/>
    <s v="NO1_A1"/>
    <x v="3"/>
    <s v="GETOH_HEATPUMP"/>
    <x v="0"/>
    <x v="7"/>
    <n v="39.220743954084803"/>
    <n v="14315.571543241"/>
    <n v="51536.057555667503"/>
  </r>
  <r>
    <x v="0"/>
    <x v="0"/>
    <x v="0"/>
    <x v="2"/>
    <x v="4"/>
    <s v="NO1_A1"/>
    <x v="3"/>
    <s v="GETOH_HEATPUMP"/>
    <x v="0"/>
    <x v="8"/>
    <n v="41.889443508729599"/>
    <n v="15289.646880686299"/>
    <n v="55042.728770470698"/>
  </r>
  <r>
    <x v="0"/>
    <x v="0"/>
    <x v="0"/>
    <x v="2"/>
    <x v="4"/>
    <s v="NO1_A1"/>
    <x v="3"/>
    <s v="GETOH_HEATPUMP"/>
    <x v="0"/>
    <x v="9"/>
    <n v="35.136967794774101"/>
    <n v="12824.993245092501"/>
    <n v="46169.975682333097"/>
  </r>
  <r>
    <x v="0"/>
    <x v="0"/>
    <x v="0"/>
    <x v="2"/>
    <x v="4"/>
    <s v="NO1_A1"/>
    <x v="3"/>
    <s v="GETOH_HEATPUMP"/>
    <x v="0"/>
    <x v="10"/>
    <n v="27.389840239238598"/>
    <n v="9997.2916873221002"/>
    <n v="35990.250074359603"/>
  </r>
  <r>
    <x v="0"/>
    <x v="0"/>
    <x v="0"/>
    <x v="2"/>
    <x v="4"/>
    <s v="NO1_A1"/>
    <x v="3"/>
    <s v="GETOH_HEATPUMP"/>
    <x v="0"/>
    <x v="11"/>
    <n v="15.847132293873001"/>
    <n v="5784.2032872636501"/>
    <n v="20823.131834149099"/>
  </r>
  <r>
    <x v="0"/>
    <x v="0"/>
    <x v="0"/>
    <x v="2"/>
    <x v="4"/>
    <s v="NO1_A1"/>
    <x v="3"/>
    <s v="GETOH_HEATPUMP"/>
    <x v="0"/>
    <x v="12"/>
    <n v="6.2249950639822602"/>
    <n v="2272.1231983535299"/>
    <n v="8179.6435140726899"/>
  </r>
  <r>
    <x v="0"/>
    <x v="0"/>
    <x v="0"/>
    <x v="2"/>
    <x v="4"/>
    <s v="NO1_A1"/>
    <x v="3"/>
    <s v="GETOH_HEATPUMP"/>
    <x v="0"/>
    <x v="13"/>
    <n v="2.7553591345150501"/>
    <n v="1005.70608409799"/>
    <n v="3620.5419027527701"/>
  </r>
  <r>
    <x v="0"/>
    <x v="0"/>
    <x v="0"/>
    <x v="2"/>
    <x v="4"/>
    <s v="NO1_A1"/>
    <x v="3"/>
    <s v="GETOH_HEATPUMP"/>
    <x v="0"/>
    <x v="14"/>
    <n v="0.16485454976724201"/>
    <n v="60.1719106650432"/>
    <n v="216.61887839415499"/>
  </r>
  <r>
    <x v="0"/>
    <x v="0"/>
    <x v="0"/>
    <x v="2"/>
    <x v="4"/>
    <s v="NO1_A1"/>
    <x v="9"/>
    <s v="GHOB_LNG"/>
    <x v="0"/>
    <x v="0"/>
    <n v="23"/>
    <n v="8395"/>
    <n v="30222"/>
  </r>
  <r>
    <x v="0"/>
    <x v="0"/>
    <x v="0"/>
    <x v="2"/>
    <x v="4"/>
    <s v="NO1_A1"/>
    <x v="9"/>
    <s v="GHOB_LNG"/>
    <x v="0"/>
    <x v="1"/>
    <n v="23"/>
    <n v="8395"/>
    <n v="30222"/>
  </r>
  <r>
    <x v="0"/>
    <x v="0"/>
    <x v="0"/>
    <x v="2"/>
    <x v="4"/>
    <s v="NO1_A1"/>
    <x v="9"/>
    <s v="GHOB_LNG"/>
    <x v="0"/>
    <x v="2"/>
    <n v="23"/>
    <n v="8395"/>
    <n v="30222"/>
  </r>
  <r>
    <x v="0"/>
    <x v="0"/>
    <x v="0"/>
    <x v="2"/>
    <x v="4"/>
    <s v="NO1_A1"/>
    <x v="9"/>
    <s v="GHOB_LNG"/>
    <x v="0"/>
    <x v="3"/>
    <n v="23"/>
    <n v="8395"/>
    <n v="30222"/>
  </r>
  <r>
    <x v="0"/>
    <x v="0"/>
    <x v="0"/>
    <x v="2"/>
    <x v="4"/>
    <s v="NO1_A1"/>
    <x v="9"/>
    <s v="GHOB_LNG"/>
    <x v="0"/>
    <x v="4"/>
    <n v="23"/>
    <n v="8395"/>
    <n v="30222"/>
  </r>
  <r>
    <x v="0"/>
    <x v="0"/>
    <x v="0"/>
    <x v="2"/>
    <x v="4"/>
    <s v="NO1_A1"/>
    <x v="9"/>
    <s v="GHOB_LNG"/>
    <x v="0"/>
    <x v="5"/>
    <n v="23"/>
    <n v="8395"/>
    <n v="30222"/>
  </r>
  <r>
    <x v="0"/>
    <x v="0"/>
    <x v="0"/>
    <x v="2"/>
    <x v="4"/>
    <s v="NO1_A1"/>
    <x v="9"/>
    <s v="GHOB_LNG"/>
    <x v="0"/>
    <x v="6"/>
    <n v="23"/>
    <n v="8395"/>
    <n v="30222"/>
  </r>
  <r>
    <x v="0"/>
    <x v="0"/>
    <x v="0"/>
    <x v="2"/>
    <x v="4"/>
    <s v="NO1_A1"/>
    <x v="9"/>
    <s v="GHOB_LNG"/>
    <x v="0"/>
    <x v="7"/>
    <n v="23"/>
    <n v="8395"/>
    <n v="30222"/>
  </r>
  <r>
    <x v="0"/>
    <x v="0"/>
    <x v="0"/>
    <x v="2"/>
    <x v="4"/>
    <s v="NO1_A1"/>
    <x v="9"/>
    <s v="GHOB_LNG"/>
    <x v="0"/>
    <x v="8"/>
    <n v="23"/>
    <n v="8395"/>
    <n v="30222"/>
  </r>
  <r>
    <x v="0"/>
    <x v="0"/>
    <x v="0"/>
    <x v="2"/>
    <x v="4"/>
    <s v="NO1_A1"/>
    <x v="9"/>
    <s v="GHOB_LNG"/>
    <x v="0"/>
    <x v="9"/>
    <n v="23"/>
    <n v="8395"/>
    <n v="30222"/>
  </r>
  <r>
    <x v="0"/>
    <x v="0"/>
    <x v="0"/>
    <x v="2"/>
    <x v="4"/>
    <s v="NO1_A1"/>
    <x v="9"/>
    <s v="GHOB_LNG"/>
    <x v="0"/>
    <x v="10"/>
    <n v="23"/>
    <n v="8395"/>
    <n v="30222"/>
  </r>
  <r>
    <x v="0"/>
    <x v="0"/>
    <x v="0"/>
    <x v="2"/>
    <x v="4"/>
    <s v="NO1_A1"/>
    <x v="9"/>
    <s v="GHOB_LNG"/>
    <x v="0"/>
    <x v="11"/>
    <n v="23"/>
    <n v="8395"/>
    <n v="30222"/>
  </r>
  <r>
    <x v="0"/>
    <x v="0"/>
    <x v="0"/>
    <x v="2"/>
    <x v="4"/>
    <s v="NO1_A1"/>
    <x v="9"/>
    <s v="GHOB_LNG"/>
    <x v="0"/>
    <x v="12"/>
    <n v="23"/>
    <n v="8395"/>
    <n v="30222"/>
  </r>
  <r>
    <x v="0"/>
    <x v="0"/>
    <x v="0"/>
    <x v="2"/>
    <x v="4"/>
    <s v="NO1_A1"/>
    <x v="9"/>
    <s v="GHOB_LNG"/>
    <x v="0"/>
    <x v="13"/>
    <n v="23"/>
    <n v="8395"/>
    <n v="30222"/>
  </r>
  <r>
    <x v="0"/>
    <x v="0"/>
    <x v="0"/>
    <x v="2"/>
    <x v="4"/>
    <s v="NO1_A1"/>
    <x v="9"/>
    <s v="GHOB_LNG"/>
    <x v="0"/>
    <x v="14"/>
    <n v="23"/>
    <n v="8395"/>
    <n v="30222"/>
  </r>
  <r>
    <x v="0"/>
    <x v="0"/>
    <x v="0"/>
    <x v="2"/>
    <x v="4"/>
    <s v="NO1_A1"/>
    <x v="9"/>
    <s v="GHOB_LNG"/>
    <x v="0"/>
    <x v="15"/>
    <n v="23"/>
    <n v="8395"/>
    <n v="30222"/>
  </r>
  <r>
    <x v="0"/>
    <x v="0"/>
    <x v="0"/>
    <x v="2"/>
    <x v="4"/>
    <s v="NO1_A1"/>
    <x v="9"/>
    <s v="GHOB_LNG"/>
    <x v="0"/>
    <x v="16"/>
    <n v="23"/>
    <n v="8395"/>
    <n v="30222"/>
  </r>
  <r>
    <x v="0"/>
    <x v="0"/>
    <x v="0"/>
    <x v="2"/>
    <x v="4"/>
    <s v="NO1_A1"/>
    <x v="9"/>
    <s v="GHOB_LNG"/>
    <x v="0"/>
    <x v="17"/>
    <n v="23"/>
    <n v="8395"/>
    <n v="30222"/>
  </r>
  <r>
    <x v="0"/>
    <x v="0"/>
    <x v="0"/>
    <x v="2"/>
    <x v="4"/>
    <s v="NO1_A1"/>
    <x v="9"/>
    <s v="GHOB_LNG"/>
    <x v="0"/>
    <x v="18"/>
    <n v="23"/>
    <n v="8395"/>
    <n v="30222"/>
  </r>
  <r>
    <x v="0"/>
    <x v="0"/>
    <x v="0"/>
    <x v="2"/>
    <x v="4"/>
    <s v="NO1_A1"/>
    <x v="9"/>
    <s v="GHOB_LNG"/>
    <x v="0"/>
    <x v="19"/>
    <n v="23"/>
    <n v="8395"/>
    <n v="30222"/>
  </r>
  <r>
    <x v="0"/>
    <x v="0"/>
    <x v="0"/>
    <x v="2"/>
    <x v="4"/>
    <s v="NO1_A1"/>
    <x v="9"/>
    <s v="GHOB_LNG"/>
    <x v="0"/>
    <x v="20"/>
    <n v="23"/>
    <n v="8395"/>
    <n v="30222"/>
  </r>
  <r>
    <x v="0"/>
    <x v="0"/>
    <x v="0"/>
    <x v="2"/>
    <x v="4"/>
    <s v="NO1_A1"/>
    <x v="9"/>
    <s v="GHOB_LNG"/>
    <x v="0"/>
    <x v="21"/>
    <n v="23"/>
    <n v="8395"/>
    <n v="30222"/>
  </r>
  <r>
    <x v="0"/>
    <x v="0"/>
    <x v="0"/>
    <x v="2"/>
    <x v="4"/>
    <s v="NO1_A1"/>
    <x v="9"/>
    <s v="GHOB_LNG"/>
    <x v="0"/>
    <x v="22"/>
    <n v="23"/>
    <n v="8395"/>
    <n v="30222"/>
  </r>
  <r>
    <x v="0"/>
    <x v="0"/>
    <x v="0"/>
    <x v="2"/>
    <x v="4"/>
    <s v="NO1_A1"/>
    <x v="9"/>
    <s v="GHOB_LNG"/>
    <x v="0"/>
    <x v="23"/>
    <n v="23"/>
    <n v="8395"/>
    <n v="30222"/>
  </r>
  <r>
    <x v="0"/>
    <x v="0"/>
    <x v="0"/>
    <x v="2"/>
    <x v="4"/>
    <s v="NO1_A1"/>
    <x v="9"/>
    <s v="GHOB_LPG"/>
    <x v="0"/>
    <x v="0"/>
    <n v="41.6"/>
    <n v="15184"/>
    <n v="54662.400000000001"/>
  </r>
  <r>
    <x v="0"/>
    <x v="0"/>
    <x v="0"/>
    <x v="2"/>
    <x v="4"/>
    <s v="NO1_A1"/>
    <x v="9"/>
    <s v="GHOB_LPG"/>
    <x v="0"/>
    <x v="1"/>
    <n v="41.6"/>
    <n v="15184"/>
    <n v="54662.400000000001"/>
  </r>
  <r>
    <x v="0"/>
    <x v="0"/>
    <x v="0"/>
    <x v="2"/>
    <x v="4"/>
    <s v="NO1_A1"/>
    <x v="9"/>
    <s v="GHOB_LPG"/>
    <x v="0"/>
    <x v="2"/>
    <n v="41.6"/>
    <n v="15184"/>
    <n v="54662.400000000001"/>
  </r>
  <r>
    <x v="0"/>
    <x v="0"/>
    <x v="0"/>
    <x v="2"/>
    <x v="4"/>
    <s v="NO1_A1"/>
    <x v="9"/>
    <s v="GHOB_LPG"/>
    <x v="0"/>
    <x v="3"/>
    <n v="41.6"/>
    <n v="15184"/>
    <n v="54662.400000000001"/>
  </r>
  <r>
    <x v="0"/>
    <x v="0"/>
    <x v="0"/>
    <x v="2"/>
    <x v="4"/>
    <s v="NO1_A1"/>
    <x v="9"/>
    <s v="GHOB_LPG"/>
    <x v="0"/>
    <x v="4"/>
    <n v="41.6"/>
    <n v="15184"/>
    <n v="54662.400000000001"/>
  </r>
  <r>
    <x v="0"/>
    <x v="0"/>
    <x v="0"/>
    <x v="2"/>
    <x v="4"/>
    <s v="NO1_A1"/>
    <x v="9"/>
    <s v="GHOB_LPG"/>
    <x v="0"/>
    <x v="5"/>
    <n v="41.6"/>
    <n v="15184"/>
    <n v="54662.400000000001"/>
  </r>
  <r>
    <x v="0"/>
    <x v="0"/>
    <x v="0"/>
    <x v="2"/>
    <x v="4"/>
    <s v="NO1_A1"/>
    <x v="9"/>
    <s v="GHOB_LPG"/>
    <x v="0"/>
    <x v="6"/>
    <n v="41.6"/>
    <n v="15184"/>
    <n v="54662.400000000001"/>
  </r>
  <r>
    <x v="0"/>
    <x v="0"/>
    <x v="0"/>
    <x v="2"/>
    <x v="4"/>
    <s v="NO1_A1"/>
    <x v="9"/>
    <s v="GHOB_LPG"/>
    <x v="0"/>
    <x v="7"/>
    <n v="41.6"/>
    <n v="15184"/>
    <n v="54662.400000000001"/>
  </r>
  <r>
    <x v="0"/>
    <x v="0"/>
    <x v="0"/>
    <x v="2"/>
    <x v="4"/>
    <s v="NO1_A1"/>
    <x v="9"/>
    <s v="GHOB_LPG"/>
    <x v="0"/>
    <x v="8"/>
    <n v="41.6"/>
    <n v="15184"/>
    <n v="54662.400000000001"/>
  </r>
  <r>
    <x v="0"/>
    <x v="0"/>
    <x v="0"/>
    <x v="2"/>
    <x v="4"/>
    <s v="NO1_A1"/>
    <x v="9"/>
    <s v="GHOB_LPG"/>
    <x v="0"/>
    <x v="9"/>
    <n v="41.6"/>
    <n v="15184"/>
    <n v="54662.400000000001"/>
  </r>
  <r>
    <x v="0"/>
    <x v="0"/>
    <x v="0"/>
    <x v="2"/>
    <x v="4"/>
    <s v="NO1_A1"/>
    <x v="9"/>
    <s v="GHOB_LPG"/>
    <x v="0"/>
    <x v="10"/>
    <n v="41.6"/>
    <n v="15184"/>
    <n v="54662.400000000001"/>
  </r>
  <r>
    <x v="0"/>
    <x v="0"/>
    <x v="0"/>
    <x v="2"/>
    <x v="4"/>
    <s v="NO1_A1"/>
    <x v="9"/>
    <s v="GHOB_LPG"/>
    <x v="0"/>
    <x v="11"/>
    <n v="41.6"/>
    <n v="15184"/>
    <n v="54662.400000000001"/>
  </r>
  <r>
    <x v="0"/>
    <x v="0"/>
    <x v="0"/>
    <x v="2"/>
    <x v="4"/>
    <s v="NO1_A1"/>
    <x v="9"/>
    <s v="GHOB_LPG"/>
    <x v="0"/>
    <x v="12"/>
    <n v="41.6"/>
    <n v="15184"/>
    <n v="54662.400000000001"/>
  </r>
  <r>
    <x v="0"/>
    <x v="0"/>
    <x v="0"/>
    <x v="2"/>
    <x v="4"/>
    <s v="NO1_A1"/>
    <x v="9"/>
    <s v="GHOB_LPG"/>
    <x v="0"/>
    <x v="13"/>
    <n v="41.6"/>
    <n v="15184"/>
    <n v="54662.400000000001"/>
  </r>
  <r>
    <x v="0"/>
    <x v="0"/>
    <x v="0"/>
    <x v="2"/>
    <x v="4"/>
    <s v="NO1_A1"/>
    <x v="9"/>
    <s v="GHOB_LPG"/>
    <x v="0"/>
    <x v="14"/>
    <n v="41.6"/>
    <n v="15184"/>
    <n v="54662.400000000001"/>
  </r>
  <r>
    <x v="0"/>
    <x v="0"/>
    <x v="0"/>
    <x v="2"/>
    <x v="4"/>
    <s v="NO1_A1"/>
    <x v="9"/>
    <s v="GHOB_LPG"/>
    <x v="0"/>
    <x v="15"/>
    <n v="41.6"/>
    <n v="15184"/>
    <n v="54662.400000000001"/>
  </r>
  <r>
    <x v="0"/>
    <x v="0"/>
    <x v="0"/>
    <x v="2"/>
    <x v="4"/>
    <s v="NO1_A1"/>
    <x v="9"/>
    <s v="GHOB_LPG"/>
    <x v="0"/>
    <x v="16"/>
    <n v="41.6"/>
    <n v="15184"/>
    <n v="54662.400000000001"/>
  </r>
  <r>
    <x v="0"/>
    <x v="0"/>
    <x v="0"/>
    <x v="2"/>
    <x v="4"/>
    <s v="NO1_A1"/>
    <x v="9"/>
    <s v="GHOB_LPG"/>
    <x v="0"/>
    <x v="17"/>
    <n v="41.6"/>
    <n v="15184"/>
    <n v="54662.400000000001"/>
  </r>
  <r>
    <x v="0"/>
    <x v="0"/>
    <x v="0"/>
    <x v="2"/>
    <x v="4"/>
    <s v="NO1_A1"/>
    <x v="9"/>
    <s v="GHOB_LPG"/>
    <x v="0"/>
    <x v="18"/>
    <n v="41.6"/>
    <n v="15184"/>
    <n v="54662.400000000001"/>
  </r>
  <r>
    <x v="0"/>
    <x v="0"/>
    <x v="0"/>
    <x v="2"/>
    <x v="4"/>
    <s v="NO1_A1"/>
    <x v="9"/>
    <s v="GHOB_LPG"/>
    <x v="0"/>
    <x v="19"/>
    <n v="41.6"/>
    <n v="15184"/>
    <n v="54662.400000000001"/>
  </r>
  <r>
    <x v="0"/>
    <x v="0"/>
    <x v="0"/>
    <x v="2"/>
    <x v="4"/>
    <s v="NO1_A1"/>
    <x v="9"/>
    <s v="GHOB_LPG"/>
    <x v="0"/>
    <x v="20"/>
    <n v="41.6"/>
    <n v="15184"/>
    <n v="54662.400000000001"/>
  </r>
  <r>
    <x v="0"/>
    <x v="0"/>
    <x v="0"/>
    <x v="2"/>
    <x v="4"/>
    <s v="NO1_A1"/>
    <x v="9"/>
    <s v="GHOB_LPG"/>
    <x v="0"/>
    <x v="21"/>
    <n v="41.6"/>
    <n v="15184"/>
    <n v="54662.400000000001"/>
  </r>
  <r>
    <x v="0"/>
    <x v="0"/>
    <x v="0"/>
    <x v="2"/>
    <x v="4"/>
    <s v="NO1_A1"/>
    <x v="9"/>
    <s v="GHOB_LPG"/>
    <x v="0"/>
    <x v="22"/>
    <n v="41.6"/>
    <n v="15184"/>
    <n v="54662.400000000001"/>
  </r>
  <r>
    <x v="0"/>
    <x v="0"/>
    <x v="0"/>
    <x v="2"/>
    <x v="4"/>
    <s v="NO1_A1"/>
    <x v="9"/>
    <s v="GHOB_LPG"/>
    <x v="0"/>
    <x v="23"/>
    <n v="41.6"/>
    <n v="15184"/>
    <n v="54662.400000000001"/>
  </r>
  <r>
    <x v="0"/>
    <x v="0"/>
    <x v="0"/>
    <x v="2"/>
    <x v="4"/>
    <s v="NO1_A1"/>
    <x v="1"/>
    <s v="GBPR_MUNIWASTE"/>
    <x v="0"/>
    <x v="0"/>
    <n v="26.451612903225801"/>
    <n v="9654.8387096774204"/>
    <n v="34757.419354838697"/>
  </r>
  <r>
    <x v="0"/>
    <x v="0"/>
    <x v="0"/>
    <x v="2"/>
    <x v="4"/>
    <s v="NO1_A1"/>
    <x v="1"/>
    <s v="GBPR_MUNIWASTE"/>
    <x v="0"/>
    <x v="1"/>
    <n v="26.451612903225801"/>
    <n v="9654.8387096774204"/>
    <n v="34757.419354838697"/>
  </r>
  <r>
    <x v="0"/>
    <x v="0"/>
    <x v="0"/>
    <x v="2"/>
    <x v="4"/>
    <s v="NO1_A1"/>
    <x v="1"/>
    <s v="GBPR_MUNIWASTE"/>
    <x v="0"/>
    <x v="2"/>
    <n v="26.451612903225801"/>
    <n v="9654.8387096774204"/>
    <n v="34757.419354838697"/>
  </r>
  <r>
    <x v="0"/>
    <x v="0"/>
    <x v="0"/>
    <x v="2"/>
    <x v="4"/>
    <s v="NO1_A1"/>
    <x v="1"/>
    <s v="GBPR_MUNIWASTE"/>
    <x v="0"/>
    <x v="3"/>
    <n v="26.451612903225801"/>
    <n v="9654.8387096774204"/>
    <n v="34757.419354838697"/>
  </r>
  <r>
    <x v="0"/>
    <x v="0"/>
    <x v="0"/>
    <x v="2"/>
    <x v="4"/>
    <s v="NO1_A1"/>
    <x v="1"/>
    <s v="GBPR_MUNIWASTE"/>
    <x v="0"/>
    <x v="4"/>
    <n v="26.451612903225801"/>
    <n v="9654.8387096774204"/>
    <n v="34757.419354838697"/>
  </r>
  <r>
    <x v="0"/>
    <x v="0"/>
    <x v="0"/>
    <x v="2"/>
    <x v="4"/>
    <s v="NO1_A1"/>
    <x v="1"/>
    <s v="GBPR_MUNIWASTE"/>
    <x v="0"/>
    <x v="5"/>
    <n v="26.451612903225801"/>
    <n v="9654.8387096774204"/>
    <n v="34757.419354838697"/>
  </r>
  <r>
    <x v="0"/>
    <x v="0"/>
    <x v="0"/>
    <x v="2"/>
    <x v="4"/>
    <s v="NO1_A1"/>
    <x v="1"/>
    <s v="GBPR_MUNIWASTE"/>
    <x v="0"/>
    <x v="6"/>
    <n v="26.451612903225801"/>
    <n v="9654.8387096774204"/>
    <n v="34757.419354838697"/>
  </r>
  <r>
    <x v="0"/>
    <x v="0"/>
    <x v="0"/>
    <x v="2"/>
    <x v="4"/>
    <s v="NO1_A1"/>
    <x v="1"/>
    <s v="GBPR_MUNIWASTE"/>
    <x v="0"/>
    <x v="7"/>
    <n v="26.451612903225801"/>
    <n v="9654.8387096774204"/>
    <n v="34757.419354838697"/>
  </r>
  <r>
    <x v="0"/>
    <x v="0"/>
    <x v="0"/>
    <x v="2"/>
    <x v="4"/>
    <s v="NO1_A1"/>
    <x v="1"/>
    <s v="GBPR_MUNIWASTE"/>
    <x v="0"/>
    <x v="8"/>
    <n v="26.451612903225801"/>
    <n v="9654.8387096774204"/>
    <n v="34757.419354838697"/>
  </r>
  <r>
    <x v="0"/>
    <x v="0"/>
    <x v="0"/>
    <x v="2"/>
    <x v="4"/>
    <s v="NO1_A1"/>
    <x v="1"/>
    <s v="GBPR_MUNIWASTE"/>
    <x v="0"/>
    <x v="9"/>
    <n v="26.451612903225801"/>
    <n v="9654.8387096774204"/>
    <n v="34757.419354838697"/>
  </r>
  <r>
    <x v="0"/>
    <x v="0"/>
    <x v="0"/>
    <x v="2"/>
    <x v="4"/>
    <s v="NO1_A1"/>
    <x v="1"/>
    <s v="GBPR_MUNIWASTE"/>
    <x v="0"/>
    <x v="10"/>
    <n v="26.451612903225801"/>
    <n v="9654.8387096774204"/>
    <n v="34757.419354838697"/>
  </r>
  <r>
    <x v="0"/>
    <x v="0"/>
    <x v="0"/>
    <x v="2"/>
    <x v="4"/>
    <s v="NO1_A1"/>
    <x v="1"/>
    <s v="GBPR_MUNIWASTE"/>
    <x v="0"/>
    <x v="11"/>
    <n v="26.451612903225801"/>
    <n v="9654.8387096774204"/>
    <n v="34757.419354838697"/>
  </r>
  <r>
    <x v="0"/>
    <x v="0"/>
    <x v="0"/>
    <x v="2"/>
    <x v="4"/>
    <s v="NO1_A1"/>
    <x v="1"/>
    <s v="GBPR_MUNIWASTE"/>
    <x v="0"/>
    <x v="12"/>
    <n v="26.451612903225801"/>
    <n v="9654.8387096774204"/>
    <n v="34757.419354838697"/>
  </r>
  <r>
    <x v="0"/>
    <x v="0"/>
    <x v="0"/>
    <x v="2"/>
    <x v="4"/>
    <s v="NO1_A1"/>
    <x v="1"/>
    <s v="GBPR_MUNIWASTE"/>
    <x v="0"/>
    <x v="13"/>
    <n v="26.451612903225801"/>
    <n v="9654.8387096774204"/>
    <n v="34757.419354838697"/>
  </r>
  <r>
    <x v="0"/>
    <x v="0"/>
    <x v="0"/>
    <x v="2"/>
    <x v="4"/>
    <s v="NO1_A1"/>
    <x v="1"/>
    <s v="GBPR_MUNIWASTE"/>
    <x v="0"/>
    <x v="14"/>
    <n v="26.451612903225801"/>
    <n v="9654.8387096774204"/>
    <n v="34757.419354838697"/>
  </r>
  <r>
    <x v="0"/>
    <x v="0"/>
    <x v="0"/>
    <x v="2"/>
    <x v="4"/>
    <s v="NO1_A1"/>
    <x v="1"/>
    <s v="GBPR_MUNIWASTE"/>
    <x v="0"/>
    <x v="15"/>
    <n v="26.451612903225801"/>
    <n v="9654.8387096774204"/>
    <n v="34757.419354838697"/>
  </r>
  <r>
    <x v="0"/>
    <x v="0"/>
    <x v="0"/>
    <x v="2"/>
    <x v="4"/>
    <s v="NO1_A1"/>
    <x v="1"/>
    <s v="GBPR_MUNIWASTE"/>
    <x v="0"/>
    <x v="16"/>
    <n v="26.451612903225801"/>
    <n v="9654.8387096774204"/>
    <n v="34757.419354838697"/>
  </r>
  <r>
    <x v="0"/>
    <x v="0"/>
    <x v="0"/>
    <x v="2"/>
    <x v="4"/>
    <s v="NO1_A1"/>
    <x v="1"/>
    <s v="GBPR_MUNIWASTE"/>
    <x v="0"/>
    <x v="17"/>
    <n v="26.451612903225801"/>
    <n v="9654.8387096774204"/>
    <n v="34757.419354838697"/>
  </r>
  <r>
    <x v="0"/>
    <x v="0"/>
    <x v="0"/>
    <x v="2"/>
    <x v="4"/>
    <s v="NO1_A1"/>
    <x v="1"/>
    <s v="GBPR_MUNIWASTE"/>
    <x v="0"/>
    <x v="18"/>
    <n v="26.451612903225801"/>
    <n v="9654.8387096774204"/>
    <n v="34757.419354838697"/>
  </r>
  <r>
    <x v="0"/>
    <x v="0"/>
    <x v="0"/>
    <x v="2"/>
    <x v="4"/>
    <s v="NO1_A1"/>
    <x v="1"/>
    <s v="GBPR_MUNIWASTE"/>
    <x v="0"/>
    <x v="19"/>
    <n v="26.451612903225801"/>
    <n v="9654.8387096774204"/>
    <n v="34757.419354838697"/>
  </r>
  <r>
    <x v="0"/>
    <x v="0"/>
    <x v="0"/>
    <x v="2"/>
    <x v="4"/>
    <s v="NO1_A1"/>
    <x v="1"/>
    <s v="GBPR_MUNIWASTE"/>
    <x v="0"/>
    <x v="20"/>
    <n v="26.451612903225801"/>
    <n v="9654.8387096774204"/>
    <n v="34757.419354838697"/>
  </r>
  <r>
    <x v="0"/>
    <x v="0"/>
    <x v="0"/>
    <x v="2"/>
    <x v="4"/>
    <s v="NO1_A1"/>
    <x v="1"/>
    <s v="GBPR_MUNIWASTE"/>
    <x v="0"/>
    <x v="21"/>
    <n v="26.451612903225801"/>
    <n v="9654.8387096774204"/>
    <n v="34757.419354838697"/>
  </r>
  <r>
    <x v="0"/>
    <x v="0"/>
    <x v="0"/>
    <x v="2"/>
    <x v="4"/>
    <s v="NO1_A1"/>
    <x v="1"/>
    <s v="GBPR_MUNIWASTE"/>
    <x v="0"/>
    <x v="22"/>
    <n v="26.451612903225801"/>
    <n v="9654.8387096774204"/>
    <n v="34757.419354838697"/>
  </r>
  <r>
    <x v="0"/>
    <x v="0"/>
    <x v="0"/>
    <x v="2"/>
    <x v="4"/>
    <s v="NO1_A1"/>
    <x v="1"/>
    <s v="GBPR_MUNIWASTE"/>
    <x v="0"/>
    <x v="23"/>
    <n v="26.451612903225801"/>
    <n v="9654.8387096774204"/>
    <n v="34757.419354838697"/>
  </r>
  <r>
    <x v="0"/>
    <x v="0"/>
    <x v="0"/>
    <x v="2"/>
    <x v="4"/>
    <s v="NO1_A1"/>
    <x v="1"/>
    <s v="GHOB_MUNIWASTE"/>
    <x v="0"/>
    <x v="0"/>
    <n v="7.444"/>
    <n v="2717.06"/>
    <n v="9781.4159999999993"/>
  </r>
  <r>
    <x v="0"/>
    <x v="0"/>
    <x v="0"/>
    <x v="2"/>
    <x v="4"/>
    <s v="NO1_A1"/>
    <x v="1"/>
    <s v="GHOB_MUNIWASTE"/>
    <x v="0"/>
    <x v="1"/>
    <n v="7.444"/>
    <n v="2717.06"/>
    <n v="9781.4159999999993"/>
  </r>
  <r>
    <x v="0"/>
    <x v="0"/>
    <x v="0"/>
    <x v="2"/>
    <x v="4"/>
    <s v="NO1_A1"/>
    <x v="1"/>
    <s v="GHOB_MUNIWASTE"/>
    <x v="0"/>
    <x v="2"/>
    <n v="7.444"/>
    <n v="2717.06"/>
    <n v="9781.4159999999993"/>
  </r>
  <r>
    <x v="0"/>
    <x v="0"/>
    <x v="0"/>
    <x v="2"/>
    <x v="4"/>
    <s v="NO1_A1"/>
    <x v="1"/>
    <s v="GHOB_MUNIWASTE"/>
    <x v="0"/>
    <x v="3"/>
    <n v="7.444"/>
    <n v="2717.06"/>
    <n v="9781.4159999999993"/>
  </r>
  <r>
    <x v="0"/>
    <x v="0"/>
    <x v="0"/>
    <x v="2"/>
    <x v="4"/>
    <s v="NO1_A1"/>
    <x v="1"/>
    <s v="GHOB_MUNIWASTE"/>
    <x v="0"/>
    <x v="4"/>
    <n v="7.444"/>
    <n v="2717.06"/>
    <n v="9781.4159999999993"/>
  </r>
  <r>
    <x v="0"/>
    <x v="0"/>
    <x v="0"/>
    <x v="2"/>
    <x v="4"/>
    <s v="NO1_A1"/>
    <x v="1"/>
    <s v="GHOB_MUNIWASTE"/>
    <x v="0"/>
    <x v="5"/>
    <n v="7.444"/>
    <n v="2717.06"/>
    <n v="9781.4159999999993"/>
  </r>
  <r>
    <x v="0"/>
    <x v="0"/>
    <x v="0"/>
    <x v="2"/>
    <x v="4"/>
    <s v="NO1_A1"/>
    <x v="1"/>
    <s v="GHOB_MUNIWASTE"/>
    <x v="0"/>
    <x v="6"/>
    <n v="7.444"/>
    <n v="2717.06"/>
    <n v="9781.4159999999993"/>
  </r>
  <r>
    <x v="0"/>
    <x v="0"/>
    <x v="0"/>
    <x v="2"/>
    <x v="4"/>
    <s v="NO1_A1"/>
    <x v="1"/>
    <s v="GHOB_MUNIWASTE"/>
    <x v="0"/>
    <x v="7"/>
    <n v="7.444"/>
    <n v="2717.06"/>
    <n v="9781.4159999999993"/>
  </r>
  <r>
    <x v="0"/>
    <x v="0"/>
    <x v="0"/>
    <x v="2"/>
    <x v="4"/>
    <s v="NO1_A1"/>
    <x v="1"/>
    <s v="GHOB_MUNIWASTE"/>
    <x v="0"/>
    <x v="8"/>
    <n v="7.444"/>
    <n v="2717.06"/>
    <n v="9781.4159999999993"/>
  </r>
  <r>
    <x v="0"/>
    <x v="0"/>
    <x v="0"/>
    <x v="2"/>
    <x v="4"/>
    <s v="NO1_A1"/>
    <x v="1"/>
    <s v="GHOB_MUNIWASTE"/>
    <x v="0"/>
    <x v="9"/>
    <n v="7.444"/>
    <n v="2717.06"/>
    <n v="9781.4159999999993"/>
  </r>
  <r>
    <x v="0"/>
    <x v="0"/>
    <x v="0"/>
    <x v="2"/>
    <x v="4"/>
    <s v="NO1_A1"/>
    <x v="1"/>
    <s v="GHOB_MUNIWASTE"/>
    <x v="0"/>
    <x v="10"/>
    <n v="7.444"/>
    <n v="2717.06"/>
    <n v="9781.4159999999993"/>
  </r>
  <r>
    <x v="0"/>
    <x v="0"/>
    <x v="0"/>
    <x v="2"/>
    <x v="4"/>
    <s v="NO1_A1"/>
    <x v="1"/>
    <s v="GHOB_MUNIWASTE"/>
    <x v="0"/>
    <x v="11"/>
    <n v="7.444"/>
    <n v="2717.06"/>
    <n v="9781.4159999999993"/>
  </r>
  <r>
    <x v="0"/>
    <x v="0"/>
    <x v="0"/>
    <x v="2"/>
    <x v="4"/>
    <s v="NO1_A1"/>
    <x v="1"/>
    <s v="GHOB_MUNIWASTE"/>
    <x v="0"/>
    <x v="12"/>
    <n v="7.444"/>
    <n v="2717.06"/>
    <n v="9781.4159999999993"/>
  </r>
  <r>
    <x v="0"/>
    <x v="0"/>
    <x v="0"/>
    <x v="2"/>
    <x v="4"/>
    <s v="NO1_A1"/>
    <x v="1"/>
    <s v="GHOB_MUNIWASTE"/>
    <x v="0"/>
    <x v="13"/>
    <n v="7.444"/>
    <n v="2717.06"/>
    <n v="9781.4159999999993"/>
  </r>
  <r>
    <x v="0"/>
    <x v="0"/>
    <x v="0"/>
    <x v="2"/>
    <x v="4"/>
    <s v="NO1_A1"/>
    <x v="1"/>
    <s v="GHOB_MUNIWASTE"/>
    <x v="0"/>
    <x v="14"/>
    <n v="7.444"/>
    <n v="2717.06"/>
    <n v="9781.4159999999993"/>
  </r>
  <r>
    <x v="0"/>
    <x v="0"/>
    <x v="0"/>
    <x v="2"/>
    <x v="4"/>
    <s v="NO1_A1"/>
    <x v="1"/>
    <s v="GHOB_MUNIWASTE"/>
    <x v="0"/>
    <x v="15"/>
    <n v="7.444"/>
    <n v="2717.06"/>
    <n v="9781.4159999999993"/>
  </r>
  <r>
    <x v="0"/>
    <x v="0"/>
    <x v="0"/>
    <x v="2"/>
    <x v="4"/>
    <s v="NO1_A1"/>
    <x v="1"/>
    <s v="GHOB_MUNIWASTE"/>
    <x v="0"/>
    <x v="16"/>
    <n v="7.444"/>
    <n v="2717.06"/>
    <n v="9781.4159999999993"/>
  </r>
  <r>
    <x v="0"/>
    <x v="0"/>
    <x v="0"/>
    <x v="2"/>
    <x v="4"/>
    <s v="NO1_A1"/>
    <x v="1"/>
    <s v="GHOB_MUNIWASTE"/>
    <x v="0"/>
    <x v="17"/>
    <n v="7.444"/>
    <n v="2717.06"/>
    <n v="9781.4159999999993"/>
  </r>
  <r>
    <x v="0"/>
    <x v="0"/>
    <x v="0"/>
    <x v="2"/>
    <x v="4"/>
    <s v="NO1_A1"/>
    <x v="1"/>
    <s v="GHOB_MUNIWASTE"/>
    <x v="0"/>
    <x v="18"/>
    <n v="7.444"/>
    <n v="2717.06"/>
    <n v="9781.4159999999993"/>
  </r>
  <r>
    <x v="0"/>
    <x v="0"/>
    <x v="0"/>
    <x v="2"/>
    <x v="4"/>
    <s v="NO1_A1"/>
    <x v="1"/>
    <s v="GHOB_MUNIWASTE"/>
    <x v="0"/>
    <x v="19"/>
    <n v="7.444"/>
    <n v="2717.06"/>
    <n v="9781.4159999999993"/>
  </r>
  <r>
    <x v="0"/>
    <x v="0"/>
    <x v="0"/>
    <x v="2"/>
    <x v="4"/>
    <s v="NO1_A1"/>
    <x v="1"/>
    <s v="GHOB_MUNIWASTE"/>
    <x v="0"/>
    <x v="20"/>
    <n v="7.444"/>
    <n v="2717.06"/>
    <n v="9781.4159999999993"/>
  </r>
  <r>
    <x v="0"/>
    <x v="0"/>
    <x v="0"/>
    <x v="2"/>
    <x v="4"/>
    <s v="NO1_A1"/>
    <x v="1"/>
    <s v="GHOB_MUNIWASTE"/>
    <x v="0"/>
    <x v="21"/>
    <n v="7.444"/>
    <n v="2717.06"/>
    <n v="9781.4159999999993"/>
  </r>
  <r>
    <x v="0"/>
    <x v="0"/>
    <x v="0"/>
    <x v="2"/>
    <x v="4"/>
    <s v="NO1_A1"/>
    <x v="1"/>
    <s v="GHOB_MUNIWASTE"/>
    <x v="0"/>
    <x v="22"/>
    <n v="7.444"/>
    <n v="2717.06"/>
    <n v="9781.4159999999993"/>
  </r>
  <r>
    <x v="0"/>
    <x v="0"/>
    <x v="0"/>
    <x v="2"/>
    <x v="4"/>
    <s v="NO1_A1"/>
    <x v="1"/>
    <s v="GHOB_MUNIWASTE"/>
    <x v="0"/>
    <x v="23"/>
    <n v="7.444"/>
    <n v="2717.06"/>
    <n v="9781.4159999999993"/>
  </r>
  <r>
    <x v="0"/>
    <x v="0"/>
    <x v="0"/>
    <x v="2"/>
    <x v="4"/>
    <s v="NO1_A1"/>
    <x v="2"/>
    <s v="GHOB_WASTEHEAT"/>
    <x v="0"/>
    <x v="0"/>
    <n v="2.9650869963369799"/>
    <n v="1082.2567536629999"/>
    <n v="3896.1243131868"/>
  </r>
  <r>
    <x v="0"/>
    <x v="0"/>
    <x v="0"/>
    <x v="2"/>
    <x v="4"/>
    <s v="NO1_A1"/>
    <x v="2"/>
    <s v="GHOB_WASTEHEAT"/>
    <x v="0"/>
    <x v="1"/>
    <n v="2.9650869963369799"/>
    <n v="1082.2567536629999"/>
    <n v="3896.1243131868"/>
  </r>
  <r>
    <x v="0"/>
    <x v="0"/>
    <x v="0"/>
    <x v="2"/>
    <x v="4"/>
    <s v="NO1_A1"/>
    <x v="2"/>
    <s v="GHOB_WASTEHEAT"/>
    <x v="0"/>
    <x v="2"/>
    <n v="2.9650869963369799"/>
    <n v="1082.2567536629999"/>
    <n v="3896.1243131868"/>
  </r>
  <r>
    <x v="0"/>
    <x v="0"/>
    <x v="0"/>
    <x v="2"/>
    <x v="4"/>
    <s v="NO1_A1"/>
    <x v="2"/>
    <s v="GHOB_WASTEHEAT"/>
    <x v="0"/>
    <x v="3"/>
    <n v="2.9650869963369799"/>
    <n v="1082.2567536629999"/>
    <n v="3896.1243131868"/>
  </r>
  <r>
    <x v="0"/>
    <x v="0"/>
    <x v="0"/>
    <x v="2"/>
    <x v="4"/>
    <s v="NO1_A1"/>
    <x v="2"/>
    <s v="GHOB_WASTEHEAT"/>
    <x v="0"/>
    <x v="4"/>
    <n v="2.9650869963369799"/>
    <n v="1082.2567536629999"/>
    <n v="3896.1243131868"/>
  </r>
  <r>
    <x v="0"/>
    <x v="0"/>
    <x v="0"/>
    <x v="2"/>
    <x v="4"/>
    <s v="NO1_A1"/>
    <x v="2"/>
    <s v="GHOB_WASTEHEAT"/>
    <x v="0"/>
    <x v="5"/>
    <n v="2.9650869963369799"/>
    <n v="1082.2567536629999"/>
    <n v="3896.1243131868"/>
  </r>
  <r>
    <x v="0"/>
    <x v="0"/>
    <x v="0"/>
    <x v="2"/>
    <x v="4"/>
    <s v="NO1_A1"/>
    <x v="2"/>
    <s v="GHOB_WASTEHEAT"/>
    <x v="0"/>
    <x v="6"/>
    <n v="2.9650869963369799"/>
    <n v="1082.2567536629999"/>
    <n v="3896.1243131868"/>
  </r>
  <r>
    <x v="0"/>
    <x v="0"/>
    <x v="0"/>
    <x v="2"/>
    <x v="4"/>
    <s v="NO1_A1"/>
    <x v="2"/>
    <s v="GHOB_WASTEHEAT"/>
    <x v="0"/>
    <x v="7"/>
    <n v="2.9650869963369799"/>
    <n v="1082.2567536629999"/>
    <n v="3896.1243131868"/>
  </r>
  <r>
    <x v="0"/>
    <x v="0"/>
    <x v="0"/>
    <x v="2"/>
    <x v="4"/>
    <s v="NO1_A1"/>
    <x v="2"/>
    <s v="GHOB_WASTEHEAT"/>
    <x v="0"/>
    <x v="8"/>
    <n v="2.9650869963369799"/>
    <n v="1082.2567536629999"/>
    <n v="3896.1243131868"/>
  </r>
  <r>
    <x v="0"/>
    <x v="0"/>
    <x v="0"/>
    <x v="2"/>
    <x v="4"/>
    <s v="NO1_A1"/>
    <x v="2"/>
    <s v="GHOB_WASTEHEAT"/>
    <x v="0"/>
    <x v="9"/>
    <n v="2.9650869963369799"/>
    <n v="1082.2567536629999"/>
    <n v="3896.1243131868"/>
  </r>
  <r>
    <x v="0"/>
    <x v="0"/>
    <x v="0"/>
    <x v="2"/>
    <x v="4"/>
    <s v="NO1_A1"/>
    <x v="2"/>
    <s v="GHOB_WASTEHEAT"/>
    <x v="0"/>
    <x v="10"/>
    <n v="2.9650869963369799"/>
    <n v="1082.2567536629999"/>
    <n v="3896.1243131868"/>
  </r>
  <r>
    <x v="0"/>
    <x v="0"/>
    <x v="0"/>
    <x v="2"/>
    <x v="4"/>
    <s v="NO1_A1"/>
    <x v="2"/>
    <s v="GHOB_WASTEHEAT"/>
    <x v="0"/>
    <x v="11"/>
    <n v="2.9650869963369799"/>
    <n v="1082.2567536629999"/>
    <n v="3896.1243131868"/>
  </r>
  <r>
    <x v="0"/>
    <x v="0"/>
    <x v="0"/>
    <x v="2"/>
    <x v="4"/>
    <s v="NO1_A1"/>
    <x v="2"/>
    <s v="GHOB_WASTEHEAT"/>
    <x v="0"/>
    <x v="12"/>
    <n v="2.9650869963369799"/>
    <n v="1082.2567536629999"/>
    <n v="3896.1243131868"/>
  </r>
  <r>
    <x v="0"/>
    <x v="0"/>
    <x v="0"/>
    <x v="2"/>
    <x v="4"/>
    <s v="NO1_A1"/>
    <x v="2"/>
    <s v="GHOB_WASTEHEAT"/>
    <x v="0"/>
    <x v="13"/>
    <n v="2.9650869963369799"/>
    <n v="1082.2567536629999"/>
    <n v="3896.1243131868"/>
  </r>
  <r>
    <x v="0"/>
    <x v="0"/>
    <x v="0"/>
    <x v="2"/>
    <x v="4"/>
    <s v="NO1_A1"/>
    <x v="2"/>
    <s v="GHOB_WASTEHEAT"/>
    <x v="0"/>
    <x v="14"/>
    <n v="2.9650869963369799"/>
    <n v="1082.2567536629999"/>
    <n v="3896.1243131868"/>
  </r>
  <r>
    <x v="0"/>
    <x v="0"/>
    <x v="0"/>
    <x v="2"/>
    <x v="4"/>
    <s v="NO1_A1"/>
    <x v="2"/>
    <s v="GHOB_WASTEHEAT"/>
    <x v="0"/>
    <x v="15"/>
    <n v="2.9650869963369799"/>
    <n v="1082.2567536629999"/>
    <n v="3896.1243131868"/>
  </r>
  <r>
    <x v="0"/>
    <x v="0"/>
    <x v="0"/>
    <x v="2"/>
    <x v="4"/>
    <s v="NO1_A1"/>
    <x v="2"/>
    <s v="GHOB_WASTEHEAT"/>
    <x v="0"/>
    <x v="16"/>
    <n v="2.9650869963369799"/>
    <n v="1082.2567536629999"/>
    <n v="3896.1243131868"/>
  </r>
  <r>
    <x v="0"/>
    <x v="0"/>
    <x v="0"/>
    <x v="2"/>
    <x v="4"/>
    <s v="NO1_A1"/>
    <x v="2"/>
    <s v="GHOB_WASTEHEAT"/>
    <x v="0"/>
    <x v="17"/>
    <n v="2.9650869963369799"/>
    <n v="1082.2567536629999"/>
    <n v="3896.1243131868"/>
  </r>
  <r>
    <x v="0"/>
    <x v="0"/>
    <x v="0"/>
    <x v="2"/>
    <x v="4"/>
    <s v="NO1_A1"/>
    <x v="2"/>
    <s v="GHOB_WASTEHEAT"/>
    <x v="0"/>
    <x v="18"/>
    <n v="2.9650869963369799"/>
    <n v="1082.2567536629999"/>
    <n v="3896.1243131868"/>
  </r>
  <r>
    <x v="0"/>
    <x v="0"/>
    <x v="0"/>
    <x v="2"/>
    <x v="4"/>
    <s v="NO1_A1"/>
    <x v="2"/>
    <s v="GHOB_WASTEHEAT"/>
    <x v="0"/>
    <x v="19"/>
    <n v="2.9650869963369799"/>
    <n v="1082.2567536629999"/>
    <n v="3896.1243131868"/>
  </r>
  <r>
    <x v="0"/>
    <x v="0"/>
    <x v="0"/>
    <x v="2"/>
    <x v="4"/>
    <s v="NO1_A1"/>
    <x v="2"/>
    <s v="GHOB_WASTEHEAT"/>
    <x v="0"/>
    <x v="20"/>
    <n v="2.9650869963369799"/>
    <n v="1082.2567536629999"/>
    <n v="3896.1243131868"/>
  </r>
  <r>
    <x v="0"/>
    <x v="0"/>
    <x v="0"/>
    <x v="2"/>
    <x v="4"/>
    <s v="NO1_A1"/>
    <x v="2"/>
    <s v="GHOB_WASTEHEAT"/>
    <x v="0"/>
    <x v="21"/>
    <n v="2.9650869963369799"/>
    <n v="1082.2567536629999"/>
    <n v="3896.1243131868"/>
  </r>
  <r>
    <x v="0"/>
    <x v="0"/>
    <x v="0"/>
    <x v="2"/>
    <x v="4"/>
    <s v="NO1_A1"/>
    <x v="2"/>
    <s v="GHOB_WASTEHEAT"/>
    <x v="0"/>
    <x v="22"/>
    <n v="2.9650869963369799"/>
    <n v="1082.2567536629999"/>
    <n v="3896.1243131868"/>
  </r>
  <r>
    <x v="0"/>
    <x v="0"/>
    <x v="0"/>
    <x v="2"/>
    <x v="4"/>
    <s v="NO1_A1"/>
    <x v="2"/>
    <s v="GHOB_WASTEHEAT"/>
    <x v="0"/>
    <x v="23"/>
    <n v="2.9650869963369799"/>
    <n v="1082.2567536629999"/>
    <n v="3896.1243131868"/>
  </r>
  <r>
    <x v="0"/>
    <x v="0"/>
    <x v="0"/>
    <x v="2"/>
    <x v="4"/>
    <s v="NO1_A1"/>
    <x v="7"/>
    <s v="GHOB_WOODWASTE"/>
    <x v="0"/>
    <x v="0"/>
    <n v="11.7245180757666"/>
    <n v="4279.4490976548104"/>
    <n v="15406.016751557299"/>
  </r>
  <r>
    <x v="0"/>
    <x v="0"/>
    <x v="0"/>
    <x v="2"/>
    <x v="4"/>
    <s v="NO1_A1"/>
    <x v="7"/>
    <s v="GHOB_WOODWASTE"/>
    <x v="0"/>
    <x v="1"/>
    <n v="13.9900932365067"/>
    <n v="5106.3840313249402"/>
    <n v="18382.982512769799"/>
  </r>
  <r>
    <x v="0"/>
    <x v="0"/>
    <x v="0"/>
    <x v="2"/>
    <x v="4"/>
    <s v="NO1_A1"/>
    <x v="7"/>
    <s v="GHOB_WOODWASTE"/>
    <x v="0"/>
    <x v="2"/>
    <n v="15.6668460260223"/>
    <n v="5718.3987994981399"/>
    <n v="20586.235678193301"/>
  </r>
  <r>
    <x v="0"/>
    <x v="0"/>
    <x v="0"/>
    <x v="2"/>
    <x v="4"/>
    <s v="NO1_A1"/>
    <x v="7"/>
    <s v="GHOB_WOODWASTE"/>
    <x v="0"/>
    <x v="3"/>
    <n v="21.527694732020802"/>
    <n v="7857.6085771876096"/>
    <n v="28287.390877875401"/>
  </r>
  <r>
    <x v="0"/>
    <x v="0"/>
    <x v="0"/>
    <x v="2"/>
    <x v="4"/>
    <s v="NO1_A1"/>
    <x v="7"/>
    <s v="GHOB_WOODWASTE"/>
    <x v="0"/>
    <x v="4"/>
    <n v="28.9636057151851"/>
    <n v="10571.716086042599"/>
    <n v="38058.177909753198"/>
  </r>
  <r>
    <x v="0"/>
    <x v="0"/>
    <x v="0"/>
    <x v="2"/>
    <x v="4"/>
    <s v="NO1_A1"/>
    <x v="7"/>
    <s v="GHOB_WOODWASTE"/>
    <x v="0"/>
    <x v="5"/>
    <n v="43.991283801149798"/>
    <n v="16056.818587419701"/>
    <n v="57804.546914710903"/>
  </r>
  <r>
    <x v="0"/>
    <x v="0"/>
    <x v="0"/>
    <x v="2"/>
    <x v="4"/>
    <s v="NO1_A1"/>
    <x v="7"/>
    <s v="GHOB_WOODWASTE"/>
    <x v="0"/>
    <x v="6"/>
    <n v="53"/>
    <n v="19345"/>
    <n v="69642"/>
  </r>
  <r>
    <x v="0"/>
    <x v="0"/>
    <x v="0"/>
    <x v="2"/>
    <x v="4"/>
    <s v="NO1_A1"/>
    <x v="7"/>
    <s v="GHOB_WOODWASTE"/>
    <x v="0"/>
    <x v="7"/>
    <n v="53"/>
    <n v="19345"/>
    <n v="69642"/>
  </r>
  <r>
    <x v="0"/>
    <x v="0"/>
    <x v="0"/>
    <x v="2"/>
    <x v="4"/>
    <s v="NO1_A1"/>
    <x v="7"/>
    <s v="GHOB_WOODWASTE"/>
    <x v="0"/>
    <x v="8"/>
    <n v="53"/>
    <n v="19345"/>
    <n v="69642"/>
  </r>
  <r>
    <x v="0"/>
    <x v="0"/>
    <x v="0"/>
    <x v="2"/>
    <x v="4"/>
    <s v="NO1_A1"/>
    <x v="7"/>
    <s v="GHOB_WOODWASTE"/>
    <x v="0"/>
    <x v="9"/>
    <n v="53"/>
    <n v="19345"/>
    <n v="69642"/>
  </r>
  <r>
    <x v="0"/>
    <x v="0"/>
    <x v="0"/>
    <x v="2"/>
    <x v="4"/>
    <s v="NO1_A1"/>
    <x v="7"/>
    <s v="GHOB_WOODWASTE"/>
    <x v="0"/>
    <x v="10"/>
    <n v="53"/>
    <n v="19345"/>
    <n v="69642"/>
  </r>
  <r>
    <x v="0"/>
    <x v="0"/>
    <x v="0"/>
    <x v="2"/>
    <x v="4"/>
    <s v="NO1_A1"/>
    <x v="7"/>
    <s v="GHOB_WOODWASTE"/>
    <x v="0"/>
    <x v="11"/>
    <n v="53"/>
    <n v="19345"/>
    <n v="69642"/>
  </r>
  <r>
    <x v="0"/>
    <x v="0"/>
    <x v="0"/>
    <x v="2"/>
    <x v="4"/>
    <s v="NO1_A1"/>
    <x v="7"/>
    <s v="GHOB_WOODWASTE"/>
    <x v="0"/>
    <x v="12"/>
    <n v="53"/>
    <n v="19345"/>
    <n v="69642"/>
  </r>
  <r>
    <x v="0"/>
    <x v="0"/>
    <x v="0"/>
    <x v="2"/>
    <x v="4"/>
    <s v="NO1_A1"/>
    <x v="7"/>
    <s v="GHOB_WOODWASTE"/>
    <x v="0"/>
    <x v="13"/>
    <n v="53"/>
    <n v="19345"/>
    <n v="69642"/>
  </r>
  <r>
    <x v="0"/>
    <x v="0"/>
    <x v="0"/>
    <x v="2"/>
    <x v="4"/>
    <s v="NO1_A1"/>
    <x v="7"/>
    <s v="GHOB_WOODWASTE"/>
    <x v="0"/>
    <x v="14"/>
    <n v="53"/>
    <n v="19345"/>
    <n v="69642"/>
  </r>
  <r>
    <x v="0"/>
    <x v="0"/>
    <x v="0"/>
    <x v="2"/>
    <x v="4"/>
    <s v="NO1_A1"/>
    <x v="7"/>
    <s v="GHOB_WOODWASTE"/>
    <x v="0"/>
    <x v="15"/>
    <n v="50.441859190275402"/>
    <n v="18411.278604450501"/>
    <n v="66280.602976021895"/>
  </r>
  <r>
    <x v="0"/>
    <x v="0"/>
    <x v="0"/>
    <x v="2"/>
    <x v="4"/>
    <s v="NO1_A1"/>
    <x v="7"/>
    <s v="GHOB_WOODWASTE"/>
    <x v="0"/>
    <x v="16"/>
    <n v="47.027677742272701"/>
    <n v="17165.102375929499"/>
    <n v="61794.368553346401"/>
  </r>
  <r>
    <x v="0"/>
    <x v="0"/>
    <x v="0"/>
    <x v="2"/>
    <x v="4"/>
    <s v="NO1_A1"/>
    <x v="7"/>
    <s v="GHOB_WOODWASTE"/>
    <x v="0"/>
    <x v="17"/>
    <n v="43.6639160376712"/>
    <n v="15937.329353749999"/>
    <n v="57374.385673500001"/>
  </r>
  <r>
    <x v="0"/>
    <x v="0"/>
    <x v="0"/>
    <x v="2"/>
    <x v="4"/>
    <s v="NO1_A1"/>
    <x v="7"/>
    <s v="GHOB_WOODWASTE"/>
    <x v="0"/>
    <x v="18"/>
    <n v="41.278721954670502"/>
    <n v="15066.733513454699"/>
    <n v="54240.240648437"/>
  </r>
  <r>
    <x v="0"/>
    <x v="0"/>
    <x v="0"/>
    <x v="2"/>
    <x v="4"/>
    <s v="NO1_A1"/>
    <x v="7"/>
    <s v="GHOB_WOODWASTE"/>
    <x v="0"/>
    <x v="19"/>
    <n v="40.8290889132563"/>
    <n v="14902.6174533386"/>
    <n v="53649.422832018798"/>
  </r>
  <r>
    <x v="0"/>
    <x v="0"/>
    <x v="0"/>
    <x v="2"/>
    <x v="4"/>
    <s v="NO1_A1"/>
    <x v="7"/>
    <s v="GHOB_WOODWASTE"/>
    <x v="0"/>
    <x v="20"/>
    <n v="38.055549477366597"/>
    <n v="13890.2755592388"/>
    <n v="50004.992013259704"/>
  </r>
  <r>
    <x v="0"/>
    <x v="0"/>
    <x v="0"/>
    <x v="2"/>
    <x v="4"/>
    <s v="NO1_A1"/>
    <x v="7"/>
    <s v="GHOB_WOODWASTE"/>
    <x v="0"/>
    <x v="21"/>
    <n v="33.260728535363697"/>
    <n v="12140.165915407701"/>
    <n v="43704.597295467902"/>
  </r>
  <r>
    <x v="0"/>
    <x v="0"/>
    <x v="0"/>
    <x v="2"/>
    <x v="4"/>
    <s v="NO1_A1"/>
    <x v="7"/>
    <s v="GHOB_WOODWASTE"/>
    <x v="0"/>
    <x v="22"/>
    <n v="26.949849033814498"/>
    <n v="9836.6948973422896"/>
    <n v="35412.101630432298"/>
  </r>
  <r>
    <x v="0"/>
    <x v="0"/>
    <x v="0"/>
    <x v="2"/>
    <x v="4"/>
    <s v="NO1_A1"/>
    <x v="7"/>
    <s v="GHOB_WOODWASTE"/>
    <x v="0"/>
    <x v="23"/>
    <n v="19.198640378231801"/>
    <n v="7007.50373805461"/>
    <n v="25227.013456996599"/>
  </r>
  <r>
    <x v="0"/>
    <x v="0"/>
    <x v="0"/>
    <x v="2"/>
    <x v="4"/>
    <s v="NO1_A2"/>
    <x v="3"/>
    <s v="GETOH_ELECTRICBOILER"/>
    <x v="0"/>
    <x v="6"/>
    <n v="29.5282386245024"/>
    <n v="10777.8070979434"/>
    <n v="38800.105552596098"/>
  </r>
  <r>
    <x v="0"/>
    <x v="0"/>
    <x v="0"/>
    <x v="2"/>
    <x v="4"/>
    <s v="NO1_A2"/>
    <x v="3"/>
    <s v="GETOH_ELECTRICBOILER"/>
    <x v="0"/>
    <x v="7"/>
    <n v="52.638141432772798"/>
    <n v="19212.921622962102"/>
    <n v="69166.517842663394"/>
  </r>
  <r>
    <x v="0"/>
    <x v="0"/>
    <x v="0"/>
    <x v="2"/>
    <x v="4"/>
    <s v="NO1_A2"/>
    <x v="3"/>
    <s v="GETOH_ELECTRICBOILER"/>
    <x v="0"/>
    <x v="8"/>
    <n v="51.936630844331098"/>
    <n v="18956.870258180799"/>
    <n v="68244.7329294511"/>
  </r>
  <r>
    <x v="0"/>
    <x v="0"/>
    <x v="0"/>
    <x v="2"/>
    <x v="4"/>
    <s v="NO1_A2"/>
    <x v="3"/>
    <s v="GETOH_ELECTRICBOILER"/>
    <x v="0"/>
    <x v="9"/>
    <n v="38.620650670458801"/>
    <n v="14096.537494717501"/>
    <n v="50747.534980982899"/>
  </r>
  <r>
    <x v="0"/>
    <x v="0"/>
    <x v="0"/>
    <x v="2"/>
    <x v="4"/>
    <s v="NO1_A2"/>
    <x v="3"/>
    <s v="GETOH_ELECTRICBOILER"/>
    <x v="0"/>
    <x v="10"/>
    <n v="21.359410205419898"/>
    <n v="7796.1847249782604"/>
    <n v="28066.265009921699"/>
  </r>
  <r>
    <x v="0"/>
    <x v="0"/>
    <x v="0"/>
    <x v="2"/>
    <x v="4"/>
    <s v="NO1_A2"/>
    <x v="3"/>
    <s v="GETOH_ELECTRICBOILER"/>
    <x v="0"/>
    <x v="11"/>
    <n v="4.0262530418611"/>
    <n v="1469.5823602793"/>
    <n v="5290.4964970054898"/>
  </r>
  <r>
    <x v="0"/>
    <x v="0"/>
    <x v="0"/>
    <x v="2"/>
    <x v="4"/>
    <s v="NO1_A2"/>
    <x v="3"/>
    <s v="GETOH_HEATPUMP"/>
    <x v="0"/>
    <x v="4"/>
    <n v="0.19123664071693"/>
    <n v="69.801373861679494"/>
    <n v="251.28494590204599"/>
  </r>
  <r>
    <x v="0"/>
    <x v="0"/>
    <x v="0"/>
    <x v="2"/>
    <x v="4"/>
    <s v="NO1_A2"/>
    <x v="3"/>
    <s v="GETOH_HEATPUMP"/>
    <x v="0"/>
    <x v="5"/>
    <n v="19.147326135134101"/>
    <n v="6988.7740393239601"/>
    <n v="25159.586541566201"/>
  </r>
  <r>
    <x v="0"/>
    <x v="0"/>
    <x v="0"/>
    <x v="2"/>
    <x v="4"/>
    <s v="NO1_A2"/>
    <x v="3"/>
    <s v="GETOH_HEATPUMP"/>
    <x v="0"/>
    <x v="6"/>
    <n v="30"/>
    <n v="10950"/>
    <n v="39420"/>
  </r>
  <r>
    <x v="0"/>
    <x v="0"/>
    <x v="0"/>
    <x v="2"/>
    <x v="4"/>
    <s v="NO1_A2"/>
    <x v="3"/>
    <s v="GETOH_HEATPUMP"/>
    <x v="0"/>
    <x v="7"/>
    <n v="30"/>
    <n v="10950"/>
    <n v="39420"/>
  </r>
  <r>
    <x v="0"/>
    <x v="0"/>
    <x v="0"/>
    <x v="2"/>
    <x v="4"/>
    <s v="NO1_A2"/>
    <x v="3"/>
    <s v="GETOH_HEATPUMP"/>
    <x v="0"/>
    <x v="8"/>
    <n v="30"/>
    <n v="10950"/>
    <n v="39420"/>
  </r>
  <r>
    <x v="0"/>
    <x v="0"/>
    <x v="0"/>
    <x v="2"/>
    <x v="4"/>
    <s v="NO1_A2"/>
    <x v="3"/>
    <s v="GETOH_HEATPUMP"/>
    <x v="0"/>
    <x v="9"/>
    <n v="30"/>
    <n v="10950"/>
    <n v="39420"/>
  </r>
  <r>
    <x v="0"/>
    <x v="0"/>
    <x v="0"/>
    <x v="2"/>
    <x v="4"/>
    <s v="NO1_A2"/>
    <x v="3"/>
    <s v="GETOH_HEATPUMP"/>
    <x v="0"/>
    <x v="10"/>
    <n v="30"/>
    <n v="10950"/>
    <n v="39420"/>
  </r>
  <r>
    <x v="0"/>
    <x v="0"/>
    <x v="0"/>
    <x v="2"/>
    <x v="4"/>
    <s v="NO1_A2"/>
    <x v="3"/>
    <s v="GETOH_HEATPUMP"/>
    <x v="0"/>
    <x v="11"/>
    <n v="30"/>
    <n v="10950"/>
    <n v="39420"/>
  </r>
  <r>
    <x v="0"/>
    <x v="0"/>
    <x v="0"/>
    <x v="2"/>
    <x v="4"/>
    <s v="NO1_A2"/>
    <x v="3"/>
    <s v="GETOH_HEATPUMP"/>
    <x v="0"/>
    <x v="12"/>
    <n v="22.998769498410699"/>
    <n v="8394.5508669199007"/>
    <n v="30220.3831209116"/>
  </r>
  <r>
    <x v="0"/>
    <x v="0"/>
    <x v="0"/>
    <x v="2"/>
    <x v="4"/>
    <s v="NO1_A2"/>
    <x v="3"/>
    <s v="GETOH_HEATPUMP"/>
    <x v="0"/>
    <x v="13"/>
    <n v="15.1767306768699"/>
    <n v="5539.5066970575099"/>
    <n v="19942.2241094071"/>
  </r>
  <r>
    <x v="0"/>
    <x v="0"/>
    <x v="0"/>
    <x v="2"/>
    <x v="4"/>
    <s v="NO1_A2"/>
    <x v="3"/>
    <s v="GETOH_HEATPUMP"/>
    <x v="0"/>
    <x v="14"/>
    <n v="4.0296636555570897"/>
    <n v="1470.82723427834"/>
    <n v="5294.9780434020204"/>
  </r>
  <r>
    <x v="0"/>
    <x v="0"/>
    <x v="0"/>
    <x v="2"/>
    <x v="4"/>
    <s v="NO1_A2"/>
    <x v="9"/>
    <s v="GHOB_LPG"/>
    <x v="0"/>
    <x v="0"/>
    <n v="81.757463364123893"/>
    <n v="29841.4741279052"/>
    <n v="107429.30686045899"/>
  </r>
  <r>
    <x v="0"/>
    <x v="0"/>
    <x v="0"/>
    <x v="2"/>
    <x v="4"/>
    <s v="NO1_A2"/>
    <x v="9"/>
    <s v="GHOB_LPG"/>
    <x v="0"/>
    <x v="1"/>
    <n v="83.577030668685595"/>
    <n v="30505.616194070299"/>
    <n v="109820.218298653"/>
  </r>
  <r>
    <x v="0"/>
    <x v="0"/>
    <x v="0"/>
    <x v="2"/>
    <x v="4"/>
    <s v="NO1_A2"/>
    <x v="9"/>
    <s v="GHOB_LPG"/>
    <x v="0"/>
    <x v="2"/>
    <n v="84.993355612190399"/>
    <n v="31022.574798449499"/>
    <n v="111681.26927441799"/>
  </r>
  <r>
    <x v="0"/>
    <x v="0"/>
    <x v="0"/>
    <x v="2"/>
    <x v="4"/>
    <s v="NO1_A2"/>
    <x v="9"/>
    <s v="GHOB_LPG"/>
    <x v="0"/>
    <x v="3"/>
    <n v="97.751198874203595"/>
    <n v="35679.1875890843"/>
    <n v="128445.075320704"/>
  </r>
  <r>
    <x v="0"/>
    <x v="0"/>
    <x v="0"/>
    <x v="2"/>
    <x v="4"/>
    <s v="NO1_A2"/>
    <x v="9"/>
    <s v="GHOB_LPG"/>
    <x v="0"/>
    <x v="4"/>
    <n v="100"/>
    <n v="36500"/>
    <n v="131400"/>
  </r>
  <r>
    <x v="0"/>
    <x v="0"/>
    <x v="0"/>
    <x v="2"/>
    <x v="4"/>
    <s v="NO1_A2"/>
    <x v="9"/>
    <s v="GHOB_LPG"/>
    <x v="0"/>
    <x v="5"/>
    <n v="100"/>
    <n v="36500"/>
    <n v="131400"/>
  </r>
  <r>
    <x v="0"/>
    <x v="0"/>
    <x v="0"/>
    <x v="2"/>
    <x v="4"/>
    <s v="NO1_A2"/>
    <x v="9"/>
    <s v="GHOB_LPG"/>
    <x v="0"/>
    <x v="6"/>
    <n v="100"/>
    <n v="36500"/>
    <n v="131400"/>
  </r>
  <r>
    <x v="0"/>
    <x v="0"/>
    <x v="0"/>
    <x v="2"/>
    <x v="4"/>
    <s v="NO1_A2"/>
    <x v="9"/>
    <s v="GHOB_LPG"/>
    <x v="0"/>
    <x v="7"/>
    <n v="100"/>
    <n v="36500"/>
    <n v="131400"/>
  </r>
  <r>
    <x v="0"/>
    <x v="0"/>
    <x v="0"/>
    <x v="2"/>
    <x v="4"/>
    <s v="NO1_A2"/>
    <x v="9"/>
    <s v="GHOB_LPG"/>
    <x v="0"/>
    <x v="8"/>
    <n v="100"/>
    <n v="36500"/>
    <n v="131400"/>
  </r>
  <r>
    <x v="0"/>
    <x v="0"/>
    <x v="0"/>
    <x v="2"/>
    <x v="4"/>
    <s v="NO1_A2"/>
    <x v="9"/>
    <s v="GHOB_LPG"/>
    <x v="0"/>
    <x v="9"/>
    <n v="100"/>
    <n v="36500"/>
    <n v="131400"/>
  </r>
  <r>
    <x v="0"/>
    <x v="0"/>
    <x v="0"/>
    <x v="2"/>
    <x v="4"/>
    <s v="NO1_A2"/>
    <x v="9"/>
    <s v="GHOB_LPG"/>
    <x v="0"/>
    <x v="10"/>
    <n v="100"/>
    <n v="36500"/>
    <n v="131400"/>
  </r>
  <r>
    <x v="0"/>
    <x v="0"/>
    <x v="0"/>
    <x v="2"/>
    <x v="4"/>
    <s v="NO1_A2"/>
    <x v="9"/>
    <s v="GHOB_LPG"/>
    <x v="0"/>
    <x v="11"/>
    <n v="100"/>
    <n v="36500"/>
    <n v="131400"/>
  </r>
  <r>
    <x v="0"/>
    <x v="0"/>
    <x v="0"/>
    <x v="2"/>
    <x v="4"/>
    <s v="NO1_A2"/>
    <x v="9"/>
    <s v="GHOB_LPG"/>
    <x v="0"/>
    <x v="12"/>
    <n v="100"/>
    <n v="36500"/>
    <n v="131400"/>
  </r>
  <r>
    <x v="0"/>
    <x v="0"/>
    <x v="0"/>
    <x v="2"/>
    <x v="4"/>
    <s v="NO1_A2"/>
    <x v="9"/>
    <s v="GHOB_LPG"/>
    <x v="0"/>
    <x v="13"/>
    <n v="100"/>
    <n v="36500"/>
    <n v="131400"/>
  </r>
  <r>
    <x v="0"/>
    <x v="0"/>
    <x v="0"/>
    <x v="2"/>
    <x v="4"/>
    <s v="NO1_A2"/>
    <x v="9"/>
    <s v="GHOB_LPG"/>
    <x v="0"/>
    <x v="14"/>
    <n v="100"/>
    <n v="36500"/>
    <n v="131400"/>
  </r>
  <r>
    <x v="0"/>
    <x v="0"/>
    <x v="0"/>
    <x v="2"/>
    <x v="4"/>
    <s v="NO1_A2"/>
    <x v="9"/>
    <s v="GHOB_LPG"/>
    <x v="0"/>
    <x v="15"/>
    <n v="100"/>
    <n v="36500"/>
    <n v="131400"/>
  </r>
  <r>
    <x v="0"/>
    <x v="0"/>
    <x v="0"/>
    <x v="2"/>
    <x v="4"/>
    <s v="NO1_A2"/>
    <x v="9"/>
    <s v="GHOB_LPG"/>
    <x v="0"/>
    <x v="16"/>
    <n v="100"/>
    <n v="36500"/>
    <n v="131400"/>
  </r>
  <r>
    <x v="0"/>
    <x v="0"/>
    <x v="0"/>
    <x v="2"/>
    <x v="4"/>
    <s v="NO1_A2"/>
    <x v="9"/>
    <s v="GHOB_LPG"/>
    <x v="0"/>
    <x v="17"/>
    <n v="100"/>
    <n v="36500"/>
    <n v="131400"/>
  </r>
  <r>
    <x v="0"/>
    <x v="0"/>
    <x v="0"/>
    <x v="2"/>
    <x v="4"/>
    <s v="NO1_A2"/>
    <x v="9"/>
    <s v="GHOB_LPG"/>
    <x v="0"/>
    <x v="18"/>
    <n v="100"/>
    <n v="36500"/>
    <n v="131400"/>
  </r>
  <r>
    <x v="0"/>
    <x v="0"/>
    <x v="0"/>
    <x v="2"/>
    <x v="4"/>
    <s v="NO1_A2"/>
    <x v="9"/>
    <s v="GHOB_LPG"/>
    <x v="0"/>
    <x v="19"/>
    <n v="100"/>
    <n v="36500"/>
    <n v="131400"/>
  </r>
  <r>
    <x v="0"/>
    <x v="0"/>
    <x v="0"/>
    <x v="2"/>
    <x v="4"/>
    <s v="NO1_A2"/>
    <x v="9"/>
    <s v="GHOB_LPG"/>
    <x v="0"/>
    <x v="20"/>
    <n v="100"/>
    <n v="36500"/>
    <n v="131400"/>
  </r>
  <r>
    <x v="0"/>
    <x v="0"/>
    <x v="0"/>
    <x v="2"/>
    <x v="4"/>
    <s v="NO1_A2"/>
    <x v="9"/>
    <s v="GHOB_LPG"/>
    <x v="0"/>
    <x v="21"/>
    <n v="96.327602323760004"/>
    <n v="35159.5748481724"/>
    <n v="126574.469453421"/>
  </r>
  <r>
    <x v="0"/>
    <x v="0"/>
    <x v="0"/>
    <x v="2"/>
    <x v="4"/>
    <s v="NO1_A2"/>
    <x v="9"/>
    <s v="GHOB_LPG"/>
    <x v="0"/>
    <x v="22"/>
    <n v="89.938409997322907"/>
    <n v="32827.519649022899"/>
    <n v="118179.070736482"/>
  </r>
  <r>
    <x v="0"/>
    <x v="0"/>
    <x v="0"/>
    <x v="2"/>
    <x v="4"/>
    <s v="NO1_A2"/>
    <x v="9"/>
    <s v="GHOB_LPG"/>
    <x v="0"/>
    <x v="23"/>
    <n v="81.564146160437602"/>
    <n v="29770.913348559701"/>
    <n v="107175.288054815"/>
  </r>
  <r>
    <x v="0"/>
    <x v="0"/>
    <x v="0"/>
    <x v="2"/>
    <x v="4"/>
    <s v="NO1_A2"/>
    <x v="1"/>
    <s v="GBPR_MUNIWASTE"/>
    <x v="0"/>
    <x v="0"/>
    <n v="35.784946236558703"/>
    <n v="13061.505376343899"/>
    <n v="47021.419354838203"/>
  </r>
  <r>
    <x v="0"/>
    <x v="0"/>
    <x v="0"/>
    <x v="2"/>
    <x v="4"/>
    <s v="NO1_A2"/>
    <x v="1"/>
    <s v="GBPR_MUNIWASTE"/>
    <x v="0"/>
    <x v="1"/>
    <n v="35.784946236558703"/>
    <n v="13061.505376343899"/>
    <n v="47021.419354838203"/>
  </r>
  <r>
    <x v="0"/>
    <x v="0"/>
    <x v="0"/>
    <x v="2"/>
    <x v="4"/>
    <s v="NO1_A2"/>
    <x v="1"/>
    <s v="GBPR_MUNIWASTE"/>
    <x v="0"/>
    <x v="2"/>
    <n v="35.784946236558703"/>
    <n v="13061.505376343899"/>
    <n v="47021.419354838203"/>
  </r>
  <r>
    <x v="0"/>
    <x v="0"/>
    <x v="0"/>
    <x v="2"/>
    <x v="4"/>
    <s v="NO1_A2"/>
    <x v="1"/>
    <s v="GBPR_MUNIWASTE"/>
    <x v="0"/>
    <x v="3"/>
    <n v="35.784946236558703"/>
    <n v="13061.505376343899"/>
    <n v="47021.419354838203"/>
  </r>
  <r>
    <x v="0"/>
    <x v="0"/>
    <x v="0"/>
    <x v="2"/>
    <x v="4"/>
    <s v="NO1_A2"/>
    <x v="1"/>
    <s v="GBPR_MUNIWASTE"/>
    <x v="0"/>
    <x v="4"/>
    <n v="35.784946236558703"/>
    <n v="13061.505376343899"/>
    <n v="47021.419354838203"/>
  </r>
  <r>
    <x v="0"/>
    <x v="0"/>
    <x v="0"/>
    <x v="2"/>
    <x v="4"/>
    <s v="NO1_A2"/>
    <x v="1"/>
    <s v="GBPR_MUNIWASTE"/>
    <x v="0"/>
    <x v="5"/>
    <n v="35.784946236558703"/>
    <n v="13061.505376343899"/>
    <n v="47021.419354838203"/>
  </r>
  <r>
    <x v="0"/>
    <x v="0"/>
    <x v="0"/>
    <x v="2"/>
    <x v="4"/>
    <s v="NO1_A2"/>
    <x v="1"/>
    <s v="GBPR_MUNIWASTE"/>
    <x v="0"/>
    <x v="6"/>
    <n v="35.784946236558703"/>
    <n v="13061.505376343899"/>
    <n v="47021.419354838203"/>
  </r>
  <r>
    <x v="0"/>
    <x v="0"/>
    <x v="0"/>
    <x v="2"/>
    <x v="4"/>
    <s v="NO1_A2"/>
    <x v="1"/>
    <s v="GBPR_MUNIWASTE"/>
    <x v="0"/>
    <x v="7"/>
    <n v="35.784946236558703"/>
    <n v="13061.505376343899"/>
    <n v="47021.419354838203"/>
  </r>
  <r>
    <x v="0"/>
    <x v="0"/>
    <x v="0"/>
    <x v="2"/>
    <x v="4"/>
    <s v="NO1_A2"/>
    <x v="1"/>
    <s v="GBPR_MUNIWASTE"/>
    <x v="0"/>
    <x v="8"/>
    <n v="35.784946236558703"/>
    <n v="13061.505376343899"/>
    <n v="47021.419354838203"/>
  </r>
  <r>
    <x v="0"/>
    <x v="0"/>
    <x v="0"/>
    <x v="2"/>
    <x v="4"/>
    <s v="NO1_A2"/>
    <x v="1"/>
    <s v="GBPR_MUNIWASTE"/>
    <x v="0"/>
    <x v="9"/>
    <n v="35.784946236558703"/>
    <n v="13061.505376343899"/>
    <n v="47021.419354838203"/>
  </r>
  <r>
    <x v="0"/>
    <x v="0"/>
    <x v="0"/>
    <x v="2"/>
    <x v="4"/>
    <s v="NO1_A2"/>
    <x v="1"/>
    <s v="GBPR_MUNIWASTE"/>
    <x v="0"/>
    <x v="10"/>
    <n v="35.784946236558703"/>
    <n v="13061.505376343899"/>
    <n v="47021.419354838203"/>
  </r>
  <r>
    <x v="0"/>
    <x v="0"/>
    <x v="0"/>
    <x v="2"/>
    <x v="4"/>
    <s v="NO1_A2"/>
    <x v="1"/>
    <s v="GBPR_MUNIWASTE"/>
    <x v="0"/>
    <x v="11"/>
    <n v="35.784946236558703"/>
    <n v="13061.505376343899"/>
    <n v="47021.419354838203"/>
  </r>
  <r>
    <x v="0"/>
    <x v="0"/>
    <x v="0"/>
    <x v="2"/>
    <x v="4"/>
    <s v="NO1_A2"/>
    <x v="1"/>
    <s v="GBPR_MUNIWASTE"/>
    <x v="0"/>
    <x v="12"/>
    <n v="35.784946236558703"/>
    <n v="13061.505376343899"/>
    <n v="47021.419354838203"/>
  </r>
  <r>
    <x v="0"/>
    <x v="0"/>
    <x v="0"/>
    <x v="2"/>
    <x v="4"/>
    <s v="NO1_A2"/>
    <x v="1"/>
    <s v="GBPR_MUNIWASTE"/>
    <x v="0"/>
    <x v="13"/>
    <n v="35.784946236558703"/>
    <n v="13061.505376343899"/>
    <n v="47021.419354838203"/>
  </r>
  <r>
    <x v="0"/>
    <x v="0"/>
    <x v="0"/>
    <x v="2"/>
    <x v="4"/>
    <s v="NO1_A2"/>
    <x v="1"/>
    <s v="GBPR_MUNIWASTE"/>
    <x v="0"/>
    <x v="14"/>
    <n v="35.784946236558703"/>
    <n v="13061.505376343899"/>
    <n v="47021.419354838203"/>
  </r>
  <r>
    <x v="0"/>
    <x v="0"/>
    <x v="0"/>
    <x v="2"/>
    <x v="4"/>
    <s v="NO1_A2"/>
    <x v="1"/>
    <s v="GBPR_MUNIWASTE"/>
    <x v="0"/>
    <x v="15"/>
    <n v="35.784946236558703"/>
    <n v="13061.505376343899"/>
    <n v="47021.419354838203"/>
  </r>
  <r>
    <x v="0"/>
    <x v="0"/>
    <x v="0"/>
    <x v="2"/>
    <x v="4"/>
    <s v="NO1_A2"/>
    <x v="1"/>
    <s v="GBPR_MUNIWASTE"/>
    <x v="0"/>
    <x v="16"/>
    <n v="35.784946236558703"/>
    <n v="13061.505376343899"/>
    <n v="47021.419354838203"/>
  </r>
  <r>
    <x v="0"/>
    <x v="0"/>
    <x v="0"/>
    <x v="2"/>
    <x v="4"/>
    <s v="NO1_A2"/>
    <x v="1"/>
    <s v="GBPR_MUNIWASTE"/>
    <x v="0"/>
    <x v="17"/>
    <n v="35.784946236558703"/>
    <n v="13061.505376343899"/>
    <n v="47021.419354838203"/>
  </r>
  <r>
    <x v="0"/>
    <x v="0"/>
    <x v="0"/>
    <x v="2"/>
    <x v="4"/>
    <s v="NO1_A2"/>
    <x v="1"/>
    <s v="GBPR_MUNIWASTE"/>
    <x v="0"/>
    <x v="18"/>
    <n v="35.784946236558703"/>
    <n v="13061.505376343899"/>
    <n v="47021.419354838203"/>
  </r>
  <r>
    <x v="0"/>
    <x v="0"/>
    <x v="0"/>
    <x v="2"/>
    <x v="4"/>
    <s v="NO1_A2"/>
    <x v="1"/>
    <s v="GBPR_MUNIWASTE"/>
    <x v="0"/>
    <x v="19"/>
    <n v="35.784946236558703"/>
    <n v="13061.505376343899"/>
    <n v="47021.419354838203"/>
  </r>
  <r>
    <x v="0"/>
    <x v="0"/>
    <x v="0"/>
    <x v="2"/>
    <x v="4"/>
    <s v="NO1_A2"/>
    <x v="1"/>
    <s v="GBPR_MUNIWASTE"/>
    <x v="0"/>
    <x v="20"/>
    <n v="35.784946236558703"/>
    <n v="13061.505376343899"/>
    <n v="47021.419354838203"/>
  </r>
  <r>
    <x v="0"/>
    <x v="0"/>
    <x v="0"/>
    <x v="2"/>
    <x v="4"/>
    <s v="NO1_A2"/>
    <x v="1"/>
    <s v="GBPR_MUNIWASTE"/>
    <x v="0"/>
    <x v="21"/>
    <n v="35.784946236558703"/>
    <n v="13061.505376343899"/>
    <n v="47021.419354838203"/>
  </r>
  <r>
    <x v="0"/>
    <x v="0"/>
    <x v="0"/>
    <x v="2"/>
    <x v="4"/>
    <s v="NO1_A2"/>
    <x v="1"/>
    <s v="GBPR_MUNIWASTE"/>
    <x v="0"/>
    <x v="22"/>
    <n v="35.784946236558703"/>
    <n v="13061.505376343899"/>
    <n v="47021.419354838203"/>
  </r>
  <r>
    <x v="0"/>
    <x v="0"/>
    <x v="0"/>
    <x v="2"/>
    <x v="4"/>
    <s v="NO1_A2"/>
    <x v="1"/>
    <s v="GBPR_MUNIWASTE"/>
    <x v="0"/>
    <x v="23"/>
    <n v="35.784946236558703"/>
    <n v="13061.505376343899"/>
    <n v="47021.419354838203"/>
  </r>
  <r>
    <x v="0"/>
    <x v="0"/>
    <x v="0"/>
    <x v="2"/>
    <x v="4"/>
    <s v="NO1_A2"/>
    <x v="1"/>
    <s v="GHOB_MUNIWASTE"/>
    <x v="0"/>
    <x v="0"/>
    <n v="32"/>
    <n v="11680"/>
    <n v="42048"/>
  </r>
  <r>
    <x v="0"/>
    <x v="0"/>
    <x v="0"/>
    <x v="2"/>
    <x v="4"/>
    <s v="NO1_A2"/>
    <x v="1"/>
    <s v="GHOB_MUNIWASTE"/>
    <x v="0"/>
    <x v="1"/>
    <n v="32"/>
    <n v="11680"/>
    <n v="42048"/>
  </r>
  <r>
    <x v="0"/>
    <x v="0"/>
    <x v="0"/>
    <x v="2"/>
    <x v="4"/>
    <s v="NO1_A2"/>
    <x v="1"/>
    <s v="GHOB_MUNIWASTE"/>
    <x v="0"/>
    <x v="2"/>
    <n v="32"/>
    <n v="11680"/>
    <n v="42048"/>
  </r>
  <r>
    <x v="0"/>
    <x v="0"/>
    <x v="0"/>
    <x v="2"/>
    <x v="4"/>
    <s v="NO1_A2"/>
    <x v="1"/>
    <s v="GHOB_MUNIWASTE"/>
    <x v="0"/>
    <x v="3"/>
    <n v="32"/>
    <n v="11680"/>
    <n v="42048"/>
  </r>
  <r>
    <x v="0"/>
    <x v="0"/>
    <x v="0"/>
    <x v="2"/>
    <x v="4"/>
    <s v="NO1_A2"/>
    <x v="1"/>
    <s v="GHOB_MUNIWASTE"/>
    <x v="0"/>
    <x v="4"/>
    <n v="32"/>
    <n v="11680"/>
    <n v="42048"/>
  </r>
  <r>
    <x v="0"/>
    <x v="0"/>
    <x v="0"/>
    <x v="2"/>
    <x v="4"/>
    <s v="NO1_A2"/>
    <x v="1"/>
    <s v="GHOB_MUNIWASTE"/>
    <x v="0"/>
    <x v="5"/>
    <n v="32"/>
    <n v="11680"/>
    <n v="42048"/>
  </r>
  <r>
    <x v="0"/>
    <x v="0"/>
    <x v="0"/>
    <x v="2"/>
    <x v="4"/>
    <s v="NO1_A2"/>
    <x v="1"/>
    <s v="GHOB_MUNIWASTE"/>
    <x v="0"/>
    <x v="6"/>
    <n v="32"/>
    <n v="11680"/>
    <n v="42048"/>
  </r>
  <r>
    <x v="0"/>
    <x v="0"/>
    <x v="0"/>
    <x v="2"/>
    <x v="4"/>
    <s v="NO1_A2"/>
    <x v="1"/>
    <s v="GHOB_MUNIWASTE"/>
    <x v="0"/>
    <x v="7"/>
    <n v="32"/>
    <n v="11680"/>
    <n v="42048"/>
  </r>
  <r>
    <x v="0"/>
    <x v="0"/>
    <x v="0"/>
    <x v="2"/>
    <x v="4"/>
    <s v="NO1_A2"/>
    <x v="1"/>
    <s v="GHOB_MUNIWASTE"/>
    <x v="0"/>
    <x v="8"/>
    <n v="32"/>
    <n v="11680"/>
    <n v="42048"/>
  </r>
  <r>
    <x v="0"/>
    <x v="0"/>
    <x v="0"/>
    <x v="2"/>
    <x v="4"/>
    <s v="NO1_A2"/>
    <x v="1"/>
    <s v="GHOB_MUNIWASTE"/>
    <x v="0"/>
    <x v="9"/>
    <n v="32"/>
    <n v="11680"/>
    <n v="42048"/>
  </r>
  <r>
    <x v="0"/>
    <x v="0"/>
    <x v="0"/>
    <x v="2"/>
    <x v="4"/>
    <s v="NO1_A2"/>
    <x v="1"/>
    <s v="GHOB_MUNIWASTE"/>
    <x v="0"/>
    <x v="10"/>
    <n v="32"/>
    <n v="11680"/>
    <n v="42048"/>
  </r>
  <r>
    <x v="0"/>
    <x v="0"/>
    <x v="0"/>
    <x v="2"/>
    <x v="4"/>
    <s v="NO1_A2"/>
    <x v="1"/>
    <s v="GHOB_MUNIWASTE"/>
    <x v="0"/>
    <x v="11"/>
    <n v="32"/>
    <n v="11680"/>
    <n v="42048"/>
  </r>
  <r>
    <x v="0"/>
    <x v="0"/>
    <x v="0"/>
    <x v="2"/>
    <x v="4"/>
    <s v="NO1_A2"/>
    <x v="1"/>
    <s v="GHOB_MUNIWASTE"/>
    <x v="0"/>
    <x v="12"/>
    <n v="32"/>
    <n v="11680"/>
    <n v="42048"/>
  </r>
  <r>
    <x v="0"/>
    <x v="0"/>
    <x v="0"/>
    <x v="2"/>
    <x v="4"/>
    <s v="NO1_A2"/>
    <x v="1"/>
    <s v="GHOB_MUNIWASTE"/>
    <x v="0"/>
    <x v="13"/>
    <n v="32"/>
    <n v="11680"/>
    <n v="42048"/>
  </r>
  <r>
    <x v="0"/>
    <x v="0"/>
    <x v="0"/>
    <x v="2"/>
    <x v="4"/>
    <s v="NO1_A2"/>
    <x v="1"/>
    <s v="GHOB_MUNIWASTE"/>
    <x v="0"/>
    <x v="14"/>
    <n v="32"/>
    <n v="11680"/>
    <n v="42048"/>
  </r>
  <r>
    <x v="0"/>
    <x v="0"/>
    <x v="0"/>
    <x v="2"/>
    <x v="4"/>
    <s v="NO1_A2"/>
    <x v="1"/>
    <s v="GHOB_MUNIWASTE"/>
    <x v="0"/>
    <x v="15"/>
    <n v="32"/>
    <n v="11680"/>
    <n v="42048"/>
  </r>
  <r>
    <x v="0"/>
    <x v="0"/>
    <x v="0"/>
    <x v="2"/>
    <x v="4"/>
    <s v="NO1_A2"/>
    <x v="1"/>
    <s v="GHOB_MUNIWASTE"/>
    <x v="0"/>
    <x v="16"/>
    <n v="32"/>
    <n v="11680"/>
    <n v="42048"/>
  </r>
  <r>
    <x v="0"/>
    <x v="0"/>
    <x v="0"/>
    <x v="2"/>
    <x v="4"/>
    <s v="NO1_A2"/>
    <x v="1"/>
    <s v="GHOB_MUNIWASTE"/>
    <x v="0"/>
    <x v="17"/>
    <n v="32"/>
    <n v="11680"/>
    <n v="42048"/>
  </r>
  <r>
    <x v="0"/>
    <x v="0"/>
    <x v="0"/>
    <x v="2"/>
    <x v="4"/>
    <s v="NO1_A2"/>
    <x v="1"/>
    <s v="GHOB_MUNIWASTE"/>
    <x v="0"/>
    <x v="18"/>
    <n v="32"/>
    <n v="11680"/>
    <n v="42048"/>
  </r>
  <r>
    <x v="0"/>
    <x v="0"/>
    <x v="0"/>
    <x v="2"/>
    <x v="4"/>
    <s v="NO1_A2"/>
    <x v="1"/>
    <s v="GHOB_MUNIWASTE"/>
    <x v="0"/>
    <x v="19"/>
    <n v="32"/>
    <n v="11680"/>
    <n v="42048"/>
  </r>
  <r>
    <x v="0"/>
    <x v="0"/>
    <x v="0"/>
    <x v="2"/>
    <x v="4"/>
    <s v="NO1_A2"/>
    <x v="1"/>
    <s v="GHOB_MUNIWASTE"/>
    <x v="0"/>
    <x v="20"/>
    <n v="32"/>
    <n v="11680"/>
    <n v="42048"/>
  </r>
  <r>
    <x v="0"/>
    <x v="0"/>
    <x v="0"/>
    <x v="2"/>
    <x v="4"/>
    <s v="NO1_A2"/>
    <x v="1"/>
    <s v="GHOB_MUNIWASTE"/>
    <x v="0"/>
    <x v="21"/>
    <n v="32"/>
    <n v="11680"/>
    <n v="42048"/>
  </r>
  <r>
    <x v="0"/>
    <x v="0"/>
    <x v="0"/>
    <x v="2"/>
    <x v="4"/>
    <s v="NO1_A2"/>
    <x v="1"/>
    <s v="GHOB_MUNIWASTE"/>
    <x v="0"/>
    <x v="22"/>
    <n v="32"/>
    <n v="11680"/>
    <n v="42048"/>
  </r>
  <r>
    <x v="0"/>
    <x v="0"/>
    <x v="0"/>
    <x v="2"/>
    <x v="4"/>
    <s v="NO1_A2"/>
    <x v="1"/>
    <s v="GHOB_MUNIWASTE"/>
    <x v="0"/>
    <x v="23"/>
    <n v="32"/>
    <n v="11680"/>
    <n v="42048"/>
  </r>
  <r>
    <x v="0"/>
    <x v="0"/>
    <x v="0"/>
    <x v="2"/>
    <x v="4"/>
    <s v="NO1_A2"/>
    <x v="7"/>
    <s v="GHOB_WOODWASTE"/>
    <x v="0"/>
    <x v="4"/>
    <n v="16"/>
    <n v="5840"/>
    <n v="21024"/>
  </r>
  <r>
    <x v="0"/>
    <x v="0"/>
    <x v="0"/>
    <x v="2"/>
    <x v="4"/>
    <s v="NO1_A2"/>
    <x v="7"/>
    <s v="GHOB_WOODWASTE"/>
    <x v="0"/>
    <x v="5"/>
    <n v="16"/>
    <n v="5840"/>
    <n v="21024"/>
  </r>
  <r>
    <x v="0"/>
    <x v="0"/>
    <x v="0"/>
    <x v="2"/>
    <x v="4"/>
    <s v="NO1_A2"/>
    <x v="7"/>
    <s v="GHOB_WOODWASTE"/>
    <x v="0"/>
    <x v="6"/>
    <n v="16"/>
    <n v="5840"/>
    <n v="21024"/>
  </r>
  <r>
    <x v="0"/>
    <x v="0"/>
    <x v="0"/>
    <x v="2"/>
    <x v="4"/>
    <s v="NO1_A2"/>
    <x v="7"/>
    <s v="GHOB_WOODWASTE"/>
    <x v="0"/>
    <x v="7"/>
    <n v="16"/>
    <n v="5840"/>
    <n v="21024"/>
  </r>
  <r>
    <x v="0"/>
    <x v="0"/>
    <x v="0"/>
    <x v="2"/>
    <x v="4"/>
    <s v="NO1_A2"/>
    <x v="7"/>
    <s v="GHOB_WOODWASTE"/>
    <x v="0"/>
    <x v="8"/>
    <n v="16"/>
    <n v="5840"/>
    <n v="21024"/>
  </r>
  <r>
    <x v="0"/>
    <x v="0"/>
    <x v="0"/>
    <x v="2"/>
    <x v="4"/>
    <s v="NO1_A2"/>
    <x v="7"/>
    <s v="GHOB_WOODWASTE"/>
    <x v="0"/>
    <x v="9"/>
    <n v="16"/>
    <n v="5840"/>
    <n v="21024"/>
  </r>
  <r>
    <x v="0"/>
    <x v="0"/>
    <x v="0"/>
    <x v="2"/>
    <x v="4"/>
    <s v="NO1_A2"/>
    <x v="7"/>
    <s v="GHOB_WOODWASTE"/>
    <x v="0"/>
    <x v="10"/>
    <n v="16"/>
    <n v="5840"/>
    <n v="21024"/>
  </r>
  <r>
    <x v="0"/>
    <x v="0"/>
    <x v="0"/>
    <x v="2"/>
    <x v="4"/>
    <s v="NO1_A2"/>
    <x v="7"/>
    <s v="GHOB_WOODWASTE"/>
    <x v="0"/>
    <x v="11"/>
    <n v="16"/>
    <n v="5840"/>
    <n v="21024"/>
  </r>
  <r>
    <x v="0"/>
    <x v="0"/>
    <x v="0"/>
    <x v="2"/>
    <x v="4"/>
    <s v="NO1_A2"/>
    <x v="7"/>
    <s v="GHOB_WOODWASTE"/>
    <x v="0"/>
    <x v="12"/>
    <n v="16"/>
    <n v="5840"/>
    <n v="21024"/>
  </r>
  <r>
    <x v="0"/>
    <x v="0"/>
    <x v="0"/>
    <x v="2"/>
    <x v="4"/>
    <s v="NO1_A2"/>
    <x v="7"/>
    <s v="GHOB_WOODWASTE"/>
    <x v="0"/>
    <x v="13"/>
    <n v="16"/>
    <n v="5840"/>
    <n v="21024"/>
  </r>
  <r>
    <x v="0"/>
    <x v="0"/>
    <x v="0"/>
    <x v="2"/>
    <x v="4"/>
    <s v="NO1_A2"/>
    <x v="7"/>
    <s v="GHOB_WOODWASTE"/>
    <x v="0"/>
    <x v="14"/>
    <n v="16"/>
    <n v="5840"/>
    <n v="21024"/>
  </r>
  <r>
    <x v="0"/>
    <x v="0"/>
    <x v="0"/>
    <x v="2"/>
    <x v="4"/>
    <s v="NO1_A2"/>
    <x v="7"/>
    <s v="GHOB_WOODWASTE"/>
    <x v="0"/>
    <x v="15"/>
    <n v="12.382061408873801"/>
    <n v="4519.45241423892"/>
    <n v="16270.0286912601"/>
  </r>
  <r>
    <x v="0"/>
    <x v="0"/>
    <x v="0"/>
    <x v="2"/>
    <x v="4"/>
    <s v="NO1_A2"/>
    <x v="7"/>
    <s v="GHOB_WOODWASTE"/>
    <x v="0"/>
    <x v="16"/>
    <n v="6.3866138575395404"/>
    <n v="2331.1140580019301"/>
    <n v="8392.0106088069497"/>
  </r>
  <r>
    <x v="0"/>
    <x v="0"/>
    <x v="0"/>
    <x v="2"/>
    <x v="4"/>
    <s v="NO1_A2"/>
    <x v="7"/>
    <s v="GHOB_WOODWASTE"/>
    <x v="0"/>
    <x v="17"/>
    <n v="0.36833071906647102"/>
    <n v="134.44071245926199"/>
    <n v="483.98656485334197"/>
  </r>
  <r>
    <x v="0"/>
    <x v="0"/>
    <x v="0"/>
    <x v="2"/>
    <x v="4"/>
    <s v="NO1_A2"/>
    <x v="7"/>
    <s v="GHOB_WOODWASTE"/>
    <x v="0"/>
    <x v="18"/>
    <n v="1.4724594232251"/>
    <n v="537.44768947716"/>
    <n v="1934.81168211778"/>
  </r>
  <r>
    <x v="0"/>
    <x v="0"/>
    <x v="0"/>
    <x v="2"/>
    <x v="4"/>
    <s v="NO1_A2"/>
    <x v="7"/>
    <s v="GHOB_WOODWASTE"/>
    <x v="0"/>
    <x v="19"/>
    <n v="2.6405144576211201"/>
    <n v="963.78777703170704"/>
    <n v="3469.6359973141498"/>
  </r>
  <r>
    <x v="0"/>
    <x v="0"/>
    <x v="0"/>
    <x v="2"/>
    <x v="4"/>
    <s v="NO1_A2"/>
    <x v="7"/>
    <s v="GHOB_WOODWASTE"/>
    <x v="0"/>
    <x v="20"/>
    <n v="0.16275065964421001"/>
    <n v="59.403990770136801"/>
    <n v="213.854366772492"/>
  </r>
  <r>
    <x v="0"/>
    <x v="0"/>
    <x v="0"/>
    <x v="2"/>
    <x v="5"/>
    <s v="NO2_A1"/>
    <x v="9"/>
    <s v="GHOB_LNG"/>
    <x v="0"/>
    <x v="7"/>
    <n v="6.1349999999999998"/>
    <n v="2239.2750000000001"/>
    <n v="8061.39"/>
  </r>
  <r>
    <x v="0"/>
    <x v="0"/>
    <x v="0"/>
    <x v="2"/>
    <x v="5"/>
    <s v="NO2_A1"/>
    <x v="9"/>
    <s v="GHOB_LNG"/>
    <x v="0"/>
    <x v="8"/>
    <n v="5.5851508260452896"/>
    <n v="2038.58005150653"/>
    <n v="7338.8881854235096"/>
  </r>
  <r>
    <x v="0"/>
    <x v="0"/>
    <x v="0"/>
    <x v="2"/>
    <x v="5"/>
    <s v="NO2_A1"/>
    <x v="9"/>
    <s v="GHOB_LNG"/>
    <x v="0"/>
    <x v="9"/>
    <n v="2.3449880239844898"/>
    <n v="855.92062875433896"/>
    <n v="3081.31426351562"/>
  </r>
  <r>
    <x v="0"/>
    <x v="0"/>
    <x v="0"/>
    <x v="2"/>
    <x v="5"/>
    <s v="NO2_A1"/>
    <x v="9"/>
    <s v="GHOB_LNG"/>
    <x v="0"/>
    <x v="11"/>
    <n v="6.1349999999999998"/>
    <n v="2239.2750000000001"/>
    <n v="8061.39"/>
  </r>
  <r>
    <x v="0"/>
    <x v="0"/>
    <x v="0"/>
    <x v="2"/>
    <x v="5"/>
    <s v="NO2_A1"/>
    <x v="9"/>
    <s v="GHOB_LNG"/>
    <x v="0"/>
    <x v="13"/>
    <n v="6.1349999999999998"/>
    <n v="2239.2750000000001"/>
    <n v="8061.39"/>
  </r>
  <r>
    <x v="0"/>
    <x v="0"/>
    <x v="0"/>
    <x v="2"/>
    <x v="5"/>
    <s v="NO2_A1"/>
    <x v="9"/>
    <s v="GHOB_LNG"/>
    <x v="0"/>
    <x v="15"/>
    <n v="3.07915097606053"/>
    <n v="1123.8901062620901"/>
    <n v="4046.00438254354"/>
  </r>
  <r>
    <x v="0"/>
    <x v="0"/>
    <x v="0"/>
    <x v="2"/>
    <x v="5"/>
    <s v="NO2_A1"/>
    <x v="9"/>
    <s v="GHOB_LNG"/>
    <x v="0"/>
    <x v="16"/>
    <n v="1.22564856851811"/>
    <n v="447.36172750910998"/>
    <n v="1610.5022190328"/>
  </r>
  <r>
    <x v="0"/>
    <x v="0"/>
    <x v="0"/>
    <x v="2"/>
    <x v="5"/>
    <s v="NO2_A1"/>
    <x v="9"/>
    <s v="GHOB_LNG"/>
    <x v="0"/>
    <x v="17"/>
    <n v="3.1356523817876798E-2"/>
    <n v="11.445131193525"/>
    <n v="41.202472296690097"/>
  </r>
  <r>
    <x v="0"/>
    <x v="0"/>
    <x v="0"/>
    <x v="2"/>
    <x v="5"/>
    <s v="NO2_A1"/>
    <x v="9"/>
    <s v="GHOB_LPG"/>
    <x v="0"/>
    <x v="5"/>
    <n v="4.13123082867682"/>
    <n v="1507.89925246704"/>
    <n v="5428.43730888134"/>
  </r>
  <r>
    <x v="0"/>
    <x v="0"/>
    <x v="0"/>
    <x v="2"/>
    <x v="5"/>
    <s v="NO2_A1"/>
    <x v="9"/>
    <s v="GHOB_LPG"/>
    <x v="0"/>
    <x v="6"/>
    <n v="12.9369292210573"/>
    <n v="4721.9791656859197"/>
    <n v="16999.124996469302"/>
  </r>
  <r>
    <x v="0"/>
    <x v="0"/>
    <x v="0"/>
    <x v="2"/>
    <x v="5"/>
    <s v="NO2_A1"/>
    <x v="9"/>
    <s v="GHOB_LPG"/>
    <x v="0"/>
    <x v="7"/>
    <n v="13.0280076421336"/>
    <n v="4755.2227893787804"/>
    <n v="17118.8020417636"/>
  </r>
  <r>
    <x v="0"/>
    <x v="0"/>
    <x v="0"/>
    <x v="2"/>
    <x v="5"/>
    <s v="NO2_A1"/>
    <x v="9"/>
    <s v="GHOB_LPG"/>
    <x v="0"/>
    <x v="8"/>
    <n v="14"/>
    <n v="5110"/>
    <n v="18396"/>
  </r>
  <r>
    <x v="0"/>
    <x v="0"/>
    <x v="0"/>
    <x v="2"/>
    <x v="5"/>
    <s v="NO2_A1"/>
    <x v="9"/>
    <s v="GHOB_LPG"/>
    <x v="0"/>
    <x v="9"/>
    <n v="14"/>
    <n v="5110"/>
    <n v="18396"/>
  </r>
  <r>
    <x v="0"/>
    <x v="0"/>
    <x v="0"/>
    <x v="2"/>
    <x v="5"/>
    <s v="NO2_A1"/>
    <x v="9"/>
    <s v="GHOB_LPG"/>
    <x v="0"/>
    <x v="10"/>
    <n v="12.9428133697759"/>
    <n v="4724.1268799681902"/>
    <n v="17006.8567678855"/>
  </r>
  <r>
    <x v="0"/>
    <x v="0"/>
    <x v="0"/>
    <x v="2"/>
    <x v="5"/>
    <s v="NO2_A1"/>
    <x v="9"/>
    <s v="GHOB_LPG"/>
    <x v="0"/>
    <x v="11"/>
    <n v="4.3275682457201601"/>
    <n v="1579.5624096878601"/>
    <n v="5686.4246748762898"/>
  </r>
  <r>
    <x v="0"/>
    <x v="0"/>
    <x v="0"/>
    <x v="2"/>
    <x v="5"/>
    <s v="NO2_A1"/>
    <x v="9"/>
    <s v="GHOB_LPG"/>
    <x v="0"/>
    <x v="12"/>
    <n v="8.5105381766803898"/>
    <n v="3106.34643448834"/>
    <n v="11182.847164158"/>
  </r>
  <r>
    <x v="0"/>
    <x v="0"/>
    <x v="0"/>
    <x v="2"/>
    <x v="5"/>
    <s v="NO2_A1"/>
    <x v="9"/>
    <s v="GHOB_LPG"/>
    <x v="0"/>
    <x v="13"/>
    <n v="0.73694017054712901"/>
    <n v="268.98316224970199"/>
    <n v="968.33938409892801"/>
  </r>
  <r>
    <x v="0"/>
    <x v="0"/>
    <x v="0"/>
    <x v="2"/>
    <x v="5"/>
    <s v="NO2_A1"/>
    <x v="9"/>
    <s v="GHOB_LPG"/>
    <x v="0"/>
    <x v="14"/>
    <n v="5.2775615187309297"/>
    <n v="1926.30995433679"/>
    <n v="6934.7158356124501"/>
  </r>
  <r>
    <x v="0"/>
    <x v="0"/>
    <x v="0"/>
    <x v="2"/>
    <x v="5"/>
    <s v="NO2_A1"/>
    <x v="9"/>
    <s v="GHOB_LPG"/>
    <x v="0"/>
    <x v="19"/>
    <n v="0.39057542986426302"/>
    <n v="142.56003190045601"/>
    <n v="513.21611484164202"/>
  </r>
  <r>
    <x v="0"/>
    <x v="0"/>
    <x v="0"/>
    <x v="2"/>
    <x v="5"/>
    <s v="NO2_A1"/>
    <x v="1"/>
    <s v="GBPR_MUNIWASTE"/>
    <x v="0"/>
    <x v="0"/>
    <n v="32.7467251504575"/>
    <n v="11952.554679917001"/>
    <n v="43029.196847701198"/>
  </r>
  <r>
    <x v="0"/>
    <x v="0"/>
    <x v="0"/>
    <x v="2"/>
    <x v="5"/>
    <s v="NO2_A1"/>
    <x v="1"/>
    <s v="GBPR_MUNIWASTE"/>
    <x v="0"/>
    <x v="1"/>
    <n v="33.5478142302074"/>
    <n v="12244.9521940257"/>
    <n v="44081.8278984926"/>
  </r>
  <r>
    <x v="0"/>
    <x v="0"/>
    <x v="0"/>
    <x v="2"/>
    <x v="5"/>
    <s v="NO2_A1"/>
    <x v="1"/>
    <s v="GBPR_MUNIWASTE"/>
    <x v="0"/>
    <x v="2"/>
    <n v="33.964496429656201"/>
    <n v="12397.041196824501"/>
    <n v="44629.348308568202"/>
  </r>
  <r>
    <x v="0"/>
    <x v="0"/>
    <x v="0"/>
    <x v="2"/>
    <x v="5"/>
    <s v="NO2_A1"/>
    <x v="1"/>
    <s v="GBPR_MUNIWASTE"/>
    <x v="0"/>
    <x v="3"/>
    <n v="34.838709677419402"/>
    <n v="12716.129032258101"/>
    <n v="45778.064516129001"/>
  </r>
  <r>
    <x v="0"/>
    <x v="0"/>
    <x v="0"/>
    <x v="2"/>
    <x v="5"/>
    <s v="NO2_A1"/>
    <x v="1"/>
    <s v="GBPR_MUNIWASTE"/>
    <x v="0"/>
    <x v="4"/>
    <n v="34.838709677419402"/>
    <n v="12716.129032258101"/>
    <n v="45778.064516129001"/>
  </r>
  <r>
    <x v="0"/>
    <x v="0"/>
    <x v="0"/>
    <x v="2"/>
    <x v="5"/>
    <s v="NO2_A1"/>
    <x v="1"/>
    <s v="GBPR_MUNIWASTE"/>
    <x v="0"/>
    <x v="5"/>
    <n v="34.838709677419402"/>
    <n v="12716.129032258101"/>
    <n v="45778.064516129001"/>
  </r>
  <r>
    <x v="0"/>
    <x v="0"/>
    <x v="0"/>
    <x v="2"/>
    <x v="5"/>
    <s v="NO2_A1"/>
    <x v="1"/>
    <s v="GBPR_MUNIWASTE"/>
    <x v="0"/>
    <x v="6"/>
    <n v="34.838709677419402"/>
    <n v="12716.129032258101"/>
    <n v="45778.064516129001"/>
  </r>
  <r>
    <x v="0"/>
    <x v="0"/>
    <x v="0"/>
    <x v="2"/>
    <x v="5"/>
    <s v="NO2_A1"/>
    <x v="1"/>
    <s v="GBPR_MUNIWASTE"/>
    <x v="0"/>
    <x v="7"/>
    <n v="34.838709677419402"/>
    <n v="12716.129032258101"/>
    <n v="45778.064516129001"/>
  </r>
  <r>
    <x v="0"/>
    <x v="0"/>
    <x v="0"/>
    <x v="2"/>
    <x v="5"/>
    <s v="NO2_A1"/>
    <x v="1"/>
    <s v="GBPR_MUNIWASTE"/>
    <x v="0"/>
    <x v="8"/>
    <n v="34.838709677419402"/>
    <n v="12716.129032258101"/>
    <n v="45778.064516129001"/>
  </r>
  <r>
    <x v="0"/>
    <x v="0"/>
    <x v="0"/>
    <x v="2"/>
    <x v="5"/>
    <s v="NO2_A1"/>
    <x v="1"/>
    <s v="GBPR_MUNIWASTE"/>
    <x v="0"/>
    <x v="9"/>
    <n v="34.838709677419402"/>
    <n v="12716.129032258101"/>
    <n v="45778.064516129001"/>
  </r>
  <r>
    <x v="0"/>
    <x v="0"/>
    <x v="0"/>
    <x v="2"/>
    <x v="5"/>
    <s v="NO2_A1"/>
    <x v="1"/>
    <s v="GBPR_MUNIWASTE"/>
    <x v="0"/>
    <x v="10"/>
    <n v="34.838709677419402"/>
    <n v="12716.129032258101"/>
    <n v="45778.064516129001"/>
  </r>
  <r>
    <x v="0"/>
    <x v="0"/>
    <x v="0"/>
    <x v="2"/>
    <x v="5"/>
    <s v="NO2_A1"/>
    <x v="1"/>
    <s v="GBPR_MUNIWASTE"/>
    <x v="0"/>
    <x v="11"/>
    <n v="34.838709677419402"/>
    <n v="12716.129032258101"/>
    <n v="45778.064516129001"/>
  </r>
  <r>
    <x v="0"/>
    <x v="0"/>
    <x v="0"/>
    <x v="2"/>
    <x v="5"/>
    <s v="NO2_A1"/>
    <x v="1"/>
    <s v="GBPR_MUNIWASTE"/>
    <x v="0"/>
    <x v="12"/>
    <n v="34.838709677419402"/>
    <n v="12716.129032258101"/>
    <n v="45778.064516129001"/>
  </r>
  <r>
    <x v="0"/>
    <x v="0"/>
    <x v="0"/>
    <x v="2"/>
    <x v="5"/>
    <s v="NO2_A1"/>
    <x v="1"/>
    <s v="GBPR_MUNIWASTE"/>
    <x v="0"/>
    <x v="13"/>
    <n v="34.838709677419402"/>
    <n v="12716.129032258101"/>
    <n v="45778.064516129001"/>
  </r>
  <r>
    <x v="0"/>
    <x v="0"/>
    <x v="0"/>
    <x v="2"/>
    <x v="5"/>
    <s v="NO2_A1"/>
    <x v="1"/>
    <s v="GBPR_MUNIWASTE"/>
    <x v="0"/>
    <x v="14"/>
    <n v="34.838709677419402"/>
    <n v="12716.129032258101"/>
    <n v="45778.064516129001"/>
  </r>
  <r>
    <x v="0"/>
    <x v="0"/>
    <x v="0"/>
    <x v="2"/>
    <x v="5"/>
    <s v="NO2_A1"/>
    <x v="1"/>
    <s v="GBPR_MUNIWASTE"/>
    <x v="0"/>
    <x v="15"/>
    <n v="34.838709677419402"/>
    <n v="12716.129032258101"/>
    <n v="45778.064516129001"/>
  </r>
  <r>
    <x v="0"/>
    <x v="0"/>
    <x v="0"/>
    <x v="2"/>
    <x v="5"/>
    <s v="NO2_A1"/>
    <x v="1"/>
    <s v="GBPR_MUNIWASTE"/>
    <x v="0"/>
    <x v="16"/>
    <n v="34.838709677419402"/>
    <n v="12716.129032258101"/>
    <n v="45778.064516129001"/>
  </r>
  <r>
    <x v="0"/>
    <x v="0"/>
    <x v="0"/>
    <x v="2"/>
    <x v="5"/>
    <s v="NO2_A1"/>
    <x v="1"/>
    <s v="GBPR_MUNIWASTE"/>
    <x v="0"/>
    <x v="17"/>
    <n v="34.838709677419402"/>
    <n v="12716.129032258101"/>
    <n v="45778.064516129001"/>
  </r>
  <r>
    <x v="0"/>
    <x v="0"/>
    <x v="0"/>
    <x v="2"/>
    <x v="5"/>
    <s v="NO2_A1"/>
    <x v="1"/>
    <s v="GBPR_MUNIWASTE"/>
    <x v="0"/>
    <x v="18"/>
    <n v="34.838709677419402"/>
    <n v="12716.129032258101"/>
    <n v="45778.064516129001"/>
  </r>
  <r>
    <x v="0"/>
    <x v="0"/>
    <x v="0"/>
    <x v="2"/>
    <x v="5"/>
    <s v="NO2_A1"/>
    <x v="1"/>
    <s v="GBPR_MUNIWASTE"/>
    <x v="0"/>
    <x v="19"/>
    <n v="34.838709677419402"/>
    <n v="12716.129032258101"/>
    <n v="45778.064516129001"/>
  </r>
  <r>
    <x v="0"/>
    <x v="0"/>
    <x v="0"/>
    <x v="2"/>
    <x v="5"/>
    <s v="NO2_A1"/>
    <x v="1"/>
    <s v="GBPR_MUNIWASTE"/>
    <x v="0"/>
    <x v="20"/>
    <n v="34.838709677419402"/>
    <n v="12716.129032258101"/>
    <n v="45778.064516129001"/>
  </r>
  <r>
    <x v="0"/>
    <x v="0"/>
    <x v="0"/>
    <x v="2"/>
    <x v="5"/>
    <s v="NO2_A1"/>
    <x v="1"/>
    <s v="GBPR_MUNIWASTE"/>
    <x v="0"/>
    <x v="21"/>
    <n v="34.838709677419402"/>
    <n v="12716.129032258101"/>
    <n v="45778.064516129001"/>
  </r>
  <r>
    <x v="0"/>
    <x v="0"/>
    <x v="0"/>
    <x v="2"/>
    <x v="5"/>
    <s v="NO2_A1"/>
    <x v="1"/>
    <s v="GBPR_MUNIWASTE"/>
    <x v="0"/>
    <x v="22"/>
    <n v="34.838709677419402"/>
    <n v="12716.129032258101"/>
    <n v="45778.064516129001"/>
  </r>
  <r>
    <x v="0"/>
    <x v="0"/>
    <x v="0"/>
    <x v="2"/>
    <x v="5"/>
    <s v="NO2_A1"/>
    <x v="1"/>
    <s v="GBPR_MUNIWASTE"/>
    <x v="0"/>
    <x v="23"/>
    <n v="34.678307369899898"/>
    <n v="12657.5821900135"/>
    <n v="45567.295884048501"/>
  </r>
  <r>
    <x v="0"/>
    <x v="0"/>
    <x v="0"/>
    <x v="2"/>
    <x v="5"/>
    <s v="NO2_A1"/>
    <x v="2"/>
    <s v="GHOB_WASTEHEAT"/>
    <x v="0"/>
    <x v="3"/>
    <n v="1.49228117845949"/>
    <n v="544.68263013771195"/>
    <n v="1960.85746849576"/>
  </r>
  <r>
    <x v="0"/>
    <x v="0"/>
    <x v="0"/>
    <x v="2"/>
    <x v="5"/>
    <s v="NO2_A1"/>
    <x v="2"/>
    <s v="GHOB_WASTEHEAT"/>
    <x v="0"/>
    <x v="4"/>
    <n v="5.00931586354762"/>
    <n v="1828.40029019488"/>
    <n v="6582.24104470157"/>
  </r>
  <r>
    <x v="0"/>
    <x v="0"/>
    <x v="0"/>
    <x v="2"/>
    <x v="5"/>
    <s v="NO2_A1"/>
    <x v="2"/>
    <s v="GHOB_WASTEHEAT"/>
    <x v="0"/>
    <x v="5"/>
    <n v="5.8693910256409998"/>
    <n v="2142.32772435897"/>
    <n v="7712.3798076922803"/>
  </r>
  <r>
    <x v="0"/>
    <x v="0"/>
    <x v="0"/>
    <x v="2"/>
    <x v="5"/>
    <s v="NO2_A1"/>
    <x v="2"/>
    <s v="GHOB_WASTEHEAT"/>
    <x v="0"/>
    <x v="6"/>
    <n v="5.8693910256409998"/>
    <n v="2142.32772435897"/>
    <n v="7712.3798076922803"/>
  </r>
  <r>
    <x v="0"/>
    <x v="0"/>
    <x v="0"/>
    <x v="2"/>
    <x v="5"/>
    <s v="NO2_A1"/>
    <x v="2"/>
    <s v="GHOB_WASTEHEAT"/>
    <x v="0"/>
    <x v="7"/>
    <n v="5.8693910256409998"/>
    <n v="2142.32772435897"/>
    <n v="7712.3798076922803"/>
  </r>
  <r>
    <x v="0"/>
    <x v="0"/>
    <x v="0"/>
    <x v="2"/>
    <x v="5"/>
    <s v="NO2_A1"/>
    <x v="2"/>
    <s v="GHOB_WASTEHEAT"/>
    <x v="0"/>
    <x v="8"/>
    <n v="5.8693910256409998"/>
    <n v="2142.32772435897"/>
    <n v="7712.3798076922803"/>
  </r>
  <r>
    <x v="0"/>
    <x v="0"/>
    <x v="0"/>
    <x v="2"/>
    <x v="5"/>
    <s v="NO2_A1"/>
    <x v="2"/>
    <s v="GHOB_WASTEHEAT"/>
    <x v="0"/>
    <x v="9"/>
    <n v="5.8693910256409998"/>
    <n v="2142.32772435897"/>
    <n v="7712.3798076922803"/>
  </r>
  <r>
    <x v="0"/>
    <x v="0"/>
    <x v="0"/>
    <x v="2"/>
    <x v="5"/>
    <s v="NO2_A1"/>
    <x v="2"/>
    <s v="GHOB_WASTEHEAT"/>
    <x v="0"/>
    <x v="10"/>
    <n v="5.8693910256409998"/>
    <n v="2142.32772435897"/>
    <n v="7712.3798076922803"/>
  </r>
  <r>
    <x v="0"/>
    <x v="0"/>
    <x v="0"/>
    <x v="2"/>
    <x v="5"/>
    <s v="NO2_A1"/>
    <x v="2"/>
    <s v="GHOB_WASTEHEAT"/>
    <x v="0"/>
    <x v="11"/>
    <n v="5.8693910256409998"/>
    <n v="2142.32772435897"/>
    <n v="7712.3798076922803"/>
  </r>
  <r>
    <x v="0"/>
    <x v="0"/>
    <x v="0"/>
    <x v="2"/>
    <x v="5"/>
    <s v="NO2_A1"/>
    <x v="2"/>
    <s v="GHOB_WASTEHEAT"/>
    <x v="0"/>
    <x v="12"/>
    <n v="5.8693910256409998"/>
    <n v="2142.32772435897"/>
    <n v="7712.3798076922803"/>
  </r>
  <r>
    <x v="0"/>
    <x v="0"/>
    <x v="0"/>
    <x v="2"/>
    <x v="5"/>
    <s v="NO2_A1"/>
    <x v="2"/>
    <s v="GHOB_WASTEHEAT"/>
    <x v="0"/>
    <x v="13"/>
    <n v="5.8693910256409998"/>
    <n v="2142.32772435897"/>
    <n v="7712.3798076922803"/>
  </r>
  <r>
    <x v="0"/>
    <x v="0"/>
    <x v="0"/>
    <x v="2"/>
    <x v="5"/>
    <s v="NO2_A1"/>
    <x v="2"/>
    <s v="GHOB_WASTEHEAT"/>
    <x v="0"/>
    <x v="14"/>
    <n v="5.8693910256409998"/>
    <n v="2142.32772435897"/>
    <n v="7712.3798076922803"/>
  </r>
  <r>
    <x v="0"/>
    <x v="0"/>
    <x v="0"/>
    <x v="2"/>
    <x v="5"/>
    <s v="NO2_A1"/>
    <x v="2"/>
    <s v="GHOB_WASTEHEAT"/>
    <x v="0"/>
    <x v="15"/>
    <n v="5.8693910256409998"/>
    <n v="2142.32772435897"/>
    <n v="7712.3798076922803"/>
  </r>
  <r>
    <x v="0"/>
    <x v="0"/>
    <x v="0"/>
    <x v="2"/>
    <x v="5"/>
    <s v="NO2_A1"/>
    <x v="2"/>
    <s v="GHOB_WASTEHEAT"/>
    <x v="0"/>
    <x v="16"/>
    <n v="5.8693910256409998"/>
    <n v="2142.32772435897"/>
    <n v="7712.3798076922803"/>
  </r>
  <r>
    <x v="0"/>
    <x v="0"/>
    <x v="0"/>
    <x v="2"/>
    <x v="5"/>
    <s v="NO2_A1"/>
    <x v="2"/>
    <s v="GHOB_WASTEHEAT"/>
    <x v="0"/>
    <x v="17"/>
    <n v="5.8693910256409998"/>
    <n v="2142.32772435897"/>
    <n v="7712.3798076922803"/>
  </r>
  <r>
    <x v="0"/>
    <x v="0"/>
    <x v="0"/>
    <x v="2"/>
    <x v="5"/>
    <s v="NO2_A1"/>
    <x v="2"/>
    <s v="GHOB_WASTEHEAT"/>
    <x v="0"/>
    <x v="18"/>
    <n v="5.8046603596078397"/>
    <n v="2118.70103125686"/>
    <n v="7627.3237125246997"/>
  </r>
  <r>
    <x v="0"/>
    <x v="0"/>
    <x v="0"/>
    <x v="2"/>
    <x v="5"/>
    <s v="NO2_A1"/>
    <x v="2"/>
    <s v="GHOB_WASTEHEAT"/>
    <x v="0"/>
    <x v="19"/>
    <n v="5.8693910256409998"/>
    <n v="2142.32772435897"/>
    <n v="7712.3798076922803"/>
  </r>
  <r>
    <x v="0"/>
    <x v="0"/>
    <x v="0"/>
    <x v="2"/>
    <x v="5"/>
    <s v="NO2_A1"/>
    <x v="2"/>
    <s v="GHOB_WASTEHEAT"/>
    <x v="0"/>
    <x v="20"/>
    <n v="5.62504858459035"/>
    <n v="2053.14273337548"/>
    <n v="7391.3138401517199"/>
  </r>
  <r>
    <x v="0"/>
    <x v="0"/>
    <x v="0"/>
    <x v="2"/>
    <x v="5"/>
    <s v="NO2_A1"/>
    <x v="2"/>
    <s v="GHOB_WASTEHEAT"/>
    <x v="0"/>
    <x v="21"/>
    <n v="4.0636802862704"/>
    <n v="1483.2433044887"/>
    <n v="5339.6758961593096"/>
  </r>
  <r>
    <x v="0"/>
    <x v="0"/>
    <x v="0"/>
    <x v="2"/>
    <x v="5"/>
    <s v="NO2_A1"/>
    <x v="2"/>
    <s v="GHOB_WASTEHEAT"/>
    <x v="0"/>
    <x v="22"/>
    <n v="2.1795020224389798"/>
    <n v="795.51823819022798"/>
    <n v="2863.8656574848201"/>
  </r>
  <r>
    <x v="0"/>
    <x v="0"/>
    <x v="0"/>
    <x v="2"/>
    <x v="6"/>
    <s v="NO3_A1"/>
    <x v="9"/>
    <s v="GHOB_LNG"/>
    <x v="0"/>
    <x v="0"/>
    <n v="2.49581826091931"/>
    <n v="910.97366523554695"/>
    <n v="3279.50519484797"/>
  </r>
  <r>
    <x v="0"/>
    <x v="0"/>
    <x v="0"/>
    <x v="2"/>
    <x v="6"/>
    <s v="NO3_A1"/>
    <x v="9"/>
    <s v="GHOB_LNG"/>
    <x v="0"/>
    <x v="1"/>
    <n v="3.11163668787683"/>
    <n v="1135.74739107504"/>
    <n v="4088.69060787015"/>
  </r>
  <r>
    <x v="0"/>
    <x v="0"/>
    <x v="0"/>
    <x v="2"/>
    <x v="6"/>
    <s v="NO3_A1"/>
    <x v="9"/>
    <s v="GHOB_LNG"/>
    <x v="0"/>
    <x v="3"/>
    <n v="4.98823097679887"/>
    <n v="1820.70430653159"/>
    <n v="6554.53550351371"/>
  </r>
  <r>
    <x v="0"/>
    <x v="0"/>
    <x v="0"/>
    <x v="2"/>
    <x v="6"/>
    <s v="NO3_A1"/>
    <x v="9"/>
    <s v="GHOB_LNG"/>
    <x v="0"/>
    <x v="6"/>
    <n v="13.200176709482401"/>
    <n v="4818.0644989610601"/>
    <n v="17345.032196259799"/>
  </r>
  <r>
    <x v="0"/>
    <x v="0"/>
    <x v="0"/>
    <x v="2"/>
    <x v="6"/>
    <s v="NO3_A1"/>
    <x v="9"/>
    <s v="GHOB_LNG"/>
    <x v="0"/>
    <x v="7"/>
    <n v="1.97070671618171"/>
    <n v="719.30795140632404"/>
    <n v="2589.5086250627701"/>
  </r>
  <r>
    <x v="0"/>
    <x v="0"/>
    <x v="0"/>
    <x v="2"/>
    <x v="6"/>
    <s v="NO3_A1"/>
    <x v="9"/>
    <s v="GHOB_LNG"/>
    <x v="0"/>
    <x v="8"/>
    <n v="1.6909956374422599"/>
    <n v="617.21340766642402"/>
    <n v="2221.9682675991198"/>
  </r>
  <r>
    <x v="0"/>
    <x v="0"/>
    <x v="0"/>
    <x v="2"/>
    <x v="6"/>
    <s v="NO3_A1"/>
    <x v="9"/>
    <s v="GHOB_LNG"/>
    <x v="0"/>
    <x v="9"/>
    <n v="13.821000437402301"/>
    <n v="5044.6651596518404"/>
    <n v="18160.7945747466"/>
  </r>
  <r>
    <x v="0"/>
    <x v="0"/>
    <x v="0"/>
    <x v="2"/>
    <x v="6"/>
    <s v="NO3_A1"/>
    <x v="9"/>
    <s v="GHOB_LNG"/>
    <x v="0"/>
    <x v="10"/>
    <n v="12.553969605153"/>
    <n v="4582.1989058808404"/>
    <n v="16495.916061170999"/>
  </r>
  <r>
    <x v="0"/>
    <x v="0"/>
    <x v="0"/>
    <x v="2"/>
    <x v="6"/>
    <s v="NO3_A1"/>
    <x v="9"/>
    <s v="GHOB_LNG"/>
    <x v="0"/>
    <x v="11"/>
    <n v="11.6300741904316"/>
    <n v="4244.9770795075201"/>
    <n v="15281.917486227099"/>
  </r>
  <r>
    <x v="0"/>
    <x v="0"/>
    <x v="0"/>
    <x v="2"/>
    <x v="6"/>
    <s v="NO3_A1"/>
    <x v="9"/>
    <s v="GHOB_LNG"/>
    <x v="0"/>
    <x v="13"/>
    <n v="9.4637204711460008"/>
    <n v="3454.2579719682899"/>
    <n v="12435.3286990858"/>
  </r>
  <r>
    <x v="0"/>
    <x v="0"/>
    <x v="0"/>
    <x v="2"/>
    <x v="6"/>
    <s v="NO3_A1"/>
    <x v="9"/>
    <s v="GHOB_LNG"/>
    <x v="0"/>
    <x v="14"/>
    <n v="9.0310376600629301"/>
    <n v="3296.32874592297"/>
    <n v="11866.7834853227"/>
  </r>
  <r>
    <x v="0"/>
    <x v="0"/>
    <x v="0"/>
    <x v="2"/>
    <x v="6"/>
    <s v="NO3_A1"/>
    <x v="9"/>
    <s v="GHOB_LNG"/>
    <x v="0"/>
    <x v="16"/>
    <n v="5.5732126785982397"/>
    <n v="2034.22262768836"/>
    <n v="7323.20145967809"/>
  </r>
  <r>
    <x v="0"/>
    <x v="0"/>
    <x v="0"/>
    <x v="2"/>
    <x v="6"/>
    <s v="NO3_A1"/>
    <x v="9"/>
    <s v="GHOB_LNG"/>
    <x v="0"/>
    <x v="18"/>
    <n v="3.620127936946"/>
    <n v="1321.34669698529"/>
    <n v="4756.8481091470403"/>
  </r>
  <r>
    <x v="0"/>
    <x v="0"/>
    <x v="0"/>
    <x v="2"/>
    <x v="6"/>
    <s v="NO3_A1"/>
    <x v="9"/>
    <s v="GHOB_LNG"/>
    <x v="0"/>
    <x v="19"/>
    <n v="3.4498866114818698"/>
    <n v="1259.20861319088"/>
    <n v="4533.1510074871703"/>
  </r>
  <r>
    <x v="0"/>
    <x v="0"/>
    <x v="0"/>
    <x v="2"/>
    <x v="6"/>
    <s v="NO3_A1"/>
    <x v="9"/>
    <s v="GHOB_LNG"/>
    <x v="0"/>
    <x v="21"/>
    <n v="1.78118474505805"/>
    <n v="650.13243194618803"/>
    <n v="2340.4767550062802"/>
  </r>
  <r>
    <x v="0"/>
    <x v="0"/>
    <x v="0"/>
    <x v="2"/>
    <x v="6"/>
    <s v="NO3_A1"/>
    <x v="9"/>
    <s v="GHOB_LPG"/>
    <x v="0"/>
    <x v="2"/>
    <n v="3.8544176328548598"/>
    <n v="1406.86243599202"/>
    <n v="5064.7047695712899"/>
  </r>
  <r>
    <x v="0"/>
    <x v="0"/>
    <x v="0"/>
    <x v="2"/>
    <x v="6"/>
    <s v="NO3_A1"/>
    <x v="9"/>
    <s v="GHOB_LPG"/>
    <x v="0"/>
    <x v="4"/>
    <n v="6.7058590039274097"/>
    <n v="2447.6385364335001"/>
    <n v="8811.4987311606092"/>
  </r>
  <r>
    <x v="0"/>
    <x v="0"/>
    <x v="0"/>
    <x v="2"/>
    <x v="6"/>
    <s v="NO3_A1"/>
    <x v="9"/>
    <s v="GHOB_LPG"/>
    <x v="0"/>
    <x v="5"/>
    <n v="8.6760515020451905"/>
    <n v="3166.7587982465002"/>
    <n v="11400.3316736874"/>
  </r>
  <r>
    <x v="0"/>
    <x v="0"/>
    <x v="0"/>
    <x v="2"/>
    <x v="6"/>
    <s v="NO3_A1"/>
    <x v="9"/>
    <s v="GHOB_LPG"/>
    <x v="0"/>
    <x v="7"/>
    <n v="13.8"/>
    <n v="5037"/>
    <n v="18133.2"/>
  </r>
  <r>
    <x v="0"/>
    <x v="0"/>
    <x v="0"/>
    <x v="2"/>
    <x v="6"/>
    <s v="NO3_A1"/>
    <x v="9"/>
    <s v="GHOB_LPG"/>
    <x v="0"/>
    <x v="8"/>
    <n v="13.8"/>
    <n v="5037"/>
    <n v="18133.2"/>
  </r>
  <r>
    <x v="0"/>
    <x v="0"/>
    <x v="0"/>
    <x v="2"/>
    <x v="6"/>
    <s v="NO3_A1"/>
    <x v="9"/>
    <s v="GHOB_LPG"/>
    <x v="0"/>
    <x v="12"/>
    <n v="10.424145515464099"/>
    <n v="3804.8131131443802"/>
    <n v="13697.3272073198"/>
  </r>
  <r>
    <x v="0"/>
    <x v="0"/>
    <x v="0"/>
    <x v="2"/>
    <x v="6"/>
    <s v="NO3_A1"/>
    <x v="9"/>
    <s v="GHOB_LPG"/>
    <x v="0"/>
    <x v="15"/>
    <n v="7.4272871255063304"/>
    <n v="2710.9598008098101"/>
    <n v="9759.4552829153199"/>
  </r>
  <r>
    <x v="0"/>
    <x v="0"/>
    <x v="0"/>
    <x v="2"/>
    <x v="6"/>
    <s v="NO3_A1"/>
    <x v="9"/>
    <s v="GHOB_LPG"/>
    <x v="0"/>
    <x v="17"/>
    <n v="4.2988361739860297"/>
    <n v="1569.0752035048999"/>
    <n v="5648.6707326176402"/>
  </r>
  <r>
    <x v="0"/>
    <x v="0"/>
    <x v="0"/>
    <x v="2"/>
    <x v="6"/>
    <s v="NO3_A1"/>
    <x v="9"/>
    <s v="GHOB_LPG"/>
    <x v="0"/>
    <x v="20"/>
    <n v="2.79594336895908"/>
    <n v="1020.51932967006"/>
    <n v="3673.86958681223"/>
  </r>
  <r>
    <x v="0"/>
    <x v="0"/>
    <x v="0"/>
    <x v="2"/>
    <x v="6"/>
    <s v="NO3_A1"/>
    <x v="9"/>
    <s v="GHOB_LPG"/>
    <x v="0"/>
    <x v="22"/>
    <n v="0.50172037362428801"/>
    <n v="183.12793637286501"/>
    <n v="659.26057094231396"/>
  </r>
  <r>
    <x v="0"/>
    <x v="0"/>
    <x v="0"/>
    <x v="2"/>
    <x v="6"/>
    <s v="NO3_A1"/>
    <x v="1"/>
    <s v="GBPR_MUNIWASTE"/>
    <x v="0"/>
    <x v="0"/>
    <n v="13.8387096774194"/>
    <n v="5051.1290322580699"/>
    <n v="18184.064516129001"/>
  </r>
  <r>
    <x v="0"/>
    <x v="0"/>
    <x v="0"/>
    <x v="2"/>
    <x v="6"/>
    <s v="NO3_A1"/>
    <x v="1"/>
    <s v="GBPR_MUNIWASTE"/>
    <x v="0"/>
    <x v="1"/>
    <n v="13.8387096774194"/>
    <n v="5051.1290322580699"/>
    <n v="18184.064516129001"/>
  </r>
  <r>
    <x v="0"/>
    <x v="0"/>
    <x v="0"/>
    <x v="2"/>
    <x v="6"/>
    <s v="NO3_A1"/>
    <x v="1"/>
    <s v="GBPR_MUNIWASTE"/>
    <x v="0"/>
    <x v="2"/>
    <n v="13.8387096774194"/>
    <n v="5051.1290322580699"/>
    <n v="18184.064516129001"/>
  </r>
  <r>
    <x v="0"/>
    <x v="0"/>
    <x v="0"/>
    <x v="2"/>
    <x v="6"/>
    <s v="NO3_A1"/>
    <x v="1"/>
    <s v="GBPR_MUNIWASTE"/>
    <x v="0"/>
    <x v="3"/>
    <n v="13.8387096774194"/>
    <n v="5051.1290322580699"/>
    <n v="18184.064516129001"/>
  </r>
  <r>
    <x v="0"/>
    <x v="0"/>
    <x v="0"/>
    <x v="2"/>
    <x v="6"/>
    <s v="NO3_A1"/>
    <x v="1"/>
    <s v="GBPR_MUNIWASTE"/>
    <x v="0"/>
    <x v="4"/>
    <n v="13.8387096774194"/>
    <n v="5051.1290322580699"/>
    <n v="18184.064516129001"/>
  </r>
  <r>
    <x v="0"/>
    <x v="0"/>
    <x v="0"/>
    <x v="2"/>
    <x v="6"/>
    <s v="NO3_A1"/>
    <x v="1"/>
    <s v="GBPR_MUNIWASTE"/>
    <x v="0"/>
    <x v="5"/>
    <n v="13.8387096774194"/>
    <n v="5051.1290322580699"/>
    <n v="18184.064516129001"/>
  </r>
  <r>
    <x v="0"/>
    <x v="0"/>
    <x v="0"/>
    <x v="2"/>
    <x v="6"/>
    <s v="NO3_A1"/>
    <x v="1"/>
    <s v="GBPR_MUNIWASTE"/>
    <x v="0"/>
    <x v="6"/>
    <n v="13.8387096774194"/>
    <n v="5051.1290322580699"/>
    <n v="18184.064516129001"/>
  </r>
  <r>
    <x v="0"/>
    <x v="0"/>
    <x v="0"/>
    <x v="2"/>
    <x v="6"/>
    <s v="NO3_A1"/>
    <x v="1"/>
    <s v="GBPR_MUNIWASTE"/>
    <x v="0"/>
    <x v="7"/>
    <n v="13.8387096774194"/>
    <n v="5051.1290322580699"/>
    <n v="18184.064516129001"/>
  </r>
  <r>
    <x v="0"/>
    <x v="0"/>
    <x v="0"/>
    <x v="2"/>
    <x v="6"/>
    <s v="NO3_A1"/>
    <x v="1"/>
    <s v="GBPR_MUNIWASTE"/>
    <x v="0"/>
    <x v="8"/>
    <n v="13.8387096774194"/>
    <n v="5051.1290322580699"/>
    <n v="18184.064516129001"/>
  </r>
  <r>
    <x v="0"/>
    <x v="0"/>
    <x v="0"/>
    <x v="2"/>
    <x v="6"/>
    <s v="NO3_A1"/>
    <x v="1"/>
    <s v="GBPR_MUNIWASTE"/>
    <x v="0"/>
    <x v="9"/>
    <n v="13.8387096774194"/>
    <n v="5051.1290322580699"/>
    <n v="18184.064516129001"/>
  </r>
  <r>
    <x v="0"/>
    <x v="0"/>
    <x v="0"/>
    <x v="2"/>
    <x v="6"/>
    <s v="NO3_A1"/>
    <x v="1"/>
    <s v="GBPR_MUNIWASTE"/>
    <x v="0"/>
    <x v="10"/>
    <n v="13.8387096774194"/>
    <n v="5051.1290322580699"/>
    <n v="18184.064516129001"/>
  </r>
  <r>
    <x v="0"/>
    <x v="0"/>
    <x v="0"/>
    <x v="2"/>
    <x v="6"/>
    <s v="NO3_A1"/>
    <x v="1"/>
    <s v="GBPR_MUNIWASTE"/>
    <x v="0"/>
    <x v="11"/>
    <n v="13.8387096774194"/>
    <n v="5051.1290322580699"/>
    <n v="18184.064516129001"/>
  </r>
  <r>
    <x v="0"/>
    <x v="0"/>
    <x v="0"/>
    <x v="2"/>
    <x v="6"/>
    <s v="NO3_A1"/>
    <x v="1"/>
    <s v="GBPR_MUNIWASTE"/>
    <x v="0"/>
    <x v="12"/>
    <n v="13.8387096774194"/>
    <n v="5051.1290322580699"/>
    <n v="18184.064516129001"/>
  </r>
  <r>
    <x v="0"/>
    <x v="0"/>
    <x v="0"/>
    <x v="2"/>
    <x v="6"/>
    <s v="NO3_A1"/>
    <x v="1"/>
    <s v="GBPR_MUNIWASTE"/>
    <x v="0"/>
    <x v="13"/>
    <n v="13.8387096774194"/>
    <n v="5051.1290322580699"/>
    <n v="18184.064516129001"/>
  </r>
  <r>
    <x v="0"/>
    <x v="0"/>
    <x v="0"/>
    <x v="2"/>
    <x v="6"/>
    <s v="NO3_A1"/>
    <x v="1"/>
    <s v="GBPR_MUNIWASTE"/>
    <x v="0"/>
    <x v="14"/>
    <n v="13.8387096774194"/>
    <n v="5051.1290322580699"/>
    <n v="18184.064516129001"/>
  </r>
  <r>
    <x v="0"/>
    <x v="0"/>
    <x v="0"/>
    <x v="2"/>
    <x v="6"/>
    <s v="NO3_A1"/>
    <x v="1"/>
    <s v="GBPR_MUNIWASTE"/>
    <x v="0"/>
    <x v="15"/>
    <n v="13.8387096774194"/>
    <n v="5051.1290322580699"/>
    <n v="18184.064516129001"/>
  </r>
  <r>
    <x v="0"/>
    <x v="0"/>
    <x v="0"/>
    <x v="2"/>
    <x v="6"/>
    <s v="NO3_A1"/>
    <x v="1"/>
    <s v="GBPR_MUNIWASTE"/>
    <x v="0"/>
    <x v="16"/>
    <n v="13.8387096774194"/>
    <n v="5051.1290322580699"/>
    <n v="18184.064516129001"/>
  </r>
  <r>
    <x v="0"/>
    <x v="0"/>
    <x v="0"/>
    <x v="2"/>
    <x v="6"/>
    <s v="NO3_A1"/>
    <x v="1"/>
    <s v="GBPR_MUNIWASTE"/>
    <x v="0"/>
    <x v="17"/>
    <n v="13.8387096774194"/>
    <n v="5051.1290322580699"/>
    <n v="18184.064516129001"/>
  </r>
  <r>
    <x v="0"/>
    <x v="0"/>
    <x v="0"/>
    <x v="2"/>
    <x v="6"/>
    <s v="NO3_A1"/>
    <x v="1"/>
    <s v="GBPR_MUNIWASTE"/>
    <x v="0"/>
    <x v="18"/>
    <n v="13.8387096774194"/>
    <n v="5051.1290322580699"/>
    <n v="18184.064516129001"/>
  </r>
  <r>
    <x v="0"/>
    <x v="0"/>
    <x v="0"/>
    <x v="2"/>
    <x v="6"/>
    <s v="NO3_A1"/>
    <x v="1"/>
    <s v="GBPR_MUNIWASTE"/>
    <x v="0"/>
    <x v="19"/>
    <n v="13.8387096774194"/>
    <n v="5051.1290322580699"/>
    <n v="18184.064516129001"/>
  </r>
  <r>
    <x v="0"/>
    <x v="0"/>
    <x v="0"/>
    <x v="2"/>
    <x v="6"/>
    <s v="NO3_A1"/>
    <x v="1"/>
    <s v="GBPR_MUNIWASTE"/>
    <x v="0"/>
    <x v="20"/>
    <n v="13.8387096774194"/>
    <n v="5051.1290322580699"/>
    <n v="18184.064516129001"/>
  </r>
  <r>
    <x v="0"/>
    <x v="0"/>
    <x v="0"/>
    <x v="2"/>
    <x v="6"/>
    <s v="NO3_A1"/>
    <x v="1"/>
    <s v="GBPR_MUNIWASTE"/>
    <x v="0"/>
    <x v="21"/>
    <n v="13.8387096774194"/>
    <n v="5051.1290322580699"/>
    <n v="18184.064516129001"/>
  </r>
  <r>
    <x v="0"/>
    <x v="0"/>
    <x v="0"/>
    <x v="2"/>
    <x v="6"/>
    <s v="NO3_A1"/>
    <x v="1"/>
    <s v="GBPR_MUNIWASTE"/>
    <x v="0"/>
    <x v="22"/>
    <n v="13.8387096774194"/>
    <n v="5051.1290322580699"/>
    <n v="18184.064516129001"/>
  </r>
  <r>
    <x v="0"/>
    <x v="0"/>
    <x v="0"/>
    <x v="2"/>
    <x v="6"/>
    <s v="NO3_A1"/>
    <x v="1"/>
    <s v="GBPR_MUNIWASTE"/>
    <x v="0"/>
    <x v="23"/>
    <n v="13.8387096774194"/>
    <n v="5051.1290322580699"/>
    <n v="18184.064516129001"/>
  </r>
  <r>
    <x v="0"/>
    <x v="0"/>
    <x v="0"/>
    <x v="2"/>
    <x v="6"/>
    <s v="NO3_A1"/>
    <x v="2"/>
    <s v="GHOB_WASTEHEAT"/>
    <x v="0"/>
    <x v="0"/>
    <n v="4.3039148351648198"/>
    <n v="1570.92891483516"/>
    <n v="5655.3440934065702"/>
  </r>
  <r>
    <x v="0"/>
    <x v="0"/>
    <x v="0"/>
    <x v="2"/>
    <x v="6"/>
    <s v="NO3_A1"/>
    <x v="2"/>
    <s v="GHOB_WASTEHEAT"/>
    <x v="0"/>
    <x v="1"/>
    <n v="4.3039148351648198"/>
    <n v="1570.92891483516"/>
    <n v="5655.3440934065702"/>
  </r>
  <r>
    <x v="0"/>
    <x v="0"/>
    <x v="0"/>
    <x v="2"/>
    <x v="6"/>
    <s v="NO3_A1"/>
    <x v="2"/>
    <s v="GHOB_WASTEHEAT"/>
    <x v="0"/>
    <x v="2"/>
    <n v="4.3039148351648198"/>
    <n v="1570.92891483516"/>
    <n v="5655.3440934065702"/>
  </r>
  <r>
    <x v="0"/>
    <x v="0"/>
    <x v="0"/>
    <x v="2"/>
    <x v="6"/>
    <s v="NO3_A1"/>
    <x v="2"/>
    <s v="GHOB_WASTEHEAT"/>
    <x v="0"/>
    <x v="3"/>
    <n v="4.3039148351648198"/>
    <n v="1570.92891483516"/>
    <n v="5655.3440934065702"/>
  </r>
  <r>
    <x v="0"/>
    <x v="0"/>
    <x v="0"/>
    <x v="2"/>
    <x v="6"/>
    <s v="NO3_A1"/>
    <x v="2"/>
    <s v="GHOB_WASTEHEAT"/>
    <x v="0"/>
    <x v="4"/>
    <n v="4.3039148351648198"/>
    <n v="1570.92891483516"/>
    <n v="5655.3440934065702"/>
  </r>
  <r>
    <x v="0"/>
    <x v="0"/>
    <x v="0"/>
    <x v="2"/>
    <x v="6"/>
    <s v="NO3_A1"/>
    <x v="2"/>
    <s v="GHOB_WASTEHEAT"/>
    <x v="0"/>
    <x v="5"/>
    <n v="4.3039148351648198"/>
    <n v="1570.92891483516"/>
    <n v="5655.3440934065702"/>
  </r>
  <r>
    <x v="0"/>
    <x v="0"/>
    <x v="0"/>
    <x v="2"/>
    <x v="6"/>
    <s v="NO3_A1"/>
    <x v="2"/>
    <s v="GHOB_WASTEHEAT"/>
    <x v="0"/>
    <x v="6"/>
    <n v="4.3039148351648198"/>
    <n v="1570.92891483516"/>
    <n v="5655.3440934065702"/>
  </r>
  <r>
    <x v="0"/>
    <x v="0"/>
    <x v="0"/>
    <x v="2"/>
    <x v="6"/>
    <s v="NO3_A1"/>
    <x v="2"/>
    <s v="GHOB_WASTEHEAT"/>
    <x v="0"/>
    <x v="7"/>
    <n v="4.3039148351648198"/>
    <n v="1570.92891483516"/>
    <n v="5655.3440934065702"/>
  </r>
  <r>
    <x v="0"/>
    <x v="0"/>
    <x v="0"/>
    <x v="2"/>
    <x v="6"/>
    <s v="NO3_A1"/>
    <x v="2"/>
    <s v="GHOB_WASTEHEAT"/>
    <x v="0"/>
    <x v="8"/>
    <n v="4.3039148351648198"/>
    <n v="1570.92891483516"/>
    <n v="5655.3440934065702"/>
  </r>
  <r>
    <x v="0"/>
    <x v="0"/>
    <x v="0"/>
    <x v="2"/>
    <x v="6"/>
    <s v="NO3_A1"/>
    <x v="2"/>
    <s v="GHOB_WASTEHEAT"/>
    <x v="0"/>
    <x v="9"/>
    <n v="4.3039148351648198"/>
    <n v="1570.92891483516"/>
    <n v="5655.3440934065702"/>
  </r>
  <r>
    <x v="0"/>
    <x v="0"/>
    <x v="0"/>
    <x v="2"/>
    <x v="6"/>
    <s v="NO3_A1"/>
    <x v="2"/>
    <s v="GHOB_WASTEHEAT"/>
    <x v="0"/>
    <x v="10"/>
    <n v="4.3039148351648198"/>
    <n v="1570.92891483516"/>
    <n v="5655.3440934065702"/>
  </r>
  <r>
    <x v="0"/>
    <x v="0"/>
    <x v="0"/>
    <x v="2"/>
    <x v="6"/>
    <s v="NO3_A1"/>
    <x v="2"/>
    <s v="GHOB_WASTEHEAT"/>
    <x v="0"/>
    <x v="11"/>
    <n v="4.3039148351648198"/>
    <n v="1570.92891483516"/>
    <n v="5655.3440934065702"/>
  </r>
  <r>
    <x v="0"/>
    <x v="0"/>
    <x v="0"/>
    <x v="2"/>
    <x v="6"/>
    <s v="NO3_A1"/>
    <x v="2"/>
    <s v="GHOB_WASTEHEAT"/>
    <x v="0"/>
    <x v="12"/>
    <n v="4.3039148351648198"/>
    <n v="1570.92891483516"/>
    <n v="5655.3440934065702"/>
  </r>
  <r>
    <x v="0"/>
    <x v="0"/>
    <x v="0"/>
    <x v="2"/>
    <x v="6"/>
    <s v="NO3_A1"/>
    <x v="2"/>
    <s v="GHOB_WASTEHEAT"/>
    <x v="0"/>
    <x v="13"/>
    <n v="4.3039148351648198"/>
    <n v="1570.92891483516"/>
    <n v="5655.3440934065702"/>
  </r>
  <r>
    <x v="0"/>
    <x v="0"/>
    <x v="0"/>
    <x v="2"/>
    <x v="6"/>
    <s v="NO3_A1"/>
    <x v="2"/>
    <s v="GHOB_WASTEHEAT"/>
    <x v="0"/>
    <x v="14"/>
    <n v="4.3039148351648198"/>
    <n v="1570.92891483516"/>
    <n v="5655.3440934065702"/>
  </r>
  <r>
    <x v="0"/>
    <x v="0"/>
    <x v="0"/>
    <x v="2"/>
    <x v="6"/>
    <s v="NO3_A1"/>
    <x v="2"/>
    <s v="GHOB_WASTEHEAT"/>
    <x v="0"/>
    <x v="15"/>
    <n v="4.3039148351648198"/>
    <n v="1570.92891483516"/>
    <n v="5655.3440934065702"/>
  </r>
  <r>
    <x v="0"/>
    <x v="0"/>
    <x v="0"/>
    <x v="2"/>
    <x v="6"/>
    <s v="NO3_A1"/>
    <x v="2"/>
    <s v="GHOB_WASTEHEAT"/>
    <x v="0"/>
    <x v="16"/>
    <n v="4.3039148351648198"/>
    <n v="1570.92891483516"/>
    <n v="5655.3440934065702"/>
  </r>
  <r>
    <x v="0"/>
    <x v="0"/>
    <x v="0"/>
    <x v="2"/>
    <x v="6"/>
    <s v="NO3_A1"/>
    <x v="2"/>
    <s v="GHOB_WASTEHEAT"/>
    <x v="0"/>
    <x v="17"/>
    <n v="4.3039148351648198"/>
    <n v="1570.92891483516"/>
    <n v="5655.3440934065702"/>
  </r>
  <r>
    <x v="0"/>
    <x v="0"/>
    <x v="0"/>
    <x v="2"/>
    <x v="6"/>
    <s v="NO3_A1"/>
    <x v="2"/>
    <s v="GHOB_WASTEHEAT"/>
    <x v="0"/>
    <x v="18"/>
    <n v="4.3039148351648198"/>
    <n v="1570.92891483516"/>
    <n v="5655.3440934065702"/>
  </r>
  <r>
    <x v="0"/>
    <x v="0"/>
    <x v="0"/>
    <x v="2"/>
    <x v="6"/>
    <s v="NO3_A1"/>
    <x v="2"/>
    <s v="GHOB_WASTEHEAT"/>
    <x v="0"/>
    <x v="19"/>
    <n v="4.3039148351648198"/>
    <n v="1570.92891483516"/>
    <n v="5655.3440934065702"/>
  </r>
  <r>
    <x v="0"/>
    <x v="0"/>
    <x v="0"/>
    <x v="2"/>
    <x v="6"/>
    <s v="NO3_A1"/>
    <x v="2"/>
    <s v="GHOB_WASTEHEAT"/>
    <x v="0"/>
    <x v="20"/>
    <n v="4.3039148351648198"/>
    <n v="1570.92891483516"/>
    <n v="5655.3440934065702"/>
  </r>
  <r>
    <x v="0"/>
    <x v="0"/>
    <x v="0"/>
    <x v="2"/>
    <x v="6"/>
    <s v="NO3_A1"/>
    <x v="2"/>
    <s v="GHOB_WASTEHEAT"/>
    <x v="0"/>
    <x v="21"/>
    <n v="4.3039148351648198"/>
    <n v="1570.92891483516"/>
    <n v="5655.3440934065702"/>
  </r>
  <r>
    <x v="0"/>
    <x v="0"/>
    <x v="0"/>
    <x v="2"/>
    <x v="6"/>
    <s v="NO3_A1"/>
    <x v="2"/>
    <s v="GHOB_WASTEHEAT"/>
    <x v="0"/>
    <x v="22"/>
    <n v="4.3039148351648198"/>
    <n v="1570.92891483516"/>
    <n v="5655.3440934065702"/>
  </r>
  <r>
    <x v="0"/>
    <x v="0"/>
    <x v="0"/>
    <x v="2"/>
    <x v="6"/>
    <s v="NO3_A1"/>
    <x v="2"/>
    <s v="GHOB_WASTEHEAT"/>
    <x v="0"/>
    <x v="23"/>
    <n v="3.9820097994673298"/>
    <n v="1453.4335768055801"/>
    <n v="5232.3608765000699"/>
  </r>
  <r>
    <x v="0"/>
    <x v="0"/>
    <x v="0"/>
    <x v="2"/>
    <x v="6"/>
    <s v="NO3_A2"/>
    <x v="9"/>
    <s v="GHOB_LNG"/>
    <x v="0"/>
    <x v="5"/>
    <n v="2.1421107983723302"/>
    <n v="781.87044140590001"/>
    <n v="2814.7335890612399"/>
  </r>
  <r>
    <x v="0"/>
    <x v="0"/>
    <x v="0"/>
    <x v="2"/>
    <x v="6"/>
    <s v="NO3_A2"/>
    <x v="9"/>
    <s v="GHOB_LNG"/>
    <x v="0"/>
    <x v="6"/>
    <n v="14.193250629888301"/>
    <n v="5180.5364799092304"/>
    <n v="18649.931327673199"/>
  </r>
  <r>
    <x v="0"/>
    <x v="0"/>
    <x v="0"/>
    <x v="2"/>
    <x v="6"/>
    <s v="NO3_A2"/>
    <x v="9"/>
    <s v="GHOB_LNG"/>
    <x v="0"/>
    <x v="7"/>
    <n v="24.207133780322099"/>
    <n v="8835.6038298175808"/>
    <n v="31808.173787343301"/>
  </r>
  <r>
    <x v="0"/>
    <x v="0"/>
    <x v="0"/>
    <x v="2"/>
    <x v="6"/>
    <s v="NO3_A2"/>
    <x v="9"/>
    <s v="GHOB_LNG"/>
    <x v="0"/>
    <x v="9"/>
    <n v="23.523545095934001"/>
    <n v="8586.0939600159109"/>
    <n v="30909.938256057299"/>
  </r>
  <r>
    <x v="0"/>
    <x v="0"/>
    <x v="0"/>
    <x v="2"/>
    <x v="6"/>
    <s v="NO3_A2"/>
    <x v="9"/>
    <s v="GHOB_LNG"/>
    <x v="0"/>
    <x v="12"/>
    <n v="9.1080963410900306"/>
    <n v="3324.4551644978601"/>
    <n v="11968.038592192301"/>
  </r>
  <r>
    <x v="0"/>
    <x v="0"/>
    <x v="0"/>
    <x v="2"/>
    <x v="6"/>
    <s v="NO3_A2"/>
    <x v="9"/>
    <s v="GHOB_LNG"/>
    <x v="0"/>
    <x v="15"/>
    <n v="2.9140565284697399"/>
    <n v="1063.63063289146"/>
    <n v="3829.07027840924"/>
  </r>
  <r>
    <x v="0"/>
    <x v="0"/>
    <x v="0"/>
    <x v="2"/>
    <x v="6"/>
    <s v="NO3_A2"/>
    <x v="9"/>
    <s v="GHOB_LPG"/>
    <x v="0"/>
    <x v="8"/>
    <n v="27.3081863090643"/>
    <n v="9967.4880028084608"/>
    <n v="35882.956810110503"/>
  </r>
  <r>
    <x v="0"/>
    <x v="0"/>
    <x v="0"/>
    <x v="2"/>
    <x v="6"/>
    <s v="NO3_A2"/>
    <x v="9"/>
    <s v="GHOB_LPG"/>
    <x v="0"/>
    <x v="10"/>
    <n v="17.7489151880986"/>
    <n v="6478.3540436559797"/>
    <n v="23322.074557161501"/>
  </r>
  <r>
    <x v="0"/>
    <x v="0"/>
    <x v="0"/>
    <x v="2"/>
    <x v="6"/>
    <s v="NO3_A2"/>
    <x v="9"/>
    <s v="GHOB_LPG"/>
    <x v="0"/>
    <x v="11"/>
    <n v="12.7994811175382"/>
    <n v="4671.8106079014597"/>
    <n v="16818.518188445199"/>
  </r>
  <r>
    <x v="0"/>
    <x v="0"/>
    <x v="0"/>
    <x v="2"/>
    <x v="6"/>
    <s v="NO3_A2"/>
    <x v="9"/>
    <s v="GHOB_LPG"/>
    <x v="0"/>
    <x v="13"/>
    <n v="6.8117372944601202"/>
    <n v="2486.2841124779402"/>
    <n v="8950.6228049205893"/>
  </r>
  <r>
    <x v="0"/>
    <x v="0"/>
    <x v="0"/>
    <x v="2"/>
    <x v="6"/>
    <s v="NO3_A2"/>
    <x v="9"/>
    <s v="GHOB_LPG"/>
    <x v="0"/>
    <x v="14"/>
    <n v="7.2347356827359901"/>
    <n v="2640.6785241986399"/>
    <n v="9506.4426871150899"/>
  </r>
  <r>
    <x v="0"/>
    <x v="0"/>
    <x v="0"/>
    <x v="2"/>
    <x v="6"/>
    <s v="NO3_A2"/>
    <x v="1"/>
    <s v="GHOB_MUNIWASTE"/>
    <x v="0"/>
    <x v="0"/>
    <n v="55.758390229051003"/>
    <n v="20351.812433603602"/>
    <n v="73266.524760973"/>
  </r>
  <r>
    <x v="0"/>
    <x v="0"/>
    <x v="0"/>
    <x v="2"/>
    <x v="6"/>
    <s v="NO3_A2"/>
    <x v="1"/>
    <s v="GHOB_MUNIWASTE"/>
    <x v="0"/>
    <x v="1"/>
    <n v="57.326144260498999"/>
    <n v="20924.042655082099"/>
    <n v="75326.553558295695"/>
  </r>
  <r>
    <x v="0"/>
    <x v="0"/>
    <x v="0"/>
    <x v="2"/>
    <x v="6"/>
    <s v="NO3_A2"/>
    <x v="1"/>
    <s v="GHOB_MUNIWASTE"/>
    <x v="0"/>
    <x v="2"/>
    <n v="58.916104521655001"/>
    <n v="21504.3781504041"/>
    <n v="77415.761341454607"/>
  </r>
  <r>
    <x v="0"/>
    <x v="0"/>
    <x v="0"/>
    <x v="2"/>
    <x v="6"/>
    <s v="NO3_A2"/>
    <x v="1"/>
    <s v="GHOB_MUNIWASTE"/>
    <x v="0"/>
    <x v="3"/>
    <n v="61.289544175030301"/>
    <n v="22370.683623886001"/>
    <n v="80534.461045989796"/>
  </r>
  <r>
    <x v="0"/>
    <x v="0"/>
    <x v="0"/>
    <x v="2"/>
    <x v="6"/>
    <s v="NO3_A2"/>
    <x v="1"/>
    <s v="GHOB_MUNIWASTE"/>
    <x v="0"/>
    <x v="4"/>
    <n v="65.676890361227905"/>
    <n v="23972.064981848202"/>
    <n v="86299.433934653498"/>
  </r>
  <r>
    <x v="0"/>
    <x v="0"/>
    <x v="0"/>
    <x v="2"/>
    <x v="6"/>
    <s v="NO3_A2"/>
    <x v="1"/>
    <s v="GHOB_MUNIWASTE"/>
    <x v="0"/>
    <x v="5"/>
    <n v="70"/>
    <n v="25550"/>
    <n v="91980"/>
  </r>
  <r>
    <x v="0"/>
    <x v="0"/>
    <x v="0"/>
    <x v="2"/>
    <x v="6"/>
    <s v="NO3_A2"/>
    <x v="1"/>
    <s v="GHOB_MUNIWASTE"/>
    <x v="0"/>
    <x v="6"/>
    <n v="70"/>
    <n v="25550"/>
    <n v="91980"/>
  </r>
  <r>
    <x v="0"/>
    <x v="0"/>
    <x v="0"/>
    <x v="2"/>
    <x v="6"/>
    <s v="NO3_A2"/>
    <x v="1"/>
    <s v="GHOB_MUNIWASTE"/>
    <x v="0"/>
    <x v="7"/>
    <n v="70"/>
    <n v="25550"/>
    <n v="91980"/>
  </r>
  <r>
    <x v="0"/>
    <x v="0"/>
    <x v="0"/>
    <x v="2"/>
    <x v="6"/>
    <s v="NO3_A2"/>
    <x v="1"/>
    <s v="GHOB_MUNIWASTE"/>
    <x v="0"/>
    <x v="8"/>
    <n v="70"/>
    <n v="25550"/>
    <n v="91980"/>
  </r>
  <r>
    <x v="0"/>
    <x v="0"/>
    <x v="0"/>
    <x v="2"/>
    <x v="6"/>
    <s v="NO3_A2"/>
    <x v="1"/>
    <s v="GHOB_MUNIWASTE"/>
    <x v="0"/>
    <x v="9"/>
    <n v="70"/>
    <n v="25550"/>
    <n v="91980"/>
  </r>
  <r>
    <x v="0"/>
    <x v="0"/>
    <x v="0"/>
    <x v="2"/>
    <x v="6"/>
    <s v="NO3_A2"/>
    <x v="1"/>
    <s v="GHOB_MUNIWASTE"/>
    <x v="0"/>
    <x v="10"/>
    <n v="70"/>
    <n v="25550"/>
    <n v="91980"/>
  </r>
  <r>
    <x v="0"/>
    <x v="0"/>
    <x v="0"/>
    <x v="2"/>
    <x v="6"/>
    <s v="NO3_A2"/>
    <x v="1"/>
    <s v="GHOB_MUNIWASTE"/>
    <x v="0"/>
    <x v="11"/>
    <n v="70"/>
    <n v="25550"/>
    <n v="91980"/>
  </r>
  <r>
    <x v="0"/>
    <x v="0"/>
    <x v="0"/>
    <x v="2"/>
    <x v="6"/>
    <s v="NO3_A2"/>
    <x v="1"/>
    <s v="GHOB_MUNIWASTE"/>
    <x v="0"/>
    <x v="12"/>
    <n v="70"/>
    <n v="25550"/>
    <n v="91980"/>
  </r>
  <r>
    <x v="0"/>
    <x v="0"/>
    <x v="0"/>
    <x v="2"/>
    <x v="6"/>
    <s v="NO3_A2"/>
    <x v="1"/>
    <s v="GHOB_MUNIWASTE"/>
    <x v="0"/>
    <x v="13"/>
    <n v="70"/>
    <n v="25550"/>
    <n v="91980"/>
  </r>
  <r>
    <x v="0"/>
    <x v="0"/>
    <x v="0"/>
    <x v="2"/>
    <x v="6"/>
    <s v="NO3_A2"/>
    <x v="1"/>
    <s v="GHOB_MUNIWASTE"/>
    <x v="0"/>
    <x v="14"/>
    <n v="70"/>
    <n v="25550"/>
    <n v="91980"/>
  </r>
  <r>
    <x v="0"/>
    <x v="0"/>
    <x v="0"/>
    <x v="2"/>
    <x v="6"/>
    <s v="NO3_A2"/>
    <x v="1"/>
    <s v="GHOB_MUNIWASTE"/>
    <x v="0"/>
    <x v="15"/>
    <n v="70"/>
    <n v="25550"/>
    <n v="91980"/>
  </r>
  <r>
    <x v="0"/>
    <x v="0"/>
    <x v="0"/>
    <x v="2"/>
    <x v="6"/>
    <s v="NO3_A2"/>
    <x v="1"/>
    <s v="GHOB_MUNIWASTE"/>
    <x v="0"/>
    <x v="16"/>
    <n v="68.798738376741596"/>
    <n v="25111.539507510701"/>
    <n v="90401.542227038401"/>
  </r>
  <r>
    <x v="0"/>
    <x v="0"/>
    <x v="0"/>
    <x v="2"/>
    <x v="6"/>
    <s v="NO3_A2"/>
    <x v="1"/>
    <s v="GHOB_MUNIWASTE"/>
    <x v="0"/>
    <x v="17"/>
    <n v="66.166241097810698"/>
    <n v="24150.6780007009"/>
    <n v="86942.440802523299"/>
  </r>
  <r>
    <x v="0"/>
    <x v="0"/>
    <x v="0"/>
    <x v="2"/>
    <x v="6"/>
    <s v="NO3_A2"/>
    <x v="1"/>
    <s v="GHOB_MUNIWASTE"/>
    <x v="0"/>
    <x v="18"/>
    <n v="63.769224727489402"/>
    <n v="23275.767025533602"/>
    <n v="83792.761291921095"/>
  </r>
  <r>
    <x v="0"/>
    <x v="0"/>
    <x v="0"/>
    <x v="2"/>
    <x v="6"/>
    <s v="NO3_A2"/>
    <x v="1"/>
    <s v="GHOB_MUNIWASTE"/>
    <x v="0"/>
    <x v="19"/>
    <n v="63.080067393954998"/>
    <n v="23024.2245987936"/>
    <n v="82887.208555656907"/>
  </r>
  <r>
    <x v="0"/>
    <x v="0"/>
    <x v="0"/>
    <x v="2"/>
    <x v="6"/>
    <s v="NO3_A2"/>
    <x v="1"/>
    <s v="GHOB_MUNIWASTE"/>
    <x v="0"/>
    <x v="20"/>
    <n v="61.066497330161802"/>
    <n v="22289.271525509099"/>
    <n v="80241.377491832594"/>
  </r>
  <r>
    <x v="0"/>
    <x v="0"/>
    <x v="0"/>
    <x v="2"/>
    <x v="6"/>
    <s v="NO3_A2"/>
    <x v="1"/>
    <s v="GHOB_MUNIWASTE"/>
    <x v="0"/>
    <x v="21"/>
    <n v="57.997888880887601"/>
    <n v="21169.229441523999"/>
    <n v="76209.225989486207"/>
  </r>
  <r>
    <x v="0"/>
    <x v="0"/>
    <x v="0"/>
    <x v="2"/>
    <x v="6"/>
    <s v="NO3_A2"/>
    <x v="1"/>
    <s v="GHOB_MUNIWASTE"/>
    <x v="0"/>
    <x v="22"/>
    <n v="54.639055912416097"/>
    <n v="19943.255408031899"/>
    <n v="71795.7194689147"/>
  </r>
  <r>
    <x v="0"/>
    <x v="0"/>
    <x v="0"/>
    <x v="2"/>
    <x v="6"/>
    <s v="NO3_A2"/>
    <x v="1"/>
    <s v="GHOB_MUNIWASTE"/>
    <x v="0"/>
    <x v="23"/>
    <n v="52.280128350662601"/>
    <n v="19082.246847991799"/>
    <n v="68696.088652770602"/>
  </r>
  <r>
    <x v="0"/>
    <x v="0"/>
    <x v="0"/>
    <x v="2"/>
    <x v="7"/>
    <s v="NO4_A1"/>
    <x v="9"/>
    <s v="GHOB_LNG"/>
    <x v="0"/>
    <x v="6"/>
    <n v="4.6851656460633997"/>
    <n v="1710.0854608131399"/>
    <n v="6156.3076589273096"/>
  </r>
  <r>
    <x v="0"/>
    <x v="0"/>
    <x v="0"/>
    <x v="2"/>
    <x v="7"/>
    <s v="NO4_A1"/>
    <x v="9"/>
    <s v="GHOB_LNG"/>
    <x v="0"/>
    <x v="7"/>
    <n v="8.70386834908963"/>
    <n v="3176.9119474177101"/>
    <n v="11436.883010703799"/>
  </r>
  <r>
    <x v="0"/>
    <x v="0"/>
    <x v="0"/>
    <x v="2"/>
    <x v="7"/>
    <s v="NO4_A1"/>
    <x v="9"/>
    <s v="GHOB_LNG"/>
    <x v="0"/>
    <x v="8"/>
    <n v="11.8851399291504"/>
    <n v="4338.0760741398999"/>
    <n v="15617.0738669036"/>
  </r>
  <r>
    <x v="0"/>
    <x v="0"/>
    <x v="0"/>
    <x v="2"/>
    <x v="7"/>
    <s v="NO4_A1"/>
    <x v="9"/>
    <s v="GHOB_LNG"/>
    <x v="0"/>
    <x v="9"/>
    <n v="10.192992563414601"/>
    <n v="3720.4422856463202"/>
    <n v="13393.592228326799"/>
  </r>
  <r>
    <x v="0"/>
    <x v="0"/>
    <x v="0"/>
    <x v="2"/>
    <x v="7"/>
    <s v="NO4_A1"/>
    <x v="9"/>
    <s v="GHOB_LNG"/>
    <x v="0"/>
    <x v="10"/>
    <n v="5.8755423048618196"/>
    <n v="2144.57294127456"/>
    <n v="7720.4625885884298"/>
  </r>
  <r>
    <x v="0"/>
    <x v="0"/>
    <x v="0"/>
    <x v="2"/>
    <x v="7"/>
    <s v="NO4_A1"/>
    <x v="9"/>
    <s v="GHOB_LNG"/>
    <x v="0"/>
    <x v="11"/>
    <n v="4.3828357285445598"/>
    <n v="1599.73504091876"/>
    <n v="5759.0461473075502"/>
  </r>
  <r>
    <x v="0"/>
    <x v="0"/>
    <x v="0"/>
    <x v="2"/>
    <x v="7"/>
    <s v="NO4_A1"/>
    <x v="9"/>
    <s v="GHOB_LNG"/>
    <x v="0"/>
    <x v="12"/>
    <n v="2.72707586937321"/>
    <n v="995.38269232122298"/>
    <n v="3583.3776923564001"/>
  </r>
  <r>
    <x v="0"/>
    <x v="0"/>
    <x v="0"/>
    <x v="2"/>
    <x v="7"/>
    <s v="NO4_A1"/>
    <x v="9"/>
    <s v="GHOB_LNG"/>
    <x v="0"/>
    <x v="13"/>
    <n v="1.9824277778464401"/>
    <n v="723.58613891395203"/>
    <n v="2604.9101000902301"/>
  </r>
  <r>
    <x v="0"/>
    <x v="0"/>
    <x v="0"/>
    <x v="2"/>
    <x v="7"/>
    <s v="NO4_A1"/>
    <x v="9"/>
    <s v="GHOB_LNG"/>
    <x v="0"/>
    <x v="14"/>
    <n v="3.5986698906345098"/>
    <n v="1313.5145100816001"/>
    <n v="4728.6522362937503"/>
  </r>
  <r>
    <x v="0"/>
    <x v="0"/>
    <x v="0"/>
    <x v="2"/>
    <x v="7"/>
    <s v="NO4_A1"/>
    <x v="9"/>
    <s v="GHOB_LNG"/>
    <x v="0"/>
    <x v="16"/>
    <n v="7.8742293627353299E-2"/>
    <n v="28.740937173984001"/>
    <n v="103.467373826342"/>
  </r>
  <r>
    <x v="0"/>
    <x v="0"/>
    <x v="0"/>
    <x v="2"/>
    <x v="7"/>
    <s v="NO4_A1"/>
    <x v="9"/>
    <s v="GHOB_LPG"/>
    <x v="0"/>
    <x v="5"/>
    <n v="1.42019085537559"/>
    <n v="518.36966221209195"/>
    <n v="1866.1307839635299"/>
  </r>
  <r>
    <x v="0"/>
    <x v="0"/>
    <x v="0"/>
    <x v="2"/>
    <x v="7"/>
    <s v="NO4_A1"/>
    <x v="9"/>
    <s v="GHOB_LPG"/>
    <x v="0"/>
    <x v="6"/>
    <n v="2.15"/>
    <n v="784.75"/>
    <n v="2825.1"/>
  </r>
  <r>
    <x v="0"/>
    <x v="0"/>
    <x v="0"/>
    <x v="2"/>
    <x v="7"/>
    <s v="NO4_A1"/>
    <x v="9"/>
    <s v="GHOB_LPG"/>
    <x v="0"/>
    <x v="7"/>
    <n v="2.15"/>
    <n v="784.75"/>
    <n v="2825.1"/>
  </r>
  <r>
    <x v="0"/>
    <x v="0"/>
    <x v="0"/>
    <x v="2"/>
    <x v="7"/>
    <s v="NO4_A1"/>
    <x v="9"/>
    <s v="GHOB_LPG"/>
    <x v="0"/>
    <x v="10"/>
    <n v="2.15"/>
    <n v="784.75"/>
    <n v="2825.1"/>
  </r>
  <r>
    <x v="0"/>
    <x v="0"/>
    <x v="0"/>
    <x v="2"/>
    <x v="7"/>
    <s v="NO4_A1"/>
    <x v="9"/>
    <s v="GHOB_LPG"/>
    <x v="0"/>
    <x v="11"/>
    <n v="2.15"/>
    <n v="784.75"/>
    <n v="2825.1"/>
  </r>
  <r>
    <x v="0"/>
    <x v="0"/>
    <x v="0"/>
    <x v="2"/>
    <x v="7"/>
    <s v="NO4_A1"/>
    <x v="9"/>
    <s v="GHOB_LPG"/>
    <x v="0"/>
    <x v="12"/>
    <n v="2.15"/>
    <n v="784.75"/>
    <n v="2825.1"/>
  </r>
  <r>
    <x v="0"/>
    <x v="0"/>
    <x v="0"/>
    <x v="2"/>
    <x v="7"/>
    <s v="NO4_A1"/>
    <x v="9"/>
    <s v="GHOB_LPG"/>
    <x v="0"/>
    <x v="13"/>
    <n v="2.15"/>
    <n v="784.75"/>
    <n v="2825.1"/>
  </r>
  <r>
    <x v="0"/>
    <x v="0"/>
    <x v="0"/>
    <x v="2"/>
    <x v="7"/>
    <s v="NO4_A1"/>
    <x v="9"/>
    <s v="GHOB_LPG"/>
    <x v="0"/>
    <x v="15"/>
    <n v="1.8386365045669999"/>
    <n v="671.10232416695601"/>
    <n v="2415.96836700104"/>
  </r>
  <r>
    <x v="0"/>
    <x v="0"/>
    <x v="0"/>
    <x v="2"/>
    <x v="7"/>
    <s v="NO4_A1"/>
    <x v="1"/>
    <s v="GBPR_MUNIWASTE"/>
    <x v="0"/>
    <x v="0"/>
    <n v="0.43896774193548399"/>
    <n v="160.22322580645201"/>
    <n v="576.80361290322605"/>
  </r>
  <r>
    <x v="0"/>
    <x v="0"/>
    <x v="0"/>
    <x v="2"/>
    <x v="7"/>
    <s v="NO4_A1"/>
    <x v="1"/>
    <s v="GBPR_MUNIWASTE"/>
    <x v="0"/>
    <x v="1"/>
    <n v="0.43896774193548399"/>
    <n v="160.22322580645201"/>
    <n v="576.80361290322605"/>
  </r>
  <r>
    <x v="0"/>
    <x v="0"/>
    <x v="0"/>
    <x v="2"/>
    <x v="7"/>
    <s v="NO4_A1"/>
    <x v="1"/>
    <s v="GBPR_MUNIWASTE"/>
    <x v="0"/>
    <x v="2"/>
    <n v="0.43896774193548399"/>
    <n v="160.22322580645201"/>
    <n v="576.80361290322605"/>
  </r>
  <r>
    <x v="0"/>
    <x v="0"/>
    <x v="0"/>
    <x v="2"/>
    <x v="7"/>
    <s v="NO4_A1"/>
    <x v="1"/>
    <s v="GBPR_MUNIWASTE"/>
    <x v="0"/>
    <x v="3"/>
    <n v="0.43896774193548399"/>
    <n v="160.22322580645201"/>
    <n v="576.80361290322605"/>
  </r>
  <r>
    <x v="0"/>
    <x v="0"/>
    <x v="0"/>
    <x v="2"/>
    <x v="7"/>
    <s v="NO4_A1"/>
    <x v="1"/>
    <s v="GBPR_MUNIWASTE"/>
    <x v="0"/>
    <x v="4"/>
    <n v="0.43896774193548399"/>
    <n v="160.22322580645201"/>
    <n v="576.80361290322605"/>
  </r>
  <r>
    <x v="0"/>
    <x v="0"/>
    <x v="0"/>
    <x v="2"/>
    <x v="7"/>
    <s v="NO4_A1"/>
    <x v="1"/>
    <s v="GBPR_MUNIWASTE"/>
    <x v="0"/>
    <x v="5"/>
    <n v="0.43896774193548399"/>
    <n v="160.22322580645201"/>
    <n v="576.80361290322605"/>
  </r>
  <r>
    <x v="0"/>
    <x v="0"/>
    <x v="0"/>
    <x v="2"/>
    <x v="7"/>
    <s v="NO4_A1"/>
    <x v="1"/>
    <s v="GBPR_MUNIWASTE"/>
    <x v="0"/>
    <x v="6"/>
    <n v="0.43896774193548399"/>
    <n v="160.22322580645201"/>
    <n v="576.80361290322605"/>
  </r>
  <r>
    <x v="0"/>
    <x v="0"/>
    <x v="0"/>
    <x v="2"/>
    <x v="7"/>
    <s v="NO4_A1"/>
    <x v="1"/>
    <s v="GBPR_MUNIWASTE"/>
    <x v="0"/>
    <x v="7"/>
    <n v="0.43896774193548399"/>
    <n v="160.22322580645201"/>
    <n v="576.80361290322605"/>
  </r>
  <r>
    <x v="0"/>
    <x v="0"/>
    <x v="0"/>
    <x v="2"/>
    <x v="7"/>
    <s v="NO4_A1"/>
    <x v="1"/>
    <s v="GBPR_MUNIWASTE"/>
    <x v="0"/>
    <x v="8"/>
    <n v="0.43896774193548399"/>
    <n v="160.22322580645201"/>
    <n v="576.80361290322605"/>
  </r>
  <r>
    <x v="0"/>
    <x v="0"/>
    <x v="0"/>
    <x v="2"/>
    <x v="7"/>
    <s v="NO4_A1"/>
    <x v="1"/>
    <s v="GBPR_MUNIWASTE"/>
    <x v="0"/>
    <x v="9"/>
    <n v="0.43896774193548399"/>
    <n v="160.22322580645201"/>
    <n v="576.80361290322605"/>
  </r>
  <r>
    <x v="0"/>
    <x v="0"/>
    <x v="0"/>
    <x v="2"/>
    <x v="7"/>
    <s v="NO4_A1"/>
    <x v="1"/>
    <s v="GBPR_MUNIWASTE"/>
    <x v="0"/>
    <x v="10"/>
    <n v="0.43896774193548399"/>
    <n v="160.22322580645201"/>
    <n v="576.80361290322605"/>
  </r>
  <r>
    <x v="0"/>
    <x v="0"/>
    <x v="0"/>
    <x v="2"/>
    <x v="7"/>
    <s v="NO4_A1"/>
    <x v="1"/>
    <s v="GBPR_MUNIWASTE"/>
    <x v="0"/>
    <x v="11"/>
    <n v="0.43896774193548399"/>
    <n v="160.22322580645201"/>
    <n v="576.80361290322605"/>
  </r>
  <r>
    <x v="0"/>
    <x v="0"/>
    <x v="0"/>
    <x v="2"/>
    <x v="7"/>
    <s v="NO4_A1"/>
    <x v="1"/>
    <s v="GBPR_MUNIWASTE"/>
    <x v="0"/>
    <x v="12"/>
    <n v="0.43896774193548399"/>
    <n v="160.22322580645201"/>
    <n v="576.80361290322605"/>
  </r>
  <r>
    <x v="0"/>
    <x v="0"/>
    <x v="0"/>
    <x v="2"/>
    <x v="7"/>
    <s v="NO4_A1"/>
    <x v="1"/>
    <s v="GBPR_MUNIWASTE"/>
    <x v="0"/>
    <x v="13"/>
    <n v="0.43896774193548399"/>
    <n v="160.22322580645201"/>
    <n v="576.80361290322605"/>
  </r>
  <r>
    <x v="0"/>
    <x v="0"/>
    <x v="0"/>
    <x v="2"/>
    <x v="7"/>
    <s v="NO4_A1"/>
    <x v="1"/>
    <s v="GBPR_MUNIWASTE"/>
    <x v="0"/>
    <x v="14"/>
    <n v="0.43896774193548399"/>
    <n v="160.22322580645201"/>
    <n v="576.80361290322605"/>
  </r>
  <r>
    <x v="0"/>
    <x v="0"/>
    <x v="0"/>
    <x v="2"/>
    <x v="7"/>
    <s v="NO4_A1"/>
    <x v="1"/>
    <s v="GBPR_MUNIWASTE"/>
    <x v="0"/>
    <x v="15"/>
    <n v="0.43896774193548399"/>
    <n v="160.22322580645201"/>
    <n v="576.80361290322605"/>
  </r>
  <r>
    <x v="0"/>
    <x v="0"/>
    <x v="0"/>
    <x v="2"/>
    <x v="7"/>
    <s v="NO4_A1"/>
    <x v="1"/>
    <s v="GBPR_MUNIWASTE"/>
    <x v="0"/>
    <x v="16"/>
    <n v="0.43896774193548399"/>
    <n v="160.22322580645201"/>
    <n v="576.80361290322605"/>
  </r>
  <r>
    <x v="0"/>
    <x v="0"/>
    <x v="0"/>
    <x v="2"/>
    <x v="7"/>
    <s v="NO4_A1"/>
    <x v="1"/>
    <s v="GBPR_MUNIWASTE"/>
    <x v="0"/>
    <x v="17"/>
    <n v="0.43896774193548399"/>
    <n v="160.22322580645201"/>
    <n v="576.80361290322605"/>
  </r>
  <r>
    <x v="0"/>
    <x v="0"/>
    <x v="0"/>
    <x v="2"/>
    <x v="7"/>
    <s v="NO4_A1"/>
    <x v="1"/>
    <s v="GBPR_MUNIWASTE"/>
    <x v="0"/>
    <x v="18"/>
    <n v="0.43896774193548399"/>
    <n v="160.22322580645201"/>
    <n v="576.80361290322605"/>
  </r>
  <r>
    <x v="0"/>
    <x v="0"/>
    <x v="0"/>
    <x v="2"/>
    <x v="7"/>
    <s v="NO4_A1"/>
    <x v="1"/>
    <s v="GBPR_MUNIWASTE"/>
    <x v="0"/>
    <x v="19"/>
    <n v="0.43896774193548399"/>
    <n v="160.22322580645201"/>
    <n v="576.80361290322605"/>
  </r>
  <r>
    <x v="0"/>
    <x v="0"/>
    <x v="0"/>
    <x v="2"/>
    <x v="7"/>
    <s v="NO4_A1"/>
    <x v="1"/>
    <s v="GBPR_MUNIWASTE"/>
    <x v="0"/>
    <x v="20"/>
    <n v="0.43896774193548399"/>
    <n v="160.22322580645201"/>
    <n v="576.80361290322605"/>
  </r>
  <r>
    <x v="0"/>
    <x v="0"/>
    <x v="0"/>
    <x v="2"/>
    <x v="7"/>
    <s v="NO4_A1"/>
    <x v="1"/>
    <s v="GBPR_MUNIWASTE"/>
    <x v="0"/>
    <x v="21"/>
    <n v="0.43896774193548399"/>
    <n v="160.22322580645201"/>
    <n v="576.80361290322605"/>
  </r>
  <r>
    <x v="0"/>
    <x v="0"/>
    <x v="0"/>
    <x v="2"/>
    <x v="7"/>
    <s v="NO4_A1"/>
    <x v="1"/>
    <s v="GBPR_MUNIWASTE"/>
    <x v="0"/>
    <x v="22"/>
    <n v="0.43896774193548399"/>
    <n v="160.22322580645201"/>
    <n v="576.80361290322605"/>
  </r>
  <r>
    <x v="0"/>
    <x v="0"/>
    <x v="0"/>
    <x v="2"/>
    <x v="7"/>
    <s v="NO4_A1"/>
    <x v="1"/>
    <s v="GBPR_MUNIWASTE"/>
    <x v="0"/>
    <x v="23"/>
    <n v="0.43896774193548399"/>
    <n v="160.22322580645201"/>
    <n v="576.80361290322605"/>
  </r>
  <r>
    <x v="0"/>
    <x v="0"/>
    <x v="0"/>
    <x v="2"/>
    <x v="7"/>
    <s v="NO4_A1"/>
    <x v="1"/>
    <s v="GHOB_MUNIWASTE"/>
    <x v="0"/>
    <x v="0"/>
    <n v="11.0567224756655"/>
    <n v="4035.7037036179099"/>
    <n v="14528.533333024499"/>
  </r>
  <r>
    <x v="0"/>
    <x v="0"/>
    <x v="0"/>
    <x v="2"/>
    <x v="7"/>
    <s v="NO4_A1"/>
    <x v="1"/>
    <s v="GHOB_MUNIWASTE"/>
    <x v="0"/>
    <x v="1"/>
    <n v="11.586880583038001"/>
    <n v="4229.2114128088897"/>
    <n v="15225.161086112001"/>
  </r>
  <r>
    <x v="0"/>
    <x v="0"/>
    <x v="0"/>
    <x v="2"/>
    <x v="7"/>
    <s v="NO4_A1"/>
    <x v="1"/>
    <s v="GHOB_MUNIWASTE"/>
    <x v="0"/>
    <x v="2"/>
    <n v="12.2952150698165"/>
    <n v="4487.7535004830397"/>
    <n v="16155.912601738901"/>
  </r>
  <r>
    <x v="0"/>
    <x v="0"/>
    <x v="0"/>
    <x v="2"/>
    <x v="7"/>
    <s v="NO4_A1"/>
    <x v="1"/>
    <s v="GHOB_MUNIWASTE"/>
    <x v="0"/>
    <x v="3"/>
    <n v="13.0587561952433"/>
    <n v="4766.4460112637898"/>
    <n v="17159.205640549699"/>
  </r>
  <r>
    <x v="0"/>
    <x v="0"/>
    <x v="0"/>
    <x v="2"/>
    <x v="7"/>
    <s v="NO4_A1"/>
    <x v="1"/>
    <s v="GHOB_MUNIWASTE"/>
    <x v="0"/>
    <x v="4"/>
    <n v="14.895455365372101"/>
    <n v="5436.84120836082"/>
    <n v="19572.628350098901"/>
  </r>
  <r>
    <x v="0"/>
    <x v="0"/>
    <x v="0"/>
    <x v="2"/>
    <x v="7"/>
    <s v="NO4_A1"/>
    <x v="1"/>
    <s v="GHOB_MUNIWASTE"/>
    <x v="0"/>
    <x v="5"/>
    <n v="16"/>
    <n v="5840"/>
    <n v="21024"/>
  </r>
  <r>
    <x v="0"/>
    <x v="0"/>
    <x v="0"/>
    <x v="2"/>
    <x v="7"/>
    <s v="NO4_A1"/>
    <x v="1"/>
    <s v="GHOB_MUNIWASTE"/>
    <x v="0"/>
    <x v="6"/>
    <n v="16"/>
    <n v="5840"/>
    <n v="21024"/>
  </r>
  <r>
    <x v="0"/>
    <x v="0"/>
    <x v="0"/>
    <x v="2"/>
    <x v="7"/>
    <s v="NO4_A1"/>
    <x v="1"/>
    <s v="GHOB_MUNIWASTE"/>
    <x v="0"/>
    <x v="7"/>
    <n v="16"/>
    <n v="5840"/>
    <n v="21024"/>
  </r>
  <r>
    <x v="0"/>
    <x v="0"/>
    <x v="0"/>
    <x v="2"/>
    <x v="7"/>
    <s v="NO4_A1"/>
    <x v="1"/>
    <s v="GHOB_MUNIWASTE"/>
    <x v="0"/>
    <x v="8"/>
    <n v="16"/>
    <n v="5840"/>
    <n v="21024"/>
  </r>
  <r>
    <x v="0"/>
    <x v="0"/>
    <x v="0"/>
    <x v="2"/>
    <x v="7"/>
    <s v="NO4_A1"/>
    <x v="1"/>
    <s v="GHOB_MUNIWASTE"/>
    <x v="0"/>
    <x v="9"/>
    <n v="16"/>
    <n v="5840"/>
    <n v="21024"/>
  </r>
  <r>
    <x v="0"/>
    <x v="0"/>
    <x v="0"/>
    <x v="2"/>
    <x v="7"/>
    <s v="NO4_A1"/>
    <x v="1"/>
    <s v="GHOB_MUNIWASTE"/>
    <x v="0"/>
    <x v="10"/>
    <n v="16"/>
    <n v="5840"/>
    <n v="21024"/>
  </r>
  <r>
    <x v="0"/>
    <x v="0"/>
    <x v="0"/>
    <x v="2"/>
    <x v="7"/>
    <s v="NO4_A1"/>
    <x v="1"/>
    <s v="GHOB_MUNIWASTE"/>
    <x v="0"/>
    <x v="11"/>
    <n v="16"/>
    <n v="5840"/>
    <n v="21024"/>
  </r>
  <r>
    <x v="0"/>
    <x v="0"/>
    <x v="0"/>
    <x v="2"/>
    <x v="7"/>
    <s v="NO4_A1"/>
    <x v="1"/>
    <s v="GHOB_MUNIWASTE"/>
    <x v="0"/>
    <x v="12"/>
    <n v="16"/>
    <n v="5840"/>
    <n v="21024"/>
  </r>
  <r>
    <x v="0"/>
    <x v="0"/>
    <x v="0"/>
    <x v="2"/>
    <x v="7"/>
    <s v="NO4_A1"/>
    <x v="1"/>
    <s v="GHOB_MUNIWASTE"/>
    <x v="0"/>
    <x v="13"/>
    <n v="16"/>
    <n v="5840"/>
    <n v="21024"/>
  </r>
  <r>
    <x v="0"/>
    <x v="0"/>
    <x v="0"/>
    <x v="2"/>
    <x v="7"/>
    <s v="NO4_A1"/>
    <x v="1"/>
    <s v="GHOB_MUNIWASTE"/>
    <x v="0"/>
    <x v="14"/>
    <n v="16"/>
    <n v="5840"/>
    <n v="21024"/>
  </r>
  <r>
    <x v="0"/>
    <x v="0"/>
    <x v="0"/>
    <x v="2"/>
    <x v="7"/>
    <s v="NO4_A1"/>
    <x v="1"/>
    <s v="GHOB_MUNIWASTE"/>
    <x v="0"/>
    <x v="15"/>
    <n v="16"/>
    <n v="5840"/>
    <n v="21024"/>
  </r>
  <r>
    <x v="0"/>
    <x v="0"/>
    <x v="0"/>
    <x v="2"/>
    <x v="7"/>
    <s v="NO4_A1"/>
    <x v="1"/>
    <s v="GHOB_MUNIWASTE"/>
    <x v="0"/>
    <x v="16"/>
    <n v="16"/>
    <n v="5840"/>
    <n v="21024"/>
  </r>
  <r>
    <x v="0"/>
    <x v="0"/>
    <x v="0"/>
    <x v="2"/>
    <x v="7"/>
    <s v="NO4_A1"/>
    <x v="1"/>
    <s v="GHOB_MUNIWASTE"/>
    <x v="0"/>
    <x v="17"/>
    <n v="15.172411725936399"/>
    <n v="5537.9302799668003"/>
    <n v="19936.549007880501"/>
  </r>
  <r>
    <x v="0"/>
    <x v="0"/>
    <x v="0"/>
    <x v="2"/>
    <x v="7"/>
    <s v="NO4_A1"/>
    <x v="1"/>
    <s v="GHOB_MUNIWASTE"/>
    <x v="0"/>
    <x v="18"/>
    <n v="14.816056863622499"/>
    <n v="5407.8607552222002"/>
    <n v="19468.298718799899"/>
  </r>
  <r>
    <x v="0"/>
    <x v="0"/>
    <x v="0"/>
    <x v="2"/>
    <x v="7"/>
    <s v="NO4_A1"/>
    <x v="1"/>
    <s v="GHOB_MUNIWASTE"/>
    <x v="0"/>
    <x v="19"/>
    <n v="14.863546256120101"/>
    <n v="5425.1943834838303"/>
    <n v="19530.6997805418"/>
  </r>
  <r>
    <x v="0"/>
    <x v="0"/>
    <x v="0"/>
    <x v="2"/>
    <x v="7"/>
    <s v="NO4_A1"/>
    <x v="1"/>
    <s v="GHOB_MUNIWASTE"/>
    <x v="0"/>
    <x v="20"/>
    <n v="14.3096189512799"/>
    <n v="5223.0109172171697"/>
    <n v="18802.8393019818"/>
  </r>
  <r>
    <x v="0"/>
    <x v="0"/>
    <x v="0"/>
    <x v="2"/>
    <x v="7"/>
    <s v="NO4_A1"/>
    <x v="1"/>
    <s v="GHOB_MUNIWASTE"/>
    <x v="0"/>
    <x v="21"/>
    <n v="13.506693849278401"/>
    <n v="4929.9432549866096"/>
    <n v="17747.795717951802"/>
  </r>
  <r>
    <x v="0"/>
    <x v="0"/>
    <x v="0"/>
    <x v="2"/>
    <x v="7"/>
    <s v="NO4_A1"/>
    <x v="1"/>
    <s v="GHOB_MUNIWASTE"/>
    <x v="0"/>
    <x v="22"/>
    <n v="12.3272788680418"/>
    <n v="4499.4567868352697"/>
    <n v="16198.044432606999"/>
  </r>
  <r>
    <x v="0"/>
    <x v="0"/>
    <x v="0"/>
    <x v="2"/>
    <x v="7"/>
    <s v="NO4_A1"/>
    <x v="1"/>
    <s v="GHOB_MUNIWASTE"/>
    <x v="0"/>
    <x v="23"/>
    <n v="12.134821676050899"/>
    <n v="4429.2099117585904"/>
    <n v="15945.1556823309"/>
  </r>
  <r>
    <x v="0"/>
    <x v="0"/>
    <x v="0"/>
    <x v="2"/>
    <x v="7"/>
    <s v="NO4_A1"/>
    <x v="2"/>
    <s v="GHOB_WASTEHEAT"/>
    <x v="0"/>
    <x v="0"/>
    <n v="10.0441849816849"/>
    <n v="3666.1275183150001"/>
    <n v="13198.059065934"/>
  </r>
  <r>
    <x v="0"/>
    <x v="0"/>
    <x v="0"/>
    <x v="2"/>
    <x v="7"/>
    <s v="NO4_A1"/>
    <x v="2"/>
    <s v="GHOB_WASTEHEAT"/>
    <x v="0"/>
    <x v="1"/>
    <n v="10.0441849816849"/>
    <n v="3666.1275183150001"/>
    <n v="13198.059065934"/>
  </r>
  <r>
    <x v="0"/>
    <x v="0"/>
    <x v="0"/>
    <x v="2"/>
    <x v="7"/>
    <s v="NO4_A1"/>
    <x v="2"/>
    <s v="GHOB_WASTEHEAT"/>
    <x v="0"/>
    <x v="2"/>
    <n v="10.0441849816849"/>
    <n v="3666.1275183150001"/>
    <n v="13198.059065934"/>
  </r>
  <r>
    <x v="0"/>
    <x v="0"/>
    <x v="0"/>
    <x v="2"/>
    <x v="7"/>
    <s v="NO4_A1"/>
    <x v="2"/>
    <s v="GHOB_WASTEHEAT"/>
    <x v="0"/>
    <x v="3"/>
    <n v="10.0441849816849"/>
    <n v="3666.1275183150001"/>
    <n v="13198.059065934"/>
  </r>
  <r>
    <x v="0"/>
    <x v="0"/>
    <x v="0"/>
    <x v="2"/>
    <x v="7"/>
    <s v="NO4_A1"/>
    <x v="2"/>
    <s v="GHOB_WASTEHEAT"/>
    <x v="0"/>
    <x v="4"/>
    <n v="10.0441849816849"/>
    <n v="3666.1275183150001"/>
    <n v="13198.059065934"/>
  </r>
  <r>
    <x v="0"/>
    <x v="0"/>
    <x v="0"/>
    <x v="2"/>
    <x v="7"/>
    <s v="NO4_A1"/>
    <x v="2"/>
    <s v="GHOB_WASTEHEAT"/>
    <x v="0"/>
    <x v="5"/>
    <n v="10.0441849816849"/>
    <n v="3666.1275183150001"/>
    <n v="13198.059065934"/>
  </r>
  <r>
    <x v="0"/>
    <x v="0"/>
    <x v="0"/>
    <x v="2"/>
    <x v="7"/>
    <s v="NO4_A1"/>
    <x v="2"/>
    <s v="GHOB_WASTEHEAT"/>
    <x v="0"/>
    <x v="6"/>
    <n v="10.0441849816849"/>
    <n v="3666.1275183150001"/>
    <n v="13198.059065934"/>
  </r>
  <r>
    <x v="0"/>
    <x v="0"/>
    <x v="0"/>
    <x v="2"/>
    <x v="7"/>
    <s v="NO4_A1"/>
    <x v="2"/>
    <s v="GHOB_WASTEHEAT"/>
    <x v="0"/>
    <x v="7"/>
    <n v="10.0441849816849"/>
    <n v="3666.1275183150001"/>
    <n v="13198.059065934"/>
  </r>
  <r>
    <x v="0"/>
    <x v="0"/>
    <x v="0"/>
    <x v="2"/>
    <x v="7"/>
    <s v="NO4_A1"/>
    <x v="2"/>
    <s v="GHOB_WASTEHEAT"/>
    <x v="0"/>
    <x v="8"/>
    <n v="10.0441849816849"/>
    <n v="3666.1275183150001"/>
    <n v="13198.059065934"/>
  </r>
  <r>
    <x v="0"/>
    <x v="0"/>
    <x v="0"/>
    <x v="2"/>
    <x v="7"/>
    <s v="NO4_A1"/>
    <x v="2"/>
    <s v="GHOB_WASTEHEAT"/>
    <x v="0"/>
    <x v="9"/>
    <n v="10.0441849816849"/>
    <n v="3666.1275183150001"/>
    <n v="13198.059065934"/>
  </r>
  <r>
    <x v="0"/>
    <x v="0"/>
    <x v="0"/>
    <x v="2"/>
    <x v="7"/>
    <s v="NO4_A1"/>
    <x v="2"/>
    <s v="GHOB_WASTEHEAT"/>
    <x v="0"/>
    <x v="10"/>
    <n v="10.0441849816849"/>
    <n v="3666.1275183150001"/>
    <n v="13198.059065934"/>
  </r>
  <r>
    <x v="0"/>
    <x v="0"/>
    <x v="0"/>
    <x v="2"/>
    <x v="7"/>
    <s v="NO4_A1"/>
    <x v="2"/>
    <s v="GHOB_WASTEHEAT"/>
    <x v="0"/>
    <x v="11"/>
    <n v="10.0441849816849"/>
    <n v="3666.1275183150001"/>
    <n v="13198.059065934"/>
  </r>
  <r>
    <x v="0"/>
    <x v="0"/>
    <x v="0"/>
    <x v="2"/>
    <x v="7"/>
    <s v="NO4_A1"/>
    <x v="2"/>
    <s v="GHOB_WASTEHEAT"/>
    <x v="0"/>
    <x v="12"/>
    <n v="10.0441849816849"/>
    <n v="3666.1275183150001"/>
    <n v="13198.059065934"/>
  </r>
  <r>
    <x v="0"/>
    <x v="0"/>
    <x v="0"/>
    <x v="2"/>
    <x v="7"/>
    <s v="NO4_A1"/>
    <x v="2"/>
    <s v="GHOB_WASTEHEAT"/>
    <x v="0"/>
    <x v="13"/>
    <n v="10.0441849816849"/>
    <n v="3666.1275183150001"/>
    <n v="13198.059065934"/>
  </r>
  <r>
    <x v="0"/>
    <x v="0"/>
    <x v="0"/>
    <x v="2"/>
    <x v="7"/>
    <s v="NO4_A1"/>
    <x v="2"/>
    <s v="GHOB_WASTEHEAT"/>
    <x v="0"/>
    <x v="14"/>
    <n v="10.0441849816849"/>
    <n v="3666.1275183150001"/>
    <n v="13198.059065934"/>
  </r>
  <r>
    <x v="0"/>
    <x v="0"/>
    <x v="0"/>
    <x v="2"/>
    <x v="7"/>
    <s v="NO4_A1"/>
    <x v="2"/>
    <s v="GHOB_WASTEHEAT"/>
    <x v="0"/>
    <x v="15"/>
    <n v="10.0441849816849"/>
    <n v="3666.1275183150001"/>
    <n v="13198.059065934"/>
  </r>
  <r>
    <x v="0"/>
    <x v="0"/>
    <x v="0"/>
    <x v="2"/>
    <x v="7"/>
    <s v="NO4_A1"/>
    <x v="2"/>
    <s v="GHOB_WASTEHEAT"/>
    <x v="0"/>
    <x v="16"/>
    <n v="10.0441849816849"/>
    <n v="3666.1275183150001"/>
    <n v="13198.059065934"/>
  </r>
  <r>
    <x v="0"/>
    <x v="0"/>
    <x v="0"/>
    <x v="2"/>
    <x v="7"/>
    <s v="NO4_A1"/>
    <x v="2"/>
    <s v="GHOB_WASTEHEAT"/>
    <x v="0"/>
    <x v="17"/>
    <n v="10.0441849816849"/>
    <n v="3666.1275183150001"/>
    <n v="13198.059065934"/>
  </r>
  <r>
    <x v="0"/>
    <x v="0"/>
    <x v="0"/>
    <x v="2"/>
    <x v="7"/>
    <s v="NO4_A1"/>
    <x v="2"/>
    <s v="GHOB_WASTEHEAT"/>
    <x v="0"/>
    <x v="18"/>
    <n v="10.0441849816849"/>
    <n v="3666.1275183150001"/>
    <n v="13198.059065934"/>
  </r>
  <r>
    <x v="0"/>
    <x v="0"/>
    <x v="0"/>
    <x v="2"/>
    <x v="7"/>
    <s v="NO4_A1"/>
    <x v="2"/>
    <s v="GHOB_WASTEHEAT"/>
    <x v="0"/>
    <x v="19"/>
    <n v="10.0441849816849"/>
    <n v="3666.1275183150001"/>
    <n v="13198.059065934"/>
  </r>
  <r>
    <x v="0"/>
    <x v="0"/>
    <x v="0"/>
    <x v="2"/>
    <x v="7"/>
    <s v="NO4_A1"/>
    <x v="2"/>
    <s v="GHOB_WASTEHEAT"/>
    <x v="0"/>
    <x v="20"/>
    <n v="10.0441849816849"/>
    <n v="3666.1275183150001"/>
    <n v="13198.059065934"/>
  </r>
  <r>
    <x v="0"/>
    <x v="0"/>
    <x v="0"/>
    <x v="2"/>
    <x v="7"/>
    <s v="NO4_A1"/>
    <x v="2"/>
    <s v="GHOB_WASTEHEAT"/>
    <x v="0"/>
    <x v="21"/>
    <n v="10.0441849816849"/>
    <n v="3666.1275183150001"/>
    <n v="13198.059065934"/>
  </r>
  <r>
    <x v="0"/>
    <x v="0"/>
    <x v="0"/>
    <x v="2"/>
    <x v="7"/>
    <s v="NO4_A1"/>
    <x v="2"/>
    <s v="GHOB_WASTEHEAT"/>
    <x v="0"/>
    <x v="22"/>
    <n v="10.0441849816849"/>
    <n v="3666.1275183150001"/>
    <n v="13198.059065934"/>
  </r>
  <r>
    <x v="0"/>
    <x v="0"/>
    <x v="0"/>
    <x v="2"/>
    <x v="7"/>
    <s v="NO4_A1"/>
    <x v="2"/>
    <s v="GHOB_WASTEHEAT"/>
    <x v="0"/>
    <x v="23"/>
    <n v="10.0441849816849"/>
    <n v="3666.1275183150001"/>
    <n v="13198.059065934"/>
  </r>
  <r>
    <x v="0"/>
    <x v="0"/>
    <x v="0"/>
    <x v="2"/>
    <x v="8"/>
    <s v="NO5_A1"/>
    <x v="9"/>
    <s v="GHOB_LPG"/>
    <x v="0"/>
    <x v="0"/>
    <n v="2.39505576842553"/>
    <n v="874.19535547531802"/>
    <n v="3147.1032797111402"/>
  </r>
  <r>
    <x v="0"/>
    <x v="0"/>
    <x v="0"/>
    <x v="2"/>
    <x v="8"/>
    <s v="NO5_A1"/>
    <x v="9"/>
    <s v="GHOB_LPG"/>
    <x v="0"/>
    <x v="1"/>
    <n v="3.0660686772794201"/>
    <n v="1119.11506720699"/>
    <n v="4028.8142419451601"/>
  </r>
  <r>
    <x v="0"/>
    <x v="0"/>
    <x v="0"/>
    <x v="2"/>
    <x v="8"/>
    <s v="NO5_A1"/>
    <x v="9"/>
    <s v="GHOB_LPG"/>
    <x v="0"/>
    <x v="2"/>
    <n v="3.5631117606621001"/>
    <n v="1300.53579264167"/>
    <n v="4681.9288535100004"/>
  </r>
  <r>
    <x v="0"/>
    <x v="0"/>
    <x v="0"/>
    <x v="2"/>
    <x v="8"/>
    <s v="NO5_A1"/>
    <x v="9"/>
    <s v="GHOB_LPG"/>
    <x v="0"/>
    <x v="3"/>
    <n v="4.61403186888794"/>
    <n v="1684.1216321441"/>
    <n v="6062.8378757187502"/>
  </r>
  <r>
    <x v="0"/>
    <x v="0"/>
    <x v="0"/>
    <x v="2"/>
    <x v="8"/>
    <s v="NO5_A1"/>
    <x v="9"/>
    <s v="GHOB_LPG"/>
    <x v="0"/>
    <x v="4"/>
    <n v="6.8338283953079797"/>
    <n v="2494.3473642874101"/>
    <n v="8979.6505114346892"/>
  </r>
  <r>
    <x v="0"/>
    <x v="0"/>
    <x v="0"/>
    <x v="2"/>
    <x v="8"/>
    <s v="NO5_A1"/>
    <x v="9"/>
    <s v="GHOB_LPG"/>
    <x v="0"/>
    <x v="5"/>
    <n v="10.350424910072601"/>
    <n v="3777.9050921765102"/>
    <n v="13600.4583318354"/>
  </r>
  <r>
    <x v="0"/>
    <x v="0"/>
    <x v="0"/>
    <x v="2"/>
    <x v="8"/>
    <s v="NO5_A1"/>
    <x v="9"/>
    <s v="GHOB_LPG"/>
    <x v="0"/>
    <x v="6"/>
    <n v="15.8694622168317"/>
    <n v="5792.3537091435701"/>
    <n v="20852.473352916801"/>
  </r>
  <r>
    <x v="0"/>
    <x v="0"/>
    <x v="0"/>
    <x v="2"/>
    <x v="8"/>
    <s v="NO5_A1"/>
    <x v="9"/>
    <s v="GHOB_LPG"/>
    <x v="0"/>
    <x v="7"/>
    <n v="20.030248585455599"/>
    <n v="7311.0407336913104"/>
    <n v="26319.746641288701"/>
  </r>
  <r>
    <x v="0"/>
    <x v="0"/>
    <x v="0"/>
    <x v="2"/>
    <x v="8"/>
    <s v="NO5_A1"/>
    <x v="9"/>
    <s v="GHOB_LPG"/>
    <x v="0"/>
    <x v="8"/>
    <n v="19.806765892110398"/>
    <n v="7229.4695506202797"/>
    <n v="26026.090382233"/>
  </r>
  <r>
    <x v="0"/>
    <x v="0"/>
    <x v="0"/>
    <x v="2"/>
    <x v="8"/>
    <s v="NO5_A1"/>
    <x v="9"/>
    <s v="GHOB_LPG"/>
    <x v="0"/>
    <x v="9"/>
    <n v="17.149767597008001"/>
    <n v="6259.6651729079404"/>
    <n v="22534.794622468598"/>
  </r>
  <r>
    <x v="0"/>
    <x v="0"/>
    <x v="0"/>
    <x v="2"/>
    <x v="8"/>
    <s v="NO5_A1"/>
    <x v="9"/>
    <s v="GHOB_LPG"/>
    <x v="0"/>
    <x v="10"/>
    <n v="13.5456296938771"/>
    <n v="4944.1548382651399"/>
    <n v="17798.9574177545"/>
  </r>
  <r>
    <x v="0"/>
    <x v="0"/>
    <x v="0"/>
    <x v="2"/>
    <x v="8"/>
    <s v="NO5_A1"/>
    <x v="9"/>
    <s v="GHOB_LPG"/>
    <x v="0"/>
    <x v="11"/>
    <n v="11.4883991074141"/>
    <n v="4193.2656742061299"/>
    <n v="15095.7564271421"/>
  </r>
  <r>
    <x v="0"/>
    <x v="0"/>
    <x v="0"/>
    <x v="2"/>
    <x v="8"/>
    <s v="NO5_A1"/>
    <x v="9"/>
    <s v="GHOB_LPG"/>
    <x v="0"/>
    <x v="12"/>
    <n v="10.1215851884924"/>
    <n v="3694.37859379971"/>
    <n v="13299.762937678999"/>
  </r>
  <r>
    <x v="0"/>
    <x v="0"/>
    <x v="0"/>
    <x v="2"/>
    <x v="8"/>
    <s v="NO5_A1"/>
    <x v="9"/>
    <s v="GHOB_LPG"/>
    <x v="0"/>
    <x v="13"/>
    <n v="9.3255808755692993"/>
    <n v="3403.8370195827902"/>
    <n v="12253.8132704981"/>
  </r>
  <r>
    <x v="0"/>
    <x v="0"/>
    <x v="0"/>
    <x v="2"/>
    <x v="8"/>
    <s v="NO5_A1"/>
    <x v="9"/>
    <s v="GHOB_LPG"/>
    <x v="0"/>
    <x v="14"/>
    <n v="8.6333236986176303"/>
    <n v="3151.1631499954301"/>
    <n v="11344.1873399836"/>
  </r>
  <r>
    <x v="0"/>
    <x v="0"/>
    <x v="0"/>
    <x v="2"/>
    <x v="8"/>
    <s v="NO5_A1"/>
    <x v="9"/>
    <s v="GHOB_LPG"/>
    <x v="0"/>
    <x v="15"/>
    <n v="7.6609967530882699"/>
    <n v="2796.2638148772198"/>
    <n v="10066.549733558"/>
  </r>
  <r>
    <x v="0"/>
    <x v="0"/>
    <x v="0"/>
    <x v="2"/>
    <x v="8"/>
    <s v="NO5_A1"/>
    <x v="9"/>
    <s v="GHOB_LPG"/>
    <x v="0"/>
    <x v="16"/>
    <n v="6.3782932258467104"/>
    <n v="2328.0770274340498"/>
    <n v="8381.0772987625805"/>
  </r>
  <r>
    <x v="0"/>
    <x v="0"/>
    <x v="0"/>
    <x v="2"/>
    <x v="8"/>
    <s v="NO5_A1"/>
    <x v="9"/>
    <s v="GHOB_LPG"/>
    <x v="0"/>
    <x v="17"/>
    <n v="6.1187280530448902"/>
    <n v="2233.3357393613901"/>
    <n v="8040.0086617009902"/>
  </r>
  <r>
    <x v="0"/>
    <x v="0"/>
    <x v="0"/>
    <x v="2"/>
    <x v="8"/>
    <s v="NO5_A1"/>
    <x v="9"/>
    <s v="GHOB_LPG"/>
    <x v="0"/>
    <x v="18"/>
    <n v="6.2823801689944503"/>
    <n v="2293.06876168297"/>
    <n v="8255.0475420587009"/>
  </r>
  <r>
    <x v="0"/>
    <x v="0"/>
    <x v="0"/>
    <x v="2"/>
    <x v="8"/>
    <s v="NO5_A1"/>
    <x v="9"/>
    <s v="GHOB_LPG"/>
    <x v="0"/>
    <x v="19"/>
    <n v="6.4052800790616704"/>
    <n v="2337.9272288575098"/>
    <n v="8416.5380238870293"/>
  </r>
  <r>
    <x v="0"/>
    <x v="0"/>
    <x v="0"/>
    <x v="2"/>
    <x v="8"/>
    <s v="NO5_A1"/>
    <x v="9"/>
    <s v="GHOB_LPG"/>
    <x v="0"/>
    <x v="20"/>
    <n v="5.5732206555963"/>
    <n v="2034.22553929265"/>
    <n v="7323.21194145354"/>
  </r>
  <r>
    <x v="0"/>
    <x v="0"/>
    <x v="0"/>
    <x v="2"/>
    <x v="8"/>
    <s v="NO5_A1"/>
    <x v="9"/>
    <s v="GHOB_LPG"/>
    <x v="0"/>
    <x v="21"/>
    <n v="4.1067211888077502"/>
    <n v="1498.95323391483"/>
    <n v="5396.2316420933903"/>
  </r>
  <r>
    <x v="0"/>
    <x v="0"/>
    <x v="0"/>
    <x v="2"/>
    <x v="8"/>
    <s v="NO5_A1"/>
    <x v="9"/>
    <s v="GHOB_LPG"/>
    <x v="0"/>
    <x v="22"/>
    <n v="2.3879990348256501"/>
    <n v="871.61964771136195"/>
    <n v="3137.8307317609001"/>
  </r>
  <r>
    <x v="0"/>
    <x v="0"/>
    <x v="0"/>
    <x v="2"/>
    <x v="8"/>
    <s v="NO5_A1"/>
    <x v="9"/>
    <s v="GHOB_LPG"/>
    <x v="0"/>
    <x v="23"/>
    <n v="0.28894282655203102"/>
    <n v="105.464131691491"/>
    <n v="379.67087408936902"/>
  </r>
  <r>
    <x v="0"/>
    <x v="0"/>
    <x v="0"/>
    <x v="2"/>
    <x v="8"/>
    <s v="NO5_A1"/>
    <x v="1"/>
    <s v="GBPR_MUNIWASTE"/>
    <x v="0"/>
    <x v="0"/>
    <n v="25.806451612903199"/>
    <n v="9419.3548387096798"/>
    <n v="33909.677419354797"/>
  </r>
  <r>
    <x v="0"/>
    <x v="0"/>
    <x v="0"/>
    <x v="2"/>
    <x v="8"/>
    <s v="NO5_A1"/>
    <x v="1"/>
    <s v="GBPR_MUNIWASTE"/>
    <x v="0"/>
    <x v="1"/>
    <n v="25.806451612903199"/>
    <n v="9419.3548387096798"/>
    <n v="33909.677419354797"/>
  </r>
  <r>
    <x v="0"/>
    <x v="0"/>
    <x v="0"/>
    <x v="2"/>
    <x v="8"/>
    <s v="NO5_A1"/>
    <x v="1"/>
    <s v="GBPR_MUNIWASTE"/>
    <x v="0"/>
    <x v="2"/>
    <n v="25.806451612903199"/>
    <n v="9419.3548387096798"/>
    <n v="33909.677419354797"/>
  </r>
  <r>
    <x v="0"/>
    <x v="0"/>
    <x v="0"/>
    <x v="2"/>
    <x v="8"/>
    <s v="NO5_A1"/>
    <x v="1"/>
    <s v="GBPR_MUNIWASTE"/>
    <x v="0"/>
    <x v="3"/>
    <n v="25.806451612903199"/>
    <n v="9419.3548387096798"/>
    <n v="33909.677419354797"/>
  </r>
  <r>
    <x v="0"/>
    <x v="0"/>
    <x v="0"/>
    <x v="2"/>
    <x v="8"/>
    <s v="NO5_A1"/>
    <x v="1"/>
    <s v="GBPR_MUNIWASTE"/>
    <x v="0"/>
    <x v="4"/>
    <n v="25.806451612903199"/>
    <n v="9419.3548387096798"/>
    <n v="33909.677419354797"/>
  </r>
  <r>
    <x v="0"/>
    <x v="0"/>
    <x v="0"/>
    <x v="2"/>
    <x v="8"/>
    <s v="NO5_A1"/>
    <x v="1"/>
    <s v="GBPR_MUNIWASTE"/>
    <x v="0"/>
    <x v="5"/>
    <n v="25.806451612903199"/>
    <n v="9419.3548387096798"/>
    <n v="33909.677419354797"/>
  </r>
  <r>
    <x v="0"/>
    <x v="0"/>
    <x v="0"/>
    <x v="2"/>
    <x v="8"/>
    <s v="NO5_A1"/>
    <x v="1"/>
    <s v="GBPR_MUNIWASTE"/>
    <x v="0"/>
    <x v="6"/>
    <n v="25.806451612903199"/>
    <n v="9419.3548387096798"/>
    <n v="33909.677419354797"/>
  </r>
  <r>
    <x v="0"/>
    <x v="0"/>
    <x v="0"/>
    <x v="2"/>
    <x v="8"/>
    <s v="NO5_A1"/>
    <x v="1"/>
    <s v="GBPR_MUNIWASTE"/>
    <x v="0"/>
    <x v="7"/>
    <n v="25.806451612903199"/>
    <n v="9419.3548387096798"/>
    <n v="33909.677419354797"/>
  </r>
  <r>
    <x v="0"/>
    <x v="0"/>
    <x v="0"/>
    <x v="2"/>
    <x v="8"/>
    <s v="NO5_A1"/>
    <x v="1"/>
    <s v="GBPR_MUNIWASTE"/>
    <x v="0"/>
    <x v="8"/>
    <n v="25.806451612903199"/>
    <n v="9419.3548387096798"/>
    <n v="33909.677419354797"/>
  </r>
  <r>
    <x v="0"/>
    <x v="0"/>
    <x v="0"/>
    <x v="2"/>
    <x v="8"/>
    <s v="NO5_A1"/>
    <x v="1"/>
    <s v="GBPR_MUNIWASTE"/>
    <x v="0"/>
    <x v="9"/>
    <n v="25.806451612903199"/>
    <n v="9419.3548387096798"/>
    <n v="33909.677419354797"/>
  </r>
  <r>
    <x v="0"/>
    <x v="0"/>
    <x v="0"/>
    <x v="2"/>
    <x v="8"/>
    <s v="NO5_A1"/>
    <x v="1"/>
    <s v="GBPR_MUNIWASTE"/>
    <x v="0"/>
    <x v="10"/>
    <n v="25.806451612903199"/>
    <n v="9419.3548387096798"/>
    <n v="33909.677419354797"/>
  </r>
  <r>
    <x v="0"/>
    <x v="0"/>
    <x v="0"/>
    <x v="2"/>
    <x v="8"/>
    <s v="NO5_A1"/>
    <x v="1"/>
    <s v="GBPR_MUNIWASTE"/>
    <x v="0"/>
    <x v="11"/>
    <n v="25.806451612903199"/>
    <n v="9419.3548387096798"/>
    <n v="33909.677419354797"/>
  </r>
  <r>
    <x v="0"/>
    <x v="0"/>
    <x v="0"/>
    <x v="2"/>
    <x v="8"/>
    <s v="NO5_A1"/>
    <x v="1"/>
    <s v="GBPR_MUNIWASTE"/>
    <x v="0"/>
    <x v="12"/>
    <n v="25.806451612903199"/>
    <n v="9419.3548387096798"/>
    <n v="33909.677419354797"/>
  </r>
  <r>
    <x v="0"/>
    <x v="0"/>
    <x v="0"/>
    <x v="2"/>
    <x v="8"/>
    <s v="NO5_A1"/>
    <x v="1"/>
    <s v="GBPR_MUNIWASTE"/>
    <x v="0"/>
    <x v="13"/>
    <n v="25.806451612903199"/>
    <n v="9419.3548387096798"/>
    <n v="33909.677419354797"/>
  </r>
  <r>
    <x v="0"/>
    <x v="0"/>
    <x v="0"/>
    <x v="2"/>
    <x v="8"/>
    <s v="NO5_A1"/>
    <x v="1"/>
    <s v="GBPR_MUNIWASTE"/>
    <x v="0"/>
    <x v="14"/>
    <n v="25.806451612903199"/>
    <n v="9419.3548387096798"/>
    <n v="33909.677419354797"/>
  </r>
  <r>
    <x v="0"/>
    <x v="0"/>
    <x v="0"/>
    <x v="2"/>
    <x v="8"/>
    <s v="NO5_A1"/>
    <x v="1"/>
    <s v="GBPR_MUNIWASTE"/>
    <x v="0"/>
    <x v="15"/>
    <n v="25.806451612903199"/>
    <n v="9419.3548387096798"/>
    <n v="33909.677419354797"/>
  </r>
  <r>
    <x v="0"/>
    <x v="0"/>
    <x v="0"/>
    <x v="2"/>
    <x v="8"/>
    <s v="NO5_A1"/>
    <x v="1"/>
    <s v="GBPR_MUNIWASTE"/>
    <x v="0"/>
    <x v="16"/>
    <n v="25.806451612903199"/>
    <n v="9419.3548387096798"/>
    <n v="33909.677419354797"/>
  </r>
  <r>
    <x v="0"/>
    <x v="0"/>
    <x v="0"/>
    <x v="2"/>
    <x v="8"/>
    <s v="NO5_A1"/>
    <x v="1"/>
    <s v="GBPR_MUNIWASTE"/>
    <x v="0"/>
    <x v="17"/>
    <n v="25.806451612903199"/>
    <n v="9419.3548387096798"/>
    <n v="33909.677419354797"/>
  </r>
  <r>
    <x v="0"/>
    <x v="0"/>
    <x v="0"/>
    <x v="2"/>
    <x v="8"/>
    <s v="NO5_A1"/>
    <x v="1"/>
    <s v="GBPR_MUNIWASTE"/>
    <x v="0"/>
    <x v="18"/>
    <n v="25.806451612903199"/>
    <n v="9419.3548387096798"/>
    <n v="33909.677419354797"/>
  </r>
  <r>
    <x v="0"/>
    <x v="0"/>
    <x v="0"/>
    <x v="2"/>
    <x v="8"/>
    <s v="NO5_A1"/>
    <x v="1"/>
    <s v="GBPR_MUNIWASTE"/>
    <x v="0"/>
    <x v="19"/>
    <n v="25.806451612903199"/>
    <n v="9419.3548387096798"/>
    <n v="33909.677419354797"/>
  </r>
  <r>
    <x v="0"/>
    <x v="0"/>
    <x v="0"/>
    <x v="2"/>
    <x v="8"/>
    <s v="NO5_A1"/>
    <x v="1"/>
    <s v="GBPR_MUNIWASTE"/>
    <x v="0"/>
    <x v="20"/>
    <n v="25.806451612903199"/>
    <n v="9419.3548387096798"/>
    <n v="33909.677419354797"/>
  </r>
  <r>
    <x v="0"/>
    <x v="0"/>
    <x v="0"/>
    <x v="2"/>
    <x v="8"/>
    <s v="NO5_A1"/>
    <x v="1"/>
    <s v="GBPR_MUNIWASTE"/>
    <x v="0"/>
    <x v="21"/>
    <n v="25.806451612903199"/>
    <n v="9419.3548387096798"/>
    <n v="33909.677419354797"/>
  </r>
  <r>
    <x v="0"/>
    <x v="0"/>
    <x v="0"/>
    <x v="2"/>
    <x v="8"/>
    <s v="NO5_A1"/>
    <x v="1"/>
    <s v="GBPR_MUNIWASTE"/>
    <x v="0"/>
    <x v="22"/>
    <n v="25.806451612903199"/>
    <n v="9419.3548387096798"/>
    <n v="33909.677419354797"/>
  </r>
  <r>
    <x v="0"/>
    <x v="0"/>
    <x v="0"/>
    <x v="2"/>
    <x v="8"/>
    <s v="NO5_A1"/>
    <x v="1"/>
    <s v="GBPR_MUNIWASTE"/>
    <x v="0"/>
    <x v="23"/>
    <n v="25.806451612903199"/>
    <n v="9419.3548387096798"/>
    <n v="33909.677419354797"/>
  </r>
  <r>
    <x v="0"/>
    <x v="0"/>
    <x v="0"/>
    <x v="3"/>
    <x v="9"/>
    <s v="SE1_EL"/>
    <x v="1"/>
    <s v="GBPR_MUNIWASTE"/>
    <x v="0"/>
    <x v="0"/>
    <n v="11.4810216370036"/>
    <n v="4190.5728975063303"/>
    <n v="15086.0624310228"/>
  </r>
  <r>
    <x v="0"/>
    <x v="0"/>
    <x v="0"/>
    <x v="3"/>
    <x v="9"/>
    <s v="SE1_EL"/>
    <x v="1"/>
    <s v="GBPR_MUNIWASTE"/>
    <x v="0"/>
    <x v="1"/>
    <n v="11.4810216370036"/>
    <n v="4190.5728975063303"/>
    <n v="15086.0624310228"/>
  </r>
  <r>
    <x v="0"/>
    <x v="0"/>
    <x v="0"/>
    <x v="3"/>
    <x v="9"/>
    <s v="SE1_EL"/>
    <x v="1"/>
    <s v="GBPR_MUNIWASTE"/>
    <x v="0"/>
    <x v="2"/>
    <n v="11.4810216370036"/>
    <n v="4190.5728975063303"/>
    <n v="15086.0624310228"/>
  </r>
  <r>
    <x v="0"/>
    <x v="0"/>
    <x v="0"/>
    <x v="3"/>
    <x v="9"/>
    <s v="SE1_EL"/>
    <x v="1"/>
    <s v="GBPR_MUNIWASTE"/>
    <x v="0"/>
    <x v="3"/>
    <n v="11.4810216370036"/>
    <n v="4190.5728975063303"/>
    <n v="15086.0624310228"/>
  </r>
  <r>
    <x v="0"/>
    <x v="0"/>
    <x v="0"/>
    <x v="3"/>
    <x v="9"/>
    <s v="SE1_EL"/>
    <x v="1"/>
    <s v="GBPR_MUNIWASTE"/>
    <x v="0"/>
    <x v="4"/>
    <n v="11.4810216370036"/>
    <n v="4190.5728975063303"/>
    <n v="15086.0624310228"/>
  </r>
  <r>
    <x v="0"/>
    <x v="0"/>
    <x v="0"/>
    <x v="3"/>
    <x v="9"/>
    <s v="SE1_EL"/>
    <x v="1"/>
    <s v="GBPR_MUNIWASTE"/>
    <x v="0"/>
    <x v="5"/>
    <n v="11.4810216370036"/>
    <n v="4190.5728975063303"/>
    <n v="15086.0624310228"/>
  </r>
  <r>
    <x v="0"/>
    <x v="0"/>
    <x v="0"/>
    <x v="3"/>
    <x v="9"/>
    <s v="SE1_EL"/>
    <x v="1"/>
    <s v="GBPR_MUNIWASTE"/>
    <x v="0"/>
    <x v="6"/>
    <n v="11.4810216370036"/>
    <n v="4190.5728975063303"/>
    <n v="15086.0624310228"/>
  </r>
  <r>
    <x v="0"/>
    <x v="0"/>
    <x v="0"/>
    <x v="3"/>
    <x v="9"/>
    <s v="SE1_EL"/>
    <x v="1"/>
    <s v="GBPR_MUNIWASTE"/>
    <x v="0"/>
    <x v="7"/>
    <n v="11.4810216370036"/>
    <n v="4190.5728975063303"/>
    <n v="15086.0624310228"/>
  </r>
  <r>
    <x v="0"/>
    <x v="0"/>
    <x v="0"/>
    <x v="3"/>
    <x v="9"/>
    <s v="SE1_EL"/>
    <x v="1"/>
    <s v="GBPR_MUNIWASTE"/>
    <x v="0"/>
    <x v="8"/>
    <n v="11.4810216370036"/>
    <n v="4190.5728975063303"/>
    <n v="15086.0624310228"/>
  </r>
  <r>
    <x v="0"/>
    <x v="0"/>
    <x v="0"/>
    <x v="3"/>
    <x v="9"/>
    <s v="SE1_EL"/>
    <x v="1"/>
    <s v="GBPR_MUNIWASTE"/>
    <x v="0"/>
    <x v="9"/>
    <n v="11.4810216370036"/>
    <n v="4190.5728975063303"/>
    <n v="15086.0624310228"/>
  </r>
  <r>
    <x v="0"/>
    <x v="0"/>
    <x v="0"/>
    <x v="3"/>
    <x v="9"/>
    <s v="SE1_EL"/>
    <x v="1"/>
    <s v="GBPR_MUNIWASTE"/>
    <x v="0"/>
    <x v="10"/>
    <n v="11.4810216370036"/>
    <n v="4190.5728975063303"/>
    <n v="15086.0624310228"/>
  </r>
  <r>
    <x v="0"/>
    <x v="0"/>
    <x v="0"/>
    <x v="3"/>
    <x v="9"/>
    <s v="SE1_EL"/>
    <x v="1"/>
    <s v="GBPR_MUNIWASTE"/>
    <x v="0"/>
    <x v="11"/>
    <n v="11.4810216370036"/>
    <n v="4190.5728975063303"/>
    <n v="15086.0624310228"/>
  </r>
  <r>
    <x v="0"/>
    <x v="0"/>
    <x v="0"/>
    <x v="3"/>
    <x v="9"/>
    <s v="SE1_EL"/>
    <x v="1"/>
    <s v="GBPR_MUNIWASTE"/>
    <x v="0"/>
    <x v="12"/>
    <n v="11.4810216370036"/>
    <n v="4190.5728975063303"/>
    <n v="15086.0624310228"/>
  </r>
  <r>
    <x v="0"/>
    <x v="0"/>
    <x v="0"/>
    <x v="3"/>
    <x v="9"/>
    <s v="SE1_EL"/>
    <x v="1"/>
    <s v="GBPR_MUNIWASTE"/>
    <x v="0"/>
    <x v="13"/>
    <n v="11.4810216370036"/>
    <n v="4190.5728975063303"/>
    <n v="15086.0624310228"/>
  </r>
  <r>
    <x v="0"/>
    <x v="0"/>
    <x v="0"/>
    <x v="3"/>
    <x v="9"/>
    <s v="SE1_EL"/>
    <x v="1"/>
    <s v="GBPR_MUNIWASTE"/>
    <x v="0"/>
    <x v="14"/>
    <n v="11.4810216370036"/>
    <n v="4190.5728975063303"/>
    <n v="15086.0624310228"/>
  </r>
  <r>
    <x v="0"/>
    <x v="0"/>
    <x v="0"/>
    <x v="3"/>
    <x v="9"/>
    <s v="SE1_EL"/>
    <x v="1"/>
    <s v="GBPR_MUNIWASTE"/>
    <x v="0"/>
    <x v="15"/>
    <n v="11.4810216370036"/>
    <n v="4190.5728975063303"/>
    <n v="15086.0624310228"/>
  </r>
  <r>
    <x v="0"/>
    <x v="0"/>
    <x v="0"/>
    <x v="3"/>
    <x v="9"/>
    <s v="SE1_EL"/>
    <x v="1"/>
    <s v="GBPR_MUNIWASTE"/>
    <x v="0"/>
    <x v="16"/>
    <n v="11.4810216370036"/>
    <n v="4190.5728975063303"/>
    <n v="15086.0624310228"/>
  </r>
  <r>
    <x v="0"/>
    <x v="0"/>
    <x v="0"/>
    <x v="3"/>
    <x v="9"/>
    <s v="SE1_EL"/>
    <x v="1"/>
    <s v="GBPR_MUNIWASTE"/>
    <x v="0"/>
    <x v="17"/>
    <n v="11.4810216370036"/>
    <n v="4190.5728975063303"/>
    <n v="15086.0624310228"/>
  </r>
  <r>
    <x v="0"/>
    <x v="0"/>
    <x v="0"/>
    <x v="3"/>
    <x v="9"/>
    <s v="SE1_EL"/>
    <x v="1"/>
    <s v="GBPR_MUNIWASTE"/>
    <x v="0"/>
    <x v="18"/>
    <n v="11.4810216370036"/>
    <n v="4190.5728975063303"/>
    <n v="15086.0624310228"/>
  </r>
  <r>
    <x v="0"/>
    <x v="0"/>
    <x v="0"/>
    <x v="3"/>
    <x v="9"/>
    <s v="SE1_EL"/>
    <x v="1"/>
    <s v="GBPR_MUNIWASTE"/>
    <x v="0"/>
    <x v="19"/>
    <n v="11.4810216370036"/>
    <n v="4190.5728975063303"/>
    <n v="15086.0624310228"/>
  </r>
  <r>
    <x v="0"/>
    <x v="0"/>
    <x v="0"/>
    <x v="3"/>
    <x v="9"/>
    <s v="SE1_EL"/>
    <x v="1"/>
    <s v="GBPR_MUNIWASTE"/>
    <x v="0"/>
    <x v="20"/>
    <n v="11.4810216370036"/>
    <n v="4190.5728975063303"/>
    <n v="15086.0624310228"/>
  </r>
  <r>
    <x v="0"/>
    <x v="0"/>
    <x v="0"/>
    <x v="3"/>
    <x v="9"/>
    <s v="SE1_EL"/>
    <x v="1"/>
    <s v="GBPR_MUNIWASTE"/>
    <x v="0"/>
    <x v="21"/>
    <n v="11.4810216370036"/>
    <n v="4190.5728975063303"/>
    <n v="15086.0624310228"/>
  </r>
  <r>
    <x v="0"/>
    <x v="0"/>
    <x v="0"/>
    <x v="3"/>
    <x v="9"/>
    <s v="SE1_EL"/>
    <x v="1"/>
    <s v="GBPR_MUNIWASTE"/>
    <x v="0"/>
    <x v="22"/>
    <n v="11.4810216370036"/>
    <n v="4190.5728975063303"/>
    <n v="15086.0624310228"/>
  </r>
  <r>
    <x v="0"/>
    <x v="0"/>
    <x v="0"/>
    <x v="3"/>
    <x v="9"/>
    <s v="SE1_EL"/>
    <x v="1"/>
    <s v="GBPR_MUNIWASTE"/>
    <x v="0"/>
    <x v="23"/>
    <n v="11.4810216370036"/>
    <n v="4190.5728975063303"/>
    <n v="15086.0624310228"/>
  </r>
  <r>
    <x v="0"/>
    <x v="0"/>
    <x v="0"/>
    <x v="3"/>
    <x v="9"/>
    <s v="SE1_EL"/>
    <x v="2"/>
    <s v="GHOB_WASTEHEAT"/>
    <x v="0"/>
    <x v="0"/>
    <n v="100.25020584736301"/>
    <n v="36591.325134287603"/>
    <n v="131728.77048343499"/>
  </r>
  <r>
    <x v="0"/>
    <x v="0"/>
    <x v="0"/>
    <x v="3"/>
    <x v="9"/>
    <s v="SE1_EL"/>
    <x v="2"/>
    <s v="GHOB_WASTEHEAT"/>
    <x v="0"/>
    <x v="1"/>
    <n v="101.44481893552501"/>
    <n v="37027.358911466603"/>
    <n v="133298.49208128001"/>
  </r>
  <r>
    <x v="0"/>
    <x v="0"/>
    <x v="0"/>
    <x v="3"/>
    <x v="9"/>
    <s v="SE1_EL"/>
    <x v="2"/>
    <s v="GHOB_WASTEHEAT"/>
    <x v="0"/>
    <x v="2"/>
    <n v="105.06295152846501"/>
    <n v="38347.977307889603"/>
    <n v="138052.71830840301"/>
  </r>
  <r>
    <x v="0"/>
    <x v="0"/>
    <x v="0"/>
    <x v="3"/>
    <x v="9"/>
    <s v="SE1_EL"/>
    <x v="2"/>
    <s v="GHOB_WASTEHEAT"/>
    <x v="0"/>
    <x v="3"/>
    <n v="110.098957399139"/>
    <n v="40186.119450685699"/>
    <n v="144670.030022469"/>
  </r>
  <r>
    <x v="0"/>
    <x v="0"/>
    <x v="0"/>
    <x v="3"/>
    <x v="9"/>
    <s v="SE1_EL"/>
    <x v="2"/>
    <s v="GHOB_WASTEHEAT"/>
    <x v="0"/>
    <x v="4"/>
    <n v="117.343718435512"/>
    <n v="42830.457228961801"/>
    <n v="154189.646024263"/>
  </r>
  <r>
    <x v="0"/>
    <x v="0"/>
    <x v="0"/>
    <x v="3"/>
    <x v="9"/>
    <s v="SE1_EL"/>
    <x v="2"/>
    <s v="GHOB_WASTEHEAT"/>
    <x v="0"/>
    <x v="5"/>
    <n v="126.911487603906"/>
    <n v="46322.692975425802"/>
    <n v="166761.694711533"/>
  </r>
  <r>
    <x v="0"/>
    <x v="0"/>
    <x v="0"/>
    <x v="3"/>
    <x v="9"/>
    <s v="SE1_EL"/>
    <x v="2"/>
    <s v="GHOB_WASTEHEAT"/>
    <x v="0"/>
    <x v="6"/>
    <n v="151.00726135353401"/>
    <n v="55117.650394039898"/>
    <n v="198423.54141854399"/>
  </r>
  <r>
    <x v="0"/>
    <x v="0"/>
    <x v="0"/>
    <x v="3"/>
    <x v="9"/>
    <s v="SE1_EL"/>
    <x v="2"/>
    <s v="GHOB_WASTEHEAT"/>
    <x v="0"/>
    <x v="7"/>
    <n v="157.873482218579"/>
    <n v="57623.821009781299"/>
    <n v="207445.75563521299"/>
  </r>
  <r>
    <x v="0"/>
    <x v="0"/>
    <x v="0"/>
    <x v="3"/>
    <x v="9"/>
    <s v="SE1_EL"/>
    <x v="2"/>
    <s v="GHOB_WASTEHEAT"/>
    <x v="0"/>
    <x v="8"/>
    <n v="151.40844023854501"/>
    <n v="55264.080687068898"/>
    <n v="198950.69047344799"/>
  </r>
  <r>
    <x v="0"/>
    <x v="0"/>
    <x v="0"/>
    <x v="3"/>
    <x v="9"/>
    <s v="SE1_EL"/>
    <x v="2"/>
    <s v="GHOB_WASTEHEAT"/>
    <x v="0"/>
    <x v="9"/>
    <n v="144.35092598490399"/>
    <n v="52688.087984489997"/>
    <n v="189677.116744164"/>
  </r>
  <r>
    <x v="0"/>
    <x v="0"/>
    <x v="0"/>
    <x v="3"/>
    <x v="9"/>
    <s v="SE1_EL"/>
    <x v="2"/>
    <s v="GHOB_WASTEHEAT"/>
    <x v="0"/>
    <x v="10"/>
    <n v="140.363018538353"/>
    <n v="51232.501766498899"/>
    <n v="184437.00635939601"/>
  </r>
  <r>
    <x v="0"/>
    <x v="0"/>
    <x v="0"/>
    <x v="3"/>
    <x v="9"/>
    <s v="SE1_EL"/>
    <x v="2"/>
    <s v="GHOB_WASTEHEAT"/>
    <x v="0"/>
    <x v="11"/>
    <n v="139.10678081310499"/>
    <n v="50773.9749967834"/>
    <n v="182786.30998841999"/>
  </r>
  <r>
    <x v="0"/>
    <x v="0"/>
    <x v="0"/>
    <x v="3"/>
    <x v="9"/>
    <s v="SE1_EL"/>
    <x v="2"/>
    <s v="GHOB_WASTEHEAT"/>
    <x v="0"/>
    <x v="12"/>
    <n v="134.52461769157199"/>
    <n v="49101.4854574239"/>
    <n v="176765.347646726"/>
  </r>
  <r>
    <x v="0"/>
    <x v="0"/>
    <x v="0"/>
    <x v="3"/>
    <x v="9"/>
    <s v="SE1_EL"/>
    <x v="2"/>
    <s v="GHOB_WASTEHEAT"/>
    <x v="0"/>
    <x v="13"/>
    <n v="132.22513218090299"/>
    <n v="48262.173246029502"/>
    <n v="173743.82368570601"/>
  </r>
  <r>
    <x v="0"/>
    <x v="0"/>
    <x v="0"/>
    <x v="3"/>
    <x v="9"/>
    <s v="SE1_EL"/>
    <x v="2"/>
    <s v="GHOB_WASTEHEAT"/>
    <x v="0"/>
    <x v="14"/>
    <n v="130.34295992950501"/>
    <n v="47575.180374269403"/>
    <n v="171270.64934737"/>
  </r>
  <r>
    <x v="0"/>
    <x v="0"/>
    <x v="0"/>
    <x v="3"/>
    <x v="9"/>
    <s v="SE1_EL"/>
    <x v="2"/>
    <s v="GHOB_WASTEHEAT"/>
    <x v="0"/>
    <x v="15"/>
    <n v="127.074049656028"/>
    <n v="46382.028124450197"/>
    <n v="166975.30124802099"/>
  </r>
  <r>
    <x v="0"/>
    <x v="0"/>
    <x v="0"/>
    <x v="3"/>
    <x v="9"/>
    <s v="SE1_EL"/>
    <x v="2"/>
    <s v="GHOB_WASTEHEAT"/>
    <x v="0"/>
    <x v="16"/>
    <n v="123.960130114476"/>
    <n v="45245.4474917837"/>
    <n v="162883.610970421"/>
  </r>
  <r>
    <x v="0"/>
    <x v="0"/>
    <x v="0"/>
    <x v="3"/>
    <x v="9"/>
    <s v="SE1_EL"/>
    <x v="2"/>
    <s v="GHOB_WASTEHEAT"/>
    <x v="0"/>
    <x v="17"/>
    <n v="119.213693663038"/>
    <n v="43512.998187008801"/>
    <n v="156646.79347323201"/>
  </r>
  <r>
    <x v="0"/>
    <x v="0"/>
    <x v="0"/>
    <x v="3"/>
    <x v="9"/>
    <s v="SE1_EL"/>
    <x v="2"/>
    <s v="GHOB_WASTEHEAT"/>
    <x v="0"/>
    <x v="18"/>
    <n v="117.77892623993699"/>
    <n v="42989.308077577101"/>
    <n v="154761.50907927801"/>
  </r>
  <r>
    <x v="0"/>
    <x v="0"/>
    <x v="0"/>
    <x v="3"/>
    <x v="9"/>
    <s v="SE1_EL"/>
    <x v="2"/>
    <s v="GHOB_WASTEHEAT"/>
    <x v="0"/>
    <x v="19"/>
    <n v="118.640053055509"/>
    <n v="43303.619365260703"/>
    <n v="155893.02971493799"/>
  </r>
  <r>
    <x v="0"/>
    <x v="0"/>
    <x v="0"/>
    <x v="3"/>
    <x v="9"/>
    <s v="SE1_EL"/>
    <x v="2"/>
    <s v="GHOB_WASTEHEAT"/>
    <x v="0"/>
    <x v="20"/>
    <n v="116.54895594643401"/>
    <n v="42540.3689204486"/>
    <n v="153145.32811361499"/>
  </r>
  <r>
    <x v="0"/>
    <x v="0"/>
    <x v="0"/>
    <x v="3"/>
    <x v="9"/>
    <s v="SE1_EL"/>
    <x v="2"/>
    <s v="GHOB_WASTEHEAT"/>
    <x v="0"/>
    <x v="21"/>
    <n v="114.550826370488"/>
    <n v="41811.051625228101"/>
    <n v="150519.785850821"/>
  </r>
  <r>
    <x v="0"/>
    <x v="0"/>
    <x v="0"/>
    <x v="3"/>
    <x v="9"/>
    <s v="SE1_EL"/>
    <x v="2"/>
    <s v="GHOB_WASTEHEAT"/>
    <x v="0"/>
    <x v="22"/>
    <n v="109.641483466502"/>
    <n v="40019.141465273198"/>
    <n v="144068.90927498401"/>
  </r>
  <r>
    <x v="0"/>
    <x v="0"/>
    <x v="0"/>
    <x v="3"/>
    <x v="9"/>
    <s v="SE1_EL"/>
    <x v="2"/>
    <s v="GHOB_WASTEHEAT"/>
    <x v="0"/>
    <x v="23"/>
    <n v="100.850411719768"/>
    <n v="36810.400277715198"/>
    <n v="132517.44099977499"/>
  </r>
  <r>
    <x v="0"/>
    <x v="0"/>
    <x v="0"/>
    <x v="3"/>
    <x v="9"/>
    <s v="SE1_OTHER"/>
    <x v="10"/>
    <s v="GBPR_PEAT_38"/>
    <x v="0"/>
    <x v="4"/>
    <n v="4.3334135025766001"/>
    <n v="1581.69592844046"/>
    <n v="5694.1053423856602"/>
  </r>
  <r>
    <x v="0"/>
    <x v="0"/>
    <x v="0"/>
    <x v="3"/>
    <x v="9"/>
    <s v="SE1_OTHER"/>
    <x v="10"/>
    <s v="GBPR_PEAT_38"/>
    <x v="0"/>
    <x v="5"/>
    <n v="14.437337478616699"/>
    <n v="5269.6281796950898"/>
    <n v="18970.661446902301"/>
  </r>
  <r>
    <x v="0"/>
    <x v="0"/>
    <x v="0"/>
    <x v="3"/>
    <x v="9"/>
    <s v="SE1_OTHER"/>
    <x v="10"/>
    <s v="GBPR_PEAT_38"/>
    <x v="0"/>
    <x v="6"/>
    <n v="14.437337478616699"/>
    <n v="5269.6281796950898"/>
    <n v="18970.661446902301"/>
  </r>
  <r>
    <x v="0"/>
    <x v="0"/>
    <x v="0"/>
    <x v="3"/>
    <x v="9"/>
    <s v="SE1_OTHER"/>
    <x v="10"/>
    <s v="GBPR_PEAT_38"/>
    <x v="0"/>
    <x v="7"/>
    <n v="14.437337478616699"/>
    <n v="5269.6281796950898"/>
    <n v="18970.661446902301"/>
  </r>
  <r>
    <x v="0"/>
    <x v="0"/>
    <x v="0"/>
    <x v="3"/>
    <x v="9"/>
    <s v="SE1_OTHER"/>
    <x v="10"/>
    <s v="GBPR_PEAT_38"/>
    <x v="0"/>
    <x v="8"/>
    <n v="14.437337478616699"/>
    <n v="5269.6281796950898"/>
    <n v="18970.661446902301"/>
  </r>
  <r>
    <x v="0"/>
    <x v="0"/>
    <x v="0"/>
    <x v="3"/>
    <x v="9"/>
    <s v="SE1_OTHER"/>
    <x v="10"/>
    <s v="GBPR_PEAT_38"/>
    <x v="0"/>
    <x v="9"/>
    <n v="14.437337478616699"/>
    <n v="5269.6281796950898"/>
    <n v="18970.661446902301"/>
  </r>
  <r>
    <x v="0"/>
    <x v="0"/>
    <x v="0"/>
    <x v="3"/>
    <x v="9"/>
    <s v="SE1_OTHER"/>
    <x v="10"/>
    <s v="GBPR_PEAT_38"/>
    <x v="0"/>
    <x v="10"/>
    <n v="14.437337478616699"/>
    <n v="5269.6281796950898"/>
    <n v="18970.661446902301"/>
  </r>
  <r>
    <x v="0"/>
    <x v="0"/>
    <x v="0"/>
    <x v="3"/>
    <x v="9"/>
    <s v="SE1_OTHER"/>
    <x v="10"/>
    <s v="GBPR_PEAT_38"/>
    <x v="0"/>
    <x v="11"/>
    <n v="14.437337478616699"/>
    <n v="5269.6281796950898"/>
    <n v="18970.661446902301"/>
  </r>
  <r>
    <x v="0"/>
    <x v="0"/>
    <x v="0"/>
    <x v="3"/>
    <x v="9"/>
    <s v="SE1_OTHER"/>
    <x v="10"/>
    <s v="GBPR_PEAT_38"/>
    <x v="0"/>
    <x v="12"/>
    <n v="14.437337478616699"/>
    <n v="5269.6281796950898"/>
    <n v="18970.661446902301"/>
  </r>
  <r>
    <x v="0"/>
    <x v="0"/>
    <x v="0"/>
    <x v="3"/>
    <x v="9"/>
    <s v="SE1_OTHER"/>
    <x v="10"/>
    <s v="GBPR_PEAT_38"/>
    <x v="0"/>
    <x v="13"/>
    <n v="14.437337478616699"/>
    <n v="5269.6281796950898"/>
    <n v="18970.661446902301"/>
  </r>
  <r>
    <x v="0"/>
    <x v="0"/>
    <x v="0"/>
    <x v="3"/>
    <x v="9"/>
    <s v="SE1_OTHER"/>
    <x v="10"/>
    <s v="GBPR_PEAT_38"/>
    <x v="0"/>
    <x v="14"/>
    <n v="14.437337478616699"/>
    <n v="5269.6281796950898"/>
    <n v="18970.661446902301"/>
  </r>
  <r>
    <x v="0"/>
    <x v="0"/>
    <x v="0"/>
    <x v="3"/>
    <x v="9"/>
    <s v="SE1_OTHER"/>
    <x v="10"/>
    <s v="GBPR_PEAT_38"/>
    <x v="0"/>
    <x v="15"/>
    <n v="14.437337478616699"/>
    <n v="5269.6281796950898"/>
    <n v="18970.661446902301"/>
  </r>
  <r>
    <x v="0"/>
    <x v="0"/>
    <x v="0"/>
    <x v="3"/>
    <x v="9"/>
    <s v="SE1_OTHER"/>
    <x v="10"/>
    <s v="GBPR_PEAT_38"/>
    <x v="0"/>
    <x v="16"/>
    <n v="14.437337478616699"/>
    <n v="5269.6281796950898"/>
    <n v="18970.661446902301"/>
  </r>
  <r>
    <x v="0"/>
    <x v="0"/>
    <x v="0"/>
    <x v="3"/>
    <x v="9"/>
    <s v="SE1_OTHER"/>
    <x v="10"/>
    <s v="GBPR_PEAT_38"/>
    <x v="0"/>
    <x v="17"/>
    <n v="14.437337478616699"/>
    <n v="5269.6281796950898"/>
    <n v="18970.661446902301"/>
  </r>
  <r>
    <x v="0"/>
    <x v="0"/>
    <x v="0"/>
    <x v="3"/>
    <x v="9"/>
    <s v="SE1_OTHER"/>
    <x v="10"/>
    <s v="GBPR_PEAT_38"/>
    <x v="0"/>
    <x v="18"/>
    <n v="14.437337478616699"/>
    <n v="5269.6281796950898"/>
    <n v="18970.661446902301"/>
  </r>
  <r>
    <x v="0"/>
    <x v="0"/>
    <x v="0"/>
    <x v="3"/>
    <x v="9"/>
    <s v="SE1_OTHER"/>
    <x v="10"/>
    <s v="GBPR_PEAT_38"/>
    <x v="0"/>
    <x v="19"/>
    <n v="14.437337478616699"/>
    <n v="5269.6281796950898"/>
    <n v="18970.661446902301"/>
  </r>
  <r>
    <x v="0"/>
    <x v="0"/>
    <x v="0"/>
    <x v="3"/>
    <x v="9"/>
    <s v="SE1_OTHER"/>
    <x v="10"/>
    <s v="GBPR_PEAT_38"/>
    <x v="0"/>
    <x v="20"/>
    <n v="14.437337478616699"/>
    <n v="5269.6281796950898"/>
    <n v="18970.661446902301"/>
  </r>
  <r>
    <x v="0"/>
    <x v="0"/>
    <x v="0"/>
    <x v="3"/>
    <x v="9"/>
    <s v="SE1_OTHER"/>
    <x v="10"/>
    <s v="GBPR_PEAT_38"/>
    <x v="0"/>
    <x v="21"/>
    <n v="13.5962154762754"/>
    <n v="4962.6186488405401"/>
    <n v="17865.427135825899"/>
  </r>
  <r>
    <x v="0"/>
    <x v="0"/>
    <x v="0"/>
    <x v="3"/>
    <x v="9"/>
    <s v="SE1_OTHER"/>
    <x v="10"/>
    <s v="GBPR_PEAT_38"/>
    <x v="0"/>
    <x v="22"/>
    <n v="8.3718742635005299"/>
    <n v="3055.7341061776901"/>
    <n v="11000.6427822397"/>
  </r>
  <r>
    <x v="0"/>
    <x v="0"/>
    <x v="0"/>
    <x v="3"/>
    <x v="9"/>
    <s v="SE1_OTHER"/>
    <x v="10"/>
    <s v="GBPR_PEAT_38"/>
    <x v="0"/>
    <x v="23"/>
    <n v="1.6841445640884301"/>
    <n v="614.71276589227602"/>
    <n v="2212.96595721219"/>
  </r>
  <r>
    <x v="0"/>
    <x v="0"/>
    <x v="0"/>
    <x v="3"/>
    <x v="9"/>
    <s v="SE1_OTHER"/>
    <x v="10"/>
    <s v="GHOB_PEAT"/>
    <x v="0"/>
    <x v="5"/>
    <n v="8.3843342121738794E-3"/>
    <n v="3.0602819874434699"/>
    <n v="11.0170151547965"/>
  </r>
  <r>
    <x v="0"/>
    <x v="0"/>
    <x v="0"/>
    <x v="3"/>
    <x v="9"/>
    <s v="SE1_OTHER"/>
    <x v="10"/>
    <s v="GHOB_PEAT"/>
    <x v="0"/>
    <x v="6"/>
    <n v="21.771843748712602"/>
    <n v="7946.7229682800998"/>
    <n v="28608.202685808301"/>
  </r>
  <r>
    <x v="0"/>
    <x v="0"/>
    <x v="0"/>
    <x v="3"/>
    <x v="9"/>
    <s v="SE1_OTHER"/>
    <x v="10"/>
    <s v="GHOB_PEAT"/>
    <x v="0"/>
    <x v="7"/>
    <n v="30.713299735059199"/>
    <n v="11210.3544032966"/>
    <n v="40357.275851867802"/>
  </r>
  <r>
    <x v="0"/>
    <x v="0"/>
    <x v="0"/>
    <x v="3"/>
    <x v="9"/>
    <s v="SE1_OTHER"/>
    <x v="10"/>
    <s v="GHOB_PEAT"/>
    <x v="0"/>
    <x v="8"/>
    <n v="28.287288248250199"/>
    <n v="10324.860210611299"/>
    <n v="37169.496758200803"/>
  </r>
  <r>
    <x v="0"/>
    <x v="0"/>
    <x v="0"/>
    <x v="3"/>
    <x v="9"/>
    <s v="SE1_OTHER"/>
    <x v="10"/>
    <s v="GHOB_PEAT"/>
    <x v="0"/>
    <x v="9"/>
    <n v="23.9630954463865"/>
    <n v="8746.5298379310698"/>
    <n v="31487.507416551802"/>
  </r>
  <r>
    <x v="0"/>
    <x v="0"/>
    <x v="0"/>
    <x v="3"/>
    <x v="9"/>
    <s v="SE1_OTHER"/>
    <x v="10"/>
    <s v="GHOB_PEAT"/>
    <x v="0"/>
    <x v="10"/>
    <n v="20.3485568368198"/>
    <n v="7427.2232454392097"/>
    <n v="26738.003683581199"/>
  </r>
  <r>
    <x v="0"/>
    <x v="0"/>
    <x v="0"/>
    <x v="3"/>
    <x v="9"/>
    <s v="SE1_OTHER"/>
    <x v="10"/>
    <s v="GHOB_PEAT"/>
    <x v="0"/>
    <x v="11"/>
    <n v="19.263739663004401"/>
    <n v="7031.2649769966101"/>
    <n v="25312.553917187801"/>
  </r>
  <r>
    <x v="0"/>
    <x v="0"/>
    <x v="0"/>
    <x v="3"/>
    <x v="9"/>
    <s v="SE1_OTHER"/>
    <x v="10"/>
    <s v="GHOB_PEAT"/>
    <x v="0"/>
    <x v="12"/>
    <n v="15.8534264899727"/>
    <n v="5786.5006688400399"/>
    <n v="20831.402407824098"/>
  </r>
  <r>
    <x v="0"/>
    <x v="0"/>
    <x v="0"/>
    <x v="3"/>
    <x v="9"/>
    <s v="SE1_OTHER"/>
    <x v="10"/>
    <s v="GHOB_PEAT"/>
    <x v="0"/>
    <x v="13"/>
    <n v="14.682467059299199"/>
    <n v="5359.1004766442002"/>
    <n v="19292.7617159191"/>
  </r>
  <r>
    <x v="0"/>
    <x v="0"/>
    <x v="0"/>
    <x v="3"/>
    <x v="9"/>
    <s v="SE1_OTHER"/>
    <x v="10"/>
    <s v="GHOB_PEAT"/>
    <x v="0"/>
    <x v="14"/>
    <n v="15.0223851317237"/>
    <n v="5483.17057307916"/>
    <n v="19739.414063085002"/>
  </r>
  <r>
    <x v="0"/>
    <x v="0"/>
    <x v="0"/>
    <x v="3"/>
    <x v="9"/>
    <s v="SE1_OTHER"/>
    <x v="10"/>
    <s v="GHOB_PEAT"/>
    <x v="0"/>
    <x v="15"/>
    <n v="14.351655027514999"/>
    <n v="5238.3540850429699"/>
    <n v="18858.074706154701"/>
  </r>
  <r>
    <x v="0"/>
    <x v="0"/>
    <x v="0"/>
    <x v="3"/>
    <x v="9"/>
    <s v="SE1_OTHER"/>
    <x v="10"/>
    <s v="GHOB_PEAT"/>
    <x v="0"/>
    <x v="16"/>
    <n v="11.495539110499401"/>
    <n v="4195.8717753322799"/>
    <n v="15105.1383911962"/>
  </r>
  <r>
    <x v="0"/>
    <x v="0"/>
    <x v="0"/>
    <x v="3"/>
    <x v="9"/>
    <s v="SE1_OTHER"/>
    <x v="10"/>
    <s v="GHOB_PEAT"/>
    <x v="0"/>
    <x v="17"/>
    <n v="7.6390911480303698"/>
    <n v="2788.2682690310899"/>
    <n v="10037.765768511899"/>
  </r>
  <r>
    <x v="0"/>
    <x v="0"/>
    <x v="0"/>
    <x v="3"/>
    <x v="9"/>
    <s v="SE1_OTHER"/>
    <x v="10"/>
    <s v="GHOB_PEAT"/>
    <x v="0"/>
    <x v="18"/>
    <n v="6.0479023887586303"/>
    <n v="2207.4843718969"/>
    <n v="7946.9437388288397"/>
  </r>
  <r>
    <x v="0"/>
    <x v="0"/>
    <x v="0"/>
    <x v="3"/>
    <x v="9"/>
    <s v="SE1_OTHER"/>
    <x v="10"/>
    <s v="GHOB_PEAT"/>
    <x v="0"/>
    <x v="19"/>
    <n v="5.8809022704106599"/>
    <n v="2146.5293286998899"/>
    <n v="7727.5055833196102"/>
  </r>
  <r>
    <x v="0"/>
    <x v="0"/>
    <x v="0"/>
    <x v="3"/>
    <x v="9"/>
    <s v="SE1_OTHER"/>
    <x v="10"/>
    <s v="GHOB_PEAT"/>
    <x v="0"/>
    <x v="20"/>
    <n v="2.8113813266136698"/>
    <n v="1026.15418421399"/>
    <n v="3694.1550631703599"/>
  </r>
  <r>
    <x v="0"/>
    <x v="0"/>
    <x v="0"/>
    <x v="3"/>
    <x v="9"/>
    <s v="SE1_OTHER"/>
    <x v="2"/>
    <s v="GHOB_WASTEHEAT"/>
    <x v="0"/>
    <x v="0"/>
    <n v="35.828754578754399"/>
    <n v="13077.495421245399"/>
    <n v="47078.983516483298"/>
  </r>
  <r>
    <x v="0"/>
    <x v="0"/>
    <x v="0"/>
    <x v="3"/>
    <x v="9"/>
    <s v="SE1_OTHER"/>
    <x v="2"/>
    <s v="GHOB_WASTEHEAT"/>
    <x v="0"/>
    <x v="1"/>
    <n v="35.828754578754399"/>
    <n v="13077.495421245399"/>
    <n v="47078.983516483298"/>
  </r>
  <r>
    <x v="0"/>
    <x v="0"/>
    <x v="0"/>
    <x v="3"/>
    <x v="9"/>
    <s v="SE1_OTHER"/>
    <x v="2"/>
    <s v="GHOB_WASTEHEAT"/>
    <x v="0"/>
    <x v="2"/>
    <n v="35.828754578754399"/>
    <n v="13077.495421245399"/>
    <n v="47078.983516483298"/>
  </r>
  <r>
    <x v="0"/>
    <x v="0"/>
    <x v="0"/>
    <x v="3"/>
    <x v="9"/>
    <s v="SE1_OTHER"/>
    <x v="2"/>
    <s v="GHOB_WASTEHEAT"/>
    <x v="0"/>
    <x v="3"/>
    <n v="35.828754578754399"/>
    <n v="13077.495421245399"/>
    <n v="47078.983516483298"/>
  </r>
  <r>
    <x v="0"/>
    <x v="0"/>
    <x v="0"/>
    <x v="3"/>
    <x v="9"/>
    <s v="SE1_OTHER"/>
    <x v="2"/>
    <s v="GHOB_WASTEHEAT"/>
    <x v="0"/>
    <x v="4"/>
    <n v="35.828754578754399"/>
    <n v="13077.495421245399"/>
    <n v="47078.983516483298"/>
  </r>
  <r>
    <x v="0"/>
    <x v="0"/>
    <x v="0"/>
    <x v="3"/>
    <x v="9"/>
    <s v="SE1_OTHER"/>
    <x v="2"/>
    <s v="GHOB_WASTEHEAT"/>
    <x v="0"/>
    <x v="5"/>
    <n v="35.828754578754399"/>
    <n v="13077.495421245399"/>
    <n v="47078.983516483298"/>
  </r>
  <r>
    <x v="0"/>
    <x v="0"/>
    <x v="0"/>
    <x v="3"/>
    <x v="9"/>
    <s v="SE1_OTHER"/>
    <x v="2"/>
    <s v="GHOB_WASTEHEAT"/>
    <x v="0"/>
    <x v="6"/>
    <n v="35.828754578754399"/>
    <n v="13077.495421245399"/>
    <n v="47078.983516483298"/>
  </r>
  <r>
    <x v="0"/>
    <x v="0"/>
    <x v="0"/>
    <x v="3"/>
    <x v="9"/>
    <s v="SE1_OTHER"/>
    <x v="2"/>
    <s v="GHOB_WASTEHEAT"/>
    <x v="0"/>
    <x v="7"/>
    <n v="35.828754578754399"/>
    <n v="13077.495421245399"/>
    <n v="47078.983516483298"/>
  </r>
  <r>
    <x v="0"/>
    <x v="0"/>
    <x v="0"/>
    <x v="3"/>
    <x v="9"/>
    <s v="SE1_OTHER"/>
    <x v="2"/>
    <s v="GHOB_WASTEHEAT"/>
    <x v="0"/>
    <x v="8"/>
    <n v="35.828754578754399"/>
    <n v="13077.495421245399"/>
    <n v="47078.983516483298"/>
  </r>
  <r>
    <x v="0"/>
    <x v="0"/>
    <x v="0"/>
    <x v="3"/>
    <x v="9"/>
    <s v="SE1_OTHER"/>
    <x v="2"/>
    <s v="GHOB_WASTEHEAT"/>
    <x v="0"/>
    <x v="9"/>
    <n v="35.828754578754399"/>
    <n v="13077.495421245399"/>
    <n v="47078.983516483298"/>
  </r>
  <r>
    <x v="0"/>
    <x v="0"/>
    <x v="0"/>
    <x v="3"/>
    <x v="9"/>
    <s v="SE1_OTHER"/>
    <x v="2"/>
    <s v="GHOB_WASTEHEAT"/>
    <x v="0"/>
    <x v="10"/>
    <n v="35.828754578754399"/>
    <n v="13077.495421245399"/>
    <n v="47078.983516483298"/>
  </r>
  <r>
    <x v="0"/>
    <x v="0"/>
    <x v="0"/>
    <x v="3"/>
    <x v="9"/>
    <s v="SE1_OTHER"/>
    <x v="2"/>
    <s v="GHOB_WASTEHEAT"/>
    <x v="0"/>
    <x v="11"/>
    <n v="35.828754578754399"/>
    <n v="13077.495421245399"/>
    <n v="47078.983516483298"/>
  </r>
  <r>
    <x v="0"/>
    <x v="0"/>
    <x v="0"/>
    <x v="3"/>
    <x v="9"/>
    <s v="SE1_OTHER"/>
    <x v="2"/>
    <s v="GHOB_WASTEHEAT"/>
    <x v="0"/>
    <x v="12"/>
    <n v="35.828754578754399"/>
    <n v="13077.495421245399"/>
    <n v="47078.983516483298"/>
  </r>
  <r>
    <x v="0"/>
    <x v="0"/>
    <x v="0"/>
    <x v="3"/>
    <x v="9"/>
    <s v="SE1_OTHER"/>
    <x v="2"/>
    <s v="GHOB_WASTEHEAT"/>
    <x v="0"/>
    <x v="13"/>
    <n v="35.828754578754399"/>
    <n v="13077.495421245399"/>
    <n v="47078.983516483298"/>
  </r>
  <r>
    <x v="0"/>
    <x v="0"/>
    <x v="0"/>
    <x v="3"/>
    <x v="9"/>
    <s v="SE1_OTHER"/>
    <x v="2"/>
    <s v="GHOB_WASTEHEAT"/>
    <x v="0"/>
    <x v="14"/>
    <n v="35.828754578754399"/>
    <n v="13077.495421245399"/>
    <n v="47078.983516483298"/>
  </r>
  <r>
    <x v="0"/>
    <x v="0"/>
    <x v="0"/>
    <x v="3"/>
    <x v="9"/>
    <s v="SE1_OTHER"/>
    <x v="2"/>
    <s v="GHOB_WASTEHEAT"/>
    <x v="0"/>
    <x v="15"/>
    <n v="35.828754578754399"/>
    <n v="13077.495421245399"/>
    <n v="47078.983516483298"/>
  </r>
  <r>
    <x v="0"/>
    <x v="0"/>
    <x v="0"/>
    <x v="3"/>
    <x v="9"/>
    <s v="SE1_OTHER"/>
    <x v="2"/>
    <s v="GHOB_WASTEHEAT"/>
    <x v="0"/>
    <x v="16"/>
    <n v="35.828754578754399"/>
    <n v="13077.495421245399"/>
    <n v="47078.983516483298"/>
  </r>
  <r>
    <x v="0"/>
    <x v="0"/>
    <x v="0"/>
    <x v="3"/>
    <x v="9"/>
    <s v="SE1_OTHER"/>
    <x v="2"/>
    <s v="GHOB_WASTEHEAT"/>
    <x v="0"/>
    <x v="17"/>
    <n v="35.828754578754399"/>
    <n v="13077.495421245399"/>
    <n v="47078.983516483298"/>
  </r>
  <r>
    <x v="0"/>
    <x v="0"/>
    <x v="0"/>
    <x v="3"/>
    <x v="9"/>
    <s v="SE1_OTHER"/>
    <x v="2"/>
    <s v="GHOB_WASTEHEAT"/>
    <x v="0"/>
    <x v="18"/>
    <n v="35.828754578754399"/>
    <n v="13077.495421245399"/>
    <n v="47078.983516483298"/>
  </r>
  <r>
    <x v="0"/>
    <x v="0"/>
    <x v="0"/>
    <x v="3"/>
    <x v="9"/>
    <s v="SE1_OTHER"/>
    <x v="2"/>
    <s v="GHOB_WASTEHEAT"/>
    <x v="0"/>
    <x v="19"/>
    <n v="35.828754578754399"/>
    <n v="13077.495421245399"/>
    <n v="47078.983516483298"/>
  </r>
  <r>
    <x v="0"/>
    <x v="0"/>
    <x v="0"/>
    <x v="3"/>
    <x v="9"/>
    <s v="SE1_OTHER"/>
    <x v="2"/>
    <s v="GHOB_WASTEHEAT"/>
    <x v="0"/>
    <x v="20"/>
    <n v="35.828754578754399"/>
    <n v="13077.495421245399"/>
    <n v="47078.983516483298"/>
  </r>
  <r>
    <x v="0"/>
    <x v="0"/>
    <x v="0"/>
    <x v="3"/>
    <x v="9"/>
    <s v="SE1_OTHER"/>
    <x v="2"/>
    <s v="GHOB_WASTEHEAT"/>
    <x v="0"/>
    <x v="21"/>
    <n v="35.828754578754399"/>
    <n v="13077.495421245399"/>
    <n v="47078.983516483298"/>
  </r>
  <r>
    <x v="0"/>
    <x v="0"/>
    <x v="0"/>
    <x v="3"/>
    <x v="9"/>
    <s v="SE1_OTHER"/>
    <x v="2"/>
    <s v="GHOB_WASTEHEAT"/>
    <x v="0"/>
    <x v="22"/>
    <n v="35.828754578754399"/>
    <n v="13077.495421245399"/>
    <n v="47078.983516483298"/>
  </r>
  <r>
    <x v="0"/>
    <x v="0"/>
    <x v="0"/>
    <x v="3"/>
    <x v="9"/>
    <s v="SE1_OTHER"/>
    <x v="2"/>
    <s v="GHOB_WASTEHEAT"/>
    <x v="0"/>
    <x v="23"/>
    <n v="35.828754578754399"/>
    <n v="13077.495421245399"/>
    <n v="47078.983516483298"/>
  </r>
  <r>
    <x v="0"/>
    <x v="0"/>
    <x v="0"/>
    <x v="3"/>
    <x v="9"/>
    <s v="SE1_OTHER"/>
    <x v="7"/>
    <s v="GBPR_WOODWASTE"/>
    <x v="0"/>
    <x v="0"/>
    <n v="47.111050500990501"/>
    <n v="17195.533432861499"/>
    <n v="61903.920358301497"/>
  </r>
  <r>
    <x v="0"/>
    <x v="0"/>
    <x v="0"/>
    <x v="3"/>
    <x v="9"/>
    <s v="SE1_OTHER"/>
    <x v="7"/>
    <s v="GBPR_WOODWASTE"/>
    <x v="0"/>
    <x v="1"/>
    <n v="47.111050500990501"/>
    <n v="17195.533432861499"/>
    <n v="61903.920358301497"/>
  </r>
  <r>
    <x v="0"/>
    <x v="0"/>
    <x v="0"/>
    <x v="3"/>
    <x v="9"/>
    <s v="SE1_OTHER"/>
    <x v="7"/>
    <s v="GBPR_WOODWASTE"/>
    <x v="0"/>
    <x v="2"/>
    <n v="47.111050500990501"/>
    <n v="17195.533432861499"/>
    <n v="61903.920358301497"/>
  </r>
  <r>
    <x v="0"/>
    <x v="0"/>
    <x v="0"/>
    <x v="3"/>
    <x v="9"/>
    <s v="SE1_OTHER"/>
    <x v="7"/>
    <s v="GBPR_WOODWASTE"/>
    <x v="0"/>
    <x v="3"/>
    <n v="47.111050500990501"/>
    <n v="17195.533432861499"/>
    <n v="61903.920358301497"/>
  </r>
  <r>
    <x v="0"/>
    <x v="0"/>
    <x v="0"/>
    <x v="3"/>
    <x v="9"/>
    <s v="SE1_OTHER"/>
    <x v="7"/>
    <s v="GBPR_WOODWASTE"/>
    <x v="0"/>
    <x v="4"/>
    <n v="47.111050500990501"/>
    <n v="17195.533432861499"/>
    <n v="61903.920358301497"/>
  </r>
  <r>
    <x v="0"/>
    <x v="0"/>
    <x v="0"/>
    <x v="3"/>
    <x v="9"/>
    <s v="SE1_OTHER"/>
    <x v="7"/>
    <s v="GBPR_WOODWASTE"/>
    <x v="0"/>
    <x v="5"/>
    <n v="47.111050500990501"/>
    <n v="17195.533432861499"/>
    <n v="61903.920358301497"/>
  </r>
  <r>
    <x v="0"/>
    <x v="0"/>
    <x v="0"/>
    <x v="3"/>
    <x v="9"/>
    <s v="SE1_OTHER"/>
    <x v="7"/>
    <s v="GBPR_WOODWASTE"/>
    <x v="0"/>
    <x v="6"/>
    <n v="47.111050500990501"/>
    <n v="17195.533432861499"/>
    <n v="61903.920358301497"/>
  </r>
  <r>
    <x v="0"/>
    <x v="0"/>
    <x v="0"/>
    <x v="3"/>
    <x v="9"/>
    <s v="SE1_OTHER"/>
    <x v="7"/>
    <s v="GBPR_WOODWASTE"/>
    <x v="0"/>
    <x v="7"/>
    <n v="47.111050500990501"/>
    <n v="17195.533432861499"/>
    <n v="61903.920358301497"/>
  </r>
  <r>
    <x v="0"/>
    <x v="0"/>
    <x v="0"/>
    <x v="3"/>
    <x v="9"/>
    <s v="SE1_OTHER"/>
    <x v="7"/>
    <s v="GBPR_WOODWASTE"/>
    <x v="0"/>
    <x v="8"/>
    <n v="47.111050500990501"/>
    <n v="17195.533432861499"/>
    <n v="61903.920358301497"/>
  </r>
  <r>
    <x v="0"/>
    <x v="0"/>
    <x v="0"/>
    <x v="3"/>
    <x v="9"/>
    <s v="SE1_OTHER"/>
    <x v="7"/>
    <s v="GBPR_WOODWASTE"/>
    <x v="0"/>
    <x v="9"/>
    <n v="47.111050500990501"/>
    <n v="17195.533432861499"/>
    <n v="61903.920358301497"/>
  </r>
  <r>
    <x v="0"/>
    <x v="0"/>
    <x v="0"/>
    <x v="3"/>
    <x v="9"/>
    <s v="SE1_OTHER"/>
    <x v="7"/>
    <s v="GBPR_WOODWASTE"/>
    <x v="0"/>
    <x v="10"/>
    <n v="47.111050500990501"/>
    <n v="17195.533432861499"/>
    <n v="61903.920358301497"/>
  </r>
  <r>
    <x v="0"/>
    <x v="0"/>
    <x v="0"/>
    <x v="3"/>
    <x v="9"/>
    <s v="SE1_OTHER"/>
    <x v="7"/>
    <s v="GBPR_WOODWASTE"/>
    <x v="0"/>
    <x v="11"/>
    <n v="47.111050500990501"/>
    <n v="17195.533432861499"/>
    <n v="61903.920358301497"/>
  </r>
  <r>
    <x v="0"/>
    <x v="0"/>
    <x v="0"/>
    <x v="3"/>
    <x v="9"/>
    <s v="SE1_OTHER"/>
    <x v="7"/>
    <s v="GBPR_WOODWASTE"/>
    <x v="0"/>
    <x v="12"/>
    <n v="47.111050500990501"/>
    <n v="17195.533432861499"/>
    <n v="61903.920358301497"/>
  </r>
  <r>
    <x v="0"/>
    <x v="0"/>
    <x v="0"/>
    <x v="3"/>
    <x v="9"/>
    <s v="SE1_OTHER"/>
    <x v="7"/>
    <s v="GBPR_WOODWASTE"/>
    <x v="0"/>
    <x v="13"/>
    <n v="47.111050500990501"/>
    <n v="17195.533432861499"/>
    <n v="61903.920358301497"/>
  </r>
  <r>
    <x v="0"/>
    <x v="0"/>
    <x v="0"/>
    <x v="3"/>
    <x v="9"/>
    <s v="SE1_OTHER"/>
    <x v="7"/>
    <s v="GBPR_WOODWASTE"/>
    <x v="0"/>
    <x v="14"/>
    <n v="47.111050500990501"/>
    <n v="17195.533432861499"/>
    <n v="61903.920358301497"/>
  </r>
  <r>
    <x v="0"/>
    <x v="0"/>
    <x v="0"/>
    <x v="3"/>
    <x v="9"/>
    <s v="SE1_OTHER"/>
    <x v="7"/>
    <s v="GBPR_WOODWASTE"/>
    <x v="0"/>
    <x v="15"/>
    <n v="47.111050500990501"/>
    <n v="17195.533432861499"/>
    <n v="61903.920358301497"/>
  </r>
  <r>
    <x v="0"/>
    <x v="0"/>
    <x v="0"/>
    <x v="3"/>
    <x v="9"/>
    <s v="SE1_OTHER"/>
    <x v="7"/>
    <s v="GBPR_WOODWASTE"/>
    <x v="0"/>
    <x v="16"/>
    <n v="47.111050500990501"/>
    <n v="17195.533432861499"/>
    <n v="61903.920358301497"/>
  </r>
  <r>
    <x v="0"/>
    <x v="0"/>
    <x v="0"/>
    <x v="3"/>
    <x v="9"/>
    <s v="SE1_OTHER"/>
    <x v="7"/>
    <s v="GBPR_WOODWASTE"/>
    <x v="0"/>
    <x v="17"/>
    <n v="47.111050500990501"/>
    <n v="17195.533432861499"/>
    <n v="61903.920358301497"/>
  </r>
  <r>
    <x v="0"/>
    <x v="0"/>
    <x v="0"/>
    <x v="3"/>
    <x v="9"/>
    <s v="SE1_OTHER"/>
    <x v="7"/>
    <s v="GBPR_WOODWASTE"/>
    <x v="0"/>
    <x v="18"/>
    <n v="47.111050500990501"/>
    <n v="17195.533432861499"/>
    <n v="61903.920358301497"/>
  </r>
  <r>
    <x v="0"/>
    <x v="0"/>
    <x v="0"/>
    <x v="3"/>
    <x v="9"/>
    <s v="SE1_OTHER"/>
    <x v="7"/>
    <s v="GBPR_WOODWASTE"/>
    <x v="0"/>
    <x v="19"/>
    <n v="47.111050500990501"/>
    <n v="17195.533432861499"/>
    <n v="61903.920358301497"/>
  </r>
  <r>
    <x v="0"/>
    <x v="0"/>
    <x v="0"/>
    <x v="3"/>
    <x v="9"/>
    <s v="SE1_OTHER"/>
    <x v="7"/>
    <s v="GBPR_WOODWASTE"/>
    <x v="0"/>
    <x v="20"/>
    <n v="47.111050500990501"/>
    <n v="17195.533432861499"/>
    <n v="61903.920358301497"/>
  </r>
  <r>
    <x v="0"/>
    <x v="0"/>
    <x v="0"/>
    <x v="3"/>
    <x v="9"/>
    <s v="SE1_OTHER"/>
    <x v="7"/>
    <s v="GBPR_WOODWASTE"/>
    <x v="0"/>
    <x v="21"/>
    <n v="47.111050500990501"/>
    <n v="17195.533432861499"/>
    <n v="61903.920358301497"/>
  </r>
  <r>
    <x v="0"/>
    <x v="0"/>
    <x v="0"/>
    <x v="3"/>
    <x v="9"/>
    <s v="SE1_OTHER"/>
    <x v="7"/>
    <s v="GBPR_WOODWASTE"/>
    <x v="0"/>
    <x v="22"/>
    <n v="47.111050500990501"/>
    <n v="17195.533432861499"/>
    <n v="61903.920358301497"/>
  </r>
  <r>
    <x v="0"/>
    <x v="0"/>
    <x v="0"/>
    <x v="3"/>
    <x v="9"/>
    <s v="SE1_OTHER"/>
    <x v="7"/>
    <s v="GBPR_WOODWASTE"/>
    <x v="0"/>
    <x v="23"/>
    <n v="47.111050500990501"/>
    <n v="17195.533432861499"/>
    <n v="61903.920358301497"/>
  </r>
  <r>
    <x v="0"/>
    <x v="0"/>
    <x v="0"/>
    <x v="3"/>
    <x v="9"/>
    <s v="SE1_OTHER"/>
    <x v="7"/>
    <s v="GHOB_WOODWASTE"/>
    <x v="0"/>
    <x v="0"/>
    <n v="15.8904192059703"/>
    <n v="5800.0030101791499"/>
    <n v="20880.010836644899"/>
  </r>
  <r>
    <x v="0"/>
    <x v="0"/>
    <x v="0"/>
    <x v="3"/>
    <x v="9"/>
    <s v="SE1_OTHER"/>
    <x v="7"/>
    <s v="GHOB_WOODWASTE"/>
    <x v="0"/>
    <x v="1"/>
    <n v="16.562707918656301"/>
    <n v="6045.3883903095402"/>
    <n v="21763.398205114299"/>
  </r>
  <r>
    <x v="0"/>
    <x v="0"/>
    <x v="0"/>
    <x v="3"/>
    <x v="9"/>
    <s v="SE1_OTHER"/>
    <x v="7"/>
    <s v="GHOB_WOODWASTE"/>
    <x v="0"/>
    <x v="2"/>
    <n v="17.333479497847399"/>
    <n v="6326.7200167143001"/>
    <n v="22776.192060171499"/>
  </r>
  <r>
    <x v="0"/>
    <x v="0"/>
    <x v="0"/>
    <x v="3"/>
    <x v="9"/>
    <s v="SE1_OTHER"/>
    <x v="7"/>
    <s v="GHOB_WOODWASTE"/>
    <x v="0"/>
    <x v="3"/>
    <n v="20.682118717420099"/>
    <n v="7548.9733318583503"/>
    <n v="27176.303994690101"/>
  </r>
  <r>
    <x v="0"/>
    <x v="0"/>
    <x v="0"/>
    <x v="3"/>
    <x v="9"/>
    <s v="SE1_OTHER"/>
    <x v="7"/>
    <s v="GHOB_WOODWASTE"/>
    <x v="0"/>
    <x v="4"/>
    <n v="21.8419124343257"/>
    <n v="7972.2980385288902"/>
    <n v="28700.272938704002"/>
  </r>
  <r>
    <x v="0"/>
    <x v="0"/>
    <x v="0"/>
    <x v="3"/>
    <x v="9"/>
    <s v="SE1_OTHER"/>
    <x v="7"/>
    <s v="GHOB_WOODWASTE"/>
    <x v="0"/>
    <x v="5"/>
    <n v="21.8419124343257"/>
    <n v="7972.2980385288902"/>
    <n v="28700.272938704002"/>
  </r>
  <r>
    <x v="0"/>
    <x v="0"/>
    <x v="0"/>
    <x v="3"/>
    <x v="9"/>
    <s v="SE1_OTHER"/>
    <x v="7"/>
    <s v="GHOB_WOODWASTE"/>
    <x v="0"/>
    <x v="6"/>
    <n v="21.8419124343257"/>
    <n v="7972.2980385288902"/>
    <n v="28700.272938704002"/>
  </r>
  <r>
    <x v="0"/>
    <x v="0"/>
    <x v="0"/>
    <x v="3"/>
    <x v="9"/>
    <s v="SE1_OTHER"/>
    <x v="7"/>
    <s v="GHOB_WOODWASTE"/>
    <x v="0"/>
    <x v="7"/>
    <n v="21.8419124343257"/>
    <n v="7972.2980385288902"/>
    <n v="28700.272938704002"/>
  </r>
  <r>
    <x v="0"/>
    <x v="0"/>
    <x v="0"/>
    <x v="3"/>
    <x v="9"/>
    <s v="SE1_OTHER"/>
    <x v="7"/>
    <s v="GHOB_WOODWASTE"/>
    <x v="0"/>
    <x v="8"/>
    <n v="21.8419124343257"/>
    <n v="7972.2980385288902"/>
    <n v="28700.272938704002"/>
  </r>
  <r>
    <x v="0"/>
    <x v="0"/>
    <x v="0"/>
    <x v="3"/>
    <x v="9"/>
    <s v="SE1_OTHER"/>
    <x v="7"/>
    <s v="GHOB_WOODWASTE"/>
    <x v="0"/>
    <x v="9"/>
    <n v="21.8419124343257"/>
    <n v="7972.2980385288902"/>
    <n v="28700.272938704002"/>
  </r>
  <r>
    <x v="0"/>
    <x v="0"/>
    <x v="0"/>
    <x v="3"/>
    <x v="9"/>
    <s v="SE1_OTHER"/>
    <x v="7"/>
    <s v="GHOB_WOODWASTE"/>
    <x v="0"/>
    <x v="10"/>
    <n v="21.8419124343257"/>
    <n v="7972.2980385288902"/>
    <n v="28700.272938704002"/>
  </r>
  <r>
    <x v="0"/>
    <x v="0"/>
    <x v="0"/>
    <x v="3"/>
    <x v="9"/>
    <s v="SE1_OTHER"/>
    <x v="7"/>
    <s v="GHOB_WOODWASTE"/>
    <x v="0"/>
    <x v="11"/>
    <n v="21.8419124343257"/>
    <n v="7972.2980385288902"/>
    <n v="28700.272938704002"/>
  </r>
  <r>
    <x v="0"/>
    <x v="0"/>
    <x v="0"/>
    <x v="3"/>
    <x v="9"/>
    <s v="SE1_OTHER"/>
    <x v="7"/>
    <s v="GHOB_WOODWASTE"/>
    <x v="0"/>
    <x v="12"/>
    <n v="21.8419124343257"/>
    <n v="7972.2980385288902"/>
    <n v="28700.272938704002"/>
  </r>
  <r>
    <x v="0"/>
    <x v="0"/>
    <x v="0"/>
    <x v="3"/>
    <x v="9"/>
    <s v="SE1_OTHER"/>
    <x v="7"/>
    <s v="GHOB_WOODWASTE"/>
    <x v="0"/>
    <x v="13"/>
    <n v="21.8419124343257"/>
    <n v="7972.2980385288902"/>
    <n v="28700.272938704002"/>
  </r>
  <r>
    <x v="0"/>
    <x v="0"/>
    <x v="0"/>
    <x v="3"/>
    <x v="9"/>
    <s v="SE1_OTHER"/>
    <x v="7"/>
    <s v="GHOB_WOODWASTE"/>
    <x v="0"/>
    <x v="14"/>
    <n v="21.8419124343257"/>
    <n v="7972.2980385288902"/>
    <n v="28700.272938704002"/>
  </r>
  <r>
    <x v="0"/>
    <x v="0"/>
    <x v="0"/>
    <x v="3"/>
    <x v="9"/>
    <s v="SE1_OTHER"/>
    <x v="7"/>
    <s v="GHOB_WOODWASTE"/>
    <x v="0"/>
    <x v="15"/>
    <n v="21.8419124343257"/>
    <n v="7972.2980385288902"/>
    <n v="28700.272938704002"/>
  </r>
  <r>
    <x v="0"/>
    <x v="0"/>
    <x v="0"/>
    <x v="3"/>
    <x v="9"/>
    <s v="SE1_OTHER"/>
    <x v="7"/>
    <s v="GHOB_WOODWASTE"/>
    <x v="0"/>
    <x v="16"/>
    <n v="21.8419124343257"/>
    <n v="7972.2980385288902"/>
    <n v="28700.272938704002"/>
  </r>
  <r>
    <x v="0"/>
    <x v="0"/>
    <x v="0"/>
    <x v="3"/>
    <x v="9"/>
    <s v="SE1_OTHER"/>
    <x v="7"/>
    <s v="GHOB_WOODWASTE"/>
    <x v="0"/>
    <x v="17"/>
    <n v="21.8419124343257"/>
    <n v="7972.2980385288902"/>
    <n v="28700.272938704002"/>
  </r>
  <r>
    <x v="0"/>
    <x v="0"/>
    <x v="0"/>
    <x v="3"/>
    <x v="9"/>
    <s v="SE1_OTHER"/>
    <x v="7"/>
    <s v="GHOB_WOODWASTE"/>
    <x v="0"/>
    <x v="18"/>
    <n v="21.8419124343257"/>
    <n v="7972.2980385288902"/>
    <n v="28700.272938704002"/>
  </r>
  <r>
    <x v="0"/>
    <x v="0"/>
    <x v="0"/>
    <x v="3"/>
    <x v="9"/>
    <s v="SE1_OTHER"/>
    <x v="7"/>
    <s v="GHOB_WOODWASTE"/>
    <x v="0"/>
    <x v="19"/>
    <n v="21.8419124343257"/>
    <n v="7972.2980385288902"/>
    <n v="28700.272938704002"/>
  </r>
  <r>
    <x v="0"/>
    <x v="0"/>
    <x v="0"/>
    <x v="3"/>
    <x v="9"/>
    <s v="SE1_OTHER"/>
    <x v="7"/>
    <s v="GHOB_WOODWASTE"/>
    <x v="0"/>
    <x v="20"/>
    <n v="21.8419124343257"/>
    <n v="7972.2980385288902"/>
    <n v="28700.272938704002"/>
  </r>
  <r>
    <x v="0"/>
    <x v="0"/>
    <x v="0"/>
    <x v="3"/>
    <x v="9"/>
    <s v="SE1_OTHER"/>
    <x v="7"/>
    <s v="GHOB_WOODWASTE"/>
    <x v="0"/>
    <x v="21"/>
    <n v="21.8419124343257"/>
    <n v="7972.2980385288902"/>
    <n v="28700.272938704002"/>
  </r>
  <r>
    <x v="0"/>
    <x v="0"/>
    <x v="0"/>
    <x v="3"/>
    <x v="9"/>
    <s v="SE1_OTHER"/>
    <x v="7"/>
    <s v="GHOB_WOODWASTE"/>
    <x v="0"/>
    <x v="22"/>
    <n v="21.8419124343257"/>
    <n v="7972.2980385288902"/>
    <n v="28700.272938704002"/>
  </r>
  <r>
    <x v="0"/>
    <x v="0"/>
    <x v="0"/>
    <x v="3"/>
    <x v="9"/>
    <s v="SE1_OTHER"/>
    <x v="7"/>
    <s v="GHOB_WOODWASTE"/>
    <x v="0"/>
    <x v="23"/>
    <n v="21.8419124343257"/>
    <n v="7972.2980385288902"/>
    <n v="28700.272938704002"/>
  </r>
  <r>
    <x v="0"/>
    <x v="0"/>
    <x v="0"/>
    <x v="3"/>
    <x v="10"/>
    <s v="SE2_EL"/>
    <x v="1"/>
    <s v="GBPR_MUNIWASTE_24"/>
    <x v="0"/>
    <x v="0"/>
    <n v="157.260325444974"/>
    <n v="57400.018787415298"/>
    <n v="206640.06763469501"/>
  </r>
  <r>
    <x v="0"/>
    <x v="0"/>
    <x v="0"/>
    <x v="3"/>
    <x v="10"/>
    <s v="SE2_EL"/>
    <x v="1"/>
    <s v="GBPR_MUNIWASTE_24"/>
    <x v="0"/>
    <x v="1"/>
    <n v="157.260325444974"/>
    <n v="57400.018787415298"/>
    <n v="206640.06763469501"/>
  </r>
  <r>
    <x v="0"/>
    <x v="0"/>
    <x v="0"/>
    <x v="3"/>
    <x v="10"/>
    <s v="SE2_EL"/>
    <x v="1"/>
    <s v="GBPR_MUNIWASTE_24"/>
    <x v="0"/>
    <x v="2"/>
    <n v="157.260325444974"/>
    <n v="57400.018787415298"/>
    <n v="206640.06763469501"/>
  </r>
  <r>
    <x v="0"/>
    <x v="0"/>
    <x v="0"/>
    <x v="3"/>
    <x v="10"/>
    <s v="SE2_EL"/>
    <x v="1"/>
    <s v="GBPR_MUNIWASTE_24"/>
    <x v="0"/>
    <x v="3"/>
    <n v="157.260325444974"/>
    <n v="57400.018787415298"/>
    <n v="206640.06763469501"/>
  </r>
  <r>
    <x v="0"/>
    <x v="0"/>
    <x v="0"/>
    <x v="3"/>
    <x v="10"/>
    <s v="SE2_EL"/>
    <x v="1"/>
    <s v="GBPR_MUNIWASTE_24"/>
    <x v="0"/>
    <x v="4"/>
    <n v="157.260325444974"/>
    <n v="57400.018787415298"/>
    <n v="206640.06763469501"/>
  </r>
  <r>
    <x v="0"/>
    <x v="0"/>
    <x v="0"/>
    <x v="3"/>
    <x v="10"/>
    <s v="SE2_EL"/>
    <x v="1"/>
    <s v="GBPR_MUNIWASTE_24"/>
    <x v="0"/>
    <x v="5"/>
    <n v="157.260325444974"/>
    <n v="57400.018787415298"/>
    <n v="206640.06763469501"/>
  </r>
  <r>
    <x v="0"/>
    <x v="0"/>
    <x v="0"/>
    <x v="3"/>
    <x v="10"/>
    <s v="SE2_EL"/>
    <x v="1"/>
    <s v="GBPR_MUNIWASTE_24"/>
    <x v="0"/>
    <x v="6"/>
    <n v="157.260325444974"/>
    <n v="57400.018787415298"/>
    <n v="206640.06763469501"/>
  </r>
  <r>
    <x v="0"/>
    <x v="0"/>
    <x v="0"/>
    <x v="3"/>
    <x v="10"/>
    <s v="SE2_EL"/>
    <x v="1"/>
    <s v="GBPR_MUNIWASTE_24"/>
    <x v="0"/>
    <x v="7"/>
    <n v="157.260325444974"/>
    <n v="57400.018787415298"/>
    <n v="206640.06763469501"/>
  </r>
  <r>
    <x v="0"/>
    <x v="0"/>
    <x v="0"/>
    <x v="3"/>
    <x v="10"/>
    <s v="SE2_EL"/>
    <x v="1"/>
    <s v="GBPR_MUNIWASTE_24"/>
    <x v="0"/>
    <x v="8"/>
    <n v="157.260325444974"/>
    <n v="57400.018787415298"/>
    <n v="206640.06763469501"/>
  </r>
  <r>
    <x v="0"/>
    <x v="0"/>
    <x v="0"/>
    <x v="3"/>
    <x v="10"/>
    <s v="SE2_EL"/>
    <x v="1"/>
    <s v="GBPR_MUNIWASTE_24"/>
    <x v="0"/>
    <x v="9"/>
    <n v="157.260325444974"/>
    <n v="57400.018787415298"/>
    <n v="206640.06763469501"/>
  </r>
  <r>
    <x v="0"/>
    <x v="0"/>
    <x v="0"/>
    <x v="3"/>
    <x v="10"/>
    <s v="SE2_EL"/>
    <x v="1"/>
    <s v="GBPR_MUNIWASTE_24"/>
    <x v="0"/>
    <x v="10"/>
    <n v="157.260325444974"/>
    <n v="57400.018787415298"/>
    <n v="206640.06763469501"/>
  </r>
  <r>
    <x v="0"/>
    <x v="0"/>
    <x v="0"/>
    <x v="3"/>
    <x v="10"/>
    <s v="SE2_EL"/>
    <x v="1"/>
    <s v="GBPR_MUNIWASTE_24"/>
    <x v="0"/>
    <x v="11"/>
    <n v="157.260325444974"/>
    <n v="57400.018787415298"/>
    <n v="206640.06763469501"/>
  </r>
  <r>
    <x v="0"/>
    <x v="0"/>
    <x v="0"/>
    <x v="3"/>
    <x v="10"/>
    <s v="SE2_EL"/>
    <x v="1"/>
    <s v="GBPR_MUNIWASTE_24"/>
    <x v="0"/>
    <x v="12"/>
    <n v="157.260325444974"/>
    <n v="57400.018787415298"/>
    <n v="206640.06763469501"/>
  </r>
  <r>
    <x v="0"/>
    <x v="0"/>
    <x v="0"/>
    <x v="3"/>
    <x v="10"/>
    <s v="SE2_EL"/>
    <x v="1"/>
    <s v="GBPR_MUNIWASTE_24"/>
    <x v="0"/>
    <x v="13"/>
    <n v="157.260325444974"/>
    <n v="57400.018787415298"/>
    <n v="206640.06763469501"/>
  </r>
  <r>
    <x v="0"/>
    <x v="0"/>
    <x v="0"/>
    <x v="3"/>
    <x v="10"/>
    <s v="SE2_EL"/>
    <x v="1"/>
    <s v="GBPR_MUNIWASTE_24"/>
    <x v="0"/>
    <x v="14"/>
    <n v="157.260325444974"/>
    <n v="57400.018787415298"/>
    <n v="206640.06763469501"/>
  </r>
  <r>
    <x v="0"/>
    <x v="0"/>
    <x v="0"/>
    <x v="3"/>
    <x v="10"/>
    <s v="SE2_EL"/>
    <x v="1"/>
    <s v="GBPR_MUNIWASTE_24"/>
    <x v="0"/>
    <x v="15"/>
    <n v="157.260325444974"/>
    <n v="57400.018787415298"/>
    <n v="206640.06763469501"/>
  </r>
  <r>
    <x v="0"/>
    <x v="0"/>
    <x v="0"/>
    <x v="3"/>
    <x v="10"/>
    <s v="SE2_EL"/>
    <x v="1"/>
    <s v="GBPR_MUNIWASTE_24"/>
    <x v="0"/>
    <x v="16"/>
    <n v="157.260325444974"/>
    <n v="57400.018787415298"/>
    <n v="206640.06763469501"/>
  </r>
  <r>
    <x v="0"/>
    <x v="0"/>
    <x v="0"/>
    <x v="3"/>
    <x v="10"/>
    <s v="SE2_EL"/>
    <x v="1"/>
    <s v="GBPR_MUNIWASTE_24"/>
    <x v="0"/>
    <x v="17"/>
    <n v="157.260325444974"/>
    <n v="57400.018787415298"/>
    <n v="206640.06763469501"/>
  </r>
  <r>
    <x v="0"/>
    <x v="0"/>
    <x v="0"/>
    <x v="3"/>
    <x v="10"/>
    <s v="SE2_EL"/>
    <x v="1"/>
    <s v="GBPR_MUNIWASTE_24"/>
    <x v="0"/>
    <x v="18"/>
    <n v="157.260325444974"/>
    <n v="57400.018787415298"/>
    <n v="206640.06763469501"/>
  </r>
  <r>
    <x v="0"/>
    <x v="0"/>
    <x v="0"/>
    <x v="3"/>
    <x v="10"/>
    <s v="SE2_EL"/>
    <x v="1"/>
    <s v="GBPR_MUNIWASTE_24"/>
    <x v="0"/>
    <x v="19"/>
    <n v="157.260325444974"/>
    <n v="57400.018787415298"/>
    <n v="206640.06763469501"/>
  </r>
  <r>
    <x v="0"/>
    <x v="0"/>
    <x v="0"/>
    <x v="3"/>
    <x v="10"/>
    <s v="SE2_EL"/>
    <x v="1"/>
    <s v="GBPR_MUNIWASTE_24"/>
    <x v="0"/>
    <x v="20"/>
    <n v="157.260325444974"/>
    <n v="57400.018787415298"/>
    <n v="206640.06763469501"/>
  </r>
  <r>
    <x v="0"/>
    <x v="0"/>
    <x v="0"/>
    <x v="3"/>
    <x v="10"/>
    <s v="SE2_EL"/>
    <x v="1"/>
    <s v="GBPR_MUNIWASTE_24"/>
    <x v="0"/>
    <x v="21"/>
    <n v="157.260325444974"/>
    <n v="57400.018787415298"/>
    <n v="206640.06763469501"/>
  </r>
  <r>
    <x v="0"/>
    <x v="0"/>
    <x v="0"/>
    <x v="3"/>
    <x v="10"/>
    <s v="SE2_EL"/>
    <x v="1"/>
    <s v="GBPR_MUNIWASTE_24"/>
    <x v="0"/>
    <x v="22"/>
    <n v="157.260325444974"/>
    <n v="57400.018787415298"/>
    <n v="206640.06763469501"/>
  </r>
  <r>
    <x v="0"/>
    <x v="0"/>
    <x v="0"/>
    <x v="3"/>
    <x v="10"/>
    <s v="SE2_EL"/>
    <x v="1"/>
    <s v="GBPR_MUNIWASTE_24"/>
    <x v="0"/>
    <x v="23"/>
    <n v="157.260325444974"/>
    <n v="57400.018787415298"/>
    <n v="206640.06763469501"/>
  </r>
  <r>
    <x v="0"/>
    <x v="0"/>
    <x v="0"/>
    <x v="3"/>
    <x v="10"/>
    <s v="SE2_EL"/>
    <x v="2"/>
    <s v="GHOB_WASTEHEAT"/>
    <x v="0"/>
    <x v="0"/>
    <n v="17.284798534798501"/>
    <n v="6308.9514652014404"/>
    <n v="22712.225274725199"/>
  </r>
  <r>
    <x v="0"/>
    <x v="0"/>
    <x v="0"/>
    <x v="3"/>
    <x v="10"/>
    <s v="SE2_EL"/>
    <x v="2"/>
    <s v="GHOB_WASTEHEAT"/>
    <x v="0"/>
    <x v="1"/>
    <n v="17.284798534798501"/>
    <n v="6308.9514652014404"/>
    <n v="22712.225274725199"/>
  </r>
  <r>
    <x v="0"/>
    <x v="0"/>
    <x v="0"/>
    <x v="3"/>
    <x v="10"/>
    <s v="SE2_EL"/>
    <x v="2"/>
    <s v="GHOB_WASTEHEAT"/>
    <x v="0"/>
    <x v="2"/>
    <n v="17.284798534798501"/>
    <n v="6308.9514652014404"/>
    <n v="22712.225274725199"/>
  </r>
  <r>
    <x v="0"/>
    <x v="0"/>
    <x v="0"/>
    <x v="3"/>
    <x v="10"/>
    <s v="SE2_EL"/>
    <x v="2"/>
    <s v="GHOB_WASTEHEAT"/>
    <x v="0"/>
    <x v="3"/>
    <n v="17.284798534798501"/>
    <n v="6308.9514652014404"/>
    <n v="22712.225274725199"/>
  </r>
  <r>
    <x v="0"/>
    <x v="0"/>
    <x v="0"/>
    <x v="3"/>
    <x v="10"/>
    <s v="SE2_EL"/>
    <x v="2"/>
    <s v="GHOB_WASTEHEAT"/>
    <x v="0"/>
    <x v="4"/>
    <n v="17.284798534798501"/>
    <n v="6308.9514652014404"/>
    <n v="22712.225274725199"/>
  </r>
  <r>
    <x v="0"/>
    <x v="0"/>
    <x v="0"/>
    <x v="3"/>
    <x v="10"/>
    <s v="SE2_EL"/>
    <x v="2"/>
    <s v="GHOB_WASTEHEAT"/>
    <x v="0"/>
    <x v="5"/>
    <n v="17.284798534798501"/>
    <n v="6308.9514652014404"/>
    <n v="22712.225274725199"/>
  </r>
  <r>
    <x v="0"/>
    <x v="0"/>
    <x v="0"/>
    <x v="3"/>
    <x v="10"/>
    <s v="SE2_EL"/>
    <x v="2"/>
    <s v="GHOB_WASTEHEAT"/>
    <x v="0"/>
    <x v="6"/>
    <n v="17.284798534798501"/>
    <n v="6308.9514652014404"/>
    <n v="22712.225274725199"/>
  </r>
  <r>
    <x v="0"/>
    <x v="0"/>
    <x v="0"/>
    <x v="3"/>
    <x v="10"/>
    <s v="SE2_EL"/>
    <x v="2"/>
    <s v="GHOB_WASTEHEAT"/>
    <x v="0"/>
    <x v="7"/>
    <n v="17.284798534798501"/>
    <n v="6308.9514652014404"/>
    <n v="22712.225274725199"/>
  </r>
  <r>
    <x v="0"/>
    <x v="0"/>
    <x v="0"/>
    <x v="3"/>
    <x v="10"/>
    <s v="SE2_EL"/>
    <x v="2"/>
    <s v="GHOB_WASTEHEAT"/>
    <x v="0"/>
    <x v="8"/>
    <n v="17.284798534798501"/>
    <n v="6308.9514652014404"/>
    <n v="22712.225274725199"/>
  </r>
  <r>
    <x v="0"/>
    <x v="0"/>
    <x v="0"/>
    <x v="3"/>
    <x v="10"/>
    <s v="SE2_EL"/>
    <x v="2"/>
    <s v="GHOB_WASTEHEAT"/>
    <x v="0"/>
    <x v="9"/>
    <n v="17.284798534798501"/>
    <n v="6308.9514652014404"/>
    <n v="22712.225274725199"/>
  </r>
  <r>
    <x v="0"/>
    <x v="0"/>
    <x v="0"/>
    <x v="3"/>
    <x v="10"/>
    <s v="SE2_EL"/>
    <x v="2"/>
    <s v="GHOB_WASTEHEAT"/>
    <x v="0"/>
    <x v="10"/>
    <n v="17.284798534798501"/>
    <n v="6308.9514652014404"/>
    <n v="22712.225274725199"/>
  </r>
  <r>
    <x v="0"/>
    <x v="0"/>
    <x v="0"/>
    <x v="3"/>
    <x v="10"/>
    <s v="SE2_EL"/>
    <x v="2"/>
    <s v="GHOB_WASTEHEAT"/>
    <x v="0"/>
    <x v="11"/>
    <n v="17.284798534798501"/>
    <n v="6308.9514652014404"/>
    <n v="22712.225274725199"/>
  </r>
  <r>
    <x v="0"/>
    <x v="0"/>
    <x v="0"/>
    <x v="3"/>
    <x v="10"/>
    <s v="SE2_EL"/>
    <x v="2"/>
    <s v="GHOB_WASTEHEAT"/>
    <x v="0"/>
    <x v="12"/>
    <n v="17.284798534798501"/>
    <n v="6308.9514652014404"/>
    <n v="22712.225274725199"/>
  </r>
  <r>
    <x v="0"/>
    <x v="0"/>
    <x v="0"/>
    <x v="3"/>
    <x v="10"/>
    <s v="SE2_EL"/>
    <x v="2"/>
    <s v="GHOB_WASTEHEAT"/>
    <x v="0"/>
    <x v="13"/>
    <n v="17.284798534798501"/>
    <n v="6308.9514652014404"/>
    <n v="22712.225274725199"/>
  </r>
  <r>
    <x v="0"/>
    <x v="0"/>
    <x v="0"/>
    <x v="3"/>
    <x v="10"/>
    <s v="SE2_EL"/>
    <x v="2"/>
    <s v="GHOB_WASTEHEAT"/>
    <x v="0"/>
    <x v="14"/>
    <n v="17.284798534798501"/>
    <n v="6308.9514652014404"/>
    <n v="22712.225274725199"/>
  </r>
  <r>
    <x v="0"/>
    <x v="0"/>
    <x v="0"/>
    <x v="3"/>
    <x v="10"/>
    <s v="SE2_EL"/>
    <x v="2"/>
    <s v="GHOB_WASTEHEAT"/>
    <x v="0"/>
    <x v="15"/>
    <n v="17.284798534798501"/>
    <n v="6308.9514652014404"/>
    <n v="22712.225274725199"/>
  </r>
  <r>
    <x v="0"/>
    <x v="0"/>
    <x v="0"/>
    <x v="3"/>
    <x v="10"/>
    <s v="SE2_EL"/>
    <x v="2"/>
    <s v="GHOB_WASTEHEAT"/>
    <x v="0"/>
    <x v="16"/>
    <n v="17.284798534798501"/>
    <n v="6308.9514652014404"/>
    <n v="22712.225274725199"/>
  </r>
  <r>
    <x v="0"/>
    <x v="0"/>
    <x v="0"/>
    <x v="3"/>
    <x v="10"/>
    <s v="SE2_EL"/>
    <x v="2"/>
    <s v="GHOB_WASTEHEAT"/>
    <x v="0"/>
    <x v="17"/>
    <n v="17.284798534798501"/>
    <n v="6308.9514652014404"/>
    <n v="22712.225274725199"/>
  </r>
  <r>
    <x v="0"/>
    <x v="0"/>
    <x v="0"/>
    <x v="3"/>
    <x v="10"/>
    <s v="SE2_EL"/>
    <x v="2"/>
    <s v="GHOB_WASTEHEAT"/>
    <x v="0"/>
    <x v="18"/>
    <n v="17.284798534798501"/>
    <n v="6308.9514652014404"/>
    <n v="22712.225274725199"/>
  </r>
  <r>
    <x v="0"/>
    <x v="0"/>
    <x v="0"/>
    <x v="3"/>
    <x v="10"/>
    <s v="SE2_EL"/>
    <x v="2"/>
    <s v="GHOB_WASTEHEAT"/>
    <x v="0"/>
    <x v="19"/>
    <n v="17.284798534798501"/>
    <n v="6308.9514652014404"/>
    <n v="22712.225274725199"/>
  </r>
  <r>
    <x v="0"/>
    <x v="0"/>
    <x v="0"/>
    <x v="3"/>
    <x v="10"/>
    <s v="SE2_EL"/>
    <x v="2"/>
    <s v="GHOB_WASTEHEAT"/>
    <x v="0"/>
    <x v="20"/>
    <n v="17.284798534798501"/>
    <n v="6308.9514652014404"/>
    <n v="22712.225274725199"/>
  </r>
  <r>
    <x v="0"/>
    <x v="0"/>
    <x v="0"/>
    <x v="3"/>
    <x v="10"/>
    <s v="SE2_EL"/>
    <x v="2"/>
    <s v="GHOB_WASTEHEAT"/>
    <x v="0"/>
    <x v="21"/>
    <n v="17.284798534798501"/>
    <n v="6308.9514652014404"/>
    <n v="22712.225274725199"/>
  </r>
  <r>
    <x v="0"/>
    <x v="0"/>
    <x v="0"/>
    <x v="3"/>
    <x v="10"/>
    <s v="SE2_EL"/>
    <x v="2"/>
    <s v="GHOB_WASTEHEAT"/>
    <x v="0"/>
    <x v="22"/>
    <n v="17.284798534798501"/>
    <n v="6308.9514652014404"/>
    <n v="22712.225274725199"/>
  </r>
  <r>
    <x v="0"/>
    <x v="0"/>
    <x v="0"/>
    <x v="3"/>
    <x v="10"/>
    <s v="SE2_EL"/>
    <x v="2"/>
    <s v="GHOB_WASTEHEAT"/>
    <x v="0"/>
    <x v="23"/>
    <n v="17.284798534798501"/>
    <n v="6308.9514652014404"/>
    <n v="22712.225274725199"/>
  </r>
  <r>
    <x v="0"/>
    <x v="0"/>
    <x v="0"/>
    <x v="3"/>
    <x v="10"/>
    <s v="SE2_EL"/>
    <x v="7"/>
    <s v="GBPR_WOODWASTE_25"/>
    <x v="0"/>
    <x v="0"/>
    <n v="68.787827152661094"/>
    <n v="25107.556910721301"/>
    <n v="90387.204878596705"/>
  </r>
  <r>
    <x v="0"/>
    <x v="0"/>
    <x v="0"/>
    <x v="3"/>
    <x v="10"/>
    <s v="SE2_EL"/>
    <x v="7"/>
    <s v="GBPR_WOODWASTE_25"/>
    <x v="0"/>
    <x v="1"/>
    <n v="71.396606263800606"/>
    <n v="26059.761286287201"/>
    <n v="93815.140630634007"/>
  </r>
  <r>
    <x v="0"/>
    <x v="0"/>
    <x v="0"/>
    <x v="3"/>
    <x v="10"/>
    <s v="SE2_EL"/>
    <x v="7"/>
    <s v="GBPR_WOODWASTE_25"/>
    <x v="0"/>
    <x v="2"/>
    <n v="76.0553740100721"/>
    <n v="27760.211513676299"/>
    <n v="99936.761449234793"/>
  </r>
  <r>
    <x v="0"/>
    <x v="0"/>
    <x v="0"/>
    <x v="3"/>
    <x v="10"/>
    <s v="SE2_EL"/>
    <x v="7"/>
    <s v="GBPR_WOODWASTE_25"/>
    <x v="0"/>
    <x v="3"/>
    <n v="87.653218363837695"/>
    <n v="31993.424702800799"/>
    <n v="115176.32893008299"/>
  </r>
  <r>
    <x v="0"/>
    <x v="0"/>
    <x v="0"/>
    <x v="3"/>
    <x v="10"/>
    <s v="SE2_EL"/>
    <x v="7"/>
    <s v="GBPR_WOODWASTE_25"/>
    <x v="0"/>
    <x v="4"/>
    <n v="104.84543091130401"/>
    <n v="38268.582282625997"/>
    <n v="137766.89621745399"/>
  </r>
  <r>
    <x v="0"/>
    <x v="0"/>
    <x v="0"/>
    <x v="3"/>
    <x v="10"/>
    <s v="SE2_EL"/>
    <x v="7"/>
    <s v="GBPR_WOODWASTE_25"/>
    <x v="0"/>
    <x v="5"/>
    <n v="128.27061181431901"/>
    <n v="46818.773312226404"/>
    <n v="168547.58392401499"/>
  </r>
  <r>
    <x v="0"/>
    <x v="0"/>
    <x v="0"/>
    <x v="3"/>
    <x v="10"/>
    <s v="SE2_EL"/>
    <x v="7"/>
    <s v="GBPR_WOODWASTE_25"/>
    <x v="0"/>
    <x v="6"/>
    <n v="151.38032471722201"/>
    <n v="55253.818521786103"/>
    <n v="198913.74667843"/>
  </r>
  <r>
    <x v="0"/>
    <x v="0"/>
    <x v="0"/>
    <x v="3"/>
    <x v="10"/>
    <s v="SE2_EL"/>
    <x v="7"/>
    <s v="GBPR_WOODWASTE_25"/>
    <x v="0"/>
    <x v="7"/>
    <n v="151.38032471722201"/>
    <n v="55253.818521786103"/>
    <n v="198913.74667843"/>
  </r>
  <r>
    <x v="0"/>
    <x v="0"/>
    <x v="0"/>
    <x v="3"/>
    <x v="10"/>
    <s v="SE2_EL"/>
    <x v="7"/>
    <s v="GBPR_WOODWASTE_25"/>
    <x v="0"/>
    <x v="8"/>
    <n v="151.38032471722201"/>
    <n v="55253.818521786103"/>
    <n v="198913.74667843"/>
  </r>
  <r>
    <x v="0"/>
    <x v="0"/>
    <x v="0"/>
    <x v="3"/>
    <x v="10"/>
    <s v="SE2_EL"/>
    <x v="7"/>
    <s v="GBPR_WOODWASTE_25"/>
    <x v="0"/>
    <x v="9"/>
    <n v="151.38032471722201"/>
    <n v="55253.818521786103"/>
    <n v="198913.74667843"/>
  </r>
  <r>
    <x v="0"/>
    <x v="0"/>
    <x v="0"/>
    <x v="3"/>
    <x v="10"/>
    <s v="SE2_EL"/>
    <x v="7"/>
    <s v="GBPR_WOODWASTE_25"/>
    <x v="0"/>
    <x v="10"/>
    <n v="151.38032471722201"/>
    <n v="55253.818521786103"/>
    <n v="198913.74667843"/>
  </r>
  <r>
    <x v="0"/>
    <x v="0"/>
    <x v="0"/>
    <x v="3"/>
    <x v="10"/>
    <s v="SE2_EL"/>
    <x v="7"/>
    <s v="GBPR_WOODWASTE_25"/>
    <x v="0"/>
    <x v="11"/>
    <n v="151.38032471722201"/>
    <n v="55253.818521786103"/>
    <n v="198913.74667843"/>
  </r>
  <r>
    <x v="0"/>
    <x v="0"/>
    <x v="0"/>
    <x v="3"/>
    <x v="10"/>
    <s v="SE2_EL"/>
    <x v="7"/>
    <s v="GBPR_WOODWASTE_25"/>
    <x v="0"/>
    <x v="12"/>
    <n v="139.45468129483501"/>
    <n v="50900.958672614899"/>
    <n v="183243.451221414"/>
  </r>
  <r>
    <x v="0"/>
    <x v="0"/>
    <x v="0"/>
    <x v="3"/>
    <x v="10"/>
    <s v="SE2_EL"/>
    <x v="7"/>
    <s v="GBPR_WOODWASTE_25"/>
    <x v="0"/>
    <x v="13"/>
    <n v="131.95008728499701"/>
    <n v="48161.7818590241"/>
    <n v="173382.41469248699"/>
  </r>
  <r>
    <x v="0"/>
    <x v="0"/>
    <x v="0"/>
    <x v="3"/>
    <x v="10"/>
    <s v="SE2_EL"/>
    <x v="7"/>
    <s v="GBPR_WOODWASTE_25"/>
    <x v="0"/>
    <x v="14"/>
    <n v="122.004473093557"/>
    <n v="44531.632679148497"/>
    <n v="160313.87764493501"/>
  </r>
  <r>
    <x v="0"/>
    <x v="0"/>
    <x v="0"/>
    <x v="3"/>
    <x v="10"/>
    <s v="SE2_EL"/>
    <x v="7"/>
    <s v="GBPR_WOODWASTE_25"/>
    <x v="0"/>
    <x v="15"/>
    <n v="110.30338788479"/>
    <n v="40260.736577948199"/>
    <n v="144938.65168061401"/>
  </r>
  <r>
    <x v="0"/>
    <x v="0"/>
    <x v="0"/>
    <x v="3"/>
    <x v="10"/>
    <s v="SE2_EL"/>
    <x v="7"/>
    <s v="GBPR_WOODWASTE_25"/>
    <x v="0"/>
    <x v="16"/>
    <n v="101.9929943418"/>
    <n v="37227.442934757099"/>
    <n v="134018.79456512499"/>
  </r>
  <r>
    <x v="0"/>
    <x v="0"/>
    <x v="0"/>
    <x v="3"/>
    <x v="10"/>
    <s v="SE2_EL"/>
    <x v="7"/>
    <s v="GBPR_WOODWASTE_25"/>
    <x v="0"/>
    <x v="17"/>
    <n v="89.027610155126695"/>
    <n v="32495.077706621199"/>
    <n v="116982.279743836"/>
  </r>
  <r>
    <x v="0"/>
    <x v="0"/>
    <x v="0"/>
    <x v="3"/>
    <x v="10"/>
    <s v="SE2_EL"/>
    <x v="7"/>
    <s v="GBPR_WOODWASTE_25"/>
    <x v="0"/>
    <x v="18"/>
    <n v="87.178924187554102"/>
    <n v="31820.307328457198"/>
    <n v="114553.106382446"/>
  </r>
  <r>
    <x v="0"/>
    <x v="0"/>
    <x v="0"/>
    <x v="3"/>
    <x v="10"/>
    <s v="SE2_EL"/>
    <x v="7"/>
    <s v="GBPR_WOODWASTE_25"/>
    <x v="0"/>
    <x v="19"/>
    <n v="90.038164141103394"/>
    <n v="32863.929911502702"/>
    <n v="118310.14768141"/>
  </r>
  <r>
    <x v="0"/>
    <x v="0"/>
    <x v="0"/>
    <x v="3"/>
    <x v="10"/>
    <s v="SE2_EL"/>
    <x v="7"/>
    <s v="GBPR_WOODWASTE_25"/>
    <x v="0"/>
    <x v="20"/>
    <n v="87.343881998471602"/>
    <n v="31880.516929442099"/>
    <n v="114769.860945992"/>
  </r>
  <r>
    <x v="0"/>
    <x v="0"/>
    <x v="0"/>
    <x v="3"/>
    <x v="10"/>
    <s v="SE2_EL"/>
    <x v="7"/>
    <s v="GBPR_WOODWASTE_25"/>
    <x v="0"/>
    <x v="21"/>
    <n v="82.935684248919799"/>
    <n v="30271.5247508557"/>
    <n v="108977.489103081"/>
  </r>
  <r>
    <x v="0"/>
    <x v="0"/>
    <x v="0"/>
    <x v="3"/>
    <x v="10"/>
    <s v="SE2_EL"/>
    <x v="7"/>
    <s v="GBPR_WOODWASTE_25"/>
    <x v="0"/>
    <x v="22"/>
    <n v="73.898457131959105"/>
    <n v="26972.936853165102"/>
    <n v="97102.5726713943"/>
  </r>
  <r>
    <x v="0"/>
    <x v="0"/>
    <x v="0"/>
    <x v="3"/>
    <x v="10"/>
    <s v="SE2_EL"/>
    <x v="7"/>
    <s v="GBPR_WOODWASTE_25"/>
    <x v="0"/>
    <x v="23"/>
    <n v="66.017496747544996"/>
    <n v="24096.386312853901"/>
    <n v="86746.990726274104"/>
  </r>
  <r>
    <x v="0"/>
    <x v="0"/>
    <x v="0"/>
    <x v="3"/>
    <x v="10"/>
    <s v="SE2_EL"/>
    <x v="7"/>
    <s v="GEXT_WOODWASTE_HORNEBORG"/>
    <x v="0"/>
    <x v="6"/>
    <n v="31.568230461427099"/>
    <n v="11522.4041184209"/>
    <n v="41480.6548263152"/>
  </r>
  <r>
    <x v="0"/>
    <x v="0"/>
    <x v="0"/>
    <x v="3"/>
    <x v="10"/>
    <s v="SE2_EL"/>
    <x v="7"/>
    <s v="GEXT_WOODWASTE_HORNEBORG"/>
    <x v="0"/>
    <x v="7"/>
    <n v="52.498704395121898"/>
    <n v="19162.027104219502"/>
    <n v="68983.297575190198"/>
  </r>
  <r>
    <x v="0"/>
    <x v="0"/>
    <x v="0"/>
    <x v="3"/>
    <x v="10"/>
    <s v="SE2_EL"/>
    <x v="7"/>
    <s v="GEXT_WOODWASTE_HORNEBORG"/>
    <x v="0"/>
    <x v="8"/>
    <n v="42.755675753102899"/>
    <n v="15605.8216498825"/>
    <n v="56180.957939577202"/>
  </r>
  <r>
    <x v="0"/>
    <x v="0"/>
    <x v="0"/>
    <x v="3"/>
    <x v="10"/>
    <s v="SE2_EL"/>
    <x v="7"/>
    <s v="GEXT_WOODWASTE_HORNEBORG"/>
    <x v="0"/>
    <x v="9"/>
    <n v="26.477651838025398"/>
    <n v="9664.3429208792695"/>
    <n v="34791.634515165402"/>
  </r>
  <r>
    <x v="0"/>
    <x v="0"/>
    <x v="0"/>
    <x v="3"/>
    <x v="10"/>
    <s v="SE2_EL"/>
    <x v="7"/>
    <s v="GEXT_WOODWASTE_HORNEBORG"/>
    <x v="0"/>
    <x v="10"/>
    <n v="10.5283348753421"/>
    <n v="3842.84222949985"/>
    <n v="13834.232026199499"/>
  </r>
  <r>
    <x v="0"/>
    <x v="0"/>
    <x v="0"/>
    <x v="3"/>
    <x v="10"/>
    <s v="SE2_EL"/>
    <x v="7"/>
    <s v="GEXT_WOODWASTE_HORNEBORG"/>
    <x v="0"/>
    <x v="11"/>
    <n v="0.26800618863165898"/>
    <n v="97.822258850555698"/>
    <n v="352.16013186200001"/>
  </r>
  <r>
    <x v="0"/>
    <x v="0"/>
    <x v="0"/>
    <x v="3"/>
    <x v="10"/>
    <s v="SE2_OTHER"/>
    <x v="1"/>
    <s v="GBPR_MUNIWASTE_24"/>
    <x v="0"/>
    <x v="0"/>
    <n v="11.9202330928997"/>
    <n v="4350.8850789083999"/>
    <n v="15663.1862840702"/>
  </r>
  <r>
    <x v="0"/>
    <x v="0"/>
    <x v="0"/>
    <x v="3"/>
    <x v="10"/>
    <s v="SE2_OTHER"/>
    <x v="1"/>
    <s v="GBPR_MUNIWASTE_24"/>
    <x v="0"/>
    <x v="1"/>
    <n v="11.9202330928997"/>
    <n v="4350.8850789083999"/>
    <n v="15663.1862840702"/>
  </r>
  <r>
    <x v="0"/>
    <x v="0"/>
    <x v="0"/>
    <x v="3"/>
    <x v="10"/>
    <s v="SE2_OTHER"/>
    <x v="1"/>
    <s v="GBPR_MUNIWASTE_24"/>
    <x v="0"/>
    <x v="2"/>
    <n v="11.9202330928997"/>
    <n v="4350.8850789083999"/>
    <n v="15663.1862840702"/>
  </r>
  <r>
    <x v="0"/>
    <x v="0"/>
    <x v="0"/>
    <x v="3"/>
    <x v="10"/>
    <s v="SE2_OTHER"/>
    <x v="1"/>
    <s v="GBPR_MUNIWASTE_24"/>
    <x v="0"/>
    <x v="3"/>
    <n v="11.9202330928997"/>
    <n v="4350.8850789083999"/>
    <n v="15663.1862840702"/>
  </r>
  <r>
    <x v="0"/>
    <x v="0"/>
    <x v="0"/>
    <x v="3"/>
    <x v="10"/>
    <s v="SE2_OTHER"/>
    <x v="1"/>
    <s v="GBPR_MUNIWASTE_24"/>
    <x v="0"/>
    <x v="4"/>
    <n v="11.9202330928997"/>
    <n v="4350.8850789083999"/>
    <n v="15663.1862840702"/>
  </r>
  <r>
    <x v="0"/>
    <x v="0"/>
    <x v="0"/>
    <x v="3"/>
    <x v="10"/>
    <s v="SE2_OTHER"/>
    <x v="1"/>
    <s v="GBPR_MUNIWASTE_24"/>
    <x v="0"/>
    <x v="5"/>
    <n v="11.9202330928997"/>
    <n v="4350.8850789083999"/>
    <n v="15663.1862840702"/>
  </r>
  <r>
    <x v="0"/>
    <x v="0"/>
    <x v="0"/>
    <x v="3"/>
    <x v="10"/>
    <s v="SE2_OTHER"/>
    <x v="1"/>
    <s v="GBPR_MUNIWASTE_24"/>
    <x v="0"/>
    <x v="6"/>
    <n v="11.9202330928997"/>
    <n v="4350.8850789083999"/>
    <n v="15663.1862840702"/>
  </r>
  <r>
    <x v="0"/>
    <x v="0"/>
    <x v="0"/>
    <x v="3"/>
    <x v="10"/>
    <s v="SE2_OTHER"/>
    <x v="1"/>
    <s v="GBPR_MUNIWASTE_24"/>
    <x v="0"/>
    <x v="7"/>
    <n v="11.9202330928997"/>
    <n v="4350.8850789083999"/>
    <n v="15663.1862840702"/>
  </r>
  <r>
    <x v="0"/>
    <x v="0"/>
    <x v="0"/>
    <x v="3"/>
    <x v="10"/>
    <s v="SE2_OTHER"/>
    <x v="1"/>
    <s v="GBPR_MUNIWASTE_24"/>
    <x v="0"/>
    <x v="8"/>
    <n v="11.9202330928997"/>
    <n v="4350.8850789083999"/>
    <n v="15663.1862840702"/>
  </r>
  <r>
    <x v="0"/>
    <x v="0"/>
    <x v="0"/>
    <x v="3"/>
    <x v="10"/>
    <s v="SE2_OTHER"/>
    <x v="1"/>
    <s v="GBPR_MUNIWASTE_24"/>
    <x v="0"/>
    <x v="9"/>
    <n v="11.9202330928997"/>
    <n v="4350.8850789083999"/>
    <n v="15663.1862840702"/>
  </r>
  <r>
    <x v="0"/>
    <x v="0"/>
    <x v="0"/>
    <x v="3"/>
    <x v="10"/>
    <s v="SE2_OTHER"/>
    <x v="1"/>
    <s v="GBPR_MUNIWASTE_24"/>
    <x v="0"/>
    <x v="10"/>
    <n v="11.9202330928997"/>
    <n v="4350.8850789083999"/>
    <n v="15663.1862840702"/>
  </r>
  <r>
    <x v="0"/>
    <x v="0"/>
    <x v="0"/>
    <x v="3"/>
    <x v="10"/>
    <s v="SE2_OTHER"/>
    <x v="1"/>
    <s v="GBPR_MUNIWASTE_24"/>
    <x v="0"/>
    <x v="11"/>
    <n v="11.9202330928997"/>
    <n v="4350.8850789083999"/>
    <n v="15663.1862840702"/>
  </r>
  <r>
    <x v="0"/>
    <x v="0"/>
    <x v="0"/>
    <x v="3"/>
    <x v="10"/>
    <s v="SE2_OTHER"/>
    <x v="1"/>
    <s v="GBPR_MUNIWASTE_24"/>
    <x v="0"/>
    <x v="12"/>
    <n v="11.9202330928997"/>
    <n v="4350.8850789083999"/>
    <n v="15663.1862840702"/>
  </r>
  <r>
    <x v="0"/>
    <x v="0"/>
    <x v="0"/>
    <x v="3"/>
    <x v="10"/>
    <s v="SE2_OTHER"/>
    <x v="1"/>
    <s v="GBPR_MUNIWASTE_24"/>
    <x v="0"/>
    <x v="13"/>
    <n v="11.9202330928997"/>
    <n v="4350.8850789083999"/>
    <n v="15663.1862840702"/>
  </r>
  <r>
    <x v="0"/>
    <x v="0"/>
    <x v="0"/>
    <x v="3"/>
    <x v="10"/>
    <s v="SE2_OTHER"/>
    <x v="1"/>
    <s v="GBPR_MUNIWASTE_24"/>
    <x v="0"/>
    <x v="14"/>
    <n v="11.9202330928997"/>
    <n v="4350.8850789083999"/>
    <n v="15663.1862840702"/>
  </r>
  <r>
    <x v="0"/>
    <x v="0"/>
    <x v="0"/>
    <x v="3"/>
    <x v="10"/>
    <s v="SE2_OTHER"/>
    <x v="1"/>
    <s v="GBPR_MUNIWASTE_24"/>
    <x v="0"/>
    <x v="15"/>
    <n v="11.9202330928997"/>
    <n v="4350.8850789083999"/>
    <n v="15663.1862840702"/>
  </r>
  <r>
    <x v="0"/>
    <x v="0"/>
    <x v="0"/>
    <x v="3"/>
    <x v="10"/>
    <s v="SE2_OTHER"/>
    <x v="1"/>
    <s v="GBPR_MUNIWASTE_24"/>
    <x v="0"/>
    <x v="16"/>
    <n v="11.9202330928997"/>
    <n v="4350.8850789083999"/>
    <n v="15663.1862840702"/>
  </r>
  <r>
    <x v="0"/>
    <x v="0"/>
    <x v="0"/>
    <x v="3"/>
    <x v="10"/>
    <s v="SE2_OTHER"/>
    <x v="1"/>
    <s v="GBPR_MUNIWASTE_24"/>
    <x v="0"/>
    <x v="17"/>
    <n v="11.9202330928997"/>
    <n v="4350.8850789083999"/>
    <n v="15663.1862840702"/>
  </r>
  <r>
    <x v="0"/>
    <x v="0"/>
    <x v="0"/>
    <x v="3"/>
    <x v="10"/>
    <s v="SE2_OTHER"/>
    <x v="1"/>
    <s v="GBPR_MUNIWASTE_24"/>
    <x v="0"/>
    <x v="18"/>
    <n v="11.9202330928997"/>
    <n v="4350.8850789083999"/>
    <n v="15663.1862840702"/>
  </r>
  <r>
    <x v="0"/>
    <x v="0"/>
    <x v="0"/>
    <x v="3"/>
    <x v="10"/>
    <s v="SE2_OTHER"/>
    <x v="1"/>
    <s v="GBPR_MUNIWASTE_24"/>
    <x v="0"/>
    <x v="19"/>
    <n v="11.9202330928997"/>
    <n v="4350.8850789083999"/>
    <n v="15663.1862840702"/>
  </r>
  <r>
    <x v="0"/>
    <x v="0"/>
    <x v="0"/>
    <x v="3"/>
    <x v="10"/>
    <s v="SE2_OTHER"/>
    <x v="1"/>
    <s v="GBPR_MUNIWASTE_24"/>
    <x v="0"/>
    <x v="20"/>
    <n v="11.9202330928997"/>
    <n v="4350.8850789083999"/>
    <n v="15663.1862840702"/>
  </r>
  <r>
    <x v="0"/>
    <x v="0"/>
    <x v="0"/>
    <x v="3"/>
    <x v="10"/>
    <s v="SE2_OTHER"/>
    <x v="1"/>
    <s v="GBPR_MUNIWASTE_24"/>
    <x v="0"/>
    <x v="21"/>
    <n v="11.9202330928997"/>
    <n v="4350.8850789083999"/>
    <n v="15663.1862840702"/>
  </r>
  <r>
    <x v="0"/>
    <x v="0"/>
    <x v="0"/>
    <x v="3"/>
    <x v="10"/>
    <s v="SE2_OTHER"/>
    <x v="1"/>
    <s v="GBPR_MUNIWASTE_24"/>
    <x v="0"/>
    <x v="22"/>
    <n v="11.9202330928997"/>
    <n v="4350.8850789083999"/>
    <n v="15663.1862840702"/>
  </r>
  <r>
    <x v="0"/>
    <x v="0"/>
    <x v="0"/>
    <x v="3"/>
    <x v="10"/>
    <s v="SE2_OTHER"/>
    <x v="1"/>
    <s v="GBPR_MUNIWASTE_24"/>
    <x v="0"/>
    <x v="23"/>
    <n v="11.9202330928997"/>
    <n v="4350.8850789083999"/>
    <n v="15663.1862840702"/>
  </r>
  <r>
    <x v="0"/>
    <x v="0"/>
    <x v="0"/>
    <x v="3"/>
    <x v="10"/>
    <s v="SE2_OTHER"/>
    <x v="2"/>
    <s v="GHOB_WASTEHEAT"/>
    <x v="0"/>
    <x v="0"/>
    <n v="16.031295787545702"/>
    <n v="5851.4229624541904"/>
    <n v="21065.1226648351"/>
  </r>
  <r>
    <x v="0"/>
    <x v="0"/>
    <x v="0"/>
    <x v="3"/>
    <x v="10"/>
    <s v="SE2_OTHER"/>
    <x v="2"/>
    <s v="GHOB_WASTEHEAT"/>
    <x v="0"/>
    <x v="1"/>
    <n v="16.031295787545702"/>
    <n v="5851.4229624541904"/>
    <n v="21065.1226648351"/>
  </r>
  <r>
    <x v="0"/>
    <x v="0"/>
    <x v="0"/>
    <x v="3"/>
    <x v="10"/>
    <s v="SE2_OTHER"/>
    <x v="2"/>
    <s v="GHOB_WASTEHEAT"/>
    <x v="0"/>
    <x v="2"/>
    <n v="16.031295787545702"/>
    <n v="5851.4229624541904"/>
    <n v="21065.1226648351"/>
  </r>
  <r>
    <x v="0"/>
    <x v="0"/>
    <x v="0"/>
    <x v="3"/>
    <x v="10"/>
    <s v="SE2_OTHER"/>
    <x v="2"/>
    <s v="GHOB_WASTEHEAT"/>
    <x v="0"/>
    <x v="3"/>
    <n v="16.031295787545702"/>
    <n v="5851.4229624541904"/>
    <n v="21065.1226648351"/>
  </r>
  <r>
    <x v="0"/>
    <x v="0"/>
    <x v="0"/>
    <x v="3"/>
    <x v="10"/>
    <s v="SE2_OTHER"/>
    <x v="2"/>
    <s v="GHOB_WASTEHEAT"/>
    <x v="0"/>
    <x v="4"/>
    <n v="16.031295787545702"/>
    <n v="5851.4229624541904"/>
    <n v="21065.1226648351"/>
  </r>
  <r>
    <x v="0"/>
    <x v="0"/>
    <x v="0"/>
    <x v="3"/>
    <x v="10"/>
    <s v="SE2_OTHER"/>
    <x v="2"/>
    <s v="GHOB_WASTEHEAT"/>
    <x v="0"/>
    <x v="5"/>
    <n v="16.031295787545702"/>
    <n v="5851.4229624541904"/>
    <n v="21065.1226648351"/>
  </r>
  <r>
    <x v="0"/>
    <x v="0"/>
    <x v="0"/>
    <x v="3"/>
    <x v="10"/>
    <s v="SE2_OTHER"/>
    <x v="2"/>
    <s v="GHOB_WASTEHEAT"/>
    <x v="0"/>
    <x v="6"/>
    <n v="16.031295787545702"/>
    <n v="5851.4229624541904"/>
    <n v="21065.1226648351"/>
  </r>
  <r>
    <x v="0"/>
    <x v="0"/>
    <x v="0"/>
    <x v="3"/>
    <x v="10"/>
    <s v="SE2_OTHER"/>
    <x v="2"/>
    <s v="GHOB_WASTEHEAT"/>
    <x v="0"/>
    <x v="7"/>
    <n v="16.031295787545702"/>
    <n v="5851.4229624541904"/>
    <n v="21065.1226648351"/>
  </r>
  <r>
    <x v="0"/>
    <x v="0"/>
    <x v="0"/>
    <x v="3"/>
    <x v="10"/>
    <s v="SE2_OTHER"/>
    <x v="2"/>
    <s v="GHOB_WASTEHEAT"/>
    <x v="0"/>
    <x v="8"/>
    <n v="16.031295787545702"/>
    <n v="5851.4229624541904"/>
    <n v="21065.1226648351"/>
  </r>
  <r>
    <x v="0"/>
    <x v="0"/>
    <x v="0"/>
    <x v="3"/>
    <x v="10"/>
    <s v="SE2_OTHER"/>
    <x v="2"/>
    <s v="GHOB_WASTEHEAT"/>
    <x v="0"/>
    <x v="9"/>
    <n v="16.031295787545702"/>
    <n v="5851.4229624541904"/>
    <n v="21065.1226648351"/>
  </r>
  <r>
    <x v="0"/>
    <x v="0"/>
    <x v="0"/>
    <x v="3"/>
    <x v="10"/>
    <s v="SE2_OTHER"/>
    <x v="2"/>
    <s v="GHOB_WASTEHEAT"/>
    <x v="0"/>
    <x v="10"/>
    <n v="16.031295787545702"/>
    <n v="5851.4229624541904"/>
    <n v="21065.1226648351"/>
  </r>
  <r>
    <x v="0"/>
    <x v="0"/>
    <x v="0"/>
    <x v="3"/>
    <x v="10"/>
    <s v="SE2_OTHER"/>
    <x v="2"/>
    <s v="GHOB_WASTEHEAT"/>
    <x v="0"/>
    <x v="11"/>
    <n v="16.031295787545702"/>
    <n v="5851.4229624541904"/>
    <n v="21065.1226648351"/>
  </r>
  <r>
    <x v="0"/>
    <x v="0"/>
    <x v="0"/>
    <x v="3"/>
    <x v="10"/>
    <s v="SE2_OTHER"/>
    <x v="2"/>
    <s v="GHOB_WASTEHEAT"/>
    <x v="0"/>
    <x v="12"/>
    <n v="16.031295787545702"/>
    <n v="5851.4229624541904"/>
    <n v="21065.1226648351"/>
  </r>
  <r>
    <x v="0"/>
    <x v="0"/>
    <x v="0"/>
    <x v="3"/>
    <x v="10"/>
    <s v="SE2_OTHER"/>
    <x v="2"/>
    <s v="GHOB_WASTEHEAT"/>
    <x v="0"/>
    <x v="13"/>
    <n v="16.031295787545702"/>
    <n v="5851.4229624541904"/>
    <n v="21065.1226648351"/>
  </r>
  <r>
    <x v="0"/>
    <x v="0"/>
    <x v="0"/>
    <x v="3"/>
    <x v="10"/>
    <s v="SE2_OTHER"/>
    <x v="2"/>
    <s v="GHOB_WASTEHEAT"/>
    <x v="0"/>
    <x v="14"/>
    <n v="16.031295787545702"/>
    <n v="5851.4229624541904"/>
    <n v="21065.1226648351"/>
  </r>
  <r>
    <x v="0"/>
    <x v="0"/>
    <x v="0"/>
    <x v="3"/>
    <x v="10"/>
    <s v="SE2_OTHER"/>
    <x v="2"/>
    <s v="GHOB_WASTEHEAT"/>
    <x v="0"/>
    <x v="15"/>
    <n v="16.031295787545702"/>
    <n v="5851.4229624541904"/>
    <n v="21065.1226648351"/>
  </r>
  <r>
    <x v="0"/>
    <x v="0"/>
    <x v="0"/>
    <x v="3"/>
    <x v="10"/>
    <s v="SE2_OTHER"/>
    <x v="2"/>
    <s v="GHOB_WASTEHEAT"/>
    <x v="0"/>
    <x v="16"/>
    <n v="16.031295787545702"/>
    <n v="5851.4229624541904"/>
    <n v="21065.1226648351"/>
  </r>
  <r>
    <x v="0"/>
    <x v="0"/>
    <x v="0"/>
    <x v="3"/>
    <x v="10"/>
    <s v="SE2_OTHER"/>
    <x v="2"/>
    <s v="GHOB_WASTEHEAT"/>
    <x v="0"/>
    <x v="17"/>
    <n v="16.031295787545702"/>
    <n v="5851.4229624541904"/>
    <n v="21065.1226648351"/>
  </r>
  <r>
    <x v="0"/>
    <x v="0"/>
    <x v="0"/>
    <x v="3"/>
    <x v="10"/>
    <s v="SE2_OTHER"/>
    <x v="2"/>
    <s v="GHOB_WASTEHEAT"/>
    <x v="0"/>
    <x v="18"/>
    <n v="16.031295787545702"/>
    <n v="5851.4229624541904"/>
    <n v="21065.1226648351"/>
  </r>
  <r>
    <x v="0"/>
    <x v="0"/>
    <x v="0"/>
    <x v="3"/>
    <x v="10"/>
    <s v="SE2_OTHER"/>
    <x v="2"/>
    <s v="GHOB_WASTEHEAT"/>
    <x v="0"/>
    <x v="19"/>
    <n v="16.031295787545702"/>
    <n v="5851.4229624541904"/>
    <n v="21065.1226648351"/>
  </r>
  <r>
    <x v="0"/>
    <x v="0"/>
    <x v="0"/>
    <x v="3"/>
    <x v="10"/>
    <s v="SE2_OTHER"/>
    <x v="2"/>
    <s v="GHOB_WASTEHEAT"/>
    <x v="0"/>
    <x v="20"/>
    <n v="16.031295787545702"/>
    <n v="5851.4229624541904"/>
    <n v="21065.1226648351"/>
  </r>
  <r>
    <x v="0"/>
    <x v="0"/>
    <x v="0"/>
    <x v="3"/>
    <x v="10"/>
    <s v="SE2_OTHER"/>
    <x v="2"/>
    <s v="GHOB_WASTEHEAT"/>
    <x v="0"/>
    <x v="21"/>
    <n v="16.031295787545702"/>
    <n v="5851.4229624541904"/>
    <n v="21065.1226648351"/>
  </r>
  <r>
    <x v="0"/>
    <x v="0"/>
    <x v="0"/>
    <x v="3"/>
    <x v="10"/>
    <s v="SE2_OTHER"/>
    <x v="2"/>
    <s v="GHOB_WASTEHEAT"/>
    <x v="0"/>
    <x v="22"/>
    <n v="16.031295787545702"/>
    <n v="5851.4229624541904"/>
    <n v="21065.1226648351"/>
  </r>
  <r>
    <x v="0"/>
    <x v="0"/>
    <x v="0"/>
    <x v="3"/>
    <x v="10"/>
    <s v="SE2_OTHER"/>
    <x v="2"/>
    <s v="GHOB_WASTEHEAT"/>
    <x v="0"/>
    <x v="23"/>
    <n v="16.031295787545702"/>
    <n v="5851.4229624541904"/>
    <n v="21065.1226648351"/>
  </r>
  <r>
    <x v="0"/>
    <x v="0"/>
    <x v="0"/>
    <x v="3"/>
    <x v="10"/>
    <s v="SE2_OTHER"/>
    <x v="7"/>
    <s v="GBPR_WOODWASTE_36"/>
    <x v="0"/>
    <x v="0"/>
    <n v="99.038453275678094"/>
    <n v="36149.035445622503"/>
    <n v="130136.527604241"/>
  </r>
  <r>
    <x v="0"/>
    <x v="0"/>
    <x v="0"/>
    <x v="3"/>
    <x v="10"/>
    <s v="SE2_OTHER"/>
    <x v="7"/>
    <s v="GBPR_WOODWASTE_36"/>
    <x v="0"/>
    <x v="1"/>
    <n v="99.038453275678094"/>
    <n v="36149.035445622503"/>
    <n v="130136.527604241"/>
  </r>
  <r>
    <x v="0"/>
    <x v="0"/>
    <x v="0"/>
    <x v="3"/>
    <x v="10"/>
    <s v="SE2_OTHER"/>
    <x v="7"/>
    <s v="GBPR_WOODWASTE_36"/>
    <x v="0"/>
    <x v="2"/>
    <n v="99.038453275678094"/>
    <n v="36149.035445622503"/>
    <n v="130136.527604241"/>
  </r>
  <r>
    <x v="0"/>
    <x v="0"/>
    <x v="0"/>
    <x v="3"/>
    <x v="10"/>
    <s v="SE2_OTHER"/>
    <x v="7"/>
    <s v="GBPR_WOODWASTE_36"/>
    <x v="0"/>
    <x v="3"/>
    <n v="99.038453275678094"/>
    <n v="36149.035445622503"/>
    <n v="130136.527604241"/>
  </r>
  <r>
    <x v="0"/>
    <x v="0"/>
    <x v="0"/>
    <x v="3"/>
    <x v="10"/>
    <s v="SE2_OTHER"/>
    <x v="7"/>
    <s v="GBPR_WOODWASTE_36"/>
    <x v="0"/>
    <x v="4"/>
    <n v="99.038453275678094"/>
    <n v="36149.035445622503"/>
    <n v="130136.527604241"/>
  </r>
  <r>
    <x v="0"/>
    <x v="0"/>
    <x v="0"/>
    <x v="3"/>
    <x v="10"/>
    <s v="SE2_OTHER"/>
    <x v="7"/>
    <s v="GBPR_WOODWASTE_36"/>
    <x v="0"/>
    <x v="5"/>
    <n v="99.038453275678094"/>
    <n v="36149.035445622503"/>
    <n v="130136.527604241"/>
  </r>
  <r>
    <x v="0"/>
    <x v="0"/>
    <x v="0"/>
    <x v="3"/>
    <x v="10"/>
    <s v="SE2_OTHER"/>
    <x v="7"/>
    <s v="GBPR_WOODWASTE_36"/>
    <x v="0"/>
    <x v="6"/>
    <n v="99.038453275678094"/>
    <n v="36149.035445622503"/>
    <n v="130136.527604241"/>
  </r>
  <r>
    <x v="0"/>
    <x v="0"/>
    <x v="0"/>
    <x v="3"/>
    <x v="10"/>
    <s v="SE2_OTHER"/>
    <x v="7"/>
    <s v="GBPR_WOODWASTE_36"/>
    <x v="0"/>
    <x v="7"/>
    <n v="99.038453275678094"/>
    <n v="36149.035445622503"/>
    <n v="130136.527604241"/>
  </r>
  <r>
    <x v="0"/>
    <x v="0"/>
    <x v="0"/>
    <x v="3"/>
    <x v="10"/>
    <s v="SE2_OTHER"/>
    <x v="7"/>
    <s v="GBPR_WOODWASTE_36"/>
    <x v="0"/>
    <x v="8"/>
    <n v="99.038453275678094"/>
    <n v="36149.035445622503"/>
    <n v="130136.527604241"/>
  </r>
  <r>
    <x v="0"/>
    <x v="0"/>
    <x v="0"/>
    <x v="3"/>
    <x v="10"/>
    <s v="SE2_OTHER"/>
    <x v="7"/>
    <s v="GBPR_WOODWASTE_36"/>
    <x v="0"/>
    <x v="9"/>
    <n v="99.038453275678094"/>
    <n v="36149.035445622503"/>
    <n v="130136.527604241"/>
  </r>
  <r>
    <x v="0"/>
    <x v="0"/>
    <x v="0"/>
    <x v="3"/>
    <x v="10"/>
    <s v="SE2_OTHER"/>
    <x v="7"/>
    <s v="GBPR_WOODWASTE_36"/>
    <x v="0"/>
    <x v="10"/>
    <n v="99.038453275678094"/>
    <n v="36149.035445622503"/>
    <n v="130136.527604241"/>
  </r>
  <r>
    <x v="0"/>
    <x v="0"/>
    <x v="0"/>
    <x v="3"/>
    <x v="10"/>
    <s v="SE2_OTHER"/>
    <x v="7"/>
    <s v="GBPR_WOODWASTE_36"/>
    <x v="0"/>
    <x v="11"/>
    <n v="99.038453275678094"/>
    <n v="36149.035445622503"/>
    <n v="130136.527604241"/>
  </r>
  <r>
    <x v="0"/>
    <x v="0"/>
    <x v="0"/>
    <x v="3"/>
    <x v="10"/>
    <s v="SE2_OTHER"/>
    <x v="7"/>
    <s v="GBPR_WOODWASTE_36"/>
    <x v="0"/>
    <x v="12"/>
    <n v="99.038453275678094"/>
    <n v="36149.035445622503"/>
    <n v="130136.527604241"/>
  </r>
  <r>
    <x v="0"/>
    <x v="0"/>
    <x v="0"/>
    <x v="3"/>
    <x v="10"/>
    <s v="SE2_OTHER"/>
    <x v="7"/>
    <s v="GBPR_WOODWASTE_36"/>
    <x v="0"/>
    <x v="13"/>
    <n v="99.038453275678094"/>
    <n v="36149.035445622503"/>
    <n v="130136.527604241"/>
  </r>
  <r>
    <x v="0"/>
    <x v="0"/>
    <x v="0"/>
    <x v="3"/>
    <x v="10"/>
    <s v="SE2_OTHER"/>
    <x v="7"/>
    <s v="GBPR_WOODWASTE_36"/>
    <x v="0"/>
    <x v="14"/>
    <n v="99.038453275678094"/>
    <n v="36149.035445622503"/>
    <n v="130136.527604241"/>
  </r>
  <r>
    <x v="0"/>
    <x v="0"/>
    <x v="0"/>
    <x v="3"/>
    <x v="10"/>
    <s v="SE2_OTHER"/>
    <x v="7"/>
    <s v="GBPR_WOODWASTE_36"/>
    <x v="0"/>
    <x v="15"/>
    <n v="99.038453275678094"/>
    <n v="36149.035445622503"/>
    <n v="130136.527604241"/>
  </r>
  <r>
    <x v="0"/>
    <x v="0"/>
    <x v="0"/>
    <x v="3"/>
    <x v="10"/>
    <s v="SE2_OTHER"/>
    <x v="7"/>
    <s v="GBPR_WOODWASTE_36"/>
    <x v="0"/>
    <x v="16"/>
    <n v="99.038453275678094"/>
    <n v="36149.035445622503"/>
    <n v="130136.527604241"/>
  </r>
  <r>
    <x v="0"/>
    <x v="0"/>
    <x v="0"/>
    <x v="3"/>
    <x v="10"/>
    <s v="SE2_OTHER"/>
    <x v="7"/>
    <s v="GBPR_WOODWASTE_36"/>
    <x v="0"/>
    <x v="17"/>
    <n v="99.038453275678094"/>
    <n v="36149.035445622503"/>
    <n v="130136.527604241"/>
  </r>
  <r>
    <x v="0"/>
    <x v="0"/>
    <x v="0"/>
    <x v="3"/>
    <x v="10"/>
    <s v="SE2_OTHER"/>
    <x v="7"/>
    <s v="GBPR_WOODWASTE_36"/>
    <x v="0"/>
    <x v="18"/>
    <n v="99.038453275678094"/>
    <n v="36149.035445622503"/>
    <n v="130136.527604241"/>
  </r>
  <r>
    <x v="0"/>
    <x v="0"/>
    <x v="0"/>
    <x v="3"/>
    <x v="10"/>
    <s v="SE2_OTHER"/>
    <x v="7"/>
    <s v="GBPR_WOODWASTE_36"/>
    <x v="0"/>
    <x v="19"/>
    <n v="99.038453275678094"/>
    <n v="36149.035445622503"/>
    <n v="130136.527604241"/>
  </r>
  <r>
    <x v="0"/>
    <x v="0"/>
    <x v="0"/>
    <x v="3"/>
    <x v="10"/>
    <s v="SE2_OTHER"/>
    <x v="7"/>
    <s v="GBPR_WOODWASTE_36"/>
    <x v="0"/>
    <x v="20"/>
    <n v="99.038453275678094"/>
    <n v="36149.035445622503"/>
    <n v="130136.527604241"/>
  </r>
  <r>
    <x v="0"/>
    <x v="0"/>
    <x v="0"/>
    <x v="3"/>
    <x v="10"/>
    <s v="SE2_OTHER"/>
    <x v="7"/>
    <s v="GBPR_WOODWASTE_36"/>
    <x v="0"/>
    <x v="21"/>
    <n v="99.038453275678094"/>
    <n v="36149.035445622503"/>
    <n v="130136.527604241"/>
  </r>
  <r>
    <x v="0"/>
    <x v="0"/>
    <x v="0"/>
    <x v="3"/>
    <x v="10"/>
    <s v="SE2_OTHER"/>
    <x v="7"/>
    <s v="GBPR_WOODWASTE_36"/>
    <x v="0"/>
    <x v="22"/>
    <n v="99.038453275678094"/>
    <n v="36149.035445622503"/>
    <n v="130136.527604241"/>
  </r>
  <r>
    <x v="0"/>
    <x v="0"/>
    <x v="0"/>
    <x v="3"/>
    <x v="10"/>
    <s v="SE2_OTHER"/>
    <x v="7"/>
    <s v="GBPR_WOODWASTE_36"/>
    <x v="0"/>
    <x v="23"/>
    <n v="99.038453275678094"/>
    <n v="36149.035445622503"/>
    <n v="130136.527604241"/>
  </r>
  <r>
    <x v="0"/>
    <x v="0"/>
    <x v="0"/>
    <x v="3"/>
    <x v="10"/>
    <s v="SE2_OTHER"/>
    <x v="7"/>
    <s v="GHOB_WOODWASTE"/>
    <x v="0"/>
    <x v="0"/>
    <n v="24.486383320979101"/>
    <n v="8937.5299121573498"/>
    <n v="32175.107683766499"/>
  </r>
  <r>
    <x v="0"/>
    <x v="0"/>
    <x v="0"/>
    <x v="3"/>
    <x v="10"/>
    <s v="SE2_OTHER"/>
    <x v="7"/>
    <s v="GHOB_WOODWASTE"/>
    <x v="0"/>
    <x v="1"/>
    <n v="27.7251540225868"/>
    <n v="10119.681218244201"/>
    <n v="36430.8523856791"/>
  </r>
  <r>
    <x v="0"/>
    <x v="0"/>
    <x v="0"/>
    <x v="3"/>
    <x v="10"/>
    <s v="SE2_OTHER"/>
    <x v="7"/>
    <s v="GHOB_WOODWASTE"/>
    <x v="0"/>
    <x v="2"/>
    <n v="31.604587375287799"/>
    <n v="11535.674391979999"/>
    <n v="41528.427811128102"/>
  </r>
  <r>
    <x v="0"/>
    <x v="0"/>
    <x v="0"/>
    <x v="3"/>
    <x v="10"/>
    <s v="SE2_OTHER"/>
    <x v="7"/>
    <s v="GHOB_WOODWASTE"/>
    <x v="0"/>
    <x v="3"/>
    <n v="38.203065456828199"/>
    <n v="13944.118891742301"/>
    <n v="50198.828010272198"/>
  </r>
  <r>
    <x v="0"/>
    <x v="0"/>
    <x v="0"/>
    <x v="3"/>
    <x v="10"/>
    <s v="SE2_OTHER"/>
    <x v="7"/>
    <s v="GHOB_WOODWASTE"/>
    <x v="0"/>
    <x v="4"/>
    <n v="46.938126909624302"/>
    <n v="17132.416322012901"/>
    <n v="61676.698759246297"/>
  </r>
  <r>
    <x v="0"/>
    <x v="0"/>
    <x v="0"/>
    <x v="3"/>
    <x v="10"/>
    <s v="SE2_OTHER"/>
    <x v="7"/>
    <s v="GHOB_WOODWASTE"/>
    <x v="0"/>
    <x v="5"/>
    <n v="63.552524082436904"/>
    <n v="23196.6712900895"/>
    <n v="83508.016644322095"/>
  </r>
  <r>
    <x v="0"/>
    <x v="0"/>
    <x v="0"/>
    <x v="3"/>
    <x v="10"/>
    <s v="SE2_OTHER"/>
    <x v="7"/>
    <s v="GHOB_WOODWASTE"/>
    <x v="0"/>
    <x v="6"/>
    <n v="100.46560773829999"/>
    <n v="36669.946824479601"/>
    <n v="132011.80856812699"/>
  </r>
  <r>
    <x v="0"/>
    <x v="0"/>
    <x v="0"/>
    <x v="3"/>
    <x v="10"/>
    <s v="SE2_OTHER"/>
    <x v="7"/>
    <s v="GHOB_WOODWASTE"/>
    <x v="0"/>
    <x v="7"/>
    <n v="117.894811493422"/>
    <n v="43031.606195098902"/>
    <n v="154913.782302356"/>
  </r>
  <r>
    <x v="0"/>
    <x v="0"/>
    <x v="0"/>
    <x v="3"/>
    <x v="10"/>
    <s v="SE2_OTHER"/>
    <x v="7"/>
    <s v="GHOB_WOODWASTE"/>
    <x v="0"/>
    <x v="8"/>
    <n v="118.351107628723"/>
    <n v="43198.154284484102"/>
    <n v="155513.355424143"/>
  </r>
  <r>
    <x v="0"/>
    <x v="0"/>
    <x v="0"/>
    <x v="3"/>
    <x v="10"/>
    <s v="SE2_OTHER"/>
    <x v="7"/>
    <s v="GHOB_WOODWASTE"/>
    <x v="0"/>
    <x v="9"/>
    <n v="113.23125487729899"/>
    <n v="41329.408030214203"/>
    <n v="148785.86890877099"/>
  </r>
  <r>
    <x v="0"/>
    <x v="0"/>
    <x v="0"/>
    <x v="3"/>
    <x v="10"/>
    <s v="SE2_OTHER"/>
    <x v="7"/>
    <s v="GHOB_WOODWASTE"/>
    <x v="0"/>
    <x v="10"/>
    <n v="108.022924820116"/>
    <n v="39428.367559342201"/>
    <n v="141942.123213632"/>
  </r>
  <r>
    <x v="0"/>
    <x v="0"/>
    <x v="0"/>
    <x v="3"/>
    <x v="10"/>
    <s v="SE2_OTHER"/>
    <x v="7"/>
    <s v="GHOB_WOODWASTE"/>
    <x v="0"/>
    <x v="11"/>
    <n v="103.663144917257"/>
    <n v="37837.047894798699"/>
    <n v="136213.37242127501"/>
  </r>
  <r>
    <x v="0"/>
    <x v="0"/>
    <x v="0"/>
    <x v="3"/>
    <x v="10"/>
    <s v="SE2_OTHER"/>
    <x v="7"/>
    <s v="GHOB_WOODWASTE"/>
    <x v="0"/>
    <x v="12"/>
    <n v="94.665802070778795"/>
    <n v="34553.017755834298"/>
    <n v="124390.86392100299"/>
  </r>
  <r>
    <x v="0"/>
    <x v="0"/>
    <x v="0"/>
    <x v="3"/>
    <x v="10"/>
    <s v="SE2_OTHER"/>
    <x v="7"/>
    <s v="GHOB_WOODWASTE"/>
    <x v="0"/>
    <x v="13"/>
    <n v="90.222487425017107"/>
    <n v="32931.207910131197"/>
    <n v="118552.34847647201"/>
  </r>
  <r>
    <x v="0"/>
    <x v="0"/>
    <x v="0"/>
    <x v="3"/>
    <x v="10"/>
    <s v="SE2_OTHER"/>
    <x v="7"/>
    <s v="GHOB_WOODWASTE"/>
    <x v="0"/>
    <x v="14"/>
    <n v="89.617023649603496"/>
    <n v="32710.2136321053"/>
    <n v="117756.769075579"/>
  </r>
  <r>
    <x v="0"/>
    <x v="0"/>
    <x v="0"/>
    <x v="3"/>
    <x v="10"/>
    <s v="SE2_OTHER"/>
    <x v="7"/>
    <s v="GHOB_WOODWASTE"/>
    <x v="0"/>
    <x v="15"/>
    <n v="88.808903230055705"/>
    <n v="32415.2496789703"/>
    <n v="116694.898844293"/>
  </r>
  <r>
    <x v="0"/>
    <x v="0"/>
    <x v="0"/>
    <x v="3"/>
    <x v="10"/>
    <s v="SE2_OTHER"/>
    <x v="7"/>
    <s v="GHOB_WOODWASTE"/>
    <x v="0"/>
    <x v="16"/>
    <n v="86.397614254043901"/>
    <n v="31535.129202725999"/>
    <n v="113526.46512981399"/>
  </r>
  <r>
    <x v="0"/>
    <x v="0"/>
    <x v="0"/>
    <x v="3"/>
    <x v="10"/>
    <s v="SE2_OTHER"/>
    <x v="7"/>
    <s v="GHOB_WOODWASTE"/>
    <x v="0"/>
    <x v="17"/>
    <n v="83.777593885563107"/>
    <n v="30578.8217682305"/>
    <n v="110083.75836563"/>
  </r>
  <r>
    <x v="0"/>
    <x v="0"/>
    <x v="0"/>
    <x v="3"/>
    <x v="10"/>
    <s v="SE2_OTHER"/>
    <x v="7"/>
    <s v="GHOB_WOODWASTE"/>
    <x v="0"/>
    <x v="18"/>
    <n v="80.787073211348101"/>
    <n v="29487.281722142001"/>
    <n v="106154.214199711"/>
  </r>
  <r>
    <x v="0"/>
    <x v="0"/>
    <x v="0"/>
    <x v="3"/>
    <x v="10"/>
    <s v="SE2_OTHER"/>
    <x v="7"/>
    <s v="GHOB_WOODWASTE"/>
    <x v="0"/>
    <x v="19"/>
    <n v="80.632506432223494"/>
    <n v="29430.864847761601"/>
    <n v="105951.113451942"/>
  </r>
  <r>
    <x v="0"/>
    <x v="0"/>
    <x v="0"/>
    <x v="3"/>
    <x v="10"/>
    <s v="SE2_OTHER"/>
    <x v="7"/>
    <s v="GHOB_WOODWASTE"/>
    <x v="0"/>
    <x v="20"/>
    <n v="75.558800594251295"/>
    <n v="27578.962216901698"/>
    <n v="99284.263980846197"/>
  </r>
  <r>
    <x v="0"/>
    <x v="0"/>
    <x v="0"/>
    <x v="3"/>
    <x v="10"/>
    <s v="SE2_OTHER"/>
    <x v="7"/>
    <s v="GHOB_WOODWASTE"/>
    <x v="0"/>
    <x v="21"/>
    <n v="69.538929834626003"/>
    <n v="25381.709389638501"/>
    <n v="91374.153802698595"/>
  </r>
  <r>
    <x v="0"/>
    <x v="0"/>
    <x v="0"/>
    <x v="3"/>
    <x v="10"/>
    <s v="SE2_OTHER"/>
    <x v="7"/>
    <s v="GHOB_WOODWASTE"/>
    <x v="0"/>
    <x v="22"/>
    <n v="60.660135497168703"/>
    <n v="22140.949456466598"/>
    <n v="79707.4180432797"/>
  </r>
  <r>
    <x v="0"/>
    <x v="0"/>
    <x v="0"/>
    <x v="3"/>
    <x v="10"/>
    <s v="SE2_OTHER"/>
    <x v="7"/>
    <s v="GHOB_WOODWASTE"/>
    <x v="0"/>
    <x v="23"/>
    <n v="46.706098402205697"/>
    <n v="17047.725916805099"/>
    <n v="61371.813300498397"/>
  </r>
  <r>
    <x v="0"/>
    <x v="0"/>
    <x v="0"/>
    <x v="3"/>
    <x v="11"/>
    <s v="SE3_EL"/>
    <x v="0"/>
    <s v="GEXT_COAL_LINK"/>
    <x v="0"/>
    <x v="0"/>
    <n v="19.976819470635402"/>
    <n v="7291.53910678191"/>
    <n v="26249.540784414901"/>
  </r>
  <r>
    <x v="0"/>
    <x v="0"/>
    <x v="0"/>
    <x v="3"/>
    <x v="11"/>
    <s v="SE3_EL"/>
    <x v="0"/>
    <s v="GEXT_COAL_LINK"/>
    <x v="0"/>
    <x v="1"/>
    <n v="25.125960181834301"/>
    <n v="9170.9754663695294"/>
    <n v="33015.511678930299"/>
  </r>
  <r>
    <x v="0"/>
    <x v="0"/>
    <x v="0"/>
    <x v="3"/>
    <x v="11"/>
    <s v="SE3_EL"/>
    <x v="0"/>
    <s v="GEXT_COAL_LINK"/>
    <x v="0"/>
    <x v="2"/>
    <n v="25.125960181834301"/>
    <n v="9170.9754663695294"/>
    <n v="33015.511678930299"/>
  </r>
  <r>
    <x v="0"/>
    <x v="0"/>
    <x v="0"/>
    <x v="3"/>
    <x v="11"/>
    <s v="SE3_EL"/>
    <x v="0"/>
    <s v="GEXT_COAL_LINK"/>
    <x v="0"/>
    <x v="3"/>
    <n v="25.125960181834301"/>
    <n v="9170.9754663695294"/>
    <n v="33015.511678930299"/>
  </r>
  <r>
    <x v="0"/>
    <x v="0"/>
    <x v="0"/>
    <x v="3"/>
    <x v="11"/>
    <s v="SE3_EL"/>
    <x v="0"/>
    <s v="GEXT_COAL_LINK"/>
    <x v="0"/>
    <x v="4"/>
    <n v="25.125960181834301"/>
    <n v="9170.9754663695294"/>
    <n v="33015.511678930299"/>
  </r>
  <r>
    <x v="0"/>
    <x v="0"/>
    <x v="0"/>
    <x v="3"/>
    <x v="11"/>
    <s v="SE3_EL"/>
    <x v="0"/>
    <s v="GEXT_COAL_LINK"/>
    <x v="0"/>
    <x v="5"/>
    <n v="25.125960181834301"/>
    <n v="9170.9754663695294"/>
    <n v="33015.511678930299"/>
  </r>
  <r>
    <x v="0"/>
    <x v="0"/>
    <x v="0"/>
    <x v="3"/>
    <x v="11"/>
    <s v="SE3_EL"/>
    <x v="0"/>
    <s v="GEXT_COAL_LINK"/>
    <x v="0"/>
    <x v="6"/>
    <n v="25.125960181834301"/>
    <n v="9170.9754663695294"/>
    <n v="33015.511678930299"/>
  </r>
  <r>
    <x v="0"/>
    <x v="0"/>
    <x v="0"/>
    <x v="3"/>
    <x v="11"/>
    <s v="SE3_EL"/>
    <x v="0"/>
    <s v="GEXT_COAL_LINK"/>
    <x v="0"/>
    <x v="7"/>
    <n v="25.125960181834301"/>
    <n v="9170.9754663695294"/>
    <n v="33015.511678930299"/>
  </r>
  <r>
    <x v="0"/>
    <x v="0"/>
    <x v="0"/>
    <x v="3"/>
    <x v="11"/>
    <s v="SE3_EL"/>
    <x v="0"/>
    <s v="GEXT_COAL_LINK"/>
    <x v="0"/>
    <x v="8"/>
    <n v="25.125960181834301"/>
    <n v="9170.9754663695294"/>
    <n v="33015.511678930299"/>
  </r>
  <r>
    <x v="0"/>
    <x v="0"/>
    <x v="0"/>
    <x v="3"/>
    <x v="11"/>
    <s v="SE3_EL"/>
    <x v="0"/>
    <s v="GEXT_COAL_LINK"/>
    <x v="0"/>
    <x v="9"/>
    <n v="25.125960181834301"/>
    <n v="9170.9754663695294"/>
    <n v="33015.511678930299"/>
  </r>
  <r>
    <x v="0"/>
    <x v="0"/>
    <x v="0"/>
    <x v="3"/>
    <x v="11"/>
    <s v="SE3_EL"/>
    <x v="0"/>
    <s v="GEXT_COAL_LINK"/>
    <x v="0"/>
    <x v="10"/>
    <n v="25.125960181834301"/>
    <n v="9170.9754663695294"/>
    <n v="33015.511678930299"/>
  </r>
  <r>
    <x v="0"/>
    <x v="0"/>
    <x v="0"/>
    <x v="3"/>
    <x v="11"/>
    <s v="SE3_EL"/>
    <x v="0"/>
    <s v="GEXT_COAL_LINK"/>
    <x v="0"/>
    <x v="11"/>
    <n v="25.125960181834301"/>
    <n v="9170.9754663695294"/>
    <n v="33015.511678930299"/>
  </r>
  <r>
    <x v="0"/>
    <x v="0"/>
    <x v="0"/>
    <x v="3"/>
    <x v="11"/>
    <s v="SE3_EL"/>
    <x v="0"/>
    <s v="GEXT_COAL_LINK"/>
    <x v="0"/>
    <x v="12"/>
    <n v="25.125960181834301"/>
    <n v="9170.9754663695294"/>
    <n v="33015.511678930299"/>
  </r>
  <r>
    <x v="0"/>
    <x v="0"/>
    <x v="0"/>
    <x v="3"/>
    <x v="11"/>
    <s v="SE3_EL"/>
    <x v="0"/>
    <s v="GEXT_COAL_LINK"/>
    <x v="0"/>
    <x v="13"/>
    <n v="25.125960181834301"/>
    <n v="9170.9754663695294"/>
    <n v="33015.511678930299"/>
  </r>
  <r>
    <x v="0"/>
    <x v="0"/>
    <x v="0"/>
    <x v="3"/>
    <x v="11"/>
    <s v="SE3_EL"/>
    <x v="0"/>
    <s v="GEXT_COAL_LINK"/>
    <x v="0"/>
    <x v="14"/>
    <n v="25.125960181834301"/>
    <n v="9170.9754663695294"/>
    <n v="33015.511678930299"/>
  </r>
  <r>
    <x v="0"/>
    <x v="0"/>
    <x v="0"/>
    <x v="3"/>
    <x v="11"/>
    <s v="SE3_EL"/>
    <x v="0"/>
    <s v="GEXT_COAL_LINK"/>
    <x v="0"/>
    <x v="15"/>
    <n v="25.125960181834301"/>
    <n v="9170.9754663695294"/>
    <n v="33015.511678930299"/>
  </r>
  <r>
    <x v="0"/>
    <x v="0"/>
    <x v="0"/>
    <x v="3"/>
    <x v="11"/>
    <s v="SE3_EL"/>
    <x v="0"/>
    <s v="GEXT_COAL_LINK"/>
    <x v="0"/>
    <x v="16"/>
    <n v="25.125960181834301"/>
    <n v="9170.9754663695294"/>
    <n v="33015.511678930299"/>
  </r>
  <r>
    <x v="0"/>
    <x v="0"/>
    <x v="0"/>
    <x v="3"/>
    <x v="11"/>
    <s v="SE3_EL"/>
    <x v="0"/>
    <s v="GEXT_COAL_LINK"/>
    <x v="0"/>
    <x v="17"/>
    <n v="25.125960181834301"/>
    <n v="9170.9754663695294"/>
    <n v="33015.511678930299"/>
  </r>
  <r>
    <x v="0"/>
    <x v="0"/>
    <x v="0"/>
    <x v="3"/>
    <x v="11"/>
    <s v="SE3_EL"/>
    <x v="0"/>
    <s v="GEXT_COAL_LINK"/>
    <x v="0"/>
    <x v="18"/>
    <n v="25.125960181834301"/>
    <n v="9170.9754663695294"/>
    <n v="33015.511678930299"/>
  </r>
  <r>
    <x v="0"/>
    <x v="0"/>
    <x v="0"/>
    <x v="3"/>
    <x v="11"/>
    <s v="SE3_EL"/>
    <x v="0"/>
    <s v="GEXT_COAL_LINK"/>
    <x v="0"/>
    <x v="19"/>
    <n v="25.125960181834301"/>
    <n v="9170.9754663695294"/>
    <n v="33015.511678930299"/>
  </r>
  <r>
    <x v="0"/>
    <x v="0"/>
    <x v="0"/>
    <x v="3"/>
    <x v="11"/>
    <s v="SE3_EL"/>
    <x v="0"/>
    <s v="GEXT_COAL_LINK"/>
    <x v="0"/>
    <x v="20"/>
    <n v="25.125960181834301"/>
    <n v="9170.9754663695294"/>
    <n v="33015.511678930299"/>
  </r>
  <r>
    <x v="0"/>
    <x v="0"/>
    <x v="0"/>
    <x v="3"/>
    <x v="11"/>
    <s v="SE3_EL"/>
    <x v="0"/>
    <s v="GEXT_COAL_LINK"/>
    <x v="0"/>
    <x v="21"/>
    <n v="25.125960181834301"/>
    <n v="9170.9754663695294"/>
    <n v="33015.511678930299"/>
  </r>
  <r>
    <x v="0"/>
    <x v="0"/>
    <x v="0"/>
    <x v="3"/>
    <x v="11"/>
    <s v="SE3_EL"/>
    <x v="0"/>
    <s v="GEXT_COAL_LINK"/>
    <x v="0"/>
    <x v="22"/>
    <n v="25.125960181834301"/>
    <n v="9170.9754663695294"/>
    <n v="33015.511678930299"/>
  </r>
  <r>
    <x v="0"/>
    <x v="0"/>
    <x v="0"/>
    <x v="3"/>
    <x v="11"/>
    <s v="SE3_EL"/>
    <x v="0"/>
    <s v="GEXT_COAL_LINK"/>
    <x v="0"/>
    <x v="23"/>
    <n v="25.125960181834301"/>
    <n v="9170.9754663695294"/>
    <n v="33015.511678930299"/>
  </r>
  <r>
    <x v="0"/>
    <x v="0"/>
    <x v="0"/>
    <x v="3"/>
    <x v="11"/>
    <s v="SE3_EL"/>
    <x v="3"/>
    <s v="GETOH_ELECTRICBOILER"/>
    <x v="0"/>
    <x v="7"/>
    <n v="43.888637967194498"/>
    <n v="16019.352858026001"/>
    <n v="57669.670288893598"/>
  </r>
  <r>
    <x v="0"/>
    <x v="0"/>
    <x v="0"/>
    <x v="3"/>
    <x v="11"/>
    <s v="SE3_EL"/>
    <x v="3"/>
    <s v="GETOH_ELECTRICBOILER"/>
    <x v="0"/>
    <x v="8"/>
    <n v="18.621362301579801"/>
    <n v="6796.7972400766103"/>
    <n v="24468.4700642758"/>
  </r>
  <r>
    <x v="0"/>
    <x v="0"/>
    <x v="0"/>
    <x v="3"/>
    <x v="11"/>
    <s v="SE3_EL"/>
    <x v="3"/>
    <s v="GETOH_HEATPUMP33"/>
    <x v="0"/>
    <x v="0"/>
    <n v="54.24"/>
    <n v="19797.599999999999"/>
    <n v="71271.360000000001"/>
  </r>
  <r>
    <x v="0"/>
    <x v="0"/>
    <x v="0"/>
    <x v="3"/>
    <x v="11"/>
    <s v="SE3_EL"/>
    <x v="3"/>
    <s v="GETOH_HEATPUMP33"/>
    <x v="0"/>
    <x v="1"/>
    <n v="54.24"/>
    <n v="19797.599999999999"/>
    <n v="71271.360000000001"/>
  </r>
  <r>
    <x v="0"/>
    <x v="0"/>
    <x v="0"/>
    <x v="3"/>
    <x v="11"/>
    <s v="SE3_EL"/>
    <x v="3"/>
    <s v="GETOH_HEATPUMP33"/>
    <x v="0"/>
    <x v="2"/>
    <n v="54.24"/>
    <n v="19797.599999999999"/>
    <n v="71271.360000000001"/>
  </r>
  <r>
    <x v="0"/>
    <x v="0"/>
    <x v="0"/>
    <x v="3"/>
    <x v="11"/>
    <s v="SE3_EL"/>
    <x v="3"/>
    <s v="GETOH_HEATPUMP33"/>
    <x v="0"/>
    <x v="3"/>
    <n v="54.24"/>
    <n v="19797.599999999999"/>
    <n v="71271.360000000001"/>
  </r>
  <r>
    <x v="0"/>
    <x v="0"/>
    <x v="0"/>
    <x v="3"/>
    <x v="11"/>
    <s v="SE3_EL"/>
    <x v="3"/>
    <s v="GETOH_HEATPUMP33"/>
    <x v="0"/>
    <x v="4"/>
    <n v="54.24"/>
    <n v="19797.599999999999"/>
    <n v="71271.360000000001"/>
  </r>
  <r>
    <x v="0"/>
    <x v="0"/>
    <x v="0"/>
    <x v="3"/>
    <x v="11"/>
    <s v="SE3_EL"/>
    <x v="3"/>
    <s v="GETOH_HEATPUMP33"/>
    <x v="0"/>
    <x v="5"/>
    <n v="54.24"/>
    <n v="19797.599999999999"/>
    <n v="71271.360000000001"/>
  </r>
  <r>
    <x v="0"/>
    <x v="0"/>
    <x v="0"/>
    <x v="3"/>
    <x v="11"/>
    <s v="SE3_EL"/>
    <x v="3"/>
    <s v="GETOH_HEATPUMP33"/>
    <x v="0"/>
    <x v="6"/>
    <n v="54.24"/>
    <n v="19797.599999999999"/>
    <n v="71271.360000000001"/>
  </r>
  <r>
    <x v="0"/>
    <x v="0"/>
    <x v="0"/>
    <x v="3"/>
    <x v="11"/>
    <s v="SE3_EL"/>
    <x v="3"/>
    <s v="GETOH_HEATPUMP33"/>
    <x v="0"/>
    <x v="7"/>
    <n v="54.24"/>
    <n v="19797.599999999999"/>
    <n v="71271.360000000001"/>
  </r>
  <r>
    <x v="0"/>
    <x v="0"/>
    <x v="0"/>
    <x v="3"/>
    <x v="11"/>
    <s v="SE3_EL"/>
    <x v="3"/>
    <s v="GETOH_HEATPUMP33"/>
    <x v="0"/>
    <x v="8"/>
    <n v="54.24"/>
    <n v="19797.599999999999"/>
    <n v="71271.360000000001"/>
  </r>
  <r>
    <x v="0"/>
    <x v="0"/>
    <x v="0"/>
    <x v="3"/>
    <x v="11"/>
    <s v="SE3_EL"/>
    <x v="3"/>
    <s v="GETOH_HEATPUMP33"/>
    <x v="0"/>
    <x v="9"/>
    <n v="54.24"/>
    <n v="19797.599999999999"/>
    <n v="71271.360000000001"/>
  </r>
  <r>
    <x v="0"/>
    <x v="0"/>
    <x v="0"/>
    <x v="3"/>
    <x v="11"/>
    <s v="SE3_EL"/>
    <x v="3"/>
    <s v="GETOH_HEATPUMP33"/>
    <x v="0"/>
    <x v="10"/>
    <n v="54.24"/>
    <n v="19797.599999999999"/>
    <n v="71271.360000000001"/>
  </r>
  <r>
    <x v="0"/>
    <x v="0"/>
    <x v="0"/>
    <x v="3"/>
    <x v="11"/>
    <s v="SE3_EL"/>
    <x v="3"/>
    <s v="GETOH_HEATPUMP33"/>
    <x v="0"/>
    <x v="11"/>
    <n v="54.24"/>
    <n v="19797.599999999999"/>
    <n v="71271.360000000001"/>
  </r>
  <r>
    <x v="0"/>
    <x v="0"/>
    <x v="0"/>
    <x v="3"/>
    <x v="11"/>
    <s v="SE3_EL"/>
    <x v="3"/>
    <s v="GETOH_HEATPUMP33"/>
    <x v="0"/>
    <x v="12"/>
    <n v="54.24"/>
    <n v="19797.599999999999"/>
    <n v="71271.360000000001"/>
  </r>
  <r>
    <x v="0"/>
    <x v="0"/>
    <x v="0"/>
    <x v="3"/>
    <x v="11"/>
    <s v="SE3_EL"/>
    <x v="3"/>
    <s v="GETOH_HEATPUMP33"/>
    <x v="0"/>
    <x v="13"/>
    <n v="54.24"/>
    <n v="19797.599999999999"/>
    <n v="71271.360000000001"/>
  </r>
  <r>
    <x v="0"/>
    <x v="0"/>
    <x v="0"/>
    <x v="3"/>
    <x v="11"/>
    <s v="SE3_EL"/>
    <x v="3"/>
    <s v="GETOH_HEATPUMP33"/>
    <x v="0"/>
    <x v="14"/>
    <n v="54.24"/>
    <n v="19797.599999999999"/>
    <n v="71271.360000000001"/>
  </r>
  <r>
    <x v="0"/>
    <x v="0"/>
    <x v="0"/>
    <x v="3"/>
    <x v="11"/>
    <s v="SE3_EL"/>
    <x v="3"/>
    <s v="GETOH_HEATPUMP33"/>
    <x v="0"/>
    <x v="15"/>
    <n v="54.24"/>
    <n v="19797.599999999999"/>
    <n v="71271.360000000001"/>
  </r>
  <r>
    <x v="0"/>
    <x v="0"/>
    <x v="0"/>
    <x v="3"/>
    <x v="11"/>
    <s v="SE3_EL"/>
    <x v="3"/>
    <s v="GETOH_HEATPUMP33"/>
    <x v="0"/>
    <x v="16"/>
    <n v="54.24"/>
    <n v="19797.599999999999"/>
    <n v="71271.360000000001"/>
  </r>
  <r>
    <x v="0"/>
    <x v="0"/>
    <x v="0"/>
    <x v="3"/>
    <x v="11"/>
    <s v="SE3_EL"/>
    <x v="3"/>
    <s v="GETOH_HEATPUMP33"/>
    <x v="0"/>
    <x v="17"/>
    <n v="54.24"/>
    <n v="19797.599999999999"/>
    <n v="71271.360000000001"/>
  </r>
  <r>
    <x v="0"/>
    <x v="0"/>
    <x v="0"/>
    <x v="3"/>
    <x v="11"/>
    <s v="SE3_EL"/>
    <x v="3"/>
    <s v="GETOH_HEATPUMP33"/>
    <x v="0"/>
    <x v="18"/>
    <n v="54.24"/>
    <n v="19797.599999999999"/>
    <n v="71271.360000000001"/>
  </r>
  <r>
    <x v="0"/>
    <x v="0"/>
    <x v="0"/>
    <x v="3"/>
    <x v="11"/>
    <s v="SE3_EL"/>
    <x v="3"/>
    <s v="GETOH_HEATPUMP33"/>
    <x v="0"/>
    <x v="19"/>
    <n v="54.24"/>
    <n v="19797.599999999999"/>
    <n v="71271.360000000001"/>
  </r>
  <r>
    <x v="0"/>
    <x v="0"/>
    <x v="0"/>
    <x v="3"/>
    <x v="11"/>
    <s v="SE3_EL"/>
    <x v="3"/>
    <s v="GETOH_HEATPUMP33"/>
    <x v="0"/>
    <x v="20"/>
    <n v="54.24"/>
    <n v="19797.599999999999"/>
    <n v="71271.360000000001"/>
  </r>
  <r>
    <x v="0"/>
    <x v="0"/>
    <x v="0"/>
    <x v="3"/>
    <x v="11"/>
    <s v="SE3_EL"/>
    <x v="3"/>
    <s v="GETOH_HEATPUMP33"/>
    <x v="0"/>
    <x v="21"/>
    <n v="54.24"/>
    <n v="19797.599999999999"/>
    <n v="71271.360000000001"/>
  </r>
  <r>
    <x v="0"/>
    <x v="0"/>
    <x v="0"/>
    <x v="3"/>
    <x v="11"/>
    <s v="SE3_EL"/>
    <x v="3"/>
    <s v="GETOH_HEATPUMP33"/>
    <x v="0"/>
    <x v="22"/>
    <n v="54.24"/>
    <n v="19797.599999999999"/>
    <n v="71271.360000000001"/>
  </r>
  <r>
    <x v="0"/>
    <x v="0"/>
    <x v="0"/>
    <x v="3"/>
    <x v="11"/>
    <s v="SE3_EL"/>
    <x v="3"/>
    <s v="GETOH_HEATPUMP33"/>
    <x v="0"/>
    <x v="23"/>
    <n v="54.24"/>
    <n v="19797.599999999999"/>
    <n v="71271.360000000001"/>
  </r>
  <r>
    <x v="0"/>
    <x v="0"/>
    <x v="0"/>
    <x v="3"/>
    <x v="11"/>
    <s v="SE3_EL"/>
    <x v="1"/>
    <s v="GBPR_MUNIWASTE_24"/>
    <x v="0"/>
    <x v="0"/>
    <n v="174.20590094669799"/>
    <n v="63585.153845544897"/>
    <n v="228906.553843962"/>
  </r>
  <r>
    <x v="0"/>
    <x v="0"/>
    <x v="0"/>
    <x v="3"/>
    <x v="11"/>
    <s v="SE3_EL"/>
    <x v="1"/>
    <s v="GBPR_MUNIWASTE_24"/>
    <x v="0"/>
    <x v="1"/>
    <n v="174.20590094669799"/>
    <n v="63585.153845544897"/>
    <n v="228906.553843962"/>
  </r>
  <r>
    <x v="0"/>
    <x v="0"/>
    <x v="0"/>
    <x v="3"/>
    <x v="11"/>
    <s v="SE3_EL"/>
    <x v="1"/>
    <s v="GBPR_MUNIWASTE_24"/>
    <x v="0"/>
    <x v="2"/>
    <n v="174.20590094669799"/>
    <n v="63585.153845544897"/>
    <n v="228906.553843962"/>
  </r>
  <r>
    <x v="0"/>
    <x v="0"/>
    <x v="0"/>
    <x v="3"/>
    <x v="11"/>
    <s v="SE3_EL"/>
    <x v="1"/>
    <s v="GBPR_MUNIWASTE_24"/>
    <x v="0"/>
    <x v="3"/>
    <n v="174.20590094669799"/>
    <n v="63585.153845544897"/>
    <n v="228906.553843962"/>
  </r>
  <r>
    <x v="0"/>
    <x v="0"/>
    <x v="0"/>
    <x v="3"/>
    <x v="11"/>
    <s v="SE3_EL"/>
    <x v="1"/>
    <s v="GBPR_MUNIWASTE_24"/>
    <x v="0"/>
    <x v="4"/>
    <n v="174.20590094669799"/>
    <n v="63585.153845544897"/>
    <n v="228906.553843962"/>
  </r>
  <r>
    <x v="0"/>
    <x v="0"/>
    <x v="0"/>
    <x v="3"/>
    <x v="11"/>
    <s v="SE3_EL"/>
    <x v="1"/>
    <s v="GBPR_MUNIWASTE_24"/>
    <x v="0"/>
    <x v="5"/>
    <n v="174.20590094669799"/>
    <n v="63585.153845544897"/>
    <n v="228906.553843962"/>
  </r>
  <r>
    <x v="0"/>
    <x v="0"/>
    <x v="0"/>
    <x v="3"/>
    <x v="11"/>
    <s v="SE3_EL"/>
    <x v="1"/>
    <s v="GBPR_MUNIWASTE_24"/>
    <x v="0"/>
    <x v="6"/>
    <n v="174.20590094669799"/>
    <n v="63585.153845544897"/>
    <n v="228906.553843962"/>
  </r>
  <r>
    <x v="0"/>
    <x v="0"/>
    <x v="0"/>
    <x v="3"/>
    <x v="11"/>
    <s v="SE3_EL"/>
    <x v="1"/>
    <s v="GBPR_MUNIWASTE_24"/>
    <x v="0"/>
    <x v="7"/>
    <n v="174.20590094669799"/>
    <n v="63585.153845544897"/>
    <n v="228906.553843962"/>
  </r>
  <r>
    <x v="0"/>
    <x v="0"/>
    <x v="0"/>
    <x v="3"/>
    <x v="11"/>
    <s v="SE3_EL"/>
    <x v="1"/>
    <s v="GBPR_MUNIWASTE_24"/>
    <x v="0"/>
    <x v="8"/>
    <n v="174.20590094669799"/>
    <n v="63585.153845544897"/>
    <n v="228906.553843962"/>
  </r>
  <r>
    <x v="0"/>
    <x v="0"/>
    <x v="0"/>
    <x v="3"/>
    <x v="11"/>
    <s v="SE3_EL"/>
    <x v="1"/>
    <s v="GBPR_MUNIWASTE_24"/>
    <x v="0"/>
    <x v="9"/>
    <n v="174.20590094669799"/>
    <n v="63585.153845544897"/>
    <n v="228906.553843962"/>
  </r>
  <r>
    <x v="0"/>
    <x v="0"/>
    <x v="0"/>
    <x v="3"/>
    <x v="11"/>
    <s v="SE3_EL"/>
    <x v="1"/>
    <s v="GBPR_MUNIWASTE_24"/>
    <x v="0"/>
    <x v="10"/>
    <n v="174.20590094669799"/>
    <n v="63585.153845544897"/>
    <n v="228906.553843962"/>
  </r>
  <r>
    <x v="0"/>
    <x v="0"/>
    <x v="0"/>
    <x v="3"/>
    <x v="11"/>
    <s v="SE3_EL"/>
    <x v="1"/>
    <s v="GBPR_MUNIWASTE_24"/>
    <x v="0"/>
    <x v="11"/>
    <n v="174.20590094669799"/>
    <n v="63585.153845544897"/>
    <n v="228906.553843962"/>
  </r>
  <r>
    <x v="0"/>
    <x v="0"/>
    <x v="0"/>
    <x v="3"/>
    <x v="11"/>
    <s v="SE3_EL"/>
    <x v="1"/>
    <s v="GBPR_MUNIWASTE_24"/>
    <x v="0"/>
    <x v="12"/>
    <n v="174.20590094669799"/>
    <n v="63585.153845544897"/>
    <n v="228906.553843962"/>
  </r>
  <r>
    <x v="0"/>
    <x v="0"/>
    <x v="0"/>
    <x v="3"/>
    <x v="11"/>
    <s v="SE3_EL"/>
    <x v="1"/>
    <s v="GBPR_MUNIWASTE_24"/>
    <x v="0"/>
    <x v="13"/>
    <n v="174.20590094669799"/>
    <n v="63585.153845544897"/>
    <n v="228906.553843962"/>
  </r>
  <r>
    <x v="0"/>
    <x v="0"/>
    <x v="0"/>
    <x v="3"/>
    <x v="11"/>
    <s v="SE3_EL"/>
    <x v="1"/>
    <s v="GBPR_MUNIWASTE_24"/>
    <x v="0"/>
    <x v="14"/>
    <n v="174.20590094669799"/>
    <n v="63585.153845544897"/>
    <n v="228906.553843962"/>
  </r>
  <r>
    <x v="0"/>
    <x v="0"/>
    <x v="0"/>
    <x v="3"/>
    <x v="11"/>
    <s v="SE3_EL"/>
    <x v="1"/>
    <s v="GBPR_MUNIWASTE_24"/>
    <x v="0"/>
    <x v="15"/>
    <n v="174.20590094669799"/>
    <n v="63585.153845544897"/>
    <n v="228906.553843962"/>
  </r>
  <r>
    <x v="0"/>
    <x v="0"/>
    <x v="0"/>
    <x v="3"/>
    <x v="11"/>
    <s v="SE3_EL"/>
    <x v="1"/>
    <s v="GBPR_MUNIWASTE_24"/>
    <x v="0"/>
    <x v="16"/>
    <n v="174.20590094669799"/>
    <n v="63585.153845544897"/>
    <n v="228906.553843962"/>
  </r>
  <r>
    <x v="0"/>
    <x v="0"/>
    <x v="0"/>
    <x v="3"/>
    <x v="11"/>
    <s v="SE3_EL"/>
    <x v="1"/>
    <s v="GBPR_MUNIWASTE_24"/>
    <x v="0"/>
    <x v="17"/>
    <n v="174.20590094669799"/>
    <n v="63585.153845544897"/>
    <n v="228906.553843962"/>
  </r>
  <r>
    <x v="0"/>
    <x v="0"/>
    <x v="0"/>
    <x v="3"/>
    <x v="11"/>
    <s v="SE3_EL"/>
    <x v="1"/>
    <s v="GBPR_MUNIWASTE_24"/>
    <x v="0"/>
    <x v="18"/>
    <n v="174.20590094669799"/>
    <n v="63585.153845544897"/>
    <n v="228906.553843962"/>
  </r>
  <r>
    <x v="0"/>
    <x v="0"/>
    <x v="0"/>
    <x v="3"/>
    <x v="11"/>
    <s v="SE3_EL"/>
    <x v="1"/>
    <s v="GBPR_MUNIWASTE_24"/>
    <x v="0"/>
    <x v="19"/>
    <n v="174.20590094669799"/>
    <n v="63585.153845544897"/>
    <n v="228906.553843962"/>
  </r>
  <r>
    <x v="0"/>
    <x v="0"/>
    <x v="0"/>
    <x v="3"/>
    <x v="11"/>
    <s v="SE3_EL"/>
    <x v="1"/>
    <s v="GBPR_MUNIWASTE_24"/>
    <x v="0"/>
    <x v="20"/>
    <n v="174.20590094669799"/>
    <n v="63585.153845544897"/>
    <n v="228906.553843962"/>
  </r>
  <r>
    <x v="0"/>
    <x v="0"/>
    <x v="0"/>
    <x v="3"/>
    <x v="11"/>
    <s v="SE3_EL"/>
    <x v="1"/>
    <s v="GBPR_MUNIWASTE_24"/>
    <x v="0"/>
    <x v="21"/>
    <n v="174.20590094669799"/>
    <n v="63585.153845544897"/>
    <n v="228906.553843962"/>
  </r>
  <r>
    <x v="0"/>
    <x v="0"/>
    <x v="0"/>
    <x v="3"/>
    <x v="11"/>
    <s v="SE3_EL"/>
    <x v="1"/>
    <s v="GBPR_MUNIWASTE_24"/>
    <x v="0"/>
    <x v="22"/>
    <n v="174.20590094669799"/>
    <n v="63585.153845544897"/>
    <n v="228906.553843962"/>
  </r>
  <r>
    <x v="0"/>
    <x v="0"/>
    <x v="0"/>
    <x v="3"/>
    <x v="11"/>
    <s v="SE3_EL"/>
    <x v="1"/>
    <s v="GBPR_MUNIWASTE_24"/>
    <x v="0"/>
    <x v="23"/>
    <n v="174.20590094669799"/>
    <n v="63585.153845544897"/>
    <n v="228906.553843962"/>
  </r>
  <r>
    <x v="0"/>
    <x v="0"/>
    <x v="0"/>
    <x v="3"/>
    <x v="11"/>
    <s v="SE3_EL"/>
    <x v="1"/>
    <s v="GBPR_MUNIWASTE_LINK"/>
    <x v="0"/>
    <x v="0"/>
    <n v="170.310325409359"/>
    <n v="62163.268774416101"/>
    <n v="223787.76758789801"/>
  </r>
  <r>
    <x v="0"/>
    <x v="0"/>
    <x v="0"/>
    <x v="3"/>
    <x v="11"/>
    <s v="SE3_EL"/>
    <x v="1"/>
    <s v="GBPR_MUNIWASTE_LINK"/>
    <x v="0"/>
    <x v="1"/>
    <n v="170.310325409359"/>
    <n v="62163.268774416101"/>
    <n v="223787.76758789801"/>
  </r>
  <r>
    <x v="0"/>
    <x v="0"/>
    <x v="0"/>
    <x v="3"/>
    <x v="11"/>
    <s v="SE3_EL"/>
    <x v="1"/>
    <s v="GBPR_MUNIWASTE_LINK"/>
    <x v="0"/>
    <x v="2"/>
    <n v="170.310325409359"/>
    <n v="62163.268774416101"/>
    <n v="223787.76758789801"/>
  </r>
  <r>
    <x v="0"/>
    <x v="0"/>
    <x v="0"/>
    <x v="3"/>
    <x v="11"/>
    <s v="SE3_EL"/>
    <x v="1"/>
    <s v="GBPR_MUNIWASTE_LINK"/>
    <x v="0"/>
    <x v="3"/>
    <n v="170.310325409359"/>
    <n v="62163.268774416101"/>
    <n v="223787.76758789801"/>
  </r>
  <r>
    <x v="0"/>
    <x v="0"/>
    <x v="0"/>
    <x v="3"/>
    <x v="11"/>
    <s v="SE3_EL"/>
    <x v="1"/>
    <s v="GBPR_MUNIWASTE_LINK"/>
    <x v="0"/>
    <x v="4"/>
    <n v="170.310325409359"/>
    <n v="62163.268774416101"/>
    <n v="223787.76758789801"/>
  </r>
  <r>
    <x v="0"/>
    <x v="0"/>
    <x v="0"/>
    <x v="3"/>
    <x v="11"/>
    <s v="SE3_EL"/>
    <x v="1"/>
    <s v="GBPR_MUNIWASTE_LINK"/>
    <x v="0"/>
    <x v="5"/>
    <n v="170.310325409359"/>
    <n v="62163.268774416101"/>
    <n v="223787.76758789801"/>
  </r>
  <r>
    <x v="0"/>
    <x v="0"/>
    <x v="0"/>
    <x v="3"/>
    <x v="11"/>
    <s v="SE3_EL"/>
    <x v="1"/>
    <s v="GBPR_MUNIWASTE_LINK"/>
    <x v="0"/>
    <x v="6"/>
    <n v="170.310325409359"/>
    <n v="62163.268774416101"/>
    <n v="223787.76758789801"/>
  </r>
  <r>
    <x v="0"/>
    <x v="0"/>
    <x v="0"/>
    <x v="3"/>
    <x v="11"/>
    <s v="SE3_EL"/>
    <x v="1"/>
    <s v="GBPR_MUNIWASTE_LINK"/>
    <x v="0"/>
    <x v="7"/>
    <n v="170.310325409359"/>
    <n v="62163.268774416101"/>
    <n v="223787.76758789801"/>
  </r>
  <r>
    <x v="0"/>
    <x v="0"/>
    <x v="0"/>
    <x v="3"/>
    <x v="11"/>
    <s v="SE3_EL"/>
    <x v="1"/>
    <s v="GBPR_MUNIWASTE_LINK"/>
    <x v="0"/>
    <x v="8"/>
    <n v="170.310325409359"/>
    <n v="62163.268774416101"/>
    <n v="223787.76758789801"/>
  </r>
  <r>
    <x v="0"/>
    <x v="0"/>
    <x v="0"/>
    <x v="3"/>
    <x v="11"/>
    <s v="SE3_EL"/>
    <x v="1"/>
    <s v="GBPR_MUNIWASTE_LINK"/>
    <x v="0"/>
    <x v="9"/>
    <n v="170.310325409359"/>
    <n v="62163.268774416101"/>
    <n v="223787.76758789801"/>
  </r>
  <r>
    <x v="0"/>
    <x v="0"/>
    <x v="0"/>
    <x v="3"/>
    <x v="11"/>
    <s v="SE3_EL"/>
    <x v="1"/>
    <s v="GBPR_MUNIWASTE_LINK"/>
    <x v="0"/>
    <x v="10"/>
    <n v="170.310325409359"/>
    <n v="62163.268774416101"/>
    <n v="223787.76758789801"/>
  </r>
  <r>
    <x v="0"/>
    <x v="0"/>
    <x v="0"/>
    <x v="3"/>
    <x v="11"/>
    <s v="SE3_EL"/>
    <x v="1"/>
    <s v="GBPR_MUNIWASTE_LINK"/>
    <x v="0"/>
    <x v="11"/>
    <n v="170.310325409359"/>
    <n v="62163.268774416101"/>
    <n v="223787.76758789801"/>
  </r>
  <r>
    <x v="0"/>
    <x v="0"/>
    <x v="0"/>
    <x v="3"/>
    <x v="11"/>
    <s v="SE3_EL"/>
    <x v="1"/>
    <s v="GBPR_MUNIWASTE_LINK"/>
    <x v="0"/>
    <x v="12"/>
    <n v="170.310325409359"/>
    <n v="62163.268774416101"/>
    <n v="223787.76758789801"/>
  </r>
  <r>
    <x v="0"/>
    <x v="0"/>
    <x v="0"/>
    <x v="3"/>
    <x v="11"/>
    <s v="SE3_EL"/>
    <x v="1"/>
    <s v="GBPR_MUNIWASTE_LINK"/>
    <x v="0"/>
    <x v="13"/>
    <n v="170.310325409359"/>
    <n v="62163.268774416101"/>
    <n v="223787.76758789801"/>
  </r>
  <r>
    <x v="0"/>
    <x v="0"/>
    <x v="0"/>
    <x v="3"/>
    <x v="11"/>
    <s v="SE3_EL"/>
    <x v="1"/>
    <s v="GBPR_MUNIWASTE_LINK"/>
    <x v="0"/>
    <x v="14"/>
    <n v="170.310325409359"/>
    <n v="62163.268774416101"/>
    <n v="223787.76758789801"/>
  </r>
  <r>
    <x v="0"/>
    <x v="0"/>
    <x v="0"/>
    <x v="3"/>
    <x v="11"/>
    <s v="SE3_EL"/>
    <x v="1"/>
    <s v="GBPR_MUNIWASTE_LINK"/>
    <x v="0"/>
    <x v="15"/>
    <n v="170.310325409359"/>
    <n v="62163.268774416101"/>
    <n v="223787.76758789801"/>
  </r>
  <r>
    <x v="0"/>
    <x v="0"/>
    <x v="0"/>
    <x v="3"/>
    <x v="11"/>
    <s v="SE3_EL"/>
    <x v="1"/>
    <s v="GBPR_MUNIWASTE_LINK"/>
    <x v="0"/>
    <x v="16"/>
    <n v="170.310325409359"/>
    <n v="62163.268774416101"/>
    <n v="223787.76758789801"/>
  </r>
  <r>
    <x v="0"/>
    <x v="0"/>
    <x v="0"/>
    <x v="3"/>
    <x v="11"/>
    <s v="SE3_EL"/>
    <x v="1"/>
    <s v="GBPR_MUNIWASTE_LINK"/>
    <x v="0"/>
    <x v="17"/>
    <n v="170.310325409359"/>
    <n v="62163.268774416101"/>
    <n v="223787.76758789801"/>
  </r>
  <r>
    <x v="0"/>
    <x v="0"/>
    <x v="0"/>
    <x v="3"/>
    <x v="11"/>
    <s v="SE3_EL"/>
    <x v="1"/>
    <s v="GBPR_MUNIWASTE_LINK"/>
    <x v="0"/>
    <x v="18"/>
    <n v="170.310325409359"/>
    <n v="62163.268774416101"/>
    <n v="223787.76758789801"/>
  </r>
  <r>
    <x v="0"/>
    <x v="0"/>
    <x v="0"/>
    <x v="3"/>
    <x v="11"/>
    <s v="SE3_EL"/>
    <x v="1"/>
    <s v="GBPR_MUNIWASTE_LINK"/>
    <x v="0"/>
    <x v="19"/>
    <n v="170.310325409359"/>
    <n v="62163.268774416101"/>
    <n v="223787.76758789801"/>
  </r>
  <r>
    <x v="0"/>
    <x v="0"/>
    <x v="0"/>
    <x v="3"/>
    <x v="11"/>
    <s v="SE3_EL"/>
    <x v="1"/>
    <s v="GBPR_MUNIWASTE_LINK"/>
    <x v="0"/>
    <x v="20"/>
    <n v="170.310325409359"/>
    <n v="62163.268774416101"/>
    <n v="223787.76758789801"/>
  </r>
  <r>
    <x v="0"/>
    <x v="0"/>
    <x v="0"/>
    <x v="3"/>
    <x v="11"/>
    <s v="SE3_EL"/>
    <x v="1"/>
    <s v="GBPR_MUNIWASTE_LINK"/>
    <x v="0"/>
    <x v="21"/>
    <n v="170.310325409359"/>
    <n v="62163.268774416101"/>
    <n v="223787.76758789801"/>
  </r>
  <r>
    <x v="0"/>
    <x v="0"/>
    <x v="0"/>
    <x v="3"/>
    <x v="11"/>
    <s v="SE3_EL"/>
    <x v="1"/>
    <s v="GBPR_MUNIWASTE_LINK"/>
    <x v="0"/>
    <x v="22"/>
    <n v="170.310325409359"/>
    <n v="62163.268774416101"/>
    <n v="223787.76758789801"/>
  </r>
  <r>
    <x v="0"/>
    <x v="0"/>
    <x v="0"/>
    <x v="3"/>
    <x v="11"/>
    <s v="SE3_EL"/>
    <x v="1"/>
    <s v="GBPR_MUNIWASTE_LINK"/>
    <x v="0"/>
    <x v="23"/>
    <n v="170.310325409359"/>
    <n v="62163.268774416101"/>
    <n v="223787.76758789801"/>
  </r>
  <r>
    <x v="0"/>
    <x v="0"/>
    <x v="0"/>
    <x v="3"/>
    <x v="11"/>
    <s v="SE3_EL"/>
    <x v="1"/>
    <s v="GHOB_MUNIWASTE"/>
    <x v="0"/>
    <x v="0"/>
    <n v="160.830834619021"/>
    <n v="58703.2546359427"/>
    <n v="211331.716689394"/>
  </r>
  <r>
    <x v="0"/>
    <x v="0"/>
    <x v="0"/>
    <x v="3"/>
    <x v="11"/>
    <s v="SE3_EL"/>
    <x v="1"/>
    <s v="GHOB_MUNIWASTE"/>
    <x v="0"/>
    <x v="1"/>
    <n v="160.830834619021"/>
    <n v="58703.2546359427"/>
    <n v="211331.716689394"/>
  </r>
  <r>
    <x v="0"/>
    <x v="0"/>
    <x v="0"/>
    <x v="3"/>
    <x v="11"/>
    <s v="SE3_EL"/>
    <x v="1"/>
    <s v="GHOB_MUNIWASTE"/>
    <x v="0"/>
    <x v="2"/>
    <n v="160.830834619021"/>
    <n v="58703.2546359427"/>
    <n v="211331.716689394"/>
  </r>
  <r>
    <x v="0"/>
    <x v="0"/>
    <x v="0"/>
    <x v="3"/>
    <x v="11"/>
    <s v="SE3_EL"/>
    <x v="1"/>
    <s v="GHOB_MUNIWASTE"/>
    <x v="0"/>
    <x v="3"/>
    <n v="160.830834619021"/>
    <n v="58703.2546359427"/>
    <n v="211331.716689394"/>
  </r>
  <r>
    <x v="0"/>
    <x v="0"/>
    <x v="0"/>
    <x v="3"/>
    <x v="11"/>
    <s v="SE3_EL"/>
    <x v="1"/>
    <s v="GHOB_MUNIWASTE"/>
    <x v="0"/>
    <x v="4"/>
    <n v="160.830834619021"/>
    <n v="58703.2546359427"/>
    <n v="211331.716689394"/>
  </r>
  <r>
    <x v="0"/>
    <x v="0"/>
    <x v="0"/>
    <x v="3"/>
    <x v="11"/>
    <s v="SE3_EL"/>
    <x v="1"/>
    <s v="GHOB_MUNIWASTE"/>
    <x v="0"/>
    <x v="5"/>
    <n v="160.830834619021"/>
    <n v="58703.2546359427"/>
    <n v="211331.716689394"/>
  </r>
  <r>
    <x v="0"/>
    <x v="0"/>
    <x v="0"/>
    <x v="3"/>
    <x v="11"/>
    <s v="SE3_EL"/>
    <x v="1"/>
    <s v="GHOB_MUNIWASTE"/>
    <x v="0"/>
    <x v="6"/>
    <n v="160.830834619021"/>
    <n v="58703.2546359427"/>
    <n v="211331.716689394"/>
  </r>
  <r>
    <x v="0"/>
    <x v="0"/>
    <x v="0"/>
    <x v="3"/>
    <x v="11"/>
    <s v="SE3_EL"/>
    <x v="1"/>
    <s v="GHOB_MUNIWASTE"/>
    <x v="0"/>
    <x v="7"/>
    <n v="160.830834619021"/>
    <n v="58703.2546359427"/>
    <n v="211331.716689394"/>
  </r>
  <r>
    <x v="0"/>
    <x v="0"/>
    <x v="0"/>
    <x v="3"/>
    <x v="11"/>
    <s v="SE3_EL"/>
    <x v="1"/>
    <s v="GHOB_MUNIWASTE"/>
    <x v="0"/>
    <x v="8"/>
    <n v="160.830834619021"/>
    <n v="58703.2546359427"/>
    <n v="211331.716689394"/>
  </r>
  <r>
    <x v="0"/>
    <x v="0"/>
    <x v="0"/>
    <x v="3"/>
    <x v="11"/>
    <s v="SE3_EL"/>
    <x v="1"/>
    <s v="GHOB_MUNIWASTE"/>
    <x v="0"/>
    <x v="9"/>
    <n v="160.830834619021"/>
    <n v="58703.2546359427"/>
    <n v="211331.716689394"/>
  </r>
  <r>
    <x v="0"/>
    <x v="0"/>
    <x v="0"/>
    <x v="3"/>
    <x v="11"/>
    <s v="SE3_EL"/>
    <x v="1"/>
    <s v="GHOB_MUNIWASTE"/>
    <x v="0"/>
    <x v="10"/>
    <n v="160.830834619021"/>
    <n v="58703.2546359427"/>
    <n v="211331.716689394"/>
  </r>
  <r>
    <x v="0"/>
    <x v="0"/>
    <x v="0"/>
    <x v="3"/>
    <x v="11"/>
    <s v="SE3_EL"/>
    <x v="1"/>
    <s v="GHOB_MUNIWASTE"/>
    <x v="0"/>
    <x v="11"/>
    <n v="160.830834619021"/>
    <n v="58703.2546359427"/>
    <n v="211331.716689394"/>
  </r>
  <r>
    <x v="0"/>
    <x v="0"/>
    <x v="0"/>
    <x v="3"/>
    <x v="11"/>
    <s v="SE3_EL"/>
    <x v="1"/>
    <s v="GHOB_MUNIWASTE"/>
    <x v="0"/>
    <x v="12"/>
    <n v="160.830834619021"/>
    <n v="58703.2546359427"/>
    <n v="211331.716689394"/>
  </r>
  <r>
    <x v="0"/>
    <x v="0"/>
    <x v="0"/>
    <x v="3"/>
    <x v="11"/>
    <s v="SE3_EL"/>
    <x v="1"/>
    <s v="GHOB_MUNIWASTE"/>
    <x v="0"/>
    <x v="13"/>
    <n v="160.830834619021"/>
    <n v="58703.2546359427"/>
    <n v="211331.716689394"/>
  </r>
  <r>
    <x v="0"/>
    <x v="0"/>
    <x v="0"/>
    <x v="3"/>
    <x v="11"/>
    <s v="SE3_EL"/>
    <x v="1"/>
    <s v="GHOB_MUNIWASTE"/>
    <x v="0"/>
    <x v="14"/>
    <n v="160.830834619021"/>
    <n v="58703.2546359427"/>
    <n v="211331.716689394"/>
  </r>
  <r>
    <x v="0"/>
    <x v="0"/>
    <x v="0"/>
    <x v="3"/>
    <x v="11"/>
    <s v="SE3_EL"/>
    <x v="1"/>
    <s v="GHOB_MUNIWASTE"/>
    <x v="0"/>
    <x v="15"/>
    <n v="160.830834619021"/>
    <n v="58703.2546359427"/>
    <n v="211331.716689394"/>
  </r>
  <r>
    <x v="0"/>
    <x v="0"/>
    <x v="0"/>
    <x v="3"/>
    <x v="11"/>
    <s v="SE3_EL"/>
    <x v="1"/>
    <s v="GHOB_MUNIWASTE"/>
    <x v="0"/>
    <x v="16"/>
    <n v="160.830834619021"/>
    <n v="58703.2546359427"/>
    <n v="211331.716689394"/>
  </r>
  <r>
    <x v="0"/>
    <x v="0"/>
    <x v="0"/>
    <x v="3"/>
    <x v="11"/>
    <s v="SE3_EL"/>
    <x v="1"/>
    <s v="GHOB_MUNIWASTE"/>
    <x v="0"/>
    <x v="17"/>
    <n v="160.830834619021"/>
    <n v="58703.2546359427"/>
    <n v="211331.716689394"/>
  </r>
  <r>
    <x v="0"/>
    <x v="0"/>
    <x v="0"/>
    <x v="3"/>
    <x v="11"/>
    <s v="SE3_EL"/>
    <x v="1"/>
    <s v="GHOB_MUNIWASTE"/>
    <x v="0"/>
    <x v="18"/>
    <n v="160.830834619021"/>
    <n v="58703.2546359427"/>
    <n v="211331.716689394"/>
  </r>
  <r>
    <x v="0"/>
    <x v="0"/>
    <x v="0"/>
    <x v="3"/>
    <x v="11"/>
    <s v="SE3_EL"/>
    <x v="1"/>
    <s v="GHOB_MUNIWASTE"/>
    <x v="0"/>
    <x v="19"/>
    <n v="160.830834619021"/>
    <n v="58703.2546359427"/>
    <n v="211331.716689394"/>
  </r>
  <r>
    <x v="0"/>
    <x v="0"/>
    <x v="0"/>
    <x v="3"/>
    <x v="11"/>
    <s v="SE3_EL"/>
    <x v="1"/>
    <s v="GHOB_MUNIWASTE"/>
    <x v="0"/>
    <x v="20"/>
    <n v="160.830834619021"/>
    <n v="58703.2546359427"/>
    <n v="211331.716689394"/>
  </r>
  <r>
    <x v="0"/>
    <x v="0"/>
    <x v="0"/>
    <x v="3"/>
    <x v="11"/>
    <s v="SE3_EL"/>
    <x v="1"/>
    <s v="GHOB_MUNIWASTE"/>
    <x v="0"/>
    <x v="21"/>
    <n v="160.830834619021"/>
    <n v="58703.2546359427"/>
    <n v="211331.716689394"/>
  </r>
  <r>
    <x v="0"/>
    <x v="0"/>
    <x v="0"/>
    <x v="3"/>
    <x v="11"/>
    <s v="SE3_EL"/>
    <x v="1"/>
    <s v="GHOB_MUNIWASTE"/>
    <x v="0"/>
    <x v="22"/>
    <n v="160.830834619021"/>
    <n v="58703.2546359427"/>
    <n v="211331.716689394"/>
  </r>
  <r>
    <x v="0"/>
    <x v="0"/>
    <x v="0"/>
    <x v="3"/>
    <x v="11"/>
    <s v="SE3_EL"/>
    <x v="1"/>
    <s v="GHOB_MUNIWASTE"/>
    <x v="0"/>
    <x v="23"/>
    <n v="160.830834619021"/>
    <n v="58703.2546359427"/>
    <n v="211331.716689394"/>
  </r>
  <r>
    <x v="0"/>
    <x v="0"/>
    <x v="0"/>
    <x v="3"/>
    <x v="11"/>
    <s v="SE3_EL"/>
    <x v="10"/>
    <s v="GBPR_PEAT_38"/>
    <x v="0"/>
    <x v="5"/>
    <n v="34.524067883648598"/>
    <n v="12601.2847775317"/>
    <n v="45364.6251991143"/>
  </r>
  <r>
    <x v="0"/>
    <x v="0"/>
    <x v="0"/>
    <x v="3"/>
    <x v="11"/>
    <s v="SE3_EL"/>
    <x v="10"/>
    <s v="GBPR_PEAT_38"/>
    <x v="0"/>
    <x v="6"/>
    <n v="34.524067883648598"/>
    <n v="12601.2847775317"/>
    <n v="45364.6251991143"/>
  </r>
  <r>
    <x v="0"/>
    <x v="0"/>
    <x v="0"/>
    <x v="3"/>
    <x v="11"/>
    <s v="SE3_EL"/>
    <x v="10"/>
    <s v="GBPR_PEAT_38"/>
    <x v="0"/>
    <x v="7"/>
    <n v="34.524067883648598"/>
    <n v="12601.2847775317"/>
    <n v="45364.6251991143"/>
  </r>
  <r>
    <x v="0"/>
    <x v="0"/>
    <x v="0"/>
    <x v="3"/>
    <x v="11"/>
    <s v="SE3_EL"/>
    <x v="10"/>
    <s v="GBPR_PEAT_38"/>
    <x v="0"/>
    <x v="8"/>
    <n v="34.524067883648598"/>
    <n v="12601.2847775317"/>
    <n v="45364.6251991143"/>
  </r>
  <r>
    <x v="0"/>
    <x v="0"/>
    <x v="0"/>
    <x v="3"/>
    <x v="11"/>
    <s v="SE3_EL"/>
    <x v="10"/>
    <s v="GBPR_PEAT_38"/>
    <x v="0"/>
    <x v="9"/>
    <n v="34.524067883648598"/>
    <n v="12601.2847775317"/>
    <n v="45364.6251991143"/>
  </r>
  <r>
    <x v="0"/>
    <x v="0"/>
    <x v="0"/>
    <x v="3"/>
    <x v="11"/>
    <s v="SE3_EL"/>
    <x v="10"/>
    <s v="GBPR_PEAT_38"/>
    <x v="0"/>
    <x v="10"/>
    <n v="34.524067883648598"/>
    <n v="12601.2847775317"/>
    <n v="45364.6251991143"/>
  </r>
  <r>
    <x v="0"/>
    <x v="0"/>
    <x v="0"/>
    <x v="3"/>
    <x v="11"/>
    <s v="SE3_EL"/>
    <x v="10"/>
    <s v="GBPR_PEAT_38"/>
    <x v="0"/>
    <x v="11"/>
    <n v="34.524067883648598"/>
    <n v="12601.2847775317"/>
    <n v="45364.6251991143"/>
  </r>
  <r>
    <x v="0"/>
    <x v="0"/>
    <x v="0"/>
    <x v="3"/>
    <x v="11"/>
    <s v="SE3_EL"/>
    <x v="10"/>
    <s v="GBPR_PEAT_38"/>
    <x v="0"/>
    <x v="12"/>
    <n v="34.524067883648598"/>
    <n v="12601.2847775317"/>
    <n v="45364.6251991143"/>
  </r>
  <r>
    <x v="0"/>
    <x v="0"/>
    <x v="0"/>
    <x v="3"/>
    <x v="11"/>
    <s v="SE3_EL"/>
    <x v="10"/>
    <s v="GBPR_PEAT_38"/>
    <x v="0"/>
    <x v="13"/>
    <n v="34.524067883648598"/>
    <n v="12601.2847775317"/>
    <n v="45364.6251991143"/>
  </r>
  <r>
    <x v="0"/>
    <x v="0"/>
    <x v="0"/>
    <x v="3"/>
    <x v="11"/>
    <s v="SE3_EL"/>
    <x v="10"/>
    <s v="GBPR_PEAT_38"/>
    <x v="0"/>
    <x v="14"/>
    <n v="34.524067883648598"/>
    <n v="12601.2847775317"/>
    <n v="45364.6251991143"/>
  </r>
  <r>
    <x v="0"/>
    <x v="0"/>
    <x v="0"/>
    <x v="3"/>
    <x v="11"/>
    <s v="SE3_EL"/>
    <x v="10"/>
    <s v="GBPR_PEAT_38"/>
    <x v="0"/>
    <x v="15"/>
    <n v="34.524067883648598"/>
    <n v="12601.2847775317"/>
    <n v="45364.6251991143"/>
  </r>
  <r>
    <x v="0"/>
    <x v="0"/>
    <x v="0"/>
    <x v="3"/>
    <x v="11"/>
    <s v="SE3_EL"/>
    <x v="10"/>
    <s v="GBPR_PEAT_38"/>
    <x v="0"/>
    <x v="16"/>
    <n v="34.524067883648598"/>
    <n v="12601.2847775317"/>
    <n v="45364.6251991143"/>
  </r>
  <r>
    <x v="0"/>
    <x v="0"/>
    <x v="0"/>
    <x v="3"/>
    <x v="11"/>
    <s v="SE3_EL"/>
    <x v="10"/>
    <s v="GBPR_PEAT_38"/>
    <x v="0"/>
    <x v="17"/>
    <n v="34.524067883648598"/>
    <n v="12601.2847775317"/>
    <n v="45364.6251991143"/>
  </r>
  <r>
    <x v="0"/>
    <x v="0"/>
    <x v="0"/>
    <x v="3"/>
    <x v="11"/>
    <s v="SE3_EL"/>
    <x v="10"/>
    <s v="GBPR_PEAT_38"/>
    <x v="0"/>
    <x v="18"/>
    <n v="34.524067883648598"/>
    <n v="12601.2847775317"/>
    <n v="45364.6251991143"/>
  </r>
  <r>
    <x v="0"/>
    <x v="0"/>
    <x v="0"/>
    <x v="3"/>
    <x v="11"/>
    <s v="SE3_EL"/>
    <x v="10"/>
    <s v="GBPR_PEAT_38"/>
    <x v="0"/>
    <x v="19"/>
    <n v="34.524067883648598"/>
    <n v="12601.2847775317"/>
    <n v="45364.6251991143"/>
  </r>
  <r>
    <x v="0"/>
    <x v="0"/>
    <x v="0"/>
    <x v="3"/>
    <x v="11"/>
    <s v="SE3_EL"/>
    <x v="10"/>
    <s v="GBPR_PEAT_38"/>
    <x v="0"/>
    <x v="20"/>
    <n v="34.524067883648598"/>
    <n v="12601.2847775317"/>
    <n v="45364.6251991143"/>
  </r>
  <r>
    <x v="0"/>
    <x v="0"/>
    <x v="0"/>
    <x v="3"/>
    <x v="11"/>
    <s v="SE3_EL"/>
    <x v="10"/>
    <s v="GBPR_PEAT_38"/>
    <x v="0"/>
    <x v="21"/>
    <n v="34.524067883648598"/>
    <n v="12601.2847775317"/>
    <n v="45364.6251991143"/>
  </r>
  <r>
    <x v="0"/>
    <x v="0"/>
    <x v="0"/>
    <x v="3"/>
    <x v="11"/>
    <s v="SE3_EL"/>
    <x v="10"/>
    <s v="GBPR_PEAT_38"/>
    <x v="0"/>
    <x v="22"/>
    <n v="25.554004585218799"/>
    <n v="9327.2116736048793"/>
    <n v="33577.962024977598"/>
  </r>
  <r>
    <x v="0"/>
    <x v="0"/>
    <x v="0"/>
    <x v="3"/>
    <x v="11"/>
    <s v="SE3_EL"/>
    <x v="10"/>
    <s v="GEXT_PEAT"/>
    <x v="0"/>
    <x v="1"/>
    <n v="15.2729463224786"/>
    <n v="5574.6254077047097"/>
    <n v="20068.651467736901"/>
  </r>
  <r>
    <x v="0"/>
    <x v="0"/>
    <x v="0"/>
    <x v="3"/>
    <x v="11"/>
    <s v="SE3_EL"/>
    <x v="10"/>
    <s v="GEXT_PEAT"/>
    <x v="0"/>
    <x v="2"/>
    <n v="25.318224093914498"/>
    <n v="9241.1517942787905"/>
    <n v="33268.146459403601"/>
  </r>
  <r>
    <x v="0"/>
    <x v="0"/>
    <x v="0"/>
    <x v="3"/>
    <x v="11"/>
    <s v="SE3_EL"/>
    <x v="10"/>
    <s v="GEXT_PEAT"/>
    <x v="0"/>
    <x v="3"/>
    <n v="68.255658552291194"/>
    <n v="24913.315371586301"/>
    <n v="89687.935337710704"/>
  </r>
  <r>
    <x v="0"/>
    <x v="0"/>
    <x v="0"/>
    <x v="3"/>
    <x v="11"/>
    <s v="SE3_EL"/>
    <x v="10"/>
    <s v="GEXT_PEAT"/>
    <x v="0"/>
    <x v="4"/>
    <n v="111.337656434579"/>
    <n v="40638.244598621299"/>
    <n v="146297.68055503699"/>
  </r>
  <r>
    <x v="0"/>
    <x v="0"/>
    <x v="0"/>
    <x v="3"/>
    <x v="11"/>
    <s v="SE3_EL"/>
    <x v="10"/>
    <s v="GEXT_PEAT"/>
    <x v="0"/>
    <x v="5"/>
    <n v="132.31254859859601"/>
    <n v="48294.080238487397"/>
    <n v="173858.68885855499"/>
  </r>
  <r>
    <x v="0"/>
    <x v="0"/>
    <x v="0"/>
    <x v="3"/>
    <x v="11"/>
    <s v="SE3_EL"/>
    <x v="10"/>
    <s v="GEXT_PEAT"/>
    <x v="0"/>
    <x v="6"/>
    <n v="132.31254859859601"/>
    <n v="48294.080238487397"/>
    <n v="173858.68885855499"/>
  </r>
  <r>
    <x v="0"/>
    <x v="0"/>
    <x v="0"/>
    <x v="3"/>
    <x v="11"/>
    <s v="SE3_EL"/>
    <x v="10"/>
    <s v="GEXT_PEAT"/>
    <x v="0"/>
    <x v="7"/>
    <n v="132.31254859859601"/>
    <n v="48294.080238487397"/>
    <n v="173858.68885855499"/>
  </r>
  <r>
    <x v="0"/>
    <x v="0"/>
    <x v="0"/>
    <x v="3"/>
    <x v="11"/>
    <s v="SE3_EL"/>
    <x v="10"/>
    <s v="GEXT_PEAT"/>
    <x v="0"/>
    <x v="8"/>
    <n v="132.31254859859601"/>
    <n v="48294.080238487397"/>
    <n v="173858.68885855499"/>
  </r>
  <r>
    <x v="0"/>
    <x v="0"/>
    <x v="0"/>
    <x v="3"/>
    <x v="11"/>
    <s v="SE3_EL"/>
    <x v="10"/>
    <s v="GEXT_PEAT"/>
    <x v="0"/>
    <x v="9"/>
    <n v="132.31254859859601"/>
    <n v="48294.080238487397"/>
    <n v="173858.68885855499"/>
  </r>
  <r>
    <x v="0"/>
    <x v="0"/>
    <x v="0"/>
    <x v="3"/>
    <x v="11"/>
    <s v="SE3_EL"/>
    <x v="10"/>
    <s v="GEXT_PEAT"/>
    <x v="0"/>
    <x v="10"/>
    <n v="132.31254859859601"/>
    <n v="48294.080238487397"/>
    <n v="173858.68885855499"/>
  </r>
  <r>
    <x v="0"/>
    <x v="0"/>
    <x v="0"/>
    <x v="3"/>
    <x v="11"/>
    <s v="SE3_EL"/>
    <x v="10"/>
    <s v="GEXT_PEAT"/>
    <x v="0"/>
    <x v="11"/>
    <n v="132.31254859859601"/>
    <n v="48294.080238487397"/>
    <n v="173858.68885855499"/>
  </r>
  <r>
    <x v="0"/>
    <x v="0"/>
    <x v="0"/>
    <x v="3"/>
    <x v="11"/>
    <s v="SE3_EL"/>
    <x v="10"/>
    <s v="GEXT_PEAT"/>
    <x v="0"/>
    <x v="12"/>
    <n v="132.31254859859601"/>
    <n v="48294.080238487397"/>
    <n v="173858.68885855499"/>
  </r>
  <r>
    <x v="0"/>
    <x v="0"/>
    <x v="0"/>
    <x v="3"/>
    <x v="11"/>
    <s v="SE3_EL"/>
    <x v="10"/>
    <s v="GEXT_PEAT"/>
    <x v="0"/>
    <x v="13"/>
    <n v="132.31254859859601"/>
    <n v="48294.080238487397"/>
    <n v="173858.68885855499"/>
  </r>
  <r>
    <x v="0"/>
    <x v="0"/>
    <x v="0"/>
    <x v="3"/>
    <x v="11"/>
    <s v="SE3_EL"/>
    <x v="10"/>
    <s v="GEXT_PEAT"/>
    <x v="0"/>
    <x v="14"/>
    <n v="132.31254859859601"/>
    <n v="48294.080238487397"/>
    <n v="173858.68885855499"/>
  </r>
  <r>
    <x v="0"/>
    <x v="0"/>
    <x v="0"/>
    <x v="3"/>
    <x v="11"/>
    <s v="SE3_EL"/>
    <x v="10"/>
    <s v="GEXT_PEAT"/>
    <x v="0"/>
    <x v="15"/>
    <n v="132.31254859859601"/>
    <n v="48294.080238487397"/>
    <n v="173858.68885855499"/>
  </r>
  <r>
    <x v="0"/>
    <x v="0"/>
    <x v="0"/>
    <x v="3"/>
    <x v="11"/>
    <s v="SE3_EL"/>
    <x v="10"/>
    <s v="GEXT_PEAT"/>
    <x v="0"/>
    <x v="16"/>
    <n v="132.31254859859601"/>
    <n v="48294.080238487397"/>
    <n v="173858.68885855499"/>
  </r>
  <r>
    <x v="0"/>
    <x v="0"/>
    <x v="0"/>
    <x v="3"/>
    <x v="11"/>
    <s v="SE3_EL"/>
    <x v="10"/>
    <s v="GEXT_PEAT"/>
    <x v="0"/>
    <x v="17"/>
    <n v="132.31254859859601"/>
    <n v="48294.080238487397"/>
    <n v="173858.68885855499"/>
  </r>
  <r>
    <x v="0"/>
    <x v="0"/>
    <x v="0"/>
    <x v="3"/>
    <x v="11"/>
    <s v="SE3_EL"/>
    <x v="10"/>
    <s v="GEXT_PEAT"/>
    <x v="0"/>
    <x v="18"/>
    <n v="132.31254859859601"/>
    <n v="48294.080238487397"/>
    <n v="173858.68885855499"/>
  </r>
  <r>
    <x v="0"/>
    <x v="0"/>
    <x v="0"/>
    <x v="3"/>
    <x v="11"/>
    <s v="SE3_EL"/>
    <x v="10"/>
    <s v="GEXT_PEAT"/>
    <x v="0"/>
    <x v="19"/>
    <n v="132.31254859859601"/>
    <n v="48294.080238487397"/>
    <n v="173858.68885855499"/>
  </r>
  <r>
    <x v="0"/>
    <x v="0"/>
    <x v="0"/>
    <x v="3"/>
    <x v="11"/>
    <s v="SE3_EL"/>
    <x v="10"/>
    <s v="GEXT_PEAT"/>
    <x v="0"/>
    <x v="20"/>
    <n v="132.31254859859601"/>
    <n v="48294.080238487397"/>
    <n v="173858.68885855499"/>
  </r>
  <r>
    <x v="0"/>
    <x v="0"/>
    <x v="0"/>
    <x v="3"/>
    <x v="11"/>
    <s v="SE3_EL"/>
    <x v="10"/>
    <s v="GEXT_PEAT"/>
    <x v="0"/>
    <x v="21"/>
    <n v="132.31254859859601"/>
    <n v="48294.080238487397"/>
    <n v="173858.68885855499"/>
  </r>
  <r>
    <x v="0"/>
    <x v="0"/>
    <x v="0"/>
    <x v="3"/>
    <x v="11"/>
    <s v="SE3_EL"/>
    <x v="10"/>
    <s v="GEXT_PEAT"/>
    <x v="0"/>
    <x v="22"/>
    <n v="132.31254859859601"/>
    <n v="48294.080238487397"/>
    <n v="173858.68885855499"/>
  </r>
  <r>
    <x v="0"/>
    <x v="0"/>
    <x v="0"/>
    <x v="3"/>
    <x v="11"/>
    <s v="SE3_EL"/>
    <x v="10"/>
    <s v="GEXT_PEAT"/>
    <x v="0"/>
    <x v="23"/>
    <n v="81.920409517750201"/>
    <n v="29900.949473978799"/>
    <n v="107643.418106324"/>
  </r>
  <r>
    <x v="0"/>
    <x v="0"/>
    <x v="0"/>
    <x v="3"/>
    <x v="11"/>
    <s v="SE3_EL"/>
    <x v="10"/>
    <s v="GHOB_PEAT"/>
    <x v="0"/>
    <x v="6"/>
    <n v="71.008737300915001"/>
    <n v="25918.189114834"/>
    <n v="93305.480813402406"/>
  </r>
  <r>
    <x v="0"/>
    <x v="0"/>
    <x v="0"/>
    <x v="3"/>
    <x v="11"/>
    <s v="SE3_EL"/>
    <x v="10"/>
    <s v="GHOB_PEAT"/>
    <x v="0"/>
    <x v="7"/>
    <n v="120"/>
    <n v="43800"/>
    <n v="157680"/>
  </r>
  <r>
    <x v="0"/>
    <x v="0"/>
    <x v="0"/>
    <x v="3"/>
    <x v="11"/>
    <s v="SE3_EL"/>
    <x v="10"/>
    <s v="GHOB_PEAT"/>
    <x v="0"/>
    <x v="8"/>
    <n v="120"/>
    <n v="43800"/>
    <n v="157680"/>
  </r>
  <r>
    <x v="0"/>
    <x v="0"/>
    <x v="0"/>
    <x v="3"/>
    <x v="11"/>
    <s v="SE3_EL"/>
    <x v="10"/>
    <s v="GHOB_PEAT"/>
    <x v="0"/>
    <x v="9"/>
    <n v="82.842964190875605"/>
    <n v="30237.681929669601"/>
    <n v="108855.65494681"/>
  </r>
  <r>
    <x v="0"/>
    <x v="0"/>
    <x v="0"/>
    <x v="3"/>
    <x v="11"/>
    <s v="SE3_EL"/>
    <x v="10"/>
    <s v="GHOB_PEAT"/>
    <x v="0"/>
    <x v="10"/>
    <n v="32.075009960086"/>
    <n v="11707.3786354314"/>
    <n v="42146.563087552997"/>
  </r>
  <r>
    <x v="0"/>
    <x v="0"/>
    <x v="0"/>
    <x v="3"/>
    <x v="11"/>
    <s v="SE3_EL"/>
    <x v="11"/>
    <s v="GBPR_RECYCLEDWOOD_SE3EL"/>
    <x v="0"/>
    <x v="5"/>
    <n v="55.582238330867703"/>
    <n v="20287.5169907667"/>
    <n v="73035.061166760206"/>
  </r>
  <r>
    <x v="0"/>
    <x v="0"/>
    <x v="0"/>
    <x v="3"/>
    <x v="11"/>
    <s v="SE3_EL"/>
    <x v="11"/>
    <s v="GBPR_RECYCLEDWOOD_SE3EL"/>
    <x v="0"/>
    <x v="6"/>
    <n v="123.78758639353801"/>
    <n v="45182.469033641297"/>
    <n v="162656.88852110901"/>
  </r>
  <r>
    <x v="0"/>
    <x v="0"/>
    <x v="0"/>
    <x v="3"/>
    <x v="11"/>
    <s v="SE3_EL"/>
    <x v="11"/>
    <s v="GBPR_RECYCLEDWOOD_SE3EL"/>
    <x v="0"/>
    <x v="7"/>
    <n v="123.78758639353801"/>
    <n v="45182.469033641297"/>
    <n v="162656.88852110901"/>
  </r>
  <r>
    <x v="0"/>
    <x v="0"/>
    <x v="0"/>
    <x v="3"/>
    <x v="11"/>
    <s v="SE3_EL"/>
    <x v="11"/>
    <s v="GBPR_RECYCLEDWOOD_SE3EL"/>
    <x v="0"/>
    <x v="8"/>
    <n v="123.78758639353801"/>
    <n v="45182.469033641297"/>
    <n v="162656.88852110901"/>
  </r>
  <r>
    <x v="0"/>
    <x v="0"/>
    <x v="0"/>
    <x v="3"/>
    <x v="11"/>
    <s v="SE3_EL"/>
    <x v="11"/>
    <s v="GBPR_RECYCLEDWOOD_SE3EL"/>
    <x v="0"/>
    <x v="9"/>
    <n v="123.78758639353801"/>
    <n v="45182.469033641297"/>
    <n v="162656.88852110901"/>
  </r>
  <r>
    <x v="0"/>
    <x v="0"/>
    <x v="0"/>
    <x v="3"/>
    <x v="11"/>
    <s v="SE3_EL"/>
    <x v="11"/>
    <s v="GBPR_RECYCLEDWOOD_SE3EL"/>
    <x v="0"/>
    <x v="10"/>
    <n v="123.78758639353801"/>
    <n v="45182.469033641297"/>
    <n v="162656.88852110901"/>
  </r>
  <r>
    <x v="0"/>
    <x v="0"/>
    <x v="0"/>
    <x v="3"/>
    <x v="11"/>
    <s v="SE3_EL"/>
    <x v="11"/>
    <s v="GBPR_RECYCLEDWOOD_SE3EL"/>
    <x v="0"/>
    <x v="11"/>
    <n v="123.78758639353801"/>
    <n v="45182.469033641297"/>
    <n v="162656.88852110901"/>
  </r>
  <r>
    <x v="0"/>
    <x v="0"/>
    <x v="0"/>
    <x v="3"/>
    <x v="11"/>
    <s v="SE3_EL"/>
    <x v="11"/>
    <s v="GBPR_RECYCLEDWOOD_SE3EL"/>
    <x v="0"/>
    <x v="12"/>
    <n v="123.78758639353801"/>
    <n v="45182.469033641297"/>
    <n v="162656.88852110901"/>
  </r>
  <r>
    <x v="0"/>
    <x v="0"/>
    <x v="0"/>
    <x v="3"/>
    <x v="11"/>
    <s v="SE3_EL"/>
    <x v="11"/>
    <s v="GBPR_RECYCLEDWOOD_SE3EL"/>
    <x v="0"/>
    <x v="13"/>
    <n v="123.78758639353801"/>
    <n v="45182.469033641297"/>
    <n v="162656.88852110901"/>
  </r>
  <r>
    <x v="0"/>
    <x v="0"/>
    <x v="0"/>
    <x v="3"/>
    <x v="11"/>
    <s v="SE3_EL"/>
    <x v="11"/>
    <s v="GBPR_RECYCLEDWOOD_SE3EL"/>
    <x v="0"/>
    <x v="14"/>
    <n v="80.561428116327505"/>
    <n v="29404.921262459498"/>
    <n v="105857.716544854"/>
  </r>
  <r>
    <x v="0"/>
    <x v="0"/>
    <x v="0"/>
    <x v="3"/>
    <x v="11"/>
    <s v="SE3_EL"/>
    <x v="11"/>
    <s v="GBPR_RECYCLEDWOOD_SE3EL"/>
    <x v="0"/>
    <x v="15"/>
    <n v="57.218074785312602"/>
    <n v="20884.597296639098"/>
    <n v="75184.550267900806"/>
  </r>
  <r>
    <x v="0"/>
    <x v="0"/>
    <x v="0"/>
    <x v="3"/>
    <x v="11"/>
    <s v="SE3_EL"/>
    <x v="11"/>
    <s v="GBPR_RECYCLEDWOOD_SE3EL"/>
    <x v="0"/>
    <x v="16"/>
    <n v="55.173803676130099"/>
    <n v="20138.4383417875"/>
    <n v="72498.378030434906"/>
  </r>
  <r>
    <x v="0"/>
    <x v="0"/>
    <x v="0"/>
    <x v="3"/>
    <x v="11"/>
    <s v="SE3_EL"/>
    <x v="11"/>
    <s v="GBPR_RECYCLEDWOOD_SE3EL"/>
    <x v="0"/>
    <x v="17"/>
    <n v="44.334731226937897"/>
    <n v="16182.1768978323"/>
    <n v="58255.836832196401"/>
  </r>
  <r>
    <x v="0"/>
    <x v="0"/>
    <x v="0"/>
    <x v="3"/>
    <x v="11"/>
    <s v="SE3_EL"/>
    <x v="11"/>
    <s v="GBPR_RECYCLEDWOOD_SE3EL"/>
    <x v="0"/>
    <x v="18"/>
    <n v="48.680018037011003"/>
    <n v="17768.206583509"/>
    <n v="63965.543700632399"/>
  </r>
  <r>
    <x v="0"/>
    <x v="0"/>
    <x v="0"/>
    <x v="3"/>
    <x v="11"/>
    <s v="SE3_EL"/>
    <x v="11"/>
    <s v="GBPR_RECYCLEDWOOD_SE3EL"/>
    <x v="0"/>
    <x v="19"/>
    <n v="67.516086050102501"/>
    <n v="24643.371408287399"/>
    <n v="88716.137069834702"/>
  </r>
  <r>
    <x v="0"/>
    <x v="0"/>
    <x v="0"/>
    <x v="3"/>
    <x v="11"/>
    <s v="SE3_EL"/>
    <x v="11"/>
    <s v="GBPR_RECYCLEDWOOD_SE3EL"/>
    <x v="0"/>
    <x v="20"/>
    <n v="57.784506878509703"/>
    <n v="21091.345010656099"/>
    <n v="75928.842038361807"/>
  </r>
  <r>
    <x v="0"/>
    <x v="0"/>
    <x v="0"/>
    <x v="3"/>
    <x v="11"/>
    <s v="SE3_EL"/>
    <x v="11"/>
    <s v="GBPR_RECYCLEDWOOD_SE3EL"/>
    <x v="0"/>
    <x v="21"/>
    <n v="31.319301203969601"/>
    <n v="11431.544939448901"/>
    <n v="41153.561782016099"/>
  </r>
  <r>
    <x v="0"/>
    <x v="0"/>
    <x v="0"/>
    <x v="3"/>
    <x v="11"/>
    <s v="SE3_EL"/>
    <x v="11"/>
    <s v="GHOB_RECYCLEDWOOD"/>
    <x v="0"/>
    <x v="6"/>
    <n v="87.367649737302898"/>
    <n v="31889.192154115601"/>
    <n v="114801.09175481601"/>
  </r>
  <r>
    <x v="0"/>
    <x v="0"/>
    <x v="0"/>
    <x v="3"/>
    <x v="11"/>
    <s v="SE3_EL"/>
    <x v="11"/>
    <s v="GHOB_RECYCLEDWOOD"/>
    <x v="0"/>
    <x v="7"/>
    <n v="87.367649737302898"/>
    <n v="31889.192154115601"/>
    <n v="114801.09175481601"/>
  </r>
  <r>
    <x v="0"/>
    <x v="0"/>
    <x v="0"/>
    <x v="3"/>
    <x v="11"/>
    <s v="SE3_EL"/>
    <x v="11"/>
    <s v="GHOB_RECYCLEDWOOD"/>
    <x v="0"/>
    <x v="8"/>
    <n v="87.367649737302898"/>
    <n v="31889.192154115601"/>
    <n v="114801.09175481601"/>
  </r>
  <r>
    <x v="0"/>
    <x v="0"/>
    <x v="0"/>
    <x v="3"/>
    <x v="11"/>
    <s v="SE3_EL"/>
    <x v="11"/>
    <s v="GHOB_RECYCLEDWOOD"/>
    <x v="0"/>
    <x v="9"/>
    <n v="87.367649737302898"/>
    <n v="31889.192154115601"/>
    <n v="114801.09175481601"/>
  </r>
  <r>
    <x v="0"/>
    <x v="0"/>
    <x v="0"/>
    <x v="3"/>
    <x v="11"/>
    <s v="SE3_EL"/>
    <x v="11"/>
    <s v="GHOB_RECYCLEDWOOD"/>
    <x v="0"/>
    <x v="10"/>
    <n v="87.367649737302898"/>
    <n v="31889.192154115601"/>
    <n v="114801.09175481601"/>
  </r>
  <r>
    <x v="0"/>
    <x v="0"/>
    <x v="0"/>
    <x v="3"/>
    <x v="11"/>
    <s v="SE3_EL"/>
    <x v="11"/>
    <s v="GHOB_RECYCLEDWOOD"/>
    <x v="0"/>
    <x v="11"/>
    <n v="82.648956404940705"/>
    <n v="30166.869087803301"/>
    <n v="108600.728716092"/>
  </r>
  <r>
    <x v="0"/>
    <x v="0"/>
    <x v="0"/>
    <x v="3"/>
    <x v="11"/>
    <s v="SE3_EL"/>
    <x v="11"/>
    <s v="GHOB_RECYCLEDWOOD"/>
    <x v="0"/>
    <x v="12"/>
    <n v="28.475957340952899"/>
    <n v="10393.724429447801"/>
    <n v="37417.407946012201"/>
  </r>
  <r>
    <x v="0"/>
    <x v="0"/>
    <x v="0"/>
    <x v="3"/>
    <x v="11"/>
    <s v="SE3_EL"/>
    <x v="11"/>
    <s v="GHOB_RECYCLEDWOOD"/>
    <x v="0"/>
    <x v="13"/>
    <n v="1.2051961593056999"/>
    <n v="439.89659814658103"/>
    <n v="1583.62775332769"/>
  </r>
  <r>
    <x v="0"/>
    <x v="0"/>
    <x v="0"/>
    <x v="3"/>
    <x v="11"/>
    <s v="SE3_EL"/>
    <x v="2"/>
    <s v="GHOB_WASTEHEAT"/>
    <x v="0"/>
    <x v="0"/>
    <n v="27.2206959706959"/>
    <n v="9935.5540293039903"/>
    <n v="35767.994505494396"/>
  </r>
  <r>
    <x v="0"/>
    <x v="0"/>
    <x v="0"/>
    <x v="3"/>
    <x v="11"/>
    <s v="SE3_EL"/>
    <x v="2"/>
    <s v="GHOB_WASTEHEAT"/>
    <x v="0"/>
    <x v="1"/>
    <n v="27.2206959706959"/>
    <n v="9935.5540293039903"/>
    <n v="35767.994505494396"/>
  </r>
  <r>
    <x v="0"/>
    <x v="0"/>
    <x v="0"/>
    <x v="3"/>
    <x v="11"/>
    <s v="SE3_EL"/>
    <x v="2"/>
    <s v="GHOB_WASTEHEAT"/>
    <x v="0"/>
    <x v="2"/>
    <n v="27.2206959706959"/>
    <n v="9935.5540293039903"/>
    <n v="35767.994505494396"/>
  </r>
  <r>
    <x v="0"/>
    <x v="0"/>
    <x v="0"/>
    <x v="3"/>
    <x v="11"/>
    <s v="SE3_EL"/>
    <x v="2"/>
    <s v="GHOB_WASTEHEAT"/>
    <x v="0"/>
    <x v="3"/>
    <n v="27.2206959706959"/>
    <n v="9935.5540293039903"/>
    <n v="35767.994505494396"/>
  </r>
  <r>
    <x v="0"/>
    <x v="0"/>
    <x v="0"/>
    <x v="3"/>
    <x v="11"/>
    <s v="SE3_EL"/>
    <x v="2"/>
    <s v="GHOB_WASTEHEAT"/>
    <x v="0"/>
    <x v="4"/>
    <n v="27.2206959706959"/>
    <n v="9935.5540293039903"/>
    <n v="35767.994505494396"/>
  </r>
  <r>
    <x v="0"/>
    <x v="0"/>
    <x v="0"/>
    <x v="3"/>
    <x v="11"/>
    <s v="SE3_EL"/>
    <x v="2"/>
    <s v="GHOB_WASTEHEAT"/>
    <x v="0"/>
    <x v="5"/>
    <n v="27.2206959706959"/>
    <n v="9935.5540293039903"/>
    <n v="35767.994505494396"/>
  </r>
  <r>
    <x v="0"/>
    <x v="0"/>
    <x v="0"/>
    <x v="3"/>
    <x v="11"/>
    <s v="SE3_EL"/>
    <x v="2"/>
    <s v="GHOB_WASTEHEAT"/>
    <x v="0"/>
    <x v="6"/>
    <n v="27.2206959706959"/>
    <n v="9935.5540293039903"/>
    <n v="35767.994505494396"/>
  </r>
  <r>
    <x v="0"/>
    <x v="0"/>
    <x v="0"/>
    <x v="3"/>
    <x v="11"/>
    <s v="SE3_EL"/>
    <x v="2"/>
    <s v="GHOB_WASTEHEAT"/>
    <x v="0"/>
    <x v="7"/>
    <n v="27.2206959706959"/>
    <n v="9935.5540293039903"/>
    <n v="35767.994505494396"/>
  </r>
  <r>
    <x v="0"/>
    <x v="0"/>
    <x v="0"/>
    <x v="3"/>
    <x v="11"/>
    <s v="SE3_EL"/>
    <x v="2"/>
    <s v="GHOB_WASTEHEAT"/>
    <x v="0"/>
    <x v="8"/>
    <n v="27.2206959706959"/>
    <n v="9935.5540293039903"/>
    <n v="35767.994505494396"/>
  </r>
  <r>
    <x v="0"/>
    <x v="0"/>
    <x v="0"/>
    <x v="3"/>
    <x v="11"/>
    <s v="SE3_EL"/>
    <x v="2"/>
    <s v="GHOB_WASTEHEAT"/>
    <x v="0"/>
    <x v="9"/>
    <n v="27.2206959706959"/>
    <n v="9935.5540293039903"/>
    <n v="35767.994505494396"/>
  </r>
  <r>
    <x v="0"/>
    <x v="0"/>
    <x v="0"/>
    <x v="3"/>
    <x v="11"/>
    <s v="SE3_EL"/>
    <x v="2"/>
    <s v="GHOB_WASTEHEAT"/>
    <x v="0"/>
    <x v="10"/>
    <n v="27.2206959706959"/>
    <n v="9935.5540293039903"/>
    <n v="35767.994505494396"/>
  </r>
  <r>
    <x v="0"/>
    <x v="0"/>
    <x v="0"/>
    <x v="3"/>
    <x v="11"/>
    <s v="SE3_EL"/>
    <x v="2"/>
    <s v="GHOB_WASTEHEAT"/>
    <x v="0"/>
    <x v="11"/>
    <n v="27.2206959706959"/>
    <n v="9935.5540293039903"/>
    <n v="35767.994505494396"/>
  </r>
  <r>
    <x v="0"/>
    <x v="0"/>
    <x v="0"/>
    <x v="3"/>
    <x v="11"/>
    <s v="SE3_EL"/>
    <x v="2"/>
    <s v="GHOB_WASTEHEAT"/>
    <x v="0"/>
    <x v="12"/>
    <n v="27.2206959706959"/>
    <n v="9935.5540293039903"/>
    <n v="35767.994505494396"/>
  </r>
  <r>
    <x v="0"/>
    <x v="0"/>
    <x v="0"/>
    <x v="3"/>
    <x v="11"/>
    <s v="SE3_EL"/>
    <x v="2"/>
    <s v="GHOB_WASTEHEAT"/>
    <x v="0"/>
    <x v="13"/>
    <n v="27.2206959706959"/>
    <n v="9935.5540293039903"/>
    <n v="35767.994505494396"/>
  </r>
  <r>
    <x v="0"/>
    <x v="0"/>
    <x v="0"/>
    <x v="3"/>
    <x v="11"/>
    <s v="SE3_EL"/>
    <x v="2"/>
    <s v="GHOB_WASTEHEAT"/>
    <x v="0"/>
    <x v="14"/>
    <n v="27.2206959706959"/>
    <n v="9935.5540293039903"/>
    <n v="35767.994505494396"/>
  </r>
  <r>
    <x v="0"/>
    <x v="0"/>
    <x v="0"/>
    <x v="3"/>
    <x v="11"/>
    <s v="SE3_EL"/>
    <x v="2"/>
    <s v="GHOB_WASTEHEAT"/>
    <x v="0"/>
    <x v="15"/>
    <n v="27.2206959706959"/>
    <n v="9935.5540293039903"/>
    <n v="35767.994505494396"/>
  </r>
  <r>
    <x v="0"/>
    <x v="0"/>
    <x v="0"/>
    <x v="3"/>
    <x v="11"/>
    <s v="SE3_EL"/>
    <x v="2"/>
    <s v="GHOB_WASTEHEAT"/>
    <x v="0"/>
    <x v="16"/>
    <n v="27.2206959706959"/>
    <n v="9935.5540293039903"/>
    <n v="35767.994505494396"/>
  </r>
  <r>
    <x v="0"/>
    <x v="0"/>
    <x v="0"/>
    <x v="3"/>
    <x v="11"/>
    <s v="SE3_EL"/>
    <x v="2"/>
    <s v="GHOB_WASTEHEAT"/>
    <x v="0"/>
    <x v="17"/>
    <n v="27.2206959706959"/>
    <n v="9935.5540293039903"/>
    <n v="35767.994505494396"/>
  </r>
  <r>
    <x v="0"/>
    <x v="0"/>
    <x v="0"/>
    <x v="3"/>
    <x v="11"/>
    <s v="SE3_EL"/>
    <x v="2"/>
    <s v="GHOB_WASTEHEAT"/>
    <x v="0"/>
    <x v="18"/>
    <n v="27.2206959706959"/>
    <n v="9935.5540293039903"/>
    <n v="35767.994505494396"/>
  </r>
  <r>
    <x v="0"/>
    <x v="0"/>
    <x v="0"/>
    <x v="3"/>
    <x v="11"/>
    <s v="SE3_EL"/>
    <x v="2"/>
    <s v="GHOB_WASTEHEAT"/>
    <x v="0"/>
    <x v="19"/>
    <n v="27.2206959706959"/>
    <n v="9935.5540293039903"/>
    <n v="35767.994505494396"/>
  </r>
  <r>
    <x v="0"/>
    <x v="0"/>
    <x v="0"/>
    <x v="3"/>
    <x v="11"/>
    <s v="SE3_EL"/>
    <x v="2"/>
    <s v="GHOB_WASTEHEAT"/>
    <x v="0"/>
    <x v="20"/>
    <n v="27.2206959706959"/>
    <n v="9935.5540293039903"/>
    <n v="35767.994505494396"/>
  </r>
  <r>
    <x v="0"/>
    <x v="0"/>
    <x v="0"/>
    <x v="3"/>
    <x v="11"/>
    <s v="SE3_EL"/>
    <x v="2"/>
    <s v="GHOB_WASTEHEAT"/>
    <x v="0"/>
    <x v="21"/>
    <n v="27.2206959706959"/>
    <n v="9935.5540293039903"/>
    <n v="35767.994505494396"/>
  </r>
  <r>
    <x v="0"/>
    <x v="0"/>
    <x v="0"/>
    <x v="3"/>
    <x v="11"/>
    <s v="SE3_EL"/>
    <x v="2"/>
    <s v="GHOB_WASTEHEAT"/>
    <x v="0"/>
    <x v="22"/>
    <n v="27.2206959706959"/>
    <n v="9935.5540293039903"/>
    <n v="35767.994505494396"/>
  </r>
  <r>
    <x v="0"/>
    <x v="0"/>
    <x v="0"/>
    <x v="3"/>
    <x v="11"/>
    <s v="SE3_EL"/>
    <x v="2"/>
    <s v="GHOB_WASTEHEAT"/>
    <x v="0"/>
    <x v="23"/>
    <n v="27.2206959706959"/>
    <n v="9935.5540293039903"/>
    <n v="35767.994505494396"/>
  </r>
  <r>
    <x v="0"/>
    <x v="0"/>
    <x v="0"/>
    <x v="3"/>
    <x v="11"/>
    <s v="SE3_EL"/>
    <x v="7"/>
    <s v="GBPR_WOODWASTE_25"/>
    <x v="0"/>
    <x v="0"/>
    <n v="176.99743607705801"/>
    <n v="64604.064168126097"/>
    <n v="232574.63100525399"/>
  </r>
  <r>
    <x v="0"/>
    <x v="0"/>
    <x v="0"/>
    <x v="3"/>
    <x v="11"/>
    <s v="SE3_EL"/>
    <x v="7"/>
    <s v="GBPR_WOODWASTE_25"/>
    <x v="0"/>
    <x v="1"/>
    <n v="176.99743607705801"/>
    <n v="64604.064168126097"/>
    <n v="232574.63100525399"/>
  </r>
  <r>
    <x v="0"/>
    <x v="0"/>
    <x v="0"/>
    <x v="3"/>
    <x v="11"/>
    <s v="SE3_EL"/>
    <x v="7"/>
    <s v="GBPR_WOODWASTE_25"/>
    <x v="0"/>
    <x v="2"/>
    <n v="176.99743607705801"/>
    <n v="64604.064168126097"/>
    <n v="232574.63100525399"/>
  </r>
  <r>
    <x v="0"/>
    <x v="0"/>
    <x v="0"/>
    <x v="3"/>
    <x v="11"/>
    <s v="SE3_EL"/>
    <x v="7"/>
    <s v="GBPR_WOODWASTE_25"/>
    <x v="0"/>
    <x v="3"/>
    <n v="176.99743607705801"/>
    <n v="64604.064168126097"/>
    <n v="232574.63100525399"/>
  </r>
  <r>
    <x v="0"/>
    <x v="0"/>
    <x v="0"/>
    <x v="3"/>
    <x v="11"/>
    <s v="SE3_EL"/>
    <x v="7"/>
    <s v="GBPR_WOODWASTE_25"/>
    <x v="0"/>
    <x v="4"/>
    <n v="176.99743607705801"/>
    <n v="64604.064168126097"/>
    <n v="232574.63100525399"/>
  </r>
  <r>
    <x v="0"/>
    <x v="0"/>
    <x v="0"/>
    <x v="3"/>
    <x v="11"/>
    <s v="SE3_EL"/>
    <x v="7"/>
    <s v="GBPR_WOODWASTE_25"/>
    <x v="0"/>
    <x v="5"/>
    <n v="176.99743607705801"/>
    <n v="64604.064168126097"/>
    <n v="232574.63100525399"/>
  </r>
  <r>
    <x v="0"/>
    <x v="0"/>
    <x v="0"/>
    <x v="3"/>
    <x v="11"/>
    <s v="SE3_EL"/>
    <x v="7"/>
    <s v="GBPR_WOODWASTE_25"/>
    <x v="0"/>
    <x v="6"/>
    <n v="176.99743607705801"/>
    <n v="64604.064168126097"/>
    <n v="232574.63100525399"/>
  </r>
  <r>
    <x v="0"/>
    <x v="0"/>
    <x v="0"/>
    <x v="3"/>
    <x v="11"/>
    <s v="SE3_EL"/>
    <x v="7"/>
    <s v="GBPR_WOODWASTE_25"/>
    <x v="0"/>
    <x v="7"/>
    <n v="176.99743607705801"/>
    <n v="64604.064168126097"/>
    <n v="232574.63100525399"/>
  </r>
  <r>
    <x v="0"/>
    <x v="0"/>
    <x v="0"/>
    <x v="3"/>
    <x v="11"/>
    <s v="SE3_EL"/>
    <x v="7"/>
    <s v="GBPR_WOODWASTE_25"/>
    <x v="0"/>
    <x v="8"/>
    <n v="176.99743607705801"/>
    <n v="64604.064168126097"/>
    <n v="232574.63100525399"/>
  </r>
  <r>
    <x v="0"/>
    <x v="0"/>
    <x v="0"/>
    <x v="3"/>
    <x v="11"/>
    <s v="SE3_EL"/>
    <x v="7"/>
    <s v="GBPR_WOODWASTE_25"/>
    <x v="0"/>
    <x v="9"/>
    <n v="176.99743607705801"/>
    <n v="64604.064168126097"/>
    <n v="232574.63100525399"/>
  </r>
  <r>
    <x v="0"/>
    <x v="0"/>
    <x v="0"/>
    <x v="3"/>
    <x v="11"/>
    <s v="SE3_EL"/>
    <x v="7"/>
    <s v="GBPR_WOODWASTE_25"/>
    <x v="0"/>
    <x v="10"/>
    <n v="176.99743607705801"/>
    <n v="64604.064168126097"/>
    <n v="232574.63100525399"/>
  </r>
  <r>
    <x v="0"/>
    <x v="0"/>
    <x v="0"/>
    <x v="3"/>
    <x v="11"/>
    <s v="SE3_EL"/>
    <x v="7"/>
    <s v="GBPR_WOODWASTE_25"/>
    <x v="0"/>
    <x v="11"/>
    <n v="176.99743607705801"/>
    <n v="64604.064168126097"/>
    <n v="232574.63100525399"/>
  </r>
  <r>
    <x v="0"/>
    <x v="0"/>
    <x v="0"/>
    <x v="3"/>
    <x v="11"/>
    <s v="SE3_EL"/>
    <x v="7"/>
    <s v="GBPR_WOODWASTE_25"/>
    <x v="0"/>
    <x v="12"/>
    <n v="176.99743607705801"/>
    <n v="64604.064168126097"/>
    <n v="232574.63100525399"/>
  </r>
  <r>
    <x v="0"/>
    <x v="0"/>
    <x v="0"/>
    <x v="3"/>
    <x v="11"/>
    <s v="SE3_EL"/>
    <x v="7"/>
    <s v="GBPR_WOODWASTE_25"/>
    <x v="0"/>
    <x v="13"/>
    <n v="176.99743607705801"/>
    <n v="64604.064168126097"/>
    <n v="232574.63100525399"/>
  </r>
  <r>
    <x v="0"/>
    <x v="0"/>
    <x v="0"/>
    <x v="3"/>
    <x v="11"/>
    <s v="SE3_EL"/>
    <x v="7"/>
    <s v="GBPR_WOODWASTE_25"/>
    <x v="0"/>
    <x v="14"/>
    <n v="176.99743607705801"/>
    <n v="64604.064168126097"/>
    <n v="232574.63100525399"/>
  </r>
  <r>
    <x v="0"/>
    <x v="0"/>
    <x v="0"/>
    <x v="3"/>
    <x v="11"/>
    <s v="SE3_EL"/>
    <x v="7"/>
    <s v="GBPR_WOODWASTE_25"/>
    <x v="0"/>
    <x v="15"/>
    <n v="176.99743607705801"/>
    <n v="64604.064168126097"/>
    <n v="232574.63100525399"/>
  </r>
  <r>
    <x v="0"/>
    <x v="0"/>
    <x v="0"/>
    <x v="3"/>
    <x v="11"/>
    <s v="SE3_EL"/>
    <x v="7"/>
    <s v="GBPR_WOODWASTE_25"/>
    <x v="0"/>
    <x v="16"/>
    <n v="176.99743607705801"/>
    <n v="64604.064168126097"/>
    <n v="232574.63100525399"/>
  </r>
  <r>
    <x v="0"/>
    <x v="0"/>
    <x v="0"/>
    <x v="3"/>
    <x v="11"/>
    <s v="SE3_EL"/>
    <x v="7"/>
    <s v="GBPR_WOODWASTE_25"/>
    <x v="0"/>
    <x v="17"/>
    <n v="176.99743607705801"/>
    <n v="64604.064168126097"/>
    <n v="232574.63100525399"/>
  </r>
  <r>
    <x v="0"/>
    <x v="0"/>
    <x v="0"/>
    <x v="3"/>
    <x v="11"/>
    <s v="SE3_EL"/>
    <x v="7"/>
    <s v="GBPR_WOODWASTE_25"/>
    <x v="0"/>
    <x v="18"/>
    <n v="176.99743607705801"/>
    <n v="64604.064168126097"/>
    <n v="232574.63100525399"/>
  </r>
  <r>
    <x v="0"/>
    <x v="0"/>
    <x v="0"/>
    <x v="3"/>
    <x v="11"/>
    <s v="SE3_EL"/>
    <x v="7"/>
    <s v="GBPR_WOODWASTE_25"/>
    <x v="0"/>
    <x v="19"/>
    <n v="176.99743607705801"/>
    <n v="64604.064168126097"/>
    <n v="232574.63100525399"/>
  </r>
  <r>
    <x v="0"/>
    <x v="0"/>
    <x v="0"/>
    <x v="3"/>
    <x v="11"/>
    <s v="SE3_EL"/>
    <x v="7"/>
    <s v="GBPR_WOODWASTE_25"/>
    <x v="0"/>
    <x v="20"/>
    <n v="176.99743607705801"/>
    <n v="64604.064168126097"/>
    <n v="232574.63100525399"/>
  </r>
  <r>
    <x v="0"/>
    <x v="0"/>
    <x v="0"/>
    <x v="3"/>
    <x v="11"/>
    <s v="SE3_EL"/>
    <x v="7"/>
    <s v="GBPR_WOODWASTE_25"/>
    <x v="0"/>
    <x v="21"/>
    <n v="176.99743607705801"/>
    <n v="64604.064168126097"/>
    <n v="232574.63100525399"/>
  </r>
  <r>
    <x v="0"/>
    <x v="0"/>
    <x v="0"/>
    <x v="3"/>
    <x v="11"/>
    <s v="SE3_EL"/>
    <x v="7"/>
    <s v="GBPR_WOODWASTE_25"/>
    <x v="0"/>
    <x v="22"/>
    <n v="176.99743607705801"/>
    <n v="64604.064168126097"/>
    <n v="232574.63100525399"/>
  </r>
  <r>
    <x v="0"/>
    <x v="0"/>
    <x v="0"/>
    <x v="3"/>
    <x v="11"/>
    <s v="SE3_EL"/>
    <x v="7"/>
    <s v="GBPR_WOODWASTE_25"/>
    <x v="0"/>
    <x v="23"/>
    <n v="176.99743607705801"/>
    <n v="64604.064168126097"/>
    <n v="232574.63100525399"/>
  </r>
  <r>
    <x v="0"/>
    <x v="0"/>
    <x v="0"/>
    <x v="3"/>
    <x v="11"/>
    <s v="SE3_EL"/>
    <x v="7"/>
    <s v="GBPR_WOODWASTE_ABY"/>
    <x v="0"/>
    <x v="0"/>
    <n v="73.962031523642395"/>
    <n v="26996.141506129501"/>
    <n v="97186.109422066103"/>
  </r>
  <r>
    <x v="0"/>
    <x v="0"/>
    <x v="0"/>
    <x v="3"/>
    <x v="11"/>
    <s v="SE3_EL"/>
    <x v="7"/>
    <s v="GBPR_WOODWASTE_ABY"/>
    <x v="0"/>
    <x v="1"/>
    <n v="73.962031523642395"/>
    <n v="26996.141506129501"/>
    <n v="97186.109422066103"/>
  </r>
  <r>
    <x v="0"/>
    <x v="0"/>
    <x v="0"/>
    <x v="3"/>
    <x v="11"/>
    <s v="SE3_EL"/>
    <x v="7"/>
    <s v="GBPR_WOODWASTE_ABY"/>
    <x v="0"/>
    <x v="2"/>
    <n v="73.962031523642395"/>
    <n v="26996.141506129501"/>
    <n v="97186.109422066103"/>
  </r>
  <r>
    <x v="0"/>
    <x v="0"/>
    <x v="0"/>
    <x v="3"/>
    <x v="11"/>
    <s v="SE3_EL"/>
    <x v="7"/>
    <s v="GBPR_WOODWASTE_ABY"/>
    <x v="0"/>
    <x v="3"/>
    <n v="73.962031523642395"/>
    <n v="26996.141506129501"/>
    <n v="97186.109422066103"/>
  </r>
  <r>
    <x v="0"/>
    <x v="0"/>
    <x v="0"/>
    <x v="3"/>
    <x v="11"/>
    <s v="SE3_EL"/>
    <x v="7"/>
    <s v="GBPR_WOODWASTE_ABY"/>
    <x v="0"/>
    <x v="4"/>
    <n v="73.962031523642395"/>
    <n v="26996.141506129501"/>
    <n v="97186.109422066103"/>
  </r>
  <r>
    <x v="0"/>
    <x v="0"/>
    <x v="0"/>
    <x v="3"/>
    <x v="11"/>
    <s v="SE3_EL"/>
    <x v="7"/>
    <s v="GBPR_WOODWASTE_ABY"/>
    <x v="0"/>
    <x v="5"/>
    <n v="73.962031523642395"/>
    <n v="26996.141506129501"/>
    <n v="97186.109422066103"/>
  </r>
  <r>
    <x v="0"/>
    <x v="0"/>
    <x v="0"/>
    <x v="3"/>
    <x v="11"/>
    <s v="SE3_EL"/>
    <x v="7"/>
    <s v="GBPR_WOODWASTE_ABY"/>
    <x v="0"/>
    <x v="6"/>
    <n v="73.962031523642395"/>
    <n v="26996.141506129501"/>
    <n v="97186.109422066103"/>
  </r>
  <r>
    <x v="0"/>
    <x v="0"/>
    <x v="0"/>
    <x v="3"/>
    <x v="11"/>
    <s v="SE3_EL"/>
    <x v="7"/>
    <s v="GBPR_WOODWASTE_ABY"/>
    <x v="0"/>
    <x v="7"/>
    <n v="73.962031523642395"/>
    <n v="26996.141506129501"/>
    <n v="97186.109422066103"/>
  </r>
  <r>
    <x v="0"/>
    <x v="0"/>
    <x v="0"/>
    <x v="3"/>
    <x v="11"/>
    <s v="SE3_EL"/>
    <x v="7"/>
    <s v="GBPR_WOODWASTE_ABY"/>
    <x v="0"/>
    <x v="8"/>
    <n v="73.962031523642395"/>
    <n v="26996.141506129501"/>
    <n v="97186.109422066103"/>
  </r>
  <r>
    <x v="0"/>
    <x v="0"/>
    <x v="0"/>
    <x v="3"/>
    <x v="11"/>
    <s v="SE3_EL"/>
    <x v="7"/>
    <s v="GBPR_WOODWASTE_ABY"/>
    <x v="0"/>
    <x v="9"/>
    <n v="73.962031523642395"/>
    <n v="26996.141506129501"/>
    <n v="97186.109422066103"/>
  </r>
  <r>
    <x v="0"/>
    <x v="0"/>
    <x v="0"/>
    <x v="3"/>
    <x v="11"/>
    <s v="SE3_EL"/>
    <x v="7"/>
    <s v="GBPR_WOODWASTE_ABY"/>
    <x v="0"/>
    <x v="10"/>
    <n v="73.962031523642395"/>
    <n v="26996.141506129501"/>
    <n v="97186.109422066103"/>
  </r>
  <r>
    <x v="0"/>
    <x v="0"/>
    <x v="0"/>
    <x v="3"/>
    <x v="11"/>
    <s v="SE3_EL"/>
    <x v="7"/>
    <s v="GBPR_WOODWASTE_ABY"/>
    <x v="0"/>
    <x v="11"/>
    <n v="73.962031523642395"/>
    <n v="26996.141506129501"/>
    <n v="97186.109422066103"/>
  </r>
  <r>
    <x v="0"/>
    <x v="0"/>
    <x v="0"/>
    <x v="3"/>
    <x v="11"/>
    <s v="SE3_EL"/>
    <x v="7"/>
    <s v="GBPR_WOODWASTE_ABY"/>
    <x v="0"/>
    <x v="12"/>
    <n v="73.962031523642395"/>
    <n v="26996.141506129501"/>
    <n v="97186.109422066103"/>
  </r>
  <r>
    <x v="0"/>
    <x v="0"/>
    <x v="0"/>
    <x v="3"/>
    <x v="11"/>
    <s v="SE3_EL"/>
    <x v="7"/>
    <s v="GBPR_WOODWASTE_ABY"/>
    <x v="0"/>
    <x v="13"/>
    <n v="73.962031523642395"/>
    <n v="26996.141506129501"/>
    <n v="97186.109422066103"/>
  </r>
  <r>
    <x v="0"/>
    <x v="0"/>
    <x v="0"/>
    <x v="3"/>
    <x v="11"/>
    <s v="SE3_EL"/>
    <x v="7"/>
    <s v="GBPR_WOODWASTE_ABY"/>
    <x v="0"/>
    <x v="14"/>
    <n v="73.962031523642395"/>
    <n v="26996.141506129501"/>
    <n v="97186.109422066103"/>
  </r>
  <r>
    <x v="0"/>
    <x v="0"/>
    <x v="0"/>
    <x v="3"/>
    <x v="11"/>
    <s v="SE3_EL"/>
    <x v="7"/>
    <s v="GBPR_WOODWASTE_ABY"/>
    <x v="0"/>
    <x v="15"/>
    <n v="73.962031523642395"/>
    <n v="26996.141506129501"/>
    <n v="97186.109422066103"/>
  </r>
  <r>
    <x v="0"/>
    <x v="0"/>
    <x v="0"/>
    <x v="3"/>
    <x v="11"/>
    <s v="SE3_EL"/>
    <x v="7"/>
    <s v="GBPR_WOODWASTE_ABY"/>
    <x v="0"/>
    <x v="16"/>
    <n v="73.962031523642395"/>
    <n v="26996.141506129501"/>
    <n v="97186.109422066103"/>
  </r>
  <r>
    <x v="0"/>
    <x v="0"/>
    <x v="0"/>
    <x v="3"/>
    <x v="11"/>
    <s v="SE3_EL"/>
    <x v="7"/>
    <s v="GBPR_WOODWASTE_ABY"/>
    <x v="0"/>
    <x v="17"/>
    <n v="73.962031523642395"/>
    <n v="26996.141506129501"/>
    <n v="97186.109422066103"/>
  </r>
  <r>
    <x v="0"/>
    <x v="0"/>
    <x v="0"/>
    <x v="3"/>
    <x v="11"/>
    <s v="SE3_EL"/>
    <x v="7"/>
    <s v="GBPR_WOODWASTE_ABY"/>
    <x v="0"/>
    <x v="18"/>
    <n v="73.962031523642395"/>
    <n v="26996.141506129501"/>
    <n v="97186.109422066103"/>
  </r>
  <r>
    <x v="0"/>
    <x v="0"/>
    <x v="0"/>
    <x v="3"/>
    <x v="11"/>
    <s v="SE3_EL"/>
    <x v="7"/>
    <s v="GBPR_WOODWASTE_ABY"/>
    <x v="0"/>
    <x v="19"/>
    <n v="73.962031523642395"/>
    <n v="26996.141506129501"/>
    <n v="97186.109422066103"/>
  </r>
  <r>
    <x v="0"/>
    <x v="0"/>
    <x v="0"/>
    <x v="3"/>
    <x v="11"/>
    <s v="SE3_EL"/>
    <x v="7"/>
    <s v="GBPR_WOODWASTE_ABY"/>
    <x v="0"/>
    <x v="20"/>
    <n v="73.962031523642395"/>
    <n v="26996.141506129501"/>
    <n v="97186.109422066103"/>
  </r>
  <r>
    <x v="0"/>
    <x v="0"/>
    <x v="0"/>
    <x v="3"/>
    <x v="11"/>
    <s v="SE3_EL"/>
    <x v="7"/>
    <s v="GBPR_WOODWASTE_ABY"/>
    <x v="0"/>
    <x v="21"/>
    <n v="73.962031523642395"/>
    <n v="26996.141506129501"/>
    <n v="97186.109422066103"/>
  </r>
  <r>
    <x v="0"/>
    <x v="0"/>
    <x v="0"/>
    <x v="3"/>
    <x v="11"/>
    <s v="SE3_EL"/>
    <x v="7"/>
    <s v="GBPR_WOODWASTE_ABY"/>
    <x v="0"/>
    <x v="22"/>
    <n v="73.962031523642395"/>
    <n v="26996.141506129501"/>
    <n v="97186.109422066103"/>
  </r>
  <r>
    <x v="0"/>
    <x v="0"/>
    <x v="0"/>
    <x v="3"/>
    <x v="11"/>
    <s v="SE3_EL"/>
    <x v="7"/>
    <s v="GBPR_WOODWASTE_ABY"/>
    <x v="0"/>
    <x v="23"/>
    <n v="73.962031523642395"/>
    <n v="26996.141506129501"/>
    <n v="97186.109422066103"/>
  </r>
  <r>
    <x v="0"/>
    <x v="0"/>
    <x v="0"/>
    <x v="3"/>
    <x v="11"/>
    <s v="SE3_EL"/>
    <x v="7"/>
    <s v="GHOB_WOODWASTE"/>
    <x v="0"/>
    <x v="0"/>
    <n v="46.717423817863398"/>
    <n v="17051.859693520099"/>
    <n v="61386.694896672503"/>
  </r>
  <r>
    <x v="0"/>
    <x v="0"/>
    <x v="0"/>
    <x v="3"/>
    <x v="11"/>
    <s v="SE3_EL"/>
    <x v="7"/>
    <s v="GHOB_WOODWASTE"/>
    <x v="0"/>
    <x v="1"/>
    <n v="46.717423817863398"/>
    <n v="17051.859693520099"/>
    <n v="61386.694896672503"/>
  </r>
  <r>
    <x v="0"/>
    <x v="0"/>
    <x v="0"/>
    <x v="3"/>
    <x v="11"/>
    <s v="SE3_EL"/>
    <x v="7"/>
    <s v="GHOB_WOODWASTE"/>
    <x v="0"/>
    <x v="2"/>
    <n v="46.717423817863398"/>
    <n v="17051.859693520099"/>
    <n v="61386.694896672503"/>
  </r>
  <r>
    <x v="0"/>
    <x v="0"/>
    <x v="0"/>
    <x v="3"/>
    <x v="11"/>
    <s v="SE3_EL"/>
    <x v="7"/>
    <s v="GHOB_WOODWASTE"/>
    <x v="0"/>
    <x v="3"/>
    <n v="46.717423817863398"/>
    <n v="17051.859693520099"/>
    <n v="61386.694896672503"/>
  </r>
  <r>
    <x v="0"/>
    <x v="0"/>
    <x v="0"/>
    <x v="3"/>
    <x v="11"/>
    <s v="SE3_EL"/>
    <x v="7"/>
    <s v="GHOB_WOODWASTE"/>
    <x v="0"/>
    <x v="4"/>
    <n v="46.717423817863398"/>
    <n v="17051.859693520099"/>
    <n v="61386.694896672503"/>
  </r>
  <r>
    <x v="0"/>
    <x v="0"/>
    <x v="0"/>
    <x v="3"/>
    <x v="11"/>
    <s v="SE3_EL"/>
    <x v="7"/>
    <s v="GHOB_WOODWASTE"/>
    <x v="0"/>
    <x v="5"/>
    <n v="46.717423817863398"/>
    <n v="17051.859693520099"/>
    <n v="61386.694896672503"/>
  </r>
  <r>
    <x v="0"/>
    <x v="0"/>
    <x v="0"/>
    <x v="3"/>
    <x v="11"/>
    <s v="SE3_EL"/>
    <x v="7"/>
    <s v="GHOB_WOODWASTE"/>
    <x v="0"/>
    <x v="6"/>
    <n v="46.717423817863398"/>
    <n v="17051.859693520099"/>
    <n v="61386.694896672503"/>
  </r>
  <r>
    <x v="0"/>
    <x v="0"/>
    <x v="0"/>
    <x v="3"/>
    <x v="11"/>
    <s v="SE3_EL"/>
    <x v="7"/>
    <s v="GHOB_WOODWASTE"/>
    <x v="0"/>
    <x v="7"/>
    <n v="46.717423817863398"/>
    <n v="17051.859693520099"/>
    <n v="61386.694896672503"/>
  </r>
  <r>
    <x v="0"/>
    <x v="0"/>
    <x v="0"/>
    <x v="3"/>
    <x v="11"/>
    <s v="SE3_EL"/>
    <x v="7"/>
    <s v="GHOB_WOODWASTE"/>
    <x v="0"/>
    <x v="8"/>
    <n v="46.717423817863398"/>
    <n v="17051.859693520099"/>
    <n v="61386.694896672503"/>
  </r>
  <r>
    <x v="0"/>
    <x v="0"/>
    <x v="0"/>
    <x v="3"/>
    <x v="11"/>
    <s v="SE3_EL"/>
    <x v="7"/>
    <s v="GHOB_WOODWASTE"/>
    <x v="0"/>
    <x v="9"/>
    <n v="46.717423817863398"/>
    <n v="17051.859693520099"/>
    <n v="61386.694896672503"/>
  </r>
  <r>
    <x v="0"/>
    <x v="0"/>
    <x v="0"/>
    <x v="3"/>
    <x v="11"/>
    <s v="SE3_EL"/>
    <x v="7"/>
    <s v="GHOB_WOODWASTE"/>
    <x v="0"/>
    <x v="10"/>
    <n v="46.717423817863398"/>
    <n v="17051.859693520099"/>
    <n v="61386.694896672503"/>
  </r>
  <r>
    <x v="0"/>
    <x v="0"/>
    <x v="0"/>
    <x v="3"/>
    <x v="11"/>
    <s v="SE3_EL"/>
    <x v="7"/>
    <s v="GHOB_WOODWASTE"/>
    <x v="0"/>
    <x v="11"/>
    <n v="46.717423817863398"/>
    <n v="17051.859693520099"/>
    <n v="61386.694896672503"/>
  </r>
  <r>
    <x v="0"/>
    <x v="0"/>
    <x v="0"/>
    <x v="3"/>
    <x v="11"/>
    <s v="SE3_EL"/>
    <x v="7"/>
    <s v="GHOB_WOODWASTE"/>
    <x v="0"/>
    <x v="12"/>
    <n v="46.717423817863398"/>
    <n v="17051.859693520099"/>
    <n v="61386.694896672503"/>
  </r>
  <r>
    <x v="0"/>
    <x v="0"/>
    <x v="0"/>
    <x v="3"/>
    <x v="11"/>
    <s v="SE3_EL"/>
    <x v="7"/>
    <s v="GHOB_WOODWASTE"/>
    <x v="0"/>
    <x v="13"/>
    <n v="46.717423817863398"/>
    <n v="17051.859693520099"/>
    <n v="61386.694896672503"/>
  </r>
  <r>
    <x v="0"/>
    <x v="0"/>
    <x v="0"/>
    <x v="3"/>
    <x v="11"/>
    <s v="SE3_EL"/>
    <x v="7"/>
    <s v="GHOB_WOODWASTE"/>
    <x v="0"/>
    <x v="14"/>
    <n v="46.717423817863398"/>
    <n v="17051.859693520099"/>
    <n v="61386.694896672503"/>
  </r>
  <r>
    <x v="0"/>
    <x v="0"/>
    <x v="0"/>
    <x v="3"/>
    <x v="11"/>
    <s v="SE3_EL"/>
    <x v="7"/>
    <s v="GHOB_WOODWASTE"/>
    <x v="0"/>
    <x v="15"/>
    <n v="46.717423817863398"/>
    <n v="17051.859693520099"/>
    <n v="61386.694896672503"/>
  </r>
  <r>
    <x v="0"/>
    <x v="0"/>
    <x v="0"/>
    <x v="3"/>
    <x v="11"/>
    <s v="SE3_EL"/>
    <x v="7"/>
    <s v="GHOB_WOODWASTE"/>
    <x v="0"/>
    <x v="16"/>
    <n v="46.717423817863398"/>
    <n v="17051.859693520099"/>
    <n v="61386.694896672503"/>
  </r>
  <r>
    <x v="0"/>
    <x v="0"/>
    <x v="0"/>
    <x v="3"/>
    <x v="11"/>
    <s v="SE3_EL"/>
    <x v="7"/>
    <s v="GHOB_WOODWASTE"/>
    <x v="0"/>
    <x v="17"/>
    <n v="46.717423817863398"/>
    <n v="17051.859693520099"/>
    <n v="61386.694896672503"/>
  </r>
  <r>
    <x v="0"/>
    <x v="0"/>
    <x v="0"/>
    <x v="3"/>
    <x v="11"/>
    <s v="SE3_EL"/>
    <x v="7"/>
    <s v="GHOB_WOODWASTE"/>
    <x v="0"/>
    <x v="18"/>
    <n v="46.717423817863398"/>
    <n v="17051.859693520099"/>
    <n v="61386.694896672503"/>
  </r>
  <r>
    <x v="0"/>
    <x v="0"/>
    <x v="0"/>
    <x v="3"/>
    <x v="11"/>
    <s v="SE3_EL"/>
    <x v="7"/>
    <s v="GHOB_WOODWASTE"/>
    <x v="0"/>
    <x v="19"/>
    <n v="46.717423817863398"/>
    <n v="17051.859693520099"/>
    <n v="61386.694896672503"/>
  </r>
  <r>
    <x v="0"/>
    <x v="0"/>
    <x v="0"/>
    <x v="3"/>
    <x v="11"/>
    <s v="SE3_EL"/>
    <x v="7"/>
    <s v="GHOB_WOODWASTE"/>
    <x v="0"/>
    <x v="20"/>
    <n v="46.717423817863398"/>
    <n v="17051.859693520099"/>
    <n v="61386.694896672503"/>
  </r>
  <r>
    <x v="0"/>
    <x v="0"/>
    <x v="0"/>
    <x v="3"/>
    <x v="11"/>
    <s v="SE3_EL"/>
    <x v="7"/>
    <s v="GHOB_WOODWASTE"/>
    <x v="0"/>
    <x v="21"/>
    <n v="46.717423817863398"/>
    <n v="17051.859693520099"/>
    <n v="61386.694896672503"/>
  </r>
  <r>
    <x v="0"/>
    <x v="0"/>
    <x v="0"/>
    <x v="3"/>
    <x v="11"/>
    <s v="SE3_EL"/>
    <x v="7"/>
    <s v="GHOB_WOODWASTE"/>
    <x v="0"/>
    <x v="22"/>
    <n v="46.717423817863398"/>
    <n v="17051.859693520099"/>
    <n v="61386.694896672503"/>
  </r>
  <r>
    <x v="0"/>
    <x v="0"/>
    <x v="0"/>
    <x v="3"/>
    <x v="11"/>
    <s v="SE3_EL"/>
    <x v="7"/>
    <s v="GHOB_WOODWASTE"/>
    <x v="0"/>
    <x v="23"/>
    <n v="46.717423817863398"/>
    <n v="17051.859693520099"/>
    <n v="61386.694896672503"/>
  </r>
  <r>
    <x v="0"/>
    <x v="0"/>
    <x v="0"/>
    <x v="3"/>
    <x v="11"/>
    <s v="SE3_GOT"/>
    <x v="3"/>
    <s v="GETOH_HEATPUMP33"/>
    <x v="0"/>
    <x v="0"/>
    <n v="22.960609504344301"/>
    <n v="8380.6224690856598"/>
    <n v="30170.240888708398"/>
  </r>
  <r>
    <x v="0"/>
    <x v="0"/>
    <x v="0"/>
    <x v="3"/>
    <x v="11"/>
    <s v="SE3_GOT"/>
    <x v="3"/>
    <s v="GETOH_HEATPUMP33"/>
    <x v="0"/>
    <x v="1"/>
    <n v="28.112564066266302"/>
    <n v="10261.0858841872"/>
    <n v="36939.909183073898"/>
  </r>
  <r>
    <x v="0"/>
    <x v="0"/>
    <x v="0"/>
    <x v="3"/>
    <x v="11"/>
    <s v="SE3_GOT"/>
    <x v="3"/>
    <s v="GETOH_HEATPUMP33"/>
    <x v="0"/>
    <x v="2"/>
    <n v="25.4491710216579"/>
    <n v="9288.9474229051193"/>
    <n v="33440.210722458403"/>
  </r>
  <r>
    <x v="0"/>
    <x v="0"/>
    <x v="0"/>
    <x v="3"/>
    <x v="11"/>
    <s v="SE3_GOT"/>
    <x v="3"/>
    <s v="GETOH_HEATPUMP33"/>
    <x v="0"/>
    <x v="3"/>
    <n v="36.904415813183597"/>
    <n v="13470.111771812"/>
    <n v="48492.402378523198"/>
  </r>
  <r>
    <x v="0"/>
    <x v="0"/>
    <x v="0"/>
    <x v="3"/>
    <x v="11"/>
    <s v="SE3_GOT"/>
    <x v="3"/>
    <s v="GETOH_HEATPUMP33"/>
    <x v="0"/>
    <x v="4"/>
    <n v="50.433832362686601"/>
    <n v="18408.348812380598"/>
    <n v="66270.055724570193"/>
  </r>
  <r>
    <x v="0"/>
    <x v="0"/>
    <x v="0"/>
    <x v="3"/>
    <x v="11"/>
    <s v="SE3_GOT"/>
    <x v="3"/>
    <s v="GETOH_HEATPUMP33"/>
    <x v="0"/>
    <x v="5"/>
    <n v="102.777816416807"/>
    <n v="37513.902992134397"/>
    <n v="135050.05077168401"/>
  </r>
  <r>
    <x v="0"/>
    <x v="0"/>
    <x v="0"/>
    <x v="3"/>
    <x v="11"/>
    <s v="SE3_GOT"/>
    <x v="3"/>
    <s v="GETOH_HEATPUMP33"/>
    <x v="0"/>
    <x v="6"/>
    <n v="160"/>
    <n v="58400"/>
    <n v="210240"/>
  </r>
  <r>
    <x v="0"/>
    <x v="0"/>
    <x v="0"/>
    <x v="3"/>
    <x v="11"/>
    <s v="SE3_GOT"/>
    <x v="3"/>
    <s v="GETOH_HEATPUMP33"/>
    <x v="0"/>
    <x v="7"/>
    <n v="160"/>
    <n v="58400"/>
    <n v="210240"/>
  </r>
  <r>
    <x v="0"/>
    <x v="0"/>
    <x v="0"/>
    <x v="3"/>
    <x v="11"/>
    <s v="SE3_GOT"/>
    <x v="3"/>
    <s v="GETOH_HEATPUMP33"/>
    <x v="0"/>
    <x v="8"/>
    <n v="160"/>
    <n v="58400"/>
    <n v="210240"/>
  </r>
  <r>
    <x v="0"/>
    <x v="0"/>
    <x v="0"/>
    <x v="3"/>
    <x v="11"/>
    <s v="SE3_GOT"/>
    <x v="3"/>
    <s v="GETOH_HEATPUMP33"/>
    <x v="0"/>
    <x v="9"/>
    <n v="160"/>
    <n v="58400"/>
    <n v="210240"/>
  </r>
  <r>
    <x v="0"/>
    <x v="0"/>
    <x v="0"/>
    <x v="3"/>
    <x v="11"/>
    <s v="SE3_GOT"/>
    <x v="3"/>
    <s v="GETOH_HEATPUMP33"/>
    <x v="0"/>
    <x v="10"/>
    <n v="160"/>
    <n v="58400"/>
    <n v="210240"/>
  </r>
  <r>
    <x v="0"/>
    <x v="0"/>
    <x v="0"/>
    <x v="3"/>
    <x v="11"/>
    <s v="SE3_GOT"/>
    <x v="3"/>
    <s v="GETOH_HEATPUMP33"/>
    <x v="0"/>
    <x v="11"/>
    <n v="147.763106148497"/>
    <n v="53933.533744201297"/>
    <n v="194160.721479125"/>
  </r>
  <r>
    <x v="0"/>
    <x v="0"/>
    <x v="0"/>
    <x v="3"/>
    <x v="11"/>
    <s v="SE3_GOT"/>
    <x v="3"/>
    <s v="GETOH_HEATPUMP33"/>
    <x v="0"/>
    <x v="12"/>
    <n v="129.05117456338601"/>
    <n v="47103.678715635702"/>
    <n v="169573.243376289"/>
  </r>
  <r>
    <x v="0"/>
    <x v="0"/>
    <x v="0"/>
    <x v="3"/>
    <x v="11"/>
    <s v="SE3_GOT"/>
    <x v="3"/>
    <s v="GETOH_HEATPUMP33"/>
    <x v="0"/>
    <x v="13"/>
    <n v="123.848891109357"/>
    <n v="45204.845254915497"/>
    <n v="162737.442917696"/>
  </r>
  <r>
    <x v="0"/>
    <x v="0"/>
    <x v="0"/>
    <x v="3"/>
    <x v="11"/>
    <s v="SE3_GOT"/>
    <x v="3"/>
    <s v="GETOH_HEATPUMP33"/>
    <x v="0"/>
    <x v="14"/>
    <n v="116.87462728977501"/>
    <n v="42659.238960767798"/>
    <n v="153573.260258764"/>
  </r>
  <r>
    <x v="0"/>
    <x v="0"/>
    <x v="0"/>
    <x v="3"/>
    <x v="11"/>
    <s v="SE3_GOT"/>
    <x v="3"/>
    <s v="GETOH_HEATPUMP33"/>
    <x v="0"/>
    <x v="15"/>
    <n v="113.91786759342401"/>
    <n v="41580.021671599803"/>
    <n v="149688.07801775899"/>
  </r>
  <r>
    <x v="0"/>
    <x v="0"/>
    <x v="0"/>
    <x v="3"/>
    <x v="11"/>
    <s v="SE3_GOT"/>
    <x v="3"/>
    <s v="GETOH_HEATPUMP33"/>
    <x v="0"/>
    <x v="16"/>
    <n v="120.517874940279"/>
    <n v="43989.024353201698"/>
    <n v="158360.487671526"/>
  </r>
  <r>
    <x v="0"/>
    <x v="0"/>
    <x v="0"/>
    <x v="3"/>
    <x v="11"/>
    <s v="SE3_GOT"/>
    <x v="3"/>
    <s v="GETOH_HEATPUMP33"/>
    <x v="0"/>
    <x v="17"/>
    <n v="121.270370797615"/>
    <n v="44263.685341129603"/>
    <n v="159349.26722806701"/>
  </r>
  <r>
    <x v="0"/>
    <x v="0"/>
    <x v="0"/>
    <x v="3"/>
    <x v="11"/>
    <s v="SE3_GOT"/>
    <x v="3"/>
    <s v="GETOH_HEATPUMP33"/>
    <x v="0"/>
    <x v="18"/>
    <n v="125.368193209361"/>
    <n v="45759.390521416703"/>
    <n v="164733.80587710001"/>
  </r>
  <r>
    <x v="0"/>
    <x v="0"/>
    <x v="0"/>
    <x v="3"/>
    <x v="11"/>
    <s v="SE3_GOT"/>
    <x v="3"/>
    <s v="GETOH_HEATPUMP33"/>
    <x v="0"/>
    <x v="19"/>
    <n v="131.395691974492"/>
    <n v="47959.427570689601"/>
    <n v="172653.93925448199"/>
  </r>
  <r>
    <x v="0"/>
    <x v="0"/>
    <x v="0"/>
    <x v="3"/>
    <x v="11"/>
    <s v="SE3_GOT"/>
    <x v="3"/>
    <s v="GETOH_HEATPUMP33"/>
    <x v="0"/>
    <x v="20"/>
    <n v="127.128008160215"/>
    <n v="46401.722978478501"/>
    <n v="167046.20272252301"/>
  </r>
  <r>
    <x v="0"/>
    <x v="0"/>
    <x v="0"/>
    <x v="3"/>
    <x v="11"/>
    <s v="SE3_GOT"/>
    <x v="3"/>
    <s v="GETOH_HEATPUMP33"/>
    <x v="0"/>
    <x v="21"/>
    <n v="116.722235953124"/>
    <n v="42603.616122890096"/>
    <n v="153373.018042404"/>
  </r>
  <r>
    <x v="0"/>
    <x v="0"/>
    <x v="0"/>
    <x v="3"/>
    <x v="11"/>
    <s v="SE3_GOT"/>
    <x v="3"/>
    <s v="GETOH_HEATPUMP33"/>
    <x v="0"/>
    <x v="22"/>
    <n v="99.056577635042501"/>
    <n v="36155.650836790497"/>
    <n v="130160.343012446"/>
  </r>
  <r>
    <x v="0"/>
    <x v="0"/>
    <x v="0"/>
    <x v="3"/>
    <x v="11"/>
    <s v="SE3_GOT"/>
    <x v="3"/>
    <s v="GETOH_HEATPUMP33"/>
    <x v="0"/>
    <x v="23"/>
    <n v="54.613946041893001"/>
    <n v="19934.090305290902"/>
    <n v="71762.725099047399"/>
  </r>
  <r>
    <x v="0"/>
    <x v="0"/>
    <x v="0"/>
    <x v="3"/>
    <x v="11"/>
    <s v="SE3_GOT"/>
    <x v="1"/>
    <s v="GBPR_MUNIWASTE_24"/>
    <x v="0"/>
    <x v="0"/>
    <n v="169.166666666667"/>
    <n v="61745.833333333299"/>
    <n v="222285"/>
  </r>
  <r>
    <x v="0"/>
    <x v="0"/>
    <x v="0"/>
    <x v="3"/>
    <x v="11"/>
    <s v="SE3_GOT"/>
    <x v="1"/>
    <s v="GBPR_MUNIWASTE_24"/>
    <x v="0"/>
    <x v="1"/>
    <n v="169.166666666667"/>
    <n v="61745.833333333299"/>
    <n v="222285"/>
  </r>
  <r>
    <x v="0"/>
    <x v="0"/>
    <x v="0"/>
    <x v="3"/>
    <x v="11"/>
    <s v="SE3_GOT"/>
    <x v="1"/>
    <s v="GBPR_MUNIWASTE_24"/>
    <x v="0"/>
    <x v="2"/>
    <n v="169.166666666667"/>
    <n v="61745.833333333299"/>
    <n v="222285"/>
  </r>
  <r>
    <x v="0"/>
    <x v="0"/>
    <x v="0"/>
    <x v="3"/>
    <x v="11"/>
    <s v="SE3_GOT"/>
    <x v="1"/>
    <s v="GBPR_MUNIWASTE_24"/>
    <x v="0"/>
    <x v="3"/>
    <n v="169.166666666667"/>
    <n v="61745.833333333299"/>
    <n v="222285"/>
  </r>
  <r>
    <x v="0"/>
    <x v="0"/>
    <x v="0"/>
    <x v="3"/>
    <x v="11"/>
    <s v="SE3_GOT"/>
    <x v="1"/>
    <s v="GBPR_MUNIWASTE_24"/>
    <x v="0"/>
    <x v="4"/>
    <n v="169.166666666667"/>
    <n v="61745.833333333299"/>
    <n v="222285"/>
  </r>
  <r>
    <x v="0"/>
    <x v="0"/>
    <x v="0"/>
    <x v="3"/>
    <x v="11"/>
    <s v="SE3_GOT"/>
    <x v="1"/>
    <s v="GBPR_MUNIWASTE_24"/>
    <x v="0"/>
    <x v="5"/>
    <n v="169.166666666667"/>
    <n v="61745.833333333299"/>
    <n v="222285"/>
  </r>
  <r>
    <x v="0"/>
    <x v="0"/>
    <x v="0"/>
    <x v="3"/>
    <x v="11"/>
    <s v="SE3_GOT"/>
    <x v="1"/>
    <s v="GBPR_MUNIWASTE_24"/>
    <x v="0"/>
    <x v="6"/>
    <n v="169.166666666667"/>
    <n v="61745.833333333299"/>
    <n v="222285"/>
  </r>
  <r>
    <x v="0"/>
    <x v="0"/>
    <x v="0"/>
    <x v="3"/>
    <x v="11"/>
    <s v="SE3_GOT"/>
    <x v="1"/>
    <s v="GBPR_MUNIWASTE_24"/>
    <x v="0"/>
    <x v="7"/>
    <n v="169.166666666667"/>
    <n v="61745.833333333299"/>
    <n v="222285"/>
  </r>
  <r>
    <x v="0"/>
    <x v="0"/>
    <x v="0"/>
    <x v="3"/>
    <x v="11"/>
    <s v="SE3_GOT"/>
    <x v="1"/>
    <s v="GBPR_MUNIWASTE_24"/>
    <x v="0"/>
    <x v="8"/>
    <n v="169.166666666667"/>
    <n v="61745.833333333299"/>
    <n v="222285"/>
  </r>
  <r>
    <x v="0"/>
    <x v="0"/>
    <x v="0"/>
    <x v="3"/>
    <x v="11"/>
    <s v="SE3_GOT"/>
    <x v="1"/>
    <s v="GBPR_MUNIWASTE_24"/>
    <x v="0"/>
    <x v="9"/>
    <n v="169.166666666667"/>
    <n v="61745.833333333299"/>
    <n v="222285"/>
  </r>
  <r>
    <x v="0"/>
    <x v="0"/>
    <x v="0"/>
    <x v="3"/>
    <x v="11"/>
    <s v="SE3_GOT"/>
    <x v="1"/>
    <s v="GBPR_MUNIWASTE_24"/>
    <x v="0"/>
    <x v="10"/>
    <n v="169.166666666667"/>
    <n v="61745.833333333299"/>
    <n v="222285"/>
  </r>
  <r>
    <x v="0"/>
    <x v="0"/>
    <x v="0"/>
    <x v="3"/>
    <x v="11"/>
    <s v="SE3_GOT"/>
    <x v="1"/>
    <s v="GBPR_MUNIWASTE_24"/>
    <x v="0"/>
    <x v="11"/>
    <n v="169.166666666667"/>
    <n v="61745.833333333299"/>
    <n v="222285"/>
  </r>
  <r>
    <x v="0"/>
    <x v="0"/>
    <x v="0"/>
    <x v="3"/>
    <x v="11"/>
    <s v="SE3_GOT"/>
    <x v="1"/>
    <s v="GBPR_MUNIWASTE_24"/>
    <x v="0"/>
    <x v="12"/>
    <n v="169.166666666667"/>
    <n v="61745.833333333299"/>
    <n v="222285"/>
  </r>
  <r>
    <x v="0"/>
    <x v="0"/>
    <x v="0"/>
    <x v="3"/>
    <x v="11"/>
    <s v="SE3_GOT"/>
    <x v="1"/>
    <s v="GBPR_MUNIWASTE_24"/>
    <x v="0"/>
    <x v="13"/>
    <n v="169.166666666667"/>
    <n v="61745.833333333299"/>
    <n v="222285"/>
  </r>
  <r>
    <x v="0"/>
    <x v="0"/>
    <x v="0"/>
    <x v="3"/>
    <x v="11"/>
    <s v="SE3_GOT"/>
    <x v="1"/>
    <s v="GBPR_MUNIWASTE_24"/>
    <x v="0"/>
    <x v="14"/>
    <n v="169.166666666667"/>
    <n v="61745.833333333299"/>
    <n v="222285"/>
  </r>
  <r>
    <x v="0"/>
    <x v="0"/>
    <x v="0"/>
    <x v="3"/>
    <x v="11"/>
    <s v="SE3_GOT"/>
    <x v="1"/>
    <s v="GBPR_MUNIWASTE_24"/>
    <x v="0"/>
    <x v="15"/>
    <n v="169.166666666667"/>
    <n v="61745.833333333299"/>
    <n v="222285"/>
  </r>
  <r>
    <x v="0"/>
    <x v="0"/>
    <x v="0"/>
    <x v="3"/>
    <x v="11"/>
    <s v="SE3_GOT"/>
    <x v="1"/>
    <s v="GBPR_MUNIWASTE_24"/>
    <x v="0"/>
    <x v="16"/>
    <n v="169.166666666667"/>
    <n v="61745.833333333299"/>
    <n v="222285"/>
  </r>
  <r>
    <x v="0"/>
    <x v="0"/>
    <x v="0"/>
    <x v="3"/>
    <x v="11"/>
    <s v="SE3_GOT"/>
    <x v="1"/>
    <s v="GBPR_MUNIWASTE_24"/>
    <x v="0"/>
    <x v="17"/>
    <n v="169.166666666667"/>
    <n v="61745.833333333299"/>
    <n v="222285"/>
  </r>
  <r>
    <x v="0"/>
    <x v="0"/>
    <x v="0"/>
    <x v="3"/>
    <x v="11"/>
    <s v="SE3_GOT"/>
    <x v="1"/>
    <s v="GBPR_MUNIWASTE_24"/>
    <x v="0"/>
    <x v="18"/>
    <n v="169.166666666667"/>
    <n v="61745.833333333299"/>
    <n v="222285"/>
  </r>
  <r>
    <x v="0"/>
    <x v="0"/>
    <x v="0"/>
    <x v="3"/>
    <x v="11"/>
    <s v="SE3_GOT"/>
    <x v="1"/>
    <s v="GBPR_MUNIWASTE_24"/>
    <x v="0"/>
    <x v="19"/>
    <n v="169.166666666667"/>
    <n v="61745.833333333299"/>
    <n v="222285"/>
  </r>
  <r>
    <x v="0"/>
    <x v="0"/>
    <x v="0"/>
    <x v="3"/>
    <x v="11"/>
    <s v="SE3_GOT"/>
    <x v="1"/>
    <s v="GBPR_MUNIWASTE_24"/>
    <x v="0"/>
    <x v="20"/>
    <n v="169.166666666667"/>
    <n v="61745.833333333299"/>
    <n v="222285"/>
  </r>
  <r>
    <x v="0"/>
    <x v="0"/>
    <x v="0"/>
    <x v="3"/>
    <x v="11"/>
    <s v="SE3_GOT"/>
    <x v="1"/>
    <s v="GBPR_MUNIWASTE_24"/>
    <x v="0"/>
    <x v="21"/>
    <n v="169.166666666667"/>
    <n v="61745.833333333299"/>
    <n v="222285"/>
  </r>
  <r>
    <x v="0"/>
    <x v="0"/>
    <x v="0"/>
    <x v="3"/>
    <x v="11"/>
    <s v="SE3_GOT"/>
    <x v="1"/>
    <s v="GBPR_MUNIWASTE_24"/>
    <x v="0"/>
    <x v="22"/>
    <n v="169.166666666667"/>
    <n v="61745.833333333299"/>
    <n v="222285"/>
  </r>
  <r>
    <x v="0"/>
    <x v="0"/>
    <x v="0"/>
    <x v="3"/>
    <x v="11"/>
    <s v="SE3_GOT"/>
    <x v="1"/>
    <s v="GBPR_MUNIWASTE_24"/>
    <x v="0"/>
    <x v="23"/>
    <n v="169.166666666667"/>
    <n v="61745.833333333299"/>
    <n v="222285"/>
  </r>
  <r>
    <x v="0"/>
    <x v="0"/>
    <x v="0"/>
    <x v="3"/>
    <x v="11"/>
    <s v="SE3_GOT"/>
    <x v="4"/>
    <s v="GHOB_NATGAS"/>
    <x v="0"/>
    <x v="6"/>
    <n v="42.895838583267597"/>
    <n v="15656.9810828927"/>
    <n v="56365.131898413601"/>
  </r>
  <r>
    <x v="0"/>
    <x v="0"/>
    <x v="0"/>
    <x v="3"/>
    <x v="11"/>
    <s v="SE3_GOT"/>
    <x v="4"/>
    <s v="GHOB_NATGAS"/>
    <x v="0"/>
    <x v="7"/>
    <n v="70.145755093698199"/>
    <n v="25603.200609199801"/>
    <n v="92171.522193119396"/>
  </r>
  <r>
    <x v="0"/>
    <x v="0"/>
    <x v="0"/>
    <x v="3"/>
    <x v="11"/>
    <s v="SE3_GOT"/>
    <x v="4"/>
    <s v="GHOB_NATGAS"/>
    <x v="0"/>
    <x v="8"/>
    <n v="48.058135295506702"/>
    <n v="17541.219382859999"/>
    <n v="63148.389778295801"/>
  </r>
  <r>
    <x v="0"/>
    <x v="0"/>
    <x v="0"/>
    <x v="3"/>
    <x v="11"/>
    <s v="SE3_GOT"/>
    <x v="4"/>
    <s v="GHOB_NATGAS"/>
    <x v="0"/>
    <x v="9"/>
    <n v="22.241473790140901"/>
    <n v="8118.13793340144"/>
    <n v="29225.296560245199"/>
  </r>
  <r>
    <x v="0"/>
    <x v="0"/>
    <x v="0"/>
    <x v="3"/>
    <x v="11"/>
    <s v="SE3_GOT"/>
    <x v="4"/>
    <s v="GHOB_NATGAS"/>
    <x v="0"/>
    <x v="10"/>
    <n v="2.9353321444823202"/>
    <n v="1071.39623273605"/>
    <n v="3857.02643784976"/>
  </r>
  <r>
    <x v="0"/>
    <x v="0"/>
    <x v="0"/>
    <x v="3"/>
    <x v="11"/>
    <s v="SE3_GOT"/>
    <x v="2"/>
    <s v="GHOB_WASTEHEAT"/>
    <x v="0"/>
    <x v="0"/>
    <n v="118.24633699633701"/>
    <n v="43159.913003662798"/>
    <n v="155375.68681318601"/>
  </r>
  <r>
    <x v="0"/>
    <x v="0"/>
    <x v="0"/>
    <x v="3"/>
    <x v="11"/>
    <s v="SE3_GOT"/>
    <x v="2"/>
    <s v="GHOB_WASTEHEAT"/>
    <x v="0"/>
    <x v="1"/>
    <n v="118.24633699633701"/>
    <n v="43159.913003662798"/>
    <n v="155375.68681318601"/>
  </r>
  <r>
    <x v="0"/>
    <x v="0"/>
    <x v="0"/>
    <x v="3"/>
    <x v="11"/>
    <s v="SE3_GOT"/>
    <x v="2"/>
    <s v="GHOB_WASTEHEAT"/>
    <x v="0"/>
    <x v="2"/>
    <n v="118.24633699633701"/>
    <n v="43159.913003662798"/>
    <n v="155375.68681318601"/>
  </r>
  <r>
    <x v="0"/>
    <x v="0"/>
    <x v="0"/>
    <x v="3"/>
    <x v="11"/>
    <s v="SE3_GOT"/>
    <x v="2"/>
    <s v="GHOB_WASTEHEAT"/>
    <x v="0"/>
    <x v="3"/>
    <n v="118.24633699633701"/>
    <n v="43159.913003662798"/>
    <n v="155375.68681318601"/>
  </r>
  <r>
    <x v="0"/>
    <x v="0"/>
    <x v="0"/>
    <x v="3"/>
    <x v="11"/>
    <s v="SE3_GOT"/>
    <x v="2"/>
    <s v="GHOB_WASTEHEAT"/>
    <x v="0"/>
    <x v="4"/>
    <n v="118.24633699633701"/>
    <n v="43159.913003662798"/>
    <n v="155375.68681318601"/>
  </r>
  <r>
    <x v="0"/>
    <x v="0"/>
    <x v="0"/>
    <x v="3"/>
    <x v="11"/>
    <s v="SE3_GOT"/>
    <x v="2"/>
    <s v="GHOB_WASTEHEAT"/>
    <x v="0"/>
    <x v="5"/>
    <n v="118.24633699633701"/>
    <n v="43159.913003662798"/>
    <n v="155375.68681318601"/>
  </r>
  <r>
    <x v="0"/>
    <x v="0"/>
    <x v="0"/>
    <x v="3"/>
    <x v="11"/>
    <s v="SE3_GOT"/>
    <x v="2"/>
    <s v="GHOB_WASTEHEAT"/>
    <x v="0"/>
    <x v="6"/>
    <n v="118.24633699633701"/>
    <n v="43159.913003662798"/>
    <n v="155375.68681318601"/>
  </r>
  <r>
    <x v="0"/>
    <x v="0"/>
    <x v="0"/>
    <x v="3"/>
    <x v="11"/>
    <s v="SE3_GOT"/>
    <x v="2"/>
    <s v="GHOB_WASTEHEAT"/>
    <x v="0"/>
    <x v="7"/>
    <n v="118.24633699633701"/>
    <n v="43159.913003662798"/>
    <n v="155375.68681318601"/>
  </r>
  <r>
    <x v="0"/>
    <x v="0"/>
    <x v="0"/>
    <x v="3"/>
    <x v="11"/>
    <s v="SE3_GOT"/>
    <x v="2"/>
    <s v="GHOB_WASTEHEAT"/>
    <x v="0"/>
    <x v="8"/>
    <n v="118.24633699633701"/>
    <n v="43159.913003662798"/>
    <n v="155375.68681318601"/>
  </r>
  <r>
    <x v="0"/>
    <x v="0"/>
    <x v="0"/>
    <x v="3"/>
    <x v="11"/>
    <s v="SE3_GOT"/>
    <x v="2"/>
    <s v="GHOB_WASTEHEAT"/>
    <x v="0"/>
    <x v="9"/>
    <n v="118.24633699633701"/>
    <n v="43159.913003662798"/>
    <n v="155375.68681318601"/>
  </r>
  <r>
    <x v="0"/>
    <x v="0"/>
    <x v="0"/>
    <x v="3"/>
    <x v="11"/>
    <s v="SE3_GOT"/>
    <x v="2"/>
    <s v="GHOB_WASTEHEAT"/>
    <x v="0"/>
    <x v="10"/>
    <n v="118.24633699633701"/>
    <n v="43159.913003662798"/>
    <n v="155375.68681318601"/>
  </r>
  <r>
    <x v="0"/>
    <x v="0"/>
    <x v="0"/>
    <x v="3"/>
    <x v="11"/>
    <s v="SE3_GOT"/>
    <x v="2"/>
    <s v="GHOB_WASTEHEAT"/>
    <x v="0"/>
    <x v="11"/>
    <n v="118.24633699633701"/>
    <n v="43159.913003662798"/>
    <n v="155375.68681318601"/>
  </r>
  <r>
    <x v="0"/>
    <x v="0"/>
    <x v="0"/>
    <x v="3"/>
    <x v="11"/>
    <s v="SE3_GOT"/>
    <x v="2"/>
    <s v="GHOB_WASTEHEAT"/>
    <x v="0"/>
    <x v="12"/>
    <n v="118.24633699633701"/>
    <n v="43159.913003662798"/>
    <n v="155375.68681318601"/>
  </r>
  <r>
    <x v="0"/>
    <x v="0"/>
    <x v="0"/>
    <x v="3"/>
    <x v="11"/>
    <s v="SE3_GOT"/>
    <x v="2"/>
    <s v="GHOB_WASTEHEAT"/>
    <x v="0"/>
    <x v="13"/>
    <n v="118.24633699633701"/>
    <n v="43159.913003662798"/>
    <n v="155375.68681318601"/>
  </r>
  <r>
    <x v="0"/>
    <x v="0"/>
    <x v="0"/>
    <x v="3"/>
    <x v="11"/>
    <s v="SE3_GOT"/>
    <x v="2"/>
    <s v="GHOB_WASTEHEAT"/>
    <x v="0"/>
    <x v="14"/>
    <n v="118.24633699633701"/>
    <n v="43159.913003662798"/>
    <n v="155375.68681318601"/>
  </r>
  <r>
    <x v="0"/>
    <x v="0"/>
    <x v="0"/>
    <x v="3"/>
    <x v="11"/>
    <s v="SE3_GOT"/>
    <x v="2"/>
    <s v="GHOB_WASTEHEAT"/>
    <x v="0"/>
    <x v="15"/>
    <n v="118.24633699633701"/>
    <n v="43159.913003662798"/>
    <n v="155375.68681318601"/>
  </r>
  <r>
    <x v="0"/>
    <x v="0"/>
    <x v="0"/>
    <x v="3"/>
    <x v="11"/>
    <s v="SE3_GOT"/>
    <x v="2"/>
    <s v="GHOB_WASTEHEAT"/>
    <x v="0"/>
    <x v="16"/>
    <n v="118.24633699633701"/>
    <n v="43159.913003662798"/>
    <n v="155375.68681318601"/>
  </r>
  <r>
    <x v="0"/>
    <x v="0"/>
    <x v="0"/>
    <x v="3"/>
    <x v="11"/>
    <s v="SE3_GOT"/>
    <x v="2"/>
    <s v="GHOB_WASTEHEAT"/>
    <x v="0"/>
    <x v="17"/>
    <n v="118.24633699633701"/>
    <n v="43159.913003662798"/>
    <n v="155375.68681318601"/>
  </r>
  <r>
    <x v="0"/>
    <x v="0"/>
    <x v="0"/>
    <x v="3"/>
    <x v="11"/>
    <s v="SE3_GOT"/>
    <x v="2"/>
    <s v="GHOB_WASTEHEAT"/>
    <x v="0"/>
    <x v="18"/>
    <n v="118.24633699633701"/>
    <n v="43159.913003662798"/>
    <n v="155375.68681318601"/>
  </r>
  <r>
    <x v="0"/>
    <x v="0"/>
    <x v="0"/>
    <x v="3"/>
    <x v="11"/>
    <s v="SE3_GOT"/>
    <x v="2"/>
    <s v="GHOB_WASTEHEAT"/>
    <x v="0"/>
    <x v="19"/>
    <n v="118.24633699633701"/>
    <n v="43159.913003662798"/>
    <n v="155375.68681318601"/>
  </r>
  <r>
    <x v="0"/>
    <x v="0"/>
    <x v="0"/>
    <x v="3"/>
    <x v="11"/>
    <s v="SE3_GOT"/>
    <x v="2"/>
    <s v="GHOB_WASTEHEAT"/>
    <x v="0"/>
    <x v="20"/>
    <n v="118.24633699633701"/>
    <n v="43159.913003662798"/>
    <n v="155375.68681318601"/>
  </r>
  <r>
    <x v="0"/>
    <x v="0"/>
    <x v="0"/>
    <x v="3"/>
    <x v="11"/>
    <s v="SE3_GOT"/>
    <x v="2"/>
    <s v="GHOB_WASTEHEAT"/>
    <x v="0"/>
    <x v="21"/>
    <n v="118.24633699633701"/>
    <n v="43159.913003662798"/>
    <n v="155375.68681318601"/>
  </r>
  <r>
    <x v="0"/>
    <x v="0"/>
    <x v="0"/>
    <x v="3"/>
    <x v="11"/>
    <s v="SE3_GOT"/>
    <x v="2"/>
    <s v="GHOB_WASTEHEAT"/>
    <x v="0"/>
    <x v="22"/>
    <n v="118.24633699633701"/>
    <n v="43159.913003662798"/>
    <n v="155375.68681318601"/>
  </r>
  <r>
    <x v="0"/>
    <x v="0"/>
    <x v="0"/>
    <x v="3"/>
    <x v="11"/>
    <s v="SE3_GOT"/>
    <x v="2"/>
    <s v="GHOB_WASTEHEAT"/>
    <x v="0"/>
    <x v="23"/>
    <n v="118.24633699633701"/>
    <n v="43159.913003662798"/>
    <n v="155375.68681318601"/>
  </r>
  <r>
    <x v="0"/>
    <x v="0"/>
    <x v="0"/>
    <x v="3"/>
    <x v="11"/>
    <s v="SE3_GOT"/>
    <x v="7"/>
    <s v="GBPR_WOODWASTE_GOT"/>
    <x v="0"/>
    <x v="0"/>
    <n v="64.237352390580895"/>
    <n v="23446.633622562"/>
    <n v="84407.8810412233"/>
  </r>
  <r>
    <x v="0"/>
    <x v="0"/>
    <x v="0"/>
    <x v="3"/>
    <x v="11"/>
    <s v="SE3_GOT"/>
    <x v="7"/>
    <s v="GBPR_WOODWASTE_GOT"/>
    <x v="0"/>
    <x v="1"/>
    <n v="64.237352390580895"/>
    <n v="23446.633622562"/>
    <n v="84407.8810412233"/>
  </r>
  <r>
    <x v="0"/>
    <x v="0"/>
    <x v="0"/>
    <x v="3"/>
    <x v="11"/>
    <s v="SE3_GOT"/>
    <x v="7"/>
    <s v="GBPR_WOODWASTE_GOT"/>
    <x v="0"/>
    <x v="2"/>
    <n v="64.237352390580895"/>
    <n v="23446.633622562"/>
    <n v="84407.8810412233"/>
  </r>
  <r>
    <x v="0"/>
    <x v="0"/>
    <x v="0"/>
    <x v="3"/>
    <x v="11"/>
    <s v="SE3_GOT"/>
    <x v="7"/>
    <s v="GBPR_WOODWASTE_GOT"/>
    <x v="0"/>
    <x v="3"/>
    <n v="64.237352390580895"/>
    <n v="23446.633622562"/>
    <n v="84407.8810412233"/>
  </r>
  <r>
    <x v="0"/>
    <x v="0"/>
    <x v="0"/>
    <x v="3"/>
    <x v="11"/>
    <s v="SE3_GOT"/>
    <x v="7"/>
    <s v="GBPR_WOODWASTE_GOT"/>
    <x v="0"/>
    <x v="4"/>
    <n v="64.237352390580895"/>
    <n v="23446.633622562"/>
    <n v="84407.8810412233"/>
  </r>
  <r>
    <x v="0"/>
    <x v="0"/>
    <x v="0"/>
    <x v="3"/>
    <x v="11"/>
    <s v="SE3_GOT"/>
    <x v="7"/>
    <s v="GBPR_WOODWASTE_GOT"/>
    <x v="0"/>
    <x v="5"/>
    <n v="64.237352390580895"/>
    <n v="23446.633622562"/>
    <n v="84407.8810412233"/>
  </r>
  <r>
    <x v="0"/>
    <x v="0"/>
    <x v="0"/>
    <x v="3"/>
    <x v="11"/>
    <s v="SE3_GOT"/>
    <x v="7"/>
    <s v="GBPR_WOODWASTE_GOT"/>
    <x v="0"/>
    <x v="6"/>
    <n v="64.237352390580895"/>
    <n v="23446.633622562"/>
    <n v="84407.8810412233"/>
  </r>
  <r>
    <x v="0"/>
    <x v="0"/>
    <x v="0"/>
    <x v="3"/>
    <x v="11"/>
    <s v="SE3_GOT"/>
    <x v="7"/>
    <s v="GBPR_WOODWASTE_GOT"/>
    <x v="0"/>
    <x v="7"/>
    <n v="64.237352390580895"/>
    <n v="23446.633622562"/>
    <n v="84407.8810412233"/>
  </r>
  <r>
    <x v="0"/>
    <x v="0"/>
    <x v="0"/>
    <x v="3"/>
    <x v="11"/>
    <s v="SE3_GOT"/>
    <x v="7"/>
    <s v="GBPR_WOODWASTE_GOT"/>
    <x v="0"/>
    <x v="8"/>
    <n v="64.237352390580895"/>
    <n v="23446.633622562"/>
    <n v="84407.8810412233"/>
  </r>
  <r>
    <x v="0"/>
    <x v="0"/>
    <x v="0"/>
    <x v="3"/>
    <x v="11"/>
    <s v="SE3_GOT"/>
    <x v="7"/>
    <s v="GBPR_WOODWASTE_GOT"/>
    <x v="0"/>
    <x v="9"/>
    <n v="64.237352390580895"/>
    <n v="23446.633622562"/>
    <n v="84407.8810412233"/>
  </r>
  <r>
    <x v="0"/>
    <x v="0"/>
    <x v="0"/>
    <x v="3"/>
    <x v="11"/>
    <s v="SE3_GOT"/>
    <x v="7"/>
    <s v="GBPR_WOODWASTE_GOT"/>
    <x v="0"/>
    <x v="10"/>
    <n v="64.237352390580895"/>
    <n v="23446.633622562"/>
    <n v="84407.8810412233"/>
  </r>
  <r>
    <x v="0"/>
    <x v="0"/>
    <x v="0"/>
    <x v="3"/>
    <x v="11"/>
    <s v="SE3_GOT"/>
    <x v="7"/>
    <s v="GBPR_WOODWASTE_GOT"/>
    <x v="0"/>
    <x v="11"/>
    <n v="64.237352390580895"/>
    <n v="23446.633622562"/>
    <n v="84407.8810412233"/>
  </r>
  <r>
    <x v="0"/>
    <x v="0"/>
    <x v="0"/>
    <x v="3"/>
    <x v="11"/>
    <s v="SE3_GOT"/>
    <x v="7"/>
    <s v="GBPR_WOODWASTE_GOT"/>
    <x v="0"/>
    <x v="12"/>
    <n v="64.237352390580895"/>
    <n v="23446.633622562"/>
    <n v="84407.8810412233"/>
  </r>
  <r>
    <x v="0"/>
    <x v="0"/>
    <x v="0"/>
    <x v="3"/>
    <x v="11"/>
    <s v="SE3_GOT"/>
    <x v="7"/>
    <s v="GBPR_WOODWASTE_GOT"/>
    <x v="0"/>
    <x v="13"/>
    <n v="64.237352390580895"/>
    <n v="23446.633622562"/>
    <n v="84407.8810412233"/>
  </r>
  <r>
    <x v="0"/>
    <x v="0"/>
    <x v="0"/>
    <x v="3"/>
    <x v="11"/>
    <s v="SE3_GOT"/>
    <x v="7"/>
    <s v="GBPR_WOODWASTE_GOT"/>
    <x v="0"/>
    <x v="14"/>
    <n v="64.237352390580895"/>
    <n v="23446.633622562"/>
    <n v="84407.8810412233"/>
  </r>
  <r>
    <x v="0"/>
    <x v="0"/>
    <x v="0"/>
    <x v="3"/>
    <x v="11"/>
    <s v="SE3_GOT"/>
    <x v="7"/>
    <s v="GBPR_WOODWASTE_GOT"/>
    <x v="0"/>
    <x v="15"/>
    <n v="64.237352390580895"/>
    <n v="23446.633622562"/>
    <n v="84407.8810412233"/>
  </r>
  <r>
    <x v="0"/>
    <x v="0"/>
    <x v="0"/>
    <x v="3"/>
    <x v="11"/>
    <s v="SE3_GOT"/>
    <x v="7"/>
    <s v="GBPR_WOODWASTE_GOT"/>
    <x v="0"/>
    <x v="16"/>
    <n v="64.237352390580895"/>
    <n v="23446.633622562"/>
    <n v="84407.8810412233"/>
  </r>
  <r>
    <x v="0"/>
    <x v="0"/>
    <x v="0"/>
    <x v="3"/>
    <x v="11"/>
    <s v="SE3_GOT"/>
    <x v="7"/>
    <s v="GBPR_WOODWASTE_GOT"/>
    <x v="0"/>
    <x v="17"/>
    <n v="64.237352390580895"/>
    <n v="23446.633622562"/>
    <n v="84407.8810412233"/>
  </r>
  <r>
    <x v="0"/>
    <x v="0"/>
    <x v="0"/>
    <x v="3"/>
    <x v="11"/>
    <s v="SE3_GOT"/>
    <x v="7"/>
    <s v="GBPR_WOODWASTE_GOT"/>
    <x v="0"/>
    <x v="18"/>
    <n v="64.237352390580895"/>
    <n v="23446.633622562"/>
    <n v="84407.8810412233"/>
  </r>
  <r>
    <x v="0"/>
    <x v="0"/>
    <x v="0"/>
    <x v="3"/>
    <x v="11"/>
    <s v="SE3_GOT"/>
    <x v="7"/>
    <s v="GBPR_WOODWASTE_GOT"/>
    <x v="0"/>
    <x v="19"/>
    <n v="64.237352390580895"/>
    <n v="23446.633622562"/>
    <n v="84407.8810412233"/>
  </r>
  <r>
    <x v="0"/>
    <x v="0"/>
    <x v="0"/>
    <x v="3"/>
    <x v="11"/>
    <s v="SE3_GOT"/>
    <x v="7"/>
    <s v="GBPR_WOODWASTE_GOT"/>
    <x v="0"/>
    <x v="20"/>
    <n v="64.237352390580895"/>
    <n v="23446.633622562"/>
    <n v="84407.8810412233"/>
  </r>
  <r>
    <x v="0"/>
    <x v="0"/>
    <x v="0"/>
    <x v="3"/>
    <x v="11"/>
    <s v="SE3_GOT"/>
    <x v="7"/>
    <s v="GBPR_WOODWASTE_GOT"/>
    <x v="0"/>
    <x v="21"/>
    <n v="64.237352390580895"/>
    <n v="23446.633622562"/>
    <n v="84407.8810412233"/>
  </r>
  <r>
    <x v="0"/>
    <x v="0"/>
    <x v="0"/>
    <x v="3"/>
    <x v="11"/>
    <s v="SE3_GOT"/>
    <x v="7"/>
    <s v="GBPR_WOODWASTE_GOT"/>
    <x v="0"/>
    <x v="22"/>
    <n v="64.237352390580895"/>
    <n v="23446.633622562"/>
    <n v="84407.8810412233"/>
  </r>
  <r>
    <x v="0"/>
    <x v="0"/>
    <x v="0"/>
    <x v="3"/>
    <x v="11"/>
    <s v="SE3_GOT"/>
    <x v="7"/>
    <s v="GBPR_WOODWASTE_GOT"/>
    <x v="0"/>
    <x v="23"/>
    <n v="64.237352390580895"/>
    <n v="23446.633622562"/>
    <n v="84407.8810412233"/>
  </r>
  <r>
    <x v="0"/>
    <x v="0"/>
    <x v="0"/>
    <x v="3"/>
    <x v="11"/>
    <s v="SE3_HP"/>
    <x v="3"/>
    <s v="GETOH_HEATPUMP2"/>
    <x v="0"/>
    <x v="6"/>
    <n v="50.411454659279201"/>
    <n v="18400.180950636899"/>
    <n v="66240.651422292794"/>
  </r>
  <r>
    <x v="0"/>
    <x v="0"/>
    <x v="0"/>
    <x v="3"/>
    <x v="11"/>
    <s v="SE3_HP"/>
    <x v="3"/>
    <s v="GETOH_HEATPUMP2"/>
    <x v="0"/>
    <x v="7"/>
    <n v="85.763870302560505"/>
    <n v="31303.8126604346"/>
    <n v="112693.725577565"/>
  </r>
  <r>
    <x v="0"/>
    <x v="0"/>
    <x v="0"/>
    <x v="3"/>
    <x v="11"/>
    <s v="SE3_HP"/>
    <x v="3"/>
    <s v="GETOH_HEATPUMP2"/>
    <x v="0"/>
    <x v="8"/>
    <n v="84.4652516168575"/>
    <n v="30829.816840152998"/>
    <n v="110987.340624551"/>
  </r>
  <r>
    <x v="0"/>
    <x v="0"/>
    <x v="0"/>
    <x v="3"/>
    <x v="11"/>
    <s v="SE3_HP"/>
    <x v="3"/>
    <s v="GETOH_HEATPUMP2"/>
    <x v="0"/>
    <x v="9"/>
    <n v="80.232441199544496"/>
    <n v="29284.841037833801"/>
    <n v="105425.42773620199"/>
  </r>
  <r>
    <x v="0"/>
    <x v="0"/>
    <x v="0"/>
    <x v="3"/>
    <x v="11"/>
    <s v="SE3_HP"/>
    <x v="3"/>
    <s v="GETOH_HEATPUMP2"/>
    <x v="0"/>
    <x v="10"/>
    <n v="86.294650186343404"/>
    <n v="31497.547318015299"/>
    <n v="113391.170344855"/>
  </r>
  <r>
    <x v="0"/>
    <x v="0"/>
    <x v="0"/>
    <x v="3"/>
    <x v="11"/>
    <s v="SE3_HP"/>
    <x v="3"/>
    <s v="GETOH_HEATPUMP2"/>
    <x v="0"/>
    <x v="11"/>
    <n v="104.05695353671901"/>
    <n v="37980.788040902502"/>
    <n v="136730.83694724899"/>
  </r>
  <r>
    <x v="0"/>
    <x v="0"/>
    <x v="0"/>
    <x v="3"/>
    <x v="11"/>
    <s v="SE3_HP"/>
    <x v="3"/>
    <s v="GETOH_HEATPUMP2"/>
    <x v="0"/>
    <x v="12"/>
    <n v="99.819463346688195"/>
    <n v="36434.104121541197"/>
    <n v="131162.774837548"/>
  </r>
  <r>
    <x v="0"/>
    <x v="0"/>
    <x v="0"/>
    <x v="3"/>
    <x v="11"/>
    <s v="SE3_HP"/>
    <x v="3"/>
    <s v="GETOH_HEATPUMP2"/>
    <x v="0"/>
    <x v="13"/>
    <n v="94.199598534795797"/>
    <n v="34382.853465200496"/>
    <n v="123778.27247472201"/>
  </r>
  <r>
    <x v="0"/>
    <x v="0"/>
    <x v="0"/>
    <x v="3"/>
    <x v="11"/>
    <s v="SE3_HP"/>
    <x v="3"/>
    <s v="GETOH_HEATPUMP2"/>
    <x v="0"/>
    <x v="14"/>
    <n v="85.035513763374993"/>
    <n v="31037.962523631901"/>
    <n v="111736.665085075"/>
  </r>
  <r>
    <x v="0"/>
    <x v="0"/>
    <x v="0"/>
    <x v="3"/>
    <x v="11"/>
    <s v="SE3_HP"/>
    <x v="3"/>
    <s v="GETOH_HEATPUMP2"/>
    <x v="0"/>
    <x v="15"/>
    <n v="77.243894348258607"/>
    <n v="28194.021437114399"/>
    <n v="101498.477173612"/>
  </r>
  <r>
    <x v="0"/>
    <x v="0"/>
    <x v="0"/>
    <x v="3"/>
    <x v="11"/>
    <s v="SE3_HP"/>
    <x v="3"/>
    <s v="GETOH_HEATPUMP2"/>
    <x v="0"/>
    <x v="16"/>
    <n v="73.132114032856805"/>
    <n v="26693.221621992801"/>
    <n v="96095.597839173905"/>
  </r>
  <r>
    <x v="0"/>
    <x v="0"/>
    <x v="0"/>
    <x v="3"/>
    <x v="11"/>
    <s v="SE3_HP"/>
    <x v="3"/>
    <s v="GETOH_HEATPUMP2"/>
    <x v="0"/>
    <x v="17"/>
    <n v="65.967050365261798"/>
    <n v="24077.973383320601"/>
    <n v="86680.704179954002"/>
  </r>
  <r>
    <x v="0"/>
    <x v="0"/>
    <x v="0"/>
    <x v="3"/>
    <x v="11"/>
    <s v="SE3_HP"/>
    <x v="3"/>
    <s v="GETOH_HEATPUMP2"/>
    <x v="0"/>
    <x v="18"/>
    <n v="61.218335968359497"/>
    <n v="22344.692628451201"/>
    <n v="80440.893462424399"/>
  </r>
  <r>
    <x v="0"/>
    <x v="0"/>
    <x v="0"/>
    <x v="3"/>
    <x v="11"/>
    <s v="SE3_HP"/>
    <x v="3"/>
    <s v="GETOH_HEATPUMP2"/>
    <x v="0"/>
    <x v="19"/>
    <n v="61.3204152834262"/>
    <n v="22381.9515784506"/>
    <n v="80575.0256824221"/>
  </r>
  <r>
    <x v="0"/>
    <x v="0"/>
    <x v="0"/>
    <x v="3"/>
    <x v="11"/>
    <s v="SE3_HP"/>
    <x v="3"/>
    <s v="GETOH_HEATPUMP2"/>
    <x v="0"/>
    <x v="20"/>
    <n v="51.199747696638802"/>
    <n v="18687.907909273101"/>
    <n v="67276.468473383298"/>
  </r>
  <r>
    <x v="0"/>
    <x v="0"/>
    <x v="0"/>
    <x v="3"/>
    <x v="11"/>
    <s v="SE3_HP"/>
    <x v="3"/>
    <s v="GETOH_HEATPUMP2"/>
    <x v="0"/>
    <x v="21"/>
    <n v="37.825906169446199"/>
    <n v="13806.4557518478"/>
    <n v="49703.240706652301"/>
  </r>
  <r>
    <x v="0"/>
    <x v="0"/>
    <x v="0"/>
    <x v="3"/>
    <x v="11"/>
    <s v="SE3_HP"/>
    <x v="3"/>
    <s v="GETOH_HEATPUMP2"/>
    <x v="0"/>
    <x v="22"/>
    <n v="18.983777504216"/>
    <n v="6929.0787890388501"/>
    <n v="24944.683640539901"/>
  </r>
  <r>
    <x v="0"/>
    <x v="0"/>
    <x v="0"/>
    <x v="3"/>
    <x v="11"/>
    <s v="SE3_HP"/>
    <x v="1"/>
    <s v="GBPR_MUNIWASTE_24"/>
    <x v="0"/>
    <x v="0"/>
    <n v="125.01029757646501"/>
    <n v="45628.758615409803"/>
    <n v="164263.53101547499"/>
  </r>
  <r>
    <x v="0"/>
    <x v="0"/>
    <x v="0"/>
    <x v="3"/>
    <x v="11"/>
    <s v="SE3_HP"/>
    <x v="1"/>
    <s v="GBPR_MUNIWASTE_24"/>
    <x v="0"/>
    <x v="1"/>
    <n v="125.01029757646501"/>
    <n v="45628.758615409803"/>
    <n v="164263.53101547499"/>
  </r>
  <r>
    <x v="0"/>
    <x v="0"/>
    <x v="0"/>
    <x v="3"/>
    <x v="11"/>
    <s v="SE3_HP"/>
    <x v="1"/>
    <s v="GBPR_MUNIWASTE_24"/>
    <x v="0"/>
    <x v="2"/>
    <n v="125.01029757646501"/>
    <n v="45628.758615409803"/>
    <n v="164263.53101547499"/>
  </r>
  <r>
    <x v="0"/>
    <x v="0"/>
    <x v="0"/>
    <x v="3"/>
    <x v="11"/>
    <s v="SE3_HP"/>
    <x v="1"/>
    <s v="GBPR_MUNIWASTE_24"/>
    <x v="0"/>
    <x v="3"/>
    <n v="125.01029757646501"/>
    <n v="45628.758615409803"/>
    <n v="164263.53101547499"/>
  </r>
  <r>
    <x v="0"/>
    <x v="0"/>
    <x v="0"/>
    <x v="3"/>
    <x v="11"/>
    <s v="SE3_HP"/>
    <x v="1"/>
    <s v="GBPR_MUNIWASTE_24"/>
    <x v="0"/>
    <x v="4"/>
    <n v="125.01029757646501"/>
    <n v="45628.758615409803"/>
    <n v="164263.53101547499"/>
  </r>
  <r>
    <x v="0"/>
    <x v="0"/>
    <x v="0"/>
    <x v="3"/>
    <x v="11"/>
    <s v="SE3_HP"/>
    <x v="1"/>
    <s v="GBPR_MUNIWASTE_24"/>
    <x v="0"/>
    <x v="5"/>
    <n v="125.01029757646501"/>
    <n v="45628.758615409803"/>
    <n v="164263.53101547499"/>
  </r>
  <r>
    <x v="0"/>
    <x v="0"/>
    <x v="0"/>
    <x v="3"/>
    <x v="11"/>
    <s v="SE3_HP"/>
    <x v="1"/>
    <s v="GBPR_MUNIWASTE_24"/>
    <x v="0"/>
    <x v="6"/>
    <n v="125.01029757646501"/>
    <n v="45628.758615409803"/>
    <n v="164263.53101547499"/>
  </r>
  <r>
    <x v="0"/>
    <x v="0"/>
    <x v="0"/>
    <x v="3"/>
    <x v="11"/>
    <s v="SE3_HP"/>
    <x v="1"/>
    <s v="GBPR_MUNIWASTE_24"/>
    <x v="0"/>
    <x v="7"/>
    <n v="125.01029757646501"/>
    <n v="45628.758615409803"/>
    <n v="164263.53101547499"/>
  </r>
  <r>
    <x v="0"/>
    <x v="0"/>
    <x v="0"/>
    <x v="3"/>
    <x v="11"/>
    <s v="SE3_HP"/>
    <x v="1"/>
    <s v="GBPR_MUNIWASTE_24"/>
    <x v="0"/>
    <x v="8"/>
    <n v="125.01029757646501"/>
    <n v="45628.758615409803"/>
    <n v="164263.53101547499"/>
  </r>
  <r>
    <x v="0"/>
    <x v="0"/>
    <x v="0"/>
    <x v="3"/>
    <x v="11"/>
    <s v="SE3_HP"/>
    <x v="1"/>
    <s v="GBPR_MUNIWASTE_24"/>
    <x v="0"/>
    <x v="9"/>
    <n v="125.01029757646501"/>
    <n v="45628.758615409803"/>
    <n v="164263.53101547499"/>
  </r>
  <r>
    <x v="0"/>
    <x v="0"/>
    <x v="0"/>
    <x v="3"/>
    <x v="11"/>
    <s v="SE3_HP"/>
    <x v="1"/>
    <s v="GBPR_MUNIWASTE_24"/>
    <x v="0"/>
    <x v="10"/>
    <n v="125.01029757646501"/>
    <n v="45628.758615409803"/>
    <n v="164263.53101547499"/>
  </r>
  <r>
    <x v="0"/>
    <x v="0"/>
    <x v="0"/>
    <x v="3"/>
    <x v="11"/>
    <s v="SE3_HP"/>
    <x v="1"/>
    <s v="GBPR_MUNIWASTE_24"/>
    <x v="0"/>
    <x v="11"/>
    <n v="125.01029757646501"/>
    <n v="45628.758615409803"/>
    <n v="164263.53101547499"/>
  </r>
  <r>
    <x v="0"/>
    <x v="0"/>
    <x v="0"/>
    <x v="3"/>
    <x v="11"/>
    <s v="SE3_HP"/>
    <x v="1"/>
    <s v="GBPR_MUNIWASTE_24"/>
    <x v="0"/>
    <x v="12"/>
    <n v="125.01029757646501"/>
    <n v="45628.758615409803"/>
    <n v="164263.53101547499"/>
  </r>
  <r>
    <x v="0"/>
    <x v="0"/>
    <x v="0"/>
    <x v="3"/>
    <x v="11"/>
    <s v="SE3_HP"/>
    <x v="1"/>
    <s v="GBPR_MUNIWASTE_24"/>
    <x v="0"/>
    <x v="13"/>
    <n v="125.01029757646501"/>
    <n v="45628.758615409803"/>
    <n v="164263.53101547499"/>
  </r>
  <r>
    <x v="0"/>
    <x v="0"/>
    <x v="0"/>
    <x v="3"/>
    <x v="11"/>
    <s v="SE3_HP"/>
    <x v="1"/>
    <s v="GBPR_MUNIWASTE_24"/>
    <x v="0"/>
    <x v="14"/>
    <n v="125.01029757646501"/>
    <n v="45628.758615409803"/>
    <n v="164263.53101547499"/>
  </r>
  <r>
    <x v="0"/>
    <x v="0"/>
    <x v="0"/>
    <x v="3"/>
    <x v="11"/>
    <s v="SE3_HP"/>
    <x v="1"/>
    <s v="GBPR_MUNIWASTE_24"/>
    <x v="0"/>
    <x v="15"/>
    <n v="125.01029757646501"/>
    <n v="45628.758615409803"/>
    <n v="164263.53101547499"/>
  </r>
  <r>
    <x v="0"/>
    <x v="0"/>
    <x v="0"/>
    <x v="3"/>
    <x v="11"/>
    <s v="SE3_HP"/>
    <x v="1"/>
    <s v="GBPR_MUNIWASTE_24"/>
    <x v="0"/>
    <x v="16"/>
    <n v="125.01029757646501"/>
    <n v="45628.758615409803"/>
    <n v="164263.53101547499"/>
  </r>
  <r>
    <x v="0"/>
    <x v="0"/>
    <x v="0"/>
    <x v="3"/>
    <x v="11"/>
    <s v="SE3_HP"/>
    <x v="1"/>
    <s v="GBPR_MUNIWASTE_24"/>
    <x v="0"/>
    <x v="17"/>
    <n v="125.01029757646501"/>
    <n v="45628.758615409803"/>
    <n v="164263.53101547499"/>
  </r>
  <r>
    <x v="0"/>
    <x v="0"/>
    <x v="0"/>
    <x v="3"/>
    <x v="11"/>
    <s v="SE3_HP"/>
    <x v="1"/>
    <s v="GBPR_MUNIWASTE_24"/>
    <x v="0"/>
    <x v="18"/>
    <n v="125.01029757646501"/>
    <n v="45628.758615409803"/>
    <n v="164263.53101547499"/>
  </r>
  <r>
    <x v="0"/>
    <x v="0"/>
    <x v="0"/>
    <x v="3"/>
    <x v="11"/>
    <s v="SE3_HP"/>
    <x v="1"/>
    <s v="GBPR_MUNIWASTE_24"/>
    <x v="0"/>
    <x v="19"/>
    <n v="125.01029757646501"/>
    <n v="45628.758615409803"/>
    <n v="164263.53101547499"/>
  </r>
  <r>
    <x v="0"/>
    <x v="0"/>
    <x v="0"/>
    <x v="3"/>
    <x v="11"/>
    <s v="SE3_HP"/>
    <x v="1"/>
    <s v="GBPR_MUNIWASTE_24"/>
    <x v="0"/>
    <x v="20"/>
    <n v="125.01029757646501"/>
    <n v="45628.758615409803"/>
    <n v="164263.53101547499"/>
  </r>
  <r>
    <x v="0"/>
    <x v="0"/>
    <x v="0"/>
    <x v="3"/>
    <x v="11"/>
    <s v="SE3_HP"/>
    <x v="1"/>
    <s v="GBPR_MUNIWASTE_24"/>
    <x v="0"/>
    <x v="21"/>
    <n v="125.01029757646501"/>
    <n v="45628.758615409803"/>
    <n v="164263.53101547499"/>
  </r>
  <r>
    <x v="0"/>
    <x v="0"/>
    <x v="0"/>
    <x v="3"/>
    <x v="11"/>
    <s v="SE3_HP"/>
    <x v="1"/>
    <s v="GBPR_MUNIWASTE_24"/>
    <x v="0"/>
    <x v="22"/>
    <n v="125.01029757646501"/>
    <n v="45628.758615409803"/>
    <n v="164263.53101547499"/>
  </r>
  <r>
    <x v="0"/>
    <x v="0"/>
    <x v="0"/>
    <x v="3"/>
    <x v="11"/>
    <s v="SE3_HP"/>
    <x v="1"/>
    <s v="GBPR_MUNIWASTE_24"/>
    <x v="0"/>
    <x v="23"/>
    <n v="125.01029757646501"/>
    <n v="45628.758615409803"/>
    <n v="164263.53101547499"/>
  </r>
  <r>
    <x v="0"/>
    <x v="0"/>
    <x v="0"/>
    <x v="3"/>
    <x v="11"/>
    <s v="SE3_HP"/>
    <x v="2"/>
    <s v="GHOB_WASTEHEAT"/>
    <x v="0"/>
    <x v="0"/>
    <n v="3.4340659340659201E-3"/>
    <n v="1.2534340659340599"/>
    <n v="4.51236263736262"/>
  </r>
  <r>
    <x v="0"/>
    <x v="0"/>
    <x v="0"/>
    <x v="3"/>
    <x v="11"/>
    <s v="SE3_HP"/>
    <x v="2"/>
    <s v="GHOB_WASTEHEAT"/>
    <x v="0"/>
    <x v="1"/>
    <n v="3.4340659340659201E-3"/>
    <n v="1.2534340659340599"/>
    <n v="4.51236263736262"/>
  </r>
  <r>
    <x v="0"/>
    <x v="0"/>
    <x v="0"/>
    <x v="3"/>
    <x v="11"/>
    <s v="SE3_HP"/>
    <x v="2"/>
    <s v="GHOB_WASTEHEAT"/>
    <x v="0"/>
    <x v="2"/>
    <n v="3.4340659340659201E-3"/>
    <n v="1.2534340659340599"/>
    <n v="4.51236263736262"/>
  </r>
  <r>
    <x v="0"/>
    <x v="0"/>
    <x v="0"/>
    <x v="3"/>
    <x v="11"/>
    <s v="SE3_HP"/>
    <x v="2"/>
    <s v="GHOB_WASTEHEAT"/>
    <x v="0"/>
    <x v="3"/>
    <n v="3.4340659340659201E-3"/>
    <n v="1.2534340659340599"/>
    <n v="4.51236263736262"/>
  </r>
  <r>
    <x v="0"/>
    <x v="0"/>
    <x v="0"/>
    <x v="3"/>
    <x v="11"/>
    <s v="SE3_HP"/>
    <x v="2"/>
    <s v="GHOB_WASTEHEAT"/>
    <x v="0"/>
    <x v="4"/>
    <n v="3.4340659340659201E-3"/>
    <n v="1.2534340659340599"/>
    <n v="4.51236263736262"/>
  </r>
  <r>
    <x v="0"/>
    <x v="0"/>
    <x v="0"/>
    <x v="3"/>
    <x v="11"/>
    <s v="SE3_HP"/>
    <x v="2"/>
    <s v="GHOB_WASTEHEAT"/>
    <x v="0"/>
    <x v="5"/>
    <n v="3.4340659340659201E-3"/>
    <n v="1.2534340659340599"/>
    <n v="4.51236263736262"/>
  </r>
  <r>
    <x v="0"/>
    <x v="0"/>
    <x v="0"/>
    <x v="3"/>
    <x v="11"/>
    <s v="SE3_HP"/>
    <x v="2"/>
    <s v="GHOB_WASTEHEAT"/>
    <x v="0"/>
    <x v="6"/>
    <n v="3.4340659340659201E-3"/>
    <n v="1.2534340659340599"/>
    <n v="4.51236263736262"/>
  </r>
  <r>
    <x v="0"/>
    <x v="0"/>
    <x v="0"/>
    <x v="3"/>
    <x v="11"/>
    <s v="SE3_HP"/>
    <x v="2"/>
    <s v="GHOB_WASTEHEAT"/>
    <x v="0"/>
    <x v="7"/>
    <n v="3.4340659340659201E-3"/>
    <n v="1.2534340659340599"/>
    <n v="4.51236263736262"/>
  </r>
  <r>
    <x v="0"/>
    <x v="0"/>
    <x v="0"/>
    <x v="3"/>
    <x v="11"/>
    <s v="SE3_HP"/>
    <x v="2"/>
    <s v="GHOB_WASTEHEAT"/>
    <x v="0"/>
    <x v="8"/>
    <n v="3.4340659340659201E-3"/>
    <n v="1.2534340659340599"/>
    <n v="4.51236263736262"/>
  </r>
  <r>
    <x v="0"/>
    <x v="0"/>
    <x v="0"/>
    <x v="3"/>
    <x v="11"/>
    <s v="SE3_HP"/>
    <x v="2"/>
    <s v="GHOB_WASTEHEAT"/>
    <x v="0"/>
    <x v="9"/>
    <n v="3.4340659340659201E-3"/>
    <n v="1.2534340659340599"/>
    <n v="4.51236263736262"/>
  </r>
  <r>
    <x v="0"/>
    <x v="0"/>
    <x v="0"/>
    <x v="3"/>
    <x v="11"/>
    <s v="SE3_HP"/>
    <x v="2"/>
    <s v="GHOB_WASTEHEAT"/>
    <x v="0"/>
    <x v="10"/>
    <n v="3.4340659340659201E-3"/>
    <n v="1.2534340659340599"/>
    <n v="4.51236263736262"/>
  </r>
  <r>
    <x v="0"/>
    <x v="0"/>
    <x v="0"/>
    <x v="3"/>
    <x v="11"/>
    <s v="SE3_HP"/>
    <x v="2"/>
    <s v="GHOB_WASTEHEAT"/>
    <x v="0"/>
    <x v="11"/>
    <n v="3.4340659340659201E-3"/>
    <n v="1.2534340659340599"/>
    <n v="4.51236263736262"/>
  </r>
  <r>
    <x v="0"/>
    <x v="0"/>
    <x v="0"/>
    <x v="3"/>
    <x v="11"/>
    <s v="SE3_HP"/>
    <x v="2"/>
    <s v="GHOB_WASTEHEAT"/>
    <x v="0"/>
    <x v="12"/>
    <n v="3.4340659340659201E-3"/>
    <n v="1.2534340659340599"/>
    <n v="4.51236263736262"/>
  </r>
  <r>
    <x v="0"/>
    <x v="0"/>
    <x v="0"/>
    <x v="3"/>
    <x v="11"/>
    <s v="SE3_HP"/>
    <x v="2"/>
    <s v="GHOB_WASTEHEAT"/>
    <x v="0"/>
    <x v="13"/>
    <n v="3.4340659340659201E-3"/>
    <n v="1.2534340659340599"/>
    <n v="4.51236263736262"/>
  </r>
  <r>
    <x v="0"/>
    <x v="0"/>
    <x v="0"/>
    <x v="3"/>
    <x v="11"/>
    <s v="SE3_HP"/>
    <x v="2"/>
    <s v="GHOB_WASTEHEAT"/>
    <x v="0"/>
    <x v="14"/>
    <n v="3.4340659340659201E-3"/>
    <n v="1.2534340659340599"/>
    <n v="4.51236263736262"/>
  </r>
  <r>
    <x v="0"/>
    <x v="0"/>
    <x v="0"/>
    <x v="3"/>
    <x v="11"/>
    <s v="SE3_HP"/>
    <x v="2"/>
    <s v="GHOB_WASTEHEAT"/>
    <x v="0"/>
    <x v="15"/>
    <n v="3.4340659340659201E-3"/>
    <n v="1.2534340659340599"/>
    <n v="4.51236263736262"/>
  </r>
  <r>
    <x v="0"/>
    <x v="0"/>
    <x v="0"/>
    <x v="3"/>
    <x v="11"/>
    <s v="SE3_HP"/>
    <x v="2"/>
    <s v="GHOB_WASTEHEAT"/>
    <x v="0"/>
    <x v="16"/>
    <n v="3.4340659340659201E-3"/>
    <n v="1.2534340659340599"/>
    <n v="4.51236263736262"/>
  </r>
  <r>
    <x v="0"/>
    <x v="0"/>
    <x v="0"/>
    <x v="3"/>
    <x v="11"/>
    <s v="SE3_HP"/>
    <x v="2"/>
    <s v="GHOB_WASTEHEAT"/>
    <x v="0"/>
    <x v="17"/>
    <n v="3.4340659340659201E-3"/>
    <n v="1.2534340659340599"/>
    <n v="4.51236263736262"/>
  </r>
  <r>
    <x v="0"/>
    <x v="0"/>
    <x v="0"/>
    <x v="3"/>
    <x v="11"/>
    <s v="SE3_HP"/>
    <x v="2"/>
    <s v="GHOB_WASTEHEAT"/>
    <x v="0"/>
    <x v="18"/>
    <n v="3.4340659340659201E-3"/>
    <n v="1.2534340659340599"/>
    <n v="4.51236263736262"/>
  </r>
  <r>
    <x v="0"/>
    <x v="0"/>
    <x v="0"/>
    <x v="3"/>
    <x v="11"/>
    <s v="SE3_HP"/>
    <x v="2"/>
    <s v="GHOB_WASTEHEAT"/>
    <x v="0"/>
    <x v="19"/>
    <n v="3.4340659340659201E-3"/>
    <n v="1.2534340659340599"/>
    <n v="4.51236263736262"/>
  </r>
  <r>
    <x v="0"/>
    <x v="0"/>
    <x v="0"/>
    <x v="3"/>
    <x v="11"/>
    <s v="SE3_HP"/>
    <x v="2"/>
    <s v="GHOB_WASTEHEAT"/>
    <x v="0"/>
    <x v="20"/>
    <n v="3.4340659340659201E-3"/>
    <n v="1.2534340659340599"/>
    <n v="4.51236263736262"/>
  </r>
  <r>
    <x v="0"/>
    <x v="0"/>
    <x v="0"/>
    <x v="3"/>
    <x v="11"/>
    <s v="SE3_HP"/>
    <x v="2"/>
    <s v="GHOB_WASTEHEAT"/>
    <x v="0"/>
    <x v="21"/>
    <n v="3.4340659340659201E-3"/>
    <n v="1.2534340659340599"/>
    <n v="4.51236263736262"/>
  </r>
  <r>
    <x v="0"/>
    <x v="0"/>
    <x v="0"/>
    <x v="3"/>
    <x v="11"/>
    <s v="SE3_HP"/>
    <x v="2"/>
    <s v="GHOB_WASTEHEAT"/>
    <x v="0"/>
    <x v="22"/>
    <n v="3.4340659340659201E-3"/>
    <n v="1.2534340659340599"/>
    <n v="4.51236263736262"/>
  </r>
  <r>
    <x v="0"/>
    <x v="0"/>
    <x v="0"/>
    <x v="3"/>
    <x v="11"/>
    <s v="SE3_HP"/>
    <x v="2"/>
    <s v="GHOB_WASTEHEAT"/>
    <x v="0"/>
    <x v="23"/>
    <n v="3.4340659340659201E-3"/>
    <n v="1.2534340659340599"/>
    <n v="4.51236263736262"/>
  </r>
  <r>
    <x v="0"/>
    <x v="0"/>
    <x v="0"/>
    <x v="3"/>
    <x v="11"/>
    <s v="SE3_HP"/>
    <x v="7"/>
    <s v="GBPR_WOODWASTE_36"/>
    <x v="0"/>
    <x v="0"/>
    <n v="56.348511383537698"/>
    <n v="20567.206654991202"/>
    <n v="74041.943957968499"/>
  </r>
  <r>
    <x v="0"/>
    <x v="0"/>
    <x v="0"/>
    <x v="3"/>
    <x v="11"/>
    <s v="SE3_HP"/>
    <x v="7"/>
    <s v="GBPR_WOODWASTE_36"/>
    <x v="0"/>
    <x v="1"/>
    <n v="56.348511383537698"/>
    <n v="20567.206654991202"/>
    <n v="74041.943957968499"/>
  </r>
  <r>
    <x v="0"/>
    <x v="0"/>
    <x v="0"/>
    <x v="3"/>
    <x v="11"/>
    <s v="SE3_HP"/>
    <x v="7"/>
    <s v="GBPR_WOODWASTE_36"/>
    <x v="0"/>
    <x v="2"/>
    <n v="56.348511383537698"/>
    <n v="20567.206654991202"/>
    <n v="74041.943957968499"/>
  </r>
  <r>
    <x v="0"/>
    <x v="0"/>
    <x v="0"/>
    <x v="3"/>
    <x v="11"/>
    <s v="SE3_HP"/>
    <x v="7"/>
    <s v="GBPR_WOODWASTE_36"/>
    <x v="0"/>
    <x v="3"/>
    <n v="56.348511383537698"/>
    <n v="20567.206654991202"/>
    <n v="74041.943957968499"/>
  </r>
  <r>
    <x v="0"/>
    <x v="0"/>
    <x v="0"/>
    <x v="3"/>
    <x v="11"/>
    <s v="SE3_HP"/>
    <x v="7"/>
    <s v="GBPR_WOODWASTE_36"/>
    <x v="0"/>
    <x v="4"/>
    <n v="56.348511383537698"/>
    <n v="20567.206654991202"/>
    <n v="74041.943957968499"/>
  </r>
  <r>
    <x v="0"/>
    <x v="0"/>
    <x v="0"/>
    <x v="3"/>
    <x v="11"/>
    <s v="SE3_HP"/>
    <x v="7"/>
    <s v="GBPR_WOODWASTE_36"/>
    <x v="0"/>
    <x v="5"/>
    <n v="56.348511383537698"/>
    <n v="20567.206654991202"/>
    <n v="74041.943957968499"/>
  </r>
  <r>
    <x v="0"/>
    <x v="0"/>
    <x v="0"/>
    <x v="3"/>
    <x v="11"/>
    <s v="SE3_HP"/>
    <x v="7"/>
    <s v="GBPR_WOODWASTE_36"/>
    <x v="0"/>
    <x v="6"/>
    <n v="56.348511383537698"/>
    <n v="20567.206654991202"/>
    <n v="74041.943957968499"/>
  </r>
  <r>
    <x v="0"/>
    <x v="0"/>
    <x v="0"/>
    <x v="3"/>
    <x v="11"/>
    <s v="SE3_HP"/>
    <x v="7"/>
    <s v="GBPR_WOODWASTE_36"/>
    <x v="0"/>
    <x v="7"/>
    <n v="56.348511383537698"/>
    <n v="20567.206654991202"/>
    <n v="74041.943957968499"/>
  </r>
  <r>
    <x v="0"/>
    <x v="0"/>
    <x v="0"/>
    <x v="3"/>
    <x v="11"/>
    <s v="SE3_HP"/>
    <x v="7"/>
    <s v="GBPR_WOODWASTE_36"/>
    <x v="0"/>
    <x v="8"/>
    <n v="56.348511383537698"/>
    <n v="20567.206654991202"/>
    <n v="74041.943957968499"/>
  </r>
  <r>
    <x v="0"/>
    <x v="0"/>
    <x v="0"/>
    <x v="3"/>
    <x v="11"/>
    <s v="SE3_HP"/>
    <x v="7"/>
    <s v="GBPR_WOODWASTE_36"/>
    <x v="0"/>
    <x v="9"/>
    <n v="56.348511383537698"/>
    <n v="20567.206654991202"/>
    <n v="74041.943957968499"/>
  </r>
  <r>
    <x v="0"/>
    <x v="0"/>
    <x v="0"/>
    <x v="3"/>
    <x v="11"/>
    <s v="SE3_HP"/>
    <x v="7"/>
    <s v="GBPR_WOODWASTE_36"/>
    <x v="0"/>
    <x v="10"/>
    <n v="56.348511383537698"/>
    <n v="20567.206654991202"/>
    <n v="74041.943957968499"/>
  </r>
  <r>
    <x v="0"/>
    <x v="0"/>
    <x v="0"/>
    <x v="3"/>
    <x v="11"/>
    <s v="SE3_HP"/>
    <x v="7"/>
    <s v="GBPR_WOODWASTE_36"/>
    <x v="0"/>
    <x v="11"/>
    <n v="56.348511383537698"/>
    <n v="20567.206654991202"/>
    <n v="74041.943957968499"/>
  </r>
  <r>
    <x v="0"/>
    <x v="0"/>
    <x v="0"/>
    <x v="3"/>
    <x v="11"/>
    <s v="SE3_HP"/>
    <x v="7"/>
    <s v="GBPR_WOODWASTE_36"/>
    <x v="0"/>
    <x v="12"/>
    <n v="56.348511383537698"/>
    <n v="20567.206654991202"/>
    <n v="74041.943957968499"/>
  </r>
  <r>
    <x v="0"/>
    <x v="0"/>
    <x v="0"/>
    <x v="3"/>
    <x v="11"/>
    <s v="SE3_HP"/>
    <x v="7"/>
    <s v="GBPR_WOODWASTE_36"/>
    <x v="0"/>
    <x v="13"/>
    <n v="56.348511383537698"/>
    <n v="20567.206654991202"/>
    <n v="74041.943957968499"/>
  </r>
  <r>
    <x v="0"/>
    <x v="0"/>
    <x v="0"/>
    <x v="3"/>
    <x v="11"/>
    <s v="SE3_HP"/>
    <x v="7"/>
    <s v="GBPR_WOODWASTE_36"/>
    <x v="0"/>
    <x v="14"/>
    <n v="56.348511383537698"/>
    <n v="20567.206654991202"/>
    <n v="74041.943957968499"/>
  </r>
  <r>
    <x v="0"/>
    <x v="0"/>
    <x v="0"/>
    <x v="3"/>
    <x v="11"/>
    <s v="SE3_HP"/>
    <x v="7"/>
    <s v="GBPR_WOODWASTE_36"/>
    <x v="0"/>
    <x v="15"/>
    <n v="56.348511383537698"/>
    <n v="20567.206654991202"/>
    <n v="74041.943957968499"/>
  </r>
  <r>
    <x v="0"/>
    <x v="0"/>
    <x v="0"/>
    <x v="3"/>
    <x v="11"/>
    <s v="SE3_HP"/>
    <x v="7"/>
    <s v="GBPR_WOODWASTE_36"/>
    <x v="0"/>
    <x v="16"/>
    <n v="56.348511383537698"/>
    <n v="20567.206654991202"/>
    <n v="74041.943957968499"/>
  </r>
  <r>
    <x v="0"/>
    <x v="0"/>
    <x v="0"/>
    <x v="3"/>
    <x v="11"/>
    <s v="SE3_HP"/>
    <x v="7"/>
    <s v="GBPR_WOODWASTE_36"/>
    <x v="0"/>
    <x v="17"/>
    <n v="56.348511383537698"/>
    <n v="20567.206654991202"/>
    <n v="74041.943957968499"/>
  </r>
  <r>
    <x v="0"/>
    <x v="0"/>
    <x v="0"/>
    <x v="3"/>
    <x v="11"/>
    <s v="SE3_HP"/>
    <x v="7"/>
    <s v="GBPR_WOODWASTE_36"/>
    <x v="0"/>
    <x v="18"/>
    <n v="56.348511383537698"/>
    <n v="20567.206654991202"/>
    <n v="74041.943957968499"/>
  </r>
  <r>
    <x v="0"/>
    <x v="0"/>
    <x v="0"/>
    <x v="3"/>
    <x v="11"/>
    <s v="SE3_HP"/>
    <x v="7"/>
    <s v="GBPR_WOODWASTE_36"/>
    <x v="0"/>
    <x v="19"/>
    <n v="56.348511383537698"/>
    <n v="20567.206654991202"/>
    <n v="74041.943957968499"/>
  </r>
  <r>
    <x v="0"/>
    <x v="0"/>
    <x v="0"/>
    <x v="3"/>
    <x v="11"/>
    <s v="SE3_HP"/>
    <x v="7"/>
    <s v="GBPR_WOODWASTE_36"/>
    <x v="0"/>
    <x v="20"/>
    <n v="56.348511383537698"/>
    <n v="20567.206654991202"/>
    <n v="74041.943957968499"/>
  </r>
  <r>
    <x v="0"/>
    <x v="0"/>
    <x v="0"/>
    <x v="3"/>
    <x v="11"/>
    <s v="SE3_HP"/>
    <x v="7"/>
    <s v="GBPR_WOODWASTE_36"/>
    <x v="0"/>
    <x v="21"/>
    <n v="56.348511383537698"/>
    <n v="20567.206654991202"/>
    <n v="74041.943957968499"/>
  </r>
  <r>
    <x v="0"/>
    <x v="0"/>
    <x v="0"/>
    <x v="3"/>
    <x v="11"/>
    <s v="SE3_HP"/>
    <x v="7"/>
    <s v="GBPR_WOODWASTE_36"/>
    <x v="0"/>
    <x v="22"/>
    <n v="56.348511383537698"/>
    <n v="20567.206654991202"/>
    <n v="74041.943957968499"/>
  </r>
  <r>
    <x v="0"/>
    <x v="0"/>
    <x v="0"/>
    <x v="3"/>
    <x v="11"/>
    <s v="SE3_HP"/>
    <x v="7"/>
    <s v="GBPR_WOODWASTE_36"/>
    <x v="0"/>
    <x v="23"/>
    <n v="56.348511383537698"/>
    <n v="20567.206654991202"/>
    <n v="74041.943957968499"/>
  </r>
  <r>
    <x v="0"/>
    <x v="0"/>
    <x v="0"/>
    <x v="3"/>
    <x v="11"/>
    <s v="SE3_HP"/>
    <x v="7"/>
    <s v="GEXT_WOODWASTE"/>
    <x v="0"/>
    <x v="0"/>
    <n v="104.282885493842"/>
    <n v="38063.253205252498"/>
    <n v="137027.711538909"/>
  </r>
  <r>
    <x v="0"/>
    <x v="0"/>
    <x v="0"/>
    <x v="3"/>
    <x v="11"/>
    <s v="SE3_HP"/>
    <x v="7"/>
    <s v="GEXT_WOODWASTE"/>
    <x v="0"/>
    <x v="1"/>
    <n v="110.64132048562099"/>
    <n v="40384.081977251597"/>
    <n v="145382.695118106"/>
  </r>
  <r>
    <x v="0"/>
    <x v="0"/>
    <x v="0"/>
    <x v="3"/>
    <x v="11"/>
    <s v="SE3_HP"/>
    <x v="7"/>
    <s v="GEXT_WOODWASTE"/>
    <x v="0"/>
    <x v="2"/>
    <n v="111.321011362935"/>
    <n v="40632.169147471403"/>
    <n v="146275.80893089701"/>
  </r>
  <r>
    <x v="0"/>
    <x v="0"/>
    <x v="0"/>
    <x v="3"/>
    <x v="11"/>
    <s v="SE3_HP"/>
    <x v="7"/>
    <s v="GEXT_WOODWASTE"/>
    <x v="0"/>
    <x v="3"/>
    <n v="127.10568226610999"/>
    <n v="46393.5740271303"/>
    <n v="167016.86649766899"/>
  </r>
  <r>
    <x v="0"/>
    <x v="0"/>
    <x v="0"/>
    <x v="3"/>
    <x v="11"/>
    <s v="SE3_HP"/>
    <x v="7"/>
    <s v="GEXT_WOODWASTE"/>
    <x v="0"/>
    <x v="4"/>
    <n v="145.103806727463"/>
    <n v="52962.8894555242"/>
    <n v="190666.40203988701"/>
  </r>
  <r>
    <x v="0"/>
    <x v="0"/>
    <x v="0"/>
    <x v="3"/>
    <x v="11"/>
    <s v="SE3_HP"/>
    <x v="7"/>
    <s v="GEXT_WOODWASTE"/>
    <x v="0"/>
    <x v="5"/>
    <n v="189.95585562931501"/>
    <n v="69333.887304699907"/>
    <n v="249601.99429691999"/>
  </r>
  <r>
    <x v="0"/>
    <x v="0"/>
    <x v="0"/>
    <x v="3"/>
    <x v="11"/>
    <s v="SE3_HP"/>
    <x v="7"/>
    <s v="GEXT_WOODWASTE"/>
    <x v="0"/>
    <x v="6"/>
    <n v="225.27826113976701"/>
    <n v="82226.565316015098"/>
    <n v="296015.63513765403"/>
  </r>
  <r>
    <x v="0"/>
    <x v="0"/>
    <x v="0"/>
    <x v="3"/>
    <x v="11"/>
    <s v="SE3_HP"/>
    <x v="7"/>
    <s v="GEXT_WOODWASTE"/>
    <x v="0"/>
    <x v="7"/>
    <n v="225.27826113976701"/>
    <n v="82226.565316015098"/>
    <n v="296015.63513765403"/>
  </r>
  <r>
    <x v="0"/>
    <x v="0"/>
    <x v="0"/>
    <x v="3"/>
    <x v="11"/>
    <s v="SE3_HP"/>
    <x v="7"/>
    <s v="GEXT_WOODWASTE"/>
    <x v="0"/>
    <x v="8"/>
    <n v="225.27826113976701"/>
    <n v="82226.565316015098"/>
    <n v="296015.63513765403"/>
  </r>
  <r>
    <x v="0"/>
    <x v="0"/>
    <x v="0"/>
    <x v="3"/>
    <x v="11"/>
    <s v="SE3_HP"/>
    <x v="7"/>
    <s v="GEXT_WOODWASTE"/>
    <x v="0"/>
    <x v="9"/>
    <n v="225.27826113976701"/>
    <n v="82226.565316015098"/>
    <n v="296015.63513765403"/>
  </r>
  <r>
    <x v="0"/>
    <x v="0"/>
    <x v="0"/>
    <x v="3"/>
    <x v="11"/>
    <s v="SE3_HP"/>
    <x v="7"/>
    <s v="GEXT_WOODWASTE"/>
    <x v="0"/>
    <x v="10"/>
    <n v="225.27826113976701"/>
    <n v="82226.565316015098"/>
    <n v="296015.63513765403"/>
  </r>
  <r>
    <x v="0"/>
    <x v="0"/>
    <x v="0"/>
    <x v="3"/>
    <x v="11"/>
    <s v="SE3_HP"/>
    <x v="7"/>
    <s v="GEXT_WOODWASTE"/>
    <x v="0"/>
    <x v="11"/>
    <n v="225.27826113976701"/>
    <n v="82226.565316015098"/>
    <n v="296015.63513765403"/>
  </r>
  <r>
    <x v="0"/>
    <x v="0"/>
    <x v="0"/>
    <x v="3"/>
    <x v="11"/>
    <s v="SE3_HP"/>
    <x v="7"/>
    <s v="GEXT_WOODWASTE"/>
    <x v="0"/>
    <x v="12"/>
    <n v="225.27826113976701"/>
    <n v="82226.565316015098"/>
    <n v="296015.63513765403"/>
  </r>
  <r>
    <x v="0"/>
    <x v="0"/>
    <x v="0"/>
    <x v="3"/>
    <x v="11"/>
    <s v="SE3_HP"/>
    <x v="7"/>
    <s v="GEXT_WOODWASTE"/>
    <x v="0"/>
    <x v="13"/>
    <n v="225.27826113976701"/>
    <n v="82226.565316015098"/>
    <n v="296015.63513765403"/>
  </r>
  <r>
    <x v="0"/>
    <x v="0"/>
    <x v="0"/>
    <x v="3"/>
    <x v="11"/>
    <s v="SE3_HP"/>
    <x v="7"/>
    <s v="GEXT_WOODWASTE"/>
    <x v="0"/>
    <x v="14"/>
    <n v="225.27826113976701"/>
    <n v="82226.565316015098"/>
    <n v="296015.63513765403"/>
  </r>
  <r>
    <x v="0"/>
    <x v="0"/>
    <x v="0"/>
    <x v="3"/>
    <x v="11"/>
    <s v="SE3_HP"/>
    <x v="7"/>
    <s v="GEXT_WOODWASTE"/>
    <x v="0"/>
    <x v="15"/>
    <n v="225.27826113976701"/>
    <n v="82226.565316015098"/>
    <n v="296015.63513765403"/>
  </r>
  <r>
    <x v="0"/>
    <x v="0"/>
    <x v="0"/>
    <x v="3"/>
    <x v="11"/>
    <s v="SE3_HP"/>
    <x v="7"/>
    <s v="GEXT_WOODWASTE"/>
    <x v="0"/>
    <x v="16"/>
    <n v="225.27826113976701"/>
    <n v="82226.565316015098"/>
    <n v="296015.63513765403"/>
  </r>
  <r>
    <x v="0"/>
    <x v="0"/>
    <x v="0"/>
    <x v="3"/>
    <x v="11"/>
    <s v="SE3_HP"/>
    <x v="7"/>
    <s v="GEXT_WOODWASTE"/>
    <x v="0"/>
    <x v="17"/>
    <n v="225.27826113976701"/>
    <n v="82226.565316015098"/>
    <n v="296015.63513765403"/>
  </r>
  <r>
    <x v="0"/>
    <x v="0"/>
    <x v="0"/>
    <x v="3"/>
    <x v="11"/>
    <s v="SE3_HP"/>
    <x v="7"/>
    <s v="GEXT_WOODWASTE"/>
    <x v="0"/>
    <x v="18"/>
    <n v="225.27826113976701"/>
    <n v="82226.565316015098"/>
    <n v="296015.63513765403"/>
  </r>
  <r>
    <x v="0"/>
    <x v="0"/>
    <x v="0"/>
    <x v="3"/>
    <x v="11"/>
    <s v="SE3_HP"/>
    <x v="7"/>
    <s v="GEXT_WOODWASTE"/>
    <x v="0"/>
    <x v="19"/>
    <n v="225.27826113976701"/>
    <n v="82226.565316015098"/>
    <n v="296015.63513765403"/>
  </r>
  <r>
    <x v="0"/>
    <x v="0"/>
    <x v="0"/>
    <x v="3"/>
    <x v="11"/>
    <s v="SE3_HP"/>
    <x v="7"/>
    <s v="GEXT_WOODWASTE"/>
    <x v="0"/>
    <x v="20"/>
    <n v="225.27826113976701"/>
    <n v="82226.565316015098"/>
    <n v="296015.63513765403"/>
  </r>
  <r>
    <x v="0"/>
    <x v="0"/>
    <x v="0"/>
    <x v="3"/>
    <x v="11"/>
    <s v="SE3_HP"/>
    <x v="7"/>
    <s v="GEXT_WOODWASTE"/>
    <x v="0"/>
    <x v="21"/>
    <n v="225.27826113976701"/>
    <n v="82226.565316015098"/>
    <n v="296015.63513765403"/>
  </r>
  <r>
    <x v="0"/>
    <x v="0"/>
    <x v="0"/>
    <x v="3"/>
    <x v="11"/>
    <s v="SE3_HP"/>
    <x v="7"/>
    <s v="GEXT_WOODWASTE"/>
    <x v="0"/>
    <x v="22"/>
    <n v="225.27826113976701"/>
    <n v="82226.565316015098"/>
    <n v="296015.63513765403"/>
  </r>
  <r>
    <x v="0"/>
    <x v="0"/>
    <x v="0"/>
    <x v="3"/>
    <x v="11"/>
    <s v="SE3_HP"/>
    <x v="7"/>
    <s v="GEXT_WOODWASTE"/>
    <x v="0"/>
    <x v="23"/>
    <n v="208.240826813827"/>
    <n v="76007.901787046896"/>
    <n v="273628.44643336901"/>
  </r>
  <r>
    <x v="0"/>
    <x v="0"/>
    <x v="0"/>
    <x v="3"/>
    <x v="11"/>
    <s v="SE3_HP"/>
    <x v="7"/>
    <s v="GHOB_WOODWASTE"/>
    <x v="0"/>
    <x v="0"/>
    <n v="14.237691068301199"/>
    <n v="5196.7572399299497"/>
    <n v="18708.326063747802"/>
  </r>
  <r>
    <x v="0"/>
    <x v="0"/>
    <x v="0"/>
    <x v="3"/>
    <x v="11"/>
    <s v="SE3_HP"/>
    <x v="7"/>
    <s v="GHOB_WOODWASTE"/>
    <x v="0"/>
    <x v="1"/>
    <n v="14.237691068301199"/>
    <n v="5196.7572399299497"/>
    <n v="18708.326063747802"/>
  </r>
  <r>
    <x v="0"/>
    <x v="0"/>
    <x v="0"/>
    <x v="3"/>
    <x v="11"/>
    <s v="SE3_HP"/>
    <x v="7"/>
    <s v="GHOB_WOODWASTE"/>
    <x v="0"/>
    <x v="2"/>
    <n v="14.237691068301199"/>
    <n v="5196.7572399299497"/>
    <n v="18708.326063747802"/>
  </r>
  <r>
    <x v="0"/>
    <x v="0"/>
    <x v="0"/>
    <x v="3"/>
    <x v="11"/>
    <s v="SE3_HP"/>
    <x v="7"/>
    <s v="GHOB_WOODWASTE"/>
    <x v="0"/>
    <x v="3"/>
    <n v="14.237691068301199"/>
    <n v="5196.7572399299497"/>
    <n v="18708.326063747802"/>
  </r>
  <r>
    <x v="0"/>
    <x v="0"/>
    <x v="0"/>
    <x v="3"/>
    <x v="11"/>
    <s v="SE3_HP"/>
    <x v="7"/>
    <s v="GHOB_WOODWASTE"/>
    <x v="0"/>
    <x v="4"/>
    <n v="14.237691068301199"/>
    <n v="5196.7572399299497"/>
    <n v="18708.326063747802"/>
  </r>
  <r>
    <x v="0"/>
    <x v="0"/>
    <x v="0"/>
    <x v="3"/>
    <x v="11"/>
    <s v="SE3_HP"/>
    <x v="7"/>
    <s v="GHOB_WOODWASTE"/>
    <x v="0"/>
    <x v="5"/>
    <n v="14.237691068301199"/>
    <n v="5196.7572399299497"/>
    <n v="18708.326063747802"/>
  </r>
  <r>
    <x v="0"/>
    <x v="0"/>
    <x v="0"/>
    <x v="3"/>
    <x v="11"/>
    <s v="SE3_HP"/>
    <x v="7"/>
    <s v="GHOB_WOODWASTE"/>
    <x v="0"/>
    <x v="6"/>
    <n v="14.237691068301199"/>
    <n v="5196.7572399299497"/>
    <n v="18708.326063747802"/>
  </r>
  <r>
    <x v="0"/>
    <x v="0"/>
    <x v="0"/>
    <x v="3"/>
    <x v="11"/>
    <s v="SE3_HP"/>
    <x v="7"/>
    <s v="GHOB_WOODWASTE"/>
    <x v="0"/>
    <x v="7"/>
    <n v="14.237691068301199"/>
    <n v="5196.7572399299497"/>
    <n v="18708.326063747802"/>
  </r>
  <r>
    <x v="0"/>
    <x v="0"/>
    <x v="0"/>
    <x v="3"/>
    <x v="11"/>
    <s v="SE3_HP"/>
    <x v="7"/>
    <s v="GHOB_WOODWASTE"/>
    <x v="0"/>
    <x v="8"/>
    <n v="14.237691068301199"/>
    <n v="5196.7572399299497"/>
    <n v="18708.326063747802"/>
  </r>
  <r>
    <x v="0"/>
    <x v="0"/>
    <x v="0"/>
    <x v="3"/>
    <x v="11"/>
    <s v="SE3_HP"/>
    <x v="7"/>
    <s v="GHOB_WOODWASTE"/>
    <x v="0"/>
    <x v="9"/>
    <n v="14.237691068301199"/>
    <n v="5196.7572399299497"/>
    <n v="18708.326063747802"/>
  </r>
  <r>
    <x v="0"/>
    <x v="0"/>
    <x v="0"/>
    <x v="3"/>
    <x v="11"/>
    <s v="SE3_HP"/>
    <x v="7"/>
    <s v="GHOB_WOODWASTE"/>
    <x v="0"/>
    <x v="10"/>
    <n v="14.237691068301199"/>
    <n v="5196.7572399299497"/>
    <n v="18708.326063747802"/>
  </r>
  <r>
    <x v="0"/>
    <x v="0"/>
    <x v="0"/>
    <x v="3"/>
    <x v="11"/>
    <s v="SE3_HP"/>
    <x v="7"/>
    <s v="GHOB_WOODWASTE"/>
    <x v="0"/>
    <x v="11"/>
    <n v="14.237691068301199"/>
    <n v="5196.7572399299497"/>
    <n v="18708.326063747802"/>
  </r>
  <r>
    <x v="0"/>
    <x v="0"/>
    <x v="0"/>
    <x v="3"/>
    <x v="11"/>
    <s v="SE3_HP"/>
    <x v="7"/>
    <s v="GHOB_WOODWASTE"/>
    <x v="0"/>
    <x v="12"/>
    <n v="14.237691068301199"/>
    <n v="5196.7572399299497"/>
    <n v="18708.326063747802"/>
  </r>
  <r>
    <x v="0"/>
    <x v="0"/>
    <x v="0"/>
    <x v="3"/>
    <x v="11"/>
    <s v="SE3_HP"/>
    <x v="7"/>
    <s v="GHOB_WOODWASTE"/>
    <x v="0"/>
    <x v="13"/>
    <n v="14.237691068301199"/>
    <n v="5196.7572399299497"/>
    <n v="18708.326063747802"/>
  </r>
  <r>
    <x v="0"/>
    <x v="0"/>
    <x v="0"/>
    <x v="3"/>
    <x v="11"/>
    <s v="SE3_HP"/>
    <x v="7"/>
    <s v="GHOB_WOODWASTE"/>
    <x v="0"/>
    <x v="14"/>
    <n v="14.237691068301199"/>
    <n v="5196.7572399299497"/>
    <n v="18708.326063747802"/>
  </r>
  <r>
    <x v="0"/>
    <x v="0"/>
    <x v="0"/>
    <x v="3"/>
    <x v="11"/>
    <s v="SE3_HP"/>
    <x v="7"/>
    <s v="GHOB_WOODWASTE"/>
    <x v="0"/>
    <x v="15"/>
    <n v="14.237691068301199"/>
    <n v="5196.7572399299497"/>
    <n v="18708.326063747802"/>
  </r>
  <r>
    <x v="0"/>
    <x v="0"/>
    <x v="0"/>
    <x v="3"/>
    <x v="11"/>
    <s v="SE3_HP"/>
    <x v="7"/>
    <s v="GHOB_WOODWASTE"/>
    <x v="0"/>
    <x v="16"/>
    <n v="14.237691068301199"/>
    <n v="5196.7572399299497"/>
    <n v="18708.326063747802"/>
  </r>
  <r>
    <x v="0"/>
    <x v="0"/>
    <x v="0"/>
    <x v="3"/>
    <x v="11"/>
    <s v="SE3_HP"/>
    <x v="7"/>
    <s v="GHOB_WOODWASTE"/>
    <x v="0"/>
    <x v="17"/>
    <n v="14.237691068301199"/>
    <n v="5196.7572399299497"/>
    <n v="18708.326063747802"/>
  </r>
  <r>
    <x v="0"/>
    <x v="0"/>
    <x v="0"/>
    <x v="3"/>
    <x v="11"/>
    <s v="SE3_HP"/>
    <x v="7"/>
    <s v="GHOB_WOODWASTE"/>
    <x v="0"/>
    <x v="18"/>
    <n v="14.237691068301199"/>
    <n v="5196.7572399299497"/>
    <n v="18708.326063747802"/>
  </r>
  <r>
    <x v="0"/>
    <x v="0"/>
    <x v="0"/>
    <x v="3"/>
    <x v="11"/>
    <s v="SE3_HP"/>
    <x v="7"/>
    <s v="GHOB_WOODWASTE"/>
    <x v="0"/>
    <x v="19"/>
    <n v="14.237691068301199"/>
    <n v="5196.7572399299497"/>
    <n v="18708.326063747802"/>
  </r>
  <r>
    <x v="0"/>
    <x v="0"/>
    <x v="0"/>
    <x v="3"/>
    <x v="11"/>
    <s v="SE3_HP"/>
    <x v="7"/>
    <s v="GHOB_WOODWASTE"/>
    <x v="0"/>
    <x v="20"/>
    <n v="14.237691068301199"/>
    <n v="5196.7572399299497"/>
    <n v="18708.326063747802"/>
  </r>
  <r>
    <x v="0"/>
    <x v="0"/>
    <x v="0"/>
    <x v="3"/>
    <x v="11"/>
    <s v="SE3_HP"/>
    <x v="7"/>
    <s v="GHOB_WOODWASTE"/>
    <x v="0"/>
    <x v="21"/>
    <n v="14.237691068301199"/>
    <n v="5196.7572399299497"/>
    <n v="18708.326063747802"/>
  </r>
  <r>
    <x v="0"/>
    <x v="0"/>
    <x v="0"/>
    <x v="3"/>
    <x v="11"/>
    <s v="SE3_HP"/>
    <x v="7"/>
    <s v="GHOB_WOODWASTE"/>
    <x v="0"/>
    <x v="22"/>
    <n v="14.237691068301199"/>
    <n v="5196.7572399299497"/>
    <n v="18708.326063747802"/>
  </r>
  <r>
    <x v="0"/>
    <x v="0"/>
    <x v="0"/>
    <x v="3"/>
    <x v="11"/>
    <s v="SE3_HP"/>
    <x v="7"/>
    <s v="GHOB_WOODWASTE"/>
    <x v="0"/>
    <x v="23"/>
    <n v="14.237691068301199"/>
    <n v="5196.7572399299497"/>
    <n v="18708.326063747802"/>
  </r>
  <r>
    <x v="0"/>
    <x v="0"/>
    <x v="0"/>
    <x v="3"/>
    <x v="11"/>
    <s v="SE3_OTHER"/>
    <x v="0"/>
    <s v="GBPR_COAL_SE3"/>
    <x v="0"/>
    <x v="5"/>
    <n v="55.310050229342202"/>
    <n v="20188.168333709898"/>
    <n v="72677.406001355601"/>
  </r>
  <r>
    <x v="0"/>
    <x v="0"/>
    <x v="0"/>
    <x v="3"/>
    <x v="11"/>
    <s v="SE3_OTHER"/>
    <x v="0"/>
    <s v="GBPR_COAL_SE3"/>
    <x v="0"/>
    <x v="6"/>
    <n v="55.310050229342202"/>
    <n v="20188.168333709898"/>
    <n v="72677.406001355601"/>
  </r>
  <r>
    <x v="0"/>
    <x v="0"/>
    <x v="0"/>
    <x v="3"/>
    <x v="11"/>
    <s v="SE3_OTHER"/>
    <x v="0"/>
    <s v="GBPR_COAL_SE3"/>
    <x v="0"/>
    <x v="7"/>
    <n v="55.310050229342202"/>
    <n v="20188.168333709898"/>
    <n v="72677.406001355601"/>
  </r>
  <r>
    <x v="0"/>
    <x v="0"/>
    <x v="0"/>
    <x v="3"/>
    <x v="11"/>
    <s v="SE3_OTHER"/>
    <x v="0"/>
    <s v="GBPR_COAL_SE3"/>
    <x v="0"/>
    <x v="8"/>
    <n v="55.310050229342202"/>
    <n v="20188.168333709898"/>
    <n v="72677.406001355601"/>
  </r>
  <r>
    <x v="0"/>
    <x v="0"/>
    <x v="0"/>
    <x v="3"/>
    <x v="11"/>
    <s v="SE3_OTHER"/>
    <x v="0"/>
    <s v="GBPR_COAL_SE3"/>
    <x v="0"/>
    <x v="9"/>
    <n v="55.310050229342202"/>
    <n v="20188.168333709898"/>
    <n v="72677.406001355601"/>
  </r>
  <r>
    <x v="0"/>
    <x v="0"/>
    <x v="0"/>
    <x v="3"/>
    <x v="11"/>
    <s v="SE3_OTHER"/>
    <x v="0"/>
    <s v="GBPR_COAL_SE3"/>
    <x v="0"/>
    <x v="10"/>
    <n v="55.310050229342202"/>
    <n v="20188.168333709898"/>
    <n v="72677.406001355601"/>
  </r>
  <r>
    <x v="0"/>
    <x v="0"/>
    <x v="0"/>
    <x v="3"/>
    <x v="11"/>
    <s v="SE3_OTHER"/>
    <x v="0"/>
    <s v="GBPR_COAL_SE3"/>
    <x v="0"/>
    <x v="11"/>
    <n v="55.310050229342202"/>
    <n v="20188.168333709898"/>
    <n v="72677.406001355601"/>
  </r>
  <r>
    <x v="0"/>
    <x v="0"/>
    <x v="0"/>
    <x v="3"/>
    <x v="11"/>
    <s v="SE3_OTHER"/>
    <x v="0"/>
    <s v="GBPR_COAL_SE3"/>
    <x v="0"/>
    <x v="12"/>
    <n v="55.310050229342202"/>
    <n v="20188.168333709898"/>
    <n v="72677.406001355601"/>
  </r>
  <r>
    <x v="0"/>
    <x v="0"/>
    <x v="0"/>
    <x v="3"/>
    <x v="11"/>
    <s v="SE3_OTHER"/>
    <x v="0"/>
    <s v="GBPR_COAL_SE3"/>
    <x v="0"/>
    <x v="13"/>
    <n v="55.310050229342202"/>
    <n v="20188.168333709898"/>
    <n v="72677.406001355601"/>
  </r>
  <r>
    <x v="0"/>
    <x v="0"/>
    <x v="0"/>
    <x v="3"/>
    <x v="11"/>
    <s v="SE3_OTHER"/>
    <x v="0"/>
    <s v="GBPR_COAL_SE3"/>
    <x v="0"/>
    <x v="14"/>
    <n v="55.310050229342202"/>
    <n v="20188.168333709898"/>
    <n v="72677.406001355601"/>
  </r>
  <r>
    <x v="0"/>
    <x v="0"/>
    <x v="0"/>
    <x v="3"/>
    <x v="11"/>
    <s v="SE3_OTHER"/>
    <x v="0"/>
    <s v="GBPR_COAL_SE3"/>
    <x v="0"/>
    <x v="15"/>
    <n v="55.310050229342202"/>
    <n v="20188.168333709898"/>
    <n v="72677.406001355601"/>
  </r>
  <r>
    <x v="0"/>
    <x v="0"/>
    <x v="0"/>
    <x v="3"/>
    <x v="11"/>
    <s v="SE3_OTHER"/>
    <x v="0"/>
    <s v="GBPR_COAL_SE3"/>
    <x v="0"/>
    <x v="16"/>
    <n v="55.310050229342202"/>
    <n v="20188.168333709898"/>
    <n v="72677.406001355601"/>
  </r>
  <r>
    <x v="0"/>
    <x v="0"/>
    <x v="0"/>
    <x v="3"/>
    <x v="11"/>
    <s v="SE3_OTHER"/>
    <x v="0"/>
    <s v="GBPR_COAL_SE3"/>
    <x v="0"/>
    <x v="17"/>
    <n v="43.990961146921599"/>
    <n v="16056.700818626399"/>
    <n v="57804.122947054901"/>
  </r>
  <r>
    <x v="0"/>
    <x v="0"/>
    <x v="0"/>
    <x v="3"/>
    <x v="11"/>
    <s v="SE3_OTHER"/>
    <x v="0"/>
    <s v="GBPR_COAL_SE3"/>
    <x v="0"/>
    <x v="18"/>
    <n v="48.802174756421401"/>
    <n v="17812.7937860938"/>
    <n v="64126.057629937801"/>
  </r>
  <r>
    <x v="0"/>
    <x v="0"/>
    <x v="0"/>
    <x v="3"/>
    <x v="11"/>
    <s v="SE3_OTHER"/>
    <x v="0"/>
    <s v="GBPR_COAL_SE3"/>
    <x v="0"/>
    <x v="19"/>
    <n v="55.310050229342202"/>
    <n v="20188.168333709898"/>
    <n v="72677.406001355601"/>
  </r>
  <r>
    <x v="0"/>
    <x v="0"/>
    <x v="0"/>
    <x v="3"/>
    <x v="11"/>
    <s v="SE3_OTHER"/>
    <x v="0"/>
    <s v="GBPR_COAL_SE3"/>
    <x v="0"/>
    <x v="20"/>
    <n v="55.310050229342202"/>
    <n v="20188.168333709898"/>
    <n v="72677.406001355601"/>
  </r>
  <r>
    <x v="0"/>
    <x v="0"/>
    <x v="0"/>
    <x v="3"/>
    <x v="11"/>
    <s v="SE3_OTHER"/>
    <x v="0"/>
    <s v="GBPR_COAL_SE3"/>
    <x v="0"/>
    <x v="21"/>
    <n v="29.802513667427998"/>
    <n v="10877.9174886112"/>
    <n v="39160.502959000398"/>
  </r>
  <r>
    <x v="0"/>
    <x v="0"/>
    <x v="0"/>
    <x v="3"/>
    <x v="11"/>
    <s v="SE3_OTHER"/>
    <x v="1"/>
    <s v="GBPR_MUNIWASTE_24"/>
    <x v="0"/>
    <x v="0"/>
    <n v="108.98695229998501"/>
    <n v="39780.2375894945"/>
    <n v="143208.85532218"/>
  </r>
  <r>
    <x v="0"/>
    <x v="0"/>
    <x v="0"/>
    <x v="3"/>
    <x v="11"/>
    <s v="SE3_OTHER"/>
    <x v="1"/>
    <s v="GBPR_MUNIWASTE_24"/>
    <x v="0"/>
    <x v="1"/>
    <n v="108.98695229998501"/>
    <n v="39780.2375894945"/>
    <n v="143208.85532218"/>
  </r>
  <r>
    <x v="0"/>
    <x v="0"/>
    <x v="0"/>
    <x v="3"/>
    <x v="11"/>
    <s v="SE3_OTHER"/>
    <x v="1"/>
    <s v="GBPR_MUNIWASTE_24"/>
    <x v="0"/>
    <x v="2"/>
    <n v="108.98695229998501"/>
    <n v="39780.2375894945"/>
    <n v="143208.85532218"/>
  </r>
  <r>
    <x v="0"/>
    <x v="0"/>
    <x v="0"/>
    <x v="3"/>
    <x v="11"/>
    <s v="SE3_OTHER"/>
    <x v="1"/>
    <s v="GBPR_MUNIWASTE_24"/>
    <x v="0"/>
    <x v="3"/>
    <n v="108.98695229998501"/>
    <n v="39780.2375894945"/>
    <n v="143208.85532218"/>
  </r>
  <r>
    <x v="0"/>
    <x v="0"/>
    <x v="0"/>
    <x v="3"/>
    <x v="11"/>
    <s v="SE3_OTHER"/>
    <x v="1"/>
    <s v="GBPR_MUNIWASTE_24"/>
    <x v="0"/>
    <x v="4"/>
    <n v="108.98695229998501"/>
    <n v="39780.2375894945"/>
    <n v="143208.85532218"/>
  </r>
  <r>
    <x v="0"/>
    <x v="0"/>
    <x v="0"/>
    <x v="3"/>
    <x v="11"/>
    <s v="SE3_OTHER"/>
    <x v="1"/>
    <s v="GBPR_MUNIWASTE_24"/>
    <x v="0"/>
    <x v="5"/>
    <n v="108.98695229998501"/>
    <n v="39780.2375894945"/>
    <n v="143208.85532218"/>
  </r>
  <r>
    <x v="0"/>
    <x v="0"/>
    <x v="0"/>
    <x v="3"/>
    <x v="11"/>
    <s v="SE3_OTHER"/>
    <x v="1"/>
    <s v="GBPR_MUNIWASTE_24"/>
    <x v="0"/>
    <x v="6"/>
    <n v="108.98695229998501"/>
    <n v="39780.2375894945"/>
    <n v="143208.85532218"/>
  </r>
  <r>
    <x v="0"/>
    <x v="0"/>
    <x v="0"/>
    <x v="3"/>
    <x v="11"/>
    <s v="SE3_OTHER"/>
    <x v="1"/>
    <s v="GBPR_MUNIWASTE_24"/>
    <x v="0"/>
    <x v="7"/>
    <n v="108.98695229998501"/>
    <n v="39780.2375894945"/>
    <n v="143208.85532218"/>
  </r>
  <r>
    <x v="0"/>
    <x v="0"/>
    <x v="0"/>
    <x v="3"/>
    <x v="11"/>
    <s v="SE3_OTHER"/>
    <x v="1"/>
    <s v="GBPR_MUNIWASTE_24"/>
    <x v="0"/>
    <x v="8"/>
    <n v="108.98695229998501"/>
    <n v="39780.2375894945"/>
    <n v="143208.85532218"/>
  </r>
  <r>
    <x v="0"/>
    <x v="0"/>
    <x v="0"/>
    <x v="3"/>
    <x v="11"/>
    <s v="SE3_OTHER"/>
    <x v="1"/>
    <s v="GBPR_MUNIWASTE_24"/>
    <x v="0"/>
    <x v="9"/>
    <n v="108.98695229998501"/>
    <n v="39780.2375894945"/>
    <n v="143208.85532218"/>
  </r>
  <r>
    <x v="0"/>
    <x v="0"/>
    <x v="0"/>
    <x v="3"/>
    <x v="11"/>
    <s v="SE3_OTHER"/>
    <x v="1"/>
    <s v="GBPR_MUNIWASTE_24"/>
    <x v="0"/>
    <x v="10"/>
    <n v="108.98695229998501"/>
    <n v="39780.2375894945"/>
    <n v="143208.85532218"/>
  </r>
  <r>
    <x v="0"/>
    <x v="0"/>
    <x v="0"/>
    <x v="3"/>
    <x v="11"/>
    <s v="SE3_OTHER"/>
    <x v="1"/>
    <s v="GBPR_MUNIWASTE_24"/>
    <x v="0"/>
    <x v="11"/>
    <n v="108.98695229998501"/>
    <n v="39780.2375894945"/>
    <n v="143208.85532218"/>
  </r>
  <r>
    <x v="0"/>
    <x v="0"/>
    <x v="0"/>
    <x v="3"/>
    <x v="11"/>
    <s v="SE3_OTHER"/>
    <x v="1"/>
    <s v="GBPR_MUNIWASTE_24"/>
    <x v="0"/>
    <x v="12"/>
    <n v="108.98695229998501"/>
    <n v="39780.2375894945"/>
    <n v="143208.85532218"/>
  </r>
  <r>
    <x v="0"/>
    <x v="0"/>
    <x v="0"/>
    <x v="3"/>
    <x v="11"/>
    <s v="SE3_OTHER"/>
    <x v="1"/>
    <s v="GBPR_MUNIWASTE_24"/>
    <x v="0"/>
    <x v="13"/>
    <n v="108.98695229998501"/>
    <n v="39780.2375894945"/>
    <n v="143208.85532218"/>
  </r>
  <r>
    <x v="0"/>
    <x v="0"/>
    <x v="0"/>
    <x v="3"/>
    <x v="11"/>
    <s v="SE3_OTHER"/>
    <x v="1"/>
    <s v="GBPR_MUNIWASTE_24"/>
    <x v="0"/>
    <x v="14"/>
    <n v="108.98695229998501"/>
    <n v="39780.2375894945"/>
    <n v="143208.85532218"/>
  </r>
  <r>
    <x v="0"/>
    <x v="0"/>
    <x v="0"/>
    <x v="3"/>
    <x v="11"/>
    <s v="SE3_OTHER"/>
    <x v="1"/>
    <s v="GBPR_MUNIWASTE_24"/>
    <x v="0"/>
    <x v="15"/>
    <n v="108.98695229998501"/>
    <n v="39780.2375894945"/>
    <n v="143208.85532218"/>
  </r>
  <r>
    <x v="0"/>
    <x v="0"/>
    <x v="0"/>
    <x v="3"/>
    <x v="11"/>
    <s v="SE3_OTHER"/>
    <x v="1"/>
    <s v="GBPR_MUNIWASTE_24"/>
    <x v="0"/>
    <x v="16"/>
    <n v="108.98695229998501"/>
    <n v="39780.2375894945"/>
    <n v="143208.85532218"/>
  </r>
  <r>
    <x v="0"/>
    <x v="0"/>
    <x v="0"/>
    <x v="3"/>
    <x v="11"/>
    <s v="SE3_OTHER"/>
    <x v="1"/>
    <s v="GBPR_MUNIWASTE_24"/>
    <x v="0"/>
    <x v="17"/>
    <n v="108.98695229998501"/>
    <n v="39780.2375894945"/>
    <n v="143208.85532218"/>
  </r>
  <r>
    <x v="0"/>
    <x v="0"/>
    <x v="0"/>
    <x v="3"/>
    <x v="11"/>
    <s v="SE3_OTHER"/>
    <x v="1"/>
    <s v="GBPR_MUNIWASTE_24"/>
    <x v="0"/>
    <x v="18"/>
    <n v="108.98695229998501"/>
    <n v="39780.2375894945"/>
    <n v="143208.85532218"/>
  </r>
  <r>
    <x v="0"/>
    <x v="0"/>
    <x v="0"/>
    <x v="3"/>
    <x v="11"/>
    <s v="SE3_OTHER"/>
    <x v="1"/>
    <s v="GBPR_MUNIWASTE_24"/>
    <x v="0"/>
    <x v="19"/>
    <n v="108.98695229998501"/>
    <n v="39780.2375894945"/>
    <n v="143208.85532218"/>
  </r>
  <r>
    <x v="0"/>
    <x v="0"/>
    <x v="0"/>
    <x v="3"/>
    <x v="11"/>
    <s v="SE3_OTHER"/>
    <x v="1"/>
    <s v="GBPR_MUNIWASTE_24"/>
    <x v="0"/>
    <x v="20"/>
    <n v="108.98695229998501"/>
    <n v="39780.2375894945"/>
    <n v="143208.85532218"/>
  </r>
  <r>
    <x v="0"/>
    <x v="0"/>
    <x v="0"/>
    <x v="3"/>
    <x v="11"/>
    <s v="SE3_OTHER"/>
    <x v="1"/>
    <s v="GBPR_MUNIWASTE_24"/>
    <x v="0"/>
    <x v="21"/>
    <n v="108.98695229998501"/>
    <n v="39780.2375894945"/>
    <n v="143208.85532218"/>
  </r>
  <r>
    <x v="0"/>
    <x v="0"/>
    <x v="0"/>
    <x v="3"/>
    <x v="11"/>
    <s v="SE3_OTHER"/>
    <x v="1"/>
    <s v="GBPR_MUNIWASTE_24"/>
    <x v="0"/>
    <x v="22"/>
    <n v="108.98695229998501"/>
    <n v="39780.2375894945"/>
    <n v="143208.85532218"/>
  </r>
  <r>
    <x v="0"/>
    <x v="0"/>
    <x v="0"/>
    <x v="3"/>
    <x v="11"/>
    <s v="SE3_OTHER"/>
    <x v="1"/>
    <s v="GBPR_MUNIWASTE_24"/>
    <x v="0"/>
    <x v="23"/>
    <n v="108.98695229998501"/>
    <n v="39780.2375894945"/>
    <n v="143208.85532218"/>
  </r>
  <r>
    <x v="0"/>
    <x v="0"/>
    <x v="0"/>
    <x v="3"/>
    <x v="11"/>
    <s v="SE3_OTHER"/>
    <x v="1"/>
    <s v="GHOB_MUNIWASTE"/>
    <x v="0"/>
    <x v="0"/>
    <n v="107.549551778698"/>
    <n v="39255.5863992249"/>
    <n v="141320.11103721001"/>
  </r>
  <r>
    <x v="0"/>
    <x v="0"/>
    <x v="0"/>
    <x v="3"/>
    <x v="11"/>
    <s v="SE3_OTHER"/>
    <x v="1"/>
    <s v="GHOB_MUNIWASTE"/>
    <x v="0"/>
    <x v="1"/>
    <n v="107.549551778698"/>
    <n v="39255.5863992249"/>
    <n v="141320.11103721001"/>
  </r>
  <r>
    <x v="0"/>
    <x v="0"/>
    <x v="0"/>
    <x v="3"/>
    <x v="11"/>
    <s v="SE3_OTHER"/>
    <x v="1"/>
    <s v="GHOB_MUNIWASTE"/>
    <x v="0"/>
    <x v="2"/>
    <n v="107.549551778698"/>
    <n v="39255.5863992249"/>
    <n v="141320.11103721001"/>
  </r>
  <r>
    <x v="0"/>
    <x v="0"/>
    <x v="0"/>
    <x v="3"/>
    <x v="11"/>
    <s v="SE3_OTHER"/>
    <x v="1"/>
    <s v="GHOB_MUNIWASTE"/>
    <x v="0"/>
    <x v="3"/>
    <n v="107.549551778698"/>
    <n v="39255.5863992249"/>
    <n v="141320.11103721001"/>
  </r>
  <r>
    <x v="0"/>
    <x v="0"/>
    <x v="0"/>
    <x v="3"/>
    <x v="11"/>
    <s v="SE3_OTHER"/>
    <x v="1"/>
    <s v="GHOB_MUNIWASTE"/>
    <x v="0"/>
    <x v="4"/>
    <n v="107.549551778698"/>
    <n v="39255.5863992249"/>
    <n v="141320.11103721001"/>
  </r>
  <r>
    <x v="0"/>
    <x v="0"/>
    <x v="0"/>
    <x v="3"/>
    <x v="11"/>
    <s v="SE3_OTHER"/>
    <x v="1"/>
    <s v="GHOB_MUNIWASTE"/>
    <x v="0"/>
    <x v="5"/>
    <n v="107.549551778698"/>
    <n v="39255.5863992249"/>
    <n v="141320.11103721001"/>
  </r>
  <r>
    <x v="0"/>
    <x v="0"/>
    <x v="0"/>
    <x v="3"/>
    <x v="11"/>
    <s v="SE3_OTHER"/>
    <x v="1"/>
    <s v="GHOB_MUNIWASTE"/>
    <x v="0"/>
    <x v="6"/>
    <n v="107.549551778698"/>
    <n v="39255.5863992249"/>
    <n v="141320.11103721001"/>
  </r>
  <r>
    <x v="0"/>
    <x v="0"/>
    <x v="0"/>
    <x v="3"/>
    <x v="11"/>
    <s v="SE3_OTHER"/>
    <x v="1"/>
    <s v="GHOB_MUNIWASTE"/>
    <x v="0"/>
    <x v="7"/>
    <n v="107.549551778698"/>
    <n v="39255.5863992249"/>
    <n v="141320.11103721001"/>
  </r>
  <r>
    <x v="0"/>
    <x v="0"/>
    <x v="0"/>
    <x v="3"/>
    <x v="11"/>
    <s v="SE3_OTHER"/>
    <x v="1"/>
    <s v="GHOB_MUNIWASTE"/>
    <x v="0"/>
    <x v="8"/>
    <n v="107.549551778698"/>
    <n v="39255.5863992249"/>
    <n v="141320.11103721001"/>
  </r>
  <r>
    <x v="0"/>
    <x v="0"/>
    <x v="0"/>
    <x v="3"/>
    <x v="11"/>
    <s v="SE3_OTHER"/>
    <x v="1"/>
    <s v="GHOB_MUNIWASTE"/>
    <x v="0"/>
    <x v="9"/>
    <n v="107.549551778698"/>
    <n v="39255.5863992249"/>
    <n v="141320.11103721001"/>
  </r>
  <r>
    <x v="0"/>
    <x v="0"/>
    <x v="0"/>
    <x v="3"/>
    <x v="11"/>
    <s v="SE3_OTHER"/>
    <x v="1"/>
    <s v="GHOB_MUNIWASTE"/>
    <x v="0"/>
    <x v="10"/>
    <n v="107.549551778698"/>
    <n v="39255.5863992249"/>
    <n v="141320.11103721001"/>
  </r>
  <r>
    <x v="0"/>
    <x v="0"/>
    <x v="0"/>
    <x v="3"/>
    <x v="11"/>
    <s v="SE3_OTHER"/>
    <x v="1"/>
    <s v="GHOB_MUNIWASTE"/>
    <x v="0"/>
    <x v="11"/>
    <n v="107.549551778698"/>
    <n v="39255.5863992249"/>
    <n v="141320.11103721001"/>
  </r>
  <r>
    <x v="0"/>
    <x v="0"/>
    <x v="0"/>
    <x v="3"/>
    <x v="11"/>
    <s v="SE3_OTHER"/>
    <x v="1"/>
    <s v="GHOB_MUNIWASTE"/>
    <x v="0"/>
    <x v="12"/>
    <n v="107.549551778698"/>
    <n v="39255.5863992249"/>
    <n v="141320.11103721001"/>
  </r>
  <r>
    <x v="0"/>
    <x v="0"/>
    <x v="0"/>
    <x v="3"/>
    <x v="11"/>
    <s v="SE3_OTHER"/>
    <x v="1"/>
    <s v="GHOB_MUNIWASTE"/>
    <x v="0"/>
    <x v="13"/>
    <n v="107.549551778698"/>
    <n v="39255.5863992249"/>
    <n v="141320.11103721001"/>
  </r>
  <r>
    <x v="0"/>
    <x v="0"/>
    <x v="0"/>
    <x v="3"/>
    <x v="11"/>
    <s v="SE3_OTHER"/>
    <x v="1"/>
    <s v="GHOB_MUNIWASTE"/>
    <x v="0"/>
    <x v="14"/>
    <n v="107.549551778698"/>
    <n v="39255.5863992249"/>
    <n v="141320.11103721001"/>
  </r>
  <r>
    <x v="0"/>
    <x v="0"/>
    <x v="0"/>
    <x v="3"/>
    <x v="11"/>
    <s v="SE3_OTHER"/>
    <x v="1"/>
    <s v="GHOB_MUNIWASTE"/>
    <x v="0"/>
    <x v="15"/>
    <n v="107.549551778698"/>
    <n v="39255.5863992249"/>
    <n v="141320.11103721001"/>
  </r>
  <r>
    <x v="0"/>
    <x v="0"/>
    <x v="0"/>
    <x v="3"/>
    <x v="11"/>
    <s v="SE3_OTHER"/>
    <x v="1"/>
    <s v="GHOB_MUNIWASTE"/>
    <x v="0"/>
    <x v="16"/>
    <n v="107.549551778698"/>
    <n v="39255.5863992249"/>
    <n v="141320.11103721001"/>
  </r>
  <r>
    <x v="0"/>
    <x v="0"/>
    <x v="0"/>
    <x v="3"/>
    <x v="11"/>
    <s v="SE3_OTHER"/>
    <x v="1"/>
    <s v="GHOB_MUNIWASTE"/>
    <x v="0"/>
    <x v="17"/>
    <n v="107.549551778698"/>
    <n v="39255.5863992249"/>
    <n v="141320.11103721001"/>
  </r>
  <r>
    <x v="0"/>
    <x v="0"/>
    <x v="0"/>
    <x v="3"/>
    <x v="11"/>
    <s v="SE3_OTHER"/>
    <x v="1"/>
    <s v="GHOB_MUNIWASTE"/>
    <x v="0"/>
    <x v="18"/>
    <n v="107.549551778698"/>
    <n v="39255.5863992249"/>
    <n v="141320.11103721001"/>
  </r>
  <r>
    <x v="0"/>
    <x v="0"/>
    <x v="0"/>
    <x v="3"/>
    <x v="11"/>
    <s v="SE3_OTHER"/>
    <x v="1"/>
    <s v="GHOB_MUNIWASTE"/>
    <x v="0"/>
    <x v="19"/>
    <n v="107.549551778698"/>
    <n v="39255.5863992249"/>
    <n v="141320.11103721001"/>
  </r>
  <r>
    <x v="0"/>
    <x v="0"/>
    <x v="0"/>
    <x v="3"/>
    <x v="11"/>
    <s v="SE3_OTHER"/>
    <x v="1"/>
    <s v="GHOB_MUNIWASTE"/>
    <x v="0"/>
    <x v="20"/>
    <n v="107.549551778698"/>
    <n v="39255.5863992249"/>
    <n v="141320.11103721001"/>
  </r>
  <r>
    <x v="0"/>
    <x v="0"/>
    <x v="0"/>
    <x v="3"/>
    <x v="11"/>
    <s v="SE3_OTHER"/>
    <x v="1"/>
    <s v="GHOB_MUNIWASTE"/>
    <x v="0"/>
    <x v="21"/>
    <n v="107.549551778698"/>
    <n v="39255.5863992249"/>
    <n v="141320.11103721001"/>
  </r>
  <r>
    <x v="0"/>
    <x v="0"/>
    <x v="0"/>
    <x v="3"/>
    <x v="11"/>
    <s v="SE3_OTHER"/>
    <x v="1"/>
    <s v="GHOB_MUNIWASTE"/>
    <x v="0"/>
    <x v="22"/>
    <n v="107.549551778698"/>
    <n v="39255.5863992249"/>
    <n v="141320.11103721001"/>
  </r>
  <r>
    <x v="0"/>
    <x v="0"/>
    <x v="0"/>
    <x v="3"/>
    <x v="11"/>
    <s v="SE3_OTHER"/>
    <x v="1"/>
    <s v="GHOB_MUNIWASTE"/>
    <x v="0"/>
    <x v="23"/>
    <n v="107.549551778698"/>
    <n v="39255.5863992249"/>
    <n v="141320.11103721001"/>
  </r>
  <r>
    <x v="0"/>
    <x v="0"/>
    <x v="0"/>
    <x v="3"/>
    <x v="11"/>
    <s v="SE3_OTHER"/>
    <x v="12"/>
    <s v="GHOB_OTHERGAS"/>
    <x v="0"/>
    <x v="0"/>
    <n v="20"/>
    <n v="7300"/>
    <n v="26280"/>
  </r>
  <r>
    <x v="0"/>
    <x v="0"/>
    <x v="0"/>
    <x v="3"/>
    <x v="11"/>
    <s v="SE3_OTHER"/>
    <x v="12"/>
    <s v="GHOB_OTHERGAS"/>
    <x v="0"/>
    <x v="1"/>
    <n v="20"/>
    <n v="7300"/>
    <n v="26280"/>
  </r>
  <r>
    <x v="0"/>
    <x v="0"/>
    <x v="0"/>
    <x v="3"/>
    <x v="11"/>
    <s v="SE3_OTHER"/>
    <x v="12"/>
    <s v="GHOB_OTHERGAS"/>
    <x v="0"/>
    <x v="2"/>
    <n v="20"/>
    <n v="7300"/>
    <n v="26280"/>
  </r>
  <r>
    <x v="0"/>
    <x v="0"/>
    <x v="0"/>
    <x v="3"/>
    <x v="11"/>
    <s v="SE3_OTHER"/>
    <x v="12"/>
    <s v="GHOB_OTHERGAS"/>
    <x v="0"/>
    <x v="3"/>
    <n v="20"/>
    <n v="7300"/>
    <n v="26280"/>
  </r>
  <r>
    <x v="0"/>
    <x v="0"/>
    <x v="0"/>
    <x v="3"/>
    <x v="11"/>
    <s v="SE3_OTHER"/>
    <x v="12"/>
    <s v="GHOB_OTHERGAS"/>
    <x v="0"/>
    <x v="4"/>
    <n v="20"/>
    <n v="7300"/>
    <n v="26280"/>
  </r>
  <r>
    <x v="0"/>
    <x v="0"/>
    <x v="0"/>
    <x v="3"/>
    <x v="11"/>
    <s v="SE3_OTHER"/>
    <x v="12"/>
    <s v="GHOB_OTHERGAS"/>
    <x v="0"/>
    <x v="5"/>
    <n v="20"/>
    <n v="7300"/>
    <n v="26280"/>
  </r>
  <r>
    <x v="0"/>
    <x v="0"/>
    <x v="0"/>
    <x v="3"/>
    <x v="11"/>
    <s v="SE3_OTHER"/>
    <x v="12"/>
    <s v="GHOB_OTHERGAS"/>
    <x v="0"/>
    <x v="6"/>
    <n v="20"/>
    <n v="7300"/>
    <n v="26280"/>
  </r>
  <r>
    <x v="0"/>
    <x v="0"/>
    <x v="0"/>
    <x v="3"/>
    <x v="11"/>
    <s v="SE3_OTHER"/>
    <x v="12"/>
    <s v="GHOB_OTHERGAS"/>
    <x v="0"/>
    <x v="7"/>
    <n v="20"/>
    <n v="7300"/>
    <n v="26280"/>
  </r>
  <r>
    <x v="0"/>
    <x v="0"/>
    <x v="0"/>
    <x v="3"/>
    <x v="11"/>
    <s v="SE3_OTHER"/>
    <x v="12"/>
    <s v="GHOB_OTHERGAS"/>
    <x v="0"/>
    <x v="8"/>
    <n v="20"/>
    <n v="7300"/>
    <n v="26280"/>
  </r>
  <r>
    <x v="0"/>
    <x v="0"/>
    <x v="0"/>
    <x v="3"/>
    <x v="11"/>
    <s v="SE3_OTHER"/>
    <x v="12"/>
    <s v="GHOB_OTHERGAS"/>
    <x v="0"/>
    <x v="9"/>
    <n v="20"/>
    <n v="7300"/>
    <n v="26280"/>
  </r>
  <r>
    <x v="0"/>
    <x v="0"/>
    <x v="0"/>
    <x v="3"/>
    <x v="11"/>
    <s v="SE3_OTHER"/>
    <x v="12"/>
    <s v="GHOB_OTHERGAS"/>
    <x v="0"/>
    <x v="10"/>
    <n v="20"/>
    <n v="7300"/>
    <n v="26280"/>
  </r>
  <r>
    <x v="0"/>
    <x v="0"/>
    <x v="0"/>
    <x v="3"/>
    <x v="11"/>
    <s v="SE3_OTHER"/>
    <x v="12"/>
    <s v="GHOB_OTHERGAS"/>
    <x v="0"/>
    <x v="11"/>
    <n v="20"/>
    <n v="7300"/>
    <n v="26280"/>
  </r>
  <r>
    <x v="0"/>
    <x v="0"/>
    <x v="0"/>
    <x v="3"/>
    <x v="11"/>
    <s v="SE3_OTHER"/>
    <x v="12"/>
    <s v="GHOB_OTHERGAS"/>
    <x v="0"/>
    <x v="12"/>
    <n v="20"/>
    <n v="7300"/>
    <n v="26280"/>
  </r>
  <r>
    <x v="0"/>
    <x v="0"/>
    <x v="0"/>
    <x v="3"/>
    <x v="11"/>
    <s v="SE3_OTHER"/>
    <x v="12"/>
    <s v="GHOB_OTHERGAS"/>
    <x v="0"/>
    <x v="13"/>
    <n v="20"/>
    <n v="7300"/>
    <n v="26280"/>
  </r>
  <r>
    <x v="0"/>
    <x v="0"/>
    <x v="0"/>
    <x v="3"/>
    <x v="11"/>
    <s v="SE3_OTHER"/>
    <x v="12"/>
    <s v="GHOB_OTHERGAS"/>
    <x v="0"/>
    <x v="14"/>
    <n v="20"/>
    <n v="7300"/>
    <n v="26280"/>
  </r>
  <r>
    <x v="0"/>
    <x v="0"/>
    <x v="0"/>
    <x v="3"/>
    <x v="11"/>
    <s v="SE3_OTHER"/>
    <x v="12"/>
    <s v="GHOB_OTHERGAS"/>
    <x v="0"/>
    <x v="15"/>
    <n v="20"/>
    <n v="7300"/>
    <n v="26280"/>
  </r>
  <r>
    <x v="0"/>
    <x v="0"/>
    <x v="0"/>
    <x v="3"/>
    <x v="11"/>
    <s v="SE3_OTHER"/>
    <x v="12"/>
    <s v="GHOB_OTHERGAS"/>
    <x v="0"/>
    <x v="16"/>
    <n v="20"/>
    <n v="7300"/>
    <n v="26280"/>
  </r>
  <r>
    <x v="0"/>
    <x v="0"/>
    <x v="0"/>
    <x v="3"/>
    <x v="11"/>
    <s v="SE3_OTHER"/>
    <x v="12"/>
    <s v="GHOB_OTHERGAS"/>
    <x v="0"/>
    <x v="17"/>
    <n v="20"/>
    <n v="7300"/>
    <n v="26280"/>
  </r>
  <r>
    <x v="0"/>
    <x v="0"/>
    <x v="0"/>
    <x v="3"/>
    <x v="11"/>
    <s v="SE3_OTHER"/>
    <x v="12"/>
    <s v="GHOB_OTHERGAS"/>
    <x v="0"/>
    <x v="18"/>
    <n v="20"/>
    <n v="7300"/>
    <n v="26280"/>
  </r>
  <r>
    <x v="0"/>
    <x v="0"/>
    <x v="0"/>
    <x v="3"/>
    <x v="11"/>
    <s v="SE3_OTHER"/>
    <x v="12"/>
    <s v="GHOB_OTHERGAS"/>
    <x v="0"/>
    <x v="19"/>
    <n v="20"/>
    <n v="7300"/>
    <n v="26280"/>
  </r>
  <r>
    <x v="0"/>
    <x v="0"/>
    <x v="0"/>
    <x v="3"/>
    <x v="11"/>
    <s v="SE3_OTHER"/>
    <x v="12"/>
    <s v="GHOB_OTHERGAS"/>
    <x v="0"/>
    <x v="20"/>
    <n v="20"/>
    <n v="7300"/>
    <n v="26280"/>
  </r>
  <r>
    <x v="0"/>
    <x v="0"/>
    <x v="0"/>
    <x v="3"/>
    <x v="11"/>
    <s v="SE3_OTHER"/>
    <x v="12"/>
    <s v="GHOB_OTHERGAS"/>
    <x v="0"/>
    <x v="21"/>
    <n v="20"/>
    <n v="7300"/>
    <n v="26280"/>
  </r>
  <r>
    <x v="0"/>
    <x v="0"/>
    <x v="0"/>
    <x v="3"/>
    <x v="11"/>
    <s v="SE3_OTHER"/>
    <x v="12"/>
    <s v="GHOB_OTHERGAS"/>
    <x v="0"/>
    <x v="22"/>
    <n v="20"/>
    <n v="7300"/>
    <n v="26280"/>
  </r>
  <r>
    <x v="0"/>
    <x v="0"/>
    <x v="0"/>
    <x v="3"/>
    <x v="11"/>
    <s v="SE3_OTHER"/>
    <x v="12"/>
    <s v="GHOB_OTHERGAS"/>
    <x v="0"/>
    <x v="23"/>
    <n v="20"/>
    <n v="7300"/>
    <n v="26280"/>
  </r>
  <r>
    <x v="0"/>
    <x v="0"/>
    <x v="0"/>
    <x v="3"/>
    <x v="11"/>
    <s v="SE3_OTHER"/>
    <x v="11"/>
    <s v="GBPR_RECYCLEDWOOD_SE3OTHER"/>
    <x v="0"/>
    <x v="5"/>
    <n v="21.574293923946598"/>
    <n v="7874.6172822405097"/>
    <n v="28348.6222160658"/>
  </r>
  <r>
    <x v="0"/>
    <x v="0"/>
    <x v="0"/>
    <x v="3"/>
    <x v="11"/>
    <s v="SE3_OTHER"/>
    <x v="11"/>
    <s v="GBPR_RECYCLEDWOOD_SE3OTHER"/>
    <x v="0"/>
    <x v="6"/>
    <n v="112.743272865846"/>
    <n v="41151.294596033797"/>
    <n v="148144.660545722"/>
  </r>
  <r>
    <x v="0"/>
    <x v="0"/>
    <x v="0"/>
    <x v="3"/>
    <x v="11"/>
    <s v="SE3_OTHER"/>
    <x v="11"/>
    <s v="GBPR_RECYCLEDWOOD_SE3OTHER"/>
    <x v="0"/>
    <x v="7"/>
    <n v="112.743272865846"/>
    <n v="41151.294596033797"/>
    <n v="148144.660545722"/>
  </r>
  <r>
    <x v="0"/>
    <x v="0"/>
    <x v="0"/>
    <x v="3"/>
    <x v="11"/>
    <s v="SE3_OTHER"/>
    <x v="11"/>
    <s v="GBPR_RECYCLEDWOOD_SE3OTHER"/>
    <x v="0"/>
    <x v="8"/>
    <n v="112.743272865846"/>
    <n v="41151.294596033797"/>
    <n v="148144.660545722"/>
  </r>
  <r>
    <x v="0"/>
    <x v="0"/>
    <x v="0"/>
    <x v="3"/>
    <x v="11"/>
    <s v="SE3_OTHER"/>
    <x v="11"/>
    <s v="GBPR_RECYCLEDWOOD_SE3OTHER"/>
    <x v="0"/>
    <x v="9"/>
    <n v="112.743272865846"/>
    <n v="41151.294596033797"/>
    <n v="148144.660545722"/>
  </r>
  <r>
    <x v="0"/>
    <x v="0"/>
    <x v="0"/>
    <x v="3"/>
    <x v="11"/>
    <s v="SE3_OTHER"/>
    <x v="11"/>
    <s v="GBPR_RECYCLEDWOOD_SE3OTHER"/>
    <x v="0"/>
    <x v="10"/>
    <n v="112.743272865846"/>
    <n v="41151.294596033797"/>
    <n v="148144.660545722"/>
  </r>
  <r>
    <x v="0"/>
    <x v="0"/>
    <x v="0"/>
    <x v="3"/>
    <x v="11"/>
    <s v="SE3_OTHER"/>
    <x v="11"/>
    <s v="GBPR_RECYCLEDWOOD_SE3OTHER"/>
    <x v="0"/>
    <x v="11"/>
    <n v="112.743272865846"/>
    <n v="41151.294596033797"/>
    <n v="148144.660545722"/>
  </r>
  <r>
    <x v="0"/>
    <x v="0"/>
    <x v="0"/>
    <x v="3"/>
    <x v="11"/>
    <s v="SE3_OTHER"/>
    <x v="11"/>
    <s v="GBPR_RECYCLEDWOOD_SE3OTHER"/>
    <x v="0"/>
    <x v="12"/>
    <n v="112.743272865846"/>
    <n v="41151.294596033797"/>
    <n v="148144.660545722"/>
  </r>
  <r>
    <x v="0"/>
    <x v="0"/>
    <x v="0"/>
    <x v="3"/>
    <x v="11"/>
    <s v="SE3_OTHER"/>
    <x v="11"/>
    <s v="GBPR_RECYCLEDWOOD_SE3OTHER"/>
    <x v="0"/>
    <x v="13"/>
    <n v="102.030305203659"/>
    <n v="37241.061399335398"/>
    <n v="134067.821037608"/>
  </r>
  <r>
    <x v="0"/>
    <x v="0"/>
    <x v="0"/>
    <x v="3"/>
    <x v="11"/>
    <s v="SE3_OTHER"/>
    <x v="11"/>
    <s v="GBPR_RECYCLEDWOOD_SE3OTHER"/>
    <x v="0"/>
    <x v="14"/>
    <n v="46.829971696173402"/>
    <n v="17092.9396691033"/>
    <n v="61534.582808771898"/>
  </r>
  <r>
    <x v="0"/>
    <x v="0"/>
    <x v="0"/>
    <x v="3"/>
    <x v="11"/>
    <s v="SE3_OTHER"/>
    <x v="11"/>
    <s v="GBPR_RECYCLEDWOOD_SE3OTHER"/>
    <x v="0"/>
    <x v="15"/>
    <n v="15.5645466762629"/>
    <n v="5681.05953683598"/>
    <n v="20451.814332609501"/>
  </r>
  <r>
    <x v="0"/>
    <x v="0"/>
    <x v="0"/>
    <x v="3"/>
    <x v="11"/>
    <s v="SE3_OTHER"/>
    <x v="11"/>
    <s v="GBPR_RECYCLEDWOOD_SE3OTHER"/>
    <x v="0"/>
    <x v="16"/>
    <n v="9.4376883760420807"/>
    <n v="3444.7562572553602"/>
    <n v="12401.122526119299"/>
  </r>
  <r>
    <x v="0"/>
    <x v="0"/>
    <x v="0"/>
    <x v="3"/>
    <x v="11"/>
    <s v="SE3_OTHER"/>
    <x v="11"/>
    <s v="GBPR_RECYCLEDWOOD_SE3OTHER"/>
    <x v="0"/>
    <x v="19"/>
    <n v="16.1546572693291"/>
    <n v="5896.4499033051097"/>
    <n v="21227.219651898398"/>
  </r>
  <r>
    <x v="0"/>
    <x v="0"/>
    <x v="0"/>
    <x v="3"/>
    <x v="11"/>
    <s v="SE3_OTHER"/>
    <x v="11"/>
    <s v="GBPR_RECYCLEDWOOD_SE3OTHER"/>
    <x v="0"/>
    <x v="20"/>
    <n v="4.7455987426991699"/>
    <n v="1732.1435410852"/>
    <n v="6235.7167479067102"/>
  </r>
  <r>
    <x v="0"/>
    <x v="0"/>
    <x v="0"/>
    <x v="3"/>
    <x v="11"/>
    <s v="SE3_OTHER"/>
    <x v="11"/>
    <s v="GHOB_RECYCLEDWOOD"/>
    <x v="0"/>
    <x v="4"/>
    <n v="18.096711025899101"/>
    <n v="6605.2995244531803"/>
    <n v="23779.078288031498"/>
  </r>
  <r>
    <x v="0"/>
    <x v="0"/>
    <x v="0"/>
    <x v="3"/>
    <x v="11"/>
    <s v="SE3_OTHER"/>
    <x v="11"/>
    <s v="GHOB_RECYCLEDWOOD"/>
    <x v="0"/>
    <x v="5"/>
    <n v="71.101896651488602"/>
    <n v="25952.1922777933"/>
    <n v="93427.892200055998"/>
  </r>
  <r>
    <x v="0"/>
    <x v="0"/>
    <x v="0"/>
    <x v="3"/>
    <x v="11"/>
    <s v="SE3_OTHER"/>
    <x v="11"/>
    <s v="GHOB_RECYCLEDWOOD"/>
    <x v="0"/>
    <x v="6"/>
    <n v="71.101896651488602"/>
    <n v="25952.1922777933"/>
    <n v="93427.892200055998"/>
  </r>
  <r>
    <x v="0"/>
    <x v="0"/>
    <x v="0"/>
    <x v="3"/>
    <x v="11"/>
    <s v="SE3_OTHER"/>
    <x v="11"/>
    <s v="GHOB_RECYCLEDWOOD"/>
    <x v="0"/>
    <x v="7"/>
    <n v="71.101896651488602"/>
    <n v="25952.1922777933"/>
    <n v="93427.892200055998"/>
  </r>
  <r>
    <x v="0"/>
    <x v="0"/>
    <x v="0"/>
    <x v="3"/>
    <x v="11"/>
    <s v="SE3_OTHER"/>
    <x v="11"/>
    <s v="GHOB_RECYCLEDWOOD"/>
    <x v="0"/>
    <x v="8"/>
    <n v="71.101896651488602"/>
    <n v="25952.1922777933"/>
    <n v="93427.892200055998"/>
  </r>
  <r>
    <x v="0"/>
    <x v="0"/>
    <x v="0"/>
    <x v="3"/>
    <x v="11"/>
    <s v="SE3_OTHER"/>
    <x v="11"/>
    <s v="GHOB_RECYCLEDWOOD"/>
    <x v="0"/>
    <x v="9"/>
    <n v="71.101896651488602"/>
    <n v="25952.1922777933"/>
    <n v="93427.892200055998"/>
  </r>
  <r>
    <x v="0"/>
    <x v="0"/>
    <x v="0"/>
    <x v="3"/>
    <x v="11"/>
    <s v="SE3_OTHER"/>
    <x v="11"/>
    <s v="GHOB_RECYCLEDWOOD"/>
    <x v="0"/>
    <x v="10"/>
    <n v="71.101896651488602"/>
    <n v="25952.1922777933"/>
    <n v="93427.892200055998"/>
  </r>
  <r>
    <x v="0"/>
    <x v="0"/>
    <x v="0"/>
    <x v="3"/>
    <x v="11"/>
    <s v="SE3_OTHER"/>
    <x v="11"/>
    <s v="GHOB_RECYCLEDWOOD"/>
    <x v="0"/>
    <x v="11"/>
    <n v="71.101896651488602"/>
    <n v="25952.1922777933"/>
    <n v="93427.892200055998"/>
  </r>
  <r>
    <x v="0"/>
    <x v="0"/>
    <x v="0"/>
    <x v="3"/>
    <x v="11"/>
    <s v="SE3_OTHER"/>
    <x v="11"/>
    <s v="GHOB_RECYCLEDWOOD"/>
    <x v="0"/>
    <x v="12"/>
    <n v="71.101896651488602"/>
    <n v="25952.1922777933"/>
    <n v="93427.892200055998"/>
  </r>
  <r>
    <x v="0"/>
    <x v="0"/>
    <x v="0"/>
    <x v="3"/>
    <x v="11"/>
    <s v="SE3_OTHER"/>
    <x v="11"/>
    <s v="GHOB_RECYCLEDWOOD"/>
    <x v="0"/>
    <x v="13"/>
    <n v="71.101896651488602"/>
    <n v="25952.1922777933"/>
    <n v="93427.892200055998"/>
  </r>
  <r>
    <x v="0"/>
    <x v="0"/>
    <x v="0"/>
    <x v="3"/>
    <x v="11"/>
    <s v="SE3_OTHER"/>
    <x v="11"/>
    <s v="GHOB_RECYCLEDWOOD"/>
    <x v="0"/>
    <x v="14"/>
    <n v="71.101896651488602"/>
    <n v="25952.1922777933"/>
    <n v="93427.892200055998"/>
  </r>
  <r>
    <x v="0"/>
    <x v="0"/>
    <x v="0"/>
    <x v="3"/>
    <x v="11"/>
    <s v="SE3_OTHER"/>
    <x v="11"/>
    <s v="GHOB_RECYCLEDWOOD"/>
    <x v="0"/>
    <x v="15"/>
    <n v="71.101896651488602"/>
    <n v="25952.1922777933"/>
    <n v="93427.892200055998"/>
  </r>
  <r>
    <x v="0"/>
    <x v="0"/>
    <x v="0"/>
    <x v="3"/>
    <x v="11"/>
    <s v="SE3_OTHER"/>
    <x v="11"/>
    <s v="GHOB_RECYCLEDWOOD"/>
    <x v="0"/>
    <x v="16"/>
    <n v="71.101896651488602"/>
    <n v="25952.1922777933"/>
    <n v="93427.892200055998"/>
  </r>
  <r>
    <x v="0"/>
    <x v="0"/>
    <x v="0"/>
    <x v="3"/>
    <x v="11"/>
    <s v="SE3_OTHER"/>
    <x v="11"/>
    <s v="GHOB_RECYCLEDWOOD"/>
    <x v="0"/>
    <x v="17"/>
    <n v="71.101896651488602"/>
    <n v="25952.1922777933"/>
    <n v="93427.892200055998"/>
  </r>
  <r>
    <x v="0"/>
    <x v="0"/>
    <x v="0"/>
    <x v="3"/>
    <x v="11"/>
    <s v="SE3_OTHER"/>
    <x v="11"/>
    <s v="GHOB_RECYCLEDWOOD"/>
    <x v="0"/>
    <x v="18"/>
    <n v="71.101896651488602"/>
    <n v="25952.1922777933"/>
    <n v="93427.892200055998"/>
  </r>
  <r>
    <x v="0"/>
    <x v="0"/>
    <x v="0"/>
    <x v="3"/>
    <x v="11"/>
    <s v="SE3_OTHER"/>
    <x v="11"/>
    <s v="GHOB_RECYCLEDWOOD"/>
    <x v="0"/>
    <x v="19"/>
    <n v="71.101896651488602"/>
    <n v="25952.1922777933"/>
    <n v="93427.892200055998"/>
  </r>
  <r>
    <x v="0"/>
    <x v="0"/>
    <x v="0"/>
    <x v="3"/>
    <x v="11"/>
    <s v="SE3_OTHER"/>
    <x v="11"/>
    <s v="GHOB_RECYCLEDWOOD"/>
    <x v="0"/>
    <x v="20"/>
    <n v="71.101896651488602"/>
    <n v="25952.1922777933"/>
    <n v="93427.892200055998"/>
  </r>
  <r>
    <x v="0"/>
    <x v="0"/>
    <x v="0"/>
    <x v="3"/>
    <x v="11"/>
    <s v="SE3_OTHER"/>
    <x v="11"/>
    <s v="GHOB_RECYCLEDWOOD"/>
    <x v="0"/>
    <x v="21"/>
    <n v="71.101896651488602"/>
    <n v="25952.1922777933"/>
    <n v="93427.892200055998"/>
  </r>
  <r>
    <x v="0"/>
    <x v="0"/>
    <x v="0"/>
    <x v="3"/>
    <x v="11"/>
    <s v="SE3_OTHER"/>
    <x v="11"/>
    <s v="GHOB_RECYCLEDWOOD"/>
    <x v="0"/>
    <x v="22"/>
    <n v="54.564910944331601"/>
    <n v="19916.192494681"/>
    <n v="71698.292980851693"/>
  </r>
  <r>
    <x v="0"/>
    <x v="0"/>
    <x v="0"/>
    <x v="3"/>
    <x v="11"/>
    <s v="SE3_OTHER"/>
    <x v="5"/>
    <s v="GHOB_STRAW"/>
    <x v="0"/>
    <x v="6"/>
    <n v="2.3374999999999999"/>
    <n v="853.1875"/>
    <n v="3071.4749999999999"/>
  </r>
  <r>
    <x v="0"/>
    <x v="0"/>
    <x v="0"/>
    <x v="3"/>
    <x v="11"/>
    <s v="SE3_OTHER"/>
    <x v="5"/>
    <s v="GHOB_STRAW"/>
    <x v="0"/>
    <x v="7"/>
    <n v="2.3374999999999999"/>
    <n v="853.1875"/>
    <n v="3071.4749999999999"/>
  </r>
  <r>
    <x v="0"/>
    <x v="0"/>
    <x v="0"/>
    <x v="3"/>
    <x v="11"/>
    <s v="SE3_OTHER"/>
    <x v="5"/>
    <s v="GHOB_STRAW"/>
    <x v="0"/>
    <x v="8"/>
    <n v="2.3374999999999999"/>
    <n v="853.1875"/>
    <n v="3071.4749999999999"/>
  </r>
  <r>
    <x v="0"/>
    <x v="0"/>
    <x v="0"/>
    <x v="3"/>
    <x v="11"/>
    <s v="SE3_OTHER"/>
    <x v="5"/>
    <s v="GHOB_STRAW"/>
    <x v="0"/>
    <x v="9"/>
    <n v="2.3374999999999999"/>
    <n v="853.1875"/>
    <n v="3071.4749999999999"/>
  </r>
  <r>
    <x v="0"/>
    <x v="0"/>
    <x v="0"/>
    <x v="3"/>
    <x v="11"/>
    <s v="SE3_OTHER"/>
    <x v="5"/>
    <s v="GHOB_STRAW"/>
    <x v="0"/>
    <x v="10"/>
    <n v="2.3374999999999999"/>
    <n v="853.1875"/>
    <n v="3071.4749999999999"/>
  </r>
  <r>
    <x v="0"/>
    <x v="0"/>
    <x v="0"/>
    <x v="3"/>
    <x v="11"/>
    <s v="SE3_OTHER"/>
    <x v="5"/>
    <s v="GHOB_STRAW"/>
    <x v="0"/>
    <x v="11"/>
    <n v="2.3374999999999999"/>
    <n v="853.1875"/>
    <n v="3071.4749999999999"/>
  </r>
  <r>
    <x v="0"/>
    <x v="0"/>
    <x v="0"/>
    <x v="3"/>
    <x v="11"/>
    <s v="SE3_OTHER"/>
    <x v="5"/>
    <s v="GHOB_STRAW"/>
    <x v="0"/>
    <x v="12"/>
    <n v="2.3374999999999999"/>
    <n v="853.1875"/>
    <n v="3071.4749999999999"/>
  </r>
  <r>
    <x v="0"/>
    <x v="0"/>
    <x v="0"/>
    <x v="3"/>
    <x v="11"/>
    <s v="SE3_OTHER"/>
    <x v="2"/>
    <s v="GHOB_WASTEHEAT"/>
    <x v="0"/>
    <x v="0"/>
    <n v="135.051739926739"/>
    <n v="49293.885073259902"/>
    <n v="177457.98626373601"/>
  </r>
  <r>
    <x v="0"/>
    <x v="0"/>
    <x v="0"/>
    <x v="3"/>
    <x v="11"/>
    <s v="SE3_OTHER"/>
    <x v="2"/>
    <s v="GHOB_WASTEHEAT"/>
    <x v="0"/>
    <x v="1"/>
    <n v="135.051739926739"/>
    <n v="49293.885073259902"/>
    <n v="177457.98626373601"/>
  </r>
  <r>
    <x v="0"/>
    <x v="0"/>
    <x v="0"/>
    <x v="3"/>
    <x v="11"/>
    <s v="SE3_OTHER"/>
    <x v="2"/>
    <s v="GHOB_WASTEHEAT"/>
    <x v="0"/>
    <x v="2"/>
    <n v="135.051739926739"/>
    <n v="49293.885073259902"/>
    <n v="177457.98626373601"/>
  </r>
  <r>
    <x v="0"/>
    <x v="0"/>
    <x v="0"/>
    <x v="3"/>
    <x v="11"/>
    <s v="SE3_OTHER"/>
    <x v="2"/>
    <s v="GHOB_WASTEHEAT"/>
    <x v="0"/>
    <x v="3"/>
    <n v="135.051739926739"/>
    <n v="49293.885073259902"/>
    <n v="177457.98626373601"/>
  </r>
  <r>
    <x v="0"/>
    <x v="0"/>
    <x v="0"/>
    <x v="3"/>
    <x v="11"/>
    <s v="SE3_OTHER"/>
    <x v="2"/>
    <s v="GHOB_WASTEHEAT"/>
    <x v="0"/>
    <x v="4"/>
    <n v="135.051739926739"/>
    <n v="49293.885073259902"/>
    <n v="177457.98626373601"/>
  </r>
  <r>
    <x v="0"/>
    <x v="0"/>
    <x v="0"/>
    <x v="3"/>
    <x v="11"/>
    <s v="SE3_OTHER"/>
    <x v="2"/>
    <s v="GHOB_WASTEHEAT"/>
    <x v="0"/>
    <x v="5"/>
    <n v="135.051739926739"/>
    <n v="49293.885073259902"/>
    <n v="177457.98626373601"/>
  </r>
  <r>
    <x v="0"/>
    <x v="0"/>
    <x v="0"/>
    <x v="3"/>
    <x v="11"/>
    <s v="SE3_OTHER"/>
    <x v="2"/>
    <s v="GHOB_WASTEHEAT"/>
    <x v="0"/>
    <x v="6"/>
    <n v="135.051739926739"/>
    <n v="49293.885073259902"/>
    <n v="177457.98626373601"/>
  </r>
  <r>
    <x v="0"/>
    <x v="0"/>
    <x v="0"/>
    <x v="3"/>
    <x v="11"/>
    <s v="SE3_OTHER"/>
    <x v="2"/>
    <s v="GHOB_WASTEHEAT"/>
    <x v="0"/>
    <x v="7"/>
    <n v="135.051739926739"/>
    <n v="49293.885073259902"/>
    <n v="177457.98626373601"/>
  </r>
  <r>
    <x v="0"/>
    <x v="0"/>
    <x v="0"/>
    <x v="3"/>
    <x v="11"/>
    <s v="SE3_OTHER"/>
    <x v="2"/>
    <s v="GHOB_WASTEHEAT"/>
    <x v="0"/>
    <x v="8"/>
    <n v="135.051739926739"/>
    <n v="49293.885073259902"/>
    <n v="177457.98626373601"/>
  </r>
  <r>
    <x v="0"/>
    <x v="0"/>
    <x v="0"/>
    <x v="3"/>
    <x v="11"/>
    <s v="SE3_OTHER"/>
    <x v="2"/>
    <s v="GHOB_WASTEHEAT"/>
    <x v="0"/>
    <x v="9"/>
    <n v="135.051739926739"/>
    <n v="49293.885073259902"/>
    <n v="177457.98626373601"/>
  </r>
  <r>
    <x v="0"/>
    <x v="0"/>
    <x v="0"/>
    <x v="3"/>
    <x v="11"/>
    <s v="SE3_OTHER"/>
    <x v="2"/>
    <s v="GHOB_WASTEHEAT"/>
    <x v="0"/>
    <x v="10"/>
    <n v="135.051739926739"/>
    <n v="49293.885073259902"/>
    <n v="177457.98626373601"/>
  </r>
  <r>
    <x v="0"/>
    <x v="0"/>
    <x v="0"/>
    <x v="3"/>
    <x v="11"/>
    <s v="SE3_OTHER"/>
    <x v="2"/>
    <s v="GHOB_WASTEHEAT"/>
    <x v="0"/>
    <x v="11"/>
    <n v="135.051739926739"/>
    <n v="49293.885073259902"/>
    <n v="177457.98626373601"/>
  </r>
  <r>
    <x v="0"/>
    <x v="0"/>
    <x v="0"/>
    <x v="3"/>
    <x v="11"/>
    <s v="SE3_OTHER"/>
    <x v="2"/>
    <s v="GHOB_WASTEHEAT"/>
    <x v="0"/>
    <x v="12"/>
    <n v="135.051739926739"/>
    <n v="49293.885073259902"/>
    <n v="177457.98626373601"/>
  </r>
  <r>
    <x v="0"/>
    <x v="0"/>
    <x v="0"/>
    <x v="3"/>
    <x v="11"/>
    <s v="SE3_OTHER"/>
    <x v="2"/>
    <s v="GHOB_WASTEHEAT"/>
    <x v="0"/>
    <x v="13"/>
    <n v="135.051739926739"/>
    <n v="49293.885073259902"/>
    <n v="177457.98626373601"/>
  </r>
  <r>
    <x v="0"/>
    <x v="0"/>
    <x v="0"/>
    <x v="3"/>
    <x v="11"/>
    <s v="SE3_OTHER"/>
    <x v="2"/>
    <s v="GHOB_WASTEHEAT"/>
    <x v="0"/>
    <x v="14"/>
    <n v="135.051739926739"/>
    <n v="49293.885073259902"/>
    <n v="177457.98626373601"/>
  </r>
  <r>
    <x v="0"/>
    <x v="0"/>
    <x v="0"/>
    <x v="3"/>
    <x v="11"/>
    <s v="SE3_OTHER"/>
    <x v="2"/>
    <s v="GHOB_WASTEHEAT"/>
    <x v="0"/>
    <x v="15"/>
    <n v="135.051739926739"/>
    <n v="49293.885073259902"/>
    <n v="177457.98626373601"/>
  </r>
  <r>
    <x v="0"/>
    <x v="0"/>
    <x v="0"/>
    <x v="3"/>
    <x v="11"/>
    <s v="SE3_OTHER"/>
    <x v="2"/>
    <s v="GHOB_WASTEHEAT"/>
    <x v="0"/>
    <x v="16"/>
    <n v="135.051739926739"/>
    <n v="49293.885073259902"/>
    <n v="177457.98626373601"/>
  </r>
  <r>
    <x v="0"/>
    <x v="0"/>
    <x v="0"/>
    <x v="3"/>
    <x v="11"/>
    <s v="SE3_OTHER"/>
    <x v="2"/>
    <s v="GHOB_WASTEHEAT"/>
    <x v="0"/>
    <x v="17"/>
    <n v="135.051739926739"/>
    <n v="49293.885073259902"/>
    <n v="177457.98626373601"/>
  </r>
  <r>
    <x v="0"/>
    <x v="0"/>
    <x v="0"/>
    <x v="3"/>
    <x v="11"/>
    <s v="SE3_OTHER"/>
    <x v="2"/>
    <s v="GHOB_WASTEHEAT"/>
    <x v="0"/>
    <x v="18"/>
    <n v="135.051739926739"/>
    <n v="49293.885073259902"/>
    <n v="177457.98626373601"/>
  </r>
  <r>
    <x v="0"/>
    <x v="0"/>
    <x v="0"/>
    <x v="3"/>
    <x v="11"/>
    <s v="SE3_OTHER"/>
    <x v="2"/>
    <s v="GHOB_WASTEHEAT"/>
    <x v="0"/>
    <x v="19"/>
    <n v="135.051739926739"/>
    <n v="49293.885073259902"/>
    <n v="177457.98626373601"/>
  </r>
  <r>
    <x v="0"/>
    <x v="0"/>
    <x v="0"/>
    <x v="3"/>
    <x v="11"/>
    <s v="SE3_OTHER"/>
    <x v="2"/>
    <s v="GHOB_WASTEHEAT"/>
    <x v="0"/>
    <x v="20"/>
    <n v="135.051739926739"/>
    <n v="49293.885073259902"/>
    <n v="177457.98626373601"/>
  </r>
  <r>
    <x v="0"/>
    <x v="0"/>
    <x v="0"/>
    <x v="3"/>
    <x v="11"/>
    <s v="SE3_OTHER"/>
    <x v="2"/>
    <s v="GHOB_WASTEHEAT"/>
    <x v="0"/>
    <x v="21"/>
    <n v="135.051739926739"/>
    <n v="49293.885073259902"/>
    <n v="177457.98626373601"/>
  </r>
  <r>
    <x v="0"/>
    <x v="0"/>
    <x v="0"/>
    <x v="3"/>
    <x v="11"/>
    <s v="SE3_OTHER"/>
    <x v="2"/>
    <s v="GHOB_WASTEHEAT"/>
    <x v="0"/>
    <x v="22"/>
    <n v="135.051739926739"/>
    <n v="49293.885073259902"/>
    <n v="177457.98626373601"/>
  </r>
  <r>
    <x v="0"/>
    <x v="0"/>
    <x v="0"/>
    <x v="3"/>
    <x v="11"/>
    <s v="SE3_OTHER"/>
    <x v="2"/>
    <s v="GHOB_WASTEHEAT"/>
    <x v="0"/>
    <x v="23"/>
    <n v="135.051739926739"/>
    <n v="49293.885073259902"/>
    <n v="177457.98626373601"/>
  </r>
  <r>
    <x v="0"/>
    <x v="0"/>
    <x v="0"/>
    <x v="3"/>
    <x v="11"/>
    <s v="SE3_OTHER"/>
    <x v="6"/>
    <s v="GHOB_WOODCHIPS"/>
    <x v="0"/>
    <x v="6"/>
    <n v="174.00994983184299"/>
    <n v="63513.631688622598"/>
    <n v="228649.07407904099"/>
  </r>
  <r>
    <x v="0"/>
    <x v="0"/>
    <x v="0"/>
    <x v="3"/>
    <x v="11"/>
    <s v="SE3_OTHER"/>
    <x v="6"/>
    <s v="GHOB_WOODCHIPS"/>
    <x v="0"/>
    <x v="7"/>
    <n v="283.77084034223799"/>
    <n v="103576.356724917"/>
    <n v="372874.88420970098"/>
  </r>
  <r>
    <x v="0"/>
    <x v="0"/>
    <x v="0"/>
    <x v="3"/>
    <x v="11"/>
    <s v="SE3_OTHER"/>
    <x v="6"/>
    <s v="GHOB_WOODCHIPS"/>
    <x v="0"/>
    <x v="8"/>
    <n v="251.57639001003"/>
    <n v="91825.382353660796"/>
    <n v="330571.37647317903"/>
  </r>
  <r>
    <x v="0"/>
    <x v="0"/>
    <x v="0"/>
    <x v="3"/>
    <x v="11"/>
    <s v="SE3_OTHER"/>
    <x v="6"/>
    <s v="GHOB_WOODCHIPS"/>
    <x v="0"/>
    <x v="9"/>
    <n v="184.379159673652"/>
    <n v="67298.393280882898"/>
    <n v="242274.21581117899"/>
  </r>
  <r>
    <x v="0"/>
    <x v="0"/>
    <x v="0"/>
    <x v="3"/>
    <x v="11"/>
    <s v="SE3_OTHER"/>
    <x v="6"/>
    <s v="GHOB_WOODCHIPS"/>
    <x v="0"/>
    <x v="10"/>
    <n v="122.580114074956"/>
    <n v="44741.741637359002"/>
    <n v="161070.269894492"/>
  </r>
  <r>
    <x v="0"/>
    <x v="0"/>
    <x v="0"/>
    <x v="3"/>
    <x v="11"/>
    <s v="SE3_OTHER"/>
    <x v="6"/>
    <s v="GHOB_WOODCHIPS"/>
    <x v="0"/>
    <x v="11"/>
    <n v="81.213412130187095"/>
    <n v="29642.895427518299"/>
    <n v="106714.423539066"/>
  </r>
  <r>
    <x v="0"/>
    <x v="0"/>
    <x v="0"/>
    <x v="3"/>
    <x v="11"/>
    <s v="SE3_OTHER"/>
    <x v="6"/>
    <s v="GHOB_WOODCHIPS"/>
    <x v="0"/>
    <x v="12"/>
    <n v="18.705338420777998"/>
    <n v="6827.4485235839802"/>
    <n v="24578.8146849023"/>
  </r>
  <r>
    <x v="0"/>
    <x v="0"/>
    <x v="0"/>
    <x v="3"/>
    <x v="11"/>
    <s v="SE3_OTHER"/>
    <x v="7"/>
    <s v="GBPR_WOODWASTE_25"/>
    <x v="0"/>
    <x v="0"/>
    <n v="488.81720553415101"/>
    <n v="178418.28001996499"/>
    <n v="642305.80807187397"/>
  </r>
  <r>
    <x v="0"/>
    <x v="0"/>
    <x v="0"/>
    <x v="3"/>
    <x v="11"/>
    <s v="SE3_OTHER"/>
    <x v="7"/>
    <s v="GBPR_WOODWASTE_25"/>
    <x v="0"/>
    <x v="1"/>
    <n v="488.81720553415101"/>
    <n v="178418.28001996499"/>
    <n v="642305.80807187397"/>
  </r>
  <r>
    <x v="0"/>
    <x v="0"/>
    <x v="0"/>
    <x v="3"/>
    <x v="11"/>
    <s v="SE3_OTHER"/>
    <x v="7"/>
    <s v="GBPR_WOODWASTE_25"/>
    <x v="0"/>
    <x v="2"/>
    <n v="488.81720553415101"/>
    <n v="178418.28001996499"/>
    <n v="642305.80807187397"/>
  </r>
  <r>
    <x v="0"/>
    <x v="0"/>
    <x v="0"/>
    <x v="3"/>
    <x v="11"/>
    <s v="SE3_OTHER"/>
    <x v="7"/>
    <s v="GBPR_WOODWASTE_25"/>
    <x v="0"/>
    <x v="3"/>
    <n v="488.81720553415101"/>
    <n v="178418.28001996499"/>
    <n v="642305.80807187397"/>
  </r>
  <r>
    <x v="0"/>
    <x v="0"/>
    <x v="0"/>
    <x v="3"/>
    <x v="11"/>
    <s v="SE3_OTHER"/>
    <x v="7"/>
    <s v="GBPR_WOODWASTE_25"/>
    <x v="0"/>
    <x v="4"/>
    <n v="488.81720553415101"/>
    <n v="178418.28001996499"/>
    <n v="642305.80807187397"/>
  </r>
  <r>
    <x v="0"/>
    <x v="0"/>
    <x v="0"/>
    <x v="3"/>
    <x v="11"/>
    <s v="SE3_OTHER"/>
    <x v="7"/>
    <s v="GBPR_WOODWASTE_25"/>
    <x v="0"/>
    <x v="5"/>
    <n v="488.81720553415101"/>
    <n v="178418.28001996499"/>
    <n v="642305.80807187397"/>
  </r>
  <r>
    <x v="0"/>
    <x v="0"/>
    <x v="0"/>
    <x v="3"/>
    <x v="11"/>
    <s v="SE3_OTHER"/>
    <x v="7"/>
    <s v="GBPR_WOODWASTE_25"/>
    <x v="0"/>
    <x v="6"/>
    <n v="488.81720553415101"/>
    <n v="178418.28001996499"/>
    <n v="642305.80807187397"/>
  </r>
  <r>
    <x v="0"/>
    <x v="0"/>
    <x v="0"/>
    <x v="3"/>
    <x v="11"/>
    <s v="SE3_OTHER"/>
    <x v="7"/>
    <s v="GBPR_WOODWASTE_25"/>
    <x v="0"/>
    <x v="7"/>
    <n v="488.81720553415101"/>
    <n v="178418.28001996499"/>
    <n v="642305.80807187397"/>
  </r>
  <r>
    <x v="0"/>
    <x v="0"/>
    <x v="0"/>
    <x v="3"/>
    <x v="11"/>
    <s v="SE3_OTHER"/>
    <x v="7"/>
    <s v="GBPR_WOODWASTE_25"/>
    <x v="0"/>
    <x v="8"/>
    <n v="488.81720553415101"/>
    <n v="178418.28001996499"/>
    <n v="642305.80807187397"/>
  </r>
  <r>
    <x v="0"/>
    <x v="0"/>
    <x v="0"/>
    <x v="3"/>
    <x v="11"/>
    <s v="SE3_OTHER"/>
    <x v="7"/>
    <s v="GBPR_WOODWASTE_25"/>
    <x v="0"/>
    <x v="9"/>
    <n v="488.81720553415101"/>
    <n v="178418.28001996499"/>
    <n v="642305.80807187397"/>
  </r>
  <r>
    <x v="0"/>
    <x v="0"/>
    <x v="0"/>
    <x v="3"/>
    <x v="11"/>
    <s v="SE3_OTHER"/>
    <x v="7"/>
    <s v="GBPR_WOODWASTE_25"/>
    <x v="0"/>
    <x v="10"/>
    <n v="488.81720553415101"/>
    <n v="178418.28001996499"/>
    <n v="642305.80807187397"/>
  </r>
  <r>
    <x v="0"/>
    <x v="0"/>
    <x v="0"/>
    <x v="3"/>
    <x v="11"/>
    <s v="SE3_OTHER"/>
    <x v="7"/>
    <s v="GBPR_WOODWASTE_25"/>
    <x v="0"/>
    <x v="11"/>
    <n v="488.81720553415101"/>
    <n v="178418.28001996499"/>
    <n v="642305.80807187397"/>
  </r>
  <r>
    <x v="0"/>
    <x v="0"/>
    <x v="0"/>
    <x v="3"/>
    <x v="11"/>
    <s v="SE3_OTHER"/>
    <x v="7"/>
    <s v="GBPR_WOODWASTE_25"/>
    <x v="0"/>
    <x v="12"/>
    <n v="488.81720553415101"/>
    <n v="178418.28001996499"/>
    <n v="642305.80807187397"/>
  </r>
  <r>
    <x v="0"/>
    <x v="0"/>
    <x v="0"/>
    <x v="3"/>
    <x v="11"/>
    <s v="SE3_OTHER"/>
    <x v="7"/>
    <s v="GBPR_WOODWASTE_25"/>
    <x v="0"/>
    <x v="13"/>
    <n v="488.81720553415101"/>
    <n v="178418.28001996499"/>
    <n v="642305.80807187397"/>
  </r>
  <r>
    <x v="0"/>
    <x v="0"/>
    <x v="0"/>
    <x v="3"/>
    <x v="11"/>
    <s v="SE3_OTHER"/>
    <x v="7"/>
    <s v="GBPR_WOODWASTE_25"/>
    <x v="0"/>
    <x v="14"/>
    <n v="488.81720553415101"/>
    <n v="178418.28001996499"/>
    <n v="642305.80807187397"/>
  </r>
  <r>
    <x v="0"/>
    <x v="0"/>
    <x v="0"/>
    <x v="3"/>
    <x v="11"/>
    <s v="SE3_OTHER"/>
    <x v="7"/>
    <s v="GBPR_WOODWASTE_25"/>
    <x v="0"/>
    <x v="15"/>
    <n v="488.81720553415101"/>
    <n v="178418.28001996499"/>
    <n v="642305.80807187397"/>
  </r>
  <r>
    <x v="0"/>
    <x v="0"/>
    <x v="0"/>
    <x v="3"/>
    <x v="11"/>
    <s v="SE3_OTHER"/>
    <x v="7"/>
    <s v="GBPR_WOODWASTE_25"/>
    <x v="0"/>
    <x v="16"/>
    <n v="488.81720553415101"/>
    <n v="178418.28001996499"/>
    <n v="642305.80807187397"/>
  </r>
  <r>
    <x v="0"/>
    <x v="0"/>
    <x v="0"/>
    <x v="3"/>
    <x v="11"/>
    <s v="SE3_OTHER"/>
    <x v="7"/>
    <s v="GBPR_WOODWASTE_25"/>
    <x v="0"/>
    <x v="17"/>
    <n v="488.81720553415101"/>
    <n v="178418.28001996499"/>
    <n v="642305.80807187397"/>
  </r>
  <r>
    <x v="0"/>
    <x v="0"/>
    <x v="0"/>
    <x v="3"/>
    <x v="11"/>
    <s v="SE3_OTHER"/>
    <x v="7"/>
    <s v="GBPR_WOODWASTE_25"/>
    <x v="0"/>
    <x v="18"/>
    <n v="488.81720553415101"/>
    <n v="178418.28001996499"/>
    <n v="642305.80807187397"/>
  </r>
  <r>
    <x v="0"/>
    <x v="0"/>
    <x v="0"/>
    <x v="3"/>
    <x v="11"/>
    <s v="SE3_OTHER"/>
    <x v="7"/>
    <s v="GBPR_WOODWASTE_25"/>
    <x v="0"/>
    <x v="19"/>
    <n v="488.81720553415101"/>
    <n v="178418.28001996499"/>
    <n v="642305.80807187397"/>
  </r>
  <r>
    <x v="0"/>
    <x v="0"/>
    <x v="0"/>
    <x v="3"/>
    <x v="11"/>
    <s v="SE3_OTHER"/>
    <x v="7"/>
    <s v="GBPR_WOODWASTE_25"/>
    <x v="0"/>
    <x v="20"/>
    <n v="488.81720553415101"/>
    <n v="178418.28001996499"/>
    <n v="642305.80807187397"/>
  </r>
  <r>
    <x v="0"/>
    <x v="0"/>
    <x v="0"/>
    <x v="3"/>
    <x v="11"/>
    <s v="SE3_OTHER"/>
    <x v="7"/>
    <s v="GBPR_WOODWASTE_25"/>
    <x v="0"/>
    <x v="21"/>
    <n v="488.81720553415101"/>
    <n v="178418.28001996499"/>
    <n v="642305.80807187397"/>
  </r>
  <r>
    <x v="0"/>
    <x v="0"/>
    <x v="0"/>
    <x v="3"/>
    <x v="11"/>
    <s v="SE3_OTHER"/>
    <x v="7"/>
    <s v="GBPR_WOODWASTE_25"/>
    <x v="0"/>
    <x v="22"/>
    <n v="488.81720553415101"/>
    <n v="178418.28001996499"/>
    <n v="642305.80807187397"/>
  </r>
  <r>
    <x v="0"/>
    <x v="0"/>
    <x v="0"/>
    <x v="3"/>
    <x v="11"/>
    <s v="SE3_OTHER"/>
    <x v="7"/>
    <s v="GBPR_WOODWASTE_25"/>
    <x v="0"/>
    <x v="23"/>
    <n v="488.81720553415101"/>
    <n v="178418.28001996499"/>
    <n v="642305.80807187397"/>
  </r>
  <r>
    <x v="0"/>
    <x v="0"/>
    <x v="0"/>
    <x v="3"/>
    <x v="11"/>
    <s v="SE3_OTHER"/>
    <x v="7"/>
    <s v="GHOB_WOODWASTE"/>
    <x v="0"/>
    <x v="0"/>
    <n v="192.367629589503"/>
    <n v="70214.184800168499"/>
    <n v="252771.065280607"/>
  </r>
  <r>
    <x v="0"/>
    <x v="0"/>
    <x v="0"/>
    <x v="3"/>
    <x v="11"/>
    <s v="SE3_OTHER"/>
    <x v="7"/>
    <s v="GHOB_WOODWASTE"/>
    <x v="0"/>
    <x v="1"/>
    <n v="216.31744127761101"/>
    <n v="78955.866066328104"/>
    <n v="284241.11783878098"/>
  </r>
  <r>
    <x v="0"/>
    <x v="0"/>
    <x v="0"/>
    <x v="3"/>
    <x v="11"/>
    <s v="SE3_OTHER"/>
    <x v="7"/>
    <s v="GHOB_WOODWASTE"/>
    <x v="0"/>
    <x v="2"/>
    <n v="229.92783431628999"/>
    <n v="83923.659525445793"/>
    <n v="302125.17429160501"/>
  </r>
  <r>
    <x v="0"/>
    <x v="0"/>
    <x v="0"/>
    <x v="3"/>
    <x v="11"/>
    <s v="SE3_OTHER"/>
    <x v="7"/>
    <s v="GHOB_WOODWASTE"/>
    <x v="0"/>
    <x v="3"/>
    <n v="287.24391830515799"/>
    <n v="104844.030181383"/>
    <n v="377438.50865297799"/>
  </r>
  <r>
    <x v="0"/>
    <x v="0"/>
    <x v="0"/>
    <x v="3"/>
    <x v="11"/>
    <s v="SE3_OTHER"/>
    <x v="7"/>
    <s v="GHOB_WOODWASTE"/>
    <x v="0"/>
    <x v="4"/>
    <n v="325.99458788091101"/>
    <n v="118988.024576532"/>
    <n v="428356.888475516"/>
  </r>
  <r>
    <x v="0"/>
    <x v="0"/>
    <x v="0"/>
    <x v="3"/>
    <x v="11"/>
    <s v="SE3_OTHER"/>
    <x v="7"/>
    <s v="GHOB_WOODWASTE"/>
    <x v="0"/>
    <x v="5"/>
    <n v="325.99458788091101"/>
    <n v="118988.024576532"/>
    <n v="428356.888475516"/>
  </r>
  <r>
    <x v="0"/>
    <x v="0"/>
    <x v="0"/>
    <x v="3"/>
    <x v="11"/>
    <s v="SE3_OTHER"/>
    <x v="7"/>
    <s v="GHOB_WOODWASTE"/>
    <x v="0"/>
    <x v="6"/>
    <n v="325.99458788091101"/>
    <n v="118988.024576532"/>
    <n v="428356.888475516"/>
  </r>
  <r>
    <x v="0"/>
    <x v="0"/>
    <x v="0"/>
    <x v="3"/>
    <x v="11"/>
    <s v="SE3_OTHER"/>
    <x v="7"/>
    <s v="GHOB_WOODWASTE"/>
    <x v="0"/>
    <x v="7"/>
    <n v="325.99458788091101"/>
    <n v="118988.024576532"/>
    <n v="428356.888475516"/>
  </r>
  <r>
    <x v="0"/>
    <x v="0"/>
    <x v="0"/>
    <x v="3"/>
    <x v="11"/>
    <s v="SE3_OTHER"/>
    <x v="7"/>
    <s v="GHOB_WOODWASTE"/>
    <x v="0"/>
    <x v="8"/>
    <n v="325.99458788091101"/>
    <n v="118988.024576532"/>
    <n v="428356.888475516"/>
  </r>
  <r>
    <x v="0"/>
    <x v="0"/>
    <x v="0"/>
    <x v="3"/>
    <x v="11"/>
    <s v="SE3_OTHER"/>
    <x v="7"/>
    <s v="GHOB_WOODWASTE"/>
    <x v="0"/>
    <x v="9"/>
    <n v="325.99458788091101"/>
    <n v="118988.024576532"/>
    <n v="428356.888475516"/>
  </r>
  <r>
    <x v="0"/>
    <x v="0"/>
    <x v="0"/>
    <x v="3"/>
    <x v="11"/>
    <s v="SE3_OTHER"/>
    <x v="7"/>
    <s v="GHOB_WOODWASTE"/>
    <x v="0"/>
    <x v="10"/>
    <n v="325.99458788091101"/>
    <n v="118988.024576532"/>
    <n v="428356.888475516"/>
  </r>
  <r>
    <x v="0"/>
    <x v="0"/>
    <x v="0"/>
    <x v="3"/>
    <x v="11"/>
    <s v="SE3_OTHER"/>
    <x v="7"/>
    <s v="GHOB_WOODWASTE"/>
    <x v="0"/>
    <x v="11"/>
    <n v="325.99458788091101"/>
    <n v="118988.024576532"/>
    <n v="428356.888475516"/>
  </r>
  <r>
    <x v="0"/>
    <x v="0"/>
    <x v="0"/>
    <x v="3"/>
    <x v="11"/>
    <s v="SE3_OTHER"/>
    <x v="7"/>
    <s v="GHOB_WOODWASTE"/>
    <x v="0"/>
    <x v="12"/>
    <n v="325.99458788091101"/>
    <n v="118988.024576532"/>
    <n v="428356.888475516"/>
  </r>
  <r>
    <x v="0"/>
    <x v="0"/>
    <x v="0"/>
    <x v="3"/>
    <x v="11"/>
    <s v="SE3_OTHER"/>
    <x v="7"/>
    <s v="GHOB_WOODWASTE"/>
    <x v="0"/>
    <x v="13"/>
    <n v="325.99458788091101"/>
    <n v="118988.024576532"/>
    <n v="428356.888475516"/>
  </r>
  <r>
    <x v="0"/>
    <x v="0"/>
    <x v="0"/>
    <x v="3"/>
    <x v="11"/>
    <s v="SE3_OTHER"/>
    <x v="7"/>
    <s v="GHOB_WOODWASTE"/>
    <x v="0"/>
    <x v="14"/>
    <n v="325.99458788091101"/>
    <n v="118988.024576532"/>
    <n v="428356.888475516"/>
  </r>
  <r>
    <x v="0"/>
    <x v="0"/>
    <x v="0"/>
    <x v="3"/>
    <x v="11"/>
    <s v="SE3_OTHER"/>
    <x v="7"/>
    <s v="GHOB_WOODWASTE"/>
    <x v="0"/>
    <x v="15"/>
    <n v="325.99458788091101"/>
    <n v="118988.024576532"/>
    <n v="428356.888475516"/>
  </r>
  <r>
    <x v="0"/>
    <x v="0"/>
    <x v="0"/>
    <x v="3"/>
    <x v="11"/>
    <s v="SE3_OTHER"/>
    <x v="7"/>
    <s v="GHOB_WOODWASTE"/>
    <x v="0"/>
    <x v="16"/>
    <n v="325.99458788091101"/>
    <n v="118988.024576532"/>
    <n v="428356.888475516"/>
  </r>
  <r>
    <x v="0"/>
    <x v="0"/>
    <x v="0"/>
    <x v="3"/>
    <x v="11"/>
    <s v="SE3_OTHER"/>
    <x v="7"/>
    <s v="GHOB_WOODWASTE"/>
    <x v="0"/>
    <x v="17"/>
    <n v="325.99458788091101"/>
    <n v="118988.024576532"/>
    <n v="428356.888475516"/>
  </r>
  <r>
    <x v="0"/>
    <x v="0"/>
    <x v="0"/>
    <x v="3"/>
    <x v="11"/>
    <s v="SE3_OTHER"/>
    <x v="7"/>
    <s v="GHOB_WOODWASTE"/>
    <x v="0"/>
    <x v="18"/>
    <n v="325.99458788091101"/>
    <n v="118988.024576532"/>
    <n v="428356.888475516"/>
  </r>
  <r>
    <x v="0"/>
    <x v="0"/>
    <x v="0"/>
    <x v="3"/>
    <x v="11"/>
    <s v="SE3_OTHER"/>
    <x v="7"/>
    <s v="GHOB_WOODWASTE"/>
    <x v="0"/>
    <x v="19"/>
    <n v="325.99458788091101"/>
    <n v="118988.024576532"/>
    <n v="428356.888475516"/>
  </r>
  <r>
    <x v="0"/>
    <x v="0"/>
    <x v="0"/>
    <x v="3"/>
    <x v="11"/>
    <s v="SE3_OTHER"/>
    <x v="7"/>
    <s v="GHOB_WOODWASTE"/>
    <x v="0"/>
    <x v="20"/>
    <n v="325.99458788091101"/>
    <n v="118988.024576532"/>
    <n v="428356.888475516"/>
  </r>
  <r>
    <x v="0"/>
    <x v="0"/>
    <x v="0"/>
    <x v="3"/>
    <x v="11"/>
    <s v="SE3_OTHER"/>
    <x v="7"/>
    <s v="GHOB_WOODWASTE"/>
    <x v="0"/>
    <x v="21"/>
    <n v="325.99458788091101"/>
    <n v="118988.024576532"/>
    <n v="428356.888475516"/>
  </r>
  <r>
    <x v="0"/>
    <x v="0"/>
    <x v="0"/>
    <x v="3"/>
    <x v="11"/>
    <s v="SE3_OTHER"/>
    <x v="7"/>
    <s v="GHOB_WOODWASTE"/>
    <x v="0"/>
    <x v="22"/>
    <n v="325.99458788091101"/>
    <n v="118988.024576532"/>
    <n v="428356.888475516"/>
  </r>
  <r>
    <x v="0"/>
    <x v="0"/>
    <x v="0"/>
    <x v="3"/>
    <x v="11"/>
    <s v="SE3_OTHER"/>
    <x v="7"/>
    <s v="GHOB_WOODWASTE"/>
    <x v="0"/>
    <x v="23"/>
    <n v="290.49937835908202"/>
    <n v="106032.273101065"/>
    <n v="381716.18316383398"/>
  </r>
  <r>
    <x v="0"/>
    <x v="0"/>
    <x v="0"/>
    <x v="3"/>
    <x v="11"/>
    <s v="SE3_STO"/>
    <x v="0"/>
    <s v="GBPR_COAL_VARTAN"/>
    <x v="0"/>
    <x v="6"/>
    <n v="107.01205344934699"/>
    <n v="39059.399509011702"/>
    <n v="140613.83823244201"/>
  </r>
  <r>
    <x v="0"/>
    <x v="0"/>
    <x v="0"/>
    <x v="3"/>
    <x v="11"/>
    <s v="SE3_STO"/>
    <x v="0"/>
    <s v="GBPR_COAL_VARTAN"/>
    <x v="0"/>
    <x v="7"/>
    <n v="132.133171840476"/>
    <n v="48228.6077217739"/>
    <n v="173622.98779838599"/>
  </r>
  <r>
    <x v="0"/>
    <x v="0"/>
    <x v="0"/>
    <x v="3"/>
    <x v="11"/>
    <s v="SE3_STO"/>
    <x v="0"/>
    <s v="GBPR_COAL_VARTAN"/>
    <x v="0"/>
    <x v="8"/>
    <n v="132.133171840476"/>
    <n v="48228.6077217739"/>
    <n v="173622.98779838599"/>
  </r>
  <r>
    <x v="0"/>
    <x v="0"/>
    <x v="0"/>
    <x v="3"/>
    <x v="11"/>
    <s v="SE3_STO"/>
    <x v="0"/>
    <s v="GBPR_COAL_VARTAN"/>
    <x v="0"/>
    <x v="9"/>
    <n v="132.133171840476"/>
    <n v="48228.6077217739"/>
    <n v="173622.98779838599"/>
  </r>
  <r>
    <x v="0"/>
    <x v="0"/>
    <x v="0"/>
    <x v="3"/>
    <x v="11"/>
    <s v="SE3_STO"/>
    <x v="0"/>
    <s v="GBPR_COAL_VARTAN"/>
    <x v="0"/>
    <x v="10"/>
    <n v="132.133171840476"/>
    <n v="48228.6077217739"/>
    <n v="173622.98779838599"/>
  </r>
  <r>
    <x v="0"/>
    <x v="0"/>
    <x v="0"/>
    <x v="3"/>
    <x v="11"/>
    <s v="SE3_STO"/>
    <x v="0"/>
    <s v="GBPR_COAL_VARTAN"/>
    <x v="0"/>
    <x v="11"/>
    <n v="132.133171840476"/>
    <n v="48228.6077217739"/>
    <n v="173622.98779838599"/>
  </r>
  <r>
    <x v="0"/>
    <x v="0"/>
    <x v="0"/>
    <x v="3"/>
    <x v="11"/>
    <s v="SE3_STO"/>
    <x v="0"/>
    <s v="GBPR_COAL_VARTAN"/>
    <x v="0"/>
    <x v="12"/>
    <n v="132.133171840476"/>
    <n v="48228.6077217739"/>
    <n v="173622.98779838599"/>
  </r>
  <r>
    <x v="0"/>
    <x v="0"/>
    <x v="0"/>
    <x v="3"/>
    <x v="11"/>
    <s v="SE3_STO"/>
    <x v="0"/>
    <s v="GBPR_COAL_VARTAN"/>
    <x v="0"/>
    <x v="13"/>
    <n v="132.133171840476"/>
    <n v="48228.6077217739"/>
    <n v="173622.98779838599"/>
  </r>
  <r>
    <x v="0"/>
    <x v="0"/>
    <x v="0"/>
    <x v="3"/>
    <x v="11"/>
    <s v="SE3_STO"/>
    <x v="0"/>
    <s v="GBPR_COAL_VARTAN"/>
    <x v="0"/>
    <x v="14"/>
    <n v="132.133171840476"/>
    <n v="48228.6077217739"/>
    <n v="173622.98779838599"/>
  </r>
  <r>
    <x v="0"/>
    <x v="0"/>
    <x v="0"/>
    <x v="3"/>
    <x v="11"/>
    <s v="SE3_STO"/>
    <x v="0"/>
    <s v="GBPR_COAL_VARTAN"/>
    <x v="0"/>
    <x v="15"/>
    <n v="132.133171840476"/>
    <n v="48228.6077217739"/>
    <n v="173622.98779838599"/>
  </r>
  <r>
    <x v="0"/>
    <x v="0"/>
    <x v="0"/>
    <x v="3"/>
    <x v="11"/>
    <s v="SE3_STO"/>
    <x v="0"/>
    <s v="GBPR_COAL_VARTAN"/>
    <x v="0"/>
    <x v="16"/>
    <n v="132.133171840476"/>
    <n v="48228.6077217739"/>
    <n v="173622.98779838599"/>
  </r>
  <r>
    <x v="0"/>
    <x v="0"/>
    <x v="0"/>
    <x v="3"/>
    <x v="11"/>
    <s v="SE3_STO"/>
    <x v="0"/>
    <s v="GBPR_COAL_VARTAN"/>
    <x v="0"/>
    <x v="17"/>
    <n v="132.133171840476"/>
    <n v="48228.6077217739"/>
    <n v="173622.98779838599"/>
  </r>
  <r>
    <x v="0"/>
    <x v="0"/>
    <x v="0"/>
    <x v="3"/>
    <x v="11"/>
    <s v="SE3_STO"/>
    <x v="0"/>
    <s v="GBPR_COAL_VARTAN"/>
    <x v="0"/>
    <x v="18"/>
    <n v="132.133171840476"/>
    <n v="48228.6077217739"/>
    <n v="173622.98779838599"/>
  </r>
  <r>
    <x v="0"/>
    <x v="0"/>
    <x v="0"/>
    <x v="3"/>
    <x v="11"/>
    <s v="SE3_STO"/>
    <x v="0"/>
    <s v="GBPR_COAL_VARTAN"/>
    <x v="0"/>
    <x v="19"/>
    <n v="132.133171840476"/>
    <n v="48228.6077217739"/>
    <n v="173622.98779838599"/>
  </r>
  <r>
    <x v="0"/>
    <x v="0"/>
    <x v="0"/>
    <x v="3"/>
    <x v="11"/>
    <s v="SE3_STO"/>
    <x v="0"/>
    <s v="GBPR_COAL_VARTAN"/>
    <x v="0"/>
    <x v="20"/>
    <n v="132.133171840476"/>
    <n v="48228.6077217739"/>
    <n v="173622.98779838599"/>
  </r>
  <r>
    <x v="0"/>
    <x v="0"/>
    <x v="0"/>
    <x v="3"/>
    <x v="11"/>
    <s v="SE3_STO"/>
    <x v="0"/>
    <s v="GBPR_COAL_VARTAN"/>
    <x v="0"/>
    <x v="21"/>
    <n v="114.963496307586"/>
    <n v="41961.676152268803"/>
    <n v="151062.03414816799"/>
  </r>
  <r>
    <x v="0"/>
    <x v="0"/>
    <x v="0"/>
    <x v="3"/>
    <x v="11"/>
    <s v="SE3_STO"/>
    <x v="0"/>
    <s v="GBPR_COAL_VARTAN"/>
    <x v="0"/>
    <x v="22"/>
    <n v="77.337559952868702"/>
    <n v="28228.2093827971"/>
    <n v="101621.55377807"/>
  </r>
  <r>
    <x v="0"/>
    <x v="0"/>
    <x v="0"/>
    <x v="3"/>
    <x v="11"/>
    <s v="SE3_STO"/>
    <x v="0"/>
    <s v="GBPR_COAL_VARTAN"/>
    <x v="0"/>
    <x v="23"/>
    <n v="2.1629864407145201"/>
    <n v="789.49005086080001"/>
    <n v="2842.1641830988801"/>
  </r>
  <r>
    <x v="0"/>
    <x v="0"/>
    <x v="0"/>
    <x v="3"/>
    <x v="11"/>
    <s v="SE3_STO"/>
    <x v="3"/>
    <s v="GETOH_ELECTRICBOILER"/>
    <x v="0"/>
    <x v="7"/>
    <n v="37.258824267306402"/>
    <n v="13599.470857566799"/>
    <n v="48958.095087240603"/>
  </r>
  <r>
    <x v="0"/>
    <x v="0"/>
    <x v="0"/>
    <x v="3"/>
    <x v="11"/>
    <s v="SE3_STO"/>
    <x v="3"/>
    <s v="GETOH_ELECTRICBOILER"/>
    <x v="0"/>
    <x v="8"/>
    <n v="33.1892575339754"/>
    <n v="12114.078999900999"/>
    <n v="43610.684399643702"/>
  </r>
  <r>
    <x v="0"/>
    <x v="0"/>
    <x v="0"/>
    <x v="3"/>
    <x v="11"/>
    <s v="SE3_STO"/>
    <x v="3"/>
    <s v="GETOH_ELECTRICBOILER"/>
    <x v="0"/>
    <x v="9"/>
    <n v="27.652511064741599"/>
    <n v="10093.1665386307"/>
    <n v="36335.399539070502"/>
  </r>
  <r>
    <x v="0"/>
    <x v="0"/>
    <x v="0"/>
    <x v="3"/>
    <x v="11"/>
    <s v="SE3_STO"/>
    <x v="3"/>
    <s v="GETOH_ELECTRICBOILER"/>
    <x v="0"/>
    <x v="10"/>
    <n v="43.275980022360699"/>
    <n v="15795.7327081616"/>
    <n v="56864.637749381902"/>
  </r>
  <r>
    <x v="0"/>
    <x v="0"/>
    <x v="0"/>
    <x v="3"/>
    <x v="11"/>
    <s v="SE3_STO"/>
    <x v="3"/>
    <s v="GETOH_ELECTRICBOILER"/>
    <x v="0"/>
    <x v="11"/>
    <n v="74.142157788424896"/>
    <n v="27061.8875927751"/>
    <n v="97422.795333990303"/>
  </r>
  <r>
    <x v="0"/>
    <x v="0"/>
    <x v="0"/>
    <x v="3"/>
    <x v="11"/>
    <s v="SE3_STO"/>
    <x v="3"/>
    <s v="GETOH_ELECTRICBOILER"/>
    <x v="0"/>
    <x v="12"/>
    <n v="63.562831605069299"/>
    <n v="23200.433535850301"/>
    <n v="83521.560729061093"/>
  </r>
  <r>
    <x v="0"/>
    <x v="0"/>
    <x v="0"/>
    <x v="3"/>
    <x v="11"/>
    <s v="SE3_STO"/>
    <x v="3"/>
    <s v="GETOH_ELECTRICBOILER"/>
    <x v="0"/>
    <x v="13"/>
    <n v="52.8458408631544"/>
    <n v="19288.731915051299"/>
    <n v="69439.4348941848"/>
  </r>
  <r>
    <x v="0"/>
    <x v="0"/>
    <x v="0"/>
    <x v="3"/>
    <x v="11"/>
    <s v="SE3_STO"/>
    <x v="3"/>
    <s v="GETOH_ELECTRICBOILER"/>
    <x v="0"/>
    <x v="14"/>
    <n v="40.829754909942601"/>
    <n v="14902.860542128999"/>
    <n v="53650.297951664499"/>
  </r>
  <r>
    <x v="0"/>
    <x v="0"/>
    <x v="0"/>
    <x v="3"/>
    <x v="11"/>
    <s v="SE3_STO"/>
    <x v="3"/>
    <s v="GETOH_ELECTRICBOILER"/>
    <x v="0"/>
    <x v="15"/>
    <n v="32.773370006783601"/>
    <n v="11962.280052476"/>
    <n v="43064.208188913697"/>
  </r>
  <r>
    <x v="0"/>
    <x v="0"/>
    <x v="0"/>
    <x v="3"/>
    <x v="11"/>
    <s v="SE3_STO"/>
    <x v="3"/>
    <s v="GETOH_ELECTRICBOILER"/>
    <x v="0"/>
    <x v="16"/>
    <n v="35.017013549618397"/>
    <n v="12781.209945610701"/>
    <n v="46012.355804198603"/>
  </r>
  <r>
    <x v="0"/>
    <x v="0"/>
    <x v="0"/>
    <x v="3"/>
    <x v="11"/>
    <s v="SE3_STO"/>
    <x v="3"/>
    <s v="GETOH_ELECTRICBOILER"/>
    <x v="0"/>
    <x v="17"/>
    <n v="36.670359540583497"/>
    <n v="13384.681232313"/>
    <n v="48184.852436326801"/>
  </r>
  <r>
    <x v="0"/>
    <x v="0"/>
    <x v="0"/>
    <x v="3"/>
    <x v="11"/>
    <s v="SE3_STO"/>
    <x v="3"/>
    <s v="GETOH_ELECTRICBOILER"/>
    <x v="0"/>
    <x v="18"/>
    <n v="29.4304379938465"/>
    <n v="10742.109867753999"/>
    <n v="38671.5955239143"/>
  </r>
  <r>
    <x v="0"/>
    <x v="0"/>
    <x v="0"/>
    <x v="3"/>
    <x v="11"/>
    <s v="SE3_STO"/>
    <x v="3"/>
    <s v="GETOH_ELECTRICBOILER"/>
    <x v="0"/>
    <x v="19"/>
    <n v="28.4764235252979"/>
    <n v="10393.894586733701"/>
    <n v="37418.020512241397"/>
  </r>
  <r>
    <x v="0"/>
    <x v="0"/>
    <x v="0"/>
    <x v="3"/>
    <x v="11"/>
    <s v="SE3_STO"/>
    <x v="3"/>
    <s v="GETOH_ELECTRICBOILER"/>
    <x v="0"/>
    <x v="20"/>
    <n v="8.4188469377246005"/>
    <n v="3072.8791322694801"/>
    <n v="11062.364876170101"/>
  </r>
  <r>
    <x v="0"/>
    <x v="0"/>
    <x v="0"/>
    <x v="3"/>
    <x v="11"/>
    <s v="SE3_STO"/>
    <x v="3"/>
    <s v="GETOH_HEATPUMP33"/>
    <x v="0"/>
    <x v="0"/>
    <n v="130.79893269977299"/>
    <n v="47741.610435417198"/>
    <n v="171869.79756750201"/>
  </r>
  <r>
    <x v="0"/>
    <x v="0"/>
    <x v="0"/>
    <x v="3"/>
    <x v="11"/>
    <s v="SE3_STO"/>
    <x v="3"/>
    <s v="GETOH_HEATPUMP33"/>
    <x v="0"/>
    <x v="1"/>
    <n v="142.36774468640499"/>
    <n v="51964.226810537803"/>
    <n v="187071.216517936"/>
  </r>
  <r>
    <x v="0"/>
    <x v="0"/>
    <x v="0"/>
    <x v="3"/>
    <x v="11"/>
    <s v="SE3_STO"/>
    <x v="3"/>
    <s v="GETOH_HEATPUMP33"/>
    <x v="0"/>
    <x v="2"/>
    <n v="141.97424613944"/>
    <n v="51820.599840895498"/>
    <n v="186554.15942722399"/>
  </r>
  <r>
    <x v="0"/>
    <x v="0"/>
    <x v="0"/>
    <x v="3"/>
    <x v="11"/>
    <s v="SE3_STO"/>
    <x v="3"/>
    <s v="GETOH_HEATPUMP33"/>
    <x v="0"/>
    <x v="3"/>
    <n v="162.233232029075"/>
    <n v="59215.129690612303"/>
    <n v="213174.466886204"/>
  </r>
  <r>
    <x v="0"/>
    <x v="0"/>
    <x v="0"/>
    <x v="3"/>
    <x v="11"/>
    <s v="SE3_STO"/>
    <x v="3"/>
    <s v="GETOH_HEATPUMP33"/>
    <x v="0"/>
    <x v="4"/>
    <n v="186.53151061605999"/>
    <n v="68084.001374861793"/>
    <n v="245102.40494950299"/>
  </r>
  <r>
    <x v="0"/>
    <x v="0"/>
    <x v="0"/>
    <x v="3"/>
    <x v="11"/>
    <s v="SE3_STO"/>
    <x v="3"/>
    <s v="GETOH_HEATPUMP33"/>
    <x v="0"/>
    <x v="5"/>
    <n v="274.71831405574102"/>
    <n v="100272.184630345"/>
    <n v="360979.86466924299"/>
  </r>
  <r>
    <x v="0"/>
    <x v="0"/>
    <x v="0"/>
    <x v="3"/>
    <x v="11"/>
    <s v="SE3_STO"/>
    <x v="3"/>
    <s v="GETOH_HEATPUMP33"/>
    <x v="0"/>
    <x v="6"/>
    <n v="339"/>
    <n v="123735"/>
    <n v="445446"/>
  </r>
  <r>
    <x v="0"/>
    <x v="0"/>
    <x v="0"/>
    <x v="3"/>
    <x v="11"/>
    <s v="SE3_STO"/>
    <x v="3"/>
    <s v="GETOH_HEATPUMP33"/>
    <x v="0"/>
    <x v="7"/>
    <n v="339"/>
    <n v="123735"/>
    <n v="445446"/>
  </r>
  <r>
    <x v="0"/>
    <x v="0"/>
    <x v="0"/>
    <x v="3"/>
    <x v="11"/>
    <s v="SE3_STO"/>
    <x v="3"/>
    <s v="GETOH_HEATPUMP33"/>
    <x v="0"/>
    <x v="8"/>
    <n v="339"/>
    <n v="123735"/>
    <n v="445446"/>
  </r>
  <r>
    <x v="0"/>
    <x v="0"/>
    <x v="0"/>
    <x v="3"/>
    <x v="11"/>
    <s v="SE3_STO"/>
    <x v="3"/>
    <s v="GETOH_HEATPUMP33"/>
    <x v="0"/>
    <x v="9"/>
    <n v="339"/>
    <n v="123735"/>
    <n v="445446"/>
  </r>
  <r>
    <x v="0"/>
    <x v="0"/>
    <x v="0"/>
    <x v="3"/>
    <x v="11"/>
    <s v="SE3_STO"/>
    <x v="3"/>
    <s v="GETOH_HEATPUMP33"/>
    <x v="0"/>
    <x v="10"/>
    <n v="339"/>
    <n v="123735"/>
    <n v="445446"/>
  </r>
  <r>
    <x v="0"/>
    <x v="0"/>
    <x v="0"/>
    <x v="3"/>
    <x v="11"/>
    <s v="SE3_STO"/>
    <x v="3"/>
    <s v="GETOH_HEATPUMP33"/>
    <x v="0"/>
    <x v="11"/>
    <n v="339"/>
    <n v="123735"/>
    <n v="445446"/>
  </r>
  <r>
    <x v="0"/>
    <x v="0"/>
    <x v="0"/>
    <x v="3"/>
    <x v="11"/>
    <s v="SE3_STO"/>
    <x v="3"/>
    <s v="GETOH_HEATPUMP33"/>
    <x v="0"/>
    <x v="12"/>
    <n v="339"/>
    <n v="123735"/>
    <n v="445446"/>
  </r>
  <r>
    <x v="0"/>
    <x v="0"/>
    <x v="0"/>
    <x v="3"/>
    <x v="11"/>
    <s v="SE3_STO"/>
    <x v="3"/>
    <s v="GETOH_HEATPUMP33"/>
    <x v="0"/>
    <x v="13"/>
    <n v="339"/>
    <n v="123735"/>
    <n v="445446"/>
  </r>
  <r>
    <x v="0"/>
    <x v="0"/>
    <x v="0"/>
    <x v="3"/>
    <x v="11"/>
    <s v="SE3_STO"/>
    <x v="3"/>
    <s v="GETOH_HEATPUMP33"/>
    <x v="0"/>
    <x v="14"/>
    <n v="339"/>
    <n v="123735"/>
    <n v="445446"/>
  </r>
  <r>
    <x v="0"/>
    <x v="0"/>
    <x v="0"/>
    <x v="3"/>
    <x v="11"/>
    <s v="SE3_STO"/>
    <x v="3"/>
    <s v="GETOH_HEATPUMP33"/>
    <x v="0"/>
    <x v="15"/>
    <n v="339"/>
    <n v="123735"/>
    <n v="445446"/>
  </r>
  <r>
    <x v="0"/>
    <x v="0"/>
    <x v="0"/>
    <x v="3"/>
    <x v="11"/>
    <s v="SE3_STO"/>
    <x v="3"/>
    <s v="GETOH_HEATPUMP33"/>
    <x v="0"/>
    <x v="16"/>
    <n v="339"/>
    <n v="123735"/>
    <n v="445446"/>
  </r>
  <r>
    <x v="0"/>
    <x v="0"/>
    <x v="0"/>
    <x v="3"/>
    <x v="11"/>
    <s v="SE3_STO"/>
    <x v="3"/>
    <s v="GETOH_HEATPUMP33"/>
    <x v="0"/>
    <x v="17"/>
    <n v="339"/>
    <n v="123735"/>
    <n v="445446"/>
  </r>
  <r>
    <x v="0"/>
    <x v="0"/>
    <x v="0"/>
    <x v="3"/>
    <x v="11"/>
    <s v="SE3_STO"/>
    <x v="3"/>
    <s v="GETOH_HEATPUMP33"/>
    <x v="0"/>
    <x v="18"/>
    <n v="339"/>
    <n v="123735"/>
    <n v="445446"/>
  </r>
  <r>
    <x v="0"/>
    <x v="0"/>
    <x v="0"/>
    <x v="3"/>
    <x v="11"/>
    <s v="SE3_STO"/>
    <x v="3"/>
    <s v="GETOH_HEATPUMP33"/>
    <x v="0"/>
    <x v="19"/>
    <n v="339"/>
    <n v="123735"/>
    <n v="445446"/>
  </r>
  <r>
    <x v="0"/>
    <x v="0"/>
    <x v="0"/>
    <x v="3"/>
    <x v="11"/>
    <s v="SE3_STO"/>
    <x v="3"/>
    <s v="GETOH_HEATPUMP33"/>
    <x v="0"/>
    <x v="20"/>
    <n v="339"/>
    <n v="123735"/>
    <n v="445446"/>
  </r>
  <r>
    <x v="0"/>
    <x v="0"/>
    <x v="0"/>
    <x v="3"/>
    <x v="11"/>
    <s v="SE3_STO"/>
    <x v="3"/>
    <s v="GETOH_HEATPUMP33"/>
    <x v="0"/>
    <x v="21"/>
    <n v="339"/>
    <n v="123735"/>
    <n v="445446"/>
  </r>
  <r>
    <x v="0"/>
    <x v="0"/>
    <x v="0"/>
    <x v="3"/>
    <x v="11"/>
    <s v="SE3_STO"/>
    <x v="3"/>
    <s v="GETOH_HEATPUMP33"/>
    <x v="0"/>
    <x v="22"/>
    <n v="339"/>
    <n v="123735"/>
    <n v="445446"/>
  </r>
  <r>
    <x v="0"/>
    <x v="0"/>
    <x v="0"/>
    <x v="3"/>
    <x v="11"/>
    <s v="SE3_STO"/>
    <x v="3"/>
    <s v="GETOH_HEATPUMP33"/>
    <x v="0"/>
    <x v="23"/>
    <n v="339"/>
    <n v="123735"/>
    <n v="445446"/>
  </r>
  <r>
    <x v="0"/>
    <x v="0"/>
    <x v="0"/>
    <x v="3"/>
    <x v="11"/>
    <s v="SE3_STO"/>
    <x v="1"/>
    <s v="GBPR_MUNIWASTE_HOGDALEN"/>
    <x v="0"/>
    <x v="0"/>
    <n v="108.09169259727101"/>
    <n v="39453.467798004"/>
    <n v="142032.484072814"/>
  </r>
  <r>
    <x v="0"/>
    <x v="0"/>
    <x v="0"/>
    <x v="3"/>
    <x v="11"/>
    <s v="SE3_STO"/>
    <x v="1"/>
    <s v="GBPR_MUNIWASTE_HOGDALEN"/>
    <x v="0"/>
    <x v="1"/>
    <n v="108.09169259727101"/>
    <n v="39453.467798004"/>
    <n v="142032.484072814"/>
  </r>
  <r>
    <x v="0"/>
    <x v="0"/>
    <x v="0"/>
    <x v="3"/>
    <x v="11"/>
    <s v="SE3_STO"/>
    <x v="1"/>
    <s v="GBPR_MUNIWASTE_HOGDALEN"/>
    <x v="0"/>
    <x v="2"/>
    <n v="108.09169259727101"/>
    <n v="39453.467798004"/>
    <n v="142032.484072814"/>
  </r>
  <r>
    <x v="0"/>
    <x v="0"/>
    <x v="0"/>
    <x v="3"/>
    <x v="11"/>
    <s v="SE3_STO"/>
    <x v="1"/>
    <s v="GBPR_MUNIWASTE_HOGDALEN"/>
    <x v="0"/>
    <x v="3"/>
    <n v="108.09169259727101"/>
    <n v="39453.467798004"/>
    <n v="142032.484072814"/>
  </r>
  <r>
    <x v="0"/>
    <x v="0"/>
    <x v="0"/>
    <x v="3"/>
    <x v="11"/>
    <s v="SE3_STO"/>
    <x v="1"/>
    <s v="GBPR_MUNIWASTE_HOGDALEN"/>
    <x v="0"/>
    <x v="4"/>
    <n v="108.09169259727101"/>
    <n v="39453.467798004"/>
    <n v="142032.484072814"/>
  </r>
  <r>
    <x v="0"/>
    <x v="0"/>
    <x v="0"/>
    <x v="3"/>
    <x v="11"/>
    <s v="SE3_STO"/>
    <x v="1"/>
    <s v="GBPR_MUNIWASTE_HOGDALEN"/>
    <x v="0"/>
    <x v="5"/>
    <n v="108.09169259727101"/>
    <n v="39453.467798004"/>
    <n v="142032.484072814"/>
  </r>
  <r>
    <x v="0"/>
    <x v="0"/>
    <x v="0"/>
    <x v="3"/>
    <x v="11"/>
    <s v="SE3_STO"/>
    <x v="1"/>
    <s v="GBPR_MUNIWASTE_HOGDALEN"/>
    <x v="0"/>
    <x v="6"/>
    <n v="108.09169259727101"/>
    <n v="39453.467798004"/>
    <n v="142032.484072814"/>
  </r>
  <r>
    <x v="0"/>
    <x v="0"/>
    <x v="0"/>
    <x v="3"/>
    <x v="11"/>
    <s v="SE3_STO"/>
    <x v="1"/>
    <s v="GBPR_MUNIWASTE_HOGDALEN"/>
    <x v="0"/>
    <x v="7"/>
    <n v="108.09169259727101"/>
    <n v="39453.467798004"/>
    <n v="142032.484072814"/>
  </r>
  <r>
    <x v="0"/>
    <x v="0"/>
    <x v="0"/>
    <x v="3"/>
    <x v="11"/>
    <s v="SE3_STO"/>
    <x v="1"/>
    <s v="GBPR_MUNIWASTE_HOGDALEN"/>
    <x v="0"/>
    <x v="8"/>
    <n v="108.09169259727101"/>
    <n v="39453.467798004"/>
    <n v="142032.484072814"/>
  </r>
  <r>
    <x v="0"/>
    <x v="0"/>
    <x v="0"/>
    <x v="3"/>
    <x v="11"/>
    <s v="SE3_STO"/>
    <x v="1"/>
    <s v="GBPR_MUNIWASTE_HOGDALEN"/>
    <x v="0"/>
    <x v="9"/>
    <n v="108.09169259727101"/>
    <n v="39453.467798004"/>
    <n v="142032.484072814"/>
  </r>
  <r>
    <x v="0"/>
    <x v="0"/>
    <x v="0"/>
    <x v="3"/>
    <x v="11"/>
    <s v="SE3_STO"/>
    <x v="1"/>
    <s v="GBPR_MUNIWASTE_HOGDALEN"/>
    <x v="0"/>
    <x v="10"/>
    <n v="108.09169259727101"/>
    <n v="39453.467798004"/>
    <n v="142032.484072814"/>
  </r>
  <r>
    <x v="0"/>
    <x v="0"/>
    <x v="0"/>
    <x v="3"/>
    <x v="11"/>
    <s v="SE3_STO"/>
    <x v="1"/>
    <s v="GBPR_MUNIWASTE_HOGDALEN"/>
    <x v="0"/>
    <x v="11"/>
    <n v="108.09169259727101"/>
    <n v="39453.467798004"/>
    <n v="142032.484072814"/>
  </r>
  <r>
    <x v="0"/>
    <x v="0"/>
    <x v="0"/>
    <x v="3"/>
    <x v="11"/>
    <s v="SE3_STO"/>
    <x v="1"/>
    <s v="GBPR_MUNIWASTE_HOGDALEN"/>
    <x v="0"/>
    <x v="12"/>
    <n v="108.09169259727101"/>
    <n v="39453.467798004"/>
    <n v="142032.484072814"/>
  </r>
  <r>
    <x v="0"/>
    <x v="0"/>
    <x v="0"/>
    <x v="3"/>
    <x v="11"/>
    <s v="SE3_STO"/>
    <x v="1"/>
    <s v="GBPR_MUNIWASTE_HOGDALEN"/>
    <x v="0"/>
    <x v="13"/>
    <n v="108.09169259727101"/>
    <n v="39453.467798004"/>
    <n v="142032.484072814"/>
  </r>
  <r>
    <x v="0"/>
    <x v="0"/>
    <x v="0"/>
    <x v="3"/>
    <x v="11"/>
    <s v="SE3_STO"/>
    <x v="1"/>
    <s v="GBPR_MUNIWASTE_HOGDALEN"/>
    <x v="0"/>
    <x v="14"/>
    <n v="108.09169259727101"/>
    <n v="39453.467798004"/>
    <n v="142032.484072814"/>
  </r>
  <r>
    <x v="0"/>
    <x v="0"/>
    <x v="0"/>
    <x v="3"/>
    <x v="11"/>
    <s v="SE3_STO"/>
    <x v="1"/>
    <s v="GBPR_MUNIWASTE_HOGDALEN"/>
    <x v="0"/>
    <x v="15"/>
    <n v="108.09169259727101"/>
    <n v="39453.467798004"/>
    <n v="142032.484072814"/>
  </r>
  <r>
    <x v="0"/>
    <x v="0"/>
    <x v="0"/>
    <x v="3"/>
    <x v="11"/>
    <s v="SE3_STO"/>
    <x v="1"/>
    <s v="GBPR_MUNIWASTE_HOGDALEN"/>
    <x v="0"/>
    <x v="16"/>
    <n v="108.09169259727101"/>
    <n v="39453.467798004"/>
    <n v="142032.484072814"/>
  </r>
  <r>
    <x v="0"/>
    <x v="0"/>
    <x v="0"/>
    <x v="3"/>
    <x v="11"/>
    <s v="SE3_STO"/>
    <x v="1"/>
    <s v="GBPR_MUNIWASTE_HOGDALEN"/>
    <x v="0"/>
    <x v="17"/>
    <n v="108.09169259727101"/>
    <n v="39453.467798004"/>
    <n v="142032.484072814"/>
  </r>
  <r>
    <x v="0"/>
    <x v="0"/>
    <x v="0"/>
    <x v="3"/>
    <x v="11"/>
    <s v="SE3_STO"/>
    <x v="1"/>
    <s v="GBPR_MUNIWASTE_HOGDALEN"/>
    <x v="0"/>
    <x v="18"/>
    <n v="108.09169259727101"/>
    <n v="39453.467798004"/>
    <n v="142032.484072814"/>
  </r>
  <r>
    <x v="0"/>
    <x v="0"/>
    <x v="0"/>
    <x v="3"/>
    <x v="11"/>
    <s v="SE3_STO"/>
    <x v="1"/>
    <s v="GBPR_MUNIWASTE_HOGDALEN"/>
    <x v="0"/>
    <x v="19"/>
    <n v="108.09169259727101"/>
    <n v="39453.467798004"/>
    <n v="142032.484072814"/>
  </r>
  <r>
    <x v="0"/>
    <x v="0"/>
    <x v="0"/>
    <x v="3"/>
    <x v="11"/>
    <s v="SE3_STO"/>
    <x v="1"/>
    <s v="GBPR_MUNIWASTE_HOGDALEN"/>
    <x v="0"/>
    <x v="20"/>
    <n v="108.09169259727101"/>
    <n v="39453.467798004"/>
    <n v="142032.484072814"/>
  </r>
  <r>
    <x v="0"/>
    <x v="0"/>
    <x v="0"/>
    <x v="3"/>
    <x v="11"/>
    <s v="SE3_STO"/>
    <x v="1"/>
    <s v="GBPR_MUNIWASTE_HOGDALEN"/>
    <x v="0"/>
    <x v="21"/>
    <n v="108.09169259727101"/>
    <n v="39453.467798004"/>
    <n v="142032.484072814"/>
  </r>
  <r>
    <x v="0"/>
    <x v="0"/>
    <x v="0"/>
    <x v="3"/>
    <x v="11"/>
    <s v="SE3_STO"/>
    <x v="1"/>
    <s v="GBPR_MUNIWASTE_HOGDALEN"/>
    <x v="0"/>
    <x v="22"/>
    <n v="108.09169259727101"/>
    <n v="39453.467798004"/>
    <n v="142032.484072814"/>
  </r>
  <r>
    <x v="0"/>
    <x v="0"/>
    <x v="0"/>
    <x v="3"/>
    <x v="11"/>
    <s v="SE3_STO"/>
    <x v="1"/>
    <s v="GBPR_MUNIWASTE_HOGDALEN"/>
    <x v="0"/>
    <x v="23"/>
    <n v="108.09169259727101"/>
    <n v="39453.467798004"/>
    <n v="142032.484072814"/>
  </r>
  <r>
    <x v="0"/>
    <x v="0"/>
    <x v="0"/>
    <x v="3"/>
    <x v="11"/>
    <s v="SE3_STO"/>
    <x v="1"/>
    <s v="GHOB_MUNIWASTE"/>
    <x v="0"/>
    <x v="0"/>
    <n v="102.818927104721"/>
    <n v="37528.908393223297"/>
    <n v="135104.07021560401"/>
  </r>
  <r>
    <x v="0"/>
    <x v="0"/>
    <x v="0"/>
    <x v="3"/>
    <x v="11"/>
    <s v="SE3_STO"/>
    <x v="1"/>
    <s v="GHOB_MUNIWASTE"/>
    <x v="0"/>
    <x v="1"/>
    <n v="102.818927104721"/>
    <n v="37528.908393223297"/>
    <n v="135104.07021560401"/>
  </r>
  <r>
    <x v="0"/>
    <x v="0"/>
    <x v="0"/>
    <x v="3"/>
    <x v="11"/>
    <s v="SE3_STO"/>
    <x v="1"/>
    <s v="GHOB_MUNIWASTE"/>
    <x v="0"/>
    <x v="2"/>
    <n v="102.818927104721"/>
    <n v="37528.908393223297"/>
    <n v="135104.07021560401"/>
  </r>
  <r>
    <x v="0"/>
    <x v="0"/>
    <x v="0"/>
    <x v="3"/>
    <x v="11"/>
    <s v="SE3_STO"/>
    <x v="1"/>
    <s v="GHOB_MUNIWASTE"/>
    <x v="0"/>
    <x v="3"/>
    <n v="102.818927104721"/>
    <n v="37528.908393223297"/>
    <n v="135104.07021560401"/>
  </r>
  <r>
    <x v="0"/>
    <x v="0"/>
    <x v="0"/>
    <x v="3"/>
    <x v="11"/>
    <s v="SE3_STO"/>
    <x v="1"/>
    <s v="GHOB_MUNIWASTE"/>
    <x v="0"/>
    <x v="4"/>
    <n v="102.818927104721"/>
    <n v="37528.908393223297"/>
    <n v="135104.07021560401"/>
  </r>
  <r>
    <x v="0"/>
    <x v="0"/>
    <x v="0"/>
    <x v="3"/>
    <x v="11"/>
    <s v="SE3_STO"/>
    <x v="1"/>
    <s v="GHOB_MUNIWASTE"/>
    <x v="0"/>
    <x v="5"/>
    <n v="102.818927104721"/>
    <n v="37528.908393223297"/>
    <n v="135104.07021560401"/>
  </r>
  <r>
    <x v="0"/>
    <x v="0"/>
    <x v="0"/>
    <x v="3"/>
    <x v="11"/>
    <s v="SE3_STO"/>
    <x v="1"/>
    <s v="GHOB_MUNIWASTE"/>
    <x v="0"/>
    <x v="6"/>
    <n v="102.818927104721"/>
    <n v="37528.908393223297"/>
    <n v="135104.07021560401"/>
  </r>
  <r>
    <x v="0"/>
    <x v="0"/>
    <x v="0"/>
    <x v="3"/>
    <x v="11"/>
    <s v="SE3_STO"/>
    <x v="1"/>
    <s v="GHOB_MUNIWASTE"/>
    <x v="0"/>
    <x v="7"/>
    <n v="102.818927104721"/>
    <n v="37528.908393223297"/>
    <n v="135104.07021560401"/>
  </r>
  <r>
    <x v="0"/>
    <x v="0"/>
    <x v="0"/>
    <x v="3"/>
    <x v="11"/>
    <s v="SE3_STO"/>
    <x v="1"/>
    <s v="GHOB_MUNIWASTE"/>
    <x v="0"/>
    <x v="8"/>
    <n v="102.818927104721"/>
    <n v="37528.908393223297"/>
    <n v="135104.07021560401"/>
  </r>
  <r>
    <x v="0"/>
    <x v="0"/>
    <x v="0"/>
    <x v="3"/>
    <x v="11"/>
    <s v="SE3_STO"/>
    <x v="1"/>
    <s v="GHOB_MUNIWASTE"/>
    <x v="0"/>
    <x v="9"/>
    <n v="102.818927104721"/>
    <n v="37528.908393223297"/>
    <n v="135104.07021560401"/>
  </r>
  <r>
    <x v="0"/>
    <x v="0"/>
    <x v="0"/>
    <x v="3"/>
    <x v="11"/>
    <s v="SE3_STO"/>
    <x v="1"/>
    <s v="GHOB_MUNIWASTE"/>
    <x v="0"/>
    <x v="10"/>
    <n v="102.818927104721"/>
    <n v="37528.908393223297"/>
    <n v="135104.07021560401"/>
  </r>
  <r>
    <x v="0"/>
    <x v="0"/>
    <x v="0"/>
    <x v="3"/>
    <x v="11"/>
    <s v="SE3_STO"/>
    <x v="1"/>
    <s v="GHOB_MUNIWASTE"/>
    <x v="0"/>
    <x v="11"/>
    <n v="102.818927104721"/>
    <n v="37528.908393223297"/>
    <n v="135104.07021560401"/>
  </r>
  <r>
    <x v="0"/>
    <x v="0"/>
    <x v="0"/>
    <x v="3"/>
    <x v="11"/>
    <s v="SE3_STO"/>
    <x v="1"/>
    <s v="GHOB_MUNIWASTE"/>
    <x v="0"/>
    <x v="12"/>
    <n v="102.818927104721"/>
    <n v="37528.908393223297"/>
    <n v="135104.07021560401"/>
  </r>
  <r>
    <x v="0"/>
    <x v="0"/>
    <x v="0"/>
    <x v="3"/>
    <x v="11"/>
    <s v="SE3_STO"/>
    <x v="1"/>
    <s v="GHOB_MUNIWASTE"/>
    <x v="0"/>
    <x v="13"/>
    <n v="102.818927104721"/>
    <n v="37528.908393223297"/>
    <n v="135104.07021560401"/>
  </r>
  <r>
    <x v="0"/>
    <x v="0"/>
    <x v="0"/>
    <x v="3"/>
    <x v="11"/>
    <s v="SE3_STO"/>
    <x v="1"/>
    <s v="GHOB_MUNIWASTE"/>
    <x v="0"/>
    <x v="14"/>
    <n v="102.818927104721"/>
    <n v="37528.908393223297"/>
    <n v="135104.07021560401"/>
  </r>
  <r>
    <x v="0"/>
    <x v="0"/>
    <x v="0"/>
    <x v="3"/>
    <x v="11"/>
    <s v="SE3_STO"/>
    <x v="1"/>
    <s v="GHOB_MUNIWASTE"/>
    <x v="0"/>
    <x v="15"/>
    <n v="102.818927104721"/>
    <n v="37528.908393223297"/>
    <n v="135104.07021560401"/>
  </r>
  <r>
    <x v="0"/>
    <x v="0"/>
    <x v="0"/>
    <x v="3"/>
    <x v="11"/>
    <s v="SE3_STO"/>
    <x v="1"/>
    <s v="GHOB_MUNIWASTE"/>
    <x v="0"/>
    <x v="16"/>
    <n v="102.818927104721"/>
    <n v="37528.908393223297"/>
    <n v="135104.07021560401"/>
  </r>
  <r>
    <x v="0"/>
    <x v="0"/>
    <x v="0"/>
    <x v="3"/>
    <x v="11"/>
    <s v="SE3_STO"/>
    <x v="1"/>
    <s v="GHOB_MUNIWASTE"/>
    <x v="0"/>
    <x v="17"/>
    <n v="102.818927104721"/>
    <n v="37528.908393223297"/>
    <n v="135104.07021560401"/>
  </r>
  <r>
    <x v="0"/>
    <x v="0"/>
    <x v="0"/>
    <x v="3"/>
    <x v="11"/>
    <s v="SE3_STO"/>
    <x v="1"/>
    <s v="GHOB_MUNIWASTE"/>
    <x v="0"/>
    <x v="18"/>
    <n v="102.818927104721"/>
    <n v="37528.908393223297"/>
    <n v="135104.07021560401"/>
  </r>
  <r>
    <x v="0"/>
    <x v="0"/>
    <x v="0"/>
    <x v="3"/>
    <x v="11"/>
    <s v="SE3_STO"/>
    <x v="1"/>
    <s v="GHOB_MUNIWASTE"/>
    <x v="0"/>
    <x v="19"/>
    <n v="102.818927104721"/>
    <n v="37528.908393223297"/>
    <n v="135104.07021560401"/>
  </r>
  <r>
    <x v="0"/>
    <x v="0"/>
    <x v="0"/>
    <x v="3"/>
    <x v="11"/>
    <s v="SE3_STO"/>
    <x v="1"/>
    <s v="GHOB_MUNIWASTE"/>
    <x v="0"/>
    <x v="20"/>
    <n v="102.818927104721"/>
    <n v="37528.908393223297"/>
    <n v="135104.07021560401"/>
  </r>
  <r>
    <x v="0"/>
    <x v="0"/>
    <x v="0"/>
    <x v="3"/>
    <x v="11"/>
    <s v="SE3_STO"/>
    <x v="1"/>
    <s v="GHOB_MUNIWASTE"/>
    <x v="0"/>
    <x v="21"/>
    <n v="102.818927104721"/>
    <n v="37528.908393223297"/>
    <n v="135104.07021560401"/>
  </r>
  <r>
    <x v="0"/>
    <x v="0"/>
    <x v="0"/>
    <x v="3"/>
    <x v="11"/>
    <s v="SE3_STO"/>
    <x v="1"/>
    <s v="GHOB_MUNIWASTE"/>
    <x v="0"/>
    <x v="22"/>
    <n v="102.818927104721"/>
    <n v="37528.908393223297"/>
    <n v="135104.07021560401"/>
  </r>
  <r>
    <x v="0"/>
    <x v="0"/>
    <x v="0"/>
    <x v="3"/>
    <x v="11"/>
    <s v="SE3_STO"/>
    <x v="1"/>
    <s v="GHOB_MUNIWASTE"/>
    <x v="0"/>
    <x v="23"/>
    <n v="102.818927104721"/>
    <n v="37528.908393223297"/>
    <n v="135104.07021560401"/>
  </r>
  <r>
    <x v="0"/>
    <x v="0"/>
    <x v="0"/>
    <x v="3"/>
    <x v="11"/>
    <s v="SE3_STO"/>
    <x v="7"/>
    <s v="GBPR_WOODWASTE"/>
    <x v="0"/>
    <x v="0"/>
    <n v="162.11743848870299"/>
    <n v="59172.865048376501"/>
    <n v="213022.31417415501"/>
  </r>
  <r>
    <x v="0"/>
    <x v="0"/>
    <x v="0"/>
    <x v="3"/>
    <x v="11"/>
    <s v="SE3_STO"/>
    <x v="7"/>
    <s v="GBPR_WOODWASTE"/>
    <x v="0"/>
    <x v="1"/>
    <n v="162.11743848870299"/>
    <n v="59172.865048376501"/>
    <n v="213022.31417415501"/>
  </r>
  <r>
    <x v="0"/>
    <x v="0"/>
    <x v="0"/>
    <x v="3"/>
    <x v="11"/>
    <s v="SE3_STO"/>
    <x v="7"/>
    <s v="GBPR_WOODWASTE"/>
    <x v="0"/>
    <x v="2"/>
    <n v="162.11743848870299"/>
    <n v="59172.865048376501"/>
    <n v="213022.31417415501"/>
  </r>
  <r>
    <x v="0"/>
    <x v="0"/>
    <x v="0"/>
    <x v="3"/>
    <x v="11"/>
    <s v="SE3_STO"/>
    <x v="7"/>
    <s v="GBPR_WOODWASTE"/>
    <x v="0"/>
    <x v="3"/>
    <n v="162.11743848870299"/>
    <n v="59172.865048376501"/>
    <n v="213022.31417415501"/>
  </r>
  <r>
    <x v="0"/>
    <x v="0"/>
    <x v="0"/>
    <x v="3"/>
    <x v="11"/>
    <s v="SE3_STO"/>
    <x v="7"/>
    <s v="GBPR_WOODWASTE"/>
    <x v="0"/>
    <x v="4"/>
    <n v="162.11743848870299"/>
    <n v="59172.865048376501"/>
    <n v="213022.31417415501"/>
  </r>
  <r>
    <x v="0"/>
    <x v="0"/>
    <x v="0"/>
    <x v="3"/>
    <x v="11"/>
    <s v="SE3_STO"/>
    <x v="7"/>
    <s v="GBPR_WOODWASTE"/>
    <x v="0"/>
    <x v="5"/>
    <n v="162.11743848870299"/>
    <n v="59172.865048376501"/>
    <n v="213022.31417415501"/>
  </r>
  <r>
    <x v="0"/>
    <x v="0"/>
    <x v="0"/>
    <x v="3"/>
    <x v="11"/>
    <s v="SE3_STO"/>
    <x v="7"/>
    <s v="GBPR_WOODWASTE"/>
    <x v="0"/>
    <x v="6"/>
    <n v="162.11743848870299"/>
    <n v="59172.865048376501"/>
    <n v="213022.31417415501"/>
  </r>
  <r>
    <x v="0"/>
    <x v="0"/>
    <x v="0"/>
    <x v="3"/>
    <x v="11"/>
    <s v="SE3_STO"/>
    <x v="7"/>
    <s v="GBPR_WOODWASTE"/>
    <x v="0"/>
    <x v="7"/>
    <n v="162.11743848870299"/>
    <n v="59172.865048376501"/>
    <n v="213022.31417415501"/>
  </r>
  <r>
    <x v="0"/>
    <x v="0"/>
    <x v="0"/>
    <x v="3"/>
    <x v="11"/>
    <s v="SE3_STO"/>
    <x v="7"/>
    <s v="GBPR_WOODWASTE"/>
    <x v="0"/>
    <x v="8"/>
    <n v="162.11743848870299"/>
    <n v="59172.865048376501"/>
    <n v="213022.31417415501"/>
  </r>
  <r>
    <x v="0"/>
    <x v="0"/>
    <x v="0"/>
    <x v="3"/>
    <x v="11"/>
    <s v="SE3_STO"/>
    <x v="7"/>
    <s v="GBPR_WOODWASTE"/>
    <x v="0"/>
    <x v="9"/>
    <n v="162.11743848870299"/>
    <n v="59172.865048376501"/>
    <n v="213022.31417415501"/>
  </r>
  <r>
    <x v="0"/>
    <x v="0"/>
    <x v="0"/>
    <x v="3"/>
    <x v="11"/>
    <s v="SE3_STO"/>
    <x v="7"/>
    <s v="GBPR_WOODWASTE"/>
    <x v="0"/>
    <x v="10"/>
    <n v="162.11743848870299"/>
    <n v="59172.865048376501"/>
    <n v="213022.31417415501"/>
  </r>
  <r>
    <x v="0"/>
    <x v="0"/>
    <x v="0"/>
    <x v="3"/>
    <x v="11"/>
    <s v="SE3_STO"/>
    <x v="7"/>
    <s v="GBPR_WOODWASTE"/>
    <x v="0"/>
    <x v="11"/>
    <n v="162.11743848870299"/>
    <n v="59172.865048376501"/>
    <n v="213022.31417415501"/>
  </r>
  <r>
    <x v="0"/>
    <x v="0"/>
    <x v="0"/>
    <x v="3"/>
    <x v="11"/>
    <s v="SE3_STO"/>
    <x v="7"/>
    <s v="GBPR_WOODWASTE"/>
    <x v="0"/>
    <x v="12"/>
    <n v="162.11743848870299"/>
    <n v="59172.865048376501"/>
    <n v="213022.31417415501"/>
  </r>
  <r>
    <x v="0"/>
    <x v="0"/>
    <x v="0"/>
    <x v="3"/>
    <x v="11"/>
    <s v="SE3_STO"/>
    <x v="7"/>
    <s v="GBPR_WOODWASTE"/>
    <x v="0"/>
    <x v="13"/>
    <n v="162.11743848870299"/>
    <n v="59172.865048376501"/>
    <n v="213022.31417415501"/>
  </r>
  <r>
    <x v="0"/>
    <x v="0"/>
    <x v="0"/>
    <x v="3"/>
    <x v="11"/>
    <s v="SE3_STO"/>
    <x v="7"/>
    <s v="GBPR_WOODWASTE"/>
    <x v="0"/>
    <x v="14"/>
    <n v="162.11743848870299"/>
    <n v="59172.865048376501"/>
    <n v="213022.31417415501"/>
  </r>
  <r>
    <x v="0"/>
    <x v="0"/>
    <x v="0"/>
    <x v="3"/>
    <x v="11"/>
    <s v="SE3_STO"/>
    <x v="7"/>
    <s v="GBPR_WOODWASTE"/>
    <x v="0"/>
    <x v="15"/>
    <n v="162.11743848870299"/>
    <n v="59172.865048376501"/>
    <n v="213022.31417415501"/>
  </r>
  <r>
    <x v="0"/>
    <x v="0"/>
    <x v="0"/>
    <x v="3"/>
    <x v="11"/>
    <s v="SE3_STO"/>
    <x v="7"/>
    <s v="GBPR_WOODWASTE"/>
    <x v="0"/>
    <x v="16"/>
    <n v="162.11743848870299"/>
    <n v="59172.865048376501"/>
    <n v="213022.31417415501"/>
  </r>
  <r>
    <x v="0"/>
    <x v="0"/>
    <x v="0"/>
    <x v="3"/>
    <x v="11"/>
    <s v="SE3_STO"/>
    <x v="7"/>
    <s v="GBPR_WOODWASTE"/>
    <x v="0"/>
    <x v="17"/>
    <n v="162.11743848870299"/>
    <n v="59172.865048376501"/>
    <n v="213022.31417415501"/>
  </r>
  <r>
    <x v="0"/>
    <x v="0"/>
    <x v="0"/>
    <x v="3"/>
    <x v="11"/>
    <s v="SE3_STO"/>
    <x v="7"/>
    <s v="GBPR_WOODWASTE"/>
    <x v="0"/>
    <x v="18"/>
    <n v="162.11743848870299"/>
    <n v="59172.865048376501"/>
    <n v="213022.31417415501"/>
  </r>
  <r>
    <x v="0"/>
    <x v="0"/>
    <x v="0"/>
    <x v="3"/>
    <x v="11"/>
    <s v="SE3_STO"/>
    <x v="7"/>
    <s v="GBPR_WOODWASTE"/>
    <x v="0"/>
    <x v="19"/>
    <n v="162.11743848870299"/>
    <n v="59172.865048376501"/>
    <n v="213022.31417415501"/>
  </r>
  <r>
    <x v="0"/>
    <x v="0"/>
    <x v="0"/>
    <x v="3"/>
    <x v="11"/>
    <s v="SE3_STO"/>
    <x v="7"/>
    <s v="GBPR_WOODWASTE"/>
    <x v="0"/>
    <x v="20"/>
    <n v="162.11743848870299"/>
    <n v="59172.865048376501"/>
    <n v="213022.31417415501"/>
  </r>
  <r>
    <x v="0"/>
    <x v="0"/>
    <x v="0"/>
    <x v="3"/>
    <x v="11"/>
    <s v="SE3_STO"/>
    <x v="7"/>
    <s v="GBPR_WOODWASTE"/>
    <x v="0"/>
    <x v="21"/>
    <n v="162.11743848870299"/>
    <n v="59172.865048376501"/>
    <n v="213022.31417415501"/>
  </r>
  <r>
    <x v="0"/>
    <x v="0"/>
    <x v="0"/>
    <x v="3"/>
    <x v="11"/>
    <s v="SE3_STO"/>
    <x v="7"/>
    <s v="GBPR_WOODWASTE"/>
    <x v="0"/>
    <x v="22"/>
    <n v="162.11743848870299"/>
    <n v="59172.865048376501"/>
    <n v="213022.31417415501"/>
  </r>
  <r>
    <x v="0"/>
    <x v="0"/>
    <x v="0"/>
    <x v="3"/>
    <x v="11"/>
    <s v="SE3_STO"/>
    <x v="7"/>
    <s v="GBPR_WOODWASTE"/>
    <x v="0"/>
    <x v="23"/>
    <n v="162.11743848870299"/>
    <n v="59172.865048376501"/>
    <n v="213022.31417415501"/>
  </r>
  <r>
    <x v="0"/>
    <x v="0"/>
    <x v="0"/>
    <x v="3"/>
    <x v="11"/>
    <s v="SE3_STO"/>
    <x v="7"/>
    <s v="GBPR_WOODWASTE_BRISTA"/>
    <x v="0"/>
    <x v="0"/>
    <n v="100.133419721443"/>
    <n v="36548.6981983269"/>
    <n v="131575.31351397699"/>
  </r>
  <r>
    <x v="0"/>
    <x v="0"/>
    <x v="0"/>
    <x v="3"/>
    <x v="11"/>
    <s v="SE3_STO"/>
    <x v="7"/>
    <s v="GBPR_WOODWASTE_BRISTA"/>
    <x v="0"/>
    <x v="1"/>
    <n v="100.133419721443"/>
    <n v="36548.6981983269"/>
    <n v="131575.31351397699"/>
  </r>
  <r>
    <x v="0"/>
    <x v="0"/>
    <x v="0"/>
    <x v="3"/>
    <x v="11"/>
    <s v="SE3_STO"/>
    <x v="7"/>
    <s v="GBPR_WOODWASTE_BRISTA"/>
    <x v="0"/>
    <x v="2"/>
    <n v="100.133419721443"/>
    <n v="36548.6981983269"/>
    <n v="131575.31351397699"/>
  </r>
  <r>
    <x v="0"/>
    <x v="0"/>
    <x v="0"/>
    <x v="3"/>
    <x v="11"/>
    <s v="SE3_STO"/>
    <x v="7"/>
    <s v="GBPR_WOODWASTE_BRISTA"/>
    <x v="0"/>
    <x v="3"/>
    <n v="100.133419721443"/>
    <n v="36548.6981983269"/>
    <n v="131575.31351397699"/>
  </r>
  <r>
    <x v="0"/>
    <x v="0"/>
    <x v="0"/>
    <x v="3"/>
    <x v="11"/>
    <s v="SE3_STO"/>
    <x v="7"/>
    <s v="GBPR_WOODWASTE_BRISTA"/>
    <x v="0"/>
    <x v="4"/>
    <n v="100.133419721443"/>
    <n v="36548.6981983269"/>
    <n v="131575.31351397699"/>
  </r>
  <r>
    <x v="0"/>
    <x v="0"/>
    <x v="0"/>
    <x v="3"/>
    <x v="11"/>
    <s v="SE3_STO"/>
    <x v="7"/>
    <s v="GBPR_WOODWASTE_BRISTA"/>
    <x v="0"/>
    <x v="5"/>
    <n v="100.133419721443"/>
    <n v="36548.6981983269"/>
    <n v="131575.31351397699"/>
  </r>
  <r>
    <x v="0"/>
    <x v="0"/>
    <x v="0"/>
    <x v="3"/>
    <x v="11"/>
    <s v="SE3_STO"/>
    <x v="7"/>
    <s v="GBPR_WOODWASTE_BRISTA"/>
    <x v="0"/>
    <x v="6"/>
    <n v="100.133419721443"/>
    <n v="36548.6981983269"/>
    <n v="131575.31351397699"/>
  </r>
  <r>
    <x v="0"/>
    <x v="0"/>
    <x v="0"/>
    <x v="3"/>
    <x v="11"/>
    <s v="SE3_STO"/>
    <x v="7"/>
    <s v="GBPR_WOODWASTE_BRISTA"/>
    <x v="0"/>
    <x v="7"/>
    <n v="100.133419721443"/>
    <n v="36548.6981983269"/>
    <n v="131575.31351397699"/>
  </r>
  <r>
    <x v="0"/>
    <x v="0"/>
    <x v="0"/>
    <x v="3"/>
    <x v="11"/>
    <s v="SE3_STO"/>
    <x v="7"/>
    <s v="GBPR_WOODWASTE_BRISTA"/>
    <x v="0"/>
    <x v="8"/>
    <n v="100.133419721443"/>
    <n v="36548.6981983269"/>
    <n v="131575.31351397699"/>
  </r>
  <r>
    <x v="0"/>
    <x v="0"/>
    <x v="0"/>
    <x v="3"/>
    <x v="11"/>
    <s v="SE3_STO"/>
    <x v="7"/>
    <s v="GBPR_WOODWASTE_BRISTA"/>
    <x v="0"/>
    <x v="9"/>
    <n v="100.133419721443"/>
    <n v="36548.6981983269"/>
    <n v="131575.31351397699"/>
  </r>
  <r>
    <x v="0"/>
    <x v="0"/>
    <x v="0"/>
    <x v="3"/>
    <x v="11"/>
    <s v="SE3_STO"/>
    <x v="7"/>
    <s v="GBPR_WOODWASTE_BRISTA"/>
    <x v="0"/>
    <x v="10"/>
    <n v="100.133419721443"/>
    <n v="36548.6981983269"/>
    <n v="131575.31351397699"/>
  </r>
  <r>
    <x v="0"/>
    <x v="0"/>
    <x v="0"/>
    <x v="3"/>
    <x v="11"/>
    <s v="SE3_STO"/>
    <x v="7"/>
    <s v="GBPR_WOODWASTE_BRISTA"/>
    <x v="0"/>
    <x v="11"/>
    <n v="100.133419721443"/>
    <n v="36548.6981983269"/>
    <n v="131575.31351397699"/>
  </r>
  <r>
    <x v="0"/>
    <x v="0"/>
    <x v="0"/>
    <x v="3"/>
    <x v="11"/>
    <s v="SE3_STO"/>
    <x v="7"/>
    <s v="GBPR_WOODWASTE_BRISTA"/>
    <x v="0"/>
    <x v="12"/>
    <n v="100.133419721443"/>
    <n v="36548.6981983269"/>
    <n v="131575.31351397699"/>
  </r>
  <r>
    <x v="0"/>
    <x v="0"/>
    <x v="0"/>
    <x v="3"/>
    <x v="11"/>
    <s v="SE3_STO"/>
    <x v="7"/>
    <s v="GBPR_WOODWASTE_BRISTA"/>
    <x v="0"/>
    <x v="13"/>
    <n v="100.133419721443"/>
    <n v="36548.6981983269"/>
    <n v="131575.31351397699"/>
  </r>
  <r>
    <x v="0"/>
    <x v="0"/>
    <x v="0"/>
    <x v="3"/>
    <x v="11"/>
    <s v="SE3_STO"/>
    <x v="7"/>
    <s v="GBPR_WOODWASTE_BRISTA"/>
    <x v="0"/>
    <x v="14"/>
    <n v="100.133419721443"/>
    <n v="36548.6981983269"/>
    <n v="131575.31351397699"/>
  </r>
  <r>
    <x v="0"/>
    <x v="0"/>
    <x v="0"/>
    <x v="3"/>
    <x v="11"/>
    <s v="SE3_STO"/>
    <x v="7"/>
    <s v="GBPR_WOODWASTE_BRISTA"/>
    <x v="0"/>
    <x v="15"/>
    <n v="100.133419721443"/>
    <n v="36548.6981983269"/>
    <n v="131575.31351397699"/>
  </r>
  <r>
    <x v="0"/>
    <x v="0"/>
    <x v="0"/>
    <x v="3"/>
    <x v="11"/>
    <s v="SE3_STO"/>
    <x v="7"/>
    <s v="GBPR_WOODWASTE_BRISTA"/>
    <x v="0"/>
    <x v="16"/>
    <n v="100.133419721443"/>
    <n v="36548.6981983269"/>
    <n v="131575.31351397699"/>
  </r>
  <r>
    <x v="0"/>
    <x v="0"/>
    <x v="0"/>
    <x v="3"/>
    <x v="11"/>
    <s v="SE3_STO"/>
    <x v="7"/>
    <s v="GBPR_WOODWASTE_BRISTA"/>
    <x v="0"/>
    <x v="17"/>
    <n v="100.133419721443"/>
    <n v="36548.6981983269"/>
    <n v="131575.31351397699"/>
  </r>
  <r>
    <x v="0"/>
    <x v="0"/>
    <x v="0"/>
    <x v="3"/>
    <x v="11"/>
    <s v="SE3_STO"/>
    <x v="7"/>
    <s v="GBPR_WOODWASTE_BRISTA"/>
    <x v="0"/>
    <x v="18"/>
    <n v="100.133419721443"/>
    <n v="36548.6981983269"/>
    <n v="131575.31351397699"/>
  </r>
  <r>
    <x v="0"/>
    <x v="0"/>
    <x v="0"/>
    <x v="3"/>
    <x v="11"/>
    <s v="SE3_STO"/>
    <x v="7"/>
    <s v="GBPR_WOODWASTE_BRISTA"/>
    <x v="0"/>
    <x v="19"/>
    <n v="100.133419721443"/>
    <n v="36548.6981983269"/>
    <n v="131575.31351397699"/>
  </r>
  <r>
    <x v="0"/>
    <x v="0"/>
    <x v="0"/>
    <x v="3"/>
    <x v="11"/>
    <s v="SE3_STO"/>
    <x v="7"/>
    <s v="GBPR_WOODWASTE_BRISTA"/>
    <x v="0"/>
    <x v="20"/>
    <n v="100.133419721443"/>
    <n v="36548.6981983269"/>
    <n v="131575.31351397699"/>
  </r>
  <r>
    <x v="0"/>
    <x v="0"/>
    <x v="0"/>
    <x v="3"/>
    <x v="11"/>
    <s v="SE3_STO"/>
    <x v="7"/>
    <s v="GBPR_WOODWASTE_BRISTA"/>
    <x v="0"/>
    <x v="21"/>
    <n v="100.133419721443"/>
    <n v="36548.6981983269"/>
    <n v="131575.31351397699"/>
  </r>
  <r>
    <x v="0"/>
    <x v="0"/>
    <x v="0"/>
    <x v="3"/>
    <x v="11"/>
    <s v="SE3_STO"/>
    <x v="7"/>
    <s v="GBPR_WOODWASTE_BRISTA"/>
    <x v="0"/>
    <x v="22"/>
    <n v="100.133419721443"/>
    <n v="36548.6981983269"/>
    <n v="131575.31351397699"/>
  </r>
  <r>
    <x v="0"/>
    <x v="0"/>
    <x v="0"/>
    <x v="3"/>
    <x v="11"/>
    <s v="SE3_STO"/>
    <x v="7"/>
    <s v="GBPR_WOODWASTE_BRISTA"/>
    <x v="0"/>
    <x v="23"/>
    <n v="100.133419721443"/>
    <n v="36548.6981983269"/>
    <n v="131575.31351397699"/>
  </r>
  <r>
    <x v="0"/>
    <x v="0"/>
    <x v="0"/>
    <x v="3"/>
    <x v="12"/>
    <s v="SE4_EL"/>
    <x v="3"/>
    <s v="GETOH_ELECTRICBOILER"/>
    <x v="0"/>
    <x v="7"/>
    <n v="1.39013738011096"/>
    <n v="507.40014374050099"/>
    <n v="1826.6405174658"/>
  </r>
  <r>
    <x v="0"/>
    <x v="0"/>
    <x v="0"/>
    <x v="3"/>
    <x v="12"/>
    <s v="SE4_EL"/>
    <x v="3"/>
    <s v="GETOH_HEATPUMP1"/>
    <x v="0"/>
    <x v="0"/>
    <n v="44"/>
    <n v="16060"/>
    <n v="57816"/>
  </r>
  <r>
    <x v="0"/>
    <x v="0"/>
    <x v="0"/>
    <x v="3"/>
    <x v="12"/>
    <s v="SE4_EL"/>
    <x v="3"/>
    <s v="GETOH_HEATPUMP1"/>
    <x v="0"/>
    <x v="1"/>
    <n v="44"/>
    <n v="16060"/>
    <n v="57816"/>
  </r>
  <r>
    <x v="0"/>
    <x v="0"/>
    <x v="0"/>
    <x v="3"/>
    <x v="12"/>
    <s v="SE4_EL"/>
    <x v="3"/>
    <s v="GETOH_HEATPUMP1"/>
    <x v="0"/>
    <x v="2"/>
    <n v="43.6601112005063"/>
    <n v="15935.9405881848"/>
    <n v="57369.386117465299"/>
  </r>
  <r>
    <x v="0"/>
    <x v="0"/>
    <x v="0"/>
    <x v="3"/>
    <x v="12"/>
    <s v="SE4_EL"/>
    <x v="3"/>
    <s v="GETOH_HEATPUMP1"/>
    <x v="0"/>
    <x v="3"/>
    <n v="44"/>
    <n v="16060"/>
    <n v="57816"/>
  </r>
  <r>
    <x v="0"/>
    <x v="0"/>
    <x v="0"/>
    <x v="3"/>
    <x v="12"/>
    <s v="SE4_EL"/>
    <x v="3"/>
    <s v="GETOH_HEATPUMP1"/>
    <x v="0"/>
    <x v="4"/>
    <n v="44"/>
    <n v="16060"/>
    <n v="57816"/>
  </r>
  <r>
    <x v="0"/>
    <x v="0"/>
    <x v="0"/>
    <x v="3"/>
    <x v="12"/>
    <s v="SE4_EL"/>
    <x v="3"/>
    <s v="GETOH_HEATPUMP1"/>
    <x v="0"/>
    <x v="5"/>
    <n v="44"/>
    <n v="16060"/>
    <n v="57816"/>
  </r>
  <r>
    <x v="0"/>
    <x v="0"/>
    <x v="0"/>
    <x v="3"/>
    <x v="12"/>
    <s v="SE4_EL"/>
    <x v="3"/>
    <s v="GETOH_HEATPUMP1"/>
    <x v="0"/>
    <x v="6"/>
    <n v="44"/>
    <n v="16060"/>
    <n v="57816"/>
  </r>
  <r>
    <x v="0"/>
    <x v="0"/>
    <x v="0"/>
    <x v="3"/>
    <x v="12"/>
    <s v="SE4_EL"/>
    <x v="3"/>
    <s v="GETOH_HEATPUMP1"/>
    <x v="0"/>
    <x v="7"/>
    <n v="44"/>
    <n v="16060"/>
    <n v="57816"/>
  </r>
  <r>
    <x v="0"/>
    <x v="0"/>
    <x v="0"/>
    <x v="3"/>
    <x v="12"/>
    <s v="SE4_EL"/>
    <x v="3"/>
    <s v="GETOH_HEATPUMP1"/>
    <x v="0"/>
    <x v="8"/>
    <n v="44"/>
    <n v="16060"/>
    <n v="57816"/>
  </r>
  <r>
    <x v="0"/>
    <x v="0"/>
    <x v="0"/>
    <x v="3"/>
    <x v="12"/>
    <s v="SE4_EL"/>
    <x v="3"/>
    <s v="GETOH_HEATPUMP1"/>
    <x v="0"/>
    <x v="9"/>
    <n v="44"/>
    <n v="16060"/>
    <n v="57816"/>
  </r>
  <r>
    <x v="0"/>
    <x v="0"/>
    <x v="0"/>
    <x v="3"/>
    <x v="12"/>
    <s v="SE4_EL"/>
    <x v="3"/>
    <s v="GETOH_HEATPUMP1"/>
    <x v="0"/>
    <x v="10"/>
    <n v="44"/>
    <n v="16060"/>
    <n v="57816"/>
  </r>
  <r>
    <x v="0"/>
    <x v="0"/>
    <x v="0"/>
    <x v="3"/>
    <x v="12"/>
    <s v="SE4_EL"/>
    <x v="3"/>
    <s v="GETOH_HEATPUMP1"/>
    <x v="0"/>
    <x v="11"/>
    <n v="44"/>
    <n v="16060"/>
    <n v="57816"/>
  </r>
  <r>
    <x v="0"/>
    <x v="0"/>
    <x v="0"/>
    <x v="3"/>
    <x v="12"/>
    <s v="SE4_EL"/>
    <x v="3"/>
    <s v="GETOH_HEATPUMP1"/>
    <x v="0"/>
    <x v="12"/>
    <n v="44"/>
    <n v="16060"/>
    <n v="57816"/>
  </r>
  <r>
    <x v="0"/>
    <x v="0"/>
    <x v="0"/>
    <x v="3"/>
    <x v="12"/>
    <s v="SE4_EL"/>
    <x v="3"/>
    <s v="GETOH_HEATPUMP1"/>
    <x v="0"/>
    <x v="13"/>
    <n v="44"/>
    <n v="16060"/>
    <n v="57816"/>
  </r>
  <r>
    <x v="0"/>
    <x v="0"/>
    <x v="0"/>
    <x v="3"/>
    <x v="12"/>
    <s v="SE4_EL"/>
    <x v="3"/>
    <s v="GETOH_HEATPUMP1"/>
    <x v="0"/>
    <x v="14"/>
    <n v="44"/>
    <n v="16060"/>
    <n v="57816"/>
  </r>
  <r>
    <x v="0"/>
    <x v="0"/>
    <x v="0"/>
    <x v="3"/>
    <x v="12"/>
    <s v="SE4_EL"/>
    <x v="3"/>
    <s v="GETOH_HEATPUMP1"/>
    <x v="0"/>
    <x v="15"/>
    <n v="44"/>
    <n v="16060"/>
    <n v="57816"/>
  </r>
  <r>
    <x v="0"/>
    <x v="0"/>
    <x v="0"/>
    <x v="3"/>
    <x v="12"/>
    <s v="SE4_EL"/>
    <x v="3"/>
    <s v="GETOH_HEATPUMP1"/>
    <x v="0"/>
    <x v="16"/>
    <n v="44"/>
    <n v="16060"/>
    <n v="57816"/>
  </r>
  <r>
    <x v="0"/>
    <x v="0"/>
    <x v="0"/>
    <x v="3"/>
    <x v="12"/>
    <s v="SE4_EL"/>
    <x v="3"/>
    <s v="GETOH_HEATPUMP1"/>
    <x v="0"/>
    <x v="17"/>
    <n v="44"/>
    <n v="16060"/>
    <n v="57816"/>
  </r>
  <r>
    <x v="0"/>
    <x v="0"/>
    <x v="0"/>
    <x v="3"/>
    <x v="12"/>
    <s v="SE4_EL"/>
    <x v="3"/>
    <s v="GETOH_HEATPUMP1"/>
    <x v="0"/>
    <x v="18"/>
    <n v="44"/>
    <n v="16060"/>
    <n v="57816"/>
  </r>
  <r>
    <x v="0"/>
    <x v="0"/>
    <x v="0"/>
    <x v="3"/>
    <x v="12"/>
    <s v="SE4_EL"/>
    <x v="3"/>
    <s v="GETOH_HEATPUMP1"/>
    <x v="0"/>
    <x v="19"/>
    <n v="44"/>
    <n v="16060"/>
    <n v="57816"/>
  </r>
  <r>
    <x v="0"/>
    <x v="0"/>
    <x v="0"/>
    <x v="3"/>
    <x v="12"/>
    <s v="SE4_EL"/>
    <x v="3"/>
    <s v="GETOH_HEATPUMP1"/>
    <x v="0"/>
    <x v="20"/>
    <n v="44"/>
    <n v="16060"/>
    <n v="57816"/>
  </r>
  <r>
    <x v="0"/>
    <x v="0"/>
    <x v="0"/>
    <x v="3"/>
    <x v="12"/>
    <s v="SE4_EL"/>
    <x v="3"/>
    <s v="GETOH_HEATPUMP1"/>
    <x v="0"/>
    <x v="21"/>
    <n v="44"/>
    <n v="16060"/>
    <n v="57816"/>
  </r>
  <r>
    <x v="0"/>
    <x v="0"/>
    <x v="0"/>
    <x v="3"/>
    <x v="12"/>
    <s v="SE4_EL"/>
    <x v="3"/>
    <s v="GETOH_HEATPUMP1"/>
    <x v="0"/>
    <x v="22"/>
    <n v="44"/>
    <n v="16060"/>
    <n v="57816"/>
  </r>
  <r>
    <x v="0"/>
    <x v="0"/>
    <x v="0"/>
    <x v="3"/>
    <x v="12"/>
    <s v="SE4_EL"/>
    <x v="3"/>
    <s v="GETOH_HEATPUMP1"/>
    <x v="0"/>
    <x v="23"/>
    <n v="44"/>
    <n v="16060"/>
    <n v="57816"/>
  </r>
  <r>
    <x v="0"/>
    <x v="0"/>
    <x v="0"/>
    <x v="3"/>
    <x v="12"/>
    <s v="SE4_EL"/>
    <x v="11"/>
    <s v="GBPR_RECYCLEDWOOD"/>
    <x v="0"/>
    <x v="0"/>
    <n v="1.0814193412475499"/>
    <n v="394.718059555357"/>
    <n v="1420.9850143992901"/>
  </r>
  <r>
    <x v="0"/>
    <x v="0"/>
    <x v="0"/>
    <x v="3"/>
    <x v="12"/>
    <s v="SE4_EL"/>
    <x v="11"/>
    <s v="GBPR_RECYCLEDWOOD"/>
    <x v="0"/>
    <x v="1"/>
    <n v="1.2589714091236599"/>
    <n v="459.524564330136"/>
    <n v="1654.2884315884901"/>
  </r>
  <r>
    <x v="0"/>
    <x v="0"/>
    <x v="0"/>
    <x v="3"/>
    <x v="12"/>
    <s v="SE4_EL"/>
    <x v="11"/>
    <s v="GBPR_RECYCLEDWOOD"/>
    <x v="0"/>
    <x v="3"/>
    <n v="3.83378296399147"/>
    <n v="1399.3307818568901"/>
    <n v="5037.5908146847896"/>
  </r>
  <r>
    <x v="0"/>
    <x v="0"/>
    <x v="0"/>
    <x v="3"/>
    <x v="12"/>
    <s v="SE4_EL"/>
    <x v="11"/>
    <s v="GBPR_RECYCLEDWOOD"/>
    <x v="0"/>
    <x v="4"/>
    <n v="9.3860972995721905"/>
    <n v="3425.92551434385"/>
    <n v="12333.3318516379"/>
  </r>
  <r>
    <x v="0"/>
    <x v="0"/>
    <x v="0"/>
    <x v="3"/>
    <x v="12"/>
    <s v="SE4_EL"/>
    <x v="11"/>
    <s v="GBPR_RECYCLEDWOOD"/>
    <x v="0"/>
    <x v="5"/>
    <n v="23.925646849168398"/>
    <n v="8732.86109994648"/>
    <n v="31438.2999598073"/>
  </r>
  <r>
    <x v="0"/>
    <x v="0"/>
    <x v="0"/>
    <x v="3"/>
    <x v="12"/>
    <s v="SE4_EL"/>
    <x v="11"/>
    <s v="GBPR_RECYCLEDWOOD"/>
    <x v="0"/>
    <x v="6"/>
    <n v="44.569995198295103"/>
    <n v="16268.048247377699"/>
    <n v="58564.973690559702"/>
  </r>
  <r>
    <x v="0"/>
    <x v="0"/>
    <x v="0"/>
    <x v="3"/>
    <x v="12"/>
    <s v="SE4_EL"/>
    <x v="11"/>
    <s v="GBPR_RECYCLEDWOOD"/>
    <x v="0"/>
    <x v="7"/>
    <n v="44.569995198295103"/>
    <n v="16268.048247377699"/>
    <n v="58564.973690559702"/>
  </r>
  <r>
    <x v="0"/>
    <x v="0"/>
    <x v="0"/>
    <x v="3"/>
    <x v="12"/>
    <s v="SE4_EL"/>
    <x v="11"/>
    <s v="GBPR_RECYCLEDWOOD"/>
    <x v="0"/>
    <x v="8"/>
    <n v="44.569995198295103"/>
    <n v="16268.048247377699"/>
    <n v="58564.973690559702"/>
  </r>
  <r>
    <x v="0"/>
    <x v="0"/>
    <x v="0"/>
    <x v="3"/>
    <x v="12"/>
    <s v="SE4_EL"/>
    <x v="11"/>
    <s v="GBPR_RECYCLEDWOOD"/>
    <x v="0"/>
    <x v="9"/>
    <n v="44.569995198295103"/>
    <n v="16268.048247377699"/>
    <n v="58564.973690559702"/>
  </r>
  <r>
    <x v="0"/>
    <x v="0"/>
    <x v="0"/>
    <x v="3"/>
    <x v="12"/>
    <s v="SE4_EL"/>
    <x v="11"/>
    <s v="GBPR_RECYCLEDWOOD"/>
    <x v="0"/>
    <x v="10"/>
    <n v="44.569995198295103"/>
    <n v="16268.048247377699"/>
    <n v="58564.973690559702"/>
  </r>
  <r>
    <x v="0"/>
    <x v="0"/>
    <x v="0"/>
    <x v="3"/>
    <x v="12"/>
    <s v="SE4_EL"/>
    <x v="11"/>
    <s v="GBPR_RECYCLEDWOOD"/>
    <x v="0"/>
    <x v="11"/>
    <n v="44.569995198295103"/>
    <n v="16268.048247377699"/>
    <n v="58564.973690559702"/>
  </r>
  <r>
    <x v="0"/>
    <x v="0"/>
    <x v="0"/>
    <x v="3"/>
    <x v="12"/>
    <s v="SE4_EL"/>
    <x v="11"/>
    <s v="GBPR_RECYCLEDWOOD"/>
    <x v="0"/>
    <x v="12"/>
    <n v="41.435993742217299"/>
    <n v="15124.137715909301"/>
    <n v="54446.895777273603"/>
  </r>
  <r>
    <x v="0"/>
    <x v="0"/>
    <x v="0"/>
    <x v="3"/>
    <x v="12"/>
    <s v="SE4_EL"/>
    <x v="11"/>
    <s v="GBPR_RECYCLEDWOOD"/>
    <x v="0"/>
    <x v="13"/>
    <n v="37.171879303036498"/>
    <n v="13567.7359456083"/>
    <n v="48843.849404189903"/>
  </r>
  <r>
    <x v="0"/>
    <x v="0"/>
    <x v="0"/>
    <x v="3"/>
    <x v="12"/>
    <s v="SE4_EL"/>
    <x v="11"/>
    <s v="GBPR_RECYCLEDWOOD"/>
    <x v="0"/>
    <x v="14"/>
    <n v="32.030113129224297"/>
    <n v="11690.9912921669"/>
    <n v="42087.568651800801"/>
  </r>
  <r>
    <x v="0"/>
    <x v="0"/>
    <x v="0"/>
    <x v="3"/>
    <x v="12"/>
    <s v="SE4_EL"/>
    <x v="11"/>
    <s v="GBPR_RECYCLEDWOOD"/>
    <x v="0"/>
    <x v="15"/>
    <n v="29.144596293897902"/>
    <n v="10637.7776472727"/>
    <n v="38295.999530181798"/>
  </r>
  <r>
    <x v="0"/>
    <x v="0"/>
    <x v="0"/>
    <x v="3"/>
    <x v="12"/>
    <s v="SE4_EL"/>
    <x v="11"/>
    <s v="GBPR_RECYCLEDWOOD"/>
    <x v="0"/>
    <x v="16"/>
    <n v="29.5449965892854"/>
    <n v="10783.923755089199"/>
    <n v="38822.125518321001"/>
  </r>
  <r>
    <x v="0"/>
    <x v="0"/>
    <x v="0"/>
    <x v="3"/>
    <x v="12"/>
    <s v="SE4_EL"/>
    <x v="11"/>
    <s v="GBPR_RECYCLEDWOOD"/>
    <x v="0"/>
    <x v="17"/>
    <n v="28.927045991266201"/>
    <n v="10558.3717868122"/>
    <n v="38010.138432523803"/>
  </r>
  <r>
    <x v="0"/>
    <x v="0"/>
    <x v="0"/>
    <x v="3"/>
    <x v="12"/>
    <s v="SE4_EL"/>
    <x v="11"/>
    <s v="GBPR_RECYCLEDWOOD"/>
    <x v="0"/>
    <x v="18"/>
    <n v="29.415513056168901"/>
    <n v="10736.6622655017"/>
    <n v="38651.984155806"/>
  </r>
  <r>
    <x v="0"/>
    <x v="0"/>
    <x v="0"/>
    <x v="3"/>
    <x v="12"/>
    <s v="SE4_EL"/>
    <x v="11"/>
    <s v="GBPR_RECYCLEDWOOD"/>
    <x v="0"/>
    <x v="19"/>
    <n v="31.115207710499099"/>
    <n v="11357.0508143322"/>
    <n v="40885.382931595799"/>
  </r>
  <r>
    <x v="0"/>
    <x v="0"/>
    <x v="0"/>
    <x v="3"/>
    <x v="12"/>
    <s v="SE4_EL"/>
    <x v="11"/>
    <s v="GBPR_RECYCLEDWOOD"/>
    <x v="0"/>
    <x v="20"/>
    <n v="30.6452293543169"/>
    <n v="11185.508714325701"/>
    <n v="40267.8313715724"/>
  </r>
  <r>
    <x v="0"/>
    <x v="0"/>
    <x v="0"/>
    <x v="3"/>
    <x v="12"/>
    <s v="SE4_EL"/>
    <x v="11"/>
    <s v="GBPR_RECYCLEDWOOD"/>
    <x v="0"/>
    <x v="21"/>
    <n v="28.7280537682268"/>
    <n v="10485.739625402801"/>
    <n v="37748.662651450002"/>
  </r>
  <r>
    <x v="0"/>
    <x v="0"/>
    <x v="0"/>
    <x v="3"/>
    <x v="12"/>
    <s v="SE4_EL"/>
    <x v="11"/>
    <s v="GBPR_RECYCLEDWOOD"/>
    <x v="0"/>
    <x v="22"/>
    <n v="24.805870860288302"/>
    <n v="9054.1428640052309"/>
    <n v="32594.914310418801"/>
  </r>
  <r>
    <x v="0"/>
    <x v="0"/>
    <x v="0"/>
    <x v="3"/>
    <x v="12"/>
    <s v="SE4_EL"/>
    <x v="11"/>
    <s v="GBPR_RECYCLEDWOOD"/>
    <x v="0"/>
    <x v="23"/>
    <n v="17.690849090060599"/>
    <n v="6457.1599178721299"/>
    <n v="23245.7757043397"/>
  </r>
  <r>
    <x v="0"/>
    <x v="0"/>
    <x v="0"/>
    <x v="3"/>
    <x v="12"/>
    <s v="SE4_EL"/>
    <x v="11"/>
    <s v="GBPR_RECYCLEDWOOD_SE4EL"/>
    <x v="0"/>
    <x v="6"/>
    <n v="3.2941081032662001"/>
    <n v="1202.3494576921601"/>
    <n v="4328.4580476917899"/>
  </r>
  <r>
    <x v="0"/>
    <x v="0"/>
    <x v="0"/>
    <x v="3"/>
    <x v="12"/>
    <s v="SE4_EL"/>
    <x v="11"/>
    <s v="GBPR_RECYCLEDWOOD_SE4EL"/>
    <x v="0"/>
    <x v="7"/>
    <n v="6.7799479137840004"/>
    <n v="2474.68098853116"/>
    <n v="8908.8515587121801"/>
  </r>
  <r>
    <x v="0"/>
    <x v="0"/>
    <x v="0"/>
    <x v="3"/>
    <x v="12"/>
    <s v="SE4_EL"/>
    <x v="11"/>
    <s v="GBPR_RECYCLEDWOOD_SE4EL"/>
    <x v="0"/>
    <x v="8"/>
    <n v="4.20994951307443"/>
    <n v="1536.6315722721699"/>
    <n v="5531.8736601798"/>
  </r>
  <r>
    <x v="0"/>
    <x v="0"/>
    <x v="0"/>
    <x v="3"/>
    <x v="12"/>
    <s v="SE4_EL"/>
    <x v="11"/>
    <s v="GBPR_RECYCLEDWOOD_SE4EL"/>
    <x v="0"/>
    <x v="9"/>
    <n v="6.7799479137840004"/>
    <n v="2474.68098853116"/>
    <n v="8908.8515587121801"/>
  </r>
  <r>
    <x v="0"/>
    <x v="0"/>
    <x v="0"/>
    <x v="3"/>
    <x v="12"/>
    <s v="SE4_EL"/>
    <x v="11"/>
    <s v="GBPR_RECYCLEDWOOD_SE4EL"/>
    <x v="0"/>
    <x v="10"/>
    <n v="4.8698728220872098"/>
    <n v="1777.50358006183"/>
    <n v="6399.0128882225899"/>
  </r>
  <r>
    <x v="0"/>
    <x v="0"/>
    <x v="0"/>
    <x v="3"/>
    <x v="12"/>
    <s v="SE4_EL"/>
    <x v="11"/>
    <s v="GBPR_RECYCLEDWOOD_SE4EL"/>
    <x v="0"/>
    <x v="11"/>
    <n v="0.40973103943505201"/>
    <n v="149.55182939379401"/>
    <n v="538.38658581765799"/>
  </r>
  <r>
    <x v="0"/>
    <x v="0"/>
    <x v="0"/>
    <x v="3"/>
    <x v="12"/>
    <s v="SE4_EL"/>
    <x v="11"/>
    <s v="GHOB_RECYCLEDWOOD"/>
    <x v="0"/>
    <x v="6"/>
    <n v="3.23583887915937"/>
    <n v="1181.0811908931701"/>
    <n v="4251.8922872154099"/>
  </r>
  <r>
    <x v="0"/>
    <x v="0"/>
    <x v="0"/>
    <x v="3"/>
    <x v="12"/>
    <s v="SE4_EL"/>
    <x v="11"/>
    <s v="GHOB_RECYCLEDWOOD"/>
    <x v="0"/>
    <x v="7"/>
    <n v="3.23583887915937"/>
    <n v="1181.0811908931701"/>
    <n v="4251.8922872154099"/>
  </r>
  <r>
    <x v="0"/>
    <x v="0"/>
    <x v="0"/>
    <x v="3"/>
    <x v="12"/>
    <s v="SE4_EL"/>
    <x v="11"/>
    <s v="GHOB_RECYCLEDWOOD"/>
    <x v="0"/>
    <x v="8"/>
    <n v="3.23583887915937"/>
    <n v="1181.0811908931701"/>
    <n v="4251.8922872154099"/>
  </r>
  <r>
    <x v="0"/>
    <x v="0"/>
    <x v="0"/>
    <x v="3"/>
    <x v="12"/>
    <s v="SE4_EL"/>
    <x v="11"/>
    <s v="GHOB_RECYCLEDWOOD"/>
    <x v="0"/>
    <x v="9"/>
    <n v="3.23583887915937"/>
    <n v="1181.0811908931701"/>
    <n v="4251.8922872154099"/>
  </r>
  <r>
    <x v="0"/>
    <x v="0"/>
    <x v="0"/>
    <x v="3"/>
    <x v="12"/>
    <s v="SE4_EL"/>
    <x v="11"/>
    <s v="GHOB_RECYCLEDWOOD"/>
    <x v="0"/>
    <x v="10"/>
    <n v="3.23583887915937"/>
    <n v="1181.0811908931701"/>
    <n v="4251.8922872154099"/>
  </r>
  <r>
    <x v="0"/>
    <x v="0"/>
    <x v="0"/>
    <x v="3"/>
    <x v="12"/>
    <s v="SE4_EL"/>
    <x v="11"/>
    <s v="GHOB_RECYCLEDWOOD"/>
    <x v="0"/>
    <x v="11"/>
    <n v="3.23583887915937"/>
    <n v="1181.0811908931701"/>
    <n v="4251.8922872154099"/>
  </r>
  <r>
    <x v="0"/>
    <x v="0"/>
    <x v="0"/>
    <x v="3"/>
    <x v="12"/>
    <s v="SE4_EL"/>
    <x v="5"/>
    <s v="GHOB_STRAW"/>
    <x v="0"/>
    <x v="7"/>
    <n v="2.5"/>
    <n v="912.5"/>
    <n v="3285"/>
  </r>
  <r>
    <x v="0"/>
    <x v="0"/>
    <x v="0"/>
    <x v="3"/>
    <x v="12"/>
    <s v="SE4_EL"/>
    <x v="5"/>
    <s v="GHOB_STRAW"/>
    <x v="0"/>
    <x v="9"/>
    <n v="0.106201380470058"/>
    <n v="38.763503871570997"/>
    <n v="139.548613937656"/>
  </r>
  <r>
    <x v="0"/>
    <x v="0"/>
    <x v="0"/>
    <x v="3"/>
    <x v="12"/>
    <s v="SE4_EL"/>
    <x v="2"/>
    <s v="GHOB_WASTEHEAT"/>
    <x v="0"/>
    <x v="0"/>
    <n v="10.4166666666666"/>
    <n v="3802.0833333333198"/>
    <n v="13687.4999999999"/>
  </r>
  <r>
    <x v="0"/>
    <x v="0"/>
    <x v="0"/>
    <x v="3"/>
    <x v="12"/>
    <s v="SE4_EL"/>
    <x v="2"/>
    <s v="GHOB_WASTEHEAT"/>
    <x v="0"/>
    <x v="1"/>
    <n v="10.4166666666666"/>
    <n v="3802.0833333333198"/>
    <n v="13687.4999999999"/>
  </r>
  <r>
    <x v="0"/>
    <x v="0"/>
    <x v="0"/>
    <x v="3"/>
    <x v="12"/>
    <s v="SE4_EL"/>
    <x v="2"/>
    <s v="GHOB_WASTEHEAT"/>
    <x v="0"/>
    <x v="2"/>
    <n v="10.4166666666666"/>
    <n v="3802.0833333333198"/>
    <n v="13687.4999999999"/>
  </r>
  <r>
    <x v="0"/>
    <x v="0"/>
    <x v="0"/>
    <x v="3"/>
    <x v="12"/>
    <s v="SE4_EL"/>
    <x v="2"/>
    <s v="GHOB_WASTEHEAT"/>
    <x v="0"/>
    <x v="3"/>
    <n v="10.4166666666666"/>
    <n v="3802.0833333333198"/>
    <n v="13687.4999999999"/>
  </r>
  <r>
    <x v="0"/>
    <x v="0"/>
    <x v="0"/>
    <x v="3"/>
    <x v="12"/>
    <s v="SE4_EL"/>
    <x v="2"/>
    <s v="GHOB_WASTEHEAT"/>
    <x v="0"/>
    <x v="4"/>
    <n v="10.4166666666666"/>
    <n v="3802.0833333333198"/>
    <n v="13687.4999999999"/>
  </r>
  <r>
    <x v="0"/>
    <x v="0"/>
    <x v="0"/>
    <x v="3"/>
    <x v="12"/>
    <s v="SE4_EL"/>
    <x v="2"/>
    <s v="GHOB_WASTEHEAT"/>
    <x v="0"/>
    <x v="5"/>
    <n v="10.4166666666666"/>
    <n v="3802.0833333333198"/>
    <n v="13687.4999999999"/>
  </r>
  <r>
    <x v="0"/>
    <x v="0"/>
    <x v="0"/>
    <x v="3"/>
    <x v="12"/>
    <s v="SE4_EL"/>
    <x v="2"/>
    <s v="GHOB_WASTEHEAT"/>
    <x v="0"/>
    <x v="6"/>
    <n v="10.4166666666666"/>
    <n v="3802.0833333333198"/>
    <n v="13687.4999999999"/>
  </r>
  <r>
    <x v="0"/>
    <x v="0"/>
    <x v="0"/>
    <x v="3"/>
    <x v="12"/>
    <s v="SE4_EL"/>
    <x v="2"/>
    <s v="GHOB_WASTEHEAT"/>
    <x v="0"/>
    <x v="7"/>
    <n v="10.4166666666666"/>
    <n v="3802.0833333333198"/>
    <n v="13687.4999999999"/>
  </r>
  <r>
    <x v="0"/>
    <x v="0"/>
    <x v="0"/>
    <x v="3"/>
    <x v="12"/>
    <s v="SE4_EL"/>
    <x v="2"/>
    <s v="GHOB_WASTEHEAT"/>
    <x v="0"/>
    <x v="8"/>
    <n v="10.4166666666666"/>
    <n v="3802.0833333333198"/>
    <n v="13687.4999999999"/>
  </r>
  <r>
    <x v="0"/>
    <x v="0"/>
    <x v="0"/>
    <x v="3"/>
    <x v="12"/>
    <s v="SE4_EL"/>
    <x v="2"/>
    <s v="GHOB_WASTEHEAT"/>
    <x v="0"/>
    <x v="9"/>
    <n v="10.4166666666666"/>
    <n v="3802.0833333333198"/>
    <n v="13687.4999999999"/>
  </r>
  <r>
    <x v="0"/>
    <x v="0"/>
    <x v="0"/>
    <x v="3"/>
    <x v="12"/>
    <s v="SE4_EL"/>
    <x v="2"/>
    <s v="GHOB_WASTEHEAT"/>
    <x v="0"/>
    <x v="10"/>
    <n v="10.4166666666666"/>
    <n v="3802.0833333333198"/>
    <n v="13687.4999999999"/>
  </r>
  <r>
    <x v="0"/>
    <x v="0"/>
    <x v="0"/>
    <x v="3"/>
    <x v="12"/>
    <s v="SE4_EL"/>
    <x v="2"/>
    <s v="GHOB_WASTEHEAT"/>
    <x v="0"/>
    <x v="11"/>
    <n v="10.4166666666666"/>
    <n v="3802.0833333333198"/>
    <n v="13687.4999999999"/>
  </r>
  <r>
    <x v="0"/>
    <x v="0"/>
    <x v="0"/>
    <x v="3"/>
    <x v="12"/>
    <s v="SE4_EL"/>
    <x v="2"/>
    <s v="GHOB_WASTEHEAT"/>
    <x v="0"/>
    <x v="12"/>
    <n v="10.4166666666666"/>
    <n v="3802.0833333333198"/>
    <n v="13687.4999999999"/>
  </r>
  <r>
    <x v="0"/>
    <x v="0"/>
    <x v="0"/>
    <x v="3"/>
    <x v="12"/>
    <s v="SE4_EL"/>
    <x v="2"/>
    <s v="GHOB_WASTEHEAT"/>
    <x v="0"/>
    <x v="13"/>
    <n v="10.4166666666666"/>
    <n v="3802.0833333333198"/>
    <n v="13687.4999999999"/>
  </r>
  <r>
    <x v="0"/>
    <x v="0"/>
    <x v="0"/>
    <x v="3"/>
    <x v="12"/>
    <s v="SE4_EL"/>
    <x v="2"/>
    <s v="GHOB_WASTEHEAT"/>
    <x v="0"/>
    <x v="14"/>
    <n v="10.4166666666666"/>
    <n v="3802.0833333333198"/>
    <n v="13687.4999999999"/>
  </r>
  <r>
    <x v="0"/>
    <x v="0"/>
    <x v="0"/>
    <x v="3"/>
    <x v="12"/>
    <s v="SE4_EL"/>
    <x v="2"/>
    <s v="GHOB_WASTEHEAT"/>
    <x v="0"/>
    <x v="15"/>
    <n v="10.4166666666666"/>
    <n v="3802.0833333333198"/>
    <n v="13687.4999999999"/>
  </r>
  <r>
    <x v="0"/>
    <x v="0"/>
    <x v="0"/>
    <x v="3"/>
    <x v="12"/>
    <s v="SE4_EL"/>
    <x v="2"/>
    <s v="GHOB_WASTEHEAT"/>
    <x v="0"/>
    <x v="16"/>
    <n v="10.4166666666666"/>
    <n v="3802.0833333333198"/>
    <n v="13687.4999999999"/>
  </r>
  <r>
    <x v="0"/>
    <x v="0"/>
    <x v="0"/>
    <x v="3"/>
    <x v="12"/>
    <s v="SE4_EL"/>
    <x v="2"/>
    <s v="GHOB_WASTEHEAT"/>
    <x v="0"/>
    <x v="17"/>
    <n v="10.4166666666666"/>
    <n v="3802.0833333333198"/>
    <n v="13687.4999999999"/>
  </r>
  <r>
    <x v="0"/>
    <x v="0"/>
    <x v="0"/>
    <x v="3"/>
    <x v="12"/>
    <s v="SE4_EL"/>
    <x v="2"/>
    <s v="GHOB_WASTEHEAT"/>
    <x v="0"/>
    <x v="18"/>
    <n v="10.4166666666666"/>
    <n v="3802.0833333333198"/>
    <n v="13687.4999999999"/>
  </r>
  <r>
    <x v="0"/>
    <x v="0"/>
    <x v="0"/>
    <x v="3"/>
    <x v="12"/>
    <s v="SE4_EL"/>
    <x v="2"/>
    <s v="GHOB_WASTEHEAT"/>
    <x v="0"/>
    <x v="19"/>
    <n v="10.4166666666666"/>
    <n v="3802.0833333333198"/>
    <n v="13687.4999999999"/>
  </r>
  <r>
    <x v="0"/>
    <x v="0"/>
    <x v="0"/>
    <x v="3"/>
    <x v="12"/>
    <s v="SE4_EL"/>
    <x v="2"/>
    <s v="GHOB_WASTEHEAT"/>
    <x v="0"/>
    <x v="20"/>
    <n v="10.4166666666666"/>
    <n v="3802.0833333333198"/>
    <n v="13687.4999999999"/>
  </r>
  <r>
    <x v="0"/>
    <x v="0"/>
    <x v="0"/>
    <x v="3"/>
    <x v="12"/>
    <s v="SE4_EL"/>
    <x v="2"/>
    <s v="GHOB_WASTEHEAT"/>
    <x v="0"/>
    <x v="21"/>
    <n v="10.4166666666666"/>
    <n v="3802.0833333333198"/>
    <n v="13687.4999999999"/>
  </r>
  <r>
    <x v="0"/>
    <x v="0"/>
    <x v="0"/>
    <x v="3"/>
    <x v="12"/>
    <s v="SE4_EL"/>
    <x v="2"/>
    <s v="GHOB_WASTEHEAT"/>
    <x v="0"/>
    <x v="22"/>
    <n v="10.4166666666666"/>
    <n v="3802.0833333333198"/>
    <n v="13687.4999999999"/>
  </r>
  <r>
    <x v="0"/>
    <x v="0"/>
    <x v="0"/>
    <x v="3"/>
    <x v="12"/>
    <s v="SE4_EL"/>
    <x v="2"/>
    <s v="GHOB_WASTEHEAT"/>
    <x v="0"/>
    <x v="23"/>
    <n v="10.4166666666666"/>
    <n v="3802.0833333333198"/>
    <n v="13687.4999999999"/>
  </r>
  <r>
    <x v="0"/>
    <x v="0"/>
    <x v="0"/>
    <x v="3"/>
    <x v="12"/>
    <s v="SE4_EL"/>
    <x v="7"/>
    <s v="GHOB_WOODWASTE"/>
    <x v="0"/>
    <x v="0"/>
    <n v="45.099504378283697"/>
    <n v="16461.319098073502"/>
    <n v="59260.7487530648"/>
  </r>
  <r>
    <x v="0"/>
    <x v="0"/>
    <x v="0"/>
    <x v="3"/>
    <x v="12"/>
    <s v="SE4_EL"/>
    <x v="7"/>
    <s v="GHOB_WOODWASTE"/>
    <x v="0"/>
    <x v="1"/>
    <n v="45.099504378283697"/>
    <n v="16461.319098073502"/>
    <n v="59260.7487530648"/>
  </r>
  <r>
    <x v="0"/>
    <x v="0"/>
    <x v="0"/>
    <x v="3"/>
    <x v="12"/>
    <s v="SE4_EL"/>
    <x v="7"/>
    <s v="GHOB_WOODWASTE"/>
    <x v="0"/>
    <x v="2"/>
    <n v="45.099504378283697"/>
    <n v="16461.319098073502"/>
    <n v="59260.7487530648"/>
  </r>
  <r>
    <x v="0"/>
    <x v="0"/>
    <x v="0"/>
    <x v="3"/>
    <x v="12"/>
    <s v="SE4_EL"/>
    <x v="7"/>
    <s v="GHOB_WOODWASTE"/>
    <x v="0"/>
    <x v="3"/>
    <n v="45.099504378283697"/>
    <n v="16461.319098073502"/>
    <n v="59260.7487530648"/>
  </r>
  <r>
    <x v="0"/>
    <x v="0"/>
    <x v="0"/>
    <x v="3"/>
    <x v="12"/>
    <s v="SE4_EL"/>
    <x v="7"/>
    <s v="GHOB_WOODWASTE"/>
    <x v="0"/>
    <x v="4"/>
    <n v="45.099504378283697"/>
    <n v="16461.319098073502"/>
    <n v="59260.7487530648"/>
  </r>
  <r>
    <x v="0"/>
    <x v="0"/>
    <x v="0"/>
    <x v="3"/>
    <x v="12"/>
    <s v="SE4_EL"/>
    <x v="7"/>
    <s v="GHOB_WOODWASTE"/>
    <x v="0"/>
    <x v="5"/>
    <n v="45.099504378283697"/>
    <n v="16461.319098073502"/>
    <n v="59260.7487530648"/>
  </r>
  <r>
    <x v="0"/>
    <x v="0"/>
    <x v="0"/>
    <x v="3"/>
    <x v="12"/>
    <s v="SE4_EL"/>
    <x v="7"/>
    <s v="GHOB_WOODWASTE"/>
    <x v="0"/>
    <x v="6"/>
    <n v="45.099504378283697"/>
    <n v="16461.319098073502"/>
    <n v="59260.7487530648"/>
  </r>
  <r>
    <x v="0"/>
    <x v="0"/>
    <x v="0"/>
    <x v="3"/>
    <x v="12"/>
    <s v="SE4_EL"/>
    <x v="7"/>
    <s v="GHOB_WOODWASTE"/>
    <x v="0"/>
    <x v="7"/>
    <n v="45.099504378283697"/>
    <n v="16461.319098073502"/>
    <n v="59260.7487530648"/>
  </r>
  <r>
    <x v="0"/>
    <x v="0"/>
    <x v="0"/>
    <x v="3"/>
    <x v="12"/>
    <s v="SE4_EL"/>
    <x v="7"/>
    <s v="GHOB_WOODWASTE"/>
    <x v="0"/>
    <x v="8"/>
    <n v="45.099504378283697"/>
    <n v="16461.319098073502"/>
    <n v="59260.7487530648"/>
  </r>
  <r>
    <x v="0"/>
    <x v="0"/>
    <x v="0"/>
    <x v="3"/>
    <x v="12"/>
    <s v="SE4_EL"/>
    <x v="7"/>
    <s v="GHOB_WOODWASTE"/>
    <x v="0"/>
    <x v="9"/>
    <n v="45.099504378283697"/>
    <n v="16461.319098073502"/>
    <n v="59260.7487530648"/>
  </r>
  <r>
    <x v="0"/>
    <x v="0"/>
    <x v="0"/>
    <x v="3"/>
    <x v="12"/>
    <s v="SE4_EL"/>
    <x v="7"/>
    <s v="GHOB_WOODWASTE"/>
    <x v="0"/>
    <x v="10"/>
    <n v="45.099504378283697"/>
    <n v="16461.319098073502"/>
    <n v="59260.7487530648"/>
  </r>
  <r>
    <x v="0"/>
    <x v="0"/>
    <x v="0"/>
    <x v="3"/>
    <x v="12"/>
    <s v="SE4_EL"/>
    <x v="7"/>
    <s v="GHOB_WOODWASTE"/>
    <x v="0"/>
    <x v="11"/>
    <n v="45.099504378283697"/>
    <n v="16461.319098073502"/>
    <n v="59260.7487530648"/>
  </r>
  <r>
    <x v="0"/>
    <x v="0"/>
    <x v="0"/>
    <x v="3"/>
    <x v="12"/>
    <s v="SE4_EL"/>
    <x v="7"/>
    <s v="GHOB_WOODWASTE"/>
    <x v="0"/>
    <x v="12"/>
    <n v="45.099504378283697"/>
    <n v="16461.319098073502"/>
    <n v="59260.7487530648"/>
  </r>
  <r>
    <x v="0"/>
    <x v="0"/>
    <x v="0"/>
    <x v="3"/>
    <x v="12"/>
    <s v="SE4_EL"/>
    <x v="7"/>
    <s v="GHOB_WOODWASTE"/>
    <x v="0"/>
    <x v="13"/>
    <n v="45.099504378283697"/>
    <n v="16461.319098073502"/>
    <n v="59260.7487530648"/>
  </r>
  <r>
    <x v="0"/>
    <x v="0"/>
    <x v="0"/>
    <x v="3"/>
    <x v="12"/>
    <s v="SE4_EL"/>
    <x v="7"/>
    <s v="GHOB_WOODWASTE"/>
    <x v="0"/>
    <x v="14"/>
    <n v="45.099504378283697"/>
    <n v="16461.319098073502"/>
    <n v="59260.7487530648"/>
  </r>
  <r>
    <x v="0"/>
    <x v="0"/>
    <x v="0"/>
    <x v="3"/>
    <x v="12"/>
    <s v="SE4_EL"/>
    <x v="7"/>
    <s v="GHOB_WOODWASTE"/>
    <x v="0"/>
    <x v="15"/>
    <n v="45.099504378283697"/>
    <n v="16461.319098073502"/>
    <n v="59260.7487530648"/>
  </r>
  <r>
    <x v="0"/>
    <x v="0"/>
    <x v="0"/>
    <x v="3"/>
    <x v="12"/>
    <s v="SE4_EL"/>
    <x v="7"/>
    <s v="GHOB_WOODWASTE"/>
    <x v="0"/>
    <x v="16"/>
    <n v="45.099504378283697"/>
    <n v="16461.319098073502"/>
    <n v="59260.7487530648"/>
  </r>
  <r>
    <x v="0"/>
    <x v="0"/>
    <x v="0"/>
    <x v="3"/>
    <x v="12"/>
    <s v="SE4_EL"/>
    <x v="7"/>
    <s v="GHOB_WOODWASTE"/>
    <x v="0"/>
    <x v="17"/>
    <n v="45.099504378283697"/>
    <n v="16461.319098073502"/>
    <n v="59260.7487530648"/>
  </r>
  <r>
    <x v="0"/>
    <x v="0"/>
    <x v="0"/>
    <x v="3"/>
    <x v="12"/>
    <s v="SE4_EL"/>
    <x v="7"/>
    <s v="GHOB_WOODWASTE"/>
    <x v="0"/>
    <x v="18"/>
    <n v="45.099504378283697"/>
    <n v="16461.319098073502"/>
    <n v="59260.7487530648"/>
  </r>
  <r>
    <x v="0"/>
    <x v="0"/>
    <x v="0"/>
    <x v="3"/>
    <x v="12"/>
    <s v="SE4_EL"/>
    <x v="7"/>
    <s v="GHOB_WOODWASTE"/>
    <x v="0"/>
    <x v="19"/>
    <n v="45.099504378283697"/>
    <n v="16461.319098073502"/>
    <n v="59260.7487530648"/>
  </r>
  <r>
    <x v="0"/>
    <x v="0"/>
    <x v="0"/>
    <x v="3"/>
    <x v="12"/>
    <s v="SE4_EL"/>
    <x v="7"/>
    <s v="GHOB_WOODWASTE"/>
    <x v="0"/>
    <x v="20"/>
    <n v="45.099504378283697"/>
    <n v="16461.319098073502"/>
    <n v="59260.7487530648"/>
  </r>
  <r>
    <x v="0"/>
    <x v="0"/>
    <x v="0"/>
    <x v="3"/>
    <x v="12"/>
    <s v="SE4_EL"/>
    <x v="7"/>
    <s v="GHOB_WOODWASTE"/>
    <x v="0"/>
    <x v="21"/>
    <n v="45.099504378283697"/>
    <n v="16461.319098073502"/>
    <n v="59260.7487530648"/>
  </r>
  <r>
    <x v="0"/>
    <x v="0"/>
    <x v="0"/>
    <x v="3"/>
    <x v="12"/>
    <s v="SE4_EL"/>
    <x v="7"/>
    <s v="GHOB_WOODWASTE"/>
    <x v="0"/>
    <x v="22"/>
    <n v="45.099504378283697"/>
    <n v="16461.319098073502"/>
    <n v="59260.7487530648"/>
  </r>
  <r>
    <x v="0"/>
    <x v="0"/>
    <x v="0"/>
    <x v="3"/>
    <x v="12"/>
    <s v="SE4_EL"/>
    <x v="7"/>
    <s v="GHOB_WOODWASTE"/>
    <x v="0"/>
    <x v="23"/>
    <n v="45.099504378283697"/>
    <n v="16461.319098073502"/>
    <n v="59260.7487530648"/>
  </r>
  <r>
    <x v="0"/>
    <x v="0"/>
    <x v="0"/>
    <x v="3"/>
    <x v="12"/>
    <s v="SE4_HP"/>
    <x v="3"/>
    <s v="GETOH_HEATPUMP1"/>
    <x v="0"/>
    <x v="0"/>
    <n v="25.24"/>
    <n v="9212.6"/>
    <n v="33165.360000000001"/>
  </r>
  <r>
    <x v="0"/>
    <x v="0"/>
    <x v="0"/>
    <x v="3"/>
    <x v="12"/>
    <s v="SE4_HP"/>
    <x v="3"/>
    <s v="GETOH_HEATPUMP1"/>
    <x v="0"/>
    <x v="1"/>
    <n v="25.24"/>
    <n v="9212.6"/>
    <n v="33165.360000000001"/>
  </r>
  <r>
    <x v="0"/>
    <x v="0"/>
    <x v="0"/>
    <x v="3"/>
    <x v="12"/>
    <s v="SE4_HP"/>
    <x v="3"/>
    <s v="GETOH_HEATPUMP1"/>
    <x v="0"/>
    <x v="2"/>
    <n v="25.24"/>
    <n v="9212.6"/>
    <n v="33165.360000000001"/>
  </r>
  <r>
    <x v="0"/>
    <x v="0"/>
    <x v="0"/>
    <x v="3"/>
    <x v="12"/>
    <s v="SE4_HP"/>
    <x v="3"/>
    <s v="GETOH_HEATPUMP1"/>
    <x v="0"/>
    <x v="3"/>
    <n v="25.24"/>
    <n v="9212.6"/>
    <n v="33165.360000000001"/>
  </r>
  <r>
    <x v="0"/>
    <x v="0"/>
    <x v="0"/>
    <x v="3"/>
    <x v="12"/>
    <s v="SE4_HP"/>
    <x v="3"/>
    <s v="GETOH_HEATPUMP1"/>
    <x v="0"/>
    <x v="4"/>
    <n v="25.24"/>
    <n v="9212.6"/>
    <n v="33165.360000000001"/>
  </r>
  <r>
    <x v="0"/>
    <x v="0"/>
    <x v="0"/>
    <x v="3"/>
    <x v="12"/>
    <s v="SE4_HP"/>
    <x v="3"/>
    <s v="GETOH_HEATPUMP1"/>
    <x v="0"/>
    <x v="5"/>
    <n v="25.24"/>
    <n v="9212.6"/>
    <n v="33165.360000000001"/>
  </r>
  <r>
    <x v="0"/>
    <x v="0"/>
    <x v="0"/>
    <x v="3"/>
    <x v="12"/>
    <s v="SE4_HP"/>
    <x v="3"/>
    <s v="GETOH_HEATPUMP1"/>
    <x v="0"/>
    <x v="6"/>
    <n v="25.24"/>
    <n v="9212.6"/>
    <n v="33165.360000000001"/>
  </r>
  <r>
    <x v="0"/>
    <x v="0"/>
    <x v="0"/>
    <x v="3"/>
    <x v="12"/>
    <s v="SE4_HP"/>
    <x v="3"/>
    <s v="GETOH_HEATPUMP1"/>
    <x v="0"/>
    <x v="7"/>
    <n v="25.24"/>
    <n v="9212.6"/>
    <n v="33165.360000000001"/>
  </r>
  <r>
    <x v="0"/>
    <x v="0"/>
    <x v="0"/>
    <x v="3"/>
    <x v="12"/>
    <s v="SE4_HP"/>
    <x v="3"/>
    <s v="GETOH_HEATPUMP1"/>
    <x v="0"/>
    <x v="8"/>
    <n v="25.24"/>
    <n v="9212.6"/>
    <n v="33165.360000000001"/>
  </r>
  <r>
    <x v="0"/>
    <x v="0"/>
    <x v="0"/>
    <x v="3"/>
    <x v="12"/>
    <s v="SE4_HP"/>
    <x v="3"/>
    <s v="GETOH_HEATPUMP1"/>
    <x v="0"/>
    <x v="9"/>
    <n v="25.24"/>
    <n v="9212.6"/>
    <n v="33165.360000000001"/>
  </r>
  <r>
    <x v="0"/>
    <x v="0"/>
    <x v="0"/>
    <x v="3"/>
    <x v="12"/>
    <s v="SE4_HP"/>
    <x v="3"/>
    <s v="GETOH_HEATPUMP1"/>
    <x v="0"/>
    <x v="10"/>
    <n v="25.24"/>
    <n v="9212.6"/>
    <n v="33165.360000000001"/>
  </r>
  <r>
    <x v="0"/>
    <x v="0"/>
    <x v="0"/>
    <x v="3"/>
    <x v="12"/>
    <s v="SE4_HP"/>
    <x v="3"/>
    <s v="GETOH_HEATPUMP1"/>
    <x v="0"/>
    <x v="11"/>
    <n v="25.24"/>
    <n v="9212.6"/>
    <n v="33165.360000000001"/>
  </r>
  <r>
    <x v="0"/>
    <x v="0"/>
    <x v="0"/>
    <x v="3"/>
    <x v="12"/>
    <s v="SE4_HP"/>
    <x v="3"/>
    <s v="GETOH_HEATPUMP1"/>
    <x v="0"/>
    <x v="12"/>
    <n v="25.24"/>
    <n v="9212.6"/>
    <n v="33165.360000000001"/>
  </r>
  <r>
    <x v="0"/>
    <x v="0"/>
    <x v="0"/>
    <x v="3"/>
    <x v="12"/>
    <s v="SE4_HP"/>
    <x v="3"/>
    <s v="GETOH_HEATPUMP1"/>
    <x v="0"/>
    <x v="13"/>
    <n v="25.24"/>
    <n v="9212.6"/>
    <n v="33165.360000000001"/>
  </r>
  <r>
    <x v="0"/>
    <x v="0"/>
    <x v="0"/>
    <x v="3"/>
    <x v="12"/>
    <s v="SE4_HP"/>
    <x v="3"/>
    <s v="GETOH_HEATPUMP1"/>
    <x v="0"/>
    <x v="14"/>
    <n v="25.24"/>
    <n v="9212.6"/>
    <n v="33165.360000000001"/>
  </r>
  <r>
    <x v="0"/>
    <x v="0"/>
    <x v="0"/>
    <x v="3"/>
    <x v="12"/>
    <s v="SE4_HP"/>
    <x v="3"/>
    <s v="GETOH_HEATPUMP1"/>
    <x v="0"/>
    <x v="15"/>
    <n v="25.24"/>
    <n v="9212.6"/>
    <n v="33165.360000000001"/>
  </r>
  <r>
    <x v="0"/>
    <x v="0"/>
    <x v="0"/>
    <x v="3"/>
    <x v="12"/>
    <s v="SE4_HP"/>
    <x v="3"/>
    <s v="GETOH_HEATPUMP1"/>
    <x v="0"/>
    <x v="16"/>
    <n v="25.24"/>
    <n v="9212.6"/>
    <n v="33165.360000000001"/>
  </r>
  <r>
    <x v="0"/>
    <x v="0"/>
    <x v="0"/>
    <x v="3"/>
    <x v="12"/>
    <s v="SE4_HP"/>
    <x v="3"/>
    <s v="GETOH_HEATPUMP1"/>
    <x v="0"/>
    <x v="17"/>
    <n v="25.24"/>
    <n v="9212.6"/>
    <n v="33165.360000000001"/>
  </r>
  <r>
    <x v="0"/>
    <x v="0"/>
    <x v="0"/>
    <x v="3"/>
    <x v="12"/>
    <s v="SE4_HP"/>
    <x v="3"/>
    <s v="GETOH_HEATPUMP1"/>
    <x v="0"/>
    <x v="18"/>
    <n v="25.24"/>
    <n v="9212.6"/>
    <n v="33165.360000000001"/>
  </r>
  <r>
    <x v="0"/>
    <x v="0"/>
    <x v="0"/>
    <x v="3"/>
    <x v="12"/>
    <s v="SE4_HP"/>
    <x v="3"/>
    <s v="GETOH_HEATPUMP1"/>
    <x v="0"/>
    <x v="19"/>
    <n v="25.24"/>
    <n v="9212.6"/>
    <n v="33165.360000000001"/>
  </r>
  <r>
    <x v="0"/>
    <x v="0"/>
    <x v="0"/>
    <x v="3"/>
    <x v="12"/>
    <s v="SE4_HP"/>
    <x v="3"/>
    <s v="GETOH_HEATPUMP1"/>
    <x v="0"/>
    <x v="20"/>
    <n v="25.24"/>
    <n v="9212.6"/>
    <n v="33165.360000000001"/>
  </r>
  <r>
    <x v="0"/>
    <x v="0"/>
    <x v="0"/>
    <x v="3"/>
    <x v="12"/>
    <s v="SE4_HP"/>
    <x v="3"/>
    <s v="GETOH_HEATPUMP1"/>
    <x v="0"/>
    <x v="21"/>
    <n v="25.24"/>
    <n v="9212.6"/>
    <n v="33165.360000000001"/>
  </r>
  <r>
    <x v="0"/>
    <x v="0"/>
    <x v="0"/>
    <x v="3"/>
    <x v="12"/>
    <s v="SE4_HP"/>
    <x v="3"/>
    <s v="GETOH_HEATPUMP1"/>
    <x v="0"/>
    <x v="22"/>
    <n v="25.24"/>
    <n v="9212.6"/>
    <n v="33165.360000000001"/>
  </r>
  <r>
    <x v="0"/>
    <x v="0"/>
    <x v="0"/>
    <x v="3"/>
    <x v="12"/>
    <s v="SE4_HP"/>
    <x v="3"/>
    <s v="GETOH_HEATPUMP1"/>
    <x v="0"/>
    <x v="23"/>
    <n v="25.24"/>
    <n v="9212.6"/>
    <n v="33165.360000000001"/>
  </r>
  <r>
    <x v="0"/>
    <x v="0"/>
    <x v="0"/>
    <x v="3"/>
    <x v="12"/>
    <s v="SE4_HP"/>
    <x v="1"/>
    <s v="GBPR_MUNIWASTE_65"/>
    <x v="0"/>
    <x v="0"/>
    <n v="28.571428571428601"/>
    <n v="10428.5714285714"/>
    <n v="37542.857142857101"/>
  </r>
  <r>
    <x v="0"/>
    <x v="0"/>
    <x v="0"/>
    <x v="3"/>
    <x v="12"/>
    <s v="SE4_HP"/>
    <x v="1"/>
    <s v="GBPR_MUNIWASTE_65"/>
    <x v="0"/>
    <x v="1"/>
    <n v="28.571428571428601"/>
    <n v="10428.5714285714"/>
    <n v="37542.857142857101"/>
  </r>
  <r>
    <x v="0"/>
    <x v="0"/>
    <x v="0"/>
    <x v="3"/>
    <x v="12"/>
    <s v="SE4_HP"/>
    <x v="1"/>
    <s v="GBPR_MUNIWASTE_65"/>
    <x v="0"/>
    <x v="2"/>
    <n v="28.571428571428601"/>
    <n v="10428.5714285714"/>
    <n v="37542.857142857101"/>
  </r>
  <r>
    <x v="0"/>
    <x v="0"/>
    <x v="0"/>
    <x v="3"/>
    <x v="12"/>
    <s v="SE4_HP"/>
    <x v="1"/>
    <s v="GBPR_MUNIWASTE_65"/>
    <x v="0"/>
    <x v="3"/>
    <n v="28.571428571428601"/>
    <n v="10428.5714285714"/>
    <n v="37542.857142857101"/>
  </r>
  <r>
    <x v="0"/>
    <x v="0"/>
    <x v="0"/>
    <x v="3"/>
    <x v="12"/>
    <s v="SE4_HP"/>
    <x v="1"/>
    <s v="GBPR_MUNIWASTE_65"/>
    <x v="0"/>
    <x v="4"/>
    <n v="28.571428571428601"/>
    <n v="10428.5714285714"/>
    <n v="37542.857142857101"/>
  </r>
  <r>
    <x v="0"/>
    <x v="0"/>
    <x v="0"/>
    <x v="3"/>
    <x v="12"/>
    <s v="SE4_HP"/>
    <x v="1"/>
    <s v="GBPR_MUNIWASTE_65"/>
    <x v="0"/>
    <x v="5"/>
    <n v="28.571428571428601"/>
    <n v="10428.5714285714"/>
    <n v="37542.857142857101"/>
  </r>
  <r>
    <x v="0"/>
    <x v="0"/>
    <x v="0"/>
    <x v="3"/>
    <x v="12"/>
    <s v="SE4_HP"/>
    <x v="1"/>
    <s v="GBPR_MUNIWASTE_65"/>
    <x v="0"/>
    <x v="6"/>
    <n v="28.571428571428601"/>
    <n v="10428.5714285714"/>
    <n v="37542.857142857101"/>
  </r>
  <r>
    <x v="0"/>
    <x v="0"/>
    <x v="0"/>
    <x v="3"/>
    <x v="12"/>
    <s v="SE4_HP"/>
    <x v="1"/>
    <s v="GBPR_MUNIWASTE_65"/>
    <x v="0"/>
    <x v="7"/>
    <n v="28.571428571428601"/>
    <n v="10428.5714285714"/>
    <n v="37542.857142857101"/>
  </r>
  <r>
    <x v="0"/>
    <x v="0"/>
    <x v="0"/>
    <x v="3"/>
    <x v="12"/>
    <s v="SE4_HP"/>
    <x v="1"/>
    <s v="GBPR_MUNIWASTE_65"/>
    <x v="0"/>
    <x v="8"/>
    <n v="28.571428571428601"/>
    <n v="10428.5714285714"/>
    <n v="37542.857142857101"/>
  </r>
  <r>
    <x v="0"/>
    <x v="0"/>
    <x v="0"/>
    <x v="3"/>
    <x v="12"/>
    <s v="SE4_HP"/>
    <x v="1"/>
    <s v="GBPR_MUNIWASTE_65"/>
    <x v="0"/>
    <x v="9"/>
    <n v="28.571428571428601"/>
    <n v="10428.5714285714"/>
    <n v="37542.857142857101"/>
  </r>
  <r>
    <x v="0"/>
    <x v="0"/>
    <x v="0"/>
    <x v="3"/>
    <x v="12"/>
    <s v="SE4_HP"/>
    <x v="1"/>
    <s v="GBPR_MUNIWASTE_65"/>
    <x v="0"/>
    <x v="10"/>
    <n v="28.571428571428601"/>
    <n v="10428.5714285714"/>
    <n v="37542.857142857101"/>
  </r>
  <r>
    <x v="0"/>
    <x v="0"/>
    <x v="0"/>
    <x v="3"/>
    <x v="12"/>
    <s v="SE4_HP"/>
    <x v="1"/>
    <s v="GBPR_MUNIWASTE_65"/>
    <x v="0"/>
    <x v="11"/>
    <n v="28.571428571428601"/>
    <n v="10428.5714285714"/>
    <n v="37542.857142857101"/>
  </r>
  <r>
    <x v="0"/>
    <x v="0"/>
    <x v="0"/>
    <x v="3"/>
    <x v="12"/>
    <s v="SE4_HP"/>
    <x v="1"/>
    <s v="GBPR_MUNIWASTE_65"/>
    <x v="0"/>
    <x v="12"/>
    <n v="28.571428571428601"/>
    <n v="10428.5714285714"/>
    <n v="37542.857142857101"/>
  </r>
  <r>
    <x v="0"/>
    <x v="0"/>
    <x v="0"/>
    <x v="3"/>
    <x v="12"/>
    <s v="SE4_HP"/>
    <x v="1"/>
    <s v="GBPR_MUNIWASTE_65"/>
    <x v="0"/>
    <x v="13"/>
    <n v="28.571428571428601"/>
    <n v="10428.5714285714"/>
    <n v="37542.857142857101"/>
  </r>
  <r>
    <x v="0"/>
    <x v="0"/>
    <x v="0"/>
    <x v="3"/>
    <x v="12"/>
    <s v="SE4_HP"/>
    <x v="1"/>
    <s v="GBPR_MUNIWASTE_65"/>
    <x v="0"/>
    <x v="14"/>
    <n v="28.571428571428601"/>
    <n v="10428.5714285714"/>
    <n v="37542.857142857101"/>
  </r>
  <r>
    <x v="0"/>
    <x v="0"/>
    <x v="0"/>
    <x v="3"/>
    <x v="12"/>
    <s v="SE4_HP"/>
    <x v="1"/>
    <s v="GBPR_MUNIWASTE_65"/>
    <x v="0"/>
    <x v="15"/>
    <n v="28.571428571428601"/>
    <n v="10428.5714285714"/>
    <n v="37542.857142857101"/>
  </r>
  <r>
    <x v="0"/>
    <x v="0"/>
    <x v="0"/>
    <x v="3"/>
    <x v="12"/>
    <s v="SE4_HP"/>
    <x v="1"/>
    <s v="GBPR_MUNIWASTE_65"/>
    <x v="0"/>
    <x v="16"/>
    <n v="28.571428571428601"/>
    <n v="10428.5714285714"/>
    <n v="37542.857142857101"/>
  </r>
  <r>
    <x v="0"/>
    <x v="0"/>
    <x v="0"/>
    <x v="3"/>
    <x v="12"/>
    <s v="SE4_HP"/>
    <x v="1"/>
    <s v="GBPR_MUNIWASTE_65"/>
    <x v="0"/>
    <x v="17"/>
    <n v="28.571428571428601"/>
    <n v="10428.5714285714"/>
    <n v="37542.857142857101"/>
  </r>
  <r>
    <x v="0"/>
    <x v="0"/>
    <x v="0"/>
    <x v="3"/>
    <x v="12"/>
    <s v="SE4_HP"/>
    <x v="1"/>
    <s v="GBPR_MUNIWASTE_65"/>
    <x v="0"/>
    <x v="18"/>
    <n v="28.571428571428601"/>
    <n v="10428.5714285714"/>
    <n v="37542.857142857101"/>
  </r>
  <r>
    <x v="0"/>
    <x v="0"/>
    <x v="0"/>
    <x v="3"/>
    <x v="12"/>
    <s v="SE4_HP"/>
    <x v="1"/>
    <s v="GBPR_MUNIWASTE_65"/>
    <x v="0"/>
    <x v="19"/>
    <n v="28.571428571428601"/>
    <n v="10428.5714285714"/>
    <n v="37542.857142857101"/>
  </r>
  <r>
    <x v="0"/>
    <x v="0"/>
    <x v="0"/>
    <x v="3"/>
    <x v="12"/>
    <s v="SE4_HP"/>
    <x v="1"/>
    <s v="GBPR_MUNIWASTE_65"/>
    <x v="0"/>
    <x v="20"/>
    <n v="28.571428571428601"/>
    <n v="10428.5714285714"/>
    <n v="37542.857142857101"/>
  </r>
  <r>
    <x v="0"/>
    <x v="0"/>
    <x v="0"/>
    <x v="3"/>
    <x v="12"/>
    <s v="SE4_HP"/>
    <x v="1"/>
    <s v="GBPR_MUNIWASTE_65"/>
    <x v="0"/>
    <x v="21"/>
    <n v="28.571428571428601"/>
    <n v="10428.5714285714"/>
    <n v="37542.857142857101"/>
  </r>
  <r>
    <x v="0"/>
    <x v="0"/>
    <x v="0"/>
    <x v="3"/>
    <x v="12"/>
    <s v="SE4_HP"/>
    <x v="1"/>
    <s v="GBPR_MUNIWASTE_65"/>
    <x v="0"/>
    <x v="22"/>
    <n v="28.571428571428601"/>
    <n v="10428.5714285714"/>
    <n v="37542.857142857101"/>
  </r>
  <r>
    <x v="0"/>
    <x v="0"/>
    <x v="0"/>
    <x v="3"/>
    <x v="12"/>
    <s v="SE4_HP"/>
    <x v="1"/>
    <s v="GBPR_MUNIWASTE_65"/>
    <x v="0"/>
    <x v="23"/>
    <n v="28.571428571428601"/>
    <n v="10428.5714285714"/>
    <n v="37542.857142857101"/>
  </r>
  <r>
    <x v="0"/>
    <x v="0"/>
    <x v="0"/>
    <x v="3"/>
    <x v="12"/>
    <s v="SE4_HP"/>
    <x v="4"/>
    <s v="GHOB_NATGAS"/>
    <x v="0"/>
    <x v="0"/>
    <n v="2.71371391902214"/>
    <n v="990.50558044308104"/>
    <n v="3565.8200895950899"/>
  </r>
  <r>
    <x v="0"/>
    <x v="0"/>
    <x v="0"/>
    <x v="3"/>
    <x v="12"/>
    <s v="SE4_HP"/>
    <x v="4"/>
    <s v="GHOB_NATGAS"/>
    <x v="0"/>
    <x v="1"/>
    <n v="4.84107524474868"/>
    <n v="1766.9924643332699"/>
    <n v="6361.1728715997697"/>
  </r>
  <r>
    <x v="0"/>
    <x v="0"/>
    <x v="0"/>
    <x v="3"/>
    <x v="12"/>
    <s v="SE4_HP"/>
    <x v="4"/>
    <s v="GHOB_NATGAS"/>
    <x v="0"/>
    <x v="2"/>
    <n v="4.4100638612676004"/>
    <n v="1609.6733093626699"/>
    <n v="5794.8239137056298"/>
  </r>
  <r>
    <x v="0"/>
    <x v="0"/>
    <x v="0"/>
    <x v="3"/>
    <x v="12"/>
    <s v="SE4_HP"/>
    <x v="4"/>
    <s v="GHOB_NATGAS"/>
    <x v="0"/>
    <x v="3"/>
    <n v="7.2969135342704297"/>
    <n v="2663.3734400087101"/>
    <n v="9588.1443840313495"/>
  </r>
  <r>
    <x v="0"/>
    <x v="0"/>
    <x v="0"/>
    <x v="3"/>
    <x v="12"/>
    <s v="SE4_HP"/>
    <x v="4"/>
    <s v="GHOB_NATGAS"/>
    <x v="0"/>
    <x v="4"/>
    <n v="10.4936354226041"/>
    <n v="3830.17692925049"/>
    <n v="13788.6369453018"/>
  </r>
  <r>
    <x v="0"/>
    <x v="0"/>
    <x v="0"/>
    <x v="3"/>
    <x v="12"/>
    <s v="SE4_HP"/>
    <x v="4"/>
    <s v="GHOB_NATGAS"/>
    <x v="0"/>
    <x v="5"/>
    <n v="24.342347975298701"/>
    <n v="8884.9570109840206"/>
    <n v="31985.845239542501"/>
  </r>
  <r>
    <x v="0"/>
    <x v="0"/>
    <x v="0"/>
    <x v="3"/>
    <x v="12"/>
    <s v="SE4_HP"/>
    <x v="4"/>
    <s v="GHOB_NATGAS"/>
    <x v="0"/>
    <x v="6"/>
    <n v="50.740095418203303"/>
    <n v="18520.1348276442"/>
    <n v="66672.485379519101"/>
  </r>
  <r>
    <x v="0"/>
    <x v="0"/>
    <x v="0"/>
    <x v="3"/>
    <x v="12"/>
    <s v="SE4_HP"/>
    <x v="4"/>
    <s v="GHOB_NATGAS"/>
    <x v="0"/>
    <x v="7"/>
    <n v="53.771610254282898"/>
    <n v="19626.637742813298"/>
    <n v="70655.895874127804"/>
  </r>
  <r>
    <x v="0"/>
    <x v="0"/>
    <x v="0"/>
    <x v="3"/>
    <x v="12"/>
    <s v="SE4_HP"/>
    <x v="4"/>
    <s v="GHOB_NATGAS"/>
    <x v="0"/>
    <x v="8"/>
    <n v="40.818268188083202"/>
    <n v="14898.6678886504"/>
    <n v="53635.204399141301"/>
  </r>
  <r>
    <x v="0"/>
    <x v="0"/>
    <x v="0"/>
    <x v="3"/>
    <x v="12"/>
    <s v="SE4_HP"/>
    <x v="4"/>
    <s v="GHOB_NATGAS"/>
    <x v="0"/>
    <x v="9"/>
    <n v="29.5753106555734"/>
    <n v="10794.988389284301"/>
    <n v="38861.958201423498"/>
  </r>
  <r>
    <x v="0"/>
    <x v="0"/>
    <x v="0"/>
    <x v="3"/>
    <x v="12"/>
    <s v="SE4_HP"/>
    <x v="4"/>
    <s v="GHOB_NATGAS"/>
    <x v="0"/>
    <x v="10"/>
    <n v="22.136372135909902"/>
    <n v="8079.7758296071197"/>
    <n v="29087.1929865856"/>
  </r>
  <r>
    <x v="0"/>
    <x v="0"/>
    <x v="0"/>
    <x v="3"/>
    <x v="12"/>
    <s v="SE4_HP"/>
    <x v="4"/>
    <s v="GHOB_NATGAS"/>
    <x v="0"/>
    <x v="11"/>
    <n v="17.145045528320399"/>
    <n v="6257.9416178369502"/>
    <n v="22528.589824212999"/>
  </r>
  <r>
    <x v="0"/>
    <x v="0"/>
    <x v="0"/>
    <x v="3"/>
    <x v="12"/>
    <s v="SE4_HP"/>
    <x v="4"/>
    <s v="GHOB_NATGAS"/>
    <x v="0"/>
    <x v="12"/>
    <n v="13.083447248924299"/>
    <n v="4775.4582458573695"/>
    <n v="17191.649685086501"/>
  </r>
  <r>
    <x v="0"/>
    <x v="0"/>
    <x v="0"/>
    <x v="3"/>
    <x v="12"/>
    <s v="SE4_HP"/>
    <x v="4"/>
    <s v="GHOB_NATGAS"/>
    <x v="0"/>
    <x v="13"/>
    <n v="13.374539196605699"/>
    <n v="4881.7068067610899"/>
    <n v="17574.1445043399"/>
  </r>
  <r>
    <x v="0"/>
    <x v="0"/>
    <x v="0"/>
    <x v="3"/>
    <x v="12"/>
    <s v="SE4_HP"/>
    <x v="4"/>
    <s v="GHOB_NATGAS"/>
    <x v="0"/>
    <x v="14"/>
    <n v="15.957865803237199"/>
    <n v="5824.6210181815804"/>
    <n v="20968.635665453701"/>
  </r>
  <r>
    <x v="0"/>
    <x v="0"/>
    <x v="0"/>
    <x v="3"/>
    <x v="12"/>
    <s v="SE4_HP"/>
    <x v="4"/>
    <s v="GHOB_NATGAS"/>
    <x v="0"/>
    <x v="15"/>
    <n v="20.117163185145198"/>
    <n v="7342.7645625780096"/>
    <n v="26433.952425280801"/>
  </r>
  <r>
    <x v="0"/>
    <x v="0"/>
    <x v="0"/>
    <x v="3"/>
    <x v="12"/>
    <s v="SE4_HP"/>
    <x v="4"/>
    <s v="GHOB_NATGAS"/>
    <x v="0"/>
    <x v="16"/>
    <n v="24.080551011274"/>
    <n v="8789.4011191150294"/>
    <n v="31641.844028814099"/>
  </r>
  <r>
    <x v="0"/>
    <x v="0"/>
    <x v="0"/>
    <x v="3"/>
    <x v="12"/>
    <s v="SE4_HP"/>
    <x v="4"/>
    <s v="GHOB_NATGAS"/>
    <x v="0"/>
    <x v="17"/>
    <n v="26.135220325585799"/>
    <n v="9539.3554188388298"/>
    <n v="34341.679507819797"/>
  </r>
  <r>
    <x v="0"/>
    <x v="0"/>
    <x v="0"/>
    <x v="3"/>
    <x v="12"/>
    <s v="SE4_HP"/>
    <x v="4"/>
    <s v="GHOB_NATGAS"/>
    <x v="0"/>
    <x v="18"/>
    <n v="29.673225873418101"/>
    <n v="10830.727443797599"/>
    <n v="38990.618797671399"/>
  </r>
  <r>
    <x v="0"/>
    <x v="0"/>
    <x v="0"/>
    <x v="3"/>
    <x v="12"/>
    <s v="SE4_HP"/>
    <x v="4"/>
    <s v="GHOB_NATGAS"/>
    <x v="0"/>
    <x v="19"/>
    <n v="32.2756915156627"/>
    <n v="11780.6274032169"/>
    <n v="42410.2586515808"/>
  </r>
  <r>
    <x v="0"/>
    <x v="0"/>
    <x v="0"/>
    <x v="3"/>
    <x v="12"/>
    <s v="SE4_HP"/>
    <x v="4"/>
    <s v="GHOB_NATGAS"/>
    <x v="0"/>
    <x v="20"/>
    <n v="32.358402547206403"/>
    <n v="11810.816929730299"/>
    <n v="42518.940947029201"/>
  </r>
  <r>
    <x v="0"/>
    <x v="0"/>
    <x v="0"/>
    <x v="3"/>
    <x v="12"/>
    <s v="SE4_HP"/>
    <x v="4"/>
    <s v="GHOB_NATGAS"/>
    <x v="0"/>
    <x v="21"/>
    <n v="30.127752530706299"/>
    <n v="10996.629673707799"/>
    <n v="39587.866825348101"/>
  </r>
  <r>
    <x v="0"/>
    <x v="0"/>
    <x v="0"/>
    <x v="3"/>
    <x v="12"/>
    <s v="SE4_HP"/>
    <x v="4"/>
    <s v="GHOB_NATGAS"/>
    <x v="0"/>
    <x v="22"/>
    <n v="24.921789212502201"/>
    <n v="9096.4530625632997"/>
    <n v="32747.231025227898"/>
  </r>
  <r>
    <x v="0"/>
    <x v="0"/>
    <x v="0"/>
    <x v="3"/>
    <x v="12"/>
    <s v="SE4_HP"/>
    <x v="4"/>
    <s v="GHOB_NATGAS"/>
    <x v="0"/>
    <x v="23"/>
    <n v="11.727157693058199"/>
    <n v="4280.4125579662305"/>
    <n v="15409.485208678399"/>
  </r>
  <r>
    <x v="0"/>
    <x v="0"/>
    <x v="0"/>
    <x v="3"/>
    <x v="12"/>
    <s v="SE4_HP"/>
    <x v="2"/>
    <s v="GHOB_WASTEHEAT"/>
    <x v="0"/>
    <x v="0"/>
    <n v="34.569597069596902"/>
    <n v="12617.902930402901"/>
    <n v="45424.450549450397"/>
  </r>
  <r>
    <x v="0"/>
    <x v="0"/>
    <x v="0"/>
    <x v="3"/>
    <x v="12"/>
    <s v="SE4_HP"/>
    <x v="2"/>
    <s v="GHOB_WASTEHEAT"/>
    <x v="0"/>
    <x v="1"/>
    <n v="34.569597069596902"/>
    <n v="12617.902930402901"/>
    <n v="45424.450549450397"/>
  </r>
  <r>
    <x v="0"/>
    <x v="0"/>
    <x v="0"/>
    <x v="3"/>
    <x v="12"/>
    <s v="SE4_HP"/>
    <x v="2"/>
    <s v="GHOB_WASTEHEAT"/>
    <x v="0"/>
    <x v="2"/>
    <n v="34.569597069596902"/>
    <n v="12617.902930402901"/>
    <n v="45424.450549450397"/>
  </r>
  <r>
    <x v="0"/>
    <x v="0"/>
    <x v="0"/>
    <x v="3"/>
    <x v="12"/>
    <s v="SE4_HP"/>
    <x v="2"/>
    <s v="GHOB_WASTEHEAT"/>
    <x v="0"/>
    <x v="3"/>
    <n v="34.569597069596902"/>
    <n v="12617.902930402901"/>
    <n v="45424.450549450397"/>
  </r>
  <r>
    <x v="0"/>
    <x v="0"/>
    <x v="0"/>
    <x v="3"/>
    <x v="12"/>
    <s v="SE4_HP"/>
    <x v="2"/>
    <s v="GHOB_WASTEHEAT"/>
    <x v="0"/>
    <x v="4"/>
    <n v="34.569597069596902"/>
    <n v="12617.902930402901"/>
    <n v="45424.450549450397"/>
  </r>
  <r>
    <x v="0"/>
    <x v="0"/>
    <x v="0"/>
    <x v="3"/>
    <x v="12"/>
    <s v="SE4_HP"/>
    <x v="2"/>
    <s v="GHOB_WASTEHEAT"/>
    <x v="0"/>
    <x v="5"/>
    <n v="34.569597069596902"/>
    <n v="12617.902930402901"/>
    <n v="45424.450549450397"/>
  </r>
  <r>
    <x v="0"/>
    <x v="0"/>
    <x v="0"/>
    <x v="3"/>
    <x v="12"/>
    <s v="SE4_HP"/>
    <x v="2"/>
    <s v="GHOB_WASTEHEAT"/>
    <x v="0"/>
    <x v="6"/>
    <n v="34.569597069596902"/>
    <n v="12617.902930402901"/>
    <n v="45424.450549450397"/>
  </r>
  <r>
    <x v="0"/>
    <x v="0"/>
    <x v="0"/>
    <x v="3"/>
    <x v="12"/>
    <s v="SE4_HP"/>
    <x v="2"/>
    <s v="GHOB_WASTEHEAT"/>
    <x v="0"/>
    <x v="7"/>
    <n v="34.569597069596902"/>
    <n v="12617.902930402901"/>
    <n v="45424.450549450397"/>
  </r>
  <r>
    <x v="0"/>
    <x v="0"/>
    <x v="0"/>
    <x v="3"/>
    <x v="12"/>
    <s v="SE4_HP"/>
    <x v="2"/>
    <s v="GHOB_WASTEHEAT"/>
    <x v="0"/>
    <x v="8"/>
    <n v="34.569597069596902"/>
    <n v="12617.902930402901"/>
    <n v="45424.450549450397"/>
  </r>
  <r>
    <x v="0"/>
    <x v="0"/>
    <x v="0"/>
    <x v="3"/>
    <x v="12"/>
    <s v="SE4_HP"/>
    <x v="2"/>
    <s v="GHOB_WASTEHEAT"/>
    <x v="0"/>
    <x v="9"/>
    <n v="34.569597069596902"/>
    <n v="12617.902930402901"/>
    <n v="45424.450549450397"/>
  </r>
  <r>
    <x v="0"/>
    <x v="0"/>
    <x v="0"/>
    <x v="3"/>
    <x v="12"/>
    <s v="SE4_HP"/>
    <x v="2"/>
    <s v="GHOB_WASTEHEAT"/>
    <x v="0"/>
    <x v="10"/>
    <n v="34.569597069596902"/>
    <n v="12617.902930402901"/>
    <n v="45424.450549450397"/>
  </r>
  <r>
    <x v="0"/>
    <x v="0"/>
    <x v="0"/>
    <x v="3"/>
    <x v="12"/>
    <s v="SE4_HP"/>
    <x v="2"/>
    <s v="GHOB_WASTEHEAT"/>
    <x v="0"/>
    <x v="11"/>
    <n v="34.569597069596902"/>
    <n v="12617.902930402901"/>
    <n v="45424.450549450397"/>
  </r>
  <r>
    <x v="0"/>
    <x v="0"/>
    <x v="0"/>
    <x v="3"/>
    <x v="12"/>
    <s v="SE4_HP"/>
    <x v="2"/>
    <s v="GHOB_WASTEHEAT"/>
    <x v="0"/>
    <x v="12"/>
    <n v="34.569597069596902"/>
    <n v="12617.902930402901"/>
    <n v="45424.450549450397"/>
  </r>
  <r>
    <x v="0"/>
    <x v="0"/>
    <x v="0"/>
    <x v="3"/>
    <x v="12"/>
    <s v="SE4_HP"/>
    <x v="2"/>
    <s v="GHOB_WASTEHEAT"/>
    <x v="0"/>
    <x v="13"/>
    <n v="34.569597069596902"/>
    <n v="12617.902930402901"/>
    <n v="45424.450549450397"/>
  </r>
  <r>
    <x v="0"/>
    <x v="0"/>
    <x v="0"/>
    <x v="3"/>
    <x v="12"/>
    <s v="SE4_HP"/>
    <x v="2"/>
    <s v="GHOB_WASTEHEAT"/>
    <x v="0"/>
    <x v="14"/>
    <n v="34.569597069596902"/>
    <n v="12617.902930402901"/>
    <n v="45424.450549450397"/>
  </r>
  <r>
    <x v="0"/>
    <x v="0"/>
    <x v="0"/>
    <x v="3"/>
    <x v="12"/>
    <s v="SE4_HP"/>
    <x v="2"/>
    <s v="GHOB_WASTEHEAT"/>
    <x v="0"/>
    <x v="15"/>
    <n v="34.569597069596902"/>
    <n v="12617.902930402901"/>
    <n v="45424.450549450397"/>
  </r>
  <r>
    <x v="0"/>
    <x v="0"/>
    <x v="0"/>
    <x v="3"/>
    <x v="12"/>
    <s v="SE4_HP"/>
    <x v="2"/>
    <s v="GHOB_WASTEHEAT"/>
    <x v="0"/>
    <x v="16"/>
    <n v="34.569597069596902"/>
    <n v="12617.902930402901"/>
    <n v="45424.450549450397"/>
  </r>
  <r>
    <x v="0"/>
    <x v="0"/>
    <x v="0"/>
    <x v="3"/>
    <x v="12"/>
    <s v="SE4_HP"/>
    <x v="2"/>
    <s v="GHOB_WASTEHEAT"/>
    <x v="0"/>
    <x v="17"/>
    <n v="34.569597069596902"/>
    <n v="12617.902930402901"/>
    <n v="45424.450549450397"/>
  </r>
  <r>
    <x v="0"/>
    <x v="0"/>
    <x v="0"/>
    <x v="3"/>
    <x v="12"/>
    <s v="SE4_HP"/>
    <x v="2"/>
    <s v="GHOB_WASTEHEAT"/>
    <x v="0"/>
    <x v="18"/>
    <n v="34.569597069596902"/>
    <n v="12617.902930402901"/>
    <n v="45424.450549450397"/>
  </r>
  <r>
    <x v="0"/>
    <x v="0"/>
    <x v="0"/>
    <x v="3"/>
    <x v="12"/>
    <s v="SE4_HP"/>
    <x v="2"/>
    <s v="GHOB_WASTEHEAT"/>
    <x v="0"/>
    <x v="19"/>
    <n v="34.569597069596902"/>
    <n v="12617.902930402901"/>
    <n v="45424.450549450397"/>
  </r>
  <r>
    <x v="0"/>
    <x v="0"/>
    <x v="0"/>
    <x v="3"/>
    <x v="12"/>
    <s v="SE4_HP"/>
    <x v="2"/>
    <s v="GHOB_WASTEHEAT"/>
    <x v="0"/>
    <x v="20"/>
    <n v="34.569597069596902"/>
    <n v="12617.902930402901"/>
    <n v="45424.450549450397"/>
  </r>
  <r>
    <x v="0"/>
    <x v="0"/>
    <x v="0"/>
    <x v="3"/>
    <x v="12"/>
    <s v="SE4_HP"/>
    <x v="2"/>
    <s v="GHOB_WASTEHEAT"/>
    <x v="0"/>
    <x v="21"/>
    <n v="34.569597069596902"/>
    <n v="12617.902930402901"/>
    <n v="45424.450549450397"/>
  </r>
  <r>
    <x v="0"/>
    <x v="0"/>
    <x v="0"/>
    <x v="3"/>
    <x v="12"/>
    <s v="SE4_HP"/>
    <x v="2"/>
    <s v="GHOB_WASTEHEAT"/>
    <x v="0"/>
    <x v="22"/>
    <n v="34.569597069596902"/>
    <n v="12617.902930402901"/>
    <n v="45424.450549450397"/>
  </r>
  <r>
    <x v="0"/>
    <x v="0"/>
    <x v="0"/>
    <x v="3"/>
    <x v="12"/>
    <s v="SE4_HP"/>
    <x v="2"/>
    <s v="GHOB_WASTEHEAT"/>
    <x v="0"/>
    <x v="23"/>
    <n v="34.569597069596902"/>
    <n v="12617.902930402901"/>
    <n v="45424.450549450397"/>
  </r>
  <r>
    <x v="0"/>
    <x v="0"/>
    <x v="0"/>
    <x v="3"/>
    <x v="12"/>
    <s v="SE4_HP"/>
    <x v="7"/>
    <s v="GHOB_WOODWASTE"/>
    <x v="0"/>
    <x v="0"/>
    <n v="13.145595446584901"/>
    <n v="4798.1423380035003"/>
    <n v="17273.312416812601"/>
  </r>
  <r>
    <x v="0"/>
    <x v="0"/>
    <x v="0"/>
    <x v="3"/>
    <x v="12"/>
    <s v="SE4_HP"/>
    <x v="7"/>
    <s v="GHOB_WOODWASTE"/>
    <x v="0"/>
    <x v="1"/>
    <n v="13.145595446584901"/>
    <n v="4798.1423380035003"/>
    <n v="17273.312416812601"/>
  </r>
  <r>
    <x v="0"/>
    <x v="0"/>
    <x v="0"/>
    <x v="3"/>
    <x v="12"/>
    <s v="SE4_HP"/>
    <x v="7"/>
    <s v="GHOB_WOODWASTE"/>
    <x v="0"/>
    <x v="2"/>
    <n v="13.145595446584901"/>
    <n v="4798.1423380035003"/>
    <n v="17273.312416812601"/>
  </r>
  <r>
    <x v="0"/>
    <x v="0"/>
    <x v="0"/>
    <x v="3"/>
    <x v="12"/>
    <s v="SE4_HP"/>
    <x v="7"/>
    <s v="GHOB_WOODWASTE"/>
    <x v="0"/>
    <x v="3"/>
    <n v="13.145595446584901"/>
    <n v="4798.1423380035003"/>
    <n v="17273.312416812601"/>
  </r>
  <r>
    <x v="0"/>
    <x v="0"/>
    <x v="0"/>
    <x v="3"/>
    <x v="12"/>
    <s v="SE4_HP"/>
    <x v="7"/>
    <s v="GHOB_WOODWASTE"/>
    <x v="0"/>
    <x v="4"/>
    <n v="13.145595446584901"/>
    <n v="4798.1423380035003"/>
    <n v="17273.312416812601"/>
  </r>
  <r>
    <x v="0"/>
    <x v="0"/>
    <x v="0"/>
    <x v="3"/>
    <x v="12"/>
    <s v="SE4_HP"/>
    <x v="7"/>
    <s v="GHOB_WOODWASTE"/>
    <x v="0"/>
    <x v="5"/>
    <n v="13.145595446584901"/>
    <n v="4798.1423380035003"/>
    <n v="17273.312416812601"/>
  </r>
  <r>
    <x v="0"/>
    <x v="0"/>
    <x v="0"/>
    <x v="3"/>
    <x v="12"/>
    <s v="SE4_HP"/>
    <x v="7"/>
    <s v="GHOB_WOODWASTE"/>
    <x v="0"/>
    <x v="6"/>
    <n v="13.145595446584901"/>
    <n v="4798.1423380035003"/>
    <n v="17273.312416812601"/>
  </r>
  <r>
    <x v="0"/>
    <x v="0"/>
    <x v="0"/>
    <x v="3"/>
    <x v="12"/>
    <s v="SE4_HP"/>
    <x v="7"/>
    <s v="GHOB_WOODWASTE"/>
    <x v="0"/>
    <x v="7"/>
    <n v="13.145595446584901"/>
    <n v="4798.1423380035003"/>
    <n v="17273.312416812601"/>
  </r>
  <r>
    <x v="0"/>
    <x v="0"/>
    <x v="0"/>
    <x v="3"/>
    <x v="12"/>
    <s v="SE4_HP"/>
    <x v="7"/>
    <s v="GHOB_WOODWASTE"/>
    <x v="0"/>
    <x v="8"/>
    <n v="13.145595446584901"/>
    <n v="4798.1423380035003"/>
    <n v="17273.312416812601"/>
  </r>
  <r>
    <x v="0"/>
    <x v="0"/>
    <x v="0"/>
    <x v="3"/>
    <x v="12"/>
    <s v="SE4_HP"/>
    <x v="7"/>
    <s v="GHOB_WOODWASTE"/>
    <x v="0"/>
    <x v="9"/>
    <n v="13.145595446584901"/>
    <n v="4798.1423380035003"/>
    <n v="17273.312416812601"/>
  </r>
  <r>
    <x v="0"/>
    <x v="0"/>
    <x v="0"/>
    <x v="3"/>
    <x v="12"/>
    <s v="SE4_HP"/>
    <x v="7"/>
    <s v="GHOB_WOODWASTE"/>
    <x v="0"/>
    <x v="10"/>
    <n v="13.145595446584901"/>
    <n v="4798.1423380035003"/>
    <n v="17273.312416812601"/>
  </r>
  <r>
    <x v="0"/>
    <x v="0"/>
    <x v="0"/>
    <x v="3"/>
    <x v="12"/>
    <s v="SE4_HP"/>
    <x v="7"/>
    <s v="GHOB_WOODWASTE"/>
    <x v="0"/>
    <x v="11"/>
    <n v="13.145595446584901"/>
    <n v="4798.1423380035003"/>
    <n v="17273.312416812601"/>
  </r>
  <r>
    <x v="0"/>
    <x v="0"/>
    <x v="0"/>
    <x v="3"/>
    <x v="12"/>
    <s v="SE4_HP"/>
    <x v="7"/>
    <s v="GHOB_WOODWASTE"/>
    <x v="0"/>
    <x v="12"/>
    <n v="13.145595446584901"/>
    <n v="4798.1423380035003"/>
    <n v="17273.312416812601"/>
  </r>
  <r>
    <x v="0"/>
    <x v="0"/>
    <x v="0"/>
    <x v="3"/>
    <x v="12"/>
    <s v="SE4_HP"/>
    <x v="7"/>
    <s v="GHOB_WOODWASTE"/>
    <x v="0"/>
    <x v="13"/>
    <n v="13.145595446584901"/>
    <n v="4798.1423380035003"/>
    <n v="17273.312416812601"/>
  </r>
  <r>
    <x v="0"/>
    <x v="0"/>
    <x v="0"/>
    <x v="3"/>
    <x v="12"/>
    <s v="SE4_HP"/>
    <x v="7"/>
    <s v="GHOB_WOODWASTE"/>
    <x v="0"/>
    <x v="14"/>
    <n v="13.145595446584901"/>
    <n v="4798.1423380035003"/>
    <n v="17273.312416812601"/>
  </r>
  <r>
    <x v="0"/>
    <x v="0"/>
    <x v="0"/>
    <x v="3"/>
    <x v="12"/>
    <s v="SE4_HP"/>
    <x v="7"/>
    <s v="GHOB_WOODWASTE"/>
    <x v="0"/>
    <x v="15"/>
    <n v="13.145595446584901"/>
    <n v="4798.1423380035003"/>
    <n v="17273.312416812601"/>
  </r>
  <r>
    <x v="0"/>
    <x v="0"/>
    <x v="0"/>
    <x v="3"/>
    <x v="12"/>
    <s v="SE4_HP"/>
    <x v="7"/>
    <s v="GHOB_WOODWASTE"/>
    <x v="0"/>
    <x v="16"/>
    <n v="13.145595446584901"/>
    <n v="4798.1423380035003"/>
    <n v="17273.312416812601"/>
  </r>
  <r>
    <x v="0"/>
    <x v="0"/>
    <x v="0"/>
    <x v="3"/>
    <x v="12"/>
    <s v="SE4_HP"/>
    <x v="7"/>
    <s v="GHOB_WOODWASTE"/>
    <x v="0"/>
    <x v="17"/>
    <n v="13.145595446584901"/>
    <n v="4798.1423380035003"/>
    <n v="17273.312416812601"/>
  </r>
  <r>
    <x v="0"/>
    <x v="0"/>
    <x v="0"/>
    <x v="3"/>
    <x v="12"/>
    <s v="SE4_HP"/>
    <x v="7"/>
    <s v="GHOB_WOODWASTE"/>
    <x v="0"/>
    <x v="18"/>
    <n v="13.145595446584901"/>
    <n v="4798.1423380035003"/>
    <n v="17273.312416812601"/>
  </r>
  <r>
    <x v="0"/>
    <x v="0"/>
    <x v="0"/>
    <x v="3"/>
    <x v="12"/>
    <s v="SE4_HP"/>
    <x v="7"/>
    <s v="GHOB_WOODWASTE"/>
    <x v="0"/>
    <x v="19"/>
    <n v="13.145595446584901"/>
    <n v="4798.1423380035003"/>
    <n v="17273.312416812601"/>
  </r>
  <r>
    <x v="0"/>
    <x v="0"/>
    <x v="0"/>
    <x v="3"/>
    <x v="12"/>
    <s v="SE4_HP"/>
    <x v="7"/>
    <s v="GHOB_WOODWASTE"/>
    <x v="0"/>
    <x v="20"/>
    <n v="13.145595446584901"/>
    <n v="4798.1423380035003"/>
    <n v="17273.312416812601"/>
  </r>
  <r>
    <x v="0"/>
    <x v="0"/>
    <x v="0"/>
    <x v="3"/>
    <x v="12"/>
    <s v="SE4_HP"/>
    <x v="7"/>
    <s v="GHOB_WOODWASTE"/>
    <x v="0"/>
    <x v="21"/>
    <n v="13.145595446584901"/>
    <n v="4798.1423380035003"/>
    <n v="17273.312416812601"/>
  </r>
  <r>
    <x v="0"/>
    <x v="0"/>
    <x v="0"/>
    <x v="3"/>
    <x v="12"/>
    <s v="SE4_HP"/>
    <x v="7"/>
    <s v="GHOB_WOODWASTE"/>
    <x v="0"/>
    <x v="22"/>
    <n v="13.145595446584901"/>
    <n v="4798.1423380035003"/>
    <n v="17273.312416812601"/>
  </r>
  <r>
    <x v="0"/>
    <x v="0"/>
    <x v="0"/>
    <x v="3"/>
    <x v="12"/>
    <s v="SE4_HP"/>
    <x v="7"/>
    <s v="GHOB_WOODWASTE"/>
    <x v="0"/>
    <x v="23"/>
    <n v="13.145595446584901"/>
    <n v="4798.1423380035003"/>
    <n v="17273.312416812601"/>
  </r>
  <r>
    <x v="0"/>
    <x v="0"/>
    <x v="0"/>
    <x v="3"/>
    <x v="12"/>
    <s v="SE4_MAL"/>
    <x v="3"/>
    <s v="GETOH_HEATPUMP33"/>
    <x v="0"/>
    <x v="0"/>
    <n v="1.1000000000000001"/>
    <n v="401.5"/>
    <n v="1445.4"/>
  </r>
  <r>
    <x v="0"/>
    <x v="0"/>
    <x v="0"/>
    <x v="3"/>
    <x v="12"/>
    <s v="SE4_MAL"/>
    <x v="3"/>
    <s v="GETOH_HEATPUMP33"/>
    <x v="0"/>
    <x v="1"/>
    <n v="1.1000000000000001"/>
    <n v="401.5"/>
    <n v="1445.4"/>
  </r>
  <r>
    <x v="0"/>
    <x v="0"/>
    <x v="0"/>
    <x v="3"/>
    <x v="12"/>
    <s v="SE4_MAL"/>
    <x v="3"/>
    <s v="GETOH_HEATPUMP33"/>
    <x v="0"/>
    <x v="2"/>
    <n v="1.1000000000000001"/>
    <n v="401.5"/>
    <n v="1445.4"/>
  </r>
  <r>
    <x v="0"/>
    <x v="0"/>
    <x v="0"/>
    <x v="3"/>
    <x v="12"/>
    <s v="SE4_MAL"/>
    <x v="3"/>
    <s v="GETOH_HEATPUMP33"/>
    <x v="0"/>
    <x v="3"/>
    <n v="1.1000000000000001"/>
    <n v="401.5"/>
    <n v="1445.4"/>
  </r>
  <r>
    <x v="0"/>
    <x v="0"/>
    <x v="0"/>
    <x v="3"/>
    <x v="12"/>
    <s v="SE4_MAL"/>
    <x v="3"/>
    <s v="GETOH_HEATPUMP33"/>
    <x v="0"/>
    <x v="4"/>
    <n v="1.1000000000000001"/>
    <n v="401.5"/>
    <n v="1445.4"/>
  </r>
  <r>
    <x v="0"/>
    <x v="0"/>
    <x v="0"/>
    <x v="3"/>
    <x v="12"/>
    <s v="SE4_MAL"/>
    <x v="3"/>
    <s v="GETOH_HEATPUMP33"/>
    <x v="0"/>
    <x v="5"/>
    <n v="1.1000000000000001"/>
    <n v="401.5"/>
    <n v="1445.4"/>
  </r>
  <r>
    <x v="0"/>
    <x v="0"/>
    <x v="0"/>
    <x v="3"/>
    <x v="12"/>
    <s v="SE4_MAL"/>
    <x v="3"/>
    <s v="GETOH_HEATPUMP33"/>
    <x v="0"/>
    <x v="6"/>
    <n v="1.1000000000000001"/>
    <n v="401.5"/>
    <n v="1445.4"/>
  </r>
  <r>
    <x v="0"/>
    <x v="0"/>
    <x v="0"/>
    <x v="3"/>
    <x v="12"/>
    <s v="SE4_MAL"/>
    <x v="3"/>
    <s v="GETOH_HEATPUMP33"/>
    <x v="0"/>
    <x v="7"/>
    <n v="1.1000000000000001"/>
    <n v="401.5"/>
    <n v="1445.4"/>
  </r>
  <r>
    <x v="0"/>
    <x v="0"/>
    <x v="0"/>
    <x v="3"/>
    <x v="12"/>
    <s v="SE4_MAL"/>
    <x v="3"/>
    <s v="GETOH_HEATPUMP33"/>
    <x v="0"/>
    <x v="8"/>
    <n v="1.1000000000000001"/>
    <n v="401.5"/>
    <n v="1445.4"/>
  </r>
  <r>
    <x v="0"/>
    <x v="0"/>
    <x v="0"/>
    <x v="3"/>
    <x v="12"/>
    <s v="SE4_MAL"/>
    <x v="3"/>
    <s v="GETOH_HEATPUMP33"/>
    <x v="0"/>
    <x v="9"/>
    <n v="1.1000000000000001"/>
    <n v="401.5"/>
    <n v="1445.4"/>
  </r>
  <r>
    <x v="0"/>
    <x v="0"/>
    <x v="0"/>
    <x v="3"/>
    <x v="12"/>
    <s v="SE4_MAL"/>
    <x v="3"/>
    <s v="GETOH_HEATPUMP33"/>
    <x v="0"/>
    <x v="10"/>
    <n v="1.1000000000000001"/>
    <n v="401.5"/>
    <n v="1445.4"/>
  </r>
  <r>
    <x v="0"/>
    <x v="0"/>
    <x v="0"/>
    <x v="3"/>
    <x v="12"/>
    <s v="SE4_MAL"/>
    <x v="3"/>
    <s v="GETOH_HEATPUMP33"/>
    <x v="0"/>
    <x v="11"/>
    <n v="1.1000000000000001"/>
    <n v="401.5"/>
    <n v="1445.4"/>
  </r>
  <r>
    <x v="0"/>
    <x v="0"/>
    <x v="0"/>
    <x v="3"/>
    <x v="12"/>
    <s v="SE4_MAL"/>
    <x v="3"/>
    <s v="GETOH_HEATPUMP33"/>
    <x v="0"/>
    <x v="12"/>
    <n v="1.1000000000000001"/>
    <n v="401.5"/>
    <n v="1445.4"/>
  </r>
  <r>
    <x v="0"/>
    <x v="0"/>
    <x v="0"/>
    <x v="3"/>
    <x v="12"/>
    <s v="SE4_MAL"/>
    <x v="3"/>
    <s v="GETOH_HEATPUMP33"/>
    <x v="0"/>
    <x v="13"/>
    <n v="1.1000000000000001"/>
    <n v="401.5"/>
    <n v="1445.4"/>
  </r>
  <r>
    <x v="0"/>
    <x v="0"/>
    <x v="0"/>
    <x v="3"/>
    <x v="12"/>
    <s v="SE4_MAL"/>
    <x v="3"/>
    <s v="GETOH_HEATPUMP33"/>
    <x v="0"/>
    <x v="14"/>
    <n v="1.1000000000000001"/>
    <n v="401.5"/>
    <n v="1445.4"/>
  </r>
  <r>
    <x v="0"/>
    <x v="0"/>
    <x v="0"/>
    <x v="3"/>
    <x v="12"/>
    <s v="SE4_MAL"/>
    <x v="3"/>
    <s v="GETOH_HEATPUMP33"/>
    <x v="0"/>
    <x v="15"/>
    <n v="1.1000000000000001"/>
    <n v="401.5"/>
    <n v="1445.4"/>
  </r>
  <r>
    <x v="0"/>
    <x v="0"/>
    <x v="0"/>
    <x v="3"/>
    <x v="12"/>
    <s v="SE4_MAL"/>
    <x v="3"/>
    <s v="GETOH_HEATPUMP33"/>
    <x v="0"/>
    <x v="16"/>
    <n v="1.1000000000000001"/>
    <n v="401.5"/>
    <n v="1445.4"/>
  </r>
  <r>
    <x v="0"/>
    <x v="0"/>
    <x v="0"/>
    <x v="3"/>
    <x v="12"/>
    <s v="SE4_MAL"/>
    <x v="3"/>
    <s v="GETOH_HEATPUMP33"/>
    <x v="0"/>
    <x v="17"/>
    <n v="1.1000000000000001"/>
    <n v="401.5"/>
    <n v="1445.4"/>
  </r>
  <r>
    <x v="0"/>
    <x v="0"/>
    <x v="0"/>
    <x v="3"/>
    <x v="12"/>
    <s v="SE4_MAL"/>
    <x v="3"/>
    <s v="GETOH_HEATPUMP33"/>
    <x v="0"/>
    <x v="18"/>
    <n v="1.1000000000000001"/>
    <n v="401.5"/>
    <n v="1445.4"/>
  </r>
  <r>
    <x v="0"/>
    <x v="0"/>
    <x v="0"/>
    <x v="3"/>
    <x v="12"/>
    <s v="SE4_MAL"/>
    <x v="3"/>
    <s v="GETOH_HEATPUMP33"/>
    <x v="0"/>
    <x v="19"/>
    <n v="1.1000000000000001"/>
    <n v="401.5"/>
    <n v="1445.4"/>
  </r>
  <r>
    <x v="0"/>
    <x v="0"/>
    <x v="0"/>
    <x v="3"/>
    <x v="12"/>
    <s v="SE4_MAL"/>
    <x v="3"/>
    <s v="GETOH_HEATPUMP33"/>
    <x v="0"/>
    <x v="20"/>
    <n v="1.1000000000000001"/>
    <n v="401.5"/>
    <n v="1445.4"/>
  </r>
  <r>
    <x v="0"/>
    <x v="0"/>
    <x v="0"/>
    <x v="3"/>
    <x v="12"/>
    <s v="SE4_MAL"/>
    <x v="3"/>
    <s v="GETOH_HEATPUMP33"/>
    <x v="0"/>
    <x v="21"/>
    <n v="1.1000000000000001"/>
    <n v="401.5"/>
    <n v="1445.4"/>
  </r>
  <r>
    <x v="0"/>
    <x v="0"/>
    <x v="0"/>
    <x v="3"/>
    <x v="12"/>
    <s v="SE4_MAL"/>
    <x v="3"/>
    <s v="GETOH_HEATPUMP33"/>
    <x v="0"/>
    <x v="22"/>
    <n v="1.1000000000000001"/>
    <n v="401.5"/>
    <n v="1445.4"/>
  </r>
  <r>
    <x v="0"/>
    <x v="0"/>
    <x v="0"/>
    <x v="3"/>
    <x v="12"/>
    <s v="SE4_MAL"/>
    <x v="3"/>
    <s v="GETOH_HEATPUMP33"/>
    <x v="0"/>
    <x v="23"/>
    <n v="1.1000000000000001"/>
    <n v="401.5"/>
    <n v="1445.4"/>
  </r>
  <r>
    <x v="0"/>
    <x v="0"/>
    <x v="0"/>
    <x v="3"/>
    <x v="12"/>
    <s v="SE4_MAL"/>
    <x v="1"/>
    <s v="GBPR_MUNIWASTE_24"/>
    <x v="0"/>
    <x v="0"/>
    <n v="95.470338652479995"/>
    <n v="34846.673608155201"/>
    <n v="125448.02498935899"/>
  </r>
  <r>
    <x v="0"/>
    <x v="0"/>
    <x v="0"/>
    <x v="3"/>
    <x v="12"/>
    <s v="SE4_MAL"/>
    <x v="1"/>
    <s v="GBPR_MUNIWASTE_24"/>
    <x v="0"/>
    <x v="1"/>
    <n v="95.470338652479995"/>
    <n v="34846.673608155201"/>
    <n v="125448.02498935899"/>
  </r>
  <r>
    <x v="0"/>
    <x v="0"/>
    <x v="0"/>
    <x v="3"/>
    <x v="12"/>
    <s v="SE4_MAL"/>
    <x v="1"/>
    <s v="GBPR_MUNIWASTE_24"/>
    <x v="0"/>
    <x v="2"/>
    <n v="95.470338652479995"/>
    <n v="34846.673608155201"/>
    <n v="125448.02498935899"/>
  </r>
  <r>
    <x v="0"/>
    <x v="0"/>
    <x v="0"/>
    <x v="3"/>
    <x v="12"/>
    <s v="SE4_MAL"/>
    <x v="1"/>
    <s v="GBPR_MUNIWASTE_24"/>
    <x v="0"/>
    <x v="3"/>
    <n v="95.470338652479995"/>
    <n v="34846.673608155201"/>
    <n v="125448.02498935899"/>
  </r>
  <r>
    <x v="0"/>
    <x v="0"/>
    <x v="0"/>
    <x v="3"/>
    <x v="12"/>
    <s v="SE4_MAL"/>
    <x v="1"/>
    <s v="GBPR_MUNIWASTE_24"/>
    <x v="0"/>
    <x v="4"/>
    <n v="95.470338652479995"/>
    <n v="34846.673608155201"/>
    <n v="125448.02498935899"/>
  </r>
  <r>
    <x v="0"/>
    <x v="0"/>
    <x v="0"/>
    <x v="3"/>
    <x v="12"/>
    <s v="SE4_MAL"/>
    <x v="1"/>
    <s v="GBPR_MUNIWASTE_24"/>
    <x v="0"/>
    <x v="5"/>
    <n v="95.470338652479995"/>
    <n v="34846.673608155201"/>
    <n v="125448.02498935899"/>
  </r>
  <r>
    <x v="0"/>
    <x v="0"/>
    <x v="0"/>
    <x v="3"/>
    <x v="12"/>
    <s v="SE4_MAL"/>
    <x v="1"/>
    <s v="GBPR_MUNIWASTE_24"/>
    <x v="0"/>
    <x v="6"/>
    <n v="95.470338652479995"/>
    <n v="34846.673608155201"/>
    <n v="125448.02498935899"/>
  </r>
  <r>
    <x v="0"/>
    <x v="0"/>
    <x v="0"/>
    <x v="3"/>
    <x v="12"/>
    <s v="SE4_MAL"/>
    <x v="1"/>
    <s v="GBPR_MUNIWASTE_24"/>
    <x v="0"/>
    <x v="7"/>
    <n v="95.470338652479995"/>
    <n v="34846.673608155201"/>
    <n v="125448.02498935899"/>
  </r>
  <r>
    <x v="0"/>
    <x v="0"/>
    <x v="0"/>
    <x v="3"/>
    <x v="12"/>
    <s v="SE4_MAL"/>
    <x v="1"/>
    <s v="GBPR_MUNIWASTE_24"/>
    <x v="0"/>
    <x v="8"/>
    <n v="95.470338652479995"/>
    <n v="34846.673608155201"/>
    <n v="125448.02498935899"/>
  </r>
  <r>
    <x v="0"/>
    <x v="0"/>
    <x v="0"/>
    <x v="3"/>
    <x v="12"/>
    <s v="SE4_MAL"/>
    <x v="1"/>
    <s v="GBPR_MUNIWASTE_24"/>
    <x v="0"/>
    <x v="9"/>
    <n v="95.470338652479995"/>
    <n v="34846.673608155201"/>
    <n v="125448.02498935899"/>
  </r>
  <r>
    <x v="0"/>
    <x v="0"/>
    <x v="0"/>
    <x v="3"/>
    <x v="12"/>
    <s v="SE4_MAL"/>
    <x v="1"/>
    <s v="GBPR_MUNIWASTE_24"/>
    <x v="0"/>
    <x v="10"/>
    <n v="95.470338652479995"/>
    <n v="34846.673608155201"/>
    <n v="125448.02498935899"/>
  </r>
  <r>
    <x v="0"/>
    <x v="0"/>
    <x v="0"/>
    <x v="3"/>
    <x v="12"/>
    <s v="SE4_MAL"/>
    <x v="1"/>
    <s v="GBPR_MUNIWASTE_24"/>
    <x v="0"/>
    <x v="11"/>
    <n v="95.470338652479995"/>
    <n v="34846.673608155201"/>
    <n v="125448.02498935899"/>
  </r>
  <r>
    <x v="0"/>
    <x v="0"/>
    <x v="0"/>
    <x v="3"/>
    <x v="12"/>
    <s v="SE4_MAL"/>
    <x v="1"/>
    <s v="GBPR_MUNIWASTE_24"/>
    <x v="0"/>
    <x v="12"/>
    <n v="95.470338652479995"/>
    <n v="34846.673608155201"/>
    <n v="125448.02498935899"/>
  </r>
  <r>
    <x v="0"/>
    <x v="0"/>
    <x v="0"/>
    <x v="3"/>
    <x v="12"/>
    <s v="SE4_MAL"/>
    <x v="1"/>
    <s v="GBPR_MUNIWASTE_24"/>
    <x v="0"/>
    <x v="13"/>
    <n v="95.470338652479995"/>
    <n v="34846.673608155201"/>
    <n v="125448.02498935899"/>
  </r>
  <r>
    <x v="0"/>
    <x v="0"/>
    <x v="0"/>
    <x v="3"/>
    <x v="12"/>
    <s v="SE4_MAL"/>
    <x v="1"/>
    <s v="GBPR_MUNIWASTE_24"/>
    <x v="0"/>
    <x v="14"/>
    <n v="95.470338652479995"/>
    <n v="34846.673608155201"/>
    <n v="125448.02498935899"/>
  </r>
  <r>
    <x v="0"/>
    <x v="0"/>
    <x v="0"/>
    <x v="3"/>
    <x v="12"/>
    <s v="SE4_MAL"/>
    <x v="1"/>
    <s v="GBPR_MUNIWASTE_24"/>
    <x v="0"/>
    <x v="15"/>
    <n v="95.470338652479995"/>
    <n v="34846.673608155201"/>
    <n v="125448.02498935899"/>
  </r>
  <r>
    <x v="0"/>
    <x v="0"/>
    <x v="0"/>
    <x v="3"/>
    <x v="12"/>
    <s v="SE4_MAL"/>
    <x v="1"/>
    <s v="GBPR_MUNIWASTE_24"/>
    <x v="0"/>
    <x v="16"/>
    <n v="95.470338652479995"/>
    <n v="34846.673608155201"/>
    <n v="125448.02498935899"/>
  </r>
  <r>
    <x v="0"/>
    <x v="0"/>
    <x v="0"/>
    <x v="3"/>
    <x v="12"/>
    <s v="SE4_MAL"/>
    <x v="1"/>
    <s v="GBPR_MUNIWASTE_24"/>
    <x v="0"/>
    <x v="17"/>
    <n v="95.470338652479995"/>
    <n v="34846.673608155201"/>
    <n v="125448.02498935899"/>
  </r>
  <r>
    <x v="0"/>
    <x v="0"/>
    <x v="0"/>
    <x v="3"/>
    <x v="12"/>
    <s v="SE4_MAL"/>
    <x v="1"/>
    <s v="GBPR_MUNIWASTE_24"/>
    <x v="0"/>
    <x v="18"/>
    <n v="95.470338652479995"/>
    <n v="34846.673608155201"/>
    <n v="125448.02498935899"/>
  </r>
  <r>
    <x v="0"/>
    <x v="0"/>
    <x v="0"/>
    <x v="3"/>
    <x v="12"/>
    <s v="SE4_MAL"/>
    <x v="1"/>
    <s v="GBPR_MUNIWASTE_24"/>
    <x v="0"/>
    <x v="19"/>
    <n v="95.470338652479995"/>
    <n v="34846.673608155201"/>
    <n v="125448.02498935899"/>
  </r>
  <r>
    <x v="0"/>
    <x v="0"/>
    <x v="0"/>
    <x v="3"/>
    <x v="12"/>
    <s v="SE4_MAL"/>
    <x v="1"/>
    <s v="GBPR_MUNIWASTE_24"/>
    <x v="0"/>
    <x v="20"/>
    <n v="95.470338652479995"/>
    <n v="34846.673608155201"/>
    <n v="125448.02498935899"/>
  </r>
  <r>
    <x v="0"/>
    <x v="0"/>
    <x v="0"/>
    <x v="3"/>
    <x v="12"/>
    <s v="SE4_MAL"/>
    <x v="1"/>
    <s v="GBPR_MUNIWASTE_24"/>
    <x v="0"/>
    <x v="21"/>
    <n v="95.470338652479995"/>
    <n v="34846.673608155201"/>
    <n v="125448.02498935899"/>
  </r>
  <r>
    <x v="0"/>
    <x v="0"/>
    <x v="0"/>
    <x v="3"/>
    <x v="12"/>
    <s v="SE4_MAL"/>
    <x v="1"/>
    <s v="GBPR_MUNIWASTE_24"/>
    <x v="0"/>
    <x v="22"/>
    <n v="95.470338652479995"/>
    <n v="34846.673608155201"/>
    <n v="125448.02498935899"/>
  </r>
  <r>
    <x v="0"/>
    <x v="0"/>
    <x v="0"/>
    <x v="3"/>
    <x v="12"/>
    <s v="SE4_MAL"/>
    <x v="1"/>
    <s v="GBPR_MUNIWASTE_24"/>
    <x v="0"/>
    <x v="23"/>
    <n v="95.470338652479995"/>
    <n v="34846.673608155201"/>
    <n v="125448.02498935899"/>
  </r>
  <r>
    <x v="0"/>
    <x v="0"/>
    <x v="0"/>
    <x v="3"/>
    <x v="12"/>
    <s v="SE4_MAL"/>
    <x v="1"/>
    <s v="GHOB_MUNIWASTE"/>
    <x v="0"/>
    <x v="0"/>
    <n v="44.065254473452001"/>
    <n v="16083.817882810001"/>
    <n v="57901.744378115996"/>
  </r>
  <r>
    <x v="0"/>
    <x v="0"/>
    <x v="0"/>
    <x v="3"/>
    <x v="12"/>
    <s v="SE4_MAL"/>
    <x v="1"/>
    <s v="GHOB_MUNIWASTE"/>
    <x v="0"/>
    <x v="1"/>
    <n v="44.065254473452001"/>
    <n v="16083.817882810001"/>
    <n v="57901.744378115996"/>
  </r>
  <r>
    <x v="0"/>
    <x v="0"/>
    <x v="0"/>
    <x v="3"/>
    <x v="12"/>
    <s v="SE4_MAL"/>
    <x v="1"/>
    <s v="GHOB_MUNIWASTE"/>
    <x v="0"/>
    <x v="2"/>
    <n v="44.065254473452001"/>
    <n v="16083.817882810001"/>
    <n v="57901.744378115996"/>
  </r>
  <r>
    <x v="0"/>
    <x v="0"/>
    <x v="0"/>
    <x v="3"/>
    <x v="12"/>
    <s v="SE4_MAL"/>
    <x v="1"/>
    <s v="GHOB_MUNIWASTE"/>
    <x v="0"/>
    <x v="3"/>
    <n v="44.065254473452001"/>
    <n v="16083.817882810001"/>
    <n v="57901.744378115996"/>
  </r>
  <r>
    <x v="0"/>
    <x v="0"/>
    <x v="0"/>
    <x v="3"/>
    <x v="12"/>
    <s v="SE4_MAL"/>
    <x v="1"/>
    <s v="GHOB_MUNIWASTE"/>
    <x v="0"/>
    <x v="4"/>
    <n v="44.065254473452001"/>
    <n v="16083.817882810001"/>
    <n v="57901.744378115996"/>
  </r>
  <r>
    <x v="0"/>
    <x v="0"/>
    <x v="0"/>
    <x v="3"/>
    <x v="12"/>
    <s v="SE4_MAL"/>
    <x v="1"/>
    <s v="GHOB_MUNIWASTE"/>
    <x v="0"/>
    <x v="5"/>
    <n v="44.065254473452001"/>
    <n v="16083.817882810001"/>
    <n v="57901.744378115996"/>
  </r>
  <r>
    <x v="0"/>
    <x v="0"/>
    <x v="0"/>
    <x v="3"/>
    <x v="12"/>
    <s v="SE4_MAL"/>
    <x v="1"/>
    <s v="GHOB_MUNIWASTE"/>
    <x v="0"/>
    <x v="6"/>
    <n v="44.065254473452001"/>
    <n v="16083.817882810001"/>
    <n v="57901.744378115996"/>
  </r>
  <r>
    <x v="0"/>
    <x v="0"/>
    <x v="0"/>
    <x v="3"/>
    <x v="12"/>
    <s v="SE4_MAL"/>
    <x v="1"/>
    <s v="GHOB_MUNIWASTE"/>
    <x v="0"/>
    <x v="7"/>
    <n v="44.065254473452001"/>
    <n v="16083.817882810001"/>
    <n v="57901.744378115996"/>
  </r>
  <r>
    <x v="0"/>
    <x v="0"/>
    <x v="0"/>
    <x v="3"/>
    <x v="12"/>
    <s v="SE4_MAL"/>
    <x v="1"/>
    <s v="GHOB_MUNIWASTE"/>
    <x v="0"/>
    <x v="8"/>
    <n v="44.065254473452001"/>
    <n v="16083.817882810001"/>
    <n v="57901.744378115996"/>
  </r>
  <r>
    <x v="0"/>
    <x v="0"/>
    <x v="0"/>
    <x v="3"/>
    <x v="12"/>
    <s v="SE4_MAL"/>
    <x v="1"/>
    <s v="GHOB_MUNIWASTE"/>
    <x v="0"/>
    <x v="9"/>
    <n v="44.065254473452001"/>
    <n v="16083.817882810001"/>
    <n v="57901.744378115996"/>
  </r>
  <r>
    <x v="0"/>
    <x v="0"/>
    <x v="0"/>
    <x v="3"/>
    <x v="12"/>
    <s v="SE4_MAL"/>
    <x v="1"/>
    <s v="GHOB_MUNIWASTE"/>
    <x v="0"/>
    <x v="10"/>
    <n v="44.065254473452001"/>
    <n v="16083.817882810001"/>
    <n v="57901.744378115996"/>
  </r>
  <r>
    <x v="0"/>
    <x v="0"/>
    <x v="0"/>
    <x v="3"/>
    <x v="12"/>
    <s v="SE4_MAL"/>
    <x v="1"/>
    <s v="GHOB_MUNIWASTE"/>
    <x v="0"/>
    <x v="11"/>
    <n v="44.065254473452001"/>
    <n v="16083.817882810001"/>
    <n v="57901.744378115996"/>
  </r>
  <r>
    <x v="0"/>
    <x v="0"/>
    <x v="0"/>
    <x v="3"/>
    <x v="12"/>
    <s v="SE4_MAL"/>
    <x v="1"/>
    <s v="GHOB_MUNIWASTE"/>
    <x v="0"/>
    <x v="12"/>
    <n v="44.065254473452001"/>
    <n v="16083.817882810001"/>
    <n v="57901.744378115996"/>
  </r>
  <r>
    <x v="0"/>
    <x v="0"/>
    <x v="0"/>
    <x v="3"/>
    <x v="12"/>
    <s v="SE4_MAL"/>
    <x v="1"/>
    <s v="GHOB_MUNIWASTE"/>
    <x v="0"/>
    <x v="13"/>
    <n v="44.065254473452001"/>
    <n v="16083.817882810001"/>
    <n v="57901.744378115996"/>
  </r>
  <r>
    <x v="0"/>
    <x v="0"/>
    <x v="0"/>
    <x v="3"/>
    <x v="12"/>
    <s v="SE4_MAL"/>
    <x v="1"/>
    <s v="GHOB_MUNIWASTE"/>
    <x v="0"/>
    <x v="14"/>
    <n v="44.065254473452001"/>
    <n v="16083.817882810001"/>
    <n v="57901.744378115996"/>
  </r>
  <r>
    <x v="0"/>
    <x v="0"/>
    <x v="0"/>
    <x v="3"/>
    <x v="12"/>
    <s v="SE4_MAL"/>
    <x v="1"/>
    <s v="GHOB_MUNIWASTE"/>
    <x v="0"/>
    <x v="15"/>
    <n v="44.065254473452001"/>
    <n v="16083.817882810001"/>
    <n v="57901.744378115996"/>
  </r>
  <r>
    <x v="0"/>
    <x v="0"/>
    <x v="0"/>
    <x v="3"/>
    <x v="12"/>
    <s v="SE4_MAL"/>
    <x v="1"/>
    <s v="GHOB_MUNIWASTE"/>
    <x v="0"/>
    <x v="16"/>
    <n v="44.065254473452001"/>
    <n v="16083.817882810001"/>
    <n v="57901.744378115996"/>
  </r>
  <r>
    <x v="0"/>
    <x v="0"/>
    <x v="0"/>
    <x v="3"/>
    <x v="12"/>
    <s v="SE4_MAL"/>
    <x v="1"/>
    <s v="GHOB_MUNIWASTE"/>
    <x v="0"/>
    <x v="17"/>
    <n v="44.065254473452001"/>
    <n v="16083.817882810001"/>
    <n v="57901.744378115996"/>
  </r>
  <r>
    <x v="0"/>
    <x v="0"/>
    <x v="0"/>
    <x v="3"/>
    <x v="12"/>
    <s v="SE4_MAL"/>
    <x v="1"/>
    <s v="GHOB_MUNIWASTE"/>
    <x v="0"/>
    <x v="18"/>
    <n v="44.065254473452001"/>
    <n v="16083.817882810001"/>
    <n v="57901.744378115996"/>
  </r>
  <r>
    <x v="0"/>
    <x v="0"/>
    <x v="0"/>
    <x v="3"/>
    <x v="12"/>
    <s v="SE4_MAL"/>
    <x v="1"/>
    <s v="GHOB_MUNIWASTE"/>
    <x v="0"/>
    <x v="19"/>
    <n v="44.065254473452001"/>
    <n v="16083.817882810001"/>
    <n v="57901.744378115996"/>
  </r>
  <r>
    <x v="0"/>
    <x v="0"/>
    <x v="0"/>
    <x v="3"/>
    <x v="12"/>
    <s v="SE4_MAL"/>
    <x v="1"/>
    <s v="GHOB_MUNIWASTE"/>
    <x v="0"/>
    <x v="20"/>
    <n v="44.065254473452001"/>
    <n v="16083.817882810001"/>
    <n v="57901.744378115996"/>
  </r>
  <r>
    <x v="0"/>
    <x v="0"/>
    <x v="0"/>
    <x v="3"/>
    <x v="12"/>
    <s v="SE4_MAL"/>
    <x v="1"/>
    <s v="GHOB_MUNIWASTE"/>
    <x v="0"/>
    <x v="21"/>
    <n v="44.065254473452001"/>
    <n v="16083.817882810001"/>
    <n v="57901.744378115996"/>
  </r>
  <r>
    <x v="0"/>
    <x v="0"/>
    <x v="0"/>
    <x v="3"/>
    <x v="12"/>
    <s v="SE4_MAL"/>
    <x v="1"/>
    <s v="GHOB_MUNIWASTE"/>
    <x v="0"/>
    <x v="22"/>
    <n v="44.065254473452001"/>
    <n v="16083.817882810001"/>
    <n v="57901.744378115996"/>
  </r>
  <r>
    <x v="0"/>
    <x v="0"/>
    <x v="0"/>
    <x v="3"/>
    <x v="12"/>
    <s v="SE4_MAL"/>
    <x v="1"/>
    <s v="GHOB_MUNIWASTE"/>
    <x v="0"/>
    <x v="23"/>
    <n v="44.065254473452001"/>
    <n v="16083.817882810001"/>
    <n v="57901.744378115996"/>
  </r>
  <r>
    <x v="0"/>
    <x v="0"/>
    <x v="0"/>
    <x v="3"/>
    <x v="12"/>
    <s v="SE4_MAL"/>
    <x v="4"/>
    <s v="GBPR_NATGAS_MAL"/>
    <x v="0"/>
    <x v="5"/>
    <n v="23.935536621630199"/>
    <n v="8736.4708668950207"/>
    <n v="31451.295120822098"/>
  </r>
  <r>
    <x v="0"/>
    <x v="0"/>
    <x v="0"/>
    <x v="3"/>
    <x v="12"/>
    <s v="SE4_MAL"/>
    <x v="4"/>
    <s v="GBPR_NATGAS_MAL"/>
    <x v="0"/>
    <x v="6"/>
    <n v="75.539752974307007"/>
    <n v="27572.009835622001"/>
    <n v="99259.235408239401"/>
  </r>
  <r>
    <x v="0"/>
    <x v="0"/>
    <x v="0"/>
    <x v="3"/>
    <x v="12"/>
    <s v="SE4_MAL"/>
    <x v="4"/>
    <s v="GBPR_NATGAS_MAL"/>
    <x v="0"/>
    <x v="7"/>
    <n v="80.0179916561992"/>
    <n v="29206.566954512698"/>
    <n v="105143.641036246"/>
  </r>
  <r>
    <x v="0"/>
    <x v="0"/>
    <x v="0"/>
    <x v="3"/>
    <x v="12"/>
    <s v="SE4_MAL"/>
    <x v="4"/>
    <s v="GBPR_NATGAS_MAL"/>
    <x v="0"/>
    <x v="8"/>
    <n v="55.572592170878799"/>
    <n v="20283.996142370801"/>
    <n v="73022.386112534805"/>
  </r>
  <r>
    <x v="0"/>
    <x v="0"/>
    <x v="0"/>
    <x v="3"/>
    <x v="12"/>
    <s v="SE4_MAL"/>
    <x v="4"/>
    <s v="GBPR_NATGAS_MAL"/>
    <x v="0"/>
    <x v="9"/>
    <n v="33.985596951422401"/>
    <n v="12404.7428872692"/>
    <n v="44657.074394169002"/>
  </r>
  <r>
    <x v="0"/>
    <x v="0"/>
    <x v="0"/>
    <x v="3"/>
    <x v="12"/>
    <s v="SE4_MAL"/>
    <x v="4"/>
    <s v="GBPR_NATGAS_MAL"/>
    <x v="0"/>
    <x v="10"/>
    <n v="20.079427409499601"/>
    <n v="7328.9910044673497"/>
    <n v="26384.367616082502"/>
  </r>
  <r>
    <x v="0"/>
    <x v="0"/>
    <x v="0"/>
    <x v="3"/>
    <x v="12"/>
    <s v="SE4_MAL"/>
    <x v="4"/>
    <s v="GBPR_NATGAS_MAL"/>
    <x v="0"/>
    <x v="11"/>
    <n v="10.0818196654483"/>
    <n v="3679.8641778886399"/>
    <n v="13247.5110403991"/>
  </r>
  <r>
    <x v="0"/>
    <x v="0"/>
    <x v="0"/>
    <x v="3"/>
    <x v="12"/>
    <s v="SE4_MAL"/>
    <x v="4"/>
    <s v="GBPR_NATGAS_MAL"/>
    <x v="0"/>
    <x v="12"/>
    <n v="2.0187542211917999"/>
    <n v="736.84529073500698"/>
    <n v="2652.6430466460201"/>
  </r>
  <r>
    <x v="0"/>
    <x v="0"/>
    <x v="0"/>
    <x v="3"/>
    <x v="12"/>
    <s v="SE4_MAL"/>
    <x v="4"/>
    <s v="GBPR_NATGAS_MAL"/>
    <x v="0"/>
    <x v="13"/>
    <n v="2.85587449282654"/>
    <n v="1042.39418988169"/>
    <n v="3752.6190835740799"/>
  </r>
  <r>
    <x v="0"/>
    <x v="0"/>
    <x v="0"/>
    <x v="3"/>
    <x v="12"/>
    <s v="SE4_MAL"/>
    <x v="4"/>
    <s v="GBPR_NATGAS_MAL"/>
    <x v="0"/>
    <x v="14"/>
    <n v="9.0318308018179501"/>
    <n v="3296.6182426635501"/>
    <n v="11867.825673588801"/>
  </r>
  <r>
    <x v="0"/>
    <x v="0"/>
    <x v="0"/>
    <x v="3"/>
    <x v="12"/>
    <s v="SE4_MAL"/>
    <x v="4"/>
    <s v="GBPR_NATGAS_MAL"/>
    <x v="0"/>
    <x v="15"/>
    <n v="17.738524677523799"/>
    <n v="6474.56150729617"/>
    <n v="23308.421426266199"/>
  </r>
  <r>
    <x v="0"/>
    <x v="0"/>
    <x v="0"/>
    <x v="3"/>
    <x v="12"/>
    <s v="SE4_MAL"/>
    <x v="4"/>
    <s v="GBPR_NATGAS_MAL"/>
    <x v="0"/>
    <x v="16"/>
    <n v="26.808156935507"/>
    <n v="9784.9772814600492"/>
    <n v="35225.918213256198"/>
  </r>
  <r>
    <x v="0"/>
    <x v="0"/>
    <x v="0"/>
    <x v="3"/>
    <x v="12"/>
    <s v="SE4_MAL"/>
    <x v="4"/>
    <s v="GBPR_NATGAS_MAL"/>
    <x v="0"/>
    <x v="17"/>
    <n v="33.811663777358199"/>
    <n v="12341.2572787357"/>
    <n v="44428.5262034486"/>
  </r>
  <r>
    <x v="0"/>
    <x v="0"/>
    <x v="0"/>
    <x v="3"/>
    <x v="12"/>
    <s v="SE4_MAL"/>
    <x v="4"/>
    <s v="GBPR_NATGAS_MAL"/>
    <x v="0"/>
    <x v="18"/>
    <n v="40.914495305318702"/>
    <n v="14933.790786441299"/>
    <n v="53761.646831188802"/>
  </r>
  <r>
    <x v="0"/>
    <x v="0"/>
    <x v="0"/>
    <x v="3"/>
    <x v="12"/>
    <s v="SE4_MAL"/>
    <x v="4"/>
    <s v="GBPR_NATGAS_MAL"/>
    <x v="0"/>
    <x v="19"/>
    <n v="46.008741750295897"/>
    <n v="16793.190738858"/>
    <n v="60455.486659888797"/>
  </r>
  <r>
    <x v="0"/>
    <x v="0"/>
    <x v="0"/>
    <x v="3"/>
    <x v="12"/>
    <s v="SE4_MAL"/>
    <x v="4"/>
    <s v="GBPR_NATGAS_MAL"/>
    <x v="0"/>
    <x v="20"/>
    <n v="46.303187948723"/>
    <n v="16900.663601283901"/>
    <n v="60842.388964621998"/>
  </r>
  <r>
    <x v="0"/>
    <x v="0"/>
    <x v="0"/>
    <x v="3"/>
    <x v="12"/>
    <s v="SE4_MAL"/>
    <x v="4"/>
    <s v="GBPR_NATGAS_MAL"/>
    <x v="0"/>
    <x v="21"/>
    <n v="41.710233981408003"/>
    <n v="15224.235403213899"/>
    <n v="54807.247451570103"/>
  </r>
  <r>
    <x v="0"/>
    <x v="0"/>
    <x v="0"/>
    <x v="3"/>
    <x v="12"/>
    <s v="SE4_MAL"/>
    <x v="4"/>
    <s v="GBPR_NATGAS_MAL"/>
    <x v="0"/>
    <x v="22"/>
    <n v="31.139614673023299"/>
    <n v="11365.9593556535"/>
    <n v="40917.453680352599"/>
  </r>
  <r>
    <x v="0"/>
    <x v="0"/>
    <x v="0"/>
    <x v="3"/>
    <x v="12"/>
    <s v="SE4_MAL"/>
    <x v="4"/>
    <s v="GBPR_NATGAS_MAL"/>
    <x v="0"/>
    <x v="23"/>
    <n v="6.05652178546306"/>
    <n v="2210.6304516940199"/>
    <n v="7958.2696260984603"/>
  </r>
  <r>
    <x v="0"/>
    <x v="0"/>
    <x v="0"/>
    <x v="3"/>
    <x v="12"/>
    <s v="SE4_MAL"/>
    <x v="2"/>
    <s v="GHOB_WASTEHEAT"/>
    <x v="0"/>
    <x v="0"/>
    <n v="12.362637362637299"/>
    <n v="4512.3626373626203"/>
    <n v="16244.5054945054"/>
  </r>
  <r>
    <x v="0"/>
    <x v="0"/>
    <x v="0"/>
    <x v="3"/>
    <x v="12"/>
    <s v="SE4_MAL"/>
    <x v="2"/>
    <s v="GHOB_WASTEHEAT"/>
    <x v="0"/>
    <x v="1"/>
    <n v="12.362637362637299"/>
    <n v="4512.3626373626203"/>
    <n v="16244.5054945054"/>
  </r>
  <r>
    <x v="0"/>
    <x v="0"/>
    <x v="0"/>
    <x v="3"/>
    <x v="12"/>
    <s v="SE4_MAL"/>
    <x v="2"/>
    <s v="GHOB_WASTEHEAT"/>
    <x v="0"/>
    <x v="2"/>
    <n v="12.362637362637299"/>
    <n v="4512.3626373626203"/>
    <n v="16244.5054945054"/>
  </r>
  <r>
    <x v="0"/>
    <x v="0"/>
    <x v="0"/>
    <x v="3"/>
    <x v="12"/>
    <s v="SE4_MAL"/>
    <x v="2"/>
    <s v="GHOB_WASTEHEAT"/>
    <x v="0"/>
    <x v="3"/>
    <n v="12.362637362637299"/>
    <n v="4512.3626373626203"/>
    <n v="16244.5054945054"/>
  </r>
  <r>
    <x v="0"/>
    <x v="0"/>
    <x v="0"/>
    <x v="3"/>
    <x v="12"/>
    <s v="SE4_MAL"/>
    <x v="2"/>
    <s v="GHOB_WASTEHEAT"/>
    <x v="0"/>
    <x v="4"/>
    <n v="12.362637362637299"/>
    <n v="4512.3626373626203"/>
    <n v="16244.5054945054"/>
  </r>
  <r>
    <x v="0"/>
    <x v="0"/>
    <x v="0"/>
    <x v="3"/>
    <x v="12"/>
    <s v="SE4_MAL"/>
    <x v="2"/>
    <s v="GHOB_WASTEHEAT"/>
    <x v="0"/>
    <x v="5"/>
    <n v="12.362637362637299"/>
    <n v="4512.3626373626203"/>
    <n v="16244.5054945054"/>
  </r>
  <r>
    <x v="0"/>
    <x v="0"/>
    <x v="0"/>
    <x v="3"/>
    <x v="12"/>
    <s v="SE4_MAL"/>
    <x v="2"/>
    <s v="GHOB_WASTEHEAT"/>
    <x v="0"/>
    <x v="6"/>
    <n v="12.362637362637299"/>
    <n v="4512.3626373626203"/>
    <n v="16244.5054945054"/>
  </r>
  <r>
    <x v="0"/>
    <x v="0"/>
    <x v="0"/>
    <x v="3"/>
    <x v="12"/>
    <s v="SE4_MAL"/>
    <x v="2"/>
    <s v="GHOB_WASTEHEAT"/>
    <x v="0"/>
    <x v="7"/>
    <n v="12.362637362637299"/>
    <n v="4512.3626373626203"/>
    <n v="16244.5054945054"/>
  </r>
  <r>
    <x v="0"/>
    <x v="0"/>
    <x v="0"/>
    <x v="3"/>
    <x v="12"/>
    <s v="SE4_MAL"/>
    <x v="2"/>
    <s v="GHOB_WASTEHEAT"/>
    <x v="0"/>
    <x v="8"/>
    <n v="12.362637362637299"/>
    <n v="4512.3626373626203"/>
    <n v="16244.5054945054"/>
  </r>
  <r>
    <x v="0"/>
    <x v="0"/>
    <x v="0"/>
    <x v="3"/>
    <x v="12"/>
    <s v="SE4_MAL"/>
    <x v="2"/>
    <s v="GHOB_WASTEHEAT"/>
    <x v="0"/>
    <x v="9"/>
    <n v="12.362637362637299"/>
    <n v="4512.3626373626203"/>
    <n v="16244.5054945054"/>
  </r>
  <r>
    <x v="0"/>
    <x v="0"/>
    <x v="0"/>
    <x v="3"/>
    <x v="12"/>
    <s v="SE4_MAL"/>
    <x v="2"/>
    <s v="GHOB_WASTEHEAT"/>
    <x v="0"/>
    <x v="10"/>
    <n v="12.362637362637299"/>
    <n v="4512.3626373626203"/>
    <n v="16244.5054945054"/>
  </r>
  <r>
    <x v="0"/>
    <x v="0"/>
    <x v="0"/>
    <x v="3"/>
    <x v="12"/>
    <s v="SE4_MAL"/>
    <x v="2"/>
    <s v="GHOB_WASTEHEAT"/>
    <x v="0"/>
    <x v="11"/>
    <n v="12.362637362637299"/>
    <n v="4512.3626373626203"/>
    <n v="16244.5054945054"/>
  </r>
  <r>
    <x v="0"/>
    <x v="0"/>
    <x v="0"/>
    <x v="3"/>
    <x v="12"/>
    <s v="SE4_MAL"/>
    <x v="2"/>
    <s v="GHOB_WASTEHEAT"/>
    <x v="0"/>
    <x v="12"/>
    <n v="12.362637362637299"/>
    <n v="4512.3626373626203"/>
    <n v="16244.5054945054"/>
  </r>
  <r>
    <x v="0"/>
    <x v="0"/>
    <x v="0"/>
    <x v="3"/>
    <x v="12"/>
    <s v="SE4_MAL"/>
    <x v="2"/>
    <s v="GHOB_WASTEHEAT"/>
    <x v="0"/>
    <x v="13"/>
    <n v="12.362637362637299"/>
    <n v="4512.3626373626203"/>
    <n v="16244.5054945054"/>
  </r>
  <r>
    <x v="0"/>
    <x v="0"/>
    <x v="0"/>
    <x v="3"/>
    <x v="12"/>
    <s v="SE4_MAL"/>
    <x v="2"/>
    <s v="GHOB_WASTEHEAT"/>
    <x v="0"/>
    <x v="14"/>
    <n v="12.362637362637299"/>
    <n v="4512.3626373626203"/>
    <n v="16244.5054945054"/>
  </r>
  <r>
    <x v="0"/>
    <x v="0"/>
    <x v="0"/>
    <x v="3"/>
    <x v="12"/>
    <s v="SE4_MAL"/>
    <x v="2"/>
    <s v="GHOB_WASTEHEAT"/>
    <x v="0"/>
    <x v="15"/>
    <n v="12.362637362637299"/>
    <n v="4512.3626373626203"/>
    <n v="16244.5054945054"/>
  </r>
  <r>
    <x v="0"/>
    <x v="0"/>
    <x v="0"/>
    <x v="3"/>
    <x v="12"/>
    <s v="SE4_MAL"/>
    <x v="2"/>
    <s v="GHOB_WASTEHEAT"/>
    <x v="0"/>
    <x v="16"/>
    <n v="12.362637362637299"/>
    <n v="4512.3626373626203"/>
    <n v="16244.5054945054"/>
  </r>
  <r>
    <x v="0"/>
    <x v="0"/>
    <x v="0"/>
    <x v="3"/>
    <x v="12"/>
    <s v="SE4_MAL"/>
    <x v="2"/>
    <s v="GHOB_WASTEHEAT"/>
    <x v="0"/>
    <x v="17"/>
    <n v="12.362637362637299"/>
    <n v="4512.3626373626203"/>
    <n v="16244.5054945054"/>
  </r>
  <r>
    <x v="0"/>
    <x v="0"/>
    <x v="0"/>
    <x v="3"/>
    <x v="12"/>
    <s v="SE4_MAL"/>
    <x v="2"/>
    <s v="GHOB_WASTEHEAT"/>
    <x v="0"/>
    <x v="18"/>
    <n v="12.362637362637299"/>
    <n v="4512.3626373626203"/>
    <n v="16244.5054945054"/>
  </r>
  <r>
    <x v="0"/>
    <x v="0"/>
    <x v="0"/>
    <x v="3"/>
    <x v="12"/>
    <s v="SE4_MAL"/>
    <x v="2"/>
    <s v="GHOB_WASTEHEAT"/>
    <x v="0"/>
    <x v="19"/>
    <n v="12.362637362637299"/>
    <n v="4512.3626373626203"/>
    <n v="16244.5054945054"/>
  </r>
  <r>
    <x v="0"/>
    <x v="0"/>
    <x v="0"/>
    <x v="3"/>
    <x v="12"/>
    <s v="SE4_MAL"/>
    <x v="2"/>
    <s v="GHOB_WASTEHEAT"/>
    <x v="0"/>
    <x v="20"/>
    <n v="12.362637362637299"/>
    <n v="4512.3626373626203"/>
    <n v="16244.5054945054"/>
  </r>
  <r>
    <x v="0"/>
    <x v="0"/>
    <x v="0"/>
    <x v="3"/>
    <x v="12"/>
    <s v="SE4_MAL"/>
    <x v="2"/>
    <s v="GHOB_WASTEHEAT"/>
    <x v="0"/>
    <x v="21"/>
    <n v="12.362637362637299"/>
    <n v="4512.3626373626203"/>
    <n v="16244.5054945054"/>
  </r>
  <r>
    <x v="0"/>
    <x v="0"/>
    <x v="0"/>
    <x v="3"/>
    <x v="12"/>
    <s v="SE4_MAL"/>
    <x v="2"/>
    <s v="GHOB_WASTEHEAT"/>
    <x v="0"/>
    <x v="22"/>
    <n v="12.362637362637299"/>
    <n v="4512.3626373626203"/>
    <n v="16244.5054945054"/>
  </r>
  <r>
    <x v="0"/>
    <x v="0"/>
    <x v="0"/>
    <x v="3"/>
    <x v="12"/>
    <s v="SE4_MAL"/>
    <x v="2"/>
    <s v="GHOB_WASTEHEAT"/>
    <x v="0"/>
    <x v="23"/>
    <n v="12.362637362637299"/>
    <n v="4512.3626373626203"/>
    <n v="16244.5054945054"/>
  </r>
  <r>
    <x v="0"/>
    <x v="0"/>
    <x v="0"/>
    <x v="3"/>
    <x v="12"/>
    <s v="SE4_MAL"/>
    <x v="6"/>
    <s v="GHOB_WOODCHIPS"/>
    <x v="0"/>
    <x v="0"/>
    <n v="56.574826723727902"/>
    <n v="20649.811754160699"/>
    <n v="74339.322314978403"/>
  </r>
  <r>
    <x v="0"/>
    <x v="0"/>
    <x v="0"/>
    <x v="3"/>
    <x v="12"/>
    <s v="SE4_MAL"/>
    <x v="6"/>
    <s v="GHOB_WOODCHIPS"/>
    <x v="0"/>
    <x v="1"/>
    <n v="60.656433683015202"/>
    <n v="22139.5982943005"/>
    <n v="79702.553859481995"/>
  </r>
  <r>
    <x v="0"/>
    <x v="0"/>
    <x v="0"/>
    <x v="3"/>
    <x v="12"/>
    <s v="SE4_MAL"/>
    <x v="6"/>
    <s v="GHOB_WOODCHIPS"/>
    <x v="0"/>
    <x v="2"/>
    <n v="59.521684124093397"/>
    <n v="21725.414705294101"/>
    <n v="78211.492939058706"/>
  </r>
  <r>
    <x v="0"/>
    <x v="0"/>
    <x v="0"/>
    <x v="3"/>
    <x v="12"/>
    <s v="SE4_MAL"/>
    <x v="6"/>
    <s v="GHOB_WOODCHIPS"/>
    <x v="0"/>
    <x v="3"/>
    <n v="62.352844557171899"/>
    <n v="22758.7882633677"/>
    <n v="81931.637748123903"/>
  </r>
  <r>
    <x v="0"/>
    <x v="0"/>
    <x v="0"/>
    <x v="3"/>
    <x v="12"/>
    <s v="SE4_MAL"/>
    <x v="6"/>
    <s v="GHOB_WOODCHIPS"/>
    <x v="0"/>
    <x v="4"/>
    <n v="66.9948545371699"/>
    <n v="24453.121906067001"/>
    <n v="88031.238861841295"/>
  </r>
  <r>
    <x v="0"/>
    <x v="0"/>
    <x v="0"/>
    <x v="3"/>
    <x v="12"/>
    <s v="SE4_MAL"/>
    <x v="6"/>
    <s v="GHOB_WOODCHIPS"/>
    <x v="0"/>
    <x v="5"/>
    <n v="70"/>
    <n v="25550"/>
    <n v="91980"/>
  </r>
  <r>
    <x v="0"/>
    <x v="0"/>
    <x v="0"/>
    <x v="3"/>
    <x v="12"/>
    <s v="SE4_MAL"/>
    <x v="6"/>
    <s v="GHOB_WOODCHIPS"/>
    <x v="0"/>
    <x v="6"/>
    <n v="70"/>
    <n v="25550"/>
    <n v="91980"/>
  </r>
  <r>
    <x v="0"/>
    <x v="0"/>
    <x v="0"/>
    <x v="3"/>
    <x v="12"/>
    <s v="SE4_MAL"/>
    <x v="6"/>
    <s v="GHOB_WOODCHIPS"/>
    <x v="0"/>
    <x v="7"/>
    <n v="70"/>
    <n v="25550"/>
    <n v="91980"/>
  </r>
  <r>
    <x v="0"/>
    <x v="0"/>
    <x v="0"/>
    <x v="3"/>
    <x v="12"/>
    <s v="SE4_MAL"/>
    <x v="6"/>
    <s v="GHOB_WOODCHIPS"/>
    <x v="0"/>
    <x v="8"/>
    <n v="70"/>
    <n v="25550"/>
    <n v="91980"/>
  </r>
  <r>
    <x v="0"/>
    <x v="0"/>
    <x v="0"/>
    <x v="3"/>
    <x v="12"/>
    <s v="SE4_MAL"/>
    <x v="6"/>
    <s v="GHOB_WOODCHIPS"/>
    <x v="0"/>
    <x v="9"/>
    <n v="70"/>
    <n v="25550"/>
    <n v="91980"/>
  </r>
  <r>
    <x v="0"/>
    <x v="0"/>
    <x v="0"/>
    <x v="3"/>
    <x v="12"/>
    <s v="SE4_MAL"/>
    <x v="6"/>
    <s v="GHOB_WOODCHIPS"/>
    <x v="0"/>
    <x v="10"/>
    <n v="70"/>
    <n v="25550"/>
    <n v="91980"/>
  </r>
  <r>
    <x v="0"/>
    <x v="0"/>
    <x v="0"/>
    <x v="3"/>
    <x v="12"/>
    <s v="SE4_MAL"/>
    <x v="6"/>
    <s v="GHOB_WOODCHIPS"/>
    <x v="0"/>
    <x v="11"/>
    <n v="70"/>
    <n v="25550"/>
    <n v="91980"/>
  </r>
  <r>
    <x v="0"/>
    <x v="0"/>
    <x v="0"/>
    <x v="3"/>
    <x v="12"/>
    <s v="SE4_MAL"/>
    <x v="6"/>
    <s v="GHOB_WOODCHIPS"/>
    <x v="0"/>
    <x v="12"/>
    <n v="70"/>
    <n v="25550"/>
    <n v="91980"/>
  </r>
  <r>
    <x v="0"/>
    <x v="0"/>
    <x v="0"/>
    <x v="3"/>
    <x v="12"/>
    <s v="SE4_MAL"/>
    <x v="6"/>
    <s v="GHOB_WOODCHIPS"/>
    <x v="0"/>
    <x v="13"/>
    <n v="70"/>
    <n v="25550"/>
    <n v="91980"/>
  </r>
  <r>
    <x v="0"/>
    <x v="0"/>
    <x v="0"/>
    <x v="3"/>
    <x v="12"/>
    <s v="SE4_MAL"/>
    <x v="6"/>
    <s v="GHOB_WOODCHIPS"/>
    <x v="0"/>
    <x v="14"/>
    <n v="70"/>
    <n v="25550"/>
    <n v="91980"/>
  </r>
  <r>
    <x v="0"/>
    <x v="0"/>
    <x v="0"/>
    <x v="3"/>
    <x v="12"/>
    <s v="SE4_MAL"/>
    <x v="6"/>
    <s v="GHOB_WOODCHIPS"/>
    <x v="0"/>
    <x v="15"/>
    <n v="70"/>
    <n v="25550"/>
    <n v="91980"/>
  </r>
  <r>
    <x v="0"/>
    <x v="0"/>
    <x v="0"/>
    <x v="3"/>
    <x v="12"/>
    <s v="SE4_MAL"/>
    <x v="6"/>
    <s v="GHOB_WOODCHIPS"/>
    <x v="0"/>
    <x v="16"/>
    <n v="70"/>
    <n v="25550"/>
    <n v="91980"/>
  </r>
  <r>
    <x v="0"/>
    <x v="0"/>
    <x v="0"/>
    <x v="3"/>
    <x v="12"/>
    <s v="SE4_MAL"/>
    <x v="6"/>
    <s v="GHOB_WOODCHIPS"/>
    <x v="0"/>
    <x v="17"/>
    <n v="70"/>
    <n v="25550"/>
    <n v="91980"/>
  </r>
  <r>
    <x v="0"/>
    <x v="0"/>
    <x v="0"/>
    <x v="3"/>
    <x v="12"/>
    <s v="SE4_MAL"/>
    <x v="6"/>
    <s v="GHOB_WOODCHIPS"/>
    <x v="0"/>
    <x v="18"/>
    <n v="70"/>
    <n v="25550"/>
    <n v="91980"/>
  </r>
  <r>
    <x v="0"/>
    <x v="0"/>
    <x v="0"/>
    <x v="3"/>
    <x v="12"/>
    <s v="SE4_MAL"/>
    <x v="6"/>
    <s v="GHOB_WOODCHIPS"/>
    <x v="0"/>
    <x v="19"/>
    <n v="70"/>
    <n v="25550"/>
    <n v="91980"/>
  </r>
  <r>
    <x v="0"/>
    <x v="0"/>
    <x v="0"/>
    <x v="3"/>
    <x v="12"/>
    <s v="SE4_MAL"/>
    <x v="6"/>
    <s v="GHOB_WOODCHIPS"/>
    <x v="0"/>
    <x v="20"/>
    <n v="70"/>
    <n v="25550"/>
    <n v="91980"/>
  </r>
  <r>
    <x v="0"/>
    <x v="0"/>
    <x v="0"/>
    <x v="3"/>
    <x v="12"/>
    <s v="SE4_MAL"/>
    <x v="6"/>
    <s v="GHOB_WOODCHIPS"/>
    <x v="0"/>
    <x v="21"/>
    <n v="70"/>
    <n v="25550"/>
    <n v="91980"/>
  </r>
  <r>
    <x v="0"/>
    <x v="0"/>
    <x v="0"/>
    <x v="3"/>
    <x v="12"/>
    <s v="SE4_MAL"/>
    <x v="6"/>
    <s v="GHOB_WOODCHIPS"/>
    <x v="0"/>
    <x v="22"/>
    <n v="70"/>
    <n v="25550"/>
    <n v="91980"/>
  </r>
  <r>
    <x v="0"/>
    <x v="0"/>
    <x v="0"/>
    <x v="3"/>
    <x v="12"/>
    <s v="SE4_MAL"/>
    <x v="6"/>
    <s v="GHOB_WOODCHIPS"/>
    <x v="0"/>
    <x v="23"/>
    <n v="70"/>
    <n v="25550"/>
    <n v="91980"/>
  </r>
  <r>
    <x v="0"/>
    <x v="0"/>
    <x v="0"/>
    <x v="3"/>
    <x v="12"/>
    <s v="SE4_OTHER"/>
    <x v="1"/>
    <s v="GBPR_MUNIWASTE_19"/>
    <x v="0"/>
    <x v="0"/>
    <n v="54.940189799712499"/>
    <n v="20053.1692768951"/>
    <n v="72191.409396822201"/>
  </r>
  <r>
    <x v="0"/>
    <x v="0"/>
    <x v="0"/>
    <x v="3"/>
    <x v="12"/>
    <s v="SE4_OTHER"/>
    <x v="1"/>
    <s v="GBPR_MUNIWASTE_19"/>
    <x v="0"/>
    <x v="1"/>
    <n v="54.940189799712499"/>
    <n v="20053.1692768951"/>
    <n v="72191.409396822201"/>
  </r>
  <r>
    <x v="0"/>
    <x v="0"/>
    <x v="0"/>
    <x v="3"/>
    <x v="12"/>
    <s v="SE4_OTHER"/>
    <x v="1"/>
    <s v="GBPR_MUNIWASTE_19"/>
    <x v="0"/>
    <x v="2"/>
    <n v="54.940189799712499"/>
    <n v="20053.1692768951"/>
    <n v="72191.409396822201"/>
  </r>
  <r>
    <x v="0"/>
    <x v="0"/>
    <x v="0"/>
    <x v="3"/>
    <x v="12"/>
    <s v="SE4_OTHER"/>
    <x v="1"/>
    <s v="GBPR_MUNIWASTE_19"/>
    <x v="0"/>
    <x v="3"/>
    <n v="54.940189799712499"/>
    <n v="20053.1692768951"/>
    <n v="72191.409396822201"/>
  </r>
  <r>
    <x v="0"/>
    <x v="0"/>
    <x v="0"/>
    <x v="3"/>
    <x v="12"/>
    <s v="SE4_OTHER"/>
    <x v="1"/>
    <s v="GBPR_MUNIWASTE_19"/>
    <x v="0"/>
    <x v="4"/>
    <n v="54.940189799712499"/>
    <n v="20053.1692768951"/>
    <n v="72191.409396822201"/>
  </r>
  <r>
    <x v="0"/>
    <x v="0"/>
    <x v="0"/>
    <x v="3"/>
    <x v="12"/>
    <s v="SE4_OTHER"/>
    <x v="1"/>
    <s v="GBPR_MUNIWASTE_19"/>
    <x v="0"/>
    <x v="5"/>
    <n v="54.940189799712499"/>
    <n v="20053.1692768951"/>
    <n v="72191.409396822201"/>
  </r>
  <r>
    <x v="0"/>
    <x v="0"/>
    <x v="0"/>
    <x v="3"/>
    <x v="12"/>
    <s v="SE4_OTHER"/>
    <x v="1"/>
    <s v="GBPR_MUNIWASTE_19"/>
    <x v="0"/>
    <x v="6"/>
    <n v="54.940189799712499"/>
    <n v="20053.1692768951"/>
    <n v="72191.409396822201"/>
  </r>
  <r>
    <x v="0"/>
    <x v="0"/>
    <x v="0"/>
    <x v="3"/>
    <x v="12"/>
    <s v="SE4_OTHER"/>
    <x v="1"/>
    <s v="GBPR_MUNIWASTE_19"/>
    <x v="0"/>
    <x v="7"/>
    <n v="54.940189799712499"/>
    <n v="20053.1692768951"/>
    <n v="72191.409396822201"/>
  </r>
  <r>
    <x v="0"/>
    <x v="0"/>
    <x v="0"/>
    <x v="3"/>
    <x v="12"/>
    <s v="SE4_OTHER"/>
    <x v="1"/>
    <s v="GBPR_MUNIWASTE_19"/>
    <x v="0"/>
    <x v="8"/>
    <n v="54.940189799712499"/>
    <n v="20053.1692768951"/>
    <n v="72191.409396822201"/>
  </r>
  <r>
    <x v="0"/>
    <x v="0"/>
    <x v="0"/>
    <x v="3"/>
    <x v="12"/>
    <s v="SE4_OTHER"/>
    <x v="1"/>
    <s v="GBPR_MUNIWASTE_19"/>
    <x v="0"/>
    <x v="9"/>
    <n v="54.940189799712499"/>
    <n v="20053.1692768951"/>
    <n v="72191.409396822201"/>
  </r>
  <r>
    <x v="0"/>
    <x v="0"/>
    <x v="0"/>
    <x v="3"/>
    <x v="12"/>
    <s v="SE4_OTHER"/>
    <x v="1"/>
    <s v="GBPR_MUNIWASTE_19"/>
    <x v="0"/>
    <x v="10"/>
    <n v="54.940189799712499"/>
    <n v="20053.1692768951"/>
    <n v="72191.409396822201"/>
  </r>
  <r>
    <x v="0"/>
    <x v="0"/>
    <x v="0"/>
    <x v="3"/>
    <x v="12"/>
    <s v="SE4_OTHER"/>
    <x v="1"/>
    <s v="GBPR_MUNIWASTE_19"/>
    <x v="0"/>
    <x v="11"/>
    <n v="54.940189799712499"/>
    <n v="20053.1692768951"/>
    <n v="72191.409396822201"/>
  </r>
  <r>
    <x v="0"/>
    <x v="0"/>
    <x v="0"/>
    <x v="3"/>
    <x v="12"/>
    <s v="SE4_OTHER"/>
    <x v="1"/>
    <s v="GBPR_MUNIWASTE_19"/>
    <x v="0"/>
    <x v="12"/>
    <n v="54.940189799712499"/>
    <n v="20053.1692768951"/>
    <n v="72191.409396822201"/>
  </r>
  <r>
    <x v="0"/>
    <x v="0"/>
    <x v="0"/>
    <x v="3"/>
    <x v="12"/>
    <s v="SE4_OTHER"/>
    <x v="1"/>
    <s v="GBPR_MUNIWASTE_19"/>
    <x v="0"/>
    <x v="13"/>
    <n v="54.940189799712499"/>
    <n v="20053.1692768951"/>
    <n v="72191.409396822201"/>
  </r>
  <r>
    <x v="0"/>
    <x v="0"/>
    <x v="0"/>
    <x v="3"/>
    <x v="12"/>
    <s v="SE4_OTHER"/>
    <x v="1"/>
    <s v="GBPR_MUNIWASTE_19"/>
    <x v="0"/>
    <x v="14"/>
    <n v="54.940189799712499"/>
    <n v="20053.1692768951"/>
    <n v="72191.409396822201"/>
  </r>
  <r>
    <x v="0"/>
    <x v="0"/>
    <x v="0"/>
    <x v="3"/>
    <x v="12"/>
    <s v="SE4_OTHER"/>
    <x v="1"/>
    <s v="GBPR_MUNIWASTE_19"/>
    <x v="0"/>
    <x v="15"/>
    <n v="54.940189799712499"/>
    <n v="20053.1692768951"/>
    <n v="72191.409396822201"/>
  </r>
  <r>
    <x v="0"/>
    <x v="0"/>
    <x v="0"/>
    <x v="3"/>
    <x v="12"/>
    <s v="SE4_OTHER"/>
    <x v="1"/>
    <s v="GBPR_MUNIWASTE_19"/>
    <x v="0"/>
    <x v="16"/>
    <n v="54.940189799712499"/>
    <n v="20053.1692768951"/>
    <n v="72191.409396822201"/>
  </r>
  <r>
    <x v="0"/>
    <x v="0"/>
    <x v="0"/>
    <x v="3"/>
    <x v="12"/>
    <s v="SE4_OTHER"/>
    <x v="1"/>
    <s v="GBPR_MUNIWASTE_19"/>
    <x v="0"/>
    <x v="17"/>
    <n v="54.940189799712499"/>
    <n v="20053.1692768951"/>
    <n v="72191.409396822201"/>
  </r>
  <r>
    <x v="0"/>
    <x v="0"/>
    <x v="0"/>
    <x v="3"/>
    <x v="12"/>
    <s v="SE4_OTHER"/>
    <x v="1"/>
    <s v="GBPR_MUNIWASTE_19"/>
    <x v="0"/>
    <x v="18"/>
    <n v="54.940189799712499"/>
    <n v="20053.1692768951"/>
    <n v="72191.409396822201"/>
  </r>
  <r>
    <x v="0"/>
    <x v="0"/>
    <x v="0"/>
    <x v="3"/>
    <x v="12"/>
    <s v="SE4_OTHER"/>
    <x v="1"/>
    <s v="GBPR_MUNIWASTE_19"/>
    <x v="0"/>
    <x v="19"/>
    <n v="54.940189799712499"/>
    <n v="20053.1692768951"/>
    <n v="72191.409396822201"/>
  </r>
  <r>
    <x v="0"/>
    <x v="0"/>
    <x v="0"/>
    <x v="3"/>
    <x v="12"/>
    <s v="SE4_OTHER"/>
    <x v="1"/>
    <s v="GBPR_MUNIWASTE_19"/>
    <x v="0"/>
    <x v="20"/>
    <n v="54.940189799712499"/>
    <n v="20053.1692768951"/>
    <n v="72191.409396822201"/>
  </r>
  <r>
    <x v="0"/>
    <x v="0"/>
    <x v="0"/>
    <x v="3"/>
    <x v="12"/>
    <s v="SE4_OTHER"/>
    <x v="1"/>
    <s v="GBPR_MUNIWASTE_19"/>
    <x v="0"/>
    <x v="21"/>
    <n v="54.940189799712499"/>
    <n v="20053.1692768951"/>
    <n v="72191.409396822201"/>
  </r>
  <r>
    <x v="0"/>
    <x v="0"/>
    <x v="0"/>
    <x v="3"/>
    <x v="12"/>
    <s v="SE4_OTHER"/>
    <x v="1"/>
    <s v="GBPR_MUNIWASTE_19"/>
    <x v="0"/>
    <x v="22"/>
    <n v="54.940189799712499"/>
    <n v="20053.1692768951"/>
    <n v="72191.409396822201"/>
  </r>
  <r>
    <x v="0"/>
    <x v="0"/>
    <x v="0"/>
    <x v="3"/>
    <x v="12"/>
    <s v="SE4_OTHER"/>
    <x v="1"/>
    <s v="GBPR_MUNIWASTE_19"/>
    <x v="0"/>
    <x v="23"/>
    <n v="54.940189799712499"/>
    <n v="20053.1692768951"/>
    <n v="72191.409396822201"/>
  </r>
  <r>
    <x v="0"/>
    <x v="0"/>
    <x v="0"/>
    <x v="3"/>
    <x v="12"/>
    <s v="SE4_OTHER"/>
    <x v="1"/>
    <s v="GHOB_MUNIWASTE"/>
    <x v="0"/>
    <x v="0"/>
    <n v="11.901290812371499"/>
    <n v="4343.9711465155997"/>
    <n v="15638.2961274561"/>
  </r>
  <r>
    <x v="0"/>
    <x v="0"/>
    <x v="0"/>
    <x v="3"/>
    <x v="12"/>
    <s v="SE4_OTHER"/>
    <x v="1"/>
    <s v="GHOB_MUNIWASTE"/>
    <x v="0"/>
    <x v="1"/>
    <n v="11.901290812371499"/>
    <n v="4343.9711465155997"/>
    <n v="15638.2961274561"/>
  </r>
  <r>
    <x v="0"/>
    <x v="0"/>
    <x v="0"/>
    <x v="3"/>
    <x v="12"/>
    <s v="SE4_OTHER"/>
    <x v="1"/>
    <s v="GHOB_MUNIWASTE"/>
    <x v="0"/>
    <x v="2"/>
    <n v="11.901290812371499"/>
    <n v="4343.9711465155997"/>
    <n v="15638.2961274561"/>
  </r>
  <r>
    <x v="0"/>
    <x v="0"/>
    <x v="0"/>
    <x v="3"/>
    <x v="12"/>
    <s v="SE4_OTHER"/>
    <x v="1"/>
    <s v="GHOB_MUNIWASTE"/>
    <x v="0"/>
    <x v="3"/>
    <n v="11.901290812371499"/>
    <n v="4343.9711465155997"/>
    <n v="15638.2961274561"/>
  </r>
  <r>
    <x v="0"/>
    <x v="0"/>
    <x v="0"/>
    <x v="3"/>
    <x v="12"/>
    <s v="SE4_OTHER"/>
    <x v="1"/>
    <s v="GHOB_MUNIWASTE"/>
    <x v="0"/>
    <x v="4"/>
    <n v="11.901290812371499"/>
    <n v="4343.9711465155997"/>
    <n v="15638.2961274561"/>
  </r>
  <r>
    <x v="0"/>
    <x v="0"/>
    <x v="0"/>
    <x v="3"/>
    <x v="12"/>
    <s v="SE4_OTHER"/>
    <x v="1"/>
    <s v="GHOB_MUNIWASTE"/>
    <x v="0"/>
    <x v="5"/>
    <n v="11.901290812371499"/>
    <n v="4343.9711465155997"/>
    <n v="15638.2961274561"/>
  </r>
  <r>
    <x v="0"/>
    <x v="0"/>
    <x v="0"/>
    <x v="3"/>
    <x v="12"/>
    <s v="SE4_OTHER"/>
    <x v="1"/>
    <s v="GHOB_MUNIWASTE"/>
    <x v="0"/>
    <x v="6"/>
    <n v="11.901290812371499"/>
    <n v="4343.9711465155997"/>
    <n v="15638.2961274561"/>
  </r>
  <r>
    <x v="0"/>
    <x v="0"/>
    <x v="0"/>
    <x v="3"/>
    <x v="12"/>
    <s v="SE4_OTHER"/>
    <x v="1"/>
    <s v="GHOB_MUNIWASTE"/>
    <x v="0"/>
    <x v="7"/>
    <n v="11.901290812371499"/>
    <n v="4343.9711465155997"/>
    <n v="15638.2961274561"/>
  </r>
  <r>
    <x v="0"/>
    <x v="0"/>
    <x v="0"/>
    <x v="3"/>
    <x v="12"/>
    <s v="SE4_OTHER"/>
    <x v="1"/>
    <s v="GHOB_MUNIWASTE"/>
    <x v="0"/>
    <x v="8"/>
    <n v="11.901290812371499"/>
    <n v="4343.9711465155997"/>
    <n v="15638.2961274561"/>
  </r>
  <r>
    <x v="0"/>
    <x v="0"/>
    <x v="0"/>
    <x v="3"/>
    <x v="12"/>
    <s v="SE4_OTHER"/>
    <x v="1"/>
    <s v="GHOB_MUNIWASTE"/>
    <x v="0"/>
    <x v="9"/>
    <n v="11.901290812371499"/>
    <n v="4343.9711465155997"/>
    <n v="15638.2961274561"/>
  </r>
  <r>
    <x v="0"/>
    <x v="0"/>
    <x v="0"/>
    <x v="3"/>
    <x v="12"/>
    <s v="SE4_OTHER"/>
    <x v="1"/>
    <s v="GHOB_MUNIWASTE"/>
    <x v="0"/>
    <x v="10"/>
    <n v="11.901290812371499"/>
    <n v="4343.9711465155997"/>
    <n v="15638.2961274561"/>
  </r>
  <r>
    <x v="0"/>
    <x v="0"/>
    <x v="0"/>
    <x v="3"/>
    <x v="12"/>
    <s v="SE4_OTHER"/>
    <x v="1"/>
    <s v="GHOB_MUNIWASTE"/>
    <x v="0"/>
    <x v="11"/>
    <n v="11.901290812371499"/>
    <n v="4343.9711465155997"/>
    <n v="15638.2961274561"/>
  </r>
  <r>
    <x v="0"/>
    <x v="0"/>
    <x v="0"/>
    <x v="3"/>
    <x v="12"/>
    <s v="SE4_OTHER"/>
    <x v="1"/>
    <s v="GHOB_MUNIWASTE"/>
    <x v="0"/>
    <x v="12"/>
    <n v="11.901290812371499"/>
    <n v="4343.9711465155997"/>
    <n v="15638.2961274561"/>
  </r>
  <r>
    <x v="0"/>
    <x v="0"/>
    <x v="0"/>
    <x v="3"/>
    <x v="12"/>
    <s v="SE4_OTHER"/>
    <x v="1"/>
    <s v="GHOB_MUNIWASTE"/>
    <x v="0"/>
    <x v="13"/>
    <n v="11.901290812371499"/>
    <n v="4343.9711465155997"/>
    <n v="15638.2961274561"/>
  </r>
  <r>
    <x v="0"/>
    <x v="0"/>
    <x v="0"/>
    <x v="3"/>
    <x v="12"/>
    <s v="SE4_OTHER"/>
    <x v="1"/>
    <s v="GHOB_MUNIWASTE"/>
    <x v="0"/>
    <x v="14"/>
    <n v="11.901290812371499"/>
    <n v="4343.9711465155997"/>
    <n v="15638.2961274561"/>
  </r>
  <r>
    <x v="0"/>
    <x v="0"/>
    <x v="0"/>
    <x v="3"/>
    <x v="12"/>
    <s v="SE4_OTHER"/>
    <x v="1"/>
    <s v="GHOB_MUNIWASTE"/>
    <x v="0"/>
    <x v="15"/>
    <n v="11.901290812371499"/>
    <n v="4343.9711465155997"/>
    <n v="15638.2961274561"/>
  </r>
  <r>
    <x v="0"/>
    <x v="0"/>
    <x v="0"/>
    <x v="3"/>
    <x v="12"/>
    <s v="SE4_OTHER"/>
    <x v="1"/>
    <s v="GHOB_MUNIWASTE"/>
    <x v="0"/>
    <x v="16"/>
    <n v="11.901290812371499"/>
    <n v="4343.9711465155997"/>
    <n v="15638.2961274561"/>
  </r>
  <r>
    <x v="0"/>
    <x v="0"/>
    <x v="0"/>
    <x v="3"/>
    <x v="12"/>
    <s v="SE4_OTHER"/>
    <x v="1"/>
    <s v="GHOB_MUNIWASTE"/>
    <x v="0"/>
    <x v="17"/>
    <n v="11.901290812371499"/>
    <n v="4343.9711465155997"/>
    <n v="15638.2961274561"/>
  </r>
  <r>
    <x v="0"/>
    <x v="0"/>
    <x v="0"/>
    <x v="3"/>
    <x v="12"/>
    <s v="SE4_OTHER"/>
    <x v="1"/>
    <s v="GHOB_MUNIWASTE"/>
    <x v="0"/>
    <x v="18"/>
    <n v="11.901290812371499"/>
    <n v="4343.9711465155997"/>
    <n v="15638.2961274561"/>
  </r>
  <r>
    <x v="0"/>
    <x v="0"/>
    <x v="0"/>
    <x v="3"/>
    <x v="12"/>
    <s v="SE4_OTHER"/>
    <x v="1"/>
    <s v="GHOB_MUNIWASTE"/>
    <x v="0"/>
    <x v="19"/>
    <n v="11.901290812371499"/>
    <n v="4343.9711465155997"/>
    <n v="15638.2961274561"/>
  </r>
  <r>
    <x v="0"/>
    <x v="0"/>
    <x v="0"/>
    <x v="3"/>
    <x v="12"/>
    <s v="SE4_OTHER"/>
    <x v="1"/>
    <s v="GHOB_MUNIWASTE"/>
    <x v="0"/>
    <x v="20"/>
    <n v="11.901290812371499"/>
    <n v="4343.9711465155997"/>
    <n v="15638.2961274561"/>
  </r>
  <r>
    <x v="0"/>
    <x v="0"/>
    <x v="0"/>
    <x v="3"/>
    <x v="12"/>
    <s v="SE4_OTHER"/>
    <x v="1"/>
    <s v="GHOB_MUNIWASTE"/>
    <x v="0"/>
    <x v="21"/>
    <n v="11.901290812371499"/>
    <n v="4343.9711465155997"/>
    <n v="15638.2961274561"/>
  </r>
  <r>
    <x v="0"/>
    <x v="0"/>
    <x v="0"/>
    <x v="3"/>
    <x v="12"/>
    <s v="SE4_OTHER"/>
    <x v="1"/>
    <s v="GHOB_MUNIWASTE"/>
    <x v="0"/>
    <x v="22"/>
    <n v="11.901290812371499"/>
    <n v="4343.9711465155997"/>
    <n v="15638.2961274561"/>
  </r>
  <r>
    <x v="0"/>
    <x v="0"/>
    <x v="0"/>
    <x v="3"/>
    <x v="12"/>
    <s v="SE4_OTHER"/>
    <x v="1"/>
    <s v="GHOB_MUNIWASTE"/>
    <x v="0"/>
    <x v="23"/>
    <n v="11.901290812371499"/>
    <n v="4343.9711465155997"/>
    <n v="15638.2961274561"/>
  </r>
  <r>
    <x v="0"/>
    <x v="0"/>
    <x v="0"/>
    <x v="3"/>
    <x v="12"/>
    <s v="SE4_OTHER"/>
    <x v="11"/>
    <s v="GHOB_RECYCLEDWOOD"/>
    <x v="0"/>
    <x v="3"/>
    <n v="4.5665540160670997"/>
    <n v="1666.7922158644899"/>
    <n v="6000.4519771121704"/>
  </r>
  <r>
    <x v="0"/>
    <x v="0"/>
    <x v="0"/>
    <x v="3"/>
    <x v="12"/>
    <s v="SE4_OTHER"/>
    <x v="11"/>
    <s v="GHOB_RECYCLEDWOOD"/>
    <x v="0"/>
    <x v="4"/>
    <n v="22.394571955993101"/>
    <n v="8174.0187639374999"/>
    <n v="29426.467550174999"/>
  </r>
  <r>
    <x v="0"/>
    <x v="0"/>
    <x v="0"/>
    <x v="3"/>
    <x v="12"/>
    <s v="SE4_OTHER"/>
    <x v="11"/>
    <s v="GHOB_RECYCLEDWOOD"/>
    <x v="0"/>
    <x v="5"/>
    <n v="51.021898486865098"/>
    <n v="18622.992947705799"/>
    <n v="67042.774611740795"/>
  </r>
  <r>
    <x v="0"/>
    <x v="0"/>
    <x v="0"/>
    <x v="3"/>
    <x v="12"/>
    <s v="SE4_OTHER"/>
    <x v="11"/>
    <s v="GHOB_RECYCLEDWOOD"/>
    <x v="0"/>
    <x v="6"/>
    <n v="51.021898486865098"/>
    <n v="18622.992947705799"/>
    <n v="67042.774611740795"/>
  </r>
  <r>
    <x v="0"/>
    <x v="0"/>
    <x v="0"/>
    <x v="3"/>
    <x v="12"/>
    <s v="SE4_OTHER"/>
    <x v="11"/>
    <s v="GHOB_RECYCLEDWOOD"/>
    <x v="0"/>
    <x v="7"/>
    <n v="51.021898486865098"/>
    <n v="18622.992947705799"/>
    <n v="67042.774611740795"/>
  </r>
  <r>
    <x v="0"/>
    <x v="0"/>
    <x v="0"/>
    <x v="3"/>
    <x v="12"/>
    <s v="SE4_OTHER"/>
    <x v="11"/>
    <s v="GHOB_RECYCLEDWOOD"/>
    <x v="0"/>
    <x v="8"/>
    <n v="51.021898486865098"/>
    <n v="18622.992947705799"/>
    <n v="67042.774611740795"/>
  </r>
  <r>
    <x v="0"/>
    <x v="0"/>
    <x v="0"/>
    <x v="3"/>
    <x v="12"/>
    <s v="SE4_OTHER"/>
    <x v="11"/>
    <s v="GHOB_RECYCLEDWOOD"/>
    <x v="0"/>
    <x v="9"/>
    <n v="51.021898486865098"/>
    <n v="18622.992947705799"/>
    <n v="67042.774611740795"/>
  </r>
  <r>
    <x v="0"/>
    <x v="0"/>
    <x v="0"/>
    <x v="3"/>
    <x v="12"/>
    <s v="SE4_OTHER"/>
    <x v="11"/>
    <s v="GHOB_RECYCLEDWOOD"/>
    <x v="0"/>
    <x v="10"/>
    <n v="51.021898486865098"/>
    <n v="18622.992947705799"/>
    <n v="67042.774611740795"/>
  </r>
  <r>
    <x v="0"/>
    <x v="0"/>
    <x v="0"/>
    <x v="3"/>
    <x v="12"/>
    <s v="SE4_OTHER"/>
    <x v="11"/>
    <s v="GHOB_RECYCLEDWOOD"/>
    <x v="0"/>
    <x v="11"/>
    <n v="51.021898486865098"/>
    <n v="18622.992947705799"/>
    <n v="67042.774611740795"/>
  </r>
  <r>
    <x v="0"/>
    <x v="0"/>
    <x v="0"/>
    <x v="3"/>
    <x v="12"/>
    <s v="SE4_OTHER"/>
    <x v="11"/>
    <s v="GHOB_RECYCLEDWOOD"/>
    <x v="0"/>
    <x v="12"/>
    <n v="33.948686957926398"/>
    <n v="12391.2707396431"/>
    <n v="44608.574662715197"/>
  </r>
  <r>
    <x v="0"/>
    <x v="0"/>
    <x v="0"/>
    <x v="3"/>
    <x v="12"/>
    <s v="SE4_OTHER"/>
    <x v="11"/>
    <s v="GHOB_RECYCLEDWOOD"/>
    <x v="0"/>
    <x v="13"/>
    <n v="34.644400850575003"/>
    <n v="12645.2063104599"/>
    <n v="45522.742717655601"/>
  </r>
  <r>
    <x v="0"/>
    <x v="0"/>
    <x v="0"/>
    <x v="3"/>
    <x v="12"/>
    <s v="SE4_OTHER"/>
    <x v="11"/>
    <s v="GHOB_RECYCLEDWOOD"/>
    <x v="0"/>
    <x v="14"/>
    <n v="43.891519367244101"/>
    <n v="16020.4045690441"/>
    <n v="57673.456448558703"/>
  </r>
  <r>
    <x v="0"/>
    <x v="0"/>
    <x v="0"/>
    <x v="3"/>
    <x v="12"/>
    <s v="SE4_OTHER"/>
    <x v="11"/>
    <s v="GHOB_RECYCLEDWOOD"/>
    <x v="0"/>
    <x v="15"/>
    <n v="51.021898486865098"/>
    <n v="18622.992947705799"/>
    <n v="67042.774611740795"/>
  </r>
  <r>
    <x v="0"/>
    <x v="0"/>
    <x v="0"/>
    <x v="3"/>
    <x v="12"/>
    <s v="SE4_OTHER"/>
    <x v="11"/>
    <s v="GHOB_RECYCLEDWOOD"/>
    <x v="0"/>
    <x v="16"/>
    <n v="51.021898486865098"/>
    <n v="18622.992947705799"/>
    <n v="67042.774611740795"/>
  </r>
  <r>
    <x v="0"/>
    <x v="0"/>
    <x v="0"/>
    <x v="3"/>
    <x v="12"/>
    <s v="SE4_OTHER"/>
    <x v="11"/>
    <s v="GHOB_RECYCLEDWOOD"/>
    <x v="0"/>
    <x v="17"/>
    <n v="51.021898486865098"/>
    <n v="18622.992947705799"/>
    <n v="67042.774611740795"/>
  </r>
  <r>
    <x v="0"/>
    <x v="0"/>
    <x v="0"/>
    <x v="3"/>
    <x v="12"/>
    <s v="SE4_OTHER"/>
    <x v="11"/>
    <s v="GHOB_RECYCLEDWOOD"/>
    <x v="0"/>
    <x v="18"/>
    <n v="51.021898486865098"/>
    <n v="18622.992947705799"/>
    <n v="67042.774611740795"/>
  </r>
  <r>
    <x v="0"/>
    <x v="0"/>
    <x v="0"/>
    <x v="3"/>
    <x v="12"/>
    <s v="SE4_OTHER"/>
    <x v="11"/>
    <s v="GHOB_RECYCLEDWOOD"/>
    <x v="0"/>
    <x v="19"/>
    <n v="51.021898486865098"/>
    <n v="18622.992947705799"/>
    <n v="67042.774611740795"/>
  </r>
  <r>
    <x v="0"/>
    <x v="0"/>
    <x v="0"/>
    <x v="3"/>
    <x v="12"/>
    <s v="SE4_OTHER"/>
    <x v="11"/>
    <s v="GHOB_RECYCLEDWOOD"/>
    <x v="0"/>
    <x v="20"/>
    <n v="51.021898486865098"/>
    <n v="18622.992947705799"/>
    <n v="67042.774611740795"/>
  </r>
  <r>
    <x v="0"/>
    <x v="0"/>
    <x v="0"/>
    <x v="3"/>
    <x v="12"/>
    <s v="SE4_OTHER"/>
    <x v="11"/>
    <s v="GHOB_RECYCLEDWOOD"/>
    <x v="0"/>
    <x v="21"/>
    <n v="51.021898486865098"/>
    <n v="18622.992947705799"/>
    <n v="67042.774611740795"/>
  </r>
  <r>
    <x v="0"/>
    <x v="0"/>
    <x v="0"/>
    <x v="3"/>
    <x v="12"/>
    <s v="SE4_OTHER"/>
    <x v="11"/>
    <s v="GHOB_RECYCLEDWOOD"/>
    <x v="0"/>
    <x v="22"/>
    <n v="51.021898486865098"/>
    <n v="18622.992947705799"/>
    <n v="67042.774611740795"/>
  </r>
  <r>
    <x v="0"/>
    <x v="0"/>
    <x v="0"/>
    <x v="3"/>
    <x v="12"/>
    <s v="SE4_OTHER"/>
    <x v="11"/>
    <s v="GHOB_RECYCLEDWOOD"/>
    <x v="0"/>
    <x v="23"/>
    <n v="7.1688963633107798"/>
    <n v="2616.6471726084301"/>
    <n v="9419.9298213903603"/>
  </r>
  <r>
    <x v="0"/>
    <x v="0"/>
    <x v="0"/>
    <x v="3"/>
    <x v="12"/>
    <s v="SE4_OTHER"/>
    <x v="2"/>
    <s v="GHOB_WASTEHEAT"/>
    <x v="0"/>
    <x v="0"/>
    <n v="54.953067765567503"/>
    <n v="20057.869734432199"/>
    <n v="72208.331043955797"/>
  </r>
  <r>
    <x v="0"/>
    <x v="0"/>
    <x v="0"/>
    <x v="3"/>
    <x v="12"/>
    <s v="SE4_OTHER"/>
    <x v="2"/>
    <s v="GHOB_WASTEHEAT"/>
    <x v="0"/>
    <x v="1"/>
    <n v="54.953067765567503"/>
    <n v="20057.869734432199"/>
    <n v="72208.331043955797"/>
  </r>
  <r>
    <x v="0"/>
    <x v="0"/>
    <x v="0"/>
    <x v="3"/>
    <x v="12"/>
    <s v="SE4_OTHER"/>
    <x v="2"/>
    <s v="GHOB_WASTEHEAT"/>
    <x v="0"/>
    <x v="2"/>
    <n v="54.953067765567503"/>
    <n v="20057.869734432199"/>
    <n v="72208.331043955797"/>
  </r>
  <r>
    <x v="0"/>
    <x v="0"/>
    <x v="0"/>
    <x v="3"/>
    <x v="12"/>
    <s v="SE4_OTHER"/>
    <x v="2"/>
    <s v="GHOB_WASTEHEAT"/>
    <x v="0"/>
    <x v="3"/>
    <n v="54.953067765567503"/>
    <n v="20057.869734432199"/>
    <n v="72208.331043955797"/>
  </r>
  <r>
    <x v="0"/>
    <x v="0"/>
    <x v="0"/>
    <x v="3"/>
    <x v="12"/>
    <s v="SE4_OTHER"/>
    <x v="2"/>
    <s v="GHOB_WASTEHEAT"/>
    <x v="0"/>
    <x v="4"/>
    <n v="54.953067765567503"/>
    <n v="20057.869734432199"/>
    <n v="72208.331043955797"/>
  </r>
  <r>
    <x v="0"/>
    <x v="0"/>
    <x v="0"/>
    <x v="3"/>
    <x v="12"/>
    <s v="SE4_OTHER"/>
    <x v="2"/>
    <s v="GHOB_WASTEHEAT"/>
    <x v="0"/>
    <x v="5"/>
    <n v="54.953067765567503"/>
    <n v="20057.869734432199"/>
    <n v="72208.331043955797"/>
  </r>
  <r>
    <x v="0"/>
    <x v="0"/>
    <x v="0"/>
    <x v="3"/>
    <x v="12"/>
    <s v="SE4_OTHER"/>
    <x v="2"/>
    <s v="GHOB_WASTEHEAT"/>
    <x v="0"/>
    <x v="6"/>
    <n v="54.953067765567503"/>
    <n v="20057.869734432199"/>
    <n v="72208.331043955797"/>
  </r>
  <r>
    <x v="0"/>
    <x v="0"/>
    <x v="0"/>
    <x v="3"/>
    <x v="12"/>
    <s v="SE4_OTHER"/>
    <x v="2"/>
    <s v="GHOB_WASTEHEAT"/>
    <x v="0"/>
    <x v="7"/>
    <n v="54.953067765567503"/>
    <n v="20057.869734432199"/>
    <n v="72208.331043955797"/>
  </r>
  <r>
    <x v="0"/>
    <x v="0"/>
    <x v="0"/>
    <x v="3"/>
    <x v="12"/>
    <s v="SE4_OTHER"/>
    <x v="2"/>
    <s v="GHOB_WASTEHEAT"/>
    <x v="0"/>
    <x v="8"/>
    <n v="54.953067765567503"/>
    <n v="20057.869734432199"/>
    <n v="72208.331043955797"/>
  </r>
  <r>
    <x v="0"/>
    <x v="0"/>
    <x v="0"/>
    <x v="3"/>
    <x v="12"/>
    <s v="SE4_OTHER"/>
    <x v="2"/>
    <s v="GHOB_WASTEHEAT"/>
    <x v="0"/>
    <x v="9"/>
    <n v="54.953067765567503"/>
    <n v="20057.869734432199"/>
    <n v="72208.331043955797"/>
  </r>
  <r>
    <x v="0"/>
    <x v="0"/>
    <x v="0"/>
    <x v="3"/>
    <x v="12"/>
    <s v="SE4_OTHER"/>
    <x v="2"/>
    <s v="GHOB_WASTEHEAT"/>
    <x v="0"/>
    <x v="10"/>
    <n v="54.953067765567503"/>
    <n v="20057.869734432199"/>
    <n v="72208.331043955797"/>
  </r>
  <r>
    <x v="0"/>
    <x v="0"/>
    <x v="0"/>
    <x v="3"/>
    <x v="12"/>
    <s v="SE4_OTHER"/>
    <x v="2"/>
    <s v="GHOB_WASTEHEAT"/>
    <x v="0"/>
    <x v="11"/>
    <n v="54.953067765567503"/>
    <n v="20057.869734432199"/>
    <n v="72208.331043955797"/>
  </r>
  <r>
    <x v="0"/>
    <x v="0"/>
    <x v="0"/>
    <x v="3"/>
    <x v="12"/>
    <s v="SE4_OTHER"/>
    <x v="2"/>
    <s v="GHOB_WASTEHEAT"/>
    <x v="0"/>
    <x v="12"/>
    <n v="54.953067765567503"/>
    <n v="20057.869734432199"/>
    <n v="72208.331043955797"/>
  </r>
  <r>
    <x v="0"/>
    <x v="0"/>
    <x v="0"/>
    <x v="3"/>
    <x v="12"/>
    <s v="SE4_OTHER"/>
    <x v="2"/>
    <s v="GHOB_WASTEHEAT"/>
    <x v="0"/>
    <x v="13"/>
    <n v="54.953067765567503"/>
    <n v="20057.869734432199"/>
    <n v="72208.331043955797"/>
  </r>
  <r>
    <x v="0"/>
    <x v="0"/>
    <x v="0"/>
    <x v="3"/>
    <x v="12"/>
    <s v="SE4_OTHER"/>
    <x v="2"/>
    <s v="GHOB_WASTEHEAT"/>
    <x v="0"/>
    <x v="14"/>
    <n v="54.953067765567503"/>
    <n v="20057.869734432199"/>
    <n v="72208.331043955797"/>
  </r>
  <r>
    <x v="0"/>
    <x v="0"/>
    <x v="0"/>
    <x v="3"/>
    <x v="12"/>
    <s v="SE4_OTHER"/>
    <x v="2"/>
    <s v="GHOB_WASTEHEAT"/>
    <x v="0"/>
    <x v="15"/>
    <n v="54.953067765567503"/>
    <n v="20057.869734432199"/>
    <n v="72208.331043955797"/>
  </r>
  <r>
    <x v="0"/>
    <x v="0"/>
    <x v="0"/>
    <x v="3"/>
    <x v="12"/>
    <s v="SE4_OTHER"/>
    <x v="2"/>
    <s v="GHOB_WASTEHEAT"/>
    <x v="0"/>
    <x v="16"/>
    <n v="54.953067765567503"/>
    <n v="20057.869734432199"/>
    <n v="72208.331043955797"/>
  </r>
  <r>
    <x v="0"/>
    <x v="0"/>
    <x v="0"/>
    <x v="3"/>
    <x v="12"/>
    <s v="SE4_OTHER"/>
    <x v="2"/>
    <s v="GHOB_WASTEHEAT"/>
    <x v="0"/>
    <x v="17"/>
    <n v="54.953067765567503"/>
    <n v="20057.869734432199"/>
    <n v="72208.331043955797"/>
  </r>
  <r>
    <x v="0"/>
    <x v="0"/>
    <x v="0"/>
    <x v="3"/>
    <x v="12"/>
    <s v="SE4_OTHER"/>
    <x v="2"/>
    <s v="GHOB_WASTEHEAT"/>
    <x v="0"/>
    <x v="18"/>
    <n v="54.953067765567503"/>
    <n v="20057.869734432199"/>
    <n v="72208.331043955797"/>
  </r>
  <r>
    <x v="0"/>
    <x v="0"/>
    <x v="0"/>
    <x v="3"/>
    <x v="12"/>
    <s v="SE4_OTHER"/>
    <x v="2"/>
    <s v="GHOB_WASTEHEAT"/>
    <x v="0"/>
    <x v="19"/>
    <n v="54.953067765567503"/>
    <n v="20057.869734432199"/>
    <n v="72208.331043955797"/>
  </r>
  <r>
    <x v="0"/>
    <x v="0"/>
    <x v="0"/>
    <x v="3"/>
    <x v="12"/>
    <s v="SE4_OTHER"/>
    <x v="2"/>
    <s v="GHOB_WASTEHEAT"/>
    <x v="0"/>
    <x v="20"/>
    <n v="54.953067765567503"/>
    <n v="20057.869734432199"/>
    <n v="72208.331043955797"/>
  </r>
  <r>
    <x v="0"/>
    <x v="0"/>
    <x v="0"/>
    <x v="3"/>
    <x v="12"/>
    <s v="SE4_OTHER"/>
    <x v="2"/>
    <s v="GHOB_WASTEHEAT"/>
    <x v="0"/>
    <x v="21"/>
    <n v="54.953067765567503"/>
    <n v="20057.869734432199"/>
    <n v="72208.331043955797"/>
  </r>
  <r>
    <x v="0"/>
    <x v="0"/>
    <x v="0"/>
    <x v="3"/>
    <x v="12"/>
    <s v="SE4_OTHER"/>
    <x v="2"/>
    <s v="GHOB_WASTEHEAT"/>
    <x v="0"/>
    <x v="22"/>
    <n v="54.953067765567503"/>
    <n v="20057.869734432199"/>
    <n v="72208.331043955797"/>
  </r>
  <r>
    <x v="0"/>
    <x v="0"/>
    <x v="0"/>
    <x v="3"/>
    <x v="12"/>
    <s v="SE4_OTHER"/>
    <x v="2"/>
    <s v="GHOB_WASTEHEAT"/>
    <x v="0"/>
    <x v="23"/>
    <n v="54.953067765567503"/>
    <n v="20057.869734432199"/>
    <n v="72208.331043955797"/>
  </r>
  <r>
    <x v="0"/>
    <x v="0"/>
    <x v="0"/>
    <x v="3"/>
    <x v="12"/>
    <s v="SE4_OTHER"/>
    <x v="6"/>
    <s v="GBPR_WOODCHIPS_25"/>
    <x v="0"/>
    <x v="7"/>
    <n v="10.8031904045438"/>
    <n v="3943.1644976584898"/>
    <n v="14195.3921915706"/>
  </r>
  <r>
    <x v="0"/>
    <x v="0"/>
    <x v="0"/>
    <x v="3"/>
    <x v="12"/>
    <s v="SE4_OTHER"/>
    <x v="6"/>
    <s v="GHOB_WOODCHIPS"/>
    <x v="0"/>
    <x v="5"/>
    <n v="31.958432508343101"/>
    <n v="11664.8278655452"/>
    <n v="41993.380315962801"/>
  </r>
  <r>
    <x v="0"/>
    <x v="0"/>
    <x v="0"/>
    <x v="3"/>
    <x v="12"/>
    <s v="SE4_OTHER"/>
    <x v="6"/>
    <s v="GHOB_WOODCHIPS"/>
    <x v="0"/>
    <x v="6"/>
    <n v="143.82839957302701"/>
    <n v="52497.365844155"/>
    <n v="188990.517038958"/>
  </r>
  <r>
    <x v="0"/>
    <x v="0"/>
    <x v="0"/>
    <x v="3"/>
    <x v="12"/>
    <s v="SE4_OTHER"/>
    <x v="6"/>
    <s v="GHOB_WOODCHIPS"/>
    <x v="0"/>
    <x v="7"/>
    <n v="152.69999999999999"/>
    <n v="55735.5"/>
    <n v="200647.8"/>
  </r>
  <r>
    <x v="0"/>
    <x v="0"/>
    <x v="0"/>
    <x v="3"/>
    <x v="12"/>
    <s v="SE4_OTHER"/>
    <x v="6"/>
    <s v="GHOB_WOODCHIPS"/>
    <x v="0"/>
    <x v="8"/>
    <n v="110.386077106006"/>
    <n v="40290.918143692303"/>
    <n v="145047.30531729199"/>
  </r>
  <r>
    <x v="0"/>
    <x v="0"/>
    <x v="0"/>
    <x v="3"/>
    <x v="12"/>
    <s v="SE4_OTHER"/>
    <x v="6"/>
    <s v="GHOB_WOODCHIPS"/>
    <x v="0"/>
    <x v="9"/>
    <n v="58.999915014267202"/>
    <n v="21534.968980207501"/>
    <n v="77525.888328747096"/>
  </r>
  <r>
    <x v="0"/>
    <x v="0"/>
    <x v="0"/>
    <x v="3"/>
    <x v="12"/>
    <s v="SE4_OTHER"/>
    <x v="6"/>
    <s v="GHOB_WOODCHIPS"/>
    <x v="0"/>
    <x v="10"/>
    <n v="23.082122198423999"/>
    <n v="8424.9746024247597"/>
    <n v="30329.908568729101"/>
  </r>
  <r>
    <x v="0"/>
    <x v="0"/>
    <x v="0"/>
    <x v="3"/>
    <x v="12"/>
    <s v="SE4_OTHER"/>
    <x v="6"/>
    <s v="GHOB_WOODCHIPS"/>
    <x v="0"/>
    <x v="11"/>
    <n v="0.92037828897124996"/>
    <n v="335.93807547450598"/>
    <n v="1209.37707170822"/>
  </r>
  <r>
    <x v="0"/>
    <x v="0"/>
    <x v="0"/>
    <x v="3"/>
    <x v="12"/>
    <s v="SE4_OTHER"/>
    <x v="6"/>
    <s v="GHOB_WOODCHIPS"/>
    <x v="0"/>
    <x v="15"/>
    <n v="8.3019911442107492"/>
    <n v="3030.2267676369202"/>
    <n v="10908.816363492901"/>
  </r>
  <r>
    <x v="0"/>
    <x v="0"/>
    <x v="0"/>
    <x v="3"/>
    <x v="12"/>
    <s v="SE4_OTHER"/>
    <x v="6"/>
    <s v="GHOB_WOODCHIPS"/>
    <x v="0"/>
    <x v="16"/>
    <n v="18.678981644246502"/>
    <n v="6817.8283001499603"/>
    <n v="24544.181880539902"/>
  </r>
  <r>
    <x v="0"/>
    <x v="0"/>
    <x v="0"/>
    <x v="3"/>
    <x v="12"/>
    <s v="SE4_OTHER"/>
    <x v="6"/>
    <s v="GHOB_WOODCHIPS"/>
    <x v="0"/>
    <x v="17"/>
    <n v="18.6334043724647"/>
    <n v="6801.1925959496102"/>
    <n v="24484.293345418599"/>
  </r>
  <r>
    <x v="0"/>
    <x v="0"/>
    <x v="0"/>
    <x v="3"/>
    <x v="12"/>
    <s v="SE4_OTHER"/>
    <x v="6"/>
    <s v="GHOB_WOODCHIPS"/>
    <x v="0"/>
    <x v="18"/>
    <n v="32.225486395606602"/>
    <n v="11762.3025343964"/>
    <n v="42344.289123827002"/>
  </r>
  <r>
    <x v="0"/>
    <x v="0"/>
    <x v="0"/>
    <x v="3"/>
    <x v="12"/>
    <s v="SE4_OTHER"/>
    <x v="6"/>
    <s v="GHOB_WOODCHIPS"/>
    <x v="0"/>
    <x v="19"/>
    <n v="44.482501257337603"/>
    <n v="16236.112958928201"/>
    <n v="58450.006652141601"/>
  </r>
  <r>
    <x v="0"/>
    <x v="0"/>
    <x v="0"/>
    <x v="3"/>
    <x v="12"/>
    <s v="SE4_OTHER"/>
    <x v="6"/>
    <s v="GHOB_WOODCHIPS"/>
    <x v="0"/>
    <x v="20"/>
    <n v="45.252946833278699"/>
    <n v="16517.3255941467"/>
    <n v="59462.372138928302"/>
  </r>
  <r>
    <x v="0"/>
    <x v="0"/>
    <x v="0"/>
    <x v="3"/>
    <x v="12"/>
    <s v="SE4_OTHER"/>
    <x v="6"/>
    <s v="GHOB_WOODCHIPS"/>
    <x v="0"/>
    <x v="21"/>
    <n v="33.118677316421802"/>
    <n v="12088.3172204939"/>
    <n v="43517.9419937782"/>
  </r>
  <r>
    <x v="0"/>
    <x v="0"/>
    <x v="0"/>
    <x v="3"/>
    <x v="12"/>
    <s v="SE4_OTHER"/>
    <x v="6"/>
    <s v="GHOB_WOODCHIPS"/>
    <x v="0"/>
    <x v="22"/>
    <n v="9.4490783826950899"/>
    <n v="3448.9136096837101"/>
    <n v="12416.0889948613"/>
  </r>
  <r>
    <x v="0"/>
    <x v="0"/>
    <x v="0"/>
    <x v="3"/>
    <x v="12"/>
    <s v="SE4_OTHER"/>
    <x v="7"/>
    <s v="GBPR_WOODWASTE_36"/>
    <x v="0"/>
    <x v="0"/>
    <n v="158.97793345008799"/>
    <n v="58026.945709282001"/>
    <n v="208897.004553415"/>
  </r>
  <r>
    <x v="0"/>
    <x v="0"/>
    <x v="0"/>
    <x v="3"/>
    <x v="12"/>
    <s v="SE4_OTHER"/>
    <x v="7"/>
    <s v="GBPR_WOODWASTE_36"/>
    <x v="0"/>
    <x v="1"/>
    <n v="158.97793345008799"/>
    <n v="58026.945709282001"/>
    <n v="208897.004553415"/>
  </r>
  <r>
    <x v="0"/>
    <x v="0"/>
    <x v="0"/>
    <x v="3"/>
    <x v="12"/>
    <s v="SE4_OTHER"/>
    <x v="7"/>
    <s v="GBPR_WOODWASTE_36"/>
    <x v="0"/>
    <x v="2"/>
    <n v="158.97793345008799"/>
    <n v="58026.945709282001"/>
    <n v="208897.004553415"/>
  </r>
  <r>
    <x v="0"/>
    <x v="0"/>
    <x v="0"/>
    <x v="3"/>
    <x v="12"/>
    <s v="SE4_OTHER"/>
    <x v="7"/>
    <s v="GBPR_WOODWASTE_36"/>
    <x v="0"/>
    <x v="3"/>
    <n v="158.97793345008799"/>
    <n v="58026.945709282001"/>
    <n v="208897.004553415"/>
  </r>
  <r>
    <x v="0"/>
    <x v="0"/>
    <x v="0"/>
    <x v="3"/>
    <x v="12"/>
    <s v="SE4_OTHER"/>
    <x v="7"/>
    <s v="GBPR_WOODWASTE_36"/>
    <x v="0"/>
    <x v="4"/>
    <n v="158.97793345008799"/>
    <n v="58026.945709282001"/>
    <n v="208897.004553415"/>
  </r>
  <r>
    <x v="0"/>
    <x v="0"/>
    <x v="0"/>
    <x v="3"/>
    <x v="12"/>
    <s v="SE4_OTHER"/>
    <x v="7"/>
    <s v="GBPR_WOODWASTE_36"/>
    <x v="0"/>
    <x v="5"/>
    <n v="158.97793345008799"/>
    <n v="58026.945709282001"/>
    <n v="208897.004553415"/>
  </r>
  <r>
    <x v="0"/>
    <x v="0"/>
    <x v="0"/>
    <x v="3"/>
    <x v="12"/>
    <s v="SE4_OTHER"/>
    <x v="7"/>
    <s v="GBPR_WOODWASTE_36"/>
    <x v="0"/>
    <x v="6"/>
    <n v="158.97793345008799"/>
    <n v="58026.945709282001"/>
    <n v="208897.004553415"/>
  </r>
  <r>
    <x v="0"/>
    <x v="0"/>
    <x v="0"/>
    <x v="3"/>
    <x v="12"/>
    <s v="SE4_OTHER"/>
    <x v="7"/>
    <s v="GBPR_WOODWASTE_36"/>
    <x v="0"/>
    <x v="7"/>
    <n v="158.97793345008799"/>
    <n v="58026.945709282001"/>
    <n v="208897.004553415"/>
  </r>
  <r>
    <x v="0"/>
    <x v="0"/>
    <x v="0"/>
    <x v="3"/>
    <x v="12"/>
    <s v="SE4_OTHER"/>
    <x v="7"/>
    <s v="GBPR_WOODWASTE_36"/>
    <x v="0"/>
    <x v="8"/>
    <n v="158.97793345008799"/>
    <n v="58026.945709282001"/>
    <n v="208897.004553415"/>
  </r>
  <r>
    <x v="0"/>
    <x v="0"/>
    <x v="0"/>
    <x v="3"/>
    <x v="12"/>
    <s v="SE4_OTHER"/>
    <x v="7"/>
    <s v="GBPR_WOODWASTE_36"/>
    <x v="0"/>
    <x v="9"/>
    <n v="158.97793345008799"/>
    <n v="58026.945709282001"/>
    <n v="208897.004553415"/>
  </r>
  <r>
    <x v="0"/>
    <x v="0"/>
    <x v="0"/>
    <x v="3"/>
    <x v="12"/>
    <s v="SE4_OTHER"/>
    <x v="7"/>
    <s v="GBPR_WOODWASTE_36"/>
    <x v="0"/>
    <x v="10"/>
    <n v="158.97793345008799"/>
    <n v="58026.945709282001"/>
    <n v="208897.004553415"/>
  </r>
  <r>
    <x v="0"/>
    <x v="0"/>
    <x v="0"/>
    <x v="3"/>
    <x v="12"/>
    <s v="SE4_OTHER"/>
    <x v="7"/>
    <s v="GBPR_WOODWASTE_36"/>
    <x v="0"/>
    <x v="11"/>
    <n v="158.97793345008799"/>
    <n v="58026.945709282001"/>
    <n v="208897.004553415"/>
  </r>
  <r>
    <x v="0"/>
    <x v="0"/>
    <x v="0"/>
    <x v="3"/>
    <x v="12"/>
    <s v="SE4_OTHER"/>
    <x v="7"/>
    <s v="GBPR_WOODWASTE_36"/>
    <x v="0"/>
    <x v="12"/>
    <n v="158.97793345008799"/>
    <n v="58026.945709282001"/>
    <n v="208897.004553415"/>
  </r>
  <r>
    <x v="0"/>
    <x v="0"/>
    <x v="0"/>
    <x v="3"/>
    <x v="12"/>
    <s v="SE4_OTHER"/>
    <x v="7"/>
    <s v="GBPR_WOODWASTE_36"/>
    <x v="0"/>
    <x v="13"/>
    <n v="158.97793345008799"/>
    <n v="58026.945709282001"/>
    <n v="208897.004553415"/>
  </r>
  <r>
    <x v="0"/>
    <x v="0"/>
    <x v="0"/>
    <x v="3"/>
    <x v="12"/>
    <s v="SE4_OTHER"/>
    <x v="7"/>
    <s v="GBPR_WOODWASTE_36"/>
    <x v="0"/>
    <x v="14"/>
    <n v="158.97793345008799"/>
    <n v="58026.945709282001"/>
    <n v="208897.004553415"/>
  </r>
  <r>
    <x v="0"/>
    <x v="0"/>
    <x v="0"/>
    <x v="3"/>
    <x v="12"/>
    <s v="SE4_OTHER"/>
    <x v="7"/>
    <s v="GBPR_WOODWASTE_36"/>
    <x v="0"/>
    <x v="15"/>
    <n v="158.97793345008799"/>
    <n v="58026.945709282001"/>
    <n v="208897.004553415"/>
  </r>
  <r>
    <x v="0"/>
    <x v="0"/>
    <x v="0"/>
    <x v="3"/>
    <x v="12"/>
    <s v="SE4_OTHER"/>
    <x v="7"/>
    <s v="GBPR_WOODWASTE_36"/>
    <x v="0"/>
    <x v="16"/>
    <n v="158.97793345008799"/>
    <n v="58026.945709282001"/>
    <n v="208897.004553415"/>
  </r>
  <r>
    <x v="0"/>
    <x v="0"/>
    <x v="0"/>
    <x v="3"/>
    <x v="12"/>
    <s v="SE4_OTHER"/>
    <x v="7"/>
    <s v="GBPR_WOODWASTE_36"/>
    <x v="0"/>
    <x v="17"/>
    <n v="158.97793345008799"/>
    <n v="58026.945709282001"/>
    <n v="208897.004553415"/>
  </r>
  <r>
    <x v="0"/>
    <x v="0"/>
    <x v="0"/>
    <x v="3"/>
    <x v="12"/>
    <s v="SE4_OTHER"/>
    <x v="7"/>
    <s v="GBPR_WOODWASTE_36"/>
    <x v="0"/>
    <x v="18"/>
    <n v="158.97793345008799"/>
    <n v="58026.945709282001"/>
    <n v="208897.004553415"/>
  </r>
  <r>
    <x v="0"/>
    <x v="0"/>
    <x v="0"/>
    <x v="3"/>
    <x v="12"/>
    <s v="SE4_OTHER"/>
    <x v="7"/>
    <s v="GBPR_WOODWASTE_36"/>
    <x v="0"/>
    <x v="19"/>
    <n v="158.97793345008799"/>
    <n v="58026.945709282001"/>
    <n v="208897.004553415"/>
  </r>
  <r>
    <x v="0"/>
    <x v="0"/>
    <x v="0"/>
    <x v="3"/>
    <x v="12"/>
    <s v="SE4_OTHER"/>
    <x v="7"/>
    <s v="GBPR_WOODWASTE_36"/>
    <x v="0"/>
    <x v="20"/>
    <n v="158.97793345008799"/>
    <n v="58026.945709282001"/>
    <n v="208897.004553415"/>
  </r>
  <r>
    <x v="0"/>
    <x v="0"/>
    <x v="0"/>
    <x v="3"/>
    <x v="12"/>
    <s v="SE4_OTHER"/>
    <x v="7"/>
    <s v="GBPR_WOODWASTE_36"/>
    <x v="0"/>
    <x v="21"/>
    <n v="158.97793345008799"/>
    <n v="58026.945709282001"/>
    <n v="208897.004553415"/>
  </r>
  <r>
    <x v="0"/>
    <x v="0"/>
    <x v="0"/>
    <x v="3"/>
    <x v="12"/>
    <s v="SE4_OTHER"/>
    <x v="7"/>
    <s v="GBPR_WOODWASTE_36"/>
    <x v="0"/>
    <x v="22"/>
    <n v="158.97793345008799"/>
    <n v="58026.945709282001"/>
    <n v="208897.004553415"/>
  </r>
  <r>
    <x v="0"/>
    <x v="0"/>
    <x v="0"/>
    <x v="3"/>
    <x v="12"/>
    <s v="SE4_OTHER"/>
    <x v="7"/>
    <s v="GBPR_WOODWASTE_36"/>
    <x v="0"/>
    <x v="23"/>
    <n v="158.97793345008799"/>
    <n v="58026.945709282001"/>
    <n v="208897.004553415"/>
  </r>
  <r>
    <x v="0"/>
    <x v="0"/>
    <x v="0"/>
    <x v="3"/>
    <x v="12"/>
    <s v="SE4_OTHER"/>
    <x v="7"/>
    <s v="GHOB_WOODWASTE"/>
    <x v="0"/>
    <x v="0"/>
    <n v="177.167151985619"/>
    <n v="64666.010474750998"/>
    <n v="232797.63770910399"/>
  </r>
  <r>
    <x v="0"/>
    <x v="0"/>
    <x v="0"/>
    <x v="3"/>
    <x v="12"/>
    <s v="SE4_OTHER"/>
    <x v="7"/>
    <s v="GHOB_WOODWASTE"/>
    <x v="0"/>
    <x v="1"/>
    <n v="187.846432561424"/>
    <n v="68563.947884919704"/>
    <n v="246830.212385711"/>
  </r>
  <r>
    <x v="0"/>
    <x v="0"/>
    <x v="0"/>
    <x v="3"/>
    <x v="12"/>
    <s v="SE4_OTHER"/>
    <x v="7"/>
    <s v="GHOB_WOODWASTE"/>
    <x v="0"/>
    <x v="2"/>
    <n v="187.84864736459201"/>
    <n v="68564.756288075907"/>
    <n v="246833.12263707299"/>
  </r>
  <r>
    <x v="0"/>
    <x v="0"/>
    <x v="0"/>
    <x v="3"/>
    <x v="12"/>
    <s v="SE4_OTHER"/>
    <x v="7"/>
    <s v="GHOB_WOODWASTE"/>
    <x v="0"/>
    <x v="3"/>
    <n v="203.639430262697"/>
    <n v="74328.392045884393"/>
    <n v="267582.21136518399"/>
  </r>
  <r>
    <x v="0"/>
    <x v="0"/>
    <x v="0"/>
    <x v="3"/>
    <x v="12"/>
    <s v="SE4_OTHER"/>
    <x v="7"/>
    <s v="GHOB_WOODWASTE"/>
    <x v="0"/>
    <x v="4"/>
    <n v="203.639430262697"/>
    <n v="74328.392045884393"/>
    <n v="267582.21136518399"/>
  </r>
  <r>
    <x v="0"/>
    <x v="0"/>
    <x v="0"/>
    <x v="3"/>
    <x v="12"/>
    <s v="SE4_OTHER"/>
    <x v="7"/>
    <s v="GHOB_WOODWASTE"/>
    <x v="0"/>
    <x v="5"/>
    <n v="203.639430262697"/>
    <n v="74328.392045884393"/>
    <n v="267582.21136518399"/>
  </r>
  <r>
    <x v="0"/>
    <x v="0"/>
    <x v="0"/>
    <x v="3"/>
    <x v="12"/>
    <s v="SE4_OTHER"/>
    <x v="7"/>
    <s v="GHOB_WOODWASTE"/>
    <x v="0"/>
    <x v="6"/>
    <n v="203.639430262697"/>
    <n v="74328.392045884393"/>
    <n v="267582.21136518399"/>
  </r>
  <r>
    <x v="0"/>
    <x v="0"/>
    <x v="0"/>
    <x v="3"/>
    <x v="12"/>
    <s v="SE4_OTHER"/>
    <x v="7"/>
    <s v="GHOB_WOODWASTE"/>
    <x v="0"/>
    <x v="7"/>
    <n v="203.639430262697"/>
    <n v="74328.392045884393"/>
    <n v="267582.21136518399"/>
  </r>
  <r>
    <x v="0"/>
    <x v="0"/>
    <x v="0"/>
    <x v="3"/>
    <x v="12"/>
    <s v="SE4_OTHER"/>
    <x v="7"/>
    <s v="GHOB_WOODWASTE"/>
    <x v="0"/>
    <x v="8"/>
    <n v="203.639430262697"/>
    <n v="74328.392045884393"/>
    <n v="267582.21136518399"/>
  </r>
  <r>
    <x v="0"/>
    <x v="0"/>
    <x v="0"/>
    <x v="3"/>
    <x v="12"/>
    <s v="SE4_OTHER"/>
    <x v="7"/>
    <s v="GHOB_WOODWASTE"/>
    <x v="0"/>
    <x v="9"/>
    <n v="203.639430262697"/>
    <n v="74328.392045884393"/>
    <n v="267582.21136518399"/>
  </r>
  <r>
    <x v="0"/>
    <x v="0"/>
    <x v="0"/>
    <x v="3"/>
    <x v="12"/>
    <s v="SE4_OTHER"/>
    <x v="7"/>
    <s v="GHOB_WOODWASTE"/>
    <x v="0"/>
    <x v="10"/>
    <n v="203.639430262697"/>
    <n v="74328.392045884393"/>
    <n v="267582.21136518399"/>
  </r>
  <r>
    <x v="0"/>
    <x v="0"/>
    <x v="0"/>
    <x v="3"/>
    <x v="12"/>
    <s v="SE4_OTHER"/>
    <x v="7"/>
    <s v="GHOB_WOODWASTE"/>
    <x v="0"/>
    <x v="11"/>
    <n v="203.639430262697"/>
    <n v="74328.392045884393"/>
    <n v="267582.21136518399"/>
  </r>
  <r>
    <x v="0"/>
    <x v="0"/>
    <x v="0"/>
    <x v="3"/>
    <x v="12"/>
    <s v="SE4_OTHER"/>
    <x v="7"/>
    <s v="GHOB_WOODWASTE"/>
    <x v="0"/>
    <x v="12"/>
    <n v="203.639430262697"/>
    <n v="74328.392045884393"/>
    <n v="267582.21136518399"/>
  </r>
  <r>
    <x v="0"/>
    <x v="0"/>
    <x v="0"/>
    <x v="3"/>
    <x v="12"/>
    <s v="SE4_OTHER"/>
    <x v="7"/>
    <s v="GHOB_WOODWASTE"/>
    <x v="0"/>
    <x v="13"/>
    <n v="203.639430262697"/>
    <n v="74328.392045884393"/>
    <n v="267582.21136518399"/>
  </r>
  <r>
    <x v="0"/>
    <x v="0"/>
    <x v="0"/>
    <x v="3"/>
    <x v="12"/>
    <s v="SE4_OTHER"/>
    <x v="7"/>
    <s v="GHOB_WOODWASTE"/>
    <x v="0"/>
    <x v="14"/>
    <n v="203.639430262697"/>
    <n v="74328.392045884393"/>
    <n v="267582.21136518399"/>
  </r>
  <r>
    <x v="0"/>
    <x v="0"/>
    <x v="0"/>
    <x v="3"/>
    <x v="12"/>
    <s v="SE4_OTHER"/>
    <x v="7"/>
    <s v="GHOB_WOODWASTE"/>
    <x v="0"/>
    <x v="15"/>
    <n v="203.639430262697"/>
    <n v="74328.392045884393"/>
    <n v="267582.21136518399"/>
  </r>
  <r>
    <x v="0"/>
    <x v="0"/>
    <x v="0"/>
    <x v="3"/>
    <x v="12"/>
    <s v="SE4_OTHER"/>
    <x v="7"/>
    <s v="GHOB_WOODWASTE"/>
    <x v="0"/>
    <x v="16"/>
    <n v="203.639430262697"/>
    <n v="74328.392045884393"/>
    <n v="267582.21136518399"/>
  </r>
  <r>
    <x v="0"/>
    <x v="0"/>
    <x v="0"/>
    <x v="3"/>
    <x v="12"/>
    <s v="SE4_OTHER"/>
    <x v="7"/>
    <s v="GHOB_WOODWASTE"/>
    <x v="0"/>
    <x v="17"/>
    <n v="203.639430262697"/>
    <n v="74328.392045884393"/>
    <n v="267582.21136518399"/>
  </r>
  <r>
    <x v="0"/>
    <x v="0"/>
    <x v="0"/>
    <x v="3"/>
    <x v="12"/>
    <s v="SE4_OTHER"/>
    <x v="7"/>
    <s v="GHOB_WOODWASTE"/>
    <x v="0"/>
    <x v="18"/>
    <n v="203.639430262697"/>
    <n v="74328.392045884393"/>
    <n v="267582.21136518399"/>
  </r>
  <r>
    <x v="0"/>
    <x v="0"/>
    <x v="0"/>
    <x v="3"/>
    <x v="12"/>
    <s v="SE4_OTHER"/>
    <x v="7"/>
    <s v="GHOB_WOODWASTE"/>
    <x v="0"/>
    <x v="19"/>
    <n v="203.639430262697"/>
    <n v="74328.392045884393"/>
    <n v="267582.21136518399"/>
  </r>
  <r>
    <x v="0"/>
    <x v="0"/>
    <x v="0"/>
    <x v="3"/>
    <x v="12"/>
    <s v="SE4_OTHER"/>
    <x v="7"/>
    <s v="GHOB_WOODWASTE"/>
    <x v="0"/>
    <x v="20"/>
    <n v="203.639430262697"/>
    <n v="74328.392045884393"/>
    <n v="267582.21136518399"/>
  </r>
  <r>
    <x v="0"/>
    <x v="0"/>
    <x v="0"/>
    <x v="3"/>
    <x v="12"/>
    <s v="SE4_OTHER"/>
    <x v="7"/>
    <s v="GHOB_WOODWASTE"/>
    <x v="0"/>
    <x v="21"/>
    <n v="203.639430262697"/>
    <n v="74328.392045884393"/>
    <n v="267582.21136518399"/>
  </r>
  <r>
    <x v="0"/>
    <x v="0"/>
    <x v="0"/>
    <x v="3"/>
    <x v="12"/>
    <s v="SE4_OTHER"/>
    <x v="7"/>
    <s v="GHOB_WOODWASTE"/>
    <x v="0"/>
    <x v="22"/>
    <n v="203.639430262697"/>
    <n v="74328.392045884393"/>
    <n v="267582.21136518399"/>
  </r>
  <r>
    <x v="0"/>
    <x v="0"/>
    <x v="0"/>
    <x v="3"/>
    <x v="12"/>
    <s v="SE4_OTHER"/>
    <x v="7"/>
    <s v="GHOB_WOODWASTE"/>
    <x v="0"/>
    <x v="23"/>
    <n v="203.639430262697"/>
    <n v="74328.392045884393"/>
    <n v="267582.21136518399"/>
  </r>
  <r>
    <x v="0"/>
    <x v="0"/>
    <x v="1"/>
    <x v="0"/>
    <x v="0"/>
    <s v="DK1_Large"/>
    <x v="3"/>
    <s v="GNR_BO_ELEC_E-100"/>
    <x v="0"/>
    <x v="4"/>
    <n v="38.473842307286098"/>
    <n v="14042.9524421594"/>
    <n v="50554.628791773903"/>
  </r>
  <r>
    <x v="0"/>
    <x v="0"/>
    <x v="1"/>
    <x v="0"/>
    <x v="0"/>
    <s v="DK1_Large"/>
    <x v="3"/>
    <s v="GNR_BO_ELEC_E-100"/>
    <x v="0"/>
    <x v="5"/>
    <n v="82.95"/>
    <n v="30276.75"/>
    <n v="108996.3"/>
  </r>
  <r>
    <x v="0"/>
    <x v="0"/>
    <x v="1"/>
    <x v="0"/>
    <x v="0"/>
    <s v="DK1_Large"/>
    <x v="3"/>
    <s v="GNR_BO_ELEC_E-100"/>
    <x v="0"/>
    <x v="6"/>
    <n v="82.95"/>
    <n v="30276.75"/>
    <n v="108996.3"/>
  </r>
  <r>
    <x v="0"/>
    <x v="0"/>
    <x v="1"/>
    <x v="0"/>
    <x v="0"/>
    <s v="DK1_Large"/>
    <x v="3"/>
    <s v="GNR_BO_ELEC_E-100"/>
    <x v="0"/>
    <x v="7"/>
    <n v="82.95"/>
    <n v="30276.75"/>
    <n v="108996.3"/>
  </r>
  <r>
    <x v="0"/>
    <x v="0"/>
    <x v="1"/>
    <x v="0"/>
    <x v="0"/>
    <s v="DK1_Large"/>
    <x v="3"/>
    <s v="GNR_BO_ELEC_E-100"/>
    <x v="0"/>
    <x v="8"/>
    <n v="82.95"/>
    <n v="30276.75"/>
    <n v="108996.3"/>
  </r>
  <r>
    <x v="0"/>
    <x v="0"/>
    <x v="1"/>
    <x v="0"/>
    <x v="0"/>
    <s v="DK1_Large"/>
    <x v="3"/>
    <s v="GNR_BO_ELEC_E-100"/>
    <x v="0"/>
    <x v="9"/>
    <n v="71.663131576167203"/>
    <n v="26157.043025301002"/>
    <n v="94165.354891083698"/>
  </r>
  <r>
    <x v="0"/>
    <x v="0"/>
    <x v="1"/>
    <x v="0"/>
    <x v="0"/>
    <s v="DK1_Large"/>
    <x v="3"/>
    <s v="GNR_BO_ELEC_E-100"/>
    <x v="0"/>
    <x v="10"/>
    <n v="20.396429756293902"/>
    <n v="7444.6968610472604"/>
    <n v="26800.908699770102"/>
  </r>
  <r>
    <x v="0"/>
    <x v="0"/>
    <x v="1"/>
    <x v="0"/>
    <x v="0"/>
    <s v="DK1_Large"/>
    <x v="3"/>
    <s v="GNR_BO_ELEC_E-99_LS-10-MW-FEED_Y-2030"/>
    <x v="0"/>
    <x v="5"/>
    <n v="100.617867806644"/>
    <n v="36725.521749425003"/>
    <n v="132211.87829793"/>
  </r>
  <r>
    <x v="0"/>
    <x v="0"/>
    <x v="1"/>
    <x v="0"/>
    <x v="0"/>
    <s v="DK1_Large"/>
    <x v="3"/>
    <s v="GNR_BO_ELEC_E-99_LS-10-MW-FEED_Y-2030"/>
    <x v="0"/>
    <x v="6"/>
    <n v="100.617867806644"/>
    <n v="36725.521749425003"/>
    <n v="132211.87829793"/>
  </r>
  <r>
    <x v="0"/>
    <x v="0"/>
    <x v="1"/>
    <x v="0"/>
    <x v="0"/>
    <s v="DK1_Large"/>
    <x v="3"/>
    <s v="GNR_BO_ELEC_E-99_LS-10-MW-FEED_Y-2030"/>
    <x v="0"/>
    <x v="7"/>
    <n v="90.144025499357696"/>
    <n v="32902.569307265498"/>
    <n v="118449.249506156"/>
  </r>
  <r>
    <x v="0"/>
    <x v="0"/>
    <x v="1"/>
    <x v="0"/>
    <x v="0"/>
    <s v="DK1_Large"/>
    <x v="3"/>
    <s v="GNR_BO_ELEC_E-99_LS-10-MW-FEED_Y-2030"/>
    <x v="0"/>
    <x v="8"/>
    <n v="59.825008294056303"/>
    <n v="21836.128027330498"/>
    <n v="78610.0608983899"/>
  </r>
  <r>
    <x v="0"/>
    <x v="0"/>
    <x v="1"/>
    <x v="0"/>
    <x v="0"/>
    <s v="DK1_Large"/>
    <x v="3"/>
    <s v="GNR_HP_ELEC_COP-1200_Y-2030"/>
    <x v="0"/>
    <x v="0"/>
    <n v="875.94396980407498"/>
    <n v="319719.54897848697"/>
    <n v="1150990.37632255"/>
  </r>
  <r>
    <x v="0"/>
    <x v="0"/>
    <x v="1"/>
    <x v="0"/>
    <x v="0"/>
    <s v="DK1_Large"/>
    <x v="3"/>
    <s v="GNR_HP_ELEC_COP-1200_Y-2030"/>
    <x v="0"/>
    <x v="1"/>
    <n v="875.94396980407498"/>
    <n v="319719.54897848697"/>
    <n v="1150990.37632255"/>
  </r>
  <r>
    <x v="0"/>
    <x v="0"/>
    <x v="1"/>
    <x v="0"/>
    <x v="0"/>
    <s v="DK1_Large"/>
    <x v="3"/>
    <s v="GNR_HP_ELEC_COP-1200_Y-2030"/>
    <x v="0"/>
    <x v="2"/>
    <n v="886.41781211136094"/>
    <n v="323542.50142064702"/>
    <n v="1164753.00511433"/>
  </r>
  <r>
    <x v="0"/>
    <x v="0"/>
    <x v="1"/>
    <x v="0"/>
    <x v="0"/>
    <s v="DK1_Large"/>
    <x v="3"/>
    <s v="GNR_HP_ELEC_COP-1200_Y-2030"/>
    <x v="0"/>
    <x v="3"/>
    <n v="947.05584652196399"/>
    <n v="345675.38398051698"/>
    <n v="1244431.38232986"/>
  </r>
  <r>
    <x v="0"/>
    <x v="0"/>
    <x v="1"/>
    <x v="0"/>
    <x v="0"/>
    <s v="DK1_Large"/>
    <x v="3"/>
    <s v="GNR_HP_ELEC_COP-1200_Y-2030"/>
    <x v="0"/>
    <x v="4"/>
    <n v="992.14156554713895"/>
    <n v="362131.671424706"/>
    <n v="1303674.01712894"/>
  </r>
  <r>
    <x v="0"/>
    <x v="0"/>
    <x v="1"/>
    <x v="0"/>
    <x v="0"/>
    <s v="DK1_Large"/>
    <x v="3"/>
    <s v="GNR_HP_ELEC_COP-1200_Y-2030"/>
    <x v="0"/>
    <x v="5"/>
    <n v="992.14156554713895"/>
    <n v="362131.671424706"/>
    <n v="1303674.01712894"/>
  </r>
  <r>
    <x v="0"/>
    <x v="0"/>
    <x v="1"/>
    <x v="0"/>
    <x v="0"/>
    <s v="DK1_Large"/>
    <x v="3"/>
    <s v="GNR_HP_ELEC_COP-1200_Y-2030"/>
    <x v="0"/>
    <x v="6"/>
    <n v="992.14156554713895"/>
    <n v="362131.671424706"/>
    <n v="1303674.01712894"/>
  </r>
  <r>
    <x v="0"/>
    <x v="0"/>
    <x v="1"/>
    <x v="0"/>
    <x v="0"/>
    <s v="DK1_Large"/>
    <x v="3"/>
    <s v="GNR_HP_ELEC_COP-1200_Y-2030"/>
    <x v="0"/>
    <x v="7"/>
    <n v="992.14156554713895"/>
    <n v="362131.671424706"/>
    <n v="1303674.01712894"/>
  </r>
  <r>
    <x v="0"/>
    <x v="0"/>
    <x v="1"/>
    <x v="0"/>
    <x v="0"/>
    <s v="DK1_Large"/>
    <x v="3"/>
    <s v="GNR_HP_ELEC_COP-1200_Y-2030"/>
    <x v="0"/>
    <x v="8"/>
    <n v="992.14156554713895"/>
    <n v="362131.671424706"/>
    <n v="1303674.01712894"/>
  </r>
  <r>
    <x v="0"/>
    <x v="0"/>
    <x v="1"/>
    <x v="0"/>
    <x v="0"/>
    <s v="DK1_Large"/>
    <x v="3"/>
    <s v="GNR_HP_ELEC_COP-1200_Y-2030"/>
    <x v="0"/>
    <x v="9"/>
    <n v="992.14156554713895"/>
    <n v="362131.671424706"/>
    <n v="1303674.01712894"/>
  </r>
  <r>
    <x v="0"/>
    <x v="0"/>
    <x v="1"/>
    <x v="0"/>
    <x v="0"/>
    <s v="DK1_Large"/>
    <x v="3"/>
    <s v="GNR_HP_ELEC_COP-1200_Y-2030"/>
    <x v="0"/>
    <x v="10"/>
    <n v="992.14156554713895"/>
    <n v="362131.671424706"/>
    <n v="1303674.01712894"/>
  </r>
  <r>
    <x v="0"/>
    <x v="0"/>
    <x v="1"/>
    <x v="0"/>
    <x v="0"/>
    <s v="DK1_Large"/>
    <x v="3"/>
    <s v="GNR_HP_ELEC_COP-1200_Y-2030"/>
    <x v="0"/>
    <x v="11"/>
    <n v="989.82254834183698"/>
    <n v="361285.23014477099"/>
    <n v="1300626.82852117"/>
  </r>
  <r>
    <x v="0"/>
    <x v="0"/>
    <x v="1"/>
    <x v="0"/>
    <x v="0"/>
    <s v="DK1_Large"/>
    <x v="3"/>
    <s v="GNR_HP_ELEC_COP-1200_Y-2030"/>
    <x v="0"/>
    <x v="12"/>
    <n v="938.55584652196399"/>
    <n v="342572.88398051698"/>
    <n v="1233262.38232986"/>
  </r>
  <r>
    <x v="0"/>
    <x v="0"/>
    <x v="1"/>
    <x v="0"/>
    <x v="0"/>
    <s v="DK1_Large"/>
    <x v="3"/>
    <s v="GNR_HP_ELEC_COP-1200_Y-2030"/>
    <x v="0"/>
    <x v="13"/>
    <n v="928.63325907295598"/>
    <n v="338951.13956162898"/>
    <n v="1220224.10242186"/>
  </r>
  <r>
    <x v="0"/>
    <x v="0"/>
    <x v="1"/>
    <x v="0"/>
    <x v="0"/>
    <s v="DK1_Large"/>
    <x v="3"/>
    <s v="GNR_HP_ELEC_COP-1200_Y-2030"/>
    <x v="0"/>
    <x v="14"/>
    <n v="908.23682931666201"/>
    <n v="331506.44270058197"/>
    <n v="1193423.19372209"/>
  </r>
  <r>
    <x v="0"/>
    <x v="0"/>
    <x v="1"/>
    <x v="0"/>
    <x v="0"/>
    <s v="DK1_Large"/>
    <x v="3"/>
    <s v="GNR_HP_ELEC_COP-1200_Y-2030"/>
    <x v="0"/>
    <x v="15"/>
    <n v="928.63325907295598"/>
    <n v="338951.13956162898"/>
    <n v="1220224.10242186"/>
  </r>
  <r>
    <x v="0"/>
    <x v="0"/>
    <x v="1"/>
    <x v="0"/>
    <x v="0"/>
    <s v="DK1_Large"/>
    <x v="3"/>
    <s v="GNR_HP_ELEC_COP-1200_Y-2030"/>
    <x v="0"/>
    <x v="16"/>
    <n v="992.14156554713895"/>
    <n v="362131.671424706"/>
    <n v="1303674.01712894"/>
  </r>
  <r>
    <x v="0"/>
    <x v="0"/>
    <x v="1"/>
    <x v="0"/>
    <x v="0"/>
    <s v="DK1_Large"/>
    <x v="3"/>
    <s v="GNR_HP_ELEC_COP-1200_Y-2030"/>
    <x v="0"/>
    <x v="17"/>
    <n v="992.14156554713895"/>
    <n v="362131.671424706"/>
    <n v="1303674.01712894"/>
  </r>
  <r>
    <x v="0"/>
    <x v="0"/>
    <x v="1"/>
    <x v="0"/>
    <x v="0"/>
    <s v="DK1_Large"/>
    <x v="3"/>
    <s v="GNR_HP_ELEC_COP-1200_Y-2030"/>
    <x v="0"/>
    <x v="18"/>
    <n v="992.14156554713895"/>
    <n v="362131.671424706"/>
    <n v="1303674.01712894"/>
  </r>
  <r>
    <x v="0"/>
    <x v="0"/>
    <x v="1"/>
    <x v="0"/>
    <x v="0"/>
    <s v="DK1_Large"/>
    <x v="3"/>
    <s v="GNR_HP_ELEC_COP-1200_Y-2030"/>
    <x v="0"/>
    <x v="19"/>
    <n v="992.14156554713895"/>
    <n v="362131.671424706"/>
    <n v="1303674.01712894"/>
  </r>
  <r>
    <x v="0"/>
    <x v="0"/>
    <x v="1"/>
    <x v="0"/>
    <x v="0"/>
    <s v="DK1_Large"/>
    <x v="3"/>
    <s v="GNR_HP_ELEC_COP-1200_Y-2030"/>
    <x v="0"/>
    <x v="20"/>
    <n v="992.14156554713895"/>
    <n v="362131.671424706"/>
    <n v="1303674.01712894"/>
  </r>
  <r>
    <x v="0"/>
    <x v="0"/>
    <x v="1"/>
    <x v="0"/>
    <x v="0"/>
    <s v="DK1_Large"/>
    <x v="3"/>
    <s v="GNR_HP_ELEC_COP-1200_Y-2030"/>
    <x v="0"/>
    <x v="21"/>
    <n v="969.42611858554403"/>
    <n v="353840.53328372299"/>
    <n v="1273825.9198214"/>
  </r>
  <r>
    <x v="0"/>
    <x v="0"/>
    <x v="1"/>
    <x v="0"/>
    <x v="0"/>
    <s v="DK1_Large"/>
    <x v="3"/>
    <s v="GNR_HP_ELEC_COP-1200_Y-2030"/>
    <x v="0"/>
    <x v="22"/>
    <n v="918.15941676567002"/>
    <n v="335128.18711946998"/>
    <n v="1206461.47363009"/>
  </r>
  <r>
    <x v="0"/>
    <x v="0"/>
    <x v="1"/>
    <x v="0"/>
    <x v="0"/>
    <s v="DK1_Large"/>
    <x v="3"/>
    <s v="GNR_HP_ELEC_COP-1200_Y-2030"/>
    <x v="0"/>
    <x v="23"/>
    <n v="875.94396980407498"/>
    <n v="319719.54897848697"/>
    <n v="1150990.37632255"/>
  </r>
  <r>
    <x v="0"/>
    <x v="0"/>
    <x v="1"/>
    <x v="0"/>
    <x v="0"/>
    <s v="DK1_Large"/>
    <x v="1"/>
    <s v="GNR_BO_MSW_E-105"/>
    <x v="0"/>
    <x v="5"/>
    <n v="7.6035702437061401"/>
    <n v="2775.30313895274"/>
    <n v="9991.0913002298694"/>
  </r>
  <r>
    <x v="0"/>
    <x v="0"/>
    <x v="1"/>
    <x v="0"/>
    <x v="0"/>
    <s v="DK1_Large"/>
    <x v="1"/>
    <s v="GNR_BO_MSW_E-105"/>
    <x v="0"/>
    <x v="6"/>
    <n v="28"/>
    <n v="10220"/>
    <n v="36792"/>
  </r>
  <r>
    <x v="0"/>
    <x v="0"/>
    <x v="1"/>
    <x v="0"/>
    <x v="0"/>
    <s v="DK1_Large"/>
    <x v="1"/>
    <s v="GNR_BO_MSW_E-105"/>
    <x v="0"/>
    <x v="7"/>
    <n v="28"/>
    <n v="10220"/>
    <n v="36792"/>
  </r>
  <r>
    <x v="0"/>
    <x v="0"/>
    <x v="1"/>
    <x v="0"/>
    <x v="0"/>
    <s v="DK1_Large"/>
    <x v="1"/>
    <s v="GNR_BO_MSW_E-105"/>
    <x v="0"/>
    <x v="8"/>
    <n v="28"/>
    <n v="10220"/>
    <n v="36792"/>
  </r>
  <r>
    <x v="0"/>
    <x v="0"/>
    <x v="1"/>
    <x v="0"/>
    <x v="0"/>
    <s v="DK1_Large"/>
    <x v="1"/>
    <s v="GNR_BO_MSW_E-105"/>
    <x v="0"/>
    <x v="9"/>
    <n v="28"/>
    <n v="10220"/>
    <n v="36792"/>
  </r>
  <r>
    <x v="0"/>
    <x v="0"/>
    <x v="1"/>
    <x v="0"/>
    <x v="0"/>
    <s v="DK1_Large"/>
    <x v="1"/>
    <s v="GNR_BO_MSW_E-105"/>
    <x v="0"/>
    <x v="10"/>
    <n v="28"/>
    <n v="10220"/>
    <n v="36792"/>
  </r>
  <r>
    <x v="0"/>
    <x v="0"/>
    <x v="1"/>
    <x v="0"/>
    <x v="0"/>
    <s v="DK1_Large"/>
    <x v="1"/>
    <s v="GNR_BO_MSW_E-105"/>
    <x v="0"/>
    <x v="16"/>
    <n v="18.0774125509922"/>
    <n v="6598.2555811121601"/>
    <n v="23753.720092003801"/>
  </r>
  <r>
    <x v="0"/>
    <x v="0"/>
    <x v="1"/>
    <x v="0"/>
    <x v="0"/>
    <s v="DK1_Large"/>
    <x v="1"/>
    <s v="GNR_BO_MSW_E-105"/>
    <x v="0"/>
    <x v="17"/>
    <n v="28"/>
    <n v="10220"/>
    <n v="36792"/>
  </r>
  <r>
    <x v="0"/>
    <x v="0"/>
    <x v="1"/>
    <x v="0"/>
    <x v="0"/>
    <s v="DK1_Large"/>
    <x v="1"/>
    <s v="GNR_BO_MSW_E-105"/>
    <x v="0"/>
    <x v="18"/>
    <n v="28"/>
    <n v="10220"/>
    <n v="36792"/>
  </r>
  <r>
    <x v="0"/>
    <x v="0"/>
    <x v="1"/>
    <x v="0"/>
    <x v="0"/>
    <s v="DK1_Large"/>
    <x v="1"/>
    <s v="GNR_BO_MSW_E-105"/>
    <x v="0"/>
    <x v="19"/>
    <n v="28"/>
    <n v="10220"/>
    <n v="36792"/>
  </r>
  <r>
    <x v="0"/>
    <x v="0"/>
    <x v="1"/>
    <x v="0"/>
    <x v="0"/>
    <s v="DK1_Large"/>
    <x v="1"/>
    <s v="GNR_BO_MSW_E-105"/>
    <x v="0"/>
    <x v="20"/>
    <n v="28"/>
    <n v="10220"/>
    <n v="36792"/>
  </r>
  <r>
    <x v="0"/>
    <x v="0"/>
    <x v="1"/>
    <x v="0"/>
    <x v="0"/>
    <s v="DK1_Large"/>
    <x v="1"/>
    <s v="GNR_ST_MSW_BP_E-27"/>
    <x v="0"/>
    <x v="17"/>
    <n v="60.521899921230499"/>
    <n v="22090.493471249101"/>
    <n v="79525.776496496896"/>
  </r>
  <r>
    <x v="0"/>
    <x v="0"/>
    <x v="1"/>
    <x v="0"/>
    <x v="0"/>
    <s v="DK1_Large"/>
    <x v="1"/>
    <s v="GNR_ST_MSW_BP_E-27"/>
    <x v="0"/>
    <x v="18"/>
    <n v="60.521899921230499"/>
    <n v="22090.493471249101"/>
    <n v="79525.776496496896"/>
  </r>
  <r>
    <x v="0"/>
    <x v="0"/>
    <x v="1"/>
    <x v="0"/>
    <x v="0"/>
    <s v="DK1_Large"/>
    <x v="1"/>
    <s v="GNR_ST_MSW_BP_E-27"/>
    <x v="0"/>
    <x v="19"/>
    <n v="60.521899921230499"/>
    <n v="22090.493471249101"/>
    <n v="79525.776496496896"/>
  </r>
  <r>
    <x v="0"/>
    <x v="0"/>
    <x v="1"/>
    <x v="0"/>
    <x v="0"/>
    <s v="DK1_Large"/>
    <x v="5"/>
    <s v="GNR_BO_STRW_E-100"/>
    <x v="0"/>
    <x v="18"/>
    <n v="5.15"/>
    <n v="1879.75"/>
    <n v="6767.1"/>
  </r>
  <r>
    <x v="0"/>
    <x v="0"/>
    <x v="1"/>
    <x v="0"/>
    <x v="0"/>
    <s v="DK1_Large"/>
    <x v="5"/>
    <s v="GNR_BO_STRW_E-102"/>
    <x v="0"/>
    <x v="18"/>
    <n v="6.3"/>
    <n v="2299.5"/>
    <n v="8278.2000000000007"/>
  </r>
  <r>
    <x v="0"/>
    <x v="0"/>
    <x v="1"/>
    <x v="0"/>
    <x v="0"/>
    <s v="DK1_Large"/>
    <x v="5"/>
    <s v="GNR_BO_STRW_E-102"/>
    <x v="0"/>
    <x v="19"/>
    <n v="1.06381910394447"/>
    <n v="388.29397293973301"/>
    <n v="1397.8583025830401"/>
  </r>
  <r>
    <x v="0"/>
    <x v="0"/>
    <x v="1"/>
    <x v="0"/>
    <x v="0"/>
    <s v="DK1_Large"/>
    <x v="2"/>
    <s v="GNR_EH_HEAT"/>
    <x v="0"/>
    <x v="4"/>
    <n v="8.5"/>
    <n v="3102.5"/>
    <n v="11169"/>
  </r>
  <r>
    <x v="0"/>
    <x v="0"/>
    <x v="1"/>
    <x v="0"/>
    <x v="0"/>
    <s v="DK1_Large"/>
    <x v="2"/>
    <s v="GNR_EH_HEAT"/>
    <x v="0"/>
    <x v="5"/>
    <n v="8.5"/>
    <n v="3102.5"/>
    <n v="11169"/>
  </r>
  <r>
    <x v="0"/>
    <x v="0"/>
    <x v="1"/>
    <x v="0"/>
    <x v="0"/>
    <s v="DK1_Large"/>
    <x v="2"/>
    <s v="GNR_EH_HEAT"/>
    <x v="0"/>
    <x v="6"/>
    <n v="8.5"/>
    <n v="3102.5"/>
    <n v="11169"/>
  </r>
  <r>
    <x v="0"/>
    <x v="0"/>
    <x v="1"/>
    <x v="0"/>
    <x v="0"/>
    <s v="DK1_Large"/>
    <x v="2"/>
    <s v="GNR_EH_HEAT"/>
    <x v="0"/>
    <x v="7"/>
    <n v="8.5"/>
    <n v="3102.5"/>
    <n v="11169"/>
  </r>
  <r>
    <x v="0"/>
    <x v="0"/>
    <x v="1"/>
    <x v="0"/>
    <x v="0"/>
    <s v="DK1_Large"/>
    <x v="2"/>
    <s v="GNR_EH_HEAT"/>
    <x v="0"/>
    <x v="8"/>
    <n v="8.5"/>
    <n v="3102.5"/>
    <n v="11169"/>
  </r>
  <r>
    <x v="0"/>
    <x v="0"/>
    <x v="1"/>
    <x v="0"/>
    <x v="0"/>
    <s v="DK1_Large"/>
    <x v="2"/>
    <s v="GNR_EH_HEAT"/>
    <x v="0"/>
    <x v="9"/>
    <n v="8.5"/>
    <n v="3102.5"/>
    <n v="11169"/>
  </r>
  <r>
    <x v="0"/>
    <x v="0"/>
    <x v="1"/>
    <x v="0"/>
    <x v="0"/>
    <s v="DK1_Large"/>
    <x v="2"/>
    <s v="GNR_EH_HEAT"/>
    <x v="0"/>
    <x v="10"/>
    <n v="8.5"/>
    <n v="3102.5"/>
    <n v="11169"/>
  </r>
  <r>
    <x v="0"/>
    <x v="0"/>
    <x v="1"/>
    <x v="0"/>
    <x v="0"/>
    <s v="DK1_Large"/>
    <x v="2"/>
    <s v="GNR_EH_HEAT"/>
    <x v="0"/>
    <x v="11"/>
    <n v="8.5"/>
    <n v="3102.5"/>
    <n v="11169"/>
  </r>
  <r>
    <x v="0"/>
    <x v="0"/>
    <x v="1"/>
    <x v="0"/>
    <x v="0"/>
    <s v="DK1_Large"/>
    <x v="2"/>
    <s v="GNR_EH_HEAT"/>
    <x v="0"/>
    <x v="12"/>
    <n v="8.5"/>
    <n v="3102.5"/>
    <n v="11169"/>
  </r>
  <r>
    <x v="0"/>
    <x v="0"/>
    <x v="1"/>
    <x v="0"/>
    <x v="0"/>
    <s v="DK1_Large"/>
    <x v="2"/>
    <s v="GNR_EH_HEAT"/>
    <x v="0"/>
    <x v="13"/>
    <n v="8.5"/>
    <n v="3102.5"/>
    <n v="11169"/>
  </r>
  <r>
    <x v="0"/>
    <x v="0"/>
    <x v="1"/>
    <x v="0"/>
    <x v="0"/>
    <s v="DK1_Large"/>
    <x v="2"/>
    <s v="GNR_EH_HEAT"/>
    <x v="0"/>
    <x v="14"/>
    <n v="8.5"/>
    <n v="3102.5"/>
    <n v="11169"/>
  </r>
  <r>
    <x v="0"/>
    <x v="0"/>
    <x v="1"/>
    <x v="0"/>
    <x v="0"/>
    <s v="DK1_Large"/>
    <x v="2"/>
    <s v="GNR_EH_HEAT"/>
    <x v="0"/>
    <x v="15"/>
    <n v="8.5"/>
    <n v="3102.5"/>
    <n v="11169"/>
  </r>
  <r>
    <x v="0"/>
    <x v="0"/>
    <x v="1"/>
    <x v="0"/>
    <x v="0"/>
    <s v="DK1_Large"/>
    <x v="2"/>
    <s v="GNR_EH_HEAT"/>
    <x v="0"/>
    <x v="16"/>
    <n v="8.5"/>
    <n v="3102.5"/>
    <n v="11169"/>
  </r>
  <r>
    <x v="0"/>
    <x v="0"/>
    <x v="1"/>
    <x v="0"/>
    <x v="0"/>
    <s v="DK1_Large"/>
    <x v="2"/>
    <s v="GNR_EH_HEAT"/>
    <x v="0"/>
    <x v="17"/>
    <n v="8.5"/>
    <n v="3102.5"/>
    <n v="11169"/>
  </r>
  <r>
    <x v="0"/>
    <x v="0"/>
    <x v="1"/>
    <x v="0"/>
    <x v="0"/>
    <s v="DK1_Large"/>
    <x v="2"/>
    <s v="GNR_EH_HEAT"/>
    <x v="0"/>
    <x v="18"/>
    <n v="8.5"/>
    <n v="3102.5"/>
    <n v="11169"/>
  </r>
  <r>
    <x v="0"/>
    <x v="0"/>
    <x v="1"/>
    <x v="0"/>
    <x v="0"/>
    <s v="DK1_Large"/>
    <x v="2"/>
    <s v="GNR_EH_HEAT"/>
    <x v="0"/>
    <x v="19"/>
    <n v="8.5"/>
    <n v="3102.5"/>
    <n v="11169"/>
  </r>
  <r>
    <x v="0"/>
    <x v="0"/>
    <x v="1"/>
    <x v="0"/>
    <x v="0"/>
    <s v="DK1_Large"/>
    <x v="2"/>
    <s v="GNR_EH_HEAT"/>
    <x v="0"/>
    <x v="20"/>
    <n v="8.5"/>
    <n v="3102.5"/>
    <n v="11169"/>
  </r>
  <r>
    <x v="0"/>
    <x v="0"/>
    <x v="1"/>
    <x v="0"/>
    <x v="0"/>
    <s v="DK1_Large"/>
    <x v="2"/>
    <s v="GNR_EH_HEAT"/>
    <x v="0"/>
    <x v="21"/>
    <n v="8.5"/>
    <n v="3102.5"/>
    <n v="11169"/>
  </r>
  <r>
    <x v="0"/>
    <x v="0"/>
    <x v="1"/>
    <x v="0"/>
    <x v="0"/>
    <s v="DK1_Large"/>
    <x v="2"/>
    <s v="GNR_EH_HEAT"/>
    <x v="0"/>
    <x v="22"/>
    <n v="8.5"/>
    <n v="3102.5"/>
    <n v="11169"/>
  </r>
  <r>
    <x v="0"/>
    <x v="0"/>
    <x v="1"/>
    <x v="0"/>
    <x v="0"/>
    <s v="DK1_Large"/>
    <x v="6"/>
    <s v="GNR_BO_WOODCHI_E-100"/>
    <x v="0"/>
    <x v="17"/>
    <n v="0.66738934765084701"/>
    <n v="243.59711189255901"/>
    <n v="876.949602813213"/>
  </r>
  <r>
    <x v="0"/>
    <x v="0"/>
    <x v="1"/>
    <x v="0"/>
    <x v="0"/>
    <s v="DK1_Large"/>
    <x v="6"/>
    <s v="GNR_BO_WOODCHI_E-100"/>
    <x v="0"/>
    <x v="18"/>
    <n v="20"/>
    <n v="7300"/>
    <n v="26280"/>
  </r>
  <r>
    <x v="0"/>
    <x v="0"/>
    <x v="1"/>
    <x v="0"/>
    <x v="0"/>
    <s v="DK1_Large"/>
    <x v="6"/>
    <s v="GNR_BO_WOODCHI_E-100"/>
    <x v="0"/>
    <x v="19"/>
    <n v="20"/>
    <n v="7300"/>
    <n v="26280"/>
  </r>
  <r>
    <x v="0"/>
    <x v="0"/>
    <x v="1"/>
    <x v="0"/>
    <x v="0"/>
    <s v="DK1_Large"/>
    <x v="6"/>
    <s v="GNR_ST_WOODCHI_BP_E-23"/>
    <x v="0"/>
    <x v="18"/>
    <n v="10.010248860238301"/>
    <n v="3653.7408339869899"/>
    <n v="13153.4670023532"/>
  </r>
  <r>
    <x v="0"/>
    <x v="0"/>
    <x v="1"/>
    <x v="0"/>
    <x v="0"/>
    <s v="DK1_MedSmall"/>
    <x v="3"/>
    <s v="GNR_BO_ELEC_E-100"/>
    <x v="0"/>
    <x v="9"/>
    <n v="1"/>
    <n v="365"/>
    <n v="1314"/>
  </r>
  <r>
    <x v="0"/>
    <x v="0"/>
    <x v="1"/>
    <x v="0"/>
    <x v="0"/>
    <s v="DK1_MedSmall"/>
    <x v="3"/>
    <s v="GNR_BO_ELEC_E-100"/>
    <x v="0"/>
    <x v="10"/>
    <n v="1"/>
    <n v="365"/>
    <n v="1314"/>
  </r>
  <r>
    <x v="0"/>
    <x v="0"/>
    <x v="1"/>
    <x v="0"/>
    <x v="0"/>
    <s v="DK1_MedSmall"/>
    <x v="3"/>
    <s v="GNR_BO_ELEC_E-100"/>
    <x v="0"/>
    <x v="11"/>
    <n v="1"/>
    <n v="365"/>
    <n v="1314"/>
  </r>
  <r>
    <x v="0"/>
    <x v="0"/>
    <x v="1"/>
    <x v="0"/>
    <x v="0"/>
    <s v="DK1_MedSmall"/>
    <x v="3"/>
    <s v="GNR_BO_ELEC_E-100"/>
    <x v="0"/>
    <x v="12"/>
    <n v="0.77512971430815003"/>
    <n v="282.92234572247497"/>
    <n v="1018.52044460091"/>
  </r>
  <r>
    <x v="0"/>
    <x v="0"/>
    <x v="1"/>
    <x v="0"/>
    <x v="0"/>
    <s v="DK1_MedSmall"/>
    <x v="3"/>
    <s v="GNR_BO_ELEC_E-100"/>
    <x v="0"/>
    <x v="16"/>
    <n v="1"/>
    <n v="365"/>
    <n v="1314"/>
  </r>
  <r>
    <x v="0"/>
    <x v="0"/>
    <x v="1"/>
    <x v="0"/>
    <x v="0"/>
    <s v="DK1_MedSmall"/>
    <x v="3"/>
    <s v="GNR_HP_ELEC_COP-1200_Y-2030"/>
    <x v="0"/>
    <x v="0"/>
    <n v="174.53337400505299"/>
    <n v="63704.681511844297"/>
    <n v="229336.853442639"/>
  </r>
  <r>
    <x v="0"/>
    <x v="0"/>
    <x v="1"/>
    <x v="0"/>
    <x v="0"/>
    <s v="DK1_MedSmall"/>
    <x v="3"/>
    <s v="GNR_HP_ELEC_COP-1200_Y-2030"/>
    <x v="0"/>
    <x v="1"/>
    <n v="172.59554971928199"/>
    <n v="62997.375647538101"/>
    <n v="226790.55233113701"/>
  </r>
  <r>
    <x v="0"/>
    <x v="0"/>
    <x v="1"/>
    <x v="0"/>
    <x v="0"/>
    <s v="DK1_MedSmall"/>
    <x v="3"/>
    <s v="GNR_HP_ELEC_COP-1200_Y-2030"/>
    <x v="0"/>
    <x v="2"/>
    <n v="171.17447857638399"/>
    <n v="62478.684680380196"/>
    <n v="224923.26484936901"/>
  </r>
  <r>
    <x v="0"/>
    <x v="0"/>
    <x v="1"/>
    <x v="0"/>
    <x v="0"/>
    <s v="DK1_MedSmall"/>
    <x v="3"/>
    <s v="GNR_HP_ELEC_COP-1200_Y-2030"/>
    <x v="0"/>
    <x v="3"/>
    <n v="172.207984862128"/>
    <n v="62855.914474676902"/>
    <n v="226281.29210883699"/>
  </r>
  <r>
    <x v="0"/>
    <x v="0"/>
    <x v="1"/>
    <x v="0"/>
    <x v="0"/>
    <s v="DK1_MedSmall"/>
    <x v="3"/>
    <s v="GNR_HP_ELEC_COP-1200_Y-2030"/>
    <x v="0"/>
    <x v="4"/>
    <n v="177.24632800513101"/>
    <n v="64694.909721873002"/>
    <n v="232901.67499874299"/>
  </r>
  <r>
    <x v="0"/>
    <x v="0"/>
    <x v="1"/>
    <x v="0"/>
    <x v="0"/>
    <s v="DK1_MedSmall"/>
    <x v="3"/>
    <s v="GNR_HP_ELEC_COP-1200_Y-2030"/>
    <x v="0"/>
    <x v="5"/>
    <n v="180.992788290954"/>
    <n v="66062.367726198296"/>
    <n v="237824.52381431399"/>
  </r>
  <r>
    <x v="0"/>
    <x v="0"/>
    <x v="1"/>
    <x v="0"/>
    <x v="0"/>
    <s v="DK1_MedSmall"/>
    <x v="3"/>
    <s v="GNR_HP_ELEC_COP-1200_Y-2030"/>
    <x v="0"/>
    <x v="6"/>
    <n v="204.634244577353"/>
    <n v="74691.499270733795"/>
    <n v="268889.39737464202"/>
  </r>
  <r>
    <x v="0"/>
    <x v="0"/>
    <x v="1"/>
    <x v="0"/>
    <x v="0"/>
    <s v="DK1_MedSmall"/>
    <x v="3"/>
    <s v="GNR_HP_ELEC_COP-1200_Y-2030"/>
    <x v="0"/>
    <x v="7"/>
    <n v="217.242194578007"/>
    <n v="79293.401020972698"/>
    <n v="285456.24367550202"/>
  </r>
  <r>
    <x v="0"/>
    <x v="0"/>
    <x v="1"/>
    <x v="0"/>
    <x v="0"/>
    <s v="DK1_MedSmall"/>
    <x v="3"/>
    <s v="GNR_HP_ELEC_COP-1200_Y-2030"/>
    <x v="0"/>
    <x v="8"/>
    <n v="222.668102578164"/>
    <n v="81273.857441030006"/>
    <n v="292585.88678770798"/>
  </r>
  <r>
    <x v="0"/>
    <x v="0"/>
    <x v="1"/>
    <x v="0"/>
    <x v="0"/>
    <s v="DK1_MedSmall"/>
    <x v="3"/>
    <s v="GNR_HP_ELEC_COP-1200_Y-2030"/>
    <x v="0"/>
    <x v="9"/>
    <n v="222.668102578164"/>
    <n v="81273.857441030006"/>
    <n v="292585.88678770798"/>
  </r>
  <r>
    <x v="0"/>
    <x v="0"/>
    <x v="1"/>
    <x v="0"/>
    <x v="0"/>
    <s v="DK1_MedSmall"/>
    <x v="3"/>
    <s v="GNR_HP_ELEC_COP-1200_Y-2030"/>
    <x v="0"/>
    <x v="10"/>
    <n v="222.668102578164"/>
    <n v="81273.857441030006"/>
    <n v="292585.88678770798"/>
  </r>
  <r>
    <x v="0"/>
    <x v="0"/>
    <x v="1"/>
    <x v="0"/>
    <x v="0"/>
    <s v="DK1_MedSmall"/>
    <x v="3"/>
    <s v="GNR_HP_ELEC_COP-1200_Y-2030"/>
    <x v="0"/>
    <x v="11"/>
    <n v="222.668102578164"/>
    <n v="81273.857441030006"/>
    <n v="292585.88678770798"/>
  </r>
  <r>
    <x v="0"/>
    <x v="0"/>
    <x v="1"/>
    <x v="0"/>
    <x v="0"/>
    <s v="DK1_MedSmall"/>
    <x v="3"/>
    <s v="GNR_HP_ELEC_COP-1200_Y-2030"/>
    <x v="0"/>
    <x v="12"/>
    <n v="222.668102578164"/>
    <n v="81273.857441030006"/>
    <n v="292585.88678770798"/>
  </r>
  <r>
    <x v="0"/>
    <x v="0"/>
    <x v="1"/>
    <x v="0"/>
    <x v="0"/>
    <s v="DK1_MedSmall"/>
    <x v="3"/>
    <s v="GNR_HP_ELEC_COP-1200_Y-2030"/>
    <x v="0"/>
    <x v="13"/>
    <n v="217.75894772087901"/>
    <n v="79482.015918121004"/>
    <n v="286135.25730523601"/>
  </r>
  <r>
    <x v="0"/>
    <x v="0"/>
    <x v="1"/>
    <x v="0"/>
    <x v="0"/>
    <s v="DK1_MedSmall"/>
    <x v="3"/>
    <s v="GNR_HP_ELEC_COP-1200_Y-2030"/>
    <x v="0"/>
    <x v="14"/>
    <n v="219.30920714949599"/>
    <n v="80047.860609566007"/>
    <n v="288172.298194437"/>
  </r>
  <r>
    <x v="0"/>
    <x v="0"/>
    <x v="1"/>
    <x v="0"/>
    <x v="0"/>
    <s v="DK1_MedSmall"/>
    <x v="3"/>
    <s v="GNR_HP_ELEC_COP-1200_Y-2030"/>
    <x v="0"/>
    <x v="15"/>
    <n v="220.85946657811201"/>
    <n v="80613.705301010894"/>
    <n v="290209.33908363897"/>
  </r>
  <r>
    <x v="0"/>
    <x v="0"/>
    <x v="1"/>
    <x v="0"/>
    <x v="0"/>
    <s v="DK1_MedSmall"/>
    <x v="3"/>
    <s v="GNR_HP_ELEC_COP-1200_Y-2030"/>
    <x v="0"/>
    <x v="16"/>
    <n v="222.668102578164"/>
    <n v="81273.857441030006"/>
    <n v="292585.88678770798"/>
  </r>
  <r>
    <x v="0"/>
    <x v="0"/>
    <x v="1"/>
    <x v="0"/>
    <x v="0"/>
    <s v="DK1_MedSmall"/>
    <x v="3"/>
    <s v="GNR_HP_ELEC_COP-1200_Y-2030"/>
    <x v="0"/>
    <x v="17"/>
    <n v="222.668102578164"/>
    <n v="81273.857441030006"/>
    <n v="292585.88678770798"/>
  </r>
  <r>
    <x v="0"/>
    <x v="0"/>
    <x v="1"/>
    <x v="0"/>
    <x v="0"/>
    <s v="DK1_MedSmall"/>
    <x v="3"/>
    <s v="GNR_HP_ELEC_COP-1200_Y-2030"/>
    <x v="0"/>
    <x v="18"/>
    <n v="222.668102578164"/>
    <n v="81273.857441030006"/>
    <n v="292585.88678770798"/>
  </r>
  <r>
    <x v="0"/>
    <x v="0"/>
    <x v="1"/>
    <x v="0"/>
    <x v="0"/>
    <s v="DK1_MedSmall"/>
    <x v="3"/>
    <s v="GNR_HP_ELEC_COP-1200_Y-2030"/>
    <x v="0"/>
    <x v="19"/>
    <n v="222.668102578164"/>
    <n v="81273.857441030006"/>
    <n v="292585.88678770798"/>
  </r>
  <r>
    <x v="0"/>
    <x v="0"/>
    <x v="1"/>
    <x v="0"/>
    <x v="0"/>
    <s v="DK1_MedSmall"/>
    <x v="3"/>
    <s v="GNR_HP_ELEC_COP-1200_Y-2030"/>
    <x v="0"/>
    <x v="20"/>
    <n v="220.34271343524"/>
    <n v="80425.090403862603"/>
    <n v="289530.32545390498"/>
  </r>
  <r>
    <x v="0"/>
    <x v="0"/>
    <x v="1"/>
    <x v="0"/>
    <x v="0"/>
    <s v="DK1_MedSmall"/>
    <x v="3"/>
    <s v="GNR_HP_ELEC_COP-1200_Y-2030"/>
    <x v="0"/>
    <x v="21"/>
    <n v="203.03148314902501"/>
    <n v="74106.491349393997"/>
    <n v="266783.36885781802"/>
  </r>
  <r>
    <x v="0"/>
    <x v="0"/>
    <x v="1"/>
    <x v="0"/>
    <x v="0"/>
    <s v="DK1_MedSmall"/>
    <x v="3"/>
    <s v="GNR_HP_ELEC_COP-1200_Y-2030"/>
    <x v="0"/>
    <x v="22"/>
    <n v="201.739600291844"/>
    <n v="73634.954106523204"/>
    <n v="265085.83478348301"/>
  </r>
  <r>
    <x v="0"/>
    <x v="0"/>
    <x v="1"/>
    <x v="0"/>
    <x v="0"/>
    <s v="DK1_MedSmall"/>
    <x v="3"/>
    <s v="GNR_HP_ELEC_COP-1200_Y-2030"/>
    <x v="0"/>
    <x v="23"/>
    <n v="208.50989314889401"/>
    <n v="76106.110999346201"/>
    <n v="273981.999597646"/>
  </r>
  <r>
    <x v="0"/>
    <x v="0"/>
    <x v="1"/>
    <x v="0"/>
    <x v="0"/>
    <s v="DK1_MedSmall"/>
    <x v="2"/>
    <s v="GNR_EH_HEAT"/>
    <x v="0"/>
    <x v="7"/>
    <n v="10"/>
    <n v="3650"/>
    <n v="13140"/>
  </r>
  <r>
    <x v="0"/>
    <x v="0"/>
    <x v="1"/>
    <x v="0"/>
    <x v="0"/>
    <s v="DK1_MedSmall"/>
    <x v="2"/>
    <s v="GNR_EH_HEAT"/>
    <x v="0"/>
    <x v="8"/>
    <n v="10"/>
    <n v="3650"/>
    <n v="13140"/>
  </r>
  <r>
    <x v="0"/>
    <x v="0"/>
    <x v="1"/>
    <x v="0"/>
    <x v="0"/>
    <s v="DK1_MedSmall"/>
    <x v="2"/>
    <s v="GNR_EH_HEAT"/>
    <x v="0"/>
    <x v="9"/>
    <n v="10"/>
    <n v="3650"/>
    <n v="13140"/>
  </r>
  <r>
    <x v="0"/>
    <x v="0"/>
    <x v="1"/>
    <x v="0"/>
    <x v="0"/>
    <s v="DK1_MedSmall"/>
    <x v="2"/>
    <s v="GNR_EH_HEAT"/>
    <x v="0"/>
    <x v="10"/>
    <n v="10"/>
    <n v="3650"/>
    <n v="13140"/>
  </r>
  <r>
    <x v="0"/>
    <x v="0"/>
    <x v="1"/>
    <x v="0"/>
    <x v="0"/>
    <s v="DK1_MedSmall"/>
    <x v="2"/>
    <s v="GNR_EH_HEAT"/>
    <x v="0"/>
    <x v="11"/>
    <n v="10"/>
    <n v="3650"/>
    <n v="13140"/>
  </r>
  <r>
    <x v="0"/>
    <x v="0"/>
    <x v="1"/>
    <x v="0"/>
    <x v="0"/>
    <s v="DK1_MedSmall"/>
    <x v="2"/>
    <s v="GNR_EH_HEAT"/>
    <x v="0"/>
    <x v="12"/>
    <n v="10"/>
    <n v="3650"/>
    <n v="13140"/>
  </r>
  <r>
    <x v="0"/>
    <x v="0"/>
    <x v="1"/>
    <x v="0"/>
    <x v="0"/>
    <s v="DK1_MedSmall"/>
    <x v="2"/>
    <s v="GNR_EH_HEAT"/>
    <x v="0"/>
    <x v="13"/>
    <n v="10"/>
    <n v="3650"/>
    <n v="13140"/>
  </r>
  <r>
    <x v="0"/>
    <x v="0"/>
    <x v="1"/>
    <x v="0"/>
    <x v="0"/>
    <s v="DK1_MedSmall"/>
    <x v="2"/>
    <s v="GNR_EH_HEAT"/>
    <x v="0"/>
    <x v="14"/>
    <n v="10"/>
    <n v="3650"/>
    <n v="13140"/>
  </r>
  <r>
    <x v="0"/>
    <x v="0"/>
    <x v="1"/>
    <x v="0"/>
    <x v="0"/>
    <s v="DK1_MedSmall"/>
    <x v="2"/>
    <s v="GNR_EH_HEAT"/>
    <x v="0"/>
    <x v="15"/>
    <n v="10"/>
    <n v="3650"/>
    <n v="13140"/>
  </r>
  <r>
    <x v="0"/>
    <x v="0"/>
    <x v="1"/>
    <x v="0"/>
    <x v="0"/>
    <s v="DK1_MedSmall"/>
    <x v="2"/>
    <s v="GNR_EH_HEAT"/>
    <x v="0"/>
    <x v="16"/>
    <n v="10"/>
    <n v="3650"/>
    <n v="13140"/>
  </r>
  <r>
    <x v="0"/>
    <x v="0"/>
    <x v="1"/>
    <x v="0"/>
    <x v="0"/>
    <s v="DK1_MedSmall"/>
    <x v="2"/>
    <s v="GNR_EH_HEAT"/>
    <x v="0"/>
    <x v="17"/>
    <n v="10"/>
    <n v="3650"/>
    <n v="13140"/>
  </r>
  <r>
    <x v="0"/>
    <x v="0"/>
    <x v="1"/>
    <x v="0"/>
    <x v="0"/>
    <s v="DK1_MedSmall"/>
    <x v="2"/>
    <s v="GNR_EH_HEAT"/>
    <x v="0"/>
    <x v="18"/>
    <n v="10"/>
    <n v="3650"/>
    <n v="13140"/>
  </r>
  <r>
    <x v="0"/>
    <x v="0"/>
    <x v="1"/>
    <x v="0"/>
    <x v="0"/>
    <s v="DK1_MedSmall"/>
    <x v="2"/>
    <s v="GNR_EH_HEAT"/>
    <x v="0"/>
    <x v="19"/>
    <n v="10"/>
    <n v="3650"/>
    <n v="13140"/>
  </r>
  <r>
    <x v="0"/>
    <x v="0"/>
    <x v="1"/>
    <x v="0"/>
    <x v="0"/>
    <s v="DK1_MedSmall"/>
    <x v="2"/>
    <s v="GNR_EH_HEAT"/>
    <x v="0"/>
    <x v="20"/>
    <n v="10"/>
    <n v="3650"/>
    <n v="13140"/>
  </r>
  <r>
    <x v="0"/>
    <x v="0"/>
    <x v="1"/>
    <x v="0"/>
    <x v="0"/>
    <s v="DK1_MedSmall"/>
    <x v="2"/>
    <s v="GNR_EH_HEAT"/>
    <x v="0"/>
    <x v="21"/>
    <n v="10"/>
    <n v="3650"/>
    <n v="13140"/>
  </r>
  <r>
    <x v="0"/>
    <x v="0"/>
    <x v="1"/>
    <x v="0"/>
    <x v="0"/>
    <s v="DK1_MedSmall"/>
    <x v="2"/>
    <s v="GNR_EH_HEAT"/>
    <x v="0"/>
    <x v="22"/>
    <n v="10"/>
    <n v="3650"/>
    <n v="13140"/>
  </r>
  <r>
    <x v="0"/>
    <x v="0"/>
    <x v="1"/>
    <x v="0"/>
    <x v="0"/>
    <s v="DK1_MedSmall"/>
    <x v="6"/>
    <s v="GNR_BO_WOODCHI_E-110"/>
    <x v="0"/>
    <x v="9"/>
    <n v="1.8421422857965699"/>
    <n v="672.38193431574803"/>
    <n v="2420.5749635366901"/>
  </r>
  <r>
    <x v="0"/>
    <x v="0"/>
    <x v="1"/>
    <x v="0"/>
    <x v="0"/>
    <s v="DK1_MedSmall"/>
    <x v="6"/>
    <s v="GNR_BO_WOODCHI_E-110"/>
    <x v="0"/>
    <x v="10"/>
    <n v="1.06701257148842"/>
    <n v="389.459588593273"/>
    <n v="1402.0545189357799"/>
  </r>
  <r>
    <x v="0"/>
    <x v="0"/>
    <x v="1"/>
    <x v="0"/>
    <x v="0"/>
    <s v="DK1_MedSmall"/>
    <x v="6"/>
    <s v="GNR_BO_WOODCHI_E-110"/>
    <x v="0"/>
    <x v="11"/>
    <n v="1.19620085720643"/>
    <n v="436.61331288034899"/>
    <n v="1571.80792636926"/>
  </r>
  <r>
    <x v="0"/>
    <x v="0"/>
    <x v="1"/>
    <x v="0"/>
    <x v="0"/>
    <s v="DK1_MedSmall"/>
    <x v="6"/>
    <s v="GNR_BO_WOODCHI_E-110"/>
    <x v="0"/>
    <x v="16"/>
    <n v="0.16269457146222499"/>
    <n v="59.383518583712203"/>
    <n v="213.78066690136399"/>
  </r>
  <r>
    <x v="0"/>
    <x v="0"/>
    <x v="1"/>
    <x v="0"/>
    <x v="0"/>
    <s v="DK1_MedSmall"/>
    <x v="6"/>
    <s v="GNR_BO_WOODCHI_E-110"/>
    <x v="0"/>
    <x v="17"/>
    <n v="0.51675314287211904"/>
    <n v="188.614897148323"/>
    <n v="679.01362973396397"/>
  </r>
  <r>
    <x v="0"/>
    <x v="0"/>
    <x v="1"/>
    <x v="0"/>
    <x v="0"/>
    <s v="DK1_MedSmall"/>
    <x v="6"/>
    <s v="GNR_BO_WOODCHI_E-110"/>
    <x v="0"/>
    <x v="18"/>
    <n v="1.0335062857442101"/>
    <n v="377.22979429663701"/>
    <n v="1358.02725946789"/>
  </r>
  <r>
    <x v="0"/>
    <x v="0"/>
    <x v="1"/>
    <x v="0"/>
    <x v="0"/>
    <s v="DK1_MedSmall"/>
    <x v="6"/>
    <s v="GNR_BO_WOODCHI_E-110"/>
    <x v="0"/>
    <x v="19"/>
    <n v="0.51675314287211904"/>
    <n v="188.614897148323"/>
    <n v="679.01362973396397"/>
  </r>
  <r>
    <x v="0"/>
    <x v="0"/>
    <x v="1"/>
    <x v="0"/>
    <x v="0"/>
    <s v="DK1_Medium"/>
    <x v="3"/>
    <s v="GNR_BO_ELEC_E-100"/>
    <x v="0"/>
    <x v="8"/>
    <n v="4.90346995678141"/>
    <n v="1789.7665342252101"/>
    <n v="6443.1595232107702"/>
  </r>
  <r>
    <x v="0"/>
    <x v="0"/>
    <x v="1"/>
    <x v="0"/>
    <x v="0"/>
    <s v="DK1_Medium"/>
    <x v="3"/>
    <s v="GNR_BO_ELEC_E-100"/>
    <x v="0"/>
    <x v="9"/>
    <n v="10.8965999039587"/>
    <n v="3977.2589649449301"/>
    <n v="14318.132273801701"/>
  </r>
  <r>
    <x v="0"/>
    <x v="0"/>
    <x v="1"/>
    <x v="0"/>
    <x v="0"/>
    <s v="DK1_Medium"/>
    <x v="3"/>
    <s v="GNR_BO_ELEC_E-100"/>
    <x v="0"/>
    <x v="10"/>
    <n v="9.2621099183648994"/>
    <n v="3380.67012020319"/>
    <n v="12170.4124327315"/>
  </r>
  <r>
    <x v="0"/>
    <x v="0"/>
    <x v="1"/>
    <x v="0"/>
    <x v="0"/>
    <s v="DK1_Medium"/>
    <x v="3"/>
    <s v="GNR_BO_ELEC_E-100"/>
    <x v="0"/>
    <x v="11"/>
    <n v="9.5345249159638605"/>
    <n v="3480.1015943268098"/>
    <n v="12528.3657395765"/>
  </r>
  <r>
    <x v="0"/>
    <x v="0"/>
    <x v="1"/>
    <x v="0"/>
    <x v="0"/>
    <s v="DK1_Medium"/>
    <x v="3"/>
    <s v="GNR_BO_ELEC_E-100"/>
    <x v="0"/>
    <x v="12"/>
    <n v="6.5379599423752097"/>
    <n v="2386.35537896695"/>
    <n v="8590.8793642810306"/>
  </r>
  <r>
    <x v="0"/>
    <x v="0"/>
    <x v="1"/>
    <x v="0"/>
    <x v="0"/>
    <s v="DK1_Medium"/>
    <x v="3"/>
    <s v="GNR_BO_ELEC_E-100"/>
    <x v="0"/>
    <x v="15"/>
    <n v="1.0896599903958299"/>
    <n v="397.72589649447798"/>
    <n v="1431.81322738012"/>
  </r>
  <r>
    <x v="0"/>
    <x v="0"/>
    <x v="1"/>
    <x v="0"/>
    <x v="0"/>
    <s v="DK1_Medium"/>
    <x v="3"/>
    <s v="GNR_BO_ELEC_E-100"/>
    <x v="0"/>
    <x v="16"/>
    <n v="7.3552049351720798"/>
    <n v="2684.64980133781"/>
    <n v="9664.7392848161198"/>
  </r>
  <r>
    <x v="0"/>
    <x v="0"/>
    <x v="1"/>
    <x v="0"/>
    <x v="0"/>
    <s v="DK1_Medium"/>
    <x v="3"/>
    <s v="GNR_HP_ELEC_COP-1200_Y-2030"/>
    <x v="0"/>
    <x v="0"/>
    <n v="368.03266175620502"/>
    <n v="134331.92154101501"/>
    <n v="483594.91754765401"/>
  </r>
  <r>
    <x v="0"/>
    <x v="0"/>
    <x v="1"/>
    <x v="0"/>
    <x v="0"/>
    <s v="DK1_Medium"/>
    <x v="3"/>
    <s v="GNR_HP_ELEC_COP-1200_Y-2030"/>
    <x v="0"/>
    <x v="1"/>
    <n v="363.94643679222099"/>
    <n v="132840.449429161"/>
    <n v="478225.617944978"/>
  </r>
  <r>
    <x v="0"/>
    <x v="0"/>
    <x v="1"/>
    <x v="0"/>
    <x v="0"/>
    <s v="DK1_Medium"/>
    <x v="3"/>
    <s v="GNR_HP_ELEC_COP-1200_Y-2030"/>
    <x v="0"/>
    <x v="2"/>
    <n v="360.949871818632"/>
    <n v="131746.703213801"/>
    <n v="474288.13156968303"/>
  </r>
  <r>
    <x v="0"/>
    <x v="0"/>
    <x v="1"/>
    <x v="0"/>
    <x v="0"/>
    <s v="DK1_Medium"/>
    <x v="3"/>
    <s v="GNR_HP_ELEC_COP-1200_Y-2030"/>
    <x v="0"/>
    <x v="3"/>
    <n v="363.12919179942401"/>
    <n v="132542.15500679001"/>
    <n v="477151.758024443"/>
  </r>
  <r>
    <x v="0"/>
    <x v="0"/>
    <x v="1"/>
    <x v="0"/>
    <x v="0"/>
    <s v="DK1_Medium"/>
    <x v="3"/>
    <s v="GNR_HP_ELEC_COP-1200_Y-2030"/>
    <x v="0"/>
    <x v="4"/>
    <n v="373.75337670578398"/>
    <n v="136419.982497611"/>
    <n v="491111.93699140003"/>
  </r>
  <r>
    <x v="0"/>
    <x v="0"/>
    <x v="1"/>
    <x v="0"/>
    <x v="0"/>
    <s v="DK1_Medium"/>
    <x v="3"/>
    <s v="GNR_HP_ELEC_COP-1200_Y-2030"/>
    <x v="0"/>
    <x v="5"/>
    <n v="381.65341163615398"/>
    <n v="139303.495247196"/>
    <n v="501492.58288990601"/>
  </r>
  <r>
    <x v="0"/>
    <x v="0"/>
    <x v="1"/>
    <x v="0"/>
    <x v="0"/>
    <s v="DK1_Medium"/>
    <x v="3"/>
    <s v="GNR_HP_ELEC_COP-1200_Y-2030"/>
    <x v="0"/>
    <x v="6"/>
    <n v="431.50535619676498"/>
    <n v="157499.45501181899"/>
    <n v="566998.03804254904"/>
  </r>
  <r>
    <x v="0"/>
    <x v="0"/>
    <x v="1"/>
    <x v="0"/>
    <x v="0"/>
    <s v="DK1_Medium"/>
    <x v="3"/>
    <s v="GNR_HP_ELEC_COP-1200_Y-2030"/>
    <x v="0"/>
    <x v="7"/>
    <n v="469.17798077658398"/>
    <n v="171249.96298345301"/>
    <n v="616499.86674043199"/>
  </r>
  <r>
    <x v="0"/>
    <x v="0"/>
    <x v="1"/>
    <x v="0"/>
    <x v="0"/>
    <s v="DK1_Medium"/>
    <x v="3"/>
    <s v="GNR_HP_ELEC_COP-1200_Y-2030"/>
    <x v="0"/>
    <x v="8"/>
    <n v="475.71594071895902"/>
    <n v="173636.31836241999"/>
    <n v="625090.74610471295"/>
  </r>
  <r>
    <x v="0"/>
    <x v="0"/>
    <x v="1"/>
    <x v="0"/>
    <x v="0"/>
    <s v="DK1_Medium"/>
    <x v="3"/>
    <s v="GNR_HP_ELEC_COP-1200_Y-2030"/>
    <x v="0"/>
    <x v="9"/>
    <n v="475.71594071895902"/>
    <n v="173636.31836241999"/>
    <n v="625090.74610471295"/>
  </r>
  <r>
    <x v="0"/>
    <x v="0"/>
    <x v="1"/>
    <x v="0"/>
    <x v="0"/>
    <s v="DK1_Medium"/>
    <x v="3"/>
    <s v="GNR_HP_ELEC_COP-1200_Y-2030"/>
    <x v="0"/>
    <x v="10"/>
    <n v="475.71594071895902"/>
    <n v="173636.31836241999"/>
    <n v="625090.74610471295"/>
  </r>
  <r>
    <x v="0"/>
    <x v="0"/>
    <x v="1"/>
    <x v="0"/>
    <x v="0"/>
    <s v="DK1_Medium"/>
    <x v="3"/>
    <s v="GNR_HP_ELEC_COP-1200_Y-2030"/>
    <x v="0"/>
    <x v="11"/>
    <n v="475.71594071895902"/>
    <n v="173636.31836241999"/>
    <n v="625090.74610471295"/>
  </r>
  <r>
    <x v="0"/>
    <x v="0"/>
    <x v="1"/>
    <x v="0"/>
    <x v="0"/>
    <s v="DK1_Medium"/>
    <x v="3"/>
    <s v="GNR_HP_ELEC_COP-1200_Y-2030"/>
    <x v="0"/>
    <x v="12"/>
    <n v="475.71594071895902"/>
    <n v="173636.31836241999"/>
    <n v="625090.74610471295"/>
  </r>
  <r>
    <x v="0"/>
    <x v="0"/>
    <x v="1"/>
    <x v="0"/>
    <x v="0"/>
    <s v="DK1_Medium"/>
    <x v="3"/>
    <s v="GNR_HP_ELEC_COP-1200_Y-2030"/>
    <x v="0"/>
    <x v="13"/>
    <n v="470.26764076697998"/>
    <n v="171647.68887994799"/>
    <n v="617931.67996781203"/>
  </r>
  <r>
    <x v="0"/>
    <x v="0"/>
    <x v="1"/>
    <x v="0"/>
    <x v="0"/>
    <s v="DK1_Medium"/>
    <x v="3"/>
    <s v="GNR_HP_ELEC_COP-1200_Y-2030"/>
    <x v="0"/>
    <x v="14"/>
    <n v="473.53662073816798"/>
    <n v="172840.866569431"/>
    <n v="622227.11964995204"/>
  </r>
  <r>
    <x v="0"/>
    <x v="0"/>
    <x v="1"/>
    <x v="0"/>
    <x v="0"/>
    <s v="DK1_Medium"/>
    <x v="3"/>
    <s v="GNR_HP_ELEC_COP-1200_Y-2030"/>
    <x v="0"/>
    <x v="15"/>
    <n v="475.71594071895902"/>
    <n v="173636.31836241999"/>
    <n v="625090.74610471295"/>
  </r>
  <r>
    <x v="0"/>
    <x v="0"/>
    <x v="1"/>
    <x v="0"/>
    <x v="0"/>
    <s v="DK1_Medium"/>
    <x v="3"/>
    <s v="GNR_HP_ELEC_COP-1200_Y-2030"/>
    <x v="0"/>
    <x v="16"/>
    <n v="475.71594071895902"/>
    <n v="173636.31836241999"/>
    <n v="625090.74610471295"/>
  </r>
  <r>
    <x v="0"/>
    <x v="0"/>
    <x v="1"/>
    <x v="0"/>
    <x v="0"/>
    <s v="DK1_Medium"/>
    <x v="3"/>
    <s v="GNR_HP_ELEC_COP-1200_Y-2030"/>
    <x v="0"/>
    <x v="17"/>
    <n v="475.71594071895902"/>
    <n v="173636.31836241999"/>
    <n v="625090.74610471295"/>
  </r>
  <r>
    <x v="0"/>
    <x v="0"/>
    <x v="1"/>
    <x v="0"/>
    <x v="0"/>
    <s v="DK1_Medium"/>
    <x v="3"/>
    <s v="GNR_HP_ELEC_COP-1200_Y-2030"/>
    <x v="0"/>
    <x v="18"/>
    <n v="475.71594071895902"/>
    <n v="173636.31836241999"/>
    <n v="625090.74610471295"/>
  </r>
  <r>
    <x v="0"/>
    <x v="0"/>
    <x v="1"/>
    <x v="0"/>
    <x v="0"/>
    <s v="DK1_Medium"/>
    <x v="3"/>
    <s v="GNR_HP_ELEC_COP-1200_Y-2030"/>
    <x v="0"/>
    <x v="19"/>
    <n v="475.71594071895902"/>
    <n v="173636.31836241999"/>
    <n v="625090.74610471295"/>
  </r>
  <r>
    <x v="0"/>
    <x v="0"/>
    <x v="1"/>
    <x v="0"/>
    <x v="0"/>
    <s v="DK1_Medium"/>
    <x v="3"/>
    <s v="GNR_HP_ELEC_COP-1200_Y-2030"/>
    <x v="0"/>
    <x v="20"/>
    <n v="475.71594071895902"/>
    <n v="173636.31836241999"/>
    <n v="625090.74610471295"/>
  </r>
  <r>
    <x v="0"/>
    <x v="0"/>
    <x v="1"/>
    <x v="0"/>
    <x v="0"/>
    <s v="DK1_Medium"/>
    <x v="3"/>
    <s v="GNR_HP_ELEC_COP-1200_Y-2030"/>
    <x v="0"/>
    <x v="21"/>
    <n v="439.21233104069802"/>
    <n v="160312.50082985501"/>
    <n v="577125.002987477"/>
  </r>
  <r>
    <x v="0"/>
    <x v="0"/>
    <x v="1"/>
    <x v="0"/>
    <x v="0"/>
    <s v="DK1_Medium"/>
    <x v="3"/>
    <s v="GNR_HP_ELEC_COP-1200_Y-2030"/>
    <x v="0"/>
    <x v="22"/>
    <n v="436.48818106470799"/>
    <n v="159318.18608861801"/>
    <n v="573545.46991902601"/>
  </r>
  <r>
    <x v="0"/>
    <x v="0"/>
    <x v="1"/>
    <x v="0"/>
    <x v="0"/>
    <s v="DK1_Medium"/>
    <x v="3"/>
    <s v="GNR_HP_ELEC_COP-1200_Y-2030"/>
    <x v="0"/>
    <x v="23"/>
    <n v="439.67780612473399"/>
    <n v="160482.39923552799"/>
    <n v="577736.63724790001"/>
  </r>
  <r>
    <x v="0"/>
    <x v="0"/>
    <x v="1"/>
    <x v="0"/>
    <x v="0"/>
    <s v="DK1_Medium"/>
    <x v="2"/>
    <s v="GNR_GEO_HEAT_HO"/>
    <x v="0"/>
    <x v="7"/>
    <n v="10"/>
    <n v="3650"/>
    <n v="13140"/>
  </r>
  <r>
    <x v="0"/>
    <x v="0"/>
    <x v="1"/>
    <x v="0"/>
    <x v="0"/>
    <s v="DK1_Medium"/>
    <x v="2"/>
    <s v="GNR_GEO_HEAT_HO"/>
    <x v="0"/>
    <x v="8"/>
    <n v="10"/>
    <n v="3650"/>
    <n v="13140"/>
  </r>
  <r>
    <x v="0"/>
    <x v="0"/>
    <x v="1"/>
    <x v="0"/>
    <x v="0"/>
    <s v="DK1_Medium"/>
    <x v="2"/>
    <s v="GNR_GEO_HEAT_HO"/>
    <x v="0"/>
    <x v="9"/>
    <n v="10"/>
    <n v="3650"/>
    <n v="13140"/>
  </r>
  <r>
    <x v="0"/>
    <x v="0"/>
    <x v="1"/>
    <x v="0"/>
    <x v="0"/>
    <s v="DK1_Medium"/>
    <x v="2"/>
    <s v="GNR_GEO_HEAT_HO"/>
    <x v="0"/>
    <x v="10"/>
    <n v="10"/>
    <n v="3650"/>
    <n v="13140"/>
  </r>
  <r>
    <x v="0"/>
    <x v="0"/>
    <x v="1"/>
    <x v="0"/>
    <x v="0"/>
    <s v="DK1_Medium"/>
    <x v="2"/>
    <s v="GNR_GEO_HEAT_HO"/>
    <x v="0"/>
    <x v="11"/>
    <n v="10"/>
    <n v="3650"/>
    <n v="13140"/>
  </r>
  <r>
    <x v="0"/>
    <x v="0"/>
    <x v="1"/>
    <x v="0"/>
    <x v="0"/>
    <s v="DK1_Medium"/>
    <x v="2"/>
    <s v="GNR_GEO_HEAT_HO"/>
    <x v="0"/>
    <x v="12"/>
    <n v="10"/>
    <n v="3650"/>
    <n v="13140"/>
  </r>
  <r>
    <x v="0"/>
    <x v="0"/>
    <x v="1"/>
    <x v="0"/>
    <x v="0"/>
    <s v="DK1_Medium"/>
    <x v="2"/>
    <s v="GNR_GEO_HEAT_HO"/>
    <x v="0"/>
    <x v="13"/>
    <n v="10"/>
    <n v="3650"/>
    <n v="13140"/>
  </r>
  <r>
    <x v="0"/>
    <x v="0"/>
    <x v="1"/>
    <x v="0"/>
    <x v="0"/>
    <s v="DK1_Medium"/>
    <x v="2"/>
    <s v="GNR_GEO_HEAT_HO"/>
    <x v="0"/>
    <x v="14"/>
    <n v="10"/>
    <n v="3650"/>
    <n v="13140"/>
  </r>
  <r>
    <x v="0"/>
    <x v="0"/>
    <x v="1"/>
    <x v="0"/>
    <x v="0"/>
    <s v="DK1_Medium"/>
    <x v="2"/>
    <s v="GNR_GEO_HEAT_HO"/>
    <x v="0"/>
    <x v="15"/>
    <n v="10"/>
    <n v="3650"/>
    <n v="13140"/>
  </r>
  <r>
    <x v="0"/>
    <x v="0"/>
    <x v="1"/>
    <x v="0"/>
    <x v="0"/>
    <s v="DK1_Medium"/>
    <x v="2"/>
    <s v="GNR_GEO_HEAT_HO"/>
    <x v="0"/>
    <x v="16"/>
    <n v="10"/>
    <n v="3650"/>
    <n v="13140"/>
  </r>
  <r>
    <x v="0"/>
    <x v="0"/>
    <x v="1"/>
    <x v="0"/>
    <x v="0"/>
    <s v="DK1_Medium"/>
    <x v="2"/>
    <s v="GNR_GEO_HEAT_HO"/>
    <x v="0"/>
    <x v="17"/>
    <n v="10"/>
    <n v="3650"/>
    <n v="13140"/>
  </r>
  <r>
    <x v="0"/>
    <x v="0"/>
    <x v="1"/>
    <x v="0"/>
    <x v="0"/>
    <s v="DK1_Medium"/>
    <x v="2"/>
    <s v="GNR_GEO_HEAT_HO"/>
    <x v="0"/>
    <x v="18"/>
    <n v="10"/>
    <n v="3650"/>
    <n v="13140"/>
  </r>
  <r>
    <x v="0"/>
    <x v="0"/>
    <x v="1"/>
    <x v="0"/>
    <x v="0"/>
    <s v="DK1_Medium"/>
    <x v="2"/>
    <s v="GNR_GEO_HEAT_HO"/>
    <x v="0"/>
    <x v="19"/>
    <n v="10"/>
    <n v="3650"/>
    <n v="13140"/>
  </r>
  <r>
    <x v="0"/>
    <x v="0"/>
    <x v="1"/>
    <x v="0"/>
    <x v="0"/>
    <s v="DK1_Medium"/>
    <x v="2"/>
    <s v="GNR_GEO_HEAT_HO"/>
    <x v="0"/>
    <x v="20"/>
    <n v="10"/>
    <n v="3650"/>
    <n v="13140"/>
  </r>
  <r>
    <x v="0"/>
    <x v="0"/>
    <x v="1"/>
    <x v="0"/>
    <x v="0"/>
    <s v="DK1_Medium"/>
    <x v="2"/>
    <s v="GNR_GEO_HEAT_HO"/>
    <x v="0"/>
    <x v="21"/>
    <n v="10"/>
    <n v="3650"/>
    <n v="13140"/>
  </r>
  <r>
    <x v="0"/>
    <x v="0"/>
    <x v="1"/>
    <x v="0"/>
    <x v="0"/>
    <s v="DK1_Medium"/>
    <x v="2"/>
    <s v="GNR_GEO_HEAT_HO"/>
    <x v="0"/>
    <x v="22"/>
    <n v="10"/>
    <n v="3650"/>
    <n v="13140"/>
  </r>
  <r>
    <x v="0"/>
    <x v="0"/>
    <x v="1"/>
    <x v="0"/>
    <x v="0"/>
    <s v="DK1_Medium"/>
    <x v="6"/>
    <s v="GNR_BO_WOODCHI_E-100"/>
    <x v="0"/>
    <x v="17"/>
    <n v="5.9931299471772403"/>
    <n v="2187.4924307196902"/>
    <n v="7874.9727505908904"/>
  </r>
  <r>
    <x v="0"/>
    <x v="0"/>
    <x v="1"/>
    <x v="0"/>
    <x v="0"/>
    <s v="DK1_Medium"/>
    <x v="6"/>
    <s v="GNR_BO_WOODCHI_E-100"/>
    <x v="0"/>
    <x v="18"/>
    <n v="7.0827899375731196"/>
    <n v="2585.2183272141901"/>
    <n v="9306.7859779710907"/>
  </r>
  <r>
    <x v="0"/>
    <x v="0"/>
    <x v="1"/>
    <x v="0"/>
    <x v="0"/>
    <s v="DK1_Medium"/>
    <x v="6"/>
    <s v="GNR_BO_WOODCHI_E-100"/>
    <x v="0"/>
    <x v="19"/>
    <n v="5.9931299471772403"/>
    <n v="2187.4924307196902"/>
    <n v="7874.9727505908904"/>
  </r>
  <r>
    <x v="0"/>
    <x v="0"/>
    <x v="1"/>
    <x v="0"/>
    <x v="0"/>
    <s v="DK1_Rural"/>
    <x v="3"/>
    <s v="GNR_BO_ELEC_E-100"/>
    <x v="0"/>
    <x v="8"/>
    <n v="6.6136732763378596"/>
    <n v="2413.9907458633202"/>
    <n v="8690.3666851079506"/>
  </r>
  <r>
    <x v="0"/>
    <x v="0"/>
    <x v="1"/>
    <x v="0"/>
    <x v="0"/>
    <s v="DK1_Rural"/>
    <x v="3"/>
    <s v="GNR_BO_ELEC_E-100"/>
    <x v="0"/>
    <x v="9"/>
    <n v="14.697051725195101"/>
    <n v="5364.42387969623"/>
    <n v="19311.925966906401"/>
  </r>
  <r>
    <x v="0"/>
    <x v="0"/>
    <x v="1"/>
    <x v="0"/>
    <x v="0"/>
    <s v="DK1_Rural"/>
    <x v="3"/>
    <s v="GNR_BO_ELEC_E-100"/>
    <x v="0"/>
    <x v="10"/>
    <n v="12.4924939664159"/>
    <n v="4559.7602977417901"/>
    <n v="16415.137071870398"/>
  </r>
  <r>
    <x v="0"/>
    <x v="0"/>
    <x v="1"/>
    <x v="0"/>
    <x v="0"/>
    <s v="DK1_Rural"/>
    <x v="3"/>
    <s v="GNR_BO_ELEC_E-100"/>
    <x v="0"/>
    <x v="11"/>
    <n v="12.859920259545801"/>
    <n v="4693.8708947342102"/>
    <n v="16897.935221043201"/>
  </r>
  <r>
    <x v="0"/>
    <x v="0"/>
    <x v="1"/>
    <x v="0"/>
    <x v="0"/>
    <s v="DK1_Rural"/>
    <x v="3"/>
    <s v="GNR_BO_ELEC_E-100"/>
    <x v="0"/>
    <x v="12"/>
    <n v="8.8182310351171491"/>
    <n v="3218.6543278177601"/>
    <n v="11587.155580143901"/>
  </r>
  <r>
    <x v="0"/>
    <x v="0"/>
    <x v="1"/>
    <x v="0"/>
    <x v="0"/>
    <s v="DK1_Rural"/>
    <x v="3"/>
    <s v="GNR_BO_ELEC_E-100"/>
    <x v="0"/>
    <x v="15"/>
    <n v="1.46970517251953"/>
    <n v="536.44238796962702"/>
    <n v="1931.1925966906599"/>
  </r>
  <r>
    <x v="0"/>
    <x v="0"/>
    <x v="1"/>
    <x v="0"/>
    <x v="0"/>
    <s v="DK1_Rural"/>
    <x v="3"/>
    <s v="GNR_BO_ELEC_E-100"/>
    <x v="0"/>
    <x v="16"/>
    <n v="9.9205099145067397"/>
    <n v="3620.98611879496"/>
    <n v="13035.5500276619"/>
  </r>
  <r>
    <x v="0"/>
    <x v="0"/>
    <x v="1"/>
    <x v="0"/>
    <x v="0"/>
    <s v="DK1_Rural"/>
    <x v="3"/>
    <s v="GNR_HP_ELEC_COP-1200_Y-2030"/>
    <x v="0"/>
    <x v="0"/>
    <n v="496.39292201846598"/>
    <n v="181183.41653674"/>
    <n v="652260.29953226401"/>
  </r>
  <r>
    <x v="0"/>
    <x v="0"/>
    <x v="1"/>
    <x v="0"/>
    <x v="0"/>
    <s v="DK1_Rural"/>
    <x v="3"/>
    <s v="GNR_HP_ELEC_COP-1200_Y-2030"/>
    <x v="0"/>
    <x v="1"/>
    <n v="490.88152762151702"/>
    <n v="179171.75758185401"/>
    <n v="645018.327294674"/>
  </r>
  <r>
    <x v="0"/>
    <x v="0"/>
    <x v="1"/>
    <x v="0"/>
    <x v="0"/>
    <s v="DK1_Rural"/>
    <x v="3"/>
    <s v="GNR_HP_ELEC_COP-1200_Y-2030"/>
    <x v="0"/>
    <x v="2"/>
    <n v="486.83983839708901"/>
    <n v="177696.54101493701"/>
    <n v="639707.54765377496"/>
  </r>
  <r>
    <x v="0"/>
    <x v="0"/>
    <x v="1"/>
    <x v="0"/>
    <x v="0"/>
    <s v="DK1_Rural"/>
    <x v="3"/>
    <s v="GNR_HP_ELEC_COP-1200_Y-2030"/>
    <x v="0"/>
    <x v="3"/>
    <n v="489.779248742128"/>
    <n v="178769.42579087699"/>
    <n v="643569.93284715596"/>
  </r>
  <r>
    <x v="0"/>
    <x v="0"/>
    <x v="1"/>
    <x v="0"/>
    <x v="0"/>
    <s v="DK1_Rural"/>
    <x v="3"/>
    <s v="GNR_HP_ELEC_COP-1200_Y-2030"/>
    <x v="0"/>
    <x v="4"/>
    <n v="504.10887417419298"/>
    <n v="183999.73907358001"/>
    <n v="662399.06066488998"/>
  </r>
  <r>
    <x v="0"/>
    <x v="0"/>
    <x v="1"/>
    <x v="0"/>
    <x v="0"/>
    <s v="DK1_Rural"/>
    <x v="3"/>
    <s v="GNR_HP_ELEC_COP-1200_Y-2030"/>
    <x v="0"/>
    <x v="5"/>
    <n v="514.76423667495897"/>
    <n v="187888.94638636001"/>
    <n v="676400.20699089696"/>
  </r>
  <r>
    <x v="0"/>
    <x v="0"/>
    <x v="1"/>
    <x v="0"/>
    <x v="0"/>
    <s v="DK1_Rural"/>
    <x v="3"/>
    <s v="GNR_HP_ELEC_COP-1200_Y-2030"/>
    <x v="0"/>
    <x v="6"/>
    <n v="582.00324831772696"/>
    <n v="212431.18563597"/>
    <n v="764752.26828949398"/>
  </r>
  <r>
    <x v="0"/>
    <x v="0"/>
    <x v="1"/>
    <x v="0"/>
    <x v="0"/>
    <s v="DK1_Rural"/>
    <x v="3"/>
    <s v="GNR_HP_ELEC_COP-1200_Y-2030"/>
    <x v="0"/>
    <x v="7"/>
    <n v="583.354080650573"/>
    <n v="212924.23943745901"/>
    <n v="766527.261974853"/>
  </r>
  <r>
    <x v="0"/>
    <x v="0"/>
    <x v="1"/>
    <x v="0"/>
    <x v="0"/>
    <s v="DK1_Rural"/>
    <x v="3"/>
    <s v="GNR_HP_ELEC_COP-1200_Y-2030"/>
    <x v="0"/>
    <x v="8"/>
    <n v="583.354080650573"/>
    <n v="212924.23943745901"/>
    <n v="766527.261974853"/>
  </r>
  <r>
    <x v="0"/>
    <x v="0"/>
    <x v="1"/>
    <x v="0"/>
    <x v="0"/>
    <s v="DK1_Rural"/>
    <x v="3"/>
    <s v="GNR_HP_ELEC_COP-1200_Y-2030"/>
    <x v="0"/>
    <x v="9"/>
    <n v="583.354080650573"/>
    <n v="212924.23943745901"/>
    <n v="766527.261974853"/>
  </r>
  <r>
    <x v="0"/>
    <x v="0"/>
    <x v="1"/>
    <x v="0"/>
    <x v="0"/>
    <s v="DK1_Rural"/>
    <x v="3"/>
    <s v="GNR_HP_ELEC_COP-1200_Y-2030"/>
    <x v="0"/>
    <x v="10"/>
    <n v="583.354080650573"/>
    <n v="212924.23943745901"/>
    <n v="766527.261974853"/>
  </r>
  <r>
    <x v="0"/>
    <x v="0"/>
    <x v="1"/>
    <x v="0"/>
    <x v="0"/>
    <s v="DK1_Rural"/>
    <x v="3"/>
    <s v="GNR_HP_ELEC_COP-1200_Y-2030"/>
    <x v="0"/>
    <x v="11"/>
    <n v="583.354080650573"/>
    <n v="212924.23943745901"/>
    <n v="766527.261974853"/>
  </r>
  <r>
    <x v="0"/>
    <x v="0"/>
    <x v="1"/>
    <x v="0"/>
    <x v="0"/>
    <s v="DK1_Rural"/>
    <x v="3"/>
    <s v="GNR_HP_ELEC_COP-1200_Y-2030"/>
    <x v="0"/>
    <x v="12"/>
    <n v="583.354080650573"/>
    <n v="212924.23943745901"/>
    <n v="766527.261974853"/>
  </r>
  <r>
    <x v="0"/>
    <x v="0"/>
    <x v="1"/>
    <x v="0"/>
    <x v="0"/>
    <s v="DK1_Rural"/>
    <x v="3"/>
    <s v="GNR_HP_ELEC_COP-1200_Y-2030"/>
    <x v="0"/>
    <x v="13"/>
    <n v="583.354080650573"/>
    <n v="212924.23943745901"/>
    <n v="766527.261974853"/>
  </r>
  <r>
    <x v="0"/>
    <x v="0"/>
    <x v="1"/>
    <x v="0"/>
    <x v="0"/>
    <s v="DK1_Rural"/>
    <x v="3"/>
    <s v="GNR_HP_ELEC_COP-1200_Y-2030"/>
    <x v="0"/>
    <x v="14"/>
    <n v="583.354080650573"/>
    <n v="212924.23943745901"/>
    <n v="766527.261974853"/>
  </r>
  <r>
    <x v="0"/>
    <x v="0"/>
    <x v="1"/>
    <x v="0"/>
    <x v="0"/>
    <s v="DK1_Rural"/>
    <x v="3"/>
    <s v="GNR_HP_ELEC_COP-1200_Y-2030"/>
    <x v="0"/>
    <x v="15"/>
    <n v="583.354080650573"/>
    <n v="212924.23943745901"/>
    <n v="766527.261974853"/>
  </r>
  <r>
    <x v="0"/>
    <x v="0"/>
    <x v="1"/>
    <x v="0"/>
    <x v="0"/>
    <s v="DK1_Rural"/>
    <x v="3"/>
    <s v="GNR_HP_ELEC_COP-1200_Y-2030"/>
    <x v="0"/>
    <x v="16"/>
    <n v="583.354080650573"/>
    <n v="212924.23943745901"/>
    <n v="766527.261974853"/>
  </r>
  <r>
    <x v="0"/>
    <x v="0"/>
    <x v="1"/>
    <x v="0"/>
    <x v="0"/>
    <s v="DK1_Rural"/>
    <x v="3"/>
    <s v="GNR_HP_ELEC_COP-1200_Y-2030"/>
    <x v="0"/>
    <x v="17"/>
    <n v="583.354080650573"/>
    <n v="212924.23943745901"/>
    <n v="766527.261974853"/>
  </r>
  <r>
    <x v="0"/>
    <x v="0"/>
    <x v="1"/>
    <x v="0"/>
    <x v="0"/>
    <s v="DK1_Rural"/>
    <x v="3"/>
    <s v="GNR_HP_ELEC_COP-1200_Y-2030"/>
    <x v="0"/>
    <x v="18"/>
    <n v="583.354080650573"/>
    <n v="212924.23943745901"/>
    <n v="766527.261974853"/>
  </r>
  <r>
    <x v="0"/>
    <x v="0"/>
    <x v="1"/>
    <x v="0"/>
    <x v="0"/>
    <s v="DK1_Rural"/>
    <x v="3"/>
    <s v="GNR_HP_ELEC_COP-1200_Y-2030"/>
    <x v="0"/>
    <x v="19"/>
    <n v="583.354080650573"/>
    <n v="212924.23943745901"/>
    <n v="766527.261974853"/>
  </r>
  <r>
    <x v="0"/>
    <x v="0"/>
    <x v="1"/>
    <x v="0"/>
    <x v="0"/>
    <s v="DK1_Rural"/>
    <x v="3"/>
    <s v="GNR_HP_ELEC_COP-1200_Y-2030"/>
    <x v="0"/>
    <x v="20"/>
    <n v="583.354080650573"/>
    <n v="212924.23943745901"/>
    <n v="766527.261974853"/>
  </r>
  <r>
    <x v="0"/>
    <x v="0"/>
    <x v="1"/>
    <x v="0"/>
    <x v="0"/>
    <s v="DK1_Rural"/>
    <x v="3"/>
    <s v="GNR_HP_ELEC_COP-1200_Y-2030"/>
    <x v="0"/>
    <x v="21"/>
    <n v="581.87595737116897"/>
    <n v="212384.724440477"/>
    <n v="764585.00798571599"/>
  </r>
  <r>
    <x v="0"/>
    <x v="0"/>
    <x v="1"/>
    <x v="0"/>
    <x v="0"/>
    <s v="DK1_Rural"/>
    <x v="3"/>
    <s v="GNR_HP_ELEC_COP-1200_Y-2030"/>
    <x v="0"/>
    <x v="22"/>
    <n v="578.20169443987004"/>
    <n v="211043.61847055299"/>
    <n v="759757.02649398998"/>
  </r>
  <r>
    <x v="0"/>
    <x v="0"/>
    <x v="1"/>
    <x v="0"/>
    <x v="0"/>
    <s v="DK1_Rural"/>
    <x v="3"/>
    <s v="GNR_HP_ELEC_COP-1200_Y-2030"/>
    <x v="0"/>
    <x v="23"/>
    <n v="583.354080650573"/>
    <n v="212924.23943745901"/>
    <n v="766527.261974853"/>
  </r>
  <r>
    <x v="0"/>
    <x v="0"/>
    <x v="1"/>
    <x v="0"/>
    <x v="0"/>
    <s v="DK1_Rural"/>
    <x v="3"/>
    <s v="GNR_HP_ELEC_COP-300"/>
    <x v="0"/>
    <x v="8"/>
    <n v="1.5"/>
    <n v="547.5"/>
    <n v="1971"/>
  </r>
  <r>
    <x v="0"/>
    <x v="0"/>
    <x v="1"/>
    <x v="0"/>
    <x v="0"/>
    <s v="DK1_Rural"/>
    <x v="3"/>
    <s v="GNR_HP_ELEC_COP-300"/>
    <x v="0"/>
    <x v="9"/>
    <n v="1.5"/>
    <n v="547.5"/>
    <n v="1971"/>
  </r>
  <r>
    <x v="0"/>
    <x v="0"/>
    <x v="1"/>
    <x v="0"/>
    <x v="0"/>
    <s v="DK1_Rural"/>
    <x v="3"/>
    <s v="GNR_HP_ELEC_COP-300"/>
    <x v="0"/>
    <x v="10"/>
    <n v="1.5"/>
    <n v="547.5"/>
    <n v="1971"/>
  </r>
  <r>
    <x v="0"/>
    <x v="0"/>
    <x v="1"/>
    <x v="0"/>
    <x v="0"/>
    <s v="DK1_Rural"/>
    <x v="3"/>
    <s v="GNR_HP_ELEC_COP-300"/>
    <x v="0"/>
    <x v="11"/>
    <n v="1.5"/>
    <n v="547.5"/>
    <n v="1971"/>
  </r>
  <r>
    <x v="0"/>
    <x v="0"/>
    <x v="1"/>
    <x v="0"/>
    <x v="0"/>
    <s v="DK1_Rural"/>
    <x v="3"/>
    <s v="GNR_HP_ELEC_COP-300"/>
    <x v="0"/>
    <x v="12"/>
    <n v="1.5"/>
    <n v="547.5"/>
    <n v="1971"/>
  </r>
  <r>
    <x v="0"/>
    <x v="0"/>
    <x v="1"/>
    <x v="0"/>
    <x v="0"/>
    <s v="DK1_Rural"/>
    <x v="3"/>
    <s v="GNR_HP_ELEC_COP-300"/>
    <x v="0"/>
    <x v="15"/>
    <n v="1.5"/>
    <n v="547.5"/>
    <n v="1971"/>
  </r>
  <r>
    <x v="0"/>
    <x v="0"/>
    <x v="1"/>
    <x v="0"/>
    <x v="0"/>
    <s v="DK1_Rural"/>
    <x v="3"/>
    <s v="GNR_HP_ELEC_COP-300"/>
    <x v="0"/>
    <x v="16"/>
    <n v="1.5"/>
    <n v="547.5"/>
    <n v="1971"/>
  </r>
  <r>
    <x v="0"/>
    <x v="0"/>
    <x v="1"/>
    <x v="0"/>
    <x v="0"/>
    <s v="DK1_Rural"/>
    <x v="3"/>
    <s v="GNR_HP_ELEC_COP-300"/>
    <x v="0"/>
    <x v="17"/>
    <n v="1.5"/>
    <n v="547.5"/>
    <n v="1971"/>
  </r>
  <r>
    <x v="0"/>
    <x v="0"/>
    <x v="1"/>
    <x v="0"/>
    <x v="0"/>
    <s v="DK1_Rural"/>
    <x v="3"/>
    <s v="GNR_HP_ELEC_COP-300"/>
    <x v="0"/>
    <x v="18"/>
    <n v="1.5"/>
    <n v="547.5"/>
    <n v="1971"/>
  </r>
  <r>
    <x v="0"/>
    <x v="0"/>
    <x v="1"/>
    <x v="0"/>
    <x v="0"/>
    <s v="DK1_Rural"/>
    <x v="3"/>
    <s v="GNR_HP_ELEC_COP-300"/>
    <x v="0"/>
    <x v="19"/>
    <n v="1.5"/>
    <n v="547.5"/>
    <n v="1971"/>
  </r>
  <r>
    <x v="0"/>
    <x v="0"/>
    <x v="1"/>
    <x v="0"/>
    <x v="0"/>
    <s v="DK1_Rural"/>
    <x v="3"/>
    <s v="GNR_HP_ELEC_COP-300"/>
    <x v="0"/>
    <x v="20"/>
    <n v="1.5"/>
    <n v="547.5"/>
    <n v="1971"/>
  </r>
  <r>
    <x v="0"/>
    <x v="0"/>
    <x v="1"/>
    <x v="0"/>
    <x v="0"/>
    <s v="DK1_Rural"/>
    <x v="3"/>
    <s v="GNR_HP_ELEC_COP-350"/>
    <x v="0"/>
    <x v="7"/>
    <n v="2.1890000000000001"/>
    <n v="798.98500000000001"/>
    <n v="2876.346"/>
  </r>
  <r>
    <x v="0"/>
    <x v="0"/>
    <x v="1"/>
    <x v="0"/>
    <x v="0"/>
    <s v="DK1_Rural"/>
    <x v="3"/>
    <s v="GNR_HP_ELEC_COP-350"/>
    <x v="0"/>
    <x v="8"/>
    <n v="2.1890000000000001"/>
    <n v="798.98500000000001"/>
    <n v="2876.346"/>
  </r>
  <r>
    <x v="0"/>
    <x v="0"/>
    <x v="1"/>
    <x v="0"/>
    <x v="0"/>
    <s v="DK1_Rural"/>
    <x v="3"/>
    <s v="GNR_HP_ELEC_COP-350"/>
    <x v="0"/>
    <x v="9"/>
    <n v="2.1890000000000001"/>
    <n v="798.98500000000001"/>
    <n v="2876.346"/>
  </r>
  <r>
    <x v="0"/>
    <x v="0"/>
    <x v="1"/>
    <x v="0"/>
    <x v="0"/>
    <s v="DK1_Rural"/>
    <x v="3"/>
    <s v="GNR_HP_ELEC_COP-350"/>
    <x v="0"/>
    <x v="10"/>
    <n v="2.1890000000000001"/>
    <n v="798.98500000000001"/>
    <n v="2876.346"/>
  </r>
  <r>
    <x v="0"/>
    <x v="0"/>
    <x v="1"/>
    <x v="0"/>
    <x v="0"/>
    <s v="DK1_Rural"/>
    <x v="3"/>
    <s v="GNR_HP_ELEC_COP-350"/>
    <x v="0"/>
    <x v="11"/>
    <n v="2.1890000000000001"/>
    <n v="798.98500000000001"/>
    <n v="2876.346"/>
  </r>
  <r>
    <x v="0"/>
    <x v="0"/>
    <x v="1"/>
    <x v="0"/>
    <x v="0"/>
    <s v="DK1_Rural"/>
    <x v="3"/>
    <s v="GNR_HP_ELEC_COP-350"/>
    <x v="0"/>
    <x v="12"/>
    <n v="2.1890000000000001"/>
    <n v="798.98500000000001"/>
    <n v="2876.346"/>
  </r>
  <r>
    <x v="0"/>
    <x v="0"/>
    <x v="1"/>
    <x v="0"/>
    <x v="0"/>
    <s v="DK1_Rural"/>
    <x v="3"/>
    <s v="GNR_HP_ELEC_COP-350"/>
    <x v="0"/>
    <x v="14"/>
    <n v="0.74958965496102803"/>
    <n v="273.60022406077502"/>
    <n v="984.96080661879103"/>
  </r>
  <r>
    <x v="0"/>
    <x v="0"/>
    <x v="1"/>
    <x v="0"/>
    <x v="0"/>
    <s v="DK1_Rural"/>
    <x v="3"/>
    <s v="GNR_HP_ELEC_COP-350"/>
    <x v="0"/>
    <x v="15"/>
    <n v="2.1890000000000001"/>
    <n v="798.98500000000001"/>
    <n v="2876.346"/>
  </r>
  <r>
    <x v="0"/>
    <x v="0"/>
    <x v="1"/>
    <x v="0"/>
    <x v="0"/>
    <s v="DK1_Rural"/>
    <x v="3"/>
    <s v="GNR_HP_ELEC_COP-350"/>
    <x v="0"/>
    <x v="16"/>
    <n v="2.1890000000000001"/>
    <n v="798.98500000000001"/>
    <n v="2876.346"/>
  </r>
  <r>
    <x v="0"/>
    <x v="0"/>
    <x v="1"/>
    <x v="0"/>
    <x v="0"/>
    <s v="DK1_Rural"/>
    <x v="3"/>
    <s v="GNR_HP_ELEC_COP-350"/>
    <x v="0"/>
    <x v="17"/>
    <n v="2.1890000000000001"/>
    <n v="798.98500000000001"/>
    <n v="2876.346"/>
  </r>
  <r>
    <x v="0"/>
    <x v="0"/>
    <x v="1"/>
    <x v="0"/>
    <x v="0"/>
    <s v="DK1_Rural"/>
    <x v="3"/>
    <s v="GNR_HP_ELEC_COP-350"/>
    <x v="0"/>
    <x v="18"/>
    <n v="2.1890000000000001"/>
    <n v="798.98500000000001"/>
    <n v="2876.346"/>
  </r>
  <r>
    <x v="0"/>
    <x v="0"/>
    <x v="1"/>
    <x v="0"/>
    <x v="0"/>
    <s v="DK1_Rural"/>
    <x v="3"/>
    <s v="GNR_HP_ELEC_COP-350"/>
    <x v="0"/>
    <x v="19"/>
    <n v="2.1890000000000001"/>
    <n v="798.98500000000001"/>
    <n v="2876.346"/>
  </r>
  <r>
    <x v="0"/>
    <x v="0"/>
    <x v="1"/>
    <x v="0"/>
    <x v="0"/>
    <s v="DK1_Rural"/>
    <x v="3"/>
    <s v="GNR_HP_ELEC_COP-350"/>
    <x v="0"/>
    <x v="20"/>
    <n v="2.1890000000000001"/>
    <n v="798.98500000000001"/>
    <n v="2876.346"/>
  </r>
  <r>
    <x v="0"/>
    <x v="0"/>
    <x v="1"/>
    <x v="0"/>
    <x v="0"/>
    <s v="DK1_Rural"/>
    <x v="3"/>
    <s v="GNR_HP_ELEC_COP-400"/>
    <x v="0"/>
    <x v="7"/>
    <n v="2.048"/>
    <n v="747.52"/>
    <n v="2691.0720000000001"/>
  </r>
  <r>
    <x v="0"/>
    <x v="0"/>
    <x v="1"/>
    <x v="0"/>
    <x v="0"/>
    <s v="DK1_Rural"/>
    <x v="3"/>
    <s v="GNR_HP_ELEC_COP-400"/>
    <x v="0"/>
    <x v="8"/>
    <n v="2.048"/>
    <n v="747.52"/>
    <n v="2691.0720000000001"/>
  </r>
  <r>
    <x v="0"/>
    <x v="0"/>
    <x v="1"/>
    <x v="0"/>
    <x v="0"/>
    <s v="DK1_Rural"/>
    <x v="3"/>
    <s v="GNR_HP_ELEC_COP-400"/>
    <x v="0"/>
    <x v="9"/>
    <n v="2.048"/>
    <n v="747.52"/>
    <n v="2691.0720000000001"/>
  </r>
  <r>
    <x v="0"/>
    <x v="0"/>
    <x v="1"/>
    <x v="0"/>
    <x v="0"/>
    <s v="DK1_Rural"/>
    <x v="3"/>
    <s v="GNR_HP_ELEC_COP-400"/>
    <x v="0"/>
    <x v="10"/>
    <n v="2.048"/>
    <n v="747.52"/>
    <n v="2691.0720000000001"/>
  </r>
  <r>
    <x v="0"/>
    <x v="0"/>
    <x v="1"/>
    <x v="0"/>
    <x v="0"/>
    <s v="DK1_Rural"/>
    <x v="3"/>
    <s v="GNR_HP_ELEC_COP-400"/>
    <x v="0"/>
    <x v="11"/>
    <n v="2.048"/>
    <n v="747.52"/>
    <n v="2691.0720000000001"/>
  </r>
  <r>
    <x v="0"/>
    <x v="0"/>
    <x v="1"/>
    <x v="0"/>
    <x v="0"/>
    <s v="DK1_Rural"/>
    <x v="3"/>
    <s v="GNR_HP_ELEC_COP-400"/>
    <x v="0"/>
    <x v="12"/>
    <n v="2.048"/>
    <n v="747.52"/>
    <n v="2691.0720000000001"/>
  </r>
  <r>
    <x v="0"/>
    <x v="0"/>
    <x v="1"/>
    <x v="0"/>
    <x v="0"/>
    <s v="DK1_Rural"/>
    <x v="3"/>
    <s v="GNR_HP_ELEC_COP-400"/>
    <x v="0"/>
    <x v="14"/>
    <n v="2.048"/>
    <n v="747.52"/>
    <n v="2691.0720000000001"/>
  </r>
  <r>
    <x v="0"/>
    <x v="0"/>
    <x v="1"/>
    <x v="0"/>
    <x v="0"/>
    <s v="DK1_Rural"/>
    <x v="3"/>
    <s v="GNR_HP_ELEC_COP-400"/>
    <x v="0"/>
    <x v="15"/>
    <n v="2.048"/>
    <n v="747.52"/>
    <n v="2691.0720000000001"/>
  </r>
  <r>
    <x v="0"/>
    <x v="0"/>
    <x v="1"/>
    <x v="0"/>
    <x v="0"/>
    <s v="DK1_Rural"/>
    <x v="3"/>
    <s v="GNR_HP_ELEC_COP-400"/>
    <x v="0"/>
    <x v="16"/>
    <n v="2.048"/>
    <n v="747.52"/>
    <n v="2691.0720000000001"/>
  </r>
  <r>
    <x v="0"/>
    <x v="0"/>
    <x v="1"/>
    <x v="0"/>
    <x v="0"/>
    <s v="DK1_Rural"/>
    <x v="3"/>
    <s v="GNR_HP_ELEC_COP-400"/>
    <x v="0"/>
    <x v="17"/>
    <n v="2.048"/>
    <n v="747.52"/>
    <n v="2691.0720000000001"/>
  </r>
  <r>
    <x v="0"/>
    <x v="0"/>
    <x v="1"/>
    <x v="0"/>
    <x v="0"/>
    <s v="DK1_Rural"/>
    <x v="3"/>
    <s v="GNR_HP_ELEC_COP-400"/>
    <x v="0"/>
    <x v="18"/>
    <n v="2.048"/>
    <n v="747.52"/>
    <n v="2691.0720000000001"/>
  </r>
  <r>
    <x v="0"/>
    <x v="0"/>
    <x v="1"/>
    <x v="0"/>
    <x v="0"/>
    <s v="DK1_Rural"/>
    <x v="3"/>
    <s v="GNR_HP_ELEC_COP-400"/>
    <x v="0"/>
    <x v="19"/>
    <n v="2.048"/>
    <n v="747.52"/>
    <n v="2691.0720000000001"/>
  </r>
  <r>
    <x v="0"/>
    <x v="0"/>
    <x v="1"/>
    <x v="0"/>
    <x v="0"/>
    <s v="DK1_Rural"/>
    <x v="3"/>
    <s v="GNR_HP_ELEC_COP-400"/>
    <x v="0"/>
    <x v="20"/>
    <n v="2.048"/>
    <n v="747.52"/>
    <n v="2691.0720000000001"/>
  </r>
  <r>
    <x v="0"/>
    <x v="0"/>
    <x v="1"/>
    <x v="0"/>
    <x v="0"/>
    <s v="DK1_Rural"/>
    <x v="3"/>
    <s v="GNR_HP_ELEC_COP-430"/>
    <x v="0"/>
    <x v="7"/>
    <n v="1.3"/>
    <n v="474.5"/>
    <n v="1708.2"/>
  </r>
  <r>
    <x v="0"/>
    <x v="0"/>
    <x v="1"/>
    <x v="0"/>
    <x v="0"/>
    <s v="DK1_Rural"/>
    <x v="3"/>
    <s v="GNR_HP_ELEC_COP-430"/>
    <x v="0"/>
    <x v="8"/>
    <n v="1.3"/>
    <n v="474.5"/>
    <n v="1708.2"/>
  </r>
  <r>
    <x v="0"/>
    <x v="0"/>
    <x v="1"/>
    <x v="0"/>
    <x v="0"/>
    <s v="DK1_Rural"/>
    <x v="3"/>
    <s v="GNR_HP_ELEC_COP-430"/>
    <x v="0"/>
    <x v="9"/>
    <n v="1.3"/>
    <n v="474.5"/>
    <n v="1708.2"/>
  </r>
  <r>
    <x v="0"/>
    <x v="0"/>
    <x v="1"/>
    <x v="0"/>
    <x v="0"/>
    <s v="DK1_Rural"/>
    <x v="3"/>
    <s v="GNR_HP_ELEC_COP-430"/>
    <x v="0"/>
    <x v="10"/>
    <n v="1.3"/>
    <n v="474.5"/>
    <n v="1708.2"/>
  </r>
  <r>
    <x v="0"/>
    <x v="0"/>
    <x v="1"/>
    <x v="0"/>
    <x v="0"/>
    <s v="DK1_Rural"/>
    <x v="3"/>
    <s v="GNR_HP_ELEC_COP-430"/>
    <x v="0"/>
    <x v="11"/>
    <n v="1.3"/>
    <n v="474.5"/>
    <n v="1708.2"/>
  </r>
  <r>
    <x v="0"/>
    <x v="0"/>
    <x v="1"/>
    <x v="0"/>
    <x v="0"/>
    <s v="DK1_Rural"/>
    <x v="3"/>
    <s v="GNR_HP_ELEC_COP-430"/>
    <x v="0"/>
    <x v="12"/>
    <n v="1.3"/>
    <n v="474.5"/>
    <n v="1708.2"/>
  </r>
  <r>
    <x v="0"/>
    <x v="0"/>
    <x v="1"/>
    <x v="0"/>
    <x v="0"/>
    <s v="DK1_Rural"/>
    <x v="3"/>
    <s v="GNR_HP_ELEC_COP-430"/>
    <x v="0"/>
    <x v="13"/>
    <n v="1.3"/>
    <n v="474.5"/>
    <n v="1708.2"/>
  </r>
  <r>
    <x v="0"/>
    <x v="0"/>
    <x v="1"/>
    <x v="0"/>
    <x v="0"/>
    <s v="DK1_Rural"/>
    <x v="3"/>
    <s v="GNR_HP_ELEC_COP-430"/>
    <x v="0"/>
    <x v="14"/>
    <n v="1.3"/>
    <n v="474.5"/>
    <n v="1708.2"/>
  </r>
  <r>
    <x v="0"/>
    <x v="0"/>
    <x v="1"/>
    <x v="0"/>
    <x v="0"/>
    <s v="DK1_Rural"/>
    <x v="3"/>
    <s v="GNR_HP_ELEC_COP-430"/>
    <x v="0"/>
    <x v="15"/>
    <n v="1.3"/>
    <n v="474.5"/>
    <n v="1708.2"/>
  </r>
  <r>
    <x v="0"/>
    <x v="0"/>
    <x v="1"/>
    <x v="0"/>
    <x v="0"/>
    <s v="DK1_Rural"/>
    <x v="3"/>
    <s v="GNR_HP_ELEC_COP-430"/>
    <x v="0"/>
    <x v="16"/>
    <n v="1.3"/>
    <n v="474.5"/>
    <n v="1708.2"/>
  </r>
  <r>
    <x v="0"/>
    <x v="0"/>
    <x v="1"/>
    <x v="0"/>
    <x v="0"/>
    <s v="DK1_Rural"/>
    <x v="3"/>
    <s v="GNR_HP_ELEC_COP-430"/>
    <x v="0"/>
    <x v="17"/>
    <n v="1.3"/>
    <n v="474.5"/>
    <n v="1708.2"/>
  </r>
  <r>
    <x v="0"/>
    <x v="0"/>
    <x v="1"/>
    <x v="0"/>
    <x v="0"/>
    <s v="DK1_Rural"/>
    <x v="3"/>
    <s v="GNR_HP_ELEC_COP-430"/>
    <x v="0"/>
    <x v="18"/>
    <n v="1.3"/>
    <n v="474.5"/>
    <n v="1708.2"/>
  </r>
  <r>
    <x v="0"/>
    <x v="0"/>
    <x v="1"/>
    <x v="0"/>
    <x v="0"/>
    <s v="DK1_Rural"/>
    <x v="3"/>
    <s v="GNR_HP_ELEC_COP-430"/>
    <x v="0"/>
    <x v="19"/>
    <n v="1.3"/>
    <n v="474.5"/>
    <n v="1708.2"/>
  </r>
  <r>
    <x v="0"/>
    <x v="0"/>
    <x v="1"/>
    <x v="0"/>
    <x v="0"/>
    <s v="DK1_Rural"/>
    <x v="3"/>
    <s v="GNR_HP_ELEC_COP-430"/>
    <x v="0"/>
    <x v="20"/>
    <n v="1.3"/>
    <n v="474.5"/>
    <n v="1708.2"/>
  </r>
  <r>
    <x v="0"/>
    <x v="0"/>
    <x v="1"/>
    <x v="0"/>
    <x v="0"/>
    <s v="DK1_Rural"/>
    <x v="3"/>
    <s v="GNR_HP_ELEC_COP-450"/>
    <x v="0"/>
    <x v="7"/>
    <n v="0.54"/>
    <n v="197.1"/>
    <n v="709.56"/>
  </r>
  <r>
    <x v="0"/>
    <x v="0"/>
    <x v="1"/>
    <x v="0"/>
    <x v="0"/>
    <s v="DK1_Rural"/>
    <x v="3"/>
    <s v="GNR_HP_ELEC_COP-450"/>
    <x v="0"/>
    <x v="8"/>
    <n v="0.54"/>
    <n v="197.1"/>
    <n v="709.56"/>
  </r>
  <r>
    <x v="0"/>
    <x v="0"/>
    <x v="1"/>
    <x v="0"/>
    <x v="0"/>
    <s v="DK1_Rural"/>
    <x v="3"/>
    <s v="GNR_HP_ELEC_COP-450"/>
    <x v="0"/>
    <x v="9"/>
    <n v="0.54"/>
    <n v="197.1"/>
    <n v="709.56"/>
  </r>
  <r>
    <x v="0"/>
    <x v="0"/>
    <x v="1"/>
    <x v="0"/>
    <x v="0"/>
    <s v="DK1_Rural"/>
    <x v="3"/>
    <s v="GNR_HP_ELEC_COP-450"/>
    <x v="0"/>
    <x v="10"/>
    <n v="0.54"/>
    <n v="197.1"/>
    <n v="709.56"/>
  </r>
  <r>
    <x v="0"/>
    <x v="0"/>
    <x v="1"/>
    <x v="0"/>
    <x v="0"/>
    <s v="DK1_Rural"/>
    <x v="3"/>
    <s v="GNR_HP_ELEC_COP-450"/>
    <x v="0"/>
    <x v="11"/>
    <n v="0.54"/>
    <n v="197.1"/>
    <n v="709.56"/>
  </r>
  <r>
    <x v="0"/>
    <x v="0"/>
    <x v="1"/>
    <x v="0"/>
    <x v="0"/>
    <s v="DK1_Rural"/>
    <x v="3"/>
    <s v="GNR_HP_ELEC_COP-450"/>
    <x v="0"/>
    <x v="12"/>
    <n v="0.54"/>
    <n v="197.1"/>
    <n v="709.56"/>
  </r>
  <r>
    <x v="0"/>
    <x v="0"/>
    <x v="1"/>
    <x v="0"/>
    <x v="0"/>
    <s v="DK1_Rural"/>
    <x v="3"/>
    <s v="GNR_HP_ELEC_COP-450"/>
    <x v="0"/>
    <x v="13"/>
    <n v="0.54"/>
    <n v="197.1"/>
    <n v="709.56"/>
  </r>
  <r>
    <x v="0"/>
    <x v="0"/>
    <x v="1"/>
    <x v="0"/>
    <x v="0"/>
    <s v="DK1_Rural"/>
    <x v="3"/>
    <s v="GNR_HP_ELEC_COP-450"/>
    <x v="0"/>
    <x v="14"/>
    <n v="0.54"/>
    <n v="197.1"/>
    <n v="709.56"/>
  </r>
  <r>
    <x v="0"/>
    <x v="0"/>
    <x v="1"/>
    <x v="0"/>
    <x v="0"/>
    <s v="DK1_Rural"/>
    <x v="3"/>
    <s v="GNR_HP_ELEC_COP-450"/>
    <x v="0"/>
    <x v="15"/>
    <n v="0.54"/>
    <n v="197.1"/>
    <n v="709.56"/>
  </r>
  <r>
    <x v="0"/>
    <x v="0"/>
    <x v="1"/>
    <x v="0"/>
    <x v="0"/>
    <s v="DK1_Rural"/>
    <x v="3"/>
    <s v="GNR_HP_ELEC_COP-450"/>
    <x v="0"/>
    <x v="16"/>
    <n v="0.54"/>
    <n v="197.1"/>
    <n v="709.56"/>
  </r>
  <r>
    <x v="0"/>
    <x v="0"/>
    <x v="1"/>
    <x v="0"/>
    <x v="0"/>
    <s v="DK1_Rural"/>
    <x v="3"/>
    <s v="GNR_HP_ELEC_COP-450"/>
    <x v="0"/>
    <x v="17"/>
    <n v="0.54"/>
    <n v="197.1"/>
    <n v="709.56"/>
  </r>
  <r>
    <x v="0"/>
    <x v="0"/>
    <x v="1"/>
    <x v="0"/>
    <x v="0"/>
    <s v="DK1_Rural"/>
    <x v="3"/>
    <s v="GNR_HP_ELEC_COP-450"/>
    <x v="0"/>
    <x v="18"/>
    <n v="0.54"/>
    <n v="197.1"/>
    <n v="709.56"/>
  </r>
  <r>
    <x v="0"/>
    <x v="0"/>
    <x v="1"/>
    <x v="0"/>
    <x v="0"/>
    <s v="DK1_Rural"/>
    <x v="3"/>
    <s v="GNR_HP_ELEC_COP-450"/>
    <x v="0"/>
    <x v="19"/>
    <n v="0.54"/>
    <n v="197.1"/>
    <n v="709.56"/>
  </r>
  <r>
    <x v="0"/>
    <x v="0"/>
    <x v="1"/>
    <x v="0"/>
    <x v="0"/>
    <s v="DK1_Rural"/>
    <x v="3"/>
    <s v="GNR_HP_ELEC_COP-450"/>
    <x v="0"/>
    <x v="20"/>
    <n v="0.54"/>
    <n v="197.1"/>
    <n v="709.56"/>
  </r>
  <r>
    <x v="0"/>
    <x v="0"/>
    <x v="1"/>
    <x v="0"/>
    <x v="0"/>
    <s v="DK1_Rural"/>
    <x v="3"/>
    <s v="GNR_HP_ELEC_COP-460"/>
    <x v="0"/>
    <x v="7"/>
    <n v="3.6"/>
    <n v="1314"/>
    <n v="4730.3999999999996"/>
  </r>
  <r>
    <x v="0"/>
    <x v="0"/>
    <x v="1"/>
    <x v="0"/>
    <x v="0"/>
    <s v="DK1_Rural"/>
    <x v="3"/>
    <s v="GNR_HP_ELEC_COP-460"/>
    <x v="0"/>
    <x v="8"/>
    <n v="3.6"/>
    <n v="1314"/>
    <n v="4730.3999999999996"/>
  </r>
  <r>
    <x v="0"/>
    <x v="0"/>
    <x v="1"/>
    <x v="0"/>
    <x v="0"/>
    <s v="DK1_Rural"/>
    <x v="3"/>
    <s v="GNR_HP_ELEC_COP-460"/>
    <x v="0"/>
    <x v="9"/>
    <n v="3.6"/>
    <n v="1314"/>
    <n v="4730.3999999999996"/>
  </r>
  <r>
    <x v="0"/>
    <x v="0"/>
    <x v="1"/>
    <x v="0"/>
    <x v="0"/>
    <s v="DK1_Rural"/>
    <x v="3"/>
    <s v="GNR_HP_ELEC_COP-460"/>
    <x v="0"/>
    <x v="10"/>
    <n v="3.6"/>
    <n v="1314"/>
    <n v="4730.3999999999996"/>
  </r>
  <r>
    <x v="0"/>
    <x v="0"/>
    <x v="1"/>
    <x v="0"/>
    <x v="0"/>
    <s v="DK1_Rural"/>
    <x v="3"/>
    <s v="GNR_HP_ELEC_COP-460"/>
    <x v="0"/>
    <x v="11"/>
    <n v="3.6"/>
    <n v="1314"/>
    <n v="4730.3999999999996"/>
  </r>
  <r>
    <x v="0"/>
    <x v="0"/>
    <x v="1"/>
    <x v="0"/>
    <x v="0"/>
    <s v="DK1_Rural"/>
    <x v="3"/>
    <s v="GNR_HP_ELEC_COP-460"/>
    <x v="0"/>
    <x v="12"/>
    <n v="3.6"/>
    <n v="1314"/>
    <n v="4730.3999999999996"/>
  </r>
  <r>
    <x v="0"/>
    <x v="0"/>
    <x v="1"/>
    <x v="0"/>
    <x v="0"/>
    <s v="DK1_Rural"/>
    <x v="3"/>
    <s v="GNR_HP_ELEC_COP-460"/>
    <x v="0"/>
    <x v="13"/>
    <n v="3.6"/>
    <n v="1314"/>
    <n v="4730.3999999999996"/>
  </r>
  <r>
    <x v="0"/>
    <x v="0"/>
    <x v="1"/>
    <x v="0"/>
    <x v="0"/>
    <s v="DK1_Rural"/>
    <x v="3"/>
    <s v="GNR_HP_ELEC_COP-460"/>
    <x v="0"/>
    <x v="14"/>
    <n v="3.6"/>
    <n v="1314"/>
    <n v="4730.3999999999996"/>
  </r>
  <r>
    <x v="0"/>
    <x v="0"/>
    <x v="1"/>
    <x v="0"/>
    <x v="0"/>
    <s v="DK1_Rural"/>
    <x v="3"/>
    <s v="GNR_HP_ELEC_COP-460"/>
    <x v="0"/>
    <x v="15"/>
    <n v="3.6"/>
    <n v="1314"/>
    <n v="4730.3999999999996"/>
  </r>
  <r>
    <x v="0"/>
    <x v="0"/>
    <x v="1"/>
    <x v="0"/>
    <x v="0"/>
    <s v="DK1_Rural"/>
    <x v="3"/>
    <s v="GNR_HP_ELEC_COP-460"/>
    <x v="0"/>
    <x v="16"/>
    <n v="3.6"/>
    <n v="1314"/>
    <n v="4730.3999999999996"/>
  </r>
  <r>
    <x v="0"/>
    <x v="0"/>
    <x v="1"/>
    <x v="0"/>
    <x v="0"/>
    <s v="DK1_Rural"/>
    <x v="3"/>
    <s v="GNR_HP_ELEC_COP-460"/>
    <x v="0"/>
    <x v="17"/>
    <n v="3.6"/>
    <n v="1314"/>
    <n v="4730.3999999999996"/>
  </r>
  <r>
    <x v="0"/>
    <x v="0"/>
    <x v="1"/>
    <x v="0"/>
    <x v="0"/>
    <s v="DK1_Rural"/>
    <x v="3"/>
    <s v="GNR_HP_ELEC_COP-460"/>
    <x v="0"/>
    <x v="18"/>
    <n v="3.6"/>
    <n v="1314"/>
    <n v="4730.3999999999996"/>
  </r>
  <r>
    <x v="0"/>
    <x v="0"/>
    <x v="1"/>
    <x v="0"/>
    <x v="0"/>
    <s v="DK1_Rural"/>
    <x v="3"/>
    <s v="GNR_HP_ELEC_COP-460"/>
    <x v="0"/>
    <x v="19"/>
    <n v="3.6"/>
    <n v="1314"/>
    <n v="4730.3999999999996"/>
  </r>
  <r>
    <x v="0"/>
    <x v="0"/>
    <x v="1"/>
    <x v="0"/>
    <x v="0"/>
    <s v="DK1_Rural"/>
    <x v="3"/>
    <s v="GNR_HP_ELEC_COP-460"/>
    <x v="0"/>
    <x v="20"/>
    <n v="3.6"/>
    <n v="1314"/>
    <n v="4730.3999999999996"/>
  </r>
  <r>
    <x v="0"/>
    <x v="0"/>
    <x v="1"/>
    <x v="0"/>
    <x v="0"/>
    <s v="DK1_Rural"/>
    <x v="3"/>
    <s v="GNR_HP_ELEC_COP-470"/>
    <x v="0"/>
    <x v="7"/>
    <n v="0.95"/>
    <n v="346.75"/>
    <n v="1248.3"/>
  </r>
  <r>
    <x v="0"/>
    <x v="0"/>
    <x v="1"/>
    <x v="0"/>
    <x v="0"/>
    <s v="DK1_Rural"/>
    <x v="3"/>
    <s v="GNR_HP_ELEC_COP-470"/>
    <x v="0"/>
    <x v="8"/>
    <n v="0.95"/>
    <n v="346.75"/>
    <n v="1248.3"/>
  </r>
  <r>
    <x v="0"/>
    <x v="0"/>
    <x v="1"/>
    <x v="0"/>
    <x v="0"/>
    <s v="DK1_Rural"/>
    <x v="3"/>
    <s v="GNR_HP_ELEC_COP-470"/>
    <x v="0"/>
    <x v="9"/>
    <n v="0.95"/>
    <n v="346.75"/>
    <n v="1248.3"/>
  </r>
  <r>
    <x v="0"/>
    <x v="0"/>
    <x v="1"/>
    <x v="0"/>
    <x v="0"/>
    <s v="DK1_Rural"/>
    <x v="3"/>
    <s v="GNR_HP_ELEC_COP-470"/>
    <x v="0"/>
    <x v="10"/>
    <n v="0.95"/>
    <n v="346.75"/>
    <n v="1248.3"/>
  </r>
  <r>
    <x v="0"/>
    <x v="0"/>
    <x v="1"/>
    <x v="0"/>
    <x v="0"/>
    <s v="DK1_Rural"/>
    <x v="3"/>
    <s v="GNR_HP_ELEC_COP-470"/>
    <x v="0"/>
    <x v="11"/>
    <n v="0.95"/>
    <n v="346.75"/>
    <n v="1248.3"/>
  </r>
  <r>
    <x v="0"/>
    <x v="0"/>
    <x v="1"/>
    <x v="0"/>
    <x v="0"/>
    <s v="DK1_Rural"/>
    <x v="3"/>
    <s v="GNR_HP_ELEC_COP-470"/>
    <x v="0"/>
    <x v="12"/>
    <n v="0.95"/>
    <n v="346.75"/>
    <n v="1248.3"/>
  </r>
  <r>
    <x v="0"/>
    <x v="0"/>
    <x v="1"/>
    <x v="0"/>
    <x v="0"/>
    <s v="DK1_Rural"/>
    <x v="3"/>
    <s v="GNR_HP_ELEC_COP-470"/>
    <x v="0"/>
    <x v="13"/>
    <n v="0.95"/>
    <n v="346.75"/>
    <n v="1248.3"/>
  </r>
  <r>
    <x v="0"/>
    <x v="0"/>
    <x v="1"/>
    <x v="0"/>
    <x v="0"/>
    <s v="DK1_Rural"/>
    <x v="3"/>
    <s v="GNR_HP_ELEC_COP-470"/>
    <x v="0"/>
    <x v="14"/>
    <n v="0.95"/>
    <n v="346.75"/>
    <n v="1248.3"/>
  </r>
  <r>
    <x v="0"/>
    <x v="0"/>
    <x v="1"/>
    <x v="0"/>
    <x v="0"/>
    <s v="DK1_Rural"/>
    <x v="3"/>
    <s v="GNR_HP_ELEC_COP-470"/>
    <x v="0"/>
    <x v="15"/>
    <n v="0.95"/>
    <n v="346.75"/>
    <n v="1248.3"/>
  </r>
  <r>
    <x v="0"/>
    <x v="0"/>
    <x v="1"/>
    <x v="0"/>
    <x v="0"/>
    <s v="DK1_Rural"/>
    <x v="3"/>
    <s v="GNR_HP_ELEC_COP-470"/>
    <x v="0"/>
    <x v="16"/>
    <n v="0.95"/>
    <n v="346.75"/>
    <n v="1248.3"/>
  </r>
  <r>
    <x v="0"/>
    <x v="0"/>
    <x v="1"/>
    <x v="0"/>
    <x v="0"/>
    <s v="DK1_Rural"/>
    <x v="3"/>
    <s v="GNR_HP_ELEC_COP-470"/>
    <x v="0"/>
    <x v="17"/>
    <n v="0.95"/>
    <n v="346.75"/>
    <n v="1248.3"/>
  </r>
  <r>
    <x v="0"/>
    <x v="0"/>
    <x v="1"/>
    <x v="0"/>
    <x v="0"/>
    <s v="DK1_Rural"/>
    <x v="3"/>
    <s v="GNR_HP_ELEC_COP-470"/>
    <x v="0"/>
    <x v="18"/>
    <n v="0.95"/>
    <n v="346.75"/>
    <n v="1248.3"/>
  </r>
  <r>
    <x v="0"/>
    <x v="0"/>
    <x v="1"/>
    <x v="0"/>
    <x v="0"/>
    <s v="DK1_Rural"/>
    <x v="3"/>
    <s v="GNR_HP_ELEC_COP-470"/>
    <x v="0"/>
    <x v="19"/>
    <n v="0.95"/>
    <n v="346.75"/>
    <n v="1248.3"/>
  </r>
  <r>
    <x v="0"/>
    <x v="0"/>
    <x v="1"/>
    <x v="0"/>
    <x v="0"/>
    <s v="DK1_Rural"/>
    <x v="3"/>
    <s v="GNR_HP_ELEC_COP-470"/>
    <x v="0"/>
    <x v="20"/>
    <n v="0.95"/>
    <n v="346.75"/>
    <n v="1248.3"/>
  </r>
  <r>
    <x v="0"/>
    <x v="0"/>
    <x v="1"/>
    <x v="0"/>
    <x v="0"/>
    <s v="DK1_Rural"/>
    <x v="3"/>
    <s v="GNR_HP_ELEC_COP-500"/>
    <x v="0"/>
    <x v="7"/>
    <n v="0.5"/>
    <n v="182.5"/>
    <n v="657"/>
  </r>
  <r>
    <x v="0"/>
    <x v="0"/>
    <x v="1"/>
    <x v="0"/>
    <x v="0"/>
    <s v="DK1_Rural"/>
    <x v="3"/>
    <s v="GNR_HP_ELEC_COP-500"/>
    <x v="0"/>
    <x v="8"/>
    <n v="0.5"/>
    <n v="182.5"/>
    <n v="657"/>
  </r>
  <r>
    <x v="0"/>
    <x v="0"/>
    <x v="1"/>
    <x v="0"/>
    <x v="0"/>
    <s v="DK1_Rural"/>
    <x v="3"/>
    <s v="GNR_HP_ELEC_COP-500"/>
    <x v="0"/>
    <x v="9"/>
    <n v="0.5"/>
    <n v="182.5"/>
    <n v="657"/>
  </r>
  <r>
    <x v="0"/>
    <x v="0"/>
    <x v="1"/>
    <x v="0"/>
    <x v="0"/>
    <s v="DK1_Rural"/>
    <x v="3"/>
    <s v="GNR_HP_ELEC_COP-500"/>
    <x v="0"/>
    <x v="10"/>
    <n v="0.5"/>
    <n v="182.5"/>
    <n v="657"/>
  </r>
  <r>
    <x v="0"/>
    <x v="0"/>
    <x v="1"/>
    <x v="0"/>
    <x v="0"/>
    <s v="DK1_Rural"/>
    <x v="3"/>
    <s v="GNR_HP_ELEC_COP-500"/>
    <x v="0"/>
    <x v="11"/>
    <n v="0.5"/>
    <n v="182.5"/>
    <n v="657"/>
  </r>
  <r>
    <x v="0"/>
    <x v="0"/>
    <x v="1"/>
    <x v="0"/>
    <x v="0"/>
    <s v="DK1_Rural"/>
    <x v="3"/>
    <s v="GNR_HP_ELEC_COP-500"/>
    <x v="0"/>
    <x v="12"/>
    <n v="0.5"/>
    <n v="182.5"/>
    <n v="657"/>
  </r>
  <r>
    <x v="0"/>
    <x v="0"/>
    <x v="1"/>
    <x v="0"/>
    <x v="0"/>
    <s v="DK1_Rural"/>
    <x v="3"/>
    <s v="GNR_HP_ELEC_COP-500"/>
    <x v="0"/>
    <x v="13"/>
    <n v="0.5"/>
    <n v="182.5"/>
    <n v="657"/>
  </r>
  <r>
    <x v="0"/>
    <x v="0"/>
    <x v="1"/>
    <x v="0"/>
    <x v="0"/>
    <s v="DK1_Rural"/>
    <x v="3"/>
    <s v="GNR_HP_ELEC_COP-500"/>
    <x v="0"/>
    <x v="14"/>
    <n v="0.5"/>
    <n v="182.5"/>
    <n v="657"/>
  </r>
  <r>
    <x v="0"/>
    <x v="0"/>
    <x v="1"/>
    <x v="0"/>
    <x v="0"/>
    <s v="DK1_Rural"/>
    <x v="3"/>
    <s v="GNR_HP_ELEC_COP-500"/>
    <x v="0"/>
    <x v="15"/>
    <n v="0.5"/>
    <n v="182.5"/>
    <n v="657"/>
  </r>
  <r>
    <x v="0"/>
    <x v="0"/>
    <x v="1"/>
    <x v="0"/>
    <x v="0"/>
    <s v="DK1_Rural"/>
    <x v="3"/>
    <s v="GNR_HP_ELEC_COP-500"/>
    <x v="0"/>
    <x v="16"/>
    <n v="0.5"/>
    <n v="182.5"/>
    <n v="657"/>
  </r>
  <r>
    <x v="0"/>
    <x v="0"/>
    <x v="1"/>
    <x v="0"/>
    <x v="0"/>
    <s v="DK1_Rural"/>
    <x v="3"/>
    <s v="GNR_HP_ELEC_COP-500"/>
    <x v="0"/>
    <x v="17"/>
    <n v="0.5"/>
    <n v="182.5"/>
    <n v="657"/>
  </r>
  <r>
    <x v="0"/>
    <x v="0"/>
    <x v="1"/>
    <x v="0"/>
    <x v="0"/>
    <s v="DK1_Rural"/>
    <x v="3"/>
    <s v="GNR_HP_ELEC_COP-500"/>
    <x v="0"/>
    <x v="18"/>
    <n v="0.5"/>
    <n v="182.5"/>
    <n v="657"/>
  </r>
  <r>
    <x v="0"/>
    <x v="0"/>
    <x v="1"/>
    <x v="0"/>
    <x v="0"/>
    <s v="DK1_Rural"/>
    <x v="3"/>
    <s v="GNR_HP_ELEC_COP-500"/>
    <x v="0"/>
    <x v="19"/>
    <n v="0.5"/>
    <n v="182.5"/>
    <n v="657"/>
  </r>
  <r>
    <x v="0"/>
    <x v="0"/>
    <x v="1"/>
    <x v="0"/>
    <x v="0"/>
    <s v="DK1_Rural"/>
    <x v="3"/>
    <s v="GNR_HP_ELEC_COP-500"/>
    <x v="0"/>
    <x v="20"/>
    <n v="0.5"/>
    <n v="182.5"/>
    <n v="657"/>
  </r>
  <r>
    <x v="0"/>
    <x v="0"/>
    <x v="1"/>
    <x v="0"/>
    <x v="0"/>
    <s v="DK1_Rural"/>
    <x v="3"/>
    <s v="GNR_HP_ELEC_COP-530"/>
    <x v="0"/>
    <x v="7"/>
    <n v="1.35"/>
    <n v="492.75"/>
    <n v="1773.9"/>
  </r>
  <r>
    <x v="0"/>
    <x v="0"/>
    <x v="1"/>
    <x v="0"/>
    <x v="0"/>
    <s v="DK1_Rural"/>
    <x v="3"/>
    <s v="GNR_HP_ELEC_COP-530"/>
    <x v="0"/>
    <x v="8"/>
    <n v="1.35"/>
    <n v="492.75"/>
    <n v="1773.9"/>
  </r>
  <r>
    <x v="0"/>
    <x v="0"/>
    <x v="1"/>
    <x v="0"/>
    <x v="0"/>
    <s v="DK1_Rural"/>
    <x v="3"/>
    <s v="GNR_HP_ELEC_COP-530"/>
    <x v="0"/>
    <x v="9"/>
    <n v="1.35"/>
    <n v="492.75"/>
    <n v="1773.9"/>
  </r>
  <r>
    <x v="0"/>
    <x v="0"/>
    <x v="1"/>
    <x v="0"/>
    <x v="0"/>
    <s v="DK1_Rural"/>
    <x v="3"/>
    <s v="GNR_HP_ELEC_COP-530"/>
    <x v="0"/>
    <x v="10"/>
    <n v="1.35"/>
    <n v="492.75"/>
    <n v="1773.9"/>
  </r>
  <r>
    <x v="0"/>
    <x v="0"/>
    <x v="1"/>
    <x v="0"/>
    <x v="0"/>
    <s v="DK1_Rural"/>
    <x v="3"/>
    <s v="GNR_HP_ELEC_COP-530"/>
    <x v="0"/>
    <x v="11"/>
    <n v="1.35"/>
    <n v="492.75"/>
    <n v="1773.9"/>
  </r>
  <r>
    <x v="0"/>
    <x v="0"/>
    <x v="1"/>
    <x v="0"/>
    <x v="0"/>
    <s v="DK1_Rural"/>
    <x v="3"/>
    <s v="GNR_HP_ELEC_COP-530"/>
    <x v="0"/>
    <x v="12"/>
    <n v="1.35"/>
    <n v="492.75"/>
    <n v="1773.9"/>
  </r>
  <r>
    <x v="0"/>
    <x v="0"/>
    <x v="1"/>
    <x v="0"/>
    <x v="0"/>
    <s v="DK1_Rural"/>
    <x v="3"/>
    <s v="GNR_HP_ELEC_COP-530"/>
    <x v="0"/>
    <x v="13"/>
    <n v="1.35"/>
    <n v="492.75"/>
    <n v="1773.9"/>
  </r>
  <r>
    <x v="0"/>
    <x v="0"/>
    <x v="1"/>
    <x v="0"/>
    <x v="0"/>
    <s v="DK1_Rural"/>
    <x v="3"/>
    <s v="GNR_HP_ELEC_COP-530"/>
    <x v="0"/>
    <x v="14"/>
    <n v="1.35"/>
    <n v="492.75"/>
    <n v="1773.9"/>
  </r>
  <r>
    <x v="0"/>
    <x v="0"/>
    <x v="1"/>
    <x v="0"/>
    <x v="0"/>
    <s v="DK1_Rural"/>
    <x v="3"/>
    <s v="GNR_HP_ELEC_COP-530"/>
    <x v="0"/>
    <x v="15"/>
    <n v="1.35"/>
    <n v="492.75"/>
    <n v="1773.9"/>
  </r>
  <r>
    <x v="0"/>
    <x v="0"/>
    <x v="1"/>
    <x v="0"/>
    <x v="0"/>
    <s v="DK1_Rural"/>
    <x v="3"/>
    <s v="GNR_HP_ELEC_COP-530"/>
    <x v="0"/>
    <x v="16"/>
    <n v="1.35"/>
    <n v="492.75"/>
    <n v="1773.9"/>
  </r>
  <r>
    <x v="0"/>
    <x v="0"/>
    <x v="1"/>
    <x v="0"/>
    <x v="0"/>
    <s v="DK1_Rural"/>
    <x v="3"/>
    <s v="GNR_HP_ELEC_COP-530"/>
    <x v="0"/>
    <x v="17"/>
    <n v="1.35"/>
    <n v="492.75"/>
    <n v="1773.9"/>
  </r>
  <r>
    <x v="0"/>
    <x v="0"/>
    <x v="1"/>
    <x v="0"/>
    <x v="0"/>
    <s v="DK1_Rural"/>
    <x v="3"/>
    <s v="GNR_HP_ELEC_COP-530"/>
    <x v="0"/>
    <x v="18"/>
    <n v="1.35"/>
    <n v="492.75"/>
    <n v="1773.9"/>
  </r>
  <r>
    <x v="0"/>
    <x v="0"/>
    <x v="1"/>
    <x v="0"/>
    <x v="0"/>
    <s v="DK1_Rural"/>
    <x v="3"/>
    <s v="GNR_HP_ELEC_COP-530"/>
    <x v="0"/>
    <x v="19"/>
    <n v="1.35"/>
    <n v="492.75"/>
    <n v="1773.9"/>
  </r>
  <r>
    <x v="0"/>
    <x v="0"/>
    <x v="1"/>
    <x v="0"/>
    <x v="0"/>
    <s v="DK1_Rural"/>
    <x v="3"/>
    <s v="GNR_HP_ELEC_COP-530"/>
    <x v="0"/>
    <x v="20"/>
    <n v="1.35"/>
    <n v="492.75"/>
    <n v="1773.9"/>
  </r>
  <r>
    <x v="0"/>
    <x v="0"/>
    <x v="1"/>
    <x v="0"/>
    <x v="0"/>
    <s v="DK1_Rural"/>
    <x v="3"/>
    <s v="GNR_HP_ELEC_COP-600"/>
    <x v="0"/>
    <x v="7"/>
    <n v="0.3"/>
    <n v="109.5"/>
    <n v="394.2"/>
  </r>
  <r>
    <x v="0"/>
    <x v="0"/>
    <x v="1"/>
    <x v="0"/>
    <x v="0"/>
    <s v="DK1_Rural"/>
    <x v="3"/>
    <s v="GNR_HP_ELEC_COP-600"/>
    <x v="0"/>
    <x v="8"/>
    <n v="0.3"/>
    <n v="109.5"/>
    <n v="394.2"/>
  </r>
  <r>
    <x v="0"/>
    <x v="0"/>
    <x v="1"/>
    <x v="0"/>
    <x v="0"/>
    <s v="DK1_Rural"/>
    <x v="3"/>
    <s v="GNR_HP_ELEC_COP-600"/>
    <x v="0"/>
    <x v="9"/>
    <n v="0.3"/>
    <n v="109.5"/>
    <n v="394.2"/>
  </r>
  <r>
    <x v="0"/>
    <x v="0"/>
    <x v="1"/>
    <x v="0"/>
    <x v="0"/>
    <s v="DK1_Rural"/>
    <x v="3"/>
    <s v="GNR_HP_ELEC_COP-600"/>
    <x v="0"/>
    <x v="10"/>
    <n v="0.3"/>
    <n v="109.5"/>
    <n v="394.2"/>
  </r>
  <r>
    <x v="0"/>
    <x v="0"/>
    <x v="1"/>
    <x v="0"/>
    <x v="0"/>
    <s v="DK1_Rural"/>
    <x v="3"/>
    <s v="GNR_HP_ELEC_COP-600"/>
    <x v="0"/>
    <x v="11"/>
    <n v="0.3"/>
    <n v="109.5"/>
    <n v="394.2"/>
  </r>
  <r>
    <x v="0"/>
    <x v="0"/>
    <x v="1"/>
    <x v="0"/>
    <x v="0"/>
    <s v="DK1_Rural"/>
    <x v="3"/>
    <s v="GNR_HP_ELEC_COP-600"/>
    <x v="0"/>
    <x v="12"/>
    <n v="0.3"/>
    <n v="109.5"/>
    <n v="394.2"/>
  </r>
  <r>
    <x v="0"/>
    <x v="0"/>
    <x v="1"/>
    <x v="0"/>
    <x v="0"/>
    <s v="DK1_Rural"/>
    <x v="3"/>
    <s v="GNR_HP_ELEC_COP-600"/>
    <x v="0"/>
    <x v="13"/>
    <n v="0.3"/>
    <n v="109.5"/>
    <n v="394.2"/>
  </r>
  <r>
    <x v="0"/>
    <x v="0"/>
    <x v="1"/>
    <x v="0"/>
    <x v="0"/>
    <s v="DK1_Rural"/>
    <x v="3"/>
    <s v="GNR_HP_ELEC_COP-600"/>
    <x v="0"/>
    <x v="14"/>
    <n v="0.3"/>
    <n v="109.5"/>
    <n v="394.2"/>
  </r>
  <r>
    <x v="0"/>
    <x v="0"/>
    <x v="1"/>
    <x v="0"/>
    <x v="0"/>
    <s v="DK1_Rural"/>
    <x v="3"/>
    <s v="GNR_HP_ELEC_COP-600"/>
    <x v="0"/>
    <x v="15"/>
    <n v="0.3"/>
    <n v="109.5"/>
    <n v="394.2"/>
  </r>
  <r>
    <x v="0"/>
    <x v="0"/>
    <x v="1"/>
    <x v="0"/>
    <x v="0"/>
    <s v="DK1_Rural"/>
    <x v="3"/>
    <s v="GNR_HP_ELEC_COP-600"/>
    <x v="0"/>
    <x v="16"/>
    <n v="0.3"/>
    <n v="109.5"/>
    <n v="394.2"/>
  </r>
  <r>
    <x v="0"/>
    <x v="0"/>
    <x v="1"/>
    <x v="0"/>
    <x v="0"/>
    <s v="DK1_Rural"/>
    <x v="3"/>
    <s v="GNR_HP_ELEC_COP-600"/>
    <x v="0"/>
    <x v="17"/>
    <n v="0.3"/>
    <n v="109.5"/>
    <n v="394.2"/>
  </r>
  <r>
    <x v="0"/>
    <x v="0"/>
    <x v="1"/>
    <x v="0"/>
    <x v="0"/>
    <s v="DK1_Rural"/>
    <x v="3"/>
    <s v="GNR_HP_ELEC_COP-600"/>
    <x v="0"/>
    <x v="18"/>
    <n v="0.3"/>
    <n v="109.5"/>
    <n v="394.2"/>
  </r>
  <r>
    <x v="0"/>
    <x v="0"/>
    <x v="1"/>
    <x v="0"/>
    <x v="0"/>
    <s v="DK1_Rural"/>
    <x v="3"/>
    <s v="GNR_HP_ELEC_COP-600"/>
    <x v="0"/>
    <x v="19"/>
    <n v="0.3"/>
    <n v="109.5"/>
    <n v="394.2"/>
  </r>
  <r>
    <x v="0"/>
    <x v="0"/>
    <x v="1"/>
    <x v="0"/>
    <x v="0"/>
    <s v="DK1_Rural"/>
    <x v="3"/>
    <s v="GNR_HP_ELEC_COP-600"/>
    <x v="0"/>
    <x v="20"/>
    <n v="0.3"/>
    <n v="109.5"/>
    <n v="394.2"/>
  </r>
  <r>
    <x v="0"/>
    <x v="0"/>
    <x v="1"/>
    <x v="0"/>
    <x v="0"/>
    <s v="DK1_Rural"/>
    <x v="2"/>
    <s v="GNR_EH_HEAT"/>
    <x v="0"/>
    <x v="7"/>
    <n v="24.01"/>
    <n v="8763.65"/>
    <n v="31549.14"/>
  </r>
  <r>
    <x v="0"/>
    <x v="0"/>
    <x v="1"/>
    <x v="0"/>
    <x v="0"/>
    <s v="DK1_Rural"/>
    <x v="2"/>
    <s v="GNR_EH_HEAT"/>
    <x v="0"/>
    <x v="8"/>
    <n v="24.01"/>
    <n v="8763.65"/>
    <n v="31549.14"/>
  </r>
  <r>
    <x v="0"/>
    <x v="0"/>
    <x v="1"/>
    <x v="0"/>
    <x v="0"/>
    <s v="DK1_Rural"/>
    <x v="2"/>
    <s v="GNR_EH_HEAT"/>
    <x v="0"/>
    <x v="9"/>
    <n v="24.01"/>
    <n v="8763.65"/>
    <n v="31549.14"/>
  </r>
  <r>
    <x v="0"/>
    <x v="0"/>
    <x v="1"/>
    <x v="0"/>
    <x v="0"/>
    <s v="DK1_Rural"/>
    <x v="2"/>
    <s v="GNR_EH_HEAT"/>
    <x v="0"/>
    <x v="10"/>
    <n v="24.01"/>
    <n v="8763.65"/>
    <n v="31549.14"/>
  </r>
  <r>
    <x v="0"/>
    <x v="0"/>
    <x v="1"/>
    <x v="0"/>
    <x v="0"/>
    <s v="DK1_Rural"/>
    <x v="2"/>
    <s v="GNR_EH_HEAT"/>
    <x v="0"/>
    <x v="11"/>
    <n v="24.01"/>
    <n v="8763.65"/>
    <n v="31549.14"/>
  </r>
  <r>
    <x v="0"/>
    <x v="0"/>
    <x v="1"/>
    <x v="0"/>
    <x v="0"/>
    <s v="DK1_Rural"/>
    <x v="2"/>
    <s v="GNR_EH_HEAT"/>
    <x v="0"/>
    <x v="12"/>
    <n v="24.01"/>
    <n v="8763.65"/>
    <n v="31549.14"/>
  </r>
  <r>
    <x v="0"/>
    <x v="0"/>
    <x v="1"/>
    <x v="0"/>
    <x v="0"/>
    <s v="DK1_Rural"/>
    <x v="2"/>
    <s v="GNR_EH_HEAT"/>
    <x v="0"/>
    <x v="13"/>
    <n v="24.01"/>
    <n v="8763.65"/>
    <n v="31549.14"/>
  </r>
  <r>
    <x v="0"/>
    <x v="0"/>
    <x v="1"/>
    <x v="0"/>
    <x v="0"/>
    <s v="DK1_Rural"/>
    <x v="2"/>
    <s v="GNR_EH_HEAT"/>
    <x v="0"/>
    <x v="14"/>
    <n v="24.01"/>
    <n v="8763.65"/>
    <n v="31549.14"/>
  </r>
  <r>
    <x v="0"/>
    <x v="0"/>
    <x v="1"/>
    <x v="0"/>
    <x v="0"/>
    <s v="DK1_Rural"/>
    <x v="2"/>
    <s v="GNR_EH_HEAT"/>
    <x v="0"/>
    <x v="15"/>
    <n v="24.01"/>
    <n v="8763.65"/>
    <n v="31549.14"/>
  </r>
  <r>
    <x v="0"/>
    <x v="0"/>
    <x v="1"/>
    <x v="0"/>
    <x v="0"/>
    <s v="DK1_Rural"/>
    <x v="2"/>
    <s v="GNR_EH_HEAT"/>
    <x v="0"/>
    <x v="16"/>
    <n v="24.01"/>
    <n v="8763.65"/>
    <n v="31549.14"/>
  </r>
  <r>
    <x v="0"/>
    <x v="0"/>
    <x v="1"/>
    <x v="0"/>
    <x v="0"/>
    <s v="DK1_Rural"/>
    <x v="2"/>
    <s v="GNR_EH_HEAT"/>
    <x v="0"/>
    <x v="17"/>
    <n v="24.01"/>
    <n v="8763.65"/>
    <n v="31549.14"/>
  </r>
  <r>
    <x v="0"/>
    <x v="0"/>
    <x v="1"/>
    <x v="0"/>
    <x v="0"/>
    <s v="DK1_Rural"/>
    <x v="2"/>
    <s v="GNR_EH_HEAT"/>
    <x v="0"/>
    <x v="18"/>
    <n v="24.01"/>
    <n v="8763.65"/>
    <n v="31549.14"/>
  </r>
  <r>
    <x v="0"/>
    <x v="0"/>
    <x v="1"/>
    <x v="0"/>
    <x v="0"/>
    <s v="DK1_Rural"/>
    <x v="2"/>
    <s v="GNR_EH_HEAT"/>
    <x v="0"/>
    <x v="19"/>
    <n v="24.01"/>
    <n v="8763.65"/>
    <n v="31549.14"/>
  </r>
  <r>
    <x v="0"/>
    <x v="0"/>
    <x v="1"/>
    <x v="0"/>
    <x v="0"/>
    <s v="DK1_Rural"/>
    <x v="2"/>
    <s v="GNR_EH_HEAT"/>
    <x v="0"/>
    <x v="20"/>
    <n v="24.01"/>
    <n v="8763.65"/>
    <n v="31549.14"/>
  </r>
  <r>
    <x v="0"/>
    <x v="0"/>
    <x v="1"/>
    <x v="0"/>
    <x v="0"/>
    <s v="DK1_Rural"/>
    <x v="2"/>
    <s v="GNR_EH_HEAT"/>
    <x v="0"/>
    <x v="21"/>
    <n v="24.01"/>
    <n v="8763.65"/>
    <n v="31549.14"/>
  </r>
  <r>
    <x v="0"/>
    <x v="0"/>
    <x v="1"/>
    <x v="0"/>
    <x v="0"/>
    <s v="DK1_Rural"/>
    <x v="2"/>
    <s v="GNR_EH_HEAT"/>
    <x v="0"/>
    <x v="22"/>
    <n v="24.01"/>
    <n v="8763.65"/>
    <n v="31549.14"/>
  </r>
  <r>
    <x v="0"/>
    <x v="0"/>
    <x v="1"/>
    <x v="0"/>
    <x v="0"/>
    <s v="DK1_Rural"/>
    <x v="2"/>
    <s v="GNR_EH_HEAT"/>
    <x v="0"/>
    <x v="23"/>
    <n v="9.6719564610503994"/>
    <n v="3530.2641082834002"/>
    <n v="12708.950789820199"/>
  </r>
  <r>
    <x v="0"/>
    <x v="0"/>
    <x v="1"/>
    <x v="0"/>
    <x v="0"/>
    <s v="DK1_Rural"/>
    <x v="6"/>
    <s v="GNR_BO_WOODCHI_E-120"/>
    <x v="0"/>
    <x v="17"/>
    <n v="8.0833784488573901"/>
    <n v="2950.4331338329498"/>
    <n v="10621.5592817986"/>
  </r>
  <r>
    <x v="0"/>
    <x v="0"/>
    <x v="1"/>
    <x v="0"/>
    <x v="0"/>
    <s v="DK1_Rural"/>
    <x v="6"/>
    <s v="GNR_BO_WOODCHI_E-120"/>
    <x v="0"/>
    <x v="18"/>
    <n v="9.5530836213769099"/>
    <n v="3486.8755218025699"/>
    <n v="12552.7518784893"/>
  </r>
  <r>
    <x v="0"/>
    <x v="0"/>
    <x v="1"/>
    <x v="0"/>
    <x v="0"/>
    <s v="DK1_Rural"/>
    <x v="6"/>
    <s v="GNR_BO_WOODCHI_E-120"/>
    <x v="0"/>
    <x v="19"/>
    <n v="8.0833784488573901"/>
    <n v="2950.4331338329498"/>
    <n v="10621.5592817986"/>
  </r>
  <r>
    <x v="0"/>
    <x v="0"/>
    <x v="1"/>
    <x v="0"/>
    <x v="0"/>
    <s v="DK1_Rural"/>
    <x v="7"/>
    <s v="GNR_BO_WOODWST_E-100"/>
    <x v="0"/>
    <x v="7"/>
    <n v="21.75"/>
    <n v="7938.75"/>
    <n v="28579.5"/>
  </r>
  <r>
    <x v="0"/>
    <x v="0"/>
    <x v="1"/>
    <x v="0"/>
    <x v="0"/>
    <s v="DK1_Rural"/>
    <x v="7"/>
    <s v="GNR_BO_WOODWST_E-100"/>
    <x v="0"/>
    <x v="8"/>
    <n v="21.75"/>
    <n v="7938.75"/>
    <n v="28579.5"/>
  </r>
  <r>
    <x v="0"/>
    <x v="0"/>
    <x v="1"/>
    <x v="0"/>
    <x v="0"/>
    <s v="DK1_Rural"/>
    <x v="7"/>
    <s v="GNR_BO_WOODWST_E-100"/>
    <x v="0"/>
    <x v="9"/>
    <n v="21.75"/>
    <n v="7938.75"/>
    <n v="28579.5"/>
  </r>
  <r>
    <x v="0"/>
    <x v="0"/>
    <x v="1"/>
    <x v="0"/>
    <x v="0"/>
    <s v="DK1_Rural"/>
    <x v="7"/>
    <s v="GNR_BO_WOODWST_E-100"/>
    <x v="0"/>
    <x v="10"/>
    <n v="21.75"/>
    <n v="7938.75"/>
    <n v="28579.5"/>
  </r>
  <r>
    <x v="0"/>
    <x v="0"/>
    <x v="1"/>
    <x v="0"/>
    <x v="0"/>
    <s v="DK1_Rural"/>
    <x v="7"/>
    <s v="GNR_BO_WOODWST_E-100"/>
    <x v="0"/>
    <x v="11"/>
    <n v="21.75"/>
    <n v="7938.75"/>
    <n v="28579.5"/>
  </r>
  <r>
    <x v="0"/>
    <x v="0"/>
    <x v="1"/>
    <x v="0"/>
    <x v="0"/>
    <s v="DK1_Rural"/>
    <x v="7"/>
    <s v="GNR_BO_WOODWST_E-100"/>
    <x v="0"/>
    <x v="12"/>
    <n v="21.75"/>
    <n v="7938.75"/>
    <n v="28579.5"/>
  </r>
  <r>
    <x v="0"/>
    <x v="0"/>
    <x v="1"/>
    <x v="0"/>
    <x v="0"/>
    <s v="DK1_Rural"/>
    <x v="7"/>
    <s v="GNR_BO_WOODWST_E-100"/>
    <x v="0"/>
    <x v="13"/>
    <n v="21.75"/>
    <n v="7938.75"/>
    <n v="28579.5"/>
  </r>
  <r>
    <x v="0"/>
    <x v="0"/>
    <x v="1"/>
    <x v="0"/>
    <x v="0"/>
    <s v="DK1_Rural"/>
    <x v="7"/>
    <s v="GNR_BO_WOODWST_E-100"/>
    <x v="0"/>
    <x v="14"/>
    <n v="21.75"/>
    <n v="7938.75"/>
    <n v="28579.5"/>
  </r>
  <r>
    <x v="0"/>
    <x v="0"/>
    <x v="1"/>
    <x v="0"/>
    <x v="0"/>
    <s v="DK1_Rural"/>
    <x v="7"/>
    <s v="GNR_BO_WOODWST_E-100"/>
    <x v="0"/>
    <x v="15"/>
    <n v="21.75"/>
    <n v="7938.75"/>
    <n v="28579.5"/>
  </r>
  <r>
    <x v="0"/>
    <x v="0"/>
    <x v="1"/>
    <x v="0"/>
    <x v="0"/>
    <s v="DK1_Rural"/>
    <x v="7"/>
    <s v="GNR_BO_WOODWST_E-100"/>
    <x v="0"/>
    <x v="16"/>
    <n v="21.75"/>
    <n v="7938.75"/>
    <n v="28579.5"/>
  </r>
  <r>
    <x v="0"/>
    <x v="0"/>
    <x v="1"/>
    <x v="0"/>
    <x v="0"/>
    <s v="DK1_Rural"/>
    <x v="7"/>
    <s v="GNR_BO_WOODWST_E-100"/>
    <x v="0"/>
    <x v="17"/>
    <n v="21.75"/>
    <n v="7938.75"/>
    <n v="28579.5"/>
  </r>
  <r>
    <x v="0"/>
    <x v="0"/>
    <x v="1"/>
    <x v="0"/>
    <x v="0"/>
    <s v="DK1_Rural"/>
    <x v="7"/>
    <s v="GNR_BO_WOODWST_E-100"/>
    <x v="0"/>
    <x v="18"/>
    <n v="21.75"/>
    <n v="7938.75"/>
    <n v="28579.5"/>
  </r>
  <r>
    <x v="0"/>
    <x v="0"/>
    <x v="1"/>
    <x v="0"/>
    <x v="0"/>
    <s v="DK1_Rural"/>
    <x v="7"/>
    <s v="GNR_BO_WOODWST_E-100"/>
    <x v="0"/>
    <x v="19"/>
    <n v="21.75"/>
    <n v="7938.75"/>
    <n v="28579.5"/>
  </r>
  <r>
    <x v="0"/>
    <x v="0"/>
    <x v="1"/>
    <x v="0"/>
    <x v="0"/>
    <s v="DK1_Rural"/>
    <x v="7"/>
    <s v="GNR_BO_WOODWST_E-100"/>
    <x v="0"/>
    <x v="20"/>
    <n v="21.75"/>
    <n v="7938.75"/>
    <n v="28579.5"/>
  </r>
  <r>
    <x v="0"/>
    <x v="0"/>
    <x v="1"/>
    <x v="0"/>
    <x v="0"/>
    <s v="DK1_Rural"/>
    <x v="7"/>
    <s v="GNR_BO_WOODWST_E-113"/>
    <x v="0"/>
    <x v="7"/>
    <n v="4"/>
    <n v="1460"/>
    <n v="5256"/>
  </r>
  <r>
    <x v="0"/>
    <x v="0"/>
    <x v="1"/>
    <x v="0"/>
    <x v="0"/>
    <s v="DK1_Rural"/>
    <x v="7"/>
    <s v="GNR_BO_WOODWST_E-113"/>
    <x v="0"/>
    <x v="8"/>
    <n v="4"/>
    <n v="1460"/>
    <n v="5256"/>
  </r>
  <r>
    <x v="0"/>
    <x v="0"/>
    <x v="1"/>
    <x v="0"/>
    <x v="0"/>
    <s v="DK1_Rural"/>
    <x v="7"/>
    <s v="GNR_BO_WOODWST_E-113"/>
    <x v="0"/>
    <x v="9"/>
    <n v="4"/>
    <n v="1460"/>
    <n v="5256"/>
  </r>
  <r>
    <x v="0"/>
    <x v="0"/>
    <x v="1"/>
    <x v="0"/>
    <x v="0"/>
    <s v="DK1_Rural"/>
    <x v="7"/>
    <s v="GNR_BO_WOODWST_E-113"/>
    <x v="0"/>
    <x v="10"/>
    <n v="4"/>
    <n v="1460"/>
    <n v="5256"/>
  </r>
  <r>
    <x v="0"/>
    <x v="0"/>
    <x v="1"/>
    <x v="0"/>
    <x v="0"/>
    <s v="DK1_Rural"/>
    <x v="7"/>
    <s v="GNR_BO_WOODWST_E-113"/>
    <x v="0"/>
    <x v="11"/>
    <n v="4"/>
    <n v="1460"/>
    <n v="5256"/>
  </r>
  <r>
    <x v="0"/>
    <x v="0"/>
    <x v="1"/>
    <x v="0"/>
    <x v="0"/>
    <s v="DK1_Rural"/>
    <x v="7"/>
    <s v="GNR_BO_WOODWST_E-113"/>
    <x v="0"/>
    <x v="12"/>
    <n v="4"/>
    <n v="1460"/>
    <n v="5256"/>
  </r>
  <r>
    <x v="0"/>
    <x v="0"/>
    <x v="1"/>
    <x v="0"/>
    <x v="0"/>
    <s v="DK1_Rural"/>
    <x v="7"/>
    <s v="GNR_BO_WOODWST_E-113"/>
    <x v="0"/>
    <x v="13"/>
    <n v="4"/>
    <n v="1460"/>
    <n v="5256"/>
  </r>
  <r>
    <x v="0"/>
    <x v="0"/>
    <x v="1"/>
    <x v="0"/>
    <x v="0"/>
    <s v="DK1_Rural"/>
    <x v="7"/>
    <s v="GNR_BO_WOODWST_E-113"/>
    <x v="0"/>
    <x v="14"/>
    <n v="4"/>
    <n v="1460"/>
    <n v="5256"/>
  </r>
  <r>
    <x v="0"/>
    <x v="0"/>
    <x v="1"/>
    <x v="0"/>
    <x v="0"/>
    <s v="DK1_Rural"/>
    <x v="7"/>
    <s v="GNR_BO_WOODWST_E-113"/>
    <x v="0"/>
    <x v="15"/>
    <n v="4"/>
    <n v="1460"/>
    <n v="5256"/>
  </r>
  <r>
    <x v="0"/>
    <x v="0"/>
    <x v="1"/>
    <x v="0"/>
    <x v="0"/>
    <s v="DK1_Rural"/>
    <x v="7"/>
    <s v="GNR_BO_WOODWST_E-113"/>
    <x v="0"/>
    <x v="16"/>
    <n v="4"/>
    <n v="1460"/>
    <n v="5256"/>
  </r>
  <r>
    <x v="0"/>
    <x v="0"/>
    <x v="1"/>
    <x v="0"/>
    <x v="0"/>
    <s v="DK1_Rural"/>
    <x v="7"/>
    <s v="GNR_BO_WOODWST_E-113"/>
    <x v="0"/>
    <x v="17"/>
    <n v="4"/>
    <n v="1460"/>
    <n v="5256"/>
  </r>
  <r>
    <x v="0"/>
    <x v="0"/>
    <x v="1"/>
    <x v="0"/>
    <x v="0"/>
    <s v="DK1_Rural"/>
    <x v="7"/>
    <s v="GNR_BO_WOODWST_E-113"/>
    <x v="0"/>
    <x v="18"/>
    <n v="4"/>
    <n v="1460"/>
    <n v="5256"/>
  </r>
  <r>
    <x v="0"/>
    <x v="0"/>
    <x v="1"/>
    <x v="0"/>
    <x v="0"/>
    <s v="DK1_Rural"/>
    <x v="7"/>
    <s v="GNR_BO_WOODWST_E-113"/>
    <x v="0"/>
    <x v="19"/>
    <n v="4"/>
    <n v="1460"/>
    <n v="5256"/>
  </r>
  <r>
    <x v="0"/>
    <x v="0"/>
    <x v="1"/>
    <x v="0"/>
    <x v="0"/>
    <s v="DK1_Rural"/>
    <x v="7"/>
    <s v="GNR_BO_WOODWST_E-113"/>
    <x v="0"/>
    <x v="20"/>
    <n v="4"/>
    <n v="1460"/>
    <n v="5256"/>
  </r>
  <r>
    <x v="0"/>
    <x v="0"/>
    <x v="1"/>
    <x v="0"/>
    <x v="0"/>
    <s v="DK1_Rural"/>
    <x v="7"/>
    <s v="GNR_BO_WOODWST_E-86"/>
    <x v="0"/>
    <x v="8"/>
    <n v="3"/>
    <n v="1095"/>
    <n v="3942"/>
  </r>
  <r>
    <x v="0"/>
    <x v="0"/>
    <x v="1"/>
    <x v="0"/>
    <x v="0"/>
    <s v="DK1_Rural"/>
    <x v="7"/>
    <s v="GNR_BO_WOODWST_E-86"/>
    <x v="0"/>
    <x v="9"/>
    <n v="3"/>
    <n v="1095"/>
    <n v="3942"/>
  </r>
  <r>
    <x v="0"/>
    <x v="0"/>
    <x v="1"/>
    <x v="0"/>
    <x v="0"/>
    <s v="DK1_Rural"/>
    <x v="7"/>
    <s v="GNR_BO_WOODWST_E-86"/>
    <x v="0"/>
    <x v="10"/>
    <n v="3"/>
    <n v="1095"/>
    <n v="3942"/>
  </r>
  <r>
    <x v="0"/>
    <x v="0"/>
    <x v="1"/>
    <x v="0"/>
    <x v="0"/>
    <s v="DK1_Rural"/>
    <x v="7"/>
    <s v="GNR_BO_WOODWST_E-86"/>
    <x v="0"/>
    <x v="11"/>
    <n v="3"/>
    <n v="1095"/>
    <n v="3942"/>
  </r>
  <r>
    <x v="0"/>
    <x v="0"/>
    <x v="1"/>
    <x v="0"/>
    <x v="0"/>
    <s v="DK1_Rural"/>
    <x v="7"/>
    <s v="GNR_BO_WOODWST_E-86"/>
    <x v="0"/>
    <x v="12"/>
    <n v="3"/>
    <n v="1095"/>
    <n v="3942"/>
  </r>
  <r>
    <x v="0"/>
    <x v="0"/>
    <x v="1"/>
    <x v="0"/>
    <x v="0"/>
    <s v="DK1_Rural"/>
    <x v="7"/>
    <s v="GNR_BO_WOODWST_E-86"/>
    <x v="0"/>
    <x v="13"/>
    <n v="1.3884741374024501"/>
    <n v="506.79306015189599"/>
    <n v="1824.4550165468199"/>
  </r>
  <r>
    <x v="0"/>
    <x v="0"/>
    <x v="1"/>
    <x v="0"/>
    <x v="0"/>
    <s v="DK1_Rural"/>
    <x v="7"/>
    <s v="GNR_BO_WOODWST_E-86"/>
    <x v="0"/>
    <x v="14"/>
    <n v="3"/>
    <n v="1095"/>
    <n v="3942"/>
  </r>
  <r>
    <x v="0"/>
    <x v="0"/>
    <x v="1"/>
    <x v="0"/>
    <x v="0"/>
    <s v="DK1_Rural"/>
    <x v="7"/>
    <s v="GNR_BO_WOODWST_E-86"/>
    <x v="0"/>
    <x v="15"/>
    <n v="3"/>
    <n v="1095"/>
    <n v="3942"/>
  </r>
  <r>
    <x v="0"/>
    <x v="0"/>
    <x v="1"/>
    <x v="0"/>
    <x v="0"/>
    <s v="DK1_Rural"/>
    <x v="7"/>
    <s v="GNR_BO_WOODWST_E-86"/>
    <x v="0"/>
    <x v="16"/>
    <n v="3"/>
    <n v="1095"/>
    <n v="3942"/>
  </r>
  <r>
    <x v="0"/>
    <x v="0"/>
    <x v="1"/>
    <x v="0"/>
    <x v="0"/>
    <s v="DK1_Rural"/>
    <x v="7"/>
    <s v="GNR_BO_WOODWST_E-86"/>
    <x v="0"/>
    <x v="17"/>
    <n v="3"/>
    <n v="1095"/>
    <n v="3942"/>
  </r>
  <r>
    <x v="0"/>
    <x v="0"/>
    <x v="1"/>
    <x v="0"/>
    <x v="0"/>
    <s v="DK1_Rural"/>
    <x v="7"/>
    <s v="GNR_BO_WOODWST_E-86"/>
    <x v="0"/>
    <x v="18"/>
    <n v="3"/>
    <n v="1095"/>
    <n v="3942"/>
  </r>
  <r>
    <x v="0"/>
    <x v="0"/>
    <x v="1"/>
    <x v="0"/>
    <x v="0"/>
    <s v="DK1_Rural"/>
    <x v="7"/>
    <s v="GNR_BO_WOODWST_E-86"/>
    <x v="0"/>
    <x v="19"/>
    <n v="3"/>
    <n v="1095"/>
    <n v="3942"/>
  </r>
  <r>
    <x v="0"/>
    <x v="0"/>
    <x v="1"/>
    <x v="0"/>
    <x v="0"/>
    <s v="DK1_Rural"/>
    <x v="7"/>
    <s v="GNR_BO_WOODWST_E-86"/>
    <x v="0"/>
    <x v="20"/>
    <n v="3"/>
    <n v="1095"/>
    <n v="3942"/>
  </r>
  <r>
    <x v="0"/>
    <x v="0"/>
    <x v="1"/>
    <x v="0"/>
    <x v="0"/>
    <s v="DK1_Rural"/>
    <x v="7"/>
    <s v="GNR_BO_WOODWST_E-89"/>
    <x v="0"/>
    <x v="8"/>
    <n v="2"/>
    <n v="730"/>
    <n v="2628"/>
  </r>
  <r>
    <x v="0"/>
    <x v="0"/>
    <x v="1"/>
    <x v="0"/>
    <x v="0"/>
    <s v="DK1_Rural"/>
    <x v="7"/>
    <s v="GNR_BO_WOODWST_E-89"/>
    <x v="0"/>
    <x v="9"/>
    <n v="2"/>
    <n v="730"/>
    <n v="2628"/>
  </r>
  <r>
    <x v="0"/>
    <x v="0"/>
    <x v="1"/>
    <x v="0"/>
    <x v="0"/>
    <s v="DK1_Rural"/>
    <x v="7"/>
    <s v="GNR_BO_WOODWST_E-89"/>
    <x v="0"/>
    <x v="10"/>
    <n v="2"/>
    <n v="730"/>
    <n v="2628"/>
  </r>
  <r>
    <x v="0"/>
    <x v="0"/>
    <x v="1"/>
    <x v="0"/>
    <x v="0"/>
    <s v="DK1_Rural"/>
    <x v="7"/>
    <s v="GNR_BO_WOODWST_E-89"/>
    <x v="0"/>
    <x v="11"/>
    <n v="2"/>
    <n v="730"/>
    <n v="2628"/>
  </r>
  <r>
    <x v="0"/>
    <x v="0"/>
    <x v="1"/>
    <x v="0"/>
    <x v="0"/>
    <s v="DK1_Rural"/>
    <x v="7"/>
    <s v="GNR_BO_WOODWST_E-89"/>
    <x v="0"/>
    <x v="12"/>
    <n v="2"/>
    <n v="730"/>
    <n v="2628"/>
  </r>
  <r>
    <x v="0"/>
    <x v="0"/>
    <x v="1"/>
    <x v="0"/>
    <x v="0"/>
    <s v="DK1_Rural"/>
    <x v="7"/>
    <s v="GNR_BO_WOODWST_E-89"/>
    <x v="0"/>
    <x v="13"/>
    <n v="2"/>
    <n v="730"/>
    <n v="2628"/>
  </r>
  <r>
    <x v="0"/>
    <x v="0"/>
    <x v="1"/>
    <x v="0"/>
    <x v="0"/>
    <s v="DK1_Rural"/>
    <x v="7"/>
    <s v="GNR_BO_WOODWST_E-89"/>
    <x v="0"/>
    <x v="14"/>
    <n v="2"/>
    <n v="730"/>
    <n v="2628"/>
  </r>
  <r>
    <x v="0"/>
    <x v="0"/>
    <x v="1"/>
    <x v="0"/>
    <x v="0"/>
    <s v="DK1_Rural"/>
    <x v="7"/>
    <s v="GNR_BO_WOODWST_E-89"/>
    <x v="0"/>
    <x v="15"/>
    <n v="2"/>
    <n v="730"/>
    <n v="2628"/>
  </r>
  <r>
    <x v="0"/>
    <x v="0"/>
    <x v="1"/>
    <x v="0"/>
    <x v="0"/>
    <s v="DK1_Rural"/>
    <x v="7"/>
    <s v="GNR_BO_WOODWST_E-89"/>
    <x v="0"/>
    <x v="16"/>
    <n v="2"/>
    <n v="730"/>
    <n v="2628"/>
  </r>
  <r>
    <x v="0"/>
    <x v="0"/>
    <x v="1"/>
    <x v="0"/>
    <x v="0"/>
    <s v="DK1_Rural"/>
    <x v="7"/>
    <s v="GNR_BO_WOODWST_E-89"/>
    <x v="0"/>
    <x v="17"/>
    <n v="2"/>
    <n v="730"/>
    <n v="2628"/>
  </r>
  <r>
    <x v="0"/>
    <x v="0"/>
    <x v="1"/>
    <x v="0"/>
    <x v="0"/>
    <s v="DK1_Rural"/>
    <x v="7"/>
    <s v="GNR_BO_WOODWST_E-89"/>
    <x v="0"/>
    <x v="18"/>
    <n v="2"/>
    <n v="730"/>
    <n v="2628"/>
  </r>
  <r>
    <x v="0"/>
    <x v="0"/>
    <x v="1"/>
    <x v="0"/>
    <x v="0"/>
    <s v="DK1_Rural"/>
    <x v="7"/>
    <s v="GNR_BO_WOODWST_E-89"/>
    <x v="0"/>
    <x v="19"/>
    <n v="2"/>
    <n v="730"/>
    <n v="2628"/>
  </r>
  <r>
    <x v="0"/>
    <x v="0"/>
    <x v="1"/>
    <x v="0"/>
    <x v="0"/>
    <s v="DK1_Rural"/>
    <x v="7"/>
    <s v="GNR_BO_WOODWST_E-89"/>
    <x v="0"/>
    <x v="20"/>
    <n v="2"/>
    <n v="730"/>
    <n v="2628"/>
  </r>
  <r>
    <x v="0"/>
    <x v="0"/>
    <x v="1"/>
    <x v="0"/>
    <x v="0"/>
    <s v="DK1_Rural"/>
    <x v="7"/>
    <s v="GNR_BO_WOODWST_E-90"/>
    <x v="0"/>
    <x v="8"/>
    <n v="1.8"/>
    <n v="657"/>
    <n v="2365.1999999999998"/>
  </r>
  <r>
    <x v="0"/>
    <x v="0"/>
    <x v="1"/>
    <x v="0"/>
    <x v="0"/>
    <s v="DK1_Rural"/>
    <x v="7"/>
    <s v="GNR_BO_WOODWST_E-90"/>
    <x v="0"/>
    <x v="9"/>
    <n v="1.8"/>
    <n v="657"/>
    <n v="2365.1999999999998"/>
  </r>
  <r>
    <x v="0"/>
    <x v="0"/>
    <x v="1"/>
    <x v="0"/>
    <x v="0"/>
    <s v="DK1_Rural"/>
    <x v="7"/>
    <s v="GNR_BO_WOODWST_E-90"/>
    <x v="0"/>
    <x v="10"/>
    <n v="1.8"/>
    <n v="657"/>
    <n v="2365.1999999999998"/>
  </r>
  <r>
    <x v="0"/>
    <x v="0"/>
    <x v="1"/>
    <x v="0"/>
    <x v="0"/>
    <s v="DK1_Rural"/>
    <x v="7"/>
    <s v="GNR_BO_WOODWST_E-90"/>
    <x v="0"/>
    <x v="11"/>
    <n v="1.8"/>
    <n v="657"/>
    <n v="2365.1999999999998"/>
  </r>
  <r>
    <x v="0"/>
    <x v="0"/>
    <x v="1"/>
    <x v="0"/>
    <x v="0"/>
    <s v="DK1_Rural"/>
    <x v="7"/>
    <s v="GNR_BO_WOODWST_E-90"/>
    <x v="0"/>
    <x v="12"/>
    <n v="1.8"/>
    <n v="657"/>
    <n v="2365.1999999999998"/>
  </r>
  <r>
    <x v="0"/>
    <x v="0"/>
    <x v="1"/>
    <x v="0"/>
    <x v="0"/>
    <s v="DK1_Rural"/>
    <x v="7"/>
    <s v="GNR_BO_WOODWST_E-90"/>
    <x v="0"/>
    <x v="13"/>
    <n v="1.8"/>
    <n v="657"/>
    <n v="2365.1999999999998"/>
  </r>
  <r>
    <x v="0"/>
    <x v="0"/>
    <x v="1"/>
    <x v="0"/>
    <x v="0"/>
    <s v="DK1_Rural"/>
    <x v="7"/>
    <s v="GNR_BO_WOODWST_E-90"/>
    <x v="0"/>
    <x v="14"/>
    <n v="1.8"/>
    <n v="657"/>
    <n v="2365.1999999999998"/>
  </r>
  <r>
    <x v="0"/>
    <x v="0"/>
    <x v="1"/>
    <x v="0"/>
    <x v="0"/>
    <s v="DK1_Rural"/>
    <x v="7"/>
    <s v="GNR_BO_WOODWST_E-90"/>
    <x v="0"/>
    <x v="15"/>
    <n v="1.8"/>
    <n v="657"/>
    <n v="2365.1999999999998"/>
  </r>
  <r>
    <x v="0"/>
    <x v="0"/>
    <x v="1"/>
    <x v="0"/>
    <x v="0"/>
    <s v="DK1_Rural"/>
    <x v="7"/>
    <s v="GNR_BO_WOODWST_E-90"/>
    <x v="0"/>
    <x v="16"/>
    <n v="1.8"/>
    <n v="657"/>
    <n v="2365.1999999999998"/>
  </r>
  <r>
    <x v="0"/>
    <x v="0"/>
    <x v="1"/>
    <x v="0"/>
    <x v="0"/>
    <s v="DK1_Rural"/>
    <x v="7"/>
    <s v="GNR_BO_WOODWST_E-90"/>
    <x v="0"/>
    <x v="17"/>
    <n v="1.8"/>
    <n v="657"/>
    <n v="2365.1999999999998"/>
  </r>
  <r>
    <x v="0"/>
    <x v="0"/>
    <x v="1"/>
    <x v="0"/>
    <x v="0"/>
    <s v="DK1_Rural"/>
    <x v="7"/>
    <s v="GNR_BO_WOODWST_E-90"/>
    <x v="0"/>
    <x v="18"/>
    <n v="1.8"/>
    <n v="657"/>
    <n v="2365.1999999999998"/>
  </r>
  <r>
    <x v="0"/>
    <x v="0"/>
    <x v="1"/>
    <x v="0"/>
    <x v="0"/>
    <s v="DK1_Rural"/>
    <x v="7"/>
    <s v="GNR_BO_WOODWST_E-90"/>
    <x v="0"/>
    <x v="19"/>
    <n v="1.8"/>
    <n v="657"/>
    <n v="2365.1999999999998"/>
  </r>
  <r>
    <x v="0"/>
    <x v="0"/>
    <x v="1"/>
    <x v="0"/>
    <x v="0"/>
    <s v="DK1_Rural"/>
    <x v="7"/>
    <s v="GNR_BO_WOODWST_E-90"/>
    <x v="0"/>
    <x v="20"/>
    <n v="1.8"/>
    <n v="657"/>
    <n v="2365.1999999999998"/>
  </r>
  <r>
    <x v="0"/>
    <x v="0"/>
    <x v="1"/>
    <x v="0"/>
    <x v="0"/>
    <s v="DK1_Rural"/>
    <x v="7"/>
    <s v="GNR_BO_WOODWST_E-94"/>
    <x v="0"/>
    <x v="7"/>
    <n v="0.41176896488286702"/>
    <n v="150.29567218224699"/>
    <n v="541.06441985608797"/>
  </r>
  <r>
    <x v="0"/>
    <x v="0"/>
    <x v="1"/>
    <x v="0"/>
    <x v="0"/>
    <s v="DK1_Rural"/>
    <x v="7"/>
    <s v="GNR_BO_WOODWST_E-94"/>
    <x v="0"/>
    <x v="8"/>
    <n v="0.93"/>
    <n v="339.45"/>
    <n v="1222.02"/>
  </r>
  <r>
    <x v="0"/>
    <x v="0"/>
    <x v="1"/>
    <x v="0"/>
    <x v="0"/>
    <s v="DK1_Rural"/>
    <x v="7"/>
    <s v="GNR_BO_WOODWST_E-94"/>
    <x v="0"/>
    <x v="9"/>
    <n v="0.93"/>
    <n v="339.45"/>
    <n v="1222.02"/>
  </r>
  <r>
    <x v="0"/>
    <x v="0"/>
    <x v="1"/>
    <x v="0"/>
    <x v="0"/>
    <s v="DK1_Rural"/>
    <x v="7"/>
    <s v="GNR_BO_WOODWST_E-94"/>
    <x v="0"/>
    <x v="10"/>
    <n v="0.93"/>
    <n v="339.45"/>
    <n v="1222.02"/>
  </r>
  <r>
    <x v="0"/>
    <x v="0"/>
    <x v="1"/>
    <x v="0"/>
    <x v="0"/>
    <s v="DK1_Rural"/>
    <x v="7"/>
    <s v="GNR_BO_WOODWST_E-94"/>
    <x v="0"/>
    <x v="11"/>
    <n v="0.93"/>
    <n v="339.45"/>
    <n v="1222.02"/>
  </r>
  <r>
    <x v="0"/>
    <x v="0"/>
    <x v="1"/>
    <x v="0"/>
    <x v="0"/>
    <s v="DK1_Rural"/>
    <x v="7"/>
    <s v="GNR_BO_WOODWST_E-94"/>
    <x v="0"/>
    <x v="12"/>
    <n v="0.93"/>
    <n v="339.45"/>
    <n v="1222.02"/>
  </r>
  <r>
    <x v="0"/>
    <x v="0"/>
    <x v="1"/>
    <x v="0"/>
    <x v="0"/>
    <s v="DK1_Rural"/>
    <x v="7"/>
    <s v="GNR_BO_WOODWST_E-94"/>
    <x v="0"/>
    <x v="13"/>
    <n v="0.93"/>
    <n v="339.45"/>
    <n v="1222.02"/>
  </r>
  <r>
    <x v="0"/>
    <x v="0"/>
    <x v="1"/>
    <x v="0"/>
    <x v="0"/>
    <s v="DK1_Rural"/>
    <x v="7"/>
    <s v="GNR_BO_WOODWST_E-94"/>
    <x v="0"/>
    <x v="14"/>
    <n v="0.93"/>
    <n v="339.45"/>
    <n v="1222.02"/>
  </r>
  <r>
    <x v="0"/>
    <x v="0"/>
    <x v="1"/>
    <x v="0"/>
    <x v="0"/>
    <s v="DK1_Rural"/>
    <x v="7"/>
    <s v="GNR_BO_WOODWST_E-94"/>
    <x v="0"/>
    <x v="15"/>
    <n v="0.93"/>
    <n v="339.45"/>
    <n v="1222.02"/>
  </r>
  <r>
    <x v="0"/>
    <x v="0"/>
    <x v="1"/>
    <x v="0"/>
    <x v="0"/>
    <s v="DK1_Rural"/>
    <x v="7"/>
    <s v="GNR_BO_WOODWST_E-94"/>
    <x v="0"/>
    <x v="16"/>
    <n v="0.93"/>
    <n v="339.45"/>
    <n v="1222.02"/>
  </r>
  <r>
    <x v="0"/>
    <x v="0"/>
    <x v="1"/>
    <x v="0"/>
    <x v="0"/>
    <s v="DK1_Rural"/>
    <x v="7"/>
    <s v="GNR_BO_WOODWST_E-94"/>
    <x v="0"/>
    <x v="17"/>
    <n v="0.93"/>
    <n v="339.45"/>
    <n v="1222.02"/>
  </r>
  <r>
    <x v="0"/>
    <x v="0"/>
    <x v="1"/>
    <x v="0"/>
    <x v="0"/>
    <s v="DK1_Rural"/>
    <x v="7"/>
    <s v="GNR_BO_WOODWST_E-94"/>
    <x v="0"/>
    <x v="18"/>
    <n v="0.93"/>
    <n v="339.45"/>
    <n v="1222.02"/>
  </r>
  <r>
    <x v="0"/>
    <x v="0"/>
    <x v="1"/>
    <x v="0"/>
    <x v="0"/>
    <s v="DK1_Rural"/>
    <x v="7"/>
    <s v="GNR_BO_WOODWST_E-94"/>
    <x v="0"/>
    <x v="19"/>
    <n v="0.93"/>
    <n v="339.45"/>
    <n v="1222.02"/>
  </r>
  <r>
    <x v="0"/>
    <x v="0"/>
    <x v="1"/>
    <x v="0"/>
    <x v="0"/>
    <s v="DK1_Rural"/>
    <x v="7"/>
    <s v="GNR_BO_WOODWST_E-94"/>
    <x v="0"/>
    <x v="20"/>
    <n v="0.93"/>
    <n v="339.45"/>
    <n v="1222.02"/>
  </r>
  <r>
    <x v="0"/>
    <x v="0"/>
    <x v="1"/>
    <x v="0"/>
    <x v="0"/>
    <s v="DK1_Small"/>
    <x v="3"/>
    <s v="GNR_HP_ELEC_COP-1200_Y-2030"/>
    <x v="0"/>
    <x v="0"/>
    <n v="42.916939575971497"/>
    <n v="15664.682945229601"/>
    <n v="56392.858602826498"/>
  </r>
  <r>
    <x v="0"/>
    <x v="0"/>
    <x v="1"/>
    <x v="0"/>
    <x v="0"/>
    <s v="DK1_Small"/>
    <x v="3"/>
    <s v="GNR_HP_ELEC_COP-1200_Y-2030"/>
    <x v="0"/>
    <x v="1"/>
    <n v="42.4404376561791"/>
    <n v="15490.7597445054"/>
    <n v="55766.735080219303"/>
  </r>
  <r>
    <x v="0"/>
    <x v="0"/>
    <x v="1"/>
    <x v="0"/>
    <x v="0"/>
    <s v="DK1_Small"/>
    <x v="3"/>
    <s v="GNR_HP_ELEC_COP-1200_Y-2030"/>
    <x v="0"/>
    <x v="2"/>
    <n v="42.091002914997901"/>
    <n v="15363.2160639742"/>
    <n v="55307.577830307302"/>
  </r>
  <r>
    <x v="0"/>
    <x v="0"/>
    <x v="1"/>
    <x v="0"/>
    <x v="0"/>
    <s v="DK1_Small"/>
    <x v="3"/>
    <s v="GNR_HP_ELEC_COP-1200_Y-2030"/>
    <x v="0"/>
    <x v="3"/>
    <n v="42.345137272220597"/>
    <n v="15455.975104360499"/>
    <n v="55641.510375697799"/>
  </r>
  <r>
    <x v="0"/>
    <x v="0"/>
    <x v="1"/>
    <x v="0"/>
    <x v="0"/>
    <s v="DK1_Small"/>
    <x v="3"/>
    <s v="GNR_HP_ELEC_COP-1200_Y-2030"/>
    <x v="0"/>
    <x v="4"/>
    <n v="43.5840422636809"/>
    <n v="15908.175426243501"/>
    <n v="57269.431534476702"/>
  </r>
  <r>
    <x v="0"/>
    <x v="0"/>
    <x v="1"/>
    <x v="0"/>
    <x v="0"/>
    <s v="DK1_Small"/>
    <x v="3"/>
    <s v="GNR_HP_ELEC_COP-1200_Y-2030"/>
    <x v="0"/>
    <x v="5"/>
    <n v="44.505279308612899"/>
    <n v="16244.4269476437"/>
    <n v="58479.937011517402"/>
  </r>
  <r>
    <x v="0"/>
    <x v="0"/>
    <x v="1"/>
    <x v="0"/>
    <x v="0"/>
    <s v="DK1_Small"/>
    <x v="3"/>
    <s v="GNR_HP_ELEC_COP-1200_Y-2030"/>
    <x v="0"/>
    <x v="6"/>
    <n v="50.318602730080599"/>
    <n v="18366.289996479401"/>
    <n v="66118.643987325893"/>
  </r>
  <r>
    <x v="0"/>
    <x v="0"/>
    <x v="1"/>
    <x v="0"/>
    <x v="0"/>
    <s v="DK1_Small"/>
    <x v="3"/>
    <s v="GNR_HP_ELEC_COP-1200_Y-2030"/>
    <x v="0"/>
    <x v="7"/>
    <n v="55.5610643483557"/>
    <n v="20279.788487149799"/>
    <n v="73007.2385537394"/>
  </r>
  <r>
    <x v="0"/>
    <x v="0"/>
    <x v="1"/>
    <x v="0"/>
    <x v="0"/>
    <s v="DK1_Small"/>
    <x v="3"/>
    <s v="GNR_HP_ELEC_COP-1200_Y-2030"/>
    <x v="0"/>
    <x v="8"/>
    <n v="55.5610643483557"/>
    <n v="20279.788487149799"/>
    <n v="73007.2385537394"/>
  </r>
  <r>
    <x v="0"/>
    <x v="0"/>
    <x v="1"/>
    <x v="0"/>
    <x v="0"/>
    <s v="DK1_Small"/>
    <x v="3"/>
    <s v="GNR_HP_ELEC_COP-1200_Y-2030"/>
    <x v="0"/>
    <x v="9"/>
    <n v="55.5610643483557"/>
    <n v="20279.788487149799"/>
    <n v="73007.2385537394"/>
  </r>
  <r>
    <x v="0"/>
    <x v="0"/>
    <x v="1"/>
    <x v="0"/>
    <x v="0"/>
    <s v="DK1_Small"/>
    <x v="3"/>
    <s v="GNR_HP_ELEC_COP-1200_Y-2030"/>
    <x v="0"/>
    <x v="10"/>
    <n v="55.5610643483557"/>
    <n v="20279.788487149799"/>
    <n v="73007.2385537394"/>
  </r>
  <r>
    <x v="0"/>
    <x v="0"/>
    <x v="1"/>
    <x v="0"/>
    <x v="0"/>
    <s v="DK1_Small"/>
    <x v="3"/>
    <s v="GNR_HP_ELEC_COP-1200_Y-2030"/>
    <x v="0"/>
    <x v="11"/>
    <n v="55.5610643483557"/>
    <n v="20279.788487149799"/>
    <n v="73007.2385537394"/>
  </r>
  <r>
    <x v="0"/>
    <x v="0"/>
    <x v="1"/>
    <x v="0"/>
    <x v="0"/>
    <s v="DK1_Small"/>
    <x v="3"/>
    <s v="GNR_HP_ELEC_COP-1200_Y-2030"/>
    <x v="0"/>
    <x v="12"/>
    <n v="55.5610643483557"/>
    <n v="20279.788487149799"/>
    <n v="73007.2385537394"/>
  </r>
  <r>
    <x v="0"/>
    <x v="0"/>
    <x v="1"/>
    <x v="0"/>
    <x v="0"/>
    <s v="DK1_Small"/>
    <x v="3"/>
    <s v="GNR_HP_ELEC_COP-1200_Y-2030"/>
    <x v="0"/>
    <x v="13"/>
    <n v="55.5610643483557"/>
    <n v="20279.788487149799"/>
    <n v="73007.2385537394"/>
  </r>
  <r>
    <x v="0"/>
    <x v="0"/>
    <x v="1"/>
    <x v="0"/>
    <x v="0"/>
    <s v="DK1_Small"/>
    <x v="3"/>
    <s v="GNR_HP_ELEC_COP-1200_Y-2030"/>
    <x v="0"/>
    <x v="14"/>
    <n v="55.5610643483557"/>
    <n v="20279.788487149799"/>
    <n v="73007.2385537394"/>
  </r>
  <r>
    <x v="0"/>
    <x v="0"/>
    <x v="1"/>
    <x v="0"/>
    <x v="0"/>
    <s v="DK1_Small"/>
    <x v="3"/>
    <s v="GNR_HP_ELEC_COP-1200_Y-2030"/>
    <x v="0"/>
    <x v="15"/>
    <n v="55.5610643483557"/>
    <n v="20279.788487149799"/>
    <n v="73007.2385537394"/>
  </r>
  <r>
    <x v="0"/>
    <x v="0"/>
    <x v="1"/>
    <x v="0"/>
    <x v="0"/>
    <s v="DK1_Small"/>
    <x v="3"/>
    <s v="GNR_HP_ELEC_COP-1200_Y-2030"/>
    <x v="0"/>
    <x v="16"/>
    <n v="55.5610643483557"/>
    <n v="20279.788487149799"/>
    <n v="73007.2385537394"/>
  </r>
  <r>
    <x v="0"/>
    <x v="0"/>
    <x v="1"/>
    <x v="0"/>
    <x v="0"/>
    <s v="DK1_Small"/>
    <x v="3"/>
    <s v="GNR_HP_ELEC_COP-1200_Y-2030"/>
    <x v="0"/>
    <x v="17"/>
    <n v="55.5610643483557"/>
    <n v="20279.788487149799"/>
    <n v="73007.2385537394"/>
  </r>
  <r>
    <x v="0"/>
    <x v="0"/>
    <x v="1"/>
    <x v="0"/>
    <x v="0"/>
    <s v="DK1_Small"/>
    <x v="3"/>
    <s v="GNR_HP_ELEC_COP-1200_Y-2030"/>
    <x v="0"/>
    <x v="18"/>
    <n v="55.5610643483557"/>
    <n v="20279.788487149799"/>
    <n v="73007.2385537394"/>
  </r>
  <r>
    <x v="0"/>
    <x v="0"/>
    <x v="1"/>
    <x v="0"/>
    <x v="0"/>
    <s v="DK1_Small"/>
    <x v="3"/>
    <s v="GNR_HP_ELEC_COP-1200_Y-2030"/>
    <x v="0"/>
    <x v="19"/>
    <n v="55.5610643483557"/>
    <n v="20279.788487149799"/>
    <n v="73007.2385537394"/>
  </r>
  <r>
    <x v="0"/>
    <x v="0"/>
    <x v="1"/>
    <x v="0"/>
    <x v="0"/>
    <s v="DK1_Small"/>
    <x v="3"/>
    <s v="GNR_HP_ELEC_COP-1200_Y-2030"/>
    <x v="0"/>
    <x v="20"/>
    <n v="55.5610643483557"/>
    <n v="20279.788487149799"/>
    <n v="73007.2385537394"/>
  </r>
  <r>
    <x v="0"/>
    <x v="0"/>
    <x v="1"/>
    <x v="0"/>
    <x v="0"/>
    <s v="DK1_Small"/>
    <x v="3"/>
    <s v="GNR_HP_ELEC_COP-1200_Y-2030"/>
    <x v="0"/>
    <x v="21"/>
    <n v="52.383444382514398"/>
    <n v="19119.957199617798"/>
    <n v="68831.845918623905"/>
  </r>
  <r>
    <x v="0"/>
    <x v="0"/>
    <x v="1"/>
    <x v="0"/>
    <x v="0"/>
    <s v="DK1_Small"/>
    <x v="3"/>
    <s v="GNR_HP_ELEC_COP-1200_Y-2030"/>
    <x v="0"/>
    <x v="22"/>
    <n v="52.065776435986102"/>
    <n v="19004.008399134898"/>
    <n v="68414.430236885804"/>
  </r>
  <r>
    <x v="0"/>
    <x v="0"/>
    <x v="1"/>
    <x v="0"/>
    <x v="0"/>
    <s v="DK1_Small"/>
    <x v="3"/>
    <s v="GNR_HP_ELEC_COP-1200_Y-2030"/>
    <x v="0"/>
    <x v="23"/>
    <n v="51.271606569665401"/>
    <n v="18714.136397927901"/>
    <n v="67370.891032540399"/>
  </r>
  <r>
    <x v="0"/>
    <x v="0"/>
    <x v="1"/>
    <x v="0"/>
    <x v="0"/>
    <s v="DK1_Small"/>
    <x v="6"/>
    <s v="GNR_BO_WOODCHI_E-110"/>
    <x v="0"/>
    <x v="9"/>
    <n v="0.57180230375091401"/>
    <n v="208.70784086908401"/>
    <n v="751.34822712870096"/>
  </r>
  <r>
    <x v="0"/>
    <x v="0"/>
    <x v="1"/>
    <x v="0"/>
    <x v="0"/>
    <s v="DK1_Small"/>
    <x v="6"/>
    <s v="GNR_BO_WOODCHI_E-110"/>
    <x v="0"/>
    <x v="10"/>
    <n v="0.38120153583393801"/>
    <n v="139.13856057938699"/>
    <n v="500.89881808579503"/>
  </r>
  <r>
    <x v="0"/>
    <x v="0"/>
    <x v="1"/>
    <x v="0"/>
    <x v="0"/>
    <s v="DK1_Small"/>
    <x v="6"/>
    <s v="GNR_BO_WOODCHI_E-110"/>
    <x v="0"/>
    <x v="11"/>
    <n v="0.41296833048677001"/>
    <n v="150.733440627671"/>
    <n v="542.64038625961496"/>
  </r>
  <r>
    <x v="0"/>
    <x v="0"/>
    <x v="1"/>
    <x v="0"/>
    <x v="0"/>
    <s v="DK1_Small"/>
    <x v="6"/>
    <s v="GNR_BO_WOODCHI_E-110"/>
    <x v="0"/>
    <x v="12"/>
    <n v="6.3533589305656293E-2"/>
    <n v="23.189760096564601"/>
    <n v="83.483136347632396"/>
  </r>
  <r>
    <x v="0"/>
    <x v="0"/>
    <x v="1"/>
    <x v="0"/>
    <x v="0"/>
    <s v="DK1_Small"/>
    <x v="6"/>
    <s v="GNR_BO_WOODCHI_E-110"/>
    <x v="0"/>
    <x v="16"/>
    <n v="0.15883397326413701"/>
    <n v="57.974400241410102"/>
    <n v="208.70784086907599"/>
  </r>
  <r>
    <x v="0"/>
    <x v="0"/>
    <x v="1"/>
    <x v="0"/>
    <x v="0"/>
    <s v="DK1_Small"/>
    <x v="6"/>
    <s v="GNR_BO_WOODCHI_E-110"/>
    <x v="0"/>
    <x v="18"/>
    <n v="0.127067178611313"/>
    <n v="46.379520193129103"/>
    <n v="166.96627269526499"/>
  </r>
  <r>
    <x v="0"/>
    <x v="0"/>
    <x v="1"/>
    <x v="0"/>
    <x v="0"/>
    <s v="DK1_Small"/>
    <x v="7"/>
    <s v="GNR_BO_WOODWST_E-89"/>
    <x v="0"/>
    <x v="7"/>
    <n v="0.316727445969882"/>
    <n v="115.605517779007"/>
    <n v="416.17986400442499"/>
  </r>
  <r>
    <x v="0"/>
    <x v="0"/>
    <x v="1"/>
    <x v="0"/>
    <x v="0"/>
    <s v="DK1_Small"/>
    <x v="7"/>
    <s v="GNR_BO_WOODWST_E-89"/>
    <x v="0"/>
    <x v="8"/>
    <n v="1.65093282138868"/>
    <n v="602.59047980686796"/>
    <n v="2169.3257273047202"/>
  </r>
  <r>
    <x v="0"/>
    <x v="0"/>
    <x v="1"/>
    <x v="0"/>
    <x v="0"/>
    <s v="DK1_Small"/>
    <x v="7"/>
    <s v="GNR_BO_WOODWST_E-89"/>
    <x v="0"/>
    <x v="9"/>
    <n v="1.778"/>
    <n v="648.97"/>
    <n v="2336.2919999999999"/>
  </r>
  <r>
    <x v="0"/>
    <x v="0"/>
    <x v="1"/>
    <x v="0"/>
    <x v="0"/>
    <s v="DK1_Small"/>
    <x v="7"/>
    <s v="GNR_BO_WOODWST_E-89"/>
    <x v="0"/>
    <x v="10"/>
    <n v="1.778"/>
    <n v="648.97"/>
    <n v="2336.2919999999999"/>
  </r>
  <r>
    <x v="0"/>
    <x v="0"/>
    <x v="1"/>
    <x v="0"/>
    <x v="0"/>
    <s v="DK1_Small"/>
    <x v="7"/>
    <s v="GNR_BO_WOODWST_E-89"/>
    <x v="0"/>
    <x v="11"/>
    <n v="1.778"/>
    <n v="648.97"/>
    <n v="2336.2919999999999"/>
  </r>
  <r>
    <x v="0"/>
    <x v="0"/>
    <x v="1"/>
    <x v="0"/>
    <x v="0"/>
    <s v="DK1_Small"/>
    <x v="7"/>
    <s v="GNR_BO_WOODWST_E-89"/>
    <x v="0"/>
    <x v="12"/>
    <n v="1.778"/>
    <n v="648.97"/>
    <n v="2336.2919999999999"/>
  </r>
  <r>
    <x v="0"/>
    <x v="0"/>
    <x v="1"/>
    <x v="0"/>
    <x v="0"/>
    <s v="DK1_Small"/>
    <x v="7"/>
    <s v="GNR_BO_WOODWST_E-89"/>
    <x v="0"/>
    <x v="13"/>
    <n v="0.44379462458119401"/>
    <n v="161.98503797213601"/>
    <n v="583.14613669968901"/>
  </r>
  <r>
    <x v="0"/>
    <x v="0"/>
    <x v="1"/>
    <x v="0"/>
    <x v="0"/>
    <s v="DK1_Small"/>
    <x v="7"/>
    <s v="GNR_BO_WOODWST_E-89"/>
    <x v="0"/>
    <x v="14"/>
    <n v="0.82499616041513901"/>
    <n v="301.12359855152602"/>
    <n v="1084.0449547854901"/>
  </r>
  <r>
    <x v="0"/>
    <x v="0"/>
    <x v="1"/>
    <x v="0"/>
    <x v="0"/>
    <s v="DK1_Small"/>
    <x v="7"/>
    <s v="GNR_BO_WOODWST_E-89"/>
    <x v="0"/>
    <x v="15"/>
    <n v="1.2061976962490799"/>
    <n v="440.26215913091301"/>
    <n v="1584.9437728712901"/>
  </r>
  <r>
    <x v="0"/>
    <x v="0"/>
    <x v="1"/>
    <x v="0"/>
    <x v="0"/>
    <s v="DK1_Small"/>
    <x v="7"/>
    <s v="GNR_BO_WOODWST_E-89"/>
    <x v="0"/>
    <x v="16"/>
    <n v="1.778"/>
    <n v="648.97"/>
    <n v="2336.2919999999999"/>
  </r>
  <r>
    <x v="0"/>
    <x v="0"/>
    <x v="1"/>
    <x v="0"/>
    <x v="0"/>
    <s v="DK1_Small"/>
    <x v="7"/>
    <s v="GNR_BO_WOODWST_E-89"/>
    <x v="0"/>
    <x v="17"/>
    <n v="1.778"/>
    <n v="648.97"/>
    <n v="2336.2919999999999"/>
  </r>
  <r>
    <x v="0"/>
    <x v="0"/>
    <x v="1"/>
    <x v="0"/>
    <x v="0"/>
    <s v="DK1_Small"/>
    <x v="7"/>
    <s v="GNR_BO_WOODWST_E-89"/>
    <x v="0"/>
    <x v="18"/>
    <n v="1.778"/>
    <n v="648.97"/>
    <n v="2336.2919999999999"/>
  </r>
  <r>
    <x v="0"/>
    <x v="0"/>
    <x v="1"/>
    <x v="0"/>
    <x v="0"/>
    <s v="DK1_Small"/>
    <x v="7"/>
    <s v="GNR_BO_WOODWST_E-89"/>
    <x v="0"/>
    <x v="19"/>
    <n v="1.778"/>
    <n v="648.97"/>
    <n v="2336.2919999999999"/>
  </r>
  <r>
    <x v="0"/>
    <x v="0"/>
    <x v="1"/>
    <x v="0"/>
    <x v="0"/>
    <s v="DK1_Small"/>
    <x v="7"/>
    <s v="GNR_BO_WOODWST_E-89"/>
    <x v="0"/>
    <x v="20"/>
    <n v="1.0791305176377599"/>
    <n v="393.88263893778401"/>
    <n v="1417.9775001760199"/>
  </r>
  <r>
    <x v="0"/>
    <x v="0"/>
    <x v="1"/>
    <x v="0"/>
    <x v="0"/>
    <s v="DK2_Rural"/>
    <x v="3"/>
    <s v="GNR_BO_ELEC_E-100"/>
    <x v="0"/>
    <x v="10"/>
    <n v="3.72961427088191"/>
    <n v="1361.3092088719"/>
    <n v="4900.7131519388304"/>
  </r>
  <r>
    <x v="0"/>
    <x v="0"/>
    <x v="1"/>
    <x v="0"/>
    <x v="0"/>
    <s v="DK2_Rural"/>
    <x v="3"/>
    <s v="GNR_BO_ELEC_E-100"/>
    <x v="0"/>
    <x v="11"/>
    <n v="3.8628382200255098"/>
    <n v="1409.9359503093101"/>
    <n v="5075.7694211135204"/>
  </r>
  <r>
    <x v="0"/>
    <x v="0"/>
    <x v="1"/>
    <x v="0"/>
    <x v="0"/>
    <s v="DK2_Rural"/>
    <x v="3"/>
    <s v="GNR_BO_ELEC_E-100"/>
    <x v="0"/>
    <x v="12"/>
    <n v="2.3973747794460398"/>
    <n v="875.04179449780395"/>
    <n v="3150.1504601921001"/>
  </r>
  <r>
    <x v="0"/>
    <x v="0"/>
    <x v="1"/>
    <x v="0"/>
    <x v="0"/>
    <s v="DK2_Rural"/>
    <x v="3"/>
    <s v="GNR_BO_ELEC_E-100"/>
    <x v="0"/>
    <x v="16"/>
    <n v="2.7970466268768099"/>
    <n v="1020.92201881003"/>
    <n v="3675.3192677161201"/>
  </r>
  <r>
    <x v="0"/>
    <x v="0"/>
    <x v="1"/>
    <x v="0"/>
    <x v="0"/>
    <s v="DK2_Rural"/>
    <x v="3"/>
    <s v="GNR_HP_ELEC_COP-1200_Y-2030"/>
    <x v="0"/>
    <x v="0"/>
    <n v="179.985555292985"/>
    <n v="65694.727681939301"/>
    <n v="236501.019654982"/>
  </r>
  <r>
    <x v="0"/>
    <x v="0"/>
    <x v="1"/>
    <x v="0"/>
    <x v="0"/>
    <s v="DK2_Rural"/>
    <x v="3"/>
    <s v="GNR_HP_ELEC_COP-1200_Y-2030"/>
    <x v="0"/>
    <x v="1"/>
    <n v="177.98719605583099"/>
    <n v="64965.326560378198"/>
    <n v="233875.17561736199"/>
  </r>
  <r>
    <x v="0"/>
    <x v="0"/>
    <x v="1"/>
    <x v="0"/>
    <x v="0"/>
    <s v="DK2_Rural"/>
    <x v="3"/>
    <s v="GNR_HP_ELEC_COP-1200_Y-2030"/>
    <x v="0"/>
    <x v="2"/>
    <n v="176.52173261525101"/>
    <n v="64430.432404566702"/>
    <n v="231949.55665643999"/>
  </r>
  <r>
    <x v="0"/>
    <x v="0"/>
    <x v="1"/>
    <x v="0"/>
    <x v="0"/>
    <s v="DK2_Rural"/>
    <x v="3"/>
    <s v="GNR_HP_ELEC_COP-1200_Y-2030"/>
    <x v="0"/>
    <x v="3"/>
    <n v="177.5875242084"/>
    <n v="64819.446336066001"/>
    <n v="233350.006809838"/>
  </r>
  <r>
    <x v="0"/>
    <x v="0"/>
    <x v="1"/>
    <x v="0"/>
    <x v="0"/>
    <s v="DK2_Rural"/>
    <x v="3"/>
    <s v="GNR_HP_ELEC_COP-1200_Y-2030"/>
    <x v="0"/>
    <x v="4"/>
    <n v="182.783258225"/>
    <n v="66715.889252124907"/>
    <n v="240177.20130764999"/>
  </r>
  <r>
    <x v="0"/>
    <x v="0"/>
    <x v="1"/>
    <x v="0"/>
    <x v="0"/>
    <s v="DK2_Rural"/>
    <x v="3"/>
    <s v="GNR_HP_ELEC_COP-1200_Y-2030"/>
    <x v="0"/>
    <x v="5"/>
    <n v="186.64675275016401"/>
    <n v="68126.064753809798"/>
    <n v="245253.83311371499"/>
  </r>
  <r>
    <x v="0"/>
    <x v="0"/>
    <x v="1"/>
    <x v="0"/>
    <x v="0"/>
    <s v="DK2_Rural"/>
    <x v="3"/>
    <s v="GNR_HP_ELEC_COP-1200_Y-2030"/>
    <x v="0"/>
    <x v="6"/>
    <n v="211.02673544344"/>
    <n v="77024.758436855598"/>
    <n v="277289.13037268003"/>
  </r>
  <r>
    <x v="0"/>
    <x v="0"/>
    <x v="1"/>
    <x v="0"/>
    <x v="0"/>
    <s v="DK2_Rural"/>
    <x v="3"/>
    <s v="GNR_HP_ELEC_COP-1200_Y-2030"/>
    <x v="0"/>
    <x v="7"/>
    <n v="217.840926543568"/>
    <n v="79511.9381884022"/>
    <n v="286242.97747824801"/>
  </r>
  <r>
    <x v="0"/>
    <x v="0"/>
    <x v="1"/>
    <x v="0"/>
    <x v="0"/>
    <s v="DK2_Rural"/>
    <x v="3"/>
    <s v="GNR_HP_ELEC_COP-1200_Y-2030"/>
    <x v="0"/>
    <x v="8"/>
    <n v="221.038301323014"/>
    <n v="80678.979982899997"/>
    <n v="290444.32793844002"/>
  </r>
  <r>
    <x v="0"/>
    <x v="0"/>
    <x v="1"/>
    <x v="0"/>
    <x v="0"/>
    <s v="DK2_Rural"/>
    <x v="3"/>
    <s v="GNR_HP_ELEC_COP-1200_Y-2030"/>
    <x v="0"/>
    <x v="9"/>
    <n v="221.038301323014"/>
    <n v="80678.979982899997"/>
    <n v="290444.32793844002"/>
  </r>
  <r>
    <x v="0"/>
    <x v="0"/>
    <x v="1"/>
    <x v="0"/>
    <x v="0"/>
    <s v="DK2_Rural"/>
    <x v="3"/>
    <s v="GNR_HP_ELEC_COP-1200_Y-2030"/>
    <x v="0"/>
    <x v="10"/>
    <n v="221.038301323014"/>
    <n v="80678.979982899997"/>
    <n v="290444.32793844002"/>
  </r>
  <r>
    <x v="0"/>
    <x v="0"/>
    <x v="1"/>
    <x v="0"/>
    <x v="0"/>
    <s v="DK2_Rural"/>
    <x v="3"/>
    <s v="GNR_HP_ELEC_COP-1200_Y-2030"/>
    <x v="0"/>
    <x v="11"/>
    <n v="221.038301323014"/>
    <n v="80678.979982899997"/>
    <n v="290444.32793844002"/>
  </r>
  <r>
    <x v="0"/>
    <x v="0"/>
    <x v="1"/>
    <x v="0"/>
    <x v="0"/>
    <s v="DK2_Rural"/>
    <x v="3"/>
    <s v="GNR_HP_ELEC_COP-1200_Y-2030"/>
    <x v="0"/>
    <x v="12"/>
    <n v="221.038301323014"/>
    <n v="80678.979982899997"/>
    <n v="290444.32793844002"/>
  </r>
  <r>
    <x v="0"/>
    <x v="0"/>
    <x v="1"/>
    <x v="0"/>
    <x v="0"/>
    <s v="DK2_Rural"/>
    <x v="3"/>
    <s v="GNR_HP_ELEC_COP-1200_Y-2030"/>
    <x v="0"/>
    <x v="13"/>
    <n v="218.373822340142"/>
    <n v="79706.445154151806"/>
    <n v="286943.20255494601"/>
  </r>
  <r>
    <x v="0"/>
    <x v="0"/>
    <x v="1"/>
    <x v="0"/>
    <x v="0"/>
    <s v="DK2_Rural"/>
    <x v="3"/>
    <s v="GNR_HP_ELEC_COP-1200_Y-2030"/>
    <x v="0"/>
    <x v="14"/>
    <n v="219.97250972986501"/>
    <n v="80289.966051400697"/>
    <n v="289043.87778504298"/>
  </r>
  <r>
    <x v="0"/>
    <x v="0"/>
    <x v="1"/>
    <x v="0"/>
    <x v="0"/>
    <s v="DK2_Rural"/>
    <x v="3"/>
    <s v="GNR_HP_ELEC_COP-1200_Y-2030"/>
    <x v="0"/>
    <x v="15"/>
    <n v="221.038301323014"/>
    <n v="80678.979982899997"/>
    <n v="290444.32793844002"/>
  </r>
  <r>
    <x v="0"/>
    <x v="0"/>
    <x v="1"/>
    <x v="0"/>
    <x v="0"/>
    <s v="DK2_Rural"/>
    <x v="3"/>
    <s v="GNR_HP_ELEC_COP-1200_Y-2030"/>
    <x v="0"/>
    <x v="16"/>
    <n v="221.038301323014"/>
    <n v="80678.979982899997"/>
    <n v="290444.32793844002"/>
  </r>
  <r>
    <x v="0"/>
    <x v="0"/>
    <x v="1"/>
    <x v="0"/>
    <x v="0"/>
    <s v="DK2_Rural"/>
    <x v="3"/>
    <s v="GNR_HP_ELEC_COP-1200_Y-2030"/>
    <x v="0"/>
    <x v="17"/>
    <n v="221.038301323014"/>
    <n v="80678.979982899997"/>
    <n v="290444.32793844002"/>
  </r>
  <r>
    <x v="0"/>
    <x v="0"/>
    <x v="1"/>
    <x v="0"/>
    <x v="0"/>
    <s v="DK2_Rural"/>
    <x v="3"/>
    <s v="GNR_HP_ELEC_COP-1200_Y-2030"/>
    <x v="0"/>
    <x v="18"/>
    <n v="221.038301323014"/>
    <n v="80678.979982899997"/>
    <n v="290444.32793844002"/>
  </r>
  <r>
    <x v="0"/>
    <x v="0"/>
    <x v="1"/>
    <x v="0"/>
    <x v="0"/>
    <s v="DK2_Rural"/>
    <x v="3"/>
    <s v="GNR_HP_ELEC_COP-1200_Y-2030"/>
    <x v="0"/>
    <x v="19"/>
    <n v="221.038301323014"/>
    <n v="80678.979982899997"/>
    <n v="290444.32793844002"/>
  </r>
  <r>
    <x v="0"/>
    <x v="0"/>
    <x v="1"/>
    <x v="0"/>
    <x v="0"/>
    <s v="DK2_Rural"/>
    <x v="3"/>
    <s v="GNR_HP_ELEC_COP-1200_Y-2030"/>
    <x v="0"/>
    <x v="20"/>
    <n v="221.038301323014"/>
    <n v="80678.979982899997"/>
    <n v="290444.32793844002"/>
  </r>
  <r>
    <x v="0"/>
    <x v="0"/>
    <x v="1"/>
    <x v="0"/>
    <x v="0"/>
    <s v="DK2_Rural"/>
    <x v="3"/>
    <s v="GNR_HP_ELEC_COP-1200_Y-2030"/>
    <x v="0"/>
    <x v="21"/>
    <n v="203.18629213777299"/>
    <n v="74162.996630287205"/>
    <n v="266986.78786903399"/>
  </r>
  <r>
    <x v="0"/>
    <x v="0"/>
    <x v="1"/>
    <x v="0"/>
    <x v="0"/>
    <s v="DK2_Rural"/>
    <x v="3"/>
    <s v="GNR_HP_ELEC_COP-1200_Y-2030"/>
    <x v="0"/>
    <x v="22"/>
    <n v="201.85405264633701"/>
    <n v="73676.729215913103"/>
    <n v="265236.22517728701"/>
  </r>
  <r>
    <x v="0"/>
    <x v="0"/>
    <x v="1"/>
    <x v="0"/>
    <x v="0"/>
    <s v="DK2_Rural"/>
    <x v="3"/>
    <s v="GNR_HP_ELEC_COP-1200_Y-2030"/>
    <x v="0"/>
    <x v="23"/>
    <n v="215.02345391774799"/>
    <n v="78483.560679977905"/>
    <n v="282540.81844792003"/>
  </r>
  <r>
    <x v="0"/>
    <x v="0"/>
    <x v="1"/>
    <x v="0"/>
    <x v="0"/>
    <s v="DK2_Rural"/>
    <x v="3"/>
    <s v="GNR_HP_ELEC_COP-400"/>
    <x v="0"/>
    <x v="8"/>
    <n v="0.8"/>
    <n v="292"/>
    <n v="1051.2"/>
  </r>
  <r>
    <x v="0"/>
    <x v="0"/>
    <x v="1"/>
    <x v="0"/>
    <x v="0"/>
    <s v="DK2_Rural"/>
    <x v="3"/>
    <s v="GNR_HP_ELEC_COP-400"/>
    <x v="0"/>
    <x v="9"/>
    <n v="0.8"/>
    <n v="292"/>
    <n v="1051.2"/>
  </r>
  <r>
    <x v="0"/>
    <x v="0"/>
    <x v="1"/>
    <x v="0"/>
    <x v="0"/>
    <s v="DK2_Rural"/>
    <x v="3"/>
    <s v="GNR_HP_ELEC_COP-400"/>
    <x v="0"/>
    <x v="10"/>
    <n v="0.8"/>
    <n v="292"/>
    <n v="1051.2"/>
  </r>
  <r>
    <x v="0"/>
    <x v="0"/>
    <x v="1"/>
    <x v="0"/>
    <x v="0"/>
    <s v="DK2_Rural"/>
    <x v="3"/>
    <s v="GNR_HP_ELEC_COP-400"/>
    <x v="0"/>
    <x v="11"/>
    <n v="0.8"/>
    <n v="292"/>
    <n v="1051.2"/>
  </r>
  <r>
    <x v="0"/>
    <x v="0"/>
    <x v="1"/>
    <x v="0"/>
    <x v="0"/>
    <s v="DK2_Rural"/>
    <x v="3"/>
    <s v="GNR_HP_ELEC_COP-400"/>
    <x v="0"/>
    <x v="12"/>
    <n v="0.8"/>
    <n v="292"/>
    <n v="1051.2"/>
  </r>
  <r>
    <x v="0"/>
    <x v="0"/>
    <x v="1"/>
    <x v="0"/>
    <x v="0"/>
    <s v="DK2_Rural"/>
    <x v="3"/>
    <s v="GNR_HP_ELEC_COP-400"/>
    <x v="0"/>
    <x v="15"/>
    <n v="0.53289579657433706"/>
    <n v="194.506965749633"/>
    <n v="700.225076698679"/>
  </r>
  <r>
    <x v="0"/>
    <x v="0"/>
    <x v="1"/>
    <x v="0"/>
    <x v="0"/>
    <s v="DK2_Rural"/>
    <x v="3"/>
    <s v="GNR_HP_ELEC_COP-400"/>
    <x v="0"/>
    <x v="16"/>
    <n v="0.8"/>
    <n v="292"/>
    <n v="1051.2"/>
  </r>
  <r>
    <x v="0"/>
    <x v="0"/>
    <x v="1"/>
    <x v="0"/>
    <x v="0"/>
    <s v="DK2_Rural"/>
    <x v="3"/>
    <s v="GNR_HP_ELEC_COP-400"/>
    <x v="0"/>
    <x v="17"/>
    <n v="0.8"/>
    <n v="292"/>
    <n v="1051.2"/>
  </r>
  <r>
    <x v="0"/>
    <x v="0"/>
    <x v="1"/>
    <x v="0"/>
    <x v="0"/>
    <s v="DK2_Rural"/>
    <x v="3"/>
    <s v="GNR_HP_ELEC_COP-400"/>
    <x v="0"/>
    <x v="18"/>
    <n v="0.8"/>
    <n v="292"/>
    <n v="1051.2"/>
  </r>
  <r>
    <x v="0"/>
    <x v="0"/>
    <x v="1"/>
    <x v="0"/>
    <x v="0"/>
    <s v="DK2_Rural"/>
    <x v="3"/>
    <s v="GNR_HP_ELEC_COP-400"/>
    <x v="0"/>
    <x v="19"/>
    <n v="0.8"/>
    <n v="292"/>
    <n v="1051.2"/>
  </r>
  <r>
    <x v="0"/>
    <x v="0"/>
    <x v="1"/>
    <x v="0"/>
    <x v="0"/>
    <s v="DK2_Rural"/>
    <x v="2"/>
    <s v="GNR_EH_HEAT"/>
    <x v="0"/>
    <x v="7"/>
    <n v="16.5"/>
    <n v="6022.5"/>
    <n v="21681"/>
  </r>
  <r>
    <x v="0"/>
    <x v="0"/>
    <x v="1"/>
    <x v="0"/>
    <x v="0"/>
    <s v="DK2_Rural"/>
    <x v="2"/>
    <s v="GNR_EH_HEAT"/>
    <x v="0"/>
    <x v="8"/>
    <n v="16.5"/>
    <n v="6022.5"/>
    <n v="21681"/>
  </r>
  <r>
    <x v="0"/>
    <x v="0"/>
    <x v="1"/>
    <x v="0"/>
    <x v="0"/>
    <s v="DK2_Rural"/>
    <x v="2"/>
    <s v="GNR_EH_HEAT"/>
    <x v="0"/>
    <x v="9"/>
    <n v="16.5"/>
    <n v="6022.5"/>
    <n v="21681"/>
  </r>
  <r>
    <x v="0"/>
    <x v="0"/>
    <x v="1"/>
    <x v="0"/>
    <x v="0"/>
    <s v="DK2_Rural"/>
    <x v="2"/>
    <s v="GNR_EH_HEAT"/>
    <x v="0"/>
    <x v="10"/>
    <n v="16.5"/>
    <n v="6022.5"/>
    <n v="21681"/>
  </r>
  <r>
    <x v="0"/>
    <x v="0"/>
    <x v="1"/>
    <x v="0"/>
    <x v="0"/>
    <s v="DK2_Rural"/>
    <x v="2"/>
    <s v="GNR_EH_HEAT"/>
    <x v="0"/>
    <x v="11"/>
    <n v="16.5"/>
    <n v="6022.5"/>
    <n v="21681"/>
  </r>
  <r>
    <x v="0"/>
    <x v="0"/>
    <x v="1"/>
    <x v="0"/>
    <x v="0"/>
    <s v="DK2_Rural"/>
    <x v="2"/>
    <s v="GNR_EH_HEAT"/>
    <x v="0"/>
    <x v="12"/>
    <n v="16.5"/>
    <n v="6022.5"/>
    <n v="21681"/>
  </r>
  <r>
    <x v="0"/>
    <x v="0"/>
    <x v="1"/>
    <x v="0"/>
    <x v="0"/>
    <s v="DK2_Rural"/>
    <x v="2"/>
    <s v="GNR_EH_HEAT"/>
    <x v="0"/>
    <x v="13"/>
    <n v="16.5"/>
    <n v="6022.5"/>
    <n v="21681"/>
  </r>
  <r>
    <x v="0"/>
    <x v="0"/>
    <x v="1"/>
    <x v="0"/>
    <x v="0"/>
    <s v="DK2_Rural"/>
    <x v="2"/>
    <s v="GNR_EH_HEAT"/>
    <x v="0"/>
    <x v="14"/>
    <n v="16.5"/>
    <n v="6022.5"/>
    <n v="21681"/>
  </r>
  <r>
    <x v="0"/>
    <x v="0"/>
    <x v="1"/>
    <x v="0"/>
    <x v="0"/>
    <s v="DK2_Rural"/>
    <x v="2"/>
    <s v="GNR_EH_HEAT"/>
    <x v="0"/>
    <x v="15"/>
    <n v="16.5"/>
    <n v="6022.5"/>
    <n v="21681"/>
  </r>
  <r>
    <x v="0"/>
    <x v="0"/>
    <x v="1"/>
    <x v="0"/>
    <x v="0"/>
    <s v="DK2_Rural"/>
    <x v="2"/>
    <s v="GNR_EH_HEAT"/>
    <x v="0"/>
    <x v="16"/>
    <n v="16.5"/>
    <n v="6022.5"/>
    <n v="21681"/>
  </r>
  <r>
    <x v="0"/>
    <x v="0"/>
    <x v="1"/>
    <x v="0"/>
    <x v="0"/>
    <s v="DK2_Rural"/>
    <x v="2"/>
    <s v="GNR_EH_HEAT"/>
    <x v="0"/>
    <x v="17"/>
    <n v="16.5"/>
    <n v="6022.5"/>
    <n v="21681"/>
  </r>
  <r>
    <x v="0"/>
    <x v="0"/>
    <x v="1"/>
    <x v="0"/>
    <x v="0"/>
    <s v="DK2_Rural"/>
    <x v="2"/>
    <s v="GNR_EH_HEAT"/>
    <x v="0"/>
    <x v="18"/>
    <n v="16.5"/>
    <n v="6022.5"/>
    <n v="21681"/>
  </r>
  <r>
    <x v="0"/>
    <x v="0"/>
    <x v="1"/>
    <x v="0"/>
    <x v="0"/>
    <s v="DK2_Rural"/>
    <x v="2"/>
    <s v="GNR_EH_HEAT"/>
    <x v="0"/>
    <x v="19"/>
    <n v="16.5"/>
    <n v="6022.5"/>
    <n v="21681"/>
  </r>
  <r>
    <x v="0"/>
    <x v="0"/>
    <x v="1"/>
    <x v="0"/>
    <x v="0"/>
    <s v="DK2_Rural"/>
    <x v="2"/>
    <s v="GNR_EH_HEAT"/>
    <x v="0"/>
    <x v="20"/>
    <n v="16.5"/>
    <n v="6022.5"/>
    <n v="21681"/>
  </r>
  <r>
    <x v="0"/>
    <x v="0"/>
    <x v="1"/>
    <x v="0"/>
    <x v="0"/>
    <s v="DK2_Rural"/>
    <x v="2"/>
    <s v="GNR_EH_HEAT"/>
    <x v="0"/>
    <x v="21"/>
    <n v="16.5"/>
    <n v="6022.5"/>
    <n v="21681"/>
  </r>
  <r>
    <x v="0"/>
    <x v="0"/>
    <x v="1"/>
    <x v="0"/>
    <x v="0"/>
    <s v="DK2_Rural"/>
    <x v="2"/>
    <s v="GNR_EH_HEAT"/>
    <x v="0"/>
    <x v="22"/>
    <n v="16.5"/>
    <n v="6022.5"/>
    <n v="21681"/>
  </r>
  <r>
    <x v="0"/>
    <x v="0"/>
    <x v="1"/>
    <x v="0"/>
    <x v="0"/>
    <s v="DK2_Rural"/>
    <x v="6"/>
    <s v="GNR_BO_WOODCHI_E-110"/>
    <x v="0"/>
    <x v="8"/>
    <n v="1.59803108458453"/>
    <n v="583.28134587335501"/>
    <n v="2099.8128451440798"/>
  </r>
  <r>
    <x v="0"/>
    <x v="0"/>
    <x v="1"/>
    <x v="0"/>
    <x v="0"/>
    <s v="DK2_Rural"/>
    <x v="6"/>
    <s v="GNR_BO_WOODCHI_E-110"/>
    <x v="0"/>
    <x v="9"/>
    <n v="4.5289579657434196"/>
    <n v="1653.0696574963499"/>
    <n v="5951.0507669868502"/>
  </r>
  <r>
    <x v="0"/>
    <x v="0"/>
    <x v="1"/>
    <x v="0"/>
    <x v="0"/>
    <s v="DK2_Rural"/>
    <x v="6"/>
    <s v="GNR_BO_WOODCHI_E-110"/>
    <x v="0"/>
    <x v="17"/>
    <n v="2.13092688115887"/>
    <n v="777.78831162298798"/>
    <n v="2800.0379218427602"/>
  </r>
  <r>
    <x v="0"/>
    <x v="0"/>
    <x v="1"/>
    <x v="0"/>
    <x v="0"/>
    <s v="DK2_Rural"/>
    <x v="6"/>
    <s v="GNR_BO_WOODCHI_E-110"/>
    <x v="0"/>
    <x v="18"/>
    <n v="2.6638226777332399"/>
    <n v="972.29527737263095"/>
    <n v="3500.2629985414701"/>
  </r>
  <r>
    <x v="0"/>
    <x v="0"/>
    <x v="1"/>
    <x v="0"/>
    <x v="0"/>
    <s v="DK2_Rural"/>
    <x v="6"/>
    <s v="GNR_BO_WOODCHI_E-110"/>
    <x v="0"/>
    <x v="19"/>
    <n v="2.13092688115887"/>
    <n v="777.78831162298798"/>
    <n v="2800.0379218427602"/>
  </r>
  <r>
    <x v="0"/>
    <x v="0"/>
    <x v="1"/>
    <x v="0"/>
    <x v="1"/>
    <s v="DK2_Large"/>
    <x v="3"/>
    <s v="GNR_BO_ELEC_E-100"/>
    <x v="0"/>
    <x v="4"/>
    <n v="10"/>
    <n v="3650"/>
    <n v="13140"/>
  </r>
  <r>
    <x v="0"/>
    <x v="0"/>
    <x v="1"/>
    <x v="0"/>
    <x v="1"/>
    <s v="DK2_Large"/>
    <x v="3"/>
    <s v="GNR_BO_ELEC_E-100"/>
    <x v="0"/>
    <x v="5"/>
    <n v="10"/>
    <n v="3650"/>
    <n v="13140"/>
  </r>
  <r>
    <x v="0"/>
    <x v="0"/>
    <x v="1"/>
    <x v="0"/>
    <x v="1"/>
    <s v="DK2_Large"/>
    <x v="3"/>
    <s v="GNR_BO_ELEC_E-100"/>
    <x v="0"/>
    <x v="6"/>
    <n v="10"/>
    <n v="3650"/>
    <n v="13140"/>
  </r>
  <r>
    <x v="0"/>
    <x v="0"/>
    <x v="1"/>
    <x v="0"/>
    <x v="1"/>
    <s v="DK2_Large"/>
    <x v="3"/>
    <s v="GNR_BO_ELEC_E-100"/>
    <x v="0"/>
    <x v="7"/>
    <n v="10"/>
    <n v="3650"/>
    <n v="13140"/>
  </r>
  <r>
    <x v="0"/>
    <x v="0"/>
    <x v="1"/>
    <x v="0"/>
    <x v="1"/>
    <s v="DK2_Large"/>
    <x v="3"/>
    <s v="GNR_BO_ELEC_E-100"/>
    <x v="0"/>
    <x v="8"/>
    <n v="10"/>
    <n v="3650"/>
    <n v="13140"/>
  </r>
  <r>
    <x v="0"/>
    <x v="0"/>
    <x v="1"/>
    <x v="0"/>
    <x v="1"/>
    <s v="DK2_Large"/>
    <x v="3"/>
    <s v="GNR_BO_ELEC_E-100"/>
    <x v="0"/>
    <x v="9"/>
    <n v="10"/>
    <n v="3650"/>
    <n v="13140"/>
  </r>
  <r>
    <x v="0"/>
    <x v="0"/>
    <x v="1"/>
    <x v="0"/>
    <x v="1"/>
    <s v="DK2_Large"/>
    <x v="3"/>
    <s v="GNR_BO_ELEC_E-100"/>
    <x v="0"/>
    <x v="10"/>
    <n v="10"/>
    <n v="3650"/>
    <n v="13140"/>
  </r>
  <r>
    <x v="0"/>
    <x v="0"/>
    <x v="1"/>
    <x v="0"/>
    <x v="1"/>
    <s v="DK2_Large"/>
    <x v="3"/>
    <s v="GNR_BO_ELEC_E-100"/>
    <x v="0"/>
    <x v="18"/>
    <n v="10"/>
    <n v="3650"/>
    <n v="13140"/>
  </r>
  <r>
    <x v="0"/>
    <x v="0"/>
    <x v="1"/>
    <x v="0"/>
    <x v="1"/>
    <s v="DK2_Large"/>
    <x v="3"/>
    <s v="GNR_BO_ELEC_E-100"/>
    <x v="0"/>
    <x v="19"/>
    <n v="10"/>
    <n v="3650"/>
    <n v="13140"/>
  </r>
  <r>
    <x v="0"/>
    <x v="0"/>
    <x v="1"/>
    <x v="0"/>
    <x v="1"/>
    <s v="DK2_Large"/>
    <x v="3"/>
    <s v="GNR_BO_ELEC_E-99_LS-10-MW-FEED_Y-2030"/>
    <x v="0"/>
    <x v="4"/>
    <n v="9.5626299323300792"/>
    <n v="3490.35992530048"/>
    <n v="12565.2957310817"/>
  </r>
  <r>
    <x v="0"/>
    <x v="0"/>
    <x v="1"/>
    <x v="0"/>
    <x v="1"/>
    <s v="DK2_Large"/>
    <x v="3"/>
    <s v="GNR_BO_ELEC_E-99_LS-10-MW-FEED_Y-2030"/>
    <x v="0"/>
    <x v="5"/>
    <n v="155.059690054036"/>
    <n v="56596.786869723001"/>
    <n v="203748.43273100301"/>
  </r>
  <r>
    <x v="0"/>
    <x v="0"/>
    <x v="1"/>
    <x v="0"/>
    <x v="1"/>
    <s v="DK2_Large"/>
    <x v="3"/>
    <s v="GNR_BO_ELEC_E-99_LS-10-MW-FEED_Y-2030"/>
    <x v="0"/>
    <x v="6"/>
    <n v="167.35098780098099"/>
    <n v="61083.110547357901"/>
    <n v="219899.19797048799"/>
  </r>
  <r>
    <x v="0"/>
    <x v="0"/>
    <x v="1"/>
    <x v="0"/>
    <x v="1"/>
    <s v="DK2_Large"/>
    <x v="3"/>
    <s v="GNR_BO_ELEC_E-99_LS-10-MW-FEED_Y-2030"/>
    <x v="0"/>
    <x v="7"/>
    <n v="157.56967283481501"/>
    <n v="57512.930584707603"/>
    <n v="207046.550104947"/>
  </r>
  <r>
    <x v="0"/>
    <x v="0"/>
    <x v="1"/>
    <x v="0"/>
    <x v="1"/>
    <s v="DK2_Large"/>
    <x v="3"/>
    <s v="GNR_BO_ELEC_E-99_LS-10-MW-FEED_Y-2030"/>
    <x v="0"/>
    <x v="8"/>
    <n v="128.837060121706"/>
    <n v="47025.526944422498"/>
    <n v="169291.89699992101"/>
  </r>
  <r>
    <x v="0"/>
    <x v="0"/>
    <x v="1"/>
    <x v="0"/>
    <x v="1"/>
    <s v="DK2_Large"/>
    <x v="3"/>
    <s v="GNR_BO_ELEC_E-99_LS-10-MW-FEED_Y-2030"/>
    <x v="0"/>
    <x v="9"/>
    <n v="60.979187543935303"/>
    <n v="22257.403453536401"/>
    <n v="80126.652432730902"/>
  </r>
  <r>
    <x v="0"/>
    <x v="0"/>
    <x v="1"/>
    <x v="0"/>
    <x v="1"/>
    <s v="DK2_Large"/>
    <x v="3"/>
    <s v="GNR_BO_ELEC_E-99_LS-10-MW-FEED_Y-2030"/>
    <x v="0"/>
    <x v="10"/>
    <n v="19.343944898495199"/>
    <n v="7060.5398879507602"/>
    <n v="25417.943596622699"/>
  </r>
  <r>
    <x v="0"/>
    <x v="0"/>
    <x v="1"/>
    <x v="0"/>
    <x v="1"/>
    <s v="DK2_Large"/>
    <x v="3"/>
    <s v="GNR_BO_ELEC_E-99_LS-10-MW-FEED_Y-2030"/>
    <x v="0"/>
    <x v="18"/>
    <n v="24.118232744650101"/>
    <n v="8803.1549517972799"/>
    <n v="31691.357826470201"/>
  </r>
  <r>
    <x v="0"/>
    <x v="0"/>
    <x v="1"/>
    <x v="0"/>
    <x v="1"/>
    <s v="DK2_Large"/>
    <x v="3"/>
    <s v="GNR_BO_ELEC_E-99_LS-10-MW-FEED_Y-2030"/>
    <x v="0"/>
    <x v="19"/>
    <n v="5.1669349977051997"/>
    <n v="1885.9312741624001"/>
    <n v="6789.3525869846299"/>
  </r>
  <r>
    <x v="0"/>
    <x v="0"/>
    <x v="1"/>
    <x v="0"/>
    <x v="1"/>
    <s v="DK2_Large"/>
    <x v="3"/>
    <s v="GNR_HP_ELEC_COP-1200_Y-2030"/>
    <x v="0"/>
    <x v="0"/>
    <n v="832.634436494802"/>
    <n v="303911.56932060298"/>
    <n v="1094081.64955417"/>
  </r>
  <r>
    <x v="0"/>
    <x v="0"/>
    <x v="1"/>
    <x v="0"/>
    <x v="1"/>
    <s v="DK2_Large"/>
    <x v="3"/>
    <s v="GNR_HP_ELEC_COP-1200_Y-2030"/>
    <x v="0"/>
    <x v="1"/>
    <n v="832.634436494802"/>
    <n v="303911.56932060298"/>
    <n v="1094081.64955417"/>
  </r>
  <r>
    <x v="0"/>
    <x v="0"/>
    <x v="1"/>
    <x v="0"/>
    <x v="1"/>
    <s v="DK2_Large"/>
    <x v="3"/>
    <s v="GNR_HP_ELEC_COP-1200_Y-2030"/>
    <x v="0"/>
    <x v="2"/>
    <n v="842.41575146096704"/>
    <n v="307481.74928325298"/>
    <n v="1106934.2974197101"/>
  </r>
  <r>
    <x v="0"/>
    <x v="0"/>
    <x v="1"/>
    <x v="0"/>
    <x v="1"/>
    <s v="DK2_Large"/>
    <x v="3"/>
    <s v="GNR_HP_ELEC_COP-1200_Y-2030"/>
    <x v="0"/>
    <x v="3"/>
    <n v="900.49230907257299"/>
    <n v="328679.69281148899"/>
    <n v="1183246.89412136"/>
  </r>
  <r>
    <x v="0"/>
    <x v="0"/>
    <x v="1"/>
    <x v="0"/>
    <x v="1"/>
    <s v="DK2_Large"/>
    <x v="3"/>
    <s v="GNR_HP_ELEC_COP-1200_Y-2030"/>
    <x v="0"/>
    <x v="4"/>
    <n v="954.01018165034304"/>
    <n v="348213.71630237502"/>
    <n v="1253569.3786885501"/>
  </r>
  <r>
    <x v="0"/>
    <x v="0"/>
    <x v="1"/>
    <x v="0"/>
    <x v="1"/>
    <s v="DK2_Large"/>
    <x v="3"/>
    <s v="GNR_HP_ELEC_COP-1200_Y-2030"/>
    <x v="0"/>
    <x v="5"/>
    <n v="954.01018165034304"/>
    <n v="348213.71630237502"/>
    <n v="1253569.3786885501"/>
  </r>
  <r>
    <x v="0"/>
    <x v="0"/>
    <x v="1"/>
    <x v="0"/>
    <x v="1"/>
    <s v="DK2_Large"/>
    <x v="3"/>
    <s v="GNR_HP_ELEC_COP-1200_Y-2030"/>
    <x v="0"/>
    <x v="6"/>
    <n v="954.01018165034304"/>
    <n v="348213.71630237502"/>
    <n v="1253569.3786885501"/>
  </r>
  <r>
    <x v="0"/>
    <x v="0"/>
    <x v="1"/>
    <x v="0"/>
    <x v="1"/>
    <s v="DK2_Large"/>
    <x v="3"/>
    <s v="GNR_HP_ELEC_COP-1200_Y-2030"/>
    <x v="0"/>
    <x v="7"/>
    <n v="954.01018165034304"/>
    <n v="348213.71630237502"/>
    <n v="1253569.3786885501"/>
  </r>
  <r>
    <x v="0"/>
    <x v="0"/>
    <x v="1"/>
    <x v="0"/>
    <x v="1"/>
    <s v="DK2_Large"/>
    <x v="3"/>
    <s v="GNR_HP_ELEC_COP-1200_Y-2030"/>
    <x v="0"/>
    <x v="8"/>
    <n v="954.01018165034304"/>
    <n v="348213.71630237502"/>
    <n v="1253569.3786885501"/>
  </r>
  <r>
    <x v="0"/>
    <x v="0"/>
    <x v="1"/>
    <x v="0"/>
    <x v="1"/>
    <s v="DK2_Large"/>
    <x v="3"/>
    <s v="GNR_HP_ELEC_COP-1200_Y-2030"/>
    <x v="0"/>
    <x v="9"/>
    <n v="954.01018165034304"/>
    <n v="348213.71630237502"/>
    <n v="1253569.3786885501"/>
  </r>
  <r>
    <x v="0"/>
    <x v="0"/>
    <x v="1"/>
    <x v="0"/>
    <x v="1"/>
    <s v="DK2_Large"/>
    <x v="3"/>
    <s v="GNR_HP_ELEC_COP-1200_Y-2030"/>
    <x v="0"/>
    <x v="10"/>
    <n v="954.01018165034304"/>
    <n v="348213.71630237502"/>
    <n v="1253569.3786885501"/>
  </r>
  <r>
    <x v="0"/>
    <x v="0"/>
    <x v="1"/>
    <x v="0"/>
    <x v="1"/>
    <s v="DK2_Large"/>
    <x v="3"/>
    <s v="GNR_HP_ELEC_COP-1200_Y-2030"/>
    <x v="0"/>
    <x v="11"/>
    <n v="949.39888390339797"/>
    <n v="346530.59262473998"/>
    <n v="1247510.1334490699"/>
  </r>
  <r>
    <x v="0"/>
    <x v="0"/>
    <x v="1"/>
    <x v="0"/>
    <x v="1"/>
    <s v="DK2_Large"/>
    <x v="3"/>
    <s v="GNR_HP_ELEC_COP-1200_Y-2030"/>
    <x v="0"/>
    <x v="12"/>
    <n v="900.49230907257299"/>
    <n v="328679.69281148899"/>
    <n v="1183246.89412136"/>
  </r>
  <r>
    <x v="0"/>
    <x v="0"/>
    <x v="1"/>
    <x v="0"/>
    <x v="1"/>
    <s v="DK2_Large"/>
    <x v="3"/>
    <s v="GNR_HP_ELEC_COP-1200_Y-2030"/>
    <x v="0"/>
    <x v="13"/>
    <n v="876.71099410640704"/>
    <n v="319999.51284883899"/>
    <n v="1151998.2462558199"/>
  </r>
  <r>
    <x v="0"/>
    <x v="0"/>
    <x v="1"/>
    <x v="0"/>
    <x v="1"/>
    <s v="DK2_Large"/>
    <x v="3"/>
    <s v="GNR_HP_ELEC_COP-1200_Y-2030"/>
    <x v="0"/>
    <x v="14"/>
    <n v="857.75969635946296"/>
    <n v="313082.28917120397"/>
    <n v="1127096.24101633"/>
  </r>
  <r>
    <x v="0"/>
    <x v="0"/>
    <x v="1"/>
    <x v="0"/>
    <x v="1"/>
    <s v="DK2_Large"/>
    <x v="3"/>
    <s v="GNR_HP_ELEC_COP-1200_Y-2030"/>
    <x v="0"/>
    <x v="15"/>
    <n v="876.71099410640704"/>
    <n v="319999.51284883899"/>
    <n v="1151998.2462558199"/>
  </r>
  <r>
    <x v="0"/>
    <x v="0"/>
    <x v="1"/>
    <x v="0"/>
    <x v="1"/>
    <s v="DK2_Large"/>
    <x v="3"/>
    <s v="GNR_HP_ELEC_COP-1200_Y-2030"/>
    <x v="0"/>
    <x v="16"/>
    <n v="954.01018165034304"/>
    <n v="348213.71630237502"/>
    <n v="1253569.3786885501"/>
  </r>
  <r>
    <x v="0"/>
    <x v="0"/>
    <x v="1"/>
    <x v="0"/>
    <x v="1"/>
    <s v="DK2_Large"/>
    <x v="3"/>
    <s v="GNR_HP_ELEC_COP-1200_Y-2030"/>
    <x v="0"/>
    <x v="17"/>
    <n v="954.01018165034304"/>
    <n v="348213.71630237502"/>
    <n v="1253569.3786885501"/>
  </r>
  <r>
    <x v="0"/>
    <x v="0"/>
    <x v="1"/>
    <x v="0"/>
    <x v="1"/>
    <s v="DK2_Large"/>
    <x v="3"/>
    <s v="GNR_HP_ELEC_COP-1200_Y-2030"/>
    <x v="0"/>
    <x v="18"/>
    <n v="954.01018165034304"/>
    <n v="348213.71630237502"/>
    <n v="1253569.3786885501"/>
  </r>
  <r>
    <x v="0"/>
    <x v="0"/>
    <x v="1"/>
    <x v="0"/>
    <x v="1"/>
    <s v="DK2_Large"/>
    <x v="3"/>
    <s v="GNR_HP_ELEC_COP-1200_Y-2030"/>
    <x v="0"/>
    <x v="19"/>
    <n v="954.01018165034304"/>
    <n v="348213.71630237502"/>
    <n v="1253569.3786885501"/>
  </r>
  <r>
    <x v="0"/>
    <x v="0"/>
    <x v="1"/>
    <x v="0"/>
    <x v="1"/>
    <s v="DK2_Large"/>
    <x v="3"/>
    <s v="GNR_HP_ELEC_COP-1200_Y-2030"/>
    <x v="0"/>
    <x v="20"/>
    <n v="954.01018165034304"/>
    <n v="348213.71630237502"/>
    <n v="1253569.3786885501"/>
  </r>
  <r>
    <x v="0"/>
    <x v="0"/>
    <x v="1"/>
    <x v="0"/>
    <x v="1"/>
    <s v="DK2_Large"/>
    <x v="3"/>
    <s v="GNR_HP_ELEC_COP-1200_Y-2030"/>
    <x v="0"/>
    <x v="21"/>
    <n v="915.836253971068"/>
    <n v="334280.23269943998"/>
    <n v="1203408.8377179799"/>
  </r>
  <r>
    <x v="0"/>
    <x v="0"/>
    <x v="1"/>
    <x v="0"/>
    <x v="1"/>
    <s v="DK2_Large"/>
    <x v="3"/>
    <s v="GNR_HP_ELEC_COP-1200_Y-2030"/>
    <x v="0"/>
    <x v="22"/>
    <n v="867.54101132562801"/>
    <n v="316652.46913385403"/>
    <n v="1139948.8888818701"/>
  </r>
  <r>
    <x v="0"/>
    <x v="0"/>
    <x v="1"/>
    <x v="0"/>
    <x v="1"/>
    <s v="DK2_Large"/>
    <x v="3"/>
    <s v="GNR_HP_ELEC_COP-1200_Y-2030"/>
    <x v="0"/>
    <x v="23"/>
    <n v="832.634436494802"/>
    <n v="303911.56932060298"/>
    <n v="1094081.64955417"/>
  </r>
  <r>
    <x v="0"/>
    <x v="0"/>
    <x v="1"/>
    <x v="0"/>
    <x v="1"/>
    <s v="DK2_Large"/>
    <x v="3"/>
    <s v="GNR_HP_ELEC_COP-300"/>
    <x v="0"/>
    <x v="4"/>
    <n v="0.34"/>
    <n v="124.1"/>
    <n v="446.76"/>
  </r>
  <r>
    <x v="0"/>
    <x v="0"/>
    <x v="1"/>
    <x v="0"/>
    <x v="1"/>
    <s v="DK2_Large"/>
    <x v="3"/>
    <s v="GNR_HP_ELEC_COP-300"/>
    <x v="0"/>
    <x v="5"/>
    <n v="0.34"/>
    <n v="124.1"/>
    <n v="446.76"/>
  </r>
  <r>
    <x v="0"/>
    <x v="0"/>
    <x v="1"/>
    <x v="0"/>
    <x v="1"/>
    <s v="DK2_Large"/>
    <x v="3"/>
    <s v="GNR_HP_ELEC_COP-300"/>
    <x v="0"/>
    <x v="6"/>
    <n v="0.34"/>
    <n v="124.1"/>
    <n v="446.76"/>
  </r>
  <r>
    <x v="0"/>
    <x v="0"/>
    <x v="1"/>
    <x v="0"/>
    <x v="1"/>
    <s v="DK2_Large"/>
    <x v="3"/>
    <s v="GNR_HP_ELEC_COP-300"/>
    <x v="0"/>
    <x v="7"/>
    <n v="0.34"/>
    <n v="124.1"/>
    <n v="446.76"/>
  </r>
  <r>
    <x v="0"/>
    <x v="0"/>
    <x v="1"/>
    <x v="0"/>
    <x v="1"/>
    <s v="DK2_Large"/>
    <x v="3"/>
    <s v="GNR_HP_ELEC_COP-300"/>
    <x v="0"/>
    <x v="8"/>
    <n v="0.34"/>
    <n v="124.1"/>
    <n v="446.76"/>
  </r>
  <r>
    <x v="0"/>
    <x v="0"/>
    <x v="1"/>
    <x v="0"/>
    <x v="1"/>
    <s v="DK2_Large"/>
    <x v="3"/>
    <s v="GNR_HP_ELEC_COP-300"/>
    <x v="0"/>
    <x v="9"/>
    <n v="0.34"/>
    <n v="124.1"/>
    <n v="446.76"/>
  </r>
  <r>
    <x v="0"/>
    <x v="0"/>
    <x v="1"/>
    <x v="0"/>
    <x v="1"/>
    <s v="DK2_Large"/>
    <x v="3"/>
    <s v="GNR_HP_ELEC_COP-300"/>
    <x v="0"/>
    <x v="10"/>
    <n v="0.34"/>
    <n v="124.1"/>
    <n v="446.76"/>
  </r>
  <r>
    <x v="0"/>
    <x v="0"/>
    <x v="1"/>
    <x v="0"/>
    <x v="1"/>
    <s v="DK2_Large"/>
    <x v="3"/>
    <s v="GNR_HP_ELEC_COP-300"/>
    <x v="0"/>
    <x v="16"/>
    <n v="0.34"/>
    <n v="124.1"/>
    <n v="446.76"/>
  </r>
  <r>
    <x v="0"/>
    <x v="0"/>
    <x v="1"/>
    <x v="0"/>
    <x v="1"/>
    <s v="DK2_Large"/>
    <x v="3"/>
    <s v="GNR_HP_ELEC_COP-300"/>
    <x v="0"/>
    <x v="17"/>
    <n v="0.34"/>
    <n v="124.1"/>
    <n v="446.76"/>
  </r>
  <r>
    <x v="0"/>
    <x v="0"/>
    <x v="1"/>
    <x v="0"/>
    <x v="1"/>
    <s v="DK2_Large"/>
    <x v="3"/>
    <s v="GNR_HP_ELEC_COP-300"/>
    <x v="0"/>
    <x v="18"/>
    <n v="0.34"/>
    <n v="124.1"/>
    <n v="446.76"/>
  </r>
  <r>
    <x v="0"/>
    <x v="0"/>
    <x v="1"/>
    <x v="0"/>
    <x v="1"/>
    <s v="DK2_Large"/>
    <x v="3"/>
    <s v="GNR_HP_ELEC_COP-300"/>
    <x v="0"/>
    <x v="19"/>
    <n v="0.34"/>
    <n v="124.1"/>
    <n v="446.76"/>
  </r>
  <r>
    <x v="0"/>
    <x v="0"/>
    <x v="1"/>
    <x v="0"/>
    <x v="1"/>
    <s v="DK2_Large"/>
    <x v="3"/>
    <s v="GNR_HP_ELEC_COP-300"/>
    <x v="0"/>
    <x v="20"/>
    <n v="0.34"/>
    <n v="124.1"/>
    <n v="446.76"/>
  </r>
  <r>
    <x v="0"/>
    <x v="0"/>
    <x v="1"/>
    <x v="0"/>
    <x v="1"/>
    <s v="DK2_Large"/>
    <x v="1"/>
    <s v="GNR_ST_MSW_BP_E-27"/>
    <x v="0"/>
    <x v="17"/>
    <n v="61.197872577770099"/>
    <n v="22337.223490886099"/>
    <n v="80414.004567189899"/>
  </r>
  <r>
    <x v="0"/>
    <x v="0"/>
    <x v="1"/>
    <x v="0"/>
    <x v="1"/>
    <s v="DK2_Large"/>
    <x v="1"/>
    <s v="GNR_ST_MSW_BP_E-27"/>
    <x v="0"/>
    <x v="18"/>
    <n v="65.593567512395097"/>
    <n v="23941.652142024199"/>
    <n v="86189.947711287095"/>
  </r>
  <r>
    <x v="0"/>
    <x v="0"/>
    <x v="1"/>
    <x v="0"/>
    <x v="1"/>
    <s v="DK2_Large"/>
    <x v="1"/>
    <s v="GNR_ST_MSW_BP_E-27"/>
    <x v="0"/>
    <x v="19"/>
    <n v="65.593567512395097"/>
    <n v="23941.652142024199"/>
    <n v="86189.947711287095"/>
  </r>
  <r>
    <x v="0"/>
    <x v="0"/>
    <x v="1"/>
    <x v="0"/>
    <x v="1"/>
    <s v="DK2_Large"/>
    <x v="1"/>
    <s v="GNR_ST_MSW_BP_E-27"/>
    <x v="0"/>
    <x v="20"/>
    <n v="3.1213149661650701"/>
    <n v="1139.2799626502499"/>
    <n v="4101.4078655409103"/>
  </r>
  <r>
    <x v="0"/>
    <x v="0"/>
    <x v="1"/>
    <x v="0"/>
    <x v="1"/>
    <s v="DK2_Large"/>
    <x v="2"/>
    <s v="GNR_GEO_HEAT_HO"/>
    <x v="0"/>
    <x v="4"/>
    <n v="14"/>
    <n v="5110"/>
    <n v="18396"/>
  </r>
  <r>
    <x v="0"/>
    <x v="0"/>
    <x v="1"/>
    <x v="0"/>
    <x v="1"/>
    <s v="DK2_Large"/>
    <x v="2"/>
    <s v="GNR_GEO_HEAT_HO"/>
    <x v="0"/>
    <x v="5"/>
    <n v="14"/>
    <n v="5110"/>
    <n v="18396"/>
  </r>
  <r>
    <x v="0"/>
    <x v="0"/>
    <x v="1"/>
    <x v="0"/>
    <x v="1"/>
    <s v="DK2_Large"/>
    <x v="2"/>
    <s v="GNR_GEO_HEAT_HO"/>
    <x v="0"/>
    <x v="6"/>
    <n v="14"/>
    <n v="5110"/>
    <n v="18396"/>
  </r>
  <r>
    <x v="0"/>
    <x v="0"/>
    <x v="1"/>
    <x v="0"/>
    <x v="1"/>
    <s v="DK2_Large"/>
    <x v="2"/>
    <s v="GNR_GEO_HEAT_HO"/>
    <x v="0"/>
    <x v="7"/>
    <n v="14"/>
    <n v="5110"/>
    <n v="18396"/>
  </r>
  <r>
    <x v="0"/>
    <x v="0"/>
    <x v="1"/>
    <x v="0"/>
    <x v="1"/>
    <s v="DK2_Large"/>
    <x v="2"/>
    <s v="GNR_GEO_HEAT_HO"/>
    <x v="0"/>
    <x v="8"/>
    <n v="14"/>
    <n v="5110"/>
    <n v="18396"/>
  </r>
  <r>
    <x v="0"/>
    <x v="0"/>
    <x v="1"/>
    <x v="0"/>
    <x v="1"/>
    <s v="DK2_Large"/>
    <x v="2"/>
    <s v="GNR_GEO_HEAT_HO"/>
    <x v="0"/>
    <x v="9"/>
    <n v="14"/>
    <n v="5110"/>
    <n v="18396"/>
  </r>
  <r>
    <x v="0"/>
    <x v="0"/>
    <x v="1"/>
    <x v="0"/>
    <x v="1"/>
    <s v="DK2_Large"/>
    <x v="2"/>
    <s v="GNR_GEO_HEAT_HO"/>
    <x v="0"/>
    <x v="10"/>
    <n v="14"/>
    <n v="5110"/>
    <n v="18396"/>
  </r>
  <r>
    <x v="0"/>
    <x v="0"/>
    <x v="1"/>
    <x v="0"/>
    <x v="1"/>
    <s v="DK2_Large"/>
    <x v="2"/>
    <s v="GNR_GEO_HEAT_HO"/>
    <x v="0"/>
    <x v="13"/>
    <n v="14"/>
    <n v="5110"/>
    <n v="18396"/>
  </r>
  <r>
    <x v="0"/>
    <x v="0"/>
    <x v="1"/>
    <x v="0"/>
    <x v="1"/>
    <s v="DK2_Large"/>
    <x v="2"/>
    <s v="GNR_GEO_HEAT_HO"/>
    <x v="0"/>
    <x v="14"/>
    <n v="14"/>
    <n v="5110"/>
    <n v="18396"/>
  </r>
  <r>
    <x v="0"/>
    <x v="0"/>
    <x v="1"/>
    <x v="0"/>
    <x v="1"/>
    <s v="DK2_Large"/>
    <x v="2"/>
    <s v="GNR_GEO_HEAT_HO"/>
    <x v="0"/>
    <x v="15"/>
    <n v="14"/>
    <n v="5110"/>
    <n v="18396"/>
  </r>
  <r>
    <x v="0"/>
    <x v="0"/>
    <x v="1"/>
    <x v="0"/>
    <x v="1"/>
    <s v="DK2_Large"/>
    <x v="2"/>
    <s v="GNR_GEO_HEAT_HO"/>
    <x v="0"/>
    <x v="16"/>
    <n v="14"/>
    <n v="5110"/>
    <n v="18396"/>
  </r>
  <r>
    <x v="0"/>
    <x v="0"/>
    <x v="1"/>
    <x v="0"/>
    <x v="1"/>
    <s v="DK2_Large"/>
    <x v="2"/>
    <s v="GNR_GEO_HEAT_HO"/>
    <x v="0"/>
    <x v="17"/>
    <n v="14"/>
    <n v="5110"/>
    <n v="18396"/>
  </r>
  <r>
    <x v="0"/>
    <x v="0"/>
    <x v="1"/>
    <x v="0"/>
    <x v="1"/>
    <s v="DK2_Large"/>
    <x v="2"/>
    <s v="GNR_GEO_HEAT_HO"/>
    <x v="0"/>
    <x v="18"/>
    <n v="14"/>
    <n v="5110"/>
    <n v="18396"/>
  </r>
  <r>
    <x v="0"/>
    <x v="0"/>
    <x v="1"/>
    <x v="0"/>
    <x v="1"/>
    <s v="DK2_Large"/>
    <x v="2"/>
    <s v="GNR_GEO_HEAT_HO"/>
    <x v="0"/>
    <x v="19"/>
    <n v="14"/>
    <n v="5110"/>
    <n v="18396"/>
  </r>
  <r>
    <x v="0"/>
    <x v="0"/>
    <x v="1"/>
    <x v="0"/>
    <x v="1"/>
    <s v="DK2_Large"/>
    <x v="2"/>
    <s v="GNR_GEO_HEAT_HO"/>
    <x v="0"/>
    <x v="20"/>
    <n v="14"/>
    <n v="5110"/>
    <n v="18396"/>
  </r>
  <r>
    <x v="0"/>
    <x v="0"/>
    <x v="1"/>
    <x v="0"/>
    <x v="1"/>
    <s v="DK2_Large"/>
    <x v="2"/>
    <s v="GNR_GEO_HEAT_HO"/>
    <x v="0"/>
    <x v="21"/>
    <n v="14"/>
    <n v="5110"/>
    <n v="18396"/>
  </r>
  <r>
    <x v="0"/>
    <x v="0"/>
    <x v="1"/>
    <x v="0"/>
    <x v="1"/>
    <s v="DK2_Large"/>
    <x v="2"/>
    <s v="GNR_GEO_HEAT_HO"/>
    <x v="0"/>
    <x v="22"/>
    <n v="14"/>
    <n v="5110"/>
    <n v="18396"/>
  </r>
  <r>
    <x v="0"/>
    <x v="0"/>
    <x v="1"/>
    <x v="0"/>
    <x v="1"/>
    <s v="DK2_Large"/>
    <x v="7"/>
    <s v="GNR_BO_WOODWST_E-90"/>
    <x v="0"/>
    <x v="6"/>
    <n v="6.66"/>
    <n v="2430.9"/>
    <n v="8751.24"/>
  </r>
  <r>
    <x v="0"/>
    <x v="0"/>
    <x v="1"/>
    <x v="0"/>
    <x v="1"/>
    <s v="DK2_Large"/>
    <x v="7"/>
    <s v="GNR_BO_WOODWST_E-90"/>
    <x v="0"/>
    <x v="7"/>
    <n v="6.66"/>
    <n v="2430.9"/>
    <n v="8751.24"/>
  </r>
  <r>
    <x v="0"/>
    <x v="0"/>
    <x v="1"/>
    <x v="0"/>
    <x v="1"/>
    <s v="DK2_Large"/>
    <x v="7"/>
    <s v="GNR_BO_WOODWST_E-90"/>
    <x v="0"/>
    <x v="8"/>
    <n v="6.66"/>
    <n v="2430.9"/>
    <n v="8751.24"/>
  </r>
  <r>
    <x v="0"/>
    <x v="0"/>
    <x v="1"/>
    <x v="0"/>
    <x v="1"/>
    <s v="DK2_Large"/>
    <x v="7"/>
    <s v="GNR_BO_WOODWST_E-90"/>
    <x v="0"/>
    <x v="9"/>
    <n v="6.66"/>
    <n v="2430.9"/>
    <n v="8751.24"/>
  </r>
  <r>
    <x v="0"/>
    <x v="0"/>
    <x v="1"/>
    <x v="0"/>
    <x v="1"/>
    <s v="DK2_Large"/>
    <x v="7"/>
    <s v="GNR_BO_WOODWST_E-90"/>
    <x v="0"/>
    <x v="17"/>
    <n v="6.66"/>
    <n v="2430.9"/>
    <n v="8751.24"/>
  </r>
  <r>
    <x v="0"/>
    <x v="0"/>
    <x v="1"/>
    <x v="0"/>
    <x v="1"/>
    <s v="DK2_Large"/>
    <x v="7"/>
    <s v="GNR_BO_WOODWST_E-90"/>
    <x v="0"/>
    <x v="18"/>
    <n v="6.66"/>
    <n v="2430.9"/>
    <n v="8751.24"/>
  </r>
  <r>
    <x v="0"/>
    <x v="0"/>
    <x v="1"/>
    <x v="0"/>
    <x v="1"/>
    <s v="DK2_Large"/>
    <x v="7"/>
    <s v="GNR_BO_WOODWST_E-90"/>
    <x v="0"/>
    <x v="19"/>
    <n v="6.66"/>
    <n v="2430.9"/>
    <n v="8751.24"/>
  </r>
  <r>
    <x v="0"/>
    <x v="0"/>
    <x v="1"/>
    <x v="0"/>
    <x v="1"/>
    <s v="DK2_Large"/>
    <x v="7"/>
    <s v="GNR_BO_WOODWST_E-90"/>
    <x v="0"/>
    <x v="20"/>
    <n v="6.66"/>
    <n v="2430.9"/>
    <n v="8751.24"/>
  </r>
  <r>
    <x v="0"/>
    <x v="0"/>
    <x v="1"/>
    <x v="0"/>
    <x v="1"/>
    <s v="DK2_MedSmall"/>
    <x v="3"/>
    <s v="GNR_BO_ELEC_E-99_SS-1-MW-FEED_Y-2030"/>
    <x v="0"/>
    <x v="8"/>
    <n v="0.81972814940002103"/>
    <n v="299.20077453100799"/>
    <n v="1077.1227883116301"/>
  </r>
  <r>
    <x v="0"/>
    <x v="0"/>
    <x v="1"/>
    <x v="0"/>
    <x v="1"/>
    <s v="DK2_MedSmall"/>
    <x v="3"/>
    <s v="GNR_BO_ELEC_E-99_SS-1-MW-FEED_Y-2030"/>
    <x v="0"/>
    <x v="9"/>
    <n v="1.5483753933111499"/>
    <n v="565.15701855856901"/>
    <n v="2034.5652668108501"/>
  </r>
  <r>
    <x v="0"/>
    <x v="0"/>
    <x v="1"/>
    <x v="0"/>
    <x v="1"/>
    <s v="DK2_MedSmall"/>
    <x v="3"/>
    <s v="GNR_BO_ELEC_E-99_SS-1-MW-FEED_Y-2030"/>
    <x v="0"/>
    <x v="10"/>
    <n v="1.5483753933111499"/>
    <n v="565.15701855856901"/>
    <n v="2034.5652668108501"/>
  </r>
  <r>
    <x v="0"/>
    <x v="0"/>
    <x v="1"/>
    <x v="0"/>
    <x v="1"/>
    <s v="DK2_MedSmall"/>
    <x v="3"/>
    <s v="GNR_BO_ELEC_E-99_SS-1-MW-FEED_Y-2030"/>
    <x v="0"/>
    <x v="11"/>
    <n v="1.5483753933111499"/>
    <n v="565.15701855856901"/>
    <n v="2034.5652668108501"/>
  </r>
  <r>
    <x v="0"/>
    <x v="0"/>
    <x v="1"/>
    <x v="0"/>
    <x v="1"/>
    <s v="DK2_MedSmall"/>
    <x v="3"/>
    <s v="GNR_BO_ELEC_E-99_SS-1-MW-FEED_Y-2030"/>
    <x v="0"/>
    <x v="12"/>
    <n v="1.0929708658666899"/>
    <n v="398.934366041342"/>
    <n v="1436.1637177488301"/>
  </r>
  <r>
    <x v="0"/>
    <x v="0"/>
    <x v="1"/>
    <x v="0"/>
    <x v="1"/>
    <s v="DK2_MedSmall"/>
    <x v="3"/>
    <s v="GNR_BO_ELEC_E-99_SS-1-MW-FEED_Y-2030"/>
    <x v="0"/>
    <x v="15"/>
    <n v="0.18216181097777501"/>
    <n v="66.489061006887695"/>
    <n v="239.36061962479599"/>
  </r>
  <r>
    <x v="0"/>
    <x v="0"/>
    <x v="1"/>
    <x v="0"/>
    <x v="1"/>
    <s v="DK2_MedSmall"/>
    <x v="3"/>
    <s v="GNR_BO_ELEC_E-99_SS-1-MW-FEED_Y-2030"/>
    <x v="0"/>
    <x v="16"/>
    <n v="1.2295922241000199"/>
    <n v="448.80116179650599"/>
    <n v="1615.68418246742"/>
  </r>
  <r>
    <x v="0"/>
    <x v="0"/>
    <x v="1"/>
    <x v="0"/>
    <x v="1"/>
    <s v="DK2_MedSmall"/>
    <x v="3"/>
    <s v="GNR_HP_ELEC_COP-1200_Y-2030"/>
    <x v="0"/>
    <x v="0"/>
    <n v="61.525151657745802"/>
    <n v="22456.680355077198"/>
    <n v="80844.049278277904"/>
  </r>
  <r>
    <x v="0"/>
    <x v="0"/>
    <x v="1"/>
    <x v="0"/>
    <x v="1"/>
    <s v="DK2_MedSmall"/>
    <x v="3"/>
    <s v="GNR_HP_ELEC_COP-1200_Y-2030"/>
    <x v="0"/>
    <x v="1"/>
    <n v="60.842044866579101"/>
    <n v="22207.346376301401"/>
    <n v="79946.4469546849"/>
  </r>
  <r>
    <x v="0"/>
    <x v="0"/>
    <x v="1"/>
    <x v="0"/>
    <x v="1"/>
    <s v="DK2_MedSmall"/>
    <x v="3"/>
    <s v="GNR_HP_ELEC_COP-1200_Y-2030"/>
    <x v="0"/>
    <x v="2"/>
    <n v="60.341099886390197"/>
    <n v="22024.501458532399"/>
    <n v="79288.205250716695"/>
  </r>
  <r>
    <x v="0"/>
    <x v="0"/>
    <x v="1"/>
    <x v="0"/>
    <x v="1"/>
    <s v="DK2_MedSmall"/>
    <x v="3"/>
    <s v="GNR_HP_ELEC_COP-1200_Y-2030"/>
    <x v="0"/>
    <x v="3"/>
    <n v="60.705423508345703"/>
    <n v="22157.479580546202"/>
    <n v="79766.926489966296"/>
  </r>
  <r>
    <x v="0"/>
    <x v="0"/>
    <x v="1"/>
    <x v="0"/>
    <x v="1"/>
    <s v="DK2_MedSmall"/>
    <x v="3"/>
    <s v="GNR_HP_ELEC_COP-1200_Y-2030"/>
    <x v="0"/>
    <x v="4"/>
    <n v="62.4815011653791"/>
    <n v="22805.747925363401"/>
    <n v="82100.692531308203"/>
  </r>
  <r>
    <x v="0"/>
    <x v="0"/>
    <x v="1"/>
    <x v="0"/>
    <x v="1"/>
    <s v="DK2_MedSmall"/>
    <x v="3"/>
    <s v="GNR_HP_ELEC_COP-1200_Y-2030"/>
    <x v="0"/>
    <x v="5"/>
    <n v="63.802174294967998"/>
    <n v="23287.793617663301"/>
    <n v="83836.057023588"/>
  </r>
  <r>
    <x v="0"/>
    <x v="0"/>
    <x v="1"/>
    <x v="0"/>
    <x v="1"/>
    <s v="DK2_MedSmall"/>
    <x v="3"/>
    <s v="GNR_HP_ELEC_COP-1200_Y-2030"/>
    <x v="0"/>
    <x v="6"/>
    <n v="72.136077147201505"/>
    <n v="26329.6681587286"/>
    <n v="94786.805371422801"/>
  </r>
  <r>
    <x v="0"/>
    <x v="0"/>
    <x v="1"/>
    <x v="0"/>
    <x v="1"/>
    <s v="DK2_MedSmall"/>
    <x v="3"/>
    <s v="GNR_HP_ELEC_COP-1200_Y-2030"/>
    <x v="0"/>
    <x v="7"/>
    <n v="78.105656377479505"/>
    <n v="28508.564577779998"/>
    <n v="102630.832480008"/>
  </r>
  <r>
    <x v="0"/>
    <x v="0"/>
    <x v="1"/>
    <x v="0"/>
    <x v="1"/>
    <s v="DK2_MedSmall"/>
    <x v="3"/>
    <s v="GNR_HP_ELEC_COP-1200_Y-2030"/>
    <x v="0"/>
    <x v="8"/>
    <n v="79.198627243346195"/>
    <n v="28907.4989438214"/>
    <n v="104066.99619775701"/>
  </r>
  <r>
    <x v="0"/>
    <x v="0"/>
    <x v="1"/>
    <x v="0"/>
    <x v="1"/>
    <s v="DK2_MedSmall"/>
    <x v="3"/>
    <s v="GNR_HP_ELEC_COP-1200_Y-2030"/>
    <x v="0"/>
    <x v="9"/>
    <n v="79.198627243346195"/>
    <n v="28907.4989438214"/>
    <n v="104066.99619775701"/>
  </r>
  <r>
    <x v="0"/>
    <x v="0"/>
    <x v="1"/>
    <x v="0"/>
    <x v="1"/>
    <s v="DK2_MedSmall"/>
    <x v="3"/>
    <s v="GNR_HP_ELEC_COP-1200_Y-2030"/>
    <x v="0"/>
    <x v="10"/>
    <n v="79.198627243346195"/>
    <n v="28907.4989438214"/>
    <n v="104066.99619775701"/>
  </r>
  <r>
    <x v="0"/>
    <x v="0"/>
    <x v="1"/>
    <x v="0"/>
    <x v="1"/>
    <s v="DK2_MedSmall"/>
    <x v="3"/>
    <s v="GNR_HP_ELEC_COP-1200_Y-2030"/>
    <x v="0"/>
    <x v="11"/>
    <n v="79.198627243346195"/>
    <n v="28907.4989438214"/>
    <n v="104066.99619775701"/>
  </r>
  <r>
    <x v="0"/>
    <x v="0"/>
    <x v="1"/>
    <x v="0"/>
    <x v="1"/>
    <s v="DK2_MedSmall"/>
    <x v="3"/>
    <s v="GNR_HP_ELEC_COP-1200_Y-2030"/>
    <x v="0"/>
    <x v="12"/>
    <n v="79.198627243346195"/>
    <n v="28907.4989438214"/>
    <n v="104066.99619775701"/>
  </r>
  <r>
    <x v="0"/>
    <x v="0"/>
    <x v="1"/>
    <x v="0"/>
    <x v="1"/>
    <s v="DK2_MedSmall"/>
    <x v="3"/>
    <s v="GNR_HP_ELEC_COP-1200_Y-2030"/>
    <x v="0"/>
    <x v="13"/>
    <n v="78.287818188457294"/>
    <n v="28575.0536387869"/>
    <n v="102870.193099633"/>
  </r>
  <r>
    <x v="0"/>
    <x v="0"/>
    <x v="1"/>
    <x v="0"/>
    <x v="1"/>
    <s v="DK2_MedSmall"/>
    <x v="3"/>
    <s v="GNR_HP_ELEC_COP-1200_Y-2030"/>
    <x v="0"/>
    <x v="14"/>
    <n v="78.834303621390603"/>
    <n v="28774.5208218076"/>
    <n v="103588.274958507"/>
  </r>
  <r>
    <x v="0"/>
    <x v="0"/>
    <x v="1"/>
    <x v="0"/>
    <x v="1"/>
    <s v="DK2_MedSmall"/>
    <x v="3"/>
    <s v="GNR_HP_ELEC_COP-1200_Y-2030"/>
    <x v="0"/>
    <x v="15"/>
    <n v="79.198627243346195"/>
    <n v="28907.4989438214"/>
    <n v="104066.99619775701"/>
  </r>
  <r>
    <x v="0"/>
    <x v="0"/>
    <x v="1"/>
    <x v="0"/>
    <x v="1"/>
    <s v="DK2_MedSmall"/>
    <x v="3"/>
    <s v="GNR_HP_ELEC_COP-1200_Y-2030"/>
    <x v="0"/>
    <x v="16"/>
    <n v="79.198627243346195"/>
    <n v="28907.4989438214"/>
    <n v="104066.99619775701"/>
  </r>
  <r>
    <x v="0"/>
    <x v="0"/>
    <x v="1"/>
    <x v="0"/>
    <x v="1"/>
    <s v="DK2_MedSmall"/>
    <x v="3"/>
    <s v="GNR_HP_ELEC_COP-1200_Y-2030"/>
    <x v="0"/>
    <x v="17"/>
    <n v="79.198627243346195"/>
    <n v="28907.4989438214"/>
    <n v="104066.99619775701"/>
  </r>
  <r>
    <x v="0"/>
    <x v="0"/>
    <x v="1"/>
    <x v="0"/>
    <x v="1"/>
    <s v="DK2_MedSmall"/>
    <x v="3"/>
    <s v="GNR_HP_ELEC_COP-1200_Y-2030"/>
    <x v="0"/>
    <x v="18"/>
    <n v="79.198627243346195"/>
    <n v="28907.4989438214"/>
    <n v="104066.99619775701"/>
  </r>
  <r>
    <x v="0"/>
    <x v="0"/>
    <x v="1"/>
    <x v="0"/>
    <x v="1"/>
    <s v="DK2_MedSmall"/>
    <x v="3"/>
    <s v="GNR_HP_ELEC_COP-1200_Y-2030"/>
    <x v="0"/>
    <x v="19"/>
    <n v="79.198627243346195"/>
    <n v="28907.4989438214"/>
    <n v="104066.99619775701"/>
  </r>
  <r>
    <x v="0"/>
    <x v="0"/>
    <x v="1"/>
    <x v="0"/>
    <x v="1"/>
    <s v="DK2_MedSmall"/>
    <x v="3"/>
    <s v="GNR_HP_ELEC_COP-1200_Y-2030"/>
    <x v="0"/>
    <x v="20"/>
    <n v="79.198627243346195"/>
    <n v="28907.4989438214"/>
    <n v="104066.99619775701"/>
  </r>
  <r>
    <x v="0"/>
    <x v="0"/>
    <x v="1"/>
    <x v="0"/>
    <x v="1"/>
    <s v="DK2_MedSmall"/>
    <x v="3"/>
    <s v="GNR_HP_ELEC_COP-1200_Y-2030"/>
    <x v="0"/>
    <x v="21"/>
    <n v="73.0962065755905"/>
    <n v="26680.115400090501"/>
    <n v="96048.415440325902"/>
  </r>
  <r>
    <x v="0"/>
    <x v="0"/>
    <x v="1"/>
    <x v="0"/>
    <x v="1"/>
    <s v="DK2_MedSmall"/>
    <x v="3"/>
    <s v="GNR_HP_ELEC_COP-1200_Y-2030"/>
    <x v="0"/>
    <x v="22"/>
    <n v="72.640802048146"/>
    <n v="26513.8927475733"/>
    <n v="95450.013891263894"/>
  </r>
  <r>
    <x v="0"/>
    <x v="0"/>
    <x v="1"/>
    <x v="0"/>
    <x v="1"/>
    <s v="DK2_MedSmall"/>
    <x v="3"/>
    <s v="GNR_HP_ELEC_COP-1200_Y-2030"/>
    <x v="0"/>
    <x v="23"/>
    <n v="73.502290729534906"/>
    <n v="26828.336116280199"/>
    <n v="96582.010018608897"/>
  </r>
  <r>
    <x v="0"/>
    <x v="0"/>
    <x v="1"/>
    <x v="0"/>
    <x v="1"/>
    <s v="DK2_MedSmall"/>
    <x v="2"/>
    <s v="GNR_EH_HEAT"/>
    <x v="0"/>
    <x v="7"/>
    <n v="2"/>
    <n v="730"/>
    <n v="2628"/>
  </r>
  <r>
    <x v="0"/>
    <x v="0"/>
    <x v="1"/>
    <x v="0"/>
    <x v="1"/>
    <s v="DK2_MedSmall"/>
    <x v="2"/>
    <s v="GNR_EH_HEAT"/>
    <x v="0"/>
    <x v="8"/>
    <n v="2"/>
    <n v="730"/>
    <n v="2628"/>
  </r>
  <r>
    <x v="0"/>
    <x v="0"/>
    <x v="1"/>
    <x v="0"/>
    <x v="1"/>
    <s v="DK2_MedSmall"/>
    <x v="2"/>
    <s v="GNR_EH_HEAT"/>
    <x v="0"/>
    <x v="9"/>
    <n v="2"/>
    <n v="730"/>
    <n v="2628"/>
  </r>
  <r>
    <x v="0"/>
    <x v="0"/>
    <x v="1"/>
    <x v="0"/>
    <x v="1"/>
    <s v="DK2_MedSmall"/>
    <x v="2"/>
    <s v="GNR_EH_HEAT"/>
    <x v="0"/>
    <x v="10"/>
    <n v="2"/>
    <n v="730"/>
    <n v="2628"/>
  </r>
  <r>
    <x v="0"/>
    <x v="0"/>
    <x v="1"/>
    <x v="0"/>
    <x v="1"/>
    <s v="DK2_MedSmall"/>
    <x v="2"/>
    <s v="GNR_EH_HEAT"/>
    <x v="0"/>
    <x v="11"/>
    <n v="2"/>
    <n v="730"/>
    <n v="2628"/>
  </r>
  <r>
    <x v="0"/>
    <x v="0"/>
    <x v="1"/>
    <x v="0"/>
    <x v="1"/>
    <s v="DK2_MedSmall"/>
    <x v="2"/>
    <s v="GNR_EH_HEAT"/>
    <x v="0"/>
    <x v="12"/>
    <n v="2"/>
    <n v="730"/>
    <n v="2628"/>
  </r>
  <r>
    <x v="0"/>
    <x v="0"/>
    <x v="1"/>
    <x v="0"/>
    <x v="1"/>
    <s v="DK2_MedSmall"/>
    <x v="2"/>
    <s v="GNR_EH_HEAT"/>
    <x v="0"/>
    <x v="13"/>
    <n v="2"/>
    <n v="730"/>
    <n v="2628"/>
  </r>
  <r>
    <x v="0"/>
    <x v="0"/>
    <x v="1"/>
    <x v="0"/>
    <x v="1"/>
    <s v="DK2_MedSmall"/>
    <x v="2"/>
    <s v="GNR_EH_HEAT"/>
    <x v="0"/>
    <x v="14"/>
    <n v="2"/>
    <n v="730"/>
    <n v="2628"/>
  </r>
  <r>
    <x v="0"/>
    <x v="0"/>
    <x v="1"/>
    <x v="0"/>
    <x v="1"/>
    <s v="DK2_MedSmall"/>
    <x v="2"/>
    <s v="GNR_EH_HEAT"/>
    <x v="0"/>
    <x v="15"/>
    <n v="2"/>
    <n v="730"/>
    <n v="2628"/>
  </r>
  <r>
    <x v="0"/>
    <x v="0"/>
    <x v="1"/>
    <x v="0"/>
    <x v="1"/>
    <s v="DK2_MedSmall"/>
    <x v="2"/>
    <s v="GNR_EH_HEAT"/>
    <x v="0"/>
    <x v="16"/>
    <n v="2"/>
    <n v="730"/>
    <n v="2628"/>
  </r>
  <r>
    <x v="0"/>
    <x v="0"/>
    <x v="1"/>
    <x v="0"/>
    <x v="1"/>
    <s v="DK2_MedSmall"/>
    <x v="2"/>
    <s v="GNR_EH_HEAT"/>
    <x v="0"/>
    <x v="17"/>
    <n v="2"/>
    <n v="730"/>
    <n v="2628"/>
  </r>
  <r>
    <x v="0"/>
    <x v="0"/>
    <x v="1"/>
    <x v="0"/>
    <x v="1"/>
    <s v="DK2_MedSmall"/>
    <x v="2"/>
    <s v="GNR_EH_HEAT"/>
    <x v="0"/>
    <x v="18"/>
    <n v="2"/>
    <n v="730"/>
    <n v="2628"/>
  </r>
  <r>
    <x v="0"/>
    <x v="0"/>
    <x v="1"/>
    <x v="0"/>
    <x v="1"/>
    <s v="DK2_MedSmall"/>
    <x v="2"/>
    <s v="GNR_EH_HEAT"/>
    <x v="0"/>
    <x v="19"/>
    <n v="2"/>
    <n v="730"/>
    <n v="2628"/>
  </r>
  <r>
    <x v="0"/>
    <x v="0"/>
    <x v="1"/>
    <x v="0"/>
    <x v="1"/>
    <s v="DK2_MedSmall"/>
    <x v="2"/>
    <s v="GNR_EH_HEAT"/>
    <x v="0"/>
    <x v="20"/>
    <n v="2"/>
    <n v="730"/>
    <n v="2628"/>
  </r>
  <r>
    <x v="0"/>
    <x v="0"/>
    <x v="1"/>
    <x v="0"/>
    <x v="1"/>
    <s v="DK2_MedSmall"/>
    <x v="2"/>
    <s v="GNR_EH_HEAT"/>
    <x v="0"/>
    <x v="21"/>
    <n v="2"/>
    <n v="730"/>
    <n v="2628"/>
  </r>
  <r>
    <x v="0"/>
    <x v="0"/>
    <x v="1"/>
    <x v="0"/>
    <x v="1"/>
    <s v="DK2_MedSmall"/>
    <x v="2"/>
    <s v="GNR_EH_HEAT"/>
    <x v="0"/>
    <x v="22"/>
    <n v="2"/>
    <n v="730"/>
    <n v="2628"/>
  </r>
  <r>
    <x v="0"/>
    <x v="0"/>
    <x v="1"/>
    <x v="0"/>
    <x v="1"/>
    <s v="DK2_MedSmall"/>
    <x v="6"/>
    <s v="GNR_BO_WOODCHI_E-118"/>
    <x v="0"/>
    <x v="9"/>
    <n v="0.27324271646666898"/>
    <n v="99.733591510334094"/>
    <n v="359.04092943720298"/>
  </r>
  <r>
    <x v="0"/>
    <x v="0"/>
    <x v="1"/>
    <x v="0"/>
    <x v="1"/>
    <s v="DK2_MedSmall"/>
    <x v="6"/>
    <s v="GNR_BO_WOODCHI_E-118"/>
    <x v="0"/>
    <x v="11"/>
    <n v="4.5540452744433003E-2"/>
    <n v="16.622265251718002"/>
    <n v="59.8401549061849"/>
  </r>
  <r>
    <x v="0"/>
    <x v="0"/>
    <x v="1"/>
    <x v="0"/>
    <x v="1"/>
    <s v="DK2_MedSmall"/>
    <x v="6"/>
    <s v="GNR_BO_WOODCHI_E-118"/>
    <x v="0"/>
    <x v="17"/>
    <n v="1.0018899603778"/>
    <n v="365.68983553789502"/>
    <n v="1316.48340793642"/>
  </r>
  <r>
    <x v="0"/>
    <x v="0"/>
    <x v="1"/>
    <x v="0"/>
    <x v="1"/>
    <s v="DK2_MedSmall"/>
    <x v="6"/>
    <s v="GNR_BO_WOODCHI_E-118"/>
    <x v="0"/>
    <x v="18"/>
    <n v="1.18405177135558"/>
    <n v="432.17889654478802"/>
    <n v="1555.84402756124"/>
  </r>
  <r>
    <x v="0"/>
    <x v="0"/>
    <x v="1"/>
    <x v="0"/>
    <x v="1"/>
    <s v="DK2_MedSmall"/>
    <x v="6"/>
    <s v="GNR_BO_WOODCHI_E-118"/>
    <x v="0"/>
    <x v="19"/>
    <n v="1.0018899603778"/>
    <n v="365.68983553789502"/>
    <n v="1316.48340793642"/>
  </r>
  <r>
    <x v="0"/>
    <x v="0"/>
    <x v="1"/>
    <x v="0"/>
    <x v="1"/>
    <s v="DK2_Medium"/>
    <x v="3"/>
    <s v="GNR_BO_ELEC_E-99_LS-10-MW-FEED_Y-2030"/>
    <x v="0"/>
    <x v="8"/>
    <n v="0.26739845630800102"/>
    <n v="97.600436552420405"/>
    <n v="351.36157158871401"/>
  </r>
  <r>
    <x v="0"/>
    <x v="0"/>
    <x v="1"/>
    <x v="0"/>
    <x v="1"/>
    <s v="DK2_Medium"/>
    <x v="3"/>
    <s v="GNR_BO_ELEC_E-99_LS-10-MW-FEED_Y-2030"/>
    <x v="0"/>
    <x v="10"/>
    <n v="0.80219536892397503"/>
    <n v="292.80130965725101"/>
    <n v="1054.0847147661"/>
  </r>
  <r>
    <x v="0"/>
    <x v="0"/>
    <x v="1"/>
    <x v="0"/>
    <x v="1"/>
    <s v="DK2_Medium"/>
    <x v="3"/>
    <s v="GNR_BO_ELEC_E-99_LS-10-MW-FEED_Y-2030"/>
    <x v="0"/>
    <x v="12"/>
    <n v="0.80219536892397503"/>
    <n v="292.80130965725101"/>
    <n v="1054.0847147661"/>
  </r>
  <r>
    <x v="0"/>
    <x v="0"/>
    <x v="1"/>
    <x v="0"/>
    <x v="1"/>
    <s v="DK2_Medium"/>
    <x v="3"/>
    <s v="GNR_BO_ELEC_E-99_LS-10-MW-FEED_Y-2030"/>
    <x v="0"/>
    <x v="13"/>
    <n v="2.9413830193878701"/>
    <n v="1073.60480207657"/>
    <n v="3864.97728747566"/>
  </r>
  <r>
    <x v="0"/>
    <x v="0"/>
    <x v="1"/>
    <x v="0"/>
    <x v="1"/>
    <s v="DK2_Medium"/>
    <x v="3"/>
    <s v="GNR_BO_ELEC_E-99_LS-10-MW-FEED_Y-2030"/>
    <x v="0"/>
    <x v="14"/>
    <n v="3.7435783883118501"/>
    <n v="1366.4061117338199"/>
    <n v="4919.0620022417697"/>
  </r>
  <r>
    <x v="0"/>
    <x v="0"/>
    <x v="1"/>
    <x v="0"/>
    <x v="1"/>
    <s v="DK2_Medium"/>
    <x v="3"/>
    <s v="GNR_BO_ELEC_E-99_LS-10-MW-FEED_Y-2030"/>
    <x v="0"/>
    <x v="15"/>
    <n v="3.47617993200384"/>
    <n v="1268.8056751813999"/>
    <n v="4567.7004306530498"/>
  </r>
  <r>
    <x v="0"/>
    <x v="0"/>
    <x v="1"/>
    <x v="0"/>
    <x v="1"/>
    <s v="DK2_Medium"/>
    <x v="3"/>
    <s v="GNR_BO_ELEC_E-99_LS-10-MW-FEED_Y-2030"/>
    <x v="0"/>
    <x v="16"/>
    <n v="3.7435783883118501"/>
    <n v="1366.4061117338199"/>
    <n v="4919.0620022417697"/>
  </r>
  <r>
    <x v="0"/>
    <x v="0"/>
    <x v="1"/>
    <x v="0"/>
    <x v="1"/>
    <s v="DK2_Medium"/>
    <x v="3"/>
    <s v="GNR_HP_ELEC_COP-1200_Y-2030"/>
    <x v="0"/>
    <x v="0"/>
    <n v="162.57826143525699"/>
    <n v="59341.0654238688"/>
    <n v="213627.83552592801"/>
  </r>
  <r>
    <x v="0"/>
    <x v="0"/>
    <x v="1"/>
    <x v="0"/>
    <x v="1"/>
    <s v="DK2_Medium"/>
    <x v="3"/>
    <s v="GNR_HP_ELEC_COP-1200_Y-2030"/>
    <x v="0"/>
    <x v="1"/>
    <n v="159.90427687217701"/>
    <n v="58365.061058344603"/>
    <n v="210114.21981004099"/>
  </r>
  <r>
    <x v="0"/>
    <x v="0"/>
    <x v="1"/>
    <x v="0"/>
    <x v="1"/>
    <s v="DK2_Medium"/>
    <x v="3"/>
    <s v="GNR_HP_ELEC_COP-1200_Y-2030"/>
    <x v="0"/>
    <x v="2"/>
    <n v="161.50866761002499"/>
    <n v="58950.663677659097"/>
    <n v="212222.38923957301"/>
  </r>
  <r>
    <x v="0"/>
    <x v="0"/>
    <x v="1"/>
    <x v="0"/>
    <x v="1"/>
    <s v="DK2_Medium"/>
    <x v="3"/>
    <s v="GNR_HP_ELEC_COP-1200_Y-2030"/>
    <x v="0"/>
    <x v="3"/>
    <n v="162.84565989156499"/>
    <n v="59438.665860421199"/>
    <n v="213979.19709751601"/>
  </r>
  <r>
    <x v="0"/>
    <x v="0"/>
    <x v="1"/>
    <x v="0"/>
    <x v="1"/>
    <s v="DK2_Medium"/>
    <x v="3"/>
    <s v="GNR_HP_ELEC_COP-1200_Y-2030"/>
    <x v="0"/>
    <x v="4"/>
    <n v="162.31086297894899"/>
    <n v="59243.464987316402"/>
    <n v="213276.47395433899"/>
  </r>
  <r>
    <x v="0"/>
    <x v="0"/>
    <x v="1"/>
    <x v="0"/>
    <x v="1"/>
    <s v="DK2_Medium"/>
    <x v="3"/>
    <s v="GNR_HP_ELEC_COP-1200_Y-2030"/>
    <x v="0"/>
    <x v="5"/>
    <n v="169.53062129926499"/>
    <n v="61878.676774231601"/>
    <n v="222763.23638723401"/>
  </r>
  <r>
    <x v="0"/>
    <x v="0"/>
    <x v="1"/>
    <x v="0"/>
    <x v="1"/>
    <s v="DK2_Medium"/>
    <x v="3"/>
    <s v="GNR_HP_ELEC_COP-1200_Y-2030"/>
    <x v="0"/>
    <x v="6"/>
    <n v="188.248513240824"/>
    <n v="68710.707332900696"/>
    <n v="247358.546398443"/>
  </r>
  <r>
    <x v="0"/>
    <x v="0"/>
    <x v="1"/>
    <x v="0"/>
    <x v="1"/>
    <s v="DK2_Medium"/>
    <x v="3"/>
    <s v="GNR_HP_ELEC_COP-1200_Y-2030"/>
    <x v="0"/>
    <x v="7"/>
    <n v="193.46827156114"/>
    <n v="70615.919119815895"/>
    <n v="254217.308831337"/>
  </r>
  <r>
    <x v="0"/>
    <x v="0"/>
    <x v="1"/>
    <x v="0"/>
    <x v="1"/>
    <s v="DK2_Medium"/>
    <x v="3"/>
    <s v="GNR_HP_ELEC_COP-1200_Y-2030"/>
    <x v="0"/>
    <x v="8"/>
    <n v="196.67705303683499"/>
    <n v="71787.124358444897"/>
    <n v="258433.64769040199"/>
  </r>
  <r>
    <x v="0"/>
    <x v="0"/>
    <x v="1"/>
    <x v="0"/>
    <x v="1"/>
    <s v="DK2_Medium"/>
    <x v="3"/>
    <s v="GNR_HP_ELEC_COP-1200_Y-2030"/>
    <x v="0"/>
    <x v="9"/>
    <n v="196.67705303683499"/>
    <n v="71787.124358444897"/>
    <n v="258433.64769040199"/>
  </r>
  <r>
    <x v="0"/>
    <x v="0"/>
    <x v="1"/>
    <x v="0"/>
    <x v="1"/>
    <s v="DK2_Medium"/>
    <x v="3"/>
    <s v="GNR_HP_ELEC_COP-1200_Y-2030"/>
    <x v="0"/>
    <x v="10"/>
    <n v="196.67705303683499"/>
    <n v="71787.124358444897"/>
    <n v="258433.64769040199"/>
  </r>
  <r>
    <x v="0"/>
    <x v="0"/>
    <x v="1"/>
    <x v="0"/>
    <x v="1"/>
    <s v="DK2_Medium"/>
    <x v="3"/>
    <s v="GNR_HP_ELEC_COP-1200_Y-2030"/>
    <x v="0"/>
    <x v="11"/>
    <n v="196.67705303683499"/>
    <n v="71787.124358444897"/>
    <n v="258433.64769040199"/>
  </r>
  <r>
    <x v="0"/>
    <x v="0"/>
    <x v="1"/>
    <x v="0"/>
    <x v="1"/>
    <s v="DK2_Medium"/>
    <x v="3"/>
    <s v="GNR_HP_ELEC_COP-1200_Y-2030"/>
    <x v="0"/>
    <x v="12"/>
    <n v="196.67705303683499"/>
    <n v="71787.124358444897"/>
    <n v="258433.64769040199"/>
  </r>
  <r>
    <x v="0"/>
    <x v="0"/>
    <x v="1"/>
    <x v="0"/>
    <x v="1"/>
    <s v="DK2_Medium"/>
    <x v="3"/>
    <s v="GNR_HP_ELEC_COP-1200_Y-2030"/>
    <x v="0"/>
    <x v="13"/>
    <n v="196.67705303683499"/>
    <n v="71787.124358444897"/>
    <n v="258433.64769040199"/>
  </r>
  <r>
    <x v="0"/>
    <x v="0"/>
    <x v="1"/>
    <x v="0"/>
    <x v="1"/>
    <s v="DK2_Medium"/>
    <x v="3"/>
    <s v="GNR_HP_ELEC_COP-1200_Y-2030"/>
    <x v="0"/>
    <x v="14"/>
    <n v="196.67705303683499"/>
    <n v="71787.124358444897"/>
    <n v="258433.64769040199"/>
  </r>
  <r>
    <x v="0"/>
    <x v="0"/>
    <x v="1"/>
    <x v="0"/>
    <x v="1"/>
    <s v="DK2_Medium"/>
    <x v="3"/>
    <s v="GNR_HP_ELEC_COP-1200_Y-2030"/>
    <x v="0"/>
    <x v="15"/>
    <n v="196.67705303683499"/>
    <n v="71787.124358444897"/>
    <n v="258433.64769040199"/>
  </r>
  <r>
    <x v="0"/>
    <x v="0"/>
    <x v="1"/>
    <x v="0"/>
    <x v="1"/>
    <s v="DK2_Medium"/>
    <x v="3"/>
    <s v="GNR_HP_ELEC_COP-1200_Y-2030"/>
    <x v="0"/>
    <x v="16"/>
    <n v="196.67705303683499"/>
    <n v="71787.124358444897"/>
    <n v="258433.64769040199"/>
  </r>
  <r>
    <x v="0"/>
    <x v="0"/>
    <x v="1"/>
    <x v="0"/>
    <x v="1"/>
    <s v="DK2_Medium"/>
    <x v="3"/>
    <s v="GNR_HP_ELEC_COP-1200_Y-2030"/>
    <x v="0"/>
    <x v="17"/>
    <n v="196.67705303683499"/>
    <n v="71787.124358444897"/>
    <n v="258433.64769040199"/>
  </r>
  <r>
    <x v="0"/>
    <x v="0"/>
    <x v="1"/>
    <x v="0"/>
    <x v="1"/>
    <s v="DK2_Medium"/>
    <x v="3"/>
    <s v="GNR_HP_ELEC_COP-1200_Y-2030"/>
    <x v="0"/>
    <x v="18"/>
    <n v="196.67705303683499"/>
    <n v="71787.124358444897"/>
    <n v="258433.64769040199"/>
  </r>
  <r>
    <x v="0"/>
    <x v="0"/>
    <x v="1"/>
    <x v="0"/>
    <x v="1"/>
    <s v="DK2_Medium"/>
    <x v="3"/>
    <s v="GNR_HP_ELEC_COP-1200_Y-2030"/>
    <x v="0"/>
    <x v="19"/>
    <n v="196.67705303683499"/>
    <n v="71787.124358444897"/>
    <n v="258433.64769040199"/>
  </r>
  <r>
    <x v="0"/>
    <x v="0"/>
    <x v="1"/>
    <x v="0"/>
    <x v="1"/>
    <s v="DK2_Medium"/>
    <x v="3"/>
    <s v="GNR_HP_ELEC_COP-1200_Y-2030"/>
    <x v="0"/>
    <x v="20"/>
    <n v="196.67705303683499"/>
    <n v="71787.124358444897"/>
    <n v="258433.64769040199"/>
  </r>
  <r>
    <x v="0"/>
    <x v="0"/>
    <x v="1"/>
    <x v="0"/>
    <x v="1"/>
    <s v="DK2_Medium"/>
    <x v="3"/>
    <s v="GNR_HP_ELEC_COP-1200_Y-2030"/>
    <x v="0"/>
    <x v="21"/>
    <n v="186.515911697132"/>
    <n v="68078.307769453095"/>
    <n v="245081.907970031"/>
  </r>
  <r>
    <x v="0"/>
    <x v="0"/>
    <x v="1"/>
    <x v="0"/>
    <x v="1"/>
    <s v="DK2_Medium"/>
    <x v="3"/>
    <s v="GNR_HP_ELEC_COP-1200_Y-2030"/>
    <x v="0"/>
    <x v="22"/>
    <n v="183.84192713405201"/>
    <n v="67102.303403929007"/>
    <n v="241568.29225414401"/>
  </r>
  <r>
    <x v="0"/>
    <x v="0"/>
    <x v="1"/>
    <x v="0"/>
    <x v="1"/>
    <s v="DK2_Medium"/>
    <x v="3"/>
    <s v="GNR_HP_ELEC_COP-1200_Y-2030"/>
    <x v="0"/>
    <x v="23"/>
    <n v="183.97013793989601"/>
    <n v="67149.1003480621"/>
    <n v="241736.761253023"/>
  </r>
  <r>
    <x v="0"/>
    <x v="0"/>
    <x v="1"/>
    <x v="0"/>
    <x v="1"/>
    <s v="DK2_Medium"/>
    <x v="2"/>
    <s v="GNR_EH_HEAT"/>
    <x v="0"/>
    <x v="7"/>
    <n v="2"/>
    <n v="730"/>
    <n v="2628"/>
  </r>
  <r>
    <x v="0"/>
    <x v="0"/>
    <x v="1"/>
    <x v="0"/>
    <x v="1"/>
    <s v="DK2_Medium"/>
    <x v="2"/>
    <s v="GNR_EH_HEAT"/>
    <x v="0"/>
    <x v="8"/>
    <n v="2"/>
    <n v="730"/>
    <n v="2628"/>
  </r>
  <r>
    <x v="0"/>
    <x v="0"/>
    <x v="1"/>
    <x v="0"/>
    <x v="1"/>
    <s v="DK2_Medium"/>
    <x v="2"/>
    <s v="GNR_EH_HEAT"/>
    <x v="0"/>
    <x v="9"/>
    <n v="2"/>
    <n v="730"/>
    <n v="2628"/>
  </r>
  <r>
    <x v="0"/>
    <x v="0"/>
    <x v="1"/>
    <x v="0"/>
    <x v="1"/>
    <s v="DK2_Medium"/>
    <x v="2"/>
    <s v="GNR_EH_HEAT"/>
    <x v="0"/>
    <x v="10"/>
    <n v="2"/>
    <n v="730"/>
    <n v="2628"/>
  </r>
  <r>
    <x v="0"/>
    <x v="0"/>
    <x v="1"/>
    <x v="0"/>
    <x v="1"/>
    <s v="DK2_Medium"/>
    <x v="2"/>
    <s v="GNR_EH_HEAT"/>
    <x v="0"/>
    <x v="11"/>
    <n v="0.12821080584407701"/>
    <n v="46.796944133088097"/>
    <n v="168.46899887911701"/>
  </r>
  <r>
    <x v="0"/>
    <x v="0"/>
    <x v="1"/>
    <x v="0"/>
    <x v="1"/>
    <s v="DK2_Medium"/>
    <x v="2"/>
    <s v="GNR_EH_HEAT"/>
    <x v="0"/>
    <x v="12"/>
    <n v="2"/>
    <n v="730"/>
    <n v="2628"/>
  </r>
  <r>
    <x v="0"/>
    <x v="0"/>
    <x v="1"/>
    <x v="0"/>
    <x v="1"/>
    <s v="DK2_Medium"/>
    <x v="2"/>
    <s v="GNR_EH_HEAT"/>
    <x v="0"/>
    <x v="13"/>
    <n v="2"/>
    <n v="730"/>
    <n v="2628"/>
  </r>
  <r>
    <x v="0"/>
    <x v="0"/>
    <x v="1"/>
    <x v="0"/>
    <x v="1"/>
    <s v="DK2_Medium"/>
    <x v="2"/>
    <s v="GNR_EH_HEAT"/>
    <x v="0"/>
    <x v="14"/>
    <n v="2"/>
    <n v="730"/>
    <n v="2628"/>
  </r>
  <r>
    <x v="0"/>
    <x v="0"/>
    <x v="1"/>
    <x v="0"/>
    <x v="1"/>
    <s v="DK2_Medium"/>
    <x v="2"/>
    <s v="GNR_EH_HEAT"/>
    <x v="0"/>
    <x v="15"/>
    <n v="2"/>
    <n v="730"/>
    <n v="2628"/>
  </r>
  <r>
    <x v="0"/>
    <x v="0"/>
    <x v="1"/>
    <x v="0"/>
    <x v="1"/>
    <s v="DK2_Medium"/>
    <x v="2"/>
    <s v="GNR_EH_HEAT"/>
    <x v="0"/>
    <x v="16"/>
    <n v="2"/>
    <n v="730"/>
    <n v="2628"/>
  </r>
  <r>
    <x v="0"/>
    <x v="0"/>
    <x v="1"/>
    <x v="0"/>
    <x v="1"/>
    <s v="DK2_Medium"/>
    <x v="2"/>
    <s v="GNR_EH_HEAT"/>
    <x v="0"/>
    <x v="17"/>
    <n v="2"/>
    <n v="730"/>
    <n v="2628"/>
  </r>
  <r>
    <x v="0"/>
    <x v="0"/>
    <x v="1"/>
    <x v="0"/>
    <x v="1"/>
    <s v="DK2_Medium"/>
    <x v="2"/>
    <s v="GNR_EH_HEAT"/>
    <x v="0"/>
    <x v="18"/>
    <n v="2"/>
    <n v="730"/>
    <n v="2628"/>
  </r>
  <r>
    <x v="0"/>
    <x v="0"/>
    <x v="1"/>
    <x v="0"/>
    <x v="1"/>
    <s v="DK2_Medium"/>
    <x v="2"/>
    <s v="GNR_EH_HEAT"/>
    <x v="0"/>
    <x v="19"/>
    <n v="2"/>
    <n v="730"/>
    <n v="2628"/>
  </r>
  <r>
    <x v="0"/>
    <x v="0"/>
    <x v="1"/>
    <x v="0"/>
    <x v="1"/>
    <s v="DK2_Medium"/>
    <x v="2"/>
    <s v="GNR_EH_HEAT"/>
    <x v="0"/>
    <x v="20"/>
    <n v="2"/>
    <n v="730"/>
    <n v="2628"/>
  </r>
  <r>
    <x v="0"/>
    <x v="0"/>
    <x v="1"/>
    <x v="0"/>
    <x v="1"/>
    <s v="DK2_Medium"/>
    <x v="2"/>
    <s v="GNR_EH_HEAT"/>
    <x v="0"/>
    <x v="21"/>
    <n v="2"/>
    <n v="730"/>
    <n v="2628"/>
  </r>
  <r>
    <x v="0"/>
    <x v="0"/>
    <x v="1"/>
    <x v="0"/>
    <x v="1"/>
    <s v="DK2_Medium"/>
    <x v="2"/>
    <s v="GNR_EH_HEAT"/>
    <x v="0"/>
    <x v="22"/>
    <n v="2"/>
    <n v="730"/>
    <n v="2628"/>
  </r>
  <r>
    <x v="0"/>
    <x v="0"/>
    <x v="1"/>
    <x v="0"/>
    <x v="1"/>
    <s v="DK2_Medium"/>
    <x v="6"/>
    <s v="GNR_BO_WOODCHI_E-110"/>
    <x v="0"/>
    <x v="16"/>
    <n v="0.26739845630797299"/>
    <n v="97.600436552410102"/>
    <n v="351.36157158867599"/>
  </r>
  <r>
    <x v="0"/>
    <x v="0"/>
    <x v="1"/>
    <x v="0"/>
    <x v="1"/>
    <s v="DK2_Medium"/>
    <x v="6"/>
    <s v="GNR_BO_WOODCHI_E-110"/>
    <x v="0"/>
    <x v="17"/>
    <n v="5.3479691261597697"/>
    <n v="1952.00873104832"/>
    <n v="7027.2314317739301"/>
  </r>
  <r>
    <x v="0"/>
    <x v="0"/>
    <x v="1"/>
    <x v="0"/>
    <x v="1"/>
    <s v="DK2_Medium"/>
    <x v="6"/>
    <s v="GNR_BO_WOODCHI_E-110"/>
    <x v="0"/>
    <x v="18"/>
    <n v="5.3479691261597697"/>
    <n v="1952.00873104832"/>
    <n v="7027.2314317739301"/>
  </r>
  <r>
    <x v="0"/>
    <x v="0"/>
    <x v="1"/>
    <x v="0"/>
    <x v="1"/>
    <s v="DK2_Medium"/>
    <x v="6"/>
    <s v="GNR_BO_WOODCHI_E-110"/>
    <x v="0"/>
    <x v="19"/>
    <n v="3.7435783883118501"/>
    <n v="1366.4061117338199"/>
    <n v="4919.0620022417697"/>
  </r>
  <r>
    <x v="0"/>
    <x v="0"/>
    <x v="1"/>
    <x v="0"/>
    <x v="1"/>
    <s v="DK2_Medium"/>
    <x v="6"/>
    <s v="GNR_BO_WOODCHI_E-110"/>
    <x v="0"/>
    <x v="20"/>
    <n v="0.53479691261597395"/>
    <n v="195.20087310483001"/>
    <n v="702.72314317739006"/>
  </r>
  <r>
    <x v="0"/>
    <x v="0"/>
    <x v="1"/>
    <x v="0"/>
    <x v="1"/>
    <s v="DK2_Rural"/>
    <x v="3"/>
    <s v="GNR_BO_ELEC_E-100"/>
    <x v="0"/>
    <x v="10"/>
    <n v="3.72961427088191"/>
    <n v="1361.3092088719"/>
    <n v="4900.7131519388304"/>
  </r>
  <r>
    <x v="0"/>
    <x v="0"/>
    <x v="1"/>
    <x v="0"/>
    <x v="1"/>
    <s v="DK2_Rural"/>
    <x v="3"/>
    <s v="GNR_BO_ELEC_E-100"/>
    <x v="0"/>
    <x v="11"/>
    <n v="3.8628382200255098"/>
    <n v="1409.9359503093101"/>
    <n v="5075.7694211135204"/>
  </r>
  <r>
    <x v="0"/>
    <x v="0"/>
    <x v="1"/>
    <x v="0"/>
    <x v="1"/>
    <s v="DK2_Rural"/>
    <x v="3"/>
    <s v="GNR_BO_ELEC_E-100"/>
    <x v="0"/>
    <x v="12"/>
    <n v="2.3973747794460398"/>
    <n v="875.04179449780395"/>
    <n v="3150.1504601921001"/>
  </r>
  <r>
    <x v="0"/>
    <x v="0"/>
    <x v="1"/>
    <x v="0"/>
    <x v="1"/>
    <s v="DK2_Rural"/>
    <x v="3"/>
    <s v="GNR_BO_ELEC_E-100"/>
    <x v="0"/>
    <x v="16"/>
    <n v="2.7970466268768099"/>
    <n v="1020.92201881003"/>
    <n v="3675.3192677161201"/>
  </r>
  <r>
    <x v="0"/>
    <x v="0"/>
    <x v="1"/>
    <x v="0"/>
    <x v="1"/>
    <s v="DK2_Rural"/>
    <x v="3"/>
    <s v="GNR_HP_ELEC_COP-1200_Y-2030"/>
    <x v="0"/>
    <x v="0"/>
    <n v="179.985555292985"/>
    <n v="65694.727681939301"/>
    <n v="236501.019654982"/>
  </r>
  <r>
    <x v="0"/>
    <x v="0"/>
    <x v="1"/>
    <x v="0"/>
    <x v="1"/>
    <s v="DK2_Rural"/>
    <x v="3"/>
    <s v="GNR_HP_ELEC_COP-1200_Y-2030"/>
    <x v="0"/>
    <x v="1"/>
    <n v="177.98719605583099"/>
    <n v="64965.326560378198"/>
    <n v="233875.17561736199"/>
  </r>
  <r>
    <x v="0"/>
    <x v="0"/>
    <x v="1"/>
    <x v="0"/>
    <x v="1"/>
    <s v="DK2_Rural"/>
    <x v="3"/>
    <s v="GNR_HP_ELEC_COP-1200_Y-2030"/>
    <x v="0"/>
    <x v="2"/>
    <n v="176.52173261525101"/>
    <n v="64430.432404566702"/>
    <n v="231949.55665643999"/>
  </r>
  <r>
    <x v="0"/>
    <x v="0"/>
    <x v="1"/>
    <x v="0"/>
    <x v="1"/>
    <s v="DK2_Rural"/>
    <x v="3"/>
    <s v="GNR_HP_ELEC_COP-1200_Y-2030"/>
    <x v="0"/>
    <x v="3"/>
    <n v="177.5875242084"/>
    <n v="64819.446336066001"/>
    <n v="233350.006809838"/>
  </r>
  <r>
    <x v="0"/>
    <x v="0"/>
    <x v="1"/>
    <x v="0"/>
    <x v="1"/>
    <s v="DK2_Rural"/>
    <x v="3"/>
    <s v="GNR_HP_ELEC_COP-1200_Y-2030"/>
    <x v="0"/>
    <x v="4"/>
    <n v="182.783258225"/>
    <n v="66715.889252124907"/>
    <n v="240177.20130764999"/>
  </r>
  <r>
    <x v="0"/>
    <x v="0"/>
    <x v="1"/>
    <x v="0"/>
    <x v="1"/>
    <s v="DK2_Rural"/>
    <x v="3"/>
    <s v="GNR_HP_ELEC_COP-1200_Y-2030"/>
    <x v="0"/>
    <x v="5"/>
    <n v="186.64675275016401"/>
    <n v="68126.064753809798"/>
    <n v="245253.83311371499"/>
  </r>
  <r>
    <x v="0"/>
    <x v="0"/>
    <x v="1"/>
    <x v="0"/>
    <x v="1"/>
    <s v="DK2_Rural"/>
    <x v="3"/>
    <s v="GNR_HP_ELEC_COP-1200_Y-2030"/>
    <x v="0"/>
    <x v="6"/>
    <n v="211.02673544344"/>
    <n v="77024.758436855598"/>
    <n v="277289.13037268003"/>
  </r>
  <r>
    <x v="0"/>
    <x v="0"/>
    <x v="1"/>
    <x v="0"/>
    <x v="1"/>
    <s v="DK2_Rural"/>
    <x v="3"/>
    <s v="GNR_HP_ELEC_COP-1200_Y-2030"/>
    <x v="0"/>
    <x v="7"/>
    <n v="217.840926543568"/>
    <n v="79511.9381884022"/>
    <n v="286242.97747824801"/>
  </r>
  <r>
    <x v="0"/>
    <x v="0"/>
    <x v="1"/>
    <x v="0"/>
    <x v="1"/>
    <s v="DK2_Rural"/>
    <x v="3"/>
    <s v="GNR_HP_ELEC_COP-1200_Y-2030"/>
    <x v="0"/>
    <x v="8"/>
    <n v="221.038301323014"/>
    <n v="80678.979982899997"/>
    <n v="290444.32793844002"/>
  </r>
  <r>
    <x v="0"/>
    <x v="0"/>
    <x v="1"/>
    <x v="0"/>
    <x v="1"/>
    <s v="DK2_Rural"/>
    <x v="3"/>
    <s v="GNR_HP_ELEC_COP-1200_Y-2030"/>
    <x v="0"/>
    <x v="9"/>
    <n v="221.038301323014"/>
    <n v="80678.979982899997"/>
    <n v="290444.32793844002"/>
  </r>
  <r>
    <x v="0"/>
    <x v="0"/>
    <x v="1"/>
    <x v="0"/>
    <x v="1"/>
    <s v="DK2_Rural"/>
    <x v="3"/>
    <s v="GNR_HP_ELEC_COP-1200_Y-2030"/>
    <x v="0"/>
    <x v="10"/>
    <n v="221.038301323014"/>
    <n v="80678.979982899997"/>
    <n v="290444.32793844002"/>
  </r>
  <r>
    <x v="0"/>
    <x v="0"/>
    <x v="1"/>
    <x v="0"/>
    <x v="1"/>
    <s v="DK2_Rural"/>
    <x v="3"/>
    <s v="GNR_HP_ELEC_COP-1200_Y-2030"/>
    <x v="0"/>
    <x v="11"/>
    <n v="221.038301323014"/>
    <n v="80678.979982899997"/>
    <n v="290444.32793844002"/>
  </r>
  <r>
    <x v="0"/>
    <x v="0"/>
    <x v="1"/>
    <x v="0"/>
    <x v="1"/>
    <s v="DK2_Rural"/>
    <x v="3"/>
    <s v="GNR_HP_ELEC_COP-1200_Y-2030"/>
    <x v="0"/>
    <x v="12"/>
    <n v="221.038301323014"/>
    <n v="80678.979982899997"/>
    <n v="290444.32793844002"/>
  </r>
  <r>
    <x v="0"/>
    <x v="0"/>
    <x v="1"/>
    <x v="0"/>
    <x v="1"/>
    <s v="DK2_Rural"/>
    <x v="3"/>
    <s v="GNR_HP_ELEC_COP-1200_Y-2030"/>
    <x v="0"/>
    <x v="13"/>
    <n v="218.373822340142"/>
    <n v="79706.445154151806"/>
    <n v="286943.20255494601"/>
  </r>
  <r>
    <x v="0"/>
    <x v="0"/>
    <x v="1"/>
    <x v="0"/>
    <x v="1"/>
    <s v="DK2_Rural"/>
    <x v="3"/>
    <s v="GNR_HP_ELEC_COP-1200_Y-2030"/>
    <x v="0"/>
    <x v="14"/>
    <n v="219.97250972986501"/>
    <n v="80289.966051400697"/>
    <n v="289043.87778504298"/>
  </r>
  <r>
    <x v="0"/>
    <x v="0"/>
    <x v="1"/>
    <x v="0"/>
    <x v="1"/>
    <s v="DK2_Rural"/>
    <x v="3"/>
    <s v="GNR_HP_ELEC_COP-1200_Y-2030"/>
    <x v="0"/>
    <x v="15"/>
    <n v="221.038301323014"/>
    <n v="80678.979982899997"/>
    <n v="290444.32793844002"/>
  </r>
  <r>
    <x v="0"/>
    <x v="0"/>
    <x v="1"/>
    <x v="0"/>
    <x v="1"/>
    <s v="DK2_Rural"/>
    <x v="3"/>
    <s v="GNR_HP_ELEC_COP-1200_Y-2030"/>
    <x v="0"/>
    <x v="16"/>
    <n v="221.038301323014"/>
    <n v="80678.979982899997"/>
    <n v="290444.32793844002"/>
  </r>
  <r>
    <x v="0"/>
    <x v="0"/>
    <x v="1"/>
    <x v="0"/>
    <x v="1"/>
    <s v="DK2_Rural"/>
    <x v="3"/>
    <s v="GNR_HP_ELEC_COP-1200_Y-2030"/>
    <x v="0"/>
    <x v="17"/>
    <n v="221.038301323014"/>
    <n v="80678.979982899997"/>
    <n v="290444.32793844002"/>
  </r>
  <r>
    <x v="0"/>
    <x v="0"/>
    <x v="1"/>
    <x v="0"/>
    <x v="1"/>
    <s v="DK2_Rural"/>
    <x v="3"/>
    <s v="GNR_HP_ELEC_COP-1200_Y-2030"/>
    <x v="0"/>
    <x v="18"/>
    <n v="221.038301323014"/>
    <n v="80678.979982899997"/>
    <n v="290444.32793844002"/>
  </r>
  <r>
    <x v="0"/>
    <x v="0"/>
    <x v="1"/>
    <x v="0"/>
    <x v="1"/>
    <s v="DK2_Rural"/>
    <x v="3"/>
    <s v="GNR_HP_ELEC_COP-1200_Y-2030"/>
    <x v="0"/>
    <x v="19"/>
    <n v="221.038301323014"/>
    <n v="80678.979982899997"/>
    <n v="290444.32793844002"/>
  </r>
  <r>
    <x v="0"/>
    <x v="0"/>
    <x v="1"/>
    <x v="0"/>
    <x v="1"/>
    <s v="DK2_Rural"/>
    <x v="3"/>
    <s v="GNR_HP_ELEC_COP-1200_Y-2030"/>
    <x v="0"/>
    <x v="20"/>
    <n v="221.038301323014"/>
    <n v="80678.979982899997"/>
    <n v="290444.32793844002"/>
  </r>
  <r>
    <x v="0"/>
    <x v="0"/>
    <x v="1"/>
    <x v="0"/>
    <x v="1"/>
    <s v="DK2_Rural"/>
    <x v="3"/>
    <s v="GNR_HP_ELEC_COP-1200_Y-2030"/>
    <x v="0"/>
    <x v="21"/>
    <n v="203.18629213777299"/>
    <n v="74162.996630287205"/>
    <n v="266986.78786903399"/>
  </r>
  <r>
    <x v="0"/>
    <x v="0"/>
    <x v="1"/>
    <x v="0"/>
    <x v="1"/>
    <s v="DK2_Rural"/>
    <x v="3"/>
    <s v="GNR_HP_ELEC_COP-1200_Y-2030"/>
    <x v="0"/>
    <x v="22"/>
    <n v="201.85405264633701"/>
    <n v="73676.729215913103"/>
    <n v="265236.22517728701"/>
  </r>
  <r>
    <x v="0"/>
    <x v="0"/>
    <x v="1"/>
    <x v="0"/>
    <x v="1"/>
    <s v="DK2_Rural"/>
    <x v="3"/>
    <s v="GNR_HP_ELEC_COP-1200_Y-2030"/>
    <x v="0"/>
    <x v="23"/>
    <n v="215.02345391774799"/>
    <n v="78483.560679977905"/>
    <n v="282540.81844792003"/>
  </r>
  <r>
    <x v="0"/>
    <x v="0"/>
    <x v="1"/>
    <x v="0"/>
    <x v="1"/>
    <s v="DK2_Rural"/>
    <x v="3"/>
    <s v="GNR_HP_ELEC_COP-400"/>
    <x v="0"/>
    <x v="8"/>
    <n v="0.8"/>
    <n v="292"/>
    <n v="1051.2"/>
  </r>
  <r>
    <x v="0"/>
    <x v="0"/>
    <x v="1"/>
    <x v="0"/>
    <x v="1"/>
    <s v="DK2_Rural"/>
    <x v="3"/>
    <s v="GNR_HP_ELEC_COP-400"/>
    <x v="0"/>
    <x v="9"/>
    <n v="0.8"/>
    <n v="292"/>
    <n v="1051.2"/>
  </r>
  <r>
    <x v="0"/>
    <x v="0"/>
    <x v="1"/>
    <x v="0"/>
    <x v="1"/>
    <s v="DK2_Rural"/>
    <x v="3"/>
    <s v="GNR_HP_ELEC_COP-400"/>
    <x v="0"/>
    <x v="10"/>
    <n v="0.8"/>
    <n v="292"/>
    <n v="1051.2"/>
  </r>
  <r>
    <x v="0"/>
    <x v="0"/>
    <x v="1"/>
    <x v="0"/>
    <x v="1"/>
    <s v="DK2_Rural"/>
    <x v="3"/>
    <s v="GNR_HP_ELEC_COP-400"/>
    <x v="0"/>
    <x v="11"/>
    <n v="0.8"/>
    <n v="292"/>
    <n v="1051.2"/>
  </r>
  <r>
    <x v="0"/>
    <x v="0"/>
    <x v="1"/>
    <x v="0"/>
    <x v="1"/>
    <s v="DK2_Rural"/>
    <x v="3"/>
    <s v="GNR_HP_ELEC_COP-400"/>
    <x v="0"/>
    <x v="12"/>
    <n v="0.8"/>
    <n v="292"/>
    <n v="1051.2"/>
  </r>
  <r>
    <x v="0"/>
    <x v="0"/>
    <x v="1"/>
    <x v="0"/>
    <x v="1"/>
    <s v="DK2_Rural"/>
    <x v="3"/>
    <s v="GNR_HP_ELEC_COP-400"/>
    <x v="0"/>
    <x v="15"/>
    <n v="0.53289579657433706"/>
    <n v="194.506965749633"/>
    <n v="700.225076698679"/>
  </r>
  <r>
    <x v="0"/>
    <x v="0"/>
    <x v="1"/>
    <x v="0"/>
    <x v="1"/>
    <s v="DK2_Rural"/>
    <x v="3"/>
    <s v="GNR_HP_ELEC_COP-400"/>
    <x v="0"/>
    <x v="16"/>
    <n v="0.8"/>
    <n v="292"/>
    <n v="1051.2"/>
  </r>
  <r>
    <x v="0"/>
    <x v="0"/>
    <x v="1"/>
    <x v="0"/>
    <x v="1"/>
    <s v="DK2_Rural"/>
    <x v="3"/>
    <s v="GNR_HP_ELEC_COP-400"/>
    <x v="0"/>
    <x v="17"/>
    <n v="0.8"/>
    <n v="292"/>
    <n v="1051.2"/>
  </r>
  <r>
    <x v="0"/>
    <x v="0"/>
    <x v="1"/>
    <x v="0"/>
    <x v="1"/>
    <s v="DK2_Rural"/>
    <x v="3"/>
    <s v="GNR_HP_ELEC_COP-400"/>
    <x v="0"/>
    <x v="18"/>
    <n v="0.8"/>
    <n v="292"/>
    <n v="1051.2"/>
  </r>
  <r>
    <x v="0"/>
    <x v="0"/>
    <x v="1"/>
    <x v="0"/>
    <x v="1"/>
    <s v="DK2_Rural"/>
    <x v="3"/>
    <s v="GNR_HP_ELEC_COP-400"/>
    <x v="0"/>
    <x v="19"/>
    <n v="0.8"/>
    <n v="292"/>
    <n v="1051.2"/>
  </r>
  <r>
    <x v="0"/>
    <x v="0"/>
    <x v="1"/>
    <x v="0"/>
    <x v="1"/>
    <s v="DK2_Rural"/>
    <x v="2"/>
    <s v="GNR_EH_HEAT"/>
    <x v="0"/>
    <x v="7"/>
    <n v="16.5"/>
    <n v="6022.5"/>
    <n v="21681"/>
  </r>
  <r>
    <x v="0"/>
    <x v="0"/>
    <x v="1"/>
    <x v="0"/>
    <x v="1"/>
    <s v="DK2_Rural"/>
    <x v="2"/>
    <s v="GNR_EH_HEAT"/>
    <x v="0"/>
    <x v="8"/>
    <n v="16.5"/>
    <n v="6022.5"/>
    <n v="21681"/>
  </r>
  <r>
    <x v="0"/>
    <x v="0"/>
    <x v="1"/>
    <x v="0"/>
    <x v="1"/>
    <s v="DK2_Rural"/>
    <x v="2"/>
    <s v="GNR_EH_HEAT"/>
    <x v="0"/>
    <x v="9"/>
    <n v="16.5"/>
    <n v="6022.5"/>
    <n v="21681"/>
  </r>
  <r>
    <x v="0"/>
    <x v="0"/>
    <x v="1"/>
    <x v="0"/>
    <x v="1"/>
    <s v="DK2_Rural"/>
    <x v="2"/>
    <s v="GNR_EH_HEAT"/>
    <x v="0"/>
    <x v="10"/>
    <n v="16.5"/>
    <n v="6022.5"/>
    <n v="21681"/>
  </r>
  <r>
    <x v="0"/>
    <x v="0"/>
    <x v="1"/>
    <x v="0"/>
    <x v="1"/>
    <s v="DK2_Rural"/>
    <x v="2"/>
    <s v="GNR_EH_HEAT"/>
    <x v="0"/>
    <x v="11"/>
    <n v="16.5"/>
    <n v="6022.5"/>
    <n v="21681"/>
  </r>
  <r>
    <x v="0"/>
    <x v="0"/>
    <x v="1"/>
    <x v="0"/>
    <x v="1"/>
    <s v="DK2_Rural"/>
    <x v="2"/>
    <s v="GNR_EH_HEAT"/>
    <x v="0"/>
    <x v="12"/>
    <n v="16.5"/>
    <n v="6022.5"/>
    <n v="21681"/>
  </r>
  <r>
    <x v="0"/>
    <x v="0"/>
    <x v="1"/>
    <x v="0"/>
    <x v="1"/>
    <s v="DK2_Rural"/>
    <x v="2"/>
    <s v="GNR_EH_HEAT"/>
    <x v="0"/>
    <x v="13"/>
    <n v="16.5"/>
    <n v="6022.5"/>
    <n v="21681"/>
  </r>
  <r>
    <x v="0"/>
    <x v="0"/>
    <x v="1"/>
    <x v="0"/>
    <x v="1"/>
    <s v="DK2_Rural"/>
    <x v="2"/>
    <s v="GNR_EH_HEAT"/>
    <x v="0"/>
    <x v="14"/>
    <n v="16.5"/>
    <n v="6022.5"/>
    <n v="21681"/>
  </r>
  <r>
    <x v="0"/>
    <x v="0"/>
    <x v="1"/>
    <x v="0"/>
    <x v="1"/>
    <s v="DK2_Rural"/>
    <x v="2"/>
    <s v="GNR_EH_HEAT"/>
    <x v="0"/>
    <x v="15"/>
    <n v="16.5"/>
    <n v="6022.5"/>
    <n v="21681"/>
  </r>
  <r>
    <x v="0"/>
    <x v="0"/>
    <x v="1"/>
    <x v="0"/>
    <x v="1"/>
    <s v="DK2_Rural"/>
    <x v="2"/>
    <s v="GNR_EH_HEAT"/>
    <x v="0"/>
    <x v="16"/>
    <n v="16.5"/>
    <n v="6022.5"/>
    <n v="21681"/>
  </r>
  <r>
    <x v="0"/>
    <x v="0"/>
    <x v="1"/>
    <x v="0"/>
    <x v="1"/>
    <s v="DK2_Rural"/>
    <x v="2"/>
    <s v="GNR_EH_HEAT"/>
    <x v="0"/>
    <x v="17"/>
    <n v="16.5"/>
    <n v="6022.5"/>
    <n v="21681"/>
  </r>
  <r>
    <x v="0"/>
    <x v="0"/>
    <x v="1"/>
    <x v="0"/>
    <x v="1"/>
    <s v="DK2_Rural"/>
    <x v="2"/>
    <s v="GNR_EH_HEAT"/>
    <x v="0"/>
    <x v="18"/>
    <n v="16.5"/>
    <n v="6022.5"/>
    <n v="21681"/>
  </r>
  <r>
    <x v="0"/>
    <x v="0"/>
    <x v="1"/>
    <x v="0"/>
    <x v="1"/>
    <s v="DK2_Rural"/>
    <x v="2"/>
    <s v="GNR_EH_HEAT"/>
    <x v="0"/>
    <x v="19"/>
    <n v="16.5"/>
    <n v="6022.5"/>
    <n v="21681"/>
  </r>
  <r>
    <x v="0"/>
    <x v="0"/>
    <x v="1"/>
    <x v="0"/>
    <x v="1"/>
    <s v="DK2_Rural"/>
    <x v="2"/>
    <s v="GNR_EH_HEAT"/>
    <x v="0"/>
    <x v="20"/>
    <n v="16.5"/>
    <n v="6022.5"/>
    <n v="21681"/>
  </r>
  <r>
    <x v="0"/>
    <x v="0"/>
    <x v="1"/>
    <x v="0"/>
    <x v="1"/>
    <s v="DK2_Rural"/>
    <x v="2"/>
    <s v="GNR_EH_HEAT"/>
    <x v="0"/>
    <x v="21"/>
    <n v="16.5"/>
    <n v="6022.5"/>
    <n v="21681"/>
  </r>
  <r>
    <x v="0"/>
    <x v="0"/>
    <x v="1"/>
    <x v="0"/>
    <x v="1"/>
    <s v="DK2_Rural"/>
    <x v="2"/>
    <s v="GNR_EH_HEAT"/>
    <x v="0"/>
    <x v="22"/>
    <n v="16.5"/>
    <n v="6022.5"/>
    <n v="21681"/>
  </r>
  <r>
    <x v="0"/>
    <x v="0"/>
    <x v="1"/>
    <x v="0"/>
    <x v="1"/>
    <s v="DK2_Rural"/>
    <x v="6"/>
    <s v="GNR_BO_WOODCHI_E-110"/>
    <x v="0"/>
    <x v="8"/>
    <n v="1.59803108458453"/>
    <n v="583.28134587335501"/>
    <n v="2099.8128451440798"/>
  </r>
  <r>
    <x v="0"/>
    <x v="0"/>
    <x v="1"/>
    <x v="0"/>
    <x v="1"/>
    <s v="DK2_Rural"/>
    <x v="6"/>
    <s v="GNR_BO_WOODCHI_E-110"/>
    <x v="0"/>
    <x v="9"/>
    <n v="4.5289579657434196"/>
    <n v="1653.0696574963499"/>
    <n v="5951.0507669868502"/>
  </r>
  <r>
    <x v="0"/>
    <x v="0"/>
    <x v="1"/>
    <x v="0"/>
    <x v="1"/>
    <s v="DK2_Rural"/>
    <x v="6"/>
    <s v="GNR_BO_WOODCHI_E-110"/>
    <x v="0"/>
    <x v="17"/>
    <n v="2.13092688115887"/>
    <n v="777.78831162298798"/>
    <n v="2800.0379218427602"/>
  </r>
  <r>
    <x v="0"/>
    <x v="0"/>
    <x v="1"/>
    <x v="0"/>
    <x v="1"/>
    <s v="DK2_Rural"/>
    <x v="6"/>
    <s v="GNR_BO_WOODCHI_E-110"/>
    <x v="0"/>
    <x v="18"/>
    <n v="2.6638226777332399"/>
    <n v="972.29527737263095"/>
    <n v="3500.2629985414701"/>
  </r>
  <r>
    <x v="0"/>
    <x v="0"/>
    <x v="1"/>
    <x v="0"/>
    <x v="1"/>
    <s v="DK2_Rural"/>
    <x v="6"/>
    <s v="GNR_BO_WOODCHI_E-110"/>
    <x v="0"/>
    <x v="19"/>
    <n v="2.13092688115887"/>
    <n v="777.78831162298798"/>
    <n v="2800.0379218427602"/>
  </r>
  <r>
    <x v="0"/>
    <x v="0"/>
    <x v="1"/>
    <x v="0"/>
    <x v="1"/>
    <s v="DK2_Small"/>
    <x v="3"/>
    <s v="GNR_BO_ELEC_E-99_SS-1-MW-FEED_Y-2030"/>
    <x v="0"/>
    <x v="8"/>
    <n v="0.149791210085851"/>
    <n v="54.6737916813358"/>
    <n v="196.82565005280901"/>
  </r>
  <r>
    <x v="0"/>
    <x v="0"/>
    <x v="1"/>
    <x v="0"/>
    <x v="1"/>
    <s v="DK2_Small"/>
    <x v="3"/>
    <s v="GNR_BO_ELEC_E-99_SS-1-MW-FEED_Y-2030"/>
    <x v="0"/>
    <x v="9"/>
    <n v="0.33168053661866997"/>
    <n v="121.063395865815"/>
    <n v="435.828225116932"/>
  </r>
  <r>
    <x v="0"/>
    <x v="0"/>
    <x v="1"/>
    <x v="0"/>
    <x v="1"/>
    <s v="DK2_Small"/>
    <x v="3"/>
    <s v="GNR_BO_ELEC_E-99_SS-1-MW-FEED_Y-2030"/>
    <x v="0"/>
    <x v="10"/>
    <n v="0.320981164469679"/>
    <n v="117.158125031433"/>
    <n v="421.76925011315802"/>
  </r>
  <r>
    <x v="0"/>
    <x v="0"/>
    <x v="1"/>
    <x v="0"/>
    <x v="1"/>
    <s v="DK2_Small"/>
    <x v="3"/>
    <s v="GNR_BO_ELEC_E-99_SS-1-MW-FEED_Y-2030"/>
    <x v="0"/>
    <x v="11"/>
    <n v="0.33168053661866997"/>
    <n v="121.063395865815"/>
    <n v="435.828225116932"/>
  </r>
  <r>
    <x v="0"/>
    <x v="0"/>
    <x v="1"/>
    <x v="0"/>
    <x v="1"/>
    <s v="DK2_Small"/>
    <x v="3"/>
    <s v="GNR_BO_ELEC_E-99_SS-1-MW-FEED_Y-2030"/>
    <x v="0"/>
    <x v="12"/>
    <n v="0.213987442979786"/>
    <n v="78.105416687621798"/>
    <n v="281.179500075438"/>
  </r>
  <r>
    <x v="0"/>
    <x v="0"/>
    <x v="1"/>
    <x v="0"/>
    <x v="1"/>
    <s v="DK2_Small"/>
    <x v="3"/>
    <s v="GNR_BO_ELEC_E-99_SS-1-MW-FEED_Y-2030"/>
    <x v="0"/>
    <x v="16"/>
    <n v="0.246085559426753"/>
    <n v="89.821229190764797"/>
    <n v="323.35642508675301"/>
  </r>
  <r>
    <x v="0"/>
    <x v="0"/>
    <x v="1"/>
    <x v="0"/>
    <x v="1"/>
    <s v="DK2_Small"/>
    <x v="3"/>
    <s v="GNR_HP_ELEC_COP-1200_Y-2030"/>
    <x v="0"/>
    <x v="0"/>
    <n v="14.4548517732847"/>
    <n v="5276.0208972489099"/>
    <n v="18993.675230096102"/>
  </r>
  <r>
    <x v="0"/>
    <x v="0"/>
    <x v="1"/>
    <x v="0"/>
    <x v="1"/>
    <s v="DK2_Small"/>
    <x v="3"/>
    <s v="GNR_HP_ELEC_COP-1200_Y-2030"/>
    <x v="0"/>
    <x v="1"/>
    <n v="14.2943611910498"/>
    <n v="5217.4418347331903"/>
    <n v="18782.790605039499"/>
  </r>
  <r>
    <x v="0"/>
    <x v="0"/>
    <x v="1"/>
    <x v="0"/>
    <x v="1"/>
    <s v="DK2_Small"/>
    <x v="3"/>
    <s v="GNR_HP_ELEC_COP-1200_Y-2030"/>
    <x v="0"/>
    <x v="2"/>
    <n v="14.1766680974109"/>
    <n v="5174.4838555550004"/>
    <n v="18628.141879997998"/>
  </r>
  <r>
    <x v="0"/>
    <x v="0"/>
    <x v="1"/>
    <x v="0"/>
    <x v="1"/>
    <s v="DK2_Small"/>
    <x v="3"/>
    <s v="GNR_HP_ELEC_COP-1200_Y-2030"/>
    <x v="0"/>
    <x v="3"/>
    <n v="14.262263074602901"/>
    <n v="5205.7260222300501"/>
    <n v="18740.6136800282"/>
  </r>
  <r>
    <x v="0"/>
    <x v="0"/>
    <x v="1"/>
    <x v="0"/>
    <x v="1"/>
    <s v="DK2_Small"/>
    <x v="3"/>
    <s v="GNR_HP_ELEC_COP-1200_Y-2030"/>
    <x v="0"/>
    <x v="4"/>
    <n v="14.6795385884135"/>
    <n v="5358.0315847709098"/>
    <n v="19288.913705175299"/>
  </r>
  <r>
    <x v="0"/>
    <x v="0"/>
    <x v="1"/>
    <x v="0"/>
    <x v="1"/>
    <s v="DK2_Small"/>
    <x v="3"/>
    <s v="GNR_HP_ELEC_COP-1200_Y-2030"/>
    <x v="0"/>
    <x v="5"/>
    <n v="14.9898203807341"/>
    <n v="5471.2844389679603"/>
    <n v="19696.623980284701"/>
  </r>
  <r>
    <x v="0"/>
    <x v="0"/>
    <x v="1"/>
    <x v="0"/>
    <x v="1"/>
    <s v="DK2_Small"/>
    <x v="3"/>
    <s v="GNR_HP_ELEC_COP-1200_Y-2030"/>
    <x v="0"/>
    <x v="6"/>
    <n v="16.947805483999201"/>
    <n v="6185.9490016597101"/>
    <n v="22269.416405975"/>
  </r>
  <r>
    <x v="0"/>
    <x v="0"/>
    <x v="1"/>
    <x v="0"/>
    <x v="1"/>
    <s v="DK2_Small"/>
    <x v="3"/>
    <s v="GNR_HP_ELEC_COP-1200_Y-2030"/>
    <x v="0"/>
    <x v="7"/>
    <n v="18.8201956100723"/>
    <n v="6869.3713976764102"/>
    <n v="24729.737031635101"/>
  </r>
  <r>
    <x v="0"/>
    <x v="0"/>
    <x v="1"/>
    <x v="0"/>
    <x v="1"/>
    <s v="DK2_Small"/>
    <x v="3"/>
    <s v="GNR_HP_ELEC_COP-1200_Y-2030"/>
    <x v="0"/>
    <x v="8"/>
    <n v="19.119778030244099"/>
    <n v="6978.7189810390801"/>
    <n v="25123.388331740702"/>
  </r>
  <r>
    <x v="0"/>
    <x v="0"/>
    <x v="1"/>
    <x v="0"/>
    <x v="1"/>
    <s v="DK2_Small"/>
    <x v="3"/>
    <s v="GNR_HP_ELEC_COP-1200_Y-2030"/>
    <x v="0"/>
    <x v="9"/>
    <n v="19.119778030244099"/>
    <n v="6978.7189810390801"/>
    <n v="25123.388331740702"/>
  </r>
  <r>
    <x v="0"/>
    <x v="0"/>
    <x v="1"/>
    <x v="0"/>
    <x v="1"/>
    <s v="DK2_Small"/>
    <x v="3"/>
    <s v="GNR_HP_ELEC_COP-1200_Y-2030"/>
    <x v="0"/>
    <x v="10"/>
    <n v="19.119778030244099"/>
    <n v="6978.7189810390801"/>
    <n v="25123.388331740702"/>
  </r>
  <r>
    <x v="0"/>
    <x v="0"/>
    <x v="1"/>
    <x v="0"/>
    <x v="1"/>
    <s v="DK2_Small"/>
    <x v="3"/>
    <s v="GNR_HP_ELEC_COP-1200_Y-2030"/>
    <x v="0"/>
    <x v="11"/>
    <n v="19.119778030244099"/>
    <n v="6978.7189810390801"/>
    <n v="25123.388331740702"/>
  </r>
  <r>
    <x v="0"/>
    <x v="0"/>
    <x v="1"/>
    <x v="0"/>
    <x v="1"/>
    <s v="DK2_Small"/>
    <x v="3"/>
    <s v="GNR_HP_ELEC_COP-1200_Y-2030"/>
    <x v="0"/>
    <x v="12"/>
    <n v="19.119778030244099"/>
    <n v="6978.7189810390801"/>
    <n v="25123.388331740702"/>
  </r>
  <r>
    <x v="0"/>
    <x v="0"/>
    <x v="1"/>
    <x v="0"/>
    <x v="1"/>
    <s v="DK2_Small"/>
    <x v="3"/>
    <s v="GNR_HP_ELEC_COP-1200_Y-2030"/>
    <x v="0"/>
    <x v="13"/>
    <n v="18.862993098668301"/>
    <n v="6884.99248101393"/>
    <n v="24785.972931650202"/>
  </r>
  <r>
    <x v="0"/>
    <x v="0"/>
    <x v="1"/>
    <x v="0"/>
    <x v="1"/>
    <s v="DK2_Small"/>
    <x v="3"/>
    <s v="GNR_HP_ELEC_COP-1200_Y-2030"/>
    <x v="0"/>
    <x v="14"/>
    <n v="18.991385564456198"/>
    <n v="6931.8557310265096"/>
    <n v="24954.680631695399"/>
  </r>
  <r>
    <x v="0"/>
    <x v="0"/>
    <x v="1"/>
    <x v="0"/>
    <x v="1"/>
    <s v="DK2_Small"/>
    <x v="3"/>
    <s v="GNR_HP_ELEC_COP-1200_Y-2030"/>
    <x v="0"/>
    <x v="15"/>
    <n v="19.119778030244099"/>
    <n v="6978.7189810390801"/>
    <n v="25123.388331740702"/>
  </r>
  <r>
    <x v="0"/>
    <x v="0"/>
    <x v="1"/>
    <x v="0"/>
    <x v="1"/>
    <s v="DK2_Small"/>
    <x v="3"/>
    <s v="GNR_HP_ELEC_COP-1200_Y-2030"/>
    <x v="0"/>
    <x v="16"/>
    <n v="19.119778030244099"/>
    <n v="6978.7189810390801"/>
    <n v="25123.388331740702"/>
  </r>
  <r>
    <x v="0"/>
    <x v="0"/>
    <x v="1"/>
    <x v="0"/>
    <x v="1"/>
    <s v="DK2_Small"/>
    <x v="3"/>
    <s v="GNR_HP_ELEC_COP-1200_Y-2030"/>
    <x v="0"/>
    <x v="17"/>
    <n v="19.119778030244099"/>
    <n v="6978.7189810390801"/>
    <n v="25123.388331740702"/>
  </r>
  <r>
    <x v="0"/>
    <x v="0"/>
    <x v="1"/>
    <x v="0"/>
    <x v="1"/>
    <s v="DK2_Small"/>
    <x v="3"/>
    <s v="GNR_HP_ELEC_COP-1200_Y-2030"/>
    <x v="0"/>
    <x v="18"/>
    <n v="19.119778030244099"/>
    <n v="6978.7189810390801"/>
    <n v="25123.388331740702"/>
  </r>
  <r>
    <x v="0"/>
    <x v="0"/>
    <x v="1"/>
    <x v="0"/>
    <x v="1"/>
    <s v="DK2_Small"/>
    <x v="3"/>
    <s v="GNR_HP_ELEC_COP-1200_Y-2030"/>
    <x v="0"/>
    <x v="19"/>
    <n v="19.119778030244099"/>
    <n v="6978.7189810390801"/>
    <n v="25123.388331740702"/>
  </r>
  <r>
    <x v="0"/>
    <x v="0"/>
    <x v="1"/>
    <x v="0"/>
    <x v="1"/>
    <s v="DK2_Small"/>
    <x v="3"/>
    <s v="GNR_HP_ELEC_COP-1200_Y-2030"/>
    <x v="0"/>
    <x v="20"/>
    <n v="19.076980541648101"/>
    <n v="6963.0978977015502"/>
    <n v="25067.152431725601"/>
  </r>
  <r>
    <x v="0"/>
    <x v="0"/>
    <x v="1"/>
    <x v="0"/>
    <x v="1"/>
    <s v="DK2_Small"/>
    <x v="3"/>
    <s v="GNR_HP_ELEC_COP-1200_Y-2030"/>
    <x v="0"/>
    <x v="21"/>
    <n v="17.6432646736835"/>
    <n v="6439.7916058944802"/>
    <n v="23183.2497812201"/>
  </r>
  <r>
    <x v="0"/>
    <x v="0"/>
    <x v="1"/>
    <x v="0"/>
    <x v="1"/>
    <s v="DK2_Small"/>
    <x v="3"/>
    <s v="GNR_HP_ELEC_COP-1200_Y-2030"/>
    <x v="0"/>
    <x v="22"/>
    <n v="17.5362709521936"/>
    <n v="6400.7388975506701"/>
    <n v="23042.6600311824"/>
  </r>
  <r>
    <x v="0"/>
    <x v="0"/>
    <x v="1"/>
    <x v="0"/>
    <x v="1"/>
    <s v="DK2_Small"/>
    <x v="3"/>
    <s v="GNR_HP_ELEC_COP-1200_Y-2030"/>
    <x v="0"/>
    <x v="23"/>
    <n v="17.2687866484689"/>
    <n v="6303.1071266911404"/>
    <n v="22691.185656088099"/>
  </r>
  <r>
    <x v="0"/>
    <x v="0"/>
    <x v="1"/>
    <x v="0"/>
    <x v="1"/>
    <s v="DK2_Small"/>
    <x v="5"/>
    <s v="GNR_BO_STRW_E-100"/>
    <x v="0"/>
    <x v="9"/>
    <n v="5.3496860744946403E-2"/>
    <n v="19.5263541719054"/>
    <n v="70.294875018859599"/>
  </r>
  <r>
    <x v="0"/>
    <x v="0"/>
    <x v="1"/>
    <x v="0"/>
    <x v="1"/>
    <s v="DK2_Small"/>
    <x v="5"/>
    <s v="GNR_BO_STRW_E-100"/>
    <x v="0"/>
    <x v="17"/>
    <n v="0.192588698681806"/>
    <n v="70.294875018859301"/>
    <n v="253.06155006789399"/>
  </r>
  <r>
    <x v="0"/>
    <x v="0"/>
    <x v="1"/>
    <x v="0"/>
    <x v="1"/>
    <s v="DK2_Small"/>
    <x v="5"/>
    <s v="GNR_BO_STRW_E-100"/>
    <x v="0"/>
    <x v="18"/>
    <n v="0.235386187277765"/>
    <n v="85.915958356384195"/>
    <n v="309.297450082983"/>
  </r>
  <r>
    <x v="0"/>
    <x v="0"/>
    <x v="1"/>
    <x v="0"/>
    <x v="1"/>
    <s v="DK2_Small"/>
    <x v="5"/>
    <s v="GNR_BO_STRW_E-100"/>
    <x v="0"/>
    <x v="19"/>
    <n v="0.192588698681806"/>
    <n v="70.294875018859301"/>
    <n v="253.06155006789399"/>
  </r>
  <r>
    <x v="0"/>
    <x v="0"/>
    <x v="1"/>
    <x v="2"/>
    <x v="4"/>
    <s v="NO1_A1"/>
    <x v="13"/>
    <s v="GNR_SH_SUN_Y-2020"/>
    <x v="0"/>
    <x v="1"/>
    <n v="187.95238299512701"/>
    <n v="68602.619793221296"/>
    <n v="246969.43125559701"/>
  </r>
  <r>
    <x v="0"/>
    <x v="0"/>
    <x v="1"/>
    <x v="2"/>
    <x v="4"/>
    <s v="NO1_A1"/>
    <x v="13"/>
    <s v="GNR_SH_SUN_Y-2020"/>
    <x v="0"/>
    <x v="3"/>
    <n v="200.223499759823"/>
    <n v="73081.577412335406"/>
    <n v="263093.67868440697"/>
  </r>
  <r>
    <x v="0"/>
    <x v="0"/>
    <x v="1"/>
    <x v="2"/>
    <x v="4"/>
    <s v="NO1_A1"/>
    <x v="13"/>
    <s v="GNR_SH_SUN_Y-2020"/>
    <x v="0"/>
    <x v="4"/>
    <n v="212.329065698882"/>
    <n v="77500.108980092002"/>
    <n v="279000.39232833101"/>
  </r>
  <r>
    <x v="0"/>
    <x v="0"/>
    <x v="1"/>
    <x v="2"/>
    <x v="4"/>
    <s v="NO1_A1"/>
    <x v="13"/>
    <s v="GNR_SH_SUN_Y-2020"/>
    <x v="0"/>
    <x v="6"/>
    <n v="284.89610776961899"/>
    <n v="103987.079335911"/>
    <n v="374353.48560927901"/>
  </r>
  <r>
    <x v="0"/>
    <x v="0"/>
    <x v="1"/>
    <x v="2"/>
    <x v="4"/>
    <s v="NO1_A1"/>
    <x v="13"/>
    <s v="GNR_SH_SUN_Y-2020"/>
    <x v="0"/>
    <x v="7"/>
    <n v="315.31086037083998"/>
    <n v="115088.464035357"/>
    <n v="414318.47052728297"/>
  </r>
  <r>
    <x v="0"/>
    <x v="0"/>
    <x v="1"/>
    <x v="2"/>
    <x v="4"/>
    <s v="NO1_A1"/>
    <x v="13"/>
    <s v="GNR_SH_SUN_Y-2020"/>
    <x v="0"/>
    <x v="9"/>
    <n v="308.66252613326998"/>
    <n v="112661.822038643"/>
    <n v="405582.55933911598"/>
  </r>
  <r>
    <x v="0"/>
    <x v="0"/>
    <x v="1"/>
    <x v="2"/>
    <x v="4"/>
    <s v="NO1_A1"/>
    <x v="13"/>
    <s v="GNR_SH_SUN_Y-2020"/>
    <x v="0"/>
    <x v="11"/>
    <n v="277.258925937078"/>
    <n v="101199.50796703401"/>
    <n v="364318.22868132102"/>
  </r>
  <r>
    <x v="0"/>
    <x v="0"/>
    <x v="1"/>
    <x v="2"/>
    <x v="4"/>
    <s v="NO1_A1"/>
    <x v="13"/>
    <s v="GNR_SH_SUN_Y-2020"/>
    <x v="0"/>
    <x v="12"/>
    <n v="261.594212228853"/>
    <n v="95481.887463531195"/>
    <n v="343734.79486871202"/>
  </r>
  <r>
    <x v="0"/>
    <x v="0"/>
    <x v="1"/>
    <x v="2"/>
    <x v="4"/>
    <s v="NO1_A1"/>
    <x v="13"/>
    <s v="GNR_SH_SUN_Y-2020"/>
    <x v="0"/>
    <x v="14"/>
    <n v="251.72838264040101"/>
    <n v="91880.859663746407"/>
    <n v="330771.09478948702"/>
  </r>
  <r>
    <x v="0"/>
    <x v="0"/>
    <x v="1"/>
    <x v="2"/>
    <x v="4"/>
    <s v="NO1_A1"/>
    <x v="13"/>
    <s v="GNR_SH_SUN_Y-2020"/>
    <x v="0"/>
    <x v="15"/>
    <n v="247.29538176791701"/>
    <n v="90262.814345289793"/>
    <n v="324946.13164304302"/>
  </r>
  <r>
    <x v="0"/>
    <x v="0"/>
    <x v="1"/>
    <x v="2"/>
    <x v="4"/>
    <s v="NO1_A1"/>
    <x v="13"/>
    <s v="GNR_SH_SUN_Y-2020"/>
    <x v="0"/>
    <x v="16"/>
    <n v="241.73713897287999"/>
    <n v="88234.055725101294"/>
    <n v="317642.60061036499"/>
  </r>
  <r>
    <x v="0"/>
    <x v="0"/>
    <x v="1"/>
    <x v="2"/>
    <x v="4"/>
    <s v="NO1_A1"/>
    <x v="13"/>
    <s v="GNR_SH_SUN_Y-2020"/>
    <x v="0"/>
    <x v="17"/>
    <n v="236.260978861425"/>
    <n v="86235.257284420193"/>
    <n v="310446.92622391297"/>
  </r>
  <r>
    <x v="0"/>
    <x v="0"/>
    <x v="1"/>
    <x v="2"/>
    <x v="4"/>
    <s v="NO1_A1"/>
    <x v="13"/>
    <s v="GNR_SH_SUN_Y-2020"/>
    <x v="0"/>
    <x v="18"/>
    <n v="232.377914054088"/>
    <n v="84817.938629741999"/>
    <n v="305344.57906707103"/>
  </r>
  <r>
    <x v="0"/>
    <x v="0"/>
    <x v="1"/>
    <x v="2"/>
    <x v="4"/>
    <s v="NO1_A1"/>
    <x v="13"/>
    <s v="GNR_SH_SUN_Y-2020"/>
    <x v="0"/>
    <x v="22"/>
    <n v="209.05069612900101"/>
    <n v="76303.504087085297"/>
    <n v="274692.61471350701"/>
  </r>
  <r>
    <x v="0"/>
    <x v="0"/>
    <x v="1"/>
    <x v="2"/>
    <x v="4"/>
    <s v="NO1_A1"/>
    <x v="13"/>
    <s v="GNR_SH_SUN_Y-2030"/>
    <x v="0"/>
    <x v="0"/>
    <n v="184.26405623054799"/>
    <n v="67256.380524149805"/>
    <n v="242122.96988693901"/>
  </r>
  <r>
    <x v="0"/>
    <x v="0"/>
    <x v="1"/>
    <x v="2"/>
    <x v="4"/>
    <s v="NO1_A1"/>
    <x v="13"/>
    <s v="GNR_SH_SUN_Y-2030"/>
    <x v="0"/>
    <x v="2"/>
    <n v="190.682114631632"/>
    <n v="69598.971840545797"/>
    <n v="250556.29862596499"/>
  </r>
  <r>
    <x v="0"/>
    <x v="0"/>
    <x v="1"/>
    <x v="2"/>
    <x v="4"/>
    <s v="NO1_A1"/>
    <x v="13"/>
    <s v="GNR_SH_SUN_Y-2030"/>
    <x v="0"/>
    <x v="5"/>
    <n v="236.793929303689"/>
    <n v="86429.7841958465"/>
    <n v="311147.22310504701"/>
  </r>
  <r>
    <x v="0"/>
    <x v="0"/>
    <x v="1"/>
    <x v="2"/>
    <x v="4"/>
    <s v="NO1_A1"/>
    <x v="13"/>
    <s v="GNR_SH_SUN_Y-2030"/>
    <x v="0"/>
    <x v="8"/>
    <n v="319.655468382344"/>
    <n v="116674.24595955601"/>
    <n v="420027.2854544"/>
  </r>
  <r>
    <x v="0"/>
    <x v="0"/>
    <x v="1"/>
    <x v="2"/>
    <x v="4"/>
    <s v="NO1_A1"/>
    <x v="13"/>
    <s v="GNR_SH_SUN_Y-2030"/>
    <x v="0"/>
    <x v="10"/>
    <n v="296.050303680073"/>
    <n v="108058.360843227"/>
    <n v="389010.09903561597"/>
  </r>
  <r>
    <x v="0"/>
    <x v="0"/>
    <x v="1"/>
    <x v="2"/>
    <x v="4"/>
    <s v="NO1_A1"/>
    <x v="13"/>
    <s v="GNR_SH_SUN_Y-2030"/>
    <x v="0"/>
    <x v="13"/>
    <n v="255.94569026244"/>
    <n v="93420.176945790503"/>
    <n v="336312.63700484601"/>
  </r>
  <r>
    <x v="0"/>
    <x v="0"/>
    <x v="1"/>
    <x v="2"/>
    <x v="4"/>
    <s v="NO1_A1"/>
    <x v="13"/>
    <s v="GNR_SH_SUN_Y-2030"/>
    <x v="0"/>
    <x v="19"/>
    <n v="231.64591733659799"/>
    <n v="84550.759827858405"/>
    <n v="304382.73538029002"/>
  </r>
  <r>
    <x v="0"/>
    <x v="0"/>
    <x v="1"/>
    <x v="2"/>
    <x v="4"/>
    <s v="NO1_A1"/>
    <x v="13"/>
    <s v="GNR_SH_SUN_Y-2030"/>
    <x v="0"/>
    <x v="20"/>
    <n v="227.130631368038"/>
    <n v="82902.680449334002"/>
    <n v="298449.649617602"/>
  </r>
  <r>
    <x v="0"/>
    <x v="0"/>
    <x v="1"/>
    <x v="2"/>
    <x v="4"/>
    <s v="NO1_A1"/>
    <x v="13"/>
    <s v="GNR_SH_SUN_Y-2030"/>
    <x v="0"/>
    <x v="21"/>
    <n v="219.32472551321899"/>
    <n v="80053.524812324904"/>
    <n v="288192.68932437"/>
  </r>
  <r>
    <x v="0"/>
    <x v="0"/>
    <x v="1"/>
    <x v="2"/>
    <x v="4"/>
    <s v="NO1_A1"/>
    <x v="13"/>
    <s v="GNR_SH_SUN_Y-2030"/>
    <x v="0"/>
    <x v="23"/>
    <n v="196.43182969824201"/>
    <n v="71697.6178398583"/>
    <n v="258111.42422349"/>
  </r>
  <r>
    <x v="0"/>
    <x v="0"/>
    <x v="1"/>
    <x v="2"/>
    <x v="4"/>
    <s v="NO1_A2"/>
    <x v="3"/>
    <s v="GETOH_ELECTRICBOILER"/>
    <x v="0"/>
    <x v="0"/>
    <n v="213.45286670770801"/>
    <n v="77910.296348313495"/>
    <n v="280477.06685392797"/>
  </r>
  <r>
    <x v="0"/>
    <x v="0"/>
    <x v="1"/>
    <x v="2"/>
    <x v="4"/>
    <s v="NO1_A2"/>
    <x v="3"/>
    <s v="GETOH_ELECTRICBOILER"/>
    <x v="0"/>
    <x v="1"/>
    <n v="216.41509580142201"/>
    <n v="78991.509967518898"/>
    <n v="284369.43588306801"/>
  </r>
  <r>
    <x v="0"/>
    <x v="0"/>
    <x v="1"/>
    <x v="2"/>
    <x v="4"/>
    <s v="NO1_A2"/>
    <x v="3"/>
    <s v="GETOH_ELECTRICBOILER"/>
    <x v="0"/>
    <x v="2"/>
    <n v="218.72085219926601"/>
    <n v="79833.1110527321"/>
    <n v="287399.19978983601"/>
  </r>
  <r>
    <x v="0"/>
    <x v="0"/>
    <x v="1"/>
    <x v="2"/>
    <x v="4"/>
    <s v="NO1_A2"/>
    <x v="3"/>
    <s v="GETOH_ELECTRICBOILER"/>
    <x v="0"/>
    <x v="3"/>
    <n v="246"/>
    <n v="89790"/>
    <n v="323244"/>
  </r>
  <r>
    <x v="0"/>
    <x v="0"/>
    <x v="1"/>
    <x v="2"/>
    <x v="4"/>
    <s v="NO1_A2"/>
    <x v="3"/>
    <s v="GETOH_ELECTRICBOILER"/>
    <x v="0"/>
    <x v="4"/>
    <n v="246"/>
    <n v="89790"/>
    <n v="323244"/>
  </r>
  <r>
    <x v="0"/>
    <x v="0"/>
    <x v="1"/>
    <x v="2"/>
    <x v="4"/>
    <s v="NO1_A2"/>
    <x v="3"/>
    <s v="GETOH_ELECTRICBOILER"/>
    <x v="0"/>
    <x v="5"/>
    <n v="246"/>
    <n v="89790"/>
    <n v="323244"/>
  </r>
  <r>
    <x v="0"/>
    <x v="0"/>
    <x v="1"/>
    <x v="2"/>
    <x v="4"/>
    <s v="NO1_A2"/>
    <x v="3"/>
    <s v="GETOH_ELECTRICBOILER"/>
    <x v="0"/>
    <x v="6"/>
    <n v="246"/>
    <n v="89790"/>
    <n v="323244"/>
  </r>
  <r>
    <x v="0"/>
    <x v="0"/>
    <x v="1"/>
    <x v="2"/>
    <x v="4"/>
    <s v="NO1_A2"/>
    <x v="3"/>
    <s v="GETOH_ELECTRICBOILER"/>
    <x v="0"/>
    <x v="7"/>
    <n v="246"/>
    <n v="89790"/>
    <n v="323244"/>
  </r>
  <r>
    <x v="0"/>
    <x v="0"/>
    <x v="1"/>
    <x v="2"/>
    <x v="4"/>
    <s v="NO1_A2"/>
    <x v="3"/>
    <s v="GETOH_ELECTRICBOILER"/>
    <x v="0"/>
    <x v="8"/>
    <n v="246"/>
    <n v="89790"/>
    <n v="323244"/>
  </r>
  <r>
    <x v="0"/>
    <x v="0"/>
    <x v="1"/>
    <x v="2"/>
    <x v="4"/>
    <s v="NO1_A2"/>
    <x v="3"/>
    <s v="GETOH_ELECTRICBOILER"/>
    <x v="0"/>
    <x v="9"/>
    <n v="246"/>
    <n v="89790"/>
    <n v="323244"/>
  </r>
  <r>
    <x v="0"/>
    <x v="0"/>
    <x v="1"/>
    <x v="2"/>
    <x v="4"/>
    <s v="NO1_A2"/>
    <x v="3"/>
    <s v="GETOH_ELECTRICBOILER"/>
    <x v="0"/>
    <x v="10"/>
    <n v="246"/>
    <n v="89790"/>
    <n v="323244"/>
  </r>
  <r>
    <x v="0"/>
    <x v="0"/>
    <x v="1"/>
    <x v="2"/>
    <x v="4"/>
    <s v="NO1_A2"/>
    <x v="3"/>
    <s v="GETOH_ELECTRICBOILER"/>
    <x v="0"/>
    <x v="11"/>
    <n v="246"/>
    <n v="89790"/>
    <n v="323244"/>
  </r>
  <r>
    <x v="0"/>
    <x v="0"/>
    <x v="1"/>
    <x v="2"/>
    <x v="4"/>
    <s v="NO1_A2"/>
    <x v="3"/>
    <s v="GETOH_ELECTRICBOILER"/>
    <x v="0"/>
    <x v="12"/>
    <n v="246"/>
    <n v="89790"/>
    <n v="323244"/>
  </r>
  <r>
    <x v="0"/>
    <x v="0"/>
    <x v="1"/>
    <x v="2"/>
    <x v="4"/>
    <s v="NO1_A2"/>
    <x v="3"/>
    <s v="GETOH_ELECTRICBOILER"/>
    <x v="0"/>
    <x v="13"/>
    <n v="246"/>
    <n v="89790"/>
    <n v="323244"/>
  </r>
  <r>
    <x v="0"/>
    <x v="0"/>
    <x v="1"/>
    <x v="2"/>
    <x v="4"/>
    <s v="NO1_A2"/>
    <x v="3"/>
    <s v="GETOH_ELECTRICBOILER"/>
    <x v="0"/>
    <x v="14"/>
    <n v="246"/>
    <n v="89790"/>
    <n v="323244"/>
  </r>
  <r>
    <x v="0"/>
    <x v="0"/>
    <x v="1"/>
    <x v="2"/>
    <x v="4"/>
    <s v="NO1_A2"/>
    <x v="3"/>
    <s v="GETOH_ELECTRICBOILER"/>
    <x v="0"/>
    <x v="15"/>
    <n v="246"/>
    <n v="89790"/>
    <n v="323244"/>
  </r>
  <r>
    <x v="0"/>
    <x v="0"/>
    <x v="1"/>
    <x v="2"/>
    <x v="4"/>
    <s v="NO1_A2"/>
    <x v="3"/>
    <s v="GETOH_ELECTRICBOILER"/>
    <x v="0"/>
    <x v="16"/>
    <n v="246"/>
    <n v="89790"/>
    <n v="323244"/>
  </r>
  <r>
    <x v="0"/>
    <x v="0"/>
    <x v="1"/>
    <x v="2"/>
    <x v="4"/>
    <s v="NO1_A2"/>
    <x v="3"/>
    <s v="GETOH_ELECTRICBOILER"/>
    <x v="0"/>
    <x v="17"/>
    <n v="246"/>
    <n v="89790"/>
    <n v="323244"/>
  </r>
  <r>
    <x v="0"/>
    <x v="0"/>
    <x v="1"/>
    <x v="2"/>
    <x v="4"/>
    <s v="NO1_A2"/>
    <x v="3"/>
    <s v="GETOH_ELECTRICBOILER"/>
    <x v="0"/>
    <x v="18"/>
    <n v="246"/>
    <n v="89790"/>
    <n v="323244"/>
  </r>
  <r>
    <x v="0"/>
    <x v="0"/>
    <x v="1"/>
    <x v="2"/>
    <x v="4"/>
    <s v="NO1_A2"/>
    <x v="3"/>
    <s v="GETOH_ELECTRICBOILER"/>
    <x v="0"/>
    <x v="19"/>
    <n v="246"/>
    <n v="89790"/>
    <n v="323244"/>
  </r>
  <r>
    <x v="0"/>
    <x v="0"/>
    <x v="1"/>
    <x v="2"/>
    <x v="4"/>
    <s v="NO1_A2"/>
    <x v="3"/>
    <s v="GETOH_ELECTRICBOILER"/>
    <x v="0"/>
    <x v="20"/>
    <n v="243.41640659340601"/>
    <n v="88846.988406593096"/>
    <n v="319849.15826373501"/>
  </r>
  <r>
    <x v="0"/>
    <x v="0"/>
    <x v="1"/>
    <x v="2"/>
    <x v="4"/>
    <s v="NO1_A2"/>
    <x v="3"/>
    <s v="GETOH_ELECTRICBOILER"/>
    <x v="0"/>
    <x v="21"/>
    <n v="237.17284091117901"/>
    <n v="86568.086932580307"/>
    <n v="311645.11295728898"/>
  </r>
  <r>
    <x v="0"/>
    <x v="0"/>
    <x v="1"/>
    <x v="2"/>
    <x v="4"/>
    <s v="NO1_A2"/>
    <x v="3"/>
    <s v="GETOH_ELECTRICBOILER"/>
    <x v="0"/>
    <x v="22"/>
    <n v="246"/>
    <n v="89790"/>
    <n v="323244"/>
  </r>
  <r>
    <x v="0"/>
    <x v="0"/>
    <x v="1"/>
    <x v="2"/>
    <x v="4"/>
    <s v="NO1_A2"/>
    <x v="3"/>
    <s v="GETOH_ELECTRICBOILER"/>
    <x v="0"/>
    <x v="23"/>
    <n v="243.13814911323399"/>
    <n v="88745.424426330501"/>
    <n v="319483.52793479001"/>
  </r>
  <r>
    <x v="0"/>
    <x v="0"/>
    <x v="1"/>
    <x v="2"/>
    <x v="4"/>
    <s v="NO1_A2"/>
    <x v="3"/>
    <s v="GETOH_HEATPUMP"/>
    <x v="0"/>
    <x v="0"/>
    <n v="30"/>
    <n v="10950"/>
    <n v="39420"/>
  </r>
  <r>
    <x v="0"/>
    <x v="0"/>
    <x v="1"/>
    <x v="2"/>
    <x v="4"/>
    <s v="NO1_A2"/>
    <x v="3"/>
    <s v="GETOH_HEATPUMP"/>
    <x v="0"/>
    <x v="1"/>
    <n v="30"/>
    <n v="10950"/>
    <n v="39420"/>
  </r>
  <r>
    <x v="0"/>
    <x v="0"/>
    <x v="1"/>
    <x v="2"/>
    <x v="4"/>
    <s v="NO1_A2"/>
    <x v="3"/>
    <s v="GETOH_HEATPUMP"/>
    <x v="0"/>
    <x v="2"/>
    <n v="30"/>
    <n v="10950"/>
    <n v="39420"/>
  </r>
  <r>
    <x v="0"/>
    <x v="0"/>
    <x v="1"/>
    <x v="2"/>
    <x v="4"/>
    <s v="NO1_A2"/>
    <x v="3"/>
    <s v="GETOH_HEATPUMP"/>
    <x v="0"/>
    <x v="3"/>
    <n v="23.490435379304401"/>
    <n v="8574.0089134461105"/>
    <n v="30866.432088406"/>
  </r>
  <r>
    <x v="0"/>
    <x v="0"/>
    <x v="1"/>
    <x v="2"/>
    <x v="4"/>
    <s v="NO1_A2"/>
    <x v="3"/>
    <s v="GETOH_HEATPUMP"/>
    <x v="0"/>
    <x v="4"/>
    <n v="30"/>
    <n v="10950"/>
    <n v="39420"/>
  </r>
  <r>
    <x v="0"/>
    <x v="0"/>
    <x v="1"/>
    <x v="2"/>
    <x v="4"/>
    <s v="NO1_A2"/>
    <x v="3"/>
    <s v="GETOH_HEATPUMP"/>
    <x v="0"/>
    <x v="5"/>
    <n v="30"/>
    <n v="10950"/>
    <n v="39420"/>
  </r>
  <r>
    <x v="0"/>
    <x v="0"/>
    <x v="1"/>
    <x v="2"/>
    <x v="4"/>
    <s v="NO1_A2"/>
    <x v="3"/>
    <s v="GETOH_HEATPUMP"/>
    <x v="0"/>
    <x v="6"/>
    <n v="30"/>
    <n v="10950"/>
    <n v="39420"/>
  </r>
  <r>
    <x v="0"/>
    <x v="0"/>
    <x v="1"/>
    <x v="2"/>
    <x v="4"/>
    <s v="NO1_A2"/>
    <x v="3"/>
    <s v="GETOH_HEATPUMP"/>
    <x v="0"/>
    <x v="7"/>
    <n v="30"/>
    <n v="10950"/>
    <n v="39420"/>
  </r>
  <r>
    <x v="0"/>
    <x v="0"/>
    <x v="1"/>
    <x v="2"/>
    <x v="4"/>
    <s v="NO1_A2"/>
    <x v="3"/>
    <s v="GETOH_HEATPUMP"/>
    <x v="0"/>
    <x v="8"/>
    <n v="30"/>
    <n v="10950"/>
    <n v="39420"/>
  </r>
  <r>
    <x v="0"/>
    <x v="0"/>
    <x v="1"/>
    <x v="2"/>
    <x v="4"/>
    <s v="NO1_A2"/>
    <x v="3"/>
    <s v="GETOH_HEATPUMP"/>
    <x v="0"/>
    <x v="9"/>
    <n v="30"/>
    <n v="10950"/>
    <n v="39420"/>
  </r>
  <r>
    <x v="0"/>
    <x v="0"/>
    <x v="1"/>
    <x v="2"/>
    <x v="4"/>
    <s v="NO1_A2"/>
    <x v="3"/>
    <s v="GETOH_HEATPUMP"/>
    <x v="0"/>
    <x v="10"/>
    <n v="30"/>
    <n v="10950"/>
    <n v="39420"/>
  </r>
  <r>
    <x v="0"/>
    <x v="0"/>
    <x v="1"/>
    <x v="2"/>
    <x v="4"/>
    <s v="NO1_A2"/>
    <x v="3"/>
    <s v="GETOH_HEATPUMP"/>
    <x v="0"/>
    <x v="11"/>
    <n v="30"/>
    <n v="10950"/>
    <n v="39420"/>
  </r>
  <r>
    <x v="0"/>
    <x v="0"/>
    <x v="1"/>
    <x v="2"/>
    <x v="4"/>
    <s v="NO1_A2"/>
    <x v="3"/>
    <s v="GETOH_HEATPUMP"/>
    <x v="0"/>
    <x v="12"/>
    <n v="30"/>
    <n v="10950"/>
    <n v="39420"/>
  </r>
  <r>
    <x v="0"/>
    <x v="0"/>
    <x v="1"/>
    <x v="2"/>
    <x v="4"/>
    <s v="NO1_A2"/>
    <x v="3"/>
    <s v="GETOH_HEATPUMP"/>
    <x v="0"/>
    <x v="13"/>
    <n v="30"/>
    <n v="10950"/>
    <n v="39420"/>
  </r>
  <r>
    <x v="0"/>
    <x v="0"/>
    <x v="1"/>
    <x v="2"/>
    <x v="4"/>
    <s v="NO1_A2"/>
    <x v="3"/>
    <s v="GETOH_HEATPUMP"/>
    <x v="0"/>
    <x v="14"/>
    <n v="30"/>
    <n v="10950"/>
    <n v="39420"/>
  </r>
  <r>
    <x v="0"/>
    <x v="0"/>
    <x v="1"/>
    <x v="2"/>
    <x v="4"/>
    <s v="NO1_A2"/>
    <x v="3"/>
    <s v="GETOH_HEATPUMP"/>
    <x v="0"/>
    <x v="15"/>
    <n v="30"/>
    <n v="10950"/>
    <n v="39420"/>
  </r>
  <r>
    <x v="0"/>
    <x v="0"/>
    <x v="1"/>
    <x v="2"/>
    <x v="4"/>
    <s v="NO1_A2"/>
    <x v="3"/>
    <s v="GETOH_HEATPUMP"/>
    <x v="0"/>
    <x v="16"/>
    <n v="30"/>
    <n v="10950"/>
    <n v="39420"/>
  </r>
  <r>
    <x v="0"/>
    <x v="0"/>
    <x v="1"/>
    <x v="2"/>
    <x v="4"/>
    <s v="NO1_A2"/>
    <x v="3"/>
    <s v="GETOH_HEATPUMP"/>
    <x v="0"/>
    <x v="17"/>
    <n v="27.751087938570102"/>
    <n v="10129.147097578099"/>
    <n v="36464.9295512811"/>
  </r>
  <r>
    <x v="0"/>
    <x v="0"/>
    <x v="1"/>
    <x v="2"/>
    <x v="4"/>
    <s v="NO1_A2"/>
    <x v="3"/>
    <s v="GETOH_HEATPUMP"/>
    <x v="0"/>
    <x v="18"/>
    <n v="29.548593401799302"/>
    <n v="10785.2365916567"/>
    <n v="38826.851729964299"/>
  </r>
  <r>
    <x v="0"/>
    <x v="0"/>
    <x v="1"/>
    <x v="2"/>
    <x v="4"/>
    <s v="NO1_A2"/>
    <x v="3"/>
    <s v="GETOH_HEATPUMP"/>
    <x v="0"/>
    <x v="19"/>
    <n v="30"/>
    <n v="10950"/>
    <n v="39420"/>
  </r>
  <r>
    <x v="0"/>
    <x v="0"/>
    <x v="1"/>
    <x v="2"/>
    <x v="4"/>
    <s v="NO1_A2"/>
    <x v="3"/>
    <s v="GETOH_HEATPUMP"/>
    <x v="0"/>
    <x v="20"/>
    <n v="30"/>
    <n v="10950"/>
    <n v="39420"/>
  </r>
  <r>
    <x v="0"/>
    <x v="0"/>
    <x v="1"/>
    <x v="2"/>
    <x v="4"/>
    <s v="NO1_A2"/>
    <x v="3"/>
    <s v="GETOH_HEATPUMP"/>
    <x v="0"/>
    <x v="21"/>
    <n v="30"/>
    <n v="10950"/>
    <n v="39420"/>
  </r>
  <r>
    <x v="0"/>
    <x v="0"/>
    <x v="1"/>
    <x v="2"/>
    <x v="4"/>
    <s v="NO1_A2"/>
    <x v="3"/>
    <s v="GETOH_HEATPUMP"/>
    <x v="0"/>
    <x v="22"/>
    <n v="10.7713287784568"/>
    <n v="3931.5350041367501"/>
    <n v="14153.526014892301"/>
  </r>
  <r>
    <x v="0"/>
    <x v="0"/>
    <x v="1"/>
    <x v="2"/>
    <x v="4"/>
    <s v="NO1_A2"/>
    <x v="3"/>
    <s v="GNR_BO_ELEC_E-99_SS-1-MW-FEED_Y-2030"/>
    <x v="0"/>
    <x v="5"/>
    <n v="22.3707863763921"/>
    <n v="8165.3370273831197"/>
    <n v="29395.213298579201"/>
  </r>
  <r>
    <x v="0"/>
    <x v="0"/>
    <x v="1"/>
    <x v="2"/>
    <x v="4"/>
    <s v="NO1_A2"/>
    <x v="3"/>
    <s v="GNR_BO_ELEC_E-99_SS-1-MW-FEED_Y-2030"/>
    <x v="0"/>
    <x v="6"/>
    <n v="72.805914504396895"/>
    <n v="26574.1587941049"/>
    <n v="95666.971658777606"/>
  </r>
  <r>
    <x v="0"/>
    <x v="0"/>
    <x v="1"/>
    <x v="2"/>
    <x v="4"/>
    <s v="NO1_A2"/>
    <x v="3"/>
    <s v="GNR_BO_ELEC_E-99_SS-1-MW-FEED_Y-2030"/>
    <x v="0"/>
    <x v="7"/>
    <n v="72.805914504396895"/>
    <n v="26574.1587941049"/>
    <n v="95666.971658777606"/>
  </r>
  <r>
    <x v="0"/>
    <x v="0"/>
    <x v="1"/>
    <x v="2"/>
    <x v="4"/>
    <s v="NO1_A2"/>
    <x v="3"/>
    <s v="GNR_BO_ELEC_E-99_SS-1-MW-FEED_Y-2030"/>
    <x v="0"/>
    <x v="8"/>
    <n v="72.805914504396895"/>
    <n v="26574.1587941049"/>
    <n v="95666.971658777606"/>
  </r>
  <r>
    <x v="0"/>
    <x v="0"/>
    <x v="1"/>
    <x v="2"/>
    <x v="4"/>
    <s v="NO1_A2"/>
    <x v="3"/>
    <s v="GNR_BO_ELEC_E-99_SS-1-MW-FEED_Y-2030"/>
    <x v="0"/>
    <x v="9"/>
    <n v="72.805914504396895"/>
    <n v="26574.1587941049"/>
    <n v="95666.971658777606"/>
  </r>
  <r>
    <x v="0"/>
    <x v="0"/>
    <x v="1"/>
    <x v="2"/>
    <x v="4"/>
    <s v="NO1_A2"/>
    <x v="3"/>
    <s v="GNR_BO_ELEC_E-99_SS-1-MW-FEED_Y-2030"/>
    <x v="0"/>
    <x v="10"/>
    <n v="72.805914504396895"/>
    <n v="26574.1587941049"/>
    <n v="95666.971658777606"/>
  </r>
  <r>
    <x v="0"/>
    <x v="0"/>
    <x v="1"/>
    <x v="2"/>
    <x v="4"/>
    <s v="NO1_A2"/>
    <x v="3"/>
    <s v="GNR_BO_ELEC_E-99_SS-1-MW-FEED_Y-2030"/>
    <x v="0"/>
    <x v="11"/>
    <n v="46.593462864283801"/>
    <n v="17006.6139454636"/>
    <n v="61223.810203668902"/>
  </r>
  <r>
    <x v="0"/>
    <x v="0"/>
    <x v="1"/>
    <x v="2"/>
    <x v="4"/>
    <s v="NO1_A2"/>
    <x v="3"/>
    <s v="GNR_BO_ELEC_E-99_SS-1-MW-FEED_Y-2030"/>
    <x v="0"/>
    <x v="12"/>
    <n v="28.640880126090298"/>
    <n v="10453.921246022999"/>
    <n v="37634.1164856826"/>
  </r>
  <r>
    <x v="0"/>
    <x v="0"/>
    <x v="1"/>
    <x v="2"/>
    <x v="4"/>
    <s v="NO1_A2"/>
    <x v="3"/>
    <s v="GNR_BO_ELEC_E-99_SS-1-MW-FEED_Y-2030"/>
    <x v="0"/>
    <x v="13"/>
    <n v="15.9067147499401"/>
    <n v="5805.9508837281501"/>
    <n v="20901.423181421302"/>
  </r>
  <r>
    <x v="0"/>
    <x v="0"/>
    <x v="1"/>
    <x v="2"/>
    <x v="4"/>
    <s v="NO1_A2"/>
    <x v="9"/>
    <s v="GHOB_LPG"/>
    <x v="0"/>
    <x v="7"/>
    <n v="1.14204902968986"/>
    <n v="416.847895836801"/>
    <n v="1500.6524250124801"/>
  </r>
  <r>
    <x v="0"/>
    <x v="0"/>
    <x v="1"/>
    <x v="2"/>
    <x v="4"/>
    <s v="NO1_A2"/>
    <x v="1"/>
    <s v="GBPR_MUNIWASTE"/>
    <x v="0"/>
    <x v="7"/>
    <n v="35.784946236558703"/>
    <n v="13061.505376343899"/>
    <n v="47021.419354838203"/>
  </r>
  <r>
    <x v="0"/>
    <x v="0"/>
    <x v="1"/>
    <x v="2"/>
    <x v="4"/>
    <s v="NO1_A2"/>
    <x v="1"/>
    <s v="GBPR_MUNIWASTE"/>
    <x v="0"/>
    <x v="8"/>
    <n v="35.784946236558703"/>
    <n v="13061.505376343899"/>
    <n v="47021.419354838203"/>
  </r>
  <r>
    <x v="0"/>
    <x v="0"/>
    <x v="1"/>
    <x v="2"/>
    <x v="4"/>
    <s v="NO1_A2"/>
    <x v="1"/>
    <s v="GBPR_MUNIWASTE"/>
    <x v="0"/>
    <x v="9"/>
    <n v="14.1067242859516"/>
    <n v="5148.95436437233"/>
    <n v="18536.235711740399"/>
  </r>
  <r>
    <x v="0"/>
    <x v="0"/>
    <x v="1"/>
    <x v="2"/>
    <x v="4"/>
    <s v="NO1_A2"/>
    <x v="1"/>
    <s v="GHOB_MUNIWASTE"/>
    <x v="0"/>
    <x v="4"/>
    <n v="23.510548526094201"/>
    <n v="8581.3502120243902"/>
    <n v="30892.860763287801"/>
  </r>
  <r>
    <x v="0"/>
    <x v="0"/>
    <x v="1"/>
    <x v="2"/>
    <x v="4"/>
    <s v="NO1_A2"/>
    <x v="1"/>
    <s v="GHOB_MUNIWASTE"/>
    <x v="0"/>
    <x v="5"/>
    <n v="32"/>
    <n v="11680"/>
    <n v="42048"/>
  </r>
  <r>
    <x v="0"/>
    <x v="0"/>
    <x v="1"/>
    <x v="2"/>
    <x v="4"/>
    <s v="NO1_A2"/>
    <x v="1"/>
    <s v="GHOB_MUNIWASTE"/>
    <x v="0"/>
    <x v="6"/>
    <n v="32"/>
    <n v="11680"/>
    <n v="42048"/>
  </r>
  <r>
    <x v="0"/>
    <x v="0"/>
    <x v="1"/>
    <x v="2"/>
    <x v="4"/>
    <s v="NO1_A2"/>
    <x v="1"/>
    <s v="GHOB_MUNIWASTE"/>
    <x v="0"/>
    <x v="7"/>
    <n v="32"/>
    <n v="11680"/>
    <n v="42048"/>
  </r>
  <r>
    <x v="0"/>
    <x v="0"/>
    <x v="1"/>
    <x v="2"/>
    <x v="4"/>
    <s v="NO1_A2"/>
    <x v="1"/>
    <s v="GHOB_MUNIWASTE"/>
    <x v="0"/>
    <x v="8"/>
    <n v="32"/>
    <n v="11680"/>
    <n v="42048"/>
  </r>
  <r>
    <x v="0"/>
    <x v="0"/>
    <x v="1"/>
    <x v="2"/>
    <x v="4"/>
    <s v="NO1_A2"/>
    <x v="1"/>
    <s v="GHOB_MUNIWASTE"/>
    <x v="0"/>
    <x v="9"/>
    <n v="32"/>
    <n v="11680"/>
    <n v="42048"/>
  </r>
  <r>
    <x v="0"/>
    <x v="0"/>
    <x v="1"/>
    <x v="2"/>
    <x v="4"/>
    <s v="NO1_A2"/>
    <x v="1"/>
    <s v="GHOB_MUNIWASTE"/>
    <x v="0"/>
    <x v="10"/>
    <n v="32"/>
    <n v="11680"/>
    <n v="42048"/>
  </r>
  <r>
    <x v="0"/>
    <x v="0"/>
    <x v="1"/>
    <x v="2"/>
    <x v="4"/>
    <s v="NO1_A2"/>
    <x v="1"/>
    <s v="GHOB_MUNIWASTE"/>
    <x v="0"/>
    <x v="11"/>
    <n v="32"/>
    <n v="11680"/>
    <n v="42048"/>
  </r>
  <r>
    <x v="0"/>
    <x v="0"/>
    <x v="1"/>
    <x v="2"/>
    <x v="4"/>
    <s v="NO1_A2"/>
    <x v="1"/>
    <s v="GHOB_MUNIWASTE"/>
    <x v="0"/>
    <x v="12"/>
    <n v="32"/>
    <n v="11680"/>
    <n v="42048"/>
  </r>
  <r>
    <x v="0"/>
    <x v="0"/>
    <x v="1"/>
    <x v="2"/>
    <x v="4"/>
    <s v="NO1_A2"/>
    <x v="1"/>
    <s v="GHOB_MUNIWASTE"/>
    <x v="0"/>
    <x v="13"/>
    <n v="32"/>
    <n v="11680"/>
    <n v="42048"/>
  </r>
  <r>
    <x v="0"/>
    <x v="0"/>
    <x v="1"/>
    <x v="2"/>
    <x v="4"/>
    <s v="NO1_A2"/>
    <x v="1"/>
    <s v="GHOB_MUNIWASTE"/>
    <x v="0"/>
    <x v="14"/>
    <n v="29.759451849950299"/>
    <n v="10862.1999252318"/>
    <n v="39103.919730834597"/>
  </r>
  <r>
    <x v="0"/>
    <x v="0"/>
    <x v="1"/>
    <x v="2"/>
    <x v="4"/>
    <s v="NO1_A2"/>
    <x v="1"/>
    <s v="GHOB_MUNIWASTE"/>
    <x v="0"/>
    <x v="15"/>
    <n v="17.309266679289099"/>
    <n v="6317.8823379405103"/>
    <n v="22744.376416585801"/>
  </r>
  <r>
    <x v="0"/>
    <x v="0"/>
    <x v="1"/>
    <x v="2"/>
    <x v="4"/>
    <s v="NO1_A2"/>
    <x v="1"/>
    <s v="GHOB_MUNIWASTE"/>
    <x v="0"/>
    <x v="16"/>
    <n v="7.5487653107102801"/>
    <n v="2755.2993384092501"/>
    <n v="9919.0776182733098"/>
  </r>
  <r>
    <x v="0"/>
    <x v="0"/>
    <x v="1"/>
    <x v="2"/>
    <x v="4"/>
    <s v="NO1_A2"/>
    <x v="1"/>
    <s v="GHOB_MUNIWASTE"/>
    <x v="0"/>
    <x v="19"/>
    <n v="1.4501700004070699"/>
    <n v="529.31205014858097"/>
    <n v="1905.5233805348901"/>
  </r>
  <r>
    <x v="0"/>
    <x v="0"/>
    <x v="1"/>
    <x v="2"/>
    <x v="4"/>
    <s v="NO1_A2"/>
    <x v="7"/>
    <s v="GHOB_WOODWASTE"/>
    <x v="0"/>
    <x v="6"/>
    <n v="15.3044097867629"/>
    <n v="5586.1095721684596"/>
    <n v="20109.994459806501"/>
  </r>
  <r>
    <x v="0"/>
    <x v="0"/>
    <x v="1"/>
    <x v="2"/>
    <x v="4"/>
    <s v="NO1_A2"/>
    <x v="7"/>
    <s v="GHOB_WOODWASTE"/>
    <x v="0"/>
    <x v="7"/>
    <n v="16"/>
    <n v="5840"/>
    <n v="21024"/>
  </r>
  <r>
    <x v="0"/>
    <x v="0"/>
    <x v="1"/>
    <x v="2"/>
    <x v="4"/>
    <s v="NO1_A2"/>
    <x v="7"/>
    <s v="GHOB_WOODWASTE"/>
    <x v="0"/>
    <x v="8"/>
    <n v="16"/>
    <n v="5840"/>
    <n v="21024"/>
  </r>
  <r>
    <x v="0"/>
    <x v="0"/>
    <x v="1"/>
    <x v="2"/>
    <x v="4"/>
    <s v="NO1_A2"/>
    <x v="7"/>
    <s v="GHOB_WOODWASTE"/>
    <x v="0"/>
    <x v="9"/>
    <n v="16"/>
    <n v="5840"/>
    <n v="21024"/>
  </r>
  <r>
    <x v="0"/>
    <x v="0"/>
    <x v="1"/>
    <x v="2"/>
    <x v="4"/>
    <s v="NO1_A2"/>
    <x v="7"/>
    <s v="GHOB_WOODWASTE"/>
    <x v="0"/>
    <x v="10"/>
    <n v="2.00567599225309"/>
    <n v="732.07173717237697"/>
    <n v="2635.45825382056"/>
  </r>
  <r>
    <x v="0"/>
    <x v="0"/>
    <x v="1"/>
    <x v="2"/>
    <x v="5"/>
    <s v="NO2_A1"/>
    <x v="13"/>
    <s v="GNR_SH_SUN_Y-2020"/>
    <x v="0"/>
    <x v="0"/>
    <n v="53.311287992686502"/>
    <n v="19458.6201173306"/>
    <n v="70051.032422390097"/>
  </r>
  <r>
    <x v="0"/>
    <x v="0"/>
    <x v="1"/>
    <x v="2"/>
    <x v="5"/>
    <s v="NO2_A1"/>
    <x v="13"/>
    <s v="GNR_SH_SUN_Y-2020"/>
    <x v="0"/>
    <x v="4"/>
    <n v="64.872122503667796"/>
    <n v="23678.324713838701"/>
    <n v="85241.9689698195"/>
  </r>
  <r>
    <x v="0"/>
    <x v="0"/>
    <x v="1"/>
    <x v="2"/>
    <x v="5"/>
    <s v="NO2_A1"/>
    <x v="13"/>
    <s v="GNR_SH_SUN_Y-2020"/>
    <x v="0"/>
    <x v="6"/>
    <n v="87.333485303368306"/>
    <n v="31876.7221357294"/>
    <n v="114756.199688626"/>
  </r>
  <r>
    <x v="0"/>
    <x v="0"/>
    <x v="1"/>
    <x v="2"/>
    <x v="5"/>
    <s v="NO2_A1"/>
    <x v="13"/>
    <s v="GNR_SH_SUN_Y-2020"/>
    <x v="0"/>
    <x v="7"/>
    <n v="97.469468619135498"/>
    <n v="35576.356045984503"/>
    <n v="128074.88176554401"/>
  </r>
  <r>
    <x v="0"/>
    <x v="0"/>
    <x v="1"/>
    <x v="2"/>
    <x v="5"/>
    <s v="NO2_A1"/>
    <x v="13"/>
    <s v="GNR_SH_SUN_Y-2020"/>
    <x v="0"/>
    <x v="8"/>
    <n v="98.156712816784705"/>
    <n v="35827.200178126397"/>
    <n v="128977.920641255"/>
  </r>
  <r>
    <x v="0"/>
    <x v="0"/>
    <x v="1"/>
    <x v="2"/>
    <x v="5"/>
    <s v="NO2_A1"/>
    <x v="13"/>
    <s v="GNR_SH_SUN_Y-2020"/>
    <x v="0"/>
    <x v="12"/>
    <n v="80.127372122559805"/>
    <n v="29246.490824734301"/>
    <n v="105287.366969044"/>
  </r>
  <r>
    <x v="0"/>
    <x v="0"/>
    <x v="1"/>
    <x v="2"/>
    <x v="5"/>
    <s v="NO2_A1"/>
    <x v="13"/>
    <s v="GNR_SH_SUN_Y-2020"/>
    <x v="0"/>
    <x v="14"/>
    <n v="74.864123694093095"/>
    <n v="27325.405148344002"/>
    <n v="98371.458534038306"/>
  </r>
  <r>
    <x v="0"/>
    <x v="0"/>
    <x v="1"/>
    <x v="2"/>
    <x v="5"/>
    <s v="NO2_A1"/>
    <x v="13"/>
    <s v="GNR_SH_SUN_Y-2020"/>
    <x v="0"/>
    <x v="15"/>
    <n v="71.285136878526799"/>
    <n v="26019.074960662299"/>
    <n v="93668.669858384194"/>
  </r>
  <r>
    <x v="0"/>
    <x v="0"/>
    <x v="1"/>
    <x v="2"/>
    <x v="5"/>
    <s v="NO2_A1"/>
    <x v="13"/>
    <s v="GNR_SH_SUN_Y-2020"/>
    <x v="0"/>
    <x v="16"/>
    <n v="68.267656498744401"/>
    <n v="24917.694622041701"/>
    <n v="89703.700639350194"/>
  </r>
  <r>
    <x v="0"/>
    <x v="0"/>
    <x v="1"/>
    <x v="2"/>
    <x v="5"/>
    <s v="NO2_A1"/>
    <x v="13"/>
    <s v="GNR_SH_SUN_Y-2020"/>
    <x v="0"/>
    <x v="17"/>
    <n v="66.323362928933904"/>
    <n v="24208.0274690609"/>
    <n v="87148.898888619093"/>
  </r>
  <r>
    <x v="0"/>
    <x v="0"/>
    <x v="1"/>
    <x v="2"/>
    <x v="5"/>
    <s v="NO2_A1"/>
    <x v="13"/>
    <s v="GNR_SH_SUN_Y-2020"/>
    <x v="0"/>
    <x v="18"/>
    <n v="66.166934100493094"/>
    <n v="24150.93094668"/>
    <n v="86943.351408047994"/>
  </r>
  <r>
    <x v="0"/>
    <x v="0"/>
    <x v="1"/>
    <x v="2"/>
    <x v="5"/>
    <s v="NO2_A1"/>
    <x v="13"/>
    <s v="GNR_SH_SUN_Y-2020"/>
    <x v="0"/>
    <x v="20"/>
    <n v="65.874528218047203"/>
    <n v="24044.202799587201"/>
    <n v="86559.130078514005"/>
  </r>
  <r>
    <x v="0"/>
    <x v="0"/>
    <x v="1"/>
    <x v="2"/>
    <x v="5"/>
    <s v="NO2_A1"/>
    <x v="13"/>
    <s v="GNR_SH_SUN_Y-2020"/>
    <x v="0"/>
    <x v="21"/>
    <n v="63.332638773165598"/>
    <n v="23116.413152205401"/>
    <n v="83219.087347939596"/>
  </r>
  <r>
    <x v="0"/>
    <x v="0"/>
    <x v="1"/>
    <x v="2"/>
    <x v="5"/>
    <s v="NO2_A1"/>
    <x v="13"/>
    <s v="GNR_SH_SUN_Y-2030"/>
    <x v="0"/>
    <x v="1"/>
    <n v="54.615451705000403"/>
    <n v="19934.639872325199"/>
    <n v="71764.703540370596"/>
  </r>
  <r>
    <x v="0"/>
    <x v="0"/>
    <x v="1"/>
    <x v="2"/>
    <x v="5"/>
    <s v="NO2_A1"/>
    <x v="13"/>
    <s v="GNR_SH_SUN_Y-2030"/>
    <x v="0"/>
    <x v="2"/>
    <n v="55.293805483406501"/>
    <n v="20182.239001443399"/>
    <n v="72656.0604051962"/>
  </r>
  <r>
    <x v="0"/>
    <x v="0"/>
    <x v="1"/>
    <x v="2"/>
    <x v="5"/>
    <s v="NO2_A1"/>
    <x v="13"/>
    <s v="GNR_SH_SUN_Y-2030"/>
    <x v="0"/>
    <x v="3"/>
    <n v="59.1464309080799"/>
    <n v="21588.4472814492"/>
    <n v="77718.410213216994"/>
  </r>
  <r>
    <x v="0"/>
    <x v="0"/>
    <x v="1"/>
    <x v="2"/>
    <x v="5"/>
    <s v="NO2_A1"/>
    <x v="13"/>
    <s v="GNR_SH_SUN_Y-2030"/>
    <x v="0"/>
    <x v="5"/>
    <n v="72.997910652283693"/>
    <n v="26644.237388083598"/>
    <n v="95919.254597100793"/>
  </r>
  <r>
    <x v="0"/>
    <x v="0"/>
    <x v="1"/>
    <x v="2"/>
    <x v="5"/>
    <s v="NO2_A1"/>
    <x v="13"/>
    <s v="GNR_SH_SUN_Y-2030"/>
    <x v="0"/>
    <x v="9"/>
    <n v="92.881765429215406"/>
    <n v="33901.844381663599"/>
    <n v="122046.63977398899"/>
  </r>
  <r>
    <x v="0"/>
    <x v="0"/>
    <x v="1"/>
    <x v="2"/>
    <x v="5"/>
    <s v="NO2_A1"/>
    <x v="13"/>
    <s v="GNR_SH_SUN_Y-2030"/>
    <x v="0"/>
    <x v="10"/>
    <n v="87.343064629102003"/>
    <n v="31880.2185896222"/>
    <n v="114768.78692264001"/>
  </r>
  <r>
    <x v="0"/>
    <x v="0"/>
    <x v="1"/>
    <x v="2"/>
    <x v="5"/>
    <s v="NO2_A1"/>
    <x v="13"/>
    <s v="GNR_SH_SUN_Y-2030"/>
    <x v="0"/>
    <x v="11"/>
    <n v="83.305254390262206"/>
    <n v="30406.417852445698"/>
    <n v="109463.104268804"/>
  </r>
  <r>
    <x v="0"/>
    <x v="0"/>
    <x v="1"/>
    <x v="2"/>
    <x v="5"/>
    <s v="NO2_A1"/>
    <x v="13"/>
    <s v="GNR_SH_SUN_Y-2030"/>
    <x v="0"/>
    <x v="13"/>
    <n v="77.459753610850598"/>
    <n v="28272.810067960501"/>
    <n v="101782.116244658"/>
  </r>
  <r>
    <x v="0"/>
    <x v="0"/>
    <x v="1"/>
    <x v="2"/>
    <x v="5"/>
    <s v="NO2_A1"/>
    <x v="13"/>
    <s v="GNR_SH_SUN_Y-2030"/>
    <x v="0"/>
    <x v="19"/>
    <n v="66.908167133466307"/>
    <n v="24421.481003715198"/>
    <n v="87917.331613374699"/>
  </r>
  <r>
    <x v="0"/>
    <x v="0"/>
    <x v="1"/>
    <x v="2"/>
    <x v="5"/>
    <s v="NO2_A1"/>
    <x v="13"/>
    <s v="GNR_SH_SUN_Y-2030"/>
    <x v="0"/>
    <x v="22"/>
    <n v="60.265218455831302"/>
    <n v="21996.804736378399"/>
    <n v="79188.497050962294"/>
  </r>
  <r>
    <x v="0"/>
    <x v="0"/>
    <x v="1"/>
    <x v="2"/>
    <x v="5"/>
    <s v="NO2_A1"/>
    <x v="13"/>
    <s v="GNR_SH_SUN_Y-2030"/>
    <x v="0"/>
    <x v="23"/>
    <n v="56.455881398870503"/>
    <n v="20606.396710587702"/>
    <n v="74183.028158115805"/>
  </r>
  <r>
    <x v="0"/>
    <x v="0"/>
    <x v="1"/>
    <x v="2"/>
    <x v="6"/>
    <s v="NO3_A1"/>
    <x v="13"/>
    <s v="GNR_SH_SUN_Y-2020"/>
    <x v="0"/>
    <x v="3"/>
    <n v="37.656829784002397"/>
    <n v="13744.742871160901"/>
    <n v="49481.074336179197"/>
  </r>
  <r>
    <x v="0"/>
    <x v="0"/>
    <x v="1"/>
    <x v="2"/>
    <x v="6"/>
    <s v="NO3_A1"/>
    <x v="13"/>
    <s v="GNR_SH_SUN_Y-2020"/>
    <x v="0"/>
    <x v="4"/>
    <n v="40.453113141507302"/>
    <n v="14765.3862966501"/>
    <n v="53155.390667940497"/>
  </r>
  <r>
    <x v="0"/>
    <x v="0"/>
    <x v="1"/>
    <x v="2"/>
    <x v="6"/>
    <s v="NO3_A1"/>
    <x v="13"/>
    <s v="GNR_SH_SUN_Y-2020"/>
    <x v="0"/>
    <x v="5"/>
    <n v="43.660569241753699"/>
    <n v="15936.107773240101"/>
    <n v="57369.987983664301"/>
  </r>
  <r>
    <x v="0"/>
    <x v="0"/>
    <x v="1"/>
    <x v="2"/>
    <x v="6"/>
    <s v="NO3_A1"/>
    <x v="13"/>
    <s v="GNR_SH_SUN_Y-2020"/>
    <x v="0"/>
    <x v="6"/>
    <n v="51.025805384280801"/>
    <n v="18624.418965262499"/>
    <n v="67047.908274944901"/>
  </r>
  <r>
    <x v="0"/>
    <x v="0"/>
    <x v="1"/>
    <x v="2"/>
    <x v="6"/>
    <s v="NO3_A1"/>
    <x v="13"/>
    <s v="GNR_SH_SUN_Y-2020"/>
    <x v="0"/>
    <x v="7"/>
    <n v="55.210605681069502"/>
    <n v="20151.871073590399"/>
    <n v="72546.735864925402"/>
  </r>
  <r>
    <x v="0"/>
    <x v="0"/>
    <x v="1"/>
    <x v="2"/>
    <x v="6"/>
    <s v="NO3_A1"/>
    <x v="13"/>
    <s v="GNR_SH_SUN_Y-2020"/>
    <x v="0"/>
    <x v="9"/>
    <n v="52.036500966157597"/>
    <n v="18993.3228526475"/>
    <n v="68375.962269531097"/>
  </r>
  <r>
    <x v="0"/>
    <x v="0"/>
    <x v="1"/>
    <x v="2"/>
    <x v="6"/>
    <s v="NO3_A1"/>
    <x v="13"/>
    <s v="GNR_SH_SUN_Y-2020"/>
    <x v="0"/>
    <x v="10"/>
    <n v="49.973785888325999"/>
    <n v="18240.431849239001"/>
    <n v="65665.554657260305"/>
  </r>
  <r>
    <x v="0"/>
    <x v="0"/>
    <x v="1"/>
    <x v="2"/>
    <x v="6"/>
    <s v="NO3_A1"/>
    <x v="13"/>
    <s v="GNR_SH_SUN_Y-2020"/>
    <x v="0"/>
    <x v="11"/>
    <n v="48.469692259521203"/>
    <n v="17691.437674725199"/>
    <n v="63689.175629010802"/>
  </r>
  <r>
    <x v="0"/>
    <x v="0"/>
    <x v="1"/>
    <x v="2"/>
    <x v="6"/>
    <s v="NO3_A1"/>
    <x v="13"/>
    <s v="GNR_SH_SUN_Y-2020"/>
    <x v="0"/>
    <x v="13"/>
    <n v="44.942887412354096"/>
    <n v="16404.153905509302"/>
    <n v="59054.954059833297"/>
  </r>
  <r>
    <x v="0"/>
    <x v="0"/>
    <x v="1"/>
    <x v="2"/>
    <x v="6"/>
    <s v="NO3_A1"/>
    <x v="13"/>
    <s v="GNR_SH_SUN_Y-2020"/>
    <x v="0"/>
    <x v="16"/>
    <n v="38.609174861836898"/>
    <n v="14092.348824570499"/>
    <n v="50732.455768453699"/>
  </r>
  <r>
    <x v="0"/>
    <x v="0"/>
    <x v="1"/>
    <x v="2"/>
    <x v="6"/>
    <s v="NO3_A1"/>
    <x v="13"/>
    <s v="GNR_SH_SUN_Y-2020"/>
    <x v="0"/>
    <x v="18"/>
    <n v="35.429570039010997"/>
    <n v="12931.793064239"/>
    <n v="46554.455031260499"/>
  </r>
  <r>
    <x v="0"/>
    <x v="0"/>
    <x v="1"/>
    <x v="2"/>
    <x v="6"/>
    <s v="NO3_A1"/>
    <x v="13"/>
    <s v="GNR_SH_SUN_Y-2020"/>
    <x v="0"/>
    <x v="19"/>
    <n v="35.152418654871802"/>
    <n v="12830.6328090282"/>
    <n v="46190.278112501597"/>
  </r>
  <r>
    <x v="0"/>
    <x v="0"/>
    <x v="1"/>
    <x v="2"/>
    <x v="6"/>
    <s v="NO3_A1"/>
    <x v="13"/>
    <s v="GNR_SH_SUN_Y-2020"/>
    <x v="0"/>
    <x v="21"/>
    <n v="32.4357866577107"/>
    <n v="11839.0621300644"/>
    <n v="42620.623668231798"/>
  </r>
  <r>
    <x v="0"/>
    <x v="0"/>
    <x v="1"/>
    <x v="2"/>
    <x v="6"/>
    <s v="NO3_A1"/>
    <x v="13"/>
    <s v="GNR_SH_SUN_Y-2020"/>
    <x v="0"/>
    <x v="23"/>
    <n v="29.0119749473856"/>
    <n v="10589.3708557958"/>
    <n v="38121.735080864702"/>
  </r>
  <r>
    <x v="0"/>
    <x v="0"/>
    <x v="1"/>
    <x v="2"/>
    <x v="6"/>
    <s v="NO3_A1"/>
    <x v="13"/>
    <s v="GNR_SH_SUN_Y-2030"/>
    <x v="0"/>
    <x v="0"/>
    <n v="33.599203751258401"/>
    <n v="12263.7093692093"/>
    <n v="44149.353729153598"/>
  </r>
  <r>
    <x v="0"/>
    <x v="0"/>
    <x v="1"/>
    <x v="2"/>
    <x v="6"/>
    <s v="NO3_A1"/>
    <x v="13"/>
    <s v="GNR_SH_SUN_Y-2030"/>
    <x v="0"/>
    <x v="1"/>
    <n v="34.601750747085497"/>
    <n v="12629.6390226862"/>
    <n v="45466.700481670399"/>
  </r>
  <r>
    <x v="0"/>
    <x v="0"/>
    <x v="1"/>
    <x v="2"/>
    <x v="6"/>
    <s v="NO3_A1"/>
    <x v="13"/>
    <s v="GNR_SH_SUN_Y-2030"/>
    <x v="0"/>
    <x v="2"/>
    <n v="35.810991608266697"/>
    <n v="13071.0119370173"/>
    <n v="47055.642973262402"/>
  </r>
  <r>
    <x v="0"/>
    <x v="0"/>
    <x v="1"/>
    <x v="2"/>
    <x v="6"/>
    <s v="NO3_A1"/>
    <x v="13"/>
    <s v="GNR_SH_SUN_Y-2030"/>
    <x v="0"/>
    <x v="8"/>
    <n v="54.755238499097999"/>
    <n v="19985.662052170799"/>
    <n v="71948.3833878148"/>
  </r>
  <r>
    <x v="0"/>
    <x v="0"/>
    <x v="1"/>
    <x v="2"/>
    <x v="6"/>
    <s v="NO3_A1"/>
    <x v="13"/>
    <s v="GNR_SH_SUN_Y-2030"/>
    <x v="0"/>
    <x v="12"/>
    <n v="46.506450957627202"/>
    <n v="16974.854599533901"/>
    <n v="61109.476558322101"/>
  </r>
  <r>
    <x v="0"/>
    <x v="0"/>
    <x v="1"/>
    <x v="2"/>
    <x v="6"/>
    <s v="NO3_A1"/>
    <x v="13"/>
    <s v="GNR_SH_SUN_Y-2030"/>
    <x v="0"/>
    <x v="14"/>
    <n v="44.238483592318303"/>
    <n v="16147.0465111962"/>
    <n v="58129.367440306203"/>
  </r>
  <r>
    <x v="0"/>
    <x v="0"/>
    <x v="1"/>
    <x v="2"/>
    <x v="6"/>
    <s v="NO3_A1"/>
    <x v="13"/>
    <s v="GNR_SH_SUN_Y-2030"/>
    <x v="0"/>
    <x v="15"/>
    <n v="41.627591793546699"/>
    <n v="15194.0710046445"/>
    <n v="54698.655616720403"/>
  </r>
  <r>
    <x v="0"/>
    <x v="0"/>
    <x v="1"/>
    <x v="2"/>
    <x v="6"/>
    <s v="NO3_A1"/>
    <x v="13"/>
    <s v="GNR_SH_SUN_Y-2030"/>
    <x v="0"/>
    <x v="17"/>
    <n v="36.534501093850203"/>
    <n v="13335.0928992553"/>
    <n v="48006.334437319201"/>
  </r>
  <r>
    <x v="0"/>
    <x v="0"/>
    <x v="1"/>
    <x v="2"/>
    <x v="6"/>
    <s v="NO3_A1"/>
    <x v="13"/>
    <s v="GNR_SH_SUN_Y-2030"/>
    <x v="0"/>
    <x v="20"/>
    <n v="34.087804793815899"/>
    <n v="12442.0487497428"/>
    <n v="44791.3754990741"/>
  </r>
  <r>
    <x v="0"/>
    <x v="0"/>
    <x v="1"/>
    <x v="2"/>
    <x v="6"/>
    <s v="NO3_A1"/>
    <x v="13"/>
    <s v="GNR_SH_SUN_Y-2030"/>
    <x v="0"/>
    <x v="22"/>
    <n v="30.35282988718"/>
    <n v="11078.7829088207"/>
    <n v="39883.618471754497"/>
  </r>
  <r>
    <x v="0"/>
    <x v="0"/>
    <x v="1"/>
    <x v="2"/>
    <x v="6"/>
    <s v="NO3_A2"/>
    <x v="3"/>
    <s v="GETOH_ELECTRICBOILER"/>
    <x v="0"/>
    <x v="0"/>
    <n v="88.5"/>
    <n v="32302.5"/>
    <n v="116289"/>
  </r>
  <r>
    <x v="0"/>
    <x v="0"/>
    <x v="1"/>
    <x v="2"/>
    <x v="6"/>
    <s v="NO3_A2"/>
    <x v="3"/>
    <s v="GETOH_ELECTRICBOILER"/>
    <x v="0"/>
    <x v="1"/>
    <n v="88.5"/>
    <n v="32302.5"/>
    <n v="116289"/>
  </r>
  <r>
    <x v="0"/>
    <x v="0"/>
    <x v="1"/>
    <x v="2"/>
    <x v="6"/>
    <s v="NO3_A2"/>
    <x v="3"/>
    <s v="GETOH_ELECTRICBOILER"/>
    <x v="0"/>
    <x v="2"/>
    <n v="88.5"/>
    <n v="32302.5"/>
    <n v="116289"/>
  </r>
  <r>
    <x v="0"/>
    <x v="0"/>
    <x v="1"/>
    <x v="2"/>
    <x v="6"/>
    <s v="NO3_A2"/>
    <x v="3"/>
    <s v="GETOH_ELECTRICBOILER"/>
    <x v="0"/>
    <x v="3"/>
    <n v="88.5"/>
    <n v="32302.5"/>
    <n v="116289"/>
  </r>
  <r>
    <x v="0"/>
    <x v="0"/>
    <x v="1"/>
    <x v="2"/>
    <x v="6"/>
    <s v="NO3_A2"/>
    <x v="3"/>
    <s v="GETOH_ELECTRICBOILER"/>
    <x v="0"/>
    <x v="4"/>
    <n v="88.5"/>
    <n v="32302.5"/>
    <n v="116289"/>
  </r>
  <r>
    <x v="0"/>
    <x v="0"/>
    <x v="1"/>
    <x v="2"/>
    <x v="6"/>
    <s v="NO3_A2"/>
    <x v="3"/>
    <s v="GETOH_ELECTRICBOILER"/>
    <x v="0"/>
    <x v="5"/>
    <n v="88.5"/>
    <n v="32302.5"/>
    <n v="116289"/>
  </r>
  <r>
    <x v="0"/>
    <x v="0"/>
    <x v="1"/>
    <x v="2"/>
    <x v="6"/>
    <s v="NO3_A2"/>
    <x v="3"/>
    <s v="GETOH_ELECTRICBOILER"/>
    <x v="0"/>
    <x v="6"/>
    <n v="88.5"/>
    <n v="32302.5"/>
    <n v="116289"/>
  </r>
  <r>
    <x v="0"/>
    <x v="0"/>
    <x v="1"/>
    <x v="2"/>
    <x v="6"/>
    <s v="NO3_A2"/>
    <x v="3"/>
    <s v="GETOH_ELECTRICBOILER"/>
    <x v="0"/>
    <x v="7"/>
    <n v="88.5"/>
    <n v="32302.5"/>
    <n v="116289"/>
  </r>
  <r>
    <x v="0"/>
    <x v="0"/>
    <x v="1"/>
    <x v="2"/>
    <x v="6"/>
    <s v="NO3_A2"/>
    <x v="3"/>
    <s v="GETOH_ELECTRICBOILER"/>
    <x v="0"/>
    <x v="8"/>
    <n v="88.5"/>
    <n v="32302.5"/>
    <n v="116289"/>
  </r>
  <r>
    <x v="0"/>
    <x v="0"/>
    <x v="1"/>
    <x v="2"/>
    <x v="6"/>
    <s v="NO3_A2"/>
    <x v="3"/>
    <s v="GETOH_ELECTRICBOILER"/>
    <x v="0"/>
    <x v="9"/>
    <n v="88.5"/>
    <n v="32302.5"/>
    <n v="116289"/>
  </r>
  <r>
    <x v="0"/>
    <x v="0"/>
    <x v="1"/>
    <x v="2"/>
    <x v="6"/>
    <s v="NO3_A2"/>
    <x v="3"/>
    <s v="GETOH_ELECTRICBOILER"/>
    <x v="0"/>
    <x v="10"/>
    <n v="88.5"/>
    <n v="32302.5"/>
    <n v="116289"/>
  </r>
  <r>
    <x v="0"/>
    <x v="0"/>
    <x v="1"/>
    <x v="2"/>
    <x v="6"/>
    <s v="NO3_A2"/>
    <x v="3"/>
    <s v="GETOH_ELECTRICBOILER"/>
    <x v="0"/>
    <x v="11"/>
    <n v="88.5"/>
    <n v="32302.5"/>
    <n v="116289"/>
  </r>
  <r>
    <x v="0"/>
    <x v="0"/>
    <x v="1"/>
    <x v="2"/>
    <x v="6"/>
    <s v="NO3_A2"/>
    <x v="3"/>
    <s v="GETOH_ELECTRICBOILER"/>
    <x v="0"/>
    <x v="12"/>
    <n v="88.5"/>
    <n v="32302.5"/>
    <n v="116289"/>
  </r>
  <r>
    <x v="0"/>
    <x v="0"/>
    <x v="1"/>
    <x v="2"/>
    <x v="6"/>
    <s v="NO3_A2"/>
    <x v="3"/>
    <s v="GETOH_ELECTRICBOILER"/>
    <x v="0"/>
    <x v="13"/>
    <n v="88.5"/>
    <n v="32302.5"/>
    <n v="116289"/>
  </r>
  <r>
    <x v="0"/>
    <x v="0"/>
    <x v="1"/>
    <x v="2"/>
    <x v="6"/>
    <s v="NO3_A2"/>
    <x v="3"/>
    <s v="GETOH_ELECTRICBOILER"/>
    <x v="0"/>
    <x v="14"/>
    <n v="88.5"/>
    <n v="32302.5"/>
    <n v="116289"/>
  </r>
  <r>
    <x v="0"/>
    <x v="0"/>
    <x v="1"/>
    <x v="2"/>
    <x v="6"/>
    <s v="NO3_A2"/>
    <x v="3"/>
    <s v="GETOH_ELECTRICBOILER"/>
    <x v="0"/>
    <x v="15"/>
    <n v="88.5"/>
    <n v="32302.5"/>
    <n v="116289"/>
  </r>
  <r>
    <x v="0"/>
    <x v="0"/>
    <x v="1"/>
    <x v="2"/>
    <x v="6"/>
    <s v="NO3_A2"/>
    <x v="3"/>
    <s v="GETOH_ELECTRICBOILER"/>
    <x v="0"/>
    <x v="16"/>
    <n v="88.5"/>
    <n v="32302.5"/>
    <n v="116289"/>
  </r>
  <r>
    <x v="0"/>
    <x v="0"/>
    <x v="1"/>
    <x v="2"/>
    <x v="6"/>
    <s v="NO3_A2"/>
    <x v="3"/>
    <s v="GETOH_ELECTRICBOILER"/>
    <x v="0"/>
    <x v="17"/>
    <n v="88.5"/>
    <n v="32302.5"/>
    <n v="116289"/>
  </r>
  <r>
    <x v="0"/>
    <x v="0"/>
    <x v="1"/>
    <x v="2"/>
    <x v="6"/>
    <s v="NO3_A2"/>
    <x v="3"/>
    <s v="GETOH_ELECTRICBOILER"/>
    <x v="0"/>
    <x v="18"/>
    <n v="88.5"/>
    <n v="32302.5"/>
    <n v="116289"/>
  </r>
  <r>
    <x v="0"/>
    <x v="0"/>
    <x v="1"/>
    <x v="2"/>
    <x v="6"/>
    <s v="NO3_A2"/>
    <x v="3"/>
    <s v="GETOH_ELECTRICBOILER"/>
    <x v="0"/>
    <x v="19"/>
    <n v="88.5"/>
    <n v="32302.5"/>
    <n v="116289"/>
  </r>
  <r>
    <x v="0"/>
    <x v="0"/>
    <x v="1"/>
    <x v="2"/>
    <x v="6"/>
    <s v="NO3_A2"/>
    <x v="3"/>
    <s v="GETOH_ELECTRICBOILER"/>
    <x v="0"/>
    <x v="20"/>
    <n v="88.5"/>
    <n v="32302.5"/>
    <n v="116289"/>
  </r>
  <r>
    <x v="0"/>
    <x v="0"/>
    <x v="1"/>
    <x v="2"/>
    <x v="6"/>
    <s v="NO3_A2"/>
    <x v="3"/>
    <s v="GETOH_ELECTRICBOILER"/>
    <x v="0"/>
    <x v="21"/>
    <n v="88.5"/>
    <n v="32302.5"/>
    <n v="116289"/>
  </r>
  <r>
    <x v="0"/>
    <x v="0"/>
    <x v="1"/>
    <x v="2"/>
    <x v="6"/>
    <s v="NO3_A2"/>
    <x v="3"/>
    <s v="GETOH_ELECTRICBOILER"/>
    <x v="0"/>
    <x v="22"/>
    <n v="87.951662274169607"/>
    <n v="32102.356730071901"/>
    <n v="115568.484228259"/>
  </r>
  <r>
    <x v="0"/>
    <x v="0"/>
    <x v="1"/>
    <x v="2"/>
    <x v="6"/>
    <s v="NO3_A2"/>
    <x v="3"/>
    <s v="GETOH_ELECTRICBOILER"/>
    <x v="0"/>
    <x v="23"/>
    <n v="84.111359320570301"/>
    <n v="30700.646152008201"/>
    <n v="110522.326147229"/>
  </r>
  <r>
    <x v="0"/>
    <x v="0"/>
    <x v="1"/>
    <x v="2"/>
    <x v="6"/>
    <s v="NO3_A2"/>
    <x v="3"/>
    <s v="GETOH_HEATPUMP"/>
    <x v="0"/>
    <x v="0"/>
    <n v="1"/>
    <n v="365"/>
    <n v="1314"/>
  </r>
  <r>
    <x v="0"/>
    <x v="0"/>
    <x v="1"/>
    <x v="2"/>
    <x v="6"/>
    <s v="NO3_A2"/>
    <x v="3"/>
    <s v="GETOH_HEATPUMP"/>
    <x v="0"/>
    <x v="1"/>
    <n v="1"/>
    <n v="365"/>
    <n v="1314"/>
  </r>
  <r>
    <x v="0"/>
    <x v="0"/>
    <x v="1"/>
    <x v="2"/>
    <x v="6"/>
    <s v="NO3_A2"/>
    <x v="3"/>
    <s v="GETOH_HEATPUMP"/>
    <x v="0"/>
    <x v="2"/>
    <n v="1"/>
    <n v="365"/>
    <n v="1314"/>
  </r>
  <r>
    <x v="0"/>
    <x v="0"/>
    <x v="1"/>
    <x v="2"/>
    <x v="6"/>
    <s v="NO3_A2"/>
    <x v="3"/>
    <s v="GETOH_HEATPUMP"/>
    <x v="0"/>
    <x v="3"/>
    <n v="1"/>
    <n v="365"/>
    <n v="1314"/>
  </r>
  <r>
    <x v="0"/>
    <x v="0"/>
    <x v="1"/>
    <x v="2"/>
    <x v="6"/>
    <s v="NO3_A2"/>
    <x v="3"/>
    <s v="GETOH_HEATPUMP"/>
    <x v="0"/>
    <x v="4"/>
    <n v="1"/>
    <n v="365"/>
    <n v="1314"/>
  </r>
  <r>
    <x v="0"/>
    <x v="0"/>
    <x v="1"/>
    <x v="2"/>
    <x v="6"/>
    <s v="NO3_A2"/>
    <x v="3"/>
    <s v="GETOH_HEATPUMP"/>
    <x v="0"/>
    <x v="5"/>
    <n v="1"/>
    <n v="365"/>
    <n v="1314"/>
  </r>
  <r>
    <x v="0"/>
    <x v="0"/>
    <x v="1"/>
    <x v="2"/>
    <x v="6"/>
    <s v="NO3_A2"/>
    <x v="3"/>
    <s v="GETOH_HEATPUMP"/>
    <x v="0"/>
    <x v="6"/>
    <n v="1"/>
    <n v="365"/>
    <n v="1314"/>
  </r>
  <r>
    <x v="0"/>
    <x v="0"/>
    <x v="1"/>
    <x v="2"/>
    <x v="6"/>
    <s v="NO3_A2"/>
    <x v="3"/>
    <s v="GETOH_HEATPUMP"/>
    <x v="0"/>
    <x v="7"/>
    <n v="1"/>
    <n v="365"/>
    <n v="1314"/>
  </r>
  <r>
    <x v="0"/>
    <x v="0"/>
    <x v="1"/>
    <x v="2"/>
    <x v="6"/>
    <s v="NO3_A2"/>
    <x v="3"/>
    <s v="GETOH_HEATPUMP"/>
    <x v="0"/>
    <x v="8"/>
    <n v="1"/>
    <n v="365"/>
    <n v="1314"/>
  </r>
  <r>
    <x v="0"/>
    <x v="0"/>
    <x v="1"/>
    <x v="2"/>
    <x v="6"/>
    <s v="NO3_A2"/>
    <x v="3"/>
    <s v="GETOH_HEATPUMP"/>
    <x v="0"/>
    <x v="9"/>
    <n v="1"/>
    <n v="365"/>
    <n v="1314"/>
  </r>
  <r>
    <x v="0"/>
    <x v="0"/>
    <x v="1"/>
    <x v="2"/>
    <x v="6"/>
    <s v="NO3_A2"/>
    <x v="3"/>
    <s v="GETOH_HEATPUMP"/>
    <x v="0"/>
    <x v="10"/>
    <n v="1"/>
    <n v="365"/>
    <n v="1314"/>
  </r>
  <r>
    <x v="0"/>
    <x v="0"/>
    <x v="1"/>
    <x v="2"/>
    <x v="6"/>
    <s v="NO3_A2"/>
    <x v="3"/>
    <s v="GETOH_HEATPUMP"/>
    <x v="0"/>
    <x v="11"/>
    <n v="1"/>
    <n v="365"/>
    <n v="1314"/>
  </r>
  <r>
    <x v="0"/>
    <x v="0"/>
    <x v="1"/>
    <x v="2"/>
    <x v="6"/>
    <s v="NO3_A2"/>
    <x v="3"/>
    <s v="GETOH_HEATPUMP"/>
    <x v="0"/>
    <x v="12"/>
    <n v="1"/>
    <n v="365"/>
    <n v="1314"/>
  </r>
  <r>
    <x v="0"/>
    <x v="0"/>
    <x v="1"/>
    <x v="2"/>
    <x v="6"/>
    <s v="NO3_A2"/>
    <x v="3"/>
    <s v="GETOH_HEATPUMP"/>
    <x v="0"/>
    <x v="13"/>
    <n v="1"/>
    <n v="365"/>
    <n v="1314"/>
  </r>
  <r>
    <x v="0"/>
    <x v="0"/>
    <x v="1"/>
    <x v="2"/>
    <x v="6"/>
    <s v="NO3_A2"/>
    <x v="3"/>
    <s v="GETOH_HEATPUMP"/>
    <x v="0"/>
    <x v="14"/>
    <n v="1"/>
    <n v="365"/>
    <n v="1314"/>
  </r>
  <r>
    <x v="0"/>
    <x v="0"/>
    <x v="1"/>
    <x v="2"/>
    <x v="6"/>
    <s v="NO3_A2"/>
    <x v="3"/>
    <s v="GETOH_HEATPUMP"/>
    <x v="0"/>
    <x v="15"/>
    <n v="1"/>
    <n v="365"/>
    <n v="1314"/>
  </r>
  <r>
    <x v="0"/>
    <x v="0"/>
    <x v="1"/>
    <x v="2"/>
    <x v="6"/>
    <s v="NO3_A2"/>
    <x v="3"/>
    <s v="GETOH_HEATPUMP"/>
    <x v="0"/>
    <x v="16"/>
    <n v="1"/>
    <n v="365"/>
    <n v="1314"/>
  </r>
  <r>
    <x v="0"/>
    <x v="0"/>
    <x v="1"/>
    <x v="2"/>
    <x v="6"/>
    <s v="NO3_A2"/>
    <x v="3"/>
    <s v="GETOH_HEATPUMP"/>
    <x v="0"/>
    <x v="17"/>
    <n v="1"/>
    <n v="365"/>
    <n v="1314"/>
  </r>
  <r>
    <x v="0"/>
    <x v="0"/>
    <x v="1"/>
    <x v="2"/>
    <x v="6"/>
    <s v="NO3_A2"/>
    <x v="3"/>
    <s v="GETOH_HEATPUMP"/>
    <x v="0"/>
    <x v="18"/>
    <n v="1"/>
    <n v="365"/>
    <n v="1314"/>
  </r>
  <r>
    <x v="0"/>
    <x v="0"/>
    <x v="1"/>
    <x v="2"/>
    <x v="6"/>
    <s v="NO3_A2"/>
    <x v="3"/>
    <s v="GETOH_HEATPUMP"/>
    <x v="0"/>
    <x v="19"/>
    <n v="1"/>
    <n v="365"/>
    <n v="1314"/>
  </r>
  <r>
    <x v="0"/>
    <x v="0"/>
    <x v="1"/>
    <x v="2"/>
    <x v="6"/>
    <s v="NO3_A2"/>
    <x v="3"/>
    <s v="GETOH_HEATPUMP"/>
    <x v="0"/>
    <x v="20"/>
    <n v="1"/>
    <n v="365"/>
    <n v="1314"/>
  </r>
  <r>
    <x v="0"/>
    <x v="0"/>
    <x v="1"/>
    <x v="2"/>
    <x v="6"/>
    <s v="NO3_A2"/>
    <x v="3"/>
    <s v="GETOH_HEATPUMP"/>
    <x v="0"/>
    <x v="21"/>
    <n v="1"/>
    <n v="365"/>
    <n v="1314"/>
  </r>
  <r>
    <x v="0"/>
    <x v="0"/>
    <x v="1"/>
    <x v="2"/>
    <x v="6"/>
    <s v="NO3_A2"/>
    <x v="3"/>
    <s v="GETOH_HEATPUMP"/>
    <x v="0"/>
    <x v="22"/>
    <n v="1"/>
    <n v="365"/>
    <n v="1314"/>
  </r>
  <r>
    <x v="0"/>
    <x v="0"/>
    <x v="1"/>
    <x v="2"/>
    <x v="6"/>
    <s v="NO3_A2"/>
    <x v="3"/>
    <s v="GETOH_HEATPUMP"/>
    <x v="0"/>
    <x v="23"/>
    <n v="1"/>
    <n v="365"/>
    <n v="1314"/>
  </r>
  <r>
    <x v="0"/>
    <x v="0"/>
    <x v="1"/>
    <x v="2"/>
    <x v="6"/>
    <s v="NO3_A2"/>
    <x v="1"/>
    <s v="GHOB_MUNIWASTE"/>
    <x v="0"/>
    <x v="0"/>
    <n v="1.2739237763595099"/>
    <n v="464.98217837122098"/>
    <n v="1673.9358421364"/>
  </r>
  <r>
    <x v="0"/>
    <x v="0"/>
    <x v="1"/>
    <x v="2"/>
    <x v="6"/>
    <s v="NO3_A2"/>
    <x v="1"/>
    <s v="GHOB_MUNIWASTE"/>
    <x v="0"/>
    <x v="1"/>
    <n v="3.8262066590994301"/>
    <n v="1396.5654305712901"/>
    <n v="5027.6355500566497"/>
  </r>
  <r>
    <x v="0"/>
    <x v="0"/>
    <x v="1"/>
    <x v="2"/>
    <x v="6"/>
    <s v="NO3_A2"/>
    <x v="1"/>
    <s v="GHOB_MUNIWASTE"/>
    <x v="0"/>
    <x v="2"/>
    <n v="6.4146409908785502"/>
    <n v="2341.3439616706701"/>
    <n v="8428.8382620144203"/>
  </r>
  <r>
    <x v="0"/>
    <x v="0"/>
    <x v="1"/>
    <x v="2"/>
    <x v="6"/>
    <s v="NO3_A2"/>
    <x v="1"/>
    <s v="GHOB_MUNIWASTE"/>
    <x v="0"/>
    <x v="3"/>
    <n v="10.2785694382071"/>
    <n v="3751.6778449456101"/>
    <n v="13506.040241804199"/>
  </r>
  <r>
    <x v="0"/>
    <x v="0"/>
    <x v="1"/>
    <x v="2"/>
    <x v="6"/>
    <s v="NO3_A2"/>
    <x v="1"/>
    <s v="GHOB_MUNIWASTE"/>
    <x v="0"/>
    <x v="4"/>
    <n v="17.421111155254501"/>
    <n v="6358.7055716679097"/>
    <n v="22891.340058004502"/>
  </r>
  <r>
    <x v="0"/>
    <x v="0"/>
    <x v="1"/>
    <x v="2"/>
    <x v="6"/>
    <s v="NO3_A2"/>
    <x v="1"/>
    <s v="GHOB_MUNIWASTE"/>
    <x v="0"/>
    <x v="5"/>
    <n v="27.9464047433205"/>
    <n v="10200.437731312"/>
    <n v="36721.575832723203"/>
  </r>
  <r>
    <x v="0"/>
    <x v="0"/>
    <x v="1"/>
    <x v="2"/>
    <x v="6"/>
    <s v="NO3_A2"/>
    <x v="1"/>
    <s v="GHOB_MUNIWASTE"/>
    <x v="0"/>
    <x v="6"/>
    <n v="47.565501420798299"/>
    <n v="17361.408018591399"/>
    <n v="62501.068866928901"/>
  </r>
  <r>
    <x v="0"/>
    <x v="0"/>
    <x v="1"/>
    <x v="2"/>
    <x v="6"/>
    <s v="NO3_A2"/>
    <x v="1"/>
    <s v="GHOB_MUNIWASTE"/>
    <x v="0"/>
    <x v="7"/>
    <n v="63.8679710952051"/>
    <n v="23311.809449749901"/>
    <n v="83922.514019099603"/>
  </r>
  <r>
    <x v="0"/>
    <x v="0"/>
    <x v="1"/>
    <x v="2"/>
    <x v="6"/>
    <s v="NO3_A2"/>
    <x v="1"/>
    <s v="GHOB_MUNIWASTE"/>
    <x v="0"/>
    <x v="8"/>
    <n v="68.916443705590197"/>
    <n v="25154.501952540399"/>
    <n v="90556.207029145604"/>
  </r>
  <r>
    <x v="0"/>
    <x v="0"/>
    <x v="1"/>
    <x v="2"/>
    <x v="6"/>
    <s v="NO3_A2"/>
    <x v="1"/>
    <s v="GHOB_MUNIWASTE"/>
    <x v="0"/>
    <x v="9"/>
    <n v="62.7550977343329"/>
    <n v="22905.6106730315"/>
    <n v="82460.198422913498"/>
  </r>
  <r>
    <x v="0"/>
    <x v="0"/>
    <x v="1"/>
    <x v="2"/>
    <x v="6"/>
    <s v="NO3_A2"/>
    <x v="1"/>
    <s v="GHOB_MUNIWASTE"/>
    <x v="0"/>
    <x v="10"/>
    <n v="53.354076418308097"/>
    <n v="19474.2378926825"/>
    <n v="70107.256413656796"/>
  </r>
  <r>
    <x v="0"/>
    <x v="0"/>
    <x v="1"/>
    <x v="2"/>
    <x v="6"/>
    <s v="NO3_A2"/>
    <x v="1"/>
    <s v="GHOB_MUNIWASTE"/>
    <x v="0"/>
    <x v="11"/>
    <n v="45.296463040096199"/>
    <n v="16533.209009635098"/>
    <n v="59519.552434686397"/>
  </r>
  <r>
    <x v="0"/>
    <x v="0"/>
    <x v="1"/>
    <x v="2"/>
    <x v="6"/>
    <s v="NO3_A2"/>
    <x v="1"/>
    <s v="GHOB_MUNIWASTE"/>
    <x v="0"/>
    <x v="12"/>
    <n v="39.286937317598898"/>
    <n v="14339.7321209236"/>
    <n v="51623.035635325003"/>
  </r>
  <r>
    <x v="0"/>
    <x v="0"/>
    <x v="1"/>
    <x v="2"/>
    <x v="6"/>
    <s v="NO3_A2"/>
    <x v="1"/>
    <s v="GHOB_MUNIWASTE"/>
    <x v="0"/>
    <x v="13"/>
    <n v="35.548495081271"/>
    <n v="12975.200704663899"/>
    <n v="46710.722536790097"/>
  </r>
  <r>
    <x v="0"/>
    <x v="0"/>
    <x v="1"/>
    <x v="2"/>
    <x v="6"/>
    <s v="NO3_A2"/>
    <x v="1"/>
    <s v="GHOB_MUNIWASTE"/>
    <x v="0"/>
    <x v="14"/>
    <n v="36.237130877554598"/>
    <n v="13226.5527703074"/>
    <n v="47615.589973106798"/>
  </r>
  <r>
    <x v="0"/>
    <x v="0"/>
    <x v="1"/>
    <x v="2"/>
    <x v="6"/>
    <s v="NO3_A2"/>
    <x v="1"/>
    <s v="GHOB_MUNIWASTE"/>
    <x v="0"/>
    <x v="15"/>
    <n v="29.203122209077598"/>
    <n v="10659.1396063133"/>
    <n v="38372.902582727998"/>
  </r>
  <r>
    <x v="0"/>
    <x v="0"/>
    <x v="1"/>
    <x v="2"/>
    <x v="6"/>
    <s v="NO3_A2"/>
    <x v="1"/>
    <s v="GHOB_MUNIWASTE"/>
    <x v="0"/>
    <x v="16"/>
    <n v="22.503438543787599"/>
    <n v="8213.75506848246"/>
    <n v="29569.518246536802"/>
  </r>
  <r>
    <x v="0"/>
    <x v="0"/>
    <x v="1"/>
    <x v="2"/>
    <x v="6"/>
    <s v="NO3_A2"/>
    <x v="1"/>
    <s v="GHOB_MUNIWASTE"/>
    <x v="0"/>
    <x v="17"/>
    <n v="18.217767699319001"/>
    <n v="6649.4852102514396"/>
    <n v="23938.1467569052"/>
  </r>
  <r>
    <x v="0"/>
    <x v="0"/>
    <x v="1"/>
    <x v="2"/>
    <x v="6"/>
    <s v="NO3_A2"/>
    <x v="1"/>
    <s v="GHOB_MUNIWASTE"/>
    <x v="0"/>
    <x v="18"/>
    <n v="14.315456667806"/>
    <n v="5225.1416837491997"/>
    <n v="18810.510061497102"/>
  </r>
  <r>
    <x v="0"/>
    <x v="0"/>
    <x v="1"/>
    <x v="2"/>
    <x v="6"/>
    <s v="NO3_A2"/>
    <x v="1"/>
    <s v="GHOB_MUNIWASTE"/>
    <x v="0"/>
    <x v="19"/>
    <n v="13.193517619580501"/>
    <n v="4815.6339311468901"/>
    <n v="17336.282152128799"/>
  </r>
  <r>
    <x v="0"/>
    <x v="0"/>
    <x v="1"/>
    <x v="2"/>
    <x v="6"/>
    <s v="NO3_A2"/>
    <x v="1"/>
    <s v="GHOB_MUNIWASTE"/>
    <x v="0"/>
    <x v="20"/>
    <n v="9.9154521170026602"/>
    <n v="3619.1400227059698"/>
    <n v="13028.904081741501"/>
  </r>
  <r>
    <x v="0"/>
    <x v="0"/>
    <x v="1"/>
    <x v="2"/>
    <x v="6"/>
    <s v="NO3_A2"/>
    <x v="1"/>
    <s v="GHOB_MUNIWASTE"/>
    <x v="0"/>
    <x v="21"/>
    <n v="4.9197980400170396"/>
    <n v="1795.7262846062199"/>
    <n v="6464.6146245823902"/>
  </r>
  <r>
    <x v="0"/>
    <x v="0"/>
    <x v="1"/>
    <x v="2"/>
    <x v="7"/>
    <s v="NO4_A1"/>
    <x v="13"/>
    <s v="GNR_SH_SUN_Y-2020"/>
    <x v="0"/>
    <x v="0"/>
    <n v="35.066552528463099"/>
    <n v="12799.291672889"/>
    <n v="46077.450022400502"/>
  </r>
  <r>
    <x v="0"/>
    <x v="0"/>
    <x v="1"/>
    <x v="2"/>
    <x v="7"/>
    <s v="NO4_A1"/>
    <x v="13"/>
    <s v="GNR_SH_SUN_Y-2020"/>
    <x v="0"/>
    <x v="1"/>
    <n v="35.929640960896798"/>
    <n v="13114.3189507273"/>
    <n v="47211.548222618403"/>
  </r>
  <r>
    <x v="0"/>
    <x v="0"/>
    <x v="1"/>
    <x v="2"/>
    <x v="7"/>
    <s v="NO4_A1"/>
    <x v="13"/>
    <s v="GNR_SH_SUN_Y-2020"/>
    <x v="0"/>
    <x v="5"/>
    <n v="45.4261714276346"/>
    <n v="16580.552571086599"/>
    <n v="59689.989255911802"/>
  </r>
  <r>
    <x v="0"/>
    <x v="0"/>
    <x v="1"/>
    <x v="2"/>
    <x v="7"/>
    <s v="NO4_A1"/>
    <x v="13"/>
    <s v="GNR_SH_SUN_Y-2020"/>
    <x v="0"/>
    <x v="6"/>
    <n v="54.241658805400398"/>
    <n v="19798.205463971099"/>
    <n v="71273.539670296101"/>
  </r>
  <r>
    <x v="0"/>
    <x v="0"/>
    <x v="1"/>
    <x v="2"/>
    <x v="7"/>
    <s v="NO4_A1"/>
    <x v="13"/>
    <s v="GNR_SH_SUN_Y-2020"/>
    <x v="0"/>
    <x v="7"/>
    <n v="60.784038839088701"/>
    <n v="22186.174176267399"/>
    <n v="79870.227034562602"/>
  </r>
  <r>
    <x v="0"/>
    <x v="0"/>
    <x v="1"/>
    <x v="2"/>
    <x v="7"/>
    <s v="NO4_A1"/>
    <x v="13"/>
    <s v="GNR_SH_SUN_Y-2020"/>
    <x v="0"/>
    <x v="12"/>
    <n v="51.053921765399899"/>
    <n v="18634.681444370999"/>
    <n v="67084.8531997354"/>
  </r>
  <r>
    <x v="0"/>
    <x v="0"/>
    <x v="1"/>
    <x v="2"/>
    <x v="7"/>
    <s v="NO4_A1"/>
    <x v="13"/>
    <s v="GNR_SH_SUN_Y-2020"/>
    <x v="0"/>
    <x v="20"/>
    <n v="40.362212975723502"/>
    <n v="14732.2077361391"/>
    <n v="53035.947850100703"/>
  </r>
  <r>
    <x v="0"/>
    <x v="0"/>
    <x v="1"/>
    <x v="2"/>
    <x v="7"/>
    <s v="NO4_A1"/>
    <x v="13"/>
    <s v="GNR_SH_SUN_Y-2030"/>
    <x v="0"/>
    <x v="2"/>
    <n v="37.082797525571898"/>
    <n v="13535.2210968338"/>
    <n v="48726.795948601502"/>
  </r>
  <r>
    <x v="0"/>
    <x v="0"/>
    <x v="1"/>
    <x v="2"/>
    <x v="7"/>
    <s v="NO4_A1"/>
    <x v="13"/>
    <s v="GNR_SH_SUN_Y-2030"/>
    <x v="0"/>
    <x v="3"/>
    <n v="38.325829564276901"/>
    <n v="13988.927790961099"/>
    <n v="50360.140047459798"/>
  </r>
  <r>
    <x v="0"/>
    <x v="0"/>
    <x v="1"/>
    <x v="2"/>
    <x v="7"/>
    <s v="NO4_A1"/>
    <x v="13"/>
    <s v="GNR_SH_SUN_Y-2030"/>
    <x v="0"/>
    <x v="4"/>
    <n v="41.315944749830102"/>
    <n v="15080.319833688"/>
    <n v="54289.151401276802"/>
  </r>
  <r>
    <x v="0"/>
    <x v="0"/>
    <x v="1"/>
    <x v="2"/>
    <x v="7"/>
    <s v="NO4_A1"/>
    <x v="13"/>
    <s v="GNR_SH_SUN_Y-2030"/>
    <x v="0"/>
    <x v="8"/>
    <n v="62.462931529911302"/>
    <n v="22798.9700084176"/>
    <n v="82076.292030303506"/>
  </r>
  <r>
    <x v="0"/>
    <x v="0"/>
    <x v="1"/>
    <x v="2"/>
    <x v="7"/>
    <s v="NO4_A1"/>
    <x v="13"/>
    <s v="GNR_SH_SUN_Y-2030"/>
    <x v="0"/>
    <x v="9"/>
    <n v="59.7081442371584"/>
    <n v="21793.472646562801"/>
    <n v="78456.501527626198"/>
  </r>
  <r>
    <x v="0"/>
    <x v="0"/>
    <x v="1"/>
    <x v="2"/>
    <x v="7"/>
    <s v="NO4_A1"/>
    <x v="13"/>
    <s v="GNR_SH_SUN_Y-2030"/>
    <x v="0"/>
    <x v="10"/>
    <n v="56.179571873522299"/>
    <n v="20505.543733835599"/>
    <n v="73819.957441808307"/>
  </r>
  <r>
    <x v="0"/>
    <x v="0"/>
    <x v="1"/>
    <x v="2"/>
    <x v="7"/>
    <s v="NO4_A1"/>
    <x v="13"/>
    <s v="GNR_SH_SUN_Y-2030"/>
    <x v="0"/>
    <x v="11"/>
    <n v="53.7494708128743"/>
    <n v="19618.556846699099"/>
    <n v="70626.804648116798"/>
  </r>
  <r>
    <x v="0"/>
    <x v="0"/>
    <x v="1"/>
    <x v="2"/>
    <x v="7"/>
    <s v="NO4_A1"/>
    <x v="13"/>
    <s v="GNR_SH_SUN_Y-2030"/>
    <x v="0"/>
    <x v="13"/>
    <n v="49.841647266353199"/>
    <n v="18192.2012522189"/>
    <n v="65491.9245079881"/>
  </r>
  <r>
    <x v="0"/>
    <x v="0"/>
    <x v="1"/>
    <x v="2"/>
    <x v="7"/>
    <s v="NO4_A1"/>
    <x v="13"/>
    <s v="GNR_SH_SUN_Y-2030"/>
    <x v="0"/>
    <x v="14"/>
    <n v="48.972698453222698"/>
    <n v="17875.034935426302"/>
    <n v="64350.125767534599"/>
  </r>
  <r>
    <x v="0"/>
    <x v="0"/>
    <x v="1"/>
    <x v="2"/>
    <x v="7"/>
    <s v="NO4_A1"/>
    <x v="13"/>
    <s v="GNR_SH_SUN_Y-2030"/>
    <x v="0"/>
    <x v="15"/>
    <n v="46.107393867501003"/>
    <n v="16829.198761637901"/>
    <n v="60585.115541896397"/>
  </r>
  <r>
    <x v="0"/>
    <x v="0"/>
    <x v="1"/>
    <x v="2"/>
    <x v="7"/>
    <s v="NO4_A1"/>
    <x v="13"/>
    <s v="GNR_SH_SUN_Y-2030"/>
    <x v="0"/>
    <x v="16"/>
    <n v="43.2423158565338"/>
    <n v="15783.4452876348"/>
    <n v="56820.403035485397"/>
  </r>
  <r>
    <x v="0"/>
    <x v="0"/>
    <x v="1"/>
    <x v="2"/>
    <x v="7"/>
    <s v="NO4_A1"/>
    <x v="13"/>
    <s v="GNR_SH_SUN_Y-2030"/>
    <x v="0"/>
    <x v="17"/>
    <n v="41.766825020768003"/>
    <n v="15244.8911325803"/>
    <n v="54881.608077289202"/>
  </r>
  <r>
    <x v="0"/>
    <x v="0"/>
    <x v="1"/>
    <x v="2"/>
    <x v="7"/>
    <s v="NO4_A1"/>
    <x v="13"/>
    <s v="GNR_SH_SUN_Y-2030"/>
    <x v="0"/>
    <x v="18"/>
    <n v="41.186685331819398"/>
    <n v="15033.140146114099"/>
    <n v="54119.304526010601"/>
  </r>
  <r>
    <x v="0"/>
    <x v="0"/>
    <x v="1"/>
    <x v="2"/>
    <x v="7"/>
    <s v="NO4_A1"/>
    <x v="13"/>
    <s v="GNR_SH_SUN_Y-2030"/>
    <x v="0"/>
    <x v="19"/>
    <n v="41.263997259634898"/>
    <n v="15061.3589997667"/>
    <n v="54220.892399160199"/>
  </r>
  <r>
    <x v="0"/>
    <x v="0"/>
    <x v="1"/>
    <x v="2"/>
    <x v="7"/>
    <s v="NO4_A1"/>
    <x v="13"/>
    <s v="GNR_SH_SUN_Y-2030"/>
    <x v="0"/>
    <x v="21"/>
    <n v="39.055064489241502"/>
    <n v="14255.0985385731"/>
    <n v="51318.354738863301"/>
  </r>
  <r>
    <x v="0"/>
    <x v="0"/>
    <x v="1"/>
    <x v="2"/>
    <x v="7"/>
    <s v="NO4_A1"/>
    <x v="13"/>
    <s v="GNR_SH_SUN_Y-2030"/>
    <x v="0"/>
    <x v="22"/>
    <n v="37.134996846799503"/>
    <n v="13554.273849081799"/>
    <n v="48795.3858566946"/>
  </r>
  <r>
    <x v="0"/>
    <x v="0"/>
    <x v="1"/>
    <x v="2"/>
    <x v="7"/>
    <s v="NO4_A1"/>
    <x v="13"/>
    <s v="GNR_SH_SUN_Y-2030"/>
    <x v="0"/>
    <x v="23"/>
    <n v="36.821679793195898"/>
    <n v="13439.913124516501"/>
    <n v="48383.687248259397"/>
  </r>
  <r>
    <x v="0"/>
    <x v="0"/>
    <x v="1"/>
    <x v="2"/>
    <x v="8"/>
    <s v="NO5_A1"/>
    <x v="13"/>
    <s v="GNR_SH_SUN_Y-2020"/>
    <x v="0"/>
    <x v="1"/>
    <n v="47.004270030810702"/>
    <n v="17156.5585612459"/>
    <n v="61763.610820485301"/>
  </r>
  <r>
    <x v="0"/>
    <x v="0"/>
    <x v="1"/>
    <x v="2"/>
    <x v="8"/>
    <s v="NO5_A1"/>
    <x v="13"/>
    <s v="GNR_SH_SUN_Y-2020"/>
    <x v="0"/>
    <x v="2"/>
    <n v="47.813452848017398"/>
    <n v="17451.910289526299"/>
    <n v="62826.8770422948"/>
  </r>
  <r>
    <x v="0"/>
    <x v="0"/>
    <x v="1"/>
    <x v="2"/>
    <x v="8"/>
    <s v="NO5_A1"/>
    <x v="13"/>
    <s v="GNR_SH_SUN_Y-2020"/>
    <x v="0"/>
    <x v="3"/>
    <n v="49.524343759215498"/>
    <n v="18076.385472113601"/>
    <n v="65074.987699609097"/>
  </r>
  <r>
    <x v="0"/>
    <x v="0"/>
    <x v="1"/>
    <x v="2"/>
    <x v="8"/>
    <s v="NO5_A1"/>
    <x v="13"/>
    <s v="GNR_SH_SUN_Y-2020"/>
    <x v="0"/>
    <x v="6"/>
    <n v="67.848109127478807"/>
    <n v="24764.559831529801"/>
    <n v="89152.415393507195"/>
  </r>
  <r>
    <x v="0"/>
    <x v="0"/>
    <x v="1"/>
    <x v="2"/>
    <x v="8"/>
    <s v="NO5_A1"/>
    <x v="13"/>
    <s v="GNR_SH_SUN_Y-2020"/>
    <x v="0"/>
    <x v="11"/>
    <n v="60.715767671055602"/>
    <n v="22161.255199935302"/>
    <n v="79780.518719767104"/>
  </r>
  <r>
    <x v="0"/>
    <x v="0"/>
    <x v="1"/>
    <x v="2"/>
    <x v="8"/>
    <s v="NO5_A1"/>
    <x v="13"/>
    <s v="GNR_SH_SUN_Y-2020"/>
    <x v="0"/>
    <x v="12"/>
    <n v="58.490603747672303"/>
    <n v="21349.0703679004"/>
    <n v="76856.653324441402"/>
  </r>
  <r>
    <x v="0"/>
    <x v="0"/>
    <x v="1"/>
    <x v="2"/>
    <x v="8"/>
    <s v="NO5_A1"/>
    <x v="13"/>
    <s v="GNR_SH_SUN_Y-2020"/>
    <x v="0"/>
    <x v="13"/>
    <n v="57.1947140472139"/>
    <n v="20876.070627233101"/>
    <n v="75153.854258039006"/>
  </r>
  <r>
    <x v="0"/>
    <x v="0"/>
    <x v="1"/>
    <x v="2"/>
    <x v="8"/>
    <s v="NO5_A1"/>
    <x v="13"/>
    <s v="GNR_SH_SUN_Y-2020"/>
    <x v="0"/>
    <x v="14"/>
    <n v="56.067723990607497"/>
    <n v="20464.719256571701"/>
    <n v="73672.989323658199"/>
  </r>
  <r>
    <x v="0"/>
    <x v="0"/>
    <x v="1"/>
    <x v="2"/>
    <x v="8"/>
    <s v="NO5_A1"/>
    <x v="13"/>
    <s v="GNR_SH_SUN_Y-2020"/>
    <x v="0"/>
    <x v="15"/>
    <n v="54.484782222914397"/>
    <n v="19886.9455113638"/>
    <n v="71593.0038409095"/>
  </r>
  <r>
    <x v="0"/>
    <x v="0"/>
    <x v="1"/>
    <x v="2"/>
    <x v="8"/>
    <s v="NO5_A1"/>
    <x v="13"/>
    <s v="GNR_SH_SUN_Y-2020"/>
    <x v="0"/>
    <x v="19"/>
    <n v="52.440483871578301"/>
    <n v="19140.776613126101"/>
    <n v="68906.795807253904"/>
  </r>
  <r>
    <x v="0"/>
    <x v="0"/>
    <x v="1"/>
    <x v="2"/>
    <x v="8"/>
    <s v="NO5_A1"/>
    <x v="13"/>
    <s v="GNR_SH_SUN_Y-2020"/>
    <x v="0"/>
    <x v="21"/>
    <n v="48.698445363220202"/>
    <n v="17774.932557575401"/>
    <n v="63989.757207271301"/>
  </r>
  <r>
    <x v="0"/>
    <x v="0"/>
    <x v="1"/>
    <x v="2"/>
    <x v="8"/>
    <s v="NO5_A1"/>
    <x v="13"/>
    <s v="GNR_SH_SUN_Y-2020"/>
    <x v="0"/>
    <x v="22"/>
    <n v="45.900377185528697"/>
    <n v="16753.637672718"/>
    <n v="60313.095621784698"/>
  </r>
  <r>
    <x v="0"/>
    <x v="0"/>
    <x v="1"/>
    <x v="2"/>
    <x v="8"/>
    <s v="NO5_A1"/>
    <x v="13"/>
    <s v="GNR_SH_SUN_Y-2030"/>
    <x v="0"/>
    <x v="0"/>
    <n v="45.911865500657797"/>
    <n v="16757.830907740099"/>
    <n v="60328.191267864298"/>
  </r>
  <r>
    <x v="0"/>
    <x v="0"/>
    <x v="1"/>
    <x v="2"/>
    <x v="8"/>
    <s v="NO5_A1"/>
    <x v="13"/>
    <s v="GNR_SH_SUN_Y-2030"/>
    <x v="0"/>
    <x v="4"/>
    <n v="53.138157665747897"/>
    <n v="19395.427547997999"/>
    <n v="69823.539172792807"/>
  </r>
  <r>
    <x v="0"/>
    <x v="0"/>
    <x v="1"/>
    <x v="2"/>
    <x v="8"/>
    <s v="NO5_A1"/>
    <x v="13"/>
    <s v="GNR_SH_SUN_Y-2030"/>
    <x v="0"/>
    <x v="5"/>
    <n v="58.863153284700203"/>
    <n v="21485.050948915599"/>
    <n v="77346.183416096101"/>
  </r>
  <r>
    <x v="0"/>
    <x v="0"/>
    <x v="1"/>
    <x v="2"/>
    <x v="8"/>
    <s v="NO5_A1"/>
    <x v="13"/>
    <s v="GNR_SH_SUN_Y-2030"/>
    <x v="0"/>
    <x v="7"/>
    <n v="74.621841522354501"/>
    <n v="27236.972155659401"/>
    <n v="98053.099760373894"/>
  </r>
  <r>
    <x v="0"/>
    <x v="0"/>
    <x v="1"/>
    <x v="2"/>
    <x v="8"/>
    <s v="NO5_A1"/>
    <x v="13"/>
    <s v="GNR_SH_SUN_Y-2030"/>
    <x v="0"/>
    <x v="8"/>
    <n v="74.258013191483599"/>
    <n v="27104.174814891499"/>
    <n v="97575.029333609404"/>
  </r>
  <r>
    <x v="0"/>
    <x v="0"/>
    <x v="1"/>
    <x v="2"/>
    <x v="8"/>
    <s v="NO5_A1"/>
    <x v="13"/>
    <s v="GNR_SH_SUN_Y-2030"/>
    <x v="0"/>
    <x v="9"/>
    <n v="69.932437728060705"/>
    <n v="25525.339770742201"/>
    <n v="91891.223174671803"/>
  </r>
  <r>
    <x v="0"/>
    <x v="0"/>
    <x v="1"/>
    <x v="2"/>
    <x v="8"/>
    <s v="NO5_A1"/>
    <x v="13"/>
    <s v="GNR_SH_SUN_Y-2030"/>
    <x v="0"/>
    <x v="10"/>
    <n v="64.0649253140284"/>
    <n v="23383.697739620398"/>
    <n v="84181.311862633302"/>
  </r>
  <r>
    <x v="0"/>
    <x v="0"/>
    <x v="1"/>
    <x v="2"/>
    <x v="8"/>
    <s v="NO5_A1"/>
    <x v="13"/>
    <s v="GNR_SH_SUN_Y-2030"/>
    <x v="0"/>
    <x v="16"/>
    <n v="52.396549454941002"/>
    <n v="19124.740551053499"/>
    <n v="68849.065983792505"/>
  </r>
  <r>
    <x v="0"/>
    <x v="0"/>
    <x v="1"/>
    <x v="2"/>
    <x v="8"/>
    <s v="NO5_A1"/>
    <x v="13"/>
    <s v="GNR_SH_SUN_Y-2030"/>
    <x v="0"/>
    <x v="17"/>
    <n v="51.973979088712198"/>
    <n v="18970.502367379999"/>
    <n v="68293.808522567895"/>
  </r>
  <r>
    <x v="0"/>
    <x v="0"/>
    <x v="1"/>
    <x v="2"/>
    <x v="8"/>
    <s v="NO5_A1"/>
    <x v="13"/>
    <s v="GNR_SH_SUN_Y-2030"/>
    <x v="0"/>
    <x v="18"/>
    <n v="52.240403639527102"/>
    <n v="19067.747328427398"/>
    <n v="68643.890382338694"/>
  </r>
  <r>
    <x v="0"/>
    <x v="0"/>
    <x v="1"/>
    <x v="2"/>
    <x v="8"/>
    <s v="NO5_A1"/>
    <x v="13"/>
    <s v="GNR_SH_SUN_Y-2030"/>
    <x v="0"/>
    <x v="20"/>
    <n v="51.085896692171403"/>
    <n v="18646.352292642601"/>
    <n v="67126.868253513298"/>
  </r>
  <r>
    <x v="0"/>
    <x v="0"/>
    <x v="1"/>
    <x v="2"/>
    <x v="8"/>
    <s v="NO5_A1"/>
    <x v="13"/>
    <s v="GNR_SH_SUN_Y-2030"/>
    <x v="0"/>
    <x v="23"/>
    <n v="42.483127709836403"/>
    <n v="15506.341614090299"/>
    <n v="55822.829810725001"/>
  </r>
  <r>
    <x v="0"/>
    <x v="0"/>
    <x v="1"/>
    <x v="3"/>
    <x v="9"/>
    <s v="SE1_EL"/>
    <x v="3"/>
    <s v="GETOH_ELECTRICBOILER"/>
    <x v="0"/>
    <x v="0"/>
    <n v="76.075000000000003"/>
    <n v="27767.375"/>
    <n v="99962.55"/>
  </r>
  <r>
    <x v="0"/>
    <x v="0"/>
    <x v="1"/>
    <x v="3"/>
    <x v="9"/>
    <s v="SE1_EL"/>
    <x v="3"/>
    <s v="GETOH_ELECTRICBOILER"/>
    <x v="0"/>
    <x v="1"/>
    <n v="76.075000000000003"/>
    <n v="27767.375"/>
    <n v="99962.55"/>
  </r>
  <r>
    <x v="0"/>
    <x v="0"/>
    <x v="1"/>
    <x v="3"/>
    <x v="9"/>
    <s v="SE1_EL"/>
    <x v="3"/>
    <s v="GETOH_ELECTRICBOILER"/>
    <x v="0"/>
    <x v="2"/>
    <n v="76.075000000000003"/>
    <n v="27767.375"/>
    <n v="99962.55"/>
  </r>
  <r>
    <x v="0"/>
    <x v="0"/>
    <x v="1"/>
    <x v="3"/>
    <x v="9"/>
    <s v="SE1_EL"/>
    <x v="3"/>
    <s v="GETOH_ELECTRICBOILER"/>
    <x v="0"/>
    <x v="3"/>
    <n v="76.075000000000003"/>
    <n v="27767.375"/>
    <n v="99962.55"/>
  </r>
  <r>
    <x v="0"/>
    <x v="0"/>
    <x v="1"/>
    <x v="3"/>
    <x v="9"/>
    <s v="SE1_EL"/>
    <x v="3"/>
    <s v="GETOH_ELECTRICBOILER"/>
    <x v="0"/>
    <x v="4"/>
    <n v="76.075000000000003"/>
    <n v="27767.375"/>
    <n v="99962.55"/>
  </r>
  <r>
    <x v="0"/>
    <x v="0"/>
    <x v="1"/>
    <x v="3"/>
    <x v="9"/>
    <s v="SE1_EL"/>
    <x v="3"/>
    <s v="GETOH_ELECTRICBOILER"/>
    <x v="0"/>
    <x v="5"/>
    <n v="76.075000000000003"/>
    <n v="27767.375"/>
    <n v="99962.55"/>
  </r>
  <r>
    <x v="0"/>
    <x v="0"/>
    <x v="1"/>
    <x v="3"/>
    <x v="9"/>
    <s v="SE1_EL"/>
    <x v="3"/>
    <s v="GETOH_ELECTRICBOILER"/>
    <x v="0"/>
    <x v="6"/>
    <n v="76.075000000000003"/>
    <n v="27767.375"/>
    <n v="99962.55"/>
  </r>
  <r>
    <x v="0"/>
    <x v="0"/>
    <x v="1"/>
    <x v="3"/>
    <x v="9"/>
    <s v="SE1_EL"/>
    <x v="3"/>
    <s v="GETOH_ELECTRICBOILER"/>
    <x v="0"/>
    <x v="7"/>
    <n v="76.075000000000003"/>
    <n v="27767.375"/>
    <n v="99962.55"/>
  </r>
  <r>
    <x v="0"/>
    <x v="0"/>
    <x v="1"/>
    <x v="3"/>
    <x v="9"/>
    <s v="SE1_EL"/>
    <x v="3"/>
    <s v="GETOH_ELECTRICBOILER"/>
    <x v="0"/>
    <x v="8"/>
    <n v="76.075000000000003"/>
    <n v="27767.375"/>
    <n v="99962.55"/>
  </r>
  <r>
    <x v="0"/>
    <x v="0"/>
    <x v="1"/>
    <x v="3"/>
    <x v="9"/>
    <s v="SE1_EL"/>
    <x v="3"/>
    <s v="GETOH_ELECTRICBOILER"/>
    <x v="0"/>
    <x v="9"/>
    <n v="76.075000000000003"/>
    <n v="27767.375"/>
    <n v="99962.55"/>
  </r>
  <r>
    <x v="0"/>
    <x v="0"/>
    <x v="1"/>
    <x v="3"/>
    <x v="9"/>
    <s v="SE1_EL"/>
    <x v="3"/>
    <s v="GETOH_ELECTRICBOILER"/>
    <x v="0"/>
    <x v="10"/>
    <n v="76.075000000000003"/>
    <n v="27767.375"/>
    <n v="99962.55"/>
  </r>
  <r>
    <x v="0"/>
    <x v="0"/>
    <x v="1"/>
    <x v="3"/>
    <x v="9"/>
    <s v="SE1_EL"/>
    <x v="3"/>
    <s v="GETOH_ELECTRICBOILER"/>
    <x v="0"/>
    <x v="11"/>
    <n v="76.075000000000003"/>
    <n v="27767.375"/>
    <n v="99962.55"/>
  </r>
  <r>
    <x v="0"/>
    <x v="0"/>
    <x v="1"/>
    <x v="3"/>
    <x v="9"/>
    <s v="SE1_EL"/>
    <x v="3"/>
    <s v="GETOH_ELECTRICBOILER"/>
    <x v="0"/>
    <x v="12"/>
    <n v="76.075000000000003"/>
    <n v="27767.375"/>
    <n v="99962.55"/>
  </r>
  <r>
    <x v="0"/>
    <x v="0"/>
    <x v="1"/>
    <x v="3"/>
    <x v="9"/>
    <s v="SE1_EL"/>
    <x v="3"/>
    <s v="GETOH_ELECTRICBOILER"/>
    <x v="0"/>
    <x v="13"/>
    <n v="76.075000000000003"/>
    <n v="27767.375"/>
    <n v="99962.55"/>
  </r>
  <r>
    <x v="0"/>
    <x v="0"/>
    <x v="1"/>
    <x v="3"/>
    <x v="9"/>
    <s v="SE1_EL"/>
    <x v="3"/>
    <s v="GETOH_ELECTRICBOILER"/>
    <x v="0"/>
    <x v="14"/>
    <n v="76.075000000000003"/>
    <n v="27767.375"/>
    <n v="99962.55"/>
  </r>
  <r>
    <x v="0"/>
    <x v="0"/>
    <x v="1"/>
    <x v="3"/>
    <x v="9"/>
    <s v="SE1_EL"/>
    <x v="3"/>
    <s v="GETOH_ELECTRICBOILER"/>
    <x v="0"/>
    <x v="15"/>
    <n v="76.075000000000003"/>
    <n v="27767.375"/>
    <n v="99962.55"/>
  </r>
  <r>
    <x v="0"/>
    <x v="0"/>
    <x v="1"/>
    <x v="3"/>
    <x v="9"/>
    <s v="SE1_EL"/>
    <x v="3"/>
    <s v="GETOH_ELECTRICBOILER"/>
    <x v="0"/>
    <x v="16"/>
    <n v="76.075000000000003"/>
    <n v="27767.375"/>
    <n v="99962.55"/>
  </r>
  <r>
    <x v="0"/>
    <x v="0"/>
    <x v="1"/>
    <x v="3"/>
    <x v="9"/>
    <s v="SE1_EL"/>
    <x v="3"/>
    <s v="GETOH_ELECTRICBOILER"/>
    <x v="0"/>
    <x v="17"/>
    <n v="76.075000000000003"/>
    <n v="27767.375"/>
    <n v="99962.55"/>
  </r>
  <r>
    <x v="0"/>
    <x v="0"/>
    <x v="1"/>
    <x v="3"/>
    <x v="9"/>
    <s v="SE1_EL"/>
    <x v="3"/>
    <s v="GETOH_ELECTRICBOILER"/>
    <x v="0"/>
    <x v="18"/>
    <n v="76.075000000000003"/>
    <n v="27767.375"/>
    <n v="99962.55"/>
  </r>
  <r>
    <x v="0"/>
    <x v="0"/>
    <x v="1"/>
    <x v="3"/>
    <x v="9"/>
    <s v="SE1_EL"/>
    <x v="3"/>
    <s v="GETOH_ELECTRICBOILER"/>
    <x v="0"/>
    <x v="19"/>
    <n v="76.075000000000003"/>
    <n v="27767.375"/>
    <n v="99962.55"/>
  </r>
  <r>
    <x v="0"/>
    <x v="0"/>
    <x v="1"/>
    <x v="3"/>
    <x v="9"/>
    <s v="SE1_EL"/>
    <x v="3"/>
    <s v="GETOH_ELECTRICBOILER"/>
    <x v="0"/>
    <x v="20"/>
    <n v="76.075000000000003"/>
    <n v="27767.375"/>
    <n v="99962.55"/>
  </r>
  <r>
    <x v="0"/>
    <x v="0"/>
    <x v="1"/>
    <x v="3"/>
    <x v="9"/>
    <s v="SE1_EL"/>
    <x v="3"/>
    <s v="GETOH_ELECTRICBOILER"/>
    <x v="0"/>
    <x v="21"/>
    <n v="76.075000000000003"/>
    <n v="27767.375"/>
    <n v="99962.55"/>
  </r>
  <r>
    <x v="0"/>
    <x v="0"/>
    <x v="1"/>
    <x v="3"/>
    <x v="9"/>
    <s v="SE1_EL"/>
    <x v="3"/>
    <s v="GETOH_ELECTRICBOILER"/>
    <x v="0"/>
    <x v="22"/>
    <n v="76.075000000000003"/>
    <n v="27767.375"/>
    <n v="99962.55"/>
  </r>
  <r>
    <x v="0"/>
    <x v="0"/>
    <x v="1"/>
    <x v="3"/>
    <x v="9"/>
    <s v="SE1_EL"/>
    <x v="3"/>
    <s v="GETOH_ELECTRICBOILER"/>
    <x v="0"/>
    <x v="23"/>
    <n v="76.075000000000003"/>
    <n v="27767.375"/>
    <n v="99962.55"/>
  </r>
  <r>
    <x v="0"/>
    <x v="0"/>
    <x v="1"/>
    <x v="3"/>
    <x v="9"/>
    <s v="SE1_EL"/>
    <x v="2"/>
    <s v="GHOB_WASTEHEAT"/>
    <x v="0"/>
    <x v="0"/>
    <n v="27.305906074994201"/>
    <n v="9966.6557173728706"/>
    <n v="35879.960582542299"/>
  </r>
  <r>
    <x v="0"/>
    <x v="0"/>
    <x v="1"/>
    <x v="3"/>
    <x v="9"/>
    <s v="SE1_EL"/>
    <x v="2"/>
    <s v="GHOB_WASTEHEAT"/>
    <x v="0"/>
    <x v="1"/>
    <n v="28.411238811811099"/>
    <n v="10370.102166311"/>
    <n v="37332.367798719701"/>
  </r>
  <r>
    <x v="0"/>
    <x v="0"/>
    <x v="1"/>
    <x v="3"/>
    <x v="9"/>
    <s v="SE1_EL"/>
    <x v="2"/>
    <s v="GHOB_WASTEHEAT"/>
    <x v="0"/>
    <x v="2"/>
    <n v="31.7589674117668"/>
    <n v="11592.0231052949"/>
    <n v="41731.283179061596"/>
  </r>
  <r>
    <x v="0"/>
    <x v="0"/>
    <x v="1"/>
    <x v="3"/>
    <x v="9"/>
    <s v="SE1_EL"/>
    <x v="2"/>
    <s v="GHOB_WASTEHEAT"/>
    <x v="0"/>
    <x v="3"/>
    <n v="36.418603411757502"/>
    <n v="13292.7902452915"/>
    <n v="47854.044883049297"/>
  </r>
  <r>
    <x v="0"/>
    <x v="0"/>
    <x v="1"/>
    <x v="3"/>
    <x v="9"/>
    <s v="SE1_EL"/>
    <x v="2"/>
    <s v="GHOB_WASTEHEAT"/>
    <x v="0"/>
    <x v="4"/>
    <n v="43.121921518074998"/>
    <n v="15739.5013540974"/>
    <n v="56662.204874750598"/>
  </r>
  <r>
    <x v="0"/>
    <x v="0"/>
    <x v="1"/>
    <x v="3"/>
    <x v="9"/>
    <s v="SE1_EL"/>
    <x v="2"/>
    <s v="GHOB_WASTEHEAT"/>
    <x v="0"/>
    <x v="5"/>
    <n v="51.974635911492101"/>
    <n v="18970.742107694601"/>
    <n v="68294.671587700694"/>
  </r>
  <r>
    <x v="0"/>
    <x v="0"/>
    <x v="1"/>
    <x v="3"/>
    <x v="9"/>
    <s v="SE1_EL"/>
    <x v="2"/>
    <s v="GHOB_WASTEHEAT"/>
    <x v="0"/>
    <x v="6"/>
    <n v="74.269593005408495"/>
    <n v="27108.401446974101"/>
    <n v="97590.245209106797"/>
  </r>
  <r>
    <x v="0"/>
    <x v="0"/>
    <x v="1"/>
    <x v="3"/>
    <x v="9"/>
    <s v="SE1_EL"/>
    <x v="2"/>
    <s v="GHOB_WASTEHEAT"/>
    <x v="0"/>
    <x v="7"/>
    <n v="80.622661438659904"/>
    <n v="29427.271425110899"/>
    <n v="105938.177130399"/>
  </r>
  <r>
    <x v="0"/>
    <x v="0"/>
    <x v="1"/>
    <x v="3"/>
    <x v="9"/>
    <s v="SE1_EL"/>
    <x v="2"/>
    <s v="GHOB_WASTEHEAT"/>
    <x v="0"/>
    <x v="8"/>
    <n v="74.640789470035202"/>
    <n v="27243.8881565628"/>
    <n v="98077.9973636262"/>
  </r>
  <r>
    <x v="0"/>
    <x v="0"/>
    <x v="1"/>
    <x v="3"/>
    <x v="9"/>
    <s v="SE1_EL"/>
    <x v="2"/>
    <s v="GHOB_WASTEHEAT"/>
    <x v="0"/>
    <x v="9"/>
    <n v="68.110724110459202"/>
    <n v="24860.4143003176"/>
    <n v="89497.491481143399"/>
  </r>
  <r>
    <x v="0"/>
    <x v="0"/>
    <x v="1"/>
    <x v="3"/>
    <x v="9"/>
    <s v="SE1_EL"/>
    <x v="2"/>
    <s v="GHOB_WASTEHEAT"/>
    <x v="0"/>
    <x v="10"/>
    <n v="64.420856072221099"/>
    <n v="23513.612466360701"/>
    <n v="84649.0048788985"/>
  </r>
  <r>
    <x v="0"/>
    <x v="0"/>
    <x v="1"/>
    <x v="3"/>
    <x v="9"/>
    <s v="SE1_EL"/>
    <x v="2"/>
    <s v="GHOB_WASTEHEAT"/>
    <x v="0"/>
    <x v="11"/>
    <n v="63.258504264174597"/>
    <n v="23089.354056423701"/>
    <n v="83121.674603125401"/>
  </r>
  <r>
    <x v="0"/>
    <x v="0"/>
    <x v="1"/>
    <x v="3"/>
    <x v="9"/>
    <s v="SE1_EL"/>
    <x v="2"/>
    <s v="GHOB_WASTEHEAT"/>
    <x v="0"/>
    <x v="12"/>
    <n v="59.018792717518799"/>
    <n v="21541.8593418944"/>
    <n v="77550.693630819704"/>
  </r>
  <r>
    <x v="0"/>
    <x v="0"/>
    <x v="1"/>
    <x v="3"/>
    <x v="9"/>
    <s v="SE1_EL"/>
    <x v="2"/>
    <s v="GHOB_WASTEHEAT"/>
    <x v="0"/>
    <x v="13"/>
    <n v="56.891161070111998"/>
    <n v="20765.273790590902"/>
    <n v="74754.985646127199"/>
  </r>
  <r>
    <x v="0"/>
    <x v="0"/>
    <x v="1"/>
    <x v="3"/>
    <x v="9"/>
    <s v="SE1_EL"/>
    <x v="2"/>
    <s v="GHOB_WASTEHEAT"/>
    <x v="0"/>
    <x v="14"/>
    <n v="55.149654446407297"/>
    <n v="20129.623872938701"/>
    <n v="72466.645942579198"/>
  </r>
  <r>
    <x v="0"/>
    <x v="0"/>
    <x v="1"/>
    <x v="3"/>
    <x v="9"/>
    <s v="SE1_EL"/>
    <x v="2"/>
    <s v="GHOB_WASTEHEAT"/>
    <x v="0"/>
    <x v="15"/>
    <n v="52.125048760434503"/>
    <n v="19025.642797558601"/>
    <n v="68492.314071211003"/>
  </r>
  <r>
    <x v="0"/>
    <x v="0"/>
    <x v="1"/>
    <x v="3"/>
    <x v="9"/>
    <s v="SE1_EL"/>
    <x v="2"/>
    <s v="GHOB_WASTEHEAT"/>
    <x v="0"/>
    <x v="16"/>
    <n v="49.243850451793897"/>
    <n v="17974.005414904801"/>
    <n v="64706.419493657202"/>
  </r>
  <r>
    <x v="0"/>
    <x v="0"/>
    <x v="1"/>
    <x v="3"/>
    <x v="9"/>
    <s v="SE1_EL"/>
    <x v="2"/>
    <s v="GHOB_WASTEHEAT"/>
    <x v="0"/>
    <x v="17"/>
    <n v="44.852142672107199"/>
    <n v="16371.032075319101"/>
    <n v="58935.715471148796"/>
  </r>
  <r>
    <x v="0"/>
    <x v="0"/>
    <x v="1"/>
    <x v="3"/>
    <x v="9"/>
    <s v="SE1_EL"/>
    <x v="2"/>
    <s v="GHOB_WASTEHEAT"/>
    <x v="0"/>
    <x v="18"/>
    <n v="43.524603723984796"/>
    <n v="15886.480359254499"/>
    <n v="57191.329293316099"/>
  </r>
  <r>
    <x v="0"/>
    <x v="0"/>
    <x v="1"/>
    <x v="3"/>
    <x v="9"/>
    <s v="SE1_EL"/>
    <x v="2"/>
    <s v="GHOB_WASTEHEAT"/>
    <x v="0"/>
    <x v="19"/>
    <n v="44.321373547816698"/>
    <n v="16177.301344953101"/>
    <n v="58238.284841831199"/>
  </r>
  <r>
    <x v="0"/>
    <x v="0"/>
    <x v="1"/>
    <x v="3"/>
    <x v="9"/>
    <s v="SE1_EL"/>
    <x v="2"/>
    <s v="GHOB_WASTEHEAT"/>
    <x v="0"/>
    <x v="20"/>
    <n v="42.386556230454403"/>
    <n v="15471.0930241159"/>
    <n v="55695.9348868171"/>
  </r>
  <r>
    <x v="0"/>
    <x v="0"/>
    <x v="1"/>
    <x v="3"/>
    <x v="9"/>
    <s v="SE1_EL"/>
    <x v="2"/>
    <s v="GHOB_WASTEHEAT"/>
    <x v="0"/>
    <x v="21"/>
    <n v="40.5377584443073"/>
    <n v="14796.281832172201"/>
    <n v="53266.614595819803"/>
  </r>
  <r>
    <x v="0"/>
    <x v="0"/>
    <x v="1"/>
    <x v="3"/>
    <x v="9"/>
    <s v="SE1_EL"/>
    <x v="2"/>
    <s v="GHOB_WASTEHEAT"/>
    <x v="0"/>
    <x v="22"/>
    <n v="35.995319154289497"/>
    <n v="13138.2914913157"/>
    <n v="47297.849368736403"/>
  </r>
  <r>
    <x v="0"/>
    <x v="0"/>
    <x v="1"/>
    <x v="3"/>
    <x v="9"/>
    <s v="SE1_EL"/>
    <x v="2"/>
    <s v="GHOB_WASTEHEAT"/>
    <x v="0"/>
    <x v="23"/>
    <n v="27.861255088137298"/>
    <n v="10169.358107170099"/>
    <n v="36609.689185812502"/>
  </r>
  <r>
    <x v="0"/>
    <x v="0"/>
    <x v="1"/>
    <x v="3"/>
    <x v="9"/>
    <s v="SE1_OTHER"/>
    <x v="3"/>
    <s v="GNR_BO_ELEC_E-99_SS-1-MW-FEED_Y-2030"/>
    <x v="0"/>
    <x v="0"/>
    <n v="55.615127093856501"/>
    <n v="20299.521389257599"/>
    <n v="73078.277001327398"/>
  </r>
  <r>
    <x v="0"/>
    <x v="0"/>
    <x v="1"/>
    <x v="3"/>
    <x v="9"/>
    <s v="SE1_OTHER"/>
    <x v="3"/>
    <s v="GNR_BO_ELEC_E-99_SS-1-MW-FEED_Y-2030"/>
    <x v="0"/>
    <x v="1"/>
    <n v="56.237170501498298"/>
    <n v="20526.567233046899"/>
    <n v="73895.642038968799"/>
  </r>
  <r>
    <x v="0"/>
    <x v="0"/>
    <x v="1"/>
    <x v="3"/>
    <x v="9"/>
    <s v="SE1_OTHER"/>
    <x v="3"/>
    <s v="GNR_BO_ELEC_E-99_SS-1-MW-FEED_Y-2030"/>
    <x v="0"/>
    <x v="2"/>
    <n v="56.950336393750099"/>
    <n v="20786.872783718802"/>
    <n v="74832.742021387603"/>
  </r>
  <r>
    <x v="0"/>
    <x v="0"/>
    <x v="1"/>
    <x v="3"/>
    <x v="9"/>
    <s v="SE1_OTHER"/>
    <x v="3"/>
    <s v="GNR_BO_ELEC_E-99_SS-1-MW-FEED_Y-2030"/>
    <x v="0"/>
    <x v="3"/>
    <n v="60.048706055176901"/>
    <n v="21917.777710139599"/>
    <n v="78903.999756502497"/>
  </r>
  <r>
    <x v="0"/>
    <x v="0"/>
    <x v="1"/>
    <x v="3"/>
    <x v="9"/>
    <s v="SE1_OTHER"/>
    <x v="3"/>
    <s v="GNR_BO_ELEC_E-99_SS-1-MW-FEED_Y-2030"/>
    <x v="0"/>
    <x v="4"/>
    <n v="65.131363659284702"/>
    <n v="23772.9477356389"/>
    <n v="85582.611848300003"/>
  </r>
  <r>
    <x v="0"/>
    <x v="0"/>
    <x v="1"/>
    <x v="3"/>
    <x v="9"/>
    <s v="SE1_OTHER"/>
    <x v="3"/>
    <s v="GNR_BO_ELEC_E-99_SS-1-MW-FEED_Y-2030"/>
    <x v="0"/>
    <x v="5"/>
    <n v="74.487901411201193"/>
    <n v="27188.0840150884"/>
    <n v="97877.102454318301"/>
  </r>
  <r>
    <x v="0"/>
    <x v="0"/>
    <x v="1"/>
    <x v="3"/>
    <x v="9"/>
    <s v="SE1_OTHER"/>
    <x v="3"/>
    <s v="GNR_BO_ELEC_E-99_SS-1-MW-FEED_Y-2030"/>
    <x v="0"/>
    <x v="6"/>
    <n v="78.811392951580302"/>
    <n v="28766.158427326802"/>
    <n v="103558.17033837699"/>
  </r>
  <r>
    <x v="0"/>
    <x v="0"/>
    <x v="1"/>
    <x v="3"/>
    <x v="9"/>
    <s v="SE1_OTHER"/>
    <x v="3"/>
    <s v="GNR_BO_ELEC_E-99_SS-1-MW-FEED_Y-2030"/>
    <x v="0"/>
    <x v="7"/>
    <n v="78.811392951580302"/>
    <n v="28766.158427326802"/>
    <n v="103558.17033837699"/>
  </r>
  <r>
    <x v="0"/>
    <x v="0"/>
    <x v="1"/>
    <x v="3"/>
    <x v="9"/>
    <s v="SE1_OTHER"/>
    <x v="3"/>
    <s v="GNR_BO_ELEC_E-99_SS-1-MW-FEED_Y-2030"/>
    <x v="0"/>
    <x v="8"/>
    <n v="78.811392951580302"/>
    <n v="28766.158427326802"/>
    <n v="103558.17033837699"/>
  </r>
  <r>
    <x v="0"/>
    <x v="0"/>
    <x v="1"/>
    <x v="3"/>
    <x v="9"/>
    <s v="SE1_OTHER"/>
    <x v="3"/>
    <s v="GNR_BO_ELEC_E-99_SS-1-MW-FEED_Y-2030"/>
    <x v="0"/>
    <x v="9"/>
    <n v="78.811392951580302"/>
    <n v="28766.158427326802"/>
    <n v="103558.17033837699"/>
  </r>
  <r>
    <x v="0"/>
    <x v="0"/>
    <x v="1"/>
    <x v="3"/>
    <x v="9"/>
    <s v="SE1_OTHER"/>
    <x v="3"/>
    <s v="GNR_BO_ELEC_E-99_SS-1-MW-FEED_Y-2030"/>
    <x v="0"/>
    <x v="10"/>
    <n v="78.811392951580302"/>
    <n v="28766.158427326802"/>
    <n v="103558.17033837699"/>
  </r>
  <r>
    <x v="0"/>
    <x v="0"/>
    <x v="1"/>
    <x v="3"/>
    <x v="9"/>
    <s v="SE1_OTHER"/>
    <x v="3"/>
    <s v="GNR_BO_ELEC_E-99_SS-1-MW-FEED_Y-2030"/>
    <x v="0"/>
    <x v="11"/>
    <n v="78.811392951580302"/>
    <n v="28766.158427326802"/>
    <n v="103558.17033837699"/>
  </r>
  <r>
    <x v="0"/>
    <x v="0"/>
    <x v="1"/>
    <x v="3"/>
    <x v="9"/>
    <s v="SE1_OTHER"/>
    <x v="3"/>
    <s v="GNR_BO_ELEC_E-99_SS-1-MW-FEED_Y-2030"/>
    <x v="0"/>
    <x v="12"/>
    <n v="78.811392951580302"/>
    <n v="28766.158427326802"/>
    <n v="103558.17033837699"/>
  </r>
  <r>
    <x v="0"/>
    <x v="0"/>
    <x v="1"/>
    <x v="3"/>
    <x v="9"/>
    <s v="SE1_OTHER"/>
    <x v="3"/>
    <s v="GNR_BO_ELEC_E-99_SS-1-MW-FEED_Y-2030"/>
    <x v="0"/>
    <x v="13"/>
    <n v="78.811392951580302"/>
    <n v="28766.158427326802"/>
    <n v="103558.17033837699"/>
  </r>
  <r>
    <x v="0"/>
    <x v="0"/>
    <x v="1"/>
    <x v="3"/>
    <x v="9"/>
    <s v="SE1_OTHER"/>
    <x v="3"/>
    <s v="GNR_BO_ELEC_E-99_SS-1-MW-FEED_Y-2030"/>
    <x v="0"/>
    <x v="14"/>
    <n v="78.811392951580302"/>
    <n v="28766.158427326802"/>
    <n v="103558.17033837699"/>
  </r>
  <r>
    <x v="0"/>
    <x v="0"/>
    <x v="1"/>
    <x v="3"/>
    <x v="9"/>
    <s v="SE1_OTHER"/>
    <x v="3"/>
    <s v="GNR_BO_ELEC_E-99_SS-1-MW-FEED_Y-2030"/>
    <x v="0"/>
    <x v="15"/>
    <n v="78.811392951580302"/>
    <n v="28766.158427326802"/>
    <n v="103558.17033837699"/>
  </r>
  <r>
    <x v="0"/>
    <x v="0"/>
    <x v="1"/>
    <x v="3"/>
    <x v="9"/>
    <s v="SE1_OTHER"/>
    <x v="3"/>
    <s v="GNR_BO_ELEC_E-99_SS-1-MW-FEED_Y-2030"/>
    <x v="0"/>
    <x v="16"/>
    <n v="78.811392951580302"/>
    <n v="28766.158427326802"/>
    <n v="103558.17033837699"/>
  </r>
  <r>
    <x v="0"/>
    <x v="0"/>
    <x v="1"/>
    <x v="3"/>
    <x v="9"/>
    <s v="SE1_OTHER"/>
    <x v="3"/>
    <s v="GNR_BO_ELEC_E-99_SS-1-MW-FEED_Y-2030"/>
    <x v="0"/>
    <x v="17"/>
    <n v="78.811392951580302"/>
    <n v="28766.158427326802"/>
    <n v="103558.17033837699"/>
  </r>
  <r>
    <x v="0"/>
    <x v="0"/>
    <x v="1"/>
    <x v="3"/>
    <x v="9"/>
    <s v="SE1_OTHER"/>
    <x v="3"/>
    <s v="GNR_BO_ELEC_E-99_SS-1-MW-FEED_Y-2030"/>
    <x v="0"/>
    <x v="18"/>
    <n v="78.811392951580302"/>
    <n v="28766.158427326802"/>
    <n v="103558.17033837699"/>
  </r>
  <r>
    <x v="0"/>
    <x v="0"/>
    <x v="1"/>
    <x v="3"/>
    <x v="9"/>
    <s v="SE1_OTHER"/>
    <x v="3"/>
    <s v="GNR_BO_ELEC_E-99_SS-1-MW-FEED_Y-2030"/>
    <x v="0"/>
    <x v="19"/>
    <n v="78.811392951580302"/>
    <n v="28766.158427326802"/>
    <n v="103558.17033837699"/>
  </r>
  <r>
    <x v="0"/>
    <x v="0"/>
    <x v="1"/>
    <x v="3"/>
    <x v="9"/>
    <s v="SE1_OTHER"/>
    <x v="3"/>
    <s v="GNR_BO_ELEC_E-99_SS-1-MW-FEED_Y-2030"/>
    <x v="0"/>
    <x v="20"/>
    <n v="77.081408884793902"/>
    <n v="28134.714242949802"/>
    <n v="101284.97127461901"/>
  </r>
  <r>
    <x v="0"/>
    <x v="0"/>
    <x v="1"/>
    <x v="3"/>
    <x v="9"/>
    <s v="SE1_OTHER"/>
    <x v="3"/>
    <s v="GNR_BO_ELEC_E-99_SS-1-MW-FEED_Y-2030"/>
    <x v="0"/>
    <x v="21"/>
    <n v="73.701885215433506"/>
    <n v="26901.188103633202"/>
    <n v="96844.277173079594"/>
  </r>
  <r>
    <x v="0"/>
    <x v="0"/>
    <x v="1"/>
    <x v="3"/>
    <x v="9"/>
    <s v="SE1_OTHER"/>
    <x v="3"/>
    <s v="GNR_BO_ELEC_E-99_SS-1-MW-FEED_Y-2030"/>
    <x v="0"/>
    <x v="22"/>
    <n v="68.867999193914201"/>
    <n v="25136.8197057787"/>
    <n v="90492.550940803194"/>
  </r>
  <r>
    <x v="0"/>
    <x v="0"/>
    <x v="1"/>
    <x v="3"/>
    <x v="9"/>
    <s v="SE1_OTHER"/>
    <x v="3"/>
    <s v="GNR_BO_ELEC_E-99_SS-1-MW-FEED_Y-2030"/>
    <x v="0"/>
    <x v="23"/>
    <n v="62.680094960048798"/>
    <n v="22878.234660417798"/>
    <n v="82361.644777504102"/>
  </r>
  <r>
    <x v="0"/>
    <x v="0"/>
    <x v="1"/>
    <x v="3"/>
    <x v="9"/>
    <s v="SE1_OTHER"/>
    <x v="2"/>
    <s v="GHOB_WASTEHEAT"/>
    <x v="0"/>
    <x v="0"/>
    <n v="35.828754578754399"/>
    <n v="13077.495421245399"/>
    <n v="47078.983516483298"/>
  </r>
  <r>
    <x v="0"/>
    <x v="0"/>
    <x v="1"/>
    <x v="3"/>
    <x v="9"/>
    <s v="SE1_OTHER"/>
    <x v="2"/>
    <s v="GHOB_WASTEHEAT"/>
    <x v="0"/>
    <x v="1"/>
    <n v="35.828754578754399"/>
    <n v="13077.495421245399"/>
    <n v="47078.983516483298"/>
  </r>
  <r>
    <x v="0"/>
    <x v="0"/>
    <x v="1"/>
    <x v="3"/>
    <x v="9"/>
    <s v="SE1_OTHER"/>
    <x v="2"/>
    <s v="GHOB_WASTEHEAT"/>
    <x v="0"/>
    <x v="2"/>
    <n v="35.828754578754399"/>
    <n v="13077.495421245399"/>
    <n v="47078.983516483298"/>
  </r>
  <r>
    <x v="0"/>
    <x v="0"/>
    <x v="1"/>
    <x v="3"/>
    <x v="9"/>
    <s v="SE1_OTHER"/>
    <x v="2"/>
    <s v="GHOB_WASTEHEAT"/>
    <x v="0"/>
    <x v="3"/>
    <n v="35.828754578754399"/>
    <n v="13077.495421245399"/>
    <n v="47078.983516483298"/>
  </r>
  <r>
    <x v="0"/>
    <x v="0"/>
    <x v="1"/>
    <x v="3"/>
    <x v="9"/>
    <s v="SE1_OTHER"/>
    <x v="2"/>
    <s v="GHOB_WASTEHEAT"/>
    <x v="0"/>
    <x v="4"/>
    <n v="35.828754578754399"/>
    <n v="13077.495421245399"/>
    <n v="47078.983516483298"/>
  </r>
  <r>
    <x v="0"/>
    <x v="0"/>
    <x v="1"/>
    <x v="3"/>
    <x v="9"/>
    <s v="SE1_OTHER"/>
    <x v="2"/>
    <s v="GHOB_WASTEHEAT"/>
    <x v="0"/>
    <x v="5"/>
    <n v="35.828754578754399"/>
    <n v="13077.495421245399"/>
    <n v="47078.983516483298"/>
  </r>
  <r>
    <x v="0"/>
    <x v="0"/>
    <x v="1"/>
    <x v="3"/>
    <x v="9"/>
    <s v="SE1_OTHER"/>
    <x v="2"/>
    <s v="GHOB_WASTEHEAT"/>
    <x v="0"/>
    <x v="6"/>
    <n v="35.828754578754399"/>
    <n v="13077.495421245399"/>
    <n v="47078.983516483298"/>
  </r>
  <r>
    <x v="0"/>
    <x v="0"/>
    <x v="1"/>
    <x v="3"/>
    <x v="9"/>
    <s v="SE1_OTHER"/>
    <x v="2"/>
    <s v="GHOB_WASTEHEAT"/>
    <x v="0"/>
    <x v="7"/>
    <n v="35.828754578754399"/>
    <n v="13077.495421245399"/>
    <n v="47078.983516483298"/>
  </r>
  <r>
    <x v="0"/>
    <x v="0"/>
    <x v="1"/>
    <x v="3"/>
    <x v="9"/>
    <s v="SE1_OTHER"/>
    <x v="2"/>
    <s v="GHOB_WASTEHEAT"/>
    <x v="0"/>
    <x v="8"/>
    <n v="35.828754578754399"/>
    <n v="13077.495421245399"/>
    <n v="47078.983516483298"/>
  </r>
  <r>
    <x v="0"/>
    <x v="0"/>
    <x v="1"/>
    <x v="3"/>
    <x v="9"/>
    <s v="SE1_OTHER"/>
    <x v="2"/>
    <s v="GHOB_WASTEHEAT"/>
    <x v="0"/>
    <x v="9"/>
    <n v="35.828754578754399"/>
    <n v="13077.495421245399"/>
    <n v="47078.983516483298"/>
  </r>
  <r>
    <x v="0"/>
    <x v="0"/>
    <x v="1"/>
    <x v="3"/>
    <x v="9"/>
    <s v="SE1_OTHER"/>
    <x v="2"/>
    <s v="GHOB_WASTEHEAT"/>
    <x v="0"/>
    <x v="10"/>
    <n v="35.828754578754399"/>
    <n v="13077.495421245399"/>
    <n v="47078.983516483298"/>
  </r>
  <r>
    <x v="0"/>
    <x v="0"/>
    <x v="1"/>
    <x v="3"/>
    <x v="9"/>
    <s v="SE1_OTHER"/>
    <x v="2"/>
    <s v="GHOB_WASTEHEAT"/>
    <x v="0"/>
    <x v="11"/>
    <n v="35.828754578754399"/>
    <n v="13077.495421245399"/>
    <n v="47078.983516483298"/>
  </r>
  <r>
    <x v="0"/>
    <x v="0"/>
    <x v="1"/>
    <x v="3"/>
    <x v="9"/>
    <s v="SE1_OTHER"/>
    <x v="2"/>
    <s v="GHOB_WASTEHEAT"/>
    <x v="0"/>
    <x v="12"/>
    <n v="35.828754578754399"/>
    <n v="13077.495421245399"/>
    <n v="47078.983516483298"/>
  </r>
  <r>
    <x v="0"/>
    <x v="0"/>
    <x v="1"/>
    <x v="3"/>
    <x v="9"/>
    <s v="SE1_OTHER"/>
    <x v="2"/>
    <s v="GHOB_WASTEHEAT"/>
    <x v="0"/>
    <x v="13"/>
    <n v="35.828754578754399"/>
    <n v="13077.495421245399"/>
    <n v="47078.983516483298"/>
  </r>
  <r>
    <x v="0"/>
    <x v="0"/>
    <x v="1"/>
    <x v="3"/>
    <x v="9"/>
    <s v="SE1_OTHER"/>
    <x v="2"/>
    <s v="GHOB_WASTEHEAT"/>
    <x v="0"/>
    <x v="14"/>
    <n v="35.828754578754399"/>
    <n v="13077.495421245399"/>
    <n v="47078.983516483298"/>
  </r>
  <r>
    <x v="0"/>
    <x v="0"/>
    <x v="1"/>
    <x v="3"/>
    <x v="9"/>
    <s v="SE1_OTHER"/>
    <x v="2"/>
    <s v="GHOB_WASTEHEAT"/>
    <x v="0"/>
    <x v="15"/>
    <n v="35.828754578754399"/>
    <n v="13077.495421245399"/>
    <n v="47078.983516483298"/>
  </r>
  <r>
    <x v="0"/>
    <x v="0"/>
    <x v="1"/>
    <x v="3"/>
    <x v="9"/>
    <s v="SE1_OTHER"/>
    <x v="2"/>
    <s v="GHOB_WASTEHEAT"/>
    <x v="0"/>
    <x v="16"/>
    <n v="35.828754578754399"/>
    <n v="13077.495421245399"/>
    <n v="47078.983516483298"/>
  </r>
  <r>
    <x v="0"/>
    <x v="0"/>
    <x v="1"/>
    <x v="3"/>
    <x v="9"/>
    <s v="SE1_OTHER"/>
    <x v="2"/>
    <s v="GHOB_WASTEHEAT"/>
    <x v="0"/>
    <x v="17"/>
    <n v="35.828754578754399"/>
    <n v="13077.495421245399"/>
    <n v="47078.983516483298"/>
  </r>
  <r>
    <x v="0"/>
    <x v="0"/>
    <x v="1"/>
    <x v="3"/>
    <x v="9"/>
    <s v="SE1_OTHER"/>
    <x v="2"/>
    <s v="GHOB_WASTEHEAT"/>
    <x v="0"/>
    <x v="18"/>
    <n v="35.828754578754399"/>
    <n v="13077.495421245399"/>
    <n v="47078.983516483298"/>
  </r>
  <r>
    <x v="0"/>
    <x v="0"/>
    <x v="1"/>
    <x v="3"/>
    <x v="9"/>
    <s v="SE1_OTHER"/>
    <x v="2"/>
    <s v="GHOB_WASTEHEAT"/>
    <x v="0"/>
    <x v="19"/>
    <n v="35.828754578754399"/>
    <n v="13077.495421245399"/>
    <n v="47078.983516483298"/>
  </r>
  <r>
    <x v="0"/>
    <x v="0"/>
    <x v="1"/>
    <x v="3"/>
    <x v="9"/>
    <s v="SE1_OTHER"/>
    <x v="2"/>
    <s v="GHOB_WASTEHEAT"/>
    <x v="0"/>
    <x v="20"/>
    <n v="35.828754578754399"/>
    <n v="13077.495421245399"/>
    <n v="47078.983516483298"/>
  </r>
  <r>
    <x v="0"/>
    <x v="0"/>
    <x v="1"/>
    <x v="3"/>
    <x v="9"/>
    <s v="SE1_OTHER"/>
    <x v="2"/>
    <s v="GHOB_WASTEHEAT"/>
    <x v="0"/>
    <x v="21"/>
    <n v="35.828754578754399"/>
    <n v="13077.495421245399"/>
    <n v="47078.983516483298"/>
  </r>
  <r>
    <x v="0"/>
    <x v="0"/>
    <x v="1"/>
    <x v="3"/>
    <x v="9"/>
    <s v="SE1_OTHER"/>
    <x v="2"/>
    <s v="GHOB_WASTEHEAT"/>
    <x v="0"/>
    <x v="22"/>
    <n v="35.828754578754399"/>
    <n v="13077.495421245399"/>
    <n v="47078.983516483298"/>
  </r>
  <r>
    <x v="0"/>
    <x v="0"/>
    <x v="1"/>
    <x v="3"/>
    <x v="9"/>
    <s v="SE1_OTHER"/>
    <x v="2"/>
    <s v="GHOB_WASTEHEAT"/>
    <x v="0"/>
    <x v="23"/>
    <n v="35.828754578754399"/>
    <n v="13077.495421245399"/>
    <n v="47078.983516483298"/>
  </r>
  <r>
    <x v="0"/>
    <x v="0"/>
    <x v="1"/>
    <x v="3"/>
    <x v="9"/>
    <s v="SE1_OTHER"/>
    <x v="7"/>
    <s v="GBPR_WOODWASTE"/>
    <x v="0"/>
    <x v="7"/>
    <n v="2.2446969936525498"/>
    <n v="819.31440268318204"/>
    <n v="2949.53184965946"/>
  </r>
  <r>
    <x v="0"/>
    <x v="0"/>
    <x v="1"/>
    <x v="3"/>
    <x v="9"/>
    <s v="SE1_OTHER"/>
    <x v="7"/>
    <s v="GHOB_WOODWASTE"/>
    <x v="0"/>
    <x v="6"/>
    <n v="15.813417202565899"/>
    <n v="5771.8972789365698"/>
    <n v="20778.8302041717"/>
  </r>
  <r>
    <x v="0"/>
    <x v="0"/>
    <x v="1"/>
    <x v="3"/>
    <x v="9"/>
    <s v="SE1_OTHER"/>
    <x v="7"/>
    <s v="GHOB_WOODWASTE"/>
    <x v="0"/>
    <x v="7"/>
    <n v="21.8419124343257"/>
    <n v="7972.2980385288902"/>
    <n v="28700.272938704002"/>
  </r>
  <r>
    <x v="0"/>
    <x v="0"/>
    <x v="1"/>
    <x v="3"/>
    <x v="9"/>
    <s v="SE1_OTHER"/>
    <x v="7"/>
    <s v="GHOB_WOODWASTE"/>
    <x v="0"/>
    <x v="8"/>
    <n v="21.8419124343257"/>
    <n v="7972.2980385288902"/>
    <n v="28700.272938704002"/>
  </r>
  <r>
    <x v="0"/>
    <x v="0"/>
    <x v="1"/>
    <x v="3"/>
    <x v="9"/>
    <s v="SE1_OTHER"/>
    <x v="7"/>
    <s v="GHOB_WOODWASTE"/>
    <x v="0"/>
    <x v="9"/>
    <n v="17.8408998113043"/>
    <n v="6511.9284311260799"/>
    <n v="23442.942352053899"/>
  </r>
  <r>
    <x v="0"/>
    <x v="0"/>
    <x v="1"/>
    <x v="3"/>
    <x v="9"/>
    <s v="SE1_OTHER"/>
    <x v="7"/>
    <s v="GHOB_WOODWASTE"/>
    <x v="0"/>
    <x v="10"/>
    <n v="14.496503465923601"/>
    <n v="5291.22376506211"/>
    <n v="19048.405554223598"/>
  </r>
  <r>
    <x v="0"/>
    <x v="0"/>
    <x v="1"/>
    <x v="3"/>
    <x v="9"/>
    <s v="SE1_OTHER"/>
    <x v="7"/>
    <s v="GHOB_WOODWASTE"/>
    <x v="0"/>
    <x v="11"/>
    <n v="13.4927630211786"/>
    <n v="4924.8585027301897"/>
    <n v="17729.490609828699"/>
  </r>
  <r>
    <x v="0"/>
    <x v="0"/>
    <x v="1"/>
    <x v="3"/>
    <x v="9"/>
    <s v="SE1_OTHER"/>
    <x v="7"/>
    <s v="GHOB_WOODWASTE"/>
    <x v="0"/>
    <x v="12"/>
    <n v="10.3373287750749"/>
    <n v="3773.1250029023499"/>
    <n v="13583.250010448401"/>
  </r>
  <r>
    <x v="0"/>
    <x v="0"/>
    <x v="1"/>
    <x v="3"/>
    <x v="9"/>
    <s v="SE1_OTHER"/>
    <x v="7"/>
    <s v="GHOB_WOODWASTE"/>
    <x v="0"/>
    <x v="13"/>
    <n v="9.2538841467152793"/>
    <n v="3377.6677135510799"/>
    <n v="12159.6037687839"/>
  </r>
  <r>
    <x v="0"/>
    <x v="0"/>
    <x v="1"/>
    <x v="3"/>
    <x v="9"/>
    <s v="SE1_OTHER"/>
    <x v="7"/>
    <s v="GHOB_WOODWASTE"/>
    <x v="0"/>
    <x v="14"/>
    <n v="9.5683975277970603"/>
    <n v="3492.4650976459302"/>
    <n v="12572.874351525301"/>
  </r>
  <r>
    <x v="0"/>
    <x v="0"/>
    <x v="1"/>
    <x v="3"/>
    <x v="9"/>
    <s v="SE1_OTHER"/>
    <x v="7"/>
    <s v="GHOB_WOODWASTE"/>
    <x v="0"/>
    <x v="15"/>
    <n v="8.9477962418361301"/>
    <n v="3265.9456282701899"/>
    <n v="11757.404261772699"/>
  </r>
  <r>
    <x v="0"/>
    <x v="0"/>
    <x v="1"/>
    <x v="3"/>
    <x v="9"/>
    <s v="SE1_OTHER"/>
    <x v="7"/>
    <s v="GHOB_WOODWASTE"/>
    <x v="0"/>
    <x v="16"/>
    <n v="6.3051398293221999"/>
    <n v="2301.3760377026001"/>
    <n v="8284.9537357293702"/>
  </r>
  <r>
    <x v="0"/>
    <x v="0"/>
    <x v="1"/>
    <x v="3"/>
    <x v="9"/>
    <s v="SE1_OTHER"/>
    <x v="7"/>
    <s v="GHOB_WOODWASTE"/>
    <x v="0"/>
    <x v="17"/>
    <n v="2.7369138771367401"/>
    <n v="998.97356515491094"/>
    <n v="3596.3048345576799"/>
  </r>
  <r>
    <x v="0"/>
    <x v="0"/>
    <x v="1"/>
    <x v="3"/>
    <x v="9"/>
    <s v="SE1_OTHER"/>
    <x v="7"/>
    <s v="GHOB_WOODWASTE"/>
    <x v="0"/>
    <x v="18"/>
    <n v="1.26464688924665"/>
    <n v="461.596114575027"/>
    <n v="1661.7460124700999"/>
  </r>
  <r>
    <x v="0"/>
    <x v="0"/>
    <x v="1"/>
    <x v="3"/>
    <x v="9"/>
    <s v="SE1_OTHER"/>
    <x v="7"/>
    <s v="GHOB_WOODWASTE"/>
    <x v="0"/>
    <x v="19"/>
    <n v="1.1101279738855401"/>
    <n v="405.19671046822202"/>
    <n v="1458.7081576856001"/>
  </r>
  <r>
    <x v="0"/>
    <x v="0"/>
    <x v="1"/>
    <x v="3"/>
    <x v="10"/>
    <s v="SE2_EL"/>
    <x v="3"/>
    <s v="GETOH_ELECTRICBOILER"/>
    <x v="0"/>
    <x v="0"/>
    <n v="176"/>
    <n v="64240"/>
    <n v="231264"/>
  </r>
  <r>
    <x v="0"/>
    <x v="0"/>
    <x v="1"/>
    <x v="3"/>
    <x v="10"/>
    <s v="SE2_EL"/>
    <x v="3"/>
    <s v="GETOH_ELECTRICBOILER"/>
    <x v="0"/>
    <x v="1"/>
    <n v="176"/>
    <n v="64240"/>
    <n v="231264"/>
  </r>
  <r>
    <x v="0"/>
    <x v="0"/>
    <x v="1"/>
    <x v="3"/>
    <x v="10"/>
    <s v="SE2_EL"/>
    <x v="3"/>
    <s v="GETOH_ELECTRICBOILER"/>
    <x v="0"/>
    <x v="2"/>
    <n v="176"/>
    <n v="64240"/>
    <n v="231264"/>
  </r>
  <r>
    <x v="0"/>
    <x v="0"/>
    <x v="1"/>
    <x v="3"/>
    <x v="10"/>
    <s v="SE2_EL"/>
    <x v="3"/>
    <s v="GETOH_ELECTRICBOILER"/>
    <x v="0"/>
    <x v="3"/>
    <n v="176"/>
    <n v="64240"/>
    <n v="231264"/>
  </r>
  <r>
    <x v="0"/>
    <x v="0"/>
    <x v="1"/>
    <x v="3"/>
    <x v="10"/>
    <s v="SE2_EL"/>
    <x v="3"/>
    <s v="GETOH_ELECTRICBOILER"/>
    <x v="0"/>
    <x v="4"/>
    <n v="176"/>
    <n v="64240"/>
    <n v="231264"/>
  </r>
  <r>
    <x v="0"/>
    <x v="0"/>
    <x v="1"/>
    <x v="3"/>
    <x v="10"/>
    <s v="SE2_EL"/>
    <x v="3"/>
    <s v="GETOH_ELECTRICBOILER"/>
    <x v="0"/>
    <x v="5"/>
    <n v="176"/>
    <n v="64240"/>
    <n v="231264"/>
  </r>
  <r>
    <x v="0"/>
    <x v="0"/>
    <x v="1"/>
    <x v="3"/>
    <x v="10"/>
    <s v="SE2_EL"/>
    <x v="3"/>
    <s v="GETOH_ELECTRICBOILER"/>
    <x v="0"/>
    <x v="6"/>
    <n v="176"/>
    <n v="64240"/>
    <n v="231264"/>
  </r>
  <r>
    <x v="0"/>
    <x v="0"/>
    <x v="1"/>
    <x v="3"/>
    <x v="10"/>
    <s v="SE2_EL"/>
    <x v="3"/>
    <s v="GETOH_ELECTRICBOILER"/>
    <x v="0"/>
    <x v="7"/>
    <n v="176"/>
    <n v="64240"/>
    <n v="231264"/>
  </r>
  <r>
    <x v="0"/>
    <x v="0"/>
    <x v="1"/>
    <x v="3"/>
    <x v="10"/>
    <s v="SE2_EL"/>
    <x v="3"/>
    <s v="GETOH_ELECTRICBOILER"/>
    <x v="0"/>
    <x v="8"/>
    <n v="176"/>
    <n v="64240"/>
    <n v="231264"/>
  </r>
  <r>
    <x v="0"/>
    <x v="0"/>
    <x v="1"/>
    <x v="3"/>
    <x v="10"/>
    <s v="SE2_EL"/>
    <x v="3"/>
    <s v="GETOH_ELECTRICBOILER"/>
    <x v="0"/>
    <x v="9"/>
    <n v="176"/>
    <n v="64240"/>
    <n v="231264"/>
  </r>
  <r>
    <x v="0"/>
    <x v="0"/>
    <x v="1"/>
    <x v="3"/>
    <x v="10"/>
    <s v="SE2_EL"/>
    <x v="3"/>
    <s v="GETOH_ELECTRICBOILER"/>
    <x v="0"/>
    <x v="10"/>
    <n v="176"/>
    <n v="64240"/>
    <n v="231264"/>
  </r>
  <r>
    <x v="0"/>
    <x v="0"/>
    <x v="1"/>
    <x v="3"/>
    <x v="10"/>
    <s v="SE2_EL"/>
    <x v="3"/>
    <s v="GETOH_ELECTRICBOILER"/>
    <x v="0"/>
    <x v="11"/>
    <n v="176"/>
    <n v="64240"/>
    <n v="231264"/>
  </r>
  <r>
    <x v="0"/>
    <x v="0"/>
    <x v="1"/>
    <x v="3"/>
    <x v="10"/>
    <s v="SE2_EL"/>
    <x v="3"/>
    <s v="GETOH_ELECTRICBOILER"/>
    <x v="0"/>
    <x v="12"/>
    <n v="176"/>
    <n v="64240"/>
    <n v="231264"/>
  </r>
  <r>
    <x v="0"/>
    <x v="0"/>
    <x v="1"/>
    <x v="3"/>
    <x v="10"/>
    <s v="SE2_EL"/>
    <x v="3"/>
    <s v="GETOH_ELECTRICBOILER"/>
    <x v="0"/>
    <x v="13"/>
    <n v="176"/>
    <n v="64240"/>
    <n v="231264"/>
  </r>
  <r>
    <x v="0"/>
    <x v="0"/>
    <x v="1"/>
    <x v="3"/>
    <x v="10"/>
    <s v="SE2_EL"/>
    <x v="3"/>
    <s v="GETOH_ELECTRICBOILER"/>
    <x v="0"/>
    <x v="14"/>
    <n v="176"/>
    <n v="64240"/>
    <n v="231264"/>
  </r>
  <r>
    <x v="0"/>
    <x v="0"/>
    <x v="1"/>
    <x v="3"/>
    <x v="10"/>
    <s v="SE2_EL"/>
    <x v="3"/>
    <s v="GETOH_ELECTRICBOILER"/>
    <x v="0"/>
    <x v="15"/>
    <n v="176"/>
    <n v="64240"/>
    <n v="231264"/>
  </r>
  <r>
    <x v="0"/>
    <x v="0"/>
    <x v="1"/>
    <x v="3"/>
    <x v="10"/>
    <s v="SE2_EL"/>
    <x v="3"/>
    <s v="GETOH_ELECTRICBOILER"/>
    <x v="0"/>
    <x v="16"/>
    <n v="176"/>
    <n v="64240"/>
    <n v="231264"/>
  </r>
  <r>
    <x v="0"/>
    <x v="0"/>
    <x v="1"/>
    <x v="3"/>
    <x v="10"/>
    <s v="SE2_EL"/>
    <x v="3"/>
    <s v="GETOH_ELECTRICBOILER"/>
    <x v="0"/>
    <x v="17"/>
    <n v="176"/>
    <n v="64240"/>
    <n v="231264"/>
  </r>
  <r>
    <x v="0"/>
    <x v="0"/>
    <x v="1"/>
    <x v="3"/>
    <x v="10"/>
    <s v="SE2_EL"/>
    <x v="3"/>
    <s v="GETOH_ELECTRICBOILER"/>
    <x v="0"/>
    <x v="18"/>
    <n v="176"/>
    <n v="64240"/>
    <n v="231264"/>
  </r>
  <r>
    <x v="0"/>
    <x v="0"/>
    <x v="1"/>
    <x v="3"/>
    <x v="10"/>
    <s v="SE2_EL"/>
    <x v="3"/>
    <s v="GETOH_ELECTRICBOILER"/>
    <x v="0"/>
    <x v="19"/>
    <n v="176"/>
    <n v="64240"/>
    <n v="231264"/>
  </r>
  <r>
    <x v="0"/>
    <x v="0"/>
    <x v="1"/>
    <x v="3"/>
    <x v="10"/>
    <s v="SE2_EL"/>
    <x v="3"/>
    <s v="GETOH_ELECTRICBOILER"/>
    <x v="0"/>
    <x v="20"/>
    <n v="176"/>
    <n v="64240"/>
    <n v="231264"/>
  </r>
  <r>
    <x v="0"/>
    <x v="0"/>
    <x v="1"/>
    <x v="3"/>
    <x v="10"/>
    <s v="SE2_EL"/>
    <x v="3"/>
    <s v="GETOH_ELECTRICBOILER"/>
    <x v="0"/>
    <x v="21"/>
    <n v="176"/>
    <n v="64240"/>
    <n v="231264"/>
  </r>
  <r>
    <x v="0"/>
    <x v="0"/>
    <x v="1"/>
    <x v="3"/>
    <x v="10"/>
    <s v="SE2_EL"/>
    <x v="3"/>
    <s v="GETOH_ELECTRICBOILER"/>
    <x v="0"/>
    <x v="22"/>
    <n v="176"/>
    <n v="64240"/>
    <n v="231264"/>
  </r>
  <r>
    <x v="0"/>
    <x v="0"/>
    <x v="1"/>
    <x v="3"/>
    <x v="10"/>
    <s v="SE2_EL"/>
    <x v="3"/>
    <s v="GETOH_ELECTRICBOILER"/>
    <x v="0"/>
    <x v="23"/>
    <n v="176"/>
    <n v="64240"/>
    <n v="231264"/>
  </r>
  <r>
    <x v="0"/>
    <x v="0"/>
    <x v="1"/>
    <x v="3"/>
    <x v="10"/>
    <s v="SE2_EL"/>
    <x v="3"/>
    <s v="GETOH_HEATPUMP"/>
    <x v="0"/>
    <x v="0"/>
    <n v="6.6"/>
    <n v="2409"/>
    <n v="8672.4"/>
  </r>
  <r>
    <x v="0"/>
    <x v="0"/>
    <x v="1"/>
    <x v="3"/>
    <x v="10"/>
    <s v="SE2_EL"/>
    <x v="3"/>
    <s v="GETOH_HEATPUMP"/>
    <x v="0"/>
    <x v="1"/>
    <n v="6.6"/>
    <n v="2409"/>
    <n v="8672.4"/>
  </r>
  <r>
    <x v="0"/>
    <x v="0"/>
    <x v="1"/>
    <x v="3"/>
    <x v="10"/>
    <s v="SE2_EL"/>
    <x v="3"/>
    <s v="GETOH_HEATPUMP"/>
    <x v="0"/>
    <x v="2"/>
    <n v="6.6"/>
    <n v="2409"/>
    <n v="8672.4"/>
  </r>
  <r>
    <x v="0"/>
    <x v="0"/>
    <x v="1"/>
    <x v="3"/>
    <x v="10"/>
    <s v="SE2_EL"/>
    <x v="3"/>
    <s v="GETOH_HEATPUMP"/>
    <x v="0"/>
    <x v="3"/>
    <n v="6.6"/>
    <n v="2409"/>
    <n v="8672.4"/>
  </r>
  <r>
    <x v="0"/>
    <x v="0"/>
    <x v="1"/>
    <x v="3"/>
    <x v="10"/>
    <s v="SE2_EL"/>
    <x v="3"/>
    <s v="GETOH_HEATPUMP"/>
    <x v="0"/>
    <x v="4"/>
    <n v="6.6"/>
    <n v="2409"/>
    <n v="8672.4"/>
  </r>
  <r>
    <x v="0"/>
    <x v="0"/>
    <x v="1"/>
    <x v="3"/>
    <x v="10"/>
    <s v="SE2_EL"/>
    <x v="3"/>
    <s v="GETOH_HEATPUMP"/>
    <x v="0"/>
    <x v="5"/>
    <n v="6.6"/>
    <n v="2409"/>
    <n v="8672.4"/>
  </r>
  <r>
    <x v="0"/>
    <x v="0"/>
    <x v="1"/>
    <x v="3"/>
    <x v="10"/>
    <s v="SE2_EL"/>
    <x v="3"/>
    <s v="GETOH_HEATPUMP"/>
    <x v="0"/>
    <x v="6"/>
    <n v="6.6"/>
    <n v="2409"/>
    <n v="8672.4"/>
  </r>
  <r>
    <x v="0"/>
    <x v="0"/>
    <x v="1"/>
    <x v="3"/>
    <x v="10"/>
    <s v="SE2_EL"/>
    <x v="3"/>
    <s v="GETOH_HEATPUMP"/>
    <x v="0"/>
    <x v="7"/>
    <n v="6.6"/>
    <n v="2409"/>
    <n v="8672.4"/>
  </r>
  <r>
    <x v="0"/>
    <x v="0"/>
    <x v="1"/>
    <x v="3"/>
    <x v="10"/>
    <s v="SE2_EL"/>
    <x v="3"/>
    <s v="GETOH_HEATPUMP"/>
    <x v="0"/>
    <x v="8"/>
    <n v="6.6"/>
    <n v="2409"/>
    <n v="8672.4"/>
  </r>
  <r>
    <x v="0"/>
    <x v="0"/>
    <x v="1"/>
    <x v="3"/>
    <x v="10"/>
    <s v="SE2_EL"/>
    <x v="3"/>
    <s v="GETOH_HEATPUMP"/>
    <x v="0"/>
    <x v="9"/>
    <n v="6.6"/>
    <n v="2409"/>
    <n v="8672.4"/>
  </r>
  <r>
    <x v="0"/>
    <x v="0"/>
    <x v="1"/>
    <x v="3"/>
    <x v="10"/>
    <s v="SE2_EL"/>
    <x v="3"/>
    <s v="GETOH_HEATPUMP"/>
    <x v="0"/>
    <x v="10"/>
    <n v="6.6"/>
    <n v="2409"/>
    <n v="8672.4"/>
  </r>
  <r>
    <x v="0"/>
    <x v="0"/>
    <x v="1"/>
    <x v="3"/>
    <x v="10"/>
    <s v="SE2_EL"/>
    <x v="3"/>
    <s v="GETOH_HEATPUMP"/>
    <x v="0"/>
    <x v="11"/>
    <n v="6.6"/>
    <n v="2409"/>
    <n v="8672.4"/>
  </r>
  <r>
    <x v="0"/>
    <x v="0"/>
    <x v="1"/>
    <x v="3"/>
    <x v="10"/>
    <s v="SE2_EL"/>
    <x v="3"/>
    <s v="GETOH_HEATPUMP"/>
    <x v="0"/>
    <x v="12"/>
    <n v="6.6"/>
    <n v="2409"/>
    <n v="8672.4"/>
  </r>
  <r>
    <x v="0"/>
    <x v="0"/>
    <x v="1"/>
    <x v="3"/>
    <x v="10"/>
    <s v="SE2_EL"/>
    <x v="3"/>
    <s v="GETOH_HEATPUMP"/>
    <x v="0"/>
    <x v="13"/>
    <n v="6.6"/>
    <n v="2409"/>
    <n v="8672.4"/>
  </r>
  <r>
    <x v="0"/>
    <x v="0"/>
    <x v="1"/>
    <x v="3"/>
    <x v="10"/>
    <s v="SE2_EL"/>
    <x v="3"/>
    <s v="GETOH_HEATPUMP"/>
    <x v="0"/>
    <x v="14"/>
    <n v="6.6"/>
    <n v="2409"/>
    <n v="8672.4"/>
  </r>
  <r>
    <x v="0"/>
    <x v="0"/>
    <x v="1"/>
    <x v="3"/>
    <x v="10"/>
    <s v="SE2_EL"/>
    <x v="3"/>
    <s v="GETOH_HEATPUMP"/>
    <x v="0"/>
    <x v="15"/>
    <n v="6.6"/>
    <n v="2409"/>
    <n v="8672.4"/>
  </r>
  <r>
    <x v="0"/>
    <x v="0"/>
    <x v="1"/>
    <x v="3"/>
    <x v="10"/>
    <s v="SE2_EL"/>
    <x v="3"/>
    <s v="GETOH_HEATPUMP"/>
    <x v="0"/>
    <x v="16"/>
    <n v="6.6"/>
    <n v="2409"/>
    <n v="8672.4"/>
  </r>
  <r>
    <x v="0"/>
    <x v="0"/>
    <x v="1"/>
    <x v="3"/>
    <x v="10"/>
    <s v="SE2_EL"/>
    <x v="3"/>
    <s v="GETOH_HEATPUMP"/>
    <x v="0"/>
    <x v="17"/>
    <n v="6.6"/>
    <n v="2409"/>
    <n v="8672.4"/>
  </r>
  <r>
    <x v="0"/>
    <x v="0"/>
    <x v="1"/>
    <x v="3"/>
    <x v="10"/>
    <s v="SE2_EL"/>
    <x v="3"/>
    <s v="GETOH_HEATPUMP"/>
    <x v="0"/>
    <x v="18"/>
    <n v="6.6"/>
    <n v="2409"/>
    <n v="8672.4"/>
  </r>
  <r>
    <x v="0"/>
    <x v="0"/>
    <x v="1"/>
    <x v="3"/>
    <x v="10"/>
    <s v="SE2_EL"/>
    <x v="3"/>
    <s v="GETOH_HEATPUMP"/>
    <x v="0"/>
    <x v="19"/>
    <n v="6.6"/>
    <n v="2409"/>
    <n v="8672.4"/>
  </r>
  <r>
    <x v="0"/>
    <x v="0"/>
    <x v="1"/>
    <x v="3"/>
    <x v="10"/>
    <s v="SE2_EL"/>
    <x v="3"/>
    <s v="GETOH_HEATPUMP"/>
    <x v="0"/>
    <x v="20"/>
    <n v="6.6"/>
    <n v="2409"/>
    <n v="8672.4"/>
  </r>
  <r>
    <x v="0"/>
    <x v="0"/>
    <x v="1"/>
    <x v="3"/>
    <x v="10"/>
    <s v="SE2_EL"/>
    <x v="3"/>
    <s v="GETOH_HEATPUMP"/>
    <x v="0"/>
    <x v="21"/>
    <n v="6.6"/>
    <n v="2409"/>
    <n v="8672.4"/>
  </r>
  <r>
    <x v="0"/>
    <x v="0"/>
    <x v="1"/>
    <x v="3"/>
    <x v="10"/>
    <s v="SE2_EL"/>
    <x v="3"/>
    <s v="GETOH_HEATPUMP"/>
    <x v="0"/>
    <x v="22"/>
    <n v="6.6"/>
    <n v="2409"/>
    <n v="8672.4"/>
  </r>
  <r>
    <x v="0"/>
    <x v="0"/>
    <x v="1"/>
    <x v="3"/>
    <x v="10"/>
    <s v="SE2_EL"/>
    <x v="3"/>
    <s v="GETOH_HEATPUMP"/>
    <x v="0"/>
    <x v="23"/>
    <n v="6.6"/>
    <n v="2409"/>
    <n v="8672.4"/>
  </r>
  <r>
    <x v="0"/>
    <x v="0"/>
    <x v="1"/>
    <x v="3"/>
    <x v="10"/>
    <s v="SE2_EL"/>
    <x v="3"/>
    <s v="GNR_BO_ELEC_E-99_SS-1-MW-FEED_Y-2030"/>
    <x v="0"/>
    <x v="0"/>
    <n v="25.262394688535998"/>
    <n v="9220.7740613156402"/>
    <n v="33194.786620736297"/>
  </r>
  <r>
    <x v="0"/>
    <x v="0"/>
    <x v="1"/>
    <x v="3"/>
    <x v="10"/>
    <s v="SE2_EL"/>
    <x v="3"/>
    <s v="GNR_BO_ELEC_E-99_SS-1-MW-FEED_Y-2030"/>
    <x v="0"/>
    <x v="1"/>
    <n v="27.6762038002047"/>
    <n v="10101.814387074701"/>
    <n v="36366.531793469003"/>
  </r>
  <r>
    <x v="0"/>
    <x v="0"/>
    <x v="1"/>
    <x v="3"/>
    <x v="10"/>
    <s v="SE2_EL"/>
    <x v="3"/>
    <s v="GNR_BO_ELEC_E-99_SS-1-MW-FEED_Y-2030"/>
    <x v="0"/>
    <x v="2"/>
    <n v="31.986793373343101"/>
    <n v="11675.1795812702"/>
    <n v="42030.6464925728"/>
  </r>
  <r>
    <x v="0"/>
    <x v="0"/>
    <x v="1"/>
    <x v="3"/>
    <x v="10"/>
    <s v="SE2_EL"/>
    <x v="3"/>
    <s v="GNR_BO_ELEC_E-99_SS-1-MW-FEED_Y-2030"/>
    <x v="0"/>
    <x v="3"/>
    <n v="42.717859969705003"/>
    <n v="15592.018888942301"/>
    <n v="56131.2680001923"/>
  </r>
  <r>
    <x v="0"/>
    <x v="0"/>
    <x v="1"/>
    <x v="3"/>
    <x v="10"/>
    <s v="SE2_EL"/>
    <x v="3"/>
    <s v="GNR_BO_ELEC_E-99_SS-1-MW-FEED_Y-2030"/>
    <x v="0"/>
    <x v="4"/>
    <n v="58.625193449807298"/>
    <n v="21398.1956091797"/>
    <n v="77033.5041930468"/>
  </r>
  <r>
    <x v="0"/>
    <x v="0"/>
    <x v="1"/>
    <x v="3"/>
    <x v="10"/>
    <s v="SE2_EL"/>
    <x v="3"/>
    <s v="GNR_BO_ELEC_E-99_SS-1-MW-FEED_Y-2030"/>
    <x v="0"/>
    <x v="5"/>
    <n v="63.675243957127201"/>
    <n v="23241.4640443514"/>
    <n v="83669.270559665194"/>
  </r>
  <r>
    <x v="0"/>
    <x v="0"/>
    <x v="1"/>
    <x v="3"/>
    <x v="10"/>
    <s v="SE2_EL"/>
    <x v="3"/>
    <s v="GNR_BO_ELEC_E-99_SS-1-MW-FEED_Y-2030"/>
    <x v="0"/>
    <x v="6"/>
    <n v="63.675243957127201"/>
    <n v="23241.4640443514"/>
    <n v="83669.270559665194"/>
  </r>
  <r>
    <x v="0"/>
    <x v="0"/>
    <x v="1"/>
    <x v="3"/>
    <x v="10"/>
    <s v="SE2_EL"/>
    <x v="3"/>
    <s v="GNR_BO_ELEC_E-99_SS-1-MW-FEED_Y-2030"/>
    <x v="0"/>
    <x v="7"/>
    <n v="63.675243957127201"/>
    <n v="23241.4640443514"/>
    <n v="83669.270559665194"/>
  </r>
  <r>
    <x v="0"/>
    <x v="0"/>
    <x v="1"/>
    <x v="3"/>
    <x v="10"/>
    <s v="SE2_EL"/>
    <x v="3"/>
    <s v="GNR_BO_ELEC_E-99_SS-1-MW-FEED_Y-2030"/>
    <x v="0"/>
    <x v="8"/>
    <n v="63.675243957127201"/>
    <n v="23241.4640443514"/>
    <n v="83669.270559665194"/>
  </r>
  <r>
    <x v="0"/>
    <x v="0"/>
    <x v="1"/>
    <x v="3"/>
    <x v="10"/>
    <s v="SE2_EL"/>
    <x v="3"/>
    <s v="GNR_BO_ELEC_E-99_SS-1-MW-FEED_Y-2030"/>
    <x v="0"/>
    <x v="9"/>
    <n v="63.675243957127201"/>
    <n v="23241.4640443514"/>
    <n v="83669.270559665194"/>
  </r>
  <r>
    <x v="0"/>
    <x v="0"/>
    <x v="1"/>
    <x v="3"/>
    <x v="10"/>
    <s v="SE2_EL"/>
    <x v="3"/>
    <s v="GNR_BO_ELEC_E-99_SS-1-MW-FEED_Y-2030"/>
    <x v="0"/>
    <x v="10"/>
    <n v="63.675243957127201"/>
    <n v="23241.4640443514"/>
    <n v="83669.270559665194"/>
  </r>
  <r>
    <x v="0"/>
    <x v="0"/>
    <x v="1"/>
    <x v="3"/>
    <x v="10"/>
    <s v="SE2_EL"/>
    <x v="3"/>
    <s v="GNR_BO_ELEC_E-99_SS-1-MW-FEED_Y-2030"/>
    <x v="0"/>
    <x v="11"/>
    <n v="63.675243957127201"/>
    <n v="23241.4640443514"/>
    <n v="83669.270559665194"/>
  </r>
  <r>
    <x v="0"/>
    <x v="0"/>
    <x v="1"/>
    <x v="3"/>
    <x v="10"/>
    <s v="SE2_EL"/>
    <x v="3"/>
    <s v="GNR_BO_ELEC_E-99_SS-1-MW-FEED_Y-2030"/>
    <x v="0"/>
    <x v="12"/>
    <n v="63.675243957127201"/>
    <n v="23241.4640443514"/>
    <n v="83669.270559665194"/>
  </r>
  <r>
    <x v="0"/>
    <x v="0"/>
    <x v="1"/>
    <x v="3"/>
    <x v="10"/>
    <s v="SE2_EL"/>
    <x v="3"/>
    <s v="GNR_BO_ELEC_E-99_SS-1-MW-FEED_Y-2030"/>
    <x v="0"/>
    <x v="13"/>
    <n v="63.675243957127201"/>
    <n v="23241.4640443514"/>
    <n v="83669.270559665194"/>
  </r>
  <r>
    <x v="0"/>
    <x v="0"/>
    <x v="1"/>
    <x v="3"/>
    <x v="10"/>
    <s v="SE2_EL"/>
    <x v="3"/>
    <s v="GNR_BO_ELEC_E-99_SS-1-MW-FEED_Y-2030"/>
    <x v="0"/>
    <x v="14"/>
    <n v="63.675243957127201"/>
    <n v="23241.4640443514"/>
    <n v="83669.270559665194"/>
  </r>
  <r>
    <x v="0"/>
    <x v="0"/>
    <x v="1"/>
    <x v="3"/>
    <x v="10"/>
    <s v="SE2_EL"/>
    <x v="3"/>
    <s v="GNR_BO_ELEC_E-99_SS-1-MW-FEED_Y-2030"/>
    <x v="0"/>
    <x v="15"/>
    <n v="63.675243957127201"/>
    <n v="23241.4640443514"/>
    <n v="83669.270559665194"/>
  </r>
  <r>
    <x v="0"/>
    <x v="0"/>
    <x v="1"/>
    <x v="3"/>
    <x v="10"/>
    <s v="SE2_EL"/>
    <x v="3"/>
    <s v="GNR_BO_ELEC_E-99_SS-1-MW-FEED_Y-2030"/>
    <x v="0"/>
    <x v="16"/>
    <n v="55.985936890090997"/>
    <n v="20434.8669648832"/>
    <n v="73565.521073579497"/>
  </r>
  <r>
    <x v="0"/>
    <x v="0"/>
    <x v="1"/>
    <x v="3"/>
    <x v="10"/>
    <s v="SE2_EL"/>
    <x v="3"/>
    <s v="GNR_BO_ELEC_E-99_SS-1-MW-FEED_Y-2030"/>
    <x v="0"/>
    <x v="17"/>
    <n v="43.989535066553998"/>
    <n v="16056.1802992922"/>
    <n v="57802.249077451997"/>
  </r>
  <r>
    <x v="0"/>
    <x v="0"/>
    <x v="1"/>
    <x v="3"/>
    <x v="10"/>
    <s v="SE2_EL"/>
    <x v="3"/>
    <s v="GNR_BO_ELEC_E-99_SS-1-MW-FEED_Y-2030"/>
    <x v="0"/>
    <x v="18"/>
    <n v="42.279012694580601"/>
    <n v="15431.8396335219"/>
    <n v="55554.622680678898"/>
  </r>
  <r>
    <x v="0"/>
    <x v="0"/>
    <x v="1"/>
    <x v="3"/>
    <x v="10"/>
    <s v="SE2_EL"/>
    <x v="3"/>
    <s v="GNR_BO_ELEC_E-99_SS-1-MW-FEED_Y-2030"/>
    <x v="0"/>
    <x v="19"/>
    <n v="44.924564179892101"/>
    <n v="16397.465925660599"/>
    <n v="59030.877332378303"/>
  </r>
  <r>
    <x v="0"/>
    <x v="0"/>
    <x v="1"/>
    <x v="3"/>
    <x v="10"/>
    <s v="SE2_EL"/>
    <x v="3"/>
    <s v="GNR_BO_ELEC_E-99_SS-1-MW-FEED_Y-2030"/>
    <x v="0"/>
    <x v="20"/>
    <n v="42.431642200595"/>
    <n v="15487.549403217199"/>
    <n v="55755.1778515818"/>
  </r>
  <r>
    <x v="0"/>
    <x v="0"/>
    <x v="1"/>
    <x v="3"/>
    <x v="10"/>
    <s v="SE2_EL"/>
    <x v="3"/>
    <s v="GNR_BO_ELEC_E-99_SS-1-MW-FEED_Y-2030"/>
    <x v="0"/>
    <x v="21"/>
    <n v="38.3528959976409"/>
    <n v="13998.807039138899"/>
    <n v="50395.705340900196"/>
  </r>
  <r>
    <x v="0"/>
    <x v="0"/>
    <x v="1"/>
    <x v="3"/>
    <x v="10"/>
    <s v="SE2_EL"/>
    <x v="3"/>
    <s v="GNR_BO_ELEC_E-99_SS-1-MW-FEED_Y-2030"/>
    <x v="0"/>
    <x v="22"/>
    <n v="29.9910760696933"/>
    <n v="10946.742765438001"/>
    <n v="39408.273955577002"/>
  </r>
  <r>
    <x v="0"/>
    <x v="0"/>
    <x v="1"/>
    <x v="3"/>
    <x v="10"/>
    <s v="SE2_EL"/>
    <x v="3"/>
    <s v="GNR_BO_ELEC_E-99_SS-1-MW-FEED_Y-2030"/>
    <x v="0"/>
    <x v="23"/>
    <n v="22.699107997973002"/>
    <n v="8285.17441926016"/>
    <n v="29826.627909336599"/>
  </r>
  <r>
    <x v="0"/>
    <x v="0"/>
    <x v="1"/>
    <x v="3"/>
    <x v="10"/>
    <s v="SE2_EL"/>
    <x v="1"/>
    <s v="GBPR_MUNIWASTE_24"/>
    <x v="0"/>
    <x v="6"/>
    <n v="5.9756859734278898"/>
    <n v="2181.12538030118"/>
    <n v="7852.0513690842399"/>
  </r>
  <r>
    <x v="0"/>
    <x v="0"/>
    <x v="1"/>
    <x v="3"/>
    <x v="10"/>
    <s v="SE2_EL"/>
    <x v="1"/>
    <s v="GBPR_MUNIWASTE_24"/>
    <x v="0"/>
    <x v="7"/>
    <n v="25.3418977300955"/>
    <n v="9249.79267148486"/>
    <n v="33299.253617345501"/>
  </r>
  <r>
    <x v="0"/>
    <x v="0"/>
    <x v="1"/>
    <x v="3"/>
    <x v="10"/>
    <s v="SE2_EL"/>
    <x v="1"/>
    <s v="GBPR_MUNIWASTE_24"/>
    <x v="0"/>
    <x v="8"/>
    <n v="16.3270251366535"/>
    <n v="5959.3641748785203"/>
    <n v="21453.711029562699"/>
  </r>
  <r>
    <x v="0"/>
    <x v="0"/>
    <x v="1"/>
    <x v="3"/>
    <x v="10"/>
    <s v="SE2_EL"/>
    <x v="1"/>
    <s v="GBPR_MUNIWASTE_24"/>
    <x v="0"/>
    <x v="9"/>
    <n v="1.2655573878512001"/>
    <n v="461.928446565689"/>
    <n v="1662.9424076364801"/>
  </r>
  <r>
    <x v="0"/>
    <x v="0"/>
    <x v="1"/>
    <x v="3"/>
    <x v="10"/>
    <s v="SE2_EL"/>
    <x v="2"/>
    <s v="GHOB_WASTEHEAT"/>
    <x v="0"/>
    <x v="0"/>
    <n v="17.284798534798501"/>
    <n v="6308.9514652014404"/>
    <n v="22712.225274725199"/>
  </r>
  <r>
    <x v="0"/>
    <x v="0"/>
    <x v="1"/>
    <x v="3"/>
    <x v="10"/>
    <s v="SE2_EL"/>
    <x v="2"/>
    <s v="GHOB_WASTEHEAT"/>
    <x v="0"/>
    <x v="1"/>
    <n v="17.284798534798501"/>
    <n v="6308.9514652014404"/>
    <n v="22712.225274725199"/>
  </r>
  <r>
    <x v="0"/>
    <x v="0"/>
    <x v="1"/>
    <x v="3"/>
    <x v="10"/>
    <s v="SE2_EL"/>
    <x v="2"/>
    <s v="GHOB_WASTEHEAT"/>
    <x v="0"/>
    <x v="2"/>
    <n v="17.284798534798501"/>
    <n v="6308.9514652014404"/>
    <n v="22712.225274725199"/>
  </r>
  <r>
    <x v="0"/>
    <x v="0"/>
    <x v="1"/>
    <x v="3"/>
    <x v="10"/>
    <s v="SE2_EL"/>
    <x v="2"/>
    <s v="GHOB_WASTEHEAT"/>
    <x v="0"/>
    <x v="3"/>
    <n v="17.284798534798501"/>
    <n v="6308.9514652014404"/>
    <n v="22712.225274725199"/>
  </r>
  <r>
    <x v="0"/>
    <x v="0"/>
    <x v="1"/>
    <x v="3"/>
    <x v="10"/>
    <s v="SE2_EL"/>
    <x v="2"/>
    <s v="GHOB_WASTEHEAT"/>
    <x v="0"/>
    <x v="4"/>
    <n v="17.284798534798501"/>
    <n v="6308.9514652014404"/>
    <n v="22712.225274725199"/>
  </r>
  <r>
    <x v="0"/>
    <x v="0"/>
    <x v="1"/>
    <x v="3"/>
    <x v="10"/>
    <s v="SE2_EL"/>
    <x v="2"/>
    <s v="GHOB_WASTEHEAT"/>
    <x v="0"/>
    <x v="5"/>
    <n v="17.284798534798501"/>
    <n v="6308.9514652014404"/>
    <n v="22712.225274725199"/>
  </r>
  <r>
    <x v="0"/>
    <x v="0"/>
    <x v="1"/>
    <x v="3"/>
    <x v="10"/>
    <s v="SE2_EL"/>
    <x v="2"/>
    <s v="GHOB_WASTEHEAT"/>
    <x v="0"/>
    <x v="6"/>
    <n v="17.284798534798501"/>
    <n v="6308.9514652014404"/>
    <n v="22712.225274725199"/>
  </r>
  <r>
    <x v="0"/>
    <x v="0"/>
    <x v="1"/>
    <x v="3"/>
    <x v="10"/>
    <s v="SE2_EL"/>
    <x v="2"/>
    <s v="GHOB_WASTEHEAT"/>
    <x v="0"/>
    <x v="7"/>
    <n v="17.284798534798501"/>
    <n v="6308.9514652014404"/>
    <n v="22712.225274725199"/>
  </r>
  <r>
    <x v="0"/>
    <x v="0"/>
    <x v="1"/>
    <x v="3"/>
    <x v="10"/>
    <s v="SE2_EL"/>
    <x v="2"/>
    <s v="GHOB_WASTEHEAT"/>
    <x v="0"/>
    <x v="8"/>
    <n v="17.284798534798501"/>
    <n v="6308.9514652014404"/>
    <n v="22712.225274725199"/>
  </r>
  <r>
    <x v="0"/>
    <x v="0"/>
    <x v="1"/>
    <x v="3"/>
    <x v="10"/>
    <s v="SE2_EL"/>
    <x v="2"/>
    <s v="GHOB_WASTEHEAT"/>
    <x v="0"/>
    <x v="9"/>
    <n v="17.284798534798501"/>
    <n v="6308.9514652014404"/>
    <n v="22712.225274725199"/>
  </r>
  <r>
    <x v="0"/>
    <x v="0"/>
    <x v="1"/>
    <x v="3"/>
    <x v="10"/>
    <s v="SE2_EL"/>
    <x v="2"/>
    <s v="GHOB_WASTEHEAT"/>
    <x v="0"/>
    <x v="10"/>
    <n v="17.284798534798501"/>
    <n v="6308.9514652014404"/>
    <n v="22712.225274725199"/>
  </r>
  <r>
    <x v="0"/>
    <x v="0"/>
    <x v="1"/>
    <x v="3"/>
    <x v="10"/>
    <s v="SE2_EL"/>
    <x v="2"/>
    <s v="GHOB_WASTEHEAT"/>
    <x v="0"/>
    <x v="11"/>
    <n v="17.284798534798501"/>
    <n v="6308.9514652014404"/>
    <n v="22712.225274725199"/>
  </r>
  <r>
    <x v="0"/>
    <x v="0"/>
    <x v="1"/>
    <x v="3"/>
    <x v="10"/>
    <s v="SE2_EL"/>
    <x v="2"/>
    <s v="GHOB_WASTEHEAT"/>
    <x v="0"/>
    <x v="12"/>
    <n v="17.284798534798501"/>
    <n v="6308.9514652014404"/>
    <n v="22712.225274725199"/>
  </r>
  <r>
    <x v="0"/>
    <x v="0"/>
    <x v="1"/>
    <x v="3"/>
    <x v="10"/>
    <s v="SE2_EL"/>
    <x v="2"/>
    <s v="GHOB_WASTEHEAT"/>
    <x v="0"/>
    <x v="13"/>
    <n v="17.284798534798501"/>
    <n v="6308.9514652014404"/>
    <n v="22712.225274725199"/>
  </r>
  <r>
    <x v="0"/>
    <x v="0"/>
    <x v="1"/>
    <x v="3"/>
    <x v="10"/>
    <s v="SE2_EL"/>
    <x v="2"/>
    <s v="GHOB_WASTEHEAT"/>
    <x v="0"/>
    <x v="14"/>
    <n v="17.284798534798501"/>
    <n v="6308.9514652014404"/>
    <n v="22712.225274725199"/>
  </r>
  <r>
    <x v="0"/>
    <x v="0"/>
    <x v="1"/>
    <x v="3"/>
    <x v="10"/>
    <s v="SE2_EL"/>
    <x v="2"/>
    <s v="GHOB_WASTEHEAT"/>
    <x v="0"/>
    <x v="15"/>
    <n v="17.284798534798501"/>
    <n v="6308.9514652014404"/>
    <n v="22712.225274725199"/>
  </r>
  <r>
    <x v="0"/>
    <x v="0"/>
    <x v="1"/>
    <x v="3"/>
    <x v="10"/>
    <s v="SE2_EL"/>
    <x v="2"/>
    <s v="GHOB_WASTEHEAT"/>
    <x v="0"/>
    <x v="16"/>
    <n v="17.284798534798501"/>
    <n v="6308.9514652014404"/>
    <n v="22712.225274725199"/>
  </r>
  <r>
    <x v="0"/>
    <x v="0"/>
    <x v="1"/>
    <x v="3"/>
    <x v="10"/>
    <s v="SE2_EL"/>
    <x v="2"/>
    <s v="GHOB_WASTEHEAT"/>
    <x v="0"/>
    <x v="17"/>
    <n v="17.284798534798501"/>
    <n v="6308.9514652014404"/>
    <n v="22712.225274725199"/>
  </r>
  <r>
    <x v="0"/>
    <x v="0"/>
    <x v="1"/>
    <x v="3"/>
    <x v="10"/>
    <s v="SE2_EL"/>
    <x v="2"/>
    <s v="GHOB_WASTEHEAT"/>
    <x v="0"/>
    <x v="18"/>
    <n v="17.284798534798501"/>
    <n v="6308.9514652014404"/>
    <n v="22712.225274725199"/>
  </r>
  <r>
    <x v="0"/>
    <x v="0"/>
    <x v="1"/>
    <x v="3"/>
    <x v="10"/>
    <s v="SE2_EL"/>
    <x v="2"/>
    <s v="GHOB_WASTEHEAT"/>
    <x v="0"/>
    <x v="19"/>
    <n v="17.284798534798501"/>
    <n v="6308.9514652014404"/>
    <n v="22712.225274725199"/>
  </r>
  <r>
    <x v="0"/>
    <x v="0"/>
    <x v="1"/>
    <x v="3"/>
    <x v="10"/>
    <s v="SE2_EL"/>
    <x v="2"/>
    <s v="GHOB_WASTEHEAT"/>
    <x v="0"/>
    <x v="20"/>
    <n v="17.284798534798501"/>
    <n v="6308.9514652014404"/>
    <n v="22712.225274725199"/>
  </r>
  <r>
    <x v="0"/>
    <x v="0"/>
    <x v="1"/>
    <x v="3"/>
    <x v="10"/>
    <s v="SE2_EL"/>
    <x v="2"/>
    <s v="GHOB_WASTEHEAT"/>
    <x v="0"/>
    <x v="21"/>
    <n v="17.284798534798501"/>
    <n v="6308.9514652014404"/>
    <n v="22712.225274725199"/>
  </r>
  <r>
    <x v="0"/>
    <x v="0"/>
    <x v="1"/>
    <x v="3"/>
    <x v="10"/>
    <s v="SE2_EL"/>
    <x v="2"/>
    <s v="GHOB_WASTEHEAT"/>
    <x v="0"/>
    <x v="22"/>
    <n v="17.284798534798501"/>
    <n v="6308.9514652014404"/>
    <n v="22712.225274725199"/>
  </r>
  <r>
    <x v="0"/>
    <x v="0"/>
    <x v="1"/>
    <x v="3"/>
    <x v="10"/>
    <s v="SE2_EL"/>
    <x v="2"/>
    <s v="GHOB_WASTEHEAT"/>
    <x v="0"/>
    <x v="23"/>
    <n v="17.284798534798501"/>
    <n v="6308.9514652014404"/>
    <n v="22712.225274725199"/>
  </r>
  <r>
    <x v="0"/>
    <x v="0"/>
    <x v="1"/>
    <x v="3"/>
    <x v="10"/>
    <s v="SE2_EL"/>
    <x v="7"/>
    <s v="GEXT_WOODWASTE_HORNEBORG"/>
    <x v="0"/>
    <x v="5"/>
    <n v="16.624423527198399"/>
    <n v="6067.9145874274"/>
    <n v="21844.492514738598"/>
  </r>
  <r>
    <x v="0"/>
    <x v="0"/>
    <x v="1"/>
    <x v="3"/>
    <x v="10"/>
    <s v="SE2_EL"/>
    <x v="7"/>
    <s v="GEXT_WOODWASTE_HORNEBORG"/>
    <x v="0"/>
    <x v="6"/>
    <n v="61.240264194169498"/>
    <n v="22352.6964308719"/>
    <n v="80469.707151138704"/>
  </r>
  <r>
    <x v="0"/>
    <x v="0"/>
    <x v="1"/>
    <x v="3"/>
    <x v="10"/>
    <s v="SE2_EL"/>
    <x v="7"/>
    <s v="GEXT_WOODWASTE_HORNEBORG"/>
    <x v="0"/>
    <x v="7"/>
    <n v="61.240264194169498"/>
    <n v="22352.6964308719"/>
    <n v="80469.707151138704"/>
  </r>
  <r>
    <x v="0"/>
    <x v="0"/>
    <x v="1"/>
    <x v="3"/>
    <x v="10"/>
    <s v="SE2_EL"/>
    <x v="7"/>
    <s v="GEXT_WOODWASTE_HORNEBORG"/>
    <x v="0"/>
    <x v="8"/>
    <n v="61.240264194169498"/>
    <n v="22352.6964308719"/>
    <n v="80469.707151138704"/>
  </r>
  <r>
    <x v="0"/>
    <x v="0"/>
    <x v="1"/>
    <x v="3"/>
    <x v="10"/>
    <s v="SE2_EL"/>
    <x v="7"/>
    <s v="GEXT_WOODWASTE_HORNEBORG"/>
    <x v="0"/>
    <x v="9"/>
    <n v="61.240264194169498"/>
    <n v="22352.6964308719"/>
    <n v="80469.707151138704"/>
  </r>
  <r>
    <x v="0"/>
    <x v="0"/>
    <x v="1"/>
    <x v="3"/>
    <x v="10"/>
    <s v="SE2_EL"/>
    <x v="7"/>
    <s v="GEXT_WOODWASTE_HORNEBORG"/>
    <x v="0"/>
    <x v="10"/>
    <n v="47.748494507057003"/>
    <n v="17428.200495075798"/>
    <n v="62741.521782272997"/>
  </r>
  <r>
    <x v="0"/>
    <x v="0"/>
    <x v="1"/>
    <x v="3"/>
    <x v="10"/>
    <s v="SE2_EL"/>
    <x v="7"/>
    <s v="GEXT_WOODWASTE_HORNEBORG"/>
    <x v="0"/>
    <x v="11"/>
    <n v="38.254982861343102"/>
    <n v="13963.068744390201"/>
    <n v="50267.047479804802"/>
  </r>
  <r>
    <x v="0"/>
    <x v="0"/>
    <x v="1"/>
    <x v="3"/>
    <x v="10"/>
    <s v="SE2_EL"/>
    <x v="7"/>
    <s v="GEXT_WOODWASTE_HORNEBORG"/>
    <x v="0"/>
    <x v="12"/>
    <n v="26.972639174254699"/>
    <n v="9845.0132986029694"/>
    <n v="35442.047874970704"/>
  </r>
  <r>
    <x v="0"/>
    <x v="0"/>
    <x v="1"/>
    <x v="3"/>
    <x v="10"/>
    <s v="SE2_EL"/>
    <x v="7"/>
    <s v="GEXT_WOODWASTE_HORNEBORG"/>
    <x v="0"/>
    <x v="13"/>
    <n v="20.0289093187939"/>
    <n v="7310.5519013597604"/>
    <n v="26317.986844895098"/>
  </r>
  <r>
    <x v="0"/>
    <x v="0"/>
    <x v="1"/>
    <x v="3"/>
    <x v="10"/>
    <s v="SE2_EL"/>
    <x v="7"/>
    <s v="GEXT_WOODWASTE_HORNEBORG"/>
    <x v="0"/>
    <x v="14"/>
    <n v="10.826591631592599"/>
    <n v="3951.7059455313001"/>
    <n v="14226.141403912699"/>
  </r>
  <r>
    <x v="0"/>
    <x v="0"/>
    <x v="1"/>
    <x v="3"/>
    <x v="10"/>
    <s v="SE2_OTHER"/>
    <x v="3"/>
    <s v="GNR_BO_ELEC_E-99_SS-1-MW-FEED_Y-2030"/>
    <x v="0"/>
    <x v="0"/>
    <n v="124.124304013759"/>
    <n v="45305.370965022099"/>
    <n v="163099.33547408"/>
  </r>
  <r>
    <x v="0"/>
    <x v="0"/>
    <x v="1"/>
    <x v="3"/>
    <x v="10"/>
    <s v="SE2_OTHER"/>
    <x v="3"/>
    <s v="GNR_BO_ELEC_E-99_SS-1-MW-FEED_Y-2030"/>
    <x v="0"/>
    <x v="1"/>
    <n v="127.12102134898799"/>
    <n v="46399.172792380799"/>
    <n v="167037.022052571"/>
  </r>
  <r>
    <x v="0"/>
    <x v="0"/>
    <x v="1"/>
    <x v="3"/>
    <x v="10"/>
    <s v="SE2_OTHER"/>
    <x v="3"/>
    <s v="GNR_BO_ELEC_E-99_SS-1-MW-FEED_Y-2030"/>
    <x v="0"/>
    <x v="2"/>
    <n v="130.710520652886"/>
    <n v="47709.340038303402"/>
    <n v="171753.62413789201"/>
  </r>
  <r>
    <x v="0"/>
    <x v="0"/>
    <x v="1"/>
    <x v="3"/>
    <x v="10"/>
    <s v="SE2_OTHER"/>
    <x v="3"/>
    <s v="GNR_BO_ELEC_E-99_SS-1-MW-FEED_Y-2030"/>
    <x v="0"/>
    <x v="3"/>
    <n v="130.710520652886"/>
    <n v="47709.340038303402"/>
    <n v="171753.62413789201"/>
  </r>
  <r>
    <x v="0"/>
    <x v="0"/>
    <x v="1"/>
    <x v="3"/>
    <x v="10"/>
    <s v="SE2_OTHER"/>
    <x v="3"/>
    <s v="GNR_BO_ELEC_E-99_SS-1-MW-FEED_Y-2030"/>
    <x v="0"/>
    <x v="4"/>
    <n v="130.710520652886"/>
    <n v="47709.340038303402"/>
    <n v="171753.62413789201"/>
  </r>
  <r>
    <x v="0"/>
    <x v="0"/>
    <x v="1"/>
    <x v="3"/>
    <x v="10"/>
    <s v="SE2_OTHER"/>
    <x v="3"/>
    <s v="GNR_BO_ELEC_E-99_SS-1-MW-FEED_Y-2030"/>
    <x v="0"/>
    <x v="5"/>
    <n v="130.710520652886"/>
    <n v="47709.340038303402"/>
    <n v="171753.62413789201"/>
  </r>
  <r>
    <x v="0"/>
    <x v="0"/>
    <x v="1"/>
    <x v="3"/>
    <x v="10"/>
    <s v="SE2_OTHER"/>
    <x v="3"/>
    <s v="GNR_BO_ELEC_E-99_SS-1-MW-FEED_Y-2030"/>
    <x v="0"/>
    <x v="6"/>
    <n v="130.710520652886"/>
    <n v="47709.340038303402"/>
    <n v="171753.62413789201"/>
  </r>
  <r>
    <x v="0"/>
    <x v="0"/>
    <x v="1"/>
    <x v="3"/>
    <x v="10"/>
    <s v="SE2_OTHER"/>
    <x v="3"/>
    <s v="GNR_BO_ELEC_E-99_SS-1-MW-FEED_Y-2030"/>
    <x v="0"/>
    <x v="7"/>
    <n v="130.710520652886"/>
    <n v="47709.340038303402"/>
    <n v="171753.62413789201"/>
  </r>
  <r>
    <x v="0"/>
    <x v="0"/>
    <x v="1"/>
    <x v="3"/>
    <x v="10"/>
    <s v="SE2_OTHER"/>
    <x v="3"/>
    <s v="GNR_BO_ELEC_E-99_SS-1-MW-FEED_Y-2030"/>
    <x v="0"/>
    <x v="8"/>
    <n v="130.710520652886"/>
    <n v="47709.340038303402"/>
    <n v="171753.62413789201"/>
  </r>
  <r>
    <x v="0"/>
    <x v="0"/>
    <x v="1"/>
    <x v="3"/>
    <x v="10"/>
    <s v="SE2_OTHER"/>
    <x v="3"/>
    <s v="GNR_BO_ELEC_E-99_SS-1-MW-FEED_Y-2030"/>
    <x v="0"/>
    <x v="9"/>
    <n v="130.710520652886"/>
    <n v="47709.340038303402"/>
    <n v="171753.62413789201"/>
  </r>
  <r>
    <x v="0"/>
    <x v="0"/>
    <x v="1"/>
    <x v="3"/>
    <x v="10"/>
    <s v="SE2_OTHER"/>
    <x v="3"/>
    <s v="GNR_BO_ELEC_E-99_SS-1-MW-FEED_Y-2030"/>
    <x v="0"/>
    <x v="10"/>
    <n v="130.710520652886"/>
    <n v="47709.340038303402"/>
    <n v="171753.62413789201"/>
  </r>
  <r>
    <x v="0"/>
    <x v="0"/>
    <x v="1"/>
    <x v="3"/>
    <x v="10"/>
    <s v="SE2_OTHER"/>
    <x v="3"/>
    <s v="GNR_BO_ELEC_E-99_SS-1-MW-FEED_Y-2030"/>
    <x v="0"/>
    <x v="11"/>
    <n v="130.710520652886"/>
    <n v="47709.340038303402"/>
    <n v="171753.62413789201"/>
  </r>
  <r>
    <x v="0"/>
    <x v="0"/>
    <x v="1"/>
    <x v="3"/>
    <x v="10"/>
    <s v="SE2_OTHER"/>
    <x v="3"/>
    <s v="GNR_BO_ELEC_E-99_SS-1-MW-FEED_Y-2030"/>
    <x v="0"/>
    <x v="12"/>
    <n v="130.710520652886"/>
    <n v="47709.340038303402"/>
    <n v="171753.62413789201"/>
  </r>
  <r>
    <x v="0"/>
    <x v="0"/>
    <x v="1"/>
    <x v="3"/>
    <x v="10"/>
    <s v="SE2_OTHER"/>
    <x v="3"/>
    <s v="GNR_BO_ELEC_E-99_SS-1-MW-FEED_Y-2030"/>
    <x v="0"/>
    <x v="13"/>
    <n v="130.710520652886"/>
    <n v="47709.340038303402"/>
    <n v="171753.62413789201"/>
  </r>
  <r>
    <x v="0"/>
    <x v="0"/>
    <x v="1"/>
    <x v="3"/>
    <x v="10"/>
    <s v="SE2_OTHER"/>
    <x v="3"/>
    <s v="GNR_BO_ELEC_E-99_SS-1-MW-FEED_Y-2030"/>
    <x v="0"/>
    <x v="14"/>
    <n v="130.710520652886"/>
    <n v="47709.340038303402"/>
    <n v="171753.62413789201"/>
  </r>
  <r>
    <x v="0"/>
    <x v="0"/>
    <x v="1"/>
    <x v="3"/>
    <x v="10"/>
    <s v="SE2_OTHER"/>
    <x v="3"/>
    <s v="GNR_BO_ELEC_E-99_SS-1-MW-FEED_Y-2030"/>
    <x v="0"/>
    <x v="15"/>
    <n v="130.710520652886"/>
    <n v="47709.340038303402"/>
    <n v="171753.62413789201"/>
  </r>
  <r>
    <x v="0"/>
    <x v="0"/>
    <x v="1"/>
    <x v="3"/>
    <x v="10"/>
    <s v="SE2_OTHER"/>
    <x v="3"/>
    <s v="GNR_BO_ELEC_E-99_SS-1-MW-FEED_Y-2030"/>
    <x v="0"/>
    <x v="16"/>
    <n v="130.710520652886"/>
    <n v="47709.340038303402"/>
    <n v="171753.62413789201"/>
  </r>
  <r>
    <x v="0"/>
    <x v="0"/>
    <x v="1"/>
    <x v="3"/>
    <x v="10"/>
    <s v="SE2_OTHER"/>
    <x v="3"/>
    <s v="GNR_BO_ELEC_E-99_SS-1-MW-FEED_Y-2030"/>
    <x v="0"/>
    <x v="17"/>
    <n v="130.710520652886"/>
    <n v="47709.340038303402"/>
    <n v="171753.62413789201"/>
  </r>
  <r>
    <x v="0"/>
    <x v="0"/>
    <x v="1"/>
    <x v="3"/>
    <x v="10"/>
    <s v="SE2_OTHER"/>
    <x v="3"/>
    <s v="GNR_BO_ELEC_E-99_SS-1-MW-FEED_Y-2030"/>
    <x v="0"/>
    <x v="18"/>
    <n v="130.710520652886"/>
    <n v="47709.340038303402"/>
    <n v="171753.62413789201"/>
  </r>
  <r>
    <x v="0"/>
    <x v="0"/>
    <x v="1"/>
    <x v="3"/>
    <x v="10"/>
    <s v="SE2_OTHER"/>
    <x v="3"/>
    <s v="GNR_BO_ELEC_E-99_SS-1-MW-FEED_Y-2030"/>
    <x v="0"/>
    <x v="19"/>
    <n v="130.710520652886"/>
    <n v="47709.340038303402"/>
    <n v="171753.62413789201"/>
  </r>
  <r>
    <x v="0"/>
    <x v="0"/>
    <x v="1"/>
    <x v="3"/>
    <x v="10"/>
    <s v="SE2_OTHER"/>
    <x v="3"/>
    <s v="GNR_BO_ELEC_E-99_SS-1-MW-FEED_Y-2030"/>
    <x v="0"/>
    <x v="20"/>
    <n v="130.710520652886"/>
    <n v="47709.340038303402"/>
    <n v="171753.62413789201"/>
  </r>
  <r>
    <x v="0"/>
    <x v="0"/>
    <x v="1"/>
    <x v="3"/>
    <x v="10"/>
    <s v="SE2_OTHER"/>
    <x v="3"/>
    <s v="GNR_BO_ELEC_E-99_SS-1-MW-FEED_Y-2030"/>
    <x v="0"/>
    <x v="21"/>
    <n v="130.710520652886"/>
    <n v="47709.340038303402"/>
    <n v="171753.62413789201"/>
  </r>
  <r>
    <x v="0"/>
    <x v="0"/>
    <x v="1"/>
    <x v="3"/>
    <x v="10"/>
    <s v="SE2_OTHER"/>
    <x v="3"/>
    <s v="GNR_BO_ELEC_E-99_SS-1-MW-FEED_Y-2030"/>
    <x v="0"/>
    <x v="22"/>
    <n v="130.710520652886"/>
    <n v="47709.340038303402"/>
    <n v="171753.62413789201"/>
  </r>
  <r>
    <x v="0"/>
    <x v="0"/>
    <x v="1"/>
    <x v="3"/>
    <x v="10"/>
    <s v="SE2_OTHER"/>
    <x v="3"/>
    <s v="GNR_BO_ELEC_E-99_SS-1-MW-FEED_Y-2030"/>
    <x v="0"/>
    <x v="23"/>
    <n v="130.710520652886"/>
    <n v="47709.340038303402"/>
    <n v="171753.62413789201"/>
  </r>
  <r>
    <x v="0"/>
    <x v="0"/>
    <x v="1"/>
    <x v="3"/>
    <x v="10"/>
    <s v="SE2_OTHER"/>
    <x v="2"/>
    <s v="GHOB_WASTEHEAT"/>
    <x v="0"/>
    <x v="0"/>
    <n v="16.031295787545702"/>
    <n v="5851.4229624541904"/>
    <n v="21065.1226648351"/>
  </r>
  <r>
    <x v="0"/>
    <x v="0"/>
    <x v="1"/>
    <x v="3"/>
    <x v="10"/>
    <s v="SE2_OTHER"/>
    <x v="2"/>
    <s v="GHOB_WASTEHEAT"/>
    <x v="0"/>
    <x v="1"/>
    <n v="16.031295787545702"/>
    <n v="5851.4229624541904"/>
    <n v="21065.1226648351"/>
  </r>
  <r>
    <x v="0"/>
    <x v="0"/>
    <x v="1"/>
    <x v="3"/>
    <x v="10"/>
    <s v="SE2_OTHER"/>
    <x v="2"/>
    <s v="GHOB_WASTEHEAT"/>
    <x v="0"/>
    <x v="2"/>
    <n v="16.031295787545702"/>
    <n v="5851.4229624541904"/>
    <n v="21065.1226648351"/>
  </r>
  <r>
    <x v="0"/>
    <x v="0"/>
    <x v="1"/>
    <x v="3"/>
    <x v="10"/>
    <s v="SE2_OTHER"/>
    <x v="2"/>
    <s v="GHOB_WASTEHEAT"/>
    <x v="0"/>
    <x v="3"/>
    <n v="16.031295787545702"/>
    <n v="5851.4229624541904"/>
    <n v="21065.1226648351"/>
  </r>
  <r>
    <x v="0"/>
    <x v="0"/>
    <x v="1"/>
    <x v="3"/>
    <x v="10"/>
    <s v="SE2_OTHER"/>
    <x v="2"/>
    <s v="GHOB_WASTEHEAT"/>
    <x v="0"/>
    <x v="4"/>
    <n v="16.031295787545702"/>
    <n v="5851.4229624541904"/>
    <n v="21065.1226648351"/>
  </r>
  <r>
    <x v="0"/>
    <x v="0"/>
    <x v="1"/>
    <x v="3"/>
    <x v="10"/>
    <s v="SE2_OTHER"/>
    <x v="2"/>
    <s v="GHOB_WASTEHEAT"/>
    <x v="0"/>
    <x v="5"/>
    <n v="16.031295787545702"/>
    <n v="5851.4229624541904"/>
    <n v="21065.1226648351"/>
  </r>
  <r>
    <x v="0"/>
    <x v="0"/>
    <x v="1"/>
    <x v="3"/>
    <x v="10"/>
    <s v="SE2_OTHER"/>
    <x v="2"/>
    <s v="GHOB_WASTEHEAT"/>
    <x v="0"/>
    <x v="6"/>
    <n v="16.031295787545702"/>
    <n v="5851.4229624541904"/>
    <n v="21065.1226648351"/>
  </r>
  <r>
    <x v="0"/>
    <x v="0"/>
    <x v="1"/>
    <x v="3"/>
    <x v="10"/>
    <s v="SE2_OTHER"/>
    <x v="2"/>
    <s v="GHOB_WASTEHEAT"/>
    <x v="0"/>
    <x v="7"/>
    <n v="16.031295787545702"/>
    <n v="5851.4229624541904"/>
    <n v="21065.1226648351"/>
  </r>
  <r>
    <x v="0"/>
    <x v="0"/>
    <x v="1"/>
    <x v="3"/>
    <x v="10"/>
    <s v="SE2_OTHER"/>
    <x v="2"/>
    <s v="GHOB_WASTEHEAT"/>
    <x v="0"/>
    <x v="8"/>
    <n v="16.031295787545702"/>
    <n v="5851.4229624541904"/>
    <n v="21065.1226648351"/>
  </r>
  <r>
    <x v="0"/>
    <x v="0"/>
    <x v="1"/>
    <x v="3"/>
    <x v="10"/>
    <s v="SE2_OTHER"/>
    <x v="2"/>
    <s v="GHOB_WASTEHEAT"/>
    <x v="0"/>
    <x v="9"/>
    <n v="16.031295787545702"/>
    <n v="5851.4229624541904"/>
    <n v="21065.1226648351"/>
  </r>
  <r>
    <x v="0"/>
    <x v="0"/>
    <x v="1"/>
    <x v="3"/>
    <x v="10"/>
    <s v="SE2_OTHER"/>
    <x v="2"/>
    <s v="GHOB_WASTEHEAT"/>
    <x v="0"/>
    <x v="10"/>
    <n v="16.031295787545702"/>
    <n v="5851.4229624541904"/>
    <n v="21065.1226648351"/>
  </r>
  <r>
    <x v="0"/>
    <x v="0"/>
    <x v="1"/>
    <x v="3"/>
    <x v="10"/>
    <s v="SE2_OTHER"/>
    <x v="2"/>
    <s v="GHOB_WASTEHEAT"/>
    <x v="0"/>
    <x v="11"/>
    <n v="16.031295787545702"/>
    <n v="5851.4229624541904"/>
    <n v="21065.1226648351"/>
  </r>
  <r>
    <x v="0"/>
    <x v="0"/>
    <x v="1"/>
    <x v="3"/>
    <x v="10"/>
    <s v="SE2_OTHER"/>
    <x v="2"/>
    <s v="GHOB_WASTEHEAT"/>
    <x v="0"/>
    <x v="12"/>
    <n v="16.031295787545702"/>
    <n v="5851.4229624541904"/>
    <n v="21065.1226648351"/>
  </r>
  <r>
    <x v="0"/>
    <x v="0"/>
    <x v="1"/>
    <x v="3"/>
    <x v="10"/>
    <s v="SE2_OTHER"/>
    <x v="2"/>
    <s v="GHOB_WASTEHEAT"/>
    <x v="0"/>
    <x v="13"/>
    <n v="16.031295787545702"/>
    <n v="5851.4229624541904"/>
    <n v="21065.1226648351"/>
  </r>
  <r>
    <x v="0"/>
    <x v="0"/>
    <x v="1"/>
    <x v="3"/>
    <x v="10"/>
    <s v="SE2_OTHER"/>
    <x v="2"/>
    <s v="GHOB_WASTEHEAT"/>
    <x v="0"/>
    <x v="14"/>
    <n v="16.031295787545702"/>
    <n v="5851.4229624541904"/>
    <n v="21065.1226648351"/>
  </r>
  <r>
    <x v="0"/>
    <x v="0"/>
    <x v="1"/>
    <x v="3"/>
    <x v="10"/>
    <s v="SE2_OTHER"/>
    <x v="2"/>
    <s v="GHOB_WASTEHEAT"/>
    <x v="0"/>
    <x v="15"/>
    <n v="16.031295787545702"/>
    <n v="5851.4229624541904"/>
    <n v="21065.1226648351"/>
  </r>
  <r>
    <x v="0"/>
    <x v="0"/>
    <x v="1"/>
    <x v="3"/>
    <x v="10"/>
    <s v="SE2_OTHER"/>
    <x v="2"/>
    <s v="GHOB_WASTEHEAT"/>
    <x v="0"/>
    <x v="16"/>
    <n v="16.031295787545702"/>
    <n v="5851.4229624541904"/>
    <n v="21065.1226648351"/>
  </r>
  <r>
    <x v="0"/>
    <x v="0"/>
    <x v="1"/>
    <x v="3"/>
    <x v="10"/>
    <s v="SE2_OTHER"/>
    <x v="2"/>
    <s v="GHOB_WASTEHEAT"/>
    <x v="0"/>
    <x v="17"/>
    <n v="16.031295787545702"/>
    <n v="5851.4229624541904"/>
    <n v="21065.1226648351"/>
  </r>
  <r>
    <x v="0"/>
    <x v="0"/>
    <x v="1"/>
    <x v="3"/>
    <x v="10"/>
    <s v="SE2_OTHER"/>
    <x v="2"/>
    <s v="GHOB_WASTEHEAT"/>
    <x v="0"/>
    <x v="18"/>
    <n v="16.031295787545702"/>
    <n v="5851.4229624541904"/>
    <n v="21065.1226648351"/>
  </r>
  <r>
    <x v="0"/>
    <x v="0"/>
    <x v="1"/>
    <x v="3"/>
    <x v="10"/>
    <s v="SE2_OTHER"/>
    <x v="2"/>
    <s v="GHOB_WASTEHEAT"/>
    <x v="0"/>
    <x v="19"/>
    <n v="16.031295787545702"/>
    <n v="5851.4229624541904"/>
    <n v="21065.1226648351"/>
  </r>
  <r>
    <x v="0"/>
    <x v="0"/>
    <x v="1"/>
    <x v="3"/>
    <x v="10"/>
    <s v="SE2_OTHER"/>
    <x v="2"/>
    <s v="GHOB_WASTEHEAT"/>
    <x v="0"/>
    <x v="20"/>
    <n v="16.031295787545702"/>
    <n v="5851.4229624541904"/>
    <n v="21065.1226648351"/>
  </r>
  <r>
    <x v="0"/>
    <x v="0"/>
    <x v="1"/>
    <x v="3"/>
    <x v="10"/>
    <s v="SE2_OTHER"/>
    <x v="2"/>
    <s v="GHOB_WASTEHEAT"/>
    <x v="0"/>
    <x v="21"/>
    <n v="16.031295787545702"/>
    <n v="5851.4229624541904"/>
    <n v="21065.1226648351"/>
  </r>
  <r>
    <x v="0"/>
    <x v="0"/>
    <x v="1"/>
    <x v="3"/>
    <x v="10"/>
    <s v="SE2_OTHER"/>
    <x v="2"/>
    <s v="GHOB_WASTEHEAT"/>
    <x v="0"/>
    <x v="22"/>
    <n v="16.031295787545702"/>
    <n v="5851.4229624541904"/>
    <n v="21065.1226648351"/>
  </r>
  <r>
    <x v="0"/>
    <x v="0"/>
    <x v="1"/>
    <x v="3"/>
    <x v="10"/>
    <s v="SE2_OTHER"/>
    <x v="2"/>
    <s v="GHOB_WASTEHEAT"/>
    <x v="0"/>
    <x v="23"/>
    <n v="16.031295787545702"/>
    <n v="5851.4229624541904"/>
    <n v="21065.1226648351"/>
  </r>
  <r>
    <x v="0"/>
    <x v="0"/>
    <x v="1"/>
    <x v="3"/>
    <x v="10"/>
    <s v="SE2_OTHER"/>
    <x v="7"/>
    <s v="GHOB_WOODWASTE"/>
    <x v="0"/>
    <x v="3"/>
    <n v="6.1053330028165602"/>
    <n v="2228.4465460280499"/>
    <n v="8022.4075657009698"/>
  </r>
  <r>
    <x v="0"/>
    <x v="0"/>
    <x v="1"/>
    <x v="3"/>
    <x v="10"/>
    <s v="SE2_OTHER"/>
    <x v="7"/>
    <s v="GHOB_WOODWASTE"/>
    <x v="0"/>
    <x v="4"/>
    <n v="14.1875692867533"/>
    <n v="5178.4627896649399"/>
    <n v="18642.4660427938"/>
  </r>
  <r>
    <x v="0"/>
    <x v="0"/>
    <x v="1"/>
    <x v="3"/>
    <x v="10"/>
    <s v="SE2_OTHER"/>
    <x v="7"/>
    <s v="GHOB_WOODWASTE"/>
    <x v="0"/>
    <x v="5"/>
    <n v="29.560269798534801"/>
    <n v="10789.4984764652"/>
    <n v="38842.194515274801"/>
  </r>
  <r>
    <x v="0"/>
    <x v="0"/>
    <x v="1"/>
    <x v="3"/>
    <x v="10"/>
    <s v="SE2_OTHER"/>
    <x v="7"/>
    <s v="GHOB_WOODWASTE"/>
    <x v="0"/>
    <x v="6"/>
    <n v="63.714610404794797"/>
    <n v="23255.832797750099"/>
    <n v="83720.998071900307"/>
  </r>
  <r>
    <x v="0"/>
    <x v="0"/>
    <x v="1"/>
    <x v="3"/>
    <x v="10"/>
    <s v="SE2_OTHER"/>
    <x v="7"/>
    <s v="GHOB_WOODWASTE"/>
    <x v="0"/>
    <x v="7"/>
    <n v="79.8412219633977"/>
    <n v="29142.046016640201"/>
    <n v="104911.365659905"/>
  </r>
  <r>
    <x v="0"/>
    <x v="0"/>
    <x v="1"/>
    <x v="3"/>
    <x v="10"/>
    <s v="SE2_OTHER"/>
    <x v="7"/>
    <s v="GHOB_WOODWASTE"/>
    <x v="0"/>
    <x v="8"/>
    <n v="80.263416266309505"/>
    <n v="29296.146937203001"/>
    <n v="105466.128973931"/>
  </r>
  <r>
    <x v="0"/>
    <x v="0"/>
    <x v="1"/>
    <x v="3"/>
    <x v="10"/>
    <s v="SE2_OTHER"/>
    <x v="7"/>
    <s v="GHOB_WOODWASTE"/>
    <x v="0"/>
    <x v="9"/>
    <n v="75.526201777368797"/>
    <n v="27567.0636487396"/>
    <n v="99241.429135462502"/>
  </r>
  <r>
    <x v="0"/>
    <x v="0"/>
    <x v="1"/>
    <x v="3"/>
    <x v="10"/>
    <s v="SE2_OTHER"/>
    <x v="7"/>
    <s v="GHOB_WOODWASTE"/>
    <x v="0"/>
    <x v="10"/>
    <n v="70.707122438961605"/>
    <n v="25808.099690220999"/>
    <n v="92909.158884795499"/>
  </r>
  <r>
    <x v="0"/>
    <x v="0"/>
    <x v="1"/>
    <x v="3"/>
    <x v="10"/>
    <s v="SE2_OTHER"/>
    <x v="7"/>
    <s v="GHOB_WOODWASTE"/>
    <x v="0"/>
    <x v="11"/>
    <n v="66.673175853550305"/>
    <n v="24335.709186545799"/>
    <n v="87608.553071565097"/>
  </r>
  <r>
    <x v="0"/>
    <x v="0"/>
    <x v="1"/>
    <x v="3"/>
    <x v="10"/>
    <s v="SE2_OTHER"/>
    <x v="7"/>
    <s v="GHOB_WOODWASTE"/>
    <x v="0"/>
    <x v="12"/>
    <n v="58.348260086696101"/>
    <n v="21297.114931644101"/>
    <n v="76669.613753918704"/>
  </r>
  <r>
    <x v="0"/>
    <x v="0"/>
    <x v="1"/>
    <x v="3"/>
    <x v="10"/>
    <s v="SE2_OTHER"/>
    <x v="7"/>
    <s v="GHOB_WOODWASTE"/>
    <x v="0"/>
    <x v="13"/>
    <n v="54.2370218263829"/>
    <n v="19796.5129666297"/>
    <n v="71267.446679867106"/>
  </r>
  <r>
    <x v="0"/>
    <x v="0"/>
    <x v="1"/>
    <x v="3"/>
    <x v="10"/>
    <s v="SE2_OTHER"/>
    <x v="7"/>
    <s v="GHOB_WOODWASTE"/>
    <x v="0"/>
    <x v="14"/>
    <n v="53.676808103708801"/>
    <n v="19592.034957853699"/>
    <n v="70531.325848273395"/>
  </r>
  <r>
    <x v="0"/>
    <x v="0"/>
    <x v="1"/>
    <x v="3"/>
    <x v="10"/>
    <s v="SE2_OTHER"/>
    <x v="7"/>
    <s v="GHOB_WOODWASTE"/>
    <x v="0"/>
    <x v="15"/>
    <n v="52.929083521351401"/>
    <n v="19319.1154852933"/>
    <n v="69548.815747055705"/>
  </r>
  <r>
    <x v="0"/>
    <x v="0"/>
    <x v="1"/>
    <x v="3"/>
    <x v="10"/>
    <s v="SE2_OTHER"/>
    <x v="7"/>
    <s v="GHOB_WOODWASTE"/>
    <x v="0"/>
    <x v="16"/>
    <n v="50.698005084377002"/>
    <n v="18504.7718557976"/>
    <n v="66617.178680871395"/>
  </r>
  <r>
    <x v="0"/>
    <x v="0"/>
    <x v="1"/>
    <x v="3"/>
    <x v="10"/>
    <s v="SE2_OTHER"/>
    <x v="7"/>
    <s v="GHOB_WOODWASTE"/>
    <x v="0"/>
    <x v="17"/>
    <n v="48.273795042899799"/>
    <n v="17619.935190658402"/>
    <n v="63431.766686370298"/>
  </r>
  <r>
    <x v="0"/>
    <x v="0"/>
    <x v="1"/>
    <x v="3"/>
    <x v="10"/>
    <s v="SE2_OTHER"/>
    <x v="7"/>
    <s v="GHOB_WOODWASTE"/>
    <x v="0"/>
    <x v="18"/>
    <n v="45.506774475086097"/>
    <n v="16609.972683406399"/>
    <n v="59795.901660263102"/>
  </r>
  <r>
    <x v="0"/>
    <x v="0"/>
    <x v="1"/>
    <x v="3"/>
    <x v="10"/>
    <s v="SE2_OTHER"/>
    <x v="7"/>
    <s v="GHOB_WOODWASTE"/>
    <x v="0"/>
    <x v="19"/>
    <n v="45.363759427363398"/>
    <n v="16557.772190987602"/>
    <n v="59607.979887555499"/>
  </r>
  <r>
    <x v="0"/>
    <x v="0"/>
    <x v="1"/>
    <x v="3"/>
    <x v="10"/>
    <s v="SE2_OTHER"/>
    <x v="7"/>
    <s v="GHOB_WOODWASTE"/>
    <x v="0"/>
    <x v="20"/>
    <n v="40.669243007612998"/>
    <n v="14844.273697778701"/>
    <n v="53439.385312003498"/>
  </r>
  <r>
    <x v="0"/>
    <x v="0"/>
    <x v="1"/>
    <x v="3"/>
    <x v="10"/>
    <s v="SE2_OTHER"/>
    <x v="7"/>
    <s v="GHOB_WOODWASTE"/>
    <x v="0"/>
    <x v="21"/>
    <n v="35.099274422849497"/>
    <n v="12811.2351643401"/>
    <n v="46120.446591624197"/>
  </r>
  <r>
    <x v="0"/>
    <x v="0"/>
    <x v="1"/>
    <x v="3"/>
    <x v="10"/>
    <s v="SE2_OTHER"/>
    <x v="7"/>
    <s v="GHOB_WOODWASTE"/>
    <x v="0"/>
    <x v="22"/>
    <n v="26.8840473017124"/>
    <n v="9812.6772651250303"/>
    <n v="35325.638154450098"/>
  </r>
  <r>
    <x v="0"/>
    <x v="0"/>
    <x v="1"/>
    <x v="3"/>
    <x v="10"/>
    <s v="SE2_OTHER"/>
    <x v="7"/>
    <s v="GHOB_WOODWASTE"/>
    <x v="0"/>
    <x v="23"/>
    <n v="13.9728817047941"/>
    <n v="5100.1018222498396"/>
    <n v="18360.366560099399"/>
  </r>
  <r>
    <x v="0"/>
    <x v="0"/>
    <x v="1"/>
    <x v="3"/>
    <x v="11"/>
    <s v="SE3_EL"/>
    <x v="3"/>
    <s v="GETOH_ELECTRICBOILER"/>
    <x v="0"/>
    <x v="0"/>
    <n v="303.62"/>
    <n v="110821.3"/>
    <n v="398956.68"/>
  </r>
  <r>
    <x v="0"/>
    <x v="0"/>
    <x v="1"/>
    <x v="3"/>
    <x v="11"/>
    <s v="SE3_EL"/>
    <x v="3"/>
    <s v="GETOH_ELECTRICBOILER"/>
    <x v="0"/>
    <x v="1"/>
    <n v="303.62"/>
    <n v="110821.3"/>
    <n v="398956.68"/>
  </r>
  <r>
    <x v="0"/>
    <x v="0"/>
    <x v="1"/>
    <x v="3"/>
    <x v="11"/>
    <s v="SE3_EL"/>
    <x v="3"/>
    <s v="GETOH_ELECTRICBOILER"/>
    <x v="0"/>
    <x v="2"/>
    <n v="303.62"/>
    <n v="110821.3"/>
    <n v="398956.68"/>
  </r>
  <r>
    <x v="0"/>
    <x v="0"/>
    <x v="1"/>
    <x v="3"/>
    <x v="11"/>
    <s v="SE3_EL"/>
    <x v="3"/>
    <s v="GETOH_ELECTRICBOILER"/>
    <x v="0"/>
    <x v="3"/>
    <n v="303.62"/>
    <n v="110821.3"/>
    <n v="398956.68"/>
  </r>
  <r>
    <x v="0"/>
    <x v="0"/>
    <x v="1"/>
    <x v="3"/>
    <x v="11"/>
    <s v="SE3_EL"/>
    <x v="3"/>
    <s v="GETOH_ELECTRICBOILER"/>
    <x v="0"/>
    <x v="4"/>
    <n v="303.62"/>
    <n v="110821.3"/>
    <n v="398956.68"/>
  </r>
  <r>
    <x v="0"/>
    <x v="0"/>
    <x v="1"/>
    <x v="3"/>
    <x v="11"/>
    <s v="SE3_EL"/>
    <x v="3"/>
    <s v="GETOH_ELECTRICBOILER"/>
    <x v="0"/>
    <x v="5"/>
    <n v="303.62"/>
    <n v="110821.3"/>
    <n v="398956.68"/>
  </r>
  <r>
    <x v="0"/>
    <x v="0"/>
    <x v="1"/>
    <x v="3"/>
    <x v="11"/>
    <s v="SE3_EL"/>
    <x v="3"/>
    <s v="GETOH_ELECTRICBOILER"/>
    <x v="0"/>
    <x v="6"/>
    <n v="303.62"/>
    <n v="110821.3"/>
    <n v="398956.68"/>
  </r>
  <r>
    <x v="0"/>
    <x v="0"/>
    <x v="1"/>
    <x v="3"/>
    <x v="11"/>
    <s v="SE3_EL"/>
    <x v="3"/>
    <s v="GETOH_ELECTRICBOILER"/>
    <x v="0"/>
    <x v="7"/>
    <n v="303.62"/>
    <n v="110821.3"/>
    <n v="398956.68"/>
  </r>
  <r>
    <x v="0"/>
    <x v="0"/>
    <x v="1"/>
    <x v="3"/>
    <x v="11"/>
    <s v="SE3_EL"/>
    <x v="3"/>
    <s v="GETOH_ELECTRICBOILER"/>
    <x v="0"/>
    <x v="8"/>
    <n v="303.62"/>
    <n v="110821.3"/>
    <n v="398956.68"/>
  </r>
  <r>
    <x v="0"/>
    <x v="0"/>
    <x v="1"/>
    <x v="3"/>
    <x v="11"/>
    <s v="SE3_EL"/>
    <x v="3"/>
    <s v="GETOH_ELECTRICBOILER"/>
    <x v="0"/>
    <x v="9"/>
    <n v="303.62"/>
    <n v="110821.3"/>
    <n v="398956.68"/>
  </r>
  <r>
    <x v="0"/>
    <x v="0"/>
    <x v="1"/>
    <x v="3"/>
    <x v="11"/>
    <s v="SE3_EL"/>
    <x v="3"/>
    <s v="GETOH_ELECTRICBOILER"/>
    <x v="0"/>
    <x v="10"/>
    <n v="303.62"/>
    <n v="110821.3"/>
    <n v="398956.68"/>
  </r>
  <r>
    <x v="0"/>
    <x v="0"/>
    <x v="1"/>
    <x v="3"/>
    <x v="11"/>
    <s v="SE3_EL"/>
    <x v="3"/>
    <s v="GETOH_ELECTRICBOILER"/>
    <x v="0"/>
    <x v="11"/>
    <n v="303.62"/>
    <n v="110821.3"/>
    <n v="398956.68"/>
  </r>
  <r>
    <x v="0"/>
    <x v="0"/>
    <x v="1"/>
    <x v="3"/>
    <x v="11"/>
    <s v="SE3_EL"/>
    <x v="3"/>
    <s v="GETOH_ELECTRICBOILER"/>
    <x v="0"/>
    <x v="12"/>
    <n v="303.62"/>
    <n v="110821.3"/>
    <n v="398956.68"/>
  </r>
  <r>
    <x v="0"/>
    <x v="0"/>
    <x v="1"/>
    <x v="3"/>
    <x v="11"/>
    <s v="SE3_EL"/>
    <x v="3"/>
    <s v="GETOH_ELECTRICBOILER"/>
    <x v="0"/>
    <x v="13"/>
    <n v="303.62"/>
    <n v="110821.3"/>
    <n v="398956.68"/>
  </r>
  <r>
    <x v="0"/>
    <x v="0"/>
    <x v="1"/>
    <x v="3"/>
    <x v="11"/>
    <s v="SE3_EL"/>
    <x v="3"/>
    <s v="GETOH_ELECTRICBOILER"/>
    <x v="0"/>
    <x v="14"/>
    <n v="303.62"/>
    <n v="110821.3"/>
    <n v="398956.68"/>
  </r>
  <r>
    <x v="0"/>
    <x v="0"/>
    <x v="1"/>
    <x v="3"/>
    <x v="11"/>
    <s v="SE3_EL"/>
    <x v="3"/>
    <s v="GETOH_ELECTRICBOILER"/>
    <x v="0"/>
    <x v="15"/>
    <n v="303.62"/>
    <n v="110821.3"/>
    <n v="398956.68"/>
  </r>
  <r>
    <x v="0"/>
    <x v="0"/>
    <x v="1"/>
    <x v="3"/>
    <x v="11"/>
    <s v="SE3_EL"/>
    <x v="3"/>
    <s v="GETOH_ELECTRICBOILER"/>
    <x v="0"/>
    <x v="16"/>
    <n v="303.62"/>
    <n v="110821.3"/>
    <n v="398956.68"/>
  </r>
  <r>
    <x v="0"/>
    <x v="0"/>
    <x v="1"/>
    <x v="3"/>
    <x v="11"/>
    <s v="SE3_EL"/>
    <x v="3"/>
    <s v="GETOH_ELECTRICBOILER"/>
    <x v="0"/>
    <x v="17"/>
    <n v="303.62"/>
    <n v="110821.3"/>
    <n v="398956.68"/>
  </r>
  <r>
    <x v="0"/>
    <x v="0"/>
    <x v="1"/>
    <x v="3"/>
    <x v="11"/>
    <s v="SE3_EL"/>
    <x v="3"/>
    <s v="GETOH_ELECTRICBOILER"/>
    <x v="0"/>
    <x v="18"/>
    <n v="303.62"/>
    <n v="110821.3"/>
    <n v="398956.68"/>
  </r>
  <r>
    <x v="0"/>
    <x v="0"/>
    <x v="1"/>
    <x v="3"/>
    <x v="11"/>
    <s v="SE3_EL"/>
    <x v="3"/>
    <s v="GETOH_ELECTRICBOILER"/>
    <x v="0"/>
    <x v="19"/>
    <n v="303.62"/>
    <n v="110821.3"/>
    <n v="398956.68"/>
  </r>
  <r>
    <x v="0"/>
    <x v="0"/>
    <x v="1"/>
    <x v="3"/>
    <x v="11"/>
    <s v="SE3_EL"/>
    <x v="3"/>
    <s v="GETOH_ELECTRICBOILER"/>
    <x v="0"/>
    <x v="20"/>
    <n v="303.62"/>
    <n v="110821.3"/>
    <n v="398956.68"/>
  </r>
  <r>
    <x v="0"/>
    <x v="0"/>
    <x v="1"/>
    <x v="3"/>
    <x v="11"/>
    <s v="SE3_EL"/>
    <x v="3"/>
    <s v="GETOH_ELECTRICBOILER"/>
    <x v="0"/>
    <x v="21"/>
    <n v="303.62"/>
    <n v="110821.3"/>
    <n v="398956.68"/>
  </r>
  <r>
    <x v="0"/>
    <x v="0"/>
    <x v="1"/>
    <x v="3"/>
    <x v="11"/>
    <s v="SE3_EL"/>
    <x v="3"/>
    <s v="GETOH_ELECTRICBOILER"/>
    <x v="0"/>
    <x v="22"/>
    <n v="303.62"/>
    <n v="110821.3"/>
    <n v="398956.68"/>
  </r>
  <r>
    <x v="0"/>
    <x v="0"/>
    <x v="1"/>
    <x v="3"/>
    <x v="11"/>
    <s v="SE3_EL"/>
    <x v="3"/>
    <s v="GETOH_ELECTRICBOILER"/>
    <x v="0"/>
    <x v="23"/>
    <n v="303.62"/>
    <n v="110821.3"/>
    <n v="398956.68"/>
  </r>
  <r>
    <x v="0"/>
    <x v="0"/>
    <x v="1"/>
    <x v="3"/>
    <x v="11"/>
    <s v="SE3_EL"/>
    <x v="3"/>
    <s v="GETOH_HEATPUMP33"/>
    <x v="0"/>
    <x v="0"/>
    <n v="54.24"/>
    <n v="19797.599999999999"/>
    <n v="71271.360000000001"/>
  </r>
  <r>
    <x v="0"/>
    <x v="0"/>
    <x v="1"/>
    <x v="3"/>
    <x v="11"/>
    <s v="SE3_EL"/>
    <x v="3"/>
    <s v="GETOH_HEATPUMP33"/>
    <x v="0"/>
    <x v="1"/>
    <n v="54.24"/>
    <n v="19797.599999999999"/>
    <n v="71271.360000000001"/>
  </r>
  <r>
    <x v="0"/>
    <x v="0"/>
    <x v="1"/>
    <x v="3"/>
    <x v="11"/>
    <s v="SE3_EL"/>
    <x v="3"/>
    <s v="GETOH_HEATPUMP33"/>
    <x v="0"/>
    <x v="2"/>
    <n v="54.24"/>
    <n v="19797.599999999999"/>
    <n v="71271.360000000001"/>
  </r>
  <r>
    <x v="0"/>
    <x v="0"/>
    <x v="1"/>
    <x v="3"/>
    <x v="11"/>
    <s v="SE3_EL"/>
    <x v="3"/>
    <s v="GETOH_HEATPUMP33"/>
    <x v="0"/>
    <x v="3"/>
    <n v="54.24"/>
    <n v="19797.599999999999"/>
    <n v="71271.360000000001"/>
  </r>
  <r>
    <x v="0"/>
    <x v="0"/>
    <x v="1"/>
    <x v="3"/>
    <x v="11"/>
    <s v="SE3_EL"/>
    <x v="3"/>
    <s v="GETOH_HEATPUMP33"/>
    <x v="0"/>
    <x v="4"/>
    <n v="54.24"/>
    <n v="19797.599999999999"/>
    <n v="71271.360000000001"/>
  </r>
  <r>
    <x v="0"/>
    <x v="0"/>
    <x v="1"/>
    <x v="3"/>
    <x v="11"/>
    <s v="SE3_EL"/>
    <x v="3"/>
    <s v="GETOH_HEATPUMP33"/>
    <x v="0"/>
    <x v="5"/>
    <n v="54.24"/>
    <n v="19797.599999999999"/>
    <n v="71271.360000000001"/>
  </r>
  <r>
    <x v="0"/>
    <x v="0"/>
    <x v="1"/>
    <x v="3"/>
    <x v="11"/>
    <s v="SE3_EL"/>
    <x v="3"/>
    <s v="GETOH_HEATPUMP33"/>
    <x v="0"/>
    <x v="6"/>
    <n v="54.24"/>
    <n v="19797.599999999999"/>
    <n v="71271.360000000001"/>
  </r>
  <r>
    <x v="0"/>
    <x v="0"/>
    <x v="1"/>
    <x v="3"/>
    <x v="11"/>
    <s v="SE3_EL"/>
    <x v="3"/>
    <s v="GETOH_HEATPUMP33"/>
    <x v="0"/>
    <x v="7"/>
    <n v="54.24"/>
    <n v="19797.599999999999"/>
    <n v="71271.360000000001"/>
  </r>
  <r>
    <x v="0"/>
    <x v="0"/>
    <x v="1"/>
    <x v="3"/>
    <x v="11"/>
    <s v="SE3_EL"/>
    <x v="3"/>
    <s v="GETOH_HEATPUMP33"/>
    <x v="0"/>
    <x v="8"/>
    <n v="54.24"/>
    <n v="19797.599999999999"/>
    <n v="71271.360000000001"/>
  </r>
  <r>
    <x v="0"/>
    <x v="0"/>
    <x v="1"/>
    <x v="3"/>
    <x v="11"/>
    <s v="SE3_EL"/>
    <x v="3"/>
    <s v="GETOH_HEATPUMP33"/>
    <x v="0"/>
    <x v="9"/>
    <n v="54.24"/>
    <n v="19797.599999999999"/>
    <n v="71271.360000000001"/>
  </r>
  <r>
    <x v="0"/>
    <x v="0"/>
    <x v="1"/>
    <x v="3"/>
    <x v="11"/>
    <s v="SE3_EL"/>
    <x v="3"/>
    <s v="GETOH_HEATPUMP33"/>
    <x v="0"/>
    <x v="10"/>
    <n v="54.24"/>
    <n v="19797.599999999999"/>
    <n v="71271.360000000001"/>
  </r>
  <r>
    <x v="0"/>
    <x v="0"/>
    <x v="1"/>
    <x v="3"/>
    <x v="11"/>
    <s v="SE3_EL"/>
    <x v="3"/>
    <s v="GETOH_HEATPUMP33"/>
    <x v="0"/>
    <x v="11"/>
    <n v="54.24"/>
    <n v="19797.599999999999"/>
    <n v="71271.360000000001"/>
  </r>
  <r>
    <x v="0"/>
    <x v="0"/>
    <x v="1"/>
    <x v="3"/>
    <x v="11"/>
    <s v="SE3_EL"/>
    <x v="3"/>
    <s v="GETOH_HEATPUMP33"/>
    <x v="0"/>
    <x v="12"/>
    <n v="54.24"/>
    <n v="19797.599999999999"/>
    <n v="71271.360000000001"/>
  </r>
  <r>
    <x v="0"/>
    <x v="0"/>
    <x v="1"/>
    <x v="3"/>
    <x v="11"/>
    <s v="SE3_EL"/>
    <x v="3"/>
    <s v="GETOH_HEATPUMP33"/>
    <x v="0"/>
    <x v="13"/>
    <n v="54.24"/>
    <n v="19797.599999999999"/>
    <n v="71271.360000000001"/>
  </r>
  <r>
    <x v="0"/>
    <x v="0"/>
    <x v="1"/>
    <x v="3"/>
    <x v="11"/>
    <s v="SE3_EL"/>
    <x v="3"/>
    <s v="GETOH_HEATPUMP33"/>
    <x v="0"/>
    <x v="14"/>
    <n v="54.24"/>
    <n v="19797.599999999999"/>
    <n v="71271.360000000001"/>
  </r>
  <r>
    <x v="0"/>
    <x v="0"/>
    <x v="1"/>
    <x v="3"/>
    <x v="11"/>
    <s v="SE3_EL"/>
    <x v="3"/>
    <s v="GETOH_HEATPUMP33"/>
    <x v="0"/>
    <x v="15"/>
    <n v="54.24"/>
    <n v="19797.599999999999"/>
    <n v="71271.360000000001"/>
  </r>
  <r>
    <x v="0"/>
    <x v="0"/>
    <x v="1"/>
    <x v="3"/>
    <x v="11"/>
    <s v="SE3_EL"/>
    <x v="3"/>
    <s v="GETOH_HEATPUMP33"/>
    <x v="0"/>
    <x v="16"/>
    <n v="54.24"/>
    <n v="19797.599999999999"/>
    <n v="71271.360000000001"/>
  </r>
  <r>
    <x v="0"/>
    <x v="0"/>
    <x v="1"/>
    <x v="3"/>
    <x v="11"/>
    <s v="SE3_EL"/>
    <x v="3"/>
    <s v="GETOH_HEATPUMP33"/>
    <x v="0"/>
    <x v="17"/>
    <n v="54.24"/>
    <n v="19797.599999999999"/>
    <n v="71271.360000000001"/>
  </r>
  <r>
    <x v="0"/>
    <x v="0"/>
    <x v="1"/>
    <x v="3"/>
    <x v="11"/>
    <s v="SE3_EL"/>
    <x v="3"/>
    <s v="GETOH_HEATPUMP33"/>
    <x v="0"/>
    <x v="18"/>
    <n v="54.24"/>
    <n v="19797.599999999999"/>
    <n v="71271.360000000001"/>
  </r>
  <r>
    <x v="0"/>
    <x v="0"/>
    <x v="1"/>
    <x v="3"/>
    <x v="11"/>
    <s v="SE3_EL"/>
    <x v="3"/>
    <s v="GETOH_HEATPUMP33"/>
    <x v="0"/>
    <x v="19"/>
    <n v="54.24"/>
    <n v="19797.599999999999"/>
    <n v="71271.360000000001"/>
  </r>
  <r>
    <x v="0"/>
    <x v="0"/>
    <x v="1"/>
    <x v="3"/>
    <x v="11"/>
    <s v="SE3_EL"/>
    <x v="3"/>
    <s v="GETOH_HEATPUMP33"/>
    <x v="0"/>
    <x v="20"/>
    <n v="54.24"/>
    <n v="19797.599999999999"/>
    <n v="71271.360000000001"/>
  </r>
  <r>
    <x v="0"/>
    <x v="0"/>
    <x v="1"/>
    <x v="3"/>
    <x v="11"/>
    <s v="SE3_EL"/>
    <x v="3"/>
    <s v="GETOH_HEATPUMP33"/>
    <x v="0"/>
    <x v="21"/>
    <n v="54.24"/>
    <n v="19797.599999999999"/>
    <n v="71271.360000000001"/>
  </r>
  <r>
    <x v="0"/>
    <x v="0"/>
    <x v="1"/>
    <x v="3"/>
    <x v="11"/>
    <s v="SE3_EL"/>
    <x v="3"/>
    <s v="GETOH_HEATPUMP33"/>
    <x v="0"/>
    <x v="22"/>
    <n v="54.24"/>
    <n v="19797.599999999999"/>
    <n v="71271.360000000001"/>
  </r>
  <r>
    <x v="0"/>
    <x v="0"/>
    <x v="1"/>
    <x v="3"/>
    <x v="11"/>
    <s v="SE3_EL"/>
    <x v="3"/>
    <s v="GETOH_HEATPUMP33"/>
    <x v="0"/>
    <x v="23"/>
    <n v="54.24"/>
    <n v="19797.599999999999"/>
    <n v="71271.360000000001"/>
  </r>
  <r>
    <x v="0"/>
    <x v="0"/>
    <x v="1"/>
    <x v="3"/>
    <x v="11"/>
    <s v="SE3_EL"/>
    <x v="3"/>
    <s v="GNR_BO_ELEC_E-99_SS-1-MW-FEED_Y-2030"/>
    <x v="0"/>
    <x v="0"/>
    <n v="290.954079026405"/>
    <n v="106198.23884463801"/>
    <n v="382313.65984069603"/>
  </r>
  <r>
    <x v="0"/>
    <x v="0"/>
    <x v="1"/>
    <x v="3"/>
    <x v="11"/>
    <s v="SE3_EL"/>
    <x v="3"/>
    <s v="GNR_BO_ELEC_E-99_SS-1-MW-FEED_Y-2030"/>
    <x v="0"/>
    <x v="1"/>
    <n v="309.84990037740403"/>
    <n v="113095.213637753"/>
    <n v="407142.76909590903"/>
  </r>
  <r>
    <x v="0"/>
    <x v="0"/>
    <x v="1"/>
    <x v="3"/>
    <x v="11"/>
    <s v="SE3_EL"/>
    <x v="3"/>
    <s v="GNR_BO_ELEC_E-99_SS-1-MW-FEED_Y-2030"/>
    <x v="0"/>
    <x v="2"/>
    <n v="319.14443398100701"/>
    <n v="116487.718403067"/>
    <n v="419355.78625104303"/>
  </r>
  <r>
    <x v="0"/>
    <x v="0"/>
    <x v="1"/>
    <x v="3"/>
    <x v="11"/>
    <s v="SE3_EL"/>
    <x v="3"/>
    <s v="GNR_BO_ELEC_E-99_SS-1-MW-FEED_Y-2030"/>
    <x v="0"/>
    <x v="3"/>
    <n v="358.87289510536499"/>
    <n v="130988.60671345799"/>
    <n v="471558.98416845"/>
  </r>
  <r>
    <x v="0"/>
    <x v="0"/>
    <x v="1"/>
    <x v="3"/>
    <x v="11"/>
    <s v="SE3_EL"/>
    <x v="3"/>
    <s v="GNR_BO_ELEC_E-99_SS-1-MW-FEED_Y-2030"/>
    <x v="0"/>
    <x v="4"/>
    <n v="398.73511555743602"/>
    <n v="145538.317178464"/>
    <n v="523937.94184247003"/>
  </r>
  <r>
    <x v="0"/>
    <x v="0"/>
    <x v="1"/>
    <x v="3"/>
    <x v="11"/>
    <s v="SE3_EL"/>
    <x v="3"/>
    <s v="GNR_BO_ELEC_E-99_SS-1-MW-FEED_Y-2030"/>
    <x v="0"/>
    <x v="5"/>
    <n v="501.51454630583498"/>
    <n v="183052.80940162999"/>
    <n v="658990.11384586699"/>
  </r>
  <r>
    <x v="0"/>
    <x v="0"/>
    <x v="1"/>
    <x v="3"/>
    <x v="11"/>
    <s v="SE3_EL"/>
    <x v="3"/>
    <s v="GNR_BO_ELEC_E-99_SS-1-MW-FEED_Y-2030"/>
    <x v="0"/>
    <x v="6"/>
    <n v="503.55222604809398"/>
    <n v="183796.56250755399"/>
    <n v="661667.62502719602"/>
  </r>
  <r>
    <x v="0"/>
    <x v="0"/>
    <x v="1"/>
    <x v="3"/>
    <x v="11"/>
    <s v="SE3_EL"/>
    <x v="3"/>
    <s v="GNR_BO_ELEC_E-99_SS-1-MW-FEED_Y-2030"/>
    <x v="0"/>
    <x v="7"/>
    <n v="503.55222604809398"/>
    <n v="183796.56250755399"/>
    <n v="661667.62502719602"/>
  </r>
  <r>
    <x v="0"/>
    <x v="0"/>
    <x v="1"/>
    <x v="3"/>
    <x v="11"/>
    <s v="SE3_EL"/>
    <x v="3"/>
    <s v="GNR_BO_ELEC_E-99_SS-1-MW-FEED_Y-2030"/>
    <x v="0"/>
    <x v="8"/>
    <n v="503.55222604809398"/>
    <n v="183796.56250755399"/>
    <n v="661667.62502719602"/>
  </r>
  <r>
    <x v="0"/>
    <x v="0"/>
    <x v="1"/>
    <x v="3"/>
    <x v="11"/>
    <s v="SE3_EL"/>
    <x v="3"/>
    <s v="GNR_BO_ELEC_E-99_SS-1-MW-FEED_Y-2030"/>
    <x v="0"/>
    <x v="9"/>
    <n v="503.55222604809398"/>
    <n v="183796.56250755399"/>
    <n v="661667.62502719602"/>
  </r>
  <r>
    <x v="0"/>
    <x v="0"/>
    <x v="1"/>
    <x v="3"/>
    <x v="11"/>
    <s v="SE3_EL"/>
    <x v="3"/>
    <s v="GNR_BO_ELEC_E-99_SS-1-MW-FEED_Y-2030"/>
    <x v="0"/>
    <x v="10"/>
    <n v="503.55222604809398"/>
    <n v="183796.56250755399"/>
    <n v="661667.62502719602"/>
  </r>
  <r>
    <x v="0"/>
    <x v="0"/>
    <x v="1"/>
    <x v="3"/>
    <x v="11"/>
    <s v="SE3_EL"/>
    <x v="3"/>
    <s v="GNR_BO_ELEC_E-99_SS-1-MW-FEED_Y-2030"/>
    <x v="0"/>
    <x v="11"/>
    <n v="503.55222604809398"/>
    <n v="183796.56250755399"/>
    <n v="661667.62502719602"/>
  </r>
  <r>
    <x v="0"/>
    <x v="0"/>
    <x v="1"/>
    <x v="3"/>
    <x v="11"/>
    <s v="SE3_EL"/>
    <x v="3"/>
    <s v="GNR_BO_ELEC_E-99_SS-1-MW-FEED_Y-2030"/>
    <x v="0"/>
    <x v="12"/>
    <n v="503.55222604809398"/>
    <n v="183796.56250755399"/>
    <n v="661667.62502719602"/>
  </r>
  <r>
    <x v="0"/>
    <x v="0"/>
    <x v="1"/>
    <x v="3"/>
    <x v="11"/>
    <s v="SE3_EL"/>
    <x v="3"/>
    <s v="GNR_BO_ELEC_E-99_SS-1-MW-FEED_Y-2030"/>
    <x v="0"/>
    <x v="13"/>
    <n v="503.55222604809398"/>
    <n v="183796.56250755399"/>
    <n v="661667.62502719602"/>
  </r>
  <r>
    <x v="0"/>
    <x v="0"/>
    <x v="1"/>
    <x v="3"/>
    <x v="11"/>
    <s v="SE3_EL"/>
    <x v="3"/>
    <s v="GNR_BO_ELEC_E-99_SS-1-MW-FEED_Y-2030"/>
    <x v="0"/>
    <x v="14"/>
    <n v="503.55222604809398"/>
    <n v="183796.56250755399"/>
    <n v="661667.62502719602"/>
  </r>
  <r>
    <x v="0"/>
    <x v="0"/>
    <x v="1"/>
    <x v="3"/>
    <x v="11"/>
    <s v="SE3_EL"/>
    <x v="3"/>
    <s v="GNR_BO_ELEC_E-99_SS-1-MW-FEED_Y-2030"/>
    <x v="0"/>
    <x v="15"/>
    <n v="503.02812684007102"/>
    <n v="183605.26629662601"/>
    <n v="660978.95866785303"/>
  </r>
  <r>
    <x v="0"/>
    <x v="0"/>
    <x v="1"/>
    <x v="3"/>
    <x v="11"/>
    <s v="SE3_EL"/>
    <x v="3"/>
    <s v="GNR_BO_ELEC_E-99_SS-1-MW-FEED_Y-2030"/>
    <x v="0"/>
    <x v="16"/>
    <n v="501.136636435176"/>
    <n v="182914.87229883901"/>
    <n v="658493.54027582204"/>
  </r>
  <r>
    <x v="0"/>
    <x v="0"/>
    <x v="1"/>
    <x v="3"/>
    <x v="11"/>
    <s v="SE3_EL"/>
    <x v="3"/>
    <s v="GNR_BO_ELEC_E-99_SS-1-MW-FEED_Y-2030"/>
    <x v="0"/>
    <x v="17"/>
    <n v="491.10763321563701"/>
    <n v="179254.28612370699"/>
    <n v="645315.43004534696"/>
  </r>
  <r>
    <x v="0"/>
    <x v="0"/>
    <x v="1"/>
    <x v="3"/>
    <x v="11"/>
    <s v="SE3_EL"/>
    <x v="3"/>
    <s v="GNR_BO_ELEC_E-99_SS-1-MW-FEED_Y-2030"/>
    <x v="0"/>
    <x v="18"/>
    <n v="495.12817054595899"/>
    <n v="180721.78224927501"/>
    <n v="650598.41609739"/>
  </r>
  <r>
    <x v="0"/>
    <x v="0"/>
    <x v="1"/>
    <x v="3"/>
    <x v="11"/>
    <s v="SE3_EL"/>
    <x v="3"/>
    <s v="GNR_BO_ELEC_E-99_SS-1-MW-FEED_Y-2030"/>
    <x v="0"/>
    <x v="19"/>
    <n v="503.55222604809398"/>
    <n v="183796.56250755399"/>
    <n v="661667.62502719602"/>
  </r>
  <r>
    <x v="0"/>
    <x v="0"/>
    <x v="1"/>
    <x v="3"/>
    <x v="11"/>
    <s v="SE3_EL"/>
    <x v="3"/>
    <s v="GNR_BO_ELEC_E-99_SS-1-MW-FEED_Y-2030"/>
    <x v="0"/>
    <x v="20"/>
    <n v="503.55222604809398"/>
    <n v="183796.56250755399"/>
    <n v="661667.62502719602"/>
  </r>
  <r>
    <x v="0"/>
    <x v="0"/>
    <x v="1"/>
    <x v="3"/>
    <x v="11"/>
    <s v="SE3_EL"/>
    <x v="3"/>
    <s v="GNR_BO_ELEC_E-99_SS-1-MW-FEED_Y-2030"/>
    <x v="0"/>
    <x v="21"/>
    <n v="479.06492474441802"/>
    <n v="174858.697531713"/>
    <n v="629491.311114165"/>
  </r>
  <r>
    <x v="0"/>
    <x v="0"/>
    <x v="1"/>
    <x v="3"/>
    <x v="11"/>
    <s v="SE3_EL"/>
    <x v="3"/>
    <s v="GNR_BO_ELEC_E-99_SS-1-MW-FEED_Y-2030"/>
    <x v="0"/>
    <x v="22"/>
    <n v="441.78662734380498"/>
    <n v="161252.118980489"/>
    <n v="580507.62832976005"/>
  </r>
  <r>
    <x v="0"/>
    <x v="0"/>
    <x v="1"/>
    <x v="3"/>
    <x v="11"/>
    <s v="SE3_EL"/>
    <x v="3"/>
    <s v="GNR_BO_ELEC_E-99_SS-1-MW-FEED_Y-2030"/>
    <x v="0"/>
    <x v="23"/>
    <n v="371.51639685048099"/>
    <n v="135603.48485042501"/>
    <n v="488172.54546153202"/>
  </r>
  <r>
    <x v="0"/>
    <x v="0"/>
    <x v="1"/>
    <x v="3"/>
    <x v="11"/>
    <s v="SE3_EL"/>
    <x v="1"/>
    <s v="GBPR_MUNIWASTE_24"/>
    <x v="0"/>
    <x v="7"/>
    <n v="76.520912818197303"/>
    <n v="27930.133178642001"/>
    <n v="100548.47944311101"/>
  </r>
  <r>
    <x v="0"/>
    <x v="0"/>
    <x v="1"/>
    <x v="3"/>
    <x v="11"/>
    <s v="SE3_EL"/>
    <x v="1"/>
    <s v="GBPR_MUNIWASTE_24"/>
    <x v="0"/>
    <x v="8"/>
    <n v="53.142012991918399"/>
    <n v="19396.8347420502"/>
    <n v="69828.605071380705"/>
  </r>
  <r>
    <x v="0"/>
    <x v="0"/>
    <x v="1"/>
    <x v="3"/>
    <x v="11"/>
    <s v="SE3_EL"/>
    <x v="1"/>
    <s v="GBPR_MUNIWASTE_24"/>
    <x v="0"/>
    <x v="9"/>
    <n v="1.53227084329842"/>
    <n v="559.27885780392296"/>
    <n v="2013.40388809412"/>
  </r>
  <r>
    <x v="0"/>
    <x v="0"/>
    <x v="1"/>
    <x v="3"/>
    <x v="11"/>
    <s v="SE3_EL"/>
    <x v="1"/>
    <s v="GBPR_MUNIWASTE_LINK"/>
    <x v="0"/>
    <x v="6"/>
    <n v="160.89281248319699"/>
    <n v="58725.876556366798"/>
    <n v="211413.155602921"/>
  </r>
  <r>
    <x v="0"/>
    <x v="0"/>
    <x v="1"/>
    <x v="3"/>
    <x v="11"/>
    <s v="SE3_EL"/>
    <x v="1"/>
    <s v="GBPR_MUNIWASTE_LINK"/>
    <x v="0"/>
    <x v="7"/>
    <n v="170.310325409359"/>
    <n v="62163.268774416101"/>
    <n v="223787.76758789801"/>
  </r>
  <r>
    <x v="0"/>
    <x v="0"/>
    <x v="1"/>
    <x v="3"/>
    <x v="11"/>
    <s v="SE3_EL"/>
    <x v="1"/>
    <s v="GBPR_MUNIWASTE_LINK"/>
    <x v="0"/>
    <x v="8"/>
    <n v="170.310325409359"/>
    <n v="62163.268774416101"/>
    <n v="223787.76758789801"/>
  </r>
  <r>
    <x v="0"/>
    <x v="0"/>
    <x v="1"/>
    <x v="3"/>
    <x v="11"/>
    <s v="SE3_EL"/>
    <x v="1"/>
    <s v="GBPR_MUNIWASTE_LINK"/>
    <x v="0"/>
    <x v="9"/>
    <n v="170.310325409359"/>
    <n v="62163.268774416101"/>
    <n v="223787.76758789801"/>
  </r>
  <r>
    <x v="0"/>
    <x v="0"/>
    <x v="1"/>
    <x v="3"/>
    <x v="11"/>
    <s v="SE3_EL"/>
    <x v="1"/>
    <s v="GBPR_MUNIWASTE_LINK"/>
    <x v="0"/>
    <x v="10"/>
    <n v="124.86883730634"/>
    <n v="45577.125616814003"/>
    <n v="164077.65222053"/>
  </r>
  <r>
    <x v="0"/>
    <x v="0"/>
    <x v="1"/>
    <x v="3"/>
    <x v="11"/>
    <s v="SE3_EL"/>
    <x v="1"/>
    <s v="GBPR_MUNIWASTE_LINK"/>
    <x v="0"/>
    <x v="11"/>
    <n v="90.824949279163206"/>
    <n v="33151.106486894598"/>
    <n v="119343.98335282"/>
  </r>
  <r>
    <x v="0"/>
    <x v="0"/>
    <x v="1"/>
    <x v="3"/>
    <x v="11"/>
    <s v="SE3_EL"/>
    <x v="1"/>
    <s v="GBPR_MUNIWASTE_LINK"/>
    <x v="0"/>
    <x v="12"/>
    <n v="40.700625028028099"/>
    <n v="14855.7281352302"/>
    <n v="53480.6212868289"/>
  </r>
  <r>
    <x v="0"/>
    <x v="0"/>
    <x v="1"/>
    <x v="3"/>
    <x v="11"/>
    <s v="SE3_EL"/>
    <x v="1"/>
    <s v="GBPR_MUNIWASTE_LINK"/>
    <x v="0"/>
    <x v="13"/>
    <n v="15.4679722367443"/>
    <n v="5645.8098664116897"/>
    <n v="20324.9155190821"/>
  </r>
  <r>
    <x v="0"/>
    <x v="0"/>
    <x v="1"/>
    <x v="3"/>
    <x v="11"/>
    <s v="SE3_EL"/>
    <x v="1"/>
    <s v="GHOB_MUNIWASTE"/>
    <x v="0"/>
    <x v="0"/>
    <n v="160.830834619021"/>
    <n v="58703.2546359427"/>
    <n v="211331.716689394"/>
  </r>
  <r>
    <x v="0"/>
    <x v="0"/>
    <x v="1"/>
    <x v="3"/>
    <x v="11"/>
    <s v="SE3_EL"/>
    <x v="1"/>
    <s v="GHOB_MUNIWASTE"/>
    <x v="0"/>
    <x v="1"/>
    <n v="160.830834619021"/>
    <n v="58703.2546359427"/>
    <n v="211331.716689394"/>
  </r>
  <r>
    <x v="0"/>
    <x v="0"/>
    <x v="1"/>
    <x v="3"/>
    <x v="11"/>
    <s v="SE3_EL"/>
    <x v="1"/>
    <s v="GHOB_MUNIWASTE"/>
    <x v="0"/>
    <x v="2"/>
    <n v="160.830834619021"/>
    <n v="58703.2546359427"/>
    <n v="211331.716689394"/>
  </r>
  <r>
    <x v="0"/>
    <x v="0"/>
    <x v="1"/>
    <x v="3"/>
    <x v="11"/>
    <s v="SE3_EL"/>
    <x v="1"/>
    <s v="GHOB_MUNIWASTE"/>
    <x v="0"/>
    <x v="3"/>
    <n v="160.830834619021"/>
    <n v="58703.2546359427"/>
    <n v="211331.716689394"/>
  </r>
  <r>
    <x v="0"/>
    <x v="0"/>
    <x v="1"/>
    <x v="3"/>
    <x v="11"/>
    <s v="SE3_EL"/>
    <x v="1"/>
    <s v="GHOB_MUNIWASTE"/>
    <x v="0"/>
    <x v="4"/>
    <n v="160.830834619021"/>
    <n v="58703.2546359427"/>
    <n v="211331.716689394"/>
  </r>
  <r>
    <x v="0"/>
    <x v="0"/>
    <x v="1"/>
    <x v="3"/>
    <x v="11"/>
    <s v="SE3_EL"/>
    <x v="1"/>
    <s v="GHOB_MUNIWASTE"/>
    <x v="0"/>
    <x v="5"/>
    <n v="160.830834619021"/>
    <n v="58703.2546359427"/>
    <n v="211331.716689394"/>
  </r>
  <r>
    <x v="0"/>
    <x v="0"/>
    <x v="1"/>
    <x v="3"/>
    <x v="11"/>
    <s v="SE3_EL"/>
    <x v="1"/>
    <s v="GHOB_MUNIWASTE"/>
    <x v="0"/>
    <x v="6"/>
    <n v="160.830834619021"/>
    <n v="58703.2546359427"/>
    <n v="211331.716689394"/>
  </r>
  <r>
    <x v="0"/>
    <x v="0"/>
    <x v="1"/>
    <x v="3"/>
    <x v="11"/>
    <s v="SE3_EL"/>
    <x v="1"/>
    <s v="GHOB_MUNIWASTE"/>
    <x v="0"/>
    <x v="7"/>
    <n v="160.830834619021"/>
    <n v="58703.2546359427"/>
    <n v="211331.716689394"/>
  </r>
  <r>
    <x v="0"/>
    <x v="0"/>
    <x v="1"/>
    <x v="3"/>
    <x v="11"/>
    <s v="SE3_EL"/>
    <x v="1"/>
    <s v="GHOB_MUNIWASTE"/>
    <x v="0"/>
    <x v="8"/>
    <n v="160.830834619021"/>
    <n v="58703.2546359427"/>
    <n v="211331.716689394"/>
  </r>
  <r>
    <x v="0"/>
    <x v="0"/>
    <x v="1"/>
    <x v="3"/>
    <x v="11"/>
    <s v="SE3_EL"/>
    <x v="1"/>
    <s v="GHOB_MUNIWASTE"/>
    <x v="0"/>
    <x v="9"/>
    <n v="160.830834619021"/>
    <n v="58703.2546359427"/>
    <n v="211331.716689394"/>
  </r>
  <r>
    <x v="0"/>
    <x v="0"/>
    <x v="1"/>
    <x v="3"/>
    <x v="11"/>
    <s v="SE3_EL"/>
    <x v="1"/>
    <s v="GHOB_MUNIWASTE"/>
    <x v="0"/>
    <x v="10"/>
    <n v="160.830834619021"/>
    <n v="58703.2546359427"/>
    <n v="211331.716689394"/>
  </r>
  <r>
    <x v="0"/>
    <x v="0"/>
    <x v="1"/>
    <x v="3"/>
    <x v="11"/>
    <s v="SE3_EL"/>
    <x v="1"/>
    <s v="GHOB_MUNIWASTE"/>
    <x v="0"/>
    <x v="11"/>
    <n v="160.830834619021"/>
    <n v="58703.2546359427"/>
    <n v="211331.716689394"/>
  </r>
  <r>
    <x v="0"/>
    <x v="0"/>
    <x v="1"/>
    <x v="3"/>
    <x v="11"/>
    <s v="SE3_EL"/>
    <x v="1"/>
    <s v="GHOB_MUNIWASTE"/>
    <x v="0"/>
    <x v="12"/>
    <n v="160.830834619021"/>
    <n v="58703.2546359427"/>
    <n v="211331.716689394"/>
  </r>
  <r>
    <x v="0"/>
    <x v="0"/>
    <x v="1"/>
    <x v="3"/>
    <x v="11"/>
    <s v="SE3_EL"/>
    <x v="1"/>
    <s v="GHOB_MUNIWASTE"/>
    <x v="0"/>
    <x v="13"/>
    <n v="160.830834619021"/>
    <n v="58703.2546359427"/>
    <n v="211331.716689394"/>
  </r>
  <r>
    <x v="0"/>
    <x v="0"/>
    <x v="1"/>
    <x v="3"/>
    <x v="11"/>
    <s v="SE3_EL"/>
    <x v="1"/>
    <s v="GHOB_MUNIWASTE"/>
    <x v="0"/>
    <x v="14"/>
    <n v="160.830834619021"/>
    <n v="58703.2546359427"/>
    <n v="211331.716689394"/>
  </r>
  <r>
    <x v="0"/>
    <x v="0"/>
    <x v="1"/>
    <x v="3"/>
    <x v="11"/>
    <s v="SE3_EL"/>
    <x v="1"/>
    <s v="GHOB_MUNIWASTE"/>
    <x v="0"/>
    <x v="15"/>
    <n v="160.830834619021"/>
    <n v="58703.2546359427"/>
    <n v="211331.716689394"/>
  </r>
  <r>
    <x v="0"/>
    <x v="0"/>
    <x v="1"/>
    <x v="3"/>
    <x v="11"/>
    <s v="SE3_EL"/>
    <x v="1"/>
    <s v="GHOB_MUNIWASTE"/>
    <x v="0"/>
    <x v="16"/>
    <n v="160.830834619021"/>
    <n v="58703.2546359427"/>
    <n v="211331.716689394"/>
  </r>
  <r>
    <x v="0"/>
    <x v="0"/>
    <x v="1"/>
    <x v="3"/>
    <x v="11"/>
    <s v="SE3_EL"/>
    <x v="1"/>
    <s v="GHOB_MUNIWASTE"/>
    <x v="0"/>
    <x v="17"/>
    <n v="160.830834619021"/>
    <n v="58703.2546359427"/>
    <n v="211331.716689394"/>
  </r>
  <r>
    <x v="0"/>
    <x v="0"/>
    <x v="1"/>
    <x v="3"/>
    <x v="11"/>
    <s v="SE3_EL"/>
    <x v="1"/>
    <s v="GHOB_MUNIWASTE"/>
    <x v="0"/>
    <x v="18"/>
    <n v="160.830834619021"/>
    <n v="58703.2546359427"/>
    <n v="211331.716689394"/>
  </r>
  <r>
    <x v="0"/>
    <x v="0"/>
    <x v="1"/>
    <x v="3"/>
    <x v="11"/>
    <s v="SE3_EL"/>
    <x v="1"/>
    <s v="GHOB_MUNIWASTE"/>
    <x v="0"/>
    <x v="19"/>
    <n v="160.830834619021"/>
    <n v="58703.2546359427"/>
    <n v="211331.716689394"/>
  </r>
  <r>
    <x v="0"/>
    <x v="0"/>
    <x v="1"/>
    <x v="3"/>
    <x v="11"/>
    <s v="SE3_EL"/>
    <x v="1"/>
    <s v="GHOB_MUNIWASTE"/>
    <x v="0"/>
    <x v="20"/>
    <n v="160.830834619021"/>
    <n v="58703.2546359427"/>
    <n v="211331.716689394"/>
  </r>
  <r>
    <x v="0"/>
    <x v="0"/>
    <x v="1"/>
    <x v="3"/>
    <x v="11"/>
    <s v="SE3_EL"/>
    <x v="1"/>
    <s v="GHOB_MUNIWASTE"/>
    <x v="0"/>
    <x v="21"/>
    <n v="160.830834619021"/>
    <n v="58703.2546359427"/>
    <n v="211331.716689394"/>
  </r>
  <r>
    <x v="0"/>
    <x v="0"/>
    <x v="1"/>
    <x v="3"/>
    <x v="11"/>
    <s v="SE3_EL"/>
    <x v="1"/>
    <s v="GHOB_MUNIWASTE"/>
    <x v="0"/>
    <x v="22"/>
    <n v="160.830834619021"/>
    <n v="58703.2546359427"/>
    <n v="211331.716689394"/>
  </r>
  <r>
    <x v="0"/>
    <x v="0"/>
    <x v="1"/>
    <x v="3"/>
    <x v="11"/>
    <s v="SE3_EL"/>
    <x v="1"/>
    <s v="GHOB_MUNIWASTE"/>
    <x v="0"/>
    <x v="23"/>
    <n v="160.830834619021"/>
    <n v="58703.2546359427"/>
    <n v="211331.716689394"/>
  </r>
  <r>
    <x v="0"/>
    <x v="0"/>
    <x v="1"/>
    <x v="3"/>
    <x v="11"/>
    <s v="SE3_EL"/>
    <x v="2"/>
    <s v="GHOB_WASTEHEAT"/>
    <x v="0"/>
    <x v="0"/>
    <n v="27.2206959706959"/>
    <n v="9935.5540293039903"/>
    <n v="35767.994505494396"/>
  </r>
  <r>
    <x v="0"/>
    <x v="0"/>
    <x v="1"/>
    <x v="3"/>
    <x v="11"/>
    <s v="SE3_EL"/>
    <x v="2"/>
    <s v="GHOB_WASTEHEAT"/>
    <x v="0"/>
    <x v="1"/>
    <n v="27.2206959706959"/>
    <n v="9935.5540293039903"/>
    <n v="35767.994505494396"/>
  </r>
  <r>
    <x v="0"/>
    <x v="0"/>
    <x v="1"/>
    <x v="3"/>
    <x v="11"/>
    <s v="SE3_EL"/>
    <x v="2"/>
    <s v="GHOB_WASTEHEAT"/>
    <x v="0"/>
    <x v="2"/>
    <n v="27.2206959706959"/>
    <n v="9935.5540293039903"/>
    <n v="35767.994505494396"/>
  </r>
  <r>
    <x v="0"/>
    <x v="0"/>
    <x v="1"/>
    <x v="3"/>
    <x v="11"/>
    <s v="SE3_EL"/>
    <x v="2"/>
    <s v="GHOB_WASTEHEAT"/>
    <x v="0"/>
    <x v="3"/>
    <n v="27.2206959706959"/>
    <n v="9935.5540293039903"/>
    <n v="35767.994505494396"/>
  </r>
  <r>
    <x v="0"/>
    <x v="0"/>
    <x v="1"/>
    <x v="3"/>
    <x v="11"/>
    <s v="SE3_EL"/>
    <x v="2"/>
    <s v="GHOB_WASTEHEAT"/>
    <x v="0"/>
    <x v="4"/>
    <n v="27.2206959706959"/>
    <n v="9935.5540293039903"/>
    <n v="35767.994505494396"/>
  </r>
  <r>
    <x v="0"/>
    <x v="0"/>
    <x v="1"/>
    <x v="3"/>
    <x v="11"/>
    <s v="SE3_EL"/>
    <x v="2"/>
    <s v="GHOB_WASTEHEAT"/>
    <x v="0"/>
    <x v="5"/>
    <n v="27.2206959706959"/>
    <n v="9935.5540293039903"/>
    <n v="35767.994505494396"/>
  </r>
  <r>
    <x v="0"/>
    <x v="0"/>
    <x v="1"/>
    <x v="3"/>
    <x v="11"/>
    <s v="SE3_EL"/>
    <x v="2"/>
    <s v="GHOB_WASTEHEAT"/>
    <x v="0"/>
    <x v="6"/>
    <n v="27.2206959706959"/>
    <n v="9935.5540293039903"/>
    <n v="35767.994505494396"/>
  </r>
  <r>
    <x v="0"/>
    <x v="0"/>
    <x v="1"/>
    <x v="3"/>
    <x v="11"/>
    <s v="SE3_EL"/>
    <x v="2"/>
    <s v="GHOB_WASTEHEAT"/>
    <x v="0"/>
    <x v="7"/>
    <n v="27.2206959706959"/>
    <n v="9935.5540293039903"/>
    <n v="35767.994505494396"/>
  </r>
  <r>
    <x v="0"/>
    <x v="0"/>
    <x v="1"/>
    <x v="3"/>
    <x v="11"/>
    <s v="SE3_EL"/>
    <x v="2"/>
    <s v="GHOB_WASTEHEAT"/>
    <x v="0"/>
    <x v="8"/>
    <n v="27.2206959706959"/>
    <n v="9935.5540293039903"/>
    <n v="35767.994505494396"/>
  </r>
  <r>
    <x v="0"/>
    <x v="0"/>
    <x v="1"/>
    <x v="3"/>
    <x v="11"/>
    <s v="SE3_EL"/>
    <x v="2"/>
    <s v="GHOB_WASTEHEAT"/>
    <x v="0"/>
    <x v="9"/>
    <n v="27.2206959706959"/>
    <n v="9935.5540293039903"/>
    <n v="35767.994505494396"/>
  </r>
  <r>
    <x v="0"/>
    <x v="0"/>
    <x v="1"/>
    <x v="3"/>
    <x v="11"/>
    <s v="SE3_EL"/>
    <x v="2"/>
    <s v="GHOB_WASTEHEAT"/>
    <x v="0"/>
    <x v="10"/>
    <n v="27.2206959706959"/>
    <n v="9935.5540293039903"/>
    <n v="35767.994505494396"/>
  </r>
  <r>
    <x v="0"/>
    <x v="0"/>
    <x v="1"/>
    <x v="3"/>
    <x v="11"/>
    <s v="SE3_EL"/>
    <x v="2"/>
    <s v="GHOB_WASTEHEAT"/>
    <x v="0"/>
    <x v="11"/>
    <n v="27.2206959706959"/>
    <n v="9935.5540293039903"/>
    <n v="35767.994505494396"/>
  </r>
  <r>
    <x v="0"/>
    <x v="0"/>
    <x v="1"/>
    <x v="3"/>
    <x v="11"/>
    <s v="SE3_EL"/>
    <x v="2"/>
    <s v="GHOB_WASTEHEAT"/>
    <x v="0"/>
    <x v="12"/>
    <n v="27.2206959706959"/>
    <n v="9935.5540293039903"/>
    <n v="35767.994505494396"/>
  </r>
  <r>
    <x v="0"/>
    <x v="0"/>
    <x v="1"/>
    <x v="3"/>
    <x v="11"/>
    <s v="SE3_EL"/>
    <x v="2"/>
    <s v="GHOB_WASTEHEAT"/>
    <x v="0"/>
    <x v="13"/>
    <n v="27.2206959706959"/>
    <n v="9935.5540293039903"/>
    <n v="35767.994505494396"/>
  </r>
  <r>
    <x v="0"/>
    <x v="0"/>
    <x v="1"/>
    <x v="3"/>
    <x v="11"/>
    <s v="SE3_EL"/>
    <x v="2"/>
    <s v="GHOB_WASTEHEAT"/>
    <x v="0"/>
    <x v="14"/>
    <n v="27.2206959706959"/>
    <n v="9935.5540293039903"/>
    <n v="35767.994505494396"/>
  </r>
  <r>
    <x v="0"/>
    <x v="0"/>
    <x v="1"/>
    <x v="3"/>
    <x v="11"/>
    <s v="SE3_EL"/>
    <x v="2"/>
    <s v="GHOB_WASTEHEAT"/>
    <x v="0"/>
    <x v="15"/>
    <n v="27.2206959706959"/>
    <n v="9935.5540293039903"/>
    <n v="35767.994505494396"/>
  </r>
  <r>
    <x v="0"/>
    <x v="0"/>
    <x v="1"/>
    <x v="3"/>
    <x v="11"/>
    <s v="SE3_EL"/>
    <x v="2"/>
    <s v="GHOB_WASTEHEAT"/>
    <x v="0"/>
    <x v="16"/>
    <n v="27.2206959706959"/>
    <n v="9935.5540293039903"/>
    <n v="35767.994505494396"/>
  </r>
  <r>
    <x v="0"/>
    <x v="0"/>
    <x v="1"/>
    <x v="3"/>
    <x v="11"/>
    <s v="SE3_EL"/>
    <x v="2"/>
    <s v="GHOB_WASTEHEAT"/>
    <x v="0"/>
    <x v="17"/>
    <n v="27.2206959706959"/>
    <n v="9935.5540293039903"/>
    <n v="35767.994505494396"/>
  </r>
  <r>
    <x v="0"/>
    <x v="0"/>
    <x v="1"/>
    <x v="3"/>
    <x v="11"/>
    <s v="SE3_EL"/>
    <x v="2"/>
    <s v="GHOB_WASTEHEAT"/>
    <x v="0"/>
    <x v="18"/>
    <n v="27.2206959706959"/>
    <n v="9935.5540293039903"/>
    <n v="35767.994505494396"/>
  </r>
  <r>
    <x v="0"/>
    <x v="0"/>
    <x v="1"/>
    <x v="3"/>
    <x v="11"/>
    <s v="SE3_EL"/>
    <x v="2"/>
    <s v="GHOB_WASTEHEAT"/>
    <x v="0"/>
    <x v="19"/>
    <n v="27.2206959706959"/>
    <n v="9935.5540293039903"/>
    <n v="35767.994505494396"/>
  </r>
  <r>
    <x v="0"/>
    <x v="0"/>
    <x v="1"/>
    <x v="3"/>
    <x v="11"/>
    <s v="SE3_EL"/>
    <x v="2"/>
    <s v="GHOB_WASTEHEAT"/>
    <x v="0"/>
    <x v="20"/>
    <n v="27.2206959706959"/>
    <n v="9935.5540293039903"/>
    <n v="35767.994505494396"/>
  </r>
  <r>
    <x v="0"/>
    <x v="0"/>
    <x v="1"/>
    <x v="3"/>
    <x v="11"/>
    <s v="SE3_EL"/>
    <x v="2"/>
    <s v="GHOB_WASTEHEAT"/>
    <x v="0"/>
    <x v="21"/>
    <n v="27.2206959706959"/>
    <n v="9935.5540293039903"/>
    <n v="35767.994505494396"/>
  </r>
  <r>
    <x v="0"/>
    <x v="0"/>
    <x v="1"/>
    <x v="3"/>
    <x v="11"/>
    <s v="SE3_EL"/>
    <x v="2"/>
    <s v="GHOB_WASTEHEAT"/>
    <x v="0"/>
    <x v="22"/>
    <n v="27.2206959706959"/>
    <n v="9935.5540293039903"/>
    <n v="35767.994505494396"/>
  </r>
  <r>
    <x v="0"/>
    <x v="0"/>
    <x v="1"/>
    <x v="3"/>
    <x v="11"/>
    <s v="SE3_EL"/>
    <x v="2"/>
    <s v="GHOB_WASTEHEAT"/>
    <x v="0"/>
    <x v="23"/>
    <n v="27.2206959706959"/>
    <n v="9935.5540293039903"/>
    <n v="35767.994505494396"/>
  </r>
  <r>
    <x v="0"/>
    <x v="0"/>
    <x v="1"/>
    <x v="3"/>
    <x v="11"/>
    <s v="SE3_EL"/>
    <x v="7"/>
    <s v="GHOB_WOODWASTE"/>
    <x v="0"/>
    <x v="6"/>
    <n v="46.717423817863398"/>
    <n v="17051.859693520099"/>
    <n v="61386.694896672503"/>
  </r>
  <r>
    <x v="0"/>
    <x v="0"/>
    <x v="1"/>
    <x v="3"/>
    <x v="11"/>
    <s v="SE3_EL"/>
    <x v="7"/>
    <s v="GHOB_WOODWASTE"/>
    <x v="0"/>
    <x v="7"/>
    <n v="46.717423817863398"/>
    <n v="17051.859693520099"/>
    <n v="61386.694896672503"/>
  </r>
  <r>
    <x v="0"/>
    <x v="0"/>
    <x v="1"/>
    <x v="3"/>
    <x v="11"/>
    <s v="SE3_EL"/>
    <x v="7"/>
    <s v="GHOB_WOODWASTE"/>
    <x v="0"/>
    <x v="8"/>
    <n v="46.717423817863398"/>
    <n v="17051.859693520099"/>
    <n v="61386.694896672503"/>
  </r>
  <r>
    <x v="0"/>
    <x v="0"/>
    <x v="1"/>
    <x v="3"/>
    <x v="11"/>
    <s v="SE3_EL"/>
    <x v="7"/>
    <s v="GHOB_WOODWASTE"/>
    <x v="0"/>
    <x v="9"/>
    <n v="46.717423817863398"/>
    <n v="17051.859693520099"/>
    <n v="61386.694896672503"/>
  </r>
  <r>
    <x v="0"/>
    <x v="0"/>
    <x v="1"/>
    <x v="3"/>
    <x v="11"/>
    <s v="SE3_EL"/>
    <x v="7"/>
    <s v="GHOB_WOODWASTE"/>
    <x v="0"/>
    <x v="10"/>
    <n v="46.717423817863398"/>
    <n v="17051.859693520099"/>
    <n v="61386.694896672503"/>
  </r>
  <r>
    <x v="0"/>
    <x v="0"/>
    <x v="1"/>
    <x v="3"/>
    <x v="11"/>
    <s v="SE3_EL"/>
    <x v="7"/>
    <s v="GHOB_WOODWASTE"/>
    <x v="0"/>
    <x v="11"/>
    <n v="46.717423817863398"/>
    <n v="17051.859693520099"/>
    <n v="61386.694896672503"/>
  </r>
  <r>
    <x v="0"/>
    <x v="0"/>
    <x v="1"/>
    <x v="3"/>
    <x v="11"/>
    <s v="SE3_EL"/>
    <x v="7"/>
    <s v="GHOB_WOODWASTE"/>
    <x v="0"/>
    <x v="12"/>
    <n v="46.717423817863398"/>
    <n v="17051.859693520099"/>
    <n v="61386.694896672503"/>
  </r>
  <r>
    <x v="0"/>
    <x v="0"/>
    <x v="1"/>
    <x v="3"/>
    <x v="11"/>
    <s v="SE3_EL"/>
    <x v="7"/>
    <s v="GHOB_WOODWASTE"/>
    <x v="0"/>
    <x v="13"/>
    <n v="46.717423817863398"/>
    <n v="17051.859693520099"/>
    <n v="61386.694896672503"/>
  </r>
  <r>
    <x v="0"/>
    <x v="0"/>
    <x v="1"/>
    <x v="3"/>
    <x v="11"/>
    <s v="SE3_EL"/>
    <x v="7"/>
    <s v="GHOB_WOODWASTE"/>
    <x v="0"/>
    <x v="14"/>
    <n v="21.074664598472999"/>
    <n v="7692.2525784426298"/>
    <n v="27692.1092823935"/>
  </r>
  <r>
    <x v="0"/>
    <x v="0"/>
    <x v="1"/>
    <x v="3"/>
    <x v="11"/>
    <s v="SE3_EL"/>
    <x v="7"/>
    <s v="GHOB_WOODWASTE"/>
    <x v="0"/>
    <x v="19"/>
    <n v="9.0042795913207101"/>
    <n v="3286.5620508320599"/>
    <n v="11831.6233829954"/>
  </r>
  <r>
    <x v="0"/>
    <x v="0"/>
    <x v="1"/>
    <x v="3"/>
    <x v="11"/>
    <s v="SE3_GOT"/>
    <x v="3"/>
    <s v="GETOH_HEATPUMP33"/>
    <x v="0"/>
    <x v="0"/>
    <n v="160"/>
    <n v="58400"/>
    <n v="210240"/>
  </r>
  <r>
    <x v="0"/>
    <x v="0"/>
    <x v="1"/>
    <x v="3"/>
    <x v="11"/>
    <s v="SE3_GOT"/>
    <x v="3"/>
    <s v="GETOH_HEATPUMP33"/>
    <x v="0"/>
    <x v="1"/>
    <n v="160"/>
    <n v="58400"/>
    <n v="210240"/>
  </r>
  <r>
    <x v="0"/>
    <x v="0"/>
    <x v="1"/>
    <x v="3"/>
    <x v="11"/>
    <s v="SE3_GOT"/>
    <x v="3"/>
    <s v="GETOH_HEATPUMP33"/>
    <x v="0"/>
    <x v="2"/>
    <n v="160"/>
    <n v="58400"/>
    <n v="210240"/>
  </r>
  <r>
    <x v="0"/>
    <x v="0"/>
    <x v="1"/>
    <x v="3"/>
    <x v="11"/>
    <s v="SE3_GOT"/>
    <x v="3"/>
    <s v="GETOH_HEATPUMP33"/>
    <x v="0"/>
    <x v="3"/>
    <n v="160"/>
    <n v="58400"/>
    <n v="210240"/>
  </r>
  <r>
    <x v="0"/>
    <x v="0"/>
    <x v="1"/>
    <x v="3"/>
    <x v="11"/>
    <s v="SE3_GOT"/>
    <x v="3"/>
    <s v="GETOH_HEATPUMP33"/>
    <x v="0"/>
    <x v="4"/>
    <n v="160"/>
    <n v="58400"/>
    <n v="210240"/>
  </r>
  <r>
    <x v="0"/>
    <x v="0"/>
    <x v="1"/>
    <x v="3"/>
    <x v="11"/>
    <s v="SE3_GOT"/>
    <x v="3"/>
    <s v="GETOH_HEATPUMP33"/>
    <x v="0"/>
    <x v="5"/>
    <n v="160"/>
    <n v="58400"/>
    <n v="210240"/>
  </r>
  <r>
    <x v="0"/>
    <x v="0"/>
    <x v="1"/>
    <x v="3"/>
    <x v="11"/>
    <s v="SE3_GOT"/>
    <x v="3"/>
    <s v="GETOH_HEATPUMP33"/>
    <x v="0"/>
    <x v="6"/>
    <n v="160"/>
    <n v="58400"/>
    <n v="210240"/>
  </r>
  <r>
    <x v="0"/>
    <x v="0"/>
    <x v="1"/>
    <x v="3"/>
    <x v="11"/>
    <s v="SE3_GOT"/>
    <x v="3"/>
    <s v="GETOH_HEATPUMP33"/>
    <x v="0"/>
    <x v="7"/>
    <n v="160"/>
    <n v="58400"/>
    <n v="210240"/>
  </r>
  <r>
    <x v="0"/>
    <x v="0"/>
    <x v="1"/>
    <x v="3"/>
    <x v="11"/>
    <s v="SE3_GOT"/>
    <x v="3"/>
    <s v="GETOH_HEATPUMP33"/>
    <x v="0"/>
    <x v="8"/>
    <n v="160"/>
    <n v="58400"/>
    <n v="210240"/>
  </r>
  <r>
    <x v="0"/>
    <x v="0"/>
    <x v="1"/>
    <x v="3"/>
    <x v="11"/>
    <s v="SE3_GOT"/>
    <x v="3"/>
    <s v="GETOH_HEATPUMP33"/>
    <x v="0"/>
    <x v="9"/>
    <n v="160"/>
    <n v="58400"/>
    <n v="210240"/>
  </r>
  <r>
    <x v="0"/>
    <x v="0"/>
    <x v="1"/>
    <x v="3"/>
    <x v="11"/>
    <s v="SE3_GOT"/>
    <x v="3"/>
    <s v="GETOH_HEATPUMP33"/>
    <x v="0"/>
    <x v="10"/>
    <n v="160"/>
    <n v="58400"/>
    <n v="210240"/>
  </r>
  <r>
    <x v="0"/>
    <x v="0"/>
    <x v="1"/>
    <x v="3"/>
    <x v="11"/>
    <s v="SE3_GOT"/>
    <x v="3"/>
    <s v="GETOH_HEATPUMP33"/>
    <x v="0"/>
    <x v="11"/>
    <n v="160"/>
    <n v="58400"/>
    <n v="210240"/>
  </r>
  <r>
    <x v="0"/>
    <x v="0"/>
    <x v="1"/>
    <x v="3"/>
    <x v="11"/>
    <s v="SE3_GOT"/>
    <x v="3"/>
    <s v="GETOH_HEATPUMP33"/>
    <x v="0"/>
    <x v="12"/>
    <n v="160"/>
    <n v="58400"/>
    <n v="210240"/>
  </r>
  <r>
    <x v="0"/>
    <x v="0"/>
    <x v="1"/>
    <x v="3"/>
    <x v="11"/>
    <s v="SE3_GOT"/>
    <x v="3"/>
    <s v="GETOH_HEATPUMP33"/>
    <x v="0"/>
    <x v="13"/>
    <n v="160"/>
    <n v="58400"/>
    <n v="210240"/>
  </r>
  <r>
    <x v="0"/>
    <x v="0"/>
    <x v="1"/>
    <x v="3"/>
    <x v="11"/>
    <s v="SE3_GOT"/>
    <x v="3"/>
    <s v="GETOH_HEATPUMP33"/>
    <x v="0"/>
    <x v="14"/>
    <n v="160"/>
    <n v="58400"/>
    <n v="210240"/>
  </r>
  <r>
    <x v="0"/>
    <x v="0"/>
    <x v="1"/>
    <x v="3"/>
    <x v="11"/>
    <s v="SE3_GOT"/>
    <x v="3"/>
    <s v="GETOH_HEATPUMP33"/>
    <x v="0"/>
    <x v="15"/>
    <n v="160"/>
    <n v="58400"/>
    <n v="210240"/>
  </r>
  <r>
    <x v="0"/>
    <x v="0"/>
    <x v="1"/>
    <x v="3"/>
    <x v="11"/>
    <s v="SE3_GOT"/>
    <x v="3"/>
    <s v="GETOH_HEATPUMP33"/>
    <x v="0"/>
    <x v="16"/>
    <n v="160"/>
    <n v="58400"/>
    <n v="210240"/>
  </r>
  <r>
    <x v="0"/>
    <x v="0"/>
    <x v="1"/>
    <x v="3"/>
    <x v="11"/>
    <s v="SE3_GOT"/>
    <x v="3"/>
    <s v="GETOH_HEATPUMP33"/>
    <x v="0"/>
    <x v="17"/>
    <n v="160"/>
    <n v="58400"/>
    <n v="210240"/>
  </r>
  <r>
    <x v="0"/>
    <x v="0"/>
    <x v="1"/>
    <x v="3"/>
    <x v="11"/>
    <s v="SE3_GOT"/>
    <x v="3"/>
    <s v="GETOH_HEATPUMP33"/>
    <x v="0"/>
    <x v="18"/>
    <n v="160"/>
    <n v="58400"/>
    <n v="210240"/>
  </r>
  <r>
    <x v="0"/>
    <x v="0"/>
    <x v="1"/>
    <x v="3"/>
    <x v="11"/>
    <s v="SE3_GOT"/>
    <x v="3"/>
    <s v="GETOH_HEATPUMP33"/>
    <x v="0"/>
    <x v="19"/>
    <n v="160"/>
    <n v="58400"/>
    <n v="210240"/>
  </r>
  <r>
    <x v="0"/>
    <x v="0"/>
    <x v="1"/>
    <x v="3"/>
    <x v="11"/>
    <s v="SE3_GOT"/>
    <x v="3"/>
    <s v="GETOH_HEATPUMP33"/>
    <x v="0"/>
    <x v="20"/>
    <n v="160"/>
    <n v="58400"/>
    <n v="210240"/>
  </r>
  <r>
    <x v="0"/>
    <x v="0"/>
    <x v="1"/>
    <x v="3"/>
    <x v="11"/>
    <s v="SE3_GOT"/>
    <x v="3"/>
    <s v="GETOH_HEATPUMP33"/>
    <x v="0"/>
    <x v="21"/>
    <n v="160"/>
    <n v="58400"/>
    <n v="210240"/>
  </r>
  <r>
    <x v="0"/>
    <x v="0"/>
    <x v="1"/>
    <x v="3"/>
    <x v="11"/>
    <s v="SE3_GOT"/>
    <x v="3"/>
    <s v="GETOH_HEATPUMP33"/>
    <x v="0"/>
    <x v="22"/>
    <n v="160"/>
    <n v="58400"/>
    <n v="210240"/>
  </r>
  <r>
    <x v="0"/>
    <x v="0"/>
    <x v="1"/>
    <x v="3"/>
    <x v="11"/>
    <s v="SE3_GOT"/>
    <x v="3"/>
    <s v="GETOH_HEATPUMP33"/>
    <x v="0"/>
    <x v="23"/>
    <n v="160"/>
    <n v="58400"/>
    <n v="210240"/>
  </r>
  <r>
    <x v="0"/>
    <x v="0"/>
    <x v="1"/>
    <x v="3"/>
    <x v="11"/>
    <s v="SE3_GOT"/>
    <x v="3"/>
    <s v="GNR_BO_ELEC_E-99_SS-1-MW-FEED_Y-2030"/>
    <x v="0"/>
    <x v="0"/>
    <n v="68.367681557858106"/>
    <n v="24954.203768618201"/>
    <n v="89835.133567025507"/>
  </r>
  <r>
    <x v="0"/>
    <x v="0"/>
    <x v="1"/>
    <x v="3"/>
    <x v="11"/>
    <s v="SE3_GOT"/>
    <x v="3"/>
    <s v="GNR_BO_ELEC_E-99_SS-1-MW-FEED_Y-2030"/>
    <x v="0"/>
    <x v="1"/>
    <n v="73.134599342704107"/>
    <n v="26694.128760086998"/>
    <n v="96098.863536313103"/>
  </r>
  <r>
    <x v="0"/>
    <x v="0"/>
    <x v="1"/>
    <x v="3"/>
    <x v="11"/>
    <s v="SE3_GOT"/>
    <x v="3"/>
    <s v="GNR_BO_ELEC_E-99_SS-1-MW-FEED_Y-2030"/>
    <x v="0"/>
    <x v="2"/>
    <n v="70.670257796251704"/>
    <n v="25794.644095631898"/>
    <n v="92860.718744274694"/>
  </r>
  <r>
    <x v="0"/>
    <x v="0"/>
    <x v="1"/>
    <x v="3"/>
    <x v="11"/>
    <s v="SE3_GOT"/>
    <x v="3"/>
    <s v="GNR_BO_ELEC_E-99_SS-1-MW-FEED_Y-2030"/>
    <x v="0"/>
    <x v="3"/>
    <n v="81.269382743913695"/>
    <n v="29663.324701528501"/>
    <n v="106787.968925503"/>
  </r>
  <r>
    <x v="0"/>
    <x v="0"/>
    <x v="1"/>
    <x v="3"/>
    <x v="11"/>
    <s v="SE3_GOT"/>
    <x v="3"/>
    <s v="GNR_BO_ELEC_E-99_SS-1-MW-FEED_Y-2030"/>
    <x v="0"/>
    <x v="4"/>
    <n v="93.787664027891907"/>
    <n v="34232.497370180601"/>
    <n v="123236.99053265"/>
  </r>
  <r>
    <x v="0"/>
    <x v="0"/>
    <x v="1"/>
    <x v="3"/>
    <x v="11"/>
    <s v="SE3_GOT"/>
    <x v="3"/>
    <s v="GNR_BO_ELEC_E-99_SS-1-MW-FEED_Y-2030"/>
    <x v="0"/>
    <x v="5"/>
    <n v="142.21966503222299"/>
    <n v="51910.177736761601"/>
    <n v="186876.63985234199"/>
  </r>
  <r>
    <x v="0"/>
    <x v="0"/>
    <x v="1"/>
    <x v="3"/>
    <x v="11"/>
    <s v="SE3_GOT"/>
    <x v="3"/>
    <s v="GNR_BO_ELEC_E-99_SS-1-MW-FEED_Y-2030"/>
    <x v="0"/>
    <x v="6"/>
    <n v="164.750019423152"/>
    <n v="60133.757089450497"/>
    <n v="216481.52552202201"/>
  </r>
  <r>
    <x v="0"/>
    <x v="0"/>
    <x v="1"/>
    <x v="3"/>
    <x v="11"/>
    <s v="SE3_GOT"/>
    <x v="3"/>
    <s v="GNR_BO_ELEC_E-99_SS-1-MW-FEED_Y-2030"/>
    <x v="0"/>
    <x v="7"/>
    <n v="164.750019423152"/>
    <n v="60133.757089450497"/>
    <n v="216481.52552202201"/>
  </r>
  <r>
    <x v="0"/>
    <x v="0"/>
    <x v="1"/>
    <x v="3"/>
    <x v="11"/>
    <s v="SE3_GOT"/>
    <x v="3"/>
    <s v="GNR_BO_ELEC_E-99_SS-1-MW-FEED_Y-2030"/>
    <x v="0"/>
    <x v="8"/>
    <n v="164.750019423152"/>
    <n v="60133.757089450497"/>
    <n v="216481.52552202201"/>
  </r>
  <r>
    <x v="0"/>
    <x v="0"/>
    <x v="1"/>
    <x v="3"/>
    <x v="11"/>
    <s v="SE3_GOT"/>
    <x v="3"/>
    <s v="GNR_BO_ELEC_E-99_SS-1-MW-FEED_Y-2030"/>
    <x v="0"/>
    <x v="9"/>
    <n v="164.750019423152"/>
    <n v="60133.757089450497"/>
    <n v="216481.52552202201"/>
  </r>
  <r>
    <x v="0"/>
    <x v="0"/>
    <x v="1"/>
    <x v="3"/>
    <x v="11"/>
    <s v="SE3_GOT"/>
    <x v="3"/>
    <s v="GNR_BO_ELEC_E-99_SS-1-MW-FEED_Y-2030"/>
    <x v="0"/>
    <x v="10"/>
    <n v="164.750019423152"/>
    <n v="60133.757089450497"/>
    <n v="216481.52552202201"/>
  </r>
  <r>
    <x v="0"/>
    <x v="0"/>
    <x v="1"/>
    <x v="3"/>
    <x v="11"/>
    <s v="SE3_GOT"/>
    <x v="3"/>
    <s v="GNR_BO_ELEC_E-99_SS-1-MW-FEED_Y-2030"/>
    <x v="0"/>
    <x v="11"/>
    <n v="164.750019423152"/>
    <n v="60133.757089450497"/>
    <n v="216481.52552202201"/>
  </r>
  <r>
    <x v="0"/>
    <x v="0"/>
    <x v="1"/>
    <x v="3"/>
    <x v="11"/>
    <s v="SE3_GOT"/>
    <x v="3"/>
    <s v="GNR_BO_ELEC_E-99_SS-1-MW-FEED_Y-2030"/>
    <x v="0"/>
    <x v="12"/>
    <n v="164.750019423152"/>
    <n v="60133.757089450497"/>
    <n v="216481.52552202201"/>
  </r>
  <r>
    <x v="0"/>
    <x v="0"/>
    <x v="1"/>
    <x v="3"/>
    <x v="11"/>
    <s v="SE3_GOT"/>
    <x v="3"/>
    <s v="GNR_BO_ELEC_E-99_SS-1-MW-FEED_Y-2030"/>
    <x v="0"/>
    <x v="13"/>
    <n v="161.71597065574699"/>
    <n v="59026.329289347697"/>
    <n v="212494.785441652"/>
  </r>
  <r>
    <x v="0"/>
    <x v="0"/>
    <x v="1"/>
    <x v="3"/>
    <x v="11"/>
    <s v="SE3_GOT"/>
    <x v="3"/>
    <s v="GNR_BO_ELEC_E-99_SS-1-MW-FEED_Y-2030"/>
    <x v="0"/>
    <x v="14"/>
    <n v="155.262935824366"/>
    <n v="56670.971575893498"/>
    <n v="204015.497673217"/>
  </r>
  <r>
    <x v="0"/>
    <x v="0"/>
    <x v="1"/>
    <x v="3"/>
    <x v="11"/>
    <s v="SE3_GOT"/>
    <x v="3"/>
    <s v="GNR_BO_ELEC_E-99_SS-1-MW-FEED_Y-2030"/>
    <x v="0"/>
    <x v="15"/>
    <n v="152.527152693392"/>
    <n v="55672.410733088102"/>
    <n v="200420.67863911699"/>
  </r>
  <r>
    <x v="0"/>
    <x v="0"/>
    <x v="1"/>
    <x v="3"/>
    <x v="11"/>
    <s v="SE3_GOT"/>
    <x v="3"/>
    <s v="GNR_BO_ELEC_E-99_SS-1-MW-FEED_Y-2030"/>
    <x v="0"/>
    <x v="16"/>
    <n v="158.63390150565201"/>
    <n v="57901.374049562997"/>
    <n v="208444.94657842701"/>
  </r>
  <r>
    <x v="0"/>
    <x v="0"/>
    <x v="1"/>
    <x v="3"/>
    <x v="11"/>
    <s v="SE3_GOT"/>
    <x v="3"/>
    <s v="GNR_BO_ELEC_E-99_SS-1-MW-FEED_Y-2030"/>
    <x v="0"/>
    <x v="17"/>
    <n v="159.33015878864001"/>
    <n v="58155.507957853602"/>
    <n v="209359.82864827299"/>
  </r>
  <r>
    <x v="0"/>
    <x v="0"/>
    <x v="1"/>
    <x v="3"/>
    <x v="11"/>
    <s v="SE3_GOT"/>
    <x v="3"/>
    <s v="GNR_BO_ELEC_E-99_SS-1-MW-FEED_Y-2030"/>
    <x v="0"/>
    <x v="18"/>
    <n v="163.121726105259"/>
    <n v="59539.430028419498"/>
    <n v="214341.94810231001"/>
  </r>
  <r>
    <x v="0"/>
    <x v="0"/>
    <x v="1"/>
    <x v="3"/>
    <x v="11"/>
    <s v="SE3_GOT"/>
    <x v="3"/>
    <s v="GNR_BO_ELEC_E-99_SS-1-MW-FEED_Y-2030"/>
    <x v="0"/>
    <x v="19"/>
    <n v="164.750019423152"/>
    <n v="60133.757089450497"/>
    <n v="216481.52552202201"/>
  </r>
  <r>
    <x v="0"/>
    <x v="0"/>
    <x v="1"/>
    <x v="3"/>
    <x v="11"/>
    <s v="SE3_GOT"/>
    <x v="3"/>
    <s v="GNR_BO_ELEC_E-99_SS-1-MW-FEED_Y-2030"/>
    <x v="0"/>
    <x v="20"/>
    <n v="164.750019423152"/>
    <n v="60133.757089450497"/>
    <n v="216481.52552202201"/>
  </r>
  <r>
    <x v="0"/>
    <x v="0"/>
    <x v="1"/>
    <x v="3"/>
    <x v="11"/>
    <s v="SE3_GOT"/>
    <x v="3"/>
    <s v="GNR_BO_ELEC_E-99_SS-1-MW-FEED_Y-2030"/>
    <x v="0"/>
    <x v="21"/>
    <n v="155.121933615552"/>
    <n v="56619.5057696765"/>
    <n v="203830.220770835"/>
  </r>
  <r>
    <x v="0"/>
    <x v="0"/>
    <x v="1"/>
    <x v="3"/>
    <x v="11"/>
    <s v="SE3_GOT"/>
    <x v="3"/>
    <s v="GNR_BO_ELEC_E-99_SS-1-MW-FEED_Y-2030"/>
    <x v="0"/>
    <x v="22"/>
    <n v="138.776536969419"/>
    <n v="50653.435993837797"/>
    <n v="182352.36957781599"/>
  </r>
  <r>
    <x v="0"/>
    <x v="0"/>
    <x v="1"/>
    <x v="3"/>
    <x v="11"/>
    <s v="SE3_GOT"/>
    <x v="3"/>
    <s v="GNR_BO_ELEC_E-99_SS-1-MW-FEED_Y-2030"/>
    <x v="0"/>
    <x v="23"/>
    <n v="97.655372487000093"/>
    <n v="35644.210957755102"/>
    <n v="128319.15944791801"/>
  </r>
  <r>
    <x v="0"/>
    <x v="0"/>
    <x v="1"/>
    <x v="3"/>
    <x v="11"/>
    <s v="SE3_GOT"/>
    <x v="1"/>
    <s v="GBPR_MUNIWASTE_24"/>
    <x v="0"/>
    <x v="6"/>
    <n v="70.105241422800404"/>
    <n v="25588.413119322198"/>
    <n v="92118.287229559704"/>
  </r>
  <r>
    <x v="0"/>
    <x v="0"/>
    <x v="1"/>
    <x v="3"/>
    <x v="11"/>
    <s v="SE3_GOT"/>
    <x v="1"/>
    <s v="GBPR_MUNIWASTE_24"/>
    <x v="0"/>
    <x v="7"/>
    <n v="95.3186065811839"/>
    <n v="34791.291402132098"/>
    <n v="125248.64904767599"/>
  </r>
  <r>
    <x v="0"/>
    <x v="0"/>
    <x v="1"/>
    <x v="3"/>
    <x v="11"/>
    <s v="SE3_GOT"/>
    <x v="1"/>
    <s v="GBPR_MUNIWASTE_24"/>
    <x v="0"/>
    <x v="8"/>
    <n v="74.881728426413403"/>
    <n v="27331.830875640899"/>
    <n v="98394.591152307199"/>
  </r>
  <r>
    <x v="0"/>
    <x v="0"/>
    <x v="1"/>
    <x v="3"/>
    <x v="11"/>
    <s v="SE3_GOT"/>
    <x v="1"/>
    <s v="GBPR_MUNIWASTE_24"/>
    <x v="0"/>
    <x v="9"/>
    <n v="50.994502443316797"/>
    <n v="18612.9933918106"/>
    <n v="67006.776210518306"/>
  </r>
  <r>
    <x v="0"/>
    <x v="0"/>
    <x v="1"/>
    <x v="3"/>
    <x v="11"/>
    <s v="SE3_GOT"/>
    <x v="1"/>
    <s v="GBPR_MUNIWASTE_24"/>
    <x v="0"/>
    <x v="10"/>
    <n v="33.131225727399602"/>
    <n v="12092.897390500801"/>
    <n v="43534.430605802998"/>
  </r>
  <r>
    <x v="0"/>
    <x v="0"/>
    <x v="1"/>
    <x v="3"/>
    <x v="11"/>
    <s v="SE3_GOT"/>
    <x v="1"/>
    <s v="GBPR_MUNIWASTE_24"/>
    <x v="0"/>
    <x v="11"/>
    <n v="19.092912099690899"/>
    <n v="6968.9129163871903"/>
    <n v="25088.0864989939"/>
  </r>
  <r>
    <x v="0"/>
    <x v="0"/>
    <x v="1"/>
    <x v="3"/>
    <x v="11"/>
    <s v="SE3_GOT"/>
    <x v="1"/>
    <s v="GBPR_MUNIWASTE_24"/>
    <x v="0"/>
    <x v="12"/>
    <n v="1.77943652652704"/>
    <n v="649.494332182368"/>
    <n v="2338.1795958565199"/>
  </r>
  <r>
    <x v="0"/>
    <x v="0"/>
    <x v="1"/>
    <x v="3"/>
    <x v="11"/>
    <s v="SE3_GOT"/>
    <x v="1"/>
    <s v="GBPR_MUNIWASTE_24"/>
    <x v="0"/>
    <x v="19"/>
    <n v="3.9487339474488299"/>
    <n v="1441.28789081882"/>
    <n v="5188.6364069477604"/>
  </r>
  <r>
    <x v="0"/>
    <x v="0"/>
    <x v="1"/>
    <x v="3"/>
    <x v="11"/>
    <s v="SE3_GOT"/>
    <x v="2"/>
    <s v="GHOB_WASTEHEAT"/>
    <x v="0"/>
    <x v="0"/>
    <n v="118.24633699633701"/>
    <n v="43159.913003662798"/>
    <n v="155375.68681318601"/>
  </r>
  <r>
    <x v="0"/>
    <x v="0"/>
    <x v="1"/>
    <x v="3"/>
    <x v="11"/>
    <s v="SE3_GOT"/>
    <x v="2"/>
    <s v="GHOB_WASTEHEAT"/>
    <x v="0"/>
    <x v="1"/>
    <n v="118.24633699633701"/>
    <n v="43159.913003662798"/>
    <n v="155375.68681318601"/>
  </r>
  <r>
    <x v="0"/>
    <x v="0"/>
    <x v="1"/>
    <x v="3"/>
    <x v="11"/>
    <s v="SE3_GOT"/>
    <x v="2"/>
    <s v="GHOB_WASTEHEAT"/>
    <x v="0"/>
    <x v="2"/>
    <n v="118.24633699633701"/>
    <n v="43159.913003662798"/>
    <n v="155375.68681318601"/>
  </r>
  <r>
    <x v="0"/>
    <x v="0"/>
    <x v="1"/>
    <x v="3"/>
    <x v="11"/>
    <s v="SE3_GOT"/>
    <x v="2"/>
    <s v="GHOB_WASTEHEAT"/>
    <x v="0"/>
    <x v="3"/>
    <n v="118.24633699633701"/>
    <n v="43159.913003662798"/>
    <n v="155375.68681318601"/>
  </r>
  <r>
    <x v="0"/>
    <x v="0"/>
    <x v="1"/>
    <x v="3"/>
    <x v="11"/>
    <s v="SE3_GOT"/>
    <x v="2"/>
    <s v="GHOB_WASTEHEAT"/>
    <x v="0"/>
    <x v="4"/>
    <n v="118.24633699633701"/>
    <n v="43159.913003662798"/>
    <n v="155375.68681318601"/>
  </r>
  <r>
    <x v="0"/>
    <x v="0"/>
    <x v="1"/>
    <x v="3"/>
    <x v="11"/>
    <s v="SE3_GOT"/>
    <x v="2"/>
    <s v="GHOB_WASTEHEAT"/>
    <x v="0"/>
    <x v="5"/>
    <n v="118.24633699633701"/>
    <n v="43159.913003662798"/>
    <n v="155375.68681318601"/>
  </r>
  <r>
    <x v="0"/>
    <x v="0"/>
    <x v="1"/>
    <x v="3"/>
    <x v="11"/>
    <s v="SE3_GOT"/>
    <x v="2"/>
    <s v="GHOB_WASTEHEAT"/>
    <x v="0"/>
    <x v="6"/>
    <n v="118.24633699633701"/>
    <n v="43159.913003662798"/>
    <n v="155375.68681318601"/>
  </r>
  <r>
    <x v="0"/>
    <x v="0"/>
    <x v="1"/>
    <x v="3"/>
    <x v="11"/>
    <s v="SE3_GOT"/>
    <x v="2"/>
    <s v="GHOB_WASTEHEAT"/>
    <x v="0"/>
    <x v="7"/>
    <n v="118.24633699633701"/>
    <n v="43159.913003662798"/>
    <n v="155375.68681318601"/>
  </r>
  <r>
    <x v="0"/>
    <x v="0"/>
    <x v="1"/>
    <x v="3"/>
    <x v="11"/>
    <s v="SE3_GOT"/>
    <x v="2"/>
    <s v="GHOB_WASTEHEAT"/>
    <x v="0"/>
    <x v="8"/>
    <n v="118.24633699633701"/>
    <n v="43159.913003662798"/>
    <n v="155375.68681318601"/>
  </r>
  <r>
    <x v="0"/>
    <x v="0"/>
    <x v="1"/>
    <x v="3"/>
    <x v="11"/>
    <s v="SE3_GOT"/>
    <x v="2"/>
    <s v="GHOB_WASTEHEAT"/>
    <x v="0"/>
    <x v="9"/>
    <n v="118.24633699633701"/>
    <n v="43159.913003662798"/>
    <n v="155375.68681318601"/>
  </r>
  <r>
    <x v="0"/>
    <x v="0"/>
    <x v="1"/>
    <x v="3"/>
    <x v="11"/>
    <s v="SE3_GOT"/>
    <x v="2"/>
    <s v="GHOB_WASTEHEAT"/>
    <x v="0"/>
    <x v="10"/>
    <n v="118.24633699633701"/>
    <n v="43159.913003662798"/>
    <n v="155375.68681318601"/>
  </r>
  <r>
    <x v="0"/>
    <x v="0"/>
    <x v="1"/>
    <x v="3"/>
    <x v="11"/>
    <s v="SE3_GOT"/>
    <x v="2"/>
    <s v="GHOB_WASTEHEAT"/>
    <x v="0"/>
    <x v="11"/>
    <n v="118.24633699633701"/>
    <n v="43159.913003662798"/>
    <n v="155375.68681318601"/>
  </r>
  <r>
    <x v="0"/>
    <x v="0"/>
    <x v="1"/>
    <x v="3"/>
    <x v="11"/>
    <s v="SE3_GOT"/>
    <x v="2"/>
    <s v="GHOB_WASTEHEAT"/>
    <x v="0"/>
    <x v="12"/>
    <n v="118.24633699633701"/>
    <n v="43159.913003662798"/>
    <n v="155375.68681318601"/>
  </r>
  <r>
    <x v="0"/>
    <x v="0"/>
    <x v="1"/>
    <x v="3"/>
    <x v="11"/>
    <s v="SE3_GOT"/>
    <x v="2"/>
    <s v="GHOB_WASTEHEAT"/>
    <x v="0"/>
    <x v="13"/>
    <n v="118.24633699633701"/>
    <n v="43159.913003662798"/>
    <n v="155375.68681318601"/>
  </r>
  <r>
    <x v="0"/>
    <x v="0"/>
    <x v="1"/>
    <x v="3"/>
    <x v="11"/>
    <s v="SE3_GOT"/>
    <x v="2"/>
    <s v="GHOB_WASTEHEAT"/>
    <x v="0"/>
    <x v="14"/>
    <n v="118.24633699633701"/>
    <n v="43159.913003662798"/>
    <n v="155375.68681318601"/>
  </r>
  <r>
    <x v="0"/>
    <x v="0"/>
    <x v="1"/>
    <x v="3"/>
    <x v="11"/>
    <s v="SE3_GOT"/>
    <x v="2"/>
    <s v="GHOB_WASTEHEAT"/>
    <x v="0"/>
    <x v="15"/>
    <n v="118.24633699633701"/>
    <n v="43159.913003662798"/>
    <n v="155375.68681318601"/>
  </r>
  <r>
    <x v="0"/>
    <x v="0"/>
    <x v="1"/>
    <x v="3"/>
    <x v="11"/>
    <s v="SE3_GOT"/>
    <x v="2"/>
    <s v="GHOB_WASTEHEAT"/>
    <x v="0"/>
    <x v="16"/>
    <n v="118.24633699633701"/>
    <n v="43159.913003662798"/>
    <n v="155375.68681318601"/>
  </r>
  <r>
    <x v="0"/>
    <x v="0"/>
    <x v="1"/>
    <x v="3"/>
    <x v="11"/>
    <s v="SE3_GOT"/>
    <x v="2"/>
    <s v="GHOB_WASTEHEAT"/>
    <x v="0"/>
    <x v="17"/>
    <n v="118.24633699633701"/>
    <n v="43159.913003662798"/>
    <n v="155375.68681318601"/>
  </r>
  <r>
    <x v="0"/>
    <x v="0"/>
    <x v="1"/>
    <x v="3"/>
    <x v="11"/>
    <s v="SE3_GOT"/>
    <x v="2"/>
    <s v="GHOB_WASTEHEAT"/>
    <x v="0"/>
    <x v="18"/>
    <n v="118.24633699633701"/>
    <n v="43159.913003662798"/>
    <n v="155375.68681318601"/>
  </r>
  <r>
    <x v="0"/>
    <x v="0"/>
    <x v="1"/>
    <x v="3"/>
    <x v="11"/>
    <s v="SE3_GOT"/>
    <x v="2"/>
    <s v="GHOB_WASTEHEAT"/>
    <x v="0"/>
    <x v="19"/>
    <n v="118.24633699633701"/>
    <n v="43159.913003662798"/>
    <n v="155375.68681318601"/>
  </r>
  <r>
    <x v="0"/>
    <x v="0"/>
    <x v="1"/>
    <x v="3"/>
    <x v="11"/>
    <s v="SE3_GOT"/>
    <x v="2"/>
    <s v="GHOB_WASTEHEAT"/>
    <x v="0"/>
    <x v="20"/>
    <n v="118.24633699633701"/>
    <n v="43159.913003662798"/>
    <n v="155375.68681318601"/>
  </r>
  <r>
    <x v="0"/>
    <x v="0"/>
    <x v="1"/>
    <x v="3"/>
    <x v="11"/>
    <s v="SE3_GOT"/>
    <x v="2"/>
    <s v="GHOB_WASTEHEAT"/>
    <x v="0"/>
    <x v="21"/>
    <n v="118.24633699633701"/>
    <n v="43159.913003662798"/>
    <n v="155375.68681318601"/>
  </r>
  <r>
    <x v="0"/>
    <x v="0"/>
    <x v="1"/>
    <x v="3"/>
    <x v="11"/>
    <s v="SE3_GOT"/>
    <x v="2"/>
    <s v="GHOB_WASTEHEAT"/>
    <x v="0"/>
    <x v="22"/>
    <n v="118.24633699633701"/>
    <n v="43159.913003662798"/>
    <n v="155375.68681318601"/>
  </r>
  <r>
    <x v="0"/>
    <x v="0"/>
    <x v="1"/>
    <x v="3"/>
    <x v="11"/>
    <s v="SE3_GOT"/>
    <x v="2"/>
    <s v="GHOB_WASTEHEAT"/>
    <x v="0"/>
    <x v="23"/>
    <n v="118.24633699633701"/>
    <n v="43159.913003662798"/>
    <n v="155375.68681318601"/>
  </r>
  <r>
    <x v="0"/>
    <x v="0"/>
    <x v="1"/>
    <x v="3"/>
    <x v="11"/>
    <s v="SE3_HP"/>
    <x v="3"/>
    <s v="GETOH_ELECTRICBOILER"/>
    <x v="0"/>
    <x v="0"/>
    <n v="86"/>
    <n v="31390"/>
    <n v="113004"/>
  </r>
  <r>
    <x v="0"/>
    <x v="0"/>
    <x v="1"/>
    <x v="3"/>
    <x v="11"/>
    <s v="SE3_HP"/>
    <x v="3"/>
    <s v="GETOH_ELECTRICBOILER"/>
    <x v="0"/>
    <x v="1"/>
    <n v="86"/>
    <n v="31390"/>
    <n v="113004"/>
  </r>
  <r>
    <x v="0"/>
    <x v="0"/>
    <x v="1"/>
    <x v="3"/>
    <x v="11"/>
    <s v="SE3_HP"/>
    <x v="3"/>
    <s v="GETOH_ELECTRICBOILER"/>
    <x v="0"/>
    <x v="2"/>
    <n v="86"/>
    <n v="31390"/>
    <n v="113004"/>
  </r>
  <r>
    <x v="0"/>
    <x v="0"/>
    <x v="1"/>
    <x v="3"/>
    <x v="11"/>
    <s v="SE3_HP"/>
    <x v="3"/>
    <s v="GETOH_ELECTRICBOILER"/>
    <x v="0"/>
    <x v="3"/>
    <n v="86"/>
    <n v="31390"/>
    <n v="113004"/>
  </r>
  <r>
    <x v="0"/>
    <x v="0"/>
    <x v="1"/>
    <x v="3"/>
    <x v="11"/>
    <s v="SE3_HP"/>
    <x v="3"/>
    <s v="GETOH_ELECTRICBOILER"/>
    <x v="0"/>
    <x v="4"/>
    <n v="86"/>
    <n v="31390"/>
    <n v="113004"/>
  </r>
  <r>
    <x v="0"/>
    <x v="0"/>
    <x v="1"/>
    <x v="3"/>
    <x v="11"/>
    <s v="SE3_HP"/>
    <x v="3"/>
    <s v="GETOH_ELECTRICBOILER"/>
    <x v="0"/>
    <x v="5"/>
    <n v="86"/>
    <n v="31390"/>
    <n v="113004"/>
  </r>
  <r>
    <x v="0"/>
    <x v="0"/>
    <x v="1"/>
    <x v="3"/>
    <x v="11"/>
    <s v="SE3_HP"/>
    <x v="3"/>
    <s v="GETOH_ELECTRICBOILER"/>
    <x v="0"/>
    <x v="6"/>
    <n v="86"/>
    <n v="31390"/>
    <n v="113004"/>
  </r>
  <r>
    <x v="0"/>
    <x v="0"/>
    <x v="1"/>
    <x v="3"/>
    <x v="11"/>
    <s v="SE3_HP"/>
    <x v="3"/>
    <s v="GETOH_ELECTRICBOILER"/>
    <x v="0"/>
    <x v="7"/>
    <n v="86"/>
    <n v="31390"/>
    <n v="113004"/>
  </r>
  <r>
    <x v="0"/>
    <x v="0"/>
    <x v="1"/>
    <x v="3"/>
    <x v="11"/>
    <s v="SE3_HP"/>
    <x v="3"/>
    <s v="GETOH_ELECTRICBOILER"/>
    <x v="0"/>
    <x v="8"/>
    <n v="86"/>
    <n v="31390"/>
    <n v="113004"/>
  </r>
  <r>
    <x v="0"/>
    <x v="0"/>
    <x v="1"/>
    <x v="3"/>
    <x v="11"/>
    <s v="SE3_HP"/>
    <x v="3"/>
    <s v="GETOH_ELECTRICBOILER"/>
    <x v="0"/>
    <x v="9"/>
    <n v="86"/>
    <n v="31390"/>
    <n v="113004"/>
  </r>
  <r>
    <x v="0"/>
    <x v="0"/>
    <x v="1"/>
    <x v="3"/>
    <x v="11"/>
    <s v="SE3_HP"/>
    <x v="3"/>
    <s v="GETOH_ELECTRICBOILER"/>
    <x v="0"/>
    <x v="10"/>
    <n v="86"/>
    <n v="31390"/>
    <n v="113004"/>
  </r>
  <r>
    <x v="0"/>
    <x v="0"/>
    <x v="1"/>
    <x v="3"/>
    <x v="11"/>
    <s v="SE3_HP"/>
    <x v="3"/>
    <s v="GETOH_ELECTRICBOILER"/>
    <x v="0"/>
    <x v="11"/>
    <n v="86"/>
    <n v="31390"/>
    <n v="113004"/>
  </r>
  <r>
    <x v="0"/>
    <x v="0"/>
    <x v="1"/>
    <x v="3"/>
    <x v="11"/>
    <s v="SE3_HP"/>
    <x v="3"/>
    <s v="GETOH_ELECTRICBOILER"/>
    <x v="0"/>
    <x v="12"/>
    <n v="86"/>
    <n v="31390"/>
    <n v="113004"/>
  </r>
  <r>
    <x v="0"/>
    <x v="0"/>
    <x v="1"/>
    <x v="3"/>
    <x v="11"/>
    <s v="SE3_HP"/>
    <x v="3"/>
    <s v="GETOH_ELECTRICBOILER"/>
    <x v="0"/>
    <x v="13"/>
    <n v="86"/>
    <n v="31390"/>
    <n v="113004"/>
  </r>
  <r>
    <x v="0"/>
    <x v="0"/>
    <x v="1"/>
    <x v="3"/>
    <x v="11"/>
    <s v="SE3_HP"/>
    <x v="3"/>
    <s v="GETOH_ELECTRICBOILER"/>
    <x v="0"/>
    <x v="14"/>
    <n v="86"/>
    <n v="31390"/>
    <n v="113004"/>
  </r>
  <r>
    <x v="0"/>
    <x v="0"/>
    <x v="1"/>
    <x v="3"/>
    <x v="11"/>
    <s v="SE3_HP"/>
    <x v="3"/>
    <s v="GETOH_ELECTRICBOILER"/>
    <x v="0"/>
    <x v="15"/>
    <n v="86"/>
    <n v="31390"/>
    <n v="113004"/>
  </r>
  <r>
    <x v="0"/>
    <x v="0"/>
    <x v="1"/>
    <x v="3"/>
    <x v="11"/>
    <s v="SE3_HP"/>
    <x v="3"/>
    <s v="GETOH_ELECTRICBOILER"/>
    <x v="0"/>
    <x v="16"/>
    <n v="86"/>
    <n v="31390"/>
    <n v="113004"/>
  </r>
  <r>
    <x v="0"/>
    <x v="0"/>
    <x v="1"/>
    <x v="3"/>
    <x v="11"/>
    <s v="SE3_HP"/>
    <x v="3"/>
    <s v="GETOH_ELECTRICBOILER"/>
    <x v="0"/>
    <x v="17"/>
    <n v="86"/>
    <n v="31390"/>
    <n v="113004"/>
  </r>
  <r>
    <x v="0"/>
    <x v="0"/>
    <x v="1"/>
    <x v="3"/>
    <x v="11"/>
    <s v="SE3_HP"/>
    <x v="3"/>
    <s v="GETOH_ELECTRICBOILER"/>
    <x v="0"/>
    <x v="18"/>
    <n v="86"/>
    <n v="31390"/>
    <n v="113004"/>
  </r>
  <r>
    <x v="0"/>
    <x v="0"/>
    <x v="1"/>
    <x v="3"/>
    <x v="11"/>
    <s v="SE3_HP"/>
    <x v="3"/>
    <s v="GETOH_ELECTRICBOILER"/>
    <x v="0"/>
    <x v="19"/>
    <n v="86"/>
    <n v="31390"/>
    <n v="113004"/>
  </r>
  <r>
    <x v="0"/>
    <x v="0"/>
    <x v="1"/>
    <x v="3"/>
    <x v="11"/>
    <s v="SE3_HP"/>
    <x v="3"/>
    <s v="GETOH_ELECTRICBOILER"/>
    <x v="0"/>
    <x v="20"/>
    <n v="86"/>
    <n v="31390"/>
    <n v="113004"/>
  </r>
  <r>
    <x v="0"/>
    <x v="0"/>
    <x v="1"/>
    <x v="3"/>
    <x v="11"/>
    <s v="SE3_HP"/>
    <x v="3"/>
    <s v="GETOH_ELECTRICBOILER"/>
    <x v="0"/>
    <x v="21"/>
    <n v="86"/>
    <n v="31390"/>
    <n v="113004"/>
  </r>
  <r>
    <x v="0"/>
    <x v="0"/>
    <x v="1"/>
    <x v="3"/>
    <x v="11"/>
    <s v="SE3_HP"/>
    <x v="3"/>
    <s v="GETOH_ELECTRICBOILER"/>
    <x v="0"/>
    <x v="22"/>
    <n v="86"/>
    <n v="31390"/>
    <n v="113004"/>
  </r>
  <r>
    <x v="0"/>
    <x v="0"/>
    <x v="1"/>
    <x v="3"/>
    <x v="11"/>
    <s v="SE3_HP"/>
    <x v="3"/>
    <s v="GETOH_ELECTRICBOILER"/>
    <x v="0"/>
    <x v="23"/>
    <n v="86"/>
    <n v="31390"/>
    <n v="113004"/>
  </r>
  <r>
    <x v="0"/>
    <x v="0"/>
    <x v="1"/>
    <x v="3"/>
    <x v="11"/>
    <s v="SE3_HP"/>
    <x v="3"/>
    <s v="GETOH_HEATPUMP2"/>
    <x v="0"/>
    <x v="0"/>
    <n v="163.19999999999999"/>
    <n v="59568"/>
    <n v="214444.79999999999"/>
  </r>
  <r>
    <x v="0"/>
    <x v="0"/>
    <x v="1"/>
    <x v="3"/>
    <x v="11"/>
    <s v="SE3_HP"/>
    <x v="3"/>
    <s v="GETOH_HEATPUMP2"/>
    <x v="0"/>
    <x v="1"/>
    <n v="163.19999999999999"/>
    <n v="59568"/>
    <n v="214444.79999999999"/>
  </r>
  <r>
    <x v="0"/>
    <x v="0"/>
    <x v="1"/>
    <x v="3"/>
    <x v="11"/>
    <s v="SE3_HP"/>
    <x v="3"/>
    <s v="GETOH_HEATPUMP2"/>
    <x v="0"/>
    <x v="2"/>
    <n v="163.19999999999999"/>
    <n v="59568"/>
    <n v="214444.79999999999"/>
  </r>
  <r>
    <x v="0"/>
    <x v="0"/>
    <x v="1"/>
    <x v="3"/>
    <x v="11"/>
    <s v="SE3_HP"/>
    <x v="3"/>
    <s v="GETOH_HEATPUMP2"/>
    <x v="0"/>
    <x v="3"/>
    <n v="163.19999999999999"/>
    <n v="59568"/>
    <n v="214444.79999999999"/>
  </r>
  <r>
    <x v="0"/>
    <x v="0"/>
    <x v="1"/>
    <x v="3"/>
    <x v="11"/>
    <s v="SE3_HP"/>
    <x v="3"/>
    <s v="GETOH_HEATPUMP2"/>
    <x v="0"/>
    <x v="4"/>
    <n v="163.19999999999999"/>
    <n v="59568"/>
    <n v="214444.79999999999"/>
  </r>
  <r>
    <x v="0"/>
    <x v="0"/>
    <x v="1"/>
    <x v="3"/>
    <x v="11"/>
    <s v="SE3_HP"/>
    <x v="3"/>
    <s v="GETOH_HEATPUMP2"/>
    <x v="0"/>
    <x v="5"/>
    <n v="163.19999999999999"/>
    <n v="59568"/>
    <n v="214444.79999999999"/>
  </r>
  <r>
    <x v="0"/>
    <x v="0"/>
    <x v="1"/>
    <x v="3"/>
    <x v="11"/>
    <s v="SE3_HP"/>
    <x v="3"/>
    <s v="GETOH_HEATPUMP2"/>
    <x v="0"/>
    <x v="6"/>
    <n v="163.19999999999999"/>
    <n v="59568"/>
    <n v="214444.79999999999"/>
  </r>
  <r>
    <x v="0"/>
    <x v="0"/>
    <x v="1"/>
    <x v="3"/>
    <x v="11"/>
    <s v="SE3_HP"/>
    <x v="3"/>
    <s v="GETOH_HEATPUMP2"/>
    <x v="0"/>
    <x v="7"/>
    <n v="163.19999999999999"/>
    <n v="59568"/>
    <n v="214444.79999999999"/>
  </r>
  <r>
    <x v="0"/>
    <x v="0"/>
    <x v="1"/>
    <x v="3"/>
    <x v="11"/>
    <s v="SE3_HP"/>
    <x v="3"/>
    <s v="GETOH_HEATPUMP2"/>
    <x v="0"/>
    <x v="8"/>
    <n v="163.19999999999999"/>
    <n v="59568"/>
    <n v="214444.79999999999"/>
  </r>
  <r>
    <x v="0"/>
    <x v="0"/>
    <x v="1"/>
    <x v="3"/>
    <x v="11"/>
    <s v="SE3_HP"/>
    <x v="3"/>
    <s v="GETOH_HEATPUMP2"/>
    <x v="0"/>
    <x v="9"/>
    <n v="163.19999999999999"/>
    <n v="59568"/>
    <n v="214444.79999999999"/>
  </r>
  <r>
    <x v="0"/>
    <x v="0"/>
    <x v="1"/>
    <x v="3"/>
    <x v="11"/>
    <s v="SE3_HP"/>
    <x v="3"/>
    <s v="GETOH_HEATPUMP2"/>
    <x v="0"/>
    <x v="10"/>
    <n v="163.19999999999999"/>
    <n v="59568"/>
    <n v="214444.79999999999"/>
  </r>
  <r>
    <x v="0"/>
    <x v="0"/>
    <x v="1"/>
    <x v="3"/>
    <x v="11"/>
    <s v="SE3_HP"/>
    <x v="3"/>
    <s v="GETOH_HEATPUMP2"/>
    <x v="0"/>
    <x v="11"/>
    <n v="163.19999999999999"/>
    <n v="59568"/>
    <n v="214444.79999999999"/>
  </r>
  <r>
    <x v="0"/>
    <x v="0"/>
    <x v="1"/>
    <x v="3"/>
    <x v="11"/>
    <s v="SE3_HP"/>
    <x v="3"/>
    <s v="GETOH_HEATPUMP2"/>
    <x v="0"/>
    <x v="12"/>
    <n v="163.19999999999999"/>
    <n v="59568"/>
    <n v="214444.79999999999"/>
  </r>
  <r>
    <x v="0"/>
    <x v="0"/>
    <x v="1"/>
    <x v="3"/>
    <x v="11"/>
    <s v="SE3_HP"/>
    <x v="3"/>
    <s v="GETOH_HEATPUMP2"/>
    <x v="0"/>
    <x v="13"/>
    <n v="163.19999999999999"/>
    <n v="59568"/>
    <n v="214444.79999999999"/>
  </r>
  <r>
    <x v="0"/>
    <x v="0"/>
    <x v="1"/>
    <x v="3"/>
    <x v="11"/>
    <s v="SE3_HP"/>
    <x v="3"/>
    <s v="GETOH_HEATPUMP2"/>
    <x v="0"/>
    <x v="14"/>
    <n v="163.19999999999999"/>
    <n v="59568"/>
    <n v="214444.79999999999"/>
  </r>
  <r>
    <x v="0"/>
    <x v="0"/>
    <x v="1"/>
    <x v="3"/>
    <x v="11"/>
    <s v="SE3_HP"/>
    <x v="3"/>
    <s v="GETOH_HEATPUMP2"/>
    <x v="0"/>
    <x v="15"/>
    <n v="163.19999999999999"/>
    <n v="59568"/>
    <n v="214444.79999999999"/>
  </r>
  <r>
    <x v="0"/>
    <x v="0"/>
    <x v="1"/>
    <x v="3"/>
    <x v="11"/>
    <s v="SE3_HP"/>
    <x v="3"/>
    <s v="GETOH_HEATPUMP2"/>
    <x v="0"/>
    <x v="16"/>
    <n v="163.19999999999999"/>
    <n v="59568"/>
    <n v="214444.79999999999"/>
  </r>
  <r>
    <x v="0"/>
    <x v="0"/>
    <x v="1"/>
    <x v="3"/>
    <x v="11"/>
    <s v="SE3_HP"/>
    <x v="3"/>
    <s v="GETOH_HEATPUMP2"/>
    <x v="0"/>
    <x v="17"/>
    <n v="163.19999999999999"/>
    <n v="59568"/>
    <n v="214444.79999999999"/>
  </r>
  <r>
    <x v="0"/>
    <x v="0"/>
    <x v="1"/>
    <x v="3"/>
    <x v="11"/>
    <s v="SE3_HP"/>
    <x v="3"/>
    <s v="GETOH_HEATPUMP2"/>
    <x v="0"/>
    <x v="18"/>
    <n v="163.19999999999999"/>
    <n v="59568"/>
    <n v="214444.79999999999"/>
  </r>
  <r>
    <x v="0"/>
    <x v="0"/>
    <x v="1"/>
    <x v="3"/>
    <x v="11"/>
    <s v="SE3_HP"/>
    <x v="3"/>
    <s v="GETOH_HEATPUMP2"/>
    <x v="0"/>
    <x v="19"/>
    <n v="163.19999999999999"/>
    <n v="59568"/>
    <n v="214444.79999999999"/>
  </r>
  <r>
    <x v="0"/>
    <x v="0"/>
    <x v="1"/>
    <x v="3"/>
    <x v="11"/>
    <s v="SE3_HP"/>
    <x v="3"/>
    <s v="GETOH_HEATPUMP2"/>
    <x v="0"/>
    <x v="20"/>
    <n v="163.19999999999999"/>
    <n v="59568"/>
    <n v="214444.79999999999"/>
  </r>
  <r>
    <x v="0"/>
    <x v="0"/>
    <x v="1"/>
    <x v="3"/>
    <x v="11"/>
    <s v="SE3_HP"/>
    <x v="3"/>
    <s v="GETOH_HEATPUMP2"/>
    <x v="0"/>
    <x v="21"/>
    <n v="163.19999999999999"/>
    <n v="59568"/>
    <n v="214444.79999999999"/>
  </r>
  <r>
    <x v="0"/>
    <x v="0"/>
    <x v="1"/>
    <x v="3"/>
    <x v="11"/>
    <s v="SE3_HP"/>
    <x v="3"/>
    <s v="GETOH_HEATPUMP2"/>
    <x v="0"/>
    <x v="22"/>
    <n v="163.19999999999999"/>
    <n v="59568"/>
    <n v="214444.79999999999"/>
  </r>
  <r>
    <x v="0"/>
    <x v="0"/>
    <x v="1"/>
    <x v="3"/>
    <x v="11"/>
    <s v="SE3_HP"/>
    <x v="3"/>
    <s v="GETOH_HEATPUMP2"/>
    <x v="0"/>
    <x v="23"/>
    <n v="163.19999999999999"/>
    <n v="59568"/>
    <n v="214444.79999999999"/>
  </r>
  <r>
    <x v="0"/>
    <x v="0"/>
    <x v="1"/>
    <x v="3"/>
    <x v="11"/>
    <s v="SE3_HP"/>
    <x v="3"/>
    <s v="GNR_BO_ELEC_E-99_SS-1-MW-FEED_Y-2030"/>
    <x v="0"/>
    <x v="0"/>
    <n v="28.267319480290201"/>
    <n v="10317.5716103059"/>
    <n v="37143.257797101302"/>
  </r>
  <r>
    <x v="0"/>
    <x v="0"/>
    <x v="1"/>
    <x v="3"/>
    <x v="11"/>
    <s v="SE3_HP"/>
    <x v="3"/>
    <s v="GNR_BO_ELEC_E-99_SS-1-MW-FEED_Y-2030"/>
    <x v="0"/>
    <x v="1"/>
    <n v="34.150549973343701"/>
    <n v="12464.9507402705"/>
    <n v="44873.822664973603"/>
  </r>
  <r>
    <x v="0"/>
    <x v="0"/>
    <x v="1"/>
    <x v="3"/>
    <x v="11"/>
    <s v="SE3_HP"/>
    <x v="3"/>
    <s v="GNR_BO_ELEC_E-99_SS-1-MW-FEED_Y-2030"/>
    <x v="0"/>
    <x v="2"/>
    <n v="34.779443419676902"/>
    <n v="12694.4968481821"/>
    <n v="45700.188653455501"/>
  </r>
  <r>
    <x v="0"/>
    <x v="0"/>
    <x v="1"/>
    <x v="3"/>
    <x v="11"/>
    <s v="SE3_HP"/>
    <x v="3"/>
    <s v="GNR_BO_ELEC_E-99_SS-1-MW-FEED_Y-2030"/>
    <x v="0"/>
    <x v="3"/>
    <n v="49.384429914065699"/>
    <n v="18025.316918633998"/>
    <n v="64891.140907082401"/>
  </r>
  <r>
    <x v="0"/>
    <x v="0"/>
    <x v="1"/>
    <x v="3"/>
    <x v="11"/>
    <s v="SE3_HP"/>
    <x v="3"/>
    <s v="GNR_BO_ELEC_E-99_SS-1-MW-FEED_Y-2030"/>
    <x v="0"/>
    <x v="4"/>
    <n v="66.037445127041494"/>
    <n v="24103.667471370201"/>
    <n v="86773.202896932606"/>
  </r>
  <r>
    <x v="0"/>
    <x v="0"/>
    <x v="1"/>
    <x v="3"/>
    <x v="11"/>
    <s v="SE3_HP"/>
    <x v="3"/>
    <s v="GNR_BO_ELEC_E-99_SS-1-MW-FEED_Y-2030"/>
    <x v="0"/>
    <x v="5"/>
    <n v="107.537427766872"/>
    <n v="39251.161134908398"/>
    <n v="141304.18008567"/>
  </r>
  <r>
    <x v="0"/>
    <x v="0"/>
    <x v="1"/>
    <x v="3"/>
    <x v="11"/>
    <s v="SE3_HP"/>
    <x v="3"/>
    <s v="GNR_BO_ELEC_E-99_SS-1-MW-FEED_Y-2030"/>
    <x v="0"/>
    <x v="6"/>
    <n v="186.86387540531399"/>
    <n v="68205.314522939501"/>
    <n v="245539.132282582"/>
  </r>
  <r>
    <x v="0"/>
    <x v="0"/>
    <x v="1"/>
    <x v="3"/>
    <x v="11"/>
    <s v="SE3_HP"/>
    <x v="3"/>
    <s v="GNR_BO_ELEC_E-99_SS-1-MW-FEED_Y-2030"/>
    <x v="0"/>
    <x v="7"/>
    <n v="193.64879072077699"/>
    <n v="70681.808613083602"/>
    <n v="254454.51100710101"/>
  </r>
  <r>
    <x v="0"/>
    <x v="0"/>
    <x v="1"/>
    <x v="3"/>
    <x v="11"/>
    <s v="SE3_HP"/>
    <x v="3"/>
    <s v="GNR_BO_ELEC_E-99_SS-1-MW-FEED_Y-2030"/>
    <x v="0"/>
    <x v="8"/>
    <n v="193.64879072077699"/>
    <n v="70681.808613083602"/>
    <n v="254454.51100710101"/>
  </r>
  <r>
    <x v="0"/>
    <x v="0"/>
    <x v="1"/>
    <x v="3"/>
    <x v="11"/>
    <s v="SE3_HP"/>
    <x v="3"/>
    <s v="GNR_BO_ELEC_E-99_SS-1-MW-FEED_Y-2030"/>
    <x v="0"/>
    <x v="9"/>
    <n v="193.64879072077699"/>
    <n v="70681.808613083602"/>
    <n v="254454.51100710101"/>
  </r>
  <r>
    <x v="0"/>
    <x v="0"/>
    <x v="1"/>
    <x v="3"/>
    <x v="11"/>
    <s v="SE3_HP"/>
    <x v="3"/>
    <s v="GNR_BO_ELEC_E-99_SS-1-MW-FEED_Y-2030"/>
    <x v="0"/>
    <x v="10"/>
    <n v="193.64879072077699"/>
    <n v="70681.808613083602"/>
    <n v="254454.51100710101"/>
  </r>
  <r>
    <x v="0"/>
    <x v="0"/>
    <x v="1"/>
    <x v="3"/>
    <x v="11"/>
    <s v="SE3_HP"/>
    <x v="3"/>
    <s v="GNR_BO_ELEC_E-99_SS-1-MW-FEED_Y-2030"/>
    <x v="0"/>
    <x v="11"/>
    <n v="193.64879072077699"/>
    <n v="70681.808613083602"/>
    <n v="254454.51100710101"/>
  </r>
  <r>
    <x v="0"/>
    <x v="0"/>
    <x v="1"/>
    <x v="3"/>
    <x v="11"/>
    <s v="SE3_HP"/>
    <x v="3"/>
    <s v="GNR_BO_ELEC_E-99_SS-1-MW-FEED_Y-2030"/>
    <x v="0"/>
    <x v="12"/>
    <n v="193.64879072077699"/>
    <n v="70681.808613083602"/>
    <n v="254454.51100710101"/>
  </r>
  <r>
    <x v="0"/>
    <x v="0"/>
    <x v="1"/>
    <x v="3"/>
    <x v="11"/>
    <s v="SE3_HP"/>
    <x v="3"/>
    <s v="GNR_BO_ELEC_E-99_SS-1-MW-FEED_Y-2030"/>
    <x v="0"/>
    <x v="13"/>
    <n v="193.64879072077699"/>
    <n v="70681.808613083602"/>
    <n v="254454.51100710101"/>
  </r>
  <r>
    <x v="0"/>
    <x v="0"/>
    <x v="1"/>
    <x v="3"/>
    <x v="11"/>
    <s v="SE3_HP"/>
    <x v="3"/>
    <s v="GNR_BO_ELEC_E-99_SS-1-MW-FEED_Y-2030"/>
    <x v="0"/>
    <x v="14"/>
    <n v="193.64879072077699"/>
    <n v="70681.808613083602"/>
    <n v="254454.51100710101"/>
  </r>
  <r>
    <x v="0"/>
    <x v="0"/>
    <x v="1"/>
    <x v="3"/>
    <x v="11"/>
    <s v="SE3_HP"/>
    <x v="3"/>
    <s v="GNR_BO_ELEC_E-99_SS-1-MW-FEED_Y-2030"/>
    <x v="0"/>
    <x v="15"/>
    <n v="193.64879072077699"/>
    <n v="70681.808613083602"/>
    <n v="254454.51100710101"/>
  </r>
  <r>
    <x v="0"/>
    <x v="0"/>
    <x v="1"/>
    <x v="3"/>
    <x v="11"/>
    <s v="SE3_HP"/>
    <x v="3"/>
    <s v="GNR_BO_ELEC_E-99_SS-1-MW-FEED_Y-2030"/>
    <x v="0"/>
    <x v="16"/>
    <n v="193.64879072077699"/>
    <n v="70681.808613083602"/>
    <n v="254454.51100710101"/>
  </r>
  <r>
    <x v="0"/>
    <x v="0"/>
    <x v="1"/>
    <x v="3"/>
    <x v="11"/>
    <s v="SE3_HP"/>
    <x v="3"/>
    <s v="GNR_BO_ELEC_E-99_SS-1-MW-FEED_Y-2030"/>
    <x v="0"/>
    <x v="17"/>
    <n v="193.64879072077699"/>
    <n v="70681.808613083602"/>
    <n v="254454.51100710101"/>
  </r>
  <r>
    <x v="0"/>
    <x v="0"/>
    <x v="1"/>
    <x v="3"/>
    <x v="11"/>
    <s v="SE3_HP"/>
    <x v="3"/>
    <s v="GNR_BO_ELEC_E-99_SS-1-MW-FEED_Y-2030"/>
    <x v="0"/>
    <x v="18"/>
    <n v="193.64879072077699"/>
    <n v="70681.808613083602"/>
    <n v="254454.51100710101"/>
  </r>
  <r>
    <x v="0"/>
    <x v="0"/>
    <x v="1"/>
    <x v="3"/>
    <x v="11"/>
    <s v="SE3_HP"/>
    <x v="3"/>
    <s v="GNR_BO_ELEC_E-99_SS-1-MW-FEED_Y-2030"/>
    <x v="0"/>
    <x v="19"/>
    <n v="193.64879072077699"/>
    <n v="70681.808613083602"/>
    <n v="254454.51100710101"/>
  </r>
  <r>
    <x v="0"/>
    <x v="0"/>
    <x v="1"/>
    <x v="3"/>
    <x v="11"/>
    <s v="SE3_HP"/>
    <x v="3"/>
    <s v="GNR_BO_ELEC_E-99_SS-1-MW-FEED_Y-2030"/>
    <x v="0"/>
    <x v="20"/>
    <n v="187.59325451209901"/>
    <n v="68471.537896916197"/>
    <n v="246497.53642889799"/>
  </r>
  <r>
    <x v="0"/>
    <x v="0"/>
    <x v="1"/>
    <x v="3"/>
    <x v="11"/>
    <s v="SE3_HP"/>
    <x v="3"/>
    <s v="GNR_BO_ELEC_E-99_SS-1-MW-FEED_Y-2030"/>
    <x v="0"/>
    <x v="21"/>
    <n v="175.21892145942499"/>
    <n v="63954.906332690101"/>
    <n v="230237.662797684"/>
  </r>
  <r>
    <x v="0"/>
    <x v="0"/>
    <x v="1"/>
    <x v="3"/>
    <x v="11"/>
    <s v="SE3_HP"/>
    <x v="3"/>
    <s v="GNR_BO_ELEC_E-99_SS-1-MW-FEED_Y-2030"/>
    <x v="0"/>
    <x v="22"/>
    <n v="157.78497960727901"/>
    <n v="57591.517556656698"/>
    <n v="207329.463203964"/>
  </r>
  <r>
    <x v="0"/>
    <x v="0"/>
    <x v="1"/>
    <x v="3"/>
    <x v="11"/>
    <s v="SE3_HP"/>
    <x v="3"/>
    <s v="GNR_BO_ELEC_E-99_SS-1-MW-FEED_Y-2030"/>
    <x v="0"/>
    <x v="23"/>
    <n v="124.455851903696"/>
    <n v="45426.385944848902"/>
    <n v="163534.989401456"/>
  </r>
  <r>
    <x v="0"/>
    <x v="0"/>
    <x v="1"/>
    <x v="3"/>
    <x v="11"/>
    <s v="SE3_HP"/>
    <x v="2"/>
    <s v="GHOB_WASTEHEAT"/>
    <x v="0"/>
    <x v="0"/>
    <n v="3.4340659340659201E-3"/>
    <n v="1.2534340659340599"/>
    <n v="4.51236263736262"/>
  </r>
  <r>
    <x v="0"/>
    <x v="0"/>
    <x v="1"/>
    <x v="3"/>
    <x v="11"/>
    <s v="SE3_HP"/>
    <x v="2"/>
    <s v="GHOB_WASTEHEAT"/>
    <x v="0"/>
    <x v="1"/>
    <n v="3.4340659340659201E-3"/>
    <n v="1.2534340659340599"/>
    <n v="4.51236263736262"/>
  </r>
  <r>
    <x v="0"/>
    <x v="0"/>
    <x v="1"/>
    <x v="3"/>
    <x v="11"/>
    <s v="SE3_HP"/>
    <x v="2"/>
    <s v="GHOB_WASTEHEAT"/>
    <x v="0"/>
    <x v="2"/>
    <n v="3.4340659340659201E-3"/>
    <n v="1.2534340659340599"/>
    <n v="4.51236263736262"/>
  </r>
  <r>
    <x v="0"/>
    <x v="0"/>
    <x v="1"/>
    <x v="3"/>
    <x v="11"/>
    <s v="SE3_HP"/>
    <x v="2"/>
    <s v="GHOB_WASTEHEAT"/>
    <x v="0"/>
    <x v="3"/>
    <n v="3.4340659340659201E-3"/>
    <n v="1.2534340659340599"/>
    <n v="4.51236263736262"/>
  </r>
  <r>
    <x v="0"/>
    <x v="0"/>
    <x v="1"/>
    <x v="3"/>
    <x v="11"/>
    <s v="SE3_HP"/>
    <x v="2"/>
    <s v="GHOB_WASTEHEAT"/>
    <x v="0"/>
    <x v="4"/>
    <n v="3.4340659340659201E-3"/>
    <n v="1.2534340659340599"/>
    <n v="4.51236263736262"/>
  </r>
  <r>
    <x v="0"/>
    <x v="0"/>
    <x v="1"/>
    <x v="3"/>
    <x v="11"/>
    <s v="SE3_HP"/>
    <x v="2"/>
    <s v="GHOB_WASTEHEAT"/>
    <x v="0"/>
    <x v="5"/>
    <n v="3.4340659340659201E-3"/>
    <n v="1.2534340659340599"/>
    <n v="4.51236263736262"/>
  </r>
  <r>
    <x v="0"/>
    <x v="0"/>
    <x v="1"/>
    <x v="3"/>
    <x v="11"/>
    <s v="SE3_HP"/>
    <x v="2"/>
    <s v="GHOB_WASTEHEAT"/>
    <x v="0"/>
    <x v="6"/>
    <n v="3.4340659340659201E-3"/>
    <n v="1.2534340659340599"/>
    <n v="4.51236263736262"/>
  </r>
  <r>
    <x v="0"/>
    <x v="0"/>
    <x v="1"/>
    <x v="3"/>
    <x v="11"/>
    <s v="SE3_HP"/>
    <x v="2"/>
    <s v="GHOB_WASTEHEAT"/>
    <x v="0"/>
    <x v="7"/>
    <n v="3.4340659340659201E-3"/>
    <n v="1.2534340659340599"/>
    <n v="4.51236263736262"/>
  </r>
  <r>
    <x v="0"/>
    <x v="0"/>
    <x v="1"/>
    <x v="3"/>
    <x v="11"/>
    <s v="SE3_HP"/>
    <x v="2"/>
    <s v="GHOB_WASTEHEAT"/>
    <x v="0"/>
    <x v="8"/>
    <n v="3.4340659340659201E-3"/>
    <n v="1.2534340659340599"/>
    <n v="4.51236263736262"/>
  </r>
  <r>
    <x v="0"/>
    <x v="0"/>
    <x v="1"/>
    <x v="3"/>
    <x v="11"/>
    <s v="SE3_HP"/>
    <x v="2"/>
    <s v="GHOB_WASTEHEAT"/>
    <x v="0"/>
    <x v="9"/>
    <n v="3.4340659340659201E-3"/>
    <n v="1.2534340659340599"/>
    <n v="4.51236263736262"/>
  </r>
  <r>
    <x v="0"/>
    <x v="0"/>
    <x v="1"/>
    <x v="3"/>
    <x v="11"/>
    <s v="SE3_HP"/>
    <x v="2"/>
    <s v="GHOB_WASTEHEAT"/>
    <x v="0"/>
    <x v="10"/>
    <n v="3.4340659340659201E-3"/>
    <n v="1.2534340659340599"/>
    <n v="4.51236263736262"/>
  </r>
  <r>
    <x v="0"/>
    <x v="0"/>
    <x v="1"/>
    <x v="3"/>
    <x v="11"/>
    <s v="SE3_HP"/>
    <x v="2"/>
    <s v="GHOB_WASTEHEAT"/>
    <x v="0"/>
    <x v="11"/>
    <n v="3.4340659340659201E-3"/>
    <n v="1.2534340659340599"/>
    <n v="4.51236263736262"/>
  </r>
  <r>
    <x v="0"/>
    <x v="0"/>
    <x v="1"/>
    <x v="3"/>
    <x v="11"/>
    <s v="SE3_HP"/>
    <x v="2"/>
    <s v="GHOB_WASTEHEAT"/>
    <x v="0"/>
    <x v="12"/>
    <n v="3.4340659340659201E-3"/>
    <n v="1.2534340659340599"/>
    <n v="4.51236263736262"/>
  </r>
  <r>
    <x v="0"/>
    <x v="0"/>
    <x v="1"/>
    <x v="3"/>
    <x v="11"/>
    <s v="SE3_HP"/>
    <x v="2"/>
    <s v="GHOB_WASTEHEAT"/>
    <x v="0"/>
    <x v="13"/>
    <n v="3.4340659340659201E-3"/>
    <n v="1.2534340659340599"/>
    <n v="4.51236263736262"/>
  </r>
  <r>
    <x v="0"/>
    <x v="0"/>
    <x v="1"/>
    <x v="3"/>
    <x v="11"/>
    <s v="SE3_HP"/>
    <x v="2"/>
    <s v="GHOB_WASTEHEAT"/>
    <x v="0"/>
    <x v="14"/>
    <n v="3.4340659340659201E-3"/>
    <n v="1.2534340659340599"/>
    <n v="4.51236263736262"/>
  </r>
  <r>
    <x v="0"/>
    <x v="0"/>
    <x v="1"/>
    <x v="3"/>
    <x v="11"/>
    <s v="SE3_HP"/>
    <x v="2"/>
    <s v="GHOB_WASTEHEAT"/>
    <x v="0"/>
    <x v="15"/>
    <n v="3.4340659340659201E-3"/>
    <n v="1.2534340659340599"/>
    <n v="4.51236263736262"/>
  </r>
  <r>
    <x v="0"/>
    <x v="0"/>
    <x v="1"/>
    <x v="3"/>
    <x v="11"/>
    <s v="SE3_HP"/>
    <x v="2"/>
    <s v="GHOB_WASTEHEAT"/>
    <x v="0"/>
    <x v="16"/>
    <n v="3.4340659340659201E-3"/>
    <n v="1.2534340659340599"/>
    <n v="4.51236263736262"/>
  </r>
  <r>
    <x v="0"/>
    <x v="0"/>
    <x v="1"/>
    <x v="3"/>
    <x v="11"/>
    <s v="SE3_HP"/>
    <x v="2"/>
    <s v="GHOB_WASTEHEAT"/>
    <x v="0"/>
    <x v="17"/>
    <n v="3.4340659340659201E-3"/>
    <n v="1.2534340659340599"/>
    <n v="4.51236263736262"/>
  </r>
  <r>
    <x v="0"/>
    <x v="0"/>
    <x v="1"/>
    <x v="3"/>
    <x v="11"/>
    <s v="SE3_HP"/>
    <x v="2"/>
    <s v="GHOB_WASTEHEAT"/>
    <x v="0"/>
    <x v="18"/>
    <n v="3.4340659340659201E-3"/>
    <n v="1.2534340659340599"/>
    <n v="4.51236263736262"/>
  </r>
  <r>
    <x v="0"/>
    <x v="0"/>
    <x v="1"/>
    <x v="3"/>
    <x v="11"/>
    <s v="SE3_HP"/>
    <x v="2"/>
    <s v="GHOB_WASTEHEAT"/>
    <x v="0"/>
    <x v="19"/>
    <n v="3.4340659340659201E-3"/>
    <n v="1.2534340659340599"/>
    <n v="4.51236263736262"/>
  </r>
  <r>
    <x v="0"/>
    <x v="0"/>
    <x v="1"/>
    <x v="3"/>
    <x v="11"/>
    <s v="SE3_HP"/>
    <x v="2"/>
    <s v="GHOB_WASTEHEAT"/>
    <x v="0"/>
    <x v="20"/>
    <n v="3.4340659340659201E-3"/>
    <n v="1.2534340659340599"/>
    <n v="4.51236263736262"/>
  </r>
  <r>
    <x v="0"/>
    <x v="0"/>
    <x v="1"/>
    <x v="3"/>
    <x v="11"/>
    <s v="SE3_HP"/>
    <x v="2"/>
    <s v="GHOB_WASTEHEAT"/>
    <x v="0"/>
    <x v="21"/>
    <n v="3.4340659340659201E-3"/>
    <n v="1.2534340659340599"/>
    <n v="4.51236263736262"/>
  </r>
  <r>
    <x v="0"/>
    <x v="0"/>
    <x v="1"/>
    <x v="3"/>
    <x v="11"/>
    <s v="SE3_HP"/>
    <x v="2"/>
    <s v="GHOB_WASTEHEAT"/>
    <x v="0"/>
    <x v="22"/>
    <n v="3.4340659340659201E-3"/>
    <n v="1.2534340659340599"/>
    <n v="4.51236263736262"/>
  </r>
  <r>
    <x v="0"/>
    <x v="0"/>
    <x v="1"/>
    <x v="3"/>
    <x v="11"/>
    <s v="SE3_HP"/>
    <x v="2"/>
    <s v="GHOB_WASTEHEAT"/>
    <x v="0"/>
    <x v="23"/>
    <n v="3.4340659340659201E-3"/>
    <n v="1.2534340659340599"/>
    <n v="4.51236263736262"/>
  </r>
  <r>
    <x v="0"/>
    <x v="0"/>
    <x v="1"/>
    <x v="3"/>
    <x v="11"/>
    <s v="SE3_HP"/>
    <x v="7"/>
    <s v="GEXT_WOODWASTE"/>
    <x v="0"/>
    <x v="7"/>
    <n v="11.687708337481"/>
    <n v="4266.0135431805702"/>
    <n v="15357.64875545"/>
  </r>
  <r>
    <x v="0"/>
    <x v="0"/>
    <x v="1"/>
    <x v="3"/>
    <x v="11"/>
    <s v="SE3_HP"/>
    <x v="7"/>
    <s v="GEXT_WOODWASTE"/>
    <x v="0"/>
    <x v="8"/>
    <n v="10.4861433202312"/>
    <n v="3827.4423118844002"/>
    <n v="13778.7923227838"/>
  </r>
  <r>
    <x v="0"/>
    <x v="0"/>
    <x v="1"/>
    <x v="3"/>
    <x v="11"/>
    <s v="SE3_HP"/>
    <x v="7"/>
    <s v="GEXT_WOODWASTE"/>
    <x v="0"/>
    <x v="9"/>
    <n v="6.5696765559018804"/>
    <n v="2397.9319429041898"/>
    <n v="8632.5549944550694"/>
  </r>
  <r>
    <x v="0"/>
    <x v="0"/>
    <x v="1"/>
    <x v="3"/>
    <x v="11"/>
    <s v="SE3_HP"/>
    <x v="7"/>
    <s v="GEXT_WOODWASTE"/>
    <x v="0"/>
    <x v="10"/>
    <n v="12.1788198140327"/>
    <n v="4445.2692321219502"/>
    <n v="16002.969235639001"/>
  </r>
  <r>
    <x v="0"/>
    <x v="0"/>
    <x v="1"/>
    <x v="3"/>
    <x v="11"/>
    <s v="SE3_HP"/>
    <x v="7"/>
    <s v="GEXT_WOODWASTE"/>
    <x v="0"/>
    <x v="11"/>
    <n v="28.6136382611691"/>
    <n v="10443.9779653267"/>
    <n v="37598.320675176103"/>
  </r>
  <r>
    <x v="0"/>
    <x v="0"/>
    <x v="1"/>
    <x v="3"/>
    <x v="11"/>
    <s v="SE3_HP"/>
    <x v="7"/>
    <s v="GEXT_WOODWASTE"/>
    <x v="0"/>
    <x v="12"/>
    <n v="24.692841471984099"/>
    <n v="9012.8871372742105"/>
    <n v="32446.393694187202"/>
  </r>
  <r>
    <x v="0"/>
    <x v="0"/>
    <x v="1"/>
    <x v="3"/>
    <x v="11"/>
    <s v="SE3_HP"/>
    <x v="7"/>
    <s v="GEXT_WOODWASTE"/>
    <x v="0"/>
    <x v="13"/>
    <n v="19.492983319637801"/>
    <n v="7114.9389116678003"/>
    <n v="25613.780082004101"/>
  </r>
  <r>
    <x v="0"/>
    <x v="0"/>
    <x v="1"/>
    <x v="3"/>
    <x v="11"/>
    <s v="SE3_HP"/>
    <x v="7"/>
    <s v="GEXT_WOODWASTE"/>
    <x v="0"/>
    <x v="14"/>
    <n v="11.0137863100178"/>
    <n v="4020.0320031565202"/>
    <n v="14472.1152113635"/>
  </r>
  <r>
    <x v="0"/>
    <x v="0"/>
    <x v="1"/>
    <x v="3"/>
    <x v="11"/>
    <s v="SE3_HP"/>
    <x v="7"/>
    <s v="GEXT_WOODWASTE"/>
    <x v="0"/>
    <x v="15"/>
    <n v="3.8044819776544001"/>
    <n v="1388.6359218438599"/>
    <n v="4999.0893186378898"/>
  </r>
  <r>
    <x v="0"/>
    <x v="0"/>
    <x v="1"/>
    <x v="3"/>
    <x v="11"/>
    <s v="SE3_HP"/>
    <x v="7"/>
    <s v="GHOB_WOODWASTE"/>
    <x v="0"/>
    <x v="7"/>
    <n v="14.237691068301199"/>
    <n v="5196.7572399299497"/>
    <n v="18708.326063747802"/>
  </r>
  <r>
    <x v="0"/>
    <x v="0"/>
    <x v="1"/>
    <x v="3"/>
    <x v="11"/>
    <s v="SE3_HP"/>
    <x v="7"/>
    <s v="GHOB_WOODWASTE"/>
    <x v="0"/>
    <x v="8"/>
    <n v="14.237691068301199"/>
    <n v="5196.7572399299497"/>
    <n v="18708.326063747802"/>
  </r>
  <r>
    <x v="0"/>
    <x v="0"/>
    <x v="1"/>
    <x v="3"/>
    <x v="11"/>
    <s v="SE3_HP"/>
    <x v="7"/>
    <s v="GHOB_WOODWASTE"/>
    <x v="0"/>
    <x v="9"/>
    <n v="14.237691068301199"/>
    <n v="5196.7572399299497"/>
    <n v="18708.326063747802"/>
  </r>
  <r>
    <x v="0"/>
    <x v="0"/>
    <x v="1"/>
    <x v="3"/>
    <x v="11"/>
    <s v="SE3_HP"/>
    <x v="7"/>
    <s v="GHOB_WOODWASTE"/>
    <x v="0"/>
    <x v="10"/>
    <n v="14.237691068301199"/>
    <n v="5196.7572399299497"/>
    <n v="18708.326063747802"/>
  </r>
  <r>
    <x v="0"/>
    <x v="0"/>
    <x v="1"/>
    <x v="3"/>
    <x v="11"/>
    <s v="SE3_HP"/>
    <x v="7"/>
    <s v="GHOB_WOODWASTE"/>
    <x v="0"/>
    <x v="11"/>
    <n v="14.237691068301199"/>
    <n v="5196.7572399299497"/>
    <n v="18708.326063747802"/>
  </r>
  <r>
    <x v="0"/>
    <x v="0"/>
    <x v="1"/>
    <x v="3"/>
    <x v="11"/>
    <s v="SE3_HP"/>
    <x v="7"/>
    <s v="GHOB_WOODWASTE"/>
    <x v="0"/>
    <x v="12"/>
    <n v="14.237691068301199"/>
    <n v="5196.7572399299497"/>
    <n v="18708.326063747802"/>
  </r>
  <r>
    <x v="0"/>
    <x v="0"/>
    <x v="1"/>
    <x v="3"/>
    <x v="11"/>
    <s v="SE3_HP"/>
    <x v="7"/>
    <s v="GHOB_WOODWASTE"/>
    <x v="0"/>
    <x v="13"/>
    <n v="14.237691068301199"/>
    <n v="5196.7572399299497"/>
    <n v="18708.326063747802"/>
  </r>
  <r>
    <x v="0"/>
    <x v="0"/>
    <x v="1"/>
    <x v="3"/>
    <x v="11"/>
    <s v="SE3_HP"/>
    <x v="7"/>
    <s v="GHOB_WOODWASTE"/>
    <x v="0"/>
    <x v="14"/>
    <n v="14.237691068301199"/>
    <n v="5196.7572399299497"/>
    <n v="18708.326063747802"/>
  </r>
  <r>
    <x v="0"/>
    <x v="0"/>
    <x v="1"/>
    <x v="3"/>
    <x v="11"/>
    <s v="SE3_HP"/>
    <x v="7"/>
    <s v="GHOB_WOODWASTE"/>
    <x v="0"/>
    <x v="15"/>
    <n v="14.237691068301199"/>
    <n v="5196.7572399299497"/>
    <n v="18708.326063747802"/>
  </r>
  <r>
    <x v="0"/>
    <x v="0"/>
    <x v="1"/>
    <x v="3"/>
    <x v="11"/>
    <s v="SE3_HP"/>
    <x v="7"/>
    <s v="GHOB_WOODWASTE"/>
    <x v="0"/>
    <x v="16"/>
    <n v="14.237691068301199"/>
    <n v="5196.7572399299497"/>
    <n v="18708.326063747802"/>
  </r>
  <r>
    <x v="0"/>
    <x v="0"/>
    <x v="1"/>
    <x v="3"/>
    <x v="11"/>
    <s v="SE3_HP"/>
    <x v="7"/>
    <s v="GHOB_WOODWASTE"/>
    <x v="0"/>
    <x v="17"/>
    <n v="7.6081161637263204"/>
    <n v="2776.9623997601102"/>
    <n v="9997.0646391363898"/>
  </r>
  <r>
    <x v="0"/>
    <x v="0"/>
    <x v="1"/>
    <x v="3"/>
    <x v="11"/>
    <s v="SE3_HP"/>
    <x v="7"/>
    <s v="GHOB_WOODWASTE"/>
    <x v="0"/>
    <x v="18"/>
    <n v="3.2143020602903798"/>
    <n v="1173.22025200599"/>
    <n v="4223.5929072215604"/>
  </r>
  <r>
    <x v="0"/>
    <x v="0"/>
    <x v="1"/>
    <x v="3"/>
    <x v="11"/>
    <s v="SE3_HP"/>
    <x v="7"/>
    <s v="GHOB_WOODWASTE"/>
    <x v="0"/>
    <x v="19"/>
    <n v="3.30875236762017"/>
    <n v="1207.6946141813601"/>
    <n v="4347.7006110529101"/>
  </r>
  <r>
    <x v="0"/>
    <x v="0"/>
    <x v="1"/>
    <x v="3"/>
    <x v="11"/>
    <s v="SE3_OTHER"/>
    <x v="3"/>
    <s v="GNR_BO_ELEC_E-99_SS-1-MW-FEED_Y-2030"/>
    <x v="0"/>
    <x v="0"/>
    <n v="731.49170117257995"/>
    <n v="266994.47092799202"/>
    <n v="961180.09534076997"/>
  </r>
  <r>
    <x v="0"/>
    <x v="0"/>
    <x v="1"/>
    <x v="3"/>
    <x v="11"/>
    <s v="SE3_OTHER"/>
    <x v="3"/>
    <s v="GNR_BO_ELEC_E-99_SS-1-MW-FEED_Y-2030"/>
    <x v="0"/>
    <x v="1"/>
    <n v="753.65159888333199"/>
    <n v="275082.83359241602"/>
    <n v="990298.20093269902"/>
  </r>
  <r>
    <x v="0"/>
    <x v="0"/>
    <x v="1"/>
    <x v="3"/>
    <x v="11"/>
    <s v="SE3_OTHER"/>
    <x v="3"/>
    <s v="GNR_BO_ELEC_E-99_SS-1-MW-FEED_Y-2030"/>
    <x v="0"/>
    <x v="2"/>
    <n v="766.24480510423996"/>
    <n v="279679.35386304802"/>
    <n v="1006845.67390697"/>
  </r>
  <r>
    <x v="0"/>
    <x v="0"/>
    <x v="1"/>
    <x v="3"/>
    <x v="11"/>
    <s v="SE3_OTHER"/>
    <x v="3"/>
    <s v="GNR_BO_ELEC_E-99_SS-1-MW-FEED_Y-2030"/>
    <x v="0"/>
    <x v="3"/>
    <n v="819.27731220344504"/>
    <n v="299036.21895425703"/>
    <n v="1076530.3882353301"/>
  </r>
  <r>
    <x v="0"/>
    <x v="0"/>
    <x v="1"/>
    <x v="3"/>
    <x v="11"/>
    <s v="SE3_OTHER"/>
    <x v="3"/>
    <s v="GNR_BO_ELEC_E-99_SS-1-MW-FEED_Y-2030"/>
    <x v="0"/>
    <x v="4"/>
    <n v="871.87614494843501"/>
    <n v="318234.79290617898"/>
    <n v="1145645.25446224"/>
  </r>
  <r>
    <x v="0"/>
    <x v="0"/>
    <x v="1"/>
    <x v="3"/>
    <x v="11"/>
    <s v="SE3_OTHER"/>
    <x v="3"/>
    <s v="GNR_BO_ELEC_E-99_SS-1-MW-FEED_Y-2030"/>
    <x v="0"/>
    <x v="5"/>
    <n v="923.18122598693401"/>
    <n v="336961.14748523099"/>
    <n v="1213060.1309468299"/>
  </r>
  <r>
    <x v="0"/>
    <x v="0"/>
    <x v="1"/>
    <x v="3"/>
    <x v="11"/>
    <s v="SE3_OTHER"/>
    <x v="3"/>
    <s v="GNR_BO_ELEC_E-99_SS-1-MW-FEED_Y-2030"/>
    <x v="0"/>
    <x v="6"/>
    <n v="923.18122598693401"/>
    <n v="336961.14748523099"/>
    <n v="1213060.1309468299"/>
  </r>
  <r>
    <x v="0"/>
    <x v="0"/>
    <x v="1"/>
    <x v="3"/>
    <x v="11"/>
    <s v="SE3_OTHER"/>
    <x v="3"/>
    <s v="GNR_BO_ELEC_E-99_SS-1-MW-FEED_Y-2030"/>
    <x v="0"/>
    <x v="7"/>
    <n v="923.18122598693401"/>
    <n v="336961.14748523099"/>
    <n v="1213060.1309468299"/>
  </r>
  <r>
    <x v="0"/>
    <x v="0"/>
    <x v="1"/>
    <x v="3"/>
    <x v="11"/>
    <s v="SE3_OTHER"/>
    <x v="3"/>
    <s v="GNR_BO_ELEC_E-99_SS-1-MW-FEED_Y-2030"/>
    <x v="0"/>
    <x v="8"/>
    <n v="923.18122598693401"/>
    <n v="336961.14748523099"/>
    <n v="1213060.1309468299"/>
  </r>
  <r>
    <x v="0"/>
    <x v="0"/>
    <x v="1"/>
    <x v="3"/>
    <x v="11"/>
    <s v="SE3_OTHER"/>
    <x v="3"/>
    <s v="GNR_BO_ELEC_E-99_SS-1-MW-FEED_Y-2030"/>
    <x v="0"/>
    <x v="9"/>
    <n v="923.18122598693401"/>
    <n v="336961.14748523099"/>
    <n v="1213060.1309468299"/>
  </r>
  <r>
    <x v="0"/>
    <x v="0"/>
    <x v="1"/>
    <x v="3"/>
    <x v="11"/>
    <s v="SE3_OTHER"/>
    <x v="3"/>
    <s v="GNR_BO_ELEC_E-99_SS-1-MW-FEED_Y-2030"/>
    <x v="0"/>
    <x v="10"/>
    <n v="923.18122598693401"/>
    <n v="336961.14748523099"/>
    <n v="1213060.1309468299"/>
  </r>
  <r>
    <x v="0"/>
    <x v="0"/>
    <x v="1"/>
    <x v="3"/>
    <x v="11"/>
    <s v="SE3_OTHER"/>
    <x v="3"/>
    <s v="GNR_BO_ELEC_E-99_SS-1-MW-FEED_Y-2030"/>
    <x v="0"/>
    <x v="11"/>
    <n v="923.18122598693401"/>
    <n v="336961.14748523099"/>
    <n v="1213060.1309468299"/>
  </r>
  <r>
    <x v="0"/>
    <x v="0"/>
    <x v="1"/>
    <x v="3"/>
    <x v="11"/>
    <s v="SE3_OTHER"/>
    <x v="3"/>
    <s v="GNR_BO_ELEC_E-99_SS-1-MW-FEED_Y-2030"/>
    <x v="0"/>
    <x v="12"/>
    <n v="923.18122598693401"/>
    <n v="336961.14748523099"/>
    <n v="1213060.1309468299"/>
  </r>
  <r>
    <x v="0"/>
    <x v="0"/>
    <x v="1"/>
    <x v="3"/>
    <x v="11"/>
    <s v="SE3_OTHER"/>
    <x v="3"/>
    <s v="GNR_BO_ELEC_E-99_SS-1-MW-FEED_Y-2030"/>
    <x v="0"/>
    <x v="13"/>
    <n v="923.18122598693401"/>
    <n v="336961.14748523099"/>
    <n v="1213060.1309468299"/>
  </r>
  <r>
    <x v="0"/>
    <x v="0"/>
    <x v="1"/>
    <x v="3"/>
    <x v="11"/>
    <s v="SE3_OTHER"/>
    <x v="3"/>
    <s v="GNR_BO_ELEC_E-99_SS-1-MW-FEED_Y-2030"/>
    <x v="0"/>
    <x v="14"/>
    <n v="923.18122598693401"/>
    <n v="336961.14748523099"/>
    <n v="1213060.1309468299"/>
  </r>
  <r>
    <x v="0"/>
    <x v="0"/>
    <x v="1"/>
    <x v="3"/>
    <x v="11"/>
    <s v="SE3_OTHER"/>
    <x v="3"/>
    <s v="GNR_BO_ELEC_E-99_SS-1-MW-FEED_Y-2030"/>
    <x v="0"/>
    <x v="15"/>
    <n v="923.18122598693401"/>
    <n v="336961.14748523099"/>
    <n v="1213060.1309468299"/>
  </r>
  <r>
    <x v="0"/>
    <x v="0"/>
    <x v="1"/>
    <x v="3"/>
    <x v="11"/>
    <s v="SE3_OTHER"/>
    <x v="3"/>
    <s v="GNR_BO_ELEC_E-99_SS-1-MW-FEED_Y-2030"/>
    <x v="0"/>
    <x v="16"/>
    <n v="923.18122598693401"/>
    <n v="336961.14748523099"/>
    <n v="1213060.1309468299"/>
  </r>
  <r>
    <x v="0"/>
    <x v="0"/>
    <x v="1"/>
    <x v="3"/>
    <x v="11"/>
    <s v="SE3_OTHER"/>
    <x v="3"/>
    <s v="GNR_BO_ELEC_E-99_SS-1-MW-FEED_Y-2030"/>
    <x v="0"/>
    <x v="17"/>
    <n v="923.18122598693401"/>
    <n v="336961.14748523099"/>
    <n v="1213060.1309468299"/>
  </r>
  <r>
    <x v="0"/>
    <x v="0"/>
    <x v="1"/>
    <x v="3"/>
    <x v="11"/>
    <s v="SE3_OTHER"/>
    <x v="3"/>
    <s v="GNR_BO_ELEC_E-99_SS-1-MW-FEED_Y-2030"/>
    <x v="0"/>
    <x v="18"/>
    <n v="923.18122598693401"/>
    <n v="336961.14748523099"/>
    <n v="1213060.1309468299"/>
  </r>
  <r>
    <x v="0"/>
    <x v="0"/>
    <x v="1"/>
    <x v="3"/>
    <x v="11"/>
    <s v="SE3_OTHER"/>
    <x v="3"/>
    <s v="GNR_BO_ELEC_E-99_SS-1-MW-FEED_Y-2030"/>
    <x v="0"/>
    <x v="19"/>
    <n v="923.18122598693401"/>
    <n v="336961.14748523099"/>
    <n v="1213060.1309468299"/>
  </r>
  <r>
    <x v="0"/>
    <x v="0"/>
    <x v="1"/>
    <x v="3"/>
    <x v="11"/>
    <s v="SE3_OTHER"/>
    <x v="3"/>
    <s v="GNR_BO_ELEC_E-99_SS-1-MW-FEED_Y-2030"/>
    <x v="0"/>
    <x v="20"/>
    <n v="923.18122598693401"/>
    <n v="336961.14748523099"/>
    <n v="1213060.1309468299"/>
  </r>
  <r>
    <x v="0"/>
    <x v="0"/>
    <x v="1"/>
    <x v="3"/>
    <x v="11"/>
    <s v="SE3_OTHER"/>
    <x v="3"/>
    <s v="GNR_BO_ELEC_E-99_SS-1-MW-FEED_Y-2030"/>
    <x v="0"/>
    <x v="21"/>
    <n v="923.18122598693401"/>
    <n v="336961.14748523099"/>
    <n v="1213060.1309468299"/>
  </r>
  <r>
    <x v="0"/>
    <x v="0"/>
    <x v="1"/>
    <x v="3"/>
    <x v="11"/>
    <s v="SE3_OTHER"/>
    <x v="3"/>
    <s v="GNR_BO_ELEC_E-99_SS-1-MW-FEED_Y-2030"/>
    <x v="0"/>
    <x v="22"/>
    <n v="905.61885618190195"/>
    <n v="330550.882506394"/>
    <n v="1189983.1770230201"/>
  </r>
  <r>
    <x v="0"/>
    <x v="0"/>
    <x v="1"/>
    <x v="3"/>
    <x v="11"/>
    <s v="SE3_OTHER"/>
    <x v="3"/>
    <s v="GNR_BO_ELEC_E-99_SS-1-MW-FEED_Y-2030"/>
    <x v="0"/>
    <x v="23"/>
    <n v="822.28947207910005"/>
    <n v="300135.65730887098"/>
    <n v="1080488.3663119399"/>
  </r>
  <r>
    <x v="0"/>
    <x v="0"/>
    <x v="1"/>
    <x v="3"/>
    <x v="11"/>
    <s v="SE3_OTHER"/>
    <x v="1"/>
    <s v="GBPR_MUNIWASTE_24"/>
    <x v="0"/>
    <x v="7"/>
    <n v="91.963540490351804"/>
    <n v="33566.6922789784"/>
    <n v="120840.09220432201"/>
  </r>
  <r>
    <x v="0"/>
    <x v="0"/>
    <x v="1"/>
    <x v="3"/>
    <x v="11"/>
    <s v="SE3_OTHER"/>
    <x v="1"/>
    <s v="GBPR_MUNIWASTE_24"/>
    <x v="0"/>
    <x v="8"/>
    <n v="62.175175742169799"/>
    <n v="22693.939145892"/>
    <n v="81698.180925211098"/>
  </r>
  <r>
    <x v="0"/>
    <x v="0"/>
    <x v="1"/>
    <x v="3"/>
    <x v="11"/>
    <s v="SE3_OTHER"/>
    <x v="1"/>
    <s v="GHOB_MUNIWASTE"/>
    <x v="0"/>
    <x v="0"/>
    <n v="107.549551778698"/>
    <n v="39255.5863992249"/>
    <n v="141320.11103721001"/>
  </r>
  <r>
    <x v="0"/>
    <x v="0"/>
    <x v="1"/>
    <x v="3"/>
    <x v="11"/>
    <s v="SE3_OTHER"/>
    <x v="1"/>
    <s v="GHOB_MUNIWASTE"/>
    <x v="0"/>
    <x v="1"/>
    <n v="107.549551778698"/>
    <n v="39255.5863992249"/>
    <n v="141320.11103721001"/>
  </r>
  <r>
    <x v="0"/>
    <x v="0"/>
    <x v="1"/>
    <x v="3"/>
    <x v="11"/>
    <s v="SE3_OTHER"/>
    <x v="1"/>
    <s v="GHOB_MUNIWASTE"/>
    <x v="0"/>
    <x v="2"/>
    <n v="107.549551778698"/>
    <n v="39255.5863992249"/>
    <n v="141320.11103721001"/>
  </r>
  <r>
    <x v="0"/>
    <x v="0"/>
    <x v="1"/>
    <x v="3"/>
    <x v="11"/>
    <s v="SE3_OTHER"/>
    <x v="1"/>
    <s v="GHOB_MUNIWASTE"/>
    <x v="0"/>
    <x v="3"/>
    <n v="107.549551778698"/>
    <n v="39255.5863992249"/>
    <n v="141320.11103721001"/>
  </r>
  <r>
    <x v="0"/>
    <x v="0"/>
    <x v="1"/>
    <x v="3"/>
    <x v="11"/>
    <s v="SE3_OTHER"/>
    <x v="1"/>
    <s v="GHOB_MUNIWASTE"/>
    <x v="0"/>
    <x v="4"/>
    <n v="107.549551778698"/>
    <n v="39255.5863992249"/>
    <n v="141320.11103721001"/>
  </r>
  <r>
    <x v="0"/>
    <x v="0"/>
    <x v="1"/>
    <x v="3"/>
    <x v="11"/>
    <s v="SE3_OTHER"/>
    <x v="1"/>
    <s v="GHOB_MUNIWASTE"/>
    <x v="0"/>
    <x v="5"/>
    <n v="107.549551778698"/>
    <n v="39255.5863992249"/>
    <n v="141320.11103721001"/>
  </r>
  <r>
    <x v="0"/>
    <x v="0"/>
    <x v="1"/>
    <x v="3"/>
    <x v="11"/>
    <s v="SE3_OTHER"/>
    <x v="1"/>
    <s v="GHOB_MUNIWASTE"/>
    <x v="0"/>
    <x v="6"/>
    <n v="107.549551778698"/>
    <n v="39255.5863992249"/>
    <n v="141320.11103721001"/>
  </r>
  <r>
    <x v="0"/>
    <x v="0"/>
    <x v="1"/>
    <x v="3"/>
    <x v="11"/>
    <s v="SE3_OTHER"/>
    <x v="1"/>
    <s v="GHOB_MUNIWASTE"/>
    <x v="0"/>
    <x v="7"/>
    <n v="107.549551778698"/>
    <n v="39255.5863992249"/>
    <n v="141320.11103721001"/>
  </r>
  <r>
    <x v="0"/>
    <x v="0"/>
    <x v="1"/>
    <x v="3"/>
    <x v="11"/>
    <s v="SE3_OTHER"/>
    <x v="1"/>
    <s v="GHOB_MUNIWASTE"/>
    <x v="0"/>
    <x v="8"/>
    <n v="107.549551778698"/>
    <n v="39255.5863992249"/>
    <n v="141320.11103721001"/>
  </r>
  <r>
    <x v="0"/>
    <x v="0"/>
    <x v="1"/>
    <x v="3"/>
    <x v="11"/>
    <s v="SE3_OTHER"/>
    <x v="1"/>
    <s v="GHOB_MUNIWASTE"/>
    <x v="0"/>
    <x v="9"/>
    <n v="107.549551778698"/>
    <n v="39255.5863992249"/>
    <n v="141320.11103721001"/>
  </r>
  <r>
    <x v="0"/>
    <x v="0"/>
    <x v="1"/>
    <x v="3"/>
    <x v="11"/>
    <s v="SE3_OTHER"/>
    <x v="1"/>
    <s v="GHOB_MUNIWASTE"/>
    <x v="0"/>
    <x v="10"/>
    <n v="107.549551778698"/>
    <n v="39255.5863992249"/>
    <n v="141320.11103721001"/>
  </r>
  <r>
    <x v="0"/>
    <x v="0"/>
    <x v="1"/>
    <x v="3"/>
    <x v="11"/>
    <s v="SE3_OTHER"/>
    <x v="1"/>
    <s v="GHOB_MUNIWASTE"/>
    <x v="0"/>
    <x v="11"/>
    <n v="107.549551778698"/>
    <n v="39255.5863992249"/>
    <n v="141320.11103721001"/>
  </r>
  <r>
    <x v="0"/>
    <x v="0"/>
    <x v="1"/>
    <x v="3"/>
    <x v="11"/>
    <s v="SE3_OTHER"/>
    <x v="1"/>
    <s v="GHOB_MUNIWASTE"/>
    <x v="0"/>
    <x v="12"/>
    <n v="107.549551778698"/>
    <n v="39255.5863992249"/>
    <n v="141320.11103721001"/>
  </r>
  <r>
    <x v="0"/>
    <x v="0"/>
    <x v="1"/>
    <x v="3"/>
    <x v="11"/>
    <s v="SE3_OTHER"/>
    <x v="1"/>
    <s v="GHOB_MUNIWASTE"/>
    <x v="0"/>
    <x v="13"/>
    <n v="107.549551778698"/>
    <n v="39255.5863992249"/>
    <n v="141320.11103721001"/>
  </r>
  <r>
    <x v="0"/>
    <x v="0"/>
    <x v="1"/>
    <x v="3"/>
    <x v="11"/>
    <s v="SE3_OTHER"/>
    <x v="1"/>
    <s v="GHOB_MUNIWASTE"/>
    <x v="0"/>
    <x v="14"/>
    <n v="107.549551778698"/>
    <n v="39255.5863992249"/>
    <n v="141320.11103721001"/>
  </r>
  <r>
    <x v="0"/>
    <x v="0"/>
    <x v="1"/>
    <x v="3"/>
    <x v="11"/>
    <s v="SE3_OTHER"/>
    <x v="1"/>
    <s v="GHOB_MUNIWASTE"/>
    <x v="0"/>
    <x v="15"/>
    <n v="107.549551778698"/>
    <n v="39255.5863992249"/>
    <n v="141320.11103721001"/>
  </r>
  <r>
    <x v="0"/>
    <x v="0"/>
    <x v="1"/>
    <x v="3"/>
    <x v="11"/>
    <s v="SE3_OTHER"/>
    <x v="1"/>
    <s v="GHOB_MUNIWASTE"/>
    <x v="0"/>
    <x v="16"/>
    <n v="107.549551778698"/>
    <n v="39255.5863992249"/>
    <n v="141320.11103721001"/>
  </r>
  <r>
    <x v="0"/>
    <x v="0"/>
    <x v="1"/>
    <x v="3"/>
    <x v="11"/>
    <s v="SE3_OTHER"/>
    <x v="1"/>
    <s v="GHOB_MUNIWASTE"/>
    <x v="0"/>
    <x v="17"/>
    <n v="107.549551778698"/>
    <n v="39255.5863992249"/>
    <n v="141320.11103721001"/>
  </r>
  <r>
    <x v="0"/>
    <x v="0"/>
    <x v="1"/>
    <x v="3"/>
    <x v="11"/>
    <s v="SE3_OTHER"/>
    <x v="1"/>
    <s v="GHOB_MUNIWASTE"/>
    <x v="0"/>
    <x v="18"/>
    <n v="107.549551778698"/>
    <n v="39255.5863992249"/>
    <n v="141320.11103721001"/>
  </r>
  <r>
    <x v="0"/>
    <x v="0"/>
    <x v="1"/>
    <x v="3"/>
    <x v="11"/>
    <s v="SE3_OTHER"/>
    <x v="1"/>
    <s v="GHOB_MUNIWASTE"/>
    <x v="0"/>
    <x v="19"/>
    <n v="107.549551778698"/>
    <n v="39255.5863992249"/>
    <n v="141320.11103721001"/>
  </r>
  <r>
    <x v="0"/>
    <x v="0"/>
    <x v="1"/>
    <x v="3"/>
    <x v="11"/>
    <s v="SE3_OTHER"/>
    <x v="1"/>
    <s v="GHOB_MUNIWASTE"/>
    <x v="0"/>
    <x v="20"/>
    <n v="107.549551778698"/>
    <n v="39255.5863992249"/>
    <n v="141320.11103721001"/>
  </r>
  <r>
    <x v="0"/>
    <x v="0"/>
    <x v="1"/>
    <x v="3"/>
    <x v="11"/>
    <s v="SE3_OTHER"/>
    <x v="1"/>
    <s v="GHOB_MUNIWASTE"/>
    <x v="0"/>
    <x v="21"/>
    <n v="107.549551778698"/>
    <n v="39255.5863992249"/>
    <n v="141320.11103721001"/>
  </r>
  <r>
    <x v="0"/>
    <x v="0"/>
    <x v="1"/>
    <x v="3"/>
    <x v="11"/>
    <s v="SE3_OTHER"/>
    <x v="1"/>
    <s v="GHOB_MUNIWASTE"/>
    <x v="0"/>
    <x v="22"/>
    <n v="107.549551778698"/>
    <n v="39255.5863992249"/>
    <n v="141320.11103721001"/>
  </r>
  <r>
    <x v="0"/>
    <x v="0"/>
    <x v="1"/>
    <x v="3"/>
    <x v="11"/>
    <s v="SE3_OTHER"/>
    <x v="1"/>
    <s v="GHOB_MUNIWASTE"/>
    <x v="0"/>
    <x v="23"/>
    <n v="107.549551778698"/>
    <n v="39255.5863992249"/>
    <n v="141320.11103721001"/>
  </r>
  <r>
    <x v="0"/>
    <x v="0"/>
    <x v="1"/>
    <x v="3"/>
    <x v="11"/>
    <s v="SE3_OTHER"/>
    <x v="2"/>
    <s v="GHOB_WASTEHEAT"/>
    <x v="0"/>
    <x v="0"/>
    <n v="135.051739926739"/>
    <n v="49293.885073259902"/>
    <n v="177457.98626373601"/>
  </r>
  <r>
    <x v="0"/>
    <x v="0"/>
    <x v="1"/>
    <x v="3"/>
    <x v="11"/>
    <s v="SE3_OTHER"/>
    <x v="2"/>
    <s v="GHOB_WASTEHEAT"/>
    <x v="0"/>
    <x v="1"/>
    <n v="135.051739926739"/>
    <n v="49293.885073259902"/>
    <n v="177457.98626373601"/>
  </r>
  <r>
    <x v="0"/>
    <x v="0"/>
    <x v="1"/>
    <x v="3"/>
    <x v="11"/>
    <s v="SE3_OTHER"/>
    <x v="2"/>
    <s v="GHOB_WASTEHEAT"/>
    <x v="0"/>
    <x v="2"/>
    <n v="135.051739926739"/>
    <n v="49293.885073259902"/>
    <n v="177457.98626373601"/>
  </r>
  <r>
    <x v="0"/>
    <x v="0"/>
    <x v="1"/>
    <x v="3"/>
    <x v="11"/>
    <s v="SE3_OTHER"/>
    <x v="2"/>
    <s v="GHOB_WASTEHEAT"/>
    <x v="0"/>
    <x v="3"/>
    <n v="135.051739926739"/>
    <n v="49293.885073259902"/>
    <n v="177457.98626373601"/>
  </r>
  <r>
    <x v="0"/>
    <x v="0"/>
    <x v="1"/>
    <x v="3"/>
    <x v="11"/>
    <s v="SE3_OTHER"/>
    <x v="2"/>
    <s v="GHOB_WASTEHEAT"/>
    <x v="0"/>
    <x v="4"/>
    <n v="135.051739926739"/>
    <n v="49293.885073259902"/>
    <n v="177457.98626373601"/>
  </r>
  <r>
    <x v="0"/>
    <x v="0"/>
    <x v="1"/>
    <x v="3"/>
    <x v="11"/>
    <s v="SE3_OTHER"/>
    <x v="2"/>
    <s v="GHOB_WASTEHEAT"/>
    <x v="0"/>
    <x v="5"/>
    <n v="135.051739926739"/>
    <n v="49293.885073259902"/>
    <n v="177457.98626373601"/>
  </r>
  <r>
    <x v="0"/>
    <x v="0"/>
    <x v="1"/>
    <x v="3"/>
    <x v="11"/>
    <s v="SE3_OTHER"/>
    <x v="2"/>
    <s v="GHOB_WASTEHEAT"/>
    <x v="0"/>
    <x v="6"/>
    <n v="135.051739926739"/>
    <n v="49293.885073259902"/>
    <n v="177457.98626373601"/>
  </r>
  <r>
    <x v="0"/>
    <x v="0"/>
    <x v="1"/>
    <x v="3"/>
    <x v="11"/>
    <s v="SE3_OTHER"/>
    <x v="2"/>
    <s v="GHOB_WASTEHEAT"/>
    <x v="0"/>
    <x v="7"/>
    <n v="135.051739926739"/>
    <n v="49293.885073259902"/>
    <n v="177457.98626373601"/>
  </r>
  <r>
    <x v="0"/>
    <x v="0"/>
    <x v="1"/>
    <x v="3"/>
    <x v="11"/>
    <s v="SE3_OTHER"/>
    <x v="2"/>
    <s v="GHOB_WASTEHEAT"/>
    <x v="0"/>
    <x v="8"/>
    <n v="135.051739926739"/>
    <n v="49293.885073259902"/>
    <n v="177457.98626373601"/>
  </r>
  <r>
    <x v="0"/>
    <x v="0"/>
    <x v="1"/>
    <x v="3"/>
    <x v="11"/>
    <s v="SE3_OTHER"/>
    <x v="2"/>
    <s v="GHOB_WASTEHEAT"/>
    <x v="0"/>
    <x v="9"/>
    <n v="135.051739926739"/>
    <n v="49293.885073259902"/>
    <n v="177457.98626373601"/>
  </r>
  <r>
    <x v="0"/>
    <x v="0"/>
    <x v="1"/>
    <x v="3"/>
    <x v="11"/>
    <s v="SE3_OTHER"/>
    <x v="2"/>
    <s v="GHOB_WASTEHEAT"/>
    <x v="0"/>
    <x v="10"/>
    <n v="135.051739926739"/>
    <n v="49293.885073259902"/>
    <n v="177457.98626373601"/>
  </r>
  <r>
    <x v="0"/>
    <x v="0"/>
    <x v="1"/>
    <x v="3"/>
    <x v="11"/>
    <s v="SE3_OTHER"/>
    <x v="2"/>
    <s v="GHOB_WASTEHEAT"/>
    <x v="0"/>
    <x v="11"/>
    <n v="135.051739926739"/>
    <n v="49293.885073259902"/>
    <n v="177457.98626373601"/>
  </r>
  <r>
    <x v="0"/>
    <x v="0"/>
    <x v="1"/>
    <x v="3"/>
    <x v="11"/>
    <s v="SE3_OTHER"/>
    <x v="2"/>
    <s v="GHOB_WASTEHEAT"/>
    <x v="0"/>
    <x v="12"/>
    <n v="135.051739926739"/>
    <n v="49293.885073259902"/>
    <n v="177457.98626373601"/>
  </r>
  <r>
    <x v="0"/>
    <x v="0"/>
    <x v="1"/>
    <x v="3"/>
    <x v="11"/>
    <s v="SE3_OTHER"/>
    <x v="2"/>
    <s v="GHOB_WASTEHEAT"/>
    <x v="0"/>
    <x v="13"/>
    <n v="135.051739926739"/>
    <n v="49293.885073259902"/>
    <n v="177457.98626373601"/>
  </r>
  <r>
    <x v="0"/>
    <x v="0"/>
    <x v="1"/>
    <x v="3"/>
    <x v="11"/>
    <s v="SE3_OTHER"/>
    <x v="2"/>
    <s v="GHOB_WASTEHEAT"/>
    <x v="0"/>
    <x v="14"/>
    <n v="135.051739926739"/>
    <n v="49293.885073259902"/>
    <n v="177457.98626373601"/>
  </r>
  <r>
    <x v="0"/>
    <x v="0"/>
    <x v="1"/>
    <x v="3"/>
    <x v="11"/>
    <s v="SE3_OTHER"/>
    <x v="2"/>
    <s v="GHOB_WASTEHEAT"/>
    <x v="0"/>
    <x v="15"/>
    <n v="135.051739926739"/>
    <n v="49293.885073259902"/>
    <n v="177457.98626373601"/>
  </r>
  <r>
    <x v="0"/>
    <x v="0"/>
    <x v="1"/>
    <x v="3"/>
    <x v="11"/>
    <s v="SE3_OTHER"/>
    <x v="2"/>
    <s v="GHOB_WASTEHEAT"/>
    <x v="0"/>
    <x v="16"/>
    <n v="135.051739926739"/>
    <n v="49293.885073259902"/>
    <n v="177457.98626373601"/>
  </r>
  <r>
    <x v="0"/>
    <x v="0"/>
    <x v="1"/>
    <x v="3"/>
    <x v="11"/>
    <s v="SE3_OTHER"/>
    <x v="2"/>
    <s v="GHOB_WASTEHEAT"/>
    <x v="0"/>
    <x v="17"/>
    <n v="135.051739926739"/>
    <n v="49293.885073259902"/>
    <n v="177457.98626373601"/>
  </r>
  <r>
    <x v="0"/>
    <x v="0"/>
    <x v="1"/>
    <x v="3"/>
    <x v="11"/>
    <s v="SE3_OTHER"/>
    <x v="2"/>
    <s v="GHOB_WASTEHEAT"/>
    <x v="0"/>
    <x v="18"/>
    <n v="135.051739926739"/>
    <n v="49293.885073259902"/>
    <n v="177457.98626373601"/>
  </r>
  <r>
    <x v="0"/>
    <x v="0"/>
    <x v="1"/>
    <x v="3"/>
    <x v="11"/>
    <s v="SE3_OTHER"/>
    <x v="2"/>
    <s v="GHOB_WASTEHEAT"/>
    <x v="0"/>
    <x v="19"/>
    <n v="135.051739926739"/>
    <n v="49293.885073259902"/>
    <n v="177457.98626373601"/>
  </r>
  <r>
    <x v="0"/>
    <x v="0"/>
    <x v="1"/>
    <x v="3"/>
    <x v="11"/>
    <s v="SE3_OTHER"/>
    <x v="2"/>
    <s v="GHOB_WASTEHEAT"/>
    <x v="0"/>
    <x v="20"/>
    <n v="135.051739926739"/>
    <n v="49293.885073259902"/>
    <n v="177457.98626373601"/>
  </r>
  <r>
    <x v="0"/>
    <x v="0"/>
    <x v="1"/>
    <x v="3"/>
    <x v="11"/>
    <s v="SE3_OTHER"/>
    <x v="2"/>
    <s v="GHOB_WASTEHEAT"/>
    <x v="0"/>
    <x v="21"/>
    <n v="135.051739926739"/>
    <n v="49293.885073259902"/>
    <n v="177457.98626373601"/>
  </r>
  <r>
    <x v="0"/>
    <x v="0"/>
    <x v="1"/>
    <x v="3"/>
    <x v="11"/>
    <s v="SE3_OTHER"/>
    <x v="2"/>
    <s v="GHOB_WASTEHEAT"/>
    <x v="0"/>
    <x v="22"/>
    <n v="135.051739926739"/>
    <n v="49293.885073259902"/>
    <n v="177457.98626373601"/>
  </r>
  <r>
    <x v="0"/>
    <x v="0"/>
    <x v="1"/>
    <x v="3"/>
    <x v="11"/>
    <s v="SE3_OTHER"/>
    <x v="2"/>
    <s v="GHOB_WASTEHEAT"/>
    <x v="0"/>
    <x v="23"/>
    <n v="135.051739926739"/>
    <n v="49293.885073259902"/>
    <n v="177457.98626373601"/>
  </r>
  <r>
    <x v="0"/>
    <x v="0"/>
    <x v="1"/>
    <x v="3"/>
    <x v="11"/>
    <s v="SE3_OTHER"/>
    <x v="7"/>
    <s v="GHOB_WOODWASTE"/>
    <x v="0"/>
    <x v="5"/>
    <n v="68.877020227326994"/>
    <n v="25140.112382974301"/>
    <n v="90504.404578707603"/>
  </r>
  <r>
    <x v="0"/>
    <x v="0"/>
    <x v="1"/>
    <x v="3"/>
    <x v="11"/>
    <s v="SE3_OTHER"/>
    <x v="7"/>
    <s v="GHOB_WOODWASTE"/>
    <x v="0"/>
    <x v="6"/>
    <n v="316.40033167429903"/>
    <n v="115486.121061119"/>
    <n v="415750.03582002799"/>
  </r>
  <r>
    <x v="0"/>
    <x v="0"/>
    <x v="1"/>
    <x v="3"/>
    <x v="11"/>
    <s v="SE3_OTHER"/>
    <x v="7"/>
    <s v="GHOB_WOODWASTE"/>
    <x v="0"/>
    <x v="7"/>
    <n v="325.99458788091101"/>
    <n v="118988.024576532"/>
    <n v="428356.888475516"/>
  </r>
  <r>
    <x v="0"/>
    <x v="0"/>
    <x v="1"/>
    <x v="3"/>
    <x v="11"/>
    <s v="SE3_OTHER"/>
    <x v="7"/>
    <s v="GHOB_WOODWASTE"/>
    <x v="0"/>
    <x v="8"/>
    <n v="325.99458788091101"/>
    <n v="118988.024576532"/>
    <n v="428356.888475516"/>
  </r>
  <r>
    <x v="0"/>
    <x v="0"/>
    <x v="1"/>
    <x v="3"/>
    <x v="11"/>
    <s v="SE3_OTHER"/>
    <x v="7"/>
    <s v="GHOB_WOODWASTE"/>
    <x v="0"/>
    <x v="9"/>
    <n v="325.99458788091101"/>
    <n v="118988.024576532"/>
    <n v="428356.888475516"/>
  </r>
  <r>
    <x v="0"/>
    <x v="0"/>
    <x v="1"/>
    <x v="3"/>
    <x v="11"/>
    <s v="SE3_OTHER"/>
    <x v="7"/>
    <s v="GHOB_WOODWASTE"/>
    <x v="0"/>
    <x v="10"/>
    <n v="268.81415795004801"/>
    <n v="98117.167651767304"/>
    <n v="353221.80354636197"/>
  </r>
  <r>
    <x v="0"/>
    <x v="0"/>
    <x v="1"/>
    <x v="3"/>
    <x v="11"/>
    <s v="SE3_OTHER"/>
    <x v="7"/>
    <s v="GHOB_WOODWASTE"/>
    <x v="0"/>
    <x v="11"/>
    <n v="230.53903931174801"/>
    <n v="84146.7493487881"/>
    <n v="302928.29765563703"/>
  </r>
  <r>
    <x v="0"/>
    <x v="0"/>
    <x v="1"/>
    <x v="3"/>
    <x v="11"/>
    <s v="SE3_OTHER"/>
    <x v="7"/>
    <s v="GHOB_WOODWASTE"/>
    <x v="0"/>
    <x v="12"/>
    <n v="172.70257122025001"/>
    <n v="63036.438495391099"/>
    <n v="226931.17858340801"/>
  </r>
  <r>
    <x v="0"/>
    <x v="0"/>
    <x v="1"/>
    <x v="3"/>
    <x v="11"/>
    <s v="SE3_OTHER"/>
    <x v="7"/>
    <s v="GHOB_WOODWASTE"/>
    <x v="0"/>
    <x v="13"/>
    <n v="143.32006818911299"/>
    <n v="52311.824889026102"/>
    <n v="188322.569600494"/>
  </r>
  <r>
    <x v="0"/>
    <x v="0"/>
    <x v="1"/>
    <x v="3"/>
    <x v="11"/>
    <s v="SE3_OTHER"/>
    <x v="7"/>
    <s v="GHOB_WOODWASTE"/>
    <x v="0"/>
    <x v="14"/>
    <n v="92.245188768132707"/>
    <n v="33669.493900368398"/>
    <n v="121210.178041326"/>
  </r>
  <r>
    <x v="0"/>
    <x v="0"/>
    <x v="1"/>
    <x v="3"/>
    <x v="11"/>
    <s v="SE3_OTHER"/>
    <x v="7"/>
    <s v="GHOB_WOODWASTE"/>
    <x v="0"/>
    <x v="15"/>
    <n v="63.3164176634968"/>
    <n v="23110.492447176399"/>
    <n v="83197.772809834903"/>
  </r>
  <r>
    <x v="0"/>
    <x v="0"/>
    <x v="1"/>
    <x v="3"/>
    <x v="11"/>
    <s v="SE3_OTHER"/>
    <x v="7"/>
    <s v="GHOB_WOODWASTE"/>
    <x v="0"/>
    <x v="16"/>
    <n v="57.647456462912899"/>
    <n v="21041.321608963201"/>
    <n v="75748.757792267599"/>
  </r>
  <r>
    <x v="0"/>
    <x v="0"/>
    <x v="1"/>
    <x v="3"/>
    <x v="11"/>
    <s v="SE3_OTHER"/>
    <x v="7"/>
    <s v="GHOB_WOODWASTE"/>
    <x v="0"/>
    <x v="17"/>
    <n v="38.441958262158302"/>
    <n v="14031.314765687801"/>
    <n v="50512.733156476002"/>
  </r>
  <r>
    <x v="0"/>
    <x v="0"/>
    <x v="1"/>
    <x v="3"/>
    <x v="11"/>
    <s v="SE3_OTHER"/>
    <x v="7"/>
    <s v="GHOB_WOODWASTE"/>
    <x v="0"/>
    <x v="18"/>
    <n v="42.893600840376401"/>
    <n v="15656.164306737401"/>
    <n v="56362.191504254602"/>
  </r>
  <r>
    <x v="0"/>
    <x v="0"/>
    <x v="1"/>
    <x v="3"/>
    <x v="11"/>
    <s v="SE3_OTHER"/>
    <x v="7"/>
    <s v="GHOB_WOODWASTE"/>
    <x v="0"/>
    <x v="19"/>
    <n v="63.862425730310399"/>
    <n v="23309.785391563299"/>
    <n v="83915.2274096279"/>
  </r>
  <r>
    <x v="0"/>
    <x v="0"/>
    <x v="1"/>
    <x v="3"/>
    <x v="11"/>
    <s v="SE3_OTHER"/>
    <x v="7"/>
    <s v="GHOB_WOODWASTE"/>
    <x v="0"/>
    <x v="20"/>
    <n v="53.3060350071366"/>
    <n v="19456.7027776049"/>
    <n v="70044.129999377503"/>
  </r>
  <r>
    <x v="0"/>
    <x v="0"/>
    <x v="1"/>
    <x v="3"/>
    <x v="11"/>
    <s v="SE3_OTHER"/>
    <x v="7"/>
    <s v="GHOB_WOODWASTE"/>
    <x v="0"/>
    <x v="21"/>
    <n v="25.313899097664699"/>
    <n v="9239.5731706476199"/>
    <n v="33262.463414331403"/>
  </r>
  <r>
    <x v="0"/>
    <x v="0"/>
    <x v="1"/>
    <x v="3"/>
    <x v="11"/>
    <s v="SE3_STO"/>
    <x v="3"/>
    <s v="GETOH_ELECTRICBOILER"/>
    <x v="0"/>
    <x v="0"/>
    <n v="219.82283499048799"/>
    <n v="80235.334771528098"/>
    <n v="288847.20517750102"/>
  </r>
  <r>
    <x v="0"/>
    <x v="0"/>
    <x v="1"/>
    <x v="3"/>
    <x v="11"/>
    <s v="SE3_STO"/>
    <x v="3"/>
    <s v="GETOH_ELECTRICBOILER"/>
    <x v="0"/>
    <x v="1"/>
    <n v="337"/>
    <n v="123005"/>
    <n v="442818"/>
  </r>
  <r>
    <x v="0"/>
    <x v="0"/>
    <x v="1"/>
    <x v="3"/>
    <x v="11"/>
    <s v="SE3_STO"/>
    <x v="3"/>
    <s v="GETOH_ELECTRICBOILER"/>
    <x v="0"/>
    <x v="2"/>
    <n v="337"/>
    <n v="123005"/>
    <n v="442818"/>
  </r>
  <r>
    <x v="0"/>
    <x v="0"/>
    <x v="1"/>
    <x v="3"/>
    <x v="11"/>
    <s v="SE3_STO"/>
    <x v="3"/>
    <s v="GETOH_ELECTRICBOILER"/>
    <x v="0"/>
    <x v="3"/>
    <n v="337"/>
    <n v="123005"/>
    <n v="442818"/>
  </r>
  <r>
    <x v="0"/>
    <x v="0"/>
    <x v="1"/>
    <x v="3"/>
    <x v="11"/>
    <s v="SE3_STO"/>
    <x v="3"/>
    <s v="GETOH_ELECTRICBOILER"/>
    <x v="0"/>
    <x v="4"/>
    <n v="337"/>
    <n v="123005"/>
    <n v="442818"/>
  </r>
  <r>
    <x v="0"/>
    <x v="0"/>
    <x v="1"/>
    <x v="3"/>
    <x v="11"/>
    <s v="SE3_STO"/>
    <x v="3"/>
    <s v="GETOH_ELECTRICBOILER"/>
    <x v="0"/>
    <x v="5"/>
    <n v="337"/>
    <n v="123005"/>
    <n v="442818"/>
  </r>
  <r>
    <x v="0"/>
    <x v="0"/>
    <x v="1"/>
    <x v="3"/>
    <x v="11"/>
    <s v="SE3_STO"/>
    <x v="3"/>
    <s v="GETOH_ELECTRICBOILER"/>
    <x v="0"/>
    <x v="6"/>
    <n v="337"/>
    <n v="123005"/>
    <n v="442818"/>
  </r>
  <r>
    <x v="0"/>
    <x v="0"/>
    <x v="1"/>
    <x v="3"/>
    <x v="11"/>
    <s v="SE3_STO"/>
    <x v="3"/>
    <s v="GETOH_ELECTRICBOILER"/>
    <x v="0"/>
    <x v="7"/>
    <n v="337"/>
    <n v="123005"/>
    <n v="442818"/>
  </r>
  <r>
    <x v="0"/>
    <x v="0"/>
    <x v="1"/>
    <x v="3"/>
    <x v="11"/>
    <s v="SE3_STO"/>
    <x v="3"/>
    <s v="GETOH_ELECTRICBOILER"/>
    <x v="0"/>
    <x v="8"/>
    <n v="337"/>
    <n v="123005"/>
    <n v="442818"/>
  </r>
  <r>
    <x v="0"/>
    <x v="0"/>
    <x v="1"/>
    <x v="3"/>
    <x v="11"/>
    <s v="SE3_STO"/>
    <x v="3"/>
    <s v="GETOH_ELECTRICBOILER"/>
    <x v="0"/>
    <x v="9"/>
    <n v="337"/>
    <n v="123005"/>
    <n v="442818"/>
  </r>
  <r>
    <x v="0"/>
    <x v="0"/>
    <x v="1"/>
    <x v="3"/>
    <x v="11"/>
    <s v="SE3_STO"/>
    <x v="3"/>
    <s v="GETOH_ELECTRICBOILER"/>
    <x v="0"/>
    <x v="10"/>
    <n v="337"/>
    <n v="123005"/>
    <n v="442818"/>
  </r>
  <r>
    <x v="0"/>
    <x v="0"/>
    <x v="1"/>
    <x v="3"/>
    <x v="11"/>
    <s v="SE3_STO"/>
    <x v="3"/>
    <s v="GETOH_ELECTRICBOILER"/>
    <x v="0"/>
    <x v="11"/>
    <n v="337"/>
    <n v="123005"/>
    <n v="442818"/>
  </r>
  <r>
    <x v="0"/>
    <x v="0"/>
    <x v="1"/>
    <x v="3"/>
    <x v="11"/>
    <s v="SE3_STO"/>
    <x v="3"/>
    <s v="GETOH_ELECTRICBOILER"/>
    <x v="0"/>
    <x v="12"/>
    <n v="337"/>
    <n v="123005"/>
    <n v="442818"/>
  </r>
  <r>
    <x v="0"/>
    <x v="0"/>
    <x v="1"/>
    <x v="3"/>
    <x v="11"/>
    <s v="SE3_STO"/>
    <x v="3"/>
    <s v="GETOH_ELECTRICBOILER"/>
    <x v="0"/>
    <x v="13"/>
    <n v="337"/>
    <n v="123005"/>
    <n v="442818"/>
  </r>
  <r>
    <x v="0"/>
    <x v="0"/>
    <x v="1"/>
    <x v="3"/>
    <x v="11"/>
    <s v="SE3_STO"/>
    <x v="3"/>
    <s v="GETOH_ELECTRICBOILER"/>
    <x v="0"/>
    <x v="14"/>
    <n v="337"/>
    <n v="123005"/>
    <n v="442818"/>
  </r>
  <r>
    <x v="0"/>
    <x v="0"/>
    <x v="1"/>
    <x v="3"/>
    <x v="11"/>
    <s v="SE3_STO"/>
    <x v="3"/>
    <s v="GETOH_ELECTRICBOILER"/>
    <x v="0"/>
    <x v="15"/>
    <n v="337"/>
    <n v="123005"/>
    <n v="442818"/>
  </r>
  <r>
    <x v="0"/>
    <x v="0"/>
    <x v="1"/>
    <x v="3"/>
    <x v="11"/>
    <s v="SE3_STO"/>
    <x v="3"/>
    <s v="GETOH_ELECTRICBOILER"/>
    <x v="0"/>
    <x v="16"/>
    <n v="337"/>
    <n v="123005"/>
    <n v="442818"/>
  </r>
  <r>
    <x v="0"/>
    <x v="0"/>
    <x v="1"/>
    <x v="3"/>
    <x v="11"/>
    <s v="SE3_STO"/>
    <x v="3"/>
    <s v="GETOH_ELECTRICBOILER"/>
    <x v="0"/>
    <x v="17"/>
    <n v="337"/>
    <n v="123005"/>
    <n v="442818"/>
  </r>
  <r>
    <x v="0"/>
    <x v="0"/>
    <x v="1"/>
    <x v="3"/>
    <x v="11"/>
    <s v="SE3_STO"/>
    <x v="3"/>
    <s v="GETOH_ELECTRICBOILER"/>
    <x v="0"/>
    <x v="18"/>
    <n v="337"/>
    <n v="123005"/>
    <n v="442818"/>
  </r>
  <r>
    <x v="0"/>
    <x v="0"/>
    <x v="1"/>
    <x v="3"/>
    <x v="11"/>
    <s v="SE3_STO"/>
    <x v="3"/>
    <s v="GETOH_ELECTRICBOILER"/>
    <x v="0"/>
    <x v="19"/>
    <n v="337"/>
    <n v="123005"/>
    <n v="442818"/>
  </r>
  <r>
    <x v="0"/>
    <x v="0"/>
    <x v="1"/>
    <x v="3"/>
    <x v="11"/>
    <s v="SE3_STO"/>
    <x v="3"/>
    <s v="GETOH_ELECTRICBOILER"/>
    <x v="0"/>
    <x v="20"/>
    <n v="337"/>
    <n v="123005"/>
    <n v="442818"/>
  </r>
  <r>
    <x v="0"/>
    <x v="0"/>
    <x v="1"/>
    <x v="3"/>
    <x v="11"/>
    <s v="SE3_STO"/>
    <x v="3"/>
    <s v="GETOH_ELECTRICBOILER"/>
    <x v="0"/>
    <x v="21"/>
    <n v="337"/>
    <n v="123005"/>
    <n v="442818"/>
  </r>
  <r>
    <x v="0"/>
    <x v="0"/>
    <x v="1"/>
    <x v="3"/>
    <x v="11"/>
    <s v="SE3_STO"/>
    <x v="3"/>
    <s v="GETOH_ELECTRICBOILER"/>
    <x v="0"/>
    <x v="22"/>
    <n v="337"/>
    <n v="123005"/>
    <n v="442818"/>
  </r>
  <r>
    <x v="0"/>
    <x v="0"/>
    <x v="1"/>
    <x v="3"/>
    <x v="11"/>
    <s v="SE3_STO"/>
    <x v="3"/>
    <s v="GETOH_ELECTRICBOILER"/>
    <x v="0"/>
    <x v="23"/>
    <n v="337"/>
    <n v="123005"/>
    <n v="442818"/>
  </r>
  <r>
    <x v="0"/>
    <x v="0"/>
    <x v="1"/>
    <x v="3"/>
    <x v="11"/>
    <s v="SE3_STO"/>
    <x v="3"/>
    <s v="GETOH_HEATPUMP33"/>
    <x v="0"/>
    <x v="0"/>
    <n v="339"/>
    <n v="123735"/>
    <n v="445446"/>
  </r>
  <r>
    <x v="0"/>
    <x v="0"/>
    <x v="1"/>
    <x v="3"/>
    <x v="11"/>
    <s v="SE3_STO"/>
    <x v="3"/>
    <s v="GETOH_HEATPUMP33"/>
    <x v="0"/>
    <x v="1"/>
    <n v="232.52704042887299"/>
    <n v="84872.369756538799"/>
    <n v="305540.53112354001"/>
  </r>
  <r>
    <x v="0"/>
    <x v="0"/>
    <x v="1"/>
    <x v="3"/>
    <x v="11"/>
    <s v="SE3_STO"/>
    <x v="3"/>
    <s v="GETOH_HEATPUMP33"/>
    <x v="0"/>
    <x v="2"/>
    <n v="232.16295038304199"/>
    <n v="84739.476889810496"/>
    <n v="305062.11680331797"/>
  </r>
  <r>
    <x v="0"/>
    <x v="0"/>
    <x v="1"/>
    <x v="3"/>
    <x v="11"/>
    <s v="SE3_STO"/>
    <x v="3"/>
    <s v="GETOH_HEATPUMP33"/>
    <x v="0"/>
    <x v="3"/>
    <n v="250.90786102612199"/>
    <n v="91581.369274534605"/>
    <n v="329692.92938832502"/>
  </r>
  <r>
    <x v="0"/>
    <x v="0"/>
    <x v="1"/>
    <x v="3"/>
    <x v="11"/>
    <s v="SE3_STO"/>
    <x v="3"/>
    <s v="GETOH_HEATPUMP33"/>
    <x v="0"/>
    <x v="4"/>
    <n v="273.39018385190201"/>
    <n v="99787.417105944303"/>
    <n v="359234.7015814"/>
  </r>
  <r>
    <x v="0"/>
    <x v="0"/>
    <x v="1"/>
    <x v="3"/>
    <x v="11"/>
    <s v="SE3_STO"/>
    <x v="3"/>
    <s v="GETOH_HEATPUMP33"/>
    <x v="0"/>
    <x v="5"/>
    <n v="339"/>
    <n v="123735"/>
    <n v="445446"/>
  </r>
  <r>
    <x v="0"/>
    <x v="0"/>
    <x v="1"/>
    <x v="3"/>
    <x v="11"/>
    <s v="SE3_STO"/>
    <x v="3"/>
    <s v="GETOH_HEATPUMP33"/>
    <x v="0"/>
    <x v="6"/>
    <n v="339"/>
    <n v="123735"/>
    <n v="445446"/>
  </r>
  <r>
    <x v="0"/>
    <x v="0"/>
    <x v="1"/>
    <x v="3"/>
    <x v="11"/>
    <s v="SE3_STO"/>
    <x v="3"/>
    <s v="GETOH_HEATPUMP33"/>
    <x v="0"/>
    <x v="7"/>
    <n v="339"/>
    <n v="123735"/>
    <n v="445446"/>
  </r>
  <r>
    <x v="0"/>
    <x v="0"/>
    <x v="1"/>
    <x v="3"/>
    <x v="11"/>
    <s v="SE3_STO"/>
    <x v="3"/>
    <s v="GETOH_HEATPUMP33"/>
    <x v="0"/>
    <x v="8"/>
    <n v="339"/>
    <n v="123735"/>
    <n v="445446"/>
  </r>
  <r>
    <x v="0"/>
    <x v="0"/>
    <x v="1"/>
    <x v="3"/>
    <x v="11"/>
    <s v="SE3_STO"/>
    <x v="3"/>
    <s v="GETOH_HEATPUMP33"/>
    <x v="0"/>
    <x v="9"/>
    <n v="339"/>
    <n v="123735"/>
    <n v="445446"/>
  </r>
  <r>
    <x v="0"/>
    <x v="0"/>
    <x v="1"/>
    <x v="3"/>
    <x v="11"/>
    <s v="SE3_STO"/>
    <x v="3"/>
    <s v="GETOH_HEATPUMP33"/>
    <x v="0"/>
    <x v="10"/>
    <n v="339"/>
    <n v="123735"/>
    <n v="445446"/>
  </r>
  <r>
    <x v="0"/>
    <x v="0"/>
    <x v="1"/>
    <x v="3"/>
    <x v="11"/>
    <s v="SE3_STO"/>
    <x v="3"/>
    <s v="GETOH_HEATPUMP33"/>
    <x v="0"/>
    <x v="11"/>
    <n v="339"/>
    <n v="123735"/>
    <n v="445446"/>
  </r>
  <r>
    <x v="0"/>
    <x v="0"/>
    <x v="1"/>
    <x v="3"/>
    <x v="11"/>
    <s v="SE3_STO"/>
    <x v="3"/>
    <s v="GETOH_HEATPUMP33"/>
    <x v="0"/>
    <x v="12"/>
    <n v="339"/>
    <n v="123735"/>
    <n v="445446"/>
  </r>
  <r>
    <x v="0"/>
    <x v="0"/>
    <x v="1"/>
    <x v="3"/>
    <x v="11"/>
    <s v="SE3_STO"/>
    <x v="3"/>
    <s v="GETOH_HEATPUMP33"/>
    <x v="0"/>
    <x v="13"/>
    <n v="339"/>
    <n v="123735"/>
    <n v="445446"/>
  </r>
  <r>
    <x v="0"/>
    <x v="0"/>
    <x v="1"/>
    <x v="3"/>
    <x v="11"/>
    <s v="SE3_STO"/>
    <x v="3"/>
    <s v="GETOH_HEATPUMP33"/>
    <x v="0"/>
    <x v="14"/>
    <n v="339"/>
    <n v="123735"/>
    <n v="445446"/>
  </r>
  <r>
    <x v="0"/>
    <x v="0"/>
    <x v="1"/>
    <x v="3"/>
    <x v="11"/>
    <s v="SE3_STO"/>
    <x v="3"/>
    <s v="GETOH_HEATPUMP33"/>
    <x v="0"/>
    <x v="15"/>
    <n v="339"/>
    <n v="123735"/>
    <n v="445446"/>
  </r>
  <r>
    <x v="0"/>
    <x v="0"/>
    <x v="1"/>
    <x v="3"/>
    <x v="11"/>
    <s v="SE3_STO"/>
    <x v="3"/>
    <s v="GETOH_HEATPUMP33"/>
    <x v="0"/>
    <x v="16"/>
    <n v="339"/>
    <n v="123735"/>
    <n v="445446"/>
  </r>
  <r>
    <x v="0"/>
    <x v="0"/>
    <x v="1"/>
    <x v="3"/>
    <x v="11"/>
    <s v="SE3_STO"/>
    <x v="3"/>
    <s v="GETOH_HEATPUMP33"/>
    <x v="0"/>
    <x v="17"/>
    <n v="339"/>
    <n v="123735"/>
    <n v="445446"/>
  </r>
  <r>
    <x v="0"/>
    <x v="0"/>
    <x v="1"/>
    <x v="3"/>
    <x v="11"/>
    <s v="SE3_STO"/>
    <x v="3"/>
    <s v="GETOH_HEATPUMP33"/>
    <x v="0"/>
    <x v="18"/>
    <n v="339"/>
    <n v="123735"/>
    <n v="445446"/>
  </r>
  <r>
    <x v="0"/>
    <x v="0"/>
    <x v="1"/>
    <x v="3"/>
    <x v="11"/>
    <s v="SE3_STO"/>
    <x v="3"/>
    <s v="GETOH_HEATPUMP33"/>
    <x v="0"/>
    <x v="19"/>
    <n v="339"/>
    <n v="123735"/>
    <n v="445446"/>
  </r>
  <r>
    <x v="0"/>
    <x v="0"/>
    <x v="1"/>
    <x v="3"/>
    <x v="11"/>
    <s v="SE3_STO"/>
    <x v="3"/>
    <s v="GETOH_HEATPUMP33"/>
    <x v="0"/>
    <x v="20"/>
    <n v="339"/>
    <n v="123735"/>
    <n v="445446"/>
  </r>
  <r>
    <x v="0"/>
    <x v="0"/>
    <x v="1"/>
    <x v="3"/>
    <x v="11"/>
    <s v="SE3_STO"/>
    <x v="3"/>
    <s v="GETOH_HEATPUMP33"/>
    <x v="0"/>
    <x v="21"/>
    <n v="339"/>
    <n v="123735"/>
    <n v="445446"/>
  </r>
  <r>
    <x v="0"/>
    <x v="0"/>
    <x v="1"/>
    <x v="3"/>
    <x v="11"/>
    <s v="SE3_STO"/>
    <x v="3"/>
    <s v="GETOH_HEATPUMP33"/>
    <x v="0"/>
    <x v="22"/>
    <n v="339"/>
    <n v="123735"/>
    <n v="445446"/>
  </r>
  <r>
    <x v="0"/>
    <x v="0"/>
    <x v="1"/>
    <x v="3"/>
    <x v="11"/>
    <s v="SE3_STO"/>
    <x v="3"/>
    <s v="GETOH_HEATPUMP33"/>
    <x v="0"/>
    <x v="23"/>
    <n v="339"/>
    <n v="123735"/>
    <n v="445446"/>
  </r>
  <r>
    <x v="0"/>
    <x v="0"/>
    <x v="1"/>
    <x v="3"/>
    <x v="11"/>
    <s v="SE3_STO"/>
    <x v="3"/>
    <s v="GNR_BO_ELEC_E-99_SS-1-MW-FEED_Y-2030"/>
    <x v="0"/>
    <x v="6"/>
    <n v="71.659265866943699"/>
    <n v="26155.632041434401"/>
    <n v="94160.275349164003"/>
  </r>
  <r>
    <x v="0"/>
    <x v="0"/>
    <x v="1"/>
    <x v="3"/>
    <x v="11"/>
    <s v="SE3_STO"/>
    <x v="3"/>
    <s v="GNR_BO_ELEC_E-99_SS-1-MW-FEED_Y-2030"/>
    <x v="0"/>
    <x v="7"/>
    <n v="127.302915337464"/>
    <n v="46465.564098174298"/>
    <n v="167276.03075342701"/>
  </r>
  <r>
    <x v="0"/>
    <x v="0"/>
    <x v="1"/>
    <x v="3"/>
    <x v="11"/>
    <s v="SE3_STO"/>
    <x v="3"/>
    <s v="GNR_BO_ELEC_E-99_SS-1-MW-FEED_Y-2030"/>
    <x v="0"/>
    <x v="8"/>
    <n v="125.61175846627501"/>
    <n v="45848.291840190301"/>
    <n v="165053.850624685"/>
  </r>
  <r>
    <x v="0"/>
    <x v="0"/>
    <x v="1"/>
    <x v="3"/>
    <x v="11"/>
    <s v="SE3_STO"/>
    <x v="3"/>
    <s v="GNR_BO_ELEC_E-99_SS-1-MW-FEED_Y-2030"/>
    <x v="0"/>
    <x v="9"/>
    <n v="120.488806192919"/>
    <n v="43978.4142604156"/>
    <n v="158322.29133749599"/>
  </r>
  <r>
    <x v="0"/>
    <x v="0"/>
    <x v="1"/>
    <x v="3"/>
    <x v="11"/>
    <s v="SE3_STO"/>
    <x v="3"/>
    <s v="GNR_BO_ELEC_E-99_SS-1-MW-FEED_Y-2030"/>
    <x v="0"/>
    <x v="10"/>
    <n v="127.302915337464"/>
    <n v="46465.564098174298"/>
    <n v="167276.03075342701"/>
  </r>
  <r>
    <x v="0"/>
    <x v="0"/>
    <x v="1"/>
    <x v="3"/>
    <x v="11"/>
    <s v="SE3_STO"/>
    <x v="3"/>
    <s v="GNR_BO_ELEC_E-99_SS-1-MW-FEED_Y-2030"/>
    <x v="0"/>
    <x v="11"/>
    <n v="127.302915337464"/>
    <n v="46465.564098174298"/>
    <n v="167276.03075342701"/>
  </r>
  <r>
    <x v="0"/>
    <x v="0"/>
    <x v="1"/>
    <x v="3"/>
    <x v="11"/>
    <s v="SE3_STO"/>
    <x v="3"/>
    <s v="GNR_BO_ELEC_E-99_SS-1-MW-FEED_Y-2030"/>
    <x v="0"/>
    <x v="12"/>
    <n v="127.302915337464"/>
    <n v="46465.564098174298"/>
    <n v="167276.03075342701"/>
  </r>
  <r>
    <x v="0"/>
    <x v="0"/>
    <x v="1"/>
    <x v="3"/>
    <x v="11"/>
    <s v="SE3_STO"/>
    <x v="3"/>
    <s v="GNR_BO_ELEC_E-99_SS-1-MW-FEED_Y-2030"/>
    <x v="0"/>
    <x v="13"/>
    <n v="127.302915337464"/>
    <n v="46465.564098174298"/>
    <n v="167276.03075342701"/>
  </r>
  <r>
    <x v="0"/>
    <x v="0"/>
    <x v="1"/>
    <x v="3"/>
    <x v="11"/>
    <s v="SE3_STO"/>
    <x v="3"/>
    <s v="GNR_BO_ELEC_E-99_SS-1-MW-FEED_Y-2030"/>
    <x v="0"/>
    <x v="14"/>
    <n v="127.302915337464"/>
    <n v="46465.564098174298"/>
    <n v="167276.03075342701"/>
  </r>
  <r>
    <x v="0"/>
    <x v="0"/>
    <x v="1"/>
    <x v="3"/>
    <x v="11"/>
    <s v="SE3_STO"/>
    <x v="3"/>
    <s v="GNR_BO_ELEC_E-99_SS-1-MW-FEED_Y-2030"/>
    <x v="0"/>
    <x v="15"/>
    <n v="125.226952702687"/>
    <n v="45707.8377364806"/>
    <n v="164548.21585132999"/>
  </r>
  <r>
    <x v="0"/>
    <x v="0"/>
    <x v="1"/>
    <x v="3"/>
    <x v="11"/>
    <s v="SE3_STO"/>
    <x v="3"/>
    <s v="GNR_BO_ELEC_E-99_SS-1-MW-FEED_Y-2030"/>
    <x v="0"/>
    <x v="16"/>
    <n v="127.302915337464"/>
    <n v="46465.564098174298"/>
    <n v="167276.03075342701"/>
  </r>
  <r>
    <x v="0"/>
    <x v="0"/>
    <x v="1"/>
    <x v="3"/>
    <x v="11"/>
    <s v="SE3_STO"/>
    <x v="3"/>
    <s v="GNR_BO_ELEC_E-99_SS-1-MW-FEED_Y-2030"/>
    <x v="0"/>
    <x v="17"/>
    <n v="127.302915337464"/>
    <n v="46465.564098174298"/>
    <n v="167276.03075342701"/>
  </r>
  <r>
    <x v="0"/>
    <x v="0"/>
    <x v="1"/>
    <x v="3"/>
    <x v="11"/>
    <s v="SE3_STO"/>
    <x v="3"/>
    <s v="GNR_BO_ELEC_E-99_SS-1-MW-FEED_Y-2030"/>
    <x v="0"/>
    <x v="18"/>
    <n v="122.133858003388"/>
    <n v="44578.858171236498"/>
    <n v="160483.889416452"/>
  </r>
  <r>
    <x v="0"/>
    <x v="0"/>
    <x v="1"/>
    <x v="3"/>
    <x v="11"/>
    <s v="SE3_STO"/>
    <x v="3"/>
    <s v="GNR_BO_ELEC_E-99_SS-1-MW-FEED_Y-2030"/>
    <x v="0"/>
    <x v="19"/>
    <n v="121.251142744955"/>
    <n v="44256.667101908701"/>
    <n v="159324.00156687101"/>
  </r>
  <r>
    <x v="0"/>
    <x v="0"/>
    <x v="1"/>
    <x v="3"/>
    <x v="11"/>
    <s v="SE3_STO"/>
    <x v="3"/>
    <s v="GNR_BO_ELEC_E-99_SS-1-MW-FEED_Y-2030"/>
    <x v="0"/>
    <x v="20"/>
    <n v="102.69258888154801"/>
    <n v="37482.794941765198"/>
    <n v="134938.06179035499"/>
  </r>
  <r>
    <x v="0"/>
    <x v="0"/>
    <x v="1"/>
    <x v="3"/>
    <x v="11"/>
    <s v="SE3_STO"/>
    <x v="3"/>
    <s v="GNR_BO_ELEC_E-99_SS-1-MW-FEED_Y-2030"/>
    <x v="0"/>
    <x v="21"/>
    <n v="79.016449818460998"/>
    <n v="28841.004183738201"/>
    <n v="103827.615061458"/>
  </r>
  <r>
    <x v="0"/>
    <x v="0"/>
    <x v="1"/>
    <x v="3"/>
    <x v="11"/>
    <s v="SE3_STO"/>
    <x v="3"/>
    <s v="GNR_BO_ELEC_E-99_SS-1-MW-FEED_Y-2030"/>
    <x v="0"/>
    <x v="22"/>
    <n v="44.202524843458797"/>
    <n v="16133.921567862501"/>
    <n v="58082.117644304897"/>
  </r>
  <r>
    <x v="0"/>
    <x v="0"/>
    <x v="1"/>
    <x v="3"/>
    <x v="11"/>
    <s v="SE3_STO"/>
    <x v="1"/>
    <s v="GBPR_MUNIWASTE_HOGDALEN"/>
    <x v="0"/>
    <x v="7"/>
    <n v="2.0742667876212399"/>
    <n v="757.10737748175302"/>
    <n v="2725.5865589343098"/>
  </r>
  <r>
    <x v="0"/>
    <x v="0"/>
    <x v="1"/>
    <x v="3"/>
    <x v="11"/>
    <s v="SE3_STO"/>
    <x v="1"/>
    <s v="GBPR_MUNIWASTE_HOGDALEN"/>
    <x v="0"/>
    <x v="10"/>
    <n v="7.6417244860688198"/>
    <n v="2789.2294374151202"/>
    <n v="10041.2259746944"/>
  </r>
  <r>
    <x v="0"/>
    <x v="0"/>
    <x v="1"/>
    <x v="3"/>
    <x v="11"/>
    <s v="SE3_STO"/>
    <x v="1"/>
    <s v="GBPR_MUNIWASTE_HOGDALEN"/>
    <x v="0"/>
    <x v="11"/>
    <n v="36.201088082561"/>
    <n v="13213.397150134801"/>
    <n v="47568.2297404852"/>
  </r>
  <r>
    <x v="0"/>
    <x v="0"/>
    <x v="1"/>
    <x v="3"/>
    <x v="11"/>
    <s v="SE3_STO"/>
    <x v="1"/>
    <s v="GBPR_MUNIWASTE_HOGDALEN"/>
    <x v="0"/>
    <x v="12"/>
    <n v="26.4124182522289"/>
    <n v="9640.5326620635606"/>
    <n v="34705.917583428803"/>
  </r>
  <r>
    <x v="0"/>
    <x v="0"/>
    <x v="1"/>
    <x v="3"/>
    <x v="11"/>
    <s v="SE3_STO"/>
    <x v="1"/>
    <s v="GBPR_MUNIWASTE_HOGDALEN"/>
    <x v="0"/>
    <x v="13"/>
    <n v="16.4963723595916"/>
    <n v="6021.1759112509499"/>
    <n v="21676.233280503398"/>
  </r>
  <r>
    <x v="0"/>
    <x v="0"/>
    <x v="1"/>
    <x v="3"/>
    <x v="11"/>
    <s v="SE3_STO"/>
    <x v="1"/>
    <s v="GBPR_MUNIWASTE_HOGDALEN"/>
    <x v="0"/>
    <x v="14"/>
    <n v="5.3783204146636798"/>
    <n v="1963.08695135224"/>
    <n v="7067.1130248680702"/>
  </r>
  <r>
    <x v="0"/>
    <x v="0"/>
    <x v="1"/>
    <x v="3"/>
    <x v="11"/>
    <s v="SE3_STO"/>
    <x v="1"/>
    <s v="GBPR_MUNIWASTE_HOGDALEN"/>
    <x v="0"/>
    <x v="17"/>
    <n v="1.52978155133576"/>
    <n v="558.37026623755196"/>
    <n v="2010.13295845519"/>
  </r>
  <r>
    <x v="0"/>
    <x v="0"/>
    <x v="1"/>
    <x v="3"/>
    <x v="11"/>
    <s v="SE3_STO"/>
    <x v="1"/>
    <s v="GHOB_MUNIWASTE"/>
    <x v="0"/>
    <x v="5"/>
    <n v="15.9862597552578"/>
    <n v="5834.9848106691097"/>
    <n v="21005.945318408802"/>
  </r>
  <r>
    <x v="0"/>
    <x v="0"/>
    <x v="1"/>
    <x v="3"/>
    <x v="11"/>
    <s v="SE3_STO"/>
    <x v="1"/>
    <s v="GHOB_MUNIWASTE"/>
    <x v="0"/>
    <x v="6"/>
    <n v="102.818927104721"/>
    <n v="37528.908393223297"/>
    <n v="135104.07021560401"/>
  </r>
  <r>
    <x v="0"/>
    <x v="0"/>
    <x v="1"/>
    <x v="3"/>
    <x v="11"/>
    <s v="SE3_STO"/>
    <x v="1"/>
    <s v="GHOB_MUNIWASTE"/>
    <x v="0"/>
    <x v="7"/>
    <n v="102.818927104721"/>
    <n v="37528.908393223297"/>
    <n v="135104.07021560401"/>
  </r>
  <r>
    <x v="0"/>
    <x v="0"/>
    <x v="1"/>
    <x v="3"/>
    <x v="11"/>
    <s v="SE3_STO"/>
    <x v="1"/>
    <s v="GHOB_MUNIWASTE"/>
    <x v="0"/>
    <x v="8"/>
    <n v="102.818927104721"/>
    <n v="37528.908393223297"/>
    <n v="135104.07021560401"/>
  </r>
  <r>
    <x v="0"/>
    <x v="0"/>
    <x v="1"/>
    <x v="3"/>
    <x v="11"/>
    <s v="SE3_STO"/>
    <x v="1"/>
    <s v="GHOB_MUNIWASTE"/>
    <x v="0"/>
    <x v="9"/>
    <n v="102.818927104721"/>
    <n v="37528.908393223297"/>
    <n v="135104.07021560401"/>
  </r>
  <r>
    <x v="0"/>
    <x v="0"/>
    <x v="1"/>
    <x v="3"/>
    <x v="11"/>
    <s v="SE3_STO"/>
    <x v="1"/>
    <s v="GHOB_MUNIWASTE"/>
    <x v="0"/>
    <x v="10"/>
    <n v="102.818927104721"/>
    <n v="37528.908393223297"/>
    <n v="135104.07021560401"/>
  </r>
  <r>
    <x v="0"/>
    <x v="0"/>
    <x v="1"/>
    <x v="3"/>
    <x v="11"/>
    <s v="SE3_STO"/>
    <x v="1"/>
    <s v="GHOB_MUNIWASTE"/>
    <x v="0"/>
    <x v="11"/>
    <n v="102.818927104721"/>
    <n v="37528.908393223297"/>
    <n v="135104.07021560401"/>
  </r>
  <r>
    <x v="0"/>
    <x v="0"/>
    <x v="1"/>
    <x v="3"/>
    <x v="11"/>
    <s v="SE3_STO"/>
    <x v="1"/>
    <s v="GHOB_MUNIWASTE"/>
    <x v="0"/>
    <x v="12"/>
    <n v="102.818927104721"/>
    <n v="37528.908393223297"/>
    <n v="135104.07021560401"/>
  </r>
  <r>
    <x v="0"/>
    <x v="0"/>
    <x v="1"/>
    <x v="3"/>
    <x v="11"/>
    <s v="SE3_STO"/>
    <x v="1"/>
    <s v="GHOB_MUNIWASTE"/>
    <x v="0"/>
    <x v="13"/>
    <n v="102.818927104721"/>
    <n v="37528.908393223297"/>
    <n v="135104.07021560401"/>
  </r>
  <r>
    <x v="0"/>
    <x v="0"/>
    <x v="1"/>
    <x v="3"/>
    <x v="11"/>
    <s v="SE3_STO"/>
    <x v="1"/>
    <s v="GHOB_MUNIWASTE"/>
    <x v="0"/>
    <x v="14"/>
    <n v="102.818927104721"/>
    <n v="37528.908393223297"/>
    <n v="135104.07021560401"/>
  </r>
  <r>
    <x v="0"/>
    <x v="0"/>
    <x v="1"/>
    <x v="3"/>
    <x v="11"/>
    <s v="SE3_STO"/>
    <x v="1"/>
    <s v="GHOB_MUNIWASTE"/>
    <x v="0"/>
    <x v="15"/>
    <n v="102.818927104721"/>
    <n v="37528.908393223297"/>
    <n v="135104.07021560401"/>
  </r>
  <r>
    <x v="0"/>
    <x v="0"/>
    <x v="1"/>
    <x v="3"/>
    <x v="11"/>
    <s v="SE3_STO"/>
    <x v="1"/>
    <s v="GHOB_MUNIWASTE"/>
    <x v="0"/>
    <x v="16"/>
    <n v="102.818927104721"/>
    <n v="37528.908393223297"/>
    <n v="135104.07021560401"/>
  </r>
  <r>
    <x v="0"/>
    <x v="0"/>
    <x v="1"/>
    <x v="3"/>
    <x v="11"/>
    <s v="SE3_STO"/>
    <x v="1"/>
    <s v="GHOB_MUNIWASTE"/>
    <x v="0"/>
    <x v="17"/>
    <n v="102.818927104721"/>
    <n v="37528.908393223297"/>
    <n v="135104.07021560401"/>
  </r>
  <r>
    <x v="0"/>
    <x v="0"/>
    <x v="1"/>
    <x v="3"/>
    <x v="11"/>
    <s v="SE3_STO"/>
    <x v="1"/>
    <s v="GHOB_MUNIWASTE"/>
    <x v="0"/>
    <x v="18"/>
    <n v="102.818927104721"/>
    <n v="37528.908393223297"/>
    <n v="135104.07021560401"/>
  </r>
  <r>
    <x v="0"/>
    <x v="0"/>
    <x v="1"/>
    <x v="3"/>
    <x v="11"/>
    <s v="SE3_STO"/>
    <x v="1"/>
    <s v="GHOB_MUNIWASTE"/>
    <x v="0"/>
    <x v="19"/>
    <n v="102.818927104721"/>
    <n v="37528.908393223297"/>
    <n v="135104.07021560401"/>
  </r>
  <r>
    <x v="0"/>
    <x v="0"/>
    <x v="1"/>
    <x v="3"/>
    <x v="11"/>
    <s v="SE3_STO"/>
    <x v="1"/>
    <s v="GHOB_MUNIWASTE"/>
    <x v="0"/>
    <x v="20"/>
    <n v="102.818927104721"/>
    <n v="37528.908393223297"/>
    <n v="135104.07021560401"/>
  </r>
  <r>
    <x v="0"/>
    <x v="0"/>
    <x v="1"/>
    <x v="3"/>
    <x v="11"/>
    <s v="SE3_STO"/>
    <x v="1"/>
    <s v="GHOB_MUNIWASTE"/>
    <x v="0"/>
    <x v="21"/>
    <n v="102.818927104721"/>
    <n v="37528.908393223297"/>
    <n v="135104.07021560401"/>
  </r>
  <r>
    <x v="0"/>
    <x v="0"/>
    <x v="1"/>
    <x v="3"/>
    <x v="11"/>
    <s v="SE3_STO"/>
    <x v="1"/>
    <s v="GHOB_MUNIWASTE"/>
    <x v="0"/>
    <x v="22"/>
    <n v="102.818927104721"/>
    <n v="37528.908393223297"/>
    <n v="135104.07021560401"/>
  </r>
  <r>
    <x v="0"/>
    <x v="0"/>
    <x v="1"/>
    <x v="3"/>
    <x v="11"/>
    <s v="SE3_STO"/>
    <x v="1"/>
    <s v="GHOB_MUNIWASTE"/>
    <x v="0"/>
    <x v="23"/>
    <n v="77.465124163879594"/>
    <n v="28274.7703198161"/>
    <n v="101789.17315133799"/>
  </r>
  <r>
    <x v="0"/>
    <x v="0"/>
    <x v="1"/>
    <x v="3"/>
    <x v="12"/>
    <s v="SE4_EL"/>
    <x v="3"/>
    <s v="GETOH_ELECTRICBOILER"/>
    <x v="0"/>
    <x v="0"/>
    <n v="88.43"/>
    <n v="32276.95"/>
    <n v="116197.02"/>
  </r>
  <r>
    <x v="0"/>
    <x v="0"/>
    <x v="1"/>
    <x v="3"/>
    <x v="12"/>
    <s v="SE4_EL"/>
    <x v="3"/>
    <s v="GETOH_ELECTRICBOILER"/>
    <x v="0"/>
    <x v="1"/>
    <n v="88.43"/>
    <n v="32276.95"/>
    <n v="116197.02"/>
  </r>
  <r>
    <x v="0"/>
    <x v="0"/>
    <x v="1"/>
    <x v="3"/>
    <x v="12"/>
    <s v="SE4_EL"/>
    <x v="3"/>
    <s v="GETOH_ELECTRICBOILER"/>
    <x v="0"/>
    <x v="2"/>
    <n v="47.764253860626702"/>
    <n v="17433.952659128699"/>
    <n v="62762.2295728635"/>
  </r>
  <r>
    <x v="0"/>
    <x v="0"/>
    <x v="1"/>
    <x v="3"/>
    <x v="12"/>
    <s v="SE4_EL"/>
    <x v="3"/>
    <s v="GETOH_ELECTRICBOILER"/>
    <x v="0"/>
    <x v="3"/>
    <n v="51.626002522342802"/>
    <n v="18843.490920655098"/>
    <n v="67836.567314358501"/>
  </r>
  <r>
    <x v="0"/>
    <x v="0"/>
    <x v="1"/>
    <x v="3"/>
    <x v="12"/>
    <s v="SE4_EL"/>
    <x v="3"/>
    <s v="GETOH_ELECTRICBOILER"/>
    <x v="0"/>
    <x v="4"/>
    <n v="56.763359667302403"/>
    <n v="20718.6262785654"/>
    <n v="74587.0546028354"/>
  </r>
  <r>
    <x v="0"/>
    <x v="0"/>
    <x v="1"/>
    <x v="3"/>
    <x v="12"/>
    <s v="SE4_EL"/>
    <x v="3"/>
    <s v="GETOH_ELECTRICBOILER"/>
    <x v="0"/>
    <x v="5"/>
    <n v="88.43"/>
    <n v="32276.95"/>
    <n v="116197.02"/>
  </r>
  <r>
    <x v="0"/>
    <x v="0"/>
    <x v="1"/>
    <x v="3"/>
    <x v="12"/>
    <s v="SE4_EL"/>
    <x v="3"/>
    <s v="GETOH_ELECTRICBOILER"/>
    <x v="0"/>
    <x v="6"/>
    <n v="88.43"/>
    <n v="32276.95"/>
    <n v="116197.02"/>
  </r>
  <r>
    <x v="0"/>
    <x v="0"/>
    <x v="1"/>
    <x v="3"/>
    <x v="12"/>
    <s v="SE4_EL"/>
    <x v="3"/>
    <s v="GETOH_ELECTRICBOILER"/>
    <x v="0"/>
    <x v="7"/>
    <n v="88.43"/>
    <n v="32276.95"/>
    <n v="116197.02"/>
  </r>
  <r>
    <x v="0"/>
    <x v="0"/>
    <x v="1"/>
    <x v="3"/>
    <x v="12"/>
    <s v="SE4_EL"/>
    <x v="3"/>
    <s v="GETOH_ELECTRICBOILER"/>
    <x v="0"/>
    <x v="8"/>
    <n v="88.43"/>
    <n v="32276.95"/>
    <n v="116197.02"/>
  </r>
  <r>
    <x v="0"/>
    <x v="0"/>
    <x v="1"/>
    <x v="3"/>
    <x v="12"/>
    <s v="SE4_EL"/>
    <x v="3"/>
    <s v="GETOH_ELECTRICBOILER"/>
    <x v="0"/>
    <x v="9"/>
    <n v="88.43"/>
    <n v="32276.95"/>
    <n v="116197.02"/>
  </r>
  <r>
    <x v="0"/>
    <x v="0"/>
    <x v="1"/>
    <x v="3"/>
    <x v="12"/>
    <s v="SE4_EL"/>
    <x v="3"/>
    <s v="GETOH_ELECTRICBOILER"/>
    <x v="0"/>
    <x v="10"/>
    <n v="88.43"/>
    <n v="32276.95"/>
    <n v="116197.02"/>
  </r>
  <r>
    <x v="0"/>
    <x v="0"/>
    <x v="1"/>
    <x v="3"/>
    <x v="12"/>
    <s v="SE4_EL"/>
    <x v="3"/>
    <s v="GETOH_ELECTRICBOILER"/>
    <x v="0"/>
    <x v="11"/>
    <n v="88.43"/>
    <n v="32276.95"/>
    <n v="116197.02"/>
  </r>
  <r>
    <x v="0"/>
    <x v="0"/>
    <x v="1"/>
    <x v="3"/>
    <x v="12"/>
    <s v="SE4_EL"/>
    <x v="3"/>
    <s v="GETOH_ELECTRICBOILER"/>
    <x v="0"/>
    <x v="12"/>
    <n v="88.43"/>
    <n v="32276.95"/>
    <n v="116197.02"/>
  </r>
  <r>
    <x v="0"/>
    <x v="0"/>
    <x v="1"/>
    <x v="3"/>
    <x v="12"/>
    <s v="SE4_EL"/>
    <x v="3"/>
    <s v="GETOH_ELECTRICBOILER"/>
    <x v="0"/>
    <x v="13"/>
    <n v="88.43"/>
    <n v="32276.95"/>
    <n v="116197.02"/>
  </r>
  <r>
    <x v="0"/>
    <x v="0"/>
    <x v="1"/>
    <x v="3"/>
    <x v="12"/>
    <s v="SE4_EL"/>
    <x v="3"/>
    <s v="GETOH_ELECTRICBOILER"/>
    <x v="0"/>
    <x v="14"/>
    <n v="88.43"/>
    <n v="32276.95"/>
    <n v="116197.02"/>
  </r>
  <r>
    <x v="0"/>
    <x v="0"/>
    <x v="1"/>
    <x v="3"/>
    <x v="12"/>
    <s v="SE4_EL"/>
    <x v="3"/>
    <s v="GETOH_ELECTRICBOILER"/>
    <x v="0"/>
    <x v="15"/>
    <n v="75.045189521872302"/>
    <n v="27391.4941754834"/>
    <n v="98609.379031740202"/>
  </r>
  <r>
    <x v="0"/>
    <x v="0"/>
    <x v="1"/>
    <x v="3"/>
    <x v="12"/>
    <s v="SE4_EL"/>
    <x v="3"/>
    <s v="GETOH_ELECTRICBOILER"/>
    <x v="0"/>
    <x v="16"/>
    <n v="88.43"/>
    <n v="32276.95"/>
    <n v="116197.02"/>
  </r>
  <r>
    <x v="0"/>
    <x v="0"/>
    <x v="1"/>
    <x v="3"/>
    <x v="12"/>
    <s v="SE4_EL"/>
    <x v="3"/>
    <s v="GETOH_ELECTRICBOILER"/>
    <x v="0"/>
    <x v="17"/>
    <n v="88.43"/>
    <n v="32276.95"/>
    <n v="116197.02"/>
  </r>
  <r>
    <x v="0"/>
    <x v="0"/>
    <x v="1"/>
    <x v="3"/>
    <x v="12"/>
    <s v="SE4_EL"/>
    <x v="3"/>
    <s v="GETOH_ELECTRICBOILER"/>
    <x v="0"/>
    <x v="18"/>
    <n v="75.295859076984399"/>
    <n v="27482.988563099301"/>
    <n v="98938.758827157595"/>
  </r>
  <r>
    <x v="0"/>
    <x v="0"/>
    <x v="1"/>
    <x v="3"/>
    <x v="12"/>
    <s v="SE4_EL"/>
    <x v="3"/>
    <s v="GETOH_ELECTRICBOILER"/>
    <x v="0"/>
    <x v="19"/>
    <n v="76.868525527209698"/>
    <n v="28057.011817431499"/>
    <n v="101005.242542754"/>
  </r>
  <r>
    <x v="0"/>
    <x v="0"/>
    <x v="1"/>
    <x v="3"/>
    <x v="12"/>
    <s v="SE4_EL"/>
    <x v="3"/>
    <s v="GETOH_ELECTRICBOILER"/>
    <x v="0"/>
    <x v="20"/>
    <n v="88.43"/>
    <n v="32276.95"/>
    <n v="116197.02"/>
  </r>
  <r>
    <x v="0"/>
    <x v="0"/>
    <x v="1"/>
    <x v="3"/>
    <x v="12"/>
    <s v="SE4_EL"/>
    <x v="3"/>
    <s v="GETOH_ELECTRICBOILER"/>
    <x v="0"/>
    <x v="21"/>
    <n v="88.43"/>
    <n v="32276.95"/>
    <n v="116197.02"/>
  </r>
  <r>
    <x v="0"/>
    <x v="0"/>
    <x v="1"/>
    <x v="3"/>
    <x v="12"/>
    <s v="SE4_EL"/>
    <x v="3"/>
    <s v="GETOH_ELECTRICBOILER"/>
    <x v="0"/>
    <x v="22"/>
    <n v="71.030722624071799"/>
    <n v="25926.213757786201"/>
    <n v="93334.369528030395"/>
  </r>
  <r>
    <x v="0"/>
    <x v="0"/>
    <x v="1"/>
    <x v="3"/>
    <x v="12"/>
    <s v="SE4_EL"/>
    <x v="3"/>
    <s v="GETOH_ELECTRICBOILER"/>
    <x v="0"/>
    <x v="23"/>
    <n v="64.447448385870899"/>
    <n v="23523.318660842899"/>
    <n v="84683.947179034396"/>
  </r>
  <r>
    <x v="0"/>
    <x v="0"/>
    <x v="1"/>
    <x v="3"/>
    <x v="12"/>
    <s v="SE4_EL"/>
    <x v="3"/>
    <s v="GETOH_HEATPUMP1"/>
    <x v="0"/>
    <x v="0"/>
    <n v="4.6493392629848103"/>
    <n v="1697.00883098946"/>
    <n v="6109.2317915620397"/>
  </r>
  <r>
    <x v="0"/>
    <x v="0"/>
    <x v="1"/>
    <x v="3"/>
    <x v="12"/>
    <s v="SE4_EL"/>
    <x v="3"/>
    <s v="GETOH_HEATPUMP1"/>
    <x v="0"/>
    <x v="1"/>
    <n v="4.8136218178575403"/>
    <n v="1756.9719635179999"/>
    <n v="6325.0990686648001"/>
  </r>
  <r>
    <x v="0"/>
    <x v="0"/>
    <x v="1"/>
    <x v="3"/>
    <x v="12"/>
    <s v="SE4_EL"/>
    <x v="3"/>
    <s v="GETOH_HEATPUMP1"/>
    <x v="0"/>
    <x v="2"/>
    <n v="44"/>
    <n v="16060"/>
    <n v="57816"/>
  </r>
  <r>
    <x v="0"/>
    <x v="0"/>
    <x v="1"/>
    <x v="3"/>
    <x v="12"/>
    <s v="SE4_EL"/>
    <x v="3"/>
    <s v="GETOH_HEATPUMP1"/>
    <x v="0"/>
    <x v="3"/>
    <n v="44"/>
    <n v="16060"/>
    <n v="57816"/>
  </r>
  <r>
    <x v="0"/>
    <x v="0"/>
    <x v="1"/>
    <x v="3"/>
    <x v="12"/>
    <s v="SE4_EL"/>
    <x v="3"/>
    <s v="GETOH_HEATPUMP1"/>
    <x v="0"/>
    <x v="4"/>
    <n v="44"/>
    <n v="16060"/>
    <n v="57816"/>
  </r>
  <r>
    <x v="0"/>
    <x v="0"/>
    <x v="1"/>
    <x v="3"/>
    <x v="12"/>
    <s v="SE4_EL"/>
    <x v="3"/>
    <s v="GETOH_HEATPUMP1"/>
    <x v="0"/>
    <x v="5"/>
    <n v="25.786282943718501"/>
    <n v="9411.9932744572397"/>
    <n v="33883.175788046101"/>
  </r>
  <r>
    <x v="0"/>
    <x v="0"/>
    <x v="1"/>
    <x v="3"/>
    <x v="12"/>
    <s v="SE4_EL"/>
    <x v="3"/>
    <s v="GETOH_HEATPUMP1"/>
    <x v="0"/>
    <x v="6"/>
    <n v="44"/>
    <n v="16060"/>
    <n v="57816"/>
  </r>
  <r>
    <x v="0"/>
    <x v="0"/>
    <x v="1"/>
    <x v="3"/>
    <x v="12"/>
    <s v="SE4_EL"/>
    <x v="3"/>
    <s v="GETOH_HEATPUMP1"/>
    <x v="0"/>
    <x v="7"/>
    <n v="44"/>
    <n v="16060"/>
    <n v="57816"/>
  </r>
  <r>
    <x v="0"/>
    <x v="0"/>
    <x v="1"/>
    <x v="3"/>
    <x v="12"/>
    <s v="SE4_EL"/>
    <x v="3"/>
    <s v="GETOH_HEATPUMP1"/>
    <x v="0"/>
    <x v="8"/>
    <n v="44"/>
    <n v="16060"/>
    <n v="57816"/>
  </r>
  <r>
    <x v="0"/>
    <x v="0"/>
    <x v="1"/>
    <x v="3"/>
    <x v="12"/>
    <s v="SE4_EL"/>
    <x v="3"/>
    <s v="GETOH_HEATPUMP1"/>
    <x v="0"/>
    <x v="9"/>
    <n v="44"/>
    <n v="16060"/>
    <n v="57816"/>
  </r>
  <r>
    <x v="0"/>
    <x v="0"/>
    <x v="1"/>
    <x v="3"/>
    <x v="12"/>
    <s v="SE4_EL"/>
    <x v="3"/>
    <s v="GETOH_HEATPUMP1"/>
    <x v="0"/>
    <x v="10"/>
    <n v="44"/>
    <n v="16060"/>
    <n v="57816"/>
  </r>
  <r>
    <x v="0"/>
    <x v="0"/>
    <x v="1"/>
    <x v="3"/>
    <x v="12"/>
    <s v="SE4_EL"/>
    <x v="3"/>
    <s v="GETOH_HEATPUMP1"/>
    <x v="0"/>
    <x v="11"/>
    <n v="44"/>
    <n v="16060"/>
    <n v="57816"/>
  </r>
  <r>
    <x v="0"/>
    <x v="0"/>
    <x v="1"/>
    <x v="3"/>
    <x v="12"/>
    <s v="SE4_EL"/>
    <x v="3"/>
    <s v="GETOH_HEATPUMP1"/>
    <x v="0"/>
    <x v="12"/>
    <n v="41.987978360215003"/>
    <n v="15325.6121014785"/>
    <n v="55172.203565322503"/>
  </r>
  <r>
    <x v="0"/>
    <x v="0"/>
    <x v="1"/>
    <x v="3"/>
    <x v="12"/>
    <s v="SE4_EL"/>
    <x v="3"/>
    <s v="GETOH_HEATPUMP1"/>
    <x v="0"/>
    <x v="13"/>
    <n v="38.042546337270899"/>
    <n v="13885.529413103901"/>
    <n v="49987.905887173998"/>
  </r>
  <r>
    <x v="0"/>
    <x v="0"/>
    <x v="1"/>
    <x v="3"/>
    <x v="12"/>
    <s v="SE4_EL"/>
    <x v="3"/>
    <s v="GETOH_HEATPUMP1"/>
    <x v="0"/>
    <x v="14"/>
    <n v="33.285054669072302"/>
    <n v="12149.0449542114"/>
    <n v="43736.561835161003"/>
  </r>
  <r>
    <x v="0"/>
    <x v="0"/>
    <x v="1"/>
    <x v="3"/>
    <x v="12"/>
    <s v="SE4_EL"/>
    <x v="3"/>
    <s v="GETOH_HEATPUMP1"/>
    <x v="0"/>
    <x v="15"/>
    <n v="44"/>
    <n v="16060"/>
    <n v="57816"/>
  </r>
  <r>
    <x v="0"/>
    <x v="0"/>
    <x v="1"/>
    <x v="3"/>
    <x v="12"/>
    <s v="SE4_EL"/>
    <x v="3"/>
    <s v="GETOH_HEATPUMP1"/>
    <x v="0"/>
    <x v="16"/>
    <n v="30.985665542145799"/>
    <n v="11309.7679228832"/>
    <n v="40715.164522379499"/>
  </r>
  <r>
    <x v="0"/>
    <x v="0"/>
    <x v="1"/>
    <x v="3"/>
    <x v="12"/>
    <s v="SE4_EL"/>
    <x v="3"/>
    <s v="GETOH_HEATPUMP1"/>
    <x v="0"/>
    <x v="17"/>
    <n v="30.4138980361849"/>
    <n v="11101.072783207501"/>
    <n v="39963.862019546897"/>
  </r>
  <r>
    <x v="0"/>
    <x v="0"/>
    <x v="1"/>
    <x v="3"/>
    <x v="12"/>
    <s v="SE4_EL"/>
    <x v="3"/>
    <s v="GETOH_HEATPUMP1"/>
    <x v="0"/>
    <x v="18"/>
    <n v="44"/>
    <n v="16060"/>
    <n v="57816"/>
  </r>
  <r>
    <x v="0"/>
    <x v="0"/>
    <x v="1"/>
    <x v="3"/>
    <x v="12"/>
    <s v="SE4_EL"/>
    <x v="3"/>
    <s v="GETOH_HEATPUMP1"/>
    <x v="0"/>
    <x v="19"/>
    <n v="44"/>
    <n v="16060"/>
    <n v="57816"/>
  </r>
  <r>
    <x v="0"/>
    <x v="0"/>
    <x v="1"/>
    <x v="3"/>
    <x v="12"/>
    <s v="SE4_EL"/>
    <x v="3"/>
    <s v="GETOH_HEATPUMP1"/>
    <x v="0"/>
    <x v="20"/>
    <n v="32.003671424905697"/>
    <n v="11681.3400700906"/>
    <n v="42052.8242523261"/>
  </r>
  <r>
    <x v="0"/>
    <x v="0"/>
    <x v="1"/>
    <x v="3"/>
    <x v="12"/>
    <s v="SE4_EL"/>
    <x v="3"/>
    <s v="GETOH_HEATPUMP1"/>
    <x v="0"/>
    <x v="21"/>
    <n v="30.2297776753703"/>
    <n v="11033.8688515102"/>
    <n v="39721.927865436599"/>
  </r>
  <r>
    <x v="0"/>
    <x v="0"/>
    <x v="1"/>
    <x v="3"/>
    <x v="12"/>
    <s v="SE4_EL"/>
    <x v="3"/>
    <s v="GETOH_HEATPUMP1"/>
    <x v="0"/>
    <x v="22"/>
    <n v="44"/>
    <n v="16060"/>
    <n v="57816"/>
  </r>
  <r>
    <x v="0"/>
    <x v="0"/>
    <x v="1"/>
    <x v="3"/>
    <x v="12"/>
    <s v="SE4_EL"/>
    <x v="3"/>
    <s v="GETOH_HEATPUMP1"/>
    <x v="0"/>
    <x v="23"/>
    <n v="44"/>
    <n v="16060"/>
    <n v="57816"/>
  </r>
  <r>
    <x v="0"/>
    <x v="0"/>
    <x v="1"/>
    <x v="3"/>
    <x v="12"/>
    <s v="SE4_EL"/>
    <x v="2"/>
    <s v="GHOB_WASTEHEAT"/>
    <x v="0"/>
    <x v="6"/>
    <n v="6.9296829465193897"/>
    <n v="2529.3342754795799"/>
    <n v="9105.6033917264795"/>
  </r>
  <r>
    <x v="0"/>
    <x v="0"/>
    <x v="1"/>
    <x v="3"/>
    <x v="12"/>
    <s v="SE4_EL"/>
    <x v="2"/>
    <s v="GHOB_WASTEHEAT"/>
    <x v="0"/>
    <x v="7"/>
    <n v="10.4166666666666"/>
    <n v="3802.0833333333198"/>
    <n v="13687.4999999999"/>
  </r>
  <r>
    <x v="0"/>
    <x v="0"/>
    <x v="1"/>
    <x v="3"/>
    <x v="12"/>
    <s v="SE4_EL"/>
    <x v="2"/>
    <s v="GHOB_WASTEHEAT"/>
    <x v="0"/>
    <x v="8"/>
    <n v="7.7770781273320297"/>
    <n v="2838.6335164761899"/>
    <n v="10219.080659314301"/>
  </r>
  <r>
    <x v="0"/>
    <x v="0"/>
    <x v="1"/>
    <x v="3"/>
    <x v="12"/>
    <s v="SE4_EL"/>
    <x v="2"/>
    <s v="GHOB_WASTEHEAT"/>
    <x v="0"/>
    <x v="9"/>
    <n v="10.2532697181211"/>
    <n v="3742.4434471141999"/>
    <n v="13472.796409611101"/>
  </r>
  <r>
    <x v="0"/>
    <x v="0"/>
    <x v="1"/>
    <x v="3"/>
    <x v="12"/>
    <s v="SE4_EL"/>
    <x v="2"/>
    <s v="GHOB_WASTEHEAT"/>
    <x v="0"/>
    <x v="10"/>
    <n v="8.3876814760935794"/>
    <n v="3061.50373877415"/>
    <n v="11021.413459587"/>
  </r>
  <r>
    <x v="0"/>
    <x v="0"/>
    <x v="1"/>
    <x v="3"/>
    <x v="12"/>
    <s v="SE4_EL"/>
    <x v="2"/>
    <s v="GHOB_WASTEHEAT"/>
    <x v="0"/>
    <x v="11"/>
    <n v="4.2608723889700002"/>
    <n v="1555.21842197405"/>
    <n v="5598.7863191065799"/>
  </r>
  <r>
    <x v="0"/>
    <x v="0"/>
    <x v="1"/>
    <x v="3"/>
    <x v="12"/>
    <s v="SE4_EL"/>
    <x v="7"/>
    <s v="GHOB_WOODWASTE"/>
    <x v="0"/>
    <x v="7"/>
    <n v="3.3377432011127999"/>
    <n v="1218.2762684061699"/>
    <n v="4385.7945662622196"/>
  </r>
  <r>
    <x v="0"/>
    <x v="0"/>
    <x v="1"/>
    <x v="3"/>
    <x v="12"/>
    <s v="SE4_HP"/>
    <x v="3"/>
    <s v="GETOH_HEATPUMP1"/>
    <x v="0"/>
    <x v="0"/>
    <n v="25.24"/>
    <n v="9212.6"/>
    <n v="33165.360000000001"/>
  </r>
  <r>
    <x v="0"/>
    <x v="0"/>
    <x v="1"/>
    <x v="3"/>
    <x v="12"/>
    <s v="SE4_HP"/>
    <x v="3"/>
    <s v="GETOH_HEATPUMP1"/>
    <x v="0"/>
    <x v="1"/>
    <n v="25.24"/>
    <n v="9212.6"/>
    <n v="33165.360000000001"/>
  </r>
  <r>
    <x v="0"/>
    <x v="0"/>
    <x v="1"/>
    <x v="3"/>
    <x v="12"/>
    <s v="SE4_HP"/>
    <x v="3"/>
    <s v="GETOH_HEATPUMP1"/>
    <x v="0"/>
    <x v="2"/>
    <n v="25.24"/>
    <n v="9212.6"/>
    <n v="33165.360000000001"/>
  </r>
  <r>
    <x v="0"/>
    <x v="0"/>
    <x v="1"/>
    <x v="3"/>
    <x v="12"/>
    <s v="SE4_HP"/>
    <x v="3"/>
    <s v="GETOH_HEATPUMP1"/>
    <x v="0"/>
    <x v="3"/>
    <n v="25.24"/>
    <n v="9212.6"/>
    <n v="33165.360000000001"/>
  </r>
  <r>
    <x v="0"/>
    <x v="0"/>
    <x v="1"/>
    <x v="3"/>
    <x v="12"/>
    <s v="SE4_HP"/>
    <x v="3"/>
    <s v="GETOH_HEATPUMP1"/>
    <x v="0"/>
    <x v="4"/>
    <n v="25.24"/>
    <n v="9212.6"/>
    <n v="33165.360000000001"/>
  </r>
  <r>
    <x v="0"/>
    <x v="0"/>
    <x v="1"/>
    <x v="3"/>
    <x v="12"/>
    <s v="SE4_HP"/>
    <x v="3"/>
    <s v="GETOH_HEATPUMP1"/>
    <x v="0"/>
    <x v="5"/>
    <n v="25.24"/>
    <n v="9212.6"/>
    <n v="33165.360000000001"/>
  </r>
  <r>
    <x v="0"/>
    <x v="0"/>
    <x v="1"/>
    <x v="3"/>
    <x v="12"/>
    <s v="SE4_HP"/>
    <x v="3"/>
    <s v="GETOH_HEATPUMP1"/>
    <x v="0"/>
    <x v="6"/>
    <n v="25.24"/>
    <n v="9212.6"/>
    <n v="33165.360000000001"/>
  </r>
  <r>
    <x v="0"/>
    <x v="0"/>
    <x v="1"/>
    <x v="3"/>
    <x v="12"/>
    <s v="SE4_HP"/>
    <x v="3"/>
    <s v="GETOH_HEATPUMP1"/>
    <x v="0"/>
    <x v="7"/>
    <n v="25.24"/>
    <n v="9212.6"/>
    <n v="33165.360000000001"/>
  </r>
  <r>
    <x v="0"/>
    <x v="0"/>
    <x v="1"/>
    <x v="3"/>
    <x v="12"/>
    <s v="SE4_HP"/>
    <x v="3"/>
    <s v="GETOH_HEATPUMP1"/>
    <x v="0"/>
    <x v="8"/>
    <n v="25.24"/>
    <n v="9212.6"/>
    <n v="33165.360000000001"/>
  </r>
  <r>
    <x v="0"/>
    <x v="0"/>
    <x v="1"/>
    <x v="3"/>
    <x v="12"/>
    <s v="SE4_HP"/>
    <x v="3"/>
    <s v="GETOH_HEATPUMP1"/>
    <x v="0"/>
    <x v="9"/>
    <n v="25.24"/>
    <n v="9212.6"/>
    <n v="33165.360000000001"/>
  </r>
  <r>
    <x v="0"/>
    <x v="0"/>
    <x v="1"/>
    <x v="3"/>
    <x v="12"/>
    <s v="SE4_HP"/>
    <x v="3"/>
    <s v="GETOH_HEATPUMP1"/>
    <x v="0"/>
    <x v="10"/>
    <n v="25.24"/>
    <n v="9212.6"/>
    <n v="33165.360000000001"/>
  </r>
  <r>
    <x v="0"/>
    <x v="0"/>
    <x v="1"/>
    <x v="3"/>
    <x v="12"/>
    <s v="SE4_HP"/>
    <x v="3"/>
    <s v="GETOH_HEATPUMP1"/>
    <x v="0"/>
    <x v="11"/>
    <n v="25.24"/>
    <n v="9212.6"/>
    <n v="33165.360000000001"/>
  </r>
  <r>
    <x v="0"/>
    <x v="0"/>
    <x v="1"/>
    <x v="3"/>
    <x v="12"/>
    <s v="SE4_HP"/>
    <x v="3"/>
    <s v="GETOH_HEATPUMP1"/>
    <x v="0"/>
    <x v="12"/>
    <n v="25.24"/>
    <n v="9212.6"/>
    <n v="33165.360000000001"/>
  </r>
  <r>
    <x v="0"/>
    <x v="0"/>
    <x v="1"/>
    <x v="3"/>
    <x v="12"/>
    <s v="SE4_HP"/>
    <x v="3"/>
    <s v="GETOH_HEATPUMP1"/>
    <x v="0"/>
    <x v="13"/>
    <n v="25.24"/>
    <n v="9212.6"/>
    <n v="33165.360000000001"/>
  </r>
  <r>
    <x v="0"/>
    <x v="0"/>
    <x v="1"/>
    <x v="3"/>
    <x v="12"/>
    <s v="SE4_HP"/>
    <x v="3"/>
    <s v="GETOH_HEATPUMP1"/>
    <x v="0"/>
    <x v="14"/>
    <n v="25.24"/>
    <n v="9212.6"/>
    <n v="33165.360000000001"/>
  </r>
  <r>
    <x v="0"/>
    <x v="0"/>
    <x v="1"/>
    <x v="3"/>
    <x v="12"/>
    <s v="SE4_HP"/>
    <x v="3"/>
    <s v="GETOH_HEATPUMP1"/>
    <x v="0"/>
    <x v="15"/>
    <n v="25.24"/>
    <n v="9212.6"/>
    <n v="33165.360000000001"/>
  </r>
  <r>
    <x v="0"/>
    <x v="0"/>
    <x v="1"/>
    <x v="3"/>
    <x v="12"/>
    <s v="SE4_HP"/>
    <x v="3"/>
    <s v="GETOH_HEATPUMP1"/>
    <x v="0"/>
    <x v="16"/>
    <n v="25.24"/>
    <n v="9212.6"/>
    <n v="33165.360000000001"/>
  </r>
  <r>
    <x v="0"/>
    <x v="0"/>
    <x v="1"/>
    <x v="3"/>
    <x v="12"/>
    <s v="SE4_HP"/>
    <x v="3"/>
    <s v="GETOH_HEATPUMP1"/>
    <x v="0"/>
    <x v="17"/>
    <n v="25.24"/>
    <n v="9212.6"/>
    <n v="33165.360000000001"/>
  </r>
  <r>
    <x v="0"/>
    <x v="0"/>
    <x v="1"/>
    <x v="3"/>
    <x v="12"/>
    <s v="SE4_HP"/>
    <x v="3"/>
    <s v="GETOH_HEATPUMP1"/>
    <x v="0"/>
    <x v="18"/>
    <n v="25.24"/>
    <n v="9212.6"/>
    <n v="33165.360000000001"/>
  </r>
  <r>
    <x v="0"/>
    <x v="0"/>
    <x v="1"/>
    <x v="3"/>
    <x v="12"/>
    <s v="SE4_HP"/>
    <x v="3"/>
    <s v="GETOH_HEATPUMP1"/>
    <x v="0"/>
    <x v="19"/>
    <n v="25.24"/>
    <n v="9212.6"/>
    <n v="33165.360000000001"/>
  </r>
  <r>
    <x v="0"/>
    <x v="0"/>
    <x v="1"/>
    <x v="3"/>
    <x v="12"/>
    <s v="SE4_HP"/>
    <x v="3"/>
    <s v="GETOH_HEATPUMP1"/>
    <x v="0"/>
    <x v="20"/>
    <n v="25.24"/>
    <n v="9212.6"/>
    <n v="33165.360000000001"/>
  </r>
  <r>
    <x v="0"/>
    <x v="0"/>
    <x v="1"/>
    <x v="3"/>
    <x v="12"/>
    <s v="SE4_HP"/>
    <x v="3"/>
    <s v="GETOH_HEATPUMP1"/>
    <x v="0"/>
    <x v="21"/>
    <n v="25.24"/>
    <n v="9212.6"/>
    <n v="33165.360000000001"/>
  </r>
  <r>
    <x v="0"/>
    <x v="0"/>
    <x v="1"/>
    <x v="3"/>
    <x v="12"/>
    <s v="SE4_HP"/>
    <x v="3"/>
    <s v="GETOH_HEATPUMP1"/>
    <x v="0"/>
    <x v="22"/>
    <n v="25.24"/>
    <n v="9212.6"/>
    <n v="33165.360000000001"/>
  </r>
  <r>
    <x v="0"/>
    <x v="0"/>
    <x v="1"/>
    <x v="3"/>
    <x v="12"/>
    <s v="SE4_HP"/>
    <x v="3"/>
    <s v="GETOH_HEATPUMP1"/>
    <x v="0"/>
    <x v="23"/>
    <n v="25.24"/>
    <n v="9212.6"/>
    <n v="33165.360000000001"/>
  </r>
  <r>
    <x v="0"/>
    <x v="0"/>
    <x v="1"/>
    <x v="3"/>
    <x v="12"/>
    <s v="SE4_HP"/>
    <x v="3"/>
    <s v="GNR_BO_ELEC_E-99_SS-1-MW-FEED_Y-2030"/>
    <x v="0"/>
    <x v="0"/>
    <n v="36.640176369888998"/>
    <n v="13373.664375009501"/>
    <n v="48145.191750034101"/>
  </r>
  <r>
    <x v="0"/>
    <x v="0"/>
    <x v="1"/>
    <x v="3"/>
    <x v="12"/>
    <s v="SE4_HP"/>
    <x v="3"/>
    <s v="GNR_BO_ELEC_E-99_SS-1-MW-FEED_Y-2030"/>
    <x v="0"/>
    <x v="1"/>
    <n v="38.6085460789579"/>
    <n v="14092.119318819599"/>
    <n v="50731.629547750599"/>
  </r>
  <r>
    <x v="0"/>
    <x v="0"/>
    <x v="1"/>
    <x v="3"/>
    <x v="12"/>
    <s v="SE4_HP"/>
    <x v="3"/>
    <s v="GNR_BO_ELEC_E-99_SS-1-MW-FEED_Y-2030"/>
    <x v="0"/>
    <x v="2"/>
    <n v="38.2097469933261"/>
    <n v="13946.557652564001"/>
    <n v="50207.607549230503"/>
  </r>
  <r>
    <x v="0"/>
    <x v="0"/>
    <x v="1"/>
    <x v="3"/>
    <x v="12"/>
    <s v="SE4_HP"/>
    <x v="3"/>
    <s v="GNR_BO_ELEC_E-99_SS-1-MW-FEED_Y-2030"/>
    <x v="0"/>
    <x v="3"/>
    <n v="40.880843521337702"/>
    <n v="14921.5078852883"/>
    <n v="53717.428387037697"/>
  </r>
  <r>
    <x v="0"/>
    <x v="0"/>
    <x v="1"/>
    <x v="3"/>
    <x v="12"/>
    <s v="SE4_HP"/>
    <x v="3"/>
    <s v="GNR_BO_ELEC_E-99_SS-1-MW-FEED_Y-2030"/>
    <x v="0"/>
    <x v="4"/>
    <n v="43.838653488652199"/>
    <n v="16001.1085233581"/>
    <n v="57603.990684089003"/>
  </r>
  <r>
    <x v="0"/>
    <x v="0"/>
    <x v="1"/>
    <x v="3"/>
    <x v="12"/>
    <s v="SE4_HP"/>
    <x v="3"/>
    <s v="GNR_BO_ELEC_E-99_SS-1-MW-FEED_Y-2030"/>
    <x v="0"/>
    <x v="5"/>
    <n v="50.923728207707398"/>
    <n v="18587.160795813201"/>
    <n v="66913.778864927604"/>
  </r>
  <r>
    <x v="0"/>
    <x v="0"/>
    <x v="1"/>
    <x v="3"/>
    <x v="12"/>
    <s v="SE4_HP"/>
    <x v="3"/>
    <s v="GNR_BO_ELEC_E-99_SS-1-MW-FEED_Y-2030"/>
    <x v="0"/>
    <x v="6"/>
    <n v="50.923728207707398"/>
    <n v="18587.160795813201"/>
    <n v="66913.778864927604"/>
  </r>
  <r>
    <x v="0"/>
    <x v="0"/>
    <x v="1"/>
    <x v="3"/>
    <x v="12"/>
    <s v="SE4_HP"/>
    <x v="3"/>
    <s v="GNR_BO_ELEC_E-99_SS-1-MW-FEED_Y-2030"/>
    <x v="0"/>
    <x v="7"/>
    <n v="50.923728207707398"/>
    <n v="18587.160795813201"/>
    <n v="66913.778864927604"/>
  </r>
  <r>
    <x v="0"/>
    <x v="0"/>
    <x v="1"/>
    <x v="3"/>
    <x v="12"/>
    <s v="SE4_HP"/>
    <x v="3"/>
    <s v="GNR_BO_ELEC_E-99_SS-1-MW-FEED_Y-2030"/>
    <x v="0"/>
    <x v="8"/>
    <n v="50.923728207707398"/>
    <n v="18587.160795813201"/>
    <n v="66913.778864927604"/>
  </r>
  <r>
    <x v="0"/>
    <x v="0"/>
    <x v="1"/>
    <x v="3"/>
    <x v="12"/>
    <s v="SE4_HP"/>
    <x v="3"/>
    <s v="GNR_BO_ELEC_E-99_SS-1-MW-FEED_Y-2030"/>
    <x v="0"/>
    <x v="9"/>
    <n v="50.923728207707398"/>
    <n v="18587.160795813201"/>
    <n v="66913.778864927604"/>
  </r>
  <r>
    <x v="0"/>
    <x v="0"/>
    <x v="1"/>
    <x v="3"/>
    <x v="12"/>
    <s v="SE4_HP"/>
    <x v="3"/>
    <s v="GNR_BO_ELEC_E-99_SS-1-MW-FEED_Y-2030"/>
    <x v="0"/>
    <x v="10"/>
    <n v="50.923728207707398"/>
    <n v="18587.160795813201"/>
    <n v="66913.778864927604"/>
  </r>
  <r>
    <x v="0"/>
    <x v="0"/>
    <x v="1"/>
    <x v="3"/>
    <x v="12"/>
    <s v="SE4_HP"/>
    <x v="3"/>
    <s v="GNR_BO_ELEC_E-99_SS-1-MW-FEED_Y-2030"/>
    <x v="0"/>
    <x v="11"/>
    <n v="49.992960242449897"/>
    <n v="18247.430488494199"/>
    <n v="65690.749758579201"/>
  </r>
  <r>
    <x v="0"/>
    <x v="0"/>
    <x v="1"/>
    <x v="3"/>
    <x v="12"/>
    <s v="SE4_HP"/>
    <x v="3"/>
    <s v="GNR_BO_ELEC_E-99_SS-1-MW-FEED_Y-2030"/>
    <x v="0"/>
    <x v="12"/>
    <n v="46.234911749752399"/>
    <n v="16875.742788659602"/>
    <n v="60752.674039174599"/>
  </r>
  <r>
    <x v="0"/>
    <x v="0"/>
    <x v="1"/>
    <x v="3"/>
    <x v="12"/>
    <s v="SE4_HP"/>
    <x v="3"/>
    <s v="GNR_BO_ELEC_E-99_SS-1-MW-FEED_Y-2030"/>
    <x v="0"/>
    <x v="13"/>
    <n v="46.5042484935583"/>
    <n v="16974.0507001488"/>
    <n v="61106.582520535601"/>
  </r>
  <r>
    <x v="0"/>
    <x v="0"/>
    <x v="1"/>
    <x v="3"/>
    <x v="12"/>
    <s v="SE4_HP"/>
    <x v="3"/>
    <s v="GNR_BO_ELEC_E-99_SS-1-MW-FEED_Y-2030"/>
    <x v="0"/>
    <x v="14"/>
    <n v="48.894506217825601"/>
    <n v="17846.494769506298"/>
    <n v="64247.381170222798"/>
  </r>
  <r>
    <x v="0"/>
    <x v="0"/>
    <x v="1"/>
    <x v="3"/>
    <x v="12"/>
    <s v="SE4_HP"/>
    <x v="3"/>
    <s v="GNR_BO_ELEC_E-99_SS-1-MW-FEED_Y-2030"/>
    <x v="0"/>
    <x v="15"/>
    <n v="50.923728207707398"/>
    <n v="18587.160795813201"/>
    <n v="66913.778864927604"/>
  </r>
  <r>
    <x v="0"/>
    <x v="0"/>
    <x v="1"/>
    <x v="3"/>
    <x v="12"/>
    <s v="SE4_HP"/>
    <x v="3"/>
    <s v="GNR_BO_ELEC_E-99_SS-1-MW-FEED_Y-2030"/>
    <x v="0"/>
    <x v="16"/>
    <n v="50.923728207707398"/>
    <n v="18587.160795813201"/>
    <n v="66913.778864927604"/>
  </r>
  <r>
    <x v="0"/>
    <x v="0"/>
    <x v="1"/>
    <x v="3"/>
    <x v="12"/>
    <s v="SE4_HP"/>
    <x v="3"/>
    <s v="GNR_BO_ELEC_E-99_SS-1-MW-FEED_Y-2030"/>
    <x v="0"/>
    <x v="17"/>
    <n v="50.923728207707398"/>
    <n v="18587.160795813201"/>
    <n v="66913.778864927604"/>
  </r>
  <r>
    <x v="0"/>
    <x v="0"/>
    <x v="1"/>
    <x v="3"/>
    <x v="12"/>
    <s v="SE4_HP"/>
    <x v="3"/>
    <s v="GNR_BO_ELEC_E-99_SS-1-MW-FEED_Y-2030"/>
    <x v="0"/>
    <x v="18"/>
    <n v="50.923728207707398"/>
    <n v="18587.160795813201"/>
    <n v="66913.778864927604"/>
  </r>
  <r>
    <x v="0"/>
    <x v="0"/>
    <x v="1"/>
    <x v="3"/>
    <x v="12"/>
    <s v="SE4_HP"/>
    <x v="3"/>
    <s v="GNR_BO_ELEC_E-99_SS-1-MW-FEED_Y-2030"/>
    <x v="0"/>
    <x v="19"/>
    <n v="50.923728207707398"/>
    <n v="18587.160795813201"/>
    <n v="66913.778864927604"/>
  </r>
  <r>
    <x v="0"/>
    <x v="0"/>
    <x v="1"/>
    <x v="3"/>
    <x v="12"/>
    <s v="SE4_HP"/>
    <x v="3"/>
    <s v="GNR_BO_ELEC_E-99_SS-1-MW-FEED_Y-2030"/>
    <x v="0"/>
    <x v="20"/>
    <n v="50.923728207707398"/>
    <n v="18587.160795813201"/>
    <n v="66913.778864927604"/>
  </r>
  <r>
    <x v="0"/>
    <x v="0"/>
    <x v="1"/>
    <x v="3"/>
    <x v="12"/>
    <s v="SE4_HP"/>
    <x v="3"/>
    <s v="GNR_BO_ELEC_E-99_SS-1-MW-FEED_Y-2030"/>
    <x v="0"/>
    <x v="21"/>
    <n v="50.923728207707398"/>
    <n v="18587.160795813201"/>
    <n v="66913.778864927604"/>
  </r>
  <r>
    <x v="0"/>
    <x v="0"/>
    <x v="1"/>
    <x v="3"/>
    <x v="12"/>
    <s v="SE4_HP"/>
    <x v="3"/>
    <s v="GNR_BO_ELEC_E-99_SS-1-MW-FEED_Y-2030"/>
    <x v="0"/>
    <x v="22"/>
    <n v="50.923728207707398"/>
    <n v="18587.160795813201"/>
    <n v="66913.778864927604"/>
  </r>
  <r>
    <x v="0"/>
    <x v="0"/>
    <x v="1"/>
    <x v="3"/>
    <x v="12"/>
    <s v="SE4_HP"/>
    <x v="3"/>
    <s v="GNR_BO_ELEC_E-99_SS-1-MW-FEED_Y-2030"/>
    <x v="0"/>
    <x v="23"/>
    <n v="44.979986577329399"/>
    <n v="16417.695100725199"/>
    <n v="59103.702362610798"/>
  </r>
  <r>
    <x v="0"/>
    <x v="0"/>
    <x v="1"/>
    <x v="3"/>
    <x v="12"/>
    <s v="SE4_HP"/>
    <x v="1"/>
    <s v="GBPR_MUNIWASTE_65"/>
    <x v="0"/>
    <x v="6"/>
    <n v="17.007908816956999"/>
    <n v="6207.8867181893202"/>
    <n v="22348.392185481502"/>
  </r>
  <r>
    <x v="0"/>
    <x v="0"/>
    <x v="1"/>
    <x v="3"/>
    <x v="12"/>
    <s v="SE4_HP"/>
    <x v="1"/>
    <s v="GBPR_MUNIWASTE_65"/>
    <x v="0"/>
    <x v="7"/>
    <n v="19.812858734853201"/>
    <n v="7231.6934382214304"/>
    <n v="26034.096377597201"/>
  </r>
  <r>
    <x v="0"/>
    <x v="0"/>
    <x v="1"/>
    <x v="3"/>
    <x v="12"/>
    <s v="SE4_HP"/>
    <x v="1"/>
    <s v="GBPR_MUNIWASTE_65"/>
    <x v="0"/>
    <x v="8"/>
    <n v="7.8276045864505504"/>
    <n v="2857.0756740544498"/>
    <n v="10285.472426595999"/>
  </r>
  <r>
    <x v="0"/>
    <x v="0"/>
    <x v="1"/>
    <x v="3"/>
    <x v="12"/>
    <s v="SE4_HP"/>
    <x v="2"/>
    <s v="GHOB_WASTEHEAT"/>
    <x v="0"/>
    <x v="0"/>
    <n v="34.569597069596902"/>
    <n v="12617.902930402901"/>
    <n v="45424.450549450397"/>
  </r>
  <r>
    <x v="0"/>
    <x v="0"/>
    <x v="1"/>
    <x v="3"/>
    <x v="12"/>
    <s v="SE4_HP"/>
    <x v="2"/>
    <s v="GHOB_WASTEHEAT"/>
    <x v="0"/>
    <x v="1"/>
    <n v="34.569597069596902"/>
    <n v="12617.902930402901"/>
    <n v="45424.450549450397"/>
  </r>
  <r>
    <x v="0"/>
    <x v="0"/>
    <x v="1"/>
    <x v="3"/>
    <x v="12"/>
    <s v="SE4_HP"/>
    <x v="2"/>
    <s v="GHOB_WASTEHEAT"/>
    <x v="0"/>
    <x v="2"/>
    <n v="34.569597069596902"/>
    <n v="12617.902930402901"/>
    <n v="45424.450549450397"/>
  </r>
  <r>
    <x v="0"/>
    <x v="0"/>
    <x v="1"/>
    <x v="3"/>
    <x v="12"/>
    <s v="SE4_HP"/>
    <x v="2"/>
    <s v="GHOB_WASTEHEAT"/>
    <x v="0"/>
    <x v="3"/>
    <n v="34.569597069596902"/>
    <n v="12617.902930402901"/>
    <n v="45424.450549450397"/>
  </r>
  <r>
    <x v="0"/>
    <x v="0"/>
    <x v="1"/>
    <x v="3"/>
    <x v="12"/>
    <s v="SE4_HP"/>
    <x v="2"/>
    <s v="GHOB_WASTEHEAT"/>
    <x v="0"/>
    <x v="4"/>
    <n v="34.569597069596902"/>
    <n v="12617.902930402901"/>
    <n v="45424.450549450397"/>
  </r>
  <r>
    <x v="0"/>
    <x v="0"/>
    <x v="1"/>
    <x v="3"/>
    <x v="12"/>
    <s v="SE4_HP"/>
    <x v="2"/>
    <s v="GHOB_WASTEHEAT"/>
    <x v="0"/>
    <x v="5"/>
    <n v="34.569597069596902"/>
    <n v="12617.902930402901"/>
    <n v="45424.450549450397"/>
  </r>
  <r>
    <x v="0"/>
    <x v="0"/>
    <x v="1"/>
    <x v="3"/>
    <x v="12"/>
    <s v="SE4_HP"/>
    <x v="2"/>
    <s v="GHOB_WASTEHEAT"/>
    <x v="0"/>
    <x v="6"/>
    <n v="34.569597069596902"/>
    <n v="12617.902930402901"/>
    <n v="45424.450549450397"/>
  </r>
  <r>
    <x v="0"/>
    <x v="0"/>
    <x v="1"/>
    <x v="3"/>
    <x v="12"/>
    <s v="SE4_HP"/>
    <x v="2"/>
    <s v="GHOB_WASTEHEAT"/>
    <x v="0"/>
    <x v="7"/>
    <n v="34.569597069596902"/>
    <n v="12617.902930402901"/>
    <n v="45424.450549450397"/>
  </r>
  <r>
    <x v="0"/>
    <x v="0"/>
    <x v="1"/>
    <x v="3"/>
    <x v="12"/>
    <s v="SE4_HP"/>
    <x v="2"/>
    <s v="GHOB_WASTEHEAT"/>
    <x v="0"/>
    <x v="8"/>
    <n v="34.569597069596902"/>
    <n v="12617.902930402901"/>
    <n v="45424.450549450397"/>
  </r>
  <r>
    <x v="0"/>
    <x v="0"/>
    <x v="1"/>
    <x v="3"/>
    <x v="12"/>
    <s v="SE4_HP"/>
    <x v="2"/>
    <s v="GHOB_WASTEHEAT"/>
    <x v="0"/>
    <x v="9"/>
    <n v="34.569597069596902"/>
    <n v="12617.902930402901"/>
    <n v="45424.450549450397"/>
  </r>
  <r>
    <x v="0"/>
    <x v="0"/>
    <x v="1"/>
    <x v="3"/>
    <x v="12"/>
    <s v="SE4_HP"/>
    <x v="2"/>
    <s v="GHOB_WASTEHEAT"/>
    <x v="0"/>
    <x v="10"/>
    <n v="34.569597069596902"/>
    <n v="12617.902930402901"/>
    <n v="45424.450549450397"/>
  </r>
  <r>
    <x v="0"/>
    <x v="0"/>
    <x v="1"/>
    <x v="3"/>
    <x v="12"/>
    <s v="SE4_HP"/>
    <x v="2"/>
    <s v="GHOB_WASTEHEAT"/>
    <x v="0"/>
    <x v="11"/>
    <n v="34.569597069596902"/>
    <n v="12617.902930402901"/>
    <n v="45424.450549450397"/>
  </r>
  <r>
    <x v="0"/>
    <x v="0"/>
    <x v="1"/>
    <x v="3"/>
    <x v="12"/>
    <s v="SE4_HP"/>
    <x v="2"/>
    <s v="GHOB_WASTEHEAT"/>
    <x v="0"/>
    <x v="12"/>
    <n v="34.569597069596902"/>
    <n v="12617.902930402901"/>
    <n v="45424.450549450397"/>
  </r>
  <r>
    <x v="0"/>
    <x v="0"/>
    <x v="1"/>
    <x v="3"/>
    <x v="12"/>
    <s v="SE4_HP"/>
    <x v="2"/>
    <s v="GHOB_WASTEHEAT"/>
    <x v="0"/>
    <x v="13"/>
    <n v="34.569597069596902"/>
    <n v="12617.902930402901"/>
    <n v="45424.450549450397"/>
  </r>
  <r>
    <x v="0"/>
    <x v="0"/>
    <x v="1"/>
    <x v="3"/>
    <x v="12"/>
    <s v="SE4_HP"/>
    <x v="2"/>
    <s v="GHOB_WASTEHEAT"/>
    <x v="0"/>
    <x v="14"/>
    <n v="34.569597069596902"/>
    <n v="12617.902930402901"/>
    <n v="45424.450549450397"/>
  </r>
  <r>
    <x v="0"/>
    <x v="0"/>
    <x v="1"/>
    <x v="3"/>
    <x v="12"/>
    <s v="SE4_HP"/>
    <x v="2"/>
    <s v="GHOB_WASTEHEAT"/>
    <x v="0"/>
    <x v="15"/>
    <n v="34.569597069596902"/>
    <n v="12617.902930402901"/>
    <n v="45424.450549450397"/>
  </r>
  <r>
    <x v="0"/>
    <x v="0"/>
    <x v="1"/>
    <x v="3"/>
    <x v="12"/>
    <s v="SE4_HP"/>
    <x v="2"/>
    <s v="GHOB_WASTEHEAT"/>
    <x v="0"/>
    <x v="16"/>
    <n v="34.569597069596902"/>
    <n v="12617.902930402901"/>
    <n v="45424.450549450397"/>
  </r>
  <r>
    <x v="0"/>
    <x v="0"/>
    <x v="1"/>
    <x v="3"/>
    <x v="12"/>
    <s v="SE4_HP"/>
    <x v="2"/>
    <s v="GHOB_WASTEHEAT"/>
    <x v="0"/>
    <x v="17"/>
    <n v="34.569597069596902"/>
    <n v="12617.902930402901"/>
    <n v="45424.450549450397"/>
  </r>
  <r>
    <x v="0"/>
    <x v="0"/>
    <x v="1"/>
    <x v="3"/>
    <x v="12"/>
    <s v="SE4_HP"/>
    <x v="2"/>
    <s v="GHOB_WASTEHEAT"/>
    <x v="0"/>
    <x v="18"/>
    <n v="34.569597069596902"/>
    <n v="12617.902930402901"/>
    <n v="45424.450549450397"/>
  </r>
  <r>
    <x v="0"/>
    <x v="0"/>
    <x v="1"/>
    <x v="3"/>
    <x v="12"/>
    <s v="SE4_HP"/>
    <x v="2"/>
    <s v="GHOB_WASTEHEAT"/>
    <x v="0"/>
    <x v="19"/>
    <n v="34.569597069596902"/>
    <n v="12617.902930402901"/>
    <n v="45424.450549450397"/>
  </r>
  <r>
    <x v="0"/>
    <x v="0"/>
    <x v="1"/>
    <x v="3"/>
    <x v="12"/>
    <s v="SE4_HP"/>
    <x v="2"/>
    <s v="GHOB_WASTEHEAT"/>
    <x v="0"/>
    <x v="20"/>
    <n v="34.569597069596902"/>
    <n v="12617.902930402901"/>
    <n v="45424.450549450397"/>
  </r>
  <r>
    <x v="0"/>
    <x v="0"/>
    <x v="1"/>
    <x v="3"/>
    <x v="12"/>
    <s v="SE4_HP"/>
    <x v="2"/>
    <s v="GHOB_WASTEHEAT"/>
    <x v="0"/>
    <x v="21"/>
    <n v="34.569597069596902"/>
    <n v="12617.902930402901"/>
    <n v="45424.450549450397"/>
  </r>
  <r>
    <x v="0"/>
    <x v="0"/>
    <x v="1"/>
    <x v="3"/>
    <x v="12"/>
    <s v="SE4_HP"/>
    <x v="2"/>
    <s v="GHOB_WASTEHEAT"/>
    <x v="0"/>
    <x v="22"/>
    <n v="34.569597069596902"/>
    <n v="12617.902930402901"/>
    <n v="45424.450549450397"/>
  </r>
  <r>
    <x v="0"/>
    <x v="0"/>
    <x v="1"/>
    <x v="3"/>
    <x v="12"/>
    <s v="SE4_HP"/>
    <x v="2"/>
    <s v="GHOB_WASTEHEAT"/>
    <x v="0"/>
    <x v="23"/>
    <n v="34.569597069596902"/>
    <n v="12617.902930402901"/>
    <n v="45424.450549450397"/>
  </r>
  <r>
    <x v="0"/>
    <x v="0"/>
    <x v="1"/>
    <x v="3"/>
    <x v="12"/>
    <s v="SE4_HP"/>
    <x v="7"/>
    <s v="GHOB_WOODWASTE"/>
    <x v="0"/>
    <x v="5"/>
    <n v="5.72863302709675"/>
    <n v="2090.9510548903099"/>
    <n v="7527.4237976051299"/>
  </r>
  <r>
    <x v="0"/>
    <x v="0"/>
    <x v="1"/>
    <x v="3"/>
    <x v="12"/>
    <s v="SE4_HP"/>
    <x v="7"/>
    <s v="GHOB_WOODWASTE"/>
    <x v="0"/>
    <x v="6"/>
    <n v="13.145595446584901"/>
    <n v="4798.1423380035003"/>
    <n v="17273.312416812601"/>
  </r>
  <r>
    <x v="0"/>
    <x v="0"/>
    <x v="1"/>
    <x v="3"/>
    <x v="12"/>
    <s v="SE4_HP"/>
    <x v="7"/>
    <s v="GHOB_WOODWASTE"/>
    <x v="0"/>
    <x v="7"/>
    <n v="13.145595446584901"/>
    <n v="4798.1423380035003"/>
    <n v="17273.312416812601"/>
  </r>
  <r>
    <x v="0"/>
    <x v="0"/>
    <x v="1"/>
    <x v="3"/>
    <x v="12"/>
    <s v="SE4_HP"/>
    <x v="7"/>
    <s v="GHOB_WOODWASTE"/>
    <x v="0"/>
    <x v="8"/>
    <n v="13.145595446584901"/>
    <n v="4798.1423380035003"/>
    <n v="17273.312416812601"/>
  </r>
  <r>
    <x v="0"/>
    <x v="0"/>
    <x v="1"/>
    <x v="3"/>
    <x v="12"/>
    <s v="SE4_HP"/>
    <x v="7"/>
    <s v="GHOB_WOODWASTE"/>
    <x v="0"/>
    <x v="9"/>
    <n v="10.5705022027634"/>
    <n v="3858.2333040086501"/>
    <n v="13889.6398944312"/>
  </r>
  <r>
    <x v="0"/>
    <x v="0"/>
    <x v="1"/>
    <x v="3"/>
    <x v="12"/>
    <s v="SE4_HP"/>
    <x v="7"/>
    <s v="GHOB_WOODWASTE"/>
    <x v="0"/>
    <x v="10"/>
    <n v="3.6875241808091102"/>
    <n v="1345.94632599532"/>
    <n v="4845.4067735831704"/>
  </r>
  <r>
    <x v="0"/>
    <x v="0"/>
    <x v="1"/>
    <x v="3"/>
    <x v="12"/>
    <s v="SE4_HP"/>
    <x v="7"/>
    <s v="GHOB_WOODWASTE"/>
    <x v="0"/>
    <x v="15"/>
    <n v="1.8192239128193"/>
    <n v="664.01672817904296"/>
    <n v="2390.4602214445599"/>
  </r>
  <r>
    <x v="0"/>
    <x v="0"/>
    <x v="1"/>
    <x v="3"/>
    <x v="12"/>
    <s v="SE4_HP"/>
    <x v="7"/>
    <s v="GHOB_WOODWASTE"/>
    <x v="0"/>
    <x v="16"/>
    <n v="5.4864018613419896"/>
    <n v="2002.5366793898299"/>
    <n v="7209.1320458033697"/>
  </r>
  <r>
    <x v="0"/>
    <x v="0"/>
    <x v="1"/>
    <x v="3"/>
    <x v="12"/>
    <s v="SE4_HP"/>
    <x v="7"/>
    <s v="GHOB_WOODWASTE"/>
    <x v="0"/>
    <x v="17"/>
    <n v="7.3875123081361904"/>
    <n v="2696.4419924697099"/>
    <n v="9707.1911728909599"/>
  </r>
  <r>
    <x v="0"/>
    <x v="0"/>
    <x v="1"/>
    <x v="3"/>
    <x v="12"/>
    <s v="SE4_HP"/>
    <x v="7"/>
    <s v="GHOB_WOODWASTE"/>
    <x v="0"/>
    <x v="18"/>
    <n v="10.6610995763885"/>
    <n v="3891.3013453818098"/>
    <n v="14008.6848433745"/>
  </r>
  <r>
    <x v="0"/>
    <x v="0"/>
    <x v="1"/>
    <x v="3"/>
    <x v="12"/>
    <s v="SE4_HP"/>
    <x v="7"/>
    <s v="GHOB_WOODWASTE"/>
    <x v="0"/>
    <x v="19"/>
    <n v="13.0690659510415"/>
    <n v="4770.2090721301502"/>
    <n v="17172.752659668498"/>
  </r>
  <r>
    <x v="0"/>
    <x v="0"/>
    <x v="1"/>
    <x v="3"/>
    <x v="12"/>
    <s v="SE4_HP"/>
    <x v="7"/>
    <s v="GHOB_WOODWASTE"/>
    <x v="0"/>
    <x v="20"/>
    <n v="13.145595446584901"/>
    <n v="4798.1423380035003"/>
    <n v="17273.312416812601"/>
  </r>
  <r>
    <x v="0"/>
    <x v="0"/>
    <x v="1"/>
    <x v="3"/>
    <x v="12"/>
    <s v="SE4_HP"/>
    <x v="7"/>
    <s v="GHOB_WOODWASTE"/>
    <x v="0"/>
    <x v="21"/>
    <n v="11.081656485716"/>
    <n v="4044.8046172863301"/>
    <n v="14561.2966222308"/>
  </r>
  <r>
    <x v="0"/>
    <x v="0"/>
    <x v="1"/>
    <x v="3"/>
    <x v="12"/>
    <s v="SE4_HP"/>
    <x v="7"/>
    <s v="GHOB_WOODWASTE"/>
    <x v="0"/>
    <x v="22"/>
    <n v="6.2647688333200904"/>
    <n v="2286.6406241618301"/>
    <n v="8231.9062469826004"/>
  </r>
  <r>
    <x v="0"/>
    <x v="0"/>
    <x v="1"/>
    <x v="3"/>
    <x v="12"/>
    <s v="SE4_MAL"/>
    <x v="3"/>
    <s v="GETOH_HEATPUMP33"/>
    <x v="0"/>
    <x v="0"/>
    <n v="1.1000000000000001"/>
    <n v="401.5"/>
    <n v="1445.4"/>
  </r>
  <r>
    <x v="0"/>
    <x v="0"/>
    <x v="1"/>
    <x v="3"/>
    <x v="12"/>
    <s v="SE4_MAL"/>
    <x v="3"/>
    <s v="GETOH_HEATPUMP33"/>
    <x v="0"/>
    <x v="1"/>
    <n v="1.1000000000000001"/>
    <n v="401.5"/>
    <n v="1445.4"/>
  </r>
  <r>
    <x v="0"/>
    <x v="0"/>
    <x v="1"/>
    <x v="3"/>
    <x v="12"/>
    <s v="SE4_MAL"/>
    <x v="3"/>
    <s v="GETOH_HEATPUMP33"/>
    <x v="0"/>
    <x v="2"/>
    <n v="1.1000000000000001"/>
    <n v="401.5"/>
    <n v="1445.4"/>
  </r>
  <r>
    <x v="0"/>
    <x v="0"/>
    <x v="1"/>
    <x v="3"/>
    <x v="12"/>
    <s v="SE4_MAL"/>
    <x v="3"/>
    <s v="GETOH_HEATPUMP33"/>
    <x v="0"/>
    <x v="3"/>
    <n v="1.1000000000000001"/>
    <n v="401.5"/>
    <n v="1445.4"/>
  </r>
  <r>
    <x v="0"/>
    <x v="0"/>
    <x v="1"/>
    <x v="3"/>
    <x v="12"/>
    <s v="SE4_MAL"/>
    <x v="3"/>
    <s v="GETOH_HEATPUMP33"/>
    <x v="0"/>
    <x v="4"/>
    <n v="1.1000000000000001"/>
    <n v="401.5"/>
    <n v="1445.4"/>
  </r>
  <r>
    <x v="0"/>
    <x v="0"/>
    <x v="1"/>
    <x v="3"/>
    <x v="12"/>
    <s v="SE4_MAL"/>
    <x v="3"/>
    <s v="GETOH_HEATPUMP33"/>
    <x v="0"/>
    <x v="5"/>
    <n v="1.1000000000000001"/>
    <n v="401.5"/>
    <n v="1445.4"/>
  </r>
  <r>
    <x v="0"/>
    <x v="0"/>
    <x v="1"/>
    <x v="3"/>
    <x v="12"/>
    <s v="SE4_MAL"/>
    <x v="3"/>
    <s v="GETOH_HEATPUMP33"/>
    <x v="0"/>
    <x v="6"/>
    <n v="1.1000000000000001"/>
    <n v="401.5"/>
    <n v="1445.4"/>
  </r>
  <r>
    <x v="0"/>
    <x v="0"/>
    <x v="1"/>
    <x v="3"/>
    <x v="12"/>
    <s v="SE4_MAL"/>
    <x v="3"/>
    <s v="GETOH_HEATPUMP33"/>
    <x v="0"/>
    <x v="7"/>
    <n v="1.1000000000000001"/>
    <n v="401.5"/>
    <n v="1445.4"/>
  </r>
  <r>
    <x v="0"/>
    <x v="0"/>
    <x v="1"/>
    <x v="3"/>
    <x v="12"/>
    <s v="SE4_MAL"/>
    <x v="3"/>
    <s v="GETOH_HEATPUMP33"/>
    <x v="0"/>
    <x v="8"/>
    <n v="1.1000000000000001"/>
    <n v="401.5"/>
    <n v="1445.4"/>
  </r>
  <r>
    <x v="0"/>
    <x v="0"/>
    <x v="1"/>
    <x v="3"/>
    <x v="12"/>
    <s v="SE4_MAL"/>
    <x v="3"/>
    <s v="GETOH_HEATPUMP33"/>
    <x v="0"/>
    <x v="9"/>
    <n v="1.1000000000000001"/>
    <n v="401.5"/>
    <n v="1445.4"/>
  </r>
  <r>
    <x v="0"/>
    <x v="0"/>
    <x v="1"/>
    <x v="3"/>
    <x v="12"/>
    <s v="SE4_MAL"/>
    <x v="3"/>
    <s v="GETOH_HEATPUMP33"/>
    <x v="0"/>
    <x v="10"/>
    <n v="1.1000000000000001"/>
    <n v="401.5"/>
    <n v="1445.4"/>
  </r>
  <r>
    <x v="0"/>
    <x v="0"/>
    <x v="1"/>
    <x v="3"/>
    <x v="12"/>
    <s v="SE4_MAL"/>
    <x v="3"/>
    <s v="GETOH_HEATPUMP33"/>
    <x v="0"/>
    <x v="11"/>
    <n v="1.1000000000000001"/>
    <n v="401.5"/>
    <n v="1445.4"/>
  </r>
  <r>
    <x v="0"/>
    <x v="0"/>
    <x v="1"/>
    <x v="3"/>
    <x v="12"/>
    <s v="SE4_MAL"/>
    <x v="3"/>
    <s v="GETOH_HEATPUMP33"/>
    <x v="0"/>
    <x v="12"/>
    <n v="1.1000000000000001"/>
    <n v="401.5"/>
    <n v="1445.4"/>
  </r>
  <r>
    <x v="0"/>
    <x v="0"/>
    <x v="1"/>
    <x v="3"/>
    <x v="12"/>
    <s v="SE4_MAL"/>
    <x v="3"/>
    <s v="GETOH_HEATPUMP33"/>
    <x v="0"/>
    <x v="13"/>
    <n v="1.1000000000000001"/>
    <n v="401.5"/>
    <n v="1445.4"/>
  </r>
  <r>
    <x v="0"/>
    <x v="0"/>
    <x v="1"/>
    <x v="3"/>
    <x v="12"/>
    <s v="SE4_MAL"/>
    <x v="3"/>
    <s v="GETOH_HEATPUMP33"/>
    <x v="0"/>
    <x v="14"/>
    <n v="1.1000000000000001"/>
    <n v="401.5"/>
    <n v="1445.4"/>
  </r>
  <r>
    <x v="0"/>
    <x v="0"/>
    <x v="1"/>
    <x v="3"/>
    <x v="12"/>
    <s v="SE4_MAL"/>
    <x v="3"/>
    <s v="GETOH_HEATPUMP33"/>
    <x v="0"/>
    <x v="15"/>
    <n v="1.1000000000000001"/>
    <n v="401.5"/>
    <n v="1445.4"/>
  </r>
  <r>
    <x v="0"/>
    <x v="0"/>
    <x v="1"/>
    <x v="3"/>
    <x v="12"/>
    <s v="SE4_MAL"/>
    <x v="3"/>
    <s v="GETOH_HEATPUMP33"/>
    <x v="0"/>
    <x v="16"/>
    <n v="1.1000000000000001"/>
    <n v="401.5"/>
    <n v="1445.4"/>
  </r>
  <r>
    <x v="0"/>
    <x v="0"/>
    <x v="1"/>
    <x v="3"/>
    <x v="12"/>
    <s v="SE4_MAL"/>
    <x v="3"/>
    <s v="GETOH_HEATPUMP33"/>
    <x v="0"/>
    <x v="17"/>
    <n v="1.1000000000000001"/>
    <n v="401.5"/>
    <n v="1445.4"/>
  </r>
  <r>
    <x v="0"/>
    <x v="0"/>
    <x v="1"/>
    <x v="3"/>
    <x v="12"/>
    <s v="SE4_MAL"/>
    <x v="3"/>
    <s v="GETOH_HEATPUMP33"/>
    <x v="0"/>
    <x v="18"/>
    <n v="1.1000000000000001"/>
    <n v="401.5"/>
    <n v="1445.4"/>
  </r>
  <r>
    <x v="0"/>
    <x v="0"/>
    <x v="1"/>
    <x v="3"/>
    <x v="12"/>
    <s v="SE4_MAL"/>
    <x v="3"/>
    <s v="GETOH_HEATPUMP33"/>
    <x v="0"/>
    <x v="19"/>
    <n v="1.1000000000000001"/>
    <n v="401.5"/>
    <n v="1445.4"/>
  </r>
  <r>
    <x v="0"/>
    <x v="0"/>
    <x v="1"/>
    <x v="3"/>
    <x v="12"/>
    <s v="SE4_MAL"/>
    <x v="3"/>
    <s v="GETOH_HEATPUMP33"/>
    <x v="0"/>
    <x v="20"/>
    <n v="1.1000000000000001"/>
    <n v="401.5"/>
    <n v="1445.4"/>
  </r>
  <r>
    <x v="0"/>
    <x v="0"/>
    <x v="1"/>
    <x v="3"/>
    <x v="12"/>
    <s v="SE4_MAL"/>
    <x v="3"/>
    <s v="GETOH_HEATPUMP33"/>
    <x v="0"/>
    <x v="21"/>
    <n v="1.1000000000000001"/>
    <n v="401.5"/>
    <n v="1445.4"/>
  </r>
  <r>
    <x v="0"/>
    <x v="0"/>
    <x v="1"/>
    <x v="3"/>
    <x v="12"/>
    <s v="SE4_MAL"/>
    <x v="3"/>
    <s v="GETOH_HEATPUMP33"/>
    <x v="0"/>
    <x v="22"/>
    <n v="1.1000000000000001"/>
    <n v="401.5"/>
    <n v="1445.4"/>
  </r>
  <r>
    <x v="0"/>
    <x v="0"/>
    <x v="1"/>
    <x v="3"/>
    <x v="12"/>
    <s v="SE4_MAL"/>
    <x v="3"/>
    <s v="GETOH_HEATPUMP33"/>
    <x v="0"/>
    <x v="23"/>
    <n v="1.1000000000000001"/>
    <n v="401.5"/>
    <n v="1445.4"/>
  </r>
  <r>
    <x v="0"/>
    <x v="0"/>
    <x v="1"/>
    <x v="3"/>
    <x v="12"/>
    <s v="SE4_MAL"/>
    <x v="3"/>
    <s v="GNR_BO_ELEC_E-99_SS-1-MW-FEED_Y-2030"/>
    <x v="0"/>
    <x v="0"/>
    <n v="136.382540239587"/>
    <n v="49779.627187449303"/>
    <n v="179206.65787481799"/>
  </r>
  <r>
    <x v="0"/>
    <x v="0"/>
    <x v="1"/>
    <x v="3"/>
    <x v="12"/>
    <s v="SE4_MAL"/>
    <x v="3"/>
    <s v="GNR_BO_ELEC_E-99_SS-1-MW-FEED_Y-2030"/>
    <x v="0"/>
    <x v="1"/>
    <n v="140.159104744426"/>
    <n v="51158.073231715498"/>
    <n v="184169.06363417601"/>
  </r>
  <r>
    <x v="0"/>
    <x v="0"/>
    <x v="1"/>
    <x v="3"/>
    <x v="12"/>
    <s v="SE4_MAL"/>
    <x v="3"/>
    <s v="GNR_BO_ELEC_E-99_SS-1-MW-FEED_Y-2030"/>
    <x v="0"/>
    <x v="2"/>
    <n v="139.109161683065"/>
    <n v="50774.844014318798"/>
    <n v="182789.43845154799"/>
  </r>
  <r>
    <x v="0"/>
    <x v="0"/>
    <x v="1"/>
    <x v="3"/>
    <x v="12"/>
    <s v="SE4_MAL"/>
    <x v="3"/>
    <s v="GNR_BO_ELEC_E-99_SS-1-MW-FEED_Y-2030"/>
    <x v="0"/>
    <x v="3"/>
    <n v="141.72873287297099"/>
    <n v="51730.9874986344"/>
    <n v="186231.55499508401"/>
  </r>
  <r>
    <x v="0"/>
    <x v="0"/>
    <x v="1"/>
    <x v="3"/>
    <x v="12"/>
    <s v="SE4_MAL"/>
    <x v="3"/>
    <s v="GNR_BO_ELEC_E-99_SS-1-MW-FEED_Y-2030"/>
    <x v="0"/>
    <x v="4"/>
    <n v="146.023818190208"/>
    <n v="53298.693639425903"/>
    <n v="191875.29710193301"/>
  </r>
  <r>
    <x v="0"/>
    <x v="0"/>
    <x v="1"/>
    <x v="3"/>
    <x v="12"/>
    <s v="SE4_MAL"/>
    <x v="3"/>
    <s v="GNR_BO_ELEC_E-99_SS-1-MW-FEED_Y-2030"/>
    <x v="0"/>
    <x v="5"/>
    <n v="170.95106491219099"/>
    <n v="62397.1386929496"/>
    <n v="224629.699294619"/>
  </r>
  <r>
    <x v="0"/>
    <x v="0"/>
    <x v="1"/>
    <x v="3"/>
    <x v="12"/>
    <s v="SE4_MAL"/>
    <x v="3"/>
    <s v="GNR_BO_ELEC_E-99_SS-1-MW-FEED_Y-2030"/>
    <x v="0"/>
    <x v="6"/>
    <n v="180.08909109492501"/>
    <n v="65732.518249647503"/>
    <n v="236637.06569873099"/>
  </r>
  <r>
    <x v="0"/>
    <x v="0"/>
    <x v="1"/>
    <x v="3"/>
    <x v="12"/>
    <s v="SE4_MAL"/>
    <x v="3"/>
    <s v="GNR_BO_ELEC_E-99_SS-1-MW-FEED_Y-2030"/>
    <x v="0"/>
    <x v="7"/>
    <n v="180.08909109492501"/>
    <n v="65732.518249647503"/>
    <n v="236637.06569873099"/>
  </r>
  <r>
    <x v="0"/>
    <x v="0"/>
    <x v="1"/>
    <x v="3"/>
    <x v="12"/>
    <s v="SE4_MAL"/>
    <x v="3"/>
    <s v="GNR_BO_ELEC_E-99_SS-1-MW-FEED_Y-2030"/>
    <x v="0"/>
    <x v="8"/>
    <n v="180.08909109492501"/>
    <n v="65732.518249647503"/>
    <n v="236637.06569873099"/>
  </r>
  <r>
    <x v="0"/>
    <x v="0"/>
    <x v="1"/>
    <x v="3"/>
    <x v="12"/>
    <s v="SE4_MAL"/>
    <x v="3"/>
    <s v="GNR_BO_ELEC_E-99_SS-1-MW-FEED_Y-2030"/>
    <x v="0"/>
    <x v="9"/>
    <n v="180.08909109492501"/>
    <n v="65732.518249647503"/>
    <n v="236637.06569873099"/>
  </r>
  <r>
    <x v="0"/>
    <x v="0"/>
    <x v="1"/>
    <x v="3"/>
    <x v="12"/>
    <s v="SE4_MAL"/>
    <x v="3"/>
    <s v="GNR_BO_ELEC_E-99_SS-1-MW-FEED_Y-2030"/>
    <x v="0"/>
    <x v="10"/>
    <n v="167.383145383786"/>
    <n v="61094.848065081896"/>
    <n v="219941.453034295"/>
  </r>
  <r>
    <x v="0"/>
    <x v="0"/>
    <x v="1"/>
    <x v="3"/>
    <x v="12"/>
    <s v="SE4_MAL"/>
    <x v="3"/>
    <s v="GNR_BO_ELEC_E-99_SS-1-MW-FEED_Y-2030"/>
    <x v="0"/>
    <x v="11"/>
    <n v="158.132717570404"/>
    <n v="57718.441913197501"/>
    <n v="207786.39088751099"/>
  </r>
  <r>
    <x v="0"/>
    <x v="0"/>
    <x v="1"/>
    <x v="3"/>
    <x v="12"/>
    <s v="SE4_MAL"/>
    <x v="3"/>
    <s v="GNR_BO_ELEC_E-99_SS-1-MW-FEED_Y-2030"/>
    <x v="0"/>
    <x v="12"/>
    <n v="150.67225235150701"/>
    <n v="54995.3721083001"/>
    <n v="197983.33958987999"/>
  </r>
  <r>
    <x v="0"/>
    <x v="0"/>
    <x v="1"/>
    <x v="3"/>
    <x v="12"/>
    <s v="SE4_MAL"/>
    <x v="3"/>
    <s v="GNR_BO_ELEC_E-99_SS-1-MW-FEED_Y-2030"/>
    <x v="0"/>
    <x v="13"/>
    <n v="151.44680970984001"/>
    <n v="55278.085544091402"/>
    <n v="199001.107958729"/>
  </r>
  <r>
    <x v="0"/>
    <x v="0"/>
    <x v="1"/>
    <x v="3"/>
    <x v="12"/>
    <s v="SE4_MAL"/>
    <x v="3"/>
    <s v="GNR_BO_ELEC_E-99_SS-1-MW-FEED_Y-2030"/>
    <x v="0"/>
    <x v="14"/>
    <n v="157.161200539878"/>
    <n v="57363.838197055396"/>
    <n v="206509.817509399"/>
  </r>
  <r>
    <x v="0"/>
    <x v="0"/>
    <x v="1"/>
    <x v="3"/>
    <x v="12"/>
    <s v="SE4_MAL"/>
    <x v="3"/>
    <s v="GNR_BO_ELEC_E-99_SS-1-MW-FEED_Y-2030"/>
    <x v="0"/>
    <x v="15"/>
    <n v="165.21719205828401"/>
    <n v="60304.275101273699"/>
    <n v="217095.39036458501"/>
  </r>
  <r>
    <x v="0"/>
    <x v="0"/>
    <x v="1"/>
    <x v="3"/>
    <x v="12"/>
    <s v="SE4_MAL"/>
    <x v="3"/>
    <s v="GNR_BO_ELEC_E-99_SS-1-MW-FEED_Y-2030"/>
    <x v="0"/>
    <x v="16"/>
    <n v="173.608997442559"/>
    <n v="63367.284066533903"/>
    <n v="228122.22263952199"/>
  </r>
  <r>
    <x v="0"/>
    <x v="0"/>
    <x v="1"/>
    <x v="3"/>
    <x v="12"/>
    <s v="SE4_MAL"/>
    <x v="3"/>
    <s v="GNR_BO_ELEC_E-99_SS-1-MW-FEED_Y-2030"/>
    <x v="0"/>
    <x v="17"/>
    <n v="180.08909109492501"/>
    <n v="65732.518249647503"/>
    <n v="236637.06569873099"/>
  </r>
  <r>
    <x v="0"/>
    <x v="0"/>
    <x v="1"/>
    <x v="3"/>
    <x v="12"/>
    <s v="SE4_MAL"/>
    <x v="3"/>
    <s v="GNR_BO_ELEC_E-99_SS-1-MW-FEED_Y-2030"/>
    <x v="0"/>
    <x v="18"/>
    <n v="180.08909109492501"/>
    <n v="65732.518249647503"/>
    <n v="236637.06569873099"/>
  </r>
  <r>
    <x v="0"/>
    <x v="0"/>
    <x v="1"/>
    <x v="3"/>
    <x v="12"/>
    <s v="SE4_MAL"/>
    <x v="3"/>
    <s v="GNR_BO_ELEC_E-99_SS-1-MW-FEED_Y-2030"/>
    <x v="0"/>
    <x v="19"/>
    <n v="180.08909109492501"/>
    <n v="65732.518249647503"/>
    <n v="236637.06569873099"/>
  </r>
  <r>
    <x v="0"/>
    <x v="0"/>
    <x v="1"/>
    <x v="3"/>
    <x v="12"/>
    <s v="SE4_MAL"/>
    <x v="3"/>
    <s v="GNR_BO_ELEC_E-99_SS-1-MW-FEED_Y-2030"/>
    <x v="0"/>
    <x v="20"/>
    <n v="180.08909109492501"/>
    <n v="65732.518249647503"/>
    <n v="236637.06569873099"/>
  </r>
  <r>
    <x v="0"/>
    <x v="0"/>
    <x v="1"/>
    <x v="3"/>
    <x v="12"/>
    <s v="SE4_MAL"/>
    <x v="3"/>
    <s v="GNR_BO_ELEC_E-99_SS-1-MW-FEED_Y-2030"/>
    <x v="0"/>
    <x v="21"/>
    <n v="180.08909109492501"/>
    <n v="65732.518249647503"/>
    <n v="236637.06569873099"/>
  </r>
  <r>
    <x v="0"/>
    <x v="0"/>
    <x v="1"/>
    <x v="3"/>
    <x v="12"/>
    <s v="SE4_MAL"/>
    <x v="3"/>
    <s v="GNR_BO_ELEC_E-99_SS-1-MW-FEED_Y-2030"/>
    <x v="0"/>
    <x v="22"/>
    <n v="177.61673990989499"/>
    <n v="64830.110067111797"/>
    <n v="233388.39624160199"/>
  </r>
  <r>
    <x v="0"/>
    <x v="0"/>
    <x v="1"/>
    <x v="3"/>
    <x v="12"/>
    <s v="SE4_MAL"/>
    <x v="3"/>
    <s v="GNR_BO_ELEC_E-99_SS-1-MW-FEED_Y-2030"/>
    <x v="0"/>
    <x v="23"/>
    <n v="154.40825383673601"/>
    <n v="56359.012650408498"/>
    <n v="202892.44554146999"/>
  </r>
  <r>
    <x v="0"/>
    <x v="0"/>
    <x v="1"/>
    <x v="3"/>
    <x v="12"/>
    <s v="SE4_MAL"/>
    <x v="1"/>
    <s v="GBPR_MUNIWASTE_24"/>
    <x v="0"/>
    <x v="6"/>
    <n v="38.609504072253003"/>
    <n v="14092.4689863724"/>
    <n v="50732.888350940499"/>
  </r>
  <r>
    <x v="0"/>
    <x v="0"/>
    <x v="1"/>
    <x v="3"/>
    <x v="12"/>
    <s v="SE4_MAL"/>
    <x v="1"/>
    <s v="GBPR_MUNIWASTE_24"/>
    <x v="0"/>
    <x v="7"/>
    <n v="42.753057682124101"/>
    <n v="15604.8660539753"/>
    <n v="56177.517794311003"/>
  </r>
  <r>
    <x v="0"/>
    <x v="0"/>
    <x v="1"/>
    <x v="3"/>
    <x v="12"/>
    <s v="SE4_MAL"/>
    <x v="1"/>
    <s v="GBPR_MUNIWASTE_24"/>
    <x v="0"/>
    <x v="8"/>
    <n v="20.134606438846401"/>
    <n v="7349.13135017892"/>
    <n v="26456.8728606441"/>
  </r>
  <r>
    <x v="0"/>
    <x v="0"/>
    <x v="1"/>
    <x v="3"/>
    <x v="12"/>
    <s v="SE4_MAL"/>
    <x v="1"/>
    <s v="GBPR_MUNIWASTE_24"/>
    <x v="0"/>
    <x v="9"/>
    <n v="0.160934126665467"/>
    <n v="58.7409562328953"/>
    <n v="211.46744243842301"/>
  </r>
  <r>
    <x v="0"/>
    <x v="0"/>
    <x v="1"/>
    <x v="3"/>
    <x v="12"/>
    <s v="SE4_MAL"/>
    <x v="1"/>
    <s v="GBPR_MUNIWASTE_24"/>
    <x v="0"/>
    <x v="18"/>
    <n v="6.5719952214675201"/>
    <n v="2398.7782558356398"/>
    <n v="8635.6017210083191"/>
  </r>
  <r>
    <x v="0"/>
    <x v="0"/>
    <x v="1"/>
    <x v="3"/>
    <x v="12"/>
    <s v="SE4_MAL"/>
    <x v="1"/>
    <s v="GBPR_MUNIWASTE_24"/>
    <x v="0"/>
    <x v="19"/>
    <n v="11.2855187172136"/>
    <n v="4119.2143317829696"/>
    <n v="14829.1715944187"/>
  </r>
  <r>
    <x v="0"/>
    <x v="0"/>
    <x v="1"/>
    <x v="3"/>
    <x v="12"/>
    <s v="SE4_MAL"/>
    <x v="1"/>
    <s v="GBPR_MUNIWASTE_24"/>
    <x v="0"/>
    <x v="20"/>
    <n v="11.557959222302999"/>
    <n v="4218.6551161405796"/>
    <n v="15187.158418106101"/>
  </r>
  <r>
    <x v="0"/>
    <x v="0"/>
    <x v="1"/>
    <x v="3"/>
    <x v="12"/>
    <s v="SE4_MAL"/>
    <x v="1"/>
    <s v="GBPR_MUNIWASTE_24"/>
    <x v="0"/>
    <x v="21"/>
    <n v="7.3082636738740501"/>
    <n v="2667.5162409640302"/>
    <n v="9603.0584674705005"/>
  </r>
  <r>
    <x v="0"/>
    <x v="0"/>
    <x v="1"/>
    <x v="3"/>
    <x v="12"/>
    <s v="SE4_MAL"/>
    <x v="1"/>
    <s v="GHOB_MUNIWASTE"/>
    <x v="0"/>
    <x v="0"/>
    <n v="44.065254473452001"/>
    <n v="16083.817882810001"/>
    <n v="57901.744378115996"/>
  </r>
  <r>
    <x v="0"/>
    <x v="0"/>
    <x v="1"/>
    <x v="3"/>
    <x v="12"/>
    <s v="SE4_MAL"/>
    <x v="1"/>
    <s v="GHOB_MUNIWASTE"/>
    <x v="0"/>
    <x v="1"/>
    <n v="44.065254473452001"/>
    <n v="16083.817882810001"/>
    <n v="57901.744378115996"/>
  </r>
  <r>
    <x v="0"/>
    <x v="0"/>
    <x v="1"/>
    <x v="3"/>
    <x v="12"/>
    <s v="SE4_MAL"/>
    <x v="1"/>
    <s v="GHOB_MUNIWASTE"/>
    <x v="0"/>
    <x v="2"/>
    <n v="44.065254473452001"/>
    <n v="16083.817882810001"/>
    <n v="57901.744378115996"/>
  </r>
  <r>
    <x v="0"/>
    <x v="0"/>
    <x v="1"/>
    <x v="3"/>
    <x v="12"/>
    <s v="SE4_MAL"/>
    <x v="1"/>
    <s v="GHOB_MUNIWASTE"/>
    <x v="0"/>
    <x v="3"/>
    <n v="44.065254473452001"/>
    <n v="16083.817882810001"/>
    <n v="57901.744378115996"/>
  </r>
  <r>
    <x v="0"/>
    <x v="0"/>
    <x v="1"/>
    <x v="3"/>
    <x v="12"/>
    <s v="SE4_MAL"/>
    <x v="1"/>
    <s v="GHOB_MUNIWASTE"/>
    <x v="0"/>
    <x v="4"/>
    <n v="44.065254473452001"/>
    <n v="16083.817882810001"/>
    <n v="57901.744378115996"/>
  </r>
  <r>
    <x v="0"/>
    <x v="0"/>
    <x v="1"/>
    <x v="3"/>
    <x v="12"/>
    <s v="SE4_MAL"/>
    <x v="1"/>
    <s v="GHOB_MUNIWASTE"/>
    <x v="0"/>
    <x v="5"/>
    <n v="44.065254473452001"/>
    <n v="16083.817882810001"/>
    <n v="57901.744378115996"/>
  </r>
  <r>
    <x v="0"/>
    <x v="0"/>
    <x v="1"/>
    <x v="3"/>
    <x v="12"/>
    <s v="SE4_MAL"/>
    <x v="1"/>
    <s v="GHOB_MUNIWASTE"/>
    <x v="0"/>
    <x v="6"/>
    <n v="44.065254473452001"/>
    <n v="16083.817882810001"/>
    <n v="57901.744378115996"/>
  </r>
  <r>
    <x v="0"/>
    <x v="0"/>
    <x v="1"/>
    <x v="3"/>
    <x v="12"/>
    <s v="SE4_MAL"/>
    <x v="1"/>
    <s v="GHOB_MUNIWASTE"/>
    <x v="0"/>
    <x v="7"/>
    <n v="44.065254473452001"/>
    <n v="16083.817882810001"/>
    <n v="57901.744378115996"/>
  </r>
  <r>
    <x v="0"/>
    <x v="0"/>
    <x v="1"/>
    <x v="3"/>
    <x v="12"/>
    <s v="SE4_MAL"/>
    <x v="1"/>
    <s v="GHOB_MUNIWASTE"/>
    <x v="0"/>
    <x v="8"/>
    <n v="44.065254473452001"/>
    <n v="16083.817882810001"/>
    <n v="57901.744378115996"/>
  </r>
  <r>
    <x v="0"/>
    <x v="0"/>
    <x v="1"/>
    <x v="3"/>
    <x v="12"/>
    <s v="SE4_MAL"/>
    <x v="1"/>
    <s v="GHOB_MUNIWASTE"/>
    <x v="0"/>
    <x v="9"/>
    <n v="44.065254473452001"/>
    <n v="16083.817882810001"/>
    <n v="57901.744378115996"/>
  </r>
  <r>
    <x v="0"/>
    <x v="0"/>
    <x v="1"/>
    <x v="3"/>
    <x v="12"/>
    <s v="SE4_MAL"/>
    <x v="1"/>
    <s v="GHOB_MUNIWASTE"/>
    <x v="0"/>
    <x v="10"/>
    <n v="44.065254473452001"/>
    <n v="16083.817882810001"/>
    <n v="57901.744378115996"/>
  </r>
  <r>
    <x v="0"/>
    <x v="0"/>
    <x v="1"/>
    <x v="3"/>
    <x v="12"/>
    <s v="SE4_MAL"/>
    <x v="1"/>
    <s v="GHOB_MUNIWASTE"/>
    <x v="0"/>
    <x v="11"/>
    <n v="44.065254473452001"/>
    <n v="16083.817882810001"/>
    <n v="57901.744378115996"/>
  </r>
  <r>
    <x v="0"/>
    <x v="0"/>
    <x v="1"/>
    <x v="3"/>
    <x v="12"/>
    <s v="SE4_MAL"/>
    <x v="1"/>
    <s v="GHOB_MUNIWASTE"/>
    <x v="0"/>
    <x v="12"/>
    <n v="44.065254473452001"/>
    <n v="16083.817882810001"/>
    <n v="57901.744378115996"/>
  </r>
  <r>
    <x v="0"/>
    <x v="0"/>
    <x v="1"/>
    <x v="3"/>
    <x v="12"/>
    <s v="SE4_MAL"/>
    <x v="1"/>
    <s v="GHOB_MUNIWASTE"/>
    <x v="0"/>
    <x v="13"/>
    <n v="44.065254473452001"/>
    <n v="16083.817882810001"/>
    <n v="57901.744378115996"/>
  </r>
  <r>
    <x v="0"/>
    <x v="0"/>
    <x v="1"/>
    <x v="3"/>
    <x v="12"/>
    <s v="SE4_MAL"/>
    <x v="1"/>
    <s v="GHOB_MUNIWASTE"/>
    <x v="0"/>
    <x v="14"/>
    <n v="44.065254473452001"/>
    <n v="16083.817882810001"/>
    <n v="57901.744378115996"/>
  </r>
  <r>
    <x v="0"/>
    <x v="0"/>
    <x v="1"/>
    <x v="3"/>
    <x v="12"/>
    <s v="SE4_MAL"/>
    <x v="1"/>
    <s v="GHOB_MUNIWASTE"/>
    <x v="0"/>
    <x v="15"/>
    <n v="44.065254473452001"/>
    <n v="16083.817882810001"/>
    <n v="57901.744378115996"/>
  </r>
  <r>
    <x v="0"/>
    <x v="0"/>
    <x v="1"/>
    <x v="3"/>
    <x v="12"/>
    <s v="SE4_MAL"/>
    <x v="1"/>
    <s v="GHOB_MUNIWASTE"/>
    <x v="0"/>
    <x v="16"/>
    <n v="44.065254473452001"/>
    <n v="16083.817882810001"/>
    <n v="57901.744378115996"/>
  </r>
  <r>
    <x v="0"/>
    <x v="0"/>
    <x v="1"/>
    <x v="3"/>
    <x v="12"/>
    <s v="SE4_MAL"/>
    <x v="1"/>
    <s v="GHOB_MUNIWASTE"/>
    <x v="0"/>
    <x v="17"/>
    <n v="44.065254473452001"/>
    <n v="16083.817882810001"/>
    <n v="57901.744378115996"/>
  </r>
  <r>
    <x v="0"/>
    <x v="0"/>
    <x v="1"/>
    <x v="3"/>
    <x v="12"/>
    <s v="SE4_MAL"/>
    <x v="1"/>
    <s v="GHOB_MUNIWASTE"/>
    <x v="0"/>
    <x v="18"/>
    <n v="44.065254473452001"/>
    <n v="16083.817882810001"/>
    <n v="57901.744378115996"/>
  </r>
  <r>
    <x v="0"/>
    <x v="0"/>
    <x v="1"/>
    <x v="3"/>
    <x v="12"/>
    <s v="SE4_MAL"/>
    <x v="1"/>
    <s v="GHOB_MUNIWASTE"/>
    <x v="0"/>
    <x v="19"/>
    <n v="44.065254473452001"/>
    <n v="16083.817882810001"/>
    <n v="57901.744378115996"/>
  </r>
  <r>
    <x v="0"/>
    <x v="0"/>
    <x v="1"/>
    <x v="3"/>
    <x v="12"/>
    <s v="SE4_MAL"/>
    <x v="1"/>
    <s v="GHOB_MUNIWASTE"/>
    <x v="0"/>
    <x v="20"/>
    <n v="44.065254473452001"/>
    <n v="16083.817882810001"/>
    <n v="57901.744378115996"/>
  </r>
  <r>
    <x v="0"/>
    <x v="0"/>
    <x v="1"/>
    <x v="3"/>
    <x v="12"/>
    <s v="SE4_MAL"/>
    <x v="1"/>
    <s v="GHOB_MUNIWASTE"/>
    <x v="0"/>
    <x v="21"/>
    <n v="44.065254473452001"/>
    <n v="16083.817882810001"/>
    <n v="57901.744378115996"/>
  </r>
  <r>
    <x v="0"/>
    <x v="0"/>
    <x v="1"/>
    <x v="3"/>
    <x v="12"/>
    <s v="SE4_MAL"/>
    <x v="1"/>
    <s v="GHOB_MUNIWASTE"/>
    <x v="0"/>
    <x v="22"/>
    <n v="44.065254473452001"/>
    <n v="16083.817882810001"/>
    <n v="57901.744378115996"/>
  </r>
  <r>
    <x v="0"/>
    <x v="0"/>
    <x v="1"/>
    <x v="3"/>
    <x v="12"/>
    <s v="SE4_MAL"/>
    <x v="1"/>
    <s v="GHOB_MUNIWASTE"/>
    <x v="0"/>
    <x v="23"/>
    <n v="44.065254473452001"/>
    <n v="16083.817882810001"/>
    <n v="57901.744378115996"/>
  </r>
  <r>
    <x v="0"/>
    <x v="0"/>
    <x v="1"/>
    <x v="3"/>
    <x v="12"/>
    <s v="SE4_MAL"/>
    <x v="2"/>
    <s v="GHOB_WASTEHEAT"/>
    <x v="0"/>
    <x v="0"/>
    <n v="12.362637362637299"/>
    <n v="4512.3626373626203"/>
    <n v="16244.5054945054"/>
  </r>
  <r>
    <x v="0"/>
    <x v="0"/>
    <x v="1"/>
    <x v="3"/>
    <x v="12"/>
    <s v="SE4_MAL"/>
    <x v="2"/>
    <s v="GHOB_WASTEHEAT"/>
    <x v="0"/>
    <x v="1"/>
    <n v="12.362637362637299"/>
    <n v="4512.3626373626203"/>
    <n v="16244.5054945054"/>
  </r>
  <r>
    <x v="0"/>
    <x v="0"/>
    <x v="1"/>
    <x v="3"/>
    <x v="12"/>
    <s v="SE4_MAL"/>
    <x v="2"/>
    <s v="GHOB_WASTEHEAT"/>
    <x v="0"/>
    <x v="2"/>
    <n v="12.362637362637299"/>
    <n v="4512.3626373626203"/>
    <n v="16244.5054945054"/>
  </r>
  <r>
    <x v="0"/>
    <x v="0"/>
    <x v="1"/>
    <x v="3"/>
    <x v="12"/>
    <s v="SE4_MAL"/>
    <x v="2"/>
    <s v="GHOB_WASTEHEAT"/>
    <x v="0"/>
    <x v="3"/>
    <n v="12.362637362637299"/>
    <n v="4512.3626373626203"/>
    <n v="16244.5054945054"/>
  </r>
  <r>
    <x v="0"/>
    <x v="0"/>
    <x v="1"/>
    <x v="3"/>
    <x v="12"/>
    <s v="SE4_MAL"/>
    <x v="2"/>
    <s v="GHOB_WASTEHEAT"/>
    <x v="0"/>
    <x v="4"/>
    <n v="12.362637362637299"/>
    <n v="4512.3626373626203"/>
    <n v="16244.5054945054"/>
  </r>
  <r>
    <x v="0"/>
    <x v="0"/>
    <x v="1"/>
    <x v="3"/>
    <x v="12"/>
    <s v="SE4_MAL"/>
    <x v="2"/>
    <s v="GHOB_WASTEHEAT"/>
    <x v="0"/>
    <x v="5"/>
    <n v="12.362637362637299"/>
    <n v="4512.3626373626203"/>
    <n v="16244.5054945054"/>
  </r>
  <r>
    <x v="0"/>
    <x v="0"/>
    <x v="1"/>
    <x v="3"/>
    <x v="12"/>
    <s v="SE4_MAL"/>
    <x v="2"/>
    <s v="GHOB_WASTEHEAT"/>
    <x v="0"/>
    <x v="6"/>
    <n v="12.362637362637299"/>
    <n v="4512.3626373626203"/>
    <n v="16244.5054945054"/>
  </r>
  <r>
    <x v="0"/>
    <x v="0"/>
    <x v="1"/>
    <x v="3"/>
    <x v="12"/>
    <s v="SE4_MAL"/>
    <x v="2"/>
    <s v="GHOB_WASTEHEAT"/>
    <x v="0"/>
    <x v="7"/>
    <n v="12.362637362637299"/>
    <n v="4512.3626373626203"/>
    <n v="16244.5054945054"/>
  </r>
  <r>
    <x v="0"/>
    <x v="0"/>
    <x v="1"/>
    <x v="3"/>
    <x v="12"/>
    <s v="SE4_MAL"/>
    <x v="2"/>
    <s v="GHOB_WASTEHEAT"/>
    <x v="0"/>
    <x v="8"/>
    <n v="12.362637362637299"/>
    <n v="4512.3626373626203"/>
    <n v="16244.5054945054"/>
  </r>
  <r>
    <x v="0"/>
    <x v="0"/>
    <x v="1"/>
    <x v="3"/>
    <x v="12"/>
    <s v="SE4_MAL"/>
    <x v="2"/>
    <s v="GHOB_WASTEHEAT"/>
    <x v="0"/>
    <x v="9"/>
    <n v="12.362637362637299"/>
    <n v="4512.3626373626203"/>
    <n v="16244.5054945054"/>
  </r>
  <r>
    <x v="0"/>
    <x v="0"/>
    <x v="1"/>
    <x v="3"/>
    <x v="12"/>
    <s v="SE4_MAL"/>
    <x v="2"/>
    <s v="GHOB_WASTEHEAT"/>
    <x v="0"/>
    <x v="10"/>
    <n v="12.362637362637299"/>
    <n v="4512.3626373626203"/>
    <n v="16244.5054945054"/>
  </r>
  <r>
    <x v="0"/>
    <x v="0"/>
    <x v="1"/>
    <x v="3"/>
    <x v="12"/>
    <s v="SE4_MAL"/>
    <x v="2"/>
    <s v="GHOB_WASTEHEAT"/>
    <x v="0"/>
    <x v="11"/>
    <n v="12.362637362637299"/>
    <n v="4512.3626373626203"/>
    <n v="16244.5054945054"/>
  </r>
  <r>
    <x v="0"/>
    <x v="0"/>
    <x v="1"/>
    <x v="3"/>
    <x v="12"/>
    <s v="SE4_MAL"/>
    <x v="2"/>
    <s v="GHOB_WASTEHEAT"/>
    <x v="0"/>
    <x v="12"/>
    <n v="12.362637362637299"/>
    <n v="4512.3626373626203"/>
    <n v="16244.5054945054"/>
  </r>
  <r>
    <x v="0"/>
    <x v="0"/>
    <x v="1"/>
    <x v="3"/>
    <x v="12"/>
    <s v="SE4_MAL"/>
    <x v="2"/>
    <s v="GHOB_WASTEHEAT"/>
    <x v="0"/>
    <x v="13"/>
    <n v="12.362637362637299"/>
    <n v="4512.3626373626203"/>
    <n v="16244.5054945054"/>
  </r>
  <r>
    <x v="0"/>
    <x v="0"/>
    <x v="1"/>
    <x v="3"/>
    <x v="12"/>
    <s v="SE4_MAL"/>
    <x v="2"/>
    <s v="GHOB_WASTEHEAT"/>
    <x v="0"/>
    <x v="14"/>
    <n v="12.362637362637299"/>
    <n v="4512.3626373626203"/>
    <n v="16244.5054945054"/>
  </r>
  <r>
    <x v="0"/>
    <x v="0"/>
    <x v="1"/>
    <x v="3"/>
    <x v="12"/>
    <s v="SE4_MAL"/>
    <x v="2"/>
    <s v="GHOB_WASTEHEAT"/>
    <x v="0"/>
    <x v="15"/>
    <n v="12.362637362637299"/>
    <n v="4512.3626373626203"/>
    <n v="16244.5054945054"/>
  </r>
  <r>
    <x v="0"/>
    <x v="0"/>
    <x v="1"/>
    <x v="3"/>
    <x v="12"/>
    <s v="SE4_MAL"/>
    <x v="2"/>
    <s v="GHOB_WASTEHEAT"/>
    <x v="0"/>
    <x v="16"/>
    <n v="12.362637362637299"/>
    <n v="4512.3626373626203"/>
    <n v="16244.5054945054"/>
  </r>
  <r>
    <x v="0"/>
    <x v="0"/>
    <x v="1"/>
    <x v="3"/>
    <x v="12"/>
    <s v="SE4_MAL"/>
    <x v="2"/>
    <s v="GHOB_WASTEHEAT"/>
    <x v="0"/>
    <x v="17"/>
    <n v="12.362637362637299"/>
    <n v="4512.3626373626203"/>
    <n v="16244.5054945054"/>
  </r>
  <r>
    <x v="0"/>
    <x v="0"/>
    <x v="1"/>
    <x v="3"/>
    <x v="12"/>
    <s v="SE4_MAL"/>
    <x v="2"/>
    <s v="GHOB_WASTEHEAT"/>
    <x v="0"/>
    <x v="18"/>
    <n v="12.362637362637299"/>
    <n v="4512.3626373626203"/>
    <n v="16244.5054945054"/>
  </r>
  <r>
    <x v="0"/>
    <x v="0"/>
    <x v="1"/>
    <x v="3"/>
    <x v="12"/>
    <s v="SE4_MAL"/>
    <x v="2"/>
    <s v="GHOB_WASTEHEAT"/>
    <x v="0"/>
    <x v="19"/>
    <n v="12.362637362637299"/>
    <n v="4512.3626373626203"/>
    <n v="16244.5054945054"/>
  </r>
  <r>
    <x v="0"/>
    <x v="0"/>
    <x v="1"/>
    <x v="3"/>
    <x v="12"/>
    <s v="SE4_MAL"/>
    <x v="2"/>
    <s v="GHOB_WASTEHEAT"/>
    <x v="0"/>
    <x v="20"/>
    <n v="12.362637362637299"/>
    <n v="4512.3626373626203"/>
    <n v="16244.5054945054"/>
  </r>
  <r>
    <x v="0"/>
    <x v="0"/>
    <x v="1"/>
    <x v="3"/>
    <x v="12"/>
    <s v="SE4_MAL"/>
    <x v="2"/>
    <s v="GHOB_WASTEHEAT"/>
    <x v="0"/>
    <x v="21"/>
    <n v="12.362637362637299"/>
    <n v="4512.3626373626203"/>
    <n v="16244.5054945054"/>
  </r>
  <r>
    <x v="0"/>
    <x v="0"/>
    <x v="1"/>
    <x v="3"/>
    <x v="12"/>
    <s v="SE4_MAL"/>
    <x v="2"/>
    <s v="GHOB_WASTEHEAT"/>
    <x v="0"/>
    <x v="22"/>
    <n v="12.362637362637299"/>
    <n v="4512.3626373626203"/>
    <n v="16244.5054945054"/>
  </r>
  <r>
    <x v="0"/>
    <x v="0"/>
    <x v="1"/>
    <x v="3"/>
    <x v="12"/>
    <s v="SE4_MAL"/>
    <x v="2"/>
    <s v="GHOB_WASTEHEAT"/>
    <x v="0"/>
    <x v="23"/>
    <n v="12.362637362637299"/>
    <n v="4512.3626373626203"/>
    <n v="16244.5054945054"/>
  </r>
  <r>
    <x v="0"/>
    <x v="0"/>
    <x v="1"/>
    <x v="3"/>
    <x v="12"/>
    <s v="SE4_OTHER"/>
    <x v="3"/>
    <s v="GNR_BO_ELEC_E-99_SS-1-MW-FEED_Y-2030"/>
    <x v="0"/>
    <x v="0"/>
    <n v="356.860546547073"/>
    <n v="130254.099489682"/>
    <n v="468914.758162855"/>
  </r>
  <r>
    <x v="0"/>
    <x v="0"/>
    <x v="1"/>
    <x v="3"/>
    <x v="12"/>
    <s v="SE4_OTHER"/>
    <x v="3"/>
    <s v="GNR_BO_ELEC_E-99_SS-1-MW-FEED_Y-2030"/>
    <x v="0"/>
    <x v="1"/>
    <n v="366.74169686005303"/>
    <n v="133860.719353919"/>
    <n v="481898.58967410901"/>
  </r>
  <r>
    <x v="0"/>
    <x v="0"/>
    <x v="1"/>
    <x v="3"/>
    <x v="12"/>
    <s v="SE4_OTHER"/>
    <x v="3"/>
    <s v="GNR_BO_ELEC_E-99_SS-1-MW-FEED_Y-2030"/>
    <x v="0"/>
    <x v="2"/>
    <n v="366.743746136955"/>
    <n v="133861.46733998801"/>
    <n v="481901.282423959"/>
  </r>
  <r>
    <x v="0"/>
    <x v="0"/>
    <x v="1"/>
    <x v="3"/>
    <x v="12"/>
    <s v="SE4_OTHER"/>
    <x v="3"/>
    <s v="GNR_BO_ELEC_E-99_SS-1-MW-FEED_Y-2030"/>
    <x v="0"/>
    <x v="3"/>
    <n v="376.20722411445701"/>
    <n v="137315.636801777"/>
    <n v="494336.29248639703"/>
  </r>
  <r>
    <x v="0"/>
    <x v="0"/>
    <x v="1"/>
    <x v="3"/>
    <x v="12"/>
    <s v="SE4_OTHER"/>
    <x v="3"/>
    <s v="GNR_BO_ELEC_E-99_SS-1-MW-FEED_Y-2030"/>
    <x v="0"/>
    <x v="4"/>
    <n v="376.20722411445701"/>
    <n v="137315.636801777"/>
    <n v="494336.29248639703"/>
  </r>
  <r>
    <x v="0"/>
    <x v="0"/>
    <x v="1"/>
    <x v="3"/>
    <x v="12"/>
    <s v="SE4_OTHER"/>
    <x v="3"/>
    <s v="GNR_BO_ELEC_E-99_SS-1-MW-FEED_Y-2030"/>
    <x v="0"/>
    <x v="5"/>
    <n v="376.20722411445701"/>
    <n v="137315.636801777"/>
    <n v="494336.29248639703"/>
  </r>
  <r>
    <x v="0"/>
    <x v="0"/>
    <x v="1"/>
    <x v="3"/>
    <x v="12"/>
    <s v="SE4_OTHER"/>
    <x v="3"/>
    <s v="GNR_BO_ELEC_E-99_SS-1-MW-FEED_Y-2030"/>
    <x v="0"/>
    <x v="6"/>
    <n v="376.20722411445701"/>
    <n v="137315.636801777"/>
    <n v="494336.29248639703"/>
  </r>
  <r>
    <x v="0"/>
    <x v="0"/>
    <x v="1"/>
    <x v="3"/>
    <x v="12"/>
    <s v="SE4_OTHER"/>
    <x v="3"/>
    <s v="GNR_BO_ELEC_E-99_SS-1-MW-FEED_Y-2030"/>
    <x v="0"/>
    <x v="7"/>
    <n v="376.20722411445701"/>
    <n v="137315.636801777"/>
    <n v="494336.29248639703"/>
  </r>
  <r>
    <x v="0"/>
    <x v="0"/>
    <x v="1"/>
    <x v="3"/>
    <x v="12"/>
    <s v="SE4_OTHER"/>
    <x v="3"/>
    <s v="GNR_BO_ELEC_E-99_SS-1-MW-FEED_Y-2030"/>
    <x v="0"/>
    <x v="8"/>
    <n v="376.20722411445701"/>
    <n v="137315.636801777"/>
    <n v="494336.29248639703"/>
  </r>
  <r>
    <x v="0"/>
    <x v="0"/>
    <x v="1"/>
    <x v="3"/>
    <x v="12"/>
    <s v="SE4_OTHER"/>
    <x v="3"/>
    <s v="GNR_BO_ELEC_E-99_SS-1-MW-FEED_Y-2030"/>
    <x v="0"/>
    <x v="9"/>
    <n v="376.20722411445701"/>
    <n v="137315.636801777"/>
    <n v="494336.29248639703"/>
  </r>
  <r>
    <x v="0"/>
    <x v="0"/>
    <x v="1"/>
    <x v="3"/>
    <x v="12"/>
    <s v="SE4_OTHER"/>
    <x v="3"/>
    <s v="GNR_BO_ELEC_E-99_SS-1-MW-FEED_Y-2030"/>
    <x v="0"/>
    <x v="10"/>
    <n v="376.20722411445701"/>
    <n v="137315.636801777"/>
    <n v="494336.29248639703"/>
  </r>
  <r>
    <x v="0"/>
    <x v="0"/>
    <x v="1"/>
    <x v="3"/>
    <x v="12"/>
    <s v="SE4_OTHER"/>
    <x v="3"/>
    <s v="GNR_BO_ELEC_E-99_SS-1-MW-FEED_Y-2030"/>
    <x v="0"/>
    <x v="11"/>
    <n v="376.20722411445701"/>
    <n v="137315.636801777"/>
    <n v="494336.29248639703"/>
  </r>
  <r>
    <x v="0"/>
    <x v="0"/>
    <x v="1"/>
    <x v="3"/>
    <x v="12"/>
    <s v="SE4_OTHER"/>
    <x v="3"/>
    <s v="GNR_BO_ELEC_E-99_SS-1-MW-FEED_Y-2030"/>
    <x v="0"/>
    <x v="12"/>
    <n v="376.20722411445701"/>
    <n v="137315.636801777"/>
    <n v="494336.29248639703"/>
  </r>
  <r>
    <x v="0"/>
    <x v="0"/>
    <x v="1"/>
    <x v="3"/>
    <x v="12"/>
    <s v="SE4_OTHER"/>
    <x v="3"/>
    <s v="GNR_BO_ELEC_E-99_SS-1-MW-FEED_Y-2030"/>
    <x v="0"/>
    <x v="13"/>
    <n v="376.20722411445701"/>
    <n v="137315.636801777"/>
    <n v="494336.29248639703"/>
  </r>
  <r>
    <x v="0"/>
    <x v="0"/>
    <x v="1"/>
    <x v="3"/>
    <x v="12"/>
    <s v="SE4_OTHER"/>
    <x v="3"/>
    <s v="GNR_BO_ELEC_E-99_SS-1-MW-FEED_Y-2030"/>
    <x v="0"/>
    <x v="14"/>
    <n v="376.20722411445701"/>
    <n v="137315.636801777"/>
    <n v="494336.29248639703"/>
  </r>
  <r>
    <x v="0"/>
    <x v="0"/>
    <x v="1"/>
    <x v="3"/>
    <x v="12"/>
    <s v="SE4_OTHER"/>
    <x v="3"/>
    <s v="GNR_BO_ELEC_E-99_SS-1-MW-FEED_Y-2030"/>
    <x v="0"/>
    <x v="15"/>
    <n v="376.20722411445701"/>
    <n v="137315.636801777"/>
    <n v="494336.29248639703"/>
  </r>
  <r>
    <x v="0"/>
    <x v="0"/>
    <x v="1"/>
    <x v="3"/>
    <x v="12"/>
    <s v="SE4_OTHER"/>
    <x v="3"/>
    <s v="GNR_BO_ELEC_E-99_SS-1-MW-FEED_Y-2030"/>
    <x v="0"/>
    <x v="16"/>
    <n v="376.20722411445701"/>
    <n v="137315.636801777"/>
    <n v="494336.29248639703"/>
  </r>
  <r>
    <x v="0"/>
    <x v="0"/>
    <x v="1"/>
    <x v="3"/>
    <x v="12"/>
    <s v="SE4_OTHER"/>
    <x v="3"/>
    <s v="GNR_BO_ELEC_E-99_SS-1-MW-FEED_Y-2030"/>
    <x v="0"/>
    <x v="17"/>
    <n v="376.20722411445701"/>
    <n v="137315.636801777"/>
    <n v="494336.29248639703"/>
  </r>
  <r>
    <x v="0"/>
    <x v="0"/>
    <x v="1"/>
    <x v="3"/>
    <x v="12"/>
    <s v="SE4_OTHER"/>
    <x v="3"/>
    <s v="GNR_BO_ELEC_E-99_SS-1-MW-FEED_Y-2030"/>
    <x v="0"/>
    <x v="18"/>
    <n v="376.20722411445701"/>
    <n v="137315.636801777"/>
    <n v="494336.29248639703"/>
  </r>
  <r>
    <x v="0"/>
    <x v="0"/>
    <x v="1"/>
    <x v="3"/>
    <x v="12"/>
    <s v="SE4_OTHER"/>
    <x v="3"/>
    <s v="GNR_BO_ELEC_E-99_SS-1-MW-FEED_Y-2030"/>
    <x v="0"/>
    <x v="19"/>
    <n v="376.20722411445701"/>
    <n v="137315.636801777"/>
    <n v="494336.29248639703"/>
  </r>
  <r>
    <x v="0"/>
    <x v="0"/>
    <x v="1"/>
    <x v="3"/>
    <x v="12"/>
    <s v="SE4_OTHER"/>
    <x v="3"/>
    <s v="GNR_BO_ELEC_E-99_SS-1-MW-FEED_Y-2030"/>
    <x v="0"/>
    <x v="20"/>
    <n v="376.20722411445701"/>
    <n v="137315.636801777"/>
    <n v="494336.29248639703"/>
  </r>
  <r>
    <x v="0"/>
    <x v="0"/>
    <x v="1"/>
    <x v="3"/>
    <x v="12"/>
    <s v="SE4_OTHER"/>
    <x v="3"/>
    <s v="GNR_BO_ELEC_E-99_SS-1-MW-FEED_Y-2030"/>
    <x v="0"/>
    <x v="21"/>
    <n v="376.20722411445701"/>
    <n v="137315.636801777"/>
    <n v="494336.29248639703"/>
  </r>
  <r>
    <x v="0"/>
    <x v="0"/>
    <x v="1"/>
    <x v="3"/>
    <x v="12"/>
    <s v="SE4_OTHER"/>
    <x v="3"/>
    <s v="GNR_BO_ELEC_E-99_SS-1-MW-FEED_Y-2030"/>
    <x v="0"/>
    <x v="22"/>
    <n v="376.20722411445701"/>
    <n v="137315.636801777"/>
    <n v="494336.29248639703"/>
  </r>
  <r>
    <x v="0"/>
    <x v="0"/>
    <x v="1"/>
    <x v="3"/>
    <x v="12"/>
    <s v="SE4_OTHER"/>
    <x v="3"/>
    <s v="GNR_BO_ELEC_E-99_SS-1-MW-FEED_Y-2030"/>
    <x v="0"/>
    <x v="23"/>
    <n v="376.20722411445701"/>
    <n v="137315.636801777"/>
    <n v="494336.29248639703"/>
  </r>
  <r>
    <x v="0"/>
    <x v="0"/>
    <x v="1"/>
    <x v="3"/>
    <x v="12"/>
    <s v="SE4_OTHER"/>
    <x v="1"/>
    <s v="GHOB_MUNIWASTE"/>
    <x v="0"/>
    <x v="0"/>
    <n v="11.901290812371499"/>
    <n v="4343.9711465155997"/>
    <n v="15638.2961274561"/>
  </r>
  <r>
    <x v="0"/>
    <x v="0"/>
    <x v="1"/>
    <x v="3"/>
    <x v="12"/>
    <s v="SE4_OTHER"/>
    <x v="1"/>
    <s v="GHOB_MUNIWASTE"/>
    <x v="0"/>
    <x v="1"/>
    <n v="11.901290812371499"/>
    <n v="4343.9711465155997"/>
    <n v="15638.2961274561"/>
  </r>
  <r>
    <x v="0"/>
    <x v="0"/>
    <x v="1"/>
    <x v="3"/>
    <x v="12"/>
    <s v="SE4_OTHER"/>
    <x v="1"/>
    <s v="GHOB_MUNIWASTE"/>
    <x v="0"/>
    <x v="2"/>
    <n v="11.901290812371499"/>
    <n v="4343.9711465155997"/>
    <n v="15638.2961274561"/>
  </r>
  <r>
    <x v="0"/>
    <x v="0"/>
    <x v="1"/>
    <x v="3"/>
    <x v="12"/>
    <s v="SE4_OTHER"/>
    <x v="1"/>
    <s v="GHOB_MUNIWASTE"/>
    <x v="0"/>
    <x v="3"/>
    <n v="11.901290812371499"/>
    <n v="4343.9711465155997"/>
    <n v="15638.2961274561"/>
  </r>
  <r>
    <x v="0"/>
    <x v="0"/>
    <x v="1"/>
    <x v="3"/>
    <x v="12"/>
    <s v="SE4_OTHER"/>
    <x v="1"/>
    <s v="GHOB_MUNIWASTE"/>
    <x v="0"/>
    <x v="4"/>
    <n v="11.901290812371499"/>
    <n v="4343.9711465155997"/>
    <n v="15638.2961274561"/>
  </r>
  <r>
    <x v="0"/>
    <x v="0"/>
    <x v="1"/>
    <x v="3"/>
    <x v="12"/>
    <s v="SE4_OTHER"/>
    <x v="1"/>
    <s v="GHOB_MUNIWASTE"/>
    <x v="0"/>
    <x v="5"/>
    <n v="11.901290812371499"/>
    <n v="4343.9711465155997"/>
    <n v="15638.2961274561"/>
  </r>
  <r>
    <x v="0"/>
    <x v="0"/>
    <x v="1"/>
    <x v="3"/>
    <x v="12"/>
    <s v="SE4_OTHER"/>
    <x v="1"/>
    <s v="GHOB_MUNIWASTE"/>
    <x v="0"/>
    <x v="6"/>
    <n v="11.901290812371499"/>
    <n v="4343.9711465155997"/>
    <n v="15638.2961274561"/>
  </r>
  <r>
    <x v="0"/>
    <x v="0"/>
    <x v="1"/>
    <x v="3"/>
    <x v="12"/>
    <s v="SE4_OTHER"/>
    <x v="1"/>
    <s v="GHOB_MUNIWASTE"/>
    <x v="0"/>
    <x v="7"/>
    <n v="11.901290812371499"/>
    <n v="4343.9711465155997"/>
    <n v="15638.2961274561"/>
  </r>
  <r>
    <x v="0"/>
    <x v="0"/>
    <x v="1"/>
    <x v="3"/>
    <x v="12"/>
    <s v="SE4_OTHER"/>
    <x v="1"/>
    <s v="GHOB_MUNIWASTE"/>
    <x v="0"/>
    <x v="8"/>
    <n v="11.901290812371499"/>
    <n v="4343.9711465155997"/>
    <n v="15638.2961274561"/>
  </r>
  <r>
    <x v="0"/>
    <x v="0"/>
    <x v="1"/>
    <x v="3"/>
    <x v="12"/>
    <s v="SE4_OTHER"/>
    <x v="1"/>
    <s v="GHOB_MUNIWASTE"/>
    <x v="0"/>
    <x v="9"/>
    <n v="11.901290812371499"/>
    <n v="4343.9711465155997"/>
    <n v="15638.2961274561"/>
  </r>
  <r>
    <x v="0"/>
    <x v="0"/>
    <x v="1"/>
    <x v="3"/>
    <x v="12"/>
    <s v="SE4_OTHER"/>
    <x v="1"/>
    <s v="GHOB_MUNIWASTE"/>
    <x v="0"/>
    <x v="10"/>
    <n v="11.901290812371499"/>
    <n v="4343.9711465155997"/>
    <n v="15638.2961274561"/>
  </r>
  <r>
    <x v="0"/>
    <x v="0"/>
    <x v="1"/>
    <x v="3"/>
    <x v="12"/>
    <s v="SE4_OTHER"/>
    <x v="1"/>
    <s v="GHOB_MUNIWASTE"/>
    <x v="0"/>
    <x v="11"/>
    <n v="11.901290812371499"/>
    <n v="4343.9711465155997"/>
    <n v="15638.2961274561"/>
  </r>
  <r>
    <x v="0"/>
    <x v="0"/>
    <x v="1"/>
    <x v="3"/>
    <x v="12"/>
    <s v="SE4_OTHER"/>
    <x v="1"/>
    <s v="GHOB_MUNIWASTE"/>
    <x v="0"/>
    <x v="12"/>
    <n v="11.901290812371499"/>
    <n v="4343.9711465155997"/>
    <n v="15638.2961274561"/>
  </r>
  <r>
    <x v="0"/>
    <x v="0"/>
    <x v="1"/>
    <x v="3"/>
    <x v="12"/>
    <s v="SE4_OTHER"/>
    <x v="1"/>
    <s v="GHOB_MUNIWASTE"/>
    <x v="0"/>
    <x v="13"/>
    <n v="11.901290812371499"/>
    <n v="4343.9711465155997"/>
    <n v="15638.2961274561"/>
  </r>
  <r>
    <x v="0"/>
    <x v="0"/>
    <x v="1"/>
    <x v="3"/>
    <x v="12"/>
    <s v="SE4_OTHER"/>
    <x v="1"/>
    <s v="GHOB_MUNIWASTE"/>
    <x v="0"/>
    <x v="14"/>
    <n v="11.901290812371499"/>
    <n v="4343.9711465155997"/>
    <n v="15638.2961274561"/>
  </r>
  <r>
    <x v="0"/>
    <x v="0"/>
    <x v="1"/>
    <x v="3"/>
    <x v="12"/>
    <s v="SE4_OTHER"/>
    <x v="1"/>
    <s v="GHOB_MUNIWASTE"/>
    <x v="0"/>
    <x v="15"/>
    <n v="11.901290812371499"/>
    <n v="4343.9711465155997"/>
    <n v="15638.2961274561"/>
  </r>
  <r>
    <x v="0"/>
    <x v="0"/>
    <x v="1"/>
    <x v="3"/>
    <x v="12"/>
    <s v="SE4_OTHER"/>
    <x v="1"/>
    <s v="GHOB_MUNIWASTE"/>
    <x v="0"/>
    <x v="16"/>
    <n v="11.901290812371499"/>
    <n v="4343.9711465155997"/>
    <n v="15638.2961274561"/>
  </r>
  <r>
    <x v="0"/>
    <x v="0"/>
    <x v="1"/>
    <x v="3"/>
    <x v="12"/>
    <s v="SE4_OTHER"/>
    <x v="1"/>
    <s v="GHOB_MUNIWASTE"/>
    <x v="0"/>
    <x v="17"/>
    <n v="11.901290812371499"/>
    <n v="4343.9711465155997"/>
    <n v="15638.2961274561"/>
  </r>
  <r>
    <x v="0"/>
    <x v="0"/>
    <x v="1"/>
    <x v="3"/>
    <x v="12"/>
    <s v="SE4_OTHER"/>
    <x v="1"/>
    <s v="GHOB_MUNIWASTE"/>
    <x v="0"/>
    <x v="18"/>
    <n v="11.901290812371499"/>
    <n v="4343.9711465155997"/>
    <n v="15638.2961274561"/>
  </r>
  <r>
    <x v="0"/>
    <x v="0"/>
    <x v="1"/>
    <x v="3"/>
    <x v="12"/>
    <s v="SE4_OTHER"/>
    <x v="1"/>
    <s v="GHOB_MUNIWASTE"/>
    <x v="0"/>
    <x v="19"/>
    <n v="11.901290812371499"/>
    <n v="4343.9711465155997"/>
    <n v="15638.2961274561"/>
  </r>
  <r>
    <x v="0"/>
    <x v="0"/>
    <x v="1"/>
    <x v="3"/>
    <x v="12"/>
    <s v="SE4_OTHER"/>
    <x v="1"/>
    <s v="GHOB_MUNIWASTE"/>
    <x v="0"/>
    <x v="20"/>
    <n v="11.901290812371499"/>
    <n v="4343.9711465155997"/>
    <n v="15638.2961274561"/>
  </r>
  <r>
    <x v="0"/>
    <x v="0"/>
    <x v="1"/>
    <x v="3"/>
    <x v="12"/>
    <s v="SE4_OTHER"/>
    <x v="1"/>
    <s v="GHOB_MUNIWASTE"/>
    <x v="0"/>
    <x v="21"/>
    <n v="11.901290812371499"/>
    <n v="4343.9711465155997"/>
    <n v="15638.2961274561"/>
  </r>
  <r>
    <x v="0"/>
    <x v="0"/>
    <x v="1"/>
    <x v="3"/>
    <x v="12"/>
    <s v="SE4_OTHER"/>
    <x v="1"/>
    <s v="GHOB_MUNIWASTE"/>
    <x v="0"/>
    <x v="22"/>
    <n v="11.901290812371499"/>
    <n v="4343.9711465155997"/>
    <n v="15638.2961274561"/>
  </r>
  <r>
    <x v="0"/>
    <x v="0"/>
    <x v="1"/>
    <x v="3"/>
    <x v="12"/>
    <s v="SE4_OTHER"/>
    <x v="1"/>
    <s v="GHOB_MUNIWASTE"/>
    <x v="0"/>
    <x v="23"/>
    <n v="11.901290812371499"/>
    <n v="4343.9711465155997"/>
    <n v="15638.2961274561"/>
  </r>
  <r>
    <x v="0"/>
    <x v="0"/>
    <x v="1"/>
    <x v="3"/>
    <x v="12"/>
    <s v="SE4_OTHER"/>
    <x v="2"/>
    <s v="GHOB_WASTEHEAT"/>
    <x v="0"/>
    <x v="0"/>
    <n v="54.953067765567503"/>
    <n v="20057.869734432199"/>
    <n v="72208.331043955797"/>
  </r>
  <r>
    <x v="0"/>
    <x v="0"/>
    <x v="1"/>
    <x v="3"/>
    <x v="12"/>
    <s v="SE4_OTHER"/>
    <x v="2"/>
    <s v="GHOB_WASTEHEAT"/>
    <x v="0"/>
    <x v="1"/>
    <n v="54.953067765567503"/>
    <n v="20057.869734432199"/>
    <n v="72208.331043955797"/>
  </r>
  <r>
    <x v="0"/>
    <x v="0"/>
    <x v="1"/>
    <x v="3"/>
    <x v="12"/>
    <s v="SE4_OTHER"/>
    <x v="2"/>
    <s v="GHOB_WASTEHEAT"/>
    <x v="0"/>
    <x v="2"/>
    <n v="54.953067765567503"/>
    <n v="20057.869734432199"/>
    <n v="72208.331043955797"/>
  </r>
  <r>
    <x v="0"/>
    <x v="0"/>
    <x v="1"/>
    <x v="3"/>
    <x v="12"/>
    <s v="SE4_OTHER"/>
    <x v="2"/>
    <s v="GHOB_WASTEHEAT"/>
    <x v="0"/>
    <x v="3"/>
    <n v="54.953067765567503"/>
    <n v="20057.869734432199"/>
    <n v="72208.331043955797"/>
  </r>
  <r>
    <x v="0"/>
    <x v="0"/>
    <x v="1"/>
    <x v="3"/>
    <x v="12"/>
    <s v="SE4_OTHER"/>
    <x v="2"/>
    <s v="GHOB_WASTEHEAT"/>
    <x v="0"/>
    <x v="4"/>
    <n v="54.953067765567503"/>
    <n v="20057.869734432199"/>
    <n v="72208.331043955797"/>
  </r>
  <r>
    <x v="0"/>
    <x v="0"/>
    <x v="1"/>
    <x v="3"/>
    <x v="12"/>
    <s v="SE4_OTHER"/>
    <x v="2"/>
    <s v="GHOB_WASTEHEAT"/>
    <x v="0"/>
    <x v="5"/>
    <n v="54.953067765567503"/>
    <n v="20057.869734432199"/>
    <n v="72208.331043955797"/>
  </r>
  <r>
    <x v="0"/>
    <x v="0"/>
    <x v="1"/>
    <x v="3"/>
    <x v="12"/>
    <s v="SE4_OTHER"/>
    <x v="2"/>
    <s v="GHOB_WASTEHEAT"/>
    <x v="0"/>
    <x v="6"/>
    <n v="54.953067765567503"/>
    <n v="20057.869734432199"/>
    <n v="72208.331043955797"/>
  </r>
  <r>
    <x v="0"/>
    <x v="0"/>
    <x v="1"/>
    <x v="3"/>
    <x v="12"/>
    <s v="SE4_OTHER"/>
    <x v="2"/>
    <s v="GHOB_WASTEHEAT"/>
    <x v="0"/>
    <x v="7"/>
    <n v="54.953067765567503"/>
    <n v="20057.869734432199"/>
    <n v="72208.331043955797"/>
  </r>
  <r>
    <x v="0"/>
    <x v="0"/>
    <x v="1"/>
    <x v="3"/>
    <x v="12"/>
    <s v="SE4_OTHER"/>
    <x v="2"/>
    <s v="GHOB_WASTEHEAT"/>
    <x v="0"/>
    <x v="8"/>
    <n v="54.953067765567503"/>
    <n v="20057.869734432199"/>
    <n v="72208.331043955797"/>
  </r>
  <r>
    <x v="0"/>
    <x v="0"/>
    <x v="1"/>
    <x v="3"/>
    <x v="12"/>
    <s v="SE4_OTHER"/>
    <x v="2"/>
    <s v="GHOB_WASTEHEAT"/>
    <x v="0"/>
    <x v="9"/>
    <n v="54.953067765567503"/>
    <n v="20057.869734432199"/>
    <n v="72208.331043955797"/>
  </r>
  <r>
    <x v="0"/>
    <x v="0"/>
    <x v="1"/>
    <x v="3"/>
    <x v="12"/>
    <s v="SE4_OTHER"/>
    <x v="2"/>
    <s v="GHOB_WASTEHEAT"/>
    <x v="0"/>
    <x v="10"/>
    <n v="54.953067765567503"/>
    <n v="20057.869734432199"/>
    <n v="72208.331043955797"/>
  </r>
  <r>
    <x v="0"/>
    <x v="0"/>
    <x v="1"/>
    <x v="3"/>
    <x v="12"/>
    <s v="SE4_OTHER"/>
    <x v="2"/>
    <s v="GHOB_WASTEHEAT"/>
    <x v="0"/>
    <x v="11"/>
    <n v="54.953067765567503"/>
    <n v="20057.869734432199"/>
    <n v="72208.331043955797"/>
  </r>
  <r>
    <x v="0"/>
    <x v="0"/>
    <x v="1"/>
    <x v="3"/>
    <x v="12"/>
    <s v="SE4_OTHER"/>
    <x v="2"/>
    <s v="GHOB_WASTEHEAT"/>
    <x v="0"/>
    <x v="12"/>
    <n v="54.953067765567503"/>
    <n v="20057.869734432199"/>
    <n v="72208.331043955797"/>
  </r>
  <r>
    <x v="0"/>
    <x v="0"/>
    <x v="1"/>
    <x v="3"/>
    <x v="12"/>
    <s v="SE4_OTHER"/>
    <x v="2"/>
    <s v="GHOB_WASTEHEAT"/>
    <x v="0"/>
    <x v="13"/>
    <n v="54.953067765567503"/>
    <n v="20057.869734432199"/>
    <n v="72208.331043955797"/>
  </r>
  <r>
    <x v="0"/>
    <x v="0"/>
    <x v="1"/>
    <x v="3"/>
    <x v="12"/>
    <s v="SE4_OTHER"/>
    <x v="2"/>
    <s v="GHOB_WASTEHEAT"/>
    <x v="0"/>
    <x v="14"/>
    <n v="54.953067765567503"/>
    <n v="20057.869734432199"/>
    <n v="72208.331043955797"/>
  </r>
  <r>
    <x v="0"/>
    <x v="0"/>
    <x v="1"/>
    <x v="3"/>
    <x v="12"/>
    <s v="SE4_OTHER"/>
    <x v="2"/>
    <s v="GHOB_WASTEHEAT"/>
    <x v="0"/>
    <x v="15"/>
    <n v="54.953067765567503"/>
    <n v="20057.869734432199"/>
    <n v="72208.331043955797"/>
  </r>
  <r>
    <x v="0"/>
    <x v="0"/>
    <x v="1"/>
    <x v="3"/>
    <x v="12"/>
    <s v="SE4_OTHER"/>
    <x v="2"/>
    <s v="GHOB_WASTEHEAT"/>
    <x v="0"/>
    <x v="16"/>
    <n v="54.953067765567503"/>
    <n v="20057.869734432199"/>
    <n v="72208.331043955797"/>
  </r>
  <r>
    <x v="0"/>
    <x v="0"/>
    <x v="1"/>
    <x v="3"/>
    <x v="12"/>
    <s v="SE4_OTHER"/>
    <x v="2"/>
    <s v="GHOB_WASTEHEAT"/>
    <x v="0"/>
    <x v="17"/>
    <n v="54.953067765567503"/>
    <n v="20057.869734432199"/>
    <n v="72208.331043955797"/>
  </r>
  <r>
    <x v="0"/>
    <x v="0"/>
    <x v="1"/>
    <x v="3"/>
    <x v="12"/>
    <s v="SE4_OTHER"/>
    <x v="2"/>
    <s v="GHOB_WASTEHEAT"/>
    <x v="0"/>
    <x v="18"/>
    <n v="54.953067765567503"/>
    <n v="20057.869734432199"/>
    <n v="72208.331043955797"/>
  </r>
  <r>
    <x v="0"/>
    <x v="0"/>
    <x v="1"/>
    <x v="3"/>
    <x v="12"/>
    <s v="SE4_OTHER"/>
    <x v="2"/>
    <s v="GHOB_WASTEHEAT"/>
    <x v="0"/>
    <x v="19"/>
    <n v="54.953067765567503"/>
    <n v="20057.869734432199"/>
    <n v="72208.331043955797"/>
  </r>
  <r>
    <x v="0"/>
    <x v="0"/>
    <x v="1"/>
    <x v="3"/>
    <x v="12"/>
    <s v="SE4_OTHER"/>
    <x v="2"/>
    <s v="GHOB_WASTEHEAT"/>
    <x v="0"/>
    <x v="20"/>
    <n v="54.953067765567503"/>
    <n v="20057.869734432199"/>
    <n v="72208.331043955797"/>
  </r>
  <r>
    <x v="0"/>
    <x v="0"/>
    <x v="1"/>
    <x v="3"/>
    <x v="12"/>
    <s v="SE4_OTHER"/>
    <x v="2"/>
    <s v="GHOB_WASTEHEAT"/>
    <x v="0"/>
    <x v="21"/>
    <n v="54.953067765567503"/>
    <n v="20057.869734432199"/>
    <n v="72208.331043955797"/>
  </r>
  <r>
    <x v="0"/>
    <x v="0"/>
    <x v="1"/>
    <x v="3"/>
    <x v="12"/>
    <s v="SE4_OTHER"/>
    <x v="2"/>
    <s v="GHOB_WASTEHEAT"/>
    <x v="0"/>
    <x v="22"/>
    <n v="54.953067765567503"/>
    <n v="20057.869734432199"/>
    <n v="72208.331043955797"/>
  </r>
  <r>
    <x v="0"/>
    <x v="0"/>
    <x v="1"/>
    <x v="3"/>
    <x v="12"/>
    <s v="SE4_OTHER"/>
    <x v="2"/>
    <s v="GHOB_WASTEHEAT"/>
    <x v="0"/>
    <x v="23"/>
    <n v="54.953067765567503"/>
    <n v="20057.869734432199"/>
    <n v="72208.331043955797"/>
  </r>
  <r>
    <x v="0"/>
    <x v="0"/>
    <x v="1"/>
    <x v="3"/>
    <x v="12"/>
    <s v="SE4_OTHER"/>
    <x v="7"/>
    <s v="GHOB_WOODWASTE"/>
    <x v="0"/>
    <x v="3"/>
    <n v="9.3724262384276908"/>
    <n v="3420.93557702611"/>
    <n v="12315.368077294001"/>
  </r>
  <r>
    <x v="0"/>
    <x v="0"/>
    <x v="1"/>
    <x v="3"/>
    <x v="12"/>
    <s v="SE4_OTHER"/>
    <x v="7"/>
    <s v="GHOB_WOODWASTE"/>
    <x v="0"/>
    <x v="4"/>
    <n v="25.868043503697201"/>
    <n v="9441.8358788494606"/>
    <n v="33990.609163858098"/>
  </r>
  <r>
    <x v="0"/>
    <x v="0"/>
    <x v="1"/>
    <x v="3"/>
    <x v="12"/>
    <s v="SE4_OTHER"/>
    <x v="7"/>
    <s v="GHOB_WOODWASTE"/>
    <x v="0"/>
    <x v="5"/>
    <n v="81.925845117109404"/>
    <n v="29902.933467744901"/>
    <n v="107650.560483882"/>
  </r>
  <r>
    <x v="0"/>
    <x v="0"/>
    <x v="1"/>
    <x v="3"/>
    <x v="12"/>
    <s v="SE4_OTHER"/>
    <x v="7"/>
    <s v="GHOB_WOODWASTE"/>
    <x v="0"/>
    <x v="6"/>
    <n v="185.43506113851601"/>
    <n v="67683.797315558506"/>
    <n v="243661.67033601101"/>
  </r>
  <r>
    <x v="0"/>
    <x v="0"/>
    <x v="1"/>
    <x v="3"/>
    <x v="12"/>
    <s v="SE4_OTHER"/>
    <x v="7"/>
    <s v="GHOB_WOODWASTE"/>
    <x v="0"/>
    <x v="7"/>
    <n v="203.639430262697"/>
    <n v="74328.392045884393"/>
    <n v="267582.21136518399"/>
  </r>
  <r>
    <x v="0"/>
    <x v="0"/>
    <x v="1"/>
    <x v="3"/>
    <x v="12"/>
    <s v="SE4_OTHER"/>
    <x v="7"/>
    <s v="GHOB_WOODWASTE"/>
    <x v="0"/>
    <x v="8"/>
    <n v="154.49209519936599"/>
    <n v="56389.614747768501"/>
    <n v="203002.61309196701"/>
  </r>
  <r>
    <x v="0"/>
    <x v="0"/>
    <x v="1"/>
    <x v="3"/>
    <x v="12"/>
    <s v="SE4_OTHER"/>
    <x v="7"/>
    <s v="GHOB_WOODWASTE"/>
    <x v="0"/>
    <x v="9"/>
    <n v="106.94634639808601"/>
    <n v="39035.416435301602"/>
    <n v="140527.499167086"/>
  </r>
  <r>
    <x v="0"/>
    <x v="0"/>
    <x v="1"/>
    <x v="3"/>
    <x v="12"/>
    <s v="SE4_OTHER"/>
    <x v="7"/>
    <s v="GHOB_WOODWASTE"/>
    <x v="0"/>
    <x v="10"/>
    <n v="73.712917684930702"/>
    <n v="26905.214954999701"/>
    <n v="96858.773837999004"/>
  </r>
  <r>
    <x v="0"/>
    <x v="0"/>
    <x v="1"/>
    <x v="3"/>
    <x v="12"/>
    <s v="SE4_OTHER"/>
    <x v="7"/>
    <s v="GHOB_WOODWASTE"/>
    <x v="0"/>
    <x v="11"/>
    <n v="53.207461234690903"/>
    <n v="19420.7233506622"/>
    <n v="69914.604062383805"/>
  </r>
  <r>
    <x v="0"/>
    <x v="0"/>
    <x v="1"/>
    <x v="3"/>
    <x v="12"/>
    <s v="SE4_OTHER"/>
    <x v="7"/>
    <s v="GHOB_WOODWASTE"/>
    <x v="0"/>
    <x v="12"/>
    <n v="36.558646326345396"/>
    <n v="13343.9059091161"/>
    <n v="48038.061272817802"/>
  </r>
  <r>
    <x v="0"/>
    <x v="0"/>
    <x v="1"/>
    <x v="3"/>
    <x v="12"/>
    <s v="SE4_OTHER"/>
    <x v="7"/>
    <s v="GHOB_WOODWASTE"/>
    <x v="0"/>
    <x v="13"/>
    <n v="37.202365114263003"/>
    <n v="13578.863266705999"/>
    <n v="48883.907760141599"/>
  </r>
  <r>
    <x v="0"/>
    <x v="0"/>
    <x v="1"/>
    <x v="3"/>
    <x v="12"/>
    <s v="SE4_OTHER"/>
    <x v="7"/>
    <s v="GHOB_WOODWASTE"/>
    <x v="0"/>
    <x v="14"/>
    <n v="45.758387907798102"/>
    <n v="16701.811586346299"/>
    <n v="60126.521710846697"/>
  </r>
  <r>
    <x v="0"/>
    <x v="0"/>
    <x v="1"/>
    <x v="3"/>
    <x v="12"/>
    <s v="SE4_OTHER"/>
    <x v="7"/>
    <s v="GHOB_WOODWASTE"/>
    <x v="0"/>
    <x v="15"/>
    <n v="60.037399417989"/>
    <n v="21913.650787565999"/>
    <n v="78889.142835237493"/>
  </r>
  <r>
    <x v="0"/>
    <x v="0"/>
    <x v="1"/>
    <x v="3"/>
    <x v="12"/>
    <s v="SE4_OTHER"/>
    <x v="7"/>
    <s v="GHOB_WOODWASTE"/>
    <x v="0"/>
    <x v="16"/>
    <n v="69.638851706780798"/>
    <n v="25418.180872975001"/>
    <n v="91505.451142709906"/>
  </r>
  <r>
    <x v="0"/>
    <x v="0"/>
    <x v="1"/>
    <x v="3"/>
    <x v="12"/>
    <s v="SE4_OTHER"/>
    <x v="7"/>
    <s v="GHOB_WOODWASTE"/>
    <x v="0"/>
    <x v="17"/>
    <n v="69.5966807131325"/>
    <n v="25402.788460293399"/>
    <n v="91450.0384570561"/>
  </r>
  <r>
    <x v="0"/>
    <x v="0"/>
    <x v="1"/>
    <x v="3"/>
    <x v="12"/>
    <s v="SE4_OTHER"/>
    <x v="7"/>
    <s v="GHOB_WOODWASTE"/>
    <x v="0"/>
    <x v="18"/>
    <n v="82.172940376287599"/>
    <n v="29993.123237345"/>
    <n v="107975.24365444201"/>
  </r>
  <r>
    <x v="0"/>
    <x v="0"/>
    <x v="1"/>
    <x v="3"/>
    <x v="12"/>
    <s v="SE4_OTHER"/>
    <x v="7"/>
    <s v="GHOB_WOODWASTE"/>
    <x v="0"/>
    <x v="19"/>
    <n v="93.513910901173304"/>
    <n v="34132.577478928302"/>
    <n v="122877.278924142"/>
  </r>
  <r>
    <x v="0"/>
    <x v="0"/>
    <x v="1"/>
    <x v="3"/>
    <x v="12"/>
    <s v="SE4_OTHER"/>
    <x v="7"/>
    <s v="GHOB_WOODWASTE"/>
    <x v="0"/>
    <x v="20"/>
    <n v="94.226776200460705"/>
    <n v="34392.773313168102"/>
    <n v="123813.983927405"/>
  </r>
  <r>
    <x v="0"/>
    <x v="0"/>
    <x v="1"/>
    <x v="3"/>
    <x v="12"/>
    <s v="SE4_OTHER"/>
    <x v="7"/>
    <s v="GHOB_WOODWASTE"/>
    <x v="0"/>
    <x v="21"/>
    <n v="82.999377483554795"/>
    <n v="30294.772781497501"/>
    <n v="109061.18201339099"/>
  </r>
  <r>
    <x v="0"/>
    <x v="0"/>
    <x v="1"/>
    <x v="3"/>
    <x v="12"/>
    <s v="SE4_OTHER"/>
    <x v="7"/>
    <s v="GHOB_WOODWASTE"/>
    <x v="0"/>
    <x v="22"/>
    <n v="61.0987575633348"/>
    <n v="22301.046510617201"/>
    <n v="80283.767438221897"/>
  </r>
  <r>
    <x v="0"/>
    <x v="0"/>
    <x v="1"/>
    <x v="3"/>
    <x v="12"/>
    <s v="SE4_OTHER"/>
    <x v="7"/>
    <s v="GHOB_WOODWASTE"/>
    <x v="0"/>
    <x v="23"/>
    <n v="11.7802790630089"/>
    <n v="4299.80185799827"/>
    <n v="15479.2866887938"/>
  </r>
</pivotCacheRecords>
</file>

<file path=xl/pivotCache/pivotCacheRecords8.xml><?xml version="1.0" encoding="utf-8"?>
<pivotCacheRecords xmlns="http://schemas.openxmlformats.org/spreadsheetml/2006/main" xmlns:r="http://schemas.openxmlformats.org/officeDocument/2006/relationships" count="8243">
  <r>
    <x v="0"/>
    <x v="0"/>
    <x v="0"/>
    <x v="0"/>
    <x v="0"/>
    <s v="DK1_Large"/>
    <x v="0"/>
    <s v="GNR_ST_COAL_EXT_E-43"/>
    <x v="0"/>
    <x v="0"/>
    <n v="469.94888211379902"/>
    <n v="171531.34197153701"/>
    <n v="617512.83109753195"/>
  </r>
  <r>
    <x v="0"/>
    <x v="0"/>
    <x v="0"/>
    <x v="0"/>
    <x v="0"/>
    <s v="DK1_Large"/>
    <x v="0"/>
    <s v="GNR_ST_COAL_EXT_E-43"/>
    <x v="0"/>
    <x v="1"/>
    <n v="469.94888211379902"/>
    <n v="171531.34197153701"/>
    <n v="617512.83109753195"/>
  </r>
  <r>
    <x v="0"/>
    <x v="0"/>
    <x v="0"/>
    <x v="0"/>
    <x v="0"/>
    <s v="DK1_Large"/>
    <x v="0"/>
    <s v="GNR_ST_COAL_EXT_E-43"/>
    <x v="0"/>
    <x v="2"/>
    <n v="491.58319412350198"/>
    <n v="179427.86585507801"/>
    <n v="645940.31707828201"/>
  </r>
  <r>
    <x v="0"/>
    <x v="0"/>
    <x v="0"/>
    <x v="0"/>
    <x v="0"/>
    <s v="DK1_Large"/>
    <x v="0"/>
    <s v="GNR_ST_COAL_EXT_E-43"/>
    <x v="0"/>
    <x v="3"/>
    <n v="616.83447417967704"/>
    <n v="225144.58307558199"/>
    <n v="810520.49907209596"/>
  </r>
  <r>
    <x v="0"/>
    <x v="0"/>
    <x v="0"/>
    <x v="0"/>
    <x v="0"/>
    <s v="DK1_Large"/>
    <x v="0"/>
    <s v="GNR_ST_COAL_EXT_E-43"/>
    <x v="0"/>
    <x v="4"/>
    <n v="806.98869026496095"/>
    <n v="294550.87194671098"/>
    <n v="1060383.13900816"/>
  </r>
  <r>
    <x v="0"/>
    <x v="0"/>
    <x v="0"/>
    <x v="0"/>
    <x v="0"/>
    <s v="DK1_Large"/>
    <x v="0"/>
    <s v="GNR_ST_COAL_EXT_E-43"/>
    <x v="0"/>
    <x v="5"/>
    <n v="1122.39418640642"/>
    <n v="409673.87803834298"/>
    <n v="1474825.9609380399"/>
  </r>
  <r>
    <x v="0"/>
    <x v="0"/>
    <x v="0"/>
    <x v="0"/>
    <x v="0"/>
    <s v="DK1_Large"/>
    <x v="0"/>
    <s v="GNR_ST_COAL_EXT_E-43"/>
    <x v="0"/>
    <x v="6"/>
    <n v="1164.5241624253199"/>
    <n v="425051.31928524002"/>
    <n v="1530184.7494268599"/>
  </r>
  <r>
    <x v="0"/>
    <x v="0"/>
    <x v="0"/>
    <x v="0"/>
    <x v="0"/>
    <s v="DK1_Large"/>
    <x v="0"/>
    <s v="GNR_ST_COAL_EXT_E-43"/>
    <x v="0"/>
    <x v="7"/>
    <n v="1142.88985041561"/>
    <n v="417154.79540169903"/>
    <n v="1501757.2634461101"/>
  </r>
  <r>
    <x v="0"/>
    <x v="0"/>
    <x v="0"/>
    <x v="0"/>
    <x v="0"/>
    <s v="DK1_Large"/>
    <x v="0"/>
    <s v="GNR_ST_COAL_EXT_E-43"/>
    <x v="0"/>
    <x v="8"/>
    <n v="1080.2642103875201"/>
    <n v="394296.43679144699"/>
    <n v="1419467.17244921"/>
  </r>
  <r>
    <x v="0"/>
    <x v="0"/>
    <x v="0"/>
    <x v="0"/>
    <x v="0"/>
    <s v="DK1_Large"/>
    <x v="0"/>
    <s v="GNR_ST_COAL_EXT_E-43"/>
    <x v="0"/>
    <x v="9"/>
    <n v="933.37861832164697"/>
    <n v="340683.19568740099"/>
    <n v="1226459.5044746399"/>
  </r>
  <r>
    <x v="0"/>
    <x v="0"/>
    <x v="0"/>
    <x v="0"/>
    <x v="0"/>
    <s v="DK1_Large"/>
    <x v="0"/>
    <s v="GNR_ST_COAL_EXT_E-43"/>
    <x v="0"/>
    <x v="10"/>
    <n v="827.48435427415302"/>
    <n v="302031.78931006597"/>
    <n v="1087314.4415162399"/>
  </r>
  <r>
    <x v="0"/>
    <x v="0"/>
    <x v="0"/>
    <x v="0"/>
    <x v="0"/>
    <s v="DK1_Large"/>
    <x v="0"/>
    <s v="GNR_ST_COAL_EXT_E-43"/>
    <x v="0"/>
    <x v="11"/>
    <n v="722.72873822717099"/>
    <n v="263795.98945291701"/>
    <n v="949665.56203050201"/>
  </r>
  <r>
    <x v="0"/>
    <x v="0"/>
    <x v="0"/>
    <x v="0"/>
    <x v="0"/>
    <s v="DK1_Large"/>
    <x v="0"/>
    <s v="GNR_ST_COAL_EXT_E-43"/>
    <x v="0"/>
    <x v="12"/>
    <n v="616.83447417967704"/>
    <n v="225144.58307558199"/>
    <n v="810520.49907209596"/>
  </r>
  <r>
    <x v="0"/>
    <x v="0"/>
    <x v="0"/>
    <x v="0"/>
    <x v="0"/>
    <s v="DK1_Large"/>
    <x v="0"/>
    <s v="GNR_ST_COAL_EXT_E-43"/>
    <x v="0"/>
    <x v="13"/>
    <n v="596.33881017048498"/>
    <n v="217663.665712227"/>
    <n v="783589.19656401698"/>
  </r>
  <r>
    <x v="0"/>
    <x v="0"/>
    <x v="0"/>
    <x v="0"/>
    <x v="0"/>
    <s v="DK1_Large"/>
    <x v="0"/>
    <s v="GNR_ST_COAL_EXT_E-43"/>
    <x v="0"/>
    <x v="14"/>
    <n v="554.20883415159005"/>
    <n v="202286.22446532999"/>
    <n v="728230.40807518899"/>
  </r>
  <r>
    <x v="0"/>
    <x v="0"/>
    <x v="0"/>
    <x v="0"/>
    <x v="0"/>
    <s v="DK1_Large"/>
    <x v="0"/>
    <s v="GNR_ST_COAL_EXT_E-43"/>
    <x v="0"/>
    <x v="15"/>
    <n v="596.33881017048498"/>
    <n v="217663.665712227"/>
    <n v="783589.19656401698"/>
  </r>
  <r>
    <x v="0"/>
    <x v="0"/>
    <x v="0"/>
    <x v="0"/>
    <x v="0"/>
    <s v="DK1_Large"/>
    <x v="0"/>
    <s v="GNR_ST_COAL_EXT_E-43"/>
    <x v="0"/>
    <x v="16"/>
    <n v="764.85871424606603"/>
    <n v="279173.43069981399"/>
    <n v="1005024.35051933"/>
  </r>
  <r>
    <x v="0"/>
    <x v="0"/>
    <x v="0"/>
    <x v="0"/>
    <x v="0"/>
    <s v="DK1_Large"/>
    <x v="0"/>
    <s v="GNR_ST_COAL_EXT_E-43"/>
    <x v="0"/>
    <x v="17"/>
    <n v="911.744306311944"/>
    <n v="332786.671803859"/>
    <n v="1198032.0184938901"/>
  </r>
  <r>
    <x v="0"/>
    <x v="0"/>
    <x v="0"/>
    <x v="0"/>
    <x v="0"/>
    <s v="DK1_Large"/>
    <x v="0"/>
    <s v="GNR_ST_COAL_EXT_E-43"/>
    <x v="0"/>
    <x v="18"/>
    <n v="1075.5391420706601"/>
    <n v="392571.78685579199"/>
    <n v="1413258.4326808499"/>
  </r>
  <r>
    <x v="0"/>
    <x v="0"/>
    <x v="0"/>
    <x v="0"/>
    <x v="0"/>
    <s v="DK1_Large"/>
    <x v="0"/>
    <s v="GNR_ST_COAL_EXT_E-43"/>
    <x v="0"/>
    <x v="19"/>
    <n v="1033.4091660517699"/>
    <n v="377194.34560889599"/>
    <n v="1357899.6441920199"/>
  </r>
  <r>
    <x v="0"/>
    <x v="0"/>
    <x v="0"/>
    <x v="0"/>
    <x v="0"/>
    <s v="DK1_Large"/>
    <x v="0"/>
    <s v="GNR_ST_COAL_EXT_E-43"/>
    <x v="0"/>
    <x v="20"/>
    <n v="864.88926197618798"/>
    <n v="315684.580621309"/>
    <n v="1136464.4902367101"/>
  </r>
  <r>
    <x v="0"/>
    <x v="0"/>
    <x v="0"/>
    <x v="0"/>
    <x v="0"/>
    <s v="DK1_Large"/>
    <x v="0"/>
    <s v="GNR_ST_COAL_EXT_E-43"/>
    <x v="0"/>
    <x v="21"/>
    <n v="760.13364592920595"/>
    <n v="277448.78076415998"/>
    <n v="998815.61075097602"/>
  </r>
  <r>
    <x v="0"/>
    <x v="0"/>
    <x v="0"/>
    <x v="0"/>
    <x v="0"/>
    <s v="DK1_Large"/>
    <x v="0"/>
    <s v="GNR_ST_COAL_EXT_E-43"/>
    <x v="0"/>
    <x v="22"/>
    <n v="574.70449816078201"/>
    <n v="209767.14182868501"/>
    <n v="755161.71058326703"/>
  </r>
  <r>
    <x v="0"/>
    <x v="0"/>
    <x v="0"/>
    <x v="0"/>
    <x v="0"/>
    <s v="DK1_Large"/>
    <x v="0"/>
    <s v="GNR_ST_COAL_EXT_E-43"/>
    <x v="0"/>
    <x v="23"/>
    <n v="469.94888211379902"/>
    <n v="171531.34197153701"/>
    <n v="617512.83109753195"/>
  </r>
  <r>
    <x v="0"/>
    <x v="0"/>
    <x v="0"/>
    <x v="0"/>
    <x v="0"/>
    <s v="DK1_Large"/>
    <x v="0"/>
    <s v="GNR_ST_COAL_EXT_E-47"/>
    <x v="0"/>
    <x v="0"/>
    <n v="819.14893617021301"/>
    <n v="298989.36170212802"/>
    <n v="1076361.7021276599"/>
  </r>
  <r>
    <x v="0"/>
    <x v="0"/>
    <x v="0"/>
    <x v="0"/>
    <x v="0"/>
    <s v="DK1_Large"/>
    <x v="0"/>
    <s v="GNR_ST_COAL_EXT_E-47"/>
    <x v="0"/>
    <x v="1"/>
    <n v="819.14893617021301"/>
    <n v="298989.36170212802"/>
    <n v="1076361.7021276599"/>
  </r>
  <r>
    <x v="0"/>
    <x v="0"/>
    <x v="0"/>
    <x v="0"/>
    <x v="0"/>
    <s v="DK1_Large"/>
    <x v="0"/>
    <s v="GNR_ST_COAL_EXT_E-47"/>
    <x v="0"/>
    <x v="2"/>
    <n v="819.14893617021301"/>
    <n v="298989.36170212802"/>
    <n v="1076361.7021276599"/>
  </r>
  <r>
    <x v="0"/>
    <x v="0"/>
    <x v="0"/>
    <x v="0"/>
    <x v="0"/>
    <s v="DK1_Large"/>
    <x v="0"/>
    <s v="GNR_ST_COAL_EXT_E-47"/>
    <x v="0"/>
    <x v="3"/>
    <n v="819.14893617021301"/>
    <n v="298989.36170212802"/>
    <n v="1076361.7021276599"/>
  </r>
  <r>
    <x v="0"/>
    <x v="0"/>
    <x v="0"/>
    <x v="0"/>
    <x v="0"/>
    <s v="DK1_Large"/>
    <x v="0"/>
    <s v="GNR_ST_COAL_EXT_E-47"/>
    <x v="0"/>
    <x v="4"/>
    <n v="819.14893617021301"/>
    <n v="298989.36170212802"/>
    <n v="1076361.7021276599"/>
  </r>
  <r>
    <x v="0"/>
    <x v="0"/>
    <x v="0"/>
    <x v="0"/>
    <x v="0"/>
    <s v="DK1_Large"/>
    <x v="0"/>
    <s v="GNR_ST_COAL_EXT_E-47"/>
    <x v="0"/>
    <x v="5"/>
    <n v="819.14893617021301"/>
    <n v="298989.36170212802"/>
    <n v="1076361.7021276599"/>
  </r>
  <r>
    <x v="0"/>
    <x v="0"/>
    <x v="0"/>
    <x v="0"/>
    <x v="0"/>
    <s v="DK1_Large"/>
    <x v="0"/>
    <s v="GNR_ST_COAL_EXT_E-47"/>
    <x v="0"/>
    <x v="6"/>
    <n v="819.14893617021301"/>
    <n v="298989.36170212802"/>
    <n v="1076361.7021276599"/>
  </r>
  <r>
    <x v="0"/>
    <x v="0"/>
    <x v="0"/>
    <x v="0"/>
    <x v="0"/>
    <s v="DK1_Large"/>
    <x v="0"/>
    <s v="GNR_ST_COAL_EXT_E-47"/>
    <x v="0"/>
    <x v="7"/>
    <n v="819.14893617021301"/>
    <n v="298989.36170212802"/>
    <n v="1076361.7021276599"/>
  </r>
  <r>
    <x v="0"/>
    <x v="0"/>
    <x v="0"/>
    <x v="0"/>
    <x v="0"/>
    <s v="DK1_Large"/>
    <x v="0"/>
    <s v="GNR_ST_COAL_EXT_E-47"/>
    <x v="0"/>
    <x v="8"/>
    <n v="819.14893617021301"/>
    <n v="298989.36170212802"/>
    <n v="1076361.7021276599"/>
  </r>
  <r>
    <x v="0"/>
    <x v="0"/>
    <x v="0"/>
    <x v="0"/>
    <x v="0"/>
    <s v="DK1_Large"/>
    <x v="0"/>
    <s v="GNR_ST_COAL_EXT_E-47"/>
    <x v="0"/>
    <x v="9"/>
    <n v="819.14893617021301"/>
    <n v="298989.36170212802"/>
    <n v="1076361.7021276599"/>
  </r>
  <r>
    <x v="0"/>
    <x v="0"/>
    <x v="0"/>
    <x v="0"/>
    <x v="0"/>
    <s v="DK1_Large"/>
    <x v="0"/>
    <s v="GNR_ST_COAL_EXT_E-47"/>
    <x v="0"/>
    <x v="10"/>
    <n v="819.14893617021301"/>
    <n v="298989.36170212802"/>
    <n v="1076361.7021276599"/>
  </r>
  <r>
    <x v="0"/>
    <x v="0"/>
    <x v="0"/>
    <x v="0"/>
    <x v="0"/>
    <s v="DK1_Large"/>
    <x v="0"/>
    <s v="GNR_ST_COAL_EXT_E-47"/>
    <x v="0"/>
    <x v="11"/>
    <n v="819.14893617021301"/>
    <n v="298989.36170212802"/>
    <n v="1076361.7021276599"/>
  </r>
  <r>
    <x v="0"/>
    <x v="0"/>
    <x v="0"/>
    <x v="0"/>
    <x v="0"/>
    <s v="DK1_Large"/>
    <x v="0"/>
    <s v="GNR_ST_COAL_EXT_E-47"/>
    <x v="0"/>
    <x v="12"/>
    <n v="819.14893617021301"/>
    <n v="298989.36170212802"/>
    <n v="1076361.7021276599"/>
  </r>
  <r>
    <x v="0"/>
    <x v="0"/>
    <x v="0"/>
    <x v="0"/>
    <x v="0"/>
    <s v="DK1_Large"/>
    <x v="0"/>
    <s v="GNR_ST_COAL_EXT_E-47"/>
    <x v="0"/>
    <x v="13"/>
    <n v="819.14893617021301"/>
    <n v="298989.36170212802"/>
    <n v="1076361.7021276599"/>
  </r>
  <r>
    <x v="0"/>
    <x v="0"/>
    <x v="0"/>
    <x v="0"/>
    <x v="0"/>
    <s v="DK1_Large"/>
    <x v="0"/>
    <s v="GNR_ST_COAL_EXT_E-47"/>
    <x v="0"/>
    <x v="14"/>
    <n v="819.14893617021301"/>
    <n v="298989.36170212802"/>
    <n v="1076361.7021276599"/>
  </r>
  <r>
    <x v="0"/>
    <x v="0"/>
    <x v="0"/>
    <x v="0"/>
    <x v="0"/>
    <s v="DK1_Large"/>
    <x v="0"/>
    <s v="GNR_ST_COAL_EXT_E-47"/>
    <x v="0"/>
    <x v="15"/>
    <n v="819.14893617021301"/>
    <n v="298989.36170212802"/>
    <n v="1076361.7021276599"/>
  </r>
  <r>
    <x v="0"/>
    <x v="0"/>
    <x v="0"/>
    <x v="0"/>
    <x v="0"/>
    <s v="DK1_Large"/>
    <x v="0"/>
    <s v="GNR_ST_COAL_EXT_E-47"/>
    <x v="0"/>
    <x v="16"/>
    <n v="819.14893617021301"/>
    <n v="298989.36170212802"/>
    <n v="1076361.7021276599"/>
  </r>
  <r>
    <x v="0"/>
    <x v="0"/>
    <x v="0"/>
    <x v="0"/>
    <x v="0"/>
    <s v="DK1_Large"/>
    <x v="0"/>
    <s v="GNR_ST_COAL_EXT_E-47"/>
    <x v="0"/>
    <x v="17"/>
    <n v="819.14893617021301"/>
    <n v="298989.36170212802"/>
    <n v="1076361.7021276599"/>
  </r>
  <r>
    <x v="0"/>
    <x v="0"/>
    <x v="0"/>
    <x v="0"/>
    <x v="0"/>
    <s v="DK1_Large"/>
    <x v="0"/>
    <s v="GNR_ST_COAL_EXT_E-47"/>
    <x v="0"/>
    <x v="18"/>
    <n v="819.14893617021301"/>
    <n v="298989.36170212802"/>
    <n v="1076361.7021276599"/>
  </r>
  <r>
    <x v="0"/>
    <x v="0"/>
    <x v="0"/>
    <x v="0"/>
    <x v="0"/>
    <s v="DK1_Large"/>
    <x v="0"/>
    <s v="GNR_ST_COAL_EXT_E-47"/>
    <x v="0"/>
    <x v="19"/>
    <n v="819.14893617021301"/>
    <n v="298989.36170212802"/>
    <n v="1076361.7021276599"/>
  </r>
  <r>
    <x v="0"/>
    <x v="0"/>
    <x v="0"/>
    <x v="0"/>
    <x v="0"/>
    <s v="DK1_Large"/>
    <x v="0"/>
    <s v="GNR_ST_COAL_EXT_E-47"/>
    <x v="0"/>
    <x v="20"/>
    <n v="819.14893617021301"/>
    <n v="298989.36170212802"/>
    <n v="1076361.7021276599"/>
  </r>
  <r>
    <x v="0"/>
    <x v="0"/>
    <x v="0"/>
    <x v="0"/>
    <x v="0"/>
    <s v="DK1_Large"/>
    <x v="0"/>
    <s v="GNR_ST_COAL_EXT_E-47"/>
    <x v="0"/>
    <x v="21"/>
    <n v="819.14893617021301"/>
    <n v="298989.36170212802"/>
    <n v="1076361.7021276599"/>
  </r>
  <r>
    <x v="0"/>
    <x v="0"/>
    <x v="0"/>
    <x v="0"/>
    <x v="0"/>
    <s v="DK1_Large"/>
    <x v="0"/>
    <s v="GNR_ST_COAL_EXT_E-47"/>
    <x v="0"/>
    <x v="22"/>
    <n v="819.14893617021301"/>
    <n v="298989.36170212802"/>
    <n v="1076361.7021276599"/>
  </r>
  <r>
    <x v="0"/>
    <x v="0"/>
    <x v="0"/>
    <x v="0"/>
    <x v="0"/>
    <s v="DK1_Large"/>
    <x v="0"/>
    <s v="GNR_ST_COAL_EXT_E-47"/>
    <x v="0"/>
    <x v="23"/>
    <n v="819.14893617021301"/>
    <n v="298989.36170212802"/>
    <n v="1076361.7021276599"/>
  </r>
  <r>
    <x v="0"/>
    <x v="0"/>
    <x v="0"/>
    <x v="0"/>
    <x v="0"/>
    <s v="DK1_Large"/>
    <x v="1"/>
    <s v="GNR_BO_MSW_E-105"/>
    <x v="0"/>
    <x v="0"/>
    <n v="36.190476190476197"/>
    <n v="13209.5238095238"/>
    <n v="47554.285714285703"/>
  </r>
  <r>
    <x v="0"/>
    <x v="0"/>
    <x v="0"/>
    <x v="0"/>
    <x v="0"/>
    <s v="DK1_Large"/>
    <x v="1"/>
    <s v="GNR_BO_MSW_E-105"/>
    <x v="0"/>
    <x v="1"/>
    <n v="36.190476190476197"/>
    <n v="13209.5238095238"/>
    <n v="47554.285714285703"/>
  </r>
  <r>
    <x v="0"/>
    <x v="0"/>
    <x v="0"/>
    <x v="0"/>
    <x v="0"/>
    <s v="DK1_Large"/>
    <x v="1"/>
    <s v="GNR_BO_MSW_E-105"/>
    <x v="0"/>
    <x v="2"/>
    <n v="36.190476190476197"/>
    <n v="13209.5238095238"/>
    <n v="47554.285714285703"/>
  </r>
  <r>
    <x v="0"/>
    <x v="0"/>
    <x v="0"/>
    <x v="0"/>
    <x v="0"/>
    <s v="DK1_Large"/>
    <x v="1"/>
    <s v="GNR_BO_MSW_E-105"/>
    <x v="0"/>
    <x v="3"/>
    <n v="36.190476190476197"/>
    <n v="13209.5238095238"/>
    <n v="47554.285714285703"/>
  </r>
  <r>
    <x v="0"/>
    <x v="0"/>
    <x v="0"/>
    <x v="0"/>
    <x v="0"/>
    <s v="DK1_Large"/>
    <x v="1"/>
    <s v="GNR_BO_MSW_E-105"/>
    <x v="0"/>
    <x v="4"/>
    <n v="36.190476190476197"/>
    <n v="13209.5238095238"/>
    <n v="47554.285714285703"/>
  </r>
  <r>
    <x v="0"/>
    <x v="0"/>
    <x v="0"/>
    <x v="0"/>
    <x v="0"/>
    <s v="DK1_Large"/>
    <x v="1"/>
    <s v="GNR_BO_MSW_E-105"/>
    <x v="0"/>
    <x v="5"/>
    <n v="36.190476190476197"/>
    <n v="13209.5238095238"/>
    <n v="47554.285714285703"/>
  </r>
  <r>
    <x v="0"/>
    <x v="0"/>
    <x v="0"/>
    <x v="0"/>
    <x v="0"/>
    <s v="DK1_Large"/>
    <x v="1"/>
    <s v="GNR_BO_MSW_E-105"/>
    <x v="0"/>
    <x v="6"/>
    <n v="36.190476190476197"/>
    <n v="13209.5238095238"/>
    <n v="47554.285714285703"/>
  </r>
  <r>
    <x v="0"/>
    <x v="0"/>
    <x v="0"/>
    <x v="0"/>
    <x v="0"/>
    <s v="DK1_Large"/>
    <x v="1"/>
    <s v="GNR_BO_MSW_E-105"/>
    <x v="0"/>
    <x v="7"/>
    <n v="36.190476190476197"/>
    <n v="13209.5238095238"/>
    <n v="47554.285714285703"/>
  </r>
  <r>
    <x v="0"/>
    <x v="0"/>
    <x v="0"/>
    <x v="0"/>
    <x v="0"/>
    <s v="DK1_Large"/>
    <x v="1"/>
    <s v="GNR_BO_MSW_E-105"/>
    <x v="0"/>
    <x v="8"/>
    <n v="36.190476190476197"/>
    <n v="13209.5238095238"/>
    <n v="47554.285714285703"/>
  </r>
  <r>
    <x v="0"/>
    <x v="0"/>
    <x v="0"/>
    <x v="0"/>
    <x v="0"/>
    <s v="DK1_Large"/>
    <x v="1"/>
    <s v="GNR_BO_MSW_E-105"/>
    <x v="0"/>
    <x v="9"/>
    <n v="36.190476190476197"/>
    <n v="13209.5238095238"/>
    <n v="47554.285714285703"/>
  </r>
  <r>
    <x v="0"/>
    <x v="0"/>
    <x v="0"/>
    <x v="0"/>
    <x v="0"/>
    <s v="DK1_Large"/>
    <x v="1"/>
    <s v="GNR_BO_MSW_E-105"/>
    <x v="0"/>
    <x v="10"/>
    <n v="36.190476190476197"/>
    <n v="13209.5238095238"/>
    <n v="47554.285714285703"/>
  </r>
  <r>
    <x v="0"/>
    <x v="0"/>
    <x v="0"/>
    <x v="0"/>
    <x v="0"/>
    <s v="DK1_Large"/>
    <x v="1"/>
    <s v="GNR_BO_MSW_E-105"/>
    <x v="0"/>
    <x v="11"/>
    <n v="36.190476190476197"/>
    <n v="13209.5238095238"/>
    <n v="47554.285714285703"/>
  </r>
  <r>
    <x v="0"/>
    <x v="0"/>
    <x v="0"/>
    <x v="0"/>
    <x v="0"/>
    <s v="DK1_Large"/>
    <x v="1"/>
    <s v="GNR_BO_MSW_E-105"/>
    <x v="0"/>
    <x v="12"/>
    <n v="36.190476190476197"/>
    <n v="13209.5238095238"/>
    <n v="47554.285714285703"/>
  </r>
  <r>
    <x v="0"/>
    <x v="0"/>
    <x v="0"/>
    <x v="0"/>
    <x v="0"/>
    <s v="DK1_Large"/>
    <x v="1"/>
    <s v="GNR_BO_MSW_E-105"/>
    <x v="0"/>
    <x v="13"/>
    <n v="36.190476190476197"/>
    <n v="13209.5238095238"/>
    <n v="47554.285714285703"/>
  </r>
  <r>
    <x v="0"/>
    <x v="0"/>
    <x v="0"/>
    <x v="0"/>
    <x v="0"/>
    <s v="DK1_Large"/>
    <x v="1"/>
    <s v="GNR_BO_MSW_E-105"/>
    <x v="0"/>
    <x v="14"/>
    <n v="36.190476190476197"/>
    <n v="13209.5238095238"/>
    <n v="47554.285714285703"/>
  </r>
  <r>
    <x v="0"/>
    <x v="0"/>
    <x v="0"/>
    <x v="0"/>
    <x v="0"/>
    <s v="DK1_Large"/>
    <x v="1"/>
    <s v="GNR_BO_MSW_E-105"/>
    <x v="0"/>
    <x v="15"/>
    <n v="36.190476190476197"/>
    <n v="13209.5238095238"/>
    <n v="47554.285714285703"/>
  </r>
  <r>
    <x v="0"/>
    <x v="0"/>
    <x v="0"/>
    <x v="0"/>
    <x v="0"/>
    <s v="DK1_Large"/>
    <x v="1"/>
    <s v="GNR_BO_MSW_E-105"/>
    <x v="0"/>
    <x v="16"/>
    <n v="36.190476190476197"/>
    <n v="13209.5238095238"/>
    <n v="47554.285714285703"/>
  </r>
  <r>
    <x v="0"/>
    <x v="0"/>
    <x v="0"/>
    <x v="0"/>
    <x v="0"/>
    <s v="DK1_Large"/>
    <x v="1"/>
    <s v="GNR_BO_MSW_E-105"/>
    <x v="0"/>
    <x v="17"/>
    <n v="36.190476190476197"/>
    <n v="13209.5238095238"/>
    <n v="47554.285714285703"/>
  </r>
  <r>
    <x v="0"/>
    <x v="0"/>
    <x v="0"/>
    <x v="0"/>
    <x v="0"/>
    <s v="DK1_Large"/>
    <x v="1"/>
    <s v="GNR_BO_MSW_E-105"/>
    <x v="0"/>
    <x v="22"/>
    <n v="36.190476190476197"/>
    <n v="13209.5238095238"/>
    <n v="47554.285714285703"/>
  </r>
  <r>
    <x v="0"/>
    <x v="0"/>
    <x v="0"/>
    <x v="0"/>
    <x v="0"/>
    <s v="DK1_Large"/>
    <x v="1"/>
    <s v="GNR_BO_MSW_E-105"/>
    <x v="0"/>
    <x v="23"/>
    <n v="36.190476190476197"/>
    <n v="13209.5238095238"/>
    <n v="47554.285714285703"/>
  </r>
  <r>
    <x v="0"/>
    <x v="0"/>
    <x v="0"/>
    <x v="0"/>
    <x v="0"/>
    <s v="DK1_Large"/>
    <x v="2"/>
    <s v="GNR_EH_HEAT"/>
    <x v="0"/>
    <x v="0"/>
    <n v="174.14"/>
    <n v="63561.1"/>
    <n v="228819.96"/>
  </r>
  <r>
    <x v="0"/>
    <x v="0"/>
    <x v="0"/>
    <x v="0"/>
    <x v="0"/>
    <s v="DK1_Large"/>
    <x v="2"/>
    <s v="GNR_EH_HEAT"/>
    <x v="0"/>
    <x v="1"/>
    <n v="174.14"/>
    <n v="63561.1"/>
    <n v="228819.96"/>
  </r>
  <r>
    <x v="0"/>
    <x v="0"/>
    <x v="0"/>
    <x v="0"/>
    <x v="0"/>
    <s v="DK1_Large"/>
    <x v="2"/>
    <s v="GNR_EH_HEAT"/>
    <x v="0"/>
    <x v="2"/>
    <n v="174.14"/>
    <n v="63561.1"/>
    <n v="228819.96"/>
  </r>
  <r>
    <x v="0"/>
    <x v="0"/>
    <x v="0"/>
    <x v="0"/>
    <x v="0"/>
    <s v="DK1_Large"/>
    <x v="2"/>
    <s v="GNR_EH_HEAT"/>
    <x v="0"/>
    <x v="3"/>
    <n v="174.14"/>
    <n v="63561.1"/>
    <n v="228819.96"/>
  </r>
  <r>
    <x v="0"/>
    <x v="0"/>
    <x v="0"/>
    <x v="0"/>
    <x v="0"/>
    <s v="DK1_Large"/>
    <x v="2"/>
    <s v="GNR_EH_HEAT"/>
    <x v="0"/>
    <x v="4"/>
    <n v="174.14"/>
    <n v="63561.1"/>
    <n v="228819.96"/>
  </r>
  <r>
    <x v="0"/>
    <x v="0"/>
    <x v="0"/>
    <x v="0"/>
    <x v="0"/>
    <s v="DK1_Large"/>
    <x v="2"/>
    <s v="GNR_EH_HEAT"/>
    <x v="0"/>
    <x v="5"/>
    <n v="174.14"/>
    <n v="63561.1"/>
    <n v="228819.96"/>
  </r>
  <r>
    <x v="0"/>
    <x v="0"/>
    <x v="0"/>
    <x v="0"/>
    <x v="0"/>
    <s v="DK1_Large"/>
    <x v="2"/>
    <s v="GNR_EH_HEAT"/>
    <x v="0"/>
    <x v="6"/>
    <n v="174.14"/>
    <n v="63561.1"/>
    <n v="228819.96"/>
  </r>
  <r>
    <x v="0"/>
    <x v="0"/>
    <x v="0"/>
    <x v="0"/>
    <x v="0"/>
    <s v="DK1_Large"/>
    <x v="2"/>
    <s v="GNR_EH_HEAT"/>
    <x v="0"/>
    <x v="7"/>
    <n v="174.14"/>
    <n v="63561.1"/>
    <n v="228819.96"/>
  </r>
  <r>
    <x v="0"/>
    <x v="0"/>
    <x v="0"/>
    <x v="0"/>
    <x v="0"/>
    <s v="DK1_Large"/>
    <x v="2"/>
    <s v="GNR_EH_HEAT"/>
    <x v="0"/>
    <x v="8"/>
    <n v="174.14"/>
    <n v="63561.1"/>
    <n v="228819.96"/>
  </r>
  <r>
    <x v="0"/>
    <x v="0"/>
    <x v="0"/>
    <x v="0"/>
    <x v="0"/>
    <s v="DK1_Large"/>
    <x v="2"/>
    <s v="GNR_EH_HEAT"/>
    <x v="0"/>
    <x v="9"/>
    <n v="174.14"/>
    <n v="63561.1"/>
    <n v="228819.96"/>
  </r>
  <r>
    <x v="0"/>
    <x v="0"/>
    <x v="0"/>
    <x v="0"/>
    <x v="0"/>
    <s v="DK1_Large"/>
    <x v="2"/>
    <s v="GNR_EH_HEAT"/>
    <x v="0"/>
    <x v="10"/>
    <n v="174.14"/>
    <n v="63561.1"/>
    <n v="228819.96"/>
  </r>
  <r>
    <x v="0"/>
    <x v="0"/>
    <x v="0"/>
    <x v="0"/>
    <x v="0"/>
    <s v="DK1_Large"/>
    <x v="2"/>
    <s v="GNR_EH_HEAT"/>
    <x v="0"/>
    <x v="11"/>
    <n v="174.14"/>
    <n v="63561.1"/>
    <n v="228819.96"/>
  </r>
  <r>
    <x v="0"/>
    <x v="0"/>
    <x v="0"/>
    <x v="0"/>
    <x v="0"/>
    <s v="DK1_Large"/>
    <x v="2"/>
    <s v="GNR_EH_HEAT"/>
    <x v="0"/>
    <x v="12"/>
    <n v="174.14"/>
    <n v="63561.1"/>
    <n v="228819.96"/>
  </r>
  <r>
    <x v="0"/>
    <x v="0"/>
    <x v="0"/>
    <x v="0"/>
    <x v="0"/>
    <s v="DK1_Large"/>
    <x v="2"/>
    <s v="GNR_EH_HEAT"/>
    <x v="0"/>
    <x v="13"/>
    <n v="174.14"/>
    <n v="63561.1"/>
    <n v="228819.96"/>
  </r>
  <r>
    <x v="0"/>
    <x v="0"/>
    <x v="0"/>
    <x v="0"/>
    <x v="0"/>
    <s v="DK1_Large"/>
    <x v="2"/>
    <s v="GNR_EH_HEAT"/>
    <x v="0"/>
    <x v="14"/>
    <n v="174.14"/>
    <n v="63561.1"/>
    <n v="228819.96"/>
  </r>
  <r>
    <x v="0"/>
    <x v="0"/>
    <x v="0"/>
    <x v="0"/>
    <x v="0"/>
    <s v="DK1_Large"/>
    <x v="2"/>
    <s v="GNR_EH_HEAT"/>
    <x v="0"/>
    <x v="15"/>
    <n v="174.14"/>
    <n v="63561.1"/>
    <n v="228819.96"/>
  </r>
  <r>
    <x v="0"/>
    <x v="0"/>
    <x v="0"/>
    <x v="0"/>
    <x v="0"/>
    <s v="DK1_Large"/>
    <x v="2"/>
    <s v="GNR_EH_HEAT"/>
    <x v="0"/>
    <x v="16"/>
    <n v="174.14"/>
    <n v="63561.1"/>
    <n v="228819.96"/>
  </r>
  <r>
    <x v="0"/>
    <x v="0"/>
    <x v="0"/>
    <x v="0"/>
    <x v="0"/>
    <s v="DK1_Large"/>
    <x v="2"/>
    <s v="GNR_EH_HEAT"/>
    <x v="0"/>
    <x v="17"/>
    <n v="174.14"/>
    <n v="63561.1"/>
    <n v="228819.96"/>
  </r>
  <r>
    <x v="0"/>
    <x v="0"/>
    <x v="0"/>
    <x v="0"/>
    <x v="0"/>
    <s v="DK1_Large"/>
    <x v="2"/>
    <s v="GNR_EH_HEAT"/>
    <x v="0"/>
    <x v="18"/>
    <n v="174.14"/>
    <n v="63561.1"/>
    <n v="228819.96"/>
  </r>
  <r>
    <x v="0"/>
    <x v="0"/>
    <x v="0"/>
    <x v="0"/>
    <x v="0"/>
    <s v="DK1_Large"/>
    <x v="2"/>
    <s v="GNR_EH_HEAT"/>
    <x v="0"/>
    <x v="19"/>
    <n v="174.14"/>
    <n v="63561.1"/>
    <n v="228819.96"/>
  </r>
  <r>
    <x v="0"/>
    <x v="0"/>
    <x v="0"/>
    <x v="0"/>
    <x v="0"/>
    <s v="DK1_Large"/>
    <x v="2"/>
    <s v="GNR_EH_HEAT"/>
    <x v="0"/>
    <x v="20"/>
    <n v="174.14"/>
    <n v="63561.1"/>
    <n v="228819.96"/>
  </r>
  <r>
    <x v="0"/>
    <x v="0"/>
    <x v="0"/>
    <x v="0"/>
    <x v="0"/>
    <s v="DK1_Large"/>
    <x v="2"/>
    <s v="GNR_EH_HEAT"/>
    <x v="0"/>
    <x v="21"/>
    <n v="174.14"/>
    <n v="63561.1"/>
    <n v="228819.96"/>
  </r>
  <r>
    <x v="0"/>
    <x v="0"/>
    <x v="0"/>
    <x v="0"/>
    <x v="0"/>
    <s v="DK1_Large"/>
    <x v="2"/>
    <s v="GNR_EH_HEAT"/>
    <x v="0"/>
    <x v="22"/>
    <n v="174.14"/>
    <n v="63561.1"/>
    <n v="228819.96"/>
  </r>
  <r>
    <x v="0"/>
    <x v="0"/>
    <x v="0"/>
    <x v="0"/>
    <x v="0"/>
    <s v="DK1_Large"/>
    <x v="2"/>
    <s v="GNR_EH_HEAT"/>
    <x v="0"/>
    <x v="23"/>
    <n v="174.14"/>
    <n v="63561.1"/>
    <n v="228819.96"/>
  </r>
  <r>
    <x v="0"/>
    <x v="0"/>
    <x v="0"/>
    <x v="0"/>
    <x v="0"/>
    <s v="DK1_MedSmall"/>
    <x v="1"/>
    <s v="GNR_BO_MSW_E-100"/>
    <x v="0"/>
    <x v="0"/>
    <n v="6.5"/>
    <n v="2372.5"/>
    <n v="8541"/>
  </r>
  <r>
    <x v="0"/>
    <x v="0"/>
    <x v="0"/>
    <x v="0"/>
    <x v="0"/>
    <s v="DK1_MedSmall"/>
    <x v="1"/>
    <s v="GNR_BO_MSW_E-100"/>
    <x v="0"/>
    <x v="1"/>
    <n v="6.5"/>
    <n v="2372.5"/>
    <n v="8541"/>
  </r>
  <r>
    <x v="0"/>
    <x v="0"/>
    <x v="0"/>
    <x v="0"/>
    <x v="0"/>
    <s v="DK1_MedSmall"/>
    <x v="1"/>
    <s v="GNR_BO_MSW_E-100"/>
    <x v="0"/>
    <x v="2"/>
    <n v="6.5"/>
    <n v="2372.5"/>
    <n v="8541"/>
  </r>
  <r>
    <x v="0"/>
    <x v="0"/>
    <x v="0"/>
    <x v="0"/>
    <x v="0"/>
    <s v="DK1_MedSmall"/>
    <x v="1"/>
    <s v="GNR_BO_MSW_E-100"/>
    <x v="0"/>
    <x v="3"/>
    <n v="6.5"/>
    <n v="2372.5"/>
    <n v="8541"/>
  </r>
  <r>
    <x v="0"/>
    <x v="0"/>
    <x v="0"/>
    <x v="0"/>
    <x v="0"/>
    <s v="DK1_MedSmall"/>
    <x v="1"/>
    <s v="GNR_BO_MSW_E-100"/>
    <x v="0"/>
    <x v="4"/>
    <n v="6.5"/>
    <n v="2372.5"/>
    <n v="8541"/>
  </r>
  <r>
    <x v="0"/>
    <x v="0"/>
    <x v="0"/>
    <x v="0"/>
    <x v="0"/>
    <s v="DK1_MedSmall"/>
    <x v="1"/>
    <s v="GNR_BO_MSW_E-100"/>
    <x v="0"/>
    <x v="5"/>
    <n v="6.5"/>
    <n v="2372.5"/>
    <n v="8541"/>
  </r>
  <r>
    <x v="0"/>
    <x v="0"/>
    <x v="0"/>
    <x v="0"/>
    <x v="0"/>
    <s v="DK1_MedSmall"/>
    <x v="1"/>
    <s v="GNR_BO_MSW_E-100"/>
    <x v="0"/>
    <x v="6"/>
    <n v="6.5"/>
    <n v="2372.5"/>
    <n v="8541"/>
  </r>
  <r>
    <x v="0"/>
    <x v="0"/>
    <x v="0"/>
    <x v="0"/>
    <x v="0"/>
    <s v="DK1_MedSmall"/>
    <x v="1"/>
    <s v="GNR_BO_MSW_E-100"/>
    <x v="0"/>
    <x v="7"/>
    <n v="6.5"/>
    <n v="2372.5"/>
    <n v="8541"/>
  </r>
  <r>
    <x v="0"/>
    <x v="0"/>
    <x v="0"/>
    <x v="0"/>
    <x v="0"/>
    <s v="DK1_MedSmall"/>
    <x v="1"/>
    <s v="GNR_BO_MSW_E-100"/>
    <x v="0"/>
    <x v="8"/>
    <n v="6.5"/>
    <n v="2372.5"/>
    <n v="8541"/>
  </r>
  <r>
    <x v="0"/>
    <x v="0"/>
    <x v="0"/>
    <x v="0"/>
    <x v="0"/>
    <s v="DK1_MedSmall"/>
    <x v="1"/>
    <s v="GNR_BO_MSW_E-100"/>
    <x v="0"/>
    <x v="9"/>
    <n v="6.5"/>
    <n v="2372.5"/>
    <n v="8541"/>
  </r>
  <r>
    <x v="0"/>
    <x v="0"/>
    <x v="0"/>
    <x v="0"/>
    <x v="0"/>
    <s v="DK1_MedSmall"/>
    <x v="1"/>
    <s v="GNR_BO_MSW_E-100"/>
    <x v="0"/>
    <x v="10"/>
    <n v="6.5"/>
    <n v="2372.5"/>
    <n v="8541"/>
  </r>
  <r>
    <x v="0"/>
    <x v="0"/>
    <x v="0"/>
    <x v="0"/>
    <x v="0"/>
    <s v="DK1_MedSmall"/>
    <x v="1"/>
    <s v="GNR_BO_MSW_E-100"/>
    <x v="0"/>
    <x v="11"/>
    <n v="6.5"/>
    <n v="2372.5"/>
    <n v="8541"/>
  </r>
  <r>
    <x v="0"/>
    <x v="0"/>
    <x v="0"/>
    <x v="0"/>
    <x v="0"/>
    <s v="DK1_MedSmall"/>
    <x v="1"/>
    <s v="GNR_BO_MSW_E-100"/>
    <x v="0"/>
    <x v="12"/>
    <n v="6.5"/>
    <n v="2372.5"/>
    <n v="8541"/>
  </r>
  <r>
    <x v="0"/>
    <x v="0"/>
    <x v="0"/>
    <x v="0"/>
    <x v="0"/>
    <s v="DK1_MedSmall"/>
    <x v="1"/>
    <s v="GNR_BO_MSW_E-100"/>
    <x v="0"/>
    <x v="13"/>
    <n v="6.5"/>
    <n v="2372.5"/>
    <n v="8541"/>
  </r>
  <r>
    <x v="0"/>
    <x v="0"/>
    <x v="0"/>
    <x v="0"/>
    <x v="0"/>
    <s v="DK1_MedSmall"/>
    <x v="1"/>
    <s v="GNR_BO_MSW_E-100"/>
    <x v="0"/>
    <x v="14"/>
    <n v="6.5"/>
    <n v="2372.5"/>
    <n v="8541"/>
  </r>
  <r>
    <x v="0"/>
    <x v="0"/>
    <x v="0"/>
    <x v="0"/>
    <x v="0"/>
    <s v="DK1_MedSmall"/>
    <x v="1"/>
    <s v="GNR_BO_MSW_E-100"/>
    <x v="0"/>
    <x v="15"/>
    <n v="6.5"/>
    <n v="2372.5"/>
    <n v="8541"/>
  </r>
  <r>
    <x v="0"/>
    <x v="0"/>
    <x v="0"/>
    <x v="0"/>
    <x v="0"/>
    <s v="DK1_MedSmall"/>
    <x v="1"/>
    <s v="GNR_BO_MSW_E-100"/>
    <x v="0"/>
    <x v="16"/>
    <n v="6.5"/>
    <n v="2372.5"/>
    <n v="8541"/>
  </r>
  <r>
    <x v="0"/>
    <x v="0"/>
    <x v="0"/>
    <x v="0"/>
    <x v="0"/>
    <s v="DK1_MedSmall"/>
    <x v="1"/>
    <s v="GNR_BO_MSW_E-100"/>
    <x v="0"/>
    <x v="17"/>
    <n v="6.5"/>
    <n v="2372.5"/>
    <n v="8541"/>
  </r>
  <r>
    <x v="0"/>
    <x v="0"/>
    <x v="0"/>
    <x v="0"/>
    <x v="0"/>
    <s v="DK1_MedSmall"/>
    <x v="1"/>
    <s v="GNR_BO_MSW_E-100"/>
    <x v="0"/>
    <x v="18"/>
    <n v="6.5"/>
    <n v="2372.5"/>
    <n v="8541"/>
  </r>
  <r>
    <x v="0"/>
    <x v="0"/>
    <x v="0"/>
    <x v="0"/>
    <x v="0"/>
    <s v="DK1_MedSmall"/>
    <x v="1"/>
    <s v="GNR_BO_MSW_E-100"/>
    <x v="0"/>
    <x v="19"/>
    <n v="6.5"/>
    <n v="2372.5"/>
    <n v="8541"/>
  </r>
  <r>
    <x v="0"/>
    <x v="0"/>
    <x v="0"/>
    <x v="0"/>
    <x v="0"/>
    <s v="DK1_MedSmall"/>
    <x v="1"/>
    <s v="GNR_BO_MSW_E-100"/>
    <x v="0"/>
    <x v="20"/>
    <n v="6.5"/>
    <n v="2372.5"/>
    <n v="8541"/>
  </r>
  <r>
    <x v="0"/>
    <x v="0"/>
    <x v="0"/>
    <x v="0"/>
    <x v="0"/>
    <s v="DK1_MedSmall"/>
    <x v="1"/>
    <s v="GNR_BO_MSW_E-100"/>
    <x v="0"/>
    <x v="21"/>
    <n v="6.5"/>
    <n v="2372.5"/>
    <n v="8541"/>
  </r>
  <r>
    <x v="0"/>
    <x v="0"/>
    <x v="0"/>
    <x v="0"/>
    <x v="0"/>
    <s v="DK1_MedSmall"/>
    <x v="1"/>
    <s v="GNR_BO_MSW_E-100"/>
    <x v="0"/>
    <x v="22"/>
    <n v="6.5"/>
    <n v="2372.5"/>
    <n v="8541"/>
  </r>
  <r>
    <x v="0"/>
    <x v="0"/>
    <x v="0"/>
    <x v="0"/>
    <x v="0"/>
    <s v="DK1_MedSmall"/>
    <x v="1"/>
    <s v="GNR_BO_MSW_E-100"/>
    <x v="0"/>
    <x v="23"/>
    <n v="6.5"/>
    <n v="2372.5"/>
    <n v="8541"/>
  </r>
  <r>
    <x v="0"/>
    <x v="0"/>
    <x v="0"/>
    <x v="0"/>
    <x v="0"/>
    <s v="DK1_MedSmall"/>
    <x v="1"/>
    <s v="GNR_ST_MSW_BP_E-17"/>
    <x v="0"/>
    <x v="0"/>
    <n v="14.117647058823501"/>
    <n v="5152.9411764705901"/>
    <n v="18550.588235294101"/>
  </r>
  <r>
    <x v="0"/>
    <x v="0"/>
    <x v="0"/>
    <x v="0"/>
    <x v="0"/>
    <s v="DK1_MedSmall"/>
    <x v="1"/>
    <s v="GNR_ST_MSW_BP_E-17"/>
    <x v="0"/>
    <x v="1"/>
    <n v="14.117647058823501"/>
    <n v="5152.9411764705901"/>
    <n v="18550.588235294101"/>
  </r>
  <r>
    <x v="0"/>
    <x v="0"/>
    <x v="0"/>
    <x v="0"/>
    <x v="0"/>
    <s v="DK1_MedSmall"/>
    <x v="1"/>
    <s v="GNR_ST_MSW_BP_E-17"/>
    <x v="0"/>
    <x v="2"/>
    <n v="14.117647058823501"/>
    <n v="5152.9411764705901"/>
    <n v="18550.588235294101"/>
  </r>
  <r>
    <x v="0"/>
    <x v="0"/>
    <x v="0"/>
    <x v="0"/>
    <x v="0"/>
    <s v="DK1_MedSmall"/>
    <x v="1"/>
    <s v="GNR_ST_MSW_BP_E-17"/>
    <x v="0"/>
    <x v="3"/>
    <n v="14.117647058823501"/>
    <n v="5152.9411764705901"/>
    <n v="18550.588235294101"/>
  </r>
  <r>
    <x v="0"/>
    <x v="0"/>
    <x v="0"/>
    <x v="0"/>
    <x v="0"/>
    <s v="DK1_MedSmall"/>
    <x v="1"/>
    <s v="GNR_ST_MSW_BP_E-17"/>
    <x v="0"/>
    <x v="4"/>
    <n v="14.117647058823501"/>
    <n v="5152.9411764705901"/>
    <n v="18550.588235294101"/>
  </r>
  <r>
    <x v="0"/>
    <x v="0"/>
    <x v="0"/>
    <x v="0"/>
    <x v="0"/>
    <s v="DK1_MedSmall"/>
    <x v="1"/>
    <s v="GNR_ST_MSW_BP_E-17"/>
    <x v="0"/>
    <x v="5"/>
    <n v="14.117647058823501"/>
    <n v="5152.9411764705901"/>
    <n v="18550.588235294101"/>
  </r>
  <r>
    <x v="0"/>
    <x v="0"/>
    <x v="0"/>
    <x v="0"/>
    <x v="0"/>
    <s v="DK1_MedSmall"/>
    <x v="1"/>
    <s v="GNR_ST_MSW_BP_E-17"/>
    <x v="0"/>
    <x v="6"/>
    <n v="14.117647058823501"/>
    <n v="5152.9411764705901"/>
    <n v="18550.588235294101"/>
  </r>
  <r>
    <x v="0"/>
    <x v="0"/>
    <x v="0"/>
    <x v="0"/>
    <x v="0"/>
    <s v="DK1_MedSmall"/>
    <x v="1"/>
    <s v="GNR_ST_MSW_BP_E-17"/>
    <x v="0"/>
    <x v="7"/>
    <n v="14.117647058823501"/>
    <n v="5152.9411764705901"/>
    <n v="18550.588235294101"/>
  </r>
  <r>
    <x v="0"/>
    <x v="0"/>
    <x v="0"/>
    <x v="0"/>
    <x v="0"/>
    <s v="DK1_MedSmall"/>
    <x v="1"/>
    <s v="GNR_ST_MSW_BP_E-17"/>
    <x v="0"/>
    <x v="8"/>
    <n v="14.117647058823501"/>
    <n v="5152.9411764705901"/>
    <n v="18550.588235294101"/>
  </r>
  <r>
    <x v="0"/>
    <x v="0"/>
    <x v="0"/>
    <x v="0"/>
    <x v="0"/>
    <s v="DK1_MedSmall"/>
    <x v="1"/>
    <s v="GNR_ST_MSW_BP_E-17"/>
    <x v="0"/>
    <x v="9"/>
    <n v="14.117647058823501"/>
    <n v="5152.9411764705901"/>
    <n v="18550.588235294101"/>
  </r>
  <r>
    <x v="0"/>
    <x v="0"/>
    <x v="0"/>
    <x v="0"/>
    <x v="0"/>
    <s v="DK1_MedSmall"/>
    <x v="1"/>
    <s v="GNR_ST_MSW_BP_E-17"/>
    <x v="0"/>
    <x v="10"/>
    <n v="14.117647058823501"/>
    <n v="5152.9411764705901"/>
    <n v="18550.588235294101"/>
  </r>
  <r>
    <x v="0"/>
    <x v="0"/>
    <x v="0"/>
    <x v="0"/>
    <x v="0"/>
    <s v="DK1_MedSmall"/>
    <x v="1"/>
    <s v="GNR_ST_MSW_BP_E-17"/>
    <x v="0"/>
    <x v="11"/>
    <n v="14.117647058823501"/>
    <n v="5152.9411764705901"/>
    <n v="18550.588235294101"/>
  </r>
  <r>
    <x v="0"/>
    <x v="0"/>
    <x v="0"/>
    <x v="0"/>
    <x v="0"/>
    <s v="DK1_MedSmall"/>
    <x v="1"/>
    <s v="GNR_ST_MSW_BP_E-17"/>
    <x v="0"/>
    <x v="12"/>
    <n v="14.117647058823501"/>
    <n v="5152.9411764705901"/>
    <n v="18550.588235294101"/>
  </r>
  <r>
    <x v="0"/>
    <x v="0"/>
    <x v="0"/>
    <x v="0"/>
    <x v="0"/>
    <s v="DK1_MedSmall"/>
    <x v="1"/>
    <s v="GNR_ST_MSW_BP_E-17"/>
    <x v="0"/>
    <x v="13"/>
    <n v="14.117647058823501"/>
    <n v="5152.9411764705901"/>
    <n v="18550.588235294101"/>
  </r>
  <r>
    <x v="0"/>
    <x v="0"/>
    <x v="0"/>
    <x v="0"/>
    <x v="0"/>
    <s v="DK1_MedSmall"/>
    <x v="1"/>
    <s v="GNR_ST_MSW_BP_E-17"/>
    <x v="0"/>
    <x v="14"/>
    <n v="14.117647058823501"/>
    <n v="5152.9411764705901"/>
    <n v="18550.588235294101"/>
  </r>
  <r>
    <x v="0"/>
    <x v="0"/>
    <x v="0"/>
    <x v="0"/>
    <x v="0"/>
    <s v="DK1_MedSmall"/>
    <x v="1"/>
    <s v="GNR_ST_MSW_BP_E-17"/>
    <x v="0"/>
    <x v="15"/>
    <n v="14.117647058823501"/>
    <n v="5152.9411764705901"/>
    <n v="18550.588235294101"/>
  </r>
  <r>
    <x v="0"/>
    <x v="0"/>
    <x v="0"/>
    <x v="0"/>
    <x v="0"/>
    <s v="DK1_MedSmall"/>
    <x v="1"/>
    <s v="GNR_ST_MSW_BP_E-17"/>
    <x v="0"/>
    <x v="16"/>
    <n v="14.117647058823501"/>
    <n v="5152.9411764705901"/>
    <n v="18550.588235294101"/>
  </r>
  <r>
    <x v="0"/>
    <x v="0"/>
    <x v="0"/>
    <x v="0"/>
    <x v="0"/>
    <s v="DK1_MedSmall"/>
    <x v="1"/>
    <s v="GNR_ST_MSW_BP_E-17"/>
    <x v="0"/>
    <x v="17"/>
    <n v="14.117647058823501"/>
    <n v="5152.9411764705901"/>
    <n v="18550.588235294101"/>
  </r>
  <r>
    <x v="0"/>
    <x v="0"/>
    <x v="0"/>
    <x v="0"/>
    <x v="0"/>
    <s v="DK1_MedSmall"/>
    <x v="1"/>
    <s v="GNR_ST_MSW_BP_E-17"/>
    <x v="0"/>
    <x v="18"/>
    <n v="14.117647058823501"/>
    <n v="5152.9411764705901"/>
    <n v="18550.588235294101"/>
  </r>
  <r>
    <x v="0"/>
    <x v="0"/>
    <x v="0"/>
    <x v="0"/>
    <x v="0"/>
    <s v="DK1_MedSmall"/>
    <x v="1"/>
    <s v="GNR_ST_MSW_BP_E-17"/>
    <x v="0"/>
    <x v="19"/>
    <n v="14.117647058823501"/>
    <n v="5152.9411764705901"/>
    <n v="18550.588235294101"/>
  </r>
  <r>
    <x v="0"/>
    <x v="0"/>
    <x v="0"/>
    <x v="0"/>
    <x v="0"/>
    <s v="DK1_MedSmall"/>
    <x v="1"/>
    <s v="GNR_ST_MSW_BP_E-17"/>
    <x v="0"/>
    <x v="20"/>
    <n v="14.117647058823501"/>
    <n v="5152.9411764705901"/>
    <n v="18550.588235294101"/>
  </r>
  <r>
    <x v="0"/>
    <x v="0"/>
    <x v="0"/>
    <x v="0"/>
    <x v="0"/>
    <s v="DK1_MedSmall"/>
    <x v="1"/>
    <s v="GNR_ST_MSW_BP_E-17"/>
    <x v="0"/>
    <x v="21"/>
    <n v="14.117647058823501"/>
    <n v="5152.9411764705901"/>
    <n v="18550.588235294101"/>
  </r>
  <r>
    <x v="0"/>
    <x v="0"/>
    <x v="0"/>
    <x v="0"/>
    <x v="0"/>
    <s v="DK1_MedSmall"/>
    <x v="1"/>
    <s v="GNR_ST_MSW_BP_E-17"/>
    <x v="0"/>
    <x v="22"/>
    <n v="14.117647058823501"/>
    <n v="5152.9411764705901"/>
    <n v="18550.588235294101"/>
  </r>
  <r>
    <x v="0"/>
    <x v="0"/>
    <x v="0"/>
    <x v="0"/>
    <x v="0"/>
    <s v="DK1_MedSmall"/>
    <x v="1"/>
    <s v="GNR_ST_MSW_BP_E-17"/>
    <x v="0"/>
    <x v="23"/>
    <n v="14.117647058823501"/>
    <n v="5152.9411764705901"/>
    <n v="18550.588235294101"/>
  </r>
  <r>
    <x v="0"/>
    <x v="0"/>
    <x v="0"/>
    <x v="0"/>
    <x v="0"/>
    <s v="DK1_MedSmall"/>
    <x v="1"/>
    <s v="GNR_ST_MSW_BP_E-20"/>
    <x v="0"/>
    <x v="0"/>
    <n v="16.5"/>
    <n v="6022.50000000001"/>
    <n v="21681"/>
  </r>
  <r>
    <x v="0"/>
    <x v="0"/>
    <x v="0"/>
    <x v="0"/>
    <x v="0"/>
    <s v="DK1_MedSmall"/>
    <x v="1"/>
    <s v="GNR_ST_MSW_BP_E-20"/>
    <x v="0"/>
    <x v="1"/>
    <n v="16.5"/>
    <n v="6022.50000000001"/>
    <n v="21681"/>
  </r>
  <r>
    <x v="0"/>
    <x v="0"/>
    <x v="0"/>
    <x v="0"/>
    <x v="0"/>
    <s v="DK1_MedSmall"/>
    <x v="1"/>
    <s v="GNR_ST_MSW_BP_E-20"/>
    <x v="0"/>
    <x v="2"/>
    <n v="16.5"/>
    <n v="6022.50000000001"/>
    <n v="21681"/>
  </r>
  <r>
    <x v="0"/>
    <x v="0"/>
    <x v="0"/>
    <x v="0"/>
    <x v="0"/>
    <s v="DK1_MedSmall"/>
    <x v="1"/>
    <s v="GNR_ST_MSW_BP_E-20"/>
    <x v="0"/>
    <x v="3"/>
    <n v="16.5"/>
    <n v="6022.50000000001"/>
    <n v="21681"/>
  </r>
  <r>
    <x v="0"/>
    <x v="0"/>
    <x v="0"/>
    <x v="0"/>
    <x v="0"/>
    <s v="DK1_MedSmall"/>
    <x v="1"/>
    <s v="GNR_ST_MSW_BP_E-20"/>
    <x v="0"/>
    <x v="4"/>
    <n v="16.5"/>
    <n v="6022.50000000001"/>
    <n v="21681"/>
  </r>
  <r>
    <x v="0"/>
    <x v="0"/>
    <x v="0"/>
    <x v="0"/>
    <x v="0"/>
    <s v="DK1_MedSmall"/>
    <x v="1"/>
    <s v="GNR_ST_MSW_BP_E-20"/>
    <x v="0"/>
    <x v="5"/>
    <n v="16.5"/>
    <n v="6022.50000000001"/>
    <n v="21681"/>
  </r>
  <r>
    <x v="0"/>
    <x v="0"/>
    <x v="0"/>
    <x v="0"/>
    <x v="0"/>
    <s v="DK1_MedSmall"/>
    <x v="1"/>
    <s v="GNR_ST_MSW_BP_E-20"/>
    <x v="0"/>
    <x v="6"/>
    <n v="16.5"/>
    <n v="6022.50000000001"/>
    <n v="21681"/>
  </r>
  <r>
    <x v="0"/>
    <x v="0"/>
    <x v="0"/>
    <x v="0"/>
    <x v="0"/>
    <s v="DK1_MedSmall"/>
    <x v="1"/>
    <s v="GNR_ST_MSW_BP_E-20"/>
    <x v="0"/>
    <x v="7"/>
    <n v="16.5"/>
    <n v="6022.50000000001"/>
    <n v="21681"/>
  </r>
  <r>
    <x v="0"/>
    <x v="0"/>
    <x v="0"/>
    <x v="0"/>
    <x v="0"/>
    <s v="DK1_MedSmall"/>
    <x v="1"/>
    <s v="GNR_ST_MSW_BP_E-20"/>
    <x v="0"/>
    <x v="8"/>
    <n v="16.5"/>
    <n v="6022.50000000001"/>
    <n v="21681"/>
  </r>
  <r>
    <x v="0"/>
    <x v="0"/>
    <x v="0"/>
    <x v="0"/>
    <x v="0"/>
    <s v="DK1_MedSmall"/>
    <x v="1"/>
    <s v="GNR_ST_MSW_BP_E-20"/>
    <x v="0"/>
    <x v="9"/>
    <n v="16.5"/>
    <n v="6022.50000000001"/>
    <n v="21681"/>
  </r>
  <r>
    <x v="0"/>
    <x v="0"/>
    <x v="0"/>
    <x v="0"/>
    <x v="0"/>
    <s v="DK1_MedSmall"/>
    <x v="1"/>
    <s v="GNR_ST_MSW_BP_E-20"/>
    <x v="0"/>
    <x v="10"/>
    <n v="16.5"/>
    <n v="6022.50000000001"/>
    <n v="21681"/>
  </r>
  <r>
    <x v="0"/>
    <x v="0"/>
    <x v="0"/>
    <x v="0"/>
    <x v="0"/>
    <s v="DK1_MedSmall"/>
    <x v="1"/>
    <s v="GNR_ST_MSW_BP_E-20"/>
    <x v="0"/>
    <x v="11"/>
    <n v="16.5"/>
    <n v="6022.50000000001"/>
    <n v="21681"/>
  </r>
  <r>
    <x v="0"/>
    <x v="0"/>
    <x v="0"/>
    <x v="0"/>
    <x v="0"/>
    <s v="DK1_MedSmall"/>
    <x v="1"/>
    <s v="GNR_ST_MSW_BP_E-20"/>
    <x v="0"/>
    <x v="12"/>
    <n v="16.5"/>
    <n v="6022.50000000001"/>
    <n v="21681"/>
  </r>
  <r>
    <x v="0"/>
    <x v="0"/>
    <x v="0"/>
    <x v="0"/>
    <x v="0"/>
    <s v="DK1_MedSmall"/>
    <x v="1"/>
    <s v="GNR_ST_MSW_BP_E-20"/>
    <x v="0"/>
    <x v="13"/>
    <n v="16.5"/>
    <n v="6022.50000000001"/>
    <n v="21681"/>
  </r>
  <r>
    <x v="0"/>
    <x v="0"/>
    <x v="0"/>
    <x v="0"/>
    <x v="0"/>
    <s v="DK1_MedSmall"/>
    <x v="1"/>
    <s v="GNR_ST_MSW_BP_E-20"/>
    <x v="0"/>
    <x v="14"/>
    <n v="16.5"/>
    <n v="6022.50000000001"/>
    <n v="21681"/>
  </r>
  <r>
    <x v="0"/>
    <x v="0"/>
    <x v="0"/>
    <x v="0"/>
    <x v="0"/>
    <s v="DK1_MedSmall"/>
    <x v="1"/>
    <s v="GNR_ST_MSW_BP_E-20"/>
    <x v="0"/>
    <x v="15"/>
    <n v="16.5"/>
    <n v="6022.50000000001"/>
    <n v="21681"/>
  </r>
  <r>
    <x v="0"/>
    <x v="0"/>
    <x v="0"/>
    <x v="0"/>
    <x v="0"/>
    <s v="DK1_MedSmall"/>
    <x v="1"/>
    <s v="GNR_ST_MSW_BP_E-20"/>
    <x v="0"/>
    <x v="16"/>
    <n v="16.5"/>
    <n v="6022.50000000001"/>
    <n v="21681"/>
  </r>
  <r>
    <x v="0"/>
    <x v="0"/>
    <x v="0"/>
    <x v="0"/>
    <x v="0"/>
    <s v="DK1_MedSmall"/>
    <x v="1"/>
    <s v="GNR_ST_MSW_BP_E-20"/>
    <x v="0"/>
    <x v="17"/>
    <n v="16.5"/>
    <n v="6022.50000000001"/>
    <n v="21681"/>
  </r>
  <r>
    <x v="0"/>
    <x v="0"/>
    <x v="0"/>
    <x v="0"/>
    <x v="0"/>
    <s v="DK1_MedSmall"/>
    <x v="1"/>
    <s v="GNR_ST_MSW_BP_E-20"/>
    <x v="0"/>
    <x v="18"/>
    <n v="16.5"/>
    <n v="6022.50000000001"/>
    <n v="21681"/>
  </r>
  <r>
    <x v="0"/>
    <x v="0"/>
    <x v="0"/>
    <x v="0"/>
    <x v="0"/>
    <s v="DK1_MedSmall"/>
    <x v="1"/>
    <s v="GNR_ST_MSW_BP_E-20"/>
    <x v="0"/>
    <x v="19"/>
    <n v="16.5"/>
    <n v="6022.50000000001"/>
    <n v="21681"/>
  </r>
  <r>
    <x v="0"/>
    <x v="0"/>
    <x v="0"/>
    <x v="0"/>
    <x v="0"/>
    <s v="DK1_MedSmall"/>
    <x v="1"/>
    <s v="GNR_ST_MSW_BP_E-20"/>
    <x v="0"/>
    <x v="20"/>
    <n v="16.5"/>
    <n v="6022.50000000001"/>
    <n v="21681"/>
  </r>
  <r>
    <x v="0"/>
    <x v="0"/>
    <x v="0"/>
    <x v="0"/>
    <x v="0"/>
    <s v="DK1_MedSmall"/>
    <x v="1"/>
    <s v="GNR_ST_MSW_BP_E-20"/>
    <x v="0"/>
    <x v="21"/>
    <n v="16.5"/>
    <n v="6022.50000000001"/>
    <n v="21681"/>
  </r>
  <r>
    <x v="0"/>
    <x v="0"/>
    <x v="0"/>
    <x v="0"/>
    <x v="0"/>
    <s v="DK1_MedSmall"/>
    <x v="1"/>
    <s v="GNR_ST_MSW_BP_E-20"/>
    <x v="0"/>
    <x v="22"/>
    <n v="16.5"/>
    <n v="6022.50000000001"/>
    <n v="21681"/>
  </r>
  <r>
    <x v="0"/>
    <x v="0"/>
    <x v="0"/>
    <x v="0"/>
    <x v="0"/>
    <s v="DK1_MedSmall"/>
    <x v="1"/>
    <s v="GNR_ST_MSW_BP_E-20"/>
    <x v="0"/>
    <x v="23"/>
    <n v="16.5"/>
    <n v="6022.50000000001"/>
    <n v="21681"/>
  </r>
  <r>
    <x v="0"/>
    <x v="0"/>
    <x v="0"/>
    <x v="0"/>
    <x v="0"/>
    <s v="DK1_MedSmall"/>
    <x v="1"/>
    <s v="GNR_ST_MSW_BP_E-21"/>
    <x v="0"/>
    <x v="0"/>
    <n v="47.619047619047699"/>
    <n v="17380.9523809524"/>
    <n v="62571.428571428703"/>
  </r>
  <r>
    <x v="0"/>
    <x v="0"/>
    <x v="0"/>
    <x v="0"/>
    <x v="0"/>
    <s v="DK1_MedSmall"/>
    <x v="1"/>
    <s v="GNR_ST_MSW_BP_E-21"/>
    <x v="0"/>
    <x v="1"/>
    <n v="47.619047619047699"/>
    <n v="17380.9523809524"/>
    <n v="62571.428571428703"/>
  </r>
  <r>
    <x v="0"/>
    <x v="0"/>
    <x v="0"/>
    <x v="0"/>
    <x v="0"/>
    <s v="DK1_MedSmall"/>
    <x v="1"/>
    <s v="GNR_ST_MSW_BP_E-21"/>
    <x v="0"/>
    <x v="2"/>
    <n v="47.619047619047699"/>
    <n v="17380.9523809524"/>
    <n v="62571.428571428703"/>
  </r>
  <r>
    <x v="0"/>
    <x v="0"/>
    <x v="0"/>
    <x v="0"/>
    <x v="0"/>
    <s v="DK1_MedSmall"/>
    <x v="1"/>
    <s v="GNR_ST_MSW_BP_E-21"/>
    <x v="0"/>
    <x v="3"/>
    <n v="47.619047619047699"/>
    <n v="17380.9523809524"/>
    <n v="62571.428571428703"/>
  </r>
  <r>
    <x v="0"/>
    <x v="0"/>
    <x v="0"/>
    <x v="0"/>
    <x v="0"/>
    <s v="DK1_MedSmall"/>
    <x v="1"/>
    <s v="GNR_ST_MSW_BP_E-21"/>
    <x v="0"/>
    <x v="4"/>
    <n v="47.619047619047699"/>
    <n v="17380.9523809524"/>
    <n v="62571.428571428703"/>
  </r>
  <r>
    <x v="0"/>
    <x v="0"/>
    <x v="0"/>
    <x v="0"/>
    <x v="0"/>
    <s v="DK1_MedSmall"/>
    <x v="1"/>
    <s v="GNR_ST_MSW_BP_E-21"/>
    <x v="0"/>
    <x v="5"/>
    <n v="47.619047619047699"/>
    <n v="17380.9523809524"/>
    <n v="62571.428571428703"/>
  </r>
  <r>
    <x v="0"/>
    <x v="0"/>
    <x v="0"/>
    <x v="0"/>
    <x v="0"/>
    <s v="DK1_MedSmall"/>
    <x v="1"/>
    <s v="GNR_ST_MSW_BP_E-21"/>
    <x v="0"/>
    <x v="6"/>
    <n v="47.619047619047699"/>
    <n v="17380.9523809524"/>
    <n v="62571.428571428703"/>
  </r>
  <r>
    <x v="0"/>
    <x v="0"/>
    <x v="0"/>
    <x v="0"/>
    <x v="0"/>
    <s v="DK1_MedSmall"/>
    <x v="1"/>
    <s v="GNR_ST_MSW_BP_E-21"/>
    <x v="0"/>
    <x v="7"/>
    <n v="47.619047619047699"/>
    <n v="17380.9523809524"/>
    <n v="62571.428571428703"/>
  </r>
  <r>
    <x v="0"/>
    <x v="0"/>
    <x v="0"/>
    <x v="0"/>
    <x v="0"/>
    <s v="DK1_MedSmall"/>
    <x v="1"/>
    <s v="GNR_ST_MSW_BP_E-21"/>
    <x v="0"/>
    <x v="8"/>
    <n v="47.619047619047699"/>
    <n v="17380.9523809524"/>
    <n v="62571.428571428703"/>
  </r>
  <r>
    <x v="0"/>
    <x v="0"/>
    <x v="0"/>
    <x v="0"/>
    <x v="0"/>
    <s v="DK1_MedSmall"/>
    <x v="1"/>
    <s v="GNR_ST_MSW_BP_E-21"/>
    <x v="0"/>
    <x v="9"/>
    <n v="47.619047619047699"/>
    <n v="17380.9523809524"/>
    <n v="62571.428571428703"/>
  </r>
  <r>
    <x v="0"/>
    <x v="0"/>
    <x v="0"/>
    <x v="0"/>
    <x v="0"/>
    <s v="DK1_MedSmall"/>
    <x v="1"/>
    <s v="GNR_ST_MSW_BP_E-21"/>
    <x v="0"/>
    <x v="10"/>
    <n v="47.619047619047699"/>
    <n v="17380.9523809524"/>
    <n v="62571.428571428703"/>
  </r>
  <r>
    <x v="0"/>
    <x v="0"/>
    <x v="0"/>
    <x v="0"/>
    <x v="0"/>
    <s v="DK1_MedSmall"/>
    <x v="1"/>
    <s v="GNR_ST_MSW_BP_E-21"/>
    <x v="0"/>
    <x v="11"/>
    <n v="47.619047619047699"/>
    <n v="17380.9523809524"/>
    <n v="62571.428571428703"/>
  </r>
  <r>
    <x v="0"/>
    <x v="0"/>
    <x v="0"/>
    <x v="0"/>
    <x v="0"/>
    <s v="DK1_MedSmall"/>
    <x v="1"/>
    <s v="GNR_ST_MSW_BP_E-21"/>
    <x v="0"/>
    <x v="12"/>
    <n v="47.619047619047699"/>
    <n v="17380.9523809524"/>
    <n v="62571.428571428703"/>
  </r>
  <r>
    <x v="0"/>
    <x v="0"/>
    <x v="0"/>
    <x v="0"/>
    <x v="0"/>
    <s v="DK1_MedSmall"/>
    <x v="1"/>
    <s v="GNR_ST_MSW_BP_E-21"/>
    <x v="0"/>
    <x v="13"/>
    <n v="47.619047619047699"/>
    <n v="17380.9523809524"/>
    <n v="62571.428571428703"/>
  </r>
  <r>
    <x v="0"/>
    <x v="0"/>
    <x v="0"/>
    <x v="0"/>
    <x v="0"/>
    <s v="DK1_MedSmall"/>
    <x v="1"/>
    <s v="GNR_ST_MSW_BP_E-21"/>
    <x v="0"/>
    <x v="14"/>
    <n v="47.619047619047699"/>
    <n v="17380.9523809524"/>
    <n v="62571.428571428703"/>
  </r>
  <r>
    <x v="0"/>
    <x v="0"/>
    <x v="0"/>
    <x v="0"/>
    <x v="0"/>
    <s v="DK1_MedSmall"/>
    <x v="1"/>
    <s v="GNR_ST_MSW_BP_E-21"/>
    <x v="0"/>
    <x v="15"/>
    <n v="47.619047619047699"/>
    <n v="17380.9523809524"/>
    <n v="62571.428571428703"/>
  </r>
  <r>
    <x v="0"/>
    <x v="0"/>
    <x v="0"/>
    <x v="0"/>
    <x v="0"/>
    <s v="DK1_MedSmall"/>
    <x v="1"/>
    <s v="GNR_ST_MSW_BP_E-21"/>
    <x v="0"/>
    <x v="16"/>
    <n v="47.619047619047699"/>
    <n v="17380.9523809524"/>
    <n v="62571.428571428703"/>
  </r>
  <r>
    <x v="0"/>
    <x v="0"/>
    <x v="0"/>
    <x v="0"/>
    <x v="0"/>
    <s v="DK1_MedSmall"/>
    <x v="1"/>
    <s v="GNR_ST_MSW_BP_E-21"/>
    <x v="0"/>
    <x v="17"/>
    <n v="47.619047619047699"/>
    <n v="17380.9523809524"/>
    <n v="62571.428571428703"/>
  </r>
  <r>
    <x v="0"/>
    <x v="0"/>
    <x v="0"/>
    <x v="0"/>
    <x v="0"/>
    <s v="DK1_MedSmall"/>
    <x v="1"/>
    <s v="GNR_ST_MSW_BP_E-21"/>
    <x v="0"/>
    <x v="18"/>
    <n v="47.619047619047699"/>
    <n v="17380.9523809524"/>
    <n v="62571.428571428703"/>
  </r>
  <r>
    <x v="0"/>
    <x v="0"/>
    <x v="0"/>
    <x v="0"/>
    <x v="0"/>
    <s v="DK1_MedSmall"/>
    <x v="1"/>
    <s v="GNR_ST_MSW_BP_E-21"/>
    <x v="0"/>
    <x v="19"/>
    <n v="47.619047619047699"/>
    <n v="17380.9523809524"/>
    <n v="62571.428571428703"/>
  </r>
  <r>
    <x v="0"/>
    <x v="0"/>
    <x v="0"/>
    <x v="0"/>
    <x v="0"/>
    <s v="DK1_MedSmall"/>
    <x v="1"/>
    <s v="GNR_ST_MSW_BP_E-21"/>
    <x v="0"/>
    <x v="20"/>
    <n v="47.619047619047699"/>
    <n v="17380.9523809524"/>
    <n v="62571.428571428703"/>
  </r>
  <r>
    <x v="0"/>
    <x v="0"/>
    <x v="0"/>
    <x v="0"/>
    <x v="0"/>
    <s v="DK1_MedSmall"/>
    <x v="1"/>
    <s v="GNR_ST_MSW_BP_E-21"/>
    <x v="0"/>
    <x v="21"/>
    <n v="47.619047619047699"/>
    <n v="17380.9523809524"/>
    <n v="62571.428571428703"/>
  </r>
  <r>
    <x v="0"/>
    <x v="0"/>
    <x v="0"/>
    <x v="0"/>
    <x v="0"/>
    <s v="DK1_MedSmall"/>
    <x v="1"/>
    <s v="GNR_ST_MSW_BP_E-21"/>
    <x v="0"/>
    <x v="22"/>
    <n v="47.619047619047699"/>
    <n v="17380.9523809524"/>
    <n v="62571.428571428703"/>
  </r>
  <r>
    <x v="0"/>
    <x v="0"/>
    <x v="0"/>
    <x v="0"/>
    <x v="0"/>
    <s v="DK1_MedSmall"/>
    <x v="1"/>
    <s v="GNR_ST_MSW_BP_E-21"/>
    <x v="0"/>
    <x v="23"/>
    <n v="47.619047619047699"/>
    <n v="17380.9523809524"/>
    <n v="62571.428571428703"/>
  </r>
  <r>
    <x v="0"/>
    <x v="0"/>
    <x v="0"/>
    <x v="0"/>
    <x v="0"/>
    <s v="DK1_MedSmall"/>
    <x v="1"/>
    <s v="GNR_ST_MSW_BP_E-22"/>
    <x v="0"/>
    <x v="0"/>
    <n v="20.454545454545499"/>
    <n v="7465.9090909091001"/>
    <n v="26877.272727272801"/>
  </r>
  <r>
    <x v="0"/>
    <x v="0"/>
    <x v="0"/>
    <x v="0"/>
    <x v="0"/>
    <s v="DK1_MedSmall"/>
    <x v="1"/>
    <s v="GNR_ST_MSW_BP_E-22"/>
    <x v="0"/>
    <x v="1"/>
    <n v="20.454545454545499"/>
    <n v="7465.9090909091001"/>
    <n v="26877.272727272801"/>
  </r>
  <r>
    <x v="0"/>
    <x v="0"/>
    <x v="0"/>
    <x v="0"/>
    <x v="0"/>
    <s v="DK1_MedSmall"/>
    <x v="1"/>
    <s v="GNR_ST_MSW_BP_E-22"/>
    <x v="0"/>
    <x v="2"/>
    <n v="20.454545454545499"/>
    <n v="7465.9090909091001"/>
    <n v="26877.272727272801"/>
  </r>
  <r>
    <x v="0"/>
    <x v="0"/>
    <x v="0"/>
    <x v="0"/>
    <x v="0"/>
    <s v="DK1_MedSmall"/>
    <x v="1"/>
    <s v="GNR_ST_MSW_BP_E-22"/>
    <x v="0"/>
    <x v="3"/>
    <n v="20.454545454545499"/>
    <n v="7465.9090909091001"/>
    <n v="26877.272727272801"/>
  </r>
  <r>
    <x v="0"/>
    <x v="0"/>
    <x v="0"/>
    <x v="0"/>
    <x v="0"/>
    <s v="DK1_MedSmall"/>
    <x v="1"/>
    <s v="GNR_ST_MSW_BP_E-22"/>
    <x v="0"/>
    <x v="4"/>
    <n v="20.454545454545499"/>
    <n v="7465.9090909091001"/>
    <n v="26877.272727272801"/>
  </r>
  <r>
    <x v="0"/>
    <x v="0"/>
    <x v="0"/>
    <x v="0"/>
    <x v="0"/>
    <s v="DK1_MedSmall"/>
    <x v="1"/>
    <s v="GNR_ST_MSW_BP_E-22"/>
    <x v="0"/>
    <x v="5"/>
    <n v="20.454545454545499"/>
    <n v="7465.9090909091001"/>
    <n v="26877.272727272801"/>
  </r>
  <r>
    <x v="0"/>
    <x v="0"/>
    <x v="0"/>
    <x v="0"/>
    <x v="0"/>
    <s v="DK1_MedSmall"/>
    <x v="1"/>
    <s v="GNR_ST_MSW_BP_E-22"/>
    <x v="0"/>
    <x v="6"/>
    <n v="20.454545454545499"/>
    <n v="7465.9090909091001"/>
    <n v="26877.272727272801"/>
  </r>
  <r>
    <x v="0"/>
    <x v="0"/>
    <x v="0"/>
    <x v="0"/>
    <x v="0"/>
    <s v="DK1_MedSmall"/>
    <x v="1"/>
    <s v="GNR_ST_MSW_BP_E-22"/>
    <x v="0"/>
    <x v="7"/>
    <n v="20.454545454545499"/>
    <n v="7465.9090909091001"/>
    <n v="26877.272727272801"/>
  </r>
  <r>
    <x v="0"/>
    <x v="0"/>
    <x v="0"/>
    <x v="0"/>
    <x v="0"/>
    <s v="DK1_MedSmall"/>
    <x v="1"/>
    <s v="GNR_ST_MSW_BP_E-22"/>
    <x v="0"/>
    <x v="8"/>
    <n v="20.454545454545499"/>
    <n v="7465.9090909091001"/>
    <n v="26877.272727272801"/>
  </r>
  <r>
    <x v="0"/>
    <x v="0"/>
    <x v="0"/>
    <x v="0"/>
    <x v="0"/>
    <s v="DK1_MedSmall"/>
    <x v="1"/>
    <s v="GNR_ST_MSW_BP_E-22"/>
    <x v="0"/>
    <x v="9"/>
    <n v="20.454545454545499"/>
    <n v="7465.9090909091001"/>
    <n v="26877.272727272801"/>
  </r>
  <r>
    <x v="0"/>
    <x v="0"/>
    <x v="0"/>
    <x v="0"/>
    <x v="0"/>
    <s v="DK1_MedSmall"/>
    <x v="1"/>
    <s v="GNR_ST_MSW_BP_E-22"/>
    <x v="0"/>
    <x v="10"/>
    <n v="20.454545454545499"/>
    <n v="7465.9090909091001"/>
    <n v="26877.272727272801"/>
  </r>
  <r>
    <x v="0"/>
    <x v="0"/>
    <x v="0"/>
    <x v="0"/>
    <x v="0"/>
    <s v="DK1_MedSmall"/>
    <x v="1"/>
    <s v="GNR_ST_MSW_BP_E-22"/>
    <x v="0"/>
    <x v="11"/>
    <n v="20.454545454545499"/>
    <n v="7465.9090909091001"/>
    <n v="26877.272727272801"/>
  </r>
  <r>
    <x v="0"/>
    <x v="0"/>
    <x v="0"/>
    <x v="0"/>
    <x v="0"/>
    <s v="DK1_MedSmall"/>
    <x v="1"/>
    <s v="GNR_ST_MSW_BP_E-22"/>
    <x v="0"/>
    <x v="12"/>
    <n v="20.454545454545499"/>
    <n v="7465.9090909091001"/>
    <n v="26877.272727272801"/>
  </r>
  <r>
    <x v="0"/>
    <x v="0"/>
    <x v="0"/>
    <x v="0"/>
    <x v="0"/>
    <s v="DK1_MedSmall"/>
    <x v="1"/>
    <s v="GNR_ST_MSW_BP_E-22"/>
    <x v="0"/>
    <x v="13"/>
    <n v="20.454545454545499"/>
    <n v="7465.9090909091001"/>
    <n v="26877.272727272801"/>
  </r>
  <r>
    <x v="0"/>
    <x v="0"/>
    <x v="0"/>
    <x v="0"/>
    <x v="0"/>
    <s v="DK1_MedSmall"/>
    <x v="1"/>
    <s v="GNR_ST_MSW_BP_E-22"/>
    <x v="0"/>
    <x v="14"/>
    <n v="20.454545454545499"/>
    <n v="7465.9090909091001"/>
    <n v="26877.272727272801"/>
  </r>
  <r>
    <x v="0"/>
    <x v="0"/>
    <x v="0"/>
    <x v="0"/>
    <x v="0"/>
    <s v="DK1_MedSmall"/>
    <x v="1"/>
    <s v="GNR_ST_MSW_BP_E-22"/>
    <x v="0"/>
    <x v="15"/>
    <n v="20.454545454545499"/>
    <n v="7465.9090909091001"/>
    <n v="26877.272727272801"/>
  </r>
  <r>
    <x v="0"/>
    <x v="0"/>
    <x v="0"/>
    <x v="0"/>
    <x v="0"/>
    <s v="DK1_MedSmall"/>
    <x v="1"/>
    <s v="GNR_ST_MSW_BP_E-22"/>
    <x v="0"/>
    <x v="16"/>
    <n v="20.454545454545499"/>
    <n v="7465.9090909091001"/>
    <n v="26877.272727272801"/>
  </r>
  <r>
    <x v="0"/>
    <x v="0"/>
    <x v="0"/>
    <x v="0"/>
    <x v="0"/>
    <s v="DK1_MedSmall"/>
    <x v="1"/>
    <s v="GNR_ST_MSW_BP_E-22"/>
    <x v="0"/>
    <x v="17"/>
    <n v="20.454545454545499"/>
    <n v="7465.9090909091001"/>
    <n v="26877.272727272801"/>
  </r>
  <r>
    <x v="0"/>
    <x v="0"/>
    <x v="0"/>
    <x v="0"/>
    <x v="0"/>
    <s v="DK1_MedSmall"/>
    <x v="1"/>
    <s v="GNR_ST_MSW_BP_E-22"/>
    <x v="0"/>
    <x v="18"/>
    <n v="20.454545454545499"/>
    <n v="7465.9090909091001"/>
    <n v="26877.272727272801"/>
  </r>
  <r>
    <x v="0"/>
    <x v="0"/>
    <x v="0"/>
    <x v="0"/>
    <x v="0"/>
    <s v="DK1_MedSmall"/>
    <x v="1"/>
    <s v="GNR_ST_MSW_BP_E-22"/>
    <x v="0"/>
    <x v="19"/>
    <n v="20.454545454545499"/>
    <n v="7465.9090909091001"/>
    <n v="26877.272727272801"/>
  </r>
  <r>
    <x v="0"/>
    <x v="0"/>
    <x v="0"/>
    <x v="0"/>
    <x v="0"/>
    <s v="DK1_MedSmall"/>
    <x v="1"/>
    <s v="GNR_ST_MSW_BP_E-22"/>
    <x v="0"/>
    <x v="20"/>
    <n v="20.454545454545499"/>
    <n v="7465.9090909091001"/>
    <n v="26877.272727272801"/>
  </r>
  <r>
    <x v="0"/>
    <x v="0"/>
    <x v="0"/>
    <x v="0"/>
    <x v="0"/>
    <s v="DK1_MedSmall"/>
    <x v="1"/>
    <s v="GNR_ST_MSW_BP_E-22"/>
    <x v="0"/>
    <x v="21"/>
    <n v="20.454545454545499"/>
    <n v="7465.9090909091001"/>
    <n v="26877.272727272801"/>
  </r>
  <r>
    <x v="0"/>
    <x v="0"/>
    <x v="0"/>
    <x v="0"/>
    <x v="0"/>
    <s v="DK1_MedSmall"/>
    <x v="1"/>
    <s v="GNR_ST_MSW_BP_E-22"/>
    <x v="0"/>
    <x v="22"/>
    <n v="20.454545454545499"/>
    <n v="7465.9090909091001"/>
    <n v="26877.272727272801"/>
  </r>
  <r>
    <x v="0"/>
    <x v="0"/>
    <x v="0"/>
    <x v="0"/>
    <x v="0"/>
    <s v="DK1_MedSmall"/>
    <x v="1"/>
    <s v="GNR_ST_MSW_BP_E-22"/>
    <x v="0"/>
    <x v="23"/>
    <n v="20.454545454545499"/>
    <n v="7465.9090909091001"/>
    <n v="26877.272727272801"/>
  </r>
  <r>
    <x v="0"/>
    <x v="0"/>
    <x v="0"/>
    <x v="0"/>
    <x v="0"/>
    <s v="DK1_MedSmall"/>
    <x v="1"/>
    <s v="GNR_ST_MSW_BP_E-26"/>
    <x v="0"/>
    <x v="0"/>
    <n v="26.923076923077002"/>
    <n v="9826.9230769230908"/>
    <n v="35376.9230769231"/>
  </r>
  <r>
    <x v="0"/>
    <x v="0"/>
    <x v="0"/>
    <x v="0"/>
    <x v="0"/>
    <s v="DK1_MedSmall"/>
    <x v="1"/>
    <s v="GNR_ST_MSW_BP_E-26"/>
    <x v="0"/>
    <x v="1"/>
    <n v="26.923076923077002"/>
    <n v="9826.9230769230908"/>
    <n v="35376.9230769231"/>
  </r>
  <r>
    <x v="0"/>
    <x v="0"/>
    <x v="0"/>
    <x v="0"/>
    <x v="0"/>
    <s v="DK1_MedSmall"/>
    <x v="1"/>
    <s v="GNR_ST_MSW_BP_E-26"/>
    <x v="0"/>
    <x v="2"/>
    <n v="26.923076923077002"/>
    <n v="9826.9230769230908"/>
    <n v="35376.9230769231"/>
  </r>
  <r>
    <x v="0"/>
    <x v="0"/>
    <x v="0"/>
    <x v="0"/>
    <x v="0"/>
    <s v="DK1_MedSmall"/>
    <x v="1"/>
    <s v="GNR_ST_MSW_BP_E-26"/>
    <x v="0"/>
    <x v="3"/>
    <n v="26.923076923077002"/>
    <n v="9826.9230769230908"/>
    <n v="35376.9230769231"/>
  </r>
  <r>
    <x v="0"/>
    <x v="0"/>
    <x v="0"/>
    <x v="0"/>
    <x v="0"/>
    <s v="DK1_MedSmall"/>
    <x v="1"/>
    <s v="GNR_ST_MSW_BP_E-26"/>
    <x v="0"/>
    <x v="4"/>
    <n v="26.923076923077002"/>
    <n v="9826.9230769230908"/>
    <n v="35376.9230769231"/>
  </r>
  <r>
    <x v="0"/>
    <x v="0"/>
    <x v="0"/>
    <x v="0"/>
    <x v="0"/>
    <s v="DK1_MedSmall"/>
    <x v="1"/>
    <s v="GNR_ST_MSW_BP_E-26"/>
    <x v="0"/>
    <x v="5"/>
    <n v="26.923076923077002"/>
    <n v="9826.9230769230908"/>
    <n v="35376.9230769231"/>
  </r>
  <r>
    <x v="0"/>
    <x v="0"/>
    <x v="0"/>
    <x v="0"/>
    <x v="0"/>
    <s v="DK1_MedSmall"/>
    <x v="1"/>
    <s v="GNR_ST_MSW_BP_E-26"/>
    <x v="0"/>
    <x v="6"/>
    <n v="26.923076923077002"/>
    <n v="9826.9230769230908"/>
    <n v="35376.9230769231"/>
  </r>
  <r>
    <x v="0"/>
    <x v="0"/>
    <x v="0"/>
    <x v="0"/>
    <x v="0"/>
    <s v="DK1_MedSmall"/>
    <x v="1"/>
    <s v="GNR_ST_MSW_BP_E-26"/>
    <x v="0"/>
    <x v="7"/>
    <n v="26.923076923077002"/>
    <n v="9826.9230769230908"/>
    <n v="35376.9230769231"/>
  </r>
  <r>
    <x v="0"/>
    <x v="0"/>
    <x v="0"/>
    <x v="0"/>
    <x v="0"/>
    <s v="DK1_MedSmall"/>
    <x v="1"/>
    <s v="GNR_ST_MSW_BP_E-26"/>
    <x v="0"/>
    <x v="8"/>
    <n v="26.923076923077002"/>
    <n v="9826.9230769230908"/>
    <n v="35376.9230769231"/>
  </r>
  <r>
    <x v="0"/>
    <x v="0"/>
    <x v="0"/>
    <x v="0"/>
    <x v="0"/>
    <s v="DK1_MedSmall"/>
    <x v="1"/>
    <s v="GNR_ST_MSW_BP_E-26"/>
    <x v="0"/>
    <x v="9"/>
    <n v="26.923076923077002"/>
    <n v="9826.9230769230908"/>
    <n v="35376.9230769231"/>
  </r>
  <r>
    <x v="0"/>
    <x v="0"/>
    <x v="0"/>
    <x v="0"/>
    <x v="0"/>
    <s v="DK1_MedSmall"/>
    <x v="1"/>
    <s v="GNR_ST_MSW_BP_E-26"/>
    <x v="0"/>
    <x v="10"/>
    <n v="26.923076923077002"/>
    <n v="9826.9230769230908"/>
    <n v="35376.9230769231"/>
  </r>
  <r>
    <x v="0"/>
    <x v="0"/>
    <x v="0"/>
    <x v="0"/>
    <x v="0"/>
    <s v="DK1_MedSmall"/>
    <x v="1"/>
    <s v="GNR_ST_MSW_BP_E-26"/>
    <x v="0"/>
    <x v="11"/>
    <n v="26.923076923077002"/>
    <n v="9826.9230769230908"/>
    <n v="35376.9230769231"/>
  </r>
  <r>
    <x v="0"/>
    <x v="0"/>
    <x v="0"/>
    <x v="0"/>
    <x v="0"/>
    <s v="DK1_MedSmall"/>
    <x v="1"/>
    <s v="GNR_ST_MSW_BP_E-26"/>
    <x v="0"/>
    <x v="12"/>
    <n v="26.923076923077002"/>
    <n v="9826.9230769230908"/>
    <n v="35376.9230769231"/>
  </r>
  <r>
    <x v="0"/>
    <x v="0"/>
    <x v="0"/>
    <x v="0"/>
    <x v="0"/>
    <s v="DK1_MedSmall"/>
    <x v="1"/>
    <s v="GNR_ST_MSW_BP_E-26"/>
    <x v="0"/>
    <x v="13"/>
    <n v="26.923076923077002"/>
    <n v="9826.9230769230908"/>
    <n v="35376.9230769231"/>
  </r>
  <r>
    <x v="0"/>
    <x v="0"/>
    <x v="0"/>
    <x v="0"/>
    <x v="0"/>
    <s v="DK1_MedSmall"/>
    <x v="1"/>
    <s v="GNR_ST_MSW_BP_E-26"/>
    <x v="0"/>
    <x v="14"/>
    <n v="26.923076923077002"/>
    <n v="9826.9230769230908"/>
    <n v="35376.9230769231"/>
  </r>
  <r>
    <x v="0"/>
    <x v="0"/>
    <x v="0"/>
    <x v="0"/>
    <x v="0"/>
    <s v="DK1_MedSmall"/>
    <x v="1"/>
    <s v="GNR_ST_MSW_BP_E-26"/>
    <x v="0"/>
    <x v="15"/>
    <n v="26.923076923077002"/>
    <n v="9826.9230769230908"/>
    <n v="35376.9230769231"/>
  </r>
  <r>
    <x v="0"/>
    <x v="0"/>
    <x v="0"/>
    <x v="0"/>
    <x v="0"/>
    <s v="DK1_MedSmall"/>
    <x v="1"/>
    <s v="GNR_ST_MSW_BP_E-26"/>
    <x v="0"/>
    <x v="16"/>
    <n v="26.923076923077002"/>
    <n v="9826.9230769230908"/>
    <n v="35376.9230769231"/>
  </r>
  <r>
    <x v="0"/>
    <x v="0"/>
    <x v="0"/>
    <x v="0"/>
    <x v="0"/>
    <s v="DK1_MedSmall"/>
    <x v="1"/>
    <s v="GNR_ST_MSW_BP_E-26"/>
    <x v="0"/>
    <x v="17"/>
    <n v="26.923076923077002"/>
    <n v="9826.9230769230908"/>
    <n v="35376.9230769231"/>
  </r>
  <r>
    <x v="0"/>
    <x v="0"/>
    <x v="0"/>
    <x v="0"/>
    <x v="0"/>
    <s v="DK1_MedSmall"/>
    <x v="1"/>
    <s v="GNR_ST_MSW_BP_E-26"/>
    <x v="0"/>
    <x v="18"/>
    <n v="26.923076923077002"/>
    <n v="9826.9230769230908"/>
    <n v="35376.9230769231"/>
  </r>
  <r>
    <x v="0"/>
    <x v="0"/>
    <x v="0"/>
    <x v="0"/>
    <x v="0"/>
    <s v="DK1_MedSmall"/>
    <x v="1"/>
    <s v="GNR_ST_MSW_BP_E-26"/>
    <x v="0"/>
    <x v="19"/>
    <n v="26.923076923077002"/>
    <n v="9826.9230769230908"/>
    <n v="35376.9230769231"/>
  </r>
  <r>
    <x v="0"/>
    <x v="0"/>
    <x v="0"/>
    <x v="0"/>
    <x v="0"/>
    <s v="DK1_MedSmall"/>
    <x v="1"/>
    <s v="GNR_ST_MSW_BP_E-26"/>
    <x v="0"/>
    <x v="20"/>
    <n v="26.923076923077002"/>
    <n v="9826.9230769230908"/>
    <n v="35376.9230769231"/>
  </r>
  <r>
    <x v="0"/>
    <x v="0"/>
    <x v="0"/>
    <x v="0"/>
    <x v="0"/>
    <s v="DK1_MedSmall"/>
    <x v="1"/>
    <s v="GNR_ST_MSW_BP_E-26"/>
    <x v="0"/>
    <x v="21"/>
    <n v="26.923076923077002"/>
    <n v="9826.9230769230908"/>
    <n v="35376.9230769231"/>
  </r>
  <r>
    <x v="0"/>
    <x v="0"/>
    <x v="0"/>
    <x v="0"/>
    <x v="0"/>
    <s v="DK1_MedSmall"/>
    <x v="1"/>
    <s v="GNR_ST_MSW_BP_E-26"/>
    <x v="0"/>
    <x v="22"/>
    <n v="26.923076923077002"/>
    <n v="9826.9230769230908"/>
    <n v="35376.9230769231"/>
  </r>
  <r>
    <x v="0"/>
    <x v="0"/>
    <x v="0"/>
    <x v="0"/>
    <x v="0"/>
    <s v="DK1_MedSmall"/>
    <x v="1"/>
    <s v="GNR_ST_MSW_BP_E-26"/>
    <x v="0"/>
    <x v="23"/>
    <n v="26.923076923077002"/>
    <n v="9826.9230769230908"/>
    <n v="35376.9230769231"/>
  </r>
  <r>
    <x v="0"/>
    <x v="0"/>
    <x v="0"/>
    <x v="0"/>
    <x v="0"/>
    <s v="DK1_MedSmall"/>
    <x v="3"/>
    <s v="GNR_BO_NGAS_E-100"/>
    <x v="0"/>
    <x v="8"/>
    <n v="1.4687008086106099"/>
    <n v="536.07579514287102"/>
    <n v="1929.8728625143401"/>
  </r>
  <r>
    <x v="0"/>
    <x v="0"/>
    <x v="0"/>
    <x v="0"/>
    <x v="0"/>
    <s v="DK1_MedSmall"/>
    <x v="3"/>
    <s v="GNR_BO_NGAS_E-100"/>
    <x v="0"/>
    <x v="9"/>
    <n v="4.2735473802326904"/>
    <n v="1559.8447937849301"/>
    <n v="5615.44125762575"/>
  </r>
  <r>
    <x v="0"/>
    <x v="0"/>
    <x v="0"/>
    <x v="0"/>
    <x v="0"/>
    <s v="DK1_MedSmall"/>
    <x v="3"/>
    <s v="GNR_BO_NGAS_E-100"/>
    <x v="0"/>
    <x v="10"/>
    <n v="3.5085892243357399"/>
    <n v="1280.6350668825401"/>
    <n v="4610.2862407771599"/>
  </r>
  <r>
    <x v="0"/>
    <x v="0"/>
    <x v="0"/>
    <x v="0"/>
    <x v="0"/>
    <s v="DK1_MedSmall"/>
    <x v="3"/>
    <s v="GNR_BO_NGAS_E-100"/>
    <x v="0"/>
    <x v="11"/>
    <n v="3.6360822503185699"/>
    <n v="1327.17002136628"/>
    <n v="4777.8120769185998"/>
  </r>
  <r>
    <x v="0"/>
    <x v="0"/>
    <x v="0"/>
    <x v="0"/>
    <x v="0"/>
    <s v="DK1_MedSmall"/>
    <x v="3"/>
    <s v="GNR_BO_NGAS_E-100"/>
    <x v="0"/>
    <x v="12"/>
    <n v="2.23365896450753"/>
    <n v="815.28552204524703"/>
    <n v="2935.02787936289"/>
  </r>
  <r>
    <x v="0"/>
    <x v="0"/>
    <x v="0"/>
    <x v="0"/>
    <x v="0"/>
    <s v="DK1_MedSmall"/>
    <x v="3"/>
    <s v="GNR_BO_NGAS_E-100"/>
    <x v="0"/>
    <x v="16"/>
    <n v="2.6161380424559901"/>
    <n v="954.89038549643499"/>
    <n v="3437.60538778717"/>
  </r>
  <r>
    <x v="0"/>
    <x v="0"/>
    <x v="0"/>
    <x v="0"/>
    <x v="0"/>
    <s v="DK1_MedSmall"/>
    <x v="3"/>
    <s v="GNR_BO_NGAS_E-100"/>
    <x v="0"/>
    <x v="17"/>
    <n v="1.9786729125419"/>
    <n v="722.215613077792"/>
    <n v="2599.9762070800498"/>
  </r>
  <r>
    <x v="0"/>
    <x v="0"/>
    <x v="0"/>
    <x v="0"/>
    <x v="0"/>
    <s v="DK1_MedSmall"/>
    <x v="3"/>
    <s v="GNR_BO_NGAS_E-100"/>
    <x v="0"/>
    <x v="18"/>
    <n v="2.4886450164731899"/>
    <n v="908.35543101271298"/>
    <n v="3270.0795516457702"/>
  </r>
  <r>
    <x v="0"/>
    <x v="0"/>
    <x v="0"/>
    <x v="0"/>
    <x v="0"/>
    <s v="DK1_MedSmall"/>
    <x v="3"/>
    <s v="GNR_BO_NGAS_E-100"/>
    <x v="0"/>
    <x v="19"/>
    <n v="1.9786729125419"/>
    <n v="722.215613077792"/>
    <n v="2599.9762070800498"/>
  </r>
  <r>
    <x v="0"/>
    <x v="0"/>
    <x v="0"/>
    <x v="0"/>
    <x v="0"/>
    <s v="DK1_MedSmall"/>
    <x v="3"/>
    <s v="GNR_BO_NGAS_E-101"/>
    <x v="0"/>
    <x v="0"/>
    <n v="5.5414248676643201"/>
    <n v="2022.62007669748"/>
    <n v="7281.4322761109097"/>
  </r>
  <r>
    <x v="0"/>
    <x v="0"/>
    <x v="0"/>
    <x v="0"/>
    <x v="0"/>
    <s v="DK1_MedSmall"/>
    <x v="3"/>
    <s v="GNR_BO_NGAS_E-101"/>
    <x v="0"/>
    <x v="1"/>
    <n v="3.6479640857412199"/>
    <n v="1331.5068912955401"/>
    <n v="4793.42480866396"/>
  </r>
  <r>
    <x v="0"/>
    <x v="0"/>
    <x v="0"/>
    <x v="0"/>
    <x v="0"/>
    <s v="DK1_MedSmall"/>
    <x v="3"/>
    <s v="GNR_BO_NGAS_E-101"/>
    <x v="0"/>
    <x v="2"/>
    <n v="2.25942617899761"/>
    <n v="824.69055533412904"/>
    <n v="2968.8859992028702"/>
  </r>
  <r>
    <x v="0"/>
    <x v="0"/>
    <x v="0"/>
    <x v="0"/>
    <x v="0"/>
    <s v="DK1_MedSmall"/>
    <x v="3"/>
    <s v="GNR_BO_NGAS_E-101"/>
    <x v="0"/>
    <x v="3"/>
    <n v="3.2692719293565999"/>
    <n v="1193.28425421516"/>
    <n v="4295.8233151745799"/>
  </r>
  <r>
    <x v="0"/>
    <x v="0"/>
    <x v="0"/>
    <x v="0"/>
    <x v="0"/>
    <s v="DK1_MedSmall"/>
    <x v="3"/>
    <s v="GNR_BO_NGAS_E-101"/>
    <x v="0"/>
    <x v="4"/>
    <n v="8.1922699623566402"/>
    <n v="2990.1785362601699"/>
    <n v="10764.6427305366"/>
  </r>
  <r>
    <x v="0"/>
    <x v="0"/>
    <x v="0"/>
    <x v="0"/>
    <x v="0"/>
    <s v="DK1_MedSmall"/>
    <x v="3"/>
    <s v="GNR_BO_NGAS_E-101"/>
    <x v="0"/>
    <x v="5"/>
    <n v="11.852960807408"/>
    <n v="4326.33069470391"/>
    <n v="15574.790500934099"/>
  </r>
  <r>
    <x v="0"/>
    <x v="0"/>
    <x v="0"/>
    <x v="0"/>
    <x v="0"/>
    <s v="DK1_MedSmall"/>
    <x v="3"/>
    <s v="GNR_BO_NGAS_E-101"/>
    <x v="0"/>
    <x v="6"/>
    <n v="34.953182346869703"/>
    <n v="12757.9115566074"/>
    <n v="45928.481603786699"/>
  </r>
  <r>
    <x v="0"/>
    <x v="0"/>
    <x v="0"/>
    <x v="0"/>
    <x v="0"/>
    <s v="DK1_MedSmall"/>
    <x v="3"/>
    <s v="GNR_BO_NGAS_E-101"/>
    <x v="0"/>
    <x v="7"/>
    <n v="57.043558135972397"/>
    <n v="20820.898719629899"/>
    <n v="74955.235390667702"/>
  </r>
  <r>
    <x v="0"/>
    <x v="0"/>
    <x v="0"/>
    <x v="0"/>
    <x v="0"/>
    <s v="DK1_MedSmall"/>
    <x v="3"/>
    <s v="GNR_BO_NGAS_E-101"/>
    <x v="0"/>
    <x v="8"/>
    <n v="60.891089108910897"/>
    <n v="22225.2475247525"/>
    <n v="80010.891089108904"/>
  </r>
  <r>
    <x v="0"/>
    <x v="0"/>
    <x v="0"/>
    <x v="0"/>
    <x v="0"/>
    <s v="DK1_MedSmall"/>
    <x v="3"/>
    <s v="GNR_BO_NGAS_E-101"/>
    <x v="0"/>
    <x v="9"/>
    <n v="60.891089108910897"/>
    <n v="22225.2475247525"/>
    <n v="80010.891089108904"/>
  </r>
  <r>
    <x v="0"/>
    <x v="0"/>
    <x v="0"/>
    <x v="0"/>
    <x v="0"/>
    <s v="DK1_MedSmall"/>
    <x v="3"/>
    <s v="GNR_BO_NGAS_E-101"/>
    <x v="0"/>
    <x v="10"/>
    <n v="60.891089108910897"/>
    <n v="22225.2475247525"/>
    <n v="80010.891089108904"/>
  </r>
  <r>
    <x v="0"/>
    <x v="0"/>
    <x v="0"/>
    <x v="0"/>
    <x v="0"/>
    <s v="DK1_MedSmall"/>
    <x v="3"/>
    <s v="GNR_BO_NGAS_E-101"/>
    <x v="0"/>
    <x v="11"/>
    <n v="60.891089108910897"/>
    <n v="22225.2475247525"/>
    <n v="80010.891089108904"/>
  </r>
  <r>
    <x v="0"/>
    <x v="0"/>
    <x v="0"/>
    <x v="0"/>
    <x v="0"/>
    <s v="DK1_MedSmall"/>
    <x v="3"/>
    <s v="GNR_BO_NGAS_E-101"/>
    <x v="0"/>
    <x v="12"/>
    <n v="60.891089108910897"/>
    <n v="22225.2475247525"/>
    <n v="80010.891089108904"/>
  </r>
  <r>
    <x v="0"/>
    <x v="0"/>
    <x v="0"/>
    <x v="0"/>
    <x v="0"/>
    <s v="DK1_MedSmall"/>
    <x v="3"/>
    <s v="GNR_BO_NGAS_E-101"/>
    <x v="0"/>
    <x v="13"/>
    <n v="57.5484810111519"/>
    <n v="21005.195569070402"/>
    <n v="75618.704048653599"/>
  </r>
  <r>
    <x v="0"/>
    <x v="0"/>
    <x v="0"/>
    <x v="0"/>
    <x v="0"/>
    <s v="DK1_MedSmall"/>
    <x v="3"/>
    <s v="GNR_BO_NGAS_E-101"/>
    <x v="0"/>
    <x v="14"/>
    <n v="59.063249636690401"/>
    <n v="21558.086117391998"/>
    <n v="77609.110022611101"/>
  </r>
  <r>
    <x v="0"/>
    <x v="0"/>
    <x v="0"/>
    <x v="0"/>
    <x v="0"/>
    <s v="DK1_MedSmall"/>
    <x v="3"/>
    <s v="GNR_BO_NGAS_E-101"/>
    <x v="0"/>
    <x v="15"/>
    <n v="60.578018262228802"/>
    <n v="22110.976665713501"/>
    <n v="79599.515996568705"/>
  </r>
  <r>
    <x v="0"/>
    <x v="0"/>
    <x v="0"/>
    <x v="0"/>
    <x v="0"/>
    <s v="DK1_MedSmall"/>
    <x v="3"/>
    <s v="GNR_BO_NGAS_E-101"/>
    <x v="0"/>
    <x v="16"/>
    <n v="60.891089108910897"/>
    <n v="22225.2475247525"/>
    <n v="80010.891089108904"/>
  </r>
  <r>
    <x v="0"/>
    <x v="0"/>
    <x v="0"/>
    <x v="0"/>
    <x v="0"/>
    <s v="DK1_MedSmall"/>
    <x v="3"/>
    <s v="GNR_BO_NGAS_E-101"/>
    <x v="0"/>
    <x v="17"/>
    <n v="60.891089108910897"/>
    <n v="22225.2475247525"/>
    <n v="80010.891089108904"/>
  </r>
  <r>
    <x v="0"/>
    <x v="0"/>
    <x v="0"/>
    <x v="0"/>
    <x v="0"/>
    <s v="DK1_MedSmall"/>
    <x v="3"/>
    <s v="GNR_BO_NGAS_E-101"/>
    <x v="0"/>
    <x v="18"/>
    <n v="60.891089108910897"/>
    <n v="22225.2475247525"/>
    <n v="80010.891089108904"/>
  </r>
  <r>
    <x v="0"/>
    <x v="0"/>
    <x v="0"/>
    <x v="0"/>
    <x v="0"/>
    <s v="DK1_MedSmall"/>
    <x v="3"/>
    <s v="GNR_BO_NGAS_E-101"/>
    <x v="0"/>
    <x v="19"/>
    <n v="60.891089108910897"/>
    <n v="22225.2475247525"/>
    <n v="80010.891089108904"/>
  </r>
  <r>
    <x v="0"/>
    <x v="0"/>
    <x v="0"/>
    <x v="0"/>
    <x v="0"/>
    <s v="DK1_MedSmall"/>
    <x v="3"/>
    <s v="GNR_BO_NGAS_E-101"/>
    <x v="0"/>
    <x v="20"/>
    <n v="60.0730953870493"/>
    <n v="21926.679816273001"/>
    <n v="78936.047338582794"/>
  </r>
  <r>
    <x v="0"/>
    <x v="0"/>
    <x v="0"/>
    <x v="0"/>
    <x v="0"/>
    <s v="DK1_MedSmall"/>
    <x v="3"/>
    <s v="GNR_BO_NGAS_E-101"/>
    <x v="0"/>
    <x v="21"/>
    <n v="43.158179068536398"/>
    <n v="15752.7353600158"/>
    <n v="56709.847296056803"/>
  </r>
  <r>
    <x v="0"/>
    <x v="0"/>
    <x v="0"/>
    <x v="0"/>
    <x v="0"/>
    <s v="DK1_MedSmall"/>
    <x v="3"/>
    <s v="GNR_BO_NGAS_E-101"/>
    <x v="0"/>
    <x v="22"/>
    <n v="41.895871880587698"/>
    <n v="15291.993236414501"/>
    <n v="55051.175651092199"/>
  </r>
  <r>
    <x v="0"/>
    <x v="0"/>
    <x v="0"/>
    <x v="0"/>
    <x v="0"/>
    <s v="DK1_MedSmall"/>
    <x v="3"/>
    <s v="GNR_BO_NGAS_E-101"/>
    <x v="0"/>
    <x v="23"/>
    <n v="38.740103910715803"/>
    <n v="14140.137927411301"/>
    <n v="50904.4965386806"/>
  </r>
  <r>
    <x v="0"/>
    <x v="0"/>
    <x v="0"/>
    <x v="0"/>
    <x v="0"/>
    <s v="DK1_MedSmall"/>
    <x v="3"/>
    <s v="GNR_BO_NGAS_E-102"/>
    <x v="0"/>
    <x v="0"/>
    <n v="5"/>
    <n v="1825"/>
    <n v="6570"/>
  </r>
  <r>
    <x v="0"/>
    <x v="0"/>
    <x v="0"/>
    <x v="0"/>
    <x v="0"/>
    <s v="DK1_MedSmall"/>
    <x v="3"/>
    <s v="GNR_BO_NGAS_E-102"/>
    <x v="0"/>
    <x v="1"/>
    <n v="5"/>
    <n v="1825"/>
    <n v="6570"/>
  </r>
  <r>
    <x v="0"/>
    <x v="0"/>
    <x v="0"/>
    <x v="0"/>
    <x v="0"/>
    <s v="DK1_MedSmall"/>
    <x v="3"/>
    <s v="GNR_BO_NGAS_E-102"/>
    <x v="0"/>
    <x v="2"/>
    <n v="5"/>
    <n v="1825"/>
    <n v="6570"/>
  </r>
  <r>
    <x v="0"/>
    <x v="0"/>
    <x v="0"/>
    <x v="0"/>
    <x v="0"/>
    <s v="DK1_MedSmall"/>
    <x v="3"/>
    <s v="GNR_BO_NGAS_E-102"/>
    <x v="0"/>
    <x v="3"/>
    <n v="5"/>
    <n v="1825"/>
    <n v="6570"/>
  </r>
  <r>
    <x v="0"/>
    <x v="0"/>
    <x v="0"/>
    <x v="0"/>
    <x v="0"/>
    <s v="DK1_MedSmall"/>
    <x v="3"/>
    <s v="GNR_BO_NGAS_E-102"/>
    <x v="0"/>
    <x v="4"/>
    <n v="5"/>
    <n v="1825"/>
    <n v="6570"/>
  </r>
  <r>
    <x v="0"/>
    <x v="0"/>
    <x v="0"/>
    <x v="0"/>
    <x v="0"/>
    <s v="DK1_MedSmall"/>
    <x v="3"/>
    <s v="GNR_BO_NGAS_E-102"/>
    <x v="0"/>
    <x v="5"/>
    <n v="5"/>
    <n v="1825"/>
    <n v="6570"/>
  </r>
  <r>
    <x v="0"/>
    <x v="0"/>
    <x v="0"/>
    <x v="0"/>
    <x v="0"/>
    <s v="DK1_MedSmall"/>
    <x v="3"/>
    <s v="GNR_BO_NGAS_E-102"/>
    <x v="0"/>
    <x v="6"/>
    <n v="5"/>
    <n v="1825"/>
    <n v="6570"/>
  </r>
  <r>
    <x v="0"/>
    <x v="0"/>
    <x v="0"/>
    <x v="0"/>
    <x v="0"/>
    <s v="DK1_MedSmall"/>
    <x v="3"/>
    <s v="GNR_BO_NGAS_E-102"/>
    <x v="0"/>
    <x v="7"/>
    <n v="5"/>
    <n v="1825"/>
    <n v="6570"/>
  </r>
  <r>
    <x v="0"/>
    <x v="0"/>
    <x v="0"/>
    <x v="0"/>
    <x v="0"/>
    <s v="DK1_MedSmall"/>
    <x v="3"/>
    <s v="GNR_BO_NGAS_E-102"/>
    <x v="0"/>
    <x v="8"/>
    <n v="5"/>
    <n v="1825"/>
    <n v="6570"/>
  </r>
  <r>
    <x v="0"/>
    <x v="0"/>
    <x v="0"/>
    <x v="0"/>
    <x v="0"/>
    <s v="DK1_MedSmall"/>
    <x v="3"/>
    <s v="GNR_BO_NGAS_E-102"/>
    <x v="0"/>
    <x v="9"/>
    <n v="5"/>
    <n v="1825"/>
    <n v="6570"/>
  </r>
  <r>
    <x v="0"/>
    <x v="0"/>
    <x v="0"/>
    <x v="0"/>
    <x v="0"/>
    <s v="DK1_MedSmall"/>
    <x v="3"/>
    <s v="GNR_BO_NGAS_E-102"/>
    <x v="0"/>
    <x v="10"/>
    <n v="5"/>
    <n v="1825"/>
    <n v="6570"/>
  </r>
  <r>
    <x v="0"/>
    <x v="0"/>
    <x v="0"/>
    <x v="0"/>
    <x v="0"/>
    <s v="DK1_MedSmall"/>
    <x v="3"/>
    <s v="GNR_BO_NGAS_E-102"/>
    <x v="0"/>
    <x v="11"/>
    <n v="5"/>
    <n v="1825"/>
    <n v="6570"/>
  </r>
  <r>
    <x v="0"/>
    <x v="0"/>
    <x v="0"/>
    <x v="0"/>
    <x v="0"/>
    <s v="DK1_MedSmall"/>
    <x v="3"/>
    <s v="GNR_BO_NGAS_E-102"/>
    <x v="0"/>
    <x v="12"/>
    <n v="5"/>
    <n v="1825"/>
    <n v="6570"/>
  </r>
  <r>
    <x v="0"/>
    <x v="0"/>
    <x v="0"/>
    <x v="0"/>
    <x v="0"/>
    <s v="DK1_MedSmall"/>
    <x v="3"/>
    <s v="GNR_BO_NGAS_E-102"/>
    <x v="0"/>
    <x v="13"/>
    <n v="5"/>
    <n v="1825"/>
    <n v="6570"/>
  </r>
  <r>
    <x v="0"/>
    <x v="0"/>
    <x v="0"/>
    <x v="0"/>
    <x v="0"/>
    <s v="DK1_MedSmall"/>
    <x v="3"/>
    <s v="GNR_BO_NGAS_E-102"/>
    <x v="0"/>
    <x v="14"/>
    <n v="5"/>
    <n v="1825"/>
    <n v="6570"/>
  </r>
  <r>
    <x v="0"/>
    <x v="0"/>
    <x v="0"/>
    <x v="0"/>
    <x v="0"/>
    <s v="DK1_MedSmall"/>
    <x v="3"/>
    <s v="GNR_BO_NGAS_E-102"/>
    <x v="0"/>
    <x v="15"/>
    <n v="5"/>
    <n v="1825"/>
    <n v="6570"/>
  </r>
  <r>
    <x v="0"/>
    <x v="0"/>
    <x v="0"/>
    <x v="0"/>
    <x v="0"/>
    <s v="DK1_MedSmall"/>
    <x v="3"/>
    <s v="GNR_BO_NGAS_E-102"/>
    <x v="0"/>
    <x v="16"/>
    <n v="5"/>
    <n v="1825"/>
    <n v="6570"/>
  </r>
  <r>
    <x v="0"/>
    <x v="0"/>
    <x v="0"/>
    <x v="0"/>
    <x v="0"/>
    <s v="DK1_MedSmall"/>
    <x v="3"/>
    <s v="GNR_BO_NGAS_E-102"/>
    <x v="0"/>
    <x v="17"/>
    <n v="5"/>
    <n v="1825"/>
    <n v="6570"/>
  </r>
  <r>
    <x v="0"/>
    <x v="0"/>
    <x v="0"/>
    <x v="0"/>
    <x v="0"/>
    <s v="DK1_MedSmall"/>
    <x v="3"/>
    <s v="GNR_BO_NGAS_E-102"/>
    <x v="0"/>
    <x v="18"/>
    <n v="5"/>
    <n v="1825"/>
    <n v="6570"/>
  </r>
  <r>
    <x v="0"/>
    <x v="0"/>
    <x v="0"/>
    <x v="0"/>
    <x v="0"/>
    <s v="DK1_MedSmall"/>
    <x v="3"/>
    <s v="GNR_BO_NGAS_E-102"/>
    <x v="0"/>
    <x v="19"/>
    <n v="5"/>
    <n v="1825"/>
    <n v="6570"/>
  </r>
  <r>
    <x v="0"/>
    <x v="0"/>
    <x v="0"/>
    <x v="0"/>
    <x v="0"/>
    <s v="DK1_MedSmall"/>
    <x v="3"/>
    <s v="GNR_BO_NGAS_E-102"/>
    <x v="0"/>
    <x v="20"/>
    <n v="5"/>
    <n v="1825"/>
    <n v="6570"/>
  </r>
  <r>
    <x v="0"/>
    <x v="0"/>
    <x v="0"/>
    <x v="0"/>
    <x v="0"/>
    <s v="DK1_MedSmall"/>
    <x v="3"/>
    <s v="GNR_BO_NGAS_E-102"/>
    <x v="0"/>
    <x v="21"/>
    <n v="5"/>
    <n v="1825"/>
    <n v="6570"/>
  </r>
  <r>
    <x v="0"/>
    <x v="0"/>
    <x v="0"/>
    <x v="0"/>
    <x v="0"/>
    <s v="DK1_MedSmall"/>
    <x v="3"/>
    <s v="GNR_BO_NGAS_E-102"/>
    <x v="0"/>
    <x v="22"/>
    <n v="5"/>
    <n v="1825"/>
    <n v="6570"/>
  </r>
  <r>
    <x v="0"/>
    <x v="0"/>
    <x v="0"/>
    <x v="0"/>
    <x v="0"/>
    <s v="DK1_MedSmall"/>
    <x v="3"/>
    <s v="GNR_BO_NGAS_E-102"/>
    <x v="0"/>
    <x v="23"/>
    <n v="5"/>
    <n v="1825"/>
    <n v="6570"/>
  </r>
  <r>
    <x v="0"/>
    <x v="0"/>
    <x v="0"/>
    <x v="0"/>
    <x v="0"/>
    <s v="DK1_MedSmall"/>
    <x v="3"/>
    <s v="GNR_BO_NGAS_E-104"/>
    <x v="0"/>
    <x v="0"/>
    <n v="11.009615384615399"/>
    <n v="4018.5096153846098"/>
    <n v="14466.634615384601"/>
  </r>
  <r>
    <x v="0"/>
    <x v="0"/>
    <x v="0"/>
    <x v="0"/>
    <x v="0"/>
    <s v="DK1_MedSmall"/>
    <x v="3"/>
    <s v="GNR_BO_NGAS_E-104"/>
    <x v="0"/>
    <x v="1"/>
    <n v="11.009615384615399"/>
    <n v="4018.5096153846098"/>
    <n v="14466.634615384601"/>
  </r>
  <r>
    <x v="0"/>
    <x v="0"/>
    <x v="0"/>
    <x v="0"/>
    <x v="0"/>
    <s v="DK1_MedSmall"/>
    <x v="3"/>
    <s v="GNR_BO_NGAS_E-104"/>
    <x v="0"/>
    <x v="2"/>
    <n v="11.009615384615399"/>
    <n v="4018.5096153846098"/>
    <n v="14466.634615384601"/>
  </r>
  <r>
    <x v="0"/>
    <x v="0"/>
    <x v="0"/>
    <x v="0"/>
    <x v="0"/>
    <s v="DK1_MedSmall"/>
    <x v="3"/>
    <s v="GNR_BO_NGAS_E-104"/>
    <x v="0"/>
    <x v="3"/>
    <n v="11.009615384615399"/>
    <n v="4018.5096153846098"/>
    <n v="14466.634615384601"/>
  </r>
  <r>
    <x v="0"/>
    <x v="0"/>
    <x v="0"/>
    <x v="0"/>
    <x v="0"/>
    <s v="DK1_MedSmall"/>
    <x v="3"/>
    <s v="GNR_BO_NGAS_E-104"/>
    <x v="0"/>
    <x v="4"/>
    <n v="11.009615384615399"/>
    <n v="4018.5096153846098"/>
    <n v="14466.634615384601"/>
  </r>
  <r>
    <x v="0"/>
    <x v="0"/>
    <x v="0"/>
    <x v="0"/>
    <x v="0"/>
    <s v="DK1_MedSmall"/>
    <x v="3"/>
    <s v="GNR_BO_NGAS_E-104"/>
    <x v="0"/>
    <x v="5"/>
    <n v="11.009615384615399"/>
    <n v="4018.5096153846098"/>
    <n v="14466.634615384601"/>
  </r>
  <r>
    <x v="0"/>
    <x v="0"/>
    <x v="0"/>
    <x v="0"/>
    <x v="0"/>
    <s v="DK1_MedSmall"/>
    <x v="3"/>
    <s v="GNR_BO_NGAS_E-104"/>
    <x v="0"/>
    <x v="6"/>
    <n v="11.009615384615399"/>
    <n v="4018.5096153846098"/>
    <n v="14466.634615384601"/>
  </r>
  <r>
    <x v="0"/>
    <x v="0"/>
    <x v="0"/>
    <x v="0"/>
    <x v="0"/>
    <s v="DK1_MedSmall"/>
    <x v="3"/>
    <s v="GNR_BO_NGAS_E-104"/>
    <x v="0"/>
    <x v="7"/>
    <n v="11.009615384615399"/>
    <n v="4018.5096153846098"/>
    <n v="14466.634615384601"/>
  </r>
  <r>
    <x v="0"/>
    <x v="0"/>
    <x v="0"/>
    <x v="0"/>
    <x v="0"/>
    <s v="DK1_MedSmall"/>
    <x v="3"/>
    <s v="GNR_BO_NGAS_E-104"/>
    <x v="0"/>
    <x v="8"/>
    <n v="11.009615384615399"/>
    <n v="4018.5096153846098"/>
    <n v="14466.634615384601"/>
  </r>
  <r>
    <x v="0"/>
    <x v="0"/>
    <x v="0"/>
    <x v="0"/>
    <x v="0"/>
    <s v="DK1_MedSmall"/>
    <x v="3"/>
    <s v="GNR_BO_NGAS_E-104"/>
    <x v="0"/>
    <x v="9"/>
    <n v="11.009615384615399"/>
    <n v="4018.5096153846098"/>
    <n v="14466.634615384601"/>
  </r>
  <r>
    <x v="0"/>
    <x v="0"/>
    <x v="0"/>
    <x v="0"/>
    <x v="0"/>
    <s v="DK1_MedSmall"/>
    <x v="3"/>
    <s v="GNR_BO_NGAS_E-104"/>
    <x v="0"/>
    <x v="10"/>
    <n v="11.009615384615399"/>
    <n v="4018.5096153846098"/>
    <n v="14466.634615384601"/>
  </r>
  <r>
    <x v="0"/>
    <x v="0"/>
    <x v="0"/>
    <x v="0"/>
    <x v="0"/>
    <s v="DK1_MedSmall"/>
    <x v="3"/>
    <s v="GNR_BO_NGAS_E-104"/>
    <x v="0"/>
    <x v="11"/>
    <n v="11.009615384615399"/>
    <n v="4018.5096153846098"/>
    <n v="14466.634615384601"/>
  </r>
  <r>
    <x v="0"/>
    <x v="0"/>
    <x v="0"/>
    <x v="0"/>
    <x v="0"/>
    <s v="DK1_MedSmall"/>
    <x v="3"/>
    <s v="GNR_BO_NGAS_E-104"/>
    <x v="0"/>
    <x v="12"/>
    <n v="11.009615384615399"/>
    <n v="4018.5096153846098"/>
    <n v="14466.634615384601"/>
  </r>
  <r>
    <x v="0"/>
    <x v="0"/>
    <x v="0"/>
    <x v="0"/>
    <x v="0"/>
    <s v="DK1_MedSmall"/>
    <x v="3"/>
    <s v="GNR_BO_NGAS_E-104"/>
    <x v="0"/>
    <x v="13"/>
    <n v="11.009615384615399"/>
    <n v="4018.5096153846098"/>
    <n v="14466.634615384601"/>
  </r>
  <r>
    <x v="0"/>
    <x v="0"/>
    <x v="0"/>
    <x v="0"/>
    <x v="0"/>
    <s v="DK1_MedSmall"/>
    <x v="3"/>
    <s v="GNR_BO_NGAS_E-104"/>
    <x v="0"/>
    <x v="14"/>
    <n v="11.009615384615399"/>
    <n v="4018.5096153846098"/>
    <n v="14466.634615384601"/>
  </r>
  <r>
    <x v="0"/>
    <x v="0"/>
    <x v="0"/>
    <x v="0"/>
    <x v="0"/>
    <s v="DK1_MedSmall"/>
    <x v="3"/>
    <s v="GNR_BO_NGAS_E-104"/>
    <x v="0"/>
    <x v="15"/>
    <n v="11.009615384615399"/>
    <n v="4018.5096153846098"/>
    <n v="14466.634615384601"/>
  </r>
  <r>
    <x v="0"/>
    <x v="0"/>
    <x v="0"/>
    <x v="0"/>
    <x v="0"/>
    <s v="DK1_MedSmall"/>
    <x v="3"/>
    <s v="GNR_BO_NGAS_E-104"/>
    <x v="0"/>
    <x v="16"/>
    <n v="11.009615384615399"/>
    <n v="4018.5096153846098"/>
    <n v="14466.634615384601"/>
  </r>
  <r>
    <x v="0"/>
    <x v="0"/>
    <x v="0"/>
    <x v="0"/>
    <x v="0"/>
    <s v="DK1_MedSmall"/>
    <x v="3"/>
    <s v="GNR_BO_NGAS_E-104"/>
    <x v="0"/>
    <x v="17"/>
    <n v="11.009615384615399"/>
    <n v="4018.5096153846098"/>
    <n v="14466.634615384601"/>
  </r>
  <r>
    <x v="0"/>
    <x v="0"/>
    <x v="0"/>
    <x v="0"/>
    <x v="0"/>
    <s v="DK1_MedSmall"/>
    <x v="3"/>
    <s v="GNR_BO_NGAS_E-104"/>
    <x v="0"/>
    <x v="18"/>
    <n v="11.009615384615399"/>
    <n v="4018.5096153846098"/>
    <n v="14466.634615384601"/>
  </r>
  <r>
    <x v="0"/>
    <x v="0"/>
    <x v="0"/>
    <x v="0"/>
    <x v="0"/>
    <s v="DK1_MedSmall"/>
    <x v="3"/>
    <s v="GNR_BO_NGAS_E-104"/>
    <x v="0"/>
    <x v="19"/>
    <n v="11.009615384615399"/>
    <n v="4018.5096153846098"/>
    <n v="14466.634615384601"/>
  </r>
  <r>
    <x v="0"/>
    <x v="0"/>
    <x v="0"/>
    <x v="0"/>
    <x v="0"/>
    <s v="DK1_MedSmall"/>
    <x v="3"/>
    <s v="GNR_BO_NGAS_E-104"/>
    <x v="0"/>
    <x v="20"/>
    <n v="11.009615384615399"/>
    <n v="4018.5096153846098"/>
    <n v="14466.634615384601"/>
  </r>
  <r>
    <x v="0"/>
    <x v="0"/>
    <x v="0"/>
    <x v="0"/>
    <x v="0"/>
    <s v="DK1_MedSmall"/>
    <x v="3"/>
    <s v="GNR_BO_NGAS_E-104"/>
    <x v="0"/>
    <x v="21"/>
    <n v="11.009615384615399"/>
    <n v="4018.5096153846098"/>
    <n v="14466.634615384601"/>
  </r>
  <r>
    <x v="0"/>
    <x v="0"/>
    <x v="0"/>
    <x v="0"/>
    <x v="0"/>
    <s v="DK1_MedSmall"/>
    <x v="3"/>
    <s v="GNR_BO_NGAS_E-104"/>
    <x v="0"/>
    <x v="22"/>
    <n v="11.009615384615399"/>
    <n v="4018.5096153846098"/>
    <n v="14466.634615384601"/>
  </r>
  <r>
    <x v="0"/>
    <x v="0"/>
    <x v="0"/>
    <x v="0"/>
    <x v="0"/>
    <s v="DK1_MedSmall"/>
    <x v="3"/>
    <s v="GNR_BO_NGAS_E-104"/>
    <x v="0"/>
    <x v="23"/>
    <n v="11.009615384615399"/>
    <n v="4018.5096153846098"/>
    <n v="14466.634615384601"/>
  </r>
  <r>
    <x v="0"/>
    <x v="0"/>
    <x v="0"/>
    <x v="0"/>
    <x v="0"/>
    <s v="DK1_MedSmall"/>
    <x v="4"/>
    <s v="GNR_BO_STRW_E-102"/>
    <x v="0"/>
    <x v="0"/>
    <n v="10.519607843137299"/>
    <n v="3839.6568627451002"/>
    <n v="13822.7647058824"/>
  </r>
  <r>
    <x v="0"/>
    <x v="0"/>
    <x v="0"/>
    <x v="0"/>
    <x v="0"/>
    <s v="DK1_MedSmall"/>
    <x v="4"/>
    <s v="GNR_BO_STRW_E-102"/>
    <x v="0"/>
    <x v="1"/>
    <n v="10.519607843137299"/>
    <n v="3839.6568627451002"/>
    <n v="13822.7647058824"/>
  </r>
  <r>
    <x v="0"/>
    <x v="0"/>
    <x v="0"/>
    <x v="0"/>
    <x v="0"/>
    <s v="DK1_MedSmall"/>
    <x v="4"/>
    <s v="GNR_BO_STRW_E-102"/>
    <x v="0"/>
    <x v="2"/>
    <n v="10.519607843137299"/>
    <n v="3839.6568627451002"/>
    <n v="13822.7647058824"/>
  </r>
  <r>
    <x v="0"/>
    <x v="0"/>
    <x v="0"/>
    <x v="0"/>
    <x v="0"/>
    <s v="DK1_MedSmall"/>
    <x v="4"/>
    <s v="GNR_BO_STRW_E-102"/>
    <x v="0"/>
    <x v="3"/>
    <n v="10.519607843137299"/>
    <n v="3839.6568627451002"/>
    <n v="13822.7647058824"/>
  </r>
  <r>
    <x v="0"/>
    <x v="0"/>
    <x v="0"/>
    <x v="0"/>
    <x v="0"/>
    <s v="DK1_MedSmall"/>
    <x v="4"/>
    <s v="GNR_BO_STRW_E-102"/>
    <x v="0"/>
    <x v="4"/>
    <n v="10.519607843137299"/>
    <n v="3839.6568627451002"/>
    <n v="13822.7647058824"/>
  </r>
  <r>
    <x v="0"/>
    <x v="0"/>
    <x v="0"/>
    <x v="0"/>
    <x v="0"/>
    <s v="DK1_MedSmall"/>
    <x v="4"/>
    <s v="GNR_BO_STRW_E-102"/>
    <x v="0"/>
    <x v="5"/>
    <n v="10.519607843137299"/>
    <n v="3839.6568627451002"/>
    <n v="13822.7647058824"/>
  </r>
  <r>
    <x v="0"/>
    <x v="0"/>
    <x v="0"/>
    <x v="0"/>
    <x v="0"/>
    <s v="DK1_MedSmall"/>
    <x v="4"/>
    <s v="GNR_BO_STRW_E-102"/>
    <x v="0"/>
    <x v="6"/>
    <n v="10.519607843137299"/>
    <n v="3839.6568627451002"/>
    <n v="13822.7647058824"/>
  </r>
  <r>
    <x v="0"/>
    <x v="0"/>
    <x v="0"/>
    <x v="0"/>
    <x v="0"/>
    <s v="DK1_MedSmall"/>
    <x v="4"/>
    <s v="GNR_BO_STRW_E-102"/>
    <x v="0"/>
    <x v="7"/>
    <n v="10.519607843137299"/>
    <n v="3839.6568627451002"/>
    <n v="13822.7647058824"/>
  </r>
  <r>
    <x v="0"/>
    <x v="0"/>
    <x v="0"/>
    <x v="0"/>
    <x v="0"/>
    <s v="DK1_MedSmall"/>
    <x v="4"/>
    <s v="GNR_BO_STRW_E-102"/>
    <x v="0"/>
    <x v="8"/>
    <n v="10.519607843137299"/>
    <n v="3839.6568627451002"/>
    <n v="13822.7647058824"/>
  </r>
  <r>
    <x v="0"/>
    <x v="0"/>
    <x v="0"/>
    <x v="0"/>
    <x v="0"/>
    <s v="DK1_MedSmall"/>
    <x v="4"/>
    <s v="GNR_BO_STRW_E-102"/>
    <x v="0"/>
    <x v="9"/>
    <n v="10.519607843137299"/>
    <n v="3839.6568627451002"/>
    <n v="13822.7647058824"/>
  </r>
  <r>
    <x v="0"/>
    <x v="0"/>
    <x v="0"/>
    <x v="0"/>
    <x v="0"/>
    <s v="DK1_MedSmall"/>
    <x v="4"/>
    <s v="GNR_BO_STRW_E-102"/>
    <x v="0"/>
    <x v="10"/>
    <n v="10.519607843137299"/>
    <n v="3839.6568627451002"/>
    <n v="13822.7647058824"/>
  </r>
  <r>
    <x v="0"/>
    <x v="0"/>
    <x v="0"/>
    <x v="0"/>
    <x v="0"/>
    <s v="DK1_MedSmall"/>
    <x v="4"/>
    <s v="GNR_BO_STRW_E-102"/>
    <x v="0"/>
    <x v="11"/>
    <n v="10.519607843137299"/>
    <n v="3839.6568627451002"/>
    <n v="13822.7647058824"/>
  </r>
  <r>
    <x v="0"/>
    <x v="0"/>
    <x v="0"/>
    <x v="0"/>
    <x v="0"/>
    <s v="DK1_MedSmall"/>
    <x v="4"/>
    <s v="GNR_BO_STRW_E-102"/>
    <x v="0"/>
    <x v="12"/>
    <n v="10.519607843137299"/>
    <n v="3839.6568627451002"/>
    <n v="13822.7647058824"/>
  </r>
  <r>
    <x v="0"/>
    <x v="0"/>
    <x v="0"/>
    <x v="0"/>
    <x v="0"/>
    <s v="DK1_MedSmall"/>
    <x v="4"/>
    <s v="GNR_BO_STRW_E-102"/>
    <x v="0"/>
    <x v="13"/>
    <n v="10.519607843137299"/>
    <n v="3839.6568627451002"/>
    <n v="13822.7647058824"/>
  </r>
  <r>
    <x v="0"/>
    <x v="0"/>
    <x v="0"/>
    <x v="0"/>
    <x v="0"/>
    <s v="DK1_MedSmall"/>
    <x v="4"/>
    <s v="GNR_BO_STRW_E-102"/>
    <x v="0"/>
    <x v="14"/>
    <n v="10.519607843137299"/>
    <n v="3839.6568627451002"/>
    <n v="13822.7647058824"/>
  </r>
  <r>
    <x v="0"/>
    <x v="0"/>
    <x v="0"/>
    <x v="0"/>
    <x v="0"/>
    <s v="DK1_MedSmall"/>
    <x v="4"/>
    <s v="GNR_BO_STRW_E-102"/>
    <x v="0"/>
    <x v="15"/>
    <n v="10.519607843137299"/>
    <n v="3839.6568627451002"/>
    <n v="13822.7647058824"/>
  </r>
  <r>
    <x v="0"/>
    <x v="0"/>
    <x v="0"/>
    <x v="0"/>
    <x v="0"/>
    <s v="DK1_MedSmall"/>
    <x v="4"/>
    <s v="GNR_BO_STRW_E-102"/>
    <x v="0"/>
    <x v="16"/>
    <n v="10.519607843137299"/>
    <n v="3839.6568627451002"/>
    <n v="13822.7647058824"/>
  </r>
  <r>
    <x v="0"/>
    <x v="0"/>
    <x v="0"/>
    <x v="0"/>
    <x v="0"/>
    <s v="DK1_MedSmall"/>
    <x v="4"/>
    <s v="GNR_BO_STRW_E-102"/>
    <x v="0"/>
    <x v="17"/>
    <n v="10.519607843137299"/>
    <n v="3839.6568627451002"/>
    <n v="13822.7647058824"/>
  </r>
  <r>
    <x v="0"/>
    <x v="0"/>
    <x v="0"/>
    <x v="0"/>
    <x v="0"/>
    <s v="DK1_MedSmall"/>
    <x v="4"/>
    <s v="GNR_BO_STRW_E-102"/>
    <x v="0"/>
    <x v="18"/>
    <n v="10.519607843137299"/>
    <n v="3839.6568627451002"/>
    <n v="13822.7647058824"/>
  </r>
  <r>
    <x v="0"/>
    <x v="0"/>
    <x v="0"/>
    <x v="0"/>
    <x v="0"/>
    <s v="DK1_MedSmall"/>
    <x v="4"/>
    <s v="GNR_BO_STRW_E-102"/>
    <x v="0"/>
    <x v="19"/>
    <n v="10.519607843137299"/>
    <n v="3839.6568627451002"/>
    <n v="13822.7647058824"/>
  </r>
  <r>
    <x v="0"/>
    <x v="0"/>
    <x v="0"/>
    <x v="0"/>
    <x v="0"/>
    <s v="DK1_MedSmall"/>
    <x v="4"/>
    <s v="GNR_BO_STRW_E-102"/>
    <x v="0"/>
    <x v="20"/>
    <n v="10.519607843137299"/>
    <n v="3839.6568627451002"/>
    <n v="13822.7647058824"/>
  </r>
  <r>
    <x v="0"/>
    <x v="0"/>
    <x v="0"/>
    <x v="0"/>
    <x v="0"/>
    <s v="DK1_MedSmall"/>
    <x v="4"/>
    <s v="GNR_BO_STRW_E-102"/>
    <x v="0"/>
    <x v="21"/>
    <n v="10.519607843137299"/>
    <n v="3839.6568627451002"/>
    <n v="13822.7647058824"/>
  </r>
  <r>
    <x v="0"/>
    <x v="0"/>
    <x v="0"/>
    <x v="0"/>
    <x v="0"/>
    <s v="DK1_MedSmall"/>
    <x v="4"/>
    <s v="GNR_BO_STRW_E-102"/>
    <x v="0"/>
    <x v="22"/>
    <n v="10.519607843137299"/>
    <n v="3839.6568627451002"/>
    <n v="13822.7647058824"/>
  </r>
  <r>
    <x v="0"/>
    <x v="0"/>
    <x v="0"/>
    <x v="0"/>
    <x v="0"/>
    <s v="DK1_MedSmall"/>
    <x v="4"/>
    <s v="GNR_BO_STRW_E-102"/>
    <x v="0"/>
    <x v="23"/>
    <n v="10.519607843137299"/>
    <n v="3839.6568627451002"/>
    <n v="13822.7647058824"/>
  </r>
  <r>
    <x v="0"/>
    <x v="0"/>
    <x v="0"/>
    <x v="0"/>
    <x v="0"/>
    <s v="DK1_MedSmall"/>
    <x v="2"/>
    <s v="GNR_EH_HEAT"/>
    <x v="0"/>
    <x v="0"/>
    <n v="12.5"/>
    <n v="4562.5"/>
    <n v="16425"/>
  </r>
  <r>
    <x v="0"/>
    <x v="0"/>
    <x v="0"/>
    <x v="0"/>
    <x v="0"/>
    <s v="DK1_MedSmall"/>
    <x v="2"/>
    <s v="GNR_EH_HEAT"/>
    <x v="0"/>
    <x v="1"/>
    <n v="12.5"/>
    <n v="4562.5"/>
    <n v="16425"/>
  </r>
  <r>
    <x v="0"/>
    <x v="0"/>
    <x v="0"/>
    <x v="0"/>
    <x v="0"/>
    <s v="DK1_MedSmall"/>
    <x v="2"/>
    <s v="GNR_EH_HEAT"/>
    <x v="0"/>
    <x v="2"/>
    <n v="12.5"/>
    <n v="4562.5"/>
    <n v="16425"/>
  </r>
  <r>
    <x v="0"/>
    <x v="0"/>
    <x v="0"/>
    <x v="0"/>
    <x v="0"/>
    <s v="DK1_MedSmall"/>
    <x v="2"/>
    <s v="GNR_EH_HEAT"/>
    <x v="0"/>
    <x v="3"/>
    <n v="12.5"/>
    <n v="4562.5"/>
    <n v="16425"/>
  </r>
  <r>
    <x v="0"/>
    <x v="0"/>
    <x v="0"/>
    <x v="0"/>
    <x v="0"/>
    <s v="DK1_MedSmall"/>
    <x v="2"/>
    <s v="GNR_EH_HEAT"/>
    <x v="0"/>
    <x v="4"/>
    <n v="12.5"/>
    <n v="4562.5"/>
    <n v="16425"/>
  </r>
  <r>
    <x v="0"/>
    <x v="0"/>
    <x v="0"/>
    <x v="0"/>
    <x v="0"/>
    <s v="DK1_MedSmall"/>
    <x v="2"/>
    <s v="GNR_EH_HEAT"/>
    <x v="0"/>
    <x v="5"/>
    <n v="12.5"/>
    <n v="4562.5"/>
    <n v="16425"/>
  </r>
  <r>
    <x v="0"/>
    <x v="0"/>
    <x v="0"/>
    <x v="0"/>
    <x v="0"/>
    <s v="DK1_MedSmall"/>
    <x v="2"/>
    <s v="GNR_EH_HEAT"/>
    <x v="0"/>
    <x v="6"/>
    <n v="12.5"/>
    <n v="4562.5"/>
    <n v="16425"/>
  </r>
  <r>
    <x v="0"/>
    <x v="0"/>
    <x v="0"/>
    <x v="0"/>
    <x v="0"/>
    <s v="DK1_MedSmall"/>
    <x v="2"/>
    <s v="GNR_EH_HEAT"/>
    <x v="0"/>
    <x v="7"/>
    <n v="12.5"/>
    <n v="4562.5"/>
    <n v="16425"/>
  </r>
  <r>
    <x v="0"/>
    <x v="0"/>
    <x v="0"/>
    <x v="0"/>
    <x v="0"/>
    <s v="DK1_MedSmall"/>
    <x v="2"/>
    <s v="GNR_EH_HEAT"/>
    <x v="0"/>
    <x v="8"/>
    <n v="12.5"/>
    <n v="4562.5"/>
    <n v="16425"/>
  </r>
  <r>
    <x v="0"/>
    <x v="0"/>
    <x v="0"/>
    <x v="0"/>
    <x v="0"/>
    <s v="DK1_MedSmall"/>
    <x v="2"/>
    <s v="GNR_EH_HEAT"/>
    <x v="0"/>
    <x v="9"/>
    <n v="12.5"/>
    <n v="4562.5"/>
    <n v="16425"/>
  </r>
  <r>
    <x v="0"/>
    <x v="0"/>
    <x v="0"/>
    <x v="0"/>
    <x v="0"/>
    <s v="DK1_MedSmall"/>
    <x v="2"/>
    <s v="GNR_EH_HEAT"/>
    <x v="0"/>
    <x v="10"/>
    <n v="12.5"/>
    <n v="4562.5"/>
    <n v="16425"/>
  </r>
  <r>
    <x v="0"/>
    <x v="0"/>
    <x v="0"/>
    <x v="0"/>
    <x v="0"/>
    <s v="DK1_MedSmall"/>
    <x v="2"/>
    <s v="GNR_EH_HEAT"/>
    <x v="0"/>
    <x v="11"/>
    <n v="12.5"/>
    <n v="4562.5"/>
    <n v="16425"/>
  </r>
  <r>
    <x v="0"/>
    <x v="0"/>
    <x v="0"/>
    <x v="0"/>
    <x v="0"/>
    <s v="DK1_MedSmall"/>
    <x v="2"/>
    <s v="GNR_EH_HEAT"/>
    <x v="0"/>
    <x v="12"/>
    <n v="12.5"/>
    <n v="4562.5"/>
    <n v="16425"/>
  </r>
  <r>
    <x v="0"/>
    <x v="0"/>
    <x v="0"/>
    <x v="0"/>
    <x v="0"/>
    <s v="DK1_MedSmall"/>
    <x v="2"/>
    <s v="GNR_EH_HEAT"/>
    <x v="0"/>
    <x v="13"/>
    <n v="12.5"/>
    <n v="4562.5"/>
    <n v="16425"/>
  </r>
  <r>
    <x v="0"/>
    <x v="0"/>
    <x v="0"/>
    <x v="0"/>
    <x v="0"/>
    <s v="DK1_MedSmall"/>
    <x v="2"/>
    <s v="GNR_EH_HEAT"/>
    <x v="0"/>
    <x v="14"/>
    <n v="12.5"/>
    <n v="4562.5"/>
    <n v="16425"/>
  </r>
  <r>
    <x v="0"/>
    <x v="0"/>
    <x v="0"/>
    <x v="0"/>
    <x v="0"/>
    <s v="DK1_MedSmall"/>
    <x v="2"/>
    <s v="GNR_EH_HEAT"/>
    <x v="0"/>
    <x v="15"/>
    <n v="12.5"/>
    <n v="4562.5"/>
    <n v="16425"/>
  </r>
  <r>
    <x v="0"/>
    <x v="0"/>
    <x v="0"/>
    <x v="0"/>
    <x v="0"/>
    <s v="DK1_MedSmall"/>
    <x v="2"/>
    <s v="GNR_EH_HEAT"/>
    <x v="0"/>
    <x v="16"/>
    <n v="12.5"/>
    <n v="4562.5"/>
    <n v="16425"/>
  </r>
  <r>
    <x v="0"/>
    <x v="0"/>
    <x v="0"/>
    <x v="0"/>
    <x v="0"/>
    <s v="DK1_MedSmall"/>
    <x v="2"/>
    <s v="GNR_EH_HEAT"/>
    <x v="0"/>
    <x v="17"/>
    <n v="12.5"/>
    <n v="4562.5"/>
    <n v="16425"/>
  </r>
  <r>
    <x v="0"/>
    <x v="0"/>
    <x v="0"/>
    <x v="0"/>
    <x v="0"/>
    <s v="DK1_MedSmall"/>
    <x v="2"/>
    <s v="GNR_EH_HEAT"/>
    <x v="0"/>
    <x v="18"/>
    <n v="12.5"/>
    <n v="4562.5"/>
    <n v="16425"/>
  </r>
  <r>
    <x v="0"/>
    <x v="0"/>
    <x v="0"/>
    <x v="0"/>
    <x v="0"/>
    <s v="DK1_MedSmall"/>
    <x v="2"/>
    <s v="GNR_EH_HEAT"/>
    <x v="0"/>
    <x v="19"/>
    <n v="12.5"/>
    <n v="4562.5"/>
    <n v="16425"/>
  </r>
  <r>
    <x v="0"/>
    <x v="0"/>
    <x v="0"/>
    <x v="0"/>
    <x v="0"/>
    <s v="DK1_MedSmall"/>
    <x v="2"/>
    <s v="GNR_EH_HEAT"/>
    <x v="0"/>
    <x v="20"/>
    <n v="12.5"/>
    <n v="4562.5"/>
    <n v="16425"/>
  </r>
  <r>
    <x v="0"/>
    <x v="0"/>
    <x v="0"/>
    <x v="0"/>
    <x v="0"/>
    <s v="DK1_MedSmall"/>
    <x v="2"/>
    <s v="GNR_EH_HEAT"/>
    <x v="0"/>
    <x v="21"/>
    <n v="12.5"/>
    <n v="4562.5"/>
    <n v="16425"/>
  </r>
  <r>
    <x v="0"/>
    <x v="0"/>
    <x v="0"/>
    <x v="0"/>
    <x v="0"/>
    <s v="DK1_MedSmall"/>
    <x v="2"/>
    <s v="GNR_EH_HEAT"/>
    <x v="0"/>
    <x v="22"/>
    <n v="12.5"/>
    <n v="4562.5"/>
    <n v="16425"/>
  </r>
  <r>
    <x v="0"/>
    <x v="0"/>
    <x v="0"/>
    <x v="0"/>
    <x v="0"/>
    <s v="DK1_MedSmall"/>
    <x v="2"/>
    <s v="GNR_EH_HEAT"/>
    <x v="0"/>
    <x v="23"/>
    <n v="12.5"/>
    <n v="4562.5"/>
    <n v="16425"/>
  </r>
  <r>
    <x v="0"/>
    <x v="0"/>
    <x v="0"/>
    <x v="0"/>
    <x v="0"/>
    <s v="DK1_MedSmall"/>
    <x v="2"/>
    <s v="GNR_GEO_HEAT_HO"/>
    <x v="0"/>
    <x v="0"/>
    <n v="8.3000000000000007"/>
    <n v="3029.5"/>
    <n v="10906.2"/>
  </r>
  <r>
    <x v="0"/>
    <x v="0"/>
    <x v="0"/>
    <x v="0"/>
    <x v="0"/>
    <s v="DK1_MedSmall"/>
    <x v="2"/>
    <s v="GNR_GEO_HEAT_HO"/>
    <x v="0"/>
    <x v="1"/>
    <n v="8.3000000000000007"/>
    <n v="3029.5"/>
    <n v="10906.2"/>
  </r>
  <r>
    <x v="0"/>
    <x v="0"/>
    <x v="0"/>
    <x v="0"/>
    <x v="0"/>
    <s v="DK1_MedSmall"/>
    <x v="2"/>
    <s v="GNR_GEO_HEAT_HO"/>
    <x v="0"/>
    <x v="2"/>
    <n v="8.3000000000000007"/>
    <n v="3029.5"/>
    <n v="10906.2"/>
  </r>
  <r>
    <x v="0"/>
    <x v="0"/>
    <x v="0"/>
    <x v="0"/>
    <x v="0"/>
    <s v="DK1_MedSmall"/>
    <x v="2"/>
    <s v="GNR_GEO_HEAT_HO"/>
    <x v="0"/>
    <x v="3"/>
    <n v="8.3000000000000007"/>
    <n v="3029.5"/>
    <n v="10906.2"/>
  </r>
  <r>
    <x v="0"/>
    <x v="0"/>
    <x v="0"/>
    <x v="0"/>
    <x v="0"/>
    <s v="DK1_MedSmall"/>
    <x v="2"/>
    <s v="GNR_GEO_HEAT_HO"/>
    <x v="0"/>
    <x v="4"/>
    <n v="8.3000000000000007"/>
    <n v="3029.5"/>
    <n v="10906.2"/>
  </r>
  <r>
    <x v="0"/>
    <x v="0"/>
    <x v="0"/>
    <x v="0"/>
    <x v="0"/>
    <s v="DK1_MedSmall"/>
    <x v="2"/>
    <s v="GNR_GEO_HEAT_HO"/>
    <x v="0"/>
    <x v="5"/>
    <n v="8.3000000000000007"/>
    <n v="3029.5"/>
    <n v="10906.2"/>
  </r>
  <r>
    <x v="0"/>
    <x v="0"/>
    <x v="0"/>
    <x v="0"/>
    <x v="0"/>
    <s v="DK1_MedSmall"/>
    <x v="2"/>
    <s v="GNR_GEO_HEAT_HO"/>
    <x v="0"/>
    <x v="6"/>
    <n v="8.3000000000000007"/>
    <n v="3029.5"/>
    <n v="10906.2"/>
  </r>
  <r>
    <x v="0"/>
    <x v="0"/>
    <x v="0"/>
    <x v="0"/>
    <x v="0"/>
    <s v="DK1_MedSmall"/>
    <x v="2"/>
    <s v="GNR_GEO_HEAT_HO"/>
    <x v="0"/>
    <x v="7"/>
    <n v="8.3000000000000007"/>
    <n v="3029.5"/>
    <n v="10906.2"/>
  </r>
  <r>
    <x v="0"/>
    <x v="0"/>
    <x v="0"/>
    <x v="0"/>
    <x v="0"/>
    <s v="DK1_MedSmall"/>
    <x v="2"/>
    <s v="GNR_GEO_HEAT_HO"/>
    <x v="0"/>
    <x v="8"/>
    <n v="8.3000000000000007"/>
    <n v="3029.5"/>
    <n v="10906.2"/>
  </r>
  <r>
    <x v="0"/>
    <x v="0"/>
    <x v="0"/>
    <x v="0"/>
    <x v="0"/>
    <s v="DK1_MedSmall"/>
    <x v="2"/>
    <s v="GNR_GEO_HEAT_HO"/>
    <x v="0"/>
    <x v="9"/>
    <n v="8.3000000000000007"/>
    <n v="3029.5"/>
    <n v="10906.2"/>
  </r>
  <r>
    <x v="0"/>
    <x v="0"/>
    <x v="0"/>
    <x v="0"/>
    <x v="0"/>
    <s v="DK1_MedSmall"/>
    <x v="2"/>
    <s v="GNR_GEO_HEAT_HO"/>
    <x v="0"/>
    <x v="10"/>
    <n v="8.3000000000000007"/>
    <n v="3029.5"/>
    <n v="10906.2"/>
  </r>
  <r>
    <x v="0"/>
    <x v="0"/>
    <x v="0"/>
    <x v="0"/>
    <x v="0"/>
    <s v="DK1_MedSmall"/>
    <x v="2"/>
    <s v="GNR_GEO_HEAT_HO"/>
    <x v="0"/>
    <x v="11"/>
    <n v="8.3000000000000007"/>
    <n v="3029.5"/>
    <n v="10906.2"/>
  </r>
  <r>
    <x v="0"/>
    <x v="0"/>
    <x v="0"/>
    <x v="0"/>
    <x v="0"/>
    <s v="DK1_MedSmall"/>
    <x v="2"/>
    <s v="GNR_GEO_HEAT_HO"/>
    <x v="0"/>
    <x v="12"/>
    <n v="8.3000000000000007"/>
    <n v="3029.5"/>
    <n v="10906.2"/>
  </r>
  <r>
    <x v="0"/>
    <x v="0"/>
    <x v="0"/>
    <x v="0"/>
    <x v="0"/>
    <s v="DK1_MedSmall"/>
    <x v="2"/>
    <s v="GNR_GEO_HEAT_HO"/>
    <x v="0"/>
    <x v="13"/>
    <n v="8.3000000000000007"/>
    <n v="3029.5"/>
    <n v="10906.2"/>
  </r>
  <r>
    <x v="0"/>
    <x v="0"/>
    <x v="0"/>
    <x v="0"/>
    <x v="0"/>
    <s v="DK1_MedSmall"/>
    <x v="2"/>
    <s v="GNR_GEO_HEAT_HO"/>
    <x v="0"/>
    <x v="14"/>
    <n v="8.3000000000000007"/>
    <n v="3029.5"/>
    <n v="10906.2"/>
  </r>
  <r>
    <x v="0"/>
    <x v="0"/>
    <x v="0"/>
    <x v="0"/>
    <x v="0"/>
    <s v="DK1_MedSmall"/>
    <x v="2"/>
    <s v="GNR_GEO_HEAT_HO"/>
    <x v="0"/>
    <x v="15"/>
    <n v="8.3000000000000007"/>
    <n v="3029.5"/>
    <n v="10906.2"/>
  </r>
  <r>
    <x v="0"/>
    <x v="0"/>
    <x v="0"/>
    <x v="0"/>
    <x v="0"/>
    <s v="DK1_MedSmall"/>
    <x v="2"/>
    <s v="GNR_GEO_HEAT_HO"/>
    <x v="0"/>
    <x v="16"/>
    <n v="8.3000000000000007"/>
    <n v="3029.5"/>
    <n v="10906.2"/>
  </r>
  <r>
    <x v="0"/>
    <x v="0"/>
    <x v="0"/>
    <x v="0"/>
    <x v="0"/>
    <s v="DK1_MedSmall"/>
    <x v="2"/>
    <s v="GNR_GEO_HEAT_HO"/>
    <x v="0"/>
    <x v="17"/>
    <n v="8.3000000000000007"/>
    <n v="3029.5"/>
    <n v="10906.2"/>
  </r>
  <r>
    <x v="0"/>
    <x v="0"/>
    <x v="0"/>
    <x v="0"/>
    <x v="0"/>
    <s v="DK1_MedSmall"/>
    <x v="2"/>
    <s v="GNR_GEO_HEAT_HO"/>
    <x v="0"/>
    <x v="18"/>
    <n v="8.3000000000000007"/>
    <n v="3029.5"/>
    <n v="10906.2"/>
  </r>
  <r>
    <x v="0"/>
    <x v="0"/>
    <x v="0"/>
    <x v="0"/>
    <x v="0"/>
    <s v="DK1_MedSmall"/>
    <x v="2"/>
    <s v="GNR_GEO_HEAT_HO"/>
    <x v="0"/>
    <x v="19"/>
    <n v="8.3000000000000007"/>
    <n v="3029.5"/>
    <n v="10906.2"/>
  </r>
  <r>
    <x v="0"/>
    <x v="0"/>
    <x v="0"/>
    <x v="0"/>
    <x v="0"/>
    <s v="DK1_MedSmall"/>
    <x v="2"/>
    <s v="GNR_GEO_HEAT_HO"/>
    <x v="0"/>
    <x v="20"/>
    <n v="8.3000000000000007"/>
    <n v="3029.5"/>
    <n v="10906.2"/>
  </r>
  <r>
    <x v="0"/>
    <x v="0"/>
    <x v="0"/>
    <x v="0"/>
    <x v="0"/>
    <s v="DK1_MedSmall"/>
    <x v="2"/>
    <s v="GNR_GEO_HEAT_HO"/>
    <x v="0"/>
    <x v="21"/>
    <n v="8.3000000000000007"/>
    <n v="3029.5"/>
    <n v="10906.2"/>
  </r>
  <r>
    <x v="0"/>
    <x v="0"/>
    <x v="0"/>
    <x v="0"/>
    <x v="0"/>
    <s v="DK1_MedSmall"/>
    <x v="2"/>
    <s v="GNR_GEO_HEAT_HO"/>
    <x v="0"/>
    <x v="22"/>
    <n v="8.3000000000000007"/>
    <n v="3029.5"/>
    <n v="10906.2"/>
  </r>
  <r>
    <x v="0"/>
    <x v="0"/>
    <x v="0"/>
    <x v="0"/>
    <x v="0"/>
    <s v="DK1_MedSmall"/>
    <x v="2"/>
    <s v="GNR_GEO_HEAT_HO"/>
    <x v="0"/>
    <x v="23"/>
    <n v="8.3000000000000007"/>
    <n v="3029.5"/>
    <n v="10906.2"/>
  </r>
  <r>
    <x v="0"/>
    <x v="0"/>
    <x v="0"/>
    <x v="0"/>
    <x v="0"/>
    <s v="DK1_MedSmall"/>
    <x v="5"/>
    <s v="GNR_BO_WOODCHI_E-100"/>
    <x v="0"/>
    <x v="0"/>
    <n v="2.1"/>
    <n v="766.5"/>
    <n v="2759.4"/>
  </r>
  <r>
    <x v="0"/>
    <x v="0"/>
    <x v="0"/>
    <x v="0"/>
    <x v="0"/>
    <s v="DK1_MedSmall"/>
    <x v="5"/>
    <s v="GNR_BO_WOODCHI_E-100"/>
    <x v="0"/>
    <x v="1"/>
    <n v="2.1"/>
    <n v="766.5"/>
    <n v="2759.4"/>
  </r>
  <r>
    <x v="0"/>
    <x v="0"/>
    <x v="0"/>
    <x v="0"/>
    <x v="0"/>
    <s v="DK1_MedSmall"/>
    <x v="5"/>
    <s v="GNR_BO_WOODCHI_E-100"/>
    <x v="0"/>
    <x v="2"/>
    <n v="2.1"/>
    <n v="766.5"/>
    <n v="2759.4"/>
  </r>
  <r>
    <x v="0"/>
    <x v="0"/>
    <x v="0"/>
    <x v="0"/>
    <x v="0"/>
    <s v="DK1_MedSmall"/>
    <x v="5"/>
    <s v="GNR_BO_WOODCHI_E-100"/>
    <x v="0"/>
    <x v="3"/>
    <n v="2.1"/>
    <n v="766.5"/>
    <n v="2759.4"/>
  </r>
  <r>
    <x v="0"/>
    <x v="0"/>
    <x v="0"/>
    <x v="0"/>
    <x v="0"/>
    <s v="DK1_MedSmall"/>
    <x v="5"/>
    <s v="GNR_BO_WOODCHI_E-100"/>
    <x v="0"/>
    <x v="4"/>
    <n v="2.1"/>
    <n v="766.5"/>
    <n v="2759.4"/>
  </r>
  <r>
    <x v="0"/>
    <x v="0"/>
    <x v="0"/>
    <x v="0"/>
    <x v="0"/>
    <s v="DK1_MedSmall"/>
    <x v="5"/>
    <s v="GNR_BO_WOODCHI_E-100"/>
    <x v="0"/>
    <x v="5"/>
    <n v="2.1"/>
    <n v="766.5"/>
    <n v="2759.4"/>
  </r>
  <r>
    <x v="0"/>
    <x v="0"/>
    <x v="0"/>
    <x v="0"/>
    <x v="0"/>
    <s v="DK1_MedSmall"/>
    <x v="5"/>
    <s v="GNR_BO_WOODCHI_E-100"/>
    <x v="0"/>
    <x v="6"/>
    <n v="2.1"/>
    <n v="766.5"/>
    <n v="2759.4"/>
  </r>
  <r>
    <x v="0"/>
    <x v="0"/>
    <x v="0"/>
    <x v="0"/>
    <x v="0"/>
    <s v="DK1_MedSmall"/>
    <x v="5"/>
    <s v="GNR_BO_WOODCHI_E-100"/>
    <x v="0"/>
    <x v="7"/>
    <n v="2.1"/>
    <n v="766.5"/>
    <n v="2759.4"/>
  </r>
  <r>
    <x v="0"/>
    <x v="0"/>
    <x v="0"/>
    <x v="0"/>
    <x v="0"/>
    <s v="DK1_MedSmall"/>
    <x v="5"/>
    <s v="GNR_BO_WOODCHI_E-100"/>
    <x v="0"/>
    <x v="8"/>
    <n v="2.1"/>
    <n v="766.5"/>
    <n v="2759.4"/>
  </r>
  <r>
    <x v="0"/>
    <x v="0"/>
    <x v="0"/>
    <x v="0"/>
    <x v="0"/>
    <s v="DK1_MedSmall"/>
    <x v="5"/>
    <s v="GNR_BO_WOODCHI_E-100"/>
    <x v="0"/>
    <x v="9"/>
    <n v="2.1"/>
    <n v="766.5"/>
    <n v="2759.4"/>
  </r>
  <r>
    <x v="0"/>
    <x v="0"/>
    <x v="0"/>
    <x v="0"/>
    <x v="0"/>
    <s v="DK1_MedSmall"/>
    <x v="5"/>
    <s v="GNR_BO_WOODCHI_E-100"/>
    <x v="0"/>
    <x v="10"/>
    <n v="2.1"/>
    <n v="766.5"/>
    <n v="2759.4"/>
  </r>
  <r>
    <x v="0"/>
    <x v="0"/>
    <x v="0"/>
    <x v="0"/>
    <x v="0"/>
    <s v="DK1_MedSmall"/>
    <x v="5"/>
    <s v="GNR_BO_WOODCHI_E-100"/>
    <x v="0"/>
    <x v="11"/>
    <n v="2.1"/>
    <n v="766.5"/>
    <n v="2759.4"/>
  </r>
  <r>
    <x v="0"/>
    <x v="0"/>
    <x v="0"/>
    <x v="0"/>
    <x v="0"/>
    <s v="DK1_MedSmall"/>
    <x v="5"/>
    <s v="GNR_BO_WOODCHI_E-100"/>
    <x v="0"/>
    <x v="12"/>
    <n v="2.1"/>
    <n v="766.5"/>
    <n v="2759.4"/>
  </r>
  <r>
    <x v="0"/>
    <x v="0"/>
    <x v="0"/>
    <x v="0"/>
    <x v="0"/>
    <s v="DK1_MedSmall"/>
    <x v="5"/>
    <s v="GNR_BO_WOODCHI_E-100"/>
    <x v="0"/>
    <x v="13"/>
    <n v="2.1"/>
    <n v="766.5"/>
    <n v="2759.4"/>
  </r>
  <r>
    <x v="0"/>
    <x v="0"/>
    <x v="0"/>
    <x v="0"/>
    <x v="0"/>
    <s v="DK1_MedSmall"/>
    <x v="5"/>
    <s v="GNR_BO_WOODCHI_E-100"/>
    <x v="0"/>
    <x v="14"/>
    <n v="2.1"/>
    <n v="766.5"/>
    <n v="2759.4"/>
  </r>
  <r>
    <x v="0"/>
    <x v="0"/>
    <x v="0"/>
    <x v="0"/>
    <x v="0"/>
    <s v="DK1_MedSmall"/>
    <x v="5"/>
    <s v="GNR_BO_WOODCHI_E-100"/>
    <x v="0"/>
    <x v="15"/>
    <n v="2.1"/>
    <n v="766.5"/>
    <n v="2759.4"/>
  </r>
  <r>
    <x v="0"/>
    <x v="0"/>
    <x v="0"/>
    <x v="0"/>
    <x v="0"/>
    <s v="DK1_MedSmall"/>
    <x v="5"/>
    <s v="GNR_BO_WOODCHI_E-100"/>
    <x v="0"/>
    <x v="16"/>
    <n v="2.1"/>
    <n v="766.5"/>
    <n v="2759.4"/>
  </r>
  <r>
    <x v="0"/>
    <x v="0"/>
    <x v="0"/>
    <x v="0"/>
    <x v="0"/>
    <s v="DK1_MedSmall"/>
    <x v="5"/>
    <s v="GNR_BO_WOODCHI_E-100"/>
    <x v="0"/>
    <x v="17"/>
    <n v="2.1"/>
    <n v="766.5"/>
    <n v="2759.4"/>
  </r>
  <r>
    <x v="0"/>
    <x v="0"/>
    <x v="0"/>
    <x v="0"/>
    <x v="0"/>
    <s v="DK1_MedSmall"/>
    <x v="5"/>
    <s v="GNR_BO_WOODCHI_E-100"/>
    <x v="0"/>
    <x v="18"/>
    <n v="2.1"/>
    <n v="766.5"/>
    <n v="2759.4"/>
  </r>
  <r>
    <x v="0"/>
    <x v="0"/>
    <x v="0"/>
    <x v="0"/>
    <x v="0"/>
    <s v="DK1_MedSmall"/>
    <x v="5"/>
    <s v="GNR_BO_WOODCHI_E-100"/>
    <x v="0"/>
    <x v="19"/>
    <n v="2.1"/>
    <n v="766.5"/>
    <n v="2759.4"/>
  </r>
  <r>
    <x v="0"/>
    <x v="0"/>
    <x v="0"/>
    <x v="0"/>
    <x v="0"/>
    <s v="DK1_MedSmall"/>
    <x v="5"/>
    <s v="GNR_BO_WOODCHI_E-100"/>
    <x v="0"/>
    <x v="20"/>
    <n v="2.1"/>
    <n v="766.5"/>
    <n v="2759.4"/>
  </r>
  <r>
    <x v="0"/>
    <x v="0"/>
    <x v="0"/>
    <x v="0"/>
    <x v="0"/>
    <s v="DK1_MedSmall"/>
    <x v="5"/>
    <s v="GNR_BO_WOODCHI_E-100"/>
    <x v="0"/>
    <x v="21"/>
    <n v="2.1"/>
    <n v="766.5"/>
    <n v="2759.4"/>
  </r>
  <r>
    <x v="0"/>
    <x v="0"/>
    <x v="0"/>
    <x v="0"/>
    <x v="0"/>
    <s v="DK1_MedSmall"/>
    <x v="5"/>
    <s v="GNR_BO_WOODCHI_E-100"/>
    <x v="0"/>
    <x v="22"/>
    <n v="2.1"/>
    <n v="766.5"/>
    <n v="2759.4"/>
  </r>
  <r>
    <x v="0"/>
    <x v="0"/>
    <x v="0"/>
    <x v="0"/>
    <x v="0"/>
    <s v="DK1_MedSmall"/>
    <x v="5"/>
    <s v="GNR_BO_WOODCHI_E-100"/>
    <x v="0"/>
    <x v="23"/>
    <n v="2.1"/>
    <n v="766.5"/>
    <n v="2759.4"/>
  </r>
  <r>
    <x v="0"/>
    <x v="0"/>
    <x v="0"/>
    <x v="0"/>
    <x v="0"/>
    <s v="DK1_MedSmall"/>
    <x v="5"/>
    <s v="GNR_BO_WOODCHI_E-110"/>
    <x v="0"/>
    <x v="0"/>
    <n v="15.454545454545499"/>
    <n v="5640.9090909090901"/>
    <n v="20307.272727272699"/>
  </r>
  <r>
    <x v="0"/>
    <x v="0"/>
    <x v="0"/>
    <x v="0"/>
    <x v="0"/>
    <s v="DK1_MedSmall"/>
    <x v="5"/>
    <s v="GNR_BO_WOODCHI_E-110"/>
    <x v="0"/>
    <x v="1"/>
    <n v="15.454545454545499"/>
    <n v="5640.9090909090901"/>
    <n v="20307.272727272699"/>
  </r>
  <r>
    <x v="0"/>
    <x v="0"/>
    <x v="0"/>
    <x v="0"/>
    <x v="0"/>
    <s v="DK1_MedSmall"/>
    <x v="5"/>
    <s v="GNR_BO_WOODCHI_E-110"/>
    <x v="0"/>
    <x v="2"/>
    <n v="15.454545454545499"/>
    <n v="5640.9090909090901"/>
    <n v="20307.272727272699"/>
  </r>
  <r>
    <x v="0"/>
    <x v="0"/>
    <x v="0"/>
    <x v="0"/>
    <x v="0"/>
    <s v="DK1_MedSmall"/>
    <x v="5"/>
    <s v="GNR_BO_WOODCHI_E-110"/>
    <x v="0"/>
    <x v="3"/>
    <n v="15.454545454545499"/>
    <n v="5640.9090909090901"/>
    <n v="20307.272727272699"/>
  </r>
  <r>
    <x v="0"/>
    <x v="0"/>
    <x v="0"/>
    <x v="0"/>
    <x v="0"/>
    <s v="DK1_MedSmall"/>
    <x v="5"/>
    <s v="GNR_BO_WOODCHI_E-110"/>
    <x v="0"/>
    <x v="4"/>
    <n v="15.454545454545499"/>
    <n v="5640.9090909090901"/>
    <n v="20307.272727272699"/>
  </r>
  <r>
    <x v="0"/>
    <x v="0"/>
    <x v="0"/>
    <x v="0"/>
    <x v="0"/>
    <s v="DK1_MedSmall"/>
    <x v="5"/>
    <s v="GNR_BO_WOODCHI_E-110"/>
    <x v="0"/>
    <x v="5"/>
    <n v="15.454545454545499"/>
    <n v="5640.9090909090901"/>
    <n v="20307.272727272699"/>
  </r>
  <r>
    <x v="0"/>
    <x v="0"/>
    <x v="0"/>
    <x v="0"/>
    <x v="0"/>
    <s v="DK1_MedSmall"/>
    <x v="5"/>
    <s v="GNR_BO_WOODCHI_E-110"/>
    <x v="0"/>
    <x v="6"/>
    <n v="15.454545454545499"/>
    <n v="5640.9090909090901"/>
    <n v="20307.272727272699"/>
  </r>
  <r>
    <x v="0"/>
    <x v="0"/>
    <x v="0"/>
    <x v="0"/>
    <x v="0"/>
    <s v="DK1_MedSmall"/>
    <x v="5"/>
    <s v="GNR_BO_WOODCHI_E-110"/>
    <x v="0"/>
    <x v="7"/>
    <n v="15.454545454545499"/>
    <n v="5640.9090909090901"/>
    <n v="20307.272727272699"/>
  </r>
  <r>
    <x v="0"/>
    <x v="0"/>
    <x v="0"/>
    <x v="0"/>
    <x v="0"/>
    <s v="DK1_MedSmall"/>
    <x v="5"/>
    <s v="GNR_BO_WOODCHI_E-110"/>
    <x v="0"/>
    <x v="8"/>
    <n v="15.454545454545499"/>
    <n v="5640.9090909090901"/>
    <n v="20307.272727272699"/>
  </r>
  <r>
    <x v="0"/>
    <x v="0"/>
    <x v="0"/>
    <x v="0"/>
    <x v="0"/>
    <s v="DK1_MedSmall"/>
    <x v="5"/>
    <s v="GNR_BO_WOODCHI_E-110"/>
    <x v="0"/>
    <x v="9"/>
    <n v="15.454545454545499"/>
    <n v="5640.9090909090901"/>
    <n v="20307.272727272699"/>
  </r>
  <r>
    <x v="0"/>
    <x v="0"/>
    <x v="0"/>
    <x v="0"/>
    <x v="0"/>
    <s v="DK1_MedSmall"/>
    <x v="5"/>
    <s v="GNR_BO_WOODCHI_E-110"/>
    <x v="0"/>
    <x v="10"/>
    <n v="15.454545454545499"/>
    <n v="5640.9090909090901"/>
    <n v="20307.272727272699"/>
  </r>
  <r>
    <x v="0"/>
    <x v="0"/>
    <x v="0"/>
    <x v="0"/>
    <x v="0"/>
    <s v="DK1_MedSmall"/>
    <x v="5"/>
    <s v="GNR_BO_WOODCHI_E-110"/>
    <x v="0"/>
    <x v="11"/>
    <n v="15.454545454545499"/>
    <n v="5640.9090909090901"/>
    <n v="20307.272727272699"/>
  </r>
  <r>
    <x v="0"/>
    <x v="0"/>
    <x v="0"/>
    <x v="0"/>
    <x v="0"/>
    <s v="DK1_MedSmall"/>
    <x v="5"/>
    <s v="GNR_BO_WOODCHI_E-110"/>
    <x v="0"/>
    <x v="12"/>
    <n v="15.454545454545499"/>
    <n v="5640.9090909090901"/>
    <n v="20307.272727272699"/>
  </r>
  <r>
    <x v="0"/>
    <x v="0"/>
    <x v="0"/>
    <x v="0"/>
    <x v="0"/>
    <s v="DK1_MedSmall"/>
    <x v="5"/>
    <s v="GNR_BO_WOODCHI_E-110"/>
    <x v="0"/>
    <x v="13"/>
    <n v="15.454545454545499"/>
    <n v="5640.9090909090901"/>
    <n v="20307.272727272699"/>
  </r>
  <r>
    <x v="0"/>
    <x v="0"/>
    <x v="0"/>
    <x v="0"/>
    <x v="0"/>
    <s v="DK1_MedSmall"/>
    <x v="5"/>
    <s v="GNR_BO_WOODCHI_E-110"/>
    <x v="0"/>
    <x v="14"/>
    <n v="15.454545454545499"/>
    <n v="5640.9090909090901"/>
    <n v="20307.272727272699"/>
  </r>
  <r>
    <x v="0"/>
    <x v="0"/>
    <x v="0"/>
    <x v="0"/>
    <x v="0"/>
    <s v="DK1_MedSmall"/>
    <x v="5"/>
    <s v="GNR_BO_WOODCHI_E-110"/>
    <x v="0"/>
    <x v="15"/>
    <n v="15.454545454545499"/>
    <n v="5640.9090909090901"/>
    <n v="20307.272727272699"/>
  </r>
  <r>
    <x v="0"/>
    <x v="0"/>
    <x v="0"/>
    <x v="0"/>
    <x v="0"/>
    <s v="DK1_MedSmall"/>
    <x v="5"/>
    <s v="GNR_BO_WOODCHI_E-110"/>
    <x v="0"/>
    <x v="16"/>
    <n v="15.454545454545499"/>
    <n v="5640.9090909090901"/>
    <n v="20307.272727272699"/>
  </r>
  <r>
    <x v="0"/>
    <x v="0"/>
    <x v="0"/>
    <x v="0"/>
    <x v="0"/>
    <s v="DK1_MedSmall"/>
    <x v="5"/>
    <s v="GNR_BO_WOODCHI_E-110"/>
    <x v="0"/>
    <x v="17"/>
    <n v="15.454545454545499"/>
    <n v="5640.9090909090901"/>
    <n v="20307.272727272699"/>
  </r>
  <r>
    <x v="0"/>
    <x v="0"/>
    <x v="0"/>
    <x v="0"/>
    <x v="0"/>
    <s v="DK1_MedSmall"/>
    <x v="5"/>
    <s v="GNR_BO_WOODCHI_E-110"/>
    <x v="0"/>
    <x v="18"/>
    <n v="15.454545454545499"/>
    <n v="5640.9090909090901"/>
    <n v="20307.272727272699"/>
  </r>
  <r>
    <x v="0"/>
    <x v="0"/>
    <x v="0"/>
    <x v="0"/>
    <x v="0"/>
    <s v="DK1_MedSmall"/>
    <x v="5"/>
    <s v="GNR_BO_WOODCHI_E-110"/>
    <x v="0"/>
    <x v="19"/>
    <n v="15.454545454545499"/>
    <n v="5640.9090909090901"/>
    <n v="20307.272727272699"/>
  </r>
  <r>
    <x v="0"/>
    <x v="0"/>
    <x v="0"/>
    <x v="0"/>
    <x v="0"/>
    <s v="DK1_MedSmall"/>
    <x v="5"/>
    <s v="GNR_BO_WOODCHI_E-110"/>
    <x v="0"/>
    <x v="20"/>
    <n v="15.454545454545499"/>
    <n v="5640.9090909090901"/>
    <n v="20307.272727272699"/>
  </r>
  <r>
    <x v="0"/>
    <x v="0"/>
    <x v="0"/>
    <x v="0"/>
    <x v="0"/>
    <s v="DK1_MedSmall"/>
    <x v="5"/>
    <s v="GNR_BO_WOODCHI_E-110"/>
    <x v="0"/>
    <x v="21"/>
    <n v="15.454545454545499"/>
    <n v="5640.9090909090901"/>
    <n v="20307.272727272699"/>
  </r>
  <r>
    <x v="0"/>
    <x v="0"/>
    <x v="0"/>
    <x v="0"/>
    <x v="0"/>
    <s v="DK1_MedSmall"/>
    <x v="5"/>
    <s v="GNR_BO_WOODCHI_E-110"/>
    <x v="0"/>
    <x v="22"/>
    <n v="15.454545454545499"/>
    <n v="5640.9090909090901"/>
    <n v="20307.272727272699"/>
  </r>
  <r>
    <x v="0"/>
    <x v="0"/>
    <x v="0"/>
    <x v="0"/>
    <x v="0"/>
    <s v="DK1_MedSmall"/>
    <x v="5"/>
    <s v="GNR_BO_WOODCHI_E-110"/>
    <x v="0"/>
    <x v="23"/>
    <n v="15.454545454545499"/>
    <n v="5640.9090909090901"/>
    <n v="20307.272727272699"/>
  </r>
  <r>
    <x v="0"/>
    <x v="0"/>
    <x v="0"/>
    <x v="0"/>
    <x v="0"/>
    <s v="DK1_Medium"/>
    <x v="1"/>
    <s v="GNR_BO_MSW_E-105"/>
    <x v="0"/>
    <x v="0"/>
    <n v="6.6666666666666696"/>
    <n v="2433.3333333333298"/>
    <n v="8760"/>
  </r>
  <r>
    <x v="0"/>
    <x v="0"/>
    <x v="0"/>
    <x v="0"/>
    <x v="0"/>
    <s v="DK1_Medium"/>
    <x v="1"/>
    <s v="GNR_BO_MSW_E-105"/>
    <x v="0"/>
    <x v="1"/>
    <n v="6.6666666666666696"/>
    <n v="2433.3333333333298"/>
    <n v="8760"/>
  </r>
  <r>
    <x v="0"/>
    <x v="0"/>
    <x v="0"/>
    <x v="0"/>
    <x v="0"/>
    <s v="DK1_Medium"/>
    <x v="1"/>
    <s v="GNR_BO_MSW_E-105"/>
    <x v="0"/>
    <x v="2"/>
    <n v="6.6666666666666696"/>
    <n v="2433.3333333333298"/>
    <n v="8760"/>
  </r>
  <r>
    <x v="0"/>
    <x v="0"/>
    <x v="0"/>
    <x v="0"/>
    <x v="0"/>
    <s v="DK1_Medium"/>
    <x v="1"/>
    <s v="GNR_BO_MSW_E-105"/>
    <x v="0"/>
    <x v="3"/>
    <n v="6.6666666666666696"/>
    <n v="2433.3333333333298"/>
    <n v="8760"/>
  </r>
  <r>
    <x v="0"/>
    <x v="0"/>
    <x v="0"/>
    <x v="0"/>
    <x v="0"/>
    <s v="DK1_Medium"/>
    <x v="1"/>
    <s v="GNR_BO_MSW_E-105"/>
    <x v="0"/>
    <x v="4"/>
    <n v="6.6666666666666696"/>
    <n v="2433.3333333333298"/>
    <n v="8760"/>
  </r>
  <r>
    <x v="0"/>
    <x v="0"/>
    <x v="0"/>
    <x v="0"/>
    <x v="0"/>
    <s v="DK1_Medium"/>
    <x v="1"/>
    <s v="GNR_BO_MSW_E-105"/>
    <x v="0"/>
    <x v="5"/>
    <n v="6.6666666666666696"/>
    <n v="2433.3333333333298"/>
    <n v="8760"/>
  </r>
  <r>
    <x v="0"/>
    <x v="0"/>
    <x v="0"/>
    <x v="0"/>
    <x v="0"/>
    <s v="DK1_Medium"/>
    <x v="1"/>
    <s v="GNR_BO_MSW_E-105"/>
    <x v="0"/>
    <x v="6"/>
    <n v="6.6666666666666696"/>
    <n v="2433.3333333333298"/>
    <n v="8760"/>
  </r>
  <r>
    <x v="0"/>
    <x v="0"/>
    <x v="0"/>
    <x v="0"/>
    <x v="0"/>
    <s v="DK1_Medium"/>
    <x v="1"/>
    <s v="GNR_BO_MSW_E-105"/>
    <x v="0"/>
    <x v="7"/>
    <n v="6.6666666666666696"/>
    <n v="2433.3333333333298"/>
    <n v="8760"/>
  </r>
  <r>
    <x v="0"/>
    <x v="0"/>
    <x v="0"/>
    <x v="0"/>
    <x v="0"/>
    <s v="DK1_Medium"/>
    <x v="1"/>
    <s v="GNR_BO_MSW_E-105"/>
    <x v="0"/>
    <x v="8"/>
    <n v="6.6666666666666696"/>
    <n v="2433.3333333333298"/>
    <n v="8760"/>
  </r>
  <r>
    <x v="0"/>
    <x v="0"/>
    <x v="0"/>
    <x v="0"/>
    <x v="0"/>
    <s v="DK1_Medium"/>
    <x v="1"/>
    <s v="GNR_BO_MSW_E-105"/>
    <x v="0"/>
    <x v="9"/>
    <n v="6.6666666666666696"/>
    <n v="2433.3333333333298"/>
    <n v="8760"/>
  </r>
  <r>
    <x v="0"/>
    <x v="0"/>
    <x v="0"/>
    <x v="0"/>
    <x v="0"/>
    <s v="DK1_Medium"/>
    <x v="1"/>
    <s v="GNR_BO_MSW_E-105"/>
    <x v="0"/>
    <x v="10"/>
    <n v="6.6666666666666696"/>
    <n v="2433.3333333333298"/>
    <n v="8760"/>
  </r>
  <r>
    <x v="0"/>
    <x v="0"/>
    <x v="0"/>
    <x v="0"/>
    <x v="0"/>
    <s v="DK1_Medium"/>
    <x v="1"/>
    <s v="GNR_BO_MSW_E-105"/>
    <x v="0"/>
    <x v="11"/>
    <n v="6.6666666666666696"/>
    <n v="2433.3333333333298"/>
    <n v="8760"/>
  </r>
  <r>
    <x v="0"/>
    <x v="0"/>
    <x v="0"/>
    <x v="0"/>
    <x v="0"/>
    <s v="DK1_Medium"/>
    <x v="1"/>
    <s v="GNR_BO_MSW_E-105"/>
    <x v="0"/>
    <x v="12"/>
    <n v="6.6666666666666696"/>
    <n v="2433.3333333333298"/>
    <n v="8760"/>
  </r>
  <r>
    <x v="0"/>
    <x v="0"/>
    <x v="0"/>
    <x v="0"/>
    <x v="0"/>
    <s v="DK1_Medium"/>
    <x v="1"/>
    <s v="GNR_BO_MSW_E-105"/>
    <x v="0"/>
    <x v="13"/>
    <n v="6.6666666666666696"/>
    <n v="2433.3333333333298"/>
    <n v="8760"/>
  </r>
  <r>
    <x v="0"/>
    <x v="0"/>
    <x v="0"/>
    <x v="0"/>
    <x v="0"/>
    <s v="DK1_Medium"/>
    <x v="1"/>
    <s v="GNR_BO_MSW_E-105"/>
    <x v="0"/>
    <x v="14"/>
    <n v="6.6666666666666696"/>
    <n v="2433.3333333333298"/>
    <n v="8760"/>
  </r>
  <r>
    <x v="0"/>
    <x v="0"/>
    <x v="0"/>
    <x v="0"/>
    <x v="0"/>
    <s v="DK1_Medium"/>
    <x v="1"/>
    <s v="GNR_BO_MSW_E-105"/>
    <x v="0"/>
    <x v="15"/>
    <n v="6.6666666666666696"/>
    <n v="2433.3333333333298"/>
    <n v="8760"/>
  </r>
  <r>
    <x v="0"/>
    <x v="0"/>
    <x v="0"/>
    <x v="0"/>
    <x v="0"/>
    <s v="DK1_Medium"/>
    <x v="1"/>
    <s v="GNR_BO_MSW_E-105"/>
    <x v="0"/>
    <x v="16"/>
    <n v="6.6666666666666696"/>
    <n v="2433.3333333333298"/>
    <n v="8760"/>
  </r>
  <r>
    <x v="0"/>
    <x v="0"/>
    <x v="0"/>
    <x v="0"/>
    <x v="0"/>
    <s v="DK1_Medium"/>
    <x v="1"/>
    <s v="GNR_BO_MSW_E-105"/>
    <x v="0"/>
    <x v="17"/>
    <n v="6.6666666666666696"/>
    <n v="2433.3333333333298"/>
    <n v="8760"/>
  </r>
  <r>
    <x v="0"/>
    <x v="0"/>
    <x v="0"/>
    <x v="0"/>
    <x v="0"/>
    <s v="DK1_Medium"/>
    <x v="1"/>
    <s v="GNR_BO_MSW_E-105"/>
    <x v="0"/>
    <x v="18"/>
    <n v="6.6666666666666696"/>
    <n v="2433.3333333333298"/>
    <n v="8760"/>
  </r>
  <r>
    <x v="0"/>
    <x v="0"/>
    <x v="0"/>
    <x v="0"/>
    <x v="0"/>
    <s v="DK1_Medium"/>
    <x v="1"/>
    <s v="GNR_BO_MSW_E-105"/>
    <x v="0"/>
    <x v="19"/>
    <n v="6.6666666666666696"/>
    <n v="2433.3333333333298"/>
    <n v="8760"/>
  </r>
  <r>
    <x v="0"/>
    <x v="0"/>
    <x v="0"/>
    <x v="0"/>
    <x v="0"/>
    <s v="DK1_Medium"/>
    <x v="1"/>
    <s v="GNR_BO_MSW_E-105"/>
    <x v="0"/>
    <x v="20"/>
    <n v="6.6666666666666696"/>
    <n v="2433.3333333333298"/>
    <n v="8760"/>
  </r>
  <r>
    <x v="0"/>
    <x v="0"/>
    <x v="0"/>
    <x v="0"/>
    <x v="0"/>
    <s v="DK1_Medium"/>
    <x v="1"/>
    <s v="GNR_BO_MSW_E-105"/>
    <x v="0"/>
    <x v="21"/>
    <n v="6.6666666666666696"/>
    <n v="2433.3333333333298"/>
    <n v="8760"/>
  </r>
  <r>
    <x v="0"/>
    <x v="0"/>
    <x v="0"/>
    <x v="0"/>
    <x v="0"/>
    <s v="DK1_Medium"/>
    <x v="1"/>
    <s v="GNR_BO_MSW_E-105"/>
    <x v="0"/>
    <x v="22"/>
    <n v="6.6666666666666696"/>
    <n v="2433.3333333333298"/>
    <n v="8760"/>
  </r>
  <r>
    <x v="0"/>
    <x v="0"/>
    <x v="0"/>
    <x v="0"/>
    <x v="0"/>
    <s v="DK1_Medium"/>
    <x v="1"/>
    <s v="GNR_BO_MSW_E-105"/>
    <x v="0"/>
    <x v="23"/>
    <n v="6.6666666666666696"/>
    <n v="2433.3333333333298"/>
    <n v="8760"/>
  </r>
  <r>
    <x v="0"/>
    <x v="0"/>
    <x v="0"/>
    <x v="0"/>
    <x v="0"/>
    <s v="DK1_Medium"/>
    <x v="1"/>
    <s v="GNR_ST_MSW_BP_E-22"/>
    <x v="0"/>
    <x v="6"/>
    <n v="61.9625318253917"/>
    <n v="22616.324116267999"/>
    <n v="81418.766818564705"/>
  </r>
  <r>
    <x v="0"/>
    <x v="0"/>
    <x v="0"/>
    <x v="0"/>
    <x v="0"/>
    <s v="DK1_Medium"/>
    <x v="1"/>
    <s v="GNR_ST_MSW_BP_E-22"/>
    <x v="0"/>
    <x v="7"/>
    <n v="125.21100187485401"/>
    <n v="45702.015684321697"/>
    <n v="164527.25646355801"/>
  </r>
  <r>
    <x v="0"/>
    <x v="0"/>
    <x v="0"/>
    <x v="0"/>
    <x v="0"/>
    <s v="DK1_Medium"/>
    <x v="1"/>
    <s v="GNR_ST_MSW_BP_E-22"/>
    <x v="0"/>
    <x v="8"/>
    <n v="140.39063468672501"/>
    <n v="51242.5816606546"/>
    <n v="184473.29397835699"/>
  </r>
  <r>
    <x v="0"/>
    <x v="0"/>
    <x v="0"/>
    <x v="0"/>
    <x v="0"/>
    <s v="DK1_Medium"/>
    <x v="1"/>
    <s v="GNR_ST_MSW_BP_E-22"/>
    <x v="0"/>
    <x v="9"/>
    <n v="148.34187092151501"/>
    <n v="54144.782886352798"/>
    <n v="194921.21839087"/>
  </r>
  <r>
    <x v="0"/>
    <x v="0"/>
    <x v="0"/>
    <x v="0"/>
    <x v="0"/>
    <s v="DK1_Medium"/>
    <x v="1"/>
    <s v="GNR_ST_MSW_BP_E-22"/>
    <x v="0"/>
    <x v="10"/>
    <n v="146.17335194839001"/>
    <n v="53353.273461162396"/>
    <n v="192071.78446018501"/>
  </r>
  <r>
    <x v="0"/>
    <x v="0"/>
    <x v="0"/>
    <x v="0"/>
    <x v="0"/>
    <s v="DK1_Medium"/>
    <x v="1"/>
    <s v="GNR_ST_MSW_BP_E-22"/>
    <x v="0"/>
    <x v="11"/>
    <n v="146.534771777244"/>
    <n v="53485.1916986941"/>
    <n v="192546.69011529899"/>
  </r>
  <r>
    <x v="0"/>
    <x v="0"/>
    <x v="0"/>
    <x v="0"/>
    <x v="0"/>
    <s v="DK1_Medium"/>
    <x v="1"/>
    <s v="GNR_ST_MSW_BP_E-22"/>
    <x v="0"/>
    <x v="12"/>
    <n v="142.55915365984899"/>
    <n v="52034.091085845001"/>
    <n v="187322.72790904201"/>
  </r>
  <r>
    <x v="0"/>
    <x v="0"/>
    <x v="0"/>
    <x v="0"/>
    <x v="0"/>
    <s v="DK1_Medium"/>
    <x v="1"/>
    <s v="GNR_ST_MSW_BP_E-22"/>
    <x v="0"/>
    <x v="13"/>
    <n v="126.65668119027001"/>
    <n v="46229.688634448699"/>
    <n v="166426.879084015"/>
  </r>
  <r>
    <x v="0"/>
    <x v="0"/>
    <x v="0"/>
    <x v="0"/>
    <x v="0"/>
    <s v="DK1_Medium"/>
    <x v="1"/>
    <s v="GNR_ST_MSW_BP_E-22"/>
    <x v="0"/>
    <x v="14"/>
    <n v="130.99371913651899"/>
    <n v="47812.707484829501"/>
    <n v="172125.746945386"/>
  </r>
  <r>
    <x v="0"/>
    <x v="0"/>
    <x v="0"/>
    <x v="0"/>
    <x v="0"/>
    <s v="DK1_Medium"/>
    <x v="1"/>
    <s v="GNR_ST_MSW_BP_E-22"/>
    <x v="0"/>
    <x v="15"/>
    <n v="135.330757082768"/>
    <n v="49395.726335210296"/>
    <n v="177824.61480675699"/>
  </r>
  <r>
    <x v="0"/>
    <x v="0"/>
    <x v="0"/>
    <x v="0"/>
    <x v="0"/>
    <s v="DK1_Medium"/>
    <x v="1"/>
    <s v="GNR_ST_MSW_BP_E-22"/>
    <x v="0"/>
    <x v="16"/>
    <n v="143.643413146412"/>
    <n v="52429.845798440299"/>
    <n v="188747.44487438499"/>
  </r>
  <r>
    <x v="0"/>
    <x v="0"/>
    <x v="0"/>
    <x v="0"/>
    <x v="0"/>
    <s v="DK1_Medium"/>
    <x v="1"/>
    <s v="GNR_ST_MSW_BP_E-22"/>
    <x v="0"/>
    <x v="17"/>
    <n v="149.28105427101499"/>
    <n v="54487.584808920503"/>
    <n v="196155.30531211401"/>
  </r>
  <r>
    <x v="0"/>
    <x v="0"/>
    <x v="0"/>
    <x v="0"/>
    <x v="0"/>
    <s v="DK1_Medium"/>
    <x v="1"/>
    <s v="GNR_ST_MSW_BP_E-22"/>
    <x v="0"/>
    <x v="18"/>
    <n v="183.61299902104599"/>
    <n v="67018.744642681704"/>
    <n v="241267.48071365399"/>
  </r>
  <r>
    <x v="0"/>
    <x v="0"/>
    <x v="0"/>
    <x v="0"/>
    <x v="0"/>
    <s v="DK1_Medium"/>
    <x v="1"/>
    <s v="GNR_ST_MSW_BP_E-22"/>
    <x v="0"/>
    <x v="19"/>
    <n v="182.16731970563001"/>
    <n v="66491.071692554804"/>
    <n v="239367.85809319699"/>
  </r>
  <r>
    <x v="0"/>
    <x v="0"/>
    <x v="0"/>
    <x v="0"/>
    <x v="0"/>
    <s v="DK1_Medium"/>
    <x v="1"/>
    <s v="GNR_ST_MSW_BP_E-22"/>
    <x v="0"/>
    <x v="20"/>
    <n v="174.21608347084"/>
    <n v="63588.870466856599"/>
    <n v="228919.93368068399"/>
  </r>
  <r>
    <x v="0"/>
    <x v="0"/>
    <x v="0"/>
    <x v="0"/>
    <x v="0"/>
    <s v="DK1_Medium"/>
    <x v="1"/>
    <s v="GNR_ST_MSW_BP_E-22"/>
    <x v="0"/>
    <x v="21"/>
    <n v="125.785826404395"/>
    <n v="45911.826637603997"/>
    <n v="165282.575895374"/>
  </r>
  <r>
    <x v="0"/>
    <x v="0"/>
    <x v="0"/>
    <x v="0"/>
    <x v="0"/>
    <s v="DK1_Medium"/>
    <x v="1"/>
    <s v="GNR_ST_MSW_BP_E-22"/>
    <x v="0"/>
    <x v="22"/>
    <n v="81.840622412365505"/>
    <n v="29871.827180513399"/>
    <n v="107538.57784984801"/>
  </r>
  <r>
    <x v="0"/>
    <x v="0"/>
    <x v="0"/>
    <x v="0"/>
    <x v="0"/>
    <s v="DK1_Medium"/>
    <x v="1"/>
    <s v="GNR_ST_MSW_BP_E-22"/>
    <x v="0"/>
    <x v="23"/>
    <n v="72.805126691013797"/>
    <n v="26573.871242220001"/>
    <n v="95665.936471992201"/>
  </r>
  <r>
    <x v="0"/>
    <x v="0"/>
    <x v="0"/>
    <x v="0"/>
    <x v="0"/>
    <s v="DK1_Medium"/>
    <x v="4"/>
    <s v="GNR_BO_STRW_E-102"/>
    <x v="0"/>
    <x v="0"/>
    <n v="2.37254901960784"/>
    <n v="865.98039215686299"/>
    <n v="3117.5294117647099"/>
  </r>
  <r>
    <x v="0"/>
    <x v="0"/>
    <x v="0"/>
    <x v="0"/>
    <x v="0"/>
    <s v="DK1_Medium"/>
    <x v="4"/>
    <s v="GNR_BO_STRW_E-102"/>
    <x v="0"/>
    <x v="1"/>
    <n v="2.37254901960784"/>
    <n v="865.98039215686299"/>
    <n v="3117.5294117647099"/>
  </r>
  <r>
    <x v="0"/>
    <x v="0"/>
    <x v="0"/>
    <x v="0"/>
    <x v="0"/>
    <s v="DK1_Medium"/>
    <x v="4"/>
    <s v="GNR_BO_STRW_E-102"/>
    <x v="0"/>
    <x v="2"/>
    <n v="2.37254901960784"/>
    <n v="865.98039215686299"/>
    <n v="3117.5294117647099"/>
  </r>
  <r>
    <x v="0"/>
    <x v="0"/>
    <x v="0"/>
    <x v="0"/>
    <x v="0"/>
    <s v="DK1_Medium"/>
    <x v="4"/>
    <s v="GNR_BO_STRW_E-102"/>
    <x v="0"/>
    <x v="3"/>
    <n v="2.37254901960784"/>
    <n v="865.98039215686299"/>
    <n v="3117.5294117647099"/>
  </r>
  <r>
    <x v="0"/>
    <x v="0"/>
    <x v="0"/>
    <x v="0"/>
    <x v="0"/>
    <s v="DK1_Medium"/>
    <x v="4"/>
    <s v="GNR_BO_STRW_E-102"/>
    <x v="0"/>
    <x v="4"/>
    <n v="2.37254901960784"/>
    <n v="865.98039215686299"/>
    <n v="3117.5294117647099"/>
  </r>
  <r>
    <x v="0"/>
    <x v="0"/>
    <x v="0"/>
    <x v="0"/>
    <x v="0"/>
    <s v="DK1_Medium"/>
    <x v="4"/>
    <s v="GNR_BO_STRW_E-102"/>
    <x v="0"/>
    <x v="5"/>
    <n v="2.37254901960784"/>
    <n v="865.98039215686299"/>
    <n v="3117.5294117647099"/>
  </r>
  <r>
    <x v="0"/>
    <x v="0"/>
    <x v="0"/>
    <x v="0"/>
    <x v="0"/>
    <s v="DK1_Medium"/>
    <x v="4"/>
    <s v="GNR_BO_STRW_E-102"/>
    <x v="0"/>
    <x v="6"/>
    <n v="2.37254901960784"/>
    <n v="865.98039215686299"/>
    <n v="3117.5294117647099"/>
  </r>
  <r>
    <x v="0"/>
    <x v="0"/>
    <x v="0"/>
    <x v="0"/>
    <x v="0"/>
    <s v="DK1_Medium"/>
    <x v="4"/>
    <s v="GNR_BO_STRW_E-102"/>
    <x v="0"/>
    <x v="7"/>
    <n v="2.37254901960784"/>
    <n v="865.98039215686299"/>
    <n v="3117.5294117647099"/>
  </r>
  <r>
    <x v="0"/>
    <x v="0"/>
    <x v="0"/>
    <x v="0"/>
    <x v="0"/>
    <s v="DK1_Medium"/>
    <x v="4"/>
    <s v="GNR_BO_STRW_E-102"/>
    <x v="0"/>
    <x v="8"/>
    <n v="2.37254901960784"/>
    <n v="865.98039215686299"/>
    <n v="3117.5294117647099"/>
  </r>
  <r>
    <x v="0"/>
    <x v="0"/>
    <x v="0"/>
    <x v="0"/>
    <x v="0"/>
    <s v="DK1_Medium"/>
    <x v="4"/>
    <s v="GNR_BO_STRW_E-102"/>
    <x v="0"/>
    <x v="9"/>
    <n v="2.37254901960784"/>
    <n v="865.98039215686299"/>
    <n v="3117.5294117647099"/>
  </r>
  <r>
    <x v="0"/>
    <x v="0"/>
    <x v="0"/>
    <x v="0"/>
    <x v="0"/>
    <s v="DK1_Medium"/>
    <x v="4"/>
    <s v="GNR_BO_STRW_E-102"/>
    <x v="0"/>
    <x v="10"/>
    <n v="2.37254901960784"/>
    <n v="865.98039215686299"/>
    <n v="3117.5294117647099"/>
  </r>
  <r>
    <x v="0"/>
    <x v="0"/>
    <x v="0"/>
    <x v="0"/>
    <x v="0"/>
    <s v="DK1_Medium"/>
    <x v="4"/>
    <s v="GNR_BO_STRW_E-102"/>
    <x v="0"/>
    <x v="11"/>
    <n v="2.37254901960784"/>
    <n v="865.98039215686299"/>
    <n v="3117.5294117647099"/>
  </r>
  <r>
    <x v="0"/>
    <x v="0"/>
    <x v="0"/>
    <x v="0"/>
    <x v="0"/>
    <s v="DK1_Medium"/>
    <x v="4"/>
    <s v="GNR_BO_STRW_E-102"/>
    <x v="0"/>
    <x v="12"/>
    <n v="2.37254901960784"/>
    <n v="865.98039215686299"/>
    <n v="3117.5294117647099"/>
  </r>
  <r>
    <x v="0"/>
    <x v="0"/>
    <x v="0"/>
    <x v="0"/>
    <x v="0"/>
    <s v="DK1_Medium"/>
    <x v="4"/>
    <s v="GNR_BO_STRW_E-102"/>
    <x v="0"/>
    <x v="13"/>
    <n v="2.37254901960784"/>
    <n v="865.98039215686299"/>
    <n v="3117.5294117647099"/>
  </r>
  <r>
    <x v="0"/>
    <x v="0"/>
    <x v="0"/>
    <x v="0"/>
    <x v="0"/>
    <s v="DK1_Medium"/>
    <x v="4"/>
    <s v="GNR_BO_STRW_E-102"/>
    <x v="0"/>
    <x v="14"/>
    <n v="2.37254901960784"/>
    <n v="865.98039215686299"/>
    <n v="3117.5294117647099"/>
  </r>
  <r>
    <x v="0"/>
    <x v="0"/>
    <x v="0"/>
    <x v="0"/>
    <x v="0"/>
    <s v="DK1_Medium"/>
    <x v="4"/>
    <s v="GNR_BO_STRW_E-102"/>
    <x v="0"/>
    <x v="15"/>
    <n v="2.37254901960784"/>
    <n v="865.98039215686299"/>
    <n v="3117.5294117647099"/>
  </r>
  <r>
    <x v="0"/>
    <x v="0"/>
    <x v="0"/>
    <x v="0"/>
    <x v="0"/>
    <s v="DK1_Medium"/>
    <x v="4"/>
    <s v="GNR_BO_STRW_E-102"/>
    <x v="0"/>
    <x v="16"/>
    <n v="2.37254901960784"/>
    <n v="865.98039215686299"/>
    <n v="3117.5294117647099"/>
  </r>
  <r>
    <x v="0"/>
    <x v="0"/>
    <x v="0"/>
    <x v="0"/>
    <x v="0"/>
    <s v="DK1_Medium"/>
    <x v="4"/>
    <s v="GNR_BO_STRW_E-102"/>
    <x v="0"/>
    <x v="17"/>
    <n v="2.37254901960784"/>
    <n v="865.98039215686299"/>
    <n v="3117.5294117647099"/>
  </r>
  <r>
    <x v="0"/>
    <x v="0"/>
    <x v="0"/>
    <x v="0"/>
    <x v="0"/>
    <s v="DK1_Medium"/>
    <x v="4"/>
    <s v="GNR_BO_STRW_E-102"/>
    <x v="0"/>
    <x v="18"/>
    <n v="2.37254901960784"/>
    <n v="865.98039215686299"/>
    <n v="3117.5294117647099"/>
  </r>
  <r>
    <x v="0"/>
    <x v="0"/>
    <x v="0"/>
    <x v="0"/>
    <x v="0"/>
    <s v="DK1_Medium"/>
    <x v="4"/>
    <s v="GNR_BO_STRW_E-102"/>
    <x v="0"/>
    <x v="19"/>
    <n v="2.37254901960784"/>
    <n v="865.98039215686299"/>
    <n v="3117.5294117647099"/>
  </r>
  <r>
    <x v="0"/>
    <x v="0"/>
    <x v="0"/>
    <x v="0"/>
    <x v="0"/>
    <s v="DK1_Medium"/>
    <x v="4"/>
    <s v="GNR_BO_STRW_E-102"/>
    <x v="0"/>
    <x v="20"/>
    <n v="2.37254901960784"/>
    <n v="865.98039215686299"/>
    <n v="3117.5294117647099"/>
  </r>
  <r>
    <x v="0"/>
    <x v="0"/>
    <x v="0"/>
    <x v="0"/>
    <x v="0"/>
    <s v="DK1_Medium"/>
    <x v="4"/>
    <s v="GNR_BO_STRW_E-102"/>
    <x v="0"/>
    <x v="21"/>
    <n v="2.37254901960784"/>
    <n v="865.98039215686299"/>
    <n v="3117.5294117647099"/>
  </r>
  <r>
    <x v="0"/>
    <x v="0"/>
    <x v="0"/>
    <x v="0"/>
    <x v="0"/>
    <s v="DK1_Medium"/>
    <x v="4"/>
    <s v="GNR_BO_STRW_E-102"/>
    <x v="0"/>
    <x v="22"/>
    <n v="2.37254901960784"/>
    <n v="865.98039215686299"/>
    <n v="3117.5294117647099"/>
  </r>
  <r>
    <x v="0"/>
    <x v="0"/>
    <x v="0"/>
    <x v="0"/>
    <x v="0"/>
    <s v="DK1_Medium"/>
    <x v="4"/>
    <s v="GNR_BO_STRW_E-102"/>
    <x v="0"/>
    <x v="23"/>
    <n v="2.37254901960784"/>
    <n v="865.98039215686299"/>
    <n v="3117.5294117647099"/>
  </r>
  <r>
    <x v="0"/>
    <x v="0"/>
    <x v="0"/>
    <x v="0"/>
    <x v="0"/>
    <s v="DK1_Medium"/>
    <x v="2"/>
    <s v="GNR_GEO_HEAT_HO"/>
    <x v="0"/>
    <x v="0"/>
    <n v="10"/>
    <n v="3650"/>
    <n v="13140"/>
  </r>
  <r>
    <x v="0"/>
    <x v="0"/>
    <x v="0"/>
    <x v="0"/>
    <x v="0"/>
    <s v="DK1_Medium"/>
    <x v="2"/>
    <s v="GNR_GEO_HEAT_HO"/>
    <x v="0"/>
    <x v="1"/>
    <n v="10"/>
    <n v="3650"/>
    <n v="13140"/>
  </r>
  <r>
    <x v="0"/>
    <x v="0"/>
    <x v="0"/>
    <x v="0"/>
    <x v="0"/>
    <s v="DK1_Medium"/>
    <x v="2"/>
    <s v="GNR_GEO_HEAT_HO"/>
    <x v="0"/>
    <x v="2"/>
    <n v="10"/>
    <n v="3650"/>
    <n v="13140"/>
  </r>
  <r>
    <x v="0"/>
    <x v="0"/>
    <x v="0"/>
    <x v="0"/>
    <x v="0"/>
    <s v="DK1_Medium"/>
    <x v="2"/>
    <s v="GNR_GEO_HEAT_HO"/>
    <x v="0"/>
    <x v="3"/>
    <n v="10"/>
    <n v="3650"/>
    <n v="13140"/>
  </r>
  <r>
    <x v="0"/>
    <x v="0"/>
    <x v="0"/>
    <x v="0"/>
    <x v="0"/>
    <s v="DK1_Medium"/>
    <x v="2"/>
    <s v="GNR_GEO_HEAT_HO"/>
    <x v="0"/>
    <x v="4"/>
    <n v="10"/>
    <n v="3650"/>
    <n v="13140"/>
  </r>
  <r>
    <x v="0"/>
    <x v="0"/>
    <x v="0"/>
    <x v="0"/>
    <x v="0"/>
    <s v="DK1_Medium"/>
    <x v="2"/>
    <s v="GNR_GEO_HEAT_HO"/>
    <x v="0"/>
    <x v="5"/>
    <n v="10"/>
    <n v="3650"/>
    <n v="13140"/>
  </r>
  <r>
    <x v="0"/>
    <x v="0"/>
    <x v="0"/>
    <x v="0"/>
    <x v="0"/>
    <s v="DK1_Medium"/>
    <x v="2"/>
    <s v="GNR_GEO_HEAT_HO"/>
    <x v="0"/>
    <x v="6"/>
    <n v="10"/>
    <n v="3650"/>
    <n v="13140"/>
  </r>
  <r>
    <x v="0"/>
    <x v="0"/>
    <x v="0"/>
    <x v="0"/>
    <x v="0"/>
    <s v="DK1_Medium"/>
    <x v="2"/>
    <s v="GNR_GEO_HEAT_HO"/>
    <x v="0"/>
    <x v="7"/>
    <n v="10"/>
    <n v="3650"/>
    <n v="13140"/>
  </r>
  <r>
    <x v="0"/>
    <x v="0"/>
    <x v="0"/>
    <x v="0"/>
    <x v="0"/>
    <s v="DK1_Medium"/>
    <x v="2"/>
    <s v="GNR_GEO_HEAT_HO"/>
    <x v="0"/>
    <x v="8"/>
    <n v="10"/>
    <n v="3650"/>
    <n v="13140"/>
  </r>
  <r>
    <x v="0"/>
    <x v="0"/>
    <x v="0"/>
    <x v="0"/>
    <x v="0"/>
    <s v="DK1_Medium"/>
    <x v="2"/>
    <s v="GNR_GEO_HEAT_HO"/>
    <x v="0"/>
    <x v="9"/>
    <n v="10"/>
    <n v="3650"/>
    <n v="13140"/>
  </r>
  <r>
    <x v="0"/>
    <x v="0"/>
    <x v="0"/>
    <x v="0"/>
    <x v="0"/>
    <s v="DK1_Medium"/>
    <x v="2"/>
    <s v="GNR_GEO_HEAT_HO"/>
    <x v="0"/>
    <x v="10"/>
    <n v="10"/>
    <n v="3650"/>
    <n v="13140"/>
  </r>
  <r>
    <x v="0"/>
    <x v="0"/>
    <x v="0"/>
    <x v="0"/>
    <x v="0"/>
    <s v="DK1_Medium"/>
    <x v="2"/>
    <s v="GNR_GEO_HEAT_HO"/>
    <x v="0"/>
    <x v="11"/>
    <n v="10"/>
    <n v="3650"/>
    <n v="13140"/>
  </r>
  <r>
    <x v="0"/>
    <x v="0"/>
    <x v="0"/>
    <x v="0"/>
    <x v="0"/>
    <s v="DK1_Medium"/>
    <x v="2"/>
    <s v="GNR_GEO_HEAT_HO"/>
    <x v="0"/>
    <x v="12"/>
    <n v="10"/>
    <n v="3650"/>
    <n v="13140"/>
  </r>
  <r>
    <x v="0"/>
    <x v="0"/>
    <x v="0"/>
    <x v="0"/>
    <x v="0"/>
    <s v="DK1_Medium"/>
    <x v="2"/>
    <s v="GNR_GEO_HEAT_HO"/>
    <x v="0"/>
    <x v="13"/>
    <n v="10"/>
    <n v="3650"/>
    <n v="13140"/>
  </r>
  <r>
    <x v="0"/>
    <x v="0"/>
    <x v="0"/>
    <x v="0"/>
    <x v="0"/>
    <s v="DK1_Medium"/>
    <x v="2"/>
    <s v="GNR_GEO_HEAT_HO"/>
    <x v="0"/>
    <x v="14"/>
    <n v="10"/>
    <n v="3650"/>
    <n v="13140"/>
  </r>
  <r>
    <x v="0"/>
    <x v="0"/>
    <x v="0"/>
    <x v="0"/>
    <x v="0"/>
    <s v="DK1_Medium"/>
    <x v="2"/>
    <s v="GNR_GEO_HEAT_HO"/>
    <x v="0"/>
    <x v="15"/>
    <n v="10"/>
    <n v="3650"/>
    <n v="13140"/>
  </r>
  <r>
    <x v="0"/>
    <x v="0"/>
    <x v="0"/>
    <x v="0"/>
    <x v="0"/>
    <s v="DK1_Medium"/>
    <x v="2"/>
    <s v="GNR_GEO_HEAT_HO"/>
    <x v="0"/>
    <x v="16"/>
    <n v="10"/>
    <n v="3650"/>
    <n v="13140"/>
  </r>
  <r>
    <x v="0"/>
    <x v="0"/>
    <x v="0"/>
    <x v="0"/>
    <x v="0"/>
    <s v="DK1_Medium"/>
    <x v="2"/>
    <s v="GNR_GEO_HEAT_HO"/>
    <x v="0"/>
    <x v="17"/>
    <n v="10"/>
    <n v="3650"/>
    <n v="13140"/>
  </r>
  <r>
    <x v="0"/>
    <x v="0"/>
    <x v="0"/>
    <x v="0"/>
    <x v="0"/>
    <s v="DK1_Medium"/>
    <x v="2"/>
    <s v="GNR_GEO_HEAT_HO"/>
    <x v="0"/>
    <x v="18"/>
    <n v="10"/>
    <n v="3650"/>
    <n v="13140"/>
  </r>
  <r>
    <x v="0"/>
    <x v="0"/>
    <x v="0"/>
    <x v="0"/>
    <x v="0"/>
    <s v="DK1_Medium"/>
    <x v="2"/>
    <s v="GNR_GEO_HEAT_HO"/>
    <x v="0"/>
    <x v="19"/>
    <n v="10"/>
    <n v="3650"/>
    <n v="13140"/>
  </r>
  <r>
    <x v="0"/>
    <x v="0"/>
    <x v="0"/>
    <x v="0"/>
    <x v="0"/>
    <s v="DK1_Medium"/>
    <x v="2"/>
    <s v="GNR_GEO_HEAT_HO"/>
    <x v="0"/>
    <x v="20"/>
    <n v="10"/>
    <n v="3650"/>
    <n v="13140"/>
  </r>
  <r>
    <x v="0"/>
    <x v="0"/>
    <x v="0"/>
    <x v="0"/>
    <x v="0"/>
    <s v="DK1_Medium"/>
    <x v="2"/>
    <s v="GNR_GEO_HEAT_HO"/>
    <x v="0"/>
    <x v="21"/>
    <n v="10"/>
    <n v="3650"/>
    <n v="13140"/>
  </r>
  <r>
    <x v="0"/>
    <x v="0"/>
    <x v="0"/>
    <x v="0"/>
    <x v="0"/>
    <s v="DK1_Medium"/>
    <x v="2"/>
    <s v="GNR_GEO_HEAT_HO"/>
    <x v="0"/>
    <x v="22"/>
    <n v="10"/>
    <n v="3650"/>
    <n v="13140"/>
  </r>
  <r>
    <x v="0"/>
    <x v="0"/>
    <x v="0"/>
    <x v="0"/>
    <x v="0"/>
    <s v="DK1_Medium"/>
    <x v="2"/>
    <s v="GNR_GEO_HEAT_HO"/>
    <x v="0"/>
    <x v="23"/>
    <n v="10"/>
    <n v="3650"/>
    <n v="13140"/>
  </r>
  <r>
    <x v="0"/>
    <x v="0"/>
    <x v="0"/>
    <x v="0"/>
    <x v="0"/>
    <s v="DK1_Medium"/>
    <x v="5"/>
    <s v="GNR_BO_WOODCHI_E-100"/>
    <x v="0"/>
    <x v="0"/>
    <n v="64.45"/>
    <n v="23524.25"/>
    <n v="84687.3"/>
  </r>
  <r>
    <x v="0"/>
    <x v="0"/>
    <x v="0"/>
    <x v="0"/>
    <x v="0"/>
    <s v="DK1_Medium"/>
    <x v="5"/>
    <s v="GNR_BO_WOODCHI_E-100"/>
    <x v="0"/>
    <x v="1"/>
    <n v="64.45"/>
    <n v="23524.25"/>
    <n v="84687.3"/>
  </r>
  <r>
    <x v="0"/>
    <x v="0"/>
    <x v="0"/>
    <x v="0"/>
    <x v="0"/>
    <s v="DK1_Medium"/>
    <x v="5"/>
    <s v="GNR_BO_WOODCHI_E-100"/>
    <x v="0"/>
    <x v="2"/>
    <n v="64.45"/>
    <n v="23524.25"/>
    <n v="84687.3"/>
  </r>
  <r>
    <x v="0"/>
    <x v="0"/>
    <x v="0"/>
    <x v="0"/>
    <x v="0"/>
    <s v="DK1_Medium"/>
    <x v="5"/>
    <s v="GNR_BO_WOODCHI_E-100"/>
    <x v="0"/>
    <x v="3"/>
    <n v="64.45"/>
    <n v="23524.25"/>
    <n v="84687.3"/>
  </r>
  <r>
    <x v="0"/>
    <x v="0"/>
    <x v="0"/>
    <x v="0"/>
    <x v="0"/>
    <s v="DK1_Medium"/>
    <x v="5"/>
    <s v="GNR_BO_WOODCHI_E-100"/>
    <x v="0"/>
    <x v="4"/>
    <n v="64.45"/>
    <n v="23524.25"/>
    <n v="84687.3"/>
  </r>
  <r>
    <x v="0"/>
    <x v="0"/>
    <x v="0"/>
    <x v="0"/>
    <x v="0"/>
    <s v="DK1_Medium"/>
    <x v="5"/>
    <s v="GNR_BO_WOODCHI_E-100"/>
    <x v="0"/>
    <x v="5"/>
    <n v="64.45"/>
    <n v="23524.25"/>
    <n v="84687.3"/>
  </r>
  <r>
    <x v="0"/>
    <x v="0"/>
    <x v="0"/>
    <x v="0"/>
    <x v="0"/>
    <s v="DK1_Medium"/>
    <x v="5"/>
    <s v="GNR_BO_WOODCHI_E-100"/>
    <x v="0"/>
    <x v="6"/>
    <n v="64.45"/>
    <n v="23524.25"/>
    <n v="84687.3"/>
  </r>
  <r>
    <x v="0"/>
    <x v="0"/>
    <x v="0"/>
    <x v="0"/>
    <x v="0"/>
    <s v="DK1_Medium"/>
    <x v="5"/>
    <s v="GNR_BO_WOODCHI_E-100"/>
    <x v="0"/>
    <x v="7"/>
    <n v="64.45"/>
    <n v="23524.25"/>
    <n v="84687.3"/>
  </r>
  <r>
    <x v="0"/>
    <x v="0"/>
    <x v="0"/>
    <x v="0"/>
    <x v="0"/>
    <s v="DK1_Medium"/>
    <x v="5"/>
    <s v="GNR_BO_WOODCHI_E-100"/>
    <x v="0"/>
    <x v="8"/>
    <n v="64.45"/>
    <n v="23524.25"/>
    <n v="84687.3"/>
  </r>
  <r>
    <x v="0"/>
    <x v="0"/>
    <x v="0"/>
    <x v="0"/>
    <x v="0"/>
    <s v="DK1_Medium"/>
    <x v="5"/>
    <s v="GNR_BO_WOODCHI_E-100"/>
    <x v="0"/>
    <x v="9"/>
    <n v="64.45"/>
    <n v="23524.25"/>
    <n v="84687.3"/>
  </r>
  <r>
    <x v="0"/>
    <x v="0"/>
    <x v="0"/>
    <x v="0"/>
    <x v="0"/>
    <s v="DK1_Medium"/>
    <x v="5"/>
    <s v="GNR_BO_WOODCHI_E-100"/>
    <x v="0"/>
    <x v="10"/>
    <n v="64.45"/>
    <n v="23524.25"/>
    <n v="84687.3"/>
  </r>
  <r>
    <x v="0"/>
    <x v="0"/>
    <x v="0"/>
    <x v="0"/>
    <x v="0"/>
    <s v="DK1_Medium"/>
    <x v="5"/>
    <s v="GNR_BO_WOODCHI_E-100"/>
    <x v="0"/>
    <x v="11"/>
    <n v="64.45"/>
    <n v="23524.25"/>
    <n v="84687.3"/>
  </r>
  <r>
    <x v="0"/>
    <x v="0"/>
    <x v="0"/>
    <x v="0"/>
    <x v="0"/>
    <s v="DK1_Medium"/>
    <x v="5"/>
    <s v="GNR_BO_WOODCHI_E-100"/>
    <x v="0"/>
    <x v="12"/>
    <n v="64.45"/>
    <n v="23524.25"/>
    <n v="84687.3"/>
  </r>
  <r>
    <x v="0"/>
    <x v="0"/>
    <x v="0"/>
    <x v="0"/>
    <x v="0"/>
    <s v="DK1_Medium"/>
    <x v="5"/>
    <s v="GNR_BO_WOODCHI_E-100"/>
    <x v="0"/>
    <x v="13"/>
    <n v="64.45"/>
    <n v="23524.25"/>
    <n v="84687.3"/>
  </r>
  <r>
    <x v="0"/>
    <x v="0"/>
    <x v="0"/>
    <x v="0"/>
    <x v="0"/>
    <s v="DK1_Medium"/>
    <x v="5"/>
    <s v="GNR_BO_WOODCHI_E-100"/>
    <x v="0"/>
    <x v="14"/>
    <n v="64.45"/>
    <n v="23524.25"/>
    <n v="84687.3"/>
  </r>
  <r>
    <x v="0"/>
    <x v="0"/>
    <x v="0"/>
    <x v="0"/>
    <x v="0"/>
    <s v="DK1_Medium"/>
    <x v="5"/>
    <s v="GNR_BO_WOODCHI_E-100"/>
    <x v="0"/>
    <x v="15"/>
    <n v="64.45"/>
    <n v="23524.25"/>
    <n v="84687.3"/>
  </r>
  <r>
    <x v="0"/>
    <x v="0"/>
    <x v="0"/>
    <x v="0"/>
    <x v="0"/>
    <s v="DK1_Medium"/>
    <x v="5"/>
    <s v="GNR_BO_WOODCHI_E-100"/>
    <x v="0"/>
    <x v="16"/>
    <n v="64.45"/>
    <n v="23524.25"/>
    <n v="84687.3"/>
  </r>
  <r>
    <x v="0"/>
    <x v="0"/>
    <x v="0"/>
    <x v="0"/>
    <x v="0"/>
    <s v="DK1_Medium"/>
    <x v="5"/>
    <s v="GNR_BO_WOODCHI_E-100"/>
    <x v="0"/>
    <x v="17"/>
    <n v="64.45"/>
    <n v="23524.25"/>
    <n v="84687.3"/>
  </r>
  <r>
    <x v="0"/>
    <x v="0"/>
    <x v="0"/>
    <x v="0"/>
    <x v="0"/>
    <s v="DK1_Medium"/>
    <x v="5"/>
    <s v="GNR_BO_WOODCHI_E-100"/>
    <x v="0"/>
    <x v="18"/>
    <n v="64.45"/>
    <n v="23524.25"/>
    <n v="84687.3"/>
  </r>
  <r>
    <x v="0"/>
    <x v="0"/>
    <x v="0"/>
    <x v="0"/>
    <x v="0"/>
    <s v="DK1_Medium"/>
    <x v="5"/>
    <s v="GNR_BO_WOODCHI_E-100"/>
    <x v="0"/>
    <x v="19"/>
    <n v="64.45"/>
    <n v="23524.25"/>
    <n v="84687.3"/>
  </r>
  <r>
    <x v="0"/>
    <x v="0"/>
    <x v="0"/>
    <x v="0"/>
    <x v="0"/>
    <s v="DK1_Medium"/>
    <x v="5"/>
    <s v="GNR_BO_WOODCHI_E-100"/>
    <x v="0"/>
    <x v="20"/>
    <n v="64.45"/>
    <n v="23524.25"/>
    <n v="84687.3"/>
  </r>
  <r>
    <x v="0"/>
    <x v="0"/>
    <x v="0"/>
    <x v="0"/>
    <x v="0"/>
    <s v="DK1_Medium"/>
    <x v="5"/>
    <s v="GNR_BO_WOODCHI_E-100"/>
    <x v="0"/>
    <x v="21"/>
    <n v="64.45"/>
    <n v="23524.25"/>
    <n v="84687.3"/>
  </r>
  <r>
    <x v="0"/>
    <x v="0"/>
    <x v="0"/>
    <x v="0"/>
    <x v="0"/>
    <s v="DK1_Medium"/>
    <x v="5"/>
    <s v="GNR_BO_WOODCHI_E-100"/>
    <x v="0"/>
    <x v="22"/>
    <n v="64.45"/>
    <n v="23524.25"/>
    <n v="84687.3"/>
  </r>
  <r>
    <x v="0"/>
    <x v="0"/>
    <x v="0"/>
    <x v="0"/>
    <x v="0"/>
    <s v="DK1_Medium"/>
    <x v="5"/>
    <s v="GNR_BO_WOODCHI_E-100"/>
    <x v="0"/>
    <x v="23"/>
    <n v="64.45"/>
    <n v="23524.25"/>
    <n v="84687.3"/>
  </r>
  <r>
    <x v="0"/>
    <x v="0"/>
    <x v="0"/>
    <x v="0"/>
    <x v="0"/>
    <s v="DK1_Medium"/>
    <x v="5"/>
    <s v="GNR_ST_WOODCHI_BP_E-30"/>
    <x v="0"/>
    <x v="0"/>
    <n v="301.33333333333297"/>
    <n v="109986.66666666701"/>
    <n v="395952"/>
  </r>
  <r>
    <x v="0"/>
    <x v="0"/>
    <x v="0"/>
    <x v="0"/>
    <x v="0"/>
    <s v="DK1_Medium"/>
    <x v="5"/>
    <s v="GNR_ST_WOODCHI_BP_E-30"/>
    <x v="0"/>
    <x v="1"/>
    <n v="301.33333333333297"/>
    <n v="109986.66666666701"/>
    <n v="395952"/>
  </r>
  <r>
    <x v="0"/>
    <x v="0"/>
    <x v="0"/>
    <x v="0"/>
    <x v="0"/>
    <s v="DK1_Medium"/>
    <x v="5"/>
    <s v="GNR_ST_WOODCHI_BP_E-30"/>
    <x v="0"/>
    <x v="2"/>
    <n v="301.33333333333297"/>
    <n v="109986.66666666701"/>
    <n v="395952"/>
  </r>
  <r>
    <x v="0"/>
    <x v="0"/>
    <x v="0"/>
    <x v="0"/>
    <x v="0"/>
    <s v="DK1_Medium"/>
    <x v="5"/>
    <s v="GNR_ST_WOODCHI_BP_E-30"/>
    <x v="0"/>
    <x v="3"/>
    <n v="301.33333333333297"/>
    <n v="109986.66666666701"/>
    <n v="395952"/>
  </r>
  <r>
    <x v="0"/>
    <x v="0"/>
    <x v="0"/>
    <x v="0"/>
    <x v="0"/>
    <s v="DK1_Medium"/>
    <x v="5"/>
    <s v="GNR_ST_WOODCHI_BP_E-30"/>
    <x v="0"/>
    <x v="4"/>
    <n v="301.33333333333297"/>
    <n v="109986.66666666701"/>
    <n v="395952"/>
  </r>
  <r>
    <x v="0"/>
    <x v="0"/>
    <x v="0"/>
    <x v="0"/>
    <x v="0"/>
    <s v="DK1_Medium"/>
    <x v="5"/>
    <s v="GNR_ST_WOODCHI_BP_E-30"/>
    <x v="0"/>
    <x v="5"/>
    <n v="301.33333333333297"/>
    <n v="109986.66666666701"/>
    <n v="395952"/>
  </r>
  <r>
    <x v="0"/>
    <x v="0"/>
    <x v="0"/>
    <x v="0"/>
    <x v="0"/>
    <s v="DK1_Medium"/>
    <x v="5"/>
    <s v="GNR_ST_WOODCHI_BP_E-30"/>
    <x v="0"/>
    <x v="6"/>
    <n v="301.33333333333297"/>
    <n v="109986.66666666701"/>
    <n v="395952"/>
  </r>
  <r>
    <x v="0"/>
    <x v="0"/>
    <x v="0"/>
    <x v="0"/>
    <x v="0"/>
    <s v="DK1_Medium"/>
    <x v="5"/>
    <s v="GNR_ST_WOODCHI_BP_E-30"/>
    <x v="0"/>
    <x v="7"/>
    <n v="301.33333333333297"/>
    <n v="109986.66666666701"/>
    <n v="395952"/>
  </r>
  <r>
    <x v="0"/>
    <x v="0"/>
    <x v="0"/>
    <x v="0"/>
    <x v="0"/>
    <s v="DK1_Medium"/>
    <x v="5"/>
    <s v="GNR_ST_WOODCHI_BP_E-30"/>
    <x v="0"/>
    <x v="8"/>
    <n v="301.33333333333297"/>
    <n v="109986.66666666701"/>
    <n v="395952"/>
  </r>
  <r>
    <x v="0"/>
    <x v="0"/>
    <x v="0"/>
    <x v="0"/>
    <x v="0"/>
    <s v="DK1_Medium"/>
    <x v="5"/>
    <s v="GNR_ST_WOODCHI_BP_E-30"/>
    <x v="0"/>
    <x v="9"/>
    <n v="301.33333333333297"/>
    <n v="109986.66666666701"/>
    <n v="395952"/>
  </r>
  <r>
    <x v="0"/>
    <x v="0"/>
    <x v="0"/>
    <x v="0"/>
    <x v="0"/>
    <s v="DK1_Medium"/>
    <x v="5"/>
    <s v="GNR_ST_WOODCHI_BP_E-30"/>
    <x v="0"/>
    <x v="10"/>
    <n v="301.33333333333297"/>
    <n v="109986.66666666701"/>
    <n v="395952"/>
  </r>
  <r>
    <x v="0"/>
    <x v="0"/>
    <x v="0"/>
    <x v="0"/>
    <x v="0"/>
    <s v="DK1_Medium"/>
    <x v="5"/>
    <s v="GNR_ST_WOODCHI_BP_E-30"/>
    <x v="0"/>
    <x v="11"/>
    <n v="301.33333333333297"/>
    <n v="109986.66666666701"/>
    <n v="395952"/>
  </r>
  <r>
    <x v="0"/>
    <x v="0"/>
    <x v="0"/>
    <x v="0"/>
    <x v="0"/>
    <s v="DK1_Medium"/>
    <x v="5"/>
    <s v="GNR_ST_WOODCHI_BP_E-30"/>
    <x v="0"/>
    <x v="12"/>
    <n v="301.33333333333297"/>
    <n v="109986.66666666701"/>
    <n v="395952"/>
  </r>
  <r>
    <x v="0"/>
    <x v="0"/>
    <x v="0"/>
    <x v="0"/>
    <x v="0"/>
    <s v="DK1_Medium"/>
    <x v="5"/>
    <s v="GNR_ST_WOODCHI_BP_E-30"/>
    <x v="0"/>
    <x v="13"/>
    <n v="301.33333333333297"/>
    <n v="109986.66666666701"/>
    <n v="395952"/>
  </r>
  <r>
    <x v="0"/>
    <x v="0"/>
    <x v="0"/>
    <x v="0"/>
    <x v="0"/>
    <s v="DK1_Medium"/>
    <x v="5"/>
    <s v="GNR_ST_WOODCHI_BP_E-30"/>
    <x v="0"/>
    <x v="14"/>
    <n v="301.33333333333297"/>
    <n v="109986.66666666701"/>
    <n v="395952"/>
  </r>
  <r>
    <x v="0"/>
    <x v="0"/>
    <x v="0"/>
    <x v="0"/>
    <x v="0"/>
    <s v="DK1_Medium"/>
    <x v="5"/>
    <s v="GNR_ST_WOODCHI_BP_E-30"/>
    <x v="0"/>
    <x v="15"/>
    <n v="301.33333333333297"/>
    <n v="109986.66666666701"/>
    <n v="395952"/>
  </r>
  <r>
    <x v="0"/>
    <x v="0"/>
    <x v="0"/>
    <x v="0"/>
    <x v="0"/>
    <s v="DK1_Medium"/>
    <x v="5"/>
    <s v="GNR_ST_WOODCHI_BP_E-30"/>
    <x v="0"/>
    <x v="16"/>
    <n v="301.33333333333297"/>
    <n v="109986.66666666701"/>
    <n v="395952"/>
  </r>
  <r>
    <x v="0"/>
    <x v="0"/>
    <x v="0"/>
    <x v="0"/>
    <x v="0"/>
    <s v="DK1_Medium"/>
    <x v="5"/>
    <s v="GNR_ST_WOODCHI_BP_E-30"/>
    <x v="0"/>
    <x v="17"/>
    <n v="301.33333333333297"/>
    <n v="109986.66666666701"/>
    <n v="395952"/>
  </r>
  <r>
    <x v="0"/>
    <x v="0"/>
    <x v="0"/>
    <x v="0"/>
    <x v="0"/>
    <s v="DK1_Medium"/>
    <x v="5"/>
    <s v="GNR_ST_WOODCHI_BP_E-30"/>
    <x v="0"/>
    <x v="18"/>
    <n v="301.33333333333297"/>
    <n v="109986.66666666701"/>
    <n v="395952"/>
  </r>
  <r>
    <x v="0"/>
    <x v="0"/>
    <x v="0"/>
    <x v="0"/>
    <x v="0"/>
    <s v="DK1_Medium"/>
    <x v="5"/>
    <s v="GNR_ST_WOODCHI_BP_E-30"/>
    <x v="0"/>
    <x v="19"/>
    <n v="301.33333333333297"/>
    <n v="109986.66666666701"/>
    <n v="395952"/>
  </r>
  <r>
    <x v="0"/>
    <x v="0"/>
    <x v="0"/>
    <x v="0"/>
    <x v="0"/>
    <s v="DK1_Medium"/>
    <x v="5"/>
    <s v="GNR_ST_WOODCHI_BP_E-30"/>
    <x v="0"/>
    <x v="20"/>
    <n v="301.33333333333297"/>
    <n v="109986.66666666701"/>
    <n v="395952"/>
  </r>
  <r>
    <x v="0"/>
    <x v="0"/>
    <x v="0"/>
    <x v="0"/>
    <x v="0"/>
    <s v="DK1_Medium"/>
    <x v="5"/>
    <s v="GNR_ST_WOODCHI_BP_E-30"/>
    <x v="0"/>
    <x v="21"/>
    <n v="301.33333333333297"/>
    <n v="109986.66666666701"/>
    <n v="395952"/>
  </r>
  <r>
    <x v="0"/>
    <x v="0"/>
    <x v="0"/>
    <x v="0"/>
    <x v="0"/>
    <s v="DK1_Medium"/>
    <x v="5"/>
    <s v="GNR_ST_WOODCHI_BP_E-30"/>
    <x v="0"/>
    <x v="22"/>
    <n v="301.33333333333297"/>
    <n v="109986.66666666701"/>
    <n v="395952"/>
  </r>
  <r>
    <x v="0"/>
    <x v="0"/>
    <x v="0"/>
    <x v="0"/>
    <x v="0"/>
    <s v="DK1_Medium"/>
    <x v="5"/>
    <s v="GNR_ST_WOODCHI_BP_E-30"/>
    <x v="0"/>
    <x v="23"/>
    <n v="301.33333333333297"/>
    <n v="109986.66666666701"/>
    <n v="395952"/>
  </r>
  <r>
    <x v="0"/>
    <x v="0"/>
    <x v="0"/>
    <x v="0"/>
    <x v="0"/>
    <s v="DK1_NoDH"/>
    <x v="6"/>
    <s v="GNR_PV_SUN"/>
    <x v="0"/>
    <x v="6"/>
    <n v="2.6834936531283899"/>
    <n v="979.47518339186297"/>
    <n v="3526.1106602107102"/>
  </r>
  <r>
    <x v="0"/>
    <x v="0"/>
    <x v="0"/>
    <x v="0"/>
    <x v="0"/>
    <s v="DK1_NoDH"/>
    <x v="6"/>
    <s v="GNR_PV_SUN"/>
    <x v="0"/>
    <x v="7"/>
    <n v="28.6220291130481"/>
    <n v="10447.0406262626"/>
    <n v="37609.346254545198"/>
  </r>
  <r>
    <x v="0"/>
    <x v="0"/>
    <x v="0"/>
    <x v="0"/>
    <x v="0"/>
    <s v="DK1_NoDH"/>
    <x v="6"/>
    <s v="GNR_PV_SUN"/>
    <x v="0"/>
    <x v="8"/>
    <n v="83.525167343862194"/>
    <n v="30486.686080509699"/>
    <n v="109752.06988983499"/>
  </r>
  <r>
    <x v="0"/>
    <x v="0"/>
    <x v="0"/>
    <x v="0"/>
    <x v="0"/>
    <s v="DK1_NoDH"/>
    <x v="6"/>
    <s v="GNR_PV_SUN"/>
    <x v="0"/>
    <x v="9"/>
    <n v="136.36144450567099"/>
    <n v="49771.927244569903"/>
    <n v="179178.938080452"/>
  </r>
  <r>
    <x v="0"/>
    <x v="0"/>
    <x v="0"/>
    <x v="0"/>
    <x v="0"/>
    <s v="DK1_NoDH"/>
    <x v="6"/>
    <s v="GNR_PV_SUN"/>
    <x v="0"/>
    <x v="10"/>
    <n v="181.73532548739701"/>
    <n v="66333.393802899998"/>
    <n v="238800.21769044001"/>
  </r>
  <r>
    <x v="0"/>
    <x v="0"/>
    <x v="0"/>
    <x v="0"/>
    <x v="0"/>
    <s v="DK1_NoDH"/>
    <x v="6"/>
    <s v="GNR_PV_SUN"/>
    <x v="0"/>
    <x v="11"/>
    <n v="210.791281233717"/>
    <n v="76938.817650306795"/>
    <n v="276979.74354110402"/>
  </r>
  <r>
    <x v="0"/>
    <x v="0"/>
    <x v="0"/>
    <x v="0"/>
    <x v="0"/>
    <s v="DK1_NoDH"/>
    <x v="6"/>
    <s v="GNR_PV_SUN"/>
    <x v="0"/>
    <x v="12"/>
    <n v="222.952646087256"/>
    <n v="81377.7158218486"/>
    <n v="292959.77695865498"/>
  </r>
  <r>
    <x v="0"/>
    <x v="0"/>
    <x v="0"/>
    <x v="0"/>
    <x v="0"/>
    <s v="DK1_NoDH"/>
    <x v="6"/>
    <s v="GNR_PV_SUN"/>
    <x v="0"/>
    <x v="13"/>
    <n v="224.220168621287"/>
    <n v="81840.361546769898"/>
    <n v="294625.30156837101"/>
  </r>
  <r>
    <x v="0"/>
    <x v="0"/>
    <x v="0"/>
    <x v="0"/>
    <x v="0"/>
    <s v="DK1_NoDH"/>
    <x v="6"/>
    <s v="GNR_PV_SUN"/>
    <x v="0"/>
    <x v="14"/>
    <n v="193.02883707439301"/>
    <n v="70455.525532153406"/>
    <n v="253639.891915752"/>
  </r>
  <r>
    <x v="0"/>
    <x v="0"/>
    <x v="0"/>
    <x v="0"/>
    <x v="0"/>
    <s v="DK1_NoDH"/>
    <x v="6"/>
    <s v="GNR_PV_SUN"/>
    <x v="0"/>
    <x v="15"/>
    <n v="146.11337463235901"/>
    <n v="53331.381740810997"/>
    <n v="191992.97426691899"/>
  </r>
  <r>
    <x v="0"/>
    <x v="0"/>
    <x v="0"/>
    <x v="0"/>
    <x v="0"/>
    <s v="DK1_NoDH"/>
    <x v="6"/>
    <s v="GNR_PV_SUN"/>
    <x v="0"/>
    <x v="16"/>
    <n v="93.100101080662895"/>
    <n v="33981.536894441902"/>
    <n v="122333.532819991"/>
  </r>
  <r>
    <x v="0"/>
    <x v="0"/>
    <x v="0"/>
    <x v="0"/>
    <x v="0"/>
    <s v="DK1_NoDH"/>
    <x v="6"/>
    <s v="GNR_PV_SUN"/>
    <x v="0"/>
    <x v="17"/>
    <n v="35.359311050689598"/>
    <n v="12906.148533501701"/>
    <n v="46462.134720606198"/>
  </r>
  <r>
    <x v="0"/>
    <x v="0"/>
    <x v="0"/>
    <x v="0"/>
    <x v="0"/>
    <s v="DK1_NoDH"/>
    <x v="6"/>
    <s v="GNR_PV_SUN"/>
    <x v="0"/>
    <x v="18"/>
    <n v="2.8947474088002001"/>
    <n v="1056.58280421207"/>
    <n v="3803.69809516346"/>
  </r>
  <r>
    <x v="0"/>
    <x v="0"/>
    <x v="0"/>
    <x v="0"/>
    <x v="0"/>
    <s v="DK1_NoDH"/>
    <x v="7"/>
    <s v="GNR_ROR_WTR"/>
    <x v="0"/>
    <x v="0"/>
    <n v="4.2427489658130701"/>
    <n v="1548.6033725217701"/>
    <n v="5574.9721410783704"/>
  </r>
  <r>
    <x v="0"/>
    <x v="0"/>
    <x v="0"/>
    <x v="0"/>
    <x v="0"/>
    <s v="DK1_NoDH"/>
    <x v="7"/>
    <s v="GNR_ROR_WTR"/>
    <x v="0"/>
    <x v="1"/>
    <n v="4.2427489658130701"/>
    <n v="1548.6033725217701"/>
    <n v="5574.9721410783704"/>
  </r>
  <r>
    <x v="0"/>
    <x v="0"/>
    <x v="0"/>
    <x v="0"/>
    <x v="0"/>
    <s v="DK1_NoDH"/>
    <x v="7"/>
    <s v="GNR_ROR_WTR"/>
    <x v="0"/>
    <x v="2"/>
    <n v="4.2427489658130701"/>
    <n v="1548.6033725217701"/>
    <n v="5574.9721410783704"/>
  </r>
  <r>
    <x v="0"/>
    <x v="0"/>
    <x v="0"/>
    <x v="0"/>
    <x v="0"/>
    <s v="DK1_NoDH"/>
    <x v="7"/>
    <s v="GNR_ROR_WTR"/>
    <x v="0"/>
    <x v="3"/>
    <n v="4.2427489658130701"/>
    <n v="1548.6033725217701"/>
    <n v="5574.9721410783704"/>
  </r>
  <r>
    <x v="0"/>
    <x v="0"/>
    <x v="0"/>
    <x v="0"/>
    <x v="0"/>
    <s v="DK1_NoDH"/>
    <x v="7"/>
    <s v="GNR_ROR_WTR"/>
    <x v="0"/>
    <x v="4"/>
    <n v="4.2427489658130701"/>
    <n v="1548.6033725217701"/>
    <n v="5574.9721410783704"/>
  </r>
  <r>
    <x v="0"/>
    <x v="0"/>
    <x v="0"/>
    <x v="0"/>
    <x v="0"/>
    <s v="DK1_NoDH"/>
    <x v="7"/>
    <s v="GNR_ROR_WTR"/>
    <x v="0"/>
    <x v="5"/>
    <n v="4.2427489658130701"/>
    <n v="1548.6033725217701"/>
    <n v="5574.9721410783704"/>
  </r>
  <r>
    <x v="0"/>
    <x v="0"/>
    <x v="0"/>
    <x v="0"/>
    <x v="0"/>
    <s v="DK1_NoDH"/>
    <x v="7"/>
    <s v="GNR_ROR_WTR"/>
    <x v="0"/>
    <x v="6"/>
    <n v="4.2427489658130701"/>
    <n v="1548.6033725217701"/>
    <n v="5574.9721410783704"/>
  </r>
  <r>
    <x v="0"/>
    <x v="0"/>
    <x v="0"/>
    <x v="0"/>
    <x v="0"/>
    <s v="DK1_NoDH"/>
    <x v="7"/>
    <s v="GNR_ROR_WTR"/>
    <x v="0"/>
    <x v="7"/>
    <n v="4.2427489658130701"/>
    <n v="1548.6033725217701"/>
    <n v="5574.9721410783704"/>
  </r>
  <r>
    <x v="0"/>
    <x v="0"/>
    <x v="0"/>
    <x v="0"/>
    <x v="0"/>
    <s v="DK1_NoDH"/>
    <x v="7"/>
    <s v="GNR_ROR_WTR"/>
    <x v="0"/>
    <x v="8"/>
    <n v="4.2427489658130701"/>
    <n v="1548.6033725217701"/>
    <n v="5574.9721410783704"/>
  </r>
  <r>
    <x v="0"/>
    <x v="0"/>
    <x v="0"/>
    <x v="0"/>
    <x v="0"/>
    <s v="DK1_NoDH"/>
    <x v="7"/>
    <s v="GNR_ROR_WTR"/>
    <x v="0"/>
    <x v="9"/>
    <n v="4.2427489658130701"/>
    <n v="1548.6033725217701"/>
    <n v="5574.9721410783704"/>
  </r>
  <r>
    <x v="0"/>
    <x v="0"/>
    <x v="0"/>
    <x v="0"/>
    <x v="0"/>
    <s v="DK1_NoDH"/>
    <x v="7"/>
    <s v="GNR_ROR_WTR"/>
    <x v="0"/>
    <x v="10"/>
    <n v="4.2427489658130701"/>
    <n v="1548.6033725217701"/>
    <n v="5574.9721410783704"/>
  </r>
  <r>
    <x v="0"/>
    <x v="0"/>
    <x v="0"/>
    <x v="0"/>
    <x v="0"/>
    <s v="DK1_NoDH"/>
    <x v="7"/>
    <s v="GNR_ROR_WTR"/>
    <x v="0"/>
    <x v="11"/>
    <n v="4.2427489658130701"/>
    <n v="1548.6033725217701"/>
    <n v="5574.9721410783704"/>
  </r>
  <r>
    <x v="0"/>
    <x v="0"/>
    <x v="0"/>
    <x v="0"/>
    <x v="0"/>
    <s v="DK1_NoDH"/>
    <x v="7"/>
    <s v="GNR_ROR_WTR"/>
    <x v="0"/>
    <x v="12"/>
    <n v="4.2427489658130701"/>
    <n v="1548.6033725217701"/>
    <n v="5574.9721410783704"/>
  </r>
  <r>
    <x v="0"/>
    <x v="0"/>
    <x v="0"/>
    <x v="0"/>
    <x v="0"/>
    <s v="DK1_NoDH"/>
    <x v="7"/>
    <s v="GNR_ROR_WTR"/>
    <x v="0"/>
    <x v="13"/>
    <n v="4.2427489658130701"/>
    <n v="1548.6033725217701"/>
    <n v="5574.9721410783704"/>
  </r>
  <r>
    <x v="0"/>
    <x v="0"/>
    <x v="0"/>
    <x v="0"/>
    <x v="0"/>
    <s v="DK1_NoDH"/>
    <x v="7"/>
    <s v="GNR_ROR_WTR"/>
    <x v="0"/>
    <x v="14"/>
    <n v="4.2427489658130701"/>
    <n v="1548.6033725217701"/>
    <n v="5574.9721410783704"/>
  </r>
  <r>
    <x v="0"/>
    <x v="0"/>
    <x v="0"/>
    <x v="0"/>
    <x v="0"/>
    <s v="DK1_NoDH"/>
    <x v="7"/>
    <s v="GNR_ROR_WTR"/>
    <x v="0"/>
    <x v="15"/>
    <n v="4.2427489658130701"/>
    <n v="1548.6033725217701"/>
    <n v="5574.9721410783704"/>
  </r>
  <r>
    <x v="0"/>
    <x v="0"/>
    <x v="0"/>
    <x v="0"/>
    <x v="0"/>
    <s v="DK1_NoDH"/>
    <x v="7"/>
    <s v="GNR_ROR_WTR"/>
    <x v="0"/>
    <x v="16"/>
    <n v="4.2427489658130701"/>
    <n v="1548.6033725217701"/>
    <n v="5574.9721410783704"/>
  </r>
  <r>
    <x v="0"/>
    <x v="0"/>
    <x v="0"/>
    <x v="0"/>
    <x v="0"/>
    <s v="DK1_NoDH"/>
    <x v="7"/>
    <s v="GNR_ROR_WTR"/>
    <x v="0"/>
    <x v="17"/>
    <n v="4.2427489658130701"/>
    <n v="1548.6033725217701"/>
    <n v="5574.9721410783704"/>
  </r>
  <r>
    <x v="0"/>
    <x v="0"/>
    <x v="0"/>
    <x v="0"/>
    <x v="0"/>
    <s v="DK1_NoDH"/>
    <x v="7"/>
    <s v="GNR_ROR_WTR"/>
    <x v="0"/>
    <x v="18"/>
    <n v="4.2427489658130701"/>
    <n v="1548.6033725217701"/>
    <n v="5574.9721410783704"/>
  </r>
  <r>
    <x v="0"/>
    <x v="0"/>
    <x v="0"/>
    <x v="0"/>
    <x v="0"/>
    <s v="DK1_NoDH"/>
    <x v="7"/>
    <s v="GNR_ROR_WTR"/>
    <x v="0"/>
    <x v="19"/>
    <n v="4.2427489658130701"/>
    <n v="1548.6033725217701"/>
    <n v="5574.9721410783704"/>
  </r>
  <r>
    <x v="0"/>
    <x v="0"/>
    <x v="0"/>
    <x v="0"/>
    <x v="0"/>
    <s v="DK1_NoDH"/>
    <x v="7"/>
    <s v="GNR_ROR_WTR"/>
    <x v="0"/>
    <x v="20"/>
    <n v="4.2427489658130701"/>
    <n v="1548.6033725217701"/>
    <n v="5574.9721410783704"/>
  </r>
  <r>
    <x v="0"/>
    <x v="0"/>
    <x v="0"/>
    <x v="0"/>
    <x v="0"/>
    <s v="DK1_NoDH"/>
    <x v="7"/>
    <s v="GNR_ROR_WTR"/>
    <x v="0"/>
    <x v="21"/>
    <n v="4.2427489658130701"/>
    <n v="1548.6033725217701"/>
    <n v="5574.9721410783704"/>
  </r>
  <r>
    <x v="0"/>
    <x v="0"/>
    <x v="0"/>
    <x v="0"/>
    <x v="0"/>
    <s v="DK1_NoDH"/>
    <x v="7"/>
    <s v="GNR_ROR_WTR"/>
    <x v="0"/>
    <x v="22"/>
    <n v="4.2427489658130701"/>
    <n v="1548.6033725217701"/>
    <n v="5574.9721410783704"/>
  </r>
  <r>
    <x v="0"/>
    <x v="0"/>
    <x v="0"/>
    <x v="0"/>
    <x v="0"/>
    <s v="DK1_NoDH"/>
    <x v="7"/>
    <s v="GNR_ROR_WTR"/>
    <x v="0"/>
    <x v="23"/>
    <n v="4.2427489658130701"/>
    <n v="1548.6033725217701"/>
    <n v="5574.9721410783704"/>
  </r>
  <r>
    <x v="0"/>
    <x v="0"/>
    <x v="0"/>
    <x v="0"/>
    <x v="0"/>
    <s v="DK1_NoDH"/>
    <x v="8"/>
    <s v="GNR_WT_WIND_ONS"/>
    <x v="0"/>
    <x v="0"/>
    <n v="1150.14168486067"/>
    <n v="419801.71497414599"/>
    <n v="1511286.17390692"/>
  </r>
  <r>
    <x v="0"/>
    <x v="0"/>
    <x v="0"/>
    <x v="0"/>
    <x v="0"/>
    <s v="DK1_NoDH"/>
    <x v="8"/>
    <s v="GNR_WT_WIND_ONS"/>
    <x v="0"/>
    <x v="1"/>
    <n v="1256.53561519552"/>
    <n v="458635.49954636599"/>
    <n v="1651087.7983669201"/>
  </r>
  <r>
    <x v="0"/>
    <x v="0"/>
    <x v="0"/>
    <x v="0"/>
    <x v="0"/>
    <s v="DK1_NoDH"/>
    <x v="8"/>
    <s v="GNR_WT_WIND_ONS"/>
    <x v="0"/>
    <x v="2"/>
    <n v="1342.7379967076999"/>
    <n v="490099.36879831"/>
    <n v="1764357.7276739201"/>
  </r>
  <r>
    <x v="0"/>
    <x v="0"/>
    <x v="0"/>
    <x v="0"/>
    <x v="0"/>
    <s v="DK1_NoDH"/>
    <x v="8"/>
    <s v="GNR_WT_WIND_ONS"/>
    <x v="0"/>
    <x v="3"/>
    <n v="1519.0257498902599"/>
    <n v="554444.39870994503"/>
    <n v="1995999.8353558001"/>
  </r>
  <r>
    <x v="0"/>
    <x v="0"/>
    <x v="0"/>
    <x v="0"/>
    <x v="0"/>
    <s v="DK1_NoDH"/>
    <x v="8"/>
    <s v="GNR_WT_WIND_ONS"/>
    <x v="0"/>
    <x v="4"/>
    <n v="1611.4409156555701"/>
    <n v="588175.93421428197"/>
    <n v="2117433.3631714201"/>
  </r>
  <r>
    <x v="0"/>
    <x v="0"/>
    <x v="0"/>
    <x v="0"/>
    <x v="0"/>
    <s v="DK1_NoDH"/>
    <x v="8"/>
    <s v="GNR_WT_WIND_ONS"/>
    <x v="0"/>
    <x v="5"/>
    <n v="1701.5262873259501"/>
    <n v="621057.094873972"/>
    <n v="2235805.5415463001"/>
  </r>
  <r>
    <x v="0"/>
    <x v="0"/>
    <x v="0"/>
    <x v="0"/>
    <x v="0"/>
    <s v="DK1_NoDH"/>
    <x v="8"/>
    <s v="GNR_WT_WIND_ONS"/>
    <x v="0"/>
    <x v="6"/>
    <n v="1738.8029928447299"/>
    <n v="634663.092388327"/>
    <n v="2284787.1325979801"/>
  </r>
  <r>
    <x v="0"/>
    <x v="0"/>
    <x v="0"/>
    <x v="0"/>
    <x v="0"/>
    <s v="DK1_NoDH"/>
    <x v="8"/>
    <s v="GNR_WT_WIND_ONS"/>
    <x v="0"/>
    <x v="7"/>
    <n v="1717.0582479587799"/>
    <n v="626726.26050495298"/>
    <n v="2256214.5378178302"/>
  </r>
  <r>
    <x v="0"/>
    <x v="0"/>
    <x v="0"/>
    <x v="0"/>
    <x v="0"/>
    <s v="DK1_NoDH"/>
    <x v="8"/>
    <s v="GNR_WT_WIND_ONS"/>
    <x v="0"/>
    <x v="8"/>
    <n v="1578.8237983266399"/>
    <n v="576270.68638922204"/>
    <n v="2074574.4710011999"/>
  </r>
  <r>
    <x v="0"/>
    <x v="0"/>
    <x v="0"/>
    <x v="0"/>
    <x v="0"/>
    <s v="DK1_NoDH"/>
    <x v="8"/>
    <s v="GNR_WT_WIND_ONS"/>
    <x v="0"/>
    <x v="9"/>
    <n v="1490.2916227195301"/>
    <n v="543956.44229262997"/>
    <n v="1958243.19225347"/>
  </r>
  <r>
    <x v="0"/>
    <x v="0"/>
    <x v="0"/>
    <x v="0"/>
    <x v="0"/>
    <s v="DK1_NoDH"/>
    <x v="8"/>
    <s v="GNR_WT_WIND_ONS"/>
    <x v="0"/>
    <x v="10"/>
    <n v="1331.8656242647201"/>
    <n v="486130.95285662398"/>
    <n v="1750071.4302838501"/>
  </r>
  <r>
    <x v="0"/>
    <x v="0"/>
    <x v="0"/>
    <x v="0"/>
    <x v="0"/>
    <s v="DK1_NoDH"/>
    <x v="8"/>
    <s v="GNR_WT_WIND_ONS"/>
    <x v="0"/>
    <x v="11"/>
    <n v="1220.8121057400299"/>
    <n v="445596.41859510902"/>
    <n v="1604147.1069423901"/>
  </r>
  <r>
    <x v="0"/>
    <x v="0"/>
    <x v="0"/>
    <x v="0"/>
    <x v="0"/>
    <s v="DK1_NoDH"/>
    <x v="8"/>
    <s v="GNR_WT_WIND_ONS"/>
    <x v="0"/>
    <x v="12"/>
    <n v="1193.63117463258"/>
    <n v="435675.37874089298"/>
    <n v="1568431.36346721"/>
  </r>
  <r>
    <x v="0"/>
    <x v="0"/>
    <x v="0"/>
    <x v="0"/>
    <x v="0"/>
    <s v="DK1_NoDH"/>
    <x v="8"/>
    <s v="GNR_WT_WIND_ONS"/>
    <x v="0"/>
    <x v="13"/>
    <n v="1207.6099392021199"/>
    <n v="440777.627808775"/>
    <n v="1586799.4601115901"/>
  </r>
  <r>
    <x v="0"/>
    <x v="0"/>
    <x v="0"/>
    <x v="0"/>
    <x v="0"/>
    <s v="DK1_NoDH"/>
    <x v="8"/>
    <s v="GNR_WT_WIND_ONS"/>
    <x v="0"/>
    <x v="14"/>
    <n v="1211.49292936033"/>
    <n v="442194.91921652103"/>
    <n v="1591901.7091794701"/>
  </r>
  <r>
    <x v="0"/>
    <x v="0"/>
    <x v="0"/>
    <x v="0"/>
    <x v="0"/>
    <s v="DK1_NoDH"/>
    <x v="8"/>
    <s v="GNR_WT_WIND_ONS"/>
    <x v="0"/>
    <x v="15"/>
    <n v="1166.45024352514"/>
    <n v="425754.33888667601"/>
    <n v="1532715.6199920301"/>
  </r>
  <r>
    <x v="0"/>
    <x v="0"/>
    <x v="0"/>
    <x v="0"/>
    <x v="0"/>
    <s v="DK1_NoDH"/>
    <x v="8"/>
    <s v="GNR_WT_WIND_ONS"/>
    <x v="0"/>
    <x v="16"/>
    <n v="1092.6734305192199"/>
    <n v="398825.80213951599"/>
    <n v="1435772.8877022599"/>
  </r>
  <r>
    <x v="0"/>
    <x v="0"/>
    <x v="0"/>
    <x v="0"/>
    <x v="0"/>
    <s v="DK1_NoDH"/>
    <x v="8"/>
    <s v="GNR_WT_WIND_ONS"/>
    <x v="0"/>
    <x v="17"/>
    <n v="879.10897181788096"/>
    <n v="320874.774713527"/>
    <n v="1155149.1889686999"/>
  </r>
  <r>
    <x v="0"/>
    <x v="0"/>
    <x v="0"/>
    <x v="0"/>
    <x v="0"/>
    <s v="DK1_NoDH"/>
    <x v="8"/>
    <s v="GNR_WT_WIND_ONS"/>
    <x v="0"/>
    <x v="18"/>
    <n v="639.14018004073898"/>
    <n v="233286.16571487"/>
    <n v="839830.19657352997"/>
  </r>
  <r>
    <x v="0"/>
    <x v="0"/>
    <x v="0"/>
    <x v="0"/>
    <x v="0"/>
    <s v="DK1_NoDH"/>
    <x v="8"/>
    <s v="GNR_WT_WIND_ONS"/>
    <x v="0"/>
    <x v="19"/>
    <n v="564.58676900318005"/>
    <n v="206074.170686161"/>
    <n v="741867.01447017805"/>
  </r>
  <r>
    <x v="0"/>
    <x v="0"/>
    <x v="0"/>
    <x v="0"/>
    <x v="0"/>
    <s v="DK1_NoDH"/>
    <x v="8"/>
    <s v="GNR_WT_WIND_ONS"/>
    <x v="0"/>
    <x v="20"/>
    <n v="587.88470995241698"/>
    <n v="214577.919132632"/>
    <n v="772480.50887747598"/>
  </r>
  <r>
    <x v="0"/>
    <x v="0"/>
    <x v="0"/>
    <x v="0"/>
    <x v="0"/>
    <s v="DK1_NoDH"/>
    <x v="8"/>
    <s v="GNR_WT_WIND_ONS"/>
    <x v="0"/>
    <x v="21"/>
    <n v="665.544513116541"/>
    <n v="242923.747287537"/>
    <n v="874525.49023513403"/>
  </r>
  <r>
    <x v="0"/>
    <x v="0"/>
    <x v="0"/>
    <x v="0"/>
    <x v="0"/>
    <s v="DK1_NoDH"/>
    <x v="8"/>
    <s v="GNR_WT_WIND_ONS"/>
    <x v="0"/>
    <x v="22"/>
    <n v="759.51287494512997"/>
    <n v="277222.19935497298"/>
    <n v="997999.91767790099"/>
  </r>
  <r>
    <x v="0"/>
    <x v="0"/>
    <x v="0"/>
    <x v="0"/>
    <x v="0"/>
    <s v="DK1_NoDH"/>
    <x v="8"/>
    <s v="GNR_WT_WIND_ONS"/>
    <x v="0"/>
    <x v="23"/>
    <n v="939.68361828589798"/>
    <n v="342984.520674353"/>
    <n v="1234744.2744276701"/>
  </r>
  <r>
    <x v="0"/>
    <x v="0"/>
    <x v="0"/>
    <x v="0"/>
    <x v="0"/>
    <s v="DK1_Offshore"/>
    <x v="8"/>
    <s v="GNR_WT_WIND_OFF"/>
    <x v="0"/>
    <x v="0"/>
    <n v="404.79509913482502"/>
    <n v="147750.21118421099"/>
    <n v="531900.76026315999"/>
  </r>
  <r>
    <x v="0"/>
    <x v="0"/>
    <x v="0"/>
    <x v="0"/>
    <x v="0"/>
    <s v="DK1_Offshore"/>
    <x v="8"/>
    <s v="GNR_WT_WIND_OFF"/>
    <x v="0"/>
    <x v="1"/>
    <n v="442.24069574621598"/>
    <n v="161417.853947369"/>
    <n v="581104.274210528"/>
  </r>
  <r>
    <x v="0"/>
    <x v="0"/>
    <x v="0"/>
    <x v="0"/>
    <x v="0"/>
    <s v="DK1_Offshore"/>
    <x v="8"/>
    <s v="GNR_WT_WIND_OFF"/>
    <x v="0"/>
    <x v="2"/>
    <n v="472.57982876712498"/>
    <n v="172491.637500001"/>
    <n v="620969.895000002"/>
  </r>
  <r>
    <x v="0"/>
    <x v="0"/>
    <x v="0"/>
    <x v="0"/>
    <x v="0"/>
    <s v="DK1_Offshore"/>
    <x v="8"/>
    <s v="GNR_WT_WIND_OFF"/>
    <x v="0"/>
    <x v="3"/>
    <n v="534.62472242249601"/>
    <n v="195138.02368421099"/>
    <n v="702496.88526315999"/>
  </r>
  <r>
    <x v="0"/>
    <x v="0"/>
    <x v="0"/>
    <x v="0"/>
    <x v="0"/>
    <s v="DK1_Offshore"/>
    <x v="8"/>
    <s v="GNR_WT_WIND_OFF"/>
    <x v="0"/>
    <x v="4"/>
    <n v="567.15045962509203"/>
    <n v="207009.917763159"/>
    <n v="745235.70394737099"/>
  </r>
  <r>
    <x v="0"/>
    <x v="0"/>
    <x v="0"/>
    <x v="0"/>
    <x v="0"/>
    <s v="DK1_Offshore"/>
    <x v="8"/>
    <s v="GNR_WT_WIND_OFF"/>
    <x v="0"/>
    <x v="5"/>
    <n v="598.85622025955502"/>
    <n v="218582.52039473801"/>
    <n v="786897.07342105499"/>
  </r>
  <r>
    <x v="0"/>
    <x v="0"/>
    <x v="0"/>
    <x v="0"/>
    <x v="0"/>
    <s v="DK1_Offshore"/>
    <x v="8"/>
    <s v="GNR_WT_WIND_OFF"/>
    <x v="0"/>
    <x v="6"/>
    <n v="611.97584534967802"/>
    <n v="223371.18355263199"/>
    <n v="804136.26078947703"/>
  </r>
  <r>
    <x v="0"/>
    <x v="0"/>
    <x v="0"/>
    <x v="0"/>
    <x v="0"/>
    <s v="DK1_Offshore"/>
    <x v="8"/>
    <s v="GNR_WT_WIND_OFF"/>
    <x v="0"/>
    <x v="7"/>
    <n v="604.32273071377301"/>
    <n v="220577.79671052701"/>
    <n v="794080.06815789803"/>
  </r>
  <r>
    <x v="0"/>
    <x v="0"/>
    <x v="0"/>
    <x v="0"/>
    <x v="0"/>
    <s v="DK1_Offshore"/>
    <x v="8"/>
    <s v="GNR_WT_WIND_OFF"/>
    <x v="0"/>
    <x v="8"/>
    <n v="555.67078767123496"/>
    <n v="202819.83750000101"/>
    <n v="730151.41500000295"/>
  </r>
  <r>
    <x v="0"/>
    <x v="0"/>
    <x v="0"/>
    <x v="0"/>
    <x v="0"/>
    <s v="DK1_Offshore"/>
    <x v="8"/>
    <s v="GNR_WT_WIND_OFF"/>
    <x v="0"/>
    <x v="9"/>
    <n v="524.51167808219395"/>
    <n v="191446.762500001"/>
    <n v="689208.34500000195"/>
  </r>
  <r>
    <x v="0"/>
    <x v="0"/>
    <x v="0"/>
    <x v="0"/>
    <x v="0"/>
    <s v="DK1_Offshore"/>
    <x v="8"/>
    <s v="GNR_WT_WIND_OFF"/>
    <x v="0"/>
    <x v="10"/>
    <n v="468.75327144917298"/>
    <n v="171094.944078948"/>
    <n v="615941.79868421296"/>
  </r>
  <r>
    <x v="0"/>
    <x v="0"/>
    <x v="0"/>
    <x v="0"/>
    <x v="0"/>
    <s v="DK1_Offshore"/>
    <x v="8"/>
    <s v="GNR_WT_WIND_OFF"/>
    <x v="0"/>
    <x v="11"/>
    <n v="429.66772170151597"/>
    <n v="156828.718421053"/>
    <n v="564583.38631579105"/>
  </r>
  <r>
    <x v="0"/>
    <x v="0"/>
    <x v="0"/>
    <x v="0"/>
    <x v="0"/>
    <s v="DK1_Offshore"/>
    <x v="8"/>
    <s v="GNR_WT_WIND_OFF"/>
    <x v="0"/>
    <x v="12"/>
    <n v="420.10132840663499"/>
    <n v="153336.98486842201"/>
    <n v="552013.145526318"/>
  </r>
  <r>
    <x v="0"/>
    <x v="0"/>
    <x v="0"/>
    <x v="0"/>
    <x v="0"/>
    <s v="DK1_Offshore"/>
    <x v="8"/>
    <s v="GNR_WT_WIND_OFF"/>
    <x v="0"/>
    <x v="13"/>
    <n v="425.02118781543101"/>
    <n v="155132.73355263201"/>
    <n v="558477.84078947594"/>
  </r>
  <r>
    <x v="0"/>
    <x v="0"/>
    <x v="0"/>
    <x v="0"/>
    <x v="0"/>
    <s v="DK1_Offshore"/>
    <x v="8"/>
    <s v="GNR_WT_WIND_OFF"/>
    <x v="0"/>
    <x v="14"/>
    <n v="426.38781542898499"/>
    <n v="155631.55263158001"/>
    <n v="560273.58947368595"/>
  </r>
  <r>
    <x v="0"/>
    <x v="0"/>
    <x v="0"/>
    <x v="0"/>
    <x v="0"/>
    <s v="DK1_Offshore"/>
    <x v="8"/>
    <s v="GNR_WT_WIND_OFF"/>
    <x v="0"/>
    <x v="15"/>
    <n v="410.53493511175299"/>
    <n v="149845.25131579"/>
    <n v="539442.90473684401"/>
  </r>
  <r>
    <x v="0"/>
    <x v="0"/>
    <x v="0"/>
    <x v="0"/>
    <x v="0"/>
    <s v="DK1_Offshore"/>
    <x v="8"/>
    <s v="GNR_WT_WIND_OFF"/>
    <x v="0"/>
    <x v="16"/>
    <n v="384.56901045421898"/>
    <n v="140367.68881579"/>
    <n v="505323.67973684397"/>
  </r>
  <r>
    <x v="0"/>
    <x v="0"/>
    <x v="0"/>
    <x v="0"/>
    <x v="0"/>
    <s v="DK1_Offshore"/>
    <x v="8"/>
    <s v="GNR_WT_WIND_OFF"/>
    <x v="0"/>
    <x v="17"/>
    <n v="309.404491708725"/>
    <n v="112932.63947368501"/>
    <n v="406557.50210526498"/>
  </r>
  <r>
    <x v="0"/>
    <x v="0"/>
    <x v="0"/>
    <x v="0"/>
    <x v="0"/>
    <s v="DK1_Offshore"/>
    <x v="8"/>
    <s v="GNR_WT_WIND_OFF"/>
    <x v="0"/>
    <x v="18"/>
    <n v="224.94690519106101"/>
    <n v="82105.620394737096"/>
    <n v="295580.23342105403"/>
  </r>
  <r>
    <x v="0"/>
    <x v="0"/>
    <x v="0"/>
    <x v="0"/>
    <x v="0"/>
    <s v="DK1_Offshore"/>
    <x v="8"/>
    <s v="GNR_WT_WIND_OFF"/>
    <x v="0"/>
    <x v="19"/>
    <n v="198.70765501081499"/>
    <n v="72528.294078947598"/>
    <n v="261101.85868421101"/>
  </r>
  <r>
    <x v="0"/>
    <x v="0"/>
    <x v="0"/>
    <x v="0"/>
    <x v="0"/>
    <s v="DK1_Offshore"/>
    <x v="8"/>
    <s v="GNR_WT_WIND_OFF"/>
    <x v="0"/>
    <x v="20"/>
    <n v="206.90742069214201"/>
    <n v="75521.208552631899"/>
    <n v="271876.35078947502"/>
  </r>
  <r>
    <x v="0"/>
    <x v="0"/>
    <x v="0"/>
    <x v="0"/>
    <x v="0"/>
    <s v="DK1_Offshore"/>
    <x v="8"/>
    <s v="GNR_WT_WIND_OFF"/>
    <x v="0"/>
    <x v="21"/>
    <n v="234.239972963231"/>
    <n v="85497.590131579302"/>
    <n v="307791.324473685"/>
  </r>
  <r>
    <x v="0"/>
    <x v="0"/>
    <x v="0"/>
    <x v="0"/>
    <x v="0"/>
    <s v="DK1_Offshore"/>
    <x v="8"/>
    <s v="GNR_WT_WIND_OFF"/>
    <x v="0"/>
    <x v="22"/>
    <n v="267.312361211248"/>
    <n v="97569.011842105596"/>
    <n v="351248.44263157999"/>
  </r>
  <r>
    <x v="0"/>
    <x v="0"/>
    <x v="0"/>
    <x v="0"/>
    <x v="0"/>
    <s v="DK1_Offshore"/>
    <x v="8"/>
    <s v="GNR_WT_WIND_OFF"/>
    <x v="0"/>
    <x v="23"/>
    <n v="330.72388248017398"/>
    <n v="120714.217105264"/>
    <n v="434571.18157894898"/>
  </r>
  <r>
    <x v="0"/>
    <x v="0"/>
    <x v="0"/>
    <x v="0"/>
    <x v="0"/>
    <s v="DK1_Rural"/>
    <x v="0"/>
    <s v="GNR_BO_COAL_E-91"/>
    <x v="0"/>
    <x v="0"/>
    <n v="10.989010989011"/>
    <n v="4010.9890109890098"/>
    <n v="14439.5604395604"/>
  </r>
  <r>
    <x v="0"/>
    <x v="0"/>
    <x v="0"/>
    <x v="0"/>
    <x v="0"/>
    <s v="DK1_Rural"/>
    <x v="0"/>
    <s v="GNR_BO_COAL_E-91"/>
    <x v="0"/>
    <x v="1"/>
    <n v="10.989010989011"/>
    <n v="4010.9890109890098"/>
    <n v="14439.5604395604"/>
  </r>
  <r>
    <x v="0"/>
    <x v="0"/>
    <x v="0"/>
    <x v="0"/>
    <x v="0"/>
    <s v="DK1_Rural"/>
    <x v="0"/>
    <s v="GNR_BO_COAL_E-91"/>
    <x v="0"/>
    <x v="2"/>
    <n v="10.989010989011"/>
    <n v="4010.9890109890098"/>
    <n v="14439.5604395604"/>
  </r>
  <r>
    <x v="0"/>
    <x v="0"/>
    <x v="0"/>
    <x v="0"/>
    <x v="0"/>
    <s v="DK1_Rural"/>
    <x v="0"/>
    <s v="GNR_BO_COAL_E-91"/>
    <x v="0"/>
    <x v="3"/>
    <n v="10.989010989011"/>
    <n v="4010.9890109890098"/>
    <n v="14439.5604395604"/>
  </r>
  <r>
    <x v="0"/>
    <x v="0"/>
    <x v="0"/>
    <x v="0"/>
    <x v="0"/>
    <s v="DK1_Rural"/>
    <x v="0"/>
    <s v="GNR_BO_COAL_E-91"/>
    <x v="0"/>
    <x v="4"/>
    <n v="10.989010989011"/>
    <n v="4010.9890109890098"/>
    <n v="14439.5604395604"/>
  </r>
  <r>
    <x v="0"/>
    <x v="0"/>
    <x v="0"/>
    <x v="0"/>
    <x v="0"/>
    <s v="DK1_Rural"/>
    <x v="0"/>
    <s v="GNR_BO_COAL_E-91"/>
    <x v="0"/>
    <x v="5"/>
    <n v="10.989010989011"/>
    <n v="4010.9890109890098"/>
    <n v="14439.5604395604"/>
  </r>
  <r>
    <x v="0"/>
    <x v="0"/>
    <x v="0"/>
    <x v="0"/>
    <x v="0"/>
    <s v="DK1_Rural"/>
    <x v="0"/>
    <s v="GNR_BO_COAL_E-91"/>
    <x v="0"/>
    <x v="6"/>
    <n v="10.989010989011"/>
    <n v="4010.9890109890098"/>
    <n v="14439.5604395604"/>
  </r>
  <r>
    <x v="0"/>
    <x v="0"/>
    <x v="0"/>
    <x v="0"/>
    <x v="0"/>
    <s v="DK1_Rural"/>
    <x v="0"/>
    <s v="GNR_BO_COAL_E-91"/>
    <x v="0"/>
    <x v="7"/>
    <n v="10.989010989011"/>
    <n v="4010.9890109890098"/>
    <n v="14439.5604395604"/>
  </r>
  <r>
    <x v="0"/>
    <x v="0"/>
    <x v="0"/>
    <x v="0"/>
    <x v="0"/>
    <s v="DK1_Rural"/>
    <x v="0"/>
    <s v="GNR_BO_COAL_E-91"/>
    <x v="0"/>
    <x v="8"/>
    <n v="10.989010989011"/>
    <n v="4010.9890109890098"/>
    <n v="14439.5604395604"/>
  </r>
  <r>
    <x v="0"/>
    <x v="0"/>
    <x v="0"/>
    <x v="0"/>
    <x v="0"/>
    <s v="DK1_Rural"/>
    <x v="0"/>
    <s v="GNR_BO_COAL_E-91"/>
    <x v="0"/>
    <x v="9"/>
    <n v="10.989010989011"/>
    <n v="4010.9890109890098"/>
    <n v="14439.5604395604"/>
  </r>
  <r>
    <x v="0"/>
    <x v="0"/>
    <x v="0"/>
    <x v="0"/>
    <x v="0"/>
    <s v="DK1_Rural"/>
    <x v="0"/>
    <s v="GNR_BO_COAL_E-91"/>
    <x v="0"/>
    <x v="10"/>
    <n v="10.989010989011"/>
    <n v="4010.9890109890098"/>
    <n v="14439.5604395604"/>
  </r>
  <r>
    <x v="0"/>
    <x v="0"/>
    <x v="0"/>
    <x v="0"/>
    <x v="0"/>
    <s v="DK1_Rural"/>
    <x v="0"/>
    <s v="GNR_BO_COAL_E-91"/>
    <x v="0"/>
    <x v="11"/>
    <n v="10.989010989011"/>
    <n v="4010.9890109890098"/>
    <n v="14439.5604395604"/>
  </r>
  <r>
    <x v="0"/>
    <x v="0"/>
    <x v="0"/>
    <x v="0"/>
    <x v="0"/>
    <s v="DK1_Rural"/>
    <x v="0"/>
    <s v="GNR_BO_COAL_E-91"/>
    <x v="0"/>
    <x v="12"/>
    <n v="10.989010989011"/>
    <n v="4010.9890109890098"/>
    <n v="14439.5604395604"/>
  </r>
  <r>
    <x v="0"/>
    <x v="0"/>
    <x v="0"/>
    <x v="0"/>
    <x v="0"/>
    <s v="DK1_Rural"/>
    <x v="0"/>
    <s v="GNR_BO_COAL_E-91"/>
    <x v="0"/>
    <x v="13"/>
    <n v="10.989010989011"/>
    <n v="4010.9890109890098"/>
    <n v="14439.5604395604"/>
  </r>
  <r>
    <x v="0"/>
    <x v="0"/>
    <x v="0"/>
    <x v="0"/>
    <x v="0"/>
    <s v="DK1_Rural"/>
    <x v="0"/>
    <s v="GNR_BO_COAL_E-91"/>
    <x v="0"/>
    <x v="14"/>
    <n v="10.989010989011"/>
    <n v="4010.9890109890098"/>
    <n v="14439.5604395604"/>
  </r>
  <r>
    <x v="0"/>
    <x v="0"/>
    <x v="0"/>
    <x v="0"/>
    <x v="0"/>
    <s v="DK1_Rural"/>
    <x v="0"/>
    <s v="GNR_BO_COAL_E-91"/>
    <x v="0"/>
    <x v="15"/>
    <n v="10.989010989011"/>
    <n v="4010.9890109890098"/>
    <n v="14439.5604395604"/>
  </r>
  <r>
    <x v="0"/>
    <x v="0"/>
    <x v="0"/>
    <x v="0"/>
    <x v="0"/>
    <s v="DK1_Rural"/>
    <x v="0"/>
    <s v="GNR_BO_COAL_E-91"/>
    <x v="0"/>
    <x v="16"/>
    <n v="10.989010989011"/>
    <n v="4010.9890109890098"/>
    <n v="14439.5604395604"/>
  </r>
  <r>
    <x v="0"/>
    <x v="0"/>
    <x v="0"/>
    <x v="0"/>
    <x v="0"/>
    <s v="DK1_Rural"/>
    <x v="0"/>
    <s v="GNR_BO_COAL_E-91"/>
    <x v="0"/>
    <x v="17"/>
    <n v="10.989010989011"/>
    <n v="4010.9890109890098"/>
    <n v="14439.5604395604"/>
  </r>
  <r>
    <x v="0"/>
    <x v="0"/>
    <x v="0"/>
    <x v="0"/>
    <x v="0"/>
    <s v="DK1_Rural"/>
    <x v="0"/>
    <s v="GNR_BO_COAL_E-91"/>
    <x v="0"/>
    <x v="18"/>
    <n v="10.989010989011"/>
    <n v="4010.9890109890098"/>
    <n v="14439.5604395604"/>
  </r>
  <r>
    <x v="0"/>
    <x v="0"/>
    <x v="0"/>
    <x v="0"/>
    <x v="0"/>
    <s v="DK1_Rural"/>
    <x v="0"/>
    <s v="GNR_BO_COAL_E-91"/>
    <x v="0"/>
    <x v="19"/>
    <n v="10.989010989011"/>
    <n v="4010.9890109890098"/>
    <n v="14439.5604395604"/>
  </r>
  <r>
    <x v="0"/>
    <x v="0"/>
    <x v="0"/>
    <x v="0"/>
    <x v="0"/>
    <s v="DK1_Rural"/>
    <x v="0"/>
    <s v="GNR_BO_COAL_E-91"/>
    <x v="0"/>
    <x v="20"/>
    <n v="10.989010989011"/>
    <n v="4010.9890109890098"/>
    <n v="14439.5604395604"/>
  </r>
  <r>
    <x v="0"/>
    <x v="0"/>
    <x v="0"/>
    <x v="0"/>
    <x v="0"/>
    <s v="DK1_Rural"/>
    <x v="0"/>
    <s v="GNR_BO_COAL_E-91"/>
    <x v="0"/>
    <x v="21"/>
    <n v="10.989010989011"/>
    <n v="4010.9890109890098"/>
    <n v="14439.5604395604"/>
  </r>
  <r>
    <x v="0"/>
    <x v="0"/>
    <x v="0"/>
    <x v="0"/>
    <x v="0"/>
    <s v="DK1_Rural"/>
    <x v="0"/>
    <s v="GNR_BO_COAL_E-91"/>
    <x v="0"/>
    <x v="22"/>
    <n v="10.989010989011"/>
    <n v="4010.9890109890098"/>
    <n v="14439.5604395604"/>
  </r>
  <r>
    <x v="0"/>
    <x v="0"/>
    <x v="0"/>
    <x v="0"/>
    <x v="0"/>
    <s v="DK1_Rural"/>
    <x v="0"/>
    <s v="GNR_BO_COAL_E-91"/>
    <x v="0"/>
    <x v="23"/>
    <n v="10.989010989011"/>
    <n v="4010.9890109890098"/>
    <n v="14439.5604395604"/>
  </r>
  <r>
    <x v="0"/>
    <x v="0"/>
    <x v="0"/>
    <x v="0"/>
    <x v="0"/>
    <s v="DK1_Rural"/>
    <x v="4"/>
    <s v="GNR_BO_STRW_E-100"/>
    <x v="0"/>
    <x v="0"/>
    <n v="133.37"/>
    <n v="48680.05"/>
    <n v="175248.18"/>
  </r>
  <r>
    <x v="0"/>
    <x v="0"/>
    <x v="0"/>
    <x v="0"/>
    <x v="0"/>
    <s v="DK1_Rural"/>
    <x v="4"/>
    <s v="GNR_BO_STRW_E-100"/>
    <x v="0"/>
    <x v="1"/>
    <n v="133.37"/>
    <n v="48680.05"/>
    <n v="175248.18"/>
  </r>
  <r>
    <x v="0"/>
    <x v="0"/>
    <x v="0"/>
    <x v="0"/>
    <x v="0"/>
    <s v="DK1_Rural"/>
    <x v="4"/>
    <s v="GNR_BO_STRW_E-100"/>
    <x v="0"/>
    <x v="2"/>
    <n v="133.37"/>
    <n v="48680.05"/>
    <n v="175248.18"/>
  </r>
  <r>
    <x v="0"/>
    <x v="0"/>
    <x v="0"/>
    <x v="0"/>
    <x v="0"/>
    <s v="DK1_Rural"/>
    <x v="4"/>
    <s v="GNR_BO_STRW_E-100"/>
    <x v="0"/>
    <x v="3"/>
    <n v="133.37"/>
    <n v="48680.05"/>
    <n v="175248.18"/>
  </r>
  <r>
    <x v="0"/>
    <x v="0"/>
    <x v="0"/>
    <x v="0"/>
    <x v="0"/>
    <s v="DK1_Rural"/>
    <x v="4"/>
    <s v="GNR_BO_STRW_E-100"/>
    <x v="0"/>
    <x v="4"/>
    <n v="133.37"/>
    <n v="48680.05"/>
    <n v="175248.18"/>
  </r>
  <r>
    <x v="0"/>
    <x v="0"/>
    <x v="0"/>
    <x v="0"/>
    <x v="0"/>
    <s v="DK1_Rural"/>
    <x v="4"/>
    <s v="GNR_BO_STRW_E-100"/>
    <x v="0"/>
    <x v="5"/>
    <n v="133.37"/>
    <n v="48680.05"/>
    <n v="175248.18"/>
  </r>
  <r>
    <x v="0"/>
    <x v="0"/>
    <x v="0"/>
    <x v="0"/>
    <x v="0"/>
    <s v="DK1_Rural"/>
    <x v="4"/>
    <s v="GNR_BO_STRW_E-100"/>
    <x v="0"/>
    <x v="6"/>
    <n v="133.37"/>
    <n v="48680.05"/>
    <n v="175248.18"/>
  </r>
  <r>
    <x v="0"/>
    <x v="0"/>
    <x v="0"/>
    <x v="0"/>
    <x v="0"/>
    <s v="DK1_Rural"/>
    <x v="4"/>
    <s v="GNR_BO_STRW_E-100"/>
    <x v="0"/>
    <x v="7"/>
    <n v="133.37"/>
    <n v="48680.05"/>
    <n v="175248.18"/>
  </r>
  <r>
    <x v="0"/>
    <x v="0"/>
    <x v="0"/>
    <x v="0"/>
    <x v="0"/>
    <s v="DK1_Rural"/>
    <x v="4"/>
    <s v="GNR_BO_STRW_E-100"/>
    <x v="0"/>
    <x v="8"/>
    <n v="133.37"/>
    <n v="48680.05"/>
    <n v="175248.18"/>
  </r>
  <r>
    <x v="0"/>
    <x v="0"/>
    <x v="0"/>
    <x v="0"/>
    <x v="0"/>
    <s v="DK1_Rural"/>
    <x v="4"/>
    <s v="GNR_BO_STRW_E-100"/>
    <x v="0"/>
    <x v="9"/>
    <n v="133.37"/>
    <n v="48680.05"/>
    <n v="175248.18"/>
  </r>
  <r>
    <x v="0"/>
    <x v="0"/>
    <x v="0"/>
    <x v="0"/>
    <x v="0"/>
    <s v="DK1_Rural"/>
    <x v="4"/>
    <s v="GNR_BO_STRW_E-100"/>
    <x v="0"/>
    <x v="10"/>
    <n v="133.37"/>
    <n v="48680.05"/>
    <n v="175248.18"/>
  </r>
  <r>
    <x v="0"/>
    <x v="0"/>
    <x v="0"/>
    <x v="0"/>
    <x v="0"/>
    <s v="DK1_Rural"/>
    <x v="4"/>
    <s v="GNR_BO_STRW_E-100"/>
    <x v="0"/>
    <x v="11"/>
    <n v="133.37"/>
    <n v="48680.05"/>
    <n v="175248.18"/>
  </r>
  <r>
    <x v="0"/>
    <x v="0"/>
    <x v="0"/>
    <x v="0"/>
    <x v="0"/>
    <s v="DK1_Rural"/>
    <x v="4"/>
    <s v="GNR_BO_STRW_E-100"/>
    <x v="0"/>
    <x v="12"/>
    <n v="133.37"/>
    <n v="48680.05"/>
    <n v="175248.18"/>
  </r>
  <r>
    <x v="0"/>
    <x v="0"/>
    <x v="0"/>
    <x v="0"/>
    <x v="0"/>
    <s v="DK1_Rural"/>
    <x v="4"/>
    <s v="GNR_BO_STRW_E-100"/>
    <x v="0"/>
    <x v="13"/>
    <n v="133.37"/>
    <n v="48680.05"/>
    <n v="175248.18"/>
  </r>
  <r>
    <x v="0"/>
    <x v="0"/>
    <x v="0"/>
    <x v="0"/>
    <x v="0"/>
    <s v="DK1_Rural"/>
    <x v="4"/>
    <s v="GNR_BO_STRW_E-100"/>
    <x v="0"/>
    <x v="14"/>
    <n v="133.37"/>
    <n v="48680.05"/>
    <n v="175248.18"/>
  </r>
  <r>
    <x v="0"/>
    <x v="0"/>
    <x v="0"/>
    <x v="0"/>
    <x v="0"/>
    <s v="DK1_Rural"/>
    <x v="4"/>
    <s v="GNR_BO_STRW_E-100"/>
    <x v="0"/>
    <x v="15"/>
    <n v="133.37"/>
    <n v="48680.05"/>
    <n v="175248.18"/>
  </r>
  <r>
    <x v="0"/>
    <x v="0"/>
    <x v="0"/>
    <x v="0"/>
    <x v="0"/>
    <s v="DK1_Rural"/>
    <x v="4"/>
    <s v="GNR_BO_STRW_E-100"/>
    <x v="0"/>
    <x v="16"/>
    <n v="133.37"/>
    <n v="48680.05"/>
    <n v="175248.18"/>
  </r>
  <r>
    <x v="0"/>
    <x v="0"/>
    <x v="0"/>
    <x v="0"/>
    <x v="0"/>
    <s v="DK1_Rural"/>
    <x v="4"/>
    <s v="GNR_BO_STRW_E-100"/>
    <x v="0"/>
    <x v="17"/>
    <n v="133.37"/>
    <n v="48680.05"/>
    <n v="175248.18"/>
  </r>
  <r>
    <x v="0"/>
    <x v="0"/>
    <x v="0"/>
    <x v="0"/>
    <x v="0"/>
    <s v="DK1_Rural"/>
    <x v="4"/>
    <s v="GNR_BO_STRW_E-100"/>
    <x v="0"/>
    <x v="18"/>
    <n v="133.37"/>
    <n v="48680.05"/>
    <n v="175248.18"/>
  </r>
  <r>
    <x v="0"/>
    <x v="0"/>
    <x v="0"/>
    <x v="0"/>
    <x v="0"/>
    <s v="DK1_Rural"/>
    <x v="4"/>
    <s v="GNR_BO_STRW_E-100"/>
    <x v="0"/>
    <x v="19"/>
    <n v="133.37"/>
    <n v="48680.05"/>
    <n v="175248.18"/>
  </r>
  <r>
    <x v="0"/>
    <x v="0"/>
    <x v="0"/>
    <x v="0"/>
    <x v="0"/>
    <s v="DK1_Rural"/>
    <x v="4"/>
    <s v="GNR_BO_STRW_E-100"/>
    <x v="0"/>
    <x v="20"/>
    <n v="133.37"/>
    <n v="48680.05"/>
    <n v="175248.18"/>
  </r>
  <r>
    <x v="0"/>
    <x v="0"/>
    <x v="0"/>
    <x v="0"/>
    <x v="0"/>
    <s v="DK1_Rural"/>
    <x v="4"/>
    <s v="GNR_BO_STRW_E-100"/>
    <x v="0"/>
    <x v="21"/>
    <n v="133.37"/>
    <n v="48680.05"/>
    <n v="175248.18"/>
  </r>
  <r>
    <x v="0"/>
    <x v="0"/>
    <x v="0"/>
    <x v="0"/>
    <x v="0"/>
    <s v="DK1_Rural"/>
    <x v="4"/>
    <s v="GNR_BO_STRW_E-100"/>
    <x v="0"/>
    <x v="22"/>
    <n v="133.37"/>
    <n v="48680.05"/>
    <n v="175248.18"/>
  </r>
  <r>
    <x v="0"/>
    <x v="0"/>
    <x v="0"/>
    <x v="0"/>
    <x v="0"/>
    <s v="DK1_Rural"/>
    <x v="4"/>
    <s v="GNR_BO_STRW_E-100"/>
    <x v="0"/>
    <x v="23"/>
    <n v="133.37"/>
    <n v="48680.05"/>
    <n v="175248.18"/>
  </r>
  <r>
    <x v="0"/>
    <x v="0"/>
    <x v="0"/>
    <x v="0"/>
    <x v="0"/>
    <s v="DK1_Rural"/>
    <x v="4"/>
    <s v="GNR_BO_STRW_E-102"/>
    <x v="0"/>
    <x v="0"/>
    <n v="55.843137254901997"/>
    <n v="20382.745098039199"/>
    <n v="73377.882352941204"/>
  </r>
  <r>
    <x v="0"/>
    <x v="0"/>
    <x v="0"/>
    <x v="0"/>
    <x v="0"/>
    <s v="DK1_Rural"/>
    <x v="4"/>
    <s v="GNR_BO_STRW_E-102"/>
    <x v="0"/>
    <x v="1"/>
    <n v="55.843137254901997"/>
    <n v="20382.745098039199"/>
    <n v="73377.882352941204"/>
  </r>
  <r>
    <x v="0"/>
    <x v="0"/>
    <x v="0"/>
    <x v="0"/>
    <x v="0"/>
    <s v="DK1_Rural"/>
    <x v="4"/>
    <s v="GNR_BO_STRW_E-102"/>
    <x v="0"/>
    <x v="2"/>
    <n v="55.843137254901997"/>
    <n v="20382.745098039199"/>
    <n v="73377.882352941204"/>
  </r>
  <r>
    <x v="0"/>
    <x v="0"/>
    <x v="0"/>
    <x v="0"/>
    <x v="0"/>
    <s v="DK1_Rural"/>
    <x v="4"/>
    <s v="GNR_BO_STRW_E-102"/>
    <x v="0"/>
    <x v="3"/>
    <n v="55.843137254901997"/>
    <n v="20382.745098039199"/>
    <n v="73377.882352941204"/>
  </r>
  <r>
    <x v="0"/>
    <x v="0"/>
    <x v="0"/>
    <x v="0"/>
    <x v="0"/>
    <s v="DK1_Rural"/>
    <x v="4"/>
    <s v="GNR_BO_STRW_E-102"/>
    <x v="0"/>
    <x v="4"/>
    <n v="55.843137254901997"/>
    <n v="20382.745098039199"/>
    <n v="73377.882352941204"/>
  </r>
  <r>
    <x v="0"/>
    <x v="0"/>
    <x v="0"/>
    <x v="0"/>
    <x v="0"/>
    <s v="DK1_Rural"/>
    <x v="4"/>
    <s v="GNR_BO_STRW_E-102"/>
    <x v="0"/>
    <x v="5"/>
    <n v="55.843137254901997"/>
    <n v="20382.745098039199"/>
    <n v="73377.882352941204"/>
  </r>
  <r>
    <x v="0"/>
    <x v="0"/>
    <x v="0"/>
    <x v="0"/>
    <x v="0"/>
    <s v="DK1_Rural"/>
    <x v="4"/>
    <s v="GNR_BO_STRW_E-102"/>
    <x v="0"/>
    <x v="6"/>
    <n v="55.843137254901997"/>
    <n v="20382.745098039199"/>
    <n v="73377.882352941204"/>
  </r>
  <r>
    <x v="0"/>
    <x v="0"/>
    <x v="0"/>
    <x v="0"/>
    <x v="0"/>
    <s v="DK1_Rural"/>
    <x v="4"/>
    <s v="GNR_BO_STRW_E-102"/>
    <x v="0"/>
    <x v="7"/>
    <n v="55.843137254901997"/>
    <n v="20382.745098039199"/>
    <n v="73377.882352941204"/>
  </r>
  <r>
    <x v="0"/>
    <x v="0"/>
    <x v="0"/>
    <x v="0"/>
    <x v="0"/>
    <s v="DK1_Rural"/>
    <x v="4"/>
    <s v="GNR_BO_STRW_E-102"/>
    <x v="0"/>
    <x v="8"/>
    <n v="55.843137254901997"/>
    <n v="20382.745098039199"/>
    <n v="73377.882352941204"/>
  </r>
  <r>
    <x v="0"/>
    <x v="0"/>
    <x v="0"/>
    <x v="0"/>
    <x v="0"/>
    <s v="DK1_Rural"/>
    <x v="4"/>
    <s v="GNR_BO_STRW_E-102"/>
    <x v="0"/>
    <x v="9"/>
    <n v="55.843137254901997"/>
    <n v="20382.745098039199"/>
    <n v="73377.882352941204"/>
  </r>
  <r>
    <x v="0"/>
    <x v="0"/>
    <x v="0"/>
    <x v="0"/>
    <x v="0"/>
    <s v="DK1_Rural"/>
    <x v="4"/>
    <s v="GNR_BO_STRW_E-102"/>
    <x v="0"/>
    <x v="10"/>
    <n v="55.843137254901997"/>
    <n v="20382.745098039199"/>
    <n v="73377.882352941204"/>
  </r>
  <r>
    <x v="0"/>
    <x v="0"/>
    <x v="0"/>
    <x v="0"/>
    <x v="0"/>
    <s v="DK1_Rural"/>
    <x v="4"/>
    <s v="GNR_BO_STRW_E-102"/>
    <x v="0"/>
    <x v="11"/>
    <n v="55.843137254901997"/>
    <n v="20382.745098039199"/>
    <n v="73377.882352941204"/>
  </r>
  <r>
    <x v="0"/>
    <x v="0"/>
    <x v="0"/>
    <x v="0"/>
    <x v="0"/>
    <s v="DK1_Rural"/>
    <x v="4"/>
    <s v="GNR_BO_STRW_E-102"/>
    <x v="0"/>
    <x v="12"/>
    <n v="55.843137254901997"/>
    <n v="20382.745098039199"/>
    <n v="73377.882352941204"/>
  </r>
  <r>
    <x v="0"/>
    <x v="0"/>
    <x v="0"/>
    <x v="0"/>
    <x v="0"/>
    <s v="DK1_Rural"/>
    <x v="4"/>
    <s v="GNR_BO_STRW_E-102"/>
    <x v="0"/>
    <x v="13"/>
    <n v="55.843137254901997"/>
    <n v="20382.745098039199"/>
    <n v="73377.882352941204"/>
  </r>
  <r>
    <x v="0"/>
    <x v="0"/>
    <x v="0"/>
    <x v="0"/>
    <x v="0"/>
    <s v="DK1_Rural"/>
    <x v="4"/>
    <s v="GNR_BO_STRW_E-102"/>
    <x v="0"/>
    <x v="14"/>
    <n v="55.843137254901997"/>
    <n v="20382.745098039199"/>
    <n v="73377.882352941204"/>
  </r>
  <r>
    <x v="0"/>
    <x v="0"/>
    <x v="0"/>
    <x v="0"/>
    <x v="0"/>
    <s v="DK1_Rural"/>
    <x v="4"/>
    <s v="GNR_BO_STRW_E-102"/>
    <x v="0"/>
    <x v="15"/>
    <n v="55.843137254901997"/>
    <n v="20382.745098039199"/>
    <n v="73377.882352941204"/>
  </r>
  <r>
    <x v="0"/>
    <x v="0"/>
    <x v="0"/>
    <x v="0"/>
    <x v="0"/>
    <s v="DK1_Rural"/>
    <x v="4"/>
    <s v="GNR_BO_STRW_E-102"/>
    <x v="0"/>
    <x v="16"/>
    <n v="55.843137254901997"/>
    <n v="20382.745098039199"/>
    <n v="73377.882352941204"/>
  </r>
  <r>
    <x v="0"/>
    <x v="0"/>
    <x v="0"/>
    <x v="0"/>
    <x v="0"/>
    <s v="DK1_Rural"/>
    <x v="4"/>
    <s v="GNR_BO_STRW_E-102"/>
    <x v="0"/>
    <x v="17"/>
    <n v="55.843137254901997"/>
    <n v="20382.745098039199"/>
    <n v="73377.882352941204"/>
  </r>
  <r>
    <x v="0"/>
    <x v="0"/>
    <x v="0"/>
    <x v="0"/>
    <x v="0"/>
    <s v="DK1_Rural"/>
    <x v="4"/>
    <s v="GNR_BO_STRW_E-102"/>
    <x v="0"/>
    <x v="18"/>
    <n v="55.843137254901997"/>
    <n v="20382.745098039199"/>
    <n v="73377.882352941204"/>
  </r>
  <r>
    <x v="0"/>
    <x v="0"/>
    <x v="0"/>
    <x v="0"/>
    <x v="0"/>
    <s v="DK1_Rural"/>
    <x v="4"/>
    <s v="GNR_BO_STRW_E-102"/>
    <x v="0"/>
    <x v="19"/>
    <n v="55.843137254901997"/>
    <n v="20382.745098039199"/>
    <n v="73377.882352941204"/>
  </r>
  <r>
    <x v="0"/>
    <x v="0"/>
    <x v="0"/>
    <x v="0"/>
    <x v="0"/>
    <s v="DK1_Rural"/>
    <x v="4"/>
    <s v="GNR_BO_STRW_E-102"/>
    <x v="0"/>
    <x v="20"/>
    <n v="55.843137254901997"/>
    <n v="20382.745098039199"/>
    <n v="73377.882352941204"/>
  </r>
  <r>
    <x v="0"/>
    <x v="0"/>
    <x v="0"/>
    <x v="0"/>
    <x v="0"/>
    <s v="DK1_Rural"/>
    <x v="4"/>
    <s v="GNR_BO_STRW_E-102"/>
    <x v="0"/>
    <x v="21"/>
    <n v="55.843137254901997"/>
    <n v="20382.745098039199"/>
    <n v="73377.882352941204"/>
  </r>
  <r>
    <x v="0"/>
    <x v="0"/>
    <x v="0"/>
    <x v="0"/>
    <x v="0"/>
    <s v="DK1_Rural"/>
    <x v="4"/>
    <s v="GNR_BO_STRW_E-102"/>
    <x v="0"/>
    <x v="22"/>
    <n v="55.843137254901997"/>
    <n v="20382.745098039199"/>
    <n v="73377.882352941204"/>
  </r>
  <r>
    <x v="0"/>
    <x v="0"/>
    <x v="0"/>
    <x v="0"/>
    <x v="0"/>
    <s v="DK1_Rural"/>
    <x v="4"/>
    <s v="GNR_BO_STRW_E-102"/>
    <x v="0"/>
    <x v="23"/>
    <n v="55.843137254901997"/>
    <n v="20382.745098039199"/>
    <n v="73377.882352941204"/>
  </r>
  <r>
    <x v="0"/>
    <x v="0"/>
    <x v="0"/>
    <x v="0"/>
    <x v="0"/>
    <s v="DK1_Rural"/>
    <x v="4"/>
    <s v="GNR_ST_STRW_BP_E-26"/>
    <x v="0"/>
    <x v="7"/>
    <n v="8.8461538461538396"/>
    <n v="3228.8461538461502"/>
    <n v="11623.8461538461"/>
  </r>
  <r>
    <x v="0"/>
    <x v="0"/>
    <x v="0"/>
    <x v="0"/>
    <x v="0"/>
    <s v="DK1_Rural"/>
    <x v="4"/>
    <s v="GNR_ST_STRW_BP_E-26"/>
    <x v="0"/>
    <x v="8"/>
    <n v="8.8461538461538396"/>
    <n v="3228.8461538461502"/>
    <n v="11623.8461538461"/>
  </r>
  <r>
    <x v="0"/>
    <x v="0"/>
    <x v="0"/>
    <x v="0"/>
    <x v="0"/>
    <s v="DK1_Rural"/>
    <x v="4"/>
    <s v="GNR_ST_STRW_BP_E-26"/>
    <x v="0"/>
    <x v="9"/>
    <n v="8.8461538461538396"/>
    <n v="3228.8461538461502"/>
    <n v="11623.8461538461"/>
  </r>
  <r>
    <x v="0"/>
    <x v="0"/>
    <x v="0"/>
    <x v="0"/>
    <x v="0"/>
    <s v="DK1_Rural"/>
    <x v="4"/>
    <s v="GNR_ST_STRW_BP_E-26"/>
    <x v="0"/>
    <x v="10"/>
    <n v="8.8461538461538396"/>
    <n v="3228.8461538461502"/>
    <n v="11623.8461538461"/>
  </r>
  <r>
    <x v="0"/>
    <x v="0"/>
    <x v="0"/>
    <x v="0"/>
    <x v="0"/>
    <s v="DK1_Rural"/>
    <x v="4"/>
    <s v="GNR_ST_STRW_BP_E-26"/>
    <x v="0"/>
    <x v="11"/>
    <n v="8.8461538461538396"/>
    <n v="3228.8461538461502"/>
    <n v="11623.8461538461"/>
  </r>
  <r>
    <x v="0"/>
    <x v="0"/>
    <x v="0"/>
    <x v="0"/>
    <x v="0"/>
    <s v="DK1_Rural"/>
    <x v="4"/>
    <s v="GNR_ST_STRW_BP_E-26"/>
    <x v="0"/>
    <x v="12"/>
    <n v="8.8461538461538396"/>
    <n v="3228.8461538461502"/>
    <n v="11623.8461538461"/>
  </r>
  <r>
    <x v="0"/>
    <x v="0"/>
    <x v="0"/>
    <x v="0"/>
    <x v="0"/>
    <s v="DK1_Rural"/>
    <x v="4"/>
    <s v="GNR_ST_STRW_BP_E-26"/>
    <x v="0"/>
    <x v="13"/>
    <n v="8.8461538461538396"/>
    <n v="3228.8461538461502"/>
    <n v="11623.8461538461"/>
  </r>
  <r>
    <x v="0"/>
    <x v="0"/>
    <x v="0"/>
    <x v="0"/>
    <x v="0"/>
    <s v="DK1_Rural"/>
    <x v="4"/>
    <s v="GNR_ST_STRW_BP_E-26"/>
    <x v="0"/>
    <x v="14"/>
    <n v="8.8461538461538396"/>
    <n v="3228.8461538461502"/>
    <n v="11623.8461538461"/>
  </r>
  <r>
    <x v="0"/>
    <x v="0"/>
    <x v="0"/>
    <x v="0"/>
    <x v="0"/>
    <s v="DK1_Rural"/>
    <x v="4"/>
    <s v="GNR_ST_STRW_BP_E-26"/>
    <x v="0"/>
    <x v="15"/>
    <n v="8.8461538461538396"/>
    <n v="3228.8461538461502"/>
    <n v="11623.8461538461"/>
  </r>
  <r>
    <x v="0"/>
    <x v="0"/>
    <x v="0"/>
    <x v="0"/>
    <x v="0"/>
    <s v="DK1_Rural"/>
    <x v="4"/>
    <s v="GNR_ST_STRW_BP_E-26"/>
    <x v="0"/>
    <x v="16"/>
    <n v="8.8461538461538396"/>
    <n v="3228.8461538461502"/>
    <n v="11623.8461538461"/>
  </r>
  <r>
    <x v="0"/>
    <x v="0"/>
    <x v="0"/>
    <x v="0"/>
    <x v="0"/>
    <s v="DK1_Rural"/>
    <x v="4"/>
    <s v="GNR_ST_STRW_BP_E-26"/>
    <x v="0"/>
    <x v="17"/>
    <n v="8.8461538461538396"/>
    <n v="3228.8461538461502"/>
    <n v="11623.8461538461"/>
  </r>
  <r>
    <x v="0"/>
    <x v="0"/>
    <x v="0"/>
    <x v="0"/>
    <x v="0"/>
    <s v="DK1_Rural"/>
    <x v="4"/>
    <s v="GNR_ST_STRW_BP_E-26"/>
    <x v="0"/>
    <x v="18"/>
    <n v="8.8461538461538396"/>
    <n v="3228.8461538461502"/>
    <n v="11623.8461538461"/>
  </r>
  <r>
    <x v="0"/>
    <x v="0"/>
    <x v="0"/>
    <x v="0"/>
    <x v="0"/>
    <s v="DK1_Rural"/>
    <x v="4"/>
    <s v="GNR_ST_STRW_BP_E-26"/>
    <x v="0"/>
    <x v="19"/>
    <n v="8.8461538461538396"/>
    <n v="3228.8461538461502"/>
    <n v="11623.8461538461"/>
  </r>
  <r>
    <x v="0"/>
    <x v="0"/>
    <x v="0"/>
    <x v="0"/>
    <x v="0"/>
    <s v="DK1_Rural"/>
    <x v="4"/>
    <s v="GNR_ST_STRW_BP_E-26"/>
    <x v="0"/>
    <x v="20"/>
    <n v="8.8461538461538396"/>
    <n v="3228.8461538461502"/>
    <n v="11623.8461538461"/>
  </r>
  <r>
    <x v="0"/>
    <x v="0"/>
    <x v="0"/>
    <x v="0"/>
    <x v="0"/>
    <s v="DK1_Rural"/>
    <x v="2"/>
    <s v="GNR_EH_HEAT"/>
    <x v="0"/>
    <x v="0"/>
    <n v="87.01"/>
    <n v="31758.65"/>
    <n v="114331.14"/>
  </r>
  <r>
    <x v="0"/>
    <x v="0"/>
    <x v="0"/>
    <x v="0"/>
    <x v="0"/>
    <s v="DK1_Rural"/>
    <x v="2"/>
    <s v="GNR_EH_HEAT"/>
    <x v="0"/>
    <x v="1"/>
    <n v="87.01"/>
    <n v="31758.65"/>
    <n v="114331.14"/>
  </r>
  <r>
    <x v="0"/>
    <x v="0"/>
    <x v="0"/>
    <x v="0"/>
    <x v="0"/>
    <s v="DK1_Rural"/>
    <x v="2"/>
    <s v="GNR_EH_HEAT"/>
    <x v="0"/>
    <x v="2"/>
    <n v="87.01"/>
    <n v="31758.65"/>
    <n v="114331.14"/>
  </r>
  <r>
    <x v="0"/>
    <x v="0"/>
    <x v="0"/>
    <x v="0"/>
    <x v="0"/>
    <s v="DK1_Rural"/>
    <x v="2"/>
    <s v="GNR_EH_HEAT"/>
    <x v="0"/>
    <x v="3"/>
    <n v="87.01"/>
    <n v="31758.65"/>
    <n v="114331.14"/>
  </r>
  <r>
    <x v="0"/>
    <x v="0"/>
    <x v="0"/>
    <x v="0"/>
    <x v="0"/>
    <s v="DK1_Rural"/>
    <x v="2"/>
    <s v="GNR_EH_HEAT"/>
    <x v="0"/>
    <x v="4"/>
    <n v="87.01"/>
    <n v="31758.65"/>
    <n v="114331.14"/>
  </r>
  <r>
    <x v="0"/>
    <x v="0"/>
    <x v="0"/>
    <x v="0"/>
    <x v="0"/>
    <s v="DK1_Rural"/>
    <x v="2"/>
    <s v="GNR_EH_HEAT"/>
    <x v="0"/>
    <x v="5"/>
    <n v="87.01"/>
    <n v="31758.65"/>
    <n v="114331.14"/>
  </r>
  <r>
    <x v="0"/>
    <x v="0"/>
    <x v="0"/>
    <x v="0"/>
    <x v="0"/>
    <s v="DK1_Rural"/>
    <x v="2"/>
    <s v="GNR_EH_HEAT"/>
    <x v="0"/>
    <x v="6"/>
    <n v="87.01"/>
    <n v="31758.65"/>
    <n v="114331.14"/>
  </r>
  <r>
    <x v="0"/>
    <x v="0"/>
    <x v="0"/>
    <x v="0"/>
    <x v="0"/>
    <s v="DK1_Rural"/>
    <x v="2"/>
    <s v="GNR_EH_HEAT"/>
    <x v="0"/>
    <x v="7"/>
    <n v="87.01"/>
    <n v="31758.65"/>
    <n v="114331.14"/>
  </r>
  <r>
    <x v="0"/>
    <x v="0"/>
    <x v="0"/>
    <x v="0"/>
    <x v="0"/>
    <s v="DK1_Rural"/>
    <x v="2"/>
    <s v="GNR_EH_HEAT"/>
    <x v="0"/>
    <x v="8"/>
    <n v="87.01"/>
    <n v="31758.65"/>
    <n v="114331.14"/>
  </r>
  <r>
    <x v="0"/>
    <x v="0"/>
    <x v="0"/>
    <x v="0"/>
    <x v="0"/>
    <s v="DK1_Rural"/>
    <x v="2"/>
    <s v="GNR_EH_HEAT"/>
    <x v="0"/>
    <x v="9"/>
    <n v="87.01"/>
    <n v="31758.65"/>
    <n v="114331.14"/>
  </r>
  <r>
    <x v="0"/>
    <x v="0"/>
    <x v="0"/>
    <x v="0"/>
    <x v="0"/>
    <s v="DK1_Rural"/>
    <x v="2"/>
    <s v="GNR_EH_HEAT"/>
    <x v="0"/>
    <x v="10"/>
    <n v="87.01"/>
    <n v="31758.65"/>
    <n v="114331.14"/>
  </r>
  <r>
    <x v="0"/>
    <x v="0"/>
    <x v="0"/>
    <x v="0"/>
    <x v="0"/>
    <s v="DK1_Rural"/>
    <x v="2"/>
    <s v="GNR_EH_HEAT"/>
    <x v="0"/>
    <x v="11"/>
    <n v="87.01"/>
    <n v="31758.65"/>
    <n v="114331.14"/>
  </r>
  <r>
    <x v="0"/>
    <x v="0"/>
    <x v="0"/>
    <x v="0"/>
    <x v="0"/>
    <s v="DK1_Rural"/>
    <x v="2"/>
    <s v="GNR_EH_HEAT"/>
    <x v="0"/>
    <x v="12"/>
    <n v="87.01"/>
    <n v="31758.65"/>
    <n v="114331.14"/>
  </r>
  <r>
    <x v="0"/>
    <x v="0"/>
    <x v="0"/>
    <x v="0"/>
    <x v="0"/>
    <s v="DK1_Rural"/>
    <x v="2"/>
    <s v="GNR_EH_HEAT"/>
    <x v="0"/>
    <x v="13"/>
    <n v="87.01"/>
    <n v="31758.65"/>
    <n v="114331.14"/>
  </r>
  <r>
    <x v="0"/>
    <x v="0"/>
    <x v="0"/>
    <x v="0"/>
    <x v="0"/>
    <s v="DK1_Rural"/>
    <x v="2"/>
    <s v="GNR_EH_HEAT"/>
    <x v="0"/>
    <x v="14"/>
    <n v="87.01"/>
    <n v="31758.65"/>
    <n v="114331.14"/>
  </r>
  <r>
    <x v="0"/>
    <x v="0"/>
    <x v="0"/>
    <x v="0"/>
    <x v="0"/>
    <s v="DK1_Rural"/>
    <x v="2"/>
    <s v="GNR_EH_HEAT"/>
    <x v="0"/>
    <x v="15"/>
    <n v="87.01"/>
    <n v="31758.65"/>
    <n v="114331.14"/>
  </r>
  <r>
    <x v="0"/>
    <x v="0"/>
    <x v="0"/>
    <x v="0"/>
    <x v="0"/>
    <s v="DK1_Rural"/>
    <x v="2"/>
    <s v="GNR_EH_HEAT"/>
    <x v="0"/>
    <x v="16"/>
    <n v="87.01"/>
    <n v="31758.65"/>
    <n v="114331.14"/>
  </r>
  <r>
    <x v="0"/>
    <x v="0"/>
    <x v="0"/>
    <x v="0"/>
    <x v="0"/>
    <s v="DK1_Rural"/>
    <x v="2"/>
    <s v="GNR_EH_HEAT"/>
    <x v="0"/>
    <x v="17"/>
    <n v="87.01"/>
    <n v="31758.65"/>
    <n v="114331.14"/>
  </r>
  <r>
    <x v="0"/>
    <x v="0"/>
    <x v="0"/>
    <x v="0"/>
    <x v="0"/>
    <s v="DK1_Rural"/>
    <x v="2"/>
    <s v="GNR_EH_HEAT"/>
    <x v="0"/>
    <x v="18"/>
    <n v="87.01"/>
    <n v="31758.65"/>
    <n v="114331.14"/>
  </r>
  <r>
    <x v="0"/>
    <x v="0"/>
    <x v="0"/>
    <x v="0"/>
    <x v="0"/>
    <s v="DK1_Rural"/>
    <x v="2"/>
    <s v="GNR_EH_HEAT"/>
    <x v="0"/>
    <x v="19"/>
    <n v="87.01"/>
    <n v="31758.65"/>
    <n v="114331.14"/>
  </r>
  <r>
    <x v="0"/>
    <x v="0"/>
    <x v="0"/>
    <x v="0"/>
    <x v="0"/>
    <s v="DK1_Rural"/>
    <x v="2"/>
    <s v="GNR_EH_HEAT"/>
    <x v="0"/>
    <x v="20"/>
    <n v="87.01"/>
    <n v="31758.65"/>
    <n v="114331.14"/>
  </r>
  <r>
    <x v="0"/>
    <x v="0"/>
    <x v="0"/>
    <x v="0"/>
    <x v="0"/>
    <s v="DK1_Rural"/>
    <x v="2"/>
    <s v="GNR_EH_HEAT"/>
    <x v="0"/>
    <x v="21"/>
    <n v="87.01"/>
    <n v="31758.65"/>
    <n v="114331.14"/>
  </r>
  <r>
    <x v="0"/>
    <x v="0"/>
    <x v="0"/>
    <x v="0"/>
    <x v="0"/>
    <s v="DK1_Rural"/>
    <x v="2"/>
    <s v="GNR_EH_HEAT"/>
    <x v="0"/>
    <x v="22"/>
    <n v="87.01"/>
    <n v="31758.65"/>
    <n v="114331.14"/>
  </r>
  <r>
    <x v="0"/>
    <x v="0"/>
    <x v="0"/>
    <x v="0"/>
    <x v="0"/>
    <s v="DK1_Rural"/>
    <x v="2"/>
    <s v="GNR_EH_HEAT"/>
    <x v="0"/>
    <x v="23"/>
    <n v="87.01"/>
    <n v="31758.65"/>
    <n v="114331.14"/>
  </r>
  <r>
    <x v="0"/>
    <x v="0"/>
    <x v="0"/>
    <x v="0"/>
    <x v="0"/>
    <s v="DK1_Rural"/>
    <x v="5"/>
    <s v="GNR_BO_WOODCHI_E-100"/>
    <x v="0"/>
    <x v="7"/>
    <n v="24.4318256043308"/>
    <n v="8917.61634558072"/>
    <n v="32103.4188440906"/>
  </r>
  <r>
    <x v="0"/>
    <x v="0"/>
    <x v="0"/>
    <x v="0"/>
    <x v="0"/>
    <s v="DK1_Rural"/>
    <x v="5"/>
    <s v="GNR_BO_WOODCHI_E-100"/>
    <x v="0"/>
    <x v="8"/>
    <n v="39.6612156181031"/>
    <n v="14476.3437006076"/>
    <n v="52114.837322187399"/>
  </r>
  <r>
    <x v="0"/>
    <x v="0"/>
    <x v="0"/>
    <x v="0"/>
    <x v="0"/>
    <s v="DK1_Rural"/>
    <x v="5"/>
    <s v="GNR_BO_WOODCHI_E-100"/>
    <x v="0"/>
    <x v="9"/>
    <n v="47.638515149126697"/>
    <n v="17388.058029431199"/>
    <n v="62597.008905952498"/>
  </r>
  <r>
    <x v="0"/>
    <x v="0"/>
    <x v="0"/>
    <x v="0"/>
    <x v="0"/>
    <s v="DK1_Rural"/>
    <x v="5"/>
    <s v="GNR_BO_WOODCHI_E-100"/>
    <x v="0"/>
    <x v="10"/>
    <n v="45.462888004302101"/>
    <n v="16593.954121570299"/>
    <n v="59738.234837652999"/>
  </r>
  <r>
    <x v="0"/>
    <x v="0"/>
    <x v="0"/>
    <x v="0"/>
    <x v="0"/>
    <s v="DK1_Rural"/>
    <x v="5"/>
    <s v="GNR_BO_WOODCHI_E-100"/>
    <x v="0"/>
    <x v="11"/>
    <n v="45.825492528439497"/>
    <n v="16726.304772880401"/>
    <n v="60214.697182369498"/>
  </r>
  <r>
    <x v="0"/>
    <x v="0"/>
    <x v="0"/>
    <x v="0"/>
    <x v="0"/>
    <s v="DK1_Rural"/>
    <x v="5"/>
    <s v="GNR_BO_WOODCHI_E-100"/>
    <x v="0"/>
    <x v="12"/>
    <n v="41.836842762927702"/>
    <n v="15270.447608468599"/>
    <n v="54973.611390487"/>
  </r>
  <r>
    <x v="0"/>
    <x v="0"/>
    <x v="0"/>
    <x v="0"/>
    <x v="0"/>
    <s v="DK1_Rural"/>
    <x v="5"/>
    <s v="GNR_BO_WOODCHI_E-100"/>
    <x v="0"/>
    <x v="13"/>
    <n v="25.882243700880402"/>
    <n v="9447.0189508213607"/>
    <n v="34009.268222956904"/>
  </r>
  <r>
    <x v="0"/>
    <x v="0"/>
    <x v="0"/>
    <x v="0"/>
    <x v="0"/>
    <s v="DK1_Rural"/>
    <x v="5"/>
    <s v="GNR_BO_WOODCHI_E-100"/>
    <x v="0"/>
    <x v="14"/>
    <n v="30.233497990529798"/>
    <n v="11035.226766543399"/>
    <n v="39726.816359556098"/>
  </r>
  <r>
    <x v="0"/>
    <x v="0"/>
    <x v="0"/>
    <x v="0"/>
    <x v="0"/>
    <s v="DK1_Rural"/>
    <x v="5"/>
    <s v="GNR_BO_WOODCHI_E-100"/>
    <x v="0"/>
    <x v="15"/>
    <n v="34.584752280179003"/>
    <n v="12623.434582265299"/>
    <n v="45444.364496155198"/>
  </r>
  <r>
    <x v="0"/>
    <x v="0"/>
    <x v="0"/>
    <x v="0"/>
    <x v="0"/>
    <s v="DK1_Rural"/>
    <x v="5"/>
    <s v="GNR_BO_WOODCHI_E-100"/>
    <x v="0"/>
    <x v="16"/>
    <n v="42.924656335340003"/>
    <n v="15667.4995623991"/>
    <n v="56402.998424636702"/>
  </r>
  <r>
    <x v="0"/>
    <x v="0"/>
    <x v="0"/>
    <x v="0"/>
    <x v="0"/>
    <s v="DK1_Rural"/>
    <x v="5"/>
    <s v="GNR_BO_WOODCHI_E-100"/>
    <x v="0"/>
    <x v="17"/>
    <n v="41.111633714652797"/>
    <n v="15005.746305848301"/>
    <n v="54020.686701053797"/>
  </r>
  <r>
    <x v="0"/>
    <x v="0"/>
    <x v="0"/>
    <x v="0"/>
    <x v="0"/>
    <s v="DK1_Rural"/>
    <x v="5"/>
    <s v="GNR_BO_WOODCHI_E-100"/>
    <x v="0"/>
    <x v="18"/>
    <n v="42.562051811202601"/>
    <n v="15535.1489110889"/>
    <n v="55926.536079920203"/>
  </r>
  <r>
    <x v="0"/>
    <x v="0"/>
    <x v="0"/>
    <x v="0"/>
    <x v="0"/>
    <s v="DK1_Rural"/>
    <x v="5"/>
    <s v="GNR_BO_WOODCHI_E-100"/>
    <x v="0"/>
    <x v="19"/>
    <n v="41.111633714652797"/>
    <n v="15005.746305848301"/>
    <n v="54020.686701053797"/>
  </r>
  <r>
    <x v="0"/>
    <x v="0"/>
    <x v="0"/>
    <x v="0"/>
    <x v="0"/>
    <s v="DK1_Rural"/>
    <x v="5"/>
    <s v="GNR_BO_WOODCHI_E-100"/>
    <x v="0"/>
    <x v="20"/>
    <n v="33.1343341836292"/>
    <n v="12094.031977024601"/>
    <n v="43538.515117288698"/>
  </r>
  <r>
    <x v="0"/>
    <x v="0"/>
    <x v="0"/>
    <x v="0"/>
    <x v="0"/>
    <s v="DK1_Rural"/>
    <x v="5"/>
    <s v="GNR_BO_WOODCHI_E-105"/>
    <x v="0"/>
    <x v="7"/>
    <n v="6.6666666666666696"/>
    <n v="2433.3333333333298"/>
    <n v="8760"/>
  </r>
  <r>
    <x v="0"/>
    <x v="0"/>
    <x v="0"/>
    <x v="0"/>
    <x v="0"/>
    <s v="DK1_Rural"/>
    <x v="5"/>
    <s v="GNR_BO_WOODCHI_E-105"/>
    <x v="0"/>
    <x v="8"/>
    <n v="6.6666666666666696"/>
    <n v="2433.3333333333298"/>
    <n v="8760"/>
  </r>
  <r>
    <x v="0"/>
    <x v="0"/>
    <x v="0"/>
    <x v="0"/>
    <x v="0"/>
    <s v="DK1_Rural"/>
    <x v="5"/>
    <s v="GNR_BO_WOODCHI_E-105"/>
    <x v="0"/>
    <x v="9"/>
    <n v="6.6666666666666696"/>
    <n v="2433.3333333333298"/>
    <n v="8760"/>
  </r>
  <r>
    <x v="0"/>
    <x v="0"/>
    <x v="0"/>
    <x v="0"/>
    <x v="0"/>
    <s v="DK1_Rural"/>
    <x v="5"/>
    <s v="GNR_BO_WOODCHI_E-105"/>
    <x v="0"/>
    <x v="10"/>
    <n v="6.6666666666666696"/>
    <n v="2433.3333333333298"/>
    <n v="8760"/>
  </r>
  <r>
    <x v="0"/>
    <x v="0"/>
    <x v="0"/>
    <x v="0"/>
    <x v="0"/>
    <s v="DK1_Rural"/>
    <x v="5"/>
    <s v="GNR_BO_WOODCHI_E-105"/>
    <x v="0"/>
    <x v="11"/>
    <n v="6.6666666666666696"/>
    <n v="2433.3333333333298"/>
    <n v="8760"/>
  </r>
  <r>
    <x v="0"/>
    <x v="0"/>
    <x v="0"/>
    <x v="0"/>
    <x v="0"/>
    <s v="DK1_Rural"/>
    <x v="5"/>
    <s v="GNR_BO_WOODCHI_E-105"/>
    <x v="0"/>
    <x v="12"/>
    <n v="6.6666666666666696"/>
    <n v="2433.3333333333298"/>
    <n v="8760"/>
  </r>
  <r>
    <x v="0"/>
    <x v="0"/>
    <x v="0"/>
    <x v="0"/>
    <x v="0"/>
    <s v="DK1_Rural"/>
    <x v="5"/>
    <s v="GNR_BO_WOODCHI_E-105"/>
    <x v="0"/>
    <x v="13"/>
    <n v="6.6666666666666696"/>
    <n v="2433.3333333333298"/>
    <n v="8760"/>
  </r>
  <r>
    <x v="0"/>
    <x v="0"/>
    <x v="0"/>
    <x v="0"/>
    <x v="0"/>
    <s v="DK1_Rural"/>
    <x v="5"/>
    <s v="GNR_BO_WOODCHI_E-105"/>
    <x v="0"/>
    <x v="14"/>
    <n v="6.6666666666666696"/>
    <n v="2433.3333333333298"/>
    <n v="8760"/>
  </r>
  <r>
    <x v="0"/>
    <x v="0"/>
    <x v="0"/>
    <x v="0"/>
    <x v="0"/>
    <s v="DK1_Rural"/>
    <x v="5"/>
    <s v="GNR_BO_WOODCHI_E-105"/>
    <x v="0"/>
    <x v="15"/>
    <n v="6.6666666666666696"/>
    <n v="2433.3333333333298"/>
    <n v="8760"/>
  </r>
  <r>
    <x v="0"/>
    <x v="0"/>
    <x v="0"/>
    <x v="0"/>
    <x v="0"/>
    <s v="DK1_Rural"/>
    <x v="5"/>
    <s v="GNR_BO_WOODCHI_E-105"/>
    <x v="0"/>
    <x v="16"/>
    <n v="6.6666666666666696"/>
    <n v="2433.3333333333298"/>
    <n v="8760"/>
  </r>
  <r>
    <x v="0"/>
    <x v="0"/>
    <x v="0"/>
    <x v="0"/>
    <x v="0"/>
    <s v="DK1_Rural"/>
    <x v="5"/>
    <s v="GNR_BO_WOODCHI_E-105"/>
    <x v="0"/>
    <x v="17"/>
    <n v="6.6666666666666696"/>
    <n v="2433.3333333333298"/>
    <n v="8760"/>
  </r>
  <r>
    <x v="0"/>
    <x v="0"/>
    <x v="0"/>
    <x v="0"/>
    <x v="0"/>
    <s v="DK1_Rural"/>
    <x v="5"/>
    <s v="GNR_BO_WOODCHI_E-105"/>
    <x v="0"/>
    <x v="18"/>
    <n v="6.6666666666666696"/>
    <n v="2433.3333333333298"/>
    <n v="8760"/>
  </r>
  <r>
    <x v="0"/>
    <x v="0"/>
    <x v="0"/>
    <x v="0"/>
    <x v="0"/>
    <s v="DK1_Rural"/>
    <x v="5"/>
    <s v="GNR_BO_WOODCHI_E-105"/>
    <x v="0"/>
    <x v="19"/>
    <n v="6.6666666666666696"/>
    <n v="2433.3333333333298"/>
    <n v="8760"/>
  </r>
  <r>
    <x v="0"/>
    <x v="0"/>
    <x v="0"/>
    <x v="0"/>
    <x v="0"/>
    <s v="DK1_Rural"/>
    <x v="5"/>
    <s v="GNR_BO_WOODCHI_E-105"/>
    <x v="0"/>
    <x v="20"/>
    <n v="6.6666666666666696"/>
    <n v="2433.3333333333298"/>
    <n v="8760"/>
  </r>
  <r>
    <x v="0"/>
    <x v="0"/>
    <x v="0"/>
    <x v="0"/>
    <x v="0"/>
    <s v="DK1_Rural"/>
    <x v="5"/>
    <s v="GNR_BO_WOODCHI_E-106"/>
    <x v="0"/>
    <x v="7"/>
    <n v="2.5943396226415101"/>
    <n v="946.93396226415098"/>
    <n v="3408.96226415094"/>
  </r>
  <r>
    <x v="0"/>
    <x v="0"/>
    <x v="0"/>
    <x v="0"/>
    <x v="0"/>
    <s v="DK1_Rural"/>
    <x v="5"/>
    <s v="GNR_BO_WOODCHI_E-106"/>
    <x v="0"/>
    <x v="8"/>
    <n v="2.5943396226415101"/>
    <n v="946.93396226415098"/>
    <n v="3408.96226415094"/>
  </r>
  <r>
    <x v="0"/>
    <x v="0"/>
    <x v="0"/>
    <x v="0"/>
    <x v="0"/>
    <s v="DK1_Rural"/>
    <x v="5"/>
    <s v="GNR_BO_WOODCHI_E-106"/>
    <x v="0"/>
    <x v="9"/>
    <n v="2.5943396226415101"/>
    <n v="946.93396226415098"/>
    <n v="3408.96226415094"/>
  </r>
  <r>
    <x v="0"/>
    <x v="0"/>
    <x v="0"/>
    <x v="0"/>
    <x v="0"/>
    <s v="DK1_Rural"/>
    <x v="5"/>
    <s v="GNR_BO_WOODCHI_E-106"/>
    <x v="0"/>
    <x v="10"/>
    <n v="2.5943396226415101"/>
    <n v="946.93396226415098"/>
    <n v="3408.96226415094"/>
  </r>
  <r>
    <x v="0"/>
    <x v="0"/>
    <x v="0"/>
    <x v="0"/>
    <x v="0"/>
    <s v="DK1_Rural"/>
    <x v="5"/>
    <s v="GNR_BO_WOODCHI_E-106"/>
    <x v="0"/>
    <x v="11"/>
    <n v="2.5943396226415101"/>
    <n v="946.93396226415098"/>
    <n v="3408.96226415094"/>
  </r>
  <r>
    <x v="0"/>
    <x v="0"/>
    <x v="0"/>
    <x v="0"/>
    <x v="0"/>
    <s v="DK1_Rural"/>
    <x v="5"/>
    <s v="GNR_BO_WOODCHI_E-106"/>
    <x v="0"/>
    <x v="12"/>
    <n v="2.5943396226415101"/>
    <n v="946.93396226415098"/>
    <n v="3408.96226415094"/>
  </r>
  <r>
    <x v="0"/>
    <x v="0"/>
    <x v="0"/>
    <x v="0"/>
    <x v="0"/>
    <s v="DK1_Rural"/>
    <x v="5"/>
    <s v="GNR_BO_WOODCHI_E-106"/>
    <x v="0"/>
    <x v="13"/>
    <n v="2.5943396226415101"/>
    <n v="946.93396226415098"/>
    <n v="3408.96226415094"/>
  </r>
  <r>
    <x v="0"/>
    <x v="0"/>
    <x v="0"/>
    <x v="0"/>
    <x v="0"/>
    <s v="DK1_Rural"/>
    <x v="5"/>
    <s v="GNR_BO_WOODCHI_E-106"/>
    <x v="0"/>
    <x v="14"/>
    <n v="2.5943396226415101"/>
    <n v="946.93396226415098"/>
    <n v="3408.96226415094"/>
  </r>
  <r>
    <x v="0"/>
    <x v="0"/>
    <x v="0"/>
    <x v="0"/>
    <x v="0"/>
    <s v="DK1_Rural"/>
    <x v="5"/>
    <s v="GNR_BO_WOODCHI_E-106"/>
    <x v="0"/>
    <x v="15"/>
    <n v="2.5943396226415101"/>
    <n v="946.93396226415098"/>
    <n v="3408.96226415094"/>
  </r>
  <r>
    <x v="0"/>
    <x v="0"/>
    <x v="0"/>
    <x v="0"/>
    <x v="0"/>
    <s v="DK1_Rural"/>
    <x v="5"/>
    <s v="GNR_BO_WOODCHI_E-106"/>
    <x v="0"/>
    <x v="16"/>
    <n v="2.5943396226415101"/>
    <n v="946.93396226415098"/>
    <n v="3408.96226415094"/>
  </r>
  <r>
    <x v="0"/>
    <x v="0"/>
    <x v="0"/>
    <x v="0"/>
    <x v="0"/>
    <s v="DK1_Rural"/>
    <x v="5"/>
    <s v="GNR_BO_WOODCHI_E-106"/>
    <x v="0"/>
    <x v="17"/>
    <n v="2.5943396226415101"/>
    <n v="946.93396226415098"/>
    <n v="3408.96226415094"/>
  </r>
  <r>
    <x v="0"/>
    <x v="0"/>
    <x v="0"/>
    <x v="0"/>
    <x v="0"/>
    <s v="DK1_Rural"/>
    <x v="5"/>
    <s v="GNR_BO_WOODCHI_E-106"/>
    <x v="0"/>
    <x v="18"/>
    <n v="2.5943396226415101"/>
    <n v="946.93396226415098"/>
    <n v="3408.96226415094"/>
  </r>
  <r>
    <x v="0"/>
    <x v="0"/>
    <x v="0"/>
    <x v="0"/>
    <x v="0"/>
    <s v="DK1_Rural"/>
    <x v="5"/>
    <s v="GNR_BO_WOODCHI_E-106"/>
    <x v="0"/>
    <x v="19"/>
    <n v="2.5943396226415101"/>
    <n v="946.93396226415098"/>
    <n v="3408.96226415094"/>
  </r>
  <r>
    <x v="0"/>
    <x v="0"/>
    <x v="0"/>
    <x v="0"/>
    <x v="0"/>
    <s v="DK1_Rural"/>
    <x v="5"/>
    <s v="GNR_BO_WOODCHI_E-106"/>
    <x v="0"/>
    <x v="20"/>
    <n v="2.5943396226415101"/>
    <n v="946.93396226415098"/>
    <n v="3408.96226415094"/>
  </r>
  <r>
    <x v="0"/>
    <x v="0"/>
    <x v="0"/>
    <x v="0"/>
    <x v="0"/>
    <s v="DK1_Rural"/>
    <x v="5"/>
    <s v="GNR_BO_WOODCHI_E-107"/>
    <x v="0"/>
    <x v="7"/>
    <n v="11.663551401869199"/>
    <n v="4257.1962616822402"/>
    <n v="15325.9065420561"/>
  </r>
  <r>
    <x v="0"/>
    <x v="0"/>
    <x v="0"/>
    <x v="0"/>
    <x v="0"/>
    <s v="DK1_Rural"/>
    <x v="5"/>
    <s v="GNR_BO_WOODCHI_E-107"/>
    <x v="0"/>
    <x v="8"/>
    <n v="11.663551401869199"/>
    <n v="4257.1962616822402"/>
    <n v="15325.9065420561"/>
  </r>
  <r>
    <x v="0"/>
    <x v="0"/>
    <x v="0"/>
    <x v="0"/>
    <x v="0"/>
    <s v="DK1_Rural"/>
    <x v="5"/>
    <s v="GNR_BO_WOODCHI_E-107"/>
    <x v="0"/>
    <x v="9"/>
    <n v="11.663551401869199"/>
    <n v="4257.1962616822402"/>
    <n v="15325.9065420561"/>
  </r>
  <r>
    <x v="0"/>
    <x v="0"/>
    <x v="0"/>
    <x v="0"/>
    <x v="0"/>
    <s v="DK1_Rural"/>
    <x v="5"/>
    <s v="GNR_BO_WOODCHI_E-107"/>
    <x v="0"/>
    <x v="10"/>
    <n v="11.663551401869199"/>
    <n v="4257.1962616822402"/>
    <n v="15325.9065420561"/>
  </r>
  <r>
    <x v="0"/>
    <x v="0"/>
    <x v="0"/>
    <x v="0"/>
    <x v="0"/>
    <s v="DK1_Rural"/>
    <x v="5"/>
    <s v="GNR_BO_WOODCHI_E-107"/>
    <x v="0"/>
    <x v="11"/>
    <n v="11.663551401869199"/>
    <n v="4257.1962616822402"/>
    <n v="15325.9065420561"/>
  </r>
  <r>
    <x v="0"/>
    <x v="0"/>
    <x v="0"/>
    <x v="0"/>
    <x v="0"/>
    <s v="DK1_Rural"/>
    <x v="5"/>
    <s v="GNR_BO_WOODCHI_E-107"/>
    <x v="0"/>
    <x v="12"/>
    <n v="11.663551401869199"/>
    <n v="4257.1962616822402"/>
    <n v="15325.9065420561"/>
  </r>
  <r>
    <x v="0"/>
    <x v="0"/>
    <x v="0"/>
    <x v="0"/>
    <x v="0"/>
    <s v="DK1_Rural"/>
    <x v="5"/>
    <s v="GNR_BO_WOODCHI_E-107"/>
    <x v="0"/>
    <x v="13"/>
    <n v="11.663551401869199"/>
    <n v="4257.1962616822402"/>
    <n v="15325.9065420561"/>
  </r>
  <r>
    <x v="0"/>
    <x v="0"/>
    <x v="0"/>
    <x v="0"/>
    <x v="0"/>
    <s v="DK1_Rural"/>
    <x v="5"/>
    <s v="GNR_BO_WOODCHI_E-107"/>
    <x v="0"/>
    <x v="14"/>
    <n v="11.663551401869199"/>
    <n v="4257.1962616822402"/>
    <n v="15325.9065420561"/>
  </r>
  <r>
    <x v="0"/>
    <x v="0"/>
    <x v="0"/>
    <x v="0"/>
    <x v="0"/>
    <s v="DK1_Rural"/>
    <x v="5"/>
    <s v="GNR_BO_WOODCHI_E-107"/>
    <x v="0"/>
    <x v="15"/>
    <n v="11.663551401869199"/>
    <n v="4257.1962616822402"/>
    <n v="15325.9065420561"/>
  </r>
  <r>
    <x v="0"/>
    <x v="0"/>
    <x v="0"/>
    <x v="0"/>
    <x v="0"/>
    <s v="DK1_Rural"/>
    <x v="5"/>
    <s v="GNR_BO_WOODCHI_E-107"/>
    <x v="0"/>
    <x v="16"/>
    <n v="11.663551401869199"/>
    <n v="4257.1962616822402"/>
    <n v="15325.9065420561"/>
  </r>
  <r>
    <x v="0"/>
    <x v="0"/>
    <x v="0"/>
    <x v="0"/>
    <x v="0"/>
    <s v="DK1_Rural"/>
    <x v="5"/>
    <s v="GNR_BO_WOODCHI_E-107"/>
    <x v="0"/>
    <x v="17"/>
    <n v="11.663551401869199"/>
    <n v="4257.1962616822402"/>
    <n v="15325.9065420561"/>
  </r>
  <r>
    <x v="0"/>
    <x v="0"/>
    <x v="0"/>
    <x v="0"/>
    <x v="0"/>
    <s v="DK1_Rural"/>
    <x v="5"/>
    <s v="GNR_BO_WOODCHI_E-107"/>
    <x v="0"/>
    <x v="18"/>
    <n v="11.663551401869199"/>
    <n v="4257.1962616822402"/>
    <n v="15325.9065420561"/>
  </r>
  <r>
    <x v="0"/>
    <x v="0"/>
    <x v="0"/>
    <x v="0"/>
    <x v="0"/>
    <s v="DK1_Rural"/>
    <x v="5"/>
    <s v="GNR_BO_WOODCHI_E-107"/>
    <x v="0"/>
    <x v="19"/>
    <n v="11.663551401869199"/>
    <n v="4257.1962616822402"/>
    <n v="15325.9065420561"/>
  </r>
  <r>
    <x v="0"/>
    <x v="0"/>
    <x v="0"/>
    <x v="0"/>
    <x v="0"/>
    <s v="DK1_Rural"/>
    <x v="5"/>
    <s v="GNR_BO_WOODCHI_E-107"/>
    <x v="0"/>
    <x v="20"/>
    <n v="11.663551401869199"/>
    <n v="4257.1962616822402"/>
    <n v="15325.9065420561"/>
  </r>
  <r>
    <x v="0"/>
    <x v="0"/>
    <x v="0"/>
    <x v="0"/>
    <x v="0"/>
    <s v="DK1_Rural"/>
    <x v="5"/>
    <s v="GNR_BO_WOODCHI_E-107"/>
    <x v="0"/>
    <x v="21"/>
    <n v="11.1662245819004"/>
    <n v="4075.6719723936299"/>
    <n v="14672.4191006171"/>
  </r>
  <r>
    <x v="0"/>
    <x v="0"/>
    <x v="0"/>
    <x v="0"/>
    <x v="0"/>
    <s v="DK1_Rural"/>
    <x v="5"/>
    <s v="GNR_BO_WOODCHI_E-107"/>
    <x v="0"/>
    <x v="22"/>
    <n v="7.77739725351306"/>
    <n v="2838.7499975322698"/>
    <n v="10219.499991116199"/>
  </r>
  <r>
    <x v="0"/>
    <x v="0"/>
    <x v="0"/>
    <x v="0"/>
    <x v="0"/>
    <s v="DK1_Rural"/>
    <x v="5"/>
    <s v="GNR_BO_WOODCHI_E-108"/>
    <x v="0"/>
    <x v="7"/>
    <n v="3.24074074074074"/>
    <n v="1182.87037037037"/>
    <n v="4258.3333333333303"/>
  </r>
  <r>
    <x v="0"/>
    <x v="0"/>
    <x v="0"/>
    <x v="0"/>
    <x v="0"/>
    <s v="DK1_Rural"/>
    <x v="5"/>
    <s v="GNR_BO_WOODCHI_E-108"/>
    <x v="0"/>
    <x v="8"/>
    <n v="3.24074074074074"/>
    <n v="1182.87037037037"/>
    <n v="4258.3333333333303"/>
  </r>
  <r>
    <x v="0"/>
    <x v="0"/>
    <x v="0"/>
    <x v="0"/>
    <x v="0"/>
    <s v="DK1_Rural"/>
    <x v="5"/>
    <s v="GNR_BO_WOODCHI_E-108"/>
    <x v="0"/>
    <x v="9"/>
    <n v="3.24074074074074"/>
    <n v="1182.87037037037"/>
    <n v="4258.3333333333303"/>
  </r>
  <r>
    <x v="0"/>
    <x v="0"/>
    <x v="0"/>
    <x v="0"/>
    <x v="0"/>
    <s v="DK1_Rural"/>
    <x v="5"/>
    <s v="GNR_BO_WOODCHI_E-108"/>
    <x v="0"/>
    <x v="10"/>
    <n v="3.24074074074074"/>
    <n v="1182.87037037037"/>
    <n v="4258.3333333333303"/>
  </r>
  <r>
    <x v="0"/>
    <x v="0"/>
    <x v="0"/>
    <x v="0"/>
    <x v="0"/>
    <s v="DK1_Rural"/>
    <x v="5"/>
    <s v="GNR_BO_WOODCHI_E-108"/>
    <x v="0"/>
    <x v="11"/>
    <n v="3.24074074074074"/>
    <n v="1182.87037037037"/>
    <n v="4258.3333333333303"/>
  </r>
  <r>
    <x v="0"/>
    <x v="0"/>
    <x v="0"/>
    <x v="0"/>
    <x v="0"/>
    <s v="DK1_Rural"/>
    <x v="5"/>
    <s v="GNR_BO_WOODCHI_E-108"/>
    <x v="0"/>
    <x v="12"/>
    <n v="3.24074074074074"/>
    <n v="1182.87037037037"/>
    <n v="4258.3333333333303"/>
  </r>
  <r>
    <x v="0"/>
    <x v="0"/>
    <x v="0"/>
    <x v="0"/>
    <x v="0"/>
    <s v="DK1_Rural"/>
    <x v="5"/>
    <s v="GNR_BO_WOODCHI_E-108"/>
    <x v="0"/>
    <x v="13"/>
    <n v="3.24074074074074"/>
    <n v="1182.87037037037"/>
    <n v="4258.3333333333303"/>
  </r>
  <r>
    <x v="0"/>
    <x v="0"/>
    <x v="0"/>
    <x v="0"/>
    <x v="0"/>
    <s v="DK1_Rural"/>
    <x v="5"/>
    <s v="GNR_BO_WOODCHI_E-108"/>
    <x v="0"/>
    <x v="14"/>
    <n v="3.24074074074074"/>
    <n v="1182.87037037037"/>
    <n v="4258.3333333333303"/>
  </r>
  <r>
    <x v="0"/>
    <x v="0"/>
    <x v="0"/>
    <x v="0"/>
    <x v="0"/>
    <s v="DK1_Rural"/>
    <x v="5"/>
    <s v="GNR_BO_WOODCHI_E-108"/>
    <x v="0"/>
    <x v="15"/>
    <n v="3.24074074074074"/>
    <n v="1182.87037037037"/>
    <n v="4258.3333333333303"/>
  </r>
  <r>
    <x v="0"/>
    <x v="0"/>
    <x v="0"/>
    <x v="0"/>
    <x v="0"/>
    <s v="DK1_Rural"/>
    <x v="5"/>
    <s v="GNR_BO_WOODCHI_E-108"/>
    <x v="0"/>
    <x v="16"/>
    <n v="3.24074074074074"/>
    <n v="1182.87037037037"/>
    <n v="4258.3333333333303"/>
  </r>
  <r>
    <x v="0"/>
    <x v="0"/>
    <x v="0"/>
    <x v="0"/>
    <x v="0"/>
    <s v="DK1_Rural"/>
    <x v="5"/>
    <s v="GNR_BO_WOODCHI_E-108"/>
    <x v="0"/>
    <x v="17"/>
    <n v="3.24074074074074"/>
    <n v="1182.87037037037"/>
    <n v="4258.3333333333303"/>
  </r>
  <r>
    <x v="0"/>
    <x v="0"/>
    <x v="0"/>
    <x v="0"/>
    <x v="0"/>
    <s v="DK1_Rural"/>
    <x v="5"/>
    <s v="GNR_BO_WOODCHI_E-108"/>
    <x v="0"/>
    <x v="18"/>
    <n v="3.24074074074074"/>
    <n v="1182.87037037037"/>
    <n v="4258.3333333333303"/>
  </r>
  <r>
    <x v="0"/>
    <x v="0"/>
    <x v="0"/>
    <x v="0"/>
    <x v="0"/>
    <s v="DK1_Rural"/>
    <x v="5"/>
    <s v="GNR_BO_WOODCHI_E-108"/>
    <x v="0"/>
    <x v="19"/>
    <n v="3.24074074074074"/>
    <n v="1182.87037037037"/>
    <n v="4258.3333333333303"/>
  </r>
  <r>
    <x v="0"/>
    <x v="0"/>
    <x v="0"/>
    <x v="0"/>
    <x v="0"/>
    <s v="DK1_Rural"/>
    <x v="5"/>
    <s v="GNR_BO_WOODCHI_E-108"/>
    <x v="0"/>
    <x v="20"/>
    <n v="3.24074074074074"/>
    <n v="1182.87037037037"/>
    <n v="4258.3333333333303"/>
  </r>
  <r>
    <x v="0"/>
    <x v="0"/>
    <x v="0"/>
    <x v="0"/>
    <x v="0"/>
    <s v="DK1_Rural"/>
    <x v="5"/>
    <s v="GNR_BO_WOODCHI_E-108"/>
    <x v="0"/>
    <x v="21"/>
    <n v="3.24074074074074"/>
    <n v="1182.87037037037"/>
    <n v="4258.3333333333303"/>
  </r>
  <r>
    <x v="0"/>
    <x v="0"/>
    <x v="0"/>
    <x v="0"/>
    <x v="0"/>
    <s v="DK1_Rural"/>
    <x v="5"/>
    <s v="GNR_BO_WOODCHI_E-108"/>
    <x v="0"/>
    <x v="22"/>
    <n v="3.24074074074074"/>
    <n v="1182.87037037037"/>
    <n v="4258.3333333333303"/>
  </r>
  <r>
    <x v="0"/>
    <x v="0"/>
    <x v="0"/>
    <x v="0"/>
    <x v="0"/>
    <s v="DK1_Rural"/>
    <x v="5"/>
    <s v="GNR_BO_WOODCHI_E-108"/>
    <x v="0"/>
    <x v="23"/>
    <n v="2.5525018127991199"/>
    <n v="931.66316167167997"/>
    <n v="3353.9873820180501"/>
  </r>
  <r>
    <x v="0"/>
    <x v="0"/>
    <x v="0"/>
    <x v="0"/>
    <x v="0"/>
    <s v="DK1_Rural"/>
    <x v="5"/>
    <s v="GNR_BO_WOODCHI_E-110"/>
    <x v="0"/>
    <x v="0"/>
    <n v="32.565192826979299"/>
    <n v="11886.2953818474"/>
    <n v="42790.663374650801"/>
  </r>
  <r>
    <x v="0"/>
    <x v="0"/>
    <x v="0"/>
    <x v="0"/>
    <x v="0"/>
    <s v="DK1_Rural"/>
    <x v="5"/>
    <s v="GNR_BO_WOODCHI_E-110"/>
    <x v="0"/>
    <x v="1"/>
    <n v="27.620585679650599"/>
    <n v="10081.5137730725"/>
    <n v="36293.449583060901"/>
  </r>
  <r>
    <x v="0"/>
    <x v="0"/>
    <x v="0"/>
    <x v="0"/>
    <x v="0"/>
    <s v="DK1_Rural"/>
    <x v="5"/>
    <s v="GNR_BO_WOODCHI_E-110"/>
    <x v="0"/>
    <x v="2"/>
    <n v="23.9945404382762"/>
    <n v="8758.0072599708201"/>
    <n v="31528.826135894898"/>
  </r>
  <r>
    <x v="0"/>
    <x v="0"/>
    <x v="0"/>
    <x v="0"/>
    <x v="0"/>
    <s v="DK1_Rural"/>
    <x v="5"/>
    <s v="GNR_BO_WOODCHI_E-110"/>
    <x v="0"/>
    <x v="3"/>
    <n v="26.631664250184901"/>
    <n v="9720.5574513174706"/>
    <n v="34994.006824742901"/>
  </r>
  <r>
    <x v="0"/>
    <x v="0"/>
    <x v="0"/>
    <x v="0"/>
    <x v="0"/>
    <s v="DK1_Rural"/>
    <x v="5"/>
    <s v="GNR_BO_WOODCHI_E-110"/>
    <x v="0"/>
    <x v="4"/>
    <n v="39.487642833239398"/>
    <n v="14412.9896341324"/>
    <n v="51886.762682876601"/>
  </r>
  <r>
    <x v="0"/>
    <x v="0"/>
    <x v="0"/>
    <x v="0"/>
    <x v="0"/>
    <s v="DK1_Rural"/>
    <x v="5"/>
    <s v="GNR_BO_WOODCHI_E-110"/>
    <x v="0"/>
    <x v="5"/>
    <n v="49.047216651408199"/>
    <n v="17902.234077763998"/>
    <n v="64448.042679950398"/>
  </r>
  <r>
    <x v="0"/>
    <x v="0"/>
    <x v="0"/>
    <x v="0"/>
    <x v="0"/>
    <s v="DK1_Rural"/>
    <x v="5"/>
    <s v="GNR_BO_WOODCHI_E-110"/>
    <x v="0"/>
    <x v="6"/>
    <n v="109.371423848818"/>
    <n v="39920.569704818598"/>
    <n v="143714.050937347"/>
  </r>
  <r>
    <x v="0"/>
    <x v="0"/>
    <x v="0"/>
    <x v="0"/>
    <x v="0"/>
    <s v="DK1_Rural"/>
    <x v="5"/>
    <s v="GNR_BO_WOODCHI_E-110"/>
    <x v="0"/>
    <x v="7"/>
    <n v="116.754545454545"/>
    <n v="42615.409090909103"/>
    <n v="153415.47272727301"/>
  </r>
  <r>
    <x v="0"/>
    <x v="0"/>
    <x v="0"/>
    <x v="0"/>
    <x v="0"/>
    <s v="DK1_Rural"/>
    <x v="5"/>
    <s v="GNR_BO_WOODCHI_E-110"/>
    <x v="0"/>
    <x v="8"/>
    <n v="116.754545454545"/>
    <n v="42615.409090909103"/>
    <n v="153415.47272727301"/>
  </r>
  <r>
    <x v="0"/>
    <x v="0"/>
    <x v="0"/>
    <x v="0"/>
    <x v="0"/>
    <s v="DK1_Rural"/>
    <x v="5"/>
    <s v="GNR_BO_WOODCHI_E-110"/>
    <x v="0"/>
    <x v="9"/>
    <n v="116.754545454545"/>
    <n v="42615.409090909103"/>
    <n v="153415.47272727301"/>
  </r>
  <r>
    <x v="0"/>
    <x v="0"/>
    <x v="0"/>
    <x v="0"/>
    <x v="0"/>
    <s v="DK1_Rural"/>
    <x v="5"/>
    <s v="GNR_BO_WOODCHI_E-110"/>
    <x v="0"/>
    <x v="10"/>
    <n v="116.754545454545"/>
    <n v="42615.409090909103"/>
    <n v="153415.47272727301"/>
  </r>
  <r>
    <x v="0"/>
    <x v="0"/>
    <x v="0"/>
    <x v="0"/>
    <x v="0"/>
    <s v="DK1_Rural"/>
    <x v="5"/>
    <s v="GNR_BO_WOODCHI_E-110"/>
    <x v="0"/>
    <x v="11"/>
    <n v="116.754545454545"/>
    <n v="42615.409090909103"/>
    <n v="153415.47272727301"/>
  </r>
  <r>
    <x v="0"/>
    <x v="0"/>
    <x v="0"/>
    <x v="0"/>
    <x v="0"/>
    <s v="DK1_Rural"/>
    <x v="5"/>
    <s v="GNR_BO_WOODCHI_E-110"/>
    <x v="0"/>
    <x v="12"/>
    <n v="116.754545454545"/>
    <n v="42615.409090909103"/>
    <n v="153415.47272727301"/>
  </r>
  <r>
    <x v="0"/>
    <x v="0"/>
    <x v="0"/>
    <x v="0"/>
    <x v="0"/>
    <s v="DK1_Rural"/>
    <x v="5"/>
    <s v="GNR_BO_WOODCHI_E-110"/>
    <x v="0"/>
    <x v="13"/>
    <n v="116.754545454545"/>
    <n v="42615.409090909103"/>
    <n v="153415.47272727301"/>
  </r>
  <r>
    <x v="0"/>
    <x v="0"/>
    <x v="0"/>
    <x v="0"/>
    <x v="0"/>
    <s v="DK1_Rural"/>
    <x v="5"/>
    <s v="GNR_BO_WOODCHI_E-110"/>
    <x v="0"/>
    <x v="14"/>
    <n v="116.754545454545"/>
    <n v="42615.409090909103"/>
    <n v="153415.47272727301"/>
  </r>
  <r>
    <x v="0"/>
    <x v="0"/>
    <x v="0"/>
    <x v="0"/>
    <x v="0"/>
    <s v="DK1_Rural"/>
    <x v="5"/>
    <s v="GNR_BO_WOODCHI_E-110"/>
    <x v="0"/>
    <x v="15"/>
    <n v="116.754545454545"/>
    <n v="42615.409090909103"/>
    <n v="153415.47272727301"/>
  </r>
  <r>
    <x v="0"/>
    <x v="0"/>
    <x v="0"/>
    <x v="0"/>
    <x v="0"/>
    <s v="DK1_Rural"/>
    <x v="5"/>
    <s v="GNR_BO_WOODCHI_E-110"/>
    <x v="0"/>
    <x v="16"/>
    <n v="116.754545454545"/>
    <n v="42615.409090909103"/>
    <n v="153415.47272727301"/>
  </r>
  <r>
    <x v="0"/>
    <x v="0"/>
    <x v="0"/>
    <x v="0"/>
    <x v="0"/>
    <s v="DK1_Rural"/>
    <x v="5"/>
    <s v="GNR_BO_WOODCHI_E-110"/>
    <x v="0"/>
    <x v="17"/>
    <n v="116.754545454545"/>
    <n v="42615.409090909103"/>
    <n v="153415.47272727301"/>
  </r>
  <r>
    <x v="0"/>
    <x v="0"/>
    <x v="0"/>
    <x v="0"/>
    <x v="0"/>
    <s v="DK1_Rural"/>
    <x v="5"/>
    <s v="GNR_BO_WOODCHI_E-110"/>
    <x v="0"/>
    <x v="18"/>
    <n v="116.754545454545"/>
    <n v="42615.409090909103"/>
    <n v="153415.47272727301"/>
  </r>
  <r>
    <x v="0"/>
    <x v="0"/>
    <x v="0"/>
    <x v="0"/>
    <x v="0"/>
    <s v="DK1_Rural"/>
    <x v="5"/>
    <s v="GNR_BO_WOODCHI_E-110"/>
    <x v="0"/>
    <x v="19"/>
    <n v="116.754545454545"/>
    <n v="42615.409090909103"/>
    <n v="153415.47272727301"/>
  </r>
  <r>
    <x v="0"/>
    <x v="0"/>
    <x v="0"/>
    <x v="0"/>
    <x v="0"/>
    <s v="DK1_Rural"/>
    <x v="5"/>
    <s v="GNR_BO_WOODCHI_E-110"/>
    <x v="0"/>
    <x v="20"/>
    <n v="116.754545454545"/>
    <n v="42615.409090909103"/>
    <n v="153415.47272727301"/>
  </r>
  <r>
    <x v="0"/>
    <x v="0"/>
    <x v="0"/>
    <x v="0"/>
    <x v="0"/>
    <s v="DK1_Rural"/>
    <x v="5"/>
    <s v="GNR_BO_WOODCHI_E-110"/>
    <x v="0"/>
    <x v="21"/>
    <n v="116.754545454545"/>
    <n v="42615.409090909103"/>
    <n v="153415.47272727301"/>
  </r>
  <r>
    <x v="0"/>
    <x v="0"/>
    <x v="0"/>
    <x v="0"/>
    <x v="0"/>
    <s v="DK1_Rural"/>
    <x v="5"/>
    <s v="GNR_BO_WOODCHI_E-110"/>
    <x v="0"/>
    <x v="22"/>
    <n v="116.754545454545"/>
    <n v="42615.409090909103"/>
    <n v="153415.47272727301"/>
  </r>
  <r>
    <x v="0"/>
    <x v="0"/>
    <x v="0"/>
    <x v="0"/>
    <x v="0"/>
    <s v="DK1_Rural"/>
    <x v="5"/>
    <s v="GNR_BO_WOODCHI_E-110"/>
    <x v="0"/>
    <x v="23"/>
    <n v="116.754545454545"/>
    <n v="42615.409090909103"/>
    <n v="153415.47272727301"/>
  </r>
  <r>
    <x v="0"/>
    <x v="0"/>
    <x v="0"/>
    <x v="0"/>
    <x v="0"/>
    <s v="DK1_Rural"/>
    <x v="5"/>
    <s v="GNR_BO_WOODCHI_E-112"/>
    <x v="0"/>
    <x v="0"/>
    <n v="16.964285714285701"/>
    <n v="6191.9642857142799"/>
    <n v="22291.071428571398"/>
  </r>
  <r>
    <x v="0"/>
    <x v="0"/>
    <x v="0"/>
    <x v="0"/>
    <x v="0"/>
    <s v="DK1_Rural"/>
    <x v="5"/>
    <s v="GNR_BO_WOODCHI_E-112"/>
    <x v="0"/>
    <x v="1"/>
    <n v="16.964285714285701"/>
    <n v="6191.9642857142799"/>
    <n v="22291.071428571398"/>
  </r>
  <r>
    <x v="0"/>
    <x v="0"/>
    <x v="0"/>
    <x v="0"/>
    <x v="0"/>
    <s v="DK1_Rural"/>
    <x v="5"/>
    <s v="GNR_BO_WOODCHI_E-112"/>
    <x v="0"/>
    <x v="2"/>
    <n v="16.964285714285701"/>
    <n v="6191.9642857142799"/>
    <n v="22291.071428571398"/>
  </r>
  <r>
    <x v="0"/>
    <x v="0"/>
    <x v="0"/>
    <x v="0"/>
    <x v="0"/>
    <s v="DK1_Rural"/>
    <x v="5"/>
    <s v="GNR_BO_WOODCHI_E-112"/>
    <x v="0"/>
    <x v="3"/>
    <n v="16.964285714285701"/>
    <n v="6191.9642857142799"/>
    <n v="22291.071428571398"/>
  </r>
  <r>
    <x v="0"/>
    <x v="0"/>
    <x v="0"/>
    <x v="0"/>
    <x v="0"/>
    <s v="DK1_Rural"/>
    <x v="5"/>
    <s v="GNR_BO_WOODCHI_E-112"/>
    <x v="0"/>
    <x v="4"/>
    <n v="16.964285714285701"/>
    <n v="6191.9642857142799"/>
    <n v="22291.071428571398"/>
  </r>
  <r>
    <x v="0"/>
    <x v="0"/>
    <x v="0"/>
    <x v="0"/>
    <x v="0"/>
    <s v="DK1_Rural"/>
    <x v="5"/>
    <s v="GNR_BO_WOODCHI_E-112"/>
    <x v="0"/>
    <x v="5"/>
    <n v="16.964285714285701"/>
    <n v="6191.9642857142799"/>
    <n v="22291.071428571398"/>
  </r>
  <r>
    <x v="0"/>
    <x v="0"/>
    <x v="0"/>
    <x v="0"/>
    <x v="0"/>
    <s v="DK1_Rural"/>
    <x v="5"/>
    <s v="GNR_BO_WOODCHI_E-112"/>
    <x v="0"/>
    <x v="6"/>
    <n v="16.964285714285701"/>
    <n v="6191.9642857142799"/>
    <n v="22291.071428571398"/>
  </r>
  <r>
    <x v="0"/>
    <x v="0"/>
    <x v="0"/>
    <x v="0"/>
    <x v="0"/>
    <s v="DK1_Rural"/>
    <x v="5"/>
    <s v="GNR_BO_WOODCHI_E-112"/>
    <x v="0"/>
    <x v="7"/>
    <n v="16.964285714285701"/>
    <n v="6191.9642857142799"/>
    <n v="22291.071428571398"/>
  </r>
  <r>
    <x v="0"/>
    <x v="0"/>
    <x v="0"/>
    <x v="0"/>
    <x v="0"/>
    <s v="DK1_Rural"/>
    <x v="5"/>
    <s v="GNR_BO_WOODCHI_E-112"/>
    <x v="0"/>
    <x v="8"/>
    <n v="16.964285714285701"/>
    <n v="6191.9642857142799"/>
    <n v="22291.071428571398"/>
  </r>
  <r>
    <x v="0"/>
    <x v="0"/>
    <x v="0"/>
    <x v="0"/>
    <x v="0"/>
    <s v="DK1_Rural"/>
    <x v="5"/>
    <s v="GNR_BO_WOODCHI_E-112"/>
    <x v="0"/>
    <x v="9"/>
    <n v="16.964285714285701"/>
    <n v="6191.9642857142799"/>
    <n v="22291.071428571398"/>
  </r>
  <r>
    <x v="0"/>
    <x v="0"/>
    <x v="0"/>
    <x v="0"/>
    <x v="0"/>
    <s v="DK1_Rural"/>
    <x v="5"/>
    <s v="GNR_BO_WOODCHI_E-112"/>
    <x v="0"/>
    <x v="10"/>
    <n v="16.964285714285701"/>
    <n v="6191.9642857142799"/>
    <n v="22291.071428571398"/>
  </r>
  <r>
    <x v="0"/>
    <x v="0"/>
    <x v="0"/>
    <x v="0"/>
    <x v="0"/>
    <s v="DK1_Rural"/>
    <x v="5"/>
    <s v="GNR_BO_WOODCHI_E-112"/>
    <x v="0"/>
    <x v="11"/>
    <n v="16.964285714285701"/>
    <n v="6191.9642857142799"/>
    <n v="22291.071428571398"/>
  </r>
  <r>
    <x v="0"/>
    <x v="0"/>
    <x v="0"/>
    <x v="0"/>
    <x v="0"/>
    <s v="DK1_Rural"/>
    <x v="5"/>
    <s v="GNR_BO_WOODCHI_E-112"/>
    <x v="0"/>
    <x v="12"/>
    <n v="16.964285714285701"/>
    <n v="6191.9642857142799"/>
    <n v="22291.071428571398"/>
  </r>
  <r>
    <x v="0"/>
    <x v="0"/>
    <x v="0"/>
    <x v="0"/>
    <x v="0"/>
    <s v="DK1_Rural"/>
    <x v="5"/>
    <s v="GNR_BO_WOODCHI_E-112"/>
    <x v="0"/>
    <x v="13"/>
    <n v="16.964285714285701"/>
    <n v="6191.9642857142799"/>
    <n v="22291.071428571398"/>
  </r>
  <r>
    <x v="0"/>
    <x v="0"/>
    <x v="0"/>
    <x v="0"/>
    <x v="0"/>
    <s v="DK1_Rural"/>
    <x v="5"/>
    <s v="GNR_BO_WOODCHI_E-112"/>
    <x v="0"/>
    <x v="14"/>
    <n v="16.964285714285701"/>
    <n v="6191.9642857142799"/>
    <n v="22291.071428571398"/>
  </r>
  <r>
    <x v="0"/>
    <x v="0"/>
    <x v="0"/>
    <x v="0"/>
    <x v="0"/>
    <s v="DK1_Rural"/>
    <x v="5"/>
    <s v="GNR_BO_WOODCHI_E-112"/>
    <x v="0"/>
    <x v="15"/>
    <n v="16.964285714285701"/>
    <n v="6191.9642857142799"/>
    <n v="22291.071428571398"/>
  </r>
  <r>
    <x v="0"/>
    <x v="0"/>
    <x v="0"/>
    <x v="0"/>
    <x v="0"/>
    <s v="DK1_Rural"/>
    <x v="5"/>
    <s v="GNR_BO_WOODCHI_E-112"/>
    <x v="0"/>
    <x v="16"/>
    <n v="16.964285714285701"/>
    <n v="6191.9642857142799"/>
    <n v="22291.071428571398"/>
  </r>
  <r>
    <x v="0"/>
    <x v="0"/>
    <x v="0"/>
    <x v="0"/>
    <x v="0"/>
    <s v="DK1_Rural"/>
    <x v="5"/>
    <s v="GNR_BO_WOODCHI_E-112"/>
    <x v="0"/>
    <x v="17"/>
    <n v="16.964285714285701"/>
    <n v="6191.9642857142799"/>
    <n v="22291.071428571398"/>
  </r>
  <r>
    <x v="0"/>
    <x v="0"/>
    <x v="0"/>
    <x v="0"/>
    <x v="0"/>
    <s v="DK1_Rural"/>
    <x v="5"/>
    <s v="GNR_BO_WOODCHI_E-112"/>
    <x v="0"/>
    <x v="18"/>
    <n v="16.964285714285701"/>
    <n v="6191.9642857142799"/>
    <n v="22291.071428571398"/>
  </r>
  <r>
    <x v="0"/>
    <x v="0"/>
    <x v="0"/>
    <x v="0"/>
    <x v="0"/>
    <s v="DK1_Rural"/>
    <x v="5"/>
    <s v="GNR_BO_WOODCHI_E-112"/>
    <x v="0"/>
    <x v="19"/>
    <n v="16.964285714285701"/>
    <n v="6191.9642857142799"/>
    <n v="22291.071428571398"/>
  </r>
  <r>
    <x v="0"/>
    <x v="0"/>
    <x v="0"/>
    <x v="0"/>
    <x v="0"/>
    <s v="DK1_Rural"/>
    <x v="5"/>
    <s v="GNR_BO_WOODCHI_E-112"/>
    <x v="0"/>
    <x v="20"/>
    <n v="16.964285714285701"/>
    <n v="6191.9642857142799"/>
    <n v="22291.071428571398"/>
  </r>
  <r>
    <x v="0"/>
    <x v="0"/>
    <x v="0"/>
    <x v="0"/>
    <x v="0"/>
    <s v="DK1_Rural"/>
    <x v="5"/>
    <s v="GNR_BO_WOODCHI_E-112"/>
    <x v="0"/>
    <x v="21"/>
    <n v="16.964285714285701"/>
    <n v="6191.9642857142799"/>
    <n v="22291.071428571398"/>
  </r>
  <r>
    <x v="0"/>
    <x v="0"/>
    <x v="0"/>
    <x v="0"/>
    <x v="0"/>
    <s v="DK1_Rural"/>
    <x v="5"/>
    <s v="GNR_BO_WOODCHI_E-112"/>
    <x v="0"/>
    <x v="22"/>
    <n v="16.964285714285701"/>
    <n v="6191.9642857142799"/>
    <n v="22291.071428571398"/>
  </r>
  <r>
    <x v="0"/>
    <x v="0"/>
    <x v="0"/>
    <x v="0"/>
    <x v="0"/>
    <s v="DK1_Rural"/>
    <x v="5"/>
    <s v="GNR_BO_WOODCHI_E-112"/>
    <x v="0"/>
    <x v="23"/>
    <n v="16.964285714285701"/>
    <n v="6191.9642857142799"/>
    <n v="22291.071428571398"/>
  </r>
  <r>
    <x v="0"/>
    <x v="0"/>
    <x v="0"/>
    <x v="0"/>
    <x v="0"/>
    <s v="DK1_Rural"/>
    <x v="5"/>
    <s v="GNR_BO_WOODCHI_E-113"/>
    <x v="0"/>
    <x v="0"/>
    <n v="4.2105263157894699"/>
    <n v="1536.84210526316"/>
    <n v="5532.6315789473701"/>
  </r>
  <r>
    <x v="0"/>
    <x v="0"/>
    <x v="0"/>
    <x v="0"/>
    <x v="0"/>
    <s v="DK1_Rural"/>
    <x v="5"/>
    <s v="GNR_BO_WOODCHI_E-113"/>
    <x v="0"/>
    <x v="1"/>
    <n v="4.2105263157894699"/>
    <n v="1536.84210526316"/>
    <n v="5532.6315789473701"/>
  </r>
  <r>
    <x v="0"/>
    <x v="0"/>
    <x v="0"/>
    <x v="0"/>
    <x v="0"/>
    <s v="DK1_Rural"/>
    <x v="5"/>
    <s v="GNR_BO_WOODCHI_E-113"/>
    <x v="0"/>
    <x v="2"/>
    <n v="4.2105263157894699"/>
    <n v="1536.84210526316"/>
    <n v="5532.6315789473701"/>
  </r>
  <r>
    <x v="0"/>
    <x v="0"/>
    <x v="0"/>
    <x v="0"/>
    <x v="0"/>
    <s v="DK1_Rural"/>
    <x v="5"/>
    <s v="GNR_BO_WOODCHI_E-113"/>
    <x v="0"/>
    <x v="3"/>
    <n v="4.2105263157894699"/>
    <n v="1536.84210526316"/>
    <n v="5532.6315789473701"/>
  </r>
  <r>
    <x v="0"/>
    <x v="0"/>
    <x v="0"/>
    <x v="0"/>
    <x v="0"/>
    <s v="DK1_Rural"/>
    <x v="5"/>
    <s v="GNR_BO_WOODCHI_E-113"/>
    <x v="0"/>
    <x v="4"/>
    <n v="4.2105263157894699"/>
    <n v="1536.84210526316"/>
    <n v="5532.6315789473701"/>
  </r>
  <r>
    <x v="0"/>
    <x v="0"/>
    <x v="0"/>
    <x v="0"/>
    <x v="0"/>
    <s v="DK1_Rural"/>
    <x v="5"/>
    <s v="GNR_BO_WOODCHI_E-113"/>
    <x v="0"/>
    <x v="5"/>
    <n v="4.2105263157894699"/>
    <n v="1536.84210526316"/>
    <n v="5532.6315789473701"/>
  </r>
  <r>
    <x v="0"/>
    <x v="0"/>
    <x v="0"/>
    <x v="0"/>
    <x v="0"/>
    <s v="DK1_Rural"/>
    <x v="5"/>
    <s v="GNR_BO_WOODCHI_E-113"/>
    <x v="0"/>
    <x v="6"/>
    <n v="4.2105263157894699"/>
    <n v="1536.84210526316"/>
    <n v="5532.6315789473701"/>
  </r>
  <r>
    <x v="0"/>
    <x v="0"/>
    <x v="0"/>
    <x v="0"/>
    <x v="0"/>
    <s v="DK1_Rural"/>
    <x v="5"/>
    <s v="GNR_BO_WOODCHI_E-113"/>
    <x v="0"/>
    <x v="7"/>
    <n v="4.2105263157894699"/>
    <n v="1536.84210526316"/>
    <n v="5532.6315789473701"/>
  </r>
  <r>
    <x v="0"/>
    <x v="0"/>
    <x v="0"/>
    <x v="0"/>
    <x v="0"/>
    <s v="DK1_Rural"/>
    <x v="5"/>
    <s v="GNR_BO_WOODCHI_E-113"/>
    <x v="0"/>
    <x v="8"/>
    <n v="4.2105263157894699"/>
    <n v="1536.84210526316"/>
    <n v="5532.6315789473701"/>
  </r>
  <r>
    <x v="0"/>
    <x v="0"/>
    <x v="0"/>
    <x v="0"/>
    <x v="0"/>
    <s v="DK1_Rural"/>
    <x v="5"/>
    <s v="GNR_BO_WOODCHI_E-113"/>
    <x v="0"/>
    <x v="9"/>
    <n v="4.2105263157894699"/>
    <n v="1536.84210526316"/>
    <n v="5532.6315789473701"/>
  </r>
  <r>
    <x v="0"/>
    <x v="0"/>
    <x v="0"/>
    <x v="0"/>
    <x v="0"/>
    <s v="DK1_Rural"/>
    <x v="5"/>
    <s v="GNR_BO_WOODCHI_E-113"/>
    <x v="0"/>
    <x v="10"/>
    <n v="4.2105263157894699"/>
    <n v="1536.84210526316"/>
    <n v="5532.6315789473701"/>
  </r>
  <r>
    <x v="0"/>
    <x v="0"/>
    <x v="0"/>
    <x v="0"/>
    <x v="0"/>
    <s v="DK1_Rural"/>
    <x v="5"/>
    <s v="GNR_BO_WOODCHI_E-113"/>
    <x v="0"/>
    <x v="11"/>
    <n v="4.2105263157894699"/>
    <n v="1536.84210526316"/>
    <n v="5532.6315789473701"/>
  </r>
  <r>
    <x v="0"/>
    <x v="0"/>
    <x v="0"/>
    <x v="0"/>
    <x v="0"/>
    <s v="DK1_Rural"/>
    <x v="5"/>
    <s v="GNR_BO_WOODCHI_E-113"/>
    <x v="0"/>
    <x v="12"/>
    <n v="4.2105263157894699"/>
    <n v="1536.84210526316"/>
    <n v="5532.6315789473701"/>
  </r>
  <r>
    <x v="0"/>
    <x v="0"/>
    <x v="0"/>
    <x v="0"/>
    <x v="0"/>
    <s v="DK1_Rural"/>
    <x v="5"/>
    <s v="GNR_BO_WOODCHI_E-113"/>
    <x v="0"/>
    <x v="13"/>
    <n v="4.2105263157894699"/>
    <n v="1536.84210526316"/>
    <n v="5532.6315789473701"/>
  </r>
  <r>
    <x v="0"/>
    <x v="0"/>
    <x v="0"/>
    <x v="0"/>
    <x v="0"/>
    <s v="DK1_Rural"/>
    <x v="5"/>
    <s v="GNR_BO_WOODCHI_E-113"/>
    <x v="0"/>
    <x v="14"/>
    <n v="4.2105263157894699"/>
    <n v="1536.84210526316"/>
    <n v="5532.6315789473701"/>
  </r>
  <r>
    <x v="0"/>
    <x v="0"/>
    <x v="0"/>
    <x v="0"/>
    <x v="0"/>
    <s v="DK1_Rural"/>
    <x v="5"/>
    <s v="GNR_BO_WOODCHI_E-113"/>
    <x v="0"/>
    <x v="15"/>
    <n v="4.2105263157894699"/>
    <n v="1536.84210526316"/>
    <n v="5532.6315789473701"/>
  </r>
  <r>
    <x v="0"/>
    <x v="0"/>
    <x v="0"/>
    <x v="0"/>
    <x v="0"/>
    <s v="DK1_Rural"/>
    <x v="5"/>
    <s v="GNR_BO_WOODCHI_E-113"/>
    <x v="0"/>
    <x v="16"/>
    <n v="4.2105263157894699"/>
    <n v="1536.84210526316"/>
    <n v="5532.6315789473701"/>
  </r>
  <r>
    <x v="0"/>
    <x v="0"/>
    <x v="0"/>
    <x v="0"/>
    <x v="0"/>
    <s v="DK1_Rural"/>
    <x v="5"/>
    <s v="GNR_BO_WOODCHI_E-113"/>
    <x v="0"/>
    <x v="17"/>
    <n v="4.2105263157894699"/>
    <n v="1536.84210526316"/>
    <n v="5532.6315789473701"/>
  </r>
  <r>
    <x v="0"/>
    <x v="0"/>
    <x v="0"/>
    <x v="0"/>
    <x v="0"/>
    <s v="DK1_Rural"/>
    <x v="5"/>
    <s v="GNR_BO_WOODCHI_E-113"/>
    <x v="0"/>
    <x v="18"/>
    <n v="4.2105263157894699"/>
    <n v="1536.84210526316"/>
    <n v="5532.6315789473701"/>
  </r>
  <r>
    <x v="0"/>
    <x v="0"/>
    <x v="0"/>
    <x v="0"/>
    <x v="0"/>
    <s v="DK1_Rural"/>
    <x v="5"/>
    <s v="GNR_BO_WOODCHI_E-113"/>
    <x v="0"/>
    <x v="19"/>
    <n v="4.2105263157894699"/>
    <n v="1536.84210526316"/>
    <n v="5532.6315789473701"/>
  </r>
  <r>
    <x v="0"/>
    <x v="0"/>
    <x v="0"/>
    <x v="0"/>
    <x v="0"/>
    <s v="DK1_Rural"/>
    <x v="5"/>
    <s v="GNR_BO_WOODCHI_E-113"/>
    <x v="0"/>
    <x v="20"/>
    <n v="4.2105263157894699"/>
    <n v="1536.84210526316"/>
    <n v="5532.6315789473701"/>
  </r>
  <r>
    <x v="0"/>
    <x v="0"/>
    <x v="0"/>
    <x v="0"/>
    <x v="0"/>
    <s v="DK1_Rural"/>
    <x v="5"/>
    <s v="GNR_BO_WOODCHI_E-113"/>
    <x v="0"/>
    <x v="21"/>
    <n v="4.2105263157894699"/>
    <n v="1536.84210526316"/>
    <n v="5532.6315789473701"/>
  </r>
  <r>
    <x v="0"/>
    <x v="0"/>
    <x v="0"/>
    <x v="0"/>
    <x v="0"/>
    <s v="DK1_Rural"/>
    <x v="5"/>
    <s v="GNR_BO_WOODCHI_E-113"/>
    <x v="0"/>
    <x v="22"/>
    <n v="4.2105263157894699"/>
    <n v="1536.84210526316"/>
    <n v="5532.6315789473701"/>
  </r>
  <r>
    <x v="0"/>
    <x v="0"/>
    <x v="0"/>
    <x v="0"/>
    <x v="0"/>
    <s v="DK1_Rural"/>
    <x v="5"/>
    <s v="GNR_BO_WOODCHI_E-113"/>
    <x v="0"/>
    <x v="23"/>
    <n v="4.2105263157894699"/>
    <n v="1536.84210526316"/>
    <n v="5532.6315789473701"/>
  </r>
  <r>
    <x v="0"/>
    <x v="0"/>
    <x v="0"/>
    <x v="0"/>
    <x v="0"/>
    <s v="DK1_Rural"/>
    <x v="5"/>
    <s v="GNR_BO_WOODCHI_E-114"/>
    <x v="0"/>
    <x v="0"/>
    <n v="18.260869565217401"/>
    <n v="6665.2173913043498"/>
    <n v="23994.782608695699"/>
  </r>
  <r>
    <x v="0"/>
    <x v="0"/>
    <x v="0"/>
    <x v="0"/>
    <x v="0"/>
    <s v="DK1_Rural"/>
    <x v="5"/>
    <s v="GNR_BO_WOODCHI_E-114"/>
    <x v="0"/>
    <x v="1"/>
    <n v="18.260869565217401"/>
    <n v="6665.2173913043498"/>
    <n v="23994.782608695699"/>
  </r>
  <r>
    <x v="0"/>
    <x v="0"/>
    <x v="0"/>
    <x v="0"/>
    <x v="0"/>
    <s v="DK1_Rural"/>
    <x v="5"/>
    <s v="GNR_BO_WOODCHI_E-114"/>
    <x v="0"/>
    <x v="2"/>
    <n v="18.260869565217401"/>
    <n v="6665.2173913043498"/>
    <n v="23994.782608695699"/>
  </r>
  <r>
    <x v="0"/>
    <x v="0"/>
    <x v="0"/>
    <x v="0"/>
    <x v="0"/>
    <s v="DK1_Rural"/>
    <x v="5"/>
    <s v="GNR_BO_WOODCHI_E-114"/>
    <x v="0"/>
    <x v="3"/>
    <n v="18.260869565217401"/>
    <n v="6665.2173913043498"/>
    <n v="23994.782608695699"/>
  </r>
  <r>
    <x v="0"/>
    <x v="0"/>
    <x v="0"/>
    <x v="0"/>
    <x v="0"/>
    <s v="DK1_Rural"/>
    <x v="5"/>
    <s v="GNR_BO_WOODCHI_E-114"/>
    <x v="0"/>
    <x v="4"/>
    <n v="18.260869565217401"/>
    <n v="6665.2173913043498"/>
    <n v="23994.782608695699"/>
  </r>
  <r>
    <x v="0"/>
    <x v="0"/>
    <x v="0"/>
    <x v="0"/>
    <x v="0"/>
    <s v="DK1_Rural"/>
    <x v="5"/>
    <s v="GNR_BO_WOODCHI_E-114"/>
    <x v="0"/>
    <x v="5"/>
    <n v="18.260869565217401"/>
    <n v="6665.2173913043498"/>
    <n v="23994.782608695699"/>
  </r>
  <r>
    <x v="0"/>
    <x v="0"/>
    <x v="0"/>
    <x v="0"/>
    <x v="0"/>
    <s v="DK1_Rural"/>
    <x v="5"/>
    <s v="GNR_BO_WOODCHI_E-114"/>
    <x v="0"/>
    <x v="6"/>
    <n v="18.260869565217401"/>
    <n v="6665.2173913043498"/>
    <n v="23994.782608695699"/>
  </r>
  <r>
    <x v="0"/>
    <x v="0"/>
    <x v="0"/>
    <x v="0"/>
    <x v="0"/>
    <s v="DK1_Rural"/>
    <x v="5"/>
    <s v="GNR_BO_WOODCHI_E-114"/>
    <x v="0"/>
    <x v="7"/>
    <n v="18.260869565217401"/>
    <n v="6665.2173913043498"/>
    <n v="23994.782608695699"/>
  </r>
  <r>
    <x v="0"/>
    <x v="0"/>
    <x v="0"/>
    <x v="0"/>
    <x v="0"/>
    <s v="DK1_Rural"/>
    <x v="5"/>
    <s v="GNR_BO_WOODCHI_E-114"/>
    <x v="0"/>
    <x v="8"/>
    <n v="18.260869565217401"/>
    <n v="6665.2173913043498"/>
    <n v="23994.782608695699"/>
  </r>
  <r>
    <x v="0"/>
    <x v="0"/>
    <x v="0"/>
    <x v="0"/>
    <x v="0"/>
    <s v="DK1_Rural"/>
    <x v="5"/>
    <s v="GNR_BO_WOODCHI_E-114"/>
    <x v="0"/>
    <x v="9"/>
    <n v="18.260869565217401"/>
    <n v="6665.2173913043498"/>
    <n v="23994.782608695699"/>
  </r>
  <r>
    <x v="0"/>
    <x v="0"/>
    <x v="0"/>
    <x v="0"/>
    <x v="0"/>
    <s v="DK1_Rural"/>
    <x v="5"/>
    <s v="GNR_BO_WOODCHI_E-114"/>
    <x v="0"/>
    <x v="10"/>
    <n v="18.260869565217401"/>
    <n v="6665.2173913043498"/>
    <n v="23994.782608695699"/>
  </r>
  <r>
    <x v="0"/>
    <x v="0"/>
    <x v="0"/>
    <x v="0"/>
    <x v="0"/>
    <s v="DK1_Rural"/>
    <x v="5"/>
    <s v="GNR_BO_WOODCHI_E-114"/>
    <x v="0"/>
    <x v="11"/>
    <n v="18.260869565217401"/>
    <n v="6665.2173913043498"/>
    <n v="23994.782608695699"/>
  </r>
  <r>
    <x v="0"/>
    <x v="0"/>
    <x v="0"/>
    <x v="0"/>
    <x v="0"/>
    <s v="DK1_Rural"/>
    <x v="5"/>
    <s v="GNR_BO_WOODCHI_E-114"/>
    <x v="0"/>
    <x v="12"/>
    <n v="18.260869565217401"/>
    <n v="6665.2173913043498"/>
    <n v="23994.782608695699"/>
  </r>
  <r>
    <x v="0"/>
    <x v="0"/>
    <x v="0"/>
    <x v="0"/>
    <x v="0"/>
    <s v="DK1_Rural"/>
    <x v="5"/>
    <s v="GNR_BO_WOODCHI_E-114"/>
    <x v="0"/>
    <x v="13"/>
    <n v="18.260869565217401"/>
    <n v="6665.2173913043498"/>
    <n v="23994.782608695699"/>
  </r>
  <r>
    <x v="0"/>
    <x v="0"/>
    <x v="0"/>
    <x v="0"/>
    <x v="0"/>
    <s v="DK1_Rural"/>
    <x v="5"/>
    <s v="GNR_BO_WOODCHI_E-114"/>
    <x v="0"/>
    <x v="14"/>
    <n v="18.260869565217401"/>
    <n v="6665.2173913043498"/>
    <n v="23994.782608695699"/>
  </r>
  <r>
    <x v="0"/>
    <x v="0"/>
    <x v="0"/>
    <x v="0"/>
    <x v="0"/>
    <s v="DK1_Rural"/>
    <x v="5"/>
    <s v="GNR_BO_WOODCHI_E-114"/>
    <x v="0"/>
    <x v="15"/>
    <n v="18.260869565217401"/>
    <n v="6665.2173913043498"/>
    <n v="23994.782608695699"/>
  </r>
  <r>
    <x v="0"/>
    <x v="0"/>
    <x v="0"/>
    <x v="0"/>
    <x v="0"/>
    <s v="DK1_Rural"/>
    <x v="5"/>
    <s v="GNR_BO_WOODCHI_E-114"/>
    <x v="0"/>
    <x v="16"/>
    <n v="18.260869565217401"/>
    <n v="6665.2173913043498"/>
    <n v="23994.782608695699"/>
  </r>
  <r>
    <x v="0"/>
    <x v="0"/>
    <x v="0"/>
    <x v="0"/>
    <x v="0"/>
    <s v="DK1_Rural"/>
    <x v="5"/>
    <s v="GNR_BO_WOODCHI_E-114"/>
    <x v="0"/>
    <x v="17"/>
    <n v="18.260869565217401"/>
    <n v="6665.2173913043498"/>
    <n v="23994.782608695699"/>
  </r>
  <r>
    <x v="0"/>
    <x v="0"/>
    <x v="0"/>
    <x v="0"/>
    <x v="0"/>
    <s v="DK1_Rural"/>
    <x v="5"/>
    <s v="GNR_BO_WOODCHI_E-114"/>
    <x v="0"/>
    <x v="18"/>
    <n v="18.260869565217401"/>
    <n v="6665.2173913043498"/>
    <n v="23994.782608695699"/>
  </r>
  <r>
    <x v="0"/>
    <x v="0"/>
    <x v="0"/>
    <x v="0"/>
    <x v="0"/>
    <s v="DK1_Rural"/>
    <x v="5"/>
    <s v="GNR_BO_WOODCHI_E-114"/>
    <x v="0"/>
    <x v="19"/>
    <n v="18.260869565217401"/>
    <n v="6665.2173913043498"/>
    <n v="23994.782608695699"/>
  </r>
  <r>
    <x v="0"/>
    <x v="0"/>
    <x v="0"/>
    <x v="0"/>
    <x v="0"/>
    <s v="DK1_Rural"/>
    <x v="5"/>
    <s v="GNR_BO_WOODCHI_E-114"/>
    <x v="0"/>
    <x v="20"/>
    <n v="18.260869565217401"/>
    <n v="6665.2173913043498"/>
    <n v="23994.782608695699"/>
  </r>
  <r>
    <x v="0"/>
    <x v="0"/>
    <x v="0"/>
    <x v="0"/>
    <x v="0"/>
    <s v="DK1_Rural"/>
    <x v="5"/>
    <s v="GNR_BO_WOODCHI_E-114"/>
    <x v="0"/>
    <x v="21"/>
    <n v="18.260869565217401"/>
    <n v="6665.2173913043498"/>
    <n v="23994.782608695699"/>
  </r>
  <r>
    <x v="0"/>
    <x v="0"/>
    <x v="0"/>
    <x v="0"/>
    <x v="0"/>
    <s v="DK1_Rural"/>
    <x v="5"/>
    <s v="GNR_BO_WOODCHI_E-114"/>
    <x v="0"/>
    <x v="22"/>
    <n v="18.260869565217401"/>
    <n v="6665.2173913043498"/>
    <n v="23994.782608695699"/>
  </r>
  <r>
    <x v="0"/>
    <x v="0"/>
    <x v="0"/>
    <x v="0"/>
    <x v="0"/>
    <s v="DK1_Rural"/>
    <x v="5"/>
    <s v="GNR_BO_WOODCHI_E-114"/>
    <x v="0"/>
    <x v="23"/>
    <n v="18.260869565217401"/>
    <n v="6665.2173913043498"/>
    <n v="23994.782608695699"/>
  </r>
  <r>
    <x v="0"/>
    <x v="0"/>
    <x v="0"/>
    <x v="0"/>
    <x v="0"/>
    <s v="DK1_Rural"/>
    <x v="5"/>
    <s v="GNR_BO_WOODCHI_E-117"/>
    <x v="0"/>
    <x v="0"/>
    <n v="17.094017094017101"/>
    <n v="6239.3162393162402"/>
    <n v="22461.538461538501"/>
  </r>
  <r>
    <x v="0"/>
    <x v="0"/>
    <x v="0"/>
    <x v="0"/>
    <x v="0"/>
    <s v="DK1_Rural"/>
    <x v="5"/>
    <s v="GNR_BO_WOODCHI_E-117"/>
    <x v="0"/>
    <x v="1"/>
    <n v="17.094017094017101"/>
    <n v="6239.3162393162402"/>
    <n v="22461.538461538501"/>
  </r>
  <r>
    <x v="0"/>
    <x v="0"/>
    <x v="0"/>
    <x v="0"/>
    <x v="0"/>
    <s v="DK1_Rural"/>
    <x v="5"/>
    <s v="GNR_BO_WOODCHI_E-117"/>
    <x v="0"/>
    <x v="2"/>
    <n v="17.094017094017101"/>
    <n v="6239.3162393162402"/>
    <n v="22461.538461538501"/>
  </r>
  <r>
    <x v="0"/>
    <x v="0"/>
    <x v="0"/>
    <x v="0"/>
    <x v="0"/>
    <s v="DK1_Rural"/>
    <x v="5"/>
    <s v="GNR_BO_WOODCHI_E-117"/>
    <x v="0"/>
    <x v="3"/>
    <n v="17.094017094017101"/>
    <n v="6239.3162393162402"/>
    <n v="22461.538461538501"/>
  </r>
  <r>
    <x v="0"/>
    <x v="0"/>
    <x v="0"/>
    <x v="0"/>
    <x v="0"/>
    <s v="DK1_Rural"/>
    <x v="5"/>
    <s v="GNR_BO_WOODCHI_E-117"/>
    <x v="0"/>
    <x v="4"/>
    <n v="17.094017094017101"/>
    <n v="6239.3162393162402"/>
    <n v="22461.538461538501"/>
  </r>
  <r>
    <x v="0"/>
    <x v="0"/>
    <x v="0"/>
    <x v="0"/>
    <x v="0"/>
    <s v="DK1_Rural"/>
    <x v="5"/>
    <s v="GNR_BO_WOODCHI_E-117"/>
    <x v="0"/>
    <x v="5"/>
    <n v="17.094017094017101"/>
    <n v="6239.3162393162402"/>
    <n v="22461.538461538501"/>
  </r>
  <r>
    <x v="0"/>
    <x v="0"/>
    <x v="0"/>
    <x v="0"/>
    <x v="0"/>
    <s v="DK1_Rural"/>
    <x v="5"/>
    <s v="GNR_BO_WOODCHI_E-117"/>
    <x v="0"/>
    <x v="6"/>
    <n v="17.094017094017101"/>
    <n v="6239.3162393162402"/>
    <n v="22461.538461538501"/>
  </r>
  <r>
    <x v="0"/>
    <x v="0"/>
    <x v="0"/>
    <x v="0"/>
    <x v="0"/>
    <s v="DK1_Rural"/>
    <x v="5"/>
    <s v="GNR_BO_WOODCHI_E-117"/>
    <x v="0"/>
    <x v="7"/>
    <n v="17.094017094017101"/>
    <n v="6239.3162393162402"/>
    <n v="22461.538461538501"/>
  </r>
  <r>
    <x v="0"/>
    <x v="0"/>
    <x v="0"/>
    <x v="0"/>
    <x v="0"/>
    <s v="DK1_Rural"/>
    <x v="5"/>
    <s v="GNR_BO_WOODCHI_E-117"/>
    <x v="0"/>
    <x v="8"/>
    <n v="17.094017094017101"/>
    <n v="6239.3162393162402"/>
    <n v="22461.538461538501"/>
  </r>
  <r>
    <x v="0"/>
    <x v="0"/>
    <x v="0"/>
    <x v="0"/>
    <x v="0"/>
    <s v="DK1_Rural"/>
    <x v="5"/>
    <s v="GNR_BO_WOODCHI_E-117"/>
    <x v="0"/>
    <x v="9"/>
    <n v="17.094017094017101"/>
    <n v="6239.3162393162402"/>
    <n v="22461.538461538501"/>
  </r>
  <r>
    <x v="0"/>
    <x v="0"/>
    <x v="0"/>
    <x v="0"/>
    <x v="0"/>
    <s v="DK1_Rural"/>
    <x v="5"/>
    <s v="GNR_BO_WOODCHI_E-117"/>
    <x v="0"/>
    <x v="10"/>
    <n v="17.094017094017101"/>
    <n v="6239.3162393162402"/>
    <n v="22461.538461538501"/>
  </r>
  <r>
    <x v="0"/>
    <x v="0"/>
    <x v="0"/>
    <x v="0"/>
    <x v="0"/>
    <s v="DK1_Rural"/>
    <x v="5"/>
    <s v="GNR_BO_WOODCHI_E-117"/>
    <x v="0"/>
    <x v="11"/>
    <n v="17.094017094017101"/>
    <n v="6239.3162393162402"/>
    <n v="22461.538461538501"/>
  </r>
  <r>
    <x v="0"/>
    <x v="0"/>
    <x v="0"/>
    <x v="0"/>
    <x v="0"/>
    <s v="DK1_Rural"/>
    <x v="5"/>
    <s v="GNR_BO_WOODCHI_E-117"/>
    <x v="0"/>
    <x v="12"/>
    <n v="17.094017094017101"/>
    <n v="6239.3162393162402"/>
    <n v="22461.538461538501"/>
  </r>
  <r>
    <x v="0"/>
    <x v="0"/>
    <x v="0"/>
    <x v="0"/>
    <x v="0"/>
    <s v="DK1_Rural"/>
    <x v="5"/>
    <s v="GNR_BO_WOODCHI_E-117"/>
    <x v="0"/>
    <x v="13"/>
    <n v="17.094017094017101"/>
    <n v="6239.3162393162402"/>
    <n v="22461.538461538501"/>
  </r>
  <r>
    <x v="0"/>
    <x v="0"/>
    <x v="0"/>
    <x v="0"/>
    <x v="0"/>
    <s v="DK1_Rural"/>
    <x v="5"/>
    <s v="GNR_BO_WOODCHI_E-117"/>
    <x v="0"/>
    <x v="14"/>
    <n v="17.094017094017101"/>
    <n v="6239.3162393162402"/>
    <n v="22461.538461538501"/>
  </r>
  <r>
    <x v="0"/>
    <x v="0"/>
    <x v="0"/>
    <x v="0"/>
    <x v="0"/>
    <s v="DK1_Rural"/>
    <x v="5"/>
    <s v="GNR_BO_WOODCHI_E-117"/>
    <x v="0"/>
    <x v="15"/>
    <n v="17.094017094017101"/>
    <n v="6239.3162393162402"/>
    <n v="22461.538461538501"/>
  </r>
  <r>
    <x v="0"/>
    <x v="0"/>
    <x v="0"/>
    <x v="0"/>
    <x v="0"/>
    <s v="DK1_Rural"/>
    <x v="5"/>
    <s v="GNR_BO_WOODCHI_E-117"/>
    <x v="0"/>
    <x v="16"/>
    <n v="17.094017094017101"/>
    <n v="6239.3162393162402"/>
    <n v="22461.538461538501"/>
  </r>
  <r>
    <x v="0"/>
    <x v="0"/>
    <x v="0"/>
    <x v="0"/>
    <x v="0"/>
    <s v="DK1_Rural"/>
    <x v="5"/>
    <s v="GNR_BO_WOODCHI_E-117"/>
    <x v="0"/>
    <x v="17"/>
    <n v="17.094017094017101"/>
    <n v="6239.3162393162402"/>
    <n v="22461.538461538501"/>
  </r>
  <r>
    <x v="0"/>
    <x v="0"/>
    <x v="0"/>
    <x v="0"/>
    <x v="0"/>
    <s v="DK1_Rural"/>
    <x v="5"/>
    <s v="GNR_BO_WOODCHI_E-117"/>
    <x v="0"/>
    <x v="18"/>
    <n v="17.094017094017101"/>
    <n v="6239.3162393162402"/>
    <n v="22461.538461538501"/>
  </r>
  <r>
    <x v="0"/>
    <x v="0"/>
    <x v="0"/>
    <x v="0"/>
    <x v="0"/>
    <s v="DK1_Rural"/>
    <x v="5"/>
    <s v="GNR_BO_WOODCHI_E-117"/>
    <x v="0"/>
    <x v="19"/>
    <n v="17.094017094017101"/>
    <n v="6239.3162393162402"/>
    <n v="22461.538461538501"/>
  </r>
  <r>
    <x v="0"/>
    <x v="0"/>
    <x v="0"/>
    <x v="0"/>
    <x v="0"/>
    <s v="DK1_Rural"/>
    <x v="5"/>
    <s v="GNR_BO_WOODCHI_E-117"/>
    <x v="0"/>
    <x v="20"/>
    <n v="17.094017094017101"/>
    <n v="6239.3162393162402"/>
    <n v="22461.538461538501"/>
  </r>
  <r>
    <x v="0"/>
    <x v="0"/>
    <x v="0"/>
    <x v="0"/>
    <x v="0"/>
    <s v="DK1_Rural"/>
    <x v="5"/>
    <s v="GNR_BO_WOODCHI_E-117"/>
    <x v="0"/>
    <x v="21"/>
    <n v="17.094017094017101"/>
    <n v="6239.3162393162402"/>
    <n v="22461.538461538501"/>
  </r>
  <r>
    <x v="0"/>
    <x v="0"/>
    <x v="0"/>
    <x v="0"/>
    <x v="0"/>
    <s v="DK1_Rural"/>
    <x v="5"/>
    <s v="GNR_BO_WOODCHI_E-117"/>
    <x v="0"/>
    <x v="22"/>
    <n v="17.094017094017101"/>
    <n v="6239.3162393162402"/>
    <n v="22461.538461538501"/>
  </r>
  <r>
    <x v="0"/>
    <x v="0"/>
    <x v="0"/>
    <x v="0"/>
    <x v="0"/>
    <s v="DK1_Rural"/>
    <x v="5"/>
    <s v="GNR_BO_WOODCHI_E-117"/>
    <x v="0"/>
    <x v="23"/>
    <n v="17.094017094017101"/>
    <n v="6239.3162393162402"/>
    <n v="22461.538461538501"/>
  </r>
  <r>
    <x v="0"/>
    <x v="0"/>
    <x v="0"/>
    <x v="0"/>
    <x v="0"/>
    <s v="DK1_Rural"/>
    <x v="5"/>
    <s v="GNR_BO_WOODCHI_E-120"/>
    <x v="0"/>
    <x v="0"/>
    <n v="20"/>
    <n v="7300"/>
    <n v="26280"/>
  </r>
  <r>
    <x v="0"/>
    <x v="0"/>
    <x v="0"/>
    <x v="0"/>
    <x v="0"/>
    <s v="DK1_Rural"/>
    <x v="5"/>
    <s v="GNR_BO_WOODCHI_E-120"/>
    <x v="0"/>
    <x v="1"/>
    <n v="20"/>
    <n v="7300"/>
    <n v="26280"/>
  </r>
  <r>
    <x v="0"/>
    <x v="0"/>
    <x v="0"/>
    <x v="0"/>
    <x v="0"/>
    <s v="DK1_Rural"/>
    <x v="5"/>
    <s v="GNR_BO_WOODCHI_E-120"/>
    <x v="0"/>
    <x v="2"/>
    <n v="20"/>
    <n v="7300"/>
    <n v="26280"/>
  </r>
  <r>
    <x v="0"/>
    <x v="0"/>
    <x v="0"/>
    <x v="0"/>
    <x v="0"/>
    <s v="DK1_Rural"/>
    <x v="5"/>
    <s v="GNR_BO_WOODCHI_E-120"/>
    <x v="0"/>
    <x v="3"/>
    <n v="20"/>
    <n v="7300"/>
    <n v="26280"/>
  </r>
  <r>
    <x v="0"/>
    <x v="0"/>
    <x v="0"/>
    <x v="0"/>
    <x v="0"/>
    <s v="DK1_Rural"/>
    <x v="5"/>
    <s v="GNR_BO_WOODCHI_E-120"/>
    <x v="0"/>
    <x v="4"/>
    <n v="20"/>
    <n v="7300"/>
    <n v="26280"/>
  </r>
  <r>
    <x v="0"/>
    <x v="0"/>
    <x v="0"/>
    <x v="0"/>
    <x v="0"/>
    <s v="DK1_Rural"/>
    <x v="5"/>
    <s v="GNR_BO_WOODCHI_E-120"/>
    <x v="0"/>
    <x v="5"/>
    <n v="20"/>
    <n v="7300"/>
    <n v="26280"/>
  </r>
  <r>
    <x v="0"/>
    <x v="0"/>
    <x v="0"/>
    <x v="0"/>
    <x v="0"/>
    <s v="DK1_Rural"/>
    <x v="5"/>
    <s v="GNR_BO_WOODCHI_E-120"/>
    <x v="0"/>
    <x v="6"/>
    <n v="20"/>
    <n v="7300"/>
    <n v="26280"/>
  </r>
  <r>
    <x v="0"/>
    <x v="0"/>
    <x v="0"/>
    <x v="0"/>
    <x v="0"/>
    <s v="DK1_Rural"/>
    <x v="5"/>
    <s v="GNR_BO_WOODCHI_E-120"/>
    <x v="0"/>
    <x v="7"/>
    <n v="20"/>
    <n v="7300"/>
    <n v="26280"/>
  </r>
  <r>
    <x v="0"/>
    <x v="0"/>
    <x v="0"/>
    <x v="0"/>
    <x v="0"/>
    <s v="DK1_Rural"/>
    <x v="5"/>
    <s v="GNR_BO_WOODCHI_E-120"/>
    <x v="0"/>
    <x v="8"/>
    <n v="20"/>
    <n v="7300"/>
    <n v="26280"/>
  </r>
  <r>
    <x v="0"/>
    <x v="0"/>
    <x v="0"/>
    <x v="0"/>
    <x v="0"/>
    <s v="DK1_Rural"/>
    <x v="5"/>
    <s v="GNR_BO_WOODCHI_E-120"/>
    <x v="0"/>
    <x v="9"/>
    <n v="20"/>
    <n v="7300"/>
    <n v="26280"/>
  </r>
  <r>
    <x v="0"/>
    <x v="0"/>
    <x v="0"/>
    <x v="0"/>
    <x v="0"/>
    <s v="DK1_Rural"/>
    <x v="5"/>
    <s v="GNR_BO_WOODCHI_E-120"/>
    <x v="0"/>
    <x v="10"/>
    <n v="20"/>
    <n v="7300"/>
    <n v="26280"/>
  </r>
  <r>
    <x v="0"/>
    <x v="0"/>
    <x v="0"/>
    <x v="0"/>
    <x v="0"/>
    <s v="DK1_Rural"/>
    <x v="5"/>
    <s v="GNR_BO_WOODCHI_E-120"/>
    <x v="0"/>
    <x v="11"/>
    <n v="20"/>
    <n v="7300"/>
    <n v="26280"/>
  </r>
  <r>
    <x v="0"/>
    <x v="0"/>
    <x v="0"/>
    <x v="0"/>
    <x v="0"/>
    <s v="DK1_Rural"/>
    <x v="5"/>
    <s v="GNR_BO_WOODCHI_E-120"/>
    <x v="0"/>
    <x v="12"/>
    <n v="20"/>
    <n v="7300"/>
    <n v="26280"/>
  </r>
  <r>
    <x v="0"/>
    <x v="0"/>
    <x v="0"/>
    <x v="0"/>
    <x v="0"/>
    <s v="DK1_Rural"/>
    <x v="5"/>
    <s v="GNR_BO_WOODCHI_E-120"/>
    <x v="0"/>
    <x v="13"/>
    <n v="20"/>
    <n v="7300"/>
    <n v="26280"/>
  </r>
  <r>
    <x v="0"/>
    <x v="0"/>
    <x v="0"/>
    <x v="0"/>
    <x v="0"/>
    <s v="DK1_Rural"/>
    <x v="5"/>
    <s v="GNR_BO_WOODCHI_E-120"/>
    <x v="0"/>
    <x v="14"/>
    <n v="20"/>
    <n v="7300"/>
    <n v="26280"/>
  </r>
  <r>
    <x v="0"/>
    <x v="0"/>
    <x v="0"/>
    <x v="0"/>
    <x v="0"/>
    <s v="DK1_Rural"/>
    <x v="5"/>
    <s v="GNR_BO_WOODCHI_E-120"/>
    <x v="0"/>
    <x v="15"/>
    <n v="20"/>
    <n v="7300"/>
    <n v="26280"/>
  </r>
  <r>
    <x v="0"/>
    <x v="0"/>
    <x v="0"/>
    <x v="0"/>
    <x v="0"/>
    <s v="DK1_Rural"/>
    <x v="5"/>
    <s v="GNR_BO_WOODCHI_E-120"/>
    <x v="0"/>
    <x v="16"/>
    <n v="20"/>
    <n v="7300"/>
    <n v="26280"/>
  </r>
  <r>
    <x v="0"/>
    <x v="0"/>
    <x v="0"/>
    <x v="0"/>
    <x v="0"/>
    <s v="DK1_Rural"/>
    <x v="5"/>
    <s v="GNR_BO_WOODCHI_E-120"/>
    <x v="0"/>
    <x v="17"/>
    <n v="20"/>
    <n v="7300"/>
    <n v="26280"/>
  </r>
  <r>
    <x v="0"/>
    <x v="0"/>
    <x v="0"/>
    <x v="0"/>
    <x v="0"/>
    <s v="DK1_Rural"/>
    <x v="5"/>
    <s v="GNR_BO_WOODCHI_E-120"/>
    <x v="0"/>
    <x v="18"/>
    <n v="20"/>
    <n v="7300"/>
    <n v="26280"/>
  </r>
  <r>
    <x v="0"/>
    <x v="0"/>
    <x v="0"/>
    <x v="0"/>
    <x v="0"/>
    <s v="DK1_Rural"/>
    <x v="5"/>
    <s v="GNR_BO_WOODCHI_E-120"/>
    <x v="0"/>
    <x v="19"/>
    <n v="20"/>
    <n v="7300"/>
    <n v="26280"/>
  </r>
  <r>
    <x v="0"/>
    <x v="0"/>
    <x v="0"/>
    <x v="0"/>
    <x v="0"/>
    <s v="DK1_Rural"/>
    <x v="5"/>
    <s v="GNR_BO_WOODCHI_E-120"/>
    <x v="0"/>
    <x v="20"/>
    <n v="20"/>
    <n v="7300"/>
    <n v="26280"/>
  </r>
  <r>
    <x v="0"/>
    <x v="0"/>
    <x v="0"/>
    <x v="0"/>
    <x v="0"/>
    <s v="DK1_Rural"/>
    <x v="5"/>
    <s v="GNR_BO_WOODCHI_E-120"/>
    <x v="0"/>
    <x v="21"/>
    <n v="20"/>
    <n v="7300"/>
    <n v="26280"/>
  </r>
  <r>
    <x v="0"/>
    <x v="0"/>
    <x v="0"/>
    <x v="0"/>
    <x v="0"/>
    <s v="DK1_Rural"/>
    <x v="5"/>
    <s v="GNR_BO_WOODCHI_E-120"/>
    <x v="0"/>
    <x v="22"/>
    <n v="20"/>
    <n v="7300"/>
    <n v="26280"/>
  </r>
  <r>
    <x v="0"/>
    <x v="0"/>
    <x v="0"/>
    <x v="0"/>
    <x v="0"/>
    <s v="DK1_Rural"/>
    <x v="5"/>
    <s v="GNR_BO_WOODCHI_E-120"/>
    <x v="0"/>
    <x v="23"/>
    <n v="20"/>
    <n v="7300"/>
    <n v="26280"/>
  </r>
  <r>
    <x v="0"/>
    <x v="0"/>
    <x v="0"/>
    <x v="0"/>
    <x v="0"/>
    <s v="DK1_Rural"/>
    <x v="9"/>
    <s v="GNR_BO_WOODWST_E-100"/>
    <x v="0"/>
    <x v="0"/>
    <n v="30.75"/>
    <n v="11223.75"/>
    <n v="40405.5"/>
  </r>
  <r>
    <x v="0"/>
    <x v="0"/>
    <x v="0"/>
    <x v="0"/>
    <x v="0"/>
    <s v="DK1_Rural"/>
    <x v="9"/>
    <s v="GNR_BO_WOODWST_E-100"/>
    <x v="0"/>
    <x v="1"/>
    <n v="30.75"/>
    <n v="11223.75"/>
    <n v="40405.5"/>
  </r>
  <r>
    <x v="0"/>
    <x v="0"/>
    <x v="0"/>
    <x v="0"/>
    <x v="0"/>
    <s v="DK1_Rural"/>
    <x v="9"/>
    <s v="GNR_BO_WOODWST_E-100"/>
    <x v="0"/>
    <x v="2"/>
    <n v="30.75"/>
    <n v="11223.75"/>
    <n v="40405.5"/>
  </r>
  <r>
    <x v="0"/>
    <x v="0"/>
    <x v="0"/>
    <x v="0"/>
    <x v="0"/>
    <s v="DK1_Rural"/>
    <x v="9"/>
    <s v="GNR_BO_WOODWST_E-100"/>
    <x v="0"/>
    <x v="3"/>
    <n v="30.75"/>
    <n v="11223.75"/>
    <n v="40405.5"/>
  </r>
  <r>
    <x v="0"/>
    <x v="0"/>
    <x v="0"/>
    <x v="0"/>
    <x v="0"/>
    <s v="DK1_Rural"/>
    <x v="9"/>
    <s v="GNR_BO_WOODWST_E-100"/>
    <x v="0"/>
    <x v="4"/>
    <n v="30.75"/>
    <n v="11223.75"/>
    <n v="40405.5"/>
  </r>
  <r>
    <x v="0"/>
    <x v="0"/>
    <x v="0"/>
    <x v="0"/>
    <x v="0"/>
    <s v="DK1_Rural"/>
    <x v="9"/>
    <s v="GNR_BO_WOODWST_E-100"/>
    <x v="0"/>
    <x v="5"/>
    <n v="30.75"/>
    <n v="11223.75"/>
    <n v="40405.5"/>
  </r>
  <r>
    <x v="0"/>
    <x v="0"/>
    <x v="0"/>
    <x v="0"/>
    <x v="0"/>
    <s v="DK1_Rural"/>
    <x v="9"/>
    <s v="GNR_BO_WOODWST_E-100"/>
    <x v="0"/>
    <x v="6"/>
    <n v="30.75"/>
    <n v="11223.75"/>
    <n v="40405.5"/>
  </r>
  <r>
    <x v="0"/>
    <x v="0"/>
    <x v="0"/>
    <x v="0"/>
    <x v="0"/>
    <s v="DK1_Rural"/>
    <x v="9"/>
    <s v="GNR_BO_WOODWST_E-100"/>
    <x v="0"/>
    <x v="7"/>
    <n v="30.75"/>
    <n v="11223.75"/>
    <n v="40405.5"/>
  </r>
  <r>
    <x v="0"/>
    <x v="0"/>
    <x v="0"/>
    <x v="0"/>
    <x v="0"/>
    <s v="DK1_Rural"/>
    <x v="9"/>
    <s v="GNR_BO_WOODWST_E-100"/>
    <x v="0"/>
    <x v="8"/>
    <n v="30.75"/>
    <n v="11223.75"/>
    <n v="40405.5"/>
  </r>
  <r>
    <x v="0"/>
    <x v="0"/>
    <x v="0"/>
    <x v="0"/>
    <x v="0"/>
    <s v="DK1_Rural"/>
    <x v="9"/>
    <s v="GNR_BO_WOODWST_E-100"/>
    <x v="0"/>
    <x v="9"/>
    <n v="30.75"/>
    <n v="11223.75"/>
    <n v="40405.5"/>
  </r>
  <r>
    <x v="0"/>
    <x v="0"/>
    <x v="0"/>
    <x v="0"/>
    <x v="0"/>
    <s v="DK1_Rural"/>
    <x v="9"/>
    <s v="GNR_BO_WOODWST_E-100"/>
    <x v="0"/>
    <x v="10"/>
    <n v="30.75"/>
    <n v="11223.75"/>
    <n v="40405.5"/>
  </r>
  <r>
    <x v="0"/>
    <x v="0"/>
    <x v="0"/>
    <x v="0"/>
    <x v="0"/>
    <s v="DK1_Rural"/>
    <x v="9"/>
    <s v="GNR_BO_WOODWST_E-100"/>
    <x v="0"/>
    <x v="11"/>
    <n v="30.75"/>
    <n v="11223.75"/>
    <n v="40405.5"/>
  </r>
  <r>
    <x v="0"/>
    <x v="0"/>
    <x v="0"/>
    <x v="0"/>
    <x v="0"/>
    <s v="DK1_Rural"/>
    <x v="9"/>
    <s v="GNR_BO_WOODWST_E-100"/>
    <x v="0"/>
    <x v="12"/>
    <n v="30.75"/>
    <n v="11223.75"/>
    <n v="40405.5"/>
  </r>
  <r>
    <x v="0"/>
    <x v="0"/>
    <x v="0"/>
    <x v="0"/>
    <x v="0"/>
    <s v="DK1_Rural"/>
    <x v="9"/>
    <s v="GNR_BO_WOODWST_E-100"/>
    <x v="0"/>
    <x v="13"/>
    <n v="30.75"/>
    <n v="11223.75"/>
    <n v="40405.5"/>
  </r>
  <r>
    <x v="0"/>
    <x v="0"/>
    <x v="0"/>
    <x v="0"/>
    <x v="0"/>
    <s v="DK1_Rural"/>
    <x v="9"/>
    <s v="GNR_BO_WOODWST_E-100"/>
    <x v="0"/>
    <x v="14"/>
    <n v="30.75"/>
    <n v="11223.75"/>
    <n v="40405.5"/>
  </r>
  <r>
    <x v="0"/>
    <x v="0"/>
    <x v="0"/>
    <x v="0"/>
    <x v="0"/>
    <s v="DK1_Rural"/>
    <x v="9"/>
    <s v="GNR_BO_WOODWST_E-100"/>
    <x v="0"/>
    <x v="15"/>
    <n v="30.75"/>
    <n v="11223.75"/>
    <n v="40405.5"/>
  </r>
  <r>
    <x v="0"/>
    <x v="0"/>
    <x v="0"/>
    <x v="0"/>
    <x v="0"/>
    <s v="DK1_Rural"/>
    <x v="9"/>
    <s v="GNR_BO_WOODWST_E-100"/>
    <x v="0"/>
    <x v="16"/>
    <n v="30.75"/>
    <n v="11223.75"/>
    <n v="40405.5"/>
  </r>
  <r>
    <x v="0"/>
    <x v="0"/>
    <x v="0"/>
    <x v="0"/>
    <x v="0"/>
    <s v="DK1_Rural"/>
    <x v="9"/>
    <s v="GNR_BO_WOODWST_E-100"/>
    <x v="0"/>
    <x v="17"/>
    <n v="30.75"/>
    <n v="11223.75"/>
    <n v="40405.5"/>
  </r>
  <r>
    <x v="0"/>
    <x v="0"/>
    <x v="0"/>
    <x v="0"/>
    <x v="0"/>
    <s v="DK1_Rural"/>
    <x v="9"/>
    <s v="GNR_BO_WOODWST_E-100"/>
    <x v="0"/>
    <x v="18"/>
    <n v="30.75"/>
    <n v="11223.75"/>
    <n v="40405.5"/>
  </r>
  <r>
    <x v="0"/>
    <x v="0"/>
    <x v="0"/>
    <x v="0"/>
    <x v="0"/>
    <s v="DK1_Rural"/>
    <x v="9"/>
    <s v="GNR_BO_WOODWST_E-100"/>
    <x v="0"/>
    <x v="19"/>
    <n v="30.75"/>
    <n v="11223.75"/>
    <n v="40405.5"/>
  </r>
  <r>
    <x v="0"/>
    <x v="0"/>
    <x v="0"/>
    <x v="0"/>
    <x v="0"/>
    <s v="DK1_Rural"/>
    <x v="9"/>
    <s v="GNR_BO_WOODWST_E-100"/>
    <x v="0"/>
    <x v="20"/>
    <n v="30.75"/>
    <n v="11223.75"/>
    <n v="40405.5"/>
  </r>
  <r>
    <x v="0"/>
    <x v="0"/>
    <x v="0"/>
    <x v="0"/>
    <x v="0"/>
    <s v="DK1_Rural"/>
    <x v="9"/>
    <s v="GNR_BO_WOODWST_E-100"/>
    <x v="0"/>
    <x v="21"/>
    <n v="30.75"/>
    <n v="11223.75"/>
    <n v="40405.5"/>
  </r>
  <r>
    <x v="0"/>
    <x v="0"/>
    <x v="0"/>
    <x v="0"/>
    <x v="0"/>
    <s v="DK1_Rural"/>
    <x v="9"/>
    <s v="GNR_BO_WOODWST_E-100"/>
    <x v="0"/>
    <x v="22"/>
    <n v="30.75"/>
    <n v="11223.75"/>
    <n v="40405.5"/>
  </r>
  <r>
    <x v="0"/>
    <x v="0"/>
    <x v="0"/>
    <x v="0"/>
    <x v="0"/>
    <s v="DK1_Rural"/>
    <x v="9"/>
    <s v="GNR_BO_WOODWST_E-100"/>
    <x v="0"/>
    <x v="23"/>
    <n v="30.75"/>
    <n v="11223.75"/>
    <n v="40405.5"/>
  </r>
  <r>
    <x v="0"/>
    <x v="0"/>
    <x v="0"/>
    <x v="0"/>
    <x v="0"/>
    <s v="DK1_Rural"/>
    <x v="9"/>
    <s v="GNR_BO_WOODWST_E-113"/>
    <x v="0"/>
    <x v="0"/>
    <n v="3.5087719298245599"/>
    <n v="1280.7017543859599"/>
    <n v="4610.5263157894697"/>
  </r>
  <r>
    <x v="0"/>
    <x v="0"/>
    <x v="0"/>
    <x v="0"/>
    <x v="0"/>
    <s v="DK1_Rural"/>
    <x v="9"/>
    <s v="GNR_BO_WOODWST_E-113"/>
    <x v="0"/>
    <x v="1"/>
    <n v="3.5087719298245599"/>
    <n v="1280.7017543859599"/>
    <n v="4610.5263157894697"/>
  </r>
  <r>
    <x v="0"/>
    <x v="0"/>
    <x v="0"/>
    <x v="0"/>
    <x v="0"/>
    <s v="DK1_Rural"/>
    <x v="9"/>
    <s v="GNR_BO_WOODWST_E-113"/>
    <x v="0"/>
    <x v="2"/>
    <n v="3.5087719298245599"/>
    <n v="1280.7017543859599"/>
    <n v="4610.5263157894697"/>
  </r>
  <r>
    <x v="0"/>
    <x v="0"/>
    <x v="0"/>
    <x v="0"/>
    <x v="0"/>
    <s v="DK1_Rural"/>
    <x v="9"/>
    <s v="GNR_BO_WOODWST_E-113"/>
    <x v="0"/>
    <x v="3"/>
    <n v="3.5087719298245599"/>
    <n v="1280.7017543859599"/>
    <n v="4610.5263157894697"/>
  </r>
  <r>
    <x v="0"/>
    <x v="0"/>
    <x v="0"/>
    <x v="0"/>
    <x v="0"/>
    <s v="DK1_Rural"/>
    <x v="9"/>
    <s v="GNR_BO_WOODWST_E-113"/>
    <x v="0"/>
    <x v="4"/>
    <n v="3.5087719298245599"/>
    <n v="1280.7017543859599"/>
    <n v="4610.5263157894697"/>
  </r>
  <r>
    <x v="0"/>
    <x v="0"/>
    <x v="0"/>
    <x v="0"/>
    <x v="0"/>
    <s v="DK1_Rural"/>
    <x v="9"/>
    <s v="GNR_BO_WOODWST_E-113"/>
    <x v="0"/>
    <x v="5"/>
    <n v="3.5087719298245599"/>
    <n v="1280.7017543859599"/>
    <n v="4610.5263157894697"/>
  </r>
  <r>
    <x v="0"/>
    <x v="0"/>
    <x v="0"/>
    <x v="0"/>
    <x v="0"/>
    <s v="DK1_Rural"/>
    <x v="9"/>
    <s v="GNR_BO_WOODWST_E-113"/>
    <x v="0"/>
    <x v="6"/>
    <n v="3.5087719298245599"/>
    <n v="1280.7017543859599"/>
    <n v="4610.5263157894697"/>
  </r>
  <r>
    <x v="0"/>
    <x v="0"/>
    <x v="0"/>
    <x v="0"/>
    <x v="0"/>
    <s v="DK1_Rural"/>
    <x v="9"/>
    <s v="GNR_BO_WOODWST_E-113"/>
    <x v="0"/>
    <x v="7"/>
    <n v="3.5087719298245599"/>
    <n v="1280.7017543859599"/>
    <n v="4610.5263157894697"/>
  </r>
  <r>
    <x v="0"/>
    <x v="0"/>
    <x v="0"/>
    <x v="0"/>
    <x v="0"/>
    <s v="DK1_Rural"/>
    <x v="9"/>
    <s v="GNR_BO_WOODWST_E-113"/>
    <x v="0"/>
    <x v="8"/>
    <n v="3.5087719298245599"/>
    <n v="1280.7017543859599"/>
    <n v="4610.5263157894697"/>
  </r>
  <r>
    <x v="0"/>
    <x v="0"/>
    <x v="0"/>
    <x v="0"/>
    <x v="0"/>
    <s v="DK1_Rural"/>
    <x v="9"/>
    <s v="GNR_BO_WOODWST_E-113"/>
    <x v="0"/>
    <x v="9"/>
    <n v="3.5087719298245599"/>
    <n v="1280.7017543859599"/>
    <n v="4610.5263157894697"/>
  </r>
  <r>
    <x v="0"/>
    <x v="0"/>
    <x v="0"/>
    <x v="0"/>
    <x v="0"/>
    <s v="DK1_Rural"/>
    <x v="9"/>
    <s v="GNR_BO_WOODWST_E-113"/>
    <x v="0"/>
    <x v="10"/>
    <n v="3.5087719298245599"/>
    <n v="1280.7017543859599"/>
    <n v="4610.5263157894697"/>
  </r>
  <r>
    <x v="0"/>
    <x v="0"/>
    <x v="0"/>
    <x v="0"/>
    <x v="0"/>
    <s v="DK1_Rural"/>
    <x v="9"/>
    <s v="GNR_BO_WOODWST_E-113"/>
    <x v="0"/>
    <x v="11"/>
    <n v="3.5087719298245599"/>
    <n v="1280.7017543859599"/>
    <n v="4610.5263157894697"/>
  </r>
  <r>
    <x v="0"/>
    <x v="0"/>
    <x v="0"/>
    <x v="0"/>
    <x v="0"/>
    <s v="DK1_Rural"/>
    <x v="9"/>
    <s v="GNR_BO_WOODWST_E-113"/>
    <x v="0"/>
    <x v="12"/>
    <n v="3.5087719298245599"/>
    <n v="1280.7017543859599"/>
    <n v="4610.5263157894697"/>
  </r>
  <r>
    <x v="0"/>
    <x v="0"/>
    <x v="0"/>
    <x v="0"/>
    <x v="0"/>
    <s v="DK1_Rural"/>
    <x v="9"/>
    <s v="GNR_BO_WOODWST_E-113"/>
    <x v="0"/>
    <x v="13"/>
    <n v="3.5087719298245599"/>
    <n v="1280.7017543859599"/>
    <n v="4610.5263157894697"/>
  </r>
  <r>
    <x v="0"/>
    <x v="0"/>
    <x v="0"/>
    <x v="0"/>
    <x v="0"/>
    <s v="DK1_Rural"/>
    <x v="9"/>
    <s v="GNR_BO_WOODWST_E-113"/>
    <x v="0"/>
    <x v="14"/>
    <n v="3.5087719298245599"/>
    <n v="1280.7017543859599"/>
    <n v="4610.5263157894697"/>
  </r>
  <r>
    <x v="0"/>
    <x v="0"/>
    <x v="0"/>
    <x v="0"/>
    <x v="0"/>
    <s v="DK1_Rural"/>
    <x v="9"/>
    <s v="GNR_BO_WOODWST_E-113"/>
    <x v="0"/>
    <x v="15"/>
    <n v="3.5087719298245599"/>
    <n v="1280.7017543859599"/>
    <n v="4610.5263157894697"/>
  </r>
  <r>
    <x v="0"/>
    <x v="0"/>
    <x v="0"/>
    <x v="0"/>
    <x v="0"/>
    <s v="DK1_Rural"/>
    <x v="9"/>
    <s v="GNR_BO_WOODWST_E-113"/>
    <x v="0"/>
    <x v="16"/>
    <n v="3.5087719298245599"/>
    <n v="1280.7017543859599"/>
    <n v="4610.5263157894697"/>
  </r>
  <r>
    <x v="0"/>
    <x v="0"/>
    <x v="0"/>
    <x v="0"/>
    <x v="0"/>
    <s v="DK1_Rural"/>
    <x v="9"/>
    <s v="GNR_BO_WOODWST_E-113"/>
    <x v="0"/>
    <x v="17"/>
    <n v="3.5087719298245599"/>
    <n v="1280.7017543859599"/>
    <n v="4610.5263157894697"/>
  </r>
  <r>
    <x v="0"/>
    <x v="0"/>
    <x v="0"/>
    <x v="0"/>
    <x v="0"/>
    <s v="DK1_Rural"/>
    <x v="9"/>
    <s v="GNR_BO_WOODWST_E-113"/>
    <x v="0"/>
    <x v="18"/>
    <n v="3.5087719298245599"/>
    <n v="1280.7017543859599"/>
    <n v="4610.5263157894697"/>
  </r>
  <r>
    <x v="0"/>
    <x v="0"/>
    <x v="0"/>
    <x v="0"/>
    <x v="0"/>
    <s v="DK1_Rural"/>
    <x v="9"/>
    <s v="GNR_BO_WOODWST_E-113"/>
    <x v="0"/>
    <x v="19"/>
    <n v="3.5087719298245599"/>
    <n v="1280.7017543859599"/>
    <n v="4610.5263157894697"/>
  </r>
  <r>
    <x v="0"/>
    <x v="0"/>
    <x v="0"/>
    <x v="0"/>
    <x v="0"/>
    <s v="DK1_Rural"/>
    <x v="9"/>
    <s v="GNR_BO_WOODWST_E-113"/>
    <x v="0"/>
    <x v="20"/>
    <n v="3.5087719298245599"/>
    <n v="1280.7017543859599"/>
    <n v="4610.5263157894697"/>
  </r>
  <r>
    <x v="0"/>
    <x v="0"/>
    <x v="0"/>
    <x v="0"/>
    <x v="0"/>
    <s v="DK1_Rural"/>
    <x v="9"/>
    <s v="GNR_BO_WOODWST_E-113"/>
    <x v="0"/>
    <x v="21"/>
    <n v="3.5087719298245599"/>
    <n v="1280.7017543859599"/>
    <n v="4610.5263157894697"/>
  </r>
  <r>
    <x v="0"/>
    <x v="0"/>
    <x v="0"/>
    <x v="0"/>
    <x v="0"/>
    <s v="DK1_Rural"/>
    <x v="9"/>
    <s v="GNR_BO_WOODWST_E-113"/>
    <x v="0"/>
    <x v="22"/>
    <n v="3.5087719298245599"/>
    <n v="1280.7017543859599"/>
    <n v="4610.5263157894697"/>
  </r>
  <r>
    <x v="0"/>
    <x v="0"/>
    <x v="0"/>
    <x v="0"/>
    <x v="0"/>
    <s v="DK1_Rural"/>
    <x v="9"/>
    <s v="GNR_BO_WOODWST_E-113"/>
    <x v="0"/>
    <x v="23"/>
    <n v="3.5087719298245599"/>
    <n v="1280.7017543859599"/>
    <n v="4610.5263157894697"/>
  </r>
  <r>
    <x v="0"/>
    <x v="0"/>
    <x v="0"/>
    <x v="0"/>
    <x v="0"/>
    <s v="DK1_Rural"/>
    <x v="9"/>
    <s v="GNR_BO_WOODWST_E-84"/>
    <x v="0"/>
    <x v="0"/>
    <n v="6.9166666666666696"/>
    <n v="2524.5833333333298"/>
    <n v="9088.5"/>
  </r>
  <r>
    <x v="0"/>
    <x v="0"/>
    <x v="0"/>
    <x v="0"/>
    <x v="0"/>
    <s v="DK1_Rural"/>
    <x v="9"/>
    <s v="GNR_BO_WOODWST_E-84"/>
    <x v="0"/>
    <x v="1"/>
    <n v="6.9166666666666696"/>
    <n v="2524.5833333333298"/>
    <n v="9088.5"/>
  </r>
  <r>
    <x v="0"/>
    <x v="0"/>
    <x v="0"/>
    <x v="0"/>
    <x v="0"/>
    <s v="DK1_Rural"/>
    <x v="9"/>
    <s v="GNR_BO_WOODWST_E-84"/>
    <x v="0"/>
    <x v="2"/>
    <n v="6.9166666666666696"/>
    <n v="2524.5833333333298"/>
    <n v="9088.5"/>
  </r>
  <r>
    <x v="0"/>
    <x v="0"/>
    <x v="0"/>
    <x v="0"/>
    <x v="0"/>
    <s v="DK1_Rural"/>
    <x v="9"/>
    <s v="GNR_BO_WOODWST_E-84"/>
    <x v="0"/>
    <x v="3"/>
    <n v="6.9166666666666696"/>
    <n v="2524.5833333333298"/>
    <n v="9088.5"/>
  </r>
  <r>
    <x v="0"/>
    <x v="0"/>
    <x v="0"/>
    <x v="0"/>
    <x v="0"/>
    <s v="DK1_Rural"/>
    <x v="9"/>
    <s v="GNR_BO_WOODWST_E-84"/>
    <x v="0"/>
    <x v="4"/>
    <n v="6.9166666666666696"/>
    <n v="2524.5833333333298"/>
    <n v="9088.5"/>
  </r>
  <r>
    <x v="0"/>
    <x v="0"/>
    <x v="0"/>
    <x v="0"/>
    <x v="0"/>
    <s v="DK1_Rural"/>
    <x v="9"/>
    <s v="GNR_BO_WOODWST_E-84"/>
    <x v="0"/>
    <x v="5"/>
    <n v="6.9166666666666696"/>
    <n v="2524.5833333333298"/>
    <n v="9088.5"/>
  </r>
  <r>
    <x v="0"/>
    <x v="0"/>
    <x v="0"/>
    <x v="0"/>
    <x v="0"/>
    <s v="DK1_Rural"/>
    <x v="9"/>
    <s v="GNR_BO_WOODWST_E-84"/>
    <x v="0"/>
    <x v="6"/>
    <n v="6.9166666666666696"/>
    <n v="2524.5833333333298"/>
    <n v="9088.5"/>
  </r>
  <r>
    <x v="0"/>
    <x v="0"/>
    <x v="0"/>
    <x v="0"/>
    <x v="0"/>
    <s v="DK1_Rural"/>
    <x v="9"/>
    <s v="GNR_BO_WOODWST_E-84"/>
    <x v="0"/>
    <x v="7"/>
    <n v="6.9166666666666696"/>
    <n v="2524.5833333333298"/>
    <n v="9088.5"/>
  </r>
  <r>
    <x v="0"/>
    <x v="0"/>
    <x v="0"/>
    <x v="0"/>
    <x v="0"/>
    <s v="DK1_Rural"/>
    <x v="9"/>
    <s v="GNR_BO_WOODWST_E-84"/>
    <x v="0"/>
    <x v="8"/>
    <n v="6.9166666666666696"/>
    <n v="2524.5833333333298"/>
    <n v="9088.5"/>
  </r>
  <r>
    <x v="0"/>
    <x v="0"/>
    <x v="0"/>
    <x v="0"/>
    <x v="0"/>
    <s v="DK1_Rural"/>
    <x v="9"/>
    <s v="GNR_BO_WOODWST_E-84"/>
    <x v="0"/>
    <x v="9"/>
    <n v="6.9166666666666696"/>
    <n v="2524.5833333333298"/>
    <n v="9088.5"/>
  </r>
  <r>
    <x v="0"/>
    <x v="0"/>
    <x v="0"/>
    <x v="0"/>
    <x v="0"/>
    <s v="DK1_Rural"/>
    <x v="9"/>
    <s v="GNR_BO_WOODWST_E-84"/>
    <x v="0"/>
    <x v="10"/>
    <n v="6.9166666666666696"/>
    <n v="2524.5833333333298"/>
    <n v="9088.5"/>
  </r>
  <r>
    <x v="0"/>
    <x v="0"/>
    <x v="0"/>
    <x v="0"/>
    <x v="0"/>
    <s v="DK1_Rural"/>
    <x v="9"/>
    <s v="GNR_BO_WOODWST_E-84"/>
    <x v="0"/>
    <x v="11"/>
    <n v="6.9166666666666696"/>
    <n v="2524.5833333333298"/>
    <n v="9088.5"/>
  </r>
  <r>
    <x v="0"/>
    <x v="0"/>
    <x v="0"/>
    <x v="0"/>
    <x v="0"/>
    <s v="DK1_Rural"/>
    <x v="9"/>
    <s v="GNR_BO_WOODWST_E-84"/>
    <x v="0"/>
    <x v="12"/>
    <n v="6.9166666666666696"/>
    <n v="2524.5833333333298"/>
    <n v="9088.5"/>
  </r>
  <r>
    <x v="0"/>
    <x v="0"/>
    <x v="0"/>
    <x v="0"/>
    <x v="0"/>
    <s v="DK1_Rural"/>
    <x v="9"/>
    <s v="GNR_BO_WOODWST_E-84"/>
    <x v="0"/>
    <x v="13"/>
    <n v="6.9166666666666696"/>
    <n v="2524.5833333333298"/>
    <n v="9088.5"/>
  </r>
  <r>
    <x v="0"/>
    <x v="0"/>
    <x v="0"/>
    <x v="0"/>
    <x v="0"/>
    <s v="DK1_Rural"/>
    <x v="9"/>
    <s v="GNR_BO_WOODWST_E-84"/>
    <x v="0"/>
    <x v="14"/>
    <n v="6.9166666666666696"/>
    <n v="2524.5833333333298"/>
    <n v="9088.5"/>
  </r>
  <r>
    <x v="0"/>
    <x v="0"/>
    <x v="0"/>
    <x v="0"/>
    <x v="0"/>
    <s v="DK1_Rural"/>
    <x v="9"/>
    <s v="GNR_BO_WOODWST_E-84"/>
    <x v="0"/>
    <x v="15"/>
    <n v="6.9166666666666696"/>
    <n v="2524.5833333333298"/>
    <n v="9088.5"/>
  </r>
  <r>
    <x v="0"/>
    <x v="0"/>
    <x v="0"/>
    <x v="0"/>
    <x v="0"/>
    <s v="DK1_Rural"/>
    <x v="9"/>
    <s v="GNR_BO_WOODWST_E-84"/>
    <x v="0"/>
    <x v="16"/>
    <n v="6.9166666666666696"/>
    <n v="2524.5833333333298"/>
    <n v="9088.5"/>
  </r>
  <r>
    <x v="0"/>
    <x v="0"/>
    <x v="0"/>
    <x v="0"/>
    <x v="0"/>
    <s v="DK1_Rural"/>
    <x v="9"/>
    <s v="GNR_BO_WOODWST_E-84"/>
    <x v="0"/>
    <x v="17"/>
    <n v="6.9166666666666696"/>
    <n v="2524.5833333333298"/>
    <n v="9088.5"/>
  </r>
  <r>
    <x v="0"/>
    <x v="0"/>
    <x v="0"/>
    <x v="0"/>
    <x v="0"/>
    <s v="DK1_Rural"/>
    <x v="9"/>
    <s v="GNR_BO_WOODWST_E-84"/>
    <x v="0"/>
    <x v="18"/>
    <n v="6.9166666666666696"/>
    <n v="2524.5833333333298"/>
    <n v="9088.5"/>
  </r>
  <r>
    <x v="0"/>
    <x v="0"/>
    <x v="0"/>
    <x v="0"/>
    <x v="0"/>
    <s v="DK1_Rural"/>
    <x v="9"/>
    <s v="GNR_BO_WOODWST_E-84"/>
    <x v="0"/>
    <x v="19"/>
    <n v="6.9166666666666696"/>
    <n v="2524.5833333333298"/>
    <n v="9088.5"/>
  </r>
  <r>
    <x v="0"/>
    <x v="0"/>
    <x v="0"/>
    <x v="0"/>
    <x v="0"/>
    <s v="DK1_Rural"/>
    <x v="9"/>
    <s v="GNR_BO_WOODWST_E-84"/>
    <x v="0"/>
    <x v="20"/>
    <n v="6.9166666666666696"/>
    <n v="2524.5833333333298"/>
    <n v="9088.5"/>
  </r>
  <r>
    <x v="0"/>
    <x v="0"/>
    <x v="0"/>
    <x v="0"/>
    <x v="0"/>
    <s v="DK1_Rural"/>
    <x v="9"/>
    <s v="GNR_BO_WOODWST_E-84"/>
    <x v="0"/>
    <x v="21"/>
    <n v="6.9166666666666696"/>
    <n v="2524.5833333333298"/>
    <n v="9088.5"/>
  </r>
  <r>
    <x v="0"/>
    <x v="0"/>
    <x v="0"/>
    <x v="0"/>
    <x v="0"/>
    <s v="DK1_Rural"/>
    <x v="9"/>
    <s v="GNR_BO_WOODWST_E-84"/>
    <x v="0"/>
    <x v="22"/>
    <n v="6.9166666666666696"/>
    <n v="2524.5833333333298"/>
    <n v="9088.5"/>
  </r>
  <r>
    <x v="0"/>
    <x v="0"/>
    <x v="0"/>
    <x v="0"/>
    <x v="0"/>
    <s v="DK1_Rural"/>
    <x v="9"/>
    <s v="GNR_BO_WOODWST_E-84"/>
    <x v="0"/>
    <x v="23"/>
    <n v="6.9166666666666696"/>
    <n v="2524.5833333333298"/>
    <n v="9088.5"/>
  </r>
  <r>
    <x v="0"/>
    <x v="0"/>
    <x v="0"/>
    <x v="0"/>
    <x v="0"/>
    <s v="DK1_Rural"/>
    <x v="9"/>
    <s v="GNR_BO_WOODWST_E-86"/>
    <x v="0"/>
    <x v="0"/>
    <n v="3.4883720930232598"/>
    <n v="1273.2558139534899"/>
    <n v="4583.72093023256"/>
  </r>
  <r>
    <x v="0"/>
    <x v="0"/>
    <x v="0"/>
    <x v="0"/>
    <x v="0"/>
    <s v="DK1_Rural"/>
    <x v="9"/>
    <s v="GNR_BO_WOODWST_E-86"/>
    <x v="0"/>
    <x v="1"/>
    <n v="3.4883720930232598"/>
    <n v="1273.2558139534899"/>
    <n v="4583.72093023256"/>
  </r>
  <r>
    <x v="0"/>
    <x v="0"/>
    <x v="0"/>
    <x v="0"/>
    <x v="0"/>
    <s v="DK1_Rural"/>
    <x v="9"/>
    <s v="GNR_BO_WOODWST_E-86"/>
    <x v="0"/>
    <x v="2"/>
    <n v="3.4883720930232598"/>
    <n v="1273.2558139534899"/>
    <n v="4583.72093023256"/>
  </r>
  <r>
    <x v="0"/>
    <x v="0"/>
    <x v="0"/>
    <x v="0"/>
    <x v="0"/>
    <s v="DK1_Rural"/>
    <x v="9"/>
    <s v="GNR_BO_WOODWST_E-86"/>
    <x v="0"/>
    <x v="3"/>
    <n v="3.4883720930232598"/>
    <n v="1273.2558139534899"/>
    <n v="4583.72093023256"/>
  </r>
  <r>
    <x v="0"/>
    <x v="0"/>
    <x v="0"/>
    <x v="0"/>
    <x v="0"/>
    <s v="DK1_Rural"/>
    <x v="9"/>
    <s v="GNR_BO_WOODWST_E-86"/>
    <x v="0"/>
    <x v="4"/>
    <n v="3.4883720930232598"/>
    <n v="1273.2558139534899"/>
    <n v="4583.72093023256"/>
  </r>
  <r>
    <x v="0"/>
    <x v="0"/>
    <x v="0"/>
    <x v="0"/>
    <x v="0"/>
    <s v="DK1_Rural"/>
    <x v="9"/>
    <s v="GNR_BO_WOODWST_E-86"/>
    <x v="0"/>
    <x v="5"/>
    <n v="3.4883720930232598"/>
    <n v="1273.2558139534899"/>
    <n v="4583.72093023256"/>
  </r>
  <r>
    <x v="0"/>
    <x v="0"/>
    <x v="0"/>
    <x v="0"/>
    <x v="0"/>
    <s v="DK1_Rural"/>
    <x v="9"/>
    <s v="GNR_BO_WOODWST_E-86"/>
    <x v="0"/>
    <x v="6"/>
    <n v="3.4883720930232598"/>
    <n v="1273.2558139534899"/>
    <n v="4583.72093023256"/>
  </r>
  <r>
    <x v="0"/>
    <x v="0"/>
    <x v="0"/>
    <x v="0"/>
    <x v="0"/>
    <s v="DK1_Rural"/>
    <x v="9"/>
    <s v="GNR_BO_WOODWST_E-86"/>
    <x v="0"/>
    <x v="7"/>
    <n v="3.4883720930232598"/>
    <n v="1273.2558139534899"/>
    <n v="4583.72093023256"/>
  </r>
  <r>
    <x v="0"/>
    <x v="0"/>
    <x v="0"/>
    <x v="0"/>
    <x v="0"/>
    <s v="DK1_Rural"/>
    <x v="9"/>
    <s v="GNR_BO_WOODWST_E-86"/>
    <x v="0"/>
    <x v="8"/>
    <n v="3.4883720930232598"/>
    <n v="1273.2558139534899"/>
    <n v="4583.72093023256"/>
  </r>
  <r>
    <x v="0"/>
    <x v="0"/>
    <x v="0"/>
    <x v="0"/>
    <x v="0"/>
    <s v="DK1_Rural"/>
    <x v="9"/>
    <s v="GNR_BO_WOODWST_E-86"/>
    <x v="0"/>
    <x v="9"/>
    <n v="3.4883720930232598"/>
    <n v="1273.2558139534899"/>
    <n v="4583.72093023256"/>
  </r>
  <r>
    <x v="0"/>
    <x v="0"/>
    <x v="0"/>
    <x v="0"/>
    <x v="0"/>
    <s v="DK1_Rural"/>
    <x v="9"/>
    <s v="GNR_BO_WOODWST_E-86"/>
    <x v="0"/>
    <x v="10"/>
    <n v="3.4883720930232598"/>
    <n v="1273.2558139534899"/>
    <n v="4583.72093023256"/>
  </r>
  <r>
    <x v="0"/>
    <x v="0"/>
    <x v="0"/>
    <x v="0"/>
    <x v="0"/>
    <s v="DK1_Rural"/>
    <x v="9"/>
    <s v="GNR_BO_WOODWST_E-86"/>
    <x v="0"/>
    <x v="11"/>
    <n v="3.4883720930232598"/>
    <n v="1273.2558139534899"/>
    <n v="4583.72093023256"/>
  </r>
  <r>
    <x v="0"/>
    <x v="0"/>
    <x v="0"/>
    <x v="0"/>
    <x v="0"/>
    <s v="DK1_Rural"/>
    <x v="9"/>
    <s v="GNR_BO_WOODWST_E-86"/>
    <x v="0"/>
    <x v="12"/>
    <n v="3.4883720930232598"/>
    <n v="1273.2558139534899"/>
    <n v="4583.72093023256"/>
  </r>
  <r>
    <x v="0"/>
    <x v="0"/>
    <x v="0"/>
    <x v="0"/>
    <x v="0"/>
    <s v="DK1_Rural"/>
    <x v="9"/>
    <s v="GNR_BO_WOODWST_E-86"/>
    <x v="0"/>
    <x v="13"/>
    <n v="3.4883720930232598"/>
    <n v="1273.2558139534899"/>
    <n v="4583.72093023256"/>
  </r>
  <r>
    <x v="0"/>
    <x v="0"/>
    <x v="0"/>
    <x v="0"/>
    <x v="0"/>
    <s v="DK1_Rural"/>
    <x v="9"/>
    <s v="GNR_BO_WOODWST_E-86"/>
    <x v="0"/>
    <x v="14"/>
    <n v="3.4883720930232598"/>
    <n v="1273.2558139534899"/>
    <n v="4583.72093023256"/>
  </r>
  <r>
    <x v="0"/>
    <x v="0"/>
    <x v="0"/>
    <x v="0"/>
    <x v="0"/>
    <s v="DK1_Rural"/>
    <x v="9"/>
    <s v="GNR_BO_WOODWST_E-86"/>
    <x v="0"/>
    <x v="15"/>
    <n v="3.4883720930232598"/>
    <n v="1273.2558139534899"/>
    <n v="4583.72093023256"/>
  </r>
  <r>
    <x v="0"/>
    <x v="0"/>
    <x v="0"/>
    <x v="0"/>
    <x v="0"/>
    <s v="DK1_Rural"/>
    <x v="9"/>
    <s v="GNR_BO_WOODWST_E-86"/>
    <x v="0"/>
    <x v="16"/>
    <n v="3.4883720930232598"/>
    <n v="1273.2558139534899"/>
    <n v="4583.72093023256"/>
  </r>
  <r>
    <x v="0"/>
    <x v="0"/>
    <x v="0"/>
    <x v="0"/>
    <x v="0"/>
    <s v="DK1_Rural"/>
    <x v="9"/>
    <s v="GNR_BO_WOODWST_E-86"/>
    <x v="0"/>
    <x v="17"/>
    <n v="3.4883720930232598"/>
    <n v="1273.2558139534899"/>
    <n v="4583.72093023256"/>
  </r>
  <r>
    <x v="0"/>
    <x v="0"/>
    <x v="0"/>
    <x v="0"/>
    <x v="0"/>
    <s v="DK1_Rural"/>
    <x v="9"/>
    <s v="GNR_BO_WOODWST_E-86"/>
    <x v="0"/>
    <x v="18"/>
    <n v="3.4883720930232598"/>
    <n v="1273.2558139534899"/>
    <n v="4583.72093023256"/>
  </r>
  <r>
    <x v="0"/>
    <x v="0"/>
    <x v="0"/>
    <x v="0"/>
    <x v="0"/>
    <s v="DK1_Rural"/>
    <x v="9"/>
    <s v="GNR_BO_WOODWST_E-86"/>
    <x v="0"/>
    <x v="19"/>
    <n v="3.4883720930232598"/>
    <n v="1273.2558139534899"/>
    <n v="4583.72093023256"/>
  </r>
  <r>
    <x v="0"/>
    <x v="0"/>
    <x v="0"/>
    <x v="0"/>
    <x v="0"/>
    <s v="DK1_Rural"/>
    <x v="9"/>
    <s v="GNR_BO_WOODWST_E-86"/>
    <x v="0"/>
    <x v="20"/>
    <n v="3.4883720930232598"/>
    <n v="1273.2558139534899"/>
    <n v="4583.72093023256"/>
  </r>
  <r>
    <x v="0"/>
    <x v="0"/>
    <x v="0"/>
    <x v="0"/>
    <x v="0"/>
    <s v="DK1_Rural"/>
    <x v="9"/>
    <s v="GNR_BO_WOODWST_E-86"/>
    <x v="0"/>
    <x v="21"/>
    <n v="3.4883720930232598"/>
    <n v="1273.2558139534899"/>
    <n v="4583.72093023256"/>
  </r>
  <r>
    <x v="0"/>
    <x v="0"/>
    <x v="0"/>
    <x v="0"/>
    <x v="0"/>
    <s v="DK1_Rural"/>
    <x v="9"/>
    <s v="GNR_BO_WOODWST_E-86"/>
    <x v="0"/>
    <x v="22"/>
    <n v="3.4883720930232598"/>
    <n v="1273.2558139534899"/>
    <n v="4583.72093023256"/>
  </r>
  <r>
    <x v="0"/>
    <x v="0"/>
    <x v="0"/>
    <x v="0"/>
    <x v="0"/>
    <s v="DK1_Rural"/>
    <x v="9"/>
    <s v="GNR_BO_WOODWST_E-86"/>
    <x v="0"/>
    <x v="23"/>
    <n v="3.4883720930232598"/>
    <n v="1273.2558139534899"/>
    <n v="4583.72093023256"/>
  </r>
  <r>
    <x v="0"/>
    <x v="0"/>
    <x v="0"/>
    <x v="0"/>
    <x v="0"/>
    <s v="DK1_Rural"/>
    <x v="9"/>
    <s v="GNR_BO_WOODWST_E-89"/>
    <x v="0"/>
    <x v="0"/>
    <n v="7.8651685393258397"/>
    <n v="2870.7865168539302"/>
    <n v="10334.831460674201"/>
  </r>
  <r>
    <x v="0"/>
    <x v="0"/>
    <x v="0"/>
    <x v="0"/>
    <x v="0"/>
    <s v="DK1_Rural"/>
    <x v="9"/>
    <s v="GNR_BO_WOODWST_E-89"/>
    <x v="0"/>
    <x v="1"/>
    <n v="7.8651685393258397"/>
    <n v="2870.7865168539302"/>
    <n v="10334.831460674201"/>
  </r>
  <r>
    <x v="0"/>
    <x v="0"/>
    <x v="0"/>
    <x v="0"/>
    <x v="0"/>
    <s v="DK1_Rural"/>
    <x v="9"/>
    <s v="GNR_BO_WOODWST_E-89"/>
    <x v="0"/>
    <x v="2"/>
    <n v="7.8651685393258397"/>
    <n v="2870.7865168539302"/>
    <n v="10334.831460674201"/>
  </r>
  <r>
    <x v="0"/>
    <x v="0"/>
    <x v="0"/>
    <x v="0"/>
    <x v="0"/>
    <s v="DK1_Rural"/>
    <x v="9"/>
    <s v="GNR_BO_WOODWST_E-89"/>
    <x v="0"/>
    <x v="3"/>
    <n v="7.8651685393258397"/>
    <n v="2870.7865168539302"/>
    <n v="10334.831460674201"/>
  </r>
  <r>
    <x v="0"/>
    <x v="0"/>
    <x v="0"/>
    <x v="0"/>
    <x v="0"/>
    <s v="DK1_Rural"/>
    <x v="9"/>
    <s v="GNR_BO_WOODWST_E-89"/>
    <x v="0"/>
    <x v="4"/>
    <n v="7.8651685393258397"/>
    <n v="2870.7865168539302"/>
    <n v="10334.831460674201"/>
  </r>
  <r>
    <x v="0"/>
    <x v="0"/>
    <x v="0"/>
    <x v="0"/>
    <x v="0"/>
    <s v="DK1_Rural"/>
    <x v="9"/>
    <s v="GNR_BO_WOODWST_E-89"/>
    <x v="0"/>
    <x v="5"/>
    <n v="7.8651685393258397"/>
    <n v="2870.7865168539302"/>
    <n v="10334.831460674201"/>
  </r>
  <r>
    <x v="0"/>
    <x v="0"/>
    <x v="0"/>
    <x v="0"/>
    <x v="0"/>
    <s v="DK1_Rural"/>
    <x v="9"/>
    <s v="GNR_BO_WOODWST_E-89"/>
    <x v="0"/>
    <x v="6"/>
    <n v="7.8651685393258397"/>
    <n v="2870.7865168539302"/>
    <n v="10334.831460674201"/>
  </r>
  <r>
    <x v="0"/>
    <x v="0"/>
    <x v="0"/>
    <x v="0"/>
    <x v="0"/>
    <s v="DK1_Rural"/>
    <x v="9"/>
    <s v="GNR_BO_WOODWST_E-89"/>
    <x v="0"/>
    <x v="7"/>
    <n v="7.8651685393258397"/>
    <n v="2870.7865168539302"/>
    <n v="10334.831460674201"/>
  </r>
  <r>
    <x v="0"/>
    <x v="0"/>
    <x v="0"/>
    <x v="0"/>
    <x v="0"/>
    <s v="DK1_Rural"/>
    <x v="9"/>
    <s v="GNR_BO_WOODWST_E-89"/>
    <x v="0"/>
    <x v="8"/>
    <n v="7.8651685393258397"/>
    <n v="2870.7865168539302"/>
    <n v="10334.831460674201"/>
  </r>
  <r>
    <x v="0"/>
    <x v="0"/>
    <x v="0"/>
    <x v="0"/>
    <x v="0"/>
    <s v="DK1_Rural"/>
    <x v="9"/>
    <s v="GNR_BO_WOODWST_E-89"/>
    <x v="0"/>
    <x v="9"/>
    <n v="7.8651685393258397"/>
    <n v="2870.7865168539302"/>
    <n v="10334.831460674201"/>
  </r>
  <r>
    <x v="0"/>
    <x v="0"/>
    <x v="0"/>
    <x v="0"/>
    <x v="0"/>
    <s v="DK1_Rural"/>
    <x v="9"/>
    <s v="GNR_BO_WOODWST_E-89"/>
    <x v="0"/>
    <x v="10"/>
    <n v="7.8651685393258397"/>
    <n v="2870.7865168539302"/>
    <n v="10334.831460674201"/>
  </r>
  <r>
    <x v="0"/>
    <x v="0"/>
    <x v="0"/>
    <x v="0"/>
    <x v="0"/>
    <s v="DK1_Rural"/>
    <x v="9"/>
    <s v="GNR_BO_WOODWST_E-89"/>
    <x v="0"/>
    <x v="11"/>
    <n v="7.8651685393258397"/>
    <n v="2870.7865168539302"/>
    <n v="10334.831460674201"/>
  </r>
  <r>
    <x v="0"/>
    <x v="0"/>
    <x v="0"/>
    <x v="0"/>
    <x v="0"/>
    <s v="DK1_Rural"/>
    <x v="9"/>
    <s v="GNR_BO_WOODWST_E-89"/>
    <x v="0"/>
    <x v="12"/>
    <n v="7.8651685393258397"/>
    <n v="2870.7865168539302"/>
    <n v="10334.831460674201"/>
  </r>
  <r>
    <x v="0"/>
    <x v="0"/>
    <x v="0"/>
    <x v="0"/>
    <x v="0"/>
    <s v="DK1_Rural"/>
    <x v="9"/>
    <s v="GNR_BO_WOODWST_E-89"/>
    <x v="0"/>
    <x v="13"/>
    <n v="7.8651685393258397"/>
    <n v="2870.7865168539302"/>
    <n v="10334.831460674201"/>
  </r>
  <r>
    <x v="0"/>
    <x v="0"/>
    <x v="0"/>
    <x v="0"/>
    <x v="0"/>
    <s v="DK1_Rural"/>
    <x v="9"/>
    <s v="GNR_BO_WOODWST_E-89"/>
    <x v="0"/>
    <x v="14"/>
    <n v="7.8651685393258397"/>
    <n v="2870.7865168539302"/>
    <n v="10334.831460674201"/>
  </r>
  <r>
    <x v="0"/>
    <x v="0"/>
    <x v="0"/>
    <x v="0"/>
    <x v="0"/>
    <s v="DK1_Rural"/>
    <x v="9"/>
    <s v="GNR_BO_WOODWST_E-89"/>
    <x v="0"/>
    <x v="15"/>
    <n v="7.8651685393258397"/>
    <n v="2870.7865168539302"/>
    <n v="10334.831460674201"/>
  </r>
  <r>
    <x v="0"/>
    <x v="0"/>
    <x v="0"/>
    <x v="0"/>
    <x v="0"/>
    <s v="DK1_Rural"/>
    <x v="9"/>
    <s v="GNR_BO_WOODWST_E-89"/>
    <x v="0"/>
    <x v="16"/>
    <n v="7.8651685393258397"/>
    <n v="2870.7865168539302"/>
    <n v="10334.831460674201"/>
  </r>
  <r>
    <x v="0"/>
    <x v="0"/>
    <x v="0"/>
    <x v="0"/>
    <x v="0"/>
    <s v="DK1_Rural"/>
    <x v="9"/>
    <s v="GNR_BO_WOODWST_E-89"/>
    <x v="0"/>
    <x v="17"/>
    <n v="7.8651685393258397"/>
    <n v="2870.7865168539302"/>
    <n v="10334.831460674201"/>
  </r>
  <r>
    <x v="0"/>
    <x v="0"/>
    <x v="0"/>
    <x v="0"/>
    <x v="0"/>
    <s v="DK1_Rural"/>
    <x v="9"/>
    <s v="GNR_BO_WOODWST_E-89"/>
    <x v="0"/>
    <x v="18"/>
    <n v="7.8651685393258397"/>
    <n v="2870.7865168539302"/>
    <n v="10334.831460674201"/>
  </r>
  <r>
    <x v="0"/>
    <x v="0"/>
    <x v="0"/>
    <x v="0"/>
    <x v="0"/>
    <s v="DK1_Rural"/>
    <x v="9"/>
    <s v="GNR_BO_WOODWST_E-89"/>
    <x v="0"/>
    <x v="19"/>
    <n v="7.8651685393258397"/>
    <n v="2870.7865168539302"/>
    <n v="10334.831460674201"/>
  </r>
  <r>
    <x v="0"/>
    <x v="0"/>
    <x v="0"/>
    <x v="0"/>
    <x v="0"/>
    <s v="DK1_Rural"/>
    <x v="9"/>
    <s v="GNR_BO_WOODWST_E-89"/>
    <x v="0"/>
    <x v="20"/>
    <n v="7.8651685393258397"/>
    <n v="2870.7865168539302"/>
    <n v="10334.831460674201"/>
  </r>
  <r>
    <x v="0"/>
    <x v="0"/>
    <x v="0"/>
    <x v="0"/>
    <x v="0"/>
    <s v="DK1_Rural"/>
    <x v="9"/>
    <s v="GNR_BO_WOODWST_E-89"/>
    <x v="0"/>
    <x v="21"/>
    <n v="7.8651685393258397"/>
    <n v="2870.7865168539302"/>
    <n v="10334.831460674201"/>
  </r>
  <r>
    <x v="0"/>
    <x v="0"/>
    <x v="0"/>
    <x v="0"/>
    <x v="0"/>
    <s v="DK1_Rural"/>
    <x v="9"/>
    <s v="GNR_BO_WOODWST_E-89"/>
    <x v="0"/>
    <x v="22"/>
    <n v="7.8651685393258397"/>
    <n v="2870.7865168539302"/>
    <n v="10334.831460674201"/>
  </r>
  <r>
    <x v="0"/>
    <x v="0"/>
    <x v="0"/>
    <x v="0"/>
    <x v="0"/>
    <s v="DK1_Rural"/>
    <x v="9"/>
    <s v="GNR_BO_WOODWST_E-89"/>
    <x v="0"/>
    <x v="23"/>
    <n v="7.8651685393258397"/>
    <n v="2870.7865168539302"/>
    <n v="10334.831460674201"/>
  </r>
  <r>
    <x v="0"/>
    <x v="0"/>
    <x v="0"/>
    <x v="0"/>
    <x v="0"/>
    <s v="DK1_Rural"/>
    <x v="9"/>
    <s v="GNR_BO_WOODWST_E-90"/>
    <x v="0"/>
    <x v="0"/>
    <n v="10"/>
    <n v="3650"/>
    <n v="13140"/>
  </r>
  <r>
    <x v="0"/>
    <x v="0"/>
    <x v="0"/>
    <x v="0"/>
    <x v="0"/>
    <s v="DK1_Rural"/>
    <x v="9"/>
    <s v="GNR_BO_WOODWST_E-90"/>
    <x v="0"/>
    <x v="1"/>
    <n v="10"/>
    <n v="3650"/>
    <n v="13140"/>
  </r>
  <r>
    <x v="0"/>
    <x v="0"/>
    <x v="0"/>
    <x v="0"/>
    <x v="0"/>
    <s v="DK1_Rural"/>
    <x v="9"/>
    <s v="GNR_BO_WOODWST_E-90"/>
    <x v="0"/>
    <x v="2"/>
    <n v="10"/>
    <n v="3650"/>
    <n v="13140"/>
  </r>
  <r>
    <x v="0"/>
    <x v="0"/>
    <x v="0"/>
    <x v="0"/>
    <x v="0"/>
    <s v="DK1_Rural"/>
    <x v="9"/>
    <s v="GNR_BO_WOODWST_E-90"/>
    <x v="0"/>
    <x v="3"/>
    <n v="10"/>
    <n v="3650"/>
    <n v="13140"/>
  </r>
  <r>
    <x v="0"/>
    <x v="0"/>
    <x v="0"/>
    <x v="0"/>
    <x v="0"/>
    <s v="DK1_Rural"/>
    <x v="9"/>
    <s v="GNR_BO_WOODWST_E-90"/>
    <x v="0"/>
    <x v="4"/>
    <n v="10"/>
    <n v="3650"/>
    <n v="13140"/>
  </r>
  <r>
    <x v="0"/>
    <x v="0"/>
    <x v="0"/>
    <x v="0"/>
    <x v="0"/>
    <s v="DK1_Rural"/>
    <x v="9"/>
    <s v="GNR_BO_WOODWST_E-90"/>
    <x v="0"/>
    <x v="5"/>
    <n v="10"/>
    <n v="3650"/>
    <n v="13140"/>
  </r>
  <r>
    <x v="0"/>
    <x v="0"/>
    <x v="0"/>
    <x v="0"/>
    <x v="0"/>
    <s v="DK1_Rural"/>
    <x v="9"/>
    <s v="GNR_BO_WOODWST_E-90"/>
    <x v="0"/>
    <x v="6"/>
    <n v="10"/>
    <n v="3650"/>
    <n v="13140"/>
  </r>
  <r>
    <x v="0"/>
    <x v="0"/>
    <x v="0"/>
    <x v="0"/>
    <x v="0"/>
    <s v="DK1_Rural"/>
    <x v="9"/>
    <s v="GNR_BO_WOODWST_E-90"/>
    <x v="0"/>
    <x v="7"/>
    <n v="10"/>
    <n v="3650"/>
    <n v="13140"/>
  </r>
  <r>
    <x v="0"/>
    <x v="0"/>
    <x v="0"/>
    <x v="0"/>
    <x v="0"/>
    <s v="DK1_Rural"/>
    <x v="9"/>
    <s v="GNR_BO_WOODWST_E-90"/>
    <x v="0"/>
    <x v="8"/>
    <n v="10"/>
    <n v="3650"/>
    <n v="13140"/>
  </r>
  <r>
    <x v="0"/>
    <x v="0"/>
    <x v="0"/>
    <x v="0"/>
    <x v="0"/>
    <s v="DK1_Rural"/>
    <x v="9"/>
    <s v="GNR_BO_WOODWST_E-90"/>
    <x v="0"/>
    <x v="9"/>
    <n v="10"/>
    <n v="3650"/>
    <n v="13140"/>
  </r>
  <r>
    <x v="0"/>
    <x v="0"/>
    <x v="0"/>
    <x v="0"/>
    <x v="0"/>
    <s v="DK1_Rural"/>
    <x v="9"/>
    <s v="GNR_BO_WOODWST_E-90"/>
    <x v="0"/>
    <x v="10"/>
    <n v="10"/>
    <n v="3650"/>
    <n v="13140"/>
  </r>
  <r>
    <x v="0"/>
    <x v="0"/>
    <x v="0"/>
    <x v="0"/>
    <x v="0"/>
    <s v="DK1_Rural"/>
    <x v="9"/>
    <s v="GNR_BO_WOODWST_E-90"/>
    <x v="0"/>
    <x v="11"/>
    <n v="10"/>
    <n v="3650"/>
    <n v="13140"/>
  </r>
  <r>
    <x v="0"/>
    <x v="0"/>
    <x v="0"/>
    <x v="0"/>
    <x v="0"/>
    <s v="DK1_Rural"/>
    <x v="9"/>
    <s v="GNR_BO_WOODWST_E-90"/>
    <x v="0"/>
    <x v="12"/>
    <n v="10"/>
    <n v="3650"/>
    <n v="13140"/>
  </r>
  <r>
    <x v="0"/>
    <x v="0"/>
    <x v="0"/>
    <x v="0"/>
    <x v="0"/>
    <s v="DK1_Rural"/>
    <x v="9"/>
    <s v="GNR_BO_WOODWST_E-90"/>
    <x v="0"/>
    <x v="13"/>
    <n v="10"/>
    <n v="3650"/>
    <n v="13140"/>
  </r>
  <r>
    <x v="0"/>
    <x v="0"/>
    <x v="0"/>
    <x v="0"/>
    <x v="0"/>
    <s v="DK1_Rural"/>
    <x v="9"/>
    <s v="GNR_BO_WOODWST_E-90"/>
    <x v="0"/>
    <x v="14"/>
    <n v="10"/>
    <n v="3650"/>
    <n v="13140"/>
  </r>
  <r>
    <x v="0"/>
    <x v="0"/>
    <x v="0"/>
    <x v="0"/>
    <x v="0"/>
    <s v="DK1_Rural"/>
    <x v="9"/>
    <s v="GNR_BO_WOODWST_E-90"/>
    <x v="0"/>
    <x v="15"/>
    <n v="10"/>
    <n v="3650"/>
    <n v="13140"/>
  </r>
  <r>
    <x v="0"/>
    <x v="0"/>
    <x v="0"/>
    <x v="0"/>
    <x v="0"/>
    <s v="DK1_Rural"/>
    <x v="9"/>
    <s v="GNR_BO_WOODWST_E-90"/>
    <x v="0"/>
    <x v="16"/>
    <n v="10"/>
    <n v="3650"/>
    <n v="13140"/>
  </r>
  <r>
    <x v="0"/>
    <x v="0"/>
    <x v="0"/>
    <x v="0"/>
    <x v="0"/>
    <s v="DK1_Rural"/>
    <x v="9"/>
    <s v="GNR_BO_WOODWST_E-90"/>
    <x v="0"/>
    <x v="17"/>
    <n v="10"/>
    <n v="3650"/>
    <n v="13140"/>
  </r>
  <r>
    <x v="0"/>
    <x v="0"/>
    <x v="0"/>
    <x v="0"/>
    <x v="0"/>
    <s v="DK1_Rural"/>
    <x v="9"/>
    <s v="GNR_BO_WOODWST_E-90"/>
    <x v="0"/>
    <x v="18"/>
    <n v="10"/>
    <n v="3650"/>
    <n v="13140"/>
  </r>
  <r>
    <x v="0"/>
    <x v="0"/>
    <x v="0"/>
    <x v="0"/>
    <x v="0"/>
    <s v="DK1_Rural"/>
    <x v="9"/>
    <s v="GNR_BO_WOODWST_E-90"/>
    <x v="0"/>
    <x v="19"/>
    <n v="10"/>
    <n v="3650"/>
    <n v="13140"/>
  </r>
  <r>
    <x v="0"/>
    <x v="0"/>
    <x v="0"/>
    <x v="0"/>
    <x v="0"/>
    <s v="DK1_Rural"/>
    <x v="9"/>
    <s v="GNR_BO_WOODWST_E-90"/>
    <x v="0"/>
    <x v="20"/>
    <n v="10"/>
    <n v="3650"/>
    <n v="13140"/>
  </r>
  <r>
    <x v="0"/>
    <x v="0"/>
    <x v="0"/>
    <x v="0"/>
    <x v="0"/>
    <s v="DK1_Rural"/>
    <x v="9"/>
    <s v="GNR_BO_WOODWST_E-90"/>
    <x v="0"/>
    <x v="21"/>
    <n v="10"/>
    <n v="3650"/>
    <n v="13140"/>
  </r>
  <r>
    <x v="0"/>
    <x v="0"/>
    <x v="0"/>
    <x v="0"/>
    <x v="0"/>
    <s v="DK1_Rural"/>
    <x v="9"/>
    <s v="GNR_BO_WOODWST_E-90"/>
    <x v="0"/>
    <x v="22"/>
    <n v="10"/>
    <n v="3650"/>
    <n v="13140"/>
  </r>
  <r>
    <x v="0"/>
    <x v="0"/>
    <x v="0"/>
    <x v="0"/>
    <x v="0"/>
    <s v="DK1_Rural"/>
    <x v="9"/>
    <s v="GNR_BO_WOODWST_E-90"/>
    <x v="0"/>
    <x v="23"/>
    <n v="10"/>
    <n v="3650"/>
    <n v="13140"/>
  </r>
  <r>
    <x v="0"/>
    <x v="0"/>
    <x v="0"/>
    <x v="0"/>
    <x v="0"/>
    <s v="DK1_Rural"/>
    <x v="9"/>
    <s v="GNR_BO_WOODWST_E-91"/>
    <x v="0"/>
    <x v="0"/>
    <n v="3.4615384615384599"/>
    <n v="1263.4615384615399"/>
    <n v="4548.4615384615399"/>
  </r>
  <r>
    <x v="0"/>
    <x v="0"/>
    <x v="0"/>
    <x v="0"/>
    <x v="0"/>
    <s v="DK1_Rural"/>
    <x v="9"/>
    <s v="GNR_BO_WOODWST_E-91"/>
    <x v="0"/>
    <x v="1"/>
    <n v="3.4615384615384599"/>
    <n v="1263.4615384615399"/>
    <n v="4548.4615384615399"/>
  </r>
  <r>
    <x v="0"/>
    <x v="0"/>
    <x v="0"/>
    <x v="0"/>
    <x v="0"/>
    <s v="DK1_Rural"/>
    <x v="9"/>
    <s v="GNR_BO_WOODWST_E-91"/>
    <x v="0"/>
    <x v="2"/>
    <n v="3.4615384615384599"/>
    <n v="1263.4615384615399"/>
    <n v="4548.4615384615399"/>
  </r>
  <r>
    <x v="0"/>
    <x v="0"/>
    <x v="0"/>
    <x v="0"/>
    <x v="0"/>
    <s v="DK1_Rural"/>
    <x v="9"/>
    <s v="GNR_BO_WOODWST_E-91"/>
    <x v="0"/>
    <x v="3"/>
    <n v="3.4615384615384599"/>
    <n v="1263.4615384615399"/>
    <n v="4548.4615384615399"/>
  </r>
  <r>
    <x v="0"/>
    <x v="0"/>
    <x v="0"/>
    <x v="0"/>
    <x v="0"/>
    <s v="DK1_Rural"/>
    <x v="9"/>
    <s v="GNR_BO_WOODWST_E-91"/>
    <x v="0"/>
    <x v="4"/>
    <n v="3.4615384615384599"/>
    <n v="1263.4615384615399"/>
    <n v="4548.4615384615399"/>
  </r>
  <r>
    <x v="0"/>
    <x v="0"/>
    <x v="0"/>
    <x v="0"/>
    <x v="0"/>
    <s v="DK1_Rural"/>
    <x v="9"/>
    <s v="GNR_BO_WOODWST_E-91"/>
    <x v="0"/>
    <x v="5"/>
    <n v="3.4615384615384599"/>
    <n v="1263.4615384615399"/>
    <n v="4548.4615384615399"/>
  </r>
  <r>
    <x v="0"/>
    <x v="0"/>
    <x v="0"/>
    <x v="0"/>
    <x v="0"/>
    <s v="DK1_Rural"/>
    <x v="9"/>
    <s v="GNR_BO_WOODWST_E-91"/>
    <x v="0"/>
    <x v="6"/>
    <n v="3.4615384615384599"/>
    <n v="1263.4615384615399"/>
    <n v="4548.4615384615399"/>
  </r>
  <r>
    <x v="0"/>
    <x v="0"/>
    <x v="0"/>
    <x v="0"/>
    <x v="0"/>
    <s v="DK1_Rural"/>
    <x v="9"/>
    <s v="GNR_BO_WOODWST_E-91"/>
    <x v="0"/>
    <x v="7"/>
    <n v="3.4615384615384599"/>
    <n v="1263.4615384615399"/>
    <n v="4548.4615384615399"/>
  </r>
  <r>
    <x v="0"/>
    <x v="0"/>
    <x v="0"/>
    <x v="0"/>
    <x v="0"/>
    <s v="DK1_Rural"/>
    <x v="9"/>
    <s v="GNR_BO_WOODWST_E-91"/>
    <x v="0"/>
    <x v="8"/>
    <n v="3.4615384615384599"/>
    <n v="1263.4615384615399"/>
    <n v="4548.4615384615399"/>
  </r>
  <r>
    <x v="0"/>
    <x v="0"/>
    <x v="0"/>
    <x v="0"/>
    <x v="0"/>
    <s v="DK1_Rural"/>
    <x v="9"/>
    <s v="GNR_BO_WOODWST_E-91"/>
    <x v="0"/>
    <x v="9"/>
    <n v="3.4615384615384599"/>
    <n v="1263.4615384615399"/>
    <n v="4548.4615384615399"/>
  </r>
  <r>
    <x v="0"/>
    <x v="0"/>
    <x v="0"/>
    <x v="0"/>
    <x v="0"/>
    <s v="DK1_Rural"/>
    <x v="9"/>
    <s v="GNR_BO_WOODWST_E-91"/>
    <x v="0"/>
    <x v="10"/>
    <n v="3.4615384615384599"/>
    <n v="1263.4615384615399"/>
    <n v="4548.4615384615399"/>
  </r>
  <r>
    <x v="0"/>
    <x v="0"/>
    <x v="0"/>
    <x v="0"/>
    <x v="0"/>
    <s v="DK1_Rural"/>
    <x v="9"/>
    <s v="GNR_BO_WOODWST_E-91"/>
    <x v="0"/>
    <x v="11"/>
    <n v="3.4615384615384599"/>
    <n v="1263.4615384615399"/>
    <n v="4548.4615384615399"/>
  </r>
  <r>
    <x v="0"/>
    <x v="0"/>
    <x v="0"/>
    <x v="0"/>
    <x v="0"/>
    <s v="DK1_Rural"/>
    <x v="9"/>
    <s v="GNR_BO_WOODWST_E-91"/>
    <x v="0"/>
    <x v="12"/>
    <n v="3.4615384615384599"/>
    <n v="1263.4615384615399"/>
    <n v="4548.4615384615399"/>
  </r>
  <r>
    <x v="0"/>
    <x v="0"/>
    <x v="0"/>
    <x v="0"/>
    <x v="0"/>
    <s v="DK1_Rural"/>
    <x v="9"/>
    <s v="GNR_BO_WOODWST_E-91"/>
    <x v="0"/>
    <x v="13"/>
    <n v="3.4615384615384599"/>
    <n v="1263.4615384615399"/>
    <n v="4548.4615384615399"/>
  </r>
  <r>
    <x v="0"/>
    <x v="0"/>
    <x v="0"/>
    <x v="0"/>
    <x v="0"/>
    <s v="DK1_Rural"/>
    <x v="9"/>
    <s v="GNR_BO_WOODWST_E-91"/>
    <x v="0"/>
    <x v="14"/>
    <n v="3.4615384615384599"/>
    <n v="1263.4615384615399"/>
    <n v="4548.4615384615399"/>
  </r>
  <r>
    <x v="0"/>
    <x v="0"/>
    <x v="0"/>
    <x v="0"/>
    <x v="0"/>
    <s v="DK1_Rural"/>
    <x v="9"/>
    <s v="GNR_BO_WOODWST_E-91"/>
    <x v="0"/>
    <x v="15"/>
    <n v="3.4615384615384599"/>
    <n v="1263.4615384615399"/>
    <n v="4548.4615384615399"/>
  </r>
  <r>
    <x v="0"/>
    <x v="0"/>
    <x v="0"/>
    <x v="0"/>
    <x v="0"/>
    <s v="DK1_Rural"/>
    <x v="9"/>
    <s v="GNR_BO_WOODWST_E-91"/>
    <x v="0"/>
    <x v="16"/>
    <n v="3.4615384615384599"/>
    <n v="1263.4615384615399"/>
    <n v="4548.4615384615399"/>
  </r>
  <r>
    <x v="0"/>
    <x v="0"/>
    <x v="0"/>
    <x v="0"/>
    <x v="0"/>
    <s v="DK1_Rural"/>
    <x v="9"/>
    <s v="GNR_BO_WOODWST_E-91"/>
    <x v="0"/>
    <x v="17"/>
    <n v="3.4615384615384599"/>
    <n v="1263.4615384615399"/>
    <n v="4548.4615384615399"/>
  </r>
  <r>
    <x v="0"/>
    <x v="0"/>
    <x v="0"/>
    <x v="0"/>
    <x v="0"/>
    <s v="DK1_Rural"/>
    <x v="9"/>
    <s v="GNR_BO_WOODWST_E-91"/>
    <x v="0"/>
    <x v="18"/>
    <n v="3.4615384615384599"/>
    <n v="1263.4615384615399"/>
    <n v="4548.4615384615399"/>
  </r>
  <r>
    <x v="0"/>
    <x v="0"/>
    <x v="0"/>
    <x v="0"/>
    <x v="0"/>
    <s v="DK1_Rural"/>
    <x v="9"/>
    <s v="GNR_BO_WOODWST_E-91"/>
    <x v="0"/>
    <x v="19"/>
    <n v="3.4615384615384599"/>
    <n v="1263.4615384615399"/>
    <n v="4548.4615384615399"/>
  </r>
  <r>
    <x v="0"/>
    <x v="0"/>
    <x v="0"/>
    <x v="0"/>
    <x v="0"/>
    <s v="DK1_Rural"/>
    <x v="9"/>
    <s v="GNR_BO_WOODWST_E-91"/>
    <x v="0"/>
    <x v="20"/>
    <n v="3.4615384615384599"/>
    <n v="1263.4615384615399"/>
    <n v="4548.4615384615399"/>
  </r>
  <r>
    <x v="0"/>
    <x v="0"/>
    <x v="0"/>
    <x v="0"/>
    <x v="0"/>
    <s v="DK1_Rural"/>
    <x v="9"/>
    <s v="GNR_BO_WOODWST_E-91"/>
    <x v="0"/>
    <x v="21"/>
    <n v="3.4615384615384599"/>
    <n v="1263.4615384615399"/>
    <n v="4548.4615384615399"/>
  </r>
  <r>
    <x v="0"/>
    <x v="0"/>
    <x v="0"/>
    <x v="0"/>
    <x v="0"/>
    <s v="DK1_Rural"/>
    <x v="9"/>
    <s v="GNR_BO_WOODWST_E-91"/>
    <x v="0"/>
    <x v="22"/>
    <n v="3.4615384615384599"/>
    <n v="1263.4615384615399"/>
    <n v="4548.4615384615399"/>
  </r>
  <r>
    <x v="0"/>
    <x v="0"/>
    <x v="0"/>
    <x v="0"/>
    <x v="0"/>
    <s v="DK1_Rural"/>
    <x v="9"/>
    <s v="GNR_BO_WOODWST_E-91"/>
    <x v="0"/>
    <x v="23"/>
    <n v="3.4615384615384599"/>
    <n v="1263.4615384615399"/>
    <n v="4548.4615384615399"/>
  </r>
  <r>
    <x v="0"/>
    <x v="0"/>
    <x v="0"/>
    <x v="0"/>
    <x v="0"/>
    <s v="DK1_Rural"/>
    <x v="9"/>
    <s v="GNR_BO_WOODWST_E-94"/>
    <x v="0"/>
    <x v="0"/>
    <n v="0.98936170212765995"/>
    <n v="361.11702127659601"/>
    <n v="1300.0212765957399"/>
  </r>
  <r>
    <x v="0"/>
    <x v="0"/>
    <x v="0"/>
    <x v="0"/>
    <x v="0"/>
    <s v="DK1_Rural"/>
    <x v="9"/>
    <s v="GNR_BO_WOODWST_E-94"/>
    <x v="0"/>
    <x v="1"/>
    <n v="0.98936170212765995"/>
    <n v="361.11702127659601"/>
    <n v="1300.0212765957399"/>
  </r>
  <r>
    <x v="0"/>
    <x v="0"/>
    <x v="0"/>
    <x v="0"/>
    <x v="0"/>
    <s v="DK1_Rural"/>
    <x v="9"/>
    <s v="GNR_BO_WOODWST_E-94"/>
    <x v="0"/>
    <x v="2"/>
    <n v="0.98936170212765995"/>
    <n v="361.11702127659601"/>
    <n v="1300.0212765957399"/>
  </r>
  <r>
    <x v="0"/>
    <x v="0"/>
    <x v="0"/>
    <x v="0"/>
    <x v="0"/>
    <s v="DK1_Rural"/>
    <x v="9"/>
    <s v="GNR_BO_WOODWST_E-94"/>
    <x v="0"/>
    <x v="3"/>
    <n v="0.98936170212765995"/>
    <n v="361.11702127659601"/>
    <n v="1300.0212765957399"/>
  </r>
  <r>
    <x v="0"/>
    <x v="0"/>
    <x v="0"/>
    <x v="0"/>
    <x v="0"/>
    <s v="DK1_Rural"/>
    <x v="9"/>
    <s v="GNR_BO_WOODWST_E-94"/>
    <x v="0"/>
    <x v="4"/>
    <n v="0.98936170212765995"/>
    <n v="361.11702127659601"/>
    <n v="1300.0212765957399"/>
  </r>
  <r>
    <x v="0"/>
    <x v="0"/>
    <x v="0"/>
    <x v="0"/>
    <x v="0"/>
    <s v="DK1_Rural"/>
    <x v="9"/>
    <s v="GNR_BO_WOODWST_E-94"/>
    <x v="0"/>
    <x v="5"/>
    <n v="0.98936170212765995"/>
    <n v="361.11702127659601"/>
    <n v="1300.0212765957399"/>
  </r>
  <r>
    <x v="0"/>
    <x v="0"/>
    <x v="0"/>
    <x v="0"/>
    <x v="0"/>
    <s v="DK1_Rural"/>
    <x v="9"/>
    <s v="GNR_BO_WOODWST_E-94"/>
    <x v="0"/>
    <x v="6"/>
    <n v="0.98936170212765995"/>
    <n v="361.11702127659601"/>
    <n v="1300.0212765957399"/>
  </r>
  <r>
    <x v="0"/>
    <x v="0"/>
    <x v="0"/>
    <x v="0"/>
    <x v="0"/>
    <s v="DK1_Rural"/>
    <x v="9"/>
    <s v="GNR_BO_WOODWST_E-94"/>
    <x v="0"/>
    <x v="7"/>
    <n v="0.98936170212765995"/>
    <n v="361.11702127659601"/>
    <n v="1300.0212765957399"/>
  </r>
  <r>
    <x v="0"/>
    <x v="0"/>
    <x v="0"/>
    <x v="0"/>
    <x v="0"/>
    <s v="DK1_Rural"/>
    <x v="9"/>
    <s v="GNR_BO_WOODWST_E-94"/>
    <x v="0"/>
    <x v="8"/>
    <n v="0.98936170212765995"/>
    <n v="361.11702127659601"/>
    <n v="1300.0212765957399"/>
  </r>
  <r>
    <x v="0"/>
    <x v="0"/>
    <x v="0"/>
    <x v="0"/>
    <x v="0"/>
    <s v="DK1_Rural"/>
    <x v="9"/>
    <s v="GNR_BO_WOODWST_E-94"/>
    <x v="0"/>
    <x v="9"/>
    <n v="0.98936170212765995"/>
    <n v="361.11702127659601"/>
    <n v="1300.0212765957399"/>
  </r>
  <r>
    <x v="0"/>
    <x v="0"/>
    <x v="0"/>
    <x v="0"/>
    <x v="0"/>
    <s v="DK1_Rural"/>
    <x v="9"/>
    <s v="GNR_BO_WOODWST_E-94"/>
    <x v="0"/>
    <x v="10"/>
    <n v="0.98936170212765995"/>
    <n v="361.11702127659601"/>
    <n v="1300.0212765957399"/>
  </r>
  <r>
    <x v="0"/>
    <x v="0"/>
    <x v="0"/>
    <x v="0"/>
    <x v="0"/>
    <s v="DK1_Rural"/>
    <x v="9"/>
    <s v="GNR_BO_WOODWST_E-94"/>
    <x v="0"/>
    <x v="11"/>
    <n v="0.98936170212765995"/>
    <n v="361.11702127659601"/>
    <n v="1300.0212765957399"/>
  </r>
  <r>
    <x v="0"/>
    <x v="0"/>
    <x v="0"/>
    <x v="0"/>
    <x v="0"/>
    <s v="DK1_Rural"/>
    <x v="9"/>
    <s v="GNR_BO_WOODWST_E-94"/>
    <x v="0"/>
    <x v="12"/>
    <n v="0.98936170212765995"/>
    <n v="361.11702127659601"/>
    <n v="1300.0212765957399"/>
  </r>
  <r>
    <x v="0"/>
    <x v="0"/>
    <x v="0"/>
    <x v="0"/>
    <x v="0"/>
    <s v="DK1_Rural"/>
    <x v="9"/>
    <s v="GNR_BO_WOODWST_E-94"/>
    <x v="0"/>
    <x v="13"/>
    <n v="0.98936170212765995"/>
    <n v="361.11702127659601"/>
    <n v="1300.0212765957399"/>
  </r>
  <r>
    <x v="0"/>
    <x v="0"/>
    <x v="0"/>
    <x v="0"/>
    <x v="0"/>
    <s v="DK1_Rural"/>
    <x v="9"/>
    <s v="GNR_BO_WOODWST_E-94"/>
    <x v="0"/>
    <x v="14"/>
    <n v="0.98936170212765995"/>
    <n v="361.11702127659601"/>
    <n v="1300.0212765957399"/>
  </r>
  <r>
    <x v="0"/>
    <x v="0"/>
    <x v="0"/>
    <x v="0"/>
    <x v="0"/>
    <s v="DK1_Rural"/>
    <x v="9"/>
    <s v="GNR_BO_WOODWST_E-94"/>
    <x v="0"/>
    <x v="15"/>
    <n v="0.98936170212765995"/>
    <n v="361.11702127659601"/>
    <n v="1300.0212765957399"/>
  </r>
  <r>
    <x v="0"/>
    <x v="0"/>
    <x v="0"/>
    <x v="0"/>
    <x v="0"/>
    <s v="DK1_Rural"/>
    <x v="9"/>
    <s v="GNR_BO_WOODWST_E-94"/>
    <x v="0"/>
    <x v="16"/>
    <n v="0.98936170212765995"/>
    <n v="361.11702127659601"/>
    <n v="1300.0212765957399"/>
  </r>
  <r>
    <x v="0"/>
    <x v="0"/>
    <x v="0"/>
    <x v="0"/>
    <x v="0"/>
    <s v="DK1_Rural"/>
    <x v="9"/>
    <s v="GNR_BO_WOODWST_E-94"/>
    <x v="0"/>
    <x v="17"/>
    <n v="0.98936170212765995"/>
    <n v="361.11702127659601"/>
    <n v="1300.0212765957399"/>
  </r>
  <r>
    <x v="0"/>
    <x v="0"/>
    <x v="0"/>
    <x v="0"/>
    <x v="0"/>
    <s v="DK1_Rural"/>
    <x v="9"/>
    <s v="GNR_BO_WOODWST_E-94"/>
    <x v="0"/>
    <x v="18"/>
    <n v="0.98936170212765995"/>
    <n v="361.11702127659601"/>
    <n v="1300.0212765957399"/>
  </r>
  <r>
    <x v="0"/>
    <x v="0"/>
    <x v="0"/>
    <x v="0"/>
    <x v="0"/>
    <s v="DK1_Rural"/>
    <x v="9"/>
    <s v="GNR_BO_WOODWST_E-94"/>
    <x v="0"/>
    <x v="19"/>
    <n v="0.98936170212765995"/>
    <n v="361.11702127659601"/>
    <n v="1300.0212765957399"/>
  </r>
  <r>
    <x v="0"/>
    <x v="0"/>
    <x v="0"/>
    <x v="0"/>
    <x v="0"/>
    <s v="DK1_Rural"/>
    <x v="9"/>
    <s v="GNR_BO_WOODWST_E-94"/>
    <x v="0"/>
    <x v="20"/>
    <n v="0.98936170212765995"/>
    <n v="361.11702127659601"/>
    <n v="1300.0212765957399"/>
  </r>
  <r>
    <x v="0"/>
    <x v="0"/>
    <x v="0"/>
    <x v="0"/>
    <x v="0"/>
    <s v="DK1_Rural"/>
    <x v="9"/>
    <s v="GNR_BO_WOODWST_E-94"/>
    <x v="0"/>
    <x v="21"/>
    <n v="0.98936170212765995"/>
    <n v="361.11702127659601"/>
    <n v="1300.0212765957399"/>
  </r>
  <r>
    <x v="0"/>
    <x v="0"/>
    <x v="0"/>
    <x v="0"/>
    <x v="0"/>
    <s v="DK1_Rural"/>
    <x v="9"/>
    <s v="GNR_BO_WOODWST_E-94"/>
    <x v="0"/>
    <x v="22"/>
    <n v="0.98936170212765995"/>
    <n v="361.11702127659601"/>
    <n v="1300.0212765957399"/>
  </r>
  <r>
    <x v="0"/>
    <x v="0"/>
    <x v="0"/>
    <x v="0"/>
    <x v="0"/>
    <s v="DK1_Rural"/>
    <x v="9"/>
    <s v="GNR_BO_WOODWST_E-94"/>
    <x v="0"/>
    <x v="23"/>
    <n v="0.98936170212765995"/>
    <n v="361.11702127659601"/>
    <n v="1300.0212765957399"/>
  </r>
  <r>
    <x v="0"/>
    <x v="0"/>
    <x v="0"/>
    <x v="0"/>
    <x v="0"/>
    <s v="DK1_Small"/>
    <x v="1"/>
    <s v="GNR_BO_MSW_E-104"/>
    <x v="0"/>
    <x v="7"/>
    <n v="1.65046226960914"/>
    <n v="602.41872840733697"/>
    <n v="2168.70742226641"/>
  </r>
  <r>
    <x v="0"/>
    <x v="0"/>
    <x v="0"/>
    <x v="0"/>
    <x v="0"/>
    <s v="DK1_Small"/>
    <x v="1"/>
    <s v="GNR_BO_MSW_E-104"/>
    <x v="0"/>
    <x v="8"/>
    <n v="2.9165160763702702"/>
    <n v="1064.52836787515"/>
    <n v="3832.30212435053"/>
  </r>
  <r>
    <x v="0"/>
    <x v="0"/>
    <x v="0"/>
    <x v="0"/>
    <x v="0"/>
    <s v="DK1_Small"/>
    <x v="1"/>
    <s v="GNR_BO_MSW_E-104"/>
    <x v="0"/>
    <x v="9"/>
    <n v="3.5796871180070502"/>
    <n v="1306.58579807257"/>
    <n v="4703.7088730612604"/>
  </r>
  <r>
    <x v="0"/>
    <x v="0"/>
    <x v="0"/>
    <x v="0"/>
    <x v="0"/>
    <s v="DK1_Small"/>
    <x v="1"/>
    <s v="GNR_BO_MSW_E-104"/>
    <x v="0"/>
    <x v="10"/>
    <n v="3.3988222884697401"/>
    <n v="1240.57013529146"/>
    <n v="4466.05248704924"/>
  </r>
  <r>
    <x v="0"/>
    <x v="0"/>
    <x v="0"/>
    <x v="0"/>
    <x v="0"/>
    <s v="DK1_Small"/>
    <x v="1"/>
    <s v="GNR_BO_MSW_E-104"/>
    <x v="0"/>
    <x v="11"/>
    <n v="3.4289664267259599"/>
    <n v="1251.5727457549799"/>
    <n v="4505.6618847179097"/>
  </r>
  <r>
    <x v="0"/>
    <x v="0"/>
    <x v="0"/>
    <x v="0"/>
    <x v="0"/>
    <s v="DK1_Small"/>
    <x v="1"/>
    <s v="GNR_BO_MSW_E-104"/>
    <x v="0"/>
    <x v="12"/>
    <n v="3.0973809059075701"/>
    <n v="1130.54403065626"/>
    <n v="4069.95851036254"/>
  </r>
  <r>
    <x v="0"/>
    <x v="0"/>
    <x v="0"/>
    <x v="0"/>
    <x v="0"/>
    <s v="DK1_Small"/>
    <x v="1"/>
    <s v="GNR_BO_MSW_E-104"/>
    <x v="0"/>
    <x v="13"/>
    <n v="1.7710388226340099"/>
    <n v="646.42917026141504"/>
    <n v="2327.14501294109"/>
  </r>
  <r>
    <x v="0"/>
    <x v="0"/>
    <x v="0"/>
    <x v="0"/>
    <x v="0"/>
    <s v="DK1_Small"/>
    <x v="1"/>
    <s v="GNR_BO_MSW_E-104"/>
    <x v="0"/>
    <x v="14"/>
    <n v="2.1327684817086201"/>
    <n v="778.46049582364697"/>
    <n v="2802.45778496513"/>
  </r>
  <r>
    <x v="0"/>
    <x v="0"/>
    <x v="0"/>
    <x v="0"/>
    <x v="0"/>
    <s v="DK1_Small"/>
    <x v="1"/>
    <s v="GNR_BO_MSW_E-104"/>
    <x v="0"/>
    <x v="15"/>
    <n v="2.4944981407832199"/>
    <n v="910.49182138587696"/>
    <n v="3277.77055698916"/>
  </r>
  <r>
    <x v="0"/>
    <x v="0"/>
    <x v="0"/>
    <x v="0"/>
    <x v="0"/>
    <s v="DK1_Small"/>
    <x v="1"/>
    <s v="GNR_BO_MSW_E-104"/>
    <x v="0"/>
    <x v="16"/>
    <n v="3.18781332067622"/>
    <n v="1163.5518620468199"/>
    <n v="4188.7867033685498"/>
  </r>
  <r>
    <x v="0"/>
    <x v="0"/>
    <x v="0"/>
    <x v="0"/>
    <x v="0"/>
    <s v="DK1_Small"/>
    <x v="1"/>
    <s v="GNR_BO_MSW_E-104"/>
    <x v="0"/>
    <x v="17"/>
    <n v="3.0370926293951301"/>
    <n v="1108.53880972922"/>
    <n v="3990.7397150252"/>
  </r>
  <r>
    <x v="0"/>
    <x v="0"/>
    <x v="0"/>
    <x v="0"/>
    <x v="0"/>
    <s v="DK1_Small"/>
    <x v="1"/>
    <s v="GNR_BO_MSW_E-104"/>
    <x v="0"/>
    <x v="18"/>
    <n v="3.1576691824199998"/>
    <n v="1152.5492515833"/>
    <n v="4149.17730569989"/>
  </r>
  <r>
    <x v="0"/>
    <x v="0"/>
    <x v="0"/>
    <x v="0"/>
    <x v="0"/>
    <s v="DK1_Small"/>
    <x v="1"/>
    <s v="GNR_BO_MSW_E-104"/>
    <x v="0"/>
    <x v="19"/>
    <n v="3.0370926293951301"/>
    <n v="1108.53880972922"/>
    <n v="3990.7397150252"/>
  </r>
  <r>
    <x v="0"/>
    <x v="0"/>
    <x v="0"/>
    <x v="0"/>
    <x v="0"/>
    <s v="DK1_Small"/>
    <x v="1"/>
    <s v="GNR_BO_MSW_E-104"/>
    <x v="0"/>
    <x v="20"/>
    <n v="2.3739215877583599"/>
    <n v="866.48137953180105"/>
    <n v="3119.33296631448"/>
  </r>
  <r>
    <x v="0"/>
    <x v="0"/>
    <x v="0"/>
    <x v="0"/>
    <x v="0"/>
    <s v="DK1_Small"/>
    <x v="1"/>
    <s v="GNR_BO_MSW_E-105"/>
    <x v="0"/>
    <x v="0"/>
    <n v="23.643542871919401"/>
    <n v="8629.8931482505996"/>
    <n v="31067.615333702201"/>
  </r>
  <r>
    <x v="0"/>
    <x v="0"/>
    <x v="0"/>
    <x v="0"/>
    <x v="0"/>
    <s v="DK1_Small"/>
    <x v="1"/>
    <s v="GNR_BO_MSW_E-105"/>
    <x v="0"/>
    <x v="1"/>
    <n v="23.195687103541399"/>
    <n v="8466.4257927925992"/>
    <n v="30479.132854053401"/>
  </r>
  <r>
    <x v="0"/>
    <x v="0"/>
    <x v="0"/>
    <x v="0"/>
    <x v="0"/>
    <s v="DK1_Small"/>
    <x v="1"/>
    <s v="GNR_BO_MSW_E-105"/>
    <x v="0"/>
    <x v="2"/>
    <n v="22.867259540064101"/>
    <n v="8346.5497321233997"/>
    <n v="30047.579035644201"/>
  </r>
  <r>
    <x v="0"/>
    <x v="0"/>
    <x v="0"/>
    <x v="0"/>
    <x v="0"/>
    <s v="DK1_Small"/>
    <x v="1"/>
    <s v="GNR_BO_MSW_E-105"/>
    <x v="0"/>
    <x v="3"/>
    <n v="23.1061159498657"/>
    <n v="8433.7323217009998"/>
    <n v="30361.436358123599"/>
  </r>
  <r>
    <x v="0"/>
    <x v="0"/>
    <x v="0"/>
    <x v="0"/>
    <x v="0"/>
    <s v="DK1_Small"/>
    <x v="1"/>
    <s v="GNR_BO_MSW_E-105"/>
    <x v="0"/>
    <x v="4"/>
    <n v="24.270540947648801"/>
    <n v="8858.7474458918005"/>
    <n v="31891.490805210498"/>
  </r>
  <r>
    <x v="0"/>
    <x v="0"/>
    <x v="0"/>
    <x v="0"/>
    <x v="0"/>
    <s v="DK1_Small"/>
    <x v="1"/>
    <s v="GNR_BO_MSW_E-105"/>
    <x v="0"/>
    <x v="5"/>
    <n v="25.1363954331797"/>
    <n v="9174.7843331105996"/>
    <n v="33029.223599198202"/>
  </r>
  <r>
    <x v="0"/>
    <x v="0"/>
    <x v="0"/>
    <x v="0"/>
    <x v="0"/>
    <s v="DK1_Small"/>
    <x v="1"/>
    <s v="GNR_BO_MSW_E-105"/>
    <x v="0"/>
    <x v="6"/>
    <n v="30.600235807392401"/>
    <n v="11169.0860696982"/>
    <n v="40208.709850913598"/>
  </r>
  <r>
    <x v="0"/>
    <x v="0"/>
    <x v="0"/>
    <x v="0"/>
    <x v="0"/>
    <s v="DK1_Small"/>
    <x v="1"/>
    <s v="GNR_BO_MSW_E-105"/>
    <x v="0"/>
    <x v="7"/>
    <n v="34.190476190476197"/>
    <n v="12479.5238095238"/>
    <n v="44926.285714285703"/>
  </r>
  <r>
    <x v="0"/>
    <x v="0"/>
    <x v="0"/>
    <x v="0"/>
    <x v="0"/>
    <s v="DK1_Small"/>
    <x v="1"/>
    <s v="GNR_BO_MSW_E-105"/>
    <x v="0"/>
    <x v="8"/>
    <n v="34.190476190476197"/>
    <n v="12479.5238095238"/>
    <n v="44926.285714285703"/>
  </r>
  <r>
    <x v="0"/>
    <x v="0"/>
    <x v="0"/>
    <x v="0"/>
    <x v="0"/>
    <s v="DK1_Small"/>
    <x v="1"/>
    <s v="GNR_BO_MSW_E-105"/>
    <x v="0"/>
    <x v="9"/>
    <n v="34.190476190476197"/>
    <n v="12479.5238095238"/>
    <n v="44926.285714285703"/>
  </r>
  <r>
    <x v="0"/>
    <x v="0"/>
    <x v="0"/>
    <x v="0"/>
    <x v="0"/>
    <s v="DK1_Small"/>
    <x v="1"/>
    <s v="GNR_BO_MSW_E-105"/>
    <x v="0"/>
    <x v="10"/>
    <n v="34.190476190476197"/>
    <n v="12479.5238095238"/>
    <n v="44926.285714285703"/>
  </r>
  <r>
    <x v="0"/>
    <x v="0"/>
    <x v="0"/>
    <x v="0"/>
    <x v="0"/>
    <s v="DK1_Small"/>
    <x v="1"/>
    <s v="GNR_BO_MSW_E-105"/>
    <x v="0"/>
    <x v="11"/>
    <n v="34.190476190476197"/>
    <n v="12479.5238095238"/>
    <n v="44926.285714285703"/>
  </r>
  <r>
    <x v="0"/>
    <x v="0"/>
    <x v="0"/>
    <x v="0"/>
    <x v="0"/>
    <s v="DK1_Small"/>
    <x v="1"/>
    <s v="GNR_BO_MSW_E-105"/>
    <x v="0"/>
    <x v="12"/>
    <n v="34.190476190476197"/>
    <n v="12479.5238095238"/>
    <n v="44926.285714285703"/>
  </r>
  <r>
    <x v="0"/>
    <x v="0"/>
    <x v="0"/>
    <x v="0"/>
    <x v="0"/>
    <s v="DK1_Small"/>
    <x v="1"/>
    <s v="GNR_BO_MSW_E-105"/>
    <x v="0"/>
    <x v="13"/>
    <n v="34.190476190476197"/>
    <n v="12479.5238095238"/>
    <n v="44926.285714285703"/>
  </r>
  <r>
    <x v="0"/>
    <x v="0"/>
    <x v="0"/>
    <x v="0"/>
    <x v="0"/>
    <s v="DK1_Small"/>
    <x v="1"/>
    <s v="GNR_BO_MSW_E-105"/>
    <x v="0"/>
    <x v="14"/>
    <n v="34.190476190476197"/>
    <n v="12479.5238095238"/>
    <n v="44926.285714285703"/>
  </r>
  <r>
    <x v="0"/>
    <x v="0"/>
    <x v="0"/>
    <x v="0"/>
    <x v="0"/>
    <s v="DK1_Small"/>
    <x v="1"/>
    <s v="GNR_BO_MSW_E-105"/>
    <x v="0"/>
    <x v="15"/>
    <n v="34.190476190476197"/>
    <n v="12479.5238095238"/>
    <n v="44926.285714285703"/>
  </r>
  <r>
    <x v="0"/>
    <x v="0"/>
    <x v="0"/>
    <x v="0"/>
    <x v="0"/>
    <s v="DK1_Small"/>
    <x v="1"/>
    <s v="GNR_BO_MSW_E-105"/>
    <x v="0"/>
    <x v="16"/>
    <n v="34.190476190476197"/>
    <n v="12479.5238095238"/>
    <n v="44926.285714285703"/>
  </r>
  <r>
    <x v="0"/>
    <x v="0"/>
    <x v="0"/>
    <x v="0"/>
    <x v="0"/>
    <s v="DK1_Small"/>
    <x v="1"/>
    <s v="GNR_BO_MSW_E-105"/>
    <x v="0"/>
    <x v="17"/>
    <n v="34.190476190476197"/>
    <n v="12479.5238095238"/>
    <n v="44926.285714285703"/>
  </r>
  <r>
    <x v="0"/>
    <x v="0"/>
    <x v="0"/>
    <x v="0"/>
    <x v="0"/>
    <s v="DK1_Small"/>
    <x v="1"/>
    <s v="GNR_BO_MSW_E-105"/>
    <x v="0"/>
    <x v="18"/>
    <n v="34.190476190476197"/>
    <n v="12479.5238095238"/>
    <n v="44926.285714285703"/>
  </r>
  <r>
    <x v="0"/>
    <x v="0"/>
    <x v="0"/>
    <x v="0"/>
    <x v="0"/>
    <s v="DK1_Small"/>
    <x v="1"/>
    <s v="GNR_BO_MSW_E-105"/>
    <x v="0"/>
    <x v="19"/>
    <n v="34.190476190476197"/>
    <n v="12479.5238095238"/>
    <n v="44926.285714285703"/>
  </r>
  <r>
    <x v="0"/>
    <x v="0"/>
    <x v="0"/>
    <x v="0"/>
    <x v="0"/>
    <s v="DK1_Small"/>
    <x v="1"/>
    <s v="GNR_BO_MSW_E-105"/>
    <x v="0"/>
    <x v="20"/>
    <n v="34.190476190476197"/>
    <n v="12479.5238095238"/>
    <n v="44926.285714285703"/>
  </r>
  <r>
    <x v="0"/>
    <x v="0"/>
    <x v="0"/>
    <x v="0"/>
    <x v="0"/>
    <s v="DK1_Small"/>
    <x v="1"/>
    <s v="GNR_BO_MSW_E-105"/>
    <x v="0"/>
    <x v="21"/>
    <n v="32.540944137030699"/>
    <n v="11877.4446100162"/>
    <n v="42758.800596058398"/>
  </r>
  <r>
    <x v="0"/>
    <x v="0"/>
    <x v="0"/>
    <x v="0"/>
    <x v="0"/>
    <s v="DK1_Small"/>
    <x v="1"/>
    <s v="GNR_BO_MSW_E-105"/>
    <x v="0"/>
    <x v="22"/>
    <n v="32.242373624778701"/>
    <n v="11768.466373044201"/>
    <n v="42366.478942959198"/>
  </r>
  <r>
    <x v="0"/>
    <x v="0"/>
    <x v="0"/>
    <x v="0"/>
    <x v="0"/>
    <s v="DK1_Small"/>
    <x v="1"/>
    <s v="GNR_BO_MSW_E-105"/>
    <x v="0"/>
    <x v="23"/>
    <n v="31.495947344148501"/>
    <n v="11496.020780614201"/>
    <n v="41385.674810211203"/>
  </r>
  <r>
    <x v="0"/>
    <x v="0"/>
    <x v="0"/>
    <x v="0"/>
    <x v="0"/>
    <s v="DK1_Small"/>
    <x v="2"/>
    <s v="GNR_EH_HEAT"/>
    <x v="0"/>
    <x v="0"/>
    <n v="14"/>
    <n v="5110"/>
    <n v="18396"/>
  </r>
  <r>
    <x v="0"/>
    <x v="0"/>
    <x v="0"/>
    <x v="0"/>
    <x v="0"/>
    <s v="DK1_Small"/>
    <x v="2"/>
    <s v="GNR_EH_HEAT"/>
    <x v="0"/>
    <x v="1"/>
    <n v="14"/>
    <n v="5110"/>
    <n v="18396"/>
  </r>
  <r>
    <x v="0"/>
    <x v="0"/>
    <x v="0"/>
    <x v="0"/>
    <x v="0"/>
    <s v="DK1_Small"/>
    <x v="2"/>
    <s v="GNR_EH_HEAT"/>
    <x v="0"/>
    <x v="2"/>
    <n v="14"/>
    <n v="5110"/>
    <n v="18396"/>
  </r>
  <r>
    <x v="0"/>
    <x v="0"/>
    <x v="0"/>
    <x v="0"/>
    <x v="0"/>
    <s v="DK1_Small"/>
    <x v="2"/>
    <s v="GNR_EH_HEAT"/>
    <x v="0"/>
    <x v="3"/>
    <n v="14"/>
    <n v="5110"/>
    <n v="18396"/>
  </r>
  <r>
    <x v="0"/>
    <x v="0"/>
    <x v="0"/>
    <x v="0"/>
    <x v="0"/>
    <s v="DK1_Small"/>
    <x v="2"/>
    <s v="GNR_EH_HEAT"/>
    <x v="0"/>
    <x v="4"/>
    <n v="14"/>
    <n v="5110"/>
    <n v="18396"/>
  </r>
  <r>
    <x v="0"/>
    <x v="0"/>
    <x v="0"/>
    <x v="0"/>
    <x v="0"/>
    <s v="DK1_Small"/>
    <x v="2"/>
    <s v="GNR_EH_HEAT"/>
    <x v="0"/>
    <x v="5"/>
    <n v="14"/>
    <n v="5110"/>
    <n v="18396"/>
  </r>
  <r>
    <x v="0"/>
    <x v="0"/>
    <x v="0"/>
    <x v="0"/>
    <x v="0"/>
    <s v="DK1_Small"/>
    <x v="2"/>
    <s v="GNR_EH_HEAT"/>
    <x v="0"/>
    <x v="6"/>
    <n v="14"/>
    <n v="5110"/>
    <n v="18396"/>
  </r>
  <r>
    <x v="0"/>
    <x v="0"/>
    <x v="0"/>
    <x v="0"/>
    <x v="0"/>
    <s v="DK1_Small"/>
    <x v="2"/>
    <s v="GNR_EH_HEAT"/>
    <x v="0"/>
    <x v="7"/>
    <n v="14"/>
    <n v="5110"/>
    <n v="18396"/>
  </r>
  <r>
    <x v="0"/>
    <x v="0"/>
    <x v="0"/>
    <x v="0"/>
    <x v="0"/>
    <s v="DK1_Small"/>
    <x v="2"/>
    <s v="GNR_EH_HEAT"/>
    <x v="0"/>
    <x v="8"/>
    <n v="14"/>
    <n v="5110"/>
    <n v="18396"/>
  </r>
  <r>
    <x v="0"/>
    <x v="0"/>
    <x v="0"/>
    <x v="0"/>
    <x v="0"/>
    <s v="DK1_Small"/>
    <x v="2"/>
    <s v="GNR_EH_HEAT"/>
    <x v="0"/>
    <x v="9"/>
    <n v="14"/>
    <n v="5110"/>
    <n v="18396"/>
  </r>
  <r>
    <x v="0"/>
    <x v="0"/>
    <x v="0"/>
    <x v="0"/>
    <x v="0"/>
    <s v="DK1_Small"/>
    <x v="2"/>
    <s v="GNR_EH_HEAT"/>
    <x v="0"/>
    <x v="10"/>
    <n v="14"/>
    <n v="5110"/>
    <n v="18396"/>
  </r>
  <r>
    <x v="0"/>
    <x v="0"/>
    <x v="0"/>
    <x v="0"/>
    <x v="0"/>
    <s v="DK1_Small"/>
    <x v="2"/>
    <s v="GNR_EH_HEAT"/>
    <x v="0"/>
    <x v="11"/>
    <n v="14"/>
    <n v="5110"/>
    <n v="18396"/>
  </r>
  <r>
    <x v="0"/>
    <x v="0"/>
    <x v="0"/>
    <x v="0"/>
    <x v="0"/>
    <s v="DK1_Small"/>
    <x v="2"/>
    <s v="GNR_EH_HEAT"/>
    <x v="0"/>
    <x v="12"/>
    <n v="14"/>
    <n v="5110"/>
    <n v="18396"/>
  </r>
  <r>
    <x v="0"/>
    <x v="0"/>
    <x v="0"/>
    <x v="0"/>
    <x v="0"/>
    <s v="DK1_Small"/>
    <x v="2"/>
    <s v="GNR_EH_HEAT"/>
    <x v="0"/>
    <x v="13"/>
    <n v="14"/>
    <n v="5110"/>
    <n v="18396"/>
  </r>
  <r>
    <x v="0"/>
    <x v="0"/>
    <x v="0"/>
    <x v="0"/>
    <x v="0"/>
    <s v="DK1_Small"/>
    <x v="2"/>
    <s v="GNR_EH_HEAT"/>
    <x v="0"/>
    <x v="14"/>
    <n v="14"/>
    <n v="5110"/>
    <n v="18396"/>
  </r>
  <r>
    <x v="0"/>
    <x v="0"/>
    <x v="0"/>
    <x v="0"/>
    <x v="0"/>
    <s v="DK1_Small"/>
    <x v="2"/>
    <s v="GNR_EH_HEAT"/>
    <x v="0"/>
    <x v="15"/>
    <n v="14"/>
    <n v="5110"/>
    <n v="18396"/>
  </r>
  <r>
    <x v="0"/>
    <x v="0"/>
    <x v="0"/>
    <x v="0"/>
    <x v="0"/>
    <s v="DK1_Small"/>
    <x v="2"/>
    <s v="GNR_EH_HEAT"/>
    <x v="0"/>
    <x v="16"/>
    <n v="14"/>
    <n v="5110"/>
    <n v="18396"/>
  </r>
  <r>
    <x v="0"/>
    <x v="0"/>
    <x v="0"/>
    <x v="0"/>
    <x v="0"/>
    <s v="DK1_Small"/>
    <x v="2"/>
    <s v="GNR_EH_HEAT"/>
    <x v="0"/>
    <x v="17"/>
    <n v="14"/>
    <n v="5110"/>
    <n v="18396"/>
  </r>
  <r>
    <x v="0"/>
    <x v="0"/>
    <x v="0"/>
    <x v="0"/>
    <x v="0"/>
    <s v="DK1_Small"/>
    <x v="2"/>
    <s v="GNR_EH_HEAT"/>
    <x v="0"/>
    <x v="18"/>
    <n v="14"/>
    <n v="5110"/>
    <n v="18396"/>
  </r>
  <r>
    <x v="0"/>
    <x v="0"/>
    <x v="0"/>
    <x v="0"/>
    <x v="0"/>
    <s v="DK1_Small"/>
    <x v="2"/>
    <s v="GNR_EH_HEAT"/>
    <x v="0"/>
    <x v="19"/>
    <n v="14"/>
    <n v="5110"/>
    <n v="18396"/>
  </r>
  <r>
    <x v="0"/>
    <x v="0"/>
    <x v="0"/>
    <x v="0"/>
    <x v="0"/>
    <s v="DK1_Small"/>
    <x v="2"/>
    <s v="GNR_EH_HEAT"/>
    <x v="0"/>
    <x v="20"/>
    <n v="14"/>
    <n v="5110"/>
    <n v="18396"/>
  </r>
  <r>
    <x v="0"/>
    <x v="0"/>
    <x v="0"/>
    <x v="0"/>
    <x v="0"/>
    <s v="DK1_Small"/>
    <x v="2"/>
    <s v="GNR_EH_HEAT"/>
    <x v="0"/>
    <x v="21"/>
    <n v="14"/>
    <n v="5110"/>
    <n v="18396"/>
  </r>
  <r>
    <x v="0"/>
    <x v="0"/>
    <x v="0"/>
    <x v="0"/>
    <x v="0"/>
    <s v="DK1_Small"/>
    <x v="2"/>
    <s v="GNR_EH_HEAT"/>
    <x v="0"/>
    <x v="22"/>
    <n v="14"/>
    <n v="5110"/>
    <n v="18396"/>
  </r>
  <r>
    <x v="0"/>
    <x v="0"/>
    <x v="0"/>
    <x v="0"/>
    <x v="0"/>
    <s v="DK1_Small"/>
    <x v="2"/>
    <s v="GNR_EH_HEAT"/>
    <x v="0"/>
    <x v="23"/>
    <n v="14"/>
    <n v="5110"/>
    <n v="18396"/>
  </r>
  <r>
    <x v="0"/>
    <x v="0"/>
    <x v="0"/>
    <x v="0"/>
    <x v="0"/>
    <s v="DK1_Small"/>
    <x v="9"/>
    <s v="GNR_BO_WOODWST_E-100"/>
    <x v="0"/>
    <x v="0"/>
    <n v="1.75"/>
    <n v="638.75"/>
    <n v="2299.5"/>
  </r>
  <r>
    <x v="0"/>
    <x v="0"/>
    <x v="0"/>
    <x v="0"/>
    <x v="0"/>
    <s v="DK1_Small"/>
    <x v="9"/>
    <s v="GNR_BO_WOODWST_E-100"/>
    <x v="0"/>
    <x v="1"/>
    <n v="1.75"/>
    <n v="638.75"/>
    <n v="2299.5"/>
  </r>
  <r>
    <x v="0"/>
    <x v="0"/>
    <x v="0"/>
    <x v="0"/>
    <x v="0"/>
    <s v="DK1_Small"/>
    <x v="9"/>
    <s v="GNR_BO_WOODWST_E-100"/>
    <x v="0"/>
    <x v="2"/>
    <n v="1.75"/>
    <n v="638.75"/>
    <n v="2299.5"/>
  </r>
  <r>
    <x v="0"/>
    <x v="0"/>
    <x v="0"/>
    <x v="0"/>
    <x v="0"/>
    <s v="DK1_Small"/>
    <x v="9"/>
    <s v="GNR_BO_WOODWST_E-100"/>
    <x v="0"/>
    <x v="3"/>
    <n v="1.75"/>
    <n v="638.75"/>
    <n v="2299.5"/>
  </r>
  <r>
    <x v="0"/>
    <x v="0"/>
    <x v="0"/>
    <x v="0"/>
    <x v="0"/>
    <s v="DK1_Small"/>
    <x v="9"/>
    <s v="GNR_BO_WOODWST_E-100"/>
    <x v="0"/>
    <x v="4"/>
    <n v="1.75"/>
    <n v="638.75"/>
    <n v="2299.5"/>
  </r>
  <r>
    <x v="0"/>
    <x v="0"/>
    <x v="0"/>
    <x v="0"/>
    <x v="0"/>
    <s v="DK1_Small"/>
    <x v="9"/>
    <s v="GNR_BO_WOODWST_E-100"/>
    <x v="0"/>
    <x v="5"/>
    <n v="1.75"/>
    <n v="638.75"/>
    <n v="2299.5"/>
  </r>
  <r>
    <x v="0"/>
    <x v="0"/>
    <x v="0"/>
    <x v="0"/>
    <x v="0"/>
    <s v="DK1_Small"/>
    <x v="9"/>
    <s v="GNR_BO_WOODWST_E-100"/>
    <x v="0"/>
    <x v="6"/>
    <n v="1.75"/>
    <n v="638.75"/>
    <n v="2299.5"/>
  </r>
  <r>
    <x v="0"/>
    <x v="0"/>
    <x v="0"/>
    <x v="0"/>
    <x v="0"/>
    <s v="DK1_Small"/>
    <x v="9"/>
    <s v="GNR_BO_WOODWST_E-100"/>
    <x v="0"/>
    <x v="7"/>
    <n v="1.75"/>
    <n v="638.75"/>
    <n v="2299.5"/>
  </r>
  <r>
    <x v="0"/>
    <x v="0"/>
    <x v="0"/>
    <x v="0"/>
    <x v="0"/>
    <s v="DK1_Small"/>
    <x v="9"/>
    <s v="GNR_BO_WOODWST_E-100"/>
    <x v="0"/>
    <x v="8"/>
    <n v="1.75"/>
    <n v="638.75"/>
    <n v="2299.5"/>
  </r>
  <r>
    <x v="0"/>
    <x v="0"/>
    <x v="0"/>
    <x v="0"/>
    <x v="0"/>
    <s v="DK1_Small"/>
    <x v="9"/>
    <s v="GNR_BO_WOODWST_E-100"/>
    <x v="0"/>
    <x v="9"/>
    <n v="1.75"/>
    <n v="638.75"/>
    <n v="2299.5"/>
  </r>
  <r>
    <x v="0"/>
    <x v="0"/>
    <x v="0"/>
    <x v="0"/>
    <x v="0"/>
    <s v="DK1_Small"/>
    <x v="9"/>
    <s v="GNR_BO_WOODWST_E-100"/>
    <x v="0"/>
    <x v="10"/>
    <n v="1.75"/>
    <n v="638.75"/>
    <n v="2299.5"/>
  </r>
  <r>
    <x v="0"/>
    <x v="0"/>
    <x v="0"/>
    <x v="0"/>
    <x v="0"/>
    <s v="DK1_Small"/>
    <x v="9"/>
    <s v="GNR_BO_WOODWST_E-100"/>
    <x v="0"/>
    <x v="11"/>
    <n v="1.75"/>
    <n v="638.75"/>
    <n v="2299.5"/>
  </r>
  <r>
    <x v="0"/>
    <x v="0"/>
    <x v="0"/>
    <x v="0"/>
    <x v="0"/>
    <s v="DK1_Small"/>
    <x v="9"/>
    <s v="GNR_BO_WOODWST_E-100"/>
    <x v="0"/>
    <x v="12"/>
    <n v="1.75"/>
    <n v="638.75"/>
    <n v="2299.5"/>
  </r>
  <r>
    <x v="0"/>
    <x v="0"/>
    <x v="0"/>
    <x v="0"/>
    <x v="0"/>
    <s v="DK1_Small"/>
    <x v="9"/>
    <s v="GNR_BO_WOODWST_E-100"/>
    <x v="0"/>
    <x v="13"/>
    <n v="1.75"/>
    <n v="638.75"/>
    <n v="2299.5"/>
  </r>
  <r>
    <x v="0"/>
    <x v="0"/>
    <x v="0"/>
    <x v="0"/>
    <x v="0"/>
    <s v="DK1_Small"/>
    <x v="9"/>
    <s v="GNR_BO_WOODWST_E-100"/>
    <x v="0"/>
    <x v="14"/>
    <n v="1.75"/>
    <n v="638.75"/>
    <n v="2299.5"/>
  </r>
  <r>
    <x v="0"/>
    <x v="0"/>
    <x v="0"/>
    <x v="0"/>
    <x v="0"/>
    <s v="DK1_Small"/>
    <x v="9"/>
    <s v="GNR_BO_WOODWST_E-100"/>
    <x v="0"/>
    <x v="15"/>
    <n v="1.75"/>
    <n v="638.75"/>
    <n v="2299.5"/>
  </r>
  <r>
    <x v="0"/>
    <x v="0"/>
    <x v="0"/>
    <x v="0"/>
    <x v="0"/>
    <s v="DK1_Small"/>
    <x v="9"/>
    <s v="GNR_BO_WOODWST_E-100"/>
    <x v="0"/>
    <x v="16"/>
    <n v="1.75"/>
    <n v="638.75"/>
    <n v="2299.5"/>
  </r>
  <r>
    <x v="0"/>
    <x v="0"/>
    <x v="0"/>
    <x v="0"/>
    <x v="0"/>
    <s v="DK1_Small"/>
    <x v="9"/>
    <s v="GNR_BO_WOODWST_E-100"/>
    <x v="0"/>
    <x v="17"/>
    <n v="1.75"/>
    <n v="638.75"/>
    <n v="2299.5"/>
  </r>
  <r>
    <x v="0"/>
    <x v="0"/>
    <x v="0"/>
    <x v="0"/>
    <x v="0"/>
    <s v="DK1_Small"/>
    <x v="9"/>
    <s v="GNR_BO_WOODWST_E-100"/>
    <x v="0"/>
    <x v="18"/>
    <n v="1.75"/>
    <n v="638.75"/>
    <n v="2299.5"/>
  </r>
  <r>
    <x v="0"/>
    <x v="0"/>
    <x v="0"/>
    <x v="0"/>
    <x v="0"/>
    <s v="DK1_Small"/>
    <x v="9"/>
    <s v="GNR_BO_WOODWST_E-100"/>
    <x v="0"/>
    <x v="19"/>
    <n v="1.75"/>
    <n v="638.75"/>
    <n v="2299.5"/>
  </r>
  <r>
    <x v="0"/>
    <x v="0"/>
    <x v="0"/>
    <x v="0"/>
    <x v="0"/>
    <s v="DK1_Small"/>
    <x v="9"/>
    <s v="GNR_BO_WOODWST_E-100"/>
    <x v="0"/>
    <x v="20"/>
    <n v="1.75"/>
    <n v="638.75"/>
    <n v="2299.5"/>
  </r>
  <r>
    <x v="0"/>
    <x v="0"/>
    <x v="0"/>
    <x v="0"/>
    <x v="0"/>
    <s v="DK1_Small"/>
    <x v="9"/>
    <s v="GNR_BO_WOODWST_E-100"/>
    <x v="0"/>
    <x v="21"/>
    <n v="1.75"/>
    <n v="638.75"/>
    <n v="2299.5"/>
  </r>
  <r>
    <x v="0"/>
    <x v="0"/>
    <x v="0"/>
    <x v="0"/>
    <x v="0"/>
    <s v="DK1_Small"/>
    <x v="9"/>
    <s v="GNR_BO_WOODWST_E-100"/>
    <x v="0"/>
    <x v="22"/>
    <n v="1.75"/>
    <n v="638.75"/>
    <n v="2299.5"/>
  </r>
  <r>
    <x v="0"/>
    <x v="0"/>
    <x v="0"/>
    <x v="0"/>
    <x v="0"/>
    <s v="DK1_Small"/>
    <x v="9"/>
    <s v="GNR_BO_WOODWST_E-100"/>
    <x v="0"/>
    <x v="23"/>
    <n v="1.75"/>
    <n v="638.75"/>
    <n v="2299.5"/>
  </r>
  <r>
    <x v="0"/>
    <x v="0"/>
    <x v="0"/>
    <x v="0"/>
    <x v="0"/>
    <s v="DK1_Small"/>
    <x v="9"/>
    <s v="GNR_BO_WOODWST_E-89"/>
    <x v="0"/>
    <x v="0"/>
    <n v="1.99775280898876"/>
    <n v="729.17977528089898"/>
    <n v="2625.0471910112401"/>
  </r>
  <r>
    <x v="0"/>
    <x v="0"/>
    <x v="0"/>
    <x v="0"/>
    <x v="0"/>
    <s v="DK1_Small"/>
    <x v="9"/>
    <s v="GNR_BO_WOODWST_E-89"/>
    <x v="0"/>
    <x v="1"/>
    <n v="1.99775280898876"/>
    <n v="729.17977528089898"/>
    <n v="2625.0471910112401"/>
  </r>
  <r>
    <x v="0"/>
    <x v="0"/>
    <x v="0"/>
    <x v="0"/>
    <x v="0"/>
    <s v="DK1_Small"/>
    <x v="9"/>
    <s v="GNR_BO_WOODWST_E-89"/>
    <x v="0"/>
    <x v="2"/>
    <n v="1.99775280898876"/>
    <n v="729.17977528089898"/>
    <n v="2625.0471910112401"/>
  </r>
  <r>
    <x v="0"/>
    <x v="0"/>
    <x v="0"/>
    <x v="0"/>
    <x v="0"/>
    <s v="DK1_Small"/>
    <x v="9"/>
    <s v="GNR_BO_WOODWST_E-89"/>
    <x v="0"/>
    <x v="3"/>
    <n v="1.99775280898876"/>
    <n v="729.17977528089898"/>
    <n v="2625.0471910112401"/>
  </r>
  <r>
    <x v="0"/>
    <x v="0"/>
    <x v="0"/>
    <x v="0"/>
    <x v="0"/>
    <s v="DK1_Small"/>
    <x v="9"/>
    <s v="GNR_BO_WOODWST_E-89"/>
    <x v="0"/>
    <x v="4"/>
    <n v="1.99775280898876"/>
    <n v="729.17977528089898"/>
    <n v="2625.0471910112401"/>
  </r>
  <r>
    <x v="0"/>
    <x v="0"/>
    <x v="0"/>
    <x v="0"/>
    <x v="0"/>
    <s v="DK1_Small"/>
    <x v="9"/>
    <s v="GNR_BO_WOODWST_E-89"/>
    <x v="0"/>
    <x v="5"/>
    <n v="1.99775280898876"/>
    <n v="729.17977528089898"/>
    <n v="2625.0471910112401"/>
  </r>
  <r>
    <x v="0"/>
    <x v="0"/>
    <x v="0"/>
    <x v="0"/>
    <x v="0"/>
    <s v="DK1_Small"/>
    <x v="9"/>
    <s v="GNR_BO_WOODWST_E-89"/>
    <x v="0"/>
    <x v="6"/>
    <n v="1.99775280898876"/>
    <n v="729.17977528089898"/>
    <n v="2625.0471910112401"/>
  </r>
  <r>
    <x v="0"/>
    <x v="0"/>
    <x v="0"/>
    <x v="0"/>
    <x v="0"/>
    <s v="DK1_Small"/>
    <x v="9"/>
    <s v="GNR_BO_WOODWST_E-89"/>
    <x v="0"/>
    <x v="7"/>
    <n v="1.99775280898876"/>
    <n v="729.17977528089898"/>
    <n v="2625.0471910112401"/>
  </r>
  <r>
    <x v="0"/>
    <x v="0"/>
    <x v="0"/>
    <x v="0"/>
    <x v="0"/>
    <s v="DK1_Small"/>
    <x v="9"/>
    <s v="GNR_BO_WOODWST_E-89"/>
    <x v="0"/>
    <x v="8"/>
    <n v="1.99775280898876"/>
    <n v="729.17977528089898"/>
    <n v="2625.0471910112401"/>
  </r>
  <r>
    <x v="0"/>
    <x v="0"/>
    <x v="0"/>
    <x v="0"/>
    <x v="0"/>
    <s v="DK1_Small"/>
    <x v="9"/>
    <s v="GNR_BO_WOODWST_E-89"/>
    <x v="0"/>
    <x v="9"/>
    <n v="1.99775280898876"/>
    <n v="729.17977528089898"/>
    <n v="2625.0471910112401"/>
  </r>
  <r>
    <x v="0"/>
    <x v="0"/>
    <x v="0"/>
    <x v="0"/>
    <x v="0"/>
    <s v="DK1_Small"/>
    <x v="9"/>
    <s v="GNR_BO_WOODWST_E-89"/>
    <x v="0"/>
    <x v="10"/>
    <n v="1.99775280898876"/>
    <n v="729.17977528089898"/>
    <n v="2625.0471910112401"/>
  </r>
  <r>
    <x v="0"/>
    <x v="0"/>
    <x v="0"/>
    <x v="0"/>
    <x v="0"/>
    <s v="DK1_Small"/>
    <x v="9"/>
    <s v="GNR_BO_WOODWST_E-89"/>
    <x v="0"/>
    <x v="11"/>
    <n v="1.99775280898876"/>
    <n v="729.17977528089898"/>
    <n v="2625.0471910112401"/>
  </r>
  <r>
    <x v="0"/>
    <x v="0"/>
    <x v="0"/>
    <x v="0"/>
    <x v="0"/>
    <s v="DK1_Small"/>
    <x v="9"/>
    <s v="GNR_BO_WOODWST_E-89"/>
    <x v="0"/>
    <x v="12"/>
    <n v="1.99775280898876"/>
    <n v="729.17977528089898"/>
    <n v="2625.0471910112401"/>
  </r>
  <r>
    <x v="0"/>
    <x v="0"/>
    <x v="0"/>
    <x v="0"/>
    <x v="0"/>
    <s v="DK1_Small"/>
    <x v="9"/>
    <s v="GNR_BO_WOODWST_E-89"/>
    <x v="0"/>
    <x v="13"/>
    <n v="1.99775280898876"/>
    <n v="729.17977528089898"/>
    <n v="2625.0471910112401"/>
  </r>
  <r>
    <x v="0"/>
    <x v="0"/>
    <x v="0"/>
    <x v="0"/>
    <x v="0"/>
    <s v="DK1_Small"/>
    <x v="9"/>
    <s v="GNR_BO_WOODWST_E-89"/>
    <x v="0"/>
    <x v="14"/>
    <n v="1.99775280898876"/>
    <n v="729.17977528089898"/>
    <n v="2625.0471910112401"/>
  </r>
  <r>
    <x v="0"/>
    <x v="0"/>
    <x v="0"/>
    <x v="0"/>
    <x v="0"/>
    <s v="DK1_Small"/>
    <x v="9"/>
    <s v="GNR_BO_WOODWST_E-89"/>
    <x v="0"/>
    <x v="15"/>
    <n v="1.99775280898876"/>
    <n v="729.17977528089898"/>
    <n v="2625.0471910112401"/>
  </r>
  <r>
    <x v="0"/>
    <x v="0"/>
    <x v="0"/>
    <x v="0"/>
    <x v="0"/>
    <s v="DK1_Small"/>
    <x v="9"/>
    <s v="GNR_BO_WOODWST_E-89"/>
    <x v="0"/>
    <x v="16"/>
    <n v="1.99775280898876"/>
    <n v="729.17977528089898"/>
    <n v="2625.0471910112401"/>
  </r>
  <r>
    <x v="0"/>
    <x v="0"/>
    <x v="0"/>
    <x v="0"/>
    <x v="0"/>
    <s v="DK1_Small"/>
    <x v="9"/>
    <s v="GNR_BO_WOODWST_E-89"/>
    <x v="0"/>
    <x v="17"/>
    <n v="1.99775280898876"/>
    <n v="729.17977528089898"/>
    <n v="2625.0471910112401"/>
  </r>
  <r>
    <x v="0"/>
    <x v="0"/>
    <x v="0"/>
    <x v="0"/>
    <x v="0"/>
    <s v="DK1_Small"/>
    <x v="9"/>
    <s v="GNR_BO_WOODWST_E-89"/>
    <x v="0"/>
    <x v="18"/>
    <n v="1.99775280898876"/>
    <n v="729.17977528089898"/>
    <n v="2625.0471910112401"/>
  </r>
  <r>
    <x v="0"/>
    <x v="0"/>
    <x v="0"/>
    <x v="0"/>
    <x v="0"/>
    <s v="DK1_Small"/>
    <x v="9"/>
    <s v="GNR_BO_WOODWST_E-89"/>
    <x v="0"/>
    <x v="19"/>
    <n v="1.99775280898876"/>
    <n v="729.17977528089898"/>
    <n v="2625.0471910112401"/>
  </r>
  <r>
    <x v="0"/>
    <x v="0"/>
    <x v="0"/>
    <x v="0"/>
    <x v="0"/>
    <s v="DK1_Small"/>
    <x v="9"/>
    <s v="GNR_BO_WOODWST_E-89"/>
    <x v="0"/>
    <x v="20"/>
    <n v="1.99775280898876"/>
    <n v="729.17977528089898"/>
    <n v="2625.0471910112401"/>
  </r>
  <r>
    <x v="0"/>
    <x v="0"/>
    <x v="0"/>
    <x v="0"/>
    <x v="0"/>
    <s v="DK1_Small"/>
    <x v="9"/>
    <s v="GNR_BO_WOODWST_E-89"/>
    <x v="0"/>
    <x v="21"/>
    <n v="1.99775280898876"/>
    <n v="729.17977528089898"/>
    <n v="2625.0471910112401"/>
  </r>
  <r>
    <x v="0"/>
    <x v="0"/>
    <x v="0"/>
    <x v="0"/>
    <x v="0"/>
    <s v="DK1_Small"/>
    <x v="9"/>
    <s v="GNR_BO_WOODWST_E-89"/>
    <x v="0"/>
    <x v="22"/>
    <n v="1.99775280898876"/>
    <n v="729.17977528089898"/>
    <n v="2625.0471910112401"/>
  </r>
  <r>
    <x v="0"/>
    <x v="0"/>
    <x v="0"/>
    <x v="0"/>
    <x v="0"/>
    <s v="DK1_Small"/>
    <x v="9"/>
    <s v="GNR_BO_WOODWST_E-89"/>
    <x v="0"/>
    <x v="23"/>
    <n v="1.99775280898876"/>
    <n v="729.17977528089898"/>
    <n v="2625.0471910112401"/>
  </r>
  <r>
    <x v="0"/>
    <x v="0"/>
    <x v="0"/>
    <x v="0"/>
    <x v="0"/>
    <s v="DK2_Rural"/>
    <x v="0"/>
    <s v="GNR_ST_COAL_BP_E-35"/>
    <x v="0"/>
    <x v="0"/>
    <n v="105.71428571428601"/>
    <n v="38585.714285714297"/>
    <n v="138908.57142857101"/>
  </r>
  <r>
    <x v="0"/>
    <x v="0"/>
    <x v="0"/>
    <x v="0"/>
    <x v="0"/>
    <s v="DK2_Rural"/>
    <x v="0"/>
    <s v="GNR_ST_COAL_BP_E-35"/>
    <x v="0"/>
    <x v="1"/>
    <n v="105.71428571428601"/>
    <n v="38585.714285714297"/>
    <n v="138908.57142857101"/>
  </r>
  <r>
    <x v="0"/>
    <x v="0"/>
    <x v="0"/>
    <x v="0"/>
    <x v="0"/>
    <s v="DK2_Rural"/>
    <x v="0"/>
    <s v="GNR_ST_COAL_BP_E-35"/>
    <x v="0"/>
    <x v="2"/>
    <n v="105.71428571428601"/>
    <n v="38585.714285714297"/>
    <n v="138908.57142857101"/>
  </r>
  <r>
    <x v="0"/>
    <x v="0"/>
    <x v="0"/>
    <x v="0"/>
    <x v="0"/>
    <s v="DK2_Rural"/>
    <x v="0"/>
    <s v="GNR_ST_COAL_BP_E-35"/>
    <x v="0"/>
    <x v="3"/>
    <n v="105.71428571428601"/>
    <n v="38585.714285714297"/>
    <n v="138908.57142857101"/>
  </r>
  <r>
    <x v="0"/>
    <x v="0"/>
    <x v="0"/>
    <x v="0"/>
    <x v="0"/>
    <s v="DK2_Rural"/>
    <x v="0"/>
    <s v="GNR_ST_COAL_BP_E-35"/>
    <x v="0"/>
    <x v="4"/>
    <n v="105.71428571428601"/>
    <n v="38585.714285714297"/>
    <n v="138908.57142857101"/>
  </r>
  <r>
    <x v="0"/>
    <x v="0"/>
    <x v="0"/>
    <x v="0"/>
    <x v="0"/>
    <s v="DK2_Rural"/>
    <x v="0"/>
    <s v="GNR_ST_COAL_BP_E-35"/>
    <x v="0"/>
    <x v="5"/>
    <n v="105.71428571428601"/>
    <n v="38585.714285714297"/>
    <n v="138908.57142857101"/>
  </r>
  <r>
    <x v="0"/>
    <x v="0"/>
    <x v="0"/>
    <x v="0"/>
    <x v="0"/>
    <s v="DK2_Rural"/>
    <x v="0"/>
    <s v="GNR_ST_COAL_BP_E-35"/>
    <x v="0"/>
    <x v="6"/>
    <n v="105.71428571428601"/>
    <n v="38585.714285714297"/>
    <n v="138908.57142857101"/>
  </r>
  <r>
    <x v="0"/>
    <x v="0"/>
    <x v="0"/>
    <x v="0"/>
    <x v="0"/>
    <s v="DK2_Rural"/>
    <x v="0"/>
    <s v="GNR_ST_COAL_BP_E-35"/>
    <x v="0"/>
    <x v="7"/>
    <n v="105.71428571428601"/>
    <n v="38585.714285714297"/>
    <n v="138908.57142857101"/>
  </r>
  <r>
    <x v="0"/>
    <x v="0"/>
    <x v="0"/>
    <x v="0"/>
    <x v="0"/>
    <s v="DK2_Rural"/>
    <x v="0"/>
    <s v="GNR_ST_COAL_BP_E-35"/>
    <x v="0"/>
    <x v="8"/>
    <n v="105.71428571428601"/>
    <n v="38585.714285714297"/>
    <n v="138908.57142857101"/>
  </r>
  <r>
    <x v="0"/>
    <x v="0"/>
    <x v="0"/>
    <x v="0"/>
    <x v="0"/>
    <s v="DK2_Rural"/>
    <x v="0"/>
    <s v="GNR_ST_COAL_BP_E-35"/>
    <x v="0"/>
    <x v="9"/>
    <n v="105.71428571428601"/>
    <n v="38585.714285714297"/>
    <n v="138908.57142857101"/>
  </r>
  <r>
    <x v="0"/>
    <x v="0"/>
    <x v="0"/>
    <x v="0"/>
    <x v="0"/>
    <s v="DK2_Rural"/>
    <x v="0"/>
    <s v="GNR_ST_COAL_BP_E-35"/>
    <x v="0"/>
    <x v="10"/>
    <n v="105.71428571428601"/>
    <n v="38585.714285714297"/>
    <n v="138908.57142857101"/>
  </r>
  <r>
    <x v="0"/>
    <x v="0"/>
    <x v="0"/>
    <x v="0"/>
    <x v="0"/>
    <s v="DK2_Rural"/>
    <x v="0"/>
    <s v="GNR_ST_COAL_BP_E-35"/>
    <x v="0"/>
    <x v="11"/>
    <n v="105.71428571428601"/>
    <n v="38585.714285714297"/>
    <n v="138908.57142857101"/>
  </r>
  <r>
    <x v="0"/>
    <x v="0"/>
    <x v="0"/>
    <x v="0"/>
    <x v="0"/>
    <s v="DK2_Rural"/>
    <x v="0"/>
    <s v="GNR_ST_COAL_BP_E-35"/>
    <x v="0"/>
    <x v="12"/>
    <n v="105.71428571428601"/>
    <n v="38585.714285714297"/>
    <n v="138908.57142857101"/>
  </r>
  <r>
    <x v="0"/>
    <x v="0"/>
    <x v="0"/>
    <x v="0"/>
    <x v="0"/>
    <s v="DK2_Rural"/>
    <x v="0"/>
    <s v="GNR_ST_COAL_BP_E-35"/>
    <x v="0"/>
    <x v="13"/>
    <n v="105.71428571428601"/>
    <n v="38585.714285714297"/>
    <n v="138908.57142857101"/>
  </r>
  <r>
    <x v="0"/>
    <x v="0"/>
    <x v="0"/>
    <x v="0"/>
    <x v="0"/>
    <s v="DK2_Rural"/>
    <x v="0"/>
    <s v="GNR_ST_COAL_BP_E-35"/>
    <x v="0"/>
    <x v="14"/>
    <n v="105.71428571428601"/>
    <n v="38585.714285714297"/>
    <n v="138908.57142857101"/>
  </r>
  <r>
    <x v="0"/>
    <x v="0"/>
    <x v="0"/>
    <x v="0"/>
    <x v="0"/>
    <s v="DK2_Rural"/>
    <x v="0"/>
    <s v="GNR_ST_COAL_BP_E-35"/>
    <x v="0"/>
    <x v="15"/>
    <n v="105.71428571428601"/>
    <n v="38585.714285714297"/>
    <n v="138908.57142857101"/>
  </r>
  <r>
    <x v="0"/>
    <x v="0"/>
    <x v="0"/>
    <x v="0"/>
    <x v="0"/>
    <s v="DK2_Rural"/>
    <x v="0"/>
    <s v="GNR_ST_COAL_BP_E-35"/>
    <x v="0"/>
    <x v="16"/>
    <n v="105.71428571428601"/>
    <n v="38585.714285714297"/>
    <n v="138908.57142857101"/>
  </r>
  <r>
    <x v="0"/>
    <x v="0"/>
    <x v="0"/>
    <x v="0"/>
    <x v="0"/>
    <s v="DK2_Rural"/>
    <x v="0"/>
    <s v="GNR_ST_COAL_BP_E-35"/>
    <x v="0"/>
    <x v="17"/>
    <n v="105.71428571428601"/>
    <n v="38585.714285714297"/>
    <n v="138908.57142857101"/>
  </r>
  <r>
    <x v="0"/>
    <x v="0"/>
    <x v="0"/>
    <x v="0"/>
    <x v="0"/>
    <s v="DK2_Rural"/>
    <x v="0"/>
    <s v="GNR_ST_COAL_BP_E-35"/>
    <x v="0"/>
    <x v="18"/>
    <n v="105.71428571428601"/>
    <n v="38585.714285714297"/>
    <n v="138908.57142857101"/>
  </r>
  <r>
    <x v="0"/>
    <x v="0"/>
    <x v="0"/>
    <x v="0"/>
    <x v="0"/>
    <s v="DK2_Rural"/>
    <x v="0"/>
    <s v="GNR_ST_COAL_BP_E-35"/>
    <x v="0"/>
    <x v="19"/>
    <n v="105.71428571428601"/>
    <n v="38585.714285714297"/>
    <n v="138908.57142857101"/>
  </r>
  <r>
    <x v="0"/>
    <x v="0"/>
    <x v="0"/>
    <x v="0"/>
    <x v="0"/>
    <s v="DK2_Rural"/>
    <x v="0"/>
    <s v="GNR_ST_COAL_BP_E-35"/>
    <x v="0"/>
    <x v="20"/>
    <n v="105.71428571428601"/>
    <n v="38585.714285714297"/>
    <n v="138908.57142857101"/>
  </r>
  <r>
    <x v="0"/>
    <x v="0"/>
    <x v="0"/>
    <x v="0"/>
    <x v="0"/>
    <s v="DK2_Rural"/>
    <x v="0"/>
    <s v="GNR_ST_COAL_BP_E-35"/>
    <x v="0"/>
    <x v="21"/>
    <n v="105.71428571428601"/>
    <n v="38585.714285714297"/>
    <n v="138908.57142857101"/>
  </r>
  <r>
    <x v="0"/>
    <x v="0"/>
    <x v="0"/>
    <x v="0"/>
    <x v="0"/>
    <s v="DK2_Rural"/>
    <x v="0"/>
    <s v="GNR_ST_COAL_BP_E-35"/>
    <x v="0"/>
    <x v="22"/>
    <n v="105.71428571428601"/>
    <n v="38585.714285714297"/>
    <n v="138908.57142857101"/>
  </r>
  <r>
    <x v="0"/>
    <x v="0"/>
    <x v="0"/>
    <x v="0"/>
    <x v="0"/>
    <s v="DK2_Rural"/>
    <x v="0"/>
    <s v="GNR_ST_COAL_BP_E-35"/>
    <x v="0"/>
    <x v="23"/>
    <n v="105.71428571428601"/>
    <n v="38585.714285714297"/>
    <n v="138908.57142857101"/>
  </r>
  <r>
    <x v="0"/>
    <x v="0"/>
    <x v="0"/>
    <x v="0"/>
    <x v="0"/>
    <s v="DK2_Rural"/>
    <x v="1"/>
    <s v="GNR_BO_MSW_E-105"/>
    <x v="0"/>
    <x v="0"/>
    <n v="6.6666666666666696"/>
    <n v="2433.3333333333298"/>
    <n v="8760"/>
  </r>
  <r>
    <x v="0"/>
    <x v="0"/>
    <x v="0"/>
    <x v="0"/>
    <x v="0"/>
    <s v="DK2_Rural"/>
    <x v="1"/>
    <s v="GNR_BO_MSW_E-105"/>
    <x v="0"/>
    <x v="1"/>
    <n v="6.6666666666666696"/>
    <n v="2433.3333333333298"/>
    <n v="8760"/>
  </r>
  <r>
    <x v="0"/>
    <x v="0"/>
    <x v="0"/>
    <x v="0"/>
    <x v="0"/>
    <s v="DK2_Rural"/>
    <x v="1"/>
    <s v="GNR_BO_MSW_E-105"/>
    <x v="0"/>
    <x v="2"/>
    <n v="6.6666666666666696"/>
    <n v="2433.3333333333298"/>
    <n v="8760"/>
  </r>
  <r>
    <x v="0"/>
    <x v="0"/>
    <x v="0"/>
    <x v="0"/>
    <x v="0"/>
    <s v="DK2_Rural"/>
    <x v="1"/>
    <s v="GNR_BO_MSW_E-105"/>
    <x v="0"/>
    <x v="3"/>
    <n v="6.6666666666666696"/>
    <n v="2433.3333333333298"/>
    <n v="8760"/>
  </r>
  <r>
    <x v="0"/>
    <x v="0"/>
    <x v="0"/>
    <x v="0"/>
    <x v="0"/>
    <s v="DK2_Rural"/>
    <x v="1"/>
    <s v="GNR_BO_MSW_E-105"/>
    <x v="0"/>
    <x v="4"/>
    <n v="6.6666666666666696"/>
    <n v="2433.3333333333298"/>
    <n v="8760"/>
  </r>
  <r>
    <x v="0"/>
    <x v="0"/>
    <x v="0"/>
    <x v="0"/>
    <x v="0"/>
    <s v="DK2_Rural"/>
    <x v="1"/>
    <s v="GNR_BO_MSW_E-105"/>
    <x v="0"/>
    <x v="5"/>
    <n v="6.6666666666666696"/>
    <n v="2433.3333333333298"/>
    <n v="8760"/>
  </r>
  <r>
    <x v="0"/>
    <x v="0"/>
    <x v="0"/>
    <x v="0"/>
    <x v="0"/>
    <s v="DK2_Rural"/>
    <x v="1"/>
    <s v="GNR_BO_MSW_E-105"/>
    <x v="0"/>
    <x v="6"/>
    <n v="6.6666666666666696"/>
    <n v="2433.3333333333298"/>
    <n v="8760"/>
  </r>
  <r>
    <x v="0"/>
    <x v="0"/>
    <x v="0"/>
    <x v="0"/>
    <x v="0"/>
    <s v="DK2_Rural"/>
    <x v="1"/>
    <s v="GNR_BO_MSW_E-105"/>
    <x v="0"/>
    <x v="7"/>
    <n v="6.6666666666666696"/>
    <n v="2433.3333333333298"/>
    <n v="8760"/>
  </r>
  <r>
    <x v="0"/>
    <x v="0"/>
    <x v="0"/>
    <x v="0"/>
    <x v="0"/>
    <s v="DK2_Rural"/>
    <x v="1"/>
    <s v="GNR_BO_MSW_E-105"/>
    <x v="0"/>
    <x v="8"/>
    <n v="6.6666666666666696"/>
    <n v="2433.3333333333298"/>
    <n v="8760"/>
  </r>
  <r>
    <x v="0"/>
    <x v="0"/>
    <x v="0"/>
    <x v="0"/>
    <x v="0"/>
    <s v="DK2_Rural"/>
    <x v="1"/>
    <s v="GNR_BO_MSW_E-105"/>
    <x v="0"/>
    <x v="9"/>
    <n v="6.6666666666666696"/>
    <n v="2433.3333333333298"/>
    <n v="8760"/>
  </r>
  <r>
    <x v="0"/>
    <x v="0"/>
    <x v="0"/>
    <x v="0"/>
    <x v="0"/>
    <s v="DK2_Rural"/>
    <x v="1"/>
    <s v="GNR_BO_MSW_E-105"/>
    <x v="0"/>
    <x v="10"/>
    <n v="6.6666666666666696"/>
    <n v="2433.3333333333298"/>
    <n v="8760"/>
  </r>
  <r>
    <x v="0"/>
    <x v="0"/>
    <x v="0"/>
    <x v="0"/>
    <x v="0"/>
    <s v="DK2_Rural"/>
    <x v="1"/>
    <s v="GNR_BO_MSW_E-105"/>
    <x v="0"/>
    <x v="11"/>
    <n v="6.6666666666666696"/>
    <n v="2433.3333333333298"/>
    <n v="8760"/>
  </r>
  <r>
    <x v="0"/>
    <x v="0"/>
    <x v="0"/>
    <x v="0"/>
    <x v="0"/>
    <s v="DK2_Rural"/>
    <x v="1"/>
    <s v="GNR_BO_MSW_E-105"/>
    <x v="0"/>
    <x v="12"/>
    <n v="6.6666666666666696"/>
    <n v="2433.3333333333298"/>
    <n v="8760"/>
  </r>
  <r>
    <x v="0"/>
    <x v="0"/>
    <x v="0"/>
    <x v="0"/>
    <x v="0"/>
    <s v="DK2_Rural"/>
    <x v="1"/>
    <s v="GNR_BO_MSW_E-105"/>
    <x v="0"/>
    <x v="13"/>
    <n v="6.6666666666666696"/>
    <n v="2433.3333333333298"/>
    <n v="8760"/>
  </r>
  <r>
    <x v="0"/>
    <x v="0"/>
    <x v="0"/>
    <x v="0"/>
    <x v="0"/>
    <s v="DK2_Rural"/>
    <x v="1"/>
    <s v="GNR_BO_MSW_E-105"/>
    <x v="0"/>
    <x v="14"/>
    <n v="6.6666666666666696"/>
    <n v="2433.3333333333298"/>
    <n v="8760"/>
  </r>
  <r>
    <x v="0"/>
    <x v="0"/>
    <x v="0"/>
    <x v="0"/>
    <x v="0"/>
    <s v="DK2_Rural"/>
    <x v="1"/>
    <s v="GNR_BO_MSW_E-105"/>
    <x v="0"/>
    <x v="15"/>
    <n v="6.6666666666666696"/>
    <n v="2433.3333333333298"/>
    <n v="8760"/>
  </r>
  <r>
    <x v="0"/>
    <x v="0"/>
    <x v="0"/>
    <x v="0"/>
    <x v="0"/>
    <s v="DK2_Rural"/>
    <x v="1"/>
    <s v="GNR_BO_MSW_E-105"/>
    <x v="0"/>
    <x v="16"/>
    <n v="6.6666666666666696"/>
    <n v="2433.3333333333298"/>
    <n v="8760"/>
  </r>
  <r>
    <x v="0"/>
    <x v="0"/>
    <x v="0"/>
    <x v="0"/>
    <x v="0"/>
    <s v="DK2_Rural"/>
    <x v="1"/>
    <s v="GNR_BO_MSW_E-105"/>
    <x v="0"/>
    <x v="17"/>
    <n v="6.6666666666666696"/>
    <n v="2433.3333333333298"/>
    <n v="8760"/>
  </r>
  <r>
    <x v="0"/>
    <x v="0"/>
    <x v="0"/>
    <x v="0"/>
    <x v="0"/>
    <s v="DK2_Rural"/>
    <x v="1"/>
    <s v="GNR_BO_MSW_E-105"/>
    <x v="0"/>
    <x v="18"/>
    <n v="6.6666666666666696"/>
    <n v="2433.3333333333298"/>
    <n v="8760"/>
  </r>
  <r>
    <x v="0"/>
    <x v="0"/>
    <x v="0"/>
    <x v="0"/>
    <x v="0"/>
    <s v="DK2_Rural"/>
    <x v="1"/>
    <s v="GNR_BO_MSW_E-105"/>
    <x v="0"/>
    <x v="19"/>
    <n v="6.6666666666666696"/>
    <n v="2433.3333333333298"/>
    <n v="8760"/>
  </r>
  <r>
    <x v="0"/>
    <x v="0"/>
    <x v="0"/>
    <x v="0"/>
    <x v="0"/>
    <s v="DK2_Rural"/>
    <x v="1"/>
    <s v="GNR_BO_MSW_E-105"/>
    <x v="0"/>
    <x v="20"/>
    <n v="6.6666666666666696"/>
    <n v="2433.3333333333298"/>
    <n v="8760"/>
  </r>
  <r>
    <x v="0"/>
    <x v="0"/>
    <x v="0"/>
    <x v="0"/>
    <x v="0"/>
    <s v="DK2_Rural"/>
    <x v="1"/>
    <s v="GNR_BO_MSW_E-105"/>
    <x v="0"/>
    <x v="21"/>
    <n v="6.6666666666666696"/>
    <n v="2433.3333333333298"/>
    <n v="8760"/>
  </r>
  <r>
    <x v="0"/>
    <x v="0"/>
    <x v="0"/>
    <x v="0"/>
    <x v="0"/>
    <s v="DK2_Rural"/>
    <x v="1"/>
    <s v="GNR_BO_MSW_E-105"/>
    <x v="0"/>
    <x v="22"/>
    <n v="6.6666666666666696"/>
    <n v="2433.3333333333298"/>
    <n v="8760"/>
  </r>
  <r>
    <x v="0"/>
    <x v="0"/>
    <x v="0"/>
    <x v="0"/>
    <x v="0"/>
    <s v="DK2_Rural"/>
    <x v="1"/>
    <s v="GNR_BO_MSW_E-105"/>
    <x v="0"/>
    <x v="23"/>
    <n v="6.6666666666666696"/>
    <n v="2433.3333333333298"/>
    <n v="8760"/>
  </r>
  <r>
    <x v="0"/>
    <x v="0"/>
    <x v="0"/>
    <x v="0"/>
    <x v="0"/>
    <s v="DK2_Rural"/>
    <x v="3"/>
    <s v="GNR_ENG_NGAS_BP_E-43"/>
    <x v="0"/>
    <x v="18"/>
    <n v="5.7604651162790699"/>
    <n v="2102.5697674418602"/>
    <n v="7569.2511627906997"/>
  </r>
  <r>
    <x v="0"/>
    <x v="0"/>
    <x v="0"/>
    <x v="0"/>
    <x v="0"/>
    <s v="DK2_Rural"/>
    <x v="3"/>
    <s v="GNR_ENG_NGAS_BP_E-43"/>
    <x v="0"/>
    <x v="19"/>
    <n v="5.7604651162790699"/>
    <n v="2102.5697674418602"/>
    <n v="7569.2511627906997"/>
  </r>
  <r>
    <x v="0"/>
    <x v="0"/>
    <x v="0"/>
    <x v="0"/>
    <x v="0"/>
    <s v="DK2_Rural"/>
    <x v="3"/>
    <s v="GNR_ENG_NGAS_BP_E-43"/>
    <x v="0"/>
    <x v="20"/>
    <n v="5.7604651162790699"/>
    <n v="2102.5697674418602"/>
    <n v="7569.2511627906997"/>
  </r>
  <r>
    <x v="0"/>
    <x v="0"/>
    <x v="0"/>
    <x v="0"/>
    <x v="0"/>
    <s v="DK2_Rural"/>
    <x v="3"/>
    <s v="GNR_ENG_NGAS_BP_E-43"/>
    <x v="0"/>
    <x v="21"/>
    <n v="5.7604651162790699"/>
    <n v="2102.5697674418602"/>
    <n v="7569.2511627906997"/>
  </r>
  <r>
    <x v="0"/>
    <x v="0"/>
    <x v="0"/>
    <x v="0"/>
    <x v="0"/>
    <s v="DK2_Rural"/>
    <x v="3"/>
    <s v="GNR_ENG_NGAS_BP_E-45"/>
    <x v="0"/>
    <x v="0"/>
    <n v="1.1111111111111101"/>
    <n v="405.555555555556"/>
    <n v="1460"/>
  </r>
  <r>
    <x v="0"/>
    <x v="0"/>
    <x v="0"/>
    <x v="0"/>
    <x v="0"/>
    <s v="DK2_Rural"/>
    <x v="3"/>
    <s v="GNR_ENG_NGAS_BP_E-45"/>
    <x v="0"/>
    <x v="1"/>
    <n v="1.1111111111111101"/>
    <n v="405.555555555556"/>
    <n v="1460"/>
  </r>
  <r>
    <x v="0"/>
    <x v="0"/>
    <x v="0"/>
    <x v="0"/>
    <x v="0"/>
    <s v="DK2_Rural"/>
    <x v="3"/>
    <s v="GNR_ENG_NGAS_BP_E-45"/>
    <x v="0"/>
    <x v="2"/>
    <n v="1.1111111111111101"/>
    <n v="405.555555555556"/>
    <n v="1460"/>
  </r>
  <r>
    <x v="0"/>
    <x v="0"/>
    <x v="0"/>
    <x v="0"/>
    <x v="0"/>
    <s v="DK2_Rural"/>
    <x v="3"/>
    <s v="GNR_ENG_NGAS_BP_E-45"/>
    <x v="0"/>
    <x v="3"/>
    <n v="1.1111111111111101"/>
    <n v="405.555555555556"/>
    <n v="1460"/>
  </r>
  <r>
    <x v="0"/>
    <x v="0"/>
    <x v="0"/>
    <x v="0"/>
    <x v="0"/>
    <s v="DK2_Rural"/>
    <x v="3"/>
    <s v="GNR_ENG_NGAS_BP_E-45"/>
    <x v="0"/>
    <x v="4"/>
    <n v="1.1111111111111101"/>
    <n v="405.555555555556"/>
    <n v="1460"/>
  </r>
  <r>
    <x v="0"/>
    <x v="0"/>
    <x v="0"/>
    <x v="0"/>
    <x v="0"/>
    <s v="DK2_Rural"/>
    <x v="3"/>
    <s v="GNR_ENG_NGAS_BP_E-45"/>
    <x v="0"/>
    <x v="5"/>
    <n v="1.1111111111111101"/>
    <n v="405.555555555556"/>
    <n v="1460"/>
  </r>
  <r>
    <x v="0"/>
    <x v="0"/>
    <x v="0"/>
    <x v="0"/>
    <x v="0"/>
    <s v="DK2_Rural"/>
    <x v="3"/>
    <s v="GNR_ENG_NGAS_BP_E-45"/>
    <x v="0"/>
    <x v="6"/>
    <n v="1.1111111111111101"/>
    <n v="405.555555555556"/>
    <n v="1460"/>
  </r>
  <r>
    <x v="0"/>
    <x v="0"/>
    <x v="0"/>
    <x v="0"/>
    <x v="0"/>
    <s v="DK2_Rural"/>
    <x v="3"/>
    <s v="GNR_ENG_NGAS_BP_E-45"/>
    <x v="0"/>
    <x v="7"/>
    <n v="1.1111111111111101"/>
    <n v="405.555555555556"/>
    <n v="1460"/>
  </r>
  <r>
    <x v="0"/>
    <x v="0"/>
    <x v="0"/>
    <x v="0"/>
    <x v="0"/>
    <s v="DK2_Rural"/>
    <x v="3"/>
    <s v="GNR_ENG_NGAS_BP_E-45"/>
    <x v="0"/>
    <x v="8"/>
    <n v="1.1111111111111101"/>
    <n v="405.555555555556"/>
    <n v="1460"/>
  </r>
  <r>
    <x v="0"/>
    <x v="0"/>
    <x v="0"/>
    <x v="0"/>
    <x v="0"/>
    <s v="DK2_Rural"/>
    <x v="3"/>
    <s v="GNR_ENG_NGAS_BP_E-45"/>
    <x v="0"/>
    <x v="9"/>
    <n v="1.1111111111111101"/>
    <n v="405.555555555556"/>
    <n v="1460"/>
  </r>
  <r>
    <x v="0"/>
    <x v="0"/>
    <x v="0"/>
    <x v="0"/>
    <x v="0"/>
    <s v="DK2_Rural"/>
    <x v="3"/>
    <s v="GNR_ENG_NGAS_BP_E-45"/>
    <x v="0"/>
    <x v="10"/>
    <n v="1.1111111111111101"/>
    <n v="405.555555555556"/>
    <n v="1460"/>
  </r>
  <r>
    <x v="0"/>
    <x v="0"/>
    <x v="0"/>
    <x v="0"/>
    <x v="0"/>
    <s v="DK2_Rural"/>
    <x v="3"/>
    <s v="GNR_ENG_NGAS_BP_E-45"/>
    <x v="0"/>
    <x v="11"/>
    <n v="1.1111111111111101"/>
    <n v="405.555555555556"/>
    <n v="1460"/>
  </r>
  <r>
    <x v="0"/>
    <x v="0"/>
    <x v="0"/>
    <x v="0"/>
    <x v="0"/>
    <s v="DK2_Rural"/>
    <x v="3"/>
    <s v="GNR_ENG_NGAS_BP_E-45"/>
    <x v="0"/>
    <x v="12"/>
    <n v="1.1111111111111101"/>
    <n v="405.555555555556"/>
    <n v="1460"/>
  </r>
  <r>
    <x v="0"/>
    <x v="0"/>
    <x v="0"/>
    <x v="0"/>
    <x v="0"/>
    <s v="DK2_Rural"/>
    <x v="3"/>
    <s v="GNR_ENG_NGAS_BP_E-45"/>
    <x v="0"/>
    <x v="13"/>
    <n v="1.1111111111111101"/>
    <n v="405.555555555556"/>
    <n v="1460"/>
  </r>
  <r>
    <x v="0"/>
    <x v="0"/>
    <x v="0"/>
    <x v="0"/>
    <x v="0"/>
    <s v="DK2_Rural"/>
    <x v="3"/>
    <s v="GNR_ENG_NGAS_BP_E-45"/>
    <x v="0"/>
    <x v="14"/>
    <n v="1.1111111111111101"/>
    <n v="405.555555555556"/>
    <n v="1460"/>
  </r>
  <r>
    <x v="0"/>
    <x v="0"/>
    <x v="0"/>
    <x v="0"/>
    <x v="0"/>
    <s v="DK2_Rural"/>
    <x v="3"/>
    <s v="GNR_ENG_NGAS_BP_E-45"/>
    <x v="0"/>
    <x v="15"/>
    <n v="1.1111111111111101"/>
    <n v="405.555555555556"/>
    <n v="1460"/>
  </r>
  <r>
    <x v="0"/>
    <x v="0"/>
    <x v="0"/>
    <x v="0"/>
    <x v="0"/>
    <s v="DK2_Rural"/>
    <x v="3"/>
    <s v="GNR_ENG_NGAS_BP_E-45"/>
    <x v="0"/>
    <x v="16"/>
    <n v="1.1111111111111101"/>
    <n v="405.555555555556"/>
    <n v="1460"/>
  </r>
  <r>
    <x v="0"/>
    <x v="0"/>
    <x v="0"/>
    <x v="0"/>
    <x v="0"/>
    <s v="DK2_Rural"/>
    <x v="3"/>
    <s v="GNR_ENG_NGAS_BP_E-45"/>
    <x v="0"/>
    <x v="17"/>
    <n v="1.1111111111111101"/>
    <n v="405.555555555556"/>
    <n v="1460"/>
  </r>
  <r>
    <x v="0"/>
    <x v="0"/>
    <x v="0"/>
    <x v="0"/>
    <x v="0"/>
    <s v="DK2_Rural"/>
    <x v="3"/>
    <s v="GNR_ENG_NGAS_BP_E-45"/>
    <x v="0"/>
    <x v="18"/>
    <n v="1.1111111111111101"/>
    <n v="405.555555555556"/>
    <n v="1460"/>
  </r>
  <r>
    <x v="0"/>
    <x v="0"/>
    <x v="0"/>
    <x v="0"/>
    <x v="0"/>
    <s v="DK2_Rural"/>
    <x v="3"/>
    <s v="GNR_ENG_NGAS_BP_E-45"/>
    <x v="0"/>
    <x v="19"/>
    <n v="1.1111111111111101"/>
    <n v="405.555555555556"/>
    <n v="1460"/>
  </r>
  <r>
    <x v="0"/>
    <x v="0"/>
    <x v="0"/>
    <x v="0"/>
    <x v="0"/>
    <s v="DK2_Rural"/>
    <x v="3"/>
    <s v="GNR_ENG_NGAS_BP_E-45"/>
    <x v="0"/>
    <x v="20"/>
    <n v="1.1111111111111101"/>
    <n v="405.555555555556"/>
    <n v="1460"/>
  </r>
  <r>
    <x v="0"/>
    <x v="0"/>
    <x v="0"/>
    <x v="0"/>
    <x v="0"/>
    <s v="DK2_Rural"/>
    <x v="3"/>
    <s v="GNR_ENG_NGAS_BP_E-45"/>
    <x v="0"/>
    <x v="21"/>
    <n v="1.1111111111111101"/>
    <n v="405.555555555556"/>
    <n v="1460"/>
  </r>
  <r>
    <x v="0"/>
    <x v="0"/>
    <x v="0"/>
    <x v="0"/>
    <x v="0"/>
    <s v="DK2_Rural"/>
    <x v="3"/>
    <s v="GNR_ENG_NGAS_BP_E-45"/>
    <x v="0"/>
    <x v="22"/>
    <n v="1.1111111111111101"/>
    <n v="405.555555555556"/>
    <n v="1460"/>
  </r>
  <r>
    <x v="0"/>
    <x v="0"/>
    <x v="0"/>
    <x v="0"/>
    <x v="0"/>
    <s v="DK2_Rural"/>
    <x v="3"/>
    <s v="GNR_ENG_NGAS_BP_E-45"/>
    <x v="0"/>
    <x v="23"/>
    <n v="1.1111111111111101"/>
    <n v="405.555555555556"/>
    <n v="1460"/>
  </r>
  <r>
    <x v="0"/>
    <x v="0"/>
    <x v="0"/>
    <x v="0"/>
    <x v="0"/>
    <s v="DK2_Rural"/>
    <x v="3"/>
    <s v="GNR_ENG_NGAS_BP_E-46"/>
    <x v="0"/>
    <x v="0"/>
    <n v="1.1956521739130399"/>
    <n v="436.41304347826099"/>
    <n v="1571.0869565217399"/>
  </r>
  <r>
    <x v="0"/>
    <x v="0"/>
    <x v="0"/>
    <x v="0"/>
    <x v="0"/>
    <s v="DK2_Rural"/>
    <x v="3"/>
    <s v="GNR_ENG_NGAS_BP_E-46"/>
    <x v="0"/>
    <x v="1"/>
    <n v="1.1956521739130399"/>
    <n v="436.41304347826099"/>
    <n v="1571.0869565217399"/>
  </r>
  <r>
    <x v="0"/>
    <x v="0"/>
    <x v="0"/>
    <x v="0"/>
    <x v="0"/>
    <s v="DK2_Rural"/>
    <x v="3"/>
    <s v="GNR_ENG_NGAS_BP_E-46"/>
    <x v="0"/>
    <x v="2"/>
    <n v="1.1956521739130399"/>
    <n v="436.41304347826099"/>
    <n v="1571.0869565217399"/>
  </r>
  <r>
    <x v="0"/>
    <x v="0"/>
    <x v="0"/>
    <x v="0"/>
    <x v="0"/>
    <s v="DK2_Rural"/>
    <x v="3"/>
    <s v="GNR_ENG_NGAS_BP_E-46"/>
    <x v="0"/>
    <x v="3"/>
    <n v="1.1956521739130399"/>
    <n v="436.41304347826099"/>
    <n v="1571.0869565217399"/>
  </r>
  <r>
    <x v="0"/>
    <x v="0"/>
    <x v="0"/>
    <x v="0"/>
    <x v="0"/>
    <s v="DK2_Rural"/>
    <x v="3"/>
    <s v="GNR_ENG_NGAS_BP_E-46"/>
    <x v="0"/>
    <x v="4"/>
    <n v="1.1956521739130399"/>
    <n v="436.41304347826099"/>
    <n v="1571.0869565217399"/>
  </r>
  <r>
    <x v="0"/>
    <x v="0"/>
    <x v="0"/>
    <x v="0"/>
    <x v="0"/>
    <s v="DK2_Rural"/>
    <x v="3"/>
    <s v="GNR_ENG_NGAS_BP_E-46"/>
    <x v="0"/>
    <x v="5"/>
    <n v="1.1956521739130399"/>
    <n v="436.41304347826099"/>
    <n v="1571.0869565217399"/>
  </r>
  <r>
    <x v="0"/>
    <x v="0"/>
    <x v="0"/>
    <x v="0"/>
    <x v="0"/>
    <s v="DK2_Rural"/>
    <x v="3"/>
    <s v="GNR_ENG_NGAS_BP_E-46"/>
    <x v="0"/>
    <x v="6"/>
    <n v="1.1956521739130399"/>
    <n v="436.41304347826099"/>
    <n v="1571.0869565217399"/>
  </r>
  <r>
    <x v="0"/>
    <x v="0"/>
    <x v="0"/>
    <x v="0"/>
    <x v="0"/>
    <s v="DK2_Rural"/>
    <x v="3"/>
    <s v="GNR_ENG_NGAS_BP_E-46"/>
    <x v="0"/>
    <x v="7"/>
    <n v="1.1956521739130399"/>
    <n v="436.41304347826099"/>
    <n v="1571.0869565217399"/>
  </r>
  <r>
    <x v="0"/>
    <x v="0"/>
    <x v="0"/>
    <x v="0"/>
    <x v="0"/>
    <s v="DK2_Rural"/>
    <x v="3"/>
    <s v="GNR_ENG_NGAS_BP_E-46"/>
    <x v="0"/>
    <x v="8"/>
    <n v="1.1956521739130399"/>
    <n v="436.41304347826099"/>
    <n v="1571.0869565217399"/>
  </r>
  <r>
    <x v="0"/>
    <x v="0"/>
    <x v="0"/>
    <x v="0"/>
    <x v="0"/>
    <s v="DK2_Rural"/>
    <x v="3"/>
    <s v="GNR_ENG_NGAS_BP_E-46"/>
    <x v="0"/>
    <x v="9"/>
    <n v="1.1956521739130399"/>
    <n v="436.41304347826099"/>
    <n v="1571.0869565217399"/>
  </r>
  <r>
    <x v="0"/>
    <x v="0"/>
    <x v="0"/>
    <x v="0"/>
    <x v="0"/>
    <s v="DK2_Rural"/>
    <x v="3"/>
    <s v="GNR_ENG_NGAS_BP_E-46"/>
    <x v="0"/>
    <x v="10"/>
    <n v="1.1956521739130399"/>
    <n v="436.41304347826099"/>
    <n v="1571.0869565217399"/>
  </r>
  <r>
    <x v="0"/>
    <x v="0"/>
    <x v="0"/>
    <x v="0"/>
    <x v="0"/>
    <s v="DK2_Rural"/>
    <x v="3"/>
    <s v="GNR_ENG_NGAS_BP_E-46"/>
    <x v="0"/>
    <x v="11"/>
    <n v="1.1956521739130399"/>
    <n v="436.41304347826099"/>
    <n v="1571.0869565217399"/>
  </r>
  <r>
    <x v="0"/>
    <x v="0"/>
    <x v="0"/>
    <x v="0"/>
    <x v="0"/>
    <s v="DK2_Rural"/>
    <x v="3"/>
    <s v="GNR_ENG_NGAS_BP_E-46"/>
    <x v="0"/>
    <x v="12"/>
    <n v="1.1956521739130399"/>
    <n v="436.41304347826099"/>
    <n v="1571.0869565217399"/>
  </r>
  <r>
    <x v="0"/>
    <x v="0"/>
    <x v="0"/>
    <x v="0"/>
    <x v="0"/>
    <s v="DK2_Rural"/>
    <x v="3"/>
    <s v="GNR_ENG_NGAS_BP_E-46"/>
    <x v="0"/>
    <x v="13"/>
    <n v="1.1956521739130399"/>
    <n v="436.41304347826099"/>
    <n v="1571.0869565217399"/>
  </r>
  <r>
    <x v="0"/>
    <x v="0"/>
    <x v="0"/>
    <x v="0"/>
    <x v="0"/>
    <s v="DK2_Rural"/>
    <x v="3"/>
    <s v="GNR_ENG_NGAS_BP_E-46"/>
    <x v="0"/>
    <x v="14"/>
    <n v="1.1956521739130399"/>
    <n v="436.41304347826099"/>
    <n v="1571.0869565217399"/>
  </r>
  <r>
    <x v="0"/>
    <x v="0"/>
    <x v="0"/>
    <x v="0"/>
    <x v="0"/>
    <s v="DK2_Rural"/>
    <x v="3"/>
    <s v="GNR_ENG_NGAS_BP_E-46"/>
    <x v="0"/>
    <x v="15"/>
    <n v="1.1956521739130399"/>
    <n v="436.41304347826099"/>
    <n v="1571.0869565217399"/>
  </r>
  <r>
    <x v="0"/>
    <x v="0"/>
    <x v="0"/>
    <x v="0"/>
    <x v="0"/>
    <s v="DK2_Rural"/>
    <x v="3"/>
    <s v="GNR_ENG_NGAS_BP_E-46"/>
    <x v="0"/>
    <x v="16"/>
    <n v="1.1956521739130399"/>
    <n v="436.41304347826099"/>
    <n v="1571.0869565217399"/>
  </r>
  <r>
    <x v="0"/>
    <x v="0"/>
    <x v="0"/>
    <x v="0"/>
    <x v="0"/>
    <s v="DK2_Rural"/>
    <x v="3"/>
    <s v="GNR_ENG_NGAS_BP_E-46"/>
    <x v="0"/>
    <x v="17"/>
    <n v="1.1956521739130399"/>
    <n v="436.41304347826099"/>
    <n v="1571.0869565217399"/>
  </r>
  <r>
    <x v="0"/>
    <x v="0"/>
    <x v="0"/>
    <x v="0"/>
    <x v="0"/>
    <s v="DK2_Rural"/>
    <x v="3"/>
    <s v="GNR_ENG_NGAS_BP_E-46"/>
    <x v="0"/>
    <x v="18"/>
    <n v="1.1956521739130399"/>
    <n v="436.41304347826099"/>
    <n v="1571.0869565217399"/>
  </r>
  <r>
    <x v="0"/>
    <x v="0"/>
    <x v="0"/>
    <x v="0"/>
    <x v="0"/>
    <s v="DK2_Rural"/>
    <x v="3"/>
    <s v="GNR_ENG_NGAS_BP_E-46"/>
    <x v="0"/>
    <x v="19"/>
    <n v="1.1956521739130399"/>
    <n v="436.41304347826099"/>
    <n v="1571.0869565217399"/>
  </r>
  <r>
    <x v="0"/>
    <x v="0"/>
    <x v="0"/>
    <x v="0"/>
    <x v="0"/>
    <s v="DK2_Rural"/>
    <x v="3"/>
    <s v="GNR_ENG_NGAS_BP_E-46"/>
    <x v="0"/>
    <x v="20"/>
    <n v="1.1956521739130399"/>
    <n v="436.41304347826099"/>
    <n v="1571.0869565217399"/>
  </r>
  <r>
    <x v="0"/>
    <x v="0"/>
    <x v="0"/>
    <x v="0"/>
    <x v="0"/>
    <s v="DK2_Rural"/>
    <x v="3"/>
    <s v="GNR_ENG_NGAS_BP_E-46"/>
    <x v="0"/>
    <x v="21"/>
    <n v="1.1956521739130399"/>
    <n v="436.41304347826099"/>
    <n v="1571.0869565217399"/>
  </r>
  <r>
    <x v="0"/>
    <x v="0"/>
    <x v="0"/>
    <x v="0"/>
    <x v="0"/>
    <s v="DK2_Rural"/>
    <x v="3"/>
    <s v="GNR_ENG_NGAS_BP_E-46"/>
    <x v="0"/>
    <x v="22"/>
    <n v="1.1956521739130399"/>
    <n v="436.41304347826099"/>
    <n v="1571.0869565217399"/>
  </r>
  <r>
    <x v="0"/>
    <x v="0"/>
    <x v="0"/>
    <x v="0"/>
    <x v="0"/>
    <s v="DK2_Rural"/>
    <x v="3"/>
    <s v="GNR_ENG_NGAS_BP_E-46"/>
    <x v="0"/>
    <x v="23"/>
    <n v="1.1956521739130399"/>
    <n v="436.41304347826099"/>
    <n v="1571.0869565217399"/>
  </r>
  <r>
    <x v="0"/>
    <x v="0"/>
    <x v="0"/>
    <x v="0"/>
    <x v="0"/>
    <s v="DK2_Rural"/>
    <x v="4"/>
    <s v="GNR_BO_STRW_E-100"/>
    <x v="0"/>
    <x v="6"/>
    <n v="19.855822836046499"/>
    <n v="7247.3753351569603"/>
    <n v="26090.551206565098"/>
  </r>
  <r>
    <x v="0"/>
    <x v="0"/>
    <x v="0"/>
    <x v="0"/>
    <x v="0"/>
    <s v="DK2_Rural"/>
    <x v="4"/>
    <s v="GNR_BO_STRW_E-100"/>
    <x v="0"/>
    <x v="7"/>
    <n v="42.864059720450399"/>
    <n v="15645.381797964401"/>
    <n v="56323.3744726718"/>
  </r>
  <r>
    <x v="0"/>
    <x v="0"/>
    <x v="0"/>
    <x v="0"/>
    <x v="0"/>
    <s v="DK2_Rural"/>
    <x v="4"/>
    <s v="GNR_BO_STRW_E-100"/>
    <x v="0"/>
    <x v="8"/>
    <n v="48.386036572707297"/>
    <n v="17660.903349038199"/>
    <n v="63579.2520565374"/>
  </r>
  <r>
    <x v="0"/>
    <x v="0"/>
    <x v="0"/>
    <x v="0"/>
    <x v="0"/>
    <s v="DK2_Rural"/>
    <x v="4"/>
    <s v="GNR_BO_STRW_E-100"/>
    <x v="0"/>
    <x v="9"/>
    <n v="51.278500638175203"/>
    <n v="18716.652732933999"/>
    <n v="67379.949838562199"/>
  </r>
  <r>
    <x v="0"/>
    <x v="0"/>
    <x v="0"/>
    <x v="0"/>
    <x v="0"/>
    <s v="DK2_Rural"/>
    <x v="4"/>
    <s v="GNR_BO_STRW_E-100"/>
    <x v="0"/>
    <x v="10"/>
    <n v="50.489646802138502"/>
    <n v="18428.721082780601"/>
    <n v="66343.39589801"/>
  </r>
  <r>
    <x v="0"/>
    <x v="0"/>
    <x v="0"/>
    <x v="0"/>
    <x v="0"/>
    <s v="DK2_Rural"/>
    <x v="4"/>
    <s v="GNR_BO_STRW_E-100"/>
    <x v="0"/>
    <x v="11"/>
    <n v="50.621122441478001"/>
    <n v="18476.709691139498"/>
    <n v="66516.154888102101"/>
  </r>
  <r>
    <x v="0"/>
    <x v="0"/>
    <x v="0"/>
    <x v="0"/>
    <x v="0"/>
    <s v="DK2_Rural"/>
    <x v="4"/>
    <s v="GNR_BO_STRW_E-100"/>
    <x v="0"/>
    <x v="12"/>
    <n v="49.174890408743998"/>
    <n v="17948.8349991916"/>
    <n v="64615.805997089599"/>
  </r>
  <r>
    <x v="0"/>
    <x v="0"/>
    <x v="0"/>
    <x v="0"/>
    <x v="0"/>
    <s v="DK2_Rural"/>
    <x v="4"/>
    <s v="GNR_BO_STRW_E-100"/>
    <x v="0"/>
    <x v="13"/>
    <n v="43.389962277808202"/>
    <n v="15837.336231400001"/>
    <n v="57014.410433039899"/>
  </r>
  <r>
    <x v="0"/>
    <x v="0"/>
    <x v="0"/>
    <x v="0"/>
    <x v="0"/>
    <s v="DK2_Rural"/>
    <x v="4"/>
    <s v="GNR_BO_STRW_E-100"/>
    <x v="0"/>
    <x v="14"/>
    <n v="44.967669949881603"/>
    <n v="16413.199531706799"/>
    <n v="59087.518314144399"/>
  </r>
  <r>
    <x v="0"/>
    <x v="0"/>
    <x v="0"/>
    <x v="0"/>
    <x v="0"/>
    <s v="DK2_Rural"/>
    <x v="4"/>
    <s v="GNR_BO_STRW_E-100"/>
    <x v="0"/>
    <x v="15"/>
    <n v="46.545377621954998"/>
    <n v="16989.062832013598"/>
    <n v="61160.6261952489"/>
  </r>
  <r>
    <x v="0"/>
    <x v="0"/>
    <x v="0"/>
    <x v="0"/>
    <x v="0"/>
    <s v="DK2_Rural"/>
    <x v="4"/>
    <s v="GNR_BO_STRW_E-100"/>
    <x v="0"/>
    <x v="16"/>
    <n v="49.569317326762402"/>
    <n v="18092.800824268299"/>
    <n v="65134.082967365699"/>
  </r>
  <r>
    <x v="0"/>
    <x v="0"/>
    <x v="0"/>
    <x v="0"/>
    <x v="0"/>
    <s v="DK2_Rural"/>
    <x v="4"/>
    <s v="GNR_BO_STRW_E-100"/>
    <x v="0"/>
    <x v="17"/>
    <n v="48.9119391300651"/>
    <n v="17852.857782473799"/>
    <n v="64270.288016905601"/>
  </r>
  <r>
    <x v="0"/>
    <x v="0"/>
    <x v="0"/>
    <x v="0"/>
    <x v="0"/>
    <s v="DK2_Rural"/>
    <x v="4"/>
    <s v="GNR_BO_STRW_E-100"/>
    <x v="0"/>
    <x v="18"/>
    <n v="46.685619465200702"/>
    <n v="17040.251104798299"/>
    <n v="61344.903977273701"/>
  </r>
  <r>
    <x v="0"/>
    <x v="0"/>
    <x v="0"/>
    <x v="0"/>
    <x v="0"/>
    <s v="DK2_Rural"/>
    <x v="4"/>
    <s v="GNR_BO_STRW_E-100"/>
    <x v="0"/>
    <x v="19"/>
    <n v="46.159716907842899"/>
    <n v="16848.296671362699"/>
    <n v="60653.868016905602"/>
  </r>
  <r>
    <x v="0"/>
    <x v="0"/>
    <x v="0"/>
    <x v="0"/>
    <x v="0"/>
    <s v="DK2_Rural"/>
    <x v="4"/>
    <s v="GNR_BO_STRW_E-100"/>
    <x v="0"/>
    <x v="20"/>
    <n v="43.267252842375001"/>
    <n v="15792.547287466899"/>
    <n v="56853.170234880701"/>
  </r>
  <r>
    <x v="0"/>
    <x v="0"/>
    <x v="0"/>
    <x v="0"/>
    <x v="0"/>
    <s v="DK2_Rural"/>
    <x v="4"/>
    <s v="GNR_BO_STRW_E-100"/>
    <x v="0"/>
    <x v="21"/>
    <n v="25.649517170888601"/>
    <n v="9362.0737673743206"/>
    <n v="33703.465562547601"/>
  </r>
  <r>
    <x v="0"/>
    <x v="0"/>
    <x v="0"/>
    <x v="0"/>
    <x v="0"/>
    <s v="DK2_Rural"/>
    <x v="4"/>
    <s v="GNR_BO_STRW_E-100"/>
    <x v="0"/>
    <x v="22"/>
    <n v="27.086982999716302"/>
    <n v="9886.7487948964408"/>
    <n v="35592.295661627199"/>
  </r>
  <r>
    <x v="0"/>
    <x v="0"/>
    <x v="0"/>
    <x v="0"/>
    <x v="0"/>
    <s v="DK2_Rural"/>
    <x v="4"/>
    <s v="GNR_BO_STRW_E-100"/>
    <x v="0"/>
    <x v="23"/>
    <n v="23.80009201623"/>
    <n v="8687.0335859239494"/>
    <n v="31273.320909326201"/>
  </r>
  <r>
    <x v="0"/>
    <x v="0"/>
    <x v="0"/>
    <x v="0"/>
    <x v="0"/>
    <s v="DK2_Rural"/>
    <x v="4"/>
    <s v="GNR_BO_STRW_E-102"/>
    <x v="0"/>
    <x v="0"/>
    <n v="36.247057715641603"/>
    <n v="13230.1760662092"/>
    <n v="47628.633838353097"/>
  </r>
  <r>
    <x v="0"/>
    <x v="0"/>
    <x v="0"/>
    <x v="0"/>
    <x v="0"/>
    <s v="DK2_Rural"/>
    <x v="4"/>
    <s v="GNR_BO_STRW_E-102"/>
    <x v="0"/>
    <x v="1"/>
    <n v="34.3135924312379"/>
    <n v="12524.4612374018"/>
    <n v="45088.060454646598"/>
  </r>
  <r>
    <x v="0"/>
    <x v="0"/>
    <x v="0"/>
    <x v="0"/>
    <x v="0"/>
    <s v="DK2_Rural"/>
    <x v="4"/>
    <s v="GNR_BO_STRW_E-102"/>
    <x v="0"/>
    <x v="2"/>
    <n v="32.895717889341903"/>
    <n v="12006.9370296098"/>
    <n v="43224.973306595202"/>
  </r>
  <r>
    <x v="0"/>
    <x v="0"/>
    <x v="0"/>
    <x v="0"/>
    <x v="0"/>
    <s v="DK2_Rural"/>
    <x v="4"/>
    <s v="GNR_BO_STRW_E-102"/>
    <x v="0"/>
    <x v="3"/>
    <n v="33.926899374357198"/>
    <n v="12383.318271640401"/>
    <n v="44579.945777905297"/>
  </r>
  <r>
    <x v="0"/>
    <x v="0"/>
    <x v="0"/>
    <x v="0"/>
    <x v="0"/>
    <s v="DK2_Rural"/>
    <x v="4"/>
    <s v="GNR_BO_STRW_E-102"/>
    <x v="0"/>
    <x v="4"/>
    <n v="38.953909113806702"/>
    <n v="14218.1768265395"/>
    <n v="51185.436575542102"/>
  </r>
  <r>
    <x v="0"/>
    <x v="0"/>
    <x v="0"/>
    <x v="0"/>
    <x v="0"/>
    <s v="DK2_Rural"/>
    <x v="4"/>
    <s v="GNR_BO_STRW_E-102"/>
    <x v="0"/>
    <x v="5"/>
    <n v="42.691941996987197"/>
    <n v="15582.558828900301"/>
    <n v="56097.211784041203"/>
  </r>
  <r>
    <x v="0"/>
    <x v="0"/>
    <x v="0"/>
    <x v="0"/>
    <x v="0"/>
    <s v="DK2_Rural"/>
    <x v="4"/>
    <s v="GNR_BO_STRW_E-102"/>
    <x v="0"/>
    <x v="6"/>
    <n v="46.813725490196099"/>
    <n v="17087.009803921599"/>
    <n v="61513.235294117701"/>
  </r>
  <r>
    <x v="0"/>
    <x v="0"/>
    <x v="0"/>
    <x v="0"/>
    <x v="0"/>
    <s v="DK2_Rural"/>
    <x v="4"/>
    <s v="GNR_BO_STRW_E-102"/>
    <x v="0"/>
    <x v="7"/>
    <n v="46.813725490196099"/>
    <n v="17087.009803921599"/>
    <n v="61513.235294117701"/>
  </r>
  <r>
    <x v="0"/>
    <x v="0"/>
    <x v="0"/>
    <x v="0"/>
    <x v="0"/>
    <s v="DK2_Rural"/>
    <x v="4"/>
    <s v="GNR_BO_STRW_E-102"/>
    <x v="0"/>
    <x v="8"/>
    <n v="46.813725490196099"/>
    <n v="17087.009803921599"/>
    <n v="61513.235294117701"/>
  </r>
  <r>
    <x v="0"/>
    <x v="0"/>
    <x v="0"/>
    <x v="0"/>
    <x v="0"/>
    <s v="DK2_Rural"/>
    <x v="4"/>
    <s v="GNR_BO_STRW_E-102"/>
    <x v="0"/>
    <x v="9"/>
    <n v="46.813725490196099"/>
    <n v="17087.009803921599"/>
    <n v="61513.235294117701"/>
  </r>
  <r>
    <x v="0"/>
    <x v="0"/>
    <x v="0"/>
    <x v="0"/>
    <x v="0"/>
    <s v="DK2_Rural"/>
    <x v="4"/>
    <s v="GNR_BO_STRW_E-102"/>
    <x v="0"/>
    <x v="10"/>
    <n v="46.813725490196099"/>
    <n v="17087.009803921599"/>
    <n v="61513.235294117701"/>
  </r>
  <r>
    <x v="0"/>
    <x v="0"/>
    <x v="0"/>
    <x v="0"/>
    <x v="0"/>
    <s v="DK2_Rural"/>
    <x v="4"/>
    <s v="GNR_BO_STRW_E-102"/>
    <x v="0"/>
    <x v="11"/>
    <n v="46.813725490196099"/>
    <n v="17087.009803921599"/>
    <n v="61513.235294117701"/>
  </r>
  <r>
    <x v="0"/>
    <x v="0"/>
    <x v="0"/>
    <x v="0"/>
    <x v="0"/>
    <s v="DK2_Rural"/>
    <x v="4"/>
    <s v="GNR_BO_STRW_E-102"/>
    <x v="0"/>
    <x v="12"/>
    <n v="46.813725490196099"/>
    <n v="17087.009803921599"/>
    <n v="61513.235294117701"/>
  </r>
  <r>
    <x v="0"/>
    <x v="0"/>
    <x v="0"/>
    <x v="0"/>
    <x v="0"/>
    <s v="DK2_Rural"/>
    <x v="4"/>
    <s v="GNR_BO_STRW_E-102"/>
    <x v="0"/>
    <x v="13"/>
    <n v="46.813725490196099"/>
    <n v="17087.009803921599"/>
    <n v="61513.235294117701"/>
  </r>
  <r>
    <x v="0"/>
    <x v="0"/>
    <x v="0"/>
    <x v="0"/>
    <x v="0"/>
    <s v="DK2_Rural"/>
    <x v="4"/>
    <s v="GNR_BO_STRW_E-102"/>
    <x v="0"/>
    <x v="14"/>
    <n v="46.813725490196099"/>
    <n v="17087.009803921599"/>
    <n v="61513.235294117701"/>
  </r>
  <r>
    <x v="0"/>
    <x v="0"/>
    <x v="0"/>
    <x v="0"/>
    <x v="0"/>
    <s v="DK2_Rural"/>
    <x v="4"/>
    <s v="GNR_BO_STRW_E-102"/>
    <x v="0"/>
    <x v="15"/>
    <n v="46.813725490196099"/>
    <n v="17087.009803921599"/>
    <n v="61513.235294117701"/>
  </r>
  <r>
    <x v="0"/>
    <x v="0"/>
    <x v="0"/>
    <x v="0"/>
    <x v="0"/>
    <s v="DK2_Rural"/>
    <x v="4"/>
    <s v="GNR_BO_STRW_E-102"/>
    <x v="0"/>
    <x v="16"/>
    <n v="46.813725490196099"/>
    <n v="17087.009803921599"/>
    <n v="61513.235294117701"/>
  </r>
  <r>
    <x v="0"/>
    <x v="0"/>
    <x v="0"/>
    <x v="0"/>
    <x v="0"/>
    <s v="DK2_Rural"/>
    <x v="4"/>
    <s v="GNR_BO_STRW_E-102"/>
    <x v="0"/>
    <x v="17"/>
    <n v="46.813725490196099"/>
    <n v="17087.009803921599"/>
    <n v="61513.235294117701"/>
  </r>
  <r>
    <x v="0"/>
    <x v="0"/>
    <x v="0"/>
    <x v="0"/>
    <x v="0"/>
    <s v="DK2_Rural"/>
    <x v="4"/>
    <s v="GNR_BO_STRW_E-102"/>
    <x v="0"/>
    <x v="18"/>
    <n v="46.813725490196099"/>
    <n v="17087.009803921599"/>
    <n v="61513.235294117701"/>
  </r>
  <r>
    <x v="0"/>
    <x v="0"/>
    <x v="0"/>
    <x v="0"/>
    <x v="0"/>
    <s v="DK2_Rural"/>
    <x v="4"/>
    <s v="GNR_BO_STRW_E-102"/>
    <x v="0"/>
    <x v="19"/>
    <n v="46.813725490196099"/>
    <n v="17087.009803921599"/>
    <n v="61513.235294117701"/>
  </r>
  <r>
    <x v="0"/>
    <x v="0"/>
    <x v="0"/>
    <x v="0"/>
    <x v="0"/>
    <s v="DK2_Rural"/>
    <x v="4"/>
    <s v="GNR_BO_STRW_E-102"/>
    <x v="0"/>
    <x v="20"/>
    <n v="46.813725490196099"/>
    <n v="17087.009803921599"/>
    <n v="61513.235294117701"/>
  </r>
  <r>
    <x v="0"/>
    <x v="0"/>
    <x v="0"/>
    <x v="0"/>
    <x v="0"/>
    <s v="DK2_Rural"/>
    <x v="4"/>
    <s v="GNR_BO_STRW_E-102"/>
    <x v="0"/>
    <x v="21"/>
    <n v="46.813725490196099"/>
    <n v="17087.009803921599"/>
    <n v="61513.235294117701"/>
  </r>
  <r>
    <x v="0"/>
    <x v="0"/>
    <x v="0"/>
    <x v="0"/>
    <x v="0"/>
    <s v="DK2_Rural"/>
    <x v="4"/>
    <s v="GNR_BO_STRW_E-102"/>
    <x v="0"/>
    <x v="22"/>
    <n v="46.813725490196099"/>
    <n v="17087.009803921599"/>
    <n v="61513.235294117701"/>
  </r>
  <r>
    <x v="0"/>
    <x v="0"/>
    <x v="0"/>
    <x v="0"/>
    <x v="0"/>
    <s v="DK2_Rural"/>
    <x v="4"/>
    <s v="GNR_BO_STRW_E-102"/>
    <x v="0"/>
    <x v="23"/>
    <n v="46.813725490196099"/>
    <n v="17087.009803921599"/>
    <n v="61513.235294117701"/>
  </r>
  <r>
    <x v="0"/>
    <x v="0"/>
    <x v="0"/>
    <x v="0"/>
    <x v="0"/>
    <s v="DK2_Rural"/>
    <x v="4"/>
    <s v="GNR_ST_STRW_BP_E-24"/>
    <x v="0"/>
    <x v="0"/>
    <n v="20.8333333333333"/>
    <n v="7604.1666666666697"/>
    <n v="27375"/>
  </r>
  <r>
    <x v="0"/>
    <x v="0"/>
    <x v="0"/>
    <x v="0"/>
    <x v="0"/>
    <s v="DK2_Rural"/>
    <x v="4"/>
    <s v="GNR_ST_STRW_BP_E-24"/>
    <x v="0"/>
    <x v="1"/>
    <n v="20.8333333333333"/>
    <n v="7604.1666666666697"/>
    <n v="27375"/>
  </r>
  <r>
    <x v="0"/>
    <x v="0"/>
    <x v="0"/>
    <x v="0"/>
    <x v="0"/>
    <s v="DK2_Rural"/>
    <x v="4"/>
    <s v="GNR_ST_STRW_BP_E-24"/>
    <x v="0"/>
    <x v="2"/>
    <n v="20.8333333333333"/>
    <n v="7604.1666666666697"/>
    <n v="27375"/>
  </r>
  <r>
    <x v="0"/>
    <x v="0"/>
    <x v="0"/>
    <x v="0"/>
    <x v="0"/>
    <s v="DK2_Rural"/>
    <x v="4"/>
    <s v="GNR_ST_STRW_BP_E-24"/>
    <x v="0"/>
    <x v="3"/>
    <n v="20.8333333333333"/>
    <n v="7604.1666666666697"/>
    <n v="27375"/>
  </r>
  <r>
    <x v="0"/>
    <x v="0"/>
    <x v="0"/>
    <x v="0"/>
    <x v="0"/>
    <s v="DK2_Rural"/>
    <x v="4"/>
    <s v="GNR_ST_STRW_BP_E-24"/>
    <x v="0"/>
    <x v="4"/>
    <n v="20.8333333333333"/>
    <n v="7604.1666666666697"/>
    <n v="27375"/>
  </r>
  <r>
    <x v="0"/>
    <x v="0"/>
    <x v="0"/>
    <x v="0"/>
    <x v="0"/>
    <s v="DK2_Rural"/>
    <x v="4"/>
    <s v="GNR_ST_STRW_BP_E-24"/>
    <x v="0"/>
    <x v="5"/>
    <n v="20.8333333333333"/>
    <n v="7604.1666666666697"/>
    <n v="27375"/>
  </r>
  <r>
    <x v="0"/>
    <x v="0"/>
    <x v="0"/>
    <x v="0"/>
    <x v="0"/>
    <s v="DK2_Rural"/>
    <x v="4"/>
    <s v="GNR_ST_STRW_BP_E-24"/>
    <x v="0"/>
    <x v="6"/>
    <n v="20.8333333333333"/>
    <n v="7604.1666666666697"/>
    <n v="27375"/>
  </r>
  <r>
    <x v="0"/>
    <x v="0"/>
    <x v="0"/>
    <x v="0"/>
    <x v="0"/>
    <s v="DK2_Rural"/>
    <x v="4"/>
    <s v="GNR_ST_STRW_BP_E-24"/>
    <x v="0"/>
    <x v="7"/>
    <n v="20.8333333333333"/>
    <n v="7604.1666666666697"/>
    <n v="27375"/>
  </r>
  <r>
    <x v="0"/>
    <x v="0"/>
    <x v="0"/>
    <x v="0"/>
    <x v="0"/>
    <s v="DK2_Rural"/>
    <x v="4"/>
    <s v="GNR_ST_STRW_BP_E-24"/>
    <x v="0"/>
    <x v="8"/>
    <n v="20.8333333333333"/>
    <n v="7604.1666666666697"/>
    <n v="27375"/>
  </r>
  <r>
    <x v="0"/>
    <x v="0"/>
    <x v="0"/>
    <x v="0"/>
    <x v="0"/>
    <s v="DK2_Rural"/>
    <x v="4"/>
    <s v="GNR_ST_STRW_BP_E-24"/>
    <x v="0"/>
    <x v="9"/>
    <n v="20.8333333333333"/>
    <n v="7604.1666666666697"/>
    <n v="27375"/>
  </r>
  <r>
    <x v="0"/>
    <x v="0"/>
    <x v="0"/>
    <x v="0"/>
    <x v="0"/>
    <s v="DK2_Rural"/>
    <x v="4"/>
    <s v="GNR_ST_STRW_BP_E-24"/>
    <x v="0"/>
    <x v="10"/>
    <n v="20.8333333333333"/>
    <n v="7604.1666666666697"/>
    <n v="27375"/>
  </r>
  <r>
    <x v="0"/>
    <x v="0"/>
    <x v="0"/>
    <x v="0"/>
    <x v="0"/>
    <s v="DK2_Rural"/>
    <x v="4"/>
    <s v="GNR_ST_STRW_BP_E-24"/>
    <x v="0"/>
    <x v="11"/>
    <n v="20.8333333333333"/>
    <n v="7604.1666666666697"/>
    <n v="27375"/>
  </r>
  <r>
    <x v="0"/>
    <x v="0"/>
    <x v="0"/>
    <x v="0"/>
    <x v="0"/>
    <s v="DK2_Rural"/>
    <x v="4"/>
    <s v="GNR_ST_STRW_BP_E-24"/>
    <x v="0"/>
    <x v="12"/>
    <n v="20.8333333333333"/>
    <n v="7604.1666666666697"/>
    <n v="27375"/>
  </r>
  <r>
    <x v="0"/>
    <x v="0"/>
    <x v="0"/>
    <x v="0"/>
    <x v="0"/>
    <s v="DK2_Rural"/>
    <x v="4"/>
    <s v="GNR_ST_STRW_BP_E-24"/>
    <x v="0"/>
    <x v="13"/>
    <n v="20.8333333333333"/>
    <n v="7604.1666666666697"/>
    <n v="27375"/>
  </r>
  <r>
    <x v="0"/>
    <x v="0"/>
    <x v="0"/>
    <x v="0"/>
    <x v="0"/>
    <s v="DK2_Rural"/>
    <x v="4"/>
    <s v="GNR_ST_STRW_BP_E-24"/>
    <x v="0"/>
    <x v="14"/>
    <n v="20.8333333333333"/>
    <n v="7604.1666666666697"/>
    <n v="27375"/>
  </r>
  <r>
    <x v="0"/>
    <x v="0"/>
    <x v="0"/>
    <x v="0"/>
    <x v="0"/>
    <s v="DK2_Rural"/>
    <x v="4"/>
    <s v="GNR_ST_STRW_BP_E-24"/>
    <x v="0"/>
    <x v="15"/>
    <n v="20.8333333333333"/>
    <n v="7604.1666666666697"/>
    <n v="27375"/>
  </r>
  <r>
    <x v="0"/>
    <x v="0"/>
    <x v="0"/>
    <x v="0"/>
    <x v="0"/>
    <s v="DK2_Rural"/>
    <x v="4"/>
    <s v="GNR_ST_STRW_BP_E-24"/>
    <x v="0"/>
    <x v="16"/>
    <n v="20.8333333333333"/>
    <n v="7604.1666666666697"/>
    <n v="27375"/>
  </r>
  <r>
    <x v="0"/>
    <x v="0"/>
    <x v="0"/>
    <x v="0"/>
    <x v="0"/>
    <s v="DK2_Rural"/>
    <x v="4"/>
    <s v="GNR_ST_STRW_BP_E-24"/>
    <x v="0"/>
    <x v="17"/>
    <n v="20.8333333333333"/>
    <n v="7604.1666666666697"/>
    <n v="27375"/>
  </r>
  <r>
    <x v="0"/>
    <x v="0"/>
    <x v="0"/>
    <x v="0"/>
    <x v="0"/>
    <s v="DK2_Rural"/>
    <x v="4"/>
    <s v="GNR_ST_STRW_BP_E-24"/>
    <x v="0"/>
    <x v="18"/>
    <n v="20.8333333333333"/>
    <n v="7604.1666666666697"/>
    <n v="27375"/>
  </r>
  <r>
    <x v="0"/>
    <x v="0"/>
    <x v="0"/>
    <x v="0"/>
    <x v="0"/>
    <s v="DK2_Rural"/>
    <x v="4"/>
    <s v="GNR_ST_STRW_BP_E-24"/>
    <x v="0"/>
    <x v="19"/>
    <n v="20.8333333333333"/>
    <n v="7604.1666666666697"/>
    <n v="27375"/>
  </r>
  <r>
    <x v="0"/>
    <x v="0"/>
    <x v="0"/>
    <x v="0"/>
    <x v="0"/>
    <s v="DK2_Rural"/>
    <x v="4"/>
    <s v="GNR_ST_STRW_BP_E-24"/>
    <x v="0"/>
    <x v="20"/>
    <n v="20.8333333333333"/>
    <n v="7604.1666666666697"/>
    <n v="27375"/>
  </r>
  <r>
    <x v="0"/>
    <x v="0"/>
    <x v="0"/>
    <x v="0"/>
    <x v="0"/>
    <s v="DK2_Rural"/>
    <x v="4"/>
    <s v="GNR_ST_STRW_BP_E-24"/>
    <x v="0"/>
    <x v="21"/>
    <n v="20.8333333333333"/>
    <n v="7604.1666666666697"/>
    <n v="27375"/>
  </r>
  <r>
    <x v="0"/>
    <x v="0"/>
    <x v="0"/>
    <x v="0"/>
    <x v="0"/>
    <s v="DK2_Rural"/>
    <x v="4"/>
    <s v="GNR_ST_STRW_BP_E-24"/>
    <x v="0"/>
    <x v="22"/>
    <n v="20.8333333333333"/>
    <n v="7604.1666666666697"/>
    <n v="27375"/>
  </r>
  <r>
    <x v="0"/>
    <x v="0"/>
    <x v="0"/>
    <x v="0"/>
    <x v="0"/>
    <s v="DK2_Rural"/>
    <x v="4"/>
    <s v="GNR_ST_STRW_BP_E-24"/>
    <x v="0"/>
    <x v="23"/>
    <n v="20.8333333333333"/>
    <n v="7604.1666666666697"/>
    <n v="27375"/>
  </r>
  <r>
    <x v="0"/>
    <x v="0"/>
    <x v="0"/>
    <x v="0"/>
    <x v="0"/>
    <s v="DK2_Rural"/>
    <x v="4"/>
    <s v="GNR_ST_STRW_BP_E-27"/>
    <x v="0"/>
    <x v="0"/>
    <n v="36.962962962962997"/>
    <n v="13491.4814814815"/>
    <n v="48569.333333333299"/>
  </r>
  <r>
    <x v="0"/>
    <x v="0"/>
    <x v="0"/>
    <x v="0"/>
    <x v="0"/>
    <s v="DK2_Rural"/>
    <x v="4"/>
    <s v="GNR_ST_STRW_BP_E-27"/>
    <x v="0"/>
    <x v="1"/>
    <n v="36.962962962962997"/>
    <n v="13491.4814814815"/>
    <n v="48569.333333333299"/>
  </r>
  <r>
    <x v="0"/>
    <x v="0"/>
    <x v="0"/>
    <x v="0"/>
    <x v="0"/>
    <s v="DK2_Rural"/>
    <x v="4"/>
    <s v="GNR_ST_STRW_BP_E-27"/>
    <x v="0"/>
    <x v="2"/>
    <n v="36.962962962962997"/>
    <n v="13491.4814814815"/>
    <n v="48569.333333333299"/>
  </r>
  <r>
    <x v="0"/>
    <x v="0"/>
    <x v="0"/>
    <x v="0"/>
    <x v="0"/>
    <s v="DK2_Rural"/>
    <x v="4"/>
    <s v="GNR_ST_STRW_BP_E-27"/>
    <x v="0"/>
    <x v="3"/>
    <n v="36.962962962962997"/>
    <n v="13491.4814814815"/>
    <n v="48569.333333333299"/>
  </r>
  <r>
    <x v="0"/>
    <x v="0"/>
    <x v="0"/>
    <x v="0"/>
    <x v="0"/>
    <s v="DK2_Rural"/>
    <x v="4"/>
    <s v="GNR_ST_STRW_BP_E-27"/>
    <x v="0"/>
    <x v="4"/>
    <n v="36.962962962962997"/>
    <n v="13491.4814814815"/>
    <n v="48569.333333333299"/>
  </r>
  <r>
    <x v="0"/>
    <x v="0"/>
    <x v="0"/>
    <x v="0"/>
    <x v="0"/>
    <s v="DK2_Rural"/>
    <x v="4"/>
    <s v="GNR_ST_STRW_BP_E-27"/>
    <x v="0"/>
    <x v="5"/>
    <n v="36.962962962962997"/>
    <n v="13491.4814814815"/>
    <n v="48569.333333333299"/>
  </r>
  <r>
    <x v="0"/>
    <x v="0"/>
    <x v="0"/>
    <x v="0"/>
    <x v="0"/>
    <s v="DK2_Rural"/>
    <x v="4"/>
    <s v="GNR_ST_STRW_BP_E-27"/>
    <x v="0"/>
    <x v="6"/>
    <n v="36.962962962962997"/>
    <n v="13491.4814814815"/>
    <n v="48569.333333333299"/>
  </r>
  <r>
    <x v="0"/>
    <x v="0"/>
    <x v="0"/>
    <x v="0"/>
    <x v="0"/>
    <s v="DK2_Rural"/>
    <x v="4"/>
    <s v="GNR_ST_STRW_BP_E-27"/>
    <x v="0"/>
    <x v="7"/>
    <n v="36.962962962962997"/>
    <n v="13491.4814814815"/>
    <n v="48569.333333333299"/>
  </r>
  <r>
    <x v="0"/>
    <x v="0"/>
    <x v="0"/>
    <x v="0"/>
    <x v="0"/>
    <s v="DK2_Rural"/>
    <x v="4"/>
    <s v="GNR_ST_STRW_BP_E-27"/>
    <x v="0"/>
    <x v="8"/>
    <n v="36.962962962962997"/>
    <n v="13491.4814814815"/>
    <n v="48569.333333333299"/>
  </r>
  <r>
    <x v="0"/>
    <x v="0"/>
    <x v="0"/>
    <x v="0"/>
    <x v="0"/>
    <s v="DK2_Rural"/>
    <x v="4"/>
    <s v="GNR_ST_STRW_BP_E-27"/>
    <x v="0"/>
    <x v="9"/>
    <n v="36.962962962962997"/>
    <n v="13491.4814814815"/>
    <n v="48569.333333333299"/>
  </r>
  <r>
    <x v="0"/>
    <x v="0"/>
    <x v="0"/>
    <x v="0"/>
    <x v="0"/>
    <s v="DK2_Rural"/>
    <x v="4"/>
    <s v="GNR_ST_STRW_BP_E-27"/>
    <x v="0"/>
    <x v="10"/>
    <n v="36.962962962962997"/>
    <n v="13491.4814814815"/>
    <n v="48569.333333333299"/>
  </r>
  <r>
    <x v="0"/>
    <x v="0"/>
    <x v="0"/>
    <x v="0"/>
    <x v="0"/>
    <s v="DK2_Rural"/>
    <x v="4"/>
    <s v="GNR_ST_STRW_BP_E-27"/>
    <x v="0"/>
    <x v="11"/>
    <n v="36.962962962962997"/>
    <n v="13491.4814814815"/>
    <n v="48569.333333333299"/>
  </r>
  <r>
    <x v="0"/>
    <x v="0"/>
    <x v="0"/>
    <x v="0"/>
    <x v="0"/>
    <s v="DK2_Rural"/>
    <x v="4"/>
    <s v="GNR_ST_STRW_BP_E-27"/>
    <x v="0"/>
    <x v="12"/>
    <n v="36.962962962962997"/>
    <n v="13491.4814814815"/>
    <n v="48569.333333333299"/>
  </r>
  <r>
    <x v="0"/>
    <x v="0"/>
    <x v="0"/>
    <x v="0"/>
    <x v="0"/>
    <s v="DK2_Rural"/>
    <x v="4"/>
    <s v="GNR_ST_STRW_BP_E-27"/>
    <x v="0"/>
    <x v="13"/>
    <n v="36.962962962962997"/>
    <n v="13491.4814814815"/>
    <n v="48569.333333333299"/>
  </r>
  <r>
    <x v="0"/>
    <x v="0"/>
    <x v="0"/>
    <x v="0"/>
    <x v="0"/>
    <s v="DK2_Rural"/>
    <x v="4"/>
    <s v="GNR_ST_STRW_BP_E-27"/>
    <x v="0"/>
    <x v="14"/>
    <n v="36.962962962962997"/>
    <n v="13491.4814814815"/>
    <n v="48569.333333333299"/>
  </r>
  <r>
    <x v="0"/>
    <x v="0"/>
    <x v="0"/>
    <x v="0"/>
    <x v="0"/>
    <s v="DK2_Rural"/>
    <x v="4"/>
    <s v="GNR_ST_STRW_BP_E-27"/>
    <x v="0"/>
    <x v="15"/>
    <n v="36.962962962962997"/>
    <n v="13491.4814814815"/>
    <n v="48569.333333333299"/>
  </r>
  <r>
    <x v="0"/>
    <x v="0"/>
    <x v="0"/>
    <x v="0"/>
    <x v="0"/>
    <s v="DK2_Rural"/>
    <x v="4"/>
    <s v="GNR_ST_STRW_BP_E-27"/>
    <x v="0"/>
    <x v="16"/>
    <n v="36.962962962962997"/>
    <n v="13491.4814814815"/>
    <n v="48569.333333333299"/>
  </r>
  <r>
    <x v="0"/>
    <x v="0"/>
    <x v="0"/>
    <x v="0"/>
    <x v="0"/>
    <s v="DK2_Rural"/>
    <x v="4"/>
    <s v="GNR_ST_STRW_BP_E-27"/>
    <x v="0"/>
    <x v="17"/>
    <n v="36.962962962962997"/>
    <n v="13491.4814814815"/>
    <n v="48569.333333333299"/>
  </r>
  <r>
    <x v="0"/>
    <x v="0"/>
    <x v="0"/>
    <x v="0"/>
    <x v="0"/>
    <s v="DK2_Rural"/>
    <x v="4"/>
    <s v="GNR_ST_STRW_BP_E-27"/>
    <x v="0"/>
    <x v="18"/>
    <n v="36.962962962962997"/>
    <n v="13491.4814814815"/>
    <n v="48569.333333333299"/>
  </r>
  <r>
    <x v="0"/>
    <x v="0"/>
    <x v="0"/>
    <x v="0"/>
    <x v="0"/>
    <s v="DK2_Rural"/>
    <x v="4"/>
    <s v="GNR_ST_STRW_BP_E-27"/>
    <x v="0"/>
    <x v="19"/>
    <n v="36.962962962962997"/>
    <n v="13491.4814814815"/>
    <n v="48569.333333333299"/>
  </r>
  <r>
    <x v="0"/>
    <x v="0"/>
    <x v="0"/>
    <x v="0"/>
    <x v="0"/>
    <s v="DK2_Rural"/>
    <x v="4"/>
    <s v="GNR_ST_STRW_BP_E-27"/>
    <x v="0"/>
    <x v="20"/>
    <n v="36.962962962962997"/>
    <n v="13491.4814814815"/>
    <n v="48569.333333333299"/>
  </r>
  <r>
    <x v="0"/>
    <x v="0"/>
    <x v="0"/>
    <x v="0"/>
    <x v="0"/>
    <s v="DK2_Rural"/>
    <x v="4"/>
    <s v="GNR_ST_STRW_BP_E-27"/>
    <x v="0"/>
    <x v="21"/>
    <n v="36.962962962962997"/>
    <n v="13491.4814814815"/>
    <n v="48569.333333333299"/>
  </r>
  <r>
    <x v="0"/>
    <x v="0"/>
    <x v="0"/>
    <x v="0"/>
    <x v="0"/>
    <s v="DK2_Rural"/>
    <x v="4"/>
    <s v="GNR_ST_STRW_BP_E-27"/>
    <x v="0"/>
    <x v="22"/>
    <n v="36.962962962962997"/>
    <n v="13491.4814814815"/>
    <n v="48569.333333333299"/>
  </r>
  <r>
    <x v="0"/>
    <x v="0"/>
    <x v="0"/>
    <x v="0"/>
    <x v="0"/>
    <s v="DK2_Rural"/>
    <x v="4"/>
    <s v="GNR_ST_STRW_BP_E-27"/>
    <x v="0"/>
    <x v="23"/>
    <n v="36.962962962962997"/>
    <n v="13491.4814814815"/>
    <n v="48569.333333333299"/>
  </r>
  <r>
    <x v="0"/>
    <x v="0"/>
    <x v="0"/>
    <x v="0"/>
    <x v="0"/>
    <s v="DK2_Rural"/>
    <x v="4"/>
    <s v="GNR_ST_STRW_BP_E-28"/>
    <x v="0"/>
    <x v="0"/>
    <n v="39.655172413793103"/>
    <n v="14474.1379310345"/>
    <n v="52106.896551724203"/>
  </r>
  <r>
    <x v="0"/>
    <x v="0"/>
    <x v="0"/>
    <x v="0"/>
    <x v="0"/>
    <s v="DK2_Rural"/>
    <x v="4"/>
    <s v="GNR_ST_STRW_BP_E-28"/>
    <x v="0"/>
    <x v="1"/>
    <n v="39.655172413793103"/>
    <n v="14474.1379310345"/>
    <n v="52106.896551724203"/>
  </r>
  <r>
    <x v="0"/>
    <x v="0"/>
    <x v="0"/>
    <x v="0"/>
    <x v="0"/>
    <s v="DK2_Rural"/>
    <x v="4"/>
    <s v="GNR_ST_STRW_BP_E-28"/>
    <x v="0"/>
    <x v="2"/>
    <n v="39.655172413793103"/>
    <n v="14474.1379310345"/>
    <n v="52106.896551724203"/>
  </r>
  <r>
    <x v="0"/>
    <x v="0"/>
    <x v="0"/>
    <x v="0"/>
    <x v="0"/>
    <s v="DK2_Rural"/>
    <x v="4"/>
    <s v="GNR_ST_STRW_BP_E-28"/>
    <x v="0"/>
    <x v="3"/>
    <n v="39.655172413793103"/>
    <n v="14474.1379310345"/>
    <n v="52106.896551724203"/>
  </r>
  <r>
    <x v="0"/>
    <x v="0"/>
    <x v="0"/>
    <x v="0"/>
    <x v="0"/>
    <s v="DK2_Rural"/>
    <x v="4"/>
    <s v="GNR_ST_STRW_BP_E-28"/>
    <x v="0"/>
    <x v="4"/>
    <n v="39.655172413793103"/>
    <n v="14474.1379310345"/>
    <n v="52106.896551724203"/>
  </r>
  <r>
    <x v="0"/>
    <x v="0"/>
    <x v="0"/>
    <x v="0"/>
    <x v="0"/>
    <s v="DK2_Rural"/>
    <x v="4"/>
    <s v="GNR_ST_STRW_BP_E-28"/>
    <x v="0"/>
    <x v="5"/>
    <n v="39.655172413793103"/>
    <n v="14474.1379310345"/>
    <n v="52106.896551724203"/>
  </r>
  <r>
    <x v="0"/>
    <x v="0"/>
    <x v="0"/>
    <x v="0"/>
    <x v="0"/>
    <s v="DK2_Rural"/>
    <x v="4"/>
    <s v="GNR_ST_STRW_BP_E-28"/>
    <x v="0"/>
    <x v="6"/>
    <n v="39.655172413793103"/>
    <n v="14474.1379310345"/>
    <n v="52106.896551724203"/>
  </r>
  <r>
    <x v="0"/>
    <x v="0"/>
    <x v="0"/>
    <x v="0"/>
    <x v="0"/>
    <s v="DK2_Rural"/>
    <x v="4"/>
    <s v="GNR_ST_STRW_BP_E-28"/>
    <x v="0"/>
    <x v="7"/>
    <n v="39.655172413793103"/>
    <n v="14474.1379310345"/>
    <n v="52106.896551724203"/>
  </r>
  <r>
    <x v="0"/>
    <x v="0"/>
    <x v="0"/>
    <x v="0"/>
    <x v="0"/>
    <s v="DK2_Rural"/>
    <x v="4"/>
    <s v="GNR_ST_STRW_BP_E-28"/>
    <x v="0"/>
    <x v="8"/>
    <n v="39.655172413793103"/>
    <n v="14474.1379310345"/>
    <n v="52106.896551724203"/>
  </r>
  <r>
    <x v="0"/>
    <x v="0"/>
    <x v="0"/>
    <x v="0"/>
    <x v="0"/>
    <s v="DK2_Rural"/>
    <x v="4"/>
    <s v="GNR_ST_STRW_BP_E-28"/>
    <x v="0"/>
    <x v="9"/>
    <n v="39.655172413793103"/>
    <n v="14474.1379310345"/>
    <n v="52106.896551724203"/>
  </r>
  <r>
    <x v="0"/>
    <x v="0"/>
    <x v="0"/>
    <x v="0"/>
    <x v="0"/>
    <s v="DK2_Rural"/>
    <x v="4"/>
    <s v="GNR_ST_STRW_BP_E-28"/>
    <x v="0"/>
    <x v="10"/>
    <n v="39.655172413793103"/>
    <n v="14474.1379310345"/>
    <n v="52106.896551724203"/>
  </r>
  <r>
    <x v="0"/>
    <x v="0"/>
    <x v="0"/>
    <x v="0"/>
    <x v="0"/>
    <s v="DK2_Rural"/>
    <x v="4"/>
    <s v="GNR_ST_STRW_BP_E-28"/>
    <x v="0"/>
    <x v="11"/>
    <n v="39.655172413793103"/>
    <n v="14474.1379310345"/>
    <n v="52106.896551724203"/>
  </r>
  <r>
    <x v="0"/>
    <x v="0"/>
    <x v="0"/>
    <x v="0"/>
    <x v="0"/>
    <s v="DK2_Rural"/>
    <x v="4"/>
    <s v="GNR_ST_STRW_BP_E-28"/>
    <x v="0"/>
    <x v="12"/>
    <n v="39.655172413793103"/>
    <n v="14474.1379310345"/>
    <n v="52106.896551724203"/>
  </r>
  <r>
    <x v="0"/>
    <x v="0"/>
    <x v="0"/>
    <x v="0"/>
    <x v="0"/>
    <s v="DK2_Rural"/>
    <x v="4"/>
    <s v="GNR_ST_STRW_BP_E-28"/>
    <x v="0"/>
    <x v="13"/>
    <n v="39.655172413793103"/>
    <n v="14474.1379310345"/>
    <n v="52106.896551724203"/>
  </r>
  <r>
    <x v="0"/>
    <x v="0"/>
    <x v="0"/>
    <x v="0"/>
    <x v="0"/>
    <s v="DK2_Rural"/>
    <x v="4"/>
    <s v="GNR_ST_STRW_BP_E-28"/>
    <x v="0"/>
    <x v="14"/>
    <n v="39.655172413793103"/>
    <n v="14474.1379310345"/>
    <n v="52106.896551724203"/>
  </r>
  <r>
    <x v="0"/>
    <x v="0"/>
    <x v="0"/>
    <x v="0"/>
    <x v="0"/>
    <s v="DK2_Rural"/>
    <x v="4"/>
    <s v="GNR_ST_STRW_BP_E-28"/>
    <x v="0"/>
    <x v="15"/>
    <n v="39.655172413793103"/>
    <n v="14474.1379310345"/>
    <n v="52106.896551724203"/>
  </r>
  <r>
    <x v="0"/>
    <x v="0"/>
    <x v="0"/>
    <x v="0"/>
    <x v="0"/>
    <s v="DK2_Rural"/>
    <x v="4"/>
    <s v="GNR_ST_STRW_BP_E-28"/>
    <x v="0"/>
    <x v="16"/>
    <n v="39.655172413793103"/>
    <n v="14474.1379310345"/>
    <n v="52106.896551724203"/>
  </r>
  <r>
    <x v="0"/>
    <x v="0"/>
    <x v="0"/>
    <x v="0"/>
    <x v="0"/>
    <s v="DK2_Rural"/>
    <x v="4"/>
    <s v="GNR_ST_STRW_BP_E-28"/>
    <x v="0"/>
    <x v="17"/>
    <n v="39.655172413793103"/>
    <n v="14474.1379310345"/>
    <n v="52106.896551724203"/>
  </r>
  <r>
    <x v="0"/>
    <x v="0"/>
    <x v="0"/>
    <x v="0"/>
    <x v="0"/>
    <s v="DK2_Rural"/>
    <x v="4"/>
    <s v="GNR_ST_STRW_BP_E-28"/>
    <x v="0"/>
    <x v="18"/>
    <n v="39.655172413793103"/>
    <n v="14474.1379310345"/>
    <n v="52106.896551724203"/>
  </r>
  <r>
    <x v="0"/>
    <x v="0"/>
    <x v="0"/>
    <x v="0"/>
    <x v="0"/>
    <s v="DK2_Rural"/>
    <x v="4"/>
    <s v="GNR_ST_STRW_BP_E-28"/>
    <x v="0"/>
    <x v="19"/>
    <n v="39.655172413793103"/>
    <n v="14474.1379310345"/>
    <n v="52106.896551724203"/>
  </r>
  <r>
    <x v="0"/>
    <x v="0"/>
    <x v="0"/>
    <x v="0"/>
    <x v="0"/>
    <s v="DK2_Rural"/>
    <x v="4"/>
    <s v="GNR_ST_STRW_BP_E-28"/>
    <x v="0"/>
    <x v="20"/>
    <n v="39.655172413793103"/>
    <n v="14474.1379310345"/>
    <n v="52106.896551724203"/>
  </r>
  <r>
    <x v="0"/>
    <x v="0"/>
    <x v="0"/>
    <x v="0"/>
    <x v="0"/>
    <s v="DK2_Rural"/>
    <x v="4"/>
    <s v="GNR_ST_STRW_BP_E-28"/>
    <x v="0"/>
    <x v="21"/>
    <n v="39.655172413793103"/>
    <n v="14474.1379310345"/>
    <n v="52106.896551724203"/>
  </r>
  <r>
    <x v="0"/>
    <x v="0"/>
    <x v="0"/>
    <x v="0"/>
    <x v="0"/>
    <s v="DK2_Rural"/>
    <x v="4"/>
    <s v="GNR_ST_STRW_BP_E-28"/>
    <x v="0"/>
    <x v="22"/>
    <n v="39.655172413793103"/>
    <n v="14474.1379310345"/>
    <n v="52106.896551724203"/>
  </r>
  <r>
    <x v="0"/>
    <x v="0"/>
    <x v="0"/>
    <x v="0"/>
    <x v="0"/>
    <s v="DK2_Rural"/>
    <x v="4"/>
    <s v="GNR_ST_STRW_BP_E-28"/>
    <x v="0"/>
    <x v="23"/>
    <n v="39.655172413793103"/>
    <n v="14474.1379310345"/>
    <n v="52106.896551724203"/>
  </r>
  <r>
    <x v="0"/>
    <x v="0"/>
    <x v="0"/>
    <x v="0"/>
    <x v="0"/>
    <s v="DK2_Rural"/>
    <x v="2"/>
    <s v="GNR_EH_HEAT"/>
    <x v="0"/>
    <x v="0"/>
    <n v="16.5"/>
    <n v="6022.5"/>
    <n v="21681"/>
  </r>
  <r>
    <x v="0"/>
    <x v="0"/>
    <x v="0"/>
    <x v="0"/>
    <x v="0"/>
    <s v="DK2_Rural"/>
    <x v="2"/>
    <s v="GNR_EH_HEAT"/>
    <x v="0"/>
    <x v="1"/>
    <n v="16.5"/>
    <n v="6022.5"/>
    <n v="21681"/>
  </r>
  <r>
    <x v="0"/>
    <x v="0"/>
    <x v="0"/>
    <x v="0"/>
    <x v="0"/>
    <s v="DK2_Rural"/>
    <x v="2"/>
    <s v="GNR_EH_HEAT"/>
    <x v="0"/>
    <x v="2"/>
    <n v="16.5"/>
    <n v="6022.5"/>
    <n v="21681"/>
  </r>
  <r>
    <x v="0"/>
    <x v="0"/>
    <x v="0"/>
    <x v="0"/>
    <x v="0"/>
    <s v="DK2_Rural"/>
    <x v="2"/>
    <s v="GNR_EH_HEAT"/>
    <x v="0"/>
    <x v="3"/>
    <n v="16.5"/>
    <n v="6022.5"/>
    <n v="21681"/>
  </r>
  <r>
    <x v="0"/>
    <x v="0"/>
    <x v="0"/>
    <x v="0"/>
    <x v="0"/>
    <s v="DK2_Rural"/>
    <x v="2"/>
    <s v="GNR_EH_HEAT"/>
    <x v="0"/>
    <x v="4"/>
    <n v="16.5"/>
    <n v="6022.5"/>
    <n v="21681"/>
  </r>
  <r>
    <x v="0"/>
    <x v="0"/>
    <x v="0"/>
    <x v="0"/>
    <x v="0"/>
    <s v="DK2_Rural"/>
    <x v="2"/>
    <s v="GNR_EH_HEAT"/>
    <x v="0"/>
    <x v="5"/>
    <n v="16.5"/>
    <n v="6022.5"/>
    <n v="21681"/>
  </r>
  <r>
    <x v="0"/>
    <x v="0"/>
    <x v="0"/>
    <x v="0"/>
    <x v="0"/>
    <s v="DK2_Rural"/>
    <x v="2"/>
    <s v="GNR_EH_HEAT"/>
    <x v="0"/>
    <x v="6"/>
    <n v="16.5"/>
    <n v="6022.5"/>
    <n v="21681"/>
  </r>
  <r>
    <x v="0"/>
    <x v="0"/>
    <x v="0"/>
    <x v="0"/>
    <x v="0"/>
    <s v="DK2_Rural"/>
    <x v="2"/>
    <s v="GNR_EH_HEAT"/>
    <x v="0"/>
    <x v="7"/>
    <n v="16.5"/>
    <n v="6022.5"/>
    <n v="21681"/>
  </r>
  <r>
    <x v="0"/>
    <x v="0"/>
    <x v="0"/>
    <x v="0"/>
    <x v="0"/>
    <s v="DK2_Rural"/>
    <x v="2"/>
    <s v="GNR_EH_HEAT"/>
    <x v="0"/>
    <x v="8"/>
    <n v="16.5"/>
    <n v="6022.5"/>
    <n v="21681"/>
  </r>
  <r>
    <x v="0"/>
    <x v="0"/>
    <x v="0"/>
    <x v="0"/>
    <x v="0"/>
    <s v="DK2_Rural"/>
    <x v="2"/>
    <s v="GNR_EH_HEAT"/>
    <x v="0"/>
    <x v="9"/>
    <n v="16.5"/>
    <n v="6022.5"/>
    <n v="21681"/>
  </r>
  <r>
    <x v="0"/>
    <x v="0"/>
    <x v="0"/>
    <x v="0"/>
    <x v="0"/>
    <s v="DK2_Rural"/>
    <x v="2"/>
    <s v="GNR_EH_HEAT"/>
    <x v="0"/>
    <x v="10"/>
    <n v="16.5"/>
    <n v="6022.5"/>
    <n v="21681"/>
  </r>
  <r>
    <x v="0"/>
    <x v="0"/>
    <x v="0"/>
    <x v="0"/>
    <x v="0"/>
    <s v="DK2_Rural"/>
    <x v="2"/>
    <s v="GNR_EH_HEAT"/>
    <x v="0"/>
    <x v="11"/>
    <n v="16.5"/>
    <n v="6022.5"/>
    <n v="21681"/>
  </r>
  <r>
    <x v="0"/>
    <x v="0"/>
    <x v="0"/>
    <x v="0"/>
    <x v="0"/>
    <s v="DK2_Rural"/>
    <x v="2"/>
    <s v="GNR_EH_HEAT"/>
    <x v="0"/>
    <x v="12"/>
    <n v="16.5"/>
    <n v="6022.5"/>
    <n v="21681"/>
  </r>
  <r>
    <x v="0"/>
    <x v="0"/>
    <x v="0"/>
    <x v="0"/>
    <x v="0"/>
    <s v="DK2_Rural"/>
    <x v="2"/>
    <s v="GNR_EH_HEAT"/>
    <x v="0"/>
    <x v="13"/>
    <n v="16.5"/>
    <n v="6022.5"/>
    <n v="21681"/>
  </r>
  <r>
    <x v="0"/>
    <x v="0"/>
    <x v="0"/>
    <x v="0"/>
    <x v="0"/>
    <s v="DK2_Rural"/>
    <x v="2"/>
    <s v="GNR_EH_HEAT"/>
    <x v="0"/>
    <x v="14"/>
    <n v="16.5"/>
    <n v="6022.5"/>
    <n v="21681"/>
  </r>
  <r>
    <x v="0"/>
    <x v="0"/>
    <x v="0"/>
    <x v="0"/>
    <x v="0"/>
    <s v="DK2_Rural"/>
    <x v="2"/>
    <s v="GNR_EH_HEAT"/>
    <x v="0"/>
    <x v="15"/>
    <n v="16.5"/>
    <n v="6022.5"/>
    <n v="21681"/>
  </r>
  <r>
    <x v="0"/>
    <x v="0"/>
    <x v="0"/>
    <x v="0"/>
    <x v="0"/>
    <s v="DK2_Rural"/>
    <x v="2"/>
    <s v="GNR_EH_HEAT"/>
    <x v="0"/>
    <x v="16"/>
    <n v="16.5"/>
    <n v="6022.5"/>
    <n v="21681"/>
  </r>
  <r>
    <x v="0"/>
    <x v="0"/>
    <x v="0"/>
    <x v="0"/>
    <x v="0"/>
    <s v="DK2_Rural"/>
    <x v="2"/>
    <s v="GNR_EH_HEAT"/>
    <x v="0"/>
    <x v="17"/>
    <n v="16.5"/>
    <n v="6022.5"/>
    <n v="21681"/>
  </r>
  <r>
    <x v="0"/>
    <x v="0"/>
    <x v="0"/>
    <x v="0"/>
    <x v="0"/>
    <s v="DK2_Rural"/>
    <x v="2"/>
    <s v="GNR_EH_HEAT"/>
    <x v="0"/>
    <x v="18"/>
    <n v="16.5"/>
    <n v="6022.5"/>
    <n v="21681"/>
  </r>
  <r>
    <x v="0"/>
    <x v="0"/>
    <x v="0"/>
    <x v="0"/>
    <x v="0"/>
    <s v="DK2_Rural"/>
    <x v="2"/>
    <s v="GNR_EH_HEAT"/>
    <x v="0"/>
    <x v="19"/>
    <n v="16.5"/>
    <n v="6022.5"/>
    <n v="21681"/>
  </r>
  <r>
    <x v="0"/>
    <x v="0"/>
    <x v="0"/>
    <x v="0"/>
    <x v="0"/>
    <s v="DK2_Rural"/>
    <x v="2"/>
    <s v="GNR_EH_HEAT"/>
    <x v="0"/>
    <x v="20"/>
    <n v="16.5"/>
    <n v="6022.5"/>
    <n v="21681"/>
  </r>
  <r>
    <x v="0"/>
    <x v="0"/>
    <x v="0"/>
    <x v="0"/>
    <x v="0"/>
    <s v="DK2_Rural"/>
    <x v="2"/>
    <s v="GNR_EH_HEAT"/>
    <x v="0"/>
    <x v="21"/>
    <n v="16.5"/>
    <n v="6022.5"/>
    <n v="21681"/>
  </r>
  <r>
    <x v="0"/>
    <x v="0"/>
    <x v="0"/>
    <x v="0"/>
    <x v="0"/>
    <s v="DK2_Rural"/>
    <x v="2"/>
    <s v="GNR_EH_HEAT"/>
    <x v="0"/>
    <x v="22"/>
    <n v="16.5"/>
    <n v="6022.5"/>
    <n v="21681"/>
  </r>
  <r>
    <x v="0"/>
    <x v="0"/>
    <x v="0"/>
    <x v="0"/>
    <x v="0"/>
    <s v="DK2_Rural"/>
    <x v="2"/>
    <s v="GNR_EH_HEAT"/>
    <x v="0"/>
    <x v="23"/>
    <n v="16.5"/>
    <n v="6022.5"/>
    <n v="21681"/>
  </r>
  <r>
    <x v="0"/>
    <x v="0"/>
    <x v="0"/>
    <x v="0"/>
    <x v="0"/>
    <s v="DK2_Rural"/>
    <x v="9"/>
    <s v="GNR_BO_WOODWST_E-100"/>
    <x v="0"/>
    <x v="0"/>
    <n v="6.3"/>
    <n v="2299.5"/>
    <n v="8278.2000000000007"/>
  </r>
  <r>
    <x v="0"/>
    <x v="0"/>
    <x v="0"/>
    <x v="0"/>
    <x v="0"/>
    <s v="DK2_Rural"/>
    <x v="9"/>
    <s v="GNR_BO_WOODWST_E-100"/>
    <x v="0"/>
    <x v="1"/>
    <n v="6.3"/>
    <n v="2299.5"/>
    <n v="8278.2000000000007"/>
  </r>
  <r>
    <x v="0"/>
    <x v="0"/>
    <x v="0"/>
    <x v="0"/>
    <x v="0"/>
    <s v="DK2_Rural"/>
    <x v="9"/>
    <s v="GNR_BO_WOODWST_E-100"/>
    <x v="0"/>
    <x v="2"/>
    <n v="6.3"/>
    <n v="2299.5"/>
    <n v="8278.2000000000007"/>
  </r>
  <r>
    <x v="0"/>
    <x v="0"/>
    <x v="0"/>
    <x v="0"/>
    <x v="0"/>
    <s v="DK2_Rural"/>
    <x v="9"/>
    <s v="GNR_BO_WOODWST_E-100"/>
    <x v="0"/>
    <x v="3"/>
    <n v="6.3"/>
    <n v="2299.5"/>
    <n v="8278.2000000000007"/>
  </r>
  <r>
    <x v="0"/>
    <x v="0"/>
    <x v="0"/>
    <x v="0"/>
    <x v="0"/>
    <s v="DK2_Rural"/>
    <x v="9"/>
    <s v="GNR_BO_WOODWST_E-100"/>
    <x v="0"/>
    <x v="4"/>
    <n v="6.3"/>
    <n v="2299.5"/>
    <n v="8278.2000000000007"/>
  </r>
  <r>
    <x v="0"/>
    <x v="0"/>
    <x v="0"/>
    <x v="0"/>
    <x v="0"/>
    <s v="DK2_Rural"/>
    <x v="9"/>
    <s v="GNR_BO_WOODWST_E-100"/>
    <x v="0"/>
    <x v="5"/>
    <n v="6.3"/>
    <n v="2299.5"/>
    <n v="8278.2000000000007"/>
  </r>
  <r>
    <x v="0"/>
    <x v="0"/>
    <x v="0"/>
    <x v="0"/>
    <x v="0"/>
    <s v="DK2_Rural"/>
    <x v="9"/>
    <s v="GNR_BO_WOODWST_E-100"/>
    <x v="0"/>
    <x v="6"/>
    <n v="6.3"/>
    <n v="2299.5"/>
    <n v="8278.2000000000007"/>
  </r>
  <r>
    <x v="0"/>
    <x v="0"/>
    <x v="0"/>
    <x v="0"/>
    <x v="0"/>
    <s v="DK2_Rural"/>
    <x v="9"/>
    <s v="GNR_BO_WOODWST_E-100"/>
    <x v="0"/>
    <x v="7"/>
    <n v="6.3"/>
    <n v="2299.5"/>
    <n v="8278.2000000000007"/>
  </r>
  <r>
    <x v="0"/>
    <x v="0"/>
    <x v="0"/>
    <x v="0"/>
    <x v="0"/>
    <s v="DK2_Rural"/>
    <x v="9"/>
    <s v="GNR_BO_WOODWST_E-100"/>
    <x v="0"/>
    <x v="8"/>
    <n v="6.3"/>
    <n v="2299.5"/>
    <n v="8278.2000000000007"/>
  </r>
  <r>
    <x v="0"/>
    <x v="0"/>
    <x v="0"/>
    <x v="0"/>
    <x v="0"/>
    <s v="DK2_Rural"/>
    <x v="9"/>
    <s v="GNR_BO_WOODWST_E-100"/>
    <x v="0"/>
    <x v="9"/>
    <n v="6.3"/>
    <n v="2299.5"/>
    <n v="8278.2000000000007"/>
  </r>
  <r>
    <x v="0"/>
    <x v="0"/>
    <x v="0"/>
    <x v="0"/>
    <x v="0"/>
    <s v="DK2_Rural"/>
    <x v="9"/>
    <s v="GNR_BO_WOODWST_E-100"/>
    <x v="0"/>
    <x v="10"/>
    <n v="6.3"/>
    <n v="2299.5"/>
    <n v="8278.2000000000007"/>
  </r>
  <r>
    <x v="0"/>
    <x v="0"/>
    <x v="0"/>
    <x v="0"/>
    <x v="0"/>
    <s v="DK2_Rural"/>
    <x v="9"/>
    <s v="GNR_BO_WOODWST_E-100"/>
    <x v="0"/>
    <x v="11"/>
    <n v="6.3"/>
    <n v="2299.5"/>
    <n v="8278.2000000000007"/>
  </r>
  <r>
    <x v="0"/>
    <x v="0"/>
    <x v="0"/>
    <x v="0"/>
    <x v="0"/>
    <s v="DK2_Rural"/>
    <x v="9"/>
    <s v="GNR_BO_WOODWST_E-100"/>
    <x v="0"/>
    <x v="12"/>
    <n v="6.3"/>
    <n v="2299.5"/>
    <n v="8278.2000000000007"/>
  </r>
  <r>
    <x v="0"/>
    <x v="0"/>
    <x v="0"/>
    <x v="0"/>
    <x v="0"/>
    <s v="DK2_Rural"/>
    <x v="9"/>
    <s v="GNR_BO_WOODWST_E-100"/>
    <x v="0"/>
    <x v="13"/>
    <n v="6.3"/>
    <n v="2299.5"/>
    <n v="8278.2000000000007"/>
  </r>
  <r>
    <x v="0"/>
    <x v="0"/>
    <x v="0"/>
    <x v="0"/>
    <x v="0"/>
    <s v="DK2_Rural"/>
    <x v="9"/>
    <s v="GNR_BO_WOODWST_E-100"/>
    <x v="0"/>
    <x v="14"/>
    <n v="6.3"/>
    <n v="2299.5"/>
    <n v="8278.2000000000007"/>
  </r>
  <r>
    <x v="0"/>
    <x v="0"/>
    <x v="0"/>
    <x v="0"/>
    <x v="0"/>
    <s v="DK2_Rural"/>
    <x v="9"/>
    <s v="GNR_BO_WOODWST_E-100"/>
    <x v="0"/>
    <x v="15"/>
    <n v="6.3"/>
    <n v="2299.5"/>
    <n v="8278.2000000000007"/>
  </r>
  <r>
    <x v="0"/>
    <x v="0"/>
    <x v="0"/>
    <x v="0"/>
    <x v="0"/>
    <s v="DK2_Rural"/>
    <x v="9"/>
    <s v="GNR_BO_WOODWST_E-100"/>
    <x v="0"/>
    <x v="16"/>
    <n v="6.3"/>
    <n v="2299.5"/>
    <n v="8278.2000000000007"/>
  </r>
  <r>
    <x v="0"/>
    <x v="0"/>
    <x v="0"/>
    <x v="0"/>
    <x v="0"/>
    <s v="DK2_Rural"/>
    <x v="9"/>
    <s v="GNR_BO_WOODWST_E-100"/>
    <x v="0"/>
    <x v="17"/>
    <n v="6.3"/>
    <n v="2299.5"/>
    <n v="8278.2000000000007"/>
  </r>
  <r>
    <x v="0"/>
    <x v="0"/>
    <x v="0"/>
    <x v="0"/>
    <x v="0"/>
    <s v="DK2_Rural"/>
    <x v="9"/>
    <s v="GNR_BO_WOODWST_E-100"/>
    <x v="0"/>
    <x v="18"/>
    <n v="6.3"/>
    <n v="2299.5"/>
    <n v="8278.2000000000007"/>
  </r>
  <r>
    <x v="0"/>
    <x v="0"/>
    <x v="0"/>
    <x v="0"/>
    <x v="0"/>
    <s v="DK2_Rural"/>
    <x v="9"/>
    <s v="GNR_BO_WOODWST_E-100"/>
    <x v="0"/>
    <x v="19"/>
    <n v="6.3"/>
    <n v="2299.5"/>
    <n v="8278.2000000000007"/>
  </r>
  <r>
    <x v="0"/>
    <x v="0"/>
    <x v="0"/>
    <x v="0"/>
    <x v="0"/>
    <s v="DK2_Rural"/>
    <x v="9"/>
    <s v="GNR_BO_WOODWST_E-100"/>
    <x v="0"/>
    <x v="20"/>
    <n v="6.3"/>
    <n v="2299.5"/>
    <n v="8278.2000000000007"/>
  </r>
  <r>
    <x v="0"/>
    <x v="0"/>
    <x v="0"/>
    <x v="0"/>
    <x v="0"/>
    <s v="DK2_Rural"/>
    <x v="9"/>
    <s v="GNR_BO_WOODWST_E-100"/>
    <x v="0"/>
    <x v="21"/>
    <n v="6.3"/>
    <n v="2299.5"/>
    <n v="8278.2000000000007"/>
  </r>
  <r>
    <x v="0"/>
    <x v="0"/>
    <x v="0"/>
    <x v="0"/>
    <x v="0"/>
    <s v="DK2_Rural"/>
    <x v="9"/>
    <s v="GNR_BO_WOODWST_E-100"/>
    <x v="0"/>
    <x v="22"/>
    <n v="6.3"/>
    <n v="2299.5"/>
    <n v="8278.2000000000007"/>
  </r>
  <r>
    <x v="0"/>
    <x v="0"/>
    <x v="0"/>
    <x v="0"/>
    <x v="0"/>
    <s v="DK2_Rural"/>
    <x v="9"/>
    <s v="GNR_BO_WOODWST_E-100"/>
    <x v="0"/>
    <x v="23"/>
    <n v="6.3"/>
    <n v="2299.5"/>
    <n v="8278.2000000000007"/>
  </r>
  <r>
    <x v="0"/>
    <x v="0"/>
    <x v="0"/>
    <x v="0"/>
    <x v="1"/>
    <s v="DK2_Large"/>
    <x v="0"/>
    <s v="GNR_ST_COAL_EXT_E-42"/>
    <x v="0"/>
    <x v="0"/>
    <n v="1190.4761904761899"/>
    <n v="434523.809523809"/>
    <n v="1564285.7142857099"/>
  </r>
  <r>
    <x v="0"/>
    <x v="0"/>
    <x v="0"/>
    <x v="0"/>
    <x v="1"/>
    <s v="DK2_Large"/>
    <x v="0"/>
    <s v="GNR_ST_COAL_EXT_E-42"/>
    <x v="0"/>
    <x v="1"/>
    <n v="1190.4761904761899"/>
    <n v="434523.809523809"/>
    <n v="1564285.7142857099"/>
  </r>
  <r>
    <x v="0"/>
    <x v="0"/>
    <x v="0"/>
    <x v="0"/>
    <x v="1"/>
    <s v="DK2_Large"/>
    <x v="0"/>
    <s v="GNR_ST_COAL_EXT_E-42"/>
    <x v="0"/>
    <x v="2"/>
    <n v="1190.4761904761899"/>
    <n v="434523.809523809"/>
    <n v="1564285.7142857099"/>
  </r>
  <r>
    <x v="0"/>
    <x v="0"/>
    <x v="0"/>
    <x v="0"/>
    <x v="1"/>
    <s v="DK2_Large"/>
    <x v="0"/>
    <s v="GNR_ST_COAL_EXT_E-42"/>
    <x v="0"/>
    <x v="3"/>
    <n v="1190.4761904761899"/>
    <n v="434523.809523809"/>
    <n v="1564285.7142857099"/>
  </r>
  <r>
    <x v="0"/>
    <x v="0"/>
    <x v="0"/>
    <x v="0"/>
    <x v="1"/>
    <s v="DK2_Large"/>
    <x v="0"/>
    <s v="GNR_ST_COAL_EXT_E-42"/>
    <x v="0"/>
    <x v="4"/>
    <n v="1190.4761904761899"/>
    <n v="434523.809523809"/>
    <n v="1564285.7142857099"/>
  </r>
  <r>
    <x v="0"/>
    <x v="0"/>
    <x v="0"/>
    <x v="0"/>
    <x v="1"/>
    <s v="DK2_Large"/>
    <x v="0"/>
    <s v="GNR_ST_COAL_EXT_E-42"/>
    <x v="0"/>
    <x v="5"/>
    <n v="1190.4761904761899"/>
    <n v="434523.809523809"/>
    <n v="1564285.7142857099"/>
  </r>
  <r>
    <x v="0"/>
    <x v="0"/>
    <x v="0"/>
    <x v="0"/>
    <x v="1"/>
    <s v="DK2_Large"/>
    <x v="0"/>
    <s v="GNR_ST_COAL_EXT_E-42"/>
    <x v="0"/>
    <x v="6"/>
    <n v="1190.4761904761899"/>
    <n v="434523.809523809"/>
    <n v="1564285.7142857099"/>
  </r>
  <r>
    <x v="0"/>
    <x v="0"/>
    <x v="0"/>
    <x v="0"/>
    <x v="1"/>
    <s v="DK2_Large"/>
    <x v="0"/>
    <s v="GNR_ST_COAL_EXT_E-42"/>
    <x v="0"/>
    <x v="7"/>
    <n v="1190.4761904761899"/>
    <n v="434523.809523809"/>
    <n v="1564285.7142857099"/>
  </r>
  <r>
    <x v="0"/>
    <x v="0"/>
    <x v="0"/>
    <x v="0"/>
    <x v="1"/>
    <s v="DK2_Large"/>
    <x v="0"/>
    <s v="GNR_ST_COAL_EXT_E-42"/>
    <x v="0"/>
    <x v="8"/>
    <n v="1190.4761904761899"/>
    <n v="434523.809523809"/>
    <n v="1564285.7142857099"/>
  </r>
  <r>
    <x v="0"/>
    <x v="0"/>
    <x v="0"/>
    <x v="0"/>
    <x v="1"/>
    <s v="DK2_Large"/>
    <x v="0"/>
    <s v="GNR_ST_COAL_EXT_E-42"/>
    <x v="0"/>
    <x v="9"/>
    <n v="1190.4761904761899"/>
    <n v="434523.809523809"/>
    <n v="1564285.7142857099"/>
  </r>
  <r>
    <x v="0"/>
    <x v="0"/>
    <x v="0"/>
    <x v="0"/>
    <x v="1"/>
    <s v="DK2_Large"/>
    <x v="0"/>
    <s v="GNR_ST_COAL_EXT_E-42"/>
    <x v="0"/>
    <x v="10"/>
    <n v="1190.4761904761899"/>
    <n v="434523.809523809"/>
    <n v="1564285.7142857099"/>
  </r>
  <r>
    <x v="0"/>
    <x v="0"/>
    <x v="0"/>
    <x v="0"/>
    <x v="1"/>
    <s v="DK2_Large"/>
    <x v="0"/>
    <s v="GNR_ST_COAL_EXT_E-42"/>
    <x v="0"/>
    <x v="11"/>
    <n v="1190.4761904761899"/>
    <n v="434523.809523809"/>
    <n v="1564285.7142857099"/>
  </r>
  <r>
    <x v="0"/>
    <x v="0"/>
    <x v="0"/>
    <x v="0"/>
    <x v="1"/>
    <s v="DK2_Large"/>
    <x v="0"/>
    <s v="GNR_ST_COAL_EXT_E-42"/>
    <x v="0"/>
    <x v="12"/>
    <n v="1190.4761904761899"/>
    <n v="434523.809523809"/>
    <n v="1564285.7142857099"/>
  </r>
  <r>
    <x v="0"/>
    <x v="0"/>
    <x v="0"/>
    <x v="0"/>
    <x v="1"/>
    <s v="DK2_Large"/>
    <x v="0"/>
    <s v="GNR_ST_COAL_EXT_E-42"/>
    <x v="0"/>
    <x v="13"/>
    <n v="1190.4761904761899"/>
    <n v="434523.809523809"/>
    <n v="1564285.7142857099"/>
  </r>
  <r>
    <x v="0"/>
    <x v="0"/>
    <x v="0"/>
    <x v="0"/>
    <x v="1"/>
    <s v="DK2_Large"/>
    <x v="0"/>
    <s v="GNR_ST_COAL_EXT_E-42"/>
    <x v="0"/>
    <x v="14"/>
    <n v="1190.4761904761899"/>
    <n v="434523.809523809"/>
    <n v="1564285.7142857099"/>
  </r>
  <r>
    <x v="0"/>
    <x v="0"/>
    <x v="0"/>
    <x v="0"/>
    <x v="1"/>
    <s v="DK2_Large"/>
    <x v="0"/>
    <s v="GNR_ST_COAL_EXT_E-42"/>
    <x v="0"/>
    <x v="15"/>
    <n v="1190.4761904761899"/>
    <n v="434523.809523809"/>
    <n v="1564285.7142857099"/>
  </r>
  <r>
    <x v="0"/>
    <x v="0"/>
    <x v="0"/>
    <x v="0"/>
    <x v="1"/>
    <s v="DK2_Large"/>
    <x v="0"/>
    <s v="GNR_ST_COAL_EXT_E-42"/>
    <x v="0"/>
    <x v="16"/>
    <n v="1190.4761904761899"/>
    <n v="434523.809523809"/>
    <n v="1564285.7142857099"/>
  </r>
  <r>
    <x v="0"/>
    <x v="0"/>
    <x v="0"/>
    <x v="0"/>
    <x v="1"/>
    <s v="DK2_Large"/>
    <x v="0"/>
    <s v="GNR_ST_COAL_EXT_E-42"/>
    <x v="0"/>
    <x v="17"/>
    <n v="1190.4761904761899"/>
    <n v="434523.809523809"/>
    <n v="1564285.7142857099"/>
  </r>
  <r>
    <x v="0"/>
    <x v="0"/>
    <x v="0"/>
    <x v="0"/>
    <x v="1"/>
    <s v="DK2_Large"/>
    <x v="0"/>
    <s v="GNR_ST_COAL_EXT_E-42"/>
    <x v="0"/>
    <x v="18"/>
    <n v="1190.4761904761899"/>
    <n v="434523.809523809"/>
    <n v="1564285.7142857099"/>
  </r>
  <r>
    <x v="0"/>
    <x v="0"/>
    <x v="0"/>
    <x v="0"/>
    <x v="1"/>
    <s v="DK2_Large"/>
    <x v="0"/>
    <s v="GNR_ST_COAL_EXT_E-42"/>
    <x v="0"/>
    <x v="19"/>
    <n v="1190.4761904761899"/>
    <n v="434523.809523809"/>
    <n v="1564285.7142857099"/>
  </r>
  <r>
    <x v="0"/>
    <x v="0"/>
    <x v="0"/>
    <x v="0"/>
    <x v="1"/>
    <s v="DK2_Large"/>
    <x v="0"/>
    <s v="GNR_ST_COAL_EXT_E-42"/>
    <x v="0"/>
    <x v="20"/>
    <n v="1190.4761904761899"/>
    <n v="434523.809523809"/>
    <n v="1564285.7142857099"/>
  </r>
  <r>
    <x v="0"/>
    <x v="0"/>
    <x v="0"/>
    <x v="0"/>
    <x v="1"/>
    <s v="DK2_Large"/>
    <x v="0"/>
    <s v="GNR_ST_COAL_EXT_E-42"/>
    <x v="0"/>
    <x v="21"/>
    <n v="1190.4761904761899"/>
    <n v="434523.809523809"/>
    <n v="1564285.7142857099"/>
  </r>
  <r>
    <x v="0"/>
    <x v="0"/>
    <x v="0"/>
    <x v="0"/>
    <x v="1"/>
    <s v="DK2_Large"/>
    <x v="0"/>
    <s v="GNR_ST_COAL_EXT_E-42"/>
    <x v="0"/>
    <x v="22"/>
    <n v="1190.4761904761899"/>
    <n v="434523.809523809"/>
    <n v="1564285.7142857099"/>
  </r>
  <r>
    <x v="0"/>
    <x v="0"/>
    <x v="0"/>
    <x v="0"/>
    <x v="1"/>
    <s v="DK2_Large"/>
    <x v="0"/>
    <s v="GNR_ST_COAL_EXT_E-42"/>
    <x v="0"/>
    <x v="23"/>
    <n v="1190.4761904761899"/>
    <n v="434523.809523809"/>
    <n v="1564285.7142857099"/>
  </r>
  <r>
    <x v="0"/>
    <x v="0"/>
    <x v="0"/>
    <x v="0"/>
    <x v="1"/>
    <s v="DK2_Large"/>
    <x v="1"/>
    <s v="GNR_ST_MSW_BP_E-16"/>
    <x v="0"/>
    <x v="3"/>
    <n v="44.777564197619597"/>
    <n v="16343.8109321312"/>
    <n v="58837.719355672198"/>
  </r>
  <r>
    <x v="0"/>
    <x v="0"/>
    <x v="0"/>
    <x v="0"/>
    <x v="1"/>
    <s v="DK2_Large"/>
    <x v="1"/>
    <s v="GNR_ST_MSW_BP_E-16"/>
    <x v="0"/>
    <x v="4"/>
    <n v="178.125"/>
    <n v="65015.625000000102"/>
    <n v="234056.25"/>
  </r>
  <r>
    <x v="0"/>
    <x v="0"/>
    <x v="0"/>
    <x v="0"/>
    <x v="1"/>
    <s v="DK2_Large"/>
    <x v="1"/>
    <s v="GNR_ST_MSW_BP_E-16"/>
    <x v="0"/>
    <x v="5"/>
    <n v="178.125"/>
    <n v="65015.625000000102"/>
    <n v="234056.25"/>
  </r>
  <r>
    <x v="0"/>
    <x v="0"/>
    <x v="0"/>
    <x v="0"/>
    <x v="1"/>
    <s v="DK2_Large"/>
    <x v="1"/>
    <s v="GNR_ST_MSW_BP_E-16"/>
    <x v="0"/>
    <x v="6"/>
    <n v="178.125"/>
    <n v="65015.625000000102"/>
    <n v="234056.25"/>
  </r>
  <r>
    <x v="0"/>
    <x v="0"/>
    <x v="0"/>
    <x v="0"/>
    <x v="1"/>
    <s v="DK2_Large"/>
    <x v="1"/>
    <s v="GNR_ST_MSW_BP_E-16"/>
    <x v="0"/>
    <x v="7"/>
    <n v="178.125"/>
    <n v="65015.625000000102"/>
    <n v="234056.25"/>
  </r>
  <r>
    <x v="0"/>
    <x v="0"/>
    <x v="0"/>
    <x v="0"/>
    <x v="1"/>
    <s v="DK2_Large"/>
    <x v="1"/>
    <s v="GNR_ST_MSW_BP_E-16"/>
    <x v="0"/>
    <x v="8"/>
    <n v="178.125"/>
    <n v="65015.625000000102"/>
    <n v="234056.25"/>
  </r>
  <r>
    <x v="0"/>
    <x v="0"/>
    <x v="0"/>
    <x v="0"/>
    <x v="1"/>
    <s v="DK2_Large"/>
    <x v="1"/>
    <s v="GNR_ST_MSW_BP_E-16"/>
    <x v="0"/>
    <x v="9"/>
    <n v="178.125"/>
    <n v="65015.625000000102"/>
    <n v="234056.25"/>
  </r>
  <r>
    <x v="0"/>
    <x v="0"/>
    <x v="0"/>
    <x v="0"/>
    <x v="1"/>
    <s v="DK2_Large"/>
    <x v="1"/>
    <s v="GNR_ST_MSW_BP_E-16"/>
    <x v="0"/>
    <x v="10"/>
    <n v="178.125"/>
    <n v="65015.625000000102"/>
    <n v="234056.25"/>
  </r>
  <r>
    <x v="0"/>
    <x v="0"/>
    <x v="0"/>
    <x v="0"/>
    <x v="1"/>
    <s v="DK2_Large"/>
    <x v="1"/>
    <s v="GNR_ST_MSW_BP_E-16"/>
    <x v="0"/>
    <x v="11"/>
    <n v="133.99520045661501"/>
    <n v="48908.248166664504"/>
    <n v="176069.69339999199"/>
  </r>
  <r>
    <x v="0"/>
    <x v="0"/>
    <x v="0"/>
    <x v="0"/>
    <x v="1"/>
    <s v="DK2_Large"/>
    <x v="1"/>
    <s v="GNR_ST_MSW_BP_E-16"/>
    <x v="0"/>
    <x v="12"/>
    <n v="44.777564197619597"/>
    <n v="16343.8109321312"/>
    <n v="58837.719355672198"/>
  </r>
  <r>
    <x v="0"/>
    <x v="0"/>
    <x v="0"/>
    <x v="0"/>
    <x v="1"/>
    <s v="DK2_Large"/>
    <x v="1"/>
    <s v="GNR_ST_MSW_BP_E-16"/>
    <x v="0"/>
    <x v="13"/>
    <n v="26.934036945820701"/>
    <n v="9830.9234852245409"/>
    <n v="35391.324546808399"/>
  </r>
  <r>
    <x v="0"/>
    <x v="0"/>
    <x v="0"/>
    <x v="0"/>
    <x v="1"/>
    <s v="DK2_Large"/>
    <x v="1"/>
    <s v="GNR_ST_MSW_BP_E-16"/>
    <x v="0"/>
    <x v="15"/>
    <n v="26.934036945820701"/>
    <n v="9830.9234852245409"/>
    <n v="35391.324546808399"/>
  </r>
  <r>
    <x v="0"/>
    <x v="0"/>
    <x v="0"/>
    <x v="0"/>
    <x v="1"/>
    <s v="DK2_Large"/>
    <x v="1"/>
    <s v="GNR_ST_MSW_BP_E-16"/>
    <x v="0"/>
    <x v="16"/>
    <n v="168.567034506976"/>
    <n v="61526.967595046102"/>
    <n v="221497.08334216601"/>
  </r>
  <r>
    <x v="0"/>
    <x v="0"/>
    <x v="0"/>
    <x v="0"/>
    <x v="1"/>
    <s v="DK2_Large"/>
    <x v="1"/>
    <s v="GNR_ST_MSW_BP_E-16"/>
    <x v="0"/>
    <x v="17"/>
    <n v="178.125"/>
    <n v="65015.625000000102"/>
    <n v="234056.25"/>
  </r>
  <r>
    <x v="0"/>
    <x v="0"/>
    <x v="0"/>
    <x v="0"/>
    <x v="1"/>
    <s v="DK2_Large"/>
    <x v="1"/>
    <s v="GNR_ST_MSW_BP_E-16"/>
    <x v="0"/>
    <x v="18"/>
    <n v="178.125"/>
    <n v="65015.625000000102"/>
    <n v="234056.25"/>
  </r>
  <r>
    <x v="0"/>
    <x v="0"/>
    <x v="0"/>
    <x v="0"/>
    <x v="1"/>
    <s v="DK2_Large"/>
    <x v="1"/>
    <s v="GNR_ST_MSW_BP_E-16"/>
    <x v="0"/>
    <x v="19"/>
    <n v="178.125"/>
    <n v="65015.625000000102"/>
    <n v="234056.25"/>
  </r>
  <r>
    <x v="0"/>
    <x v="0"/>
    <x v="0"/>
    <x v="0"/>
    <x v="1"/>
    <s v="DK2_Large"/>
    <x v="1"/>
    <s v="GNR_ST_MSW_BP_E-16"/>
    <x v="0"/>
    <x v="20"/>
    <n v="178.125"/>
    <n v="65015.625000000102"/>
    <n v="234056.25"/>
  </r>
  <r>
    <x v="0"/>
    <x v="0"/>
    <x v="0"/>
    <x v="0"/>
    <x v="1"/>
    <s v="DK2_Large"/>
    <x v="1"/>
    <s v="GNR_ST_MSW_BP_E-16"/>
    <x v="0"/>
    <x v="21"/>
    <n v="98.308145953016805"/>
    <n v="35882.473272851101"/>
    <n v="129176.90378226399"/>
  </r>
  <r>
    <x v="0"/>
    <x v="0"/>
    <x v="0"/>
    <x v="0"/>
    <x v="1"/>
    <s v="DK2_Large"/>
    <x v="1"/>
    <s v="GNR_ST_MSW_BP_E-16"/>
    <x v="0"/>
    <x v="22"/>
    <n v="10.205730147259001"/>
    <n v="3725.0915037495201"/>
    <n v="13410.329413498301"/>
  </r>
  <r>
    <x v="0"/>
    <x v="0"/>
    <x v="0"/>
    <x v="0"/>
    <x v="1"/>
    <s v="DK2_Large"/>
    <x v="1"/>
    <s v="GNR_ST_MSW_BP_E-20"/>
    <x v="0"/>
    <x v="0"/>
    <n v="131.790475110611"/>
    <n v="48103.5234153731"/>
    <n v="173172.684295343"/>
  </r>
  <r>
    <x v="0"/>
    <x v="0"/>
    <x v="0"/>
    <x v="0"/>
    <x v="1"/>
    <s v="DK2_Large"/>
    <x v="1"/>
    <s v="GNR_ST_MSW_BP_E-20"/>
    <x v="0"/>
    <x v="1"/>
    <n v="131.790475110611"/>
    <n v="48103.5234153731"/>
    <n v="173172.684295343"/>
  </r>
  <r>
    <x v="0"/>
    <x v="0"/>
    <x v="0"/>
    <x v="0"/>
    <x v="1"/>
    <s v="DK2_Large"/>
    <x v="1"/>
    <s v="GNR_ST_MSW_BP_E-20"/>
    <x v="0"/>
    <x v="2"/>
    <n v="146.06529691205"/>
    <n v="53313.8333728984"/>
    <n v="191929.80014243399"/>
  </r>
  <r>
    <x v="0"/>
    <x v="0"/>
    <x v="0"/>
    <x v="0"/>
    <x v="1"/>
    <s v="DK2_Large"/>
    <x v="1"/>
    <s v="GNR_ST_MSW_BP_E-20"/>
    <x v="0"/>
    <x v="3"/>
    <n v="195"/>
    <n v="71175.000000000102"/>
    <n v="256230"/>
  </r>
  <r>
    <x v="0"/>
    <x v="0"/>
    <x v="0"/>
    <x v="0"/>
    <x v="1"/>
    <s v="DK2_Large"/>
    <x v="1"/>
    <s v="GNR_ST_MSW_BP_E-20"/>
    <x v="0"/>
    <x v="4"/>
    <n v="195"/>
    <n v="71175.000000000102"/>
    <n v="256230"/>
  </r>
  <r>
    <x v="0"/>
    <x v="0"/>
    <x v="0"/>
    <x v="0"/>
    <x v="1"/>
    <s v="DK2_Large"/>
    <x v="1"/>
    <s v="GNR_ST_MSW_BP_E-20"/>
    <x v="0"/>
    <x v="5"/>
    <n v="195"/>
    <n v="71175.000000000102"/>
    <n v="256230"/>
  </r>
  <r>
    <x v="0"/>
    <x v="0"/>
    <x v="0"/>
    <x v="0"/>
    <x v="1"/>
    <s v="DK2_Large"/>
    <x v="1"/>
    <s v="GNR_ST_MSW_BP_E-20"/>
    <x v="0"/>
    <x v="6"/>
    <n v="195"/>
    <n v="71175.000000000102"/>
    <n v="256230"/>
  </r>
  <r>
    <x v="0"/>
    <x v="0"/>
    <x v="0"/>
    <x v="0"/>
    <x v="1"/>
    <s v="DK2_Large"/>
    <x v="1"/>
    <s v="GNR_ST_MSW_BP_E-20"/>
    <x v="0"/>
    <x v="7"/>
    <n v="195"/>
    <n v="71175.000000000102"/>
    <n v="256230"/>
  </r>
  <r>
    <x v="0"/>
    <x v="0"/>
    <x v="0"/>
    <x v="0"/>
    <x v="1"/>
    <s v="DK2_Large"/>
    <x v="1"/>
    <s v="GNR_ST_MSW_BP_E-20"/>
    <x v="0"/>
    <x v="8"/>
    <n v="195"/>
    <n v="71175.000000000102"/>
    <n v="256230"/>
  </r>
  <r>
    <x v="0"/>
    <x v="0"/>
    <x v="0"/>
    <x v="0"/>
    <x v="1"/>
    <s v="DK2_Large"/>
    <x v="1"/>
    <s v="GNR_ST_MSW_BP_E-20"/>
    <x v="0"/>
    <x v="9"/>
    <n v="195"/>
    <n v="71175.000000000102"/>
    <n v="256230"/>
  </r>
  <r>
    <x v="0"/>
    <x v="0"/>
    <x v="0"/>
    <x v="0"/>
    <x v="1"/>
    <s v="DK2_Large"/>
    <x v="1"/>
    <s v="GNR_ST_MSW_BP_E-20"/>
    <x v="0"/>
    <x v="10"/>
    <n v="195"/>
    <n v="71175.000000000102"/>
    <n v="256230"/>
  </r>
  <r>
    <x v="0"/>
    <x v="0"/>
    <x v="0"/>
    <x v="0"/>
    <x v="1"/>
    <s v="DK2_Large"/>
    <x v="1"/>
    <s v="GNR_ST_MSW_BP_E-20"/>
    <x v="0"/>
    <x v="11"/>
    <n v="195"/>
    <n v="71175.000000000102"/>
    <n v="256230"/>
  </r>
  <r>
    <x v="0"/>
    <x v="0"/>
    <x v="0"/>
    <x v="0"/>
    <x v="1"/>
    <s v="DK2_Large"/>
    <x v="1"/>
    <s v="GNR_ST_MSW_BP_E-20"/>
    <x v="0"/>
    <x v="12"/>
    <n v="195"/>
    <n v="71175.000000000102"/>
    <n v="256230"/>
  </r>
  <r>
    <x v="0"/>
    <x v="0"/>
    <x v="0"/>
    <x v="0"/>
    <x v="1"/>
    <s v="DK2_Large"/>
    <x v="1"/>
    <s v="GNR_ST_MSW_BP_E-20"/>
    <x v="0"/>
    <x v="13"/>
    <n v="195"/>
    <n v="71175.000000000102"/>
    <n v="256230"/>
  </r>
  <r>
    <x v="0"/>
    <x v="0"/>
    <x v="0"/>
    <x v="0"/>
    <x v="1"/>
    <s v="DK2_Large"/>
    <x v="1"/>
    <s v="GNR_ST_MSW_BP_E-20"/>
    <x v="0"/>
    <x v="14"/>
    <n v="188.88976231636801"/>
    <n v="68944.763245474402"/>
    <n v="248201.147683708"/>
  </r>
  <r>
    <x v="0"/>
    <x v="0"/>
    <x v="0"/>
    <x v="0"/>
    <x v="1"/>
    <s v="DK2_Large"/>
    <x v="1"/>
    <s v="GNR_ST_MSW_BP_E-20"/>
    <x v="0"/>
    <x v="15"/>
    <n v="195"/>
    <n v="71175.000000000102"/>
    <n v="256230"/>
  </r>
  <r>
    <x v="0"/>
    <x v="0"/>
    <x v="0"/>
    <x v="0"/>
    <x v="1"/>
    <s v="DK2_Large"/>
    <x v="1"/>
    <s v="GNR_ST_MSW_BP_E-20"/>
    <x v="0"/>
    <x v="16"/>
    <n v="195"/>
    <n v="71175.000000000102"/>
    <n v="256230"/>
  </r>
  <r>
    <x v="0"/>
    <x v="0"/>
    <x v="0"/>
    <x v="0"/>
    <x v="1"/>
    <s v="DK2_Large"/>
    <x v="1"/>
    <s v="GNR_ST_MSW_BP_E-20"/>
    <x v="0"/>
    <x v="17"/>
    <n v="195"/>
    <n v="71175.000000000102"/>
    <n v="256230"/>
  </r>
  <r>
    <x v="0"/>
    <x v="0"/>
    <x v="0"/>
    <x v="0"/>
    <x v="1"/>
    <s v="DK2_Large"/>
    <x v="1"/>
    <s v="GNR_ST_MSW_BP_E-20"/>
    <x v="0"/>
    <x v="18"/>
    <n v="195"/>
    <n v="71175.000000000102"/>
    <n v="256230"/>
  </r>
  <r>
    <x v="0"/>
    <x v="0"/>
    <x v="0"/>
    <x v="0"/>
    <x v="1"/>
    <s v="DK2_Large"/>
    <x v="1"/>
    <s v="GNR_ST_MSW_BP_E-20"/>
    <x v="0"/>
    <x v="19"/>
    <n v="195"/>
    <n v="71175.000000000102"/>
    <n v="256230"/>
  </r>
  <r>
    <x v="0"/>
    <x v="0"/>
    <x v="0"/>
    <x v="0"/>
    <x v="1"/>
    <s v="DK2_Large"/>
    <x v="1"/>
    <s v="GNR_ST_MSW_BP_E-20"/>
    <x v="0"/>
    <x v="20"/>
    <n v="195"/>
    <n v="71175.000000000102"/>
    <n v="256230"/>
  </r>
  <r>
    <x v="0"/>
    <x v="0"/>
    <x v="0"/>
    <x v="0"/>
    <x v="1"/>
    <s v="DK2_Large"/>
    <x v="1"/>
    <s v="GNR_ST_MSW_BP_E-20"/>
    <x v="0"/>
    <x v="21"/>
    <n v="195"/>
    <n v="71175.000000000102"/>
    <n v="256230"/>
  </r>
  <r>
    <x v="0"/>
    <x v="0"/>
    <x v="0"/>
    <x v="0"/>
    <x v="1"/>
    <s v="DK2_Large"/>
    <x v="1"/>
    <s v="GNR_ST_MSW_BP_E-20"/>
    <x v="0"/>
    <x v="22"/>
    <n v="195"/>
    <n v="71175.000000000102"/>
    <n v="256230"/>
  </r>
  <r>
    <x v="0"/>
    <x v="0"/>
    <x v="0"/>
    <x v="0"/>
    <x v="1"/>
    <s v="DK2_Large"/>
    <x v="1"/>
    <s v="GNR_ST_MSW_BP_E-20"/>
    <x v="0"/>
    <x v="23"/>
    <n v="131.790475110611"/>
    <n v="48103.5234153731"/>
    <n v="173172.684295343"/>
  </r>
  <r>
    <x v="0"/>
    <x v="0"/>
    <x v="0"/>
    <x v="0"/>
    <x v="1"/>
    <s v="DK2_Large"/>
    <x v="1"/>
    <s v="GNR_ST_MSW_BP_E-21"/>
    <x v="0"/>
    <x v="0"/>
    <n v="65.238095238095298"/>
    <n v="23811.9047619048"/>
    <n v="85722.857142857305"/>
  </r>
  <r>
    <x v="0"/>
    <x v="0"/>
    <x v="0"/>
    <x v="0"/>
    <x v="1"/>
    <s v="DK2_Large"/>
    <x v="1"/>
    <s v="GNR_ST_MSW_BP_E-21"/>
    <x v="0"/>
    <x v="1"/>
    <n v="65.238095238095298"/>
    <n v="23811.9047619048"/>
    <n v="85722.857142857305"/>
  </r>
  <r>
    <x v="0"/>
    <x v="0"/>
    <x v="0"/>
    <x v="0"/>
    <x v="1"/>
    <s v="DK2_Large"/>
    <x v="1"/>
    <s v="GNR_ST_MSW_BP_E-21"/>
    <x v="0"/>
    <x v="2"/>
    <n v="65.238095238095298"/>
    <n v="23811.9047619048"/>
    <n v="85722.857142857305"/>
  </r>
  <r>
    <x v="0"/>
    <x v="0"/>
    <x v="0"/>
    <x v="0"/>
    <x v="1"/>
    <s v="DK2_Large"/>
    <x v="1"/>
    <s v="GNR_ST_MSW_BP_E-21"/>
    <x v="0"/>
    <x v="3"/>
    <n v="65.238095238095298"/>
    <n v="23811.9047619048"/>
    <n v="85722.857142857305"/>
  </r>
  <r>
    <x v="0"/>
    <x v="0"/>
    <x v="0"/>
    <x v="0"/>
    <x v="1"/>
    <s v="DK2_Large"/>
    <x v="1"/>
    <s v="GNR_ST_MSW_BP_E-21"/>
    <x v="0"/>
    <x v="4"/>
    <n v="65.238095238095298"/>
    <n v="23811.9047619048"/>
    <n v="85722.857142857305"/>
  </r>
  <r>
    <x v="0"/>
    <x v="0"/>
    <x v="0"/>
    <x v="0"/>
    <x v="1"/>
    <s v="DK2_Large"/>
    <x v="1"/>
    <s v="GNR_ST_MSW_BP_E-21"/>
    <x v="0"/>
    <x v="5"/>
    <n v="65.238095238095298"/>
    <n v="23811.9047619048"/>
    <n v="85722.857142857305"/>
  </r>
  <r>
    <x v="0"/>
    <x v="0"/>
    <x v="0"/>
    <x v="0"/>
    <x v="1"/>
    <s v="DK2_Large"/>
    <x v="1"/>
    <s v="GNR_ST_MSW_BP_E-21"/>
    <x v="0"/>
    <x v="6"/>
    <n v="65.238095238095298"/>
    <n v="23811.9047619048"/>
    <n v="85722.857142857305"/>
  </r>
  <r>
    <x v="0"/>
    <x v="0"/>
    <x v="0"/>
    <x v="0"/>
    <x v="1"/>
    <s v="DK2_Large"/>
    <x v="1"/>
    <s v="GNR_ST_MSW_BP_E-21"/>
    <x v="0"/>
    <x v="7"/>
    <n v="65.238095238095298"/>
    <n v="23811.9047619048"/>
    <n v="85722.857142857305"/>
  </r>
  <r>
    <x v="0"/>
    <x v="0"/>
    <x v="0"/>
    <x v="0"/>
    <x v="1"/>
    <s v="DK2_Large"/>
    <x v="1"/>
    <s v="GNR_ST_MSW_BP_E-21"/>
    <x v="0"/>
    <x v="8"/>
    <n v="65.238095238095298"/>
    <n v="23811.9047619048"/>
    <n v="85722.857142857305"/>
  </r>
  <r>
    <x v="0"/>
    <x v="0"/>
    <x v="0"/>
    <x v="0"/>
    <x v="1"/>
    <s v="DK2_Large"/>
    <x v="1"/>
    <s v="GNR_ST_MSW_BP_E-21"/>
    <x v="0"/>
    <x v="9"/>
    <n v="65.238095238095298"/>
    <n v="23811.9047619048"/>
    <n v="85722.857142857305"/>
  </r>
  <r>
    <x v="0"/>
    <x v="0"/>
    <x v="0"/>
    <x v="0"/>
    <x v="1"/>
    <s v="DK2_Large"/>
    <x v="1"/>
    <s v="GNR_ST_MSW_BP_E-21"/>
    <x v="0"/>
    <x v="10"/>
    <n v="65.238095238095298"/>
    <n v="23811.9047619048"/>
    <n v="85722.857142857305"/>
  </r>
  <r>
    <x v="0"/>
    <x v="0"/>
    <x v="0"/>
    <x v="0"/>
    <x v="1"/>
    <s v="DK2_Large"/>
    <x v="1"/>
    <s v="GNR_ST_MSW_BP_E-21"/>
    <x v="0"/>
    <x v="11"/>
    <n v="65.238095238095298"/>
    <n v="23811.9047619048"/>
    <n v="85722.857142857305"/>
  </r>
  <r>
    <x v="0"/>
    <x v="0"/>
    <x v="0"/>
    <x v="0"/>
    <x v="1"/>
    <s v="DK2_Large"/>
    <x v="1"/>
    <s v="GNR_ST_MSW_BP_E-21"/>
    <x v="0"/>
    <x v="12"/>
    <n v="65.238095238095298"/>
    <n v="23811.9047619048"/>
    <n v="85722.857142857305"/>
  </r>
  <r>
    <x v="0"/>
    <x v="0"/>
    <x v="0"/>
    <x v="0"/>
    <x v="1"/>
    <s v="DK2_Large"/>
    <x v="1"/>
    <s v="GNR_ST_MSW_BP_E-21"/>
    <x v="0"/>
    <x v="13"/>
    <n v="65.238095238095298"/>
    <n v="23811.9047619048"/>
    <n v="85722.857142857305"/>
  </r>
  <r>
    <x v="0"/>
    <x v="0"/>
    <x v="0"/>
    <x v="0"/>
    <x v="1"/>
    <s v="DK2_Large"/>
    <x v="1"/>
    <s v="GNR_ST_MSW_BP_E-21"/>
    <x v="0"/>
    <x v="14"/>
    <n v="65.238095238095298"/>
    <n v="23811.9047619048"/>
    <n v="85722.857142857305"/>
  </r>
  <r>
    <x v="0"/>
    <x v="0"/>
    <x v="0"/>
    <x v="0"/>
    <x v="1"/>
    <s v="DK2_Large"/>
    <x v="1"/>
    <s v="GNR_ST_MSW_BP_E-21"/>
    <x v="0"/>
    <x v="15"/>
    <n v="65.238095238095298"/>
    <n v="23811.9047619048"/>
    <n v="85722.857142857305"/>
  </r>
  <r>
    <x v="0"/>
    <x v="0"/>
    <x v="0"/>
    <x v="0"/>
    <x v="1"/>
    <s v="DK2_Large"/>
    <x v="1"/>
    <s v="GNR_ST_MSW_BP_E-21"/>
    <x v="0"/>
    <x v="16"/>
    <n v="65.238095238095298"/>
    <n v="23811.9047619048"/>
    <n v="85722.857142857305"/>
  </r>
  <r>
    <x v="0"/>
    <x v="0"/>
    <x v="0"/>
    <x v="0"/>
    <x v="1"/>
    <s v="DK2_Large"/>
    <x v="1"/>
    <s v="GNR_ST_MSW_BP_E-21"/>
    <x v="0"/>
    <x v="17"/>
    <n v="65.238095238095298"/>
    <n v="23811.9047619048"/>
    <n v="85722.857142857305"/>
  </r>
  <r>
    <x v="0"/>
    <x v="0"/>
    <x v="0"/>
    <x v="0"/>
    <x v="1"/>
    <s v="DK2_Large"/>
    <x v="1"/>
    <s v="GNR_ST_MSW_BP_E-21"/>
    <x v="0"/>
    <x v="18"/>
    <n v="65.238095238095298"/>
    <n v="23811.9047619048"/>
    <n v="85722.857142857305"/>
  </r>
  <r>
    <x v="0"/>
    <x v="0"/>
    <x v="0"/>
    <x v="0"/>
    <x v="1"/>
    <s v="DK2_Large"/>
    <x v="1"/>
    <s v="GNR_ST_MSW_BP_E-21"/>
    <x v="0"/>
    <x v="19"/>
    <n v="65.238095238095298"/>
    <n v="23811.9047619048"/>
    <n v="85722.857142857305"/>
  </r>
  <r>
    <x v="0"/>
    <x v="0"/>
    <x v="0"/>
    <x v="0"/>
    <x v="1"/>
    <s v="DK2_Large"/>
    <x v="1"/>
    <s v="GNR_ST_MSW_BP_E-21"/>
    <x v="0"/>
    <x v="20"/>
    <n v="65.238095238095298"/>
    <n v="23811.9047619048"/>
    <n v="85722.857142857305"/>
  </r>
  <r>
    <x v="0"/>
    <x v="0"/>
    <x v="0"/>
    <x v="0"/>
    <x v="1"/>
    <s v="DK2_Large"/>
    <x v="1"/>
    <s v="GNR_ST_MSW_BP_E-21"/>
    <x v="0"/>
    <x v="21"/>
    <n v="65.238095238095298"/>
    <n v="23811.9047619048"/>
    <n v="85722.857142857305"/>
  </r>
  <r>
    <x v="0"/>
    <x v="0"/>
    <x v="0"/>
    <x v="0"/>
    <x v="1"/>
    <s v="DK2_Large"/>
    <x v="1"/>
    <s v="GNR_ST_MSW_BP_E-21"/>
    <x v="0"/>
    <x v="22"/>
    <n v="65.238095238095298"/>
    <n v="23811.9047619048"/>
    <n v="85722.857142857305"/>
  </r>
  <r>
    <x v="0"/>
    <x v="0"/>
    <x v="0"/>
    <x v="0"/>
    <x v="1"/>
    <s v="DK2_Large"/>
    <x v="1"/>
    <s v="GNR_ST_MSW_BP_E-21"/>
    <x v="0"/>
    <x v="23"/>
    <n v="65.238095238095298"/>
    <n v="23811.9047619048"/>
    <n v="85722.857142857305"/>
  </r>
  <r>
    <x v="0"/>
    <x v="0"/>
    <x v="0"/>
    <x v="0"/>
    <x v="1"/>
    <s v="DK2_Large"/>
    <x v="1"/>
    <s v="GNR_ST_MSW_BP_E-27"/>
    <x v="0"/>
    <x v="0"/>
    <n v="71.851851851852004"/>
    <n v="26225.925925926"/>
    <n v="94413.333333333503"/>
  </r>
  <r>
    <x v="0"/>
    <x v="0"/>
    <x v="0"/>
    <x v="0"/>
    <x v="1"/>
    <s v="DK2_Large"/>
    <x v="1"/>
    <s v="GNR_ST_MSW_BP_E-27"/>
    <x v="0"/>
    <x v="1"/>
    <n v="71.851851851852004"/>
    <n v="26225.925925926"/>
    <n v="94413.333333333503"/>
  </r>
  <r>
    <x v="0"/>
    <x v="0"/>
    <x v="0"/>
    <x v="0"/>
    <x v="1"/>
    <s v="DK2_Large"/>
    <x v="1"/>
    <s v="GNR_ST_MSW_BP_E-27"/>
    <x v="0"/>
    <x v="2"/>
    <n v="71.851851851852004"/>
    <n v="26225.925925926"/>
    <n v="94413.333333333503"/>
  </r>
  <r>
    <x v="0"/>
    <x v="0"/>
    <x v="0"/>
    <x v="0"/>
    <x v="1"/>
    <s v="DK2_Large"/>
    <x v="1"/>
    <s v="GNR_ST_MSW_BP_E-27"/>
    <x v="0"/>
    <x v="3"/>
    <n v="71.851851851852004"/>
    <n v="26225.925925926"/>
    <n v="94413.333333333503"/>
  </r>
  <r>
    <x v="0"/>
    <x v="0"/>
    <x v="0"/>
    <x v="0"/>
    <x v="1"/>
    <s v="DK2_Large"/>
    <x v="1"/>
    <s v="GNR_ST_MSW_BP_E-27"/>
    <x v="0"/>
    <x v="4"/>
    <n v="71.851851851852004"/>
    <n v="26225.925925926"/>
    <n v="94413.333333333503"/>
  </r>
  <r>
    <x v="0"/>
    <x v="0"/>
    <x v="0"/>
    <x v="0"/>
    <x v="1"/>
    <s v="DK2_Large"/>
    <x v="1"/>
    <s v="GNR_ST_MSW_BP_E-27"/>
    <x v="0"/>
    <x v="5"/>
    <n v="71.851851851852004"/>
    <n v="26225.925925926"/>
    <n v="94413.333333333503"/>
  </r>
  <r>
    <x v="0"/>
    <x v="0"/>
    <x v="0"/>
    <x v="0"/>
    <x v="1"/>
    <s v="DK2_Large"/>
    <x v="1"/>
    <s v="GNR_ST_MSW_BP_E-27"/>
    <x v="0"/>
    <x v="6"/>
    <n v="71.851851851852004"/>
    <n v="26225.925925926"/>
    <n v="94413.333333333503"/>
  </r>
  <r>
    <x v="0"/>
    <x v="0"/>
    <x v="0"/>
    <x v="0"/>
    <x v="1"/>
    <s v="DK2_Large"/>
    <x v="1"/>
    <s v="GNR_ST_MSW_BP_E-27"/>
    <x v="0"/>
    <x v="7"/>
    <n v="71.851851851852004"/>
    <n v="26225.925925926"/>
    <n v="94413.333333333503"/>
  </r>
  <r>
    <x v="0"/>
    <x v="0"/>
    <x v="0"/>
    <x v="0"/>
    <x v="1"/>
    <s v="DK2_Large"/>
    <x v="1"/>
    <s v="GNR_ST_MSW_BP_E-27"/>
    <x v="0"/>
    <x v="8"/>
    <n v="71.851851851852004"/>
    <n v="26225.925925926"/>
    <n v="94413.333333333503"/>
  </r>
  <r>
    <x v="0"/>
    <x v="0"/>
    <x v="0"/>
    <x v="0"/>
    <x v="1"/>
    <s v="DK2_Large"/>
    <x v="1"/>
    <s v="GNR_ST_MSW_BP_E-27"/>
    <x v="0"/>
    <x v="9"/>
    <n v="71.851851851852004"/>
    <n v="26225.925925926"/>
    <n v="94413.333333333503"/>
  </r>
  <r>
    <x v="0"/>
    <x v="0"/>
    <x v="0"/>
    <x v="0"/>
    <x v="1"/>
    <s v="DK2_Large"/>
    <x v="1"/>
    <s v="GNR_ST_MSW_BP_E-27"/>
    <x v="0"/>
    <x v="10"/>
    <n v="71.851851851852004"/>
    <n v="26225.925925926"/>
    <n v="94413.333333333503"/>
  </r>
  <r>
    <x v="0"/>
    <x v="0"/>
    <x v="0"/>
    <x v="0"/>
    <x v="1"/>
    <s v="DK2_Large"/>
    <x v="1"/>
    <s v="GNR_ST_MSW_BP_E-27"/>
    <x v="0"/>
    <x v="11"/>
    <n v="71.851851851852004"/>
    <n v="26225.925925926"/>
    <n v="94413.333333333503"/>
  </r>
  <r>
    <x v="0"/>
    <x v="0"/>
    <x v="0"/>
    <x v="0"/>
    <x v="1"/>
    <s v="DK2_Large"/>
    <x v="1"/>
    <s v="GNR_ST_MSW_BP_E-27"/>
    <x v="0"/>
    <x v="12"/>
    <n v="71.851851851852004"/>
    <n v="26225.925925926"/>
    <n v="94413.333333333503"/>
  </r>
  <r>
    <x v="0"/>
    <x v="0"/>
    <x v="0"/>
    <x v="0"/>
    <x v="1"/>
    <s v="DK2_Large"/>
    <x v="1"/>
    <s v="GNR_ST_MSW_BP_E-27"/>
    <x v="0"/>
    <x v="13"/>
    <n v="71.851851851852004"/>
    <n v="26225.925925926"/>
    <n v="94413.333333333503"/>
  </r>
  <r>
    <x v="0"/>
    <x v="0"/>
    <x v="0"/>
    <x v="0"/>
    <x v="1"/>
    <s v="DK2_Large"/>
    <x v="1"/>
    <s v="GNR_ST_MSW_BP_E-27"/>
    <x v="0"/>
    <x v="14"/>
    <n v="71.851851851852004"/>
    <n v="26225.925925926"/>
    <n v="94413.333333333503"/>
  </r>
  <r>
    <x v="0"/>
    <x v="0"/>
    <x v="0"/>
    <x v="0"/>
    <x v="1"/>
    <s v="DK2_Large"/>
    <x v="1"/>
    <s v="GNR_ST_MSW_BP_E-27"/>
    <x v="0"/>
    <x v="15"/>
    <n v="71.851851851852004"/>
    <n v="26225.925925926"/>
    <n v="94413.333333333503"/>
  </r>
  <r>
    <x v="0"/>
    <x v="0"/>
    <x v="0"/>
    <x v="0"/>
    <x v="1"/>
    <s v="DK2_Large"/>
    <x v="1"/>
    <s v="GNR_ST_MSW_BP_E-27"/>
    <x v="0"/>
    <x v="16"/>
    <n v="71.851851851852004"/>
    <n v="26225.925925926"/>
    <n v="94413.333333333503"/>
  </r>
  <r>
    <x v="0"/>
    <x v="0"/>
    <x v="0"/>
    <x v="0"/>
    <x v="1"/>
    <s v="DK2_Large"/>
    <x v="1"/>
    <s v="GNR_ST_MSW_BP_E-27"/>
    <x v="0"/>
    <x v="17"/>
    <n v="71.851851851852004"/>
    <n v="26225.925925926"/>
    <n v="94413.333333333503"/>
  </r>
  <r>
    <x v="0"/>
    <x v="0"/>
    <x v="0"/>
    <x v="0"/>
    <x v="1"/>
    <s v="DK2_Large"/>
    <x v="1"/>
    <s v="GNR_ST_MSW_BP_E-27"/>
    <x v="0"/>
    <x v="18"/>
    <n v="71.851851851852004"/>
    <n v="26225.925925926"/>
    <n v="94413.333333333503"/>
  </r>
  <r>
    <x v="0"/>
    <x v="0"/>
    <x v="0"/>
    <x v="0"/>
    <x v="1"/>
    <s v="DK2_Large"/>
    <x v="1"/>
    <s v="GNR_ST_MSW_BP_E-27"/>
    <x v="0"/>
    <x v="19"/>
    <n v="71.851851851852004"/>
    <n v="26225.925925926"/>
    <n v="94413.333333333503"/>
  </r>
  <r>
    <x v="0"/>
    <x v="0"/>
    <x v="0"/>
    <x v="0"/>
    <x v="1"/>
    <s v="DK2_Large"/>
    <x v="1"/>
    <s v="GNR_ST_MSW_BP_E-27"/>
    <x v="0"/>
    <x v="20"/>
    <n v="71.851851851852004"/>
    <n v="26225.925925926"/>
    <n v="94413.333333333503"/>
  </r>
  <r>
    <x v="0"/>
    <x v="0"/>
    <x v="0"/>
    <x v="0"/>
    <x v="1"/>
    <s v="DK2_Large"/>
    <x v="1"/>
    <s v="GNR_ST_MSW_BP_E-27"/>
    <x v="0"/>
    <x v="21"/>
    <n v="71.851851851852004"/>
    <n v="26225.925925926"/>
    <n v="94413.333333333503"/>
  </r>
  <r>
    <x v="0"/>
    <x v="0"/>
    <x v="0"/>
    <x v="0"/>
    <x v="1"/>
    <s v="DK2_Large"/>
    <x v="1"/>
    <s v="GNR_ST_MSW_BP_E-27"/>
    <x v="0"/>
    <x v="22"/>
    <n v="71.851851851852004"/>
    <n v="26225.925925926"/>
    <n v="94413.333333333503"/>
  </r>
  <r>
    <x v="0"/>
    <x v="0"/>
    <x v="0"/>
    <x v="0"/>
    <x v="1"/>
    <s v="DK2_Large"/>
    <x v="1"/>
    <s v="GNR_ST_MSW_BP_E-27"/>
    <x v="0"/>
    <x v="23"/>
    <n v="71.851851851852004"/>
    <n v="26225.925925926"/>
    <n v="94413.333333333503"/>
  </r>
  <r>
    <x v="0"/>
    <x v="0"/>
    <x v="0"/>
    <x v="0"/>
    <x v="1"/>
    <s v="DK2_Large"/>
    <x v="3"/>
    <s v="GNR_BO_NGAS_E-101"/>
    <x v="0"/>
    <x v="4"/>
    <n v="4.0943159257114496"/>
    <n v="1494.4253128846799"/>
    <n v="5379.9311263848504"/>
  </r>
  <r>
    <x v="0"/>
    <x v="0"/>
    <x v="0"/>
    <x v="0"/>
    <x v="1"/>
    <s v="DK2_Large"/>
    <x v="3"/>
    <s v="GNR_BO_NGAS_E-101"/>
    <x v="0"/>
    <x v="5"/>
    <n v="146.26033871285699"/>
    <n v="53385.023630192998"/>
    <n v="192186.08506869501"/>
  </r>
  <r>
    <x v="0"/>
    <x v="0"/>
    <x v="0"/>
    <x v="0"/>
    <x v="1"/>
    <s v="DK2_Large"/>
    <x v="3"/>
    <s v="GNR_BO_NGAS_E-101"/>
    <x v="0"/>
    <x v="6"/>
    <n v="164.77776184899801"/>
    <n v="60143.883074884303"/>
    <n v="216517.97906958399"/>
  </r>
  <r>
    <x v="0"/>
    <x v="0"/>
    <x v="0"/>
    <x v="0"/>
    <x v="1"/>
    <s v="DK2_Large"/>
    <x v="3"/>
    <s v="GNR_BO_NGAS_E-101"/>
    <x v="0"/>
    <x v="7"/>
    <n v="155.22038216582899"/>
    <n v="56655.439490527402"/>
    <n v="203959.58216589899"/>
  </r>
  <r>
    <x v="0"/>
    <x v="0"/>
    <x v="0"/>
    <x v="0"/>
    <x v="1"/>
    <s v="DK2_Large"/>
    <x v="3"/>
    <s v="GNR_BO_NGAS_E-101"/>
    <x v="0"/>
    <x v="8"/>
    <n v="127.14557934651801"/>
    <n v="46408.136461479196"/>
    <n v="167069.29126132501"/>
  </r>
  <r>
    <x v="0"/>
    <x v="0"/>
    <x v="0"/>
    <x v="0"/>
    <x v="1"/>
    <s v="DK2_Large"/>
    <x v="3"/>
    <s v="GNR_BO_NGAS_E-101"/>
    <x v="0"/>
    <x v="9"/>
    <n v="60.8412577945302"/>
    <n v="22207.0590950035"/>
    <n v="79945.412742012704"/>
  </r>
  <r>
    <x v="0"/>
    <x v="0"/>
    <x v="0"/>
    <x v="0"/>
    <x v="1"/>
    <s v="DK2_Large"/>
    <x v="3"/>
    <s v="GNR_BO_NGAS_E-101"/>
    <x v="0"/>
    <x v="10"/>
    <n v="13.6516956088808"/>
    <n v="4982.8688972415102"/>
    <n v="17938.328030069399"/>
  </r>
  <r>
    <x v="0"/>
    <x v="0"/>
    <x v="0"/>
    <x v="0"/>
    <x v="1"/>
    <s v="DK2_Large"/>
    <x v="3"/>
    <s v="GNR_BO_NGAS_E-101"/>
    <x v="0"/>
    <x v="17"/>
    <n v="51.2838781113607"/>
    <n v="18718.615510646599"/>
    <n v="67387.015838327905"/>
  </r>
  <r>
    <x v="0"/>
    <x v="0"/>
    <x v="0"/>
    <x v="0"/>
    <x v="1"/>
    <s v="DK2_Large"/>
    <x v="3"/>
    <s v="GNR_BO_NGAS_E-101"/>
    <x v="0"/>
    <x v="18"/>
    <n v="88.916060613840401"/>
    <n v="32454.362124051699"/>
    <n v="116835.703646586"/>
  </r>
  <r>
    <x v="0"/>
    <x v="0"/>
    <x v="0"/>
    <x v="0"/>
    <x v="1"/>
    <s v="DK2_Large"/>
    <x v="3"/>
    <s v="GNR_BO_NGAS_E-101"/>
    <x v="0"/>
    <x v="19"/>
    <n v="70.398637477699495"/>
    <n v="25695.502679360299"/>
    <n v="92503.809645697096"/>
  </r>
  <r>
    <x v="0"/>
    <x v="0"/>
    <x v="0"/>
    <x v="0"/>
    <x v="1"/>
    <s v="DK2_Large"/>
    <x v="2"/>
    <s v="GNR_GEO_HEAT_HO"/>
    <x v="0"/>
    <x v="0"/>
    <n v="14"/>
    <n v="5110"/>
    <n v="18396"/>
  </r>
  <r>
    <x v="0"/>
    <x v="0"/>
    <x v="0"/>
    <x v="0"/>
    <x v="1"/>
    <s v="DK2_Large"/>
    <x v="2"/>
    <s v="GNR_GEO_HEAT_HO"/>
    <x v="0"/>
    <x v="1"/>
    <n v="14"/>
    <n v="5110"/>
    <n v="18396"/>
  </r>
  <r>
    <x v="0"/>
    <x v="0"/>
    <x v="0"/>
    <x v="0"/>
    <x v="1"/>
    <s v="DK2_Large"/>
    <x v="2"/>
    <s v="GNR_GEO_HEAT_HO"/>
    <x v="0"/>
    <x v="2"/>
    <n v="14"/>
    <n v="5110"/>
    <n v="18396"/>
  </r>
  <r>
    <x v="0"/>
    <x v="0"/>
    <x v="0"/>
    <x v="0"/>
    <x v="1"/>
    <s v="DK2_Large"/>
    <x v="2"/>
    <s v="GNR_GEO_HEAT_HO"/>
    <x v="0"/>
    <x v="3"/>
    <n v="14"/>
    <n v="5110"/>
    <n v="18396"/>
  </r>
  <r>
    <x v="0"/>
    <x v="0"/>
    <x v="0"/>
    <x v="0"/>
    <x v="1"/>
    <s v="DK2_Large"/>
    <x v="2"/>
    <s v="GNR_GEO_HEAT_HO"/>
    <x v="0"/>
    <x v="4"/>
    <n v="14"/>
    <n v="5110"/>
    <n v="18396"/>
  </r>
  <r>
    <x v="0"/>
    <x v="0"/>
    <x v="0"/>
    <x v="0"/>
    <x v="1"/>
    <s v="DK2_Large"/>
    <x v="2"/>
    <s v="GNR_GEO_HEAT_HO"/>
    <x v="0"/>
    <x v="5"/>
    <n v="14"/>
    <n v="5110"/>
    <n v="18396"/>
  </r>
  <r>
    <x v="0"/>
    <x v="0"/>
    <x v="0"/>
    <x v="0"/>
    <x v="1"/>
    <s v="DK2_Large"/>
    <x v="2"/>
    <s v="GNR_GEO_HEAT_HO"/>
    <x v="0"/>
    <x v="6"/>
    <n v="14"/>
    <n v="5110"/>
    <n v="18396"/>
  </r>
  <r>
    <x v="0"/>
    <x v="0"/>
    <x v="0"/>
    <x v="0"/>
    <x v="1"/>
    <s v="DK2_Large"/>
    <x v="2"/>
    <s v="GNR_GEO_HEAT_HO"/>
    <x v="0"/>
    <x v="7"/>
    <n v="14"/>
    <n v="5110"/>
    <n v="18396"/>
  </r>
  <r>
    <x v="0"/>
    <x v="0"/>
    <x v="0"/>
    <x v="0"/>
    <x v="1"/>
    <s v="DK2_Large"/>
    <x v="2"/>
    <s v="GNR_GEO_HEAT_HO"/>
    <x v="0"/>
    <x v="8"/>
    <n v="14"/>
    <n v="5110"/>
    <n v="18396"/>
  </r>
  <r>
    <x v="0"/>
    <x v="0"/>
    <x v="0"/>
    <x v="0"/>
    <x v="1"/>
    <s v="DK2_Large"/>
    <x v="2"/>
    <s v="GNR_GEO_HEAT_HO"/>
    <x v="0"/>
    <x v="9"/>
    <n v="14"/>
    <n v="5110"/>
    <n v="18396"/>
  </r>
  <r>
    <x v="0"/>
    <x v="0"/>
    <x v="0"/>
    <x v="0"/>
    <x v="1"/>
    <s v="DK2_Large"/>
    <x v="2"/>
    <s v="GNR_GEO_HEAT_HO"/>
    <x v="0"/>
    <x v="10"/>
    <n v="14"/>
    <n v="5110"/>
    <n v="18396"/>
  </r>
  <r>
    <x v="0"/>
    <x v="0"/>
    <x v="0"/>
    <x v="0"/>
    <x v="1"/>
    <s v="DK2_Large"/>
    <x v="2"/>
    <s v="GNR_GEO_HEAT_HO"/>
    <x v="0"/>
    <x v="11"/>
    <n v="14"/>
    <n v="5110"/>
    <n v="18396"/>
  </r>
  <r>
    <x v="0"/>
    <x v="0"/>
    <x v="0"/>
    <x v="0"/>
    <x v="1"/>
    <s v="DK2_Large"/>
    <x v="2"/>
    <s v="GNR_GEO_HEAT_HO"/>
    <x v="0"/>
    <x v="12"/>
    <n v="14"/>
    <n v="5110"/>
    <n v="18396"/>
  </r>
  <r>
    <x v="0"/>
    <x v="0"/>
    <x v="0"/>
    <x v="0"/>
    <x v="1"/>
    <s v="DK2_Large"/>
    <x v="2"/>
    <s v="GNR_GEO_HEAT_HO"/>
    <x v="0"/>
    <x v="13"/>
    <n v="14"/>
    <n v="5110"/>
    <n v="18396"/>
  </r>
  <r>
    <x v="0"/>
    <x v="0"/>
    <x v="0"/>
    <x v="0"/>
    <x v="1"/>
    <s v="DK2_Large"/>
    <x v="2"/>
    <s v="GNR_GEO_HEAT_HO"/>
    <x v="0"/>
    <x v="14"/>
    <n v="14"/>
    <n v="5110"/>
    <n v="18396"/>
  </r>
  <r>
    <x v="0"/>
    <x v="0"/>
    <x v="0"/>
    <x v="0"/>
    <x v="1"/>
    <s v="DK2_Large"/>
    <x v="2"/>
    <s v="GNR_GEO_HEAT_HO"/>
    <x v="0"/>
    <x v="15"/>
    <n v="14"/>
    <n v="5110"/>
    <n v="18396"/>
  </r>
  <r>
    <x v="0"/>
    <x v="0"/>
    <x v="0"/>
    <x v="0"/>
    <x v="1"/>
    <s v="DK2_Large"/>
    <x v="2"/>
    <s v="GNR_GEO_HEAT_HO"/>
    <x v="0"/>
    <x v="16"/>
    <n v="14"/>
    <n v="5110"/>
    <n v="18396"/>
  </r>
  <r>
    <x v="0"/>
    <x v="0"/>
    <x v="0"/>
    <x v="0"/>
    <x v="1"/>
    <s v="DK2_Large"/>
    <x v="2"/>
    <s v="GNR_GEO_HEAT_HO"/>
    <x v="0"/>
    <x v="17"/>
    <n v="14"/>
    <n v="5110"/>
    <n v="18396"/>
  </r>
  <r>
    <x v="0"/>
    <x v="0"/>
    <x v="0"/>
    <x v="0"/>
    <x v="1"/>
    <s v="DK2_Large"/>
    <x v="2"/>
    <s v="GNR_GEO_HEAT_HO"/>
    <x v="0"/>
    <x v="18"/>
    <n v="14"/>
    <n v="5110"/>
    <n v="18396"/>
  </r>
  <r>
    <x v="0"/>
    <x v="0"/>
    <x v="0"/>
    <x v="0"/>
    <x v="1"/>
    <s v="DK2_Large"/>
    <x v="2"/>
    <s v="GNR_GEO_HEAT_HO"/>
    <x v="0"/>
    <x v="19"/>
    <n v="14"/>
    <n v="5110"/>
    <n v="18396"/>
  </r>
  <r>
    <x v="0"/>
    <x v="0"/>
    <x v="0"/>
    <x v="0"/>
    <x v="1"/>
    <s v="DK2_Large"/>
    <x v="2"/>
    <s v="GNR_GEO_HEAT_HO"/>
    <x v="0"/>
    <x v="20"/>
    <n v="14"/>
    <n v="5110"/>
    <n v="18396"/>
  </r>
  <r>
    <x v="0"/>
    <x v="0"/>
    <x v="0"/>
    <x v="0"/>
    <x v="1"/>
    <s v="DK2_Large"/>
    <x v="2"/>
    <s v="GNR_GEO_HEAT_HO"/>
    <x v="0"/>
    <x v="21"/>
    <n v="14"/>
    <n v="5110"/>
    <n v="18396"/>
  </r>
  <r>
    <x v="0"/>
    <x v="0"/>
    <x v="0"/>
    <x v="0"/>
    <x v="1"/>
    <s v="DK2_Large"/>
    <x v="2"/>
    <s v="GNR_GEO_HEAT_HO"/>
    <x v="0"/>
    <x v="22"/>
    <n v="14"/>
    <n v="5110"/>
    <n v="18396"/>
  </r>
  <r>
    <x v="0"/>
    <x v="0"/>
    <x v="0"/>
    <x v="0"/>
    <x v="1"/>
    <s v="DK2_Large"/>
    <x v="2"/>
    <s v="GNR_GEO_HEAT_HO"/>
    <x v="0"/>
    <x v="23"/>
    <n v="14"/>
    <n v="5110"/>
    <n v="18396"/>
  </r>
  <r>
    <x v="0"/>
    <x v="0"/>
    <x v="0"/>
    <x v="0"/>
    <x v="1"/>
    <s v="DK2_Large"/>
    <x v="5"/>
    <s v="GNR_ST_WOODCHI_BP_E-27"/>
    <x v="0"/>
    <x v="0"/>
    <n v="55.555555555555699"/>
    <n v="20277.777777777799"/>
    <n v="73000.000000000204"/>
  </r>
  <r>
    <x v="0"/>
    <x v="0"/>
    <x v="0"/>
    <x v="0"/>
    <x v="1"/>
    <s v="DK2_Large"/>
    <x v="5"/>
    <s v="GNR_ST_WOODCHI_BP_E-27"/>
    <x v="0"/>
    <x v="1"/>
    <n v="55.555555555555699"/>
    <n v="20277.777777777799"/>
    <n v="73000.000000000204"/>
  </r>
  <r>
    <x v="0"/>
    <x v="0"/>
    <x v="0"/>
    <x v="0"/>
    <x v="1"/>
    <s v="DK2_Large"/>
    <x v="5"/>
    <s v="GNR_ST_WOODCHI_BP_E-27"/>
    <x v="0"/>
    <x v="2"/>
    <n v="55.555555555555699"/>
    <n v="20277.777777777799"/>
    <n v="73000.000000000204"/>
  </r>
  <r>
    <x v="0"/>
    <x v="0"/>
    <x v="0"/>
    <x v="0"/>
    <x v="1"/>
    <s v="DK2_Large"/>
    <x v="5"/>
    <s v="GNR_ST_WOODCHI_BP_E-27"/>
    <x v="0"/>
    <x v="3"/>
    <n v="55.555555555555699"/>
    <n v="20277.777777777799"/>
    <n v="73000.000000000204"/>
  </r>
  <r>
    <x v="0"/>
    <x v="0"/>
    <x v="0"/>
    <x v="0"/>
    <x v="1"/>
    <s v="DK2_Large"/>
    <x v="5"/>
    <s v="GNR_ST_WOODCHI_BP_E-27"/>
    <x v="0"/>
    <x v="4"/>
    <n v="55.555555555555699"/>
    <n v="20277.777777777799"/>
    <n v="73000.000000000204"/>
  </r>
  <r>
    <x v="0"/>
    <x v="0"/>
    <x v="0"/>
    <x v="0"/>
    <x v="1"/>
    <s v="DK2_Large"/>
    <x v="5"/>
    <s v="GNR_ST_WOODCHI_BP_E-27"/>
    <x v="0"/>
    <x v="5"/>
    <n v="55.555555555555699"/>
    <n v="20277.777777777799"/>
    <n v="73000.000000000204"/>
  </r>
  <r>
    <x v="0"/>
    <x v="0"/>
    <x v="0"/>
    <x v="0"/>
    <x v="1"/>
    <s v="DK2_Large"/>
    <x v="5"/>
    <s v="GNR_ST_WOODCHI_BP_E-27"/>
    <x v="0"/>
    <x v="6"/>
    <n v="55.555555555555699"/>
    <n v="20277.777777777799"/>
    <n v="73000.000000000204"/>
  </r>
  <r>
    <x v="0"/>
    <x v="0"/>
    <x v="0"/>
    <x v="0"/>
    <x v="1"/>
    <s v="DK2_Large"/>
    <x v="5"/>
    <s v="GNR_ST_WOODCHI_BP_E-27"/>
    <x v="0"/>
    <x v="7"/>
    <n v="55.555555555555699"/>
    <n v="20277.777777777799"/>
    <n v="73000.000000000204"/>
  </r>
  <r>
    <x v="0"/>
    <x v="0"/>
    <x v="0"/>
    <x v="0"/>
    <x v="1"/>
    <s v="DK2_Large"/>
    <x v="5"/>
    <s v="GNR_ST_WOODCHI_BP_E-27"/>
    <x v="0"/>
    <x v="8"/>
    <n v="55.555555555555699"/>
    <n v="20277.777777777799"/>
    <n v="73000.000000000204"/>
  </r>
  <r>
    <x v="0"/>
    <x v="0"/>
    <x v="0"/>
    <x v="0"/>
    <x v="1"/>
    <s v="DK2_Large"/>
    <x v="5"/>
    <s v="GNR_ST_WOODCHI_BP_E-27"/>
    <x v="0"/>
    <x v="9"/>
    <n v="55.555555555555699"/>
    <n v="20277.777777777799"/>
    <n v="73000.000000000204"/>
  </r>
  <r>
    <x v="0"/>
    <x v="0"/>
    <x v="0"/>
    <x v="0"/>
    <x v="1"/>
    <s v="DK2_Large"/>
    <x v="5"/>
    <s v="GNR_ST_WOODCHI_BP_E-27"/>
    <x v="0"/>
    <x v="10"/>
    <n v="55.555555555555699"/>
    <n v="20277.777777777799"/>
    <n v="73000.000000000204"/>
  </r>
  <r>
    <x v="0"/>
    <x v="0"/>
    <x v="0"/>
    <x v="0"/>
    <x v="1"/>
    <s v="DK2_Large"/>
    <x v="5"/>
    <s v="GNR_ST_WOODCHI_BP_E-27"/>
    <x v="0"/>
    <x v="11"/>
    <n v="55.555555555555699"/>
    <n v="20277.777777777799"/>
    <n v="73000.000000000204"/>
  </r>
  <r>
    <x v="0"/>
    <x v="0"/>
    <x v="0"/>
    <x v="0"/>
    <x v="1"/>
    <s v="DK2_Large"/>
    <x v="5"/>
    <s v="GNR_ST_WOODCHI_BP_E-27"/>
    <x v="0"/>
    <x v="12"/>
    <n v="55.555555555555699"/>
    <n v="20277.777777777799"/>
    <n v="73000.000000000204"/>
  </r>
  <r>
    <x v="0"/>
    <x v="0"/>
    <x v="0"/>
    <x v="0"/>
    <x v="1"/>
    <s v="DK2_Large"/>
    <x v="5"/>
    <s v="GNR_ST_WOODCHI_BP_E-27"/>
    <x v="0"/>
    <x v="13"/>
    <n v="55.555555555555699"/>
    <n v="20277.777777777799"/>
    <n v="73000.000000000204"/>
  </r>
  <r>
    <x v="0"/>
    <x v="0"/>
    <x v="0"/>
    <x v="0"/>
    <x v="1"/>
    <s v="DK2_Large"/>
    <x v="5"/>
    <s v="GNR_ST_WOODCHI_BP_E-27"/>
    <x v="0"/>
    <x v="14"/>
    <n v="55.555555555555699"/>
    <n v="20277.777777777799"/>
    <n v="73000.000000000204"/>
  </r>
  <r>
    <x v="0"/>
    <x v="0"/>
    <x v="0"/>
    <x v="0"/>
    <x v="1"/>
    <s v="DK2_Large"/>
    <x v="5"/>
    <s v="GNR_ST_WOODCHI_BP_E-27"/>
    <x v="0"/>
    <x v="15"/>
    <n v="55.555555555555699"/>
    <n v="20277.777777777799"/>
    <n v="73000.000000000204"/>
  </r>
  <r>
    <x v="0"/>
    <x v="0"/>
    <x v="0"/>
    <x v="0"/>
    <x v="1"/>
    <s v="DK2_Large"/>
    <x v="5"/>
    <s v="GNR_ST_WOODCHI_BP_E-27"/>
    <x v="0"/>
    <x v="16"/>
    <n v="55.555555555555699"/>
    <n v="20277.777777777799"/>
    <n v="73000.000000000204"/>
  </r>
  <r>
    <x v="0"/>
    <x v="0"/>
    <x v="0"/>
    <x v="0"/>
    <x v="1"/>
    <s v="DK2_Large"/>
    <x v="5"/>
    <s v="GNR_ST_WOODCHI_BP_E-27"/>
    <x v="0"/>
    <x v="17"/>
    <n v="55.555555555555699"/>
    <n v="20277.777777777799"/>
    <n v="73000.000000000204"/>
  </r>
  <r>
    <x v="0"/>
    <x v="0"/>
    <x v="0"/>
    <x v="0"/>
    <x v="1"/>
    <s v="DK2_Large"/>
    <x v="5"/>
    <s v="GNR_ST_WOODCHI_BP_E-27"/>
    <x v="0"/>
    <x v="18"/>
    <n v="55.555555555555699"/>
    <n v="20277.777777777799"/>
    <n v="73000.000000000204"/>
  </r>
  <r>
    <x v="0"/>
    <x v="0"/>
    <x v="0"/>
    <x v="0"/>
    <x v="1"/>
    <s v="DK2_Large"/>
    <x v="5"/>
    <s v="GNR_ST_WOODCHI_BP_E-27"/>
    <x v="0"/>
    <x v="19"/>
    <n v="55.555555555555699"/>
    <n v="20277.777777777799"/>
    <n v="73000.000000000204"/>
  </r>
  <r>
    <x v="0"/>
    <x v="0"/>
    <x v="0"/>
    <x v="0"/>
    <x v="1"/>
    <s v="DK2_Large"/>
    <x v="5"/>
    <s v="GNR_ST_WOODCHI_BP_E-27"/>
    <x v="0"/>
    <x v="20"/>
    <n v="55.555555555555699"/>
    <n v="20277.777777777799"/>
    <n v="73000.000000000204"/>
  </r>
  <r>
    <x v="0"/>
    <x v="0"/>
    <x v="0"/>
    <x v="0"/>
    <x v="1"/>
    <s v="DK2_Large"/>
    <x v="5"/>
    <s v="GNR_ST_WOODCHI_BP_E-27"/>
    <x v="0"/>
    <x v="21"/>
    <n v="55.555555555555699"/>
    <n v="20277.777777777799"/>
    <n v="73000.000000000204"/>
  </r>
  <r>
    <x v="0"/>
    <x v="0"/>
    <x v="0"/>
    <x v="0"/>
    <x v="1"/>
    <s v="DK2_Large"/>
    <x v="5"/>
    <s v="GNR_ST_WOODCHI_BP_E-27"/>
    <x v="0"/>
    <x v="22"/>
    <n v="55.555555555555699"/>
    <n v="20277.777777777799"/>
    <n v="73000.000000000204"/>
  </r>
  <r>
    <x v="0"/>
    <x v="0"/>
    <x v="0"/>
    <x v="0"/>
    <x v="1"/>
    <s v="DK2_Large"/>
    <x v="5"/>
    <s v="GNR_ST_WOODCHI_BP_E-27"/>
    <x v="0"/>
    <x v="23"/>
    <n v="55.555555555555699"/>
    <n v="20277.777777777799"/>
    <n v="73000.000000000204"/>
  </r>
  <r>
    <x v="0"/>
    <x v="0"/>
    <x v="0"/>
    <x v="0"/>
    <x v="1"/>
    <s v="DK2_Large"/>
    <x v="9"/>
    <s v="GNR_BO_WOODWST_E-90"/>
    <x v="0"/>
    <x v="0"/>
    <n v="7.4"/>
    <n v="2701"/>
    <n v="9723.6"/>
  </r>
  <r>
    <x v="0"/>
    <x v="0"/>
    <x v="0"/>
    <x v="0"/>
    <x v="1"/>
    <s v="DK2_Large"/>
    <x v="9"/>
    <s v="GNR_BO_WOODWST_E-90"/>
    <x v="0"/>
    <x v="1"/>
    <n v="7.4"/>
    <n v="2701"/>
    <n v="9723.6"/>
  </r>
  <r>
    <x v="0"/>
    <x v="0"/>
    <x v="0"/>
    <x v="0"/>
    <x v="1"/>
    <s v="DK2_Large"/>
    <x v="9"/>
    <s v="GNR_BO_WOODWST_E-90"/>
    <x v="0"/>
    <x v="2"/>
    <n v="7.4"/>
    <n v="2701"/>
    <n v="9723.6"/>
  </r>
  <r>
    <x v="0"/>
    <x v="0"/>
    <x v="0"/>
    <x v="0"/>
    <x v="1"/>
    <s v="DK2_Large"/>
    <x v="9"/>
    <s v="GNR_BO_WOODWST_E-90"/>
    <x v="0"/>
    <x v="3"/>
    <n v="7.4"/>
    <n v="2701"/>
    <n v="9723.6"/>
  </r>
  <r>
    <x v="0"/>
    <x v="0"/>
    <x v="0"/>
    <x v="0"/>
    <x v="1"/>
    <s v="DK2_Large"/>
    <x v="9"/>
    <s v="GNR_BO_WOODWST_E-90"/>
    <x v="0"/>
    <x v="4"/>
    <n v="7.4"/>
    <n v="2701"/>
    <n v="9723.6"/>
  </r>
  <r>
    <x v="0"/>
    <x v="0"/>
    <x v="0"/>
    <x v="0"/>
    <x v="1"/>
    <s v="DK2_Large"/>
    <x v="9"/>
    <s v="GNR_BO_WOODWST_E-90"/>
    <x v="0"/>
    <x v="5"/>
    <n v="7.4"/>
    <n v="2701"/>
    <n v="9723.6"/>
  </r>
  <r>
    <x v="0"/>
    <x v="0"/>
    <x v="0"/>
    <x v="0"/>
    <x v="1"/>
    <s v="DK2_Large"/>
    <x v="9"/>
    <s v="GNR_BO_WOODWST_E-90"/>
    <x v="0"/>
    <x v="6"/>
    <n v="7.4"/>
    <n v="2701"/>
    <n v="9723.6"/>
  </r>
  <r>
    <x v="0"/>
    <x v="0"/>
    <x v="0"/>
    <x v="0"/>
    <x v="1"/>
    <s v="DK2_Large"/>
    <x v="9"/>
    <s v="GNR_BO_WOODWST_E-90"/>
    <x v="0"/>
    <x v="7"/>
    <n v="7.4"/>
    <n v="2701"/>
    <n v="9723.6"/>
  </r>
  <r>
    <x v="0"/>
    <x v="0"/>
    <x v="0"/>
    <x v="0"/>
    <x v="1"/>
    <s v="DK2_Large"/>
    <x v="9"/>
    <s v="GNR_BO_WOODWST_E-90"/>
    <x v="0"/>
    <x v="8"/>
    <n v="7.4"/>
    <n v="2701"/>
    <n v="9723.6"/>
  </r>
  <r>
    <x v="0"/>
    <x v="0"/>
    <x v="0"/>
    <x v="0"/>
    <x v="1"/>
    <s v="DK2_Large"/>
    <x v="9"/>
    <s v="GNR_BO_WOODWST_E-90"/>
    <x v="0"/>
    <x v="9"/>
    <n v="7.4"/>
    <n v="2701"/>
    <n v="9723.6"/>
  </r>
  <r>
    <x v="0"/>
    <x v="0"/>
    <x v="0"/>
    <x v="0"/>
    <x v="1"/>
    <s v="DK2_Large"/>
    <x v="9"/>
    <s v="GNR_BO_WOODWST_E-90"/>
    <x v="0"/>
    <x v="10"/>
    <n v="7.4"/>
    <n v="2701"/>
    <n v="9723.6"/>
  </r>
  <r>
    <x v="0"/>
    <x v="0"/>
    <x v="0"/>
    <x v="0"/>
    <x v="1"/>
    <s v="DK2_Large"/>
    <x v="9"/>
    <s v="GNR_BO_WOODWST_E-90"/>
    <x v="0"/>
    <x v="11"/>
    <n v="7.4"/>
    <n v="2701"/>
    <n v="9723.6"/>
  </r>
  <r>
    <x v="0"/>
    <x v="0"/>
    <x v="0"/>
    <x v="0"/>
    <x v="1"/>
    <s v="DK2_Large"/>
    <x v="9"/>
    <s v="GNR_BO_WOODWST_E-90"/>
    <x v="0"/>
    <x v="12"/>
    <n v="7.4"/>
    <n v="2701"/>
    <n v="9723.6"/>
  </r>
  <r>
    <x v="0"/>
    <x v="0"/>
    <x v="0"/>
    <x v="0"/>
    <x v="1"/>
    <s v="DK2_Large"/>
    <x v="9"/>
    <s v="GNR_BO_WOODWST_E-90"/>
    <x v="0"/>
    <x v="13"/>
    <n v="7.4"/>
    <n v="2701"/>
    <n v="9723.6"/>
  </r>
  <r>
    <x v="0"/>
    <x v="0"/>
    <x v="0"/>
    <x v="0"/>
    <x v="1"/>
    <s v="DK2_Large"/>
    <x v="9"/>
    <s v="GNR_BO_WOODWST_E-90"/>
    <x v="0"/>
    <x v="14"/>
    <n v="7.4"/>
    <n v="2701"/>
    <n v="9723.6"/>
  </r>
  <r>
    <x v="0"/>
    <x v="0"/>
    <x v="0"/>
    <x v="0"/>
    <x v="1"/>
    <s v="DK2_Large"/>
    <x v="9"/>
    <s v="GNR_BO_WOODWST_E-90"/>
    <x v="0"/>
    <x v="15"/>
    <n v="7.4"/>
    <n v="2701"/>
    <n v="9723.6"/>
  </r>
  <r>
    <x v="0"/>
    <x v="0"/>
    <x v="0"/>
    <x v="0"/>
    <x v="1"/>
    <s v="DK2_Large"/>
    <x v="9"/>
    <s v="GNR_BO_WOODWST_E-90"/>
    <x v="0"/>
    <x v="16"/>
    <n v="7.4"/>
    <n v="2701"/>
    <n v="9723.6"/>
  </r>
  <r>
    <x v="0"/>
    <x v="0"/>
    <x v="0"/>
    <x v="0"/>
    <x v="1"/>
    <s v="DK2_Large"/>
    <x v="9"/>
    <s v="GNR_BO_WOODWST_E-90"/>
    <x v="0"/>
    <x v="17"/>
    <n v="7.4"/>
    <n v="2701"/>
    <n v="9723.6"/>
  </r>
  <r>
    <x v="0"/>
    <x v="0"/>
    <x v="0"/>
    <x v="0"/>
    <x v="1"/>
    <s v="DK2_Large"/>
    <x v="9"/>
    <s v="GNR_BO_WOODWST_E-90"/>
    <x v="0"/>
    <x v="18"/>
    <n v="7.4"/>
    <n v="2701"/>
    <n v="9723.6"/>
  </r>
  <r>
    <x v="0"/>
    <x v="0"/>
    <x v="0"/>
    <x v="0"/>
    <x v="1"/>
    <s v="DK2_Large"/>
    <x v="9"/>
    <s v="GNR_BO_WOODWST_E-90"/>
    <x v="0"/>
    <x v="19"/>
    <n v="7.4"/>
    <n v="2701"/>
    <n v="9723.6"/>
  </r>
  <r>
    <x v="0"/>
    <x v="0"/>
    <x v="0"/>
    <x v="0"/>
    <x v="1"/>
    <s v="DK2_Large"/>
    <x v="9"/>
    <s v="GNR_BO_WOODWST_E-90"/>
    <x v="0"/>
    <x v="20"/>
    <n v="7.4"/>
    <n v="2701"/>
    <n v="9723.6"/>
  </r>
  <r>
    <x v="0"/>
    <x v="0"/>
    <x v="0"/>
    <x v="0"/>
    <x v="1"/>
    <s v="DK2_Large"/>
    <x v="9"/>
    <s v="GNR_BO_WOODWST_E-90"/>
    <x v="0"/>
    <x v="21"/>
    <n v="7.4"/>
    <n v="2701"/>
    <n v="9723.6"/>
  </r>
  <r>
    <x v="0"/>
    <x v="0"/>
    <x v="0"/>
    <x v="0"/>
    <x v="1"/>
    <s v="DK2_Large"/>
    <x v="9"/>
    <s v="GNR_BO_WOODWST_E-90"/>
    <x v="0"/>
    <x v="22"/>
    <n v="7.4"/>
    <n v="2701"/>
    <n v="9723.6"/>
  </r>
  <r>
    <x v="0"/>
    <x v="0"/>
    <x v="0"/>
    <x v="0"/>
    <x v="1"/>
    <s v="DK2_Large"/>
    <x v="9"/>
    <s v="GNR_BO_WOODWST_E-90"/>
    <x v="0"/>
    <x v="23"/>
    <n v="7.4"/>
    <n v="2701"/>
    <n v="9723.6"/>
  </r>
  <r>
    <x v="0"/>
    <x v="0"/>
    <x v="0"/>
    <x v="0"/>
    <x v="1"/>
    <s v="DK2_MedSmall"/>
    <x v="1"/>
    <s v="GNR_BO_MSW_E-105"/>
    <x v="0"/>
    <x v="0"/>
    <n v="16.1904761904762"/>
    <n v="5909.5238095238101"/>
    <n v="21274.285714285699"/>
  </r>
  <r>
    <x v="0"/>
    <x v="0"/>
    <x v="0"/>
    <x v="0"/>
    <x v="1"/>
    <s v="DK2_MedSmall"/>
    <x v="1"/>
    <s v="GNR_BO_MSW_E-105"/>
    <x v="0"/>
    <x v="1"/>
    <n v="16.1904761904762"/>
    <n v="5909.5238095238101"/>
    <n v="21274.285714285699"/>
  </r>
  <r>
    <x v="0"/>
    <x v="0"/>
    <x v="0"/>
    <x v="0"/>
    <x v="1"/>
    <s v="DK2_MedSmall"/>
    <x v="1"/>
    <s v="GNR_BO_MSW_E-105"/>
    <x v="0"/>
    <x v="2"/>
    <n v="16.1904761904762"/>
    <n v="5909.5238095238101"/>
    <n v="21274.285714285699"/>
  </r>
  <r>
    <x v="0"/>
    <x v="0"/>
    <x v="0"/>
    <x v="0"/>
    <x v="1"/>
    <s v="DK2_MedSmall"/>
    <x v="1"/>
    <s v="GNR_BO_MSW_E-105"/>
    <x v="0"/>
    <x v="3"/>
    <n v="16.1904761904762"/>
    <n v="5909.5238095238101"/>
    <n v="21274.285714285699"/>
  </r>
  <r>
    <x v="0"/>
    <x v="0"/>
    <x v="0"/>
    <x v="0"/>
    <x v="1"/>
    <s v="DK2_MedSmall"/>
    <x v="1"/>
    <s v="GNR_BO_MSW_E-105"/>
    <x v="0"/>
    <x v="4"/>
    <n v="16.1904761904762"/>
    <n v="5909.5238095238101"/>
    <n v="21274.285714285699"/>
  </r>
  <r>
    <x v="0"/>
    <x v="0"/>
    <x v="0"/>
    <x v="0"/>
    <x v="1"/>
    <s v="DK2_MedSmall"/>
    <x v="1"/>
    <s v="GNR_BO_MSW_E-105"/>
    <x v="0"/>
    <x v="5"/>
    <n v="16.1904761904762"/>
    <n v="5909.5238095238101"/>
    <n v="21274.285714285699"/>
  </r>
  <r>
    <x v="0"/>
    <x v="0"/>
    <x v="0"/>
    <x v="0"/>
    <x v="1"/>
    <s v="DK2_MedSmall"/>
    <x v="1"/>
    <s v="GNR_BO_MSW_E-105"/>
    <x v="0"/>
    <x v="6"/>
    <n v="16.1904761904762"/>
    <n v="5909.5238095238101"/>
    <n v="21274.285714285699"/>
  </r>
  <r>
    <x v="0"/>
    <x v="0"/>
    <x v="0"/>
    <x v="0"/>
    <x v="1"/>
    <s v="DK2_MedSmall"/>
    <x v="1"/>
    <s v="GNR_BO_MSW_E-105"/>
    <x v="0"/>
    <x v="7"/>
    <n v="16.1904761904762"/>
    <n v="5909.5238095238101"/>
    <n v="21274.285714285699"/>
  </r>
  <r>
    <x v="0"/>
    <x v="0"/>
    <x v="0"/>
    <x v="0"/>
    <x v="1"/>
    <s v="DK2_MedSmall"/>
    <x v="1"/>
    <s v="GNR_BO_MSW_E-105"/>
    <x v="0"/>
    <x v="8"/>
    <n v="16.1904761904762"/>
    <n v="5909.5238095238101"/>
    <n v="21274.285714285699"/>
  </r>
  <r>
    <x v="0"/>
    <x v="0"/>
    <x v="0"/>
    <x v="0"/>
    <x v="1"/>
    <s v="DK2_MedSmall"/>
    <x v="1"/>
    <s v="GNR_BO_MSW_E-105"/>
    <x v="0"/>
    <x v="9"/>
    <n v="16.1904761904762"/>
    <n v="5909.5238095238101"/>
    <n v="21274.285714285699"/>
  </r>
  <r>
    <x v="0"/>
    <x v="0"/>
    <x v="0"/>
    <x v="0"/>
    <x v="1"/>
    <s v="DK2_MedSmall"/>
    <x v="1"/>
    <s v="GNR_BO_MSW_E-105"/>
    <x v="0"/>
    <x v="10"/>
    <n v="16.1904761904762"/>
    <n v="5909.5238095238101"/>
    <n v="21274.285714285699"/>
  </r>
  <r>
    <x v="0"/>
    <x v="0"/>
    <x v="0"/>
    <x v="0"/>
    <x v="1"/>
    <s v="DK2_MedSmall"/>
    <x v="1"/>
    <s v="GNR_BO_MSW_E-105"/>
    <x v="0"/>
    <x v="11"/>
    <n v="16.1904761904762"/>
    <n v="5909.5238095238101"/>
    <n v="21274.285714285699"/>
  </r>
  <r>
    <x v="0"/>
    <x v="0"/>
    <x v="0"/>
    <x v="0"/>
    <x v="1"/>
    <s v="DK2_MedSmall"/>
    <x v="1"/>
    <s v="GNR_BO_MSW_E-105"/>
    <x v="0"/>
    <x v="12"/>
    <n v="16.1904761904762"/>
    <n v="5909.5238095238101"/>
    <n v="21274.285714285699"/>
  </r>
  <r>
    <x v="0"/>
    <x v="0"/>
    <x v="0"/>
    <x v="0"/>
    <x v="1"/>
    <s v="DK2_MedSmall"/>
    <x v="1"/>
    <s v="GNR_BO_MSW_E-105"/>
    <x v="0"/>
    <x v="13"/>
    <n v="16.1904761904762"/>
    <n v="5909.5238095238101"/>
    <n v="21274.285714285699"/>
  </r>
  <r>
    <x v="0"/>
    <x v="0"/>
    <x v="0"/>
    <x v="0"/>
    <x v="1"/>
    <s v="DK2_MedSmall"/>
    <x v="1"/>
    <s v="GNR_BO_MSW_E-105"/>
    <x v="0"/>
    <x v="14"/>
    <n v="16.1904761904762"/>
    <n v="5909.5238095238101"/>
    <n v="21274.285714285699"/>
  </r>
  <r>
    <x v="0"/>
    <x v="0"/>
    <x v="0"/>
    <x v="0"/>
    <x v="1"/>
    <s v="DK2_MedSmall"/>
    <x v="1"/>
    <s v="GNR_BO_MSW_E-105"/>
    <x v="0"/>
    <x v="15"/>
    <n v="16.1904761904762"/>
    <n v="5909.5238095238101"/>
    <n v="21274.285714285699"/>
  </r>
  <r>
    <x v="0"/>
    <x v="0"/>
    <x v="0"/>
    <x v="0"/>
    <x v="1"/>
    <s v="DK2_MedSmall"/>
    <x v="1"/>
    <s v="GNR_BO_MSW_E-105"/>
    <x v="0"/>
    <x v="16"/>
    <n v="16.1904761904762"/>
    <n v="5909.5238095238101"/>
    <n v="21274.285714285699"/>
  </r>
  <r>
    <x v="0"/>
    <x v="0"/>
    <x v="0"/>
    <x v="0"/>
    <x v="1"/>
    <s v="DK2_MedSmall"/>
    <x v="1"/>
    <s v="GNR_BO_MSW_E-105"/>
    <x v="0"/>
    <x v="17"/>
    <n v="16.1904761904762"/>
    <n v="5909.5238095238101"/>
    <n v="21274.285714285699"/>
  </r>
  <r>
    <x v="0"/>
    <x v="0"/>
    <x v="0"/>
    <x v="0"/>
    <x v="1"/>
    <s v="DK2_MedSmall"/>
    <x v="1"/>
    <s v="GNR_BO_MSW_E-105"/>
    <x v="0"/>
    <x v="18"/>
    <n v="16.1904761904762"/>
    <n v="5909.5238095238101"/>
    <n v="21274.285714285699"/>
  </r>
  <r>
    <x v="0"/>
    <x v="0"/>
    <x v="0"/>
    <x v="0"/>
    <x v="1"/>
    <s v="DK2_MedSmall"/>
    <x v="1"/>
    <s v="GNR_BO_MSW_E-105"/>
    <x v="0"/>
    <x v="19"/>
    <n v="16.1904761904762"/>
    <n v="5909.5238095238101"/>
    <n v="21274.285714285699"/>
  </r>
  <r>
    <x v="0"/>
    <x v="0"/>
    <x v="0"/>
    <x v="0"/>
    <x v="1"/>
    <s v="DK2_MedSmall"/>
    <x v="1"/>
    <s v="GNR_BO_MSW_E-105"/>
    <x v="0"/>
    <x v="20"/>
    <n v="16.1904761904762"/>
    <n v="5909.5238095238101"/>
    <n v="21274.285714285699"/>
  </r>
  <r>
    <x v="0"/>
    <x v="0"/>
    <x v="0"/>
    <x v="0"/>
    <x v="1"/>
    <s v="DK2_MedSmall"/>
    <x v="1"/>
    <s v="GNR_BO_MSW_E-105"/>
    <x v="0"/>
    <x v="21"/>
    <n v="16.1904761904762"/>
    <n v="5909.5238095238101"/>
    <n v="21274.285714285699"/>
  </r>
  <r>
    <x v="0"/>
    <x v="0"/>
    <x v="0"/>
    <x v="0"/>
    <x v="1"/>
    <s v="DK2_MedSmall"/>
    <x v="1"/>
    <s v="GNR_BO_MSW_E-105"/>
    <x v="0"/>
    <x v="22"/>
    <n v="16.1904761904762"/>
    <n v="5909.5238095238101"/>
    <n v="21274.285714285699"/>
  </r>
  <r>
    <x v="0"/>
    <x v="0"/>
    <x v="0"/>
    <x v="0"/>
    <x v="1"/>
    <s v="DK2_MedSmall"/>
    <x v="1"/>
    <s v="GNR_BO_MSW_E-105"/>
    <x v="0"/>
    <x v="23"/>
    <n v="16.1904761904762"/>
    <n v="5909.5238095238101"/>
    <n v="21274.285714285699"/>
  </r>
  <r>
    <x v="0"/>
    <x v="0"/>
    <x v="0"/>
    <x v="0"/>
    <x v="1"/>
    <s v="DK2_MedSmall"/>
    <x v="1"/>
    <s v="GNR_ST_MSW_BP_E-28"/>
    <x v="0"/>
    <x v="6"/>
    <n v="2.8549687100380701"/>
    <n v="1042.0635791638999"/>
    <n v="3751.4288849900299"/>
  </r>
  <r>
    <x v="0"/>
    <x v="0"/>
    <x v="0"/>
    <x v="0"/>
    <x v="1"/>
    <s v="DK2_MedSmall"/>
    <x v="1"/>
    <s v="GNR_ST_MSW_BP_E-28"/>
    <x v="0"/>
    <x v="7"/>
    <n v="10.876189019701"/>
    <n v="3969.80899219087"/>
    <n v="14291.312371887199"/>
  </r>
  <r>
    <x v="0"/>
    <x v="0"/>
    <x v="0"/>
    <x v="0"/>
    <x v="1"/>
    <s v="DK2_MedSmall"/>
    <x v="1"/>
    <s v="GNR_ST_MSW_BP_E-28"/>
    <x v="0"/>
    <x v="8"/>
    <n v="12.8012818940201"/>
    <n v="4672.4678913173502"/>
    <n v="16820.884408742499"/>
  </r>
  <r>
    <x v="0"/>
    <x v="0"/>
    <x v="0"/>
    <x v="0"/>
    <x v="1"/>
    <s v="DK2_MedSmall"/>
    <x v="1"/>
    <s v="GNR_ST_MSW_BP_E-28"/>
    <x v="0"/>
    <x v="9"/>
    <n v="13.809663875806301"/>
    <n v="5040.5273146693098"/>
    <n v="18145.898332809498"/>
  </r>
  <r>
    <x v="0"/>
    <x v="0"/>
    <x v="0"/>
    <x v="0"/>
    <x v="1"/>
    <s v="DK2_MedSmall"/>
    <x v="1"/>
    <s v="GNR_ST_MSW_BP_E-28"/>
    <x v="0"/>
    <x v="10"/>
    <n v="13.534650608046499"/>
    <n v="4940.1474719369598"/>
    <n v="17784.530898973098"/>
  </r>
  <r>
    <x v="0"/>
    <x v="0"/>
    <x v="0"/>
    <x v="0"/>
    <x v="1"/>
    <s v="DK2_MedSmall"/>
    <x v="1"/>
    <s v="GNR_ST_MSW_BP_E-28"/>
    <x v="0"/>
    <x v="11"/>
    <n v="13.5804861526731"/>
    <n v="4956.8774457256904"/>
    <n v="17844.758804612498"/>
  </r>
  <r>
    <x v="0"/>
    <x v="0"/>
    <x v="0"/>
    <x v="0"/>
    <x v="1"/>
    <s v="DK2_MedSmall"/>
    <x v="1"/>
    <s v="GNR_ST_MSW_BP_E-28"/>
    <x v="0"/>
    <x v="12"/>
    <n v="13.076295161779999"/>
    <n v="4772.8477340497002"/>
    <n v="17182.251842578899"/>
  </r>
  <r>
    <x v="0"/>
    <x v="0"/>
    <x v="0"/>
    <x v="0"/>
    <x v="1"/>
    <s v="DK2_MedSmall"/>
    <x v="1"/>
    <s v="GNR_ST_MSW_BP_E-28"/>
    <x v="0"/>
    <x v="13"/>
    <n v="11.059531198207599"/>
    <n v="4036.7288873457701"/>
    <n v="14532.223994444799"/>
  </r>
  <r>
    <x v="0"/>
    <x v="0"/>
    <x v="0"/>
    <x v="0"/>
    <x v="1"/>
    <s v="DK2_MedSmall"/>
    <x v="1"/>
    <s v="GNR_ST_MSW_BP_E-28"/>
    <x v="0"/>
    <x v="14"/>
    <n v="11.6095577337273"/>
    <n v="4237.48857281048"/>
    <n v="15254.958862117701"/>
  </r>
  <r>
    <x v="0"/>
    <x v="0"/>
    <x v="0"/>
    <x v="0"/>
    <x v="1"/>
    <s v="DK2_MedSmall"/>
    <x v="1"/>
    <s v="GNR_ST_MSW_BP_E-28"/>
    <x v="0"/>
    <x v="15"/>
    <n v="12.1595842692471"/>
    <n v="4438.24825827519"/>
    <n v="15977.693729790701"/>
  </r>
  <r>
    <x v="0"/>
    <x v="0"/>
    <x v="0"/>
    <x v="0"/>
    <x v="1"/>
    <s v="DK2_MedSmall"/>
    <x v="1"/>
    <s v="GNR_ST_MSW_BP_E-28"/>
    <x v="0"/>
    <x v="16"/>
    <n v="13.21380179566"/>
    <n v="4823.0376554158802"/>
    <n v="17362.9355594972"/>
  </r>
  <r>
    <x v="0"/>
    <x v="0"/>
    <x v="0"/>
    <x v="0"/>
    <x v="1"/>
    <s v="DK2_MedSmall"/>
    <x v="1"/>
    <s v="GNR_ST_MSW_BP_E-28"/>
    <x v="0"/>
    <x v="17"/>
    <n v="12.984624072526699"/>
    <n v="4739.3877864722499"/>
    <n v="17061.796031300099"/>
  </r>
  <r>
    <x v="0"/>
    <x v="0"/>
    <x v="0"/>
    <x v="0"/>
    <x v="1"/>
    <s v="DK2_MedSmall"/>
    <x v="1"/>
    <s v="GNR_ST_MSW_BP_E-28"/>
    <x v="0"/>
    <x v="18"/>
    <n v="13.167966251033301"/>
    <n v="4806.3076816271596"/>
    <n v="17302.7076538578"/>
  </r>
  <r>
    <x v="0"/>
    <x v="0"/>
    <x v="0"/>
    <x v="0"/>
    <x v="1"/>
    <s v="DK2_MedSmall"/>
    <x v="1"/>
    <s v="GNR_ST_MSW_BP_E-28"/>
    <x v="0"/>
    <x v="19"/>
    <n v="12.984624072526699"/>
    <n v="4739.3877864722499"/>
    <n v="17061.796031300099"/>
  </r>
  <r>
    <x v="0"/>
    <x v="0"/>
    <x v="0"/>
    <x v="0"/>
    <x v="1"/>
    <s v="DK2_MedSmall"/>
    <x v="1"/>
    <s v="GNR_ST_MSW_BP_E-28"/>
    <x v="0"/>
    <x v="20"/>
    <n v="11.976242090740501"/>
    <n v="4371.3283631202903"/>
    <n v="15736.782107233001"/>
  </r>
  <r>
    <x v="0"/>
    <x v="0"/>
    <x v="0"/>
    <x v="0"/>
    <x v="1"/>
    <s v="DK2_MedSmall"/>
    <x v="1"/>
    <s v="GNR_ST_MSW_BP_E-28"/>
    <x v="0"/>
    <x v="21"/>
    <n v="5.8342791107700203"/>
    <n v="2129.5118754310602"/>
    <n v="7666.2427515518102"/>
  </r>
  <r>
    <x v="0"/>
    <x v="0"/>
    <x v="0"/>
    <x v="0"/>
    <x v="1"/>
    <s v="DK2_MedSmall"/>
    <x v="1"/>
    <s v="GNR_ST_MSW_BP_E-28"/>
    <x v="0"/>
    <x v="22"/>
    <n v="5.3759236645035697"/>
    <n v="1962.2121375438001"/>
    <n v="7063.9636951576904"/>
  </r>
  <r>
    <x v="0"/>
    <x v="0"/>
    <x v="0"/>
    <x v="0"/>
    <x v="1"/>
    <s v="DK2_MedSmall"/>
    <x v="1"/>
    <s v="GNR_ST_MSW_BP_E-28"/>
    <x v="0"/>
    <x v="23"/>
    <n v="4.2300350488374399"/>
    <n v="1543.96279282566"/>
    <n v="5558.2660541723899"/>
  </r>
  <r>
    <x v="0"/>
    <x v="0"/>
    <x v="0"/>
    <x v="0"/>
    <x v="1"/>
    <s v="DK2_MedSmall"/>
    <x v="4"/>
    <s v="GNR_BO_STRW_E-100"/>
    <x v="0"/>
    <x v="0"/>
    <n v="14.79"/>
    <n v="5398.35"/>
    <n v="19434.060000000001"/>
  </r>
  <r>
    <x v="0"/>
    <x v="0"/>
    <x v="0"/>
    <x v="0"/>
    <x v="1"/>
    <s v="DK2_MedSmall"/>
    <x v="4"/>
    <s v="GNR_BO_STRW_E-100"/>
    <x v="0"/>
    <x v="1"/>
    <n v="14.79"/>
    <n v="5398.35"/>
    <n v="19434.060000000001"/>
  </r>
  <r>
    <x v="0"/>
    <x v="0"/>
    <x v="0"/>
    <x v="0"/>
    <x v="1"/>
    <s v="DK2_MedSmall"/>
    <x v="4"/>
    <s v="GNR_BO_STRW_E-100"/>
    <x v="0"/>
    <x v="2"/>
    <n v="14.79"/>
    <n v="5398.35"/>
    <n v="19434.060000000001"/>
  </r>
  <r>
    <x v="0"/>
    <x v="0"/>
    <x v="0"/>
    <x v="0"/>
    <x v="1"/>
    <s v="DK2_MedSmall"/>
    <x v="4"/>
    <s v="GNR_BO_STRW_E-100"/>
    <x v="0"/>
    <x v="3"/>
    <n v="14.79"/>
    <n v="5398.35"/>
    <n v="19434.060000000001"/>
  </r>
  <r>
    <x v="0"/>
    <x v="0"/>
    <x v="0"/>
    <x v="0"/>
    <x v="1"/>
    <s v="DK2_MedSmall"/>
    <x v="4"/>
    <s v="GNR_BO_STRW_E-100"/>
    <x v="0"/>
    <x v="4"/>
    <n v="14.79"/>
    <n v="5398.35"/>
    <n v="19434.060000000001"/>
  </r>
  <r>
    <x v="0"/>
    <x v="0"/>
    <x v="0"/>
    <x v="0"/>
    <x v="1"/>
    <s v="DK2_MedSmall"/>
    <x v="4"/>
    <s v="GNR_BO_STRW_E-100"/>
    <x v="0"/>
    <x v="5"/>
    <n v="14.79"/>
    <n v="5398.35"/>
    <n v="19434.060000000001"/>
  </r>
  <r>
    <x v="0"/>
    <x v="0"/>
    <x v="0"/>
    <x v="0"/>
    <x v="1"/>
    <s v="DK2_MedSmall"/>
    <x v="4"/>
    <s v="GNR_BO_STRW_E-100"/>
    <x v="0"/>
    <x v="6"/>
    <n v="14.79"/>
    <n v="5398.35"/>
    <n v="19434.060000000001"/>
  </r>
  <r>
    <x v="0"/>
    <x v="0"/>
    <x v="0"/>
    <x v="0"/>
    <x v="1"/>
    <s v="DK2_MedSmall"/>
    <x v="4"/>
    <s v="GNR_BO_STRW_E-100"/>
    <x v="0"/>
    <x v="7"/>
    <n v="14.79"/>
    <n v="5398.35"/>
    <n v="19434.060000000001"/>
  </r>
  <r>
    <x v="0"/>
    <x v="0"/>
    <x v="0"/>
    <x v="0"/>
    <x v="1"/>
    <s v="DK2_MedSmall"/>
    <x v="4"/>
    <s v="GNR_BO_STRW_E-100"/>
    <x v="0"/>
    <x v="8"/>
    <n v="14.79"/>
    <n v="5398.35"/>
    <n v="19434.060000000001"/>
  </r>
  <r>
    <x v="0"/>
    <x v="0"/>
    <x v="0"/>
    <x v="0"/>
    <x v="1"/>
    <s v="DK2_MedSmall"/>
    <x v="4"/>
    <s v="GNR_BO_STRW_E-100"/>
    <x v="0"/>
    <x v="9"/>
    <n v="14.79"/>
    <n v="5398.35"/>
    <n v="19434.060000000001"/>
  </r>
  <r>
    <x v="0"/>
    <x v="0"/>
    <x v="0"/>
    <x v="0"/>
    <x v="1"/>
    <s v="DK2_MedSmall"/>
    <x v="4"/>
    <s v="GNR_BO_STRW_E-100"/>
    <x v="0"/>
    <x v="10"/>
    <n v="14.79"/>
    <n v="5398.35"/>
    <n v="19434.060000000001"/>
  </r>
  <r>
    <x v="0"/>
    <x v="0"/>
    <x v="0"/>
    <x v="0"/>
    <x v="1"/>
    <s v="DK2_MedSmall"/>
    <x v="4"/>
    <s v="GNR_BO_STRW_E-100"/>
    <x v="0"/>
    <x v="11"/>
    <n v="14.79"/>
    <n v="5398.35"/>
    <n v="19434.060000000001"/>
  </r>
  <r>
    <x v="0"/>
    <x v="0"/>
    <x v="0"/>
    <x v="0"/>
    <x v="1"/>
    <s v="DK2_MedSmall"/>
    <x v="4"/>
    <s v="GNR_BO_STRW_E-100"/>
    <x v="0"/>
    <x v="12"/>
    <n v="14.79"/>
    <n v="5398.35"/>
    <n v="19434.060000000001"/>
  </r>
  <r>
    <x v="0"/>
    <x v="0"/>
    <x v="0"/>
    <x v="0"/>
    <x v="1"/>
    <s v="DK2_MedSmall"/>
    <x v="4"/>
    <s v="GNR_BO_STRW_E-100"/>
    <x v="0"/>
    <x v="13"/>
    <n v="14.79"/>
    <n v="5398.35"/>
    <n v="19434.060000000001"/>
  </r>
  <r>
    <x v="0"/>
    <x v="0"/>
    <x v="0"/>
    <x v="0"/>
    <x v="1"/>
    <s v="DK2_MedSmall"/>
    <x v="4"/>
    <s v="GNR_BO_STRW_E-100"/>
    <x v="0"/>
    <x v="14"/>
    <n v="14.79"/>
    <n v="5398.35"/>
    <n v="19434.060000000001"/>
  </r>
  <r>
    <x v="0"/>
    <x v="0"/>
    <x v="0"/>
    <x v="0"/>
    <x v="1"/>
    <s v="DK2_MedSmall"/>
    <x v="4"/>
    <s v="GNR_BO_STRW_E-100"/>
    <x v="0"/>
    <x v="15"/>
    <n v="14.79"/>
    <n v="5398.35"/>
    <n v="19434.060000000001"/>
  </r>
  <r>
    <x v="0"/>
    <x v="0"/>
    <x v="0"/>
    <x v="0"/>
    <x v="1"/>
    <s v="DK2_MedSmall"/>
    <x v="4"/>
    <s v="GNR_BO_STRW_E-100"/>
    <x v="0"/>
    <x v="16"/>
    <n v="14.79"/>
    <n v="5398.35"/>
    <n v="19434.060000000001"/>
  </r>
  <r>
    <x v="0"/>
    <x v="0"/>
    <x v="0"/>
    <x v="0"/>
    <x v="1"/>
    <s v="DK2_MedSmall"/>
    <x v="4"/>
    <s v="GNR_BO_STRW_E-100"/>
    <x v="0"/>
    <x v="17"/>
    <n v="14.79"/>
    <n v="5398.35"/>
    <n v="19434.060000000001"/>
  </r>
  <r>
    <x v="0"/>
    <x v="0"/>
    <x v="0"/>
    <x v="0"/>
    <x v="1"/>
    <s v="DK2_MedSmall"/>
    <x v="4"/>
    <s v="GNR_BO_STRW_E-100"/>
    <x v="0"/>
    <x v="18"/>
    <n v="14.79"/>
    <n v="5398.35"/>
    <n v="19434.060000000001"/>
  </r>
  <r>
    <x v="0"/>
    <x v="0"/>
    <x v="0"/>
    <x v="0"/>
    <x v="1"/>
    <s v="DK2_MedSmall"/>
    <x v="4"/>
    <s v="GNR_BO_STRW_E-100"/>
    <x v="0"/>
    <x v="19"/>
    <n v="14.79"/>
    <n v="5398.35"/>
    <n v="19434.060000000001"/>
  </r>
  <r>
    <x v="0"/>
    <x v="0"/>
    <x v="0"/>
    <x v="0"/>
    <x v="1"/>
    <s v="DK2_MedSmall"/>
    <x v="4"/>
    <s v="GNR_BO_STRW_E-100"/>
    <x v="0"/>
    <x v="20"/>
    <n v="14.79"/>
    <n v="5398.35"/>
    <n v="19434.060000000001"/>
  </r>
  <r>
    <x v="0"/>
    <x v="0"/>
    <x v="0"/>
    <x v="0"/>
    <x v="1"/>
    <s v="DK2_MedSmall"/>
    <x v="4"/>
    <s v="GNR_BO_STRW_E-100"/>
    <x v="0"/>
    <x v="21"/>
    <n v="14.79"/>
    <n v="5398.35"/>
    <n v="19434.060000000001"/>
  </r>
  <r>
    <x v="0"/>
    <x v="0"/>
    <x v="0"/>
    <x v="0"/>
    <x v="1"/>
    <s v="DK2_MedSmall"/>
    <x v="4"/>
    <s v="GNR_BO_STRW_E-100"/>
    <x v="0"/>
    <x v="22"/>
    <n v="14.79"/>
    <n v="5398.35"/>
    <n v="19434.060000000001"/>
  </r>
  <r>
    <x v="0"/>
    <x v="0"/>
    <x v="0"/>
    <x v="0"/>
    <x v="1"/>
    <s v="DK2_MedSmall"/>
    <x v="4"/>
    <s v="GNR_BO_STRW_E-100"/>
    <x v="0"/>
    <x v="23"/>
    <n v="14.79"/>
    <n v="5398.35"/>
    <n v="19434.060000000001"/>
  </r>
  <r>
    <x v="0"/>
    <x v="0"/>
    <x v="0"/>
    <x v="0"/>
    <x v="1"/>
    <s v="DK2_MedSmall"/>
    <x v="4"/>
    <s v="GNR_BO_STRW_E-102"/>
    <x v="0"/>
    <x v="0"/>
    <n v="9.8039215686274499"/>
    <n v="3578.4313725490201"/>
    <n v="12882.352941176499"/>
  </r>
  <r>
    <x v="0"/>
    <x v="0"/>
    <x v="0"/>
    <x v="0"/>
    <x v="1"/>
    <s v="DK2_MedSmall"/>
    <x v="4"/>
    <s v="GNR_BO_STRW_E-102"/>
    <x v="0"/>
    <x v="1"/>
    <n v="9.8039215686274499"/>
    <n v="3578.4313725490201"/>
    <n v="12882.352941176499"/>
  </r>
  <r>
    <x v="0"/>
    <x v="0"/>
    <x v="0"/>
    <x v="0"/>
    <x v="1"/>
    <s v="DK2_MedSmall"/>
    <x v="4"/>
    <s v="GNR_BO_STRW_E-102"/>
    <x v="0"/>
    <x v="2"/>
    <n v="9.8039215686274499"/>
    <n v="3578.4313725490201"/>
    <n v="12882.352941176499"/>
  </r>
  <r>
    <x v="0"/>
    <x v="0"/>
    <x v="0"/>
    <x v="0"/>
    <x v="1"/>
    <s v="DK2_MedSmall"/>
    <x v="4"/>
    <s v="GNR_BO_STRW_E-102"/>
    <x v="0"/>
    <x v="3"/>
    <n v="9.8039215686274499"/>
    <n v="3578.4313725490201"/>
    <n v="12882.352941176499"/>
  </r>
  <r>
    <x v="0"/>
    <x v="0"/>
    <x v="0"/>
    <x v="0"/>
    <x v="1"/>
    <s v="DK2_MedSmall"/>
    <x v="4"/>
    <s v="GNR_BO_STRW_E-102"/>
    <x v="0"/>
    <x v="4"/>
    <n v="9.8039215686274499"/>
    <n v="3578.4313725490201"/>
    <n v="12882.352941176499"/>
  </r>
  <r>
    <x v="0"/>
    <x v="0"/>
    <x v="0"/>
    <x v="0"/>
    <x v="1"/>
    <s v="DK2_MedSmall"/>
    <x v="4"/>
    <s v="GNR_BO_STRW_E-102"/>
    <x v="0"/>
    <x v="5"/>
    <n v="9.8039215686274499"/>
    <n v="3578.4313725490201"/>
    <n v="12882.352941176499"/>
  </r>
  <r>
    <x v="0"/>
    <x v="0"/>
    <x v="0"/>
    <x v="0"/>
    <x v="1"/>
    <s v="DK2_MedSmall"/>
    <x v="4"/>
    <s v="GNR_BO_STRW_E-102"/>
    <x v="0"/>
    <x v="6"/>
    <n v="9.8039215686274499"/>
    <n v="3578.4313725490201"/>
    <n v="12882.352941176499"/>
  </r>
  <r>
    <x v="0"/>
    <x v="0"/>
    <x v="0"/>
    <x v="0"/>
    <x v="1"/>
    <s v="DK2_MedSmall"/>
    <x v="4"/>
    <s v="GNR_BO_STRW_E-102"/>
    <x v="0"/>
    <x v="7"/>
    <n v="9.8039215686274499"/>
    <n v="3578.4313725490201"/>
    <n v="12882.352941176499"/>
  </r>
  <r>
    <x v="0"/>
    <x v="0"/>
    <x v="0"/>
    <x v="0"/>
    <x v="1"/>
    <s v="DK2_MedSmall"/>
    <x v="4"/>
    <s v="GNR_BO_STRW_E-102"/>
    <x v="0"/>
    <x v="8"/>
    <n v="9.8039215686274499"/>
    <n v="3578.4313725490201"/>
    <n v="12882.352941176499"/>
  </r>
  <r>
    <x v="0"/>
    <x v="0"/>
    <x v="0"/>
    <x v="0"/>
    <x v="1"/>
    <s v="DK2_MedSmall"/>
    <x v="4"/>
    <s v="GNR_BO_STRW_E-102"/>
    <x v="0"/>
    <x v="9"/>
    <n v="9.8039215686274499"/>
    <n v="3578.4313725490201"/>
    <n v="12882.352941176499"/>
  </r>
  <r>
    <x v="0"/>
    <x v="0"/>
    <x v="0"/>
    <x v="0"/>
    <x v="1"/>
    <s v="DK2_MedSmall"/>
    <x v="4"/>
    <s v="GNR_BO_STRW_E-102"/>
    <x v="0"/>
    <x v="10"/>
    <n v="9.8039215686274499"/>
    <n v="3578.4313725490201"/>
    <n v="12882.352941176499"/>
  </r>
  <r>
    <x v="0"/>
    <x v="0"/>
    <x v="0"/>
    <x v="0"/>
    <x v="1"/>
    <s v="DK2_MedSmall"/>
    <x v="4"/>
    <s v="GNR_BO_STRW_E-102"/>
    <x v="0"/>
    <x v="11"/>
    <n v="9.8039215686274499"/>
    <n v="3578.4313725490201"/>
    <n v="12882.352941176499"/>
  </r>
  <r>
    <x v="0"/>
    <x v="0"/>
    <x v="0"/>
    <x v="0"/>
    <x v="1"/>
    <s v="DK2_MedSmall"/>
    <x v="4"/>
    <s v="GNR_BO_STRW_E-102"/>
    <x v="0"/>
    <x v="12"/>
    <n v="9.8039215686274499"/>
    <n v="3578.4313725490201"/>
    <n v="12882.352941176499"/>
  </r>
  <r>
    <x v="0"/>
    <x v="0"/>
    <x v="0"/>
    <x v="0"/>
    <x v="1"/>
    <s v="DK2_MedSmall"/>
    <x v="4"/>
    <s v="GNR_BO_STRW_E-102"/>
    <x v="0"/>
    <x v="13"/>
    <n v="9.8039215686274499"/>
    <n v="3578.4313725490201"/>
    <n v="12882.352941176499"/>
  </r>
  <r>
    <x v="0"/>
    <x v="0"/>
    <x v="0"/>
    <x v="0"/>
    <x v="1"/>
    <s v="DK2_MedSmall"/>
    <x v="4"/>
    <s v="GNR_BO_STRW_E-102"/>
    <x v="0"/>
    <x v="14"/>
    <n v="9.8039215686274499"/>
    <n v="3578.4313725490201"/>
    <n v="12882.352941176499"/>
  </r>
  <r>
    <x v="0"/>
    <x v="0"/>
    <x v="0"/>
    <x v="0"/>
    <x v="1"/>
    <s v="DK2_MedSmall"/>
    <x v="4"/>
    <s v="GNR_BO_STRW_E-102"/>
    <x v="0"/>
    <x v="15"/>
    <n v="9.8039215686274499"/>
    <n v="3578.4313725490201"/>
    <n v="12882.352941176499"/>
  </r>
  <r>
    <x v="0"/>
    <x v="0"/>
    <x v="0"/>
    <x v="0"/>
    <x v="1"/>
    <s v="DK2_MedSmall"/>
    <x v="4"/>
    <s v="GNR_BO_STRW_E-102"/>
    <x v="0"/>
    <x v="16"/>
    <n v="9.8039215686274499"/>
    <n v="3578.4313725490201"/>
    <n v="12882.352941176499"/>
  </r>
  <r>
    <x v="0"/>
    <x v="0"/>
    <x v="0"/>
    <x v="0"/>
    <x v="1"/>
    <s v="DK2_MedSmall"/>
    <x v="4"/>
    <s v="GNR_BO_STRW_E-102"/>
    <x v="0"/>
    <x v="17"/>
    <n v="9.8039215686274499"/>
    <n v="3578.4313725490201"/>
    <n v="12882.352941176499"/>
  </r>
  <r>
    <x v="0"/>
    <x v="0"/>
    <x v="0"/>
    <x v="0"/>
    <x v="1"/>
    <s v="DK2_MedSmall"/>
    <x v="4"/>
    <s v="GNR_BO_STRW_E-102"/>
    <x v="0"/>
    <x v="18"/>
    <n v="9.8039215686274499"/>
    <n v="3578.4313725490201"/>
    <n v="12882.352941176499"/>
  </r>
  <r>
    <x v="0"/>
    <x v="0"/>
    <x v="0"/>
    <x v="0"/>
    <x v="1"/>
    <s v="DK2_MedSmall"/>
    <x v="4"/>
    <s v="GNR_BO_STRW_E-102"/>
    <x v="0"/>
    <x v="19"/>
    <n v="9.8039215686274499"/>
    <n v="3578.4313725490201"/>
    <n v="12882.352941176499"/>
  </r>
  <r>
    <x v="0"/>
    <x v="0"/>
    <x v="0"/>
    <x v="0"/>
    <x v="1"/>
    <s v="DK2_MedSmall"/>
    <x v="4"/>
    <s v="GNR_BO_STRW_E-102"/>
    <x v="0"/>
    <x v="20"/>
    <n v="9.8039215686274499"/>
    <n v="3578.4313725490201"/>
    <n v="12882.352941176499"/>
  </r>
  <r>
    <x v="0"/>
    <x v="0"/>
    <x v="0"/>
    <x v="0"/>
    <x v="1"/>
    <s v="DK2_MedSmall"/>
    <x v="4"/>
    <s v="GNR_BO_STRW_E-102"/>
    <x v="0"/>
    <x v="21"/>
    <n v="9.8039215686274499"/>
    <n v="3578.4313725490201"/>
    <n v="12882.352941176499"/>
  </r>
  <r>
    <x v="0"/>
    <x v="0"/>
    <x v="0"/>
    <x v="0"/>
    <x v="1"/>
    <s v="DK2_MedSmall"/>
    <x v="4"/>
    <s v="GNR_BO_STRW_E-102"/>
    <x v="0"/>
    <x v="22"/>
    <n v="9.8039215686274499"/>
    <n v="3578.4313725490201"/>
    <n v="12882.352941176499"/>
  </r>
  <r>
    <x v="0"/>
    <x v="0"/>
    <x v="0"/>
    <x v="0"/>
    <x v="1"/>
    <s v="DK2_MedSmall"/>
    <x v="4"/>
    <s v="GNR_BO_STRW_E-102"/>
    <x v="0"/>
    <x v="23"/>
    <n v="9.8039215686274499"/>
    <n v="3578.4313725490201"/>
    <n v="12882.352941176499"/>
  </r>
  <r>
    <x v="0"/>
    <x v="0"/>
    <x v="0"/>
    <x v="0"/>
    <x v="1"/>
    <s v="DK2_MedSmall"/>
    <x v="2"/>
    <s v="GNR_EH_HEAT"/>
    <x v="0"/>
    <x v="0"/>
    <n v="2"/>
    <n v="730"/>
    <n v="2628"/>
  </r>
  <r>
    <x v="0"/>
    <x v="0"/>
    <x v="0"/>
    <x v="0"/>
    <x v="1"/>
    <s v="DK2_MedSmall"/>
    <x v="2"/>
    <s v="GNR_EH_HEAT"/>
    <x v="0"/>
    <x v="1"/>
    <n v="2"/>
    <n v="730"/>
    <n v="2628"/>
  </r>
  <r>
    <x v="0"/>
    <x v="0"/>
    <x v="0"/>
    <x v="0"/>
    <x v="1"/>
    <s v="DK2_MedSmall"/>
    <x v="2"/>
    <s v="GNR_EH_HEAT"/>
    <x v="0"/>
    <x v="2"/>
    <n v="2"/>
    <n v="730"/>
    <n v="2628"/>
  </r>
  <r>
    <x v="0"/>
    <x v="0"/>
    <x v="0"/>
    <x v="0"/>
    <x v="1"/>
    <s v="DK2_MedSmall"/>
    <x v="2"/>
    <s v="GNR_EH_HEAT"/>
    <x v="0"/>
    <x v="3"/>
    <n v="2"/>
    <n v="730"/>
    <n v="2628"/>
  </r>
  <r>
    <x v="0"/>
    <x v="0"/>
    <x v="0"/>
    <x v="0"/>
    <x v="1"/>
    <s v="DK2_MedSmall"/>
    <x v="2"/>
    <s v="GNR_EH_HEAT"/>
    <x v="0"/>
    <x v="4"/>
    <n v="2"/>
    <n v="730"/>
    <n v="2628"/>
  </r>
  <r>
    <x v="0"/>
    <x v="0"/>
    <x v="0"/>
    <x v="0"/>
    <x v="1"/>
    <s v="DK2_MedSmall"/>
    <x v="2"/>
    <s v="GNR_EH_HEAT"/>
    <x v="0"/>
    <x v="5"/>
    <n v="2"/>
    <n v="730"/>
    <n v="2628"/>
  </r>
  <r>
    <x v="0"/>
    <x v="0"/>
    <x v="0"/>
    <x v="0"/>
    <x v="1"/>
    <s v="DK2_MedSmall"/>
    <x v="2"/>
    <s v="GNR_EH_HEAT"/>
    <x v="0"/>
    <x v="6"/>
    <n v="2"/>
    <n v="730"/>
    <n v="2628"/>
  </r>
  <r>
    <x v="0"/>
    <x v="0"/>
    <x v="0"/>
    <x v="0"/>
    <x v="1"/>
    <s v="DK2_MedSmall"/>
    <x v="2"/>
    <s v="GNR_EH_HEAT"/>
    <x v="0"/>
    <x v="7"/>
    <n v="2"/>
    <n v="730"/>
    <n v="2628"/>
  </r>
  <r>
    <x v="0"/>
    <x v="0"/>
    <x v="0"/>
    <x v="0"/>
    <x v="1"/>
    <s v="DK2_MedSmall"/>
    <x v="2"/>
    <s v="GNR_EH_HEAT"/>
    <x v="0"/>
    <x v="8"/>
    <n v="2"/>
    <n v="730"/>
    <n v="2628"/>
  </r>
  <r>
    <x v="0"/>
    <x v="0"/>
    <x v="0"/>
    <x v="0"/>
    <x v="1"/>
    <s v="DK2_MedSmall"/>
    <x v="2"/>
    <s v="GNR_EH_HEAT"/>
    <x v="0"/>
    <x v="9"/>
    <n v="2"/>
    <n v="730"/>
    <n v="2628"/>
  </r>
  <r>
    <x v="0"/>
    <x v="0"/>
    <x v="0"/>
    <x v="0"/>
    <x v="1"/>
    <s v="DK2_MedSmall"/>
    <x v="2"/>
    <s v="GNR_EH_HEAT"/>
    <x v="0"/>
    <x v="10"/>
    <n v="2"/>
    <n v="730"/>
    <n v="2628"/>
  </r>
  <r>
    <x v="0"/>
    <x v="0"/>
    <x v="0"/>
    <x v="0"/>
    <x v="1"/>
    <s v="DK2_MedSmall"/>
    <x v="2"/>
    <s v="GNR_EH_HEAT"/>
    <x v="0"/>
    <x v="11"/>
    <n v="2"/>
    <n v="730"/>
    <n v="2628"/>
  </r>
  <r>
    <x v="0"/>
    <x v="0"/>
    <x v="0"/>
    <x v="0"/>
    <x v="1"/>
    <s v="DK2_MedSmall"/>
    <x v="2"/>
    <s v="GNR_EH_HEAT"/>
    <x v="0"/>
    <x v="12"/>
    <n v="2"/>
    <n v="730"/>
    <n v="2628"/>
  </r>
  <r>
    <x v="0"/>
    <x v="0"/>
    <x v="0"/>
    <x v="0"/>
    <x v="1"/>
    <s v="DK2_MedSmall"/>
    <x v="2"/>
    <s v="GNR_EH_HEAT"/>
    <x v="0"/>
    <x v="13"/>
    <n v="2"/>
    <n v="730"/>
    <n v="2628"/>
  </r>
  <r>
    <x v="0"/>
    <x v="0"/>
    <x v="0"/>
    <x v="0"/>
    <x v="1"/>
    <s v="DK2_MedSmall"/>
    <x v="2"/>
    <s v="GNR_EH_HEAT"/>
    <x v="0"/>
    <x v="14"/>
    <n v="2"/>
    <n v="730"/>
    <n v="2628"/>
  </r>
  <r>
    <x v="0"/>
    <x v="0"/>
    <x v="0"/>
    <x v="0"/>
    <x v="1"/>
    <s v="DK2_MedSmall"/>
    <x v="2"/>
    <s v="GNR_EH_HEAT"/>
    <x v="0"/>
    <x v="15"/>
    <n v="2"/>
    <n v="730"/>
    <n v="2628"/>
  </r>
  <r>
    <x v="0"/>
    <x v="0"/>
    <x v="0"/>
    <x v="0"/>
    <x v="1"/>
    <s v="DK2_MedSmall"/>
    <x v="2"/>
    <s v="GNR_EH_HEAT"/>
    <x v="0"/>
    <x v="16"/>
    <n v="2"/>
    <n v="730"/>
    <n v="2628"/>
  </r>
  <r>
    <x v="0"/>
    <x v="0"/>
    <x v="0"/>
    <x v="0"/>
    <x v="1"/>
    <s v="DK2_MedSmall"/>
    <x v="2"/>
    <s v="GNR_EH_HEAT"/>
    <x v="0"/>
    <x v="17"/>
    <n v="2"/>
    <n v="730"/>
    <n v="2628"/>
  </r>
  <r>
    <x v="0"/>
    <x v="0"/>
    <x v="0"/>
    <x v="0"/>
    <x v="1"/>
    <s v="DK2_MedSmall"/>
    <x v="2"/>
    <s v="GNR_EH_HEAT"/>
    <x v="0"/>
    <x v="18"/>
    <n v="2"/>
    <n v="730"/>
    <n v="2628"/>
  </r>
  <r>
    <x v="0"/>
    <x v="0"/>
    <x v="0"/>
    <x v="0"/>
    <x v="1"/>
    <s v="DK2_MedSmall"/>
    <x v="2"/>
    <s v="GNR_EH_HEAT"/>
    <x v="0"/>
    <x v="19"/>
    <n v="2"/>
    <n v="730"/>
    <n v="2628"/>
  </r>
  <r>
    <x v="0"/>
    <x v="0"/>
    <x v="0"/>
    <x v="0"/>
    <x v="1"/>
    <s v="DK2_MedSmall"/>
    <x v="2"/>
    <s v="GNR_EH_HEAT"/>
    <x v="0"/>
    <x v="20"/>
    <n v="2"/>
    <n v="730"/>
    <n v="2628"/>
  </r>
  <r>
    <x v="0"/>
    <x v="0"/>
    <x v="0"/>
    <x v="0"/>
    <x v="1"/>
    <s v="DK2_MedSmall"/>
    <x v="2"/>
    <s v="GNR_EH_HEAT"/>
    <x v="0"/>
    <x v="21"/>
    <n v="2"/>
    <n v="730"/>
    <n v="2628"/>
  </r>
  <r>
    <x v="0"/>
    <x v="0"/>
    <x v="0"/>
    <x v="0"/>
    <x v="1"/>
    <s v="DK2_MedSmall"/>
    <x v="2"/>
    <s v="GNR_EH_HEAT"/>
    <x v="0"/>
    <x v="22"/>
    <n v="2"/>
    <n v="730"/>
    <n v="2628"/>
  </r>
  <r>
    <x v="0"/>
    <x v="0"/>
    <x v="0"/>
    <x v="0"/>
    <x v="1"/>
    <s v="DK2_MedSmall"/>
    <x v="2"/>
    <s v="GNR_EH_HEAT"/>
    <x v="0"/>
    <x v="23"/>
    <n v="2"/>
    <n v="730"/>
    <n v="2628"/>
  </r>
  <r>
    <x v="0"/>
    <x v="0"/>
    <x v="0"/>
    <x v="0"/>
    <x v="1"/>
    <s v="DK2_MedSmall"/>
    <x v="5"/>
    <s v="GNR_BO_WOODCHI_E-112"/>
    <x v="0"/>
    <x v="0"/>
    <n v="5.6497262840355802"/>
    <n v="2062.1500936729899"/>
    <n v="7423.74033722276"/>
  </r>
  <r>
    <x v="0"/>
    <x v="0"/>
    <x v="0"/>
    <x v="0"/>
    <x v="1"/>
    <s v="DK2_MedSmall"/>
    <x v="5"/>
    <s v="GNR_BO_WOODCHI_E-112"/>
    <x v="0"/>
    <x v="1"/>
    <n v="5.0478140751084704"/>
    <n v="1842.45213741459"/>
    <n v="6632.8276946925298"/>
  </r>
  <r>
    <x v="0"/>
    <x v="0"/>
    <x v="0"/>
    <x v="0"/>
    <x v="1"/>
    <s v="DK2_MedSmall"/>
    <x v="5"/>
    <s v="GNR_BO_WOODCHI_E-112"/>
    <x v="0"/>
    <x v="2"/>
    <n v="4.6064117885619096"/>
    <n v="1681.3403028251"/>
    <n v="6052.8250901703504"/>
  </r>
  <r>
    <x v="0"/>
    <x v="0"/>
    <x v="0"/>
    <x v="0"/>
    <x v="1"/>
    <s v="DK2_MedSmall"/>
    <x v="5"/>
    <s v="GNR_BO_WOODCHI_E-112"/>
    <x v="0"/>
    <x v="3"/>
    <n v="4.9274316333230397"/>
    <n v="1798.51254616291"/>
    <n v="6474.6451661864703"/>
  </r>
  <r>
    <x v="0"/>
    <x v="0"/>
    <x v="0"/>
    <x v="0"/>
    <x v="1"/>
    <s v="DK2_MedSmall"/>
    <x v="5"/>
    <s v="GNR_BO_WOODCHI_E-112"/>
    <x v="0"/>
    <x v="4"/>
    <n v="6.4924033765335398"/>
    <n v="2369.72723243474"/>
    <n v="8531.0180367650701"/>
  </r>
  <r>
    <x v="0"/>
    <x v="0"/>
    <x v="0"/>
    <x v="0"/>
    <x v="1"/>
    <s v="DK2_MedSmall"/>
    <x v="5"/>
    <s v="GNR_BO_WOODCHI_E-112"/>
    <x v="0"/>
    <x v="5"/>
    <n v="7.6561003137926296"/>
    <n v="2794.4766145343101"/>
    <n v="10060.1158123235"/>
  </r>
  <r>
    <x v="0"/>
    <x v="0"/>
    <x v="0"/>
    <x v="0"/>
    <x v="1"/>
    <s v="DK2_MedSmall"/>
    <x v="5"/>
    <s v="GNR_BO_WOODCHI_E-112"/>
    <x v="0"/>
    <x v="6"/>
    <n v="12.5"/>
    <n v="4562.5"/>
    <n v="16425"/>
  </r>
  <r>
    <x v="0"/>
    <x v="0"/>
    <x v="0"/>
    <x v="0"/>
    <x v="1"/>
    <s v="DK2_MedSmall"/>
    <x v="5"/>
    <s v="GNR_BO_WOODCHI_E-112"/>
    <x v="0"/>
    <x v="7"/>
    <n v="12.5"/>
    <n v="4562.5"/>
    <n v="16425"/>
  </r>
  <r>
    <x v="0"/>
    <x v="0"/>
    <x v="0"/>
    <x v="0"/>
    <x v="1"/>
    <s v="DK2_MedSmall"/>
    <x v="5"/>
    <s v="GNR_BO_WOODCHI_E-112"/>
    <x v="0"/>
    <x v="8"/>
    <n v="12.5"/>
    <n v="4562.5"/>
    <n v="16425"/>
  </r>
  <r>
    <x v="0"/>
    <x v="0"/>
    <x v="0"/>
    <x v="0"/>
    <x v="1"/>
    <s v="DK2_MedSmall"/>
    <x v="5"/>
    <s v="GNR_BO_WOODCHI_E-112"/>
    <x v="0"/>
    <x v="9"/>
    <n v="12.5"/>
    <n v="4562.5"/>
    <n v="16425"/>
  </r>
  <r>
    <x v="0"/>
    <x v="0"/>
    <x v="0"/>
    <x v="0"/>
    <x v="1"/>
    <s v="DK2_MedSmall"/>
    <x v="5"/>
    <s v="GNR_BO_WOODCHI_E-112"/>
    <x v="0"/>
    <x v="10"/>
    <n v="12.5"/>
    <n v="4562.5"/>
    <n v="16425"/>
  </r>
  <r>
    <x v="0"/>
    <x v="0"/>
    <x v="0"/>
    <x v="0"/>
    <x v="1"/>
    <s v="DK2_MedSmall"/>
    <x v="5"/>
    <s v="GNR_BO_WOODCHI_E-112"/>
    <x v="0"/>
    <x v="11"/>
    <n v="12.5"/>
    <n v="4562.5"/>
    <n v="16425"/>
  </r>
  <r>
    <x v="0"/>
    <x v="0"/>
    <x v="0"/>
    <x v="0"/>
    <x v="1"/>
    <s v="DK2_MedSmall"/>
    <x v="5"/>
    <s v="GNR_BO_WOODCHI_E-112"/>
    <x v="0"/>
    <x v="12"/>
    <n v="12.5"/>
    <n v="4562.5"/>
    <n v="16425"/>
  </r>
  <r>
    <x v="0"/>
    <x v="0"/>
    <x v="0"/>
    <x v="0"/>
    <x v="1"/>
    <s v="DK2_MedSmall"/>
    <x v="5"/>
    <s v="GNR_BO_WOODCHI_E-112"/>
    <x v="0"/>
    <x v="13"/>
    <n v="12.5"/>
    <n v="4562.5"/>
    <n v="16425"/>
  </r>
  <r>
    <x v="0"/>
    <x v="0"/>
    <x v="0"/>
    <x v="0"/>
    <x v="1"/>
    <s v="DK2_MedSmall"/>
    <x v="5"/>
    <s v="GNR_BO_WOODCHI_E-112"/>
    <x v="0"/>
    <x v="14"/>
    <n v="12.5"/>
    <n v="4562.5"/>
    <n v="16425"/>
  </r>
  <r>
    <x v="0"/>
    <x v="0"/>
    <x v="0"/>
    <x v="0"/>
    <x v="1"/>
    <s v="DK2_MedSmall"/>
    <x v="5"/>
    <s v="GNR_BO_WOODCHI_E-112"/>
    <x v="0"/>
    <x v="15"/>
    <n v="12.5"/>
    <n v="4562.5"/>
    <n v="16425"/>
  </r>
  <r>
    <x v="0"/>
    <x v="0"/>
    <x v="0"/>
    <x v="0"/>
    <x v="1"/>
    <s v="DK2_MedSmall"/>
    <x v="5"/>
    <s v="GNR_BO_WOODCHI_E-112"/>
    <x v="0"/>
    <x v="16"/>
    <n v="12.5"/>
    <n v="4562.5"/>
    <n v="16425"/>
  </r>
  <r>
    <x v="0"/>
    <x v="0"/>
    <x v="0"/>
    <x v="0"/>
    <x v="1"/>
    <s v="DK2_MedSmall"/>
    <x v="5"/>
    <s v="GNR_BO_WOODCHI_E-112"/>
    <x v="0"/>
    <x v="17"/>
    <n v="12.5"/>
    <n v="4562.5"/>
    <n v="16425"/>
  </r>
  <r>
    <x v="0"/>
    <x v="0"/>
    <x v="0"/>
    <x v="0"/>
    <x v="1"/>
    <s v="DK2_MedSmall"/>
    <x v="5"/>
    <s v="GNR_BO_WOODCHI_E-112"/>
    <x v="0"/>
    <x v="18"/>
    <n v="12.5"/>
    <n v="4562.5"/>
    <n v="16425"/>
  </r>
  <r>
    <x v="0"/>
    <x v="0"/>
    <x v="0"/>
    <x v="0"/>
    <x v="1"/>
    <s v="DK2_MedSmall"/>
    <x v="5"/>
    <s v="GNR_BO_WOODCHI_E-112"/>
    <x v="0"/>
    <x v="19"/>
    <n v="12.5"/>
    <n v="4562.5"/>
    <n v="16425"/>
  </r>
  <r>
    <x v="0"/>
    <x v="0"/>
    <x v="0"/>
    <x v="0"/>
    <x v="1"/>
    <s v="DK2_MedSmall"/>
    <x v="5"/>
    <s v="GNR_BO_WOODCHI_E-112"/>
    <x v="0"/>
    <x v="20"/>
    <n v="12.5"/>
    <n v="4562.5"/>
    <n v="16425"/>
  </r>
  <r>
    <x v="0"/>
    <x v="0"/>
    <x v="0"/>
    <x v="0"/>
    <x v="1"/>
    <s v="DK2_MedSmall"/>
    <x v="5"/>
    <s v="GNR_BO_WOODCHI_E-112"/>
    <x v="0"/>
    <x v="21"/>
    <n v="12.5"/>
    <n v="4562.5"/>
    <n v="16425"/>
  </r>
  <r>
    <x v="0"/>
    <x v="0"/>
    <x v="0"/>
    <x v="0"/>
    <x v="1"/>
    <s v="DK2_MedSmall"/>
    <x v="5"/>
    <s v="GNR_BO_WOODCHI_E-112"/>
    <x v="0"/>
    <x v="22"/>
    <n v="12.5"/>
    <n v="4562.5"/>
    <n v="16425"/>
  </r>
  <r>
    <x v="0"/>
    <x v="0"/>
    <x v="0"/>
    <x v="0"/>
    <x v="1"/>
    <s v="DK2_MedSmall"/>
    <x v="5"/>
    <s v="GNR_BO_WOODCHI_E-112"/>
    <x v="0"/>
    <x v="23"/>
    <n v="12.5"/>
    <n v="4562.5"/>
    <n v="16425"/>
  </r>
  <r>
    <x v="0"/>
    <x v="0"/>
    <x v="0"/>
    <x v="0"/>
    <x v="1"/>
    <s v="DK2_MedSmall"/>
    <x v="5"/>
    <s v="GNR_BO_WOODCHI_E-118"/>
    <x v="0"/>
    <x v="0"/>
    <n v="8.9830508474576298"/>
    <n v="3278.81355932203"/>
    <n v="11803.728813559301"/>
  </r>
  <r>
    <x v="0"/>
    <x v="0"/>
    <x v="0"/>
    <x v="0"/>
    <x v="1"/>
    <s v="DK2_MedSmall"/>
    <x v="5"/>
    <s v="GNR_BO_WOODCHI_E-118"/>
    <x v="0"/>
    <x v="1"/>
    <n v="8.9830508474576298"/>
    <n v="3278.81355932203"/>
    <n v="11803.728813559301"/>
  </r>
  <r>
    <x v="0"/>
    <x v="0"/>
    <x v="0"/>
    <x v="0"/>
    <x v="1"/>
    <s v="DK2_MedSmall"/>
    <x v="5"/>
    <s v="GNR_BO_WOODCHI_E-118"/>
    <x v="0"/>
    <x v="2"/>
    <n v="8.9830508474576298"/>
    <n v="3278.81355932203"/>
    <n v="11803.728813559301"/>
  </r>
  <r>
    <x v="0"/>
    <x v="0"/>
    <x v="0"/>
    <x v="0"/>
    <x v="1"/>
    <s v="DK2_MedSmall"/>
    <x v="5"/>
    <s v="GNR_BO_WOODCHI_E-118"/>
    <x v="0"/>
    <x v="3"/>
    <n v="8.9830508474576298"/>
    <n v="3278.81355932203"/>
    <n v="11803.728813559301"/>
  </r>
  <r>
    <x v="0"/>
    <x v="0"/>
    <x v="0"/>
    <x v="0"/>
    <x v="1"/>
    <s v="DK2_MedSmall"/>
    <x v="5"/>
    <s v="GNR_BO_WOODCHI_E-118"/>
    <x v="0"/>
    <x v="4"/>
    <n v="8.9830508474576298"/>
    <n v="3278.81355932203"/>
    <n v="11803.728813559301"/>
  </r>
  <r>
    <x v="0"/>
    <x v="0"/>
    <x v="0"/>
    <x v="0"/>
    <x v="1"/>
    <s v="DK2_MedSmall"/>
    <x v="5"/>
    <s v="GNR_BO_WOODCHI_E-118"/>
    <x v="0"/>
    <x v="5"/>
    <n v="8.9830508474576298"/>
    <n v="3278.81355932203"/>
    <n v="11803.728813559301"/>
  </r>
  <r>
    <x v="0"/>
    <x v="0"/>
    <x v="0"/>
    <x v="0"/>
    <x v="1"/>
    <s v="DK2_MedSmall"/>
    <x v="5"/>
    <s v="GNR_BO_WOODCHI_E-118"/>
    <x v="0"/>
    <x v="6"/>
    <n v="8.9830508474576298"/>
    <n v="3278.81355932203"/>
    <n v="11803.728813559301"/>
  </r>
  <r>
    <x v="0"/>
    <x v="0"/>
    <x v="0"/>
    <x v="0"/>
    <x v="1"/>
    <s v="DK2_MedSmall"/>
    <x v="5"/>
    <s v="GNR_BO_WOODCHI_E-118"/>
    <x v="0"/>
    <x v="7"/>
    <n v="8.9830508474576298"/>
    <n v="3278.81355932203"/>
    <n v="11803.728813559301"/>
  </r>
  <r>
    <x v="0"/>
    <x v="0"/>
    <x v="0"/>
    <x v="0"/>
    <x v="1"/>
    <s v="DK2_MedSmall"/>
    <x v="5"/>
    <s v="GNR_BO_WOODCHI_E-118"/>
    <x v="0"/>
    <x v="8"/>
    <n v="8.9830508474576298"/>
    <n v="3278.81355932203"/>
    <n v="11803.728813559301"/>
  </r>
  <r>
    <x v="0"/>
    <x v="0"/>
    <x v="0"/>
    <x v="0"/>
    <x v="1"/>
    <s v="DK2_MedSmall"/>
    <x v="5"/>
    <s v="GNR_BO_WOODCHI_E-118"/>
    <x v="0"/>
    <x v="9"/>
    <n v="8.9830508474576298"/>
    <n v="3278.81355932203"/>
    <n v="11803.728813559301"/>
  </r>
  <r>
    <x v="0"/>
    <x v="0"/>
    <x v="0"/>
    <x v="0"/>
    <x v="1"/>
    <s v="DK2_MedSmall"/>
    <x v="5"/>
    <s v="GNR_BO_WOODCHI_E-118"/>
    <x v="0"/>
    <x v="10"/>
    <n v="8.9830508474576298"/>
    <n v="3278.81355932203"/>
    <n v="11803.728813559301"/>
  </r>
  <r>
    <x v="0"/>
    <x v="0"/>
    <x v="0"/>
    <x v="0"/>
    <x v="1"/>
    <s v="DK2_MedSmall"/>
    <x v="5"/>
    <s v="GNR_BO_WOODCHI_E-118"/>
    <x v="0"/>
    <x v="11"/>
    <n v="8.9830508474576298"/>
    <n v="3278.81355932203"/>
    <n v="11803.728813559301"/>
  </r>
  <r>
    <x v="0"/>
    <x v="0"/>
    <x v="0"/>
    <x v="0"/>
    <x v="1"/>
    <s v="DK2_MedSmall"/>
    <x v="5"/>
    <s v="GNR_BO_WOODCHI_E-118"/>
    <x v="0"/>
    <x v="12"/>
    <n v="8.9830508474576298"/>
    <n v="3278.81355932203"/>
    <n v="11803.728813559301"/>
  </r>
  <r>
    <x v="0"/>
    <x v="0"/>
    <x v="0"/>
    <x v="0"/>
    <x v="1"/>
    <s v="DK2_MedSmall"/>
    <x v="5"/>
    <s v="GNR_BO_WOODCHI_E-118"/>
    <x v="0"/>
    <x v="13"/>
    <n v="8.9830508474576298"/>
    <n v="3278.81355932203"/>
    <n v="11803.728813559301"/>
  </r>
  <r>
    <x v="0"/>
    <x v="0"/>
    <x v="0"/>
    <x v="0"/>
    <x v="1"/>
    <s v="DK2_MedSmall"/>
    <x v="5"/>
    <s v="GNR_BO_WOODCHI_E-118"/>
    <x v="0"/>
    <x v="14"/>
    <n v="8.9830508474576298"/>
    <n v="3278.81355932203"/>
    <n v="11803.728813559301"/>
  </r>
  <r>
    <x v="0"/>
    <x v="0"/>
    <x v="0"/>
    <x v="0"/>
    <x v="1"/>
    <s v="DK2_MedSmall"/>
    <x v="5"/>
    <s v="GNR_BO_WOODCHI_E-118"/>
    <x v="0"/>
    <x v="15"/>
    <n v="8.9830508474576298"/>
    <n v="3278.81355932203"/>
    <n v="11803.728813559301"/>
  </r>
  <r>
    <x v="0"/>
    <x v="0"/>
    <x v="0"/>
    <x v="0"/>
    <x v="1"/>
    <s v="DK2_MedSmall"/>
    <x v="5"/>
    <s v="GNR_BO_WOODCHI_E-118"/>
    <x v="0"/>
    <x v="16"/>
    <n v="8.9830508474576298"/>
    <n v="3278.81355932203"/>
    <n v="11803.728813559301"/>
  </r>
  <r>
    <x v="0"/>
    <x v="0"/>
    <x v="0"/>
    <x v="0"/>
    <x v="1"/>
    <s v="DK2_MedSmall"/>
    <x v="5"/>
    <s v="GNR_BO_WOODCHI_E-118"/>
    <x v="0"/>
    <x v="17"/>
    <n v="8.9830508474576298"/>
    <n v="3278.81355932203"/>
    <n v="11803.728813559301"/>
  </r>
  <r>
    <x v="0"/>
    <x v="0"/>
    <x v="0"/>
    <x v="0"/>
    <x v="1"/>
    <s v="DK2_MedSmall"/>
    <x v="5"/>
    <s v="GNR_BO_WOODCHI_E-118"/>
    <x v="0"/>
    <x v="18"/>
    <n v="8.9830508474576298"/>
    <n v="3278.81355932203"/>
    <n v="11803.728813559301"/>
  </r>
  <r>
    <x v="0"/>
    <x v="0"/>
    <x v="0"/>
    <x v="0"/>
    <x v="1"/>
    <s v="DK2_MedSmall"/>
    <x v="5"/>
    <s v="GNR_BO_WOODCHI_E-118"/>
    <x v="0"/>
    <x v="19"/>
    <n v="8.9830508474576298"/>
    <n v="3278.81355932203"/>
    <n v="11803.728813559301"/>
  </r>
  <r>
    <x v="0"/>
    <x v="0"/>
    <x v="0"/>
    <x v="0"/>
    <x v="1"/>
    <s v="DK2_MedSmall"/>
    <x v="5"/>
    <s v="GNR_BO_WOODCHI_E-118"/>
    <x v="0"/>
    <x v="20"/>
    <n v="8.9830508474576298"/>
    <n v="3278.81355932203"/>
    <n v="11803.728813559301"/>
  </r>
  <r>
    <x v="0"/>
    <x v="0"/>
    <x v="0"/>
    <x v="0"/>
    <x v="1"/>
    <s v="DK2_MedSmall"/>
    <x v="5"/>
    <s v="GNR_BO_WOODCHI_E-118"/>
    <x v="0"/>
    <x v="21"/>
    <n v="8.9830508474576298"/>
    <n v="3278.81355932203"/>
    <n v="11803.728813559301"/>
  </r>
  <r>
    <x v="0"/>
    <x v="0"/>
    <x v="0"/>
    <x v="0"/>
    <x v="1"/>
    <s v="DK2_MedSmall"/>
    <x v="5"/>
    <s v="GNR_BO_WOODCHI_E-118"/>
    <x v="0"/>
    <x v="22"/>
    <n v="8.9830508474576298"/>
    <n v="3278.81355932203"/>
    <n v="11803.728813559301"/>
  </r>
  <r>
    <x v="0"/>
    <x v="0"/>
    <x v="0"/>
    <x v="0"/>
    <x v="1"/>
    <s v="DK2_MedSmall"/>
    <x v="5"/>
    <s v="GNR_BO_WOODCHI_E-118"/>
    <x v="0"/>
    <x v="23"/>
    <n v="8.9830508474576298"/>
    <n v="3278.81355932203"/>
    <n v="11803.728813559301"/>
  </r>
  <r>
    <x v="0"/>
    <x v="0"/>
    <x v="0"/>
    <x v="0"/>
    <x v="1"/>
    <s v="DK2_Medium"/>
    <x v="0"/>
    <s v="GNR_ST_COAL_BP_E-38"/>
    <x v="0"/>
    <x v="0"/>
    <n v="269.89095158797102"/>
    <n v="98510.197329609495"/>
    <n v="354636.710386594"/>
  </r>
  <r>
    <x v="0"/>
    <x v="0"/>
    <x v="0"/>
    <x v="0"/>
    <x v="1"/>
    <s v="DK2_Medium"/>
    <x v="0"/>
    <s v="GNR_ST_COAL_BP_E-38"/>
    <x v="0"/>
    <x v="1"/>
    <n v="264.68260837452601"/>
    <n v="96609.152056702107"/>
    <n v="347792.94740412798"/>
  </r>
  <r>
    <x v="0"/>
    <x v="0"/>
    <x v="0"/>
    <x v="0"/>
    <x v="1"/>
    <s v="DK2_Medium"/>
    <x v="0"/>
    <s v="GNR_ST_COAL_BP_E-38"/>
    <x v="0"/>
    <x v="2"/>
    <n v="267.80761430259298"/>
    <n v="97749.779220446493"/>
    <n v="351899.20519360801"/>
  </r>
  <r>
    <x v="0"/>
    <x v="0"/>
    <x v="0"/>
    <x v="0"/>
    <x v="1"/>
    <s v="DK2_Medium"/>
    <x v="0"/>
    <s v="GNR_ST_COAL_BP_E-38"/>
    <x v="0"/>
    <x v="3"/>
    <n v="270.411785909316"/>
    <n v="98700.301856900202"/>
    <n v="355321.08668484102"/>
  </r>
  <r>
    <x v="0"/>
    <x v="0"/>
    <x v="0"/>
    <x v="0"/>
    <x v="1"/>
    <s v="DK2_Medium"/>
    <x v="0"/>
    <s v="GNR_ST_COAL_BP_E-38"/>
    <x v="0"/>
    <x v="4"/>
    <n v="269.37011726662701"/>
    <n v="98320.092802318701"/>
    <n v="353952.33408834698"/>
  </r>
  <r>
    <x v="0"/>
    <x v="0"/>
    <x v="0"/>
    <x v="0"/>
    <x v="1"/>
    <s v="DK2_Medium"/>
    <x v="0"/>
    <s v="GNR_ST_COAL_BP_E-38"/>
    <x v="0"/>
    <x v="5"/>
    <n v="283.432643942928"/>
    <n v="103452.91503916901"/>
    <n v="372430.49414100702"/>
  </r>
  <r>
    <x v="0"/>
    <x v="0"/>
    <x v="0"/>
    <x v="0"/>
    <x v="1"/>
    <s v="DK2_Medium"/>
    <x v="0"/>
    <s v="GNR_ST_COAL_BP_E-38"/>
    <x v="0"/>
    <x v="6"/>
    <n v="319.89104643704098"/>
    <n v="116760.23194952001"/>
    <n v="420336.83501827199"/>
  </r>
  <r>
    <x v="0"/>
    <x v="0"/>
    <x v="0"/>
    <x v="0"/>
    <x v="1"/>
    <s v="DK2_Medium"/>
    <x v="0"/>
    <s v="GNR_ST_COAL_BP_E-38"/>
    <x v="0"/>
    <x v="7"/>
    <n v="333.95357311334197"/>
    <n v="121893.05418637001"/>
    <n v="438814.99507093203"/>
  </r>
  <r>
    <x v="0"/>
    <x v="0"/>
    <x v="0"/>
    <x v="0"/>
    <x v="1"/>
    <s v="DK2_Medium"/>
    <x v="0"/>
    <s v="GNR_ST_COAL_BP_E-38"/>
    <x v="0"/>
    <x v="8"/>
    <n v="340.724419290821"/>
    <n v="124364.41304114999"/>
    <n v="447711.88694813801"/>
  </r>
  <r>
    <x v="0"/>
    <x v="0"/>
    <x v="0"/>
    <x v="0"/>
    <x v="1"/>
    <s v="DK2_Medium"/>
    <x v="0"/>
    <s v="GNR_ST_COAL_BP_E-38"/>
    <x v="0"/>
    <x v="9"/>
    <n v="340.20358496947603"/>
    <n v="124174.308513859"/>
    <n v="447027.51064989198"/>
  </r>
  <r>
    <x v="0"/>
    <x v="0"/>
    <x v="0"/>
    <x v="0"/>
    <x v="1"/>
    <s v="DK2_Medium"/>
    <x v="0"/>
    <s v="GNR_ST_COAL_BP_E-38"/>
    <x v="0"/>
    <x v="10"/>
    <n v="341.76608793350999"/>
    <n v="124744.622095731"/>
    <n v="449080.63954463199"/>
  </r>
  <r>
    <x v="0"/>
    <x v="0"/>
    <x v="0"/>
    <x v="0"/>
    <x v="1"/>
    <s v="DK2_Medium"/>
    <x v="0"/>
    <s v="GNR_ST_COAL_BP_E-38"/>
    <x v="0"/>
    <x v="11"/>
    <n v="336.55774472006499"/>
    <n v="122843.576822824"/>
    <n v="442236.87656216498"/>
  </r>
  <r>
    <x v="0"/>
    <x v="0"/>
    <x v="0"/>
    <x v="0"/>
    <x v="1"/>
    <s v="DK2_Medium"/>
    <x v="0"/>
    <s v="GNR_ST_COAL_BP_E-38"/>
    <x v="0"/>
    <x v="12"/>
    <n v="341.76608793350999"/>
    <n v="124744.622095731"/>
    <n v="449080.63954463199"/>
  </r>
  <r>
    <x v="0"/>
    <x v="0"/>
    <x v="0"/>
    <x v="0"/>
    <x v="1"/>
    <s v="DK2_Medium"/>
    <x v="0"/>
    <s v="GNR_ST_COAL_BP_E-38"/>
    <x v="0"/>
    <x v="13"/>
    <n v="345.93276250426499"/>
    <n v="126265.458314057"/>
    <n v="454555.64993060502"/>
  </r>
  <r>
    <x v="0"/>
    <x v="0"/>
    <x v="0"/>
    <x v="0"/>
    <x v="1"/>
    <s v="DK2_Medium"/>
    <x v="0"/>
    <s v="GNR_ST_COAL_BP_E-38"/>
    <x v="0"/>
    <x v="14"/>
    <n v="347.49526546829901"/>
    <n v="126835.77189592901"/>
    <n v="456608.77882534498"/>
  </r>
  <r>
    <x v="0"/>
    <x v="0"/>
    <x v="0"/>
    <x v="0"/>
    <x v="1"/>
    <s v="DK2_Medium"/>
    <x v="0"/>
    <s v="GNR_ST_COAL_BP_E-38"/>
    <x v="0"/>
    <x v="15"/>
    <n v="346.97443114695398"/>
    <n v="126645.66736863799"/>
    <n v="455924.40252709802"/>
  </r>
  <r>
    <x v="0"/>
    <x v="0"/>
    <x v="0"/>
    <x v="0"/>
    <x v="1"/>
    <s v="DK2_Medium"/>
    <x v="0"/>
    <s v="GNR_ST_COAL_BP_E-38"/>
    <x v="0"/>
    <x v="16"/>
    <n v="348.01609978964302"/>
    <n v="127025.87642322"/>
    <n v="457293.15512359102"/>
  </r>
  <r>
    <x v="0"/>
    <x v="0"/>
    <x v="0"/>
    <x v="0"/>
    <x v="1"/>
    <s v="DK2_Medium"/>
    <x v="0"/>
    <s v="GNR_ST_COAL_BP_E-38"/>
    <x v="0"/>
    <x v="17"/>
    <n v="350.62027139636598"/>
    <n v="127976.399059673"/>
    <n v="460715.03661482502"/>
  </r>
  <r>
    <x v="0"/>
    <x v="0"/>
    <x v="0"/>
    <x v="0"/>
    <x v="1"/>
    <s v="DK2_Medium"/>
    <x v="0"/>
    <s v="GNR_ST_COAL_BP_E-38"/>
    <x v="0"/>
    <x v="18"/>
    <n v="350.62027139636598"/>
    <n v="127976.399059673"/>
    <n v="460715.03661482502"/>
  </r>
  <r>
    <x v="0"/>
    <x v="0"/>
    <x v="0"/>
    <x v="0"/>
    <x v="1"/>
    <s v="DK2_Medium"/>
    <x v="0"/>
    <s v="GNR_ST_COAL_BP_E-38"/>
    <x v="0"/>
    <x v="19"/>
    <n v="347.49526546829901"/>
    <n v="126835.77189592901"/>
    <n v="456608.77882534498"/>
  </r>
  <r>
    <x v="0"/>
    <x v="0"/>
    <x v="0"/>
    <x v="0"/>
    <x v="1"/>
    <s v="DK2_Medium"/>
    <x v="0"/>
    <s v="GNR_ST_COAL_BP_E-38"/>
    <x v="0"/>
    <x v="20"/>
    <n v="341.24525361216502"/>
    <n v="124554.51756844"/>
    <n v="448396.26324638497"/>
  </r>
  <r>
    <x v="0"/>
    <x v="0"/>
    <x v="0"/>
    <x v="0"/>
    <x v="1"/>
    <s v="DK2_Medium"/>
    <x v="0"/>
    <s v="GNR_ST_COAL_BP_E-38"/>
    <x v="0"/>
    <x v="21"/>
    <n v="320.41188075838602"/>
    <n v="116950.336476811"/>
    <n v="421021.21131651901"/>
  </r>
  <r>
    <x v="0"/>
    <x v="0"/>
    <x v="0"/>
    <x v="0"/>
    <x v="1"/>
    <s v="DK2_Medium"/>
    <x v="0"/>
    <s v="GNR_ST_COAL_BP_E-38"/>
    <x v="0"/>
    <x v="22"/>
    <n v="315.20353754494101"/>
    <n v="115049.29120390301"/>
    <n v="414177.44833405298"/>
  </r>
  <r>
    <x v="0"/>
    <x v="0"/>
    <x v="0"/>
    <x v="0"/>
    <x v="1"/>
    <s v="DK2_Medium"/>
    <x v="0"/>
    <s v="GNR_ST_COAL_BP_E-38"/>
    <x v="0"/>
    <x v="23"/>
    <n v="311.55769729552998"/>
    <n v="113718.559512868"/>
    <n v="409386.81424632599"/>
  </r>
  <r>
    <x v="0"/>
    <x v="0"/>
    <x v="0"/>
    <x v="0"/>
    <x v="1"/>
    <s v="DK2_Medium"/>
    <x v="1"/>
    <s v="GNR_BO_MSW_E-105"/>
    <x v="0"/>
    <x v="0"/>
    <n v="20"/>
    <n v="7300"/>
    <n v="26280"/>
  </r>
  <r>
    <x v="0"/>
    <x v="0"/>
    <x v="0"/>
    <x v="0"/>
    <x v="1"/>
    <s v="DK2_Medium"/>
    <x v="1"/>
    <s v="GNR_BO_MSW_E-105"/>
    <x v="0"/>
    <x v="1"/>
    <n v="20"/>
    <n v="7300"/>
    <n v="26280"/>
  </r>
  <r>
    <x v="0"/>
    <x v="0"/>
    <x v="0"/>
    <x v="0"/>
    <x v="1"/>
    <s v="DK2_Medium"/>
    <x v="1"/>
    <s v="GNR_BO_MSW_E-105"/>
    <x v="0"/>
    <x v="2"/>
    <n v="20"/>
    <n v="7300"/>
    <n v="26280"/>
  </r>
  <r>
    <x v="0"/>
    <x v="0"/>
    <x v="0"/>
    <x v="0"/>
    <x v="1"/>
    <s v="DK2_Medium"/>
    <x v="1"/>
    <s v="GNR_BO_MSW_E-105"/>
    <x v="0"/>
    <x v="3"/>
    <n v="20"/>
    <n v="7300"/>
    <n v="26280"/>
  </r>
  <r>
    <x v="0"/>
    <x v="0"/>
    <x v="0"/>
    <x v="0"/>
    <x v="1"/>
    <s v="DK2_Medium"/>
    <x v="1"/>
    <s v="GNR_BO_MSW_E-105"/>
    <x v="0"/>
    <x v="4"/>
    <n v="20"/>
    <n v="7300"/>
    <n v="26280"/>
  </r>
  <r>
    <x v="0"/>
    <x v="0"/>
    <x v="0"/>
    <x v="0"/>
    <x v="1"/>
    <s v="DK2_Medium"/>
    <x v="1"/>
    <s v="GNR_BO_MSW_E-105"/>
    <x v="0"/>
    <x v="5"/>
    <n v="20"/>
    <n v="7300"/>
    <n v="26280"/>
  </r>
  <r>
    <x v="0"/>
    <x v="0"/>
    <x v="0"/>
    <x v="0"/>
    <x v="1"/>
    <s v="DK2_Medium"/>
    <x v="1"/>
    <s v="GNR_BO_MSW_E-105"/>
    <x v="0"/>
    <x v="6"/>
    <n v="20"/>
    <n v="7300"/>
    <n v="26280"/>
  </r>
  <r>
    <x v="0"/>
    <x v="0"/>
    <x v="0"/>
    <x v="0"/>
    <x v="1"/>
    <s v="DK2_Medium"/>
    <x v="1"/>
    <s v="GNR_BO_MSW_E-105"/>
    <x v="0"/>
    <x v="7"/>
    <n v="20"/>
    <n v="7300"/>
    <n v="26280"/>
  </r>
  <r>
    <x v="0"/>
    <x v="0"/>
    <x v="0"/>
    <x v="0"/>
    <x v="1"/>
    <s v="DK2_Medium"/>
    <x v="1"/>
    <s v="GNR_BO_MSW_E-105"/>
    <x v="0"/>
    <x v="8"/>
    <n v="20"/>
    <n v="7300"/>
    <n v="26280"/>
  </r>
  <r>
    <x v="0"/>
    <x v="0"/>
    <x v="0"/>
    <x v="0"/>
    <x v="1"/>
    <s v="DK2_Medium"/>
    <x v="1"/>
    <s v="GNR_BO_MSW_E-105"/>
    <x v="0"/>
    <x v="9"/>
    <n v="20"/>
    <n v="7300"/>
    <n v="26280"/>
  </r>
  <r>
    <x v="0"/>
    <x v="0"/>
    <x v="0"/>
    <x v="0"/>
    <x v="1"/>
    <s v="DK2_Medium"/>
    <x v="1"/>
    <s v="GNR_BO_MSW_E-105"/>
    <x v="0"/>
    <x v="10"/>
    <n v="20"/>
    <n v="7300"/>
    <n v="26280"/>
  </r>
  <r>
    <x v="0"/>
    <x v="0"/>
    <x v="0"/>
    <x v="0"/>
    <x v="1"/>
    <s v="DK2_Medium"/>
    <x v="1"/>
    <s v="GNR_BO_MSW_E-105"/>
    <x v="0"/>
    <x v="11"/>
    <n v="20"/>
    <n v="7300"/>
    <n v="26280"/>
  </r>
  <r>
    <x v="0"/>
    <x v="0"/>
    <x v="0"/>
    <x v="0"/>
    <x v="1"/>
    <s v="DK2_Medium"/>
    <x v="1"/>
    <s v="GNR_BO_MSW_E-105"/>
    <x v="0"/>
    <x v="12"/>
    <n v="20"/>
    <n v="7300"/>
    <n v="26280"/>
  </r>
  <r>
    <x v="0"/>
    <x v="0"/>
    <x v="0"/>
    <x v="0"/>
    <x v="1"/>
    <s v="DK2_Medium"/>
    <x v="1"/>
    <s v="GNR_BO_MSW_E-105"/>
    <x v="0"/>
    <x v="13"/>
    <n v="20"/>
    <n v="7300"/>
    <n v="26280"/>
  </r>
  <r>
    <x v="0"/>
    <x v="0"/>
    <x v="0"/>
    <x v="0"/>
    <x v="1"/>
    <s v="DK2_Medium"/>
    <x v="1"/>
    <s v="GNR_BO_MSW_E-105"/>
    <x v="0"/>
    <x v="14"/>
    <n v="20"/>
    <n v="7300"/>
    <n v="26280"/>
  </r>
  <r>
    <x v="0"/>
    <x v="0"/>
    <x v="0"/>
    <x v="0"/>
    <x v="1"/>
    <s v="DK2_Medium"/>
    <x v="1"/>
    <s v="GNR_BO_MSW_E-105"/>
    <x v="0"/>
    <x v="15"/>
    <n v="20"/>
    <n v="7300"/>
    <n v="26280"/>
  </r>
  <r>
    <x v="0"/>
    <x v="0"/>
    <x v="0"/>
    <x v="0"/>
    <x v="1"/>
    <s v="DK2_Medium"/>
    <x v="1"/>
    <s v="GNR_BO_MSW_E-105"/>
    <x v="0"/>
    <x v="16"/>
    <n v="20"/>
    <n v="7300"/>
    <n v="26280"/>
  </r>
  <r>
    <x v="0"/>
    <x v="0"/>
    <x v="0"/>
    <x v="0"/>
    <x v="1"/>
    <s v="DK2_Medium"/>
    <x v="1"/>
    <s v="GNR_BO_MSW_E-105"/>
    <x v="0"/>
    <x v="17"/>
    <n v="20"/>
    <n v="7300"/>
    <n v="26280"/>
  </r>
  <r>
    <x v="0"/>
    <x v="0"/>
    <x v="0"/>
    <x v="0"/>
    <x v="1"/>
    <s v="DK2_Medium"/>
    <x v="1"/>
    <s v="GNR_BO_MSW_E-105"/>
    <x v="0"/>
    <x v="18"/>
    <n v="20"/>
    <n v="7300"/>
    <n v="26280"/>
  </r>
  <r>
    <x v="0"/>
    <x v="0"/>
    <x v="0"/>
    <x v="0"/>
    <x v="1"/>
    <s v="DK2_Medium"/>
    <x v="1"/>
    <s v="GNR_BO_MSW_E-105"/>
    <x v="0"/>
    <x v="19"/>
    <n v="20"/>
    <n v="7300"/>
    <n v="26280"/>
  </r>
  <r>
    <x v="0"/>
    <x v="0"/>
    <x v="0"/>
    <x v="0"/>
    <x v="1"/>
    <s v="DK2_Medium"/>
    <x v="1"/>
    <s v="GNR_BO_MSW_E-105"/>
    <x v="0"/>
    <x v="20"/>
    <n v="20"/>
    <n v="7300"/>
    <n v="26280"/>
  </r>
  <r>
    <x v="0"/>
    <x v="0"/>
    <x v="0"/>
    <x v="0"/>
    <x v="1"/>
    <s v="DK2_Medium"/>
    <x v="1"/>
    <s v="GNR_BO_MSW_E-105"/>
    <x v="0"/>
    <x v="21"/>
    <n v="20"/>
    <n v="7300"/>
    <n v="26280"/>
  </r>
  <r>
    <x v="0"/>
    <x v="0"/>
    <x v="0"/>
    <x v="0"/>
    <x v="1"/>
    <s v="DK2_Medium"/>
    <x v="1"/>
    <s v="GNR_BO_MSW_E-105"/>
    <x v="0"/>
    <x v="22"/>
    <n v="20"/>
    <n v="7300"/>
    <n v="26280"/>
  </r>
  <r>
    <x v="0"/>
    <x v="0"/>
    <x v="0"/>
    <x v="0"/>
    <x v="1"/>
    <s v="DK2_Medium"/>
    <x v="1"/>
    <s v="GNR_BO_MSW_E-105"/>
    <x v="0"/>
    <x v="23"/>
    <n v="20"/>
    <n v="7300"/>
    <n v="26280"/>
  </r>
  <r>
    <x v="0"/>
    <x v="0"/>
    <x v="0"/>
    <x v="0"/>
    <x v="1"/>
    <s v="DK2_Medium"/>
    <x v="2"/>
    <s v="GNR_EH_HEAT"/>
    <x v="0"/>
    <x v="0"/>
    <n v="2"/>
    <n v="730"/>
    <n v="2628"/>
  </r>
  <r>
    <x v="0"/>
    <x v="0"/>
    <x v="0"/>
    <x v="0"/>
    <x v="1"/>
    <s v="DK2_Medium"/>
    <x v="2"/>
    <s v="GNR_EH_HEAT"/>
    <x v="0"/>
    <x v="1"/>
    <n v="2"/>
    <n v="730"/>
    <n v="2628"/>
  </r>
  <r>
    <x v="0"/>
    <x v="0"/>
    <x v="0"/>
    <x v="0"/>
    <x v="1"/>
    <s v="DK2_Medium"/>
    <x v="2"/>
    <s v="GNR_EH_HEAT"/>
    <x v="0"/>
    <x v="2"/>
    <n v="2"/>
    <n v="730"/>
    <n v="2628"/>
  </r>
  <r>
    <x v="0"/>
    <x v="0"/>
    <x v="0"/>
    <x v="0"/>
    <x v="1"/>
    <s v="DK2_Medium"/>
    <x v="2"/>
    <s v="GNR_EH_HEAT"/>
    <x v="0"/>
    <x v="3"/>
    <n v="2"/>
    <n v="730"/>
    <n v="2628"/>
  </r>
  <r>
    <x v="0"/>
    <x v="0"/>
    <x v="0"/>
    <x v="0"/>
    <x v="1"/>
    <s v="DK2_Medium"/>
    <x v="2"/>
    <s v="GNR_EH_HEAT"/>
    <x v="0"/>
    <x v="4"/>
    <n v="2"/>
    <n v="730"/>
    <n v="2628"/>
  </r>
  <r>
    <x v="0"/>
    <x v="0"/>
    <x v="0"/>
    <x v="0"/>
    <x v="1"/>
    <s v="DK2_Medium"/>
    <x v="2"/>
    <s v="GNR_EH_HEAT"/>
    <x v="0"/>
    <x v="5"/>
    <n v="2"/>
    <n v="730"/>
    <n v="2628"/>
  </r>
  <r>
    <x v="0"/>
    <x v="0"/>
    <x v="0"/>
    <x v="0"/>
    <x v="1"/>
    <s v="DK2_Medium"/>
    <x v="2"/>
    <s v="GNR_EH_HEAT"/>
    <x v="0"/>
    <x v="6"/>
    <n v="2"/>
    <n v="730"/>
    <n v="2628"/>
  </r>
  <r>
    <x v="0"/>
    <x v="0"/>
    <x v="0"/>
    <x v="0"/>
    <x v="1"/>
    <s v="DK2_Medium"/>
    <x v="2"/>
    <s v="GNR_EH_HEAT"/>
    <x v="0"/>
    <x v="7"/>
    <n v="2"/>
    <n v="730"/>
    <n v="2628"/>
  </r>
  <r>
    <x v="0"/>
    <x v="0"/>
    <x v="0"/>
    <x v="0"/>
    <x v="1"/>
    <s v="DK2_Medium"/>
    <x v="2"/>
    <s v="GNR_EH_HEAT"/>
    <x v="0"/>
    <x v="8"/>
    <n v="2"/>
    <n v="730"/>
    <n v="2628"/>
  </r>
  <r>
    <x v="0"/>
    <x v="0"/>
    <x v="0"/>
    <x v="0"/>
    <x v="1"/>
    <s v="DK2_Medium"/>
    <x v="2"/>
    <s v="GNR_EH_HEAT"/>
    <x v="0"/>
    <x v="9"/>
    <n v="2"/>
    <n v="730"/>
    <n v="2628"/>
  </r>
  <r>
    <x v="0"/>
    <x v="0"/>
    <x v="0"/>
    <x v="0"/>
    <x v="1"/>
    <s v="DK2_Medium"/>
    <x v="2"/>
    <s v="GNR_EH_HEAT"/>
    <x v="0"/>
    <x v="10"/>
    <n v="2"/>
    <n v="730"/>
    <n v="2628"/>
  </r>
  <r>
    <x v="0"/>
    <x v="0"/>
    <x v="0"/>
    <x v="0"/>
    <x v="1"/>
    <s v="DK2_Medium"/>
    <x v="2"/>
    <s v="GNR_EH_HEAT"/>
    <x v="0"/>
    <x v="11"/>
    <n v="2"/>
    <n v="730"/>
    <n v="2628"/>
  </r>
  <r>
    <x v="0"/>
    <x v="0"/>
    <x v="0"/>
    <x v="0"/>
    <x v="1"/>
    <s v="DK2_Medium"/>
    <x v="2"/>
    <s v="GNR_EH_HEAT"/>
    <x v="0"/>
    <x v="12"/>
    <n v="2"/>
    <n v="730"/>
    <n v="2628"/>
  </r>
  <r>
    <x v="0"/>
    <x v="0"/>
    <x v="0"/>
    <x v="0"/>
    <x v="1"/>
    <s v="DK2_Medium"/>
    <x v="2"/>
    <s v="GNR_EH_HEAT"/>
    <x v="0"/>
    <x v="13"/>
    <n v="2"/>
    <n v="730"/>
    <n v="2628"/>
  </r>
  <r>
    <x v="0"/>
    <x v="0"/>
    <x v="0"/>
    <x v="0"/>
    <x v="1"/>
    <s v="DK2_Medium"/>
    <x v="2"/>
    <s v="GNR_EH_HEAT"/>
    <x v="0"/>
    <x v="14"/>
    <n v="2"/>
    <n v="730"/>
    <n v="2628"/>
  </r>
  <r>
    <x v="0"/>
    <x v="0"/>
    <x v="0"/>
    <x v="0"/>
    <x v="1"/>
    <s v="DK2_Medium"/>
    <x v="2"/>
    <s v="GNR_EH_HEAT"/>
    <x v="0"/>
    <x v="15"/>
    <n v="2"/>
    <n v="730"/>
    <n v="2628"/>
  </r>
  <r>
    <x v="0"/>
    <x v="0"/>
    <x v="0"/>
    <x v="0"/>
    <x v="1"/>
    <s v="DK2_Medium"/>
    <x v="2"/>
    <s v="GNR_EH_HEAT"/>
    <x v="0"/>
    <x v="16"/>
    <n v="2"/>
    <n v="730"/>
    <n v="2628"/>
  </r>
  <r>
    <x v="0"/>
    <x v="0"/>
    <x v="0"/>
    <x v="0"/>
    <x v="1"/>
    <s v="DK2_Medium"/>
    <x v="2"/>
    <s v="GNR_EH_HEAT"/>
    <x v="0"/>
    <x v="17"/>
    <n v="2"/>
    <n v="730"/>
    <n v="2628"/>
  </r>
  <r>
    <x v="0"/>
    <x v="0"/>
    <x v="0"/>
    <x v="0"/>
    <x v="1"/>
    <s v="DK2_Medium"/>
    <x v="2"/>
    <s v="GNR_EH_HEAT"/>
    <x v="0"/>
    <x v="18"/>
    <n v="2"/>
    <n v="730"/>
    <n v="2628"/>
  </r>
  <r>
    <x v="0"/>
    <x v="0"/>
    <x v="0"/>
    <x v="0"/>
    <x v="1"/>
    <s v="DK2_Medium"/>
    <x v="2"/>
    <s v="GNR_EH_HEAT"/>
    <x v="0"/>
    <x v="19"/>
    <n v="2"/>
    <n v="730"/>
    <n v="2628"/>
  </r>
  <r>
    <x v="0"/>
    <x v="0"/>
    <x v="0"/>
    <x v="0"/>
    <x v="1"/>
    <s v="DK2_Medium"/>
    <x v="2"/>
    <s v="GNR_EH_HEAT"/>
    <x v="0"/>
    <x v="20"/>
    <n v="2"/>
    <n v="730"/>
    <n v="2628"/>
  </r>
  <r>
    <x v="0"/>
    <x v="0"/>
    <x v="0"/>
    <x v="0"/>
    <x v="1"/>
    <s v="DK2_Medium"/>
    <x v="2"/>
    <s v="GNR_EH_HEAT"/>
    <x v="0"/>
    <x v="21"/>
    <n v="2"/>
    <n v="730"/>
    <n v="2628"/>
  </r>
  <r>
    <x v="0"/>
    <x v="0"/>
    <x v="0"/>
    <x v="0"/>
    <x v="1"/>
    <s v="DK2_Medium"/>
    <x v="2"/>
    <s v="GNR_EH_HEAT"/>
    <x v="0"/>
    <x v="22"/>
    <n v="2"/>
    <n v="730"/>
    <n v="2628"/>
  </r>
  <r>
    <x v="0"/>
    <x v="0"/>
    <x v="0"/>
    <x v="0"/>
    <x v="1"/>
    <s v="DK2_Medium"/>
    <x v="2"/>
    <s v="GNR_EH_HEAT"/>
    <x v="0"/>
    <x v="23"/>
    <n v="2"/>
    <n v="730"/>
    <n v="2628"/>
  </r>
  <r>
    <x v="0"/>
    <x v="0"/>
    <x v="0"/>
    <x v="0"/>
    <x v="1"/>
    <s v="DK2_Medium"/>
    <x v="9"/>
    <s v="GNR_BO_WOODWST_E-82"/>
    <x v="0"/>
    <x v="0"/>
    <n v="0.85365853658536595"/>
    <n v="311.58536585365903"/>
    <n v="1121.7073170731701"/>
  </r>
  <r>
    <x v="0"/>
    <x v="0"/>
    <x v="0"/>
    <x v="0"/>
    <x v="1"/>
    <s v="DK2_Medium"/>
    <x v="9"/>
    <s v="GNR_BO_WOODWST_E-82"/>
    <x v="0"/>
    <x v="1"/>
    <n v="0.85365853658536595"/>
    <n v="311.58536585365903"/>
    <n v="1121.7073170731701"/>
  </r>
  <r>
    <x v="0"/>
    <x v="0"/>
    <x v="0"/>
    <x v="0"/>
    <x v="1"/>
    <s v="DK2_Medium"/>
    <x v="9"/>
    <s v="GNR_BO_WOODWST_E-82"/>
    <x v="0"/>
    <x v="2"/>
    <n v="0.85365853658536595"/>
    <n v="311.58536585365903"/>
    <n v="1121.7073170731701"/>
  </r>
  <r>
    <x v="0"/>
    <x v="0"/>
    <x v="0"/>
    <x v="0"/>
    <x v="1"/>
    <s v="DK2_Medium"/>
    <x v="9"/>
    <s v="GNR_BO_WOODWST_E-82"/>
    <x v="0"/>
    <x v="3"/>
    <n v="0.85365853658536595"/>
    <n v="311.58536585365903"/>
    <n v="1121.7073170731701"/>
  </r>
  <r>
    <x v="0"/>
    <x v="0"/>
    <x v="0"/>
    <x v="0"/>
    <x v="1"/>
    <s v="DK2_Medium"/>
    <x v="9"/>
    <s v="GNR_BO_WOODWST_E-82"/>
    <x v="0"/>
    <x v="4"/>
    <n v="0.85365853658536595"/>
    <n v="311.58536585365903"/>
    <n v="1121.7073170731701"/>
  </r>
  <r>
    <x v="0"/>
    <x v="0"/>
    <x v="0"/>
    <x v="0"/>
    <x v="1"/>
    <s v="DK2_Medium"/>
    <x v="9"/>
    <s v="GNR_BO_WOODWST_E-82"/>
    <x v="0"/>
    <x v="5"/>
    <n v="0.85365853658536595"/>
    <n v="311.58536585365903"/>
    <n v="1121.7073170731701"/>
  </r>
  <r>
    <x v="0"/>
    <x v="0"/>
    <x v="0"/>
    <x v="0"/>
    <x v="1"/>
    <s v="DK2_Medium"/>
    <x v="9"/>
    <s v="GNR_BO_WOODWST_E-82"/>
    <x v="0"/>
    <x v="6"/>
    <n v="0.85365853658536595"/>
    <n v="311.58536585365903"/>
    <n v="1121.7073170731701"/>
  </r>
  <r>
    <x v="0"/>
    <x v="0"/>
    <x v="0"/>
    <x v="0"/>
    <x v="1"/>
    <s v="DK2_Medium"/>
    <x v="9"/>
    <s v="GNR_BO_WOODWST_E-82"/>
    <x v="0"/>
    <x v="7"/>
    <n v="0.85365853658536595"/>
    <n v="311.58536585365903"/>
    <n v="1121.7073170731701"/>
  </r>
  <r>
    <x v="0"/>
    <x v="0"/>
    <x v="0"/>
    <x v="0"/>
    <x v="1"/>
    <s v="DK2_Medium"/>
    <x v="9"/>
    <s v="GNR_BO_WOODWST_E-82"/>
    <x v="0"/>
    <x v="8"/>
    <n v="0.85365853658536595"/>
    <n v="311.58536585365903"/>
    <n v="1121.7073170731701"/>
  </r>
  <r>
    <x v="0"/>
    <x v="0"/>
    <x v="0"/>
    <x v="0"/>
    <x v="1"/>
    <s v="DK2_Medium"/>
    <x v="9"/>
    <s v="GNR_BO_WOODWST_E-82"/>
    <x v="0"/>
    <x v="9"/>
    <n v="0.85365853658536595"/>
    <n v="311.58536585365903"/>
    <n v="1121.7073170731701"/>
  </r>
  <r>
    <x v="0"/>
    <x v="0"/>
    <x v="0"/>
    <x v="0"/>
    <x v="1"/>
    <s v="DK2_Medium"/>
    <x v="9"/>
    <s v="GNR_BO_WOODWST_E-82"/>
    <x v="0"/>
    <x v="10"/>
    <n v="0.85365853658536595"/>
    <n v="311.58536585365903"/>
    <n v="1121.7073170731701"/>
  </r>
  <r>
    <x v="0"/>
    <x v="0"/>
    <x v="0"/>
    <x v="0"/>
    <x v="1"/>
    <s v="DK2_Medium"/>
    <x v="9"/>
    <s v="GNR_BO_WOODWST_E-82"/>
    <x v="0"/>
    <x v="11"/>
    <n v="0.85365853658536595"/>
    <n v="311.58536585365903"/>
    <n v="1121.7073170731701"/>
  </r>
  <r>
    <x v="0"/>
    <x v="0"/>
    <x v="0"/>
    <x v="0"/>
    <x v="1"/>
    <s v="DK2_Medium"/>
    <x v="9"/>
    <s v="GNR_BO_WOODWST_E-82"/>
    <x v="0"/>
    <x v="12"/>
    <n v="0.85365853658536595"/>
    <n v="311.58536585365903"/>
    <n v="1121.7073170731701"/>
  </r>
  <r>
    <x v="0"/>
    <x v="0"/>
    <x v="0"/>
    <x v="0"/>
    <x v="1"/>
    <s v="DK2_Medium"/>
    <x v="9"/>
    <s v="GNR_BO_WOODWST_E-82"/>
    <x v="0"/>
    <x v="13"/>
    <n v="0.85365853658536595"/>
    <n v="311.58536585365903"/>
    <n v="1121.7073170731701"/>
  </r>
  <r>
    <x v="0"/>
    <x v="0"/>
    <x v="0"/>
    <x v="0"/>
    <x v="1"/>
    <s v="DK2_Medium"/>
    <x v="9"/>
    <s v="GNR_BO_WOODWST_E-82"/>
    <x v="0"/>
    <x v="14"/>
    <n v="0.85365853658536595"/>
    <n v="311.58536585365903"/>
    <n v="1121.7073170731701"/>
  </r>
  <r>
    <x v="0"/>
    <x v="0"/>
    <x v="0"/>
    <x v="0"/>
    <x v="1"/>
    <s v="DK2_Medium"/>
    <x v="9"/>
    <s v="GNR_BO_WOODWST_E-82"/>
    <x v="0"/>
    <x v="15"/>
    <n v="0.85365853658536595"/>
    <n v="311.58536585365903"/>
    <n v="1121.7073170731701"/>
  </r>
  <r>
    <x v="0"/>
    <x v="0"/>
    <x v="0"/>
    <x v="0"/>
    <x v="1"/>
    <s v="DK2_Medium"/>
    <x v="9"/>
    <s v="GNR_BO_WOODWST_E-82"/>
    <x v="0"/>
    <x v="16"/>
    <n v="0.85365853658536595"/>
    <n v="311.58536585365903"/>
    <n v="1121.7073170731701"/>
  </r>
  <r>
    <x v="0"/>
    <x v="0"/>
    <x v="0"/>
    <x v="0"/>
    <x v="1"/>
    <s v="DK2_Medium"/>
    <x v="9"/>
    <s v="GNR_BO_WOODWST_E-82"/>
    <x v="0"/>
    <x v="17"/>
    <n v="0.85365853658536595"/>
    <n v="311.58536585365903"/>
    <n v="1121.7073170731701"/>
  </r>
  <r>
    <x v="0"/>
    <x v="0"/>
    <x v="0"/>
    <x v="0"/>
    <x v="1"/>
    <s v="DK2_Medium"/>
    <x v="9"/>
    <s v="GNR_BO_WOODWST_E-82"/>
    <x v="0"/>
    <x v="18"/>
    <n v="0.85365853658536595"/>
    <n v="311.58536585365903"/>
    <n v="1121.7073170731701"/>
  </r>
  <r>
    <x v="0"/>
    <x v="0"/>
    <x v="0"/>
    <x v="0"/>
    <x v="1"/>
    <s v="DK2_Medium"/>
    <x v="9"/>
    <s v="GNR_BO_WOODWST_E-82"/>
    <x v="0"/>
    <x v="19"/>
    <n v="0.85365853658536595"/>
    <n v="311.58536585365903"/>
    <n v="1121.7073170731701"/>
  </r>
  <r>
    <x v="0"/>
    <x v="0"/>
    <x v="0"/>
    <x v="0"/>
    <x v="1"/>
    <s v="DK2_Medium"/>
    <x v="9"/>
    <s v="GNR_BO_WOODWST_E-82"/>
    <x v="0"/>
    <x v="20"/>
    <n v="0.85365853658536595"/>
    <n v="311.58536585365903"/>
    <n v="1121.7073170731701"/>
  </r>
  <r>
    <x v="0"/>
    <x v="0"/>
    <x v="0"/>
    <x v="0"/>
    <x v="1"/>
    <s v="DK2_Medium"/>
    <x v="9"/>
    <s v="GNR_BO_WOODWST_E-82"/>
    <x v="0"/>
    <x v="21"/>
    <n v="0.85365853658536595"/>
    <n v="311.58536585365903"/>
    <n v="1121.7073170731701"/>
  </r>
  <r>
    <x v="0"/>
    <x v="0"/>
    <x v="0"/>
    <x v="0"/>
    <x v="1"/>
    <s v="DK2_Medium"/>
    <x v="9"/>
    <s v="GNR_BO_WOODWST_E-82"/>
    <x v="0"/>
    <x v="22"/>
    <n v="0.85365853658536595"/>
    <n v="311.58536585365903"/>
    <n v="1121.7073170731701"/>
  </r>
  <r>
    <x v="0"/>
    <x v="0"/>
    <x v="0"/>
    <x v="0"/>
    <x v="1"/>
    <s v="DK2_Medium"/>
    <x v="9"/>
    <s v="GNR_BO_WOODWST_E-82"/>
    <x v="0"/>
    <x v="23"/>
    <n v="0.85365853658536595"/>
    <n v="311.58536585365903"/>
    <n v="1121.7073170731701"/>
  </r>
  <r>
    <x v="0"/>
    <x v="0"/>
    <x v="0"/>
    <x v="0"/>
    <x v="1"/>
    <s v="DK2_NoDH"/>
    <x v="6"/>
    <s v="GNR_PV_SUN"/>
    <x v="0"/>
    <x v="6"/>
    <n v="1.372411054216"/>
    <n v="500.93003478883998"/>
    <n v="1803.3481252398201"/>
  </r>
  <r>
    <x v="0"/>
    <x v="0"/>
    <x v="0"/>
    <x v="0"/>
    <x v="1"/>
    <s v="DK2_NoDH"/>
    <x v="6"/>
    <s v="GNR_PV_SUN"/>
    <x v="0"/>
    <x v="7"/>
    <n v="14.6380779037975"/>
    <n v="5342.8984348860804"/>
    <n v="19234.434365589899"/>
  </r>
  <r>
    <x v="0"/>
    <x v="0"/>
    <x v="0"/>
    <x v="0"/>
    <x v="1"/>
    <s v="DK2_NoDH"/>
    <x v="6"/>
    <s v="GNR_PV_SUN"/>
    <x v="0"/>
    <x v="8"/>
    <n v="42.717024068352899"/>
    <n v="15591.713784948801"/>
    <n v="56130.169625815703"/>
  </r>
  <r>
    <x v="0"/>
    <x v="0"/>
    <x v="0"/>
    <x v="0"/>
    <x v="1"/>
    <s v="DK2_NoDH"/>
    <x v="6"/>
    <s v="GNR_PV_SUN"/>
    <x v="0"/>
    <x v="9"/>
    <n v="69.738921718810104"/>
    <n v="25454.706427365702"/>
    <n v="91636.943138516406"/>
  </r>
  <r>
    <x v="0"/>
    <x v="0"/>
    <x v="0"/>
    <x v="0"/>
    <x v="1"/>
    <s v="DK2_NoDH"/>
    <x v="6"/>
    <s v="GNR_PV_SUN"/>
    <x v="0"/>
    <x v="10"/>
    <n v="92.944348629138901"/>
    <n v="33924.687249635703"/>
    <n v="122128.874098689"/>
  </r>
  <r>
    <x v="0"/>
    <x v="0"/>
    <x v="0"/>
    <x v="0"/>
    <x v="1"/>
    <s v="DK2_NoDH"/>
    <x v="6"/>
    <s v="GNR_PV_SUN"/>
    <x v="0"/>
    <x v="11"/>
    <n v="107.804348320427"/>
    <n v="39348.587136955699"/>
    <n v="141654.91369304099"/>
  </r>
  <r>
    <x v="0"/>
    <x v="0"/>
    <x v="0"/>
    <x v="0"/>
    <x v="1"/>
    <s v="DK2_NoDH"/>
    <x v="6"/>
    <s v="GNR_PV_SUN"/>
    <x v="0"/>
    <x v="12"/>
    <n v="114.023998417193"/>
    <n v="41618.759422275398"/>
    <n v="149827.533920191"/>
  </r>
  <r>
    <x v="0"/>
    <x v="0"/>
    <x v="0"/>
    <x v="0"/>
    <x v="1"/>
    <s v="DK2_NoDH"/>
    <x v="6"/>
    <s v="GNR_PV_SUN"/>
    <x v="0"/>
    <x v="13"/>
    <n v="114.67224363854601"/>
    <n v="41855.368928069198"/>
    <n v="150679.32814104899"/>
  </r>
  <r>
    <x v="0"/>
    <x v="0"/>
    <x v="0"/>
    <x v="0"/>
    <x v="1"/>
    <s v="DK2_NoDH"/>
    <x v="6"/>
    <s v="GNR_PV_SUN"/>
    <x v="0"/>
    <x v="14"/>
    <n v="98.720155150924597"/>
    <n v="36032.856630087503"/>
    <n v="129718.283868315"/>
  </r>
  <r>
    <x v="0"/>
    <x v="0"/>
    <x v="0"/>
    <x v="0"/>
    <x v="1"/>
    <s v="DK2_NoDH"/>
    <x v="6"/>
    <s v="GNR_PV_SUN"/>
    <x v="0"/>
    <x v="15"/>
    <n v="74.726321890301406"/>
    <n v="27275.107489959999"/>
    <n v="98190.386963856101"/>
  </r>
  <r>
    <x v="0"/>
    <x v="0"/>
    <x v="0"/>
    <x v="0"/>
    <x v="1"/>
    <s v="DK2_NoDH"/>
    <x v="6"/>
    <s v="GNR_PV_SUN"/>
    <x v="0"/>
    <x v="16"/>
    <n v="47.613903510736399"/>
    <n v="17379.0747814188"/>
    <n v="62564.669213107598"/>
  </r>
  <r>
    <x v="0"/>
    <x v="0"/>
    <x v="0"/>
    <x v="0"/>
    <x v="1"/>
    <s v="DK2_NoDH"/>
    <x v="6"/>
    <s v="GNR_PV_SUN"/>
    <x v="0"/>
    <x v="17"/>
    <n v="18.0837056569355"/>
    <n v="6600.5525647814602"/>
    <n v="23761.989233213299"/>
  </r>
  <r>
    <x v="0"/>
    <x v="0"/>
    <x v="0"/>
    <x v="0"/>
    <x v="1"/>
    <s v="DK2_NoDH"/>
    <x v="6"/>
    <s v="GNR_PV_SUN"/>
    <x v="0"/>
    <x v="18"/>
    <n v="1.48045192444152"/>
    <n v="540.36495242115302"/>
    <n v="1945.3138287161501"/>
  </r>
  <r>
    <x v="0"/>
    <x v="0"/>
    <x v="0"/>
    <x v="0"/>
    <x v="1"/>
    <s v="DK2_NoDH"/>
    <x v="7"/>
    <s v="GNR_ROR_WTR"/>
    <x v="0"/>
    <x v="0"/>
    <n v="9.1702066984432305E-3"/>
    <n v="3.34712544493178"/>
    <n v="12.0496516017544"/>
  </r>
  <r>
    <x v="0"/>
    <x v="0"/>
    <x v="0"/>
    <x v="0"/>
    <x v="1"/>
    <s v="DK2_NoDH"/>
    <x v="7"/>
    <s v="GNR_ROR_WTR"/>
    <x v="0"/>
    <x v="1"/>
    <n v="9.1702066984432305E-3"/>
    <n v="3.34712544493178"/>
    <n v="12.0496516017544"/>
  </r>
  <r>
    <x v="0"/>
    <x v="0"/>
    <x v="0"/>
    <x v="0"/>
    <x v="1"/>
    <s v="DK2_NoDH"/>
    <x v="7"/>
    <s v="GNR_ROR_WTR"/>
    <x v="0"/>
    <x v="2"/>
    <n v="9.1702066984432305E-3"/>
    <n v="3.34712544493178"/>
    <n v="12.0496516017544"/>
  </r>
  <r>
    <x v="0"/>
    <x v="0"/>
    <x v="0"/>
    <x v="0"/>
    <x v="1"/>
    <s v="DK2_NoDH"/>
    <x v="7"/>
    <s v="GNR_ROR_WTR"/>
    <x v="0"/>
    <x v="3"/>
    <n v="9.1702066984432305E-3"/>
    <n v="3.34712544493178"/>
    <n v="12.0496516017544"/>
  </r>
  <r>
    <x v="0"/>
    <x v="0"/>
    <x v="0"/>
    <x v="0"/>
    <x v="1"/>
    <s v="DK2_NoDH"/>
    <x v="7"/>
    <s v="GNR_ROR_WTR"/>
    <x v="0"/>
    <x v="4"/>
    <n v="9.1702066984432305E-3"/>
    <n v="3.34712544493178"/>
    <n v="12.0496516017544"/>
  </r>
  <r>
    <x v="0"/>
    <x v="0"/>
    <x v="0"/>
    <x v="0"/>
    <x v="1"/>
    <s v="DK2_NoDH"/>
    <x v="7"/>
    <s v="GNR_ROR_WTR"/>
    <x v="0"/>
    <x v="5"/>
    <n v="9.1702066984432305E-3"/>
    <n v="3.34712544493178"/>
    <n v="12.0496516017544"/>
  </r>
  <r>
    <x v="0"/>
    <x v="0"/>
    <x v="0"/>
    <x v="0"/>
    <x v="1"/>
    <s v="DK2_NoDH"/>
    <x v="7"/>
    <s v="GNR_ROR_WTR"/>
    <x v="0"/>
    <x v="6"/>
    <n v="9.1702066984432305E-3"/>
    <n v="3.34712544493178"/>
    <n v="12.0496516017544"/>
  </r>
  <r>
    <x v="0"/>
    <x v="0"/>
    <x v="0"/>
    <x v="0"/>
    <x v="1"/>
    <s v="DK2_NoDH"/>
    <x v="7"/>
    <s v="GNR_ROR_WTR"/>
    <x v="0"/>
    <x v="7"/>
    <n v="9.1702066984432305E-3"/>
    <n v="3.34712544493178"/>
    <n v="12.0496516017544"/>
  </r>
  <r>
    <x v="0"/>
    <x v="0"/>
    <x v="0"/>
    <x v="0"/>
    <x v="1"/>
    <s v="DK2_NoDH"/>
    <x v="7"/>
    <s v="GNR_ROR_WTR"/>
    <x v="0"/>
    <x v="8"/>
    <n v="9.1702066984432305E-3"/>
    <n v="3.34712544493178"/>
    <n v="12.0496516017544"/>
  </r>
  <r>
    <x v="0"/>
    <x v="0"/>
    <x v="0"/>
    <x v="0"/>
    <x v="1"/>
    <s v="DK2_NoDH"/>
    <x v="7"/>
    <s v="GNR_ROR_WTR"/>
    <x v="0"/>
    <x v="9"/>
    <n v="9.1702066984432305E-3"/>
    <n v="3.34712544493178"/>
    <n v="12.0496516017544"/>
  </r>
  <r>
    <x v="0"/>
    <x v="0"/>
    <x v="0"/>
    <x v="0"/>
    <x v="1"/>
    <s v="DK2_NoDH"/>
    <x v="7"/>
    <s v="GNR_ROR_WTR"/>
    <x v="0"/>
    <x v="10"/>
    <n v="9.1702066984432305E-3"/>
    <n v="3.34712544493178"/>
    <n v="12.0496516017544"/>
  </r>
  <r>
    <x v="0"/>
    <x v="0"/>
    <x v="0"/>
    <x v="0"/>
    <x v="1"/>
    <s v="DK2_NoDH"/>
    <x v="7"/>
    <s v="GNR_ROR_WTR"/>
    <x v="0"/>
    <x v="11"/>
    <n v="9.1702066984432305E-3"/>
    <n v="3.34712544493178"/>
    <n v="12.0496516017544"/>
  </r>
  <r>
    <x v="0"/>
    <x v="0"/>
    <x v="0"/>
    <x v="0"/>
    <x v="1"/>
    <s v="DK2_NoDH"/>
    <x v="7"/>
    <s v="GNR_ROR_WTR"/>
    <x v="0"/>
    <x v="12"/>
    <n v="9.1702066984432305E-3"/>
    <n v="3.34712544493178"/>
    <n v="12.0496516017544"/>
  </r>
  <r>
    <x v="0"/>
    <x v="0"/>
    <x v="0"/>
    <x v="0"/>
    <x v="1"/>
    <s v="DK2_NoDH"/>
    <x v="7"/>
    <s v="GNR_ROR_WTR"/>
    <x v="0"/>
    <x v="13"/>
    <n v="9.1702066984432305E-3"/>
    <n v="3.34712544493178"/>
    <n v="12.0496516017544"/>
  </r>
  <r>
    <x v="0"/>
    <x v="0"/>
    <x v="0"/>
    <x v="0"/>
    <x v="1"/>
    <s v="DK2_NoDH"/>
    <x v="7"/>
    <s v="GNR_ROR_WTR"/>
    <x v="0"/>
    <x v="14"/>
    <n v="9.1702066984432305E-3"/>
    <n v="3.34712544493178"/>
    <n v="12.0496516017544"/>
  </r>
  <r>
    <x v="0"/>
    <x v="0"/>
    <x v="0"/>
    <x v="0"/>
    <x v="1"/>
    <s v="DK2_NoDH"/>
    <x v="7"/>
    <s v="GNR_ROR_WTR"/>
    <x v="0"/>
    <x v="15"/>
    <n v="9.1702066984432305E-3"/>
    <n v="3.34712544493178"/>
    <n v="12.0496516017544"/>
  </r>
  <r>
    <x v="0"/>
    <x v="0"/>
    <x v="0"/>
    <x v="0"/>
    <x v="1"/>
    <s v="DK2_NoDH"/>
    <x v="7"/>
    <s v="GNR_ROR_WTR"/>
    <x v="0"/>
    <x v="16"/>
    <n v="9.1702066984432305E-3"/>
    <n v="3.34712544493178"/>
    <n v="12.0496516017544"/>
  </r>
  <r>
    <x v="0"/>
    <x v="0"/>
    <x v="0"/>
    <x v="0"/>
    <x v="1"/>
    <s v="DK2_NoDH"/>
    <x v="7"/>
    <s v="GNR_ROR_WTR"/>
    <x v="0"/>
    <x v="17"/>
    <n v="9.1702066984432305E-3"/>
    <n v="3.34712544493178"/>
    <n v="12.0496516017544"/>
  </r>
  <r>
    <x v="0"/>
    <x v="0"/>
    <x v="0"/>
    <x v="0"/>
    <x v="1"/>
    <s v="DK2_NoDH"/>
    <x v="7"/>
    <s v="GNR_ROR_WTR"/>
    <x v="0"/>
    <x v="18"/>
    <n v="9.1702066984432305E-3"/>
    <n v="3.34712544493178"/>
    <n v="12.0496516017544"/>
  </r>
  <r>
    <x v="0"/>
    <x v="0"/>
    <x v="0"/>
    <x v="0"/>
    <x v="1"/>
    <s v="DK2_NoDH"/>
    <x v="7"/>
    <s v="GNR_ROR_WTR"/>
    <x v="0"/>
    <x v="19"/>
    <n v="9.1702066984432305E-3"/>
    <n v="3.34712544493178"/>
    <n v="12.0496516017544"/>
  </r>
  <r>
    <x v="0"/>
    <x v="0"/>
    <x v="0"/>
    <x v="0"/>
    <x v="1"/>
    <s v="DK2_NoDH"/>
    <x v="7"/>
    <s v="GNR_ROR_WTR"/>
    <x v="0"/>
    <x v="20"/>
    <n v="9.1702066984432305E-3"/>
    <n v="3.34712544493178"/>
    <n v="12.0496516017544"/>
  </r>
  <r>
    <x v="0"/>
    <x v="0"/>
    <x v="0"/>
    <x v="0"/>
    <x v="1"/>
    <s v="DK2_NoDH"/>
    <x v="7"/>
    <s v="GNR_ROR_WTR"/>
    <x v="0"/>
    <x v="21"/>
    <n v="9.1702066984432305E-3"/>
    <n v="3.34712544493178"/>
    <n v="12.0496516017544"/>
  </r>
  <r>
    <x v="0"/>
    <x v="0"/>
    <x v="0"/>
    <x v="0"/>
    <x v="1"/>
    <s v="DK2_NoDH"/>
    <x v="7"/>
    <s v="GNR_ROR_WTR"/>
    <x v="0"/>
    <x v="22"/>
    <n v="9.1702066984432305E-3"/>
    <n v="3.34712544493178"/>
    <n v="12.0496516017544"/>
  </r>
  <r>
    <x v="0"/>
    <x v="0"/>
    <x v="0"/>
    <x v="0"/>
    <x v="1"/>
    <s v="DK2_NoDH"/>
    <x v="7"/>
    <s v="GNR_ROR_WTR"/>
    <x v="0"/>
    <x v="23"/>
    <n v="9.1702066984432305E-3"/>
    <n v="3.34712544493178"/>
    <n v="12.0496516017544"/>
  </r>
  <r>
    <x v="0"/>
    <x v="0"/>
    <x v="0"/>
    <x v="0"/>
    <x v="1"/>
    <s v="DK2_NoDH"/>
    <x v="8"/>
    <s v="GNR_WT_WIND_ONS"/>
    <x v="0"/>
    <x v="0"/>
    <n v="190.59378864921399"/>
    <n v="69566.732856963194"/>
    <n v="250440.23828506799"/>
  </r>
  <r>
    <x v="0"/>
    <x v="0"/>
    <x v="0"/>
    <x v="0"/>
    <x v="1"/>
    <s v="DK2_NoDH"/>
    <x v="8"/>
    <s v="GNR_WT_WIND_ONS"/>
    <x v="0"/>
    <x v="1"/>
    <n v="194.77912522428201"/>
    <n v="71094.380706862794"/>
    <n v="255939.770544706"/>
  </r>
  <r>
    <x v="0"/>
    <x v="0"/>
    <x v="0"/>
    <x v="0"/>
    <x v="1"/>
    <s v="DK2_NoDH"/>
    <x v="8"/>
    <s v="GNR_WT_WIND_ONS"/>
    <x v="0"/>
    <x v="2"/>
    <n v="199.930308701287"/>
    <n v="72974.562675969893"/>
    <n v="262708.42563349201"/>
  </r>
  <r>
    <x v="0"/>
    <x v="0"/>
    <x v="0"/>
    <x v="0"/>
    <x v="1"/>
    <s v="DK2_NoDH"/>
    <x v="8"/>
    <s v="GNR_WT_WIND_ONS"/>
    <x v="0"/>
    <x v="3"/>
    <n v="191.55963555115301"/>
    <n v="69919.266976170795"/>
    <n v="251709.36111421499"/>
  </r>
  <r>
    <x v="0"/>
    <x v="0"/>
    <x v="0"/>
    <x v="0"/>
    <x v="1"/>
    <s v="DK2_NoDH"/>
    <x v="8"/>
    <s v="GNR_WT_WIND_ONS"/>
    <x v="0"/>
    <x v="4"/>
    <n v="226.008175053629"/>
    <n v="82492.983894574601"/>
    <n v="296974.74202046898"/>
  </r>
  <r>
    <x v="0"/>
    <x v="0"/>
    <x v="0"/>
    <x v="0"/>
    <x v="1"/>
    <s v="DK2_NoDH"/>
    <x v="8"/>
    <s v="GNR_WT_WIND_ONS"/>
    <x v="0"/>
    <x v="5"/>
    <n v="249.83239863478099"/>
    <n v="91188.825501695101"/>
    <n v="328279.77180610201"/>
  </r>
  <r>
    <x v="0"/>
    <x v="0"/>
    <x v="0"/>
    <x v="0"/>
    <x v="1"/>
    <s v="DK2_NoDH"/>
    <x v="8"/>
    <s v="GNR_WT_WIND_ONS"/>
    <x v="0"/>
    <x v="6"/>
    <n v="264.64205113117299"/>
    <n v="96594.348662877994"/>
    <n v="347739.65518636099"/>
  </r>
  <r>
    <x v="0"/>
    <x v="0"/>
    <x v="0"/>
    <x v="0"/>
    <x v="1"/>
    <s v="DK2_NoDH"/>
    <x v="8"/>
    <s v="GNR_WT_WIND_ONS"/>
    <x v="0"/>
    <x v="7"/>
    <n v="285.56873400650898"/>
    <n v="104232.587912376"/>
    <n v="375237.31648455199"/>
  </r>
  <r>
    <x v="0"/>
    <x v="0"/>
    <x v="0"/>
    <x v="0"/>
    <x v="1"/>
    <s v="DK2_NoDH"/>
    <x v="8"/>
    <s v="GNR_WT_WIND_ONS"/>
    <x v="0"/>
    <x v="8"/>
    <n v="296.51499889514599"/>
    <n v="108227.974596728"/>
    <n v="389620.70854822203"/>
  </r>
  <r>
    <x v="0"/>
    <x v="0"/>
    <x v="0"/>
    <x v="0"/>
    <x v="1"/>
    <s v="DK2_NoDH"/>
    <x v="8"/>
    <s v="GNR_WT_WIND_ONS"/>
    <x v="0"/>
    <x v="9"/>
    <n v="294.58330509126898"/>
    <n v="107522.906358313"/>
    <n v="387082.46288992697"/>
  </r>
  <r>
    <x v="0"/>
    <x v="0"/>
    <x v="0"/>
    <x v="0"/>
    <x v="1"/>
    <s v="DK2_NoDH"/>
    <x v="8"/>
    <s v="GNR_WT_WIND_ONS"/>
    <x v="0"/>
    <x v="10"/>
    <n v="286.21263194113402"/>
    <n v="104467.61065851399"/>
    <n v="376083.398370651"/>
  </r>
  <r>
    <x v="0"/>
    <x v="0"/>
    <x v="0"/>
    <x v="0"/>
    <x v="1"/>
    <s v="DK2_NoDH"/>
    <x v="8"/>
    <s v="GNR_WT_WIND_ONS"/>
    <x v="0"/>
    <x v="11"/>
    <n v="265.92984700042399"/>
    <n v="97064.394155154805"/>
    <n v="349431.81895855698"/>
  </r>
  <r>
    <x v="0"/>
    <x v="0"/>
    <x v="0"/>
    <x v="0"/>
    <x v="1"/>
    <s v="DK2_NoDH"/>
    <x v="8"/>
    <s v="GNR_WT_WIND_ONS"/>
    <x v="0"/>
    <x v="12"/>
    <n v="239.85198064808199"/>
    <n v="87545.972936549995"/>
    <n v="315165.50257158"/>
  </r>
  <r>
    <x v="0"/>
    <x v="0"/>
    <x v="0"/>
    <x v="0"/>
    <x v="1"/>
    <s v="DK2_NoDH"/>
    <x v="8"/>
    <s v="GNR_WT_WIND_ONS"/>
    <x v="0"/>
    <x v="13"/>
    <n v="202.827849407103"/>
    <n v="74032.165033592595"/>
    <n v="266515.79412093299"/>
  </r>
  <r>
    <x v="0"/>
    <x v="0"/>
    <x v="0"/>
    <x v="0"/>
    <x v="1"/>
    <s v="DK2_NoDH"/>
    <x v="8"/>
    <s v="GNR_WT_WIND_ONS"/>
    <x v="0"/>
    <x v="14"/>
    <n v="177.07193202207401"/>
    <n v="64631.255188057097"/>
    <n v="232672.51867700499"/>
  </r>
  <r>
    <x v="0"/>
    <x v="0"/>
    <x v="0"/>
    <x v="0"/>
    <x v="1"/>
    <s v="DK2_NoDH"/>
    <x v="8"/>
    <s v="GNR_WT_WIND_ONS"/>
    <x v="0"/>
    <x v="15"/>
    <n v="198.320563864723"/>
    <n v="72387.005810623901"/>
    <n v="260593.22091824599"/>
  </r>
  <r>
    <x v="0"/>
    <x v="0"/>
    <x v="0"/>
    <x v="0"/>
    <x v="1"/>
    <s v="DK2_NoDH"/>
    <x v="8"/>
    <s v="GNR_WT_WIND_ONS"/>
    <x v="0"/>
    <x v="16"/>
    <n v="220.53504260931101"/>
    <n v="80495.290552398306"/>
    <n v="289783.045988634"/>
  </r>
  <r>
    <x v="0"/>
    <x v="0"/>
    <x v="0"/>
    <x v="0"/>
    <x v="1"/>
    <s v="DK2_NoDH"/>
    <x v="8"/>
    <s v="GNR_WT_WIND_ONS"/>
    <x v="0"/>
    <x v="17"/>
    <n v="221.82283847856201"/>
    <n v="80965.336044675103"/>
    <n v="291475.20976082998"/>
  </r>
  <r>
    <x v="0"/>
    <x v="0"/>
    <x v="0"/>
    <x v="0"/>
    <x v="1"/>
    <s v="DK2_NoDH"/>
    <x v="8"/>
    <s v="GNR_WT_WIND_ONS"/>
    <x v="0"/>
    <x v="18"/>
    <n v="186.40845207414699"/>
    <n v="68039.085007063695"/>
    <n v="244940.70602542901"/>
  </r>
  <r>
    <x v="0"/>
    <x v="0"/>
    <x v="0"/>
    <x v="0"/>
    <x v="1"/>
    <s v="DK2_NoDH"/>
    <x v="8"/>
    <s v="GNR_WT_WIND_ONS"/>
    <x v="0"/>
    <x v="19"/>
    <n v="160.652534689118"/>
    <n v="58638.175161528103"/>
    <n v="211097.43058150099"/>
  </r>
  <r>
    <x v="0"/>
    <x v="0"/>
    <x v="0"/>
    <x v="0"/>
    <x v="1"/>
    <s v="DK2_NoDH"/>
    <x v="8"/>
    <s v="GNR_WT_WIND_ONS"/>
    <x v="0"/>
    <x v="20"/>
    <n v="133.60882143483801"/>
    <n v="48767.219823715801"/>
    <n v="175561.99136537701"/>
  </r>
  <r>
    <x v="0"/>
    <x v="0"/>
    <x v="0"/>
    <x v="0"/>
    <x v="1"/>
    <s v="DK2_NoDH"/>
    <x v="8"/>
    <s v="GNR_WT_WIND_ONS"/>
    <x v="0"/>
    <x v="21"/>
    <n v="125.56009725201601"/>
    <n v="45829.435496985898"/>
    <n v="164985.967789149"/>
  </r>
  <r>
    <x v="0"/>
    <x v="0"/>
    <x v="0"/>
    <x v="0"/>
    <x v="1"/>
    <s v="DK2_NoDH"/>
    <x v="8"/>
    <s v="GNR_WT_WIND_ONS"/>
    <x v="0"/>
    <x v="22"/>
    <n v="146.48678012735201"/>
    <n v="53467.674746483601"/>
    <n v="192483.62908734099"/>
  </r>
  <r>
    <x v="0"/>
    <x v="0"/>
    <x v="0"/>
    <x v="0"/>
    <x v="1"/>
    <s v="DK2_NoDH"/>
    <x v="8"/>
    <s v="GNR_WT_WIND_ONS"/>
    <x v="0"/>
    <x v="23"/>
    <n v="168.057360937314"/>
    <n v="61340.9367421196"/>
    <n v="220827.372271631"/>
  </r>
  <r>
    <x v="0"/>
    <x v="0"/>
    <x v="0"/>
    <x v="0"/>
    <x v="1"/>
    <s v="DK2_Offshore"/>
    <x v="8"/>
    <s v="GNR_WT_WIND_OFF"/>
    <x v="0"/>
    <x v="0"/>
    <n v="198.230415672486"/>
    <n v="72354.1017204573"/>
    <n v="260474.76619364601"/>
  </r>
  <r>
    <x v="0"/>
    <x v="0"/>
    <x v="0"/>
    <x v="0"/>
    <x v="1"/>
    <s v="DK2_Offshore"/>
    <x v="8"/>
    <s v="GNR_WT_WIND_OFF"/>
    <x v="0"/>
    <x v="1"/>
    <n v="202.583448449077"/>
    <n v="73942.958683913297"/>
    <n v="266194.65126208798"/>
  </r>
  <r>
    <x v="0"/>
    <x v="0"/>
    <x v="0"/>
    <x v="0"/>
    <x v="1"/>
    <s v="DK2_Offshore"/>
    <x v="8"/>
    <s v="GNR_WT_WIND_OFF"/>
    <x v="0"/>
    <x v="2"/>
    <n v="207.94102725103701"/>
    <n v="75898.474946628296"/>
    <n v="273234.50980786199"/>
  </r>
  <r>
    <x v="0"/>
    <x v="0"/>
    <x v="0"/>
    <x v="0"/>
    <x v="1"/>
    <s v="DK2_Offshore"/>
    <x v="8"/>
    <s v="GNR_WT_WIND_OFF"/>
    <x v="0"/>
    <x v="3"/>
    <n v="199.23496169785301"/>
    <n v="72720.761019716301"/>
    <n v="261794.739670979"/>
  </r>
  <r>
    <x v="0"/>
    <x v="0"/>
    <x v="0"/>
    <x v="0"/>
    <x v="1"/>
    <s v="DK2_Offshore"/>
    <x v="8"/>
    <s v="GNR_WT_WIND_OFF"/>
    <x v="0"/>
    <x v="4"/>
    <n v="235.06376993595401"/>
    <n v="85798.276026623294"/>
    <n v="308873.79369584401"/>
  </r>
  <r>
    <x v="0"/>
    <x v="0"/>
    <x v="0"/>
    <x v="0"/>
    <x v="1"/>
    <s v="DK2_Offshore"/>
    <x v="8"/>
    <s v="GNR_WT_WIND_OFF"/>
    <x v="0"/>
    <x v="5"/>
    <n v="259.842571895015"/>
    <n v="94842.538741680502"/>
    <n v="341433.13947004999"/>
  </r>
  <r>
    <x v="0"/>
    <x v="0"/>
    <x v="0"/>
    <x v="0"/>
    <x v="1"/>
    <s v="DK2_Offshore"/>
    <x v="8"/>
    <s v="GNR_WT_WIND_OFF"/>
    <x v="0"/>
    <x v="6"/>
    <n v="275.24561095064701"/>
    <n v="100464.64799698599"/>
    <n v="361672.73278915102"/>
  </r>
  <r>
    <x v="0"/>
    <x v="0"/>
    <x v="0"/>
    <x v="0"/>
    <x v="1"/>
    <s v="DK2_Offshore"/>
    <x v="8"/>
    <s v="GNR_WT_WIND_OFF"/>
    <x v="0"/>
    <x v="7"/>
    <n v="297.01077483360598"/>
    <n v="108408.93281426599"/>
    <n v="390272.15813135798"/>
  </r>
  <r>
    <x v="0"/>
    <x v="0"/>
    <x v="0"/>
    <x v="0"/>
    <x v="1"/>
    <s v="DK2_Offshore"/>
    <x v="8"/>
    <s v="GNR_WT_WIND_OFF"/>
    <x v="0"/>
    <x v="8"/>
    <n v="308.395629787769"/>
    <n v="112564.404872536"/>
    <n v="405231.85754112899"/>
  </r>
  <r>
    <x v="0"/>
    <x v="0"/>
    <x v="0"/>
    <x v="0"/>
    <x v="1"/>
    <s v="DK2_Offshore"/>
    <x v="8"/>
    <s v="GNR_WT_WIND_OFF"/>
    <x v="0"/>
    <x v="9"/>
    <n v="306.38653773703402"/>
    <n v="111831.086274018"/>
    <n v="402591.910586463"/>
  </r>
  <r>
    <x v="0"/>
    <x v="0"/>
    <x v="0"/>
    <x v="0"/>
    <x v="1"/>
    <s v="DK2_Offshore"/>
    <x v="8"/>
    <s v="GNR_WT_WIND_OFF"/>
    <x v="0"/>
    <x v="10"/>
    <n v="297.68047218385101"/>
    <n v="108653.37234710599"/>
    <n v="391152.14044957998"/>
  </r>
  <r>
    <x v="0"/>
    <x v="0"/>
    <x v="0"/>
    <x v="0"/>
    <x v="1"/>
    <s v="DK2_Offshore"/>
    <x v="8"/>
    <s v="GNR_WT_WIND_OFF"/>
    <x v="0"/>
    <x v="11"/>
    <n v="276.58500565113701"/>
    <n v="100953.527062665"/>
    <n v="363432.69742559397"/>
  </r>
  <r>
    <x v="0"/>
    <x v="0"/>
    <x v="0"/>
    <x v="0"/>
    <x v="1"/>
    <s v="DK2_Offshore"/>
    <x v="8"/>
    <s v="GNR_WT_WIND_OFF"/>
    <x v="0"/>
    <x v="12"/>
    <n v="249.46226296621899"/>
    <n v="91053.725982670105"/>
    <n v="327793.41353761201"/>
  </r>
  <r>
    <x v="0"/>
    <x v="0"/>
    <x v="0"/>
    <x v="0"/>
    <x v="1"/>
    <s v="DK2_Offshore"/>
    <x v="8"/>
    <s v="GNR_WT_WIND_OFF"/>
    <x v="0"/>
    <x v="13"/>
    <n v="210.954665327139"/>
    <n v="76998.452844405605"/>
    <n v="277194.43023986003"/>
  </r>
  <r>
    <x v="0"/>
    <x v="0"/>
    <x v="0"/>
    <x v="0"/>
    <x v="1"/>
    <s v="DK2_Offshore"/>
    <x v="8"/>
    <s v="GNR_WT_WIND_OFF"/>
    <x v="0"/>
    <x v="14"/>
    <n v="184.16677131734301"/>
    <n v="67220.871530830205"/>
    <n v="241995.13751098901"/>
  </r>
  <r>
    <x v="0"/>
    <x v="0"/>
    <x v="0"/>
    <x v="0"/>
    <x v="1"/>
    <s v="DK2_Offshore"/>
    <x v="8"/>
    <s v="GNR_WT_WIND_OFF"/>
    <x v="0"/>
    <x v="15"/>
    <n v="206.26678387542401"/>
    <n v="75287.376114529907"/>
    <n v="271034.55401230702"/>
  </r>
  <r>
    <x v="0"/>
    <x v="0"/>
    <x v="0"/>
    <x v="0"/>
    <x v="1"/>
    <s v="DK2_Offshore"/>
    <x v="8"/>
    <s v="GNR_WT_WIND_OFF"/>
    <x v="0"/>
    <x v="16"/>
    <n v="229.37134245887299"/>
    <n v="83720.539997488595"/>
    <n v="301393.94399095897"/>
  </r>
  <r>
    <x v="0"/>
    <x v="0"/>
    <x v="0"/>
    <x v="0"/>
    <x v="1"/>
    <s v="DK2_Offshore"/>
    <x v="8"/>
    <s v="GNR_WT_WIND_OFF"/>
    <x v="0"/>
    <x v="17"/>
    <n v="230.71073715936299"/>
    <n v="84209.419063167297"/>
    <n v="303153.90862740198"/>
  </r>
  <r>
    <x v="0"/>
    <x v="0"/>
    <x v="0"/>
    <x v="0"/>
    <x v="1"/>
    <s v="DK2_Offshore"/>
    <x v="8"/>
    <s v="GNR_WT_WIND_OFF"/>
    <x v="0"/>
    <x v="18"/>
    <n v="193.87738289589399"/>
    <n v="70765.244757001303"/>
    <n v="254754.88112520499"/>
  </r>
  <r>
    <x v="0"/>
    <x v="0"/>
    <x v="0"/>
    <x v="0"/>
    <x v="1"/>
    <s v="DK2_Offshore"/>
    <x v="8"/>
    <s v="GNR_WT_WIND_OFF"/>
    <x v="0"/>
    <x v="19"/>
    <n v="167.08948888609899"/>
    <n v="60987.663443425998"/>
    <n v="219555.588396334"/>
  </r>
  <r>
    <x v="0"/>
    <x v="0"/>
    <x v="0"/>
    <x v="0"/>
    <x v="1"/>
    <s v="DK2_Offshore"/>
    <x v="8"/>
    <s v="GNR_WT_WIND_OFF"/>
    <x v="0"/>
    <x v="20"/>
    <n v="138.962200175813"/>
    <n v="50721.203064171903"/>
    <n v="182596.33103101901"/>
  </r>
  <r>
    <x v="0"/>
    <x v="0"/>
    <x v="0"/>
    <x v="0"/>
    <x v="1"/>
    <s v="DK2_Offshore"/>
    <x v="8"/>
    <s v="GNR_WT_WIND_OFF"/>
    <x v="0"/>
    <x v="21"/>
    <n v="130.59098329775199"/>
    <n v="47665.708903679602"/>
    <n v="171596.552053247"/>
  </r>
  <r>
    <x v="0"/>
    <x v="0"/>
    <x v="0"/>
    <x v="0"/>
    <x v="1"/>
    <s v="DK2_Offshore"/>
    <x v="8"/>
    <s v="GNR_WT_WIND_OFF"/>
    <x v="0"/>
    <x v="22"/>
    <n v="152.35614718071099"/>
    <n v="55609.993720959603"/>
    <n v="200195.97739545401"/>
  </r>
  <r>
    <x v="0"/>
    <x v="0"/>
    <x v="0"/>
    <x v="0"/>
    <x v="1"/>
    <s v="DK2_Offshore"/>
    <x v="8"/>
    <s v="GNR_WT_WIND_OFF"/>
    <x v="0"/>
    <x v="23"/>
    <n v="174.79100841391499"/>
    <n v="63798.718071078903"/>
    <n v="229675.38505588399"/>
  </r>
  <r>
    <x v="0"/>
    <x v="0"/>
    <x v="0"/>
    <x v="0"/>
    <x v="1"/>
    <s v="DK2_Rural"/>
    <x v="0"/>
    <s v="GNR_ST_COAL_BP_E-35"/>
    <x v="0"/>
    <x v="0"/>
    <n v="105.71428571428601"/>
    <n v="38585.714285714297"/>
    <n v="138908.57142857101"/>
  </r>
  <r>
    <x v="0"/>
    <x v="0"/>
    <x v="0"/>
    <x v="0"/>
    <x v="1"/>
    <s v="DK2_Rural"/>
    <x v="0"/>
    <s v="GNR_ST_COAL_BP_E-35"/>
    <x v="0"/>
    <x v="1"/>
    <n v="105.71428571428601"/>
    <n v="38585.714285714297"/>
    <n v="138908.57142857101"/>
  </r>
  <r>
    <x v="0"/>
    <x v="0"/>
    <x v="0"/>
    <x v="0"/>
    <x v="1"/>
    <s v="DK2_Rural"/>
    <x v="0"/>
    <s v="GNR_ST_COAL_BP_E-35"/>
    <x v="0"/>
    <x v="2"/>
    <n v="105.71428571428601"/>
    <n v="38585.714285714297"/>
    <n v="138908.57142857101"/>
  </r>
  <r>
    <x v="0"/>
    <x v="0"/>
    <x v="0"/>
    <x v="0"/>
    <x v="1"/>
    <s v="DK2_Rural"/>
    <x v="0"/>
    <s v="GNR_ST_COAL_BP_E-35"/>
    <x v="0"/>
    <x v="3"/>
    <n v="105.71428571428601"/>
    <n v="38585.714285714297"/>
    <n v="138908.57142857101"/>
  </r>
  <r>
    <x v="0"/>
    <x v="0"/>
    <x v="0"/>
    <x v="0"/>
    <x v="1"/>
    <s v="DK2_Rural"/>
    <x v="0"/>
    <s v="GNR_ST_COAL_BP_E-35"/>
    <x v="0"/>
    <x v="4"/>
    <n v="105.71428571428601"/>
    <n v="38585.714285714297"/>
    <n v="138908.57142857101"/>
  </r>
  <r>
    <x v="0"/>
    <x v="0"/>
    <x v="0"/>
    <x v="0"/>
    <x v="1"/>
    <s v="DK2_Rural"/>
    <x v="0"/>
    <s v="GNR_ST_COAL_BP_E-35"/>
    <x v="0"/>
    <x v="5"/>
    <n v="105.71428571428601"/>
    <n v="38585.714285714297"/>
    <n v="138908.57142857101"/>
  </r>
  <r>
    <x v="0"/>
    <x v="0"/>
    <x v="0"/>
    <x v="0"/>
    <x v="1"/>
    <s v="DK2_Rural"/>
    <x v="0"/>
    <s v="GNR_ST_COAL_BP_E-35"/>
    <x v="0"/>
    <x v="6"/>
    <n v="105.71428571428601"/>
    <n v="38585.714285714297"/>
    <n v="138908.57142857101"/>
  </r>
  <r>
    <x v="0"/>
    <x v="0"/>
    <x v="0"/>
    <x v="0"/>
    <x v="1"/>
    <s v="DK2_Rural"/>
    <x v="0"/>
    <s v="GNR_ST_COAL_BP_E-35"/>
    <x v="0"/>
    <x v="7"/>
    <n v="105.71428571428601"/>
    <n v="38585.714285714297"/>
    <n v="138908.57142857101"/>
  </r>
  <r>
    <x v="0"/>
    <x v="0"/>
    <x v="0"/>
    <x v="0"/>
    <x v="1"/>
    <s v="DK2_Rural"/>
    <x v="0"/>
    <s v="GNR_ST_COAL_BP_E-35"/>
    <x v="0"/>
    <x v="8"/>
    <n v="105.71428571428601"/>
    <n v="38585.714285714297"/>
    <n v="138908.57142857101"/>
  </r>
  <r>
    <x v="0"/>
    <x v="0"/>
    <x v="0"/>
    <x v="0"/>
    <x v="1"/>
    <s v="DK2_Rural"/>
    <x v="0"/>
    <s v="GNR_ST_COAL_BP_E-35"/>
    <x v="0"/>
    <x v="9"/>
    <n v="105.71428571428601"/>
    <n v="38585.714285714297"/>
    <n v="138908.57142857101"/>
  </r>
  <r>
    <x v="0"/>
    <x v="0"/>
    <x v="0"/>
    <x v="0"/>
    <x v="1"/>
    <s v="DK2_Rural"/>
    <x v="0"/>
    <s v="GNR_ST_COAL_BP_E-35"/>
    <x v="0"/>
    <x v="10"/>
    <n v="105.71428571428601"/>
    <n v="38585.714285714297"/>
    <n v="138908.57142857101"/>
  </r>
  <r>
    <x v="0"/>
    <x v="0"/>
    <x v="0"/>
    <x v="0"/>
    <x v="1"/>
    <s v="DK2_Rural"/>
    <x v="0"/>
    <s v="GNR_ST_COAL_BP_E-35"/>
    <x v="0"/>
    <x v="11"/>
    <n v="105.71428571428601"/>
    <n v="38585.714285714297"/>
    <n v="138908.57142857101"/>
  </r>
  <r>
    <x v="0"/>
    <x v="0"/>
    <x v="0"/>
    <x v="0"/>
    <x v="1"/>
    <s v="DK2_Rural"/>
    <x v="0"/>
    <s v="GNR_ST_COAL_BP_E-35"/>
    <x v="0"/>
    <x v="12"/>
    <n v="105.71428571428601"/>
    <n v="38585.714285714297"/>
    <n v="138908.57142857101"/>
  </r>
  <r>
    <x v="0"/>
    <x v="0"/>
    <x v="0"/>
    <x v="0"/>
    <x v="1"/>
    <s v="DK2_Rural"/>
    <x v="0"/>
    <s v="GNR_ST_COAL_BP_E-35"/>
    <x v="0"/>
    <x v="13"/>
    <n v="105.71428571428601"/>
    <n v="38585.714285714297"/>
    <n v="138908.57142857101"/>
  </r>
  <r>
    <x v="0"/>
    <x v="0"/>
    <x v="0"/>
    <x v="0"/>
    <x v="1"/>
    <s v="DK2_Rural"/>
    <x v="0"/>
    <s v="GNR_ST_COAL_BP_E-35"/>
    <x v="0"/>
    <x v="14"/>
    <n v="105.71428571428601"/>
    <n v="38585.714285714297"/>
    <n v="138908.57142857101"/>
  </r>
  <r>
    <x v="0"/>
    <x v="0"/>
    <x v="0"/>
    <x v="0"/>
    <x v="1"/>
    <s v="DK2_Rural"/>
    <x v="0"/>
    <s v="GNR_ST_COAL_BP_E-35"/>
    <x v="0"/>
    <x v="15"/>
    <n v="105.71428571428601"/>
    <n v="38585.714285714297"/>
    <n v="138908.57142857101"/>
  </r>
  <r>
    <x v="0"/>
    <x v="0"/>
    <x v="0"/>
    <x v="0"/>
    <x v="1"/>
    <s v="DK2_Rural"/>
    <x v="0"/>
    <s v="GNR_ST_COAL_BP_E-35"/>
    <x v="0"/>
    <x v="16"/>
    <n v="105.71428571428601"/>
    <n v="38585.714285714297"/>
    <n v="138908.57142857101"/>
  </r>
  <r>
    <x v="0"/>
    <x v="0"/>
    <x v="0"/>
    <x v="0"/>
    <x v="1"/>
    <s v="DK2_Rural"/>
    <x v="0"/>
    <s v="GNR_ST_COAL_BP_E-35"/>
    <x v="0"/>
    <x v="17"/>
    <n v="105.71428571428601"/>
    <n v="38585.714285714297"/>
    <n v="138908.57142857101"/>
  </r>
  <r>
    <x v="0"/>
    <x v="0"/>
    <x v="0"/>
    <x v="0"/>
    <x v="1"/>
    <s v="DK2_Rural"/>
    <x v="0"/>
    <s v="GNR_ST_COAL_BP_E-35"/>
    <x v="0"/>
    <x v="18"/>
    <n v="105.71428571428601"/>
    <n v="38585.714285714297"/>
    <n v="138908.57142857101"/>
  </r>
  <r>
    <x v="0"/>
    <x v="0"/>
    <x v="0"/>
    <x v="0"/>
    <x v="1"/>
    <s v="DK2_Rural"/>
    <x v="0"/>
    <s v="GNR_ST_COAL_BP_E-35"/>
    <x v="0"/>
    <x v="19"/>
    <n v="105.71428571428601"/>
    <n v="38585.714285714297"/>
    <n v="138908.57142857101"/>
  </r>
  <r>
    <x v="0"/>
    <x v="0"/>
    <x v="0"/>
    <x v="0"/>
    <x v="1"/>
    <s v="DK2_Rural"/>
    <x v="0"/>
    <s v="GNR_ST_COAL_BP_E-35"/>
    <x v="0"/>
    <x v="20"/>
    <n v="105.71428571428601"/>
    <n v="38585.714285714297"/>
    <n v="138908.57142857101"/>
  </r>
  <r>
    <x v="0"/>
    <x v="0"/>
    <x v="0"/>
    <x v="0"/>
    <x v="1"/>
    <s v="DK2_Rural"/>
    <x v="0"/>
    <s v="GNR_ST_COAL_BP_E-35"/>
    <x v="0"/>
    <x v="21"/>
    <n v="105.71428571428601"/>
    <n v="38585.714285714297"/>
    <n v="138908.57142857101"/>
  </r>
  <r>
    <x v="0"/>
    <x v="0"/>
    <x v="0"/>
    <x v="0"/>
    <x v="1"/>
    <s v="DK2_Rural"/>
    <x v="0"/>
    <s v="GNR_ST_COAL_BP_E-35"/>
    <x v="0"/>
    <x v="22"/>
    <n v="105.71428571428601"/>
    <n v="38585.714285714297"/>
    <n v="138908.57142857101"/>
  </r>
  <r>
    <x v="0"/>
    <x v="0"/>
    <x v="0"/>
    <x v="0"/>
    <x v="1"/>
    <s v="DK2_Rural"/>
    <x v="0"/>
    <s v="GNR_ST_COAL_BP_E-35"/>
    <x v="0"/>
    <x v="23"/>
    <n v="105.71428571428601"/>
    <n v="38585.714285714297"/>
    <n v="138908.57142857101"/>
  </r>
  <r>
    <x v="0"/>
    <x v="0"/>
    <x v="0"/>
    <x v="0"/>
    <x v="1"/>
    <s v="DK2_Rural"/>
    <x v="1"/>
    <s v="GNR_BO_MSW_E-105"/>
    <x v="0"/>
    <x v="0"/>
    <n v="6.6666666666666696"/>
    <n v="2433.3333333333298"/>
    <n v="8760"/>
  </r>
  <r>
    <x v="0"/>
    <x v="0"/>
    <x v="0"/>
    <x v="0"/>
    <x v="1"/>
    <s v="DK2_Rural"/>
    <x v="1"/>
    <s v="GNR_BO_MSW_E-105"/>
    <x v="0"/>
    <x v="1"/>
    <n v="6.6666666666666696"/>
    <n v="2433.3333333333298"/>
    <n v="8760"/>
  </r>
  <r>
    <x v="0"/>
    <x v="0"/>
    <x v="0"/>
    <x v="0"/>
    <x v="1"/>
    <s v="DK2_Rural"/>
    <x v="1"/>
    <s v="GNR_BO_MSW_E-105"/>
    <x v="0"/>
    <x v="2"/>
    <n v="6.6666666666666696"/>
    <n v="2433.3333333333298"/>
    <n v="8760"/>
  </r>
  <r>
    <x v="0"/>
    <x v="0"/>
    <x v="0"/>
    <x v="0"/>
    <x v="1"/>
    <s v="DK2_Rural"/>
    <x v="1"/>
    <s v="GNR_BO_MSW_E-105"/>
    <x v="0"/>
    <x v="3"/>
    <n v="6.6666666666666696"/>
    <n v="2433.3333333333298"/>
    <n v="8760"/>
  </r>
  <r>
    <x v="0"/>
    <x v="0"/>
    <x v="0"/>
    <x v="0"/>
    <x v="1"/>
    <s v="DK2_Rural"/>
    <x v="1"/>
    <s v="GNR_BO_MSW_E-105"/>
    <x v="0"/>
    <x v="4"/>
    <n v="6.6666666666666696"/>
    <n v="2433.3333333333298"/>
    <n v="8760"/>
  </r>
  <r>
    <x v="0"/>
    <x v="0"/>
    <x v="0"/>
    <x v="0"/>
    <x v="1"/>
    <s v="DK2_Rural"/>
    <x v="1"/>
    <s v="GNR_BO_MSW_E-105"/>
    <x v="0"/>
    <x v="5"/>
    <n v="6.6666666666666696"/>
    <n v="2433.3333333333298"/>
    <n v="8760"/>
  </r>
  <r>
    <x v="0"/>
    <x v="0"/>
    <x v="0"/>
    <x v="0"/>
    <x v="1"/>
    <s v="DK2_Rural"/>
    <x v="1"/>
    <s v="GNR_BO_MSW_E-105"/>
    <x v="0"/>
    <x v="6"/>
    <n v="6.6666666666666696"/>
    <n v="2433.3333333333298"/>
    <n v="8760"/>
  </r>
  <r>
    <x v="0"/>
    <x v="0"/>
    <x v="0"/>
    <x v="0"/>
    <x v="1"/>
    <s v="DK2_Rural"/>
    <x v="1"/>
    <s v="GNR_BO_MSW_E-105"/>
    <x v="0"/>
    <x v="7"/>
    <n v="6.6666666666666696"/>
    <n v="2433.3333333333298"/>
    <n v="8760"/>
  </r>
  <r>
    <x v="0"/>
    <x v="0"/>
    <x v="0"/>
    <x v="0"/>
    <x v="1"/>
    <s v="DK2_Rural"/>
    <x v="1"/>
    <s v="GNR_BO_MSW_E-105"/>
    <x v="0"/>
    <x v="8"/>
    <n v="6.6666666666666696"/>
    <n v="2433.3333333333298"/>
    <n v="8760"/>
  </r>
  <r>
    <x v="0"/>
    <x v="0"/>
    <x v="0"/>
    <x v="0"/>
    <x v="1"/>
    <s v="DK2_Rural"/>
    <x v="1"/>
    <s v="GNR_BO_MSW_E-105"/>
    <x v="0"/>
    <x v="9"/>
    <n v="6.6666666666666696"/>
    <n v="2433.3333333333298"/>
    <n v="8760"/>
  </r>
  <r>
    <x v="0"/>
    <x v="0"/>
    <x v="0"/>
    <x v="0"/>
    <x v="1"/>
    <s v="DK2_Rural"/>
    <x v="1"/>
    <s v="GNR_BO_MSW_E-105"/>
    <x v="0"/>
    <x v="10"/>
    <n v="6.6666666666666696"/>
    <n v="2433.3333333333298"/>
    <n v="8760"/>
  </r>
  <r>
    <x v="0"/>
    <x v="0"/>
    <x v="0"/>
    <x v="0"/>
    <x v="1"/>
    <s v="DK2_Rural"/>
    <x v="1"/>
    <s v="GNR_BO_MSW_E-105"/>
    <x v="0"/>
    <x v="11"/>
    <n v="6.6666666666666696"/>
    <n v="2433.3333333333298"/>
    <n v="8760"/>
  </r>
  <r>
    <x v="0"/>
    <x v="0"/>
    <x v="0"/>
    <x v="0"/>
    <x v="1"/>
    <s v="DK2_Rural"/>
    <x v="1"/>
    <s v="GNR_BO_MSW_E-105"/>
    <x v="0"/>
    <x v="12"/>
    <n v="6.6666666666666696"/>
    <n v="2433.3333333333298"/>
    <n v="8760"/>
  </r>
  <r>
    <x v="0"/>
    <x v="0"/>
    <x v="0"/>
    <x v="0"/>
    <x v="1"/>
    <s v="DK2_Rural"/>
    <x v="1"/>
    <s v="GNR_BO_MSW_E-105"/>
    <x v="0"/>
    <x v="13"/>
    <n v="6.6666666666666696"/>
    <n v="2433.3333333333298"/>
    <n v="8760"/>
  </r>
  <r>
    <x v="0"/>
    <x v="0"/>
    <x v="0"/>
    <x v="0"/>
    <x v="1"/>
    <s v="DK2_Rural"/>
    <x v="1"/>
    <s v="GNR_BO_MSW_E-105"/>
    <x v="0"/>
    <x v="14"/>
    <n v="6.6666666666666696"/>
    <n v="2433.3333333333298"/>
    <n v="8760"/>
  </r>
  <r>
    <x v="0"/>
    <x v="0"/>
    <x v="0"/>
    <x v="0"/>
    <x v="1"/>
    <s v="DK2_Rural"/>
    <x v="1"/>
    <s v="GNR_BO_MSW_E-105"/>
    <x v="0"/>
    <x v="15"/>
    <n v="6.6666666666666696"/>
    <n v="2433.3333333333298"/>
    <n v="8760"/>
  </r>
  <r>
    <x v="0"/>
    <x v="0"/>
    <x v="0"/>
    <x v="0"/>
    <x v="1"/>
    <s v="DK2_Rural"/>
    <x v="1"/>
    <s v="GNR_BO_MSW_E-105"/>
    <x v="0"/>
    <x v="16"/>
    <n v="6.6666666666666696"/>
    <n v="2433.3333333333298"/>
    <n v="8760"/>
  </r>
  <r>
    <x v="0"/>
    <x v="0"/>
    <x v="0"/>
    <x v="0"/>
    <x v="1"/>
    <s v="DK2_Rural"/>
    <x v="1"/>
    <s v="GNR_BO_MSW_E-105"/>
    <x v="0"/>
    <x v="17"/>
    <n v="6.6666666666666696"/>
    <n v="2433.3333333333298"/>
    <n v="8760"/>
  </r>
  <r>
    <x v="0"/>
    <x v="0"/>
    <x v="0"/>
    <x v="0"/>
    <x v="1"/>
    <s v="DK2_Rural"/>
    <x v="1"/>
    <s v="GNR_BO_MSW_E-105"/>
    <x v="0"/>
    <x v="18"/>
    <n v="6.6666666666666696"/>
    <n v="2433.3333333333298"/>
    <n v="8760"/>
  </r>
  <r>
    <x v="0"/>
    <x v="0"/>
    <x v="0"/>
    <x v="0"/>
    <x v="1"/>
    <s v="DK2_Rural"/>
    <x v="1"/>
    <s v="GNR_BO_MSW_E-105"/>
    <x v="0"/>
    <x v="19"/>
    <n v="6.6666666666666696"/>
    <n v="2433.3333333333298"/>
    <n v="8760"/>
  </r>
  <r>
    <x v="0"/>
    <x v="0"/>
    <x v="0"/>
    <x v="0"/>
    <x v="1"/>
    <s v="DK2_Rural"/>
    <x v="1"/>
    <s v="GNR_BO_MSW_E-105"/>
    <x v="0"/>
    <x v="20"/>
    <n v="6.6666666666666696"/>
    <n v="2433.3333333333298"/>
    <n v="8760"/>
  </r>
  <r>
    <x v="0"/>
    <x v="0"/>
    <x v="0"/>
    <x v="0"/>
    <x v="1"/>
    <s v="DK2_Rural"/>
    <x v="1"/>
    <s v="GNR_BO_MSW_E-105"/>
    <x v="0"/>
    <x v="21"/>
    <n v="6.6666666666666696"/>
    <n v="2433.3333333333298"/>
    <n v="8760"/>
  </r>
  <r>
    <x v="0"/>
    <x v="0"/>
    <x v="0"/>
    <x v="0"/>
    <x v="1"/>
    <s v="DK2_Rural"/>
    <x v="1"/>
    <s v="GNR_BO_MSW_E-105"/>
    <x v="0"/>
    <x v="22"/>
    <n v="6.6666666666666696"/>
    <n v="2433.3333333333298"/>
    <n v="8760"/>
  </r>
  <r>
    <x v="0"/>
    <x v="0"/>
    <x v="0"/>
    <x v="0"/>
    <x v="1"/>
    <s v="DK2_Rural"/>
    <x v="1"/>
    <s v="GNR_BO_MSW_E-105"/>
    <x v="0"/>
    <x v="23"/>
    <n v="6.6666666666666696"/>
    <n v="2433.3333333333298"/>
    <n v="8760"/>
  </r>
  <r>
    <x v="0"/>
    <x v="0"/>
    <x v="0"/>
    <x v="0"/>
    <x v="1"/>
    <s v="DK2_Rural"/>
    <x v="3"/>
    <s v="GNR_ENG_NGAS_BP_E-43"/>
    <x v="0"/>
    <x v="18"/>
    <n v="5.7604651162790699"/>
    <n v="2102.5697674418602"/>
    <n v="7569.2511627906997"/>
  </r>
  <r>
    <x v="0"/>
    <x v="0"/>
    <x v="0"/>
    <x v="0"/>
    <x v="1"/>
    <s v="DK2_Rural"/>
    <x v="3"/>
    <s v="GNR_ENG_NGAS_BP_E-43"/>
    <x v="0"/>
    <x v="19"/>
    <n v="5.7604651162790699"/>
    <n v="2102.5697674418602"/>
    <n v="7569.2511627906997"/>
  </r>
  <r>
    <x v="0"/>
    <x v="0"/>
    <x v="0"/>
    <x v="0"/>
    <x v="1"/>
    <s v="DK2_Rural"/>
    <x v="3"/>
    <s v="GNR_ENG_NGAS_BP_E-43"/>
    <x v="0"/>
    <x v="20"/>
    <n v="5.7604651162790699"/>
    <n v="2102.5697674418602"/>
    <n v="7569.2511627906997"/>
  </r>
  <r>
    <x v="0"/>
    <x v="0"/>
    <x v="0"/>
    <x v="0"/>
    <x v="1"/>
    <s v="DK2_Rural"/>
    <x v="3"/>
    <s v="GNR_ENG_NGAS_BP_E-43"/>
    <x v="0"/>
    <x v="21"/>
    <n v="5.7604651162790699"/>
    <n v="2102.5697674418602"/>
    <n v="7569.2511627906997"/>
  </r>
  <r>
    <x v="0"/>
    <x v="0"/>
    <x v="0"/>
    <x v="0"/>
    <x v="1"/>
    <s v="DK2_Rural"/>
    <x v="3"/>
    <s v="GNR_ENG_NGAS_BP_E-45"/>
    <x v="0"/>
    <x v="0"/>
    <n v="1.1111111111111101"/>
    <n v="405.555555555556"/>
    <n v="1460"/>
  </r>
  <r>
    <x v="0"/>
    <x v="0"/>
    <x v="0"/>
    <x v="0"/>
    <x v="1"/>
    <s v="DK2_Rural"/>
    <x v="3"/>
    <s v="GNR_ENG_NGAS_BP_E-45"/>
    <x v="0"/>
    <x v="1"/>
    <n v="1.1111111111111101"/>
    <n v="405.555555555556"/>
    <n v="1460"/>
  </r>
  <r>
    <x v="0"/>
    <x v="0"/>
    <x v="0"/>
    <x v="0"/>
    <x v="1"/>
    <s v="DK2_Rural"/>
    <x v="3"/>
    <s v="GNR_ENG_NGAS_BP_E-45"/>
    <x v="0"/>
    <x v="2"/>
    <n v="1.1111111111111101"/>
    <n v="405.555555555556"/>
    <n v="1460"/>
  </r>
  <r>
    <x v="0"/>
    <x v="0"/>
    <x v="0"/>
    <x v="0"/>
    <x v="1"/>
    <s v="DK2_Rural"/>
    <x v="3"/>
    <s v="GNR_ENG_NGAS_BP_E-45"/>
    <x v="0"/>
    <x v="3"/>
    <n v="1.1111111111111101"/>
    <n v="405.555555555556"/>
    <n v="1460"/>
  </r>
  <r>
    <x v="0"/>
    <x v="0"/>
    <x v="0"/>
    <x v="0"/>
    <x v="1"/>
    <s v="DK2_Rural"/>
    <x v="3"/>
    <s v="GNR_ENG_NGAS_BP_E-45"/>
    <x v="0"/>
    <x v="4"/>
    <n v="1.1111111111111101"/>
    <n v="405.555555555556"/>
    <n v="1460"/>
  </r>
  <r>
    <x v="0"/>
    <x v="0"/>
    <x v="0"/>
    <x v="0"/>
    <x v="1"/>
    <s v="DK2_Rural"/>
    <x v="3"/>
    <s v="GNR_ENG_NGAS_BP_E-45"/>
    <x v="0"/>
    <x v="5"/>
    <n v="1.1111111111111101"/>
    <n v="405.555555555556"/>
    <n v="1460"/>
  </r>
  <r>
    <x v="0"/>
    <x v="0"/>
    <x v="0"/>
    <x v="0"/>
    <x v="1"/>
    <s v="DK2_Rural"/>
    <x v="3"/>
    <s v="GNR_ENG_NGAS_BP_E-45"/>
    <x v="0"/>
    <x v="6"/>
    <n v="1.1111111111111101"/>
    <n v="405.555555555556"/>
    <n v="1460"/>
  </r>
  <r>
    <x v="0"/>
    <x v="0"/>
    <x v="0"/>
    <x v="0"/>
    <x v="1"/>
    <s v="DK2_Rural"/>
    <x v="3"/>
    <s v="GNR_ENG_NGAS_BP_E-45"/>
    <x v="0"/>
    <x v="7"/>
    <n v="1.1111111111111101"/>
    <n v="405.555555555556"/>
    <n v="1460"/>
  </r>
  <r>
    <x v="0"/>
    <x v="0"/>
    <x v="0"/>
    <x v="0"/>
    <x v="1"/>
    <s v="DK2_Rural"/>
    <x v="3"/>
    <s v="GNR_ENG_NGAS_BP_E-45"/>
    <x v="0"/>
    <x v="8"/>
    <n v="1.1111111111111101"/>
    <n v="405.555555555556"/>
    <n v="1460"/>
  </r>
  <r>
    <x v="0"/>
    <x v="0"/>
    <x v="0"/>
    <x v="0"/>
    <x v="1"/>
    <s v="DK2_Rural"/>
    <x v="3"/>
    <s v="GNR_ENG_NGAS_BP_E-45"/>
    <x v="0"/>
    <x v="9"/>
    <n v="1.1111111111111101"/>
    <n v="405.555555555556"/>
    <n v="1460"/>
  </r>
  <r>
    <x v="0"/>
    <x v="0"/>
    <x v="0"/>
    <x v="0"/>
    <x v="1"/>
    <s v="DK2_Rural"/>
    <x v="3"/>
    <s v="GNR_ENG_NGAS_BP_E-45"/>
    <x v="0"/>
    <x v="10"/>
    <n v="1.1111111111111101"/>
    <n v="405.555555555556"/>
    <n v="1460"/>
  </r>
  <r>
    <x v="0"/>
    <x v="0"/>
    <x v="0"/>
    <x v="0"/>
    <x v="1"/>
    <s v="DK2_Rural"/>
    <x v="3"/>
    <s v="GNR_ENG_NGAS_BP_E-45"/>
    <x v="0"/>
    <x v="11"/>
    <n v="1.1111111111111101"/>
    <n v="405.555555555556"/>
    <n v="1460"/>
  </r>
  <r>
    <x v="0"/>
    <x v="0"/>
    <x v="0"/>
    <x v="0"/>
    <x v="1"/>
    <s v="DK2_Rural"/>
    <x v="3"/>
    <s v="GNR_ENG_NGAS_BP_E-45"/>
    <x v="0"/>
    <x v="12"/>
    <n v="1.1111111111111101"/>
    <n v="405.555555555556"/>
    <n v="1460"/>
  </r>
  <r>
    <x v="0"/>
    <x v="0"/>
    <x v="0"/>
    <x v="0"/>
    <x v="1"/>
    <s v="DK2_Rural"/>
    <x v="3"/>
    <s v="GNR_ENG_NGAS_BP_E-45"/>
    <x v="0"/>
    <x v="13"/>
    <n v="1.1111111111111101"/>
    <n v="405.555555555556"/>
    <n v="1460"/>
  </r>
  <r>
    <x v="0"/>
    <x v="0"/>
    <x v="0"/>
    <x v="0"/>
    <x v="1"/>
    <s v="DK2_Rural"/>
    <x v="3"/>
    <s v="GNR_ENG_NGAS_BP_E-45"/>
    <x v="0"/>
    <x v="14"/>
    <n v="1.1111111111111101"/>
    <n v="405.555555555556"/>
    <n v="1460"/>
  </r>
  <r>
    <x v="0"/>
    <x v="0"/>
    <x v="0"/>
    <x v="0"/>
    <x v="1"/>
    <s v="DK2_Rural"/>
    <x v="3"/>
    <s v="GNR_ENG_NGAS_BP_E-45"/>
    <x v="0"/>
    <x v="15"/>
    <n v="1.1111111111111101"/>
    <n v="405.555555555556"/>
    <n v="1460"/>
  </r>
  <r>
    <x v="0"/>
    <x v="0"/>
    <x v="0"/>
    <x v="0"/>
    <x v="1"/>
    <s v="DK2_Rural"/>
    <x v="3"/>
    <s v="GNR_ENG_NGAS_BP_E-45"/>
    <x v="0"/>
    <x v="16"/>
    <n v="1.1111111111111101"/>
    <n v="405.555555555556"/>
    <n v="1460"/>
  </r>
  <r>
    <x v="0"/>
    <x v="0"/>
    <x v="0"/>
    <x v="0"/>
    <x v="1"/>
    <s v="DK2_Rural"/>
    <x v="3"/>
    <s v="GNR_ENG_NGAS_BP_E-45"/>
    <x v="0"/>
    <x v="17"/>
    <n v="1.1111111111111101"/>
    <n v="405.555555555556"/>
    <n v="1460"/>
  </r>
  <r>
    <x v="0"/>
    <x v="0"/>
    <x v="0"/>
    <x v="0"/>
    <x v="1"/>
    <s v="DK2_Rural"/>
    <x v="3"/>
    <s v="GNR_ENG_NGAS_BP_E-45"/>
    <x v="0"/>
    <x v="18"/>
    <n v="1.1111111111111101"/>
    <n v="405.555555555556"/>
    <n v="1460"/>
  </r>
  <r>
    <x v="0"/>
    <x v="0"/>
    <x v="0"/>
    <x v="0"/>
    <x v="1"/>
    <s v="DK2_Rural"/>
    <x v="3"/>
    <s v="GNR_ENG_NGAS_BP_E-45"/>
    <x v="0"/>
    <x v="19"/>
    <n v="1.1111111111111101"/>
    <n v="405.555555555556"/>
    <n v="1460"/>
  </r>
  <r>
    <x v="0"/>
    <x v="0"/>
    <x v="0"/>
    <x v="0"/>
    <x v="1"/>
    <s v="DK2_Rural"/>
    <x v="3"/>
    <s v="GNR_ENG_NGAS_BP_E-45"/>
    <x v="0"/>
    <x v="20"/>
    <n v="1.1111111111111101"/>
    <n v="405.555555555556"/>
    <n v="1460"/>
  </r>
  <r>
    <x v="0"/>
    <x v="0"/>
    <x v="0"/>
    <x v="0"/>
    <x v="1"/>
    <s v="DK2_Rural"/>
    <x v="3"/>
    <s v="GNR_ENG_NGAS_BP_E-45"/>
    <x v="0"/>
    <x v="21"/>
    <n v="1.1111111111111101"/>
    <n v="405.555555555556"/>
    <n v="1460"/>
  </r>
  <r>
    <x v="0"/>
    <x v="0"/>
    <x v="0"/>
    <x v="0"/>
    <x v="1"/>
    <s v="DK2_Rural"/>
    <x v="3"/>
    <s v="GNR_ENG_NGAS_BP_E-45"/>
    <x v="0"/>
    <x v="22"/>
    <n v="1.1111111111111101"/>
    <n v="405.555555555556"/>
    <n v="1460"/>
  </r>
  <r>
    <x v="0"/>
    <x v="0"/>
    <x v="0"/>
    <x v="0"/>
    <x v="1"/>
    <s v="DK2_Rural"/>
    <x v="3"/>
    <s v="GNR_ENG_NGAS_BP_E-45"/>
    <x v="0"/>
    <x v="23"/>
    <n v="1.1111111111111101"/>
    <n v="405.555555555556"/>
    <n v="1460"/>
  </r>
  <r>
    <x v="0"/>
    <x v="0"/>
    <x v="0"/>
    <x v="0"/>
    <x v="1"/>
    <s v="DK2_Rural"/>
    <x v="3"/>
    <s v="GNR_ENG_NGAS_BP_E-46"/>
    <x v="0"/>
    <x v="0"/>
    <n v="1.1956521739130399"/>
    <n v="436.41304347826099"/>
    <n v="1571.0869565217399"/>
  </r>
  <r>
    <x v="0"/>
    <x v="0"/>
    <x v="0"/>
    <x v="0"/>
    <x v="1"/>
    <s v="DK2_Rural"/>
    <x v="3"/>
    <s v="GNR_ENG_NGAS_BP_E-46"/>
    <x v="0"/>
    <x v="1"/>
    <n v="1.1956521739130399"/>
    <n v="436.41304347826099"/>
    <n v="1571.0869565217399"/>
  </r>
  <r>
    <x v="0"/>
    <x v="0"/>
    <x v="0"/>
    <x v="0"/>
    <x v="1"/>
    <s v="DK2_Rural"/>
    <x v="3"/>
    <s v="GNR_ENG_NGAS_BP_E-46"/>
    <x v="0"/>
    <x v="2"/>
    <n v="1.1956521739130399"/>
    <n v="436.41304347826099"/>
    <n v="1571.0869565217399"/>
  </r>
  <r>
    <x v="0"/>
    <x v="0"/>
    <x v="0"/>
    <x v="0"/>
    <x v="1"/>
    <s v="DK2_Rural"/>
    <x v="3"/>
    <s v="GNR_ENG_NGAS_BP_E-46"/>
    <x v="0"/>
    <x v="3"/>
    <n v="1.1956521739130399"/>
    <n v="436.41304347826099"/>
    <n v="1571.0869565217399"/>
  </r>
  <r>
    <x v="0"/>
    <x v="0"/>
    <x v="0"/>
    <x v="0"/>
    <x v="1"/>
    <s v="DK2_Rural"/>
    <x v="3"/>
    <s v="GNR_ENG_NGAS_BP_E-46"/>
    <x v="0"/>
    <x v="4"/>
    <n v="1.1956521739130399"/>
    <n v="436.41304347826099"/>
    <n v="1571.0869565217399"/>
  </r>
  <r>
    <x v="0"/>
    <x v="0"/>
    <x v="0"/>
    <x v="0"/>
    <x v="1"/>
    <s v="DK2_Rural"/>
    <x v="3"/>
    <s v="GNR_ENG_NGAS_BP_E-46"/>
    <x v="0"/>
    <x v="5"/>
    <n v="1.1956521739130399"/>
    <n v="436.41304347826099"/>
    <n v="1571.0869565217399"/>
  </r>
  <r>
    <x v="0"/>
    <x v="0"/>
    <x v="0"/>
    <x v="0"/>
    <x v="1"/>
    <s v="DK2_Rural"/>
    <x v="3"/>
    <s v="GNR_ENG_NGAS_BP_E-46"/>
    <x v="0"/>
    <x v="6"/>
    <n v="1.1956521739130399"/>
    <n v="436.41304347826099"/>
    <n v="1571.0869565217399"/>
  </r>
  <r>
    <x v="0"/>
    <x v="0"/>
    <x v="0"/>
    <x v="0"/>
    <x v="1"/>
    <s v="DK2_Rural"/>
    <x v="3"/>
    <s v="GNR_ENG_NGAS_BP_E-46"/>
    <x v="0"/>
    <x v="7"/>
    <n v="1.1956521739130399"/>
    <n v="436.41304347826099"/>
    <n v="1571.0869565217399"/>
  </r>
  <r>
    <x v="0"/>
    <x v="0"/>
    <x v="0"/>
    <x v="0"/>
    <x v="1"/>
    <s v="DK2_Rural"/>
    <x v="3"/>
    <s v="GNR_ENG_NGAS_BP_E-46"/>
    <x v="0"/>
    <x v="8"/>
    <n v="1.1956521739130399"/>
    <n v="436.41304347826099"/>
    <n v="1571.0869565217399"/>
  </r>
  <r>
    <x v="0"/>
    <x v="0"/>
    <x v="0"/>
    <x v="0"/>
    <x v="1"/>
    <s v="DK2_Rural"/>
    <x v="3"/>
    <s v="GNR_ENG_NGAS_BP_E-46"/>
    <x v="0"/>
    <x v="9"/>
    <n v="1.1956521739130399"/>
    <n v="436.41304347826099"/>
    <n v="1571.0869565217399"/>
  </r>
  <r>
    <x v="0"/>
    <x v="0"/>
    <x v="0"/>
    <x v="0"/>
    <x v="1"/>
    <s v="DK2_Rural"/>
    <x v="3"/>
    <s v="GNR_ENG_NGAS_BP_E-46"/>
    <x v="0"/>
    <x v="10"/>
    <n v="1.1956521739130399"/>
    <n v="436.41304347826099"/>
    <n v="1571.0869565217399"/>
  </r>
  <r>
    <x v="0"/>
    <x v="0"/>
    <x v="0"/>
    <x v="0"/>
    <x v="1"/>
    <s v="DK2_Rural"/>
    <x v="3"/>
    <s v="GNR_ENG_NGAS_BP_E-46"/>
    <x v="0"/>
    <x v="11"/>
    <n v="1.1956521739130399"/>
    <n v="436.41304347826099"/>
    <n v="1571.0869565217399"/>
  </r>
  <r>
    <x v="0"/>
    <x v="0"/>
    <x v="0"/>
    <x v="0"/>
    <x v="1"/>
    <s v="DK2_Rural"/>
    <x v="3"/>
    <s v="GNR_ENG_NGAS_BP_E-46"/>
    <x v="0"/>
    <x v="12"/>
    <n v="1.1956521739130399"/>
    <n v="436.41304347826099"/>
    <n v="1571.0869565217399"/>
  </r>
  <r>
    <x v="0"/>
    <x v="0"/>
    <x v="0"/>
    <x v="0"/>
    <x v="1"/>
    <s v="DK2_Rural"/>
    <x v="3"/>
    <s v="GNR_ENG_NGAS_BP_E-46"/>
    <x v="0"/>
    <x v="13"/>
    <n v="1.1956521739130399"/>
    <n v="436.41304347826099"/>
    <n v="1571.0869565217399"/>
  </r>
  <r>
    <x v="0"/>
    <x v="0"/>
    <x v="0"/>
    <x v="0"/>
    <x v="1"/>
    <s v="DK2_Rural"/>
    <x v="3"/>
    <s v="GNR_ENG_NGAS_BP_E-46"/>
    <x v="0"/>
    <x v="14"/>
    <n v="1.1956521739130399"/>
    <n v="436.41304347826099"/>
    <n v="1571.0869565217399"/>
  </r>
  <r>
    <x v="0"/>
    <x v="0"/>
    <x v="0"/>
    <x v="0"/>
    <x v="1"/>
    <s v="DK2_Rural"/>
    <x v="3"/>
    <s v="GNR_ENG_NGAS_BP_E-46"/>
    <x v="0"/>
    <x v="15"/>
    <n v="1.1956521739130399"/>
    <n v="436.41304347826099"/>
    <n v="1571.0869565217399"/>
  </r>
  <r>
    <x v="0"/>
    <x v="0"/>
    <x v="0"/>
    <x v="0"/>
    <x v="1"/>
    <s v="DK2_Rural"/>
    <x v="3"/>
    <s v="GNR_ENG_NGAS_BP_E-46"/>
    <x v="0"/>
    <x v="16"/>
    <n v="1.1956521739130399"/>
    <n v="436.41304347826099"/>
    <n v="1571.0869565217399"/>
  </r>
  <r>
    <x v="0"/>
    <x v="0"/>
    <x v="0"/>
    <x v="0"/>
    <x v="1"/>
    <s v="DK2_Rural"/>
    <x v="3"/>
    <s v="GNR_ENG_NGAS_BP_E-46"/>
    <x v="0"/>
    <x v="17"/>
    <n v="1.1956521739130399"/>
    <n v="436.41304347826099"/>
    <n v="1571.0869565217399"/>
  </r>
  <r>
    <x v="0"/>
    <x v="0"/>
    <x v="0"/>
    <x v="0"/>
    <x v="1"/>
    <s v="DK2_Rural"/>
    <x v="3"/>
    <s v="GNR_ENG_NGAS_BP_E-46"/>
    <x v="0"/>
    <x v="18"/>
    <n v="1.1956521739130399"/>
    <n v="436.41304347826099"/>
    <n v="1571.0869565217399"/>
  </r>
  <r>
    <x v="0"/>
    <x v="0"/>
    <x v="0"/>
    <x v="0"/>
    <x v="1"/>
    <s v="DK2_Rural"/>
    <x v="3"/>
    <s v="GNR_ENG_NGAS_BP_E-46"/>
    <x v="0"/>
    <x v="19"/>
    <n v="1.1956521739130399"/>
    <n v="436.41304347826099"/>
    <n v="1571.0869565217399"/>
  </r>
  <r>
    <x v="0"/>
    <x v="0"/>
    <x v="0"/>
    <x v="0"/>
    <x v="1"/>
    <s v="DK2_Rural"/>
    <x v="3"/>
    <s v="GNR_ENG_NGAS_BP_E-46"/>
    <x v="0"/>
    <x v="20"/>
    <n v="1.1956521739130399"/>
    <n v="436.41304347826099"/>
    <n v="1571.0869565217399"/>
  </r>
  <r>
    <x v="0"/>
    <x v="0"/>
    <x v="0"/>
    <x v="0"/>
    <x v="1"/>
    <s v="DK2_Rural"/>
    <x v="3"/>
    <s v="GNR_ENG_NGAS_BP_E-46"/>
    <x v="0"/>
    <x v="21"/>
    <n v="1.1956521739130399"/>
    <n v="436.41304347826099"/>
    <n v="1571.0869565217399"/>
  </r>
  <r>
    <x v="0"/>
    <x v="0"/>
    <x v="0"/>
    <x v="0"/>
    <x v="1"/>
    <s v="DK2_Rural"/>
    <x v="3"/>
    <s v="GNR_ENG_NGAS_BP_E-46"/>
    <x v="0"/>
    <x v="22"/>
    <n v="1.1956521739130399"/>
    <n v="436.41304347826099"/>
    <n v="1571.0869565217399"/>
  </r>
  <r>
    <x v="0"/>
    <x v="0"/>
    <x v="0"/>
    <x v="0"/>
    <x v="1"/>
    <s v="DK2_Rural"/>
    <x v="3"/>
    <s v="GNR_ENG_NGAS_BP_E-46"/>
    <x v="0"/>
    <x v="23"/>
    <n v="1.1956521739130399"/>
    <n v="436.41304347826099"/>
    <n v="1571.0869565217399"/>
  </r>
  <r>
    <x v="0"/>
    <x v="0"/>
    <x v="0"/>
    <x v="0"/>
    <x v="1"/>
    <s v="DK2_Rural"/>
    <x v="4"/>
    <s v="GNR_BO_STRW_E-100"/>
    <x v="0"/>
    <x v="6"/>
    <n v="19.855822836046499"/>
    <n v="7247.3753351569603"/>
    <n v="26090.551206565098"/>
  </r>
  <r>
    <x v="0"/>
    <x v="0"/>
    <x v="0"/>
    <x v="0"/>
    <x v="1"/>
    <s v="DK2_Rural"/>
    <x v="4"/>
    <s v="GNR_BO_STRW_E-100"/>
    <x v="0"/>
    <x v="7"/>
    <n v="42.864059720450399"/>
    <n v="15645.381797964401"/>
    <n v="56323.3744726718"/>
  </r>
  <r>
    <x v="0"/>
    <x v="0"/>
    <x v="0"/>
    <x v="0"/>
    <x v="1"/>
    <s v="DK2_Rural"/>
    <x v="4"/>
    <s v="GNR_BO_STRW_E-100"/>
    <x v="0"/>
    <x v="8"/>
    <n v="48.386036572707297"/>
    <n v="17660.903349038199"/>
    <n v="63579.2520565374"/>
  </r>
  <r>
    <x v="0"/>
    <x v="0"/>
    <x v="0"/>
    <x v="0"/>
    <x v="1"/>
    <s v="DK2_Rural"/>
    <x v="4"/>
    <s v="GNR_BO_STRW_E-100"/>
    <x v="0"/>
    <x v="9"/>
    <n v="51.278500638175203"/>
    <n v="18716.652732933999"/>
    <n v="67379.949838562199"/>
  </r>
  <r>
    <x v="0"/>
    <x v="0"/>
    <x v="0"/>
    <x v="0"/>
    <x v="1"/>
    <s v="DK2_Rural"/>
    <x v="4"/>
    <s v="GNR_BO_STRW_E-100"/>
    <x v="0"/>
    <x v="10"/>
    <n v="50.489646802138502"/>
    <n v="18428.721082780601"/>
    <n v="66343.39589801"/>
  </r>
  <r>
    <x v="0"/>
    <x v="0"/>
    <x v="0"/>
    <x v="0"/>
    <x v="1"/>
    <s v="DK2_Rural"/>
    <x v="4"/>
    <s v="GNR_BO_STRW_E-100"/>
    <x v="0"/>
    <x v="11"/>
    <n v="50.621122441478001"/>
    <n v="18476.709691139498"/>
    <n v="66516.154888102101"/>
  </r>
  <r>
    <x v="0"/>
    <x v="0"/>
    <x v="0"/>
    <x v="0"/>
    <x v="1"/>
    <s v="DK2_Rural"/>
    <x v="4"/>
    <s v="GNR_BO_STRW_E-100"/>
    <x v="0"/>
    <x v="12"/>
    <n v="49.174890408743998"/>
    <n v="17948.8349991916"/>
    <n v="64615.805997089599"/>
  </r>
  <r>
    <x v="0"/>
    <x v="0"/>
    <x v="0"/>
    <x v="0"/>
    <x v="1"/>
    <s v="DK2_Rural"/>
    <x v="4"/>
    <s v="GNR_BO_STRW_E-100"/>
    <x v="0"/>
    <x v="13"/>
    <n v="43.389962277808202"/>
    <n v="15837.336231400001"/>
    <n v="57014.410433039899"/>
  </r>
  <r>
    <x v="0"/>
    <x v="0"/>
    <x v="0"/>
    <x v="0"/>
    <x v="1"/>
    <s v="DK2_Rural"/>
    <x v="4"/>
    <s v="GNR_BO_STRW_E-100"/>
    <x v="0"/>
    <x v="14"/>
    <n v="44.967669949881603"/>
    <n v="16413.199531706799"/>
    <n v="59087.518314144399"/>
  </r>
  <r>
    <x v="0"/>
    <x v="0"/>
    <x v="0"/>
    <x v="0"/>
    <x v="1"/>
    <s v="DK2_Rural"/>
    <x v="4"/>
    <s v="GNR_BO_STRW_E-100"/>
    <x v="0"/>
    <x v="15"/>
    <n v="46.545377621954998"/>
    <n v="16989.062832013598"/>
    <n v="61160.6261952489"/>
  </r>
  <r>
    <x v="0"/>
    <x v="0"/>
    <x v="0"/>
    <x v="0"/>
    <x v="1"/>
    <s v="DK2_Rural"/>
    <x v="4"/>
    <s v="GNR_BO_STRW_E-100"/>
    <x v="0"/>
    <x v="16"/>
    <n v="49.569317326762402"/>
    <n v="18092.800824268299"/>
    <n v="65134.082967365699"/>
  </r>
  <r>
    <x v="0"/>
    <x v="0"/>
    <x v="0"/>
    <x v="0"/>
    <x v="1"/>
    <s v="DK2_Rural"/>
    <x v="4"/>
    <s v="GNR_BO_STRW_E-100"/>
    <x v="0"/>
    <x v="17"/>
    <n v="48.9119391300651"/>
    <n v="17852.857782473799"/>
    <n v="64270.288016905601"/>
  </r>
  <r>
    <x v="0"/>
    <x v="0"/>
    <x v="0"/>
    <x v="0"/>
    <x v="1"/>
    <s v="DK2_Rural"/>
    <x v="4"/>
    <s v="GNR_BO_STRW_E-100"/>
    <x v="0"/>
    <x v="18"/>
    <n v="46.685619465200702"/>
    <n v="17040.251104798299"/>
    <n v="61344.903977273701"/>
  </r>
  <r>
    <x v="0"/>
    <x v="0"/>
    <x v="0"/>
    <x v="0"/>
    <x v="1"/>
    <s v="DK2_Rural"/>
    <x v="4"/>
    <s v="GNR_BO_STRW_E-100"/>
    <x v="0"/>
    <x v="19"/>
    <n v="46.159716907842899"/>
    <n v="16848.296671362699"/>
    <n v="60653.868016905602"/>
  </r>
  <r>
    <x v="0"/>
    <x v="0"/>
    <x v="0"/>
    <x v="0"/>
    <x v="1"/>
    <s v="DK2_Rural"/>
    <x v="4"/>
    <s v="GNR_BO_STRW_E-100"/>
    <x v="0"/>
    <x v="20"/>
    <n v="43.267252842375001"/>
    <n v="15792.547287466899"/>
    <n v="56853.170234880701"/>
  </r>
  <r>
    <x v="0"/>
    <x v="0"/>
    <x v="0"/>
    <x v="0"/>
    <x v="1"/>
    <s v="DK2_Rural"/>
    <x v="4"/>
    <s v="GNR_BO_STRW_E-100"/>
    <x v="0"/>
    <x v="21"/>
    <n v="25.649517170888601"/>
    <n v="9362.0737673743206"/>
    <n v="33703.465562547601"/>
  </r>
  <r>
    <x v="0"/>
    <x v="0"/>
    <x v="0"/>
    <x v="0"/>
    <x v="1"/>
    <s v="DK2_Rural"/>
    <x v="4"/>
    <s v="GNR_BO_STRW_E-100"/>
    <x v="0"/>
    <x v="22"/>
    <n v="27.086982999716302"/>
    <n v="9886.7487948964408"/>
    <n v="35592.295661627199"/>
  </r>
  <r>
    <x v="0"/>
    <x v="0"/>
    <x v="0"/>
    <x v="0"/>
    <x v="1"/>
    <s v="DK2_Rural"/>
    <x v="4"/>
    <s v="GNR_BO_STRW_E-100"/>
    <x v="0"/>
    <x v="23"/>
    <n v="23.80009201623"/>
    <n v="8687.0335859239494"/>
    <n v="31273.320909326201"/>
  </r>
  <r>
    <x v="0"/>
    <x v="0"/>
    <x v="0"/>
    <x v="0"/>
    <x v="1"/>
    <s v="DK2_Rural"/>
    <x v="4"/>
    <s v="GNR_BO_STRW_E-102"/>
    <x v="0"/>
    <x v="0"/>
    <n v="36.247057715641603"/>
    <n v="13230.1760662092"/>
    <n v="47628.633838353097"/>
  </r>
  <r>
    <x v="0"/>
    <x v="0"/>
    <x v="0"/>
    <x v="0"/>
    <x v="1"/>
    <s v="DK2_Rural"/>
    <x v="4"/>
    <s v="GNR_BO_STRW_E-102"/>
    <x v="0"/>
    <x v="1"/>
    <n v="34.3135924312379"/>
    <n v="12524.4612374018"/>
    <n v="45088.060454646598"/>
  </r>
  <r>
    <x v="0"/>
    <x v="0"/>
    <x v="0"/>
    <x v="0"/>
    <x v="1"/>
    <s v="DK2_Rural"/>
    <x v="4"/>
    <s v="GNR_BO_STRW_E-102"/>
    <x v="0"/>
    <x v="2"/>
    <n v="32.895717889341903"/>
    <n v="12006.9370296098"/>
    <n v="43224.973306595202"/>
  </r>
  <r>
    <x v="0"/>
    <x v="0"/>
    <x v="0"/>
    <x v="0"/>
    <x v="1"/>
    <s v="DK2_Rural"/>
    <x v="4"/>
    <s v="GNR_BO_STRW_E-102"/>
    <x v="0"/>
    <x v="3"/>
    <n v="33.926899374357198"/>
    <n v="12383.318271640401"/>
    <n v="44579.945777905297"/>
  </r>
  <r>
    <x v="0"/>
    <x v="0"/>
    <x v="0"/>
    <x v="0"/>
    <x v="1"/>
    <s v="DK2_Rural"/>
    <x v="4"/>
    <s v="GNR_BO_STRW_E-102"/>
    <x v="0"/>
    <x v="4"/>
    <n v="38.953909113806702"/>
    <n v="14218.1768265395"/>
    <n v="51185.436575542102"/>
  </r>
  <r>
    <x v="0"/>
    <x v="0"/>
    <x v="0"/>
    <x v="0"/>
    <x v="1"/>
    <s v="DK2_Rural"/>
    <x v="4"/>
    <s v="GNR_BO_STRW_E-102"/>
    <x v="0"/>
    <x v="5"/>
    <n v="42.691941996987197"/>
    <n v="15582.558828900301"/>
    <n v="56097.211784041203"/>
  </r>
  <r>
    <x v="0"/>
    <x v="0"/>
    <x v="0"/>
    <x v="0"/>
    <x v="1"/>
    <s v="DK2_Rural"/>
    <x v="4"/>
    <s v="GNR_BO_STRW_E-102"/>
    <x v="0"/>
    <x v="6"/>
    <n v="46.813725490196099"/>
    <n v="17087.009803921599"/>
    <n v="61513.235294117701"/>
  </r>
  <r>
    <x v="0"/>
    <x v="0"/>
    <x v="0"/>
    <x v="0"/>
    <x v="1"/>
    <s v="DK2_Rural"/>
    <x v="4"/>
    <s v="GNR_BO_STRW_E-102"/>
    <x v="0"/>
    <x v="7"/>
    <n v="46.813725490196099"/>
    <n v="17087.009803921599"/>
    <n v="61513.235294117701"/>
  </r>
  <r>
    <x v="0"/>
    <x v="0"/>
    <x v="0"/>
    <x v="0"/>
    <x v="1"/>
    <s v="DK2_Rural"/>
    <x v="4"/>
    <s v="GNR_BO_STRW_E-102"/>
    <x v="0"/>
    <x v="8"/>
    <n v="46.813725490196099"/>
    <n v="17087.009803921599"/>
    <n v="61513.235294117701"/>
  </r>
  <r>
    <x v="0"/>
    <x v="0"/>
    <x v="0"/>
    <x v="0"/>
    <x v="1"/>
    <s v="DK2_Rural"/>
    <x v="4"/>
    <s v="GNR_BO_STRW_E-102"/>
    <x v="0"/>
    <x v="9"/>
    <n v="46.813725490196099"/>
    <n v="17087.009803921599"/>
    <n v="61513.235294117701"/>
  </r>
  <r>
    <x v="0"/>
    <x v="0"/>
    <x v="0"/>
    <x v="0"/>
    <x v="1"/>
    <s v="DK2_Rural"/>
    <x v="4"/>
    <s v="GNR_BO_STRW_E-102"/>
    <x v="0"/>
    <x v="10"/>
    <n v="46.813725490196099"/>
    <n v="17087.009803921599"/>
    <n v="61513.235294117701"/>
  </r>
  <r>
    <x v="0"/>
    <x v="0"/>
    <x v="0"/>
    <x v="0"/>
    <x v="1"/>
    <s v="DK2_Rural"/>
    <x v="4"/>
    <s v="GNR_BO_STRW_E-102"/>
    <x v="0"/>
    <x v="11"/>
    <n v="46.813725490196099"/>
    <n v="17087.009803921599"/>
    <n v="61513.235294117701"/>
  </r>
  <r>
    <x v="0"/>
    <x v="0"/>
    <x v="0"/>
    <x v="0"/>
    <x v="1"/>
    <s v="DK2_Rural"/>
    <x v="4"/>
    <s v="GNR_BO_STRW_E-102"/>
    <x v="0"/>
    <x v="12"/>
    <n v="46.813725490196099"/>
    <n v="17087.009803921599"/>
    <n v="61513.235294117701"/>
  </r>
  <r>
    <x v="0"/>
    <x v="0"/>
    <x v="0"/>
    <x v="0"/>
    <x v="1"/>
    <s v="DK2_Rural"/>
    <x v="4"/>
    <s v="GNR_BO_STRW_E-102"/>
    <x v="0"/>
    <x v="13"/>
    <n v="46.813725490196099"/>
    <n v="17087.009803921599"/>
    <n v="61513.235294117701"/>
  </r>
  <r>
    <x v="0"/>
    <x v="0"/>
    <x v="0"/>
    <x v="0"/>
    <x v="1"/>
    <s v="DK2_Rural"/>
    <x v="4"/>
    <s v="GNR_BO_STRW_E-102"/>
    <x v="0"/>
    <x v="14"/>
    <n v="46.813725490196099"/>
    <n v="17087.009803921599"/>
    <n v="61513.235294117701"/>
  </r>
  <r>
    <x v="0"/>
    <x v="0"/>
    <x v="0"/>
    <x v="0"/>
    <x v="1"/>
    <s v="DK2_Rural"/>
    <x v="4"/>
    <s v="GNR_BO_STRW_E-102"/>
    <x v="0"/>
    <x v="15"/>
    <n v="46.813725490196099"/>
    <n v="17087.009803921599"/>
    <n v="61513.235294117701"/>
  </r>
  <r>
    <x v="0"/>
    <x v="0"/>
    <x v="0"/>
    <x v="0"/>
    <x v="1"/>
    <s v="DK2_Rural"/>
    <x v="4"/>
    <s v="GNR_BO_STRW_E-102"/>
    <x v="0"/>
    <x v="16"/>
    <n v="46.813725490196099"/>
    <n v="17087.009803921599"/>
    <n v="61513.235294117701"/>
  </r>
  <r>
    <x v="0"/>
    <x v="0"/>
    <x v="0"/>
    <x v="0"/>
    <x v="1"/>
    <s v="DK2_Rural"/>
    <x v="4"/>
    <s v="GNR_BO_STRW_E-102"/>
    <x v="0"/>
    <x v="17"/>
    <n v="46.813725490196099"/>
    <n v="17087.009803921599"/>
    <n v="61513.235294117701"/>
  </r>
  <r>
    <x v="0"/>
    <x v="0"/>
    <x v="0"/>
    <x v="0"/>
    <x v="1"/>
    <s v="DK2_Rural"/>
    <x v="4"/>
    <s v="GNR_BO_STRW_E-102"/>
    <x v="0"/>
    <x v="18"/>
    <n v="46.813725490196099"/>
    <n v="17087.009803921599"/>
    <n v="61513.235294117701"/>
  </r>
  <r>
    <x v="0"/>
    <x v="0"/>
    <x v="0"/>
    <x v="0"/>
    <x v="1"/>
    <s v="DK2_Rural"/>
    <x v="4"/>
    <s v="GNR_BO_STRW_E-102"/>
    <x v="0"/>
    <x v="19"/>
    <n v="46.813725490196099"/>
    <n v="17087.009803921599"/>
    <n v="61513.235294117701"/>
  </r>
  <r>
    <x v="0"/>
    <x v="0"/>
    <x v="0"/>
    <x v="0"/>
    <x v="1"/>
    <s v="DK2_Rural"/>
    <x v="4"/>
    <s v="GNR_BO_STRW_E-102"/>
    <x v="0"/>
    <x v="20"/>
    <n v="46.813725490196099"/>
    <n v="17087.009803921599"/>
    <n v="61513.235294117701"/>
  </r>
  <r>
    <x v="0"/>
    <x v="0"/>
    <x v="0"/>
    <x v="0"/>
    <x v="1"/>
    <s v="DK2_Rural"/>
    <x v="4"/>
    <s v="GNR_BO_STRW_E-102"/>
    <x v="0"/>
    <x v="21"/>
    <n v="46.813725490196099"/>
    <n v="17087.009803921599"/>
    <n v="61513.235294117701"/>
  </r>
  <r>
    <x v="0"/>
    <x v="0"/>
    <x v="0"/>
    <x v="0"/>
    <x v="1"/>
    <s v="DK2_Rural"/>
    <x v="4"/>
    <s v="GNR_BO_STRW_E-102"/>
    <x v="0"/>
    <x v="22"/>
    <n v="46.813725490196099"/>
    <n v="17087.009803921599"/>
    <n v="61513.235294117701"/>
  </r>
  <r>
    <x v="0"/>
    <x v="0"/>
    <x v="0"/>
    <x v="0"/>
    <x v="1"/>
    <s v="DK2_Rural"/>
    <x v="4"/>
    <s v="GNR_BO_STRW_E-102"/>
    <x v="0"/>
    <x v="23"/>
    <n v="46.813725490196099"/>
    <n v="17087.009803921599"/>
    <n v="61513.235294117701"/>
  </r>
  <r>
    <x v="0"/>
    <x v="0"/>
    <x v="0"/>
    <x v="0"/>
    <x v="1"/>
    <s v="DK2_Rural"/>
    <x v="4"/>
    <s v="GNR_ST_STRW_BP_E-24"/>
    <x v="0"/>
    <x v="0"/>
    <n v="20.8333333333333"/>
    <n v="7604.1666666666697"/>
    <n v="27375"/>
  </r>
  <r>
    <x v="0"/>
    <x v="0"/>
    <x v="0"/>
    <x v="0"/>
    <x v="1"/>
    <s v="DK2_Rural"/>
    <x v="4"/>
    <s v="GNR_ST_STRW_BP_E-24"/>
    <x v="0"/>
    <x v="1"/>
    <n v="20.8333333333333"/>
    <n v="7604.1666666666697"/>
    <n v="27375"/>
  </r>
  <r>
    <x v="0"/>
    <x v="0"/>
    <x v="0"/>
    <x v="0"/>
    <x v="1"/>
    <s v="DK2_Rural"/>
    <x v="4"/>
    <s v="GNR_ST_STRW_BP_E-24"/>
    <x v="0"/>
    <x v="2"/>
    <n v="20.8333333333333"/>
    <n v="7604.1666666666697"/>
    <n v="27375"/>
  </r>
  <r>
    <x v="0"/>
    <x v="0"/>
    <x v="0"/>
    <x v="0"/>
    <x v="1"/>
    <s v="DK2_Rural"/>
    <x v="4"/>
    <s v="GNR_ST_STRW_BP_E-24"/>
    <x v="0"/>
    <x v="3"/>
    <n v="20.8333333333333"/>
    <n v="7604.1666666666697"/>
    <n v="27375"/>
  </r>
  <r>
    <x v="0"/>
    <x v="0"/>
    <x v="0"/>
    <x v="0"/>
    <x v="1"/>
    <s v="DK2_Rural"/>
    <x v="4"/>
    <s v="GNR_ST_STRW_BP_E-24"/>
    <x v="0"/>
    <x v="4"/>
    <n v="20.8333333333333"/>
    <n v="7604.1666666666697"/>
    <n v="27375"/>
  </r>
  <r>
    <x v="0"/>
    <x v="0"/>
    <x v="0"/>
    <x v="0"/>
    <x v="1"/>
    <s v="DK2_Rural"/>
    <x v="4"/>
    <s v="GNR_ST_STRW_BP_E-24"/>
    <x v="0"/>
    <x v="5"/>
    <n v="20.8333333333333"/>
    <n v="7604.1666666666697"/>
    <n v="27375"/>
  </r>
  <r>
    <x v="0"/>
    <x v="0"/>
    <x v="0"/>
    <x v="0"/>
    <x v="1"/>
    <s v="DK2_Rural"/>
    <x v="4"/>
    <s v="GNR_ST_STRW_BP_E-24"/>
    <x v="0"/>
    <x v="6"/>
    <n v="20.8333333333333"/>
    <n v="7604.1666666666697"/>
    <n v="27375"/>
  </r>
  <r>
    <x v="0"/>
    <x v="0"/>
    <x v="0"/>
    <x v="0"/>
    <x v="1"/>
    <s v="DK2_Rural"/>
    <x v="4"/>
    <s v="GNR_ST_STRW_BP_E-24"/>
    <x v="0"/>
    <x v="7"/>
    <n v="20.8333333333333"/>
    <n v="7604.1666666666697"/>
    <n v="27375"/>
  </r>
  <r>
    <x v="0"/>
    <x v="0"/>
    <x v="0"/>
    <x v="0"/>
    <x v="1"/>
    <s v="DK2_Rural"/>
    <x v="4"/>
    <s v="GNR_ST_STRW_BP_E-24"/>
    <x v="0"/>
    <x v="8"/>
    <n v="20.8333333333333"/>
    <n v="7604.1666666666697"/>
    <n v="27375"/>
  </r>
  <r>
    <x v="0"/>
    <x v="0"/>
    <x v="0"/>
    <x v="0"/>
    <x v="1"/>
    <s v="DK2_Rural"/>
    <x v="4"/>
    <s v="GNR_ST_STRW_BP_E-24"/>
    <x v="0"/>
    <x v="9"/>
    <n v="20.8333333333333"/>
    <n v="7604.1666666666697"/>
    <n v="27375"/>
  </r>
  <r>
    <x v="0"/>
    <x v="0"/>
    <x v="0"/>
    <x v="0"/>
    <x v="1"/>
    <s v="DK2_Rural"/>
    <x v="4"/>
    <s v="GNR_ST_STRW_BP_E-24"/>
    <x v="0"/>
    <x v="10"/>
    <n v="20.8333333333333"/>
    <n v="7604.1666666666697"/>
    <n v="27375"/>
  </r>
  <r>
    <x v="0"/>
    <x v="0"/>
    <x v="0"/>
    <x v="0"/>
    <x v="1"/>
    <s v="DK2_Rural"/>
    <x v="4"/>
    <s v="GNR_ST_STRW_BP_E-24"/>
    <x v="0"/>
    <x v="11"/>
    <n v="20.8333333333333"/>
    <n v="7604.1666666666697"/>
    <n v="27375"/>
  </r>
  <r>
    <x v="0"/>
    <x v="0"/>
    <x v="0"/>
    <x v="0"/>
    <x v="1"/>
    <s v="DK2_Rural"/>
    <x v="4"/>
    <s v="GNR_ST_STRW_BP_E-24"/>
    <x v="0"/>
    <x v="12"/>
    <n v="20.8333333333333"/>
    <n v="7604.1666666666697"/>
    <n v="27375"/>
  </r>
  <r>
    <x v="0"/>
    <x v="0"/>
    <x v="0"/>
    <x v="0"/>
    <x v="1"/>
    <s v="DK2_Rural"/>
    <x v="4"/>
    <s v="GNR_ST_STRW_BP_E-24"/>
    <x v="0"/>
    <x v="13"/>
    <n v="20.8333333333333"/>
    <n v="7604.1666666666697"/>
    <n v="27375"/>
  </r>
  <r>
    <x v="0"/>
    <x v="0"/>
    <x v="0"/>
    <x v="0"/>
    <x v="1"/>
    <s v="DK2_Rural"/>
    <x v="4"/>
    <s v="GNR_ST_STRW_BP_E-24"/>
    <x v="0"/>
    <x v="14"/>
    <n v="20.8333333333333"/>
    <n v="7604.1666666666697"/>
    <n v="27375"/>
  </r>
  <r>
    <x v="0"/>
    <x v="0"/>
    <x v="0"/>
    <x v="0"/>
    <x v="1"/>
    <s v="DK2_Rural"/>
    <x v="4"/>
    <s v="GNR_ST_STRW_BP_E-24"/>
    <x v="0"/>
    <x v="15"/>
    <n v="20.8333333333333"/>
    <n v="7604.1666666666697"/>
    <n v="27375"/>
  </r>
  <r>
    <x v="0"/>
    <x v="0"/>
    <x v="0"/>
    <x v="0"/>
    <x v="1"/>
    <s v="DK2_Rural"/>
    <x v="4"/>
    <s v="GNR_ST_STRW_BP_E-24"/>
    <x v="0"/>
    <x v="16"/>
    <n v="20.8333333333333"/>
    <n v="7604.1666666666697"/>
    <n v="27375"/>
  </r>
  <r>
    <x v="0"/>
    <x v="0"/>
    <x v="0"/>
    <x v="0"/>
    <x v="1"/>
    <s v="DK2_Rural"/>
    <x v="4"/>
    <s v="GNR_ST_STRW_BP_E-24"/>
    <x v="0"/>
    <x v="17"/>
    <n v="20.8333333333333"/>
    <n v="7604.1666666666697"/>
    <n v="27375"/>
  </r>
  <r>
    <x v="0"/>
    <x v="0"/>
    <x v="0"/>
    <x v="0"/>
    <x v="1"/>
    <s v="DK2_Rural"/>
    <x v="4"/>
    <s v="GNR_ST_STRW_BP_E-24"/>
    <x v="0"/>
    <x v="18"/>
    <n v="20.8333333333333"/>
    <n v="7604.1666666666697"/>
    <n v="27375"/>
  </r>
  <r>
    <x v="0"/>
    <x v="0"/>
    <x v="0"/>
    <x v="0"/>
    <x v="1"/>
    <s v="DK2_Rural"/>
    <x v="4"/>
    <s v="GNR_ST_STRW_BP_E-24"/>
    <x v="0"/>
    <x v="19"/>
    <n v="20.8333333333333"/>
    <n v="7604.1666666666697"/>
    <n v="27375"/>
  </r>
  <r>
    <x v="0"/>
    <x v="0"/>
    <x v="0"/>
    <x v="0"/>
    <x v="1"/>
    <s v="DK2_Rural"/>
    <x v="4"/>
    <s v="GNR_ST_STRW_BP_E-24"/>
    <x v="0"/>
    <x v="20"/>
    <n v="20.8333333333333"/>
    <n v="7604.1666666666697"/>
    <n v="27375"/>
  </r>
  <r>
    <x v="0"/>
    <x v="0"/>
    <x v="0"/>
    <x v="0"/>
    <x v="1"/>
    <s v="DK2_Rural"/>
    <x v="4"/>
    <s v="GNR_ST_STRW_BP_E-24"/>
    <x v="0"/>
    <x v="21"/>
    <n v="20.8333333333333"/>
    <n v="7604.1666666666697"/>
    <n v="27375"/>
  </r>
  <r>
    <x v="0"/>
    <x v="0"/>
    <x v="0"/>
    <x v="0"/>
    <x v="1"/>
    <s v="DK2_Rural"/>
    <x v="4"/>
    <s v="GNR_ST_STRW_BP_E-24"/>
    <x v="0"/>
    <x v="22"/>
    <n v="20.8333333333333"/>
    <n v="7604.1666666666697"/>
    <n v="27375"/>
  </r>
  <r>
    <x v="0"/>
    <x v="0"/>
    <x v="0"/>
    <x v="0"/>
    <x v="1"/>
    <s v="DK2_Rural"/>
    <x v="4"/>
    <s v="GNR_ST_STRW_BP_E-24"/>
    <x v="0"/>
    <x v="23"/>
    <n v="20.8333333333333"/>
    <n v="7604.1666666666697"/>
    <n v="27375"/>
  </r>
  <r>
    <x v="0"/>
    <x v="0"/>
    <x v="0"/>
    <x v="0"/>
    <x v="1"/>
    <s v="DK2_Rural"/>
    <x v="4"/>
    <s v="GNR_ST_STRW_BP_E-27"/>
    <x v="0"/>
    <x v="0"/>
    <n v="36.962962962962997"/>
    <n v="13491.4814814815"/>
    <n v="48569.333333333299"/>
  </r>
  <r>
    <x v="0"/>
    <x v="0"/>
    <x v="0"/>
    <x v="0"/>
    <x v="1"/>
    <s v="DK2_Rural"/>
    <x v="4"/>
    <s v="GNR_ST_STRW_BP_E-27"/>
    <x v="0"/>
    <x v="1"/>
    <n v="36.962962962962997"/>
    <n v="13491.4814814815"/>
    <n v="48569.333333333299"/>
  </r>
  <r>
    <x v="0"/>
    <x v="0"/>
    <x v="0"/>
    <x v="0"/>
    <x v="1"/>
    <s v="DK2_Rural"/>
    <x v="4"/>
    <s v="GNR_ST_STRW_BP_E-27"/>
    <x v="0"/>
    <x v="2"/>
    <n v="36.962962962962997"/>
    <n v="13491.4814814815"/>
    <n v="48569.333333333299"/>
  </r>
  <r>
    <x v="0"/>
    <x v="0"/>
    <x v="0"/>
    <x v="0"/>
    <x v="1"/>
    <s v="DK2_Rural"/>
    <x v="4"/>
    <s v="GNR_ST_STRW_BP_E-27"/>
    <x v="0"/>
    <x v="3"/>
    <n v="36.962962962962997"/>
    <n v="13491.4814814815"/>
    <n v="48569.333333333299"/>
  </r>
  <r>
    <x v="0"/>
    <x v="0"/>
    <x v="0"/>
    <x v="0"/>
    <x v="1"/>
    <s v="DK2_Rural"/>
    <x v="4"/>
    <s v="GNR_ST_STRW_BP_E-27"/>
    <x v="0"/>
    <x v="4"/>
    <n v="36.962962962962997"/>
    <n v="13491.4814814815"/>
    <n v="48569.333333333299"/>
  </r>
  <r>
    <x v="0"/>
    <x v="0"/>
    <x v="0"/>
    <x v="0"/>
    <x v="1"/>
    <s v="DK2_Rural"/>
    <x v="4"/>
    <s v="GNR_ST_STRW_BP_E-27"/>
    <x v="0"/>
    <x v="5"/>
    <n v="36.962962962962997"/>
    <n v="13491.4814814815"/>
    <n v="48569.333333333299"/>
  </r>
  <r>
    <x v="0"/>
    <x v="0"/>
    <x v="0"/>
    <x v="0"/>
    <x v="1"/>
    <s v="DK2_Rural"/>
    <x v="4"/>
    <s v="GNR_ST_STRW_BP_E-27"/>
    <x v="0"/>
    <x v="6"/>
    <n v="36.962962962962997"/>
    <n v="13491.4814814815"/>
    <n v="48569.333333333299"/>
  </r>
  <r>
    <x v="0"/>
    <x v="0"/>
    <x v="0"/>
    <x v="0"/>
    <x v="1"/>
    <s v="DK2_Rural"/>
    <x v="4"/>
    <s v="GNR_ST_STRW_BP_E-27"/>
    <x v="0"/>
    <x v="7"/>
    <n v="36.962962962962997"/>
    <n v="13491.4814814815"/>
    <n v="48569.333333333299"/>
  </r>
  <r>
    <x v="0"/>
    <x v="0"/>
    <x v="0"/>
    <x v="0"/>
    <x v="1"/>
    <s v="DK2_Rural"/>
    <x v="4"/>
    <s v="GNR_ST_STRW_BP_E-27"/>
    <x v="0"/>
    <x v="8"/>
    <n v="36.962962962962997"/>
    <n v="13491.4814814815"/>
    <n v="48569.333333333299"/>
  </r>
  <r>
    <x v="0"/>
    <x v="0"/>
    <x v="0"/>
    <x v="0"/>
    <x v="1"/>
    <s v="DK2_Rural"/>
    <x v="4"/>
    <s v="GNR_ST_STRW_BP_E-27"/>
    <x v="0"/>
    <x v="9"/>
    <n v="36.962962962962997"/>
    <n v="13491.4814814815"/>
    <n v="48569.333333333299"/>
  </r>
  <r>
    <x v="0"/>
    <x v="0"/>
    <x v="0"/>
    <x v="0"/>
    <x v="1"/>
    <s v="DK2_Rural"/>
    <x v="4"/>
    <s v="GNR_ST_STRW_BP_E-27"/>
    <x v="0"/>
    <x v="10"/>
    <n v="36.962962962962997"/>
    <n v="13491.4814814815"/>
    <n v="48569.333333333299"/>
  </r>
  <r>
    <x v="0"/>
    <x v="0"/>
    <x v="0"/>
    <x v="0"/>
    <x v="1"/>
    <s v="DK2_Rural"/>
    <x v="4"/>
    <s v="GNR_ST_STRW_BP_E-27"/>
    <x v="0"/>
    <x v="11"/>
    <n v="36.962962962962997"/>
    <n v="13491.4814814815"/>
    <n v="48569.333333333299"/>
  </r>
  <r>
    <x v="0"/>
    <x v="0"/>
    <x v="0"/>
    <x v="0"/>
    <x v="1"/>
    <s v="DK2_Rural"/>
    <x v="4"/>
    <s v="GNR_ST_STRW_BP_E-27"/>
    <x v="0"/>
    <x v="12"/>
    <n v="36.962962962962997"/>
    <n v="13491.4814814815"/>
    <n v="48569.333333333299"/>
  </r>
  <r>
    <x v="0"/>
    <x v="0"/>
    <x v="0"/>
    <x v="0"/>
    <x v="1"/>
    <s v="DK2_Rural"/>
    <x v="4"/>
    <s v="GNR_ST_STRW_BP_E-27"/>
    <x v="0"/>
    <x v="13"/>
    <n v="36.962962962962997"/>
    <n v="13491.4814814815"/>
    <n v="48569.333333333299"/>
  </r>
  <r>
    <x v="0"/>
    <x v="0"/>
    <x v="0"/>
    <x v="0"/>
    <x v="1"/>
    <s v="DK2_Rural"/>
    <x v="4"/>
    <s v="GNR_ST_STRW_BP_E-27"/>
    <x v="0"/>
    <x v="14"/>
    <n v="36.962962962962997"/>
    <n v="13491.4814814815"/>
    <n v="48569.333333333299"/>
  </r>
  <r>
    <x v="0"/>
    <x v="0"/>
    <x v="0"/>
    <x v="0"/>
    <x v="1"/>
    <s v="DK2_Rural"/>
    <x v="4"/>
    <s v="GNR_ST_STRW_BP_E-27"/>
    <x v="0"/>
    <x v="15"/>
    <n v="36.962962962962997"/>
    <n v="13491.4814814815"/>
    <n v="48569.333333333299"/>
  </r>
  <r>
    <x v="0"/>
    <x v="0"/>
    <x v="0"/>
    <x v="0"/>
    <x v="1"/>
    <s v="DK2_Rural"/>
    <x v="4"/>
    <s v="GNR_ST_STRW_BP_E-27"/>
    <x v="0"/>
    <x v="16"/>
    <n v="36.962962962962997"/>
    <n v="13491.4814814815"/>
    <n v="48569.333333333299"/>
  </r>
  <r>
    <x v="0"/>
    <x v="0"/>
    <x v="0"/>
    <x v="0"/>
    <x v="1"/>
    <s v="DK2_Rural"/>
    <x v="4"/>
    <s v="GNR_ST_STRW_BP_E-27"/>
    <x v="0"/>
    <x v="17"/>
    <n v="36.962962962962997"/>
    <n v="13491.4814814815"/>
    <n v="48569.333333333299"/>
  </r>
  <r>
    <x v="0"/>
    <x v="0"/>
    <x v="0"/>
    <x v="0"/>
    <x v="1"/>
    <s v="DK2_Rural"/>
    <x v="4"/>
    <s v="GNR_ST_STRW_BP_E-27"/>
    <x v="0"/>
    <x v="18"/>
    <n v="36.962962962962997"/>
    <n v="13491.4814814815"/>
    <n v="48569.333333333299"/>
  </r>
  <r>
    <x v="0"/>
    <x v="0"/>
    <x v="0"/>
    <x v="0"/>
    <x v="1"/>
    <s v="DK2_Rural"/>
    <x v="4"/>
    <s v="GNR_ST_STRW_BP_E-27"/>
    <x v="0"/>
    <x v="19"/>
    <n v="36.962962962962997"/>
    <n v="13491.4814814815"/>
    <n v="48569.333333333299"/>
  </r>
  <r>
    <x v="0"/>
    <x v="0"/>
    <x v="0"/>
    <x v="0"/>
    <x v="1"/>
    <s v="DK2_Rural"/>
    <x v="4"/>
    <s v="GNR_ST_STRW_BP_E-27"/>
    <x v="0"/>
    <x v="20"/>
    <n v="36.962962962962997"/>
    <n v="13491.4814814815"/>
    <n v="48569.333333333299"/>
  </r>
  <r>
    <x v="0"/>
    <x v="0"/>
    <x v="0"/>
    <x v="0"/>
    <x v="1"/>
    <s v="DK2_Rural"/>
    <x v="4"/>
    <s v="GNR_ST_STRW_BP_E-27"/>
    <x v="0"/>
    <x v="21"/>
    <n v="36.962962962962997"/>
    <n v="13491.4814814815"/>
    <n v="48569.333333333299"/>
  </r>
  <r>
    <x v="0"/>
    <x v="0"/>
    <x v="0"/>
    <x v="0"/>
    <x v="1"/>
    <s v="DK2_Rural"/>
    <x v="4"/>
    <s v="GNR_ST_STRW_BP_E-27"/>
    <x v="0"/>
    <x v="22"/>
    <n v="36.962962962962997"/>
    <n v="13491.4814814815"/>
    <n v="48569.333333333299"/>
  </r>
  <r>
    <x v="0"/>
    <x v="0"/>
    <x v="0"/>
    <x v="0"/>
    <x v="1"/>
    <s v="DK2_Rural"/>
    <x v="4"/>
    <s v="GNR_ST_STRW_BP_E-27"/>
    <x v="0"/>
    <x v="23"/>
    <n v="36.962962962962997"/>
    <n v="13491.4814814815"/>
    <n v="48569.333333333299"/>
  </r>
  <r>
    <x v="0"/>
    <x v="0"/>
    <x v="0"/>
    <x v="0"/>
    <x v="1"/>
    <s v="DK2_Rural"/>
    <x v="4"/>
    <s v="GNR_ST_STRW_BP_E-28"/>
    <x v="0"/>
    <x v="0"/>
    <n v="39.655172413793103"/>
    <n v="14474.1379310345"/>
    <n v="52106.896551724203"/>
  </r>
  <r>
    <x v="0"/>
    <x v="0"/>
    <x v="0"/>
    <x v="0"/>
    <x v="1"/>
    <s v="DK2_Rural"/>
    <x v="4"/>
    <s v="GNR_ST_STRW_BP_E-28"/>
    <x v="0"/>
    <x v="1"/>
    <n v="39.655172413793103"/>
    <n v="14474.1379310345"/>
    <n v="52106.896551724203"/>
  </r>
  <r>
    <x v="0"/>
    <x v="0"/>
    <x v="0"/>
    <x v="0"/>
    <x v="1"/>
    <s v="DK2_Rural"/>
    <x v="4"/>
    <s v="GNR_ST_STRW_BP_E-28"/>
    <x v="0"/>
    <x v="2"/>
    <n v="39.655172413793103"/>
    <n v="14474.1379310345"/>
    <n v="52106.896551724203"/>
  </r>
  <r>
    <x v="0"/>
    <x v="0"/>
    <x v="0"/>
    <x v="0"/>
    <x v="1"/>
    <s v="DK2_Rural"/>
    <x v="4"/>
    <s v="GNR_ST_STRW_BP_E-28"/>
    <x v="0"/>
    <x v="3"/>
    <n v="39.655172413793103"/>
    <n v="14474.1379310345"/>
    <n v="52106.896551724203"/>
  </r>
  <r>
    <x v="0"/>
    <x v="0"/>
    <x v="0"/>
    <x v="0"/>
    <x v="1"/>
    <s v="DK2_Rural"/>
    <x v="4"/>
    <s v="GNR_ST_STRW_BP_E-28"/>
    <x v="0"/>
    <x v="4"/>
    <n v="39.655172413793103"/>
    <n v="14474.1379310345"/>
    <n v="52106.896551724203"/>
  </r>
  <r>
    <x v="0"/>
    <x v="0"/>
    <x v="0"/>
    <x v="0"/>
    <x v="1"/>
    <s v="DK2_Rural"/>
    <x v="4"/>
    <s v="GNR_ST_STRW_BP_E-28"/>
    <x v="0"/>
    <x v="5"/>
    <n v="39.655172413793103"/>
    <n v="14474.1379310345"/>
    <n v="52106.896551724203"/>
  </r>
  <r>
    <x v="0"/>
    <x v="0"/>
    <x v="0"/>
    <x v="0"/>
    <x v="1"/>
    <s v="DK2_Rural"/>
    <x v="4"/>
    <s v="GNR_ST_STRW_BP_E-28"/>
    <x v="0"/>
    <x v="6"/>
    <n v="39.655172413793103"/>
    <n v="14474.1379310345"/>
    <n v="52106.896551724203"/>
  </r>
  <r>
    <x v="0"/>
    <x v="0"/>
    <x v="0"/>
    <x v="0"/>
    <x v="1"/>
    <s v="DK2_Rural"/>
    <x v="4"/>
    <s v="GNR_ST_STRW_BP_E-28"/>
    <x v="0"/>
    <x v="7"/>
    <n v="39.655172413793103"/>
    <n v="14474.1379310345"/>
    <n v="52106.896551724203"/>
  </r>
  <r>
    <x v="0"/>
    <x v="0"/>
    <x v="0"/>
    <x v="0"/>
    <x v="1"/>
    <s v="DK2_Rural"/>
    <x v="4"/>
    <s v="GNR_ST_STRW_BP_E-28"/>
    <x v="0"/>
    <x v="8"/>
    <n v="39.655172413793103"/>
    <n v="14474.1379310345"/>
    <n v="52106.896551724203"/>
  </r>
  <r>
    <x v="0"/>
    <x v="0"/>
    <x v="0"/>
    <x v="0"/>
    <x v="1"/>
    <s v="DK2_Rural"/>
    <x v="4"/>
    <s v="GNR_ST_STRW_BP_E-28"/>
    <x v="0"/>
    <x v="9"/>
    <n v="39.655172413793103"/>
    <n v="14474.1379310345"/>
    <n v="52106.896551724203"/>
  </r>
  <r>
    <x v="0"/>
    <x v="0"/>
    <x v="0"/>
    <x v="0"/>
    <x v="1"/>
    <s v="DK2_Rural"/>
    <x v="4"/>
    <s v="GNR_ST_STRW_BP_E-28"/>
    <x v="0"/>
    <x v="10"/>
    <n v="39.655172413793103"/>
    <n v="14474.1379310345"/>
    <n v="52106.896551724203"/>
  </r>
  <r>
    <x v="0"/>
    <x v="0"/>
    <x v="0"/>
    <x v="0"/>
    <x v="1"/>
    <s v="DK2_Rural"/>
    <x v="4"/>
    <s v="GNR_ST_STRW_BP_E-28"/>
    <x v="0"/>
    <x v="11"/>
    <n v="39.655172413793103"/>
    <n v="14474.1379310345"/>
    <n v="52106.896551724203"/>
  </r>
  <r>
    <x v="0"/>
    <x v="0"/>
    <x v="0"/>
    <x v="0"/>
    <x v="1"/>
    <s v="DK2_Rural"/>
    <x v="4"/>
    <s v="GNR_ST_STRW_BP_E-28"/>
    <x v="0"/>
    <x v="12"/>
    <n v="39.655172413793103"/>
    <n v="14474.1379310345"/>
    <n v="52106.896551724203"/>
  </r>
  <r>
    <x v="0"/>
    <x v="0"/>
    <x v="0"/>
    <x v="0"/>
    <x v="1"/>
    <s v="DK2_Rural"/>
    <x v="4"/>
    <s v="GNR_ST_STRW_BP_E-28"/>
    <x v="0"/>
    <x v="13"/>
    <n v="39.655172413793103"/>
    <n v="14474.1379310345"/>
    <n v="52106.896551724203"/>
  </r>
  <r>
    <x v="0"/>
    <x v="0"/>
    <x v="0"/>
    <x v="0"/>
    <x v="1"/>
    <s v="DK2_Rural"/>
    <x v="4"/>
    <s v="GNR_ST_STRW_BP_E-28"/>
    <x v="0"/>
    <x v="14"/>
    <n v="39.655172413793103"/>
    <n v="14474.1379310345"/>
    <n v="52106.896551724203"/>
  </r>
  <r>
    <x v="0"/>
    <x v="0"/>
    <x v="0"/>
    <x v="0"/>
    <x v="1"/>
    <s v="DK2_Rural"/>
    <x v="4"/>
    <s v="GNR_ST_STRW_BP_E-28"/>
    <x v="0"/>
    <x v="15"/>
    <n v="39.655172413793103"/>
    <n v="14474.1379310345"/>
    <n v="52106.896551724203"/>
  </r>
  <r>
    <x v="0"/>
    <x v="0"/>
    <x v="0"/>
    <x v="0"/>
    <x v="1"/>
    <s v="DK2_Rural"/>
    <x v="4"/>
    <s v="GNR_ST_STRW_BP_E-28"/>
    <x v="0"/>
    <x v="16"/>
    <n v="39.655172413793103"/>
    <n v="14474.1379310345"/>
    <n v="52106.896551724203"/>
  </r>
  <r>
    <x v="0"/>
    <x v="0"/>
    <x v="0"/>
    <x v="0"/>
    <x v="1"/>
    <s v="DK2_Rural"/>
    <x v="4"/>
    <s v="GNR_ST_STRW_BP_E-28"/>
    <x v="0"/>
    <x v="17"/>
    <n v="39.655172413793103"/>
    <n v="14474.1379310345"/>
    <n v="52106.896551724203"/>
  </r>
  <r>
    <x v="0"/>
    <x v="0"/>
    <x v="0"/>
    <x v="0"/>
    <x v="1"/>
    <s v="DK2_Rural"/>
    <x v="4"/>
    <s v="GNR_ST_STRW_BP_E-28"/>
    <x v="0"/>
    <x v="18"/>
    <n v="39.655172413793103"/>
    <n v="14474.1379310345"/>
    <n v="52106.896551724203"/>
  </r>
  <r>
    <x v="0"/>
    <x v="0"/>
    <x v="0"/>
    <x v="0"/>
    <x v="1"/>
    <s v="DK2_Rural"/>
    <x v="4"/>
    <s v="GNR_ST_STRW_BP_E-28"/>
    <x v="0"/>
    <x v="19"/>
    <n v="39.655172413793103"/>
    <n v="14474.1379310345"/>
    <n v="52106.896551724203"/>
  </r>
  <r>
    <x v="0"/>
    <x v="0"/>
    <x v="0"/>
    <x v="0"/>
    <x v="1"/>
    <s v="DK2_Rural"/>
    <x v="4"/>
    <s v="GNR_ST_STRW_BP_E-28"/>
    <x v="0"/>
    <x v="20"/>
    <n v="39.655172413793103"/>
    <n v="14474.1379310345"/>
    <n v="52106.896551724203"/>
  </r>
  <r>
    <x v="0"/>
    <x v="0"/>
    <x v="0"/>
    <x v="0"/>
    <x v="1"/>
    <s v="DK2_Rural"/>
    <x v="4"/>
    <s v="GNR_ST_STRW_BP_E-28"/>
    <x v="0"/>
    <x v="21"/>
    <n v="39.655172413793103"/>
    <n v="14474.1379310345"/>
    <n v="52106.896551724203"/>
  </r>
  <r>
    <x v="0"/>
    <x v="0"/>
    <x v="0"/>
    <x v="0"/>
    <x v="1"/>
    <s v="DK2_Rural"/>
    <x v="4"/>
    <s v="GNR_ST_STRW_BP_E-28"/>
    <x v="0"/>
    <x v="22"/>
    <n v="39.655172413793103"/>
    <n v="14474.1379310345"/>
    <n v="52106.896551724203"/>
  </r>
  <r>
    <x v="0"/>
    <x v="0"/>
    <x v="0"/>
    <x v="0"/>
    <x v="1"/>
    <s v="DK2_Rural"/>
    <x v="4"/>
    <s v="GNR_ST_STRW_BP_E-28"/>
    <x v="0"/>
    <x v="23"/>
    <n v="39.655172413793103"/>
    <n v="14474.1379310345"/>
    <n v="52106.896551724203"/>
  </r>
  <r>
    <x v="0"/>
    <x v="0"/>
    <x v="0"/>
    <x v="0"/>
    <x v="1"/>
    <s v="DK2_Rural"/>
    <x v="2"/>
    <s v="GNR_EH_HEAT"/>
    <x v="0"/>
    <x v="0"/>
    <n v="16.5"/>
    <n v="6022.5"/>
    <n v="21681"/>
  </r>
  <r>
    <x v="0"/>
    <x v="0"/>
    <x v="0"/>
    <x v="0"/>
    <x v="1"/>
    <s v="DK2_Rural"/>
    <x v="2"/>
    <s v="GNR_EH_HEAT"/>
    <x v="0"/>
    <x v="1"/>
    <n v="16.5"/>
    <n v="6022.5"/>
    <n v="21681"/>
  </r>
  <r>
    <x v="0"/>
    <x v="0"/>
    <x v="0"/>
    <x v="0"/>
    <x v="1"/>
    <s v="DK2_Rural"/>
    <x v="2"/>
    <s v="GNR_EH_HEAT"/>
    <x v="0"/>
    <x v="2"/>
    <n v="16.5"/>
    <n v="6022.5"/>
    <n v="21681"/>
  </r>
  <r>
    <x v="0"/>
    <x v="0"/>
    <x v="0"/>
    <x v="0"/>
    <x v="1"/>
    <s v="DK2_Rural"/>
    <x v="2"/>
    <s v="GNR_EH_HEAT"/>
    <x v="0"/>
    <x v="3"/>
    <n v="16.5"/>
    <n v="6022.5"/>
    <n v="21681"/>
  </r>
  <r>
    <x v="0"/>
    <x v="0"/>
    <x v="0"/>
    <x v="0"/>
    <x v="1"/>
    <s v="DK2_Rural"/>
    <x v="2"/>
    <s v="GNR_EH_HEAT"/>
    <x v="0"/>
    <x v="4"/>
    <n v="16.5"/>
    <n v="6022.5"/>
    <n v="21681"/>
  </r>
  <r>
    <x v="0"/>
    <x v="0"/>
    <x v="0"/>
    <x v="0"/>
    <x v="1"/>
    <s v="DK2_Rural"/>
    <x v="2"/>
    <s v="GNR_EH_HEAT"/>
    <x v="0"/>
    <x v="5"/>
    <n v="16.5"/>
    <n v="6022.5"/>
    <n v="21681"/>
  </r>
  <r>
    <x v="0"/>
    <x v="0"/>
    <x v="0"/>
    <x v="0"/>
    <x v="1"/>
    <s v="DK2_Rural"/>
    <x v="2"/>
    <s v="GNR_EH_HEAT"/>
    <x v="0"/>
    <x v="6"/>
    <n v="16.5"/>
    <n v="6022.5"/>
    <n v="21681"/>
  </r>
  <r>
    <x v="0"/>
    <x v="0"/>
    <x v="0"/>
    <x v="0"/>
    <x v="1"/>
    <s v="DK2_Rural"/>
    <x v="2"/>
    <s v="GNR_EH_HEAT"/>
    <x v="0"/>
    <x v="7"/>
    <n v="16.5"/>
    <n v="6022.5"/>
    <n v="21681"/>
  </r>
  <r>
    <x v="0"/>
    <x v="0"/>
    <x v="0"/>
    <x v="0"/>
    <x v="1"/>
    <s v="DK2_Rural"/>
    <x v="2"/>
    <s v="GNR_EH_HEAT"/>
    <x v="0"/>
    <x v="8"/>
    <n v="16.5"/>
    <n v="6022.5"/>
    <n v="21681"/>
  </r>
  <r>
    <x v="0"/>
    <x v="0"/>
    <x v="0"/>
    <x v="0"/>
    <x v="1"/>
    <s v="DK2_Rural"/>
    <x v="2"/>
    <s v="GNR_EH_HEAT"/>
    <x v="0"/>
    <x v="9"/>
    <n v="16.5"/>
    <n v="6022.5"/>
    <n v="21681"/>
  </r>
  <r>
    <x v="0"/>
    <x v="0"/>
    <x v="0"/>
    <x v="0"/>
    <x v="1"/>
    <s v="DK2_Rural"/>
    <x v="2"/>
    <s v="GNR_EH_HEAT"/>
    <x v="0"/>
    <x v="10"/>
    <n v="16.5"/>
    <n v="6022.5"/>
    <n v="21681"/>
  </r>
  <r>
    <x v="0"/>
    <x v="0"/>
    <x v="0"/>
    <x v="0"/>
    <x v="1"/>
    <s v="DK2_Rural"/>
    <x v="2"/>
    <s v="GNR_EH_HEAT"/>
    <x v="0"/>
    <x v="11"/>
    <n v="16.5"/>
    <n v="6022.5"/>
    <n v="21681"/>
  </r>
  <r>
    <x v="0"/>
    <x v="0"/>
    <x v="0"/>
    <x v="0"/>
    <x v="1"/>
    <s v="DK2_Rural"/>
    <x v="2"/>
    <s v="GNR_EH_HEAT"/>
    <x v="0"/>
    <x v="12"/>
    <n v="16.5"/>
    <n v="6022.5"/>
    <n v="21681"/>
  </r>
  <r>
    <x v="0"/>
    <x v="0"/>
    <x v="0"/>
    <x v="0"/>
    <x v="1"/>
    <s v="DK2_Rural"/>
    <x v="2"/>
    <s v="GNR_EH_HEAT"/>
    <x v="0"/>
    <x v="13"/>
    <n v="16.5"/>
    <n v="6022.5"/>
    <n v="21681"/>
  </r>
  <r>
    <x v="0"/>
    <x v="0"/>
    <x v="0"/>
    <x v="0"/>
    <x v="1"/>
    <s v="DK2_Rural"/>
    <x v="2"/>
    <s v="GNR_EH_HEAT"/>
    <x v="0"/>
    <x v="14"/>
    <n v="16.5"/>
    <n v="6022.5"/>
    <n v="21681"/>
  </r>
  <r>
    <x v="0"/>
    <x v="0"/>
    <x v="0"/>
    <x v="0"/>
    <x v="1"/>
    <s v="DK2_Rural"/>
    <x v="2"/>
    <s v="GNR_EH_HEAT"/>
    <x v="0"/>
    <x v="15"/>
    <n v="16.5"/>
    <n v="6022.5"/>
    <n v="21681"/>
  </r>
  <r>
    <x v="0"/>
    <x v="0"/>
    <x v="0"/>
    <x v="0"/>
    <x v="1"/>
    <s v="DK2_Rural"/>
    <x v="2"/>
    <s v="GNR_EH_HEAT"/>
    <x v="0"/>
    <x v="16"/>
    <n v="16.5"/>
    <n v="6022.5"/>
    <n v="21681"/>
  </r>
  <r>
    <x v="0"/>
    <x v="0"/>
    <x v="0"/>
    <x v="0"/>
    <x v="1"/>
    <s v="DK2_Rural"/>
    <x v="2"/>
    <s v="GNR_EH_HEAT"/>
    <x v="0"/>
    <x v="17"/>
    <n v="16.5"/>
    <n v="6022.5"/>
    <n v="21681"/>
  </r>
  <r>
    <x v="0"/>
    <x v="0"/>
    <x v="0"/>
    <x v="0"/>
    <x v="1"/>
    <s v="DK2_Rural"/>
    <x v="2"/>
    <s v="GNR_EH_HEAT"/>
    <x v="0"/>
    <x v="18"/>
    <n v="16.5"/>
    <n v="6022.5"/>
    <n v="21681"/>
  </r>
  <r>
    <x v="0"/>
    <x v="0"/>
    <x v="0"/>
    <x v="0"/>
    <x v="1"/>
    <s v="DK2_Rural"/>
    <x v="2"/>
    <s v="GNR_EH_HEAT"/>
    <x v="0"/>
    <x v="19"/>
    <n v="16.5"/>
    <n v="6022.5"/>
    <n v="21681"/>
  </r>
  <r>
    <x v="0"/>
    <x v="0"/>
    <x v="0"/>
    <x v="0"/>
    <x v="1"/>
    <s v="DK2_Rural"/>
    <x v="2"/>
    <s v="GNR_EH_HEAT"/>
    <x v="0"/>
    <x v="20"/>
    <n v="16.5"/>
    <n v="6022.5"/>
    <n v="21681"/>
  </r>
  <r>
    <x v="0"/>
    <x v="0"/>
    <x v="0"/>
    <x v="0"/>
    <x v="1"/>
    <s v="DK2_Rural"/>
    <x v="2"/>
    <s v="GNR_EH_HEAT"/>
    <x v="0"/>
    <x v="21"/>
    <n v="16.5"/>
    <n v="6022.5"/>
    <n v="21681"/>
  </r>
  <r>
    <x v="0"/>
    <x v="0"/>
    <x v="0"/>
    <x v="0"/>
    <x v="1"/>
    <s v="DK2_Rural"/>
    <x v="2"/>
    <s v="GNR_EH_HEAT"/>
    <x v="0"/>
    <x v="22"/>
    <n v="16.5"/>
    <n v="6022.5"/>
    <n v="21681"/>
  </r>
  <r>
    <x v="0"/>
    <x v="0"/>
    <x v="0"/>
    <x v="0"/>
    <x v="1"/>
    <s v="DK2_Rural"/>
    <x v="2"/>
    <s v="GNR_EH_HEAT"/>
    <x v="0"/>
    <x v="23"/>
    <n v="16.5"/>
    <n v="6022.5"/>
    <n v="21681"/>
  </r>
  <r>
    <x v="0"/>
    <x v="0"/>
    <x v="0"/>
    <x v="0"/>
    <x v="1"/>
    <s v="DK2_Rural"/>
    <x v="9"/>
    <s v="GNR_BO_WOODWST_E-100"/>
    <x v="0"/>
    <x v="0"/>
    <n v="6.3"/>
    <n v="2299.5"/>
    <n v="8278.2000000000007"/>
  </r>
  <r>
    <x v="0"/>
    <x v="0"/>
    <x v="0"/>
    <x v="0"/>
    <x v="1"/>
    <s v="DK2_Rural"/>
    <x v="9"/>
    <s v="GNR_BO_WOODWST_E-100"/>
    <x v="0"/>
    <x v="1"/>
    <n v="6.3"/>
    <n v="2299.5"/>
    <n v="8278.2000000000007"/>
  </r>
  <r>
    <x v="0"/>
    <x v="0"/>
    <x v="0"/>
    <x v="0"/>
    <x v="1"/>
    <s v="DK2_Rural"/>
    <x v="9"/>
    <s v="GNR_BO_WOODWST_E-100"/>
    <x v="0"/>
    <x v="2"/>
    <n v="6.3"/>
    <n v="2299.5"/>
    <n v="8278.2000000000007"/>
  </r>
  <r>
    <x v="0"/>
    <x v="0"/>
    <x v="0"/>
    <x v="0"/>
    <x v="1"/>
    <s v="DK2_Rural"/>
    <x v="9"/>
    <s v="GNR_BO_WOODWST_E-100"/>
    <x v="0"/>
    <x v="3"/>
    <n v="6.3"/>
    <n v="2299.5"/>
    <n v="8278.2000000000007"/>
  </r>
  <r>
    <x v="0"/>
    <x v="0"/>
    <x v="0"/>
    <x v="0"/>
    <x v="1"/>
    <s v="DK2_Rural"/>
    <x v="9"/>
    <s v="GNR_BO_WOODWST_E-100"/>
    <x v="0"/>
    <x v="4"/>
    <n v="6.3"/>
    <n v="2299.5"/>
    <n v="8278.2000000000007"/>
  </r>
  <r>
    <x v="0"/>
    <x v="0"/>
    <x v="0"/>
    <x v="0"/>
    <x v="1"/>
    <s v="DK2_Rural"/>
    <x v="9"/>
    <s v="GNR_BO_WOODWST_E-100"/>
    <x v="0"/>
    <x v="5"/>
    <n v="6.3"/>
    <n v="2299.5"/>
    <n v="8278.2000000000007"/>
  </r>
  <r>
    <x v="0"/>
    <x v="0"/>
    <x v="0"/>
    <x v="0"/>
    <x v="1"/>
    <s v="DK2_Rural"/>
    <x v="9"/>
    <s v="GNR_BO_WOODWST_E-100"/>
    <x v="0"/>
    <x v="6"/>
    <n v="6.3"/>
    <n v="2299.5"/>
    <n v="8278.2000000000007"/>
  </r>
  <r>
    <x v="0"/>
    <x v="0"/>
    <x v="0"/>
    <x v="0"/>
    <x v="1"/>
    <s v="DK2_Rural"/>
    <x v="9"/>
    <s v="GNR_BO_WOODWST_E-100"/>
    <x v="0"/>
    <x v="7"/>
    <n v="6.3"/>
    <n v="2299.5"/>
    <n v="8278.2000000000007"/>
  </r>
  <r>
    <x v="0"/>
    <x v="0"/>
    <x v="0"/>
    <x v="0"/>
    <x v="1"/>
    <s v="DK2_Rural"/>
    <x v="9"/>
    <s v="GNR_BO_WOODWST_E-100"/>
    <x v="0"/>
    <x v="8"/>
    <n v="6.3"/>
    <n v="2299.5"/>
    <n v="8278.2000000000007"/>
  </r>
  <r>
    <x v="0"/>
    <x v="0"/>
    <x v="0"/>
    <x v="0"/>
    <x v="1"/>
    <s v="DK2_Rural"/>
    <x v="9"/>
    <s v="GNR_BO_WOODWST_E-100"/>
    <x v="0"/>
    <x v="9"/>
    <n v="6.3"/>
    <n v="2299.5"/>
    <n v="8278.2000000000007"/>
  </r>
  <r>
    <x v="0"/>
    <x v="0"/>
    <x v="0"/>
    <x v="0"/>
    <x v="1"/>
    <s v="DK2_Rural"/>
    <x v="9"/>
    <s v="GNR_BO_WOODWST_E-100"/>
    <x v="0"/>
    <x v="10"/>
    <n v="6.3"/>
    <n v="2299.5"/>
    <n v="8278.2000000000007"/>
  </r>
  <r>
    <x v="0"/>
    <x v="0"/>
    <x v="0"/>
    <x v="0"/>
    <x v="1"/>
    <s v="DK2_Rural"/>
    <x v="9"/>
    <s v="GNR_BO_WOODWST_E-100"/>
    <x v="0"/>
    <x v="11"/>
    <n v="6.3"/>
    <n v="2299.5"/>
    <n v="8278.2000000000007"/>
  </r>
  <r>
    <x v="0"/>
    <x v="0"/>
    <x v="0"/>
    <x v="0"/>
    <x v="1"/>
    <s v="DK2_Rural"/>
    <x v="9"/>
    <s v="GNR_BO_WOODWST_E-100"/>
    <x v="0"/>
    <x v="12"/>
    <n v="6.3"/>
    <n v="2299.5"/>
    <n v="8278.2000000000007"/>
  </r>
  <r>
    <x v="0"/>
    <x v="0"/>
    <x v="0"/>
    <x v="0"/>
    <x v="1"/>
    <s v="DK2_Rural"/>
    <x v="9"/>
    <s v="GNR_BO_WOODWST_E-100"/>
    <x v="0"/>
    <x v="13"/>
    <n v="6.3"/>
    <n v="2299.5"/>
    <n v="8278.2000000000007"/>
  </r>
  <r>
    <x v="0"/>
    <x v="0"/>
    <x v="0"/>
    <x v="0"/>
    <x v="1"/>
    <s v="DK2_Rural"/>
    <x v="9"/>
    <s v="GNR_BO_WOODWST_E-100"/>
    <x v="0"/>
    <x v="14"/>
    <n v="6.3"/>
    <n v="2299.5"/>
    <n v="8278.2000000000007"/>
  </r>
  <r>
    <x v="0"/>
    <x v="0"/>
    <x v="0"/>
    <x v="0"/>
    <x v="1"/>
    <s v="DK2_Rural"/>
    <x v="9"/>
    <s v="GNR_BO_WOODWST_E-100"/>
    <x v="0"/>
    <x v="15"/>
    <n v="6.3"/>
    <n v="2299.5"/>
    <n v="8278.2000000000007"/>
  </r>
  <r>
    <x v="0"/>
    <x v="0"/>
    <x v="0"/>
    <x v="0"/>
    <x v="1"/>
    <s v="DK2_Rural"/>
    <x v="9"/>
    <s v="GNR_BO_WOODWST_E-100"/>
    <x v="0"/>
    <x v="16"/>
    <n v="6.3"/>
    <n v="2299.5"/>
    <n v="8278.2000000000007"/>
  </r>
  <r>
    <x v="0"/>
    <x v="0"/>
    <x v="0"/>
    <x v="0"/>
    <x v="1"/>
    <s v="DK2_Rural"/>
    <x v="9"/>
    <s v="GNR_BO_WOODWST_E-100"/>
    <x v="0"/>
    <x v="17"/>
    <n v="6.3"/>
    <n v="2299.5"/>
    <n v="8278.2000000000007"/>
  </r>
  <r>
    <x v="0"/>
    <x v="0"/>
    <x v="0"/>
    <x v="0"/>
    <x v="1"/>
    <s v="DK2_Rural"/>
    <x v="9"/>
    <s v="GNR_BO_WOODWST_E-100"/>
    <x v="0"/>
    <x v="18"/>
    <n v="6.3"/>
    <n v="2299.5"/>
    <n v="8278.2000000000007"/>
  </r>
  <r>
    <x v="0"/>
    <x v="0"/>
    <x v="0"/>
    <x v="0"/>
    <x v="1"/>
    <s v="DK2_Rural"/>
    <x v="9"/>
    <s v="GNR_BO_WOODWST_E-100"/>
    <x v="0"/>
    <x v="19"/>
    <n v="6.3"/>
    <n v="2299.5"/>
    <n v="8278.2000000000007"/>
  </r>
  <r>
    <x v="0"/>
    <x v="0"/>
    <x v="0"/>
    <x v="0"/>
    <x v="1"/>
    <s v="DK2_Rural"/>
    <x v="9"/>
    <s v="GNR_BO_WOODWST_E-100"/>
    <x v="0"/>
    <x v="20"/>
    <n v="6.3"/>
    <n v="2299.5"/>
    <n v="8278.2000000000007"/>
  </r>
  <r>
    <x v="0"/>
    <x v="0"/>
    <x v="0"/>
    <x v="0"/>
    <x v="1"/>
    <s v="DK2_Rural"/>
    <x v="9"/>
    <s v="GNR_BO_WOODWST_E-100"/>
    <x v="0"/>
    <x v="21"/>
    <n v="6.3"/>
    <n v="2299.5"/>
    <n v="8278.2000000000007"/>
  </r>
  <r>
    <x v="0"/>
    <x v="0"/>
    <x v="0"/>
    <x v="0"/>
    <x v="1"/>
    <s v="DK2_Rural"/>
    <x v="9"/>
    <s v="GNR_BO_WOODWST_E-100"/>
    <x v="0"/>
    <x v="22"/>
    <n v="6.3"/>
    <n v="2299.5"/>
    <n v="8278.2000000000007"/>
  </r>
  <r>
    <x v="0"/>
    <x v="0"/>
    <x v="0"/>
    <x v="0"/>
    <x v="1"/>
    <s v="DK2_Rural"/>
    <x v="9"/>
    <s v="GNR_BO_WOODWST_E-100"/>
    <x v="0"/>
    <x v="23"/>
    <n v="6.3"/>
    <n v="2299.5"/>
    <n v="8278.2000000000007"/>
  </r>
  <r>
    <x v="0"/>
    <x v="0"/>
    <x v="0"/>
    <x v="0"/>
    <x v="1"/>
    <s v="DK2_Small"/>
    <x v="1"/>
    <s v="GNR_BO_MSW_E-105"/>
    <x v="0"/>
    <x v="0"/>
    <n v="3.1428571428571401"/>
    <n v="1147.1428571428601"/>
    <n v="4129.7142857142899"/>
  </r>
  <r>
    <x v="0"/>
    <x v="0"/>
    <x v="0"/>
    <x v="0"/>
    <x v="1"/>
    <s v="DK2_Small"/>
    <x v="1"/>
    <s v="GNR_BO_MSW_E-105"/>
    <x v="0"/>
    <x v="1"/>
    <n v="3.1428571428571401"/>
    <n v="1147.1428571428601"/>
    <n v="4129.7142857142899"/>
  </r>
  <r>
    <x v="0"/>
    <x v="0"/>
    <x v="0"/>
    <x v="0"/>
    <x v="1"/>
    <s v="DK2_Small"/>
    <x v="1"/>
    <s v="GNR_BO_MSW_E-105"/>
    <x v="0"/>
    <x v="2"/>
    <n v="3.1428571428571401"/>
    <n v="1147.1428571428601"/>
    <n v="4129.7142857142899"/>
  </r>
  <r>
    <x v="0"/>
    <x v="0"/>
    <x v="0"/>
    <x v="0"/>
    <x v="1"/>
    <s v="DK2_Small"/>
    <x v="1"/>
    <s v="GNR_BO_MSW_E-105"/>
    <x v="0"/>
    <x v="3"/>
    <n v="3.1428571428571401"/>
    <n v="1147.1428571428601"/>
    <n v="4129.7142857142899"/>
  </r>
  <r>
    <x v="0"/>
    <x v="0"/>
    <x v="0"/>
    <x v="0"/>
    <x v="1"/>
    <s v="DK2_Small"/>
    <x v="1"/>
    <s v="GNR_BO_MSW_E-105"/>
    <x v="0"/>
    <x v="4"/>
    <n v="3.1428571428571401"/>
    <n v="1147.1428571428601"/>
    <n v="4129.7142857142899"/>
  </r>
  <r>
    <x v="0"/>
    <x v="0"/>
    <x v="0"/>
    <x v="0"/>
    <x v="1"/>
    <s v="DK2_Small"/>
    <x v="1"/>
    <s v="GNR_BO_MSW_E-105"/>
    <x v="0"/>
    <x v="5"/>
    <n v="3.1428571428571401"/>
    <n v="1147.1428571428601"/>
    <n v="4129.7142857142899"/>
  </r>
  <r>
    <x v="0"/>
    <x v="0"/>
    <x v="0"/>
    <x v="0"/>
    <x v="1"/>
    <s v="DK2_Small"/>
    <x v="1"/>
    <s v="GNR_BO_MSW_E-105"/>
    <x v="0"/>
    <x v="6"/>
    <n v="3.1428571428571401"/>
    <n v="1147.1428571428601"/>
    <n v="4129.7142857142899"/>
  </r>
  <r>
    <x v="0"/>
    <x v="0"/>
    <x v="0"/>
    <x v="0"/>
    <x v="1"/>
    <s v="DK2_Small"/>
    <x v="1"/>
    <s v="GNR_BO_MSW_E-105"/>
    <x v="0"/>
    <x v="7"/>
    <n v="3.1428571428571401"/>
    <n v="1147.1428571428601"/>
    <n v="4129.7142857142899"/>
  </r>
  <r>
    <x v="0"/>
    <x v="0"/>
    <x v="0"/>
    <x v="0"/>
    <x v="1"/>
    <s v="DK2_Small"/>
    <x v="1"/>
    <s v="GNR_BO_MSW_E-105"/>
    <x v="0"/>
    <x v="8"/>
    <n v="3.1428571428571401"/>
    <n v="1147.1428571428601"/>
    <n v="4129.7142857142899"/>
  </r>
  <r>
    <x v="0"/>
    <x v="0"/>
    <x v="0"/>
    <x v="0"/>
    <x v="1"/>
    <s v="DK2_Small"/>
    <x v="1"/>
    <s v="GNR_BO_MSW_E-105"/>
    <x v="0"/>
    <x v="9"/>
    <n v="3.1428571428571401"/>
    <n v="1147.1428571428601"/>
    <n v="4129.7142857142899"/>
  </r>
  <r>
    <x v="0"/>
    <x v="0"/>
    <x v="0"/>
    <x v="0"/>
    <x v="1"/>
    <s v="DK2_Small"/>
    <x v="1"/>
    <s v="GNR_BO_MSW_E-105"/>
    <x v="0"/>
    <x v="10"/>
    <n v="3.1428571428571401"/>
    <n v="1147.1428571428601"/>
    <n v="4129.7142857142899"/>
  </r>
  <r>
    <x v="0"/>
    <x v="0"/>
    <x v="0"/>
    <x v="0"/>
    <x v="1"/>
    <s v="DK2_Small"/>
    <x v="1"/>
    <s v="GNR_BO_MSW_E-105"/>
    <x v="0"/>
    <x v="11"/>
    <n v="3.1428571428571401"/>
    <n v="1147.1428571428601"/>
    <n v="4129.7142857142899"/>
  </r>
  <r>
    <x v="0"/>
    <x v="0"/>
    <x v="0"/>
    <x v="0"/>
    <x v="1"/>
    <s v="DK2_Small"/>
    <x v="1"/>
    <s v="GNR_BO_MSW_E-105"/>
    <x v="0"/>
    <x v="12"/>
    <n v="3.1428571428571401"/>
    <n v="1147.1428571428601"/>
    <n v="4129.7142857142899"/>
  </r>
  <r>
    <x v="0"/>
    <x v="0"/>
    <x v="0"/>
    <x v="0"/>
    <x v="1"/>
    <s v="DK2_Small"/>
    <x v="1"/>
    <s v="GNR_BO_MSW_E-105"/>
    <x v="0"/>
    <x v="13"/>
    <n v="3.1428571428571401"/>
    <n v="1147.1428571428601"/>
    <n v="4129.7142857142899"/>
  </r>
  <r>
    <x v="0"/>
    <x v="0"/>
    <x v="0"/>
    <x v="0"/>
    <x v="1"/>
    <s v="DK2_Small"/>
    <x v="1"/>
    <s v="GNR_BO_MSW_E-105"/>
    <x v="0"/>
    <x v="14"/>
    <n v="3.1428571428571401"/>
    <n v="1147.1428571428601"/>
    <n v="4129.7142857142899"/>
  </r>
  <r>
    <x v="0"/>
    <x v="0"/>
    <x v="0"/>
    <x v="0"/>
    <x v="1"/>
    <s v="DK2_Small"/>
    <x v="1"/>
    <s v="GNR_BO_MSW_E-105"/>
    <x v="0"/>
    <x v="15"/>
    <n v="3.1428571428571401"/>
    <n v="1147.1428571428601"/>
    <n v="4129.7142857142899"/>
  </r>
  <r>
    <x v="0"/>
    <x v="0"/>
    <x v="0"/>
    <x v="0"/>
    <x v="1"/>
    <s v="DK2_Small"/>
    <x v="1"/>
    <s v="GNR_BO_MSW_E-105"/>
    <x v="0"/>
    <x v="16"/>
    <n v="3.1428571428571401"/>
    <n v="1147.1428571428601"/>
    <n v="4129.7142857142899"/>
  </r>
  <r>
    <x v="0"/>
    <x v="0"/>
    <x v="0"/>
    <x v="0"/>
    <x v="1"/>
    <s v="DK2_Small"/>
    <x v="1"/>
    <s v="GNR_BO_MSW_E-105"/>
    <x v="0"/>
    <x v="17"/>
    <n v="3.1428571428571401"/>
    <n v="1147.1428571428601"/>
    <n v="4129.7142857142899"/>
  </r>
  <r>
    <x v="0"/>
    <x v="0"/>
    <x v="0"/>
    <x v="0"/>
    <x v="1"/>
    <s v="DK2_Small"/>
    <x v="1"/>
    <s v="GNR_BO_MSW_E-105"/>
    <x v="0"/>
    <x v="18"/>
    <n v="3.1428571428571401"/>
    <n v="1147.1428571428601"/>
    <n v="4129.7142857142899"/>
  </r>
  <r>
    <x v="0"/>
    <x v="0"/>
    <x v="0"/>
    <x v="0"/>
    <x v="1"/>
    <s v="DK2_Small"/>
    <x v="1"/>
    <s v="GNR_BO_MSW_E-105"/>
    <x v="0"/>
    <x v="19"/>
    <n v="3.1428571428571401"/>
    <n v="1147.1428571428601"/>
    <n v="4129.7142857142899"/>
  </r>
  <r>
    <x v="0"/>
    <x v="0"/>
    <x v="0"/>
    <x v="0"/>
    <x v="1"/>
    <s v="DK2_Small"/>
    <x v="1"/>
    <s v="GNR_BO_MSW_E-105"/>
    <x v="0"/>
    <x v="20"/>
    <n v="3.1428571428571401"/>
    <n v="1147.1428571428601"/>
    <n v="4129.7142857142899"/>
  </r>
  <r>
    <x v="0"/>
    <x v="0"/>
    <x v="0"/>
    <x v="0"/>
    <x v="1"/>
    <s v="DK2_Small"/>
    <x v="1"/>
    <s v="GNR_BO_MSW_E-105"/>
    <x v="0"/>
    <x v="21"/>
    <n v="3.1428571428571401"/>
    <n v="1147.1428571428601"/>
    <n v="4129.7142857142899"/>
  </r>
  <r>
    <x v="0"/>
    <x v="0"/>
    <x v="0"/>
    <x v="0"/>
    <x v="1"/>
    <s v="DK2_Small"/>
    <x v="1"/>
    <s v="GNR_BO_MSW_E-105"/>
    <x v="0"/>
    <x v="22"/>
    <n v="3.1428571428571401"/>
    <n v="1147.1428571428601"/>
    <n v="4129.7142857142899"/>
  </r>
  <r>
    <x v="0"/>
    <x v="0"/>
    <x v="0"/>
    <x v="0"/>
    <x v="1"/>
    <s v="DK2_Small"/>
    <x v="1"/>
    <s v="GNR_BO_MSW_E-105"/>
    <x v="0"/>
    <x v="23"/>
    <n v="3.1428571428571401"/>
    <n v="1147.1428571428601"/>
    <n v="4129.7142857142899"/>
  </r>
  <r>
    <x v="0"/>
    <x v="0"/>
    <x v="0"/>
    <x v="0"/>
    <x v="1"/>
    <s v="DK2_Small"/>
    <x v="3"/>
    <s v="GNR_BO_NGAS_E-101"/>
    <x v="0"/>
    <x v="5"/>
    <n v="0.290203318055681"/>
    <n v="105.92421109032399"/>
    <n v="381.32715992516501"/>
  </r>
  <r>
    <x v="0"/>
    <x v="0"/>
    <x v="0"/>
    <x v="0"/>
    <x v="1"/>
    <s v="DK2_Small"/>
    <x v="3"/>
    <s v="GNR_BO_NGAS_E-101"/>
    <x v="0"/>
    <x v="6"/>
    <n v="2.2033617263186902"/>
    <n v="804.22703010632097"/>
    <n v="2895.2173083827502"/>
  </r>
  <r>
    <x v="0"/>
    <x v="0"/>
    <x v="0"/>
    <x v="0"/>
    <x v="1"/>
    <s v="DK2_Small"/>
    <x v="3"/>
    <s v="GNR_BO_NGAS_E-101"/>
    <x v="0"/>
    <x v="7"/>
    <n v="4.0328847943297497"/>
    <n v="1472.00294993036"/>
    <n v="5299.2106197492903"/>
  </r>
  <r>
    <x v="0"/>
    <x v="0"/>
    <x v="0"/>
    <x v="0"/>
    <x v="1"/>
    <s v="DK2_Small"/>
    <x v="3"/>
    <s v="GNR_BO_NGAS_E-101"/>
    <x v="0"/>
    <x v="8"/>
    <n v="4.4719703306524101"/>
    <n v="1632.2691706881301"/>
    <n v="5876.1690144772701"/>
  </r>
  <r>
    <x v="0"/>
    <x v="0"/>
    <x v="0"/>
    <x v="0"/>
    <x v="1"/>
    <s v="DK2_Small"/>
    <x v="3"/>
    <s v="GNR_BO_NGAS_E-101"/>
    <x v="0"/>
    <x v="9"/>
    <n v="4.7019675163452304"/>
    <n v="1716.2181434660099"/>
    <n v="6178.3853164776301"/>
  </r>
  <r>
    <x v="0"/>
    <x v="0"/>
    <x v="0"/>
    <x v="0"/>
    <x v="1"/>
    <s v="DK2_Small"/>
    <x v="3"/>
    <s v="GNR_BO_NGAS_E-101"/>
    <x v="0"/>
    <x v="10"/>
    <n v="4.6392410111562796"/>
    <n v="1693.32296907204"/>
    <n v="6095.9626886593496"/>
  </r>
  <r>
    <x v="0"/>
    <x v="0"/>
    <x v="0"/>
    <x v="0"/>
    <x v="1"/>
    <s v="DK2_Small"/>
    <x v="3"/>
    <s v="GNR_BO_NGAS_E-101"/>
    <x v="0"/>
    <x v="11"/>
    <n v="4.6496954286877701"/>
    <n v="1697.13883147104"/>
    <n v="6109.6997932957302"/>
  </r>
  <r>
    <x v="0"/>
    <x v="0"/>
    <x v="0"/>
    <x v="0"/>
    <x v="1"/>
    <s v="DK2_Small"/>
    <x v="3"/>
    <s v="GNR_BO_NGAS_E-101"/>
    <x v="0"/>
    <x v="12"/>
    <n v="4.53469683584136"/>
    <n v="1655.1643450821"/>
    <n v="5958.5916422955497"/>
  </r>
  <r>
    <x v="0"/>
    <x v="0"/>
    <x v="0"/>
    <x v="0"/>
    <x v="1"/>
    <s v="DK2_Small"/>
    <x v="3"/>
    <s v="GNR_BO_NGAS_E-101"/>
    <x v="0"/>
    <x v="13"/>
    <n v="4.0747024644557204"/>
    <n v="1487.2663995263399"/>
    <n v="5354.1590382948198"/>
  </r>
  <r>
    <x v="0"/>
    <x v="0"/>
    <x v="0"/>
    <x v="0"/>
    <x v="1"/>
    <s v="DK2_Small"/>
    <x v="3"/>
    <s v="GNR_BO_NGAS_E-101"/>
    <x v="0"/>
    <x v="14"/>
    <n v="4.2001554748336201"/>
    <n v="1533.05674831427"/>
    <n v="5519.0042939313798"/>
  </r>
  <r>
    <x v="0"/>
    <x v="0"/>
    <x v="0"/>
    <x v="0"/>
    <x v="1"/>
    <s v="DK2_Small"/>
    <x v="3"/>
    <s v="GNR_BO_NGAS_E-101"/>
    <x v="0"/>
    <x v="15"/>
    <n v="4.3256084852115197"/>
    <n v="1578.84709710221"/>
    <n v="5683.8495495679399"/>
  </r>
  <r>
    <x v="0"/>
    <x v="0"/>
    <x v="0"/>
    <x v="0"/>
    <x v="1"/>
    <s v="DK2_Small"/>
    <x v="3"/>
    <s v="GNR_BO_NGAS_E-101"/>
    <x v="0"/>
    <x v="16"/>
    <n v="4.5660600884358402"/>
    <n v="1666.6119322790801"/>
    <n v="5999.8029562046904"/>
  </r>
  <r>
    <x v="0"/>
    <x v="0"/>
    <x v="0"/>
    <x v="0"/>
    <x v="1"/>
    <s v="DK2_Small"/>
    <x v="3"/>
    <s v="GNR_BO_NGAS_E-101"/>
    <x v="0"/>
    <x v="17"/>
    <n v="4.5137880007783799"/>
    <n v="1647.53262028411"/>
    <n v="5931.1174330227896"/>
  </r>
  <r>
    <x v="0"/>
    <x v="0"/>
    <x v="0"/>
    <x v="0"/>
    <x v="1"/>
    <s v="DK2_Small"/>
    <x v="3"/>
    <s v="GNR_BO_NGAS_E-101"/>
    <x v="0"/>
    <x v="18"/>
    <n v="4.55560567090434"/>
    <n v="1662.79606988009"/>
    <n v="5986.0658515683099"/>
  </r>
  <r>
    <x v="0"/>
    <x v="0"/>
    <x v="0"/>
    <x v="0"/>
    <x v="1"/>
    <s v="DK2_Small"/>
    <x v="3"/>
    <s v="GNR_BO_NGAS_E-101"/>
    <x v="0"/>
    <x v="19"/>
    <n v="4.5137880007783799"/>
    <n v="1647.53262028411"/>
    <n v="5931.1174330227896"/>
  </r>
  <r>
    <x v="0"/>
    <x v="0"/>
    <x v="0"/>
    <x v="0"/>
    <x v="1"/>
    <s v="DK2_Small"/>
    <x v="3"/>
    <s v="GNR_BO_NGAS_E-101"/>
    <x v="0"/>
    <x v="20"/>
    <n v="4.2837908150855597"/>
    <n v="1563.5836475062299"/>
    <n v="5628.9011310224196"/>
  </r>
  <r>
    <x v="0"/>
    <x v="0"/>
    <x v="0"/>
    <x v="0"/>
    <x v="1"/>
    <s v="DK2_Small"/>
    <x v="3"/>
    <s v="GNR_BO_NGAS_E-101"/>
    <x v="0"/>
    <x v="21"/>
    <n v="2.8828988658656498"/>
    <n v="1052.2580860409601"/>
    <n v="3788.12910974747"/>
  </r>
  <r>
    <x v="0"/>
    <x v="0"/>
    <x v="0"/>
    <x v="0"/>
    <x v="1"/>
    <s v="DK2_Small"/>
    <x v="3"/>
    <s v="GNR_BO_NGAS_E-101"/>
    <x v="0"/>
    <x v="22"/>
    <n v="2.7783546905507301"/>
    <n v="1014.0994620510201"/>
    <n v="3650.7580633836701"/>
  </r>
  <r>
    <x v="0"/>
    <x v="0"/>
    <x v="0"/>
    <x v="0"/>
    <x v="1"/>
    <s v="DK2_Small"/>
    <x v="3"/>
    <s v="GNR_BO_NGAS_E-101"/>
    <x v="0"/>
    <x v="23"/>
    <n v="2.5169942522634399"/>
    <n v="918.70290207615597"/>
    <n v="3307.3304474741599"/>
  </r>
  <r>
    <x v="0"/>
    <x v="0"/>
    <x v="0"/>
    <x v="0"/>
    <x v="1"/>
    <s v="DK2_Small"/>
    <x v="3"/>
    <s v="GNR_BO_NGAS_E-104"/>
    <x v="0"/>
    <x v="0"/>
    <n v="4.2934204479768301"/>
    <n v="1567.0984635115401"/>
    <n v="5641.5544686415496"/>
  </r>
  <r>
    <x v="0"/>
    <x v="0"/>
    <x v="0"/>
    <x v="0"/>
    <x v="1"/>
    <s v="DK2_Small"/>
    <x v="3"/>
    <s v="GNR_BO_NGAS_E-104"/>
    <x v="0"/>
    <x v="1"/>
    <n v="4.1411277310517303"/>
    <n v="1511.5116218338801"/>
    <n v="5441.4418386019697"/>
  </r>
  <r>
    <x v="0"/>
    <x v="0"/>
    <x v="0"/>
    <x v="0"/>
    <x v="1"/>
    <s v="DK2_Small"/>
    <x v="3"/>
    <s v="GNR_BO_NGAS_E-104"/>
    <x v="0"/>
    <x v="2"/>
    <n v="4.0294464053066603"/>
    <n v="1470.7479379369299"/>
    <n v="5294.6925765729502"/>
  </r>
  <r>
    <x v="0"/>
    <x v="0"/>
    <x v="0"/>
    <x v="0"/>
    <x v="1"/>
    <s v="DK2_Small"/>
    <x v="3"/>
    <s v="GNR_BO_NGAS_E-104"/>
    <x v="0"/>
    <x v="3"/>
    <n v="4.1106691876667103"/>
    <n v="1500.3942534983501"/>
    <n v="5401.4193125940601"/>
  </r>
  <r>
    <x v="0"/>
    <x v="0"/>
    <x v="0"/>
    <x v="0"/>
    <x v="1"/>
    <s v="DK2_Small"/>
    <x v="3"/>
    <s v="GNR_BO_NGAS_E-104"/>
    <x v="0"/>
    <x v="4"/>
    <n v="4.5066302516719601"/>
    <n v="1644.92004186027"/>
    <n v="5921.7121506969597"/>
  </r>
  <r>
    <x v="0"/>
    <x v="0"/>
    <x v="0"/>
    <x v="0"/>
    <x v="1"/>
    <s v="DK2_Small"/>
    <x v="3"/>
    <s v="GNR_BO_NGAS_E-104"/>
    <x v="0"/>
    <x v="5"/>
    <n v="4.5192307692307701"/>
    <n v="1649.51923076923"/>
    <n v="5938.2692307692296"/>
  </r>
  <r>
    <x v="0"/>
    <x v="0"/>
    <x v="0"/>
    <x v="0"/>
    <x v="1"/>
    <s v="DK2_Small"/>
    <x v="3"/>
    <s v="GNR_BO_NGAS_E-104"/>
    <x v="0"/>
    <x v="6"/>
    <n v="4.5192307692307701"/>
    <n v="1649.51923076923"/>
    <n v="5938.2692307692296"/>
  </r>
  <r>
    <x v="0"/>
    <x v="0"/>
    <x v="0"/>
    <x v="0"/>
    <x v="1"/>
    <s v="DK2_Small"/>
    <x v="3"/>
    <s v="GNR_BO_NGAS_E-104"/>
    <x v="0"/>
    <x v="7"/>
    <n v="4.5192307692307701"/>
    <n v="1649.51923076923"/>
    <n v="5938.2692307692296"/>
  </r>
  <r>
    <x v="0"/>
    <x v="0"/>
    <x v="0"/>
    <x v="0"/>
    <x v="1"/>
    <s v="DK2_Small"/>
    <x v="3"/>
    <s v="GNR_BO_NGAS_E-104"/>
    <x v="0"/>
    <x v="8"/>
    <n v="4.5192307692307701"/>
    <n v="1649.51923076923"/>
    <n v="5938.2692307692296"/>
  </r>
  <r>
    <x v="0"/>
    <x v="0"/>
    <x v="0"/>
    <x v="0"/>
    <x v="1"/>
    <s v="DK2_Small"/>
    <x v="3"/>
    <s v="GNR_BO_NGAS_E-104"/>
    <x v="0"/>
    <x v="9"/>
    <n v="4.5192307692307701"/>
    <n v="1649.51923076923"/>
    <n v="5938.2692307692296"/>
  </r>
  <r>
    <x v="0"/>
    <x v="0"/>
    <x v="0"/>
    <x v="0"/>
    <x v="1"/>
    <s v="DK2_Small"/>
    <x v="3"/>
    <s v="GNR_BO_NGAS_E-104"/>
    <x v="0"/>
    <x v="10"/>
    <n v="4.5192307692307701"/>
    <n v="1649.51923076923"/>
    <n v="5938.2692307692296"/>
  </r>
  <r>
    <x v="0"/>
    <x v="0"/>
    <x v="0"/>
    <x v="0"/>
    <x v="1"/>
    <s v="DK2_Small"/>
    <x v="3"/>
    <s v="GNR_BO_NGAS_E-104"/>
    <x v="0"/>
    <x v="11"/>
    <n v="4.5192307692307701"/>
    <n v="1649.51923076923"/>
    <n v="5938.2692307692296"/>
  </r>
  <r>
    <x v="0"/>
    <x v="0"/>
    <x v="0"/>
    <x v="0"/>
    <x v="1"/>
    <s v="DK2_Small"/>
    <x v="3"/>
    <s v="GNR_BO_NGAS_E-104"/>
    <x v="0"/>
    <x v="12"/>
    <n v="4.5192307692307701"/>
    <n v="1649.51923076923"/>
    <n v="5938.2692307692296"/>
  </r>
  <r>
    <x v="0"/>
    <x v="0"/>
    <x v="0"/>
    <x v="0"/>
    <x v="1"/>
    <s v="DK2_Small"/>
    <x v="3"/>
    <s v="GNR_BO_NGAS_E-104"/>
    <x v="0"/>
    <x v="13"/>
    <n v="4.5192307692307701"/>
    <n v="1649.51923076923"/>
    <n v="5938.2692307692296"/>
  </r>
  <r>
    <x v="0"/>
    <x v="0"/>
    <x v="0"/>
    <x v="0"/>
    <x v="1"/>
    <s v="DK2_Small"/>
    <x v="3"/>
    <s v="GNR_BO_NGAS_E-104"/>
    <x v="0"/>
    <x v="14"/>
    <n v="4.5192307692307701"/>
    <n v="1649.51923076923"/>
    <n v="5938.2692307692296"/>
  </r>
  <r>
    <x v="0"/>
    <x v="0"/>
    <x v="0"/>
    <x v="0"/>
    <x v="1"/>
    <s v="DK2_Small"/>
    <x v="3"/>
    <s v="GNR_BO_NGAS_E-104"/>
    <x v="0"/>
    <x v="15"/>
    <n v="4.5192307692307701"/>
    <n v="1649.51923076923"/>
    <n v="5938.2692307692296"/>
  </r>
  <r>
    <x v="0"/>
    <x v="0"/>
    <x v="0"/>
    <x v="0"/>
    <x v="1"/>
    <s v="DK2_Small"/>
    <x v="3"/>
    <s v="GNR_BO_NGAS_E-104"/>
    <x v="0"/>
    <x v="16"/>
    <n v="4.5192307692307701"/>
    <n v="1649.51923076923"/>
    <n v="5938.2692307692296"/>
  </r>
  <r>
    <x v="0"/>
    <x v="0"/>
    <x v="0"/>
    <x v="0"/>
    <x v="1"/>
    <s v="DK2_Small"/>
    <x v="3"/>
    <s v="GNR_BO_NGAS_E-104"/>
    <x v="0"/>
    <x v="17"/>
    <n v="4.5192307692307701"/>
    <n v="1649.51923076923"/>
    <n v="5938.2692307692296"/>
  </r>
  <r>
    <x v="0"/>
    <x v="0"/>
    <x v="0"/>
    <x v="0"/>
    <x v="1"/>
    <s v="DK2_Small"/>
    <x v="3"/>
    <s v="GNR_BO_NGAS_E-104"/>
    <x v="0"/>
    <x v="18"/>
    <n v="4.5192307692307701"/>
    <n v="1649.51923076923"/>
    <n v="5938.2692307692296"/>
  </r>
  <r>
    <x v="0"/>
    <x v="0"/>
    <x v="0"/>
    <x v="0"/>
    <x v="1"/>
    <s v="DK2_Small"/>
    <x v="3"/>
    <s v="GNR_BO_NGAS_E-104"/>
    <x v="0"/>
    <x v="19"/>
    <n v="4.5192307692307701"/>
    <n v="1649.51923076923"/>
    <n v="5938.2692307692296"/>
  </r>
  <r>
    <x v="0"/>
    <x v="0"/>
    <x v="0"/>
    <x v="0"/>
    <x v="1"/>
    <s v="DK2_Small"/>
    <x v="3"/>
    <s v="GNR_BO_NGAS_E-104"/>
    <x v="0"/>
    <x v="20"/>
    <n v="4.5192307692307701"/>
    <n v="1649.51923076923"/>
    <n v="5938.2692307692296"/>
  </r>
  <r>
    <x v="0"/>
    <x v="0"/>
    <x v="0"/>
    <x v="0"/>
    <x v="1"/>
    <s v="DK2_Small"/>
    <x v="3"/>
    <s v="GNR_BO_NGAS_E-104"/>
    <x v="0"/>
    <x v="21"/>
    <n v="4.5192307692307701"/>
    <n v="1649.51923076923"/>
    <n v="5938.2692307692296"/>
  </r>
  <r>
    <x v="0"/>
    <x v="0"/>
    <x v="0"/>
    <x v="0"/>
    <x v="1"/>
    <s v="DK2_Small"/>
    <x v="3"/>
    <s v="GNR_BO_NGAS_E-104"/>
    <x v="0"/>
    <x v="22"/>
    <n v="4.5192307692307701"/>
    <n v="1649.51923076923"/>
    <n v="5938.2692307692296"/>
  </r>
  <r>
    <x v="0"/>
    <x v="0"/>
    <x v="0"/>
    <x v="0"/>
    <x v="1"/>
    <s v="DK2_Small"/>
    <x v="3"/>
    <s v="GNR_BO_NGAS_E-104"/>
    <x v="0"/>
    <x v="23"/>
    <n v="4.5192307692307701"/>
    <n v="1649.51923076923"/>
    <n v="5938.2692307692296"/>
  </r>
  <r>
    <x v="0"/>
    <x v="0"/>
    <x v="0"/>
    <x v="0"/>
    <x v="1"/>
    <s v="DK2_Small"/>
    <x v="4"/>
    <s v="GNR_BO_STRW_E-100"/>
    <x v="0"/>
    <x v="0"/>
    <n v="6.5"/>
    <n v="2372.5"/>
    <n v="8541"/>
  </r>
  <r>
    <x v="0"/>
    <x v="0"/>
    <x v="0"/>
    <x v="0"/>
    <x v="1"/>
    <s v="DK2_Small"/>
    <x v="4"/>
    <s v="GNR_BO_STRW_E-100"/>
    <x v="0"/>
    <x v="1"/>
    <n v="6.5"/>
    <n v="2372.5"/>
    <n v="8541"/>
  </r>
  <r>
    <x v="0"/>
    <x v="0"/>
    <x v="0"/>
    <x v="0"/>
    <x v="1"/>
    <s v="DK2_Small"/>
    <x v="4"/>
    <s v="GNR_BO_STRW_E-100"/>
    <x v="0"/>
    <x v="2"/>
    <n v="6.5"/>
    <n v="2372.5"/>
    <n v="8541"/>
  </r>
  <r>
    <x v="0"/>
    <x v="0"/>
    <x v="0"/>
    <x v="0"/>
    <x v="1"/>
    <s v="DK2_Small"/>
    <x v="4"/>
    <s v="GNR_BO_STRW_E-100"/>
    <x v="0"/>
    <x v="3"/>
    <n v="6.5"/>
    <n v="2372.5"/>
    <n v="8541"/>
  </r>
  <r>
    <x v="0"/>
    <x v="0"/>
    <x v="0"/>
    <x v="0"/>
    <x v="1"/>
    <s v="DK2_Small"/>
    <x v="4"/>
    <s v="GNR_BO_STRW_E-100"/>
    <x v="0"/>
    <x v="4"/>
    <n v="6.5"/>
    <n v="2372.5"/>
    <n v="8541"/>
  </r>
  <r>
    <x v="0"/>
    <x v="0"/>
    <x v="0"/>
    <x v="0"/>
    <x v="1"/>
    <s v="DK2_Small"/>
    <x v="4"/>
    <s v="GNR_BO_STRW_E-100"/>
    <x v="0"/>
    <x v="5"/>
    <n v="6.5"/>
    <n v="2372.5"/>
    <n v="8541"/>
  </r>
  <r>
    <x v="0"/>
    <x v="0"/>
    <x v="0"/>
    <x v="0"/>
    <x v="1"/>
    <s v="DK2_Small"/>
    <x v="4"/>
    <s v="GNR_BO_STRW_E-100"/>
    <x v="0"/>
    <x v="6"/>
    <n v="6.5"/>
    <n v="2372.5"/>
    <n v="8541"/>
  </r>
  <r>
    <x v="0"/>
    <x v="0"/>
    <x v="0"/>
    <x v="0"/>
    <x v="1"/>
    <s v="DK2_Small"/>
    <x v="4"/>
    <s v="GNR_BO_STRW_E-100"/>
    <x v="0"/>
    <x v="7"/>
    <n v="6.5"/>
    <n v="2372.5"/>
    <n v="8541"/>
  </r>
  <r>
    <x v="0"/>
    <x v="0"/>
    <x v="0"/>
    <x v="0"/>
    <x v="1"/>
    <s v="DK2_Small"/>
    <x v="4"/>
    <s v="GNR_BO_STRW_E-100"/>
    <x v="0"/>
    <x v="8"/>
    <n v="6.5"/>
    <n v="2372.5"/>
    <n v="8541"/>
  </r>
  <r>
    <x v="0"/>
    <x v="0"/>
    <x v="0"/>
    <x v="0"/>
    <x v="1"/>
    <s v="DK2_Small"/>
    <x v="4"/>
    <s v="GNR_BO_STRW_E-100"/>
    <x v="0"/>
    <x v="9"/>
    <n v="6.5"/>
    <n v="2372.5"/>
    <n v="8541"/>
  </r>
  <r>
    <x v="0"/>
    <x v="0"/>
    <x v="0"/>
    <x v="0"/>
    <x v="1"/>
    <s v="DK2_Small"/>
    <x v="4"/>
    <s v="GNR_BO_STRW_E-100"/>
    <x v="0"/>
    <x v="10"/>
    <n v="6.5"/>
    <n v="2372.5"/>
    <n v="8541"/>
  </r>
  <r>
    <x v="0"/>
    <x v="0"/>
    <x v="0"/>
    <x v="0"/>
    <x v="1"/>
    <s v="DK2_Small"/>
    <x v="4"/>
    <s v="GNR_BO_STRW_E-100"/>
    <x v="0"/>
    <x v="11"/>
    <n v="6.5"/>
    <n v="2372.5"/>
    <n v="8541"/>
  </r>
  <r>
    <x v="0"/>
    <x v="0"/>
    <x v="0"/>
    <x v="0"/>
    <x v="1"/>
    <s v="DK2_Small"/>
    <x v="4"/>
    <s v="GNR_BO_STRW_E-100"/>
    <x v="0"/>
    <x v="12"/>
    <n v="6.5"/>
    <n v="2372.5"/>
    <n v="8541"/>
  </r>
  <r>
    <x v="0"/>
    <x v="0"/>
    <x v="0"/>
    <x v="0"/>
    <x v="1"/>
    <s v="DK2_Small"/>
    <x v="4"/>
    <s v="GNR_BO_STRW_E-100"/>
    <x v="0"/>
    <x v="13"/>
    <n v="6.5"/>
    <n v="2372.5"/>
    <n v="8541"/>
  </r>
  <r>
    <x v="0"/>
    <x v="0"/>
    <x v="0"/>
    <x v="0"/>
    <x v="1"/>
    <s v="DK2_Small"/>
    <x v="4"/>
    <s v="GNR_BO_STRW_E-100"/>
    <x v="0"/>
    <x v="14"/>
    <n v="6.5"/>
    <n v="2372.5"/>
    <n v="8541"/>
  </r>
  <r>
    <x v="0"/>
    <x v="0"/>
    <x v="0"/>
    <x v="0"/>
    <x v="1"/>
    <s v="DK2_Small"/>
    <x v="4"/>
    <s v="GNR_BO_STRW_E-100"/>
    <x v="0"/>
    <x v="15"/>
    <n v="6.5"/>
    <n v="2372.5"/>
    <n v="8541"/>
  </r>
  <r>
    <x v="0"/>
    <x v="0"/>
    <x v="0"/>
    <x v="0"/>
    <x v="1"/>
    <s v="DK2_Small"/>
    <x v="4"/>
    <s v="GNR_BO_STRW_E-100"/>
    <x v="0"/>
    <x v="16"/>
    <n v="6.5"/>
    <n v="2372.5"/>
    <n v="8541"/>
  </r>
  <r>
    <x v="0"/>
    <x v="0"/>
    <x v="0"/>
    <x v="0"/>
    <x v="1"/>
    <s v="DK2_Small"/>
    <x v="4"/>
    <s v="GNR_BO_STRW_E-100"/>
    <x v="0"/>
    <x v="17"/>
    <n v="6.5"/>
    <n v="2372.5"/>
    <n v="8541"/>
  </r>
  <r>
    <x v="0"/>
    <x v="0"/>
    <x v="0"/>
    <x v="0"/>
    <x v="1"/>
    <s v="DK2_Small"/>
    <x v="4"/>
    <s v="GNR_BO_STRW_E-100"/>
    <x v="0"/>
    <x v="18"/>
    <n v="6.5"/>
    <n v="2372.5"/>
    <n v="8541"/>
  </r>
  <r>
    <x v="0"/>
    <x v="0"/>
    <x v="0"/>
    <x v="0"/>
    <x v="1"/>
    <s v="DK2_Small"/>
    <x v="4"/>
    <s v="GNR_BO_STRW_E-100"/>
    <x v="0"/>
    <x v="19"/>
    <n v="6.5"/>
    <n v="2372.5"/>
    <n v="8541"/>
  </r>
  <r>
    <x v="0"/>
    <x v="0"/>
    <x v="0"/>
    <x v="0"/>
    <x v="1"/>
    <s v="DK2_Small"/>
    <x v="4"/>
    <s v="GNR_BO_STRW_E-100"/>
    <x v="0"/>
    <x v="20"/>
    <n v="6.5"/>
    <n v="2372.5"/>
    <n v="8541"/>
  </r>
  <r>
    <x v="0"/>
    <x v="0"/>
    <x v="0"/>
    <x v="0"/>
    <x v="1"/>
    <s v="DK2_Small"/>
    <x v="4"/>
    <s v="GNR_BO_STRW_E-100"/>
    <x v="0"/>
    <x v="21"/>
    <n v="6.5"/>
    <n v="2372.5"/>
    <n v="8541"/>
  </r>
  <r>
    <x v="0"/>
    <x v="0"/>
    <x v="0"/>
    <x v="0"/>
    <x v="1"/>
    <s v="DK2_Small"/>
    <x v="4"/>
    <s v="GNR_BO_STRW_E-100"/>
    <x v="0"/>
    <x v="22"/>
    <n v="6.5"/>
    <n v="2372.5"/>
    <n v="8541"/>
  </r>
  <r>
    <x v="0"/>
    <x v="0"/>
    <x v="0"/>
    <x v="0"/>
    <x v="1"/>
    <s v="DK2_Small"/>
    <x v="4"/>
    <s v="GNR_BO_STRW_E-100"/>
    <x v="0"/>
    <x v="23"/>
    <n v="6.5"/>
    <n v="2372.5"/>
    <n v="8541"/>
  </r>
  <r>
    <x v="0"/>
    <x v="0"/>
    <x v="0"/>
    <x v="1"/>
    <x v="2"/>
    <s v="DE4-E_A"/>
    <x v="10"/>
    <s v="AGG-DE4-E_RES_WTR_PMP"/>
    <x v="0"/>
    <x v="0"/>
    <n v="19320"/>
    <n v="7051800"/>
    <n v="25386480"/>
  </r>
  <r>
    <x v="0"/>
    <x v="0"/>
    <x v="0"/>
    <x v="1"/>
    <x v="2"/>
    <s v="DE4-E_A"/>
    <x v="10"/>
    <s v="AGG-DE4-E_RES_WTR_PMP"/>
    <x v="0"/>
    <x v="1"/>
    <n v="19320"/>
    <n v="7051800"/>
    <n v="25386480"/>
  </r>
  <r>
    <x v="0"/>
    <x v="0"/>
    <x v="0"/>
    <x v="1"/>
    <x v="2"/>
    <s v="DE4-E_A"/>
    <x v="10"/>
    <s v="AGG-DE4-E_RES_WTR_PMP"/>
    <x v="0"/>
    <x v="2"/>
    <n v="19320"/>
    <n v="7051800"/>
    <n v="25386480"/>
  </r>
  <r>
    <x v="0"/>
    <x v="0"/>
    <x v="0"/>
    <x v="1"/>
    <x v="2"/>
    <s v="DE4-E_A"/>
    <x v="10"/>
    <s v="AGG-DE4-E_RES_WTR_PMP"/>
    <x v="0"/>
    <x v="3"/>
    <n v="19320"/>
    <n v="7051800"/>
    <n v="25386480"/>
  </r>
  <r>
    <x v="0"/>
    <x v="0"/>
    <x v="0"/>
    <x v="1"/>
    <x v="2"/>
    <s v="DE4-E_A"/>
    <x v="10"/>
    <s v="AGG-DE4-E_RES_WTR_PMP"/>
    <x v="0"/>
    <x v="4"/>
    <n v="19320"/>
    <n v="7051800"/>
    <n v="25386480"/>
  </r>
  <r>
    <x v="0"/>
    <x v="0"/>
    <x v="0"/>
    <x v="1"/>
    <x v="2"/>
    <s v="DE4-E_A"/>
    <x v="10"/>
    <s v="AGG-DE4-E_RES_WTR_PMP"/>
    <x v="0"/>
    <x v="5"/>
    <n v="19320"/>
    <n v="7051800"/>
    <n v="25386480"/>
  </r>
  <r>
    <x v="0"/>
    <x v="0"/>
    <x v="0"/>
    <x v="1"/>
    <x v="2"/>
    <s v="DE4-E_A"/>
    <x v="10"/>
    <s v="AGG-DE4-E_RES_WTR_PMP"/>
    <x v="0"/>
    <x v="6"/>
    <n v="19320"/>
    <n v="7051800"/>
    <n v="25386480"/>
  </r>
  <r>
    <x v="0"/>
    <x v="0"/>
    <x v="0"/>
    <x v="1"/>
    <x v="2"/>
    <s v="DE4-E_A"/>
    <x v="10"/>
    <s v="AGG-DE4-E_RES_WTR_PMP"/>
    <x v="0"/>
    <x v="7"/>
    <n v="19320"/>
    <n v="7051800"/>
    <n v="25386480"/>
  </r>
  <r>
    <x v="0"/>
    <x v="0"/>
    <x v="0"/>
    <x v="1"/>
    <x v="2"/>
    <s v="DE4-E_A"/>
    <x v="10"/>
    <s v="AGG-DE4-E_RES_WTR_PMP"/>
    <x v="0"/>
    <x v="8"/>
    <n v="19320"/>
    <n v="7051800"/>
    <n v="25386480"/>
  </r>
  <r>
    <x v="0"/>
    <x v="0"/>
    <x v="0"/>
    <x v="1"/>
    <x v="2"/>
    <s v="DE4-E_A"/>
    <x v="10"/>
    <s v="AGG-DE4-E_RES_WTR_PMP"/>
    <x v="0"/>
    <x v="9"/>
    <n v="19320"/>
    <n v="7051800"/>
    <n v="25386480"/>
  </r>
  <r>
    <x v="0"/>
    <x v="0"/>
    <x v="0"/>
    <x v="1"/>
    <x v="2"/>
    <s v="DE4-E_A"/>
    <x v="10"/>
    <s v="AGG-DE4-E_RES_WTR_PMP"/>
    <x v="0"/>
    <x v="10"/>
    <n v="19320"/>
    <n v="7051800"/>
    <n v="25386480"/>
  </r>
  <r>
    <x v="0"/>
    <x v="0"/>
    <x v="0"/>
    <x v="1"/>
    <x v="2"/>
    <s v="DE4-E_A"/>
    <x v="10"/>
    <s v="AGG-DE4-E_RES_WTR_PMP"/>
    <x v="0"/>
    <x v="11"/>
    <n v="19320"/>
    <n v="7051800"/>
    <n v="25386480"/>
  </r>
  <r>
    <x v="0"/>
    <x v="0"/>
    <x v="0"/>
    <x v="1"/>
    <x v="2"/>
    <s v="DE4-E_A"/>
    <x v="10"/>
    <s v="AGG-DE4-E_RES_WTR_PMP"/>
    <x v="0"/>
    <x v="12"/>
    <n v="19320"/>
    <n v="7051800"/>
    <n v="25386480"/>
  </r>
  <r>
    <x v="0"/>
    <x v="0"/>
    <x v="0"/>
    <x v="1"/>
    <x v="2"/>
    <s v="DE4-E_A"/>
    <x v="10"/>
    <s v="AGG-DE4-E_RES_WTR_PMP"/>
    <x v="0"/>
    <x v="13"/>
    <n v="19320"/>
    <n v="7051800"/>
    <n v="25386480"/>
  </r>
  <r>
    <x v="0"/>
    <x v="0"/>
    <x v="0"/>
    <x v="1"/>
    <x v="2"/>
    <s v="DE4-E_A"/>
    <x v="10"/>
    <s v="AGG-DE4-E_RES_WTR_PMP"/>
    <x v="0"/>
    <x v="14"/>
    <n v="19320"/>
    <n v="7051800"/>
    <n v="25386480"/>
  </r>
  <r>
    <x v="0"/>
    <x v="0"/>
    <x v="0"/>
    <x v="1"/>
    <x v="2"/>
    <s v="DE4-E_A"/>
    <x v="10"/>
    <s v="AGG-DE4-E_RES_WTR_PMP"/>
    <x v="0"/>
    <x v="15"/>
    <n v="19320"/>
    <n v="7051800"/>
    <n v="25386480"/>
  </r>
  <r>
    <x v="0"/>
    <x v="0"/>
    <x v="0"/>
    <x v="1"/>
    <x v="2"/>
    <s v="DE4-E_A"/>
    <x v="10"/>
    <s v="AGG-DE4-E_RES_WTR_PMP"/>
    <x v="0"/>
    <x v="16"/>
    <n v="19320"/>
    <n v="7051800"/>
    <n v="25386480"/>
  </r>
  <r>
    <x v="0"/>
    <x v="0"/>
    <x v="0"/>
    <x v="1"/>
    <x v="2"/>
    <s v="DE4-E_A"/>
    <x v="10"/>
    <s v="AGG-DE4-E_RES_WTR_PMP"/>
    <x v="0"/>
    <x v="17"/>
    <n v="19320"/>
    <n v="7051800"/>
    <n v="25386480"/>
  </r>
  <r>
    <x v="0"/>
    <x v="0"/>
    <x v="0"/>
    <x v="1"/>
    <x v="2"/>
    <s v="DE4-E_A"/>
    <x v="10"/>
    <s v="AGG-DE4-E_RES_WTR_PMP"/>
    <x v="0"/>
    <x v="18"/>
    <n v="19320"/>
    <n v="7051800"/>
    <n v="25386480"/>
  </r>
  <r>
    <x v="0"/>
    <x v="0"/>
    <x v="0"/>
    <x v="1"/>
    <x v="2"/>
    <s v="DE4-E_A"/>
    <x v="10"/>
    <s v="AGG-DE4-E_RES_WTR_PMP"/>
    <x v="0"/>
    <x v="19"/>
    <n v="19320"/>
    <n v="7051800"/>
    <n v="25386480"/>
  </r>
  <r>
    <x v="0"/>
    <x v="0"/>
    <x v="0"/>
    <x v="1"/>
    <x v="2"/>
    <s v="DE4-E_A"/>
    <x v="10"/>
    <s v="AGG-DE4-E_RES_WTR_PMP"/>
    <x v="0"/>
    <x v="20"/>
    <n v="19320"/>
    <n v="7051800"/>
    <n v="25386480"/>
  </r>
  <r>
    <x v="0"/>
    <x v="0"/>
    <x v="0"/>
    <x v="1"/>
    <x v="2"/>
    <s v="DE4-E_A"/>
    <x v="10"/>
    <s v="AGG-DE4-E_RES_WTR_PMP"/>
    <x v="0"/>
    <x v="21"/>
    <n v="19320"/>
    <n v="7051800"/>
    <n v="25386480"/>
  </r>
  <r>
    <x v="0"/>
    <x v="0"/>
    <x v="0"/>
    <x v="1"/>
    <x v="2"/>
    <s v="DE4-E_A"/>
    <x v="10"/>
    <s v="AGG-DE4-E_RES_WTR_PMP"/>
    <x v="0"/>
    <x v="22"/>
    <n v="19320"/>
    <n v="7051800"/>
    <n v="25386480"/>
  </r>
  <r>
    <x v="0"/>
    <x v="0"/>
    <x v="0"/>
    <x v="1"/>
    <x v="2"/>
    <s v="DE4-E_A"/>
    <x v="10"/>
    <s v="AGG-DE4-E_RES_WTR_PMP"/>
    <x v="0"/>
    <x v="23"/>
    <n v="19320"/>
    <n v="7051800"/>
    <n v="25386480"/>
  </r>
  <r>
    <x v="0"/>
    <x v="0"/>
    <x v="0"/>
    <x v="1"/>
    <x v="2"/>
    <s v="DE4-E_A"/>
    <x v="11"/>
    <s v="GNR_ST_LIGN_BP_E-39"/>
    <x v="0"/>
    <x v="0"/>
    <n v="23901.025641025601"/>
    <n v="8723874.3589743599"/>
    <n v="31405947.692307699"/>
  </r>
  <r>
    <x v="0"/>
    <x v="0"/>
    <x v="0"/>
    <x v="1"/>
    <x v="2"/>
    <s v="DE4-E_A"/>
    <x v="11"/>
    <s v="GNR_ST_LIGN_BP_E-39"/>
    <x v="0"/>
    <x v="1"/>
    <n v="23901.025641025601"/>
    <n v="8723874.3589743599"/>
    <n v="31405947.692307699"/>
  </r>
  <r>
    <x v="0"/>
    <x v="0"/>
    <x v="0"/>
    <x v="1"/>
    <x v="2"/>
    <s v="DE4-E_A"/>
    <x v="11"/>
    <s v="GNR_ST_LIGN_BP_E-39"/>
    <x v="0"/>
    <x v="2"/>
    <n v="23901.025641025601"/>
    <n v="8723874.3589743599"/>
    <n v="31405947.692307699"/>
  </r>
  <r>
    <x v="0"/>
    <x v="0"/>
    <x v="0"/>
    <x v="1"/>
    <x v="2"/>
    <s v="DE4-E_A"/>
    <x v="11"/>
    <s v="GNR_ST_LIGN_BP_E-39"/>
    <x v="0"/>
    <x v="3"/>
    <n v="23901.025641025601"/>
    <n v="8723874.3589743599"/>
    <n v="31405947.692307699"/>
  </r>
  <r>
    <x v="0"/>
    <x v="0"/>
    <x v="0"/>
    <x v="1"/>
    <x v="2"/>
    <s v="DE4-E_A"/>
    <x v="11"/>
    <s v="GNR_ST_LIGN_BP_E-39"/>
    <x v="0"/>
    <x v="4"/>
    <n v="23901.025641025601"/>
    <n v="8723874.3589743599"/>
    <n v="31405947.692307699"/>
  </r>
  <r>
    <x v="0"/>
    <x v="0"/>
    <x v="0"/>
    <x v="1"/>
    <x v="2"/>
    <s v="DE4-E_A"/>
    <x v="11"/>
    <s v="GNR_ST_LIGN_BP_E-39"/>
    <x v="0"/>
    <x v="5"/>
    <n v="23901.025641025601"/>
    <n v="8723874.3589743599"/>
    <n v="31405947.692307699"/>
  </r>
  <r>
    <x v="0"/>
    <x v="0"/>
    <x v="0"/>
    <x v="1"/>
    <x v="2"/>
    <s v="DE4-E_A"/>
    <x v="11"/>
    <s v="GNR_ST_LIGN_BP_E-39"/>
    <x v="0"/>
    <x v="6"/>
    <n v="23901.025641025601"/>
    <n v="8723874.3589743599"/>
    <n v="31405947.692307699"/>
  </r>
  <r>
    <x v="0"/>
    <x v="0"/>
    <x v="0"/>
    <x v="1"/>
    <x v="2"/>
    <s v="DE4-E_A"/>
    <x v="11"/>
    <s v="GNR_ST_LIGN_BP_E-39"/>
    <x v="0"/>
    <x v="7"/>
    <n v="23901.025641025601"/>
    <n v="8723874.3589743599"/>
    <n v="31405947.692307699"/>
  </r>
  <r>
    <x v="0"/>
    <x v="0"/>
    <x v="0"/>
    <x v="1"/>
    <x v="2"/>
    <s v="DE4-E_A"/>
    <x v="11"/>
    <s v="GNR_ST_LIGN_BP_E-39"/>
    <x v="0"/>
    <x v="8"/>
    <n v="23901.025641025601"/>
    <n v="8723874.3589743599"/>
    <n v="31405947.692307699"/>
  </r>
  <r>
    <x v="0"/>
    <x v="0"/>
    <x v="0"/>
    <x v="1"/>
    <x v="2"/>
    <s v="DE4-E_A"/>
    <x v="11"/>
    <s v="GNR_ST_LIGN_BP_E-39"/>
    <x v="0"/>
    <x v="9"/>
    <n v="23901.025641025601"/>
    <n v="8723874.3589743599"/>
    <n v="31405947.692307699"/>
  </r>
  <r>
    <x v="0"/>
    <x v="0"/>
    <x v="0"/>
    <x v="1"/>
    <x v="2"/>
    <s v="DE4-E_A"/>
    <x v="11"/>
    <s v="GNR_ST_LIGN_BP_E-39"/>
    <x v="0"/>
    <x v="10"/>
    <n v="23901.025641025601"/>
    <n v="8723874.3589743599"/>
    <n v="31405947.692307699"/>
  </r>
  <r>
    <x v="0"/>
    <x v="0"/>
    <x v="0"/>
    <x v="1"/>
    <x v="2"/>
    <s v="DE4-E_A"/>
    <x v="11"/>
    <s v="GNR_ST_LIGN_BP_E-39"/>
    <x v="0"/>
    <x v="11"/>
    <n v="23901.025641025601"/>
    <n v="8723874.3589743599"/>
    <n v="31405947.692307699"/>
  </r>
  <r>
    <x v="0"/>
    <x v="0"/>
    <x v="0"/>
    <x v="1"/>
    <x v="2"/>
    <s v="DE4-E_A"/>
    <x v="11"/>
    <s v="GNR_ST_LIGN_BP_E-39"/>
    <x v="0"/>
    <x v="12"/>
    <n v="23901.025641025601"/>
    <n v="8723874.3589743599"/>
    <n v="31405947.692307699"/>
  </r>
  <r>
    <x v="0"/>
    <x v="0"/>
    <x v="0"/>
    <x v="1"/>
    <x v="2"/>
    <s v="DE4-E_A"/>
    <x v="11"/>
    <s v="GNR_ST_LIGN_BP_E-39"/>
    <x v="0"/>
    <x v="13"/>
    <n v="23901.025641025601"/>
    <n v="8723874.3589743599"/>
    <n v="31405947.692307699"/>
  </r>
  <r>
    <x v="0"/>
    <x v="0"/>
    <x v="0"/>
    <x v="1"/>
    <x v="2"/>
    <s v="DE4-E_A"/>
    <x v="11"/>
    <s v="GNR_ST_LIGN_BP_E-39"/>
    <x v="0"/>
    <x v="14"/>
    <n v="23901.025641025601"/>
    <n v="8723874.3589743599"/>
    <n v="31405947.692307699"/>
  </r>
  <r>
    <x v="0"/>
    <x v="0"/>
    <x v="0"/>
    <x v="1"/>
    <x v="2"/>
    <s v="DE4-E_A"/>
    <x v="11"/>
    <s v="GNR_ST_LIGN_BP_E-39"/>
    <x v="0"/>
    <x v="15"/>
    <n v="23901.025641025601"/>
    <n v="8723874.3589743599"/>
    <n v="31405947.692307699"/>
  </r>
  <r>
    <x v="0"/>
    <x v="0"/>
    <x v="0"/>
    <x v="1"/>
    <x v="2"/>
    <s v="DE4-E_A"/>
    <x v="11"/>
    <s v="GNR_ST_LIGN_BP_E-39"/>
    <x v="0"/>
    <x v="16"/>
    <n v="23901.025641025601"/>
    <n v="8723874.3589743599"/>
    <n v="31405947.692307699"/>
  </r>
  <r>
    <x v="0"/>
    <x v="0"/>
    <x v="0"/>
    <x v="1"/>
    <x v="2"/>
    <s v="DE4-E_A"/>
    <x v="11"/>
    <s v="GNR_ST_LIGN_BP_E-39"/>
    <x v="0"/>
    <x v="17"/>
    <n v="23901.025641025601"/>
    <n v="8723874.3589743599"/>
    <n v="31405947.692307699"/>
  </r>
  <r>
    <x v="0"/>
    <x v="0"/>
    <x v="0"/>
    <x v="1"/>
    <x v="2"/>
    <s v="DE4-E_A"/>
    <x v="11"/>
    <s v="GNR_ST_LIGN_BP_E-39"/>
    <x v="0"/>
    <x v="18"/>
    <n v="23901.025641025601"/>
    <n v="8723874.3589743599"/>
    <n v="31405947.692307699"/>
  </r>
  <r>
    <x v="0"/>
    <x v="0"/>
    <x v="0"/>
    <x v="1"/>
    <x v="2"/>
    <s v="DE4-E_A"/>
    <x v="11"/>
    <s v="GNR_ST_LIGN_BP_E-39"/>
    <x v="0"/>
    <x v="19"/>
    <n v="23901.025641025601"/>
    <n v="8723874.3589743599"/>
    <n v="31405947.692307699"/>
  </r>
  <r>
    <x v="0"/>
    <x v="0"/>
    <x v="0"/>
    <x v="1"/>
    <x v="2"/>
    <s v="DE4-E_A"/>
    <x v="11"/>
    <s v="GNR_ST_LIGN_BP_E-39"/>
    <x v="0"/>
    <x v="20"/>
    <n v="23901.025641025601"/>
    <n v="8723874.3589743599"/>
    <n v="31405947.692307699"/>
  </r>
  <r>
    <x v="0"/>
    <x v="0"/>
    <x v="0"/>
    <x v="1"/>
    <x v="2"/>
    <s v="DE4-E_A"/>
    <x v="11"/>
    <s v="GNR_ST_LIGN_BP_E-39"/>
    <x v="0"/>
    <x v="21"/>
    <n v="23901.025641025601"/>
    <n v="8723874.3589743599"/>
    <n v="31405947.692307699"/>
  </r>
  <r>
    <x v="0"/>
    <x v="0"/>
    <x v="0"/>
    <x v="1"/>
    <x v="2"/>
    <s v="DE4-E_A"/>
    <x v="11"/>
    <s v="GNR_ST_LIGN_BP_E-39"/>
    <x v="0"/>
    <x v="22"/>
    <n v="23901.025641025601"/>
    <n v="8723874.3589743599"/>
    <n v="31405947.692307699"/>
  </r>
  <r>
    <x v="0"/>
    <x v="0"/>
    <x v="0"/>
    <x v="1"/>
    <x v="2"/>
    <s v="DE4-E_A"/>
    <x v="11"/>
    <s v="GNR_ST_LIGN_BP_E-39"/>
    <x v="0"/>
    <x v="23"/>
    <n v="23901.025641025601"/>
    <n v="8723874.3589743599"/>
    <n v="31405947.692307699"/>
  </r>
  <r>
    <x v="0"/>
    <x v="0"/>
    <x v="0"/>
    <x v="1"/>
    <x v="2"/>
    <s v="DE4-E_A"/>
    <x v="11"/>
    <s v="GNR_ST_LIGN_CND_E-43"/>
    <x v="0"/>
    <x v="0"/>
    <n v="1488.37209302326"/>
    <n v="543255.81395348802"/>
    <n v="1955720.93023256"/>
  </r>
  <r>
    <x v="0"/>
    <x v="0"/>
    <x v="0"/>
    <x v="1"/>
    <x v="2"/>
    <s v="DE4-E_A"/>
    <x v="11"/>
    <s v="GNR_ST_LIGN_CND_E-43"/>
    <x v="0"/>
    <x v="1"/>
    <n v="1488.37209302326"/>
    <n v="543255.81395348802"/>
    <n v="1955720.93023256"/>
  </r>
  <r>
    <x v="0"/>
    <x v="0"/>
    <x v="0"/>
    <x v="1"/>
    <x v="2"/>
    <s v="DE4-E_A"/>
    <x v="11"/>
    <s v="GNR_ST_LIGN_CND_E-43"/>
    <x v="0"/>
    <x v="2"/>
    <n v="1488.37209302326"/>
    <n v="543255.81395348802"/>
    <n v="1955720.93023256"/>
  </r>
  <r>
    <x v="0"/>
    <x v="0"/>
    <x v="0"/>
    <x v="1"/>
    <x v="2"/>
    <s v="DE4-E_A"/>
    <x v="11"/>
    <s v="GNR_ST_LIGN_CND_E-43"/>
    <x v="0"/>
    <x v="3"/>
    <n v="1488.37209302326"/>
    <n v="543255.81395348802"/>
    <n v="1955720.93023256"/>
  </r>
  <r>
    <x v="0"/>
    <x v="0"/>
    <x v="0"/>
    <x v="1"/>
    <x v="2"/>
    <s v="DE4-E_A"/>
    <x v="11"/>
    <s v="GNR_ST_LIGN_CND_E-43"/>
    <x v="0"/>
    <x v="4"/>
    <n v="1488.37209302326"/>
    <n v="543255.81395348802"/>
    <n v="1955720.93023256"/>
  </r>
  <r>
    <x v="0"/>
    <x v="0"/>
    <x v="0"/>
    <x v="1"/>
    <x v="2"/>
    <s v="DE4-E_A"/>
    <x v="11"/>
    <s v="GNR_ST_LIGN_CND_E-43"/>
    <x v="0"/>
    <x v="5"/>
    <n v="1488.37209302326"/>
    <n v="543255.81395348802"/>
    <n v="1955720.93023256"/>
  </r>
  <r>
    <x v="0"/>
    <x v="0"/>
    <x v="0"/>
    <x v="1"/>
    <x v="2"/>
    <s v="DE4-E_A"/>
    <x v="11"/>
    <s v="GNR_ST_LIGN_CND_E-43"/>
    <x v="0"/>
    <x v="6"/>
    <n v="1488.37209302326"/>
    <n v="543255.81395348802"/>
    <n v="1955720.93023256"/>
  </r>
  <r>
    <x v="0"/>
    <x v="0"/>
    <x v="0"/>
    <x v="1"/>
    <x v="2"/>
    <s v="DE4-E_A"/>
    <x v="11"/>
    <s v="GNR_ST_LIGN_CND_E-43"/>
    <x v="0"/>
    <x v="7"/>
    <n v="1488.37209302326"/>
    <n v="543255.81395348802"/>
    <n v="1955720.93023256"/>
  </r>
  <r>
    <x v="0"/>
    <x v="0"/>
    <x v="0"/>
    <x v="1"/>
    <x v="2"/>
    <s v="DE4-E_A"/>
    <x v="11"/>
    <s v="GNR_ST_LIGN_CND_E-43"/>
    <x v="0"/>
    <x v="8"/>
    <n v="1488.37209302326"/>
    <n v="543255.81395348802"/>
    <n v="1955720.93023256"/>
  </r>
  <r>
    <x v="0"/>
    <x v="0"/>
    <x v="0"/>
    <x v="1"/>
    <x v="2"/>
    <s v="DE4-E_A"/>
    <x v="11"/>
    <s v="GNR_ST_LIGN_CND_E-43"/>
    <x v="0"/>
    <x v="9"/>
    <n v="1488.37209302326"/>
    <n v="543255.81395348802"/>
    <n v="1955720.93023256"/>
  </r>
  <r>
    <x v="0"/>
    <x v="0"/>
    <x v="0"/>
    <x v="1"/>
    <x v="2"/>
    <s v="DE4-E_A"/>
    <x v="11"/>
    <s v="GNR_ST_LIGN_CND_E-43"/>
    <x v="0"/>
    <x v="10"/>
    <n v="1488.37209302326"/>
    <n v="543255.81395348802"/>
    <n v="1955720.93023256"/>
  </r>
  <r>
    <x v="0"/>
    <x v="0"/>
    <x v="0"/>
    <x v="1"/>
    <x v="2"/>
    <s v="DE4-E_A"/>
    <x v="11"/>
    <s v="GNR_ST_LIGN_CND_E-43"/>
    <x v="0"/>
    <x v="11"/>
    <n v="1488.37209302326"/>
    <n v="543255.81395348802"/>
    <n v="1955720.93023256"/>
  </r>
  <r>
    <x v="0"/>
    <x v="0"/>
    <x v="0"/>
    <x v="1"/>
    <x v="2"/>
    <s v="DE4-E_A"/>
    <x v="11"/>
    <s v="GNR_ST_LIGN_CND_E-43"/>
    <x v="0"/>
    <x v="12"/>
    <n v="1488.37209302326"/>
    <n v="543255.81395348802"/>
    <n v="1955720.93023256"/>
  </r>
  <r>
    <x v="0"/>
    <x v="0"/>
    <x v="0"/>
    <x v="1"/>
    <x v="2"/>
    <s v="DE4-E_A"/>
    <x v="11"/>
    <s v="GNR_ST_LIGN_CND_E-43"/>
    <x v="0"/>
    <x v="13"/>
    <n v="1488.37209302326"/>
    <n v="543255.81395348802"/>
    <n v="1955720.93023256"/>
  </r>
  <r>
    <x v="0"/>
    <x v="0"/>
    <x v="0"/>
    <x v="1"/>
    <x v="2"/>
    <s v="DE4-E_A"/>
    <x v="11"/>
    <s v="GNR_ST_LIGN_CND_E-43"/>
    <x v="0"/>
    <x v="14"/>
    <n v="1488.37209302326"/>
    <n v="543255.81395348802"/>
    <n v="1955720.93023256"/>
  </r>
  <r>
    <x v="0"/>
    <x v="0"/>
    <x v="0"/>
    <x v="1"/>
    <x v="2"/>
    <s v="DE4-E_A"/>
    <x v="11"/>
    <s v="GNR_ST_LIGN_CND_E-43"/>
    <x v="0"/>
    <x v="15"/>
    <n v="1488.37209302326"/>
    <n v="543255.81395348802"/>
    <n v="1955720.93023256"/>
  </r>
  <r>
    <x v="0"/>
    <x v="0"/>
    <x v="0"/>
    <x v="1"/>
    <x v="2"/>
    <s v="DE4-E_A"/>
    <x v="11"/>
    <s v="GNR_ST_LIGN_CND_E-43"/>
    <x v="0"/>
    <x v="16"/>
    <n v="1488.37209302326"/>
    <n v="543255.81395348802"/>
    <n v="1955720.93023256"/>
  </r>
  <r>
    <x v="0"/>
    <x v="0"/>
    <x v="0"/>
    <x v="1"/>
    <x v="2"/>
    <s v="DE4-E_A"/>
    <x v="11"/>
    <s v="GNR_ST_LIGN_CND_E-43"/>
    <x v="0"/>
    <x v="17"/>
    <n v="1488.37209302326"/>
    <n v="543255.81395348802"/>
    <n v="1955720.93023256"/>
  </r>
  <r>
    <x v="0"/>
    <x v="0"/>
    <x v="0"/>
    <x v="1"/>
    <x v="2"/>
    <s v="DE4-E_A"/>
    <x v="11"/>
    <s v="GNR_ST_LIGN_CND_E-43"/>
    <x v="0"/>
    <x v="18"/>
    <n v="1488.37209302326"/>
    <n v="543255.81395348802"/>
    <n v="1955720.93023256"/>
  </r>
  <r>
    <x v="0"/>
    <x v="0"/>
    <x v="0"/>
    <x v="1"/>
    <x v="2"/>
    <s v="DE4-E_A"/>
    <x v="11"/>
    <s v="GNR_ST_LIGN_CND_E-43"/>
    <x v="0"/>
    <x v="19"/>
    <n v="1488.37209302326"/>
    <n v="543255.81395348802"/>
    <n v="1955720.93023256"/>
  </r>
  <r>
    <x v="0"/>
    <x v="0"/>
    <x v="0"/>
    <x v="1"/>
    <x v="2"/>
    <s v="DE4-E_A"/>
    <x v="11"/>
    <s v="GNR_ST_LIGN_CND_E-43"/>
    <x v="0"/>
    <x v="20"/>
    <n v="1488.37209302326"/>
    <n v="543255.81395348802"/>
    <n v="1955720.93023256"/>
  </r>
  <r>
    <x v="0"/>
    <x v="0"/>
    <x v="0"/>
    <x v="1"/>
    <x v="2"/>
    <s v="DE4-E_A"/>
    <x v="11"/>
    <s v="GNR_ST_LIGN_CND_E-43"/>
    <x v="0"/>
    <x v="21"/>
    <n v="1488.37209302326"/>
    <n v="543255.81395348802"/>
    <n v="1955720.93023256"/>
  </r>
  <r>
    <x v="0"/>
    <x v="0"/>
    <x v="0"/>
    <x v="1"/>
    <x v="2"/>
    <s v="DE4-E_A"/>
    <x v="11"/>
    <s v="GNR_ST_LIGN_CND_E-43"/>
    <x v="0"/>
    <x v="22"/>
    <n v="1488.37209302326"/>
    <n v="543255.81395348802"/>
    <n v="1955720.93023256"/>
  </r>
  <r>
    <x v="0"/>
    <x v="0"/>
    <x v="0"/>
    <x v="1"/>
    <x v="2"/>
    <s v="DE4-E_A"/>
    <x v="11"/>
    <s v="GNR_ST_LIGN_CND_E-43"/>
    <x v="0"/>
    <x v="23"/>
    <n v="1488.37209302326"/>
    <n v="543255.81395348802"/>
    <n v="1955720.93023256"/>
  </r>
  <r>
    <x v="0"/>
    <x v="0"/>
    <x v="0"/>
    <x v="1"/>
    <x v="2"/>
    <s v="DE4-E_A"/>
    <x v="1"/>
    <s v="GNR_ST_MSW_CND_E-33"/>
    <x v="0"/>
    <x v="0"/>
    <n v="197.272727272727"/>
    <n v="72004.545454545398"/>
    <n v="259216.363636364"/>
  </r>
  <r>
    <x v="0"/>
    <x v="0"/>
    <x v="0"/>
    <x v="1"/>
    <x v="2"/>
    <s v="DE4-E_A"/>
    <x v="1"/>
    <s v="GNR_ST_MSW_CND_E-33"/>
    <x v="0"/>
    <x v="1"/>
    <n v="197.272727272727"/>
    <n v="72004.545454545398"/>
    <n v="259216.363636364"/>
  </r>
  <r>
    <x v="0"/>
    <x v="0"/>
    <x v="0"/>
    <x v="1"/>
    <x v="2"/>
    <s v="DE4-E_A"/>
    <x v="1"/>
    <s v="GNR_ST_MSW_CND_E-33"/>
    <x v="0"/>
    <x v="2"/>
    <n v="197.272727272727"/>
    <n v="72004.545454545398"/>
    <n v="259216.363636364"/>
  </r>
  <r>
    <x v="0"/>
    <x v="0"/>
    <x v="0"/>
    <x v="1"/>
    <x v="2"/>
    <s v="DE4-E_A"/>
    <x v="1"/>
    <s v="GNR_ST_MSW_CND_E-33"/>
    <x v="0"/>
    <x v="3"/>
    <n v="197.272727272727"/>
    <n v="72004.545454545398"/>
    <n v="259216.363636364"/>
  </r>
  <r>
    <x v="0"/>
    <x v="0"/>
    <x v="0"/>
    <x v="1"/>
    <x v="2"/>
    <s v="DE4-E_A"/>
    <x v="1"/>
    <s v="GNR_ST_MSW_CND_E-33"/>
    <x v="0"/>
    <x v="4"/>
    <n v="197.272727272727"/>
    <n v="72004.545454545398"/>
    <n v="259216.363636364"/>
  </r>
  <r>
    <x v="0"/>
    <x v="0"/>
    <x v="0"/>
    <x v="1"/>
    <x v="2"/>
    <s v="DE4-E_A"/>
    <x v="1"/>
    <s v="GNR_ST_MSW_CND_E-33"/>
    <x v="0"/>
    <x v="5"/>
    <n v="197.272727272727"/>
    <n v="72004.545454545398"/>
    <n v="259216.363636364"/>
  </r>
  <r>
    <x v="0"/>
    <x v="0"/>
    <x v="0"/>
    <x v="1"/>
    <x v="2"/>
    <s v="DE4-E_A"/>
    <x v="1"/>
    <s v="GNR_ST_MSW_CND_E-33"/>
    <x v="0"/>
    <x v="6"/>
    <n v="197.272727272727"/>
    <n v="72004.545454545398"/>
    <n v="259216.363636364"/>
  </r>
  <r>
    <x v="0"/>
    <x v="0"/>
    <x v="0"/>
    <x v="1"/>
    <x v="2"/>
    <s v="DE4-E_A"/>
    <x v="1"/>
    <s v="GNR_ST_MSW_CND_E-33"/>
    <x v="0"/>
    <x v="7"/>
    <n v="197.272727272727"/>
    <n v="72004.545454545398"/>
    <n v="259216.363636364"/>
  </r>
  <r>
    <x v="0"/>
    <x v="0"/>
    <x v="0"/>
    <x v="1"/>
    <x v="2"/>
    <s v="DE4-E_A"/>
    <x v="1"/>
    <s v="GNR_ST_MSW_CND_E-33"/>
    <x v="0"/>
    <x v="8"/>
    <n v="197.272727272727"/>
    <n v="72004.545454545398"/>
    <n v="259216.363636364"/>
  </r>
  <r>
    <x v="0"/>
    <x v="0"/>
    <x v="0"/>
    <x v="1"/>
    <x v="2"/>
    <s v="DE4-E_A"/>
    <x v="1"/>
    <s v="GNR_ST_MSW_CND_E-33"/>
    <x v="0"/>
    <x v="9"/>
    <n v="197.272727272727"/>
    <n v="72004.545454545398"/>
    <n v="259216.363636364"/>
  </r>
  <r>
    <x v="0"/>
    <x v="0"/>
    <x v="0"/>
    <x v="1"/>
    <x v="2"/>
    <s v="DE4-E_A"/>
    <x v="1"/>
    <s v="GNR_ST_MSW_CND_E-33"/>
    <x v="0"/>
    <x v="10"/>
    <n v="197.272727272727"/>
    <n v="72004.545454545398"/>
    <n v="259216.363636364"/>
  </r>
  <r>
    <x v="0"/>
    <x v="0"/>
    <x v="0"/>
    <x v="1"/>
    <x v="2"/>
    <s v="DE4-E_A"/>
    <x v="1"/>
    <s v="GNR_ST_MSW_CND_E-33"/>
    <x v="0"/>
    <x v="11"/>
    <n v="197.272727272727"/>
    <n v="72004.545454545398"/>
    <n v="259216.363636364"/>
  </r>
  <r>
    <x v="0"/>
    <x v="0"/>
    <x v="0"/>
    <x v="1"/>
    <x v="2"/>
    <s v="DE4-E_A"/>
    <x v="1"/>
    <s v="GNR_ST_MSW_CND_E-33"/>
    <x v="0"/>
    <x v="12"/>
    <n v="197.272727272727"/>
    <n v="72004.545454545398"/>
    <n v="259216.363636364"/>
  </r>
  <r>
    <x v="0"/>
    <x v="0"/>
    <x v="0"/>
    <x v="1"/>
    <x v="2"/>
    <s v="DE4-E_A"/>
    <x v="1"/>
    <s v="GNR_ST_MSW_CND_E-33"/>
    <x v="0"/>
    <x v="13"/>
    <n v="197.272727272727"/>
    <n v="72004.545454545398"/>
    <n v="259216.363636364"/>
  </r>
  <r>
    <x v="0"/>
    <x v="0"/>
    <x v="0"/>
    <x v="1"/>
    <x v="2"/>
    <s v="DE4-E_A"/>
    <x v="1"/>
    <s v="GNR_ST_MSW_CND_E-33"/>
    <x v="0"/>
    <x v="14"/>
    <n v="197.272727272727"/>
    <n v="72004.545454545398"/>
    <n v="259216.363636364"/>
  </r>
  <r>
    <x v="0"/>
    <x v="0"/>
    <x v="0"/>
    <x v="1"/>
    <x v="2"/>
    <s v="DE4-E_A"/>
    <x v="1"/>
    <s v="GNR_ST_MSW_CND_E-33"/>
    <x v="0"/>
    <x v="15"/>
    <n v="197.272727272727"/>
    <n v="72004.545454545398"/>
    <n v="259216.363636364"/>
  </r>
  <r>
    <x v="0"/>
    <x v="0"/>
    <x v="0"/>
    <x v="1"/>
    <x v="2"/>
    <s v="DE4-E_A"/>
    <x v="1"/>
    <s v="GNR_ST_MSW_CND_E-33"/>
    <x v="0"/>
    <x v="16"/>
    <n v="197.272727272727"/>
    <n v="72004.545454545398"/>
    <n v="259216.363636364"/>
  </r>
  <r>
    <x v="0"/>
    <x v="0"/>
    <x v="0"/>
    <x v="1"/>
    <x v="2"/>
    <s v="DE4-E_A"/>
    <x v="1"/>
    <s v="GNR_ST_MSW_CND_E-33"/>
    <x v="0"/>
    <x v="17"/>
    <n v="197.272727272727"/>
    <n v="72004.545454545398"/>
    <n v="259216.363636364"/>
  </r>
  <r>
    <x v="0"/>
    <x v="0"/>
    <x v="0"/>
    <x v="1"/>
    <x v="2"/>
    <s v="DE4-E_A"/>
    <x v="1"/>
    <s v="GNR_ST_MSW_CND_E-33"/>
    <x v="0"/>
    <x v="18"/>
    <n v="197.272727272727"/>
    <n v="72004.545454545398"/>
    <n v="259216.363636364"/>
  </r>
  <r>
    <x v="0"/>
    <x v="0"/>
    <x v="0"/>
    <x v="1"/>
    <x v="2"/>
    <s v="DE4-E_A"/>
    <x v="1"/>
    <s v="GNR_ST_MSW_CND_E-33"/>
    <x v="0"/>
    <x v="19"/>
    <n v="197.272727272727"/>
    <n v="72004.545454545398"/>
    <n v="259216.363636364"/>
  </r>
  <r>
    <x v="0"/>
    <x v="0"/>
    <x v="0"/>
    <x v="1"/>
    <x v="2"/>
    <s v="DE4-E_A"/>
    <x v="1"/>
    <s v="GNR_ST_MSW_CND_E-33"/>
    <x v="0"/>
    <x v="20"/>
    <n v="197.272727272727"/>
    <n v="72004.545454545398"/>
    <n v="259216.363636364"/>
  </r>
  <r>
    <x v="0"/>
    <x v="0"/>
    <x v="0"/>
    <x v="1"/>
    <x v="2"/>
    <s v="DE4-E_A"/>
    <x v="1"/>
    <s v="GNR_ST_MSW_CND_E-33"/>
    <x v="0"/>
    <x v="21"/>
    <n v="197.272727272727"/>
    <n v="72004.545454545398"/>
    <n v="259216.363636364"/>
  </r>
  <r>
    <x v="0"/>
    <x v="0"/>
    <x v="0"/>
    <x v="1"/>
    <x v="2"/>
    <s v="DE4-E_A"/>
    <x v="1"/>
    <s v="GNR_ST_MSW_CND_E-33"/>
    <x v="0"/>
    <x v="22"/>
    <n v="197.272727272727"/>
    <n v="72004.545454545398"/>
    <n v="259216.363636364"/>
  </r>
  <r>
    <x v="0"/>
    <x v="0"/>
    <x v="0"/>
    <x v="1"/>
    <x v="2"/>
    <s v="DE4-E_A"/>
    <x v="1"/>
    <s v="GNR_ST_MSW_CND_E-33"/>
    <x v="0"/>
    <x v="23"/>
    <n v="197.272727272727"/>
    <n v="72004.545454545398"/>
    <n v="259216.363636364"/>
  </r>
  <r>
    <x v="0"/>
    <x v="0"/>
    <x v="0"/>
    <x v="1"/>
    <x v="2"/>
    <s v="DE4-E_A"/>
    <x v="6"/>
    <s v="GNR_PV_SUN"/>
    <x v="0"/>
    <x v="6"/>
    <n v="53.858847245872902"/>
    <n v="19658.479244743601"/>
    <n v="70770.525281077003"/>
  </r>
  <r>
    <x v="0"/>
    <x v="0"/>
    <x v="0"/>
    <x v="1"/>
    <x v="2"/>
    <s v="DE4-E_A"/>
    <x v="6"/>
    <s v="GNR_PV_SUN"/>
    <x v="0"/>
    <x v="7"/>
    <n v="574.45617285864"/>
    <n v="209676.503093404"/>
    <n v="754835.41113625397"/>
  </r>
  <r>
    <x v="0"/>
    <x v="0"/>
    <x v="0"/>
    <x v="1"/>
    <x v="2"/>
    <s v="DE4-E_A"/>
    <x v="6"/>
    <s v="GNR_PV_SUN"/>
    <x v="0"/>
    <x v="8"/>
    <n v="1676.3852688508"/>
    <n v="611880.62313054095"/>
    <n v="2202770.2432699502"/>
  </r>
  <r>
    <x v="0"/>
    <x v="0"/>
    <x v="0"/>
    <x v="1"/>
    <x v="2"/>
    <s v="DE4-E_A"/>
    <x v="6"/>
    <s v="GNR_PV_SUN"/>
    <x v="0"/>
    <x v="9"/>
    <n v="2736.83159313443"/>
    <n v="998943.53149406798"/>
    <n v="3596196.7133786501"/>
  </r>
  <r>
    <x v="0"/>
    <x v="0"/>
    <x v="0"/>
    <x v="1"/>
    <x v="2"/>
    <s v="DE4-E_A"/>
    <x v="6"/>
    <s v="GNR_PV_SUN"/>
    <x v="0"/>
    <x v="10"/>
    <n v="3647.5044847577401"/>
    <n v="1331339.1369365701"/>
    <n v="4792820.89297166"/>
  </r>
  <r>
    <x v="0"/>
    <x v="0"/>
    <x v="0"/>
    <x v="1"/>
    <x v="2"/>
    <s v="DE4-E_A"/>
    <x v="6"/>
    <s v="GNR_PV_SUN"/>
    <x v="0"/>
    <x v="11"/>
    <n v="4230.6697478093301"/>
    <n v="1544194.4579504"/>
    <n v="5559100.0486214496"/>
  </r>
  <r>
    <x v="0"/>
    <x v="0"/>
    <x v="0"/>
    <x v="1"/>
    <x v="2"/>
    <s v="DE4-E_A"/>
    <x v="6"/>
    <s v="GNR_PV_SUN"/>
    <x v="0"/>
    <x v="12"/>
    <n v="4474.7534597959402"/>
    <n v="1633285.01282552"/>
    <n v="5879826.0461718701"/>
  </r>
  <r>
    <x v="0"/>
    <x v="0"/>
    <x v="0"/>
    <x v="1"/>
    <x v="2"/>
    <s v="DE4-E_A"/>
    <x v="6"/>
    <s v="GNR_PV_SUN"/>
    <x v="0"/>
    <x v="13"/>
    <n v="4500.1931706227197"/>
    <n v="1642570.5072772901"/>
    <n v="5913253.8261982501"/>
  </r>
  <r>
    <x v="0"/>
    <x v="0"/>
    <x v="0"/>
    <x v="1"/>
    <x v="2"/>
    <s v="DE4-E_A"/>
    <x v="6"/>
    <s v="GNR_PV_SUN"/>
    <x v="0"/>
    <x v="14"/>
    <n v="3874.1700163584501"/>
    <n v="1414072.0559708299"/>
    <n v="5090659.4014950097"/>
  </r>
  <r>
    <x v="0"/>
    <x v="0"/>
    <x v="0"/>
    <x v="1"/>
    <x v="2"/>
    <s v="DE4-E_A"/>
    <x v="6"/>
    <s v="GNR_PV_SUN"/>
    <x v="0"/>
    <x v="15"/>
    <n v="2932.5569358917801"/>
    <n v="1070383.2816005"/>
    <n v="3853379.8137617898"/>
  </r>
  <r>
    <x v="0"/>
    <x v="0"/>
    <x v="0"/>
    <x v="1"/>
    <x v="2"/>
    <s v="DE4-E_A"/>
    <x v="6"/>
    <s v="GNR_PV_SUN"/>
    <x v="0"/>
    <x v="16"/>
    <n v="1868.5582195557499"/>
    <n v="682023.75013784994"/>
    <n v="2455285.5004962599"/>
  </r>
  <r>
    <x v="0"/>
    <x v="0"/>
    <x v="0"/>
    <x v="1"/>
    <x v="2"/>
    <s v="DE4-E_A"/>
    <x v="6"/>
    <s v="GNR_PV_SUN"/>
    <x v="0"/>
    <x v="17"/>
    <n v="709.67625743338499"/>
    <n v="259031.83396318601"/>
    <n v="932514.602267468"/>
  </r>
  <r>
    <x v="0"/>
    <x v="0"/>
    <x v="0"/>
    <x v="1"/>
    <x v="2"/>
    <s v="DE4-E_A"/>
    <x v="6"/>
    <s v="GNR_PV_SUN"/>
    <x v="0"/>
    <x v="18"/>
    <n v="58.098799050335302"/>
    <n v="21206.061653372399"/>
    <n v="76341.821952140497"/>
  </r>
  <r>
    <x v="0"/>
    <x v="0"/>
    <x v="0"/>
    <x v="1"/>
    <x v="2"/>
    <s v="DE4-E_A"/>
    <x v="2"/>
    <s v="GNR_GEO_HEAT_EO"/>
    <x v="0"/>
    <x v="0"/>
    <n v="0.22"/>
    <n v="80.3"/>
    <n v="289.08"/>
  </r>
  <r>
    <x v="0"/>
    <x v="0"/>
    <x v="0"/>
    <x v="1"/>
    <x v="2"/>
    <s v="DE4-E_A"/>
    <x v="2"/>
    <s v="GNR_GEO_HEAT_EO"/>
    <x v="0"/>
    <x v="1"/>
    <n v="0.22"/>
    <n v="80.3"/>
    <n v="289.08"/>
  </r>
  <r>
    <x v="0"/>
    <x v="0"/>
    <x v="0"/>
    <x v="1"/>
    <x v="2"/>
    <s v="DE4-E_A"/>
    <x v="2"/>
    <s v="GNR_GEO_HEAT_EO"/>
    <x v="0"/>
    <x v="2"/>
    <n v="0.22"/>
    <n v="80.3"/>
    <n v="289.08"/>
  </r>
  <r>
    <x v="0"/>
    <x v="0"/>
    <x v="0"/>
    <x v="1"/>
    <x v="2"/>
    <s v="DE4-E_A"/>
    <x v="2"/>
    <s v="GNR_GEO_HEAT_EO"/>
    <x v="0"/>
    <x v="3"/>
    <n v="0.22"/>
    <n v="80.3"/>
    <n v="289.08"/>
  </r>
  <r>
    <x v="0"/>
    <x v="0"/>
    <x v="0"/>
    <x v="1"/>
    <x v="2"/>
    <s v="DE4-E_A"/>
    <x v="2"/>
    <s v="GNR_GEO_HEAT_EO"/>
    <x v="0"/>
    <x v="4"/>
    <n v="0.22"/>
    <n v="80.3"/>
    <n v="289.08"/>
  </r>
  <r>
    <x v="0"/>
    <x v="0"/>
    <x v="0"/>
    <x v="1"/>
    <x v="2"/>
    <s v="DE4-E_A"/>
    <x v="2"/>
    <s v="GNR_GEO_HEAT_EO"/>
    <x v="0"/>
    <x v="5"/>
    <n v="0.22"/>
    <n v="80.3"/>
    <n v="289.08"/>
  </r>
  <r>
    <x v="0"/>
    <x v="0"/>
    <x v="0"/>
    <x v="1"/>
    <x v="2"/>
    <s v="DE4-E_A"/>
    <x v="2"/>
    <s v="GNR_GEO_HEAT_EO"/>
    <x v="0"/>
    <x v="6"/>
    <n v="0.22"/>
    <n v="80.3"/>
    <n v="289.08"/>
  </r>
  <r>
    <x v="0"/>
    <x v="0"/>
    <x v="0"/>
    <x v="1"/>
    <x v="2"/>
    <s v="DE4-E_A"/>
    <x v="2"/>
    <s v="GNR_GEO_HEAT_EO"/>
    <x v="0"/>
    <x v="7"/>
    <n v="0.22"/>
    <n v="80.3"/>
    <n v="289.08"/>
  </r>
  <r>
    <x v="0"/>
    <x v="0"/>
    <x v="0"/>
    <x v="1"/>
    <x v="2"/>
    <s v="DE4-E_A"/>
    <x v="2"/>
    <s v="GNR_GEO_HEAT_EO"/>
    <x v="0"/>
    <x v="8"/>
    <n v="0.22"/>
    <n v="80.3"/>
    <n v="289.08"/>
  </r>
  <r>
    <x v="0"/>
    <x v="0"/>
    <x v="0"/>
    <x v="1"/>
    <x v="2"/>
    <s v="DE4-E_A"/>
    <x v="2"/>
    <s v="GNR_GEO_HEAT_EO"/>
    <x v="0"/>
    <x v="9"/>
    <n v="0.22"/>
    <n v="80.3"/>
    <n v="289.08"/>
  </r>
  <r>
    <x v="0"/>
    <x v="0"/>
    <x v="0"/>
    <x v="1"/>
    <x v="2"/>
    <s v="DE4-E_A"/>
    <x v="2"/>
    <s v="GNR_GEO_HEAT_EO"/>
    <x v="0"/>
    <x v="10"/>
    <n v="0.22"/>
    <n v="80.3"/>
    <n v="289.08"/>
  </r>
  <r>
    <x v="0"/>
    <x v="0"/>
    <x v="0"/>
    <x v="1"/>
    <x v="2"/>
    <s v="DE4-E_A"/>
    <x v="2"/>
    <s v="GNR_GEO_HEAT_EO"/>
    <x v="0"/>
    <x v="11"/>
    <n v="0.22"/>
    <n v="80.3"/>
    <n v="289.08"/>
  </r>
  <r>
    <x v="0"/>
    <x v="0"/>
    <x v="0"/>
    <x v="1"/>
    <x v="2"/>
    <s v="DE4-E_A"/>
    <x v="2"/>
    <s v="GNR_GEO_HEAT_EO"/>
    <x v="0"/>
    <x v="12"/>
    <n v="0.22"/>
    <n v="80.3"/>
    <n v="289.08"/>
  </r>
  <r>
    <x v="0"/>
    <x v="0"/>
    <x v="0"/>
    <x v="1"/>
    <x v="2"/>
    <s v="DE4-E_A"/>
    <x v="2"/>
    <s v="GNR_GEO_HEAT_EO"/>
    <x v="0"/>
    <x v="13"/>
    <n v="0.22"/>
    <n v="80.3"/>
    <n v="289.08"/>
  </r>
  <r>
    <x v="0"/>
    <x v="0"/>
    <x v="0"/>
    <x v="1"/>
    <x v="2"/>
    <s v="DE4-E_A"/>
    <x v="2"/>
    <s v="GNR_GEO_HEAT_EO"/>
    <x v="0"/>
    <x v="14"/>
    <n v="0.22"/>
    <n v="80.3"/>
    <n v="289.08"/>
  </r>
  <r>
    <x v="0"/>
    <x v="0"/>
    <x v="0"/>
    <x v="1"/>
    <x v="2"/>
    <s v="DE4-E_A"/>
    <x v="2"/>
    <s v="GNR_GEO_HEAT_EO"/>
    <x v="0"/>
    <x v="15"/>
    <n v="0.22"/>
    <n v="80.3"/>
    <n v="289.08"/>
  </r>
  <r>
    <x v="0"/>
    <x v="0"/>
    <x v="0"/>
    <x v="1"/>
    <x v="2"/>
    <s v="DE4-E_A"/>
    <x v="2"/>
    <s v="GNR_GEO_HEAT_EO"/>
    <x v="0"/>
    <x v="16"/>
    <n v="0.22"/>
    <n v="80.3"/>
    <n v="289.08"/>
  </r>
  <r>
    <x v="0"/>
    <x v="0"/>
    <x v="0"/>
    <x v="1"/>
    <x v="2"/>
    <s v="DE4-E_A"/>
    <x v="2"/>
    <s v="GNR_GEO_HEAT_EO"/>
    <x v="0"/>
    <x v="17"/>
    <n v="0.22"/>
    <n v="80.3"/>
    <n v="289.08"/>
  </r>
  <r>
    <x v="0"/>
    <x v="0"/>
    <x v="0"/>
    <x v="1"/>
    <x v="2"/>
    <s v="DE4-E_A"/>
    <x v="2"/>
    <s v="GNR_GEO_HEAT_EO"/>
    <x v="0"/>
    <x v="18"/>
    <n v="0.22"/>
    <n v="80.3"/>
    <n v="289.08"/>
  </r>
  <r>
    <x v="0"/>
    <x v="0"/>
    <x v="0"/>
    <x v="1"/>
    <x v="2"/>
    <s v="DE4-E_A"/>
    <x v="2"/>
    <s v="GNR_GEO_HEAT_EO"/>
    <x v="0"/>
    <x v="19"/>
    <n v="0.22"/>
    <n v="80.3"/>
    <n v="289.08"/>
  </r>
  <r>
    <x v="0"/>
    <x v="0"/>
    <x v="0"/>
    <x v="1"/>
    <x v="2"/>
    <s v="DE4-E_A"/>
    <x v="2"/>
    <s v="GNR_GEO_HEAT_EO"/>
    <x v="0"/>
    <x v="20"/>
    <n v="0.22"/>
    <n v="80.3"/>
    <n v="289.08"/>
  </r>
  <r>
    <x v="0"/>
    <x v="0"/>
    <x v="0"/>
    <x v="1"/>
    <x v="2"/>
    <s v="DE4-E_A"/>
    <x v="2"/>
    <s v="GNR_GEO_HEAT_EO"/>
    <x v="0"/>
    <x v="21"/>
    <n v="0.22"/>
    <n v="80.3"/>
    <n v="289.08"/>
  </r>
  <r>
    <x v="0"/>
    <x v="0"/>
    <x v="0"/>
    <x v="1"/>
    <x v="2"/>
    <s v="DE4-E_A"/>
    <x v="2"/>
    <s v="GNR_GEO_HEAT_EO"/>
    <x v="0"/>
    <x v="22"/>
    <n v="0.22"/>
    <n v="80.3"/>
    <n v="289.08"/>
  </r>
  <r>
    <x v="0"/>
    <x v="0"/>
    <x v="0"/>
    <x v="1"/>
    <x v="2"/>
    <s v="DE4-E_A"/>
    <x v="2"/>
    <s v="GNR_GEO_HEAT_EO"/>
    <x v="0"/>
    <x v="23"/>
    <n v="0.22"/>
    <n v="80.3"/>
    <n v="289.08"/>
  </r>
  <r>
    <x v="0"/>
    <x v="0"/>
    <x v="0"/>
    <x v="1"/>
    <x v="2"/>
    <s v="DE4-E_A"/>
    <x v="7"/>
    <s v="GNR_ROR_WTR"/>
    <x v="0"/>
    <x v="0"/>
    <n v="336.50990500607298"/>
    <n v="122826.115327217"/>
    <n v="442174.01517798001"/>
  </r>
  <r>
    <x v="0"/>
    <x v="0"/>
    <x v="0"/>
    <x v="1"/>
    <x v="2"/>
    <s v="DE4-E_A"/>
    <x v="7"/>
    <s v="GNR_ROR_WTR"/>
    <x v="0"/>
    <x v="1"/>
    <n v="336.50990500607298"/>
    <n v="122826.115327217"/>
    <n v="442174.01517798001"/>
  </r>
  <r>
    <x v="0"/>
    <x v="0"/>
    <x v="0"/>
    <x v="1"/>
    <x v="2"/>
    <s v="DE4-E_A"/>
    <x v="7"/>
    <s v="GNR_ROR_WTR"/>
    <x v="0"/>
    <x v="2"/>
    <n v="336.50990500607298"/>
    <n v="122826.115327217"/>
    <n v="442174.01517798001"/>
  </r>
  <r>
    <x v="0"/>
    <x v="0"/>
    <x v="0"/>
    <x v="1"/>
    <x v="2"/>
    <s v="DE4-E_A"/>
    <x v="7"/>
    <s v="GNR_ROR_WTR"/>
    <x v="0"/>
    <x v="3"/>
    <n v="336.50990500607298"/>
    <n v="122826.115327217"/>
    <n v="442174.01517798001"/>
  </r>
  <r>
    <x v="0"/>
    <x v="0"/>
    <x v="0"/>
    <x v="1"/>
    <x v="2"/>
    <s v="DE4-E_A"/>
    <x v="7"/>
    <s v="GNR_ROR_WTR"/>
    <x v="0"/>
    <x v="4"/>
    <n v="336.50990500607298"/>
    <n v="122826.115327217"/>
    <n v="442174.01517798001"/>
  </r>
  <r>
    <x v="0"/>
    <x v="0"/>
    <x v="0"/>
    <x v="1"/>
    <x v="2"/>
    <s v="DE4-E_A"/>
    <x v="7"/>
    <s v="GNR_ROR_WTR"/>
    <x v="0"/>
    <x v="5"/>
    <n v="336.50990500607298"/>
    <n v="122826.115327217"/>
    <n v="442174.01517798001"/>
  </r>
  <r>
    <x v="0"/>
    <x v="0"/>
    <x v="0"/>
    <x v="1"/>
    <x v="2"/>
    <s v="DE4-E_A"/>
    <x v="7"/>
    <s v="GNR_ROR_WTR"/>
    <x v="0"/>
    <x v="6"/>
    <n v="336.50990500607298"/>
    <n v="122826.115327217"/>
    <n v="442174.01517798001"/>
  </r>
  <r>
    <x v="0"/>
    <x v="0"/>
    <x v="0"/>
    <x v="1"/>
    <x v="2"/>
    <s v="DE4-E_A"/>
    <x v="7"/>
    <s v="GNR_ROR_WTR"/>
    <x v="0"/>
    <x v="7"/>
    <n v="336.50990500607298"/>
    <n v="122826.115327217"/>
    <n v="442174.01517798001"/>
  </r>
  <r>
    <x v="0"/>
    <x v="0"/>
    <x v="0"/>
    <x v="1"/>
    <x v="2"/>
    <s v="DE4-E_A"/>
    <x v="7"/>
    <s v="GNR_ROR_WTR"/>
    <x v="0"/>
    <x v="8"/>
    <n v="336.50990500607298"/>
    <n v="122826.115327217"/>
    <n v="442174.01517798001"/>
  </r>
  <r>
    <x v="0"/>
    <x v="0"/>
    <x v="0"/>
    <x v="1"/>
    <x v="2"/>
    <s v="DE4-E_A"/>
    <x v="7"/>
    <s v="GNR_ROR_WTR"/>
    <x v="0"/>
    <x v="9"/>
    <n v="336.50990500607298"/>
    <n v="122826.115327217"/>
    <n v="442174.01517798001"/>
  </r>
  <r>
    <x v="0"/>
    <x v="0"/>
    <x v="0"/>
    <x v="1"/>
    <x v="2"/>
    <s v="DE4-E_A"/>
    <x v="7"/>
    <s v="GNR_ROR_WTR"/>
    <x v="0"/>
    <x v="10"/>
    <n v="336.50990500607298"/>
    <n v="122826.115327217"/>
    <n v="442174.01517798001"/>
  </r>
  <r>
    <x v="0"/>
    <x v="0"/>
    <x v="0"/>
    <x v="1"/>
    <x v="2"/>
    <s v="DE4-E_A"/>
    <x v="7"/>
    <s v="GNR_ROR_WTR"/>
    <x v="0"/>
    <x v="11"/>
    <n v="336.50990500607298"/>
    <n v="122826.115327217"/>
    <n v="442174.01517798001"/>
  </r>
  <r>
    <x v="0"/>
    <x v="0"/>
    <x v="0"/>
    <x v="1"/>
    <x v="2"/>
    <s v="DE4-E_A"/>
    <x v="7"/>
    <s v="GNR_ROR_WTR"/>
    <x v="0"/>
    <x v="12"/>
    <n v="336.50990500607298"/>
    <n v="122826.115327217"/>
    <n v="442174.01517798001"/>
  </r>
  <r>
    <x v="0"/>
    <x v="0"/>
    <x v="0"/>
    <x v="1"/>
    <x v="2"/>
    <s v="DE4-E_A"/>
    <x v="7"/>
    <s v="GNR_ROR_WTR"/>
    <x v="0"/>
    <x v="13"/>
    <n v="336.50990500607298"/>
    <n v="122826.115327217"/>
    <n v="442174.01517798001"/>
  </r>
  <r>
    <x v="0"/>
    <x v="0"/>
    <x v="0"/>
    <x v="1"/>
    <x v="2"/>
    <s v="DE4-E_A"/>
    <x v="7"/>
    <s v="GNR_ROR_WTR"/>
    <x v="0"/>
    <x v="14"/>
    <n v="336.50990500607298"/>
    <n v="122826.115327217"/>
    <n v="442174.01517798001"/>
  </r>
  <r>
    <x v="0"/>
    <x v="0"/>
    <x v="0"/>
    <x v="1"/>
    <x v="2"/>
    <s v="DE4-E_A"/>
    <x v="7"/>
    <s v="GNR_ROR_WTR"/>
    <x v="0"/>
    <x v="15"/>
    <n v="336.50990500607298"/>
    <n v="122826.115327217"/>
    <n v="442174.01517798001"/>
  </r>
  <r>
    <x v="0"/>
    <x v="0"/>
    <x v="0"/>
    <x v="1"/>
    <x v="2"/>
    <s v="DE4-E_A"/>
    <x v="7"/>
    <s v="GNR_ROR_WTR"/>
    <x v="0"/>
    <x v="16"/>
    <n v="336.50990500607298"/>
    <n v="122826.115327217"/>
    <n v="442174.01517798001"/>
  </r>
  <r>
    <x v="0"/>
    <x v="0"/>
    <x v="0"/>
    <x v="1"/>
    <x v="2"/>
    <s v="DE4-E_A"/>
    <x v="7"/>
    <s v="GNR_ROR_WTR"/>
    <x v="0"/>
    <x v="17"/>
    <n v="336.50990500607298"/>
    <n v="122826.115327217"/>
    <n v="442174.01517798001"/>
  </r>
  <r>
    <x v="0"/>
    <x v="0"/>
    <x v="0"/>
    <x v="1"/>
    <x v="2"/>
    <s v="DE4-E_A"/>
    <x v="7"/>
    <s v="GNR_ROR_WTR"/>
    <x v="0"/>
    <x v="18"/>
    <n v="336.50990500607298"/>
    <n v="122826.115327217"/>
    <n v="442174.01517798001"/>
  </r>
  <r>
    <x v="0"/>
    <x v="0"/>
    <x v="0"/>
    <x v="1"/>
    <x v="2"/>
    <s v="DE4-E_A"/>
    <x v="7"/>
    <s v="GNR_ROR_WTR"/>
    <x v="0"/>
    <x v="19"/>
    <n v="336.50990500607298"/>
    <n v="122826.115327217"/>
    <n v="442174.01517798001"/>
  </r>
  <r>
    <x v="0"/>
    <x v="0"/>
    <x v="0"/>
    <x v="1"/>
    <x v="2"/>
    <s v="DE4-E_A"/>
    <x v="7"/>
    <s v="GNR_ROR_WTR"/>
    <x v="0"/>
    <x v="20"/>
    <n v="336.50990500607298"/>
    <n v="122826.115327217"/>
    <n v="442174.01517798001"/>
  </r>
  <r>
    <x v="0"/>
    <x v="0"/>
    <x v="0"/>
    <x v="1"/>
    <x v="2"/>
    <s v="DE4-E_A"/>
    <x v="7"/>
    <s v="GNR_ROR_WTR"/>
    <x v="0"/>
    <x v="21"/>
    <n v="336.50990500607298"/>
    <n v="122826.115327217"/>
    <n v="442174.01517798001"/>
  </r>
  <r>
    <x v="0"/>
    <x v="0"/>
    <x v="0"/>
    <x v="1"/>
    <x v="2"/>
    <s v="DE4-E_A"/>
    <x v="7"/>
    <s v="GNR_ROR_WTR"/>
    <x v="0"/>
    <x v="22"/>
    <n v="336.50990500607298"/>
    <n v="122826.115327217"/>
    <n v="442174.01517798001"/>
  </r>
  <r>
    <x v="0"/>
    <x v="0"/>
    <x v="0"/>
    <x v="1"/>
    <x v="2"/>
    <s v="DE4-E_A"/>
    <x v="7"/>
    <s v="GNR_ROR_WTR"/>
    <x v="0"/>
    <x v="23"/>
    <n v="336.50990500607298"/>
    <n v="122826.115327217"/>
    <n v="442174.01517798001"/>
  </r>
  <r>
    <x v="0"/>
    <x v="0"/>
    <x v="0"/>
    <x v="1"/>
    <x v="2"/>
    <s v="DE4-E_A"/>
    <x v="8"/>
    <s v="GNR_WT_WIND_ONS"/>
    <x v="0"/>
    <x v="0"/>
    <n v="6387.7622737139"/>
    <n v="2331533.2299055802"/>
    <n v="8393519.6276600696"/>
  </r>
  <r>
    <x v="0"/>
    <x v="0"/>
    <x v="0"/>
    <x v="1"/>
    <x v="2"/>
    <s v="DE4-E_A"/>
    <x v="8"/>
    <s v="GNR_WT_WIND_ONS"/>
    <x v="0"/>
    <x v="1"/>
    <n v="5917.17401835483"/>
    <n v="2159768.5166995102"/>
    <n v="7775166.6601182399"/>
  </r>
  <r>
    <x v="0"/>
    <x v="0"/>
    <x v="0"/>
    <x v="1"/>
    <x v="2"/>
    <s v="DE4-E_A"/>
    <x v="8"/>
    <s v="GNR_WT_WIND_ONS"/>
    <x v="0"/>
    <x v="2"/>
    <n v="5611.5621053917503"/>
    <n v="2048220.1684679899"/>
    <n v="7373592.6064847596"/>
  </r>
  <r>
    <x v="0"/>
    <x v="0"/>
    <x v="0"/>
    <x v="1"/>
    <x v="2"/>
    <s v="DE4-E_A"/>
    <x v="8"/>
    <s v="GNR_WT_WIND_ONS"/>
    <x v="0"/>
    <x v="3"/>
    <n v="5071.5012304376396"/>
    <n v="1851097.9491097401"/>
    <n v="6663952.6167950602"/>
  </r>
  <r>
    <x v="0"/>
    <x v="0"/>
    <x v="0"/>
    <x v="1"/>
    <x v="2"/>
    <s v="DE4-E_A"/>
    <x v="8"/>
    <s v="GNR_WT_WIND_ONS"/>
    <x v="0"/>
    <x v="4"/>
    <n v="4521.4674003591799"/>
    <n v="1650335.6011311"/>
    <n v="5941208.1640719604"/>
  </r>
  <r>
    <x v="0"/>
    <x v="0"/>
    <x v="0"/>
    <x v="1"/>
    <x v="2"/>
    <s v="DE4-E_A"/>
    <x v="8"/>
    <s v="GNR_WT_WIND_ONS"/>
    <x v="0"/>
    <x v="5"/>
    <n v="4297.3294597678896"/>
    <n v="1568525.2528152801"/>
    <n v="5646690.9101350103"/>
  </r>
  <r>
    <x v="0"/>
    <x v="0"/>
    <x v="0"/>
    <x v="1"/>
    <x v="2"/>
    <s v="DE4-E_A"/>
    <x v="8"/>
    <s v="GNR_WT_WIND_ONS"/>
    <x v="0"/>
    <x v="6"/>
    <n v="4226.6736082089501"/>
    <n v="1542735.8669962699"/>
    <n v="5553849.12118656"/>
  </r>
  <r>
    <x v="0"/>
    <x v="0"/>
    <x v="0"/>
    <x v="1"/>
    <x v="2"/>
    <s v="DE4-E_A"/>
    <x v="8"/>
    <s v="GNR_WT_WIND_ONS"/>
    <x v="0"/>
    <x v="7"/>
    <n v="4345.6729371503297"/>
    <n v="1586170.62205987"/>
    <n v="5710214.2394155301"/>
  </r>
  <r>
    <x v="0"/>
    <x v="0"/>
    <x v="0"/>
    <x v="1"/>
    <x v="2"/>
    <s v="DE4-E_A"/>
    <x v="8"/>
    <s v="GNR_WT_WIND_ONS"/>
    <x v="0"/>
    <x v="8"/>
    <n v="5200.9806139164602"/>
    <n v="1898357.9240795099"/>
    <n v="6834088.5266862297"/>
  </r>
  <r>
    <x v="0"/>
    <x v="0"/>
    <x v="0"/>
    <x v="1"/>
    <x v="2"/>
    <s v="DE4-E_A"/>
    <x v="8"/>
    <s v="GNR_WT_WIND_ONS"/>
    <x v="0"/>
    <x v="9"/>
    <n v="5888.4383849456899"/>
    <n v="2149280.0105051799"/>
    <n v="7737408.0378186395"/>
  </r>
  <r>
    <x v="0"/>
    <x v="0"/>
    <x v="0"/>
    <x v="1"/>
    <x v="2"/>
    <s v="DE4-E_A"/>
    <x v="8"/>
    <s v="GNR_WT_WIND_ONS"/>
    <x v="0"/>
    <x v="10"/>
    <n v="5690.8386469734296"/>
    <n v="2077156.1061453"/>
    <n v="7477761.98212309"/>
  </r>
  <r>
    <x v="0"/>
    <x v="0"/>
    <x v="0"/>
    <x v="1"/>
    <x v="2"/>
    <s v="DE4-E_A"/>
    <x v="8"/>
    <s v="GNR_WT_WIND_ONS"/>
    <x v="0"/>
    <x v="11"/>
    <n v="5205.0374092212796"/>
    <n v="1899838.6543657701"/>
    <n v="6839419.1557167601"/>
  </r>
  <r>
    <x v="0"/>
    <x v="0"/>
    <x v="0"/>
    <x v="1"/>
    <x v="2"/>
    <s v="DE4-E_A"/>
    <x v="8"/>
    <s v="GNR_WT_WIND_ONS"/>
    <x v="0"/>
    <x v="12"/>
    <n v="5291.4133425864002"/>
    <n v="1931365.87004404"/>
    <n v="6952917.1321585299"/>
  </r>
  <r>
    <x v="0"/>
    <x v="0"/>
    <x v="0"/>
    <x v="1"/>
    <x v="2"/>
    <s v="DE4-E_A"/>
    <x v="8"/>
    <s v="GNR_WT_WIND_ONS"/>
    <x v="0"/>
    <x v="13"/>
    <n v="5366.9711551386699"/>
    <n v="1958944.47162561"/>
    <n v="7052200.0978522096"/>
  </r>
  <r>
    <x v="0"/>
    <x v="0"/>
    <x v="0"/>
    <x v="1"/>
    <x v="2"/>
    <s v="DE4-E_A"/>
    <x v="8"/>
    <s v="GNR_WT_WIND_ONS"/>
    <x v="0"/>
    <x v="14"/>
    <n v="5393.6783908954003"/>
    <n v="1968692.61267682"/>
    <n v="7087293.4056365499"/>
  </r>
  <r>
    <x v="0"/>
    <x v="0"/>
    <x v="0"/>
    <x v="1"/>
    <x v="2"/>
    <s v="DE4-E_A"/>
    <x v="8"/>
    <s v="GNR_WT_WIND_ONS"/>
    <x v="0"/>
    <x v="15"/>
    <n v="5046.1462597825102"/>
    <n v="1841843.3848206201"/>
    <n v="6630636.1853542197"/>
  </r>
  <r>
    <x v="0"/>
    <x v="0"/>
    <x v="0"/>
    <x v="1"/>
    <x v="2"/>
    <s v="DE4-E_A"/>
    <x v="8"/>
    <s v="GNR_WT_WIND_ONS"/>
    <x v="0"/>
    <x v="16"/>
    <n v="4561.1901877188702"/>
    <n v="1664834.41851739"/>
    <n v="5993403.9066625899"/>
  </r>
  <r>
    <x v="0"/>
    <x v="0"/>
    <x v="0"/>
    <x v="1"/>
    <x v="2"/>
    <s v="DE4-E_A"/>
    <x v="8"/>
    <s v="GNR_WT_WIND_ONS"/>
    <x v="0"/>
    <x v="17"/>
    <n v="3779.2428927148799"/>
    <n v="1379423.6558409301"/>
    <n v="4965925.1610273598"/>
  </r>
  <r>
    <x v="0"/>
    <x v="0"/>
    <x v="0"/>
    <x v="1"/>
    <x v="2"/>
    <s v="DE4-E_A"/>
    <x v="8"/>
    <s v="GNR_WT_WIND_ONS"/>
    <x v="0"/>
    <x v="18"/>
    <n v="2903.6512394246502"/>
    <n v="1059832.70239"/>
    <n v="3815397.7286039898"/>
  </r>
  <r>
    <x v="0"/>
    <x v="0"/>
    <x v="0"/>
    <x v="1"/>
    <x v="2"/>
    <s v="DE4-E_A"/>
    <x v="8"/>
    <s v="GNR_WT_WIND_ONS"/>
    <x v="0"/>
    <x v="19"/>
    <n v="2916.4977578899102"/>
    <n v="1064521.68162982"/>
    <n v="3832278.0538673401"/>
  </r>
  <r>
    <x v="0"/>
    <x v="0"/>
    <x v="0"/>
    <x v="1"/>
    <x v="2"/>
    <s v="DE4-E_A"/>
    <x v="8"/>
    <s v="GNR_WT_WIND_ONS"/>
    <x v="0"/>
    <x v="20"/>
    <n v="3065.2469190666302"/>
    <n v="1118815.1254593199"/>
    <n v="4027734.4516535499"/>
  </r>
  <r>
    <x v="0"/>
    <x v="0"/>
    <x v="0"/>
    <x v="1"/>
    <x v="2"/>
    <s v="DE4-E_A"/>
    <x v="8"/>
    <s v="GNR_WT_WIND_ONS"/>
    <x v="0"/>
    <x v="21"/>
    <n v="3315.7540291392402"/>
    <n v="1210250.2206358199"/>
    <n v="4356900.7942889603"/>
  </r>
  <r>
    <x v="0"/>
    <x v="0"/>
    <x v="0"/>
    <x v="1"/>
    <x v="2"/>
    <s v="DE4-E_A"/>
    <x v="8"/>
    <s v="GNR_WT_WIND_ONS"/>
    <x v="0"/>
    <x v="22"/>
    <n v="3462.3057595258501"/>
    <n v="1263741.60222694"/>
    <n v="4549469.7680169698"/>
  </r>
  <r>
    <x v="0"/>
    <x v="0"/>
    <x v="0"/>
    <x v="1"/>
    <x v="2"/>
    <s v="DE4-E_A"/>
    <x v="8"/>
    <s v="GNR_WT_WIND_ONS"/>
    <x v="0"/>
    <x v="23"/>
    <n v="3504.22597767565"/>
    <n v="1279042.4818516099"/>
    <n v="4604552.9346658103"/>
  </r>
  <r>
    <x v="0"/>
    <x v="0"/>
    <x v="0"/>
    <x v="1"/>
    <x v="2"/>
    <s v="DE4-E_Offshore_A"/>
    <x v="8"/>
    <s v="GNR_WT_WIND_OFF"/>
    <x v="0"/>
    <x v="0"/>
    <n v="232.29950815152401"/>
    <n v="84789.320475306304"/>
    <n v="305241.55371110298"/>
  </r>
  <r>
    <x v="0"/>
    <x v="0"/>
    <x v="0"/>
    <x v="1"/>
    <x v="2"/>
    <s v="DE4-E_Offshore_A"/>
    <x v="8"/>
    <s v="GNR_WT_WIND_OFF"/>
    <x v="0"/>
    <x v="1"/>
    <n v="215.18593761186199"/>
    <n v="78542.867228329502"/>
    <n v="282754.32202198601"/>
  </r>
  <r>
    <x v="0"/>
    <x v="0"/>
    <x v="0"/>
    <x v="1"/>
    <x v="2"/>
    <s v="DE4-E_Offshore_A"/>
    <x v="8"/>
    <s v="GNR_WT_WIND_OFF"/>
    <x v="0"/>
    <x v="2"/>
    <n v="204.07195214644901"/>
    <n v="74486.262533453802"/>
    <n v="268150.54512043402"/>
  </r>
  <r>
    <x v="0"/>
    <x v="0"/>
    <x v="0"/>
    <x v="1"/>
    <x v="2"/>
    <s v="DE4-E_Offshore_A"/>
    <x v="8"/>
    <s v="GNR_WT_WIND_OFF"/>
    <x v="0"/>
    <x v="3"/>
    <n v="184.43191699047799"/>
    <n v="67317.649701524599"/>
    <n v="242343.538925489"/>
  </r>
  <r>
    <x v="0"/>
    <x v="0"/>
    <x v="0"/>
    <x v="1"/>
    <x v="2"/>
    <s v="DE4-E_Offshore_A"/>
    <x v="8"/>
    <s v="GNR_WT_WIND_OFF"/>
    <x v="0"/>
    <x v="4"/>
    <n v="164.42920199907701"/>
    <n v="60016.658729663097"/>
    <n v="216059.971426787"/>
  </r>
  <r>
    <x v="0"/>
    <x v="0"/>
    <x v="0"/>
    <x v="1"/>
    <x v="2"/>
    <s v="DE4-E_Offshore_A"/>
    <x v="8"/>
    <s v="GNR_WT_WIND_OFF"/>
    <x v="0"/>
    <x v="5"/>
    <n v="156.27812637566001"/>
    <n v="57041.516127115901"/>
    <n v="205349.45805761701"/>
  </r>
  <r>
    <x v="0"/>
    <x v="0"/>
    <x v="0"/>
    <x v="1"/>
    <x v="2"/>
    <s v="DE4-E_Offshore_A"/>
    <x v="8"/>
    <s v="GNR_WT_WIND_OFF"/>
    <x v="0"/>
    <x v="6"/>
    <n v="153.708631948369"/>
    <n v="56103.650661154599"/>
    <n v="201973.14238015699"/>
  </r>
  <r>
    <x v="0"/>
    <x v="0"/>
    <x v="0"/>
    <x v="1"/>
    <x v="2"/>
    <s v="DE4-E_Offshore_A"/>
    <x v="8"/>
    <s v="GNR_WT_WIND_OFF"/>
    <x v="0"/>
    <x v="7"/>
    <n v="158.03620151012299"/>
    <n v="57683.213551194698"/>
    <n v="207659.56878430099"/>
  </r>
  <r>
    <x v="0"/>
    <x v="0"/>
    <x v="0"/>
    <x v="1"/>
    <x v="2"/>
    <s v="DE4-E_Offshore_A"/>
    <x v="8"/>
    <s v="GNR_WT_WIND_OFF"/>
    <x v="0"/>
    <x v="8"/>
    <n v="189.14060773522701"/>
    <n v="69036.321823357997"/>
    <n v="248530.75856408899"/>
  </r>
  <r>
    <x v="0"/>
    <x v="0"/>
    <x v="0"/>
    <x v="1"/>
    <x v="2"/>
    <s v="DE4-E_Offshore_A"/>
    <x v="8"/>
    <s v="GNR_WT_WIND_OFF"/>
    <x v="0"/>
    <x v="9"/>
    <n v="214.14092791655199"/>
    <n v="78161.438689541406"/>
    <n v="281381.17928234901"/>
  </r>
  <r>
    <x v="0"/>
    <x v="0"/>
    <x v="0"/>
    <x v="1"/>
    <x v="2"/>
    <s v="DE4-E_Offshore_A"/>
    <x v="8"/>
    <s v="GNR_WT_WIND_OFF"/>
    <x v="0"/>
    <x v="10"/>
    <n v="206.95494948233301"/>
    <n v="75538.556561051504"/>
    <n v="271938.803619785"/>
  </r>
  <r>
    <x v="0"/>
    <x v="0"/>
    <x v="0"/>
    <x v="1"/>
    <x v="2"/>
    <s v="DE4-E_Offshore_A"/>
    <x v="8"/>
    <s v="GNR_WT_WIND_OFF"/>
    <x v="0"/>
    <x v="11"/>
    <n v="189.28813851574199"/>
    <n v="69090.170558245707"/>
    <n v="248724.614009685"/>
  </r>
  <r>
    <x v="0"/>
    <x v="0"/>
    <x v="0"/>
    <x v="1"/>
    <x v="2"/>
    <s v="DE4-E_Offshore_A"/>
    <x v="8"/>
    <s v="GNR_WT_WIND_OFF"/>
    <x v="0"/>
    <x v="12"/>
    <n v="192.42931471752601"/>
    <n v="70236.699871896999"/>
    <n v="252852.11953882899"/>
  </r>
  <r>
    <x v="0"/>
    <x v="0"/>
    <x v="0"/>
    <x v="1"/>
    <x v="2"/>
    <s v="DE4-E_Offshore_A"/>
    <x v="8"/>
    <s v="GNR_WT_WIND_OFF"/>
    <x v="0"/>
    <x v="13"/>
    <n v="195.177075504605"/>
    <n v="71239.632559181002"/>
    <n v="256462.677213052"/>
  </r>
  <r>
    <x v="0"/>
    <x v="0"/>
    <x v="0"/>
    <x v="1"/>
    <x v="2"/>
    <s v="DE4-E_Offshore_A"/>
    <x v="8"/>
    <s v="GNR_WT_WIND_OFF"/>
    <x v="0"/>
    <x v="14"/>
    <n v="196.14831980965801"/>
    <n v="71594.136730525206"/>
    <n v="257738.892229891"/>
  </r>
  <r>
    <x v="0"/>
    <x v="0"/>
    <x v="0"/>
    <x v="1"/>
    <x v="2"/>
    <s v="DE4-E_Offshore_A"/>
    <x v="8"/>
    <s v="GNR_WT_WIND_OFF"/>
    <x v="0"/>
    <x v="15"/>
    <n v="183.50984961226399"/>
    <n v="66981.095108476293"/>
    <n v="241131.942390515"/>
  </r>
  <r>
    <x v="0"/>
    <x v="0"/>
    <x v="0"/>
    <x v="1"/>
    <x v="2"/>
    <s v="DE4-E_Offshore_A"/>
    <x v="8"/>
    <s v="GNR_WT_WIND_OFF"/>
    <x v="0"/>
    <x v="16"/>
    <n v="165.873774224946"/>
    <n v="60543.927592105501"/>
    <n v="217958.13933157999"/>
  </r>
  <r>
    <x v="0"/>
    <x v="0"/>
    <x v="0"/>
    <x v="1"/>
    <x v="2"/>
    <s v="DE4-E_Offshore_A"/>
    <x v="8"/>
    <s v="GNR_WT_WIND_OFF"/>
    <x v="0"/>
    <x v="17"/>
    <n v="137.437216280809"/>
    <n v="50164.583942495301"/>
    <n v="180592.502192983"/>
  </r>
  <r>
    <x v="0"/>
    <x v="0"/>
    <x v="0"/>
    <x v="1"/>
    <x v="2"/>
    <s v="DE4-E_Offshore_A"/>
    <x v="8"/>
    <s v="GNR_WT_WIND_OFF"/>
    <x v="0"/>
    <x v="18"/>
    <n v="105.595156153133"/>
    <n v="38542.231995893402"/>
    <n v="138752.03518521599"/>
  </r>
  <r>
    <x v="0"/>
    <x v="0"/>
    <x v="0"/>
    <x v="1"/>
    <x v="2"/>
    <s v="DE4-E_Offshore_A"/>
    <x v="8"/>
    <s v="GNR_WT_WIND_OFF"/>
    <x v="0"/>
    <x v="19"/>
    <n v="106.062336958095"/>
    <n v="38712.752989704502"/>
    <n v="139365.91076293599"/>
  </r>
  <r>
    <x v="0"/>
    <x v="0"/>
    <x v="0"/>
    <x v="1"/>
    <x v="2"/>
    <s v="DE4-E_Offshore_A"/>
    <x v="8"/>
    <s v="GNR_WT_WIND_OFF"/>
    <x v="0"/>
    <x v="20"/>
    <n v="111.47179891028701"/>
    <n v="40687.206602254701"/>
    <n v="146473.94376811699"/>
  </r>
  <r>
    <x v="0"/>
    <x v="0"/>
    <x v="0"/>
    <x v="1"/>
    <x v="2"/>
    <s v="DE4-E_Offshore_A"/>
    <x v="8"/>
    <s v="GNR_WT_WIND_OFF"/>
    <x v="0"/>
    <x v="21"/>
    <n v="120.581824607047"/>
    <n v="44012.365981572097"/>
    <n v="158444.517533659"/>
  </r>
  <r>
    <x v="0"/>
    <x v="0"/>
    <x v="0"/>
    <x v="1"/>
    <x v="2"/>
    <s v="DE4-E_Offshore_A"/>
    <x v="8"/>
    <s v="GNR_WT_WIND_OFF"/>
    <x v="0"/>
    <x v="22"/>
    <n v="125.91137405312701"/>
    <n v="45957.651529391303"/>
    <n v="165447.54550580899"/>
  </r>
  <r>
    <x v="0"/>
    <x v="0"/>
    <x v="0"/>
    <x v="1"/>
    <x v="2"/>
    <s v="DE4-E_Offshore_A"/>
    <x v="8"/>
    <s v="GNR_WT_WIND_OFF"/>
    <x v="0"/>
    <x v="23"/>
    <n v="127.435858785108"/>
    <n v="46514.088456564597"/>
    <n v="167450.71844363201"/>
  </r>
  <r>
    <x v="0"/>
    <x v="0"/>
    <x v="0"/>
    <x v="1"/>
    <x v="3"/>
    <s v="DE4-N_A"/>
    <x v="0"/>
    <s v="GNR_ST_COAL_CND_E-46"/>
    <x v="0"/>
    <x v="17"/>
    <n v="1783.77855996469"/>
    <n v="651079.17438711098"/>
    <n v="2343885.0277936002"/>
  </r>
  <r>
    <x v="0"/>
    <x v="0"/>
    <x v="0"/>
    <x v="1"/>
    <x v="3"/>
    <s v="DE4-N_A"/>
    <x v="0"/>
    <s v="GNR_ST_COAL_CND_E-46"/>
    <x v="0"/>
    <x v="19"/>
    <n v="3478.2608695652202"/>
    <n v="1269565.2173913"/>
    <n v="4570434.7826087"/>
  </r>
  <r>
    <x v="0"/>
    <x v="0"/>
    <x v="0"/>
    <x v="1"/>
    <x v="3"/>
    <s v="DE4-N_A"/>
    <x v="0"/>
    <s v="GNR_ST_COAL_CND_E-46"/>
    <x v="0"/>
    <x v="20"/>
    <n v="3478.2608695652202"/>
    <n v="1269565.2173913"/>
    <n v="4570434.7826087"/>
  </r>
  <r>
    <x v="0"/>
    <x v="0"/>
    <x v="0"/>
    <x v="1"/>
    <x v="3"/>
    <s v="DE4-N_A"/>
    <x v="0"/>
    <s v="GNR_ST_COAL_CND_E-46"/>
    <x v="0"/>
    <x v="21"/>
    <n v="1718.70801147824"/>
    <n v="627328.42418955697"/>
    <n v="2258382.3270824002"/>
  </r>
  <r>
    <x v="0"/>
    <x v="0"/>
    <x v="0"/>
    <x v="1"/>
    <x v="3"/>
    <s v="DE4-N_A"/>
    <x v="10"/>
    <s v="AGG-DE4-N_RES_WTR_PMP"/>
    <x v="0"/>
    <x v="0"/>
    <n v="952.8"/>
    <n v="347772"/>
    <n v="1251979.2"/>
  </r>
  <r>
    <x v="0"/>
    <x v="0"/>
    <x v="0"/>
    <x v="1"/>
    <x v="3"/>
    <s v="DE4-N_A"/>
    <x v="10"/>
    <s v="AGG-DE4-N_RES_WTR_PMP"/>
    <x v="0"/>
    <x v="1"/>
    <n v="952.8"/>
    <n v="347772"/>
    <n v="1251979.2"/>
  </r>
  <r>
    <x v="0"/>
    <x v="0"/>
    <x v="0"/>
    <x v="1"/>
    <x v="3"/>
    <s v="DE4-N_A"/>
    <x v="10"/>
    <s v="AGG-DE4-N_RES_WTR_PMP"/>
    <x v="0"/>
    <x v="2"/>
    <n v="952.8"/>
    <n v="347772"/>
    <n v="1251979.2"/>
  </r>
  <r>
    <x v="0"/>
    <x v="0"/>
    <x v="0"/>
    <x v="1"/>
    <x v="3"/>
    <s v="DE4-N_A"/>
    <x v="10"/>
    <s v="AGG-DE4-N_RES_WTR_PMP"/>
    <x v="0"/>
    <x v="3"/>
    <n v="952.8"/>
    <n v="347772"/>
    <n v="1251979.2"/>
  </r>
  <r>
    <x v="0"/>
    <x v="0"/>
    <x v="0"/>
    <x v="1"/>
    <x v="3"/>
    <s v="DE4-N_A"/>
    <x v="10"/>
    <s v="AGG-DE4-N_RES_WTR_PMP"/>
    <x v="0"/>
    <x v="4"/>
    <n v="952.8"/>
    <n v="347772"/>
    <n v="1251979.2"/>
  </r>
  <r>
    <x v="0"/>
    <x v="0"/>
    <x v="0"/>
    <x v="1"/>
    <x v="3"/>
    <s v="DE4-N_A"/>
    <x v="10"/>
    <s v="AGG-DE4-N_RES_WTR_PMP"/>
    <x v="0"/>
    <x v="5"/>
    <n v="952.8"/>
    <n v="347772"/>
    <n v="1251979.2"/>
  </r>
  <r>
    <x v="0"/>
    <x v="0"/>
    <x v="0"/>
    <x v="1"/>
    <x v="3"/>
    <s v="DE4-N_A"/>
    <x v="10"/>
    <s v="AGG-DE4-N_RES_WTR_PMP"/>
    <x v="0"/>
    <x v="6"/>
    <n v="952.8"/>
    <n v="347772"/>
    <n v="1251979.2"/>
  </r>
  <r>
    <x v="0"/>
    <x v="0"/>
    <x v="0"/>
    <x v="1"/>
    <x v="3"/>
    <s v="DE4-N_A"/>
    <x v="10"/>
    <s v="AGG-DE4-N_RES_WTR_PMP"/>
    <x v="0"/>
    <x v="7"/>
    <n v="952.8"/>
    <n v="347772"/>
    <n v="1251979.2"/>
  </r>
  <r>
    <x v="0"/>
    <x v="0"/>
    <x v="0"/>
    <x v="1"/>
    <x v="3"/>
    <s v="DE4-N_A"/>
    <x v="10"/>
    <s v="AGG-DE4-N_RES_WTR_PMP"/>
    <x v="0"/>
    <x v="8"/>
    <n v="952.8"/>
    <n v="347772"/>
    <n v="1251979.2"/>
  </r>
  <r>
    <x v="0"/>
    <x v="0"/>
    <x v="0"/>
    <x v="1"/>
    <x v="3"/>
    <s v="DE4-N_A"/>
    <x v="10"/>
    <s v="AGG-DE4-N_RES_WTR_PMP"/>
    <x v="0"/>
    <x v="9"/>
    <n v="952.8"/>
    <n v="347772"/>
    <n v="1251979.2"/>
  </r>
  <r>
    <x v="0"/>
    <x v="0"/>
    <x v="0"/>
    <x v="1"/>
    <x v="3"/>
    <s v="DE4-N_A"/>
    <x v="10"/>
    <s v="AGG-DE4-N_RES_WTR_PMP"/>
    <x v="0"/>
    <x v="10"/>
    <n v="952.8"/>
    <n v="347772"/>
    <n v="1251979.2"/>
  </r>
  <r>
    <x v="0"/>
    <x v="0"/>
    <x v="0"/>
    <x v="1"/>
    <x v="3"/>
    <s v="DE4-N_A"/>
    <x v="10"/>
    <s v="AGG-DE4-N_RES_WTR_PMP"/>
    <x v="0"/>
    <x v="11"/>
    <n v="952.8"/>
    <n v="347772"/>
    <n v="1251979.2"/>
  </r>
  <r>
    <x v="0"/>
    <x v="0"/>
    <x v="0"/>
    <x v="1"/>
    <x v="3"/>
    <s v="DE4-N_A"/>
    <x v="10"/>
    <s v="AGG-DE4-N_RES_WTR_PMP"/>
    <x v="0"/>
    <x v="12"/>
    <n v="952.8"/>
    <n v="347772"/>
    <n v="1251979.2"/>
  </r>
  <r>
    <x v="0"/>
    <x v="0"/>
    <x v="0"/>
    <x v="1"/>
    <x v="3"/>
    <s v="DE4-N_A"/>
    <x v="10"/>
    <s v="AGG-DE4-N_RES_WTR_PMP"/>
    <x v="0"/>
    <x v="13"/>
    <n v="952.8"/>
    <n v="347772"/>
    <n v="1251979.2"/>
  </r>
  <r>
    <x v="0"/>
    <x v="0"/>
    <x v="0"/>
    <x v="1"/>
    <x v="3"/>
    <s v="DE4-N_A"/>
    <x v="10"/>
    <s v="AGG-DE4-N_RES_WTR_PMP"/>
    <x v="0"/>
    <x v="14"/>
    <n v="952.8"/>
    <n v="347772"/>
    <n v="1251979.2"/>
  </r>
  <r>
    <x v="0"/>
    <x v="0"/>
    <x v="0"/>
    <x v="1"/>
    <x v="3"/>
    <s v="DE4-N_A"/>
    <x v="10"/>
    <s v="AGG-DE4-N_RES_WTR_PMP"/>
    <x v="0"/>
    <x v="15"/>
    <n v="952.8"/>
    <n v="347772"/>
    <n v="1251979.2"/>
  </r>
  <r>
    <x v="0"/>
    <x v="0"/>
    <x v="0"/>
    <x v="1"/>
    <x v="3"/>
    <s v="DE4-N_A"/>
    <x v="10"/>
    <s v="AGG-DE4-N_RES_WTR_PMP"/>
    <x v="0"/>
    <x v="16"/>
    <n v="952.8"/>
    <n v="347772"/>
    <n v="1251979.2"/>
  </r>
  <r>
    <x v="0"/>
    <x v="0"/>
    <x v="0"/>
    <x v="1"/>
    <x v="3"/>
    <s v="DE4-N_A"/>
    <x v="10"/>
    <s v="AGG-DE4-N_RES_WTR_PMP"/>
    <x v="0"/>
    <x v="17"/>
    <n v="952.8"/>
    <n v="347772"/>
    <n v="1251979.2"/>
  </r>
  <r>
    <x v="0"/>
    <x v="0"/>
    <x v="0"/>
    <x v="1"/>
    <x v="3"/>
    <s v="DE4-N_A"/>
    <x v="10"/>
    <s v="AGG-DE4-N_RES_WTR_PMP"/>
    <x v="0"/>
    <x v="18"/>
    <n v="952.8"/>
    <n v="347772"/>
    <n v="1251979.2"/>
  </r>
  <r>
    <x v="0"/>
    <x v="0"/>
    <x v="0"/>
    <x v="1"/>
    <x v="3"/>
    <s v="DE4-N_A"/>
    <x v="10"/>
    <s v="AGG-DE4-N_RES_WTR_PMP"/>
    <x v="0"/>
    <x v="19"/>
    <n v="952.8"/>
    <n v="347772"/>
    <n v="1251979.2"/>
  </r>
  <r>
    <x v="0"/>
    <x v="0"/>
    <x v="0"/>
    <x v="1"/>
    <x v="3"/>
    <s v="DE4-N_A"/>
    <x v="10"/>
    <s v="AGG-DE4-N_RES_WTR_PMP"/>
    <x v="0"/>
    <x v="20"/>
    <n v="952.8"/>
    <n v="347772"/>
    <n v="1251979.2"/>
  </r>
  <r>
    <x v="0"/>
    <x v="0"/>
    <x v="0"/>
    <x v="1"/>
    <x v="3"/>
    <s v="DE4-N_A"/>
    <x v="10"/>
    <s v="AGG-DE4-N_RES_WTR_PMP"/>
    <x v="0"/>
    <x v="21"/>
    <n v="952.8"/>
    <n v="347772"/>
    <n v="1251979.2"/>
  </r>
  <r>
    <x v="0"/>
    <x v="0"/>
    <x v="0"/>
    <x v="1"/>
    <x v="3"/>
    <s v="DE4-N_A"/>
    <x v="10"/>
    <s v="AGG-DE4-N_RES_WTR_PMP"/>
    <x v="0"/>
    <x v="22"/>
    <n v="952.8"/>
    <n v="347772"/>
    <n v="1251979.2"/>
  </r>
  <r>
    <x v="0"/>
    <x v="0"/>
    <x v="0"/>
    <x v="1"/>
    <x v="3"/>
    <s v="DE4-N_A"/>
    <x v="10"/>
    <s v="AGG-DE4-N_RES_WTR_PMP"/>
    <x v="0"/>
    <x v="23"/>
    <n v="952.8"/>
    <n v="347772"/>
    <n v="1251979.2"/>
  </r>
  <r>
    <x v="0"/>
    <x v="0"/>
    <x v="0"/>
    <x v="1"/>
    <x v="3"/>
    <s v="DE4-N_A"/>
    <x v="12"/>
    <s v="GNR_ST_NUCL_CND_E-33"/>
    <x v="0"/>
    <x v="0"/>
    <n v="4272.7272727272702"/>
    <n v="1559545.4545454499"/>
    <n v="5614363.6363636404"/>
  </r>
  <r>
    <x v="0"/>
    <x v="0"/>
    <x v="0"/>
    <x v="1"/>
    <x v="3"/>
    <s v="DE4-N_A"/>
    <x v="12"/>
    <s v="GNR_ST_NUCL_CND_E-33"/>
    <x v="0"/>
    <x v="1"/>
    <n v="4272.7272727272702"/>
    <n v="1559545.4545454499"/>
    <n v="5614363.6363636404"/>
  </r>
  <r>
    <x v="0"/>
    <x v="0"/>
    <x v="0"/>
    <x v="1"/>
    <x v="3"/>
    <s v="DE4-N_A"/>
    <x v="12"/>
    <s v="GNR_ST_NUCL_CND_E-33"/>
    <x v="0"/>
    <x v="2"/>
    <n v="4272.7272727272702"/>
    <n v="1559545.4545454499"/>
    <n v="5614363.6363636404"/>
  </r>
  <r>
    <x v="0"/>
    <x v="0"/>
    <x v="0"/>
    <x v="1"/>
    <x v="3"/>
    <s v="DE4-N_A"/>
    <x v="12"/>
    <s v="GNR_ST_NUCL_CND_E-33"/>
    <x v="0"/>
    <x v="3"/>
    <n v="4272.7272727272702"/>
    <n v="1559545.4545454499"/>
    <n v="5614363.6363636404"/>
  </r>
  <r>
    <x v="0"/>
    <x v="0"/>
    <x v="0"/>
    <x v="1"/>
    <x v="3"/>
    <s v="DE4-N_A"/>
    <x v="12"/>
    <s v="GNR_ST_NUCL_CND_E-33"/>
    <x v="0"/>
    <x v="4"/>
    <n v="4272.7272727272702"/>
    <n v="1559545.4545454499"/>
    <n v="5614363.6363636404"/>
  </r>
  <r>
    <x v="0"/>
    <x v="0"/>
    <x v="0"/>
    <x v="1"/>
    <x v="3"/>
    <s v="DE4-N_A"/>
    <x v="12"/>
    <s v="GNR_ST_NUCL_CND_E-33"/>
    <x v="0"/>
    <x v="5"/>
    <n v="4272.7272727272702"/>
    <n v="1559545.4545454499"/>
    <n v="5614363.6363636404"/>
  </r>
  <r>
    <x v="0"/>
    <x v="0"/>
    <x v="0"/>
    <x v="1"/>
    <x v="3"/>
    <s v="DE4-N_A"/>
    <x v="12"/>
    <s v="GNR_ST_NUCL_CND_E-33"/>
    <x v="0"/>
    <x v="6"/>
    <n v="4272.7272727272702"/>
    <n v="1559545.4545454499"/>
    <n v="5614363.6363636404"/>
  </r>
  <r>
    <x v="0"/>
    <x v="0"/>
    <x v="0"/>
    <x v="1"/>
    <x v="3"/>
    <s v="DE4-N_A"/>
    <x v="12"/>
    <s v="GNR_ST_NUCL_CND_E-33"/>
    <x v="0"/>
    <x v="7"/>
    <n v="4272.7272727272702"/>
    <n v="1559545.4545454499"/>
    <n v="5614363.6363636404"/>
  </r>
  <r>
    <x v="0"/>
    <x v="0"/>
    <x v="0"/>
    <x v="1"/>
    <x v="3"/>
    <s v="DE4-N_A"/>
    <x v="12"/>
    <s v="GNR_ST_NUCL_CND_E-33"/>
    <x v="0"/>
    <x v="8"/>
    <n v="4272.7272727272702"/>
    <n v="1559545.4545454499"/>
    <n v="5614363.6363636404"/>
  </r>
  <r>
    <x v="0"/>
    <x v="0"/>
    <x v="0"/>
    <x v="1"/>
    <x v="3"/>
    <s v="DE4-N_A"/>
    <x v="12"/>
    <s v="GNR_ST_NUCL_CND_E-33"/>
    <x v="0"/>
    <x v="9"/>
    <n v="4272.7272727272702"/>
    <n v="1559545.4545454499"/>
    <n v="5614363.6363636404"/>
  </r>
  <r>
    <x v="0"/>
    <x v="0"/>
    <x v="0"/>
    <x v="1"/>
    <x v="3"/>
    <s v="DE4-N_A"/>
    <x v="12"/>
    <s v="GNR_ST_NUCL_CND_E-33"/>
    <x v="0"/>
    <x v="10"/>
    <n v="4272.7272727272702"/>
    <n v="1559545.4545454499"/>
    <n v="5614363.6363636404"/>
  </r>
  <r>
    <x v="0"/>
    <x v="0"/>
    <x v="0"/>
    <x v="1"/>
    <x v="3"/>
    <s v="DE4-N_A"/>
    <x v="12"/>
    <s v="GNR_ST_NUCL_CND_E-33"/>
    <x v="0"/>
    <x v="11"/>
    <n v="4272.7272727272702"/>
    <n v="1559545.4545454499"/>
    <n v="5614363.6363636404"/>
  </r>
  <r>
    <x v="0"/>
    <x v="0"/>
    <x v="0"/>
    <x v="1"/>
    <x v="3"/>
    <s v="DE4-N_A"/>
    <x v="12"/>
    <s v="GNR_ST_NUCL_CND_E-33"/>
    <x v="0"/>
    <x v="12"/>
    <n v="4272.7272727272702"/>
    <n v="1559545.4545454499"/>
    <n v="5614363.6363636404"/>
  </r>
  <r>
    <x v="0"/>
    <x v="0"/>
    <x v="0"/>
    <x v="1"/>
    <x v="3"/>
    <s v="DE4-N_A"/>
    <x v="12"/>
    <s v="GNR_ST_NUCL_CND_E-33"/>
    <x v="0"/>
    <x v="13"/>
    <n v="4272.7272727272702"/>
    <n v="1559545.4545454499"/>
    <n v="5614363.6363636404"/>
  </r>
  <r>
    <x v="0"/>
    <x v="0"/>
    <x v="0"/>
    <x v="1"/>
    <x v="3"/>
    <s v="DE4-N_A"/>
    <x v="12"/>
    <s v="GNR_ST_NUCL_CND_E-33"/>
    <x v="0"/>
    <x v="14"/>
    <n v="4272.7272727272702"/>
    <n v="1559545.4545454499"/>
    <n v="5614363.6363636404"/>
  </r>
  <r>
    <x v="0"/>
    <x v="0"/>
    <x v="0"/>
    <x v="1"/>
    <x v="3"/>
    <s v="DE4-N_A"/>
    <x v="12"/>
    <s v="GNR_ST_NUCL_CND_E-33"/>
    <x v="0"/>
    <x v="15"/>
    <n v="4272.7272727272702"/>
    <n v="1559545.4545454499"/>
    <n v="5614363.6363636404"/>
  </r>
  <r>
    <x v="0"/>
    <x v="0"/>
    <x v="0"/>
    <x v="1"/>
    <x v="3"/>
    <s v="DE4-N_A"/>
    <x v="12"/>
    <s v="GNR_ST_NUCL_CND_E-33"/>
    <x v="0"/>
    <x v="16"/>
    <n v="4272.7272727272702"/>
    <n v="1559545.4545454499"/>
    <n v="5614363.6363636404"/>
  </r>
  <r>
    <x v="0"/>
    <x v="0"/>
    <x v="0"/>
    <x v="1"/>
    <x v="3"/>
    <s v="DE4-N_A"/>
    <x v="12"/>
    <s v="GNR_ST_NUCL_CND_E-33"/>
    <x v="0"/>
    <x v="17"/>
    <n v="4272.7272727272702"/>
    <n v="1559545.4545454499"/>
    <n v="5614363.6363636404"/>
  </r>
  <r>
    <x v="0"/>
    <x v="0"/>
    <x v="0"/>
    <x v="1"/>
    <x v="3"/>
    <s v="DE4-N_A"/>
    <x v="12"/>
    <s v="GNR_ST_NUCL_CND_E-33"/>
    <x v="0"/>
    <x v="18"/>
    <n v="4272.7272727272702"/>
    <n v="1559545.4545454499"/>
    <n v="5614363.6363636404"/>
  </r>
  <r>
    <x v="0"/>
    <x v="0"/>
    <x v="0"/>
    <x v="1"/>
    <x v="3"/>
    <s v="DE4-N_A"/>
    <x v="12"/>
    <s v="GNR_ST_NUCL_CND_E-33"/>
    <x v="0"/>
    <x v="19"/>
    <n v="4272.7272727272702"/>
    <n v="1559545.4545454499"/>
    <n v="5614363.6363636404"/>
  </r>
  <r>
    <x v="0"/>
    <x v="0"/>
    <x v="0"/>
    <x v="1"/>
    <x v="3"/>
    <s v="DE4-N_A"/>
    <x v="12"/>
    <s v="GNR_ST_NUCL_CND_E-33"/>
    <x v="0"/>
    <x v="20"/>
    <n v="4272.7272727272702"/>
    <n v="1559545.4545454499"/>
    <n v="5614363.6363636404"/>
  </r>
  <r>
    <x v="0"/>
    <x v="0"/>
    <x v="0"/>
    <x v="1"/>
    <x v="3"/>
    <s v="DE4-N_A"/>
    <x v="12"/>
    <s v="GNR_ST_NUCL_CND_E-33"/>
    <x v="0"/>
    <x v="21"/>
    <n v="4272.7272727272702"/>
    <n v="1559545.4545454499"/>
    <n v="5614363.6363636404"/>
  </r>
  <r>
    <x v="0"/>
    <x v="0"/>
    <x v="0"/>
    <x v="1"/>
    <x v="3"/>
    <s v="DE4-N_A"/>
    <x v="12"/>
    <s v="GNR_ST_NUCL_CND_E-33"/>
    <x v="0"/>
    <x v="22"/>
    <n v="4272.7272727272702"/>
    <n v="1559545.4545454499"/>
    <n v="5614363.6363636404"/>
  </r>
  <r>
    <x v="0"/>
    <x v="0"/>
    <x v="0"/>
    <x v="1"/>
    <x v="3"/>
    <s v="DE4-N_A"/>
    <x v="12"/>
    <s v="GNR_ST_NUCL_CND_E-33"/>
    <x v="0"/>
    <x v="23"/>
    <n v="4272.7272727272702"/>
    <n v="1559545.4545454499"/>
    <n v="5614363.6363636404"/>
  </r>
  <r>
    <x v="0"/>
    <x v="0"/>
    <x v="0"/>
    <x v="1"/>
    <x v="3"/>
    <s v="DE4-N_A"/>
    <x v="6"/>
    <s v="GNR_PV_SUN"/>
    <x v="0"/>
    <x v="6"/>
    <n v="7.9120829913066402"/>
    <n v="2887.91029182692"/>
    <n v="10396.477050576899"/>
  </r>
  <r>
    <x v="0"/>
    <x v="0"/>
    <x v="0"/>
    <x v="1"/>
    <x v="3"/>
    <s v="DE4-N_A"/>
    <x v="6"/>
    <s v="GNR_PV_SUN"/>
    <x v="0"/>
    <x v="7"/>
    <n v="84.389940500893999"/>
    <n v="30802.3282828263"/>
    <n v="110888.381818175"/>
  </r>
  <r>
    <x v="0"/>
    <x v="0"/>
    <x v="0"/>
    <x v="1"/>
    <x v="3"/>
    <s v="DE4-N_A"/>
    <x v="6"/>
    <s v="GNR_PV_SUN"/>
    <x v="0"/>
    <x v="8"/>
    <n v="246.267791659202"/>
    <n v="89887.743955608603"/>
    <n v="323595.87824019103"/>
  </r>
  <r>
    <x v="0"/>
    <x v="0"/>
    <x v="0"/>
    <x v="1"/>
    <x v="3"/>
    <s v="DE4-N_A"/>
    <x v="6"/>
    <s v="GNR_PV_SUN"/>
    <x v="0"/>
    <x v="9"/>
    <n v="402.05165549229002"/>
    <n v="146748.85425468601"/>
    <n v="528295.875316869"/>
  </r>
  <r>
    <x v="0"/>
    <x v="0"/>
    <x v="0"/>
    <x v="1"/>
    <x v="3"/>
    <s v="DE4-N_A"/>
    <x v="6"/>
    <s v="GNR_PV_SUN"/>
    <x v="0"/>
    <x v="10"/>
    <n v="535.83319492189401"/>
    <n v="195579.116146491"/>
    <n v="704084.81812736904"/>
  </r>
  <r>
    <x v="0"/>
    <x v="0"/>
    <x v="0"/>
    <x v="1"/>
    <x v="3"/>
    <s v="DE4-N_A"/>
    <x v="6"/>
    <s v="GNR_PV_SUN"/>
    <x v="0"/>
    <x v="11"/>
    <n v="621.50253607670197"/>
    <n v="226848.42566799599"/>
    <n v="816654.33240478602"/>
  </r>
  <r>
    <x v="0"/>
    <x v="0"/>
    <x v="0"/>
    <x v="1"/>
    <x v="3"/>
    <s v="DE4-N_A"/>
    <x v="6"/>
    <s v="GNR_PV_SUN"/>
    <x v="0"/>
    <x v="12"/>
    <n v="657.359422824538"/>
    <n v="239936.189330956"/>
    <n v="863770.281591443"/>
  </r>
  <r>
    <x v="0"/>
    <x v="0"/>
    <x v="0"/>
    <x v="1"/>
    <x v="3"/>
    <s v="DE4-N_A"/>
    <x v="6"/>
    <s v="GNR_PV_SUN"/>
    <x v="0"/>
    <x v="13"/>
    <n v="661.09661947149596"/>
    <n v="241300.26610709599"/>
    <n v="868680.95798554504"/>
  </r>
  <r>
    <x v="0"/>
    <x v="0"/>
    <x v="0"/>
    <x v="1"/>
    <x v="3"/>
    <s v="DE4-N_A"/>
    <x v="6"/>
    <s v="GNR_PV_SUN"/>
    <x v="0"/>
    <x v="14"/>
    <n v="569.13128036190403"/>
    <n v="207732.91733209501"/>
    <n v="747838.50239554199"/>
  </r>
  <r>
    <x v="0"/>
    <x v="0"/>
    <x v="0"/>
    <x v="1"/>
    <x v="3"/>
    <s v="DE4-N_A"/>
    <x v="6"/>
    <s v="GNR_PV_SUN"/>
    <x v="0"/>
    <x v="15"/>
    <n v="430.80450176708098"/>
    <n v="157243.64314498499"/>
    <n v="566077.11532194505"/>
  </r>
  <r>
    <x v="0"/>
    <x v="0"/>
    <x v="0"/>
    <x v="1"/>
    <x v="3"/>
    <s v="DE4-N_A"/>
    <x v="6"/>
    <s v="GNR_PV_SUN"/>
    <x v="0"/>
    <x v="16"/>
    <n v="274.49877714094902"/>
    <n v="100192.05365644601"/>
    <n v="360691.39316320699"/>
  </r>
  <r>
    <x v="0"/>
    <x v="0"/>
    <x v="0"/>
    <x v="1"/>
    <x v="3"/>
    <s v="DE4-N_A"/>
    <x v="6"/>
    <s v="GNR_PV_SUN"/>
    <x v="0"/>
    <x v="17"/>
    <n v="104.254319074813"/>
    <n v="38052.826462306701"/>
    <n v="136990.17526430401"/>
  </r>
  <r>
    <x v="0"/>
    <x v="0"/>
    <x v="0"/>
    <x v="1"/>
    <x v="3"/>
    <s v="DE4-N_A"/>
    <x v="6"/>
    <s v="GNR_PV_SUN"/>
    <x v="0"/>
    <x v="18"/>
    <n v="8.5349490991329002"/>
    <n v="3115.2564211835102"/>
    <n v="11214.923116260599"/>
  </r>
  <r>
    <x v="0"/>
    <x v="0"/>
    <x v="0"/>
    <x v="1"/>
    <x v="3"/>
    <s v="DE4-N_A"/>
    <x v="7"/>
    <s v="GNR_ROR_WTR"/>
    <x v="0"/>
    <x v="0"/>
    <n v="2.9651192288178598"/>
    <n v="1082.2685185185201"/>
    <n v="3896.1666666666702"/>
  </r>
  <r>
    <x v="0"/>
    <x v="0"/>
    <x v="0"/>
    <x v="1"/>
    <x v="3"/>
    <s v="DE4-N_A"/>
    <x v="7"/>
    <s v="GNR_ROR_WTR"/>
    <x v="0"/>
    <x v="1"/>
    <n v="2.9651192288178598"/>
    <n v="1082.2685185185201"/>
    <n v="3896.1666666666702"/>
  </r>
  <r>
    <x v="0"/>
    <x v="0"/>
    <x v="0"/>
    <x v="1"/>
    <x v="3"/>
    <s v="DE4-N_A"/>
    <x v="7"/>
    <s v="GNR_ROR_WTR"/>
    <x v="0"/>
    <x v="2"/>
    <n v="2.9651192288178598"/>
    <n v="1082.2685185185201"/>
    <n v="3896.1666666666702"/>
  </r>
  <r>
    <x v="0"/>
    <x v="0"/>
    <x v="0"/>
    <x v="1"/>
    <x v="3"/>
    <s v="DE4-N_A"/>
    <x v="7"/>
    <s v="GNR_ROR_WTR"/>
    <x v="0"/>
    <x v="3"/>
    <n v="2.9651192288178598"/>
    <n v="1082.2685185185201"/>
    <n v="3896.1666666666702"/>
  </r>
  <r>
    <x v="0"/>
    <x v="0"/>
    <x v="0"/>
    <x v="1"/>
    <x v="3"/>
    <s v="DE4-N_A"/>
    <x v="7"/>
    <s v="GNR_ROR_WTR"/>
    <x v="0"/>
    <x v="4"/>
    <n v="2.9651192288178598"/>
    <n v="1082.2685185185201"/>
    <n v="3896.1666666666702"/>
  </r>
  <r>
    <x v="0"/>
    <x v="0"/>
    <x v="0"/>
    <x v="1"/>
    <x v="3"/>
    <s v="DE4-N_A"/>
    <x v="7"/>
    <s v="GNR_ROR_WTR"/>
    <x v="0"/>
    <x v="5"/>
    <n v="2.9651192288178598"/>
    <n v="1082.2685185185201"/>
    <n v="3896.1666666666702"/>
  </r>
  <r>
    <x v="0"/>
    <x v="0"/>
    <x v="0"/>
    <x v="1"/>
    <x v="3"/>
    <s v="DE4-N_A"/>
    <x v="7"/>
    <s v="GNR_ROR_WTR"/>
    <x v="0"/>
    <x v="6"/>
    <n v="2.9651192288178598"/>
    <n v="1082.2685185185201"/>
    <n v="3896.1666666666702"/>
  </r>
  <r>
    <x v="0"/>
    <x v="0"/>
    <x v="0"/>
    <x v="1"/>
    <x v="3"/>
    <s v="DE4-N_A"/>
    <x v="7"/>
    <s v="GNR_ROR_WTR"/>
    <x v="0"/>
    <x v="7"/>
    <n v="2.9651192288178598"/>
    <n v="1082.2685185185201"/>
    <n v="3896.1666666666702"/>
  </r>
  <r>
    <x v="0"/>
    <x v="0"/>
    <x v="0"/>
    <x v="1"/>
    <x v="3"/>
    <s v="DE4-N_A"/>
    <x v="7"/>
    <s v="GNR_ROR_WTR"/>
    <x v="0"/>
    <x v="8"/>
    <n v="2.9651192288178598"/>
    <n v="1082.2685185185201"/>
    <n v="3896.1666666666702"/>
  </r>
  <r>
    <x v="0"/>
    <x v="0"/>
    <x v="0"/>
    <x v="1"/>
    <x v="3"/>
    <s v="DE4-N_A"/>
    <x v="7"/>
    <s v="GNR_ROR_WTR"/>
    <x v="0"/>
    <x v="9"/>
    <n v="2.9651192288178598"/>
    <n v="1082.2685185185201"/>
    <n v="3896.1666666666702"/>
  </r>
  <r>
    <x v="0"/>
    <x v="0"/>
    <x v="0"/>
    <x v="1"/>
    <x v="3"/>
    <s v="DE4-N_A"/>
    <x v="7"/>
    <s v="GNR_ROR_WTR"/>
    <x v="0"/>
    <x v="10"/>
    <n v="2.9651192288178598"/>
    <n v="1082.2685185185201"/>
    <n v="3896.1666666666702"/>
  </r>
  <r>
    <x v="0"/>
    <x v="0"/>
    <x v="0"/>
    <x v="1"/>
    <x v="3"/>
    <s v="DE4-N_A"/>
    <x v="7"/>
    <s v="GNR_ROR_WTR"/>
    <x v="0"/>
    <x v="11"/>
    <n v="2.9651192288178598"/>
    <n v="1082.2685185185201"/>
    <n v="3896.1666666666702"/>
  </r>
  <r>
    <x v="0"/>
    <x v="0"/>
    <x v="0"/>
    <x v="1"/>
    <x v="3"/>
    <s v="DE4-N_A"/>
    <x v="7"/>
    <s v="GNR_ROR_WTR"/>
    <x v="0"/>
    <x v="12"/>
    <n v="2.9651192288178598"/>
    <n v="1082.2685185185201"/>
    <n v="3896.1666666666702"/>
  </r>
  <r>
    <x v="0"/>
    <x v="0"/>
    <x v="0"/>
    <x v="1"/>
    <x v="3"/>
    <s v="DE4-N_A"/>
    <x v="7"/>
    <s v="GNR_ROR_WTR"/>
    <x v="0"/>
    <x v="13"/>
    <n v="2.9651192288178598"/>
    <n v="1082.2685185185201"/>
    <n v="3896.1666666666702"/>
  </r>
  <r>
    <x v="0"/>
    <x v="0"/>
    <x v="0"/>
    <x v="1"/>
    <x v="3"/>
    <s v="DE4-N_A"/>
    <x v="7"/>
    <s v="GNR_ROR_WTR"/>
    <x v="0"/>
    <x v="14"/>
    <n v="2.9651192288178598"/>
    <n v="1082.2685185185201"/>
    <n v="3896.1666666666702"/>
  </r>
  <r>
    <x v="0"/>
    <x v="0"/>
    <x v="0"/>
    <x v="1"/>
    <x v="3"/>
    <s v="DE4-N_A"/>
    <x v="7"/>
    <s v="GNR_ROR_WTR"/>
    <x v="0"/>
    <x v="15"/>
    <n v="2.9651192288178598"/>
    <n v="1082.2685185185201"/>
    <n v="3896.1666666666702"/>
  </r>
  <r>
    <x v="0"/>
    <x v="0"/>
    <x v="0"/>
    <x v="1"/>
    <x v="3"/>
    <s v="DE4-N_A"/>
    <x v="7"/>
    <s v="GNR_ROR_WTR"/>
    <x v="0"/>
    <x v="16"/>
    <n v="2.9651192288178598"/>
    <n v="1082.2685185185201"/>
    <n v="3896.1666666666702"/>
  </r>
  <r>
    <x v="0"/>
    <x v="0"/>
    <x v="0"/>
    <x v="1"/>
    <x v="3"/>
    <s v="DE4-N_A"/>
    <x v="7"/>
    <s v="GNR_ROR_WTR"/>
    <x v="0"/>
    <x v="17"/>
    <n v="2.9651192288178598"/>
    <n v="1082.2685185185201"/>
    <n v="3896.1666666666702"/>
  </r>
  <r>
    <x v="0"/>
    <x v="0"/>
    <x v="0"/>
    <x v="1"/>
    <x v="3"/>
    <s v="DE4-N_A"/>
    <x v="7"/>
    <s v="GNR_ROR_WTR"/>
    <x v="0"/>
    <x v="18"/>
    <n v="2.9651192288178598"/>
    <n v="1082.2685185185201"/>
    <n v="3896.1666666666702"/>
  </r>
  <r>
    <x v="0"/>
    <x v="0"/>
    <x v="0"/>
    <x v="1"/>
    <x v="3"/>
    <s v="DE4-N_A"/>
    <x v="7"/>
    <s v="GNR_ROR_WTR"/>
    <x v="0"/>
    <x v="19"/>
    <n v="2.9651192288178598"/>
    <n v="1082.2685185185201"/>
    <n v="3896.1666666666702"/>
  </r>
  <r>
    <x v="0"/>
    <x v="0"/>
    <x v="0"/>
    <x v="1"/>
    <x v="3"/>
    <s v="DE4-N_A"/>
    <x v="7"/>
    <s v="GNR_ROR_WTR"/>
    <x v="0"/>
    <x v="20"/>
    <n v="2.9651192288178598"/>
    <n v="1082.2685185185201"/>
    <n v="3896.1666666666702"/>
  </r>
  <r>
    <x v="0"/>
    <x v="0"/>
    <x v="0"/>
    <x v="1"/>
    <x v="3"/>
    <s v="DE4-N_A"/>
    <x v="7"/>
    <s v="GNR_ROR_WTR"/>
    <x v="0"/>
    <x v="21"/>
    <n v="2.9651192288178598"/>
    <n v="1082.2685185185201"/>
    <n v="3896.1666666666702"/>
  </r>
  <r>
    <x v="0"/>
    <x v="0"/>
    <x v="0"/>
    <x v="1"/>
    <x v="3"/>
    <s v="DE4-N_A"/>
    <x v="7"/>
    <s v="GNR_ROR_WTR"/>
    <x v="0"/>
    <x v="22"/>
    <n v="2.9651192288178598"/>
    <n v="1082.2685185185201"/>
    <n v="3896.1666666666702"/>
  </r>
  <r>
    <x v="0"/>
    <x v="0"/>
    <x v="0"/>
    <x v="1"/>
    <x v="3"/>
    <s v="DE4-N_A"/>
    <x v="7"/>
    <s v="GNR_ROR_WTR"/>
    <x v="0"/>
    <x v="23"/>
    <n v="2.9651192288178598"/>
    <n v="1082.2685185185201"/>
    <n v="3896.1666666666702"/>
  </r>
  <r>
    <x v="0"/>
    <x v="0"/>
    <x v="0"/>
    <x v="1"/>
    <x v="3"/>
    <s v="DE4-N_A"/>
    <x v="8"/>
    <s v="GNR_WT_WIND_ONS"/>
    <x v="0"/>
    <x v="0"/>
    <n v="2701.9703724046899"/>
    <n v="986219.18592771096"/>
    <n v="3550389.0693397601"/>
  </r>
  <r>
    <x v="0"/>
    <x v="0"/>
    <x v="0"/>
    <x v="1"/>
    <x v="3"/>
    <s v="DE4-N_A"/>
    <x v="8"/>
    <s v="GNR_WT_WIND_ONS"/>
    <x v="0"/>
    <x v="1"/>
    <n v="2502.9154500237801"/>
    <n v="913564.13925867795"/>
    <n v="3288830.9013312398"/>
  </r>
  <r>
    <x v="0"/>
    <x v="0"/>
    <x v="0"/>
    <x v="1"/>
    <x v="3"/>
    <s v="DE4-N_A"/>
    <x v="8"/>
    <s v="GNR_WT_WIND_ONS"/>
    <x v="0"/>
    <x v="2"/>
    <n v="2373.6441498568602"/>
    <n v="866380.11469775403"/>
    <n v="3118968.4129119199"/>
  </r>
  <r>
    <x v="0"/>
    <x v="0"/>
    <x v="0"/>
    <x v="1"/>
    <x v="3"/>
    <s v="DE4-N_A"/>
    <x v="8"/>
    <s v="GNR_WT_WIND_ONS"/>
    <x v="0"/>
    <x v="3"/>
    <n v="2145.20288656411"/>
    <n v="782999.053595901"/>
    <n v="2818796.5929452502"/>
  </r>
  <r>
    <x v="0"/>
    <x v="0"/>
    <x v="0"/>
    <x v="1"/>
    <x v="3"/>
    <s v="DE4-N_A"/>
    <x v="8"/>
    <s v="GNR_WT_WIND_ONS"/>
    <x v="0"/>
    <x v="4"/>
    <n v="1912.5431461088399"/>
    <n v="698078.24832972605"/>
    <n v="2513081.69398701"/>
  </r>
  <r>
    <x v="0"/>
    <x v="0"/>
    <x v="0"/>
    <x v="1"/>
    <x v="3"/>
    <s v="DE4-N_A"/>
    <x v="8"/>
    <s v="GNR_WT_WIND_ONS"/>
    <x v="0"/>
    <x v="5"/>
    <n v="1817.7346593713801"/>
    <n v="663473.15067055298"/>
    <n v="2388503.3424139898"/>
  </r>
  <r>
    <x v="0"/>
    <x v="0"/>
    <x v="0"/>
    <x v="1"/>
    <x v="3"/>
    <s v="DE4-N_A"/>
    <x v="8"/>
    <s v="GNR_WT_WIND_ONS"/>
    <x v="0"/>
    <x v="6"/>
    <n v="1787.8478211690699"/>
    <n v="652564.45472671103"/>
    <n v="2349232.0370161599"/>
  </r>
  <r>
    <x v="0"/>
    <x v="0"/>
    <x v="0"/>
    <x v="1"/>
    <x v="3"/>
    <s v="DE4-N_A"/>
    <x v="8"/>
    <s v="GNR_WT_WIND_ONS"/>
    <x v="0"/>
    <x v="7"/>
    <n v="1838.18354866769"/>
    <n v="670936.99526370806"/>
    <n v="2415373.1829493502"/>
  </r>
  <r>
    <x v="0"/>
    <x v="0"/>
    <x v="0"/>
    <x v="1"/>
    <x v="3"/>
    <s v="DE4-N_A"/>
    <x v="8"/>
    <s v="GNR_WT_WIND_ONS"/>
    <x v="0"/>
    <x v="8"/>
    <n v="2199.9715900640299"/>
    <n v="802989.630373372"/>
    <n v="2890762.6693441402"/>
  </r>
  <r>
    <x v="0"/>
    <x v="0"/>
    <x v="0"/>
    <x v="1"/>
    <x v="3"/>
    <s v="DE4-N_A"/>
    <x v="8"/>
    <s v="GNR_WT_WIND_ONS"/>
    <x v="0"/>
    <x v="9"/>
    <n v="2490.7605158266701"/>
    <n v="909127.58827673295"/>
    <n v="3272859.3177962401"/>
  </r>
  <r>
    <x v="0"/>
    <x v="0"/>
    <x v="0"/>
    <x v="1"/>
    <x v="3"/>
    <s v="DE4-N_A"/>
    <x v="8"/>
    <s v="GNR_WT_WIND_ONS"/>
    <x v="0"/>
    <x v="10"/>
    <n v="2407.1774683182998"/>
    <n v="878619.77593618003"/>
    <n v="3163031.1933702501"/>
  </r>
  <r>
    <x v="0"/>
    <x v="0"/>
    <x v="0"/>
    <x v="1"/>
    <x v="3"/>
    <s v="DE4-N_A"/>
    <x v="8"/>
    <s v="GNR_WT_WIND_ONS"/>
    <x v="0"/>
    <x v="11"/>
    <n v="2201.6875807742099"/>
    <n v="803615.96698258806"/>
    <n v="2893017.4811373199"/>
  </r>
  <r>
    <x v="0"/>
    <x v="0"/>
    <x v="0"/>
    <x v="1"/>
    <x v="3"/>
    <s v="DE4-N_A"/>
    <x v="8"/>
    <s v="GNR_WT_WIND_ONS"/>
    <x v="0"/>
    <x v="12"/>
    <n v="2238.2238829784701"/>
    <n v="816951.71728714101"/>
    <n v="2941026.1822337098"/>
  </r>
  <r>
    <x v="0"/>
    <x v="0"/>
    <x v="0"/>
    <x v="1"/>
    <x v="3"/>
    <s v="DE4-N_A"/>
    <x v="8"/>
    <s v="GNR_WT_WIND_ONS"/>
    <x v="0"/>
    <x v="13"/>
    <n v="2270.1842099555802"/>
    <n v="828617.23663378495"/>
    <n v="2983022.05188163"/>
  </r>
  <r>
    <x v="0"/>
    <x v="0"/>
    <x v="0"/>
    <x v="1"/>
    <x v="3"/>
    <s v="DE4-N_A"/>
    <x v="8"/>
    <s v="GNR_WT_WIND_ONS"/>
    <x v="0"/>
    <x v="14"/>
    <n v="2281.4811487975999"/>
    <n v="832740.61931112304"/>
    <n v="2997866.2295200401"/>
  </r>
  <r>
    <x v="0"/>
    <x v="0"/>
    <x v="0"/>
    <x v="1"/>
    <x v="3"/>
    <s v="DE4-N_A"/>
    <x v="8"/>
    <s v="GNR_WT_WIND_ONS"/>
    <x v="0"/>
    <x v="15"/>
    <n v="2134.4779446254902"/>
    <n v="779084.449788303"/>
    <n v="2804704.0192378899"/>
  </r>
  <r>
    <x v="0"/>
    <x v="0"/>
    <x v="0"/>
    <x v="1"/>
    <x v="3"/>
    <s v="DE4-N_A"/>
    <x v="8"/>
    <s v="GNR_WT_WIND_ONS"/>
    <x v="0"/>
    <x v="16"/>
    <n v="1929.3455551460199"/>
    <n v="704211.12762829696"/>
    <n v="2535160.0594618702"/>
  </r>
  <r>
    <x v="0"/>
    <x v="0"/>
    <x v="0"/>
    <x v="1"/>
    <x v="3"/>
    <s v="DE4-N_A"/>
    <x v="8"/>
    <s v="GNR_WT_WIND_ONS"/>
    <x v="0"/>
    <x v="17"/>
    <n v="1598.5883457587699"/>
    <n v="583484.74620195199"/>
    <n v="2100545.0863270299"/>
  </r>
  <r>
    <x v="0"/>
    <x v="0"/>
    <x v="0"/>
    <x v="1"/>
    <x v="3"/>
    <s v="DE4-N_A"/>
    <x v="8"/>
    <s v="GNR_WT_WIND_ONS"/>
    <x v="0"/>
    <x v="18"/>
    <n v="1228.2203508115299"/>
    <n v="448300.42804620898"/>
    <n v="1613881.5409663499"/>
  </r>
  <r>
    <x v="0"/>
    <x v="0"/>
    <x v="0"/>
    <x v="1"/>
    <x v="3"/>
    <s v="DE4-N_A"/>
    <x v="8"/>
    <s v="GNR_WT_WIND_ONS"/>
    <x v="0"/>
    <x v="19"/>
    <n v="1233.65432139377"/>
    <n v="450283.82730872498"/>
    <n v="1621021.77831141"/>
  </r>
  <r>
    <x v="0"/>
    <x v="0"/>
    <x v="0"/>
    <x v="1"/>
    <x v="3"/>
    <s v="DE4-N_A"/>
    <x v="8"/>
    <s v="GNR_WT_WIND_ONS"/>
    <x v="0"/>
    <x v="20"/>
    <n v="1296.57398076704"/>
    <n v="473249.502979971"/>
    <n v="1703698.2107279"/>
  </r>
  <r>
    <x v="0"/>
    <x v="0"/>
    <x v="0"/>
    <x v="1"/>
    <x v="3"/>
    <s v="DE4-N_A"/>
    <x v="8"/>
    <s v="GNR_WT_WIND_ONS"/>
    <x v="0"/>
    <x v="21"/>
    <n v="1402.53640712068"/>
    <n v="511925.78859904699"/>
    <n v="1842932.83895657"/>
  </r>
  <r>
    <x v="0"/>
    <x v="0"/>
    <x v="0"/>
    <x v="1"/>
    <x v="3"/>
    <s v="DE4-N_A"/>
    <x v="8"/>
    <s v="GNR_WT_WIND_ONS"/>
    <x v="0"/>
    <x v="22"/>
    <n v="1464.52657152594"/>
    <n v="534552.19860696699"/>
    <n v="1924387.91498508"/>
  </r>
  <r>
    <x v="0"/>
    <x v="0"/>
    <x v="0"/>
    <x v="1"/>
    <x v="3"/>
    <s v="DE4-N_A"/>
    <x v="8"/>
    <s v="GNR_WT_WIND_ONS"/>
    <x v="0"/>
    <x v="23"/>
    <n v="1482.25847553113"/>
    <n v="541024.34356886405"/>
    <n v="1947687.63684791"/>
  </r>
  <r>
    <x v="0"/>
    <x v="0"/>
    <x v="0"/>
    <x v="1"/>
    <x v="3"/>
    <s v="DE4-N_Offshore_A"/>
    <x v="8"/>
    <s v="GNR_WT_WIND_OFF"/>
    <x v="0"/>
    <x v="0"/>
    <n v="635.44346290272495"/>
    <n v="231936.86395949399"/>
    <n v="834972.71025418001"/>
  </r>
  <r>
    <x v="0"/>
    <x v="0"/>
    <x v="0"/>
    <x v="1"/>
    <x v="3"/>
    <s v="DE4-N_Offshore_A"/>
    <x v="8"/>
    <s v="GNR_WT_WIND_OFF"/>
    <x v="0"/>
    <x v="1"/>
    <n v="588.63016306887505"/>
    <n v="214850.00952013899"/>
    <n v="773460.03427250101"/>
  </r>
  <r>
    <x v="0"/>
    <x v="0"/>
    <x v="0"/>
    <x v="1"/>
    <x v="3"/>
    <s v="DE4-N_Offshore_A"/>
    <x v="8"/>
    <s v="GNR_WT_WIND_OFF"/>
    <x v="0"/>
    <x v="2"/>
    <n v="558.22842237217901"/>
    <n v="203753.37416584499"/>
    <n v="733512.14699704305"/>
  </r>
  <r>
    <x v="0"/>
    <x v="0"/>
    <x v="0"/>
    <x v="1"/>
    <x v="3"/>
    <s v="DE4-N_Offshore_A"/>
    <x v="8"/>
    <s v="GNR_WT_WIND_OFF"/>
    <x v="0"/>
    <x v="3"/>
    <n v="504.50410736889199"/>
    <n v="184143.99918964601"/>
    <n v="662918.39708272496"/>
  </r>
  <r>
    <x v="0"/>
    <x v="0"/>
    <x v="0"/>
    <x v="1"/>
    <x v="3"/>
    <s v="DE4-N_Offshore_A"/>
    <x v="8"/>
    <s v="GNR_WT_WIND_OFF"/>
    <x v="0"/>
    <x v="4"/>
    <n v="449.78770016366701"/>
    <n v="164172.510559738"/>
    <n v="591021.03801505896"/>
  </r>
  <r>
    <x v="0"/>
    <x v="0"/>
    <x v="0"/>
    <x v="1"/>
    <x v="3"/>
    <s v="DE4-N_Offshore_A"/>
    <x v="8"/>
    <s v="GNR_WT_WIND_OFF"/>
    <x v="0"/>
    <x v="5"/>
    <n v="427.49084830314803"/>
    <n v="156034.159630649"/>
    <n v="561722.97467033705"/>
  </r>
  <r>
    <x v="0"/>
    <x v="0"/>
    <x v="0"/>
    <x v="1"/>
    <x v="3"/>
    <s v="DE4-N_Offshore_A"/>
    <x v="8"/>
    <s v="GNR_WT_WIND_OFF"/>
    <x v="0"/>
    <x v="6"/>
    <n v="420.46212727924399"/>
    <n v="153468.676456924"/>
    <n v="552487.235244927"/>
  </r>
  <r>
    <x v="0"/>
    <x v="0"/>
    <x v="0"/>
    <x v="1"/>
    <x v="3"/>
    <s v="DE4-N_Offshore_A"/>
    <x v="8"/>
    <s v="GNR_WT_WIND_OFF"/>
    <x v="0"/>
    <x v="7"/>
    <n v="432.29997321424003"/>
    <n v="157789.49022319799"/>
    <n v="568042.16480351205"/>
  </r>
  <r>
    <x v="0"/>
    <x v="0"/>
    <x v="0"/>
    <x v="1"/>
    <x v="3"/>
    <s v="DE4-N_Offshore_A"/>
    <x v="8"/>
    <s v="GNR_WT_WIND_OFF"/>
    <x v="0"/>
    <x v="8"/>
    <n v="517.38449087202798"/>
    <n v="188845.33916829"/>
    <n v="679843.221005845"/>
  </r>
  <r>
    <x v="0"/>
    <x v="0"/>
    <x v="0"/>
    <x v="1"/>
    <x v="3"/>
    <s v="DE4-N_Offshore_A"/>
    <x v="8"/>
    <s v="GNR_WT_WIND_OFF"/>
    <x v="0"/>
    <x v="9"/>
    <n v="585.77159231752603"/>
    <n v="213806.631195897"/>
    <n v="769703.87230522896"/>
  </r>
  <r>
    <x v="0"/>
    <x v="0"/>
    <x v="0"/>
    <x v="1"/>
    <x v="3"/>
    <s v="DE4-N_Offshore_A"/>
    <x v="8"/>
    <s v="GNR_WT_WIND_OFF"/>
    <x v="0"/>
    <x v="10"/>
    <n v="566.11471462148802"/>
    <n v="206631.87083684301"/>
    <n v="743874.73501263501"/>
  </r>
  <r>
    <x v="0"/>
    <x v="0"/>
    <x v="0"/>
    <x v="1"/>
    <x v="3"/>
    <s v="DE4-N_Offshore_A"/>
    <x v="8"/>
    <s v="GNR_WT_WIND_OFF"/>
    <x v="0"/>
    <x v="11"/>
    <n v="517.78805380162999"/>
    <n v="188992.63963759501"/>
    <n v="680373.50269534194"/>
  </r>
  <r>
    <x v="0"/>
    <x v="0"/>
    <x v="0"/>
    <x v="1"/>
    <x v="3"/>
    <s v="DE4-N_Offshore_A"/>
    <x v="8"/>
    <s v="GNR_WT_WIND_OFF"/>
    <x v="0"/>
    <x v="12"/>
    <n v="526.38058117774301"/>
    <n v="192128.912129876"/>
    <n v="691664.08366755396"/>
  </r>
  <r>
    <x v="0"/>
    <x v="0"/>
    <x v="0"/>
    <x v="1"/>
    <x v="3"/>
    <s v="DE4-N_Offshore_A"/>
    <x v="8"/>
    <s v="GNR_WT_WIND_OFF"/>
    <x v="0"/>
    <x v="13"/>
    <n v="533.89694074158297"/>
    <n v="194872.383370678"/>
    <n v="701540.58013443998"/>
  </r>
  <r>
    <x v="0"/>
    <x v="0"/>
    <x v="0"/>
    <x v="1"/>
    <x v="3"/>
    <s v="DE4-N_Offshore_A"/>
    <x v="8"/>
    <s v="GNR_WT_WIND_OFF"/>
    <x v="0"/>
    <x v="14"/>
    <n v="536.55373002812996"/>
    <n v="195842.111460268"/>
    <n v="705031.60125696298"/>
  </r>
  <r>
    <x v="0"/>
    <x v="0"/>
    <x v="0"/>
    <x v="1"/>
    <x v="3"/>
    <s v="DE4-N_Offshore_A"/>
    <x v="8"/>
    <s v="GNR_WT_WIND_OFF"/>
    <x v="0"/>
    <x v="15"/>
    <n v="501.98183905887902"/>
    <n v="183223.37125649099"/>
    <n v="659604.13652336702"/>
  </r>
  <r>
    <x v="0"/>
    <x v="0"/>
    <x v="0"/>
    <x v="1"/>
    <x v="3"/>
    <s v="DE4-N_Offshore_A"/>
    <x v="8"/>
    <s v="GNR_WT_WIND_OFF"/>
    <x v="0"/>
    <x v="16"/>
    <n v="453.73925384935501"/>
    <n v="165614.82765501499"/>
    <n v="596213.37955805205"/>
  </r>
  <r>
    <x v="0"/>
    <x v="0"/>
    <x v="0"/>
    <x v="1"/>
    <x v="3"/>
    <s v="DE4-N_Offshore_A"/>
    <x v="8"/>
    <s v="GNR_WT_WIND_OFF"/>
    <x v="0"/>
    <x v="17"/>
    <n v="375.95249916853999"/>
    <n v="137222.66219651699"/>
    <n v="494001.58390746103"/>
  </r>
  <r>
    <x v="0"/>
    <x v="0"/>
    <x v="0"/>
    <x v="1"/>
    <x v="3"/>
    <s v="DE4-N_Offshore_A"/>
    <x v="8"/>
    <s v="GNR_WT_WIND_OFF"/>
    <x v="0"/>
    <x v="18"/>
    <n v="288.85016686274201"/>
    <n v="105430.31090490099"/>
    <n v="379549.11925764201"/>
  </r>
  <r>
    <x v="0"/>
    <x v="0"/>
    <x v="0"/>
    <x v="1"/>
    <x v="3"/>
    <s v="DE4-N_Offshore_A"/>
    <x v="8"/>
    <s v="GNR_WT_WIND_OFF"/>
    <x v="0"/>
    <x v="19"/>
    <n v="290.12811613981501"/>
    <n v="105896.762391032"/>
    <n v="381228.34460771701"/>
  </r>
  <r>
    <x v="0"/>
    <x v="0"/>
    <x v="0"/>
    <x v="1"/>
    <x v="3"/>
    <s v="DE4-N_Offshore_A"/>
    <x v="8"/>
    <s v="GNR_WT_WIND_OFF"/>
    <x v="0"/>
    <x v="20"/>
    <n v="304.92542355856102"/>
    <n v="111297.779598875"/>
    <n v="400672.00655594899"/>
  </r>
  <r>
    <x v="0"/>
    <x v="0"/>
    <x v="0"/>
    <x v="1"/>
    <x v="3"/>
    <s v="DE4-N_Offshore_A"/>
    <x v="8"/>
    <s v="GNR_WT_WIND_OFF"/>
    <x v="0"/>
    <x v="21"/>
    <n v="329.84543446149399"/>
    <n v="120393.583578445"/>
    <n v="433416.90088240302"/>
  </r>
  <r>
    <x v="0"/>
    <x v="0"/>
    <x v="0"/>
    <x v="1"/>
    <x v="3"/>
    <s v="DE4-N_Offshore_A"/>
    <x v="8"/>
    <s v="GNR_WT_WIND_OFF"/>
    <x v="0"/>
    <x v="22"/>
    <n v="344.424145293371"/>
    <n v="125714.813032081"/>
    <n v="452573.32691548998"/>
  </r>
  <r>
    <x v="0"/>
    <x v="0"/>
    <x v="0"/>
    <x v="1"/>
    <x v="3"/>
    <s v="DE4-N_Offshore_A"/>
    <x v="8"/>
    <s v="GNR_WT_WIND_OFF"/>
    <x v="0"/>
    <x v="23"/>
    <n v="348.59429556592698"/>
    <n v="127236.917881563"/>
    <n v="458052.90437362797"/>
  </r>
  <r>
    <x v="0"/>
    <x v="0"/>
    <x v="0"/>
    <x v="1"/>
    <x v="4"/>
    <s v="DE4-S_A"/>
    <x v="0"/>
    <s v="GNR_ST_COAL_CND_E-44"/>
    <x v="0"/>
    <x v="0"/>
    <n v="1197.72727272727"/>
    <n v="437170.454545455"/>
    <n v="1573813.63636364"/>
  </r>
  <r>
    <x v="0"/>
    <x v="0"/>
    <x v="0"/>
    <x v="1"/>
    <x v="4"/>
    <s v="DE4-S_A"/>
    <x v="0"/>
    <s v="GNR_ST_COAL_CND_E-44"/>
    <x v="0"/>
    <x v="1"/>
    <n v="1197.72727272727"/>
    <n v="437170.454545455"/>
    <n v="1573813.63636364"/>
  </r>
  <r>
    <x v="0"/>
    <x v="0"/>
    <x v="0"/>
    <x v="1"/>
    <x v="4"/>
    <s v="DE4-S_A"/>
    <x v="0"/>
    <s v="GNR_ST_COAL_CND_E-44"/>
    <x v="0"/>
    <x v="2"/>
    <n v="1197.72727272727"/>
    <n v="437170.454545455"/>
    <n v="1573813.63636364"/>
  </r>
  <r>
    <x v="0"/>
    <x v="0"/>
    <x v="0"/>
    <x v="1"/>
    <x v="4"/>
    <s v="DE4-S_A"/>
    <x v="0"/>
    <s v="GNR_ST_COAL_CND_E-44"/>
    <x v="0"/>
    <x v="3"/>
    <n v="1197.72727272727"/>
    <n v="437170.454545455"/>
    <n v="1573813.63636364"/>
  </r>
  <r>
    <x v="0"/>
    <x v="0"/>
    <x v="0"/>
    <x v="1"/>
    <x v="4"/>
    <s v="DE4-S_A"/>
    <x v="0"/>
    <s v="GNR_ST_COAL_CND_E-44"/>
    <x v="0"/>
    <x v="4"/>
    <n v="1197.72727272727"/>
    <n v="437170.454545455"/>
    <n v="1573813.63636364"/>
  </r>
  <r>
    <x v="0"/>
    <x v="0"/>
    <x v="0"/>
    <x v="1"/>
    <x v="4"/>
    <s v="DE4-S_A"/>
    <x v="0"/>
    <s v="GNR_ST_COAL_CND_E-44"/>
    <x v="0"/>
    <x v="5"/>
    <n v="1197.72727272727"/>
    <n v="437170.454545455"/>
    <n v="1573813.63636364"/>
  </r>
  <r>
    <x v="0"/>
    <x v="0"/>
    <x v="0"/>
    <x v="1"/>
    <x v="4"/>
    <s v="DE4-S_A"/>
    <x v="0"/>
    <s v="GNR_ST_COAL_CND_E-44"/>
    <x v="0"/>
    <x v="6"/>
    <n v="1197.72727272727"/>
    <n v="437170.454545455"/>
    <n v="1573813.63636364"/>
  </r>
  <r>
    <x v="0"/>
    <x v="0"/>
    <x v="0"/>
    <x v="1"/>
    <x v="4"/>
    <s v="DE4-S_A"/>
    <x v="0"/>
    <s v="GNR_ST_COAL_CND_E-44"/>
    <x v="0"/>
    <x v="7"/>
    <n v="1197.72727272727"/>
    <n v="437170.454545455"/>
    <n v="1573813.63636364"/>
  </r>
  <r>
    <x v="0"/>
    <x v="0"/>
    <x v="0"/>
    <x v="1"/>
    <x v="4"/>
    <s v="DE4-S_A"/>
    <x v="0"/>
    <s v="GNR_ST_COAL_CND_E-44"/>
    <x v="0"/>
    <x v="8"/>
    <n v="1197.72727272727"/>
    <n v="437170.454545455"/>
    <n v="1573813.63636364"/>
  </r>
  <r>
    <x v="0"/>
    <x v="0"/>
    <x v="0"/>
    <x v="1"/>
    <x v="4"/>
    <s v="DE4-S_A"/>
    <x v="0"/>
    <s v="GNR_ST_COAL_CND_E-44"/>
    <x v="0"/>
    <x v="9"/>
    <n v="1197.72727272727"/>
    <n v="437170.454545455"/>
    <n v="1573813.63636364"/>
  </r>
  <r>
    <x v="0"/>
    <x v="0"/>
    <x v="0"/>
    <x v="1"/>
    <x v="4"/>
    <s v="DE4-S_A"/>
    <x v="0"/>
    <s v="GNR_ST_COAL_CND_E-44"/>
    <x v="0"/>
    <x v="10"/>
    <n v="1197.72727272727"/>
    <n v="437170.454545455"/>
    <n v="1573813.63636364"/>
  </r>
  <r>
    <x v="0"/>
    <x v="0"/>
    <x v="0"/>
    <x v="1"/>
    <x v="4"/>
    <s v="DE4-S_A"/>
    <x v="0"/>
    <s v="GNR_ST_COAL_CND_E-44"/>
    <x v="0"/>
    <x v="11"/>
    <n v="1197.72727272727"/>
    <n v="437170.454545455"/>
    <n v="1573813.63636364"/>
  </r>
  <r>
    <x v="0"/>
    <x v="0"/>
    <x v="0"/>
    <x v="1"/>
    <x v="4"/>
    <s v="DE4-S_A"/>
    <x v="0"/>
    <s v="GNR_ST_COAL_CND_E-44"/>
    <x v="0"/>
    <x v="12"/>
    <n v="1197.72727272727"/>
    <n v="437170.454545455"/>
    <n v="1573813.63636364"/>
  </r>
  <r>
    <x v="0"/>
    <x v="0"/>
    <x v="0"/>
    <x v="1"/>
    <x v="4"/>
    <s v="DE4-S_A"/>
    <x v="0"/>
    <s v="GNR_ST_COAL_CND_E-44"/>
    <x v="0"/>
    <x v="13"/>
    <n v="1197.72727272727"/>
    <n v="437170.454545455"/>
    <n v="1573813.63636364"/>
  </r>
  <r>
    <x v="0"/>
    <x v="0"/>
    <x v="0"/>
    <x v="1"/>
    <x v="4"/>
    <s v="DE4-S_A"/>
    <x v="0"/>
    <s v="GNR_ST_COAL_CND_E-44"/>
    <x v="0"/>
    <x v="14"/>
    <n v="1197.72727272727"/>
    <n v="437170.454545455"/>
    <n v="1573813.63636364"/>
  </r>
  <r>
    <x v="0"/>
    <x v="0"/>
    <x v="0"/>
    <x v="1"/>
    <x v="4"/>
    <s v="DE4-S_A"/>
    <x v="0"/>
    <s v="GNR_ST_COAL_CND_E-44"/>
    <x v="0"/>
    <x v="15"/>
    <n v="1197.72727272727"/>
    <n v="437170.454545455"/>
    <n v="1573813.63636364"/>
  </r>
  <r>
    <x v="0"/>
    <x v="0"/>
    <x v="0"/>
    <x v="1"/>
    <x v="4"/>
    <s v="DE4-S_A"/>
    <x v="0"/>
    <s v="GNR_ST_COAL_CND_E-44"/>
    <x v="0"/>
    <x v="16"/>
    <n v="1197.72727272727"/>
    <n v="437170.454545455"/>
    <n v="1573813.63636364"/>
  </r>
  <r>
    <x v="0"/>
    <x v="0"/>
    <x v="0"/>
    <x v="1"/>
    <x v="4"/>
    <s v="DE4-S_A"/>
    <x v="0"/>
    <s v="GNR_ST_COAL_CND_E-44"/>
    <x v="0"/>
    <x v="17"/>
    <n v="1197.72727272727"/>
    <n v="437170.454545455"/>
    <n v="1573813.63636364"/>
  </r>
  <r>
    <x v="0"/>
    <x v="0"/>
    <x v="0"/>
    <x v="1"/>
    <x v="4"/>
    <s v="DE4-S_A"/>
    <x v="0"/>
    <s v="GNR_ST_COAL_CND_E-44"/>
    <x v="0"/>
    <x v="18"/>
    <n v="1197.72727272727"/>
    <n v="437170.454545455"/>
    <n v="1573813.63636364"/>
  </r>
  <r>
    <x v="0"/>
    <x v="0"/>
    <x v="0"/>
    <x v="1"/>
    <x v="4"/>
    <s v="DE4-S_A"/>
    <x v="0"/>
    <s v="GNR_ST_COAL_CND_E-44"/>
    <x v="0"/>
    <x v="19"/>
    <n v="1197.72727272727"/>
    <n v="437170.454545455"/>
    <n v="1573813.63636364"/>
  </r>
  <r>
    <x v="0"/>
    <x v="0"/>
    <x v="0"/>
    <x v="1"/>
    <x v="4"/>
    <s v="DE4-S_A"/>
    <x v="0"/>
    <s v="GNR_ST_COAL_CND_E-44"/>
    <x v="0"/>
    <x v="20"/>
    <n v="1197.72727272727"/>
    <n v="437170.454545455"/>
    <n v="1573813.63636364"/>
  </r>
  <r>
    <x v="0"/>
    <x v="0"/>
    <x v="0"/>
    <x v="1"/>
    <x v="4"/>
    <s v="DE4-S_A"/>
    <x v="0"/>
    <s v="GNR_ST_COAL_CND_E-44"/>
    <x v="0"/>
    <x v="21"/>
    <n v="1197.72727272727"/>
    <n v="437170.454545455"/>
    <n v="1573813.63636364"/>
  </r>
  <r>
    <x v="0"/>
    <x v="0"/>
    <x v="0"/>
    <x v="1"/>
    <x v="4"/>
    <s v="DE4-S_A"/>
    <x v="0"/>
    <s v="GNR_ST_COAL_CND_E-44"/>
    <x v="0"/>
    <x v="22"/>
    <n v="1197.72727272727"/>
    <n v="437170.454545455"/>
    <n v="1573813.63636364"/>
  </r>
  <r>
    <x v="0"/>
    <x v="0"/>
    <x v="0"/>
    <x v="1"/>
    <x v="4"/>
    <s v="DE4-S_A"/>
    <x v="0"/>
    <s v="GNR_ST_COAL_CND_E-44"/>
    <x v="0"/>
    <x v="23"/>
    <n v="1197.72727272727"/>
    <n v="437170.454545455"/>
    <n v="1573813.63636364"/>
  </r>
  <r>
    <x v="0"/>
    <x v="0"/>
    <x v="0"/>
    <x v="1"/>
    <x v="4"/>
    <s v="DE4-S_A"/>
    <x v="10"/>
    <s v="AGG-DE4-S_RES_WTR_PMP"/>
    <x v="0"/>
    <x v="0"/>
    <n v="17304"/>
    <n v="6315960"/>
    <n v="22737456"/>
  </r>
  <r>
    <x v="0"/>
    <x v="0"/>
    <x v="0"/>
    <x v="1"/>
    <x v="4"/>
    <s v="DE4-S_A"/>
    <x v="10"/>
    <s v="AGG-DE4-S_RES_WTR_PMP"/>
    <x v="0"/>
    <x v="1"/>
    <n v="17304"/>
    <n v="6315960"/>
    <n v="22737456"/>
  </r>
  <r>
    <x v="0"/>
    <x v="0"/>
    <x v="0"/>
    <x v="1"/>
    <x v="4"/>
    <s v="DE4-S_A"/>
    <x v="10"/>
    <s v="AGG-DE4-S_RES_WTR_PMP"/>
    <x v="0"/>
    <x v="2"/>
    <n v="17304"/>
    <n v="6315960"/>
    <n v="22737456"/>
  </r>
  <r>
    <x v="0"/>
    <x v="0"/>
    <x v="0"/>
    <x v="1"/>
    <x v="4"/>
    <s v="DE4-S_A"/>
    <x v="10"/>
    <s v="AGG-DE4-S_RES_WTR_PMP"/>
    <x v="0"/>
    <x v="3"/>
    <n v="17304"/>
    <n v="6315960"/>
    <n v="22737456"/>
  </r>
  <r>
    <x v="0"/>
    <x v="0"/>
    <x v="0"/>
    <x v="1"/>
    <x v="4"/>
    <s v="DE4-S_A"/>
    <x v="10"/>
    <s v="AGG-DE4-S_RES_WTR_PMP"/>
    <x v="0"/>
    <x v="4"/>
    <n v="17304"/>
    <n v="6315960"/>
    <n v="22737456"/>
  </r>
  <r>
    <x v="0"/>
    <x v="0"/>
    <x v="0"/>
    <x v="1"/>
    <x v="4"/>
    <s v="DE4-S_A"/>
    <x v="10"/>
    <s v="AGG-DE4-S_RES_WTR_PMP"/>
    <x v="0"/>
    <x v="5"/>
    <n v="17304"/>
    <n v="6315960"/>
    <n v="22737456"/>
  </r>
  <r>
    <x v="0"/>
    <x v="0"/>
    <x v="0"/>
    <x v="1"/>
    <x v="4"/>
    <s v="DE4-S_A"/>
    <x v="10"/>
    <s v="AGG-DE4-S_RES_WTR_PMP"/>
    <x v="0"/>
    <x v="6"/>
    <n v="17304"/>
    <n v="6315960"/>
    <n v="22737456"/>
  </r>
  <r>
    <x v="0"/>
    <x v="0"/>
    <x v="0"/>
    <x v="1"/>
    <x v="4"/>
    <s v="DE4-S_A"/>
    <x v="10"/>
    <s v="AGG-DE4-S_RES_WTR_PMP"/>
    <x v="0"/>
    <x v="7"/>
    <n v="17304"/>
    <n v="6315960"/>
    <n v="22737456"/>
  </r>
  <r>
    <x v="0"/>
    <x v="0"/>
    <x v="0"/>
    <x v="1"/>
    <x v="4"/>
    <s v="DE4-S_A"/>
    <x v="10"/>
    <s v="AGG-DE4-S_RES_WTR_PMP"/>
    <x v="0"/>
    <x v="8"/>
    <n v="17304"/>
    <n v="6315960"/>
    <n v="22737456"/>
  </r>
  <r>
    <x v="0"/>
    <x v="0"/>
    <x v="0"/>
    <x v="1"/>
    <x v="4"/>
    <s v="DE4-S_A"/>
    <x v="10"/>
    <s v="AGG-DE4-S_RES_WTR_PMP"/>
    <x v="0"/>
    <x v="9"/>
    <n v="17304"/>
    <n v="6315960"/>
    <n v="22737456"/>
  </r>
  <r>
    <x v="0"/>
    <x v="0"/>
    <x v="0"/>
    <x v="1"/>
    <x v="4"/>
    <s v="DE4-S_A"/>
    <x v="10"/>
    <s v="AGG-DE4-S_RES_WTR_PMP"/>
    <x v="0"/>
    <x v="10"/>
    <n v="17304"/>
    <n v="6315960"/>
    <n v="22737456"/>
  </r>
  <r>
    <x v="0"/>
    <x v="0"/>
    <x v="0"/>
    <x v="1"/>
    <x v="4"/>
    <s v="DE4-S_A"/>
    <x v="10"/>
    <s v="AGG-DE4-S_RES_WTR_PMP"/>
    <x v="0"/>
    <x v="11"/>
    <n v="17304"/>
    <n v="6315960"/>
    <n v="22737456"/>
  </r>
  <r>
    <x v="0"/>
    <x v="0"/>
    <x v="0"/>
    <x v="1"/>
    <x v="4"/>
    <s v="DE4-S_A"/>
    <x v="10"/>
    <s v="AGG-DE4-S_RES_WTR_PMP"/>
    <x v="0"/>
    <x v="12"/>
    <n v="17304"/>
    <n v="6315960"/>
    <n v="22737456"/>
  </r>
  <r>
    <x v="0"/>
    <x v="0"/>
    <x v="0"/>
    <x v="1"/>
    <x v="4"/>
    <s v="DE4-S_A"/>
    <x v="10"/>
    <s v="AGG-DE4-S_RES_WTR_PMP"/>
    <x v="0"/>
    <x v="13"/>
    <n v="17304"/>
    <n v="6315960"/>
    <n v="22737456"/>
  </r>
  <r>
    <x v="0"/>
    <x v="0"/>
    <x v="0"/>
    <x v="1"/>
    <x v="4"/>
    <s v="DE4-S_A"/>
    <x v="10"/>
    <s v="AGG-DE4-S_RES_WTR_PMP"/>
    <x v="0"/>
    <x v="14"/>
    <n v="17304"/>
    <n v="6315960"/>
    <n v="22737456"/>
  </r>
  <r>
    <x v="0"/>
    <x v="0"/>
    <x v="0"/>
    <x v="1"/>
    <x v="4"/>
    <s v="DE4-S_A"/>
    <x v="10"/>
    <s v="AGG-DE4-S_RES_WTR_PMP"/>
    <x v="0"/>
    <x v="15"/>
    <n v="17304"/>
    <n v="6315960"/>
    <n v="22737456"/>
  </r>
  <r>
    <x v="0"/>
    <x v="0"/>
    <x v="0"/>
    <x v="1"/>
    <x v="4"/>
    <s v="DE4-S_A"/>
    <x v="10"/>
    <s v="AGG-DE4-S_RES_WTR_PMP"/>
    <x v="0"/>
    <x v="16"/>
    <n v="17304"/>
    <n v="6315960"/>
    <n v="22737456"/>
  </r>
  <r>
    <x v="0"/>
    <x v="0"/>
    <x v="0"/>
    <x v="1"/>
    <x v="4"/>
    <s v="DE4-S_A"/>
    <x v="10"/>
    <s v="AGG-DE4-S_RES_WTR_PMP"/>
    <x v="0"/>
    <x v="17"/>
    <n v="17304"/>
    <n v="6315960"/>
    <n v="22737456"/>
  </r>
  <r>
    <x v="0"/>
    <x v="0"/>
    <x v="0"/>
    <x v="1"/>
    <x v="4"/>
    <s v="DE4-S_A"/>
    <x v="10"/>
    <s v="AGG-DE4-S_RES_WTR_PMP"/>
    <x v="0"/>
    <x v="18"/>
    <n v="17304"/>
    <n v="6315960"/>
    <n v="22737456"/>
  </r>
  <r>
    <x v="0"/>
    <x v="0"/>
    <x v="0"/>
    <x v="1"/>
    <x v="4"/>
    <s v="DE4-S_A"/>
    <x v="10"/>
    <s v="AGG-DE4-S_RES_WTR_PMP"/>
    <x v="0"/>
    <x v="19"/>
    <n v="17304"/>
    <n v="6315960"/>
    <n v="22737456"/>
  </r>
  <r>
    <x v="0"/>
    <x v="0"/>
    <x v="0"/>
    <x v="1"/>
    <x v="4"/>
    <s v="DE4-S_A"/>
    <x v="10"/>
    <s v="AGG-DE4-S_RES_WTR_PMP"/>
    <x v="0"/>
    <x v="20"/>
    <n v="17304"/>
    <n v="6315960"/>
    <n v="22737456"/>
  </r>
  <r>
    <x v="0"/>
    <x v="0"/>
    <x v="0"/>
    <x v="1"/>
    <x v="4"/>
    <s v="DE4-S_A"/>
    <x v="10"/>
    <s v="AGG-DE4-S_RES_WTR_PMP"/>
    <x v="0"/>
    <x v="21"/>
    <n v="17304"/>
    <n v="6315960"/>
    <n v="22737456"/>
  </r>
  <r>
    <x v="0"/>
    <x v="0"/>
    <x v="0"/>
    <x v="1"/>
    <x v="4"/>
    <s v="DE4-S_A"/>
    <x v="10"/>
    <s v="AGG-DE4-S_RES_WTR_PMP"/>
    <x v="0"/>
    <x v="22"/>
    <n v="17304"/>
    <n v="6315960"/>
    <n v="22737456"/>
  </r>
  <r>
    <x v="0"/>
    <x v="0"/>
    <x v="0"/>
    <x v="1"/>
    <x v="4"/>
    <s v="DE4-S_A"/>
    <x v="10"/>
    <s v="AGG-DE4-S_RES_WTR_PMP"/>
    <x v="0"/>
    <x v="23"/>
    <n v="17304"/>
    <n v="6315960"/>
    <n v="22737456"/>
  </r>
  <r>
    <x v="0"/>
    <x v="0"/>
    <x v="0"/>
    <x v="1"/>
    <x v="4"/>
    <s v="DE4-S_A"/>
    <x v="1"/>
    <s v="GNR_ST_MSW_CND_E-33"/>
    <x v="0"/>
    <x v="0"/>
    <n v="121.212121212121"/>
    <n v="44242.424242424197"/>
    <n v="159272.727272727"/>
  </r>
  <r>
    <x v="0"/>
    <x v="0"/>
    <x v="0"/>
    <x v="1"/>
    <x v="4"/>
    <s v="DE4-S_A"/>
    <x v="1"/>
    <s v="GNR_ST_MSW_CND_E-33"/>
    <x v="0"/>
    <x v="1"/>
    <n v="121.212121212121"/>
    <n v="44242.424242424197"/>
    <n v="159272.727272727"/>
  </r>
  <r>
    <x v="0"/>
    <x v="0"/>
    <x v="0"/>
    <x v="1"/>
    <x v="4"/>
    <s v="DE4-S_A"/>
    <x v="1"/>
    <s v="GNR_ST_MSW_CND_E-33"/>
    <x v="0"/>
    <x v="2"/>
    <n v="121.212121212121"/>
    <n v="44242.424242424197"/>
    <n v="159272.727272727"/>
  </r>
  <r>
    <x v="0"/>
    <x v="0"/>
    <x v="0"/>
    <x v="1"/>
    <x v="4"/>
    <s v="DE4-S_A"/>
    <x v="1"/>
    <s v="GNR_ST_MSW_CND_E-33"/>
    <x v="0"/>
    <x v="3"/>
    <n v="121.212121212121"/>
    <n v="44242.424242424197"/>
    <n v="159272.727272727"/>
  </r>
  <r>
    <x v="0"/>
    <x v="0"/>
    <x v="0"/>
    <x v="1"/>
    <x v="4"/>
    <s v="DE4-S_A"/>
    <x v="1"/>
    <s v="GNR_ST_MSW_CND_E-33"/>
    <x v="0"/>
    <x v="4"/>
    <n v="121.212121212121"/>
    <n v="44242.424242424197"/>
    <n v="159272.727272727"/>
  </r>
  <r>
    <x v="0"/>
    <x v="0"/>
    <x v="0"/>
    <x v="1"/>
    <x v="4"/>
    <s v="DE4-S_A"/>
    <x v="1"/>
    <s v="GNR_ST_MSW_CND_E-33"/>
    <x v="0"/>
    <x v="5"/>
    <n v="121.212121212121"/>
    <n v="44242.424242424197"/>
    <n v="159272.727272727"/>
  </r>
  <r>
    <x v="0"/>
    <x v="0"/>
    <x v="0"/>
    <x v="1"/>
    <x v="4"/>
    <s v="DE4-S_A"/>
    <x v="1"/>
    <s v="GNR_ST_MSW_CND_E-33"/>
    <x v="0"/>
    <x v="6"/>
    <n v="121.212121212121"/>
    <n v="44242.424242424197"/>
    <n v="159272.727272727"/>
  </r>
  <r>
    <x v="0"/>
    <x v="0"/>
    <x v="0"/>
    <x v="1"/>
    <x v="4"/>
    <s v="DE4-S_A"/>
    <x v="1"/>
    <s v="GNR_ST_MSW_CND_E-33"/>
    <x v="0"/>
    <x v="7"/>
    <n v="121.212121212121"/>
    <n v="44242.424242424197"/>
    <n v="159272.727272727"/>
  </r>
  <r>
    <x v="0"/>
    <x v="0"/>
    <x v="0"/>
    <x v="1"/>
    <x v="4"/>
    <s v="DE4-S_A"/>
    <x v="1"/>
    <s v="GNR_ST_MSW_CND_E-33"/>
    <x v="0"/>
    <x v="8"/>
    <n v="121.212121212121"/>
    <n v="44242.424242424197"/>
    <n v="159272.727272727"/>
  </r>
  <r>
    <x v="0"/>
    <x v="0"/>
    <x v="0"/>
    <x v="1"/>
    <x v="4"/>
    <s v="DE4-S_A"/>
    <x v="1"/>
    <s v="GNR_ST_MSW_CND_E-33"/>
    <x v="0"/>
    <x v="9"/>
    <n v="121.212121212121"/>
    <n v="44242.424242424197"/>
    <n v="159272.727272727"/>
  </r>
  <r>
    <x v="0"/>
    <x v="0"/>
    <x v="0"/>
    <x v="1"/>
    <x v="4"/>
    <s v="DE4-S_A"/>
    <x v="1"/>
    <s v="GNR_ST_MSW_CND_E-33"/>
    <x v="0"/>
    <x v="10"/>
    <n v="121.212121212121"/>
    <n v="44242.424242424197"/>
    <n v="159272.727272727"/>
  </r>
  <r>
    <x v="0"/>
    <x v="0"/>
    <x v="0"/>
    <x v="1"/>
    <x v="4"/>
    <s v="DE4-S_A"/>
    <x v="1"/>
    <s v="GNR_ST_MSW_CND_E-33"/>
    <x v="0"/>
    <x v="11"/>
    <n v="121.212121212121"/>
    <n v="44242.424242424197"/>
    <n v="159272.727272727"/>
  </r>
  <r>
    <x v="0"/>
    <x v="0"/>
    <x v="0"/>
    <x v="1"/>
    <x v="4"/>
    <s v="DE4-S_A"/>
    <x v="1"/>
    <s v="GNR_ST_MSW_CND_E-33"/>
    <x v="0"/>
    <x v="12"/>
    <n v="121.212121212121"/>
    <n v="44242.424242424197"/>
    <n v="159272.727272727"/>
  </r>
  <r>
    <x v="0"/>
    <x v="0"/>
    <x v="0"/>
    <x v="1"/>
    <x v="4"/>
    <s v="DE4-S_A"/>
    <x v="1"/>
    <s v="GNR_ST_MSW_CND_E-33"/>
    <x v="0"/>
    <x v="13"/>
    <n v="121.212121212121"/>
    <n v="44242.424242424197"/>
    <n v="159272.727272727"/>
  </r>
  <r>
    <x v="0"/>
    <x v="0"/>
    <x v="0"/>
    <x v="1"/>
    <x v="4"/>
    <s v="DE4-S_A"/>
    <x v="1"/>
    <s v="GNR_ST_MSW_CND_E-33"/>
    <x v="0"/>
    <x v="14"/>
    <n v="121.212121212121"/>
    <n v="44242.424242424197"/>
    <n v="159272.727272727"/>
  </r>
  <r>
    <x v="0"/>
    <x v="0"/>
    <x v="0"/>
    <x v="1"/>
    <x v="4"/>
    <s v="DE4-S_A"/>
    <x v="1"/>
    <s v="GNR_ST_MSW_CND_E-33"/>
    <x v="0"/>
    <x v="15"/>
    <n v="121.212121212121"/>
    <n v="44242.424242424197"/>
    <n v="159272.727272727"/>
  </r>
  <r>
    <x v="0"/>
    <x v="0"/>
    <x v="0"/>
    <x v="1"/>
    <x v="4"/>
    <s v="DE4-S_A"/>
    <x v="1"/>
    <s v="GNR_ST_MSW_CND_E-33"/>
    <x v="0"/>
    <x v="16"/>
    <n v="121.212121212121"/>
    <n v="44242.424242424197"/>
    <n v="159272.727272727"/>
  </r>
  <r>
    <x v="0"/>
    <x v="0"/>
    <x v="0"/>
    <x v="1"/>
    <x v="4"/>
    <s v="DE4-S_A"/>
    <x v="1"/>
    <s v="GNR_ST_MSW_CND_E-33"/>
    <x v="0"/>
    <x v="17"/>
    <n v="121.212121212121"/>
    <n v="44242.424242424197"/>
    <n v="159272.727272727"/>
  </r>
  <r>
    <x v="0"/>
    <x v="0"/>
    <x v="0"/>
    <x v="1"/>
    <x v="4"/>
    <s v="DE4-S_A"/>
    <x v="1"/>
    <s v="GNR_ST_MSW_CND_E-33"/>
    <x v="0"/>
    <x v="18"/>
    <n v="121.212121212121"/>
    <n v="44242.424242424197"/>
    <n v="159272.727272727"/>
  </r>
  <r>
    <x v="0"/>
    <x v="0"/>
    <x v="0"/>
    <x v="1"/>
    <x v="4"/>
    <s v="DE4-S_A"/>
    <x v="1"/>
    <s v="GNR_ST_MSW_CND_E-33"/>
    <x v="0"/>
    <x v="19"/>
    <n v="121.212121212121"/>
    <n v="44242.424242424197"/>
    <n v="159272.727272727"/>
  </r>
  <r>
    <x v="0"/>
    <x v="0"/>
    <x v="0"/>
    <x v="1"/>
    <x v="4"/>
    <s v="DE4-S_A"/>
    <x v="1"/>
    <s v="GNR_ST_MSW_CND_E-33"/>
    <x v="0"/>
    <x v="20"/>
    <n v="121.212121212121"/>
    <n v="44242.424242424197"/>
    <n v="159272.727272727"/>
  </r>
  <r>
    <x v="0"/>
    <x v="0"/>
    <x v="0"/>
    <x v="1"/>
    <x v="4"/>
    <s v="DE4-S_A"/>
    <x v="1"/>
    <s v="GNR_ST_MSW_CND_E-33"/>
    <x v="0"/>
    <x v="21"/>
    <n v="121.212121212121"/>
    <n v="44242.424242424197"/>
    <n v="159272.727272727"/>
  </r>
  <r>
    <x v="0"/>
    <x v="0"/>
    <x v="0"/>
    <x v="1"/>
    <x v="4"/>
    <s v="DE4-S_A"/>
    <x v="1"/>
    <s v="GNR_ST_MSW_CND_E-33"/>
    <x v="0"/>
    <x v="22"/>
    <n v="121.212121212121"/>
    <n v="44242.424242424197"/>
    <n v="159272.727272727"/>
  </r>
  <r>
    <x v="0"/>
    <x v="0"/>
    <x v="0"/>
    <x v="1"/>
    <x v="4"/>
    <s v="DE4-S_A"/>
    <x v="1"/>
    <s v="GNR_ST_MSW_CND_E-33"/>
    <x v="0"/>
    <x v="23"/>
    <n v="121.212121212121"/>
    <n v="44242.424242424197"/>
    <n v="159272.727272727"/>
  </r>
  <r>
    <x v="0"/>
    <x v="0"/>
    <x v="0"/>
    <x v="1"/>
    <x v="4"/>
    <s v="DE4-S_A"/>
    <x v="12"/>
    <s v="GNR_ST_NUCL_CND_E-33"/>
    <x v="0"/>
    <x v="0"/>
    <n v="20284.848484848499"/>
    <n v="7403969.6969697"/>
    <n v="26654290.909090899"/>
  </r>
  <r>
    <x v="0"/>
    <x v="0"/>
    <x v="0"/>
    <x v="1"/>
    <x v="4"/>
    <s v="DE4-S_A"/>
    <x v="12"/>
    <s v="GNR_ST_NUCL_CND_E-33"/>
    <x v="0"/>
    <x v="1"/>
    <n v="20284.848484848499"/>
    <n v="7403969.6969697"/>
    <n v="26654290.909090899"/>
  </r>
  <r>
    <x v="0"/>
    <x v="0"/>
    <x v="0"/>
    <x v="1"/>
    <x v="4"/>
    <s v="DE4-S_A"/>
    <x v="12"/>
    <s v="GNR_ST_NUCL_CND_E-33"/>
    <x v="0"/>
    <x v="2"/>
    <n v="20284.848484848499"/>
    <n v="7403969.6969697"/>
    <n v="26654290.909090899"/>
  </r>
  <r>
    <x v="0"/>
    <x v="0"/>
    <x v="0"/>
    <x v="1"/>
    <x v="4"/>
    <s v="DE4-S_A"/>
    <x v="12"/>
    <s v="GNR_ST_NUCL_CND_E-33"/>
    <x v="0"/>
    <x v="3"/>
    <n v="20284.848484848499"/>
    <n v="7403969.6969697"/>
    <n v="26654290.909090899"/>
  </r>
  <r>
    <x v="0"/>
    <x v="0"/>
    <x v="0"/>
    <x v="1"/>
    <x v="4"/>
    <s v="DE4-S_A"/>
    <x v="12"/>
    <s v="GNR_ST_NUCL_CND_E-33"/>
    <x v="0"/>
    <x v="4"/>
    <n v="20284.848484848499"/>
    <n v="7403969.6969697"/>
    <n v="26654290.909090899"/>
  </r>
  <r>
    <x v="0"/>
    <x v="0"/>
    <x v="0"/>
    <x v="1"/>
    <x v="4"/>
    <s v="DE4-S_A"/>
    <x v="12"/>
    <s v="GNR_ST_NUCL_CND_E-33"/>
    <x v="0"/>
    <x v="5"/>
    <n v="20284.848484848499"/>
    <n v="7403969.6969697"/>
    <n v="26654290.909090899"/>
  </r>
  <r>
    <x v="0"/>
    <x v="0"/>
    <x v="0"/>
    <x v="1"/>
    <x v="4"/>
    <s v="DE4-S_A"/>
    <x v="12"/>
    <s v="GNR_ST_NUCL_CND_E-33"/>
    <x v="0"/>
    <x v="6"/>
    <n v="20284.848484848499"/>
    <n v="7403969.6969697"/>
    <n v="26654290.909090899"/>
  </r>
  <r>
    <x v="0"/>
    <x v="0"/>
    <x v="0"/>
    <x v="1"/>
    <x v="4"/>
    <s v="DE4-S_A"/>
    <x v="12"/>
    <s v="GNR_ST_NUCL_CND_E-33"/>
    <x v="0"/>
    <x v="7"/>
    <n v="20284.848484848499"/>
    <n v="7403969.6969697"/>
    <n v="26654290.909090899"/>
  </r>
  <r>
    <x v="0"/>
    <x v="0"/>
    <x v="0"/>
    <x v="1"/>
    <x v="4"/>
    <s v="DE4-S_A"/>
    <x v="12"/>
    <s v="GNR_ST_NUCL_CND_E-33"/>
    <x v="0"/>
    <x v="8"/>
    <n v="20284.848484848499"/>
    <n v="7403969.6969697"/>
    <n v="26654290.909090899"/>
  </r>
  <r>
    <x v="0"/>
    <x v="0"/>
    <x v="0"/>
    <x v="1"/>
    <x v="4"/>
    <s v="DE4-S_A"/>
    <x v="12"/>
    <s v="GNR_ST_NUCL_CND_E-33"/>
    <x v="0"/>
    <x v="9"/>
    <n v="20284.848484848499"/>
    <n v="7403969.6969697"/>
    <n v="26654290.909090899"/>
  </r>
  <r>
    <x v="0"/>
    <x v="0"/>
    <x v="0"/>
    <x v="1"/>
    <x v="4"/>
    <s v="DE4-S_A"/>
    <x v="12"/>
    <s v="GNR_ST_NUCL_CND_E-33"/>
    <x v="0"/>
    <x v="10"/>
    <n v="20284.848484848499"/>
    <n v="7403969.6969697"/>
    <n v="26654290.909090899"/>
  </r>
  <r>
    <x v="0"/>
    <x v="0"/>
    <x v="0"/>
    <x v="1"/>
    <x v="4"/>
    <s v="DE4-S_A"/>
    <x v="12"/>
    <s v="GNR_ST_NUCL_CND_E-33"/>
    <x v="0"/>
    <x v="11"/>
    <n v="20284.848484848499"/>
    <n v="7403969.6969697"/>
    <n v="26654290.909090899"/>
  </r>
  <r>
    <x v="0"/>
    <x v="0"/>
    <x v="0"/>
    <x v="1"/>
    <x v="4"/>
    <s v="DE4-S_A"/>
    <x v="12"/>
    <s v="GNR_ST_NUCL_CND_E-33"/>
    <x v="0"/>
    <x v="12"/>
    <n v="20284.848484848499"/>
    <n v="7403969.6969697"/>
    <n v="26654290.909090899"/>
  </r>
  <r>
    <x v="0"/>
    <x v="0"/>
    <x v="0"/>
    <x v="1"/>
    <x v="4"/>
    <s v="DE4-S_A"/>
    <x v="12"/>
    <s v="GNR_ST_NUCL_CND_E-33"/>
    <x v="0"/>
    <x v="13"/>
    <n v="20284.848484848499"/>
    <n v="7403969.6969697"/>
    <n v="26654290.909090899"/>
  </r>
  <r>
    <x v="0"/>
    <x v="0"/>
    <x v="0"/>
    <x v="1"/>
    <x v="4"/>
    <s v="DE4-S_A"/>
    <x v="12"/>
    <s v="GNR_ST_NUCL_CND_E-33"/>
    <x v="0"/>
    <x v="14"/>
    <n v="20284.848484848499"/>
    <n v="7403969.6969697"/>
    <n v="26654290.909090899"/>
  </r>
  <r>
    <x v="0"/>
    <x v="0"/>
    <x v="0"/>
    <x v="1"/>
    <x v="4"/>
    <s v="DE4-S_A"/>
    <x v="12"/>
    <s v="GNR_ST_NUCL_CND_E-33"/>
    <x v="0"/>
    <x v="15"/>
    <n v="20284.848484848499"/>
    <n v="7403969.6969697"/>
    <n v="26654290.909090899"/>
  </r>
  <r>
    <x v="0"/>
    <x v="0"/>
    <x v="0"/>
    <x v="1"/>
    <x v="4"/>
    <s v="DE4-S_A"/>
    <x v="12"/>
    <s v="GNR_ST_NUCL_CND_E-33"/>
    <x v="0"/>
    <x v="16"/>
    <n v="20284.848484848499"/>
    <n v="7403969.6969697"/>
    <n v="26654290.909090899"/>
  </r>
  <r>
    <x v="0"/>
    <x v="0"/>
    <x v="0"/>
    <x v="1"/>
    <x v="4"/>
    <s v="DE4-S_A"/>
    <x v="12"/>
    <s v="GNR_ST_NUCL_CND_E-33"/>
    <x v="0"/>
    <x v="17"/>
    <n v="20284.848484848499"/>
    <n v="7403969.6969697"/>
    <n v="26654290.909090899"/>
  </r>
  <r>
    <x v="0"/>
    <x v="0"/>
    <x v="0"/>
    <x v="1"/>
    <x v="4"/>
    <s v="DE4-S_A"/>
    <x v="12"/>
    <s v="GNR_ST_NUCL_CND_E-33"/>
    <x v="0"/>
    <x v="18"/>
    <n v="20284.848484848499"/>
    <n v="7403969.6969697"/>
    <n v="26654290.909090899"/>
  </r>
  <r>
    <x v="0"/>
    <x v="0"/>
    <x v="0"/>
    <x v="1"/>
    <x v="4"/>
    <s v="DE4-S_A"/>
    <x v="12"/>
    <s v="GNR_ST_NUCL_CND_E-33"/>
    <x v="0"/>
    <x v="19"/>
    <n v="20284.848484848499"/>
    <n v="7403969.6969697"/>
    <n v="26654290.909090899"/>
  </r>
  <r>
    <x v="0"/>
    <x v="0"/>
    <x v="0"/>
    <x v="1"/>
    <x v="4"/>
    <s v="DE4-S_A"/>
    <x v="12"/>
    <s v="GNR_ST_NUCL_CND_E-33"/>
    <x v="0"/>
    <x v="20"/>
    <n v="20284.848484848499"/>
    <n v="7403969.6969697"/>
    <n v="26654290.909090899"/>
  </r>
  <r>
    <x v="0"/>
    <x v="0"/>
    <x v="0"/>
    <x v="1"/>
    <x v="4"/>
    <s v="DE4-S_A"/>
    <x v="12"/>
    <s v="GNR_ST_NUCL_CND_E-33"/>
    <x v="0"/>
    <x v="21"/>
    <n v="20284.848484848499"/>
    <n v="7403969.6969697"/>
    <n v="26654290.909090899"/>
  </r>
  <r>
    <x v="0"/>
    <x v="0"/>
    <x v="0"/>
    <x v="1"/>
    <x v="4"/>
    <s v="DE4-S_A"/>
    <x v="12"/>
    <s v="GNR_ST_NUCL_CND_E-33"/>
    <x v="0"/>
    <x v="22"/>
    <n v="20284.848484848499"/>
    <n v="7403969.6969697"/>
    <n v="26654290.909090899"/>
  </r>
  <r>
    <x v="0"/>
    <x v="0"/>
    <x v="0"/>
    <x v="1"/>
    <x v="4"/>
    <s v="DE4-S_A"/>
    <x v="12"/>
    <s v="GNR_ST_NUCL_CND_E-33"/>
    <x v="0"/>
    <x v="23"/>
    <n v="20284.848484848499"/>
    <n v="7403969.6969697"/>
    <n v="26654290.909090899"/>
  </r>
  <r>
    <x v="0"/>
    <x v="0"/>
    <x v="0"/>
    <x v="1"/>
    <x v="4"/>
    <s v="DE4-S_A"/>
    <x v="6"/>
    <s v="GNR_PV_SUN"/>
    <x v="0"/>
    <x v="6"/>
    <n v="102.26073386189699"/>
    <n v="37325.167859592497"/>
    <n v="134370.604294533"/>
  </r>
  <r>
    <x v="0"/>
    <x v="0"/>
    <x v="0"/>
    <x v="1"/>
    <x v="4"/>
    <s v="DE4-S_A"/>
    <x v="6"/>
    <s v="GNR_PV_SUN"/>
    <x v="0"/>
    <x v="7"/>
    <n v="1090.70863585041"/>
    <n v="398108.65208539797"/>
    <n v="1433191.1475074301"/>
  </r>
  <r>
    <x v="0"/>
    <x v="0"/>
    <x v="0"/>
    <x v="1"/>
    <x v="4"/>
    <s v="DE4-S_A"/>
    <x v="6"/>
    <s v="GNR_PV_SUN"/>
    <x v="0"/>
    <x v="8"/>
    <n v="3182.9197354589301"/>
    <n v="1161765.70344251"/>
    <n v="4182356.5323930299"/>
  </r>
  <r>
    <x v="0"/>
    <x v="0"/>
    <x v="0"/>
    <x v="1"/>
    <x v="4"/>
    <s v="DE4-S_A"/>
    <x v="6"/>
    <s v="GNR_PV_SUN"/>
    <x v="0"/>
    <x v="9"/>
    <n v="5196.3683123908404"/>
    <n v="1896674.4340226599"/>
    <n v="6828027.9624815602"/>
  </r>
  <r>
    <x v="0"/>
    <x v="0"/>
    <x v="0"/>
    <x v="1"/>
    <x v="4"/>
    <s v="DE4-S_A"/>
    <x v="6"/>
    <s v="GNR_PV_SUN"/>
    <x v="0"/>
    <x v="10"/>
    <n v="6925.4450187748798"/>
    <n v="2527787.4318528301"/>
    <n v="9100034.7546701897"/>
  </r>
  <r>
    <x v="0"/>
    <x v="0"/>
    <x v="0"/>
    <x v="1"/>
    <x v="4"/>
    <s v="DE4-S_A"/>
    <x v="6"/>
    <s v="GNR_PV_SUN"/>
    <x v="0"/>
    <x v="11"/>
    <n v="8032.6894328667804"/>
    <n v="2931931.6429963699"/>
    <n v="10554953.914786899"/>
  </r>
  <r>
    <x v="0"/>
    <x v="0"/>
    <x v="0"/>
    <x v="1"/>
    <x v="4"/>
    <s v="DE4-S_A"/>
    <x v="6"/>
    <s v="GNR_PV_SUN"/>
    <x v="0"/>
    <x v="12"/>
    <n v="8496.1263756877197"/>
    <n v="3101086.1271260199"/>
    <n v="11163910.057653699"/>
  </r>
  <r>
    <x v="0"/>
    <x v="0"/>
    <x v="0"/>
    <x v="1"/>
    <x v="4"/>
    <s v="DE4-S_A"/>
    <x v="6"/>
    <s v="GNR_PV_SUN"/>
    <x v="0"/>
    <x v="13"/>
    <n v="8544.4282542352503"/>
    <n v="3118716.31279587"/>
    <n v="11227378.726065099"/>
  </r>
  <r>
    <x v="0"/>
    <x v="0"/>
    <x v="0"/>
    <x v="1"/>
    <x v="4"/>
    <s v="DE4-S_A"/>
    <x v="6"/>
    <s v="GNR_PV_SUN"/>
    <x v="0"/>
    <x v="14"/>
    <n v="7355.8104051128203"/>
    <n v="2684870.7978661801"/>
    <n v="9665534.8723182399"/>
  </r>
  <r>
    <x v="0"/>
    <x v="0"/>
    <x v="0"/>
    <x v="1"/>
    <x v="4"/>
    <s v="DE4-S_A"/>
    <x v="6"/>
    <s v="GNR_PV_SUN"/>
    <x v="0"/>
    <x v="15"/>
    <n v="5567.9881707655604"/>
    <n v="2032315.68232943"/>
    <n v="7316336.4563859496"/>
  </r>
  <r>
    <x v="0"/>
    <x v="0"/>
    <x v="0"/>
    <x v="1"/>
    <x v="4"/>
    <s v="DE4-S_A"/>
    <x v="6"/>
    <s v="GNR_PV_SUN"/>
    <x v="0"/>
    <x v="16"/>
    <n v="3547.7947369193598"/>
    <n v="1294945.0789755699"/>
    <n v="4661802.2843120303"/>
  </r>
  <r>
    <x v="0"/>
    <x v="0"/>
    <x v="0"/>
    <x v="1"/>
    <x v="4"/>
    <s v="DE4-S_A"/>
    <x v="6"/>
    <s v="GNR_PV_SUN"/>
    <x v="0"/>
    <x v="17"/>
    <n v="1347.4483506526201"/>
    <n v="491818.64798820502"/>
    <n v="1770547.1327575401"/>
  </r>
  <r>
    <x v="0"/>
    <x v="0"/>
    <x v="0"/>
    <x v="1"/>
    <x v="4"/>
    <s v="DE4-S_A"/>
    <x v="6"/>
    <s v="GNR_PV_SUN"/>
    <x v="0"/>
    <x v="18"/>
    <n v="110.311046953153"/>
    <n v="40263.532137900896"/>
    <n v="144948.71569644299"/>
  </r>
  <r>
    <x v="0"/>
    <x v="0"/>
    <x v="0"/>
    <x v="1"/>
    <x v="4"/>
    <s v="DE4-S_A"/>
    <x v="2"/>
    <s v="GNR_GEO_HEAT_EO"/>
    <x v="0"/>
    <x v="0"/>
    <n v="44.76"/>
    <n v="16337.4"/>
    <n v="58814.64"/>
  </r>
  <r>
    <x v="0"/>
    <x v="0"/>
    <x v="0"/>
    <x v="1"/>
    <x v="4"/>
    <s v="DE4-S_A"/>
    <x v="2"/>
    <s v="GNR_GEO_HEAT_EO"/>
    <x v="0"/>
    <x v="1"/>
    <n v="44.76"/>
    <n v="16337.4"/>
    <n v="58814.64"/>
  </r>
  <r>
    <x v="0"/>
    <x v="0"/>
    <x v="0"/>
    <x v="1"/>
    <x v="4"/>
    <s v="DE4-S_A"/>
    <x v="2"/>
    <s v="GNR_GEO_HEAT_EO"/>
    <x v="0"/>
    <x v="2"/>
    <n v="44.76"/>
    <n v="16337.4"/>
    <n v="58814.64"/>
  </r>
  <r>
    <x v="0"/>
    <x v="0"/>
    <x v="0"/>
    <x v="1"/>
    <x v="4"/>
    <s v="DE4-S_A"/>
    <x v="2"/>
    <s v="GNR_GEO_HEAT_EO"/>
    <x v="0"/>
    <x v="3"/>
    <n v="44.76"/>
    <n v="16337.4"/>
    <n v="58814.64"/>
  </r>
  <r>
    <x v="0"/>
    <x v="0"/>
    <x v="0"/>
    <x v="1"/>
    <x v="4"/>
    <s v="DE4-S_A"/>
    <x v="2"/>
    <s v="GNR_GEO_HEAT_EO"/>
    <x v="0"/>
    <x v="4"/>
    <n v="44.76"/>
    <n v="16337.4"/>
    <n v="58814.64"/>
  </r>
  <r>
    <x v="0"/>
    <x v="0"/>
    <x v="0"/>
    <x v="1"/>
    <x v="4"/>
    <s v="DE4-S_A"/>
    <x v="2"/>
    <s v="GNR_GEO_HEAT_EO"/>
    <x v="0"/>
    <x v="5"/>
    <n v="44.76"/>
    <n v="16337.4"/>
    <n v="58814.64"/>
  </r>
  <r>
    <x v="0"/>
    <x v="0"/>
    <x v="0"/>
    <x v="1"/>
    <x v="4"/>
    <s v="DE4-S_A"/>
    <x v="2"/>
    <s v="GNR_GEO_HEAT_EO"/>
    <x v="0"/>
    <x v="6"/>
    <n v="44.76"/>
    <n v="16337.4"/>
    <n v="58814.64"/>
  </r>
  <r>
    <x v="0"/>
    <x v="0"/>
    <x v="0"/>
    <x v="1"/>
    <x v="4"/>
    <s v="DE4-S_A"/>
    <x v="2"/>
    <s v="GNR_GEO_HEAT_EO"/>
    <x v="0"/>
    <x v="7"/>
    <n v="44.76"/>
    <n v="16337.4"/>
    <n v="58814.64"/>
  </r>
  <r>
    <x v="0"/>
    <x v="0"/>
    <x v="0"/>
    <x v="1"/>
    <x v="4"/>
    <s v="DE4-S_A"/>
    <x v="2"/>
    <s v="GNR_GEO_HEAT_EO"/>
    <x v="0"/>
    <x v="8"/>
    <n v="44.76"/>
    <n v="16337.4"/>
    <n v="58814.64"/>
  </r>
  <r>
    <x v="0"/>
    <x v="0"/>
    <x v="0"/>
    <x v="1"/>
    <x v="4"/>
    <s v="DE4-S_A"/>
    <x v="2"/>
    <s v="GNR_GEO_HEAT_EO"/>
    <x v="0"/>
    <x v="9"/>
    <n v="44.76"/>
    <n v="16337.4"/>
    <n v="58814.64"/>
  </r>
  <r>
    <x v="0"/>
    <x v="0"/>
    <x v="0"/>
    <x v="1"/>
    <x v="4"/>
    <s v="DE4-S_A"/>
    <x v="2"/>
    <s v="GNR_GEO_HEAT_EO"/>
    <x v="0"/>
    <x v="10"/>
    <n v="44.76"/>
    <n v="16337.4"/>
    <n v="58814.64"/>
  </r>
  <r>
    <x v="0"/>
    <x v="0"/>
    <x v="0"/>
    <x v="1"/>
    <x v="4"/>
    <s v="DE4-S_A"/>
    <x v="2"/>
    <s v="GNR_GEO_HEAT_EO"/>
    <x v="0"/>
    <x v="11"/>
    <n v="44.76"/>
    <n v="16337.4"/>
    <n v="58814.64"/>
  </r>
  <r>
    <x v="0"/>
    <x v="0"/>
    <x v="0"/>
    <x v="1"/>
    <x v="4"/>
    <s v="DE4-S_A"/>
    <x v="2"/>
    <s v="GNR_GEO_HEAT_EO"/>
    <x v="0"/>
    <x v="12"/>
    <n v="44.76"/>
    <n v="16337.4"/>
    <n v="58814.64"/>
  </r>
  <r>
    <x v="0"/>
    <x v="0"/>
    <x v="0"/>
    <x v="1"/>
    <x v="4"/>
    <s v="DE4-S_A"/>
    <x v="2"/>
    <s v="GNR_GEO_HEAT_EO"/>
    <x v="0"/>
    <x v="13"/>
    <n v="44.76"/>
    <n v="16337.4"/>
    <n v="58814.64"/>
  </r>
  <r>
    <x v="0"/>
    <x v="0"/>
    <x v="0"/>
    <x v="1"/>
    <x v="4"/>
    <s v="DE4-S_A"/>
    <x v="2"/>
    <s v="GNR_GEO_HEAT_EO"/>
    <x v="0"/>
    <x v="14"/>
    <n v="44.76"/>
    <n v="16337.4"/>
    <n v="58814.64"/>
  </r>
  <r>
    <x v="0"/>
    <x v="0"/>
    <x v="0"/>
    <x v="1"/>
    <x v="4"/>
    <s v="DE4-S_A"/>
    <x v="2"/>
    <s v="GNR_GEO_HEAT_EO"/>
    <x v="0"/>
    <x v="15"/>
    <n v="44.76"/>
    <n v="16337.4"/>
    <n v="58814.64"/>
  </r>
  <r>
    <x v="0"/>
    <x v="0"/>
    <x v="0"/>
    <x v="1"/>
    <x v="4"/>
    <s v="DE4-S_A"/>
    <x v="2"/>
    <s v="GNR_GEO_HEAT_EO"/>
    <x v="0"/>
    <x v="16"/>
    <n v="44.76"/>
    <n v="16337.4"/>
    <n v="58814.64"/>
  </r>
  <r>
    <x v="0"/>
    <x v="0"/>
    <x v="0"/>
    <x v="1"/>
    <x v="4"/>
    <s v="DE4-S_A"/>
    <x v="2"/>
    <s v="GNR_GEO_HEAT_EO"/>
    <x v="0"/>
    <x v="17"/>
    <n v="44.76"/>
    <n v="16337.4"/>
    <n v="58814.64"/>
  </r>
  <r>
    <x v="0"/>
    <x v="0"/>
    <x v="0"/>
    <x v="1"/>
    <x v="4"/>
    <s v="DE4-S_A"/>
    <x v="2"/>
    <s v="GNR_GEO_HEAT_EO"/>
    <x v="0"/>
    <x v="18"/>
    <n v="44.76"/>
    <n v="16337.4"/>
    <n v="58814.64"/>
  </r>
  <r>
    <x v="0"/>
    <x v="0"/>
    <x v="0"/>
    <x v="1"/>
    <x v="4"/>
    <s v="DE4-S_A"/>
    <x v="2"/>
    <s v="GNR_GEO_HEAT_EO"/>
    <x v="0"/>
    <x v="19"/>
    <n v="44.76"/>
    <n v="16337.4"/>
    <n v="58814.64"/>
  </r>
  <r>
    <x v="0"/>
    <x v="0"/>
    <x v="0"/>
    <x v="1"/>
    <x v="4"/>
    <s v="DE4-S_A"/>
    <x v="2"/>
    <s v="GNR_GEO_HEAT_EO"/>
    <x v="0"/>
    <x v="20"/>
    <n v="44.76"/>
    <n v="16337.4"/>
    <n v="58814.64"/>
  </r>
  <r>
    <x v="0"/>
    <x v="0"/>
    <x v="0"/>
    <x v="1"/>
    <x v="4"/>
    <s v="DE4-S_A"/>
    <x v="2"/>
    <s v="GNR_GEO_HEAT_EO"/>
    <x v="0"/>
    <x v="21"/>
    <n v="44.76"/>
    <n v="16337.4"/>
    <n v="58814.64"/>
  </r>
  <r>
    <x v="0"/>
    <x v="0"/>
    <x v="0"/>
    <x v="1"/>
    <x v="4"/>
    <s v="DE4-S_A"/>
    <x v="2"/>
    <s v="GNR_GEO_HEAT_EO"/>
    <x v="0"/>
    <x v="22"/>
    <n v="44.76"/>
    <n v="16337.4"/>
    <n v="58814.64"/>
  </r>
  <r>
    <x v="0"/>
    <x v="0"/>
    <x v="0"/>
    <x v="1"/>
    <x v="4"/>
    <s v="DE4-S_A"/>
    <x v="2"/>
    <s v="GNR_GEO_HEAT_EO"/>
    <x v="0"/>
    <x v="23"/>
    <n v="44.76"/>
    <n v="16337.4"/>
    <n v="58814.64"/>
  </r>
  <r>
    <x v="0"/>
    <x v="0"/>
    <x v="0"/>
    <x v="1"/>
    <x v="4"/>
    <s v="DE4-S_A"/>
    <x v="7"/>
    <s v="GNR_RES_WTR_NOPMP"/>
    <x v="0"/>
    <x v="0"/>
    <n v="124"/>
    <n v="45260"/>
    <n v="162936"/>
  </r>
  <r>
    <x v="0"/>
    <x v="0"/>
    <x v="0"/>
    <x v="1"/>
    <x v="4"/>
    <s v="DE4-S_A"/>
    <x v="7"/>
    <s v="GNR_RES_WTR_NOPMP"/>
    <x v="0"/>
    <x v="1"/>
    <n v="124"/>
    <n v="45260"/>
    <n v="162936"/>
  </r>
  <r>
    <x v="0"/>
    <x v="0"/>
    <x v="0"/>
    <x v="1"/>
    <x v="4"/>
    <s v="DE4-S_A"/>
    <x v="7"/>
    <s v="GNR_RES_WTR_NOPMP"/>
    <x v="0"/>
    <x v="2"/>
    <n v="124"/>
    <n v="45260"/>
    <n v="162936"/>
  </r>
  <r>
    <x v="0"/>
    <x v="0"/>
    <x v="0"/>
    <x v="1"/>
    <x v="4"/>
    <s v="DE4-S_A"/>
    <x v="7"/>
    <s v="GNR_RES_WTR_NOPMP"/>
    <x v="0"/>
    <x v="4"/>
    <n v="124"/>
    <n v="45260"/>
    <n v="162936"/>
  </r>
  <r>
    <x v="0"/>
    <x v="0"/>
    <x v="0"/>
    <x v="1"/>
    <x v="4"/>
    <s v="DE4-S_A"/>
    <x v="7"/>
    <s v="GNR_RES_WTR_NOPMP"/>
    <x v="0"/>
    <x v="6"/>
    <n v="124"/>
    <n v="45260"/>
    <n v="162936"/>
  </r>
  <r>
    <x v="0"/>
    <x v="0"/>
    <x v="0"/>
    <x v="1"/>
    <x v="4"/>
    <s v="DE4-S_A"/>
    <x v="7"/>
    <s v="GNR_RES_WTR_NOPMP"/>
    <x v="0"/>
    <x v="12"/>
    <n v="124"/>
    <n v="45260"/>
    <n v="162936"/>
  </r>
  <r>
    <x v="0"/>
    <x v="0"/>
    <x v="0"/>
    <x v="1"/>
    <x v="4"/>
    <s v="DE4-S_A"/>
    <x v="7"/>
    <s v="GNR_RES_WTR_NOPMP"/>
    <x v="0"/>
    <x v="13"/>
    <n v="124"/>
    <n v="45260"/>
    <n v="162936"/>
  </r>
  <r>
    <x v="0"/>
    <x v="0"/>
    <x v="0"/>
    <x v="1"/>
    <x v="4"/>
    <s v="DE4-S_A"/>
    <x v="7"/>
    <s v="GNR_RES_WTR_NOPMP"/>
    <x v="0"/>
    <x v="15"/>
    <n v="124"/>
    <n v="45260"/>
    <n v="162936"/>
  </r>
  <r>
    <x v="0"/>
    <x v="0"/>
    <x v="0"/>
    <x v="1"/>
    <x v="4"/>
    <s v="DE4-S_A"/>
    <x v="7"/>
    <s v="GNR_RES_WTR_NOPMP"/>
    <x v="0"/>
    <x v="17"/>
    <n v="124"/>
    <n v="45260"/>
    <n v="162936"/>
  </r>
  <r>
    <x v="0"/>
    <x v="0"/>
    <x v="0"/>
    <x v="1"/>
    <x v="4"/>
    <s v="DE4-S_A"/>
    <x v="7"/>
    <s v="GNR_RES_WTR_NOPMP"/>
    <x v="0"/>
    <x v="18"/>
    <n v="25.432108074022501"/>
    <n v="9282.7194470182294"/>
    <n v="33417.790009265598"/>
  </r>
  <r>
    <x v="0"/>
    <x v="0"/>
    <x v="0"/>
    <x v="1"/>
    <x v="4"/>
    <s v="DE4-S_A"/>
    <x v="7"/>
    <s v="GNR_RES_WTR_NOPMP"/>
    <x v="0"/>
    <x v="19"/>
    <n v="124"/>
    <n v="45260"/>
    <n v="162936"/>
  </r>
  <r>
    <x v="0"/>
    <x v="0"/>
    <x v="0"/>
    <x v="1"/>
    <x v="4"/>
    <s v="DE4-S_A"/>
    <x v="7"/>
    <s v="GNR_RES_WTR_NOPMP"/>
    <x v="0"/>
    <x v="20"/>
    <n v="124"/>
    <n v="45260"/>
    <n v="162936"/>
  </r>
  <r>
    <x v="0"/>
    <x v="0"/>
    <x v="0"/>
    <x v="1"/>
    <x v="4"/>
    <s v="DE4-S_A"/>
    <x v="7"/>
    <s v="GNR_RES_WTR_NOPMP"/>
    <x v="0"/>
    <x v="21"/>
    <n v="124"/>
    <n v="45260"/>
    <n v="162936"/>
  </r>
  <r>
    <x v="0"/>
    <x v="0"/>
    <x v="0"/>
    <x v="1"/>
    <x v="4"/>
    <s v="DE4-S_A"/>
    <x v="7"/>
    <s v="GNR_RES_WTR_NOPMP"/>
    <x v="0"/>
    <x v="22"/>
    <n v="124"/>
    <n v="45260"/>
    <n v="162936"/>
  </r>
  <r>
    <x v="0"/>
    <x v="0"/>
    <x v="0"/>
    <x v="1"/>
    <x v="4"/>
    <s v="DE4-S_A"/>
    <x v="7"/>
    <s v="GNR_ROR_WTR"/>
    <x v="0"/>
    <x v="0"/>
    <n v="4846.1602993404404"/>
    <n v="1768848.50925926"/>
    <n v="6367854.63333333"/>
  </r>
  <r>
    <x v="0"/>
    <x v="0"/>
    <x v="0"/>
    <x v="1"/>
    <x v="4"/>
    <s v="DE4-S_A"/>
    <x v="7"/>
    <s v="GNR_ROR_WTR"/>
    <x v="0"/>
    <x v="1"/>
    <n v="4846.1602993404404"/>
    <n v="1768848.50925926"/>
    <n v="6367854.63333333"/>
  </r>
  <r>
    <x v="0"/>
    <x v="0"/>
    <x v="0"/>
    <x v="1"/>
    <x v="4"/>
    <s v="DE4-S_A"/>
    <x v="7"/>
    <s v="GNR_ROR_WTR"/>
    <x v="0"/>
    <x v="2"/>
    <n v="4846.1602993404404"/>
    <n v="1768848.50925926"/>
    <n v="6367854.63333333"/>
  </r>
  <r>
    <x v="0"/>
    <x v="0"/>
    <x v="0"/>
    <x v="1"/>
    <x v="4"/>
    <s v="DE4-S_A"/>
    <x v="7"/>
    <s v="GNR_ROR_WTR"/>
    <x v="0"/>
    <x v="3"/>
    <n v="4846.1602993404404"/>
    <n v="1768848.50925926"/>
    <n v="6367854.63333333"/>
  </r>
  <r>
    <x v="0"/>
    <x v="0"/>
    <x v="0"/>
    <x v="1"/>
    <x v="4"/>
    <s v="DE4-S_A"/>
    <x v="7"/>
    <s v="GNR_ROR_WTR"/>
    <x v="0"/>
    <x v="4"/>
    <n v="4846.1602993404404"/>
    <n v="1768848.50925926"/>
    <n v="6367854.63333333"/>
  </r>
  <r>
    <x v="0"/>
    <x v="0"/>
    <x v="0"/>
    <x v="1"/>
    <x v="4"/>
    <s v="DE4-S_A"/>
    <x v="7"/>
    <s v="GNR_ROR_WTR"/>
    <x v="0"/>
    <x v="5"/>
    <n v="4846.1602993404404"/>
    <n v="1768848.50925926"/>
    <n v="6367854.63333333"/>
  </r>
  <r>
    <x v="0"/>
    <x v="0"/>
    <x v="0"/>
    <x v="1"/>
    <x v="4"/>
    <s v="DE4-S_A"/>
    <x v="7"/>
    <s v="GNR_ROR_WTR"/>
    <x v="0"/>
    <x v="6"/>
    <n v="4846.1602993404404"/>
    <n v="1768848.50925926"/>
    <n v="6367854.63333333"/>
  </r>
  <r>
    <x v="0"/>
    <x v="0"/>
    <x v="0"/>
    <x v="1"/>
    <x v="4"/>
    <s v="DE4-S_A"/>
    <x v="7"/>
    <s v="GNR_ROR_WTR"/>
    <x v="0"/>
    <x v="7"/>
    <n v="4846.1602993404404"/>
    <n v="1768848.50925926"/>
    <n v="6367854.63333333"/>
  </r>
  <r>
    <x v="0"/>
    <x v="0"/>
    <x v="0"/>
    <x v="1"/>
    <x v="4"/>
    <s v="DE4-S_A"/>
    <x v="7"/>
    <s v="GNR_ROR_WTR"/>
    <x v="0"/>
    <x v="8"/>
    <n v="4846.1602993404404"/>
    <n v="1768848.50925926"/>
    <n v="6367854.63333333"/>
  </r>
  <r>
    <x v="0"/>
    <x v="0"/>
    <x v="0"/>
    <x v="1"/>
    <x v="4"/>
    <s v="DE4-S_A"/>
    <x v="7"/>
    <s v="GNR_ROR_WTR"/>
    <x v="0"/>
    <x v="9"/>
    <n v="4846.1602993404404"/>
    <n v="1768848.50925926"/>
    <n v="6367854.63333333"/>
  </r>
  <r>
    <x v="0"/>
    <x v="0"/>
    <x v="0"/>
    <x v="1"/>
    <x v="4"/>
    <s v="DE4-S_A"/>
    <x v="7"/>
    <s v="GNR_ROR_WTR"/>
    <x v="0"/>
    <x v="10"/>
    <n v="4846.1602993404404"/>
    <n v="1768848.50925926"/>
    <n v="6367854.63333333"/>
  </r>
  <r>
    <x v="0"/>
    <x v="0"/>
    <x v="0"/>
    <x v="1"/>
    <x v="4"/>
    <s v="DE4-S_A"/>
    <x v="7"/>
    <s v="GNR_ROR_WTR"/>
    <x v="0"/>
    <x v="11"/>
    <n v="4846.1602993404404"/>
    <n v="1768848.50925926"/>
    <n v="6367854.63333333"/>
  </r>
  <r>
    <x v="0"/>
    <x v="0"/>
    <x v="0"/>
    <x v="1"/>
    <x v="4"/>
    <s v="DE4-S_A"/>
    <x v="7"/>
    <s v="GNR_ROR_WTR"/>
    <x v="0"/>
    <x v="12"/>
    <n v="4846.1602993404404"/>
    <n v="1768848.50925926"/>
    <n v="6367854.63333333"/>
  </r>
  <r>
    <x v="0"/>
    <x v="0"/>
    <x v="0"/>
    <x v="1"/>
    <x v="4"/>
    <s v="DE4-S_A"/>
    <x v="7"/>
    <s v="GNR_ROR_WTR"/>
    <x v="0"/>
    <x v="13"/>
    <n v="4846.1602993404404"/>
    <n v="1768848.50925926"/>
    <n v="6367854.63333333"/>
  </r>
  <r>
    <x v="0"/>
    <x v="0"/>
    <x v="0"/>
    <x v="1"/>
    <x v="4"/>
    <s v="DE4-S_A"/>
    <x v="7"/>
    <s v="GNR_ROR_WTR"/>
    <x v="0"/>
    <x v="14"/>
    <n v="4846.1602993404404"/>
    <n v="1768848.50925926"/>
    <n v="6367854.63333333"/>
  </r>
  <r>
    <x v="0"/>
    <x v="0"/>
    <x v="0"/>
    <x v="1"/>
    <x v="4"/>
    <s v="DE4-S_A"/>
    <x v="7"/>
    <s v="GNR_ROR_WTR"/>
    <x v="0"/>
    <x v="15"/>
    <n v="4846.1602993404404"/>
    <n v="1768848.50925926"/>
    <n v="6367854.63333333"/>
  </r>
  <r>
    <x v="0"/>
    <x v="0"/>
    <x v="0"/>
    <x v="1"/>
    <x v="4"/>
    <s v="DE4-S_A"/>
    <x v="7"/>
    <s v="GNR_ROR_WTR"/>
    <x v="0"/>
    <x v="16"/>
    <n v="4846.1602993404404"/>
    <n v="1768848.50925926"/>
    <n v="6367854.63333333"/>
  </r>
  <r>
    <x v="0"/>
    <x v="0"/>
    <x v="0"/>
    <x v="1"/>
    <x v="4"/>
    <s v="DE4-S_A"/>
    <x v="7"/>
    <s v="GNR_ROR_WTR"/>
    <x v="0"/>
    <x v="17"/>
    <n v="4846.1602993404404"/>
    <n v="1768848.50925926"/>
    <n v="6367854.63333333"/>
  </r>
  <r>
    <x v="0"/>
    <x v="0"/>
    <x v="0"/>
    <x v="1"/>
    <x v="4"/>
    <s v="DE4-S_A"/>
    <x v="7"/>
    <s v="GNR_ROR_WTR"/>
    <x v="0"/>
    <x v="18"/>
    <n v="4846.1602993404404"/>
    <n v="1768848.50925926"/>
    <n v="6367854.63333333"/>
  </r>
  <r>
    <x v="0"/>
    <x v="0"/>
    <x v="0"/>
    <x v="1"/>
    <x v="4"/>
    <s v="DE4-S_A"/>
    <x v="7"/>
    <s v="GNR_ROR_WTR"/>
    <x v="0"/>
    <x v="19"/>
    <n v="4846.1602993404404"/>
    <n v="1768848.50925926"/>
    <n v="6367854.63333333"/>
  </r>
  <r>
    <x v="0"/>
    <x v="0"/>
    <x v="0"/>
    <x v="1"/>
    <x v="4"/>
    <s v="DE4-S_A"/>
    <x v="7"/>
    <s v="GNR_ROR_WTR"/>
    <x v="0"/>
    <x v="20"/>
    <n v="4846.1602993404404"/>
    <n v="1768848.50925926"/>
    <n v="6367854.63333333"/>
  </r>
  <r>
    <x v="0"/>
    <x v="0"/>
    <x v="0"/>
    <x v="1"/>
    <x v="4"/>
    <s v="DE4-S_A"/>
    <x v="7"/>
    <s v="GNR_ROR_WTR"/>
    <x v="0"/>
    <x v="21"/>
    <n v="4846.1602993404404"/>
    <n v="1768848.50925926"/>
    <n v="6367854.63333333"/>
  </r>
  <r>
    <x v="0"/>
    <x v="0"/>
    <x v="0"/>
    <x v="1"/>
    <x v="4"/>
    <s v="DE4-S_A"/>
    <x v="7"/>
    <s v="GNR_ROR_WTR"/>
    <x v="0"/>
    <x v="22"/>
    <n v="4846.1602993404404"/>
    <n v="1768848.50925926"/>
    <n v="6367854.63333333"/>
  </r>
  <r>
    <x v="0"/>
    <x v="0"/>
    <x v="0"/>
    <x v="1"/>
    <x v="4"/>
    <s v="DE4-S_A"/>
    <x v="7"/>
    <s v="GNR_ROR_WTR"/>
    <x v="0"/>
    <x v="23"/>
    <n v="4846.1602993404404"/>
    <n v="1768848.50925926"/>
    <n v="6367854.63333333"/>
  </r>
  <r>
    <x v="0"/>
    <x v="0"/>
    <x v="0"/>
    <x v="1"/>
    <x v="4"/>
    <s v="DE4-S_A"/>
    <x v="8"/>
    <s v="GNR_WT_WIND_ONS"/>
    <x v="0"/>
    <x v="0"/>
    <n v="2203.3816519658699"/>
    <n v="804234.30296754197"/>
    <n v="2895243.49068315"/>
  </r>
  <r>
    <x v="0"/>
    <x v="0"/>
    <x v="0"/>
    <x v="1"/>
    <x v="4"/>
    <s v="DE4-S_A"/>
    <x v="8"/>
    <s v="GNR_WT_WIND_ONS"/>
    <x v="0"/>
    <x v="1"/>
    <n v="2041.0579017919299"/>
    <n v="744986.13415405597"/>
    <n v="2681950.0829546"/>
  </r>
  <r>
    <x v="0"/>
    <x v="0"/>
    <x v="0"/>
    <x v="1"/>
    <x v="4"/>
    <s v="DE4-S_A"/>
    <x v="8"/>
    <s v="GNR_WT_WIND_ONS"/>
    <x v="0"/>
    <x v="2"/>
    <n v="1935.6407536904701"/>
    <n v="706508.87509702204"/>
    <n v="2543431.9503492801"/>
  </r>
  <r>
    <x v="0"/>
    <x v="0"/>
    <x v="0"/>
    <x v="1"/>
    <x v="4"/>
    <s v="DE4-S_A"/>
    <x v="8"/>
    <s v="GNR_WT_WIND_ONS"/>
    <x v="0"/>
    <x v="3"/>
    <n v="1749.3532602257701"/>
    <n v="638513.93998240703"/>
    <n v="2298650.1839366602"/>
  </r>
  <r>
    <x v="0"/>
    <x v="0"/>
    <x v="0"/>
    <x v="1"/>
    <x v="4"/>
    <s v="DE4-S_A"/>
    <x v="8"/>
    <s v="GNR_WT_WIND_ONS"/>
    <x v="0"/>
    <x v="4"/>
    <n v="1559.62571602104"/>
    <n v="569263.38634767802"/>
    <n v="2049348.19085164"/>
  </r>
  <r>
    <x v="0"/>
    <x v="0"/>
    <x v="0"/>
    <x v="1"/>
    <x v="4"/>
    <s v="DE4-S_A"/>
    <x v="8"/>
    <s v="GNR_WT_WIND_ONS"/>
    <x v="0"/>
    <x v="5"/>
    <n v="1482.31203328733"/>
    <n v="541043.89214987599"/>
    <n v="1947758.0117395499"/>
  </r>
  <r>
    <x v="0"/>
    <x v="0"/>
    <x v="0"/>
    <x v="1"/>
    <x v="4"/>
    <s v="DE4-S_A"/>
    <x v="8"/>
    <s v="GNR_WT_WIND_ONS"/>
    <x v="0"/>
    <x v="6"/>
    <n v="1457.9401483833401"/>
    <n v="532148.15415992006"/>
    <n v="1915733.3549757099"/>
  </r>
  <r>
    <x v="0"/>
    <x v="0"/>
    <x v="0"/>
    <x v="1"/>
    <x v="4"/>
    <s v="DE4-S_A"/>
    <x v="8"/>
    <s v="GNR_WT_WIND_ONS"/>
    <x v="0"/>
    <x v="7"/>
    <n v="1498.9875334848"/>
    <n v="547130.44972195104"/>
    <n v="1969669.61899902"/>
  </r>
  <r>
    <x v="0"/>
    <x v="0"/>
    <x v="0"/>
    <x v="1"/>
    <x v="4"/>
    <s v="DE4-S_A"/>
    <x v="8"/>
    <s v="GNR_WT_WIND_ONS"/>
    <x v="0"/>
    <x v="8"/>
    <n v="1794.0156139015"/>
    <n v="654815.69907404797"/>
    <n v="2357336.5166665702"/>
  </r>
  <r>
    <x v="0"/>
    <x v="0"/>
    <x v="0"/>
    <x v="1"/>
    <x v="4"/>
    <s v="DE4-S_A"/>
    <x v="8"/>
    <s v="GNR_WT_WIND_ONS"/>
    <x v="0"/>
    <x v="9"/>
    <n v="2031.14589118505"/>
    <n v="741368.25028254301"/>
    <n v="2668925.7010171502"/>
  </r>
  <r>
    <x v="0"/>
    <x v="0"/>
    <x v="0"/>
    <x v="1"/>
    <x v="4"/>
    <s v="DE4-S_A"/>
    <x v="8"/>
    <s v="GNR_WT_WIND_ONS"/>
    <x v="0"/>
    <x v="10"/>
    <n v="1962.98624177652"/>
    <n v="716489.978248431"/>
    <n v="2579363.92169435"/>
  </r>
  <r>
    <x v="0"/>
    <x v="0"/>
    <x v="0"/>
    <x v="1"/>
    <x v="4"/>
    <s v="DE4-S_A"/>
    <x v="8"/>
    <s v="GNR_WT_WIND_ONS"/>
    <x v="0"/>
    <x v="11"/>
    <n v="1795.4149565754201"/>
    <n v="655326.45915002702"/>
    <n v="2359175.2529401002"/>
  </r>
  <r>
    <x v="0"/>
    <x v="0"/>
    <x v="0"/>
    <x v="1"/>
    <x v="4"/>
    <s v="DE4-S_A"/>
    <x v="8"/>
    <s v="GNR_WT_WIND_ONS"/>
    <x v="0"/>
    <x v="12"/>
    <n v="1825.20929434082"/>
    <n v="666201.39243439899"/>
    <n v="2398325.0127638401"/>
  </r>
  <r>
    <x v="0"/>
    <x v="0"/>
    <x v="0"/>
    <x v="1"/>
    <x v="4"/>
    <s v="DE4-S_A"/>
    <x v="8"/>
    <s v="GNR_WT_WIND_ONS"/>
    <x v="0"/>
    <x v="13"/>
    <n v="1851.2720516424499"/>
    <n v="675714.29884949501"/>
    <n v="2432571.4758581799"/>
  </r>
  <r>
    <x v="0"/>
    <x v="0"/>
    <x v="0"/>
    <x v="1"/>
    <x v="4"/>
    <s v="DE4-S_A"/>
    <x v="8"/>
    <s v="GNR_WT_WIND_ONS"/>
    <x v="0"/>
    <x v="14"/>
    <n v="1860.4843909123799"/>
    <n v="679076.80268301896"/>
    <n v="2444676.4896588698"/>
  </r>
  <r>
    <x v="0"/>
    <x v="0"/>
    <x v="0"/>
    <x v="1"/>
    <x v="4"/>
    <s v="DE4-S_A"/>
    <x v="8"/>
    <s v="GNR_WT_WIND_ONS"/>
    <x v="0"/>
    <x v="15"/>
    <n v="1740.6073685138099"/>
    <n v="635321.68950754195"/>
    <n v="2287158.08222715"/>
  </r>
  <r>
    <x v="0"/>
    <x v="0"/>
    <x v="0"/>
    <x v="1"/>
    <x v="4"/>
    <s v="DE4-S_A"/>
    <x v="8"/>
    <s v="GNR_WT_WIND_ONS"/>
    <x v="0"/>
    <x v="16"/>
    <n v="1573.32761303644"/>
    <n v="574264.57875830005"/>
    <n v="2067352.4835298799"/>
  </r>
  <r>
    <x v="0"/>
    <x v="0"/>
    <x v="0"/>
    <x v="1"/>
    <x v="4"/>
    <s v="DE4-S_A"/>
    <x v="8"/>
    <s v="GNR_WT_WIND_ONS"/>
    <x v="0"/>
    <x v="17"/>
    <n v="1303.6043126396601"/>
    <n v="475815.57411347702"/>
    <n v="1712936.0668085199"/>
  </r>
  <r>
    <x v="0"/>
    <x v="0"/>
    <x v="0"/>
    <x v="1"/>
    <x v="4"/>
    <s v="DE4-S_A"/>
    <x v="8"/>
    <s v="GNR_WT_WIND_ONS"/>
    <x v="0"/>
    <x v="18"/>
    <n v="1001.57951885339"/>
    <n v="365576.52438148798"/>
    <n v="1316075.48777336"/>
  </r>
  <r>
    <x v="0"/>
    <x v="0"/>
    <x v="0"/>
    <x v="1"/>
    <x v="4"/>
    <s v="DE4-S_A"/>
    <x v="8"/>
    <s v="GNR_WT_WIND_ONS"/>
    <x v="0"/>
    <x v="19"/>
    <n v="1006.0107706541201"/>
    <n v="367193.931288753"/>
    <n v="1321898.1526395101"/>
  </r>
  <r>
    <x v="0"/>
    <x v="0"/>
    <x v="0"/>
    <x v="1"/>
    <x v="4"/>
    <s v="DE4-S_A"/>
    <x v="8"/>
    <s v="GNR_WT_WIND_ONS"/>
    <x v="0"/>
    <x v="20"/>
    <n v="1057.32000203094"/>
    <n v="385921.80074129102"/>
    <n v="1389318.4826686501"/>
  </r>
  <r>
    <x v="0"/>
    <x v="0"/>
    <x v="0"/>
    <x v="1"/>
    <x v="4"/>
    <s v="DE4-S_A"/>
    <x v="8"/>
    <s v="GNR_WT_WIND_ONS"/>
    <x v="0"/>
    <x v="21"/>
    <n v="1143.72941214508"/>
    <n v="417461.23543295299"/>
    <n v="1502860.44755863"/>
  </r>
  <r>
    <x v="0"/>
    <x v="0"/>
    <x v="0"/>
    <x v="1"/>
    <x v="4"/>
    <s v="DE4-S_A"/>
    <x v="8"/>
    <s v="GNR_WT_WIND_ONS"/>
    <x v="0"/>
    <x v="22"/>
    <n v="1194.2806662401899"/>
    <n v="435912.44317767001"/>
    <n v="1569284.79543961"/>
  </r>
  <r>
    <x v="0"/>
    <x v="0"/>
    <x v="0"/>
    <x v="1"/>
    <x v="4"/>
    <s v="DE4-S_A"/>
    <x v="8"/>
    <s v="GNR_WT_WIND_ONS"/>
    <x v="0"/>
    <x v="23"/>
    <n v="1208.7405405372999"/>
    <n v="441190.29729611299"/>
    <n v="1588285.07026601"/>
  </r>
  <r>
    <x v="0"/>
    <x v="0"/>
    <x v="0"/>
    <x v="1"/>
    <x v="5"/>
    <s v="DE4-W_A"/>
    <x v="0"/>
    <s v="GNR_ST_COAL_CND_E-45"/>
    <x v="0"/>
    <x v="0"/>
    <n v="7664.4444444444398"/>
    <n v="2797522.2222222202"/>
    <n v="10071080"/>
  </r>
  <r>
    <x v="0"/>
    <x v="0"/>
    <x v="0"/>
    <x v="1"/>
    <x v="5"/>
    <s v="DE4-W_A"/>
    <x v="0"/>
    <s v="GNR_ST_COAL_CND_E-45"/>
    <x v="0"/>
    <x v="1"/>
    <n v="7664.4444444444398"/>
    <n v="2797522.2222222202"/>
    <n v="10071080"/>
  </r>
  <r>
    <x v="0"/>
    <x v="0"/>
    <x v="0"/>
    <x v="1"/>
    <x v="5"/>
    <s v="DE4-W_A"/>
    <x v="0"/>
    <s v="GNR_ST_COAL_CND_E-45"/>
    <x v="0"/>
    <x v="2"/>
    <n v="7664.4444444444398"/>
    <n v="2797522.2222222202"/>
    <n v="10071080"/>
  </r>
  <r>
    <x v="0"/>
    <x v="0"/>
    <x v="0"/>
    <x v="1"/>
    <x v="5"/>
    <s v="DE4-W_A"/>
    <x v="0"/>
    <s v="GNR_ST_COAL_CND_E-45"/>
    <x v="0"/>
    <x v="3"/>
    <n v="7664.4444444444398"/>
    <n v="2797522.2222222202"/>
    <n v="10071080"/>
  </r>
  <r>
    <x v="0"/>
    <x v="0"/>
    <x v="0"/>
    <x v="1"/>
    <x v="5"/>
    <s v="DE4-W_A"/>
    <x v="0"/>
    <s v="GNR_ST_COAL_CND_E-45"/>
    <x v="0"/>
    <x v="4"/>
    <n v="7664.4444444444398"/>
    <n v="2797522.2222222202"/>
    <n v="10071080"/>
  </r>
  <r>
    <x v="0"/>
    <x v="0"/>
    <x v="0"/>
    <x v="1"/>
    <x v="5"/>
    <s v="DE4-W_A"/>
    <x v="0"/>
    <s v="GNR_ST_COAL_CND_E-45"/>
    <x v="0"/>
    <x v="5"/>
    <n v="7664.4444444444398"/>
    <n v="2797522.2222222202"/>
    <n v="10071080"/>
  </r>
  <r>
    <x v="0"/>
    <x v="0"/>
    <x v="0"/>
    <x v="1"/>
    <x v="5"/>
    <s v="DE4-W_A"/>
    <x v="0"/>
    <s v="GNR_ST_COAL_CND_E-45"/>
    <x v="0"/>
    <x v="6"/>
    <n v="7664.4444444444398"/>
    <n v="2797522.2222222202"/>
    <n v="10071080"/>
  </r>
  <r>
    <x v="0"/>
    <x v="0"/>
    <x v="0"/>
    <x v="1"/>
    <x v="5"/>
    <s v="DE4-W_A"/>
    <x v="0"/>
    <s v="GNR_ST_COAL_CND_E-45"/>
    <x v="0"/>
    <x v="7"/>
    <n v="7664.4444444444398"/>
    <n v="2797522.2222222202"/>
    <n v="10071080"/>
  </r>
  <r>
    <x v="0"/>
    <x v="0"/>
    <x v="0"/>
    <x v="1"/>
    <x v="5"/>
    <s v="DE4-W_A"/>
    <x v="0"/>
    <s v="GNR_ST_COAL_CND_E-45"/>
    <x v="0"/>
    <x v="8"/>
    <n v="7664.4444444444398"/>
    <n v="2797522.2222222202"/>
    <n v="10071080"/>
  </r>
  <r>
    <x v="0"/>
    <x v="0"/>
    <x v="0"/>
    <x v="1"/>
    <x v="5"/>
    <s v="DE4-W_A"/>
    <x v="0"/>
    <s v="GNR_ST_COAL_CND_E-45"/>
    <x v="0"/>
    <x v="9"/>
    <n v="7664.4444444444398"/>
    <n v="2797522.2222222202"/>
    <n v="10071080"/>
  </r>
  <r>
    <x v="0"/>
    <x v="0"/>
    <x v="0"/>
    <x v="1"/>
    <x v="5"/>
    <s v="DE4-W_A"/>
    <x v="0"/>
    <s v="GNR_ST_COAL_CND_E-45"/>
    <x v="0"/>
    <x v="10"/>
    <n v="7664.4444444444398"/>
    <n v="2797522.2222222202"/>
    <n v="10071080"/>
  </r>
  <r>
    <x v="0"/>
    <x v="0"/>
    <x v="0"/>
    <x v="1"/>
    <x v="5"/>
    <s v="DE4-W_A"/>
    <x v="0"/>
    <s v="GNR_ST_COAL_CND_E-45"/>
    <x v="0"/>
    <x v="11"/>
    <n v="7664.4444444444398"/>
    <n v="2797522.2222222202"/>
    <n v="10071080"/>
  </r>
  <r>
    <x v="0"/>
    <x v="0"/>
    <x v="0"/>
    <x v="1"/>
    <x v="5"/>
    <s v="DE4-W_A"/>
    <x v="0"/>
    <s v="GNR_ST_COAL_CND_E-45"/>
    <x v="0"/>
    <x v="12"/>
    <n v="7664.4444444444398"/>
    <n v="2797522.2222222202"/>
    <n v="10071080"/>
  </r>
  <r>
    <x v="0"/>
    <x v="0"/>
    <x v="0"/>
    <x v="1"/>
    <x v="5"/>
    <s v="DE4-W_A"/>
    <x v="0"/>
    <s v="GNR_ST_COAL_CND_E-45"/>
    <x v="0"/>
    <x v="13"/>
    <n v="7664.4444444444398"/>
    <n v="2797522.2222222202"/>
    <n v="10071080"/>
  </r>
  <r>
    <x v="0"/>
    <x v="0"/>
    <x v="0"/>
    <x v="1"/>
    <x v="5"/>
    <s v="DE4-W_A"/>
    <x v="0"/>
    <s v="GNR_ST_COAL_CND_E-45"/>
    <x v="0"/>
    <x v="14"/>
    <n v="7664.4444444444398"/>
    <n v="2797522.2222222202"/>
    <n v="10071080"/>
  </r>
  <r>
    <x v="0"/>
    <x v="0"/>
    <x v="0"/>
    <x v="1"/>
    <x v="5"/>
    <s v="DE4-W_A"/>
    <x v="0"/>
    <s v="GNR_ST_COAL_CND_E-45"/>
    <x v="0"/>
    <x v="15"/>
    <n v="7664.4444444444398"/>
    <n v="2797522.2222222202"/>
    <n v="10071080"/>
  </r>
  <r>
    <x v="0"/>
    <x v="0"/>
    <x v="0"/>
    <x v="1"/>
    <x v="5"/>
    <s v="DE4-W_A"/>
    <x v="0"/>
    <s v="GNR_ST_COAL_CND_E-45"/>
    <x v="0"/>
    <x v="16"/>
    <n v="7664.4444444444398"/>
    <n v="2797522.2222222202"/>
    <n v="10071080"/>
  </r>
  <r>
    <x v="0"/>
    <x v="0"/>
    <x v="0"/>
    <x v="1"/>
    <x v="5"/>
    <s v="DE4-W_A"/>
    <x v="0"/>
    <s v="GNR_ST_COAL_CND_E-45"/>
    <x v="0"/>
    <x v="17"/>
    <n v="7664.4444444444398"/>
    <n v="2797522.2222222202"/>
    <n v="10071080"/>
  </r>
  <r>
    <x v="0"/>
    <x v="0"/>
    <x v="0"/>
    <x v="1"/>
    <x v="5"/>
    <s v="DE4-W_A"/>
    <x v="0"/>
    <s v="GNR_ST_COAL_CND_E-45"/>
    <x v="0"/>
    <x v="18"/>
    <n v="7664.4444444444398"/>
    <n v="2797522.2222222202"/>
    <n v="10071080"/>
  </r>
  <r>
    <x v="0"/>
    <x v="0"/>
    <x v="0"/>
    <x v="1"/>
    <x v="5"/>
    <s v="DE4-W_A"/>
    <x v="0"/>
    <s v="GNR_ST_COAL_CND_E-45"/>
    <x v="0"/>
    <x v="19"/>
    <n v="7664.4444444444398"/>
    <n v="2797522.2222222202"/>
    <n v="10071080"/>
  </r>
  <r>
    <x v="0"/>
    <x v="0"/>
    <x v="0"/>
    <x v="1"/>
    <x v="5"/>
    <s v="DE4-W_A"/>
    <x v="0"/>
    <s v="GNR_ST_COAL_CND_E-45"/>
    <x v="0"/>
    <x v="20"/>
    <n v="7664.4444444444398"/>
    <n v="2797522.2222222202"/>
    <n v="10071080"/>
  </r>
  <r>
    <x v="0"/>
    <x v="0"/>
    <x v="0"/>
    <x v="1"/>
    <x v="5"/>
    <s v="DE4-W_A"/>
    <x v="0"/>
    <s v="GNR_ST_COAL_CND_E-45"/>
    <x v="0"/>
    <x v="21"/>
    <n v="7664.4444444444398"/>
    <n v="2797522.2222222202"/>
    <n v="10071080"/>
  </r>
  <r>
    <x v="0"/>
    <x v="0"/>
    <x v="0"/>
    <x v="1"/>
    <x v="5"/>
    <s v="DE4-W_A"/>
    <x v="0"/>
    <s v="GNR_ST_COAL_CND_E-45"/>
    <x v="0"/>
    <x v="22"/>
    <n v="7664.4444444444398"/>
    <n v="2797522.2222222202"/>
    <n v="10071080"/>
  </r>
  <r>
    <x v="0"/>
    <x v="0"/>
    <x v="0"/>
    <x v="1"/>
    <x v="5"/>
    <s v="DE4-W_A"/>
    <x v="0"/>
    <s v="GNR_ST_COAL_CND_E-45"/>
    <x v="0"/>
    <x v="23"/>
    <n v="7664.4444444444398"/>
    <n v="2797522.2222222202"/>
    <n v="10071080"/>
  </r>
  <r>
    <x v="0"/>
    <x v="0"/>
    <x v="0"/>
    <x v="1"/>
    <x v="5"/>
    <s v="DE4-W_A"/>
    <x v="10"/>
    <s v="AGG-DE4-W_RES_WTR_PMP"/>
    <x v="0"/>
    <x v="0"/>
    <n v="9168"/>
    <n v="3346320"/>
    <n v="12046752"/>
  </r>
  <r>
    <x v="0"/>
    <x v="0"/>
    <x v="0"/>
    <x v="1"/>
    <x v="5"/>
    <s v="DE4-W_A"/>
    <x v="10"/>
    <s v="AGG-DE4-W_RES_WTR_PMP"/>
    <x v="0"/>
    <x v="1"/>
    <n v="9168"/>
    <n v="3346320"/>
    <n v="12046752"/>
  </r>
  <r>
    <x v="0"/>
    <x v="0"/>
    <x v="0"/>
    <x v="1"/>
    <x v="5"/>
    <s v="DE4-W_A"/>
    <x v="10"/>
    <s v="AGG-DE4-W_RES_WTR_PMP"/>
    <x v="0"/>
    <x v="2"/>
    <n v="9168"/>
    <n v="3346320"/>
    <n v="12046752"/>
  </r>
  <r>
    <x v="0"/>
    <x v="0"/>
    <x v="0"/>
    <x v="1"/>
    <x v="5"/>
    <s v="DE4-W_A"/>
    <x v="10"/>
    <s v="AGG-DE4-W_RES_WTR_PMP"/>
    <x v="0"/>
    <x v="3"/>
    <n v="9168"/>
    <n v="3346320"/>
    <n v="12046752"/>
  </r>
  <r>
    <x v="0"/>
    <x v="0"/>
    <x v="0"/>
    <x v="1"/>
    <x v="5"/>
    <s v="DE4-W_A"/>
    <x v="10"/>
    <s v="AGG-DE4-W_RES_WTR_PMP"/>
    <x v="0"/>
    <x v="4"/>
    <n v="9168"/>
    <n v="3346320"/>
    <n v="12046752"/>
  </r>
  <r>
    <x v="0"/>
    <x v="0"/>
    <x v="0"/>
    <x v="1"/>
    <x v="5"/>
    <s v="DE4-W_A"/>
    <x v="10"/>
    <s v="AGG-DE4-W_RES_WTR_PMP"/>
    <x v="0"/>
    <x v="5"/>
    <n v="9168"/>
    <n v="3346320"/>
    <n v="12046752"/>
  </r>
  <r>
    <x v="0"/>
    <x v="0"/>
    <x v="0"/>
    <x v="1"/>
    <x v="5"/>
    <s v="DE4-W_A"/>
    <x v="10"/>
    <s v="AGG-DE4-W_RES_WTR_PMP"/>
    <x v="0"/>
    <x v="6"/>
    <n v="9168"/>
    <n v="3346320"/>
    <n v="12046752"/>
  </r>
  <r>
    <x v="0"/>
    <x v="0"/>
    <x v="0"/>
    <x v="1"/>
    <x v="5"/>
    <s v="DE4-W_A"/>
    <x v="10"/>
    <s v="AGG-DE4-W_RES_WTR_PMP"/>
    <x v="0"/>
    <x v="7"/>
    <n v="9168"/>
    <n v="3346320"/>
    <n v="12046752"/>
  </r>
  <r>
    <x v="0"/>
    <x v="0"/>
    <x v="0"/>
    <x v="1"/>
    <x v="5"/>
    <s v="DE4-W_A"/>
    <x v="10"/>
    <s v="AGG-DE4-W_RES_WTR_PMP"/>
    <x v="0"/>
    <x v="8"/>
    <n v="9168"/>
    <n v="3346320"/>
    <n v="12046752"/>
  </r>
  <r>
    <x v="0"/>
    <x v="0"/>
    <x v="0"/>
    <x v="1"/>
    <x v="5"/>
    <s v="DE4-W_A"/>
    <x v="10"/>
    <s v="AGG-DE4-W_RES_WTR_PMP"/>
    <x v="0"/>
    <x v="9"/>
    <n v="9168"/>
    <n v="3346320"/>
    <n v="12046752"/>
  </r>
  <r>
    <x v="0"/>
    <x v="0"/>
    <x v="0"/>
    <x v="1"/>
    <x v="5"/>
    <s v="DE4-W_A"/>
    <x v="10"/>
    <s v="AGG-DE4-W_RES_WTR_PMP"/>
    <x v="0"/>
    <x v="10"/>
    <n v="9168"/>
    <n v="3346320"/>
    <n v="12046752"/>
  </r>
  <r>
    <x v="0"/>
    <x v="0"/>
    <x v="0"/>
    <x v="1"/>
    <x v="5"/>
    <s v="DE4-W_A"/>
    <x v="10"/>
    <s v="AGG-DE4-W_RES_WTR_PMP"/>
    <x v="0"/>
    <x v="11"/>
    <n v="9168"/>
    <n v="3346320"/>
    <n v="12046752"/>
  </r>
  <r>
    <x v="0"/>
    <x v="0"/>
    <x v="0"/>
    <x v="1"/>
    <x v="5"/>
    <s v="DE4-W_A"/>
    <x v="10"/>
    <s v="AGG-DE4-W_RES_WTR_PMP"/>
    <x v="0"/>
    <x v="12"/>
    <n v="9168"/>
    <n v="3346320"/>
    <n v="12046752"/>
  </r>
  <r>
    <x v="0"/>
    <x v="0"/>
    <x v="0"/>
    <x v="1"/>
    <x v="5"/>
    <s v="DE4-W_A"/>
    <x v="10"/>
    <s v="AGG-DE4-W_RES_WTR_PMP"/>
    <x v="0"/>
    <x v="13"/>
    <n v="9168"/>
    <n v="3346320"/>
    <n v="12046752"/>
  </r>
  <r>
    <x v="0"/>
    <x v="0"/>
    <x v="0"/>
    <x v="1"/>
    <x v="5"/>
    <s v="DE4-W_A"/>
    <x v="10"/>
    <s v="AGG-DE4-W_RES_WTR_PMP"/>
    <x v="0"/>
    <x v="14"/>
    <n v="9168"/>
    <n v="3346320"/>
    <n v="12046752"/>
  </r>
  <r>
    <x v="0"/>
    <x v="0"/>
    <x v="0"/>
    <x v="1"/>
    <x v="5"/>
    <s v="DE4-W_A"/>
    <x v="10"/>
    <s v="AGG-DE4-W_RES_WTR_PMP"/>
    <x v="0"/>
    <x v="15"/>
    <n v="9168"/>
    <n v="3346320"/>
    <n v="12046752"/>
  </r>
  <r>
    <x v="0"/>
    <x v="0"/>
    <x v="0"/>
    <x v="1"/>
    <x v="5"/>
    <s v="DE4-W_A"/>
    <x v="10"/>
    <s v="AGG-DE4-W_RES_WTR_PMP"/>
    <x v="0"/>
    <x v="16"/>
    <n v="9168"/>
    <n v="3346320"/>
    <n v="12046752"/>
  </r>
  <r>
    <x v="0"/>
    <x v="0"/>
    <x v="0"/>
    <x v="1"/>
    <x v="5"/>
    <s v="DE4-W_A"/>
    <x v="10"/>
    <s v="AGG-DE4-W_RES_WTR_PMP"/>
    <x v="0"/>
    <x v="17"/>
    <n v="9168"/>
    <n v="3346320"/>
    <n v="12046752"/>
  </r>
  <r>
    <x v="0"/>
    <x v="0"/>
    <x v="0"/>
    <x v="1"/>
    <x v="5"/>
    <s v="DE4-W_A"/>
    <x v="10"/>
    <s v="AGG-DE4-W_RES_WTR_PMP"/>
    <x v="0"/>
    <x v="18"/>
    <n v="9168"/>
    <n v="3346320"/>
    <n v="12046752"/>
  </r>
  <r>
    <x v="0"/>
    <x v="0"/>
    <x v="0"/>
    <x v="1"/>
    <x v="5"/>
    <s v="DE4-W_A"/>
    <x v="10"/>
    <s v="AGG-DE4-W_RES_WTR_PMP"/>
    <x v="0"/>
    <x v="19"/>
    <n v="9168"/>
    <n v="3346320"/>
    <n v="12046752"/>
  </r>
  <r>
    <x v="0"/>
    <x v="0"/>
    <x v="0"/>
    <x v="1"/>
    <x v="5"/>
    <s v="DE4-W_A"/>
    <x v="10"/>
    <s v="AGG-DE4-W_RES_WTR_PMP"/>
    <x v="0"/>
    <x v="20"/>
    <n v="9168"/>
    <n v="3346320"/>
    <n v="12046752"/>
  </r>
  <r>
    <x v="0"/>
    <x v="0"/>
    <x v="0"/>
    <x v="1"/>
    <x v="5"/>
    <s v="DE4-W_A"/>
    <x v="10"/>
    <s v="AGG-DE4-W_RES_WTR_PMP"/>
    <x v="0"/>
    <x v="21"/>
    <n v="9168"/>
    <n v="3346320"/>
    <n v="12046752"/>
  </r>
  <r>
    <x v="0"/>
    <x v="0"/>
    <x v="0"/>
    <x v="1"/>
    <x v="5"/>
    <s v="DE4-W_A"/>
    <x v="10"/>
    <s v="AGG-DE4-W_RES_WTR_PMP"/>
    <x v="0"/>
    <x v="22"/>
    <n v="9168"/>
    <n v="3346320"/>
    <n v="12046752"/>
  </r>
  <r>
    <x v="0"/>
    <x v="0"/>
    <x v="0"/>
    <x v="1"/>
    <x v="5"/>
    <s v="DE4-W_A"/>
    <x v="10"/>
    <s v="AGG-DE4-W_RES_WTR_PMP"/>
    <x v="0"/>
    <x v="23"/>
    <n v="9168"/>
    <n v="3346320"/>
    <n v="12046752"/>
  </r>
  <r>
    <x v="0"/>
    <x v="0"/>
    <x v="0"/>
    <x v="1"/>
    <x v="5"/>
    <s v="DE4-W_A"/>
    <x v="11"/>
    <s v="GNR_ST_LIGN_BP_E-33"/>
    <x v="0"/>
    <x v="0"/>
    <n v="2383.3333333333298"/>
    <n v="869916.66666666698"/>
    <n v="3131700"/>
  </r>
  <r>
    <x v="0"/>
    <x v="0"/>
    <x v="0"/>
    <x v="1"/>
    <x v="5"/>
    <s v="DE4-W_A"/>
    <x v="11"/>
    <s v="GNR_ST_LIGN_BP_E-33"/>
    <x v="0"/>
    <x v="1"/>
    <n v="2383.3333333333298"/>
    <n v="869916.66666666698"/>
    <n v="3131700"/>
  </r>
  <r>
    <x v="0"/>
    <x v="0"/>
    <x v="0"/>
    <x v="1"/>
    <x v="5"/>
    <s v="DE4-W_A"/>
    <x v="11"/>
    <s v="GNR_ST_LIGN_BP_E-33"/>
    <x v="0"/>
    <x v="2"/>
    <n v="2383.3333333333298"/>
    <n v="869916.66666666698"/>
    <n v="3131700"/>
  </r>
  <r>
    <x v="0"/>
    <x v="0"/>
    <x v="0"/>
    <x v="1"/>
    <x v="5"/>
    <s v="DE4-W_A"/>
    <x v="11"/>
    <s v="GNR_ST_LIGN_BP_E-33"/>
    <x v="0"/>
    <x v="3"/>
    <n v="2383.3333333333298"/>
    <n v="869916.66666666698"/>
    <n v="3131700"/>
  </r>
  <r>
    <x v="0"/>
    <x v="0"/>
    <x v="0"/>
    <x v="1"/>
    <x v="5"/>
    <s v="DE4-W_A"/>
    <x v="11"/>
    <s v="GNR_ST_LIGN_BP_E-33"/>
    <x v="0"/>
    <x v="4"/>
    <n v="2383.3333333333298"/>
    <n v="869916.66666666698"/>
    <n v="3131700"/>
  </r>
  <r>
    <x v="0"/>
    <x v="0"/>
    <x v="0"/>
    <x v="1"/>
    <x v="5"/>
    <s v="DE4-W_A"/>
    <x v="11"/>
    <s v="GNR_ST_LIGN_BP_E-33"/>
    <x v="0"/>
    <x v="5"/>
    <n v="2383.3333333333298"/>
    <n v="869916.66666666698"/>
    <n v="3131700"/>
  </r>
  <r>
    <x v="0"/>
    <x v="0"/>
    <x v="0"/>
    <x v="1"/>
    <x v="5"/>
    <s v="DE4-W_A"/>
    <x v="11"/>
    <s v="GNR_ST_LIGN_BP_E-33"/>
    <x v="0"/>
    <x v="6"/>
    <n v="2383.3333333333298"/>
    <n v="869916.66666666698"/>
    <n v="3131700"/>
  </r>
  <r>
    <x v="0"/>
    <x v="0"/>
    <x v="0"/>
    <x v="1"/>
    <x v="5"/>
    <s v="DE4-W_A"/>
    <x v="11"/>
    <s v="GNR_ST_LIGN_BP_E-33"/>
    <x v="0"/>
    <x v="7"/>
    <n v="2383.3333333333298"/>
    <n v="869916.66666666698"/>
    <n v="3131700"/>
  </r>
  <r>
    <x v="0"/>
    <x v="0"/>
    <x v="0"/>
    <x v="1"/>
    <x v="5"/>
    <s v="DE4-W_A"/>
    <x v="11"/>
    <s v="GNR_ST_LIGN_BP_E-33"/>
    <x v="0"/>
    <x v="8"/>
    <n v="2383.3333333333298"/>
    <n v="869916.66666666698"/>
    <n v="3131700"/>
  </r>
  <r>
    <x v="0"/>
    <x v="0"/>
    <x v="0"/>
    <x v="1"/>
    <x v="5"/>
    <s v="DE4-W_A"/>
    <x v="11"/>
    <s v="GNR_ST_LIGN_BP_E-33"/>
    <x v="0"/>
    <x v="9"/>
    <n v="2383.3333333333298"/>
    <n v="869916.66666666698"/>
    <n v="3131700"/>
  </r>
  <r>
    <x v="0"/>
    <x v="0"/>
    <x v="0"/>
    <x v="1"/>
    <x v="5"/>
    <s v="DE4-W_A"/>
    <x v="11"/>
    <s v="GNR_ST_LIGN_BP_E-33"/>
    <x v="0"/>
    <x v="10"/>
    <n v="2383.3333333333298"/>
    <n v="869916.66666666698"/>
    <n v="3131700"/>
  </r>
  <r>
    <x v="0"/>
    <x v="0"/>
    <x v="0"/>
    <x v="1"/>
    <x v="5"/>
    <s v="DE4-W_A"/>
    <x v="11"/>
    <s v="GNR_ST_LIGN_BP_E-33"/>
    <x v="0"/>
    <x v="11"/>
    <n v="2383.3333333333298"/>
    <n v="869916.66666666698"/>
    <n v="3131700"/>
  </r>
  <r>
    <x v="0"/>
    <x v="0"/>
    <x v="0"/>
    <x v="1"/>
    <x v="5"/>
    <s v="DE4-W_A"/>
    <x v="11"/>
    <s v="GNR_ST_LIGN_BP_E-33"/>
    <x v="0"/>
    <x v="12"/>
    <n v="2383.3333333333298"/>
    <n v="869916.66666666698"/>
    <n v="3131700"/>
  </r>
  <r>
    <x v="0"/>
    <x v="0"/>
    <x v="0"/>
    <x v="1"/>
    <x v="5"/>
    <s v="DE4-W_A"/>
    <x v="11"/>
    <s v="GNR_ST_LIGN_BP_E-33"/>
    <x v="0"/>
    <x v="13"/>
    <n v="2383.3333333333298"/>
    <n v="869916.66666666698"/>
    <n v="3131700"/>
  </r>
  <r>
    <x v="0"/>
    <x v="0"/>
    <x v="0"/>
    <x v="1"/>
    <x v="5"/>
    <s v="DE4-W_A"/>
    <x v="11"/>
    <s v="GNR_ST_LIGN_BP_E-33"/>
    <x v="0"/>
    <x v="14"/>
    <n v="2383.3333333333298"/>
    <n v="869916.66666666698"/>
    <n v="3131700"/>
  </r>
  <r>
    <x v="0"/>
    <x v="0"/>
    <x v="0"/>
    <x v="1"/>
    <x v="5"/>
    <s v="DE4-W_A"/>
    <x v="11"/>
    <s v="GNR_ST_LIGN_BP_E-33"/>
    <x v="0"/>
    <x v="15"/>
    <n v="2383.3333333333298"/>
    <n v="869916.66666666698"/>
    <n v="3131700"/>
  </r>
  <r>
    <x v="0"/>
    <x v="0"/>
    <x v="0"/>
    <x v="1"/>
    <x v="5"/>
    <s v="DE4-W_A"/>
    <x v="11"/>
    <s v="GNR_ST_LIGN_BP_E-33"/>
    <x v="0"/>
    <x v="16"/>
    <n v="2383.3333333333298"/>
    <n v="869916.66666666698"/>
    <n v="3131700"/>
  </r>
  <r>
    <x v="0"/>
    <x v="0"/>
    <x v="0"/>
    <x v="1"/>
    <x v="5"/>
    <s v="DE4-W_A"/>
    <x v="11"/>
    <s v="GNR_ST_LIGN_BP_E-33"/>
    <x v="0"/>
    <x v="17"/>
    <n v="2383.3333333333298"/>
    <n v="869916.66666666698"/>
    <n v="3131700"/>
  </r>
  <r>
    <x v="0"/>
    <x v="0"/>
    <x v="0"/>
    <x v="1"/>
    <x v="5"/>
    <s v="DE4-W_A"/>
    <x v="11"/>
    <s v="GNR_ST_LIGN_BP_E-33"/>
    <x v="0"/>
    <x v="18"/>
    <n v="2383.3333333333298"/>
    <n v="869916.66666666698"/>
    <n v="3131700"/>
  </r>
  <r>
    <x v="0"/>
    <x v="0"/>
    <x v="0"/>
    <x v="1"/>
    <x v="5"/>
    <s v="DE4-W_A"/>
    <x v="11"/>
    <s v="GNR_ST_LIGN_BP_E-33"/>
    <x v="0"/>
    <x v="19"/>
    <n v="2383.3333333333298"/>
    <n v="869916.66666666698"/>
    <n v="3131700"/>
  </r>
  <r>
    <x v="0"/>
    <x v="0"/>
    <x v="0"/>
    <x v="1"/>
    <x v="5"/>
    <s v="DE4-W_A"/>
    <x v="11"/>
    <s v="GNR_ST_LIGN_BP_E-33"/>
    <x v="0"/>
    <x v="20"/>
    <n v="2383.3333333333298"/>
    <n v="869916.66666666698"/>
    <n v="3131700"/>
  </r>
  <r>
    <x v="0"/>
    <x v="0"/>
    <x v="0"/>
    <x v="1"/>
    <x v="5"/>
    <s v="DE4-W_A"/>
    <x v="11"/>
    <s v="GNR_ST_LIGN_BP_E-33"/>
    <x v="0"/>
    <x v="21"/>
    <n v="2383.3333333333298"/>
    <n v="869916.66666666698"/>
    <n v="3131700"/>
  </r>
  <r>
    <x v="0"/>
    <x v="0"/>
    <x v="0"/>
    <x v="1"/>
    <x v="5"/>
    <s v="DE4-W_A"/>
    <x v="11"/>
    <s v="GNR_ST_LIGN_BP_E-33"/>
    <x v="0"/>
    <x v="22"/>
    <n v="2383.3333333333298"/>
    <n v="869916.66666666698"/>
    <n v="3131700"/>
  </r>
  <r>
    <x v="0"/>
    <x v="0"/>
    <x v="0"/>
    <x v="1"/>
    <x v="5"/>
    <s v="DE4-W_A"/>
    <x v="11"/>
    <s v="GNR_ST_LIGN_BP_E-33"/>
    <x v="0"/>
    <x v="23"/>
    <n v="2383.3333333333298"/>
    <n v="869916.66666666698"/>
    <n v="3131700"/>
  </r>
  <r>
    <x v="0"/>
    <x v="0"/>
    <x v="0"/>
    <x v="1"/>
    <x v="5"/>
    <s v="DE4-W_A"/>
    <x v="11"/>
    <s v="GNR_ST_LIGN_BP_E-37"/>
    <x v="0"/>
    <x v="0"/>
    <n v="8882.9729729729806"/>
    <n v="3242285.1351351398"/>
    <n v="11672226.4864865"/>
  </r>
  <r>
    <x v="0"/>
    <x v="0"/>
    <x v="0"/>
    <x v="1"/>
    <x v="5"/>
    <s v="DE4-W_A"/>
    <x v="11"/>
    <s v="GNR_ST_LIGN_BP_E-37"/>
    <x v="0"/>
    <x v="1"/>
    <n v="8882.9729729729806"/>
    <n v="3242285.1351351398"/>
    <n v="11672226.4864865"/>
  </r>
  <r>
    <x v="0"/>
    <x v="0"/>
    <x v="0"/>
    <x v="1"/>
    <x v="5"/>
    <s v="DE4-W_A"/>
    <x v="11"/>
    <s v="GNR_ST_LIGN_BP_E-37"/>
    <x v="0"/>
    <x v="2"/>
    <n v="8882.9729729729806"/>
    <n v="3242285.1351351398"/>
    <n v="11672226.4864865"/>
  </r>
  <r>
    <x v="0"/>
    <x v="0"/>
    <x v="0"/>
    <x v="1"/>
    <x v="5"/>
    <s v="DE4-W_A"/>
    <x v="11"/>
    <s v="GNR_ST_LIGN_BP_E-37"/>
    <x v="0"/>
    <x v="3"/>
    <n v="8882.9729729729806"/>
    <n v="3242285.1351351398"/>
    <n v="11672226.4864865"/>
  </r>
  <r>
    <x v="0"/>
    <x v="0"/>
    <x v="0"/>
    <x v="1"/>
    <x v="5"/>
    <s v="DE4-W_A"/>
    <x v="11"/>
    <s v="GNR_ST_LIGN_BP_E-37"/>
    <x v="0"/>
    <x v="4"/>
    <n v="8882.9729729729806"/>
    <n v="3242285.1351351398"/>
    <n v="11672226.4864865"/>
  </r>
  <r>
    <x v="0"/>
    <x v="0"/>
    <x v="0"/>
    <x v="1"/>
    <x v="5"/>
    <s v="DE4-W_A"/>
    <x v="11"/>
    <s v="GNR_ST_LIGN_BP_E-37"/>
    <x v="0"/>
    <x v="5"/>
    <n v="8882.9729729729806"/>
    <n v="3242285.1351351398"/>
    <n v="11672226.4864865"/>
  </r>
  <r>
    <x v="0"/>
    <x v="0"/>
    <x v="0"/>
    <x v="1"/>
    <x v="5"/>
    <s v="DE4-W_A"/>
    <x v="11"/>
    <s v="GNR_ST_LIGN_BP_E-37"/>
    <x v="0"/>
    <x v="6"/>
    <n v="8882.9729729729806"/>
    <n v="3242285.1351351398"/>
    <n v="11672226.4864865"/>
  </r>
  <r>
    <x v="0"/>
    <x v="0"/>
    <x v="0"/>
    <x v="1"/>
    <x v="5"/>
    <s v="DE4-W_A"/>
    <x v="11"/>
    <s v="GNR_ST_LIGN_BP_E-37"/>
    <x v="0"/>
    <x v="7"/>
    <n v="8882.9729729729806"/>
    <n v="3242285.1351351398"/>
    <n v="11672226.4864865"/>
  </r>
  <r>
    <x v="0"/>
    <x v="0"/>
    <x v="0"/>
    <x v="1"/>
    <x v="5"/>
    <s v="DE4-W_A"/>
    <x v="11"/>
    <s v="GNR_ST_LIGN_BP_E-37"/>
    <x v="0"/>
    <x v="8"/>
    <n v="8882.9729729729806"/>
    <n v="3242285.1351351398"/>
    <n v="11672226.4864865"/>
  </r>
  <r>
    <x v="0"/>
    <x v="0"/>
    <x v="0"/>
    <x v="1"/>
    <x v="5"/>
    <s v="DE4-W_A"/>
    <x v="11"/>
    <s v="GNR_ST_LIGN_BP_E-37"/>
    <x v="0"/>
    <x v="9"/>
    <n v="8882.9729729729806"/>
    <n v="3242285.1351351398"/>
    <n v="11672226.4864865"/>
  </r>
  <r>
    <x v="0"/>
    <x v="0"/>
    <x v="0"/>
    <x v="1"/>
    <x v="5"/>
    <s v="DE4-W_A"/>
    <x v="11"/>
    <s v="GNR_ST_LIGN_BP_E-37"/>
    <x v="0"/>
    <x v="10"/>
    <n v="8882.9729729729806"/>
    <n v="3242285.1351351398"/>
    <n v="11672226.4864865"/>
  </r>
  <r>
    <x v="0"/>
    <x v="0"/>
    <x v="0"/>
    <x v="1"/>
    <x v="5"/>
    <s v="DE4-W_A"/>
    <x v="11"/>
    <s v="GNR_ST_LIGN_BP_E-37"/>
    <x v="0"/>
    <x v="11"/>
    <n v="8882.9729729729806"/>
    <n v="3242285.1351351398"/>
    <n v="11672226.4864865"/>
  </r>
  <r>
    <x v="0"/>
    <x v="0"/>
    <x v="0"/>
    <x v="1"/>
    <x v="5"/>
    <s v="DE4-W_A"/>
    <x v="11"/>
    <s v="GNR_ST_LIGN_BP_E-37"/>
    <x v="0"/>
    <x v="12"/>
    <n v="8882.9729729729806"/>
    <n v="3242285.1351351398"/>
    <n v="11672226.4864865"/>
  </r>
  <r>
    <x v="0"/>
    <x v="0"/>
    <x v="0"/>
    <x v="1"/>
    <x v="5"/>
    <s v="DE4-W_A"/>
    <x v="11"/>
    <s v="GNR_ST_LIGN_BP_E-37"/>
    <x v="0"/>
    <x v="13"/>
    <n v="8882.9729729729806"/>
    <n v="3242285.1351351398"/>
    <n v="11672226.4864865"/>
  </r>
  <r>
    <x v="0"/>
    <x v="0"/>
    <x v="0"/>
    <x v="1"/>
    <x v="5"/>
    <s v="DE4-W_A"/>
    <x v="11"/>
    <s v="GNR_ST_LIGN_BP_E-37"/>
    <x v="0"/>
    <x v="14"/>
    <n v="8882.9729729729806"/>
    <n v="3242285.1351351398"/>
    <n v="11672226.4864865"/>
  </r>
  <r>
    <x v="0"/>
    <x v="0"/>
    <x v="0"/>
    <x v="1"/>
    <x v="5"/>
    <s v="DE4-W_A"/>
    <x v="11"/>
    <s v="GNR_ST_LIGN_BP_E-37"/>
    <x v="0"/>
    <x v="15"/>
    <n v="8882.9729729729806"/>
    <n v="3242285.1351351398"/>
    <n v="11672226.4864865"/>
  </r>
  <r>
    <x v="0"/>
    <x v="0"/>
    <x v="0"/>
    <x v="1"/>
    <x v="5"/>
    <s v="DE4-W_A"/>
    <x v="11"/>
    <s v="GNR_ST_LIGN_BP_E-37"/>
    <x v="0"/>
    <x v="16"/>
    <n v="8882.9729729729806"/>
    <n v="3242285.1351351398"/>
    <n v="11672226.4864865"/>
  </r>
  <r>
    <x v="0"/>
    <x v="0"/>
    <x v="0"/>
    <x v="1"/>
    <x v="5"/>
    <s v="DE4-W_A"/>
    <x v="11"/>
    <s v="GNR_ST_LIGN_BP_E-37"/>
    <x v="0"/>
    <x v="17"/>
    <n v="8882.9729729729806"/>
    <n v="3242285.1351351398"/>
    <n v="11672226.4864865"/>
  </r>
  <r>
    <x v="0"/>
    <x v="0"/>
    <x v="0"/>
    <x v="1"/>
    <x v="5"/>
    <s v="DE4-W_A"/>
    <x v="11"/>
    <s v="GNR_ST_LIGN_BP_E-37"/>
    <x v="0"/>
    <x v="18"/>
    <n v="8882.9729729729806"/>
    <n v="3242285.1351351398"/>
    <n v="11672226.4864865"/>
  </r>
  <r>
    <x v="0"/>
    <x v="0"/>
    <x v="0"/>
    <x v="1"/>
    <x v="5"/>
    <s v="DE4-W_A"/>
    <x v="11"/>
    <s v="GNR_ST_LIGN_BP_E-37"/>
    <x v="0"/>
    <x v="19"/>
    <n v="8882.9729729729806"/>
    <n v="3242285.1351351398"/>
    <n v="11672226.4864865"/>
  </r>
  <r>
    <x v="0"/>
    <x v="0"/>
    <x v="0"/>
    <x v="1"/>
    <x v="5"/>
    <s v="DE4-W_A"/>
    <x v="11"/>
    <s v="GNR_ST_LIGN_BP_E-37"/>
    <x v="0"/>
    <x v="20"/>
    <n v="8882.9729729729806"/>
    <n v="3242285.1351351398"/>
    <n v="11672226.4864865"/>
  </r>
  <r>
    <x v="0"/>
    <x v="0"/>
    <x v="0"/>
    <x v="1"/>
    <x v="5"/>
    <s v="DE4-W_A"/>
    <x v="11"/>
    <s v="GNR_ST_LIGN_BP_E-37"/>
    <x v="0"/>
    <x v="21"/>
    <n v="8882.9729729729806"/>
    <n v="3242285.1351351398"/>
    <n v="11672226.4864865"/>
  </r>
  <r>
    <x v="0"/>
    <x v="0"/>
    <x v="0"/>
    <x v="1"/>
    <x v="5"/>
    <s v="DE4-W_A"/>
    <x v="11"/>
    <s v="GNR_ST_LIGN_BP_E-37"/>
    <x v="0"/>
    <x v="22"/>
    <n v="8882.9729729729806"/>
    <n v="3242285.1351351398"/>
    <n v="11672226.4864865"/>
  </r>
  <r>
    <x v="0"/>
    <x v="0"/>
    <x v="0"/>
    <x v="1"/>
    <x v="5"/>
    <s v="DE4-W_A"/>
    <x v="11"/>
    <s v="GNR_ST_LIGN_BP_E-37"/>
    <x v="0"/>
    <x v="23"/>
    <n v="8882.9729729729806"/>
    <n v="3242285.1351351398"/>
    <n v="11672226.4864865"/>
  </r>
  <r>
    <x v="0"/>
    <x v="0"/>
    <x v="0"/>
    <x v="1"/>
    <x v="5"/>
    <s v="DE4-W_A"/>
    <x v="11"/>
    <s v="GNR_ST_LIGN_CND_E-32"/>
    <x v="0"/>
    <x v="0"/>
    <n v="14184.375"/>
    <n v="5177296.875"/>
    <n v="18638268.75"/>
  </r>
  <r>
    <x v="0"/>
    <x v="0"/>
    <x v="0"/>
    <x v="1"/>
    <x v="5"/>
    <s v="DE4-W_A"/>
    <x v="11"/>
    <s v="GNR_ST_LIGN_CND_E-32"/>
    <x v="0"/>
    <x v="1"/>
    <n v="14184.375"/>
    <n v="5177296.875"/>
    <n v="18638268.75"/>
  </r>
  <r>
    <x v="0"/>
    <x v="0"/>
    <x v="0"/>
    <x v="1"/>
    <x v="5"/>
    <s v="DE4-W_A"/>
    <x v="11"/>
    <s v="GNR_ST_LIGN_CND_E-32"/>
    <x v="0"/>
    <x v="2"/>
    <n v="14184.375"/>
    <n v="5177296.875"/>
    <n v="18638268.75"/>
  </r>
  <r>
    <x v="0"/>
    <x v="0"/>
    <x v="0"/>
    <x v="1"/>
    <x v="5"/>
    <s v="DE4-W_A"/>
    <x v="11"/>
    <s v="GNR_ST_LIGN_CND_E-32"/>
    <x v="0"/>
    <x v="3"/>
    <n v="14184.375"/>
    <n v="5177296.875"/>
    <n v="18638268.75"/>
  </r>
  <r>
    <x v="0"/>
    <x v="0"/>
    <x v="0"/>
    <x v="1"/>
    <x v="5"/>
    <s v="DE4-W_A"/>
    <x v="11"/>
    <s v="GNR_ST_LIGN_CND_E-32"/>
    <x v="0"/>
    <x v="4"/>
    <n v="14184.375"/>
    <n v="5177296.875"/>
    <n v="18638268.75"/>
  </r>
  <r>
    <x v="0"/>
    <x v="0"/>
    <x v="0"/>
    <x v="1"/>
    <x v="5"/>
    <s v="DE4-W_A"/>
    <x v="11"/>
    <s v="GNR_ST_LIGN_CND_E-32"/>
    <x v="0"/>
    <x v="5"/>
    <n v="14184.375"/>
    <n v="5177296.875"/>
    <n v="18638268.75"/>
  </r>
  <r>
    <x v="0"/>
    <x v="0"/>
    <x v="0"/>
    <x v="1"/>
    <x v="5"/>
    <s v="DE4-W_A"/>
    <x v="11"/>
    <s v="GNR_ST_LIGN_CND_E-32"/>
    <x v="0"/>
    <x v="6"/>
    <n v="14184.375"/>
    <n v="5177296.875"/>
    <n v="18638268.75"/>
  </r>
  <r>
    <x v="0"/>
    <x v="0"/>
    <x v="0"/>
    <x v="1"/>
    <x v="5"/>
    <s v="DE4-W_A"/>
    <x v="11"/>
    <s v="GNR_ST_LIGN_CND_E-32"/>
    <x v="0"/>
    <x v="7"/>
    <n v="14184.375"/>
    <n v="5177296.875"/>
    <n v="18638268.75"/>
  </r>
  <r>
    <x v="0"/>
    <x v="0"/>
    <x v="0"/>
    <x v="1"/>
    <x v="5"/>
    <s v="DE4-W_A"/>
    <x v="11"/>
    <s v="GNR_ST_LIGN_CND_E-32"/>
    <x v="0"/>
    <x v="8"/>
    <n v="14184.375"/>
    <n v="5177296.875"/>
    <n v="18638268.75"/>
  </r>
  <r>
    <x v="0"/>
    <x v="0"/>
    <x v="0"/>
    <x v="1"/>
    <x v="5"/>
    <s v="DE4-W_A"/>
    <x v="11"/>
    <s v="GNR_ST_LIGN_CND_E-32"/>
    <x v="0"/>
    <x v="9"/>
    <n v="14184.375"/>
    <n v="5177296.875"/>
    <n v="18638268.75"/>
  </r>
  <r>
    <x v="0"/>
    <x v="0"/>
    <x v="0"/>
    <x v="1"/>
    <x v="5"/>
    <s v="DE4-W_A"/>
    <x v="11"/>
    <s v="GNR_ST_LIGN_CND_E-32"/>
    <x v="0"/>
    <x v="10"/>
    <n v="14184.375"/>
    <n v="5177296.875"/>
    <n v="18638268.75"/>
  </r>
  <r>
    <x v="0"/>
    <x v="0"/>
    <x v="0"/>
    <x v="1"/>
    <x v="5"/>
    <s v="DE4-W_A"/>
    <x v="11"/>
    <s v="GNR_ST_LIGN_CND_E-32"/>
    <x v="0"/>
    <x v="11"/>
    <n v="14184.375"/>
    <n v="5177296.875"/>
    <n v="18638268.75"/>
  </r>
  <r>
    <x v="0"/>
    <x v="0"/>
    <x v="0"/>
    <x v="1"/>
    <x v="5"/>
    <s v="DE4-W_A"/>
    <x v="11"/>
    <s v="GNR_ST_LIGN_CND_E-32"/>
    <x v="0"/>
    <x v="12"/>
    <n v="14184.375"/>
    <n v="5177296.875"/>
    <n v="18638268.75"/>
  </r>
  <r>
    <x v="0"/>
    <x v="0"/>
    <x v="0"/>
    <x v="1"/>
    <x v="5"/>
    <s v="DE4-W_A"/>
    <x v="11"/>
    <s v="GNR_ST_LIGN_CND_E-32"/>
    <x v="0"/>
    <x v="13"/>
    <n v="14184.375"/>
    <n v="5177296.875"/>
    <n v="18638268.75"/>
  </r>
  <r>
    <x v="0"/>
    <x v="0"/>
    <x v="0"/>
    <x v="1"/>
    <x v="5"/>
    <s v="DE4-W_A"/>
    <x v="11"/>
    <s v="GNR_ST_LIGN_CND_E-32"/>
    <x v="0"/>
    <x v="14"/>
    <n v="14184.375"/>
    <n v="5177296.875"/>
    <n v="18638268.75"/>
  </r>
  <r>
    <x v="0"/>
    <x v="0"/>
    <x v="0"/>
    <x v="1"/>
    <x v="5"/>
    <s v="DE4-W_A"/>
    <x v="11"/>
    <s v="GNR_ST_LIGN_CND_E-32"/>
    <x v="0"/>
    <x v="15"/>
    <n v="14184.375"/>
    <n v="5177296.875"/>
    <n v="18638268.75"/>
  </r>
  <r>
    <x v="0"/>
    <x v="0"/>
    <x v="0"/>
    <x v="1"/>
    <x v="5"/>
    <s v="DE4-W_A"/>
    <x v="11"/>
    <s v="GNR_ST_LIGN_CND_E-32"/>
    <x v="0"/>
    <x v="16"/>
    <n v="14184.375"/>
    <n v="5177296.875"/>
    <n v="18638268.75"/>
  </r>
  <r>
    <x v="0"/>
    <x v="0"/>
    <x v="0"/>
    <x v="1"/>
    <x v="5"/>
    <s v="DE4-W_A"/>
    <x v="11"/>
    <s v="GNR_ST_LIGN_CND_E-32"/>
    <x v="0"/>
    <x v="17"/>
    <n v="14184.375"/>
    <n v="5177296.875"/>
    <n v="18638268.75"/>
  </r>
  <r>
    <x v="0"/>
    <x v="0"/>
    <x v="0"/>
    <x v="1"/>
    <x v="5"/>
    <s v="DE4-W_A"/>
    <x v="11"/>
    <s v="GNR_ST_LIGN_CND_E-32"/>
    <x v="0"/>
    <x v="18"/>
    <n v="14184.375"/>
    <n v="5177296.875"/>
    <n v="18638268.75"/>
  </r>
  <r>
    <x v="0"/>
    <x v="0"/>
    <x v="0"/>
    <x v="1"/>
    <x v="5"/>
    <s v="DE4-W_A"/>
    <x v="11"/>
    <s v="GNR_ST_LIGN_CND_E-32"/>
    <x v="0"/>
    <x v="19"/>
    <n v="14184.375"/>
    <n v="5177296.875"/>
    <n v="18638268.75"/>
  </r>
  <r>
    <x v="0"/>
    <x v="0"/>
    <x v="0"/>
    <x v="1"/>
    <x v="5"/>
    <s v="DE4-W_A"/>
    <x v="11"/>
    <s v="GNR_ST_LIGN_CND_E-32"/>
    <x v="0"/>
    <x v="20"/>
    <n v="14184.375"/>
    <n v="5177296.875"/>
    <n v="18638268.75"/>
  </r>
  <r>
    <x v="0"/>
    <x v="0"/>
    <x v="0"/>
    <x v="1"/>
    <x v="5"/>
    <s v="DE4-W_A"/>
    <x v="11"/>
    <s v="GNR_ST_LIGN_CND_E-32"/>
    <x v="0"/>
    <x v="21"/>
    <n v="14184.375"/>
    <n v="5177296.875"/>
    <n v="18638268.75"/>
  </r>
  <r>
    <x v="0"/>
    <x v="0"/>
    <x v="0"/>
    <x v="1"/>
    <x v="5"/>
    <s v="DE4-W_A"/>
    <x v="11"/>
    <s v="GNR_ST_LIGN_CND_E-32"/>
    <x v="0"/>
    <x v="22"/>
    <n v="14184.375"/>
    <n v="5177296.875"/>
    <n v="18638268.75"/>
  </r>
  <r>
    <x v="0"/>
    <x v="0"/>
    <x v="0"/>
    <x v="1"/>
    <x v="5"/>
    <s v="DE4-W_A"/>
    <x v="11"/>
    <s v="GNR_ST_LIGN_CND_E-32"/>
    <x v="0"/>
    <x v="23"/>
    <n v="14184.375"/>
    <n v="5177296.875"/>
    <n v="18638268.75"/>
  </r>
  <r>
    <x v="0"/>
    <x v="0"/>
    <x v="0"/>
    <x v="1"/>
    <x v="5"/>
    <s v="DE4-W_A"/>
    <x v="11"/>
    <s v="GNR_ST_LIGN_CND_E-41"/>
    <x v="0"/>
    <x v="0"/>
    <n v="9829.2682926829293"/>
    <n v="3587682.9268292701"/>
    <n v="12915658.5365854"/>
  </r>
  <r>
    <x v="0"/>
    <x v="0"/>
    <x v="0"/>
    <x v="1"/>
    <x v="5"/>
    <s v="DE4-W_A"/>
    <x v="11"/>
    <s v="GNR_ST_LIGN_CND_E-41"/>
    <x v="0"/>
    <x v="1"/>
    <n v="9829.2682926829293"/>
    <n v="3587682.9268292701"/>
    <n v="12915658.5365854"/>
  </r>
  <r>
    <x v="0"/>
    <x v="0"/>
    <x v="0"/>
    <x v="1"/>
    <x v="5"/>
    <s v="DE4-W_A"/>
    <x v="11"/>
    <s v="GNR_ST_LIGN_CND_E-41"/>
    <x v="0"/>
    <x v="2"/>
    <n v="9829.2682926829293"/>
    <n v="3587682.9268292701"/>
    <n v="12915658.5365854"/>
  </r>
  <r>
    <x v="0"/>
    <x v="0"/>
    <x v="0"/>
    <x v="1"/>
    <x v="5"/>
    <s v="DE4-W_A"/>
    <x v="11"/>
    <s v="GNR_ST_LIGN_CND_E-41"/>
    <x v="0"/>
    <x v="3"/>
    <n v="9829.2682926829293"/>
    <n v="3587682.9268292701"/>
    <n v="12915658.5365854"/>
  </r>
  <r>
    <x v="0"/>
    <x v="0"/>
    <x v="0"/>
    <x v="1"/>
    <x v="5"/>
    <s v="DE4-W_A"/>
    <x v="11"/>
    <s v="GNR_ST_LIGN_CND_E-41"/>
    <x v="0"/>
    <x v="4"/>
    <n v="9829.2682926829293"/>
    <n v="3587682.9268292701"/>
    <n v="12915658.5365854"/>
  </r>
  <r>
    <x v="0"/>
    <x v="0"/>
    <x v="0"/>
    <x v="1"/>
    <x v="5"/>
    <s v="DE4-W_A"/>
    <x v="11"/>
    <s v="GNR_ST_LIGN_CND_E-41"/>
    <x v="0"/>
    <x v="5"/>
    <n v="9829.2682926829293"/>
    <n v="3587682.9268292701"/>
    <n v="12915658.5365854"/>
  </r>
  <r>
    <x v="0"/>
    <x v="0"/>
    <x v="0"/>
    <x v="1"/>
    <x v="5"/>
    <s v="DE4-W_A"/>
    <x v="11"/>
    <s v="GNR_ST_LIGN_CND_E-41"/>
    <x v="0"/>
    <x v="6"/>
    <n v="9829.2682926829293"/>
    <n v="3587682.9268292701"/>
    <n v="12915658.5365854"/>
  </r>
  <r>
    <x v="0"/>
    <x v="0"/>
    <x v="0"/>
    <x v="1"/>
    <x v="5"/>
    <s v="DE4-W_A"/>
    <x v="11"/>
    <s v="GNR_ST_LIGN_CND_E-41"/>
    <x v="0"/>
    <x v="7"/>
    <n v="9829.2682926829293"/>
    <n v="3587682.9268292701"/>
    <n v="12915658.5365854"/>
  </r>
  <r>
    <x v="0"/>
    <x v="0"/>
    <x v="0"/>
    <x v="1"/>
    <x v="5"/>
    <s v="DE4-W_A"/>
    <x v="11"/>
    <s v="GNR_ST_LIGN_CND_E-41"/>
    <x v="0"/>
    <x v="8"/>
    <n v="9829.2682926829293"/>
    <n v="3587682.9268292701"/>
    <n v="12915658.5365854"/>
  </r>
  <r>
    <x v="0"/>
    <x v="0"/>
    <x v="0"/>
    <x v="1"/>
    <x v="5"/>
    <s v="DE4-W_A"/>
    <x v="11"/>
    <s v="GNR_ST_LIGN_CND_E-41"/>
    <x v="0"/>
    <x v="9"/>
    <n v="9829.2682926829293"/>
    <n v="3587682.9268292701"/>
    <n v="12915658.5365854"/>
  </r>
  <r>
    <x v="0"/>
    <x v="0"/>
    <x v="0"/>
    <x v="1"/>
    <x v="5"/>
    <s v="DE4-W_A"/>
    <x v="11"/>
    <s v="GNR_ST_LIGN_CND_E-41"/>
    <x v="0"/>
    <x v="10"/>
    <n v="9829.2682926829293"/>
    <n v="3587682.9268292701"/>
    <n v="12915658.5365854"/>
  </r>
  <r>
    <x v="0"/>
    <x v="0"/>
    <x v="0"/>
    <x v="1"/>
    <x v="5"/>
    <s v="DE4-W_A"/>
    <x v="11"/>
    <s v="GNR_ST_LIGN_CND_E-41"/>
    <x v="0"/>
    <x v="11"/>
    <n v="9829.2682926829293"/>
    <n v="3587682.9268292701"/>
    <n v="12915658.5365854"/>
  </r>
  <r>
    <x v="0"/>
    <x v="0"/>
    <x v="0"/>
    <x v="1"/>
    <x v="5"/>
    <s v="DE4-W_A"/>
    <x v="11"/>
    <s v="GNR_ST_LIGN_CND_E-41"/>
    <x v="0"/>
    <x v="12"/>
    <n v="9829.2682926829293"/>
    <n v="3587682.9268292701"/>
    <n v="12915658.5365854"/>
  </r>
  <r>
    <x v="0"/>
    <x v="0"/>
    <x v="0"/>
    <x v="1"/>
    <x v="5"/>
    <s v="DE4-W_A"/>
    <x v="11"/>
    <s v="GNR_ST_LIGN_CND_E-41"/>
    <x v="0"/>
    <x v="13"/>
    <n v="9829.2682926829293"/>
    <n v="3587682.9268292701"/>
    <n v="12915658.5365854"/>
  </r>
  <r>
    <x v="0"/>
    <x v="0"/>
    <x v="0"/>
    <x v="1"/>
    <x v="5"/>
    <s v="DE4-W_A"/>
    <x v="11"/>
    <s v="GNR_ST_LIGN_CND_E-41"/>
    <x v="0"/>
    <x v="14"/>
    <n v="9829.2682926829293"/>
    <n v="3587682.9268292701"/>
    <n v="12915658.5365854"/>
  </r>
  <r>
    <x v="0"/>
    <x v="0"/>
    <x v="0"/>
    <x v="1"/>
    <x v="5"/>
    <s v="DE4-W_A"/>
    <x v="11"/>
    <s v="GNR_ST_LIGN_CND_E-41"/>
    <x v="0"/>
    <x v="15"/>
    <n v="9829.2682926829293"/>
    <n v="3587682.9268292701"/>
    <n v="12915658.5365854"/>
  </r>
  <r>
    <x v="0"/>
    <x v="0"/>
    <x v="0"/>
    <x v="1"/>
    <x v="5"/>
    <s v="DE4-W_A"/>
    <x v="11"/>
    <s v="GNR_ST_LIGN_CND_E-41"/>
    <x v="0"/>
    <x v="16"/>
    <n v="9829.2682926829293"/>
    <n v="3587682.9268292701"/>
    <n v="12915658.5365854"/>
  </r>
  <r>
    <x v="0"/>
    <x v="0"/>
    <x v="0"/>
    <x v="1"/>
    <x v="5"/>
    <s v="DE4-W_A"/>
    <x v="11"/>
    <s v="GNR_ST_LIGN_CND_E-41"/>
    <x v="0"/>
    <x v="17"/>
    <n v="9829.2682926829293"/>
    <n v="3587682.9268292701"/>
    <n v="12915658.5365854"/>
  </r>
  <r>
    <x v="0"/>
    <x v="0"/>
    <x v="0"/>
    <x v="1"/>
    <x v="5"/>
    <s v="DE4-W_A"/>
    <x v="11"/>
    <s v="GNR_ST_LIGN_CND_E-41"/>
    <x v="0"/>
    <x v="18"/>
    <n v="9829.2682926829293"/>
    <n v="3587682.9268292701"/>
    <n v="12915658.5365854"/>
  </r>
  <r>
    <x v="0"/>
    <x v="0"/>
    <x v="0"/>
    <x v="1"/>
    <x v="5"/>
    <s v="DE4-W_A"/>
    <x v="11"/>
    <s v="GNR_ST_LIGN_CND_E-41"/>
    <x v="0"/>
    <x v="19"/>
    <n v="9829.2682926829293"/>
    <n v="3587682.9268292701"/>
    <n v="12915658.5365854"/>
  </r>
  <r>
    <x v="0"/>
    <x v="0"/>
    <x v="0"/>
    <x v="1"/>
    <x v="5"/>
    <s v="DE4-W_A"/>
    <x v="11"/>
    <s v="GNR_ST_LIGN_CND_E-41"/>
    <x v="0"/>
    <x v="20"/>
    <n v="9829.2682926829293"/>
    <n v="3587682.9268292701"/>
    <n v="12915658.5365854"/>
  </r>
  <r>
    <x v="0"/>
    <x v="0"/>
    <x v="0"/>
    <x v="1"/>
    <x v="5"/>
    <s v="DE4-W_A"/>
    <x v="11"/>
    <s v="GNR_ST_LIGN_CND_E-41"/>
    <x v="0"/>
    <x v="21"/>
    <n v="9829.2682926829293"/>
    <n v="3587682.9268292701"/>
    <n v="12915658.5365854"/>
  </r>
  <r>
    <x v="0"/>
    <x v="0"/>
    <x v="0"/>
    <x v="1"/>
    <x v="5"/>
    <s v="DE4-W_A"/>
    <x v="11"/>
    <s v="GNR_ST_LIGN_CND_E-41"/>
    <x v="0"/>
    <x v="22"/>
    <n v="9829.2682926829293"/>
    <n v="3587682.9268292701"/>
    <n v="12915658.5365854"/>
  </r>
  <r>
    <x v="0"/>
    <x v="0"/>
    <x v="0"/>
    <x v="1"/>
    <x v="5"/>
    <s v="DE4-W_A"/>
    <x v="11"/>
    <s v="GNR_ST_LIGN_CND_E-41"/>
    <x v="0"/>
    <x v="23"/>
    <n v="9829.2682926829293"/>
    <n v="3587682.9268292701"/>
    <n v="12915658.5365854"/>
  </r>
  <r>
    <x v="0"/>
    <x v="0"/>
    <x v="0"/>
    <x v="1"/>
    <x v="5"/>
    <s v="DE4-W_A"/>
    <x v="1"/>
    <s v="GNR_ST_MSW_CND_E-33"/>
    <x v="0"/>
    <x v="0"/>
    <n v="523.63636363636397"/>
    <n v="191127.272727273"/>
    <n v="688058.181818182"/>
  </r>
  <r>
    <x v="0"/>
    <x v="0"/>
    <x v="0"/>
    <x v="1"/>
    <x v="5"/>
    <s v="DE4-W_A"/>
    <x v="1"/>
    <s v="GNR_ST_MSW_CND_E-33"/>
    <x v="0"/>
    <x v="1"/>
    <n v="523.63636363636397"/>
    <n v="191127.272727273"/>
    <n v="688058.181818182"/>
  </r>
  <r>
    <x v="0"/>
    <x v="0"/>
    <x v="0"/>
    <x v="1"/>
    <x v="5"/>
    <s v="DE4-W_A"/>
    <x v="1"/>
    <s v="GNR_ST_MSW_CND_E-33"/>
    <x v="0"/>
    <x v="2"/>
    <n v="523.63636363636397"/>
    <n v="191127.272727273"/>
    <n v="688058.181818182"/>
  </r>
  <r>
    <x v="0"/>
    <x v="0"/>
    <x v="0"/>
    <x v="1"/>
    <x v="5"/>
    <s v="DE4-W_A"/>
    <x v="1"/>
    <s v="GNR_ST_MSW_CND_E-33"/>
    <x v="0"/>
    <x v="3"/>
    <n v="523.63636363636397"/>
    <n v="191127.272727273"/>
    <n v="688058.181818182"/>
  </r>
  <r>
    <x v="0"/>
    <x v="0"/>
    <x v="0"/>
    <x v="1"/>
    <x v="5"/>
    <s v="DE4-W_A"/>
    <x v="1"/>
    <s v="GNR_ST_MSW_CND_E-33"/>
    <x v="0"/>
    <x v="4"/>
    <n v="523.63636363636397"/>
    <n v="191127.272727273"/>
    <n v="688058.181818182"/>
  </r>
  <r>
    <x v="0"/>
    <x v="0"/>
    <x v="0"/>
    <x v="1"/>
    <x v="5"/>
    <s v="DE4-W_A"/>
    <x v="1"/>
    <s v="GNR_ST_MSW_CND_E-33"/>
    <x v="0"/>
    <x v="5"/>
    <n v="523.63636363636397"/>
    <n v="191127.272727273"/>
    <n v="688058.181818182"/>
  </r>
  <r>
    <x v="0"/>
    <x v="0"/>
    <x v="0"/>
    <x v="1"/>
    <x v="5"/>
    <s v="DE4-W_A"/>
    <x v="1"/>
    <s v="GNR_ST_MSW_CND_E-33"/>
    <x v="0"/>
    <x v="6"/>
    <n v="523.63636363636397"/>
    <n v="191127.272727273"/>
    <n v="688058.181818182"/>
  </r>
  <r>
    <x v="0"/>
    <x v="0"/>
    <x v="0"/>
    <x v="1"/>
    <x v="5"/>
    <s v="DE4-W_A"/>
    <x v="1"/>
    <s v="GNR_ST_MSW_CND_E-33"/>
    <x v="0"/>
    <x v="7"/>
    <n v="523.63636363636397"/>
    <n v="191127.272727273"/>
    <n v="688058.181818182"/>
  </r>
  <r>
    <x v="0"/>
    <x v="0"/>
    <x v="0"/>
    <x v="1"/>
    <x v="5"/>
    <s v="DE4-W_A"/>
    <x v="1"/>
    <s v="GNR_ST_MSW_CND_E-33"/>
    <x v="0"/>
    <x v="8"/>
    <n v="523.63636363636397"/>
    <n v="191127.272727273"/>
    <n v="688058.181818182"/>
  </r>
  <r>
    <x v="0"/>
    <x v="0"/>
    <x v="0"/>
    <x v="1"/>
    <x v="5"/>
    <s v="DE4-W_A"/>
    <x v="1"/>
    <s v="GNR_ST_MSW_CND_E-33"/>
    <x v="0"/>
    <x v="9"/>
    <n v="523.63636363636397"/>
    <n v="191127.272727273"/>
    <n v="688058.181818182"/>
  </r>
  <r>
    <x v="0"/>
    <x v="0"/>
    <x v="0"/>
    <x v="1"/>
    <x v="5"/>
    <s v="DE4-W_A"/>
    <x v="1"/>
    <s v="GNR_ST_MSW_CND_E-33"/>
    <x v="0"/>
    <x v="10"/>
    <n v="523.63636363636397"/>
    <n v="191127.272727273"/>
    <n v="688058.181818182"/>
  </r>
  <r>
    <x v="0"/>
    <x v="0"/>
    <x v="0"/>
    <x v="1"/>
    <x v="5"/>
    <s v="DE4-W_A"/>
    <x v="1"/>
    <s v="GNR_ST_MSW_CND_E-33"/>
    <x v="0"/>
    <x v="11"/>
    <n v="523.63636363636397"/>
    <n v="191127.272727273"/>
    <n v="688058.181818182"/>
  </r>
  <r>
    <x v="0"/>
    <x v="0"/>
    <x v="0"/>
    <x v="1"/>
    <x v="5"/>
    <s v="DE4-W_A"/>
    <x v="1"/>
    <s v="GNR_ST_MSW_CND_E-33"/>
    <x v="0"/>
    <x v="12"/>
    <n v="523.63636363636397"/>
    <n v="191127.272727273"/>
    <n v="688058.181818182"/>
  </r>
  <r>
    <x v="0"/>
    <x v="0"/>
    <x v="0"/>
    <x v="1"/>
    <x v="5"/>
    <s v="DE4-W_A"/>
    <x v="1"/>
    <s v="GNR_ST_MSW_CND_E-33"/>
    <x v="0"/>
    <x v="13"/>
    <n v="523.63636363636397"/>
    <n v="191127.272727273"/>
    <n v="688058.181818182"/>
  </r>
  <r>
    <x v="0"/>
    <x v="0"/>
    <x v="0"/>
    <x v="1"/>
    <x v="5"/>
    <s v="DE4-W_A"/>
    <x v="1"/>
    <s v="GNR_ST_MSW_CND_E-33"/>
    <x v="0"/>
    <x v="14"/>
    <n v="523.63636363636397"/>
    <n v="191127.272727273"/>
    <n v="688058.181818182"/>
  </r>
  <r>
    <x v="0"/>
    <x v="0"/>
    <x v="0"/>
    <x v="1"/>
    <x v="5"/>
    <s v="DE4-W_A"/>
    <x v="1"/>
    <s v="GNR_ST_MSW_CND_E-33"/>
    <x v="0"/>
    <x v="15"/>
    <n v="523.63636363636397"/>
    <n v="191127.272727273"/>
    <n v="688058.181818182"/>
  </r>
  <r>
    <x v="0"/>
    <x v="0"/>
    <x v="0"/>
    <x v="1"/>
    <x v="5"/>
    <s v="DE4-W_A"/>
    <x v="1"/>
    <s v="GNR_ST_MSW_CND_E-33"/>
    <x v="0"/>
    <x v="16"/>
    <n v="523.63636363636397"/>
    <n v="191127.272727273"/>
    <n v="688058.181818182"/>
  </r>
  <r>
    <x v="0"/>
    <x v="0"/>
    <x v="0"/>
    <x v="1"/>
    <x v="5"/>
    <s v="DE4-W_A"/>
    <x v="1"/>
    <s v="GNR_ST_MSW_CND_E-33"/>
    <x v="0"/>
    <x v="17"/>
    <n v="523.63636363636397"/>
    <n v="191127.272727273"/>
    <n v="688058.181818182"/>
  </r>
  <r>
    <x v="0"/>
    <x v="0"/>
    <x v="0"/>
    <x v="1"/>
    <x v="5"/>
    <s v="DE4-W_A"/>
    <x v="1"/>
    <s v="GNR_ST_MSW_CND_E-33"/>
    <x v="0"/>
    <x v="18"/>
    <n v="523.63636363636397"/>
    <n v="191127.272727273"/>
    <n v="688058.181818182"/>
  </r>
  <r>
    <x v="0"/>
    <x v="0"/>
    <x v="0"/>
    <x v="1"/>
    <x v="5"/>
    <s v="DE4-W_A"/>
    <x v="1"/>
    <s v="GNR_ST_MSW_CND_E-33"/>
    <x v="0"/>
    <x v="19"/>
    <n v="523.63636363636397"/>
    <n v="191127.272727273"/>
    <n v="688058.181818182"/>
  </r>
  <r>
    <x v="0"/>
    <x v="0"/>
    <x v="0"/>
    <x v="1"/>
    <x v="5"/>
    <s v="DE4-W_A"/>
    <x v="1"/>
    <s v="GNR_ST_MSW_CND_E-33"/>
    <x v="0"/>
    <x v="20"/>
    <n v="523.63636363636397"/>
    <n v="191127.272727273"/>
    <n v="688058.181818182"/>
  </r>
  <r>
    <x v="0"/>
    <x v="0"/>
    <x v="0"/>
    <x v="1"/>
    <x v="5"/>
    <s v="DE4-W_A"/>
    <x v="1"/>
    <s v="GNR_ST_MSW_CND_E-33"/>
    <x v="0"/>
    <x v="21"/>
    <n v="523.63636363636397"/>
    <n v="191127.272727273"/>
    <n v="688058.181818182"/>
  </r>
  <r>
    <x v="0"/>
    <x v="0"/>
    <x v="0"/>
    <x v="1"/>
    <x v="5"/>
    <s v="DE4-W_A"/>
    <x v="1"/>
    <s v="GNR_ST_MSW_CND_E-33"/>
    <x v="0"/>
    <x v="22"/>
    <n v="523.63636363636397"/>
    <n v="191127.272727273"/>
    <n v="688058.181818182"/>
  </r>
  <r>
    <x v="0"/>
    <x v="0"/>
    <x v="0"/>
    <x v="1"/>
    <x v="5"/>
    <s v="DE4-W_A"/>
    <x v="1"/>
    <s v="GNR_ST_MSW_CND_E-33"/>
    <x v="0"/>
    <x v="23"/>
    <n v="523.63636363636397"/>
    <n v="191127.272727273"/>
    <n v="688058.181818182"/>
  </r>
  <r>
    <x v="0"/>
    <x v="0"/>
    <x v="0"/>
    <x v="1"/>
    <x v="5"/>
    <s v="DE4-W_A"/>
    <x v="12"/>
    <s v="GNR_ST_NUCL_CND_E-33"/>
    <x v="0"/>
    <x v="0"/>
    <n v="8169.69696969697"/>
    <n v="2981939.3939393898"/>
    <n v="10734981.8181818"/>
  </r>
  <r>
    <x v="0"/>
    <x v="0"/>
    <x v="0"/>
    <x v="1"/>
    <x v="5"/>
    <s v="DE4-W_A"/>
    <x v="12"/>
    <s v="GNR_ST_NUCL_CND_E-33"/>
    <x v="0"/>
    <x v="1"/>
    <n v="8169.69696969697"/>
    <n v="2981939.3939393898"/>
    <n v="10734981.8181818"/>
  </r>
  <r>
    <x v="0"/>
    <x v="0"/>
    <x v="0"/>
    <x v="1"/>
    <x v="5"/>
    <s v="DE4-W_A"/>
    <x v="12"/>
    <s v="GNR_ST_NUCL_CND_E-33"/>
    <x v="0"/>
    <x v="2"/>
    <n v="8169.69696969697"/>
    <n v="2981939.3939393898"/>
    <n v="10734981.8181818"/>
  </r>
  <r>
    <x v="0"/>
    <x v="0"/>
    <x v="0"/>
    <x v="1"/>
    <x v="5"/>
    <s v="DE4-W_A"/>
    <x v="12"/>
    <s v="GNR_ST_NUCL_CND_E-33"/>
    <x v="0"/>
    <x v="3"/>
    <n v="8169.69696969697"/>
    <n v="2981939.3939393898"/>
    <n v="10734981.8181818"/>
  </r>
  <r>
    <x v="0"/>
    <x v="0"/>
    <x v="0"/>
    <x v="1"/>
    <x v="5"/>
    <s v="DE4-W_A"/>
    <x v="12"/>
    <s v="GNR_ST_NUCL_CND_E-33"/>
    <x v="0"/>
    <x v="4"/>
    <n v="8169.69696969697"/>
    <n v="2981939.3939393898"/>
    <n v="10734981.8181818"/>
  </r>
  <r>
    <x v="0"/>
    <x v="0"/>
    <x v="0"/>
    <x v="1"/>
    <x v="5"/>
    <s v="DE4-W_A"/>
    <x v="12"/>
    <s v="GNR_ST_NUCL_CND_E-33"/>
    <x v="0"/>
    <x v="5"/>
    <n v="8169.69696969697"/>
    <n v="2981939.3939393898"/>
    <n v="10734981.8181818"/>
  </r>
  <r>
    <x v="0"/>
    <x v="0"/>
    <x v="0"/>
    <x v="1"/>
    <x v="5"/>
    <s v="DE4-W_A"/>
    <x v="12"/>
    <s v="GNR_ST_NUCL_CND_E-33"/>
    <x v="0"/>
    <x v="6"/>
    <n v="8169.69696969697"/>
    <n v="2981939.3939393898"/>
    <n v="10734981.8181818"/>
  </r>
  <r>
    <x v="0"/>
    <x v="0"/>
    <x v="0"/>
    <x v="1"/>
    <x v="5"/>
    <s v="DE4-W_A"/>
    <x v="12"/>
    <s v="GNR_ST_NUCL_CND_E-33"/>
    <x v="0"/>
    <x v="7"/>
    <n v="8169.69696969697"/>
    <n v="2981939.3939393898"/>
    <n v="10734981.8181818"/>
  </r>
  <r>
    <x v="0"/>
    <x v="0"/>
    <x v="0"/>
    <x v="1"/>
    <x v="5"/>
    <s v="DE4-W_A"/>
    <x v="12"/>
    <s v="GNR_ST_NUCL_CND_E-33"/>
    <x v="0"/>
    <x v="8"/>
    <n v="8169.69696969697"/>
    <n v="2981939.3939393898"/>
    <n v="10734981.8181818"/>
  </r>
  <r>
    <x v="0"/>
    <x v="0"/>
    <x v="0"/>
    <x v="1"/>
    <x v="5"/>
    <s v="DE4-W_A"/>
    <x v="12"/>
    <s v="GNR_ST_NUCL_CND_E-33"/>
    <x v="0"/>
    <x v="9"/>
    <n v="8169.69696969697"/>
    <n v="2981939.3939393898"/>
    <n v="10734981.8181818"/>
  </r>
  <r>
    <x v="0"/>
    <x v="0"/>
    <x v="0"/>
    <x v="1"/>
    <x v="5"/>
    <s v="DE4-W_A"/>
    <x v="12"/>
    <s v="GNR_ST_NUCL_CND_E-33"/>
    <x v="0"/>
    <x v="10"/>
    <n v="8169.69696969697"/>
    <n v="2981939.3939393898"/>
    <n v="10734981.8181818"/>
  </r>
  <r>
    <x v="0"/>
    <x v="0"/>
    <x v="0"/>
    <x v="1"/>
    <x v="5"/>
    <s v="DE4-W_A"/>
    <x v="12"/>
    <s v="GNR_ST_NUCL_CND_E-33"/>
    <x v="0"/>
    <x v="11"/>
    <n v="8169.69696969697"/>
    <n v="2981939.3939393898"/>
    <n v="10734981.8181818"/>
  </r>
  <r>
    <x v="0"/>
    <x v="0"/>
    <x v="0"/>
    <x v="1"/>
    <x v="5"/>
    <s v="DE4-W_A"/>
    <x v="12"/>
    <s v="GNR_ST_NUCL_CND_E-33"/>
    <x v="0"/>
    <x v="12"/>
    <n v="8169.69696969697"/>
    <n v="2981939.3939393898"/>
    <n v="10734981.8181818"/>
  </r>
  <r>
    <x v="0"/>
    <x v="0"/>
    <x v="0"/>
    <x v="1"/>
    <x v="5"/>
    <s v="DE4-W_A"/>
    <x v="12"/>
    <s v="GNR_ST_NUCL_CND_E-33"/>
    <x v="0"/>
    <x v="13"/>
    <n v="8169.69696969697"/>
    <n v="2981939.3939393898"/>
    <n v="10734981.8181818"/>
  </r>
  <r>
    <x v="0"/>
    <x v="0"/>
    <x v="0"/>
    <x v="1"/>
    <x v="5"/>
    <s v="DE4-W_A"/>
    <x v="12"/>
    <s v="GNR_ST_NUCL_CND_E-33"/>
    <x v="0"/>
    <x v="14"/>
    <n v="8169.69696969697"/>
    <n v="2981939.3939393898"/>
    <n v="10734981.8181818"/>
  </r>
  <r>
    <x v="0"/>
    <x v="0"/>
    <x v="0"/>
    <x v="1"/>
    <x v="5"/>
    <s v="DE4-W_A"/>
    <x v="12"/>
    <s v="GNR_ST_NUCL_CND_E-33"/>
    <x v="0"/>
    <x v="15"/>
    <n v="8169.69696969697"/>
    <n v="2981939.3939393898"/>
    <n v="10734981.8181818"/>
  </r>
  <r>
    <x v="0"/>
    <x v="0"/>
    <x v="0"/>
    <x v="1"/>
    <x v="5"/>
    <s v="DE4-W_A"/>
    <x v="12"/>
    <s v="GNR_ST_NUCL_CND_E-33"/>
    <x v="0"/>
    <x v="16"/>
    <n v="8169.69696969697"/>
    <n v="2981939.3939393898"/>
    <n v="10734981.8181818"/>
  </r>
  <r>
    <x v="0"/>
    <x v="0"/>
    <x v="0"/>
    <x v="1"/>
    <x v="5"/>
    <s v="DE4-W_A"/>
    <x v="12"/>
    <s v="GNR_ST_NUCL_CND_E-33"/>
    <x v="0"/>
    <x v="17"/>
    <n v="8169.69696969697"/>
    <n v="2981939.3939393898"/>
    <n v="10734981.8181818"/>
  </r>
  <r>
    <x v="0"/>
    <x v="0"/>
    <x v="0"/>
    <x v="1"/>
    <x v="5"/>
    <s v="DE4-W_A"/>
    <x v="12"/>
    <s v="GNR_ST_NUCL_CND_E-33"/>
    <x v="0"/>
    <x v="18"/>
    <n v="8169.69696969697"/>
    <n v="2981939.3939393898"/>
    <n v="10734981.8181818"/>
  </r>
  <r>
    <x v="0"/>
    <x v="0"/>
    <x v="0"/>
    <x v="1"/>
    <x v="5"/>
    <s v="DE4-W_A"/>
    <x v="12"/>
    <s v="GNR_ST_NUCL_CND_E-33"/>
    <x v="0"/>
    <x v="19"/>
    <n v="8169.69696969697"/>
    <n v="2981939.3939393898"/>
    <n v="10734981.8181818"/>
  </r>
  <r>
    <x v="0"/>
    <x v="0"/>
    <x v="0"/>
    <x v="1"/>
    <x v="5"/>
    <s v="DE4-W_A"/>
    <x v="12"/>
    <s v="GNR_ST_NUCL_CND_E-33"/>
    <x v="0"/>
    <x v="20"/>
    <n v="8169.69696969697"/>
    <n v="2981939.3939393898"/>
    <n v="10734981.8181818"/>
  </r>
  <r>
    <x v="0"/>
    <x v="0"/>
    <x v="0"/>
    <x v="1"/>
    <x v="5"/>
    <s v="DE4-W_A"/>
    <x v="12"/>
    <s v="GNR_ST_NUCL_CND_E-33"/>
    <x v="0"/>
    <x v="21"/>
    <n v="8169.69696969697"/>
    <n v="2981939.3939393898"/>
    <n v="10734981.8181818"/>
  </r>
  <r>
    <x v="0"/>
    <x v="0"/>
    <x v="0"/>
    <x v="1"/>
    <x v="5"/>
    <s v="DE4-W_A"/>
    <x v="12"/>
    <s v="GNR_ST_NUCL_CND_E-33"/>
    <x v="0"/>
    <x v="22"/>
    <n v="8169.69696969697"/>
    <n v="2981939.3939393898"/>
    <n v="10734981.8181818"/>
  </r>
  <r>
    <x v="0"/>
    <x v="0"/>
    <x v="0"/>
    <x v="1"/>
    <x v="5"/>
    <s v="DE4-W_A"/>
    <x v="12"/>
    <s v="GNR_ST_NUCL_CND_E-33"/>
    <x v="0"/>
    <x v="23"/>
    <n v="8169.69696969697"/>
    <n v="2981939.3939393898"/>
    <n v="10734981.8181818"/>
  </r>
  <r>
    <x v="0"/>
    <x v="0"/>
    <x v="0"/>
    <x v="1"/>
    <x v="5"/>
    <s v="DE4-W_A"/>
    <x v="6"/>
    <s v="GNR_PV_SUN"/>
    <x v="0"/>
    <x v="6"/>
    <n v="50.016931763404401"/>
    <n v="18256.180093642601"/>
    <n v="65722.2483371134"/>
  </r>
  <r>
    <x v="0"/>
    <x v="0"/>
    <x v="0"/>
    <x v="1"/>
    <x v="5"/>
    <s v="DE4-W_A"/>
    <x v="6"/>
    <s v="GNR_PV_SUN"/>
    <x v="0"/>
    <x v="7"/>
    <n v="533.47846580839598"/>
    <n v="194719.64002006501"/>
    <n v="700990.70407223306"/>
  </r>
  <r>
    <x v="0"/>
    <x v="0"/>
    <x v="0"/>
    <x v="1"/>
    <x v="5"/>
    <s v="DE4-W_A"/>
    <x v="6"/>
    <s v="GNR_PV_SUN"/>
    <x v="0"/>
    <x v="8"/>
    <n v="1556.8036058869"/>
    <n v="568233.316148718"/>
    <n v="2045639.9381353899"/>
  </r>
  <r>
    <x v="0"/>
    <x v="0"/>
    <x v="0"/>
    <x v="1"/>
    <x v="5"/>
    <s v="DE4-W_A"/>
    <x v="6"/>
    <s v="GNR_PV_SUN"/>
    <x v="0"/>
    <x v="9"/>
    <n v="2541.6050666072101"/>
    <n v="927685.84931163106"/>
    <n v="3339669.0575218699"/>
  </r>
  <r>
    <x v="0"/>
    <x v="0"/>
    <x v="0"/>
    <x v="1"/>
    <x v="5"/>
    <s v="DE4-W_A"/>
    <x v="6"/>
    <s v="GNR_PV_SUN"/>
    <x v="0"/>
    <x v="10"/>
    <n v="3387.3168894237501"/>
    <n v="1236370.6646396699"/>
    <n v="4450934.3927028095"/>
  </r>
  <r>
    <x v="0"/>
    <x v="0"/>
    <x v="0"/>
    <x v="1"/>
    <x v="5"/>
    <s v="DE4-W_A"/>
    <x v="6"/>
    <s v="GNR_PV_SUN"/>
    <x v="0"/>
    <x v="11"/>
    <n v="3928.88319951729"/>
    <n v="1434042.3678238101"/>
    <n v="5162552.5241657197"/>
  </r>
  <r>
    <x v="0"/>
    <x v="0"/>
    <x v="0"/>
    <x v="1"/>
    <x v="5"/>
    <s v="DE4-W_A"/>
    <x v="6"/>
    <s v="GNR_PV_SUN"/>
    <x v="0"/>
    <x v="12"/>
    <n v="4155.5556775088899"/>
    <n v="1516777.82229075"/>
    <n v="5460400.1602466796"/>
  </r>
  <r>
    <x v="0"/>
    <x v="0"/>
    <x v="0"/>
    <x v="1"/>
    <x v="5"/>
    <s v="DE4-W_A"/>
    <x v="6"/>
    <s v="GNR_PV_SUN"/>
    <x v="0"/>
    <x v="13"/>
    <n v="4179.1806963418203"/>
    <n v="1525400.95416476"/>
    <n v="5491443.4349931497"/>
  </r>
  <r>
    <x v="0"/>
    <x v="0"/>
    <x v="0"/>
    <x v="1"/>
    <x v="5"/>
    <s v="DE4-W_A"/>
    <x v="6"/>
    <s v="GNR_PV_SUN"/>
    <x v="0"/>
    <x v="14"/>
    <n v="3597.8136788450602"/>
    <n v="1313201.99277845"/>
    <n v="4727527.1740023997"/>
  </r>
  <r>
    <x v="0"/>
    <x v="0"/>
    <x v="0"/>
    <x v="1"/>
    <x v="5"/>
    <s v="DE4-W_A"/>
    <x v="6"/>
    <s v="GNR_PV_SUN"/>
    <x v="0"/>
    <x v="15"/>
    <n v="2723.3687250154899"/>
    <n v="994029.58463065501"/>
    <n v="3578506.5046703601"/>
  </r>
  <r>
    <x v="0"/>
    <x v="0"/>
    <x v="0"/>
    <x v="1"/>
    <x v="5"/>
    <s v="DE4-W_A"/>
    <x v="6"/>
    <s v="GNR_PV_SUN"/>
    <x v="0"/>
    <x v="16"/>
    <n v="1735.26827517888"/>
    <n v="633372.92044029001"/>
    <n v="2280142.5135850399"/>
  </r>
  <r>
    <x v="0"/>
    <x v="0"/>
    <x v="0"/>
    <x v="1"/>
    <x v="5"/>
    <s v="DE4-W_A"/>
    <x v="6"/>
    <s v="GNR_PV_SUN"/>
    <x v="0"/>
    <x v="17"/>
    <n v="659.05289023566695"/>
    <n v="240554.30493601799"/>
    <n v="865995.49776966602"/>
  </r>
  <r>
    <x v="0"/>
    <x v="0"/>
    <x v="0"/>
    <x v="1"/>
    <x v="5"/>
    <s v="DE4-W_A"/>
    <x v="6"/>
    <s v="GNR_PV_SUN"/>
    <x v="0"/>
    <x v="18"/>
    <n v="53.9544349022256"/>
    <n v="19693.3687393123"/>
    <n v="70896.127461524404"/>
  </r>
  <r>
    <x v="0"/>
    <x v="0"/>
    <x v="0"/>
    <x v="1"/>
    <x v="5"/>
    <s v="DE4-W_A"/>
    <x v="7"/>
    <s v="GNR_ROR_WTR"/>
    <x v="0"/>
    <x v="0"/>
    <n v="221.00837138508399"/>
    <n v="80668.055555555606"/>
    <n v="290405"/>
  </r>
  <r>
    <x v="0"/>
    <x v="0"/>
    <x v="0"/>
    <x v="1"/>
    <x v="5"/>
    <s v="DE4-W_A"/>
    <x v="7"/>
    <s v="GNR_ROR_WTR"/>
    <x v="0"/>
    <x v="1"/>
    <n v="221.00837138508399"/>
    <n v="80668.055555555606"/>
    <n v="290405"/>
  </r>
  <r>
    <x v="0"/>
    <x v="0"/>
    <x v="0"/>
    <x v="1"/>
    <x v="5"/>
    <s v="DE4-W_A"/>
    <x v="7"/>
    <s v="GNR_ROR_WTR"/>
    <x v="0"/>
    <x v="2"/>
    <n v="221.00837138508399"/>
    <n v="80668.055555555606"/>
    <n v="290405"/>
  </r>
  <r>
    <x v="0"/>
    <x v="0"/>
    <x v="0"/>
    <x v="1"/>
    <x v="5"/>
    <s v="DE4-W_A"/>
    <x v="7"/>
    <s v="GNR_ROR_WTR"/>
    <x v="0"/>
    <x v="3"/>
    <n v="221.00837138508399"/>
    <n v="80668.055555555606"/>
    <n v="290405"/>
  </r>
  <r>
    <x v="0"/>
    <x v="0"/>
    <x v="0"/>
    <x v="1"/>
    <x v="5"/>
    <s v="DE4-W_A"/>
    <x v="7"/>
    <s v="GNR_ROR_WTR"/>
    <x v="0"/>
    <x v="4"/>
    <n v="221.00837138508399"/>
    <n v="80668.055555555606"/>
    <n v="290405"/>
  </r>
  <r>
    <x v="0"/>
    <x v="0"/>
    <x v="0"/>
    <x v="1"/>
    <x v="5"/>
    <s v="DE4-W_A"/>
    <x v="7"/>
    <s v="GNR_ROR_WTR"/>
    <x v="0"/>
    <x v="5"/>
    <n v="221.00837138508399"/>
    <n v="80668.055555555606"/>
    <n v="290405"/>
  </r>
  <r>
    <x v="0"/>
    <x v="0"/>
    <x v="0"/>
    <x v="1"/>
    <x v="5"/>
    <s v="DE4-W_A"/>
    <x v="7"/>
    <s v="GNR_ROR_WTR"/>
    <x v="0"/>
    <x v="6"/>
    <n v="221.00837138508399"/>
    <n v="80668.055555555606"/>
    <n v="290405"/>
  </r>
  <r>
    <x v="0"/>
    <x v="0"/>
    <x v="0"/>
    <x v="1"/>
    <x v="5"/>
    <s v="DE4-W_A"/>
    <x v="7"/>
    <s v="GNR_ROR_WTR"/>
    <x v="0"/>
    <x v="7"/>
    <n v="221.00837138508399"/>
    <n v="80668.055555555606"/>
    <n v="290405"/>
  </r>
  <r>
    <x v="0"/>
    <x v="0"/>
    <x v="0"/>
    <x v="1"/>
    <x v="5"/>
    <s v="DE4-W_A"/>
    <x v="7"/>
    <s v="GNR_ROR_WTR"/>
    <x v="0"/>
    <x v="8"/>
    <n v="221.00837138508399"/>
    <n v="80668.055555555606"/>
    <n v="290405"/>
  </r>
  <r>
    <x v="0"/>
    <x v="0"/>
    <x v="0"/>
    <x v="1"/>
    <x v="5"/>
    <s v="DE4-W_A"/>
    <x v="7"/>
    <s v="GNR_ROR_WTR"/>
    <x v="0"/>
    <x v="9"/>
    <n v="221.00837138508399"/>
    <n v="80668.055555555606"/>
    <n v="290405"/>
  </r>
  <r>
    <x v="0"/>
    <x v="0"/>
    <x v="0"/>
    <x v="1"/>
    <x v="5"/>
    <s v="DE4-W_A"/>
    <x v="7"/>
    <s v="GNR_ROR_WTR"/>
    <x v="0"/>
    <x v="10"/>
    <n v="221.00837138508399"/>
    <n v="80668.055555555606"/>
    <n v="290405"/>
  </r>
  <r>
    <x v="0"/>
    <x v="0"/>
    <x v="0"/>
    <x v="1"/>
    <x v="5"/>
    <s v="DE4-W_A"/>
    <x v="7"/>
    <s v="GNR_ROR_WTR"/>
    <x v="0"/>
    <x v="11"/>
    <n v="221.00837138508399"/>
    <n v="80668.055555555606"/>
    <n v="290405"/>
  </r>
  <r>
    <x v="0"/>
    <x v="0"/>
    <x v="0"/>
    <x v="1"/>
    <x v="5"/>
    <s v="DE4-W_A"/>
    <x v="7"/>
    <s v="GNR_ROR_WTR"/>
    <x v="0"/>
    <x v="12"/>
    <n v="221.00837138508399"/>
    <n v="80668.055555555606"/>
    <n v="290405"/>
  </r>
  <r>
    <x v="0"/>
    <x v="0"/>
    <x v="0"/>
    <x v="1"/>
    <x v="5"/>
    <s v="DE4-W_A"/>
    <x v="7"/>
    <s v="GNR_ROR_WTR"/>
    <x v="0"/>
    <x v="13"/>
    <n v="221.00837138508399"/>
    <n v="80668.055555555606"/>
    <n v="290405"/>
  </r>
  <r>
    <x v="0"/>
    <x v="0"/>
    <x v="0"/>
    <x v="1"/>
    <x v="5"/>
    <s v="DE4-W_A"/>
    <x v="7"/>
    <s v="GNR_ROR_WTR"/>
    <x v="0"/>
    <x v="14"/>
    <n v="221.00837138508399"/>
    <n v="80668.055555555606"/>
    <n v="290405"/>
  </r>
  <r>
    <x v="0"/>
    <x v="0"/>
    <x v="0"/>
    <x v="1"/>
    <x v="5"/>
    <s v="DE4-W_A"/>
    <x v="7"/>
    <s v="GNR_ROR_WTR"/>
    <x v="0"/>
    <x v="15"/>
    <n v="221.00837138508399"/>
    <n v="80668.055555555606"/>
    <n v="290405"/>
  </r>
  <r>
    <x v="0"/>
    <x v="0"/>
    <x v="0"/>
    <x v="1"/>
    <x v="5"/>
    <s v="DE4-W_A"/>
    <x v="7"/>
    <s v="GNR_ROR_WTR"/>
    <x v="0"/>
    <x v="16"/>
    <n v="221.00837138508399"/>
    <n v="80668.055555555606"/>
    <n v="290405"/>
  </r>
  <r>
    <x v="0"/>
    <x v="0"/>
    <x v="0"/>
    <x v="1"/>
    <x v="5"/>
    <s v="DE4-W_A"/>
    <x v="7"/>
    <s v="GNR_ROR_WTR"/>
    <x v="0"/>
    <x v="17"/>
    <n v="221.00837138508399"/>
    <n v="80668.055555555606"/>
    <n v="290405"/>
  </r>
  <r>
    <x v="0"/>
    <x v="0"/>
    <x v="0"/>
    <x v="1"/>
    <x v="5"/>
    <s v="DE4-W_A"/>
    <x v="7"/>
    <s v="GNR_ROR_WTR"/>
    <x v="0"/>
    <x v="18"/>
    <n v="221.00837138508399"/>
    <n v="80668.055555555606"/>
    <n v="290405"/>
  </r>
  <r>
    <x v="0"/>
    <x v="0"/>
    <x v="0"/>
    <x v="1"/>
    <x v="5"/>
    <s v="DE4-W_A"/>
    <x v="7"/>
    <s v="GNR_ROR_WTR"/>
    <x v="0"/>
    <x v="19"/>
    <n v="221.00837138508399"/>
    <n v="80668.055555555606"/>
    <n v="290405"/>
  </r>
  <r>
    <x v="0"/>
    <x v="0"/>
    <x v="0"/>
    <x v="1"/>
    <x v="5"/>
    <s v="DE4-W_A"/>
    <x v="7"/>
    <s v="GNR_ROR_WTR"/>
    <x v="0"/>
    <x v="20"/>
    <n v="221.00837138508399"/>
    <n v="80668.055555555606"/>
    <n v="290405"/>
  </r>
  <r>
    <x v="0"/>
    <x v="0"/>
    <x v="0"/>
    <x v="1"/>
    <x v="5"/>
    <s v="DE4-W_A"/>
    <x v="7"/>
    <s v="GNR_ROR_WTR"/>
    <x v="0"/>
    <x v="21"/>
    <n v="221.00837138508399"/>
    <n v="80668.055555555606"/>
    <n v="290405"/>
  </r>
  <r>
    <x v="0"/>
    <x v="0"/>
    <x v="0"/>
    <x v="1"/>
    <x v="5"/>
    <s v="DE4-W_A"/>
    <x v="7"/>
    <s v="GNR_ROR_WTR"/>
    <x v="0"/>
    <x v="22"/>
    <n v="221.00837138508399"/>
    <n v="80668.055555555606"/>
    <n v="290405"/>
  </r>
  <r>
    <x v="0"/>
    <x v="0"/>
    <x v="0"/>
    <x v="1"/>
    <x v="5"/>
    <s v="DE4-W_A"/>
    <x v="7"/>
    <s v="GNR_ROR_WTR"/>
    <x v="0"/>
    <x v="23"/>
    <n v="221.00837138508399"/>
    <n v="80668.055555555606"/>
    <n v="290405"/>
  </r>
  <r>
    <x v="0"/>
    <x v="0"/>
    <x v="0"/>
    <x v="1"/>
    <x v="5"/>
    <s v="DE4-W_A"/>
    <x v="8"/>
    <s v="GNR_WT_WIND_ONS"/>
    <x v="0"/>
    <x v="0"/>
    <n v="5996.1926094610999"/>
    <n v="2188610.3024533"/>
    <n v="7878997.0888318904"/>
  </r>
  <r>
    <x v="0"/>
    <x v="0"/>
    <x v="0"/>
    <x v="1"/>
    <x v="5"/>
    <s v="DE4-W_A"/>
    <x v="8"/>
    <s v="GNR_WT_WIND_ONS"/>
    <x v="0"/>
    <x v="1"/>
    <n v="5554.4514021380101"/>
    <n v="2027374.76178037"/>
    <n v="7298549.1424093395"/>
  </r>
  <r>
    <x v="0"/>
    <x v="0"/>
    <x v="0"/>
    <x v="1"/>
    <x v="5"/>
    <s v="DE4-W_A"/>
    <x v="8"/>
    <s v="GNR_WT_WIND_ONS"/>
    <x v="0"/>
    <x v="2"/>
    <n v="5267.5734916350802"/>
    <n v="1922664.3244467999"/>
    <n v="6921591.5680084899"/>
  </r>
  <r>
    <x v="0"/>
    <x v="0"/>
    <x v="0"/>
    <x v="1"/>
    <x v="5"/>
    <s v="DE4-W_A"/>
    <x v="8"/>
    <s v="GNR_WT_WIND_ONS"/>
    <x v="0"/>
    <x v="3"/>
    <n v="4760.6183345239897"/>
    <n v="1737625.6921012499"/>
    <n v="6255452.4915645197"/>
  </r>
  <r>
    <x v="0"/>
    <x v="0"/>
    <x v="0"/>
    <x v="1"/>
    <x v="5"/>
    <s v="DE4-W_A"/>
    <x v="8"/>
    <s v="GNR_WT_WIND_ONS"/>
    <x v="0"/>
    <x v="4"/>
    <n v="4244.3015641829797"/>
    <n v="1549170.0709267899"/>
    <n v="5577012.2553364402"/>
  </r>
  <r>
    <x v="0"/>
    <x v="0"/>
    <x v="0"/>
    <x v="1"/>
    <x v="5"/>
    <s v="DE4-W_A"/>
    <x v="8"/>
    <s v="GNR_WT_WIND_ONS"/>
    <x v="0"/>
    <x v="5"/>
    <n v="4033.9032736260801"/>
    <n v="1472374.6948735199"/>
    <n v="5300548.9015446696"/>
  </r>
  <r>
    <x v="0"/>
    <x v="0"/>
    <x v="0"/>
    <x v="1"/>
    <x v="5"/>
    <s v="DE4-W_A"/>
    <x v="8"/>
    <s v="GNR_WT_WIND_ONS"/>
    <x v="0"/>
    <x v="6"/>
    <n v="3967.5786239633499"/>
    <n v="1448166.19774662"/>
    <n v="5213398.3118878398"/>
  </r>
  <r>
    <x v="0"/>
    <x v="0"/>
    <x v="0"/>
    <x v="1"/>
    <x v="5"/>
    <s v="DE4-W_A"/>
    <x v="8"/>
    <s v="GNR_WT_WIND_ONS"/>
    <x v="0"/>
    <x v="7"/>
    <n v="4079.2832970795298"/>
    <n v="1488938.40343403"/>
    <n v="5360178.2523624999"/>
  </r>
  <r>
    <x v="0"/>
    <x v="0"/>
    <x v="0"/>
    <x v="1"/>
    <x v="5"/>
    <s v="DE4-W_A"/>
    <x v="8"/>
    <s v="GNR_WT_WIND_ONS"/>
    <x v="0"/>
    <x v="8"/>
    <n v="4882.1606351021101"/>
    <n v="1781988.63181227"/>
    <n v="6415159.0745241698"/>
  </r>
  <r>
    <x v="0"/>
    <x v="0"/>
    <x v="0"/>
    <x v="1"/>
    <x v="5"/>
    <s v="DE4-W_A"/>
    <x v="8"/>
    <s v="GNR_WT_WIND_ONS"/>
    <x v="0"/>
    <x v="9"/>
    <n v="5527.4772623230201"/>
    <n v="2017529.2007478999"/>
    <n v="7263105.1226924499"/>
  </r>
  <r>
    <x v="0"/>
    <x v="0"/>
    <x v="0"/>
    <x v="1"/>
    <x v="5"/>
    <s v="DE4-W_A"/>
    <x v="8"/>
    <s v="GNR_WT_WIND_ONS"/>
    <x v="0"/>
    <x v="10"/>
    <n v="5341.9903832423097"/>
    <n v="1949826.4898834401"/>
    <n v="7019375.3635804001"/>
  </r>
  <r>
    <x v="0"/>
    <x v="0"/>
    <x v="0"/>
    <x v="1"/>
    <x v="5"/>
    <s v="DE4-W_A"/>
    <x v="8"/>
    <s v="GNR_WT_WIND_ONS"/>
    <x v="0"/>
    <x v="11"/>
    <n v="4885.9687489583403"/>
    <n v="1783378.5933697899"/>
    <n v="6420162.9361312604"/>
  </r>
  <r>
    <x v="0"/>
    <x v="0"/>
    <x v="0"/>
    <x v="1"/>
    <x v="5"/>
    <s v="DE4-W_A"/>
    <x v="8"/>
    <s v="GNR_WT_WIND_ONS"/>
    <x v="0"/>
    <x v="12"/>
    <n v="4967.0498398139798"/>
    <n v="1812973.1915321001"/>
    <n v="6526703.48951557"/>
  </r>
  <r>
    <x v="0"/>
    <x v="0"/>
    <x v="0"/>
    <x v="1"/>
    <x v="5"/>
    <s v="DE4-W_A"/>
    <x v="8"/>
    <s v="GNR_WT_WIND_ONS"/>
    <x v="0"/>
    <x v="13"/>
    <n v="5037.9759603863304"/>
    <n v="1838861.22554101"/>
    <n v="6619900.4119476397"/>
  </r>
  <r>
    <x v="0"/>
    <x v="0"/>
    <x v="0"/>
    <x v="1"/>
    <x v="5"/>
    <s v="DE4-W_A"/>
    <x v="8"/>
    <s v="GNR_WT_WIND_ONS"/>
    <x v="0"/>
    <x v="14"/>
    <n v="5063.0460432731998"/>
    <n v="1848011.8057947201"/>
    <n v="6652842.50086099"/>
  </r>
  <r>
    <x v="0"/>
    <x v="0"/>
    <x v="0"/>
    <x v="1"/>
    <x v="5"/>
    <s v="DE4-W_A"/>
    <x v="8"/>
    <s v="GNR_WT_WIND_ONS"/>
    <x v="0"/>
    <x v="15"/>
    <n v="4736.8176229225301"/>
    <n v="1728938.4323667199"/>
    <n v="6224178.3565202001"/>
  </r>
  <r>
    <x v="0"/>
    <x v="0"/>
    <x v="0"/>
    <x v="1"/>
    <x v="5"/>
    <s v="DE4-W_A"/>
    <x v="8"/>
    <s v="GNR_WT_WIND_ONS"/>
    <x v="0"/>
    <x v="16"/>
    <n v="4281.5893456919403"/>
    <n v="1562780.1111775599"/>
    <n v="5626008.4002392096"/>
  </r>
  <r>
    <x v="0"/>
    <x v="0"/>
    <x v="0"/>
    <x v="1"/>
    <x v="5"/>
    <s v="DE4-W_A"/>
    <x v="8"/>
    <s v="GNR_WT_WIND_ONS"/>
    <x v="0"/>
    <x v="17"/>
    <n v="3547.5753999029198"/>
    <n v="1294865.0209645701"/>
    <n v="4661514.0754724396"/>
  </r>
  <r>
    <x v="0"/>
    <x v="0"/>
    <x v="0"/>
    <x v="1"/>
    <x v="5"/>
    <s v="DE4-W_A"/>
    <x v="8"/>
    <s v="GNR_WT_WIND_ONS"/>
    <x v="0"/>
    <x v="18"/>
    <n v="2725.6574925991699"/>
    <n v="994864.98479869904"/>
    <n v="3581513.9452753202"/>
  </r>
  <r>
    <x v="0"/>
    <x v="0"/>
    <x v="0"/>
    <x v="1"/>
    <x v="5"/>
    <s v="DE4-W_A"/>
    <x v="8"/>
    <s v="GNR_WT_WIND_ONS"/>
    <x v="0"/>
    <x v="19"/>
    <n v="2737.7165198105799"/>
    <n v="999266.52973086201"/>
    <n v="3597359.5070310999"/>
  </r>
  <r>
    <x v="0"/>
    <x v="0"/>
    <x v="0"/>
    <x v="1"/>
    <x v="5"/>
    <s v="DE4-W_A"/>
    <x v="8"/>
    <s v="GNR_WT_WIND_ONS"/>
    <x v="0"/>
    <x v="20"/>
    <n v="2877.3473612058101"/>
    <n v="1050231.7868401201"/>
    <n v="3780834.4326244402"/>
  </r>
  <r>
    <x v="0"/>
    <x v="0"/>
    <x v="0"/>
    <x v="1"/>
    <x v="5"/>
    <s v="DE4-W_A"/>
    <x v="8"/>
    <s v="GNR_WT_WIND_ONS"/>
    <x v="0"/>
    <x v="21"/>
    <n v="3112.4983918282301"/>
    <n v="1136061.91301731"/>
    <n v="4089822.8868622999"/>
  </r>
  <r>
    <x v="0"/>
    <x v="0"/>
    <x v="0"/>
    <x v="1"/>
    <x v="5"/>
    <s v="DE4-W_A"/>
    <x v="8"/>
    <s v="GNR_WT_WIND_ONS"/>
    <x v="0"/>
    <x v="22"/>
    <n v="3250.0665048846699"/>
    <n v="1186274.2742829099"/>
    <n v="4270587.3874184601"/>
  </r>
  <r>
    <x v="0"/>
    <x v="0"/>
    <x v="0"/>
    <x v="1"/>
    <x v="5"/>
    <s v="DE4-W_A"/>
    <x v="8"/>
    <s v="GNR_WT_WIND_ONS"/>
    <x v="0"/>
    <x v="23"/>
    <n v="3289.4170147324198"/>
    <n v="1200637.21037733"/>
    <n v="4322293.9573584003"/>
  </r>
  <r>
    <x v="0"/>
    <x v="0"/>
    <x v="0"/>
    <x v="1"/>
    <x v="5"/>
    <s v="DE4-W_Offshore_A"/>
    <x v="8"/>
    <s v="GNR_WT_WIND_OFF"/>
    <x v="0"/>
    <x v="0"/>
    <n v="78.371360424669405"/>
    <n v="28605.546555004301"/>
    <n v="102979.967598016"/>
  </r>
  <r>
    <x v="0"/>
    <x v="0"/>
    <x v="0"/>
    <x v="1"/>
    <x v="5"/>
    <s v="DE4-W_Offshore_A"/>
    <x v="8"/>
    <s v="GNR_WT_WIND_OFF"/>
    <x v="0"/>
    <x v="1"/>
    <n v="72.597720111827897"/>
    <n v="26498.167840817201"/>
    <n v="95393.404226941799"/>
  </r>
  <r>
    <x v="0"/>
    <x v="0"/>
    <x v="0"/>
    <x v="1"/>
    <x v="5"/>
    <s v="DE4-W_Offshore_A"/>
    <x v="8"/>
    <s v="GNR_WT_WIND_OFF"/>
    <x v="0"/>
    <x v="2"/>
    <n v="68.848172092568802"/>
    <n v="25129.582813787601"/>
    <n v="90466.498129635394"/>
  </r>
  <r>
    <x v="0"/>
    <x v="0"/>
    <x v="0"/>
    <x v="1"/>
    <x v="5"/>
    <s v="DE4-W_Offshore_A"/>
    <x v="8"/>
    <s v="GNR_WT_WIND_OFF"/>
    <x v="0"/>
    <x v="3"/>
    <n v="62.2221732421634"/>
    <n v="22711.093233389602"/>
    <n v="81759.935640202704"/>
  </r>
  <r>
    <x v="0"/>
    <x v="0"/>
    <x v="0"/>
    <x v="1"/>
    <x v="5"/>
    <s v="DE4-W_Offshore_A"/>
    <x v="8"/>
    <s v="GNR_WT_WIND_OFF"/>
    <x v="0"/>
    <x v="4"/>
    <n v="55.473816353518899"/>
    <n v="20247.9429690344"/>
    <n v="72892.594688523895"/>
  </r>
  <r>
    <x v="0"/>
    <x v="0"/>
    <x v="0"/>
    <x v="1"/>
    <x v="5"/>
    <s v="DE4-W_Offshore_A"/>
    <x v="8"/>
    <s v="GNR_WT_WIND_OFF"/>
    <x v="0"/>
    <x v="5"/>
    <n v="52.723871290721597"/>
    <n v="19244.213021113399"/>
    <n v="69279.166876008196"/>
  </r>
  <r>
    <x v="0"/>
    <x v="0"/>
    <x v="0"/>
    <x v="1"/>
    <x v="5"/>
    <s v="DE4-W_Offshore_A"/>
    <x v="8"/>
    <s v="GNR_WT_WIND_OFF"/>
    <x v="0"/>
    <x v="6"/>
    <n v="51.856995697773399"/>
    <n v="18927.803429687301"/>
    <n v="68140.092346874299"/>
  </r>
  <r>
    <x v="0"/>
    <x v="0"/>
    <x v="0"/>
    <x v="1"/>
    <x v="5"/>
    <s v="DE4-W_Offshore_A"/>
    <x v="8"/>
    <s v="GNR_WT_WIND_OFF"/>
    <x v="0"/>
    <x v="7"/>
    <n v="53.316996696422997"/>
    <n v="19460.7037941944"/>
    <n v="70058.533659099805"/>
  </r>
  <r>
    <x v="0"/>
    <x v="0"/>
    <x v="0"/>
    <x v="1"/>
    <x v="5"/>
    <s v="DE4-W_Offshore_A"/>
    <x v="8"/>
    <s v="GNR_WT_WIND_OFF"/>
    <x v="0"/>
    <x v="8"/>
    <n v="63.8107538742168"/>
    <n v="23290.925164089102"/>
    <n v="83847.330590720798"/>
  </r>
  <r>
    <x v="0"/>
    <x v="0"/>
    <x v="0"/>
    <x v="1"/>
    <x v="5"/>
    <s v="DE4-W_Offshore_A"/>
    <x v="8"/>
    <s v="GNR_WT_WIND_OFF"/>
    <x v="0"/>
    <x v="9"/>
    <n v="72.245163052494902"/>
    <n v="26369.484514160598"/>
    <n v="94930.144250978294"/>
  </r>
  <r>
    <x v="0"/>
    <x v="0"/>
    <x v="0"/>
    <x v="1"/>
    <x v="5"/>
    <s v="DE4-W_Offshore_A"/>
    <x v="8"/>
    <s v="GNR_WT_WIND_OFF"/>
    <x v="0"/>
    <x v="10"/>
    <n v="69.820814803316793"/>
    <n v="25484.597403210599"/>
    <n v="91744.550651558297"/>
  </r>
  <r>
    <x v="0"/>
    <x v="0"/>
    <x v="0"/>
    <x v="1"/>
    <x v="5"/>
    <s v="DE4-W_Offshore_A"/>
    <x v="8"/>
    <s v="GNR_WT_WIND_OFF"/>
    <x v="0"/>
    <x v="11"/>
    <n v="63.860526635534399"/>
    <n v="23309.092221970001"/>
    <n v="83912.731999092197"/>
  </r>
  <r>
    <x v="0"/>
    <x v="0"/>
    <x v="0"/>
    <x v="1"/>
    <x v="5"/>
    <s v="DE4-W_Offshore_A"/>
    <x v="8"/>
    <s v="GNR_WT_WIND_OFF"/>
    <x v="0"/>
    <x v="12"/>
    <n v="64.920271678588307"/>
    <n v="23695.899162684698"/>
    <n v="85305.236985665004"/>
  </r>
  <r>
    <x v="0"/>
    <x v="0"/>
    <x v="0"/>
    <x v="1"/>
    <x v="5"/>
    <s v="DE4-W_Offshore_A"/>
    <x v="8"/>
    <s v="GNR_WT_WIND_OFF"/>
    <x v="0"/>
    <x v="13"/>
    <n v="65.847289358128506"/>
    <n v="24034.260615716899"/>
    <n v="86523.338216580902"/>
  </r>
  <r>
    <x v="0"/>
    <x v="0"/>
    <x v="0"/>
    <x v="1"/>
    <x v="5"/>
    <s v="DE4-W_Offshore_A"/>
    <x v="8"/>
    <s v="GNR_WT_WIND_OFF"/>
    <x v="0"/>
    <x v="14"/>
    <n v="66.174960036802702"/>
    <n v="24153.860413433002"/>
    <n v="86953.897488358794"/>
  </r>
  <r>
    <x v="0"/>
    <x v="0"/>
    <x v="0"/>
    <x v="1"/>
    <x v="5"/>
    <s v="DE4-W_Offshore_A"/>
    <x v="8"/>
    <s v="GNR_WT_WIND_OFF"/>
    <x v="0"/>
    <x v="15"/>
    <n v="61.911093483928397"/>
    <n v="22597.5491216339"/>
    <n v="81351.176837881896"/>
  </r>
  <r>
    <x v="0"/>
    <x v="0"/>
    <x v="0"/>
    <x v="1"/>
    <x v="5"/>
    <s v="DE4-W_Offshore_A"/>
    <x v="8"/>
    <s v="GNR_WT_WIND_OFF"/>
    <x v="0"/>
    <x v="16"/>
    <n v="55.961174641420399"/>
    <n v="20425.828744118498"/>
    <n v="73532.9834788265"/>
  </r>
  <r>
    <x v="0"/>
    <x v="0"/>
    <x v="0"/>
    <x v="1"/>
    <x v="5"/>
    <s v="DE4-W_Offshore_A"/>
    <x v="8"/>
    <s v="GNR_WT_WIND_OFF"/>
    <x v="0"/>
    <x v="17"/>
    <n v="46.367474897453199"/>
    <n v="16924.128337570401"/>
    <n v="60926.862015253602"/>
  </r>
  <r>
    <x v="0"/>
    <x v="0"/>
    <x v="0"/>
    <x v="1"/>
    <x v="5"/>
    <s v="DE4-W_Offshore_A"/>
    <x v="8"/>
    <s v="GNR_WT_WIND_OFF"/>
    <x v="0"/>
    <x v="18"/>
    <n v="35.624853913071497"/>
    <n v="13003.071678271101"/>
    <n v="46811.058041775897"/>
  </r>
  <r>
    <x v="0"/>
    <x v="0"/>
    <x v="0"/>
    <x v="1"/>
    <x v="5"/>
    <s v="DE4-W_Offshore_A"/>
    <x v="8"/>
    <s v="GNR_WT_WIND_OFF"/>
    <x v="0"/>
    <x v="19"/>
    <n v="35.782467657243899"/>
    <n v="13060.600694893999"/>
    <n v="47018.162501618397"/>
  </r>
  <r>
    <x v="0"/>
    <x v="0"/>
    <x v="0"/>
    <x v="1"/>
    <x v="5"/>
    <s v="DE4-W_Offshore_A"/>
    <x v="8"/>
    <s v="GNR_WT_WIND_OFF"/>
    <x v="0"/>
    <x v="20"/>
    <n v="37.607468905555798"/>
    <n v="13726.7261505279"/>
    <n v="49416.214141900302"/>
  </r>
  <r>
    <x v="0"/>
    <x v="0"/>
    <x v="0"/>
    <x v="1"/>
    <x v="5"/>
    <s v="DE4-W_Offshore_A"/>
    <x v="8"/>
    <s v="GNR_WT_WIND_OFF"/>
    <x v="0"/>
    <x v="21"/>
    <n v="40.680936916917602"/>
    <n v="14848.541974674899"/>
    <n v="53454.751108829703"/>
  </r>
  <r>
    <x v="0"/>
    <x v="0"/>
    <x v="0"/>
    <x v="1"/>
    <x v="5"/>
    <s v="DE4-W_Offshore_A"/>
    <x v="8"/>
    <s v="GNR_WT_WIND_OFF"/>
    <x v="0"/>
    <x v="22"/>
    <n v="42.478977919515799"/>
    <n v="15504.826940623299"/>
    <n v="55817.376986243798"/>
  </r>
  <r>
    <x v="0"/>
    <x v="0"/>
    <x v="0"/>
    <x v="1"/>
    <x v="5"/>
    <s v="DE4-W_Offshore_A"/>
    <x v="8"/>
    <s v="GNR_WT_WIND_OFF"/>
    <x v="0"/>
    <x v="23"/>
    <n v="42.993296453131002"/>
    <n v="15692.5532053928"/>
    <n v="56493.191539414103"/>
  </r>
  <r>
    <x v="0"/>
    <x v="0"/>
    <x v="0"/>
    <x v="2"/>
    <x v="6"/>
    <s v="NO1_A1"/>
    <x v="13"/>
    <s v="GHOB_LNG"/>
    <x v="0"/>
    <x v="0"/>
    <n v="27.0588235294118"/>
    <n v="9876.4705882352901"/>
    <n v="35555.294117647099"/>
  </r>
  <r>
    <x v="0"/>
    <x v="0"/>
    <x v="0"/>
    <x v="2"/>
    <x v="6"/>
    <s v="NO1_A1"/>
    <x v="13"/>
    <s v="GHOB_LNG"/>
    <x v="0"/>
    <x v="1"/>
    <n v="27.0588235294118"/>
    <n v="9876.4705882352901"/>
    <n v="35555.294117647099"/>
  </r>
  <r>
    <x v="0"/>
    <x v="0"/>
    <x v="0"/>
    <x v="2"/>
    <x v="6"/>
    <s v="NO1_A1"/>
    <x v="13"/>
    <s v="GHOB_LNG"/>
    <x v="0"/>
    <x v="2"/>
    <n v="27.0588235294118"/>
    <n v="9876.4705882352901"/>
    <n v="35555.294117647099"/>
  </r>
  <r>
    <x v="0"/>
    <x v="0"/>
    <x v="0"/>
    <x v="2"/>
    <x v="6"/>
    <s v="NO1_A1"/>
    <x v="13"/>
    <s v="GHOB_LNG"/>
    <x v="0"/>
    <x v="3"/>
    <n v="27.0588235294118"/>
    <n v="9876.4705882352901"/>
    <n v="35555.294117647099"/>
  </r>
  <r>
    <x v="0"/>
    <x v="0"/>
    <x v="0"/>
    <x v="2"/>
    <x v="6"/>
    <s v="NO1_A1"/>
    <x v="13"/>
    <s v="GHOB_LNG"/>
    <x v="0"/>
    <x v="4"/>
    <n v="27.0588235294118"/>
    <n v="9876.4705882352901"/>
    <n v="35555.294117647099"/>
  </r>
  <r>
    <x v="0"/>
    <x v="0"/>
    <x v="0"/>
    <x v="2"/>
    <x v="6"/>
    <s v="NO1_A1"/>
    <x v="13"/>
    <s v="GHOB_LNG"/>
    <x v="0"/>
    <x v="5"/>
    <n v="27.0588235294118"/>
    <n v="9876.4705882352901"/>
    <n v="35555.294117647099"/>
  </r>
  <r>
    <x v="0"/>
    <x v="0"/>
    <x v="0"/>
    <x v="2"/>
    <x v="6"/>
    <s v="NO1_A1"/>
    <x v="13"/>
    <s v="GHOB_LNG"/>
    <x v="0"/>
    <x v="6"/>
    <n v="27.0588235294118"/>
    <n v="9876.4705882352901"/>
    <n v="35555.294117647099"/>
  </r>
  <r>
    <x v="0"/>
    <x v="0"/>
    <x v="0"/>
    <x v="2"/>
    <x v="6"/>
    <s v="NO1_A1"/>
    <x v="13"/>
    <s v="GHOB_LNG"/>
    <x v="0"/>
    <x v="7"/>
    <n v="27.0588235294118"/>
    <n v="9876.4705882352901"/>
    <n v="35555.294117647099"/>
  </r>
  <r>
    <x v="0"/>
    <x v="0"/>
    <x v="0"/>
    <x v="2"/>
    <x v="6"/>
    <s v="NO1_A1"/>
    <x v="13"/>
    <s v="GHOB_LNG"/>
    <x v="0"/>
    <x v="8"/>
    <n v="27.0588235294118"/>
    <n v="9876.4705882352901"/>
    <n v="35555.294117647099"/>
  </r>
  <r>
    <x v="0"/>
    <x v="0"/>
    <x v="0"/>
    <x v="2"/>
    <x v="6"/>
    <s v="NO1_A1"/>
    <x v="13"/>
    <s v="GHOB_LNG"/>
    <x v="0"/>
    <x v="9"/>
    <n v="27.0588235294118"/>
    <n v="9876.4705882352901"/>
    <n v="35555.294117647099"/>
  </r>
  <r>
    <x v="0"/>
    <x v="0"/>
    <x v="0"/>
    <x v="2"/>
    <x v="6"/>
    <s v="NO1_A1"/>
    <x v="13"/>
    <s v="GHOB_LNG"/>
    <x v="0"/>
    <x v="10"/>
    <n v="27.0588235294118"/>
    <n v="9876.4705882352901"/>
    <n v="35555.294117647099"/>
  </r>
  <r>
    <x v="0"/>
    <x v="0"/>
    <x v="0"/>
    <x v="2"/>
    <x v="6"/>
    <s v="NO1_A1"/>
    <x v="13"/>
    <s v="GHOB_LNG"/>
    <x v="0"/>
    <x v="11"/>
    <n v="27.0588235294118"/>
    <n v="9876.4705882352901"/>
    <n v="35555.294117647099"/>
  </r>
  <r>
    <x v="0"/>
    <x v="0"/>
    <x v="0"/>
    <x v="2"/>
    <x v="6"/>
    <s v="NO1_A1"/>
    <x v="13"/>
    <s v="GHOB_LNG"/>
    <x v="0"/>
    <x v="12"/>
    <n v="27.0588235294118"/>
    <n v="9876.4705882352901"/>
    <n v="35555.294117647099"/>
  </r>
  <r>
    <x v="0"/>
    <x v="0"/>
    <x v="0"/>
    <x v="2"/>
    <x v="6"/>
    <s v="NO1_A1"/>
    <x v="13"/>
    <s v="GHOB_LNG"/>
    <x v="0"/>
    <x v="13"/>
    <n v="27.0588235294118"/>
    <n v="9876.4705882352901"/>
    <n v="35555.294117647099"/>
  </r>
  <r>
    <x v="0"/>
    <x v="0"/>
    <x v="0"/>
    <x v="2"/>
    <x v="6"/>
    <s v="NO1_A1"/>
    <x v="13"/>
    <s v="GHOB_LNG"/>
    <x v="0"/>
    <x v="14"/>
    <n v="27.0588235294118"/>
    <n v="9876.4705882352901"/>
    <n v="35555.294117647099"/>
  </r>
  <r>
    <x v="0"/>
    <x v="0"/>
    <x v="0"/>
    <x v="2"/>
    <x v="6"/>
    <s v="NO1_A1"/>
    <x v="13"/>
    <s v="GHOB_LNG"/>
    <x v="0"/>
    <x v="15"/>
    <n v="27.0588235294118"/>
    <n v="9876.4705882352901"/>
    <n v="35555.294117647099"/>
  </r>
  <r>
    <x v="0"/>
    <x v="0"/>
    <x v="0"/>
    <x v="2"/>
    <x v="6"/>
    <s v="NO1_A1"/>
    <x v="13"/>
    <s v="GHOB_LNG"/>
    <x v="0"/>
    <x v="16"/>
    <n v="27.0588235294118"/>
    <n v="9876.4705882352901"/>
    <n v="35555.294117647099"/>
  </r>
  <r>
    <x v="0"/>
    <x v="0"/>
    <x v="0"/>
    <x v="2"/>
    <x v="6"/>
    <s v="NO1_A1"/>
    <x v="13"/>
    <s v="GHOB_LNG"/>
    <x v="0"/>
    <x v="17"/>
    <n v="27.0588235294118"/>
    <n v="9876.4705882352901"/>
    <n v="35555.294117647099"/>
  </r>
  <r>
    <x v="0"/>
    <x v="0"/>
    <x v="0"/>
    <x v="2"/>
    <x v="6"/>
    <s v="NO1_A1"/>
    <x v="13"/>
    <s v="GHOB_LNG"/>
    <x v="0"/>
    <x v="18"/>
    <n v="27.0588235294118"/>
    <n v="9876.4705882352901"/>
    <n v="35555.294117647099"/>
  </r>
  <r>
    <x v="0"/>
    <x v="0"/>
    <x v="0"/>
    <x v="2"/>
    <x v="6"/>
    <s v="NO1_A1"/>
    <x v="13"/>
    <s v="GHOB_LNG"/>
    <x v="0"/>
    <x v="19"/>
    <n v="27.0588235294118"/>
    <n v="9876.4705882352901"/>
    <n v="35555.294117647099"/>
  </r>
  <r>
    <x v="0"/>
    <x v="0"/>
    <x v="0"/>
    <x v="2"/>
    <x v="6"/>
    <s v="NO1_A1"/>
    <x v="13"/>
    <s v="GHOB_LNG"/>
    <x v="0"/>
    <x v="20"/>
    <n v="27.0588235294118"/>
    <n v="9876.4705882352901"/>
    <n v="35555.294117647099"/>
  </r>
  <r>
    <x v="0"/>
    <x v="0"/>
    <x v="0"/>
    <x v="2"/>
    <x v="6"/>
    <s v="NO1_A1"/>
    <x v="13"/>
    <s v="GHOB_LNG"/>
    <x v="0"/>
    <x v="21"/>
    <n v="27.0588235294118"/>
    <n v="9876.4705882352901"/>
    <n v="35555.294117647099"/>
  </r>
  <r>
    <x v="0"/>
    <x v="0"/>
    <x v="0"/>
    <x v="2"/>
    <x v="6"/>
    <s v="NO1_A1"/>
    <x v="13"/>
    <s v="GHOB_LNG"/>
    <x v="0"/>
    <x v="22"/>
    <n v="27.0588235294118"/>
    <n v="9876.4705882352901"/>
    <n v="35555.294117647099"/>
  </r>
  <r>
    <x v="0"/>
    <x v="0"/>
    <x v="0"/>
    <x v="2"/>
    <x v="6"/>
    <s v="NO1_A1"/>
    <x v="13"/>
    <s v="GHOB_LNG"/>
    <x v="0"/>
    <x v="23"/>
    <n v="27.0588235294118"/>
    <n v="9876.4705882352901"/>
    <n v="35555.294117647099"/>
  </r>
  <r>
    <x v="0"/>
    <x v="0"/>
    <x v="0"/>
    <x v="2"/>
    <x v="6"/>
    <s v="NO1_A1"/>
    <x v="13"/>
    <s v="GHOB_LPG"/>
    <x v="0"/>
    <x v="0"/>
    <n v="48.941176470588204"/>
    <n v="17863.529411764699"/>
    <n v="64308.705882352901"/>
  </r>
  <r>
    <x v="0"/>
    <x v="0"/>
    <x v="0"/>
    <x v="2"/>
    <x v="6"/>
    <s v="NO1_A1"/>
    <x v="13"/>
    <s v="GHOB_LPG"/>
    <x v="0"/>
    <x v="1"/>
    <n v="48.941176470588204"/>
    <n v="17863.529411764699"/>
    <n v="64308.705882352901"/>
  </r>
  <r>
    <x v="0"/>
    <x v="0"/>
    <x v="0"/>
    <x v="2"/>
    <x v="6"/>
    <s v="NO1_A1"/>
    <x v="13"/>
    <s v="GHOB_LPG"/>
    <x v="0"/>
    <x v="2"/>
    <n v="48.941176470588204"/>
    <n v="17863.529411764699"/>
    <n v="64308.705882352901"/>
  </r>
  <r>
    <x v="0"/>
    <x v="0"/>
    <x v="0"/>
    <x v="2"/>
    <x v="6"/>
    <s v="NO1_A1"/>
    <x v="13"/>
    <s v="GHOB_LPG"/>
    <x v="0"/>
    <x v="3"/>
    <n v="48.941176470588204"/>
    <n v="17863.529411764699"/>
    <n v="64308.705882352901"/>
  </r>
  <r>
    <x v="0"/>
    <x v="0"/>
    <x v="0"/>
    <x v="2"/>
    <x v="6"/>
    <s v="NO1_A1"/>
    <x v="13"/>
    <s v="GHOB_LPG"/>
    <x v="0"/>
    <x v="4"/>
    <n v="48.941176470588204"/>
    <n v="17863.529411764699"/>
    <n v="64308.705882352901"/>
  </r>
  <r>
    <x v="0"/>
    <x v="0"/>
    <x v="0"/>
    <x v="2"/>
    <x v="6"/>
    <s v="NO1_A1"/>
    <x v="13"/>
    <s v="GHOB_LPG"/>
    <x v="0"/>
    <x v="5"/>
    <n v="48.941176470588204"/>
    <n v="17863.529411764699"/>
    <n v="64308.705882352901"/>
  </r>
  <r>
    <x v="0"/>
    <x v="0"/>
    <x v="0"/>
    <x v="2"/>
    <x v="6"/>
    <s v="NO1_A1"/>
    <x v="13"/>
    <s v="GHOB_LPG"/>
    <x v="0"/>
    <x v="6"/>
    <n v="48.941176470588204"/>
    <n v="17863.529411764699"/>
    <n v="64308.705882352901"/>
  </r>
  <r>
    <x v="0"/>
    <x v="0"/>
    <x v="0"/>
    <x v="2"/>
    <x v="6"/>
    <s v="NO1_A1"/>
    <x v="13"/>
    <s v="GHOB_LPG"/>
    <x v="0"/>
    <x v="7"/>
    <n v="48.941176470588204"/>
    <n v="17863.529411764699"/>
    <n v="64308.705882352901"/>
  </r>
  <r>
    <x v="0"/>
    <x v="0"/>
    <x v="0"/>
    <x v="2"/>
    <x v="6"/>
    <s v="NO1_A1"/>
    <x v="13"/>
    <s v="GHOB_LPG"/>
    <x v="0"/>
    <x v="8"/>
    <n v="48.941176470588204"/>
    <n v="17863.529411764699"/>
    <n v="64308.705882352901"/>
  </r>
  <r>
    <x v="0"/>
    <x v="0"/>
    <x v="0"/>
    <x v="2"/>
    <x v="6"/>
    <s v="NO1_A1"/>
    <x v="13"/>
    <s v="GHOB_LPG"/>
    <x v="0"/>
    <x v="9"/>
    <n v="48.941176470588204"/>
    <n v="17863.529411764699"/>
    <n v="64308.705882352901"/>
  </r>
  <r>
    <x v="0"/>
    <x v="0"/>
    <x v="0"/>
    <x v="2"/>
    <x v="6"/>
    <s v="NO1_A1"/>
    <x v="13"/>
    <s v="GHOB_LPG"/>
    <x v="0"/>
    <x v="10"/>
    <n v="48.941176470588204"/>
    <n v="17863.529411764699"/>
    <n v="64308.705882352901"/>
  </r>
  <r>
    <x v="0"/>
    <x v="0"/>
    <x v="0"/>
    <x v="2"/>
    <x v="6"/>
    <s v="NO1_A1"/>
    <x v="13"/>
    <s v="GHOB_LPG"/>
    <x v="0"/>
    <x v="11"/>
    <n v="48.941176470588204"/>
    <n v="17863.529411764699"/>
    <n v="64308.705882352901"/>
  </r>
  <r>
    <x v="0"/>
    <x v="0"/>
    <x v="0"/>
    <x v="2"/>
    <x v="6"/>
    <s v="NO1_A1"/>
    <x v="13"/>
    <s v="GHOB_LPG"/>
    <x v="0"/>
    <x v="12"/>
    <n v="48.941176470588204"/>
    <n v="17863.529411764699"/>
    <n v="64308.705882352901"/>
  </r>
  <r>
    <x v="0"/>
    <x v="0"/>
    <x v="0"/>
    <x v="2"/>
    <x v="6"/>
    <s v="NO1_A1"/>
    <x v="13"/>
    <s v="GHOB_LPG"/>
    <x v="0"/>
    <x v="13"/>
    <n v="48.941176470588204"/>
    <n v="17863.529411764699"/>
    <n v="64308.705882352901"/>
  </r>
  <r>
    <x v="0"/>
    <x v="0"/>
    <x v="0"/>
    <x v="2"/>
    <x v="6"/>
    <s v="NO1_A1"/>
    <x v="13"/>
    <s v="GHOB_LPG"/>
    <x v="0"/>
    <x v="14"/>
    <n v="48.941176470588204"/>
    <n v="17863.529411764699"/>
    <n v="64308.705882352901"/>
  </r>
  <r>
    <x v="0"/>
    <x v="0"/>
    <x v="0"/>
    <x v="2"/>
    <x v="6"/>
    <s v="NO1_A1"/>
    <x v="13"/>
    <s v="GHOB_LPG"/>
    <x v="0"/>
    <x v="15"/>
    <n v="48.941176470588204"/>
    <n v="17863.529411764699"/>
    <n v="64308.705882352901"/>
  </r>
  <r>
    <x v="0"/>
    <x v="0"/>
    <x v="0"/>
    <x v="2"/>
    <x v="6"/>
    <s v="NO1_A1"/>
    <x v="13"/>
    <s v="GHOB_LPG"/>
    <x v="0"/>
    <x v="16"/>
    <n v="48.941176470588204"/>
    <n v="17863.529411764699"/>
    <n v="64308.705882352901"/>
  </r>
  <r>
    <x v="0"/>
    <x v="0"/>
    <x v="0"/>
    <x v="2"/>
    <x v="6"/>
    <s v="NO1_A1"/>
    <x v="13"/>
    <s v="GHOB_LPG"/>
    <x v="0"/>
    <x v="17"/>
    <n v="48.941176470588204"/>
    <n v="17863.529411764699"/>
    <n v="64308.705882352901"/>
  </r>
  <r>
    <x v="0"/>
    <x v="0"/>
    <x v="0"/>
    <x v="2"/>
    <x v="6"/>
    <s v="NO1_A1"/>
    <x v="13"/>
    <s v="GHOB_LPG"/>
    <x v="0"/>
    <x v="18"/>
    <n v="48.941176470588204"/>
    <n v="17863.529411764699"/>
    <n v="64308.705882352901"/>
  </r>
  <r>
    <x v="0"/>
    <x v="0"/>
    <x v="0"/>
    <x v="2"/>
    <x v="6"/>
    <s v="NO1_A1"/>
    <x v="13"/>
    <s v="GHOB_LPG"/>
    <x v="0"/>
    <x v="19"/>
    <n v="48.941176470588204"/>
    <n v="17863.529411764699"/>
    <n v="64308.705882352901"/>
  </r>
  <r>
    <x v="0"/>
    <x v="0"/>
    <x v="0"/>
    <x v="2"/>
    <x v="6"/>
    <s v="NO1_A1"/>
    <x v="13"/>
    <s v="GHOB_LPG"/>
    <x v="0"/>
    <x v="20"/>
    <n v="48.941176470588204"/>
    <n v="17863.529411764699"/>
    <n v="64308.705882352901"/>
  </r>
  <r>
    <x v="0"/>
    <x v="0"/>
    <x v="0"/>
    <x v="2"/>
    <x v="6"/>
    <s v="NO1_A1"/>
    <x v="13"/>
    <s v="GHOB_LPG"/>
    <x v="0"/>
    <x v="21"/>
    <n v="48.941176470588204"/>
    <n v="17863.529411764699"/>
    <n v="64308.705882352901"/>
  </r>
  <r>
    <x v="0"/>
    <x v="0"/>
    <x v="0"/>
    <x v="2"/>
    <x v="6"/>
    <s v="NO1_A1"/>
    <x v="13"/>
    <s v="GHOB_LPG"/>
    <x v="0"/>
    <x v="22"/>
    <n v="48.941176470588204"/>
    <n v="17863.529411764699"/>
    <n v="64308.705882352901"/>
  </r>
  <r>
    <x v="0"/>
    <x v="0"/>
    <x v="0"/>
    <x v="2"/>
    <x v="6"/>
    <s v="NO1_A1"/>
    <x v="13"/>
    <s v="GHOB_LPG"/>
    <x v="0"/>
    <x v="23"/>
    <n v="48.941176470588204"/>
    <n v="17863.529411764699"/>
    <n v="64308.705882352901"/>
  </r>
  <r>
    <x v="0"/>
    <x v="0"/>
    <x v="0"/>
    <x v="2"/>
    <x v="6"/>
    <s v="NO1_A1"/>
    <x v="1"/>
    <s v="GBPR_MUNIWASTE"/>
    <x v="0"/>
    <x v="0"/>
    <n v="38.501792114695299"/>
    <n v="14053.154121863799"/>
    <n v="50591.354838709703"/>
  </r>
  <r>
    <x v="0"/>
    <x v="0"/>
    <x v="0"/>
    <x v="2"/>
    <x v="6"/>
    <s v="NO1_A1"/>
    <x v="1"/>
    <s v="GBPR_MUNIWASTE"/>
    <x v="0"/>
    <x v="1"/>
    <n v="38.501792114695299"/>
    <n v="14053.154121863799"/>
    <n v="50591.354838709703"/>
  </r>
  <r>
    <x v="0"/>
    <x v="0"/>
    <x v="0"/>
    <x v="2"/>
    <x v="6"/>
    <s v="NO1_A1"/>
    <x v="1"/>
    <s v="GBPR_MUNIWASTE"/>
    <x v="0"/>
    <x v="2"/>
    <n v="38.501792114695299"/>
    <n v="14053.154121863799"/>
    <n v="50591.354838709703"/>
  </r>
  <r>
    <x v="0"/>
    <x v="0"/>
    <x v="0"/>
    <x v="2"/>
    <x v="6"/>
    <s v="NO1_A1"/>
    <x v="1"/>
    <s v="GBPR_MUNIWASTE"/>
    <x v="0"/>
    <x v="3"/>
    <n v="38.501792114695299"/>
    <n v="14053.154121863799"/>
    <n v="50591.354838709703"/>
  </r>
  <r>
    <x v="0"/>
    <x v="0"/>
    <x v="0"/>
    <x v="2"/>
    <x v="6"/>
    <s v="NO1_A1"/>
    <x v="1"/>
    <s v="GBPR_MUNIWASTE"/>
    <x v="0"/>
    <x v="4"/>
    <n v="38.501792114695299"/>
    <n v="14053.154121863799"/>
    <n v="50591.354838709703"/>
  </r>
  <r>
    <x v="0"/>
    <x v="0"/>
    <x v="0"/>
    <x v="2"/>
    <x v="6"/>
    <s v="NO1_A1"/>
    <x v="1"/>
    <s v="GBPR_MUNIWASTE"/>
    <x v="0"/>
    <x v="5"/>
    <n v="38.501792114695299"/>
    <n v="14053.154121863799"/>
    <n v="50591.354838709703"/>
  </r>
  <r>
    <x v="0"/>
    <x v="0"/>
    <x v="0"/>
    <x v="2"/>
    <x v="6"/>
    <s v="NO1_A1"/>
    <x v="1"/>
    <s v="GBPR_MUNIWASTE"/>
    <x v="0"/>
    <x v="6"/>
    <n v="38.501792114695299"/>
    <n v="14053.154121863799"/>
    <n v="50591.354838709703"/>
  </r>
  <r>
    <x v="0"/>
    <x v="0"/>
    <x v="0"/>
    <x v="2"/>
    <x v="6"/>
    <s v="NO1_A1"/>
    <x v="1"/>
    <s v="GBPR_MUNIWASTE"/>
    <x v="0"/>
    <x v="7"/>
    <n v="38.501792114695299"/>
    <n v="14053.154121863799"/>
    <n v="50591.354838709703"/>
  </r>
  <r>
    <x v="0"/>
    <x v="0"/>
    <x v="0"/>
    <x v="2"/>
    <x v="6"/>
    <s v="NO1_A1"/>
    <x v="1"/>
    <s v="GBPR_MUNIWASTE"/>
    <x v="0"/>
    <x v="8"/>
    <n v="38.501792114695299"/>
    <n v="14053.154121863799"/>
    <n v="50591.354838709703"/>
  </r>
  <r>
    <x v="0"/>
    <x v="0"/>
    <x v="0"/>
    <x v="2"/>
    <x v="6"/>
    <s v="NO1_A1"/>
    <x v="1"/>
    <s v="GBPR_MUNIWASTE"/>
    <x v="0"/>
    <x v="9"/>
    <n v="38.501792114695299"/>
    <n v="14053.154121863799"/>
    <n v="50591.354838709703"/>
  </r>
  <r>
    <x v="0"/>
    <x v="0"/>
    <x v="0"/>
    <x v="2"/>
    <x v="6"/>
    <s v="NO1_A1"/>
    <x v="1"/>
    <s v="GBPR_MUNIWASTE"/>
    <x v="0"/>
    <x v="10"/>
    <n v="38.501792114695299"/>
    <n v="14053.154121863799"/>
    <n v="50591.354838709703"/>
  </r>
  <r>
    <x v="0"/>
    <x v="0"/>
    <x v="0"/>
    <x v="2"/>
    <x v="6"/>
    <s v="NO1_A1"/>
    <x v="1"/>
    <s v="GBPR_MUNIWASTE"/>
    <x v="0"/>
    <x v="11"/>
    <n v="38.501792114695299"/>
    <n v="14053.154121863799"/>
    <n v="50591.354838709703"/>
  </r>
  <r>
    <x v="0"/>
    <x v="0"/>
    <x v="0"/>
    <x v="2"/>
    <x v="6"/>
    <s v="NO1_A1"/>
    <x v="1"/>
    <s v="GBPR_MUNIWASTE"/>
    <x v="0"/>
    <x v="12"/>
    <n v="38.501792114695299"/>
    <n v="14053.154121863799"/>
    <n v="50591.354838709703"/>
  </r>
  <r>
    <x v="0"/>
    <x v="0"/>
    <x v="0"/>
    <x v="2"/>
    <x v="6"/>
    <s v="NO1_A1"/>
    <x v="1"/>
    <s v="GBPR_MUNIWASTE"/>
    <x v="0"/>
    <x v="13"/>
    <n v="38.501792114695299"/>
    <n v="14053.154121863799"/>
    <n v="50591.354838709703"/>
  </r>
  <r>
    <x v="0"/>
    <x v="0"/>
    <x v="0"/>
    <x v="2"/>
    <x v="6"/>
    <s v="NO1_A1"/>
    <x v="1"/>
    <s v="GBPR_MUNIWASTE"/>
    <x v="0"/>
    <x v="14"/>
    <n v="38.501792114695299"/>
    <n v="14053.154121863799"/>
    <n v="50591.354838709703"/>
  </r>
  <r>
    <x v="0"/>
    <x v="0"/>
    <x v="0"/>
    <x v="2"/>
    <x v="6"/>
    <s v="NO1_A1"/>
    <x v="1"/>
    <s v="GBPR_MUNIWASTE"/>
    <x v="0"/>
    <x v="15"/>
    <n v="38.501792114695299"/>
    <n v="14053.154121863799"/>
    <n v="50591.354838709703"/>
  </r>
  <r>
    <x v="0"/>
    <x v="0"/>
    <x v="0"/>
    <x v="2"/>
    <x v="6"/>
    <s v="NO1_A1"/>
    <x v="1"/>
    <s v="GBPR_MUNIWASTE"/>
    <x v="0"/>
    <x v="16"/>
    <n v="38.501792114695299"/>
    <n v="14053.154121863799"/>
    <n v="50591.354838709703"/>
  </r>
  <r>
    <x v="0"/>
    <x v="0"/>
    <x v="0"/>
    <x v="2"/>
    <x v="6"/>
    <s v="NO1_A1"/>
    <x v="1"/>
    <s v="GBPR_MUNIWASTE"/>
    <x v="0"/>
    <x v="17"/>
    <n v="38.501792114695299"/>
    <n v="14053.154121863799"/>
    <n v="50591.354838709703"/>
  </r>
  <r>
    <x v="0"/>
    <x v="0"/>
    <x v="0"/>
    <x v="2"/>
    <x v="6"/>
    <s v="NO1_A1"/>
    <x v="1"/>
    <s v="GBPR_MUNIWASTE"/>
    <x v="0"/>
    <x v="18"/>
    <n v="38.501792114695299"/>
    <n v="14053.154121863799"/>
    <n v="50591.354838709703"/>
  </r>
  <r>
    <x v="0"/>
    <x v="0"/>
    <x v="0"/>
    <x v="2"/>
    <x v="6"/>
    <s v="NO1_A1"/>
    <x v="1"/>
    <s v="GBPR_MUNIWASTE"/>
    <x v="0"/>
    <x v="19"/>
    <n v="38.501792114695299"/>
    <n v="14053.154121863799"/>
    <n v="50591.354838709703"/>
  </r>
  <r>
    <x v="0"/>
    <x v="0"/>
    <x v="0"/>
    <x v="2"/>
    <x v="6"/>
    <s v="NO1_A1"/>
    <x v="1"/>
    <s v="GBPR_MUNIWASTE"/>
    <x v="0"/>
    <x v="20"/>
    <n v="38.501792114695299"/>
    <n v="14053.154121863799"/>
    <n v="50591.354838709703"/>
  </r>
  <r>
    <x v="0"/>
    <x v="0"/>
    <x v="0"/>
    <x v="2"/>
    <x v="6"/>
    <s v="NO1_A1"/>
    <x v="1"/>
    <s v="GBPR_MUNIWASTE"/>
    <x v="0"/>
    <x v="21"/>
    <n v="38.501792114695299"/>
    <n v="14053.154121863799"/>
    <n v="50591.354838709703"/>
  </r>
  <r>
    <x v="0"/>
    <x v="0"/>
    <x v="0"/>
    <x v="2"/>
    <x v="6"/>
    <s v="NO1_A1"/>
    <x v="1"/>
    <s v="GBPR_MUNIWASTE"/>
    <x v="0"/>
    <x v="22"/>
    <n v="38.501792114695299"/>
    <n v="14053.154121863799"/>
    <n v="50591.354838709703"/>
  </r>
  <r>
    <x v="0"/>
    <x v="0"/>
    <x v="0"/>
    <x v="2"/>
    <x v="6"/>
    <s v="NO1_A1"/>
    <x v="1"/>
    <s v="GBPR_MUNIWASTE"/>
    <x v="0"/>
    <x v="23"/>
    <n v="38.501792114695299"/>
    <n v="14053.154121863799"/>
    <n v="50591.354838709703"/>
  </r>
  <r>
    <x v="0"/>
    <x v="0"/>
    <x v="0"/>
    <x v="2"/>
    <x v="6"/>
    <s v="NO1_A1"/>
    <x v="1"/>
    <s v="GHOB_MUNIWASTE"/>
    <x v="0"/>
    <x v="0"/>
    <n v="8.7576470588235296"/>
    <n v="3196.54117647059"/>
    <n v="11507.5482352941"/>
  </r>
  <r>
    <x v="0"/>
    <x v="0"/>
    <x v="0"/>
    <x v="2"/>
    <x v="6"/>
    <s v="NO1_A1"/>
    <x v="1"/>
    <s v="GHOB_MUNIWASTE"/>
    <x v="0"/>
    <x v="1"/>
    <n v="8.7576470588235296"/>
    <n v="3196.54117647059"/>
    <n v="11507.5482352941"/>
  </r>
  <r>
    <x v="0"/>
    <x v="0"/>
    <x v="0"/>
    <x v="2"/>
    <x v="6"/>
    <s v="NO1_A1"/>
    <x v="1"/>
    <s v="GHOB_MUNIWASTE"/>
    <x v="0"/>
    <x v="2"/>
    <n v="8.7576470588235296"/>
    <n v="3196.54117647059"/>
    <n v="11507.5482352941"/>
  </r>
  <r>
    <x v="0"/>
    <x v="0"/>
    <x v="0"/>
    <x v="2"/>
    <x v="6"/>
    <s v="NO1_A1"/>
    <x v="1"/>
    <s v="GHOB_MUNIWASTE"/>
    <x v="0"/>
    <x v="3"/>
    <n v="8.7576470588235296"/>
    <n v="3196.54117647059"/>
    <n v="11507.5482352941"/>
  </r>
  <r>
    <x v="0"/>
    <x v="0"/>
    <x v="0"/>
    <x v="2"/>
    <x v="6"/>
    <s v="NO1_A1"/>
    <x v="1"/>
    <s v="GHOB_MUNIWASTE"/>
    <x v="0"/>
    <x v="4"/>
    <n v="8.7576470588235296"/>
    <n v="3196.54117647059"/>
    <n v="11507.5482352941"/>
  </r>
  <r>
    <x v="0"/>
    <x v="0"/>
    <x v="0"/>
    <x v="2"/>
    <x v="6"/>
    <s v="NO1_A1"/>
    <x v="1"/>
    <s v="GHOB_MUNIWASTE"/>
    <x v="0"/>
    <x v="5"/>
    <n v="8.7576470588235296"/>
    <n v="3196.54117647059"/>
    <n v="11507.5482352941"/>
  </r>
  <r>
    <x v="0"/>
    <x v="0"/>
    <x v="0"/>
    <x v="2"/>
    <x v="6"/>
    <s v="NO1_A1"/>
    <x v="1"/>
    <s v="GHOB_MUNIWASTE"/>
    <x v="0"/>
    <x v="6"/>
    <n v="8.7576470588235296"/>
    <n v="3196.54117647059"/>
    <n v="11507.5482352941"/>
  </r>
  <r>
    <x v="0"/>
    <x v="0"/>
    <x v="0"/>
    <x v="2"/>
    <x v="6"/>
    <s v="NO1_A1"/>
    <x v="1"/>
    <s v="GHOB_MUNIWASTE"/>
    <x v="0"/>
    <x v="7"/>
    <n v="8.7576470588235296"/>
    <n v="3196.54117647059"/>
    <n v="11507.5482352941"/>
  </r>
  <r>
    <x v="0"/>
    <x v="0"/>
    <x v="0"/>
    <x v="2"/>
    <x v="6"/>
    <s v="NO1_A1"/>
    <x v="1"/>
    <s v="GHOB_MUNIWASTE"/>
    <x v="0"/>
    <x v="8"/>
    <n v="8.7576470588235296"/>
    <n v="3196.54117647059"/>
    <n v="11507.5482352941"/>
  </r>
  <r>
    <x v="0"/>
    <x v="0"/>
    <x v="0"/>
    <x v="2"/>
    <x v="6"/>
    <s v="NO1_A1"/>
    <x v="1"/>
    <s v="GHOB_MUNIWASTE"/>
    <x v="0"/>
    <x v="9"/>
    <n v="8.7576470588235296"/>
    <n v="3196.54117647059"/>
    <n v="11507.5482352941"/>
  </r>
  <r>
    <x v="0"/>
    <x v="0"/>
    <x v="0"/>
    <x v="2"/>
    <x v="6"/>
    <s v="NO1_A1"/>
    <x v="1"/>
    <s v="GHOB_MUNIWASTE"/>
    <x v="0"/>
    <x v="10"/>
    <n v="8.7576470588235296"/>
    <n v="3196.54117647059"/>
    <n v="11507.5482352941"/>
  </r>
  <r>
    <x v="0"/>
    <x v="0"/>
    <x v="0"/>
    <x v="2"/>
    <x v="6"/>
    <s v="NO1_A1"/>
    <x v="1"/>
    <s v="GHOB_MUNIWASTE"/>
    <x v="0"/>
    <x v="11"/>
    <n v="8.7576470588235296"/>
    <n v="3196.54117647059"/>
    <n v="11507.5482352941"/>
  </r>
  <r>
    <x v="0"/>
    <x v="0"/>
    <x v="0"/>
    <x v="2"/>
    <x v="6"/>
    <s v="NO1_A1"/>
    <x v="1"/>
    <s v="GHOB_MUNIWASTE"/>
    <x v="0"/>
    <x v="12"/>
    <n v="8.7576470588235296"/>
    <n v="3196.54117647059"/>
    <n v="11507.5482352941"/>
  </r>
  <r>
    <x v="0"/>
    <x v="0"/>
    <x v="0"/>
    <x v="2"/>
    <x v="6"/>
    <s v="NO1_A1"/>
    <x v="1"/>
    <s v="GHOB_MUNIWASTE"/>
    <x v="0"/>
    <x v="13"/>
    <n v="8.7576470588235296"/>
    <n v="3196.54117647059"/>
    <n v="11507.5482352941"/>
  </r>
  <r>
    <x v="0"/>
    <x v="0"/>
    <x v="0"/>
    <x v="2"/>
    <x v="6"/>
    <s v="NO1_A1"/>
    <x v="1"/>
    <s v="GHOB_MUNIWASTE"/>
    <x v="0"/>
    <x v="14"/>
    <n v="8.7576470588235296"/>
    <n v="3196.54117647059"/>
    <n v="11507.5482352941"/>
  </r>
  <r>
    <x v="0"/>
    <x v="0"/>
    <x v="0"/>
    <x v="2"/>
    <x v="6"/>
    <s v="NO1_A1"/>
    <x v="1"/>
    <s v="GHOB_MUNIWASTE"/>
    <x v="0"/>
    <x v="15"/>
    <n v="8.7576470588235296"/>
    <n v="3196.54117647059"/>
    <n v="11507.5482352941"/>
  </r>
  <r>
    <x v="0"/>
    <x v="0"/>
    <x v="0"/>
    <x v="2"/>
    <x v="6"/>
    <s v="NO1_A1"/>
    <x v="1"/>
    <s v="GHOB_MUNIWASTE"/>
    <x v="0"/>
    <x v="16"/>
    <n v="8.7576470588235296"/>
    <n v="3196.54117647059"/>
    <n v="11507.5482352941"/>
  </r>
  <r>
    <x v="0"/>
    <x v="0"/>
    <x v="0"/>
    <x v="2"/>
    <x v="6"/>
    <s v="NO1_A1"/>
    <x v="1"/>
    <s v="GHOB_MUNIWASTE"/>
    <x v="0"/>
    <x v="17"/>
    <n v="8.7576470588235296"/>
    <n v="3196.54117647059"/>
    <n v="11507.5482352941"/>
  </r>
  <r>
    <x v="0"/>
    <x v="0"/>
    <x v="0"/>
    <x v="2"/>
    <x v="6"/>
    <s v="NO1_A1"/>
    <x v="1"/>
    <s v="GHOB_MUNIWASTE"/>
    <x v="0"/>
    <x v="18"/>
    <n v="8.7576470588235296"/>
    <n v="3196.54117647059"/>
    <n v="11507.5482352941"/>
  </r>
  <r>
    <x v="0"/>
    <x v="0"/>
    <x v="0"/>
    <x v="2"/>
    <x v="6"/>
    <s v="NO1_A1"/>
    <x v="1"/>
    <s v="GHOB_MUNIWASTE"/>
    <x v="0"/>
    <x v="19"/>
    <n v="8.7576470588235296"/>
    <n v="3196.54117647059"/>
    <n v="11507.5482352941"/>
  </r>
  <r>
    <x v="0"/>
    <x v="0"/>
    <x v="0"/>
    <x v="2"/>
    <x v="6"/>
    <s v="NO1_A1"/>
    <x v="1"/>
    <s v="GHOB_MUNIWASTE"/>
    <x v="0"/>
    <x v="20"/>
    <n v="8.7576470588235296"/>
    <n v="3196.54117647059"/>
    <n v="11507.5482352941"/>
  </r>
  <r>
    <x v="0"/>
    <x v="0"/>
    <x v="0"/>
    <x v="2"/>
    <x v="6"/>
    <s v="NO1_A1"/>
    <x v="1"/>
    <s v="GHOB_MUNIWASTE"/>
    <x v="0"/>
    <x v="21"/>
    <n v="8.7576470588235296"/>
    <n v="3196.54117647059"/>
    <n v="11507.5482352941"/>
  </r>
  <r>
    <x v="0"/>
    <x v="0"/>
    <x v="0"/>
    <x v="2"/>
    <x v="6"/>
    <s v="NO1_A1"/>
    <x v="1"/>
    <s v="GHOB_MUNIWASTE"/>
    <x v="0"/>
    <x v="22"/>
    <n v="8.7576470588235296"/>
    <n v="3196.54117647059"/>
    <n v="11507.5482352941"/>
  </r>
  <r>
    <x v="0"/>
    <x v="0"/>
    <x v="0"/>
    <x v="2"/>
    <x v="6"/>
    <s v="NO1_A1"/>
    <x v="1"/>
    <s v="GHOB_MUNIWASTE"/>
    <x v="0"/>
    <x v="23"/>
    <n v="8.7576470588235296"/>
    <n v="3196.54117647059"/>
    <n v="11507.5482352941"/>
  </r>
  <r>
    <x v="0"/>
    <x v="0"/>
    <x v="0"/>
    <x v="2"/>
    <x v="6"/>
    <s v="NO1_A1"/>
    <x v="2"/>
    <s v="GHOB_WASTEHEAT"/>
    <x v="0"/>
    <x v="0"/>
    <n v="2.9650869963369799"/>
    <n v="1082.2567536629999"/>
    <n v="3896.1243131868"/>
  </r>
  <r>
    <x v="0"/>
    <x v="0"/>
    <x v="0"/>
    <x v="2"/>
    <x v="6"/>
    <s v="NO1_A1"/>
    <x v="2"/>
    <s v="GHOB_WASTEHEAT"/>
    <x v="0"/>
    <x v="1"/>
    <n v="2.9650869963369799"/>
    <n v="1082.2567536629999"/>
    <n v="3896.1243131868"/>
  </r>
  <r>
    <x v="0"/>
    <x v="0"/>
    <x v="0"/>
    <x v="2"/>
    <x v="6"/>
    <s v="NO1_A1"/>
    <x v="2"/>
    <s v="GHOB_WASTEHEAT"/>
    <x v="0"/>
    <x v="2"/>
    <n v="2.9650869963369799"/>
    <n v="1082.2567536629999"/>
    <n v="3896.1243131868"/>
  </r>
  <r>
    <x v="0"/>
    <x v="0"/>
    <x v="0"/>
    <x v="2"/>
    <x v="6"/>
    <s v="NO1_A1"/>
    <x v="2"/>
    <s v="GHOB_WASTEHEAT"/>
    <x v="0"/>
    <x v="3"/>
    <n v="2.9650869963369799"/>
    <n v="1082.2567536629999"/>
    <n v="3896.1243131868"/>
  </r>
  <r>
    <x v="0"/>
    <x v="0"/>
    <x v="0"/>
    <x v="2"/>
    <x v="6"/>
    <s v="NO1_A1"/>
    <x v="2"/>
    <s v="GHOB_WASTEHEAT"/>
    <x v="0"/>
    <x v="4"/>
    <n v="2.9650869963369799"/>
    <n v="1082.2567536629999"/>
    <n v="3896.1243131868"/>
  </r>
  <r>
    <x v="0"/>
    <x v="0"/>
    <x v="0"/>
    <x v="2"/>
    <x v="6"/>
    <s v="NO1_A1"/>
    <x v="2"/>
    <s v="GHOB_WASTEHEAT"/>
    <x v="0"/>
    <x v="5"/>
    <n v="2.9650869963369799"/>
    <n v="1082.2567536629999"/>
    <n v="3896.1243131868"/>
  </r>
  <r>
    <x v="0"/>
    <x v="0"/>
    <x v="0"/>
    <x v="2"/>
    <x v="6"/>
    <s v="NO1_A1"/>
    <x v="2"/>
    <s v="GHOB_WASTEHEAT"/>
    <x v="0"/>
    <x v="6"/>
    <n v="2.9650869963369799"/>
    <n v="1082.2567536629999"/>
    <n v="3896.1243131868"/>
  </r>
  <r>
    <x v="0"/>
    <x v="0"/>
    <x v="0"/>
    <x v="2"/>
    <x v="6"/>
    <s v="NO1_A1"/>
    <x v="2"/>
    <s v="GHOB_WASTEHEAT"/>
    <x v="0"/>
    <x v="7"/>
    <n v="2.9650869963369799"/>
    <n v="1082.2567536629999"/>
    <n v="3896.1243131868"/>
  </r>
  <r>
    <x v="0"/>
    <x v="0"/>
    <x v="0"/>
    <x v="2"/>
    <x v="6"/>
    <s v="NO1_A1"/>
    <x v="2"/>
    <s v="GHOB_WASTEHEAT"/>
    <x v="0"/>
    <x v="8"/>
    <n v="2.9650869963369799"/>
    <n v="1082.2567536629999"/>
    <n v="3896.1243131868"/>
  </r>
  <r>
    <x v="0"/>
    <x v="0"/>
    <x v="0"/>
    <x v="2"/>
    <x v="6"/>
    <s v="NO1_A1"/>
    <x v="2"/>
    <s v="GHOB_WASTEHEAT"/>
    <x v="0"/>
    <x v="9"/>
    <n v="2.9650869963369799"/>
    <n v="1082.2567536629999"/>
    <n v="3896.1243131868"/>
  </r>
  <r>
    <x v="0"/>
    <x v="0"/>
    <x v="0"/>
    <x v="2"/>
    <x v="6"/>
    <s v="NO1_A1"/>
    <x v="2"/>
    <s v="GHOB_WASTEHEAT"/>
    <x v="0"/>
    <x v="10"/>
    <n v="2.9650869963369799"/>
    <n v="1082.2567536629999"/>
    <n v="3896.1243131868"/>
  </r>
  <r>
    <x v="0"/>
    <x v="0"/>
    <x v="0"/>
    <x v="2"/>
    <x v="6"/>
    <s v="NO1_A1"/>
    <x v="2"/>
    <s v="GHOB_WASTEHEAT"/>
    <x v="0"/>
    <x v="11"/>
    <n v="2.9650869963369799"/>
    <n v="1082.2567536629999"/>
    <n v="3896.1243131868"/>
  </r>
  <r>
    <x v="0"/>
    <x v="0"/>
    <x v="0"/>
    <x v="2"/>
    <x v="6"/>
    <s v="NO1_A1"/>
    <x v="2"/>
    <s v="GHOB_WASTEHEAT"/>
    <x v="0"/>
    <x v="12"/>
    <n v="2.9650869963369799"/>
    <n v="1082.2567536629999"/>
    <n v="3896.1243131868"/>
  </r>
  <r>
    <x v="0"/>
    <x v="0"/>
    <x v="0"/>
    <x v="2"/>
    <x v="6"/>
    <s v="NO1_A1"/>
    <x v="2"/>
    <s v="GHOB_WASTEHEAT"/>
    <x v="0"/>
    <x v="13"/>
    <n v="2.9650869963369799"/>
    <n v="1082.2567536629999"/>
    <n v="3896.1243131868"/>
  </r>
  <r>
    <x v="0"/>
    <x v="0"/>
    <x v="0"/>
    <x v="2"/>
    <x v="6"/>
    <s v="NO1_A1"/>
    <x v="2"/>
    <s v="GHOB_WASTEHEAT"/>
    <x v="0"/>
    <x v="14"/>
    <n v="2.9650869963369799"/>
    <n v="1082.2567536629999"/>
    <n v="3896.1243131868"/>
  </r>
  <r>
    <x v="0"/>
    <x v="0"/>
    <x v="0"/>
    <x v="2"/>
    <x v="6"/>
    <s v="NO1_A1"/>
    <x v="2"/>
    <s v="GHOB_WASTEHEAT"/>
    <x v="0"/>
    <x v="15"/>
    <n v="2.9650869963369799"/>
    <n v="1082.2567536629999"/>
    <n v="3896.1243131868"/>
  </r>
  <r>
    <x v="0"/>
    <x v="0"/>
    <x v="0"/>
    <x v="2"/>
    <x v="6"/>
    <s v="NO1_A1"/>
    <x v="2"/>
    <s v="GHOB_WASTEHEAT"/>
    <x v="0"/>
    <x v="16"/>
    <n v="2.9650869963369799"/>
    <n v="1082.2567536629999"/>
    <n v="3896.1243131868"/>
  </r>
  <r>
    <x v="0"/>
    <x v="0"/>
    <x v="0"/>
    <x v="2"/>
    <x v="6"/>
    <s v="NO1_A1"/>
    <x v="2"/>
    <s v="GHOB_WASTEHEAT"/>
    <x v="0"/>
    <x v="17"/>
    <n v="2.9650869963369799"/>
    <n v="1082.2567536629999"/>
    <n v="3896.1243131868"/>
  </r>
  <r>
    <x v="0"/>
    <x v="0"/>
    <x v="0"/>
    <x v="2"/>
    <x v="6"/>
    <s v="NO1_A1"/>
    <x v="2"/>
    <s v="GHOB_WASTEHEAT"/>
    <x v="0"/>
    <x v="18"/>
    <n v="2.9650869963369799"/>
    <n v="1082.2567536629999"/>
    <n v="3896.1243131868"/>
  </r>
  <r>
    <x v="0"/>
    <x v="0"/>
    <x v="0"/>
    <x v="2"/>
    <x v="6"/>
    <s v="NO1_A1"/>
    <x v="2"/>
    <s v="GHOB_WASTEHEAT"/>
    <x v="0"/>
    <x v="19"/>
    <n v="2.9650869963369799"/>
    <n v="1082.2567536629999"/>
    <n v="3896.1243131868"/>
  </r>
  <r>
    <x v="0"/>
    <x v="0"/>
    <x v="0"/>
    <x v="2"/>
    <x v="6"/>
    <s v="NO1_A1"/>
    <x v="2"/>
    <s v="GHOB_WASTEHEAT"/>
    <x v="0"/>
    <x v="20"/>
    <n v="2.9650869963369799"/>
    <n v="1082.2567536629999"/>
    <n v="3896.1243131868"/>
  </r>
  <r>
    <x v="0"/>
    <x v="0"/>
    <x v="0"/>
    <x v="2"/>
    <x v="6"/>
    <s v="NO1_A1"/>
    <x v="2"/>
    <s v="GHOB_WASTEHEAT"/>
    <x v="0"/>
    <x v="21"/>
    <n v="2.9650869963369799"/>
    <n v="1082.2567536629999"/>
    <n v="3896.1243131868"/>
  </r>
  <r>
    <x v="0"/>
    <x v="0"/>
    <x v="0"/>
    <x v="2"/>
    <x v="6"/>
    <s v="NO1_A1"/>
    <x v="2"/>
    <s v="GHOB_WASTEHEAT"/>
    <x v="0"/>
    <x v="22"/>
    <n v="2.9650869963369799"/>
    <n v="1082.2567536629999"/>
    <n v="3896.1243131868"/>
  </r>
  <r>
    <x v="0"/>
    <x v="0"/>
    <x v="0"/>
    <x v="2"/>
    <x v="6"/>
    <s v="NO1_A1"/>
    <x v="2"/>
    <s v="GHOB_WASTEHEAT"/>
    <x v="0"/>
    <x v="23"/>
    <n v="2.9650869963369799"/>
    <n v="1082.2567536629999"/>
    <n v="3896.1243131868"/>
  </r>
  <r>
    <x v="0"/>
    <x v="0"/>
    <x v="0"/>
    <x v="2"/>
    <x v="6"/>
    <s v="NO1_A1"/>
    <x v="7"/>
    <s v="GHYRR_WATER"/>
    <x v="0"/>
    <x v="0"/>
    <n v="1262.8567912032099"/>
    <n v="460942.72878917097"/>
    <n v="1659393.8236410101"/>
  </r>
  <r>
    <x v="0"/>
    <x v="0"/>
    <x v="0"/>
    <x v="2"/>
    <x v="6"/>
    <s v="NO1_A1"/>
    <x v="7"/>
    <s v="GHYRR_WATER"/>
    <x v="0"/>
    <x v="1"/>
    <n v="1262.8567912032099"/>
    <n v="460942.72878917097"/>
    <n v="1659393.8236410101"/>
  </r>
  <r>
    <x v="0"/>
    <x v="0"/>
    <x v="0"/>
    <x v="2"/>
    <x v="6"/>
    <s v="NO1_A1"/>
    <x v="7"/>
    <s v="GHYRR_WATER"/>
    <x v="0"/>
    <x v="2"/>
    <n v="1262.8567912032099"/>
    <n v="460942.72878917097"/>
    <n v="1659393.8236410101"/>
  </r>
  <r>
    <x v="0"/>
    <x v="0"/>
    <x v="0"/>
    <x v="2"/>
    <x v="6"/>
    <s v="NO1_A1"/>
    <x v="7"/>
    <s v="GHYRR_WATER"/>
    <x v="0"/>
    <x v="3"/>
    <n v="1262.8567912032099"/>
    <n v="460942.72878917097"/>
    <n v="1659393.8236410101"/>
  </r>
  <r>
    <x v="0"/>
    <x v="0"/>
    <x v="0"/>
    <x v="2"/>
    <x v="6"/>
    <s v="NO1_A1"/>
    <x v="7"/>
    <s v="GHYRR_WATER"/>
    <x v="0"/>
    <x v="4"/>
    <n v="1262.8567912032099"/>
    <n v="460942.72878917097"/>
    <n v="1659393.8236410101"/>
  </r>
  <r>
    <x v="0"/>
    <x v="0"/>
    <x v="0"/>
    <x v="2"/>
    <x v="6"/>
    <s v="NO1_A1"/>
    <x v="7"/>
    <s v="GHYRR_WATER"/>
    <x v="0"/>
    <x v="5"/>
    <n v="1262.8567912032099"/>
    <n v="460942.72878917097"/>
    <n v="1659393.8236410101"/>
  </r>
  <r>
    <x v="0"/>
    <x v="0"/>
    <x v="0"/>
    <x v="2"/>
    <x v="6"/>
    <s v="NO1_A1"/>
    <x v="7"/>
    <s v="GHYRR_WATER"/>
    <x v="0"/>
    <x v="6"/>
    <n v="1262.8567912032099"/>
    <n v="460942.72878917097"/>
    <n v="1659393.8236410101"/>
  </r>
  <r>
    <x v="0"/>
    <x v="0"/>
    <x v="0"/>
    <x v="2"/>
    <x v="6"/>
    <s v="NO1_A1"/>
    <x v="7"/>
    <s v="GHYRR_WATER"/>
    <x v="0"/>
    <x v="7"/>
    <n v="1262.8567912032099"/>
    <n v="460942.72878917097"/>
    <n v="1659393.8236410101"/>
  </r>
  <r>
    <x v="0"/>
    <x v="0"/>
    <x v="0"/>
    <x v="2"/>
    <x v="6"/>
    <s v="NO1_A1"/>
    <x v="7"/>
    <s v="GHYRR_WATER"/>
    <x v="0"/>
    <x v="8"/>
    <n v="1262.8567912032099"/>
    <n v="460942.72878917097"/>
    <n v="1659393.8236410101"/>
  </r>
  <r>
    <x v="0"/>
    <x v="0"/>
    <x v="0"/>
    <x v="2"/>
    <x v="6"/>
    <s v="NO1_A1"/>
    <x v="7"/>
    <s v="GHYRR_WATER"/>
    <x v="0"/>
    <x v="9"/>
    <n v="1262.8567912032099"/>
    <n v="460942.72878917097"/>
    <n v="1659393.8236410101"/>
  </r>
  <r>
    <x v="0"/>
    <x v="0"/>
    <x v="0"/>
    <x v="2"/>
    <x v="6"/>
    <s v="NO1_A1"/>
    <x v="7"/>
    <s v="GHYRR_WATER"/>
    <x v="0"/>
    <x v="10"/>
    <n v="1262.8567912032099"/>
    <n v="460942.72878917097"/>
    <n v="1659393.8236410101"/>
  </r>
  <r>
    <x v="0"/>
    <x v="0"/>
    <x v="0"/>
    <x v="2"/>
    <x v="6"/>
    <s v="NO1_A1"/>
    <x v="7"/>
    <s v="GHYRR_WATER"/>
    <x v="0"/>
    <x v="11"/>
    <n v="1262.8567912032099"/>
    <n v="460942.72878917097"/>
    <n v="1659393.8236410101"/>
  </r>
  <r>
    <x v="0"/>
    <x v="0"/>
    <x v="0"/>
    <x v="2"/>
    <x v="6"/>
    <s v="NO1_A1"/>
    <x v="7"/>
    <s v="GHYRR_WATER"/>
    <x v="0"/>
    <x v="12"/>
    <n v="1262.8567912032099"/>
    <n v="460942.72878917097"/>
    <n v="1659393.8236410101"/>
  </r>
  <r>
    <x v="0"/>
    <x v="0"/>
    <x v="0"/>
    <x v="2"/>
    <x v="6"/>
    <s v="NO1_A1"/>
    <x v="7"/>
    <s v="GHYRR_WATER"/>
    <x v="0"/>
    <x v="13"/>
    <n v="1262.8567912032099"/>
    <n v="460942.72878917097"/>
    <n v="1659393.8236410101"/>
  </r>
  <r>
    <x v="0"/>
    <x v="0"/>
    <x v="0"/>
    <x v="2"/>
    <x v="6"/>
    <s v="NO1_A1"/>
    <x v="7"/>
    <s v="GHYRR_WATER"/>
    <x v="0"/>
    <x v="14"/>
    <n v="1262.8567912032099"/>
    <n v="460942.72878917097"/>
    <n v="1659393.8236410101"/>
  </r>
  <r>
    <x v="0"/>
    <x v="0"/>
    <x v="0"/>
    <x v="2"/>
    <x v="6"/>
    <s v="NO1_A1"/>
    <x v="7"/>
    <s v="GHYRR_WATER"/>
    <x v="0"/>
    <x v="15"/>
    <n v="1262.8567912032099"/>
    <n v="460942.72878917097"/>
    <n v="1659393.8236410101"/>
  </r>
  <r>
    <x v="0"/>
    <x v="0"/>
    <x v="0"/>
    <x v="2"/>
    <x v="6"/>
    <s v="NO1_A1"/>
    <x v="7"/>
    <s v="GHYRR_WATER"/>
    <x v="0"/>
    <x v="16"/>
    <n v="1262.8567912032099"/>
    <n v="460942.72878917097"/>
    <n v="1659393.8236410101"/>
  </r>
  <r>
    <x v="0"/>
    <x v="0"/>
    <x v="0"/>
    <x v="2"/>
    <x v="6"/>
    <s v="NO1_A1"/>
    <x v="7"/>
    <s v="GHYRR_WATER"/>
    <x v="0"/>
    <x v="17"/>
    <n v="1262.8567912032099"/>
    <n v="460942.72878917097"/>
    <n v="1659393.8236410101"/>
  </r>
  <r>
    <x v="0"/>
    <x v="0"/>
    <x v="0"/>
    <x v="2"/>
    <x v="6"/>
    <s v="NO1_A1"/>
    <x v="7"/>
    <s v="GHYRR_WATER"/>
    <x v="0"/>
    <x v="18"/>
    <n v="1262.8567912032099"/>
    <n v="460942.72878917097"/>
    <n v="1659393.8236410101"/>
  </r>
  <r>
    <x v="0"/>
    <x v="0"/>
    <x v="0"/>
    <x v="2"/>
    <x v="6"/>
    <s v="NO1_A1"/>
    <x v="7"/>
    <s v="GHYRR_WATER"/>
    <x v="0"/>
    <x v="19"/>
    <n v="1262.8567912032099"/>
    <n v="460942.72878917097"/>
    <n v="1659393.8236410101"/>
  </r>
  <r>
    <x v="0"/>
    <x v="0"/>
    <x v="0"/>
    <x v="2"/>
    <x v="6"/>
    <s v="NO1_A1"/>
    <x v="7"/>
    <s v="GHYRR_WATER"/>
    <x v="0"/>
    <x v="20"/>
    <n v="1262.8567912032099"/>
    <n v="460942.72878917097"/>
    <n v="1659393.8236410101"/>
  </r>
  <r>
    <x v="0"/>
    <x v="0"/>
    <x v="0"/>
    <x v="2"/>
    <x v="6"/>
    <s v="NO1_A1"/>
    <x v="7"/>
    <s v="GHYRR_WATER"/>
    <x v="0"/>
    <x v="21"/>
    <n v="1262.8567912032099"/>
    <n v="460942.72878917097"/>
    <n v="1659393.8236410101"/>
  </r>
  <r>
    <x v="0"/>
    <x v="0"/>
    <x v="0"/>
    <x v="2"/>
    <x v="6"/>
    <s v="NO1_A1"/>
    <x v="7"/>
    <s v="GHYRR_WATER"/>
    <x v="0"/>
    <x v="22"/>
    <n v="1262.8567912032099"/>
    <n v="460942.72878917097"/>
    <n v="1659393.8236410101"/>
  </r>
  <r>
    <x v="0"/>
    <x v="0"/>
    <x v="0"/>
    <x v="2"/>
    <x v="6"/>
    <s v="NO1_A1"/>
    <x v="7"/>
    <s v="GHYRR_WATER"/>
    <x v="0"/>
    <x v="23"/>
    <n v="1262.8567912032099"/>
    <n v="460942.72878917097"/>
    <n v="1659393.8236410101"/>
  </r>
  <r>
    <x v="0"/>
    <x v="0"/>
    <x v="0"/>
    <x v="2"/>
    <x v="6"/>
    <s v="NO1_A1"/>
    <x v="7"/>
    <s v="GHYRS_WATER"/>
    <x v="0"/>
    <x v="0"/>
    <n v="4388.7909470822897"/>
    <n v="1601908.69568504"/>
    <n v="5766871.3044661302"/>
  </r>
  <r>
    <x v="0"/>
    <x v="0"/>
    <x v="0"/>
    <x v="2"/>
    <x v="6"/>
    <s v="NO1_A1"/>
    <x v="7"/>
    <s v="GHYRS_WATER"/>
    <x v="0"/>
    <x v="1"/>
    <n v="2030.5333182335901"/>
    <n v="741144.66115526098"/>
    <n v="2668120.7801589398"/>
  </r>
  <r>
    <x v="0"/>
    <x v="0"/>
    <x v="0"/>
    <x v="2"/>
    <x v="6"/>
    <s v="NO1_A1"/>
    <x v="7"/>
    <s v="GHYRS_WATER"/>
    <x v="0"/>
    <x v="2"/>
    <n v="2047.8545388493801"/>
    <n v="747466.90668002504"/>
    <n v="2690880.8640480898"/>
  </r>
  <r>
    <x v="0"/>
    <x v="0"/>
    <x v="0"/>
    <x v="2"/>
    <x v="6"/>
    <s v="NO1_A1"/>
    <x v="7"/>
    <s v="GHYRS_WATER"/>
    <x v="0"/>
    <x v="3"/>
    <n v="2154.3800456365002"/>
    <n v="786348.71665732295"/>
    <n v="2830855.3799663601"/>
  </r>
  <r>
    <x v="0"/>
    <x v="0"/>
    <x v="0"/>
    <x v="2"/>
    <x v="6"/>
    <s v="NO1_A1"/>
    <x v="7"/>
    <s v="GHYRS_WATER"/>
    <x v="0"/>
    <x v="4"/>
    <n v="2228.9321226698498"/>
    <n v="813560.22477449698"/>
    <n v="2928816.8091881899"/>
  </r>
  <r>
    <x v="0"/>
    <x v="0"/>
    <x v="0"/>
    <x v="2"/>
    <x v="6"/>
    <s v="NO1_A1"/>
    <x v="7"/>
    <s v="GHYRS_WATER"/>
    <x v="0"/>
    <x v="5"/>
    <n v="2467.1911917774901"/>
    <n v="900524.78499878501"/>
    <n v="3241889.22599563"/>
  </r>
  <r>
    <x v="0"/>
    <x v="0"/>
    <x v="0"/>
    <x v="2"/>
    <x v="6"/>
    <s v="NO1_A1"/>
    <x v="7"/>
    <s v="GHYRS_WATER"/>
    <x v="0"/>
    <x v="6"/>
    <n v="3039.8437510333001"/>
    <n v="1109542.96912715"/>
    <n v="3994354.68885775"/>
  </r>
  <r>
    <x v="0"/>
    <x v="0"/>
    <x v="0"/>
    <x v="2"/>
    <x v="6"/>
    <s v="NO1_A1"/>
    <x v="7"/>
    <s v="GHYRS_WATER"/>
    <x v="0"/>
    <x v="7"/>
    <n v="3612.49890844621"/>
    <n v="1318562.1015828699"/>
    <n v="4746823.56569832"/>
  </r>
  <r>
    <x v="0"/>
    <x v="0"/>
    <x v="0"/>
    <x v="2"/>
    <x v="6"/>
    <s v="NO1_A1"/>
    <x v="7"/>
    <s v="GHYRS_WATER"/>
    <x v="0"/>
    <x v="8"/>
    <n v="5336.8048340421501"/>
    <n v="1947933.7644253899"/>
    <n v="7012561.5519313896"/>
  </r>
  <r>
    <x v="0"/>
    <x v="0"/>
    <x v="0"/>
    <x v="2"/>
    <x v="6"/>
    <s v="NO1_A1"/>
    <x v="7"/>
    <s v="GHYRS_WATER"/>
    <x v="0"/>
    <x v="9"/>
    <n v="3540.38886975389"/>
    <n v="1292241.9374601699"/>
    <n v="4652070.9748566104"/>
  </r>
  <r>
    <x v="0"/>
    <x v="0"/>
    <x v="0"/>
    <x v="2"/>
    <x v="6"/>
    <s v="NO1_A1"/>
    <x v="7"/>
    <s v="GHYRS_WATER"/>
    <x v="0"/>
    <x v="10"/>
    <n v="3345.8277853845302"/>
    <n v="1221227.1416653499"/>
    <n v="4396417.7099952698"/>
  </r>
  <r>
    <x v="0"/>
    <x v="0"/>
    <x v="0"/>
    <x v="2"/>
    <x v="6"/>
    <s v="NO1_A1"/>
    <x v="7"/>
    <s v="GHYRS_WATER"/>
    <x v="0"/>
    <x v="11"/>
    <n v="6117.5387270765896"/>
    <n v="2232901.6353829498"/>
    <n v="8038445.8873786395"/>
  </r>
  <r>
    <x v="0"/>
    <x v="0"/>
    <x v="0"/>
    <x v="2"/>
    <x v="6"/>
    <s v="NO1_A1"/>
    <x v="7"/>
    <s v="GHYRS_WATER"/>
    <x v="0"/>
    <x v="12"/>
    <n v="3323.1127554722998"/>
    <n v="1212936.1557473899"/>
    <n v="4366570.1606906001"/>
  </r>
  <r>
    <x v="0"/>
    <x v="0"/>
    <x v="0"/>
    <x v="2"/>
    <x v="6"/>
    <s v="NO1_A1"/>
    <x v="7"/>
    <s v="GHYRS_WATER"/>
    <x v="0"/>
    <x v="13"/>
    <n v="2917.0928402607601"/>
    <n v="1064738.8866951801"/>
    <n v="3833059.9921026402"/>
  </r>
  <r>
    <x v="0"/>
    <x v="0"/>
    <x v="0"/>
    <x v="2"/>
    <x v="6"/>
    <s v="NO1_A1"/>
    <x v="7"/>
    <s v="GHYRS_WATER"/>
    <x v="0"/>
    <x v="14"/>
    <n v="2850.5145175909702"/>
    <n v="1040437.7989207"/>
    <n v="3745576.07611454"/>
  </r>
  <r>
    <x v="0"/>
    <x v="0"/>
    <x v="0"/>
    <x v="2"/>
    <x v="6"/>
    <s v="NO1_A1"/>
    <x v="7"/>
    <s v="GHYRS_WATER"/>
    <x v="0"/>
    <x v="15"/>
    <n v="5076.4434055292104"/>
    <n v="1852901.84301816"/>
    <n v="6670446.6348653901"/>
  </r>
  <r>
    <x v="0"/>
    <x v="0"/>
    <x v="0"/>
    <x v="2"/>
    <x v="6"/>
    <s v="NO1_A1"/>
    <x v="7"/>
    <s v="GHYRS_WATER"/>
    <x v="0"/>
    <x v="16"/>
    <n v="5181.2367902547503"/>
    <n v="1891151.4284429799"/>
    <n v="6808145.1423947401"/>
  </r>
  <r>
    <x v="0"/>
    <x v="0"/>
    <x v="0"/>
    <x v="2"/>
    <x v="6"/>
    <s v="NO1_A1"/>
    <x v="7"/>
    <s v="GHYRS_WATER"/>
    <x v="0"/>
    <x v="17"/>
    <n v="2997.05742859476"/>
    <n v="1093925.9614370901"/>
    <n v="3938133.4611735102"/>
  </r>
  <r>
    <x v="0"/>
    <x v="0"/>
    <x v="0"/>
    <x v="2"/>
    <x v="6"/>
    <s v="NO1_A1"/>
    <x v="7"/>
    <s v="GHYRS_WATER"/>
    <x v="0"/>
    <x v="18"/>
    <n v="3437.6929170837798"/>
    <n v="1254757.9147355801"/>
    <n v="4517128.4930480802"/>
  </r>
  <r>
    <x v="0"/>
    <x v="0"/>
    <x v="0"/>
    <x v="2"/>
    <x v="6"/>
    <s v="NO1_A1"/>
    <x v="7"/>
    <s v="GHYRS_WATER"/>
    <x v="0"/>
    <x v="19"/>
    <n v="3318.36607101769"/>
    <n v="1211203.6159214601"/>
    <n v="4360333.0173172504"/>
  </r>
  <r>
    <x v="0"/>
    <x v="0"/>
    <x v="0"/>
    <x v="2"/>
    <x v="6"/>
    <s v="NO1_A1"/>
    <x v="7"/>
    <s v="GHYRS_WATER"/>
    <x v="0"/>
    <x v="20"/>
    <n v="3211.8405642305702"/>
    <n v="1172321.8059441601"/>
    <n v="4220358.5013989704"/>
  </r>
  <r>
    <x v="0"/>
    <x v="0"/>
    <x v="0"/>
    <x v="2"/>
    <x v="6"/>
    <s v="NO1_A1"/>
    <x v="7"/>
    <s v="GHYRS_WATER"/>
    <x v="0"/>
    <x v="21"/>
    <n v="5266.1107712721296"/>
    <n v="1922130.43151433"/>
    <n v="6919669.55345158"/>
  </r>
  <r>
    <x v="0"/>
    <x v="0"/>
    <x v="0"/>
    <x v="2"/>
    <x v="6"/>
    <s v="NO1_A1"/>
    <x v="7"/>
    <s v="GHYRS_WATER"/>
    <x v="0"/>
    <x v="22"/>
    <n v="2761.48882821999"/>
    <n v="1007943.4223003"/>
    <n v="3628596.3202810702"/>
  </r>
  <r>
    <x v="0"/>
    <x v="0"/>
    <x v="0"/>
    <x v="2"/>
    <x v="6"/>
    <s v="NO1_A1"/>
    <x v="7"/>
    <s v="GHYRS_WATER"/>
    <x v="0"/>
    <x v="23"/>
    <n v="2473.9565659978498"/>
    <n v="902994.14658921701"/>
    <n v="3250778.92772118"/>
  </r>
  <r>
    <x v="0"/>
    <x v="0"/>
    <x v="0"/>
    <x v="2"/>
    <x v="6"/>
    <s v="NO1_A1"/>
    <x v="9"/>
    <s v="GHOB_WOODWASTE"/>
    <x v="0"/>
    <x v="0"/>
    <n v="13.793550677372499"/>
    <n v="5034.6459972409602"/>
    <n v="18124.725590067399"/>
  </r>
  <r>
    <x v="0"/>
    <x v="0"/>
    <x v="0"/>
    <x v="2"/>
    <x v="6"/>
    <s v="NO1_A1"/>
    <x v="9"/>
    <s v="GHOB_WOODWASTE"/>
    <x v="0"/>
    <x v="1"/>
    <n v="16.458933219419599"/>
    <n v="6007.5106250881699"/>
    <n v="21627.038250317401"/>
  </r>
  <r>
    <x v="0"/>
    <x v="0"/>
    <x v="0"/>
    <x v="2"/>
    <x v="6"/>
    <s v="NO1_A1"/>
    <x v="9"/>
    <s v="GHOB_WOODWASTE"/>
    <x v="0"/>
    <x v="2"/>
    <n v="18.431583560026201"/>
    <n v="6727.5279994095799"/>
    <n v="24219.1007978745"/>
  </r>
  <r>
    <x v="0"/>
    <x v="0"/>
    <x v="0"/>
    <x v="2"/>
    <x v="6"/>
    <s v="NO1_A1"/>
    <x v="9"/>
    <s v="GHOB_WOODWASTE"/>
    <x v="0"/>
    <x v="3"/>
    <n v="25.3266996847304"/>
    <n v="9244.2453849266003"/>
    <n v="33279.283385735798"/>
  </r>
  <r>
    <x v="0"/>
    <x v="0"/>
    <x v="0"/>
    <x v="2"/>
    <x v="6"/>
    <s v="NO1_A1"/>
    <x v="9"/>
    <s v="GHOB_WOODWASTE"/>
    <x v="0"/>
    <x v="4"/>
    <n v="34.074830253159"/>
    <n v="12437.313042403001"/>
    <n v="44774.326952650903"/>
  </r>
  <r>
    <x v="0"/>
    <x v="0"/>
    <x v="0"/>
    <x v="2"/>
    <x v="6"/>
    <s v="NO1_A1"/>
    <x v="9"/>
    <s v="GHOB_WOODWASTE"/>
    <x v="0"/>
    <x v="5"/>
    <n v="51.754451530764499"/>
    <n v="18890.374808729099"/>
    <n v="68005.349311424594"/>
  </r>
  <r>
    <x v="0"/>
    <x v="0"/>
    <x v="0"/>
    <x v="2"/>
    <x v="6"/>
    <s v="NO1_A1"/>
    <x v="9"/>
    <s v="GHOB_WOODWASTE"/>
    <x v="0"/>
    <x v="6"/>
    <n v="62.352941176470601"/>
    <n v="22758.823529411799"/>
    <n v="81931.764705882393"/>
  </r>
  <r>
    <x v="0"/>
    <x v="0"/>
    <x v="0"/>
    <x v="2"/>
    <x v="6"/>
    <s v="NO1_A1"/>
    <x v="9"/>
    <s v="GHOB_WOODWASTE"/>
    <x v="0"/>
    <x v="7"/>
    <n v="62.352941176470601"/>
    <n v="22758.823529411799"/>
    <n v="81931.764705882393"/>
  </r>
  <r>
    <x v="0"/>
    <x v="0"/>
    <x v="0"/>
    <x v="2"/>
    <x v="6"/>
    <s v="NO1_A1"/>
    <x v="9"/>
    <s v="GHOB_WOODWASTE"/>
    <x v="0"/>
    <x v="8"/>
    <n v="62.352941176470601"/>
    <n v="22758.823529411799"/>
    <n v="81931.764705882393"/>
  </r>
  <r>
    <x v="0"/>
    <x v="0"/>
    <x v="0"/>
    <x v="2"/>
    <x v="6"/>
    <s v="NO1_A1"/>
    <x v="9"/>
    <s v="GHOB_WOODWASTE"/>
    <x v="0"/>
    <x v="9"/>
    <n v="62.352941176470601"/>
    <n v="22758.823529411799"/>
    <n v="81931.764705882393"/>
  </r>
  <r>
    <x v="0"/>
    <x v="0"/>
    <x v="0"/>
    <x v="2"/>
    <x v="6"/>
    <s v="NO1_A1"/>
    <x v="9"/>
    <s v="GHOB_WOODWASTE"/>
    <x v="0"/>
    <x v="10"/>
    <n v="62.352941176470601"/>
    <n v="22758.823529411799"/>
    <n v="81931.764705882393"/>
  </r>
  <r>
    <x v="0"/>
    <x v="0"/>
    <x v="0"/>
    <x v="2"/>
    <x v="6"/>
    <s v="NO1_A1"/>
    <x v="9"/>
    <s v="GHOB_WOODWASTE"/>
    <x v="0"/>
    <x v="11"/>
    <n v="62.352941176470601"/>
    <n v="22758.823529411799"/>
    <n v="81931.764705882393"/>
  </r>
  <r>
    <x v="0"/>
    <x v="0"/>
    <x v="0"/>
    <x v="2"/>
    <x v="6"/>
    <s v="NO1_A1"/>
    <x v="9"/>
    <s v="GHOB_WOODWASTE"/>
    <x v="0"/>
    <x v="12"/>
    <n v="62.352941176470601"/>
    <n v="22758.823529411799"/>
    <n v="81931.764705882393"/>
  </r>
  <r>
    <x v="0"/>
    <x v="0"/>
    <x v="0"/>
    <x v="2"/>
    <x v="6"/>
    <s v="NO1_A1"/>
    <x v="9"/>
    <s v="GHOB_WOODWASTE"/>
    <x v="0"/>
    <x v="13"/>
    <n v="62.352941176470601"/>
    <n v="22758.823529411799"/>
    <n v="81931.764705882393"/>
  </r>
  <r>
    <x v="0"/>
    <x v="0"/>
    <x v="0"/>
    <x v="2"/>
    <x v="6"/>
    <s v="NO1_A1"/>
    <x v="9"/>
    <s v="GHOB_WOODWASTE"/>
    <x v="0"/>
    <x v="14"/>
    <n v="62.352941176470601"/>
    <n v="22758.823529411799"/>
    <n v="81931.764705882393"/>
  </r>
  <r>
    <x v="0"/>
    <x v="0"/>
    <x v="0"/>
    <x v="2"/>
    <x v="6"/>
    <s v="NO1_A1"/>
    <x v="9"/>
    <s v="GHOB_WOODWASTE"/>
    <x v="0"/>
    <x v="15"/>
    <n v="59.343363753265201"/>
    <n v="21660.327769941799"/>
    <n v="77977.179971790494"/>
  </r>
  <r>
    <x v="0"/>
    <x v="0"/>
    <x v="0"/>
    <x v="2"/>
    <x v="6"/>
    <s v="NO1_A1"/>
    <x v="9"/>
    <s v="GHOB_WOODWASTE"/>
    <x v="0"/>
    <x v="16"/>
    <n v="55.326679696791402"/>
    <n v="20194.238089328901"/>
    <n v="72699.257121583898"/>
  </r>
  <r>
    <x v="0"/>
    <x v="0"/>
    <x v="0"/>
    <x v="2"/>
    <x v="6"/>
    <s v="NO1_A1"/>
    <x v="9"/>
    <s v="GHOB_WOODWASTE"/>
    <x v="0"/>
    <x v="17"/>
    <n v="51.369312985495597"/>
    <n v="18749.799239705899"/>
    <n v="67499.277262941207"/>
  </r>
  <r>
    <x v="0"/>
    <x v="0"/>
    <x v="0"/>
    <x v="2"/>
    <x v="6"/>
    <s v="NO1_A1"/>
    <x v="9"/>
    <s v="GHOB_WOODWASTE"/>
    <x v="0"/>
    <x v="18"/>
    <n v="48.5632022996123"/>
    <n v="17725.568839358501"/>
    <n v="63812.047821690598"/>
  </r>
  <r>
    <x v="0"/>
    <x v="0"/>
    <x v="0"/>
    <x v="2"/>
    <x v="6"/>
    <s v="NO1_A1"/>
    <x v="9"/>
    <s v="GHOB_WOODWASTE"/>
    <x v="0"/>
    <x v="19"/>
    <n v="48.034222250889798"/>
    <n v="17532.4911215748"/>
    <n v="63116.968037669198"/>
  </r>
  <r>
    <x v="0"/>
    <x v="0"/>
    <x v="0"/>
    <x v="2"/>
    <x v="6"/>
    <s v="NO1_A1"/>
    <x v="9"/>
    <s v="GHOB_WOODWASTE"/>
    <x v="0"/>
    <x v="20"/>
    <n v="44.771234679254803"/>
    <n v="16341.500657928"/>
    <n v="58829.402368540897"/>
  </r>
  <r>
    <x v="0"/>
    <x v="0"/>
    <x v="0"/>
    <x v="2"/>
    <x v="6"/>
    <s v="NO1_A1"/>
    <x v="9"/>
    <s v="GHOB_WOODWASTE"/>
    <x v="0"/>
    <x v="21"/>
    <n v="39.130268865133701"/>
    <n v="14282.548135773801"/>
    <n v="51417.1732887857"/>
  </r>
  <r>
    <x v="0"/>
    <x v="0"/>
    <x v="0"/>
    <x v="2"/>
    <x v="6"/>
    <s v="NO1_A1"/>
    <x v="9"/>
    <s v="GHOB_WOODWASTE"/>
    <x v="0"/>
    <x v="22"/>
    <n v="31.7057047456641"/>
    <n v="11572.5822321674"/>
    <n v="41661.296035802698"/>
  </r>
  <r>
    <x v="0"/>
    <x v="0"/>
    <x v="0"/>
    <x v="2"/>
    <x v="6"/>
    <s v="NO1_A1"/>
    <x v="9"/>
    <s v="GHOB_WOODWASTE"/>
    <x v="0"/>
    <x v="23"/>
    <n v="22.586635739096302"/>
    <n v="8244.1220447701307"/>
    <n v="29678.839361172501"/>
  </r>
  <r>
    <x v="0"/>
    <x v="0"/>
    <x v="0"/>
    <x v="2"/>
    <x v="6"/>
    <s v="NO1_A2"/>
    <x v="13"/>
    <s v="GHOB_LPG"/>
    <x v="0"/>
    <x v="0"/>
    <n v="96.185251016616405"/>
    <n v="35107.616621064997"/>
    <n v="126387.41983583401"/>
  </r>
  <r>
    <x v="0"/>
    <x v="0"/>
    <x v="0"/>
    <x v="2"/>
    <x v="6"/>
    <s v="NO1_A2"/>
    <x v="13"/>
    <s v="GHOB_LPG"/>
    <x v="0"/>
    <x v="1"/>
    <n v="98.325918433747802"/>
    <n v="35888.960228317999"/>
    <n v="129200.256821945"/>
  </r>
  <r>
    <x v="0"/>
    <x v="0"/>
    <x v="0"/>
    <x v="2"/>
    <x v="6"/>
    <s v="NO1_A2"/>
    <x v="13"/>
    <s v="GHOB_LPG"/>
    <x v="0"/>
    <x v="2"/>
    <n v="99.992183073165094"/>
    <n v="36497.146821705297"/>
    <n v="131389.728558139"/>
  </r>
  <r>
    <x v="0"/>
    <x v="0"/>
    <x v="0"/>
    <x v="2"/>
    <x v="6"/>
    <s v="NO1_A2"/>
    <x v="13"/>
    <s v="GHOB_LPG"/>
    <x v="0"/>
    <x v="3"/>
    <n v="115.00141044023999"/>
    <n v="41975.514810687397"/>
    <n v="151111.85331847501"/>
  </r>
  <r>
    <x v="0"/>
    <x v="0"/>
    <x v="0"/>
    <x v="2"/>
    <x v="6"/>
    <s v="NO1_A2"/>
    <x v="13"/>
    <s v="GHOB_LPG"/>
    <x v="0"/>
    <x v="4"/>
    <n v="117.64705882352899"/>
    <n v="42941.176470588201"/>
    <n v="154588.235294118"/>
  </r>
  <r>
    <x v="0"/>
    <x v="0"/>
    <x v="0"/>
    <x v="2"/>
    <x v="6"/>
    <s v="NO1_A2"/>
    <x v="13"/>
    <s v="GHOB_LPG"/>
    <x v="0"/>
    <x v="5"/>
    <n v="117.64705882352899"/>
    <n v="42941.176470588201"/>
    <n v="154588.235294118"/>
  </r>
  <r>
    <x v="0"/>
    <x v="0"/>
    <x v="0"/>
    <x v="2"/>
    <x v="6"/>
    <s v="NO1_A2"/>
    <x v="13"/>
    <s v="GHOB_LPG"/>
    <x v="0"/>
    <x v="6"/>
    <n v="117.64705882352899"/>
    <n v="42941.176470588201"/>
    <n v="154588.235294118"/>
  </r>
  <r>
    <x v="0"/>
    <x v="0"/>
    <x v="0"/>
    <x v="2"/>
    <x v="6"/>
    <s v="NO1_A2"/>
    <x v="13"/>
    <s v="GHOB_LPG"/>
    <x v="0"/>
    <x v="7"/>
    <n v="117.64705882352899"/>
    <n v="42941.176470588201"/>
    <n v="154588.235294118"/>
  </r>
  <r>
    <x v="0"/>
    <x v="0"/>
    <x v="0"/>
    <x v="2"/>
    <x v="6"/>
    <s v="NO1_A2"/>
    <x v="13"/>
    <s v="GHOB_LPG"/>
    <x v="0"/>
    <x v="8"/>
    <n v="117.64705882352899"/>
    <n v="42941.176470588201"/>
    <n v="154588.235294118"/>
  </r>
  <r>
    <x v="0"/>
    <x v="0"/>
    <x v="0"/>
    <x v="2"/>
    <x v="6"/>
    <s v="NO1_A2"/>
    <x v="13"/>
    <s v="GHOB_LPG"/>
    <x v="0"/>
    <x v="9"/>
    <n v="117.64705882352899"/>
    <n v="42941.176470588201"/>
    <n v="154588.235294118"/>
  </r>
  <r>
    <x v="0"/>
    <x v="0"/>
    <x v="0"/>
    <x v="2"/>
    <x v="6"/>
    <s v="NO1_A2"/>
    <x v="13"/>
    <s v="GHOB_LPG"/>
    <x v="0"/>
    <x v="10"/>
    <n v="117.64705882352899"/>
    <n v="42941.176470588201"/>
    <n v="154588.235294118"/>
  </r>
  <r>
    <x v="0"/>
    <x v="0"/>
    <x v="0"/>
    <x v="2"/>
    <x v="6"/>
    <s v="NO1_A2"/>
    <x v="13"/>
    <s v="GHOB_LPG"/>
    <x v="0"/>
    <x v="11"/>
    <n v="117.64705882352899"/>
    <n v="42941.176470588201"/>
    <n v="154588.235294118"/>
  </r>
  <r>
    <x v="0"/>
    <x v="0"/>
    <x v="0"/>
    <x v="2"/>
    <x v="6"/>
    <s v="NO1_A2"/>
    <x v="13"/>
    <s v="GHOB_LPG"/>
    <x v="0"/>
    <x v="12"/>
    <n v="117.64705882352899"/>
    <n v="42941.176470588201"/>
    <n v="154588.235294118"/>
  </r>
  <r>
    <x v="0"/>
    <x v="0"/>
    <x v="0"/>
    <x v="2"/>
    <x v="6"/>
    <s v="NO1_A2"/>
    <x v="13"/>
    <s v="GHOB_LPG"/>
    <x v="0"/>
    <x v="13"/>
    <n v="117.64705882352899"/>
    <n v="42941.176470588201"/>
    <n v="154588.235294118"/>
  </r>
  <r>
    <x v="0"/>
    <x v="0"/>
    <x v="0"/>
    <x v="2"/>
    <x v="6"/>
    <s v="NO1_A2"/>
    <x v="13"/>
    <s v="GHOB_LPG"/>
    <x v="0"/>
    <x v="14"/>
    <n v="117.64705882352899"/>
    <n v="42941.176470588201"/>
    <n v="154588.235294118"/>
  </r>
  <r>
    <x v="0"/>
    <x v="0"/>
    <x v="0"/>
    <x v="2"/>
    <x v="6"/>
    <s v="NO1_A2"/>
    <x v="13"/>
    <s v="GHOB_LPG"/>
    <x v="0"/>
    <x v="15"/>
    <n v="117.64705882352899"/>
    <n v="42941.176470588201"/>
    <n v="154588.235294118"/>
  </r>
  <r>
    <x v="0"/>
    <x v="0"/>
    <x v="0"/>
    <x v="2"/>
    <x v="6"/>
    <s v="NO1_A2"/>
    <x v="13"/>
    <s v="GHOB_LPG"/>
    <x v="0"/>
    <x v="16"/>
    <n v="117.64705882352899"/>
    <n v="42941.176470588201"/>
    <n v="154588.235294118"/>
  </r>
  <r>
    <x v="0"/>
    <x v="0"/>
    <x v="0"/>
    <x v="2"/>
    <x v="6"/>
    <s v="NO1_A2"/>
    <x v="13"/>
    <s v="GHOB_LPG"/>
    <x v="0"/>
    <x v="17"/>
    <n v="117.64705882352899"/>
    <n v="42941.176470588201"/>
    <n v="154588.235294118"/>
  </r>
  <r>
    <x v="0"/>
    <x v="0"/>
    <x v="0"/>
    <x v="2"/>
    <x v="6"/>
    <s v="NO1_A2"/>
    <x v="13"/>
    <s v="GHOB_LPG"/>
    <x v="0"/>
    <x v="18"/>
    <n v="117.64705882352899"/>
    <n v="42941.176470588201"/>
    <n v="154588.235294118"/>
  </r>
  <r>
    <x v="0"/>
    <x v="0"/>
    <x v="0"/>
    <x v="2"/>
    <x v="6"/>
    <s v="NO1_A2"/>
    <x v="13"/>
    <s v="GHOB_LPG"/>
    <x v="0"/>
    <x v="19"/>
    <n v="117.64705882352899"/>
    <n v="42941.176470588201"/>
    <n v="154588.235294118"/>
  </r>
  <r>
    <x v="0"/>
    <x v="0"/>
    <x v="0"/>
    <x v="2"/>
    <x v="6"/>
    <s v="NO1_A2"/>
    <x v="13"/>
    <s v="GHOB_LPG"/>
    <x v="0"/>
    <x v="20"/>
    <n v="117.64705882352899"/>
    <n v="42941.176470588201"/>
    <n v="154588.235294118"/>
  </r>
  <r>
    <x v="0"/>
    <x v="0"/>
    <x v="0"/>
    <x v="2"/>
    <x v="6"/>
    <s v="NO1_A2"/>
    <x v="13"/>
    <s v="GHOB_LPG"/>
    <x v="0"/>
    <x v="21"/>
    <n v="113.326590969129"/>
    <n v="41364.205703732303"/>
    <n v="148911.140533436"/>
  </r>
  <r>
    <x v="0"/>
    <x v="0"/>
    <x v="0"/>
    <x v="2"/>
    <x v="6"/>
    <s v="NO1_A2"/>
    <x v="13"/>
    <s v="GHOB_LPG"/>
    <x v="0"/>
    <x v="22"/>
    <n v="105.80989411449799"/>
    <n v="38620.611351791602"/>
    <n v="139034.20086645"/>
  </r>
  <r>
    <x v="0"/>
    <x v="0"/>
    <x v="0"/>
    <x v="2"/>
    <x v="6"/>
    <s v="NO1_A2"/>
    <x v="13"/>
    <s v="GHOB_LPG"/>
    <x v="0"/>
    <x v="23"/>
    <n v="95.957819012279501"/>
    <n v="35024.603939482004"/>
    <n v="126088.57418213499"/>
  </r>
  <r>
    <x v="0"/>
    <x v="0"/>
    <x v="0"/>
    <x v="2"/>
    <x v="6"/>
    <s v="NO1_A2"/>
    <x v="1"/>
    <s v="GBPR_MUNIWASTE"/>
    <x v="0"/>
    <x v="0"/>
    <n v="52.086977299879898"/>
    <n v="19011.7467144562"/>
    <n v="68442.288172042201"/>
  </r>
  <r>
    <x v="0"/>
    <x v="0"/>
    <x v="0"/>
    <x v="2"/>
    <x v="6"/>
    <s v="NO1_A2"/>
    <x v="1"/>
    <s v="GBPR_MUNIWASTE"/>
    <x v="0"/>
    <x v="1"/>
    <n v="52.086977299879898"/>
    <n v="19011.7467144562"/>
    <n v="68442.288172042201"/>
  </r>
  <r>
    <x v="0"/>
    <x v="0"/>
    <x v="0"/>
    <x v="2"/>
    <x v="6"/>
    <s v="NO1_A2"/>
    <x v="1"/>
    <s v="GBPR_MUNIWASTE"/>
    <x v="0"/>
    <x v="2"/>
    <n v="52.086977299879898"/>
    <n v="19011.7467144562"/>
    <n v="68442.288172042201"/>
  </r>
  <r>
    <x v="0"/>
    <x v="0"/>
    <x v="0"/>
    <x v="2"/>
    <x v="6"/>
    <s v="NO1_A2"/>
    <x v="1"/>
    <s v="GBPR_MUNIWASTE"/>
    <x v="0"/>
    <x v="3"/>
    <n v="52.086977299879898"/>
    <n v="19011.7467144562"/>
    <n v="68442.288172042201"/>
  </r>
  <r>
    <x v="0"/>
    <x v="0"/>
    <x v="0"/>
    <x v="2"/>
    <x v="6"/>
    <s v="NO1_A2"/>
    <x v="1"/>
    <s v="GBPR_MUNIWASTE"/>
    <x v="0"/>
    <x v="4"/>
    <n v="52.086977299879898"/>
    <n v="19011.7467144562"/>
    <n v="68442.288172042201"/>
  </r>
  <r>
    <x v="0"/>
    <x v="0"/>
    <x v="0"/>
    <x v="2"/>
    <x v="6"/>
    <s v="NO1_A2"/>
    <x v="1"/>
    <s v="GBPR_MUNIWASTE"/>
    <x v="0"/>
    <x v="5"/>
    <n v="52.086977299879898"/>
    <n v="19011.7467144562"/>
    <n v="68442.288172042201"/>
  </r>
  <r>
    <x v="0"/>
    <x v="0"/>
    <x v="0"/>
    <x v="2"/>
    <x v="6"/>
    <s v="NO1_A2"/>
    <x v="1"/>
    <s v="GBPR_MUNIWASTE"/>
    <x v="0"/>
    <x v="6"/>
    <n v="52.086977299879898"/>
    <n v="19011.7467144562"/>
    <n v="68442.288172042201"/>
  </r>
  <r>
    <x v="0"/>
    <x v="0"/>
    <x v="0"/>
    <x v="2"/>
    <x v="6"/>
    <s v="NO1_A2"/>
    <x v="1"/>
    <s v="GBPR_MUNIWASTE"/>
    <x v="0"/>
    <x v="7"/>
    <n v="52.086977299879898"/>
    <n v="19011.7467144562"/>
    <n v="68442.288172042201"/>
  </r>
  <r>
    <x v="0"/>
    <x v="0"/>
    <x v="0"/>
    <x v="2"/>
    <x v="6"/>
    <s v="NO1_A2"/>
    <x v="1"/>
    <s v="GBPR_MUNIWASTE"/>
    <x v="0"/>
    <x v="8"/>
    <n v="52.086977299879898"/>
    <n v="19011.7467144562"/>
    <n v="68442.288172042201"/>
  </r>
  <r>
    <x v="0"/>
    <x v="0"/>
    <x v="0"/>
    <x v="2"/>
    <x v="6"/>
    <s v="NO1_A2"/>
    <x v="1"/>
    <s v="GBPR_MUNIWASTE"/>
    <x v="0"/>
    <x v="9"/>
    <n v="52.086977299879898"/>
    <n v="19011.7467144562"/>
    <n v="68442.288172042201"/>
  </r>
  <r>
    <x v="0"/>
    <x v="0"/>
    <x v="0"/>
    <x v="2"/>
    <x v="6"/>
    <s v="NO1_A2"/>
    <x v="1"/>
    <s v="GBPR_MUNIWASTE"/>
    <x v="0"/>
    <x v="10"/>
    <n v="52.086977299879898"/>
    <n v="19011.7467144562"/>
    <n v="68442.288172042201"/>
  </r>
  <r>
    <x v="0"/>
    <x v="0"/>
    <x v="0"/>
    <x v="2"/>
    <x v="6"/>
    <s v="NO1_A2"/>
    <x v="1"/>
    <s v="GBPR_MUNIWASTE"/>
    <x v="0"/>
    <x v="11"/>
    <n v="52.086977299879898"/>
    <n v="19011.7467144562"/>
    <n v="68442.288172042201"/>
  </r>
  <r>
    <x v="0"/>
    <x v="0"/>
    <x v="0"/>
    <x v="2"/>
    <x v="6"/>
    <s v="NO1_A2"/>
    <x v="1"/>
    <s v="GBPR_MUNIWASTE"/>
    <x v="0"/>
    <x v="12"/>
    <n v="52.086977299879898"/>
    <n v="19011.7467144562"/>
    <n v="68442.288172042201"/>
  </r>
  <r>
    <x v="0"/>
    <x v="0"/>
    <x v="0"/>
    <x v="2"/>
    <x v="6"/>
    <s v="NO1_A2"/>
    <x v="1"/>
    <s v="GBPR_MUNIWASTE"/>
    <x v="0"/>
    <x v="13"/>
    <n v="52.086977299879898"/>
    <n v="19011.7467144562"/>
    <n v="68442.288172042201"/>
  </r>
  <r>
    <x v="0"/>
    <x v="0"/>
    <x v="0"/>
    <x v="2"/>
    <x v="6"/>
    <s v="NO1_A2"/>
    <x v="1"/>
    <s v="GBPR_MUNIWASTE"/>
    <x v="0"/>
    <x v="14"/>
    <n v="52.086977299879898"/>
    <n v="19011.7467144562"/>
    <n v="68442.288172042201"/>
  </r>
  <r>
    <x v="0"/>
    <x v="0"/>
    <x v="0"/>
    <x v="2"/>
    <x v="6"/>
    <s v="NO1_A2"/>
    <x v="1"/>
    <s v="GBPR_MUNIWASTE"/>
    <x v="0"/>
    <x v="15"/>
    <n v="52.086977299879898"/>
    <n v="19011.7467144562"/>
    <n v="68442.288172042201"/>
  </r>
  <r>
    <x v="0"/>
    <x v="0"/>
    <x v="0"/>
    <x v="2"/>
    <x v="6"/>
    <s v="NO1_A2"/>
    <x v="1"/>
    <s v="GBPR_MUNIWASTE"/>
    <x v="0"/>
    <x v="16"/>
    <n v="52.086977299879898"/>
    <n v="19011.7467144562"/>
    <n v="68442.288172042201"/>
  </r>
  <r>
    <x v="0"/>
    <x v="0"/>
    <x v="0"/>
    <x v="2"/>
    <x v="6"/>
    <s v="NO1_A2"/>
    <x v="1"/>
    <s v="GBPR_MUNIWASTE"/>
    <x v="0"/>
    <x v="17"/>
    <n v="52.086977299879898"/>
    <n v="19011.7467144562"/>
    <n v="68442.288172042201"/>
  </r>
  <r>
    <x v="0"/>
    <x v="0"/>
    <x v="0"/>
    <x v="2"/>
    <x v="6"/>
    <s v="NO1_A2"/>
    <x v="1"/>
    <s v="GBPR_MUNIWASTE"/>
    <x v="0"/>
    <x v="18"/>
    <n v="52.086977299879898"/>
    <n v="19011.7467144562"/>
    <n v="68442.288172042201"/>
  </r>
  <r>
    <x v="0"/>
    <x v="0"/>
    <x v="0"/>
    <x v="2"/>
    <x v="6"/>
    <s v="NO1_A2"/>
    <x v="1"/>
    <s v="GBPR_MUNIWASTE"/>
    <x v="0"/>
    <x v="19"/>
    <n v="52.086977299879898"/>
    <n v="19011.7467144562"/>
    <n v="68442.288172042201"/>
  </r>
  <r>
    <x v="0"/>
    <x v="0"/>
    <x v="0"/>
    <x v="2"/>
    <x v="6"/>
    <s v="NO1_A2"/>
    <x v="1"/>
    <s v="GBPR_MUNIWASTE"/>
    <x v="0"/>
    <x v="20"/>
    <n v="52.086977299879898"/>
    <n v="19011.7467144562"/>
    <n v="68442.288172042201"/>
  </r>
  <r>
    <x v="0"/>
    <x v="0"/>
    <x v="0"/>
    <x v="2"/>
    <x v="6"/>
    <s v="NO1_A2"/>
    <x v="1"/>
    <s v="GBPR_MUNIWASTE"/>
    <x v="0"/>
    <x v="21"/>
    <n v="52.086977299879898"/>
    <n v="19011.7467144562"/>
    <n v="68442.288172042201"/>
  </r>
  <r>
    <x v="0"/>
    <x v="0"/>
    <x v="0"/>
    <x v="2"/>
    <x v="6"/>
    <s v="NO1_A2"/>
    <x v="1"/>
    <s v="GBPR_MUNIWASTE"/>
    <x v="0"/>
    <x v="22"/>
    <n v="52.086977299879898"/>
    <n v="19011.7467144562"/>
    <n v="68442.288172042201"/>
  </r>
  <r>
    <x v="0"/>
    <x v="0"/>
    <x v="0"/>
    <x v="2"/>
    <x v="6"/>
    <s v="NO1_A2"/>
    <x v="1"/>
    <s v="GBPR_MUNIWASTE"/>
    <x v="0"/>
    <x v="23"/>
    <n v="52.086977299879898"/>
    <n v="19011.7467144562"/>
    <n v="68442.288172042201"/>
  </r>
  <r>
    <x v="0"/>
    <x v="0"/>
    <x v="0"/>
    <x v="2"/>
    <x v="6"/>
    <s v="NO1_A2"/>
    <x v="1"/>
    <s v="GHOB_MUNIWASTE"/>
    <x v="0"/>
    <x v="0"/>
    <n v="37.647058823529399"/>
    <n v="13741.1764705882"/>
    <n v="49468.235294117701"/>
  </r>
  <r>
    <x v="0"/>
    <x v="0"/>
    <x v="0"/>
    <x v="2"/>
    <x v="6"/>
    <s v="NO1_A2"/>
    <x v="1"/>
    <s v="GHOB_MUNIWASTE"/>
    <x v="0"/>
    <x v="1"/>
    <n v="37.647058823529399"/>
    <n v="13741.1764705882"/>
    <n v="49468.235294117701"/>
  </r>
  <r>
    <x v="0"/>
    <x v="0"/>
    <x v="0"/>
    <x v="2"/>
    <x v="6"/>
    <s v="NO1_A2"/>
    <x v="1"/>
    <s v="GHOB_MUNIWASTE"/>
    <x v="0"/>
    <x v="2"/>
    <n v="37.647058823529399"/>
    <n v="13741.1764705882"/>
    <n v="49468.235294117701"/>
  </r>
  <r>
    <x v="0"/>
    <x v="0"/>
    <x v="0"/>
    <x v="2"/>
    <x v="6"/>
    <s v="NO1_A2"/>
    <x v="1"/>
    <s v="GHOB_MUNIWASTE"/>
    <x v="0"/>
    <x v="3"/>
    <n v="37.647058823529399"/>
    <n v="13741.1764705882"/>
    <n v="49468.235294117701"/>
  </r>
  <r>
    <x v="0"/>
    <x v="0"/>
    <x v="0"/>
    <x v="2"/>
    <x v="6"/>
    <s v="NO1_A2"/>
    <x v="1"/>
    <s v="GHOB_MUNIWASTE"/>
    <x v="0"/>
    <x v="4"/>
    <n v="37.647058823529399"/>
    <n v="13741.1764705882"/>
    <n v="49468.235294117701"/>
  </r>
  <r>
    <x v="0"/>
    <x v="0"/>
    <x v="0"/>
    <x v="2"/>
    <x v="6"/>
    <s v="NO1_A2"/>
    <x v="1"/>
    <s v="GHOB_MUNIWASTE"/>
    <x v="0"/>
    <x v="5"/>
    <n v="37.647058823529399"/>
    <n v="13741.1764705882"/>
    <n v="49468.235294117701"/>
  </r>
  <r>
    <x v="0"/>
    <x v="0"/>
    <x v="0"/>
    <x v="2"/>
    <x v="6"/>
    <s v="NO1_A2"/>
    <x v="1"/>
    <s v="GHOB_MUNIWASTE"/>
    <x v="0"/>
    <x v="6"/>
    <n v="37.647058823529399"/>
    <n v="13741.1764705882"/>
    <n v="49468.235294117701"/>
  </r>
  <r>
    <x v="0"/>
    <x v="0"/>
    <x v="0"/>
    <x v="2"/>
    <x v="6"/>
    <s v="NO1_A2"/>
    <x v="1"/>
    <s v="GHOB_MUNIWASTE"/>
    <x v="0"/>
    <x v="7"/>
    <n v="37.647058823529399"/>
    <n v="13741.1764705882"/>
    <n v="49468.235294117701"/>
  </r>
  <r>
    <x v="0"/>
    <x v="0"/>
    <x v="0"/>
    <x v="2"/>
    <x v="6"/>
    <s v="NO1_A2"/>
    <x v="1"/>
    <s v="GHOB_MUNIWASTE"/>
    <x v="0"/>
    <x v="8"/>
    <n v="37.647058823529399"/>
    <n v="13741.1764705882"/>
    <n v="49468.235294117701"/>
  </r>
  <r>
    <x v="0"/>
    <x v="0"/>
    <x v="0"/>
    <x v="2"/>
    <x v="6"/>
    <s v="NO1_A2"/>
    <x v="1"/>
    <s v="GHOB_MUNIWASTE"/>
    <x v="0"/>
    <x v="9"/>
    <n v="37.647058823529399"/>
    <n v="13741.1764705882"/>
    <n v="49468.235294117701"/>
  </r>
  <r>
    <x v="0"/>
    <x v="0"/>
    <x v="0"/>
    <x v="2"/>
    <x v="6"/>
    <s v="NO1_A2"/>
    <x v="1"/>
    <s v="GHOB_MUNIWASTE"/>
    <x v="0"/>
    <x v="10"/>
    <n v="37.647058823529399"/>
    <n v="13741.1764705882"/>
    <n v="49468.235294117701"/>
  </r>
  <r>
    <x v="0"/>
    <x v="0"/>
    <x v="0"/>
    <x v="2"/>
    <x v="6"/>
    <s v="NO1_A2"/>
    <x v="1"/>
    <s v="GHOB_MUNIWASTE"/>
    <x v="0"/>
    <x v="11"/>
    <n v="37.647058823529399"/>
    <n v="13741.1764705882"/>
    <n v="49468.235294117701"/>
  </r>
  <r>
    <x v="0"/>
    <x v="0"/>
    <x v="0"/>
    <x v="2"/>
    <x v="6"/>
    <s v="NO1_A2"/>
    <x v="1"/>
    <s v="GHOB_MUNIWASTE"/>
    <x v="0"/>
    <x v="12"/>
    <n v="37.647058823529399"/>
    <n v="13741.1764705882"/>
    <n v="49468.235294117701"/>
  </r>
  <r>
    <x v="0"/>
    <x v="0"/>
    <x v="0"/>
    <x v="2"/>
    <x v="6"/>
    <s v="NO1_A2"/>
    <x v="1"/>
    <s v="GHOB_MUNIWASTE"/>
    <x v="0"/>
    <x v="13"/>
    <n v="37.647058823529399"/>
    <n v="13741.1764705882"/>
    <n v="49468.235294117701"/>
  </r>
  <r>
    <x v="0"/>
    <x v="0"/>
    <x v="0"/>
    <x v="2"/>
    <x v="6"/>
    <s v="NO1_A2"/>
    <x v="1"/>
    <s v="GHOB_MUNIWASTE"/>
    <x v="0"/>
    <x v="14"/>
    <n v="37.647058823529399"/>
    <n v="13741.1764705882"/>
    <n v="49468.235294117701"/>
  </r>
  <r>
    <x v="0"/>
    <x v="0"/>
    <x v="0"/>
    <x v="2"/>
    <x v="6"/>
    <s v="NO1_A2"/>
    <x v="1"/>
    <s v="GHOB_MUNIWASTE"/>
    <x v="0"/>
    <x v="15"/>
    <n v="37.647058823529399"/>
    <n v="13741.1764705882"/>
    <n v="49468.235294117701"/>
  </r>
  <r>
    <x v="0"/>
    <x v="0"/>
    <x v="0"/>
    <x v="2"/>
    <x v="6"/>
    <s v="NO1_A2"/>
    <x v="1"/>
    <s v="GHOB_MUNIWASTE"/>
    <x v="0"/>
    <x v="16"/>
    <n v="37.647058823529399"/>
    <n v="13741.1764705882"/>
    <n v="49468.235294117701"/>
  </r>
  <r>
    <x v="0"/>
    <x v="0"/>
    <x v="0"/>
    <x v="2"/>
    <x v="6"/>
    <s v="NO1_A2"/>
    <x v="1"/>
    <s v="GHOB_MUNIWASTE"/>
    <x v="0"/>
    <x v="17"/>
    <n v="37.647058823529399"/>
    <n v="13741.1764705882"/>
    <n v="49468.235294117701"/>
  </r>
  <r>
    <x v="0"/>
    <x v="0"/>
    <x v="0"/>
    <x v="2"/>
    <x v="6"/>
    <s v="NO1_A2"/>
    <x v="1"/>
    <s v="GHOB_MUNIWASTE"/>
    <x v="0"/>
    <x v="18"/>
    <n v="37.647058823529399"/>
    <n v="13741.1764705882"/>
    <n v="49468.235294117701"/>
  </r>
  <r>
    <x v="0"/>
    <x v="0"/>
    <x v="0"/>
    <x v="2"/>
    <x v="6"/>
    <s v="NO1_A2"/>
    <x v="1"/>
    <s v="GHOB_MUNIWASTE"/>
    <x v="0"/>
    <x v="19"/>
    <n v="37.647058823529399"/>
    <n v="13741.1764705882"/>
    <n v="49468.235294117701"/>
  </r>
  <r>
    <x v="0"/>
    <x v="0"/>
    <x v="0"/>
    <x v="2"/>
    <x v="6"/>
    <s v="NO1_A2"/>
    <x v="1"/>
    <s v="GHOB_MUNIWASTE"/>
    <x v="0"/>
    <x v="20"/>
    <n v="37.647058823529399"/>
    <n v="13741.1764705882"/>
    <n v="49468.235294117701"/>
  </r>
  <r>
    <x v="0"/>
    <x v="0"/>
    <x v="0"/>
    <x v="2"/>
    <x v="6"/>
    <s v="NO1_A2"/>
    <x v="1"/>
    <s v="GHOB_MUNIWASTE"/>
    <x v="0"/>
    <x v="21"/>
    <n v="37.647058823529399"/>
    <n v="13741.1764705882"/>
    <n v="49468.235294117701"/>
  </r>
  <r>
    <x v="0"/>
    <x v="0"/>
    <x v="0"/>
    <x v="2"/>
    <x v="6"/>
    <s v="NO1_A2"/>
    <x v="1"/>
    <s v="GHOB_MUNIWASTE"/>
    <x v="0"/>
    <x v="22"/>
    <n v="37.647058823529399"/>
    <n v="13741.1764705882"/>
    <n v="49468.235294117701"/>
  </r>
  <r>
    <x v="0"/>
    <x v="0"/>
    <x v="0"/>
    <x v="2"/>
    <x v="6"/>
    <s v="NO1_A2"/>
    <x v="1"/>
    <s v="GHOB_MUNIWASTE"/>
    <x v="0"/>
    <x v="23"/>
    <n v="37.647058823529399"/>
    <n v="13741.1764705882"/>
    <n v="49468.235294117701"/>
  </r>
  <r>
    <x v="0"/>
    <x v="0"/>
    <x v="0"/>
    <x v="2"/>
    <x v="6"/>
    <s v="NO1_A2"/>
    <x v="9"/>
    <s v="GHOB_WOODWASTE"/>
    <x v="0"/>
    <x v="4"/>
    <n v="18.823529411764699"/>
    <n v="6870.5882352941198"/>
    <n v="24734.1176470588"/>
  </r>
  <r>
    <x v="0"/>
    <x v="0"/>
    <x v="0"/>
    <x v="2"/>
    <x v="6"/>
    <s v="NO1_A2"/>
    <x v="9"/>
    <s v="GHOB_WOODWASTE"/>
    <x v="0"/>
    <x v="5"/>
    <n v="18.823529411764699"/>
    <n v="6870.5882352941198"/>
    <n v="24734.1176470588"/>
  </r>
  <r>
    <x v="0"/>
    <x v="0"/>
    <x v="0"/>
    <x v="2"/>
    <x v="6"/>
    <s v="NO1_A2"/>
    <x v="9"/>
    <s v="GHOB_WOODWASTE"/>
    <x v="0"/>
    <x v="6"/>
    <n v="18.823529411764699"/>
    <n v="6870.5882352941198"/>
    <n v="24734.1176470588"/>
  </r>
  <r>
    <x v="0"/>
    <x v="0"/>
    <x v="0"/>
    <x v="2"/>
    <x v="6"/>
    <s v="NO1_A2"/>
    <x v="9"/>
    <s v="GHOB_WOODWASTE"/>
    <x v="0"/>
    <x v="7"/>
    <n v="18.823529411764699"/>
    <n v="6870.5882352941198"/>
    <n v="24734.1176470588"/>
  </r>
  <r>
    <x v="0"/>
    <x v="0"/>
    <x v="0"/>
    <x v="2"/>
    <x v="6"/>
    <s v="NO1_A2"/>
    <x v="9"/>
    <s v="GHOB_WOODWASTE"/>
    <x v="0"/>
    <x v="8"/>
    <n v="18.823529411764699"/>
    <n v="6870.5882352941198"/>
    <n v="24734.1176470588"/>
  </r>
  <r>
    <x v="0"/>
    <x v="0"/>
    <x v="0"/>
    <x v="2"/>
    <x v="6"/>
    <s v="NO1_A2"/>
    <x v="9"/>
    <s v="GHOB_WOODWASTE"/>
    <x v="0"/>
    <x v="9"/>
    <n v="18.823529411764699"/>
    <n v="6870.5882352941198"/>
    <n v="24734.1176470588"/>
  </r>
  <r>
    <x v="0"/>
    <x v="0"/>
    <x v="0"/>
    <x v="2"/>
    <x v="6"/>
    <s v="NO1_A2"/>
    <x v="9"/>
    <s v="GHOB_WOODWASTE"/>
    <x v="0"/>
    <x v="10"/>
    <n v="18.823529411764699"/>
    <n v="6870.5882352941198"/>
    <n v="24734.1176470588"/>
  </r>
  <r>
    <x v="0"/>
    <x v="0"/>
    <x v="0"/>
    <x v="2"/>
    <x v="6"/>
    <s v="NO1_A2"/>
    <x v="9"/>
    <s v="GHOB_WOODWASTE"/>
    <x v="0"/>
    <x v="11"/>
    <n v="18.823529411764699"/>
    <n v="6870.5882352941198"/>
    <n v="24734.1176470588"/>
  </r>
  <r>
    <x v="0"/>
    <x v="0"/>
    <x v="0"/>
    <x v="2"/>
    <x v="6"/>
    <s v="NO1_A2"/>
    <x v="9"/>
    <s v="GHOB_WOODWASTE"/>
    <x v="0"/>
    <x v="12"/>
    <n v="18.823529411764699"/>
    <n v="6870.5882352941198"/>
    <n v="24734.1176470588"/>
  </r>
  <r>
    <x v="0"/>
    <x v="0"/>
    <x v="0"/>
    <x v="2"/>
    <x v="6"/>
    <s v="NO1_A2"/>
    <x v="9"/>
    <s v="GHOB_WOODWASTE"/>
    <x v="0"/>
    <x v="13"/>
    <n v="18.823529411764699"/>
    <n v="6870.5882352941198"/>
    <n v="24734.1176470588"/>
  </r>
  <r>
    <x v="0"/>
    <x v="0"/>
    <x v="0"/>
    <x v="2"/>
    <x v="6"/>
    <s v="NO1_A2"/>
    <x v="9"/>
    <s v="GHOB_WOODWASTE"/>
    <x v="0"/>
    <x v="14"/>
    <n v="18.823529411764699"/>
    <n v="6870.5882352941198"/>
    <n v="24734.1176470588"/>
  </r>
  <r>
    <x v="0"/>
    <x v="0"/>
    <x v="0"/>
    <x v="2"/>
    <x v="6"/>
    <s v="NO1_A2"/>
    <x v="9"/>
    <s v="GHOB_WOODWASTE"/>
    <x v="0"/>
    <x v="15"/>
    <n v="14.567131069263199"/>
    <n v="5317.0028402810804"/>
    <n v="19141.210225011899"/>
  </r>
  <r>
    <x v="0"/>
    <x v="0"/>
    <x v="0"/>
    <x v="2"/>
    <x v="6"/>
    <s v="NO1_A2"/>
    <x v="9"/>
    <s v="GHOB_WOODWASTE"/>
    <x v="0"/>
    <x v="16"/>
    <n v="7.5136633618112203"/>
    <n v="2742.4871270611002"/>
    <n v="9872.9536574199392"/>
  </r>
  <r>
    <x v="0"/>
    <x v="0"/>
    <x v="0"/>
    <x v="2"/>
    <x v="6"/>
    <s v="NO1_A2"/>
    <x v="9"/>
    <s v="GHOB_WOODWASTE"/>
    <x v="0"/>
    <x v="17"/>
    <n v="0.43333025772526002"/>
    <n v="158.16554406972"/>
    <n v="569.39595865099102"/>
  </r>
  <r>
    <x v="0"/>
    <x v="0"/>
    <x v="0"/>
    <x v="2"/>
    <x v="6"/>
    <s v="NO1_A2"/>
    <x v="9"/>
    <s v="GHOB_WOODWASTE"/>
    <x v="0"/>
    <x v="18"/>
    <n v="1.7323052037942299"/>
    <n v="632.29139938489402"/>
    <n v="2276.2490377856202"/>
  </r>
  <r>
    <x v="0"/>
    <x v="0"/>
    <x v="0"/>
    <x v="2"/>
    <x v="6"/>
    <s v="NO1_A2"/>
    <x v="9"/>
    <s v="GHOB_WOODWASTE"/>
    <x v="0"/>
    <x v="19"/>
    <n v="3.1064875972013102"/>
    <n v="1133.8679729784801"/>
    <n v="4081.9247027225301"/>
  </r>
  <r>
    <x v="0"/>
    <x v="0"/>
    <x v="0"/>
    <x v="2"/>
    <x v="6"/>
    <s v="NO1_A2"/>
    <x v="9"/>
    <s v="GHOB_WOODWASTE"/>
    <x v="0"/>
    <x v="20"/>
    <n v="0.19147136428730599"/>
    <n v="69.887047964866795"/>
    <n v="251.59337267352001"/>
  </r>
  <r>
    <x v="0"/>
    <x v="0"/>
    <x v="0"/>
    <x v="2"/>
    <x v="7"/>
    <s v="NO2_A1"/>
    <x v="13"/>
    <s v="GHOB_LNG"/>
    <x v="0"/>
    <x v="7"/>
    <n v="7.2176470588235304"/>
    <n v="2634.4411764705901"/>
    <n v="9483.9882352941204"/>
  </r>
  <r>
    <x v="0"/>
    <x v="0"/>
    <x v="0"/>
    <x v="2"/>
    <x v="7"/>
    <s v="NO2_A1"/>
    <x v="13"/>
    <s v="GHOB_LNG"/>
    <x v="0"/>
    <x v="8"/>
    <n v="6.57076567770034"/>
    <n v="2398.32947236062"/>
    <n v="8633.9861004982395"/>
  </r>
  <r>
    <x v="0"/>
    <x v="0"/>
    <x v="0"/>
    <x v="2"/>
    <x v="7"/>
    <s v="NO2_A1"/>
    <x v="13"/>
    <s v="GHOB_LNG"/>
    <x v="0"/>
    <x v="9"/>
    <n v="2.75880943998175"/>
    <n v="1006.96544559334"/>
    <n v="3625.0756041360301"/>
  </r>
  <r>
    <x v="0"/>
    <x v="0"/>
    <x v="0"/>
    <x v="2"/>
    <x v="7"/>
    <s v="NO2_A1"/>
    <x v="13"/>
    <s v="GHOB_LNG"/>
    <x v="0"/>
    <x v="11"/>
    <n v="7.2176470588235304"/>
    <n v="2634.4411764705901"/>
    <n v="9483.9882352941204"/>
  </r>
  <r>
    <x v="0"/>
    <x v="0"/>
    <x v="0"/>
    <x v="2"/>
    <x v="7"/>
    <s v="NO2_A1"/>
    <x v="13"/>
    <s v="GHOB_LNG"/>
    <x v="0"/>
    <x v="13"/>
    <n v="7.2176470588235304"/>
    <n v="2634.4411764705901"/>
    <n v="9483.9882352941204"/>
  </r>
  <r>
    <x v="0"/>
    <x v="0"/>
    <x v="0"/>
    <x v="2"/>
    <x v="7"/>
    <s v="NO2_A1"/>
    <x v="13"/>
    <s v="GHOB_LNG"/>
    <x v="0"/>
    <x v="15"/>
    <n v="3.6225305600712101"/>
    <n v="1322.2236544259899"/>
    <n v="4760.0051559335798"/>
  </r>
  <r>
    <x v="0"/>
    <x v="0"/>
    <x v="0"/>
    <x v="2"/>
    <x v="7"/>
    <s v="NO2_A1"/>
    <x v="13"/>
    <s v="GHOB_LNG"/>
    <x v="0"/>
    <x v="16"/>
    <n v="1.4419394923742499"/>
    <n v="526.30791471659995"/>
    <n v="1894.70849297976"/>
  </r>
  <r>
    <x v="0"/>
    <x v="0"/>
    <x v="0"/>
    <x v="2"/>
    <x v="7"/>
    <s v="NO2_A1"/>
    <x v="13"/>
    <s v="GHOB_LNG"/>
    <x v="0"/>
    <x v="17"/>
    <n v="3.6890028021031501E-2"/>
    <n v="13.4648602276765"/>
    <n v="48.4734968196354"/>
  </r>
  <r>
    <x v="0"/>
    <x v="0"/>
    <x v="0"/>
    <x v="2"/>
    <x v="7"/>
    <s v="NO2_A1"/>
    <x v="13"/>
    <s v="GHOB_LPG"/>
    <x v="0"/>
    <x v="5"/>
    <n v="4.8602715631492002"/>
    <n v="1773.99912054946"/>
    <n v="6386.3968339780504"/>
  </r>
  <r>
    <x v="0"/>
    <x v="0"/>
    <x v="0"/>
    <x v="2"/>
    <x v="7"/>
    <s v="NO2_A1"/>
    <x v="13"/>
    <s v="GHOB_LPG"/>
    <x v="0"/>
    <x v="6"/>
    <n v="15.219916730655701"/>
    <n v="5555.2696066893204"/>
    <n v="19998.970584081599"/>
  </r>
  <r>
    <x v="0"/>
    <x v="0"/>
    <x v="0"/>
    <x v="2"/>
    <x v="7"/>
    <s v="NO2_A1"/>
    <x v="13"/>
    <s v="GHOB_LPG"/>
    <x v="0"/>
    <x v="7"/>
    <n v="15.3270678142749"/>
    <n v="5594.3797522103296"/>
    <n v="20139.767107957199"/>
  </r>
  <r>
    <x v="0"/>
    <x v="0"/>
    <x v="0"/>
    <x v="2"/>
    <x v="7"/>
    <s v="NO2_A1"/>
    <x v="13"/>
    <s v="GHOB_LPG"/>
    <x v="0"/>
    <x v="8"/>
    <n v="16.470588235294102"/>
    <n v="6011.7647058823504"/>
    <n v="21642.352941176501"/>
  </r>
  <r>
    <x v="0"/>
    <x v="0"/>
    <x v="0"/>
    <x v="2"/>
    <x v="7"/>
    <s v="NO2_A1"/>
    <x v="13"/>
    <s v="GHOB_LPG"/>
    <x v="0"/>
    <x v="9"/>
    <n v="16.470588235294102"/>
    <n v="6011.7647058823504"/>
    <n v="21642.352941176501"/>
  </r>
  <r>
    <x v="0"/>
    <x v="0"/>
    <x v="0"/>
    <x v="2"/>
    <x v="7"/>
    <s v="NO2_A1"/>
    <x v="13"/>
    <s v="GHOB_LPG"/>
    <x v="0"/>
    <x v="10"/>
    <n v="15.226839258559901"/>
    <n v="5557.7963293743496"/>
    <n v="20008.066785747698"/>
  </r>
  <r>
    <x v="0"/>
    <x v="0"/>
    <x v="0"/>
    <x v="2"/>
    <x v="7"/>
    <s v="NO2_A1"/>
    <x v="13"/>
    <s v="GHOB_LPG"/>
    <x v="0"/>
    <x v="11"/>
    <n v="5.0912567596707703"/>
    <n v="1858.30871727983"/>
    <n v="6689.9113822073996"/>
  </r>
  <r>
    <x v="0"/>
    <x v="0"/>
    <x v="0"/>
    <x v="2"/>
    <x v="7"/>
    <s v="NO2_A1"/>
    <x v="13"/>
    <s v="GHOB_LPG"/>
    <x v="0"/>
    <x v="12"/>
    <n v="10.012397854918101"/>
    <n v="3654.5252170451099"/>
    <n v="13156.290781362401"/>
  </r>
  <r>
    <x v="0"/>
    <x v="0"/>
    <x v="0"/>
    <x v="2"/>
    <x v="7"/>
    <s v="NO2_A1"/>
    <x v="13"/>
    <s v="GHOB_LPG"/>
    <x v="0"/>
    <x v="13"/>
    <n v="0.86698843593779895"/>
    <n v="316.45077911729697"/>
    <n v="1139.2228048222701"/>
  </r>
  <r>
    <x v="0"/>
    <x v="0"/>
    <x v="0"/>
    <x v="2"/>
    <x v="7"/>
    <s v="NO2_A1"/>
    <x v="13"/>
    <s v="GHOB_LPG"/>
    <x v="0"/>
    <x v="14"/>
    <n v="6.2088959043893297"/>
    <n v="2266.2470051021101"/>
    <n v="8158.4892183675802"/>
  </r>
  <r>
    <x v="0"/>
    <x v="0"/>
    <x v="0"/>
    <x v="2"/>
    <x v="7"/>
    <s v="NO2_A1"/>
    <x v="13"/>
    <s v="GHOB_LPG"/>
    <x v="0"/>
    <x v="19"/>
    <n v="0.45950050572266299"/>
    <n v="167.71768458877199"/>
    <n v="603.78366451957902"/>
  </r>
  <r>
    <x v="0"/>
    <x v="0"/>
    <x v="0"/>
    <x v="2"/>
    <x v="7"/>
    <s v="NO2_A1"/>
    <x v="1"/>
    <s v="GBPR_MUNIWASTE"/>
    <x v="0"/>
    <x v="0"/>
    <n v="47.6646777189993"/>
    <n v="17397.607367434699"/>
    <n v="62631.386522765002"/>
  </r>
  <r>
    <x v="0"/>
    <x v="0"/>
    <x v="0"/>
    <x v="2"/>
    <x v="7"/>
    <s v="NO2_A1"/>
    <x v="1"/>
    <s v="GBPR_MUNIWASTE"/>
    <x v="0"/>
    <x v="1"/>
    <n v="48.830707379524199"/>
    <n v="17823.208193526301"/>
    <n v="64163.549496694803"/>
  </r>
  <r>
    <x v="0"/>
    <x v="0"/>
    <x v="0"/>
    <x v="2"/>
    <x v="7"/>
    <s v="NO2_A1"/>
    <x v="1"/>
    <s v="GBPR_MUNIWASTE"/>
    <x v="0"/>
    <x v="2"/>
    <n v="49.437211469832903"/>
    <n v="18044.582186488999"/>
    <n v="64960.495871360399"/>
  </r>
  <r>
    <x v="0"/>
    <x v="0"/>
    <x v="0"/>
    <x v="2"/>
    <x v="7"/>
    <s v="NO2_A1"/>
    <x v="1"/>
    <s v="GBPR_MUNIWASTE"/>
    <x v="0"/>
    <x v="3"/>
    <n v="50.709677419354797"/>
    <n v="18509.032258064501"/>
    <n v="66632.516129032301"/>
  </r>
  <r>
    <x v="0"/>
    <x v="0"/>
    <x v="0"/>
    <x v="2"/>
    <x v="7"/>
    <s v="NO2_A1"/>
    <x v="1"/>
    <s v="GBPR_MUNIWASTE"/>
    <x v="0"/>
    <x v="4"/>
    <n v="50.709677419354797"/>
    <n v="18509.032258064501"/>
    <n v="66632.516129032301"/>
  </r>
  <r>
    <x v="0"/>
    <x v="0"/>
    <x v="0"/>
    <x v="2"/>
    <x v="7"/>
    <s v="NO2_A1"/>
    <x v="1"/>
    <s v="GBPR_MUNIWASTE"/>
    <x v="0"/>
    <x v="5"/>
    <n v="50.709677419354797"/>
    <n v="18509.032258064501"/>
    <n v="66632.516129032301"/>
  </r>
  <r>
    <x v="0"/>
    <x v="0"/>
    <x v="0"/>
    <x v="2"/>
    <x v="7"/>
    <s v="NO2_A1"/>
    <x v="1"/>
    <s v="GBPR_MUNIWASTE"/>
    <x v="0"/>
    <x v="6"/>
    <n v="50.709677419354797"/>
    <n v="18509.032258064501"/>
    <n v="66632.516129032301"/>
  </r>
  <r>
    <x v="0"/>
    <x v="0"/>
    <x v="0"/>
    <x v="2"/>
    <x v="7"/>
    <s v="NO2_A1"/>
    <x v="1"/>
    <s v="GBPR_MUNIWASTE"/>
    <x v="0"/>
    <x v="7"/>
    <n v="50.709677419354797"/>
    <n v="18509.032258064501"/>
    <n v="66632.516129032301"/>
  </r>
  <r>
    <x v="0"/>
    <x v="0"/>
    <x v="0"/>
    <x v="2"/>
    <x v="7"/>
    <s v="NO2_A1"/>
    <x v="1"/>
    <s v="GBPR_MUNIWASTE"/>
    <x v="0"/>
    <x v="8"/>
    <n v="50.709677419354797"/>
    <n v="18509.032258064501"/>
    <n v="66632.516129032301"/>
  </r>
  <r>
    <x v="0"/>
    <x v="0"/>
    <x v="0"/>
    <x v="2"/>
    <x v="7"/>
    <s v="NO2_A1"/>
    <x v="1"/>
    <s v="GBPR_MUNIWASTE"/>
    <x v="0"/>
    <x v="9"/>
    <n v="50.709677419354797"/>
    <n v="18509.032258064501"/>
    <n v="66632.516129032301"/>
  </r>
  <r>
    <x v="0"/>
    <x v="0"/>
    <x v="0"/>
    <x v="2"/>
    <x v="7"/>
    <s v="NO2_A1"/>
    <x v="1"/>
    <s v="GBPR_MUNIWASTE"/>
    <x v="0"/>
    <x v="10"/>
    <n v="50.709677419354797"/>
    <n v="18509.032258064501"/>
    <n v="66632.516129032301"/>
  </r>
  <r>
    <x v="0"/>
    <x v="0"/>
    <x v="0"/>
    <x v="2"/>
    <x v="7"/>
    <s v="NO2_A1"/>
    <x v="1"/>
    <s v="GBPR_MUNIWASTE"/>
    <x v="0"/>
    <x v="11"/>
    <n v="50.709677419354797"/>
    <n v="18509.032258064501"/>
    <n v="66632.516129032301"/>
  </r>
  <r>
    <x v="0"/>
    <x v="0"/>
    <x v="0"/>
    <x v="2"/>
    <x v="7"/>
    <s v="NO2_A1"/>
    <x v="1"/>
    <s v="GBPR_MUNIWASTE"/>
    <x v="0"/>
    <x v="12"/>
    <n v="50.709677419354797"/>
    <n v="18509.032258064501"/>
    <n v="66632.516129032301"/>
  </r>
  <r>
    <x v="0"/>
    <x v="0"/>
    <x v="0"/>
    <x v="2"/>
    <x v="7"/>
    <s v="NO2_A1"/>
    <x v="1"/>
    <s v="GBPR_MUNIWASTE"/>
    <x v="0"/>
    <x v="13"/>
    <n v="50.709677419354797"/>
    <n v="18509.032258064501"/>
    <n v="66632.516129032301"/>
  </r>
  <r>
    <x v="0"/>
    <x v="0"/>
    <x v="0"/>
    <x v="2"/>
    <x v="7"/>
    <s v="NO2_A1"/>
    <x v="1"/>
    <s v="GBPR_MUNIWASTE"/>
    <x v="0"/>
    <x v="14"/>
    <n v="50.709677419354797"/>
    <n v="18509.032258064501"/>
    <n v="66632.516129032301"/>
  </r>
  <r>
    <x v="0"/>
    <x v="0"/>
    <x v="0"/>
    <x v="2"/>
    <x v="7"/>
    <s v="NO2_A1"/>
    <x v="1"/>
    <s v="GBPR_MUNIWASTE"/>
    <x v="0"/>
    <x v="15"/>
    <n v="50.709677419354797"/>
    <n v="18509.032258064501"/>
    <n v="66632.516129032301"/>
  </r>
  <r>
    <x v="0"/>
    <x v="0"/>
    <x v="0"/>
    <x v="2"/>
    <x v="7"/>
    <s v="NO2_A1"/>
    <x v="1"/>
    <s v="GBPR_MUNIWASTE"/>
    <x v="0"/>
    <x v="16"/>
    <n v="50.709677419354797"/>
    <n v="18509.032258064501"/>
    <n v="66632.516129032301"/>
  </r>
  <r>
    <x v="0"/>
    <x v="0"/>
    <x v="0"/>
    <x v="2"/>
    <x v="7"/>
    <s v="NO2_A1"/>
    <x v="1"/>
    <s v="GBPR_MUNIWASTE"/>
    <x v="0"/>
    <x v="17"/>
    <n v="50.709677419354797"/>
    <n v="18509.032258064501"/>
    <n v="66632.516129032301"/>
  </r>
  <r>
    <x v="0"/>
    <x v="0"/>
    <x v="0"/>
    <x v="2"/>
    <x v="7"/>
    <s v="NO2_A1"/>
    <x v="1"/>
    <s v="GBPR_MUNIWASTE"/>
    <x v="0"/>
    <x v="18"/>
    <n v="50.709677419354797"/>
    <n v="18509.032258064501"/>
    <n v="66632.516129032301"/>
  </r>
  <r>
    <x v="0"/>
    <x v="0"/>
    <x v="0"/>
    <x v="2"/>
    <x v="7"/>
    <s v="NO2_A1"/>
    <x v="1"/>
    <s v="GBPR_MUNIWASTE"/>
    <x v="0"/>
    <x v="19"/>
    <n v="50.709677419354797"/>
    <n v="18509.032258064501"/>
    <n v="66632.516129032301"/>
  </r>
  <r>
    <x v="0"/>
    <x v="0"/>
    <x v="0"/>
    <x v="2"/>
    <x v="7"/>
    <s v="NO2_A1"/>
    <x v="1"/>
    <s v="GBPR_MUNIWASTE"/>
    <x v="0"/>
    <x v="20"/>
    <n v="50.709677419354797"/>
    <n v="18509.032258064501"/>
    <n v="66632.516129032301"/>
  </r>
  <r>
    <x v="0"/>
    <x v="0"/>
    <x v="0"/>
    <x v="2"/>
    <x v="7"/>
    <s v="NO2_A1"/>
    <x v="1"/>
    <s v="GBPR_MUNIWASTE"/>
    <x v="0"/>
    <x v="21"/>
    <n v="50.709677419354797"/>
    <n v="18509.032258064501"/>
    <n v="66632.516129032301"/>
  </r>
  <r>
    <x v="0"/>
    <x v="0"/>
    <x v="0"/>
    <x v="2"/>
    <x v="7"/>
    <s v="NO2_A1"/>
    <x v="1"/>
    <s v="GBPR_MUNIWASTE"/>
    <x v="0"/>
    <x v="22"/>
    <n v="50.709677419354797"/>
    <n v="18509.032258064501"/>
    <n v="66632.516129032301"/>
  </r>
  <r>
    <x v="0"/>
    <x v="0"/>
    <x v="0"/>
    <x v="2"/>
    <x v="7"/>
    <s v="NO2_A1"/>
    <x v="1"/>
    <s v="GBPR_MUNIWASTE"/>
    <x v="0"/>
    <x v="23"/>
    <n v="50.476202949521003"/>
    <n v="18423.8140765752"/>
    <n v="66325.730675670595"/>
  </r>
  <r>
    <x v="0"/>
    <x v="0"/>
    <x v="0"/>
    <x v="2"/>
    <x v="7"/>
    <s v="NO2_A1"/>
    <x v="2"/>
    <s v="GHOB_WASTEHEAT"/>
    <x v="0"/>
    <x v="3"/>
    <n v="1.49228117845949"/>
    <n v="544.68263013771195"/>
    <n v="1960.85746849576"/>
  </r>
  <r>
    <x v="0"/>
    <x v="0"/>
    <x v="0"/>
    <x v="2"/>
    <x v="7"/>
    <s v="NO2_A1"/>
    <x v="2"/>
    <s v="GHOB_WASTEHEAT"/>
    <x v="0"/>
    <x v="4"/>
    <n v="5.00931586354762"/>
    <n v="1828.40029019488"/>
    <n v="6582.24104470157"/>
  </r>
  <r>
    <x v="0"/>
    <x v="0"/>
    <x v="0"/>
    <x v="2"/>
    <x v="7"/>
    <s v="NO2_A1"/>
    <x v="2"/>
    <s v="GHOB_WASTEHEAT"/>
    <x v="0"/>
    <x v="5"/>
    <n v="5.8693910256409998"/>
    <n v="2142.32772435897"/>
    <n v="7712.3798076922803"/>
  </r>
  <r>
    <x v="0"/>
    <x v="0"/>
    <x v="0"/>
    <x v="2"/>
    <x v="7"/>
    <s v="NO2_A1"/>
    <x v="2"/>
    <s v="GHOB_WASTEHEAT"/>
    <x v="0"/>
    <x v="6"/>
    <n v="5.8693910256409998"/>
    <n v="2142.32772435897"/>
    <n v="7712.3798076922803"/>
  </r>
  <r>
    <x v="0"/>
    <x v="0"/>
    <x v="0"/>
    <x v="2"/>
    <x v="7"/>
    <s v="NO2_A1"/>
    <x v="2"/>
    <s v="GHOB_WASTEHEAT"/>
    <x v="0"/>
    <x v="7"/>
    <n v="5.8693910256409998"/>
    <n v="2142.32772435897"/>
    <n v="7712.3798076922803"/>
  </r>
  <r>
    <x v="0"/>
    <x v="0"/>
    <x v="0"/>
    <x v="2"/>
    <x v="7"/>
    <s v="NO2_A1"/>
    <x v="2"/>
    <s v="GHOB_WASTEHEAT"/>
    <x v="0"/>
    <x v="8"/>
    <n v="5.8693910256409998"/>
    <n v="2142.32772435897"/>
    <n v="7712.3798076922803"/>
  </r>
  <r>
    <x v="0"/>
    <x v="0"/>
    <x v="0"/>
    <x v="2"/>
    <x v="7"/>
    <s v="NO2_A1"/>
    <x v="2"/>
    <s v="GHOB_WASTEHEAT"/>
    <x v="0"/>
    <x v="9"/>
    <n v="5.8693910256409998"/>
    <n v="2142.32772435897"/>
    <n v="7712.3798076922803"/>
  </r>
  <r>
    <x v="0"/>
    <x v="0"/>
    <x v="0"/>
    <x v="2"/>
    <x v="7"/>
    <s v="NO2_A1"/>
    <x v="2"/>
    <s v="GHOB_WASTEHEAT"/>
    <x v="0"/>
    <x v="10"/>
    <n v="5.8693910256409998"/>
    <n v="2142.32772435897"/>
    <n v="7712.3798076922803"/>
  </r>
  <r>
    <x v="0"/>
    <x v="0"/>
    <x v="0"/>
    <x v="2"/>
    <x v="7"/>
    <s v="NO2_A1"/>
    <x v="2"/>
    <s v="GHOB_WASTEHEAT"/>
    <x v="0"/>
    <x v="11"/>
    <n v="5.8693910256409998"/>
    <n v="2142.32772435897"/>
    <n v="7712.3798076922803"/>
  </r>
  <r>
    <x v="0"/>
    <x v="0"/>
    <x v="0"/>
    <x v="2"/>
    <x v="7"/>
    <s v="NO2_A1"/>
    <x v="2"/>
    <s v="GHOB_WASTEHEAT"/>
    <x v="0"/>
    <x v="12"/>
    <n v="5.8693910256409998"/>
    <n v="2142.32772435897"/>
    <n v="7712.3798076922803"/>
  </r>
  <r>
    <x v="0"/>
    <x v="0"/>
    <x v="0"/>
    <x v="2"/>
    <x v="7"/>
    <s v="NO2_A1"/>
    <x v="2"/>
    <s v="GHOB_WASTEHEAT"/>
    <x v="0"/>
    <x v="13"/>
    <n v="5.8693910256409998"/>
    <n v="2142.32772435897"/>
    <n v="7712.3798076922803"/>
  </r>
  <r>
    <x v="0"/>
    <x v="0"/>
    <x v="0"/>
    <x v="2"/>
    <x v="7"/>
    <s v="NO2_A1"/>
    <x v="2"/>
    <s v="GHOB_WASTEHEAT"/>
    <x v="0"/>
    <x v="14"/>
    <n v="5.8693910256409998"/>
    <n v="2142.32772435897"/>
    <n v="7712.3798076922803"/>
  </r>
  <r>
    <x v="0"/>
    <x v="0"/>
    <x v="0"/>
    <x v="2"/>
    <x v="7"/>
    <s v="NO2_A1"/>
    <x v="2"/>
    <s v="GHOB_WASTEHEAT"/>
    <x v="0"/>
    <x v="15"/>
    <n v="5.8693910256409998"/>
    <n v="2142.32772435897"/>
    <n v="7712.3798076922803"/>
  </r>
  <r>
    <x v="0"/>
    <x v="0"/>
    <x v="0"/>
    <x v="2"/>
    <x v="7"/>
    <s v="NO2_A1"/>
    <x v="2"/>
    <s v="GHOB_WASTEHEAT"/>
    <x v="0"/>
    <x v="16"/>
    <n v="5.8693910256409998"/>
    <n v="2142.32772435897"/>
    <n v="7712.3798076922803"/>
  </r>
  <r>
    <x v="0"/>
    <x v="0"/>
    <x v="0"/>
    <x v="2"/>
    <x v="7"/>
    <s v="NO2_A1"/>
    <x v="2"/>
    <s v="GHOB_WASTEHEAT"/>
    <x v="0"/>
    <x v="17"/>
    <n v="5.8693910256409998"/>
    <n v="2142.32772435897"/>
    <n v="7712.3798076922803"/>
  </r>
  <r>
    <x v="0"/>
    <x v="0"/>
    <x v="0"/>
    <x v="2"/>
    <x v="7"/>
    <s v="NO2_A1"/>
    <x v="2"/>
    <s v="GHOB_WASTEHEAT"/>
    <x v="0"/>
    <x v="18"/>
    <n v="5.8046603596078397"/>
    <n v="2118.70103125686"/>
    <n v="7627.3237125246997"/>
  </r>
  <r>
    <x v="0"/>
    <x v="0"/>
    <x v="0"/>
    <x v="2"/>
    <x v="7"/>
    <s v="NO2_A1"/>
    <x v="2"/>
    <s v="GHOB_WASTEHEAT"/>
    <x v="0"/>
    <x v="19"/>
    <n v="5.8693910256409998"/>
    <n v="2142.32772435897"/>
    <n v="7712.3798076922803"/>
  </r>
  <r>
    <x v="0"/>
    <x v="0"/>
    <x v="0"/>
    <x v="2"/>
    <x v="7"/>
    <s v="NO2_A1"/>
    <x v="2"/>
    <s v="GHOB_WASTEHEAT"/>
    <x v="0"/>
    <x v="20"/>
    <n v="5.62504858459035"/>
    <n v="2053.14273337548"/>
    <n v="7391.3138401517199"/>
  </r>
  <r>
    <x v="0"/>
    <x v="0"/>
    <x v="0"/>
    <x v="2"/>
    <x v="7"/>
    <s v="NO2_A1"/>
    <x v="2"/>
    <s v="GHOB_WASTEHEAT"/>
    <x v="0"/>
    <x v="21"/>
    <n v="4.0636802862704"/>
    <n v="1483.2433044887"/>
    <n v="5339.6758961593096"/>
  </r>
  <r>
    <x v="0"/>
    <x v="0"/>
    <x v="0"/>
    <x v="2"/>
    <x v="7"/>
    <s v="NO2_A1"/>
    <x v="2"/>
    <s v="GHOB_WASTEHEAT"/>
    <x v="0"/>
    <x v="22"/>
    <n v="2.1795020224389798"/>
    <n v="795.51823819022798"/>
    <n v="2863.8656574848201"/>
  </r>
  <r>
    <x v="0"/>
    <x v="0"/>
    <x v="0"/>
    <x v="2"/>
    <x v="7"/>
    <s v="NO2_A1"/>
    <x v="7"/>
    <s v="GHYRR_WATER"/>
    <x v="0"/>
    <x v="0"/>
    <n v="1373.8822654635601"/>
    <n v="501467.02689420001"/>
    <n v="1805281.2968191199"/>
  </r>
  <r>
    <x v="0"/>
    <x v="0"/>
    <x v="0"/>
    <x v="2"/>
    <x v="7"/>
    <s v="NO2_A1"/>
    <x v="7"/>
    <s v="GHYRR_WATER"/>
    <x v="0"/>
    <x v="1"/>
    <n v="1373.8822654635601"/>
    <n v="501467.02689420001"/>
    <n v="1805281.2968191199"/>
  </r>
  <r>
    <x v="0"/>
    <x v="0"/>
    <x v="0"/>
    <x v="2"/>
    <x v="7"/>
    <s v="NO2_A1"/>
    <x v="7"/>
    <s v="GHYRR_WATER"/>
    <x v="0"/>
    <x v="2"/>
    <n v="1373.8822654635601"/>
    <n v="501467.02689420001"/>
    <n v="1805281.2968191199"/>
  </r>
  <r>
    <x v="0"/>
    <x v="0"/>
    <x v="0"/>
    <x v="2"/>
    <x v="7"/>
    <s v="NO2_A1"/>
    <x v="7"/>
    <s v="GHYRR_WATER"/>
    <x v="0"/>
    <x v="3"/>
    <n v="1373.8822654635601"/>
    <n v="501467.02689420001"/>
    <n v="1805281.2968191199"/>
  </r>
  <r>
    <x v="0"/>
    <x v="0"/>
    <x v="0"/>
    <x v="2"/>
    <x v="7"/>
    <s v="NO2_A1"/>
    <x v="7"/>
    <s v="GHYRR_WATER"/>
    <x v="0"/>
    <x v="4"/>
    <n v="1373.8822654635601"/>
    <n v="501467.02689420001"/>
    <n v="1805281.2968191199"/>
  </r>
  <r>
    <x v="0"/>
    <x v="0"/>
    <x v="0"/>
    <x v="2"/>
    <x v="7"/>
    <s v="NO2_A1"/>
    <x v="7"/>
    <s v="GHYRR_WATER"/>
    <x v="0"/>
    <x v="5"/>
    <n v="1373.8822654635601"/>
    <n v="501467.02689420001"/>
    <n v="1805281.2968191199"/>
  </r>
  <r>
    <x v="0"/>
    <x v="0"/>
    <x v="0"/>
    <x v="2"/>
    <x v="7"/>
    <s v="NO2_A1"/>
    <x v="7"/>
    <s v="GHYRR_WATER"/>
    <x v="0"/>
    <x v="6"/>
    <n v="1373.8822654635601"/>
    <n v="501467.02689420001"/>
    <n v="1805281.2968191199"/>
  </r>
  <r>
    <x v="0"/>
    <x v="0"/>
    <x v="0"/>
    <x v="2"/>
    <x v="7"/>
    <s v="NO2_A1"/>
    <x v="7"/>
    <s v="GHYRR_WATER"/>
    <x v="0"/>
    <x v="7"/>
    <n v="1373.8822654635601"/>
    <n v="501467.02689420001"/>
    <n v="1805281.2968191199"/>
  </r>
  <r>
    <x v="0"/>
    <x v="0"/>
    <x v="0"/>
    <x v="2"/>
    <x v="7"/>
    <s v="NO2_A1"/>
    <x v="7"/>
    <s v="GHYRR_WATER"/>
    <x v="0"/>
    <x v="8"/>
    <n v="1373.8822654635601"/>
    <n v="501467.02689420001"/>
    <n v="1805281.2968191199"/>
  </r>
  <r>
    <x v="0"/>
    <x v="0"/>
    <x v="0"/>
    <x v="2"/>
    <x v="7"/>
    <s v="NO2_A1"/>
    <x v="7"/>
    <s v="GHYRR_WATER"/>
    <x v="0"/>
    <x v="9"/>
    <n v="1373.8822654635601"/>
    <n v="501467.02689420001"/>
    <n v="1805281.2968191199"/>
  </r>
  <r>
    <x v="0"/>
    <x v="0"/>
    <x v="0"/>
    <x v="2"/>
    <x v="7"/>
    <s v="NO2_A1"/>
    <x v="7"/>
    <s v="GHYRR_WATER"/>
    <x v="0"/>
    <x v="10"/>
    <n v="1373.8822654635601"/>
    <n v="501467.02689420001"/>
    <n v="1805281.2968191199"/>
  </r>
  <r>
    <x v="0"/>
    <x v="0"/>
    <x v="0"/>
    <x v="2"/>
    <x v="7"/>
    <s v="NO2_A1"/>
    <x v="7"/>
    <s v="GHYRR_WATER"/>
    <x v="0"/>
    <x v="11"/>
    <n v="1373.8822654635601"/>
    <n v="501467.02689420001"/>
    <n v="1805281.2968191199"/>
  </r>
  <r>
    <x v="0"/>
    <x v="0"/>
    <x v="0"/>
    <x v="2"/>
    <x v="7"/>
    <s v="NO2_A1"/>
    <x v="7"/>
    <s v="GHYRR_WATER"/>
    <x v="0"/>
    <x v="12"/>
    <n v="1373.8822654635601"/>
    <n v="501467.02689420001"/>
    <n v="1805281.2968191199"/>
  </r>
  <r>
    <x v="0"/>
    <x v="0"/>
    <x v="0"/>
    <x v="2"/>
    <x v="7"/>
    <s v="NO2_A1"/>
    <x v="7"/>
    <s v="GHYRR_WATER"/>
    <x v="0"/>
    <x v="13"/>
    <n v="1373.8822654635601"/>
    <n v="501467.02689420001"/>
    <n v="1805281.2968191199"/>
  </r>
  <r>
    <x v="0"/>
    <x v="0"/>
    <x v="0"/>
    <x v="2"/>
    <x v="7"/>
    <s v="NO2_A1"/>
    <x v="7"/>
    <s v="GHYRR_WATER"/>
    <x v="0"/>
    <x v="14"/>
    <n v="1373.8822654635601"/>
    <n v="501467.02689420001"/>
    <n v="1805281.2968191199"/>
  </r>
  <r>
    <x v="0"/>
    <x v="0"/>
    <x v="0"/>
    <x v="2"/>
    <x v="7"/>
    <s v="NO2_A1"/>
    <x v="7"/>
    <s v="GHYRR_WATER"/>
    <x v="0"/>
    <x v="15"/>
    <n v="1373.8822654635601"/>
    <n v="501467.02689420001"/>
    <n v="1805281.2968191199"/>
  </r>
  <r>
    <x v="0"/>
    <x v="0"/>
    <x v="0"/>
    <x v="2"/>
    <x v="7"/>
    <s v="NO2_A1"/>
    <x v="7"/>
    <s v="GHYRR_WATER"/>
    <x v="0"/>
    <x v="16"/>
    <n v="1373.8822654635601"/>
    <n v="501467.02689420001"/>
    <n v="1805281.2968191199"/>
  </r>
  <r>
    <x v="0"/>
    <x v="0"/>
    <x v="0"/>
    <x v="2"/>
    <x v="7"/>
    <s v="NO2_A1"/>
    <x v="7"/>
    <s v="GHYRR_WATER"/>
    <x v="0"/>
    <x v="17"/>
    <n v="1373.8822654635601"/>
    <n v="501467.02689420001"/>
    <n v="1805281.2968191199"/>
  </r>
  <r>
    <x v="0"/>
    <x v="0"/>
    <x v="0"/>
    <x v="2"/>
    <x v="7"/>
    <s v="NO2_A1"/>
    <x v="7"/>
    <s v="GHYRR_WATER"/>
    <x v="0"/>
    <x v="18"/>
    <n v="1373.8822654635601"/>
    <n v="501467.02689420001"/>
    <n v="1805281.2968191199"/>
  </r>
  <r>
    <x v="0"/>
    <x v="0"/>
    <x v="0"/>
    <x v="2"/>
    <x v="7"/>
    <s v="NO2_A1"/>
    <x v="7"/>
    <s v="GHYRR_WATER"/>
    <x v="0"/>
    <x v="19"/>
    <n v="1373.8822654635601"/>
    <n v="501467.02689420001"/>
    <n v="1805281.2968191199"/>
  </r>
  <r>
    <x v="0"/>
    <x v="0"/>
    <x v="0"/>
    <x v="2"/>
    <x v="7"/>
    <s v="NO2_A1"/>
    <x v="7"/>
    <s v="GHYRR_WATER"/>
    <x v="0"/>
    <x v="20"/>
    <n v="1373.8822654635601"/>
    <n v="501467.02689420001"/>
    <n v="1805281.2968191199"/>
  </r>
  <r>
    <x v="0"/>
    <x v="0"/>
    <x v="0"/>
    <x v="2"/>
    <x v="7"/>
    <s v="NO2_A1"/>
    <x v="7"/>
    <s v="GHYRR_WATER"/>
    <x v="0"/>
    <x v="21"/>
    <n v="1373.8822654635601"/>
    <n v="501467.02689420001"/>
    <n v="1805281.2968191199"/>
  </r>
  <r>
    <x v="0"/>
    <x v="0"/>
    <x v="0"/>
    <x v="2"/>
    <x v="7"/>
    <s v="NO2_A1"/>
    <x v="7"/>
    <s v="GHYRR_WATER"/>
    <x v="0"/>
    <x v="22"/>
    <n v="1373.8822654635601"/>
    <n v="501467.02689420001"/>
    <n v="1805281.2968191199"/>
  </r>
  <r>
    <x v="0"/>
    <x v="0"/>
    <x v="0"/>
    <x v="2"/>
    <x v="7"/>
    <s v="NO2_A1"/>
    <x v="7"/>
    <s v="GHYRR_WATER"/>
    <x v="0"/>
    <x v="23"/>
    <n v="1373.8822654635601"/>
    <n v="501467.02689420001"/>
    <n v="1805281.2968191199"/>
  </r>
  <r>
    <x v="0"/>
    <x v="0"/>
    <x v="0"/>
    <x v="2"/>
    <x v="7"/>
    <s v="NO2_A1"/>
    <x v="7"/>
    <s v="GHYRS_WATER"/>
    <x v="0"/>
    <x v="0"/>
    <n v="1318.3713695382601"/>
    <n v="481205.54988146399"/>
    <n v="1732339.9795732701"/>
  </r>
  <r>
    <x v="0"/>
    <x v="0"/>
    <x v="0"/>
    <x v="2"/>
    <x v="7"/>
    <s v="NO2_A1"/>
    <x v="7"/>
    <s v="GHYRS_WATER"/>
    <x v="0"/>
    <x v="1"/>
    <n v="1973.04093797733"/>
    <n v="720159.94236172701"/>
    <n v="2592575.7925022198"/>
  </r>
  <r>
    <x v="0"/>
    <x v="0"/>
    <x v="0"/>
    <x v="2"/>
    <x v="7"/>
    <s v="NO2_A1"/>
    <x v="7"/>
    <s v="GHYRS_WATER"/>
    <x v="0"/>
    <x v="2"/>
    <n v="1800.5071850128099"/>
    <n v="657185.12252967595"/>
    <n v="2365866.4411068298"/>
  </r>
  <r>
    <x v="0"/>
    <x v="0"/>
    <x v="0"/>
    <x v="2"/>
    <x v="7"/>
    <s v="NO2_A1"/>
    <x v="7"/>
    <s v="GHYRS_WATER"/>
    <x v="0"/>
    <x v="3"/>
    <n v="1870.8352623123701"/>
    <n v="682854.87074401602"/>
    <n v="2458277.5346784601"/>
  </r>
  <r>
    <x v="0"/>
    <x v="0"/>
    <x v="0"/>
    <x v="2"/>
    <x v="7"/>
    <s v="NO2_A1"/>
    <x v="7"/>
    <s v="GHYRS_WATER"/>
    <x v="0"/>
    <x v="4"/>
    <n v="1890.9324368047701"/>
    <n v="690190.33943374199"/>
    <n v="2484685.2219614699"/>
  </r>
  <r>
    <x v="0"/>
    <x v="0"/>
    <x v="0"/>
    <x v="2"/>
    <x v="7"/>
    <s v="NO2_A1"/>
    <x v="7"/>
    <s v="GHYRS_WATER"/>
    <x v="0"/>
    <x v="5"/>
    <n v="1989.6822236647799"/>
    <n v="726234.01163764601"/>
    <n v="2614442.4418955301"/>
  </r>
  <r>
    <x v="0"/>
    <x v="0"/>
    <x v="0"/>
    <x v="2"/>
    <x v="7"/>
    <s v="NO2_A1"/>
    <x v="7"/>
    <s v="GHYRS_WATER"/>
    <x v="0"/>
    <x v="6"/>
    <n v="2376.2487912134102"/>
    <n v="867330.80879289599"/>
    <n v="3122390.91165443"/>
  </r>
  <r>
    <x v="0"/>
    <x v="0"/>
    <x v="0"/>
    <x v="2"/>
    <x v="7"/>
    <s v="NO2_A1"/>
    <x v="7"/>
    <s v="GHYRS_WATER"/>
    <x v="0"/>
    <x v="7"/>
    <n v="3047.2404023099998"/>
    <n v="1112242.7468431499"/>
    <n v="4004073.8886353401"/>
  </r>
  <r>
    <x v="0"/>
    <x v="0"/>
    <x v="0"/>
    <x v="2"/>
    <x v="7"/>
    <s v="NO2_A1"/>
    <x v="7"/>
    <s v="GHYRS_WATER"/>
    <x v="0"/>
    <x v="8"/>
    <n v="1753.80723008628"/>
    <n v="640139.63898149005"/>
    <n v="2304502.7003333699"/>
  </r>
  <r>
    <x v="0"/>
    <x v="0"/>
    <x v="0"/>
    <x v="2"/>
    <x v="7"/>
    <s v="NO2_A1"/>
    <x v="7"/>
    <s v="GHYRS_WATER"/>
    <x v="0"/>
    <x v="9"/>
    <n v="3622.92804126895"/>
    <n v="1322368.7350631701"/>
    <n v="4760527.4462273996"/>
  </r>
  <r>
    <x v="0"/>
    <x v="0"/>
    <x v="0"/>
    <x v="2"/>
    <x v="7"/>
    <s v="NO2_A1"/>
    <x v="7"/>
    <s v="GHYRS_WATER"/>
    <x v="0"/>
    <x v="10"/>
    <n v="4418.5619587882002"/>
    <n v="1612775.11495769"/>
    <n v="5805990.4138476904"/>
  </r>
  <r>
    <x v="0"/>
    <x v="0"/>
    <x v="0"/>
    <x v="2"/>
    <x v="7"/>
    <s v="NO2_A1"/>
    <x v="7"/>
    <s v="GHYRS_WATER"/>
    <x v="0"/>
    <x v="11"/>
    <n v="1656.8600257138301"/>
    <n v="604753.90938554902"/>
    <n v="2177114.0737879798"/>
  </r>
  <r>
    <x v="0"/>
    <x v="0"/>
    <x v="0"/>
    <x v="2"/>
    <x v="7"/>
    <s v="NO2_A1"/>
    <x v="7"/>
    <s v="GHYRS_WATER"/>
    <x v="0"/>
    <x v="12"/>
    <n v="3714.4732463658902"/>
    <n v="1355782.7349235499"/>
    <n v="4880817.8457247801"/>
  </r>
  <r>
    <x v="0"/>
    <x v="0"/>
    <x v="0"/>
    <x v="2"/>
    <x v="7"/>
    <s v="NO2_A1"/>
    <x v="7"/>
    <s v="GHYRS_WATER"/>
    <x v="0"/>
    <x v="13"/>
    <n v="3673.0722581490199"/>
    <n v="1340671.3742243899"/>
    <n v="4826416.9472078197"/>
  </r>
  <r>
    <x v="0"/>
    <x v="0"/>
    <x v="0"/>
    <x v="2"/>
    <x v="7"/>
    <s v="NO2_A1"/>
    <x v="7"/>
    <s v="GHYRS_WATER"/>
    <x v="0"/>
    <x v="14"/>
    <n v="3598.0442477167098"/>
    <n v="1313286.1504166001"/>
    <n v="4727830.1414997503"/>
  </r>
  <r>
    <x v="0"/>
    <x v="0"/>
    <x v="0"/>
    <x v="2"/>
    <x v="7"/>
    <s v="NO2_A1"/>
    <x v="7"/>
    <s v="GHYRS_WATER"/>
    <x v="0"/>
    <x v="15"/>
    <n v="1337.5616668164"/>
    <n v="488210.00838798803"/>
    <n v="1757556.0301967601"/>
  </r>
  <r>
    <x v="0"/>
    <x v="0"/>
    <x v="0"/>
    <x v="2"/>
    <x v="7"/>
    <s v="NO2_A1"/>
    <x v="7"/>
    <s v="GHYRS_WATER"/>
    <x v="0"/>
    <x v="16"/>
    <n v="1442.4152474391999"/>
    <n v="526481.56531530898"/>
    <n v="1895333.63513511"/>
  </r>
  <r>
    <x v="0"/>
    <x v="0"/>
    <x v="0"/>
    <x v="2"/>
    <x v="7"/>
    <s v="NO2_A1"/>
    <x v="7"/>
    <s v="GHYRS_WATER"/>
    <x v="0"/>
    <x v="17"/>
    <n v="4013.72825189997"/>
    <n v="1465010.8119434901"/>
    <n v="5274038.9229965704"/>
  </r>
  <r>
    <x v="0"/>
    <x v="0"/>
    <x v="0"/>
    <x v="2"/>
    <x v="7"/>
    <s v="NO2_A1"/>
    <x v="7"/>
    <s v="GHYRS_WATER"/>
    <x v="0"/>
    <x v="18"/>
    <n v="4141.36845358764"/>
    <n v="1511599.48555949"/>
    <n v="5441758.1480141599"/>
  </r>
  <r>
    <x v="0"/>
    <x v="0"/>
    <x v="0"/>
    <x v="2"/>
    <x v="7"/>
    <s v="NO2_A1"/>
    <x v="7"/>
    <s v="GHYRS_WATER"/>
    <x v="0"/>
    <x v="19"/>
    <n v="4846.4367736373697"/>
    <n v="1768949.4223776399"/>
    <n v="6368217.9205595003"/>
  </r>
  <r>
    <x v="0"/>
    <x v="0"/>
    <x v="0"/>
    <x v="2"/>
    <x v="7"/>
    <s v="NO2_A1"/>
    <x v="7"/>
    <s v="GHYRS_WATER"/>
    <x v="0"/>
    <x v="20"/>
    <n v="4164.4894223848096"/>
    <n v="1520038.6391704599"/>
    <n v="5472139.1010136502"/>
  </r>
  <r>
    <x v="0"/>
    <x v="0"/>
    <x v="0"/>
    <x v="2"/>
    <x v="7"/>
    <s v="NO2_A1"/>
    <x v="7"/>
    <s v="GHYRS_WATER"/>
    <x v="0"/>
    <x v="21"/>
    <n v="1854.2590107911201"/>
    <n v="676804.53893875901"/>
    <n v="2436496.34017953"/>
  </r>
  <r>
    <x v="0"/>
    <x v="0"/>
    <x v="0"/>
    <x v="2"/>
    <x v="7"/>
    <s v="NO2_A1"/>
    <x v="7"/>
    <s v="GHYRS_WATER"/>
    <x v="0"/>
    <x v="22"/>
    <n v="3612.3598983851998"/>
    <n v="1318511.3629105999"/>
    <n v="4746640.9064781498"/>
  </r>
  <r>
    <x v="0"/>
    <x v="0"/>
    <x v="0"/>
    <x v="2"/>
    <x v="7"/>
    <s v="NO2_A1"/>
    <x v="7"/>
    <s v="GHYRS_WATER"/>
    <x v="0"/>
    <x v="23"/>
    <n v="2958.11409155503"/>
    <n v="1079711.6434175901"/>
    <n v="3886961.9163033101"/>
  </r>
  <r>
    <x v="0"/>
    <x v="0"/>
    <x v="0"/>
    <x v="2"/>
    <x v="7"/>
    <s v="NO2_A1"/>
    <x v="8"/>
    <s v="GNR_WT_WIND_ONS"/>
    <x v="0"/>
    <x v="0"/>
    <n v="155.29585934418199"/>
    <n v="56682.988660626397"/>
    <n v="204058.75917825499"/>
  </r>
  <r>
    <x v="0"/>
    <x v="0"/>
    <x v="0"/>
    <x v="2"/>
    <x v="7"/>
    <s v="NO2_A1"/>
    <x v="8"/>
    <s v="GNR_WT_WIND_ONS"/>
    <x v="0"/>
    <x v="1"/>
    <n v="158.611416018532"/>
    <n v="57893.166846764201"/>
    <n v="208415.400648351"/>
  </r>
  <r>
    <x v="0"/>
    <x v="0"/>
    <x v="0"/>
    <x v="2"/>
    <x v="7"/>
    <s v="NO2_A1"/>
    <x v="8"/>
    <s v="GNR_WT_WIND_ONS"/>
    <x v="0"/>
    <x v="2"/>
    <n v="221.67834854620699"/>
    <n v="80912.597219365503"/>
    <n v="291285.34998971602"/>
  </r>
  <r>
    <x v="0"/>
    <x v="0"/>
    <x v="0"/>
    <x v="2"/>
    <x v="7"/>
    <s v="NO2_A1"/>
    <x v="8"/>
    <s v="GNR_WT_WIND_ONS"/>
    <x v="0"/>
    <x v="3"/>
    <n v="195.84774349282401"/>
    <n v="71484.426374880801"/>
    <n v="257343.934949571"/>
  </r>
  <r>
    <x v="0"/>
    <x v="0"/>
    <x v="0"/>
    <x v="2"/>
    <x v="7"/>
    <s v="NO2_A1"/>
    <x v="8"/>
    <s v="GNR_WT_WIND_ONS"/>
    <x v="0"/>
    <x v="4"/>
    <n v="235.67660735126401"/>
    <n v="86021.961683211499"/>
    <n v="309679.06205956102"/>
  </r>
  <r>
    <x v="0"/>
    <x v="0"/>
    <x v="0"/>
    <x v="2"/>
    <x v="7"/>
    <s v="NO2_A1"/>
    <x v="8"/>
    <s v="GNR_WT_WIND_ONS"/>
    <x v="0"/>
    <x v="5"/>
    <n v="235.242977160604"/>
    <n v="85863.686663620494"/>
    <n v="309109.27198903402"/>
  </r>
  <r>
    <x v="0"/>
    <x v="0"/>
    <x v="0"/>
    <x v="2"/>
    <x v="7"/>
    <s v="NO2_A1"/>
    <x v="8"/>
    <s v="GNR_WT_WIND_ONS"/>
    <x v="0"/>
    <x v="6"/>
    <n v="232.577592797053"/>
    <n v="84890.821370924401"/>
    <n v="305606.95693532802"/>
  </r>
  <r>
    <x v="0"/>
    <x v="0"/>
    <x v="0"/>
    <x v="2"/>
    <x v="7"/>
    <s v="NO2_A1"/>
    <x v="8"/>
    <s v="GNR_WT_WIND_ONS"/>
    <x v="0"/>
    <x v="7"/>
    <n v="228.56001672388999"/>
    <n v="83424.406104219903"/>
    <n v="300327.86197519198"/>
  </r>
  <r>
    <x v="0"/>
    <x v="0"/>
    <x v="0"/>
    <x v="2"/>
    <x v="7"/>
    <s v="NO2_A1"/>
    <x v="8"/>
    <s v="GNR_WT_WIND_ONS"/>
    <x v="0"/>
    <x v="8"/>
    <n v="201.678311596974"/>
    <n v="73612.583732895495"/>
    <n v="265005.30143842398"/>
  </r>
  <r>
    <x v="0"/>
    <x v="0"/>
    <x v="0"/>
    <x v="2"/>
    <x v="7"/>
    <s v="NO2_A1"/>
    <x v="8"/>
    <s v="GNR_WT_WIND_ONS"/>
    <x v="0"/>
    <x v="9"/>
    <n v="23.471225879354702"/>
    <n v="8566.99744596448"/>
    <n v="30841.190805472099"/>
  </r>
  <r>
    <x v="0"/>
    <x v="0"/>
    <x v="0"/>
    <x v="2"/>
    <x v="7"/>
    <s v="NO2_A1"/>
    <x v="8"/>
    <s v="GNR_WT_WIND_ONS"/>
    <x v="0"/>
    <x v="10"/>
    <n v="18.958272627244"/>
    <n v="6919.7695089440604"/>
    <n v="24911.170232198601"/>
  </r>
  <r>
    <x v="0"/>
    <x v="0"/>
    <x v="0"/>
    <x v="2"/>
    <x v="7"/>
    <s v="NO2_A1"/>
    <x v="8"/>
    <s v="GNR_WT_WIND_ONS"/>
    <x v="0"/>
    <x v="11"/>
    <n v="57.711705223426598"/>
    <n v="21064.772406550699"/>
    <n v="75833.180663582607"/>
  </r>
  <r>
    <x v="0"/>
    <x v="0"/>
    <x v="0"/>
    <x v="2"/>
    <x v="7"/>
    <s v="NO2_A1"/>
    <x v="8"/>
    <s v="GNR_WT_WIND_ONS"/>
    <x v="0"/>
    <x v="12"/>
    <n v="57.677838101351"/>
    <n v="21052.4109069931"/>
    <n v="75788.679265175204"/>
  </r>
  <r>
    <x v="0"/>
    <x v="0"/>
    <x v="0"/>
    <x v="2"/>
    <x v="7"/>
    <s v="NO2_A1"/>
    <x v="8"/>
    <s v="GNR_WT_WIND_ONS"/>
    <x v="0"/>
    <x v="13"/>
    <n v="59.3488830328264"/>
    <n v="21662.3423069817"/>
    <n v="77984.432305133902"/>
  </r>
  <r>
    <x v="0"/>
    <x v="0"/>
    <x v="0"/>
    <x v="2"/>
    <x v="7"/>
    <s v="NO2_A1"/>
    <x v="8"/>
    <s v="GNR_WT_WIND_ONS"/>
    <x v="0"/>
    <x v="14"/>
    <n v="91.436261455813906"/>
    <n v="33374.235431372101"/>
    <n v="120147.24755293901"/>
  </r>
  <r>
    <x v="0"/>
    <x v="0"/>
    <x v="0"/>
    <x v="2"/>
    <x v="7"/>
    <s v="NO2_A1"/>
    <x v="8"/>
    <s v="GNR_WT_WIND_ONS"/>
    <x v="0"/>
    <x v="15"/>
    <n v="135.87210942061799"/>
    <n v="49593.319938525499"/>
    <n v="178535.95177869199"/>
  </r>
  <r>
    <x v="0"/>
    <x v="0"/>
    <x v="0"/>
    <x v="2"/>
    <x v="7"/>
    <s v="NO2_A1"/>
    <x v="8"/>
    <s v="GNR_WT_WIND_ONS"/>
    <x v="0"/>
    <x v="16"/>
    <n v="153.514659823816"/>
    <n v="56032.850835693003"/>
    <n v="201718.26300849501"/>
  </r>
  <r>
    <x v="0"/>
    <x v="0"/>
    <x v="0"/>
    <x v="2"/>
    <x v="7"/>
    <s v="NO2_A1"/>
    <x v="8"/>
    <s v="GNR_WT_WIND_ONS"/>
    <x v="0"/>
    <x v="17"/>
    <n v="223.41428877984299"/>
    <n v="81546.215404642906"/>
    <n v="293566.37545671401"/>
  </r>
  <r>
    <x v="0"/>
    <x v="0"/>
    <x v="0"/>
    <x v="2"/>
    <x v="7"/>
    <s v="NO2_A1"/>
    <x v="8"/>
    <s v="GNR_WT_WIND_ONS"/>
    <x v="0"/>
    <x v="18"/>
    <n v="231.544017730805"/>
    <n v="84513.566471743907"/>
    <n v="304248.83929827798"/>
  </r>
  <r>
    <x v="0"/>
    <x v="0"/>
    <x v="0"/>
    <x v="2"/>
    <x v="7"/>
    <s v="NO2_A1"/>
    <x v="8"/>
    <s v="GNR_WT_WIND_ONS"/>
    <x v="0"/>
    <x v="19"/>
    <n v="238.03010845950499"/>
    <n v="86880.989587719305"/>
    <n v="312771.562515789"/>
  </r>
  <r>
    <x v="0"/>
    <x v="0"/>
    <x v="0"/>
    <x v="2"/>
    <x v="7"/>
    <s v="NO2_A1"/>
    <x v="8"/>
    <s v="GNR_WT_WIND_ONS"/>
    <x v="0"/>
    <x v="20"/>
    <n v="238.38606810904801"/>
    <n v="87010.914859802593"/>
    <n v="313239.29349528899"/>
  </r>
  <r>
    <x v="0"/>
    <x v="0"/>
    <x v="0"/>
    <x v="2"/>
    <x v="7"/>
    <s v="NO2_A1"/>
    <x v="8"/>
    <s v="GNR_WT_WIND_ONS"/>
    <x v="0"/>
    <x v="21"/>
    <n v="238.61966207947401"/>
    <n v="87096.176659008197"/>
    <n v="313546.23597242899"/>
  </r>
  <r>
    <x v="0"/>
    <x v="0"/>
    <x v="0"/>
    <x v="2"/>
    <x v="7"/>
    <s v="NO2_A1"/>
    <x v="8"/>
    <s v="GNR_WT_WIND_ONS"/>
    <x v="0"/>
    <x v="22"/>
    <n v="238.42792430505801"/>
    <n v="87026.1923713461"/>
    <n v="313294.29253684601"/>
  </r>
  <r>
    <x v="0"/>
    <x v="0"/>
    <x v="0"/>
    <x v="2"/>
    <x v="7"/>
    <s v="NO2_A1"/>
    <x v="8"/>
    <s v="GNR_WT_WIND_ONS"/>
    <x v="0"/>
    <x v="23"/>
    <n v="238.41180057042101"/>
    <n v="87020.307208203696"/>
    <n v="313273.105949533"/>
  </r>
  <r>
    <x v="0"/>
    <x v="0"/>
    <x v="0"/>
    <x v="2"/>
    <x v="8"/>
    <s v="NO3_A1"/>
    <x v="13"/>
    <s v="GHOB_LNG"/>
    <x v="0"/>
    <x v="0"/>
    <n v="2.93625677755213"/>
    <n v="1071.73372380653"/>
    <n v="3858.2414057034898"/>
  </r>
  <r>
    <x v="0"/>
    <x v="0"/>
    <x v="0"/>
    <x v="2"/>
    <x v="8"/>
    <s v="NO3_A1"/>
    <x v="13"/>
    <s v="GHOB_LNG"/>
    <x v="0"/>
    <x v="1"/>
    <n v="3.6607490445609701"/>
    <n v="1336.1734012647601"/>
    <n v="4810.2242445531201"/>
  </r>
  <r>
    <x v="0"/>
    <x v="0"/>
    <x v="0"/>
    <x v="2"/>
    <x v="8"/>
    <s v="NO3_A1"/>
    <x v="13"/>
    <s v="GHOB_LNG"/>
    <x v="0"/>
    <x v="3"/>
    <n v="5.8685070315280798"/>
    <n v="2142.0050665077501"/>
    <n v="7711.2182394278998"/>
  </r>
  <r>
    <x v="0"/>
    <x v="0"/>
    <x v="0"/>
    <x v="2"/>
    <x v="8"/>
    <s v="NO3_A1"/>
    <x v="13"/>
    <s v="GHOB_LNG"/>
    <x v="0"/>
    <x v="6"/>
    <n v="15.5296196582145"/>
    <n v="5668.3111752483101"/>
    <n v="20405.920230893898"/>
  </r>
  <r>
    <x v="0"/>
    <x v="0"/>
    <x v="0"/>
    <x v="2"/>
    <x v="8"/>
    <s v="NO3_A1"/>
    <x v="13"/>
    <s v="GHOB_LNG"/>
    <x v="0"/>
    <x v="7"/>
    <n v="2.3184784896255399"/>
    <n v="846.24464871332202"/>
    <n v="3046.4807353679598"/>
  </r>
  <r>
    <x v="0"/>
    <x v="0"/>
    <x v="0"/>
    <x v="2"/>
    <x v="8"/>
    <s v="NO3_A1"/>
    <x v="13"/>
    <s v="GHOB_LNG"/>
    <x v="0"/>
    <x v="8"/>
    <n v="1.9894066322850099"/>
    <n v="726.13342078402798"/>
    <n v="2614.0803148225"/>
  </r>
  <r>
    <x v="0"/>
    <x v="0"/>
    <x v="0"/>
    <x v="2"/>
    <x v="8"/>
    <s v="NO3_A1"/>
    <x v="13"/>
    <s v="GHOB_LNG"/>
    <x v="0"/>
    <x v="9"/>
    <n v="16.260000514590899"/>
    <n v="5934.9001878256904"/>
    <n v="21365.640676172501"/>
  </r>
  <r>
    <x v="0"/>
    <x v="0"/>
    <x v="0"/>
    <x v="2"/>
    <x v="8"/>
    <s v="NO3_A1"/>
    <x v="13"/>
    <s v="GHOB_LNG"/>
    <x v="0"/>
    <x v="10"/>
    <n v="14.7693760060623"/>
    <n v="5390.8222422127501"/>
    <n v="19406.960071965899"/>
  </r>
  <r>
    <x v="0"/>
    <x v="0"/>
    <x v="0"/>
    <x v="2"/>
    <x v="8"/>
    <s v="NO3_A1"/>
    <x v="13"/>
    <s v="GHOB_LNG"/>
    <x v="0"/>
    <x v="11"/>
    <n v="13.6824402240371"/>
    <n v="4994.0906817735504"/>
    <n v="17978.7264543848"/>
  </r>
  <r>
    <x v="0"/>
    <x v="0"/>
    <x v="0"/>
    <x v="2"/>
    <x v="8"/>
    <s v="NO3_A1"/>
    <x v="13"/>
    <s v="GHOB_LNG"/>
    <x v="0"/>
    <x v="13"/>
    <n v="11.1337887895835"/>
    <n v="4063.83290819799"/>
    <n v="14629.7984695128"/>
  </r>
  <r>
    <x v="0"/>
    <x v="0"/>
    <x v="0"/>
    <x v="2"/>
    <x v="8"/>
    <s v="NO3_A1"/>
    <x v="13"/>
    <s v="GHOB_LNG"/>
    <x v="0"/>
    <x v="14"/>
    <n v="10.624750188309299"/>
    <n v="3878.0338187329098"/>
    <n v="13960.9217474385"/>
  </r>
  <r>
    <x v="0"/>
    <x v="0"/>
    <x v="0"/>
    <x v="2"/>
    <x v="8"/>
    <s v="NO3_A1"/>
    <x v="13"/>
    <s v="GHOB_LNG"/>
    <x v="0"/>
    <x v="16"/>
    <n v="6.5567207983508702"/>
    <n v="2393.2030913980698"/>
    <n v="8615.5311290330392"/>
  </r>
  <r>
    <x v="0"/>
    <x v="0"/>
    <x v="0"/>
    <x v="2"/>
    <x v="8"/>
    <s v="NO3_A1"/>
    <x v="13"/>
    <s v="GHOB_LNG"/>
    <x v="0"/>
    <x v="18"/>
    <n v="4.25897404346588"/>
    <n v="1554.52552586505"/>
    <n v="5596.2918931141703"/>
  </r>
  <r>
    <x v="0"/>
    <x v="0"/>
    <x v="0"/>
    <x v="2"/>
    <x v="8"/>
    <s v="NO3_A1"/>
    <x v="13"/>
    <s v="GHOB_LNG"/>
    <x v="0"/>
    <x v="19"/>
    <n v="4.0586901311551404"/>
    <n v="1481.4218978716201"/>
    <n v="5333.1188323378501"/>
  </r>
  <r>
    <x v="0"/>
    <x v="0"/>
    <x v="0"/>
    <x v="2"/>
    <x v="8"/>
    <s v="NO3_A1"/>
    <x v="13"/>
    <s v="GHOB_LNG"/>
    <x v="0"/>
    <x v="21"/>
    <n v="2.0955114647741699"/>
    <n v="764.86168464257401"/>
    <n v="2753.5020647132701"/>
  </r>
  <r>
    <x v="0"/>
    <x v="0"/>
    <x v="0"/>
    <x v="2"/>
    <x v="8"/>
    <s v="NO3_A1"/>
    <x v="13"/>
    <s v="GHOB_LPG"/>
    <x v="0"/>
    <x v="2"/>
    <n v="4.5346089798292502"/>
    <n v="1655.1322776376801"/>
    <n v="5958.4761994956298"/>
  </r>
  <r>
    <x v="0"/>
    <x v="0"/>
    <x v="0"/>
    <x v="2"/>
    <x v="8"/>
    <s v="NO3_A1"/>
    <x v="13"/>
    <s v="GHOB_LPG"/>
    <x v="0"/>
    <x v="4"/>
    <n v="7.8892458869734199"/>
    <n v="2879.5747487453"/>
    <n v="10366.4690954831"/>
  </r>
  <r>
    <x v="0"/>
    <x v="0"/>
    <x v="0"/>
    <x v="2"/>
    <x v="8"/>
    <s v="NO3_A1"/>
    <x v="13"/>
    <s v="GHOB_LPG"/>
    <x v="0"/>
    <x v="5"/>
    <n v="10.207119414170799"/>
    <n v="3725.5985861723502"/>
    <n v="13412.154910220501"/>
  </r>
  <r>
    <x v="0"/>
    <x v="0"/>
    <x v="0"/>
    <x v="2"/>
    <x v="8"/>
    <s v="NO3_A1"/>
    <x v="13"/>
    <s v="GHOB_LPG"/>
    <x v="0"/>
    <x v="7"/>
    <n v="16.235294117647101"/>
    <n v="5925.8823529411802"/>
    <n v="21333.176470588201"/>
  </r>
  <r>
    <x v="0"/>
    <x v="0"/>
    <x v="0"/>
    <x v="2"/>
    <x v="8"/>
    <s v="NO3_A1"/>
    <x v="13"/>
    <s v="GHOB_LPG"/>
    <x v="0"/>
    <x v="8"/>
    <n v="16.235294117647101"/>
    <n v="5925.8823529411802"/>
    <n v="21333.176470588201"/>
  </r>
  <r>
    <x v="0"/>
    <x v="0"/>
    <x v="0"/>
    <x v="2"/>
    <x v="8"/>
    <s v="NO3_A1"/>
    <x v="13"/>
    <s v="GHOB_LPG"/>
    <x v="0"/>
    <x v="12"/>
    <n v="12.2637006064283"/>
    <n v="4476.2507213463296"/>
    <n v="16114.5025968468"/>
  </r>
  <r>
    <x v="0"/>
    <x v="0"/>
    <x v="0"/>
    <x v="2"/>
    <x v="8"/>
    <s v="NO3_A1"/>
    <x v="13"/>
    <s v="GHOB_LPG"/>
    <x v="0"/>
    <x v="15"/>
    <n v="8.7379848535368598"/>
    <n v="3189.36447154095"/>
    <n v="11481.712097547401"/>
  </r>
  <r>
    <x v="0"/>
    <x v="0"/>
    <x v="0"/>
    <x v="2"/>
    <x v="8"/>
    <s v="NO3_A1"/>
    <x v="13"/>
    <s v="GHOB_LPG"/>
    <x v="0"/>
    <x v="17"/>
    <n v="5.0574543223364996"/>
    <n v="1845.9708276528199"/>
    <n v="6645.4949795501698"/>
  </r>
  <r>
    <x v="0"/>
    <x v="0"/>
    <x v="0"/>
    <x v="2"/>
    <x v="8"/>
    <s v="NO3_A1"/>
    <x v="13"/>
    <s v="GHOB_LPG"/>
    <x v="0"/>
    <x v="20"/>
    <n v="3.2893451399518501"/>
    <n v="1200.6109760824299"/>
    <n v="4322.1995138967404"/>
  </r>
  <r>
    <x v="0"/>
    <x v="0"/>
    <x v="0"/>
    <x v="2"/>
    <x v="8"/>
    <s v="NO3_A1"/>
    <x v="13"/>
    <s v="GHOB_LPG"/>
    <x v="0"/>
    <x v="22"/>
    <n v="0.59025926308739696"/>
    <n v="215.4446310269"/>
    <n v="775.60067169683998"/>
  </r>
  <r>
    <x v="0"/>
    <x v="0"/>
    <x v="0"/>
    <x v="2"/>
    <x v="8"/>
    <s v="NO3_A1"/>
    <x v="1"/>
    <s v="GBPR_MUNIWASTE"/>
    <x v="0"/>
    <x v="0"/>
    <n v="20.143010752688198"/>
    <n v="7352.1989247311803"/>
    <n v="26467.916129032299"/>
  </r>
  <r>
    <x v="0"/>
    <x v="0"/>
    <x v="0"/>
    <x v="2"/>
    <x v="8"/>
    <s v="NO3_A1"/>
    <x v="1"/>
    <s v="GBPR_MUNIWASTE"/>
    <x v="0"/>
    <x v="1"/>
    <n v="20.143010752688198"/>
    <n v="7352.1989247311803"/>
    <n v="26467.916129032299"/>
  </r>
  <r>
    <x v="0"/>
    <x v="0"/>
    <x v="0"/>
    <x v="2"/>
    <x v="8"/>
    <s v="NO3_A1"/>
    <x v="1"/>
    <s v="GBPR_MUNIWASTE"/>
    <x v="0"/>
    <x v="2"/>
    <n v="20.143010752688198"/>
    <n v="7352.1989247311803"/>
    <n v="26467.916129032299"/>
  </r>
  <r>
    <x v="0"/>
    <x v="0"/>
    <x v="0"/>
    <x v="2"/>
    <x v="8"/>
    <s v="NO3_A1"/>
    <x v="1"/>
    <s v="GBPR_MUNIWASTE"/>
    <x v="0"/>
    <x v="3"/>
    <n v="20.143010752688198"/>
    <n v="7352.1989247311803"/>
    <n v="26467.916129032299"/>
  </r>
  <r>
    <x v="0"/>
    <x v="0"/>
    <x v="0"/>
    <x v="2"/>
    <x v="8"/>
    <s v="NO3_A1"/>
    <x v="1"/>
    <s v="GBPR_MUNIWASTE"/>
    <x v="0"/>
    <x v="4"/>
    <n v="20.143010752688198"/>
    <n v="7352.1989247311803"/>
    <n v="26467.916129032299"/>
  </r>
  <r>
    <x v="0"/>
    <x v="0"/>
    <x v="0"/>
    <x v="2"/>
    <x v="8"/>
    <s v="NO3_A1"/>
    <x v="1"/>
    <s v="GBPR_MUNIWASTE"/>
    <x v="0"/>
    <x v="5"/>
    <n v="20.143010752688198"/>
    <n v="7352.1989247311803"/>
    <n v="26467.916129032299"/>
  </r>
  <r>
    <x v="0"/>
    <x v="0"/>
    <x v="0"/>
    <x v="2"/>
    <x v="8"/>
    <s v="NO3_A1"/>
    <x v="1"/>
    <s v="GBPR_MUNIWASTE"/>
    <x v="0"/>
    <x v="6"/>
    <n v="20.143010752688198"/>
    <n v="7352.1989247311803"/>
    <n v="26467.916129032299"/>
  </r>
  <r>
    <x v="0"/>
    <x v="0"/>
    <x v="0"/>
    <x v="2"/>
    <x v="8"/>
    <s v="NO3_A1"/>
    <x v="1"/>
    <s v="GBPR_MUNIWASTE"/>
    <x v="0"/>
    <x v="7"/>
    <n v="20.143010752688198"/>
    <n v="7352.1989247311803"/>
    <n v="26467.916129032299"/>
  </r>
  <r>
    <x v="0"/>
    <x v="0"/>
    <x v="0"/>
    <x v="2"/>
    <x v="8"/>
    <s v="NO3_A1"/>
    <x v="1"/>
    <s v="GBPR_MUNIWASTE"/>
    <x v="0"/>
    <x v="8"/>
    <n v="20.143010752688198"/>
    <n v="7352.1989247311803"/>
    <n v="26467.916129032299"/>
  </r>
  <r>
    <x v="0"/>
    <x v="0"/>
    <x v="0"/>
    <x v="2"/>
    <x v="8"/>
    <s v="NO3_A1"/>
    <x v="1"/>
    <s v="GBPR_MUNIWASTE"/>
    <x v="0"/>
    <x v="9"/>
    <n v="20.143010752688198"/>
    <n v="7352.1989247311803"/>
    <n v="26467.916129032299"/>
  </r>
  <r>
    <x v="0"/>
    <x v="0"/>
    <x v="0"/>
    <x v="2"/>
    <x v="8"/>
    <s v="NO3_A1"/>
    <x v="1"/>
    <s v="GBPR_MUNIWASTE"/>
    <x v="0"/>
    <x v="10"/>
    <n v="20.143010752688198"/>
    <n v="7352.1989247311803"/>
    <n v="26467.916129032299"/>
  </r>
  <r>
    <x v="0"/>
    <x v="0"/>
    <x v="0"/>
    <x v="2"/>
    <x v="8"/>
    <s v="NO3_A1"/>
    <x v="1"/>
    <s v="GBPR_MUNIWASTE"/>
    <x v="0"/>
    <x v="11"/>
    <n v="20.143010752688198"/>
    <n v="7352.1989247311803"/>
    <n v="26467.916129032299"/>
  </r>
  <r>
    <x v="0"/>
    <x v="0"/>
    <x v="0"/>
    <x v="2"/>
    <x v="8"/>
    <s v="NO3_A1"/>
    <x v="1"/>
    <s v="GBPR_MUNIWASTE"/>
    <x v="0"/>
    <x v="12"/>
    <n v="20.143010752688198"/>
    <n v="7352.1989247311803"/>
    <n v="26467.916129032299"/>
  </r>
  <r>
    <x v="0"/>
    <x v="0"/>
    <x v="0"/>
    <x v="2"/>
    <x v="8"/>
    <s v="NO3_A1"/>
    <x v="1"/>
    <s v="GBPR_MUNIWASTE"/>
    <x v="0"/>
    <x v="13"/>
    <n v="20.143010752688198"/>
    <n v="7352.1989247311803"/>
    <n v="26467.916129032299"/>
  </r>
  <r>
    <x v="0"/>
    <x v="0"/>
    <x v="0"/>
    <x v="2"/>
    <x v="8"/>
    <s v="NO3_A1"/>
    <x v="1"/>
    <s v="GBPR_MUNIWASTE"/>
    <x v="0"/>
    <x v="14"/>
    <n v="20.143010752688198"/>
    <n v="7352.1989247311803"/>
    <n v="26467.916129032299"/>
  </r>
  <r>
    <x v="0"/>
    <x v="0"/>
    <x v="0"/>
    <x v="2"/>
    <x v="8"/>
    <s v="NO3_A1"/>
    <x v="1"/>
    <s v="GBPR_MUNIWASTE"/>
    <x v="0"/>
    <x v="15"/>
    <n v="20.143010752688198"/>
    <n v="7352.1989247311803"/>
    <n v="26467.916129032299"/>
  </r>
  <r>
    <x v="0"/>
    <x v="0"/>
    <x v="0"/>
    <x v="2"/>
    <x v="8"/>
    <s v="NO3_A1"/>
    <x v="1"/>
    <s v="GBPR_MUNIWASTE"/>
    <x v="0"/>
    <x v="16"/>
    <n v="20.143010752688198"/>
    <n v="7352.1989247311803"/>
    <n v="26467.916129032299"/>
  </r>
  <r>
    <x v="0"/>
    <x v="0"/>
    <x v="0"/>
    <x v="2"/>
    <x v="8"/>
    <s v="NO3_A1"/>
    <x v="1"/>
    <s v="GBPR_MUNIWASTE"/>
    <x v="0"/>
    <x v="17"/>
    <n v="20.143010752688198"/>
    <n v="7352.1989247311803"/>
    <n v="26467.916129032299"/>
  </r>
  <r>
    <x v="0"/>
    <x v="0"/>
    <x v="0"/>
    <x v="2"/>
    <x v="8"/>
    <s v="NO3_A1"/>
    <x v="1"/>
    <s v="GBPR_MUNIWASTE"/>
    <x v="0"/>
    <x v="18"/>
    <n v="20.143010752688198"/>
    <n v="7352.1989247311803"/>
    <n v="26467.916129032299"/>
  </r>
  <r>
    <x v="0"/>
    <x v="0"/>
    <x v="0"/>
    <x v="2"/>
    <x v="8"/>
    <s v="NO3_A1"/>
    <x v="1"/>
    <s v="GBPR_MUNIWASTE"/>
    <x v="0"/>
    <x v="19"/>
    <n v="20.143010752688198"/>
    <n v="7352.1989247311803"/>
    <n v="26467.916129032299"/>
  </r>
  <r>
    <x v="0"/>
    <x v="0"/>
    <x v="0"/>
    <x v="2"/>
    <x v="8"/>
    <s v="NO3_A1"/>
    <x v="1"/>
    <s v="GBPR_MUNIWASTE"/>
    <x v="0"/>
    <x v="20"/>
    <n v="20.143010752688198"/>
    <n v="7352.1989247311803"/>
    <n v="26467.916129032299"/>
  </r>
  <r>
    <x v="0"/>
    <x v="0"/>
    <x v="0"/>
    <x v="2"/>
    <x v="8"/>
    <s v="NO3_A1"/>
    <x v="1"/>
    <s v="GBPR_MUNIWASTE"/>
    <x v="0"/>
    <x v="21"/>
    <n v="20.143010752688198"/>
    <n v="7352.1989247311803"/>
    <n v="26467.916129032299"/>
  </r>
  <r>
    <x v="0"/>
    <x v="0"/>
    <x v="0"/>
    <x v="2"/>
    <x v="8"/>
    <s v="NO3_A1"/>
    <x v="1"/>
    <s v="GBPR_MUNIWASTE"/>
    <x v="0"/>
    <x v="22"/>
    <n v="20.143010752688198"/>
    <n v="7352.1989247311803"/>
    <n v="26467.916129032299"/>
  </r>
  <r>
    <x v="0"/>
    <x v="0"/>
    <x v="0"/>
    <x v="2"/>
    <x v="8"/>
    <s v="NO3_A1"/>
    <x v="1"/>
    <s v="GBPR_MUNIWASTE"/>
    <x v="0"/>
    <x v="23"/>
    <n v="20.143010752688198"/>
    <n v="7352.1989247311803"/>
    <n v="26467.916129032299"/>
  </r>
  <r>
    <x v="0"/>
    <x v="0"/>
    <x v="0"/>
    <x v="2"/>
    <x v="8"/>
    <s v="NO3_A1"/>
    <x v="2"/>
    <s v="GHOB_WASTEHEAT"/>
    <x v="0"/>
    <x v="0"/>
    <n v="4.3039148351648198"/>
    <n v="1570.92891483516"/>
    <n v="5655.3440934065702"/>
  </r>
  <r>
    <x v="0"/>
    <x v="0"/>
    <x v="0"/>
    <x v="2"/>
    <x v="8"/>
    <s v="NO3_A1"/>
    <x v="2"/>
    <s v="GHOB_WASTEHEAT"/>
    <x v="0"/>
    <x v="1"/>
    <n v="4.3039148351648198"/>
    <n v="1570.92891483516"/>
    <n v="5655.3440934065702"/>
  </r>
  <r>
    <x v="0"/>
    <x v="0"/>
    <x v="0"/>
    <x v="2"/>
    <x v="8"/>
    <s v="NO3_A1"/>
    <x v="2"/>
    <s v="GHOB_WASTEHEAT"/>
    <x v="0"/>
    <x v="2"/>
    <n v="4.3039148351648198"/>
    <n v="1570.92891483516"/>
    <n v="5655.3440934065702"/>
  </r>
  <r>
    <x v="0"/>
    <x v="0"/>
    <x v="0"/>
    <x v="2"/>
    <x v="8"/>
    <s v="NO3_A1"/>
    <x v="2"/>
    <s v="GHOB_WASTEHEAT"/>
    <x v="0"/>
    <x v="3"/>
    <n v="4.3039148351648198"/>
    <n v="1570.92891483516"/>
    <n v="5655.3440934065702"/>
  </r>
  <r>
    <x v="0"/>
    <x v="0"/>
    <x v="0"/>
    <x v="2"/>
    <x v="8"/>
    <s v="NO3_A1"/>
    <x v="2"/>
    <s v="GHOB_WASTEHEAT"/>
    <x v="0"/>
    <x v="4"/>
    <n v="4.3039148351648198"/>
    <n v="1570.92891483516"/>
    <n v="5655.3440934065702"/>
  </r>
  <r>
    <x v="0"/>
    <x v="0"/>
    <x v="0"/>
    <x v="2"/>
    <x v="8"/>
    <s v="NO3_A1"/>
    <x v="2"/>
    <s v="GHOB_WASTEHEAT"/>
    <x v="0"/>
    <x v="5"/>
    <n v="4.3039148351648198"/>
    <n v="1570.92891483516"/>
    <n v="5655.3440934065702"/>
  </r>
  <r>
    <x v="0"/>
    <x v="0"/>
    <x v="0"/>
    <x v="2"/>
    <x v="8"/>
    <s v="NO3_A1"/>
    <x v="2"/>
    <s v="GHOB_WASTEHEAT"/>
    <x v="0"/>
    <x v="6"/>
    <n v="4.3039148351648198"/>
    <n v="1570.92891483516"/>
    <n v="5655.3440934065702"/>
  </r>
  <r>
    <x v="0"/>
    <x v="0"/>
    <x v="0"/>
    <x v="2"/>
    <x v="8"/>
    <s v="NO3_A1"/>
    <x v="2"/>
    <s v="GHOB_WASTEHEAT"/>
    <x v="0"/>
    <x v="7"/>
    <n v="4.3039148351648198"/>
    <n v="1570.92891483516"/>
    <n v="5655.3440934065702"/>
  </r>
  <r>
    <x v="0"/>
    <x v="0"/>
    <x v="0"/>
    <x v="2"/>
    <x v="8"/>
    <s v="NO3_A1"/>
    <x v="2"/>
    <s v="GHOB_WASTEHEAT"/>
    <x v="0"/>
    <x v="8"/>
    <n v="4.3039148351648198"/>
    <n v="1570.92891483516"/>
    <n v="5655.3440934065702"/>
  </r>
  <r>
    <x v="0"/>
    <x v="0"/>
    <x v="0"/>
    <x v="2"/>
    <x v="8"/>
    <s v="NO3_A1"/>
    <x v="2"/>
    <s v="GHOB_WASTEHEAT"/>
    <x v="0"/>
    <x v="9"/>
    <n v="4.3039148351648198"/>
    <n v="1570.92891483516"/>
    <n v="5655.3440934065702"/>
  </r>
  <r>
    <x v="0"/>
    <x v="0"/>
    <x v="0"/>
    <x v="2"/>
    <x v="8"/>
    <s v="NO3_A1"/>
    <x v="2"/>
    <s v="GHOB_WASTEHEAT"/>
    <x v="0"/>
    <x v="10"/>
    <n v="4.3039148351648198"/>
    <n v="1570.92891483516"/>
    <n v="5655.3440934065702"/>
  </r>
  <r>
    <x v="0"/>
    <x v="0"/>
    <x v="0"/>
    <x v="2"/>
    <x v="8"/>
    <s v="NO3_A1"/>
    <x v="2"/>
    <s v="GHOB_WASTEHEAT"/>
    <x v="0"/>
    <x v="11"/>
    <n v="4.3039148351648198"/>
    <n v="1570.92891483516"/>
    <n v="5655.3440934065702"/>
  </r>
  <r>
    <x v="0"/>
    <x v="0"/>
    <x v="0"/>
    <x v="2"/>
    <x v="8"/>
    <s v="NO3_A1"/>
    <x v="2"/>
    <s v="GHOB_WASTEHEAT"/>
    <x v="0"/>
    <x v="12"/>
    <n v="4.3039148351648198"/>
    <n v="1570.92891483516"/>
    <n v="5655.3440934065702"/>
  </r>
  <r>
    <x v="0"/>
    <x v="0"/>
    <x v="0"/>
    <x v="2"/>
    <x v="8"/>
    <s v="NO3_A1"/>
    <x v="2"/>
    <s v="GHOB_WASTEHEAT"/>
    <x v="0"/>
    <x v="13"/>
    <n v="4.3039148351648198"/>
    <n v="1570.92891483516"/>
    <n v="5655.3440934065702"/>
  </r>
  <r>
    <x v="0"/>
    <x v="0"/>
    <x v="0"/>
    <x v="2"/>
    <x v="8"/>
    <s v="NO3_A1"/>
    <x v="2"/>
    <s v="GHOB_WASTEHEAT"/>
    <x v="0"/>
    <x v="14"/>
    <n v="4.3039148351648198"/>
    <n v="1570.92891483516"/>
    <n v="5655.3440934065702"/>
  </r>
  <r>
    <x v="0"/>
    <x v="0"/>
    <x v="0"/>
    <x v="2"/>
    <x v="8"/>
    <s v="NO3_A1"/>
    <x v="2"/>
    <s v="GHOB_WASTEHEAT"/>
    <x v="0"/>
    <x v="15"/>
    <n v="4.3039148351648198"/>
    <n v="1570.92891483516"/>
    <n v="5655.3440934065702"/>
  </r>
  <r>
    <x v="0"/>
    <x v="0"/>
    <x v="0"/>
    <x v="2"/>
    <x v="8"/>
    <s v="NO3_A1"/>
    <x v="2"/>
    <s v="GHOB_WASTEHEAT"/>
    <x v="0"/>
    <x v="16"/>
    <n v="4.3039148351648198"/>
    <n v="1570.92891483516"/>
    <n v="5655.3440934065702"/>
  </r>
  <r>
    <x v="0"/>
    <x v="0"/>
    <x v="0"/>
    <x v="2"/>
    <x v="8"/>
    <s v="NO3_A1"/>
    <x v="2"/>
    <s v="GHOB_WASTEHEAT"/>
    <x v="0"/>
    <x v="17"/>
    <n v="4.3039148351648198"/>
    <n v="1570.92891483516"/>
    <n v="5655.3440934065702"/>
  </r>
  <r>
    <x v="0"/>
    <x v="0"/>
    <x v="0"/>
    <x v="2"/>
    <x v="8"/>
    <s v="NO3_A1"/>
    <x v="2"/>
    <s v="GHOB_WASTEHEAT"/>
    <x v="0"/>
    <x v="18"/>
    <n v="4.3039148351648198"/>
    <n v="1570.92891483516"/>
    <n v="5655.3440934065702"/>
  </r>
  <r>
    <x v="0"/>
    <x v="0"/>
    <x v="0"/>
    <x v="2"/>
    <x v="8"/>
    <s v="NO3_A1"/>
    <x v="2"/>
    <s v="GHOB_WASTEHEAT"/>
    <x v="0"/>
    <x v="19"/>
    <n v="4.3039148351648198"/>
    <n v="1570.92891483516"/>
    <n v="5655.3440934065702"/>
  </r>
  <r>
    <x v="0"/>
    <x v="0"/>
    <x v="0"/>
    <x v="2"/>
    <x v="8"/>
    <s v="NO3_A1"/>
    <x v="2"/>
    <s v="GHOB_WASTEHEAT"/>
    <x v="0"/>
    <x v="20"/>
    <n v="4.3039148351648198"/>
    <n v="1570.92891483516"/>
    <n v="5655.3440934065702"/>
  </r>
  <r>
    <x v="0"/>
    <x v="0"/>
    <x v="0"/>
    <x v="2"/>
    <x v="8"/>
    <s v="NO3_A1"/>
    <x v="2"/>
    <s v="GHOB_WASTEHEAT"/>
    <x v="0"/>
    <x v="21"/>
    <n v="4.3039148351648198"/>
    <n v="1570.92891483516"/>
    <n v="5655.3440934065702"/>
  </r>
  <r>
    <x v="0"/>
    <x v="0"/>
    <x v="0"/>
    <x v="2"/>
    <x v="8"/>
    <s v="NO3_A1"/>
    <x v="2"/>
    <s v="GHOB_WASTEHEAT"/>
    <x v="0"/>
    <x v="22"/>
    <n v="4.3039148351648198"/>
    <n v="1570.92891483516"/>
    <n v="5655.3440934065702"/>
  </r>
  <r>
    <x v="0"/>
    <x v="0"/>
    <x v="0"/>
    <x v="2"/>
    <x v="8"/>
    <s v="NO3_A1"/>
    <x v="2"/>
    <s v="GHOB_WASTEHEAT"/>
    <x v="0"/>
    <x v="23"/>
    <n v="3.9820097994673298"/>
    <n v="1453.4335768055801"/>
    <n v="5232.3608765000699"/>
  </r>
  <r>
    <x v="0"/>
    <x v="0"/>
    <x v="0"/>
    <x v="2"/>
    <x v="8"/>
    <s v="NO3_A1"/>
    <x v="7"/>
    <s v="GHYRR_WATER"/>
    <x v="0"/>
    <x v="0"/>
    <n v="825.22798133178901"/>
    <n v="301208.21318610298"/>
    <n v="1084349.5674699701"/>
  </r>
  <r>
    <x v="0"/>
    <x v="0"/>
    <x v="0"/>
    <x v="2"/>
    <x v="8"/>
    <s v="NO3_A1"/>
    <x v="7"/>
    <s v="GHYRR_WATER"/>
    <x v="0"/>
    <x v="1"/>
    <n v="825.22798133178901"/>
    <n v="301208.21318610298"/>
    <n v="1084349.5674699701"/>
  </r>
  <r>
    <x v="0"/>
    <x v="0"/>
    <x v="0"/>
    <x v="2"/>
    <x v="8"/>
    <s v="NO3_A1"/>
    <x v="7"/>
    <s v="GHYRR_WATER"/>
    <x v="0"/>
    <x v="2"/>
    <n v="825.22798133178901"/>
    <n v="301208.21318610298"/>
    <n v="1084349.5674699701"/>
  </r>
  <r>
    <x v="0"/>
    <x v="0"/>
    <x v="0"/>
    <x v="2"/>
    <x v="8"/>
    <s v="NO3_A1"/>
    <x v="7"/>
    <s v="GHYRR_WATER"/>
    <x v="0"/>
    <x v="3"/>
    <n v="825.22798133178901"/>
    <n v="301208.21318610298"/>
    <n v="1084349.5674699701"/>
  </r>
  <r>
    <x v="0"/>
    <x v="0"/>
    <x v="0"/>
    <x v="2"/>
    <x v="8"/>
    <s v="NO3_A1"/>
    <x v="7"/>
    <s v="GHYRR_WATER"/>
    <x v="0"/>
    <x v="4"/>
    <n v="825.22798133178901"/>
    <n v="301208.21318610298"/>
    <n v="1084349.5674699701"/>
  </r>
  <r>
    <x v="0"/>
    <x v="0"/>
    <x v="0"/>
    <x v="2"/>
    <x v="8"/>
    <s v="NO3_A1"/>
    <x v="7"/>
    <s v="GHYRR_WATER"/>
    <x v="0"/>
    <x v="5"/>
    <n v="825.22798133178901"/>
    <n v="301208.21318610298"/>
    <n v="1084349.5674699701"/>
  </r>
  <r>
    <x v="0"/>
    <x v="0"/>
    <x v="0"/>
    <x v="2"/>
    <x v="8"/>
    <s v="NO3_A1"/>
    <x v="7"/>
    <s v="GHYRR_WATER"/>
    <x v="0"/>
    <x v="6"/>
    <n v="825.22798133178901"/>
    <n v="301208.21318610298"/>
    <n v="1084349.5674699701"/>
  </r>
  <r>
    <x v="0"/>
    <x v="0"/>
    <x v="0"/>
    <x v="2"/>
    <x v="8"/>
    <s v="NO3_A1"/>
    <x v="7"/>
    <s v="GHYRR_WATER"/>
    <x v="0"/>
    <x v="7"/>
    <n v="825.22798133178901"/>
    <n v="301208.21318610298"/>
    <n v="1084349.5674699701"/>
  </r>
  <r>
    <x v="0"/>
    <x v="0"/>
    <x v="0"/>
    <x v="2"/>
    <x v="8"/>
    <s v="NO3_A1"/>
    <x v="7"/>
    <s v="GHYRR_WATER"/>
    <x v="0"/>
    <x v="8"/>
    <n v="825.22798133178901"/>
    <n v="301208.21318610298"/>
    <n v="1084349.5674699701"/>
  </r>
  <r>
    <x v="0"/>
    <x v="0"/>
    <x v="0"/>
    <x v="2"/>
    <x v="8"/>
    <s v="NO3_A1"/>
    <x v="7"/>
    <s v="GHYRR_WATER"/>
    <x v="0"/>
    <x v="9"/>
    <n v="825.22798133178901"/>
    <n v="301208.21318610298"/>
    <n v="1084349.5674699701"/>
  </r>
  <r>
    <x v="0"/>
    <x v="0"/>
    <x v="0"/>
    <x v="2"/>
    <x v="8"/>
    <s v="NO3_A1"/>
    <x v="7"/>
    <s v="GHYRR_WATER"/>
    <x v="0"/>
    <x v="10"/>
    <n v="825.22798133178901"/>
    <n v="301208.21318610298"/>
    <n v="1084349.5674699701"/>
  </r>
  <r>
    <x v="0"/>
    <x v="0"/>
    <x v="0"/>
    <x v="2"/>
    <x v="8"/>
    <s v="NO3_A1"/>
    <x v="7"/>
    <s v="GHYRR_WATER"/>
    <x v="0"/>
    <x v="11"/>
    <n v="825.22798133178901"/>
    <n v="301208.21318610298"/>
    <n v="1084349.5674699701"/>
  </r>
  <r>
    <x v="0"/>
    <x v="0"/>
    <x v="0"/>
    <x v="2"/>
    <x v="8"/>
    <s v="NO3_A1"/>
    <x v="7"/>
    <s v="GHYRR_WATER"/>
    <x v="0"/>
    <x v="12"/>
    <n v="825.22798133178901"/>
    <n v="301208.21318610298"/>
    <n v="1084349.5674699701"/>
  </r>
  <r>
    <x v="0"/>
    <x v="0"/>
    <x v="0"/>
    <x v="2"/>
    <x v="8"/>
    <s v="NO3_A1"/>
    <x v="7"/>
    <s v="GHYRR_WATER"/>
    <x v="0"/>
    <x v="13"/>
    <n v="825.22798133178901"/>
    <n v="301208.21318610298"/>
    <n v="1084349.5674699701"/>
  </r>
  <r>
    <x v="0"/>
    <x v="0"/>
    <x v="0"/>
    <x v="2"/>
    <x v="8"/>
    <s v="NO3_A1"/>
    <x v="7"/>
    <s v="GHYRR_WATER"/>
    <x v="0"/>
    <x v="14"/>
    <n v="825.22798133178901"/>
    <n v="301208.21318610298"/>
    <n v="1084349.5674699701"/>
  </r>
  <r>
    <x v="0"/>
    <x v="0"/>
    <x v="0"/>
    <x v="2"/>
    <x v="8"/>
    <s v="NO3_A1"/>
    <x v="7"/>
    <s v="GHYRR_WATER"/>
    <x v="0"/>
    <x v="15"/>
    <n v="825.22798133178901"/>
    <n v="301208.21318610298"/>
    <n v="1084349.5674699701"/>
  </r>
  <r>
    <x v="0"/>
    <x v="0"/>
    <x v="0"/>
    <x v="2"/>
    <x v="8"/>
    <s v="NO3_A1"/>
    <x v="7"/>
    <s v="GHYRR_WATER"/>
    <x v="0"/>
    <x v="16"/>
    <n v="825.22798133178901"/>
    <n v="301208.21318610298"/>
    <n v="1084349.5674699701"/>
  </r>
  <r>
    <x v="0"/>
    <x v="0"/>
    <x v="0"/>
    <x v="2"/>
    <x v="8"/>
    <s v="NO3_A1"/>
    <x v="7"/>
    <s v="GHYRR_WATER"/>
    <x v="0"/>
    <x v="17"/>
    <n v="825.22798133178901"/>
    <n v="301208.21318610298"/>
    <n v="1084349.5674699701"/>
  </r>
  <r>
    <x v="0"/>
    <x v="0"/>
    <x v="0"/>
    <x v="2"/>
    <x v="8"/>
    <s v="NO3_A1"/>
    <x v="7"/>
    <s v="GHYRR_WATER"/>
    <x v="0"/>
    <x v="18"/>
    <n v="825.22798133178901"/>
    <n v="301208.21318610298"/>
    <n v="1084349.5674699701"/>
  </r>
  <r>
    <x v="0"/>
    <x v="0"/>
    <x v="0"/>
    <x v="2"/>
    <x v="8"/>
    <s v="NO3_A1"/>
    <x v="7"/>
    <s v="GHYRR_WATER"/>
    <x v="0"/>
    <x v="19"/>
    <n v="825.22798133178901"/>
    <n v="301208.21318610298"/>
    <n v="1084349.5674699701"/>
  </r>
  <r>
    <x v="0"/>
    <x v="0"/>
    <x v="0"/>
    <x v="2"/>
    <x v="8"/>
    <s v="NO3_A1"/>
    <x v="7"/>
    <s v="GHYRR_WATER"/>
    <x v="0"/>
    <x v="20"/>
    <n v="825.22798133178901"/>
    <n v="301208.21318610298"/>
    <n v="1084349.5674699701"/>
  </r>
  <r>
    <x v="0"/>
    <x v="0"/>
    <x v="0"/>
    <x v="2"/>
    <x v="8"/>
    <s v="NO3_A1"/>
    <x v="7"/>
    <s v="GHYRR_WATER"/>
    <x v="0"/>
    <x v="21"/>
    <n v="825.22798133178901"/>
    <n v="301208.21318610298"/>
    <n v="1084349.5674699701"/>
  </r>
  <r>
    <x v="0"/>
    <x v="0"/>
    <x v="0"/>
    <x v="2"/>
    <x v="8"/>
    <s v="NO3_A1"/>
    <x v="7"/>
    <s v="GHYRR_WATER"/>
    <x v="0"/>
    <x v="22"/>
    <n v="825.22798133178901"/>
    <n v="301208.21318610298"/>
    <n v="1084349.5674699701"/>
  </r>
  <r>
    <x v="0"/>
    <x v="0"/>
    <x v="0"/>
    <x v="2"/>
    <x v="8"/>
    <s v="NO3_A1"/>
    <x v="7"/>
    <s v="GHYRR_WATER"/>
    <x v="0"/>
    <x v="23"/>
    <n v="825.22798133178901"/>
    <n v="301208.21318610298"/>
    <n v="1084349.5674699701"/>
  </r>
  <r>
    <x v="0"/>
    <x v="0"/>
    <x v="0"/>
    <x v="2"/>
    <x v="8"/>
    <s v="NO3_A1"/>
    <x v="7"/>
    <s v="GHYRS_WATER"/>
    <x v="0"/>
    <x v="0"/>
    <n v="1688.1295539944399"/>
    <n v="616167.28720797005"/>
    <n v="2218202.2339486899"/>
  </r>
  <r>
    <x v="0"/>
    <x v="0"/>
    <x v="0"/>
    <x v="2"/>
    <x v="8"/>
    <s v="NO3_A1"/>
    <x v="7"/>
    <s v="GHYRS_WATER"/>
    <x v="0"/>
    <x v="1"/>
    <n v="781.05115839131997"/>
    <n v="285083.672812832"/>
    <n v="1026301.22212619"/>
  </r>
  <r>
    <x v="0"/>
    <x v="0"/>
    <x v="0"/>
    <x v="2"/>
    <x v="8"/>
    <s v="NO3_A1"/>
    <x v="7"/>
    <s v="GHYRS_WATER"/>
    <x v="0"/>
    <x v="2"/>
    <n v="1596.08925273881"/>
    <n v="582572.57724966598"/>
    <n v="2097261.2780988002"/>
  </r>
  <r>
    <x v="0"/>
    <x v="0"/>
    <x v="0"/>
    <x v="2"/>
    <x v="8"/>
    <s v="NO3_A1"/>
    <x v="7"/>
    <s v="GHYRS_WATER"/>
    <x v="0"/>
    <x v="3"/>
    <n v="761.57329316263099"/>
    <n v="277974.25200436002"/>
    <n v="1000707.3072157"/>
  </r>
  <r>
    <x v="0"/>
    <x v="0"/>
    <x v="0"/>
    <x v="2"/>
    <x v="8"/>
    <s v="NO3_A1"/>
    <x v="7"/>
    <s v="GHYRS_WATER"/>
    <x v="0"/>
    <x v="5"/>
    <n v="1684.2443145355701"/>
    <n v="614749.17480548203"/>
    <n v="2213097.02929973"/>
  </r>
  <r>
    <x v="0"/>
    <x v="0"/>
    <x v="0"/>
    <x v="2"/>
    <x v="8"/>
    <s v="NO3_A1"/>
    <x v="7"/>
    <s v="GHYRS_WATER"/>
    <x v="0"/>
    <x v="6"/>
    <n v="1020.92874189904"/>
    <n v="372638.99079314998"/>
    <n v="1341500.3668553401"/>
  </r>
  <r>
    <x v="0"/>
    <x v="0"/>
    <x v="0"/>
    <x v="2"/>
    <x v="8"/>
    <s v="NO3_A1"/>
    <x v="7"/>
    <s v="GHYRS_WATER"/>
    <x v="0"/>
    <x v="7"/>
    <n v="2134.2306673678299"/>
    <n v="778994.19358925801"/>
    <n v="2804379.0969213299"/>
  </r>
  <r>
    <x v="0"/>
    <x v="0"/>
    <x v="0"/>
    <x v="2"/>
    <x v="8"/>
    <s v="NO3_A1"/>
    <x v="7"/>
    <s v="GHYRS_WATER"/>
    <x v="0"/>
    <x v="8"/>
    <n v="2292.5715735477802"/>
    <n v="836788.62434493902"/>
    <n v="3012439.0476417802"/>
  </r>
  <r>
    <x v="0"/>
    <x v="0"/>
    <x v="0"/>
    <x v="2"/>
    <x v="8"/>
    <s v="NO3_A1"/>
    <x v="7"/>
    <s v="GHYRS_WATER"/>
    <x v="0"/>
    <x v="9"/>
    <n v="3175.3214225316501"/>
    <n v="1158992.31922405"/>
    <n v="4172372.3492065901"/>
  </r>
  <r>
    <x v="0"/>
    <x v="0"/>
    <x v="0"/>
    <x v="2"/>
    <x v="8"/>
    <s v="NO3_A1"/>
    <x v="7"/>
    <s v="GHYRS_WATER"/>
    <x v="0"/>
    <x v="10"/>
    <n v="1475.19984757934"/>
    <n v="538447.94436645904"/>
    <n v="1938412.5997192501"/>
  </r>
  <r>
    <x v="0"/>
    <x v="0"/>
    <x v="0"/>
    <x v="2"/>
    <x v="8"/>
    <s v="NO3_A1"/>
    <x v="7"/>
    <s v="GHYRS_WATER"/>
    <x v="0"/>
    <x v="12"/>
    <n v="891.30052338108806"/>
    <n v="325324.69103409699"/>
    <n v="1171168.88772275"/>
  </r>
  <r>
    <x v="0"/>
    <x v="0"/>
    <x v="0"/>
    <x v="2"/>
    <x v="8"/>
    <s v="NO3_A1"/>
    <x v="7"/>
    <s v="GHYRS_WATER"/>
    <x v="0"/>
    <x v="13"/>
    <n v="1040.9384066099799"/>
    <n v="379942.518412643"/>
    <n v="1367793.0662855101"/>
  </r>
  <r>
    <x v="0"/>
    <x v="0"/>
    <x v="0"/>
    <x v="2"/>
    <x v="8"/>
    <s v="NO3_A1"/>
    <x v="7"/>
    <s v="GHYRS_WATER"/>
    <x v="0"/>
    <x v="14"/>
    <n v="1907.1121534716201"/>
    <n v="696095.93601714203"/>
    <n v="2505945.3696617102"/>
  </r>
  <r>
    <x v="0"/>
    <x v="0"/>
    <x v="0"/>
    <x v="2"/>
    <x v="8"/>
    <s v="NO3_A1"/>
    <x v="7"/>
    <s v="GHYRS_WATER"/>
    <x v="0"/>
    <x v="15"/>
    <n v="1934.0025523669501"/>
    <n v="705910.93161393504"/>
    <n v="2541279.3538101702"/>
  </r>
  <r>
    <x v="0"/>
    <x v="0"/>
    <x v="0"/>
    <x v="2"/>
    <x v="8"/>
    <s v="NO3_A1"/>
    <x v="7"/>
    <s v="GHYRS_WATER"/>
    <x v="0"/>
    <x v="16"/>
    <n v="1916.2955094334"/>
    <n v="699447.86094319099"/>
    <n v="2518012.29939549"/>
  </r>
  <r>
    <x v="0"/>
    <x v="0"/>
    <x v="0"/>
    <x v="2"/>
    <x v="8"/>
    <s v="NO3_A1"/>
    <x v="7"/>
    <s v="GHYRS_WATER"/>
    <x v="0"/>
    <x v="17"/>
    <n v="1912.8251932445401"/>
    <n v="698181.19553425605"/>
    <n v="2513452.30392332"/>
  </r>
  <r>
    <x v="0"/>
    <x v="0"/>
    <x v="0"/>
    <x v="2"/>
    <x v="8"/>
    <s v="NO3_A1"/>
    <x v="7"/>
    <s v="GHYRS_WATER"/>
    <x v="0"/>
    <x v="18"/>
    <n v="1086.0088912169499"/>
    <n v="396393.24529418699"/>
    <n v="1427015.68305907"/>
  </r>
  <r>
    <x v="0"/>
    <x v="0"/>
    <x v="0"/>
    <x v="2"/>
    <x v="8"/>
    <s v="NO3_A1"/>
    <x v="7"/>
    <s v="GHYRS_WATER"/>
    <x v="0"/>
    <x v="19"/>
    <n v="2983.8922300305999"/>
    <n v="1089120.66396117"/>
    <n v="3920834.3902602098"/>
  </r>
  <r>
    <x v="0"/>
    <x v="0"/>
    <x v="0"/>
    <x v="2"/>
    <x v="8"/>
    <s v="NO3_A1"/>
    <x v="7"/>
    <s v="GHYRS_WATER"/>
    <x v="0"/>
    <x v="20"/>
    <n v="3056.1571704744802"/>
    <n v="1115497.3672231899"/>
    <n v="4015790.52200347"/>
  </r>
  <r>
    <x v="0"/>
    <x v="0"/>
    <x v="0"/>
    <x v="2"/>
    <x v="8"/>
    <s v="NO3_A1"/>
    <x v="7"/>
    <s v="GHYRS_WATER"/>
    <x v="0"/>
    <x v="21"/>
    <n v="3024.7826200622999"/>
    <n v="1104045.65632274"/>
    <n v="3974564.36276187"/>
  </r>
  <r>
    <x v="0"/>
    <x v="0"/>
    <x v="0"/>
    <x v="2"/>
    <x v="8"/>
    <s v="NO3_A1"/>
    <x v="7"/>
    <s v="GHYRS_WATER"/>
    <x v="0"/>
    <x v="22"/>
    <n v="2359.0351788994799"/>
    <n v="861047.84029831097"/>
    <n v="3099772.2250739201"/>
  </r>
  <r>
    <x v="0"/>
    <x v="0"/>
    <x v="0"/>
    <x v="2"/>
    <x v="8"/>
    <s v="NO3_A1"/>
    <x v="7"/>
    <s v="GHYRS_WATER"/>
    <x v="0"/>
    <x v="23"/>
    <n v="1721.7790334429601"/>
    <n v="628449.34720667999"/>
    <n v="2262417.6499440498"/>
  </r>
  <r>
    <x v="0"/>
    <x v="0"/>
    <x v="0"/>
    <x v="2"/>
    <x v="8"/>
    <s v="NO3_A1"/>
    <x v="8"/>
    <s v="GNR_WT_WIND_ONS"/>
    <x v="0"/>
    <x v="0"/>
    <n v="125.431234681204"/>
    <n v="45782.400658639301"/>
    <n v="164816.642371102"/>
  </r>
  <r>
    <x v="0"/>
    <x v="0"/>
    <x v="0"/>
    <x v="2"/>
    <x v="8"/>
    <s v="NO3_A1"/>
    <x v="8"/>
    <s v="GNR_WT_WIND_ONS"/>
    <x v="0"/>
    <x v="1"/>
    <n v="135.31839572200201"/>
    <n v="49391.214438530602"/>
    <n v="177808.37197871"/>
  </r>
  <r>
    <x v="0"/>
    <x v="0"/>
    <x v="0"/>
    <x v="2"/>
    <x v="8"/>
    <s v="NO3_A1"/>
    <x v="8"/>
    <s v="GNR_WT_WIND_ONS"/>
    <x v="0"/>
    <x v="2"/>
    <n v="120.54542596705799"/>
    <n v="43999.080477976102"/>
    <n v="158396.689720714"/>
  </r>
  <r>
    <x v="0"/>
    <x v="0"/>
    <x v="0"/>
    <x v="2"/>
    <x v="8"/>
    <s v="NO3_A1"/>
    <x v="8"/>
    <s v="GNR_WT_WIND_ONS"/>
    <x v="0"/>
    <x v="3"/>
    <n v="116.99031974803199"/>
    <n v="42701.466708031701"/>
    <n v="153725.280148914"/>
  </r>
  <r>
    <x v="0"/>
    <x v="0"/>
    <x v="0"/>
    <x v="2"/>
    <x v="8"/>
    <s v="NO3_A1"/>
    <x v="8"/>
    <s v="GNR_WT_WIND_ONS"/>
    <x v="0"/>
    <x v="4"/>
    <n v="144.53098874835999"/>
    <n v="52753.8108931514"/>
    <n v="189913.71921534499"/>
  </r>
  <r>
    <x v="0"/>
    <x v="0"/>
    <x v="0"/>
    <x v="2"/>
    <x v="8"/>
    <s v="NO3_A1"/>
    <x v="8"/>
    <s v="GNR_WT_WIND_ONS"/>
    <x v="0"/>
    <x v="5"/>
    <n v="140.200527188553"/>
    <n v="51173.192423822002"/>
    <n v="184223.49272575899"/>
  </r>
  <r>
    <x v="0"/>
    <x v="0"/>
    <x v="0"/>
    <x v="2"/>
    <x v="8"/>
    <s v="NO3_A1"/>
    <x v="8"/>
    <s v="GNR_WT_WIND_ONS"/>
    <x v="0"/>
    <x v="6"/>
    <n v="127.355771278955"/>
    <n v="46484.856516818603"/>
    <n v="167345.483460547"/>
  </r>
  <r>
    <x v="0"/>
    <x v="0"/>
    <x v="0"/>
    <x v="2"/>
    <x v="8"/>
    <s v="NO3_A1"/>
    <x v="8"/>
    <s v="GNR_WT_WIND_ONS"/>
    <x v="0"/>
    <x v="7"/>
    <n v="116.549984128573"/>
    <n v="42540.744206929201"/>
    <n v="153146.679144945"/>
  </r>
  <r>
    <x v="0"/>
    <x v="0"/>
    <x v="0"/>
    <x v="2"/>
    <x v="8"/>
    <s v="NO3_A1"/>
    <x v="8"/>
    <s v="GNR_WT_WIND_ONS"/>
    <x v="0"/>
    <x v="8"/>
    <n v="108.019195372371"/>
    <n v="39427.006310915203"/>
    <n v="141937.22271929501"/>
  </r>
  <r>
    <x v="0"/>
    <x v="0"/>
    <x v="0"/>
    <x v="2"/>
    <x v="8"/>
    <s v="NO3_A1"/>
    <x v="8"/>
    <s v="GNR_WT_WIND_ONS"/>
    <x v="0"/>
    <x v="9"/>
    <n v="78.149445243151703"/>
    <n v="28524.5475137504"/>
    <n v="102688.371049501"/>
  </r>
  <r>
    <x v="0"/>
    <x v="0"/>
    <x v="0"/>
    <x v="2"/>
    <x v="8"/>
    <s v="NO3_A1"/>
    <x v="8"/>
    <s v="GNR_WT_WIND_ONS"/>
    <x v="0"/>
    <x v="10"/>
    <n v="36.266162695861702"/>
    <n v="13237.149383989499"/>
    <n v="47653.737782362201"/>
  </r>
  <r>
    <x v="0"/>
    <x v="0"/>
    <x v="0"/>
    <x v="2"/>
    <x v="8"/>
    <s v="NO3_A1"/>
    <x v="8"/>
    <s v="GNR_WT_WIND_ONS"/>
    <x v="0"/>
    <x v="11"/>
    <n v="31.096614719607999"/>
    <n v="11350.2643726569"/>
    <n v="40860.951741564902"/>
  </r>
  <r>
    <x v="0"/>
    <x v="0"/>
    <x v="0"/>
    <x v="2"/>
    <x v="8"/>
    <s v="NO3_A1"/>
    <x v="8"/>
    <s v="GNR_WT_WIND_ONS"/>
    <x v="0"/>
    <x v="12"/>
    <n v="57.379830578016303"/>
    <n v="20943.638160975999"/>
    <n v="75397.097379513507"/>
  </r>
  <r>
    <x v="0"/>
    <x v="0"/>
    <x v="0"/>
    <x v="2"/>
    <x v="8"/>
    <s v="NO3_A1"/>
    <x v="8"/>
    <s v="GNR_WT_WIND_ONS"/>
    <x v="0"/>
    <x v="13"/>
    <n v="118.043502377297"/>
    <n v="43085.878367713398"/>
    <n v="155109.16212376801"/>
  </r>
  <r>
    <x v="0"/>
    <x v="0"/>
    <x v="0"/>
    <x v="2"/>
    <x v="8"/>
    <s v="NO3_A1"/>
    <x v="8"/>
    <s v="GNR_WT_WIND_ONS"/>
    <x v="0"/>
    <x v="14"/>
    <n v="147.916728747007"/>
    <n v="53989.605992657402"/>
    <n v="194362.581573567"/>
  </r>
  <r>
    <x v="0"/>
    <x v="0"/>
    <x v="0"/>
    <x v="2"/>
    <x v="8"/>
    <s v="NO3_A1"/>
    <x v="8"/>
    <s v="GNR_WT_WIND_ONS"/>
    <x v="0"/>
    <x v="15"/>
    <n v="156.003717467207"/>
    <n v="56941.356875530502"/>
    <n v="204988.88475190999"/>
  </r>
  <r>
    <x v="0"/>
    <x v="0"/>
    <x v="0"/>
    <x v="2"/>
    <x v="8"/>
    <s v="NO3_A1"/>
    <x v="8"/>
    <s v="GNR_WT_WIND_ONS"/>
    <x v="0"/>
    <x v="16"/>
    <n v="175.14706642786601"/>
    <n v="63928.679246171101"/>
    <n v="230143.245286216"/>
  </r>
  <r>
    <x v="0"/>
    <x v="0"/>
    <x v="0"/>
    <x v="2"/>
    <x v="8"/>
    <s v="NO3_A1"/>
    <x v="8"/>
    <s v="GNR_WT_WIND_ONS"/>
    <x v="0"/>
    <x v="17"/>
    <n v="175.29537419819701"/>
    <n v="63982.811582341703"/>
    <n v="230338.12169643"/>
  </r>
  <r>
    <x v="0"/>
    <x v="0"/>
    <x v="0"/>
    <x v="2"/>
    <x v="8"/>
    <s v="NO3_A1"/>
    <x v="8"/>
    <s v="GNR_WT_WIND_ONS"/>
    <x v="0"/>
    <x v="18"/>
    <n v="178.47038780899101"/>
    <n v="65141.691550281801"/>
    <n v="234510.089581015"/>
  </r>
  <r>
    <x v="0"/>
    <x v="0"/>
    <x v="0"/>
    <x v="2"/>
    <x v="8"/>
    <s v="NO3_A1"/>
    <x v="8"/>
    <s v="GNR_WT_WIND_ONS"/>
    <x v="0"/>
    <x v="19"/>
    <n v="142.208127015721"/>
    <n v="51905.966360738297"/>
    <n v="186861.47889865801"/>
  </r>
  <r>
    <x v="0"/>
    <x v="0"/>
    <x v="0"/>
    <x v="2"/>
    <x v="8"/>
    <s v="NO3_A1"/>
    <x v="8"/>
    <s v="GNR_WT_WIND_ONS"/>
    <x v="0"/>
    <x v="20"/>
    <n v="102.615686951923"/>
    <n v="37454.725737451801"/>
    <n v="134837.01265482599"/>
  </r>
  <r>
    <x v="0"/>
    <x v="0"/>
    <x v="0"/>
    <x v="2"/>
    <x v="8"/>
    <s v="NO3_A1"/>
    <x v="8"/>
    <s v="GNR_WT_WIND_ONS"/>
    <x v="0"/>
    <x v="21"/>
    <n v="76.507784759358998"/>
    <n v="27925.341437166"/>
    <n v="100531.229173798"/>
  </r>
  <r>
    <x v="0"/>
    <x v="0"/>
    <x v="0"/>
    <x v="2"/>
    <x v="8"/>
    <s v="NO3_A1"/>
    <x v="8"/>
    <s v="GNR_WT_WIND_ONS"/>
    <x v="0"/>
    <x v="22"/>
    <n v="65.583131467293995"/>
    <n v="23937.8429855623"/>
    <n v="86176.234748024304"/>
  </r>
  <r>
    <x v="0"/>
    <x v="0"/>
    <x v="0"/>
    <x v="2"/>
    <x v="8"/>
    <s v="NO3_A1"/>
    <x v="8"/>
    <s v="GNR_WT_WIND_ONS"/>
    <x v="0"/>
    <x v="23"/>
    <n v="71.694870679996399"/>
    <n v="26168.6277981987"/>
    <n v="94207.060073515298"/>
  </r>
  <r>
    <x v="0"/>
    <x v="0"/>
    <x v="0"/>
    <x v="2"/>
    <x v="8"/>
    <s v="NO3_A2"/>
    <x v="13"/>
    <s v="GHOB_LNG"/>
    <x v="0"/>
    <x v="5"/>
    <n v="2.5201303510262698"/>
    <n v="919.84757812458804"/>
    <n v="3311.45128124852"/>
  </r>
  <r>
    <x v="0"/>
    <x v="0"/>
    <x v="0"/>
    <x v="2"/>
    <x v="8"/>
    <s v="NO3_A2"/>
    <x v="13"/>
    <s v="GHOB_LNG"/>
    <x v="0"/>
    <x v="6"/>
    <n v="16.697941917515699"/>
    <n v="6094.7487998932202"/>
    <n v="21941.095679615599"/>
  </r>
  <r>
    <x v="0"/>
    <x v="0"/>
    <x v="0"/>
    <x v="2"/>
    <x v="8"/>
    <s v="NO3_A2"/>
    <x v="13"/>
    <s v="GHOB_LNG"/>
    <x v="0"/>
    <x v="7"/>
    <n v="28.478980918026"/>
    <n v="10394.828035079499"/>
    <n v="37421.380926286198"/>
  </r>
  <r>
    <x v="0"/>
    <x v="0"/>
    <x v="0"/>
    <x v="2"/>
    <x v="8"/>
    <s v="NO3_A2"/>
    <x v="13"/>
    <s v="GHOB_LNG"/>
    <x v="0"/>
    <x v="9"/>
    <n v="27.674758936393001"/>
    <n v="10101.287011783401"/>
    <n v="36364.633242420299"/>
  </r>
  <r>
    <x v="0"/>
    <x v="0"/>
    <x v="0"/>
    <x v="2"/>
    <x v="8"/>
    <s v="NO3_A2"/>
    <x v="13"/>
    <s v="GHOB_LNG"/>
    <x v="0"/>
    <x v="12"/>
    <n v="10.715407460105901"/>
    <n v="3911.1237229386602"/>
    <n v="14080.045402579201"/>
  </r>
  <r>
    <x v="0"/>
    <x v="0"/>
    <x v="0"/>
    <x v="2"/>
    <x v="8"/>
    <s v="NO3_A2"/>
    <x v="13"/>
    <s v="GHOB_LNG"/>
    <x v="0"/>
    <x v="15"/>
    <n v="3.4283017981996999"/>
    <n v="1251.3301563428899"/>
    <n v="4504.7885628344002"/>
  </r>
  <r>
    <x v="0"/>
    <x v="0"/>
    <x v="0"/>
    <x v="2"/>
    <x v="8"/>
    <s v="NO3_A2"/>
    <x v="13"/>
    <s v="GHOB_LPG"/>
    <x v="0"/>
    <x v="8"/>
    <n v="32.1272780106639"/>
    <n v="11726.4564738923"/>
    <n v="42215.2433060123"/>
  </r>
  <r>
    <x v="0"/>
    <x v="0"/>
    <x v="0"/>
    <x v="2"/>
    <x v="8"/>
    <s v="NO3_A2"/>
    <x v="13"/>
    <s v="GHOB_LPG"/>
    <x v="0"/>
    <x v="10"/>
    <n v="20.8810766918807"/>
    <n v="7621.5929925364499"/>
    <n v="27437.7347731312"/>
  </r>
  <r>
    <x v="0"/>
    <x v="0"/>
    <x v="0"/>
    <x v="2"/>
    <x v="8"/>
    <s v="NO3_A2"/>
    <x v="13"/>
    <s v="GHOB_LPG"/>
    <x v="0"/>
    <x v="11"/>
    <n v="15.058213079456699"/>
    <n v="5496.2477740017102"/>
    <n v="19786.491986406199"/>
  </r>
  <r>
    <x v="0"/>
    <x v="0"/>
    <x v="0"/>
    <x v="2"/>
    <x v="8"/>
    <s v="NO3_A2"/>
    <x v="13"/>
    <s v="GHOB_LPG"/>
    <x v="0"/>
    <x v="13"/>
    <n v="8.0138085817177807"/>
    <n v="2925.0401323269898"/>
    <n v="10530.1444763772"/>
  </r>
  <r>
    <x v="0"/>
    <x v="0"/>
    <x v="0"/>
    <x v="2"/>
    <x v="8"/>
    <s v="NO3_A2"/>
    <x v="13"/>
    <s v="GHOB_LPG"/>
    <x v="0"/>
    <x v="14"/>
    <n v="8.5114537443952791"/>
    <n v="3106.6806167042801"/>
    <n v="11184.050220135399"/>
  </r>
  <r>
    <x v="0"/>
    <x v="0"/>
    <x v="0"/>
    <x v="2"/>
    <x v="8"/>
    <s v="NO3_A2"/>
    <x v="1"/>
    <s v="GHOB_MUNIWASTE"/>
    <x v="0"/>
    <x v="0"/>
    <n v="65.598106151824695"/>
    <n v="23943.308745416001"/>
    <n v="86195.911483497694"/>
  </r>
  <r>
    <x v="0"/>
    <x v="0"/>
    <x v="0"/>
    <x v="2"/>
    <x v="8"/>
    <s v="NO3_A2"/>
    <x v="1"/>
    <s v="GHOB_MUNIWASTE"/>
    <x v="0"/>
    <x v="1"/>
    <n v="67.442522659410599"/>
    <n v="24616.5207706849"/>
    <n v="88619.474774465503"/>
  </r>
  <r>
    <x v="0"/>
    <x v="0"/>
    <x v="0"/>
    <x v="2"/>
    <x v="8"/>
    <s v="NO3_A2"/>
    <x v="1"/>
    <s v="GHOB_MUNIWASTE"/>
    <x v="0"/>
    <x v="2"/>
    <n v="69.313064143123498"/>
    <n v="25299.268412240101"/>
    <n v="91077.366284064294"/>
  </r>
  <r>
    <x v="0"/>
    <x v="0"/>
    <x v="0"/>
    <x v="2"/>
    <x v="8"/>
    <s v="NO3_A2"/>
    <x v="1"/>
    <s v="GHOB_MUNIWASTE"/>
    <x v="0"/>
    <x v="3"/>
    <n v="72.105346088270906"/>
    <n v="26318.451322218902"/>
    <n v="94746.424759988004"/>
  </r>
  <r>
    <x v="0"/>
    <x v="0"/>
    <x v="0"/>
    <x v="2"/>
    <x v="8"/>
    <s v="NO3_A2"/>
    <x v="1"/>
    <s v="GHOB_MUNIWASTE"/>
    <x v="0"/>
    <x v="4"/>
    <n v="77.266929836738697"/>
    <n v="28202.429390409601"/>
    <n v="101528.745805475"/>
  </r>
  <r>
    <x v="0"/>
    <x v="0"/>
    <x v="0"/>
    <x v="2"/>
    <x v="8"/>
    <s v="NO3_A2"/>
    <x v="1"/>
    <s v="GHOB_MUNIWASTE"/>
    <x v="0"/>
    <x v="5"/>
    <n v="82.352941176470594"/>
    <n v="30058.823529411799"/>
    <n v="108211.764705882"/>
  </r>
  <r>
    <x v="0"/>
    <x v="0"/>
    <x v="0"/>
    <x v="2"/>
    <x v="8"/>
    <s v="NO3_A2"/>
    <x v="1"/>
    <s v="GHOB_MUNIWASTE"/>
    <x v="0"/>
    <x v="6"/>
    <n v="82.352941176470594"/>
    <n v="30058.823529411799"/>
    <n v="108211.764705882"/>
  </r>
  <r>
    <x v="0"/>
    <x v="0"/>
    <x v="0"/>
    <x v="2"/>
    <x v="8"/>
    <s v="NO3_A2"/>
    <x v="1"/>
    <s v="GHOB_MUNIWASTE"/>
    <x v="0"/>
    <x v="7"/>
    <n v="82.352941176470594"/>
    <n v="30058.823529411799"/>
    <n v="108211.764705882"/>
  </r>
  <r>
    <x v="0"/>
    <x v="0"/>
    <x v="0"/>
    <x v="2"/>
    <x v="8"/>
    <s v="NO3_A2"/>
    <x v="1"/>
    <s v="GHOB_MUNIWASTE"/>
    <x v="0"/>
    <x v="8"/>
    <n v="82.352941176470594"/>
    <n v="30058.823529411799"/>
    <n v="108211.764705882"/>
  </r>
  <r>
    <x v="0"/>
    <x v="0"/>
    <x v="0"/>
    <x v="2"/>
    <x v="8"/>
    <s v="NO3_A2"/>
    <x v="1"/>
    <s v="GHOB_MUNIWASTE"/>
    <x v="0"/>
    <x v="9"/>
    <n v="82.352941176470594"/>
    <n v="30058.823529411799"/>
    <n v="108211.764705882"/>
  </r>
  <r>
    <x v="0"/>
    <x v="0"/>
    <x v="0"/>
    <x v="2"/>
    <x v="8"/>
    <s v="NO3_A2"/>
    <x v="1"/>
    <s v="GHOB_MUNIWASTE"/>
    <x v="0"/>
    <x v="10"/>
    <n v="82.352941176470594"/>
    <n v="30058.823529411799"/>
    <n v="108211.764705882"/>
  </r>
  <r>
    <x v="0"/>
    <x v="0"/>
    <x v="0"/>
    <x v="2"/>
    <x v="8"/>
    <s v="NO3_A2"/>
    <x v="1"/>
    <s v="GHOB_MUNIWASTE"/>
    <x v="0"/>
    <x v="11"/>
    <n v="82.352941176470594"/>
    <n v="30058.823529411799"/>
    <n v="108211.764705882"/>
  </r>
  <r>
    <x v="0"/>
    <x v="0"/>
    <x v="0"/>
    <x v="2"/>
    <x v="8"/>
    <s v="NO3_A2"/>
    <x v="1"/>
    <s v="GHOB_MUNIWASTE"/>
    <x v="0"/>
    <x v="12"/>
    <n v="82.352941176470594"/>
    <n v="30058.823529411799"/>
    <n v="108211.764705882"/>
  </r>
  <r>
    <x v="0"/>
    <x v="0"/>
    <x v="0"/>
    <x v="2"/>
    <x v="8"/>
    <s v="NO3_A2"/>
    <x v="1"/>
    <s v="GHOB_MUNIWASTE"/>
    <x v="0"/>
    <x v="13"/>
    <n v="82.352941176470594"/>
    <n v="30058.823529411799"/>
    <n v="108211.764705882"/>
  </r>
  <r>
    <x v="0"/>
    <x v="0"/>
    <x v="0"/>
    <x v="2"/>
    <x v="8"/>
    <s v="NO3_A2"/>
    <x v="1"/>
    <s v="GHOB_MUNIWASTE"/>
    <x v="0"/>
    <x v="14"/>
    <n v="82.352941176470594"/>
    <n v="30058.823529411799"/>
    <n v="108211.764705882"/>
  </r>
  <r>
    <x v="0"/>
    <x v="0"/>
    <x v="0"/>
    <x v="2"/>
    <x v="8"/>
    <s v="NO3_A2"/>
    <x v="1"/>
    <s v="GHOB_MUNIWASTE"/>
    <x v="0"/>
    <x v="15"/>
    <n v="82.352941176470594"/>
    <n v="30058.823529411799"/>
    <n v="108211.764705882"/>
  </r>
  <r>
    <x v="0"/>
    <x v="0"/>
    <x v="0"/>
    <x v="2"/>
    <x v="8"/>
    <s v="NO3_A2"/>
    <x v="1"/>
    <s v="GHOB_MUNIWASTE"/>
    <x v="0"/>
    <x v="16"/>
    <n v="80.939692207931301"/>
    <n v="29542.9876558949"/>
    <n v="106354.755561222"/>
  </r>
  <r>
    <x v="0"/>
    <x v="0"/>
    <x v="0"/>
    <x v="2"/>
    <x v="8"/>
    <s v="NO3_A2"/>
    <x v="1"/>
    <s v="GHOB_MUNIWASTE"/>
    <x v="0"/>
    <x v="17"/>
    <n v="77.842636585659704"/>
    <n v="28412.562353765799"/>
    <n v="102285.224473557"/>
  </r>
  <r>
    <x v="0"/>
    <x v="0"/>
    <x v="0"/>
    <x v="2"/>
    <x v="8"/>
    <s v="NO3_A2"/>
    <x v="1"/>
    <s v="GHOB_MUNIWASTE"/>
    <x v="0"/>
    <x v="18"/>
    <n v="75.022617326458104"/>
    <n v="27383.255324157199"/>
    <n v="98579.719166965995"/>
  </r>
  <r>
    <x v="0"/>
    <x v="0"/>
    <x v="0"/>
    <x v="2"/>
    <x v="8"/>
    <s v="NO3_A2"/>
    <x v="1"/>
    <s v="GHOB_MUNIWASTE"/>
    <x v="0"/>
    <x v="19"/>
    <n v="74.211843992888305"/>
    <n v="27087.323057404199"/>
    <n v="97514.3630066552"/>
  </r>
  <r>
    <x v="0"/>
    <x v="0"/>
    <x v="0"/>
    <x v="2"/>
    <x v="8"/>
    <s v="NO3_A2"/>
    <x v="1"/>
    <s v="GHOB_MUNIWASTE"/>
    <x v="0"/>
    <x v="20"/>
    <n v="71.842938035484494"/>
    <n v="26222.672382951801"/>
    <n v="94401.620578626593"/>
  </r>
  <r>
    <x v="0"/>
    <x v="0"/>
    <x v="0"/>
    <x v="2"/>
    <x v="8"/>
    <s v="NO3_A2"/>
    <x v="1"/>
    <s v="GHOB_MUNIWASTE"/>
    <x v="0"/>
    <x v="21"/>
    <n v="68.232810448102995"/>
    <n v="24904.975813557601"/>
    <n v="89657.912928807404"/>
  </r>
  <r>
    <x v="0"/>
    <x v="0"/>
    <x v="0"/>
    <x v="2"/>
    <x v="8"/>
    <s v="NO3_A2"/>
    <x v="1"/>
    <s v="GHOB_MUNIWASTE"/>
    <x v="0"/>
    <x v="22"/>
    <n v="64.281242249901297"/>
    <n v="23462.653421214"/>
    <n v="84465.552316370304"/>
  </r>
  <r>
    <x v="0"/>
    <x v="0"/>
    <x v="0"/>
    <x v="2"/>
    <x v="8"/>
    <s v="NO3_A2"/>
    <x v="1"/>
    <s v="GHOB_MUNIWASTE"/>
    <x v="0"/>
    <x v="23"/>
    <n v="61.506033353720703"/>
    <n v="22449.702174107999"/>
    <n v="80818.927826789004"/>
  </r>
  <r>
    <x v="0"/>
    <x v="0"/>
    <x v="0"/>
    <x v="2"/>
    <x v="9"/>
    <s v="NO4_A1"/>
    <x v="13"/>
    <s v="GHOB_LNG"/>
    <x v="0"/>
    <x v="6"/>
    <n v="5.5119595836039998"/>
    <n v="2011.8652480154601"/>
    <n v="7242.7148928556499"/>
  </r>
  <r>
    <x v="0"/>
    <x v="0"/>
    <x v="0"/>
    <x v="2"/>
    <x v="9"/>
    <s v="NO4_A1"/>
    <x v="13"/>
    <s v="GHOB_LNG"/>
    <x v="0"/>
    <x v="7"/>
    <n v="10.239845116575999"/>
    <n v="3737.5434675502502"/>
    <n v="13455.156483180899"/>
  </r>
  <r>
    <x v="0"/>
    <x v="0"/>
    <x v="0"/>
    <x v="2"/>
    <x v="9"/>
    <s v="NO4_A1"/>
    <x v="13"/>
    <s v="GHOB_LNG"/>
    <x v="0"/>
    <x v="8"/>
    <n v="13.9825175637064"/>
    <n v="5103.6189107528198"/>
    <n v="18373.028078710198"/>
  </r>
  <r>
    <x v="0"/>
    <x v="0"/>
    <x v="0"/>
    <x v="2"/>
    <x v="9"/>
    <s v="NO4_A1"/>
    <x v="13"/>
    <s v="GHOB_LNG"/>
    <x v="0"/>
    <x v="9"/>
    <n v="11.991755956958301"/>
    <n v="4376.9909242897902"/>
    <n v="15757.1673274432"/>
  </r>
  <r>
    <x v="0"/>
    <x v="0"/>
    <x v="0"/>
    <x v="2"/>
    <x v="9"/>
    <s v="NO4_A1"/>
    <x v="13"/>
    <s v="GHOB_LNG"/>
    <x v="0"/>
    <x v="10"/>
    <n v="6.91240271160214"/>
    <n v="2523.0269897347798"/>
    <n v="9082.8971630452106"/>
  </r>
  <r>
    <x v="0"/>
    <x v="0"/>
    <x v="0"/>
    <x v="2"/>
    <x v="9"/>
    <s v="NO4_A1"/>
    <x v="13"/>
    <s v="GHOB_LNG"/>
    <x v="0"/>
    <x v="11"/>
    <n v="5.1562773276994802"/>
    <n v="1882.0412246103101"/>
    <n v="6775.3484085971204"/>
  </r>
  <r>
    <x v="0"/>
    <x v="0"/>
    <x v="0"/>
    <x v="2"/>
    <x v="9"/>
    <s v="NO4_A1"/>
    <x v="13"/>
    <s v="GHOB_LNG"/>
    <x v="0"/>
    <x v="12"/>
    <n v="3.2083245522037802"/>
    <n v="1171.0384615543801"/>
    <n v="4215.7384615957699"/>
  </r>
  <r>
    <x v="0"/>
    <x v="0"/>
    <x v="0"/>
    <x v="2"/>
    <x v="9"/>
    <s v="NO4_A1"/>
    <x v="13"/>
    <s v="GHOB_LNG"/>
    <x v="0"/>
    <x v="13"/>
    <n v="2.33226797393699"/>
    <n v="851.27781048700297"/>
    <n v="3064.6001177532098"/>
  </r>
  <r>
    <x v="0"/>
    <x v="0"/>
    <x v="0"/>
    <x v="2"/>
    <x v="9"/>
    <s v="NO4_A1"/>
    <x v="13"/>
    <s v="GHOB_LNG"/>
    <x v="0"/>
    <x v="14"/>
    <n v="4.2337292830994304"/>
    <n v="1545.3111883312899"/>
    <n v="5563.1202779926498"/>
  </r>
  <r>
    <x v="0"/>
    <x v="0"/>
    <x v="0"/>
    <x v="2"/>
    <x v="9"/>
    <s v="NO4_A1"/>
    <x v="13"/>
    <s v="GHOB_LNG"/>
    <x v="0"/>
    <x v="16"/>
    <n v="9.2637992502768607E-2"/>
    <n v="33.812867263510498"/>
    <n v="121.726322148638"/>
  </r>
  <r>
    <x v="0"/>
    <x v="0"/>
    <x v="0"/>
    <x v="2"/>
    <x v="9"/>
    <s v="NO4_A1"/>
    <x v="13"/>
    <s v="GHOB_LPG"/>
    <x v="0"/>
    <x v="5"/>
    <n v="1.6708127710301099"/>
    <n v="609.84666142598996"/>
    <n v="2195.44798113357"/>
  </r>
  <r>
    <x v="0"/>
    <x v="0"/>
    <x v="0"/>
    <x v="2"/>
    <x v="9"/>
    <s v="NO4_A1"/>
    <x v="13"/>
    <s v="GHOB_LPG"/>
    <x v="0"/>
    <x v="6"/>
    <n v="2.52941176470588"/>
    <n v="923.23529411764696"/>
    <n v="3323.6470588235302"/>
  </r>
  <r>
    <x v="0"/>
    <x v="0"/>
    <x v="0"/>
    <x v="2"/>
    <x v="9"/>
    <s v="NO4_A1"/>
    <x v="13"/>
    <s v="GHOB_LPG"/>
    <x v="0"/>
    <x v="7"/>
    <n v="2.52941176470588"/>
    <n v="923.23529411764696"/>
    <n v="3323.6470588235302"/>
  </r>
  <r>
    <x v="0"/>
    <x v="0"/>
    <x v="0"/>
    <x v="2"/>
    <x v="9"/>
    <s v="NO4_A1"/>
    <x v="13"/>
    <s v="GHOB_LPG"/>
    <x v="0"/>
    <x v="10"/>
    <n v="2.52941176470588"/>
    <n v="923.23529411764696"/>
    <n v="3323.6470588235302"/>
  </r>
  <r>
    <x v="0"/>
    <x v="0"/>
    <x v="0"/>
    <x v="2"/>
    <x v="9"/>
    <s v="NO4_A1"/>
    <x v="13"/>
    <s v="GHOB_LPG"/>
    <x v="0"/>
    <x v="11"/>
    <n v="2.52941176470588"/>
    <n v="923.23529411764696"/>
    <n v="3323.6470588235302"/>
  </r>
  <r>
    <x v="0"/>
    <x v="0"/>
    <x v="0"/>
    <x v="2"/>
    <x v="9"/>
    <s v="NO4_A1"/>
    <x v="13"/>
    <s v="GHOB_LPG"/>
    <x v="0"/>
    <x v="12"/>
    <n v="2.52941176470588"/>
    <n v="923.23529411764696"/>
    <n v="3323.6470588235302"/>
  </r>
  <r>
    <x v="0"/>
    <x v="0"/>
    <x v="0"/>
    <x v="2"/>
    <x v="9"/>
    <s v="NO4_A1"/>
    <x v="13"/>
    <s v="GHOB_LPG"/>
    <x v="0"/>
    <x v="13"/>
    <n v="2.52941176470588"/>
    <n v="923.23529411764696"/>
    <n v="3323.6470588235302"/>
  </r>
  <r>
    <x v="0"/>
    <x v="0"/>
    <x v="0"/>
    <x v="2"/>
    <x v="9"/>
    <s v="NO4_A1"/>
    <x v="13"/>
    <s v="GHOB_LPG"/>
    <x v="0"/>
    <x v="15"/>
    <n v="2.1631017700788302"/>
    <n v="789.53214607877203"/>
    <n v="2842.3157258835799"/>
  </r>
  <r>
    <x v="0"/>
    <x v="0"/>
    <x v="0"/>
    <x v="2"/>
    <x v="9"/>
    <s v="NO4_A1"/>
    <x v="1"/>
    <s v="GBPR_MUNIWASTE"/>
    <x v="0"/>
    <x v="0"/>
    <n v="0.63894193548387102"/>
    <n v="233.21380645161301"/>
    <n v="839.56970322580696"/>
  </r>
  <r>
    <x v="0"/>
    <x v="0"/>
    <x v="0"/>
    <x v="2"/>
    <x v="9"/>
    <s v="NO4_A1"/>
    <x v="1"/>
    <s v="GBPR_MUNIWASTE"/>
    <x v="0"/>
    <x v="1"/>
    <n v="0.63894193548387102"/>
    <n v="233.21380645161301"/>
    <n v="839.56970322580696"/>
  </r>
  <r>
    <x v="0"/>
    <x v="0"/>
    <x v="0"/>
    <x v="2"/>
    <x v="9"/>
    <s v="NO4_A1"/>
    <x v="1"/>
    <s v="GBPR_MUNIWASTE"/>
    <x v="0"/>
    <x v="2"/>
    <n v="0.63894193548387102"/>
    <n v="233.21380645161301"/>
    <n v="839.56970322580696"/>
  </r>
  <r>
    <x v="0"/>
    <x v="0"/>
    <x v="0"/>
    <x v="2"/>
    <x v="9"/>
    <s v="NO4_A1"/>
    <x v="1"/>
    <s v="GBPR_MUNIWASTE"/>
    <x v="0"/>
    <x v="3"/>
    <n v="0.63894193548387102"/>
    <n v="233.21380645161301"/>
    <n v="839.56970322580696"/>
  </r>
  <r>
    <x v="0"/>
    <x v="0"/>
    <x v="0"/>
    <x v="2"/>
    <x v="9"/>
    <s v="NO4_A1"/>
    <x v="1"/>
    <s v="GBPR_MUNIWASTE"/>
    <x v="0"/>
    <x v="4"/>
    <n v="0.63894193548387102"/>
    <n v="233.21380645161301"/>
    <n v="839.56970322580696"/>
  </r>
  <r>
    <x v="0"/>
    <x v="0"/>
    <x v="0"/>
    <x v="2"/>
    <x v="9"/>
    <s v="NO4_A1"/>
    <x v="1"/>
    <s v="GBPR_MUNIWASTE"/>
    <x v="0"/>
    <x v="5"/>
    <n v="0.63894193548387102"/>
    <n v="233.21380645161301"/>
    <n v="839.56970322580696"/>
  </r>
  <r>
    <x v="0"/>
    <x v="0"/>
    <x v="0"/>
    <x v="2"/>
    <x v="9"/>
    <s v="NO4_A1"/>
    <x v="1"/>
    <s v="GBPR_MUNIWASTE"/>
    <x v="0"/>
    <x v="6"/>
    <n v="0.63894193548387102"/>
    <n v="233.21380645161301"/>
    <n v="839.56970322580696"/>
  </r>
  <r>
    <x v="0"/>
    <x v="0"/>
    <x v="0"/>
    <x v="2"/>
    <x v="9"/>
    <s v="NO4_A1"/>
    <x v="1"/>
    <s v="GBPR_MUNIWASTE"/>
    <x v="0"/>
    <x v="7"/>
    <n v="0.63894193548387102"/>
    <n v="233.21380645161301"/>
    <n v="839.56970322580696"/>
  </r>
  <r>
    <x v="0"/>
    <x v="0"/>
    <x v="0"/>
    <x v="2"/>
    <x v="9"/>
    <s v="NO4_A1"/>
    <x v="1"/>
    <s v="GBPR_MUNIWASTE"/>
    <x v="0"/>
    <x v="8"/>
    <n v="0.63894193548387102"/>
    <n v="233.21380645161301"/>
    <n v="839.56970322580696"/>
  </r>
  <r>
    <x v="0"/>
    <x v="0"/>
    <x v="0"/>
    <x v="2"/>
    <x v="9"/>
    <s v="NO4_A1"/>
    <x v="1"/>
    <s v="GBPR_MUNIWASTE"/>
    <x v="0"/>
    <x v="9"/>
    <n v="0.63894193548387102"/>
    <n v="233.21380645161301"/>
    <n v="839.56970322580696"/>
  </r>
  <r>
    <x v="0"/>
    <x v="0"/>
    <x v="0"/>
    <x v="2"/>
    <x v="9"/>
    <s v="NO4_A1"/>
    <x v="1"/>
    <s v="GBPR_MUNIWASTE"/>
    <x v="0"/>
    <x v="10"/>
    <n v="0.63894193548387102"/>
    <n v="233.21380645161301"/>
    <n v="839.56970322580696"/>
  </r>
  <r>
    <x v="0"/>
    <x v="0"/>
    <x v="0"/>
    <x v="2"/>
    <x v="9"/>
    <s v="NO4_A1"/>
    <x v="1"/>
    <s v="GBPR_MUNIWASTE"/>
    <x v="0"/>
    <x v="11"/>
    <n v="0.63894193548387102"/>
    <n v="233.21380645161301"/>
    <n v="839.56970322580696"/>
  </r>
  <r>
    <x v="0"/>
    <x v="0"/>
    <x v="0"/>
    <x v="2"/>
    <x v="9"/>
    <s v="NO4_A1"/>
    <x v="1"/>
    <s v="GBPR_MUNIWASTE"/>
    <x v="0"/>
    <x v="12"/>
    <n v="0.63894193548387102"/>
    <n v="233.21380645161301"/>
    <n v="839.56970322580696"/>
  </r>
  <r>
    <x v="0"/>
    <x v="0"/>
    <x v="0"/>
    <x v="2"/>
    <x v="9"/>
    <s v="NO4_A1"/>
    <x v="1"/>
    <s v="GBPR_MUNIWASTE"/>
    <x v="0"/>
    <x v="13"/>
    <n v="0.63894193548387102"/>
    <n v="233.21380645161301"/>
    <n v="839.56970322580696"/>
  </r>
  <r>
    <x v="0"/>
    <x v="0"/>
    <x v="0"/>
    <x v="2"/>
    <x v="9"/>
    <s v="NO4_A1"/>
    <x v="1"/>
    <s v="GBPR_MUNIWASTE"/>
    <x v="0"/>
    <x v="14"/>
    <n v="0.63894193548387102"/>
    <n v="233.21380645161301"/>
    <n v="839.56970322580696"/>
  </r>
  <r>
    <x v="0"/>
    <x v="0"/>
    <x v="0"/>
    <x v="2"/>
    <x v="9"/>
    <s v="NO4_A1"/>
    <x v="1"/>
    <s v="GBPR_MUNIWASTE"/>
    <x v="0"/>
    <x v="15"/>
    <n v="0.63894193548387102"/>
    <n v="233.21380645161301"/>
    <n v="839.56970322580696"/>
  </r>
  <r>
    <x v="0"/>
    <x v="0"/>
    <x v="0"/>
    <x v="2"/>
    <x v="9"/>
    <s v="NO4_A1"/>
    <x v="1"/>
    <s v="GBPR_MUNIWASTE"/>
    <x v="0"/>
    <x v="16"/>
    <n v="0.63894193548387102"/>
    <n v="233.21380645161301"/>
    <n v="839.56970322580696"/>
  </r>
  <r>
    <x v="0"/>
    <x v="0"/>
    <x v="0"/>
    <x v="2"/>
    <x v="9"/>
    <s v="NO4_A1"/>
    <x v="1"/>
    <s v="GBPR_MUNIWASTE"/>
    <x v="0"/>
    <x v="17"/>
    <n v="0.63894193548387102"/>
    <n v="233.21380645161301"/>
    <n v="839.56970322580696"/>
  </r>
  <r>
    <x v="0"/>
    <x v="0"/>
    <x v="0"/>
    <x v="2"/>
    <x v="9"/>
    <s v="NO4_A1"/>
    <x v="1"/>
    <s v="GBPR_MUNIWASTE"/>
    <x v="0"/>
    <x v="18"/>
    <n v="0.63894193548387102"/>
    <n v="233.21380645161301"/>
    <n v="839.56970322580696"/>
  </r>
  <r>
    <x v="0"/>
    <x v="0"/>
    <x v="0"/>
    <x v="2"/>
    <x v="9"/>
    <s v="NO4_A1"/>
    <x v="1"/>
    <s v="GBPR_MUNIWASTE"/>
    <x v="0"/>
    <x v="19"/>
    <n v="0.63894193548387102"/>
    <n v="233.21380645161301"/>
    <n v="839.56970322580696"/>
  </r>
  <r>
    <x v="0"/>
    <x v="0"/>
    <x v="0"/>
    <x v="2"/>
    <x v="9"/>
    <s v="NO4_A1"/>
    <x v="1"/>
    <s v="GBPR_MUNIWASTE"/>
    <x v="0"/>
    <x v="20"/>
    <n v="0.63894193548387102"/>
    <n v="233.21380645161301"/>
    <n v="839.56970322580696"/>
  </r>
  <r>
    <x v="0"/>
    <x v="0"/>
    <x v="0"/>
    <x v="2"/>
    <x v="9"/>
    <s v="NO4_A1"/>
    <x v="1"/>
    <s v="GBPR_MUNIWASTE"/>
    <x v="0"/>
    <x v="21"/>
    <n v="0.63894193548387102"/>
    <n v="233.21380645161301"/>
    <n v="839.56970322580696"/>
  </r>
  <r>
    <x v="0"/>
    <x v="0"/>
    <x v="0"/>
    <x v="2"/>
    <x v="9"/>
    <s v="NO4_A1"/>
    <x v="1"/>
    <s v="GBPR_MUNIWASTE"/>
    <x v="0"/>
    <x v="22"/>
    <n v="0.63894193548387102"/>
    <n v="233.21380645161301"/>
    <n v="839.56970322580696"/>
  </r>
  <r>
    <x v="0"/>
    <x v="0"/>
    <x v="0"/>
    <x v="2"/>
    <x v="9"/>
    <s v="NO4_A1"/>
    <x v="1"/>
    <s v="GBPR_MUNIWASTE"/>
    <x v="0"/>
    <x v="23"/>
    <n v="0.63894193548387102"/>
    <n v="233.21380645161301"/>
    <n v="839.56970322580696"/>
  </r>
  <r>
    <x v="0"/>
    <x v="0"/>
    <x v="0"/>
    <x v="2"/>
    <x v="9"/>
    <s v="NO4_A1"/>
    <x v="1"/>
    <s v="GHOB_MUNIWASTE"/>
    <x v="0"/>
    <x v="0"/>
    <n v="13.007908794900599"/>
    <n v="4747.8867101387204"/>
    <n v="17092.392156499402"/>
  </r>
  <r>
    <x v="0"/>
    <x v="0"/>
    <x v="0"/>
    <x v="2"/>
    <x v="9"/>
    <s v="NO4_A1"/>
    <x v="1"/>
    <s v="GHOB_MUNIWASTE"/>
    <x v="0"/>
    <x v="1"/>
    <n v="13.631624215338899"/>
    <n v="4975.5428385986897"/>
    <n v="17911.954218955299"/>
  </r>
  <r>
    <x v="0"/>
    <x v="0"/>
    <x v="0"/>
    <x v="2"/>
    <x v="9"/>
    <s v="NO4_A1"/>
    <x v="1"/>
    <s v="GHOB_MUNIWASTE"/>
    <x v="0"/>
    <x v="2"/>
    <n v="14.464958905666499"/>
    <n v="5279.7100005682796"/>
    <n v="19006.956002045801"/>
  </r>
  <r>
    <x v="0"/>
    <x v="0"/>
    <x v="0"/>
    <x v="2"/>
    <x v="9"/>
    <s v="NO4_A1"/>
    <x v="1"/>
    <s v="GHOB_MUNIWASTE"/>
    <x v="0"/>
    <x v="3"/>
    <n v="15.363242582639099"/>
    <n v="5607.5835426632802"/>
    <n v="20187.300753587799"/>
  </r>
  <r>
    <x v="0"/>
    <x v="0"/>
    <x v="0"/>
    <x v="2"/>
    <x v="9"/>
    <s v="NO4_A1"/>
    <x v="1"/>
    <s v="GHOB_MUNIWASTE"/>
    <x v="0"/>
    <x v="4"/>
    <n v="17.524065135731899"/>
    <n v="6396.2837745421402"/>
    <n v="23026.6215883517"/>
  </r>
  <r>
    <x v="0"/>
    <x v="0"/>
    <x v="0"/>
    <x v="2"/>
    <x v="9"/>
    <s v="NO4_A1"/>
    <x v="1"/>
    <s v="GHOB_MUNIWASTE"/>
    <x v="0"/>
    <x v="5"/>
    <n v="18.823529411764699"/>
    <n v="6870.5882352941198"/>
    <n v="24734.1176470588"/>
  </r>
  <r>
    <x v="0"/>
    <x v="0"/>
    <x v="0"/>
    <x v="2"/>
    <x v="9"/>
    <s v="NO4_A1"/>
    <x v="1"/>
    <s v="GHOB_MUNIWASTE"/>
    <x v="0"/>
    <x v="6"/>
    <n v="18.823529411764699"/>
    <n v="6870.5882352941198"/>
    <n v="24734.1176470588"/>
  </r>
  <r>
    <x v="0"/>
    <x v="0"/>
    <x v="0"/>
    <x v="2"/>
    <x v="9"/>
    <s v="NO4_A1"/>
    <x v="1"/>
    <s v="GHOB_MUNIWASTE"/>
    <x v="0"/>
    <x v="7"/>
    <n v="18.823529411764699"/>
    <n v="6870.5882352941198"/>
    <n v="24734.1176470588"/>
  </r>
  <r>
    <x v="0"/>
    <x v="0"/>
    <x v="0"/>
    <x v="2"/>
    <x v="9"/>
    <s v="NO4_A1"/>
    <x v="1"/>
    <s v="GHOB_MUNIWASTE"/>
    <x v="0"/>
    <x v="8"/>
    <n v="18.823529411764699"/>
    <n v="6870.5882352941198"/>
    <n v="24734.1176470588"/>
  </r>
  <r>
    <x v="0"/>
    <x v="0"/>
    <x v="0"/>
    <x v="2"/>
    <x v="9"/>
    <s v="NO4_A1"/>
    <x v="1"/>
    <s v="GHOB_MUNIWASTE"/>
    <x v="0"/>
    <x v="9"/>
    <n v="18.823529411764699"/>
    <n v="6870.5882352941198"/>
    <n v="24734.1176470588"/>
  </r>
  <r>
    <x v="0"/>
    <x v="0"/>
    <x v="0"/>
    <x v="2"/>
    <x v="9"/>
    <s v="NO4_A1"/>
    <x v="1"/>
    <s v="GHOB_MUNIWASTE"/>
    <x v="0"/>
    <x v="10"/>
    <n v="18.823529411764699"/>
    <n v="6870.5882352941198"/>
    <n v="24734.1176470588"/>
  </r>
  <r>
    <x v="0"/>
    <x v="0"/>
    <x v="0"/>
    <x v="2"/>
    <x v="9"/>
    <s v="NO4_A1"/>
    <x v="1"/>
    <s v="GHOB_MUNIWASTE"/>
    <x v="0"/>
    <x v="11"/>
    <n v="18.823529411764699"/>
    <n v="6870.5882352941198"/>
    <n v="24734.1176470588"/>
  </r>
  <r>
    <x v="0"/>
    <x v="0"/>
    <x v="0"/>
    <x v="2"/>
    <x v="9"/>
    <s v="NO4_A1"/>
    <x v="1"/>
    <s v="GHOB_MUNIWASTE"/>
    <x v="0"/>
    <x v="12"/>
    <n v="18.823529411764699"/>
    <n v="6870.5882352941198"/>
    <n v="24734.1176470588"/>
  </r>
  <r>
    <x v="0"/>
    <x v="0"/>
    <x v="0"/>
    <x v="2"/>
    <x v="9"/>
    <s v="NO4_A1"/>
    <x v="1"/>
    <s v="GHOB_MUNIWASTE"/>
    <x v="0"/>
    <x v="13"/>
    <n v="18.823529411764699"/>
    <n v="6870.5882352941198"/>
    <n v="24734.1176470588"/>
  </r>
  <r>
    <x v="0"/>
    <x v="0"/>
    <x v="0"/>
    <x v="2"/>
    <x v="9"/>
    <s v="NO4_A1"/>
    <x v="1"/>
    <s v="GHOB_MUNIWASTE"/>
    <x v="0"/>
    <x v="14"/>
    <n v="18.823529411764699"/>
    <n v="6870.5882352941198"/>
    <n v="24734.1176470588"/>
  </r>
  <r>
    <x v="0"/>
    <x v="0"/>
    <x v="0"/>
    <x v="2"/>
    <x v="9"/>
    <s v="NO4_A1"/>
    <x v="1"/>
    <s v="GHOB_MUNIWASTE"/>
    <x v="0"/>
    <x v="15"/>
    <n v="18.823529411764699"/>
    <n v="6870.5882352941198"/>
    <n v="24734.1176470588"/>
  </r>
  <r>
    <x v="0"/>
    <x v="0"/>
    <x v="0"/>
    <x v="2"/>
    <x v="9"/>
    <s v="NO4_A1"/>
    <x v="1"/>
    <s v="GHOB_MUNIWASTE"/>
    <x v="0"/>
    <x v="16"/>
    <n v="18.823529411764699"/>
    <n v="6870.5882352941198"/>
    <n v="24734.1176470588"/>
  </r>
  <r>
    <x v="0"/>
    <x v="0"/>
    <x v="0"/>
    <x v="2"/>
    <x v="9"/>
    <s v="NO4_A1"/>
    <x v="1"/>
    <s v="GHOB_MUNIWASTE"/>
    <x v="0"/>
    <x v="17"/>
    <n v="17.8498961481605"/>
    <n v="6515.2120940785899"/>
    <n v="23454.763538682899"/>
  </r>
  <r>
    <x v="0"/>
    <x v="0"/>
    <x v="0"/>
    <x v="2"/>
    <x v="9"/>
    <s v="NO4_A1"/>
    <x v="1"/>
    <s v="GHOB_MUNIWASTE"/>
    <x v="0"/>
    <x v="18"/>
    <n v="17.430655133673501"/>
    <n v="6362.1891237908203"/>
    <n v="22903.880845647"/>
  </r>
  <r>
    <x v="0"/>
    <x v="0"/>
    <x v="0"/>
    <x v="2"/>
    <x v="9"/>
    <s v="NO4_A1"/>
    <x v="1"/>
    <s v="GHOB_MUNIWASTE"/>
    <x v="0"/>
    <x v="19"/>
    <n v="17.4865250072001"/>
    <n v="6382.5816276280402"/>
    <n v="22977.2938594609"/>
  </r>
  <r>
    <x v="0"/>
    <x v="0"/>
    <x v="0"/>
    <x v="2"/>
    <x v="9"/>
    <s v="NO4_A1"/>
    <x v="1"/>
    <s v="GHOB_MUNIWASTE"/>
    <x v="0"/>
    <x v="20"/>
    <n v="16.834845825035199"/>
    <n v="6144.7187261378403"/>
    <n v="22120.987414096198"/>
  </r>
  <r>
    <x v="0"/>
    <x v="0"/>
    <x v="0"/>
    <x v="2"/>
    <x v="9"/>
    <s v="NO4_A1"/>
    <x v="1"/>
    <s v="GHOB_MUNIWASTE"/>
    <x v="0"/>
    <x v="21"/>
    <n v="15.8902280579746"/>
    <n v="5799.9332411607102"/>
    <n v="20879.759668178602"/>
  </r>
  <r>
    <x v="0"/>
    <x v="0"/>
    <x v="0"/>
    <x v="2"/>
    <x v="9"/>
    <s v="NO4_A1"/>
    <x v="1"/>
    <s v="GHOB_MUNIWASTE"/>
    <x v="0"/>
    <x v="22"/>
    <n v="14.502681021225699"/>
    <n v="5293.47857274738"/>
    <n v="19056.5228618906"/>
  </r>
  <r>
    <x v="0"/>
    <x v="0"/>
    <x v="0"/>
    <x v="2"/>
    <x v="9"/>
    <s v="NO4_A1"/>
    <x v="1"/>
    <s v="GHOB_MUNIWASTE"/>
    <x v="0"/>
    <x v="23"/>
    <n v="14.276260795354"/>
    <n v="5210.8351903042203"/>
    <n v="18759.006685095199"/>
  </r>
  <r>
    <x v="0"/>
    <x v="0"/>
    <x v="0"/>
    <x v="2"/>
    <x v="9"/>
    <s v="NO4_A1"/>
    <x v="2"/>
    <s v="GHOB_WASTEHEAT"/>
    <x v="0"/>
    <x v="0"/>
    <n v="10.0441849816849"/>
    <n v="3666.1275183150001"/>
    <n v="13198.059065934"/>
  </r>
  <r>
    <x v="0"/>
    <x v="0"/>
    <x v="0"/>
    <x v="2"/>
    <x v="9"/>
    <s v="NO4_A1"/>
    <x v="2"/>
    <s v="GHOB_WASTEHEAT"/>
    <x v="0"/>
    <x v="1"/>
    <n v="10.0441849816849"/>
    <n v="3666.1275183150001"/>
    <n v="13198.059065934"/>
  </r>
  <r>
    <x v="0"/>
    <x v="0"/>
    <x v="0"/>
    <x v="2"/>
    <x v="9"/>
    <s v="NO4_A1"/>
    <x v="2"/>
    <s v="GHOB_WASTEHEAT"/>
    <x v="0"/>
    <x v="2"/>
    <n v="10.0441849816849"/>
    <n v="3666.1275183150001"/>
    <n v="13198.059065934"/>
  </r>
  <r>
    <x v="0"/>
    <x v="0"/>
    <x v="0"/>
    <x v="2"/>
    <x v="9"/>
    <s v="NO4_A1"/>
    <x v="2"/>
    <s v="GHOB_WASTEHEAT"/>
    <x v="0"/>
    <x v="3"/>
    <n v="10.0441849816849"/>
    <n v="3666.1275183150001"/>
    <n v="13198.059065934"/>
  </r>
  <r>
    <x v="0"/>
    <x v="0"/>
    <x v="0"/>
    <x v="2"/>
    <x v="9"/>
    <s v="NO4_A1"/>
    <x v="2"/>
    <s v="GHOB_WASTEHEAT"/>
    <x v="0"/>
    <x v="4"/>
    <n v="10.0441849816849"/>
    <n v="3666.1275183150001"/>
    <n v="13198.059065934"/>
  </r>
  <r>
    <x v="0"/>
    <x v="0"/>
    <x v="0"/>
    <x v="2"/>
    <x v="9"/>
    <s v="NO4_A1"/>
    <x v="2"/>
    <s v="GHOB_WASTEHEAT"/>
    <x v="0"/>
    <x v="5"/>
    <n v="10.0441849816849"/>
    <n v="3666.1275183150001"/>
    <n v="13198.059065934"/>
  </r>
  <r>
    <x v="0"/>
    <x v="0"/>
    <x v="0"/>
    <x v="2"/>
    <x v="9"/>
    <s v="NO4_A1"/>
    <x v="2"/>
    <s v="GHOB_WASTEHEAT"/>
    <x v="0"/>
    <x v="6"/>
    <n v="10.0441849816849"/>
    <n v="3666.1275183150001"/>
    <n v="13198.059065934"/>
  </r>
  <r>
    <x v="0"/>
    <x v="0"/>
    <x v="0"/>
    <x v="2"/>
    <x v="9"/>
    <s v="NO4_A1"/>
    <x v="2"/>
    <s v="GHOB_WASTEHEAT"/>
    <x v="0"/>
    <x v="7"/>
    <n v="10.0441849816849"/>
    <n v="3666.1275183150001"/>
    <n v="13198.059065934"/>
  </r>
  <r>
    <x v="0"/>
    <x v="0"/>
    <x v="0"/>
    <x v="2"/>
    <x v="9"/>
    <s v="NO4_A1"/>
    <x v="2"/>
    <s v="GHOB_WASTEHEAT"/>
    <x v="0"/>
    <x v="8"/>
    <n v="10.0441849816849"/>
    <n v="3666.1275183150001"/>
    <n v="13198.059065934"/>
  </r>
  <r>
    <x v="0"/>
    <x v="0"/>
    <x v="0"/>
    <x v="2"/>
    <x v="9"/>
    <s v="NO4_A1"/>
    <x v="2"/>
    <s v="GHOB_WASTEHEAT"/>
    <x v="0"/>
    <x v="9"/>
    <n v="10.0441849816849"/>
    <n v="3666.1275183150001"/>
    <n v="13198.059065934"/>
  </r>
  <r>
    <x v="0"/>
    <x v="0"/>
    <x v="0"/>
    <x v="2"/>
    <x v="9"/>
    <s v="NO4_A1"/>
    <x v="2"/>
    <s v="GHOB_WASTEHEAT"/>
    <x v="0"/>
    <x v="10"/>
    <n v="10.0441849816849"/>
    <n v="3666.1275183150001"/>
    <n v="13198.059065934"/>
  </r>
  <r>
    <x v="0"/>
    <x v="0"/>
    <x v="0"/>
    <x v="2"/>
    <x v="9"/>
    <s v="NO4_A1"/>
    <x v="2"/>
    <s v="GHOB_WASTEHEAT"/>
    <x v="0"/>
    <x v="11"/>
    <n v="10.0441849816849"/>
    <n v="3666.1275183150001"/>
    <n v="13198.059065934"/>
  </r>
  <r>
    <x v="0"/>
    <x v="0"/>
    <x v="0"/>
    <x v="2"/>
    <x v="9"/>
    <s v="NO4_A1"/>
    <x v="2"/>
    <s v="GHOB_WASTEHEAT"/>
    <x v="0"/>
    <x v="12"/>
    <n v="10.0441849816849"/>
    <n v="3666.1275183150001"/>
    <n v="13198.059065934"/>
  </r>
  <r>
    <x v="0"/>
    <x v="0"/>
    <x v="0"/>
    <x v="2"/>
    <x v="9"/>
    <s v="NO4_A1"/>
    <x v="2"/>
    <s v="GHOB_WASTEHEAT"/>
    <x v="0"/>
    <x v="13"/>
    <n v="10.0441849816849"/>
    <n v="3666.1275183150001"/>
    <n v="13198.059065934"/>
  </r>
  <r>
    <x v="0"/>
    <x v="0"/>
    <x v="0"/>
    <x v="2"/>
    <x v="9"/>
    <s v="NO4_A1"/>
    <x v="2"/>
    <s v="GHOB_WASTEHEAT"/>
    <x v="0"/>
    <x v="14"/>
    <n v="10.0441849816849"/>
    <n v="3666.1275183150001"/>
    <n v="13198.059065934"/>
  </r>
  <r>
    <x v="0"/>
    <x v="0"/>
    <x v="0"/>
    <x v="2"/>
    <x v="9"/>
    <s v="NO4_A1"/>
    <x v="2"/>
    <s v="GHOB_WASTEHEAT"/>
    <x v="0"/>
    <x v="15"/>
    <n v="10.0441849816849"/>
    <n v="3666.1275183150001"/>
    <n v="13198.059065934"/>
  </r>
  <r>
    <x v="0"/>
    <x v="0"/>
    <x v="0"/>
    <x v="2"/>
    <x v="9"/>
    <s v="NO4_A1"/>
    <x v="2"/>
    <s v="GHOB_WASTEHEAT"/>
    <x v="0"/>
    <x v="16"/>
    <n v="10.0441849816849"/>
    <n v="3666.1275183150001"/>
    <n v="13198.059065934"/>
  </r>
  <r>
    <x v="0"/>
    <x v="0"/>
    <x v="0"/>
    <x v="2"/>
    <x v="9"/>
    <s v="NO4_A1"/>
    <x v="2"/>
    <s v="GHOB_WASTEHEAT"/>
    <x v="0"/>
    <x v="17"/>
    <n v="10.0441849816849"/>
    <n v="3666.1275183150001"/>
    <n v="13198.059065934"/>
  </r>
  <r>
    <x v="0"/>
    <x v="0"/>
    <x v="0"/>
    <x v="2"/>
    <x v="9"/>
    <s v="NO4_A1"/>
    <x v="2"/>
    <s v="GHOB_WASTEHEAT"/>
    <x v="0"/>
    <x v="18"/>
    <n v="10.0441849816849"/>
    <n v="3666.1275183150001"/>
    <n v="13198.059065934"/>
  </r>
  <r>
    <x v="0"/>
    <x v="0"/>
    <x v="0"/>
    <x v="2"/>
    <x v="9"/>
    <s v="NO4_A1"/>
    <x v="2"/>
    <s v="GHOB_WASTEHEAT"/>
    <x v="0"/>
    <x v="19"/>
    <n v="10.0441849816849"/>
    <n v="3666.1275183150001"/>
    <n v="13198.059065934"/>
  </r>
  <r>
    <x v="0"/>
    <x v="0"/>
    <x v="0"/>
    <x v="2"/>
    <x v="9"/>
    <s v="NO4_A1"/>
    <x v="2"/>
    <s v="GHOB_WASTEHEAT"/>
    <x v="0"/>
    <x v="20"/>
    <n v="10.0441849816849"/>
    <n v="3666.1275183150001"/>
    <n v="13198.059065934"/>
  </r>
  <r>
    <x v="0"/>
    <x v="0"/>
    <x v="0"/>
    <x v="2"/>
    <x v="9"/>
    <s v="NO4_A1"/>
    <x v="2"/>
    <s v="GHOB_WASTEHEAT"/>
    <x v="0"/>
    <x v="21"/>
    <n v="10.0441849816849"/>
    <n v="3666.1275183150001"/>
    <n v="13198.059065934"/>
  </r>
  <r>
    <x v="0"/>
    <x v="0"/>
    <x v="0"/>
    <x v="2"/>
    <x v="9"/>
    <s v="NO4_A1"/>
    <x v="2"/>
    <s v="GHOB_WASTEHEAT"/>
    <x v="0"/>
    <x v="22"/>
    <n v="10.0441849816849"/>
    <n v="3666.1275183150001"/>
    <n v="13198.059065934"/>
  </r>
  <r>
    <x v="0"/>
    <x v="0"/>
    <x v="0"/>
    <x v="2"/>
    <x v="9"/>
    <s v="NO4_A1"/>
    <x v="2"/>
    <s v="GHOB_WASTEHEAT"/>
    <x v="0"/>
    <x v="23"/>
    <n v="10.0441849816849"/>
    <n v="3666.1275183150001"/>
    <n v="13198.059065934"/>
  </r>
  <r>
    <x v="0"/>
    <x v="0"/>
    <x v="0"/>
    <x v="2"/>
    <x v="9"/>
    <s v="NO4_A1"/>
    <x v="7"/>
    <s v="GHYRR_WATER"/>
    <x v="0"/>
    <x v="0"/>
    <n v="635.368212158554"/>
    <n v="231909.39743787199"/>
    <n v="834873.83077633998"/>
  </r>
  <r>
    <x v="0"/>
    <x v="0"/>
    <x v="0"/>
    <x v="2"/>
    <x v="9"/>
    <s v="NO4_A1"/>
    <x v="7"/>
    <s v="GHYRR_WATER"/>
    <x v="0"/>
    <x v="1"/>
    <n v="635.368212158554"/>
    <n v="231909.39743787199"/>
    <n v="834873.83077633998"/>
  </r>
  <r>
    <x v="0"/>
    <x v="0"/>
    <x v="0"/>
    <x v="2"/>
    <x v="9"/>
    <s v="NO4_A1"/>
    <x v="7"/>
    <s v="GHYRR_WATER"/>
    <x v="0"/>
    <x v="2"/>
    <n v="635.368212158554"/>
    <n v="231909.39743787199"/>
    <n v="834873.83077633998"/>
  </r>
  <r>
    <x v="0"/>
    <x v="0"/>
    <x v="0"/>
    <x v="2"/>
    <x v="9"/>
    <s v="NO4_A1"/>
    <x v="7"/>
    <s v="GHYRR_WATER"/>
    <x v="0"/>
    <x v="3"/>
    <n v="635.368212158554"/>
    <n v="231909.39743787199"/>
    <n v="834873.83077633998"/>
  </r>
  <r>
    <x v="0"/>
    <x v="0"/>
    <x v="0"/>
    <x v="2"/>
    <x v="9"/>
    <s v="NO4_A1"/>
    <x v="7"/>
    <s v="GHYRR_WATER"/>
    <x v="0"/>
    <x v="4"/>
    <n v="635.368212158554"/>
    <n v="231909.39743787199"/>
    <n v="834873.83077633998"/>
  </r>
  <r>
    <x v="0"/>
    <x v="0"/>
    <x v="0"/>
    <x v="2"/>
    <x v="9"/>
    <s v="NO4_A1"/>
    <x v="7"/>
    <s v="GHYRR_WATER"/>
    <x v="0"/>
    <x v="5"/>
    <n v="635.368212158554"/>
    <n v="231909.39743787199"/>
    <n v="834873.83077633998"/>
  </r>
  <r>
    <x v="0"/>
    <x v="0"/>
    <x v="0"/>
    <x v="2"/>
    <x v="9"/>
    <s v="NO4_A1"/>
    <x v="7"/>
    <s v="GHYRR_WATER"/>
    <x v="0"/>
    <x v="6"/>
    <n v="635.368212158554"/>
    <n v="231909.39743787199"/>
    <n v="834873.83077633998"/>
  </r>
  <r>
    <x v="0"/>
    <x v="0"/>
    <x v="0"/>
    <x v="2"/>
    <x v="9"/>
    <s v="NO4_A1"/>
    <x v="7"/>
    <s v="GHYRR_WATER"/>
    <x v="0"/>
    <x v="7"/>
    <n v="635.368212158554"/>
    <n v="231909.39743787199"/>
    <n v="834873.83077633998"/>
  </r>
  <r>
    <x v="0"/>
    <x v="0"/>
    <x v="0"/>
    <x v="2"/>
    <x v="9"/>
    <s v="NO4_A1"/>
    <x v="7"/>
    <s v="GHYRR_WATER"/>
    <x v="0"/>
    <x v="8"/>
    <n v="635.368212158554"/>
    <n v="231909.39743787199"/>
    <n v="834873.83077633998"/>
  </r>
  <r>
    <x v="0"/>
    <x v="0"/>
    <x v="0"/>
    <x v="2"/>
    <x v="9"/>
    <s v="NO4_A1"/>
    <x v="7"/>
    <s v="GHYRR_WATER"/>
    <x v="0"/>
    <x v="9"/>
    <n v="635.368212158554"/>
    <n v="231909.39743787199"/>
    <n v="834873.83077633998"/>
  </r>
  <r>
    <x v="0"/>
    <x v="0"/>
    <x v="0"/>
    <x v="2"/>
    <x v="9"/>
    <s v="NO4_A1"/>
    <x v="7"/>
    <s v="GHYRR_WATER"/>
    <x v="0"/>
    <x v="10"/>
    <n v="635.368212158554"/>
    <n v="231909.39743787199"/>
    <n v="834873.83077633998"/>
  </r>
  <r>
    <x v="0"/>
    <x v="0"/>
    <x v="0"/>
    <x v="2"/>
    <x v="9"/>
    <s v="NO4_A1"/>
    <x v="7"/>
    <s v="GHYRR_WATER"/>
    <x v="0"/>
    <x v="11"/>
    <n v="635.368212158554"/>
    <n v="231909.39743787199"/>
    <n v="834873.83077633998"/>
  </r>
  <r>
    <x v="0"/>
    <x v="0"/>
    <x v="0"/>
    <x v="2"/>
    <x v="9"/>
    <s v="NO4_A1"/>
    <x v="7"/>
    <s v="GHYRR_WATER"/>
    <x v="0"/>
    <x v="12"/>
    <n v="635.368212158554"/>
    <n v="231909.39743787199"/>
    <n v="834873.83077633998"/>
  </r>
  <r>
    <x v="0"/>
    <x v="0"/>
    <x v="0"/>
    <x v="2"/>
    <x v="9"/>
    <s v="NO4_A1"/>
    <x v="7"/>
    <s v="GHYRR_WATER"/>
    <x v="0"/>
    <x v="13"/>
    <n v="635.368212158554"/>
    <n v="231909.39743787199"/>
    <n v="834873.83077633998"/>
  </r>
  <r>
    <x v="0"/>
    <x v="0"/>
    <x v="0"/>
    <x v="2"/>
    <x v="9"/>
    <s v="NO4_A1"/>
    <x v="7"/>
    <s v="GHYRR_WATER"/>
    <x v="0"/>
    <x v="14"/>
    <n v="635.368212158554"/>
    <n v="231909.39743787199"/>
    <n v="834873.83077633998"/>
  </r>
  <r>
    <x v="0"/>
    <x v="0"/>
    <x v="0"/>
    <x v="2"/>
    <x v="9"/>
    <s v="NO4_A1"/>
    <x v="7"/>
    <s v="GHYRR_WATER"/>
    <x v="0"/>
    <x v="15"/>
    <n v="635.368212158554"/>
    <n v="231909.39743787199"/>
    <n v="834873.83077633998"/>
  </r>
  <r>
    <x v="0"/>
    <x v="0"/>
    <x v="0"/>
    <x v="2"/>
    <x v="9"/>
    <s v="NO4_A1"/>
    <x v="7"/>
    <s v="GHYRR_WATER"/>
    <x v="0"/>
    <x v="16"/>
    <n v="635.368212158554"/>
    <n v="231909.39743787199"/>
    <n v="834873.83077633998"/>
  </r>
  <r>
    <x v="0"/>
    <x v="0"/>
    <x v="0"/>
    <x v="2"/>
    <x v="9"/>
    <s v="NO4_A1"/>
    <x v="7"/>
    <s v="GHYRR_WATER"/>
    <x v="0"/>
    <x v="17"/>
    <n v="635.368212158554"/>
    <n v="231909.39743787199"/>
    <n v="834873.83077633998"/>
  </r>
  <r>
    <x v="0"/>
    <x v="0"/>
    <x v="0"/>
    <x v="2"/>
    <x v="9"/>
    <s v="NO4_A1"/>
    <x v="7"/>
    <s v="GHYRR_WATER"/>
    <x v="0"/>
    <x v="18"/>
    <n v="635.368212158554"/>
    <n v="231909.39743787199"/>
    <n v="834873.83077633998"/>
  </r>
  <r>
    <x v="0"/>
    <x v="0"/>
    <x v="0"/>
    <x v="2"/>
    <x v="9"/>
    <s v="NO4_A1"/>
    <x v="7"/>
    <s v="GHYRR_WATER"/>
    <x v="0"/>
    <x v="19"/>
    <n v="635.368212158554"/>
    <n v="231909.39743787199"/>
    <n v="834873.83077633998"/>
  </r>
  <r>
    <x v="0"/>
    <x v="0"/>
    <x v="0"/>
    <x v="2"/>
    <x v="9"/>
    <s v="NO4_A1"/>
    <x v="7"/>
    <s v="GHYRR_WATER"/>
    <x v="0"/>
    <x v="20"/>
    <n v="635.368212158554"/>
    <n v="231909.39743787199"/>
    <n v="834873.83077633998"/>
  </r>
  <r>
    <x v="0"/>
    <x v="0"/>
    <x v="0"/>
    <x v="2"/>
    <x v="9"/>
    <s v="NO4_A1"/>
    <x v="7"/>
    <s v="GHYRR_WATER"/>
    <x v="0"/>
    <x v="21"/>
    <n v="635.368212158554"/>
    <n v="231909.39743787199"/>
    <n v="834873.83077633998"/>
  </r>
  <r>
    <x v="0"/>
    <x v="0"/>
    <x v="0"/>
    <x v="2"/>
    <x v="9"/>
    <s v="NO4_A1"/>
    <x v="7"/>
    <s v="GHYRR_WATER"/>
    <x v="0"/>
    <x v="22"/>
    <n v="635.368212158554"/>
    <n v="231909.39743787199"/>
    <n v="834873.83077633998"/>
  </r>
  <r>
    <x v="0"/>
    <x v="0"/>
    <x v="0"/>
    <x v="2"/>
    <x v="9"/>
    <s v="NO4_A1"/>
    <x v="7"/>
    <s v="GHYRR_WATER"/>
    <x v="0"/>
    <x v="23"/>
    <n v="635.368212158554"/>
    <n v="231909.39743787199"/>
    <n v="834873.83077633998"/>
  </r>
  <r>
    <x v="0"/>
    <x v="0"/>
    <x v="0"/>
    <x v="2"/>
    <x v="9"/>
    <s v="NO4_A1"/>
    <x v="7"/>
    <s v="GHYRS_WATER"/>
    <x v="0"/>
    <x v="0"/>
    <n v="1221.5688147649901"/>
    <n v="445872.61738922301"/>
    <n v="1605141.4226011999"/>
  </r>
  <r>
    <x v="0"/>
    <x v="0"/>
    <x v="0"/>
    <x v="2"/>
    <x v="9"/>
    <s v="NO4_A1"/>
    <x v="7"/>
    <s v="GHYRS_WATER"/>
    <x v="0"/>
    <x v="1"/>
    <n v="718.21831606417697"/>
    <n v="262149.685363425"/>
    <n v="943738.86730832804"/>
  </r>
  <r>
    <x v="0"/>
    <x v="0"/>
    <x v="0"/>
    <x v="2"/>
    <x v="9"/>
    <s v="NO4_A1"/>
    <x v="7"/>
    <s v="GHYRS_WATER"/>
    <x v="0"/>
    <x v="2"/>
    <n v="1232.9399953254201"/>
    <n v="450023.09829377802"/>
    <n v="1620083.1538575999"/>
  </r>
  <r>
    <x v="0"/>
    <x v="0"/>
    <x v="0"/>
    <x v="2"/>
    <x v="9"/>
    <s v="NO4_A1"/>
    <x v="7"/>
    <s v="GHYRS_WATER"/>
    <x v="0"/>
    <x v="3"/>
    <n v="1209.96286779006"/>
    <n v="441636.44674336998"/>
    <n v="1589891.20827613"/>
  </r>
  <r>
    <x v="0"/>
    <x v="0"/>
    <x v="0"/>
    <x v="2"/>
    <x v="9"/>
    <s v="NO4_A1"/>
    <x v="7"/>
    <s v="GHYRS_WATER"/>
    <x v="0"/>
    <x v="4"/>
    <n v="1514.3893749835199"/>
    <n v="552752.12186898501"/>
    <n v="1989907.6387283499"/>
  </r>
  <r>
    <x v="0"/>
    <x v="0"/>
    <x v="0"/>
    <x v="2"/>
    <x v="9"/>
    <s v="NO4_A1"/>
    <x v="7"/>
    <s v="GHYRS_WATER"/>
    <x v="0"/>
    <x v="5"/>
    <n v="746.205028786497"/>
    <n v="272364.83550707099"/>
    <n v="980513.407825456"/>
  </r>
  <r>
    <x v="0"/>
    <x v="0"/>
    <x v="0"/>
    <x v="2"/>
    <x v="9"/>
    <s v="NO4_A1"/>
    <x v="7"/>
    <s v="GHYRS_WATER"/>
    <x v="0"/>
    <x v="6"/>
    <n v="939.66927958770702"/>
    <n v="342979.28704951302"/>
    <n v="1234725.4333782501"/>
  </r>
  <r>
    <x v="0"/>
    <x v="0"/>
    <x v="0"/>
    <x v="2"/>
    <x v="9"/>
    <s v="NO4_A1"/>
    <x v="7"/>
    <s v="GHYRS_WATER"/>
    <x v="0"/>
    <x v="7"/>
    <n v="1189.6482738827599"/>
    <n v="434221.619967209"/>
    <n v="1563197.8318819499"/>
  </r>
  <r>
    <x v="0"/>
    <x v="0"/>
    <x v="0"/>
    <x v="2"/>
    <x v="9"/>
    <s v="NO4_A1"/>
    <x v="7"/>
    <s v="GHYRS_WATER"/>
    <x v="0"/>
    <x v="8"/>
    <n v="1709.58116774123"/>
    <n v="623997.12622554705"/>
    <n v="2246389.6544119702"/>
  </r>
  <r>
    <x v="0"/>
    <x v="0"/>
    <x v="0"/>
    <x v="2"/>
    <x v="9"/>
    <s v="NO4_A1"/>
    <x v="7"/>
    <s v="GHYRS_WATER"/>
    <x v="0"/>
    <x v="9"/>
    <n v="1616.98435977898"/>
    <n v="590199.29131932999"/>
    <n v="2124717.4487495902"/>
  </r>
  <r>
    <x v="0"/>
    <x v="0"/>
    <x v="0"/>
    <x v="2"/>
    <x v="9"/>
    <s v="NO4_A1"/>
    <x v="7"/>
    <s v="GHYRS_WATER"/>
    <x v="0"/>
    <x v="10"/>
    <n v="1951.41075415209"/>
    <n v="712264.92526551196"/>
    <n v="2564153.7309558401"/>
  </r>
  <r>
    <x v="0"/>
    <x v="0"/>
    <x v="0"/>
    <x v="2"/>
    <x v="9"/>
    <s v="NO4_A1"/>
    <x v="7"/>
    <s v="GHYRS_WATER"/>
    <x v="0"/>
    <x v="11"/>
    <n v="2254.38707937963"/>
    <n v="822851.28397356602"/>
    <n v="2962264.62230484"/>
  </r>
  <r>
    <x v="0"/>
    <x v="0"/>
    <x v="0"/>
    <x v="2"/>
    <x v="9"/>
    <s v="NO4_A1"/>
    <x v="7"/>
    <s v="GHYRS_WATER"/>
    <x v="0"/>
    <x v="12"/>
    <n v="1436.23304991038"/>
    <n v="524225.06321728998"/>
    <n v="1887210.22758224"/>
  </r>
  <r>
    <x v="0"/>
    <x v="0"/>
    <x v="0"/>
    <x v="2"/>
    <x v="9"/>
    <s v="NO4_A1"/>
    <x v="7"/>
    <s v="GHYRS_WATER"/>
    <x v="0"/>
    <x v="13"/>
    <n v="910.29075245363094"/>
    <n v="332256.12464557501"/>
    <n v="1196122.04872407"/>
  </r>
  <r>
    <x v="0"/>
    <x v="0"/>
    <x v="0"/>
    <x v="2"/>
    <x v="9"/>
    <s v="NO4_A1"/>
    <x v="7"/>
    <s v="GHYRS_WATER"/>
    <x v="0"/>
    <x v="14"/>
    <n v="809.89000407399703"/>
    <n v="295609.85148700897"/>
    <n v="1064195.46535323"/>
  </r>
  <r>
    <x v="0"/>
    <x v="0"/>
    <x v="0"/>
    <x v="2"/>
    <x v="9"/>
    <s v="NO4_A1"/>
    <x v="7"/>
    <s v="GHYRS_WATER"/>
    <x v="0"/>
    <x v="15"/>
    <n v="866.46923189247298"/>
    <n v="316261.26964075299"/>
    <n v="1138540.57070671"/>
  </r>
  <r>
    <x v="0"/>
    <x v="0"/>
    <x v="0"/>
    <x v="2"/>
    <x v="9"/>
    <s v="NO4_A1"/>
    <x v="7"/>
    <s v="GHYRS_WATER"/>
    <x v="0"/>
    <x v="16"/>
    <n v="842.56847367267403"/>
    <n v="307537.49289052602"/>
    <n v="1107134.9744058901"/>
  </r>
  <r>
    <x v="0"/>
    <x v="0"/>
    <x v="0"/>
    <x v="2"/>
    <x v="9"/>
    <s v="NO4_A1"/>
    <x v="7"/>
    <s v="GHYRS_WATER"/>
    <x v="0"/>
    <x v="17"/>
    <n v="863.36164447405497"/>
    <n v="315127.00023303"/>
    <n v="1134457.20083891"/>
  </r>
  <r>
    <x v="0"/>
    <x v="0"/>
    <x v="0"/>
    <x v="2"/>
    <x v="9"/>
    <s v="NO4_A1"/>
    <x v="7"/>
    <s v="GHYRS_WATER"/>
    <x v="0"/>
    <x v="18"/>
    <n v="2352.2174148525401"/>
    <n v="858559.35642117704"/>
    <n v="3090813.68311624"/>
  </r>
  <r>
    <x v="0"/>
    <x v="0"/>
    <x v="0"/>
    <x v="2"/>
    <x v="9"/>
    <s v="NO4_A1"/>
    <x v="7"/>
    <s v="GHYRS_WATER"/>
    <x v="0"/>
    <x v="19"/>
    <n v="1514.1259359436499"/>
    <n v="552655.96661943302"/>
    <n v="1989561.47982996"/>
  </r>
  <r>
    <x v="0"/>
    <x v="0"/>
    <x v="0"/>
    <x v="2"/>
    <x v="9"/>
    <s v="NO4_A1"/>
    <x v="7"/>
    <s v="GHYRS_WATER"/>
    <x v="0"/>
    <x v="20"/>
    <n v="1534.1931422084201"/>
    <n v="559980.49690607295"/>
    <n v="2015929.7888618601"/>
  </r>
  <r>
    <x v="0"/>
    <x v="0"/>
    <x v="0"/>
    <x v="2"/>
    <x v="9"/>
    <s v="NO4_A1"/>
    <x v="7"/>
    <s v="GHYRS_WATER"/>
    <x v="0"/>
    <x v="21"/>
    <n v="992.80528439138595"/>
    <n v="362373.92880285601"/>
    <n v="1304546.1436902799"/>
  </r>
  <r>
    <x v="0"/>
    <x v="0"/>
    <x v="0"/>
    <x v="2"/>
    <x v="9"/>
    <s v="NO4_A1"/>
    <x v="7"/>
    <s v="GHYRS_WATER"/>
    <x v="0"/>
    <x v="22"/>
    <n v="1521.9713798749401"/>
    <n v="555519.55365435395"/>
    <n v="1999870.39315567"/>
  </r>
  <r>
    <x v="0"/>
    <x v="0"/>
    <x v="0"/>
    <x v="2"/>
    <x v="9"/>
    <s v="NO4_A1"/>
    <x v="7"/>
    <s v="GHYRS_WATER"/>
    <x v="0"/>
    <x v="23"/>
    <n v="1440.51943323257"/>
    <n v="525789.59312988899"/>
    <n v="1892842.5352676001"/>
  </r>
  <r>
    <x v="0"/>
    <x v="0"/>
    <x v="0"/>
    <x v="2"/>
    <x v="9"/>
    <s v="NO4_A1"/>
    <x v="8"/>
    <s v="GNR_WT_WIND_ONS"/>
    <x v="0"/>
    <x v="0"/>
    <n v="187.96723927610699"/>
    <n v="68608.042335779202"/>
    <n v="246988.95240880499"/>
  </r>
  <r>
    <x v="0"/>
    <x v="0"/>
    <x v="0"/>
    <x v="2"/>
    <x v="9"/>
    <s v="NO4_A1"/>
    <x v="8"/>
    <s v="GNR_WT_WIND_ONS"/>
    <x v="0"/>
    <x v="1"/>
    <n v="152.77562117673901"/>
    <n v="55763.101729509901"/>
    <n v="200747.166226236"/>
  </r>
  <r>
    <x v="0"/>
    <x v="0"/>
    <x v="0"/>
    <x v="2"/>
    <x v="9"/>
    <s v="NO4_A1"/>
    <x v="8"/>
    <s v="GNR_WT_WIND_ONS"/>
    <x v="0"/>
    <x v="2"/>
    <n v="141.86895849719801"/>
    <n v="51782.1698514772"/>
    <n v="186415.81146531799"/>
  </r>
  <r>
    <x v="0"/>
    <x v="0"/>
    <x v="0"/>
    <x v="2"/>
    <x v="9"/>
    <s v="NO4_A1"/>
    <x v="8"/>
    <s v="GNR_WT_WIND_ONS"/>
    <x v="0"/>
    <x v="3"/>
    <n v="134.942194177755"/>
    <n v="49253.900874880499"/>
    <n v="177314.04314957"/>
  </r>
  <r>
    <x v="0"/>
    <x v="0"/>
    <x v="0"/>
    <x v="2"/>
    <x v="9"/>
    <s v="NO4_A1"/>
    <x v="8"/>
    <s v="GNR_WT_WIND_ONS"/>
    <x v="0"/>
    <x v="4"/>
    <n v="83.427346331530202"/>
    <n v="30450.981411008499"/>
    <n v="109623.533079631"/>
  </r>
  <r>
    <x v="0"/>
    <x v="0"/>
    <x v="0"/>
    <x v="2"/>
    <x v="9"/>
    <s v="NO4_A1"/>
    <x v="8"/>
    <s v="GNR_WT_WIND_ONS"/>
    <x v="0"/>
    <x v="5"/>
    <n v="96.8142999450845"/>
    <n v="35337.219479955798"/>
    <n v="127213.990127841"/>
  </r>
  <r>
    <x v="0"/>
    <x v="0"/>
    <x v="0"/>
    <x v="2"/>
    <x v="9"/>
    <s v="NO4_A1"/>
    <x v="8"/>
    <s v="GNR_WT_WIND_ONS"/>
    <x v="0"/>
    <x v="6"/>
    <n v="27.788824926777298"/>
    <n v="10142.9210982737"/>
    <n v="36514.515953785303"/>
  </r>
  <r>
    <x v="0"/>
    <x v="0"/>
    <x v="0"/>
    <x v="2"/>
    <x v="9"/>
    <s v="NO4_A1"/>
    <x v="8"/>
    <s v="GNR_WT_WIND_ONS"/>
    <x v="0"/>
    <x v="7"/>
    <n v="19.9348904883777"/>
    <n v="7276.23502825784"/>
    <n v="26194.446101728201"/>
  </r>
  <r>
    <x v="0"/>
    <x v="0"/>
    <x v="0"/>
    <x v="2"/>
    <x v="9"/>
    <s v="NO4_A1"/>
    <x v="8"/>
    <s v="GNR_WT_WIND_ONS"/>
    <x v="0"/>
    <x v="8"/>
    <n v="32.756263393687803"/>
    <n v="11956.036138695999"/>
    <n v="43041.730099305802"/>
  </r>
  <r>
    <x v="0"/>
    <x v="0"/>
    <x v="0"/>
    <x v="2"/>
    <x v="9"/>
    <s v="NO4_A1"/>
    <x v="8"/>
    <s v="GNR_WT_WIND_ONS"/>
    <x v="0"/>
    <x v="9"/>
    <n v="72.297779355464797"/>
    <n v="26388.689464744599"/>
    <n v="94999.2820730807"/>
  </r>
  <r>
    <x v="0"/>
    <x v="0"/>
    <x v="0"/>
    <x v="2"/>
    <x v="9"/>
    <s v="NO4_A1"/>
    <x v="8"/>
    <s v="GNR_WT_WIND_ONS"/>
    <x v="0"/>
    <x v="10"/>
    <n v="77.142509709256402"/>
    <n v="28157.016043878601"/>
    <n v="101365.257757963"/>
  </r>
  <r>
    <x v="0"/>
    <x v="0"/>
    <x v="0"/>
    <x v="2"/>
    <x v="9"/>
    <s v="NO4_A1"/>
    <x v="8"/>
    <s v="GNR_WT_WIND_ONS"/>
    <x v="0"/>
    <x v="11"/>
    <n v="51.319778177905199"/>
    <n v="18731.719034935399"/>
    <n v="67434.1885257674"/>
  </r>
  <r>
    <x v="0"/>
    <x v="0"/>
    <x v="0"/>
    <x v="2"/>
    <x v="9"/>
    <s v="NO4_A1"/>
    <x v="8"/>
    <s v="GNR_WT_WIND_ONS"/>
    <x v="0"/>
    <x v="12"/>
    <n v="51.438979622309198"/>
    <n v="18775.2275621429"/>
    <n v="67590.819223714294"/>
  </r>
  <r>
    <x v="0"/>
    <x v="0"/>
    <x v="0"/>
    <x v="2"/>
    <x v="9"/>
    <s v="NO4_A1"/>
    <x v="8"/>
    <s v="GNR_WT_WIND_ONS"/>
    <x v="0"/>
    <x v="13"/>
    <n v="86.1066022429236"/>
    <n v="31428.9098186671"/>
    <n v="113144.075347202"/>
  </r>
  <r>
    <x v="0"/>
    <x v="0"/>
    <x v="0"/>
    <x v="2"/>
    <x v="9"/>
    <s v="NO4_A1"/>
    <x v="8"/>
    <s v="GNR_WT_WIND_ONS"/>
    <x v="0"/>
    <x v="14"/>
    <n v="145.992400367659"/>
    <n v="53287.226134195502"/>
    <n v="191834.014083104"/>
  </r>
  <r>
    <x v="0"/>
    <x v="0"/>
    <x v="0"/>
    <x v="2"/>
    <x v="9"/>
    <s v="NO4_A1"/>
    <x v="8"/>
    <s v="GNR_WT_WIND_ONS"/>
    <x v="0"/>
    <x v="15"/>
    <n v="141.50382287690999"/>
    <n v="51648.895350072198"/>
    <n v="185936.02326026"/>
  </r>
  <r>
    <x v="0"/>
    <x v="0"/>
    <x v="0"/>
    <x v="2"/>
    <x v="9"/>
    <s v="NO4_A1"/>
    <x v="8"/>
    <s v="GNR_WT_WIND_ONS"/>
    <x v="0"/>
    <x v="16"/>
    <n v="140.323897605582"/>
    <n v="51218.222626037299"/>
    <n v="184385.60145373401"/>
  </r>
  <r>
    <x v="0"/>
    <x v="0"/>
    <x v="0"/>
    <x v="2"/>
    <x v="9"/>
    <s v="NO4_A1"/>
    <x v="8"/>
    <s v="GNR_WT_WIND_ONS"/>
    <x v="0"/>
    <x v="17"/>
    <n v="126.28321851334999"/>
    <n v="46093.374757372701"/>
    <n v="165936.149126542"/>
  </r>
  <r>
    <x v="0"/>
    <x v="0"/>
    <x v="0"/>
    <x v="2"/>
    <x v="9"/>
    <s v="NO4_A1"/>
    <x v="8"/>
    <s v="GNR_WT_WIND_ONS"/>
    <x v="0"/>
    <x v="18"/>
    <n v="129.02485693551299"/>
    <n v="47094.072781462302"/>
    <n v="169538.66201326399"/>
  </r>
  <r>
    <x v="0"/>
    <x v="0"/>
    <x v="0"/>
    <x v="2"/>
    <x v="9"/>
    <s v="NO4_A1"/>
    <x v="8"/>
    <s v="GNR_WT_WIND_ONS"/>
    <x v="0"/>
    <x v="19"/>
    <n v="113.41913613571499"/>
    <n v="41397.984689535799"/>
    <n v="149032.74488232899"/>
  </r>
  <r>
    <x v="0"/>
    <x v="0"/>
    <x v="0"/>
    <x v="2"/>
    <x v="9"/>
    <s v="NO4_A1"/>
    <x v="8"/>
    <s v="GNR_WT_WIND_ONS"/>
    <x v="0"/>
    <x v="20"/>
    <n v="105.89227161651201"/>
    <n v="38650.679140026798"/>
    <n v="139142.44490409701"/>
  </r>
  <r>
    <x v="0"/>
    <x v="0"/>
    <x v="0"/>
    <x v="2"/>
    <x v="9"/>
    <s v="NO4_A1"/>
    <x v="8"/>
    <s v="GNR_WT_WIND_ONS"/>
    <x v="0"/>
    <x v="21"/>
    <n v="74.975554087610305"/>
    <n v="27366.0772419778"/>
    <n v="98517.878071119907"/>
  </r>
  <r>
    <x v="0"/>
    <x v="0"/>
    <x v="0"/>
    <x v="2"/>
    <x v="9"/>
    <s v="NO4_A1"/>
    <x v="8"/>
    <s v="GNR_WT_WIND_ONS"/>
    <x v="0"/>
    <x v="22"/>
    <n v="40.942700131133499"/>
    <n v="14944.0855478637"/>
    <n v="53798.707972309399"/>
  </r>
  <r>
    <x v="0"/>
    <x v="0"/>
    <x v="0"/>
    <x v="2"/>
    <x v="9"/>
    <s v="NO4_A1"/>
    <x v="8"/>
    <s v="GNR_WT_WIND_ONS"/>
    <x v="0"/>
    <x v="23"/>
    <n v="11.460854408900101"/>
    <n v="4183.2118592485203"/>
    <n v="15059.5626932947"/>
  </r>
  <r>
    <x v="0"/>
    <x v="0"/>
    <x v="0"/>
    <x v="2"/>
    <x v="10"/>
    <s v="NO5_A1"/>
    <x v="13"/>
    <s v="GHOB_LPG"/>
    <x v="0"/>
    <x v="0"/>
    <n v="2.8177126687359202"/>
    <n v="1028.4651240886101"/>
    <n v="3702.4744467189898"/>
  </r>
  <r>
    <x v="0"/>
    <x v="0"/>
    <x v="0"/>
    <x v="2"/>
    <x v="10"/>
    <s v="NO5_A1"/>
    <x v="13"/>
    <s v="GHOB_LPG"/>
    <x v="0"/>
    <x v="1"/>
    <n v="3.6071396203287298"/>
    <n v="1316.6059614199901"/>
    <n v="4739.7814611119502"/>
  </r>
  <r>
    <x v="0"/>
    <x v="0"/>
    <x v="0"/>
    <x v="2"/>
    <x v="10"/>
    <s v="NO5_A1"/>
    <x v="13"/>
    <s v="GHOB_LPG"/>
    <x v="0"/>
    <x v="2"/>
    <n v="4.1918961890142397"/>
    <n v="1530.0421089901999"/>
    <n v="5508.1515923647003"/>
  </r>
  <r>
    <x v="0"/>
    <x v="0"/>
    <x v="0"/>
    <x v="2"/>
    <x v="10"/>
    <s v="NO5_A1"/>
    <x v="13"/>
    <s v="GHOB_LPG"/>
    <x v="0"/>
    <x v="3"/>
    <n v="5.42827278692699"/>
    <n v="1981.31956722835"/>
    <n v="7132.7504420220603"/>
  </r>
  <r>
    <x v="0"/>
    <x v="0"/>
    <x v="0"/>
    <x v="2"/>
    <x v="10"/>
    <s v="NO5_A1"/>
    <x v="13"/>
    <s v="GHOB_LPG"/>
    <x v="0"/>
    <x v="4"/>
    <n v="8.0397981121270305"/>
    <n v="2934.5263109263701"/>
    <n v="10564.294719334899"/>
  </r>
  <r>
    <x v="0"/>
    <x v="0"/>
    <x v="0"/>
    <x v="2"/>
    <x v="10"/>
    <s v="NO5_A1"/>
    <x v="13"/>
    <s v="GHOB_LPG"/>
    <x v="0"/>
    <x v="5"/>
    <n v="12.176970482438399"/>
    <n v="4444.5942260900101"/>
    <n v="16000.539213924099"/>
  </r>
  <r>
    <x v="0"/>
    <x v="0"/>
    <x v="0"/>
    <x v="2"/>
    <x v="10"/>
    <s v="NO5_A1"/>
    <x v="13"/>
    <s v="GHOB_LPG"/>
    <x v="0"/>
    <x v="6"/>
    <n v="18.6699555492138"/>
    <n v="6814.53377546302"/>
    <n v="24532.3215916669"/>
  </r>
  <r>
    <x v="0"/>
    <x v="0"/>
    <x v="0"/>
    <x v="2"/>
    <x v="10"/>
    <s v="NO5_A1"/>
    <x v="13"/>
    <s v="GHOB_LPG"/>
    <x v="0"/>
    <x v="7"/>
    <n v="23.5649983358302"/>
    <n v="8601.2243925780094"/>
    <n v="30964.407813280901"/>
  </r>
  <r>
    <x v="0"/>
    <x v="0"/>
    <x v="0"/>
    <x v="2"/>
    <x v="10"/>
    <s v="NO5_A1"/>
    <x v="13"/>
    <s v="GHOB_LPG"/>
    <x v="0"/>
    <x v="8"/>
    <n v="23.302077520129799"/>
    <n v="8505.2582948473901"/>
    <n v="30618.929861450601"/>
  </r>
  <r>
    <x v="0"/>
    <x v="0"/>
    <x v="0"/>
    <x v="2"/>
    <x v="10"/>
    <s v="NO5_A1"/>
    <x v="13"/>
    <s v="GHOB_LPG"/>
    <x v="0"/>
    <x v="9"/>
    <n v="20.176197172950602"/>
    <n v="7364.31196812699"/>
    <n v="26511.5230852571"/>
  </r>
  <r>
    <x v="0"/>
    <x v="0"/>
    <x v="0"/>
    <x v="2"/>
    <x v="10"/>
    <s v="NO5_A1"/>
    <x v="13"/>
    <s v="GHOB_LPG"/>
    <x v="0"/>
    <x v="10"/>
    <n v="15.936034933973099"/>
    <n v="5816.6527509001598"/>
    <n v="20939.949903240598"/>
  </r>
  <r>
    <x v="0"/>
    <x v="0"/>
    <x v="0"/>
    <x v="2"/>
    <x v="10"/>
    <s v="NO5_A1"/>
    <x v="13"/>
    <s v="GHOB_LPG"/>
    <x v="0"/>
    <x v="11"/>
    <n v="13.515763655781299"/>
    <n v="4933.2537343601598"/>
    <n v="17759.713443696601"/>
  </r>
  <r>
    <x v="0"/>
    <x v="0"/>
    <x v="0"/>
    <x v="2"/>
    <x v="10"/>
    <s v="NO5_A1"/>
    <x v="13"/>
    <s v="GHOB_LPG"/>
    <x v="0"/>
    <x v="12"/>
    <n v="11.9077472805792"/>
    <n v="4346.32775741142"/>
    <n v="15646.7799266811"/>
  </r>
  <r>
    <x v="0"/>
    <x v="0"/>
    <x v="0"/>
    <x v="2"/>
    <x v="10"/>
    <s v="NO5_A1"/>
    <x v="13"/>
    <s v="GHOB_LPG"/>
    <x v="0"/>
    <x v="13"/>
    <n v="10.9712716183168"/>
    <n v="4004.5141406856401"/>
    <n v="14416.2509064683"/>
  </r>
  <r>
    <x v="0"/>
    <x v="0"/>
    <x v="0"/>
    <x v="2"/>
    <x v="10"/>
    <s v="NO5_A1"/>
    <x v="13"/>
    <s v="GHOB_LPG"/>
    <x v="0"/>
    <x v="14"/>
    <n v="10.156851410138399"/>
    <n v="3707.25076470051"/>
    <n v="13346.102752921801"/>
  </r>
  <r>
    <x v="0"/>
    <x v="0"/>
    <x v="0"/>
    <x v="2"/>
    <x v="10"/>
    <s v="NO5_A1"/>
    <x v="13"/>
    <s v="GHOB_LPG"/>
    <x v="0"/>
    <x v="15"/>
    <n v="9.0129373565744402"/>
    <n v="3289.7221351496701"/>
    <n v="11842.9996865388"/>
  </r>
  <r>
    <x v="0"/>
    <x v="0"/>
    <x v="0"/>
    <x v="2"/>
    <x v="10"/>
    <s v="NO5_A1"/>
    <x v="13"/>
    <s v="GHOB_LPG"/>
    <x v="0"/>
    <x v="16"/>
    <n v="7.5038743833490704"/>
    <n v="2738.9141499224102"/>
    <n v="9860.0909397206797"/>
  </r>
  <r>
    <x v="0"/>
    <x v="0"/>
    <x v="0"/>
    <x v="2"/>
    <x v="10"/>
    <s v="NO5_A1"/>
    <x v="13"/>
    <s v="GHOB_LPG"/>
    <x v="0"/>
    <x v="17"/>
    <n v="7.19850359181752"/>
    <n v="2627.4538110133999"/>
    <n v="9458.8337196482207"/>
  </r>
  <r>
    <x v="0"/>
    <x v="0"/>
    <x v="0"/>
    <x v="2"/>
    <x v="10"/>
    <s v="NO5_A1"/>
    <x v="13"/>
    <s v="GHOB_LPG"/>
    <x v="0"/>
    <x v="18"/>
    <n v="7.3910354929346402"/>
    <n v="2697.7279549211398"/>
    <n v="9711.8206377161205"/>
  </r>
  <r>
    <x v="0"/>
    <x v="0"/>
    <x v="0"/>
    <x v="2"/>
    <x v="10"/>
    <s v="NO5_A1"/>
    <x v="13"/>
    <s v="GHOB_LPG"/>
    <x v="0"/>
    <x v="19"/>
    <n v="7.53562362242549"/>
    <n v="2750.5026221853"/>
    <n v="9901.8094398670892"/>
  </r>
  <r>
    <x v="0"/>
    <x v="0"/>
    <x v="0"/>
    <x v="2"/>
    <x v="10"/>
    <s v="NO5_A1"/>
    <x v="13"/>
    <s v="GHOB_LPG"/>
    <x v="0"/>
    <x v="20"/>
    <n v="6.5567301830544702"/>
    <n v="2393.2065168148802"/>
    <n v="8615.5434605335704"/>
  </r>
  <r>
    <x v="0"/>
    <x v="0"/>
    <x v="0"/>
    <x v="2"/>
    <x v="10"/>
    <s v="NO5_A1"/>
    <x v="13"/>
    <s v="GHOB_LPG"/>
    <x v="0"/>
    <x v="21"/>
    <n v="4.8314366927150001"/>
    <n v="1763.47439284098"/>
    <n v="6348.5078142275197"/>
  </r>
  <r>
    <x v="0"/>
    <x v="0"/>
    <x v="0"/>
    <x v="2"/>
    <x v="10"/>
    <s v="NO5_A1"/>
    <x v="13"/>
    <s v="GHOB_LPG"/>
    <x v="0"/>
    <x v="22"/>
    <n v="2.8094106292066501"/>
    <n v="1025.4348796604299"/>
    <n v="3691.56556677754"/>
  </r>
  <r>
    <x v="0"/>
    <x v="0"/>
    <x v="0"/>
    <x v="2"/>
    <x v="10"/>
    <s v="NO5_A1"/>
    <x v="13"/>
    <s v="GHOB_LPG"/>
    <x v="0"/>
    <x v="23"/>
    <n v="0.33993273712003602"/>
    <n v="124.075449048813"/>
    <n v="446.67161657572802"/>
  </r>
  <r>
    <x v="0"/>
    <x v="0"/>
    <x v="0"/>
    <x v="2"/>
    <x v="10"/>
    <s v="NO5_A1"/>
    <x v="1"/>
    <s v="GBPR_MUNIWASTE"/>
    <x v="0"/>
    <x v="0"/>
    <n v="37.562724014336901"/>
    <n v="13710.394265233001"/>
    <n v="49357.419354838697"/>
  </r>
  <r>
    <x v="0"/>
    <x v="0"/>
    <x v="0"/>
    <x v="2"/>
    <x v="10"/>
    <s v="NO5_A1"/>
    <x v="1"/>
    <s v="GBPR_MUNIWASTE"/>
    <x v="0"/>
    <x v="1"/>
    <n v="37.562724014336901"/>
    <n v="13710.394265233001"/>
    <n v="49357.419354838697"/>
  </r>
  <r>
    <x v="0"/>
    <x v="0"/>
    <x v="0"/>
    <x v="2"/>
    <x v="10"/>
    <s v="NO5_A1"/>
    <x v="1"/>
    <s v="GBPR_MUNIWASTE"/>
    <x v="0"/>
    <x v="2"/>
    <n v="37.562724014336901"/>
    <n v="13710.394265233001"/>
    <n v="49357.419354838697"/>
  </r>
  <r>
    <x v="0"/>
    <x v="0"/>
    <x v="0"/>
    <x v="2"/>
    <x v="10"/>
    <s v="NO5_A1"/>
    <x v="1"/>
    <s v="GBPR_MUNIWASTE"/>
    <x v="0"/>
    <x v="3"/>
    <n v="37.562724014336901"/>
    <n v="13710.394265233001"/>
    <n v="49357.419354838697"/>
  </r>
  <r>
    <x v="0"/>
    <x v="0"/>
    <x v="0"/>
    <x v="2"/>
    <x v="10"/>
    <s v="NO5_A1"/>
    <x v="1"/>
    <s v="GBPR_MUNIWASTE"/>
    <x v="0"/>
    <x v="4"/>
    <n v="37.562724014336901"/>
    <n v="13710.394265233001"/>
    <n v="49357.419354838697"/>
  </r>
  <r>
    <x v="0"/>
    <x v="0"/>
    <x v="0"/>
    <x v="2"/>
    <x v="10"/>
    <s v="NO5_A1"/>
    <x v="1"/>
    <s v="GBPR_MUNIWASTE"/>
    <x v="0"/>
    <x v="5"/>
    <n v="37.562724014336901"/>
    <n v="13710.394265233001"/>
    <n v="49357.419354838697"/>
  </r>
  <r>
    <x v="0"/>
    <x v="0"/>
    <x v="0"/>
    <x v="2"/>
    <x v="10"/>
    <s v="NO5_A1"/>
    <x v="1"/>
    <s v="GBPR_MUNIWASTE"/>
    <x v="0"/>
    <x v="6"/>
    <n v="37.562724014336901"/>
    <n v="13710.394265233001"/>
    <n v="49357.419354838697"/>
  </r>
  <r>
    <x v="0"/>
    <x v="0"/>
    <x v="0"/>
    <x v="2"/>
    <x v="10"/>
    <s v="NO5_A1"/>
    <x v="1"/>
    <s v="GBPR_MUNIWASTE"/>
    <x v="0"/>
    <x v="7"/>
    <n v="37.562724014336901"/>
    <n v="13710.394265233001"/>
    <n v="49357.419354838697"/>
  </r>
  <r>
    <x v="0"/>
    <x v="0"/>
    <x v="0"/>
    <x v="2"/>
    <x v="10"/>
    <s v="NO5_A1"/>
    <x v="1"/>
    <s v="GBPR_MUNIWASTE"/>
    <x v="0"/>
    <x v="8"/>
    <n v="37.562724014336901"/>
    <n v="13710.394265233001"/>
    <n v="49357.419354838697"/>
  </r>
  <r>
    <x v="0"/>
    <x v="0"/>
    <x v="0"/>
    <x v="2"/>
    <x v="10"/>
    <s v="NO5_A1"/>
    <x v="1"/>
    <s v="GBPR_MUNIWASTE"/>
    <x v="0"/>
    <x v="9"/>
    <n v="37.562724014336901"/>
    <n v="13710.394265233001"/>
    <n v="49357.419354838697"/>
  </r>
  <r>
    <x v="0"/>
    <x v="0"/>
    <x v="0"/>
    <x v="2"/>
    <x v="10"/>
    <s v="NO5_A1"/>
    <x v="1"/>
    <s v="GBPR_MUNIWASTE"/>
    <x v="0"/>
    <x v="10"/>
    <n v="37.562724014336901"/>
    <n v="13710.394265233001"/>
    <n v="49357.419354838697"/>
  </r>
  <r>
    <x v="0"/>
    <x v="0"/>
    <x v="0"/>
    <x v="2"/>
    <x v="10"/>
    <s v="NO5_A1"/>
    <x v="1"/>
    <s v="GBPR_MUNIWASTE"/>
    <x v="0"/>
    <x v="11"/>
    <n v="37.562724014336901"/>
    <n v="13710.394265233001"/>
    <n v="49357.419354838697"/>
  </r>
  <r>
    <x v="0"/>
    <x v="0"/>
    <x v="0"/>
    <x v="2"/>
    <x v="10"/>
    <s v="NO5_A1"/>
    <x v="1"/>
    <s v="GBPR_MUNIWASTE"/>
    <x v="0"/>
    <x v="12"/>
    <n v="37.562724014336901"/>
    <n v="13710.394265233001"/>
    <n v="49357.419354838697"/>
  </r>
  <r>
    <x v="0"/>
    <x v="0"/>
    <x v="0"/>
    <x v="2"/>
    <x v="10"/>
    <s v="NO5_A1"/>
    <x v="1"/>
    <s v="GBPR_MUNIWASTE"/>
    <x v="0"/>
    <x v="13"/>
    <n v="37.562724014336901"/>
    <n v="13710.394265233001"/>
    <n v="49357.419354838697"/>
  </r>
  <r>
    <x v="0"/>
    <x v="0"/>
    <x v="0"/>
    <x v="2"/>
    <x v="10"/>
    <s v="NO5_A1"/>
    <x v="1"/>
    <s v="GBPR_MUNIWASTE"/>
    <x v="0"/>
    <x v="14"/>
    <n v="37.562724014336901"/>
    <n v="13710.394265233001"/>
    <n v="49357.419354838697"/>
  </r>
  <r>
    <x v="0"/>
    <x v="0"/>
    <x v="0"/>
    <x v="2"/>
    <x v="10"/>
    <s v="NO5_A1"/>
    <x v="1"/>
    <s v="GBPR_MUNIWASTE"/>
    <x v="0"/>
    <x v="15"/>
    <n v="37.562724014336901"/>
    <n v="13710.394265233001"/>
    <n v="49357.419354838697"/>
  </r>
  <r>
    <x v="0"/>
    <x v="0"/>
    <x v="0"/>
    <x v="2"/>
    <x v="10"/>
    <s v="NO5_A1"/>
    <x v="1"/>
    <s v="GBPR_MUNIWASTE"/>
    <x v="0"/>
    <x v="16"/>
    <n v="37.562724014336901"/>
    <n v="13710.394265233001"/>
    <n v="49357.419354838697"/>
  </r>
  <r>
    <x v="0"/>
    <x v="0"/>
    <x v="0"/>
    <x v="2"/>
    <x v="10"/>
    <s v="NO5_A1"/>
    <x v="1"/>
    <s v="GBPR_MUNIWASTE"/>
    <x v="0"/>
    <x v="17"/>
    <n v="37.562724014336901"/>
    <n v="13710.394265233001"/>
    <n v="49357.419354838697"/>
  </r>
  <r>
    <x v="0"/>
    <x v="0"/>
    <x v="0"/>
    <x v="2"/>
    <x v="10"/>
    <s v="NO5_A1"/>
    <x v="1"/>
    <s v="GBPR_MUNIWASTE"/>
    <x v="0"/>
    <x v="18"/>
    <n v="37.562724014336901"/>
    <n v="13710.394265233001"/>
    <n v="49357.419354838697"/>
  </r>
  <r>
    <x v="0"/>
    <x v="0"/>
    <x v="0"/>
    <x v="2"/>
    <x v="10"/>
    <s v="NO5_A1"/>
    <x v="1"/>
    <s v="GBPR_MUNIWASTE"/>
    <x v="0"/>
    <x v="19"/>
    <n v="37.562724014336901"/>
    <n v="13710.394265233001"/>
    <n v="49357.419354838697"/>
  </r>
  <r>
    <x v="0"/>
    <x v="0"/>
    <x v="0"/>
    <x v="2"/>
    <x v="10"/>
    <s v="NO5_A1"/>
    <x v="1"/>
    <s v="GBPR_MUNIWASTE"/>
    <x v="0"/>
    <x v="20"/>
    <n v="37.562724014336901"/>
    <n v="13710.394265233001"/>
    <n v="49357.419354838697"/>
  </r>
  <r>
    <x v="0"/>
    <x v="0"/>
    <x v="0"/>
    <x v="2"/>
    <x v="10"/>
    <s v="NO5_A1"/>
    <x v="1"/>
    <s v="GBPR_MUNIWASTE"/>
    <x v="0"/>
    <x v="21"/>
    <n v="37.562724014336901"/>
    <n v="13710.394265233001"/>
    <n v="49357.419354838697"/>
  </r>
  <r>
    <x v="0"/>
    <x v="0"/>
    <x v="0"/>
    <x v="2"/>
    <x v="10"/>
    <s v="NO5_A1"/>
    <x v="1"/>
    <s v="GBPR_MUNIWASTE"/>
    <x v="0"/>
    <x v="22"/>
    <n v="37.562724014336901"/>
    <n v="13710.394265233001"/>
    <n v="49357.419354838697"/>
  </r>
  <r>
    <x v="0"/>
    <x v="0"/>
    <x v="0"/>
    <x v="2"/>
    <x v="10"/>
    <s v="NO5_A1"/>
    <x v="1"/>
    <s v="GBPR_MUNIWASTE"/>
    <x v="0"/>
    <x v="23"/>
    <n v="37.562724014336901"/>
    <n v="13710.394265233001"/>
    <n v="49357.419354838697"/>
  </r>
  <r>
    <x v="0"/>
    <x v="0"/>
    <x v="0"/>
    <x v="2"/>
    <x v="10"/>
    <s v="NO5_A1"/>
    <x v="7"/>
    <s v="GHYRR_WATER"/>
    <x v="0"/>
    <x v="0"/>
    <n v="486.20840931726502"/>
    <n v="177466.06940080199"/>
    <n v="638877.84984288597"/>
  </r>
  <r>
    <x v="0"/>
    <x v="0"/>
    <x v="0"/>
    <x v="2"/>
    <x v="10"/>
    <s v="NO5_A1"/>
    <x v="7"/>
    <s v="GHYRR_WATER"/>
    <x v="0"/>
    <x v="1"/>
    <n v="486.20840931726502"/>
    <n v="177466.06940080199"/>
    <n v="638877.84984288597"/>
  </r>
  <r>
    <x v="0"/>
    <x v="0"/>
    <x v="0"/>
    <x v="2"/>
    <x v="10"/>
    <s v="NO5_A1"/>
    <x v="7"/>
    <s v="GHYRR_WATER"/>
    <x v="0"/>
    <x v="2"/>
    <n v="486.20840931726502"/>
    <n v="177466.06940080199"/>
    <n v="638877.84984288597"/>
  </r>
  <r>
    <x v="0"/>
    <x v="0"/>
    <x v="0"/>
    <x v="2"/>
    <x v="10"/>
    <s v="NO5_A1"/>
    <x v="7"/>
    <s v="GHYRR_WATER"/>
    <x v="0"/>
    <x v="3"/>
    <n v="486.20840931726502"/>
    <n v="177466.06940080199"/>
    <n v="638877.84984288597"/>
  </r>
  <r>
    <x v="0"/>
    <x v="0"/>
    <x v="0"/>
    <x v="2"/>
    <x v="10"/>
    <s v="NO5_A1"/>
    <x v="7"/>
    <s v="GHYRR_WATER"/>
    <x v="0"/>
    <x v="4"/>
    <n v="486.20840931726502"/>
    <n v="177466.06940080199"/>
    <n v="638877.84984288597"/>
  </r>
  <r>
    <x v="0"/>
    <x v="0"/>
    <x v="0"/>
    <x v="2"/>
    <x v="10"/>
    <s v="NO5_A1"/>
    <x v="7"/>
    <s v="GHYRR_WATER"/>
    <x v="0"/>
    <x v="5"/>
    <n v="486.20840931726502"/>
    <n v="177466.06940080199"/>
    <n v="638877.84984288597"/>
  </r>
  <r>
    <x v="0"/>
    <x v="0"/>
    <x v="0"/>
    <x v="2"/>
    <x v="10"/>
    <s v="NO5_A1"/>
    <x v="7"/>
    <s v="GHYRR_WATER"/>
    <x v="0"/>
    <x v="6"/>
    <n v="486.20840931726502"/>
    <n v="177466.06940080199"/>
    <n v="638877.84984288597"/>
  </r>
  <r>
    <x v="0"/>
    <x v="0"/>
    <x v="0"/>
    <x v="2"/>
    <x v="10"/>
    <s v="NO5_A1"/>
    <x v="7"/>
    <s v="GHYRR_WATER"/>
    <x v="0"/>
    <x v="7"/>
    <n v="486.20840931726502"/>
    <n v="177466.06940080199"/>
    <n v="638877.84984288597"/>
  </r>
  <r>
    <x v="0"/>
    <x v="0"/>
    <x v="0"/>
    <x v="2"/>
    <x v="10"/>
    <s v="NO5_A1"/>
    <x v="7"/>
    <s v="GHYRR_WATER"/>
    <x v="0"/>
    <x v="8"/>
    <n v="486.20840931726502"/>
    <n v="177466.06940080199"/>
    <n v="638877.84984288597"/>
  </r>
  <r>
    <x v="0"/>
    <x v="0"/>
    <x v="0"/>
    <x v="2"/>
    <x v="10"/>
    <s v="NO5_A1"/>
    <x v="7"/>
    <s v="GHYRR_WATER"/>
    <x v="0"/>
    <x v="9"/>
    <n v="486.20840931726502"/>
    <n v="177466.06940080199"/>
    <n v="638877.84984288597"/>
  </r>
  <r>
    <x v="0"/>
    <x v="0"/>
    <x v="0"/>
    <x v="2"/>
    <x v="10"/>
    <s v="NO5_A1"/>
    <x v="7"/>
    <s v="GHYRR_WATER"/>
    <x v="0"/>
    <x v="10"/>
    <n v="486.20840931726502"/>
    <n v="177466.06940080199"/>
    <n v="638877.84984288597"/>
  </r>
  <r>
    <x v="0"/>
    <x v="0"/>
    <x v="0"/>
    <x v="2"/>
    <x v="10"/>
    <s v="NO5_A1"/>
    <x v="7"/>
    <s v="GHYRR_WATER"/>
    <x v="0"/>
    <x v="11"/>
    <n v="486.20840931726502"/>
    <n v="177466.06940080199"/>
    <n v="638877.84984288597"/>
  </r>
  <r>
    <x v="0"/>
    <x v="0"/>
    <x v="0"/>
    <x v="2"/>
    <x v="10"/>
    <s v="NO5_A1"/>
    <x v="7"/>
    <s v="GHYRR_WATER"/>
    <x v="0"/>
    <x v="12"/>
    <n v="486.20840931726502"/>
    <n v="177466.06940080199"/>
    <n v="638877.84984288597"/>
  </r>
  <r>
    <x v="0"/>
    <x v="0"/>
    <x v="0"/>
    <x v="2"/>
    <x v="10"/>
    <s v="NO5_A1"/>
    <x v="7"/>
    <s v="GHYRR_WATER"/>
    <x v="0"/>
    <x v="13"/>
    <n v="486.20840931726502"/>
    <n v="177466.06940080199"/>
    <n v="638877.84984288597"/>
  </r>
  <r>
    <x v="0"/>
    <x v="0"/>
    <x v="0"/>
    <x v="2"/>
    <x v="10"/>
    <s v="NO5_A1"/>
    <x v="7"/>
    <s v="GHYRR_WATER"/>
    <x v="0"/>
    <x v="14"/>
    <n v="486.20840931726502"/>
    <n v="177466.06940080199"/>
    <n v="638877.84984288597"/>
  </r>
  <r>
    <x v="0"/>
    <x v="0"/>
    <x v="0"/>
    <x v="2"/>
    <x v="10"/>
    <s v="NO5_A1"/>
    <x v="7"/>
    <s v="GHYRR_WATER"/>
    <x v="0"/>
    <x v="15"/>
    <n v="486.20840931726502"/>
    <n v="177466.06940080199"/>
    <n v="638877.84984288597"/>
  </r>
  <r>
    <x v="0"/>
    <x v="0"/>
    <x v="0"/>
    <x v="2"/>
    <x v="10"/>
    <s v="NO5_A1"/>
    <x v="7"/>
    <s v="GHYRR_WATER"/>
    <x v="0"/>
    <x v="16"/>
    <n v="486.20840931726502"/>
    <n v="177466.06940080199"/>
    <n v="638877.84984288597"/>
  </r>
  <r>
    <x v="0"/>
    <x v="0"/>
    <x v="0"/>
    <x v="2"/>
    <x v="10"/>
    <s v="NO5_A1"/>
    <x v="7"/>
    <s v="GHYRR_WATER"/>
    <x v="0"/>
    <x v="17"/>
    <n v="486.20840931726502"/>
    <n v="177466.06940080199"/>
    <n v="638877.84984288597"/>
  </r>
  <r>
    <x v="0"/>
    <x v="0"/>
    <x v="0"/>
    <x v="2"/>
    <x v="10"/>
    <s v="NO5_A1"/>
    <x v="7"/>
    <s v="GHYRR_WATER"/>
    <x v="0"/>
    <x v="18"/>
    <n v="486.20840931726502"/>
    <n v="177466.06940080199"/>
    <n v="638877.84984288597"/>
  </r>
  <r>
    <x v="0"/>
    <x v="0"/>
    <x v="0"/>
    <x v="2"/>
    <x v="10"/>
    <s v="NO5_A1"/>
    <x v="7"/>
    <s v="GHYRR_WATER"/>
    <x v="0"/>
    <x v="19"/>
    <n v="486.20840931726502"/>
    <n v="177466.06940080199"/>
    <n v="638877.84984288597"/>
  </r>
  <r>
    <x v="0"/>
    <x v="0"/>
    <x v="0"/>
    <x v="2"/>
    <x v="10"/>
    <s v="NO5_A1"/>
    <x v="7"/>
    <s v="GHYRR_WATER"/>
    <x v="0"/>
    <x v="20"/>
    <n v="486.20840931726502"/>
    <n v="177466.06940080199"/>
    <n v="638877.84984288597"/>
  </r>
  <r>
    <x v="0"/>
    <x v="0"/>
    <x v="0"/>
    <x v="2"/>
    <x v="10"/>
    <s v="NO5_A1"/>
    <x v="7"/>
    <s v="GHYRR_WATER"/>
    <x v="0"/>
    <x v="21"/>
    <n v="486.20840931726502"/>
    <n v="177466.06940080199"/>
    <n v="638877.84984288597"/>
  </r>
  <r>
    <x v="0"/>
    <x v="0"/>
    <x v="0"/>
    <x v="2"/>
    <x v="10"/>
    <s v="NO5_A1"/>
    <x v="7"/>
    <s v="GHYRR_WATER"/>
    <x v="0"/>
    <x v="22"/>
    <n v="486.20840931726502"/>
    <n v="177466.06940080199"/>
    <n v="638877.84984288597"/>
  </r>
  <r>
    <x v="0"/>
    <x v="0"/>
    <x v="0"/>
    <x v="2"/>
    <x v="10"/>
    <s v="NO5_A1"/>
    <x v="7"/>
    <s v="GHYRR_WATER"/>
    <x v="0"/>
    <x v="23"/>
    <n v="486.20840931726502"/>
    <n v="177466.06940080199"/>
    <n v="638877.84984288597"/>
  </r>
  <r>
    <x v="0"/>
    <x v="0"/>
    <x v="0"/>
    <x v="2"/>
    <x v="10"/>
    <s v="NO5_A1"/>
    <x v="7"/>
    <s v="GHYRS_WATER"/>
    <x v="0"/>
    <x v="0"/>
    <n v="1154.5394503399"/>
    <n v="421406.899374064"/>
    <n v="1517064.83774663"/>
  </r>
  <r>
    <x v="0"/>
    <x v="0"/>
    <x v="0"/>
    <x v="2"/>
    <x v="10"/>
    <s v="NO5_A1"/>
    <x v="7"/>
    <s v="GHYRS_WATER"/>
    <x v="0"/>
    <x v="1"/>
    <n v="1118.19281803635"/>
    <n v="408140.37858326902"/>
    <n v="1469305.36289977"/>
  </r>
  <r>
    <x v="0"/>
    <x v="0"/>
    <x v="0"/>
    <x v="2"/>
    <x v="10"/>
    <s v="NO5_A1"/>
    <x v="7"/>
    <s v="GHYRS_WATER"/>
    <x v="0"/>
    <x v="2"/>
    <n v="1115.2804519869301"/>
    <n v="407077.364975231"/>
    <n v="1465478.51391083"/>
  </r>
  <r>
    <x v="0"/>
    <x v="0"/>
    <x v="0"/>
    <x v="2"/>
    <x v="10"/>
    <s v="NO5_A1"/>
    <x v="7"/>
    <s v="GHYRS_WATER"/>
    <x v="0"/>
    <x v="3"/>
    <n v="1143.1881485359399"/>
    <n v="417263.67421561899"/>
    <n v="1502149.2271762299"/>
  </r>
  <r>
    <x v="0"/>
    <x v="0"/>
    <x v="0"/>
    <x v="2"/>
    <x v="10"/>
    <s v="NO5_A1"/>
    <x v="7"/>
    <s v="GHYRS_WATER"/>
    <x v="0"/>
    <x v="4"/>
    <n v="1165.08534839041"/>
    <n v="425256.15216249798"/>
    <n v="1530922.14778499"/>
  </r>
  <r>
    <x v="0"/>
    <x v="0"/>
    <x v="0"/>
    <x v="2"/>
    <x v="10"/>
    <s v="NO5_A1"/>
    <x v="7"/>
    <s v="GHYRS_WATER"/>
    <x v="0"/>
    <x v="5"/>
    <n v="329.43364079821299"/>
    <n v="120243.278891348"/>
    <n v="432875.80400885199"/>
  </r>
  <r>
    <x v="0"/>
    <x v="0"/>
    <x v="0"/>
    <x v="2"/>
    <x v="10"/>
    <s v="NO5_A1"/>
    <x v="7"/>
    <s v="GHYRS_WATER"/>
    <x v="0"/>
    <x v="6"/>
    <n v="1327.35089034258"/>
    <n v="484483.07497504301"/>
    <n v="1744139.06991015"/>
  </r>
  <r>
    <x v="0"/>
    <x v="0"/>
    <x v="0"/>
    <x v="2"/>
    <x v="10"/>
    <s v="NO5_A1"/>
    <x v="7"/>
    <s v="GHYRS_WATER"/>
    <x v="0"/>
    <x v="7"/>
    <n v="1488.04902527278"/>
    <n v="543137.89422456501"/>
    <n v="1955296.41920843"/>
  </r>
  <r>
    <x v="0"/>
    <x v="0"/>
    <x v="0"/>
    <x v="2"/>
    <x v="10"/>
    <s v="NO5_A1"/>
    <x v="7"/>
    <s v="GHYRS_WATER"/>
    <x v="0"/>
    <x v="8"/>
    <n v="1535.8637918065899"/>
    <n v="560590.28400940704"/>
    <n v="2018125.02243387"/>
  </r>
  <r>
    <x v="0"/>
    <x v="0"/>
    <x v="0"/>
    <x v="2"/>
    <x v="10"/>
    <s v="NO5_A1"/>
    <x v="7"/>
    <s v="GHYRS_WATER"/>
    <x v="0"/>
    <x v="9"/>
    <n v="577.51586566484195"/>
    <n v="210793.29096766701"/>
    <n v="758855.84748360305"/>
  </r>
  <r>
    <x v="0"/>
    <x v="0"/>
    <x v="0"/>
    <x v="2"/>
    <x v="10"/>
    <s v="NO5_A1"/>
    <x v="7"/>
    <s v="GHYRS_WATER"/>
    <x v="0"/>
    <x v="10"/>
    <n v="1474.93118282261"/>
    <n v="538349.88173025195"/>
    <n v="1938059.57422891"/>
  </r>
  <r>
    <x v="0"/>
    <x v="0"/>
    <x v="0"/>
    <x v="2"/>
    <x v="10"/>
    <s v="NO5_A1"/>
    <x v="7"/>
    <s v="GHYRS_WATER"/>
    <x v="0"/>
    <x v="11"/>
    <n v="1448.3550762725199"/>
    <n v="528649.60283947096"/>
    <n v="1903138.5702221"/>
  </r>
  <r>
    <x v="0"/>
    <x v="0"/>
    <x v="0"/>
    <x v="2"/>
    <x v="10"/>
    <s v="NO5_A1"/>
    <x v="7"/>
    <s v="GHYRS_WATER"/>
    <x v="0"/>
    <x v="12"/>
    <n v="1413.92850044032"/>
    <n v="516083.90266071801"/>
    <n v="1857902.0495785901"/>
  </r>
  <r>
    <x v="0"/>
    <x v="0"/>
    <x v="0"/>
    <x v="2"/>
    <x v="10"/>
    <s v="NO5_A1"/>
    <x v="7"/>
    <s v="GHYRS_WATER"/>
    <x v="0"/>
    <x v="13"/>
    <n v="1393.86348000209"/>
    <n v="508760.17020076298"/>
    <n v="1831536.6127227501"/>
  </r>
  <r>
    <x v="0"/>
    <x v="0"/>
    <x v="0"/>
    <x v="2"/>
    <x v="10"/>
    <s v="NO5_A1"/>
    <x v="7"/>
    <s v="GHYRS_WATER"/>
    <x v="0"/>
    <x v="14"/>
    <n v="1384.2186559315101"/>
    <n v="505239.80941500003"/>
    <n v="1818863.3138939999"/>
  </r>
  <r>
    <x v="0"/>
    <x v="0"/>
    <x v="0"/>
    <x v="2"/>
    <x v="10"/>
    <s v="NO5_A1"/>
    <x v="7"/>
    <s v="GHYRS_WATER"/>
    <x v="0"/>
    <x v="15"/>
    <n v="1381.2840515969999"/>
    <n v="504168.67883290502"/>
    <n v="1815007.2437984601"/>
  </r>
  <r>
    <x v="0"/>
    <x v="0"/>
    <x v="0"/>
    <x v="2"/>
    <x v="10"/>
    <s v="NO5_A1"/>
    <x v="7"/>
    <s v="GHYRS_WATER"/>
    <x v="0"/>
    <x v="16"/>
    <n v="1378.4473348030699"/>
    <n v="503133.27720312099"/>
    <n v="1811279.7979312399"/>
  </r>
  <r>
    <x v="0"/>
    <x v="0"/>
    <x v="0"/>
    <x v="2"/>
    <x v="10"/>
    <s v="NO5_A1"/>
    <x v="7"/>
    <s v="GHYRS_WATER"/>
    <x v="0"/>
    <x v="17"/>
    <n v="1394.4475118462401"/>
    <n v="508973.341823878"/>
    <n v="1832304.0305659601"/>
  </r>
  <r>
    <x v="0"/>
    <x v="0"/>
    <x v="0"/>
    <x v="2"/>
    <x v="10"/>
    <s v="NO5_A1"/>
    <x v="7"/>
    <s v="GHYRS_WATER"/>
    <x v="0"/>
    <x v="18"/>
    <n v="1431.3025267384401"/>
    <n v="522425.42225953098"/>
    <n v="1880731.52013431"/>
  </r>
  <r>
    <x v="0"/>
    <x v="0"/>
    <x v="0"/>
    <x v="2"/>
    <x v="10"/>
    <s v="NO5_A1"/>
    <x v="7"/>
    <s v="GHYRS_WATER"/>
    <x v="0"/>
    <x v="20"/>
    <n v="583.20488559534795"/>
    <n v="212869.78324230199"/>
    <n v="766331.219672287"/>
  </r>
  <r>
    <x v="0"/>
    <x v="0"/>
    <x v="0"/>
    <x v="2"/>
    <x v="10"/>
    <s v="NO5_A1"/>
    <x v="7"/>
    <s v="GHYRS_WATER"/>
    <x v="0"/>
    <x v="21"/>
    <n v="535.56479708654103"/>
    <n v="195481.15093658699"/>
    <n v="703732.14337171498"/>
  </r>
  <r>
    <x v="0"/>
    <x v="0"/>
    <x v="0"/>
    <x v="2"/>
    <x v="10"/>
    <s v="NO5_A1"/>
    <x v="7"/>
    <s v="GHYRS_WATER"/>
    <x v="0"/>
    <x v="22"/>
    <n v="944.66573084030097"/>
    <n v="344802.99175670999"/>
    <n v="1241290.7703241601"/>
  </r>
  <r>
    <x v="0"/>
    <x v="0"/>
    <x v="0"/>
    <x v="2"/>
    <x v="10"/>
    <s v="NO5_A1"/>
    <x v="7"/>
    <s v="GHYRS_WATER"/>
    <x v="0"/>
    <x v="23"/>
    <n v="1225.3527004175401"/>
    <n v="447253.735652401"/>
    <n v="1610113.44834864"/>
  </r>
  <r>
    <x v="0"/>
    <x v="0"/>
    <x v="0"/>
    <x v="3"/>
    <x v="11"/>
    <s v="SE1A"/>
    <x v="7"/>
    <s v="GHYRR_WATER"/>
    <x v="0"/>
    <x v="0"/>
    <n v="596.96833364192196"/>
    <n v="217893.441779302"/>
    <n v="784416.39040548599"/>
  </r>
  <r>
    <x v="0"/>
    <x v="0"/>
    <x v="0"/>
    <x v="3"/>
    <x v="11"/>
    <s v="SE1A"/>
    <x v="7"/>
    <s v="GHYRR_WATER"/>
    <x v="0"/>
    <x v="1"/>
    <n v="596.96833364192196"/>
    <n v="217893.441779302"/>
    <n v="784416.39040548599"/>
  </r>
  <r>
    <x v="0"/>
    <x v="0"/>
    <x v="0"/>
    <x v="3"/>
    <x v="11"/>
    <s v="SE1A"/>
    <x v="7"/>
    <s v="GHYRR_WATER"/>
    <x v="0"/>
    <x v="2"/>
    <n v="596.96833364192196"/>
    <n v="217893.441779302"/>
    <n v="784416.39040548599"/>
  </r>
  <r>
    <x v="0"/>
    <x v="0"/>
    <x v="0"/>
    <x v="3"/>
    <x v="11"/>
    <s v="SE1A"/>
    <x v="7"/>
    <s v="GHYRR_WATER"/>
    <x v="0"/>
    <x v="3"/>
    <n v="596.96833364192196"/>
    <n v="217893.441779302"/>
    <n v="784416.39040548599"/>
  </r>
  <r>
    <x v="0"/>
    <x v="0"/>
    <x v="0"/>
    <x v="3"/>
    <x v="11"/>
    <s v="SE1A"/>
    <x v="7"/>
    <s v="GHYRR_WATER"/>
    <x v="0"/>
    <x v="4"/>
    <n v="596.96833364192196"/>
    <n v="217893.441779302"/>
    <n v="784416.39040548599"/>
  </r>
  <r>
    <x v="0"/>
    <x v="0"/>
    <x v="0"/>
    <x v="3"/>
    <x v="11"/>
    <s v="SE1A"/>
    <x v="7"/>
    <s v="GHYRR_WATER"/>
    <x v="0"/>
    <x v="5"/>
    <n v="596.96833364192196"/>
    <n v="217893.441779302"/>
    <n v="784416.39040548599"/>
  </r>
  <r>
    <x v="0"/>
    <x v="0"/>
    <x v="0"/>
    <x v="3"/>
    <x v="11"/>
    <s v="SE1A"/>
    <x v="7"/>
    <s v="GHYRR_WATER"/>
    <x v="0"/>
    <x v="6"/>
    <n v="596.96833364192196"/>
    <n v="217893.441779302"/>
    <n v="784416.39040548599"/>
  </r>
  <r>
    <x v="0"/>
    <x v="0"/>
    <x v="0"/>
    <x v="3"/>
    <x v="11"/>
    <s v="SE1A"/>
    <x v="7"/>
    <s v="GHYRR_WATER"/>
    <x v="0"/>
    <x v="7"/>
    <n v="596.96833364192196"/>
    <n v="217893.441779302"/>
    <n v="784416.39040548599"/>
  </r>
  <r>
    <x v="0"/>
    <x v="0"/>
    <x v="0"/>
    <x v="3"/>
    <x v="11"/>
    <s v="SE1A"/>
    <x v="7"/>
    <s v="GHYRR_WATER"/>
    <x v="0"/>
    <x v="8"/>
    <n v="596.96833364192196"/>
    <n v="217893.441779302"/>
    <n v="784416.39040548599"/>
  </r>
  <r>
    <x v="0"/>
    <x v="0"/>
    <x v="0"/>
    <x v="3"/>
    <x v="11"/>
    <s v="SE1A"/>
    <x v="7"/>
    <s v="GHYRR_WATER"/>
    <x v="0"/>
    <x v="9"/>
    <n v="596.96833364192196"/>
    <n v="217893.441779302"/>
    <n v="784416.39040548599"/>
  </r>
  <r>
    <x v="0"/>
    <x v="0"/>
    <x v="0"/>
    <x v="3"/>
    <x v="11"/>
    <s v="SE1A"/>
    <x v="7"/>
    <s v="GHYRR_WATER"/>
    <x v="0"/>
    <x v="10"/>
    <n v="596.96833364192196"/>
    <n v="217893.441779302"/>
    <n v="784416.39040548599"/>
  </r>
  <r>
    <x v="0"/>
    <x v="0"/>
    <x v="0"/>
    <x v="3"/>
    <x v="11"/>
    <s v="SE1A"/>
    <x v="7"/>
    <s v="GHYRR_WATER"/>
    <x v="0"/>
    <x v="11"/>
    <n v="596.96833364192196"/>
    <n v="217893.441779302"/>
    <n v="784416.39040548599"/>
  </r>
  <r>
    <x v="0"/>
    <x v="0"/>
    <x v="0"/>
    <x v="3"/>
    <x v="11"/>
    <s v="SE1A"/>
    <x v="7"/>
    <s v="GHYRR_WATER"/>
    <x v="0"/>
    <x v="12"/>
    <n v="596.96833364192196"/>
    <n v="217893.441779302"/>
    <n v="784416.39040548599"/>
  </r>
  <r>
    <x v="0"/>
    <x v="0"/>
    <x v="0"/>
    <x v="3"/>
    <x v="11"/>
    <s v="SE1A"/>
    <x v="7"/>
    <s v="GHYRR_WATER"/>
    <x v="0"/>
    <x v="13"/>
    <n v="596.96833364192196"/>
    <n v="217893.441779302"/>
    <n v="784416.39040548599"/>
  </r>
  <r>
    <x v="0"/>
    <x v="0"/>
    <x v="0"/>
    <x v="3"/>
    <x v="11"/>
    <s v="SE1A"/>
    <x v="7"/>
    <s v="GHYRR_WATER"/>
    <x v="0"/>
    <x v="14"/>
    <n v="596.96833364192196"/>
    <n v="217893.441779302"/>
    <n v="784416.39040548599"/>
  </r>
  <r>
    <x v="0"/>
    <x v="0"/>
    <x v="0"/>
    <x v="3"/>
    <x v="11"/>
    <s v="SE1A"/>
    <x v="7"/>
    <s v="GHYRR_WATER"/>
    <x v="0"/>
    <x v="15"/>
    <n v="596.96833364192196"/>
    <n v="217893.441779302"/>
    <n v="784416.39040548599"/>
  </r>
  <r>
    <x v="0"/>
    <x v="0"/>
    <x v="0"/>
    <x v="3"/>
    <x v="11"/>
    <s v="SE1A"/>
    <x v="7"/>
    <s v="GHYRR_WATER"/>
    <x v="0"/>
    <x v="16"/>
    <n v="596.96833364192196"/>
    <n v="217893.441779302"/>
    <n v="784416.39040548599"/>
  </r>
  <r>
    <x v="0"/>
    <x v="0"/>
    <x v="0"/>
    <x v="3"/>
    <x v="11"/>
    <s v="SE1A"/>
    <x v="7"/>
    <s v="GHYRR_WATER"/>
    <x v="0"/>
    <x v="17"/>
    <n v="596.96833364192196"/>
    <n v="217893.441779302"/>
    <n v="784416.39040548599"/>
  </r>
  <r>
    <x v="0"/>
    <x v="0"/>
    <x v="0"/>
    <x v="3"/>
    <x v="11"/>
    <s v="SE1A"/>
    <x v="7"/>
    <s v="GHYRR_WATER"/>
    <x v="0"/>
    <x v="18"/>
    <n v="596.96833364192196"/>
    <n v="217893.441779302"/>
    <n v="784416.39040548599"/>
  </r>
  <r>
    <x v="0"/>
    <x v="0"/>
    <x v="0"/>
    <x v="3"/>
    <x v="11"/>
    <s v="SE1A"/>
    <x v="7"/>
    <s v="GHYRR_WATER"/>
    <x v="0"/>
    <x v="19"/>
    <n v="596.96833364192196"/>
    <n v="217893.441779302"/>
    <n v="784416.39040548599"/>
  </r>
  <r>
    <x v="0"/>
    <x v="0"/>
    <x v="0"/>
    <x v="3"/>
    <x v="11"/>
    <s v="SE1A"/>
    <x v="7"/>
    <s v="GHYRR_WATER"/>
    <x v="0"/>
    <x v="20"/>
    <n v="596.96833364192196"/>
    <n v="217893.441779302"/>
    <n v="784416.39040548599"/>
  </r>
  <r>
    <x v="0"/>
    <x v="0"/>
    <x v="0"/>
    <x v="3"/>
    <x v="11"/>
    <s v="SE1A"/>
    <x v="7"/>
    <s v="GHYRR_WATER"/>
    <x v="0"/>
    <x v="21"/>
    <n v="596.96833364192196"/>
    <n v="217893.441779302"/>
    <n v="784416.39040548599"/>
  </r>
  <r>
    <x v="0"/>
    <x v="0"/>
    <x v="0"/>
    <x v="3"/>
    <x v="11"/>
    <s v="SE1A"/>
    <x v="7"/>
    <s v="GHYRR_WATER"/>
    <x v="0"/>
    <x v="22"/>
    <n v="596.96833364192196"/>
    <n v="217893.441779302"/>
    <n v="784416.39040548599"/>
  </r>
  <r>
    <x v="0"/>
    <x v="0"/>
    <x v="0"/>
    <x v="3"/>
    <x v="11"/>
    <s v="SE1A"/>
    <x v="7"/>
    <s v="GHYRR_WATER"/>
    <x v="0"/>
    <x v="23"/>
    <n v="596.96833364192196"/>
    <n v="217893.441779302"/>
    <n v="784416.39040548599"/>
  </r>
  <r>
    <x v="0"/>
    <x v="0"/>
    <x v="0"/>
    <x v="3"/>
    <x v="11"/>
    <s v="SE1A"/>
    <x v="7"/>
    <s v="GHYRS_WATER"/>
    <x v="0"/>
    <x v="0"/>
    <n v="822.90900874097304"/>
    <n v="300361.788190455"/>
    <n v="1081302.4374856399"/>
  </r>
  <r>
    <x v="0"/>
    <x v="0"/>
    <x v="0"/>
    <x v="3"/>
    <x v="11"/>
    <s v="SE1A"/>
    <x v="7"/>
    <s v="GHYRS_WATER"/>
    <x v="0"/>
    <x v="1"/>
    <n v="3411.9120151741899"/>
    <n v="1245347.8855385799"/>
    <n v="4483252.3879388897"/>
  </r>
  <r>
    <x v="0"/>
    <x v="0"/>
    <x v="0"/>
    <x v="3"/>
    <x v="11"/>
    <s v="SE1A"/>
    <x v="7"/>
    <s v="GHYRS_WATER"/>
    <x v="0"/>
    <x v="3"/>
    <n v="27.566369299219001"/>
    <n v="10061.724794214901"/>
    <n v="36222.209259173796"/>
  </r>
  <r>
    <x v="0"/>
    <x v="0"/>
    <x v="0"/>
    <x v="3"/>
    <x v="11"/>
    <s v="SE1A"/>
    <x v="7"/>
    <s v="GHYRS_WATER"/>
    <x v="0"/>
    <x v="4"/>
    <n v="3558.4690458626901"/>
    <n v="1298841.20173988"/>
    <n v="4675828.3262635795"/>
  </r>
  <r>
    <x v="0"/>
    <x v="0"/>
    <x v="0"/>
    <x v="3"/>
    <x v="11"/>
    <s v="SE1A"/>
    <x v="7"/>
    <s v="GHYRS_WATER"/>
    <x v="0"/>
    <x v="5"/>
    <n v="3681.0966833042298"/>
    <n v="1343600.28940604"/>
    <n v="4836961.0418617502"/>
  </r>
  <r>
    <x v="0"/>
    <x v="0"/>
    <x v="0"/>
    <x v="3"/>
    <x v="11"/>
    <s v="SE1A"/>
    <x v="7"/>
    <s v="GHYRS_WATER"/>
    <x v="0"/>
    <x v="6"/>
    <n v="3798.7148379646001"/>
    <n v="1386530.9158570799"/>
    <n v="4991511.2970854798"/>
  </r>
  <r>
    <x v="0"/>
    <x v="0"/>
    <x v="0"/>
    <x v="3"/>
    <x v="11"/>
    <s v="SE1A"/>
    <x v="7"/>
    <s v="GHYRS_WATER"/>
    <x v="0"/>
    <x v="7"/>
    <n v="1108.2852693676"/>
    <n v="404524.123319173"/>
    <n v="1456286.8439490199"/>
  </r>
  <r>
    <x v="0"/>
    <x v="0"/>
    <x v="0"/>
    <x v="3"/>
    <x v="11"/>
    <s v="SE1A"/>
    <x v="7"/>
    <s v="GHYRS_WATER"/>
    <x v="0"/>
    <x v="8"/>
    <n v="917.35389027648796"/>
    <n v="334834.169950918"/>
    <n v="1205403.0118233101"/>
  </r>
  <r>
    <x v="0"/>
    <x v="0"/>
    <x v="0"/>
    <x v="3"/>
    <x v="11"/>
    <s v="SE1A"/>
    <x v="7"/>
    <s v="GHYRS_WATER"/>
    <x v="0"/>
    <x v="9"/>
    <n v="3500.9556495954798"/>
    <n v="1277848.8121023499"/>
    <n v="4600255.72356846"/>
  </r>
  <r>
    <x v="0"/>
    <x v="0"/>
    <x v="0"/>
    <x v="3"/>
    <x v="11"/>
    <s v="SE1A"/>
    <x v="7"/>
    <s v="GHYRS_WATER"/>
    <x v="0"/>
    <x v="10"/>
    <n v="4063.8618606335999"/>
    <n v="1483309.57913126"/>
    <n v="5339914.4848725498"/>
  </r>
  <r>
    <x v="0"/>
    <x v="0"/>
    <x v="0"/>
    <x v="3"/>
    <x v="11"/>
    <s v="SE1A"/>
    <x v="7"/>
    <s v="GHYRS_WATER"/>
    <x v="0"/>
    <x v="11"/>
    <n v="2067.7445984672499"/>
    <n v="754726.77844054601"/>
    <n v="2717016.4023859701"/>
  </r>
  <r>
    <x v="0"/>
    <x v="0"/>
    <x v="0"/>
    <x v="3"/>
    <x v="11"/>
    <s v="SE1A"/>
    <x v="7"/>
    <s v="GHYRS_WATER"/>
    <x v="0"/>
    <x v="12"/>
    <n v="487.65249689331102"/>
    <n v="177993.16136605901"/>
    <n v="640775.38091781095"/>
  </r>
  <r>
    <x v="0"/>
    <x v="0"/>
    <x v="0"/>
    <x v="3"/>
    <x v="11"/>
    <s v="SE1A"/>
    <x v="7"/>
    <s v="GHYRS_WATER"/>
    <x v="0"/>
    <x v="13"/>
    <n v="4022.5080992680701"/>
    <n v="1468215.45623284"/>
    <n v="5285575.6424382403"/>
  </r>
  <r>
    <x v="0"/>
    <x v="0"/>
    <x v="0"/>
    <x v="3"/>
    <x v="11"/>
    <s v="SE1A"/>
    <x v="7"/>
    <s v="GHYRS_WATER"/>
    <x v="0"/>
    <x v="14"/>
    <n v="1029.3464064349801"/>
    <n v="375711.43834876898"/>
    <n v="1352561.17805557"/>
  </r>
  <r>
    <x v="0"/>
    <x v="0"/>
    <x v="0"/>
    <x v="3"/>
    <x v="11"/>
    <s v="SE1A"/>
    <x v="7"/>
    <s v="GHYRS_WATER"/>
    <x v="0"/>
    <x v="15"/>
    <n v="3892.1125716941901"/>
    <n v="1420621.0886683799"/>
    <n v="5114235.9192061704"/>
  </r>
  <r>
    <x v="0"/>
    <x v="0"/>
    <x v="0"/>
    <x v="3"/>
    <x v="11"/>
    <s v="SE1A"/>
    <x v="7"/>
    <s v="GHYRS_WATER"/>
    <x v="0"/>
    <x v="16"/>
    <n v="3891.5013370044999"/>
    <n v="1420397.98800664"/>
    <n v="5113432.7568239104"/>
  </r>
  <r>
    <x v="0"/>
    <x v="0"/>
    <x v="0"/>
    <x v="3"/>
    <x v="11"/>
    <s v="SE1A"/>
    <x v="7"/>
    <s v="GHYRS_WATER"/>
    <x v="0"/>
    <x v="17"/>
    <n v="3887.8258060940898"/>
    <n v="1419056.41922434"/>
    <n v="5108603.1092076404"/>
  </r>
  <r>
    <x v="0"/>
    <x v="0"/>
    <x v="0"/>
    <x v="3"/>
    <x v="11"/>
    <s v="SE1A"/>
    <x v="7"/>
    <s v="GHYRS_WATER"/>
    <x v="0"/>
    <x v="18"/>
    <n v="573.96554880389795"/>
    <n v="209497.42531342301"/>
    <n v="754190.73112832196"/>
  </r>
  <r>
    <x v="0"/>
    <x v="0"/>
    <x v="0"/>
    <x v="3"/>
    <x v="11"/>
    <s v="SE1A"/>
    <x v="7"/>
    <s v="GHYRS_WATER"/>
    <x v="0"/>
    <x v="19"/>
    <n v="814.45223902278497"/>
    <n v="297275.06724331598"/>
    <n v="1070190.2420759399"/>
  </r>
  <r>
    <x v="0"/>
    <x v="0"/>
    <x v="0"/>
    <x v="3"/>
    <x v="11"/>
    <s v="SE1A"/>
    <x v="7"/>
    <s v="GHYRS_WATER"/>
    <x v="0"/>
    <x v="20"/>
    <n v="387.01724820376"/>
    <n v="141261.29559437299"/>
    <n v="508540.66413974098"/>
  </r>
  <r>
    <x v="0"/>
    <x v="0"/>
    <x v="0"/>
    <x v="3"/>
    <x v="11"/>
    <s v="SE1A"/>
    <x v="7"/>
    <s v="GHYRS_WATER"/>
    <x v="0"/>
    <x v="21"/>
    <n v="3862.0845017006"/>
    <n v="1409660.84312072"/>
    <n v="5074779.0352345901"/>
  </r>
  <r>
    <x v="0"/>
    <x v="0"/>
    <x v="0"/>
    <x v="3"/>
    <x v="11"/>
    <s v="SE1A"/>
    <x v="7"/>
    <s v="GHYRS_WATER"/>
    <x v="0"/>
    <x v="22"/>
    <n v="3280.0274195828001"/>
    <n v="1197210.00814772"/>
    <n v="4309956.0293317996"/>
  </r>
  <r>
    <x v="0"/>
    <x v="0"/>
    <x v="0"/>
    <x v="3"/>
    <x v="11"/>
    <s v="SE1A"/>
    <x v="7"/>
    <s v="GHYRS_WATER"/>
    <x v="0"/>
    <x v="23"/>
    <n v="3148.5361854347998"/>
    <n v="1149215.7076836999"/>
    <n v="4137176.5476613198"/>
  </r>
  <r>
    <x v="0"/>
    <x v="0"/>
    <x v="0"/>
    <x v="3"/>
    <x v="11"/>
    <s v="SE1A"/>
    <x v="8"/>
    <s v="GNR_WT_WIND_ONS"/>
    <x v="0"/>
    <x v="0"/>
    <n v="259.88515442742499"/>
    <n v="94858.081366010199"/>
    <n v="341489.09291763703"/>
  </r>
  <r>
    <x v="0"/>
    <x v="0"/>
    <x v="0"/>
    <x v="3"/>
    <x v="11"/>
    <s v="SE1A"/>
    <x v="8"/>
    <s v="GNR_WT_WIND_ONS"/>
    <x v="0"/>
    <x v="1"/>
    <n v="211.562159334618"/>
    <n v="77220.188157135606"/>
    <n v="277992.67736568803"/>
  </r>
  <r>
    <x v="0"/>
    <x v="0"/>
    <x v="0"/>
    <x v="3"/>
    <x v="11"/>
    <s v="SE1A"/>
    <x v="8"/>
    <s v="GNR_WT_WIND_ONS"/>
    <x v="0"/>
    <x v="2"/>
    <n v="247.79412458824001"/>
    <n v="90444.855474707598"/>
    <n v="325601.47970894701"/>
  </r>
  <r>
    <x v="0"/>
    <x v="0"/>
    <x v="0"/>
    <x v="3"/>
    <x v="11"/>
    <s v="SE1A"/>
    <x v="8"/>
    <s v="GNR_WT_WIND_ONS"/>
    <x v="0"/>
    <x v="3"/>
    <n v="235.26031368078"/>
    <n v="85870.014493484603"/>
    <n v="309132.05217654502"/>
  </r>
  <r>
    <x v="0"/>
    <x v="0"/>
    <x v="0"/>
    <x v="3"/>
    <x v="11"/>
    <s v="SE1A"/>
    <x v="8"/>
    <s v="GNR_WT_WIND_ONS"/>
    <x v="0"/>
    <x v="4"/>
    <n v="199.45067054262299"/>
    <n v="72799.494748057303"/>
    <n v="262078.18109300599"/>
  </r>
  <r>
    <x v="0"/>
    <x v="0"/>
    <x v="0"/>
    <x v="3"/>
    <x v="11"/>
    <s v="SE1A"/>
    <x v="8"/>
    <s v="GNR_WT_WIND_ONS"/>
    <x v="0"/>
    <x v="5"/>
    <n v="159.52424783331401"/>
    <n v="58226.350459159701"/>
    <n v="209614.861652975"/>
  </r>
  <r>
    <x v="0"/>
    <x v="0"/>
    <x v="0"/>
    <x v="3"/>
    <x v="11"/>
    <s v="SE1A"/>
    <x v="8"/>
    <s v="GNR_WT_WIND_ONS"/>
    <x v="0"/>
    <x v="6"/>
    <n v="145.89452196830001"/>
    <n v="53251.500518429501"/>
    <n v="191705.40186634599"/>
  </r>
  <r>
    <x v="0"/>
    <x v="0"/>
    <x v="0"/>
    <x v="3"/>
    <x v="11"/>
    <s v="SE1A"/>
    <x v="8"/>
    <s v="GNR_WT_WIND_ONS"/>
    <x v="0"/>
    <x v="7"/>
    <n v="124.55039025847999"/>
    <n v="45460.892444345001"/>
    <n v="163659.212799642"/>
  </r>
  <r>
    <x v="0"/>
    <x v="0"/>
    <x v="0"/>
    <x v="3"/>
    <x v="11"/>
    <s v="SE1A"/>
    <x v="8"/>
    <s v="GNR_WT_WIND_ONS"/>
    <x v="0"/>
    <x v="8"/>
    <n v="98.945460527754406"/>
    <n v="36115.093092630399"/>
    <n v="130014.33513346899"/>
  </r>
  <r>
    <x v="0"/>
    <x v="0"/>
    <x v="0"/>
    <x v="3"/>
    <x v="11"/>
    <s v="SE1A"/>
    <x v="8"/>
    <s v="GNR_WT_WIND_ONS"/>
    <x v="0"/>
    <x v="9"/>
    <n v="69.756032842757094"/>
    <n v="25460.951987606299"/>
    <n v="91659.4271553828"/>
  </r>
  <r>
    <x v="0"/>
    <x v="0"/>
    <x v="0"/>
    <x v="3"/>
    <x v="11"/>
    <s v="SE1A"/>
    <x v="8"/>
    <s v="GNR_WT_WIND_ONS"/>
    <x v="0"/>
    <x v="10"/>
    <n v="50.339366395089797"/>
    <n v="18373.868734207801"/>
    <n v="66145.927443148001"/>
  </r>
  <r>
    <x v="0"/>
    <x v="0"/>
    <x v="0"/>
    <x v="3"/>
    <x v="11"/>
    <s v="SE1A"/>
    <x v="8"/>
    <s v="GNR_WT_WIND_ONS"/>
    <x v="0"/>
    <x v="11"/>
    <n v="39.894378211175201"/>
    <n v="14561.448047079"/>
    <n v="52421.212969484302"/>
  </r>
  <r>
    <x v="0"/>
    <x v="0"/>
    <x v="0"/>
    <x v="3"/>
    <x v="11"/>
    <s v="SE1A"/>
    <x v="8"/>
    <s v="GNR_WT_WIND_ONS"/>
    <x v="0"/>
    <x v="12"/>
    <n v="38.382931309334197"/>
    <n v="14009.769927907"/>
    <n v="50435.171740465099"/>
  </r>
  <r>
    <x v="0"/>
    <x v="0"/>
    <x v="0"/>
    <x v="3"/>
    <x v="11"/>
    <s v="SE1A"/>
    <x v="8"/>
    <s v="GNR_WT_WIND_ONS"/>
    <x v="0"/>
    <x v="13"/>
    <n v="64.474679955125197"/>
    <n v="23533.258183620699"/>
    <n v="84719.729461034498"/>
  </r>
  <r>
    <x v="0"/>
    <x v="0"/>
    <x v="0"/>
    <x v="3"/>
    <x v="11"/>
    <s v="SE1A"/>
    <x v="8"/>
    <s v="GNR_WT_WIND_ONS"/>
    <x v="0"/>
    <x v="14"/>
    <n v="82.751010361579503"/>
    <n v="30204.1187819765"/>
    <n v="108734.82761511501"/>
  </r>
  <r>
    <x v="0"/>
    <x v="0"/>
    <x v="0"/>
    <x v="3"/>
    <x v="11"/>
    <s v="SE1A"/>
    <x v="8"/>
    <s v="GNR_WT_WIND_ONS"/>
    <x v="0"/>
    <x v="15"/>
    <n v="126.47513355621"/>
    <n v="46163.423748016598"/>
    <n v="166188.32549285999"/>
  </r>
  <r>
    <x v="0"/>
    <x v="0"/>
    <x v="0"/>
    <x v="3"/>
    <x v="11"/>
    <s v="SE1A"/>
    <x v="8"/>
    <s v="GNR_WT_WIND_ONS"/>
    <x v="0"/>
    <x v="16"/>
    <n v="158.49226955993899"/>
    <n v="57849.678389377601"/>
    <n v="208258.84220175899"/>
  </r>
  <r>
    <x v="0"/>
    <x v="0"/>
    <x v="0"/>
    <x v="3"/>
    <x v="11"/>
    <s v="SE1A"/>
    <x v="8"/>
    <s v="GNR_WT_WIND_ONS"/>
    <x v="0"/>
    <x v="17"/>
    <n v="182.40715909494801"/>
    <n v="66578.613069655898"/>
    <n v="239683.00705076099"/>
  </r>
  <r>
    <x v="0"/>
    <x v="0"/>
    <x v="0"/>
    <x v="3"/>
    <x v="11"/>
    <s v="SE1A"/>
    <x v="8"/>
    <s v="GNR_WT_WIND_ONS"/>
    <x v="0"/>
    <x v="18"/>
    <n v="204.981284619967"/>
    <n v="74818.168886288098"/>
    <n v="269345.407990637"/>
  </r>
  <r>
    <x v="0"/>
    <x v="0"/>
    <x v="0"/>
    <x v="3"/>
    <x v="11"/>
    <s v="SE1A"/>
    <x v="8"/>
    <s v="GNR_WT_WIND_ONS"/>
    <x v="0"/>
    <x v="19"/>
    <n v="198.90685742664499"/>
    <n v="72601.002960725396"/>
    <n v="261363.61065861199"/>
  </r>
  <r>
    <x v="0"/>
    <x v="0"/>
    <x v="0"/>
    <x v="3"/>
    <x v="11"/>
    <s v="SE1A"/>
    <x v="8"/>
    <s v="GNR_WT_WIND_ONS"/>
    <x v="0"/>
    <x v="20"/>
    <n v="180.89271508426501"/>
    <n v="66025.841005756898"/>
    <n v="237693.02762072501"/>
  </r>
  <r>
    <x v="0"/>
    <x v="0"/>
    <x v="0"/>
    <x v="3"/>
    <x v="11"/>
    <s v="SE1A"/>
    <x v="8"/>
    <s v="GNR_WT_WIND_ONS"/>
    <x v="0"/>
    <x v="21"/>
    <n v="196.603638241807"/>
    <n v="71760.327958259397"/>
    <n v="258337.18064973399"/>
  </r>
  <r>
    <x v="0"/>
    <x v="0"/>
    <x v="0"/>
    <x v="3"/>
    <x v="11"/>
    <s v="SE1A"/>
    <x v="8"/>
    <s v="GNR_WT_WIND_ONS"/>
    <x v="0"/>
    <x v="22"/>
    <n v="170.85507821149"/>
    <n v="62362.103547193801"/>
    <n v="224503.57276989799"/>
  </r>
  <r>
    <x v="0"/>
    <x v="0"/>
    <x v="0"/>
    <x v="3"/>
    <x v="11"/>
    <s v="SE1A"/>
    <x v="8"/>
    <s v="GNR_WT_WIND_ONS"/>
    <x v="0"/>
    <x v="23"/>
    <n v="188.33686032429901"/>
    <n v="68742.954018369099"/>
    <n v="247474.63446612901"/>
  </r>
  <r>
    <x v="0"/>
    <x v="0"/>
    <x v="0"/>
    <x v="3"/>
    <x v="11"/>
    <s v="SE1_EL"/>
    <x v="1"/>
    <s v="GBPR_MUNIWASTE"/>
    <x v="0"/>
    <x v="0"/>
    <n v="16.711264827194199"/>
    <n v="6099.6116619258801"/>
    <n v="21958.6019829332"/>
  </r>
  <r>
    <x v="0"/>
    <x v="0"/>
    <x v="0"/>
    <x v="3"/>
    <x v="11"/>
    <s v="SE1_EL"/>
    <x v="1"/>
    <s v="GBPR_MUNIWASTE"/>
    <x v="0"/>
    <x v="1"/>
    <n v="16.711264827194199"/>
    <n v="6099.6116619258801"/>
    <n v="21958.6019829332"/>
  </r>
  <r>
    <x v="0"/>
    <x v="0"/>
    <x v="0"/>
    <x v="3"/>
    <x v="11"/>
    <s v="SE1_EL"/>
    <x v="1"/>
    <s v="GBPR_MUNIWASTE"/>
    <x v="0"/>
    <x v="2"/>
    <n v="16.711264827194199"/>
    <n v="6099.6116619258801"/>
    <n v="21958.6019829332"/>
  </r>
  <r>
    <x v="0"/>
    <x v="0"/>
    <x v="0"/>
    <x v="3"/>
    <x v="11"/>
    <s v="SE1_EL"/>
    <x v="1"/>
    <s v="GBPR_MUNIWASTE"/>
    <x v="0"/>
    <x v="3"/>
    <n v="16.711264827194199"/>
    <n v="6099.6116619258801"/>
    <n v="21958.6019829332"/>
  </r>
  <r>
    <x v="0"/>
    <x v="0"/>
    <x v="0"/>
    <x v="3"/>
    <x v="11"/>
    <s v="SE1_EL"/>
    <x v="1"/>
    <s v="GBPR_MUNIWASTE"/>
    <x v="0"/>
    <x v="4"/>
    <n v="16.711264827194199"/>
    <n v="6099.6116619258801"/>
    <n v="21958.6019829332"/>
  </r>
  <r>
    <x v="0"/>
    <x v="0"/>
    <x v="0"/>
    <x v="3"/>
    <x v="11"/>
    <s v="SE1_EL"/>
    <x v="1"/>
    <s v="GBPR_MUNIWASTE"/>
    <x v="0"/>
    <x v="5"/>
    <n v="16.711264827194199"/>
    <n v="6099.6116619258801"/>
    <n v="21958.6019829332"/>
  </r>
  <r>
    <x v="0"/>
    <x v="0"/>
    <x v="0"/>
    <x v="3"/>
    <x v="11"/>
    <s v="SE1_EL"/>
    <x v="1"/>
    <s v="GBPR_MUNIWASTE"/>
    <x v="0"/>
    <x v="6"/>
    <n v="16.711264827194199"/>
    <n v="6099.6116619258801"/>
    <n v="21958.6019829332"/>
  </r>
  <r>
    <x v="0"/>
    <x v="0"/>
    <x v="0"/>
    <x v="3"/>
    <x v="11"/>
    <s v="SE1_EL"/>
    <x v="1"/>
    <s v="GBPR_MUNIWASTE"/>
    <x v="0"/>
    <x v="7"/>
    <n v="16.711264827194199"/>
    <n v="6099.6116619258801"/>
    <n v="21958.6019829332"/>
  </r>
  <r>
    <x v="0"/>
    <x v="0"/>
    <x v="0"/>
    <x v="3"/>
    <x v="11"/>
    <s v="SE1_EL"/>
    <x v="1"/>
    <s v="GBPR_MUNIWASTE"/>
    <x v="0"/>
    <x v="8"/>
    <n v="16.711264827194199"/>
    <n v="6099.6116619258801"/>
    <n v="21958.6019829332"/>
  </r>
  <r>
    <x v="0"/>
    <x v="0"/>
    <x v="0"/>
    <x v="3"/>
    <x v="11"/>
    <s v="SE1_EL"/>
    <x v="1"/>
    <s v="GBPR_MUNIWASTE"/>
    <x v="0"/>
    <x v="9"/>
    <n v="16.711264827194199"/>
    <n v="6099.6116619258801"/>
    <n v="21958.6019829332"/>
  </r>
  <r>
    <x v="0"/>
    <x v="0"/>
    <x v="0"/>
    <x v="3"/>
    <x v="11"/>
    <s v="SE1_EL"/>
    <x v="1"/>
    <s v="GBPR_MUNIWASTE"/>
    <x v="0"/>
    <x v="10"/>
    <n v="16.711264827194199"/>
    <n v="6099.6116619258801"/>
    <n v="21958.6019829332"/>
  </r>
  <r>
    <x v="0"/>
    <x v="0"/>
    <x v="0"/>
    <x v="3"/>
    <x v="11"/>
    <s v="SE1_EL"/>
    <x v="1"/>
    <s v="GBPR_MUNIWASTE"/>
    <x v="0"/>
    <x v="11"/>
    <n v="16.711264827194199"/>
    <n v="6099.6116619258801"/>
    <n v="21958.6019829332"/>
  </r>
  <r>
    <x v="0"/>
    <x v="0"/>
    <x v="0"/>
    <x v="3"/>
    <x v="11"/>
    <s v="SE1_EL"/>
    <x v="1"/>
    <s v="GBPR_MUNIWASTE"/>
    <x v="0"/>
    <x v="12"/>
    <n v="16.711264827194199"/>
    <n v="6099.6116619258801"/>
    <n v="21958.6019829332"/>
  </r>
  <r>
    <x v="0"/>
    <x v="0"/>
    <x v="0"/>
    <x v="3"/>
    <x v="11"/>
    <s v="SE1_EL"/>
    <x v="1"/>
    <s v="GBPR_MUNIWASTE"/>
    <x v="0"/>
    <x v="13"/>
    <n v="16.711264827194199"/>
    <n v="6099.6116619258801"/>
    <n v="21958.6019829332"/>
  </r>
  <r>
    <x v="0"/>
    <x v="0"/>
    <x v="0"/>
    <x v="3"/>
    <x v="11"/>
    <s v="SE1_EL"/>
    <x v="1"/>
    <s v="GBPR_MUNIWASTE"/>
    <x v="0"/>
    <x v="14"/>
    <n v="16.711264827194199"/>
    <n v="6099.6116619258801"/>
    <n v="21958.6019829332"/>
  </r>
  <r>
    <x v="0"/>
    <x v="0"/>
    <x v="0"/>
    <x v="3"/>
    <x v="11"/>
    <s v="SE1_EL"/>
    <x v="1"/>
    <s v="GBPR_MUNIWASTE"/>
    <x v="0"/>
    <x v="15"/>
    <n v="16.711264827194199"/>
    <n v="6099.6116619258801"/>
    <n v="21958.6019829332"/>
  </r>
  <r>
    <x v="0"/>
    <x v="0"/>
    <x v="0"/>
    <x v="3"/>
    <x v="11"/>
    <s v="SE1_EL"/>
    <x v="1"/>
    <s v="GBPR_MUNIWASTE"/>
    <x v="0"/>
    <x v="16"/>
    <n v="16.711264827194199"/>
    <n v="6099.6116619258801"/>
    <n v="21958.6019829332"/>
  </r>
  <r>
    <x v="0"/>
    <x v="0"/>
    <x v="0"/>
    <x v="3"/>
    <x v="11"/>
    <s v="SE1_EL"/>
    <x v="1"/>
    <s v="GBPR_MUNIWASTE"/>
    <x v="0"/>
    <x v="17"/>
    <n v="16.711264827194199"/>
    <n v="6099.6116619258801"/>
    <n v="21958.6019829332"/>
  </r>
  <r>
    <x v="0"/>
    <x v="0"/>
    <x v="0"/>
    <x v="3"/>
    <x v="11"/>
    <s v="SE1_EL"/>
    <x v="1"/>
    <s v="GBPR_MUNIWASTE"/>
    <x v="0"/>
    <x v="18"/>
    <n v="16.711264827194199"/>
    <n v="6099.6116619258801"/>
    <n v="21958.6019829332"/>
  </r>
  <r>
    <x v="0"/>
    <x v="0"/>
    <x v="0"/>
    <x v="3"/>
    <x v="11"/>
    <s v="SE1_EL"/>
    <x v="1"/>
    <s v="GBPR_MUNIWASTE"/>
    <x v="0"/>
    <x v="19"/>
    <n v="16.711264827194199"/>
    <n v="6099.6116619258801"/>
    <n v="21958.6019829332"/>
  </r>
  <r>
    <x v="0"/>
    <x v="0"/>
    <x v="0"/>
    <x v="3"/>
    <x v="11"/>
    <s v="SE1_EL"/>
    <x v="1"/>
    <s v="GBPR_MUNIWASTE"/>
    <x v="0"/>
    <x v="20"/>
    <n v="16.711264827194199"/>
    <n v="6099.6116619258801"/>
    <n v="21958.6019829332"/>
  </r>
  <r>
    <x v="0"/>
    <x v="0"/>
    <x v="0"/>
    <x v="3"/>
    <x v="11"/>
    <s v="SE1_EL"/>
    <x v="1"/>
    <s v="GBPR_MUNIWASTE"/>
    <x v="0"/>
    <x v="21"/>
    <n v="16.711264827194199"/>
    <n v="6099.6116619258801"/>
    <n v="21958.6019829332"/>
  </r>
  <r>
    <x v="0"/>
    <x v="0"/>
    <x v="0"/>
    <x v="3"/>
    <x v="11"/>
    <s v="SE1_EL"/>
    <x v="1"/>
    <s v="GBPR_MUNIWASTE"/>
    <x v="0"/>
    <x v="22"/>
    <n v="16.711264827194199"/>
    <n v="6099.6116619258801"/>
    <n v="21958.6019829332"/>
  </r>
  <r>
    <x v="0"/>
    <x v="0"/>
    <x v="0"/>
    <x v="3"/>
    <x v="11"/>
    <s v="SE1_EL"/>
    <x v="1"/>
    <s v="GBPR_MUNIWASTE"/>
    <x v="0"/>
    <x v="23"/>
    <n v="16.711264827194199"/>
    <n v="6099.6116619258801"/>
    <n v="21958.6019829332"/>
  </r>
  <r>
    <x v="0"/>
    <x v="0"/>
    <x v="0"/>
    <x v="3"/>
    <x v="11"/>
    <s v="SE1_EL"/>
    <x v="2"/>
    <s v="GHOB_WASTEHEAT"/>
    <x v="0"/>
    <x v="0"/>
    <n v="100.25020584736301"/>
    <n v="36591.325134287603"/>
    <n v="131728.77048343499"/>
  </r>
  <r>
    <x v="0"/>
    <x v="0"/>
    <x v="0"/>
    <x v="3"/>
    <x v="11"/>
    <s v="SE1_EL"/>
    <x v="2"/>
    <s v="GHOB_WASTEHEAT"/>
    <x v="0"/>
    <x v="1"/>
    <n v="101.44481893552501"/>
    <n v="37027.358911466603"/>
    <n v="133298.49208128001"/>
  </r>
  <r>
    <x v="0"/>
    <x v="0"/>
    <x v="0"/>
    <x v="3"/>
    <x v="11"/>
    <s v="SE1_EL"/>
    <x v="2"/>
    <s v="GHOB_WASTEHEAT"/>
    <x v="0"/>
    <x v="2"/>
    <n v="105.06295152846501"/>
    <n v="38347.977307889603"/>
    <n v="138052.71830840301"/>
  </r>
  <r>
    <x v="0"/>
    <x v="0"/>
    <x v="0"/>
    <x v="3"/>
    <x v="11"/>
    <s v="SE1_EL"/>
    <x v="2"/>
    <s v="GHOB_WASTEHEAT"/>
    <x v="0"/>
    <x v="3"/>
    <n v="110.098957399139"/>
    <n v="40186.119450685699"/>
    <n v="144670.030022469"/>
  </r>
  <r>
    <x v="0"/>
    <x v="0"/>
    <x v="0"/>
    <x v="3"/>
    <x v="11"/>
    <s v="SE1_EL"/>
    <x v="2"/>
    <s v="GHOB_WASTEHEAT"/>
    <x v="0"/>
    <x v="4"/>
    <n v="117.343718435512"/>
    <n v="42830.457228961801"/>
    <n v="154189.646024263"/>
  </r>
  <r>
    <x v="0"/>
    <x v="0"/>
    <x v="0"/>
    <x v="3"/>
    <x v="11"/>
    <s v="SE1_EL"/>
    <x v="2"/>
    <s v="GHOB_WASTEHEAT"/>
    <x v="0"/>
    <x v="5"/>
    <n v="126.911487603906"/>
    <n v="46322.692975425802"/>
    <n v="166761.694711533"/>
  </r>
  <r>
    <x v="0"/>
    <x v="0"/>
    <x v="0"/>
    <x v="3"/>
    <x v="11"/>
    <s v="SE1_EL"/>
    <x v="2"/>
    <s v="GHOB_WASTEHEAT"/>
    <x v="0"/>
    <x v="6"/>
    <n v="151.00726135353401"/>
    <n v="55117.650394039898"/>
    <n v="198423.54141854399"/>
  </r>
  <r>
    <x v="0"/>
    <x v="0"/>
    <x v="0"/>
    <x v="3"/>
    <x v="11"/>
    <s v="SE1_EL"/>
    <x v="2"/>
    <s v="GHOB_WASTEHEAT"/>
    <x v="0"/>
    <x v="7"/>
    <n v="157.873482218579"/>
    <n v="57623.821009781299"/>
    <n v="207445.75563521299"/>
  </r>
  <r>
    <x v="0"/>
    <x v="0"/>
    <x v="0"/>
    <x v="3"/>
    <x v="11"/>
    <s v="SE1_EL"/>
    <x v="2"/>
    <s v="GHOB_WASTEHEAT"/>
    <x v="0"/>
    <x v="8"/>
    <n v="151.40844023854501"/>
    <n v="55264.080687068898"/>
    <n v="198950.69047344799"/>
  </r>
  <r>
    <x v="0"/>
    <x v="0"/>
    <x v="0"/>
    <x v="3"/>
    <x v="11"/>
    <s v="SE1_EL"/>
    <x v="2"/>
    <s v="GHOB_WASTEHEAT"/>
    <x v="0"/>
    <x v="9"/>
    <n v="144.35092598490399"/>
    <n v="52688.087984489997"/>
    <n v="189677.116744164"/>
  </r>
  <r>
    <x v="0"/>
    <x v="0"/>
    <x v="0"/>
    <x v="3"/>
    <x v="11"/>
    <s v="SE1_EL"/>
    <x v="2"/>
    <s v="GHOB_WASTEHEAT"/>
    <x v="0"/>
    <x v="10"/>
    <n v="140.363018538353"/>
    <n v="51232.501766498899"/>
    <n v="184437.00635939601"/>
  </r>
  <r>
    <x v="0"/>
    <x v="0"/>
    <x v="0"/>
    <x v="3"/>
    <x v="11"/>
    <s v="SE1_EL"/>
    <x v="2"/>
    <s v="GHOB_WASTEHEAT"/>
    <x v="0"/>
    <x v="11"/>
    <n v="139.10678081310499"/>
    <n v="50773.9749967834"/>
    <n v="182786.30998841999"/>
  </r>
  <r>
    <x v="0"/>
    <x v="0"/>
    <x v="0"/>
    <x v="3"/>
    <x v="11"/>
    <s v="SE1_EL"/>
    <x v="2"/>
    <s v="GHOB_WASTEHEAT"/>
    <x v="0"/>
    <x v="12"/>
    <n v="134.52461769157199"/>
    <n v="49101.4854574239"/>
    <n v="176765.347646726"/>
  </r>
  <r>
    <x v="0"/>
    <x v="0"/>
    <x v="0"/>
    <x v="3"/>
    <x v="11"/>
    <s v="SE1_EL"/>
    <x v="2"/>
    <s v="GHOB_WASTEHEAT"/>
    <x v="0"/>
    <x v="13"/>
    <n v="132.22513218090299"/>
    <n v="48262.173246029502"/>
    <n v="173743.82368570601"/>
  </r>
  <r>
    <x v="0"/>
    <x v="0"/>
    <x v="0"/>
    <x v="3"/>
    <x v="11"/>
    <s v="SE1_EL"/>
    <x v="2"/>
    <s v="GHOB_WASTEHEAT"/>
    <x v="0"/>
    <x v="14"/>
    <n v="130.34295992950501"/>
    <n v="47575.180374269403"/>
    <n v="171270.64934737"/>
  </r>
  <r>
    <x v="0"/>
    <x v="0"/>
    <x v="0"/>
    <x v="3"/>
    <x v="11"/>
    <s v="SE1_EL"/>
    <x v="2"/>
    <s v="GHOB_WASTEHEAT"/>
    <x v="0"/>
    <x v="15"/>
    <n v="127.074049656028"/>
    <n v="46382.028124450197"/>
    <n v="166975.30124802099"/>
  </r>
  <r>
    <x v="0"/>
    <x v="0"/>
    <x v="0"/>
    <x v="3"/>
    <x v="11"/>
    <s v="SE1_EL"/>
    <x v="2"/>
    <s v="GHOB_WASTEHEAT"/>
    <x v="0"/>
    <x v="16"/>
    <n v="123.960130114476"/>
    <n v="45245.4474917837"/>
    <n v="162883.610970421"/>
  </r>
  <r>
    <x v="0"/>
    <x v="0"/>
    <x v="0"/>
    <x v="3"/>
    <x v="11"/>
    <s v="SE1_EL"/>
    <x v="2"/>
    <s v="GHOB_WASTEHEAT"/>
    <x v="0"/>
    <x v="17"/>
    <n v="119.213693663038"/>
    <n v="43512.998187008801"/>
    <n v="156646.79347323201"/>
  </r>
  <r>
    <x v="0"/>
    <x v="0"/>
    <x v="0"/>
    <x v="3"/>
    <x v="11"/>
    <s v="SE1_EL"/>
    <x v="2"/>
    <s v="GHOB_WASTEHEAT"/>
    <x v="0"/>
    <x v="18"/>
    <n v="117.77892623993699"/>
    <n v="42989.308077577101"/>
    <n v="154761.50907927801"/>
  </r>
  <r>
    <x v="0"/>
    <x v="0"/>
    <x v="0"/>
    <x v="3"/>
    <x v="11"/>
    <s v="SE1_EL"/>
    <x v="2"/>
    <s v="GHOB_WASTEHEAT"/>
    <x v="0"/>
    <x v="19"/>
    <n v="118.640053055509"/>
    <n v="43303.619365260703"/>
    <n v="155893.02971493799"/>
  </r>
  <r>
    <x v="0"/>
    <x v="0"/>
    <x v="0"/>
    <x v="3"/>
    <x v="11"/>
    <s v="SE1_EL"/>
    <x v="2"/>
    <s v="GHOB_WASTEHEAT"/>
    <x v="0"/>
    <x v="20"/>
    <n v="116.54895594643401"/>
    <n v="42540.3689204486"/>
    <n v="153145.32811361499"/>
  </r>
  <r>
    <x v="0"/>
    <x v="0"/>
    <x v="0"/>
    <x v="3"/>
    <x v="11"/>
    <s v="SE1_EL"/>
    <x v="2"/>
    <s v="GHOB_WASTEHEAT"/>
    <x v="0"/>
    <x v="21"/>
    <n v="114.550826370488"/>
    <n v="41811.051625228101"/>
    <n v="150519.785850821"/>
  </r>
  <r>
    <x v="0"/>
    <x v="0"/>
    <x v="0"/>
    <x v="3"/>
    <x v="11"/>
    <s v="SE1_EL"/>
    <x v="2"/>
    <s v="GHOB_WASTEHEAT"/>
    <x v="0"/>
    <x v="22"/>
    <n v="109.641483466502"/>
    <n v="40019.141465273198"/>
    <n v="144068.90927498401"/>
  </r>
  <r>
    <x v="0"/>
    <x v="0"/>
    <x v="0"/>
    <x v="3"/>
    <x v="11"/>
    <s v="SE1_EL"/>
    <x v="2"/>
    <s v="GHOB_WASTEHEAT"/>
    <x v="0"/>
    <x v="23"/>
    <n v="100.850411719768"/>
    <n v="36810.400277715198"/>
    <n v="132517.44099977499"/>
  </r>
  <r>
    <x v="0"/>
    <x v="0"/>
    <x v="0"/>
    <x v="3"/>
    <x v="11"/>
    <s v="SE1_OTHER"/>
    <x v="14"/>
    <s v="GBPR_PEAT_38"/>
    <x v="0"/>
    <x v="4"/>
    <n v="6.7955802654042197"/>
    <n v="2480.3867968725399"/>
    <n v="8929.3924687411509"/>
  </r>
  <r>
    <x v="0"/>
    <x v="0"/>
    <x v="0"/>
    <x v="3"/>
    <x v="11"/>
    <s v="SE1_OTHER"/>
    <x v="14"/>
    <s v="GBPR_PEAT_38"/>
    <x v="0"/>
    <x v="5"/>
    <n v="22.6403701369216"/>
    <n v="8263.7350999763894"/>
    <n v="29749.446359915"/>
  </r>
  <r>
    <x v="0"/>
    <x v="0"/>
    <x v="0"/>
    <x v="3"/>
    <x v="11"/>
    <s v="SE1_OTHER"/>
    <x v="14"/>
    <s v="GBPR_PEAT_38"/>
    <x v="0"/>
    <x v="6"/>
    <n v="22.6403701369216"/>
    <n v="8263.7350999763894"/>
    <n v="29749.446359915"/>
  </r>
  <r>
    <x v="0"/>
    <x v="0"/>
    <x v="0"/>
    <x v="3"/>
    <x v="11"/>
    <s v="SE1_OTHER"/>
    <x v="14"/>
    <s v="GBPR_PEAT_38"/>
    <x v="0"/>
    <x v="7"/>
    <n v="22.6403701369216"/>
    <n v="8263.7350999763894"/>
    <n v="29749.446359915"/>
  </r>
  <r>
    <x v="0"/>
    <x v="0"/>
    <x v="0"/>
    <x v="3"/>
    <x v="11"/>
    <s v="SE1_OTHER"/>
    <x v="14"/>
    <s v="GBPR_PEAT_38"/>
    <x v="0"/>
    <x v="8"/>
    <n v="22.6403701369216"/>
    <n v="8263.7350999763894"/>
    <n v="29749.446359915"/>
  </r>
  <r>
    <x v="0"/>
    <x v="0"/>
    <x v="0"/>
    <x v="3"/>
    <x v="11"/>
    <s v="SE1_OTHER"/>
    <x v="14"/>
    <s v="GBPR_PEAT_38"/>
    <x v="0"/>
    <x v="9"/>
    <n v="22.6403701369216"/>
    <n v="8263.7350999763894"/>
    <n v="29749.446359915"/>
  </r>
  <r>
    <x v="0"/>
    <x v="0"/>
    <x v="0"/>
    <x v="3"/>
    <x v="11"/>
    <s v="SE1_OTHER"/>
    <x v="14"/>
    <s v="GBPR_PEAT_38"/>
    <x v="0"/>
    <x v="10"/>
    <n v="22.6403701369216"/>
    <n v="8263.7350999763894"/>
    <n v="29749.446359915"/>
  </r>
  <r>
    <x v="0"/>
    <x v="0"/>
    <x v="0"/>
    <x v="3"/>
    <x v="11"/>
    <s v="SE1_OTHER"/>
    <x v="14"/>
    <s v="GBPR_PEAT_38"/>
    <x v="0"/>
    <x v="11"/>
    <n v="22.6403701369216"/>
    <n v="8263.7350999763894"/>
    <n v="29749.446359915"/>
  </r>
  <r>
    <x v="0"/>
    <x v="0"/>
    <x v="0"/>
    <x v="3"/>
    <x v="11"/>
    <s v="SE1_OTHER"/>
    <x v="14"/>
    <s v="GBPR_PEAT_38"/>
    <x v="0"/>
    <x v="12"/>
    <n v="22.6403701369216"/>
    <n v="8263.7350999763894"/>
    <n v="29749.446359915"/>
  </r>
  <r>
    <x v="0"/>
    <x v="0"/>
    <x v="0"/>
    <x v="3"/>
    <x v="11"/>
    <s v="SE1_OTHER"/>
    <x v="14"/>
    <s v="GBPR_PEAT_38"/>
    <x v="0"/>
    <x v="13"/>
    <n v="22.6403701369216"/>
    <n v="8263.7350999763894"/>
    <n v="29749.446359915"/>
  </r>
  <r>
    <x v="0"/>
    <x v="0"/>
    <x v="0"/>
    <x v="3"/>
    <x v="11"/>
    <s v="SE1_OTHER"/>
    <x v="14"/>
    <s v="GBPR_PEAT_38"/>
    <x v="0"/>
    <x v="14"/>
    <n v="22.6403701369216"/>
    <n v="8263.7350999763894"/>
    <n v="29749.446359915"/>
  </r>
  <r>
    <x v="0"/>
    <x v="0"/>
    <x v="0"/>
    <x v="3"/>
    <x v="11"/>
    <s v="SE1_OTHER"/>
    <x v="14"/>
    <s v="GBPR_PEAT_38"/>
    <x v="0"/>
    <x v="15"/>
    <n v="22.6403701369216"/>
    <n v="8263.7350999763894"/>
    <n v="29749.446359915"/>
  </r>
  <r>
    <x v="0"/>
    <x v="0"/>
    <x v="0"/>
    <x v="3"/>
    <x v="11"/>
    <s v="SE1_OTHER"/>
    <x v="14"/>
    <s v="GBPR_PEAT_38"/>
    <x v="0"/>
    <x v="16"/>
    <n v="22.6403701369216"/>
    <n v="8263.7350999763894"/>
    <n v="29749.446359915"/>
  </r>
  <r>
    <x v="0"/>
    <x v="0"/>
    <x v="0"/>
    <x v="3"/>
    <x v="11"/>
    <s v="SE1_OTHER"/>
    <x v="14"/>
    <s v="GBPR_PEAT_38"/>
    <x v="0"/>
    <x v="17"/>
    <n v="22.6403701369216"/>
    <n v="8263.7350999763894"/>
    <n v="29749.446359915"/>
  </r>
  <r>
    <x v="0"/>
    <x v="0"/>
    <x v="0"/>
    <x v="3"/>
    <x v="11"/>
    <s v="SE1_OTHER"/>
    <x v="14"/>
    <s v="GBPR_PEAT_38"/>
    <x v="0"/>
    <x v="18"/>
    <n v="22.6403701369216"/>
    <n v="8263.7350999763894"/>
    <n v="29749.446359915"/>
  </r>
  <r>
    <x v="0"/>
    <x v="0"/>
    <x v="0"/>
    <x v="3"/>
    <x v="11"/>
    <s v="SE1_OTHER"/>
    <x v="14"/>
    <s v="GBPR_PEAT_38"/>
    <x v="0"/>
    <x v="19"/>
    <n v="22.6403701369216"/>
    <n v="8263.7350999763894"/>
    <n v="29749.446359915"/>
  </r>
  <r>
    <x v="0"/>
    <x v="0"/>
    <x v="0"/>
    <x v="3"/>
    <x v="11"/>
    <s v="SE1_OTHER"/>
    <x v="14"/>
    <s v="GBPR_PEAT_38"/>
    <x v="0"/>
    <x v="20"/>
    <n v="22.6403701369216"/>
    <n v="8263.7350999763894"/>
    <n v="29749.446359915"/>
  </r>
  <r>
    <x v="0"/>
    <x v="0"/>
    <x v="0"/>
    <x v="3"/>
    <x v="11"/>
    <s v="SE1_OTHER"/>
    <x v="14"/>
    <s v="GBPR_PEAT_38"/>
    <x v="0"/>
    <x v="21"/>
    <n v="21.321337905977401"/>
    <n v="7782.2883356817501"/>
    <n v="28016.2380084543"/>
  </r>
  <r>
    <x v="0"/>
    <x v="0"/>
    <x v="0"/>
    <x v="3"/>
    <x v="11"/>
    <s v="SE1_OTHER"/>
    <x v="14"/>
    <s v="GBPR_PEAT_38"/>
    <x v="0"/>
    <x v="22"/>
    <n v="13.128621004125799"/>
    <n v="4791.9466665059299"/>
    <n v="17251.007999421301"/>
  </r>
  <r>
    <x v="0"/>
    <x v="0"/>
    <x v="0"/>
    <x v="3"/>
    <x v="11"/>
    <s v="SE1_OTHER"/>
    <x v="14"/>
    <s v="GBPR_PEAT_38"/>
    <x v="0"/>
    <x v="23"/>
    <n v="2.64104488459322"/>
    <n v="963.98138287652398"/>
    <n v="3470.33297835549"/>
  </r>
  <r>
    <x v="0"/>
    <x v="0"/>
    <x v="0"/>
    <x v="3"/>
    <x v="11"/>
    <s v="SE1_OTHER"/>
    <x v="14"/>
    <s v="GHOB_PEAT"/>
    <x v="0"/>
    <x v="5"/>
    <n v="1.04804177652174E-2"/>
    <n v="3.8253524843043301"/>
    <n v="13.771268943495601"/>
  </r>
  <r>
    <x v="0"/>
    <x v="0"/>
    <x v="0"/>
    <x v="3"/>
    <x v="11"/>
    <s v="SE1_OTHER"/>
    <x v="14"/>
    <s v="GHOB_PEAT"/>
    <x v="0"/>
    <x v="6"/>
    <n v="27.214804685890702"/>
    <n v="9933.4037103501196"/>
    <n v="35760.253357260401"/>
  </r>
  <r>
    <x v="0"/>
    <x v="0"/>
    <x v="0"/>
    <x v="3"/>
    <x v="11"/>
    <s v="SE1_OTHER"/>
    <x v="14"/>
    <s v="GHOB_PEAT"/>
    <x v="0"/>
    <x v="7"/>
    <n v="38.391624668824001"/>
    <n v="14012.9430041208"/>
    <n v="50446.594814834702"/>
  </r>
  <r>
    <x v="0"/>
    <x v="0"/>
    <x v="0"/>
    <x v="3"/>
    <x v="11"/>
    <s v="SE1_OTHER"/>
    <x v="14"/>
    <s v="GHOB_PEAT"/>
    <x v="0"/>
    <x v="8"/>
    <n v="35.359110310312801"/>
    <n v="12906.0752632642"/>
    <n v="46461.870947750998"/>
  </r>
  <r>
    <x v="0"/>
    <x v="0"/>
    <x v="0"/>
    <x v="3"/>
    <x v="11"/>
    <s v="SE1_OTHER"/>
    <x v="14"/>
    <s v="GHOB_PEAT"/>
    <x v="0"/>
    <x v="9"/>
    <n v="29.953869307983101"/>
    <n v="10933.162297413801"/>
    <n v="39359.384270689799"/>
  </r>
  <r>
    <x v="0"/>
    <x v="0"/>
    <x v="0"/>
    <x v="3"/>
    <x v="11"/>
    <s v="SE1_OTHER"/>
    <x v="14"/>
    <s v="GHOB_PEAT"/>
    <x v="0"/>
    <x v="10"/>
    <n v="25.435696046024699"/>
    <n v="9284.0290567990196"/>
    <n v="33422.504604476497"/>
  </r>
  <r>
    <x v="0"/>
    <x v="0"/>
    <x v="0"/>
    <x v="3"/>
    <x v="11"/>
    <s v="SE1_OTHER"/>
    <x v="14"/>
    <s v="GHOB_PEAT"/>
    <x v="0"/>
    <x v="11"/>
    <n v="24.079674578755501"/>
    <n v="8789.0812212457695"/>
    <n v="31640.692396484799"/>
  </r>
  <r>
    <x v="0"/>
    <x v="0"/>
    <x v="0"/>
    <x v="3"/>
    <x v="11"/>
    <s v="SE1_OTHER"/>
    <x v="14"/>
    <s v="GHOB_PEAT"/>
    <x v="0"/>
    <x v="12"/>
    <n v="19.816783112465899"/>
    <n v="7233.1258360500497"/>
    <n v="26039.253009780201"/>
  </r>
  <r>
    <x v="0"/>
    <x v="0"/>
    <x v="0"/>
    <x v="3"/>
    <x v="11"/>
    <s v="SE1_OTHER"/>
    <x v="14"/>
    <s v="GHOB_PEAT"/>
    <x v="0"/>
    <x v="13"/>
    <n v="18.353083824123999"/>
    <n v="6698.8755958052498"/>
    <n v="24115.9521448989"/>
  </r>
  <r>
    <x v="0"/>
    <x v="0"/>
    <x v="0"/>
    <x v="3"/>
    <x v="11"/>
    <s v="SE1_OTHER"/>
    <x v="14"/>
    <s v="GHOB_PEAT"/>
    <x v="0"/>
    <x v="14"/>
    <n v="18.7779814146547"/>
    <n v="6853.9632163489596"/>
    <n v="24674.267578856201"/>
  </r>
  <r>
    <x v="0"/>
    <x v="0"/>
    <x v="0"/>
    <x v="3"/>
    <x v="11"/>
    <s v="SE1_OTHER"/>
    <x v="14"/>
    <s v="GHOB_PEAT"/>
    <x v="0"/>
    <x v="15"/>
    <n v="17.9395687843937"/>
    <n v="6547.9426063037099"/>
    <n v="23572.593382693402"/>
  </r>
  <r>
    <x v="0"/>
    <x v="0"/>
    <x v="0"/>
    <x v="3"/>
    <x v="11"/>
    <s v="SE1_OTHER"/>
    <x v="14"/>
    <s v="GHOB_PEAT"/>
    <x v="0"/>
    <x v="16"/>
    <n v="14.369423888124199"/>
    <n v="5244.8397191653503"/>
    <n v="18881.422988995299"/>
  </r>
  <r>
    <x v="0"/>
    <x v="0"/>
    <x v="0"/>
    <x v="3"/>
    <x v="11"/>
    <s v="SE1_OTHER"/>
    <x v="14"/>
    <s v="GHOB_PEAT"/>
    <x v="0"/>
    <x v="17"/>
    <n v="9.5488639350379696"/>
    <n v="3485.3353362888602"/>
    <n v="12547.207210639899"/>
  </r>
  <r>
    <x v="0"/>
    <x v="0"/>
    <x v="0"/>
    <x v="3"/>
    <x v="11"/>
    <s v="SE1_OTHER"/>
    <x v="14"/>
    <s v="GHOB_PEAT"/>
    <x v="0"/>
    <x v="18"/>
    <n v="7.5598779859482903"/>
    <n v="2759.3554648711201"/>
    <n v="9933.6796735360494"/>
  </r>
  <r>
    <x v="0"/>
    <x v="0"/>
    <x v="0"/>
    <x v="3"/>
    <x v="11"/>
    <s v="SE1_OTHER"/>
    <x v="14"/>
    <s v="GHOB_PEAT"/>
    <x v="0"/>
    <x v="19"/>
    <n v="7.35112783801332"/>
    <n v="2683.16166087486"/>
    <n v="9659.3819791495098"/>
  </r>
  <r>
    <x v="0"/>
    <x v="0"/>
    <x v="0"/>
    <x v="3"/>
    <x v="11"/>
    <s v="SE1_OTHER"/>
    <x v="14"/>
    <s v="GHOB_PEAT"/>
    <x v="0"/>
    <x v="20"/>
    <n v="3.51422665826709"/>
    <n v="1282.6927302674901"/>
    <n v="4617.6938289629497"/>
  </r>
  <r>
    <x v="0"/>
    <x v="0"/>
    <x v="0"/>
    <x v="3"/>
    <x v="11"/>
    <s v="SE1_OTHER"/>
    <x v="2"/>
    <s v="GHOB_WASTEHEAT"/>
    <x v="0"/>
    <x v="0"/>
    <n v="35.828754578754399"/>
    <n v="13077.495421245399"/>
    <n v="47078.983516483298"/>
  </r>
  <r>
    <x v="0"/>
    <x v="0"/>
    <x v="0"/>
    <x v="3"/>
    <x v="11"/>
    <s v="SE1_OTHER"/>
    <x v="2"/>
    <s v="GHOB_WASTEHEAT"/>
    <x v="0"/>
    <x v="1"/>
    <n v="35.828754578754399"/>
    <n v="13077.495421245399"/>
    <n v="47078.983516483298"/>
  </r>
  <r>
    <x v="0"/>
    <x v="0"/>
    <x v="0"/>
    <x v="3"/>
    <x v="11"/>
    <s v="SE1_OTHER"/>
    <x v="2"/>
    <s v="GHOB_WASTEHEAT"/>
    <x v="0"/>
    <x v="2"/>
    <n v="35.828754578754399"/>
    <n v="13077.495421245399"/>
    <n v="47078.983516483298"/>
  </r>
  <r>
    <x v="0"/>
    <x v="0"/>
    <x v="0"/>
    <x v="3"/>
    <x v="11"/>
    <s v="SE1_OTHER"/>
    <x v="2"/>
    <s v="GHOB_WASTEHEAT"/>
    <x v="0"/>
    <x v="3"/>
    <n v="35.828754578754399"/>
    <n v="13077.495421245399"/>
    <n v="47078.983516483298"/>
  </r>
  <r>
    <x v="0"/>
    <x v="0"/>
    <x v="0"/>
    <x v="3"/>
    <x v="11"/>
    <s v="SE1_OTHER"/>
    <x v="2"/>
    <s v="GHOB_WASTEHEAT"/>
    <x v="0"/>
    <x v="4"/>
    <n v="35.828754578754399"/>
    <n v="13077.495421245399"/>
    <n v="47078.983516483298"/>
  </r>
  <r>
    <x v="0"/>
    <x v="0"/>
    <x v="0"/>
    <x v="3"/>
    <x v="11"/>
    <s v="SE1_OTHER"/>
    <x v="2"/>
    <s v="GHOB_WASTEHEAT"/>
    <x v="0"/>
    <x v="5"/>
    <n v="35.828754578754399"/>
    <n v="13077.495421245399"/>
    <n v="47078.983516483298"/>
  </r>
  <r>
    <x v="0"/>
    <x v="0"/>
    <x v="0"/>
    <x v="3"/>
    <x v="11"/>
    <s v="SE1_OTHER"/>
    <x v="2"/>
    <s v="GHOB_WASTEHEAT"/>
    <x v="0"/>
    <x v="6"/>
    <n v="35.828754578754399"/>
    <n v="13077.495421245399"/>
    <n v="47078.983516483298"/>
  </r>
  <r>
    <x v="0"/>
    <x v="0"/>
    <x v="0"/>
    <x v="3"/>
    <x v="11"/>
    <s v="SE1_OTHER"/>
    <x v="2"/>
    <s v="GHOB_WASTEHEAT"/>
    <x v="0"/>
    <x v="7"/>
    <n v="35.828754578754399"/>
    <n v="13077.495421245399"/>
    <n v="47078.983516483298"/>
  </r>
  <r>
    <x v="0"/>
    <x v="0"/>
    <x v="0"/>
    <x v="3"/>
    <x v="11"/>
    <s v="SE1_OTHER"/>
    <x v="2"/>
    <s v="GHOB_WASTEHEAT"/>
    <x v="0"/>
    <x v="8"/>
    <n v="35.828754578754399"/>
    <n v="13077.495421245399"/>
    <n v="47078.983516483298"/>
  </r>
  <r>
    <x v="0"/>
    <x v="0"/>
    <x v="0"/>
    <x v="3"/>
    <x v="11"/>
    <s v="SE1_OTHER"/>
    <x v="2"/>
    <s v="GHOB_WASTEHEAT"/>
    <x v="0"/>
    <x v="9"/>
    <n v="35.828754578754399"/>
    <n v="13077.495421245399"/>
    <n v="47078.983516483298"/>
  </r>
  <r>
    <x v="0"/>
    <x v="0"/>
    <x v="0"/>
    <x v="3"/>
    <x v="11"/>
    <s v="SE1_OTHER"/>
    <x v="2"/>
    <s v="GHOB_WASTEHEAT"/>
    <x v="0"/>
    <x v="10"/>
    <n v="35.828754578754399"/>
    <n v="13077.495421245399"/>
    <n v="47078.983516483298"/>
  </r>
  <r>
    <x v="0"/>
    <x v="0"/>
    <x v="0"/>
    <x v="3"/>
    <x v="11"/>
    <s v="SE1_OTHER"/>
    <x v="2"/>
    <s v="GHOB_WASTEHEAT"/>
    <x v="0"/>
    <x v="11"/>
    <n v="35.828754578754399"/>
    <n v="13077.495421245399"/>
    <n v="47078.983516483298"/>
  </r>
  <r>
    <x v="0"/>
    <x v="0"/>
    <x v="0"/>
    <x v="3"/>
    <x v="11"/>
    <s v="SE1_OTHER"/>
    <x v="2"/>
    <s v="GHOB_WASTEHEAT"/>
    <x v="0"/>
    <x v="12"/>
    <n v="35.828754578754399"/>
    <n v="13077.495421245399"/>
    <n v="47078.983516483298"/>
  </r>
  <r>
    <x v="0"/>
    <x v="0"/>
    <x v="0"/>
    <x v="3"/>
    <x v="11"/>
    <s v="SE1_OTHER"/>
    <x v="2"/>
    <s v="GHOB_WASTEHEAT"/>
    <x v="0"/>
    <x v="13"/>
    <n v="35.828754578754399"/>
    <n v="13077.495421245399"/>
    <n v="47078.983516483298"/>
  </r>
  <r>
    <x v="0"/>
    <x v="0"/>
    <x v="0"/>
    <x v="3"/>
    <x v="11"/>
    <s v="SE1_OTHER"/>
    <x v="2"/>
    <s v="GHOB_WASTEHEAT"/>
    <x v="0"/>
    <x v="14"/>
    <n v="35.828754578754399"/>
    <n v="13077.495421245399"/>
    <n v="47078.983516483298"/>
  </r>
  <r>
    <x v="0"/>
    <x v="0"/>
    <x v="0"/>
    <x v="3"/>
    <x v="11"/>
    <s v="SE1_OTHER"/>
    <x v="2"/>
    <s v="GHOB_WASTEHEAT"/>
    <x v="0"/>
    <x v="15"/>
    <n v="35.828754578754399"/>
    <n v="13077.495421245399"/>
    <n v="47078.983516483298"/>
  </r>
  <r>
    <x v="0"/>
    <x v="0"/>
    <x v="0"/>
    <x v="3"/>
    <x v="11"/>
    <s v="SE1_OTHER"/>
    <x v="2"/>
    <s v="GHOB_WASTEHEAT"/>
    <x v="0"/>
    <x v="16"/>
    <n v="35.828754578754399"/>
    <n v="13077.495421245399"/>
    <n v="47078.983516483298"/>
  </r>
  <r>
    <x v="0"/>
    <x v="0"/>
    <x v="0"/>
    <x v="3"/>
    <x v="11"/>
    <s v="SE1_OTHER"/>
    <x v="2"/>
    <s v="GHOB_WASTEHEAT"/>
    <x v="0"/>
    <x v="17"/>
    <n v="35.828754578754399"/>
    <n v="13077.495421245399"/>
    <n v="47078.983516483298"/>
  </r>
  <r>
    <x v="0"/>
    <x v="0"/>
    <x v="0"/>
    <x v="3"/>
    <x v="11"/>
    <s v="SE1_OTHER"/>
    <x v="2"/>
    <s v="GHOB_WASTEHEAT"/>
    <x v="0"/>
    <x v="18"/>
    <n v="35.828754578754399"/>
    <n v="13077.495421245399"/>
    <n v="47078.983516483298"/>
  </r>
  <r>
    <x v="0"/>
    <x v="0"/>
    <x v="0"/>
    <x v="3"/>
    <x v="11"/>
    <s v="SE1_OTHER"/>
    <x v="2"/>
    <s v="GHOB_WASTEHEAT"/>
    <x v="0"/>
    <x v="19"/>
    <n v="35.828754578754399"/>
    <n v="13077.495421245399"/>
    <n v="47078.983516483298"/>
  </r>
  <r>
    <x v="0"/>
    <x v="0"/>
    <x v="0"/>
    <x v="3"/>
    <x v="11"/>
    <s v="SE1_OTHER"/>
    <x v="2"/>
    <s v="GHOB_WASTEHEAT"/>
    <x v="0"/>
    <x v="20"/>
    <n v="35.828754578754399"/>
    <n v="13077.495421245399"/>
    <n v="47078.983516483298"/>
  </r>
  <r>
    <x v="0"/>
    <x v="0"/>
    <x v="0"/>
    <x v="3"/>
    <x v="11"/>
    <s v="SE1_OTHER"/>
    <x v="2"/>
    <s v="GHOB_WASTEHEAT"/>
    <x v="0"/>
    <x v="21"/>
    <n v="35.828754578754399"/>
    <n v="13077.495421245399"/>
    <n v="47078.983516483298"/>
  </r>
  <r>
    <x v="0"/>
    <x v="0"/>
    <x v="0"/>
    <x v="3"/>
    <x v="11"/>
    <s v="SE1_OTHER"/>
    <x v="2"/>
    <s v="GHOB_WASTEHEAT"/>
    <x v="0"/>
    <x v="22"/>
    <n v="35.828754578754399"/>
    <n v="13077.495421245399"/>
    <n v="47078.983516483298"/>
  </r>
  <r>
    <x v="0"/>
    <x v="0"/>
    <x v="0"/>
    <x v="3"/>
    <x v="11"/>
    <s v="SE1_OTHER"/>
    <x v="2"/>
    <s v="GHOB_WASTEHEAT"/>
    <x v="0"/>
    <x v="23"/>
    <n v="35.828754578754399"/>
    <n v="13077.495421245399"/>
    <n v="47078.983516483298"/>
  </r>
  <r>
    <x v="0"/>
    <x v="0"/>
    <x v="0"/>
    <x v="3"/>
    <x v="11"/>
    <s v="SE1_OTHER"/>
    <x v="9"/>
    <s v="GBPR_WOODWASTE"/>
    <x v="0"/>
    <x v="0"/>
    <n v="79.751129858332106"/>
    <n v="29109.162398291199"/>
    <n v="104792.984633848"/>
  </r>
  <r>
    <x v="0"/>
    <x v="0"/>
    <x v="0"/>
    <x v="3"/>
    <x v="11"/>
    <s v="SE1_OTHER"/>
    <x v="9"/>
    <s v="GBPR_WOODWASTE"/>
    <x v="0"/>
    <x v="1"/>
    <n v="79.751129858332106"/>
    <n v="29109.162398291199"/>
    <n v="104792.984633848"/>
  </r>
  <r>
    <x v="0"/>
    <x v="0"/>
    <x v="0"/>
    <x v="3"/>
    <x v="11"/>
    <s v="SE1_OTHER"/>
    <x v="9"/>
    <s v="GBPR_WOODWASTE"/>
    <x v="0"/>
    <x v="2"/>
    <n v="79.751129858332106"/>
    <n v="29109.162398291199"/>
    <n v="104792.984633848"/>
  </r>
  <r>
    <x v="0"/>
    <x v="0"/>
    <x v="0"/>
    <x v="3"/>
    <x v="11"/>
    <s v="SE1_OTHER"/>
    <x v="9"/>
    <s v="GBPR_WOODWASTE"/>
    <x v="0"/>
    <x v="3"/>
    <n v="79.751129858332106"/>
    <n v="29109.162398291199"/>
    <n v="104792.984633848"/>
  </r>
  <r>
    <x v="0"/>
    <x v="0"/>
    <x v="0"/>
    <x v="3"/>
    <x v="11"/>
    <s v="SE1_OTHER"/>
    <x v="9"/>
    <s v="GBPR_WOODWASTE"/>
    <x v="0"/>
    <x v="4"/>
    <n v="79.751129858332106"/>
    <n v="29109.162398291199"/>
    <n v="104792.984633848"/>
  </r>
  <r>
    <x v="0"/>
    <x v="0"/>
    <x v="0"/>
    <x v="3"/>
    <x v="11"/>
    <s v="SE1_OTHER"/>
    <x v="9"/>
    <s v="GBPR_WOODWASTE"/>
    <x v="0"/>
    <x v="5"/>
    <n v="79.751129858332106"/>
    <n v="29109.162398291199"/>
    <n v="104792.984633848"/>
  </r>
  <r>
    <x v="0"/>
    <x v="0"/>
    <x v="0"/>
    <x v="3"/>
    <x v="11"/>
    <s v="SE1_OTHER"/>
    <x v="9"/>
    <s v="GBPR_WOODWASTE"/>
    <x v="0"/>
    <x v="6"/>
    <n v="79.751129858332106"/>
    <n v="29109.162398291199"/>
    <n v="104792.984633848"/>
  </r>
  <r>
    <x v="0"/>
    <x v="0"/>
    <x v="0"/>
    <x v="3"/>
    <x v="11"/>
    <s v="SE1_OTHER"/>
    <x v="9"/>
    <s v="GBPR_WOODWASTE"/>
    <x v="0"/>
    <x v="7"/>
    <n v="79.751129858332106"/>
    <n v="29109.162398291199"/>
    <n v="104792.984633848"/>
  </r>
  <r>
    <x v="0"/>
    <x v="0"/>
    <x v="0"/>
    <x v="3"/>
    <x v="11"/>
    <s v="SE1_OTHER"/>
    <x v="9"/>
    <s v="GBPR_WOODWASTE"/>
    <x v="0"/>
    <x v="8"/>
    <n v="79.751129858332106"/>
    <n v="29109.162398291199"/>
    <n v="104792.984633848"/>
  </r>
  <r>
    <x v="0"/>
    <x v="0"/>
    <x v="0"/>
    <x v="3"/>
    <x v="11"/>
    <s v="SE1_OTHER"/>
    <x v="9"/>
    <s v="GBPR_WOODWASTE"/>
    <x v="0"/>
    <x v="9"/>
    <n v="79.751129858332106"/>
    <n v="29109.162398291199"/>
    <n v="104792.984633848"/>
  </r>
  <r>
    <x v="0"/>
    <x v="0"/>
    <x v="0"/>
    <x v="3"/>
    <x v="11"/>
    <s v="SE1_OTHER"/>
    <x v="9"/>
    <s v="GBPR_WOODWASTE"/>
    <x v="0"/>
    <x v="10"/>
    <n v="79.751129858332106"/>
    <n v="29109.162398291199"/>
    <n v="104792.984633848"/>
  </r>
  <r>
    <x v="0"/>
    <x v="0"/>
    <x v="0"/>
    <x v="3"/>
    <x v="11"/>
    <s v="SE1_OTHER"/>
    <x v="9"/>
    <s v="GBPR_WOODWASTE"/>
    <x v="0"/>
    <x v="11"/>
    <n v="79.751129858332106"/>
    <n v="29109.162398291199"/>
    <n v="104792.984633848"/>
  </r>
  <r>
    <x v="0"/>
    <x v="0"/>
    <x v="0"/>
    <x v="3"/>
    <x v="11"/>
    <s v="SE1_OTHER"/>
    <x v="9"/>
    <s v="GBPR_WOODWASTE"/>
    <x v="0"/>
    <x v="12"/>
    <n v="79.751129858332106"/>
    <n v="29109.162398291199"/>
    <n v="104792.984633848"/>
  </r>
  <r>
    <x v="0"/>
    <x v="0"/>
    <x v="0"/>
    <x v="3"/>
    <x v="11"/>
    <s v="SE1_OTHER"/>
    <x v="9"/>
    <s v="GBPR_WOODWASTE"/>
    <x v="0"/>
    <x v="13"/>
    <n v="79.751129858332106"/>
    <n v="29109.162398291199"/>
    <n v="104792.984633848"/>
  </r>
  <r>
    <x v="0"/>
    <x v="0"/>
    <x v="0"/>
    <x v="3"/>
    <x v="11"/>
    <s v="SE1_OTHER"/>
    <x v="9"/>
    <s v="GBPR_WOODWASTE"/>
    <x v="0"/>
    <x v="14"/>
    <n v="79.751129858332106"/>
    <n v="29109.162398291199"/>
    <n v="104792.984633848"/>
  </r>
  <r>
    <x v="0"/>
    <x v="0"/>
    <x v="0"/>
    <x v="3"/>
    <x v="11"/>
    <s v="SE1_OTHER"/>
    <x v="9"/>
    <s v="GBPR_WOODWASTE"/>
    <x v="0"/>
    <x v="15"/>
    <n v="79.751129858332106"/>
    <n v="29109.162398291199"/>
    <n v="104792.984633848"/>
  </r>
  <r>
    <x v="0"/>
    <x v="0"/>
    <x v="0"/>
    <x v="3"/>
    <x v="11"/>
    <s v="SE1_OTHER"/>
    <x v="9"/>
    <s v="GBPR_WOODWASTE"/>
    <x v="0"/>
    <x v="16"/>
    <n v="79.751129858332106"/>
    <n v="29109.162398291199"/>
    <n v="104792.984633848"/>
  </r>
  <r>
    <x v="0"/>
    <x v="0"/>
    <x v="0"/>
    <x v="3"/>
    <x v="11"/>
    <s v="SE1_OTHER"/>
    <x v="9"/>
    <s v="GBPR_WOODWASTE"/>
    <x v="0"/>
    <x v="17"/>
    <n v="79.751129858332106"/>
    <n v="29109.162398291199"/>
    <n v="104792.984633848"/>
  </r>
  <r>
    <x v="0"/>
    <x v="0"/>
    <x v="0"/>
    <x v="3"/>
    <x v="11"/>
    <s v="SE1_OTHER"/>
    <x v="9"/>
    <s v="GBPR_WOODWASTE"/>
    <x v="0"/>
    <x v="18"/>
    <n v="79.751129858332106"/>
    <n v="29109.162398291199"/>
    <n v="104792.984633848"/>
  </r>
  <r>
    <x v="0"/>
    <x v="0"/>
    <x v="0"/>
    <x v="3"/>
    <x v="11"/>
    <s v="SE1_OTHER"/>
    <x v="9"/>
    <s v="GBPR_WOODWASTE"/>
    <x v="0"/>
    <x v="19"/>
    <n v="79.751129858332106"/>
    <n v="29109.162398291199"/>
    <n v="104792.984633848"/>
  </r>
  <r>
    <x v="0"/>
    <x v="0"/>
    <x v="0"/>
    <x v="3"/>
    <x v="11"/>
    <s v="SE1_OTHER"/>
    <x v="9"/>
    <s v="GBPR_WOODWASTE"/>
    <x v="0"/>
    <x v="20"/>
    <n v="79.751129858332106"/>
    <n v="29109.162398291199"/>
    <n v="104792.984633848"/>
  </r>
  <r>
    <x v="0"/>
    <x v="0"/>
    <x v="0"/>
    <x v="3"/>
    <x v="11"/>
    <s v="SE1_OTHER"/>
    <x v="9"/>
    <s v="GBPR_WOODWASTE"/>
    <x v="0"/>
    <x v="21"/>
    <n v="79.751129858332106"/>
    <n v="29109.162398291199"/>
    <n v="104792.984633848"/>
  </r>
  <r>
    <x v="0"/>
    <x v="0"/>
    <x v="0"/>
    <x v="3"/>
    <x v="11"/>
    <s v="SE1_OTHER"/>
    <x v="9"/>
    <s v="GBPR_WOODWASTE"/>
    <x v="0"/>
    <x v="22"/>
    <n v="79.751129858332106"/>
    <n v="29109.162398291199"/>
    <n v="104792.984633848"/>
  </r>
  <r>
    <x v="0"/>
    <x v="0"/>
    <x v="0"/>
    <x v="3"/>
    <x v="11"/>
    <s v="SE1_OTHER"/>
    <x v="9"/>
    <s v="GBPR_WOODWASTE"/>
    <x v="0"/>
    <x v="23"/>
    <n v="79.751129858332106"/>
    <n v="29109.162398291199"/>
    <n v="104792.984633848"/>
  </r>
  <r>
    <x v="0"/>
    <x v="0"/>
    <x v="0"/>
    <x v="3"/>
    <x v="11"/>
    <s v="SE1_OTHER"/>
    <x v="9"/>
    <s v="GHOB_WOODWASTE"/>
    <x v="0"/>
    <x v="0"/>
    <n v="18.694610830553199"/>
    <n v="6823.5329531519401"/>
    <n v="24564.718631347001"/>
  </r>
  <r>
    <x v="0"/>
    <x v="0"/>
    <x v="0"/>
    <x v="3"/>
    <x v="11"/>
    <s v="SE1_OTHER"/>
    <x v="9"/>
    <s v="GHOB_WOODWASTE"/>
    <x v="0"/>
    <x v="1"/>
    <n v="19.4855387278309"/>
    <n v="7112.2216356582803"/>
    <n v="25603.997888369799"/>
  </r>
  <r>
    <x v="0"/>
    <x v="0"/>
    <x v="0"/>
    <x v="3"/>
    <x v="11"/>
    <s v="SE1_OTHER"/>
    <x v="9"/>
    <s v="GHOB_WOODWASTE"/>
    <x v="0"/>
    <x v="2"/>
    <n v="20.392328820996902"/>
    <n v="7443.2000196638801"/>
    <n v="26795.52007079"/>
  </r>
  <r>
    <x v="0"/>
    <x v="0"/>
    <x v="0"/>
    <x v="3"/>
    <x v="11"/>
    <s v="SE1_OTHER"/>
    <x v="9"/>
    <s v="GHOB_WOODWASTE"/>
    <x v="0"/>
    <x v="3"/>
    <n v="24.3319043734354"/>
    <n v="8881.1450963039406"/>
    <n v="31972.122346694199"/>
  </r>
  <r>
    <x v="0"/>
    <x v="0"/>
    <x v="0"/>
    <x v="3"/>
    <x v="11"/>
    <s v="SE1_OTHER"/>
    <x v="9"/>
    <s v="GHOB_WOODWASTE"/>
    <x v="0"/>
    <x v="4"/>
    <n v="25.696367569795001"/>
    <n v="9379.1741629751705"/>
    <n v="33765.026986710604"/>
  </r>
  <r>
    <x v="0"/>
    <x v="0"/>
    <x v="0"/>
    <x v="3"/>
    <x v="11"/>
    <s v="SE1_OTHER"/>
    <x v="9"/>
    <s v="GHOB_WOODWASTE"/>
    <x v="0"/>
    <x v="5"/>
    <n v="25.696367569795001"/>
    <n v="9379.1741629751705"/>
    <n v="33765.026986710604"/>
  </r>
  <r>
    <x v="0"/>
    <x v="0"/>
    <x v="0"/>
    <x v="3"/>
    <x v="11"/>
    <s v="SE1_OTHER"/>
    <x v="9"/>
    <s v="GHOB_WOODWASTE"/>
    <x v="0"/>
    <x v="6"/>
    <n v="25.696367569795001"/>
    <n v="9379.1741629751705"/>
    <n v="33765.026986710604"/>
  </r>
  <r>
    <x v="0"/>
    <x v="0"/>
    <x v="0"/>
    <x v="3"/>
    <x v="11"/>
    <s v="SE1_OTHER"/>
    <x v="9"/>
    <s v="GHOB_WOODWASTE"/>
    <x v="0"/>
    <x v="7"/>
    <n v="25.696367569795001"/>
    <n v="9379.1741629751705"/>
    <n v="33765.026986710604"/>
  </r>
  <r>
    <x v="0"/>
    <x v="0"/>
    <x v="0"/>
    <x v="3"/>
    <x v="11"/>
    <s v="SE1_OTHER"/>
    <x v="9"/>
    <s v="GHOB_WOODWASTE"/>
    <x v="0"/>
    <x v="8"/>
    <n v="25.696367569795001"/>
    <n v="9379.1741629751705"/>
    <n v="33765.026986710604"/>
  </r>
  <r>
    <x v="0"/>
    <x v="0"/>
    <x v="0"/>
    <x v="3"/>
    <x v="11"/>
    <s v="SE1_OTHER"/>
    <x v="9"/>
    <s v="GHOB_WOODWASTE"/>
    <x v="0"/>
    <x v="9"/>
    <n v="25.696367569795001"/>
    <n v="9379.1741629751705"/>
    <n v="33765.026986710604"/>
  </r>
  <r>
    <x v="0"/>
    <x v="0"/>
    <x v="0"/>
    <x v="3"/>
    <x v="11"/>
    <s v="SE1_OTHER"/>
    <x v="9"/>
    <s v="GHOB_WOODWASTE"/>
    <x v="0"/>
    <x v="10"/>
    <n v="25.696367569795001"/>
    <n v="9379.1741629751705"/>
    <n v="33765.026986710604"/>
  </r>
  <r>
    <x v="0"/>
    <x v="0"/>
    <x v="0"/>
    <x v="3"/>
    <x v="11"/>
    <s v="SE1_OTHER"/>
    <x v="9"/>
    <s v="GHOB_WOODWASTE"/>
    <x v="0"/>
    <x v="11"/>
    <n v="25.696367569795001"/>
    <n v="9379.1741629751705"/>
    <n v="33765.026986710604"/>
  </r>
  <r>
    <x v="0"/>
    <x v="0"/>
    <x v="0"/>
    <x v="3"/>
    <x v="11"/>
    <s v="SE1_OTHER"/>
    <x v="9"/>
    <s v="GHOB_WOODWASTE"/>
    <x v="0"/>
    <x v="12"/>
    <n v="25.696367569795001"/>
    <n v="9379.1741629751705"/>
    <n v="33765.026986710604"/>
  </r>
  <r>
    <x v="0"/>
    <x v="0"/>
    <x v="0"/>
    <x v="3"/>
    <x v="11"/>
    <s v="SE1_OTHER"/>
    <x v="9"/>
    <s v="GHOB_WOODWASTE"/>
    <x v="0"/>
    <x v="13"/>
    <n v="25.696367569795001"/>
    <n v="9379.1741629751705"/>
    <n v="33765.026986710604"/>
  </r>
  <r>
    <x v="0"/>
    <x v="0"/>
    <x v="0"/>
    <x v="3"/>
    <x v="11"/>
    <s v="SE1_OTHER"/>
    <x v="9"/>
    <s v="GHOB_WOODWASTE"/>
    <x v="0"/>
    <x v="14"/>
    <n v="25.696367569795001"/>
    <n v="9379.1741629751705"/>
    <n v="33765.026986710604"/>
  </r>
  <r>
    <x v="0"/>
    <x v="0"/>
    <x v="0"/>
    <x v="3"/>
    <x v="11"/>
    <s v="SE1_OTHER"/>
    <x v="9"/>
    <s v="GHOB_WOODWASTE"/>
    <x v="0"/>
    <x v="15"/>
    <n v="25.696367569795001"/>
    <n v="9379.1741629751705"/>
    <n v="33765.026986710604"/>
  </r>
  <r>
    <x v="0"/>
    <x v="0"/>
    <x v="0"/>
    <x v="3"/>
    <x v="11"/>
    <s v="SE1_OTHER"/>
    <x v="9"/>
    <s v="GHOB_WOODWASTE"/>
    <x v="0"/>
    <x v="16"/>
    <n v="25.696367569795001"/>
    <n v="9379.1741629751705"/>
    <n v="33765.026986710604"/>
  </r>
  <r>
    <x v="0"/>
    <x v="0"/>
    <x v="0"/>
    <x v="3"/>
    <x v="11"/>
    <s v="SE1_OTHER"/>
    <x v="9"/>
    <s v="GHOB_WOODWASTE"/>
    <x v="0"/>
    <x v="17"/>
    <n v="25.696367569795001"/>
    <n v="9379.1741629751705"/>
    <n v="33765.026986710604"/>
  </r>
  <r>
    <x v="0"/>
    <x v="0"/>
    <x v="0"/>
    <x v="3"/>
    <x v="11"/>
    <s v="SE1_OTHER"/>
    <x v="9"/>
    <s v="GHOB_WOODWASTE"/>
    <x v="0"/>
    <x v="18"/>
    <n v="25.696367569795001"/>
    <n v="9379.1741629751705"/>
    <n v="33765.026986710604"/>
  </r>
  <r>
    <x v="0"/>
    <x v="0"/>
    <x v="0"/>
    <x v="3"/>
    <x v="11"/>
    <s v="SE1_OTHER"/>
    <x v="9"/>
    <s v="GHOB_WOODWASTE"/>
    <x v="0"/>
    <x v="19"/>
    <n v="25.696367569795001"/>
    <n v="9379.1741629751705"/>
    <n v="33765.026986710604"/>
  </r>
  <r>
    <x v="0"/>
    <x v="0"/>
    <x v="0"/>
    <x v="3"/>
    <x v="11"/>
    <s v="SE1_OTHER"/>
    <x v="9"/>
    <s v="GHOB_WOODWASTE"/>
    <x v="0"/>
    <x v="20"/>
    <n v="25.696367569795001"/>
    <n v="9379.1741629751705"/>
    <n v="33765.026986710604"/>
  </r>
  <r>
    <x v="0"/>
    <x v="0"/>
    <x v="0"/>
    <x v="3"/>
    <x v="11"/>
    <s v="SE1_OTHER"/>
    <x v="9"/>
    <s v="GHOB_WOODWASTE"/>
    <x v="0"/>
    <x v="21"/>
    <n v="25.696367569795001"/>
    <n v="9379.1741629751705"/>
    <n v="33765.026986710604"/>
  </r>
  <r>
    <x v="0"/>
    <x v="0"/>
    <x v="0"/>
    <x v="3"/>
    <x v="11"/>
    <s v="SE1_OTHER"/>
    <x v="9"/>
    <s v="GHOB_WOODWASTE"/>
    <x v="0"/>
    <x v="22"/>
    <n v="25.696367569795001"/>
    <n v="9379.1741629751705"/>
    <n v="33765.026986710604"/>
  </r>
  <r>
    <x v="0"/>
    <x v="0"/>
    <x v="0"/>
    <x v="3"/>
    <x v="11"/>
    <s v="SE1_OTHER"/>
    <x v="9"/>
    <s v="GHOB_WOODWASTE"/>
    <x v="0"/>
    <x v="23"/>
    <n v="25.696367569795001"/>
    <n v="9379.1741629751705"/>
    <n v="33765.026986710604"/>
  </r>
  <r>
    <x v="0"/>
    <x v="0"/>
    <x v="0"/>
    <x v="3"/>
    <x v="12"/>
    <s v="SE2A"/>
    <x v="7"/>
    <s v="GHYRR_WATER"/>
    <x v="0"/>
    <x v="0"/>
    <n v="904.22312526994199"/>
    <n v="330041.44072352903"/>
    <n v="1188149.1866047001"/>
  </r>
  <r>
    <x v="0"/>
    <x v="0"/>
    <x v="0"/>
    <x v="3"/>
    <x v="12"/>
    <s v="SE2A"/>
    <x v="7"/>
    <s v="GHYRR_WATER"/>
    <x v="0"/>
    <x v="1"/>
    <n v="904.22312526994199"/>
    <n v="330041.44072352903"/>
    <n v="1188149.1866047001"/>
  </r>
  <r>
    <x v="0"/>
    <x v="0"/>
    <x v="0"/>
    <x v="3"/>
    <x v="12"/>
    <s v="SE2A"/>
    <x v="7"/>
    <s v="GHYRR_WATER"/>
    <x v="0"/>
    <x v="2"/>
    <n v="904.22312526994199"/>
    <n v="330041.44072352903"/>
    <n v="1188149.1866047001"/>
  </r>
  <r>
    <x v="0"/>
    <x v="0"/>
    <x v="0"/>
    <x v="3"/>
    <x v="12"/>
    <s v="SE2A"/>
    <x v="7"/>
    <s v="GHYRR_WATER"/>
    <x v="0"/>
    <x v="3"/>
    <n v="904.22312526994199"/>
    <n v="330041.44072352903"/>
    <n v="1188149.1866047001"/>
  </r>
  <r>
    <x v="0"/>
    <x v="0"/>
    <x v="0"/>
    <x v="3"/>
    <x v="12"/>
    <s v="SE2A"/>
    <x v="7"/>
    <s v="GHYRR_WATER"/>
    <x v="0"/>
    <x v="4"/>
    <n v="904.22312526994199"/>
    <n v="330041.44072352903"/>
    <n v="1188149.1866047001"/>
  </r>
  <r>
    <x v="0"/>
    <x v="0"/>
    <x v="0"/>
    <x v="3"/>
    <x v="12"/>
    <s v="SE2A"/>
    <x v="7"/>
    <s v="GHYRR_WATER"/>
    <x v="0"/>
    <x v="5"/>
    <n v="904.22312526994199"/>
    <n v="330041.44072352903"/>
    <n v="1188149.1866047001"/>
  </r>
  <r>
    <x v="0"/>
    <x v="0"/>
    <x v="0"/>
    <x v="3"/>
    <x v="12"/>
    <s v="SE2A"/>
    <x v="7"/>
    <s v="GHYRR_WATER"/>
    <x v="0"/>
    <x v="6"/>
    <n v="904.22312526994199"/>
    <n v="330041.44072352903"/>
    <n v="1188149.1866047001"/>
  </r>
  <r>
    <x v="0"/>
    <x v="0"/>
    <x v="0"/>
    <x v="3"/>
    <x v="12"/>
    <s v="SE2A"/>
    <x v="7"/>
    <s v="GHYRR_WATER"/>
    <x v="0"/>
    <x v="7"/>
    <n v="904.22312526994199"/>
    <n v="330041.44072352903"/>
    <n v="1188149.1866047001"/>
  </r>
  <r>
    <x v="0"/>
    <x v="0"/>
    <x v="0"/>
    <x v="3"/>
    <x v="12"/>
    <s v="SE2A"/>
    <x v="7"/>
    <s v="GHYRR_WATER"/>
    <x v="0"/>
    <x v="8"/>
    <n v="904.22312526994199"/>
    <n v="330041.44072352903"/>
    <n v="1188149.1866047001"/>
  </r>
  <r>
    <x v="0"/>
    <x v="0"/>
    <x v="0"/>
    <x v="3"/>
    <x v="12"/>
    <s v="SE2A"/>
    <x v="7"/>
    <s v="GHYRR_WATER"/>
    <x v="0"/>
    <x v="9"/>
    <n v="904.22312526994199"/>
    <n v="330041.44072352903"/>
    <n v="1188149.1866047001"/>
  </r>
  <r>
    <x v="0"/>
    <x v="0"/>
    <x v="0"/>
    <x v="3"/>
    <x v="12"/>
    <s v="SE2A"/>
    <x v="7"/>
    <s v="GHYRR_WATER"/>
    <x v="0"/>
    <x v="10"/>
    <n v="904.22312526994199"/>
    <n v="330041.44072352903"/>
    <n v="1188149.1866047001"/>
  </r>
  <r>
    <x v="0"/>
    <x v="0"/>
    <x v="0"/>
    <x v="3"/>
    <x v="12"/>
    <s v="SE2A"/>
    <x v="7"/>
    <s v="GHYRR_WATER"/>
    <x v="0"/>
    <x v="11"/>
    <n v="904.22312526994199"/>
    <n v="330041.44072352903"/>
    <n v="1188149.1866047001"/>
  </r>
  <r>
    <x v="0"/>
    <x v="0"/>
    <x v="0"/>
    <x v="3"/>
    <x v="12"/>
    <s v="SE2A"/>
    <x v="7"/>
    <s v="GHYRR_WATER"/>
    <x v="0"/>
    <x v="12"/>
    <n v="904.22312526994199"/>
    <n v="330041.44072352903"/>
    <n v="1188149.1866047001"/>
  </r>
  <r>
    <x v="0"/>
    <x v="0"/>
    <x v="0"/>
    <x v="3"/>
    <x v="12"/>
    <s v="SE2A"/>
    <x v="7"/>
    <s v="GHYRR_WATER"/>
    <x v="0"/>
    <x v="13"/>
    <n v="904.22312526994199"/>
    <n v="330041.44072352903"/>
    <n v="1188149.1866047001"/>
  </r>
  <r>
    <x v="0"/>
    <x v="0"/>
    <x v="0"/>
    <x v="3"/>
    <x v="12"/>
    <s v="SE2A"/>
    <x v="7"/>
    <s v="GHYRR_WATER"/>
    <x v="0"/>
    <x v="14"/>
    <n v="904.22312526994199"/>
    <n v="330041.44072352903"/>
    <n v="1188149.1866047001"/>
  </r>
  <r>
    <x v="0"/>
    <x v="0"/>
    <x v="0"/>
    <x v="3"/>
    <x v="12"/>
    <s v="SE2A"/>
    <x v="7"/>
    <s v="GHYRR_WATER"/>
    <x v="0"/>
    <x v="15"/>
    <n v="904.22312526994199"/>
    <n v="330041.44072352903"/>
    <n v="1188149.1866047001"/>
  </r>
  <r>
    <x v="0"/>
    <x v="0"/>
    <x v="0"/>
    <x v="3"/>
    <x v="12"/>
    <s v="SE2A"/>
    <x v="7"/>
    <s v="GHYRR_WATER"/>
    <x v="0"/>
    <x v="16"/>
    <n v="904.22312526994199"/>
    <n v="330041.44072352903"/>
    <n v="1188149.1866047001"/>
  </r>
  <r>
    <x v="0"/>
    <x v="0"/>
    <x v="0"/>
    <x v="3"/>
    <x v="12"/>
    <s v="SE2A"/>
    <x v="7"/>
    <s v="GHYRR_WATER"/>
    <x v="0"/>
    <x v="17"/>
    <n v="904.22312526994199"/>
    <n v="330041.44072352903"/>
    <n v="1188149.1866047001"/>
  </r>
  <r>
    <x v="0"/>
    <x v="0"/>
    <x v="0"/>
    <x v="3"/>
    <x v="12"/>
    <s v="SE2A"/>
    <x v="7"/>
    <s v="GHYRR_WATER"/>
    <x v="0"/>
    <x v="18"/>
    <n v="904.22312526994199"/>
    <n v="330041.44072352903"/>
    <n v="1188149.1866047001"/>
  </r>
  <r>
    <x v="0"/>
    <x v="0"/>
    <x v="0"/>
    <x v="3"/>
    <x v="12"/>
    <s v="SE2A"/>
    <x v="7"/>
    <s v="GHYRR_WATER"/>
    <x v="0"/>
    <x v="19"/>
    <n v="904.22312526994199"/>
    <n v="330041.44072352903"/>
    <n v="1188149.1866047001"/>
  </r>
  <r>
    <x v="0"/>
    <x v="0"/>
    <x v="0"/>
    <x v="3"/>
    <x v="12"/>
    <s v="SE2A"/>
    <x v="7"/>
    <s v="GHYRR_WATER"/>
    <x v="0"/>
    <x v="20"/>
    <n v="904.22312526994199"/>
    <n v="330041.44072352903"/>
    <n v="1188149.1866047001"/>
  </r>
  <r>
    <x v="0"/>
    <x v="0"/>
    <x v="0"/>
    <x v="3"/>
    <x v="12"/>
    <s v="SE2A"/>
    <x v="7"/>
    <s v="GHYRR_WATER"/>
    <x v="0"/>
    <x v="21"/>
    <n v="904.22312526994199"/>
    <n v="330041.44072352903"/>
    <n v="1188149.1866047001"/>
  </r>
  <r>
    <x v="0"/>
    <x v="0"/>
    <x v="0"/>
    <x v="3"/>
    <x v="12"/>
    <s v="SE2A"/>
    <x v="7"/>
    <s v="GHYRR_WATER"/>
    <x v="0"/>
    <x v="22"/>
    <n v="904.22312526994199"/>
    <n v="330041.44072352903"/>
    <n v="1188149.1866047001"/>
  </r>
  <r>
    <x v="0"/>
    <x v="0"/>
    <x v="0"/>
    <x v="3"/>
    <x v="12"/>
    <s v="SE2A"/>
    <x v="7"/>
    <s v="GHYRR_WATER"/>
    <x v="0"/>
    <x v="23"/>
    <n v="904.22312526994199"/>
    <n v="330041.44072352903"/>
    <n v="1188149.1866047001"/>
  </r>
  <r>
    <x v="0"/>
    <x v="0"/>
    <x v="0"/>
    <x v="3"/>
    <x v="12"/>
    <s v="SE2A"/>
    <x v="7"/>
    <s v="GHYRS_WATER"/>
    <x v="0"/>
    <x v="1"/>
    <n v="1815.3439847950201"/>
    <n v="662600.55445018201"/>
    <n v="2385361.9960206598"/>
  </r>
  <r>
    <x v="0"/>
    <x v="0"/>
    <x v="0"/>
    <x v="3"/>
    <x v="12"/>
    <s v="SE2A"/>
    <x v="7"/>
    <s v="GHYRS_WATER"/>
    <x v="0"/>
    <x v="2"/>
    <n v="363.45038877182901"/>
    <n v="132659.39190171799"/>
    <n v="477573.81084618298"/>
  </r>
  <r>
    <x v="0"/>
    <x v="0"/>
    <x v="0"/>
    <x v="3"/>
    <x v="12"/>
    <s v="SE2A"/>
    <x v="7"/>
    <s v="GHYRS_WATER"/>
    <x v="0"/>
    <x v="3"/>
    <n v="3986.7125560049999"/>
    <n v="1455150.0829418299"/>
    <n v="5238540.2985905698"/>
  </r>
  <r>
    <x v="0"/>
    <x v="0"/>
    <x v="0"/>
    <x v="3"/>
    <x v="12"/>
    <s v="SE2A"/>
    <x v="7"/>
    <s v="GHYRS_WATER"/>
    <x v="0"/>
    <x v="5"/>
    <n v="1579.51026860447"/>
    <n v="576521.248040632"/>
    <n v="2075476.4929462699"/>
  </r>
  <r>
    <x v="0"/>
    <x v="0"/>
    <x v="0"/>
    <x v="3"/>
    <x v="12"/>
    <s v="SE2A"/>
    <x v="7"/>
    <s v="GHYRS_WATER"/>
    <x v="0"/>
    <x v="6"/>
    <n v="2998.3271678106798"/>
    <n v="1094389.4162508999"/>
    <n v="3939801.89850323"/>
  </r>
  <r>
    <x v="0"/>
    <x v="0"/>
    <x v="0"/>
    <x v="3"/>
    <x v="12"/>
    <s v="SE2A"/>
    <x v="7"/>
    <s v="GHYRS_WATER"/>
    <x v="0"/>
    <x v="7"/>
    <n v="6393"/>
    <n v="2333445"/>
    <n v="8400402"/>
  </r>
  <r>
    <x v="0"/>
    <x v="0"/>
    <x v="0"/>
    <x v="3"/>
    <x v="12"/>
    <s v="SE2A"/>
    <x v="7"/>
    <s v="GHYRS_WATER"/>
    <x v="0"/>
    <x v="8"/>
    <n v="6393"/>
    <n v="2333445"/>
    <n v="8400402"/>
  </r>
  <r>
    <x v="0"/>
    <x v="0"/>
    <x v="0"/>
    <x v="3"/>
    <x v="12"/>
    <s v="SE2A"/>
    <x v="7"/>
    <s v="GHYRS_WATER"/>
    <x v="0"/>
    <x v="9"/>
    <n v="2697.1547916556001"/>
    <n v="984461.49895429402"/>
    <n v="3544061.3962354599"/>
  </r>
  <r>
    <x v="0"/>
    <x v="0"/>
    <x v="0"/>
    <x v="3"/>
    <x v="12"/>
    <s v="SE2A"/>
    <x v="7"/>
    <s v="GHYRS_WATER"/>
    <x v="0"/>
    <x v="10"/>
    <n v="2050.2367762807298"/>
    <n v="748336.42334246601"/>
    <n v="2694011.1240328802"/>
  </r>
  <r>
    <x v="0"/>
    <x v="0"/>
    <x v="0"/>
    <x v="3"/>
    <x v="12"/>
    <s v="SE2A"/>
    <x v="7"/>
    <s v="GHYRS_WATER"/>
    <x v="0"/>
    <x v="11"/>
    <n v="6393"/>
    <n v="2333445"/>
    <n v="8400402"/>
  </r>
  <r>
    <x v="0"/>
    <x v="0"/>
    <x v="0"/>
    <x v="3"/>
    <x v="12"/>
    <s v="SE2A"/>
    <x v="7"/>
    <s v="GHYRS_WATER"/>
    <x v="0"/>
    <x v="12"/>
    <n v="6393"/>
    <n v="2333445"/>
    <n v="8400402"/>
  </r>
  <r>
    <x v="0"/>
    <x v="0"/>
    <x v="0"/>
    <x v="3"/>
    <x v="12"/>
    <s v="SE2A"/>
    <x v="7"/>
    <s v="GHYRS_WATER"/>
    <x v="0"/>
    <x v="13"/>
    <n v="2954.8629857329602"/>
    <n v="1078524.98979253"/>
    <n v="3882689.9632531102"/>
  </r>
  <r>
    <x v="0"/>
    <x v="0"/>
    <x v="0"/>
    <x v="3"/>
    <x v="12"/>
    <s v="SE2A"/>
    <x v="7"/>
    <s v="GHYRS_WATER"/>
    <x v="0"/>
    <x v="14"/>
    <n v="5191.4814817839797"/>
    <n v="1894890.7408511499"/>
    <n v="6821606.6670641499"/>
  </r>
  <r>
    <x v="0"/>
    <x v="0"/>
    <x v="0"/>
    <x v="3"/>
    <x v="12"/>
    <s v="SE2A"/>
    <x v="7"/>
    <s v="GHYRS_WATER"/>
    <x v="0"/>
    <x v="15"/>
    <n v="3704.89444307851"/>
    <n v="1352286.4717236599"/>
    <n v="4868231.2982051698"/>
  </r>
  <r>
    <x v="0"/>
    <x v="0"/>
    <x v="0"/>
    <x v="3"/>
    <x v="12"/>
    <s v="SE2A"/>
    <x v="7"/>
    <s v="GHYRS_WATER"/>
    <x v="0"/>
    <x v="16"/>
    <n v="3648.0571628651901"/>
    <n v="1331540.8644458"/>
    <n v="4793547.1120048696"/>
  </r>
  <r>
    <x v="0"/>
    <x v="0"/>
    <x v="0"/>
    <x v="3"/>
    <x v="12"/>
    <s v="SE2A"/>
    <x v="7"/>
    <s v="GHYRS_WATER"/>
    <x v="0"/>
    <x v="17"/>
    <n v="3671.6420983728599"/>
    <n v="1340149.36590609"/>
    <n v="4824537.7172619402"/>
  </r>
  <r>
    <x v="0"/>
    <x v="0"/>
    <x v="0"/>
    <x v="3"/>
    <x v="12"/>
    <s v="SE2A"/>
    <x v="7"/>
    <s v="GHYRS_WATER"/>
    <x v="0"/>
    <x v="18"/>
    <n v="6393"/>
    <n v="2333445"/>
    <n v="8400402"/>
  </r>
  <r>
    <x v="0"/>
    <x v="0"/>
    <x v="0"/>
    <x v="3"/>
    <x v="12"/>
    <s v="SE2A"/>
    <x v="7"/>
    <s v="GHYRS_WATER"/>
    <x v="0"/>
    <x v="19"/>
    <n v="6393"/>
    <n v="2333445"/>
    <n v="8400402"/>
  </r>
  <r>
    <x v="0"/>
    <x v="0"/>
    <x v="0"/>
    <x v="3"/>
    <x v="12"/>
    <s v="SE2A"/>
    <x v="7"/>
    <s v="GHYRS_WATER"/>
    <x v="0"/>
    <x v="20"/>
    <n v="5758.52430246733"/>
    <n v="2101861.3704005699"/>
    <n v="7566700.9334420701"/>
  </r>
  <r>
    <x v="0"/>
    <x v="0"/>
    <x v="0"/>
    <x v="3"/>
    <x v="12"/>
    <s v="SE2A"/>
    <x v="7"/>
    <s v="GHYRS_WATER"/>
    <x v="0"/>
    <x v="21"/>
    <n v="3995.9677805076499"/>
    <n v="1458528.2398852899"/>
    <n v="5250701.6635870496"/>
  </r>
  <r>
    <x v="0"/>
    <x v="0"/>
    <x v="0"/>
    <x v="3"/>
    <x v="12"/>
    <s v="SE2A"/>
    <x v="7"/>
    <s v="GHYRS_WATER"/>
    <x v="0"/>
    <x v="22"/>
    <n v="2017.8080511788701"/>
    <n v="736499.93868028896"/>
    <n v="2651399.7792490399"/>
  </r>
  <r>
    <x v="0"/>
    <x v="0"/>
    <x v="0"/>
    <x v="3"/>
    <x v="12"/>
    <s v="SE2A"/>
    <x v="7"/>
    <s v="GHYRS_WATER"/>
    <x v="0"/>
    <x v="23"/>
    <n v="421.60785889293697"/>
    <n v="153886.86849592201"/>
    <n v="553992.72658531903"/>
  </r>
  <r>
    <x v="0"/>
    <x v="0"/>
    <x v="0"/>
    <x v="3"/>
    <x v="12"/>
    <s v="SE2A"/>
    <x v="8"/>
    <s v="GNR_WT_WIND_ONS"/>
    <x v="0"/>
    <x v="0"/>
    <n v="313.35686469567099"/>
    <n v="114375.25561392"/>
    <n v="411750.920210112"/>
  </r>
  <r>
    <x v="0"/>
    <x v="0"/>
    <x v="0"/>
    <x v="3"/>
    <x v="12"/>
    <s v="SE2A"/>
    <x v="8"/>
    <s v="GNR_WT_WIND_ONS"/>
    <x v="0"/>
    <x v="1"/>
    <n v="414.40431029559898"/>
    <n v="151257.57325789399"/>
    <n v="544527.26372841699"/>
  </r>
  <r>
    <x v="0"/>
    <x v="0"/>
    <x v="0"/>
    <x v="3"/>
    <x v="12"/>
    <s v="SE2A"/>
    <x v="8"/>
    <s v="GNR_WT_WIND_ONS"/>
    <x v="0"/>
    <x v="2"/>
    <n v="498.71905255757798"/>
    <n v="182032.45418351601"/>
    <n v="655316.835060657"/>
  </r>
  <r>
    <x v="0"/>
    <x v="0"/>
    <x v="0"/>
    <x v="3"/>
    <x v="12"/>
    <s v="SE2A"/>
    <x v="8"/>
    <s v="GNR_WT_WIND_ONS"/>
    <x v="0"/>
    <x v="3"/>
    <n v="550.25260376956203"/>
    <n v="200842.20037589001"/>
    <n v="723031.92135320499"/>
  </r>
  <r>
    <x v="0"/>
    <x v="0"/>
    <x v="0"/>
    <x v="3"/>
    <x v="12"/>
    <s v="SE2A"/>
    <x v="8"/>
    <s v="GNR_WT_WIND_ONS"/>
    <x v="0"/>
    <x v="4"/>
    <n v="625.00689566896597"/>
    <n v="228127.51691917301"/>
    <n v="821259.06090902095"/>
  </r>
  <r>
    <x v="0"/>
    <x v="0"/>
    <x v="0"/>
    <x v="3"/>
    <x v="12"/>
    <s v="SE2A"/>
    <x v="8"/>
    <s v="GNR_WT_WIND_ONS"/>
    <x v="0"/>
    <x v="5"/>
    <n v="613.987783695193"/>
    <n v="224105.54104874501"/>
    <n v="806779.94777548395"/>
  </r>
  <r>
    <x v="0"/>
    <x v="0"/>
    <x v="0"/>
    <x v="3"/>
    <x v="12"/>
    <s v="SE2A"/>
    <x v="8"/>
    <s v="GNR_WT_WIND_ONS"/>
    <x v="0"/>
    <x v="6"/>
    <n v="639.25564635205797"/>
    <n v="233328.310918501"/>
    <n v="839981.91930660396"/>
  </r>
  <r>
    <x v="0"/>
    <x v="0"/>
    <x v="0"/>
    <x v="3"/>
    <x v="12"/>
    <s v="SE2A"/>
    <x v="8"/>
    <s v="GNR_WT_WIND_ONS"/>
    <x v="0"/>
    <x v="7"/>
    <n v="630.18047568183601"/>
    <n v="230015.87362386999"/>
    <n v="828057.14504593203"/>
  </r>
  <r>
    <x v="0"/>
    <x v="0"/>
    <x v="0"/>
    <x v="3"/>
    <x v="12"/>
    <s v="SE2A"/>
    <x v="8"/>
    <s v="GNR_WT_WIND_ONS"/>
    <x v="0"/>
    <x v="8"/>
    <n v="645.95355174384804"/>
    <n v="235773.04638650501"/>
    <n v="848782.96699141699"/>
  </r>
  <r>
    <x v="0"/>
    <x v="0"/>
    <x v="0"/>
    <x v="3"/>
    <x v="12"/>
    <s v="SE2A"/>
    <x v="8"/>
    <s v="GNR_WT_WIND_ONS"/>
    <x v="0"/>
    <x v="9"/>
    <n v="651.23386817804601"/>
    <n v="237700.36188498701"/>
    <n v="855721.30278595199"/>
  </r>
  <r>
    <x v="0"/>
    <x v="0"/>
    <x v="0"/>
    <x v="3"/>
    <x v="12"/>
    <s v="SE2A"/>
    <x v="8"/>
    <s v="GNR_WT_WIND_ONS"/>
    <x v="0"/>
    <x v="10"/>
    <n v="686.24928259606304"/>
    <n v="250480.98814756301"/>
    <n v="901731.55733122595"/>
  </r>
  <r>
    <x v="0"/>
    <x v="0"/>
    <x v="0"/>
    <x v="3"/>
    <x v="12"/>
    <s v="SE2A"/>
    <x v="8"/>
    <s v="GNR_WT_WIND_ONS"/>
    <x v="0"/>
    <x v="11"/>
    <n v="713.03020992223196"/>
    <n v="260256.02662161499"/>
    <n v="936921.69583781296"/>
  </r>
  <r>
    <x v="0"/>
    <x v="0"/>
    <x v="0"/>
    <x v="3"/>
    <x v="12"/>
    <s v="SE2A"/>
    <x v="8"/>
    <s v="GNR_WT_WIND_ONS"/>
    <x v="0"/>
    <x v="12"/>
    <n v="776.41928242311099"/>
    <n v="283393.03808443598"/>
    <n v="1020214.93710397"/>
  </r>
  <r>
    <x v="0"/>
    <x v="0"/>
    <x v="0"/>
    <x v="3"/>
    <x v="12"/>
    <s v="SE2A"/>
    <x v="8"/>
    <s v="GNR_WT_WIND_ONS"/>
    <x v="0"/>
    <x v="13"/>
    <n v="831.67845608674099"/>
    <n v="303562.63647165999"/>
    <n v="1092825.4912979801"/>
  </r>
  <r>
    <x v="0"/>
    <x v="0"/>
    <x v="0"/>
    <x v="3"/>
    <x v="12"/>
    <s v="SE2A"/>
    <x v="8"/>
    <s v="GNR_WT_WIND_ONS"/>
    <x v="0"/>
    <x v="14"/>
    <n v="868.66640989096004"/>
    <n v="317063.23961019999"/>
    <n v="1141427.66259672"/>
  </r>
  <r>
    <x v="0"/>
    <x v="0"/>
    <x v="0"/>
    <x v="3"/>
    <x v="12"/>
    <s v="SE2A"/>
    <x v="8"/>
    <s v="GNR_WT_WIND_ONS"/>
    <x v="0"/>
    <x v="15"/>
    <n v="826.13629137029898"/>
    <n v="301539.746350159"/>
    <n v="1085543.0868605699"/>
  </r>
  <r>
    <x v="0"/>
    <x v="0"/>
    <x v="0"/>
    <x v="3"/>
    <x v="12"/>
    <s v="SE2A"/>
    <x v="8"/>
    <s v="GNR_WT_WIND_ONS"/>
    <x v="0"/>
    <x v="16"/>
    <n v="849.58540474175504"/>
    <n v="310098.67273074097"/>
    <n v="1116355.22183067"/>
  </r>
  <r>
    <x v="0"/>
    <x v="0"/>
    <x v="0"/>
    <x v="3"/>
    <x v="12"/>
    <s v="SE2A"/>
    <x v="8"/>
    <s v="GNR_WT_WIND_ONS"/>
    <x v="0"/>
    <x v="17"/>
    <n v="866.85702082519401"/>
    <n v="316402.812601196"/>
    <n v="1139050.1253643101"/>
  </r>
  <r>
    <x v="0"/>
    <x v="0"/>
    <x v="0"/>
    <x v="3"/>
    <x v="12"/>
    <s v="SE2A"/>
    <x v="8"/>
    <s v="GNR_WT_WIND_ONS"/>
    <x v="0"/>
    <x v="18"/>
    <n v="824.057957224897"/>
    <n v="300781.15438708698"/>
    <n v="1082812.1557935099"/>
  </r>
  <r>
    <x v="0"/>
    <x v="0"/>
    <x v="0"/>
    <x v="3"/>
    <x v="12"/>
    <s v="SE2A"/>
    <x v="8"/>
    <s v="GNR_WT_WIND_ONS"/>
    <x v="0"/>
    <x v="19"/>
    <n v="724.85541165239601"/>
    <n v="264572.22525312501"/>
    <n v="952460.01091124804"/>
  </r>
  <r>
    <x v="0"/>
    <x v="0"/>
    <x v="0"/>
    <x v="3"/>
    <x v="12"/>
    <s v="SE2A"/>
    <x v="8"/>
    <s v="GNR_WT_WIND_ONS"/>
    <x v="0"/>
    <x v="20"/>
    <n v="671.12829774881197"/>
    <n v="244961.828678316"/>
    <n v="881862.58324193896"/>
  </r>
  <r>
    <x v="0"/>
    <x v="0"/>
    <x v="0"/>
    <x v="3"/>
    <x v="12"/>
    <s v="SE2A"/>
    <x v="8"/>
    <s v="GNR_WT_WIND_ONS"/>
    <x v="0"/>
    <x v="21"/>
    <n v="619.28473125583105"/>
    <n v="226038.92690837799"/>
    <n v="813740.13687016198"/>
  </r>
  <r>
    <x v="0"/>
    <x v="0"/>
    <x v="0"/>
    <x v="3"/>
    <x v="12"/>
    <s v="SE2A"/>
    <x v="8"/>
    <s v="GNR_WT_WIND_ONS"/>
    <x v="0"/>
    <x v="22"/>
    <n v="576.81655154254702"/>
    <n v="210538.04131303"/>
    <n v="757936.94872690702"/>
  </r>
  <r>
    <x v="0"/>
    <x v="0"/>
    <x v="0"/>
    <x v="3"/>
    <x v="12"/>
    <s v="SE2A"/>
    <x v="8"/>
    <s v="GNR_WT_WIND_ONS"/>
    <x v="0"/>
    <x v="23"/>
    <n v="467.91651679312901"/>
    <n v="170789.52862949201"/>
    <n v="614842.30306617205"/>
  </r>
  <r>
    <x v="0"/>
    <x v="0"/>
    <x v="0"/>
    <x v="3"/>
    <x v="12"/>
    <s v="SE2_EL"/>
    <x v="1"/>
    <s v="GBPR_MUNIWASTE_24"/>
    <x v="0"/>
    <x v="0"/>
    <n v="216.66978172418601"/>
    <n v="79084.4703293278"/>
    <n v="284704.09318557999"/>
  </r>
  <r>
    <x v="0"/>
    <x v="0"/>
    <x v="0"/>
    <x v="3"/>
    <x v="12"/>
    <s v="SE2_EL"/>
    <x v="1"/>
    <s v="GBPR_MUNIWASTE_24"/>
    <x v="0"/>
    <x v="1"/>
    <n v="216.66978172418601"/>
    <n v="79084.4703293278"/>
    <n v="284704.09318557999"/>
  </r>
  <r>
    <x v="0"/>
    <x v="0"/>
    <x v="0"/>
    <x v="3"/>
    <x v="12"/>
    <s v="SE2_EL"/>
    <x v="1"/>
    <s v="GBPR_MUNIWASTE_24"/>
    <x v="0"/>
    <x v="2"/>
    <n v="216.66978172418601"/>
    <n v="79084.4703293278"/>
    <n v="284704.09318557999"/>
  </r>
  <r>
    <x v="0"/>
    <x v="0"/>
    <x v="0"/>
    <x v="3"/>
    <x v="12"/>
    <s v="SE2_EL"/>
    <x v="1"/>
    <s v="GBPR_MUNIWASTE_24"/>
    <x v="0"/>
    <x v="3"/>
    <n v="216.66978172418601"/>
    <n v="79084.4703293278"/>
    <n v="284704.09318557999"/>
  </r>
  <r>
    <x v="0"/>
    <x v="0"/>
    <x v="0"/>
    <x v="3"/>
    <x v="12"/>
    <s v="SE2_EL"/>
    <x v="1"/>
    <s v="GBPR_MUNIWASTE_24"/>
    <x v="0"/>
    <x v="4"/>
    <n v="216.66978172418601"/>
    <n v="79084.4703293278"/>
    <n v="284704.09318557999"/>
  </r>
  <r>
    <x v="0"/>
    <x v="0"/>
    <x v="0"/>
    <x v="3"/>
    <x v="12"/>
    <s v="SE2_EL"/>
    <x v="1"/>
    <s v="GBPR_MUNIWASTE_24"/>
    <x v="0"/>
    <x v="5"/>
    <n v="216.66978172418601"/>
    <n v="79084.4703293278"/>
    <n v="284704.09318557999"/>
  </r>
  <r>
    <x v="0"/>
    <x v="0"/>
    <x v="0"/>
    <x v="3"/>
    <x v="12"/>
    <s v="SE2_EL"/>
    <x v="1"/>
    <s v="GBPR_MUNIWASTE_24"/>
    <x v="0"/>
    <x v="6"/>
    <n v="216.66978172418601"/>
    <n v="79084.4703293278"/>
    <n v="284704.09318557999"/>
  </r>
  <r>
    <x v="0"/>
    <x v="0"/>
    <x v="0"/>
    <x v="3"/>
    <x v="12"/>
    <s v="SE2_EL"/>
    <x v="1"/>
    <s v="GBPR_MUNIWASTE_24"/>
    <x v="0"/>
    <x v="7"/>
    <n v="216.66978172418601"/>
    <n v="79084.4703293278"/>
    <n v="284704.09318557999"/>
  </r>
  <r>
    <x v="0"/>
    <x v="0"/>
    <x v="0"/>
    <x v="3"/>
    <x v="12"/>
    <s v="SE2_EL"/>
    <x v="1"/>
    <s v="GBPR_MUNIWASTE_24"/>
    <x v="0"/>
    <x v="8"/>
    <n v="216.66978172418601"/>
    <n v="79084.4703293278"/>
    <n v="284704.09318557999"/>
  </r>
  <r>
    <x v="0"/>
    <x v="0"/>
    <x v="0"/>
    <x v="3"/>
    <x v="12"/>
    <s v="SE2_EL"/>
    <x v="1"/>
    <s v="GBPR_MUNIWASTE_24"/>
    <x v="0"/>
    <x v="9"/>
    <n v="216.66978172418601"/>
    <n v="79084.4703293278"/>
    <n v="284704.09318557999"/>
  </r>
  <r>
    <x v="0"/>
    <x v="0"/>
    <x v="0"/>
    <x v="3"/>
    <x v="12"/>
    <s v="SE2_EL"/>
    <x v="1"/>
    <s v="GBPR_MUNIWASTE_24"/>
    <x v="0"/>
    <x v="10"/>
    <n v="216.66978172418601"/>
    <n v="79084.4703293278"/>
    <n v="284704.09318557999"/>
  </r>
  <r>
    <x v="0"/>
    <x v="0"/>
    <x v="0"/>
    <x v="3"/>
    <x v="12"/>
    <s v="SE2_EL"/>
    <x v="1"/>
    <s v="GBPR_MUNIWASTE_24"/>
    <x v="0"/>
    <x v="11"/>
    <n v="216.66978172418601"/>
    <n v="79084.4703293278"/>
    <n v="284704.09318557999"/>
  </r>
  <r>
    <x v="0"/>
    <x v="0"/>
    <x v="0"/>
    <x v="3"/>
    <x v="12"/>
    <s v="SE2_EL"/>
    <x v="1"/>
    <s v="GBPR_MUNIWASTE_24"/>
    <x v="0"/>
    <x v="12"/>
    <n v="216.66978172418601"/>
    <n v="79084.4703293278"/>
    <n v="284704.09318557999"/>
  </r>
  <r>
    <x v="0"/>
    <x v="0"/>
    <x v="0"/>
    <x v="3"/>
    <x v="12"/>
    <s v="SE2_EL"/>
    <x v="1"/>
    <s v="GBPR_MUNIWASTE_24"/>
    <x v="0"/>
    <x v="13"/>
    <n v="216.66978172418601"/>
    <n v="79084.4703293278"/>
    <n v="284704.09318557999"/>
  </r>
  <r>
    <x v="0"/>
    <x v="0"/>
    <x v="0"/>
    <x v="3"/>
    <x v="12"/>
    <s v="SE2_EL"/>
    <x v="1"/>
    <s v="GBPR_MUNIWASTE_24"/>
    <x v="0"/>
    <x v="14"/>
    <n v="216.66978172418601"/>
    <n v="79084.4703293278"/>
    <n v="284704.09318557999"/>
  </r>
  <r>
    <x v="0"/>
    <x v="0"/>
    <x v="0"/>
    <x v="3"/>
    <x v="12"/>
    <s v="SE2_EL"/>
    <x v="1"/>
    <s v="GBPR_MUNIWASTE_24"/>
    <x v="0"/>
    <x v="15"/>
    <n v="216.66978172418601"/>
    <n v="79084.4703293278"/>
    <n v="284704.09318557999"/>
  </r>
  <r>
    <x v="0"/>
    <x v="0"/>
    <x v="0"/>
    <x v="3"/>
    <x v="12"/>
    <s v="SE2_EL"/>
    <x v="1"/>
    <s v="GBPR_MUNIWASTE_24"/>
    <x v="0"/>
    <x v="16"/>
    <n v="216.66978172418601"/>
    <n v="79084.4703293278"/>
    <n v="284704.09318557999"/>
  </r>
  <r>
    <x v="0"/>
    <x v="0"/>
    <x v="0"/>
    <x v="3"/>
    <x v="12"/>
    <s v="SE2_EL"/>
    <x v="1"/>
    <s v="GBPR_MUNIWASTE_24"/>
    <x v="0"/>
    <x v="17"/>
    <n v="216.66978172418601"/>
    <n v="79084.4703293278"/>
    <n v="284704.09318557999"/>
  </r>
  <r>
    <x v="0"/>
    <x v="0"/>
    <x v="0"/>
    <x v="3"/>
    <x v="12"/>
    <s v="SE2_EL"/>
    <x v="1"/>
    <s v="GBPR_MUNIWASTE_24"/>
    <x v="0"/>
    <x v="18"/>
    <n v="216.66978172418601"/>
    <n v="79084.4703293278"/>
    <n v="284704.09318557999"/>
  </r>
  <r>
    <x v="0"/>
    <x v="0"/>
    <x v="0"/>
    <x v="3"/>
    <x v="12"/>
    <s v="SE2_EL"/>
    <x v="1"/>
    <s v="GBPR_MUNIWASTE_24"/>
    <x v="0"/>
    <x v="19"/>
    <n v="216.66978172418601"/>
    <n v="79084.4703293278"/>
    <n v="284704.09318557999"/>
  </r>
  <r>
    <x v="0"/>
    <x v="0"/>
    <x v="0"/>
    <x v="3"/>
    <x v="12"/>
    <s v="SE2_EL"/>
    <x v="1"/>
    <s v="GBPR_MUNIWASTE_24"/>
    <x v="0"/>
    <x v="20"/>
    <n v="216.66978172418601"/>
    <n v="79084.4703293278"/>
    <n v="284704.09318557999"/>
  </r>
  <r>
    <x v="0"/>
    <x v="0"/>
    <x v="0"/>
    <x v="3"/>
    <x v="12"/>
    <s v="SE2_EL"/>
    <x v="1"/>
    <s v="GBPR_MUNIWASTE_24"/>
    <x v="0"/>
    <x v="21"/>
    <n v="216.66978172418601"/>
    <n v="79084.4703293278"/>
    <n v="284704.09318557999"/>
  </r>
  <r>
    <x v="0"/>
    <x v="0"/>
    <x v="0"/>
    <x v="3"/>
    <x v="12"/>
    <s v="SE2_EL"/>
    <x v="1"/>
    <s v="GBPR_MUNIWASTE_24"/>
    <x v="0"/>
    <x v="22"/>
    <n v="216.66978172418601"/>
    <n v="79084.4703293278"/>
    <n v="284704.09318557999"/>
  </r>
  <r>
    <x v="0"/>
    <x v="0"/>
    <x v="0"/>
    <x v="3"/>
    <x v="12"/>
    <s v="SE2_EL"/>
    <x v="1"/>
    <s v="GBPR_MUNIWASTE_24"/>
    <x v="0"/>
    <x v="23"/>
    <n v="216.66978172418601"/>
    <n v="79084.4703293278"/>
    <n v="284704.09318557999"/>
  </r>
  <r>
    <x v="0"/>
    <x v="0"/>
    <x v="0"/>
    <x v="3"/>
    <x v="12"/>
    <s v="SE2_EL"/>
    <x v="2"/>
    <s v="GHOB_WASTEHEAT"/>
    <x v="0"/>
    <x v="0"/>
    <n v="17.284798534798501"/>
    <n v="6308.9514652014404"/>
    <n v="22712.225274725199"/>
  </r>
  <r>
    <x v="0"/>
    <x v="0"/>
    <x v="0"/>
    <x v="3"/>
    <x v="12"/>
    <s v="SE2_EL"/>
    <x v="2"/>
    <s v="GHOB_WASTEHEAT"/>
    <x v="0"/>
    <x v="1"/>
    <n v="17.284798534798501"/>
    <n v="6308.9514652014404"/>
    <n v="22712.225274725199"/>
  </r>
  <r>
    <x v="0"/>
    <x v="0"/>
    <x v="0"/>
    <x v="3"/>
    <x v="12"/>
    <s v="SE2_EL"/>
    <x v="2"/>
    <s v="GHOB_WASTEHEAT"/>
    <x v="0"/>
    <x v="2"/>
    <n v="17.284798534798501"/>
    <n v="6308.9514652014404"/>
    <n v="22712.225274725199"/>
  </r>
  <r>
    <x v="0"/>
    <x v="0"/>
    <x v="0"/>
    <x v="3"/>
    <x v="12"/>
    <s v="SE2_EL"/>
    <x v="2"/>
    <s v="GHOB_WASTEHEAT"/>
    <x v="0"/>
    <x v="3"/>
    <n v="17.284798534798501"/>
    <n v="6308.9514652014404"/>
    <n v="22712.225274725199"/>
  </r>
  <r>
    <x v="0"/>
    <x v="0"/>
    <x v="0"/>
    <x v="3"/>
    <x v="12"/>
    <s v="SE2_EL"/>
    <x v="2"/>
    <s v="GHOB_WASTEHEAT"/>
    <x v="0"/>
    <x v="4"/>
    <n v="17.284798534798501"/>
    <n v="6308.9514652014404"/>
    <n v="22712.225274725199"/>
  </r>
  <r>
    <x v="0"/>
    <x v="0"/>
    <x v="0"/>
    <x v="3"/>
    <x v="12"/>
    <s v="SE2_EL"/>
    <x v="2"/>
    <s v="GHOB_WASTEHEAT"/>
    <x v="0"/>
    <x v="5"/>
    <n v="17.284798534798501"/>
    <n v="6308.9514652014404"/>
    <n v="22712.225274725199"/>
  </r>
  <r>
    <x v="0"/>
    <x v="0"/>
    <x v="0"/>
    <x v="3"/>
    <x v="12"/>
    <s v="SE2_EL"/>
    <x v="2"/>
    <s v="GHOB_WASTEHEAT"/>
    <x v="0"/>
    <x v="6"/>
    <n v="17.284798534798501"/>
    <n v="6308.9514652014404"/>
    <n v="22712.225274725199"/>
  </r>
  <r>
    <x v="0"/>
    <x v="0"/>
    <x v="0"/>
    <x v="3"/>
    <x v="12"/>
    <s v="SE2_EL"/>
    <x v="2"/>
    <s v="GHOB_WASTEHEAT"/>
    <x v="0"/>
    <x v="7"/>
    <n v="17.284798534798501"/>
    <n v="6308.9514652014404"/>
    <n v="22712.225274725199"/>
  </r>
  <r>
    <x v="0"/>
    <x v="0"/>
    <x v="0"/>
    <x v="3"/>
    <x v="12"/>
    <s v="SE2_EL"/>
    <x v="2"/>
    <s v="GHOB_WASTEHEAT"/>
    <x v="0"/>
    <x v="8"/>
    <n v="17.284798534798501"/>
    <n v="6308.9514652014404"/>
    <n v="22712.225274725199"/>
  </r>
  <r>
    <x v="0"/>
    <x v="0"/>
    <x v="0"/>
    <x v="3"/>
    <x v="12"/>
    <s v="SE2_EL"/>
    <x v="2"/>
    <s v="GHOB_WASTEHEAT"/>
    <x v="0"/>
    <x v="9"/>
    <n v="17.284798534798501"/>
    <n v="6308.9514652014404"/>
    <n v="22712.225274725199"/>
  </r>
  <r>
    <x v="0"/>
    <x v="0"/>
    <x v="0"/>
    <x v="3"/>
    <x v="12"/>
    <s v="SE2_EL"/>
    <x v="2"/>
    <s v="GHOB_WASTEHEAT"/>
    <x v="0"/>
    <x v="10"/>
    <n v="17.284798534798501"/>
    <n v="6308.9514652014404"/>
    <n v="22712.225274725199"/>
  </r>
  <r>
    <x v="0"/>
    <x v="0"/>
    <x v="0"/>
    <x v="3"/>
    <x v="12"/>
    <s v="SE2_EL"/>
    <x v="2"/>
    <s v="GHOB_WASTEHEAT"/>
    <x v="0"/>
    <x v="11"/>
    <n v="17.284798534798501"/>
    <n v="6308.9514652014404"/>
    <n v="22712.225274725199"/>
  </r>
  <r>
    <x v="0"/>
    <x v="0"/>
    <x v="0"/>
    <x v="3"/>
    <x v="12"/>
    <s v="SE2_EL"/>
    <x v="2"/>
    <s v="GHOB_WASTEHEAT"/>
    <x v="0"/>
    <x v="12"/>
    <n v="17.284798534798501"/>
    <n v="6308.9514652014404"/>
    <n v="22712.225274725199"/>
  </r>
  <r>
    <x v="0"/>
    <x v="0"/>
    <x v="0"/>
    <x v="3"/>
    <x v="12"/>
    <s v="SE2_EL"/>
    <x v="2"/>
    <s v="GHOB_WASTEHEAT"/>
    <x v="0"/>
    <x v="13"/>
    <n v="17.284798534798501"/>
    <n v="6308.9514652014404"/>
    <n v="22712.225274725199"/>
  </r>
  <r>
    <x v="0"/>
    <x v="0"/>
    <x v="0"/>
    <x v="3"/>
    <x v="12"/>
    <s v="SE2_EL"/>
    <x v="2"/>
    <s v="GHOB_WASTEHEAT"/>
    <x v="0"/>
    <x v="14"/>
    <n v="17.284798534798501"/>
    <n v="6308.9514652014404"/>
    <n v="22712.225274725199"/>
  </r>
  <r>
    <x v="0"/>
    <x v="0"/>
    <x v="0"/>
    <x v="3"/>
    <x v="12"/>
    <s v="SE2_EL"/>
    <x v="2"/>
    <s v="GHOB_WASTEHEAT"/>
    <x v="0"/>
    <x v="15"/>
    <n v="17.284798534798501"/>
    <n v="6308.9514652014404"/>
    <n v="22712.225274725199"/>
  </r>
  <r>
    <x v="0"/>
    <x v="0"/>
    <x v="0"/>
    <x v="3"/>
    <x v="12"/>
    <s v="SE2_EL"/>
    <x v="2"/>
    <s v="GHOB_WASTEHEAT"/>
    <x v="0"/>
    <x v="16"/>
    <n v="17.284798534798501"/>
    <n v="6308.9514652014404"/>
    <n v="22712.225274725199"/>
  </r>
  <r>
    <x v="0"/>
    <x v="0"/>
    <x v="0"/>
    <x v="3"/>
    <x v="12"/>
    <s v="SE2_EL"/>
    <x v="2"/>
    <s v="GHOB_WASTEHEAT"/>
    <x v="0"/>
    <x v="17"/>
    <n v="17.284798534798501"/>
    <n v="6308.9514652014404"/>
    <n v="22712.225274725199"/>
  </r>
  <r>
    <x v="0"/>
    <x v="0"/>
    <x v="0"/>
    <x v="3"/>
    <x v="12"/>
    <s v="SE2_EL"/>
    <x v="2"/>
    <s v="GHOB_WASTEHEAT"/>
    <x v="0"/>
    <x v="18"/>
    <n v="17.284798534798501"/>
    <n v="6308.9514652014404"/>
    <n v="22712.225274725199"/>
  </r>
  <r>
    <x v="0"/>
    <x v="0"/>
    <x v="0"/>
    <x v="3"/>
    <x v="12"/>
    <s v="SE2_EL"/>
    <x v="2"/>
    <s v="GHOB_WASTEHEAT"/>
    <x v="0"/>
    <x v="19"/>
    <n v="17.284798534798501"/>
    <n v="6308.9514652014404"/>
    <n v="22712.225274725199"/>
  </r>
  <r>
    <x v="0"/>
    <x v="0"/>
    <x v="0"/>
    <x v="3"/>
    <x v="12"/>
    <s v="SE2_EL"/>
    <x v="2"/>
    <s v="GHOB_WASTEHEAT"/>
    <x v="0"/>
    <x v="20"/>
    <n v="17.284798534798501"/>
    <n v="6308.9514652014404"/>
    <n v="22712.225274725199"/>
  </r>
  <r>
    <x v="0"/>
    <x v="0"/>
    <x v="0"/>
    <x v="3"/>
    <x v="12"/>
    <s v="SE2_EL"/>
    <x v="2"/>
    <s v="GHOB_WASTEHEAT"/>
    <x v="0"/>
    <x v="21"/>
    <n v="17.284798534798501"/>
    <n v="6308.9514652014404"/>
    <n v="22712.225274725199"/>
  </r>
  <r>
    <x v="0"/>
    <x v="0"/>
    <x v="0"/>
    <x v="3"/>
    <x v="12"/>
    <s v="SE2_EL"/>
    <x v="2"/>
    <s v="GHOB_WASTEHEAT"/>
    <x v="0"/>
    <x v="22"/>
    <n v="17.284798534798501"/>
    <n v="6308.9514652014404"/>
    <n v="22712.225274725199"/>
  </r>
  <r>
    <x v="0"/>
    <x v="0"/>
    <x v="0"/>
    <x v="3"/>
    <x v="12"/>
    <s v="SE2_EL"/>
    <x v="2"/>
    <s v="GHOB_WASTEHEAT"/>
    <x v="0"/>
    <x v="23"/>
    <n v="17.284798534798501"/>
    <n v="6308.9514652014404"/>
    <n v="22712.225274725199"/>
  </r>
  <r>
    <x v="0"/>
    <x v="0"/>
    <x v="0"/>
    <x v="3"/>
    <x v="12"/>
    <s v="SE2_EL"/>
    <x v="9"/>
    <s v="GBPR_WOODWASTE_25"/>
    <x v="0"/>
    <x v="0"/>
    <n v="97.709981750939093"/>
    <n v="35664.1433390928"/>
    <n v="128390.916020734"/>
  </r>
  <r>
    <x v="0"/>
    <x v="0"/>
    <x v="0"/>
    <x v="3"/>
    <x v="12"/>
    <s v="SE2_EL"/>
    <x v="9"/>
    <s v="GBPR_WOODWASTE_25"/>
    <x v="0"/>
    <x v="1"/>
    <n v="101.415633897444"/>
    <n v="37016.706372567103"/>
    <n v="133260.14294124101"/>
  </r>
  <r>
    <x v="0"/>
    <x v="0"/>
    <x v="0"/>
    <x v="3"/>
    <x v="12"/>
    <s v="SE2_EL"/>
    <x v="9"/>
    <s v="GBPR_WOODWASTE_25"/>
    <x v="0"/>
    <x v="2"/>
    <n v="108.033201718852"/>
    <n v="39432.118627381198"/>
    <n v="141955.62705857199"/>
  </r>
  <r>
    <x v="0"/>
    <x v="0"/>
    <x v="0"/>
    <x v="3"/>
    <x v="12"/>
    <s v="SE2_EL"/>
    <x v="9"/>
    <s v="GBPR_WOODWASTE_25"/>
    <x v="0"/>
    <x v="3"/>
    <n v="124.507412448633"/>
    <n v="45445.205543751101"/>
    <n v="163602.739957504"/>
  </r>
  <r>
    <x v="0"/>
    <x v="0"/>
    <x v="0"/>
    <x v="3"/>
    <x v="12"/>
    <s v="SE2_EL"/>
    <x v="9"/>
    <s v="GBPR_WOODWASTE_25"/>
    <x v="0"/>
    <x v="4"/>
    <n v="148.92816890810201"/>
    <n v="54358.781651457401"/>
    <n v="195691.61394524699"/>
  </r>
  <r>
    <x v="0"/>
    <x v="0"/>
    <x v="0"/>
    <x v="3"/>
    <x v="12"/>
    <s v="SE2_EL"/>
    <x v="9"/>
    <s v="GBPR_WOODWASTE_25"/>
    <x v="0"/>
    <x v="5"/>
    <n v="182.202573599885"/>
    <n v="66503.939363957994"/>
    <n v="239414.18171024899"/>
  </r>
  <r>
    <x v="0"/>
    <x v="0"/>
    <x v="0"/>
    <x v="3"/>
    <x v="12"/>
    <s v="SE2_EL"/>
    <x v="9"/>
    <s v="GBPR_WOODWASTE_25"/>
    <x v="0"/>
    <x v="6"/>
    <n v="215.028870336963"/>
    <n v="78485.537672991602"/>
    <n v="282547.93562276999"/>
  </r>
  <r>
    <x v="0"/>
    <x v="0"/>
    <x v="0"/>
    <x v="3"/>
    <x v="12"/>
    <s v="SE2_EL"/>
    <x v="9"/>
    <s v="GBPR_WOODWASTE_25"/>
    <x v="0"/>
    <x v="7"/>
    <n v="215.028870336963"/>
    <n v="78485.537672991602"/>
    <n v="282547.93562276999"/>
  </r>
  <r>
    <x v="0"/>
    <x v="0"/>
    <x v="0"/>
    <x v="3"/>
    <x v="12"/>
    <s v="SE2_EL"/>
    <x v="9"/>
    <s v="GBPR_WOODWASTE_25"/>
    <x v="0"/>
    <x v="8"/>
    <n v="215.028870336963"/>
    <n v="78485.537672991602"/>
    <n v="282547.93562276999"/>
  </r>
  <r>
    <x v="0"/>
    <x v="0"/>
    <x v="0"/>
    <x v="3"/>
    <x v="12"/>
    <s v="SE2_EL"/>
    <x v="9"/>
    <s v="GBPR_WOODWASTE_25"/>
    <x v="0"/>
    <x v="9"/>
    <n v="215.028870336963"/>
    <n v="78485.537672991602"/>
    <n v="282547.93562276999"/>
  </r>
  <r>
    <x v="0"/>
    <x v="0"/>
    <x v="0"/>
    <x v="3"/>
    <x v="12"/>
    <s v="SE2_EL"/>
    <x v="9"/>
    <s v="GBPR_WOODWASTE_25"/>
    <x v="0"/>
    <x v="10"/>
    <n v="215.028870336963"/>
    <n v="78485.537672991602"/>
    <n v="282547.93562276999"/>
  </r>
  <r>
    <x v="0"/>
    <x v="0"/>
    <x v="0"/>
    <x v="3"/>
    <x v="12"/>
    <s v="SE2_EL"/>
    <x v="9"/>
    <s v="GBPR_WOODWASTE_25"/>
    <x v="0"/>
    <x v="11"/>
    <n v="215.028870336963"/>
    <n v="78485.537672991602"/>
    <n v="282547.93562276999"/>
  </r>
  <r>
    <x v="0"/>
    <x v="0"/>
    <x v="0"/>
    <x v="3"/>
    <x v="12"/>
    <s v="SE2_EL"/>
    <x v="9"/>
    <s v="GBPR_WOODWASTE_25"/>
    <x v="0"/>
    <x v="12"/>
    <n v="198.08903593016399"/>
    <n v="72302.498114509799"/>
    <n v="260288.99321223499"/>
  </r>
  <r>
    <x v="0"/>
    <x v="0"/>
    <x v="0"/>
    <x v="3"/>
    <x v="12"/>
    <s v="SE2_EL"/>
    <x v="9"/>
    <s v="GBPR_WOODWASTE_25"/>
    <x v="0"/>
    <x v="13"/>
    <n v="187.42910125709901"/>
    <n v="68411.621958841002"/>
    <n v="246281.83905182799"/>
  </r>
  <r>
    <x v="0"/>
    <x v="0"/>
    <x v="0"/>
    <x v="3"/>
    <x v="12"/>
    <s v="SE2_EL"/>
    <x v="9"/>
    <s v="GBPR_WOODWASTE_25"/>
    <x v="0"/>
    <x v="14"/>
    <n v="173.301808371531"/>
    <n v="63255.160055608598"/>
    <n v="227718.57620019099"/>
  </r>
  <r>
    <x v="0"/>
    <x v="0"/>
    <x v="0"/>
    <x v="3"/>
    <x v="12"/>
    <s v="SE2_EL"/>
    <x v="9"/>
    <s v="GBPR_WOODWASTE_25"/>
    <x v="0"/>
    <x v="15"/>
    <n v="156.68094869998501"/>
    <n v="57188.546275494598"/>
    <n v="205878.76659178099"/>
  </r>
  <r>
    <x v="0"/>
    <x v="0"/>
    <x v="0"/>
    <x v="3"/>
    <x v="12"/>
    <s v="SE2_EL"/>
    <x v="9"/>
    <s v="GBPR_WOODWASTE_25"/>
    <x v="0"/>
    <x v="16"/>
    <n v="144.87641241732999"/>
    <n v="52879.8905323254"/>
    <n v="190367.60591637099"/>
  </r>
  <r>
    <x v="0"/>
    <x v="0"/>
    <x v="0"/>
    <x v="3"/>
    <x v="12"/>
    <s v="SE2_EL"/>
    <x v="9"/>
    <s v="GBPR_WOODWASTE_25"/>
    <x v="0"/>
    <x v="17"/>
    <n v="126.45967351580499"/>
    <n v="46157.7808332688"/>
    <n v="166168.01099976801"/>
  </r>
  <r>
    <x v="0"/>
    <x v="0"/>
    <x v="0"/>
    <x v="3"/>
    <x v="12"/>
    <s v="SE2_EL"/>
    <x v="9"/>
    <s v="GBPR_WOODWASTE_25"/>
    <x v="0"/>
    <x v="18"/>
    <n v="123.833699130048"/>
    <n v="45199.300182467698"/>
    <n v="162717.480656884"/>
  </r>
  <r>
    <x v="0"/>
    <x v="0"/>
    <x v="0"/>
    <x v="3"/>
    <x v="12"/>
    <s v="SE2_EL"/>
    <x v="9"/>
    <s v="GBPR_WOODWASTE_25"/>
    <x v="0"/>
    <x v="19"/>
    <n v="127.895119518613"/>
    <n v="46681.718624293702"/>
    <n v="168054.187047457"/>
  </r>
  <r>
    <x v="0"/>
    <x v="0"/>
    <x v="0"/>
    <x v="3"/>
    <x v="12"/>
    <s v="SE2_EL"/>
    <x v="9"/>
    <s v="GBPR_WOODWASTE_25"/>
    <x v="0"/>
    <x v="20"/>
    <n v="124.068014202374"/>
    <n v="45284.825183866698"/>
    <n v="163025.37066191999"/>
  </r>
  <r>
    <x v="0"/>
    <x v="0"/>
    <x v="0"/>
    <x v="3"/>
    <x v="12"/>
    <s v="SE2_EL"/>
    <x v="9"/>
    <s v="GBPR_WOODWASTE_25"/>
    <x v="0"/>
    <x v="21"/>
    <n v="117.806369671761"/>
    <n v="42999.324930192801"/>
    <n v="154797.56974869399"/>
  </r>
  <r>
    <x v="0"/>
    <x v="0"/>
    <x v="0"/>
    <x v="3"/>
    <x v="12"/>
    <s v="SE2_EL"/>
    <x v="9"/>
    <s v="GBPR_WOODWASTE_25"/>
    <x v="0"/>
    <x v="22"/>
    <n v="104.969399335169"/>
    <n v="38313.8307573368"/>
    <n v="137929.790726412"/>
  </r>
  <r>
    <x v="0"/>
    <x v="0"/>
    <x v="0"/>
    <x v="3"/>
    <x v="12"/>
    <s v="SE2_EL"/>
    <x v="9"/>
    <s v="GBPR_WOODWASTE_25"/>
    <x v="0"/>
    <x v="23"/>
    <n v="93.774853334580897"/>
    <n v="34227.821467121998"/>
    <n v="123220.157281639"/>
  </r>
  <r>
    <x v="0"/>
    <x v="0"/>
    <x v="0"/>
    <x v="3"/>
    <x v="12"/>
    <s v="SE2_EL"/>
    <x v="9"/>
    <s v="GEXT_WOODWASTE_HORNEBORG"/>
    <x v="0"/>
    <x v="0"/>
    <n v="84.010507880910694"/>
    <n v="30663.835376532399"/>
    <n v="110389.807355517"/>
  </r>
  <r>
    <x v="0"/>
    <x v="0"/>
    <x v="0"/>
    <x v="3"/>
    <x v="12"/>
    <s v="SE2_EL"/>
    <x v="9"/>
    <s v="GEXT_WOODWASTE_HORNEBORG"/>
    <x v="0"/>
    <x v="1"/>
    <n v="84.010507880910694"/>
    <n v="30663.835376532399"/>
    <n v="110389.807355517"/>
  </r>
  <r>
    <x v="0"/>
    <x v="0"/>
    <x v="0"/>
    <x v="3"/>
    <x v="12"/>
    <s v="SE2_EL"/>
    <x v="9"/>
    <s v="GEXT_WOODWASTE_HORNEBORG"/>
    <x v="0"/>
    <x v="2"/>
    <n v="84.010507880910694"/>
    <n v="30663.835376532399"/>
    <n v="110389.807355517"/>
  </r>
  <r>
    <x v="0"/>
    <x v="0"/>
    <x v="0"/>
    <x v="3"/>
    <x v="12"/>
    <s v="SE2_EL"/>
    <x v="9"/>
    <s v="GEXT_WOODWASTE_HORNEBORG"/>
    <x v="0"/>
    <x v="3"/>
    <n v="84.010507880910694"/>
    <n v="30663.835376532399"/>
    <n v="110389.807355517"/>
  </r>
  <r>
    <x v="0"/>
    <x v="0"/>
    <x v="0"/>
    <x v="3"/>
    <x v="12"/>
    <s v="SE2_EL"/>
    <x v="9"/>
    <s v="GEXT_WOODWASTE_HORNEBORG"/>
    <x v="0"/>
    <x v="4"/>
    <n v="84.010507880910694"/>
    <n v="30663.835376532399"/>
    <n v="110389.807355517"/>
  </r>
  <r>
    <x v="0"/>
    <x v="0"/>
    <x v="0"/>
    <x v="3"/>
    <x v="12"/>
    <s v="SE2_EL"/>
    <x v="9"/>
    <s v="GEXT_WOODWASTE_HORNEBORG"/>
    <x v="0"/>
    <x v="5"/>
    <n v="84.010507880910694"/>
    <n v="30663.835376532399"/>
    <n v="110389.807355517"/>
  </r>
  <r>
    <x v="0"/>
    <x v="0"/>
    <x v="0"/>
    <x v="3"/>
    <x v="12"/>
    <s v="SE2_EL"/>
    <x v="9"/>
    <s v="GEXT_WOODWASTE_HORNEBORG"/>
    <x v="0"/>
    <x v="6"/>
    <n v="84.010507880910694"/>
    <n v="30663.835376532399"/>
    <n v="110389.807355517"/>
  </r>
  <r>
    <x v="0"/>
    <x v="0"/>
    <x v="0"/>
    <x v="3"/>
    <x v="12"/>
    <s v="SE2_EL"/>
    <x v="9"/>
    <s v="GEXT_WOODWASTE_HORNEBORG"/>
    <x v="0"/>
    <x v="7"/>
    <n v="84.010507880910694"/>
    <n v="30663.835376532399"/>
    <n v="110389.807355517"/>
  </r>
  <r>
    <x v="0"/>
    <x v="0"/>
    <x v="0"/>
    <x v="3"/>
    <x v="12"/>
    <s v="SE2_EL"/>
    <x v="9"/>
    <s v="GEXT_WOODWASTE_HORNEBORG"/>
    <x v="0"/>
    <x v="8"/>
    <n v="84.010507880910694"/>
    <n v="30663.835376532399"/>
    <n v="110389.807355517"/>
  </r>
  <r>
    <x v="0"/>
    <x v="0"/>
    <x v="0"/>
    <x v="3"/>
    <x v="12"/>
    <s v="SE2_EL"/>
    <x v="9"/>
    <s v="GEXT_WOODWASTE_HORNEBORG"/>
    <x v="0"/>
    <x v="9"/>
    <n v="84.010507880910694"/>
    <n v="30663.835376532399"/>
    <n v="110389.807355517"/>
  </r>
  <r>
    <x v="0"/>
    <x v="0"/>
    <x v="0"/>
    <x v="3"/>
    <x v="12"/>
    <s v="SE2_EL"/>
    <x v="9"/>
    <s v="GEXT_WOODWASTE_HORNEBORG"/>
    <x v="0"/>
    <x v="10"/>
    <n v="84.010507880910694"/>
    <n v="30663.835376532399"/>
    <n v="110389.807355517"/>
  </r>
  <r>
    <x v="0"/>
    <x v="0"/>
    <x v="0"/>
    <x v="3"/>
    <x v="12"/>
    <s v="SE2_EL"/>
    <x v="9"/>
    <s v="GEXT_WOODWASTE_HORNEBORG"/>
    <x v="0"/>
    <x v="11"/>
    <n v="84.010507880910694"/>
    <n v="30663.835376532399"/>
    <n v="110389.807355517"/>
  </r>
  <r>
    <x v="0"/>
    <x v="0"/>
    <x v="0"/>
    <x v="3"/>
    <x v="12"/>
    <s v="SE2_EL"/>
    <x v="9"/>
    <s v="GEXT_WOODWASTE_HORNEBORG"/>
    <x v="0"/>
    <x v="12"/>
    <n v="84.010507880910694"/>
    <n v="30663.835376532399"/>
    <n v="110389.807355517"/>
  </r>
  <r>
    <x v="0"/>
    <x v="0"/>
    <x v="0"/>
    <x v="3"/>
    <x v="12"/>
    <s v="SE2_EL"/>
    <x v="9"/>
    <s v="GEXT_WOODWASTE_HORNEBORG"/>
    <x v="0"/>
    <x v="13"/>
    <n v="84.010507880910694"/>
    <n v="30663.835376532399"/>
    <n v="110389.807355517"/>
  </r>
  <r>
    <x v="0"/>
    <x v="0"/>
    <x v="0"/>
    <x v="3"/>
    <x v="12"/>
    <s v="SE2_EL"/>
    <x v="9"/>
    <s v="GEXT_WOODWASTE_HORNEBORG"/>
    <x v="0"/>
    <x v="14"/>
    <n v="84.010507880910694"/>
    <n v="30663.835376532399"/>
    <n v="110389.807355517"/>
  </r>
  <r>
    <x v="0"/>
    <x v="0"/>
    <x v="0"/>
    <x v="3"/>
    <x v="12"/>
    <s v="SE2_EL"/>
    <x v="9"/>
    <s v="GEXT_WOODWASTE_HORNEBORG"/>
    <x v="0"/>
    <x v="15"/>
    <n v="84.010507880910694"/>
    <n v="30663.835376532399"/>
    <n v="110389.807355517"/>
  </r>
  <r>
    <x v="0"/>
    <x v="0"/>
    <x v="0"/>
    <x v="3"/>
    <x v="12"/>
    <s v="SE2_EL"/>
    <x v="9"/>
    <s v="GEXT_WOODWASTE_HORNEBORG"/>
    <x v="0"/>
    <x v="16"/>
    <n v="84.010507880910694"/>
    <n v="30663.835376532399"/>
    <n v="110389.807355517"/>
  </r>
  <r>
    <x v="0"/>
    <x v="0"/>
    <x v="0"/>
    <x v="3"/>
    <x v="12"/>
    <s v="SE2_EL"/>
    <x v="9"/>
    <s v="GEXT_WOODWASTE_HORNEBORG"/>
    <x v="0"/>
    <x v="17"/>
    <n v="84.010507880910694"/>
    <n v="30663.835376532399"/>
    <n v="110389.807355517"/>
  </r>
  <r>
    <x v="0"/>
    <x v="0"/>
    <x v="0"/>
    <x v="3"/>
    <x v="12"/>
    <s v="SE2_EL"/>
    <x v="9"/>
    <s v="GEXT_WOODWASTE_HORNEBORG"/>
    <x v="0"/>
    <x v="18"/>
    <n v="84.010507880910694"/>
    <n v="30663.835376532399"/>
    <n v="110389.807355517"/>
  </r>
  <r>
    <x v="0"/>
    <x v="0"/>
    <x v="0"/>
    <x v="3"/>
    <x v="12"/>
    <s v="SE2_EL"/>
    <x v="9"/>
    <s v="GEXT_WOODWASTE_HORNEBORG"/>
    <x v="0"/>
    <x v="19"/>
    <n v="84.010507880910694"/>
    <n v="30663.835376532399"/>
    <n v="110389.807355517"/>
  </r>
  <r>
    <x v="0"/>
    <x v="0"/>
    <x v="0"/>
    <x v="3"/>
    <x v="12"/>
    <s v="SE2_EL"/>
    <x v="9"/>
    <s v="GEXT_WOODWASTE_HORNEBORG"/>
    <x v="0"/>
    <x v="20"/>
    <n v="84.010507880910694"/>
    <n v="30663.835376532399"/>
    <n v="110389.807355517"/>
  </r>
  <r>
    <x v="0"/>
    <x v="0"/>
    <x v="0"/>
    <x v="3"/>
    <x v="12"/>
    <s v="SE2_EL"/>
    <x v="9"/>
    <s v="GEXT_WOODWASTE_HORNEBORG"/>
    <x v="0"/>
    <x v="21"/>
    <n v="84.010507880910694"/>
    <n v="30663.835376532399"/>
    <n v="110389.807355517"/>
  </r>
  <r>
    <x v="0"/>
    <x v="0"/>
    <x v="0"/>
    <x v="3"/>
    <x v="12"/>
    <s v="SE2_EL"/>
    <x v="9"/>
    <s v="GEXT_WOODWASTE_HORNEBORG"/>
    <x v="0"/>
    <x v="22"/>
    <n v="84.010507880910694"/>
    <n v="30663.835376532399"/>
    <n v="110389.807355517"/>
  </r>
  <r>
    <x v="0"/>
    <x v="0"/>
    <x v="0"/>
    <x v="3"/>
    <x v="12"/>
    <s v="SE2_EL"/>
    <x v="9"/>
    <s v="GEXT_WOODWASTE_HORNEBORG"/>
    <x v="0"/>
    <x v="23"/>
    <n v="84.010507880910694"/>
    <n v="30663.835376532399"/>
    <n v="110389.807355517"/>
  </r>
  <r>
    <x v="0"/>
    <x v="0"/>
    <x v="0"/>
    <x v="3"/>
    <x v="12"/>
    <s v="SE2_OTHER"/>
    <x v="1"/>
    <s v="GBPR_MUNIWASTE_24"/>
    <x v="0"/>
    <x v="0"/>
    <n v="16.4234322613285"/>
    <n v="5994.5527753849101"/>
    <n v="21580.389991385699"/>
  </r>
  <r>
    <x v="0"/>
    <x v="0"/>
    <x v="0"/>
    <x v="3"/>
    <x v="12"/>
    <s v="SE2_OTHER"/>
    <x v="1"/>
    <s v="GBPR_MUNIWASTE_24"/>
    <x v="0"/>
    <x v="1"/>
    <n v="16.4234322613285"/>
    <n v="5994.5527753849101"/>
    <n v="21580.389991385699"/>
  </r>
  <r>
    <x v="0"/>
    <x v="0"/>
    <x v="0"/>
    <x v="3"/>
    <x v="12"/>
    <s v="SE2_OTHER"/>
    <x v="1"/>
    <s v="GBPR_MUNIWASTE_24"/>
    <x v="0"/>
    <x v="2"/>
    <n v="16.4234322613285"/>
    <n v="5994.5527753849101"/>
    <n v="21580.389991385699"/>
  </r>
  <r>
    <x v="0"/>
    <x v="0"/>
    <x v="0"/>
    <x v="3"/>
    <x v="12"/>
    <s v="SE2_OTHER"/>
    <x v="1"/>
    <s v="GBPR_MUNIWASTE_24"/>
    <x v="0"/>
    <x v="3"/>
    <n v="16.4234322613285"/>
    <n v="5994.5527753849101"/>
    <n v="21580.389991385699"/>
  </r>
  <r>
    <x v="0"/>
    <x v="0"/>
    <x v="0"/>
    <x v="3"/>
    <x v="12"/>
    <s v="SE2_OTHER"/>
    <x v="1"/>
    <s v="GBPR_MUNIWASTE_24"/>
    <x v="0"/>
    <x v="4"/>
    <n v="16.4234322613285"/>
    <n v="5994.5527753849101"/>
    <n v="21580.389991385699"/>
  </r>
  <r>
    <x v="0"/>
    <x v="0"/>
    <x v="0"/>
    <x v="3"/>
    <x v="12"/>
    <s v="SE2_OTHER"/>
    <x v="1"/>
    <s v="GBPR_MUNIWASTE_24"/>
    <x v="0"/>
    <x v="5"/>
    <n v="16.4234322613285"/>
    <n v="5994.5527753849101"/>
    <n v="21580.389991385699"/>
  </r>
  <r>
    <x v="0"/>
    <x v="0"/>
    <x v="0"/>
    <x v="3"/>
    <x v="12"/>
    <s v="SE2_OTHER"/>
    <x v="1"/>
    <s v="GBPR_MUNIWASTE_24"/>
    <x v="0"/>
    <x v="6"/>
    <n v="16.4234322613285"/>
    <n v="5994.5527753849101"/>
    <n v="21580.389991385699"/>
  </r>
  <r>
    <x v="0"/>
    <x v="0"/>
    <x v="0"/>
    <x v="3"/>
    <x v="12"/>
    <s v="SE2_OTHER"/>
    <x v="1"/>
    <s v="GBPR_MUNIWASTE_24"/>
    <x v="0"/>
    <x v="7"/>
    <n v="16.4234322613285"/>
    <n v="5994.5527753849101"/>
    <n v="21580.389991385699"/>
  </r>
  <r>
    <x v="0"/>
    <x v="0"/>
    <x v="0"/>
    <x v="3"/>
    <x v="12"/>
    <s v="SE2_OTHER"/>
    <x v="1"/>
    <s v="GBPR_MUNIWASTE_24"/>
    <x v="0"/>
    <x v="8"/>
    <n v="16.4234322613285"/>
    <n v="5994.5527753849101"/>
    <n v="21580.389991385699"/>
  </r>
  <r>
    <x v="0"/>
    <x v="0"/>
    <x v="0"/>
    <x v="3"/>
    <x v="12"/>
    <s v="SE2_OTHER"/>
    <x v="1"/>
    <s v="GBPR_MUNIWASTE_24"/>
    <x v="0"/>
    <x v="9"/>
    <n v="16.4234322613285"/>
    <n v="5994.5527753849101"/>
    <n v="21580.389991385699"/>
  </r>
  <r>
    <x v="0"/>
    <x v="0"/>
    <x v="0"/>
    <x v="3"/>
    <x v="12"/>
    <s v="SE2_OTHER"/>
    <x v="1"/>
    <s v="GBPR_MUNIWASTE_24"/>
    <x v="0"/>
    <x v="10"/>
    <n v="16.4234322613285"/>
    <n v="5994.5527753849101"/>
    <n v="21580.389991385699"/>
  </r>
  <r>
    <x v="0"/>
    <x v="0"/>
    <x v="0"/>
    <x v="3"/>
    <x v="12"/>
    <s v="SE2_OTHER"/>
    <x v="1"/>
    <s v="GBPR_MUNIWASTE_24"/>
    <x v="0"/>
    <x v="11"/>
    <n v="16.4234322613285"/>
    <n v="5994.5527753849101"/>
    <n v="21580.389991385699"/>
  </r>
  <r>
    <x v="0"/>
    <x v="0"/>
    <x v="0"/>
    <x v="3"/>
    <x v="12"/>
    <s v="SE2_OTHER"/>
    <x v="1"/>
    <s v="GBPR_MUNIWASTE_24"/>
    <x v="0"/>
    <x v="12"/>
    <n v="16.4234322613285"/>
    <n v="5994.5527753849101"/>
    <n v="21580.389991385699"/>
  </r>
  <r>
    <x v="0"/>
    <x v="0"/>
    <x v="0"/>
    <x v="3"/>
    <x v="12"/>
    <s v="SE2_OTHER"/>
    <x v="1"/>
    <s v="GBPR_MUNIWASTE_24"/>
    <x v="0"/>
    <x v="13"/>
    <n v="16.4234322613285"/>
    <n v="5994.5527753849101"/>
    <n v="21580.389991385699"/>
  </r>
  <r>
    <x v="0"/>
    <x v="0"/>
    <x v="0"/>
    <x v="3"/>
    <x v="12"/>
    <s v="SE2_OTHER"/>
    <x v="1"/>
    <s v="GBPR_MUNIWASTE_24"/>
    <x v="0"/>
    <x v="14"/>
    <n v="16.4234322613285"/>
    <n v="5994.5527753849101"/>
    <n v="21580.389991385699"/>
  </r>
  <r>
    <x v="0"/>
    <x v="0"/>
    <x v="0"/>
    <x v="3"/>
    <x v="12"/>
    <s v="SE2_OTHER"/>
    <x v="1"/>
    <s v="GBPR_MUNIWASTE_24"/>
    <x v="0"/>
    <x v="15"/>
    <n v="16.4234322613285"/>
    <n v="5994.5527753849101"/>
    <n v="21580.389991385699"/>
  </r>
  <r>
    <x v="0"/>
    <x v="0"/>
    <x v="0"/>
    <x v="3"/>
    <x v="12"/>
    <s v="SE2_OTHER"/>
    <x v="1"/>
    <s v="GBPR_MUNIWASTE_24"/>
    <x v="0"/>
    <x v="16"/>
    <n v="16.4234322613285"/>
    <n v="5994.5527753849101"/>
    <n v="21580.389991385699"/>
  </r>
  <r>
    <x v="0"/>
    <x v="0"/>
    <x v="0"/>
    <x v="3"/>
    <x v="12"/>
    <s v="SE2_OTHER"/>
    <x v="1"/>
    <s v="GBPR_MUNIWASTE_24"/>
    <x v="0"/>
    <x v="17"/>
    <n v="16.4234322613285"/>
    <n v="5994.5527753849101"/>
    <n v="21580.389991385699"/>
  </r>
  <r>
    <x v="0"/>
    <x v="0"/>
    <x v="0"/>
    <x v="3"/>
    <x v="12"/>
    <s v="SE2_OTHER"/>
    <x v="1"/>
    <s v="GBPR_MUNIWASTE_24"/>
    <x v="0"/>
    <x v="18"/>
    <n v="16.4234322613285"/>
    <n v="5994.5527753849101"/>
    <n v="21580.389991385699"/>
  </r>
  <r>
    <x v="0"/>
    <x v="0"/>
    <x v="0"/>
    <x v="3"/>
    <x v="12"/>
    <s v="SE2_OTHER"/>
    <x v="1"/>
    <s v="GBPR_MUNIWASTE_24"/>
    <x v="0"/>
    <x v="19"/>
    <n v="16.4234322613285"/>
    <n v="5994.5527753849101"/>
    <n v="21580.389991385699"/>
  </r>
  <r>
    <x v="0"/>
    <x v="0"/>
    <x v="0"/>
    <x v="3"/>
    <x v="12"/>
    <s v="SE2_OTHER"/>
    <x v="1"/>
    <s v="GBPR_MUNIWASTE_24"/>
    <x v="0"/>
    <x v="20"/>
    <n v="16.4234322613285"/>
    <n v="5994.5527753849101"/>
    <n v="21580.389991385699"/>
  </r>
  <r>
    <x v="0"/>
    <x v="0"/>
    <x v="0"/>
    <x v="3"/>
    <x v="12"/>
    <s v="SE2_OTHER"/>
    <x v="1"/>
    <s v="GBPR_MUNIWASTE_24"/>
    <x v="0"/>
    <x v="21"/>
    <n v="16.4234322613285"/>
    <n v="5994.5527753849101"/>
    <n v="21580.389991385699"/>
  </r>
  <r>
    <x v="0"/>
    <x v="0"/>
    <x v="0"/>
    <x v="3"/>
    <x v="12"/>
    <s v="SE2_OTHER"/>
    <x v="1"/>
    <s v="GBPR_MUNIWASTE_24"/>
    <x v="0"/>
    <x v="22"/>
    <n v="16.4234322613285"/>
    <n v="5994.5527753849101"/>
    <n v="21580.389991385699"/>
  </r>
  <r>
    <x v="0"/>
    <x v="0"/>
    <x v="0"/>
    <x v="3"/>
    <x v="12"/>
    <s v="SE2_OTHER"/>
    <x v="1"/>
    <s v="GBPR_MUNIWASTE_24"/>
    <x v="0"/>
    <x v="23"/>
    <n v="16.4234322613285"/>
    <n v="5994.5527753849101"/>
    <n v="21580.389991385699"/>
  </r>
  <r>
    <x v="0"/>
    <x v="0"/>
    <x v="0"/>
    <x v="3"/>
    <x v="12"/>
    <s v="SE2_OTHER"/>
    <x v="2"/>
    <s v="GHOB_WASTEHEAT"/>
    <x v="0"/>
    <x v="0"/>
    <n v="16.031295787545702"/>
    <n v="5851.4229624541904"/>
    <n v="21065.1226648351"/>
  </r>
  <r>
    <x v="0"/>
    <x v="0"/>
    <x v="0"/>
    <x v="3"/>
    <x v="12"/>
    <s v="SE2_OTHER"/>
    <x v="2"/>
    <s v="GHOB_WASTEHEAT"/>
    <x v="0"/>
    <x v="1"/>
    <n v="16.031295787545702"/>
    <n v="5851.4229624541904"/>
    <n v="21065.1226648351"/>
  </r>
  <r>
    <x v="0"/>
    <x v="0"/>
    <x v="0"/>
    <x v="3"/>
    <x v="12"/>
    <s v="SE2_OTHER"/>
    <x v="2"/>
    <s v="GHOB_WASTEHEAT"/>
    <x v="0"/>
    <x v="2"/>
    <n v="16.031295787545702"/>
    <n v="5851.4229624541904"/>
    <n v="21065.1226648351"/>
  </r>
  <r>
    <x v="0"/>
    <x v="0"/>
    <x v="0"/>
    <x v="3"/>
    <x v="12"/>
    <s v="SE2_OTHER"/>
    <x v="2"/>
    <s v="GHOB_WASTEHEAT"/>
    <x v="0"/>
    <x v="3"/>
    <n v="16.031295787545702"/>
    <n v="5851.4229624541904"/>
    <n v="21065.1226648351"/>
  </r>
  <r>
    <x v="0"/>
    <x v="0"/>
    <x v="0"/>
    <x v="3"/>
    <x v="12"/>
    <s v="SE2_OTHER"/>
    <x v="2"/>
    <s v="GHOB_WASTEHEAT"/>
    <x v="0"/>
    <x v="4"/>
    <n v="16.031295787545702"/>
    <n v="5851.4229624541904"/>
    <n v="21065.1226648351"/>
  </r>
  <r>
    <x v="0"/>
    <x v="0"/>
    <x v="0"/>
    <x v="3"/>
    <x v="12"/>
    <s v="SE2_OTHER"/>
    <x v="2"/>
    <s v="GHOB_WASTEHEAT"/>
    <x v="0"/>
    <x v="5"/>
    <n v="16.031295787545702"/>
    <n v="5851.4229624541904"/>
    <n v="21065.1226648351"/>
  </r>
  <r>
    <x v="0"/>
    <x v="0"/>
    <x v="0"/>
    <x v="3"/>
    <x v="12"/>
    <s v="SE2_OTHER"/>
    <x v="2"/>
    <s v="GHOB_WASTEHEAT"/>
    <x v="0"/>
    <x v="6"/>
    <n v="16.031295787545702"/>
    <n v="5851.4229624541904"/>
    <n v="21065.1226648351"/>
  </r>
  <r>
    <x v="0"/>
    <x v="0"/>
    <x v="0"/>
    <x v="3"/>
    <x v="12"/>
    <s v="SE2_OTHER"/>
    <x v="2"/>
    <s v="GHOB_WASTEHEAT"/>
    <x v="0"/>
    <x v="7"/>
    <n v="16.031295787545702"/>
    <n v="5851.4229624541904"/>
    <n v="21065.1226648351"/>
  </r>
  <r>
    <x v="0"/>
    <x v="0"/>
    <x v="0"/>
    <x v="3"/>
    <x v="12"/>
    <s v="SE2_OTHER"/>
    <x v="2"/>
    <s v="GHOB_WASTEHEAT"/>
    <x v="0"/>
    <x v="8"/>
    <n v="16.031295787545702"/>
    <n v="5851.4229624541904"/>
    <n v="21065.1226648351"/>
  </r>
  <r>
    <x v="0"/>
    <x v="0"/>
    <x v="0"/>
    <x v="3"/>
    <x v="12"/>
    <s v="SE2_OTHER"/>
    <x v="2"/>
    <s v="GHOB_WASTEHEAT"/>
    <x v="0"/>
    <x v="9"/>
    <n v="16.031295787545702"/>
    <n v="5851.4229624541904"/>
    <n v="21065.1226648351"/>
  </r>
  <r>
    <x v="0"/>
    <x v="0"/>
    <x v="0"/>
    <x v="3"/>
    <x v="12"/>
    <s v="SE2_OTHER"/>
    <x v="2"/>
    <s v="GHOB_WASTEHEAT"/>
    <x v="0"/>
    <x v="10"/>
    <n v="16.031295787545702"/>
    <n v="5851.4229624541904"/>
    <n v="21065.1226648351"/>
  </r>
  <r>
    <x v="0"/>
    <x v="0"/>
    <x v="0"/>
    <x v="3"/>
    <x v="12"/>
    <s v="SE2_OTHER"/>
    <x v="2"/>
    <s v="GHOB_WASTEHEAT"/>
    <x v="0"/>
    <x v="11"/>
    <n v="16.031295787545702"/>
    <n v="5851.4229624541904"/>
    <n v="21065.1226648351"/>
  </r>
  <r>
    <x v="0"/>
    <x v="0"/>
    <x v="0"/>
    <x v="3"/>
    <x v="12"/>
    <s v="SE2_OTHER"/>
    <x v="2"/>
    <s v="GHOB_WASTEHEAT"/>
    <x v="0"/>
    <x v="12"/>
    <n v="16.031295787545702"/>
    <n v="5851.4229624541904"/>
    <n v="21065.1226648351"/>
  </r>
  <r>
    <x v="0"/>
    <x v="0"/>
    <x v="0"/>
    <x v="3"/>
    <x v="12"/>
    <s v="SE2_OTHER"/>
    <x v="2"/>
    <s v="GHOB_WASTEHEAT"/>
    <x v="0"/>
    <x v="13"/>
    <n v="16.031295787545702"/>
    <n v="5851.4229624541904"/>
    <n v="21065.1226648351"/>
  </r>
  <r>
    <x v="0"/>
    <x v="0"/>
    <x v="0"/>
    <x v="3"/>
    <x v="12"/>
    <s v="SE2_OTHER"/>
    <x v="2"/>
    <s v="GHOB_WASTEHEAT"/>
    <x v="0"/>
    <x v="14"/>
    <n v="16.031295787545702"/>
    <n v="5851.4229624541904"/>
    <n v="21065.1226648351"/>
  </r>
  <r>
    <x v="0"/>
    <x v="0"/>
    <x v="0"/>
    <x v="3"/>
    <x v="12"/>
    <s v="SE2_OTHER"/>
    <x v="2"/>
    <s v="GHOB_WASTEHEAT"/>
    <x v="0"/>
    <x v="15"/>
    <n v="16.031295787545702"/>
    <n v="5851.4229624541904"/>
    <n v="21065.1226648351"/>
  </r>
  <r>
    <x v="0"/>
    <x v="0"/>
    <x v="0"/>
    <x v="3"/>
    <x v="12"/>
    <s v="SE2_OTHER"/>
    <x v="2"/>
    <s v="GHOB_WASTEHEAT"/>
    <x v="0"/>
    <x v="16"/>
    <n v="16.031295787545702"/>
    <n v="5851.4229624541904"/>
    <n v="21065.1226648351"/>
  </r>
  <r>
    <x v="0"/>
    <x v="0"/>
    <x v="0"/>
    <x v="3"/>
    <x v="12"/>
    <s v="SE2_OTHER"/>
    <x v="2"/>
    <s v="GHOB_WASTEHEAT"/>
    <x v="0"/>
    <x v="17"/>
    <n v="16.031295787545702"/>
    <n v="5851.4229624541904"/>
    <n v="21065.1226648351"/>
  </r>
  <r>
    <x v="0"/>
    <x v="0"/>
    <x v="0"/>
    <x v="3"/>
    <x v="12"/>
    <s v="SE2_OTHER"/>
    <x v="2"/>
    <s v="GHOB_WASTEHEAT"/>
    <x v="0"/>
    <x v="18"/>
    <n v="16.031295787545702"/>
    <n v="5851.4229624541904"/>
    <n v="21065.1226648351"/>
  </r>
  <r>
    <x v="0"/>
    <x v="0"/>
    <x v="0"/>
    <x v="3"/>
    <x v="12"/>
    <s v="SE2_OTHER"/>
    <x v="2"/>
    <s v="GHOB_WASTEHEAT"/>
    <x v="0"/>
    <x v="19"/>
    <n v="16.031295787545702"/>
    <n v="5851.4229624541904"/>
    <n v="21065.1226648351"/>
  </r>
  <r>
    <x v="0"/>
    <x v="0"/>
    <x v="0"/>
    <x v="3"/>
    <x v="12"/>
    <s v="SE2_OTHER"/>
    <x v="2"/>
    <s v="GHOB_WASTEHEAT"/>
    <x v="0"/>
    <x v="20"/>
    <n v="16.031295787545702"/>
    <n v="5851.4229624541904"/>
    <n v="21065.1226648351"/>
  </r>
  <r>
    <x v="0"/>
    <x v="0"/>
    <x v="0"/>
    <x v="3"/>
    <x v="12"/>
    <s v="SE2_OTHER"/>
    <x v="2"/>
    <s v="GHOB_WASTEHEAT"/>
    <x v="0"/>
    <x v="21"/>
    <n v="16.031295787545702"/>
    <n v="5851.4229624541904"/>
    <n v="21065.1226648351"/>
  </r>
  <r>
    <x v="0"/>
    <x v="0"/>
    <x v="0"/>
    <x v="3"/>
    <x v="12"/>
    <s v="SE2_OTHER"/>
    <x v="2"/>
    <s v="GHOB_WASTEHEAT"/>
    <x v="0"/>
    <x v="22"/>
    <n v="16.031295787545702"/>
    <n v="5851.4229624541904"/>
    <n v="21065.1226648351"/>
  </r>
  <r>
    <x v="0"/>
    <x v="0"/>
    <x v="0"/>
    <x v="3"/>
    <x v="12"/>
    <s v="SE2_OTHER"/>
    <x v="2"/>
    <s v="GHOB_WASTEHEAT"/>
    <x v="0"/>
    <x v="23"/>
    <n v="16.031295787545702"/>
    <n v="5851.4229624541904"/>
    <n v="21065.1226648351"/>
  </r>
  <r>
    <x v="0"/>
    <x v="0"/>
    <x v="0"/>
    <x v="3"/>
    <x v="12"/>
    <s v="SE2_OTHER"/>
    <x v="9"/>
    <s v="GBPR_WOODWASTE_36"/>
    <x v="0"/>
    <x v="0"/>
    <n v="153.05942778968401"/>
    <n v="55866.691143234799"/>
    <n v="201120.08811564499"/>
  </r>
  <r>
    <x v="0"/>
    <x v="0"/>
    <x v="0"/>
    <x v="3"/>
    <x v="12"/>
    <s v="SE2_OTHER"/>
    <x v="9"/>
    <s v="GBPR_WOODWASTE_36"/>
    <x v="0"/>
    <x v="1"/>
    <n v="153.05942778968401"/>
    <n v="55866.691143234799"/>
    <n v="201120.08811564499"/>
  </r>
  <r>
    <x v="0"/>
    <x v="0"/>
    <x v="0"/>
    <x v="3"/>
    <x v="12"/>
    <s v="SE2_OTHER"/>
    <x v="9"/>
    <s v="GBPR_WOODWASTE_36"/>
    <x v="0"/>
    <x v="2"/>
    <n v="153.05942778968401"/>
    <n v="55866.691143234799"/>
    <n v="201120.08811564499"/>
  </r>
  <r>
    <x v="0"/>
    <x v="0"/>
    <x v="0"/>
    <x v="3"/>
    <x v="12"/>
    <s v="SE2_OTHER"/>
    <x v="9"/>
    <s v="GBPR_WOODWASTE_36"/>
    <x v="0"/>
    <x v="3"/>
    <n v="153.05942778968401"/>
    <n v="55866.691143234799"/>
    <n v="201120.08811564499"/>
  </r>
  <r>
    <x v="0"/>
    <x v="0"/>
    <x v="0"/>
    <x v="3"/>
    <x v="12"/>
    <s v="SE2_OTHER"/>
    <x v="9"/>
    <s v="GBPR_WOODWASTE_36"/>
    <x v="0"/>
    <x v="4"/>
    <n v="153.05942778968401"/>
    <n v="55866.691143234799"/>
    <n v="201120.08811564499"/>
  </r>
  <r>
    <x v="0"/>
    <x v="0"/>
    <x v="0"/>
    <x v="3"/>
    <x v="12"/>
    <s v="SE2_OTHER"/>
    <x v="9"/>
    <s v="GBPR_WOODWASTE_36"/>
    <x v="0"/>
    <x v="5"/>
    <n v="153.05942778968401"/>
    <n v="55866.691143234799"/>
    <n v="201120.08811564499"/>
  </r>
  <r>
    <x v="0"/>
    <x v="0"/>
    <x v="0"/>
    <x v="3"/>
    <x v="12"/>
    <s v="SE2_OTHER"/>
    <x v="9"/>
    <s v="GBPR_WOODWASTE_36"/>
    <x v="0"/>
    <x v="6"/>
    <n v="153.05942778968401"/>
    <n v="55866.691143234799"/>
    <n v="201120.08811564499"/>
  </r>
  <r>
    <x v="0"/>
    <x v="0"/>
    <x v="0"/>
    <x v="3"/>
    <x v="12"/>
    <s v="SE2_OTHER"/>
    <x v="9"/>
    <s v="GBPR_WOODWASTE_36"/>
    <x v="0"/>
    <x v="7"/>
    <n v="153.05942778968401"/>
    <n v="55866.691143234799"/>
    <n v="201120.08811564499"/>
  </r>
  <r>
    <x v="0"/>
    <x v="0"/>
    <x v="0"/>
    <x v="3"/>
    <x v="12"/>
    <s v="SE2_OTHER"/>
    <x v="9"/>
    <s v="GBPR_WOODWASTE_36"/>
    <x v="0"/>
    <x v="8"/>
    <n v="153.05942778968401"/>
    <n v="55866.691143234799"/>
    <n v="201120.08811564499"/>
  </r>
  <r>
    <x v="0"/>
    <x v="0"/>
    <x v="0"/>
    <x v="3"/>
    <x v="12"/>
    <s v="SE2_OTHER"/>
    <x v="9"/>
    <s v="GBPR_WOODWASTE_36"/>
    <x v="0"/>
    <x v="9"/>
    <n v="153.05942778968401"/>
    <n v="55866.691143234799"/>
    <n v="201120.08811564499"/>
  </r>
  <r>
    <x v="0"/>
    <x v="0"/>
    <x v="0"/>
    <x v="3"/>
    <x v="12"/>
    <s v="SE2_OTHER"/>
    <x v="9"/>
    <s v="GBPR_WOODWASTE_36"/>
    <x v="0"/>
    <x v="10"/>
    <n v="153.05942778968401"/>
    <n v="55866.691143234799"/>
    <n v="201120.08811564499"/>
  </r>
  <r>
    <x v="0"/>
    <x v="0"/>
    <x v="0"/>
    <x v="3"/>
    <x v="12"/>
    <s v="SE2_OTHER"/>
    <x v="9"/>
    <s v="GBPR_WOODWASTE_36"/>
    <x v="0"/>
    <x v="11"/>
    <n v="153.05942778968401"/>
    <n v="55866.691143234799"/>
    <n v="201120.08811564499"/>
  </r>
  <r>
    <x v="0"/>
    <x v="0"/>
    <x v="0"/>
    <x v="3"/>
    <x v="12"/>
    <s v="SE2_OTHER"/>
    <x v="9"/>
    <s v="GBPR_WOODWASTE_36"/>
    <x v="0"/>
    <x v="12"/>
    <n v="153.05942778968401"/>
    <n v="55866.691143234799"/>
    <n v="201120.08811564499"/>
  </r>
  <r>
    <x v="0"/>
    <x v="0"/>
    <x v="0"/>
    <x v="3"/>
    <x v="12"/>
    <s v="SE2_OTHER"/>
    <x v="9"/>
    <s v="GBPR_WOODWASTE_36"/>
    <x v="0"/>
    <x v="13"/>
    <n v="153.05942778968401"/>
    <n v="55866.691143234799"/>
    <n v="201120.08811564499"/>
  </r>
  <r>
    <x v="0"/>
    <x v="0"/>
    <x v="0"/>
    <x v="3"/>
    <x v="12"/>
    <s v="SE2_OTHER"/>
    <x v="9"/>
    <s v="GBPR_WOODWASTE_36"/>
    <x v="0"/>
    <x v="14"/>
    <n v="153.05942778968401"/>
    <n v="55866.691143234799"/>
    <n v="201120.08811564499"/>
  </r>
  <r>
    <x v="0"/>
    <x v="0"/>
    <x v="0"/>
    <x v="3"/>
    <x v="12"/>
    <s v="SE2_OTHER"/>
    <x v="9"/>
    <s v="GBPR_WOODWASTE_36"/>
    <x v="0"/>
    <x v="15"/>
    <n v="153.05942778968401"/>
    <n v="55866.691143234799"/>
    <n v="201120.08811564499"/>
  </r>
  <r>
    <x v="0"/>
    <x v="0"/>
    <x v="0"/>
    <x v="3"/>
    <x v="12"/>
    <s v="SE2_OTHER"/>
    <x v="9"/>
    <s v="GBPR_WOODWASTE_36"/>
    <x v="0"/>
    <x v="16"/>
    <n v="153.05942778968401"/>
    <n v="55866.691143234799"/>
    <n v="201120.08811564499"/>
  </r>
  <r>
    <x v="0"/>
    <x v="0"/>
    <x v="0"/>
    <x v="3"/>
    <x v="12"/>
    <s v="SE2_OTHER"/>
    <x v="9"/>
    <s v="GBPR_WOODWASTE_36"/>
    <x v="0"/>
    <x v="17"/>
    <n v="153.05942778968401"/>
    <n v="55866.691143234799"/>
    <n v="201120.08811564499"/>
  </r>
  <r>
    <x v="0"/>
    <x v="0"/>
    <x v="0"/>
    <x v="3"/>
    <x v="12"/>
    <s v="SE2_OTHER"/>
    <x v="9"/>
    <s v="GBPR_WOODWASTE_36"/>
    <x v="0"/>
    <x v="18"/>
    <n v="153.05942778968401"/>
    <n v="55866.691143234799"/>
    <n v="201120.08811564499"/>
  </r>
  <r>
    <x v="0"/>
    <x v="0"/>
    <x v="0"/>
    <x v="3"/>
    <x v="12"/>
    <s v="SE2_OTHER"/>
    <x v="9"/>
    <s v="GBPR_WOODWASTE_36"/>
    <x v="0"/>
    <x v="19"/>
    <n v="153.05942778968401"/>
    <n v="55866.691143234799"/>
    <n v="201120.08811564499"/>
  </r>
  <r>
    <x v="0"/>
    <x v="0"/>
    <x v="0"/>
    <x v="3"/>
    <x v="12"/>
    <s v="SE2_OTHER"/>
    <x v="9"/>
    <s v="GBPR_WOODWASTE_36"/>
    <x v="0"/>
    <x v="20"/>
    <n v="153.05942778968401"/>
    <n v="55866.691143234799"/>
    <n v="201120.08811564499"/>
  </r>
  <r>
    <x v="0"/>
    <x v="0"/>
    <x v="0"/>
    <x v="3"/>
    <x v="12"/>
    <s v="SE2_OTHER"/>
    <x v="9"/>
    <s v="GBPR_WOODWASTE_36"/>
    <x v="0"/>
    <x v="21"/>
    <n v="153.05942778968401"/>
    <n v="55866.691143234799"/>
    <n v="201120.08811564499"/>
  </r>
  <r>
    <x v="0"/>
    <x v="0"/>
    <x v="0"/>
    <x v="3"/>
    <x v="12"/>
    <s v="SE2_OTHER"/>
    <x v="9"/>
    <s v="GBPR_WOODWASTE_36"/>
    <x v="0"/>
    <x v="22"/>
    <n v="153.05942778968401"/>
    <n v="55866.691143234799"/>
    <n v="201120.08811564499"/>
  </r>
  <r>
    <x v="0"/>
    <x v="0"/>
    <x v="0"/>
    <x v="3"/>
    <x v="12"/>
    <s v="SE2_OTHER"/>
    <x v="9"/>
    <s v="GBPR_WOODWASTE_36"/>
    <x v="0"/>
    <x v="23"/>
    <n v="153.05942778968401"/>
    <n v="55866.691143234799"/>
    <n v="201120.08811564499"/>
  </r>
  <r>
    <x v="0"/>
    <x v="0"/>
    <x v="0"/>
    <x v="3"/>
    <x v="12"/>
    <s v="SE2_OTHER"/>
    <x v="9"/>
    <s v="GHOB_WOODWASTE"/>
    <x v="0"/>
    <x v="0"/>
    <n v="28.807509789387101"/>
    <n v="10514.741073126301"/>
    <n v="37853.067863254699"/>
  </r>
  <r>
    <x v="0"/>
    <x v="0"/>
    <x v="0"/>
    <x v="3"/>
    <x v="12"/>
    <s v="SE2_OTHER"/>
    <x v="9"/>
    <s v="GHOB_WOODWASTE"/>
    <x v="0"/>
    <x v="1"/>
    <n v="32.617828261866897"/>
    <n v="11905.507315581401"/>
    <n v="42859.826336093101"/>
  </r>
  <r>
    <x v="0"/>
    <x v="0"/>
    <x v="0"/>
    <x v="3"/>
    <x v="12"/>
    <s v="SE2_OTHER"/>
    <x v="9"/>
    <s v="GHOB_WOODWASTE"/>
    <x v="0"/>
    <x v="2"/>
    <n v="37.181867500338598"/>
    <n v="13571.381637623601"/>
    <n v="48856.973895444899"/>
  </r>
  <r>
    <x v="0"/>
    <x v="0"/>
    <x v="0"/>
    <x v="3"/>
    <x v="12"/>
    <s v="SE2_OTHER"/>
    <x v="9"/>
    <s v="GHOB_WOODWASTE"/>
    <x v="0"/>
    <x v="3"/>
    <n v="44.944782890386101"/>
    <n v="16404.8457549909"/>
    <n v="59057.444717967301"/>
  </r>
  <r>
    <x v="0"/>
    <x v="0"/>
    <x v="0"/>
    <x v="3"/>
    <x v="12"/>
    <s v="SE2_OTHER"/>
    <x v="9"/>
    <s v="GHOB_WOODWASTE"/>
    <x v="0"/>
    <x v="4"/>
    <n v="55.2213257760285"/>
    <n v="20155.7839082504"/>
    <n v="72560.822069701506"/>
  </r>
  <r>
    <x v="0"/>
    <x v="0"/>
    <x v="0"/>
    <x v="3"/>
    <x v="12"/>
    <s v="SE2_OTHER"/>
    <x v="9"/>
    <s v="GHOB_WOODWASTE"/>
    <x v="0"/>
    <x v="5"/>
    <n v="74.767675391102301"/>
    <n v="27290.201517752299"/>
    <n v="98244.725463908399"/>
  </r>
  <r>
    <x v="0"/>
    <x v="0"/>
    <x v="0"/>
    <x v="3"/>
    <x v="12"/>
    <s v="SE2_OTHER"/>
    <x v="9"/>
    <s v="GHOB_WOODWASTE"/>
    <x v="0"/>
    <x v="6"/>
    <n v="118.194832633294"/>
    <n v="43141.113911152497"/>
    <n v="155308.01008014899"/>
  </r>
  <r>
    <x v="0"/>
    <x v="0"/>
    <x v="0"/>
    <x v="3"/>
    <x v="12"/>
    <s v="SE2_OTHER"/>
    <x v="9"/>
    <s v="GHOB_WOODWASTE"/>
    <x v="0"/>
    <x v="7"/>
    <n v="138.69977822755499"/>
    <n v="50625.419053057602"/>
    <n v="182251.508591007"/>
  </r>
  <r>
    <x v="0"/>
    <x v="0"/>
    <x v="0"/>
    <x v="3"/>
    <x v="12"/>
    <s v="SE2_OTHER"/>
    <x v="9"/>
    <s v="GHOB_WOODWASTE"/>
    <x v="0"/>
    <x v="8"/>
    <n v="139.236597210263"/>
    <n v="50821.357981745998"/>
    <n v="182956.88873428499"/>
  </r>
  <r>
    <x v="0"/>
    <x v="0"/>
    <x v="0"/>
    <x v="3"/>
    <x v="12"/>
    <s v="SE2_OTHER"/>
    <x v="9"/>
    <s v="GHOB_WOODWASTE"/>
    <x v="0"/>
    <x v="9"/>
    <n v="133.213241032117"/>
    <n v="48622.832976722602"/>
    <n v="175042.198716201"/>
  </r>
  <r>
    <x v="0"/>
    <x v="0"/>
    <x v="0"/>
    <x v="3"/>
    <x v="12"/>
    <s v="SE2_OTHER"/>
    <x v="9"/>
    <s v="GHOB_WOODWASTE"/>
    <x v="0"/>
    <x v="10"/>
    <n v="127.085793906018"/>
    <n v="46386.314775696701"/>
    <n v="166990.73319250799"/>
  </r>
  <r>
    <x v="0"/>
    <x v="0"/>
    <x v="0"/>
    <x v="3"/>
    <x v="12"/>
    <s v="SE2_OTHER"/>
    <x v="9"/>
    <s v="GHOB_WOODWASTE"/>
    <x v="0"/>
    <x v="11"/>
    <n v="121.956641079126"/>
    <n v="44514.173993880802"/>
    <n v="160251.02637797099"/>
  </r>
  <r>
    <x v="0"/>
    <x v="0"/>
    <x v="0"/>
    <x v="3"/>
    <x v="12"/>
    <s v="SE2_OTHER"/>
    <x v="9"/>
    <s v="GHOB_WOODWASTE"/>
    <x v="0"/>
    <x v="12"/>
    <n v="111.37153184797501"/>
    <n v="40650.609124510898"/>
    <n v="146342.19284823901"/>
  </r>
  <r>
    <x v="0"/>
    <x v="0"/>
    <x v="0"/>
    <x v="3"/>
    <x v="12"/>
    <s v="SE2_OTHER"/>
    <x v="9"/>
    <s v="GHOB_WOODWASTE"/>
    <x v="0"/>
    <x v="13"/>
    <n v="106.144102852961"/>
    <n v="38742.597541330899"/>
    <n v="139473.351148791"/>
  </r>
  <r>
    <x v="0"/>
    <x v="0"/>
    <x v="0"/>
    <x v="3"/>
    <x v="12"/>
    <s v="SE2_OTHER"/>
    <x v="9"/>
    <s v="GHOB_WOODWASTE"/>
    <x v="0"/>
    <x v="14"/>
    <n v="105.431792528945"/>
    <n v="38482.604273065001"/>
    <n v="138537.375383034"/>
  </r>
  <r>
    <x v="0"/>
    <x v="0"/>
    <x v="0"/>
    <x v="3"/>
    <x v="12"/>
    <s v="SE2_OTHER"/>
    <x v="9"/>
    <s v="GHOB_WOODWASTE"/>
    <x v="0"/>
    <x v="15"/>
    <n v="104.48106262359499"/>
    <n v="38135.587857612198"/>
    <n v="137288.116287404"/>
  </r>
  <r>
    <x v="0"/>
    <x v="0"/>
    <x v="0"/>
    <x v="3"/>
    <x v="12"/>
    <s v="SE2_OTHER"/>
    <x v="9"/>
    <s v="GHOB_WOODWASTE"/>
    <x v="0"/>
    <x v="16"/>
    <n v="101.64425206358101"/>
    <n v="37100.152003207098"/>
    <n v="133560.54721154601"/>
  </r>
  <r>
    <x v="0"/>
    <x v="0"/>
    <x v="0"/>
    <x v="3"/>
    <x v="12"/>
    <s v="SE2_OTHER"/>
    <x v="9"/>
    <s v="GHOB_WOODWASTE"/>
    <x v="0"/>
    <x v="17"/>
    <n v="98.561875159485993"/>
    <n v="35975.084433212403"/>
    <n v="129510.303959565"/>
  </r>
  <r>
    <x v="0"/>
    <x v="0"/>
    <x v="0"/>
    <x v="3"/>
    <x v="12"/>
    <s v="SE2_OTHER"/>
    <x v="9"/>
    <s v="GHOB_WOODWASTE"/>
    <x v="0"/>
    <x v="18"/>
    <n v="95.043615542762396"/>
    <n v="34690.919673108299"/>
    <n v="124887.31082319"/>
  </r>
  <r>
    <x v="0"/>
    <x v="0"/>
    <x v="0"/>
    <x v="3"/>
    <x v="12"/>
    <s v="SE2_OTHER"/>
    <x v="9"/>
    <s v="GHOB_WOODWASTE"/>
    <x v="0"/>
    <x v="19"/>
    <n v="94.861772273204096"/>
    <n v="34624.546879719499"/>
    <n v="124648.36876699"/>
  </r>
  <r>
    <x v="0"/>
    <x v="0"/>
    <x v="0"/>
    <x v="3"/>
    <x v="12"/>
    <s v="SE2_OTHER"/>
    <x v="9"/>
    <s v="GHOB_WOODWASTE"/>
    <x v="0"/>
    <x v="20"/>
    <n v="88.892706581472098"/>
    <n v="32445.837902237301"/>
    <n v="116805.016448054"/>
  </r>
  <r>
    <x v="0"/>
    <x v="0"/>
    <x v="0"/>
    <x v="3"/>
    <x v="12"/>
    <s v="SE2_OTHER"/>
    <x v="9"/>
    <s v="GHOB_WOODWASTE"/>
    <x v="0"/>
    <x v="21"/>
    <n v="81.810505687795398"/>
    <n v="29860.834576045301"/>
    <n v="107499.00447376299"/>
  </r>
  <r>
    <x v="0"/>
    <x v="0"/>
    <x v="0"/>
    <x v="3"/>
    <x v="12"/>
    <s v="SE2_OTHER"/>
    <x v="9"/>
    <s v="GHOB_WOODWASTE"/>
    <x v="0"/>
    <x v="22"/>
    <n v="71.364865290786696"/>
    <n v="26048.175831137101"/>
    <n v="93773.432992093702"/>
  </r>
  <r>
    <x v="0"/>
    <x v="0"/>
    <x v="0"/>
    <x v="3"/>
    <x v="12"/>
    <s v="SE2_OTHER"/>
    <x v="9"/>
    <s v="GHOB_WOODWASTE"/>
    <x v="0"/>
    <x v="23"/>
    <n v="54.948351061418499"/>
    <n v="20056.1481374178"/>
    <n v="72202.133294703905"/>
  </r>
  <r>
    <x v="0"/>
    <x v="0"/>
    <x v="0"/>
    <x v="3"/>
    <x v="13"/>
    <s v="SE3A"/>
    <x v="12"/>
    <s v="GCND_NUCLEAR"/>
    <x v="0"/>
    <x v="0"/>
    <n v="19974.467058758699"/>
    <n v="7290680.4764469303"/>
    <n v="26246449.715208899"/>
  </r>
  <r>
    <x v="0"/>
    <x v="0"/>
    <x v="0"/>
    <x v="3"/>
    <x v="13"/>
    <s v="SE3A"/>
    <x v="12"/>
    <s v="GCND_NUCLEAR"/>
    <x v="0"/>
    <x v="1"/>
    <n v="19974.467058758699"/>
    <n v="7290680.4764469303"/>
    <n v="26246449.715208899"/>
  </r>
  <r>
    <x v="0"/>
    <x v="0"/>
    <x v="0"/>
    <x v="3"/>
    <x v="13"/>
    <s v="SE3A"/>
    <x v="12"/>
    <s v="GCND_NUCLEAR"/>
    <x v="0"/>
    <x v="2"/>
    <n v="19974.467058758699"/>
    <n v="7290680.4764469303"/>
    <n v="26246449.715208899"/>
  </r>
  <r>
    <x v="0"/>
    <x v="0"/>
    <x v="0"/>
    <x v="3"/>
    <x v="13"/>
    <s v="SE3A"/>
    <x v="12"/>
    <s v="GCND_NUCLEAR"/>
    <x v="0"/>
    <x v="3"/>
    <n v="19974.467058758699"/>
    <n v="7290680.4764469303"/>
    <n v="26246449.715208899"/>
  </r>
  <r>
    <x v="0"/>
    <x v="0"/>
    <x v="0"/>
    <x v="3"/>
    <x v="13"/>
    <s v="SE3A"/>
    <x v="12"/>
    <s v="GCND_NUCLEAR"/>
    <x v="0"/>
    <x v="4"/>
    <n v="19974.467058758699"/>
    <n v="7290680.4764469303"/>
    <n v="26246449.715208899"/>
  </r>
  <r>
    <x v="0"/>
    <x v="0"/>
    <x v="0"/>
    <x v="3"/>
    <x v="13"/>
    <s v="SE3A"/>
    <x v="12"/>
    <s v="GCND_NUCLEAR"/>
    <x v="0"/>
    <x v="5"/>
    <n v="19974.467058758699"/>
    <n v="7290680.4764469303"/>
    <n v="26246449.715208899"/>
  </r>
  <r>
    <x v="0"/>
    <x v="0"/>
    <x v="0"/>
    <x v="3"/>
    <x v="13"/>
    <s v="SE3A"/>
    <x v="12"/>
    <s v="GCND_NUCLEAR"/>
    <x v="0"/>
    <x v="6"/>
    <n v="19974.467058758699"/>
    <n v="7290680.4764469303"/>
    <n v="26246449.715208899"/>
  </r>
  <r>
    <x v="0"/>
    <x v="0"/>
    <x v="0"/>
    <x v="3"/>
    <x v="13"/>
    <s v="SE3A"/>
    <x v="12"/>
    <s v="GCND_NUCLEAR"/>
    <x v="0"/>
    <x v="7"/>
    <n v="19974.467058758699"/>
    <n v="7290680.4764469303"/>
    <n v="26246449.715208899"/>
  </r>
  <r>
    <x v="0"/>
    <x v="0"/>
    <x v="0"/>
    <x v="3"/>
    <x v="13"/>
    <s v="SE3A"/>
    <x v="12"/>
    <s v="GCND_NUCLEAR"/>
    <x v="0"/>
    <x v="8"/>
    <n v="19974.467058758699"/>
    <n v="7290680.4764469303"/>
    <n v="26246449.715208899"/>
  </r>
  <r>
    <x v="0"/>
    <x v="0"/>
    <x v="0"/>
    <x v="3"/>
    <x v="13"/>
    <s v="SE3A"/>
    <x v="12"/>
    <s v="GCND_NUCLEAR"/>
    <x v="0"/>
    <x v="9"/>
    <n v="19974.467058758699"/>
    <n v="7290680.4764469303"/>
    <n v="26246449.715208899"/>
  </r>
  <r>
    <x v="0"/>
    <x v="0"/>
    <x v="0"/>
    <x v="3"/>
    <x v="13"/>
    <s v="SE3A"/>
    <x v="12"/>
    <s v="GCND_NUCLEAR"/>
    <x v="0"/>
    <x v="10"/>
    <n v="19974.467058758699"/>
    <n v="7290680.4764469303"/>
    <n v="26246449.715208899"/>
  </r>
  <r>
    <x v="0"/>
    <x v="0"/>
    <x v="0"/>
    <x v="3"/>
    <x v="13"/>
    <s v="SE3A"/>
    <x v="12"/>
    <s v="GCND_NUCLEAR"/>
    <x v="0"/>
    <x v="11"/>
    <n v="19974.467058758699"/>
    <n v="7290680.4764469303"/>
    <n v="26246449.715208899"/>
  </r>
  <r>
    <x v="0"/>
    <x v="0"/>
    <x v="0"/>
    <x v="3"/>
    <x v="13"/>
    <s v="SE3A"/>
    <x v="12"/>
    <s v="GCND_NUCLEAR"/>
    <x v="0"/>
    <x v="12"/>
    <n v="19974.467058758699"/>
    <n v="7290680.4764469303"/>
    <n v="26246449.715208899"/>
  </r>
  <r>
    <x v="0"/>
    <x v="0"/>
    <x v="0"/>
    <x v="3"/>
    <x v="13"/>
    <s v="SE3A"/>
    <x v="12"/>
    <s v="GCND_NUCLEAR"/>
    <x v="0"/>
    <x v="13"/>
    <n v="19974.467058758699"/>
    <n v="7290680.4764469303"/>
    <n v="26246449.715208899"/>
  </r>
  <r>
    <x v="0"/>
    <x v="0"/>
    <x v="0"/>
    <x v="3"/>
    <x v="13"/>
    <s v="SE3A"/>
    <x v="12"/>
    <s v="GCND_NUCLEAR"/>
    <x v="0"/>
    <x v="14"/>
    <n v="19974.467058758699"/>
    <n v="7290680.4764469303"/>
    <n v="26246449.715208899"/>
  </r>
  <r>
    <x v="0"/>
    <x v="0"/>
    <x v="0"/>
    <x v="3"/>
    <x v="13"/>
    <s v="SE3A"/>
    <x v="12"/>
    <s v="GCND_NUCLEAR"/>
    <x v="0"/>
    <x v="15"/>
    <n v="19974.467058758699"/>
    <n v="7290680.4764469303"/>
    <n v="26246449.715208899"/>
  </r>
  <r>
    <x v="0"/>
    <x v="0"/>
    <x v="0"/>
    <x v="3"/>
    <x v="13"/>
    <s v="SE3A"/>
    <x v="12"/>
    <s v="GCND_NUCLEAR"/>
    <x v="0"/>
    <x v="16"/>
    <n v="19974.467058758699"/>
    <n v="7290680.4764469303"/>
    <n v="26246449.715208899"/>
  </r>
  <r>
    <x v="0"/>
    <x v="0"/>
    <x v="0"/>
    <x v="3"/>
    <x v="13"/>
    <s v="SE3A"/>
    <x v="12"/>
    <s v="GCND_NUCLEAR"/>
    <x v="0"/>
    <x v="17"/>
    <n v="19974.467058758699"/>
    <n v="7290680.4764469303"/>
    <n v="26246449.715208899"/>
  </r>
  <r>
    <x v="0"/>
    <x v="0"/>
    <x v="0"/>
    <x v="3"/>
    <x v="13"/>
    <s v="SE3A"/>
    <x v="12"/>
    <s v="GCND_NUCLEAR"/>
    <x v="0"/>
    <x v="18"/>
    <n v="19974.467058758699"/>
    <n v="7290680.4764469303"/>
    <n v="26246449.715208899"/>
  </r>
  <r>
    <x v="0"/>
    <x v="0"/>
    <x v="0"/>
    <x v="3"/>
    <x v="13"/>
    <s v="SE3A"/>
    <x v="12"/>
    <s v="GCND_NUCLEAR"/>
    <x v="0"/>
    <x v="19"/>
    <n v="19974.467058758699"/>
    <n v="7290680.4764469303"/>
    <n v="26246449.715208899"/>
  </r>
  <r>
    <x v="0"/>
    <x v="0"/>
    <x v="0"/>
    <x v="3"/>
    <x v="13"/>
    <s v="SE3A"/>
    <x v="12"/>
    <s v="GCND_NUCLEAR"/>
    <x v="0"/>
    <x v="20"/>
    <n v="19974.467058758699"/>
    <n v="7290680.4764469303"/>
    <n v="26246449.715208899"/>
  </r>
  <r>
    <x v="0"/>
    <x v="0"/>
    <x v="0"/>
    <x v="3"/>
    <x v="13"/>
    <s v="SE3A"/>
    <x v="12"/>
    <s v="GCND_NUCLEAR"/>
    <x v="0"/>
    <x v="21"/>
    <n v="19974.467058758699"/>
    <n v="7290680.4764469303"/>
    <n v="26246449.715208899"/>
  </r>
  <r>
    <x v="0"/>
    <x v="0"/>
    <x v="0"/>
    <x v="3"/>
    <x v="13"/>
    <s v="SE3A"/>
    <x v="12"/>
    <s v="GCND_NUCLEAR"/>
    <x v="0"/>
    <x v="22"/>
    <n v="19974.467058758699"/>
    <n v="7290680.4764469303"/>
    <n v="26246449.715208899"/>
  </r>
  <r>
    <x v="0"/>
    <x v="0"/>
    <x v="0"/>
    <x v="3"/>
    <x v="13"/>
    <s v="SE3A"/>
    <x v="12"/>
    <s v="GCND_NUCLEAR"/>
    <x v="0"/>
    <x v="23"/>
    <n v="19974.467058758699"/>
    <n v="7290680.4764469303"/>
    <n v="26246449.715208899"/>
  </r>
  <r>
    <x v="0"/>
    <x v="0"/>
    <x v="0"/>
    <x v="3"/>
    <x v="13"/>
    <s v="SE3A"/>
    <x v="7"/>
    <s v="GHYRR_WATER"/>
    <x v="0"/>
    <x v="0"/>
    <n v="284.05507439643998"/>
    <n v="103680.102154701"/>
    <n v="373248.36775692197"/>
  </r>
  <r>
    <x v="0"/>
    <x v="0"/>
    <x v="0"/>
    <x v="3"/>
    <x v="13"/>
    <s v="SE3A"/>
    <x v="7"/>
    <s v="GHYRR_WATER"/>
    <x v="0"/>
    <x v="1"/>
    <n v="284.05507439643998"/>
    <n v="103680.102154701"/>
    <n v="373248.36775692197"/>
  </r>
  <r>
    <x v="0"/>
    <x v="0"/>
    <x v="0"/>
    <x v="3"/>
    <x v="13"/>
    <s v="SE3A"/>
    <x v="7"/>
    <s v="GHYRR_WATER"/>
    <x v="0"/>
    <x v="2"/>
    <n v="284.05507439643998"/>
    <n v="103680.102154701"/>
    <n v="373248.36775692197"/>
  </r>
  <r>
    <x v="0"/>
    <x v="0"/>
    <x v="0"/>
    <x v="3"/>
    <x v="13"/>
    <s v="SE3A"/>
    <x v="7"/>
    <s v="GHYRR_WATER"/>
    <x v="0"/>
    <x v="3"/>
    <n v="284.05507439643998"/>
    <n v="103680.102154701"/>
    <n v="373248.36775692197"/>
  </r>
  <r>
    <x v="0"/>
    <x v="0"/>
    <x v="0"/>
    <x v="3"/>
    <x v="13"/>
    <s v="SE3A"/>
    <x v="7"/>
    <s v="GHYRR_WATER"/>
    <x v="0"/>
    <x v="4"/>
    <n v="284.05507439643998"/>
    <n v="103680.102154701"/>
    <n v="373248.36775692197"/>
  </r>
  <r>
    <x v="0"/>
    <x v="0"/>
    <x v="0"/>
    <x v="3"/>
    <x v="13"/>
    <s v="SE3A"/>
    <x v="7"/>
    <s v="GHYRR_WATER"/>
    <x v="0"/>
    <x v="5"/>
    <n v="284.05507439643998"/>
    <n v="103680.102154701"/>
    <n v="373248.36775692197"/>
  </r>
  <r>
    <x v="0"/>
    <x v="0"/>
    <x v="0"/>
    <x v="3"/>
    <x v="13"/>
    <s v="SE3A"/>
    <x v="7"/>
    <s v="GHYRR_WATER"/>
    <x v="0"/>
    <x v="6"/>
    <n v="284.05507439643998"/>
    <n v="103680.102154701"/>
    <n v="373248.36775692197"/>
  </r>
  <r>
    <x v="0"/>
    <x v="0"/>
    <x v="0"/>
    <x v="3"/>
    <x v="13"/>
    <s v="SE3A"/>
    <x v="7"/>
    <s v="GHYRR_WATER"/>
    <x v="0"/>
    <x v="7"/>
    <n v="284.05507439643998"/>
    <n v="103680.102154701"/>
    <n v="373248.36775692197"/>
  </r>
  <r>
    <x v="0"/>
    <x v="0"/>
    <x v="0"/>
    <x v="3"/>
    <x v="13"/>
    <s v="SE3A"/>
    <x v="7"/>
    <s v="GHYRR_WATER"/>
    <x v="0"/>
    <x v="8"/>
    <n v="284.05507439643998"/>
    <n v="103680.102154701"/>
    <n v="373248.36775692197"/>
  </r>
  <r>
    <x v="0"/>
    <x v="0"/>
    <x v="0"/>
    <x v="3"/>
    <x v="13"/>
    <s v="SE3A"/>
    <x v="7"/>
    <s v="GHYRR_WATER"/>
    <x v="0"/>
    <x v="9"/>
    <n v="284.05507439643998"/>
    <n v="103680.102154701"/>
    <n v="373248.36775692197"/>
  </r>
  <r>
    <x v="0"/>
    <x v="0"/>
    <x v="0"/>
    <x v="3"/>
    <x v="13"/>
    <s v="SE3A"/>
    <x v="7"/>
    <s v="GHYRR_WATER"/>
    <x v="0"/>
    <x v="10"/>
    <n v="284.05507439643998"/>
    <n v="103680.102154701"/>
    <n v="373248.36775692197"/>
  </r>
  <r>
    <x v="0"/>
    <x v="0"/>
    <x v="0"/>
    <x v="3"/>
    <x v="13"/>
    <s v="SE3A"/>
    <x v="7"/>
    <s v="GHYRR_WATER"/>
    <x v="0"/>
    <x v="11"/>
    <n v="284.05507439643998"/>
    <n v="103680.102154701"/>
    <n v="373248.36775692197"/>
  </r>
  <r>
    <x v="0"/>
    <x v="0"/>
    <x v="0"/>
    <x v="3"/>
    <x v="13"/>
    <s v="SE3A"/>
    <x v="7"/>
    <s v="GHYRR_WATER"/>
    <x v="0"/>
    <x v="12"/>
    <n v="284.05507439643998"/>
    <n v="103680.102154701"/>
    <n v="373248.36775692197"/>
  </r>
  <r>
    <x v="0"/>
    <x v="0"/>
    <x v="0"/>
    <x v="3"/>
    <x v="13"/>
    <s v="SE3A"/>
    <x v="7"/>
    <s v="GHYRR_WATER"/>
    <x v="0"/>
    <x v="13"/>
    <n v="284.05507439643998"/>
    <n v="103680.102154701"/>
    <n v="373248.36775692197"/>
  </r>
  <r>
    <x v="0"/>
    <x v="0"/>
    <x v="0"/>
    <x v="3"/>
    <x v="13"/>
    <s v="SE3A"/>
    <x v="7"/>
    <s v="GHYRR_WATER"/>
    <x v="0"/>
    <x v="14"/>
    <n v="284.05507439643998"/>
    <n v="103680.102154701"/>
    <n v="373248.36775692197"/>
  </r>
  <r>
    <x v="0"/>
    <x v="0"/>
    <x v="0"/>
    <x v="3"/>
    <x v="13"/>
    <s v="SE3A"/>
    <x v="7"/>
    <s v="GHYRR_WATER"/>
    <x v="0"/>
    <x v="15"/>
    <n v="284.05507439643998"/>
    <n v="103680.102154701"/>
    <n v="373248.36775692197"/>
  </r>
  <r>
    <x v="0"/>
    <x v="0"/>
    <x v="0"/>
    <x v="3"/>
    <x v="13"/>
    <s v="SE3A"/>
    <x v="7"/>
    <s v="GHYRR_WATER"/>
    <x v="0"/>
    <x v="16"/>
    <n v="284.05507439643998"/>
    <n v="103680.102154701"/>
    <n v="373248.36775692197"/>
  </r>
  <r>
    <x v="0"/>
    <x v="0"/>
    <x v="0"/>
    <x v="3"/>
    <x v="13"/>
    <s v="SE3A"/>
    <x v="7"/>
    <s v="GHYRR_WATER"/>
    <x v="0"/>
    <x v="17"/>
    <n v="284.05507439643998"/>
    <n v="103680.102154701"/>
    <n v="373248.36775692197"/>
  </r>
  <r>
    <x v="0"/>
    <x v="0"/>
    <x v="0"/>
    <x v="3"/>
    <x v="13"/>
    <s v="SE3A"/>
    <x v="7"/>
    <s v="GHYRR_WATER"/>
    <x v="0"/>
    <x v="18"/>
    <n v="284.05507439643998"/>
    <n v="103680.102154701"/>
    <n v="373248.36775692197"/>
  </r>
  <r>
    <x v="0"/>
    <x v="0"/>
    <x v="0"/>
    <x v="3"/>
    <x v="13"/>
    <s v="SE3A"/>
    <x v="7"/>
    <s v="GHYRR_WATER"/>
    <x v="0"/>
    <x v="19"/>
    <n v="284.05507439643998"/>
    <n v="103680.102154701"/>
    <n v="373248.36775692197"/>
  </r>
  <r>
    <x v="0"/>
    <x v="0"/>
    <x v="0"/>
    <x v="3"/>
    <x v="13"/>
    <s v="SE3A"/>
    <x v="7"/>
    <s v="GHYRR_WATER"/>
    <x v="0"/>
    <x v="20"/>
    <n v="284.05507439643998"/>
    <n v="103680.102154701"/>
    <n v="373248.36775692197"/>
  </r>
  <r>
    <x v="0"/>
    <x v="0"/>
    <x v="0"/>
    <x v="3"/>
    <x v="13"/>
    <s v="SE3A"/>
    <x v="7"/>
    <s v="GHYRR_WATER"/>
    <x v="0"/>
    <x v="21"/>
    <n v="284.05507439643998"/>
    <n v="103680.102154701"/>
    <n v="373248.36775692197"/>
  </r>
  <r>
    <x v="0"/>
    <x v="0"/>
    <x v="0"/>
    <x v="3"/>
    <x v="13"/>
    <s v="SE3A"/>
    <x v="7"/>
    <s v="GHYRR_WATER"/>
    <x v="0"/>
    <x v="22"/>
    <n v="284.05507439643998"/>
    <n v="103680.102154701"/>
    <n v="373248.36775692197"/>
  </r>
  <r>
    <x v="0"/>
    <x v="0"/>
    <x v="0"/>
    <x v="3"/>
    <x v="13"/>
    <s v="SE3A"/>
    <x v="7"/>
    <s v="GHYRR_WATER"/>
    <x v="0"/>
    <x v="23"/>
    <n v="284.05507439643998"/>
    <n v="103680.102154701"/>
    <n v="373248.36775692197"/>
  </r>
  <r>
    <x v="0"/>
    <x v="0"/>
    <x v="0"/>
    <x v="3"/>
    <x v="13"/>
    <s v="SE3A"/>
    <x v="7"/>
    <s v="GHYRS_WATER"/>
    <x v="0"/>
    <x v="0"/>
    <n v="2010"/>
    <n v="733650"/>
    <n v="2641140"/>
  </r>
  <r>
    <x v="0"/>
    <x v="0"/>
    <x v="0"/>
    <x v="3"/>
    <x v="13"/>
    <s v="SE3A"/>
    <x v="7"/>
    <s v="GHYRS_WATER"/>
    <x v="0"/>
    <x v="2"/>
    <n v="1953.2190698185"/>
    <n v="712924.96048375103"/>
    <n v="2566529.8577414998"/>
  </r>
  <r>
    <x v="0"/>
    <x v="0"/>
    <x v="0"/>
    <x v="3"/>
    <x v="13"/>
    <s v="SE3A"/>
    <x v="7"/>
    <s v="GHYRS_WATER"/>
    <x v="0"/>
    <x v="4"/>
    <n v="1014.89628228453"/>
    <n v="370437.14303385402"/>
    <n v="1333573.71492188"/>
  </r>
  <r>
    <x v="0"/>
    <x v="0"/>
    <x v="0"/>
    <x v="3"/>
    <x v="13"/>
    <s v="SE3A"/>
    <x v="7"/>
    <s v="GHYRS_WATER"/>
    <x v="0"/>
    <x v="7"/>
    <n v="538.504208391661"/>
    <n v="196554.036062956"/>
    <n v="707594.52982664295"/>
  </r>
  <r>
    <x v="0"/>
    <x v="0"/>
    <x v="0"/>
    <x v="3"/>
    <x v="13"/>
    <s v="SE3A"/>
    <x v="7"/>
    <s v="GHYRS_WATER"/>
    <x v="0"/>
    <x v="8"/>
    <n v="559.73358193437105"/>
    <n v="204302.75740604501"/>
    <n v="735489.92666176404"/>
  </r>
  <r>
    <x v="0"/>
    <x v="0"/>
    <x v="0"/>
    <x v="3"/>
    <x v="13"/>
    <s v="SE3A"/>
    <x v="7"/>
    <s v="GHYRS_WATER"/>
    <x v="0"/>
    <x v="9"/>
    <n v="2010"/>
    <n v="733650"/>
    <n v="2641140"/>
  </r>
  <r>
    <x v="0"/>
    <x v="0"/>
    <x v="0"/>
    <x v="3"/>
    <x v="13"/>
    <s v="SE3A"/>
    <x v="7"/>
    <s v="GHYRS_WATER"/>
    <x v="0"/>
    <x v="10"/>
    <n v="2010"/>
    <n v="733650"/>
    <n v="2641140"/>
  </r>
  <r>
    <x v="0"/>
    <x v="0"/>
    <x v="0"/>
    <x v="3"/>
    <x v="13"/>
    <s v="SE3A"/>
    <x v="7"/>
    <s v="GHYRS_WATER"/>
    <x v="0"/>
    <x v="11"/>
    <n v="1152.9395229551501"/>
    <n v="420822.92587863101"/>
    <n v="1514962.53316307"/>
  </r>
  <r>
    <x v="0"/>
    <x v="0"/>
    <x v="0"/>
    <x v="3"/>
    <x v="13"/>
    <s v="SE3A"/>
    <x v="7"/>
    <s v="GHYRS_WATER"/>
    <x v="0"/>
    <x v="12"/>
    <n v="2010"/>
    <n v="733650"/>
    <n v="2641140"/>
  </r>
  <r>
    <x v="0"/>
    <x v="0"/>
    <x v="0"/>
    <x v="3"/>
    <x v="13"/>
    <s v="SE3A"/>
    <x v="7"/>
    <s v="GHYRS_WATER"/>
    <x v="0"/>
    <x v="13"/>
    <n v="2010"/>
    <n v="733650"/>
    <n v="2641140"/>
  </r>
  <r>
    <x v="0"/>
    <x v="0"/>
    <x v="0"/>
    <x v="3"/>
    <x v="13"/>
    <s v="SE3A"/>
    <x v="7"/>
    <s v="GHYRS_WATER"/>
    <x v="0"/>
    <x v="14"/>
    <n v="2010"/>
    <n v="733650"/>
    <n v="2641140"/>
  </r>
  <r>
    <x v="0"/>
    <x v="0"/>
    <x v="0"/>
    <x v="3"/>
    <x v="13"/>
    <s v="SE3A"/>
    <x v="7"/>
    <s v="GHYRS_WATER"/>
    <x v="0"/>
    <x v="15"/>
    <n v="132.136904483477"/>
    <n v="48229.970136469201"/>
    <n v="173627.89249128901"/>
  </r>
  <r>
    <x v="0"/>
    <x v="0"/>
    <x v="0"/>
    <x v="3"/>
    <x v="13"/>
    <s v="SE3A"/>
    <x v="7"/>
    <s v="GHYRS_WATER"/>
    <x v="0"/>
    <x v="16"/>
    <n v="120.76967969536"/>
    <n v="44080.933088806298"/>
    <n v="158691.359119703"/>
  </r>
  <r>
    <x v="0"/>
    <x v="0"/>
    <x v="0"/>
    <x v="3"/>
    <x v="13"/>
    <s v="SE3A"/>
    <x v="7"/>
    <s v="GHYRS_WATER"/>
    <x v="0"/>
    <x v="17"/>
    <n v="359.59908243357398"/>
    <n v="131253.66508825499"/>
    <n v="472513.19431771699"/>
  </r>
  <r>
    <x v="0"/>
    <x v="0"/>
    <x v="0"/>
    <x v="3"/>
    <x v="13"/>
    <s v="SE3A"/>
    <x v="7"/>
    <s v="GHYRS_WATER"/>
    <x v="0"/>
    <x v="18"/>
    <n v="1053.63421042747"/>
    <n v="384576.486806028"/>
    <n v="1384475.3525016999"/>
  </r>
  <r>
    <x v="0"/>
    <x v="0"/>
    <x v="0"/>
    <x v="3"/>
    <x v="13"/>
    <s v="SE3A"/>
    <x v="7"/>
    <s v="GHYRS_WATER"/>
    <x v="0"/>
    <x v="19"/>
    <n v="1829.5073530976899"/>
    <n v="667770.18388065498"/>
    <n v="2403972.6619703602"/>
  </r>
  <r>
    <x v="0"/>
    <x v="0"/>
    <x v="0"/>
    <x v="3"/>
    <x v="13"/>
    <s v="SE3A"/>
    <x v="7"/>
    <s v="GHYRS_WATER"/>
    <x v="0"/>
    <x v="20"/>
    <n v="2010"/>
    <n v="733650"/>
    <n v="2641140"/>
  </r>
  <r>
    <x v="0"/>
    <x v="0"/>
    <x v="0"/>
    <x v="3"/>
    <x v="13"/>
    <s v="SE3A"/>
    <x v="7"/>
    <s v="GHYRS_WATER"/>
    <x v="0"/>
    <x v="21"/>
    <n v="765.88057066734996"/>
    <n v="279546.40829358302"/>
    <n v="1006367.0698569"/>
  </r>
  <r>
    <x v="0"/>
    <x v="0"/>
    <x v="0"/>
    <x v="3"/>
    <x v="13"/>
    <s v="SE3A"/>
    <x v="7"/>
    <s v="GHYRS_WATER"/>
    <x v="0"/>
    <x v="22"/>
    <n v="1230.8735770762"/>
    <n v="449268.85563281202"/>
    <n v="1617367.8802781201"/>
  </r>
  <r>
    <x v="0"/>
    <x v="0"/>
    <x v="0"/>
    <x v="3"/>
    <x v="13"/>
    <s v="SE3A"/>
    <x v="7"/>
    <s v="GHYRS_WATER"/>
    <x v="0"/>
    <x v="23"/>
    <n v="2010"/>
    <n v="733650"/>
    <n v="2641140"/>
  </r>
  <r>
    <x v="0"/>
    <x v="0"/>
    <x v="0"/>
    <x v="3"/>
    <x v="13"/>
    <s v="SE3A"/>
    <x v="8"/>
    <s v="GNR_WT_WIND_ONS"/>
    <x v="0"/>
    <x v="0"/>
    <n v="351.698565228078"/>
    <n v="128369.97630824801"/>
    <n v="462131.91470969399"/>
  </r>
  <r>
    <x v="0"/>
    <x v="0"/>
    <x v="0"/>
    <x v="3"/>
    <x v="13"/>
    <s v="SE3A"/>
    <x v="8"/>
    <s v="GNR_WT_WIND_ONS"/>
    <x v="0"/>
    <x v="1"/>
    <n v="417.27428866233402"/>
    <n v="152305.11536175199"/>
    <n v="548298.41530230595"/>
  </r>
  <r>
    <x v="0"/>
    <x v="0"/>
    <x v="0"/>
    <x v="3"/>
    <x v="13"/>
    <s v="SE3A"/>
    <x v="8"/>
    <s v="GNR_WT_WIND_ONS"/>
    <x v="0"/>
    <x v="2"/>
    <n v="486.32383603682302"/>
    <n v="177508.20015344"/>
    <n v="639029.52055238502"/>
  </r>
  <r>
    <x v="0"/>
    <x v="0"/>
    <x v="0"/>
    <x v="3"/>
    <x v="13"/>
    <s v="SE3A"/>
    <x v="8"/>
    <s v="GNR_WT_WIND_ONS"/>
    <x v="0"/>
    <x v="3"/>
    <n v="540.50038316766199"/>
    <n v="197282.639856197"/>
    <n v="710217.50348230801"/>
  </r>
  <r>
    <x v="0"/>
    <x v="0"/>
    <x v="0"/>
    <x v="3"/>
    <x v="13"/>
    <s v="SE3A"/>
    <x v="8"/>
    <s v="GNR_WT_WIND_ONS"/>
    <x v="0"/>
    <x v="4"/>
    <n v="568.61187696718196"/>
    <n v="207543.33509302101"/>
    <n v="747156.00633487699"/>
  </r>
  <r>
    <x v="0"/>
    <x v="0"/>
    <x v="0"/>
    <x v="3"/>
    <x v="13"/>
    <s v="SE3A"/>
    <x v="8"/>
    <s v="GNR_WT_WIND_ONS"/>
    <x v="0"/>
    <x v="5"/>
    <n v="581.33661964900796"/>
    <n v="212187.86617188799"/>
    <n v="763876.31821879698"/>
  </r>
  <r>
    <x v="0"/>
    <x v="0"/>
    <x v="0"/>
    <x v="3"/>
    <x v="13"/>
    <s v="SE3A"/>
    <x v="8"/>
    <s v="GNR_WT_WIND_ONS"/>
    <x v="0"/>
    <x v="6"/>
    <n v="602.41306258519296"/>
    <n v="219880.76784359501"/>
    <n v="791570.76423694298"/>
  </r>
  <r>
    <x v="0"/>
    <x v="0"/>
    <x v="0"/>
    <x v="3"/>
    <x v="13"/>
    <s v="SE3A"/>
    <x v="8"/>
    <s v="GNR_WT_WIND_ONS"/>
    <x v="0"/>
    <x v="7"/>
    <n v="611.20773403643796"/>
    <n v="223090.8229233"/>
    <n v="803126.96252387902"/>
  </r>
  <r>
    <x v="0"/>
    <x v="0"/>
    <x v="0"/>
    <x v="3"/>
    <x v="13"/>
    <s v="SE3A"/>
    <x v="8"/>
    <s v="GNR_WT_WIND_ONS"/>
    <x v="0"/>
    <x v="8"/>
    <n v="609.99460353404902"/>
    <n v="222648.03028992799"/>
    <n v="801532.90904374095"/>
  </r>
  <r>
    <x v="0"/>
    <x v="0"/>
    <x v="0"/>
    <x v="3"/>
    <x v="13"/>
    <s v="SE3A"/>
    <x v="8"/>
    <s v="GNR_WT_WIND_ONS"/>
    <x v="0"/>
    <x v="9"/>
    <n v="590.54374681097397"/>
    <n v="215548.46758600601"/>
    <n v="775974.48330961994"/>
  </r>
  <r>
    <x v="0"/>
    <x v="0"/>
    <x v="0"/>
    <x v="3"/>
    <x v="13"/>
    <s v="SE3A"/>
    <x v="8"/>
    <s v="GNR_WT_WIND_ONS"/>
    <x v="0"/>
    <x v="10"/>
    <n v="596.03025430196601"/>
    <n v="217551.042820217"/>
    <n v="783183.75415278296"/>
  </r>
  <r>
    <x v="0"/>
    <x v="0"/>
    <x v="0"/>
    <x v="3"/>
    <x v="13"/>
    <s v="SE3A"/>
    <x v="8"/>
    <s v="GNR_WT_WIND_ONS"/>
    <x v="0"/>
    <x v="11"/>
    <n v="606.07560850139703"/>
    <n v="221217.59710300999"/>
    <n v="796383.34957083606"/>
  </r>
  <r>
    <x v="0"/>
    <x v="0"/>
    <x v="0"/>
    <x v="3"/>
    <x v="13"/>
    <s v="SE3A"/>
    <x v="8"/>
    <s v="GNR_WT_WIND_ONS"/>
    <x v="0"/>
    <x v="12"/>
    <n v="619.12676627702695"/>
    <n v="225981.26969111501"/>
    <n v="813532.57088801404"/>
  </r>
  <r>
    <x v="0"/>
    <x v="0"/>
    <x v="0"/>
    <x v="3"/>
    <x v="13"/>
    <s v="SE3A"/>
    <x v="8"/>
    <s v="GNR_WT_WIND_ONS"/>
    <x v="0"/>
    <x v="13"/>
    <n v="634.56435270855002"/>
    <n v="231615.988738621"/>
    <n v="833817.55945903505"/>
  </r>
  <r>
    <x v="0"/>
    <x v="0"/>
    <x v="0"/>
    <x v="3"/>
    <x v="13"/>
    <s v="SE3A"/>
    <x v="8"/>
    <s v="GNR_WT_WIND_ONS"/>
    <x v="0"/>
    <x v="14"/>
    <n v="618.85154336253697"/>
    <n v="225880.813327326"/>
    <n v="813170.92797837302"/>
  </r>
  <r>
    <x v="0"/>
    <x v="0"/>
    <x v="0"/>
    <x v="3"/>
    <x v="13"/>
    <s v="SE3A"/>
    <x v="8"/>
    <s v="GNR_WT_WIND_ONS"/>
    <x v="0"/>
    <x v="15"/>
    <n v="617.17312710865804"/>
    <n v="225268.19139466001"/>
    <n v="810965.48902077705"/>
  </r>
  <r>
    <x v="0"/>
    <x v="0"/>
    <x v="0"/>
    <x v="3"/>
    <x v="13"/>
    <s v="SE3A"/>
    <x v="8"/>
    <s v="GNR_WT_WIND_ONS"/>
    <x v="0"/>
    <x v="16"/>
    <n v="600.52272751766895"/>
    <n v="219190.795543949"/>
    <n v="789086.86395821802"/>
  </r>
  <r>
    <x v="0"/>
    <x v="0"/>
    <x v="0"/>
    <x v="3"/>
    <x v="13"/>
    <s v="SE3A"/>
    <x v="8"/>
    <s v="GNR_WT_WIND_ONS"/>
    <x v="0"/>
    <x v="17"/>
    <n v="546.48011479279796"/>
    <n v="199465.241899371"/>
    <n v="718074.87083773699"/>
  </r>
  <r>
    <x v="0"/>
    <x v="0"/>
    <x v="0"/>
    <x v="3"/>
    <x v="13"/>
    <s v="SE3A"/>
    <x v="8"/>
    <s v="GNR_WT_WIND_ONS"/>
    <x v="0"/>
    <x v="18"/>
    <n v="455.90838089377399"/>
    <n v="166406.559026228"/>
    <n v="599063.61249441898"/>
  </r>
  <r>
    <x v="0"/>
    <x v="0"/>
    <x v="0"/>
    <x v="3"/>
    <x v="13"/>
    <s v="SE3A"/>
    <x v="8"/>
    <s v="GNR_WT_WIND_ONS"/>
    <x v="0"/>
    <x v="19"/>
    <n v="448.14734416225599"/>
    <n v="163573.78061922401"/>
    <n v="588865.61022920499"/>
  </r>
  <r>
    <x v="0"/>
    <x v="0"/>
    <x v="0"/>
    <x v="3"/>
    <x v="13"/>
    <s v="SE3A"/>
    <x v="8"/>
    <s v="GNR_WT_WIND_ONS"/>
    <x v="0"/>
    <x v="20"/>
    <n v="431.53828400842298"/>
    <n v="157511.47366307501"/>
    <n v="567041.30518706795"/>
  </r>
  <r>
    <x v="0"/>
    <x v="0"/>
    <x v="0"/>
    <x v="3"/>
    <x v="13"/>
    <s v="SE3A"/>
    <x v="8"/>
    <s v="GNR_WT_WIND_ONS"/>
    <x v="0"/>
    <x v="21"/>
    <n v="407.102767402746"/>
    <n v="148592.51010200201"/>
    <n v="534933.036367208"/>
  </r>
  <r>
    <x v="0"/>
    <x v="0"/>
    <x v="0"/>
    <x v="3"/>
    <x v="13"/>
    <s v="SE3A"/>
    <x v="8"/>
    <s v="GNR_WT_WIND_ONS"/>
    <x v="0"/>
    <x v="22"/>
    <n v="409.584293735551"/>
    <n v="149498.26721347601"/>
    <n v="538193.76196851395"/>
  </r>
  <r>
    <x v="0"/>
    <x v="0"/>
    <x v="0"/>
    <x v="3"/>
    <x v="13"/>
    <s v="SE3A"/>
    <x v="8"/>
    <s v="GNR_WT_WIND_ONS"/>
    <x v="0"/>
    <x v="23"/>
    <n v="363.44451306945302"/>
    <n v="132657.24727035"/>
    <n v="477566.090173262"/>
  </r>
  <r>
    <x v="0"/>
    <x v="0"/>
    <x v="0"/>
    <x v="3"/>
    <x v="13"/>
    <s v="SE3_EL"/>
    <x v="0"/>
    <s v="GEXT_COAL_LINK"/>
    <x v="0"/>
    <x v="0"/>
    <n v="23.820843823318199"/>
    <n v="8694.60799551116"/>
    <n v="31300.588783840201"/>
  </r>
  <r>
    <x v="0"/>
    <x v="0"/>
    <x v="0"/>
    <x v="3"/>
    <x v="13"/>
    <s v="SE3_EL"/>
    <x v="0"/>
    <s v="GEXT_COAL_LINK"/>
    <x v="0"/>
    <x v="1"/>
    <n v="29.960804035005498"/>
    <n v="10935.693472777"/>
    <n v="39368.496501997201"/>
  </r>
  <r>
    <x v="0"/>
    <x v="0"/>
    <x v="0"/>
    <x v="3"/>
    <x v="13"/>
    <s v="SE3_EL"/>
    <x v="0"/>
    <s v="GEXT_COAL_LINK"/>
    <x v="0"/>
    <x v="2"/>
    <n v="29.960804035005498"/>
    <n v="10935.693472777"/>
    <n v="39368.496501997201"/>
  </r>
  <r>
    <x v="0"/>
    <x v="0"/>
    <x v="0"/>
    <x v="3"/>
    <x v="13"/>
    <s v="SE3_EL"/>
    <x v="0"/>
    <s v="GEXT_COAL_LINK"/>
    <x v="0"/>
    <x v="3"/>
    <n v="29.960804035005498"/>
    <n v="10935.693472777"/>
    <n v="39368.496501997201"/>
  </r>
  <r>
    <x v="0"/>
    <x v="0"/>
    <x v="0"/>
    <x v="3"/>
    <x v="13"/>
    <s v="SE3_EL"/>
    <x v="0"/>
    <s v="GEXT_COAL_LINK"/>
    <x v="0"/>
    <x v="4"/>
    <n v="29.960804035005498"/>
    <n v="10935.693472777"/>
    <n v="39368.496501997201"/>
  </r>
  <r>
    <x v="0"/>
    <x v="0"/>
    <x v="0"/>
    <x v="3"/>
    <x v="13"/>
    <s v="SE3_EL"/>
    <x v="0"/>
    <s v="GEXT_COAL_LINK"/>
    <x v="0"/>
    <x v="5"/>
    <n v="29.960804035005498"/>
    <n v="10935.693472777"/>
    <n v="39368.496501997201"/>
  </r>
  <r>
    <x v="0"/>
    <x v="0"/>
    <x v="0"/>
    <x v="3"/>
    <x v="13"/>
    <s v="SE3_EL"/>
    <x v="0"/>
    <s v="GEXT_COAL_LINK"/>
    <x v="0"/>
    <x v="6"/>
    <n v="29.960804035005498"/>
    <n v="10935.693472777"/>
    <n v="39368.496501997201"/>
  </r>
  <r>
    <x v="0"/>
    <x v="0"/>
    <x v="0"/>
    <x v="3"/>
    <x v="13"/>
    <s v="SE3_EL"/>
    <x v="0"/>
    <s v="GEXT_COAL_LINK"/>
    <x v="0"/>
    <x v="7"/>
    <n v="29.960804035005498"/>
    <n v="10935.693472777"/>
    <n v="39368.496501997201"/>
  </r>
  <r>
    <x v="0"/>
    <x v="0"/>
    <x v="0"/>
    <x v="3"/>
    <x v="13"/>
    <s v="SE3_EL"/>
    <x v="0"/>
    <s v="GEXT_COAL_LINK"/>
    <x v="0"/>
    <x v="8"/>
    <n v="29.960804035005498"/>
    <n v="10935.693472777"/>
    <n v="39368.496501997201"/>
  </r>
  <r>
    <x v="0"/>
    <x v="0"/>
    <x v="0"/>
    <x v="3"/>
    <x v="13"/>
    <s v="SE3_EL"/>
    <x v="0"/>
    <s v="GEXT_COAL_LINK"/>
    <x v="0"/>
    <x v="9"/>
    <n v="29.960804035005498"/>
    <n v="10935.693472777"/>
    <n v="39368.496501997201"/>
  </r>
  <r>
    <x v="0"/>
    <x v="0"/>
    <x v="0"/>
    <x v="3"/>
    <x v="13"/>
    <s v="SE3_EL"/>
    <x v="0"/>
    <s v="GEXT_COAL_LINK"/>
    <x v="0"/>
    <x v="10"/>
    <n v="29.960804035005498"/>
    <n v="10935.693472777"/>
    <n v="39368.496501997201"/>
  </r>
  <r>
    <x v="0"/>
    <x v="0"/>
    <x v="0"/>
    <x v="3"/>
    <x v="13"/>
    <s v="SE3_EL"/>
    <x v="0"/>
    <s v="GEXT_COAL_LINK"/>
    <x v="0"/>
    <x v="11"/>
    <n v="29.960804035005498"/>
    <n v="10935.693472777"/>
    <n v="39368.496501997201"/>
  </r>
  <r>
    <x v="0"/>
    <x v="0"/>
    <x v="0"/>
    <x v="3"/>
    <x v="13"/>
    <s v="SE3_EL"/>
    <x v="0"/>
    <s v="GEXT_COAL_LINK"/>
    <x v="0"/>
    <x v="12"/>
    <n v="29.960804035005498"/>
    <n v="10935.693472777"/>
    <n v="39368.496501997201"/>
  </r>
  <r>
    <x v="0"/>
    <x v="0"/>
    <x v="0"/>
    <x v="3"/>
    <x v="13"/>
    <s v="SE3_EL"/>
    <x v="0"/>
    <s v="GEXT_COAL_LINK"/>
    <x v="0"/>
    <x v="13"/>
    <n v="29.960804035005498"/>
    <n v="10935.693472777"/>
    <n v="39368.496501997201"/>
  </r>
  <r>
    <x v="0"/>
    <x v="0"/>
    <x v="0"/>
    <x v="3"/>
    <x v="13"/>
    <s v="SE3_EL"/>
    <x v="0"/>
    <s v="GEXT_COAL_LINK"/>
    <x v="0"/>
    <x v="14"/>
    <n v="29.960804035005498"/>
    <n v="10935.693472777"/>
    <n v="39368.496501997201"/>
  </r>
  <r>
    <x v="0"/>
    <x v="0"/>
    <x v="0"/>
    <x v="3"/>
    <x v="13"/>
    <s v="SE3_EL"/>
    <x v="0"/>
    <s v="GEXT_COAL_LINK"/>
    <x v="0"/>
    <x v="15"/>
    <n v="29.960804035005498"/>
    <n v="10935.693472777"/>
    <n v="39368.496501997201"/>
  </r>
  <r>
    <x v="0"/>
    <x v="0"/>
    <x v="0"/>
    <x v="3"/>
    <x v="13"/>
    <s v="SE3_EL"/>
    <x v="0"/>
    <s v="GEXT_COAL_LINK"/>
    <x v="0"/>
    <x v="16"/>
    <n v="29.960804035005498"/>
    <n v="10935.693472777"/>
    <n v="39368.496501997201"/>
  </r>
  <r>
    <x v="0"/>
    <x v="0"/>
    <x v="0"/>
    <x v="3"/>
    <x v="13"/>
    <s v="SE3_EL"/>
    <x v="0"/>
    <s v="GEXT_COAL_LINK"/>
    <x v="0"/>
    <x v="17"/>
    <n v="29.960804035005498"/>
    <n v="10935.693472777"/>
    <n v="39368.496501997201"/>
  </r>
  <r>
    <x v="0"/>
    <x v="0"/>
    <x v="0"/>
    <x v="3"/>
    <x v="13"/>
    <s v="SE3_EL"/>
    <x v="0"/>
    <s v="GEXT_COAL_LINK"/>
    <x v="0"/>
    <x v="18"/>
    <n v="29.960804035005498"/>
    <n v="10935.693472777"/>
    <n v="39368.496501997201"/>
  </r>
  <r>
    <x v="0"/>
    <x v="0"/>
    <x v="0"/>
    <x v="3"/>
    <x v="13"/>
    <s v="SE3_EL"/>
    <x v="0"/>
    <s v="GEXT_COAL_LINK"/>
    <x v="0"/>
    <x v="19"/>
    <n v="29.960804035005498"/>
    <n v="10935.693472777"/>
    <n v="39368.496501997201"/>
  </r>
  <r>
    <x v="0"/>
    <x v="0"/>
    <x v="0"/>
    <x v="3"/>
    <x v="13"/>
    <s v="SE3_EL"/>
    <x v="0"/>
    <s v="GEXT_COAL_LINK"/>
    <x v="0"/>
    <x v="20"/>
    <n v="29.960804035005498"/>
    <n v="10935.693472777"/>
    <n v="39368.496501997201"/>
  </r>
  <r>
    <x v="0"/>
    <x v="0"/>
    <x v="0"/>
    <x v="3"/>
    <x v="13"/>
    <s v="SE3_EL"/>
    <x v="0"/>
    <s v="GEXT_COAL_LINK"/>
    <x v="0"/>
    <x v="21"/>
    <n v="29.960804035005498"/>
    <n v="10935.693472777"/>
    <n v="39368.496501997201"/>
  </r>
  <r>
    <x v="0"/>
    <x v="0"/>
    <x v="0"/>
    <x v="3"/>
    <x v="13"/>
    <s v="SE3_EL"/>
    <x v="0"/>
    <s v="GEXT_COAL_LINK"/>
    <x v="0"/>
    <x v="22"/>
    <n v="29.960804035005498"/>
    <n v="10935.693472777"/>
    <n v="39368.496501997201"/>
  </r>
  <r>
    <x v="0"/>
    <x v="0"/>
    <x v="0"/>
    <x v="3"/>
    <x v="13"/>
    <s v="SE3_EL"/>
    <x v="0"/>
    <s v="GEXT_COAL_LINK"/>
    <x v="0"/>
    <x v="23"/>
    <n v="29.960804035005498"/>
    <n v="10935.693472777"/>
    <n v="39368.496501997201"/>
  </r>
  <r>
    <x v="0"/>
    <x v="0"/>
    <x v="0"/>
    <x v="3"/>
    <x v="13"/>
    <s v="SE3_EL"/>
    <x v="1"/>
    <s v="GBPR_MUNIWASTE_24"/>
    <x v="0"/>
    <x v="0"/>
    <n v="240.017019082118"/>
    <n v="87606.211964973001"/>
    <n v="315382.36307390302"/>
  </r>
  <r>
    <x v="0"/>
    <x v="0"/>
    <x v="0"/>
    <x v="3"/>
    <x v="13"/>
    <s v="SE3_EL"/>
    <x v="1"/>
    <s v="GBPR_MUNIWASTE_24"/>
    <x v="0"/>
    <x v="1"/>
    <n v="240.017019082118"/>
    <n v="87606.211964973001"/>
    <n v="315382.36307390302"/>
  </r>
  <r>
    <x v="0"/>
    <x v="0"/>
    <x v="0"/>
    <x v="3"/>
    <x v="13"/>
    <s v="SE3_EL"/>
    <x v="1"/>
    <s v="GBPR_MUNIWASTE_24"/>
    <x v="0"/>
    <x v="2"/>
    <n v="240.017019082118"/>
    <n v="87606.211964973001"/>
    <n v="315382.36307390302"/>
  </r>
  <r>
    <x v="0"/>
    <x v="0"/>
    <x v="0"/>
    <x v="3"/>
    <x v="13"/>
    <s v="SE3_EL"/>
    <x v="1"/>
    <s v="GBPR_MUNIWASTE_24"/>
    <x v="0"/>
    <x v="3"/>
    <n v="240.017019082118"/>
    <n v="87606.211964973001"/>
    <n v="315382.36307390302"/>
  </r>
  <r>
    <x v="0"/>
    <x v="0"/>
    <x v="0"/>
    <x v="3"/>
    <x v="13"/>
    <s v="SE3_EL"/>
    <x v="1"/>
    <s v="GBPR_MUNIWASTE_24"/>
    <x v="0"/>
    <x v="4"/>
    <n v="240.017019082118"/>
    <n v="87606.211964973001"/>
    <n v="315382.36307390302"/>
  </r>
  <r>
    <x v="0"/>
    <x v="0"/>
    <x v="0"/>
    <x v="3"/>
    <x v="13"/>
    <s v="SE3_EL"/>
    <x v="1"/>
    <s v="GBPR_MUNIWASTE_24"/>
    <x v="0"/>
    <x v="5"/>
    <n v="240.017019082118"/>
    <n v="87606.211964973001"/>
    <n v="315382.36307390302"/>
  </r>
  <r>
    <x v="0"/>
    <x v="0"/>
    <x v="0"/>
    <x v="3"/>
    <x v="13"/>
    <s v="SE3_EL"/>
    <x v="1"/>
    <s v="GBPR_MUNIWASTE_24"/>
    <x v="0"/>
    <x v="6"/>
    <n v="240.017019082118"/>
    <n v="87606.211964973001"/>
    <n v="315382.36307390302"/>
  </r>
  <r>
    <x v="0"/>
    <x v="0"/>
    <x v="0"/>
    <x v="3"/>
    <x v="13"/>
    <s v="SE3_EL"/>
    <x v="1"/>
    <s v="GBPR_MUNIWASTE_24"/>
    <x v="0"/>
    <x v="7"/>
    <n v="240.017019082118"/>
    <n v="87606.211964973001"/>
    <n v="315382.36307390302"/>
  </r>
  <r>
    <x v="0"/>
    <x v="0"/>
    <x v="0"/>
    <x v="3"/>
    <x v="13"/>
    <s v="SE3_EL"/>
    <x v="1"/>
    <s v="GBPR_MUNIWASTE_24"/>
    <x v="0"/>
    <x v="8"/>
    <n v="240.017019082118"/>
    <n v="87606.211964973001"/>
    <n v="315382.36307390302"/>
  </r>
  <r>
    <x v="0"/>
    <x v="0"/>
    <x v="0"/>
    <x v="3"/>
    <x v="13"/>
    <s v="SE3_EL"/>
    <x v="1"/>
    <s v="GBPR_MUNIWASTE_24"/>
    <x v="0"/>
    <x v="9"/>
    <n v="240.017019082118"/>
    <n v="87606.211964973001"/>
    <n v="315382.36307390302"/>
  </r>
  <r>
    <x v="0"/>
    <x v="0"/>
    <x v="0"/>
    <x v="3"/>
    <x v="13"/>
    <s v="SE3_EL"/>
    <x v="1"/>
    <s v="GBPR_MUNIWASTE_24"/>
    <x v="0"/>
    <x v="10"/>
    <n v="240.017019082118"/>
    <n v="87606.211964973001"/>
    <n v="315382.36307390302"/>
  </r>
  <r>
    <x v="0"/>
    <x v="0"/>
    <x v="0"/>
    <x v="3"/>
    <x v="13"/>
    <s v="SE3_EL"/>
    <x v="1"/>
    <s v="GBPR_MUNIWASTE_24"/>
    <x v="0"/>
    <x v="11"/>
    <n v="240.017019082118"/>
    <n v="87606.211964973001"/>
    <n v="315382.36307390302"/>
  </r>
  <r>
    <x v="0"/>
    <x v="0"/>
    <x v="0"/>
    <x v="3"/>
    <x v="13"/>
    <s v="SE3_EL"/>
    <x v="1"/>
    <s v="GBPR_MUNIWASTE_24"/>
    <x v="0"/>
    <x v="12"/>
    <n v="240.017019082118"/>
    <n v="87606.211964973001"/>
    <n v="315382.36307390302"/>
  </r>
  <r>
    <x v="0"/>
    <x v="0"/>
    <x v="0"/>
    <x v="3"/>
    <x v="13"/>
    <s v="SE3_EL"/>
    <x v="1"/>
    <s v="GBPR_MUNIWASTE_24"/>
    <x v="0"/>
    <x v="13"/>
    <n v="240.017019082118"/>
    <n v="87606.211964973001"/>
    <n v="315382.36307390302"/>
  </r>
  <r>
    <x v="0"/>
    <x v="0"/>
    <x v="0"/>
    <x v="3"/>
    <x v="13"/>
    <s v="SE3_EL"/>
    <x v="1"/>
    <s v="GBPR_MUNIWASTE_24"/>
    <x v="0"/>
    <x v="14"/>
    <n v="240.017019082118"/>
    <n v="87606.211964973001"/>
    <n v="315382.36307390302"/>
  </r>
  <r>
    <x v="0"/>
    <x v="0"/>
    <x v="0"/>
    <x v="3"/>
    <x v="13"/>
    <s v="SE3_EL"/>
    <x v="1"/>
    <s v="GBPR_MUNIWASTE_24"/>
    <x v="0"/>
    <x v="15"/>
    <n v="240.017019082118"/>
    <n v="87606.211964973001"/>
    <n v="315382.36307390302"/>
  </r>
  <r>
    <x v="0"/>
    <x v="0"/>
    <x v="0"/>
    <x v="3"/>
    <x v="13"/>
    <s v="SE3_EL"/>
    <x v="1"/>
    <s v="GBPR_MUNIWASTE_24"/>
    <x v="0"/>
    <x v="16"/>
    <n v="240.017019082118"/>
    <n v="87606.211964973001"/>
    <n v="315382.36307390302"/>
  </r>
  <r>
    <x v="0"/>
    <x v="0"/>
    <x v="0"/>
    <x v="3"/>
    <x v="13"/>
    <s v="SE3_EL"/>
    <x v="1"/>
    <s v="GBPR_MUNIWASTE_24"/>
    <x v="0"/>
    <x v="17"/>
    <n v="240.017019082118"/>
    <n v="87606.211964973001"/>
    <n v="315382.36307390302"/>
  </r>
  <r>
    <x v="0"/>
    <x v="0"/>
    <x v="0"/>
    <x v="3"/>
    <x v="13"/>
    <s v="SE3_EL"/>
    <x v="1"/>
    <s v="GBPR_MUNIWASTE_24"/>
    <x v="0"/>
    <x v="18"/>
    <n v="240.017019082118"/>
    <n v="87606.211964973001"/>
    <n v="315382.36307390302"/>
  </r>
  <r>
    <x v="0"/>
    <x v="0"/>
    <x v="0"/>
    <x v="3"/>
    <x v="13"/>
    <s v="SE3_EL"/>
    <x v="1"/>
    <s v="GBPR_MUNIWASTE_24"/>
    <x v="0"/>
    <x v="19"/>
    <n v="240.017019082118"/>
    <n v="87606.211964973001"/>
    <n v="315382.36307390302"/>
  </r>
  <r>
    <x v="0"/>
    <x v="0"/>
    <x v="0"/>
    <x v="3"/>
    <x v="13"/>
    <s v="SE3_EL"/>
    <x v="1"/>
    <s v="GBPR_MUNIWASTE_24"/>
    <x v="0"/>
    <x v="20"/>
    <n v="240.017019082118"/>
    <n v="87606.211964973001"/>
    <n v="315382.36307390302"/>
  </r>
  <r>
    <x v="0"/>
    <x v="0"/>
    <x v="0"/>
    <x v="3"/>
    <x v="13"/>
    <s v="SE3_EL"/>
    <x v="1"/>
    <s v="GBPR_MUNIWASTE_24"/>
    <x v="0"/>
    <x v="21"/>
    <n v="240.017019082118"/>
    <n v="87606.211964973001"/>
    <n v="315382.36307390302"/>
  </r>
  <r>
    <x v="0"/>
    <x v="0"/>
    <x v="0"/>
    <x v="3"/>
    <x v="13"/>
    <s v="SE3_EL"/>
    <x v="1"/>
    <s v="GBPR_MUNIWASTE_24"/>
    <x v="0"/>
    <x v="22"/>
    <n v="240.017019082118"/>
    <n v="87606.211964973001"/>
    <n v="315382.36307390302"/>
  </r>
  <r>
    <x v="0"/>
    <x v="0"/>
    <x v="0"/>
    <x v="3"/>
    <x v="13"/>
    <s v="SE3_EL"/>
    <x v="1"/>
    <s v="GBPR_MUNIWASTE_24"/>
    <x v="0"/>
    <x v="23"/>
    <n v="240.017019082118"/>
    <n v="87606.211964973001"/>
    <n v="315382.36307390302"/>
  </r>
  <r>
    <x v="0"/>
    <x v="0"/>
    <x v="0"/>
    <x v="3"/>
    <x v="13"/>
    <s v="SE3_EL"/>
    <x v="1"/>
    <s v="GBPR_MUNIWASTE_LINK"/>
    <x v="0"/>
    <x v="0"/>
    <n v="217.618749134181"/>
    <n v="79430.843433976101"/>
    <n v="285951.03636231401"/>
  </r>
  <r>
    <x v="0"/>
    <x v="0"/>
    <x v="0"/>
    <x v="3"/>
    <x v="13"/>
    <s v="SE3_EL"/>
    <x v="1"/>
    <s v="GBPR_MUNIWASTE_LINK"/>
    <x v="0"/>
    <x v="1"/>
    <n v="217.618749134181"/>
    <n v="79430.843433976101"/>
    <n v="285951.03636231401"/>
  </r>
  <r>
    <x v="0"/>
    <x v="0"/>
    <x v="0"/>
    <x v="3"/>
    <x v="13"/>
    <s v="SE3_EL"/>
    <x v="1"/>
    <s v="GBPR_MUNIWASTE_LINK"/>
    <x v="0"/>
    <x v="2"/>
    <n v="217.618749134181"/>
    <n v="79430.843433976101"/>
    <n v="285951.03636231401"/>
  </r>
  <r>
    <x v="0"/>
    <x v="0"/>
    <x v="0"/>
    <x v="3"/>
    <x v="13"/>
    <s v="SE3_EL"/>
    <x v="1"/>
    <s v="GBPR_MUNIWASTE_LINK"/>
    <x v="0"/>
    <x v="3"/>
    <n v="217.618749134181"/>
    <n v="79430.843433976101"/>
    <n v="285951.03636231401"/>
  </r>
  <r>
    <x v="0"/>
    <x v="0"/>
    <x v="0"/>
    <x v="3"/>
    <x v="13"/>
    <s v="SE3_EL"/>
    <x v="1"/>
    <s v="GBPR_MUNIWASTE_LINK"/>
    <x v="0"/>
    <x v="4"/>
    <n v="217.618749134181"/>
    <n v="79430.843433976101"/>
    <n v="285951.03636231401"/>
  </r>
  <r>
    <x v="0"/>
    <x v="0"/>
    <x v="0"/>
    <x v="3"/>
    <x v="13"/>
    <s v="SE3_EL"/>
    <x v="1"/>
    <s v="GBPR_MUNIWASTE_LINK"/>
    <x v="0"/>
    <x v="5"/>
    <n v="217.618749134181"/>
    <n v="79430.843433976101"/>
    <n v="285951.03636231401"/>
  </r>
  <r>
    <x v="0"/>
    <x v="0"/>
    <x v="0"/>
    <x v="3"/>
    <x v="13"/>
    <s v="SE3_EL"/>
    <x v="1"/>
    <s v="GBPR_MUNIWASTE_LINK"/>
    <x v="0"/>
    <x v="6"/>
    <n v="217.618749134181"/>
    <n v="79430.843433976101"/>
    <n v="285951.03636231401"/>
  </r>
  <r>
    <x v="0"/>
    <x v="0"/>
    <x v="0"/>
    <x v="3"/>
    <x v="13"/>
    <s v="SE3_EL"/>
    <x v="1"/>
    <s v="GBPR_MUNIWASTE_LINK"/>
    <x v="0"/>
    <x v="7"/>
    <n v="217.618749134181"/>
    <n v="79430.843433976101"/>
    <n v="285951.03636231401"/>
  </r>
  <r>
    <x v="0"/>
    <x v="0"/>
    <x v="0"/>
    <x v="3"/>
    <x v="13"/>
    <s v="SE3_EL"/>
    <x v="1"/>
    <s v="GBPR_MUNIWASTE_LINK"/>
    <x v="0"/>
    <x v="8"/>
    <n v="217.618749134181"/>
    <n v="79430.843433976101"/>
    <n v="285951.03636231401"/>
  </r>
  <r>
    <x v="0"/>
    <x v="0"/>
    <x v="0"/>
    <x v="3"/>
    <x v="13"/>
    <s v="SE3_EL"/>
    <x v="1"/>
    <s v="GBPR_MUNIWASTE_LINK"/>
    <x v="0"/>
    <x v="9"/>
    <n v="217.618749134181"/>
    <n v="79430.843433976101"/>
    <n v="285951.03636231401"/>
  </r>
  <r>
    <x v="0"/>
    <x v="0"/>
    <x v="0"/>
    <x v="3"/>
    <x v="13"/>
    <s v="SE3_EL"/>
    <x v="1"/>
    <s v="GBPR_MUNIWASTE_LINK"/>
    <x v="0"/>
    <x v="10"/>
    <n v="217.618749134181"/>
    <n v="79430.843433976101"/>
    <n v="285951.03636231401"/>
  </r>
  <r>
    <x v="0"/>
    <x v="0"/>
    <x v="0"/>
    <x v="3"/>
    <x v="13"/>
    <s v="SE3_EL"/>
    <x v="1"/>
    <s v="GBPR_MUNIWASTE_LINK"/>
    <x v="0"/>
    <x v="11"/>
    <n v="217.618749134181"/>
    <n v="79430.843433976101"/>
    <n v="285951.03636231401"/>
  </r>
  <r>
    <x v="0"/>
    <x v="0"/>
    <x v="0"/>
    <x v="3"/>
    <x v="13"/>
    <s v="SE3_EL"/>
    <x v="1"/>
    <s v="GBPR_MUNIWASTE_LINK"/>
    <x v="0"/>
    <x v="12"/>
    <n v="217.618749134181"/>
    <n v="79430.843433976101"/>
    <n v="285951.03636231401"/>
  </r>
  <r>
    <x v="0"/>
    <x v="0"/>
    <x v="0"/>
    <x v="3"/>
    <x v="13"/>
    <s v="SE3_EL"/>
    <x v="1"/>
    <s v="GBPR_MUNIWASTE_LINK"/>
    <x v="0"/>
    <x v="13"/>
    <n v="217.618749134181"/>
    <n v="79430.843433976101"/>
    <n v="285951.03636231401"/>
  </r>
  <r>
    <x v="0"/>
    <x v="0"/>
    <x v="0"/>
    <x v="3"/>
    <x v="13"/>
    <s v="SE3_EL"/>
    <x v="1"/>
    <s v="GBPR_MUNIWASTE_LINK"/>
    <x v="0"/>
    <x v="14"/>
    <n v="217.618749134181"/>
    <n v="79430.843433976101"/>
    <n v="285951.03636231401"/>
  </r>
  <r>
    <x v="0"/>
    <x v="0"/>
    <x v="0"/>
    <x v="3"/>
    <x v="13"/>
    <s v="SE3_EL"/>
    <x v="1"/>
    <s v="GBPR_MUNIWASTE_LINK"/>
    <x v="0"/>
    <x v="15"/>
    <n v="217.618749134181"/>
    <n v="79430.843433976101"/>
    <n v="285951.03636231401"/>
  </r>
  <r>
    <x v="0"/>
    <x v="0"/>
    <x v="0"/>
    <x v="3"/>
    <x v="13"/>
    <s v="SE3_EL"/>
    <x v="1"/>
    <s v="GBPR_MUNIWASTE_LINK"/>
    <x v="0"/>
    <x v="16"/>
    <n v="217.618749134181"/>
    <n v="79430.843433976101"/>
    <n v="285951.03636231401"/>
  </r>
  <r>
    <x v="0"/>
    <x v="0"/>
    <x v="0"/>
    <x v="3"/>
    <x v="13"/>
    <s v="SE3_EL"/>
    <x v="1"/>
    <s v="GBPR_MUNIWASTE_LINK"/>
    <x v="0"/>
    <x v="17"/>
    <n v="217.618749134181"/>
    <n v="79430.843433976101"/>
    <n v="285951.03636231401"/>
  </r>
  <r>
    <x v="0"/>
    <x v="0"/>
    <x v="0"/>
    <x v="3"/>
    <x v="13"/>
    <s v="SE3_EL"/>
    <x v="1"/>
    <s v="GBPR_MUNIWASTE_LINK"/>
    <x v="0"/>
    <x v="18"/>
    <n v="217.618749134181"/>
    <n v="79430.843433976101"/>
    <n v="285951.03636231401"/>
  </r>
  <r>
    <x v="0"/>
    <x v="0"/>
    <x v="0"/>
    <x v="3"/>
    <x v="13"/>
    <s v="SE3_EL"/>
    <x v="1"/>
    <s v="GBPR_MUNIWASTE_LINK"/>
    <x v="0"/>
    <x v="19"/>
    <n v="217.618749134181"/>
    <n v="79430.843433976101"/>
    <n v="285951.03636231401"/>
  </r>
  <r>
    <x v="0"/>
    <x v="0"/>
    <x v="0"/>
    <x v="3"/>
    <x v="13"/>
    <s v="SE3_EL"/>
    <x v="1"/>
    <s v="GBPR_MUNIWASTE_LINK"/>
    <x v="0"/>
    <x v="20"/>
    <n v="217.618749134181"/>
    <n v="79430.843433976101"/>
    <n v="285951.03636231401"/>
  </r>
  <r>
    <x v="0"/>
    <x v="0"/>
    <x v="0"/>
    <x v="3"/>
    <x v="13"/>
    <s v="SE3_EL"/>
    <x v="1"/>
    <s v="GBPR_MUNIWASTE_LINK"/>
    <x v="0"/>
    <x v="21"/>
    <n v="217.618749134181"/>
    <n v="79430.843433976101"/>
    <n v="285951.03636231401"/>
  </r>
  <r>
    <x v="0"/>
    <x v="0"/>
    <x v="0"/>
    <x v="3"/>
    <x v="13"/>
    <s v="SE3_EL"/>
    <x v="1"/>
    <s v="GBPR_MUNIWASTE_LINK"/>
    <x v="0"/>
    <x v="22"/>
    <n v="217.618749134181"/>
    <n v="79430.843433976101"/>
    <n v="285951.03636231401"/>
  </r>
  <r>
    <x v="0"/>
    <x v="0"/>
    <x v="0"/>
    <x v="3"/>
    <x v="13"/>
    <s v="SE3_EL"/>
    <x v="1"/>
    <s v="GBPR_MUNIWASTE_LINK"/>
    <x v="0"/>
    <x v="23"/>
    <n v="217.618749134181"/>
    <n v="79430.843433976101"/>
    <n v="285951.03636231401"/>
  </r>
  <r>
    <x v="0"/>
    <x v="0"/>
    <x v="0"/>
    <x v="3"/>
    <x v="13"/>
    <s v="SE3_EL"/>
    <x v="1"/>
    <s v="GHOB_MUNIWASTE"/>
    <x v="0"/>
    <x v="0"/>
    <n v="189.21274661061301"/>
    <n v="69062.652512873698"/>
    <n v="248625.549046345"/>
  </r>
  <r>
    <x v="0"/>
    <x v="0"/>
    <x v="0"/>
    <x v="3"/>
    <x v="13"/>
    <s v="SE3_EL"/>
    <x v="1"/>
    <s v="GHOB_MUNIWASTE"/>
    <x v="0"/>
    <x v="1"/>
    <n v="189.21274661061301"/>
    <n v="69062.652512873698"/>
    <n v="248625.549046345"/>
  </r>
  <r>
    <x v="0"/>
    <x v="0"/>
    <x v="0"/>
    <x v="3"/>
    <x v="13"/>
    <s v="SE3_EL"/>
    <x v="1"/>
    <s v="GHOB_MUNIWASTE"/>
    <x v="0"/>
    <x v="2"/>
    <n v="189.21274661061301"/>
    <n v="69062.652512873698"/>
    <n v="248625.549046345"/>
  </r>
  <r>
    <x v="0"/>
    <x v="0"/>
    <x v="0"/>
    <x v="3"/>
    <x v="13"/>
    <s v="SE3_EL"/>
    <x v="1"/>
    <s v="GHOB_MUNIWASTE"/>
    <x v="0"/>
    <x v="3"/>
    <n v="189.21274661061301"/>
    <n v="69062.652512873698"/>
    <n v="248625.549046345"/>
  </r>
  <r>
    <x v="0"/>
    <x v="0"/>
    <x v="0"/>
    <x v="3"/>
    <x v="13"/>
    <s v="SE3_EL"/>
    <x v="1"/>
    <s v="GHOB_MUNIWASTE"/>
    <x v="0"/>
    <x v="4"/>
    <n v="189.21274661061301"/>
    <n v="69062.652512873698"/>
    <n v="248625.549046345"/>
  </r>
  <r>
    <x v="0"/>
    <x v="0"/>
    <x v="0"/>
    <x v="3"/>
    <x v="13"/>
    <s v="SE3_EL"/>
    <x v="1"/>
    <s v="GHOB_MUNIWASTE"/>
    <x v="0"/>
    <x v="5"/>
    <n v="189.21274661061301"/>
    <n v="69062.652512873698"/>
    <n v="248625.549046345"/>
  </r>
  <r>
    <x v="0"/>
    <x v="0"/>
    <x v="0"/>
    <x v="3"/>
    <x v="13"/>
    <s v="SE3_EL"/>
    <x v="1"/>
    <s v="GHOB_MUNIWASTE"/>
    <x v="0"/>
    <x v="6"/>
    <n v="189.21274661061301"/>
    <n v="69062.652512873698"/>
    <n v="248625.549046345"/>
  </r>
  <r>
    <x v="0"/>
    <x v="0"/>
    <x v="0"/>
    <x v="3"/>
    <x v="13"/>
    <s v="SE3_EL"/>
    <x v="1"/>
    <s v="GHOB_MUNIWASTE"/>
    <x v="0"/>
    <x v="7"/>
    <n v="189.21274661061301"/>
    <n v="69062.652512873698"/>
    <n v="248625.549046345"/>
  </r>
  <r>
    <x v="0"/>
    <x v="0"/>
    <x v="0"/>
    <x v="3"/>
    <x v="13"/>
    <s v="SE3_EL"/>
    <x v="1"/>
    <s v="GHOB_MUNIWASTE"/>
    <x v="0"/>
    <x v="8"/>
    <n v="189.21274661061301"/>
    <n v="69062.652512873698"/>
    <n v="248625.549046345"/>
  </r>
  <r>
    <x v="0"/>
    <x v="0"/>
    <x v="0"/>
    <x v="3"/>
    <x v="13"/>
    <s v="SE3_EL"/>
    <x v="1"/>
    <s v="GHOB_MUNIWASTE"/>
    <x v="0"/>
    <x v="9"/>
    <n v="189.21274661061301"/>
    <n v="69062.652512873698"/>
    <n v="248625.549046345"/>
  </r>
  <r>
    <x v="0"/>
    <x v="0"/>
    <x v="0"/>
    <x v="3"/>
    <x v="13"/>
    <s v="SE3_EL"/>
    <x v="1"/>
    <s v="GHOB_MUNIWASTE"/>
    <x v="0"/>
    <x v="10"/>
    <n v="189.21274661061301"/>
    <n v="69062.652512873698"/>
    <n v="248625.549046345"/>
  </r>
  <r>
    <x v="0"/>
    <x v="0"/>
    <x v="0"/>
    <x v="3"/>
    <x v="13"/>
    <s v="SE3_EL"/>
    <x v="1"/>
    <s v="GHOB_MUNIWASTE"/>
    <x v="0"/>
    <x v="11"/>
    <n v="189.21274661061301"/>
    <n v="69062.652512873698"/>
    <n v="248625.549046345"/>
  </r>
  <r>
    <x v="0"/>
    <x v="0"/>
    <x v="0"/>
    <x v="3"/>
    <x v="13"/>
    <s v="SE3_EL"/>
    <x v="1"/>
    <s v="GHOB_MUNIWASTE"/>
    <x v="0"/>
    <x v="12"/>
    <n v="189.21274661061301"/>
    <n v="69062.652512873698"/>
    <n v="248625.549046345"/>
  </r>
  <r>
    <x v="0"/>
    <x v="0"/>
    <x v="0"/>
    <x v="3"/>
    <x v="13"/>
    <s v="SE3_EL"/>
    <x v="1"/>
    <s v="GHOB_MUNIWASTE"/>
    <x v="0"/>
    <x v="13"/>
    <n v="189.21274661061301"/>
    <n v="69062.652512873698"/>
    <n v="248625.549046345"/>
  </r>
  <r>
    <x v="0"/>
    <x v="0"/>
    <x v="0"/>
    <x v="3"/>
    <x v="13"/>
    <s v="SE3_EL"/>
    <x v="1"/>
    <s v="GHOB_MUNIWASTE"/>
    <x v="0"/>
    <x v="14"/>
    <n v="189.21274661061301"/>
    <n v="69062.652512873698"/>
    <n v="248625.549046345"/>
  </r>
  <r>
    <x v="0"/>
    <x v="0"/>
    <x v="0"/>
    <x v="3"/>
    <x v="13"/>
    <s v="SE3_EL"/>
    <x v="1"/>
    <s v="GHOB_MUNIWASTE"/>
    <x v="0"/>
    <x v="15"/>
    <n v="189.21274661061301"/>
    <n v="69062.652512873698"/>
    <n v="248625.549046345"/>
  </r>
  <r>
    <x v="0"/>
    <x v="0"/>
    <x v="0"/>
    <x v="3"/>
    <x v="13"/>
    <s v="SE3_EL"/>
    <x v="1"/>
    <s v="GHOB_MUNIWASTE"/>
    <x v="0"/>
    <x v="16"/>
    <n v="189.21274661061301"/>
    <n v="69062.652512873698"/>
    <n v="248625.549046345"/>
  </r>
  <r>
    <x v="0"/>
    <x v="0"/>
    <x v="0"/>
    <x v="3"/>
    <x v="13"/>
    <s v="SE3_EL"/>
    <x v="1"/>
    <s v="GHOB_MUNIWASTE"/>
    <x v="0"/>
    <x v="17"/>
    <n v="189.21274661061301"/>
    <n v="69062.652512873698"/>
    <n v="248625.549046345"/>
  </r>
  <r>
    <x v="0"/>
    <x v="0"/>
    <x v="0"/>
    <x v="3"/>
    <x v="13"/>
    <s v="SE3_EL"/>
    <x v="1"/>
    <s v="GHOB_MUNIWASTE"/>
    <x v="0"/>
    <x v="18"/>
    <n v="189.21274661061301"/>
    <n v="69062.652512873698"/>
    <n v="248625.549046345"/>
  </r>
  <r>
    <x v="0"/>
    <x v="0"/>
    <x v="0"/>
    <x v="3"/>
    <x v="13"/>
    <s v="SE3_EL"/>
    <x v="1"/>
    <s v="GHOB_MUNIWASTE"/>
    <x v="0"/>
    <x v="19"/>
    <n v="189.21274661061301"/>
    <n v="69062.652512873698"/>
    <n v="248625.549046345"/>
  </r>
  <r>
    <x v="0"/>
    <x v="0"/>
    <x v="0"/>
    <x v="3"/>
    <x v="13"/>
    <s v="SE3_EL"/>
    <x v="1"/>
    <s v="GHOB_MUNIWASTE"/>
    <x v="0"/>
    <x v="20"/>
    <n v="189.21274661061301"/>
    <n v="69062.652512873698"/>
    <n v="248625.549046345"/>
  </r>
  <r>
    <x v="0"/>
    <x v="0"/>
    <x v="0"/>
    <x v="3"/>
    <x v="13"/>
    <s v="SE3_EL"/>
    <x v="1"/>
    <s v="GHOB_MUNIWASTE"/>
    <x v="0"/>
    <x v="21"/>
    <n v="189.21274661061301"/>
    <n v="69062.652512873698"/>
    <n v="248625.549046345"/>
  </r>
  <r>
    <x v="0"/>
    <x v="0"/>
    <x v="0"/>
    <x v="3"/>
    <x v="13"/>
    <s v="SE3_EL"/>
    <x v="1"/>
    <s v="GHOB_MUNIWASTE"/>
    <x v="0"/>
    <x v="22"/>
    <n v="189.21274661061301"/>
    <n v="69062.652512873698"/>
    <n v="248625.549046345"/>
  </r>
  <r>
    <x v="0"/>
    <x v="0"/>
    <x v="0"/>
    <x v="3"/>
    <x v="13"/>
    <s v="SE3_EL"/>
    <x v="1"/>
    <s v="GHOB_MUNIWASTE"/>
    <x v="0"/>
    <x v="23"/>
    <n v="189.21274661061301"/>
    <n v="69062.652512873698"/>
    <n v="248625.549046345"/>
  </r>
  <r>
    <x v="0"/>
    <x v="0"/>
    <x v="0"/>
    <x v="3"/>
    <x v="13"/>
    <s v="SE3_EL"/>
    <x v="14"/>
    <s v="GBPR_PEAT_38"/>
    <x v="0"/>
    <x v="5"/>
    <n v="54.140015544812599"/>
    <n v="19761.1056738566"/>
    <n v="71139.980425883798"/>
  </r>
  <r>
    <x v="0"/>
    <x v="0"/>
    <x v="0"/>
    <x v="3"/>
    <x v="13"/>
    <s v="SE3_EL"/>
    <x v="14"/>
    <s v="GBPR_PEAT_38"/>
    <x v="0"/>
    <x v="6"/>
    <n v="54.140015544812599"/>
    <n v="19761.1056738566"/>
    <n v="71139.980425883798"/>
  </r>
  <r>
    <x v="0"/>
    <x v="0"/>
    <x v="0"/>
    <x v="3"/>
    <x v="13"/>
    <s v="SE3_EL"/>
    <x v="14"/>
    <s v="GBPR_PEAT_38"/>
    <x v="0"/>
    <x v="7"/>
    <n v="54.140015544812599"/>
    <n v="19761.1056738566"/>
    <n v="71139.980425883798"/>
  </r>
  <r>
    <x v="0"/>
    <x v="0"/>
    <x v="0"/>
    <x v="3"/>
    <x v="13"/>
    <s v="SE3_EL"/>
    <x v="14"/>
    <s v="GBPR_PEAT_38"/>
    <x v="0"/>
    <x v="8"/>
    <n v="54.140015544812599"/>
    <n v="19761.1056738566"/>
    <n v="71139.980425883798"/>
  </r>
  <r>
    <x v="0"/>
    <x v="0"/>
    <x v="0"/>
    <x v="3"/>
    <x v="13"/>
    <s v="SE3_EL"/>
    <x v="14"/>
    <s v="GBPR_PEAT_38"/>
    <x v="0"/>
    <x v="9"/>
    <n v="54.140015544812599"/>
    <n v="19761.1056738566"/>
    <n v="71139.980425883798"/>
  </r>
  <r>
    <x v="0"/>
    <x v="0"/>
    <x v="0"/>
    <x v="3"/>
    <x v="13"/>
    <s v="SE3_EL"/>
    <x v="14"/>
    <s v="GBPR_PEAT_38"/>
    <x v="0"/>
    <x v="10"/>
    <n v="54.140015544812599"/>
    <n v="19761.1056738566"/>
    <n v="71139.980425883798"/>
  </r>
  <r>
    <x v="0"/>
    <x v="0"/>
    <x v="0"/>
    <x v="3"/>
    <x v="13"/>
    <s v="SE3_EL"/>
    <x v="14"/>
    <s v="GBPR_PEAT_38"/>
    <x v="0"/>
    <x v="11"/>
    <n v="54.140015544812599"/>
    <n v="19761.1056738566"/>
    <n v="71139.980425883798"/>
  </r>
  <r>
    <x v="0"/>
    <x v="0"/>
    <x v="0"/>
    <x v="3"/>
    <x v="13"/>
    <s v="SE3_EL"/>
    <x v="14"/>
    <s v="GBPR_PEAT_38"/>
    <x v="0"/>
    <x v="12"/>
    <n v="54.140015544812599"/>
    <n v="19761.1056738566"/>
    <n v="71139.980425883798"/>
  </r>
  <r>
    <x v="0"/>
    <x v="0"/>
    <x v="0"/>
    <x v="3"/>
    <x v="13"/>
    <s v="SE3_EL"/>
    <x v="14"/>
    <s v="GBPR_PEAT_38"/>
    <x v="0"/>
    <x v="13"/>
    <n v="54.140015544812599"/>
    <n v="19761.1056738566"/>
    <n v="71139.980425883798"/>
  </r>
  <r>
    <x v="0"/>
    <x v="0"/>
    <x v="0"/>
    <x v="3"/>
    <x v="13"/>
    <s v="SE3_EL"/>
    <x v="14"/>
    <s v="GBPR_PEAT_38"/>
    <x v="0"/>
    <x v="14"/>
    <n v="54.140015544812599"/>
    <n v="19761.1056738566"/>
    <n v="71139.980425883798"/>
  </r>
  <r>
    <x v="0"/>
    <x v="0"/>
    <x v="0"/>
    <x v="3"/>
    <x v="13"/>
    <s v="SE3_EL"/>
    <x v="14"/>
    <s v="GBPR_PEAT_38"/>
    <x v="0"/>
    <x v="15"/>
    <n v="54.140015544812599"/>
    <n v="19761.1056738566"/>
    <n v="71139.980425883798"/>
  </r>
  <r>
    <x v="0"/>
    <x v="0"/>
    <x v="0"/>
    <x v="3"/>
    <x v="13"/>
    <s v="SE3_EL"/>
    <x v="14"/>
    <s v="GBPR_PEAT_38"/>
    <x v="0"/>
    <x v="16"/>
    <n v="54.140015544812599"/>
    <n v="19761.1056738566"/>
    <n v="71139.980425883798"/>
  </r>
  <r>
    <x v="0"/>
    <x v="0"/>
    <x v="0"/>
    <x v="3"/>
    <x v="13"/>
    <s v="SE3_EL"/>
    <x v="14"/>
    <s v="GBPR_PEAT_38"/>
    <x v="0"/>
    <x v="17"/>
    <n v="54.140015544812599"/>
    <n v="19761.1056738566"/>
    <n v="71139.980425883798"/>
  </r>
  <r>
    <x v="0"/>
    <x v="0"/>
    <x v="0"/>
    <x v="3"/>
    <x v="13"/>
    <s v="SE3_EL"/>
    <x v="14"/>
    <s v="GBPR_PEAT_38"/>
    <x v="0"/>
    <x v="18"/>
    <n v="54.140015544812599"/>
    <n v="19761.1056738566"/>
    <n v="71139.980425883798"/>
  </r>
  <r>
    <x v="0"/>
    <x v="0"/>
    <x v="0"/>
    <x v="3"/>
    <x v="13"/>
    <s v="SE3_EL"/>
    <x v="14"/>
    <s v="GBPR_PEAT_38"/>
    <x v="0"/>
    <x v="19"/>
    <n v="54.140015544812599"/>
    <n v="19761.1056738566"/>
    <n v="71139.980425883798"/>
  </r>
  <r>
    <x v="0"/>
    <x v="0"/>
    <x v="0"/>
    <x v="3"/>
    <x v="13"/>
    <s v="SE3_EL"/>
    <x v="14"/>
    <s v="GBPR_PEAT_38"/>
    <x v="0"/>
    <x v="20"/>
    <n v="54.140015544812599"/>
    <n v="19761.1056738566"/>
    <n v="71139.980425883798"/>
  </r>
  <r>
    <x v="0"/>
    <x v="0"/>
    <x v="0"/>
    <x v="3"/>
    <x v="13"/>
    <s v="SE3_EL"/>
    <x v="14"/>
    <s v="GBPR_PEAT_38"/>
    <x v="0"/>
    <x v="21"/>
    <n v="54.140015544812599"/>
    <n v="19761.1056738566"/>
    <n v="71139.980425883798"/>
  </r>
  <r>
    <x v="0"/>
    <x v="0"/>
    <x v="0"/>
    <x v="3"/>
    <x v="13"/>
    <s v="SE3_EL"/>
    <x v="14"/>
    <s v="GBPR_PEAT_38"/>
    <x v="0"/>
    <x v="22"/>
    <n v="40.073325372275001"/>
    <n v="14626.7637608804"/>
    <n v="52656.349539169401"/>
  </r>
  <r>
    <x v="0"/>
    <x v="0"/>
    <x v="0"/>
    <x v="3"/>
    <x v="13"/>
    <s v="SE3_EL"/>
    <x v="14"/>
    <s v="GEXT_PEAT"/>
    <x v="0"/>
    <x v="1"/>
    <n v="22.328868892512599"/>
    <n v="8150.0371457671099"/>
    <n v="29340.133724761599"/>
  </r>
  <r>
    <x v="0"/>
    <x v="0"/>
    <x v="0"/>
    <x v="3"/>
    <x v="13"/>
    <s v="SE3_EL"/>
    <x v="14"/>
    <s v="GEXT_PEAT"/>
    <x v="0"/>
    <x v="2"/>
    <n v="37.014947505722901"/>
    <n v="13510.4558395889"/>
    <n v="48637.641022520002"/>
  </r>
  <r>
    <x v="0"/>
    <x v="0"/>
    <x v="0"/>
    <x v="3"/>
    <x v="13"/>
    <s v="SE3_EL"/>
    <x v="14"/>
    <s v="GEXT_PEAT"/>
    <x v="0"/>
    <x v="3"/>
    <n v="99.788974491653804"/>
    <n v="36422.975689453699"/>
    <n v="131122.71248203301"/>
  </r>
  <r>
    <x v="0"/>
    <x v="0"/>
    <x v="0"/>
    <x v="3"/>
    <x v="13"/>
    <s v="SE3_EL"/>
    <x v="14"/>
    <s v="GEXT_PEAT"/>
    <x v="0"/>
    <x v="4"/>
    <n v="162.77435151254201"/>
    <n v="59412.638302077903"/>
    <n v="213885.497887481"/>
  </r>
  <r>
    <x v="0"/>
    <x v="0"/>
    <x v="0"/>
    <x v="3"/>
    <x v="13"/>
    <s v="SE3_EL"/>
    <x v="14"/>
    <s v="GEXT_PEAT"/>
    <x v="0"/>
    <x v="5"/>
    <n v="193.43939853595799"/>
    <n v="70605.380465624796"/>
    <n v="254179.36967624901"/>
  </r>
  <r>
    <x v="0"/>
    <x v="0"/>
    <x v="0"/>
    <x v="3"/>
    <x v="13"/>
    <s v="SE3_EL"/>
    <x v="14"/>
    <s v="GEXT_PEAT"/>
    <x v="0"/>
    <x v="6"/>
    <n v="193.43939853595799"/>
    <n v="70605.380465624796"/>
    <n v="254179.36967624901"/>
  </r>
  <r>
    <x v="0"/>
    <x v="0"/>
    <x v="0"/>
    <x v="3"/>
    <x v="13"/>
    <s v="SE3_EL"/>
    <x v="14"/>
    <s v="GEXT_PEAT"/>
    <x v="0"/>
    <x v="7"/>
    <n v="193.43939853595799"/>
    <n v="70605.380465624796"/>
    <n v="254179.36967624901"/>
  </r>
  <r>
    <x v="0"/>
    <x v="0"/>
    <x v="0"/>
    <x v="3"/>
    <x v="13"/>
    <s v="SE3_EL"/>
    <x v="14"/>
    <s v="GEXT_PEAT"/>
    <x v="0"/>
    <x v="8"/>
    <n v="193.43939853595799"/>
    <n v="70605.380465624796"/>
    <n v="254179.36967624901"/>
  </r>
  <r>
    <x v="0"/>
    <x v="0"/>
    <x v="0"/>
    <x v="3"/>
    <x v="13"/>
    <s v="SE3_EL"/>
    <x v="14"/>
    <s v="GEXT_PEAT"/>
    <x v="0"/>
    <x v="9"/>
    <n v="193.43939853595799"/>
    <n v="70605.380465624796"/>
    <n v="254179.36967624901"/>
  </r>
  <r>
    <x v="0"/>
    <x v="0"/>
    <x v="0"/>
    <x v="3"/>
    <x v="13"/>
    <s v="SE3_EL"/>
    <x v="14"/>
    <s v="GEXT_PEAT"/>
    <x v="0"/>
    <x v="10"/>
    <n v="193.43939853595799"/>
    <n v="70605.380465624796"/>
    <n v="254179.36967624901"/>
  </r>
  <r>
    <x v="0"/>
    <x v="0"/>
    <x v="0"/>
    <x v="3"/>
    <x v="13"/>
    <s v="SE3_EL"/>
    <x v="14"/>
    <s v="GEXT_PEAT"/>
    <x v="0"/>
    <x v="11"/>
    <n v="193.43939853595799"/>
    <n v="70605.380465624796"/>
    <n v="254179.36967624901"/>
  </r>
  <r>
    <x v="0"/>
    <x v="0"/>
    <x v="0"/>
    <x v="3"/>
    <x v="13"/>
    <s v="SE3_EL"/>
    <x v="14"/>
    <s v="GEXT_PEAT"/>
    <x v="0"/>
    <x v="12"/>
    <n v="193.43939853595799"/>
    <n v="70605.380465624796"/>
    <n v="254179.36967624901"/>
  </r>
  <r>
    <x v="0"/>
    <x v="0"/>
    <x v="0"/>
    <x v="3"/>
    <x v="13"/>
    <s v="SE3_EL"/>
    <x v="14"/>
    <s v="GEXT_PEAT"/>
    <x v="0"/>
    <x v="13"/>
    <n v="193.43939853595799"/>
    <n v="70605.380465624796"/>
    <n v="254179.36967624901"/>
  </r>
  <r>
    <x v="0"/>
    <x v="0"/>
    <x v="0"/>
    <x v="3"/>
    <x v="13"/>
    <s v="SE3_EL"/>
    <x v="14"/>
    <s v="GEXT_PEAT"/>
    <x v="0"/>
    <x v="14"/>
    <n v="193.43939853595799"/>
    <n v="70605.380465624796"/>
    <n v="254179.36967624901"/>
  </r>
  <r>
    <x v="0"/>
    <x v="0"/>
    <x v="0"/>
    <x v="3"/>
    <x v="13"/>
    <s v="SE3_EL"/>
    <x v="14"/>
    <s v="GEXT_PEAT"/>
    <x v="0"/>
    <x v="15"/>
    <n v="193.43939853595799"/>
    <n v="70605.380465624796"/>
    <n v="254179.36967624901"/>
  </r>
  <r>
    <x v="0"/>
    <x v="0"/>
    <x v="0"/>
    <x v="3"/>
    <x v="13"/>
    <s v="SE3_EL"/>
    <x v="14"/>
    <s v="GEXT_PEAT"/>
    <x v="0"/>
    <x v="16"/>
    <n v="193.43939853595799"/>
    <n v="70605.380465624796"/>
    <n v="254179.36967624901"/>
  </r>
  <r>
    <x v="0"/>
    <x v="0"/>
    <x v="0"/>
    <x v="3"/>
    <x v="13"/>
    <s v="SE3_EL"/>
    <x v="14"/>
    <s v="GEXT_PEAT"/>
    <x v="0"/>
    <x v="17"/>
    <n v="193.43939853595799"/>
    <n v="70605.380465624796"/>
    <n v="254179.36967624901"/>
  </r>
  <r>
    <x v="0"/>
    <x v="0"/>
    <x v="0"/>
    <x v="3"/>
    <x v="13"/>
    <s v="SE3_EL"/>
    <x v="14"/>
    <s v="GEXT_PEAT"/>
    <x v="0"/>
    <x v="18"/>
    <n v="193.43939853595799"/>
    <n v="70605.380465624796"/>
    <n v="254179.36967624901"/>
  </r>
  <r>
    <x v="0"/>
    <x v="0"/>
    <x v="0"/>
    <x v="3"/>
    <x v="13"/>
    <s v="SE3_EL"/>
    <x v="14"/>
    <s v="GEXT_PEAT"/>
    <x v="0"/>
    <x v="19"/>
    <n v="193.43939853595799"/>
    <n v="70605.380465624796"/>
    <n v="254179.36967624901"/>
  </r>
  <r>
    <x v="0"/>
    <x v="0"/>
    <x v="0"/>
    <x v="3"/>
    <x v="13"/>
    <s v="SE3_EL"/>
    <x v="14"/>
    <s v="GEXT_PEAT"/>
    <x v="0"/>
    <x v="20"/>
    <n v="193.43939853595799"/>
    <n v="70605.380465624796"/>
    <n v="254179.36967624901"/>
  </r>
  <r>
    <x v="0"/>
    <x v="0"/>
    <x v="0"/>
    <x v="3"/>
    <x v="13"/>
    <s v="SE3_EL"/>
    <x v="14"/>
    <s v="GEXT_PEAT"/>
    <x v="0"/>
    <x v="21"/>
    <n v="193.43939853595799"/>
    <n v="70605.380465624796"/>
    <n v="254179.36967624901"/>
  </r>
  <r>
    <x v="0"/>
    <x v="0"/>
    <x v="0"/>
    <x v="3"/>
    <x v="13"/>
    <s v="SE3_EL"/>
    <x v="14"/>
    <s v="GEXT_PEAT"/>
    <x v="0"/>
    <x v="22"/>
    <n v="193.43939853595799"/>
    <n v="70605.380465624796"/>
    <n v="254179.36967624901"/>
  </r>
  <r>
    <x v="0"/>
    <x v="0"/>
    <x v="0"/>
    <x v="3"/>
    <x v="13"/>
    <s v="SE3_EL"/>
    <x v="14"/>
    <s v="GEXT_PEAT"/>
    <x v="0"/>
    <x v="23"/>
    <n v="119.76668058150599"/>
    <n v="43714.838412249803"/>
    <n v="157373.418284099"/>
  </r>
  <r>
    <x v="0"/>
    <x v="0"/>
    <x v="0"/>
    <x v="3"/>
    <x v="13"/>
    <s v="SE3_EL"/>
    <x v="14"/>
    <s v="GHOB_PEAT"/>
    <x v="0"/>
    <x v="6"/>
    <n v="88.760921626143798"/>
    <n v="32397.736393542498"/>
    <n v="116631.851016753"/>
  </r>
  <r>
    <x v="0"/>
    <x v="0"/>
    <x v="0"/>
    <x v="3"/>
    <x v="13"/>
    <s v="SE3_EL"/>
    <x v="14"/>
    <s v="GHOB_PEAT"/>
    <x v="0"/>
    <x v="7"/>
    <n v="150"/>
    <n v="54750"/>
    <n v="197100"/>
  </r>
  <r>
    <x v="0"/>
    <x v="0"/>
    <x v="0"/>
    <x v="3"/>
    <x v="13"/>
    <s v="SE3_EL"/>
    <x v="14"/>
    <s v="GHOB_PEAT"/>
    <x v="0"/>
    <x v="8"/>
    <n v="150"/>
    <n v="54750"/>
    <n v="197100"/>
  </r>
  <r>
    <x v="0"/>
    <x v="0"/>
    <x v="0"/>
    <x v="3"/>
    <x v="13"/>
    <s v="SE3_EL"/>
    <x v="14"/>
    <s v="GHOB_PEAT"/>
    <x v="0"/>
    <x v="9"/>
    <n v="103.55370523859401"/>
    <n v="37797.102412086999"/>
    <n v="136069.568683513"/>
  </r>
  <r>
    <x v="0"/>
    <x v="0"/>
    <x v="0"/>
    <x v="3"/>
    <x v="13"/>
    <s v="SE3_EL"/>
    <x v="14"/>
    <s v="GHOB_PEAT"/>
    <x v="0"/>
    <x v="10"/>
    <n v="40.093762450107498"/>
    <n v="14634.223294289201"/>
    <n v="52683.203859441302"/>
  </r>
  <r>
    <x v="0"/>
    <x v="0"/>
    <x v="0"/>
    <x v="3"/>
    <x v="13"/>
    <s v="SE3_EL"/>
    <x v="15"/>
    <s v="GBPR_RECYCLEDWOOD_SE3EL"/>
    <x v="0"/>
    <x v="5"/>
    <n v="92.569691474681505"/>
    <n v="33787.937388258797"/>
    <n v="121636.574597732"/>
  </r>
  <r>
    <x v="0"/>
    <x v="0"/>
    <x v="0"/>
    <x v="3"/>
    <x v="13"/>
    <s v="SE3_EL"/>
    <x v="15"/>
    <s v="GBPR_RECYCLEDWOOD_SE3EL"/>
    <x v="0"/>
    <x v="6"/>
    <n v="206.16259842996499"/>
    <n v="75249.348426937198"/>
    <n v="270897.65433697402"/>
  </r>
  <r>
    <x v="0"/>
    <x v="0"/>
    <x v="0"/>
    <x v="3"/>
    <x v="13"/>
    <s v="SE3_EL"/>
    <x v="15"/>
    <s v="GBPR_RECYCLEDWOOD_SE3EL"/>
    <x v="0"/>
    <x v="7"/>
    <n v="206.16259842996499"/>
    <n v="75249.348426937198"/>
    <n v="270897.65433697402"/>
  </r>
  <r>
    <x v="0"/>
    <x v="0"/>
    <x v="0"/>
    <x v="3"/>
    <x v="13"/>
    <s v="SE3_EL"/>
    <x v="15"/>
    <s v="GBPR_RECYCLEDWOOD_SE3EL"/>
    <x v="0"/>
    <x v="8"/>
    <n v="206.16259842996499"/>
    <n v="75249.348426937198"/>
    <n v="270897.65433697402"/>
  </r>
  <r>
    <x v="0"/>
    <x v="0"/>
    <x v="0"/>
    <x v="3"/>
    <x v="13"/>
    <s v="SE3_EL"/>
    <x v="15"/>
    <s v="GBPR_RECYCLEDWOOD_SE3EL"/>
    <x v="0"/>
    <x v="9"/>
    <n v="206.16259842996499"/>
    <n v="75249.348426937198"/>
    <n v="270897.65433697402"/>
  </r>
  <r>
    <x v="0"/>
    <x v="0"/>
    <x v="0"/>
    <x v="3"/>
    <x v="13"/>
    <s v="SE3_EL"/>
    <x v="15"/>
    <s v="GBPR_RECYCLEDWOOD_SE3EL"/>
    <x v="0"/>
    <x v="10"/>
    <n v="206.16259842996499"/>
    <n v="75249.348426937198"/>
    <n v="270897.65433697402"/>
  </r>
  <r>
    <x v="0"/>
    <x v="0"/>
    <x v="0"/>
    <x v="3"/>
    <x v="13"/>
    <s v="SE3_EL"/>
    <x v="15"/>
    <s v="GBPR_RECYCLEDWOOD_SE3EL"/>
    <x v="0"/>
    <x v="11"/>
    <n v="206.16259842996499"/>
    <n v="75249.348426937198"/>
    <n v="270897.65433697402"/>
  </r>
  <r>
    <x v="0"/>
    <x v="0"/>
    <x v="0"/>
    <x v="3"/>
    <x v="13"/>
    <s v="SE3_EL"/>
    <x v="15"/>
    <s v="GBPR_RECYCLEDWOOD_SE3EL"/>
    <x v="0"/>
    <x v="12"/>
    <n v="206.16259842996499"/>
    <n v="75249.348426937198"/>
    <n v="270897.65433697402"/>
  </r>
  <r>
    <x v="0"/>
    <x v="0"/>
    <x v="0"/>
    <x v="3"/>
    <x v="13"/>
    <s v="SE3_EL"/>
    <x v="15"/>
    <s v="GBPR_RECYCLEDWOOD_SE3EL"/>
    <x v="0"/>
    <x v="13"/>
    <n v="206.16259842996499"/>
    <n v="75249.348426937198"/>
    <n v="270897.65433697402"/>
  </r>
  <r>
    <x v="0"/>
    <x v="0"/>
    <x v="0"/>
    <x v="3"/>
    <x v="13"/>
    <s v="SE3_EL"/>
    <x v="15"/>
    <s v="GBPR_RECYCLEDWOOD_SE3EL"/>
    <x v="0"/>
    <x v="14"/>
    <n v="134.17139664464699"/>
    <n v="48972.5597752963"/>
    <n v="176301.21519106699"/>
  </r>
  <r>
    <x v="0"/>
    <x v="0"/>
    <x v="0"/>
    <x v="3"/>
    <x v="13"/>
    <s v="SE3_EL"/>
    <x v="15"/>
    <s v="GBPR_RECYCLEDWOOD_SE3EL"/>
    <x v="0"/>
    <x v="15"/>
    <n v="95.294102733356993"/>
    <n v="34782.347497675299"/>
    <n v="125216.45099163101"/>
  </r>
  <r>
    <x v="0"/>
    <x v="0"/>
    <x v="0"/>
    <x v="3"/>
    <x v="13"/>
    <s v="SE3_EL"/>
    <x v="15"/>
    <s v="GBPR_RECYCLEDWOOD_SE3EL"/>
    <x v="0"/>
    <x v="16"/>
    <n v="91.889462122427503"/>
    <n v="33539.653674686102"/>
    <n v="120742.75322887"/>
  </r>
  <r>
    <x v="0"/>
    <x v="0"/>
    <x v="0"/>
    <x v="3"/>
    <x v="13"/>
    <s v="SE3_EL"/>
    <x v="15"/>
    <s v="GBPR_RECYCLEDWOOD_SE3EL"/>
    <x v="0"/>
    <x v="17"/>
    <n v="73.837479643409296"/>
    <n v="26950.680069844399"/>
    <n v="97022.448251439899"/>
  </r>
  <r>
    <x v="0"/>
    <x v="0"/>
    <x v="0"/>
    <x v="3"/>
    <x v="13"/>
    <s v="SE3_EL"/>
    <x v="15"/>
    <s v="GBPR_RECYCLEDWOOD_SE3EL"/>
    <x v="0"/>
    <x v="18"/>
    <n v="81.074357312549196"/>
    <n v="29592.140419080501"/>
    <n v="106531.70550869001"/>
  </r>
  <r>
    <x v="0"/>
    <x v="0"/>
    <x v="0"/>
    <x v="3"/>
    <x v="13"/>
    <s v="SE3_EL"/>
    <x v="15"/>
    <s v="GBPR_RECYCLEDWOOD_SE3EL"/>
    <x v="0"/>
    <x v="19"/>
    <n v="112.444972403444"/>
    <n v="41042.414927256897"/>
    <n v="147752.693738125"/>
  </r>
  <r>
    <x v="0"/>
    <x v="0"/>
    <x v="0"/>
    <x v="3"/>
    <x v="13"/>
    <s v="SE3_EL"/>
    <x v="15"/>
    <s v="GBPR_RECYCLEDWOOD_SE3EL"/>
    <x v="0"/>
    <x v="20"/>
    <n v="96.237469637663494"/>
    <n v="35126.6764177472"/>
    <n v="126456.03510389"/>
  </r>
  <r>
    <x v="0"/>
    <x v="0"/>
    <x v="0"/>
    <x v="3"/>
    <x v="13"/>
    <s v="SE3_EL"/>
    <x v="15"/>
    <s v="GBPR_RECYCLEDWOOD_SE3EL"/>
    <x v="0"/>
    <x v="21"/>
    <n v="52.160872550611202"/>
    <n v="19038.718480973101"/>
    <n v="68539.3865315031"/>
  </r>
  <r>
    <x v="0"/>
    <x v="0"/>
    <x v="0"/>
    <x v="3"/>
    <x v="13"/>
    <s v="SE3_EL"/>
    <x v="15"/>
    <s v="GHOB_RECYCLEDWOOD"/>
    <x v="0"/>
    <x v="6"/>
    <n v="102.78547027918"/>
    <n v="37516.696651900696"/>
    <n v="135060.10794684201"/>
  </r>
  <r>
    <x v="0"/>
    <x v="0"/>
    <x v="0"/>
    <x v="3"/>
    <x v="13"/>
    <s v="SE3_EL"/>
    <x v="15"/>
    <s v="GHOB_RECYCLEDWOOD"/>
    <x v="0"/>
    <x v="7"/>
    <n v="102.78547027918"/>
    <n v="37516.696651900696"/>
    <n v="135060.10794684201"/>
  </r>
  <r>
    <x v="0"/>
    <x v="0"/>
    <x v="0"/>
    <x v="3"/>
    <x v="13"/>
    <s v="SE3_EL"/>
    <x v="15"/>
    <s v="GHOB_RECYCLEDWOOD"/>
    <x v="0"/>
    <x v="8"/>
    <n v="102.78547027918"/>
    <n v="37516.696651900696"/>
    <n v="135060.10794684201"/>
  </r>
  <r>
    <x v="0"/>
    <x v="0"/>
    <x v="0"/>
    <x v="3"/>
    <x v="13"/>
    <s v="SE3_EL"/>
    <x v="15"/>
    <s v="GHOB_RECYCLEDWOOD"/>
    <x v="0"/>
    <x v="9"/>
    <n v="102.78547027918"/>
    <n v="37516.696651900696"/>
    <n v="135060.10794684201"/>
  </r>
  <r>
    <x v="0"/>
    <x v="0"/>
    <x v="0"/>
    <x v="3"/>
    <x v="13"/>
    <s v="SE3_EL"/>
    <x v="15"/>
    <s v="GHOB_RECYCLEDWOOD"/>
    <x v="0"/>
    <x v="10"/>
    <n v="102.78547027918"/>
    <n v="37516.696651900696"/>
    <n v="135060.10794684201"/>
  </r>
  <r>
    <x v="0"/>
    <x v="0"/>
    <x v="0"/>
    <x v="3"/>
    <x v="13"/>
    <s v="SE3_EL"/>
    <x v="15"/>
    <s v="GHOB_RECYCLEDWOOD"/>
    <x v="0"/>
    <x v="11"/>
    <n v="97.234066358753694"/>
    <n v="35490.434220945099"/>
    <n v="127765.56319540201"/>
  </r>
  <r>
    <x v="0"/>
    <x v="0"/>
    <x v="0"/>
    <x v="3"/>
    <x v="13"/>
    <s v="SE3_EL"/>
    <x v="15"/>
    <s v="GHOB_RECYCLEDWOOD"/>
    <x v="0"/>
    <x v="12"/>
    <n v="33.501126283474001"/>
    <n v="12227.911093467999"/>
    <n v="44020.479936484902"/>
  </r>
  <r>
    <x v="0"/>
    <x v="0"/>
    <x v="0"/>
    <x v="3"/>
    <x v="13"/>
    <s v="SE3_EL"/>
    <x v="15"/>
    <s v="GHOB_RECYCLEDWOOD"/>
    <x v="0"/>
    <x v="13"/>
    <n v="1.41787783447729"/>
    <n v="517.52540958421196"/>
    <n v="1863.09147450316"/>
  </r>
  <r>
    <x v="0"/>
    <x v="0"/>
    <x v="0"/>
    <x v="3"/>
    <x v="13"/>
    <s v="SE3_EL"/>
    <x v="2"/>
    <s v="GHOB_WASTEHEAT"/>
    <x v="0"/>
    <x v="0"/>
    <n v="27.2206959706959"/>
    <n v="9935.5540293039903"/>
    <n v="35767.994505494396"/>
  </r>
  <r>
    <x v="0"/>
    <x v="0"/>
    <x v="0"/>
    <x v="3"/>
    <x v="13"/>
    <s v="SE3_EL"/>
    <x v="2"/>
    <s v="GHOB_WASTEHEAT"/>
    <x v="0"/>
    <x v="1"/>
    <n v="27.2206959706959"/>
    <n v="9935.5540293039903"/>
    <n v="35767.994505494396"/>
  </r>
  <r>
    <x v="0"/>
    <x v="0"/>
    <x v="0"/>
    <x v="3"/>
    <x v="13"/>
    <s v="SE3_EL"/>
    <x v="2"/>
    <s v="GHOB_WASTEHEAT"/>
    <x v="0"/>
    <x v="2"/>
    <n v="27.2206959706959"/>
    <n v="9935.5540293039903"/>
    <n v="35767.994505494396"/>
  </r>
  <r>
    <x v="0"/>
    <x v="0"/>
    <x v="0"/>
    <x v="3"/>
    <x v="13"/>
    <s v="SE3_EL"/>
    <x v="2"/>
    <s v="GHOB_WASTEHEAT"/>
    <x v="0"/>
    <x v="3"/>
    <n v="27.2206959706959"/>
    <n v="9935.5540293039903"/>
    <n v="35767.994505494396"/>
  </r>
  <r>
    <x v="0"/>
    <x v="0"/>
    <x v="0"/>
    <x v="3"/>
    <x v="13"/>
    <s v="SE3_EL"/>
    <x v="2"/>
    <s v="GHOB_WASTEHEAT"/>
    <x v="0"/>
    <x v="4"/>
    <n v="27.2206959706959"/>
    <n v="9935.5540293039903"/>
    <n v="35767.994505494396"/>
  </r>
  <r>
    <x v="0"/>
    <x v="0"/>
    <x v="0"/>
    <x v="3"/>
    <x v="13"/>
    <s v="SE3_EL"/>
    <x v="2"/>
    <s v="GHOB_WASTEHEAT"/>
    <x v="0"/>
    <x v="5"/>
    <n v="27.2206959706959"/>
    <n v="9935.5540293039903"/>
    <n v="35767.994505494396"/>
  </r>
  <r>
    <x v="0"/>
    <x v="0"/>
    <x v="0"/>
    <x v="3"/>
    <x v="13"/>
    <s v="SE3_EL"/>
    <x v="2"/>
    <s v="GHOB_WASTEHEAT"/>
    <x v="0"/>
    <x v="6"/>
    <n v="27.2206959706959"/>
    <n v="9935.5540293039903"/>
    <n v="35767.994505494396"/>
  </r>
  <r>
    <x v="0"/>
    <x v="0"/>
    <x v="0"/>
    <x v="3"/>
    <x v="13"/>
    <s v="SE3_EL"/>
    <x v="2"/>
    <s v="GHOB_WASTEHEAT"/>
    <x v="0"/>
    <x v="7"/>
    <n v="27.2206959706959"/>
    <n v="9935.5540293039903"/>
    <n v="35767.994505494396"/>
  </r>
  <r>
    <x v="0"/>
    <x v="0"/>
    <x v="0"/>
    <x v="3"/>
    <x v="13"/>
    <s v="SE3_EL"/>
    <x v="2"/>
    <s v="GHOB_WASTEHEAT"/>
    <x v="0"/>
    <x v="8"/>
    <n v="27.2206959706959"/>
    <n v="9935.5540293039903"/>
    <n v="35767.994505494396"/>
  </r>
  <r>
    <x v="0"/>
    <x v="0"/>
    <x v="0"/>
    <x v="3"/>
    <x v="13"/>
    <s v="SE3_EL"/>
    <x v="2"/>
    <s v="GHOB_WASTEHEAT"/>
    <x v="0"/>
    <x v="9"/>
    <n v="27.2206959706959"/>
    <n v="9935.5540293039903"/>
    <n v="35767.994505494396"/>
  </r>
  <r>
    <x v="0"/>
    <x v="0"/>
    <x v="0"/>
    <x v="3"/>
    <x v="13"/>
    <s v="SE3_EL"/>
    <x v="2"/>
    <s v="GHOB_WASTEHEAT"/>
    <x v="0"/>
    <x v="10"/>
    <n v="27.2206959706959"/>
    <n v="9935.5540293039903"/>
    <n v="35767.994505494396"/>
  </r>
  <r>
    <x v="0"/>
    <x v="0"/>
    <x v="0"/>
    <x v="3"/>
    <x v="13"/>
    <s v="SE3_EL"/>
    <x v="2"/>
    <s v="GHOB_WASTEHEAT"/>
    <x v="0"/>
    <x v="11"/>
    <n v="27.2206959706959"/>
    <n v="9935.5540293039903"/>
    <n v="35767.994505494396"/>
  </r>
  <r>
    <x v="0"/>
    <x v="0"/>
    <x v="0"/>
    <x v="3"/>
    <x v="13"/>
    <s v="SE3_EL"/>
    <x v="2"/>
    <s v="GHOB_WASTEHEAT"/>
    <x v="0"/>
    <x v="12"/>
    <n v="27.2206959706959"/>
    <n v="9935.5540293039903"/>
    <n v="35767.994505494396"/>
  </r>
  <r>
    <x v="0"/>
    <x v="0"/>
    <x v="0"/>
    <x v="3"/>
    <x v="13"/>
    <s v="SE3_EL"/>
    <x v="2"/>
    <s v="GHOB_WASTEHEAT"/>
    <x v="0"/>
    <x v="13"/>
    <n v="27.2206959706959"/>
    <n v="9935.5540293039903"/>
    <n v="35767.994505494396"/>
  </r>
  <r>
    <x v="0"/>
    <x v="0"/>
    <x v="0"/>
    <x v="3"/>
    <x v="13"/>
    <s v="SE3_EL"/>
    <x v="2"/>
    <s v="GHOB_WASTEHEAT"/>
    <x v="0"/>
    <x v="14"/>
    <n v="27.2206959706959"/>
    <n v="9935.5540293039903"/>
    <n v="35767.994505494396"/>
  </r>
  <r>
    <x v="0"/>
    <x v="0"/>
    <x v="0"/>
    <x v="3"/>
    <x v="13"/>
    <s v="SE3_EL"/>
    <x v="2"/>
    <s v="GHOB_WASTEHEAT"/>
    <x v="0"/>
    <x v="15"/>
    <n v="27.2206959706959"/>
    <n v="9935.5540293039903"/>
    <n v="35767.994505494396"/>
  </r>
  <r>
    <x v="0"/>
    <x v="0"/>
    <x v="0"/>
    <x v="3"/>
    <x v="13"/>
    <s v="SE3_EL"/>
    <x v="2"/>
    <s v="GHOB_WASTEHEAT"/>
    <x v="0"/>
    <x v="16"/>
    <n v="27.2206959706959"/>
    <n v="9935.5540293039903"/>
    <n v="35767.994505494396"/>
  </r>
  <r>
    <x v="0"/>
    <x v="0"/>
    <x v="0"/>
    <x v="3"/>
    <x v="13"/>
    <s v="SE3_EL"/>
    <x v="2"/>
    <s v="GHOB_WASTEHEAT"/>
    <x v="0"/>
    <x v="17"/>
    <n v="27.2206959706959"/>
    <n v="9935.5540293039903"/>
    <n v="35767.994505494396"/>
  </r>
  <r>
    <x v="0"/>
    <x v="0"/>
    <x v="0"/>
    <x v="3"/>
    <x v="13"/>
    <s v="SE3_EL"/>
    <x v="2"/>
    <s v="GHOB_WASTEHEAT"/>
    <x v="0"/>
    <x v="18"/>
    <n v="27.2206959706959"/>
    <n v="9935.5540293039903"/>
    <n v="35767.994505494396"/>
  </r>
  <r>
    <x v="0"/>
    <x v="0"/>
    <x v="0"/>
    <x v="3"/>
    <x v="13"/>
    <s v="SE3_EL"/>
    <x v="2"/>
    <s v="GHOB_WASTEHEAT"/>
    <x v="0"/>
    <x v="19"/>
    <n v="27.2206959706959"/>
    <n v="9935.5540293039903"/>
    <n v="35767.994505494396"/>
  </r>
  <r>
    <x v="0"/>
    <x v="0"/>
    <x v="0"/>
    <x v="3"/>
    <x v="13"/>
    <s v="SE3_EL"/>
    <x v="2"/>
    <s v="GHOB_WASTEHEAT"/>
    <x v="0"/>
    <x v="20"/>
    <n v="27.2206959706959"/>
    <n v="9935.5540293039903"/>
    <n v="35767.994505494396"/>
  </r>
  <r>
    <x v="0"/>
    <x v="0"/>
    <x v="0"/>
    <x v="3"/>
    <x v="13"/>
    <s v="SE3_EL"/>
    <x v="2"/>
    <s v="GHOB_WASTEHEAT"/>
    <x v="0"/>
    <x v="21"/>
    <n v="27.2206959706959"/>
    <n v="9935.5540293039903"/>
    <n v="35767.994505494396"/>
  </r>
  <r>
    <x v="0"/>
    <x v="0"/>
    <x v="0"/>
    <x v="3"/>
    <x v="13"/>
    <s v="SE3_EL"/>
    <x v="2"/>
    <s v="GHOB_WASTEHEAT"/>
    <x v="0"/>
    <x v="22"/>
    <n v="27.2206959706959"/>
    <n v="9935.5540293039903"/>
    <n v="35767.994505494396"/>
  </r>
  <r>
    <x v="0"/>
    <x v="0"/>
    <x v="0"/>
    <x v="3"/>
    <x v="13"/>
    <s v="SE3_EL"/>
    <x v="2"/>
    <s v="GHOB_WASTEHEAT"/>
    <x v="0"/>
    <x v="23"/>
    <n v="27.2206959706959"/>
    <n v="9935.5540293039903"/>
    <n v="35767.994505494396"/>
  </r>
  <r>
    <x v="0"/>
    <x v="0"/>
    <x v="0"/>
    <x v="3"/>
    <x v="13"/>
    <s v="SE3_EL"/>
    <x v="9"/>
    <s v="GBPR_WOODWASTE_25"/>
    <x v="0"/>
    <x v="0"/>
    <n v="251.416812609457"/>
    <n v="91767.136602451894"/>
    <n v="330361.69176882698"/>
  </r>
  <r>
    <x v="0"/>
    <x v="0"/>
    <x v="0"/>
    <x v="3"/>
    <x v="13"/>
    <s v="SE3_EL"/>
    <x v="9"/>
    <s v="GBPR_WOODWASTE_25"/>
    <x v="0"/>
    <x v="1"/>
    <n v="251.416812609457"/>
    <n v="91767.136602451894"/>
    <n v="330361.69176882698"/>
  </r>
  <r>
    <x v="0"/>
    <x v="0"/>
    <x v="0"/>
    <x v="3"/>
    <x v="13"/>
    <s v="SE3_EL"/>
    <x v="9"/>
    <s v="GBPR_WOODWASTE_25"/>
    <x v="0"/>
    <x v="2"/>
    <n v="251.416812609457"/>
    <n v="91767.136602451894"/>
    <n v="330361.69176882698"/>
  </r>
  <r>
    <x v="0"/>
    <x v="0"/>
    <x v="0"/>
    <x v="3"/>
    <x v="13"/>
    <s v="SE3_EL"/>
    <x v="9"/>
    <s v="GBPR_WOODWASTE_25"/>
    <x v="0"/>
    <x v="3"/>
    <n v="251.416812609457"/>
    <n v="91767.136602451894"/>
    <n v="330361.69176882698"/>
  </r>
  <r>
    <x v="0"/>
    <x v="0"/>
    <x v="0"/>
    <x v="3"/>
    <x v="13"/>
    <s v="SE3_EL"/>
    <x v="9"/>
    <s v="GBPR_WOODWASTE_25"/>
    <x v="0"/>
    <x v="4"/>
    <n v="251.416812609457"/>
    <n v="91767.136602451894"/>
    <n v="330361.69176882698"/>
  </r>
  <r>
    <x v="0"/>
    <x v="0"/>
    <x v="0"/>
    <x v="3"/>
    <x v="13"/>
    <s v="SE3_EL"/>
    <x v="9"/>
    <s v="GBPR_WOODWASTE_25"/>
    <x v="0"/>
    <x v="5"/>
    <n v="251.416812609457"/>
    <n v="91767.136602451894"/>
    <n v="330361.69176882698"/>
  </r>
  <r>
    <x v="0"/>
    <x v="0"/>
    <x v="0"/>
    <x v="3"/>
    <x v="13"/>
    <s v="SE3_EL"/>
    <x v="9"/>
    <s v="GBPR_WOODWASTE_25"/>
    <x v="0"/>
    <x v="6"/>
    <n v="251.416812609457"/>
    <n v="91767.136602451894"/>
    <n v="330361.69176882698"/>
  </r>
  <r>
    <x v="0"/>
    <x v="0"/>
    <x v="0"/>
    <x v="3"/>
    <x v="13"/>
    <s v="SE3_EL"/>
    <x v="9"/>
    <s v="GBPR_WOODWASTE_25"/>
    <x v="0"/>
    <x v="7"/>
    <n v="251.416812609457"/>
    <n v="91767.136602451894"/>
    <n v="330361.69176882698"/>
  </r>
  <r>
    <x v="0"/>
    <x v="0"/>
    <x v="0"/>
    <x v="3"/>
    <x v="13"/>
    <s v="SE3_EL"/>
    <x v="9"/>
    <s v="GBPR_WOODWASTE_25"/>
    <x v="0"/>
    <x v="8"/>
    <n v="251.416812609457"/>
    <n v="91767.136602451894"/>
    <n v="330361.69176882698"/>
  </r>
  <r>
    <x v="0"/>
    <x v="0"/>
    <x v="0"/>
    <x v="3"/>
    <x v="13"/>
    <s v="SE3_EL"/>
    <x v="9"/>
    <s v="GBPR_WOODWASTE_25"/>
    <x v="0"/>
    <x v="9"/>
    <n v="251.416812609457"/>
    <n v="91767.136602451894"/>
    <n v="330361.69176882698"/>
  </r>
  <r>
    <x v="0"/>
    <x v="0"/>
    <x v="0"/>
    <x v="3"/>
    <x v="13"/>
    <s v="SE3_EL"/>
    <x v="9"/>
    <s v="GBPR_WOODWASTE_25"/>
    <x v="0"/>
    <x v="10"/>
    <n v="251.416812609457"/>
    <n v="91767.136602451894"/>
    <n v="330361.69176882698"/>
  </r>
  <r>
    <x v="0"/>
    <x v="0"/>
    <x v="0"/>
    <x v="3"/>
    <x v="13"/>
    <s v="SE3_EL"/>
    <x v="9"/>
    <s v="GBPR_WOODWASTE_25"/>
    <x v="0"/>
    <x v="11"/>
    <n v="251.416812609457"/>
    <n v="91767.136602451894"/>
    <n v="330361.69176882698"/>
  </r>
  <r>
    <x v="0"/>
    <x v="0"/>
    <x v="0"/>
    <x v="3"/>
    <x v="13"/>
    <s v="SE3_EL"/>
    <x v="9"/>
    <s v="GBPR_WOODWASTE_25"/>
    <x v="0"/>
    <x v="12"/>
    <n v="251.416812609457"/>
    <n v="91767.136602451894"/>
    <n v="330361.69176882698"/>
  </r>
  <r>
    <x v="0"/>
    <x v="0"/>
    <x v="0"/>
    <x v="3"/>
    <x v="13"/>
    <s v="SE3_EL"/>
    <x v="9"/>
    <s v="GBPR_WOODWASTE_25"/>
    <x v="0"/>
    <x v="13"/>
    <n v="251.416812609457"/>
    <n v="91767.136602451894"/>
    <n v="330361.69176882698"/>
  </r>
  <r>
    <x v="0"/>
    <x v="0"/>
    <x v="0"/>
    <x v="3"/>
    <x v="13"/>
    <s v="SE3_EL"/>
    <x v="9"/>
    <s v="GBPR_WOODWASTE_25"/>
    <x v="0"/>
    <x v="14"/>
    <n v="251.416812609457"/>
    <n v="91767.136602451894"/>
    <n v="330361.69176882698"/>
  </r>
  <r>
    <x v="0"/>
    <x v="0"/>
    <x v="0"/>
    <x v="3"/>
    <x v="13"/>
    <s v="SE3_EL"/>
    <x v="9"/>
    <s v="GBPR_WOODWASTE_25"/>
    <x v="0"/>
    <x v="15"/>
    <n v="251.416812609457"/>
    <n v="91767.136602451894"/>
    <n v="330361.69176882698"/>
  </r>
  <r>
    <x v="0"/>
    <x v="0"/>
    <x v="0"/>
    <x v="3"/>
    <x v="13"/>
    <s v="SE3_EL"/>
    <x v="9"/>
    <s v="GBPR_WOODWASTE_25"/>
    <x v="0"/>
    <x v="16"/>
    <n v="251.416812609457"/>
    <n v="91767.136602451894"/>
    <n v="330361.69176882698"/>
  </r>
  <r>
    <x v="0"/>
    <x v="0"/>
    <x v="0"/>
    <x v="3"/>
    <x v="13"/>
    <s v="SE3_EL"/>
    <x v="9"/>
    <s v="GBPR_WOODWASTE_25"/>
    <x v="0"/>
    <x v="17"/>
    <n v="251.416812609457"/>
    <n v="91767.136602451894"/>
    <n v="330361.69176882698"/>
  </r>
  <r>
    <x v="0"/>
    <x v="0"/>
    <x v="0"/>
    <x v="3"/>
    <x v="13"/>
    <s v="SE3_EL"/>
    <x v="9"/>
    <s v="GBPR_WOODWASTE_25"/>
    <x v="0"/>
    <x v="18"/>
    <n v="251.416812609457"/>
    <n v="91767.136602451894"/>
    <n v="330361.69176882698"/>
  </r>
  <r>
    <x v="0"/>
    <x v="0"/>
    <x v="0"/>
    <x v="3"/>
    <x v="13"/>
    <s v="SE3_EL"/>
    <x v="9"/>
    <s v="GBPR_WOODWASTE_25"/>
    <x v="0"/>
    <x v="19"/>
    <n v="251.416812609457"/>
    <n v="91767.136602451894"/>
    <n v="330361.69176882698"/>
  </r>
  <r>
    <x v="0"/>
    <x v="0"/>
    <x v="0"/>
    <x v="3"/>
    <x v="13"/>
    <s v="SE3_EL"/>
    <x v="9"/>
    <s v="GBPR_WOODWASTE_25"/>
    <x v="0"/>
    <x v="20"/>
    <n v="251.416812609457"/>
    <n v="91767.136602451894"/>
    <n v="330361.69176882698"/>
  </r>
  <r>
    <x v="0"/>
    <x v="0"/>
    <x v="0"/>
    <x v="3"/>
    <x v="13"/>
    <s v="SE3_EL"/>
    <x v="9"/>
    <s v="GBPR_WOODWASTE_25"/>
    <x v="0"/>
    <x v="21"/>
    <n v="251.416812609457"/>
    <n v="91767.136602451894"/>
    <n v="330361.69176882698"/>
  </r>
  <r>
    <x v="0"/>
    <x v="0"/>
    <x v="0"/>
    <x v="3"/>
    <x v="13"/>
    <s v="SE3_EL"/>
    <x v="9"/>
    <s v="GBPR_WOODWASTE_25"/>
    <x v="0"/>
    <x v="22"/>
    <n v="251.416812609457"/>
    <n v="91767.136602451894"/>
    <n v="330361.69176882698"/>
  </r>
  <r>
    <x v="0"/>
    <x v="0"/>
    <x v="0"/>
    <x v="3"/>
    <x v="13"/>
    <s v="SE3_EL"/>
    <x v="9"/>
    <s v="GBPR_WOODWASTE_25"/>
    <x v="0"/>
    <x v="23"/>
    <n v="251.416812609457"/>
    <n v="91767.136602451894"/>
    <n v="330361.69176882698"/>
  </r>
  <r>
    <x v="0"/>
    <x v="0"/>
    <x v="0"/>
    <x v="3"/>
    <x v="13"/>
    <s v="SE3_EL"/>
    <x v="9"/>
    <s v="GBPR_WOODWASTE_ABY"/>
    <x v="0"/>
    <x v="0"/>
    <n v="172.929697272954"/>
    <n v="63119.339504628297"/>
    <n v="227229.62221666201"/>
  </r>
  <r>
    <x v="0"/>
    <x v="0"/>
    <x v="0"/>
    <x v="3"/>
    <x v="13"/>
    <s v="SE3_EL"/>
    <x v="9"/>
    <s v="GBPR_WOODWASTE_ABY"/>
    <x v="0"/>
    <x v="1"/>
    <n v="172.929697272954"/>
    <n v="63119.339504628297"/>
    <n v="227229.62221666201"/>
  </r>
  <r>
    <x v="0"/>
    <x v="0"/>
    <x v="0"/>
    <x v="3"/>
    <x v="13"/>
    <s v="SE3_EL"/>
    <x v="9"/>
    <s v="GBPR_WOODWASTE_ABY"/>
    <x v="0"/>
    <x v="2"/>
    <n v="172.929697272954"/>
    <n v="63119.339504628297"/>
    <n v="227229.62221666201"/>
  </r>
  <r>
    <x v="0"/>
    <x v="0"/>
    <x v="0"/>
    <x v="3"/>
    <x v="13"/>
    <s v="SE3_EL"/>
    <x v="9"/>
    <s v="GBPR_WOODWASTE_ABY"/>
    <x v="0"/>
    <x v="3"/>
    <n v="172.929697272954"/>
    <n v="63119.339504628297"/>
    <n v="227229.62221666201"/>
  </r>
  <r>
    <x v="0"/>
    <x v="0"/>
    <x v="0"/>
    <x v="3"/>
    <x v="13"/>
    <s v="SE3_EL"/>
    <x v="9"/>
    <s v="GBPR_WOODWASTE_ABY"/>
    <x v="0"/>
    <x v="4"/>
    <n v="172.929697272954"/>
    <n v="63119.339504628297"/>
    <n v="227229.62221666201"/>
  </r>
  <r>
    <x v="0"/>
    <x v="0"/>
    <x v="0"/>
    <x v="3"/>
    <x v="13"/>
    <s v="SE3_EL"/>
    <x v="9"/>
    <s v="GBPR_WOODWASTE_ABY"/>
    <x v="0"/>
    <x v="5"/>
    <n v="172.929697272954"/>
    <n v="63119.339504628297"/>
    <n v="227229.62221666201"/>
  </r>
  <r>
    <x v="0"/>
    <x v="0"/>
    <x v="0"/>
    <x v="3"/>
    <x v="13"/>
    <s v="SE3_EL"/>
    <x v="9"/>
    <s v="GBPR_WOODWASTE_ABY"/>
    <x v="0"/>
    <x v="6"/>
    <n v="172.929697272954"/>
    <n v="63119.339504628297"/>
    <n v="227229.62221666201"/>
  </r>
  <r>
    <x v="0"/>
    <x v="0"/>
    <x v="0"/>
    <x v="3"/>
    <x v="13"/>
    <s v="SE3_EL"/>
    <x v="9"/>
    <s v="GBPR_WOODWASTE_ABY"/>
    <x v="0"/>
    <x v="7"/>
    <n v="172.929697272954"/>
    <n v="63119.339504628297"/>
    <n v="227229.62221666201"/>
  </r>
  <r>
    <x v="0"/>
    <x v="0"/>
    <x v="0"/>
    <x v="3"/>
    <x v="13"/>
    <s v="SE3_EL"/>
    <x v="9"/>
    <s v="GBPR_WOODWASTE_ABY"/>
    <x v="0"/>
    <x v="8"/>
    <n v="172.929697272954"/>
    <n v="63119.339504628297"/>
    <n v="227229.62221666201"/>
  </r>
  <r>
    <x v="0"/>
    <x v="0"/>
    <x v="0"/>
    <x v="3"/>
    <x v="13"/>
    <s v="SE3_EL"/>
    <x v="9"/>
    <s v="GBPR_WOODWASTE_ABY"/>
    <x v="0"/>
    <x v="9"/>
    <n v="172.929697272954"/>
    <n v="63119.339504628297"/>
    <n v="227229.62221666201"/>
  </r>
  <r>
    <x v="0"/>
    <x v="0"/>
    <x v="0"/>
    <x v="3"/>
    <x v="13"/>
    <s v="SE3_EL"/>
    <x v="9"/>
    <s v="GBPR_WOODWASTE_ABY"/>
    <x v="0"/>
    <x v="10"/>
    <n v="172.929697272954"/>
    <n v="63119.339504628297"/>
    <n v="227229.62221666201"/>
  </r>
  <r>
    <x v="0"/>
    <x v="0"/>
    <x v="0"/>
    <x v="3"/>
    <x v="13"/>
    <s v="SE3_EL"/>
    <x v="9"/>
    <s v="GBPR_WOODWASTE_ABY"/>
    <x v="0"/>
    <x v="11"/>
    <n v="172.929697272954"/>
    <n v="63119.339504628297"/>
    <n v="227229.62221666201"/>
  </r>
  <r>
    <x v="0"/>
    <x v="0"/>
    <x v="0"/>
    <x v="3"/>
    <x v="13"/>
    <s v="SE3_EL"/>
    <x v="9"/>
    <s v="GBPR_WOODWASTE_ABY"/>
    <x v="0"/>
    <x v="12"/>
    <n v="172.929697272954"/>
    <n v="63119.339504628297"/>
    <n v="227229.62221666201"/>
  </r>
  <r>
    <x v="0"/>
    <x v="0"/>
    <x v="0"/>
    <x v="3"/>
    <x v="13"/>
    <s v="SE3_EL"/>
    <x v="9"/>
    <s v="GBPR_WOODWASTE_ABY"/>
    <x v="0"/>
    <x v="13"/>
    <n v="172.929697272954"/>
    <n v="63119.339504628297"/>
    <n v="227229.62221666201"/>
  </r>
  <r>
    <x v="0"/>
    <x v="0"/>
    <x v="0"/>
    <x v="3"/>
    <x v="13"/>
    <s v="SE3_EL"/>
    <x v="9"/>
    <s v="GBPR_WOODWASTE_ABY"/>
    <x v="0"/>
    <x v="14"/>
    <n v="172.929697272954"/>
    <n v="63119.339504628297"/>
    <n v="227229.62221666201"/>
  </r>
  <r>
    <x v="0"/>
    <x v="0"/>
    <x v="0"/>
    <x v="3"/>
    <x v="13"/>
    <s v="SE3_EL"/>
    <x v="9"/>
    <s v="GBPR_WOODWASTE_ABY"/>
    <x v="0"/>
    <x v="15"/>
    <n v="172.929697272954"/>
    <n v="63119.339504628297"/>
    <n v="227229.62221666201"/>
  </r>
  <r>
    <x v="0"/>
    <x v="0"/>
    <x v="0"/>
    <x v="3"/>
    <x v="13"/>
    <s v="SE3_EL"/>
    <x v="9"/>
    <s v="GBPR_WOODWASTE_ABY"/>
    <x v="0"/>
    <x v="16"/>
    <n v="172.929697272954"/>
    <n v="63119.339504628297"/>
    <n v="227229.62221666201"/>
  </r>
  <r>
    <x v="0"/>
    <x v="0"/>
    <x v="0"/>
    <x v="3"/>
    <x v="13"/>
    <s v="SE3_EL"/>
    <x v="9"/>
    <s v="GBPR_WOODWASTE_ABY"/>
    <x v="0"/>
    <x v="17"/>
    <n v="172.929697272954"/>
    <n v="63119.339504628297"/>
    <n v="227229.62221666201"/>
  </r>
  <r>
    <x v="0"/>
    <x v="0"/>
    <x v="0"/>
    <x v="3"/>
    <x v="13"/>
    <s v="SE3_EL"/>
    <x v="9"/>
    <s v="GBPR_WOODWASTE_ABY"/>
    <x v="0"/>
    <x v="18"/>
    <n v="172.929697272954"/>
    <n v="63119.339504628297"/>
    <n v="227229.62221666201"/>
  </r>
  <r>
    <x v="0"/>
    <x v="0"/>
    <x v="0"/>
    <x v="3"/>
    <x v="13"/>
    <s v="SE3_EL"/>
    <x v="9"/>
    <s v="GBPR_WOODWASTE_ABY"/>
    <x v="0"/>
    <x v="19"/>
    <n v="172.929697272954"/>
    <n v="63119.339504628297"/>
    <n v="227229.62221666201"/>
  </r>
  <r>
    <x v="0"/>
    <x v="0"/>
    <x v="0"/>
    <x v="3"/>
    <x v="13"/>
    <s v="SE3_EL"/>
    <x v="9"/>
    <s v="GBPR_WOODWASTE_ABY"/>
    <x v="0"/>
    <x v="20"/>
    <n v="172.929697272954"/>
    <n v="63119.339504628297"/>
    <n v="227229.62221666201"/>
  </r>
  <r>
    <x v="0"/>
    <x v="0"/>
    <x v="0"/>
    <x v="3"/>
    <x v="13"/>
    <s v="SE3_EL"/>
    <x v="9"/>
    <s v="GBPR_WOODWASTE_ABY"/>
    <x v="0"/>
    <x v="21"/>
    <n v="172.929697272954"/>
    <n v="63119.339504628297"/>
    <n v="227229.62221666201"/>
  </r>
  <r>
    <x v="0"/>
    <x v="0"/>
    <x v="0"/>
    <x v="3"/>
    <x v="13"/>
    <s v="SE3_EL"/>
    <x v="9"/>
    <s v="GBPR_WOODWASTE_ABY"/>
    <x v="0"/>
    <x v="22"/>
    <n v="172.929697272954"/>
    <n v="63119.339504628297"/>
    <n v="227229.62221666201"/>
  </r>
  <r>
    <x v="0"/>
    <x v="0"/>
    <x v="0"/>
    <x v="3"/>
    <x v="13"/>
    <s v="SE3_EL"/>
    <x v="9"/>
    <s v="GBPR_WOODWASTE_ABY"/>
    <x v="0"/>
    <x v="23"/>
    <n v="172.929697272954"/>
    <n v="63119.339504628297"/>
    <n v="227229.62221666201"/>
  </r>
  <r>
    <x v="0"/>
    <x v="0"/>
    <x v="0"/>
    <x v="3"/>
    <x v="13"/>
    <s v="SE3_EL"/>
    <x v="9"/>
    <s v="GHOB_WOODWASTE"/>
    <x v="0"/>
    <x v="0"/>
    <n v="54.961675079839303"/>
    <n v="20061.0114041413"/>
    <n v="72219.641054908803"/>
  </r>
  <r>
    <x v="0"/>
    <x v="0"/>
    <x v="0"/>
    <x v="3"/>
    <x v="13"/>
    <s v="SE3_EL"/>
    <x v="9"/>
    <s v="GHOB_WOODWASTE"/>
    <x v="0"/>
    <x v="1"/>
    <n v="54.961675079839303"/>
    <n v="20061.0114041413"/>
    <n v="72219.641054908803"/>
  </r>
  <r>
    <x v="0"/>
    <x v="0"/>
    <x v="0"/>
    <x v="3"/>
    <x v="13"/>
    <s v="SE3_EL"/>
    <x v="9"/>
    <s v="GHOB_WOODWASTE"/>
    <x v="0"/>
    <x v="2"/>
    <n v="54.961675079839303"/>
    <n v="20061.0114041413"/>
    <n v="72219.641054908803"/>
  </r>
  <r>
    <x v="0"/>
    <x v="0"/>
    <x v="0"/>
    <x v="3"/>
    <x v="13"/>
    <s v="SE3_EL"/>
    <x v="9"/>
    <s v="GHOB_WOODWASTE"/>
    <x v="0"/>
    <x v="3"/>
    <n v="54.961675079839303"/>
    <n v="20061.0114041413"/>
    <n v="72219.641054908803"/>
  </r>
  <r>
    <x v="0"/>
    <x v="0"/>
    <x v="0"/>
    <x v="3"/>
    <x v="13"/>
    <s v="SE3_EL"/>
    <x v="9"/>
    <s v="GHOB_WOODWASTE"/>
    <x v="0"/>
    <x v="4"/>
    <n v="54.961675079839303"/>
    <n v="20061.0114041413"/>
    <n v="72219.641054908803"/>
  </r>
  <r>
    <x v="0"/>
    <x v="0"/>
    <x v="0"/>
    <x v="3"/>
    <x v="13"/>
    <s v="SE3_EL"/>
    <x v="9"/>
    <s v="GHOB_WOODWASTE"/>
    <x v="0"/>
    <x v="5"/>
    <n v="54.961675079839303"/>
    <n v="20061.0114041413"/>
    <n v="72219.641054908803"/>
  </r>
  <r>
    <x v="0"/>
    <x v="0"/>
    <x v="0"/>
    <x v="3"/>
    <x v="13"/>
    <s v="SE3_EL"/>
    <x v="9"/>
    <s v="GHOB_WOODWASTE"/>
    <x v="0"/>
    <x v="6"/>
    <n v="54.961675079839303"/>
    <n v="20061.0114041413"/>
    <n v="72219.641054908803"/>
  </r>
  <r>
    <x v="0"/>
    <x v="0"/>
    <x v="0"/>
    <x v="3"/>
    <x v="13"/>
    <s v="SE3_EL"/>
    <x v="9"/>
    <s v="GHOB_WOODWASTE"/>
    <x v="0"/>
    <x v="7"/>
    <n v="54.961675079839303"/>
    <n v="20061.0114041413"/>
    <n v="72219.641054908803"/>
  </r>
  <r>
    <x v="0"/>
    <x v="0"/>
    <x v="0"/>
    <x v="3"/>
    <x v="13"/>
    <s v="SE3_EL"/>
    <x v="9"/>
    <s v="GHOB_WOODWASTE"/>
    <x v="0"/>
    <x v="8"/>
    <n v="54.961675079839303"/>
    <n v="20061.0114041413"/>
    <n v="72219.641054908803"/>
  </r>
  <r>
    <x v="0"/>
    <x v="0"/>
    <x v="0"/>
    <x v="3"/>
    <x v="13"/>
    <s v="SE3_EL"/>
    <x v="9"/>
    <s v="GHOB_WOODWASTE"/>
    <x v="0"/>
    <x v="9"/>
    <n v="54.961675079839303"/>
    <n v="20061.0114041413"/>
    <n v="72219.641054908803"/>
  </r>
  <r>
    <x v="0"/>
    <x v="0"/>
    <x v="0"/>
    <x v="3"/>
    <x v="13"/>
    <s v="SE3_EL"/>
    <x v="9"/>
    <s v="GHOB_WOODWASTE"/>
    <x v="0"/>
    <x v="10"/>
    <n v="54.961675079839303"/>
    <n v="20061.0114041413"/>
    <n v="72219.641054908803"/>
  </r>
  <r>
    <x v="0"/>
    <x v="0"/>
    <x v="0"/>
    <x v="3"/>
    <x v="13"/>
    <s v="SE3_EL"/>
    <x v="9"/>
    <s v="GHOB_WOODWASTE"/>
    <x v="0"/>
    <x v="11"/>
    <n v="54.961675079839303"/>
    <n v="20061.0114041413"/>
    <n v="72219.641054908803"/>
  </r>
  <r>
    <x v="0"/>
    <x v="0"/>
    <x v="0"/>
    <x v="3"/>
    <x v="13"/>
    <s v="SE3_EL"/>
    <x v="9"/>
    <s v="GHOB_WOODWASTE"/>
    <x v="0"/>
    <x v="12"/>
    <n v="54.961675079839303"/>
    <n v="20061.0114041413"/>
    <n v="72219.641054908803"/>
  </r>
  <r>
    <x v="0"/>
    <x v="0"/>
    <x v="0"/>
    <x v="3"/>
    <x v="13"/>
    <s v="SE3_EL"/>
    <x v="9"/>
    <s v="GHOB_WOODWASTE"/>
    <x v="0"/>
    <x v="13"/>
    <n v="54.961675079839303"/>
    <n v="20061.0114041413"/>
    <n v="72219.641054908803"/>
  </r>
  <r>
    <x v="0"/>
    <x v="0"/>
    <x v="0"/>
    <x v="3"/>
    <x v="13"/>
    <s v="SE3_EL"/>
    <x v="9"/>
    <s v="GHOB_WOODWASTE"/>
    <x v="0"/>
    <x v="14"/>
    <n v="54.961675079839303"/>
    <n v="20061.0114041413"/>
    <n v="72219.641054908803"/>
  </r>
  <r>
    <x v="0"/>
    <x v="0"/>
    <x v="0"/>
    <x v="3"/>
    <x v="13"/>
    <s v="SE3_EL"/>
    <x v="9"/>
    <s v="GHOB_WOODWASTE"/>
    <x v="0"/>
    <x v="15"/>
    <n v="54.961675079839303"/>
    <n v="20061.0114041413"/>
    <n v="72219.641054908803"/>
  </r>
  <r>
    <x v="0"/>
    <x v="0"/>
    <x v="0"/>
    <x v="3"/>
    <x v="13"/>
    <s v="SE3_EL"/>
    <x v="9"/>
    <s v="GHOB_WOODWASTE"/>
    <x v="0"/>
    <x v="16"/>
    <n v="54.961675079839303"/>
    <n v="20061.0114041413"/>
    <n v="72219.641054908803"/>
  </r>
  <r>
    <x v="0"/>
    <x v="0"/>
    <x v="0"/>
    <x v="3"/>
    <x v="13"/>
    <s v="SE3_EL"/>
    <x v="9"/>
    <s v="GHOB_WOODWASTE"/>
    <x v="0"/>
    <x v="17"/>
    <n v="54.961675079839303"/>
    <n v="20061.0114041413"/>
    <n v="72219.641054908803"/>
  </r>
  <r>
    <x v="0"/>
    <x v="0"/>
    <x v="0"/>
    <x v="3"/>
    <x v="13"/>
    <s v="SE3_EL"/>
    <x v="9"/>
    <s v="GHOB_WOODWASTE"/>
    <x v="0"/>
    <x v="18"/>
    <n v="54.961675079839303"/>
    <n v="20061.0114041413"/>
    <n v="72219.641054908803"/>
  </r>
  <r>
    <x v="0"/>
    <x v="0"/>
    <x v="0"/>
    <x v="3"/>
    <x v="13"/>
    <s v="SE3_EL"/>
    <x v="9"/>
    <s v="GHOB_WOODWASTE"/>
    <x v="0"/>
    <x v="19"/>
    <n v="54.961675079839303"/>
    <n v="20061.0114041413"/>
    <n v="72219.641054908803"/>
  </r>
  <r>
    <x v="0"/>
    <x v="0"/>
    <x v="0"/>
    <x v="3"/>
    <x v="13"/>
    <s v="SE3_EL"/>
    <x v="9"/>
    <s v="GHOB_WOODWASTE"/>
    <x v="0"/>
    <x v="20"/>
    <n v="54.961675079839303"/>
    <n v="20061.0114041413"/>
    <n v="72219.641054908803"/>
  </r>
  <r>
    <x v="0"/>
    <x v="0"/>
    <x v="0"/>
    <x v="3"/>
    <x v="13"/>
    <s v="SE3_EL"/>
    <x v="9"/>
    <s v="GHOB_WOODWASTE"/>
    <x v="0"/>
    <x v="21"/>
    <n v="54.961675079839303"/>
    <n v="20061.0114041413"/>
    <n v="72219.641054908803"/>
  </r>
  <r>
    <x v="0"/>
    <x v="0"/>
    <x v="0"/>
    <x v="3"/>
    <x v="13"/>
    <s v="SE3_EL"/>
    <x v="9"/>
    <s v="GHOB_WOODWASTE"/>
    <x v="0"/>
    <x v="22"/>
    <n v="54.961675079839303"/>
    <n v="20061.0114041413"/>
    <n v="72219.641054908803"/>
  </r>
  <r>
    <x v="0"/>
    <x v="0"/>
    <x v="0"/>
    <x v="3"/>
    <x v="13"/>
    <s v="SE3_EL"/>
    <x v="9"/>
    <s v="GHOB_WOODWASTE"/>
    <x v="0"/>
    <x v="23"/>
    <n v="54.961675079839303"/>
    <n v="20061.0114041413"/>
    <n v="72219.641054908803"/>
  </r>
  <r>
    <x v="0"/>
    <x v="0"/>
    <x v="0"/>
    <x v="3"/>
    <x v="13"/>
    <s v="SE3_GOT"/>
    <x v="1"/>
    <s v="GBPR_MUNIWASTE_24"/>
    <x v="0"/>
    <x v="0"/>
    <n v="233.07407407407399"/>
    <n v="85072.037037037095"/>
    <n v="306259.33333333302"/>
  </r>
  <r>
    <x v="0"/>
    <x v="0"/>
    <x v="0"/>
    <x v="3"/>
    <x v="13"/>
    <s v="SE3_GOT"/>
    <x v="1"/>
    <s v="GBPR_MUNIWASTE_24"/>
    <x v="0"/>
    <x v="1"/>
    <n v="233.07407407407399"/>
    <n v="85072.037037037095"/>
    <n v="306259.33333333302"/>
  </r>
  <r>
    <x v="0"/>
    <x v="0"/>
    <x v="0"/>
    <x v="3"/>
    <x v="13"/>
    <s v="SE3_GOT"/>
    <x v="1"/>
    <s v="GBPR_MUNIWASTE_24"/>
    <x v="0"/>
    <x v="2"/>
    <n v="233.07407407407399"/>
    <n v="85072.037037037095"/>
    <n v="306259.33333333302"/>
  </r>
  <r>
    <x v="0"/>
    <x v="0"/>
    <x v="0"/>
    <x v="3"/>
    <x v="13"/>
    <s v="SE3_GOT"/>
    <x v="1"/>
    <s v="GBPR_MUNIWASTE_24"/>
    <x v="0"/>
    <x v="3"/>
    <n v="233.07407407407399"/>
    <n v="85072.037037037095"/>
    <n v="306259.33333333302"/>
  </r>
  <r>
    <x v="0"/>
    <x v="0"/>
    <x v="0"/>
    <x v="3"/>
    <x v="13"/>
    <s v="SE3_GOT"/>
    <x v="1"/>
    <s v="GBPR_MUNIWASTE_24"/>
    <x v="0"/>
    <x v="4"/>
    <n v="233.07407407407399"/>
    <n v="85072.037037037095"/>
    <n v="306259.33333333302"/>
  </r>
  <r>
    <x v="0"/>
    <x v="0"/>
    <x v="0"/>
    <x v="3"/>
    <x v="13"/>
    <s v="SE3_GOT"/>
    <x v="1"/>
    <s v="GBPR_MUNIWASTE_24"/>
    <x v="0"/>
    <x v="5"/>
    <n v="233.07407407407399"/>
    <n v="85072.037037037095"/>
    <n v="306259.33333333302"/>
  </r>
  <r>
    <x v="0"/>
    <x v="0"/>
    <x v="0"/>
    <x v="3"/>
    <x v="13"/>
    <s v="SE3_GOT"/>
    <x v="1"/>
    <s v="GBPR_MUNIWASTE_24"/>
    <x v="0"/>
    <x v="6"/>
    <n v="233.07407407407399"/>
    <n v="85072.037037037095"/>
    <n v="306259.33333333302"/>
  </r>
  <r>
    <x v="0"/>
    <x v="0"/>
    <x v="0"/>
    <x v="3"/>
    <x v="13"/>
    <s v="SE3_GOT"/>
    <x v="1"/>
    <s v="GBPR_MUNIWASTE_24"/>
    <x v="0"/>
    <x v="7"/>
    <n v="233.07407407407399"/>
    <n v="85072.037037037095"/>
    <n v="306259.33333333302"/>
  </r>
  <r>
    <x v="0"/>
    <x v="0"/>
    <x v="0"/>
    <x v="3"/>
    <x v="13"/>
    <s v="SE3_GOT"/>
    <x v="1"/>
    <s v="GBPR_MUNIWASTE_24"/>
    <x v="0"/>
    <x v="8"/>
    <n v="233.07407407407399"/>
    <n v="85072.037037037095"/>
    <n v="306259.33333333302"/>
  </r>
  <r>
    <x v="0"/>
    <x v="0"/>
    <x v="0"/>
    <x v="3"/>
    <x v="13"/>
    <s v="SE3_GOT"/>
    <x v="1"/>
    <s v="GBPR_MUNIWASTE_24"/>
    <x v="0"/>
    <x v="9"/>
    <n v="233.07407407407399"/>
    <n v="85072.037037037095"/>
    <n v="306259.33333333302"/>
  </r>
  <r>
    <x v="0"/>
    <x v="0"/>
    <x v="0"/>
    <x v="3"/>
    <x v="13"/>
    <s v="SE3_GOT"/>
    <x v="1"/>
    <s v="GBPR_MUNIWASTE_24"/>
    <x v="0"/>
    <x v="10"/>
    <n v="233.07407407407399"/>
    <n v="85072.037037037095"/>
    <n v="306259.33333333302"/>
  </r>
  <r>
    <x v="0"/>
    <x v="0"/>
    <x v="0"/>
    <x v="3"/>
    <x v="13"/>
    <s v="SE3_GOT"/>
    <x v="1"/>
    <s v="GBPR_MUNIWASTE_24"/>
    <x v="0"/>
    <x v="11"/>
    <n v="233.07407407407399"/>
    <n v="85072.037037037095"/>
    <n v="306259.33333333302"/>
  </r>
  <r>
    <x v="0"/>
    <x v="0"/>
    <x v="0"/>
    <x v="3"/>
    <x v="13"/>
    <s v="SE3_GOT"/>
    <x v="1"/>
    <s v="GBPR_MUNIWASTE_24"/>
    <x v="0"/>
    <x v="12"/>
    <n v="233.07407407407399"/>
    <n v="85072.037037037095"/>
    <n v="306259.33333333302"/>
  </r>
  <r>
    <x v="0"/>
    <x v="0"/>
    <x v="0"/>
    <x v="3"/>
    <x v="13"/>
    <s v="SE3_GOT"/>
    <x v="1"/>
    <s v="GBPR_MUNIWASTE_24"/>
    <x v="0"/>
    <x v="13"/>
    <n v="233.07407407407399"/>
    <n v="85072.037037037095"/>
    <n v="306259.33333333302"/>
  </r>
  <r>
    <x v="0"/>
    <x v="0"/>
    <x v="0"/>
    <x v="3"/>
    <x v="13"/>
    <s v="SE3_GOT"/>
    <x v="1"/>
    <s v="GBPR_MUNIWASTE_24"/>
    <x v="0"/>
    <x v="14"/>
    <n v="233.07407407407399"/>
    <n v="85072.037037037095"/>
    <n v="306259.33333333302"/>
  </r>
  <r>
    <x v="0"/>
    <x v="0"/>
    <x v="0"/>
    <x v="3"/>
    <x v="13"/>
    <s v="SE3_GOT"/>
    <x v="1"/>
    <s v="GBPR_MUNIWASTE_24"/>
    <x v="0"/>
    <x v="15"/>
    <n v="233.07407407407399"/>
    <n v="85072.037037037095"/>
    <n v="306259.33333333302"/>
  </r>
  <r>
    <x v="0"/>
    <x v="0"/>
    <x v="0"/>
    <x v="3"/>
    <x v="13"/>
    <s v="SE3_GOT"/>
    <x v="1"/>
    <s v="GBPR_MUNIWASTE_24"/>
    <x v="0"/>
    <x v="16"/>
    <n v="233.07407407407399"/>
    <n v="85072.037037037095"/>
    <n v="306259.33333333302"/>
  </r>
  <r>
    <x v="0"/>
    <x v="0"/>
    <x v="0"/>
    <x v="3"/>
    <x v="13"/>
    <s v="SE3_GOT"/>
    <x v="1"/>
    <s v="GBPR_MUNIWASTE_24"/>
    <x v="0"/>
    <x v="17"/>
    <n v="233.07407407407399"/>
    <n v="85072.037037037095"/>
    <n v="306259.33333333302"/>
  </r>
  <r>
    <x v="0"/>
    <x v="0"/>
    <x v="0"/>
    <x v="3"/>
    <x v="13"/>
    <s v="SE3_GOT"/>
    <x v="1"/>
    <s v="GBPR_MUNIWASTE_24"/>
    <x v="0"/>
    <x v="18"/>
    <n v="233.07407407407399"/>
    <n v="85072.037037037095"/>
    <n v="306259.33333333302"/>
  </r>
  <r>
    <x v="0"/>
    <x v="0"/>
    <x v="0"/>
    <x v="3"/>
    <x v="13"/>
    <s v="SE3_GOT"/>
    <x v="1"/>
    <s v="GBPR_MUNIWASTE_24"/>
    <x v="0"/>
    <x v="19"/>
    <n v="233.07407407407399"/>
    <n v="85072.037037037095"/>
    <n v="306259.33333333302"/>
  </r>
  <r>
    <x v="0"/>
    <x v="0"/>
    <x v="0"/>
    <x v="3"/>
    <x v="13"/>
    <s v="SE3_GOT"/>
    <x v="1"/>
    <s v="GBPR_MUNIWASTE_24"/>
    <x v="0"/>
    <x v="20"/>
    <n v="233.07407407407399"/>
    <n v="85072.037037037095"/>
    <n v="306259.33333333302"/>
  </r>
  <r>
    <x v="0"/>
    <x v="0"/>
    <x v="0"/>
    <x v="3"/>
    <x v="13"/>
    <s v="SE3_GOT"/>
    <x v="1"/>
    <s v="GBPR_MUNIWASTE_24"/>
    <x v="0"/>
    <x v="21"/>
    <n v="233.07407407407399"/>
    <n v="85072.037037037095"/>
    <n v="306259.33333333302"/>
  </r>
  <r>
    <x v="0"/>
    <x v="0"/>
    <x v="0"/>
    <x v="3"/>
    <x v="13"/>
    <s v="SE3_GOT"/>
    <x v="1"/>
    <s v="GBPR_MUNIWASTE_24"/>
    <x v="0"/>
    <x v="22"/>
    <n v="233.07407407407399"/>
    <n v="85072.037037037095"/>
    <n v="306259.33333333302"/>
  </r>
  <r>
    <x v="0"/>
    <x v="0"/>
    <x v="0"/>
    <x v="3"/>
    <x v="13"/>
    <s v="SE3_GOT"/>
    <x v="1"/>
    <s v="GBPR_MUNIWASTE_24"/>
    <x v="0"/>
    <x v="23"/>
    <n v="233.07407407407399"/>
    <n v="85072.037037037095"/>
    <n v="306259.33333333302"/>
  </r>
  <r>
    <x v="0"/>
    <x v="0"/>
    <x v="0"/>
    <x v="3"/>
    <x v="13"/>
    <s v="SE3_GOT"/>
    <x v="3"/>
    <s v="GHOB_NATGAS"/>
    <x v="0"/>
    <x v="6"/>
    <n v="50.465692450902999"/>
    <n v="18419.977744579599"/>
    <n v="66311.919880486603"/>
  </r>
  <r>
    <x v="0"/>
    <x v="0"/>
    <x v="0"/>
    <x v="3"/>
    <x v="13"/>
    <s v="SE3_GOT"/>
    <x v="3"/>
    <s v="GHOB_NATGAS"/>
    <x v="0"/>
    <x v="7"/>
    <n v="82.524417757291999"/>
    <n v="30121.4124814116"/>
    <n v="108437.08493308201"/>
  </r>
  <r>
    <x v="0"/>
    <x v="0"/>
    <x v="0"/>
    <x v="3"/>
    <x v="13"/>
    <s v="SE3_GOT"/>
    <x v="3"/>
    <s v="GHOB_NATGAS"/>
    <x v="0"/>
    <x v="8"/>
    <n v="56.5389827005962"/>
    <n v="20636.7286857176"/>
    <n v="74292.223268583301"/>
  </r>
  <r>
    <x v="0"/>
    <x v="0"/>
    <x v="0"/>
    <x v="3"/>
    <x v="13"/>
    <s v="SE3_GOT"/>
    <x v="3"/>
    <s v="GHOB_NATGAS"/>
    <x v="0"/>
    <x v="9"/>
    <n v="26.166439753106999"/>
    <n v="9550.7505098840502"/>
    <n v="34382.7018355826"/>
  </r>
  <r>
    <x v="0"/>
    <x v="0"/>
    <x v="0"/>
    <x v="3"/>
    <x v="13"/>
    <s v="SE3_GOT"/>
    <x v="3"/>
    <s v="GHOB_NATGAS"/>
    <x v="0"/>
    <x v="10"/>
    <n v="3.4533319346850799"/>
    <n v="1260.4661561600501"/>
    <n v="4537.6781621761902"/>
  </r>
  <r>
    <x v="0"/>
    <x v="0"/>
    <x v="0"/>
    <x v="3"/>
    <x v="13"/>
    <s v="SE3_GOT"/>
    <x v="2"/>
    <s v="GHOB_WASTEHEAT"/>
    <x v="0"/>
    <x v="0"/>
    <n v="118.24633699633701"/>
    <n v="43159.913003662798"/>
    <n v="155375.68681318601"/>
  </r>
  <r>
    <x v="0"/>
    <x v="0"/>
    <x v="0"/>
    <x v="3"/>
    <x v="13"/>
    <s v="SE3_GOT"/>
    <x v="2"/>
    <s v="GHOB_WASTEHEAT"/>
    <x v="0"/>
    <x v="1"/>
    <n v="118.24633699633701"/>
    <n v="43159.913003662798"/>
    <n v="155375.68681318601"/>
  </r>
  <r>
    <x v="0"/>
    <x v="0"/>
    <x v="0"/>
    <x v="3"/>
    <x v="13"/>
    <s v="SE3_GOT"/>
    <x v="2"/>
    <s v="GHOB_WASTEHEAT"/>
    <x v="0"/>
    <x v="2"/>
    <n v="118.24633699633701"/>
    <n v="43159.913003662798"/>
    <n v="155375.68681318601"/>
  </r>
  <r>
    <x v="0"/>
    <x v="0"/>
    <x v="0"/>
    <x v="3"/>
    <x v="13"/>
    <s v="SE3_GOT"/>
    <x v="2"/>
    <s v="GHOB_WASTEHEAT"/>
    <x v="0"/>
    <x v="3"/>
    <n v="118.24633699633701"/>
    <n v="43159.913003662798"/>
    <n v="155375.68681318601"/>
  </r>
  <r>
    <x v="0"/>
    <x v="0"/>
    <x v="0"/>
    <x v="3"/>
    <x v="13"/>
    <s v="SE3_GOT"/>
    <x v="2"/>
    <s v="GHOB_WASTEHEAT"/>
    <x v="0"/>
    <x v="4"/>
    <n v="118.24633699633701"/>
    <n v="43159.913003662798"/>
    <n v="155375.68681318601"/>
  </r>
  <r>
    <x v="0"/>
    <x v="0"/>
    <x v="0"/>
    <x v="3"/>
    <x v="13"/>
    <s v="SE3_GOT"/>
    <x v="2"/>
    <s v="GHOB_WASTEHEAT"/>
    <x v="0"/>
    <x v="5"/>
    <n v="118.24633699633701"/>
    <n v="43159.913003662798"/>
    <n v="155375.68681318601"/>
  </r>
  <r>
    <x v="0"/>
    <x v="0"/>
    <x v="0"/>
    <x v="3"/>
    <x v="13"/>
    <s v="SE3_GOT"/>
    <x v="2"/>
    <s v="GHOB_WASTEHEAT"/>
    <x v="0"/>
    <x v="6"/>
    <n v="118.24633699633701"/>
    <n v="43159.913003662798"/>
    <n v="155375.68681318601"/>
  </r>
  <r>
    <x v="0"/>
    <x v="0"/>
    <x v="0"/>
    <x v="3"/>
    <x v="13"/>
    <s v="SE3_GOT"/>
    <x v="2"/>
    <s v="GHOB_WASTEHEAT"/>
    <x v="0"/>
    <x v="7"/>
    <n v="118.24633699633701"/>
    <n v="43159.913003662798"/>
    <n v="155375.68681318601"/>
  </r>
  <r>
    <x v="0"/>
    <x v="0"/>
    <x v="0"/>
    <x v="3"/>
    <x v="13"/>
    <s v="SE3_GOT"/>
    <x v="2"/>
    <s v="GHOB_WASTEHEAT"/>
    <x v="0"/>
    <x v="8"/>
    <n v="118.24633699633701"/>
    <n v="43159.913003662798"/>
    <n v="155375.68681318601"/>
  </r>
  <r>
    <x v="0"/>
    <x v="0"/>
    <x v="0"/>
    <x v="3"/>
    <x v="13"/>
    <s v="SE3_GOT"/>
    <x v="2"/>
    <s v="GHOB_WASTEHEAT"/>
    <x v="0"/>
    <x v="9"/>
    <n v="118.24633699633701"/>
    <n v="43159.913003662798"/>
    <n v="155375.68681318601"/>
  </r>
  <r>
    <x v="0"/>
    <x v="0"/>
    <x v="0"/>
    <x v="3"/>
    <x v="13"/>
    <s v="SE3_GOT"/>
    <x v="2"/>
    <s v="GHOB_WASTEHEAT"/>
    <x v="0"/>
    <x v="10"/>
    <n v="118.24633699633701"/>
    <n v="43159.913003662798"/>
    <n v="155375.68681318601"/>
  </r>
  <r>
    <x v="0"/>
    <x v="0"/>
    <x v="0"/>
    <x v="3"/>
    <x v="13"/>
    <s v="SE3_GOT"/>
    <x v="2"/>
    <s v="GHOB_WASTEHEAT"/>
    <x v="0"/>
    <x v="11"/>
    <n v="118.24633699633701"/>
    <n v="43159.913003662798"/>
    <n v="155375.68681318601"/>
  </r>
  <r>
    <x v="0"/>
    <x v="0"/>
    <x v="0"/>
    <x v="3"/>
    <x v="13"/>
    <s v="SE3_GOT"/>
    <x v="2"/>
    <s v="GHOB_WASTEHEAT"/>
    <x v="0"/>
    <x v="12"/>
    <n v="118.24633699633701"/>
    <n v="43159.913003662798"/>
    <n v="155375.68681318601"/>
  </r>
  <r>
    <x v="0"/>
    <x v="0"/>
    <x v="0"/>
    <x v="3"/>
    <x v="13"/>
    <s v="SE3_GOT"/>
    <x v="2"/>
    <s v="GHOB_WASTEHEAT"/>
    <x v="0"/>
    <x v="13"/>
    <n v="118.24633699633701"/>
    <n v="43159.913003662798"/>
    <n v="155375.68681318601"/>
  </r>
  <r>
    <x v="0"/>
    <x v="0"/>
    <x v="0"/>
    <x v="3"/>
    <x v="13"/>
    <s v="SE3_GOT"/>
    <x v="2"/>
    <s v="GHOB_WASTEHEAT"/>
    <x v="0"/>
    <x v="14"/>
    <n v="118.24633699633701"/>
    <n v="43159.913003662798"/>
    <n v="155375.68681318601"/>
  </r>
  <r>
    <x v="0"/>
    <x v="0"/>
    <x v="0"/>
    <x v="3"/>
    <x v="13"/>
    <s v="SE3_GOT"/>
    <x v="2"/>
    <s v="GHOB_WASTEHEAT"/>
    <x v="0"/>
    <x v="15"/>
    <n v="118.24633699633701"/>
    <n v="43159.913003662798"/>
    <n v="155375.68681318601"/>
  </r>
  <r>
    <x v="0"/>
    <x v="0"/>
    <x v="0"/>
    <x v="3"/>
    <x v="13"/>
    <s v="SE3_GOT"/>
    <x v="2"/>
    <s v="GHOB_WASTEHEAT"/>
    <x v="0"/>
    <x v="16"/>
    <n v="118.24633699633701"/>
    <n v="43159.913003662798"/>
    <n v="155375.68681318601"/>
  </r>
  <r>
    <x v="0"/>
    <x v="0"/>
    <x v="0"/>
    <x v="3"/>
    <x v="13"/>
    <s v="SE3_GOT"/>
    <x v="2"/>
    <s v="GHOB_WASTEHEAT"/>
    <x v="0"/>
    <x v="17"/>
    <n v="118.24633699633701"/>
    <n v="43159.913003662798"/>
    <n v="155375.68681318601"/>
  </r>
  <r>
    <x v="0"/>
    <x v="0"/>
    <x v="0"/>
    <x v="3"/>
    <x v="13"/>
    <s v="SE3_GOT"/>
    <x v="2"/>
    <s v="GHOB_WASTEHEAT"/>
    <x v="0"/>
    <x v="18"/>
    <n v="118.24633699633701"/>
    <n v="43159.913003662798"/>
    <n v="155375.68681318601"/>
  </r>
  <r>
    <x v="0"/>
    <x v="0"/>
    <x v="0"/>
    <x v="3"/>
    <x v="13"/>
    <s v="SE3_GOT"/>
    <x v="2"/>
    <s v="GHOB_WASTEHEAT"/>
    <x v="0"/>
    <x v="19"/>
    <n v="118.24633699633701"/>
    <n v="43159.913003662798"/>
    <n v="155375.68681318601"/>
  </r>
  <r>
    <x v="0"/>
    <x v="0"/>
    <x v="0"/>
    <x v="3"/>
    <x v="13"/>
    <s v="SE3_GOT"/>
    <x v="2"/>
    <s v="GHOB_WASTEHEAT"/>
    <x v="0"/>
    <x v="20"/>
    <n v="118.24633699633701"/>
    <n v="43159.913003662798"/>
    <n v="155375.68681318601"/>
  </r>
  <r>
    <x v="0"/>
    <x v="0"/>
    <x v="0"/>
    <x v="3"/>
    <x v="13"/>
    <s v="SE3_GOT"/>
    <x v="2"/>
    <s v="GHOB_WASTEHEAT"/>
    <x v="0"/>
    <x v="21"/>
    <n v="118.24633699633701"/>
    <n v="43159.913003662798"/>
    <n v="155375.68681318601"/>
  </r>
  <r>
    <x v="0"/>
    <x v="0"/>
    <x v="0"/>
    <x v="3"/>
    <x v="13"/>
    <s v="SE3_GOT"/>
    <x v="2"/>
    <s v="GHOB_WASTEHEAT"/>
    <x v="0"/>
    <x v="22"/>
    <n v="118.24633699633701"/>
    <n v="43159.913003662798"/>
    <n v="155375.68681318601"/>
  </r>
  <r>
    <x v="0"/>
    <x v="0"/>
    <x v="0"/>
    <x v="3"/>
    <x v="13"/>
    <s v="SE3_GOT"/>
    <x v="2"/>
    <s v="GHOB_WASTEHEAT"/>
    <x v="0"/>
    <x v="23"/>
    <n v="118.24633699633701"/>
    <n v="43159.913003662798"/>
    <n v="155375.68681318601"/>
  </r>
  <r>
    <x v="0"/>
    <x v="0"/>
    <x v="0"/>
    <x v="3"/>
    <x v="13"/>
    <s v="SE3_GOT"/>
    <x v="9"/>
    <s v="GBPR_WOODWASTE_GOT"/>
    <x v="0"/>
    <x v="0"/>
    <n v="82.986045643650897"/>
    <n v="30289.9066599326"/>
    <n v="109043.66397575699"/>
  </r>
  <r>
    <x v="0"/>
    <x v="0"/>
    <x v="0"/>
    <x v="3"/>
    <x v="13"/>
    <s v="SE3_GOT"/>
    <x v="9"/>
    <s v="GBPR_WOODWASTE_GOT"/>
    <x v="0"/>
    <x v="1"/>
    <n v="82.986045643650897"/>
    <n v="30289.9066599326"/>
    <n v="109043.66397575699"/>
  </r>
  <r>
    <x v="0"/>
    <x v="0"/>
    <x v="0"/>
    <x v="3"/>
    <x v="13"/>
    <s v="SE3_GOT"/>
    <x v="9"/>
    <s v="GBPR_WOODWASTE_GOT"/>
    <x v="0"/>
    <x v="2"/>
    <n v="82.986045643650897"/>
    <n v="30289.9066599326"/>
    <n v="109043.66397575699"/>
  </r>
  <r>
    <x v="0"/>
    <x v="0"/>
    <x v="0"/>
    <x v="3"/>
    <x v="13"/>
    <s v="SE3_GOT"/>
    <x v="9"/>
    <s v="GBPR_WOODWASTE_GOT"/>
    <x v="0"/>
    <x v="3"/>
    <n v="82.986045643650897"/>
    <n v="30289.9066599326"/>
    <n v="109043.66397575699"/>
  </r>
  <r>
    <x v="0"/>
    <x v="0"/>
    <x v="0"/>
    <x v="3"/>
    <x v="13"/>
    <s v="SE3_GOT"/>
    <x v="9"/>
    <s v="GBPR_WOODWASTE_GOT"/>
    <x v="0"/>
    <x v="4"/>
    <n v="82.986045643650897"/>
    <n v="30289.9066599326"/>
    <n v="109043.66397575699"/>
  </r>
  <r>
    <x v="0"/>
    <x v="0"/>
    <x v="0"/>
    <x v="3"/>
    <x v="13"/>
    <s v="SE3_GOT"/>
    <x v="9"/>
    <s v="GBPR_WOODWASTE_GOT"/>
    <x v="0"/>
    <x v="5"/>
    <n v="82.986045643650897"/>
    <n v="30289.9066599326"/>
    <n v="109043.66397575699"/>
  </r>
  <r>
    <x v="0"/>
    <x v="0"/>
    <x v="0"/>
    <x v="3"/>
    <x v="13"/>
    <s v="SE3_GOT"/>
    <x v="9"/>
    <s v="GBPR_WOODWASTE_GOT"/>
    <x v="0"/>
    <x v="6"/>
    <n v="82.986045643650897"/>
    <n v="30289.9066599326"/>
    <n v="109043.66397575699"/>
  </r>
  <r>
    <x v="0"/>
    <x v="0"/>
    <x v="0"/>
    <x v="3"/>
    <x v="13"/>
    <s v="SE3_GOT"/>
    <x v="9"/>
    <s v="GBPR_WOODWASTE_GOT"/>
    <x v="0"/>
    <x v="7"/>
    <n v="82.986045643650897"/>
    <n v="30289.9066599326"/>
    <n v="109043.66397575699"/>
  </r>
  <r>
    <x v="0"/>
    <x v="0"/>
    <x v="0"/>
    <x v="3"/>
    <x v="13"/>
    <s v="SE3_GOT"/>
    <x v="9"/>
    <s v="GBPR_WOODWASTE_GOT"/>
    <x v="0"/>
    <x v="8"/>
    <n v="82.986045643650897"/>
    <n v="30289.9066599326"/>
    <n v="109043.66397575699"/>
  </r>
  <r>
    <x v="0"/>
    <x v="0"/>
    <x v="0"/>
    <x v="3"/>
    <x v="13"/>
    <s v="SE3_GOT"/>
    <x v="9"/>
    <s v="GBPR_WOODWASTE_GOT"/>
    <x v="0"/>
    <x v="9"/>
    <n v="82.986045643650897"/>
    <n v="30289.9066599326"/>
    <n v="109043.66397575699"/>
  </r>
  <r>
    <x v="0"/>
    <x v="0"/>
    <x v="0"/>
    <x v="3"/>
    <x v="13"/>
    <s v="SE3_GOT"/>
    <x v="9"/>
    <s v="GBPR_WOODWASTE_GOT"/>
    <x v="0"/>
    <x v="10"/>
    <n v="82.986045643650897"/>
    <n v="30289.9066599326"/>
    <n v="109043.66397575699"/>
  </r>
  <r>
    <x v="0"/>
    <x v="0"/>
    <x v="0"/>
    <x v="3"/>
    <x v="13"/>
    <s v="SE3_GOT"/>
    <x v="9"/>
    <s v="GBPR_WOODWASTE_GOT"/>
    <x v="0"/>
    <x v="11"/>
    <n v="82.986045643650897"/>
    <n v="30289.9066599326"/>
    <n v="109043.66397575699"/>
  </r>
  <r>
    <x v="0"/>
    <x v="0"/>
    <x v="0"/>
    <x v="3"/>
    <x v="13"/>
    <s v="SE3_GOT"/>
    <x v="9"/>
    <s v="GBPR_WOODWASTE_GOT"/>
    <x v="0"/>
    <x v="12"/>
    <n v="82.986045643650897"/>
    <n v="30289.9066599326"/>
    <n v="109043.66397575699"/>
  </r>
  <r>
    <x v="0"/>
    <x v="0"/>
    <x v="0"/>
    <x v="3"/>
    <x v="13"/>
    <s v="SE3_GOT"/>
    <x v="9"/>
    <s v="GBPR_WOODWASTE_GOT"/>
    <x v="0"/>
    <x v="13"/>
    <n v="82.986045643650897"/>
    <n v="30289.9066599326"/>
    <n v="109043.66397575699"/>
  </r>
  <r>
    <x v="0"/>
    <x v="0"/>
    <x v="0"/>
    <x v="3"/>
    <x v="13"/>
    <s v="SE3_GOT"/>
    <x v="9"/>
    <s v="GBPR_WOODWASTE_GOT"/>
    <x v="0"/>
    <x v="14"/>
    <n v="82.986045643650897"/>
    <n v="30289.9066599326"/>
    <n v="109043.66397575699"/>
  </r>
  <r>
    <x v="0"/>
    <x v="0"/>
    <x v="0"/>
    <x v="3"/>
    <x v="13"/>
    <s v="SE3_GOT"/>
    <x v="9"/>
    <s v="GBPR_WOODWASTE_GOT"/>
    <x v="0"/>
    <x v="15"/>
    <n v="82.986045643650897"/>
    <n v="30289.9066599326"/>
    <n v="109043.66397575699"/>
  </r>
  <r>
    <x v="0"/>
    <x v="0"/>
    <x v="0"/>
    <x v="3"/>
    <x v="13"/>
    <s v="SE3_GOT"/>
    <x v="9"/>
    <s v="GBPR_WOODWASTE_GOT"/>
    <x v="0"/>
    <x v="16"/>
    <n v="82.986045643650897"/>
    <n v="30289.9066599326"/>
    <n v="109043.66397575699"/>
  </r>
  <r>
    <x v="0"/>
    <x v="0"/>
    <x v="0"/>
    <x v="3"/>
    <x v="13"/>
    <s v="SE3_GOT"/>
    <x v="9"/>
    <s v="GBPR_WOODWASTE_GOT"/>
    <x v="0"/>
    <x v="17"/>
    <n v="82.986045643650897"/>
    <n v="30289.9066599326"/>
    <n v="109043.66397575699"/>
  </r>
  <r>
    <x v="0"/>
    <x v="0"/>
    <x v="0"/>
    <x v="3"/>
    <x v="13"/>
    <s v="SE3_GOT"/>
    <x v="9"/>
    <s v="GBPR_WOODWASTE_GOT"/>
    <x v="0"/>
    <x v="18"/>
    <n v="82.986045643650897"/>
    <n v="30289.9066599326"/>
    <n v="109043.66397575699"/>
  </r>
  <r>
    <x v="0"/>
    <x v="0"/>
    <x v="0"/>
    <x v="3"/>
    <x v="13"/>
    <s v="SE3_GOT"/>
    <x v="9"/>
    <s v="GBPR_WOODWASTE_GOT"/>
    <x v="0"/>
    <x v="19"/>
    <n v="82.986045643650897"/>
    <n v="30289.9066599326"/>
    <n v="109043.66397575699"/>
  </r>
  <r>
    <x v="0"/>
    <x v="0"/>
    <x v="0"/>
    <x v="3"/>
    <x v="13"/>
    <s v="SE3_GOT"/>
    <x v="9"/>
    <s v="GBPR_WOODWASTE_GOT"/>
    <x v="0"/>
    <x v="20"/>
    <n v="82.986045643650897"/>
    <n v="30289.9066599326"/>
    <n v="109043.66397575699"/>
  </r>
  <r>
    <x v="0"/>
    <x v="0"/>
    <x v="0"/>
    <x v="3"/>
    <x v="13"/>
    <s v="SE3_GOT"/>
    <x v="9"/>
    <s v="GBPR_WOODWASTE_GOT"/>
    <x v="0"/>
    <x v="21"/>
    <n v="82.986045643650897"/>
    <n v="30289.9066599326"/>
    <n v="109043.66397575699"/>
  </r>
  <r>
    <x v="0"/>
    <x v="0"/>
    <x v="0"/>
    <x v="3"/>
    <x v="13"/>
    <s v="SE3_GOT"/>
    <x v="9"/>
    <s v="GBPR_WOODWASTE_GOT"/>
    <x v="0"/>
    <x v="22"/>
    <n v="82.986045643650897"/>
    <n v="30289.9066599326"/>
    <n v="109043.66397575699"/>
  </r>
  <r>
    <x v="0"/>
    <x v="0"/>
    <x v="0"/>
    <x v="3"/>
    <x v="13"/>
    <s v="SE3_GOT"/>
    <x v="9"/>
    <s v="GBPR_WOODWASTE_GOT"/>
    <x v="0"/>
    <x v="23"/>
    <n v="82.986045643650897"/>
    <n v="30289.9066599326"/>
    <n v="109043.66397575699"/>
  </r>
  <r>
    <x v="0"/>
    <x v="0"/>
    <x v="0"/>
    <x v="3"/>
    <x v="13"/>
    <s v="SE3_HP"/>
    <x v="1"/>
    <s v="GBPR_MUNIWASTE_24"/>
    <x v="0"/>
    <x v="0"/>
    <n v="172.236409994241"/>
    <n v="62866.289647897996"/>
    <n v="226318.64273243301"/>
  </r>
  <r>
    <x v="0"/>
    <x v="0"/>
    <x v="0"/>
    <x v="3"/>
    <x v="13"/>
    <s v="SE3_HP"/>
    <x v="1"/>
    <s v="GBPR_MUNIWASTE_24"/>
    <x v="0"/>
    <x v="1"/>
    <n v="172.236409994241"/>
    <n v="62866.289647897996"/>
    <n v="226318.64273243301"/>
  </r>
  <r>
    <x v="0"/>
    <x v="0"/>
    <x v="0"/>
    <x v="3"/>
    <x v="13"/>
    <s v="SE3_HP"/>
    <x v="1"/>
    <s v="GBPR_MUNIWASTE_24"/>
    <x v="0"/>
    <x v="2"/>
    <n v="172.236409994241"/>
    <n v="62866.289647897996"/>
    <n v="226318.64273243301"/>
  </r>
  <r>
    <x v="0"/>
    <x v="0"/>
    <x v="0"/>
    <x v="3"/>
    <x v="13"/>
    <s v="SE3_HP"/>
    <x v="1"/>
    <s v="GBPR_MUNIWASTE_24"/>
    <x v="0"/>
    <x v="3"/>
    <n v="172.236409994241"/>
    <n v="62866.289647897996"/>
    <n v="226318.64273243301"/>
  </r>
  <r>
    <x v="0"/>
    <x v="0"/>
    <x v="0"/>
    <x v="3"/>
    <x v="13"/>
    <s v="SE3_HP"/>
    <x v="1"/>
    <s v="GBPR_MUNIWASTE_24"/>
    <x v="0"/>
    <x v="4"/>
    <n v="172.236409994241"/>
    <n v="62866.289647897996"/>
    <n v="226318.64273243301"/>
  </r>
  <r>
    <x v="0"/>
    <x v="0"/>
    <x v="0"/>
    <x v="3"/>
    <x v="13"/>
    <s v="SE3_HP"/>
    <x v="1"/>
    <s v="GBPR_MUNIWASTE_24"/>
    <x v="0"/>
    <x v="5"/>
    <n v="172.236409994241"/>
    <n v="62866.289647897996"/>
    <n v="226318.64273243301"/>
  </r>
  <r>
    <x v="0"/>
    <x v="0"/>
    <x v="0"/>
    <x v="3"/>
    <x v="13"/>
    <s v="SE3_HP"/>
    <x v="1"/>
    <s v="GBPR_MUNIWASTE_24"/>
    <x v="0"/>
    <x v="6"/>
    <n v="172.236409994241"/>
    <n v="62866.289647897996"/>
    <n v="226318.64273243301"/>
  </r>
  <r>
    <x v="0"/>
    <x v="0"/>
    <x v="0"/>
    <x v="3"/>
    <x v="13"/>
    <s v="SE3_HP"/>
    <x v="1"/>
    <s v="GBPR_MUNIWASTE_24"/>
    <x v="0"/>
    <x v="7"/>
    <n v="172.236409994241"/>
    <n v="62866.289647897996"/>
    <n v="226318.64273243301"/>
  </r>
  <r>
    <x v="0"/>
    <x v="0"/>
    <x v="0"/>
    <x v="3"/>
    <x v="13"/>
    <s v="SE3_HP"/>
    <x v="1"/>
    <s v="GBPR_MUNIWASTE_24"/>
    <x v="0"/>
    <x v="8"/>
    <n v="172.236409994241"/>
    <n v="62866.289647897996"/>
    <n v="226318.64273243301"/>
  </r>
  <r>
    <x v="0"/>
    <x v="0"/>
    <x v="0"/>
    <x v="3"/>
    <x v="13"/>
    <s v="SE3_HP"/>
    <x v="1"/>
    <s v="GBPR_MUNIWASTE_24"/>
    <x v="0"/>
    <x v="9"/>
    <n v="172.236409994241"/>
    <n v="62866.289647897996"/>
    <n v="226318.64273243301"/>
  </r>
  <r>
    <x v="0"/>
    <x v="0"/>
    <x v="0"/>
    <x v="3"/>
    <x v="13"/>
    <s v="SE3_HP"/>
    <x v="1"/>
    <s v="GBPR_MUNIWASTE_24"/>
    <x v="0"/>
    <x v="10"/>
    <n v="172.236409994241"/>
    <n v="62866.289647897996"/>
    <n v="226318.64273243301"/>
  </r>
  <r>
    <x v="0"/>
    <x v="0"/>
    <x v="0"/>
    <x v="3"/>
    <x v="13"/>
    <s v="SE3_HP"/>
    <x v="1"/>
    <s v="GBPR_MUNIWASTE_24"/>
    <x v="0"/>
    <x v="11"/>
    <n v="172.236409994241"/>
    <n v="62866.289647897996"/>
    <n v="226318.64273243301"/>
  </r>
  <r>
    <x v="0"/>
    <x v="0"/>
    <x v="0"/>
    <x v="3"/>
    <x v="13"/>
    <s v="SE3_HP"/>
    <x v="1"/>
    <s v="GBPR_MUNIWASTE_24"/>
    <x v="0"/>
    <x v="12"/>
    <n v="172.236409994241"/>
    <n v="62866.289647897996"/>
    <n v="226318.64273243301"/>
  </r>
  <r>
    <x v="0"/>
    <x v="0"/>
    <x v="0"/>
    <x v="3"/>
    <x v="13"/>
    <s v="SE3_HP"/>
    <x v="1"/>
    <s v="GBPR_MUNIWASTE_24"/>
    <x v="0"/>
    <x v="13"/>
    <n v="172.236409994241"/>
    <n v="62866.289647897996"/>
    <n v="226318.64273243301"/>
  </r>
  <r>
    <x v="0"/>
    <x v="0"/>
    <x v="0"/>
    <x v="3"/>
    <x v="13"/>
    <s v="SE3_HP"/>
    <x v="1"/>
    <s v="GBPR_MUNIWASTE_24"/>
    <x v="0"/>
    <x v="14"/>
    <n v="172.236409994241"/>
    <n v="62866.289647897996"/>
    <n v="226318.64273243301"/>
  </r>
  <r>
    <x v="0"/>
    <x v="0"/>
    <x v="0"/>
    <x v="3"/>
    <x v="13"/>
    <s v="SE3_HP"/>
    <x v="1"/>
    <s v="GBPR_MUNIWASTE_24"/>
    <x v="0"/>
    <x v="15"/>
    <n v="172.236409994241"/>
    <n v="62866.289647897996"/>
    <n v="226318.64273243301"/>
  </r>
  <r>
    <x v="0"/>
    <x v="0"/>
    <x v="0"/>
    <x v="3"/>
    <x v="13"/>
    <s v="SE3_HP"/>
    <x v="1"/>
    <s v="GBPR_MUNIWASTE_24"/>
    <x v="0"/>
    <x v="16"/>
    <n v="172.236409994241"/>
    <n v="62866.289647897996"/>
    <n v="226318.64273243301"/>
  </r>
  <r>
    <x v="0"/>
    <x v="0"/>
    <x v="0"/>
    <x v="3"/>
    <x v="13"/>
    <s v="SE3_HP"/>
    <x v="1"/>
    <s v="GBPR_MUNIWASTE_24"/>
    <x v="0"/>
    <x v="17"/>
    <n v="172.236409994241"/>
    <n v="62866.289647897996"/>
    <n v="226318.64273243301"/>
  </r>
  <r>
    <x v="0"/>
    <x v="0"/>
    <x v="0"/>
    <x v="3"/>
    <x v="13"/>
    <s v="SE3_HP"/>
    <x v="1"/>
    <s v="GBPR_MUNIWASTE_24"/>
    <x v="0"/>
    <x v="18"/>
    <n v="172.236409994241"/>
    <n v="62866.289647897996"/>
    <n v="226318.64273243301"/>
  </r>
  <r>
    <x v="0"/>
    <x v="0"/>
    <x v="0"/>
    <x v="3"/>
    <x v="13"/>
    <s v="SE3_HP"/>
    <x v="1"/>
    <s v="GBPR_MUNIWASTE_24"/>
    <x v="0"/>
    <x v="19"/>
    <n v="172.236409994241"/>
    <n v="62866.289647897996"/>
    <n v="226318.64273243301"/>
  </r>
  <r>
    <x v="0"/>
    <x v="0"/>
    <x v="0"/>
    <x v="3"/>
    <x v="13"/>
    <s v="SE3_HP"/>
    <x v="1"/>
    <s v="GBPR_MUNIWASTE_24"/>
    <x v="0"/>
    <x v="20"/>
    <n v="172.236409994241"/>
    <n v="62866.289647897996"/>
    <n v="226318.64273243301"/>
  </r>
  <r>
    <x v="0"/>
    <x v="0"/>
    <x v="0"/>
    <x v="3"/>
    <x v="13"/>
    <s v="SE3_HP"/>
    <x v="1"/>
    <s v="GBPR_MUNIWASTE_24"/>
    <x v="0"/>
    <x v="21"/>
    <n v="172.236409994241"/>
    <n v="62866.289647897996"/>
    <n v="226318.64273243301"/>
  </r>
  <r>
    <x v="0"/>
    <x v="0"/>
    <x v="0"/>
    <x v="3"/>
    <x v="13"/>
    <s v="SE3_HP"/>
    <x v="1"/>
    <s v="GBPR_MUNIWASTE_24"/>
    <x v="0"/>
    <x v="22"/>
    <n v="172.236409994241"/>
    <n v="62866.289647897996"/>
    <n v="226318.64273243301"/>
  </r>
  <r>
    <x v="0"/>
    <x v="0"/>
    <x v="0"/>
    <x v="3"/>
    <x v="13"/>
    <s v="SE3_HP"/>
    <x v="1"/>
    <s v="GBPR_MUNIWASTE_24"/>
    <x v="0"/>
    <x v="23"/>
    <n v="172.236409994241"/>
    <n v="62866.289647897996"/>
    <n v="226318.64273243301"/>
  </r>
  <r>
    <x v="0"/>
    <x v="0"/>
    <x v="0"/>
    <x v="3"/>
    <x v="13"/>
    <s v="SE3_HP"/>
    <x v="2"/>
    <s v="GHOB_WASTEHEAT"/>
    <x v="0"/>
    <x v="0"/>
    <n v="3.4340659340659201E-3"/>
    <n v="1.2534340659340599"/>
    <n v="4.51236263736262"/>
  </r>
  <r>
    <x v="0"/>
    <x v="0"/>
    <x v="0"/>
    <x v="3"/>
    <x v="13"/>
    <s v="SE3_HP"/>
    <x v="2"/>
    <s v="GHOB_WASTEHEAT"/>
    <x v="0"/>
    <x v="1"/>
    <n v="3.4340659340659201E-3"/>
    <n v="1.2534340659340599"/>
    <n v="4.51236263736262"/>
  </r>
  <r>
    <x v="0"/>
    <x v="0"/>
    <x v="0"/>
    <x v="3"/>
    <x v="13"/>
    <s v="SE3_HP"/>
    <x v="2"/>
    <s v="GHOB_WASTEHEAT"/>
    <x v="0"/>
    <x v="2"/>
    <n v="3.4340659340659201E-3"/>
    <n v="1.2534340659340599"/>
    <n v="4.51236263736262"/>
  </r>
  <r>
    <x v="0"/>
    <x v="0"/>
    <x v="0"/>
    <x v="3"/>
    <x v="13"/>
    <s v="SE3_HP"/>
    <x v="2"/>
    <s v="GHOB_WASTEHEAT"/>
    <x v="0"/>
    <x v="3"/>
    <n v="3.4340659340659201E-3"/>
    <n v="1.2534340659340599"/>
    <n v="4.51236263736262"/>
  </r>
  <r>
    <x v="0"/>
    <x v="0"/>
    <x v="0"/>
    <x v="3"/>
    <x v="13"/>
    <s v="SE3_HP"/>
    <x v="2"/>
    <s v="GHOB_WASTEHEAT"/>
    <x v="0"/>
    <x v="4"/>
    <n v="3.4340659340659201E-3"/>
    <n v="1.2534340659340599"/>
    <n v="4.51236263736262"/>
  </r>
  <r>
    <x v="0"/>
    <x v="0"/>
    <x v="0"/>
    <x v="3"/>
    <x v="13"/>
    <s v="SE3_HP"/>
    <x v="2"/>
    <s v="GHOB_WASTEHEAT"/>
    <x v="0"/>
    <x v="5"/>
    <n v="3.4340659340659201E-3"/>
    <n v="1.2534340659340599"/>
    <n v="4.51236263736262"/>
  </r>
  <r>
    <x v="0"/>
    <x v="0"/>
    <x v="0"/>
    <x v="3"/>
    <x v="13"/>
    <s v="SE3_HP"/>
    <x v="2"/>
    <s v="GHOB_WASTEHEAT"/>
    <x v="0"/>
    <x v="6"/>
    <n v="3.4340659340659201E-3"/>
    <n v="1.2534340659340599"/>
    <n v="4.51236263736262"/>
  </r>
  <r>
    <x v="0"/>
    <x v="0"/>
    <x v="0"/>
    <x v="3"/>
    <x v="13"/>
    <s v="SE3_HP"/>
    <x v="2"/>
    <s v="GHOB_WASTEHEAT"/>
    <x v="0"/>
    <x v="7"/>
    <n v="3.4340659340659201E-3"/>
    <n v="1.2534340659340599"/>
    <n v="4.51236263736262"/>
  </r>
  <r>
    <x v="0"/>
    <x v="0"/>
    <x v="0"/>
    <x v="3"/>
    <x v="13"/>
    <s v="SE3_HP"/>
    <x v="2"/>
    <s v="GHOB_WASTEHEAT"/>
    <x v="0"/>
    <x v="8"/>
    <n v="3.4340659340659201E-3"/>
    <n v="1.2534340659340599"/>
    <n v="4.51236263736262"/>
  </r>
  <r>
    <x v="0"/>
    <x v="0"/>
    <x v="0"/>
    <x v="3"/>
    <x v="13"/>
    <s v="SE3_HP"/>
    <x v="2"/>
    <s v="GHOB_WASTEHEAT"/>
    <x v="0"/>
    <x v="9"/>
    <n v="3.4340659340659201E-3"/>
    <n v="1.2534340659340599"/>
    <n v="4.51236263736262"/>
  </r>
  <r>
    <x v="0"/>
    <x v="0"/>
    <x v="0"/>
    <x v="3"/>
    <x v="13"/>
    <s v="SE3_HP"/>
    <x v="2"/>
    <s v="GHOB_WASTEHEAT"/>
    <x v="0"/>
    <x v="10"/>
    <n v="3.4340659340659201E-3"/>
    <n v="1.2534340659340599"/>
    <n v="4.51236263736262"/>
  </r>
  <r>
    <x v="0"/>
    <x v="0"/>
    <x v="0"/>
    <x v="3"/>
    <x v="13"/>
    <s v="SE3_HP"/>
    <x v="2"/>
    <s v="GHOB_WASTEHEAT"/>
    <x v="0"/>
    <x v="11"/>
    <n v="3.4340659340659201E-3"/>
    <n v="1.2534340659340599"/>
    <n v="4.51236263736262"/>
  </r>
  <r>
    <x v="0"/>
    <x v="0"/>
    <x v="0"/>
    <x v="3"/>
    <x v="13"/>
    <s v="SE3_HP"/>
    <x v="2"/>
    <s v="GHOB_WASTEHEAT"/>
    <x v="0"/>
    <x v="12"/>
    <n v="3.4340659340659201E-3"/>
    <n v="1.2534340659340599"/>
    <n v="4.51236263736262"/>
  </r>
  <r>
    <x v="0"/>
    <x v="0"/>
    <x v="0"/>
    <x v="3"/>
    <x v="13"/>
    <s v="SE3_HP"/>
    <x v="2"/>
    <s v="GHOB_WASTEHEAT"/>
    <x v="0"/>
    <x v="13"/>
    <n v="3.4340659340659201E-3"/>
    <n v="1.2534340659340599"/>
    <n v="4.51236263736262"/>
  </r>
  <r>
    <x v="0"/>
    <x v="0"/>
    <x v="0"/>
    <x v="3"/>
    <x v="13"/>
    <s v="SE3_HP"/>
    <x v="2"/>
    <s v="GHOB_WASTEHEAT"/>
    <x v="0"/>
    <x v="14"/>
    <n v="3.4340659340659201E-3"/>
    <n v="1.2534340659340599"/>
    <n v="4.51236263736262"/>
  </r>
  <r>
    <x v="0"/>
    <x v="0"/>
    <x v="0"/>
    <x v="3"/>
    <x v="13"/>
    <s v="SE3_HP"/>
    <x v="2"/>
    <s v="GHOB_WASTEHEAT"/>
    <x v="0"/>
    <x v="15"/>
    <n v="3.4340659340659201E-3"/>
    <n v="1.2534340659340599"/>
    <n v="4.51236263736262"/>
  </r>
  <r>
    <x v="0"/>
    <x v="0"/>
    <x v="0"/>
    <x v="3"/>
    <x v="13"/>
    <s v="SE3_HP"/>
    <x v="2"/>
    <s v="GHOB_WASTEHEAT"/>
    <x v="0"/>
    <x v="16"/>
    <n v="3.4340659340659201E-3"/>
    <n v="1.2534340659340599"/>
    <n v="4.51236263736262"/>
  </r>
  <r>
    <x v="0"/>
    <x v="0"/>
    <x v="0"/>
    <x v="3"/>
    <x v="13"/>
    <s v="SE3_HP"/>
    <x v="2"/>
    <s v="GHOB_WASTEHEAT"/>
    <x v="0"/>
    <x v="17"/>
    <n v="3.4340659340659201E-3"/>
    <n v="1.2534340659340599"/>
    <n v="4.51236263736262"/>
  </r>
  <r>
    <x v="0"/>
    <x v="0"/>
    <x v="0"/>
    <x v="3"/>
    <x v="13"/>
    <s v="SE3_HP"/>
    <x v="2"/>
    <s v="GHOB_WASTEHEAT"/>
    <x v="0"/>
    <x v="18"/>
    <n v="3.4340659340659201E-3"/>
    <n v="1.2534340659340599"/>
    <n v="4.51236263736262"/>
  </r>
  <r>
    <x v="0"/>
    <x v="0"/>
    <x v="0"/>
    <x v="3"/>
    <x v="13"/>
    <s v="SE3_HP"/>
    <x v="2"/>
    <s v="GHOB_WASTEHEAT"/>
    <x v="0"/>
    <x v="19"/>
    <n v="3.4340659340659201E-3"/>
    <n v="1.2534340659340599"/>
    <n v="4.51236263736262"/>
  </r>
  <r>
    <x v="0"/>
    <x v="0"/>
    <x v="0"/>
    <x v="3"/>
    <x v="13"/>
    <s v="SE3_HP"/>
    <x v="2"/>
    <s v="GHOB_WASTEHEAT"/>
    <x v="0"/>
    <x v="20"/>
    <n v="3.4340659340659201E-3"/>
    <n v="1.2534340659340599"/>
    <n v="4.51236263736262"/>
  </r>
  <r>
    <x v="0"/>
    <x v="0"/>
    <x v="0"/>
    <x v="3"/>
    <x v="13"/>
    <s v="SE3_HP"/>
    <x v="2"/>
    <s v="GHOB_WASTEHEAT"/>
    <x v="0"/>
    <x v="21"/>
    <n v="3.4340659340659201E-3"/>
    <n v="1.2534340659340599"/>
    <n v="4.51236263736262"/>
  </r>
  <r>
    <x v="0"/>
    <x v="0"/>
    <x v="0"/>
    <x v="3"/>
    <x v="13"/>
    <s v="SE3_HP"/>
    <x v="2"/>
    <s v="GHOB_WASTEHEAT"/>
    <x v="0"/>
    <x v="22"/>
    <n v="3.4340659340659201E-3"/>
    <n v="1.2534340659340599"/>
    <n v="4.51236263736262"/>
  </r>
  <r>
    <x v="0"/>
    <x v="0"/>
    <x v="0"/>
    <x v="3"/>
    <x v="13"/>
    <s v="SE3_HP"/>
    <x v="2"/>
    <s v="GHOB_WASTEHEAT"/>
    <x v="0"/>
    <x v="23"/>
    <n v="3.4340659340659201E-3"/>
    <n v="1.2534340659340599"/>
    <n v="4.51236263736262"/>
  </r>
  <r>
    <x v="0"/>
    <x v="0"/>
    <x v="0"/>
    <x v="3"/>
    <x v="13"/>
    <s v="SE3_HP"/>
    <x v="9"/>
    <s v="GBPR_WOODWASTE_36"/>
    <x v="0"/>
    <x v="0"/>
    <n v="87.084063047285497"/>
    <n v="31785.6830122592"/>
    <n v="114428.458844133"/>
  </r>
  <r>
    <x v="0"/>
    <x v="0"/>
    <x v="0"/>
    <x v="3"/>
    <x v="13"/>
    <s v="SE3_HP"/>
    <x v="9"/>
    <s v="GBPR_WOODWASTE_36"/>
    <x v="0"/>
    <x v="1"/>
    <n v="87.084063047285497"/>
    <n v="31785.6830122592"/>
    <n v="114428.458844133"/>
  </r>
  <r>
    <x v="0"/>
    <x v="0"/>
    <x v="0"/>
    <x v="3"/>
    <x v="13"/>
    <s v="SE3_HP"/>
    <x v="9"/>
    <s v="GBPR_WOODWASTE_36"/>
    <x v="0"/>
    <x v="2"/>
    <n v="87.084063047285497"/>
    <n v="31785.6830122592"/>
    <n v="114428.458844133"/>
  </r>
  <r>
    <x v="0"/>
    <x v="0"/>
    <x v="0"/>
    <x v="3"/>
    <x v="13"/>
    <s v="SE3_HP"/>
    <x v="9"/>
    <s v="GBPR_WOODWASTE_36"/>
    <x v="0"/>
    <x v="3"/>
    <n v="87.084063047285497"/>
    <n v="31785.6830122592"/>
    <n v="114428.458844133"/>
  </r>
  <r>
    <x v="0"/>
    <x v="0"/>
    <x v="0"/>
    <x v="3"/>
    <x v="13"/>
    <s v="SE3_HP"/>
    <x v="9"/>
    <s v="GBPR_WOODWASTE_36"/>
    <x v="0"/>
    <x v="4"/>
    <n v="87.084063047285497"/>
    <n v="31785.6830122592"/>
    <n v="114428.458844133"/>
  </r>
  <r>
    <x v="0"/>
    <x v="0"/>
    <x v="0"/>
    <x v="3"/>
    <x v="13"/>
    <s v="SE3_HP"/>
    <x v="9"/>
    <s v="GBPR_WOODWASTE_36"/>
    <x v="0"/>
    <x v="5"/>
    <n v="87.084063047285497"/>
    <n v="31785.6830122592"/>
    <n v="114428.458844133"/>
  </r>
  <r>
    <x v="0"/>
    <x v="0"/>
    <x v="0"/>
    <x v="3"/>
    <x v="13"/>
    <s v="SE3_HP"/>
    <x v="9"/>
    <s v="GBPR_WOODWASTE_36"/>
    <x v="0"/>
    <x v="6"/>
    <n v="87.084063047285497"/>
    <n v="31785.6830122592"/>
    <n v="114428.458844133"/>
  </r>
  <r>
    <x v="0"/>
    <x v="0"/>
    <x v="0"/>
    <x v="3"/>
    <x v="13"/>
    <s v="SE3_HP"/>
    <x v="9"/>
    <s v="GBPR_WOODWASTE_36"/>
    <x v="0"/>
    <x v="7"/>
    <n v="87.084063047285497"/>
    <n v="31785.6830122592"/>
    <n v="114428.458844133"/>
  </r>
  <r>
    <x v="0"/>
    <x v="0"/>
    <x v="0"/>
    <x v="3"/>
    <x v="13"/>
    <s v="SE3_HP"/>
    <x v="9"/>
    <s v="GBPR_WOODWASTE_36"/>
    <x v="0"/>
    <x v="8"/>
    <n v="87.084063047285497"/>
    <n v="31785.6830122592"/>
    <n v="114428.458844133"/>
  </r>
  <r>
    <x v="0"/>
    <x v="0"/>
    <x v="0"/>
    <x v="3"/>
    <x v="13"/>
    <s v="SE3_HP"/>
    <x v="9"/>
    <s v="GBPR_WOODWASTE_36"/>
    <x v="0"/>
    <x v="9"/>
    <n v="87.084063047285497"/>
    <n v="31785.6830122592"/>
    <n v="114428.458844133"/>
  </r>
  <r>
    <x v="0"/>
    <x v="0"/>
    <x v="0"/>
    <x v="3"/>
    <x v="13"/>
    <s v="SE3_HP"/>
    <x v="9"/>
    <s v="GBPR_WOODWASTE_36"/>
    <x v="0"/>
    <x v="10"/>
    <n v="87.084063047285497"/>
    <n v="31785.6830122592"/>
    <n v="114428.458844133"/>
  </r>
  <r>
    <x v="0"/>
    <x v="0"/>
    <x v="0"/>
    <x v="3"/>
    <x v="13"/>
    <s v="SE3_HP"/>
    <x v="9"/>
    <s v="GBPR_WOODWASTE_36"/>
    <x v="0"/>
    <x v="11"/>
    <n v="87.084063047285497"/>
    <n v="31785.6830122592"/>
    <n v="114428.458844133"/>
  </r>
  <r>
    <x v="0"/>
    <x v="0"/>
    <x v="0"/>
    <x v="3"/>
    <x v="13"/>
    <s v="SE3_HP"/>
    <x v="9"/>
    <s v="GBPR_WOODWASTE_36"/>
    <x v="0"/>
    <x v="12"/>
    <n v="87.084063047285497"/>
    <n v="31785.6830122592"/>
    <n v="114428.458844133"/>
  </r>
  <r>
    <x v="0"/>
    <x v="0"/>
    <x v="0"/>
    <x v="3"/>
    <x v="13"/>
    <s v="SE3_HP"/>
    <x v="9"/>
    <s v="GBPR_WOODWASTE_36"/>
    <x v="0"/>
    <x v="13"/>
    <n v="87.084063047285497"/>
    <n v="31785.6830122592"/>
    <n v="114428.458844133"/>
  </r>
  <r>
    <x v="0"/>
    <x v="0"/>
    <x v="0"/>
    <x v="3"/>
    <x v="13"/>
    <s v="SE3_HP"/>
    <x v="9"/>
    <s v="GBPR_WOODWASTE_36"/>
    <x v="0"/>
    <x v="14"/>
    <n v="87.084063047285497"/>
    <n v="31785.6830122592"/>
    <n v="114428.458844133"/>
  </r>
  <r>
    <x v="0"/>
    <x v="0"/>
    <x v="0"/>
    <x v="3"/>
    <x v="13"/>
    <s v="SE3_HP"/>
    <x v="9"/>
    <s v="GBPR_WOODWASTE_36"/>
    <x v="0"/>
    <x v="15"/>
    <n v="87.084063047285497"/>
    <n v="31785.6830122592"/>
    <n v="114428.458844133"/>
  </r>
  <r>
    <x v="0"/>
    <x v="0"/>
    <x v="0"/>
    <x v="3"/>
    <x v="13"/>
    <s v="SE3_HP"/>
    <x v="9"/>
    <s v="GBPR_WOODWASTE_36"/>
    <x v="0"/>
    <x v="16"/>
    <n v="87.084063047285497"/>
    <n v="31785.6830122592"/>
    <n v="114428.458844133"/>
  </r>
  <r>
    <x v="0"/>
    <x v="0"/>
    <x v="0"/>
    <x v="3"/>
    <x v="13"/>
    <s v="SE3_HP"/>
    <x v="9"/>
    <s v="GBPR_WOODWASTE_36"/>
    <x v="0"/>
    <x v="17"/>
    <n v="87.084063047285497"/>
    <n v="31785.6830122592"/>
    <n v="114428.458844133"/>
  </r>
  <r>
    <x v="0"/>
    <x v="0"/>
    <x v="0"/>
    <x v="3"/>
    <x v="13"/>
    <s v="SE3_HP"/>
    <x v="9"/>
    <s v="GBPR_WOODWASTE_36"/>
    <x v="0"/>
    <x v="18"/>
    <n v="87.084063047285497"/>
    <n v="31785.6830122592"/>
    <n v="114428.458844133"/>
  </r>
  <r>
    <x v="0"/>
    <x v="0"/>
    <x v="0"/>
    <x v="3"/>
    <x v="13"/>
    <s v="SE3_HP"/>
    <x v="9"/>
    <s v="GBPR_WOODWASTE_36"/>
    <x v="0"/>
    <x v="19"/>
    <n v="87.084063047285497"/>
    <n v="31785.6830122592"/>
    <n v="114428.458844133"/>
  </r>
  <r>
    <x v="0"/>
    <x v="0"/>
    <x v="0"/>
    <x v="3"/>
    <x v="13"/>
    <s v="SE3_HP"/>
    <x v="9"/>
    <s v="GBPR_WOODWASTE_36"/>
    <x v="0"/>
    <x v="20"/>
    <n v="87.084063047285497"/>
    <n v="31785.6830122592"/>
    <n v="114428.458844133"/>
  </r>
  <r>
    <x v="0"/>
    <x v="0"/>
    <x v="0"/>
    <x v="3"/>
    <x v="13"/>
    <s v="SE3_HP"/>
    <x v="9"/>
    <s v="GBPR_WOODWASTE_36"/>
    <x v="0"/>
    <x v="21"/>
    <n v="87.084063047285497"/>
    <n v="31785.6830122592"/>
    <n v="114428.458844133"/>
  </r>
  <r>
    <x v="0"/>
    <x v="0"/>
    <x v="0"/>
    <x v="3"/>
    <x v="13"/>
    <s v="SE3_HP"/>
    <x v="9"/>
    <s v="GBPR_WOODWASTE_36"/>
    <x v="0"/>
    <x v="22"/>
    <n v="87.084063047285497"/>
    <n v="31785.6830122592"/>
    <n v="114428.458844133"/>
  </r>
  <r>
    <x v="0"/>
    <x v="0"/>
    <x v="0"/>
    <x v="3"/>
    <x v="13"/>
    <s v="SE3_HP"/>
    <x v="9"/>
    <s v="GBPR_WOODWASTE_36"/>
    <x v="0"/>
    <x v="23"/>
    <n v="87.084063047285497"/>
    <n v="31785.6830122592"/>
    <n v="114428.458844133"/>
  </r>
  <r>
    <x v="0"/>
    <x v="0"/>
    <x v="0"/>
    <x v="3"/>
    <x v="13"/>
    <s v="SE3_HP"/>
    <x v="9"/>
    <s v="GEXT_WOODWASTE"/>
    <x v="0"/>
    <x v="0"/>
    <n v="329.35418295287599"/>
    <n v="120214.2767778"/>
    <n v="432771.39640008"/>
  </r>
  <r>
    <x v="0"/>
    <x v="0"/>
    <x v="0"/>
    <x v="3"/>
    <x v="13"/>
    <s v="SE3_HP"/>
    <x v="9"/>
    <s v="GEXT_WOODWASTE"/>
    <x v="0"/>
    <x v="1"/>
    <n v="329.35418295287599"/>
    <n v="120214.2767778"/>
    <n v="432771.39640008"/>
  </r>
  <r>
    <x v="0"/>
    <x v="0"/>
    <x v="0"/>
    <x v="3"/>
    <x v="13"/>
    <s v="SE3_HP"/>
    <x v="9"/>
    <s v="GEXT_WOODWASTE"/>
    <x v="0"/>
    <x v="2"/>
    <n v="329.35418295287599"/>
    <n v="120214.2767778"/>
    <n v="432771.39640008"/>
  </r>
  <r>
    <x v="0"/>
    <x v="0"/>
    <x v="0"/>
    <x v="3"/>
    <x v="13"/>
    <s v="SE3_HP"/>
    <x v="9"/>
    <s v="GEXT_WOODWASTE"/>
    <x v="0"/>
    <x v="3"/>
    <n v="329.35418295287599"/>
    <n v="120214.2767778"/>
    <n v="432771.39640008"/>
  </r>
  <r>
    <x v="0"/>
    <x v="0"/>
    <x v="0"/>
    <x v="3"/>
    <x v="13"/>
    <s v="SE3_HP"/>
    <x v="9"/>
    <s v="GEXT_WOODWASTE"/>
    <x v="0"/>
    <x v="4"/>
    <n v="329.35418295287599"/>
    <n v="120214.2767778"/>
    <n v="432771.39640008"/>
  </r>
  <r>
    <x v="0"/>
    <x v="0"/>
    <x v="0"/>
    <x v="3"/>
    <x v="13"/>
    <s v="SE3_HP"/>
    <x v="9"/>
    <s v="GEXT_WOODWASTE"/>
    <x v="0"/>
    <x v="5"/>
    <n v="329.35418295287599"/>
    <n v="120214.2767778"/>
    <n v="432771.39640008"/>
  </r>
  <r>
    <x v="0"/>
    <x v="0"/>
    <x v="0"/>
    <x v="3"/>
    <x v="13"/>
    <s v="SE3_HP"/>
    <x v="9"/>
    <s v="GEXT_WOODWASTE"/>
    <x v="0"/>
    <x v="6"/>
    <n v="329.35418295287599"/>
    <n v="120214.2767778"/>
    <n v="432771.39640008"/>
  </r>
  <r>
    <x v="0"/>
    <x v="0"/>
    <x v="0"/>
    <x v="3"/>
    <x v="13"/>
    <s v="SE3_HP"/>
    <x v="9"/>
    <s v="GEXT_WOODWASTE"/>
    <x v="0"/>
    <x v="7"/>
    <n v="329.35418295287599"/>
    <n v="120214.2767778"/>
    <n v="432771.39640008"/>
  </r>
  <r>
    <x v="0"/>
    <x v="0"/>
    <x v="0"/>
    <x v="3"/>
    <x v="13"/>
    <s v="SE3_HP"/>
    <x v="9"/>
    <s v="GEXT_WOODWASTE"/>
    <x v="0"/>
    <x v="8"/>
    <n v="329.35418295287599"/>
    <n v="120214.2767778"/>
    <n v="432771.39640008"/>
  </r>
  <r>
    <x v="0"/>
    <x v="0"/>
    <x v="0"/>
    <x v="3"/>
    <x v="13"/>
    <s v="SE3_HP"/>
    <x v="9"/>
    <s v="GEXT_WOODWASTE"/>
    <x v="0"/>
    <x v="9"/>
    <n v="329.35418295287599"/>
    <n v="120214.2767778"/>
    <n v="432771.39640008"/>
  </r>
  <r>
    <x v="0"/>
    <x v="0"/>
    <x v="0"/>
    <x v="3"/>
    <x v="13"/>
    <s v="SE3_HP"/>
    <x v="9"/>
    <s v="GEXT_WOODWASTE"/>
    <x v="0"/>
    <x v="10"/>
    <n v="329.35418295287599"/>
    <n v="120214.2767778"/>
    <n v="432771.39640008"/>
  </r>
  <r>
    <x v="0"/>
    <x v="0"/>
    <x v="0"/>
    <x v="3"/>
    <x v="13"/>
    <s v="SE3_HP"/>
    <x v="9"/>
    <s v="GEXT_WOODWASTE"/>
    <x v="0"/>
    <x v="11"/>
    <n v="329.35418295287599"/>
    <n v="120214.2767778"/>
    <n v="432771.39640008"/>
  </r>
  <r>
    <x v="0"/>
    <x v="0"/>
    <x v="0"/>
    <x v="3"/>
    <x v="13"/>
    <s v="SE3_HP"/>
    <x v="9"/>
    <s v="GEXT_WOODWASTE"/>
    <x v="0"/>
    <x v="12"/>
    <n v="329.35418295287599"/>
    <n v="120214.2767778"/>
    <n v="432771.39640008"/>
  </r>
  <r>
    <x v="0"/>
    <x v="0"/>
    <x v="0"/>
    <x v="3"/>
    <x v="13"/>
    <s v="SE3_HP"/>
    <x v="9"/>
    <s v="GEXT_WOODWASTE"/>
    <x v="0"/>
    <x v="13"/>
    <n v="329.35418295287599"/>
    <n v="120214.2767778"/>
    <n v="432771.39640008"/>
  </r>
  <r>
    <x v="0"/>
    <x v="0"/>
    <x v="0"/>
    <x v="3"/>
    <x v="13"/>
    <s v="SE3_HP"/>
    <x v="9"/>
    <s v="GEXT_WOODWASTE"/>
    <x v="0"/>
    <x v="14"/>
    <n v="329.35418295287599"/>
    <n v="120214.2767778"/>
    <n v="432771.39640008"/>
  </r>
  <r>
    <x v="0"/>
    <x v="0"/>
    <x v="0"/>
    <x v="3"/>
    <x v="13"/>
    <s v="SE3_HP"/>
    <x v="9"/>
    <s v="GEXT_WOODWASTE"/>
    <x v="0"/>
    <x v="15"/>
    <n v="329.35418295287599"/>
    <n v="120214.2767778"/>
    <n v="432771.39640008"/>
  </r>
  <r>
    <x v="0"/>
    <x v="0"/>
    <x v="0"/>
    <x v="3"/>
    <x v="13"/>
    <s v="SE3_HP"/>
    <x v="9"/>
    <s v="GEXT_WOODWASTE"/>
    <x v="0"/>
    <x v="16"/>
    <n v="329.35418295287599"/>
    <n v="120214.2767778"/>
    <n v="432771.39640008"/>
  </r>
  <r>
    <x v="0"/>
    <x v="0"/>
    <x v="0"/>
    <x v="3"/>
    <x v="13"/>
    <s v="SE3_HP"/>
    <x v="9"/>
    <s v="GEXT_WOODWASTE"/>
    <x v="0"/>
    <x v="17"/>
    <n v="329.35418295287599"/>
    <n v="120214.2767778"/>
    <n v="432771.39640008"/>
  </r>
  <r>
    <x v="0"/>
    <x v="0"/>
    <x v="0"/>
    <x v="3"/>
    <x v="13"/>
    <s v="SE3_HP"/>
    <x v="9"/>
    <s v="GEXT_WOODWASTE"/>
    <x v="0"/>
    <x v="18"/>
    <n v="329.35418295287599"/>
    <n v="120214.2767778"/>
    <n v="432771.39640008"/>
  </r>
  <r>
    <x v="0"/>
    <x v="0"/>
    <x v="0"/>
    <x v="3"/>
    <x v="13"/>
    <s v="SE3_HP"/>
    <x v="9"/>
    <s v="GEXT_WOODWASTE"/>
    <x v="0"/>
    <x v="19"/>
    <n v="329.35418295287599"/>
    <n v="120214.2767778"/>
    <n v="432771.39640008"/>
  </r>
  <r>
    <x v="0"/>
    <x v="0"/>
    <x v="0"/>
    <x v="3"/>
    <x v="13"/>
    <s v="SE3_HP"/>
    <x v="9"/>
    <s v="GEXT_WOODWASTE"/>
    <x v="0"/>
    <x v="20"/>
    <n v="329.35418295287599"/>
    <n v="120214.2767778"/>
    <n v="432771.39640008"/>
  </r>
  <r>
    <x v="0"/>
    <x v="0"/>
    <x v="0"/>
    <x v="3"/>
    <x v="13"/>
    <s v="SE3_HP"/>
    <x v="9"/>
    <s v="GEXT_WOODWASTE"/>
    <x v="0"/>
    <x v="21"/>
    <n v="329.35418295287599"/>
    <n v="120214.2767778"/>
    <n v="432771.39640008"/>
  </r>
  <r>
    <x v="0"/>
    <x v="0"/>
    <x v="0"/>
    <x v="3"/>
    <x v="13"/>
    <s v="SE3_HP"/>
    <x v="9"/>
    <s v="GEXT_WOODWASTE"/>
    <x v="0"/>
    <x v="22"/>
    <n v="329.35418295287599"/>
    <n v="120214.2767778"/>
    <n v="432771.39640008"/>
  </r>
  <r>
    <x v="0"/>
    <x v="0"/>
    <x v="0"/>
    <x v="3"/>
    <x v="13"/>
    <s v="SE3_HP"/>
    <x v="9"/>
    <s v="GEXT_WOODWASTE"/>
    <x v="0"/>
    <x v="23"/>
    <n v="329.35418295287599"/>
    <n v="120214.2767778"/>
    <n v="432771.39640008"/>
  </r>
  <r>
    <x v="0"/>
    <x v="0"/>
    <x v="0"/>
    <x v="3"/>
    <x v="13"/>
    <s v="SE3_HP"/>
    <x v="9"/>
    <s v="GHOB_WOODWASTE"/>
    <x v="0"/>
    <x v="0"/>
    <n v="16.7502247862367"/>
    <n v="6113.8320469764103"/>
    <n v="22009.795369115101"/>
  </r>
  <r>
    <x v="0"/>
    <x v="0"/>
    <x v="0"/>
    <x v="3"/>
    <x v="13"/>
    <s v="SE3_HP"/>
    <x v="9"/>
    <s v="GHOB_WOODWASTE"/>
    <x v="0"/>
    <x v="1"/>
    <n v="16.7502247862367"/>
    <n v="6113.8320469764103"/>
    <n v="22009.795369115101"/>
  </r>
  <r>
    <x v="0"/>
    <x v="0"/>
    <x v="0"/>
    <x v="3"/>
    <x v="13"/>
    <s v="SE3_HP"/>
    <x v="9"/>
    <s v="GHOB_WOODWASTE"/>
    <x v="0"/>
    <x v="2"/>
    <n v="16.7502247862367"/>
    <n v="6113.8320469764103"/>
    <n v="22009.795369115101"/>
  </r>
  <r>
    <x v="0"/>
    <x v="0"/>
    <x v="0"/>
    <x v="3"/>
    <x v="13"/>
    <s v="SE3_HP"/>
    <x v="9"/>
    <s v="GHOB_WOODWASTE"/>
    <x v="0"/>
    <x v="3"/>
    <n v="16.7502247862367"/>
    <n v="6113.8320469764103"/>
    <n v="22009.795369115101"/>
  </r>
  <r>
    <x v="0"/>
    <x v="0"/>
    <x v="0"/>
    <x v="3"/>
    <x v="13"/>
    <s v="SE3_HP"/>
    <x v="9"/>
    <s v="GHOB_WOODWASTE"/>
    <x v="0"/>
    <x v="4"/>
    <n v="16.7502247862367"/>
    <n v="6113.8320469764103"/>
    <n v="22009.795369115101"/>
  </r>
  <r>
    <x v="0"/>
    <x v="0"/>
    <x v="0"/>
    <x v="3"/>
    <x v="13"/>
    <s v="SE3_HP"/>
    <x v="9"/>
    <s v="GHOB_WOODWASTE"/>
    <x v="0"/>
    <x v="5"/>
    <n v="16.7502247862367"/>
    <n v="6113.8320469764103"/>
    <n v="22009.795369115101"/>
  </r>
  <r>
    <x v="0"/>
    <x v="0"/>
    <x v="0"/>
    <x v="3"/>
    <x v="13"/>
    <s v="SE3_HP"/>
    <x v="9"/>
    <s v="GHOB_WOODWASTE"/>
    <x v="0"/>
    <x v="6"/>
    <n v="16.7502247862367"/>
    <n v="6113.8320469764103"/>
    <n v="22009.795369115101"/>
  </r>
  <r>
    <x v="0"/>
    <x v="0"/>
    <x v="0"/>
    <x v="3"/>
    <x v="13"/>
    <s v="SE3_HP"/>
    <x v="9"/>
    <s v="GHOB_WOODWASTE"/>
    <x v="0"/>
    <x v="7"/>
    <n v="16.7502247862367"/>
    <n v="6113.8320469764103"/>
    <n v="22009.795369115101"/>
  </r>
  <r>
    <x v="0"/>
    <x v="0"/>
    <x v="0"/>
    <x v="3"/>
    <x v="13"/>
    <s v="SE3_HP"/>
    <x v="9"/>
    <s v="GHOB_WOODWASTE"/>
    <x v="0"/>
    <x v="8"/>
    <n v="16.7502247862367"/>
    <n v="6113.8320469764103"/>
    <n v="22009.795369115101"/>
  </r>
  <r>
    <x v="0"/>
    <x v="0"/>
    <x v="0"/>
    <x v="3"/>
    <x v="13"/>
    <s v="SE3_HP"/>
    <x v="9"/>
    <s v="GHOB_WOODWASTE"/>
    <x v="0"/>
    <x v="9"/>
    <n v="16.7502247862367"/>
    <n v="6113.8320469764103"/>
    <n v="22009.795369115101"/>
  </r>
  <r>
    <x v="0"/>
    <x v="0"/>
    <x v="0"/>
    <x v="3"/>
    <x v="13"/>
    <s v="SE3_HP"/>
    <x v="9"/>
    <s v="GHOB_WOODWASTE"/>
    <x v="0"/>
    <x v="10"/>
    <n v="16.7502247862367"/>
    <n v="6113.8320469764103"/>
    <n v="22009.795369115101"/>
  </r>
  <r>
    <x v="0"/>
    <x v="0"/>
    <x v="0"/>
    <x v="3"/>
    <x v="13"/>
    <s v="SE3_HP"/>
    <x v="9"/>
    <s v="GHOB_WOODWASTE"/>
    <x v="0"/>
    <x v="11"/>
    <n v="16.7502247862367"/>
    <n v="6113.8320469764103"/>
    <n v="22009.795369115101"/>
  </r>
  <r>
    <x v="0"/>
    <x v="0"/>
    <x v="0"/>
    <x v="3"/>
    <x v="13"/>
    <s v="SE3_HP"/>
    <x v="9"/>
    <s v="GHOB_WOODWASTE"/>
    <x v="0"/>
    <x v="12"/>
    <n v="16.7502247862367"/>
    <n v="6113.8320469764103"/>
    <n v="22009.795369115101"/>
  </r>
  <r>
    <x v="0"/>
    <x v="0"/>
    <x v="0"/>
    <x v="3"/>
    <x v="13"/>
    <s v="SE3_HP"/>
    <x v="9"/>
    <s v="GHOB_WOODWASTE"/>
    <x v="0"/>
    <x v="13"/>
    <n v="16.7502247862367"/>
    <n v="6113.8320469764103"/>
    <n v="22009.795369115101"/>
  </r>
  <r>
    <x v="0"/>
    <x v="0"/>
    <x v="0"/>
    <x v="3"/>
    <x v="13"/>
    <s v="SE3_HP"/>
    <x v="9"/>
    <s v="GHOB_WOODWASTE"/>
    <x v="0"/>
    <x v="14"/>
    <n v="16.7502247862367"/>
    <n v="6113.8320469764103"/>
    <n v="22009.795369115101"/>
  </r>
  <r>
    <x v="0"/>
    <x v="0"/>
    <x v="0"/>
    <x v="3"/>
    <x v="13"/>
    <s v="SE3_HP"/>
    <x v="9"/>
    <s v="GHOB_WOODWASTE"/>
    <x v="0"/>
    <x v="15"/>
    <n v="16.7502247862367"/>
    <n v="6113.8320469764103"/>
    <n v="22009.795369115101"/>
  </r>
  <r>
    <x v="0"/>
    <x v="0"/>
    <x v="0"/>
    <x v="3"/>
    <x v="13"/>
    <s v="SE3_HP"/>
    <x v="9"/>
    <s v="GHOB_WOODWASTE"/>
    <x v="0"/>
    <x v="16"/>
    <n v="16.7502247862367"/>
    <n v="6113.8320469764103"/>
    <n v="22009.795369115101"/>
  </r>
  <r>
    <x v="0"/>
    <x v="0"/>
    <x v="0"/>
    <x v="3"/>
    <x v="13"/>
    <s v="SE3_HP"/>
    <x v="9"/>
    <s v="GHOB_WOODWASTE"/>
    <x v="0"/>
    <x v="17"/>
    <n v="16.7502247862367"/>
    <n v="6113.8320469764103"/>
    <n v="22009.795369115101"/>
  </r>
  <r>
    <x v="0"/>
    <x v="0"/>
    <x v="0"/>
    <x v="3"/>
    <x v="13"/>
    <s v="SE3_HP"/>
    <x v="9"/>
    <s v="GHOB_WOODWASTE"/>
    <x v="0"/>
    <x v="18"/>
    <n v="16.7502247862367"/>
    <n v="6113.8320469764103"/>
    <n v="22009.795369115101"/>
  </r>
  <r>
    <x v="0"/>
    <x v="0"/>
    <x v="0"/>
    <x v="3"/>
    <x v="13"/>
    <s v="SE3_HP"/>
    <x v="9"/>
    <s v="GHOB_WOODWASTE"/>
    <x v="0"/>
    <x v="19"/>
    <n v="16.7502247862367"/>
    <n v="6113.8320469764103"/>
    <n v="22009.795369115101"/>
  </r>
  <r>
    <x v="0"/>
    <x v="0"/>
    <x v="0"/>
    <x v="3"/>
    <x v="13"/>
    <s v="SE3_HP"/>
    <x v="9"/>
    <s v="GHOB_WOODWASTE"/>
    <x v="0"/>
    <x v="20"/>
    <n v="16.7502247862367"/>
    <n v="6113.8320469764103"/>
    <n v="22009.795369115101"/>
  </r>
  <r>
    <x v="0"/>
    <x v="0"/>
    <x v="0"/>
    <x v="3"/>
    <x v="13"/>
    <s v="SE3_HP"/>
    <x v="9"/>
    <s v="GHOB_WOODWASTE"/>
    <x v="0"/>
    <x v="21"/>
    <n v="16.7502247862367"/>
    <n v="6113.8320469764103"/>
    <n v="22009.795369115101"/>
  </r>
  <r>
    <x v="0"/>
    <x v="0"/>
    <x v="0"/>
    <x v="3"/>
    <x v="13"/>
    <s v="SE3_HP"/>
    <x v="9"/>
    <s v="GHOB_WOODWASTE"/>
    <x v="0"/>
    <x v="22"/>
    <n v="16.7502247862367"/>
    <n v="6113.8320469764103"/>
    <n v="22009.795369115101"/>
  </r>
  <r>
    <x v="0"/>
    <x v="0"/>
    <x v="0"/>
    <x v="3"/>
    <x v="13"/>
    <s v="SE3_HP"/>
    <x v="9"/>
    <s v="GHOB_WOODWASTE"/>
    <x v="0"/>
    <x v="23"/>
    <n v="16.7502247862367"/>
    <n v="6113.8320469764103"/>
    <n v="22009.795369115101"/>
  </r>
  <r>
    <x v="0"/>
    <x v="0"/>
    <x v="0"/>
    <x v="3"/>
    <x v="13"/>
    <s v="SE3_OTHER"/>
    <x v="0"/>
    <s v="GBPR_COAL_SE3"/>
    <x v="0"/>
    <x v="5"/>
    <n v="84.518728440343097"/>
    <n v="30849.335880725201"/>
    <n v="111057.609170611"/>
  </r>
  <r>
    <x v="0"/>
    <x v="0"/>
    <x v="0"/>
    <x v="3"/>
    <x v="13"/>
    <s v="SE3_OTHER"/>
    <x v="0"/>
    <s v="GBPR_COAL_SE3"/>
    <x v="0"/>
    <x v="6"/>
    <n v="84.518728440343097"/>
    <n v="30849.335880725201"/>
    <n v="111057.609170611"/>
  </r>
  <r>
    <x v="0"/>
    <x v="0"/>
    <x v="0"/>
    <x v="3"/>
    <x v="13"/>
    <s v="SE3_OTHER"/>
    <x v="0"/>
    <s v="GBPR_COAL_SE3"/>
    <x v="0"/>
    <x v="7"/>
    <n v="84.518728440343097"/>
    <n v="30849.335880725201"/>
    <n v="111057.609170611"/>
  </r>
  <r>
    <x v="0"/>
    <x v="0"/>
    <x v="0"/>
    <x v="3"/>
    <x v="13"/>
    <s v="SE3_OTHER"/>
    <x v="0"/>
    <s v="GBPR_COAL_SE3"/>
    <x v="0"/>
    <x v="8"/>
    <n v="84.518728440343097"/>
    <n v="30849.335880725201"/>
    <n v="111057.609170611"/>
  </r>
  <r>
    <x v="0"/>
    <x v="0"/>
    <x v="0"/>
    <x v="3"/>
    <x v="13"/>
    <s v="SE3_OTHER"/>
    <x v="0"/>
    <s v="GBPR_COAL_SE3"/>
    <x v="0"/>
    <x v="9"/>
    <n v="84.518728440343097"/>
    <n v="30849.335880725201"/>
    <n v="111057.609170611"/>
  </r>
  <r>
    <x v="0"/>
    <x v="0"/>
    <x v="0"/>
    <x v="3"/>
    <x v="13"/>
    <s v="SE3_OTHER"/>
    <x v="0"/>
    <s v="GBPR_COAL_SE3"/>
    <x v="0"/>
    <x v="10"/>
    <n v="84.518728440343097"/>
    <n v="30849.335880725201"/>
    <n v="111057.609170611"/>
  </r>
  <r>
    <x v="0"/>
    <x v="0"/>
    <x v="0"/>
    <x v="3"/>
    <x v="13"/>
    <s v="SE3_OTHER"/>
    <x v="0"/>
    <s v="GBPR_COAL_SE3"/>
    <x v="0"/>
    <x v="11"/>
    <n v="84.518728440343097"/>
    <n v="30849.335880725201"/>
    <n v="111057.609170611"/>
  </r>
  <r>
    <x v="0"/>
    <x v="0"/>
    <x v="0"/>
    <x v="3"/>
    <x v="13"/>
    <s v="SE3_OTHER"/>
    <x v="0"/>
    <s v="GBPR_COAL_SE3"/>
    <x v="0"/>
    <x v="12"/>
    <n v="84.518728440343097"/>
    <n v="30849.335880725201"/>
    <n v="111057.609170611"/>
  </r>
  <r>
    <x v="0"/>
    <x v="0"/>
    <x v="0"/>
    <x v="3"/>
    <x v="13"/>
    <s v="SE3_OTHER"/>
    <x v="0"/>
    <s v="GBPR_COAL_SE3"/>
    <x v="0"/>
    <x v="13"/>
    <n v="84.518728440343097"/>
    <n v="30849.335880725201"/>
    <n v="111057.609170611"/>
  </r>
  <r>
    <x v="0"/>
    <x v="0"/>
    <x v="0"/>
    <x v="3"/>
    <x v="13"/>
    <s v="SE3_OTHER"/>
    <x v="0"/>
    <s v="GBPR_COAL_SE3"/>
    <x v="0"/>
    <x v="14"/>
    <n v="84.518728440343097"/>
    <n v="30849.335880725201"/>
    <n v="111057.609170611"/>
  </r>
  <r>
    <x v="0"/>
    <x v="0"/>
    <x v="0"/>
    <x v="3"/>
    <x v="13"/>
    <s v="SE3_OTHER"/>
    <x v="0"/>
    <s v="GBPR_COAL_SE3"/>
    <x v="0"/>
    <x v="15"/>
    <n v="84.518728440343097"/>
    <n v="30849.335880725201"/>
    <n v="111057.609170611"/>
  </r>
  <r>
    <x v="0"/>
    <x v="0"/>
    <x v="0"/>
    <x v="3"/>
    <x v="13"/>
    <s v="SE3_OTHER"/>
    <x v="0"/>
    <s v="GBPR_COAL_SE3"/>
    <x v="0"/>
    <x v="16"/>
    <n v="84.518728440343097"/>
    <n v="30849.335880725201"/>
    <n v="111057.609170611"/>
  </r>
  <r>
    <x v="0"/>
    <x v="0"/>
    <x v="0"/>
    <x v="3"/>
    <x v="13"/>
    <s v="SE3_OTHER"/>
    <x v="0"/>
    <s v="GBPR_COAL_SE3"/>
    <x v="0"/>
    <x v="17"/>
    <n v="67.222142876194795"/>
    <n v="24536.0821498111"/>
    <n v="88329.895739319894"/>
  </r>
  <r>
    <x v="0"/>
    <x v="0"/>
    <x v="0"/>
    <x v="3"/>
    <x v="13"/>
    <s v="SE3_OTHER"/>
    <x v="0"/>
    <s v="GBPR_COAL_SE3"/>
    <x v="0"/>
    <x v="18"/>
    <n v="74.574109740149595"/>
    <n v="27219.550055154599"/>
    <n v="97990.380198556595"/>
  </r>
  <r>
    <x v="0"/>
    <x v="0"/>
    <x v="0"/>
    <x v="3"/>
    <x v="13"/>
    <s v="SE3_OTHER"/>
    <x v="0"/>
    <s v="GBPR_COAL_SE3"/>
    <x v="0"/>
    <x v="19"/>
    <n v="84.518728440343097"/>
    <n v="30849.335880725201"/>
    <n v="111057.609170611"/>
  </r>
  <r>
    <x v="0"/>
    <x v="0"/>
    <x v="0"/>
    <x v="3"/>
    <x v="13"/>
    <s v="SE3_OTHER"/>
    <x v="0"/>
    <s v="GBPR_COAL_SE3"/>
    <x v="0"/>
    <x v="20"/>
    <n v="84.518728440343097"/>
    <n v="30849.335880725201"/>
    <n v="111057.609170611"/>
  </r>
  <r>
    <x v="0"/>
    <x v="0"/>
    <x v="0"/>
    <x v="3"/>
    <x v="13"/>
    <s v="SE3_OTHER"/>
    <x v="0"/>
    <s v="GBPR_COAL_SE3"/>
    <x v="0"/>
    <x v="21"/>
    <n v="45.540919761463002"/>
    <n v="16622.435712933999"/>
    <n v="59840.768566562401"/>
  </r>
  <r>
    <x v="0"/>
    <x v="0"/>
    <x v="0"/>
    <x v="3"/>
    <x v="13"/>
    <s v="SE3_OTHER"/>
    <x v="1"/>
    <s v="GBPR_MUNIWASTE_24"/>
    <x v="0"/>
    <x v="0"/>
    <n v="150.15980094664599"/>
    <n v="54808.3273455257"/>
    <n v="197309.97844389299"/>
  </r>
  <r>
    <x v="0"/>
    <x v="0"/>
    <x v="0"/>
    <x v="3"/>
    <x v="13"/>
    <s v="SE3_OTHER"/>
    <x v="1"/>
    <s v="GBPR_MUNIWASTE_24"/>
    <x v="0"/>
    <x v="1"/>
    <n v="150.15980094664599"/>
    <n v="54808.3273455257"/>
    <n v="197309.97844389299"/>
  </r>
  <r>
    <x v="0"/>
    <x v="0"/>
    <x v="0"/>
    <x v="3"/>
    <x v="13"/>
    <s v="SE3_OTHER"/>
    <x v="1"/>
    <s v="GBPR_MUNIWASTE_24"/>
    <x v="0"/>
    <x v="2"/>
    <n v="150.15980094664599"/>
    <n v="54808.3273455257"/>
    <n v="197309.97844389299"/>
  </r>
  <r>
    <x v="0"/>
    <x v="0"/>
    <x v="0"/>
    <x v="3"/>
    <x v="13"/>
    <s v="SE3_OTHER"/>
    <x v="1"/>
    <s v="GBPR_MUNIWASTE_24"/>
    <x v="0"/>
    <x v="3"/>
    <n v="150.15980094664599"/>
    <n v="54808.3273455257"/>
    <n v="197309.97844389299"/>
  </r>
  <r>
    <x v="0"/>
    <x v="0"/>
    <x v="0"/>
    <x v="3"/>
    <x v="13"/>
    <s v="SE3_OTHER"/>
    <x v="1"/>
    <s v="GBPR_MUNIWASTE_24"/>
    <x v="0"/>
    <x v="4"/>
    <n v="150.15980094664599"/>
    <n v="54808.3273455257"/>
    <n v="197309.97844389299"/>
  </r>
  <r>
    <x v="0"/>
    <x v="0"/>
    <x v="0"/>
    <x v="3"/>
    <x v="13"/>
    <s v="SE3_OTHER"/>
    <x v="1"/>
    <s v="GBPR_MUNIWASTE_24"/>
    <x v="0"/>
    <x v="5"/>
    <n v="150.15980094664599"/>
    <n v="54808.3273455257"/>
    <n v="197309.97844389299"/>
  </r>
  <r>
    <x v="0"/>
    <x v="0"/>
    <x v="0"/>
    <x v="3"/>
    <x v="13"/>
    <s v="SE3_OTHER"/>
    <x v="1"/>
    <s v="GBPR_MUNIWASTE_24"/>
    <x v="0"/>
    <x v="6"/>
    <n v="150.15980094664599"/>
    <n v="54808.3273455257"/>
    <n v="197309.97844389299"/>
  </r>
  <r>
    <x v="0"/>
    <x v="0"/>
    <x v="0"/>
    <x v="3"/>
    <x v="13"/>
    <s v="SE3_OTHER"/>
    <x v="1"/>
    <s v="GBPR_MUNIWASTE_24"/>
    <x v="0"/>
    <x v="7"/>
    <n v="150.15980094664599"/>
    <n v="54808.3273455257"/>
    <n v="197309.97844389299"/>
  </r>
  <r>
    <x v="0"/>
    <x v="0"/>
    <x v="0"/>
    <x v="3"/>
    <x v="13"/>
    <s v="SE3_OTHER"/>
    <x v="1"/>
    <s v="GBPR_MUNIWASTE_24"/>
    <x v="0"/>
    <x v="8"/>
    <n v="150.15980094664599"/>
    <n v="54808.3273455257"/>
    <n v="197309.97844389299"/>
  </r>
  <r>
    <x v="0"/>
    <x v="0"/>
    <x v="0"/>
    <x v="3"/>
    <x v="13"/>
    <s v="SE3_OTHER"/>
    <x v="1"/>
    <s v="GBPR_MUNIWASTE_24"/>
    <x v="0"/>
    <x v="9"/>
    <n v="150.15980094664599"/>
    <n v="54808.3273455257"/>
    <n v="197309.97844389299"/>
  </r>
  <r>
    <x v="0"/>
    <x v="0"/>
    <x v="0"/>
    <x v="3"/>
    <x v="13"/>
    <s v="SE3_OTHER"/>
    <x v="1"/>
    <s v="GBPR_MUNIWASTE_24"/>
    <x v="0"/>
    <x v="10"/>
    <n v="150.15980094664599"/>
    <n v="54808.3273455257"/>
    <n v="197309.97844389299"/>
  </r>
  <r>
    <x v="0"/>
    <x v="0"/>
    <x v="0"/>
    <x v="3"/>
    <x v="13"/>
    <s v="SE3_OTHER"/>
    <x v="1"/>
    <s v="GBPR_MUNIWASTE_24"/>
    <x v="0"/>
    <x v="11"/>
    <n v="150.15980094664599"/>
    <n v="54808.3273455257"/>
    <n v="197309.97844389299"/>
  </r>
  <r>
    <x v="0"/>
    <x v="0"/>
    <x v="0"/>
    <x v="3"/>
    <x v="13"/>
    <s v="SE3_OTHER"/>
    <x v="1"/>
    <s v="GBPR_MUNIWASTE_24"/>
    <x v="0"/>
    <x v="12"/>
    <n v="150.15980094664599"/>
    <n v="54808.3273455257"/>
    <n v="197309.97844389299"/>
  </r>
  <r>
    <x v="0"/>
    <x v="0"/>
    <x v="0"/>
    <x v="3"/>
    <x v="13"/>
    <s v="SE3_OTHER"/>
    <x v="1"/>
    <s v="GBPR_MUNIWASTE_24"/>
    <x v="0"/>
    <x v="13"/>
    <n v="150.15980094664599"/>
    <n v="54808.3273455257"/>
    <n v="197309.97844389299"/>
  </r>
  <r>
    <x v="0"/>
    <x v="0"/>
    <x v="0"/>
    <x v="3"/>
    <x v="13"/>
    <s v="SE3_OTHER"/>
    <x v="1"/>
    <s v="GBPR_MUNIWASTE_24"/>
    <x v="0"/>
    <x v="14"/>
    <n v="150.15980094664599"/>
    <n v="54808.3273455257"/>
    <n v="197309.97844389299"/>
  </r>
  <r>
    <x v="0"/>
    <x v="0"/>
    <x v="0"/>
    <x v="3"/>
    <x v="13"/>
    <s v="SE3_OTHER"/>
    <x v="1"/>
    <s v="GBPR_MUNIWASTE_24"/>
    <x v="0"/>
    <x v="15"/>
    <n v="150.15980094664599"/>
    <n v="54808.3273455257"/>
    <n v="197309.97844389299"/>
  </r>
  <r>
    <x v="0"/>
    <x v="0"/>
    <x v="0"/>
    <x v="3"/>
    <x v="13"/>
    <s v="SE3_OTHER"/>
    <x v="1"/>
    <s v="GBPR_MUNIWASTE_24"/>
    <x v="0"/>
    <x v="16"/>
    <n v="150.15980094664599"/>
    <n v="54808.3273455257"/>
    <n v="197309.97844389299"/>
  </r>
  <r>
    <x v="0"/>
    <x v="0"/>
    <x v="0"/>
    <x v="3"/>
    <x v="13"/>
    <s v="SE3_OTHER"/>
    <x v="1"/>
    <s v="GBPR_MUNIWASTE_24"/>
    <x v="0"/>
    <x v="17"/>
    <n v="150.15980094664599"/>
    <n v="54808.3273455257"/>
    <n v="197309.97844389299"/>
  </r>
  <r>
    <x v="0"/>
    <x v="0"/>
    <x v="0"/>
    <x v="3"/>
    <x v="13"/>
    <s v="SE3_OTHER"/>
    <x v="1"/>
    <s v="GBPR_MUNIWASTE_24"/>
    <x v="0"/>
    <x v="18"/>
    <n v="150.15980094664599"/>
    <n v="54808.3273455257"/>
    <n v="197309.97844389299"/>
  </r>
  <r>
    <x v="0"/>
    <x v="0"/>
    <x v="0"/>
    <x v="3"/>
    <x v="13"/>
    <s v="SE3_OTHER"/>
    <x v="1"/>
    <s v="GBPR_MUNIWASTE_24"/>
    <x v="0"/>
    <x v="19"/>
    <n v="150.15980094664599"/>
    <n v="54808.3273455257"/>
    <n v="197309.97844389299"/>
  </r>
  <r>
    <x v="0"/>
    <x v="0"/>
    <x v="0"/>
    <x v="3"/>
    <x v="13"/>
    <s v="SE3_OTHER"/>
    <x v="1"/>
    <s v="GBPR_MUNIWASTE_24"/>
    <x v="0"/>
    <x v="20"/>
    <n v="150.15980094664599"/>
    <n v="54808.3273455257"/>
    <n v="197309.97844389299"/>
  </r>
  <r>
    <x v="0"/>
    <x v="0"/>
    <x v="0"/>
    <x v="3"/>
    <x v="13"/>
    <s v="SE3_OTHER"/>
    <x v="1"/>
    <s v="GBPR_MUNIWASTE_24"/>
    <x v="0"/>
    <x v="21"/>
    <n v="150.15980094664599"/>
    <n v="54808.3273455257"/>
    <n v="197309.97844389299"/>
  </r>
  <r>
    <x v="0"/>
    <x v="0"/>
    <x v="0"/>
    <x v="3"/>
    <x v="13"/>
    <s v="SE3_OTHER"/>
    <x v="1"/>
    <s v="GBPR_MUNIWASTE_24"/>
    <x v="0"/>
    <x v="22"/>
    <n v="150.15980094664599"/>
    <n v="54808.3273455257"/>
    <n v="197309.97844389299"/>
  </r>
  <r>
    <x v="0"/>
    <x v="0"/>
    <x v="0"/>
    <x v="3"/>
    <x v="13"/>
    <s v="SE3_OTHER"/>
    <x v="1"/>
    <s v="GBPR_MUNIWASTE_24"/>
    <x v="0"/>
    <x v="23"/>
    <n v="150.15980094664599"/>
    <n v="54808.3273455257"/>
    <n v="197309.97844389299"/>
  </r>
  <r>
    <x v="0"/>
    <x v="0"/>
    <x v="0"/>
    <x v="3"/>
    <x v="13"/>
    <s v="SE3_OTHER"/>
    <x v="1"/>
    <s v="GHOB_MUNIWASTE"/>
    <x v="0"/>
    <x v="0"/>
    <n v="126.52888444552801"/>
    <n v="46183.042822617601"/>
    <n v="166258.954161423"/>
  </r>
  <r>
    <x v="0"/>
    <x v="0"/>
    <x v="0"/>
    <x v="3"/>
    <x v="13"/>
    <s v="SE3_OTHER"/>
    <x v="1"/>
    <s v="GHOB_MUNIWASTE"/>
    <x v="0"/>
    <x v="1"/>
    <n v="126.52888444552801"/>
    <n v="46183.042822617601"/>
    <n v="166258.954161423"/>
  </r>
  <r>
    <x v="0"/>
    <x v="0"/>
    <x v="0"/>
    <x v="3"/>
    <x v="13"/>
    <s v="SE3_OTHER"/>
    <x v="1"/>
    <s v="GHOB_MUNIWASTE"/>
    <x v="0"/>
    <x v="2"/>
    <n v="126.52888444552801"/>
    <n v="46183.042822617601"/>
    <n v="166258.954161423"/>
  </r>
  <r>
    <x v="0"/>
    <x v="0"/>
    <x v="0"/>
    <x v="3"/>
    <x v="13"/>
    <s v="SE3_OTHER"/>
    <x v="1"/>
    <s v="GHOB_MUNIWASTE"/>
    <x v="0"/>
    <x v="3"/>
    <n v="126.52888444552801"/>
    <n v="46183.042822617601"/>
    <n v="166258.954161423"/>
  </r>
  <r>
    <x v="0"/>
    <x v="0"/>
    <x v="0"/>
    <x v="3"/>
    <x v="13"/>
    <s v="SE3_OTHER"/>
    <x v="1"/>
    <s v="GHOB_MUNIWASTE"/>
    <x v="0"/>
    <x v="4"/>
    <n v="126.52888444552801"/>
    <n v="46183.042822617601"/>
    <n v="166258.954161423"/>
  </r>
  <r>
    <x v="0"/>
    <x v="0"/>
    <x v="0"/>
    <x v="3"/>
    <x v="13"/>
    <s v="SE3_OTHER"/>
    <x v="1"/>
    <s v="GHOB_MUNIWASTE"/>
    <x v="0"/>
    <x v="5"/>
    <n v="126.52888444552801"/>
    <n v="46183.042822617601"/>
    <n v="166258.954161423"/>
  </r>
  <r>
    <x v="0"/>
    <x v="0"/>
    <x v="0"/>
    <x v="3"/>
    <x v="13"/>
    <s v="SE3_OTHER"/>
    <x v="1"/>
    <s v="GHOB_MUNIWASTE"/>
    <x v="0"/>
    <x v="6"/>
    <n v="126.52888444552801"/>
    <n v="46183.042822617601"/>
    <n v="166258.954161423"/>
  </r>
  <r>
    <x v="0"/>
    <x v="0"/>
    <x v="0"/>
    <x v="3"/>
    <x v="13"/>
    <s v="SE3_OTHER"/>
    <x v="1"/>
    <s v="GHOB_MUNIWASTE"/>
    <x v="0"/>
    <x v="7"/>
    <n v="126.52888444552801"/>
    <n v="46183.042822617601"/>
    <n v="166258.954161423"/>
  </r>
  <r>
    <x v="0"/>
    <x v="0"/>
    <x v="0"/>
    <x v="3"/>
    <x v="13"/>
    <s v="SE3_OTHER"/>
    <x v="1"/>
    <s v="GHOB_MUNIWASTE"/>
    <x v="0"/>
    <x v="8"/>
    <n v="126.52888444552801"/>
    <n v="46183.042822617601"/>
    <n v="166258.954161423"/>
  </r>
  <r>
    <x v="0"/>
    <x v="0"/>
    <x v="0"/>
    <x v="3"/>
    <x v="13"/>
    <s v="SE3_OTHER"/>
    <x v="1"/>
    <s v="GHOB_MUNIWASTE"/>
    <x v="0"/>
    <x v="9"/>
    <n v="126.52888444552801"/>
    <n v="46183.042822617601"/>
    <n v="166258.954161423"/>
  </r>
  <r>
    <x v="0"/>
    <x v="0"/>
    <x v="0"/>
    <x v="3"/>
    <x v="13"/>
    <s v="SE3_OTHER"/>
    <x v="1"/>
    <s v="GHOB_MUNIWASTE"/>
    <x v="0"/>
    <x v="10"/>
    <n v="126.52888444552801"/>
    <n v="46183.042822617601"/>
    <n v="166258.954161423"/>
  </r>
  <r>
    <x v="0"/>
    <x v="0"/>
    <x v="0"/>
    <x v="3"/>
    <x v="13"/>
    <s v="SE3_OTHER"/>
    <x v="1"/>
    <s v="GHOB_MUNIWASTE"/>
    <x v="0"/>
    <x v="11"/>
    <n v="126.52888444552801"/>
    <n v="46183.042822617601"/>
    <n v="166258.954161423"/>
  </r>
  <r>
    <x v="0"/>
    <x v="0"/>
    <x v="0"/>
    <x v="3"/>
    <x v="13"/>
    <s v="SE3_OTHER"/>
    <x v="1"/>
    <s v="GHOB_MUNIWASTE"/>
    <x v="0"/>
    <x v="12"/>
    <n v="126.52888444552801"/>
    <n v="46183.042822617601"/>
    <n v="166258.954161423"/>
  </r>
  <r>
    <x v="0"/>
    <x v="0"/>
    <x v="0"/>
    <x v="3"/>
    <x v="13"/>
    <s v="SE3_OTHER"/>
    <x v="1"/>
    <s v="GHOB_MUNIWASTE"/>
    <x v="0"/>
    <x v="13"/>
    <n v="126.52888444552801"/>
    <n v="46183.042822617601"/>
    <n v="166258.954161423"/>
  </r>
  <r>
    <x v="0"/>
    <x v="0"/>
    <x v="0"/>
    <x v="3"/>
    <x v="13"/>
    <s v="SE3_OTHER"/>
    <x v="1"/>
    <s v="GHOB_MUNIWASTE"/>
    <x v="0"/>
    <x v="14"/>
    <n v="126.52888444552801"/>
    <n v="46183.042822617601"/>
    <n v="166258.954161423"/>
  </r>
  <r>
    <x v="0"/>
    <x v="0"/>
    <x v="0"/>
    <x v="3"/>
    <x v="13"/>
    <s v="SE3_OTHER"/>
    <x v="1"/>
    <s v="GHOB_MUNIWASTE"/>
    <x v="0"/>
    <x v="15"/>
    <n v="126.52888444552801"/>
    <n v="46183.042822617601"/>
    <n v="166258.954161423"/>
  </r>
  <r>
    <x v="0"/>
    <x v="0"/>
    <x v="0"/>
    <x v="3"/>
    <x v="13"/>
    <s v="SE3_OTHER"/>
    <x v="1"/>
    <s v="GHOB_MUNIWASTE"/>
    <x v="0"/>
    <x v="16"/>
    <n v="126.52888444552801"/>
    <n v="46183.042822617601"/>
    <n v="166258.954161423"/>
  </r>
  <r>
    <x v="0"/>
    <x v="0"/>
    <x v="0"/>
    <x v="3"/>
    <x v="13"/>
    <s v="SE3_OTHER"/>
    <x v="1"/>
    <s v="GHOB_MUNIWASTE"/>
    <x v="0"/>
    <x v="17"/>
    <n v="126.52888444552801"/>
    <n v="46183.042822617601"/>
    <n v="166258.954161423"/>
  </r>
  <r>
    <x v="0"/>
    <x v="0"/>
    <x v="0"/>
    <x v="3"/>
    <x v="13"/>
    <s v="SE3_OTHER"/>
    <x v="1"/>
    <s v="GHOB_MUNIWASTE"/>
    <x v="0"/>
    <x v="18"/>
    <n v="126.52888444552801"/>
    <n v="46183.042822617601"/>
    <n v="166258.954161423"/>
  </r>
  <r>
    <x v="0"/>
    <x v="0"/>
    <x v="0"/>
    <x v="3"/>
    <x v="13"/>
    <s v="SE3_OTHER"/>
    <x v="1"/>
    <s v="GHOB_MUNIWASTE"/>
    <x v="0"/>
    <x v="19"/>
    <n v="126.52888444552801"/>
    <n v="46183.042822617601"/>
    <n v="166258.954161423"/>
  </r>
  <r>
    <x v="0"/>
    <x v="0"/>
    <x v="0"/>
    <x v="3"/>
    <x v="13"/>
    <s v="SE3_OTHER"/>
    <x v="1"/>
    <s v="GHOB_MUNIWASTE"/>
    <x v="0"/>
    <x v="20"/>
    <n v="126.52888444552801"/>
    <n v="46183.042822617601"/>
    <n v="166258.954161423"/>
  </r>
  <r>
    <x v="0"/>
    <x v="0"/>
    <x v="0"/>
    <x v="3"/>
    <x v="13"/>
    <s v="SE3_OTHER"/>
    <x v="1"/>
    <s v="GHOB_MUNIWASTE"/>
    <x v="0"/>
    <x v="21"/>
    <n v="126.52888444552801"/>
    <n v="46183.042822617601"/>
    <n v="166258.954161423"/>
  </r>
  <r>
    <x v="0"/>
    <x v="0"/>
    <x v="0"/>
    <x v="3"/>
    <x v="13"/>
    <s v="SE3_OTHER"/>
    <x v="1"/>
    <s v="GHOB_MUNIWASTE"/>
    <x v="0"/>
    <x v="22"/>
    <n v="126.52888444552801"/>
    <n v="46183.042822617601"/>
    <n v="166258.954161423"/>
  </r>
  <r>
    <x v="0"/>
    <x v="0"/>
    <x v="0"/>
    <x v="3"/>
    <x v="13"/>
    <s v="SE3_OTHER"/>
    <x v="1"/>
    <s v="GHOB_MUNIWASTE"/>
    <x v="0"/>
    <x v="23"/>
    <n v="126.52888444552801"/>
    <n v="46183.042822617601"/>
    <n v="166258.954161423"/>
  </r>
  <r>
    <x v="0"/>
    <x v="0"/>
    <x v="0"/>
    <x v="3"/>
    <x v="13"/>
    <s v="SE3_OTHER"/>
    <x v="16"/>
    <s v="GHOB_OTHERGAS"/>
    <x v="0"/>
    <x v="0"/>
    <n v="23.529411764705898"/>
    <n v="8588.2352941176505"/>
    <n v="30917.647058823499"/>
  </r>
  <r>
    <x v="0"/>
    <x v="0"/>
    <x v="0"/>
    <x v="3"/>
    <x v="13"/>
    <s v="SE3_OTHER"/>
    <x v="16"/>
    <s v="GHOB_OTHERGAS"/>
    <x v="0"/>
    <x v="1"/>
    <n v="23.529411764705898"/>
    <n v="8588.2352941176505"/>
    <n v="30917.647058823499"/>
  </r>
  <r>
    <x v="0"/>
    <x v="0"/>
    <x v="0"/>
    <x v="3"/>
    <x v="13"/>
    <s v="SE3_OTHER"/>
    <x v="16"/>
    <s v="GHOB_OTHERGAS"/>
    <x v="0"/>
    <x v="2"/>
    <n v="23.529411764705898"/>
    <n v="8588.2352941176505"/>
    <n v="30917.647058823499"/>
  </r>
  <r>
    <x v="0"/>
    <x v="0"/>
    <x v="0"/>
    <x v="3"/>
    <x v="13"/>
    <s v="SE3_OTHER"/>
    <x v="16"/>
    <s v="GHOB_OTHERGAS"/>
    <x v="0"/>
    <x v="3"/>
    <n v="23.529411764705898"/>
    <n v="8588.2352941176505"/>
    <n v="30917.647058823499"/>
  </r>
  <r>
    <x v="0"/>
    <x v="0"/>
    <x v="0"/>
    <x v="3"/>
    <x v="13"/>
    <s v="SE3_OTHER"/>
    <x v="16"/>
    <s v="GHOB_OTHERGAS"/>
    <x v="0"/>
    <x v="4"/>
    <n v="23.529411764705898"/>
    <n v="8588.2352941176505"/>
    <n v="30917.647058823499"/>
  </r>
  <r>
    <x v="0"/>
    <x v="0"/>
    <x v="0"/>
    <x v="3"/>
    <x v="13"/>
    <s v="SE3_OTHER"/>
    <x v="16"/>
    <s v="GHOB_OTHERGAS"/>
    <x v="0"/>
    <x v="5"/>
    <n v="23.529411764705898"/>
    <n v="8588.2352941176505"/>
    <n v="30917.647058823499"/>
  </r>
  <r>
    <x v="0"/>
    <x v="0"/>
    <x v="0"/>
    <x v="3"/>
    <x v="13"/>
    <s v="SE3_OTHER"/>
    <x v="16"/>
    <s v="GHOB_OTHERGAS"/>
    <x v="0"/>
    <x v="6"/>
    <n v="23.529411764705898"/>
    <n v="8588.2352941176505"/>
    <n v="30917.647058823499"/>
  </r>
  <r>
    <x v="0"/>
    <x v="0"/>
    <x v="0"/>
    <x v="3"/>
    <x v="13"/>
    <s v="SE3_OTHER"/>
    <x v="16"/>
    <s v="GHOB_OTHERGAS"/>
    <x v="0"/>
    <x v="7"/>
    <n v="23.529411764705898"/>
    <n v="8588.2352941176505"/>
    <n v="30917.647058823499"/>
  </r>
  <r>
    <x v="0"/>
    <x v="0"/>
    <x v="0"/>
    <x v="3"/>
    <x v="13"/>
    <s v="SE3_OTHER"/>
    <x v="16"/>
    <s v="GHOB_OTHERGAS"/>
    <x v="0"/>
    <x v="8"/>
    <n v="23.529411764705898"/>
    <n v="8588.2352941176505"/>
    <n v="30917.647058823499"/>
  </r>
  <r>
    <x v="0"/>
    <x v="0"/>
    <x v="0"/>
    <x v="3"/>
    <x v="13"/>
    <s v="SE3_OTHER"/>
    <x v="16"/>
    <s v="GHOB_OTHERGAS"/>
    <x v="0"/>
    <x v="9"/>
    <n v="23.529411764705898"/>
    <n v="8588.2352941176505"/>
    <n v="30917.647058823499"/>
  </r>
  <r>
    <x v="0"/>
    <x v="0"/>
    <x v="0"/>
    <x v="3"/>
    <x v="13"/>
    <s v="SE3_OTHER"/>
    <x v="16"/>
    <s v="GHOB_OTHERGAS"/>
    <x v="0"/>
    <x v="10"/>
    <n v="23.529411764705898"/>
    <n v="8588.2352941176505"/>
    <n v="30917.647058823499"/>
  </r>
  <r>
    <x v="0"/>
    <x v="0"/>
    <x v="0"/>
    <x v="3"/>
    <x v="13"/>
    <s v="SE3_OTHER"/>
    <x v="16"/>
    <s v="GHOB_OTHERGAS"/>
    <x v="0"/>
    <x v="11"/>
    <n v="23.529411764705898"/>
    <n v="8588.2352941176505"/>
    <n v="30917.647058823499"/>
  </r>
  <r>
    <x v="0"/>
    <x v="0"/>
    <x v="0"/>
    <x v="3"/>
    <x v="13"/>
    <s v="SE3_OTHER"/>
    <x v="16"/>
    <s v="GHOB_OTHERGAS"/>
    <x v="0"/>
    <x v="12"/>
    <n v="23.529411764705898"/>
    <n v="8588.2352941176505"/>
    <n v="30917.647058823499"/>
  </r>
  <r>
    <x v="0"/>
    <x v="0"/>
    <x v="0"/>
    <x v="3"/>
    <x v="13"/>
    <s v="SE3_OTHER"/>
    <x v="16"/>
    <s v="GHOB_OTHERGAS"/>
    <x v="0"/>
    <x v="13"/>
    <n v="23.529411764705898"/>
    <n v="8588.2352941176505"/>
    <n v="30917.647058823499"/>
  </r>
  <r>
    <x v="0"/>
    <x v="0"/>
    <x v="0"/>
    <x v="3"/>
    <x v="13"/>
    <s v="SE3_OTHER"/>
    <x v="16"/>
    <s v="GHOB_OTHERGAS"/>
    <x v="0"/>
    <x v="14"/>
    <n v="23.529411764705898"/>
    <n v="8588.2352941176505"/>
    <n v="30917.647058823499"/>
  </r>
  <r>
    <x v="0"/>
    <x v="0"/>
    <x v="0"/>
    <x v="3"/>
    <x v="13"/>
    <s v="SE3_OTHER"/>
    <x v="16"/>
    <s v="GHOB_OTHERGAS"/>
    <x v="0"/>
    <x v="15"/>
    <n v="23.529411764705898"/>
    <n v="8588.2352941176505"/>
    <n v="30917.647058823499"/>
  </r>
  <r>
    <x v="0"/>
    <x v="0"/>
    <x v="0"/>
    <x v="3"/>
    <x v="13"/>
    <s v="SE3_OTHER"/>
    <x v="16"/>
    <s v="GHOB_OTHERGAS"/>
    <x v="0"/>
    <x v="16"/>
    <n v="23.529411764705898"/>
    <n v="8588.2352941176505"/>
    <n v="30917.647058823499"/>
  </r>
  <r>
    <x v="0"/>
    <x v="0"/>
    <x v="0"/>
    <x v="3"/>
    <x v="13"/>
    <s v="SE3_OTHER"/>
    <x v="16"/>
    <s v="GHOB_OTHERGAS"/>
    <x v="0"/>
    <x v="17"/>
    <n v="23.529411764705898"/>
    <n v="8588.2352941176505"/>
    <n v="30917.647058823499"/>
  </r>
  <r>
    <x v="0"/>
    <x v="0"/>
    <x v="0"/>
    <x v="3"/>
    <x v="13"/>
    <s v="SE3_OTHER"/>
    <x v="16"/>
    <s v="GHOB_OTHERGAS"/>
    <x v="0"/>
    <x v="18"/>
    <n v="23.529411764705898"/>
    <n v="8588.2352941176505"/>
    <n v="30917.647058823499"/>
  </r>
  <r>
    <x v="0"/>
    <x v="0"/>
    <x v="0"/>
    <x v="3"/>
    <x v="13"/>
    <s v="SE3_OTHER"/>
    <x v="16"/>
    <s v="GHOB_OTHERGAS"/>
    <x v="0"/>
    <x v="19"/>
    <n v="23.529411764705898"/>
    <n v="8588.2352941176505"/>
    <n v="30917.647058823499"/>
  </r>
  <r>
    <x v="0"/>
    <x v="0"/>
    <x v="0"/>
    <x v="3"/>
    <x v="13"/>
    <s v="SE3_OTHER"/>
    <x v="16"/>
    <s v="GHOB_OTHERGAS"/>
    <x v="0"/>
    <x v="20"/>
    <n v="23.529411764705898"/>
    <n v="8588.2352941176505"/>
    <n v="30917.647058823499"/>
  </r>
  <r>
    <x v="0"/>
    <x v="0"/>
    <x v="0"/>
    <x v="3"/>
    <x v="13"/>
    <s v="SE3_OTHER"/>
    <x v="16"/>
    <s v="GHOB_OTHERGAS"/>
    <x v="0"/>
    <x v="21"/>
    <n v="23.529411764705898"/>
    <n v="8588.2352941176505"/>
    <n v="30917.647058823499"/>
  </r>
  <r>
    <x v="0"/>
    <x v="0"/>
    <x v="0"/>
    <x v="3"/>
    <x v="13"/>
    <s v="SE3_OTHER"/>
    <x v="16"/>
    <s v="GHOB_OTHERGAS"/>
    <x v="0"/>
    <x v="22"/>
    <n v="23.529411764705898"/>
    <n v="8588.2352941176505"/>
    <n v="30917.647058823499"/>
  </r>
  <r>
    <x v="0"/>
    <x v="0"/>
    <x v="0"/>
    <x v="3"/>
    <x v="13"/>
    <s v="SE3_OTHER"/>
    <x v="16"/>
    <s v="GHOB_OTHERGAS"/>
    <x v="0"/>
    <x v="23"/>
    <n v="23.529411764705898"/>
    <n v="8588.2352941176505"/>
    <n v="30917.647058823499"/>
  </r>
  <r>
    <x v="0"/>
    <x v="0"/>
    <x v="0"/>
    <x v="3"/>
    <x v="13"/>
    <s v="SE3_OTHER"/>
    <x v="15"/>
    <s v="GBPR_RECYCLEDWOOD_SE3OTHER"/>
    <x v="0"/>
    <x v="5"/>
    <n v="32.062342720156103"/>
    <n v="11702.755092857"/>
    <n v="42129.918334285103"/>
  </r>
  <r>
    <x v="0"/>
    <x v="0"/>
    <x v="0"/>
    <x v="3"/>
    <x v="13"/>
    <s v="SE3_OTHER"/>
    <x v="15"/>
    <s v="GBPR_RECYCLEDWOOD_SE3OTHER"/>
    <x v="0"/>
    <x v="6"/>
    <n v="167.55187756131099"/>
    <n v="61156.435309878303"/>
    <n v="220163.16711556201"/>
  </r>
  <r>
    <x v="0"/>
    <x v="0"/>
    <x v="0"/>
    <x v="3"/>
    <x v="13"/>
    <s v="SE3_OTHER"/>
    <x v="15"/>
    <s v="GBPR_RECYCLEDWOOD_SE3OTHER"/>
    <x v="0"/>
    <x v="7"/>
    <n v="167.55187756131099"/>
    <n v="61156.435309878303"/>
    <n v="220163.16711556201"/>
  </r>
  <r>
    <x v="0"/>
    <x v="0"/>
    <x v="0"/>
    <x v="3"/>
    <x v="13"/>
    <s v="SE3_OTHER"/>
    <x v="15"/>
    <s v="GBPR_RECYCLEDWOOD_SE3OTHER"/>
    <x v="0"/>
    <x v="8"/>
    <n v="167.55187756131099"/>
    <n v="61156.435309878303"/>
    <n v="220163.16711556201"/>
  </r>
  <r>
    <x v="0"/>
    <x v="0"/>
    <x v="0"/>
    <x v="3"/>
    <x v="13"/>
    <s v="SE3_OTHER"/>
    <x v="15"/>
    <s v="GBPR_RECYCLEDWOOD_SE3OTHER"/>
    <x v="0"/>
    <x v="9"/>
    <n v="167.55187756131099"/>
    <n v="61156.435309878303"/>
    <n v="220163.16711556201"/>
  </r>
  <r>
    <x v="0"/>
    <x v="0"/>
    <x v="0"/>
    <x v="3"/>
    <x v="13"/>
    <s v="SE3_OTHER"/>
    <x v="15"/>
    <s v="GBPR_RECYCLEDWOOD_SE3OTHER"/>
    <x v="0"/>
    <x v="10"/>
    <n v="167.55187756131099"/>
    <n v="61156.435309878303"/>
    <n v="220163.16711556201"/>
  </r>
  <r>
    <x v="0"/>
    <x v="0"/>
    <x v="0"/>
    <x v="3"/>
    <x v="13"/>
    <s v="SE3_OTHER"/>
    <x v="15"/>
    <s v="GBPR_RECYCLEDWOOD_SE3OTHER"/>
    <x v="0"/>
    <x v="11"/>
    <n v="167.55187756131099"/>
    <n v="61156.435309878303"/>
    <n v="220163.16711556201"/>
  </r>
  <r>
    <x v="0"/>
    <x v="0"/>
    <x v="0"/>
    <x v="3"/>
    <x v="13"/>
    <s v="SE3_OTHER"/>
    <x v="15"/>
    <s v="GBPR_RECYCLEDWOOD_SE3OTHER"/>
    <x v="0"/>
    <x v="12"/>
    <n v="167.55187756131099"/>
    <n v="61156.435309878303"/>
    <n v="220163.16711556201"/>
  </r>
  <r>
    <x v="0"/>
    <x v="0"/>
    <x v="0"/>
    <x v="3"/>
    <x v="13"/>
    <s v="SE3_OTHER"/>
    <x v="15"/>
    <s v="GBPR_RECYCLEDWOOD_SE3OTHER"/>
    <x v="0"/>
    <x v="13"/>
    <n v="151.630946756074"/>
    <n v="55345.295565966902"/>
    <n v="199243.064037481"/>
  </r>
  <r>
    <x v="0"/>
    <x v="0"/>
    <x v="0"/>
    <x v="3"/>
    <x v="13"/>
    <s v="SE3_OTHER"/>
    <x v="15"/>
    <s v="GBPR_RECYCLEDWOOD_SE3OTHER"/>
    <x v="0"/>
    <x v="14"/>
    <n v="69.595723845744999"/>
    <n v="25402.4392036969"/>
    <n v="91448.781133309007"/>
  </r>
  <r>
    <x v="0"/>
    <x v="0"/>
    <x v="0"/>
    <x v="3"/>
    <x v="13"/>
    <s v="SE3_OTHER"/>
    <x v="15"/>
    <s v="GBPR_RECYCLEDWOOD_SE3OTHER"/>
    <x v="0"/>
    <x v="15"/>
    <n v="23.131038799109898"/>
    <n v="8442.8291616750994"/>
    <n v="30394.184982030401"/>
  </r>
  <r>
    <x v="0"/>
    <x v="0"/>
    <x v="0"/>
    <x v="3"/>
    <x v="13"/>
    <s v="SE3_OTHER"/>
    <x v="15"/>
    <s v="GBPR_RECYCLEDWOOD_SE3OTHER"/>
    <x v="0"/>
    <x v="16"/>
    <n v="14.025691884304401"/>
    <n v="5119.3775377710899"/>
    <n v="18429.759135975899"/>
  </r>
  <r>
    <x v="0"/>
    <x v="0"/>
    <x v="0"/>
    <x v="3"/>
    <x v="13"/>
    <s v="SE3_OTHER"/>
    <x v="15"/>
    <s v="GBPR_RECYCLEDWOOD_SE3OTHER"/>
    <x v="0"/>
    <x v="19"/>
    <n v="24.008023610032499"/>
    <n v="8762.9286176618498"/>
    <n v="31546.543023582701"/>
  </r>
  <r>
    <x v="0"/>
    <x v="0"/>
    <x v="0"/>
    <x v="3"/>
    <x v="13"/>
    <s v="SE3_OTHER"/>
    <x v="15"/>
    <s v="GBPR_RECYCLEDWOOD_SE3OTHER"/>
    <x v="0"/>
    <x v="20"/>
    <n v="7.0526068587522497"/>
    <n v="2574.2015034445699"/>
    <n v="9267.1254124004499"/>
  </r>
  <r>
    <x v="0"/>
    <x v="0"/>
    <x v="0"/>
    <x v="3"/>
    <x v="13"/>
    <s v="SE3_OTHER"/>
    <x v="15"/>
    <s v="GHOB_RECYCLEDWOOD"/>
    <x v="0"/>
    <x v="4"/>
    <n v="21.290248265763701"/>
    <n v="7770.94061700374"/>
    <n v="27975.386221213499"/>
  </r>
  <r>
    <x v="0"/>
    <x v="0"/>
    <x v="0"/>
    <x v="3"/>
    <x v="13"/>
    <s v="SE3_OTHER"/>
    <x v="15"/>
    <s v="GHOB_RECYCLEDWOOD"/>
    <x v="0"/>
    <x v="5"/>
    <n v="83.649290178221904"/>
    <n v="30531.990915050999"/>
    <n v="109915.16729418399"/>
  </r>
  <r>
    <x v="0"/>
    <x v="0"/>
    <x v="0"/>
    <x v="3"/>
    <x v="13"/>
    <s v="SE3_OTHER"/>
    <x v="15"/>
    <s v="GHOB_RECYCLEDWOOD"/>
    <x v="0"/>
    <x v="6"/>
    <n v="83.649290178221904"/>
    <n v="30531.990915050999"/>
    <n v="109915.16729418399"/>
  </r>
  <r>
    <x v="0"/>
    <x v="0"/>
    <x v="0"/>
    <x v="3"/>
    <x v="13"/>
    <s v="SE3_OTHER"/>
    <x v="15"/>
    <s v="GHOB_RECYCLEDWOOD"/>
    <x v="0"/>
    <x v="7"/>
    <n v="83.649290178221904"/>
    <n v="30531.990915050999"/>
    <n v="109915.16729418399"/>
  </r>
  <r>
    <x v="0"/>
    <x v="0"/>
    <x v="0"/>
    <x v="3"/>
    <x v="13"/>
    <s v="SE3_OTHER"/>
    <x v="15"/>
    <s v="GHOB_RECYCLEDWOOD"/>
    <x v="0"/>
    <x v="8"/>
    <n v="83.649290178221904"/>
    <n v="30531.990915050999"/>
    <n v="109915.16729418399"/>
  </r>
  <r>
    <x v="0"/>
    <x v="0"/>
    <x v="0"/>
    <x v="3"/>
    <x v="13"/>
    <s v="SE3_OTHER"/>
    <x v="15"/>
    <s v="GHOB_RECYCLEDWOOD"/>
    <x v="0"/>
    <x v="9"/>
    <n v="83.649290178221904"/>
    <n v="30531.990915050999"/>
    <n v="109915.16729418399"/>
  </r>
  <r>
    <x v="0"/>
    <x v="0"/>
    <x v="0"/>
    <x v="3"/>
    <x v="13"/>
    <s v="SE3_OTHER"/>
    <x v="15"/>
    <s v="GHOB_RECYCLEDWOOD"/>
    <x v="0"/>
    <x v="10"/>
    <n v="83.649290178221904"/>
    <n v="30531.990915050999"/>
    <n v="109915.16729418399"/>
  </r>
  <r>
    <x v="0"/>
    <x v="0"/>
    <x v="0"/>
    <x v="3"/>
    <x v="13"/>
    <s v="SE3_OTHER"/>
    <x v="15"/>
    <s v="GHOB_RECYCLEDWOOD"/>
    <x v="0"/>
    <x v="11"/>
    <n v="83.649290178221904"/>
    <n v="30531.990915050999"/>
    <n v="109915.16729418399"/>
  </r>
  <r>
    <x v="0"/>
    <x v="0"/>
    <x v="0"/>
    <x v="3"/>
    <x v="13"/>
    <s v="SE3_OTHER"/>
    <x v="15"/>
    <s v="GHOB_RECYCLEDWOOD"/>
    <x v="0"/>
    <x v="12"/>
    <n v="83.649290178221904"/>
    <n v="30531.990915050999"/>
    <n v="109915.16729418399"/>
  </r>
  <r>
    <x v="0"/>
    <x v="0"/>
    <x v="0"/>
    <x v="3"/>
    <x v="13"/>
    <s v="SE3_OTHER"/>
    <x v="15"/>
    <s v="GHOB_RECYCLEDWOOD"/>
    <x v="0"/>
    <x v="13"/>
    <n v="83.649290178221904"/>
    <n v="30531.990915050999"/>
    <n v="109915.16729418399"/>
  </r>
  <r>
    <x v="0"/>
    <x v="0"/>
    <x v="0"/>
    <x v="3"/>
    <x v="13"/>
    <s v="SE3_OTHER"/>
    <x v="15"/>
    <s v="GHOB_RECYCLEDWOOD"/>
    <x v="0"/>
    <x v="14"/>
    <n v="83.649290178221904"/>
    <n v="30531.990915050999"/>
    <n v="109915.16729418399"/>
  </r>
  <r>
    <x v="0"/>
    <x v="0"/>
    <x v="0"/>
    <x v="3"/>
    <x v="13"/>
    <s v="SE3_OTHER"/>
    <x v="15"/>
    <s v="GHOB_RECYCLEDWOOD"/>
    <x v="0"/>
    <x v="15"/>
    <n v="83.649290178221904"/>
    <n v="30531.990915050999"/>
    <n v="109915.16729418399"/>
  </r>
  <r>
    <x v="0"/>
    <x v="0"/>
    <x v="0"/>
    <x v="3"/>
    <x v="13"/>
    <s v="SE3_OTHER"/>
    <x v="15"/>
    <s v="GHOB_RECYCLEDWOOD"/>
    <x v="0"/>
    <x v="16"/>
    <n v="83.649290178221904"/>
    <n v="30531.990915050999"/>
    <n v="109915.16729418399"/>
  </r>
  <r>
    <x v="0"/>
    <x v="0"/>
    <x v="0"/>
    <x v="3"/>
    <x v="13"/>
    <s v="SE3_OTHER"/>
    <x v="15"/>
    <s v="GHOB_RECYCLEDWOOD"/>
    <x v="0"/>
    <x v="17"/>
    <n v="83.649290178221904"/>
    <n v="30531.990915050999"/>
    <n v="109915.16729418399"/>
  </r>
  <r>
    <x v="0"/>
    <x v="0"/>
    <x v="0"/>
    <x v="3"/>
    <x v="13"/>
    <s v="SE3_OTHER"/>
    <x v="15"/>
    <s v="GHOB_RECYCLEDWOOD"/>
    <x v="0"/>
    <x v="18"/>
    <n v="83.649290178221904"/>
    <n v="30531.990915050999"/>
    <n v="109915.16729418399"/>
  </r>
  <r>
    <x v="0"/>
    <x v="0"/>
    <x v="0"/>
    <x v="3"/>
    <x v="13"/>
    <s v="SE3_OTHER"/>
    <x v="15"/>
    <s v="GHOB_RECYCLEDWOOD"/>
    <x v="0"/>
    <x v="19"/>
    <n v="83.649290178221904"/>
    <n v="30531.990915050999"/>
    <n v="109915.16729418399"/>
  </r>
  <r>
    <x v="0"/>
    <x v="0"/>
    <x v="0"/>
    <x v="3"/>
    <x v="13"/>
    <s v="SE3_OTHER"/>
    <x v="15"/>
    <s v="GHOB_RECYCLEDWOOD"/>
    <x v="0"/>
    <x v="20"/>
    <n v="83.649290178221904"/>
    <n v="30531.990915050999"/>
    <n v="109915.16729418399"/>
  </r>
  <r>
    <x v="0"/>
    <x v="0"/>
    <x v="0"/>
    <x v="3"/>
    <x v="13"/>
    <s v="SE3_OTHER"/>
    <x v="15"/>
    <s v="GHOB_RECYCLEDWOOD"/>
    <x v="0"/>
    <x v="21"/>
    <n v="83.649290178221904"/>
    <n v="30531.990915050999"/>
    <n v="109915.16729418399"/>
  </r>
  <r>
    <x v="0"/>
    <x v="0"/>
    <x v="0"/>
    <x v="3"/>
    <x v="13"/>
    <s v="SE3_OTHER"/>
    <x v="15"/>
    <s v="GHOB_RECYCLEDWOOD"/>
    <x v="0"/>
    <x v="22"/>
    <n v="64.194012875684194"/>
    <n v="23430.814699624701"/>
    <n v="84350.932918649094"/>
  </r>
  <r>
    <x v="0"/>
    <x v="0"/>
    <x v="0"/>
    <x v="3"/>
    <x v="13"/>
    <s v="SE3_OTHER"/>
    <x v="4"/>
    <s v="GHOB_STRAW"/>
    <x v="0"/>
    <x v="6"/>
    <n v="2.75"/>
    <n v="1003.75"/>
    <n v="3613.5"/>
  </r>
  <r>
    <x v="0"/>
    <x v="0"/>
    <x v="0"/>
    <x v="3"/>
    <x v="13"/>
    <s v="SE3_OTHER"/>
    <x v="4"/>
    <s v="GHOB_STRAW"/>
    <x v="0"/>
    <x v="7"/>
    <n v="2.75"/>
    <n v="1003.75"/>
    <n v="3613.5"/>
  </r>
  <r>
    <x v="0"/>
    <x v="0"/>
    <x v="0"/>
    <x v="3"/>
    <x v="13"/>
    <s v="SE3_OTHER"/>
    <x v="4"/>
    <s v="GHOB_STRAW"/>
    <x v="0"/>
    <x v="8"/>
    <n v="2.75"/>
    <n v="1003.75"/>
    <n v="3613.5"/>
  </r>
  <r>
    <x v="0"/>
    <x v="0"/>
    <x v="0"/>
    <x v="3"/>
    <x v="13"/>
    <s v="SE3_OTHER"/>
    <x v="4"/>
    <s v="GHOB_STRAW"/>
    <x v="0"/>
    <x v="9"/>
    <n v="2.75"/>
    <n v="1003.75"/>
    <n v="3613.5"/>
  </r>
  <r>
    <x v="0"/>
    <x v="0"/>
    <x v="0"/>
    <x v="3"/>
    <x v="13"/>
    <s v="SE3_OTHER"/>
    <x v="4"/>
    <s v="GHOB_STRAW"/>
    <x v="0"/>
    <x v="10"/>
    <n v="2.75"/>
    <n v="1003.75"/>
    <n v="3613.5"/>
  </r>
  <r>
    <x v="0"/>
    <x v="0"/>
    <x v="0"/>
    <x v="3"/>
    <x v="13"/>
    <s v="SE3_OTHER"/>
    <x v="4"/>
    <s v="GHOB_STRAW"/>
    <x v="0"/>
    <x v="11"/>
    <n v="2.75"/>
    <n v="1003.75"/>
    <n v="3613.5"/>
  </r>
  <r>
    <x v="0"/>
    <x v="0"/>
    <x v="0"/>
    <x v="3"/>
    <x v="13"/>
    <s v="SE3_OTHER"/>
    <x v="4"/>
    <s v="GHOB_STRAW"/>
    <x v="0"/>
    <x v="12"/>
    <n v="2.75"/>
    <n v="1003.75"/>
    <n v="3613.5"/>
  </r>
  <r>
    <x v="0"/>
    <x v="0"/>
    <x v="0"/>
    <x v="3"/>
    <x v="13"/>
    <s v="SE3_OTHER"/>
    <x v="2"/>
    <s v="GHOB_WASTEHEAT"/>
    <x v="0"/>
    <x v="0"/>
    <n v="135.051739926739"/>
    <n v="49293.885073259902"/>
    <n v="177457.98626373601"/>
  </r>
  <r>
    <x v="0"/>
    <x v="0"/>
    <x v="0"/>
    <x v="3"/>
    <x v="13"/>
    <s v="SE3_OTHER"/>
    <x v="2"/>
    <s v="GHOB_WASTEHEAT"/>
    <x v="0"/>
    <x v="1"/>
    <n v="135.051739926739"/>
    <n v="49293.885073259902"/>
    <n v="177457.98626373601"/>
  </r>
  <r>
    <x v="0"/>
    <x v="0"/>
    <x v="0"/>
    <x v="3"/>
    <x v="13"/>
    <s v="SE3_OTHER"/>
    <x v="2"/>
    <s v="GHOB_WASTEHEAT"/>
    <x v="0"/>
    <x v="2"/>
    <n v="135.051739926739"/>
    <n v="49293.885073259902"/>
    <n v="177457.98626373601"/>
  </r>
  <r>
    <x v="0"/>
    <x v="0"/>
    <x v="0"/>
    <x v="3"/>
    <x v="13"/>
    <s v="SE3_OTHER"/>
    <x v="2"/>
    <s v="GHOB_WASTEHEAT"/>
    <x v="0"/>
    <x v="3"/>
    <n v="135.051739926739"/>
    <n v="49293.885073259902"/>
    <n v="177457.98626373601"/>
  </r>
  <r>
    <x v="0"/>
    <x v="0"/>
    <x v="0"/>
    <x v="3"/>
    <x v="13"/>
    <s v="SE3_OTHER"/>
    <x v="2"/>
    <s v="GHOB_WASTEHEAT"/>
    <x v="0"/>
    <x v="4"/>
    <n v="135.051739926739"/>
    <n v="49293.885073259902"/>
    <n v="177457.98626373601"/>
  </r>
  <r>
    <x v="0"/>
    <x v="0"/>
    <x v="0"/>
    <x v="3"/>
    <x v="13"/>
    <s v="SE3_OTHER"/>
    <x v="2"/>
    <s v="GHOB_WASTEHEAT"/>
    <x v="0"/>
    <x v="5"/>
    <n v="135.051739926739"/>
    <n v="49293.885073259902"/>
    <n v="177457.98626373601"/>
  </r>
  <r>
    <x v="0"/>
    <x v="0"/>
    <x v="0"/>
    <x v="3"/>
    <x v="13"/>
    <s v="SE3_OTHER"/>
    <x v="2"/>
    <s v="GHOB_WASTEHEAT"/>
    <x v="0"/>
    <x v="6"/>
    <n v="135.051739926739"/>
    <n v="49293.885073259902"/>
    <n v="177457.98626373601"/>
  </r>
  <r>
    <x v="0"/>
    <x v="0"/>
    <x v="0"/>
    <x v="3"/>
    <x v="13"/>
    <s v="SE3_OTHER"/>
    <x v="2"/>
    <s v="GHOB_WASTEHEAT"/>
    <x v="0"/>
    <x v="7"/>
    <n v="135.051739926739"/>
    <n v="49293.885073259902"/>
    <n v="177457.98626373601"/>
  </r>
  <r>
    <x v="0"/>
    <x v="0"/>
    <x v="0"/>
    <x v="3"/>
    <x v="13"/>
    <s v="SE3_OTHER"/>
    <x v="2"/>
    <s v="GHOB_WASTEHEAT"/>
    <x v="0"/>
    <x v="8"/>
    <n v="135.051739926739"/>
    <n v="49293.885073259902"/>
    <n v="177457.98626373601"/>
  </r>
  <r>
    <x v="0"/>
    <x v="0"/>
    <x v="0"/>
    <x v="3"/>
    <x v="13"/>
    <s v="SE3_OTHER"/>
    <x v="2"/>
    <s v="GHOB_WASTEHEAT"/>
    <x v="0"/>
    <x v="9"/>
    <n v="135.051739926739"/>
    <n v="49293.885073259902"/>
    <n v="177457.98626373601"/>
  </r>
  <r>
    <x v="0"/>
    <x v="0"/>
    <x v="0"/>
    <x v="3"/>
    <x v="13"/>
    <s v="SE3_OTHER"/>
    <x v="2"/>
    <s v="GHOB_WASTEHEAT"/>
    <x v="0"/>
    <x v="10"/>
    <n v="135.051739926739"/>
    <n v="49293.885073259902"/>
    <n v="177457.98626373601"/>
  </r>
  <r>
    <x v="0"/>
    <x v="0"/>
    <x v="0"/>
    <x v="3"/>
    <x v="13"/>
    <s v="SE3_OTHER"/>
    <x v="2"/>
    <s v="GHOB_WASTEHEAT"/>
    <x v="0"/>
    <x v="11"/>
    <n v="135.051739926739"/>
    <n v="49293.885073259902"/>
    <n v="177457.98626373601"/>
  </r>
  <r>
    <x v="0"/>
    <x v="0"/>
    <x v="0"/>
    <x v="3"/>
    <x v="13"/>
    <s v="SE3_OTHER"/>
    <x v="2"/>
    <s v="GHOB_WASTEHEAT"/>
    <x v="0"/>
    <x v="12"/>
    <n v="135.051739926739"/>
    <n v="49293.885073259902"/>
    <n v="177457.98626373601"/>
  </r>
  <r>
    <x v="0"/>
    <x v="0"/>
    <x v="0"/>
    <x v="3"/>
    <x v="13"/>
    <s v="SE3_OTHER"/>
    <x v="2"/>
    <s v="GHOB_WASTEHEAT"/>
    <x v="0"/>
    <x v="13"/>
    <n v="135.051739926739"/>
    <n v="49293.885073259902"/>
    <n v="177457.98626373601"/>
  </r>
  <r>
    <x v="0"/>
    <x v="0"/>
    <x v="0"/>
    <x v="3"/>
    <x v="13"/>
    <s v="SE3_OTHER"/>
    <x v="2"/>
    <s v="GHOB_WASTEHEAT"/>
    <x v="0"/>
    <x v="14"/>
    <n v="135.051739926739"/>
    <n v="49293.885073259902"/>
    <n v="177457.98626373601"/>
  </r>
  <r>
    <x v="0"/>
    <x v="0"/>
    <x v="0"/>
    <x v="3"/>
    <x v="13"/>
    <s v="SE3_OTHER"/>
    <x v="2"/>
    <s v="GHOB_WASTEHEAT"/>
    <x v="0"/>
    <x v="15"/>
    <n v="135.051739926739"/>
    <n v="49293.885073259902"/>
    <n v="177457.98626373601"/>
  </r>
  <r>
    <x v="0"/>
    <x v="0"/>
    <x v="0"/>
    <x v="3"/>
    <x v="13"/>
    <s v="SE3_OTHER"/>
    <x v="2"/>
    <s v="GHOB_WASTEHEAT"/>
    <x v="0"/>
    <x v="16"/>
    <n v="135.051739926739"/>
    <n v="49293.885073259902"/>
    <n v="177457.98626373601"/>
  </r>
  <r>
    <x v="0"/>
    <x v="0"/>
    <x v="0"/>
    <x v="3"/>
    <x v="13"/>
    <s v="SE3_OTHER"/>
    <x v="2"/>
    <s v="GHOB_WASTEHEAT"/>
    <x v="0"/>
    <x v="17"/>
    <n v="135.051739926739"/>
    <n v="49293.885073259902"/>
    <n v="177457.98626373601"/>
  </r>
  <r>
    <x v="0"/>
    <x v="0"/>
    <x v="0"/>
    <x v="3"/>
    <x v="13"/>
    <s v="SE3_OTHER"/>
    <x v="2"/>
    <s v="GHOB_WASTEHEAT"/>
    <x v="0"/>
    <x v="18"/>
    <n v="135.051739926739"/>
    <n v="49293.885073259902"/>
    <n v="177457.98626373601"/>
  </r>
  <r>
    <x v="0"/>
    <x v="0"/>
    <x v="0"/>
    <x v="3"/>
    <x v="13"/>
    <s v="SE3_OTHER"/>
    <x v="2"/>
    <s v="GHOB_WASTEHEAT"/>
    <x v="0"/>
    <x v="19"/>
    <n v="135.051739926739"/>
    <n v="49293.885073259902"/>
    <n v="177457.98626373601"/>
  </r>
  <r>
    <x v="0"/>
    <x v="0"/>
    <x v="0"/>
    <x v="3"/>
    <x v="13"/>
    <s v="SE3_OTHER"/>
    <x v="2"/>
    <s v="GHOB_WASTEHEAT"/>
    <x v="0"/>
    <x v="20"/>
    <n v="135.051739926739"/>
    <n v="49293.885073259902"/>
    <n v="177457.98626373601"/>
  </r>
  <r>
    <x v="0"/>
    <x v="0"/>
    <x v="0"/>
    <x v="3"/>
    <x v="13"/>
    <s v="SE3_OTHER"/>
    <x v="2"/>
    <s v="GHOB_WASTEHEAT"/>
    <x v="0"/>
    <x v="21"/>
    <n v="135.051739926739"/>
    <n v="49293.885073259902"/>
    <n v="177457.98626373601"/>
  </r>
  <r>
    <x v="0"/>
    <x v="0"/>
    <x v="0"/>
    <x v="3"/>
    <x v="13"/>
    <s v="SE3_OTHER"/>
    <x v="2"/>
    <s v="GHOB_WASTEHEAT"/>
    <x v="0"/>
    <x v="22"/>
    <n v="135.051739926739"/>
    <n v="49293.885073259902"/>
    <n v="177457.98626373601"/>
  </r>
  <r>
    <x v="0"/>
    <x v="0"/>
    <x v="0"/>
    <x v="3"/>
    <x v="13"/>
    <s v="SE3_OTHER"/>
    <x v="2"/>
    <s v="GHOB_WASTEHEAT"/>
    <x v="0"/>
    <x v="23"/>
    <n v="135.051739926739"/>
    <n v="49293.885073259902"/>
    <n v="177457.98626373601"/>
  </r>
  <r>
    <x v="0"/>
    <x v="0"/>
    <x v="0"/>
    <x v="3"/>
    <x v="13"/>
    <s v="SE3_OTHER"/>
    <x v="5"/>
    <s v="GHOB_WOODCHIPS"/>
    <x v="0"/>
    <x v="6"/>
    <n v="193.34438870204701"/>
    <n v="70570.701876247302"/>
    <n v="254054.52675449001"/>
  </r>
  <r>
    <x v="0"/>
    <x v="0"/>
    <x v="0"/>
    <x v="3"/>
    <x v="13"/>
    <s v="SE3_OTHER"/>
    <x v="5"/>
    <s v="GHOB_WOODCHIPS"/>
    <x v="0"/>
    <x v="7"/>
    <n v="315.300933713598"/>
    <n v="115084.840805463"/>
    <n v="414305.426899668"/>
  </r>
  <r>
    <x v="0"/>
    <x v="0"/>
    <x v="0"/>
    <x v="3"/>
    <x v="13"/>
    <s v="SE3_OTHER"/>
    <x v="5"/>
    <s v="GHOB_WOODCHIPS"/>
    <x v="0"/>
    <x v="8"/>
    <n v="279.52932223336597"/>
    <n v="102028.20261517901"/>
    <n v="367301.52941464301"/>
  </r>
  <r>
    <x v="0"/>
    <x v="0"/>
    <x v="0"/>
    <x v="3"/>
    <x v="13"/>
    <s v="SE3_OTHER"/>
    <x v="5"/>
    <s v="GHOB_WOODCHIPS"/>
    <x v="0"/>
    <x v="9"/>
    <n v="204.865732970724"/>
    <n v="74775.992534314399"/>
    <n v="269193.573123532"/>
  </r>
  <r>
    <x v="0"/>
    <x v="0"/>
    <x v="0"/>
    <x v="3"/>
    <x v="13"/>
    <s v="SE3_OTHER"/>
    <x v="5"/>
    <s v="GHOB_WOODCHIPS"/>
    <x v="0"/>
    <x v="10"/>
    <n v="136.20012674995101"/>
    <n v="49713.046263732198"/>
    <n v="178966.96654943601"/>
  </r>
  <r>
    <x v="0"/>
    <x v="0"/>
    <x v="0"/>
    <x v="3"/>
    <x v="13"/>
    <s v="SE3_OTHER"/>
    <x v="5"/>
    <s v="GHOB_WOODCHIPS"/>
    <x v="0"/>
    <x v="11"/>
    <n v="90.237124589096695"/>
    <n v="32936.550475020304"/>
    <n v="118571.58171007301"/>
  </r>
  <r>
    <x v="0"/>
    <x v="0"/>
    <x v="0"/>
    <x v="3"/>
    <x v="13"/>
    <s v="SE3_OTHER"/>
    <x v="5"/>
    <s v="GHOB_WOODCHIPS"/>
    <x v="0"/>
    <x v="12"/>
    <n v="20.783709356420001"/>
    <n v="7586.05391509331"/>
    <n v="27309.794094335899"/>
  </r>
  <r>
    <x v="0"/>
    <x v="0"/>
    <x v="0"/>
    <x v="3"/>
    <x v="13"/>
    <s v="SE3_OTHER"/>
    <x v="9"/>
    <s v="GBPR_WOODWASTE_25"/>
    <x v="0"/>
    <x v="0"/>
    <n v="694.34262149737299"/>
    <n v="253435.056846541"/>
    <n v="912366.20464754803"/>
  </r>
  <r>
    <x v="0"/>
    <x v="0"/>
    <x v="0"/>
    <x v="3"/>
    <x v="13"/>
    <s v="SE3_OTHER"/>
    <x v="9"/>
    <s v="GBPR_WOODWASTE_25"/>
    <x v="0"/>
    <x v="1"/>
    <n v="694.34262149737299"/>
    <n v="253435.056846541"/>
    <n v="912366.20464754803"/>
  </r>
  <r>
    <x v="0"/>
    <x v="0"/>
    <x v="0"/>
    <x v="3"/>
    <x v="13"/>
    <s v="SE3_OTHER"/>
    <x v="9"/>
    <s v="GBPR_WOODWASTE_25"/>
    <x v="0"/>
    <x v="2"/>
    <n v="694.34262149737299"/>
    <n v="253435.056846541"/>
    <n v="912366.20464754803"/>
  </r>
  <r>
    <x v="0"/>
    <x v="0"/>
    <x v="0"/>
    <x v="3"/>
    <x v="13"/>
    <s v="SE3_OTHER"/>
    <x v="9"/>
    <s v="GBPR_WOODWASTE_25"/>
    <x v="0"/>
    <x v="3"/>
    <n v="694.34262149737299"/>
    <n v="253435.056846541"/>
    <n v="912366.20464754803"/>
  </r>
  <r>
    <x v="0"/>
    <x v="0"/>
    <x v="0"/>
    <x v="3"/>
    <x v="13"/>
    <s v="SE3_OTHER"/>
    <x v="9"/>
    <s v="GBPR_WOODWASTE_25"/>
    <x v="0"/>
    <x v="4"/>
    <n v="694.34262149737299"/>
    <n v="253435.056846541"/>
    <n v="912366.20464754803"/>
  </r>
  <r>
    <x v="0"/>
    <x v="0"/>
    <x v="0"/>
    <x v="3"/>
    <x v="13"/>
    <s v="SE3_OTHER"/>
    <x v="9"/>
    <s v="GBPR_WOODWASTE_25"/>
    <x v="0"/>
    <x v="5"/>
    <n v="694.34262149737299"/>
    <n v="253435.056846541"/>
    <n v="912366.20464754803"/>
  </r>
  <r>
    <x v="0"/>
    <x v="0"/>
    <x v="0"/>
    <x v="3"/>
    <x v="13"/>
    <s v="SE3_OTHER"/>
    <x v="9"/>
    <s v="GBPR_WOODWASTE_25"/>
    <x v="0"/>
    <x v="6"/>
    <n v="694.34262149737299"/>
    <n v="253435.056846541"/>
    <n v="912366.20464754803"/>
  </r>
  <r>
    <x v="0"/>
    <x v="0"/>
    <x v="0"/>
    <x v="3"/>
    <x v="13"/>
    <s v="SE3_OTHER"/>
    <x v="9"/>
    <s v="GBPR_WOODWASTE_25"/>
    <x v="0"/>
    <x v="7"/>
    <n v="694.34262149737299"/>
    <n v="253435.056846541"/>
    <n v="912366.20464754803"/>
  </r>
  <r>
    <x v="0"/>
    <x v="0"/>
    <x v="0"/>
    <x v="3"/>
    <x v="13"/>
    <s v="SE3_OTHER"/>
    <x v="9"/>
    <s v="GBPR_WOODWASTE_25"/>
    <x v="0"/>
    <x v="8"/>
    <n v="694.34262149737299"/>
    <n v="253435.056846541"/>
    <n v="912366.20464754803"/>
  </r>
  <r>
    <x v="0"/>
    <x v="0"/>
    <x v="0"/>
    <x v="3"/>
    <x v="13"/>
    <s v="SE3_OTHER"/>
    <x v="9"/>
    <s v="GBPR_WOODWASTE_25"/>
    <x v="0"/>
    <x v="9"/>
    <n v="694.34262149737299"/>
    <n v="253435.056846541"/>
    <n v="912366.20464754803"/>
  </r>
  <r>
    <x v="0"/>
    <x v="0"/>
    <x v="0"/>
    <x v="3"/>
    <x v="13"/>
    <s v="SE3_OTHER"/>
    <x v="9"/>
    <s v="GBPR_WOODWASTE_25"/>
    <x v="0"/>
    <x v="10"/>
    <n v="694.34262149737299"/>
    <n v="253435.056846541"/>
    <n v="912366.20464754803"/>
  </r>
  <r>
    <x v="0"/>
    <x v="0"/>
    <x v="0"/>
    <x v="3"/>
    <x v="13"/>
    <s v="SE3_OTHER"/>
    <x v="9"/>
    <s v="GBPR_WOODWASTE_25"/>
    <x v="0"/>
    <x v="11"/>
    <n v="694.34262149737299"/>
    <n v="253435.056846541"/>
    <n v="912366.20464754803"/>
  </r>
  <r>
    <x v="0"/>
    <x v="0"/>
    <x v="0"/>
    <x v="3"/>
    <x v="13"/>
    <s v="SE3_OTHER"/>
    <x v="9"/>
    <s v="GBPR_WOODWASTE_25"/>
    <x v="0"/>
    <x v="12"/>
    <n v="694.34262149737299"/>
    <n v="253435.056846541"/>
    <n v="912366.20464754803"/>
  </r>
  <r>
    <x v="0"/>
    <x v="0"/>
    <x v="0"/>
    <x v="3"/>
    <x v="13"/>
    <s v="SE3_OTHER"/>
    <x v="9"/>
    <s v="GBPR_WOODWASTE_25"/>
    <x v="0"/>
    <x v="13"/>
    <n v="694.34262149737299"/>
    <n v="253435.056846541"/>
    <n v="912366.20464754803"/>
  </r>
  <r>
    <x v="0"/>
    <x v="0"/>
    <x v="0"/>
    <x v="3"/>
    <x v="13"/>
    <s v="SE3_OTHER"/>
    <x v="9"/>
    <s v="GBPR_WOODWASTE_25"/>
    <x v="0"/>
    <x v="14"/>
    <n v="694.34262149737299"/>
    <n v="253435.056846541"/>
    <n v="912366.20464754803"/>
  </r>
  <r>
    <x v="0"/>
    <x v="0"/>
    <x v="0"/>
    <x v="3"/>
    <x v="13"/>
    <s v="SE3_OTHER"/>
    <x v="9"/>
    <s v="GBPR_WOODWASTE_25"/>
    <x v="0"/>
    <x v="15"/>
    <n v="694.34262149737299"/>
    <n v="253435.056846541"/>
    <n v="912366.20464754803"/>
  </r>
  <r>
    <x v="0"/>
    <x v="0"/>
    <x v="0"/>
    <x v="3"/>
    <x v="13"/>
    <s v="SE3_OTHER"/>
    <x v="9"/>
    <s v="GBPR_WOODWASTE_25"/>
    <x v="0"/>
    <x v="16"/>
    <n v="694.34262149737299"/>
    <n v="253435.056846541"/>
    <n v="912366.20464754803"/>
  </r>
  <r>
    <x v="0"/>
    <x v="0"/>
    <x v="0"/>
    <x v="3"/>
    <x v="13"/>
    <s v="SE3_OTHER"/>
    <x v="9"/>
    <s v="GBPR_WOODWASTE_25"/>
    <x v="0"/>
    <x v="17"/>
    <n v="694.34262149737299"/>
    <n v="253435.056846541"/>
    <n v="912366.20464754803"/>
  </r>
  <r>
    <x v="0"/>
    <x v="0"/>
    <x v="0"/>
    <x v="3"/>
    <x v="13"/>
    <s v="SE3_OTHER"/>
    <x v="9"/>
    <s v="GBPR_WOODWASTE_25"/>
    <x v="0"/>
    <x v="18"/>
    <n v="694.34262149737299"/>
    <n v="253435.056846541"/>
    <n v="912366.20464754803"/>
  </r>
  <r>
    <x v="0"/>
    <x v="0"/>
    <x v="0"/>
    <x v="3"/>
    <x v="13"/>
    <s v="SE3_OTHER"/>
    <x v="9"/>
    <s v="GBPR_WOODWASTE_25"/>
    <x v="0"/>
    <x v="19"/>
    <n v="694.34262149737299"/>
    <n v="253435.056846541"/>
    <n v="912366.20464754803"/>
  </r>
  <r>
    <x v="0"/>
    <x v="0"/>
    <x v="0"/>
    <x v="3"/>
    <x v="13"/>
    <s v="SE3_OTHER"/>
    <x v="9"/>
    <s v="GBPR_WOODWASTE_25"/>
    <x v="0"/>
    <x v="20"/>
    <n v="694.34262149737299"/>
    <n v="253435.056846541"/>
    <n v="912366.20464754803"/>
  </r>
  <r>
    <x v="0"/>
    <x v="0"/>
    <x v="0"/>
    <x v="3"/>
    <x v="13"/>
    <s v="SE3_OTHER"/>
    <x v="9"/>
    <s v="GBPR_WOODWASTE_25"/>
    <x v="0"/>
    <x v="21"/>
    <n v="694.34262149737299"/>
    <n v="253435.056846541"/>
    <n v="912366.20464754803"/>
  </r>
  <r>
    <x v="0"/>
    <x v="0"/>
    <x v="0"/>
    <x v="3"/>
    <x v="13"/>
    <s v="SE3_OTHER"/>
    <x v="9"/>
    <s v="GBPR_WOODWASTE_25"/>
    <x v="0"/>
    <x v="22"/>
    <n v="694.34262149737299"/>
    <n v="253435.056846541"/>
    <n v="912366.20464754803"/>
  </r>
  <r>
    <x v="0"/>
    <x v="0"/>
    <x v="0"/>
    <x v="3"/>
    <x v="13"/>
    <s v="SE3_OTHER"/>
    <x v="9"/>
    <s v="GBPR_WOODWASTE_25"/>
    <x v="0"/>
    <x v="23"/>
    <n v="694.34262149737299"/>
    <n v="253435.056846541"/>
    <n v="912366.20464754803"/>
  </r>
  <r>
    <x v="0"/>
    <x v="0"/>
    <x v="0"/>
    <x v="3"/>
    <x v="13"/>
    <s v="SE3_OTHER"/>
    <x v="9"/>
    <s v="GHOB_WOODWASTE"/>
    <x v="0"/>
    <x v="0"/>
    <n v="226.314858340592"/>
    <n v="82604.9232943159"/>
    <n v="297377.72385953699"/>
  </r>
  <r>
    <x v="0"/>
    <x v="0"/>
    <x v="0"/>
    <x v="3"/>
    <x v="13"/>
    <s v="SE3_OTHER"/>
    <x v="9"/>
    <s v="GHOB_WOODWASTE"/>
    <x v="0"/>
    <x v="1"/>
    <n v="254.49110738542501"/>
    <n v="92889.2541956801"/>
    <n v="334401.315104448"/>
  </r>
  <r>
    <x v="0"/>
    <x v="0"/>
    <x v="0"/>
    <x v="3"/>
    <x v="13"/>
    <s v="SE3_OTHER"/>
    <x v="9"/>
    <s v="GHOB_WOODWASTE"/>
    <x v="0"/>
    <x v="2"/>
    <n v="270.503334489753"/>
    <n v="98733.717088759804"/>
    <n v="355441.38151953497"/>
  </r>
  <r>
    <x v="0"/>
    <x v="0"/>
    <x v="0"/>
    <x v="3"/>
    <x v="13"/>
    <s v="SE3_OTHER"/>
    <x v="9"/>
    <s v="GHOB_WOODWASTE"/>
    <x v="0"/>
    <x v="3"/>
    <n v="337.93402153547999"/>
    <n v="123345.91786045"/>
    <n v="444045.30429762101"/>
  </r>
  <r>
    <x v="0"/>
    <x v="0"/>
    <x v="0"/>
    <x v="3"/>
    <x v="13"/>
    <s v="SE3_OTHER"/>
    <x v="9"/>
    <s v="GHOB_WOODWASTE"/>
    <x v="0"/>
    <x v="4"/>
    <n v="383.52304456577701"/>
    <n v="139985.91126650901"/>
    <n v="503949.280559431"/>
  </r>
  <r>
    <x v="0"/>
    <x v="0"/>
    <x v="0"/>
    <x v="3"/>
    <x v="13"/>
    <s v="SE3_OTHER"/>
    <x v="9"/>
    <s v="GHOB_WOODWASTE"/>
    <x v="0"/>
    <x v="5"/>
    <n v="383.52304456577701"/>
    <n v="139985.91126650901"/>
    <n v="503949.280559431"/>
  </r>
  <r>
    <x v="0"/>
    <x v="0"/>
    <x v="0"/>
    <x v="3"/>
    <x v="13"/>
    <s v="SE3_OTHER"/>
    <x v="9"/>
    <s v="GHOB_WOODWASTE"/>
    <x v="0"/>
    <x v="6"/>
    <n v="383.52304456577701"/>
    <n v="139985.91126650901"/>
    <n v="503949.280559431"/>
  </r>
  <r>
    <x v="0"/>
    <x v="0"/>
    <x v="0"/>
    <x v="3"/>
    <x v="13"/>
    <s v="SE3_OTHER"/>
    <x v="9"/>
    <s v="GHOB_WOODWASTE"/>
    <x v="0"/>
    <x v="7"/>
    <n v="383.52304456577701"/>
    <n v="139985.91126650901"/>
    <n v="503949.280559431"/>
  </r>
  <r>
    <x v="0"/>
    <x v="0"/>
    <x v="0"/>
    <x v="3"/>
    <x v="13"/>
    <s v="SE3_OTHER"/>
    <x v="9"/>
    <s v="GHOB_WOODWASTE"/>
    <x v="0"/>
    <x v="8"/>
    <n v="383.52304456577701"/>
    <n v="139985.91126650901"/>
    <n v="503949.280559431"/>
  </r>
  <r>
    <x v="0"/>
    <x v="0"/>
    <x v="0"/>
    <x v="3"/>
    <x v="13"/>
    <s v="SE3_OTHER"/>
    <x v="9"/>
    <s v="GHOB_WOODWASTE"/>
    <x v="0"/>
    <x v="9"/>
    <n v="383.52304456577701"/>
    <n v="139985.91126650901"/>
    <n v="503949.280559431"/>
  </r>
  <r>
    <x v="0"/>
    <x v="0"/>
    <x v="0"/>
    <x v="3"/>
    <x v="13"/>
    <s v="SE3_OTHER"/>
    <x v="9"/>
    <s v="GHOB_WOODWASTE"/>
    <x v="0"/>
    <x v="10"/>
    <n v="383.52304456577701"/>
    <n v="139985.91126650901"/>
    <n v="503949.280559431"/>
  </r>
  <r>
    <x v="0"/>
    <x v="0"/>
    <x v="0"/>
    <x v="3"/>
    <x v="13"/>
    <s v="SE3_OTHER"/>
    <x v="9"/>
    <s v="GHOB_WOODWASTE"/>
    <x v="0"/>
    <x v="11"/>
    <n v="383.52304456577701"/>
    <n v="139985.91126650901"/>
    <n v="503949.280559431"/>
  </r>
  <r>
    <x v="0"/>
    <x v="0"/>
    <x v="0"/>
    <x v="3"/>
    <x v="13"/>
    <s v="SE3_OTHER"/>
    <x v="9"/>
    <s v="GHOB_WOODWASTE"/>
    <x v="0"/>
    <x v="12"/>
    <n v="383.52304456577701"/>
    <n v="139985.91126650901"/>
    <n v="503949.280559431"/>
  </r>
  <r>
    <x v="0"/>
    <x v="0"/>
    <x v="0"/>
    <x v="3"/>
    <x v="13"/>
    <s v="SE3_OTHER"/>
    <x v="9"/>
    <s v="GHOB_WOODWASTE"/>
    <x v="0"/>
    <x v="13"/>
    <n v="383.52304456577701"/>
    <n v="139985.91126650901"/>
    <n v="503949.280559431"/>
  </r>
  <r>
    <x v="0"/>
    <x v="0"/>
    <x v="0"/>
    <x v="3"/>
    <x v="13"/>
    <s v="SE3_OTHER"/>
    <x v="9"/>
    <s v="GHOB_WOODWASTE"/>
    <x v="0"/>
    <x v="14"/>
    <n v="383.52304456577701"/>
    <n v="139985.91126650901"/>
    <n v="503949.280559431"/>
  </r>
  <r>
    <x v="0"/>
    <x v="0"/>
    <x v="0"/>
    <x v="3"/>
    <x v="13"/>
    <s v="SE3_OTHER"/>
    <x v="9"/>
    <s v="GHOB_WOODWASTE"/>
    <x v="0"/>
    <x v="15"/>
    <n v="383.52304456577701"/>
    <n v="139985.91126650901"/>
    <n v="503949.280559431"/>
  </r>
  <r>
    <x v="0"/>
    <x v="0"/>
    <x v="0"/>
    <x v="3"/>
    <x v="13"/>
    <s v="SE3_OTHER"/>
    <x v="9"/>
    <s v="GHOB_WOODWASTE"/>
    <x v="0"/>
    <x v="16"/>
    <n v="383.52304456577701"/>
    <n v="139985.91126650901"/>
    <n v="503949.280559431"/>
  </r>
  <r>
    <x v="0"/>
    <x v="0"/>
    <x v="0"/>
    <x v="3"/>
    <x v="13"/>
    <s v="SE3_OTHER"/>
    <x v="9"/>
    <s v="GHOB_WOODWASTE"/>
    <x v="0"/>
    <x v="17"/>
    <n v="383.52304456577701"/>
    <n v="139985.91126650901"/>
    <n v="503949.280559431"/>
  </r>
  <r>
    <x v="0"/>
    <x v="0"/>
    <x v="0"/>
    <x v="3"/>
    <x v="13"/>
    <s v="SE3_OTHER"/>
    <x v="9"/>
    <s v="GHOB_WOODWASTE"/>
    <x v="0"/>
    <x v="18"/>
    <n v="383.52304456577701"/>
    <n v="139985.91126650901"/>
    <n v="503949.280559431"/>
  </r>
  <r>
    <x v="0"/>
    <x v="0"/>
    <x v="0"/>
    <x v="3"/>
    <x v="13"/>
    <s v="SE3_OTHER"/>
    <x v="9"/>
    <s v="GHOB_WOODWASTE"/>
    <x v="0"/>
    <x v="19"/>
    <n v="383.52304456577701"/>
    <n v="139985.91126650901"/>
    <n v="503949.280559431"/>
  </r>
  <r>
    <x v="0"/>
    <x v="0"/>
    <x v="0"/>
    <x v="3"/>
    <x v="13"/>
    <s v="SE3_OTHER"/>
    <x v="9"/>
    <s v="GHOB_WOODWASTE"/>
    <x v="0"/>
    <x v="20"/>
    <n v="383.52304456577701"/>
    <n v="139985.91126650901"/>
    <n v="503949.280559431"/>
  </r>
  <r>
    <x v="0"/>
    <x v="0"/>
    <x v="0"/>
    <x v="3"/>
    <x v="13"/>
    <s v="SE3_OTHER"/>
    <x v="9"/>
    <s v="GHOB_WOODWASTE"/>
    <x v="0"/>
    <x v="21"/>
    <n v="383.52304456577701"/>
    <n v="139985.91126650901"/>
    <n v="503949.280559431"/>
  </r>
  <r>
    <x v="0"/>
    <x v="0"/>
    <x v="0"/>
    <x v="3"/>
    <x v="13"/>
    <s v="SE3_OTHER"/>
    <x v="9"/>
    <s v="GHOB_WOODWASTE"/>
    <x v="0"/>
    <x v="22"/>
    <n v="383.52304456577701"/>
    <n v="139985.91126650901"/>
    <n v="503949.280559431"/>
  </r>
  <r>
    <x v="0"/>
    <x v="0"/>
    <x v="0"/>
    <x v="3"/>
    <x v="13"/>
    <s v="SE3_OTHER"/>
    <x v="9"/>
    <s v="GHOB_WOODWASTE"/>
    <x v="0"/>
    <x v="23"/>
    <n v="341.76397454009702"/>
    <n v="124743.850707135"/>
    <n v="449077.86254568701"/>
  </r>
  <r>
    <x v="0"/>
    <x v="0"/>
    <x v="0"/>
    <x v="3"/>
    <x v="13"/>
    <s v="SE3_STO"/>
    <x v="0"/>
    <s v="GBPR_COAL_VARTAN"/>
    <x v="0"/>
    <x v="6"/>
    <n v="172.86562480279201"/>
    <n v="63095.9530530189"/>
    <n v="227145.43099086799"/>
  </r>
  <r>
    <x v="0"/>
    <x v="0"/>
    <x v="0"/>
    <x v="3"/>
    <x v="13"/>
    <s v="SE3_STO"/>
    <x v="0"/>
    <s v="GBPR_COAL_VARTAN"/>
    <x v="0"/>
    <x v="7"/>
    <n v="213.44589297307701"/>
    <n v="77907.750935173201"/>
    <n v="280467.90336662403"/>
  </r>
  <r>
    <x v="0"/>
    <x v="0"/>
    <x v="0"/>
    <x v="3"/>
    <x v="13"/>
    <s v="SE3_STO"/>
    <x v="0"/>
    <s v="GBPR_COAL_VARTAN"/>
    <x v="0"/>
    <x v="8"/>
    <n v="213.44589297307701"/>
    <n v="77907.750935173201"/>
    <n v="280467.90336662403"/>
  </r>
  <r>
    <x v="0"/>
    <x v="0"/>
    <x v="0"/>
    <x v="3"/>
    <x v="13"/>
    <s v="SE3_STO"/>
    <x v="0"/>
    <s v="GBPR_COAL_VARTAN"/>
    <x v="0"/>
    <x v="9"/>
    <n v="213.44589297307701"/>
    <n v="77907.750935173201"/>
    <n v="280467.90336662403"/>
  </r>
  <r>
    <x v="0"/>
    <x v="0"/>
    <x v="0"/>
    <x v="3"/>
    <x v="13"/>
    <s v="SE3_STO"/>
    <x v="0"/>
    <s v="GBPR_COAL_VARTAN"/>
    <x v="0"/>
    <x v="10"/>
    <n v="213.44589297307701"/>
    <n v="77907.750935173201"/>
    <n v="280467.90336662403"/>
  </r>
  <r>
    <x v="0"/>
    <x v="0"/>
    <x v="0"/>
    <x v="3"/>
    <x v="13"/>
    <s v="SE3_STO"/>
    <x v="0"/>
    <s v="GBPR_COAL_VARTAN"/>
    <x v="0"/>
    <x v="11"/>
    <n v="213.44589297307701"/>
    <n v="77907.750935173201"/>
    <n v="280467.90336662403"/>
  </r>
  <r>
    <x v="0"/>
    <x v="0"/>
    <x v="0"/>
    <x v="3"/>
    <x v="13"/>
    <s v="SE3_STO"/>
    <x v="0"/>
    <s v="GBPR_COAL_VARTAN"/>
    <x v="0"/>
    <x v="12"/>
    <n v="213.44589297307701"/>
    <n v="77907.750935173201"/>
    <n v="280467.90336662403"/>
  </r>
  <r>
    <x v="0"/>
    <x v="0"/>
    <x v="0"/>
    <x v="3"/>
    <x v="13"/>
    <s v="SE3_STO"/>
    <x v="0"/>
    <s v="GBPR_COAL_VARTAN"/>
    <x v="0"/>
    <x v="13"/>
    <n v="213.44589297307701"/>
    <n v="77907.750935173201"/>
    <n v="280467.90336662403"/>
  </r>
  <r>
    <x v="0"/>
    <x v="0"/>
    <x v="0"/>
    <x v="3"/>
    <x v="13"/>
    <s v="SE3_STO"/>
    <x v="0"/>
    <s v="GBPR_COAL_VARTAN"/>
    <x v="0"/>
    <x v="14"/>
    <n v="213.44589297307701"/>
    <n v="77907.750935173201"/>
    <n v="280467.90336662403"/>
  </r>
  <r>
    <x v="0"/>
    <x v="0"/>
    <x v="0"/>
    <x v="3"/>
    <x v="13"/>
    <s v="SE3_STO"/>
    <x v="0"/>
    <s v="GBPR_COAL_VARTAN"/>
    <x v="0"/>
    <x v="15"/>
    <n v="213.44589297307701"/>
    <n v="77907.750935173201"/>
    <n v="280467.90336662403"/>
  </r>
  <r>
    <x v="0"/>
    <x v="0"/>
    <x v="0"/>
    <x v="3"/>
    <x v="13"/>
    <s v="SE3_STO"/>
    <x v="0"/>
    <s v="GBPR_COAL_VARTAN"/>
    <x v="0"/>
    <x v="16"/>
    <n v="213.44589297307701"/>
    <n v="77907.750935173201"/>
    <n v="280467.90336662403"/>
  </r>
  <r>
    <x v="0"/>
    <x v="0"/>
    <x v="0"/>
    <x v="3"/>
    <x v="13"/>
    <s v="SE3_STO"/>
    <x v="0"/>
    <s v="GBPR_COAL_VARTAN"/>
    <x v="0"/>
    <x v="17"/>
    <n v="213.44589297307701"/>
    <n v="77907.750935173201"/>
    <n v="280467.90336662403"/>
  </r>
  <r>
    <x v="0"/>
    <x v="0"/>
    <x v="0"/>
    <x v="3"/>
    <x v="13"/>
    <s v="SE3_STO"/>
    <x v="0"/>
    <s v="GBPR_COAL_VARTAN"/>
    <x v="0"/>
    <x v="18"/>
    <n v="213.44589297307701"/>
    <n v="77907.750935173201"/>
    <n v="280467.90336662403"/>
  </r>
  <r>
    <x v="0"/>
    <x v="0"/>
    <x v="0"/>
    <x v="3"/>
    <x v="13"/>
    <s v="SE3_STO"/>
    <x v="0"/>
    <s v="GBPR_COAL_VARTAN"/>
    <x v="0"/>
    <x v="19"/>
    <n v="213.44589297307701"/>
    <n v="77907.750935173201"/>
    <n v="280467.90336662403"/>
  </r>
  <r>
    <x v="0"/>
    <x v="0"/>
    <x v="0"/>
    <x v="3"/>
    <x v="13"/>
    <s v="SE3_STO"/>
    <x v="0"/>
    <s v="GBPR_COAL_VARTAN"/>
    <x v="0"/>
    <x v="20"/>
    <n v="213.44589297307701"/>
    <n v="77907.750935173201"/>
    <n v="280467.90336662403"/>
  </r>
  <r>
    <x v="0"/>
    <x v="0"/>
    <x v="0"/>
    <x v="3"/>
    <x v="13"/>
    <s v="SE3_STO"/>
    <x v="0"/>
    <s v="GBPR_COAL_VARTAN"/>
    <x v="0"/>
    <x v="21"/>
    <n v="185.71026326609999"/>
    <n v="67784.246092126501"/>
    <n v="244023.285931655"/>
  </r>
  <r>
    <x v="0"/>
    <x v="0"/>
    <x v="0"/>
    <x v="3"/>
    <x v="13"/>
    <s v="SE3_STO"/>
    <x v="0"/>
    <s v="GBPR_COAL_VARTAN"/>
    <x v="0"/>
    <x v="22"/>
    <n v="124.92990453924899"/>
    <n v="45599.415156825999"/>
    <n v="164157.894564574"/>
  </r>
  <r>
    <x v="0"/>
    <x v="0"/>
    <x v="0"/>
    <x v="3"/>
    <x v="13"/>
    <s v="SE3_STO"/>
    <x v="0"/>
    <s v="GBPR_COAL_VARTAN"/>
    <x v="0"/>
    <x v="23"/>
    <n v="3.49405501961576"/>
    <n v="1275.33008215975"/>
    <n v="4591.1882957751104"/>
  </r>
  <r>
    <x v="0"/>
    <x v="0"/>
    <x v="0"/>
    <x v="3"/>
    <x v="13"/>
    <s v="SE3_STO"/>
    <x v="1"/>
    <s v="GBPR_MUNIWASTE_HOGDALEN"/>
    <x v="0"/>
    <x v="0"/>
    <n v="170.54467054236099"/>
    <n v="62248.804747961804"/>
    <n v="224095.697092663"/>
  </r>
  <r>
    <x v="0"/>
    <x v="0"/>
    <x v="0"/>
    <x v="3"/>
    <x v="13"/>
    <s v="SE3_STO"/>
    <x v="1"/>
    <s v="GBPR_MUNIWASTE_HOGDALEN"/>
    <x v="0"/>
    <x v="1"/>
    <n v="170.54467054236099"/>
    <n v="62248.804747961804"/>
    <n v="224095.697092663"/>
  </r>
  <r>
    <x v="0"/>
    <x v="0"/>
    <x v="0"/>
    <x v="3"/>
    <x v="13"/>
    <s v="SE3_STO"/>
    <x v="1"/>
    <s v="GBPR_MUNIWASTE_HOGDALEN"/>
    <x v="0"/>
    <x v="2"/>
    <n v="170.54467054236099"/>
    <n v="62248.804747961804"/>
    <n v="224095.697092663"/>
  </r>
  <r>
    <x v="0"/>
    <x v="0"/>
    <x v="0"/>
    <x v="3"/>
    <x v="13"/>
    <s v="SE3_STO"/>
    <x v="1"/>
    <s v="GBPR_MUNIWASTE_HOGDALEN"/>
    <x v="0"/>
    <x v="3"/>
    <n v="170.54467054236099"/>
    <n v="62248.804747961804"/>
    <n v="224095.697092663"/>
  </r>
  <r>
    <x v="0"/>
    <x v="0"/>
    <x v="0"/>
    <x v="3"/>
    <x v="13"/>
    <s v="SE3_STO"/>
    <x v="1"/>
    <s v="GBPR_MUNIWASTE_HOGDALEN"/>
    <x v="0"/>
    <x v="4"/>
    <n v="170.54467054236099"/>
    <n v="62248.804747961804"/>
    <n v="224095.697092663"/>
  </r>
  <r>
    <x v="0"/>
    <x v="0"/>
    <x v="0"/>
    <x v="3"/>
    <x v="13"/>
    <s v="SE3_STO"/>
    <x v="1"/>
    <s v="GBPR_MUNIWASTE_HOGDALEN"/>
    <x v="0"/>
    <x v="5"/>
    <n v="170.54467054236099"/>
    <n v="62248.804747961804"/>
    <n v="224095.697092663"/>
  </r>
  <r>
    <x v="0"/>
    <x v="0"/>
    <x v="0"/>
    <x v="3"/>
    <x v="13"/>
    <s v="SE3_STO"/>
    <x v="1"/>
    <s v="GBPR_MUNIWASTE_HOGDALEN"/>
    <x v="0"/>
    <x v="6"/>
    <n v="170.54467054236099"/>
    <n v="62248.804747961804"/>
    <n v="224095.697092663"/>
  </r>
  <r>
    <x v="0"/>
    <x v="0"/>
    <x v="0"/>
    <x v="3"/>
    <x v="13"/>
    <s v="SE3_STO"/>
    <x v="1"/>
    <s v="GBPR_MUNIWASTE_HOGDALEN"/>
    <x v="0"/>
    <x v="7"/>
    <n v="170.54467054236099"/>
    <n v="62248.804747961804"/>
    <n v="224095.697092663"/>
  </r>
  <r>
    <x v="0"/>
    <x v="0"/>
    <x v="0"/>
    <x v="3"/>
    <x v="13"/>
    <s v="SE3_STO"/>
    <x v="1"/>
    <s v="GBPR_MUNIWASTE_HOGDALEN"/>
    <x v="0"/>
    <x v="8"/>
    <n v="170.54467054236099"/>
    <n v="62248.804747961804"/>
    <n v="224095.697092663"/>
  </r>
  <r>
    <x v="0"/>
    <x v="0"/>
    <x v="0"/>
    <x v="3"/>
    <x v="13"/>
    <s v="SE3_STO"/>
    <x v="1"/>
    <s v="GBPR_MUNIWASTE_HOGDALEN"/>
    <x v="0"/>
    <x v="9"/>
    <n v="170.54467054236099"/>
    <n v="62248.804747961804"/>
    <n v="224095.697092663"/>
  </r>
  <r>
    <x v="0"/>
    <x v="0"/>
    <x v="0"/>
    <x v="3"/>
    <x v="13"/>
    <s v="SE3_STO"/>
    <x v="1"/>
    <s v="GBPR_MUNIWASTE_HOGDALEN"/>
    <x v="0"/>
    <x v="10"/>
    <n v="170.54467054236099"/>
    <n v="62248.804747961804"/>
    <n v="224095.697092663"/>
  </r>
  <r>
    <x v="0"/>
    <x v="0"/>
    <x v="0"/>
    <x v="3"/>
    <x v="13"/>
    <s v="SE3_STO"/>
    <x v="1"/>
    <s v="GBPR_MUNIWASTE_HOGDALEN"/>
    <x v="0"/>
    <x v="11"/>
    <n v="170.54467054236099"/>
    <n v="62248.804747961804"/>
    <n v="224095.697092663"/>
  </r>
  <r>
    <x v="0"/>
    <x v="0"/>
    <x v="0"/>
    <x v="3"/>
    <x v="13"/>
    <s v="SE3_STO"/>
    <x v="1"/>
    <s v="GBPR_MUNIWASTE_HOGDALEN"/>
    <x v="0"/>
    <x v="12"/>
    <n v="170.54467054236099"/>
    <n v="62248.804747961804"/>
    <n v="224095.697092663"/>
  </r>
  <r>
    <x v="0"/>
    <x v="0"/>
    <x v="0"/>
    <x v="3"/>
    <x v="13"/>
    <s v="SE3_STO"/>
    <x v="1"/>
    <s v="GBPR_MUNIWASTE_HOGDALEN"/>
    <x v="0"/>
    <x v="13"/>
    <n v="170.54467054236099"/>
    <n v="62248.804747961804"/>
    <n v="224095.697092663"/>
  </r>
  <r>
    <x v="0"/>
    <x v="0"/>
    <x v="0"/>
    <x v="3"/>
    <x v="13"/>
    <s v="SE3_STO"/>
    <x v="1"/>
    <s v="GBPR_MUNIWASTE_HOGDALEN"/>
    <x v="0"/>
    <x v="14"/>
    <n v="170.54467054236099"/>
    <n v="62248.804747961804"/>
    <n v="224095.697092663"/>
  </r>
  <r>
    <x v="0"/>
    <x v="0"/>
    <x v="0"/>
    <x v="3"/>
    <x v="13"/>
    <s v="SE3_STO"/>
    <x v="1"/>
    <s v="GBPR_MUNIWASTE_HOGDALEN"/>
    <x v="0"/>
    <x v="15"/>
    <n v="170.54467054236099"/>
    <n v="62248.804747961804"/>
    <n v="224095.697092663"/>
  </r>
  <r>
    <x v="0"/>
    <x v="0"/>
    <x v="0"/>
    <x v="3"/>
    <x v="13"/>
    <s v="SE3_STO"/>
    <x v="1"/>
    <s v="GBPR_MUNIWASTE_HOGDALEN"/>
    <x v="0"/>
    <x v="16"/>
    <n v="170.54467054236099"/>
    <n v="62248.804747961804"/>
    <n v="224095.697092663"/>
  </r>
  <r>
    <x v="0"/>
    <x v="0"/>
    <x v="0"/>
    <x v="3"/>
    <x v="13"/>
    <s v="SE3_STO"/>
    <x v="1"/>
    <s v="GBPR_MUNIWASTE_HOGDALEN"/>
    <x v="0"/>
    <x v="17"/>
    <n v="170.54467054236099"/>
    <n v="62248.804747961804"/>
    <n v="224095.697092663"/>
  </r>
  <r>
    <x v="0"/>
    <x v="0"/>
    <x v="0"/>
    <x v="3"/>
    <x v="13"/>
    <s v="SE3_STO"/>
    <x v="1"/>
    <s v="GBPR_MUNIWASTE_HOGDALEN"/>
    <x v="0"/>
    <x v="18"/>
    <n v="170.54467054236099"/>
    <n v="62248.804747961804"/>
    <n v="224095.697092663"/>
  </r>
  <r>
    <x v="0"/>
    <x v="0"/>
    <x v="0"/>
    <x v="3"/>
    <x v="13"/>
    <s v="SE3_STO"/>
    <x v="1"/>
    <s v="GBPR_MUNIWASTE_HOGDALEN"/>
    <x v="0"/>
    <x v="19"/>
    <n v="170.54467054236099"/>
    <n v="62248.804747961804"/>
    <n v="224095.697092663"/>
  </r>
  <r>
    <x v="0"/>
    <x v="0"/>
    <x v="0"/>
    <x v="3"/>
    <x v="13"/>
    <s v="SE3_STO"/>
    <x v="1"/>
    <s v="GBPR_MUNIWASTE_HOGDALEN"/>
    <x v="0"/>
    <x v="20"/>
    <n v="170.54467054236099"/>
    <n v="62248.804747961804"/>
    <n v="224095.697092663"/>
  </r>
  <r>
    <x v="0"/>
    <x v="0"/>
    <x v="0"/>
    <x v="3"/>
    <x v="13"/>
    <s v="SE3_STO"/>
    <x v="1"/>
    <s v="GBPR_MUNIWASTE_HOGDALEN"/>
    <x v="0"/>
    <x v="21"/>
    <n v="170.54467054236099"/>
    <n v="62248.804747961804"/>
    <n v="224095.697092663"/>
  </r>
  <r>
    <x v="0"/>
    <x v="0"/>
    <x v="0"/>
    <x v="3"/>
    <x v="13"/>
    <s v="SE3_STO"/>
    <x v="1"/>
    <s v="GBPR_MUNIWASTE_HOGDALEN"/>
    <x v="0"/>
    <x v="22"/>
    <n v="170.54467054236099"/>
    <n v="62248.804747961804"/>
    <n v="224095.697092663"/>
  </r>
  <r>
    <x v="0"/>
    <x v="0"/>
    <x v="0"/>
    <x v="3"/>
    <x v="13"/>
    <s v="SE3_STO"/>
    <x v="1"/>
    <s v="GBPR_MUNIWASTE_HOGDALEN"/>
    <x v="0"/>
    <x v="23"/>
    <n v="170.54467054236099"/>
    <n v="62248.804747961804"/>
    <n v="224095.697092663"/>
  </r>
  <r>
    <x v="0"/>
    <x v="0"/>
    <x v="0"/>
    <x v="3"/>
    <x v="13"/>
    <s v="SE3_STO"/>
    <x v="1"/>
    <s v="GHOB_MUNIWASTE"/>
    <x v="0"/>
    <x v="0"/>
    <n v="120.96344365261299"/>
    <n v="44151.6569332039"/>
    <n v="158945.964959534"/>
  </r>
  <r>
    <x v="0"/>
    <x v="0"/>
    <x v="0"/>
    <x v="3"/>
    <x v="13"/>
    <s v="SE3_STO"/>
    <x v="1"/>
    <s v="GHOB_MUNIWASTE"/>
    <x v="0"/>
    <x v="1"/>
    <n v="120.96344365261299"/>
    <n v="44151.6569332039"/>
    <n v="158945.964959534"/>
  </r>
  <r>
    <x v="0"/>
    <x v="0"/>
    <x v="0"/>
    <x v="3"/>
    <x v="13"/>
    <s v="SE3_STO"/>
    <x v="1"/>
    <s v="GHOB_MUNIWASTE"/>
    <x v="0"/>
    <x v="2"/>
    <n v="120.96344365261299"/>
    <n v="44151.6569332039"/>
    <n v="158945.964959534"/>
  </r>
  <r>
    <x v="0"/>
    <x v="0"/>
    <x v="0"/>
    <x v="3"/>
    <x v="13"/>
    <s v="SE3_STO"/>
    <x v="1"/>
    <s v="GHOB_MUNIWASTE"/>
    <x v="0"/>
    <x v="3"/>
    <n v="120.96344365261299"/>
    <n v="44151.6569332039"/>
    <n v="158945.964959534"/>
  </r>
  <r>
    <x v="0"/>
    <x v="0"/>
    <x v="0"/>
    <x v="3"/>
    <x v="13"/>
    <s v="SE3_STO"/>
    <x v="1"/>
    <s v="GHOB_MUNIWASTE"/>
    <x v="0"/>
    <x v="4"/>
    <n v="120.96344365261299"/>
    <n v="44151.6569332039"/>
    <n v="158945.964959534"/>
  </r>
  <r>
    <x v="0"/>
    <x v="0"/>
    <x v="0"/>
    <x v="3"/>
    <x v="13"/>
    <s v="SE3_STO"/>
    <x v="1"/>
    <s v="GHOB_MUNIWASTE"/>
    <x v="0"/>
    <x v="5"/>
    <n v="120.96344365261299"/>
    <n v="44151.6569332039"/>
    <n v="158945.964959534"/>
  </r>
  <r>
    <x v="0"/>
    <x v="0"/>
    <x v="0"/>
    <x v="3"/>
    <x v="13"/>
    <s v="SE3_STO"/>
    <x v="1"/>
    <s v="GHOB_MUNIWASTE"/>
    <x v="0"/>
    <x v="6"/>
    <n v="120.96344365261299"/>
    <n v="44151.6569332039"/>
    <n v="158945.964959534"/>
  </r>
  <r>
    <x v="0"/>
    <x v="0"/>
    <x v="0"/>
    <x v="3"/>
    <x v="13"/>
    <s v="SE3_STO"/>
    <x v="1"/>
    <s v="GHOB_MUNIWASTE"/>
    <x v="0"/>
    <x v="7"/>
    <n v="120.96344365261299"/>
    <n v="44151.6569332039"/>
    <n v="158945.964959534"/>
  </r>
  <r>
    <x v="0"/>
    <x v="0"/>
    <x v="0"/>
    <x v="3"/>
    <x v="13"/>
    <s v="SE3_STO"/>
    <x v="1"/>
    <s v="GHOB_MUNIWASTE"/>
    <x v="0"/>
    <x v="8"/>
    <n v="120.96344365261299"/>
    <n v="44151.6569332039"/>
    <n v="158945.964959534"/>
  </r>
  <r>
    <x v="0"/>
    <x v="0"/>
    <x v="0"/>
    <x v="3"/>
    <x v="13"/>
    <s v="SE3_STO"/>
    <x v="1"/>
    <s v="GHOB_MUNIWASTE"/>
    <x v="0"/>
    <x v="9"/>
    <n v="120.96344365261299"/>
    <n v="44151.6569332039"/>
    <n v="158945.964959534"/>
  </r>
  <r>
    <x v="0"/>
    <x v="0"/>
    <x v="0"/>
    <x v="3"/>
    <x v="13"/>
    <s v="SE3_STO"/>
    <x v="1"/>
    <s v="GHOB_MUNIWASTE"/>
    <x v="0"/>
    <x v="10"/>
    <n v="120.96344365261299"/>
    <n v="44151.6569332039"/>
    <n v="158945.964959534"/>
  </r>
  <r>
    <x v="0"/>
    <x v="0"/>
    <x v="0"/>
    <x v="3"/>
    <x v="13"/>
    <s v="SE3_STO"/>
    <x v="1"/>
    <s v="GHOB_MUNIWASTE"/>
    <x v="0"/>
    <x v="11"/>
    <n v="120.96344365261299"/>
    <n v="44151.6569332039"/>
    <n v="158945.964959534"/>
  </r>
  <r>
    <x v="0"/>
    <x v="0"/>
    <x v="0"/>
    <x v="3"/>
    <x v="13"/>
    <s v="SE3_STO"/>
    <x v="1"/>
    <s v="GHOB_MUNIWASTE"/>
    <x v="0"/>
    <x v="12"/>
    <n v="120.96344365261299"/>
    <n v="44151.6569332039"/>
    <n v="158945.964959534"/>
  </r>
  <r>
    <x v="0"/>
    <x v="0"/>
    <x v="0"/>
    <x v="3"/>
    <x v="13"/>
    <s v="SE3_STO"/>
    <x v="1"/>
    <s v="GHOB_MUNIWASTE"/>
    <x v="0"/>
    <x v="13"/>
    <n v="120.96344365261299"/>
    <n v="44151.6569332039"/>
    <n v="158945.964959534"/>
  </r>
  <r>
    <x v="0"/>
    <x v="0"/>
    <x v="0"/>
    <x v="3"/>
    <x v="13"/>
    <s v="SE3_STO"/>
    <x v="1"/>
    <s v="GHOB_MUNIWASTE"/>
    <x v="0"/>
    <x v="14"/>
    <n v="120.96344365261299"/>
    <n v="44151.6569332039"/>
    <n v="158945.964959534"/>
  </r>
  <r>
    <x v="0"/>
    <x v="0"/>
    <x v="0"/>
    <x v="3"/>
    <x v="13"/>
    <s v="SE3_STO"/>
    <x v="1"/>
    <s v="GHOB_MUNIWASTE"/>
    <x v="0"/>
    <x v="15"/>
    <n v="120.96344365261299"/>
    <n v="44151.6569332039"/>
    <n v="158945.964959534"/>
  </r>
  <r>
    <x v="0"/>
    <x v="0"/>
    <x v="0"/>
    <x v="3"/>
    <x v="13"/>
    <s v="SE3_STO"/>
    <x v="1"/>
    <s v="GHOB_MUNIWASTE"/>
    <x v="0"/>
    <x v="16"/>
    <n v="120.96344365261299"/>
    <n v="44151.6569332039"/>
    <n v="158945.964959534"/>
  </r>
  <r>
    <x v="0"/>
    <x v="0"/>
    <x v="0"/>
    <x v="3"/>
    <x v="13"/>
    <s v="SE3_STO"/>
    <x v="1"/>
    <s v="GHOB_MUNIWASTE"/>
    <x v="0"/>
    <x v="17"/>
    <n v="120.96344365261299"/>
    <n v="44151.6569332039"/>
    <n v="158945.964959534"/>
  </r>
  <r>
    <x v="0"/>
    <x v="0"/>
    <x v="0"/>
    <x v="3"/>
    <x v="13"/>
    <s v="SE3_STO"/>
    <x v="1"/>
    <s v="GHOB_MUNIWASTE"/>
    <x v="0"/>
    <x v="18"/>
    <n v="120.96344365261299"/>
    <n v="44151.6569332039"/>
    <n v="158945.964959534"/>
  </r>
  <r>
    <x v="0"/>
    <x v="0"/>
    <x v="0"/>
    <x v="3"/>
    <x v="13"/>
    <s v="SE3_STO"/>
    <x v="1"/>
    <s v="GHOB_MUNIWASTE"/>
    <x v="0"/>
    <x v="19"/>
    <n v="120.96344365261299"/>
    <n v="44151.6569332039"/>
    <n v="158945.964959534"/>
  </r>
  <r>
    <x v="0"/>
    <x v="0"/>
    <x v="0"/>
    <x v="3"/>
    <x v="13"/>
    <s v="SE3_STO"/>
    <x v="1"/>
    <s v="GHOB_MUNIWASTE"/>
    <x v="0"/>
    <x v="20"/>
    <n v="120.96344365261299"/>
    <n v="44151.6569332039"/>
    <n v="158945.964959534"/>
  </r>
  <r>
    <x v="0"/>
    <x v="0"/>
    <x v="0"/>
    <x v="3"/>
    <x v="13"/>
    <s v="SE3_STO"/>
    <x v="1"/>
    <s v="GHOB_MUNIWASTE"/>
    <x v="0"/>
    <x v="21"/>
    <n v="120.96344365261299"/>
    <n v="44151.6569332039"/>
    <n v="158945.964959534"/>
  </r>
  <r>
    <x v="0"/>
    <x v="0"/>
    <x v="0"/>
    <x v="3"/>
    <x v="13"/>
    <s v="SE3_STO"/>
    <x v="1"/>
    <s v="GHOB_MUNIWASTE"/>
    <x v="0"/>
    <x v="22"/>
    <n v="120.96344365261299"/>
    <n v="44151.6569332039"/>
    <n v="158945.964959534"/>
  </r>
  <r>
    <x v="0"/>
    <x v="0"/>
    <x v="0"/>
    <x v="3"/>
    <x v="13"/>
    <s v="SE3_STO"/>
    <x v="1"/>
    <s v="GHOB_MUNIWASTE"/>
    <x v="0"/>
    <x v="23"/>
    <n v="120.96344365261299"/>
    <n v="44151.6569332039"/>
    <n v="158945.964959534"/>
  </r>
  <r>
    <x v="0"/>
    <x v="0"/>
    <x v="0"/>
    <x v="3"/>
    <x v="13"/>
    <s v="SE3_STO"/>
    <x v="9"/>
    <s v="GBPR_WOODWASTE"/>
    <x v="0"/>
    <x v="0"/>
    <n v="274.43771157131903"/>
    <n v="100169.764723531"/>
    <n v="360611.15300471301"/>
  </r>
  <r>
    <x v="0"/>
    <x v="0"/>
    <x v="0"/>
    <x v="3"/>
    <x v="13"/>
    <s v="SE3_STO"/>
    <x v="9"/>
    <s v="GBPR_WOODWASTE"/>
    <x v="0"/>
    <x v="1"/>
    <n v="274.43771157131903"/>
    <n v="100169.764723531"/>
    <n v="360611.15300471301"/>
  </r>
  <r>
    <x v="0"/>
    <x v="0"/>
    <x v="0"/>
    <x v="3"/>
    <x v="13"/>
    <s v="SE3_STO"/>
    <x v="9"/>
    <s v="GBPR_WOODWASTE"/>
    <x v="0"/>
    <x v="2"/>
    <n v="274.43771157131903"/>
    <n v="100169.764723531"/>
    <n v="360611.15300471301"/>
  </r>
  <r>
    <x v="0"/>
    <x v="0"/>
    <x v="0"/>
    <x v="3"/>
    <x v="13"/>
    <s v="SE3_STO"/>
    <x v="9"/>
    <s v="GBPR_WOODWASTE"/>
    <x v="0"/>
    <x v="3"/>
    <n v="274.43771157131903"/>
    <n v="100169.764723531"/>
    <n v="360611.15300471301"/>
  </r>
  <r>
    <x v="0"/>
    <x v="0"/>
    <x v="0"/>
    <x v="3"/>
    <x v="13"/>
    <s v="SE3_STO"/>
    <x v="9"/>
    <s v="GBPR_WOODWASTE"/>
    <x v="0"/>
    <x v="4"/>
    <n v="274.43771157131903"/>
    <n v="100169.764723531"/>
    <n v="360611.15300471301"/>
  </r>
  <r>
    <x v="0"/>
    <x v="0"/>
    <x v="0"/>
    <x v="3"/>
    <x v="13"/>
    <s v="SE3_STO"/>
    <x v="9"/>
    <s v="GBPR_WOODWASTE"/>
    <x v="0"/>
    <x v="5"/>
    <n v="274.43771157131903"/>
    <n v="100169.764723531"/>
    <n v="360611.15300471301"/>
  </r>
  <r>
    <x v="0"/>
    <x v="0"/>
    <x v="0"/>
    <x v="3"/>
    <x v="13"/>
    <s v="SE3_STO"/>
    <x v="9"/>
    <s v="GBPR_WOODWASTE"/>
    <x v="0"/>
    <x v="6"/>
    <n v="274.43771157131903"/>
    <n v="100169.764723531"/>
    <n v="360611.15300471301"/>
  </r>
  <r>
    <x v="0"/>
    <x v="0"/>
    <x v="0"/>
    <x v="3"/>
    <x v="13"/>
    <s v="SE3_STO"/>
    <x v="9"/>
    <s v="GBPR_WOODWASTE"/>
    <x v="0"/>
    <x v="7"/>
    <n v="274.43771157131903"/>
    <n v="100169.764723531"/>
    <n v="360611.15300471301"/>
  </r>
  <r>
    <x v="0"/>
    <x v="0"/>
    <x v="0"/>
    <x v="3"/>
    <x v="13"/>
    <s v="SE3_STO"/>
    <x v="9"/>
    <s v="GBPR_WOODWASTE"/>
    <x v="0"/>
    <x v="8"/>
    <n v="274.43771157131903"/>
    <n v="100169.764723531"/>
    <n v="360611.15300471301"/>
  </r>
  <r>
    <x v="0"/>
    <x v="0"/>
    <x v="0"/>
    <x v="3"/>
    <x v="13"/>
    <s v="SE3_STO"/>
    <x v="9"/>
    <s v="GBPR_WOODWASTE"/>
    <x v="0"/>
    <x v="9"/>
    <n v="274.43771157131903"/>
    <n v="100169.764723531"/>
    <n v="360611.15300471301"/>
  </r>
  <r>
    <x v="0"/>
    <x v="0"/>
    <x v="0"/>
    <x v="3"/>
    <x v="13"/>
    <s v="SE3_STO"/>
    <x v="9"/>
    <s v="GBPR_WOODWASTE"/>
    <x v="0"/>
    <x v="10"/>
    <n v="274.43771157131903"/>
    <n v="100169.764723531"/>
    <n v="360611.15300471301"/>
  </r>
  <r>
    <x v="0"/>
    <x v="0"/>
    <x v="0"/>
    <x v="3"/>
    <x v="13"/>
    <s v="SE3_STO"/>
    <x v="9"/>
    <s v="GBPR_WOODWASTE"/>
    <x v="0"/>
    <x v="11"/>
    <n v="274.43771157131903"/>
    <n v="100169.764723531"/>
    <n v="360611.15300471301"/>
  </r>
  <r>
    <x v="0"/>
    <x v="0"/>
    <x v="0"/>
    <x v="3"/>
    <x v="13"/>
    <s v="SE3_STO"/>
    <x v="9"/>
    <s v="GBPR_WOODWASTE"/>
    <x v="0"/>
    <x v="12"/>
    <n v="274.43771157131903"/>
    <n v="100169.764723531"/>
    <n v="360611.15300471301"/>
  </r>
  <r>
    <x v="0"/>
    <x v="0"/>
    <x v="0"/>
    <x v="3"/>
    <x v="13"/>
    <s v="SE3_STO"/>
    <x v="9"/>
    <s v="GBPR_WOODWASTE"/>
    <x v="0"/>
    <x v="13"/>
    <n v="274.43771157131903"/>
    <n v="100169.764723531"/>
    <n v="360611.15300471301"/>
  </r>
  <r>
    <x v="0"/>
    <x v="0"/>
    <x v="0"/>
    <x v="3"/>
    <x v="13"/>
    <s v="SE3_STO"/>
    <x v="9"/>
    <s v="GBPR_WOODWASTE"/>
    <x v="0"/>
    <x v="14"/>
    <n v="274.43771157131903"/>
    <n v="100169.764723531"/>
    <n v="360611.15300471301"/>
  </r>
  <r>
    <x v="0"/>
    <x v="0"/>
    <x v="0"/>
    <x v="3"/>
    <x v="13"/>
    <s v="SE3_STO"/>
    <x v="9"/>
    <s v="GBPR_WOODWASTE"/>
    <x v="0"/>
    <x v="15"/>
    <n v="274.43771157131903"/>
    <n v="100169.764723531"/>
    <n v="360611.15300471301"/>
  </r>
  <r>
    <x v="0"/>
    <x v="0"/>
    <x v="0"/>
    <x v="3"/>
    <x v="13"/>
    <s v="SE3_STO"/>
    <x v="9"/>
    <s v="GBPR_WOODWASTE"/>
    <x v="0"/>
    <x v="16"/>
    <n v="274.43771157131903"/>
    <n v="100169.764723531"/>
    <n v="360611.15300471301"/>
  </r>
  <r>
    <x v="0"/>
    <x v="0"/>
    <x v="0"/>
    <x v="3"/>
    <x v="13"/>
    <s v="SE3_STO"/>
    <x v="9"/>
    <s v="GBPR_WOODWASTE"/>
    <x v="0"/>
    <x v="17"/>
    <n v="274.43771157131903"/>
    <n v="100169.764723531"/>
    <n v="360611.15300471301"/>
  </r>
  <r>
    <x v="0"/>
    <x v="0"/>
    <x v="0"/>
    <x v="3"/>
    <x v="13"/>
    <s v="SE3_STO"/>
    <x v="9"/>
    <s v="GBPR_WOODWASTE"/>
    <x v="0"/>
    <x v="18"/>
    <n v="274.43771157131903"/>
    <n v="100169.764723531"/>
    <n v="360611.15300471301"/>
  </r>
  <r>
    <x v="0"/>
    <x v="0"/>
    <x v="0"/>
    <x v="3"/>
    <x v="13"/>
    <s v="SE3_STO"/>
    <x v="9"/>
    <s v="GBPR_WOODWASTE"/>
    <x v="0"/>
    <x v="19"/>
    <n v="274.43771157131903"/>
    <n v="100169.764723531"/>
    <n v="360611.15300471301"/>
  </r>
  <r>
    <x v="0"/>
    <x v="0"/>
    <x v="0"/>
    <x v="3"/>
    <x v="13"/>
    <s v="SE3_STO"/>
    <x v="9"/>
    <s v="GBPR_WOODWASTE"/>
    <x v="0"/>
    <x v="20"/>
    <n v="274.43771157131903"/>
    <n v="100169.764723531"/>
    <n v="360611.15300471301"/>
  </r>
  <r>
    <x v="0"/>
    <x v="0"/>
    <x v="0"/>
    <x v="3"/>
    <x v="13"/>
    <s v="SE3_STO"/>
    <x v="9"/>
    <s v="GBPR_WOODWASTE"/>
    <x v="0"/>
    <x v="21"/>
    <n v="274.43771157131903"/>
    <n v="100169.764723531"/>
    <n v="360611.15300471301"/>
  </r>
  <r>
    <x v="0"/>
    <x v="0"/>
    <x v="0"/>
    <x v="3"/>
    <x v="13"/>
    <s v="SE3_STO"/>
    <x v="9"/>
    <s v="GBPR_WOODWASTE"/>
    <x v="0"/>
    <x v="22"/>
    <n v="274.43771157131903"/>
    <n v="100169.764723531"/>
    <n v="360611.15300471301"/>
  </r>
  <r>
    <x v="0"/>
    <x v="0"/>
    <x v="0"/>
    <x v="3"/>
    <x v="13"/>
    <s v="SE3_STO"/>
    <x v="9"/>
    <s v="GBPR_WOODWASTE"/>
    <x v="0"/>
    <x v="23"/>
    <n v="274.43771157131903"/>
    <n v="100169.764723531"/>
    <n v="360611.15300471301"/>
  </r>
  <r>
    <x v="0"/>
    <x v="0"/>
    <x v="0"/>
    <x v="3"/>
    <x v="13"/>
    <s v="SE3_STO"/>
    <x v="9"/>
    <s v="GBPR_WOODWASTE_BRISTA"/>
    <x v="0"/>
    <x v="0"/>
    <n v="151.341232807165"/>
    <n v="55239.549974615198"/>
    <n v="198862.379908615"/>
  </r>
  <r>
    <x v="0"/>
    <x v="0"/>
    <x v="0"/>
    <x v="3"/>
    <x v="13"/>
    <s v="SE3_STO"/>
    <x v="9"/>
    <s v="GBPR_WOODWASTE_BRISTA"/>
    <x v="0"/>
    <x v="1"/>
    <n v="151.341232807165"/>
    <n v="55239.549974615198"/>
    <n v="198862.379908615"/>
  </r>
  <r>
    <x v="0"/>
    <x v="0"/>
    <x v="0"/>
    <x v="3"/>
    <x v="13"/>
    <s v="SE3_STO"/>
    <x v="9"/>
    <s v="GBPR_WOODWASTE_BRISTA"/>
    <x v="0"/>
    <x v="2"/>
    <n v="151.341232807165"/>
    <n v="55239.549974615198"/>
    <n v="198862.379908615"/>
  </r>
  <r>
    <x v="0"/>
    <x v="0"/>
    <x v="0"/>
    <x v="3"/>
    <x v="13"/>
    <s v="SE3_STO"/>
    <x v="9"/>
    <s v="GBPR_WOODWASTE_BRISTA"/>
    <x v="0"/>
    <x v="3"/>
    <n v="151.341232807165"/>
    <n v="55239.549974615198"/>
    <n v="198862.379908615"/>
  </r>
  <r>
    <x v="0"/>
    <x v="0"/>
    <x v="0"/>
    <x v="3"/>
    <x v="13"/>
    <s v="SE3_STO"/>
    <x v="9"/>
    <s v="GBPR_WOODWASTE_BRISTA"/>
    <x v="0"/>
    <x v="4"/>
    <n v="151.341232807165"/>
    <n v="55239.549974615198"/>
    <n v="198862.379908615"/>
  </r>
  <r>
    <x v="0"/>
    <x v="0"/>
    <x v="0"/>
    <x v="3"/>
    <x v="13"/>
    <s v="SE3_STO"/>
    <x v="9"/>
    <s v="GBPR_WOODWASTE_BRISTA"/>
    <x v="0"/>
    <x v="5"/>
    <n v="151.341232807165"/>
    <n v="55239.549974615198"/>
    <n v="198862.379908615"/>
  </r>
  <r>
    <x v="0"/>
    <x v="0"/>
    <x v="0"/>
    <x v="3"/>
    <x v="13"/>
    <s v="SE3_STO"/>
    <x v="9"/>
    <s v="GBPR_WOODWASTE_BRISTA"/>
    <x v="0"/>
    <x v="6"/>
    <n v="151.341232807165"/>
    <n v="55239.549974615198"/>
    <n v="198862.379908615"/>
  </r>
  <r>
    <x v="0"/>
    <x v="0"/>
    <x v="0"/>
    <x v="3"/>
    <x v="13"/>
    <s v="SE3_STO"/>
    <x v="9"/>
    <s v="GBPR_WOODWASTE_BRISTA"/>
    <x v="0"/>
    <x v="7"/>
    <n v="151.341232807165"/>
    <n v="55239.549974615198"/>
    <n v="198862.379908615"/>
  </r>
  <r>
    <x v="0"/>
    <x v="0"/>
    <x v="0"/>
    <x v="3"/>
    <x v="13"/>
    <s v="SE3_STO"/>
    <x v="9"/>
    <s v="GBPR_WOODWASTE_BRISTA"/>
    <x v="0"/>
    <x v="8"/>
    <n v="151.341232807165"/>
    <n v="55239.549974615198"/>
    <n v="198862.379908615"/>
  </r>
  <r>
    <x v="0"/>
    <x v="0"/>
    <x v="0"/>
    <x v="3"/>
    <x v="13"/>
    <s v="SE3_STO"/>
    <x v="9"/>
    <s v="GBPR_WOODWASTE_BRISTA"/>
    <x v="0"/>
    <x v="9"/>
    <n v="151.341232807165"/>
    <n v="55239.549974615198"/>
    <n v="198862.379908615"/>
  </r>
  <r>
    <x v="0"/>
    <x v="0"/>
    <x v="0"/>
    <x v="3"/>
    <x v="13"/>
    <s v="SE3_STO"/>
    <x v="9"/>
    <s v="GBPR_WOODWASTE_BRISTA"/>
    <x v="0"/>
    <x v="10"/>
    <n v="151.341232807165"/>
    <n v="55239.549974615198"/>
    <n v="198862.379908615"/>
  </r>
  <r>
    <x v="0"/>
    <x v="0"/>
    <x v="0"/>
    <x v="3"/>
    <x v="13"/>
    <s v="SE3_STO"/>
    <x v="9"/>
    <s v="GBPR_WOODWASTE_BRISTA"/>
    <x v="0"/>
    <x v="11"/>
    <n v="151.341232807165"/>
    <n v="55239.549974615198"/>
    <n v="198862.379908615"/>
  </r>
  <r>
    <x v="0"/>
    <x v="0"/>
    <x v="0"/>
    <x v="3"/>
    <x v="13"/>
    <s v="SE3_STO"/>
    <x v="9"/>
    <s v="GBPR_WOODWASTE_BRISTA"/>
    <x v="0"/>
    <x v="12"/>
    <n v="151.341232807165"/>
    <n v="55239.549974615198"/>
    <n v="198862.379908615"/>
  </r>
  <r>
    <x v="0"/>
    <x v="0"/>
    <x v="0"/>
    <x v="3"/>
    <x v="13"/>
    <s v="SE3_STO"/>
    <x v="9"/>
    <s v="GBPR_WOODWASTE_BRISTA"/>
    <x v="0"/>
    <x v="13"/>
    <n v="151.341232807165"/>
    <n v="55239.549974615198"/>
    <n v="198862.379908615"/>
  </r>
  <r>
    <x v="0"/>
    <x v="0"/>
    <x v="0"/>
    <x v="3"/>
    <x v="13"/>
    <s v="SE3_STO"/>
    <x v="9"/>
    <s v="GBPR_WOODWASTE_BRISTA"/>
    <x v="0"/>
    <x v="14"/>
    <n v="151.341232807165"/>
    <n v="55239.549974615198"/>
    <n v="198862.379908615"/>
  </r>
  <r>
    <x v="0"/>
    <x v="0"/>
    <x v="0"/>
    <x v="3"/>
    <x v="13"/>
    <s v="SE3_STO"/>
    <x v="9"/>
    <s v="GBPR_WOODWASTE_BRISTA"/>
    <x v="0"/>
    <x v="15"/>
    <n v="151.341232807165"/>
    <n v="55239.549974615198"/>
    <n v="198862.379908615"/>
  </r>
  <r>
    <x v="0"/>
    <x v="0"/>
    <x v="0"/>
    <x v="3"/>
    <x v="13"/>
    <s v="SE3_STO"/>
    <x v="9"/>
    <s v="GBPR_WOODWASTE_BRISTA"/>
    <x v="0"/>
    <x v="16"/>
    <n v="151.341232807165"/>
    <n v="55239.549974615198"/>
    <n v="198862.379908615"/>
  </r>
  <r>
    <x v="0"/>
    <x v="0"/>
    <x v="0"/>
    <x v="3"/>
    <x v="13"/>
    <s v="SE3_STO"/>
    <x v="9"/>
    <s v="GBPR_WOODWASTE_BRISTA"/>
    <x v="0"/>
    <x v="17"/>
    <n v="151.341232807165"/>
    <n v="55239.549974615198"/>
    <n v="198862.379908615"/>
  </r>
  <r>
    <x v="0"/>
    <x v="0"/>
    <x v="0"/>
    <x v="3"/>
    <x v="13"/>
    <s v="SE3_STO"/>
    <x v="9"/>
    <s v="GBPR_WOODWASTE_BRISTA"/>
    <x v="0"/>
    <x v="18"/>
    <n v="151.341232807165"/>
    <n v="55239.549974615198"/>
    <n v="198862.379908615"/>
  </r>
  <r>
    <x v="0"/>
    <x v="0"/>
    <x v="0"/>
    <x v="3"/>
    <x v="13"/>
    <s v="SE3_STO"/>
    <x v="9"/>
    <s v="GBPR_WOODWASTE_BRISTA"/>
    <x v="0"/>
    <x v="19"/>
    <n v="151.341232807165"/>
    <n v="55239.549974615198"/>
    <n v="198862.379908615"/>
  </r>
  <r>
    <x v="0"/>
    <x v="0"/>
    <x v="0"/>
    <x v="3"/>
    <x v="13"/>
    <s v="SE3_STO"/>
    <x v="9"/>
    <s v="GBPR_WOODWASTE_BRISTA"/>
    <x v="0"/>
    <x v="20"/>
    <n v="151.341232807165"/>
    <n v="55239.549974615198"/>
    <n v="198862.379908615"/>
  </r>
  <r>
    <x v="0"/>
    <x v="0"/>
    <x v="0"/>
    <x v="3"/>
    <x v="13"/>
    <s v="SE3_STO"/>
    <x v="9"/>
    <s v="GBPR_WOODWASTE_BRISTA"/>
    <x v="0"/>
    <x v="21"/>
    <n v="151.341232807165"/>
    <n v="55239.549974615198"/>
    <n v="198862.379908615"/>
  </r>
  <r>
    <x v="0"/>
    <x v="0"/>
    <x v="0"/>
    <x v="3"/>
    <x v="13"/>
    <s v="SE3_STO"/>
    <x v="9"/>
    <s v="GBPR_WOODWASTE_BRISTA"/>
    <x v="0"/>
    <x v="22"/>
    <n v="151.341232807165"/>
    <n v="55239.549974615198"/>
    <n v="198862.379908615"/>
  </r>
  <r>
    <x v="0"/>
    <x v="0"/>
    <x v="0"/>
    <x v="3"/>
    <x v="13"/>
    <s v="SE3_STO"/>
    <x v="9"/>
    <s v="GBPR_WOODWASTE_BRISTA"/>
    <x v="0"/>
    <x v="23"/>
    <n v="151.341232807165"/>
    <n v="55239.549974615198"/>
    <n v="198862.379908615"/>
  </r>
  <r>
    <x v="0"/>
    <x v="0"/>
    <x v="0"/>
    <x v="3"/>
    <x v="14"/>
    <s v="SE4A"/>
    <x v="7"/>
    <s v="GHYRR_WATER"/>
    <x v="0"/>
    <x v="0"/>
    <n v="81.152521371252504"/>
    <n v="29620.670300507201"/>
    <n v="106634.413081826"/>
  </r>
  <r>
    <x v="0"/>
    <x v="0"/>
    <x v="0"/>
    <x v="3"/>
    <x v="14"/>
    <s v="SE4A"/>
    <x v="7"/>
    <s v="GHYRR_WATER"/>
    <x v="0"/>
    <x v="1"/>
    <n v="81.152521371252504"/>
    <n v="29620.670300507201"/>
    <n v="106634.413081826"/>
  </r>
  <r>
    <x v="0"/>
    <x v="0"/>
    <x v="0"/>
    <x v="3"/>
    <x v="14"/>
    <s v="SE4A"/>
    <x v="7"/>
    <s v="GHYRR_WATER"/>
    <x v="0"/>
    <x v="2"/>
    <n v="81.152521371252504"/>
    <n v="29620.670300507201"/>
    <n v="106634.413081826"/>
  </r>
  <r>
    <x v="0"/>
    <x v="0"/>
    <x v="0"/>
    <x v="3"/>
    <x v="14"/>
    <s v="SE4A"/>
    <x v="7"/>
    <s v="GHYRR_WATER"/>
    <x v="0"/>
    <x v="3"/>
    <n v="81.152521371252504"/>
    <n v="29620.670300507201"/>
    <n v="106634.413081826"/>
  </r>
  <r>
    <x v="0"/>
    <x v="0"/>
    <x v="0"/>
    <x v="3"/>
    <x v="14"/>
    <s v="SE4A"/>
    <x v="7"/>
    <s v="GHYRR_WATER"/>
    <x v="0"/>
    <x v="4"/>
    <n v="81.152521371252504"/>
    <n v="29620.670300507201"/>
    <n v="106634.413081826"/>
  </r>
  <r>
    <x v="0"/>
    <x v="0"/>
    <x v="0"/>
    <x v="3"/>
    <x v="14"/>
    <s v="SE4A"/>
    <x v="7"/>
    <s v="GHYRR_WATER"/>
    <x v="0"/>
    <x v="5"/>
    <n v="81.152521371252504"/>
    <n v="29620.670300507201"/>
    <n v="106634.413081826"/>
  </r>
  <r>
    <x v="0"/>
    <x v="0"/>
    <x v="0"/>
    <x v="3"/>
    <x v="14"/>
    <s v="SE4A"/>
    <x v="7"/>
    <s v="GHYRR_WATER"/>
    <x v="0"/>
    <x v="6"/>
    <n v="81.152521371252504"/>
    <n v="29620.670300507201"/>
    <n v="106634.413081826"/>
  </r>
  <r>
    <x v="0"/>
    <x v="0"/>
    <x v="0"/>
    <x v="3"/>
    <x v="14"/>
    <s v="SE4A"/>
    <x v="7"/>
    <s v="GHYRR_WATER"/>
    <x v="0"/>
    <x v="7"/>
    <n v="81.152521371252504"/>
    <n v="29620.670300507201"/>
    <n v="106634.413081826"/>
  </r>
  <r>
    <x v="0"/>
    <x v="0"/>
    <x v="0"/>
    <x v="3"/>
    <x v="14"/>
    <s v="SE4A"/>
    <x v="7"/>
    <s v="GHYRR_WATER"/>
    <x v="0"/>
    <x v="8"/>
    <n v="81.152521371252504"/>
    <n v="29620.670300507201"/>
    <n v="106634.413081826"/>
  </r>
  <r>
    <x v="0"/>
    <x v="0"/>
    <x v="0"/>
    <x v="3"/>
    <x v="14"/>
    <s v="SE4A"/>
    <x v="7"/>
    <s v="GHYRR_WATER"/>
    <x v="0"/>
    <x v="9"/>
    <n v="81.152521371252504"/>
    <n v="29620.670300507201"/>
    <n v="106634.413081826"/>
  </r>
  <r>
    <x v="0"/>
    <x v="0"/>
    <x v="0"/>
    <x v="3"/>
    <x v="14"/>
    <s v="SE4A"/>
    <x v="7"/>
    <s v="GHYRR_WATER"/>
    <x v="0"/>
    <x v="10"/>
    <n v="81.152521371252504"/>
    <n v="29620.670300507201"/>
    <n v="106634.413081826"/>
  </r>
  <r>
    <x v="0"/>
    <x v="0"/>
    <x v="0"/>
    <x v="3"/>
    <x v="14"/>
    <s v="SE4A"/>
    <x v="7"/>
    <s v="GHYRR_WATER"/>
    <x v="0"/>
    <x v="11"/>
    <n v="81.152521371252504"/>
    <n v="29620.670300507201"/>
    <n v="106634.413081826"/>
  </r>
  <r>
    <x v="0"/>
    <x v="0"/>
    <x v="0"/>
    <x v="3"/>
    <x v="14"/>
    <s v="SE4A"/>
    <x v="7"/>
    <s v="GHYRR_WATER"/>
    <x v="0"/>
    <x v="12"/>
    <n v="81.152521371252504"/>
    <n v="29620.670300507201"/>
    <n v="106634.413081826"/>
  </r>
  <r>
    <x v="0"/>
    <x v="0"/>
    <x v="0"/>
    <x v="3"/>
    <x v="14"/>
    <s v="SE4A"/>
    <x v="7"/>
    <s v="GHYRR_WATER"/>
    <x v="0"/>
    <x v="13"/>
    <n v="81.152521371252504"/>
    <n v="29620.670300507201"/>
    <n v="106634.413081826"/>
  </r>
  <r>
    <x v="0"/>
    <x v="0"/>
    <x v="0"/>
    <x v="3"/>
    <x v="14"/>
    <s v="SE4A"/>
    <x v="7"/>
    <s v="GHYRR_WATER"/>
    <x v="0"/>
    <x v="14"/>
    <n v="81.152521371252504"/>
    <n v="29620.670300507201"/>
    <n v="106634.413081826"/>
  </r>
  <r>
    <x v="0"/>
    <x v="0"/>
    <x v="0"/>
    <x v="3"/>
    <x v="14"/>
    <s v="SE4A"/>
    <x v="7"/>
    <s v="GHYRR_WATER"/>
    <x v="0"/>
    <x v="15"/>
    <n v="81.152521371252504"/>
    <n v="29620.670300507201"/>
    <n v="106634.413081826"/>
  </r>
  <r>
    <x v="0"/>
    <x v="0"/>
    <x v="0"/>
    <x v="3"/>
    <x v="14"/>
    <s v="SE4A"/>
    <x v="7"/>
    <s v="GHYRR_WATER"/>
    <x v="0"/>
    <x v="16"/>
    <n v="81.152521371252504"/>
    <n v="29620.670300507201"/>
    <n v="106634.413081826"/>
  </r>
  <r>
    <x v="0"/>
    <x v="0"/>
    <x v="0"/>
    <x v="3"/>
    <x v="14"/>
    <s v="SE4A"/>
    <x v="7"/>
    <s v="GHYRR_WATER"/>
    <x v="0"/>
    <x v="17"/>
    <n v="81.152521371252504"/>
    <n v="29620.670300507201"/>
    <n v="106634.413081826"/>
  </r>
  <r>
    <x v="0"/>
    <x v="0"/>
    <x v="0"/>
    <x v="3"/>
    <x v="14"/>
    <s v="SE4A"/>
    <x v="7"/>
    <s v="GHYRR_WATER"/>
    <x v="0"/>
    <x v="18"/>
    <n v="81.152521371252504"/>
    <n v="29620.670300507201"/>
    <n v="106634.413081826"/>
  </r>
  <r>
    <x v="0"/>
    <x v="0"/>
    <x v="0"/>
    <x v="3"/>
    <x v="14"/>
    <s v="SE4A"/>
    <x v="7"/>
    <s v="GHYRR_WATER"/>
    <x v="0"/>
    <x v="19"/>
    <n v="81.152521371252504"/>
    <n v="29620.670300507201"/>
    <n v="106634.413081826"/>
  </r>
  <r>
    <x v="0"/>
    <x v="0"/>
    <x v="0"/>
    <x v="3"/>
    <x v="14"/>
    <s v="SE4A"/>
    <x v="7"/>
    <s v="GHYRR_WATER"/>
    <x v="0"/>
    <x v="20"/>
    <n v="81.152521371252504"/>
    <n v="29620.670300507201"/>
    <n v="106634.413081826"/>
  </r>
  <r>
    <x v="0"/>
    <x v="0"/>
    <x v="0"/>
    <x v="3"/>
    <x v="14"/>
    <s v="SE4A"/>
    <x v="7"/>
    <s v="GHYRR_WATER"/>
    <x v="0"/>
    <x v="21"/>
    <n v="81.152521371252504"/>
    <n v="29620.670300507201"/>
    <n v="106634.413081826"/>
  </r>
  <r>
    <x v="0"/>
    <x v="0"/>
    <x v="0"/>
    <x v="3"/>
    <x v="14"/>
    <s v="SE4A"/>
    <x v="7"/>
    <s v="GHYRR_WATER"/>
    <x v="0"/>
    <x v="22"/>
    <n v="81.152521371252504"/>
    <n v="29620.670300507201"/>
    <n v="106634.413081826"/>
  </r>
  <r>
    <x v="0"/>
    <x v="0"/>
    <x v="0"/>
    <x v="3"/>
    <x v="14"/>
    <s v="SE4A"/>
    <x v="7"/>
    <s v="GHYRR_WATER"/>
    <x v="0"/>
    <x v="23"/>
    <n v="81.152521371252504"/>
    <n v="29620.670300507201"/>
    <n v="106634.413081826"/>
  </r>
  <r>
    <x v="0"/>
    <x v="0"/>
    <x v="0"/>
    <x v="3"/>
    <x v="14"/>
    <s v="SE4A"/>
    <x v="7"/>
    <s v="GHYRS_WATER"/>
    <x v="0"/>
    <x v="0"/>
    <n v="115.66547102679699"/>
    <n v="42217.8969247809"/>
    <n v="151984.42892921099"/>
  </r>
  <r>
    <x v="0"/>
    <x v="0"/>
    <x v="0"/>
    <x v="3"/>
    <x v="14"/>
    <s v="SE4A"/>
    <x v="7"/>
    <s v="GHYRS_WATER"/>
    <x v="0"/>
    <x v="2"/>
    <n v="341"/>
    <n v="124465"/>
    <n v="448074"/>
  </r>
  <r>
    <x v="0"/>
    <x v="0"/>
    <x v="0"/>
    <x v="3"/>
    <x v="14"/>
    <s v="SE4A"/>
    <x v="7"/>
    <s v="GHYRS_WATER"/>
    <x v="0"/>
    <x v="6"/>
    <n v="341"/>
    <n v="124465"/>
    <n v="448074"/>
  </r>
  <r>
    <x v="0"/>
    <x v="0"/>
    <x v="0"/>
    <x v="3"/>
    <x v="14"/>
    <s v="SE4A"/>
    <x v="7"/>
    <s v="GHYRS_WATER"/>
    <x v="0"/>
    <x v="7"/>
    <n v="341"/>
    <n v="124465"/>
    <n v="448074"/>
  </r>
  <r>
    <x v="0"/>
    <x v="0"/>
    <x v="0"/>
    <x v="3"/>
    <x v="14"/>
    <s v="SE4A"/>
    <x v="7"/>
    <s v="GHYRS_WATER"/>
    <x v="0"/>
    <x v="8"/>
    <n v="341"/>
    <n v="124465"/>
    <n v="448074"/>
  </r>
  <r>
    <x v="0"/>
    <x v="0"/>
    <x v="0"/>
    <x v="3"/>
    <x v="14"/>
    <s v="SE4A"/>
    <x v="7"/>
    <s v="GHYRS_WATER"/>
    <x v="0"/>
    <x v="9"/>
    <n v="341"/>
    <n v="124465"/>
    <n v="448074"/>
  </r>
  <r>
    <x v="0"/>
    <x v="0"/>
    <x v="0"/>
    <x v="3"/>
    <x v="14"/>
    <s v="SE4A"/>
    <x v="7"/>
    <s v="GHYRS_WATER"/>
    <x v="0"/>
    <x v="10"/>
    <n v="341"/>
    <n v="124465"/>
    <n v="448074"/>
  </r>
  <r>
    <x v="0"/>
    <x v="0"/>
    <x v="0"/>
    <x v="3"/>
    <x v="14"/>
    <s v="SE4A"/>
    <x v="7"/>
    <s v="GHYRS_WATER"/>
    <x v="0"/>
    <x v="12"/>
    <n v="98.386960644151799"/>
    <n v="35911.240635115399"/>
    <n v="129280.466286415"/>
  </r>
  <r>
    <x v="0"/>
    <x v="0"/>
    <x v="0"/>
    <x v="3"/>
    <x v="14"/>
    <s v="SE4A"/>
    <x v="7"/>
    <s v="GHYRS_WATER"/>
    <x v="0"/>
    <x v="13"/>
    <n v="341"/>
    <n v="124465"/>
    <n v="448074"/>
  </r>
  <r>
    <x v="0"/>
    <x v="0"/>
    <x v="0"/>
    <x v="3"/>
    <x v="14"/>
    <s v="SE4A"/>
    <x v="7"/>
    <s v="GHYRS_WATER"/>
    <x v="0"/>
    <x v="15"/>
    <n v="341"/>
    <n v="124465"/>
    <n v="448074"/>
  </r>
  <r>
    <x v="0"/>
    <x v="0"/>
    <x v="0"/>
    <x v="3"/>
    <x v="14"/>
    <s v="SE4A"/>
    <x v="7"/>
    <s v="GHYRS_WATER"/>
    <x v="0"/>
    <x v="17"/>
    <n v="341"/>
    <n v="124465"/>
    <n v="448074"/>
  </r>
  <r>
    <x v="0"/>
    <x v="0"/>
    <x v="0"/>
    <x v="3"/>
    <x v="14"/>
    <s v="SE4A"/>
    <x v="7"/>
    <s v="GHYRS_WATER"/>
    <x v="0"/>
    <x v="18"/>
    <n v="239.20511497257399"/>
    <n v="87309.8669649894"/>
    <n v="314315.52107396198"/>
  </r>
  <r>
    <x v="0"/>
    <x v="0"/>
    <x v="0"/>
    <x v="3"/>
    <x v="14"/>
    <s v="SE4A"/>
    <x v="7"/>
    <s v="GHYRS_WATER"/>
    <x v="0"/>
    <x v="20"/>
    <n v="341"/>
    <n v="124465"/>
    <n v="448074"/>
  </r>
  <r>
    <x v="0"/>
    <x v="0"/>
    <x v="0"/>
    <x v="3"/>
    <x v="14"/>
    <s v="SE4A"/>
    <x v="7"/>
    <s v="GHYRS_WATER"/>
    <x v="0"/>
    <x v="22"/>
    <n v="341"/>
    <n v="124465"/>
    <n v="448074"/>
  </r>
  <r>
    <x v="0"/>
    <x v="0"/>
    <x v="0"/>
    <x v="3"/>
    <x v="14"/>
    <s v="SE4A"/>
    <x v="7"/>
    <s v="GHYRS_WATER"/>
    <x v="0"/>
    <x v="23"/>
    <n v="341"/>
    <n v="124465"/>
    <n v="448074"/>
  </r>
  <r>
    <x v="0"/>
    <x v="0"/>
    <x v="0"/>
    <x v="3"/>
    <x v="14"/>
    <s v="SE4A"/>
    <x v="8"/>
    <s v="GNR_WT_WIND_ONS"/>
    <x v="0"/>
    <x v="0"/>
    <n v="131.46211063822599"/>
    <n v="47983.670382952303"/>
    <n v="172741.21337862799"/>
  </r>
  <r>
    <x v="0"/>
    <x v="0"/>
    <x v="0"/>
    <x v="3"/>
    <x v="14"/>
    <s v="SE4A"/>
    <x v="8"/>
    <s v="GNR_WT_WIND_ONS"/>
    <x v="0"/>
    <x v="1"/>
    <n v="187.401370079858"/>
    <n v="68401.500079148303"/>
    <n v="246245.400284934"/>
  </r>
  <r>
    <x v="0"/>
    <x v="0"/>
    <x v="0"/>
    <x v="3"/>
    <x v="14"/>
    <s v="SE4A"/>
    <x v="8"/>
    <s v="GNR_WT_WIND_ONS"/>
    <x v="0"/>
    <x v="2"/>
    <n v="261.14778906471702"/>
    <n v="95318.9430086215"/>
    <n v="343148.19483103702"/>
  </r>
  <r>
    <x v="0"/>
    <x v="0"/>
    <x v="0"/>
    <x v="3"/>
    <x v="14"/>
    <s v="SE4A"/>
    <x v="8"/>
    <s v="GNR_WT_WIND_ONS"/>
    <x v="0"/>
    <x v="3"/>
    <n v="288.41056574144699"/>
    <n v="105269.856495628"/>
    <n v="378971.48338426201"/>
  </r>
  <r>
    <x v="0"/>
    <x v="0"/>
    <x v="0"/>
    <x v="3"/>
    <x v="14"/>
    <s v="SE4A"/>
    <x v="8"/>
    <s v="GNR_WT_WIND_ONS"/>
    <x v="0"/>
    <x v="4"/>
    <n v="319.08456690406501"/>
    <n v="116465.86691998399"/>
    <n v="419277.12091194099"/>
  </r>
  <r>
    <x v="0"/>
    <x v="0"/>
    <x v="0"/>
    <x v="3"/>
    <x v="14"/>
    <s v="SE4A"/>
    <x v="8"/>
    <s v="GNR_WT_WIND_ONS"/>
    <x v="0"/>
    <x v="5"/>
    <n v="350.31327221502102"/>
    <n v="127864.34435848299"/>
    <n v="460311.639690538"/>
  </r>
  <r>
    <x v="0"/>
    <x v="0"/>
    <x v="0"/>
    <x v="3"/>
    <x v="14"/>
    <s v="SE4A"/>
    <x v="8"/>
    <s v="GNR_WT_WIND_ONS"/>
    <x v="0"/>
    <x v="6"/>
    <n v="389.15737048987103"/>
    <n v="142042.440228803"/>
    <n v="511352.78482369101"/>
  </r>
  <r>
    <x v="0"/>
    <x v="0"/>
    <x v="0"/>
    <x v="3"/>
    <x v="14"/>
    <s v="SE4A"/>
    <x v="8"/>
    <s v="GNR_WT_WIND_ONS"/>
    <x v="0"/>
    <x v="7"/>
    <n v="399.39245042398102"/>
    <n v="145778.244404753"/>
    <n v="524801.67985711095"/>
  </r>
  <r>
    <x v="0"/>
    <x v="0"/>
    <x v="0"/>
    <x v="3"/>
    <x v="14"/>
    <s v="SE4A"/>
    <x v="8"/>
    <s v="GNR_WT_WIND_ONS"/>
    <x v="0"/>
    <x v="8"/>
    <n v="404.995133514538"/>
    <n v="147823.22373280599"/>
    <n v="532163.60543810297"/>
  </r>
  <r>
    <x v="0"/>
    <x v="0"/>
    <x v="0"/>
    <x v="3"/>
    <x v="14"/>
    <s v="SE4A"/>
    <x v="8"/>
    <s v="GNR_WT_WIND_ONS"/>
    <x v="0"/>
    <x v="9"/>
    <n v="389.98807624363599"/>
    <n v="142345.647828927"/>
    <n v="512444.33218413801"/>
  </r>
  <r>
    <x v="0"/>
    <x v="0"/>
    <x v="0"/>
    <x v="3"/>
    <x v="14"/>
    <s v="SE4A"/>
    <x v="8"/>
    <s v="GNR_WT_WIND_ONS"/>
    <x v="0"/>
    <x v="10"/>
    <n v="393.11327347145698"/>
    <n v="143486.34481708199"/>
    <n v="516550.841341494"/>
  </r>
  <r>
    <x v="0"/>
    <x v="0"/>
    <x v="0"/>
    <x v="3"/>
    <x v="14"/>
    <s v="SE4A"/>
    <x v="8"/>
    <s v="GNR_WT_WIND_ONS"/>
    <x v="0"/>
    <x v="11"/>
    <n v="396.41744182218599"/>
    <n v="144692.36626509801"/>
    <n v="520892.51855435298"/>
  </r>
  <r>
    <x v="0"/>
    <x v="0"/>
    <x v="0"/>
    <x v="3"/>
    <x v="14"/>
    <s v="SE4A"/>
    <x v="8"/>
    <s v="GNR_WT_WIND_ONS"/>
    <x v="0"/>
    <x v="12"/>
    <n v="393.42246497044198"/>
    <n v="143599.19971421099"/>
    <n v="516957.11897115997"/>
  </r>
  <r>
    <x v="0"/>
    <x v="0"/>
    <x v="0"/>
    <x v="3"/>
    <x v="14"/>
    <s v="SE4A"/>
    <x v="8"/>
    <s v="GNR_WT_WIND_ONS"/>
    <x v="0"/>
    <x v="13"/>
    <n v="400.029038385381"/>
    <n v="146010.59901066401"/>
    <n v="525638.15643839003"/>
  </r>
  <r>
    <x v="0"/>
    <x v="0"/>
    <x v="0"/>
    <x v="3"/>
    <x v="14"/>
    <s v="SE4A"/>
    <x v="8"/>
    <s v="GNR_WT_WIND_ONS"/>
    <x v="0"/>
    <x v="14"/>
    <n v="397.68598686390197"/>
    <n v="145155.38520532401"/>
    <n v="522559.38673916698"/>
  </r>
  <r>
    <x v="0"/>
    <x v="0"/>
    <x v="0"/>
    <x v="3"/>
    <x v="14"/>
    <s v="SE4A"/>
    <x v="8"/>
    <s v="GNR_WT_WIND_ONS"/>
    <x v="0"/>
    <x v="15"/>
    <n v="404.96840390499801"/>
    <n v="147813.46742532399"/>
    <n v="532128.48273116699"/>
  </r>
  <r>
    <x v="0"/>
    <x v="0"/>
    <x v="0"/>
    <x v="3"/>
    <x v="14"/>
    <s v="SE4A"/>
    <x v="8"/>
    <s v="GNR_WT_WIND_ONS"/>
    <x v="0"/>
    <x v="16"/>
    <n v="403.35287992107101"/>
    <n v="147223.80117119101"/>
    <n v="530005.68421628699"/>
  </r>
  <r>
    <x v="0"/>
    <x v="0"/>
    <x v="0"/>
    <x v="3"/>
    <x v="14"/>
    <s v="SE4A"/>
    <x v="8"/>
    <s v="GNR_WT_WIND_ONS"/>
    <x v="0"/>
    <x v="17"/>
    <n v="386.73218161800702"/>
    <n v="141157.24629057301"/>
    <n v="508166.08664606197"/>
  </r>
  <r>
    <x v="0"/>
    <x v="0"/>
    <x v="0"/>
    <x v="3"/>
    <x v="14"/>
    <s v="SE4A"/>
    <x v="8"/>
    <s v="GNR_WT_WIND_ONS"/>
    <x v="0"/>
    <x v="18"/>
    <n v="361.60591752716903"/>
    <n v="131986.159897417"/>
    <n v="475150.17563070002"/>
  </r>
  <r>
    <x v="0"/>
    <x v="0"/>
    <x v="0"/>
    <x v="3"/>
    <x v="14"/>
    <s v="SE4A"/>
    <x v="8"/>
    <s v="GNR_WT_WIND_ONS"/>
    <x v="0"/>
    <x v="19"/>
    <n v="319.93408141165497"/>
    <n v="116775.939715254"/>
    <n v="420393.38297491398"/>
  </r>
  <r>
    <x v="0"/>
    <x v="0"/>
    <x v="0"/>
    <x v="3"/>
    <x v="14"/>
    <s v="SE4A"/>
    <x v="8"/>
    <s v="GNR_WT_WIND_ONS"/>
    <x v="0"/>
    <x v="20"/>
    <n v="283.77545593924202"/>
    <n v="103578.041417823"/>
    <n v="372880.94910416403"/>
  </r>
  <r>
    <x v="0"/>
    <x v="0"/>
    <x v="0"/>
    <x v="3"/>
    <x v="14"/>
    <s v="SE4A"/>
    <x v="8"/>
    <s v="GNR_WT_WIND_ONS"/>
    <x v="0"/>
    <x v="21"/>
    <n v="238.418688682332"/>
    <n v="87022.821369051206"/>
    <n v="313282.15692858398"/>
  </r>
  <r>
    <x v="0"/>
    <x v="0"/>
    <x v="0"/>
    <x v="3"/>
    <x v="14"/>
    <s v="SE4A"/>
    <x v="8"/>
    <s v="GNR_WT_WIND_ONS"/>
    <x v="0"/>
    <x v="22"/>
    <n v="218.86386084609001"/>
    <n v="79885.309208822699"/>
    <n v="287587.11315176199"/>
  </r>
  <r>
    <x v="0"/>
    <x v="0"/>
    <x v="0"/>
    <x v="3"/>
    <x v="14"/>
    <s v="SE4A"/>
    <x v="8"/>
    <s v="GNR_WT_WIND_ONS"/>
    <x v="0"/>
    <x v="23"/>
    <n v="202.922139868654"/>
    <n v="74066.581052058697"/>
    <n v="266639.69178741099"/>
  </r>
  <r>
    <x v="0"/>
    <x v="0"/>
    <x v="0"/>
    <x v="3"/>
    <x v="14"/>
    <s v="SE4_EL"/>
    <x v="15"/>
    <s v="GBPR_RECYCLEDWOOD"/>
    <x v="0"/>
    <x v="0"/>
    <n v="1.8306620930334001"/>
    <n v="668.19166395719105"/>
    <n v="2405.4899902458901"/>
  </r>
  <r>
    <x v="0"/>
    <x v="0"/>
    <x v="0"/>
    <x v="3"/>
    <x v="14"/>
    <s v="SE4_EL"/>
    <x v="15"/>
    <s v="GBPR_RECYCLEDWOOD"/>
    <x v="0"/>
    <x v="1"/>
    <n v="2.1312280509397099"/>
    <n v="777.89823859299497"/>
    <n v="2800.4336589347799"/>
  </r>
  <r>
    <x v="0"/>
    <x v="0"/>
    <x v="0"/>
    <x v="3"/>
    <x v="14"/>
    <s v="SE4_EL"/>
    <x v="15"/>
    <s v="GBPR_RECYCLEDWOOD"/>
    <x v="0"/>
    <x v="3"/>
    <n v="6.4899534134463099"/>
    <n v="2368.8329959079001"/>
    <n v="8527.7987852684491"/>
  </r>
  <r>
    <x v="0"/>
    <x v="0"/>
    <x v="0"/>
    <x v="3"/>
    <x v="14"/>
    <s v="SE4_EL"/>
    <x v="15"/>
    <s v="GBPR_RECYCLEDWOOD"/>
    <x v="0"/>
    <x v="4"/>
    <n v="15.889093039548801"/>
    <n v="5799.5189594353196"/>
    <n v="20878.2682539671"/>
  </r>
  <r>
    <x v="0"/>
    <x v="0"/>
    <x v="0"/>
    <x v="3"/>
    <x v="14"/>
    <s v="SE4_EL"/>
    <x v="15"/>
    <s v="GBPR_RECYCLEDWOOD"/>
    <x v="0"/>
    <x v="5"/>
    <n v="40.502118898250998"/>
    <n v="14783.2733978616"/>
    <n v="53219.784232301798"/>
  </r>
  <r>
    <x v="0"/>
    <x v="0"/>
    <x v="0"/>
    <x v="3"/>
    <x v="14"/>
    <s v="SE4_EL"/>
    <x v="15"/>
    <s v="GBPR_RECYCLEDWOOD"/>
    <x v="0"/>
    <x v="6"/>
    <n v="75.449548185509798"/>
    <n v="27539.085087711101"/>
    <n v="99140.706315759802"/>
  </r>
  <r>
    <x v="0"/>
    <x v="0"/>
    <x v="0"/>
    <x v="3"/>
    <x v="14"/>
    <s v="SE4_EL"/>
    <x v="15"/>
    <s v="GBPR_RECYCLEDWOOD"/>
    <x v="0"/>
    <x v="7"/>
    <n v="75.449548185509798"/>
    <n v="27539.085087711101"/>
    <n v="99140.706315759802"/>
  </r>
  <r>
    <x v="0"/>
    <x v="0"/>
    <x v="0"/>
    <x v="3"/>
    <x v="14"/>
    <s v="SE4_EL"/>
    <x v="15"/>
    <s v="GBPR_RECYCLEDWOOD"/>
    <x v="0"/>
    <x v="8"/>
    <n v="75.449548185509798"/>
    <n v="27539.085087711101"/>
    <n v="99140.706315759802"/>
  </r>
  <r>
    <x v="0"/>
    <x v="0"/>
    <x v="0"/>
    <x v="3"/>
    <x v="14"/>
    <s v="SE4_EL"/>
    <x v="15"/>
    <s v="GBPR_RECYCLEDWOOD"/>
    <x v="0"/>
    <x v="9"/>
    <n v="75.449548185509798"/>
    <n v="27539.085087711101"/>
    <n v="99140.706315759802"/>
  </r>
  <r>
    <x v="0"/>
    <x v="0"/>
    <x v="0"/>
    <x v="3"/>
    <x v="14"/>
    <s v="SE4_EL"/>
    <x v="15"/>
    <s v="GBPR_RECYCLEDWOOD"/>
    <x v="0"/>
    <x v="10"/>
    <n v="75.449548185509798"/>
    <n v="27539.085087711101"/>
    <n v="99140.706315759802"/>
  </r>
  <r>
    <x v="0"/>
    <x v="0"/>
    <x v="0"/>
    <x v="3"/>
    <x v="14"/>
    <s v="SE4_EL"/>
    <x v="15"/>
    <s v="GBPR_RECYCLEDWOOD"/>
    <x v="0"/>
    <x v="11"/>
    <n v="75.449548185509798"/>
    <n v="27539.085087711101"/>
    <n v="99140.706315759802"/>
  </r>
  <r>
    <x v="0"/>
    <x v="0"/>
    <x v="0"/>
    <x v="3"/>
    <x v="14"/>
    <s v="SE4_EL"/>
    <x v="15"/>
    <s v="GBPR_RECYCLEDWOOD"/>
    <x v="0"/>
    <x v="12"/>
    <n v="70.144207836654601"/>
    <n v="25602.635860378901"/>
    <n v="92169.489097364203"/>
  </r>
  <r>
    <x v="0"/>
    <x v="0"/>
    <x v="0"/>
    <x v="3"/>
    <x v="14"/>
    <s v="SE4_EL"/>
    <x v="15"/>
    <s v="GBPR_RECYCLEDWOOD"/>
    <x v="0"/>
    <x v="13"/>
    <n v="62.925775202409902"/>
    <n v="22967.907948879601"/>
    <n v="82684.468615966602"/>
  </r>
  <r>
    <x v="0"/>
    <x v="0"/>
    <x v="0"/>
    <x v="3"/>
    <x v="14"/>
    <s v="SE4_EL"/>
    <x v="15"/>
    <s v="GBPR_RECYCLEDWOOD"/>
    <x v="0"/>
    <x v="14"/>
    <n v="54.2216249559565"/>
    <n v="19790.893108924101"/>
    <n v="71247.215192126896"/>
  </r>
  <r>
    <x v="0"/>
    <x v="0"/>
    <x v="0"/>
    <x v="3"/>
    <x v="14"/>
    <s v="SE4_EL"/>
    <x v="15"/>
    <s v="GBPR_RECYCLEDWOOD"/>
    <x v="0"/>
    <x v="15"/>
    <n v="49.336927514584801"/>
    <n v="18007.978542823399"/>
    <n v="64828.722754164402"/>
  </r>
  <r>
    <x v="0"/>
    <x v="0"/>
    <x v="0"/>
    <x v="3"/>
    <x v="14"/>
    <s v="SE4_EL"/>
    <x v="15"/>
    <s v="GBPR_RECYCLEDWOOD"/>
    <x v="0"/>
    <x v="16"/>
    <n v="50.014738253534397"/>
    <n v="18255.379462540001"/>
    <n v="65719.366065144102"/>
  </r>
  <r>
    <x v="0"/>
    <x v="0"/>
    <x v="0"/>
    <x v="3"/>
    <x v="14"/>
    <s v="SE4_EL"/>
    <x v="15"/>
    <s v="GBPR_RECYCLEDWOOD"/>
    <x v="0"/>
    <x v="17"/>
    <n v="48.968651234362"/>
    <n v="17873.5577005421"/>
    <n v="64344.807721951598"/>
  </r>
  <r>
    <x v="0"/>
    <x v="0"/>
    <x v="0"/>
    <x v="3"/>
    <x v="14"/>
    <s v="SE4_EL"/>
    <x v="15"/>
    <s v="GBPR_RECYCLEDWOOD"/>
    <x v="0"/>
    <x v="18"/>
    <n v="49.795544286210898"/>
    <n v="18175.373664466999"/>
    <n v="65431.345192081099"/>
  </r>
  <r>
    <x v="0"/>
    <x v="0"/>
    <x v="0"/>
    <x v="3"/>
    <x v="14"/>
    <s v="SE4_EL"/>
    <x v="15"/>
    <s v="GBPR_RECYCLEDWOOD"/>
    <x v="0"/>
    <x v="19"/>
    <n v="52.672843086715197"/>
    <n v="19225.587726651"/>
    <n v="69212.115815943806"/>
  </r>
  <r>
    <x v="0"/>
    <x v="0"/>
    <x v="0"/>
    <x v="3"/>
    <x v="14"/>
    <s v="SE4_EL"/>
    <x v="15"/>
    <s v="GBPR_RECYCLEDWOOD"/>
    <x v="0"/>
    <x v="20"/>
    <n v="51.877248326761801"/>
    <n v="18935.195639268"/>
    <n v="68166.704301364996"/>
  </r>
  <r>
    <x v="0"/>
    <x v="0"/>
    <x v="0"/>
    <x v="3"/>
    <x v="14"/>
    <s v="SE4_EL"/>
    <x v="15"/>
    <s v="GBPR_RECYCLEDWOOD"/>
    <x v="0"/>
    <x v="21"/>
    <n v="48.631790679319103"/>
    <n v="17750.6035979515"/>
    <n v="63902.172952625297"/>
  </r>
  <r>
    <x v="0"/>
    <x v="0"/>
    <x v="0"/>
    <x v="3"/>
    <x v="14"/>
    <s v="SE4_EL"/>
    <x v="15"/>
    <s v="GBPR_RECYCLEDWOOD"/>
    <x v="0"/>
    <x v="22"/>
    <n v="41.992190944378798"/>
    <n v="15327.149694698301"/>
    <n v="55177.738900913799"/>
  </r>
  <r>
    <x v="0"/>
    <x v="0"/>
    <x v="0"/>
    <x v="3"/>
    <x v="14"/>
    <s v="SE4_EL"/>
    <x v="15"/>
    <s v="GBPR_RECYCLEDWOOD"/>
    <x v="0"/>
    <x v="23"/>
    <n v="29.947648971570199"/>
    <n v="10930.891874623099"/>
    <n v="39351.210748643301"/>
  </r>
  <r>
    <x v="0"/>
    <x v="0"/>
    <x v="0"/>
    <x v="3"/>
    <x v="14"/>
    <s v="SE4_EL"/>
    <x v="15"/>
    <s v="GBPR_RECYCLEDWOOD_SE4EL"/>
    <x v="0"/>
    <x v="6"/>
    <n v="4.9909481069145798"/>
    <n v="1821.69605902382"/>
    <n v="6558.10581248576"/>
  </r>
  <r>
    <x v="0"/>
    <x v="0"/>
    <x v="0"/>
    <x v="3"/>
    <x v="14"/>
    <s v="SE4_EL"/>
    <x v="15"/>
    <s v="GBPR_RECYCLEDWOOD_SE4EL"/>
    <x v="0"/>
    <x v="7"/>
    <n v="10.2723915380093"/>
    <n v="3749.42291137341"/>
    <n v="13497.9224809443"/>
  </r>
  <r>
    <x v="0"/>
    <x v="0"/>
    <x v="0"/>
    <x v="3"/>
    <x v="14"/>
    <s v="SE4_EL"/>
    <x v="15"/>
    <s v="GBPR_RECYCLEDWOOD_SE4EL"/>
    <x v="0"/>
    <x v="8"/>
    <n v="6.3785519156615198"/>
    <n v="2328.1714492164501"/>
    <n v="8381.4172171792306"/>
  </r>
  <r>
    <x v="0"/>
    <x v="0"/>
    <x v="0"/>
    <x v="3"/>
    <x v="14"/>
    <s v="SE4_EL"/>
    <x v="15"/>
    <s v="GBPR_RECYCLEDWOOD_SE4EL"/>
    <x v="0"/>
    <x v="9"/>
    <n v="10.2723915380093"/>
    <n v="3749.42291137341"/>
    <n v="13497.9224809443"/>
  </r>
  <r>
    <x v="0"/>
    <x v="0"/>
    <x v="0"/>
    <x v="3"/>
    <x v="14"/>
    <s v="SE4_EL"/>
    <x v="15"/>
    <s v="GBPR_RECYCLEDWOOD_SE4EL"/>
    <x v="0"/>
    <x v="10"/>
    <n v="7.3784107201009999"/>
    <n v="2693.1199128368598"/>
    <n v="9695.23168621271"/>
  </r>
  <r>
    <x v="0"/>
    <x v="0"/>
    <x v="0"/>
    <x v="3"/>
    <x v="14"/>
    <s v="SE4_EL"/>
    <x v="15"/>
    <s v="GBPR_RECYCLEDWOOD_SE4EL"/>
    <x v="0"/>
    <x v="11"/>
    <n v="0.62078908508949304"/>
    <n v="226.58801605766499"/>
    <n v="815.71685780759401"/>
  </r>
  <r>
    <x v="0"/>
    <x v="0"/>
    <x v="0"/>
    <x v="3"/>
    <x v="14"/>
    <s v="SE4_EL"/>
    <x v="15"/>
    <s v="GHOB_RECYCLEDWOOD"/>
    <x v="0"/>
    <x v="6"/>
    <n v="3.8068692695992601"/>
    <n v="1389.5072834037301"/>
    <n v="5002.2262202534203"/>
  </r>
  <r>
    <x v="0"/>
    <x v="0"/>
    <x v="0"/>
    <x v="3"/>
    <x v="14"/>
    <s v="SE4_EL"/>
    <x v="15"/>
    <s v="GHOB_RECYCLEDWOOD"/>
    <x v="0"/>
    <x v="7"/>
    <n v="3.8068692695992601"/>
    <n v="1389.5072834037301"/>
    <n v="5002.2262202534203"/>
  </r>
  <r>
    <x v="0"/>
    <x v="0"/>
    <x v="0"/>
    <x v="3"/>
    <x v="14"/>
    <s v="SE4_EL"/>
    <x v="15"/>
    <s v="GHOB_RECYCLEDWOOD"/>
    <x v="0"/>
    <x v="8"/>
    <n v="3.8068692695992601"/>
    <n v="1389.5072834037301"/>
    <n v="5002.2262202534203"/>
  </r>
  <r>
    <x v="0"/>
    <x v="0"/>
    <x v="0"/>
    <x v="3"/>
    <x v="14"/>
    <s v="SE4_EL"/>
    <x v="15"/>
    <s v="GHOB_RECYCLEDWOOD"/>
    <x v="0"/>
    <x v="9"/>
    <n v="3.8068692695992601"/>
    <n v="1389.5072834037301"/>
    <n v="5002.2262202534203"/>
  </r>
  <r>
    <x v="0"/>
    <x v="0"/>
    <x v="0"/>
    <x v="3"/>
    <x v="14"/>
    <s v="SE4_EL"/>
    <x v="15"/>
    <s v="GHOB_RECYCLEDWOOD"/>
    <x v="0"/>
    <x v="10"/>
    <n v="3.8068692695992601"/>
    <n v="1389.5072834037301"/>
    <n v="5002.2262202534203"/>
  </r>
  <r>
    <x v="0"/>
    <x v="0"/>
    <x v="0"/>
    <x v="3"/>
    <x v="14"/>
    <s v="SE4_EL"/>
    <x v="15"/>
    <s v="GHOB_RECYCLEDWOOD"/>
    <x v="0"/>
    <x v="11"/>
    <n v="3.8068692695992601"/>
    <n v="1389.5072834037301"/>
    <n v="5002.2262202534203"/>
  </r>
  <r>
    <x v="0"/>
    <x v="0"/>
    <x v="0"/>
    <x v="3"/>
    <x v="14"/>
    <s v="SE4_EL"/>
    <x v="4"/>
    <s v="GHOB_STRAW"/>
    <x v="0"/>
    <x v="7"/>
    <n v="2.9411764705882399"/>
    <n v="1073.5294117647099"/>
    <n v="3864.7058823529401"/>
  </r>
  <r>
    <x v="0"/>
    <x v="0"/>
    <x v="0"/>
    <x v="3"/>
    <x v="14"/>
    <s v="SE4_EL"/>
    <x v="4"/>
    <s v="GHOB_STRAW"/>
    <x v="0"/>
    <x v="9"/>
    <n v="0.12494280055300901"/>
    <n v="45.604122201848298"/>
    <n v="164.17483992665399"/>
  </r>
  <r>
    <x v="0"/>
    <x v="0"/>
    <x v="0"/>
    <x v="3"/>
    <x v="14"/>
    <s v="SE4_EL"/>
    <x v="2"/>
    <s v="GHOB_WASTEHEAT"/>
    <x v="0"/>
    <x v="0"/>
    <n v="10.4166666666666"/>
    <n v="3802.0833333333198"/>
    <n v="13687.4999999999"/>
  </r>
  <r>
    <x v="0"/>
    <x v="0"/>
    <x v="0"/>
    <x v="3"/>
    <x v="14"/>
    <s v="SE4_EL"/>
    <x v="2"/>
    <s v="GHOB_WASTEHEAT"/>
    <x v="0"/>
    <x v="1"/>
    <n v="10.4166666666666"/>
    <n v="3802.0833333333198"/>
    <n v="13687.4999999999"/>
  </r>
  <r>
    <x v="0"/>
    <x v="0"/>
    <x v="0"/>
    <x v="3"/>
    <x v="14"/>
    <s v="SE4_EL"/>
    <x v="2"/>
    <s v="GHOB_WASTEHEAT"/>
    <x v="0"/>
    <x v="2"/>
    <n v="10.4166666666666"/>
    <n v="3802.0833333333198"/>
    <n v="13687.4999999999"/>
  </r>
  <r>
    <x v="0"/>
    <x v="0"/>
    <x v="0"/>
    <x v="3"/>
    <x v="14"/>
    <s v="SE4_EL"/>
    <x v="2"/>
    <s v="GHOB_WASTEHEAT"/>
    <x v="0"/>
    <x v="3"/>
    <n v="10.4166666666666"/>
    <n v="3802.0833333333198"/>
    <n v="13687.4999999999"/>
  </r>
  <r>
    <x v="0"/>
    <x v="0"/>
    <x v="0"/>
    <x v="3"/>
    <x v="14"/>
    <s v="SE4_EL"/>
    <x v="2"/>
    <s v="GHOB_WASTEHEAT"/>
    <x v="0"/>
    <x v="4"/>
    <n v="10.4166666666666"/>
    <n v="3802.0833333333198"/>
    <n v="13687.4999999999"/>
  </r>
  <r>
    <x v="0"/>
    <x v="0"/>
    <x v="0"/>
    <x v="3"/>
    <x v="14"/>
    <s v="SE4_EL"/>
    <x v="2"/>
    <s v="GHOB_WASTEHEAT"/>
    <x v="0"/>
    <x v="5"/>
    <n v="10.4166666666666"/>
    <n v="3802.0833333333198"/>
    <n v="13687.4999999999"/>
  </r>
  <r>
    <x v="0"/>
    <x v="0"/>
    <x v="0"/>
    <x v="3"/>
    <x v="14"/>
    <s v="SE4_EL"/>
    <x v="2"/>
    <s v="GHOB_WASTEHEAT"/>
    <x v="0"/>
    <x v="6"/>
    <n v="10.4166666666666"/>
    <n v="3802.0833333333198"/>
    <n v="13687.4999999999"/>
  </r>
  <r>
    <x v="0"/>
    <x v="0"/>
    <x v="0"/>
    <x v="3"/>
    <x v="14"/>
    <s v="SE4_EL"/>
    <x v="2"/>
    <s v="GHOB_WASTEHEAT"/>
    <x v="0"/>
    <x v="7"/>
    <n v="10.4166666666666"/>
    <n v="3802.0833333333198"/>
    <n v="13687.4999999999"/>
  </r>
  <r>
    <x v="0"/>
    <x v="0"/>
    <x v="0"/>
    <x v="3"/>
    <x v="14"/>
    <s v="SE4_EL"/>
    <x v="2"/>
    <s v="GHOB_WASTEHEAT"/>
    <x v="0"/>
    <x v="8"/>
    <n v="10.4166666666666"/>
    <n v="3802.0833333333198"/>
    <n v="13687.4999999999"/>
  </r>
  <r>
    <x v="0"/>
    <x v="0"/>
    <x v="0"/>
    <x v="3"/>
    <x v="14"/>
    <s v="SE4_EL"/>
    <x v="2"/>
    <s v="GHOB_WASTEHEAT"/>
    <x v="0"/>
    <x v="9"/>
    <n v="10.4166666666666"/>
    <n v="3802.0833333333198"/>
    <n v="13687.4999999999"/>
  </r>
  <r>
    <x v="0"/>
    <x v="0"/>
    <x v="0"/>
    <x v="3"/>
    <x v="14"/>
    <s v="SE4_EL"/>
    <x v="2"/>
    <s v="GHOB_WASTEHEAT"/>
    <x v="0"/>
    <x v="10"/>
    <n v="10.4166666666666"/>
    <n v="3802.0833333333198"/>
    <n v="13687.4999999999"/>
  </r>
  <r>
    <x v="0"/>
    <x v="0"/>
    <x v="0"/>
    <x v="3"/>
    <x v="14"/>
    <s v="SE4_EL"/>
    <x v="2"/>
    <s v="GHOB_WASTEHEAT"/>
    <x v="0"/>
    <x v="11"/>
    <n v="10.4166666666666"/>
    <n v="3802.0833333333198"/>
    <n v="13687.4999999999"/>
  </r>
  <r>
    <x v="0"/>
    <x v="0"/>
    <x v="0"/>
    <x v="3"/>
    <x v="14"/>
    <s v="SE4_EL"/>
    <x v="2"/>
    <s v="GHOB_WASTEHEAT"/>
    <x v="0"/>
    <x v="12"/>
    <n v="10.4166666666666"/>
    <n v="3802.0833333333198"/>
    <n v="13687.4999999999"/>
  </r>
  <r>
    <x v="0"/>
    <x v="0"/>
    <x v="0"/>
    <x v="3"/>
    <x v="14"/>
    <s v="SE4_EL"/>
    <x v="2"/>
    <s v="GHOB_WASTEHEAT"/>
    <x v="0"/>
    <x v="13"/>
    <n v="10.4166666666666"/>
    <n v="3802.0833333333198"/>
    <n v="13687.4999999999"/>
  </r>
  <r>
    <x v="0"/>
    <x v="0"/>
    <x v="0"/>
    <x v="3"/>
    <x v="14"/>
    <s v="SE4_EL"/>
    <x v="2"/>
    <s v="GHOB_WASTEHEAT"/>
    <x v="0"/>
    <x v="14"/>
    <n v="10.4166666666666"/>
    <n v="3802.0833333333198"/>
    <n v="13687.4999999999"/>
  </r>
  <r>
    <x v="0"/>
    <x v="0"/>
    <x v="0"/>
    <x v="3"/>
    <x v="14"/>
    <s v="SE4_EL"/>
    <x v="2"/>
    <s v="GHOB_WASTEHEAT"/>
    <x v="0"/>
    <x v="15"/>
    <n v="10.4166666666666"/>
    <n v="3802.0833333333198"/>
    <n v="13687.4999999999"/>
  </r>
  <r>
    <x v="0"/>
    <x v="0"/>
    <x v="0"/>
    <x v="3"/>
    <x v="14"/>
    <s v="SE4_EL"/>
    <x v="2"/>
    <s v="GHOB_WASTEHEAT"/>
    <x v="0"/>
    <x v="16"/>
    <n v="10.4166666666666"/>
    <n v="3802.0833333333198"/>
    <n v="13687.4999999999"/>
  </r>
  <r>
    <x v="0"/>
    <x v="0"/>
    <x v="0"/>
    <x v="3"/>
    <x v="14"/>
    <s v="SE4_EL"/>
    <x v="2"/>
    <s v="GHOB_WASTEHEAT"/>
    <x v="0"/>
    <x v="17"/>
    <n v="10.4166666666666"/>
    <n v="3802.0833333333198"/>
    <n v="13687.4999999999"/>
  </r>
  <r>
    <x v="0"/>
    <x v="0"/>
    <x v="0"/>
    <x v="3"/>
    <x v="14"/>
    <s v="SE4_EL"/>
    <x v="2"/>
    <s v="GHOB_WASTEHEAT"/>
    <x v="0"/>
    <x v="18"/>
    <n v="10.4166666666666"/>
    <n v="3802.0833333333198"/>
    <n v="13687.4999999999"/>
  </r>
  <r>
    <x v="0"/>
    <x v="0"/>
    <x v="0"/>
    <x v="3"/>
    <x v="14"/>
    <s v="SE4_EL"/>
    <x v="2"/>
    <s v="GHOB_WASTEHEAT"/>
    <x v="0"/>
    <x v="19"/>
    <n v="10.4166666666666"/>
    <n v="3802.0833333333198"/>
    <n v="13687.4999999999"/>
  </r>
  <r>
    <x v="0"/>
    <x v="0"/>
    <x v="0"/>
    <x v="3"/>
    <x v="14"/>
    <s v="SE4_EL"/>
    <x v="2"/>
    <s v="GHOB_WASTEHEAT"/>
    <x v="0"/>
    <x v="20"/>
    <n v="10.4166666666666"/>
    <n v="3802.0833333333198"/>
    <n v="13687.4999999999"/>
  </r>
  <r>
    <x v="0"/>
    <x v="0"/>
    <x v="0"/>
    <x v="3"/>
    <x v="14"/>
    <s v="SE4_EL"/>
    <x v="2"/>
    <s v="GHOB_WASTEHEAT"/>
    <x v="0"/>
    <x v="21"/>
    <n v="10.4166666666666"/>
    <n v="3802.0833333333198"/>
    <n v="13687.4999999999"/>
  </r>
  <r>
    <x v="0"/>
    <x v="0"/>
    <x v="0"/>
    <x v="3"/>
    <x v="14"/>
    <s v="SE4_EL"/>
    <x v="2"/>
    <s v="GHOB_WASTEHEAT"/>
    <x v="0"/>
    <x v="22"/>
    <n v="10.4166666666666"/>
    <n v="3802.0833333333198"/>
    <n v="13687.4999999999"/>
  </r>
  <r>
    <x v="0"/>
    <x v="0"/>
    <x v="0"/>
    <x v="3"/>
    <x v="14"/>
    <s v="SE4_EL"/>
    <x v="2"/>
    <s v="GHOB_WASTEHEAT"/>
    <x v="0"/>
    <x v="23"/>
    <n v="10.4166666666666"/>
    <n v="3802.0833333333198"/>
    <n v="13687.4999999999"/>
  </r>
  <r>
    <x v="0"/>
    <x v="0"/>
    <x v="0"/>
    <x v="3"/>
    <x v="14"/>
    <s v="SE4_EL"/>
    <x v="9"/>
    <s v="GHOB_WOODWASTE"/>
    <x v="0"/>
    <x v="0"/>
    <n v="53.058240445039601"/>
    <n v="19366.257762439502"/>
    <n v="69718.527944782094"/>
  </r>
  <r>
    <x v="0"/>
    <x v="0"/>
    <x v="0"/>
    <x v="3"/>
    <x v="14"/>
    <s v="SE4_EL"/>
    <x v="9"/>
    <s v="GHOB_WOODWASTE"/>
    <x v="0"/>
    <x v="1"/>
    <n v="53.058240445039601"/>
    <n v="19366.257762439502"/>
    <n v="69718.527944782094"/>
  </r>
  <r>
    <x v="0"/>
    <x v="0"/>
    <x v="0"/>
    <x v="3"/>
    <x v="14"/>
    <s v="SE4_EL"/>
    <x v="9"/>
    <s v="GHOB_WOODWASTE"/>
    <x v="0"/>
    <x v="2"/>
    <n v="53.058240445039601"/>
    <n v="19366.257762439502"/>
    <n v="69718.527944782094"/>
  </r>
  <r>
    <x v="0"/>
    <x v="0"/>
    <x v="0"/>
    <x v="3"/>
    <x v="14"/>
    <s v="SE4_EL"/>
    <x v="9"/>
    <s v="GHOB_WOODWASTE"/>
    <x v="0"/>
    <x v="3"/>
    <n v="53.058240445039601"/>
    <n v="19366.257762439502"/>
    <n v="69718.527944782094"/>
  </r>
  <r>
    <x v="0"/>
    <x v="0"/>
    <x v="0"/>
    <x v="3"/>
    <x v="14"/>
    <s v="SE4_EL"/>
    <x v="9"/>
    <s v="GHOB_WOODWASTE"/>
    <x v="0"/>
    <x v="4"/>
    <n v="53.058240445039601"/>
    <n v="19366.257762439502"/>
    <n v="69718.527944782094"/>
  </r>
  <r>
    <x v="0"/>
    <x v="0"/>
    <x v="0"/>
    <x v="3"/>
    <x v="14"/>
    <s v="SE4_EL"/>
    <x v="9"/>
    <s v="GHOB_WOODWASTE"/>
    <x v="0"/>
    <x v="5"/>
    <n v="53.058240445039601"/>
    <n v="19366.257762439502"/>
    <n v="69718.527944782094"/>
  </r>
  <r>
    <x v="0"/>
    <x v="0"/>
    <x v="0"/>
    <x v="3"/>
    <x v="14"/>
    <s v="SE4_EL"/>
    <x v="9"/>
    <s v="GHOB_WOODWASTE"/>
    <x v="0"/>
    <x v="6"/>
    <n v="53.058240445039601"/>
    <n v="19366.257762439502"/>
    <n v="69718.527944782094"/>
  </r>
  <r>
    <x v="0"/>
    <x v="0"/>
    <x v="0"/>
    <x v="3"/>
    <x v="14"/>
    <s v="SE4_EL"/>
    <x v="9"/>
    <s v="GHOB_WOODWASTE"/>
    <x v="0"/>
    <x v="7"/>
    <n v="53.058240445039601"/>
    <n v="19366.257762439502"/>
    <n v="69718.527944782094"/>
  </r>
  <r>
    <x v="0"/>
    <x v="0"/>
    <x v="0"/>
    <x v="3"/>
    <x v="14"/>
    <s v="SE4_EL"/>
    <x v="9"/>
    <s v="GHOB_WOODWASTE"/>
    <x v="0"/>
    <x v="8"/>
    <n v="53.058240445039601"/>
    <n v="19366.257762439502"/>
    <n v="69718.527944782094"/>
  </r>
  <r>
    <x v="0"/>
    <x v="0"/>
    <x v="0"/>
    <x v="3"/>
    <x v="14"/>
    <s v="SE4_EL"/>
    <x v="9"/>
    <s v="GHOB_WOODWASTE"/>
    <x v="0"/>
    <x v="9"/>
    <n v="53.058240445039601"/>
    <n v="19366.257762439502"/>
    <n v="69718.527944782094"/>
  </r>
  <r>
    <x v="0"/>
    <x v="0"/>
    <x v="0"/>
    <x v="3"/>
    <x v="14"/>
    <s v="SE4_EL"/>
    <x v="9"/>
    <s v="GHOB_WOODWASTE"/>
    <x v="0"/>
    <x v="10"/>
    <n v="53.058240445039601"/>
    <n v="19366.257762439502"/>
    <n v="69718.527944782094"/>
  </r>
  <r>
    <x v="0"/>
    <x v="0"/>
    <x v="0"/>
    <x v="3"/>
    <x v="14"/>
    <s v="SE4_EL"/>
    <x v="9"/>
    <s v="GHOB_WOODWASTE"/>
    <x v="0"/>
    <x v="11"/>
    <n v="53.058240445039601"/>
    <n v="19366.257762439502"/>
    <n v="69718.527944782094"/>
  </r>
  <r>
    <x v="0"/>
    <x v="0"/>
    <x v="0"/>
    <x v="3"/>
    <x v="14"/>
    <s v="SE4_EL"/>
    <x v="9"/>
    <s v="GHOB_WOODWASTE"/>
    <x v="0"/>
    <x v="12"/>
    <n v="53.058240445039601"/>
    <n v="19366.257762439502"/>
    <n v="69718.527944782094"/>
  </r>
  <r>
    <x v="0"/>
    <x v="0"/>
    <x v="0"/>
    <x v="3"/>
    <x v="14"/>
    <s v="SE4_EL"/>
    <x v="9"/>
    <s v="GHOB_WOODWASTE"/>
    <x v="0"/>
    <x v="13"/>
    <n v="53.058240445039601"/>
    <n v="19366.257762439502"/>
    <n v="69718.527944782094"/>
  </r>
  <r>
    <x v="0"/>
    <x v="0"/>
    <x v="0"/>
    <x v="3"/>
    <x v="14"/>
    <s v="SE4_EL"/>
    <x v="9"/>
    <s v="GHOB_WOODWASTE"/>
    <x v="0"/>
    <x v="14"/>
    <n v="53.058240445039601"/>
    <n v="19366.257762439502"/>
    <n v="69718.527944782094"/>
  </r>
  <r>
    <x v="0"/>
    <x v="0"/>
    <x v="0"/>
    <x v="3"/>
    <x v="14"/>
    <s v="SE4_EL"/>
    <x v="9"/>
    <s v="GHOB_WOODWASTE"/>
    <x v="0"/>
    <x v="15"/>
    <n v="53.058240445039601"/>
    <n v="19366.257762439502"/>
    <n v="69718.527944782094"/>
  </r>
  <r>
    <x v="0"/>
    <x v="0"/>
    <x v="0"/>
    <x v="3"/>
    <x v="14"/>
    <s v="SE4_EL"/>
    <x v="9"/>
    <s v="GHOB_WOODWASTE"/>
    <x v="0"/>
    <x v="16"/>
    <n v="53.058240445039601"/>
    <n v="19366.257762439502"/>
    <n v="69718.527944782094"/>
  </r>
  <r>
    <x v="0"/>
    <x v="0"/>
    <x v="0"/>
    <x v="3"/>
    <x v="14"/>
    <s v="SE4_EL"/>
    <x v="9"/>
    <s v="GHOB_WOODWASTE"/>
    <x v="0"/>
    <x v="17"/>
    <n v="53.058240445039601"/>
    <n v="19366.257762439502"/>
    <n v="69718.527944782094"/>
  </r>
  <r>
    <x v="0"/>
    <x v="0"/>
    <x v="0"/>
    <x v="3"/>
    <x v="14"/>
    <s v="SE4_EL"/>
    <x v="9"/>
    <s v="GHOB_WOODWASTE"/>
    <x v="0"/>
    <x v="18"/>
    <n v="53.058240445039601"/>
    <n v="19366.257762439502"/>
    <n v="69718.527944782094"/>
  </r>
  <r>
    <x v="0"/>
    <x v="0"/>
    <x v="0"/>
    <x v="3"/>
    <x v="14"/>
    <s v="SE4_EL"/>
    <x v="9"/>
    <s v="GHOB_WOODWASTE"/>
    <x v="0"/>
    <x v="19"/>
    <n v="53.058240445039601"/>
    <n v="19366.257762439502"/>
    <n v="69718.527944782094"/>
  </r>
  <r>
    <x v="0"/>
    <x v="0"/>
    <x v="0"/>
    <x v="3"/>
    <x v="14"/>
    <s v="SE4_EL"/>
    <x v="9"/>
    <s v="GHOB_WOODWASTE"/>
    <x v="0"/>
    <x v="20"/>
    <n v="53.058240445039601"/>
    <n v="19366.257762439502"/>
    <n v="69718.527944782094"/>
  </r>
  <r>
    <x v="0"/>
    <x v="0"/>
    <x v="0"/>
    <x v="3"/>
    <x v="14"/>
    <s v="SE4_EL"/>
    <x v="9"/>
    <s v="GHOB_WOODWASTE"/>
    <x v="0"/>
    <x v="21"/>
    <n v="53.058240445039601"/>
    <n v="19366.257762439502"/>
    <n v="69718.527944782094"/>
  </r>
  <r>
    <x v="0"/>
    <x v="0"/>
    <x v="0"/>
    <x v="3"/>
    <x v="14"/>
    <s v="SE4_EL"/>
    <x v="9"/>
    <s v="GHOB_WOODWASTE"/>
    <x v="0"/>
    <x v="22"/>
    <n v="53.058240445039601"/>
    <n v="19366.257762439502"/>
    <n v="69718.527944782094"/>
  </r>
  <r>
    <x v="0"/>
    <x v="0"/>
    <x v="0"/>
    <x v="3"/>
    <x v="14"/>
    <s v="SE4_EL"/>
    <x v="9"/>
    <s v="GHOB_WOODWASTE"/>
    <x v="0"/>
    <x v="23"/>
    <n v="53.058240445039601"/>
    <n v="19366.257762439502"/>
    <n v="69718.527944782094"/>
  </r>
  <r>
    <x v="0"/>
    <x v="0"/>
    <x v="0"/>
    <x v="3"/>
    <x v="14"/>
    <s v="SE4_HP"/>
    <x v="1"/>
    <s v="GBPR_MUNIWASTE_65"/>
    <x v="0"/>
    <x v="0"/>
    <n v="51.746031746031697"/>
    <n v="18887.301587301601"/>
    <n v="67994.285714285696"/>
  </r>
  <r>
    <x v="0"/>
    <x v="0"/>
    <x v="0"/>
    <x v="3"/>
    <x v="14"/>
    <s v="SE4_HP"/>
    <x v="1"/>
    <s v="GBPR_MUNIWASTE_65"/>
    <x v="0"/>
    <x v="1"/>
    <n v="51.746031746031697"/>
    <n v="18887.301587301601"/>
    <n v="67994.285714285696"/>
  </r>
  <r>
    <x v="0"/>
    <x v="0"/>
    <x v="0"/>
    <x v="3"/>
    <x v="14"/>
    <s v="SE4_HP"/>
    <x v="1"/>
    <s v="GBPR_MUNIWASTE_65"/>
    <x v="0"/>
    <x v="2"/>
    <n v="51.746031746031697"/>
    <n v="18887.301587301601"/>
    <n v="67994.285714285696"/>
  </r>
  <r>
    <x v="0"/>
    <x v="0"/>
    <x v="0"/>
    <x v="3"/>
    <x v="14"/>
    <s v="SE4_HP"/>
    <x v="1"/>
    <s v="GBPR_MUNIWASTE_65"/>
    <x v="0"/>
    <x v="3"/>
    <n v="51.746031746031697"/>
    <n v="18887.301587301601"/>
    <n v="67994.285714285696"/>
  </r>
  <r>
    <x v="0"/>
    <x v="0"/>
    <x v="0"/>
    <x v="3"/>
    <x v="14"/>
    <s v="SE4_HP"/>
    <x v="1"/>
    <s v="GBPR_MUNIWASTE_65"/>
    <x v="0"/>
    <x v="4"/>
    <n v="51.746031746031697"/>
    <n v="18887.301587301601"/>
    <n v="67994.285714285696"/>
  </r>
  <r>
    <x v="0"/>
    <x v="0"/>
    <x v="0"/>
    <x v="3"/>
    <x v="14"/>
    <s v="SE4_HP"/>
    <x v="1"/>
    <s v="GBPR_MUNIWASTE_65"/>
    <x v="0"/>
    <x v="5"/>
    <n v="51.746031746031697"/>
    <n v="18887.301587301601"/>
    <n v="67994.285714285696"/>
  </r>
  <r>
    <x v="0"/>
    <x v="0"/>
    <x v="0"/>
    <x v="3"/>
    <x v="14"/>
    <s v="SE4_HP"/>
    <x v="1"/>
    <s v="GBPR_MUNIWASTE_65"/>
    <x v="0"/>
    <x v="6"/>
    <n v="51.746031746031697"/>
    <n v="18887.301587301601"/>
    <n v="67994.285714285696"/>
  </r>
  <r>
    <x v="0"/>
    <x v="0"/>
    <x v="0"/>
    <x v="3"/>
    <x v="14"/>
    <s v="SE4_HP"/>
    <x v="1"/>
    <s v="GBPR_MUNIWASTE_65"/>
    <x v="0"/>
    <x v="7"/>
    <n v="51.746031746031697"/>
    <n v="18887.301587301601"/>
    <n v="67994.285714285696"/>
  </r>
  <r>
    <x v="0"/>
    <x v="0"/>
    <x v="0"/>
    <x v="3"/>
    <x v="14"/>
    <s v="SE4_HP"/>
    <x v="1"/>
    <s v="GBPR_MUNIWASTE_65"/>
    <x v="0"/>
    <x v="8"/>
    <n v="51.746031746031697"/>
    <n v="18887.301587301601"/>
    <n v="67994.285714285696"/>
  </r>
  <r>
    <x v="0"/>
    <x v="0"/>
    <x v="0"/>
    <x v="3"/>
    <x v="14"/>
    <s v="SE4_HP"/>
    <x v="1"/>
    <s v="GBPR_MUNIWASTE_65"/>
    <x v="0"/>
    <x v="9"/>
    <n v="51.746031746031697"/>
    <n v="18887.301587301601"/>
    <n v="67994.285714285696"/>
  </r>
  <r>
    <x v="0"/>
    <x v="0"/>
    <x v="0"/>
    <x v="3"/>
    <x v="14"/>
    <s v="SE4_HP"/>
    <x v="1"/>
    <s v="GBPR_MUNIWASTE_65"/>
    <x v="0"/>
    <x v="10"/>
    <n v="51.746031746031697"/>
    <n v="18887.301587301601"/>
    <n v="67994.285714285696"/>
  </r>
  <r>
    <x v="0"/>
    <x v="0"/>
    <x v="0"/>
    <x v="3"/>
    <x v="14"/>
    <s v="SE4_HP"/>
    <x v="1"/>
    <s v="GBPR_MUNIWASTE_65"/>
    <x v="0"/>
    <x v="11"/>
    <n v="51.746031746031697"/>
    <n v="18887.301587301601"/>
    <n v="67994.285714285696"/>
  </r>
  <r>
    <x v="0"/>
    <x v="0"/>
    <x v="0"/>
    <x v="3"/>
    <x v="14"/>
    <s v="SE4_HP"/>
    <x v="1"/>
    <s v="GBPR_MUNIWASTE_65"/>
    <x v="0"/>
    <x v="12"/>
    <n v="51.746031746031697"/>
    <n v="18887.301587301601"/>
    <n v="67994.285714285696"/>
  </r>
  <r>
    <x v="0"/>
    <x v="0"/>
    <x v="0"/>
    <x v="3"/>
    <x v="14"/>
    <s v="SE4_HP"/>
    <x v="1"/>
    <s v="GBPR_MUNIWASTE_65"/>
    <x v="0"/>
    <x v="13"/>
    <n v="51.746031746031697"/>
    <n v="18887.301587301601"/>
    <n v="67994.285714285696"/>
  </r>
  <r>
    <x v="0"/>
    <x v="0"/>
    <x v="0"/>
    <x v="3"/>
    <x v="14"/>
    <s v="SE4_HP"/>
    <x v="1"/>
    <s v="GBPR_MUNIWASTE_65"/>
    <x v="0"/>
    <x v="14"/>
    <n v="51.746031746031697"/>
    <n v="18887.301587301601"/>
    <n v="67994.285714285696"/>
  </r>
  <r>
    <x v="0"/>
    <x v="0"/>
    <x v="0"/>
    <x v="3"/>
    <x v="14"/>
    <s v="SE4_HP"/>
    <x v="1"/>
    <s v="GBPR_MUNIWASTE_65"/>
    <x v="0"/>
    <x v="15"/>
    <n v="51.746031746031697"/>
    <n v="18887.301587301601"/>
    <n v="67994.285714285696"/>
  </r>
  <r>
    <x v="0"/>
    <x v="0"/>
    <x v="0"/>
    <x v="3"/>
    <x v="14"/>
    <s v="SE4_HP"/>
    <x v="1"/>
    <s v="GBPR_MUNIWASTE_65"/>
    <x v="0"/>
    <x v="16"/>
    <n v="51.746031746031697"/>
    <n v="18887.301587301601"/>
    <n v="67994.285714285696"/>
  </r>
  <r>
    <x v="0"/>
    <x v="0"/>
    <x v="0"/>
    <x v="3"/>
    <x v="14"/>
    <s v="SE4_HP"/>
    <x v="1"/>
    <s v="GBPR_MUNIWASTE_65"/>
    <x v="0"/>
    <x v="17"/>
    <n v="51.746031746031697"/>
    <n v="18887.301587301601"/>
    <n v="67994.285714285696"/>
  </r>
  <r>
    <x v="0"/>
    <x v="0"/>
    <x v="0"/>
    <x v="3"/>
    <x v="14"/>
    <s v="SE4_HP"/>
    <x v="1"/>
    <s v="GBPR_MUNIWASTE_65"/>
    <x v="0"/>
    <x v="18"/>
    <n v="51.746031746031697"/>
    <n v="18887.301587301601"/>
    <n v="67994.285714285696"/>
  </r>
  <r>
    <x v="0"/>
    <x v="0"/>
    <x v="0"/>
    <x v="3"/>
    <x v="14"/>
    <s v="SE4_HP"/>
    <x v="1"/>
    <s v="GBPR_MUNIWASTE_65"/>
    <x v="0"/>
    <x v="19"/>
    <n v="51.746031746031697"/>
    <n v="18887.301587301601"/>
    <n v="67994.285714285696"/>
  </r>
  <r>
    <x v="0"/>
    <x v="0"/>
    <x v="0"/>
    <x v="3"/>
    <x v="14"/>
    <s v="SE4_HP"/>
    <x v="1"/>
    <s v="GBPR_MUNIWASTE_65"/>
    <x v="0"/>
    <x v="20"/>
    <n v="51.746031746031697"/>
    <n v="18887.301587301601"/>
    <n v="67994.285714285696"/>
  </r>
  <r>
    <x v="0"/>
    <x v="0"/>
    <x v="0"/>
    <x v="3"/>
    <x v="14"/>
    <s v="SE4_HP"/>
    <x v="1"/>
    <s v="GBPR_MUNIWASTE_65"/>
    <x v="0"/>
    <x v="21"/>
    <n v="51.746031746031697"/>
    <n v="18887.301587301601"/>
    <n v="67994.285714285696"/>
  </r>
  <r>
    <x v="0"/>
    <x v="0"/>
    <x v="0"/>
    <x v="3"/>
    <x v="14"/>
    <s v="SE4_HP"/>
    <x v="1"/>
    <s v="GBPR_MUNIWASTE_65"/>
    <x v="0"/>
    <x v="22"/>
    <n v="51.746031746031697"/>
    <n v="18887.301587301601"/>
    <n v="67994.285714285696"/>
  </r>
  <r>
    <x v="0"/>
    <x v="0"/>
    <x v="0"/>
    <x v="3"/>
    <x v="14"/>
    <s v="SE4_HP"/>
    <x v="1"/>
    <s v="GBPR_MUNIWASTE_65"/>
    <x v="0"/>
    <x v="23"/>
    <n v="51.746031746031697"/>
    <n v="18887.301587301601"/>
    <n v="67994.285714285696"/>
  </r>
  <r>
    <x v="0"/>
    <x v="0"/>
    <x v="0"/>
    <x v="3"/>
    <x v="14"/>
    <s v="SE4_HP"/>
    <x v="3"/>
    <s v="GHOB_NATGAS"/>
    <x v="0"/>
    <x v="0"/>
    <n v="3.1926046106142798"/>
    <n v="1165.30068287421"/>
    <n v="4195.0824583471704"/>
  </r>
  <r>
    <x v="0"/>
    <x v="0"/>
    <x v="0"/>
    <x v="3"/>
    <x v="14"/>
    <s v="SE4_HP"/>
    <x v="3"/>
    <s v="GHOB_NATGAS"/>
    <x v="0"/>
    <x v="1"/>
    <n v="5.6953826408808004"/>
    <n v="2078.8146639214901"/>
    <n v="7483.7327901173703"/>
  </r>
  <r>
    <x v="0"/>
    <x v="0"/>
    <x v="0"/>
    <x v="3"/>
    <x v="14"/>
    <s v="SE4_HP"/>
    <x v="3"/>
    <s v="GHOB_NATGAS"/>
    <x v="0"/>
    <x v="2"/>
    <n v="5.1883104250207097"/>
    <n v="1893.73330513256"/>
    <n v="6817.4398984772097"/>
  </r>
  <r>
    <x v="0"/>
    <x v="0"/>
    <x v="0"/>
    <x v="3"/>
    <x v="14"/>
    <s v="SE4_HP"/>
    <x v="3"/>
    <s v="GHOB_NATGAS"/>
    <x v="0"/>
    <x v="3"/>
    <n v="8.5846041579652095"/>
    <n v="3133.3805176573001"/>
    <n v="11280.1698635663"/>
  </r>
  <r>
    <x v="0"/>
    <x v="0"/>
    <x v="0"/>
    <x v="3"/>
    <x v="14"/>
    <s v="SE4_HP"/>
    <x v="3"/>
    <s v="GHOB_NATGAS"/>
    <x v="0"/>
    <x v="4"/>
    <n v="12.345453438357699"/>
    <n v="4506.0905050005704"/>
    <n v="16221.925818002101"/>
  </r>
  <r>
    <x v="0"/>
    <x v="0"/>
    <x v="0"/>
    <x v="3"/>
    <x v="14"/>
    <s v="SE4_HP"/>
    <x v="3"/>
    <s v="GHOB_NATGAS"/>
    <x v="0"/>
    <x v="5"/>
    <n v="28.638056441527901"/>
    <n v="10452.8906011577"/>
    <n v="37630.406164167602"/>
  </r>
  <r>
    <x v="0"/>
    <x v="0"/>
    <x v="0"/>
    <x v="3"/>
    <x v="14"/>
    <s v="SE4_HP"/>
    <x v="3"/>
    <s v="GHOB_NATGAS"/>
    <x v="0"/>
    <x v="6"/>
    <n v="59.694229903768601"/>
    <n v="21788.393914875502"/>
    <n v="78438.218093551899"/>
  </r>
  <r>
    <x v="0"/>
    <x v="0"/>
    <x v="0"/>
    <x v="3"/>
    <x v="14"/>
    <s v="SE4_HP"/>
    <x v="3"/>
    <s v="GHOB_NATGAS"/>
    <x v="0"/>
    <x v="7"/>
    <n v="63.260717946215202"/>
    <n v="23090.162050368599"/>
    <n v="83124.583381326796"/>
  </r>
  <r>
    <x v="0"/>
    <x v="0"/>
    <x v="0"/>
    <x v="3"/>
    <x v="14"/>
    <s v="SE4_HP"/>
    <x v="3"/>
    <s v="GHOB_NATGAS"/>
    <x v="0"/>
    <x v="8"/>
    <n v="48.021491985980198"/>
    <n v="17527.844574882802"/>
    <n v="63100.240469577999"/>
  </r>
  <r>
    <x v="0"/>
    <x v="0"/>
    <x v="0"/>
    <x v="3"/>
    <x v="14"/>
    <s v="SE4_HP"/>
    <x v="3"/>
    <s v="GHOB_NATGAS"/>
    <x v="0"/>
    <x v="9"/>
    <n v="34.794483124204"/>
    <n v="12699.986340334501"/>
    <n v="45719.950825204098"/>
  </r>
  <r>
    <x v="0"/>
    <x v="0"/>
    <x v="0"/>
    <x v="3"/>
    <x v="14"/>
    <s v="SE4_HP"/>
    <x v="3"/>
    <s v="GHOB_NATGAS"/>
    <x v="0"/>
    <x v="10"/>
    <n v="26.042790748129299"/>
    <n v="9505.6186230672101"/>
    <n v="34220.227043041901"/>
  </r>
  <r>
    <x v="0"/>
    <x v="0"/>
    <x v="0"/>
    <x v="3"/>
    <x v="14"/>
    <s v="SE4_HP"/>
    <x v="3"/>
    <s v="GHOB_NATGAS"/>
    <x v="0"/>
    <x v="11"/>
    <n v="20.170641798024"/>
    <n v="7362.28425627877"/>
    <n v="26504.223322603601"/>
  </r>
  <r>
    <x v="0"/>
    <x v="0"/>
    <x v="0"/>
    <x v="3"/>
    <x v="14"/>
    <s v="SE4_HP"/>
    <x v="3"/>
    <s v="GHOB_NATGAS"/>
    <x v="0"/>
    <x v="12"/>
    <n v="15.3922908810874"/>
    <n v="5618.1861715968998"/>
    <n v="20225.470217748902"/>
  </r>
  <r>
    <x v="0"/>
    <x v="0"/>
    <x v="0"/>
    <x v="3"/>
    <x v="14"/>
    <s v="SE4_HP"/>
    <x v="3"/>
    <s v="GHOB_NATGAS"/>
    <x v="0"/>
    <x v="13"/>
    <n v="15.7347519960067"/>
    <n v="5743.1844785424601"/>
    <n v="20675.464122752801"/>
  </r>
  <r>
    <x v="0"/>
    <x v="0"/>
    <x v="0"/>
    <x v="3"/>
    <x v="14"/>
    <s v="SE4_HP"/>
    <x v="3"/>
    <s v="GHOB_NATGAS"/>
    <x v="0"/>
    <x v="14"/>
    <n v="18.773959768514398"/>
    <n v="6852.4953155077401"/>
    <n v="24668.983135827901"/>
  </r>
  <r>
    <x v="0"/>
    <x v="0"/>
    <x v="0"/>
    <x v="3"/>
    <x v="14"/>
    <s v="SE4_HP"/>
    <x v="3"/>
    <s v="GHOB_NATGAS"/>
    <x v="0"/>
    <x v="15"/>
    <n v="23.6672508060532"/>
    <n v="8638.5465442094301"/>
    <n v="31098.767559153901"/>
  </r>
  <r>
    <x v="0"/>
    <x v="0"/>
    <x v="0"/>
    <x v="3"/>
    <x v="14"/>
    <s v="SE4_HP"/>
    <x v="3"/>
    <s v="GHOB_NATGAS"/>
    <x v="0"/>
    <x v="16"/>
    <n v="28.330060013263601"/>
    <n v="10340.471904841201"/>
    <n v="37225.698857428397"/>
  </r>
  <r>
    <x v="0"/>
    <x v="0"/>
    <x v="0"/>
    <x v="3"/>
    <x v="14"/>
    <s v="SE4_HP"/>
    <x v="3"/>
    <s v="GHOB_NATGAS"/>
    <x v="0"/>
    <x v="17"/>
    <n v="30.747318030100999"/>
    <n v="11222.7710809869"/>
    <n v="40401.975891552698"/>
  </r>
  <r>
    <x v="0"/>
    <x v="0"/>
    <x v="0"/>
    <x v="3"/>
    <x v="14"/>
    <s v="SE4_HP"/>
    <x v="3"/>
    <s v="GHOB_NATGAS"/>
    <x v="0"/>
    <x v="18"/>
    <n v="34.909677498138997"/>
    <n v="12742.0322868207"/>
    <n v="45871.3162325546"/>
  </r>
  <r>
    <x v="0"/>
    <x v="0"/>
    <x v="0"/>
    <x v="3"/>
    <x v="14"/>
    <s v="SE4_HP"/>
    <x v="3"/>
    <s v="GHOB_NATGAS"/>
    <x v="0"/>
    <x v="19"/>
    <n v="37.971401783132599"/>
    <n v="13859.5616508434"/>
    <n v="49894.421943036199"/>
  </r>
  <r>
    <x v="0"/>
    <x v="0"/>
    <x v="0"/>
    <x v="3"/>
    <x v="14"/>
    <s v="SE4_HP"/>
    <x v="3"/>
    <s v="GHOB_NATGAS"/>
    <x v="0"/>
    <x v="20"/>
    <n v="38.0687088790663"/>
    <n v="13895.0787408592"/>
    <n v="50022.283467093199"/>
  </r>
  <r>
    <x v="0"/>
    <x v="0"/>
    <x v="0"/>
    <x v="3"/>
    <x v="14"/>
    <s v="SE4_HP"/>
    <x v="3"/>
    <s v="GHOB_NATGAS"/>
    <x v="0"/>
    <x v="21"/>
    <n v="35.444414742007403"/>
    <n v="12937.211380832699"/>
    <n v="46573.960970997701"/>
  </r>
  <r>
    <x v="0"/>
    <x v="0"/>
    <x v="0"/>
    <x v="3"/>
    <x v="14"/>
    <s v="SE4_HP"/>
    <x v="3"/>
    <s v="GHOB_NATGAS"/>
    <x v="0"/>
    <x v="22"/>
    <n v="29.319752014708499"/>
    <n v="10701.709485368599"/>
    <n v="38526.154147326903"/>
  </r>
  <r>
    <x v="0"/>
    <x v="0"/>
    <x v="0"/>
    <x v="3"/>
    <x v="14"/>
    <s v="SE4_HP"/>
    <x v="3"/>
    <s v="GHOB_NATGAS"/>
    <x v="0"/>
    <x v="23"/>
    <n v="13.7966561094802"/>
    <n v="5035.7794799602698"/>
    <n v="18128.806127856999"/>
  </r>
  <r>
    <x v="0"/>
    <x v="0"/>
    <x v="0"/>
    <x v="3"/>
    <x v="14"/>
    <s v="SE4_HP"/>
    <x v="2"/>
    <s v="GHOB_WASTEHEAT"/>
    <x v="0"/>
    <x v="0"/>
    <n v="34.569597069596902"/>
    <n v="12617.902930402901"/>
    <n v="45424.450549450397"/>
  </r>
  <r>
    <x v="0"/>
    <x v="0"/>
    <x v="0"/>
    <x v="3"/>
    <x v="14"/>
    <s v="SE4_HP"/>
    <x v="2"/>
    <s v="GHOB_WASTEHEAT"/>
    <x v="0"/>
    <x v="1"/>
    <n v="34.569597069596902"/>
    <n v="12617.902930402901"/>
    <n v="45424.450549450397"/>
  </r>
  <r>
    <x v="0"/>
    <x v="0"/>
    <x v="0"/>
    <x v="3"/>
    <x v="14"/>
    <s v="SE4_HP"/>
    <x v="2"/>
    <s v="GHOB_WASTEHEAT"/>
    <x v="0"/>
    <x v="2"/>
    <n v="34.569597069596902"/>
    <n v="12617.902930402901"/>
    <n v="45424.450549450397"/>
  </r>
  <r>
    <x v="0"/>
    <x v="0"/>
    <x v="0"/>
    <x v="3"/>
    <x v="14"/>
    <s v="SE4_HP"/>
    <x v="2"/>
    <s v="GHOB_WASTEHEAT"/>
    <x v="0"/>
    <x v="3"/>
    <n v="34.569597069596902"/>
    <n v="12617.902930402901"/>
    <n v="45424.450549450397"/>
  </r>
  <r>
    <x v="0"/>
    <x v="0"/>
    <x v="0"/>
    <x v="3"/>
    <x v="14"/>
    <s v="SE4_HP"/>
    <x v="2"/>
    <s v="GHOB_WASTEHEAT"/>
    <x v="0"/>
    <x v="4"/>
    <n v="34.569597069596902"/>
    <n v="12617.902930402901"/>
    <n v="45424.450549450397"/>
  </r>
  <r>
    <x v="0"/>
    <x v="0"/>
    <x v="0"/>
    <x v="3"/>
    <x v="14"/>
    <s v="SE4_HP"/>
    <x v="2"/>
    <s v="GHOB_WASTEHEAT"/>
    <x v="0"/>
    <x v="5"/>
    <n v="34.569597069596902"/>
    <n v="12617.902930402901"/>
    <n v="45424.450549450397"/>
  </r>
  <r>
    <x v="0"/>
    <x v="0"/>
    <x v="0"/>
    <x v="3"/>
    <x v="14"/>
    <s v="SE4_HP"/>
    <x v="2"/>
    <s v="GHOB_WASTEHEAT"/>
    <x v="0"/>
    <x v="6"/>
    <n v="34.569597069596902"/>
    <n v="12617.902930402901"/>
    <n v="45424.450549450397"/>
  </r>
  <r>
    <x v="0"/>
    <x v="0"/>
    <x v="0"/>
    <x v="3"/>
    <x v="14"/>
    <s v="SE4_HP"/>
    <x v="2"/>
    <s v="GHOB_WASTEHEAT"/>
    <x v="0"/>
    <x v="7"/>
    <n v="34.569597069596902"/>
    <n v="12617.902930402901"/>
    <n v="45424.450549450397"/>
  </r>
  <r>
    <x v="0"/>
    <x v="0"/>
    <x v="0"/>
    <x v="3"/>
    <x v="14"/>
    <s v="SE4_HP"/>
    <x v="2"/>
    <s v="GHOB_WASTEHEAT"/>
    <x v="0"/>
    <x v="8"/>
    <n v="34.569597069596902"/>
    <n v="12617.902930402901"/>
    <n v="45424.450549450397"/>
  </r>
  <r>
    <x v="0"/>
    <x v="0"/>
    <x v="0"/>
    <x v="3"/>
    <x v="14"/>
    <s v="SE4_HP"/>
    <x v="2"/>
    <s v="GHOB_WASTEHEAT"/>
    <x v="0"/>
    <x v="9"/>
    <n v="34.569597069596902"/>
    <n v="12617.902930402901"/>
    <n v="45424.450549450397"/>
  </r>
  <r>
    <x v="0"/>
    <x v="0"/>
    <x v="0"/>
    <x v="3"/>
    <x v="14"/>
    <s v="SE4_HP"/>
    <x v="2"/>
    <s v="GHOB_WASTEHEAT"/>
    <x v="0"/>
    <x v="10"/>
    <n v="34.569597069596902"/>
    <n v="12617.902930402901"/>
    <n v="45424.450549450397"/>
  </r>
  <r>
    <x v="0"/>
    <x v="0"/>
    <x v="0"/>
    <x v="3"/>
    <x v="14"/>
    <s v="SE4_HP"/>
    <x v="2"/>
    <s v="GHOB_WASTEHEAT"/>
    <x v="0"/>
    <x v="11"/>
    <n v="34.569597069596902"/>
    <n v="12617.902930402901"/>
    <n v="45424.450549450397"/>
  </r>
  <r>
    <x v="0"/>
    <x v="0"/>
    <x v="0"/>
    <x v="3"/>
    <x v="14"/>
    <s v="SE4_HP"/>
    <x v="2"/>
    <s v="GHOB_WASTEHEAT"/>
    <x v="0"/>
    <x v="12"/>
    <n v="34.569597069596902"/>
    <n v="12617.902930402901"/>
    <n v="45424.450549450397"/>
  </r>
  <r>
    <x v="0"/>
    <x v="0"/>
    <x v="0"/>
    <x v="3"/>
    <x v="14"/>
    <s v="SE4_HP"/>
    <x v="2"/>
    <s v="GHOB_WASTEHEAT"/>
    <x v="0"/>
    <x v="13"/>
    <n v="34.569597069596902"/>
    <n v="12617.902930402901"/>
    <n v="45424.450549450397"/>
  </r>
  <r>
    <x v="0"/>
    <x v="0"/>
    <x v="0"/>
    <x v="3"/>
    <x v="14"/>
    <s v="SE4_HP"/>
    <x v="2"/>
    <s v="GHOB_WASTEHEAT"/>
    <x v="0"/>
    <x v="14"/>
    <n v="34.569597069596902"/>
    <n v="12617.902930402901"/>
    <n v="45424.450549450397"/>
  </r>
  <r>
    <x v="0"/>
    <x v="0"/>
    <x v="0"/>
    <x v="3"/>
    <x v="14"/>
    <s v="SE4_HP"/>
    <x v="2"/>
    <s v="GHOB_WASTEHEAT"/>
    <x v="0"/>
    <x v="15"/>
    <n v="34.569597069596902"/>
    <n v="12617.902930402901"/>
    <n v="45424.450549450397"/>
  </r>
  <r>
    <x v="0"/>
    <x v="0"/>
    <x v="0"/>
    <x v="3"/>
    <x v="14"/>
    <s v="SE4_HP"/>
    <x v="2"/>
    <s v="GHOB_WASTEHEAT"/>
    <x v="0"/>
    <x v="16"/>
    <n v="34.569597069596902"/>
    <n v="12617.902930402901"/>
    <n v="45424.450549450397"/>
  </r>
  <r>
    <x v="0"/>
    <x v="0"/>
    <x v="0"/>
    <x v="3"/>
    <x v="14"/>
    <s v="SE4_HP"/>
    <x v="2"/>
    <s v="GHOB_WASTEHEAT"/>
    <x v="0"/>
    <x v="17"/>
    <n v="34.569597069596902"/>
    <n v="12617.902930402901"/>
    <n v="45424.450549450397"/>
  </r>
  <r>
    <x v="0"/>
    <x v="0"/>
    <x v="0"/>
    <x v="3"/>
    <x v="14"/>
    <s v="SE4_HP"/>
    <x v="2"/>
    <s v="GHOB_WASTEHEAT"/>
    <x v="0"/>
    <x v="18"/>
    <n v="34.569597069596902"/>
    <n v="12617.902930402901"/>
    <n v="45424.450549450397"/>
  </r>
  <r>
    <x v="0"/>
    <x v="0"/>
    <x v="0"/>
    <x v="3"/>
    <x v="14"/>
    <s v="SE4_HP"/>
    <x v="2"/>
    <s v="GHOB_WASTEHEAT"/>
    <x v="0"/>
    <x v="19"/>
    <n v="34.569597069596902"/>
    <n v="12617.902930402901"/>
    <n v="45424.450549450397"/>
  </r>
  <r>
    <x v="0"/>
    <x v="0"/>
    <x v="0"/>
    <x v="3"/>
    <x v="14"/>
    <s v="SE4_HP"/>
    <x v="2"/>
    <s v="GHOB_WASTEHEAT"/>
    <x v="0"/>
    <x v="20"/>
    <n v="34.569597069596902"/>
    <n v="12617.902930402901"/>
    <n v="45424.450549450397"/>
  </r>
  <r>
    <x v="0"/>
    <x v="0"/>
    <x v="0"/>
    <x v="3"/>
    <x v="14"/>
    <s v="SE4_HP"/>
    <x v="2"/>
    <s v="GHOB_WASTEHEAT"/>
    <x v="0"/>
    <x v="21"/>
    <n v="34.569597069596902"/>
    <n v="12617.902930402901"/>
    <n v="45424.450549450397"/>
  </r>
  <r>
    <x v="0"/>
    <x v="0"/>
    <x v="0"/>
    <x v="3"/>
    <x v="14"/>
    <s v="SE4_HP"/>
    <x v="2"/>
    <s v="GHOB_WASTEHEAT"/>
    <x v="0"/>
    <x v="22"/>
    <n v="34.569597069596902"/>
    <n v="12617.902930402901"/>
    <n v="45424.450549450397"/>
  </r>
  <r>
    <x v="0"/>
    <x v="0"/>
    <x v="0"/>
    <x v="3"/>
    <x v="14"/>
    <s v="SE4_HP"/>
    <x v="2"/>
    <s v="GHOB_WASTEHEAT"/>
    <x v="0"/>
    <x v="23"/>
    <n v="34.569597069596902"/>
    <n v="12617.902930402901"/>
    <n v="45424.450549450397"/>
  </r>
  <r>
    <x v="0"/>
    <x v="0"/>
    <x v="0"/>
    <x v="3"/>
    <x v="14"/>
    <s v="SE4_HP"/>
    <x v="9"/>
    <s v="GHOB_WOODWASTE"/>
    <x v="0"/>
    <x v="0"/>
    <n v="15.465406407747"/>
    <n v="5644.8733388276496"/>
    <n v="20321.5440197795"/>
  </r>
  <r>
    <x v="0"/>
    <x v="0"/>
    <x v="0"/>
    <x v="3"/>
    <x v="14"/>
    <s v="SE4_HP"/>
    <x v="9"/>
    <s v="GHOB_WOODWASTE"/>
    <x v="0"/>
    <x v="1"/>
    <n v="15.465406407747"/>
    <n v="5644.8733388276496"/>
    <n v="20321.5440197795"/>
  </r>
  <r>
    <x v="0"/>
    <x v="0"/>
    <x v="0"/>
    <x v="3"/>
    <x v="14"/>
    <s v="SE4_HP"/>
    <x v="9"/>
    <s v="GHOB_WOODWASTE"/>
    <x v="0"/>
    <x v="2"/>
    <n v="15.465406407747"/>
    <n v="5644.8733388276496"/>
    <n v="20321.5440197795"/>
  </r>
  <r>
    <x v="0"/>
    <x v="0"/>
    <x v="0"/>
    <x v="3"/>
    <x v="14"/>
    <s v="SE4_HP"/>
    <x v="9"/>
    <s v="GHOB_WOODWASTE"/>
    <x v="0"/>
    <x v="3"/>
    <n v="15.465406407747"/>
    <n v="5644.8733388276496"/>
    <n v="20321.5440197795"/>
  </r>
  <r>
    <x v="0"/>
    <x v="0"/>
    <x v="0"/>
    <x v="3"/>
    <x v="14"/>
    <s v="SE4_HP"/>
    <x v="9"/>
    <s v="GHOB_WOODWASTE"/>
    <x v="0"/>
    <x v="4"/>
    <n v="15.465406407747"/>
    <n v="5644.8733388276496"/>
    <n v="20321.5440197795"/>
  </r>
  <r>
    <x v="0"/>
    <x v="0"/>
    <x v="0"/>
    <x v="3"/>
    <x v="14"/>
    <s v="SE4_HP"/>
    <x v="9"/>
    <s v="GHOB_WOODWASTE"/>
    <x v="0"/>
    <x v="5"/>
    <n v="15.465406407747"/>
    <n v="5644.8733388276496"/>
    <n v="20321.5440197795"/>
  </r>
  <r>
    <x v="0"/>
    <x v="0"/>
    <x v="0"/>
    <x v="3"/>
    <x v="14"/>
    <s v="SE4_HP"/>
    <x v="9"/>
    <s v="GHOB_WOODWASTE"/>
    <x v="0"/>
    <x v="6"/>
    <n v="15.465406407747"/>
    <n v="5644.8733388276496"/>
    <n v="20321.5440197795"/>
  </r>
  <r>
    <x v="0"/>
    <x v="0"/>
    <x v="0"/>
    <x v="3"/>
    <x v="14"/>
    <s v="SE4_HP"/>
    <x v="9"/>
    <s v="GHOB_WOODWASTE"/>
    <x v="0"/>
    <x v="7"/>
    <n v="15.465406407747"/>
    <n v="5644.8733388276496"/>
    <n v="20321.5440197795"/>
  </r>
  <r>
    <x v="0"/>
    <x v="0"/>
    <x v="0"/>
    <x v="3"/>
    <x v="14"/>
    <s v="SE4_HP"/>
    <x v="9"/>
    <s v="GHOB_WOODWASTE"/>
    <x v="0"/>
    <x v="8"/>
    <n v="15.465406407747"/>
    <n v="5644.8733388276496"/>
    <n v="20321.5440197795"/>
  </r>
  <r>
    <x v="0"/>
    <x v="0"/>
    <x v="0"/>
    <x v="3"/>
    <x v="14"/>
    <s v="SE4_HP"/>
    <x v="9"/>
    <s v="GHOB_WOODWASTE"/>
    <x v="0"/>
    <x v="9"/>
    <n v="15.465406407747"/>
    <n v="5644.8733388276496"/>
    <n v="20321.5440197795"/>
  </r>
  <r>
    <x v="0"/>
    <x v="0"/>
    <x v="0"/>
    <x v="3"/>
    <x v="14"/>
    <s v="SE4_HP"/>
    <x v="9"/>
    <s v="GHOB_WOODWASTE"/>
    <x v="0"/>
    <x v="10"/>
    <n v="15.465406407747"/>
    <n v="5644.8733388276496"/>
    <n v="20321.5440197795"/>
  </r>
  <r>
    <x v="0"/>
    <x v="0"/>
    <x v="0"/>
    <x v="3"/>
    <x v="14"/>
    <s v="SE4_HP"/>
    <x v="9"/>
    <s v="GHOB_WOODWASTE"/>
    <x v="0"/>
    <x v="11"/>
    <n v="15.465406407747"/>
    <n v="5644.8733388276496"/>
    <n v="20321.5440197795"/>
  </r>
  <r>
    <x v="0"/>
    <x v="0"/>
    <x v="0"/>
    <x v="3"/>
    <x v="14"/>
    <s v="SE4_HP"/>
    <x v="9"/>
    <s v="GHOB_WOODWASTE"/>
    <x v="0"/>
    <x v="12"/>
    <n v="15.465406407747"/>
    <n v="5644.8733388276496"/>
    <n v="20321.5440197795"/>
  </r>
  <r>
    <x v="0"/>
    <x v="0"/>
    <x v="0"/>
    <x v="3"/>
    <x v="14"/>
    <s v="SE4_HP"/>
    <x v="9"/>
    <s v="GHOB_WOODWASTE"/>
    <x v="0"/>
    <x v="13"/>
    <n v="15.465406407747"/>
    <n v="5644.8733388276496"/>
    <n v="20321.5440197795"/>
  </r>
  <r>
    <x v="0"/>
    <x v="0"/>
    <x v="0"/>
    <x v="3"/>
    <x v="14"/>
    <s v="SE4_HP"/>
    <x v="9"/>
    <s v="GHOB_WOODWASTE"/>
    <x v="0"/>
    <x v="14"/>
    <n v="15.465406407747"/>
    <n v="5644.8733388276496"/>
    <n v="20321.5440197795"/>
  </r>
  <r>
    <x v="0"/>
    <x v="0"/>
    <x v="0"/>
    <x v="3"/>
    <x v="14"/>
    <s v="SE4_HP"/>
    <x v="9"/>
    <s v="GHOB_WOODWASTE"/>
    <x v="0"/>
    <x v="15"/>
    <n v="15.465406407747"/>
    <n v="5644.8733388276496"/>
    <n v="20321.5440197795"/>
  </r>
  <r>
    <x v="0"/>
    <x v="0"/>
    <x v="0"/>
    <x v="3"/>
    <x v="14"/>
    <s v="SE4_HP"/>
    <x v="9"/>
    <s v="GHOB_WOODWASTE"/>
    <x v="0"/>
    <x v="16"/>
    <n v="15.465406407747"/>
    <n v="5644.8733388276496"/>
    <n v="20321.5440197795"/>
  </r>
  <r>
    <x v="0"/>
    <x v="0"/>
    <x v="0"/>
    <x v="3"/>
    <x v="14"/>
    <s v="SE4_HP"/>
    <x v="9"/>
    <s v="GHOB_WOODWASTE"/>
    <x v="0"/>
    <x v="17"/>
    <n v="15.465406407747"/>
    <n v="5644.8733388276496"/>
    <n v="20321.5440197795"/>
  </r>
  <r>
    <x v="0"/>
    <x v="0"/>
    <x v="0"/>
    <x v="3"/>
    <x v="14"/>
    <s v="SE4_HP"/>
    <x v="9"/>
    <s v="GHOB_WOODWASTE"/>
    <x v="0"/>
    <x v="18"/>
    <n v="15.465406407747"/>
    <n v="5644.8733388276496"/>
    <n v="20321.5440197795"/>
  </r>
  <r>
    <x v="0"/>
    <x v="0"/>
    <x v="0"/>
    <x v="3"/>
    <x v="14"/>
    <s v="SE4_HP"/>
    <x v="9"/>
    <s v="GHOB_WOODWASTE"/>
    <x v="0"/>
    <x v="19"/>
    <n v="15.465406407747"/>
    <n v="5644.8733388276496"/>
    <n v="20321.5440197795"/>
  </r>
  <r>
    <x v="0"/>
    <x v="0"/>
    <x v="0"/>
    <x v="3"/>
    <x v="14"/>
    <s v="SE4_HP"/>
    <x v="9"/>
    <s v="GHOB_WOODWASTE"/>
    <x v="0"/>
    <x v="20"/>
    <n v="15.465406407747"/>
    <n v="5644.8733388276496"/>
    <n v="20321.5440197795"/>
  </r>
  <r>
    <x v="0"/>
    <x v="0"/>
    <x v="0"/>
    <x v="3"/>
    <x v="14"/>
    <s v="SE4_HP"/>
    <x v="9"/>
    <s v="GHOB_WOODWASTE"/>
    <x v="0"/>
    <x v="21"/>
    <n v="15.465406407747"/>
    <n v="5644.8733388276496"/>
    <n v="20321.5440197795"/>
  </r>
  <r>
    <x v="0"/>
    <x v="0"/>
    <x v="0"/>
    <x v="3"/>
    <x v="14"/>
    <s v="SE4_HP"/>
    <x v="9"/>
    <s v="GHOB_WOODWASTE"/>
    <x v="0"/>
    <x v="22"/>
    <n v="15.465406407747"/>
    <n v="5644.8733388276496"/>
    <n v="20321.5440197795"/>
  </r>
  <r>
    <x v="0"/>
    <x v="0"/>
    <x v="0"/>
    <x v="3"/>
    <x v="14"/>
    <s v="SE4_HP"/>
    <x v="9"/>
    <s v="GHOB_WOODWASTE"/>
    <x v="0"/>
    <x v="23"/>
    <n v="15.465406407747"/>
    <n v="5644.8733388276496"/>
    <n v="20321.5440197795"/>
  </r>
  <r>
    <x v="0"/>
    <x v="0"/>
    <x v="0"/>
    <x v="3"/>
    <x v="14"/>
    <s v="SE4_MAL"/>
    <x v="1"/>
    <s v="GBPR_MUNIWASTE_24"/>
    <x v="0"/>
    <x v="0"/>
    <n v="131.53691103230599"/>
    <n v="48010.9725267916"/>
    <n v="172839.50109645"/>
  </r>
  <r>
    <x v="0"/>
    <x v="0"/>
    <x v="0"/>
    <x v="3"/>
    <x v="14"/>
    <s v="SE4_MAL"/>
    <x v="1"/>
    <s v="GBPR_MUNIWASTE_24"/>
    <x v="0"/>
    <x v="1"/>
    <n v="131.53691103230599"/>
    <n v="48010.9725267916"/>
    <n v="172839.50109645"/>
  </r>
  <r>
    <x v="0"/>
    <x v="0"/>
    <x v="0"/>
    <x v="3"/>
    <x v="14"/>
    <s v="SE4_MAL"/>
    <x v="1"/>
    <s v="GBPR_MUNIWASTE_24"/>
    <x v="0"/>
    <x v="2"/>
    <n v="131.53691103230599"/>
    <n v="48010.9725267916"/>
    <n v="172839.50109645"/>
  </r>
  <r>
    <x v="0"/>
    <x v="0"/>
    <x v="0"/>
    <x v="3"/>
    <x v="14"/>
    <s v="SE4_MAL"/>
    <x v="1"/>
    <s v="GBPR_MUNIWASTE_24"/>
    <x v="0"/>
    <x v="3"/>
    <n v="131.53691103230599"/>
    <n v="48010.9725267916"/>
    <n v="172839.50109645"/>
  </r>
  <r>
    <x v="0"/>
    <x v="0"/>
    <x v="0"/>
    <x v="3"/>
    <x v="14"/>
    <s v="SE4_MAL"/>
    <x v="1"/>
    <s v="GBPR_MUNIWASTE_24"/>
    <x v="0"/>
    <x v="4"/>
    <n v="131.53691103230599"/>
    <n v="48010.9725267916"/>
    <n v="172839.50109645"/>
  </r>
  <r>
    <x v="0"/>
    <x v="0"/>
    <x v="0"/>
    <x v="3"/>
    <x v="14"/>
    <s v="SE4_MAL"/>
    <x v="1"/>
    <s v="GBPR_MUNIWASTE_24"/>
    <x v="0"/>
    <x v="5"/>
    <n v="131.53691103230599"/>
    <n v="48010.9725267916"/>
    <n v="172839.50109645"/>
  </r>
  <r>
    <x v="0"/>
    <x v="0"/>
    <x v="0"/>
    <x v="3"/>
    <x v="14"/>
    <s v="SE4_MAL"/>
    <x v="1"/>
    <s v="GBPR_MUNIWASTE_24"/>
    <x v="0"/>
    <x v="6"/>
    <n v="131.53691103230599"/>
    <n v="48010.9725267916"/>
    <n v="172839.50109645"/>
  </r>
  <r>
    <x v="0"/>
    <x v="0"/>
    <x v="0"/>
    <x v="3"/>
    <x v="14"/>
    <s v="SE4_MAL"/>
    <x v="1"/>
    <s v="GBPR_MUNIWASTE_24"/>
    <x v="0"/>
    <x v="7"/>
    <n v="131.53691103230599"/>
    <n v="48010.9725267916"/>
    <n v="172839.50109645"/>
  </r>
  <r>
    <x v="0"/>
    <x v="0"/>
    <x v="0"/>
    <x v="3"/>
    <x v="14"/>
    <s v="SE4_MAL"/>
    <x v="1"/>
    <s v="GBPR_MUNIWASTE_24"/>
    <x v="0"/>
    <x v="8"/>
    <n v="131.53691103230599"/>
    <n v="48010.9725267916"/>
    <n v="172839.50109645"/>
  </r>
  <r>
    <x v="0"/>
    <x v="0"/>
    <x v="0"/>
    <x v="3"/>
    <x v="14"/>
    <s v="SE4_MAL"/>
    <x v="1"/>
    <s v="GBPR_MUNIWASTE_24"/>
    <x v="0"/>
    <x v="9"/>
    <n v="131.53691103230599"/>
    <n v="48010.9725267916"/>
    <n v="172839.50109645"/>
  </r>
  <r>
    <x v="0"/>
    <x v="0"/>
    <x v="0"/>
    <x v="3"/>
    <x v="14"/>
    <s v="SE4_MAL"/>
    <x v="1"/>
    <s v="GBPR_MUNIWASTE_24"/>
    <x v="0"/>
    <x v="10"/>
    <n v="131.53691103230599"/>
    <n v="48010.9725267916"/>
    <n v="172839.50109645"/>
  </r>
  <r>
    <x v="0"/>
    <x v="0"/>
    <x v="0"/>
    <x v="3"/>
    <x v="14"/>
    <s v="SE4_MAL"/>
    <x v="1"/>
    <s v="GBPR_MUNIWASTE_24"/>
    <x v="0"/>
    <x v="11"/>
    <n v="131.53691103230599"/>
    <n v="48010.9725267916"/>
    <n v="172839.50109645"/>
  </r>
  <r>
    <x v="0"/>
    <x v="0"/>
    <x v="0"/>
    <x v="3"/>
    <x v="14"/>
    <s v="SE4_MAL"/>
    <x v="1"/>
    <s v="GBPR_MUNIWASTE_24"/>
    <x v="0"/>
    <x v="12"/>
    <n v="131.53691103230599"/>
    <n v="48010.9725267916"/>
    <n v="172839.50109645"/>
  </r>
  <r>
    <x v="0"/>
    <x v="0"/>
    <x v="0"/>
    <x v="3"/>
    <x v="14"/>
    <s v="SE4_MAL"/>
    <x v="1"/>
    <s v="GBPR_MUNIWASTE_24"/>
    <x v="0"/>
    <x v="13"/>
    <n v="131.53691103230599"/>
    <n v="48010.9725267916"/>
    <n v="172839.50109645"/>
  </r>
  <r>
    <x v="0"/>
    <x v="0"/>
    <x v="0"/>
    <x v="3"/>
    <x v="14"/>
    <s v="SE4_MAL"/>
    <x v="1"/>
    <s v="GBPR_MUNIWASTE_24"/>
    <x v="0"/>
    <x v="14"/>
    <n v="131.53691103230599"/>
    <n v="48010.9725267916"/>
    <n v="172839.50109645"/>
  </r>
  <r>
    <x v="0"/>
    <x v="0"/>
    <x v="0"/>
    <x v="3"/>
    <x v="14"/>
    <s v="SE4_MAL"/>
    <x v="1"/>
    <s v="GBPR_MUNIWASTE_24"/>
    <x v="0"/>
    <x v="15"/>
    <n v="131.53691103230599"/>
    <n v="48010.9725267916"/>
    <n v="172839.50109645"/>
  </r>
  <r>
    <x v="0"/>
    <x v="0"/>
    <x v="0"/>
    <x v="3"/>
    <x v="14"/>
    <s v="SE4_MAL"/>
    <x v="1"/>
    <s v="GBPR_MUNIWASTE_24"/>
    <x v="0"/>
    <x v="16"/>
    <n v="131.53691103230599"/>
    <n v="48010.9725267916"/>
    <n v="172839.50109645"/>
  </r>
  <r>
    <x v="0"/>
    <x v="0"/>
    <x v="0"/>
    <x v="3"/>
    <x v="14"/>
    <s v="SE4_MAL"/>
    <x v="1"/>
    <s v="GBPR_MUNIWASTE_24"/>
    <x v="0"/>
    <x v="17"/>
    <n v="131.53691103230599"/>
    <n v="48010.9725267916"/>
    <n v="172839.50109645"/>
  </r>
  <r>
    <x v="0"/>
    <x v="0"/>
    <x v="0"/>
    <x v="3"/>
    <x v="14"/>
    <s v="SE4_MAL"/>
    <x v="1"/>
    <s v="GBPR_MUNIWASTE_24"/>
    <x v="0"/>
    <x v="18"/>
    <n v="131.53691103230599"/>
    <n v="48010.9725267916"/>
    <n v="172839.50109645"/>
  </r>
  <r>
    <x v="0"/>
    <x v="0"/>
    <x v="0"/>
    <x v="3"/>
    <x v="14"/>
    <s v="SE4_MAL"/>
    <x v="1"/>
    <s v="GBPR_MUNIWASTE_24"/>
    <x v="0"/>
    <x v="19"/>
    <n v="131.53691103230599"/>
    <n v="48010.9725267916"/>
    <n v="172839.50109645"/>
  </r>
  <r>
    <x v="0"/>
    <x v="0"/>
    <x v="0"/>
    <x v="3"/>
    <x v="14"/>
    <s v="SE4_MAL"/>
    <x v="1"/>
    <s v="GBPR_MUNIWASTE_24"/>
    <x v="0"/>
    <x v="20"/>
    <n v="131.53691103230599"/>
    <n v="48010.9725267916"/>
    <n v="172839.50109645"/>
  </r>
  <r>
    <x v="0"/>
    <x v="0"/>
    <x v="0"/>
    <x v="3"/>
    <x v="14"/>
    <s v="SE4_MAL"/>
    <x v="1"/>
    <s v="GBPR_MUNIWASTE_24"/>
    <x v="0"/>
    <x v="21"/>
    <n v="131.53691103230599"/>
    <n v="48010.9725267916"/>
    <n v="172839.50109645"/>
  </r>
  <r>
    <x v="0"/>
    <x v="0"/>
    <x v="0"/>
    <x v="3"/>
    <x v="14"/>
    <s v="SE4_MAL"/>
    <x v="1"/>
    <s v="GBPR_MUNIWASTE_24"/>
    <x v="0"/>
    <x v="22"/>
    <n v="131.53691103230599"/>
    <n v="48010.9725267916"/>
    <n v="172839.50109645"/>
  </r>
  <r>
    <x v="0"/>
    <x v="0"/>
    <x v="0"/>
    <x v="3"/>
    <x v="14"/>
    <s v="SE4_MAL"/>
    <x v="1"/>
    <s v="GBPR_MUNIWASTE_24"/>
    <x v="0"/>
    <x v="23"/>
    <n v="131.53691103230599"/>
    <n v="48010.9725267916"/>
    <n v="172839.50109645"/>
  </r>
  <r>
    <x v="0"/>
    <x v="0"/>
    <x v="0"/>
    <x v="3"/>
    <x v="14"/>
    <s v="SE4_MAL"/>
    <x v="1"/>
    <s v="GHOB_MUNIWASTE"/>
    <x v="0"/>
    <x v="0"/>
    <n v="51.841475851120002"/>
    <n v="18922.1386856588"/>
    <n v="68119.699268371696"/>
  </r>
  <r>
    <x v="0"/>
    <x v="0"/>
    <x v="0"/>
    <x v="3"/>
    <x v="14"/>
    <s v="SE4_MAL"/>
    <x v="1"/>
    <s v="GHOB_MUNIWASTE"/>
    <x v="0"/>
    <x v="1"/>
    <n v="51.841475851120002"/>
    <n v="18922.1386856588"/>
    <n v="68119.699268371696"/>
  </r>
  <r>
    <x v="0"/>
    <x v="0"/>
    <x v="0"/>
    <x v="3"/>
    <x v="14"/>
    <s v="SE4_MAL"/>
    <x v="1"/>
    <s v="GHOB_MUNIWASTE"/>
    <x v="0"/>
    <x v="2"/>
    <n v="51.841475851120002"/>
    <n v="18922.1386856588"/>
    <n v="68119.699268371696"/>
  </r>
  <r>
    <x v="0"/>
    <x v="0"/>
    <x v="0"/>
    <x v="3"/>
    <x v="14"/>
    <s v="SE4_MAL"/>
    <x v="1"/>
    <s v="GHOB_MUNIWASTE"/>
    <x v="0"/>
    <x v="3"/>
    <n v="51.841475851120002"/>
    <n v="18922.1386856588"/>
    <n v="68119.699268371696"/>
  </r>
  <r>
    <x v="0"/>
    <x v="0"/>
    <x v="0"/>
    <x v="3"/>
    <x v="14"/>
    <s v="SE4_MAL"/>
    <x v="1"/>
    <s v="GHOB_MUNIWASTE"/>
    <x v="0"/>
    <x v="4"/>
    <n v="51.841475851120002"/>
    <n v="18922.1386856588"/>
    <n v="68119.699268371696"/>
  </r>
  <r>
    <x v="0"/>
    <x v="0"/>
    <x v="0"/>
    <x v="3"/>
    <x v="14"/>
    <s v="SE4_MAL"/>
    <x v="1"/>
    <s v="GHOB_MUNIWASTE"/>
    <x v="0"/>
    <x v="5"/>
    <n v="51.841475851120002"/>
    <n v="18922.1386856588"/>
    <n v="68119.699268371696"/>
  </r>
  <r>
    <x v="0"/>
    <x v="0"/>
    <x v="0"/>
    <x v="3"/>
    <x v="14"/>
    <s v="SE4_MAL"/>
    <x v="1"/>
    <s v="GHOB_MUNIWASTE"/>
    <x v="0"/>
    <x v="6"/>
    <n v="51.841475851120002"/>
    <n v="18922.1386856588"/>
    <n v="68119.699268371696"/>
  </r>
  <r>
    <x v="0"/>
    <x v="0"/>
    <x v="0"/>
    <x v="3"/>
    <x v="14"/>
    <s v="SE4_MAL"/>
    <x v="1"/>
    <s v="GHOB_MUNIWASTE"/>
    <x v="0"/>
    <x v="7"/>
    <n v="51.841475851120002"/>
    <n v="18922.1386856588"/>
    <n v="68119.699268371696"/>
  </r>
  <r>
    <x v="0"/>
    <x v="0"/>
    <x v="0"/>
    <x v="3"/>
    <x v="14"/>
    <s v="SE4_MAL"/>
    <x v="1"/>
    <s v="GHOB_MUNIWASTE"/>
    <x v="0"/>
    <x v="8"/>
    <n v="51.841475851120002"/>
    <n v="18922.1386856588"/>
    <n v="68119.699268371696"/>
  </r>
  <r>
    <x v="0"/>
    <x v="0"/>
    <x v="0"/>
    <x v="3"/>
    <x v="14"/>
    <s v="SE4_MAL"/>
    <x v="1"/>
    <s v="GHOB_MUNIWASTE"/>
    <x v="0"/>
    <x v="9"/>
    <n v="51.841475851120002"/>
    <n v="18922.1386856588"/>
    <n v="68119.699268371696"/>
  </r>
  <r>
    <x v="0"/>
    <x v="0"/>
    <x v="0"/>
    <x v="3"/>
    <x v="14"/>
    <s v="SE4_MAL"/>
    <x v="1"/>
    <s v="GHOB_MUNIWASTE"/>
    <x v="0"/>
    <x v="10"/>
    <n v="51.841475851120002"/>
    <n v="18922.1386856588"/>
    <n v="68119.699268371696"/>
  </r>
  <r>
    <x v="0"/>
    <x v="0"/>
    <x v="0"/>
    <x v="3"/>
    <x v="14"/>
    <s v="SE4_MAL"/>
    <x v="1"/>
    <s v="GHOB_MUNIWASTE"/>
    <x v="0"/>
    <x v="11"/>
    <n v="51.841475851120002"/>
    <n v="18922.1386856588"/>
    <n v="68119.699268371696"/>
  </r>
  <r>
    <x v="0"/>
    <x v="0"/>
    <x v="0"/>
    <x v="3"/>
    <x v="14"/>
    <s v="SE4_MAL"/>
    <x v="1"/>
    <s v="GHOB_MUNIWASTE"/>
    <x v="0"/>
    <x v="12"/>
    <n v="51.841475851120002"/>
    <n v="18922.1386856588"/>
    <n v="68119.699268371696"/>
  </r>
  <r>
    <x v="0"/>
    <x v="0"/>
    <x v="0"/>
    <x v="3"/>
    <x v="14"/>
    <s v="SE4_MAL"/>
    <x v="1"/>
    <s v="GHOB_MUNIWASTE"/>
    <x v="0"/>
    <x v="13"/>
    <n v="51.841475851120002"/>
    <n v="18922.1386856588"/>
    <n v="68119.699268371696"/>
  </r>
  <r>
    <x v="0"/>
    <x v="0"/>
    <x v="0"/>
    <x v="3"/>
    <x v="14"/>
    <s v="SE4_MAL"/>
    <x v="1"/>
    <s v="GHOB_MUNIWASTE"/>
    <x v="0"/>
    <x v="14"/>
    <n v="51.841475851120002"/>
    <n v="18922.1386856588"/>
    <n v="68119.699268371696"/>
  </r>
  <r>
    <x v="0"/>
    <x v="0"/>
    <x v="0"/>
    <x v="3"/>
    <x v="14"/>
    <s v="SE4_MAL"/>
    <x v="1"/>
    <s v="GHOB_MUNIWASTE"/>
    <x v="0"/>
    <x v="15"/>
    <n v="51.841475851120002"/>
    <n v="18922.1386856588"/>
    <n v="68119.699268371696"/>
  </r>
  <r>
    <x v="0"/>
    <x v="0"/>
    <x v="0"/>
    <x v="3"/>
    <x v="14"/>
    <s v="SE4_MAL"/>
    <x v="1"/>
    <s v="GHOB_MUNIWASTE"/>
    <x v="0"/>
    <x v="16"/>
    <n v="51.841475851120002"/>
    <n v="18922.1386856588"/>
    <n v="68119.699268371696"/>
  </r>
  <r>
    <x v="0"/>
    <x v="0"/>
    <x v="0"/>
    <x v="3"/>
    <x v="14"/>
    <s v="SE4_MAL"/>
    <x v="1"/>
    <s v="GHOB_MUNIWASTE"/>
    <x v="0"/>
    <x v="17"/>
    <n v="51.841475851120002"/>
    <n v="18922.1386856588"/>
    <n v="68119.699268371696"/>
  </r>
  <r>
    <x v="0"/>
    <x v="0"/>
    <x v="0"/>
    <x v="3"/>
    <x v="14"/>
    <s v="SE4_MAL"/>
    <x v="1"/>
    <s v="GHOB_MUNIWASTE"/>
    <x v="0"/>
    <x v="18"/>
    <n v="51.841475851120002"/>
    <n v="18922.1386856588"/>
    <n v="68119.699268371696"/>
  </r>
  <r>
    <x v="0"/>
    <x v="0"/>
    <x v="0"/>
    <x v="3"/>
    <x v="14"/>
    <s v="SE4_MAL"/>
    <x v="1"/>
    <s v="GHOB_MUNIWASTE"/>
    <x v="0"/>
    <x v="19"/>
    <n v="51.841475851120002"/>
    <n v="18922.1386856588"/>
    <n v="68119.699268371696"/>
  </r>
  <r>
    <x v="0"/>
    <x v="0"/>
    <x v="0"/>
    <x v="3"/>
    <x v="14"/>
    <s v="SE4_MAL"/>
    <x v="1"/>
    <s v="GHOB_MUNIWASTE"/>
    <x v="0"/>
    <x v="20"/>
    <n v="51.841475851120002"/>
    <n v="18922.1386856588"/>
    <n v="68119.699268371696"/>
  </r>
  <r>
    <x v="0"/>
    <x v="0"/>
    <x v="0"/>
    <x v="3"/>
    <x v="14"/>
    <s v="SE4_MAL"/>
    <x v="1"/>
    <s v="GHOB_MUNIWASTE"/>
    <x v="0"/>
    <x v="21"/>
    <n v="51.841475851120002"/>
    <n v="18922.1386856588"/>
    <n v="68119.699268371696"/>
  </r>
  <r>
    <x v="0"/>
    <x v="0"/>
    <x v="0"/>
    <x v="3"/>
    <x v="14"/>
    <s v="SE4_MAL"/>
    <x v="1"/>
    <s v="GHOB_MUNIWASTE"/>
    <x v="0"/>
    <x v="22"/>
    <n v="51.841475851120002"/>
    <n v="18922.1386856588"/>
    <n v="68119.699268371696"/>
  </r>
  <r>
    <x v="0"/>
    <x v="0"/>
    <x v="0"/>
    <x v="3"/>
    <x v="14"/>
    <s v="SE4_MAL"/>
    <x v="1"/>
    <s v="GHOB_MUNIWASTE"/>
    <x v="0"/>
    <x v="23"/>
    <n v="51.841475851120002"/>
    <n v="18922.1386856588"/>
    <n v="68119.699268371696"/>
  </r>
  <r>
    <x v="0"/>
    <x v="0"/>
    <x v="0"/>
    <x v="3"/>
    <x v="14"/>
    <s v="SE4_MAL"/>
    <x v="3"/>
    <s v="GBPR_NATGAS_MAL"/>
    <x v="0"/>
    <x v="5"/>
    <n v="38.895247010149099"/>
    <n v="14196.7651587044"/>
    <n v="51108.354571335898"/>
  </r>
  <r>
    <x v="0"/>
    <x v="0"/>
    <x v="0"/>
    <x v="3"/>
    <x v="14"/>
    <s v="SE4_MAL"/>
    <x v="3"/>
    <s v="GBPR_NATGAS_MAL"/>
    <x v="0"/>
    <x v="6"/>
    <n v="122.75209858324899"/>
    <n v="44804.515982885801"/>
    <n v="161296.25753838901"/>
  </r>
  <r>
    <x v="0"/>
    <x v="0"/>
    <x v="0"/>
    <x v="3"/>
    <x v="14"/>
    <s v="SE4_MAL"/>
    <x v="3"/>
    <s v="GBPR_NATGAS_MAL"/>
    <x v="0"/>
    <x v="7"/>
    <n v="130.029236441324"/>
    <n v="47460.671301083203"/>
    <n v="170858.41668389901"/>
  </r>
  <r>
    <x v="0"/>
    <x v="0"/>
    <x v="0"/>
    <x v="3"/>
    <x v="14"/>
    <s v="SE4_MAL"/>
    <x v="3"/>
    <s v="GBPR_NATGAS_MAL"/>
    <x v="0"/>
    <x v="8"/>
    <n v="90.305462277678103"/>
    <n v="32961.493731352501"/>
    <n v="118661.37743286901"/>
  </r>
  <r>
    <x v="0"/>
    <x v="0"/>
    <x v="0"/>
    <x v="3"/>
    <x v="14"/>
    <s v="SE4_MAL"/>
    <x v="3"/>
    <s v="GBPR_NATGAS_MAL"/>
    <x v="0"/>
    <x v="9"/>
    <n v="55.226595046061298"/>
    <n v="20157.707191812398"/>
    <n v="72567.745890524602"/>
  </r>
  <r>
    <x v="0"/>
    <x v="0"/>
    <x v="0"/>
    <x v="3"/>
    <x v="14"/>
    <s v="SE4_MAL"/>
    <x v="3"/>
    <s v="GBPR_NATGAS_MAL"/>
    <x v="0"/>
    <x v="10"/>
    <n v="32.629069540436802"/>
    <n v="11909.6103822594"/>
    <n v="42874.597376133999"/>
  </r>
  <r>
    <x v="0"/>
    <x v="0"/>
    <x v="0"/>
    <x v="3"/>
    <x v="14"/>
    <s v="SE4_MAL"/>
    <x v="3"/>
    <s v="GBPR_NATGAS_MAL"/>
    <x v="0"/>
    <x v="11"/>
    <n v="16.3829569563535"/>
    <n v="5979.7792890690398"/>
    <n v="21527.2054406485"/>
  </r>
  <r>
    <x v="0"/>
    <x v="0"/>
    <x v="0"/>
    <x v="3"/>
    <x v="14"/>
    <s v="SE4_MAL"/>
    <x v="3"/>
    <s v="GBPR_NATGAS_MAL"/>
    <x v="0"/>
    <x v="12"/>
    <n v="3.28047560943667"/>
    <n v="1197.37359744439"/>
    <n v="4310.5449507997901"/>
  </r>
  <r>
    <x v="0"/>
    <x v="0"/>
    <x v="0"/>
    <x v="3"/>
    <x v="14"/>
    <s v="SE4_MAL"/>
    <x v="3"/>
    <s v="GBPR_NATGAS_MAL"/>
    <x v="0"/>
    <x v="13"/>
    <n v="4.6407960508431296"/>
    <n v="1693.89055855774"/>
    <n v="6098.0060108078796"/>
  </r>
  <r>
    <x v="0"/>
    <x v="0"/>
    <x v="0"/>
    <x v="3"/>
    <x v="14"/>
    <s v="SE4_MAL"/>
    <x v="3"/>
    <s v="GBPR_NATGAS_MAL"/>
    <x v="0"/>
    <x v="14"/>
    <n v="14.6767250529542"/>
    <n v="5357.0046443282699"/>
    <n v="19285.2167195818"/>
  </r>
  <r>
    <x v="0"/>
    <x v="0"/>
    <x v="0"/>
    <x v="3"/>
    <x v="14"/>
    <s v="SE4_MAL"/>
    <x v="3"/>
    <s v="GBPR_NATGAS_MAL"/>
    <x v="0"/>
    <x v="15"/>
    <n v="28.825102600976098"/>
    <n v="10521.162449356299"/>
    <n v="37876.184817682602"/>
  </r>
  <r>
    <x v="0"/>
    <x v="0"/>
    <x v="0"/>
    <x v="3"/>
    <x v="14"/>
    <s v="SE4_MAL"/>
    <x v="3"/>
    <s v="GBPR_NATGAS_MAL"/>
    <x v="0"/>
    <x v="16"/>
    <n v="43.563255020198802"/>
    <n v="15900.5880823726"/>
    <n v="57242.117096541297"/>
  </r>
  <r>
    <x v="0"/>
    <x v="0"/>
    <x v="0"/>
    <x v="3"/>
    <x v="14"/>
    <s v="SE4_MAL"/>
    <x v="3"/>
    <s v="GBPR_NATGAS_MAL"/>
    <x v="0"/>
    <x v="17"/>
    <n v="54.943953638206999"/>
    <n v="20054.5430779456"/>
    <n v="72196.355080604"/>
  </r>
  <r>
    <x v="0"/>
    <x v="0"/>
    <x v="0"/>
    <x v="3"/>
    <x v="14"/>
    <s v="SE4_MAL"/>
    <x v="3"/>
    <s v="GBPR_NATGAS_MAL"/>
    <x v="0"/>
    <x v="18"/>
    <n v="66.486054871142997"/>
    <n v="24267.410027967198"/>
    <n v="87362.676100681798"/>
  </r>
  <r>
    <x v="0"/>
    <x v="0"/>
    <x v="0"/>
    <x v="3"/>
    <x v="14"/>
    <s v="SE4_MAL"/>
    <x v="3"/>
    <s v="GBPR_NATGAS_MAL"/>
    <x v="0"/>
    <x v="19"/>
    <n v="74.764205344230803"/>
    <n v="27288.9349506443"/>
    <n v="98240.165822319294"/>
  </r>
  <r>
    <x v="0"/>
    <x v="0"/>
    <x v="0"/>
    <x v="3"/>
    <x v="14"/>
    <s v="SE4_MAL"/>
    <x v="3"/>
    <s v="GBPR_NATGAS_MAL"/>
    <x v="0"/>
    <x v="20"/>
    <n v="75.242680416674801"/>
    <n v="27463.578352086301"/>
    <n v="98868.882067510698"/>
  </r>
  <r>
    <x v="0"/>
    <x v="0"/>
    <x v="0"/>
    <x v="3"/>
    <x v="14"/>
    <s v="SE4_MAL"/>
    <x v="3"/>
    <s v="GBPR_NATGAS_MAL"/>
    <x v="0"/>
    <x v="21"/>
    <n v="67.779130219788001"/>
    <n v="24739.3825302226"/>
    <n v="89061.777108801398"/>
  </r>
  <r>
    <x v="0"/>
    <x v="0"/>
    <x v="0"/>
    <x v="3"/>
    <x v="14"/>
    <s v="SE4_MAL"/>
    <x v="3"/>
    <s v="GBPR_NATGAS_MAL"/>
    <x v="0"/>
    <x v="22"/>
    <n v="50.601873843662801"/>
    <n v="18469.683952936899"/>
    <n v="66490.862230572995"/>
  </r>
  <r>
    <x v="0"/>
    <x v="0"/>
    <x v="0"/>
    <x v="3"/>
    <x v="14"/>
    <s v="SE4_MAL"/>
    <x v="3"/>
    <s v="GBPR_NATGAS_MAL"/>
    <x v="0"/>
    <x v="23"/>
    <n v="9.8418479013774807"/>
    <n v="3592.2744840027799"/>
    <n v="12932.188142409999"/>
  </r>
  <r>
    <x v="0"/>
    <x v="0"/>
    <x v="0"/>
    <x v="3"/>
    <x v="14"/>
    <s v="SE4_MAL"/>
    <x v="2"/>
    <s v="GHOB_WASTEHEAT"/>
    <x v="0"/>
    <x v="0"/>
    <n v="12.362637362637299"/>
    <n v="4512.3626373626203"/>
    <n v="16244.5054945054"/>
  </r>
  <r>
    <x v="0"/>
    <x v="0"/>
    <x v="0"/>
    <x v="3"/>
    <x v="14"/>
    <s v="SE4_MAL"/>
    <x v="2"/>
    <s v="GHOB_WASTEHEAT"/>
    <x v="0"/>
    <x v="1"/>
    <n v="12.362637362637299"/>
    <n v="4512.3626373626203"/>
    <n v="16244.5054945054"/>
  </r>
  <r>
    <x v="0"/>
    <x v="0"/>
    <x v="0"/>
    <x v="3"/>
    <x v="14"/>
    <s v="SE4_MAL"/>
    <x v="2"/>
    <s v="GHOB_WASTEHEAT"/>
    <x v="0"/>
    <x v="2"/>
    <n v="12.362637362637299"/>
    <n v="4512.3626373626203"/>
    <n v="16244.5054945054"/>
  </r>
  <r>
    <x v="0"/>
    <x v="0"/>
    <x v="0"/>
    <x v="3"/>
    <x v="14"/>
    <s v="SE4_MAL"/>
    <x v="2"/>
    <s v="GHOB_WASTEHEAT"/>
    <x v="0"/>
    <x v="3"/>
    <n v="12.362637362637299"/>
    <n v="4512.3626373626203"/>
    <n v="16244.5054945054"/>
  </r>
  <r>
    <x v="0"/>
    <x v="0"/>
    <x v="0"/>
    <x v="3"/>
    <x v="14"/>
    <s v="SE4_MAL"/>
    <x v="2"/>
    <s v="GHOB_WASTEHEAT"/>
    <x v="0"/>
    <x v="4"/>
    <n v="12.362637362637299"/>
    <n v="4512.3626373626203"/>
    <n v="16244.5054945054"/>
  </r>
  <r>
    <x v="0"/>
    <x v="0"/>
    <x v="0"/>
    <x v="3"/>
    <x v="14"/>
    <s v="SE4_MAL"/>
    <x v="2"/>
    <s v="GHOB_WASTEHEAT"/>
    <x v="0"/>
    <x v="5"/>
    <n v="12.362637362637299"/>
    <n v="4512.3626373626203"/>
    <n v="16244.5054945054"/>
  </r>
  <r>
    <x v="0"/>
    <x v="0"/>
    <x v="0"/>
    <x v="3"/>
    <x v="14"/>
    <s v="SE4_MAL"/>
    <x v="2"/>
    <s v="GHOB_WASTEHEAT"/>
    <x v="0"/>
    <x v="6"/>
    <n v="12.362637362637299"/>
    <n v="4512.3626373626203"/>
    <n v="16244.5054945054"/>
  </r>
  <r>
    <x v="0"/>
    <x v="0"/>
    <x v="0"/>
    <x v="3"/>
    <x v="14"/>
    <s v="SE4_MAL"/>
    <x v="2"/>
    <s v="GHOB_WASTEHEAT"/>
    <x v="0"/>
    <x v="7"/>
    <n v="12.362637362637299"/>
    <n v="4512.3626373626203"/>
    <n v="16244.5054945054"/>
  </r>
  <r>
    <x v="0"/>
    <x v="0"/>
    <x v="0"/>
    <x v="3"/>
    <x v="14"/>
    <s v="SE4_MAL"/>
    <x v="2"/>
    <s v="GHOB_WASTEHEAT"/>
    <x v="0"/>
    <x v="8"/>
    <n v="12.362637362637299"/>
    <n v="4512.3626373626203"/>
    <n v="16244.5054945054"/>
  </r>
  <r>
    <x v="0"/>
    <x v="0"/>
    <x v="0"/>
    <x v="3"/>
    <x v="14"/>
    <s v="SE4_MAL"/>
    <x v="2"/>
    <s v="GHOB_WASTEHEAT"/>
    <x v="0"/>
    <x v="9"/>
    <n v="12.362637362637299"/>
    <n v="4512.3626373626203"/>
    <n v="16244.5054945054"/>
  </r>
  <r>
    <x v="0"/>
    <x v="0"/>
    <x v="0"/>
    <x v="3"/>
    <x v="14"/>
    <s v="SE4_MAL"/>
    <x v="2"/>
    <s v="GHOB_WASTEHEAT"/>
    <x v="0"/>
    <x v="10"/>
    <n v="12.362637362637299"/>
    <n v="4512.3626373626203"/>
    <n v="16244.5054945054"/>
  </r>
  <r>
    <x v="0"/>
    <x v="0"/>
    <x v="0"/>
    <x v="3"/>
    <x v="14"/>
    <s v="SE4_MAL"/>
    <x v="2"/>
    <s v="GHOB_WASTEHEAT"/>
    <x v="0"/>
    <x v="11"/>
    <n v="12.362637362637299"/>
    <n v="4512.3626373626203"/>
    <n v="16244.5054945054"/>
  </r>
  <r>
    <x v="0"/>
    <x v="0"/>
    <x v="0"/>
    <x v="3"/>
    <x v="14"/>
    <s v="SE4_MAL"/>
    <x v="2"/>
    <s v="GHOB_WASTEHEAT"/>
    <x v="0"/>
    <x v="12"/>
    <n v="12.362637362637299"/>
    <n v="4512.3626373626203"/>
    <n v="16244.5054945054"/>
  </r>
  <r>
    <x v="0"/>
    <x v="0"/>
    <x v="0"/>
    <x v="3"/>
    <x v="14"/>
    <s v="SE4_MAL"/>
    <x v="2"/>
    <s v="GHOB_WASTEHEAT"/>
    <x v="0"/>
    <x v="13"/>
    <n v="12.362637362637299"/>
    <n v="4512.3626373626203"/>
    <n v="16244.5054945054"/>
  </r>
  <r>
    <x v="0"/>
    <x v="0"/>
    <x v="0"/>
    <x v="3"/>
    <x v="14"/>
    <s v="SE4_MAL"/>
    <x v="2"/>
    <s v="GHOB_WASTEHEAT"/>
    <x v="0"/>
    <x v="14"/>
    <n v="12.362637362637299"/>
    <n v="4512.3626373626203"/>
    <n v="16244.5054945054"/>
  </r>
  <r>
    <x v="0"/>
    <x v="0"/>
    <x v="0"/>
    <x v="3"/>
    <x v="14"/>
    <s v="SE4_MAL"/>
    <x v="2"/>
    <s v="GHOB_WASTEHEAT"/>
    <x v="0"/>
    <x v="15"/>
    <n v="12.362637362637299"/>
    <n v="4512.3626373626203"/>
    <n v="16244.5054945054"/>
  </r>
  <r>
    <x v="0"/>
    <x v="0"/>
    <x v="0"/>
    <x v="3"/>
    <x v="14"/>
    <s v="SE4_MAL"/>
    <x v="2"/>
    <s v="GHOB_WASTEHEAT"/>
    <x v="0"/>
    <x v="16"/>
    <n v="12.362637362637299"/>
    <n v="4512.3626373626203"/>
    <n v="16244.5054945054"/>
  </r>
  <r>
    <x v="0"/>
    <x v="0"/>
    <x v="0"/>
    <x v="3"/>
    <x v="14"/>
    <s v="SE4_MAL"/>
    <x v="2"/>
    <s v="GHOB_WASTEHEAT"/>
    <x v="0"/>
    <x v="17"/>
    <n v="12.362637362637299"/>
    <n v="4512.3626373626203"/>
    <n v="16244.5054945054"/>
  </r>
  <r>
    <x v="0"/>
    <x v="0"/>
    <x v="0"/>
    <x v="3"/>
    <x v="14"/>
    <s v="SE4_MAL"/>
    <x v="2"/>
    <s v="GHOB_WASTEHEAT"/>
    <x v="0"/>
    <x v="18"/>
    <n v="12.362637362637299"/>
    <n v="4512.3626373626203"/>
    <n v="16244.5054945054"/>
  </r>
  <r>
    <x v="0"/>
    <x v="0"/>
    <x v="0"/>
    <x v="3"/>
    <x v="14"/>
    <s v="SE4_MAL"/>
    <x v="2"/>
    <s v="GHOB_WASTEHEAT"/>
    <x v="0"/>
    <x v="19"/>
    <n v="12.362637362637299"/>
    <n v="4512.3626373626203"/>
    <n v="16244.5054945054"/>
  </r>
  <r>
    <x v="0"/>
    <x v="0"/>
    <x v="0"/>
    <x v="3"/>
    <x v="14"/>
    <s v="SE4_MAL"/>
    <x v="2"/>
    <s v="GHOB_WASTEHEAT"/>
    <x v="0"/>
    <x v="20"/>
    <n v="12.362637362637299"/>
    <n v="4512.3626373626203"/>
    <n v="16244.5054945054"/>
  </r>
  <r>
    <x v="0"/>
    <x v="0"/>
    <x v="0"/>
    <x v="3"/>
    <x v="14"/>
    <s v="SE4_MAL"/>
    <x v="2"/>
    <s v="GHOB_WASTEHEAT"/>
    <x v="0"/>
    <x v="21"/>
    <n v="12.362637362637299"/>
    <n v="4512.3626373626203"/>
    <n v="16244.5054945054"/>
  </r>
  <r>
    <x v="0"/>
    <x v="0"/>
    <x v="0"/>
    <x v="3"/>
    <x v="14"/>
    <s v="SE4_MAL"/>
    <x v="2"/>
    <s v="GHOB_WASTEHEAT"/>
    <x v="0"/>
    <x v="22"/>
    <n v="12.362637362637299"/>
    <n v="4512.3626373626203"/>
    <n v="16244.5054945054"/>
  </r>
  <r>
    <x v="0"/>
    <x v="0"/>
    <x v="0"/>
    <x v="3"/>
    <x v="14"/>
    <s v="SE4_MAL"/>
    <x v="2"/>
    <s v="GHOB_WASTEHEAT"/>
    <x v="0"/>
    <x v="23"/>
    <n v="12.362637362637299"/>
    <n v="4512.3626373626203"/>
    <n v="16244.5054945054"/>
  </r>
  <r>
    <x v="0"/>
    <x v="0"/>
    <x v="0"/>
    <x v="3"/>
    <x v="14"/>
    <s v="SE4_MAL"/>
    <x v="5"/>
    <s v="GHOB_WOODCHIPS"/>
    <x v="0"/>
    <x v="0"/>
    <n v="62.860918581919897"/>
    <n v="22944.235282400699"/>
    <n v="82599.247016642694"/>
  </r>
  <r>
    <x v="0"/>
    <x v="0"/>
    <x v="0"/>
    <x v="3"/>
    <x v="14"/>
    <s v="SE4_MAL"/>
    <x v="5"/>
    <s v="GHOB_WOODCHIPS"/>
    <x v="0"/>
    <x v="1"/>
    <n v="67.396037425572402"/>
    <n v="24599.553660333899"/>
    <n v="88558.393177202204"/>
  </r>
  <r>
    <x v="0"/>
    <x v="0"/>
    <x v="0"/>
    <x v="3"/>
    <x v="14"/>
    <s v="SE4_MAL"/>
    <x v="5"/>
    <s v="GHOB_WOODCHIPS"/>
    <x v="0"/>
    <x v="2"/>
    <n v="66.135204582325997"/>
    <n v="24139.349672549"/>
    <n v="86901.658821176403"/>
  </r>
  <r>
    <x v="0"/>
    <x v="0"/>
    <x v="0"/>
    <x v="3"/>
    <x v="14"/>
    <s v="SE4_MAL"/>
    <x v="5"/>
    <s v="GHOB_WOODCHIPS"/>
    <x v="0"/>
    <x v="3"/>
    <n v="69.280938396857707"/>
    <n v="25287.542514853099"/>
    <n v="91035.153053471004"/>
  </r>
  <r>
    <x v="0"/>
    <x v="0"/>
    <x v="0"/>
    <x v="3"/>
    <x v="14"/>
    <s v="SE4_MAL"/>
    <x v="5"/>
    <s v="GHOB_WOODCHIPS"/>
    <x v="0"/>
    <x v="4"/>
    <n v="74.438727263522097"/>
    <n v="27170.135451185601"/>
    <n v="97812.487624268106"/>
  </r>
  <r>
    <x v="0"/>
    <x v="0"/>
    <x v="0"/>
    <x v="3"/>
    <x v="14"/>
    <s v="SE4_MAL"/>
    <x v="5"/>
    <s v="GHOB_WOODCHIPS"/>
    <x v="0"/>
    <x v="5"/>
    <n v="77.7777777777778"/>
    <n v="28388.888888888901"/>
    <n v="102200"/>
  </r>
  <r>
    <x v="0"/>
    <x v="0"/>
    <x v="0"/>
    <x v="3"/>
    <x v="14"/>
    <s v="SE4_MAL"/>
    <x v="5"/>
    <s v="GHOB_WOODCHIPS"/>
    <x v="0"/>
    <x v="6"/>
    <n v="77.7777777777778"/>
    <n v="28388.888888888901"/>
    <n v="102200"/>
  </r>
  <r>
    <x v="0"/>
    <x v="0"/>
    <x v="0"/>
    <x v="3"/>
    <x v="14"/>
    <s v="SE4_MAL"/>
    <x v="5"/>
    <s v="GHOB_WOODCHIPS"/>
    <x v="0"/>
    <x v="7"/>
    <n v="77.7777777777778"/>
    <n v="28388.888888888901"/>
    <n v="102200"/>
  </r>
  <r>
    <x v="0"/>
    <x v="0"/>
    <x v="0"/>
    <x v="3"/>
    <x v="14"/>
    <s v="SE4_MAL"/>
    <x v="5"/>
    <s v="GHOB_WOODCHIPS"/>
    <x v="0"/>
    <x v="8"/>
    <n v="77.7777777777778"/>
    <n v="28388.888888888901"/>
    <n v="102200"/>
  </r>
  <r>
    <x v="0"/>
    <x v="0"/>
    <x v="0"/>
    <x v="3"/>
    <x v="14"/>
    <s v="SE4_MAL"/>
    <x v="5"/>
    <s v="GHOB_WOODCHIPS"/>
    <x v="0"/>
    <x v="9"/>
    <n v="77.7777777777778"/>
    <n v="28388.888888888901"/>
    <n v="102200"/>
  </r>
  <r>
    <x v="0"/>
    <x v="0"/>
    <x v="0"/>
    <x v="3"/>
    <x v="14"/>
    <s v="SE4_MAL"/>
    <x v="5"/>
    <s v="GHOB_WOODCHIPS"/>
    <x v="0"/>
    <x v="10"/>
    <n v="77.7777777777778"/>
    <n v="28388.888888888901"/>
    <n v="102200"/>
  </r>
  <r>
    <x v="0"/>
    <x v="0"/>
    <x v="0"/>
    <x v="3"/>
    <x v="14"/>
    <s v="SE4_MAL"/>
    <x v="5"/>
    <s v="GHOB_WOODCHIPS"/>
    <x v="0"/>
    <x v="11"/>
    <n v="77.7777777777778"/>
    <n v="28388.888888888901"/>
    <n v="102200"/>
  </r>
  <r>
    <x v="0"/>
    <x v="0"/>
    <x v="0"/>
    <x v="3"/>
    <x v="14"/>
    <s v="SE4_MAL"/>
    <x v="5"/>
    <s v="GHOB_WOODCHIPS"/>
    <x v="0"/>
    <x v="12"/>
    <n v="77.7777777777778"/>
    <n v="28388.888888888901"/>
    <n v="102200"/>
  </r>
  <r>
    <x v="0"/>
    <x v="0"/>
    <x v="0"/>
    <x v="3"/>
    <x v="14"/>
    <s v="SE4_MAL"/>
    <x v="5"/>
    <s v="GHOB_WOODCHIPS"/>
    <x v="0"/>
    <x v="13"/>
    <n v="77.7777777777778"/>
    <n v="28388.888888888901"/>
    <n v="102200"/>
  </r>
  <r>
    <x v="0"/>
    <x v="0"/>
    <x v="0"/>
    <x v="3"/>
    <x v="14"/>
    <s v="SE4_MAL"/>
    <x v="5"/>
    <s v="GHOB_WOODCHIPS"/>
    <x v="0"/>
    <x v="14"/>
    <n v="77.7777777777778"/>
    <n v="28388.888888888901"/>
    <n v="102200"/>
  </r>
  <r>
    <x v="0"/>
    <x v="0"/>
    <x v="0"/>
    <x v="3"/>
    <x v="14"/>
    <s v="SE4_MAL"/>
    <x v="5"/>
    <s v="GHOB_WOODCHIPS"/>
    <x v="0"/>
    <x v="15"/>
    <n v="77.7777777777778"/>
    <n v="28388.888888888901"/>
    <n v="102200"/>
  </r>
  <r>
    <x v="0"/>
    <x v="0"/>
    <x v="0"/>
    <x v="3"/>
    <x v="14"/>
    <s v="SE4_MAL"/>
    <x v="5"/>
    <s v="GHOB_WOODCHIPS"/>
    <x v="0"/>
    <x v="16"/>
    <n v="77.7777777777778"/>
    <n v="28388.888888888901"/>
    <n v="102200"/>
  </r>
  <r>
    <x v="0"/>
    <x v="0"/>
    <x v="0"/>
    <x v="3"/>
    <x v="14"/>
    <s v="SE4_MAL"/>
    <x v="5"/>
    <s v="GHOB_WOODCHIPS"/>
    <x v="0"/>
    <x v="17"/>
    <n v="77.7777777777778"/>
    <n v="28388.888888888901"/>
    <n v="102200"/>
  </r>
  <r>
    <x v="0"/>
    <x v="0"/>
    <x v="0"/>
    <x v="3"/>
    <x v="14"/>
    <s v="SE4_MAL"/>
    <x v="5"/>
    <s v="GHOB_WOODCHIPS"/>
    <x v="0"/>
    <x v="18"/>
    <n v="77.7777777777778"/>
    <n v="28388.888888888901"/>
    <n v="102200"/>
  </r>
  <r>
    <x v="0"/>
    <x v="0"/>
    <x v="0"/>
    <x v="3"/>
    <x v="14"/>
    <s v="SE4_MAL"/>
    <x v="5"/>
    <s v="GHOB_WOODCHIPS"/>
    <x v="0"/>
    <x v="19"/>
    <n v="77.7777777777778"/>
    <n v="28388.888888888901"/>
    <n v="102200"/>
  </r>
  <r>
    <x v="0"/>
    <x v="0"/>
    <x v="0"/>
    <x v="3"/>
    <x v="14"/>
    <s v="SE4_MAL"/>
    <x v="5"/>
    <s v="GHOB_WOODCHIPS"/>
    <x v="0"/>
    <x v="20"/>
    <n v="77.7777777777778"/>
    <n v="28388.888888888901"/>
    <n v="102200"/>
  </r>
  <r>
    <x v="0"/>
    <x v="0"/>
    <x v="0"/>
    <x v="3"/>
    <x v="14"/>
    <s v="SE4_MAL"/>
    <x v="5"/>
    <s v="GHOB_WOODCHIPS"/>
    <x v="0"/>
    <x v="21"/>
    <n v="77.7777777777778"/>
    <n v="28388.888888888901"/>
    <n v="102200"/>
  </r>
  <r>
    <x v="0"/>
    <x v="0"/>
    <x v="0"/>
    <x v="3"/>
    <x v="14"/>
    <s v="SE4_MAL"/>
    <x v="5"/>
    <s v="GHOB_WOODCHIPS"/>
    <x v="0"/>
    <x v="22"/>
    <n v="77.7777777777778"/>
    <n v="28388.888888888901"/>
    <n v="102200"/>
  </r>
  <r>
    <x v="0"/>
    <x v="0"/>
    <x v="0"/>
    <x v="3"/>
    <x v="14"/>
    <s v="SE4_MAL"/>
    <x v="5"/>
    <s v="GHOB_WOODCHIPS"/>
    <x v="0"/>
    <x v="23"/>
    <n v="77.7777777777778"/>
    <n v="28388.888888888901"/>
    <n v="102200"/>
  </r>
  <r>
    <x v="0"/>
    <x v="0"/>
    <x v="0"/>
    <x v="3"/>
    <x v="14"/>
    <s v="SE4_OTHER"/>
    <x v="1"/>
    <s v="GBPR_MUNIWASTE_19"/>
    <x v="0"/>
    <x v="0"/>
    <n v="72.643139846286502"/>
    <n v="26514.7460438946"/>
    <n v="95453.085758020403"/>
  </r>
  <r>
    <x v="0"/>
    <x v="0"/>
    <x v="0"/>
    <x v="3"/>
    <x v="14"/>
    <s v="SE4_OTHER"/>
    <x v="1"/>
    <s v="GBPR_MUNIWASTE_19"/>
    <x v="0"/>
    <x v="1"/>
    <n v="72.643139846286502"/>
    <n v="26514.7460438946"/>
    <n v="95453.085758020403"/>
  </r>
  <r>
    <x v="0"/>
    <x v="0"/>
    <x v="0"/>
    <x v="3"/>
    <x v="14"/>
    <s v="SE4_OTHER"/>
    <x v="1"/>
    <s v="GBPR_MUNIWASTE_19"/>
    <x v="0"/>
    <x v="2"/>
    <n v="72.643139846286502"/>
    <n v="26514.7460438946"/>
    <n v="95453.085758020403"/>
  </r>
  <r>
    <x v="0"/>
    <x v="0"/>
    <x v="0"/>
    <x v="3"/>
    <x v="14"/>
    <s v="SE4_OTHER"/>
    <x v="1"/>
    <s v="GBPR_MUNIWASTE_19"/>
    <x v="0"/>
    <x v="3"/>
    <n v="72.643139846286502"/>
    <n v="26514.7460438946"/>
    <n v="95453.085758020403"/>
  </r>
  <r>
    <x v="0"/>
    <x v="0"/>
    <x v="0"/>
    <x v="3"/>
    <x v="14"/>
    <s v="SE4_OTHER"/>
    <x v="1"/>
    <s v="GBPR_MUNIWASTE_19"/>
    <x v="0"/>
    <x v="4"/>
    <n v="72.643139846286502"/>
    <n v="26514.7460438946"/>
    <n v="95453.085758020403"/>
  </r>
  <r>
    <x v="0"/>
    <x v="0"/>
    <x v="0"/>
    <x v="3"/>
    <x v="14"/>
    <s v="SE4_OTHER"/>
    <x v="1"/>
    <s v="GBPR_MUNIWASTE_19"/>
    <x v="0"/>
    <x v="5"/>
    <n v="72.643139846286502"/>
    <n v="26514.7460438946"/>
    <n v="95453.085758020403"/>
  </r>
  <r>
    <x v="0"/>
    <x v="0"/>
    <x v="0"/>
    <x v="3"/>
    <x v="14"/>
    <s v="SE4_OTHER"/>
    <x v="1"/>
    <s v="GBPR_MUNIWASTE_19"/>
    <x v="0"/>
    <x v="6"/>
    <n v="72.643139846286502"/>
    <n v="26514.7460438946"/>
    <n v="95453.085758020403"/>
  </r>
  <r>
    <x v="0"/>
    <x v="0"/>
    <x v="0"/>
    <x v="3"/>
    <x v="14"/>
    <s v="SE4_OTHER"/>
    <x v="1"/>
    <s v="GBPR_MUNIWASTE_19"/>
    <x v="0"/>
    <x v="7"/>
    <n v="72.643139846286502"/>
    <n v="26514.7460438946"/>
    <n v="95453.085758020403"/>
  </r>
  <r>
    <x v="0"/>
    <x v="0"/>
    <x v="0"/>
    <x v="3"/>
    <x v="14"/>
    <s v="SE4_OTHER"/>
    <x v="1"/>
    <s v="GBPR_MUNIWASTE_19"/>
    <x v="0"/>
    <x v="8"/>
    <n v="72.643139846286502"/>
    <n v="26514.7460438946"/>
    <n v="95453.085758020403"/>
  </r>
  <r>
    <x v="0"/>
    <x v="0"/>
    <x v="0"/>
    <x v="3"/>
    <x v="14"/>
    <s v="SE4_OTHER"/>
    <x v="1"/>
    <s v="GBPR_MUNIWASTE_19"/>
    <x v="0"/>
    <x v="9"/>
    <n v="72.643139846286502"/>
    <n v="26514.7460438946"/>
    <n v="95453.085758020403"/>
  </r>
  <r>
    <x v="0"/>
    <x v="0"/>
    <x v="0"/>
    <x v="3"/>
    <x v="14"/>
    <s v="SE4_OTHER"/>
    <x v="1"/>
    <s v="GBPR_MUNIWASTE_19"/>
    <x v="0"/>
    <x v="10"/>
    <n v="72.643139846286502"/>
    <n v="26514.7460438946"/>
    <n v="95453.085758020403"/>
  </r>
  <r>
    <x v="0"/>
    <x v="0"/>
    <x v="0"/>
    <x v="3"/>
    <x v="14"/>
    <s v="SE4_OTHER"/>
    <x v="1"/>
    <s v="GBPR_MUNIWASTE_19"/>
    <x v="0"/>
    <x v="11"/>
    <n v="72.643139846286502"/>
    <n v="26514.7460438946"/>
    <n v="95453.085758020403"/>
  </r>
  <r>
    <x v="0"/>
    <x v="0"/>
    <x v="0"/>
    <x v="3"/>
    <x v="14"/>
    <s v="SE4_OTHER"/>
    <x v="1"/>
    <s v="GBPR_MUNIWASTE_19"/>
    <x v="0"/>
    <x v="12"/>
    <n v="72.643139846286502"/>
    <n v="26514.7460438946"/>
    <n v="95453.085758020403"/>
  </r>
  <r>
    <x v="0"/>
    <x v="0"/>
    <x v="0"/>
    <x v="3"/>
    <x v="14"/>
    <s v="SE4_OTHER"/>
    <x v="1"/>
    <s v="GBPR_MUNIWASTE_19"/>
    <x v="0"/>
    <x v="13"/>
    <n v="72.643139846286502"/>
    <n v="26514.7460438946"/>
    <n v="95453.085758020403"/>
  </r>
  <r>
    <x v="0"/>
    <x v="0"/>
    <x v="0"/>
    <x v="3"/>
    <x v="14"/>
    <s v="SE4_OTHER"/>
    <x v="1"/>
    <s v="GBPR_MUNIWASTE_19"/>
    <x v="0"/>
    <x v="14"/>
    <n v="72.643139846286502"/>
    <n v="26514.7460438946"/>
    <n v="95453.085758020403"/>
  </r>
  <r>
    <x v="0"/>
    <x v="0"/>
    <x v="0"/>
    <x v="3"/>
    <x v="14"/>
    <s v="SE4_OTHER"/>
    <x v="1"/>
    <s v="GBPR_MUNIWASTE_19"/>
    <x v="0"/>
    <x v="15"/>
    <n v="72.643139846286502"/>
    <n v="26514.7460438946"/>
    <n v="95453.085758020403"/>
  </r>
  <r>
    <x v="0"/>
    <x v="0"/>
    <x v="0"/>
    <x v="3"/>
    <x v="14"/>
    <s v="SE4_OTHER"/>
    <x v="1"/>
    <s v="GBPR_MUNIWASTE_19"/>
    <x v="0"/>
    <x v="16"/>
    <n v="72.643139846286502"/>
    <n v="26514.7460438946"/>
    <n v="95453.085758020403"/>
  </r>
  <r>
    <x v="0"/>
    <x v="0"/>
    <x v="0"/>
    <x v="3"/>
    <x v="14"/>
    <s v="SE4_OTHER"/>
    <x v="1"/>
    <s v="GBPR_MUNIWASTE_19"/>
    <x v="0"/>
    <x v="17"/>
    <n v="72.643139846286502"/>
    <n v="26514.7460438946"/>
    <n v="95453.085758020403"/>
  </r>
  <r>
    <x v="0"/>
    <x v="0"/>
    <x v="0"/>
    <x v="3"/>
    <x v="14"/>
    <s v="SE4_OTHER"/>
    <x v="1"/>
    <s v="GBPR_MUNIWASTE_19"/>
    <x v="0"/>
    <x v="18"/>
    <n v="72.643139846286502"/>
    <n v="26514.7460438946"/>
    <n v="95453.085758020403"/>
  </r>
  <r>
    <x v="0"/>
    <x v="0"/>
    <x v="0"/>
    <x v="3"/>
    <x v="14"/>
    <s v="SE4_OTHER"/>
    <x v="1"/>
    <s v="GBPR_MUNIWASTE_19"/>
    <x v="0"/>
    <x v="19"/>
    <n v="72.643139846286502"/>
    <n v="26514.7460438946"/>
    <n v="95453.085758020403"/>
  </r>
  <r>
    <x v="0"/>
    <x v="0"/>
    <x v="0"/>
    <x v="3"/>
    <x v="14"/>
    <s v="SE4_OTHER"/>
    <x v="1"/>
    <s v="GBPR_MUNIWASTE_19"/>
    <x v="0"/>
    <x v="20"/>
    <n v="72.643139846286502"/>
    <n v="26514.7460438946"/>
    <n v="95453.085758020403"/>
  </r>
  <r>
    <x v="0"/>
    <x v="0"/>
    <x v="0"/>
    <x v="3"/>
    <x v="14"/>
    <s v="SE4_OTHER"/>
    <x v="1"/>
    <s v="GBPR_MUNIWASTE_19"/>
    <x v="0"/>
    <x v="21"/>
    <n v="72.643139846286502"/>
    <n v="26514.7460438946"/>
    <n v="95453.085758020403"/>
  </r>
  <r>
    <x v="0"/>
    <x v="0"/>
    <x v="0"/>
    <x v="3"/>
    <x v="14"/>
    <s v="SE4_OTHER"/>
    <x v="1"/>
    <s v="GBPR_MUNIWASTE_19"/>
    <x v="0"/>
    <x v="22"/>
    <n v="72.643139846286502"/>
    <n v="26514.7460438946"/>
    <n v="95453.085758020403"/>
  </r>
  <r>
    <x v="0"/>
    <x v="0"/>
    <x v="0"/>
    <x v="3"/>
    <x v="14"/>
    <s v="SE4_OTHER"/>
    <x v="1"/>
    <s v="GBPR_MUNIWASTE_19"/>
    <x v="0"/>
    <x v="23"/>
    <n v="72.643139846286502"/>
    <n v="26514.7460438946"/>
    <n v="95453.085758020403"/>
  </r>
  <r>
    <x v="0"/>
    <x v="0"/>
    <x v="0"/>
    <x v="3"/>
    <x v="14"/>
    <s v="SE4_OTHER"/>
    <x v="1"/>
    <s v="GHOB_MUNIWASTE"/>
    <x v="0"/>
    <x v="0"/>
    <n v="14.00151860279"/>
    <n v="5110.55429001835"/>
    <n v="18397.995444066099"/>
  </r>
  <r>
    <x v="0"/>
    <x v="0"/>
    <x v="0"/>
    <x v="3"/>
    <x v="14"/>
    <s v="SE4_OTHER"/>
    <x v="1"/>
    <s v="GHOB_MUNIWASTE"/>
    <x v="0"/>
    <x v="1"/>
    <n v="14.00151860279"/>
    <n v="5110.55429001835"/>
    <n v="18397.995444066099"/>
  </r>
  <r>
    <x v="0"/>
    <x v="0"/>
    <x v="0"/>
    <x v="3"/>
    <x v="14"/>
    <s v="SE4_OTHER"/>
    <x v="1"/>
    <s v="GHOB_MUNIWASTE"/>
    <x v="0"/>
    <x v="2"/>
    <n v="14.00151860279"/>
    <n v="5110.55429001835"/>
    <n v="18397.995444066099"/>
  </r>
  <r>
    <x v="0"/>
    <x v="0"/>
    <x v="0"/>
    <x v="3"/>
    <x v="14"/>
    <s v="SE4_OTHER"/>
    <x v="1"/>
    <s v="GHOB_MUNIWASTE"/>
    <x v="0"/>
    <x v="3"/>
    <n v="14.00151860279"/>
    <n v="5110.55429001835"/>
    <n v="18397.995444066099"/>
  </r>
  <r>
    <x v="0"/>
    <x v="0"/>
    <x v="0"/>
    <x v="3"/>
    <x v="14"/>
    <s v="SE4_OTHER"/>
    <x v="1"/>
    <s v="GHOB_MUNIWASTE"/>
    <x v="0"/>
    <x v="4"/>
    <n v="14.00151860279"/>
    <n v="5110.55429001835"/>
    <n v="18397.995444066099"/>
  </r>
  <r>
    <x v="0"/>
    <x v="0"/>
    <x v="0"/>
    <x v="3"/>
    <x v="14"/>
    <s v="SE4_OTHER"/>
    <x v="1"/>
    <s v="GHOB_MUNIWASTE"/>
    <x v="0"/>
    <x v="5"/>
    <n v="14.00151860279"/>
    <n v="5110.55429001835"/>
    <n v="18397.995444066099"/>
  </r>
  <r>
    <x v="0"/>
    <x v="0"/>
    <x v="0"/>
    <x v="3"/>
    <x v="14"/>
    <s v="SE4_OTHER"/>
    <x v="1"/>
    <s v="GHOB_MUNIWASTE"/>
    <x v="0"/>
    <x v="6"/>
    <n v="14.00151860279"/>
    <n v="5110.55429001835"/>
    <n v="18397.995444066099"/>
  </r>
  <r>
    <x v="0"/>
    <x v="0"/>
    <x v="0"/>
    <x v="3"/>
    <x v="14"/>
    <s v="SE4_OTHER"/>
    <x v="1"/>
    <s v="GHOB_MUNIWASTE"/>
    <x v="0"/>
    <x v="7"/>
    <n v="14.00151860279"/>
    <n v="5110.55429001835"/>
    <n v="18397.995444066099"/>
  </r>
  <r>
    <x v="0"/>
    <x v="0"/>
    <x v="0"/>
    <x v="3"/>
    <x v="14"/>
    <s v="SE4_OTHER"/>
    <x v="1"/>
    <s v="GHOB_MUNIWASTE"/>
    <x v="0"/>
    <x v="8"/>
    <n v="14.00151860279"/>
    <n v="5110.55429001835"/>
    <n v="18397.995444066099"/>
  </r>
  <r>
    <x v="0"/>
    <x v="0"/>
    <x v="0"/>
    <x v="3"/>
    <x v="14"/>
    <s v="SE4_OTHER"/>
    <x v="1"/>
    <s v="GHOB_MUNIWASTE"/>
    <x v="0"/>
    <x v="9"/>
    <n v="14.00151860279"/>
    <n v="5110.55429001835"/>
    <n v="18397.995444066099"/>
  </r>
  <r>
    <x v="0"/>
    <x v="0"/>
    <x v="0"/>
    <x v="3"/>
    <x v="14"/>
    <s v="SE4_OTHER"/>
    <x v="1"/>
    <s v="GHOB_MUNIWASTE"/>
    <x v="0"/>
    <x v="10"/>
    <n v="14.00151860279"/>
    <n v="5110.55429001835"/>
    <n v="18397.995444066099"/>
  </r>
  <r>
    <x v="0"/>
    <x v="0"/>
    <x v="0"/>
    <x v="3"/>
    <x v="14"/>
    <s v="SE4_OTHER"/>
    <x v="1"/>
    <s v="GHOB_MUNIWASTE"/>
    <x v="0"/>
    <x v="11"/>
    <n v="14.00151860279"/>
    <n v="5110.55429001835"/>
    <n v="18397.995444066099"/>
  </r>
  <r>
    <x v="0"/>
    <x v="0"/>
    <x v="0"/>
    <x v="3"/>
    <x v="14"/>
    <s v="SE4_OTHER"/>
    <x v="1"/>
    <s v="GHOB_MUNIWASTE"/>
    <x v="0"/>
    <x v="12"/>
    <n v="14.00151860279"/>
    <n v="5110.55429001835"/>
    <n v="18397.995444066099"/>
  </r>
  <r>
    <x v="0"/>
    <x v="0"/>
    <x v="0"/>
    <x v="3"/>
    <x v="14"/>
    <s v="SE4_OTHER"/>
    <x v="1"/>
    <s v="GHOB_MUNIWASTE"/>
    <x v="0"/>
    <x v="13"/>
    <n v="14.00151860279"/>
    <n v="5110.55429001835"/>
    <n v="18397.995444066099"/>
  </r>
  <r>
    <x v="0"/>
    <x v="0"/>
    <x v="0"/>
    <x v="3"/>
    <x v="14"/>
    <s v="SE4_OTHER"/>
    <x v="1"/>
    <s v="GHOB_MUNIWASTE"/>
    <x v="0"/>
    <x v="14"/>
    <n v="14.00151860279"/>
    <n v="5110.55429001835"/>
    <n v="18397.995444066099"/>
  </r>
  <r>
    <x v="0"/>
    <x v="0"/>
    <x v="0"/>
    <x v="3"/>
    <x v="14"/>
    <s v="SE4_OTHER"/>
    <x v="1"/>
    <s v="GHOB_MUNIWASTE"/>
    <x v="0"/>
    <x v="15"/>
    <n v="14.00151860279"/>
    <n v="5110.55429001835"/>
    <n v="18397.995444066099"/>
  </r>
  <r>
    <x v="0"/>
    <x v="0"/>
    <x v="0"/>
    <x v="3"/>
    <x v="14"/>
    <s v="SE4_OTHER"/>
    <x v="1"/>
    <s v="GHOB_MUNIWASTE"/>
    <x v="0"/>
    <x v="16"/>
    <n v="14.00151860279"/>
    <n v="5110.55429001835"/>
    <n v="18397.995444066099"/>
  </r>
  <r>
    <x v="0"/>
    <x v="0"/>
    <x v="0"/>
    <x v="3"/>
    <x v="14"/>
    <s v="SE4_OTHER"/>
    <x v="1"/>
    <s v="GHOB_MUNIWASTE"/>
    <x v="0"/>
    <x v="17"/>
    <n v="14.00151860279"/>
    <n v="5110.55429001835"/>
    <n v="18397.995444066099"/>
  </r>
  <r>
    <x v="0"/>
    <x v="0"/>
    <x v="0"/>
    <x v="3"/>
    <x v="14"/>
    <s v="SE4_OTHER"/>
    <x v="1"/>
    <s v="GHOB_MUNIWASTE"/>
    <x v="0"/>
    <x v="18"/>
    <n v="14.00151860279"/>
    <n v="5110.55429001835"/>
    <n v="18397.995444066099"/>
  </r>
  <r>
    <x v="0"/>
    <x v="0"/>
    <x v="0"/>
    <x v="3"/>
    <x v="14"/>
    <s v="SE4_OTHER"/>
    <x v="1"/>
    <s v="GHOB_MUNIWASTE"/>
    <x v="0"/>
    <x v="19"/>
    <n v="14.00151860279"/>
    <n v="5110.55429001835"/>
    <n v="18397.995444066099"/>
  </r>
  <r>
    <x v="0"/>
    <x v="0"/>
    <x v="0"/>
    <x v="3"/>
    <x v="14"/>
    <s v="SE4_OTHER"/>
    <x v="1"/>
    <s v="GHOB_MUNIWASTE"/>
    <x v="0"/>
    <x v="20"/>
    <n v="14.00151860279"/>
    <n v="5110.55429001835"/>
    <n v="18397.995444066099"/>
  </r>
  <r>
    <x v="0"/>
    <x v="0"/>
    <x v="0"/>
    <x v="3"/>
    <x v="14"/>
    <s v="SE4_OTHER"/>
    <x v="1"/>
    <s v="GHOB_MUNIWASTE"/>
    <x v="0"/>
    <x v="21"/>
    <n v="14.00151860279"/>
    <n v="5110.55429001835"/>
    <n v="18397.995444066099"/>
  </r>
  <r>
    <x v="0"/>
    <x v="0"/>
    <x v="0"/>
    <x v="3"/>
    <x v="14"/>
    <s v="SE4_OTHER"/>
    <x v="1"/>
    <s v="GHOB_MUNIWASTE"/>
    <x v="0"/>
    <x v="22"/>
    <n v="14.00151860279"/>
    <n v="5110.55429001835"/>
    <n v="18397.995444066099"/>
  </r>
  <r>
    <x v="0"/>
    <x v="0"/>
    <x v="0"/>
    <x v="3"/>
    <x v="14"/>
    <s v="SE4_OTHER"/>
    <x v="1"/>
    <s v="GHOB_MUNIWASTE"/>
    <x v="0"/>
    <x v="23"/>
    <n v="14.00151860279"/>
    <n v="5110.55429001835"/>
    <n v="18397.995444066099"/>
  </r>
  <r>
    <x v="0"/>
    <x v="0"/>
    <x v="0"/>
    <x v="3"/>
    <x v="14"/>
    <s v="SE4_OTHER"/>
    <x v="15"/>
    <s v="GHOB_RECYCLEDWOOD"/>
    <x v="0"/>
    <x v="3"/>
    <n v="5.3724164894907096"/>
    <n v="1960.93201866411"/>
    <n v="7059.3552671907901"/>
  </r>
  <r>
    <x v="0"/>
    <x v="0"/>
    <x v="0"/>
    <x v="3"/>
    <x v="14"/>
    <s v="SE4_OTHER"/>
    <x v="15"/>
    <s v="GHOB_RECYCLEDWOOD"/>
    <x v="0"/>
    <x v="4"/>
    <n v="26.346555242344898"/>
    <n v="9616.4926634558797"/>
    <n v="34619.373588441202"/>
  </r>
  <r>
    <x v="0"/>
    <x v="0"/>
    <x v="0"/>
    <x v="3"/>
    <x v="14"/>
    <s v="SE4_OTHER"/>
    <x v="15"/>
    <s v="GHOB_RECYCLEDWOOD"/>
    <x v="0"/>
    <x v="5"/>
    <n v="60.025762925723697"/>
    <n v="21909.4034678891"/>
    <n v="78873.852484400893"/>
  </r>
  <r>
    <x v="0"/>
    <x v="0"/>
    <x v="0"/>
    <x v="3"/>
    <x v="14"/>
    <s v="SE4_OTHER"/>
    <x v="15"/>
    <s v="GHOB_RECYCLEDWOOD"/>
    <x v="0"/>
    <x v="6"/>
    <n v="60.025762925723697"/>
    <n v="21909.4034678891"/>
    <n v="78873.852484400893"/>
  </r>
  <r>
    <x v="0"/>
    <x v="0"/>
    <x v="0"/>
    <x v="3"/>
    <x v="14"/>
    <s v="SE4_OTHER"/>
    <x v="15"/>
    <s v="GHOB_RECYCLEDWOOD"/>
    <x v="0"/>
    <x v="7"/>
    <n v="60.025762925723697"/>
    <n v="21909.4034678891"/>
    <n v="78873.852484400893"/>
  </r>
  <r>
    <x v="0"/>
    <x v="0"/>
    <x v="0"/>
    <x v="3"/>
    <x v="14"/>
    <s v="SE4_OTHER"/>
    <x v="15"/>
    <s v="GHOB_RECYCLEDWOOD"/>
    <x v="0"/>
    <x v="8"/>
    <n v="60.025762925723697"/>
    <n v="21909.4034678891"/>
    <n v="78873.852484400893"/>
  </r>
  <r>
    <x v="0"/>
    <x v="0"/>
    <x v="0"/>
    <x v="3"/>
    <x v="14"/>
    <s v="SE4_OTHER"/>
    <x v="15"/>
    <s v="GHOB_RECYCLEDWOOD"/>
    <x v="0"/>
    <x v="9"/>
    <n v="60.025762925723697"/>
    <n v="21909.4034678891"/>
    <n v="78873.852484400893"/>
  </r>
  <r>
    <x v="0"/>
    <x v="0"/>
    <x v="0"/>
    <x v="3"/>
    <x v="14"/>
    <s v="SE4_OTHER"/>
    <x v="15"/>
    <s v="GHOB_RECYCLEDWOOD"/>
    <x v="0"/>
    <x v="10"/>
    <n v="60.025762925723697"/>
    <n v="21909.4034678891"/>
    <n v="78873.852484400893"/>
  </r>
  <r>
    <x v="0"/>
    <x v="0"/>
    <x v="0"/>
    <x v="3"/>
    <x v="14"/>
    <s v="SE4_OTHER"/>
    <x v="15"/>
    <s v="GHOB_RECYCLEDWOOD"/>
    <x v="0"/>
    <x v="11"/>
    <n v="60.025762925723697"/>
    <n v="21909.4034678891"/>
    <n v="78873.852484400893"/>
  </r>
  <r>
    <x v="0"/>
    <x v="0"/>
    <x v="0"/>
    <x v="3"/>
    <x v="14"/>
    <s v="SE4_OTHER"/>
    <x v="15"/>
    <s v="GHOB_RECYCLEDWOOD"/>
    <x v="0"/>
    <x v="12"/>
    <n v="39.939631715207497"/>
    <n v="14577.965576050699"/>
    <n v="52480.676073782597"/>
  </r>
  <r>
    <x v="0"/>
    <x v="0"/>
    <x v="0"/>
    <x v="3"/>
    <x v="14"/>
    <s v="SE4_OTHER"/>
    <x v="15"/>
    <s v="GHOB_RECYCLEDWOOD"/>
    <x v="0"/>
    <x v="13"/>
    <n v="40.758118647735301"/>
    <n v="14876.7133064234"/>
    <n v="53556.167903124202"/>
  </r>
  <r>
    <x v="0"/>
    <x v="0"/>
    <x v="0"/>
    <x v="3"/>
    <x v="14"/>
    <s v="SE4_OTHER"/>
    <x v="15"/>
    <s v="GHOB_RECYCLEDWOOD"/>
    <x v="0"/>
    <x v="14"/>
    <n v="51.637081608522401"/>
    <n v="18847.534787110701"/>
    <n v="67851.125233598505"/>
  </r>
  <r>
    <x v="0"/>
    <x v="0"/>
    <x v="0"/>
    <x v="3"/>
    <x v="14"/>
    <s v="SE4_OTHER"/>
    <x v="15"/>
    <s v="GHOB_RECYCLEDWOOD"/>
    <x v="0"/>
    <x v="15"/>
    <n v="60.025762925723697"/>
    <n v="21909.4034678891"/>
    <n v="78873.852484400893"/>
  </r>
  <r>
    <x v="0"/>
    <x v="0"/>
    <x v="0"/>
    <x v="3"/>
    <x v="14"/>
    <s v="SE4_OTHER"/>
    <x v="15"/>
    <s v="GHOB_RECYCLEDWOOD"/>
    <x v="0"/>
    <x v="16"/>
    <n v="60.025762925723697"/>
    <n v="21909.4034678891"/>
    <n v="78873.852484400893"/>
  </r>
  <r>
    <x v="0"/>
    <x v="0"/>
    <x v="0"/>
    <x v="3"/>
    <x v="14"/>
    <s v="SE4_OTHER"/>
    <x v="15"/>
    <s v="GHOB_RECYCLEDWOOD"/>
    <x v="0"/>
    <x v="17"/>
    <n v="60.025762925723697"/>
    <n v="21909.4034678891"/>
    <n v="78873.852484400893"/>
  </r>
  <r>
    <x v="0"/>
    <x v="0"/>
    <x v="0"/>
    <x v="3"/>
    <x v="14"/>
    <s v="SE4_OTHER"/>
    <x v="15"/>
    <s v="GHOB_RECYCLEDWOOD"/>
    <x v="0"/>
    <x v="18"/>
    <n v="60.025762925723697"/>
    <n v="21909.4034678891"/>
    <n v="78873.852484400893"/>
  </r>
  <r>
    <x v="0"/>
    <x v="0"/>
    <x v="0"/>
    <x v="3"/>
    <x v="14"/>
    <s v="SE4_OTHER"/>
    <x v="15"/>
    <s v="GHOB_RECYCLEDWOOD"/>
    <x v="0"/>
    <x v="19"/>
    <n v="60.025762925723697"/>
    <n v="21909.4034678891"/>
    <n v="78873.852484400893"/>
  </r>
  <r>
    <x v="0"/>
    <x v="0"/>
    <x v="0"/>
    <x v="3"/>
    <x v="14"/>
    <s v="SE4_OTHER"/>
    <x v="15"/>
    <s v="GHOB_RECYCLEDWOOD"/>
    <x v="0"/>
    <x v="20"/>
    <n v="60.025762925723697"/>
    <n v="21909.4034678891"/>
    <n v="78873.852484400893"/>
  </r>
  <r>
    <x v="0"/>
    <x v="0"/>
    <x v="0"/>
    <x v="3"/>
    <x v="14"/>
    <s v="SE4_OTHER"/>
    <x v="15"/>
    <s v="GHOB_RECYCLEDWOOD"/>
    <x v="0"/>
    <x v="21"/>
    <n v="60.025762925723697"/>
    <n v="21909.4034678891"/>
    <n v="78873.852484400893"/>
  </r>
  <r>
    <x v="0"/>
    <x v="0"/>
    <x v="0"/>
    <x v="3"/>
    <x v="14"/>
    <s v="SE4_OTHER"/>
    <x v="15"/>
    <s v="GHOB_RECYCLEDWOOD"/>
    <x v="0"/>
    <x v="22"/>
    <n v="60.025762925723697"/>
    <n v="21909.4034678891"/>
    <n v="78873.852484400893"/>
  </r>
  <r>
    <x v="0"/>
    <x v="0"/>
    <x v="0"/>
    <x v="3"/>
    <x v="14"/>
    <s v="SE4_OTHER"/>
    <x v="15"/>
    <s v="GHOB_RECYCLEDWOOD"/>
    <x v="0"/>
    <x v="23"/>
    <n v="8.4339957215420895"/>
    <n v="3078.4084383628601"/>
    <n v="11082.270378106299"/>
  </r>
  <r>
    <x v="0"/>
    <x v="0"/>
    <x v="0"/>
    <x v="3"/>
    <x v="14"/>
    <s v="SE4_OTHER"/>
    <x v="2"/>
    <s v="GHOB_WASTEHEAT"/>
    <x v="0"/>
    <x v="0"/>
    <n v="54.953067765567503"/>
    <n v="20057.869734432199"/>
    <n v="72208.331043955797"/>
  </r>
  <r>
    <x v="0"/>
    <x v="0"/>
    <x v="0"/>
    <x v="3"/>
    <x v="14"/>
    <s v="SE4_OTHER"/>
    <x v="2"/>
    <s v="GHOB_WASTEHEAT"/>
    <x v="0"/>
    <x v="1"/>
    <n v="54.953067765567503"/>
    <n v="20057.869734432199"/>
    <n v="72208.331043955797"/>
  </r>
  <r>
    <x v="0"/>
    <x v="0"/>
    <x v="0"/>
    <x v="3"/>
    <x v="14"/>
    <s v="SE4_OTHER"/>
    <x v="2"/>
    <s v="GHOB_WASTEHEAT"/>
    <x v="0"/>
    <x v="2"/>
    <n v="54.953067765567503"/>
    <n v="20057.869734432199"/>
    <n v="72208.331043955797"/>
  </r>
  <r>
    <x v="0"/>
    <x v="0"/>
    <x v="0"/>
    <x v="3"/>
    <x v="14"/>
    <s v="SE4_OTHER"/>
    <x v="2"/>
    <s v="GHOB_WASTEHEAT"/>
    <x v="0"/>
    <x v="3"/>
    <n v="54.953067765567503"/>
    <n v="20057.869734432199"/>
    <n v="72208.331043955797"/>
  </r>
  <r>
    <x v="0"/>
    <x v="0"/>
    <x v="0"/>
    <x v="3"/>
    <x v="14"/>
    <s v="SE4_OTHER"/>
    <x v="2"/>
    <s v="GHOB_WASTEHEAT"/>
    <x v="0"/>
    <x v="4"/>
    <n v="54.953067765567503"/>
    <n v="20057.869734432199"/>
    <n v="72208.331043955797"/>
  </r>
  <r>
    <x v="0"/>
    <x v="0"/>
    <x v="0"/>
    <x v="3"/>
    <x v="14"/>
    <s v="SE4_OTHER"/>
    <x v="2"/>
    <s v="GHOB_WASTEHEAT"/>
    <x v="0"/>
    <x v="5"/>
    <n v="54.953067765567503"/>
    <n v="20057.869734432199"/>
    <n v="72208.331043955797"/>
  </r>
  <r>
    <x v="0"/>
    <x v="0"/>
    <x v="0"/>
    <x v="3"/>
    <x v="14"/>
    <s v="SE4_OTHER"/>
    <x v="2"/>
    <s v="GHOB_WASTEHEAT"/>
    <x v="0"/>
    <x v="6"/>
    <n v="54.953067765567503"/>
    <n v="20057.869734432199"/>
    <n v="72208.331043955797"/>
  </r>
  <r>
    <x v="0"/>
    <x v="0"/>
    <x v="0"/>
    <x v="3"/>
    <x v="14"/>
    <s v="SE4_OTHER"/>
    <x v="2"/>
    <s v="GHOB_WASTEHEAT"/>
    <x v="0"/>
    <x v="7"/>
    <n v="54.953067765567503"/>
    <n v="20057.869734432199"/>
    <n v="72208.331043955797"/>
  </r>
  <r>
    <x v="0"/>
    <x v="0"/>
    <x v="0"/>
    <x v="3"/>
    <x v="14"/>
    <s v="SE4_OTHER"/>
    <x v="2"/>
    <s v="GHOB_WASTEHEAT"/>
    <x v="0"/>
    <x v="8"/>
    <n v="54.953067765567503"/>
    <n v="20057.869734432199"/>
    <n v="72208.331043955797"/>
  </r>
  <r>
    <x v="0"/>
    <x v="0"/>
    <x v="0"/>
    <x v="3"/>
    <x v="14"/>
    <s v="SE4_OTHER"/>
    <x v="2"/>
    <s v="GHOB_WASTEHEAT"/>
    <x v="0"/>
    <x v="9"/>
    <n v="54.953067765567503"/>
    <n v="20057.869734432199"/>
    <n v="72208.331043955797"/>
  </r>
  <r>
    <x v="0"/>
    <x v="0"/>
    <x v="0"/>
    <x v="3"/>
    <x v="14"/>
    <s v="SE4_OTHER"/>
    <x v="2"/>
    <s v="GHOB_WASTEHEAT"/>
    <x v="0"/>
    <x v="10"/>
    <n v="54.953067765567503"/>
    <n v="20057.869734432199"/>
    <n v="72208.331043955797"/>
  </r>
  <r>
    <x v="0"/>
    <x v="0"/>
    <x v="0"/>
    <x v="3"/>
    <x v="14"/>
    <s v="SE4_OTHER"/>
    <x v="2"/>
    <s v="GHOB_WASTEHEAT"/>
    <x v="0"/>
    <x v="11"/>
    <n v="54.953067765567503"/>
    <n v="20057.869734432199"/>
    <n v="72208.331043955797"/>
  </r>
  <r>
    <x v="0"/>
    <x v="0"/>
    <x v="0"/>
    <x v="3"/>
    <x v="14"/>
    <s v="SE4_OTHER"/>
    <x v="2"/>
    <s v="GHOB_WASTEHEAT"/>
    <x v="0"/>
    <x v="12"/>
    <n v="54.953067765567503"/>
    <n v="20057.869734432199"/>
    <n v="72208.331043955797"/>
  </r>
  <r>
    <x v="0"/>
    <x v="0"/>
    <x v="0"/>
    <x v="3"/>
    <x v="14"/>
    <s v="SE4_OTHER"/>
    <x v="2"/>
    <s v="GHOB_WASTEHEAT"/>
    <x v="0"/>
    <x v="13"/>
    <n v="54.953067765567503"/>
    <n v="20057.869734432199"/>
    <n v="72208.331043955797"/>
  </r>
  <r>
    <x v="0"/>
    <x v="0"/>
    <x v="0"/>
    <x v="3"/>
    <x v="14"/>
    <s v="SE4_OTHER"/>
    <x v="2"/>
    <s v="GHOB_WASTEHEAT"/>
    <x v="0"/>
    <x v="14"/>
    <n v="54.953067765567503"/>
    <n v="20057.869734432199"/>
    <n v="72208.331043955797"/>
  </r>
  <r>
    <x v="0"/>
    <x v="0"/>
    <x v="0"/>
    <x v="3"/>
    <x v="14"/>
    <s v="SE4_OTHER"/>
    <x v="2"/>
    <s v="GHOB_WASTEHEAT"/>
    <x v="0"/>
    <x v="15"/>
    <n v="54.953067765567503"/>
    <n v="20057.869734432199"/>
    <n v="72208.331043955797"/>
  </r>
  <r>
    <x v="0"/>
    <x v="0"/>
    <x v="0"/>
    <x v="3"/>
    <x v="14"/>
    <s v="SE4_OTHER"/>
    <x v="2"/>
    <s v="GHOB_WASTEHEAT"/>
    <x v="0"/>
    <x v="16"/>
    <n v="54.953067765567503"/>
    <n v="20057.869734432199"/>
    <n v="72208.331043955797"/>
  </r>
  <r>
    <x v="0"/>
    <x v="0"/>
    <x v="0"/>
    <x v="3"/>
    <x v="14"/>
    <s v="SE4_OTHER"/>
    <x v="2"/>
    <s v="GHOB_WASTEHEAT"/>
    <x v="0"/>
    <x v="17"/>
    <n v="54.953067765567503"/>
    <n v="20057.869734432199"/>
    <n v="72208.331043955797"/>
  </r>
  <r>
    <x v="0"/>
    <x v="0"/>
    <x v="0"/>
    <x v="3"/>
    <x v="14"/>
    <s v="SE4_OTHER"/>
    <x v="2"/>
    <s v="GHOB_WASTEHEAT"/>
    <x v="0"/>
    <x v="18"/>
    <n v="54.953067765567503"/>
    <n v="20057.869734432199"/>
    <n v="72208.331043955797"/>
  </r>
  <r>
    <x v="0"/>
    <x v="0"/>
    <x v="0"/>
    <x v="3"/>
    <x v="14"/>
    <s v="SE4_OTHER"/>
    <x v="2"/>
    <s v="GHOB_WASTEHEAT"/>
    <x v="0"/>
    <x v="19"/>
    <n v="54.953067765567503"/>
    <n v="20057.869734432199"/>
    <n v="72208.331043955797"/>
  </r>
  <r>
    <x v="0"/>
    <x v="0"/>
    <x v="0"/>
    <x v="3"/>
    <x v="14"/>
    <s v="SE4_OTHER"/>
    <x v="2"/>
    <s v="GHOB_WASTEHEAT"/>
    <x v="0"/>
    <x v="20"/>
    <n v="54.953067765567503"/>
    <n v="20057.869734432199"/>
    <n v="72208.331043955797"/>
  </r>
  <r>
    <x v="0"/>
    <x v="0"/>
    <x v="0"/>
    <x v="3"/>
    <x v="14"/>
    <s v="SE4_OTHER"/>
    <x v="2"/>
    <s v="GHOB_WASTEHEAT"/>
    <x v="0"/>
    <x v="21"/>
    <n v="54.953067765567503"/>
    <n v="20057.869734432199"/>
    <n v="72208.331043955797"/>
  </r>
  <r>
    <x v="0"/>
    <x v="0"/>
    <x v="0"/>
    <x v="3"/>
    <x v="14"/>
    <s v="SE4_OTHER"/>
    <x v="2"/>
    <s v="GHOB_WASTEHEAT"/>
    <x v="0"/>
    <x v="22"/>
    <n v="54.953067765567503"/>
    <n v="20057.869734432199"/>
    <n v="72208.331043955797"/>
  </r>
  <r>
    <x v="0"/>
    <x v="0"/>
    <x v="0"/>
    <x v="3"/>
    <x v="14"/>
    <s v="SE4_OTHER"/>
    <x v="2"/>
    <s v="GHOB_WASTEHEAT"/>
    <x v="0"/>
    <x v="23"/>
    <n v="54.953067765567503"/>
    <n v="20057.869734432199"/>
    <n v="72208.331043955797"/>
  </r>
  <r>
    <x v="0"/>
    <x v="0"/>
    <x v="0"/>
    <x v="3"/>
    <x v="14"/>
    <s v="SE4_OTHER"/>
    <x v="5"/>
    <s v="GBPR_WOODCHIPS_25"/>
    <x v="0"/>
    <x v="7"/>
    <n v="15.345440915545201"/>
    <n v="5601.0859341739897"/>
    <n v="20163.9093630264"/>
  </r>
  <r>
    <x v="0"/>
    <x v="0"/>
    <x v="0"/>
    <x v="3"/>
    <x v="14"/>
    <s v="SE4_OTHER"/>
    <x v="5"/>
    <s v="GHOB_WOODCHIPS"/>
    <x v="0"/>
    <x v="5"/>
    <n v="35.509369453714498"/>
    <n v="12960.9198506058"/>
    <n v="46659.3114621809"/>
  </r>
  <r>
    <x v="0"/>
    <x v="0"/>
    <x v="0"/>
    <x v="3"/>
    <x v="14"/>
    <s v="SE4_OTHER"/>
    <x v="5"/>
    <s v="GHOB_WOODCHIPS"/>
    <x v="0"/>
    <x v="6"/>
    <n v="159.80933285891899"/>
    <n v="58330.406493505499"/>
    <n v="209989.46337662"/>
  </r>
  <r>
    <x v="0"/>
    <x v="0"/>
    <x v="0"/>
    <x v="3"/>
    <x v="14"/>
    <s v="SE4_OTHER"/>
    <x v="5"/>
    <s v="GHOB_WOODCHIPS"/>
    <x v="0"/>
    <x v="7"/>
    <n v="169.666666666667"/>
    <n v="61928.333333333299"/>
    <n v="222942"/>
  </r>
  <r>
    <x v="0"/>
    <x v="0"/>
    <x v="0"/>
    <x v="3"/>
    <x v="14"/>
    <s v="SE4_OTHER"/>
    <x v="5"/>
    <s v="GHOB_WOODCHIPS"/>
    <x v="0"/>
    <x v="8"/>
    <n v="122.651196784452"/>
    <n v="44767.686826324803"/>
    <n v="161163.67257476901"/>
  </r>
  <r>
    <x v="0"/>
    <x v="0"/>
    <x v="0"/>
    <x v="3"/>
    <x v="14"/>
    <s v="SE4_OTHER"/>
    <x v="5"/>
    <s v="GHOB_WOODCHIPS"/>
    <x v="0"/>
    <x v="9"/>
    <n v="65.555461126963607"/>
    <n v="23927.743311341699"/>
    <n v="86139.875920830105"/>
  </r>
  <r>
    <x v="0"/>
    <x v="0"/>
    <x v="0"/>
    <x v="3"/>
    <x v="14"/>
    <s v="SE4_OTHER"/>
    <x v="5"/>
    <s v="GHOB_WOODCHIPS"/>
    <x v="0"/>
    <x v="10"/>
    <n v="25.6468024426933"/>
    <n v="9361.0828915830698"/>
    <n v="33699.898409699003"/>
  </r>
  <r>
    <x v="0"/>
    <x v="0"/>
    <x v="0"/>
    <x v="3"/>
    <x v="14"/>
    <s v="SE4_OTHER"/>
    <x v="5"/>
    <s v="GHOB_WOODCHIPS"/>
    <x v="0"/>
    <x v="11"/>
    <n v="1.0226425433013899"/>
    <n v="373.26452830500699"/>
    <n v="1343.7523018980301"/>
  </r>
  <r>
    <x v="0"/>
    <x v="0"/>
    <x v="0"/>
    <x v="3"/>
    <x v="14"/>
    <s v="SE4_OTHER"/>
    <x v="5"/>
    <s v="GHOB_WOODCHIPS"/>
    <x v="0"/>
    <x v="15"/>
    <n v="9.2244346046786099"/>
    <n v="3366.9186307076902"/>
    <n v="12120.907070547701"/>
  </r>
  <r>
    <x v="0"/>
    <x v="0"/>
    <x v="0"/>
    <x v="3"/>
    <x v="14"/>
    <s v="SE4_OTHER"/>
    <x v="5"/>
    <s v="GHOB_WOODCHIPS"/>
    <x v="0"/>
    <x v="16"/>
    <n v="20.7544240491628"/>
    <n v="7575.36477794441"/>
    <n v="27271.3132005999"/>
  </r>
  <r>
    <x v="0"/>
    <x v="0"/>
    <x v="0"/>
    <x v="3"/>
    <x v="14"/>
    <s v="SE4_OTHER"/>
    <x v="5"/>
    <s v="GHOB_WOODCHIPS"/>
    <x v="0"/>
    <x v="17"/>
    <n v="20.7037826360719"/>
    <n v="7556.8806621662397"/>
    <n v="27204.770383798499"/>
  </r>
  <r>
    <x v="0"/>
    <x v="0"/>
    <x v="0"/>
    <x v="3"/>
    <x v="14"/>
    <s v="SE4_OTHER"/>
    <x v="5"/>
    <s v="GHOB_WOODCHIPS"/>
    <x v="0"/>
    <x v="18"/>
    <n v="35.806095995118397"/>
    <n v="13069.225038218199"/>
    <n v="47049.2101375856"/>
  </r>
  <r>
    <x v="0"/>
    <x v="0"/>
    <x v="0"/>
    <x v="3"/>
    <x v="14"/>
    <s v="SE4_OTHER"/>
    <x v="5"/>
    <s v="GHOB_WOODCHIPS"/>
    <x v="0"/>
    <x v="19"/>
    <n v="49.425001397041797"/>
    <n v="18040.125509920199"/>
    <n v="64944.451835712898"/>
  </r>
  <r>
    <x v="0"/>
    <x v="0"/>
    <x v="0"/>
    <x v="3"/>
    <x v="14"/>
    <s v="SE4_OTHER"/>
    <x v="5"/>
    <s v="GHOB_WOODCHIPS"/>
    <x v="0"/>
    <x v="20"/>
    <n v="50.281052036976398"/>
    <n v="18352.583993496399"/>
    <n v="66069.302376587002"/>
  </r>
  <r>
    <x v="0"/>
    <x v="0"/>
    <x v="0"/>
    <x v="3"/>
    <x v="14"/>
    <s v="SE4_OTHER"/>
    <x v="5"/>
    <s v="GHOB_WOODCHIPS"/>
    <x v="0"/>
    <x v="21"/>
    <n v="36.7985303515797"/>
    <n v="13431.4635783266"/>
    <n v="48353.268881975797"/>
  </r>
  <r>
    <x v="0"/>
    <x v="0"/>
    <x v="0"/>
    <x v="3"/>
    <x v="14"/>
    <s v="SE4_OTHER"/>
    <x v="5"/>
    <s v="GHOB_WOODCHIPS"/>
    <x v="0"/>
    <x v="22"/>
    <n v="10.4989759807723"/>
    <n v="3832.1262329819001"/>
    <n v="13795.6544387348"/>
  </r>
  <r>
    <x v="0"/>
    <x v="0"/>
    <x v="0"/>
    <x v="3"/>
    <x v="14"/>
    <s v="SE4_OTHER"/>
    <x v="9"/>
    <s v="GBPR_WOODWASTE_36"/>
    <x v="0"/>
    <x v="0"/>
    <n v="245.693169877408"/>
    <n v="89678.007005253996"/>
    <n v="322840.82521891402"/>
  </r>
  <r>
    <x v="0"/>
    <x v="0"/>
    <x v="0"/>
    <x v="3"/>
    <x v="14"/>
    <s v="SE4_OTHER"/>
    <x v="9"/>
    <s v="GBPR_WOODWASTE_36"/>
    <x v="0"/>
    <x v="1"/>
    <n v="245.693169877408"/>
    <n v="89678.007005253996"/>
    <n v="322840.82521891402"/>
  </r>
  <r>
    <x v="0"/>
    <x v="0"/>
    <x v="0"/>
    <x v="3"/>
    <x v="14"/>
    <s v="SE4_OTHER"/>
    <x v="9"/>
    <s v="GBPR_WOODWASTE_36"/>
    <x v="0"/>
    <x v="2"/>
    <n v="245.693169877408"/>
    <n v="89678.007005253996"/>
    <n v="322840.82521891402"/>
  </r>
  <r>
    <x v="0"/>
    <x v="0"/>
    <x v="0"/>
    <x v="3"/>
    <x v="14"/>
    <s v="SE4_OTHER"/>
    <x v="9"/>
    <s v="GBPR_WOODWASTE_36"/>
    <x v="0"/>
    <x v="3"/>
    <n v="245.693169877408"/>
    <n v="89678.007005253996"/>
    <n v="322840.82521891402"/>
  </r>
  <r>
    <x v="0"/>
    <x v="0"/>
    <x v="0"/>
    <x v="3"/>
    <x v="14"/>
    <s v="SE4_OTHER"/>
    <x v="9"/>
    <s v="GBPR_WOODWASTE_36"/>
    <x v="0"/>
    <x v="4"/>
    <n v="245.693169877408"/>
    <n v="89678.007005253996"/>
    <n v="322840.82521891402"/>
  </r>
  <r>
    <x v="0"/>
    <x v="0"/>
    <x v="0"/>
    <x v="3"/>
    <x v="14"/>
    <s v="SE4_OTHER"/>
    <x v="9"/>
    <s v="GBPR_WOODWASTE_36"/>
    <x v="0"/>
    <x v="5"/>
    <n v="245.693169877408"/>
    <n v="89678.007005253996"/>
    <n v="322840.82521891402"/>
  </r>
  <r>
    <x v="0"/>
    <x v="0"/>
    <x v="0"/>
    <x v="3"/>
    <x v="14"/>
    <s v="SE4_OTHER"/>
    <x v="9"/>
    <s v="GBPR_WOODWASTE_36"/>
    <x v="0"/>
    <x v="6"/>
    <n v="245.693169877408"/>
    <n v="89678.007005253996"/>
    <n v="322840.82521891402"/>
  </r>
  <r>
    <x v="0"/>
    <x v="0"/>
    <x v="0"/>
    <x v="3"/>
    <x v="14"/>
    <s v="SE4_OTHER"/>
    <x v="9"/>
    <s v="GBPR_WOODWASTE_36"/>
    <x v="0"/>
    <x v="7"/>
    <n v="245.693169877408"/>
    <n v="89678.007005253996"/>
    <n v="322840.82521891402"/>
  </r>
  <r>
    <x v="0"/>
    <x v="0"/>
    <x v="0"/>
    <x v="3"/>
    <x v="14"/>
    <s v="SE4_OTHER"/>
    <x v="9"/>
    <s v="GBPR_WOODWASTE_36"/>
    <x v="0"/>
    <x v="8"/>
    <n v="245.693169877408"/>
    <n v="89678.007005253996"/>
    <n v="322840.82521891402"/>
  </r>
  <r>
    <x v="0"/>
    <x v="0"/>
    <x v="0"/>
    <x v="3"/>
    <x v="14"/>
    <s v="SE4_OTHER"/>
    <x v="9"/>
    <s v="GBPR_WOODWASTE_36"/>
    <x v="0"/>
    <x v="9"/>
    <n v="245.693169877408"/>
    <n v="89678.007005253996"/>
    <n v="322840.82521891402"/>
  </r>
  <r>
    <x v="0"/>
    <x v="0"/>
    <x v="0"/>
    <x v="3"/>
    <x v="14"/>
    <s v="SE4_OTHER"/>
    <x v="9"/>
    <s v="GBPR_WOODWASTE_36"/>
    <x v="0"/>
    <x v="10"/>
    <n v="245.693169877408"/>
    <n v="89678.007005253996"/>
    <n v="322840.82521891402"/>
  </r>
  <r>
    <x v="0"/>
    <x v="0"/>
    <x v="0"/>
    <x v="3"/>
    <x v="14"/>
    <s v="SE4_OTHER"/>
    <x v="9"/>
    <s v="GBPR_WOODWASTE_36"/>
    <x v="0"/>
    <x v="11"/>
    <n v="245.693169877408"/>
    <n v="89678.007005253996"/>
    <n v="322840.82521891402"/>
  </r>
  <r>
    <x v="0"/>
    <x v="0"/>
    <x v="0"/>
    <x v="3"/>
    <x v="14"/>
    <s v="SE4_OTHER"/>
    <x v="9"/>
    <s v="GBPR_WOODWASTE_36"/>
    <x v="0"/>
    <x v="12"/>
    <n v="245.693169877408"/>
    <n v="89678.007005253996"/>
    <n v="322840.82521891402"/>
  </r>
  <r>
    <x v="0"/>
    <x v="0"/>
    <x v="0"/>
    <x v="3"/>
    <x v="14"/>
    <s v="SE4_OTHER"/>
    <x v="9"/>
    <s v="GBPR_WOODWASTE_36"/>
    <x v="0"/>
    <x v="13"/>
    <n v="245.693169877408"/>
    <n v="89678.007005253996"/>
    <n v="322840.82521891402"/>
  </r>
  <r>
    <x v="0"/>
    <x v="0"/>
    <x v="0"/>
    <x v="3"/>
    <x v="14"/>
    <s v="SE4_OTHER"/>
    <x v="9"/>
    <s v="GBPR_WOODWASTE_36"/>
    <x v="0"/>
    <x v="14"/>
    <n v="245.693169877408"/>
    <n v="89678.007005253996"/>
    <n v="322840.82521891402"/>
  </r>
  <r>
    <x v="0"/>
    <x v="0"/>
    <x v="0"/>
    <x v="3"/>
    <x v="14"/>
    <s v="SE4_OTHER"/>
    <x v="9"/>
    <s v="GBPR_WOODWASTE_36"/>
    <x v="0"/>
    <x v="15"/>
    <n v="245.693169877408"/>
    <n v="89678.007005253996"/>
    <n v="322840.82521891402"/>
  </r>
  <r>
    <x v="0"/>
    <x v="0"/>
    <x v="0"/>
    <x v="3"/>
    <x v="14"/>
    <s v="SE4_OTHER"/>
    <x v="9"/>
    <s v="GBPR_WOODWASTE_36"/>
    <x v="0"/>
    <x v="16"/>
    <n v="245.693169877408"/>
    <n v="89678.007005253996"/>
    <n v="322840.82521891402"/>
  </r>
  <r>
    <x v="0"/>
    <x v="0"/>
    <x v="0"/>
    <x v="3"/>
    <x v="14"/>
    <s v="SE4_OTHER"/>
    <x v="9"/>
    <s v="GBPR_WOODWASTE_36"/>
    <x v="0"/>
    <x v="17"/>
    <n v="245.693169877408"/>
    <n v="89678.007005253996"/>
    <n v="322840.82521891402"/>
  </r>
  <r>
    <x v="0"/>
    <x v="0"/>
    <x v="0"/>
    <x v="3"/>
    <x v="14"/>
    <s v="SE4_OTHER"/>
    <x v="9"/>
    <s v="GBPR_WOODWASTE_36"/>
    <x v="0"/>
    <x v="18"/>
    <n v="245.693169877408"/>
    <n v="89678.007005253996"/>
    <n v="322840.82521891402"/>
  </r>
  <r>
    <x v="0"/>
    <x v="0"/>
    <x v="0"/>
    <x v="3"/>
    <x v="14"/>
    <s v="SE4_OTHER"/>
    <x v="9"/>
    <s v="GBPR_WOODWASTE_36"/>
    <x v="0"/>
    <x v="19"/>
    <n v="245.693169877408"/>
    <n v="89678.007005253996"/>
    <n v="322840.82521891402"/>
  </r>
  <r>
    <x v="0"/>
    <x v="0"/>
    <x v="0"/>
    <x v="3"/>
    <x v="14"/>
    <s v="SE4_OTHER"/>
    <x v="9"/>
    <s v="GBPR_WOODWASTE_36"/>
    <x v="0"/>
    <x v="20"/>
    <n v="245.693169877408"/>
    <n v="89678.007005253996"/>
    <n v="322840.82521891402"/>
  </r>
  <r>
    <x v="0"/>
    <x v="0"/>
    <x v="0"/>
    <x v="3"/>
    <x v="14"/>
    <s v="SE4_OTHER"/>
    <x v="9"/>
    <s v="GBPR_WOODWASTE_36"/>
    <x v="0"/>
    <x v="21"/>
    <n v="245.693169877408"/>
    <n v="89678.007005253996"/>
    <n v="322840.82521891402"/>
  </r>
  <r>
    <x v="0"/>
    <x v="0"/>
    <x v="0"/>
    <x v="3"/>
    <x v="14"/>
    <s v="SE4_OTHER"/>
    <x v="9"/>
    <s v="GBPR_WOODWASTE_36"/>
    <x v="0"/>
    <x v="22"/>
    <n v="245.693169877408"/>
    <n v="89678.007005253996"/>
    <n v="322840.82521891402"/>
  </r>
  <r>
    <x v="0"/>
    <x v="0"/>
    <x v="0"/>
    <x v="3"/>
    <x v="14"/>
    <s v="SE4_OTHER"/>
    <x v="9"/>
    <s v="GBPR_WOODWASTE_36"/>
    <x v="0"/>
    <x v="23"/>
    <n v="245.693169877408"/>
    <n v="89678.007005253996"/>
    <n v="322840.82521891402"/>
  </r>
  <r>
    <x v="0"/>
    <x v="0"/>
    <x v="0"/>
    <x v="3"/>
    <x v="14"/>
    <s v="SE4_OTHER"/>
    <x v="9"/>
    <s v="GHOB_WOODWASTE"/>
    <x v="0"/>
    <x v="0"/>
    <n v="208.43194351249301"/>
    <n v="76077.659382059996"/>
    <n v="273879.57377541601"/>
  </r>
  <r>
    <x v="0"/>
    <x v="0"/>
    <x v="0"/>
    <x v="3"/>
    <x v="14"/>
    <s v="SE4_OTHER"/>
    <x v="9"/>
    <s v="GHOB_WOODWASTE"/>
    <x v="0"/>
    <x v="1"/>
    <n v="220.99580301344"/>
    <n v="80663.468099905498"/>
    <n v="290388.48515965999"/>
  </r>
  <r>
    <x v="0"/>
    <x v="0"/>
    <x v="0"/>
    <x v="3"/>
    <x v="14"/>
    <s v="SE4_OTHER"/>
    <x v="9"/>
    <s v="GHOB_WOODWASTE"/>
    <x v="0"/>
    <x v="2"/>
    <n v="220.998408664225"/>
    <n v="80664.419162442297"/>
    <n v="290391.90898479201"/>
  </r>
  <r>
    <x v="0"/>
    <x v="0"/>
    <x v="0"/>
    <x v="3"/>
    <x v="14"/>
    <s v="SE4_OTHER"/>
    <x v="9"/>
    <s v="GHOB_WOODWASTE"/>
    <x v="0"/>
    <x v="3"/>
    <n v="239.57580030905501"/>
    <n v="87445.167112805197"/>
    <n v="314802.60160609899"/>
  </r>
  <r>
    <x v="0"/>
    <x v="0"/>
    <x v="0"/>
    <x v="3"/>
    <x v="14"/>
    <s v="SE4_OTHER"/>
    <x v="9"/>
    <s v="GHOB_WOODWASTE"/>
    <x v="0"/>
    <x v="4"/>
    <n v="239.57580030905501"/>
    <n v="87445.167112805197"/>
    <n v="314802.60160609899"/>
  </r>
  <r>
    <x v="0"/>
    <x v="0"/>
    <x v="0"/>
    <x v="3"/>
    <x v="14"/>
    <s v="SE4_OTHER"/>
    <x v="9"/>
    <s v="GHOB_WOODWASTE"/>
    <x v="0"/>
    <x v="5"/>
    <n v="239.57580030905501"/>
    <n v="87445.167112805197"/>
    <n v="314802.60160609899"/>
  </r>
  <r>
    <x v="0"/>
    <x v="0"/>
    <x v="0"/>
    <x v="3"/>
    <x v="14"/>
    <s v="SE4_OTHER"/>
    <x v="9"/>
    <s v="GHOB_WOODWASTE"/>
    <x v="0"/>
    <x v="6"/>
    <n v="239.57580030905501"/>
    <n v="87445.167112805197"/>
    <n v="314802.60160609899"/>
  </r>
  <r>
    <x v="0"/>
    <x v="0"/>
    <x v="0"/>
    <x v="3"/>
    <x v="14"/>
    <s v="SE4_OTHER"/>
    <x v="9"/>
    <s v="GHOB_WOODWASTE"/>
    <x v="0"/>
    <x v="7"/>
    <n v="239.57580030905501"/>
    <n v="87445.167112805197"/>
    <n v="314802.60160609899"/>
  </r>
  <r>
    <x v="0"/>
    <x v="0"/>
    <x v="0"/>
    <x v="3"/>
    <x v="14"/>
    <s v="SE4_OTHER"/>
    <x v="9"/>
    <s v="GHOB_WOODWASTE"/>
    <x v="0"/>
    <x v="8"/>
    <n v="239.57580030905501"/>
    <n v="87445.167112805197"/>
    <n v="314802.60160609899"/>
  </r>
  <r>
    <x v="0"/>
    <x v="0"/>
    <x v="0"/>
    <x v="3"/>
    <x v="14"/>
    <s v="SE4_OTHER"/>
    <x v="9"/>
    <s v="GHOB_WOODWASTE"/>
    <x v="0"/>
    <x v="9"/>
    <n v="239.57580030905501"/>
    <n v="87445.167112805197"/>
    <n v="314802.60160609899"/>
  </r>
  <r>
    <x v="0"/>
    <x v="0"/>
    <x v="0"/>
    <x v="3"/>
    <x v="14"/>
    <s v="SE4_OTHER"/>
    <x v="9"/>
    <s v="GHOB_WOODWASTE"/>
    <x v="0"/>
    <x v="10"/>
    <n v="239.57580030905501"/>
    <n v="87445.167112805197"/>
    <n v="314802.60160609899"/>
  </r>
  <r>
    <x v="0"/>
    <x v="0"/>
    <x v="0"/>
    <x v="3"/>
    <x v="14"/>
    <s v="SE4_OTHER"/>
    <x v="9"/>
    <s v="GHOB_WOODWASTE"/>
    <x v="0"/>
    <x v="11"/>
    <n v="239.57580030905501"/>
    <n v="87445.167112805197"/>
    <n v="314802.60160609899"/>
  </r>
  <r>
    <x v="0"/>
    <x v="0"/>
    <x v="0"/>
    <x v="3"/>
    <x v="14"/>
    <s v="SE4_OTHER"/>
    <x v="9"/>
    <s v="GHOB_WOODWASTE"/>
    <x v="0"/>
    <x v="12"/>
    <n v="239.57580030905501"/>
    <n v="87445.167112805197"/>
    <n v="314802.60160609899"/>
  </r>
  <r>
    <x v="0"/>
    <x v="0"/>
    <x v="0"/>
    <x v="3"/>
    <x v="14"/>
    <s v="SE4_OTHER"/>
    <x v="9"/>
    <s v="GHOB_WOODWASTE"/>
    <x v="0"/>
    <x v="13"/>
    <n v="239.57580030905501"/>
    <n v="87445.167112805197"/>
    <n v="314802.60160609899"/>
  </r>
  <r>
    <x v="0"/>
    <x v="0"/>
    <x v="0"/>
    <x v="3"/>
    <x v="14"/>
    <s v="SE4_OTHER"/>
    <x v="9"/>
    <s v="GHOB_WOODWASTE"/>
    <x v="0"/>
    <x v="14"/>
    <n v="239.57580030905501"/>
    <n v="87445.167112805197"/>
    <n v="314802.60160609899"/>
  </r>
  <r>
    <x v="0"/>
    <x v="0"/>
    <x v="0"/>
    <x v="3"/>
    <x v="14"/>
    <s v="SE4_OTHER"/>
    <x v="9"/>
    <s v="GHOB_WOODWASTE"/>
    <x v="0"/>
    <x v="15"/>
    <n v="239.57580030905501"/>
    <n v="87445.167112805197"/>
    <n v="314802.60160609899"/>
  </r>
  <r>
    <x v="0"/>
    <x v="0"/>
    <x v="0"/>
    <x v="3"/>
    <x v="14"/>
    <s v="SE4_OTHER"/>
    <x v="9"/>
    <s v="GHOB_WOODWASTE"/>
    <x v="0"/>
    <x v="16"/>
    <n v="239.57580030905501"/>
    <n v="87445.167112805197"/>
    <n v="314802.60160609899"/>
  </r>
  <r>
    <x v="0"/>
    <x v="0"/>
    <x v="0"/>
    <x v="3"/>
    <x v="14"/>
    <s v="SE4_OTHER"/>
    <x v="9"/>
    <s v="GHOB_WOODWASTE"/>
    <x v="0"/>
    <x v="17"/>
    <n v="239.57580030905501"/>
    <n v="87445.167112805197"/>
    <n v="314802.60160609899"/>
  </r>
  <r>
    <x v="0"/>
    <x v="0"/>
    <x v="0"/>
    <x v="3"/>
    <x v="14"/>
    <s v="SE4_OTHER"/>
    <x v="9"/>
    <s v="GHOB_WOODWASTE"/>
    <x v="0"/>
    <x v="18"/>
    <n v="239.57580030905501"/>
    <n v="87445.167112805197"/>
    <n v="314802.60160609899"/>
  </r>
  <r>
    <x v="0"/>
    <x v="0"/>
    <x v="0"/>
    <x v="3"/>
    <x v="14"/>
    <s v="SE4_OTHER"/>
    <x v="9"/>
    <s v="GHOB_WOODWASTE"/>
    <x v="0"/>
    <x v="19"/>
    <n v="239.57580030905501"/>
    <n v="87445.167112805197"/>
    <n v="314802.60160609899"/>
  </r>
  <r>
    <x v="0"/>
    <x v="0"/>
    <x v="0"/>
    <x v="3"/>
    <x v="14"/>
    <s v="SE4_OTHER"/>
    <x v="9"/>
    <s v="GHOB_WOODWASTE"/>
    <x v="0"/>
    <x v="20"/>
    <n v="239.57580030905501"/>
    <n v="87445.167112805197"/>
    <n v="314802.60160609899"/>
  </r>
  <r>
    <x v="0"/>
    <x v="0"/>
    <x v="0"/>
    <x v="3"/>
    <x v="14"/>
    <s v="SE4_OTHER"/>
    <x v="9"/>
    <s v="GHOB_WOODWASTE"/>
    <x v="0"/>
    <x v="21"/>
    <n v="239.57580030905501"/>
    <n v="87445.167112805197"/>
    <n v="314802.60160609899"/>
  </r>
  <r>
    <x v="0"/>
    <x v="0"/>
    <x v="0"/>
    <x v="3"/>
    <x v="14"/>
    <s v="SE4_OTHER"/>
    <x v="9"/>
    <s v="GHOB_WOODWASTE"/>
    <x v="0"/>
    <x v="22"/>
    <n v="239.57580030905501"/>
    <n v="87445.167112805197"/>
    <n v="314802.60160609899"/>
  </r>
  <r>
    <x v="0"/>
    <x v="0"/>
    <x v="0"/>
    <x v="3"/>
    <x v="14"/>
    <s v="SE4_OTHER"/>
    <x v="9"/>
    <s v="GHOB_WOODWASTE"/>
    <x v="0"/>
    <x v="23"/>
    <n v="239.57580030905501"/>
    <n v="87445.167112805197"/>
    <n v="314802.60160609899"/>
  </r>
  <r>
    <x v="0"/>
    <x v="0"/>
    <x v="1"/>
    <x v="0"/>
    <x v="0"/>
    <s v="DK1_Large"/>
    <x v="1"/>
    <s v="GNR_BO_MSW_E-105"/>
    <x v="0"/>
    <x v="5"/>
    <n v="7.2414954701963303"/>
    <n v="2643.14584662166"/>
    <n v="9515.3250478379705"/>
  </r>
  <r>
    <x v="0"/>
    <x v="0"/>
    <x v="1"/>
    <x v="0"/>
    <x v="0"/>
    <s v="DK1_Large"/>
    <x v="1"/>
    <s v="GNR_BO_MSW_E-105"/>
    <x v="0"/>
    <x v="6"/>
    <n v="26.6666666666667"/>
    <n v="9733.3333333333303"/>
    <n v="35040"/>
  </r>
  <r>
    <x v="0"/>
    <x v="0"/>
    <x v="1"/>
    <x v="0"/>
    <x v="0"/>
    <s v="DK1_Large"/>
    <x v="1"/>
    <s v="GNR_BO_MSW_E-105"/>
    <x v="0"/>
    <x v="7"/>
    <n v="26.6666666666667"/>
    <n v="9733.3333333333303"/>
    <n v="35040"/>
  </r>
  <r>
    <x v="0"/>
    <x v="0"/>
    <x v="1"/>
    <x v="0"/>
    <x v="0"/>
    <s v="DK1_Large"/>
    <x v="1"/>
    <s v="GNR_BO_MSW_E-105"/>
    <x v="0"/>
    <x v="8"/>
    <n v="26.6666666666667"/>
    <n v="9733.3333333333303"/>
    <n v="35040"/>
  </r>
  <r>
    <x v="0"/>
    <x v="0"/>
    <x v="1"/>
    <x v="0"/>
    <x v="0"/>
    <s v="DK1_Large"/>
    <x v="1"/>
    <s v="GNR_BO_MSW_E-105"/>
    <x v="0"/>
    <x v="9"/>
    <n v="26.6666666666667"/>
    <n v="9733.3333333333303"/>
    <n v="35040"/>
  </r>
  <r>
    <x v="0"/>
    <x v="0"/>
    <x v="1"/>
    <x v="0"/>
    <x v="0"/>
    <s v="DK1_Large"/>
    <x v="1"/>
    <s v="GNR_BO_MSW_E-105"/>
    <x v="0"/>
    <x v="10"/>
    <n v="26.6666666666667"/>
    <n v="9733.3333333333303"/>
    <n v="35040"/>
  </r>
  <r>
    <x v="0"/>
    <x v="0"/>
    <x v="1"/>
    <x v="0"/>
    <x v="0"/>
    <s v="DK1_Large"/>
    <x v="1"/>
    <s v="GNR_BO_MSW_E-105"/>
    <x v="0"/>
    <x v="16"/>
    <n v="17.216583381897401"/>
    <n v="6284.05293439253"/>
    <n v="22622.590563813101"/>
  </r>
  <r>
    <x v="0"/>
    <x v="0"/>
    <x v="1"/>
    <x v="0"/>
    <x v="0"/>
    <s v="DK1_Large"/>
    <x v="1"/>
    <s v="GNR_BO_MSW_E-105"/>
    <x v="0"/>
    <x v="17"/>
    <n v="26.6666666666667"/>
    <n v="9733.3333333333303"/>
    <n v="35040"/>
  </r>
  <r>
    <x v="0"/>
    <x v="0"/>
    <x v="1"/>
    <x v="0"/>
    <x v="0"/>
    <s v="DK1_Large"/>
    <x v="1"/>
    <s v="GNR_BO_MSW_E-105"/>
    <x v="0"/>
    <x v="18"/>
    <n v="26.6666666666667"/>
    <n v="9733.3333333333303"/>
    <n v="35040"/>
  </r>
  <r>
    <x v="0"/>
    <x v="0"/>
    <x v="1"/>
    <x v="0"/>
    <x v="0"/>
    <s v="DK1_Large"/>
    <x v="1"/>
    <s v="GNR_BO_MSW_E-105"/>
    <x v="0"/>
    <x v="19"/>
    <n v="26.6666666666667"/>
    <n v="9733.3333333333303"/>
    <n v="35040"/>
  </r>
  <r>
    <x v="0"/>
    <x v="0"/>
    <x v="1"/>
    <x v="0"/>
    <x v="0"/>
    <s v="DK1_Large"/>
    <x v="1"/>
    <s v="GNR_BO_MSW_E-105"/>
    <x v="0"/>
    <x v="20"/>
    <n v="26.6666666666667"/>
    <n v="9733.3333333333303"/>
    <n v="35040"/>
  </r>
  <r>
    <x v="0"/>
    <x v="0"/>
    <x v="1"/>
    <x v="0"/>
    <x v="0"/>
    <s v="DK1_Large"/>
    <x v="1"/>
    <s v="GNR_ST_MSW_BP_E-27"/>
    <x v="0"/>
    <x v="17"/>
    <n v="66.296296296296404"/>
    <n v="24198.148148148201"/>
    <n v="87113.333333333503"/>
  </r>
  <r>
    <x v="0"/>
    <x v="0"/>
    <x v="1"/>
    <x v="0"/>
    <x v="0"/>
    <s v="DK1_Large"/>
    <x v="1"/>
    <s v="GNR_ST_MSW_BP_E-27"/>
    <x v="0"/>
    <x v="18"/>
    <n v="66.296296296296404"/>
    <n v="24198.148148148201"/>
    <n v="87113.333333333503"/>
  </r>
  <r>
    <x v="0"/>
    <x v="0"/>
    <x v="1"/>
    <x v="0"/>
    <x v="0"/>
    <s v="DK1_Large"/>
    <x v="1"/>
    <s v="GNR_ST_MSW_BP_E-27"/>
    <x v="0"/>
    <x v="19"/>
    <n v="66.296296296296404"/>
    <n v="24198.148148148201"/>
    <n v="87113.333333333503"/>
  </r>
  <r>
    <x v="0"/>
    <x v="0"/>
    <x v="1"/>
    <x v="0"/>
    <x v="0"/>
    <s v="DK1_Large"/>
    <x v="4"/>
    <s v="GNR_BO_STRW_E-100"/>
    <x v="0"/>
    <x v="18"/>
    <n v="5.15"/>
    <n v="1879.75"/>
    <n v="6767.1"/>
  </r>
  <r>
    <x v="0"/>
    <x v="0"/>
    <x v="1"/>
    <x v="0"/>
    <x v="0"/>
    <s v="DK1_Large"/>
    <x v="4"/>
    <s v="GNR_BO_STRW_E-102"/>
    <x v="0"/>
    <x v="18"/>
    <n v="6.1764705882352899"/>
    <n v="2254.4117647058802"/>
    <n v="8115.8823529411802"/>
  </r>
  <r>
    <x v="0"/>
    <x v="0"/>
    <x v="1"/>
    <x v="0"/>
    <x v="0"/>
    <s v="DK1_Large"/>
    <x v="4"/>
    <s v="GNR_BO_STRW_E-102"/>
    <x v="0"/>
    <x v="19"/>
    <n v="1.04295990582792"/>
    <n v="380.68036562718902"/>
    <n v="1370.4493162578799"/>
  </r>
  <r>
    <x v="0"/>
    <x v="0"/>
    <x v="1"/>
    <x v="0"/>
    <x v="0"/>
    <s v="DK1_Large"/>
    <x v="2"/>
    <s v="GNR_EH_HEAT"/>
    <x v="0"/>
    <x v="4"/>
    <n v="8.5"/>
    <n v="3102.5"/>
    <n v="11169"/>
  </r>
  <r>
    <x v="0"/>
    <x v="0"/>
    <x v="1"/>
    <x v="0"/>
    <x v="0"/>
    <s v="DK1_Large"/>
    <x v="2"/>
    <s v="GNR_EH_HEAT"/>
    <x v="0"/>
    <x v="5"/>
    <n v="8.5"/>
    <n v="3102.5"/>
    <n v="11169"/>
  </r>
  <r>
    <x v="0"/>
    <x v="0"/>
    <x v="1"/>
    <x v="0"/>
    <x v="0"/>
    <s v="DK1_Large"/>
    <x v="2"/>
    <s v="GNR_EH_HEAT"/>
    <x v="0"/>
    <x v="6"/>
    <n v="8.5"/>
    <n v="3102.5"/>
    <n v="11169"/>
  </r>
  <r>
    <x v="0"/>
    <x v="0"/>
    <x v="1"/>
    <x v="0"/>
    <x v="0"/>
    <s v="DK1_Large"/>
    <x v="2"/>
    <s v="GNR_EH_HEAT"/>
    <x v="0"/>
    <x v="7"/>
    <n v="8.5"/>
    <n v="3102.5"/>
    <n v="11169"/>
  </r>
  <r>
    <x v="0"/>
    <x v="0"/>
    <x v="1"/>
    <x v="0"/>
    <x v="0"/>
    <s v="DK1_Large"/>
    <x v="2"/>
    <s v="GNR_EH_HEAT"/>
    <x v="0"/>
    <x v="8"/>
    <n v="8.5"/>
    <n v="3102.5"/>
    <n v="11169"/>
  </r>
  <r>
    <x v="0"/>
    <x v="0"/>
    <x v="1"/>
    <x v="0"/>
    <x v="0"/>
    <s v="DK1_Large"/>
    <x v="2"/>
    <s v="GNR_EH_HEAT"/>
    <x v="0"/>
    <x v="9"/>
    <n v="8.5"/>
    <n v="3102.5"/>
    <n v="11169"/>
  </r>
  <r>
    <x v="0"/>
    <x v="0"/>
    <x v="1"/>
    <x v="0"/>
    <x v="0"/>
    <s v="DK1_Large"/>
    <x v="2"/>
    <s v="GNR_EH_HEAT"/>
    <x v="0"/>
    <x v="10"/>
    <n v="8.5"/>
    <n v="3102.5"/>
    <n v="11169"/>
  </r>
  <r>
    <x v="0"/>
    <x v="0"/>
    <x v="1"/>
    <x v="0"/>
    <x v="0"/>
    <s v="DK1_Large"/>
    <x v="2"/>
    <s v="GNR_EH_HEAT"/>
    <x v="0"/>
    <x v="11"/>
    <n v="8.5"/>
    <n v="3102.5"/>
    <n v="11169"/>
  </r>
  <r>
    <x v="0"/>
    <x v="0"/>
    <x v="1"/>
    <x v="0"/>
    <x v="0"/>
    <s v="DK1_Large"/>
    <x v="2"/>
    <s v="GNR_EH_HEAT"/>
    <x v="0"/>
    <x v="12"/>
    <n v="8.5"/>
    <n v="3102.5"/>
    <n v="11169"/>
  </r>
  <r>
    <x v="0"/>
    <x v="0"/>
    <x v="1"/>
    <x v="0"/>
    <x v="0"/>
    <s v="DK1_Large"/>
    <x v="2"/>
    <s v="GNR_EH_HEAT"/>
    <x v="0"/>
    <x v="13"/>
    <n v="8.5"/>
    <n v="3102.5"/>
    <n v="11169"/>
  </r>
  <r>
    <x v="0"/>
    <x v="0"/>
    <x v="1"/>
    <x v="0"/>
    <x v="0"/>
    <s v="DK1_Large"/>
    <x v="2"/>
    <s v="GNR_EH_HEAT"/>
    <x v="0"/>
    <x v="14"/>
    <n v="8.5"/>
    <n v="3102.5"/>
    <n v="11169"/>
  </r>
  <r>
    <x v="0"/>
    <x v="0"/>
    <x v="1"/>
    <x v="0"/>
    <x v="0"/>
    <s v="DK1_Large"/>
    <x v="2"/>
    <s v="GNR_EH_HEAT"/>
    <x v="0"/>
    <x v="15"/>
    <n v="8.5"/>
    <n v="3102.5"/>
    <n v="11169"/>
  </r>
  <r>
    <x v="0"/>
    <x v="0"/>
    <x v="1"/>
    <x v="0"/>
    <x v="0"/>
    <s v="DK1_Large"/>
    <x v="2"/>
    <s v="GNR_EH_HEAT"/>
    <x v="0"/>
    <x v="16"/>
    <n v="8.5"/>
    <n v="3102.5"/>
    <n v="11169"/>
  </r>
  <r>
    <x v="0"/>
    <x v="0"/>
    <x v="1"/>
    <x v="0"/>
    <x v="0"/>
    <s v="DK1_Large"/>
    <x v="2"/>
    <s v="GNR_EH_HEAT"/>
    <x v="0"/>
    <x v="17"/>
    <n v="8.5"/>
    <n v="3102.5"/>
    <n v="11169"/>
  </r>
  <r>
    <x v="0"/>
    <x v="0"/>
    <x v="1"/>
    <x v="0"/>
    <x v="0"/>
    <s v="DK1_Large"/>
    <x v="2"/>
    <s v="GNR_EH_HEAT"/>
    <x v="0"/>
    <x v="18"/>
    <n v="8.5"/>
    <n v="3102.5"/>
    <n v="11169"/>
  </r>
  <r>
    <x v="0"/>
    <x v="0"/>
    <x v="1"/>
    <x v="0"/>
    <x v="0"/>
    <s v="DK1_Large"/>
    <x v="2"/>
    <s v="GNR_EH_HEAT"/>
    <x v="0"/>
    <x v="19"/>
    <n v="8.5"/>
    <n v="3102.5"/>
    <n v="11169"/>
  </r>
  <r>
    <x v="0"/>
    <x v="0"/>
    <x v="1"/>
    <x v="0"/>
    <x v="0"/>
    <s v="DK1_Large"/>
    <x v="2"/>
    <s v="GNR_EH_HEAT"/>
    <x v="0"/>
    <x v="20"/>
    <n v="8.5"/>
    <n v="3102.5"/>
    <n v="11169"/>
  </r>
  <r>
    <x v="0"/>
    <x v="0"/>
    <x v="1"/>
    <x v="0"/>
    <x v="0"/>
    <s v="DK1_Large"/>
    <x v="2"/>
    <s v="GNR_EH_HEAT"/>
    <x v="0"/>
    <x v="21"/>
    <n v="8.5"/>
    <n v="3102.5"/>
    <n v="11169"/>
  </r>
  <r>
    <x v="0"/>
    <x v="0"/>
    <x v="1"/>
    <x v="0"/>
    <x v="0"/>
    <s v="DK1_Large"/>
    <x v="2"/>
    <s v="GNR_EH_HEAT"/>
    <x v="0"/>
    <x v="22"/>
    <n v="8.5"/>
    <n v="3102.5"/>
    <n v="11169"/>
  </r>
  <r>
    <x v="0"/>
    <x v="0"/>
    <x v="1"/>
    <x v="0"/>
    <x v="0"/>
    <s v="DK1_Large"/>
    <x v="5"/>
    <s v="GNR_BO_WOODCHI_E-100"/>
    <x v="0"/>
    <x v="17"/>
    <n v="0.66738934765084701"/>
    <n v="243.59711189255901"/>
    <n v="876.949602813213"/>
  </r>
  <r>
    <x v="0"/>
    <x v="0"/>
    <x v="1"/>
    <x v="0"/>
    <x v="0"/>
    <s v="DK1_Large"/>
    <x v="5"/>
    <s v="GNR_BO_WOODCHI_E-100"/>
    <x v="0"/>
    <x v="18"/>
    <n v="20"/>
    <n v="7300"/>
    <n v="26280"/>
  </r>
  <r>
    <x v="0"/>
    <x v="0"/>
    <x v="1"/>
    <x v="0"/>
    <x v="0"/>
    <s v="DK1_Large"/>
    <x v="5"/>
    <s v="GNR_BO_WOODCHI_E-100"/>
    <x v="0"/>
    <x v="19"/>
    <n v="20"/>
    <n v="7300"/>
    <n v="26280"/>
  </r>
  <r>
    <x v="0"/>
    <x v="0"/>
    <x v="1"/>
    <x v="0"/>
    <x v="0"/>
    <s v="DK1_Large"/>
    <x v="5"/>
    <s v="GNR_ST_WOODCHI_BP_E-23"/>
    <x v="0"/>
    <x v="18"/>
    <n v="14.7977591847001"/>
    <n v="5401.1821024155497"/>
    <n v="19444.255568696"/>
  </r>
  <r>
    <x v="0"/>
    <x v="0"/>
    <x v="1"/>
    <x v="0"/>
    <x v="0"/>
    <s v="DK1_MedSmall"/>
    <x v="2"/>
    <s v="GNR_EH_HEAT"/>
    <x v="0"/>
    <x v="7"/>
    <n v="10"/>
    <n v="3650"/>
    <n v="13140"/>
  </r>
  <r>
    <x v="0"/>
    <x v="0"/>
    <x v="1"/>
    <x v="0"/>
    <x v="0"/>
    <s v="DK1_MedSmall"/>
    <x v="2"/>
    <s v="GNR_EH_HEAT"/>
    <x v="0"/>
    <x v="8"/>
    <n v="10"/>
    <n v="3650"/>
    <n v="13140"/>
  </r>
  <r>
    <x v="0"/>
    <x v="0"/>
    <x v="1"/>
    <x v="0"/>
    <x v="0"/>
    <s v="DK1_MedSmall"/>
    <x v="2"/>
    <s v="GNR_EH_HEAT"/>
    <x v="0"/>
    <x v="9"/>
    <n v="10"/>
    <n v="3650"/>
    <n v="13140"/>
  </r>
  <r>
    <x v="0"/>
    <x v="0"/>
    <x v="1"/>
    <x v="0"/>
    <x v="0"/>
    <s v="DK1_MedSmall"/>
    <x v="2"/>
    <s v="GNR_EH_HEAT"/>
    <x v="0"/>
    <x v="10"/>
    <n v="10"/>
    <n v="3650"/>
    <n v="13140"/>
  </r>
  <r>
    <x v="0"/>
    <x v="0"/>
    <x v="1"/>
    <x v="0"/>
    <x v="0"/>
    <s v="DK1_MedSmall"/>
    <x v="2"/>
    <s v="GNR_EH_HEAT"/>
    <x v="0"/>
    <x v="11"/>
    <n v="10"/>
    <n v="3650"/>
    <n v="13140"/>
  </r>
  <r>
    <x v="0"/>
    <x v="0"/>
    <x v="1"/>
    <x v="0"/>
    <x v="0"/>
    <s v="DK1_MedSmall"/>
    <x v="2"/>
    <s v="GNR_EH_HEAT"/>
    <x v="0"/>
    <x v="12"/>
    <n v="10"/>
    <n v="3650"/>
    <n v="13140"/>
  </r>
  <r>
    <x v="0"/>
    <x v="0"/>
    <x v="1"/>
    <x v="0"/>
    <x v="0"/>
    <s v="DK1_MedSmall"/>
    <x v="2"/>
    <s v="GNR_EH_HEAT"/>
    <x v="0"/>
    <x v="13"/>
    <n v="10"/>
    <n v="3650"/>
    <n v="13140"/>
  </r>
  <r>
    <x v="0"/>
    <x v="0"/>
    <x v="1"/>
    <x v="0"/>
    <x v="0"/>
    <s v="DK1_MedSmall"/>
    <x v="2"/>
    <s v="GNR_EH_HEAT"/>
    <x v="0"/>
    <x v="14"/>
    <n v="10"/>
    <n v="3650"/>
    <n v="13140"/>
  </r>
  <r>
    <x v="0"/>
    <x v="0"/>
    <x v="1"/>
    <x v="0"/>
    <x v="0"/>
    <s v="DK1_MedSmall"/>
    <x v="2"/>
    <s v="GNR_EH_HEAT"/>
    <x v="0"/>
    <x v="15"/>
    <n v="10"/>
    <n v="3650"/>
    <n v="13140"/>
  </r>
  <r>
    <x v="0"/>
    <x v="0"/>
    <x v="1"/>
    <x v="0"/>
    <x v="0"/>
    <s v="DK1_MedSmall"/>
    <x v="2"/>
    <s v="GNR_EH_HEAT"/>
    <x v="0"/>
    <x v="16"/>
    <n v="10"/>
    <n v="3650"/>
    <n v="13140"/>
  </r>
  <r>
    <x v="0"/>
    <x v="0"/>
    <x v="1"/>
    <x v="0"/>
    <x v="0"/>
    <s v="DK1_MedSmall"/>
    <x v="2"/>
    <s v="GNR_EH_HEAT"/>
    <x v="0"/>
    <x v="17"/>
    <n v="10"/>
    <n v="3650"/>
    <n v="13140"/>
  </r>
  <r>
    <x v="0"/>
    <x v="0"/>
    <x v="1"/>
    <x v="0"/>
    <x v="0"/>
    <s v="DK1_MedSmall"/>
    <x v="2"/>
    <s v="GNR_EH_HEAT"/>
    <x v="0"/>
    <x v="18"/>
    <n v="10"/>
    <n v="3650"/>
    <n v="13140"/>
  </r>
  <r>
    <x v="0"/>
    <x v="0"/>
    <x v="1"/>
    <x v="0"/>
    <x v="0"/>
    <s v="DK1_MedSmall"/>
    <x v="2"/>
    <s v="GNR_EH_HEAT"/>
    <x v="0"/>
    <x v="19"/>
    <n v="10"/>
    <n v="3650"/>
    <n v="13140"/>
  </r>
  <r>
    <x v="0"/>
    <x v="0"/>
    <x v="1"/>
    <x v="0"/>
    <x v="0"/>
    <s v="DK1_MedSmall"/>
    <x v="2"/>
    <s v="GNR_EH_HEAT"/>
    <x v="0"/>
    <x v="20"/>
    <n v="10"/>
    <n v="3650"/>
    <n v="13140"/>
  </r>
  <r>
    <x v="0"/>
    <x v="0"/>
    <x v="1"/>
    <x v="0"/>
    <x v="0"/>
    <s v="DK1_MedSmall"/>
    <x v="2"/>
    <s v="GNR_EH_HEAT"/>
    <x v="0"/>
    <x v="21"/>
    <n v="10"/>
    <n v="3650"/>
    <n v="13140"/>
  </r>
  <r>
    <x v="0"/>
    <x v="0"/>
    <x v="1"/>
    <x v="0"/>
    <x v="0"/>
    <s v="DK1_MedSmall"/>
    <x v="2"/>
    <s v="GNR_EH_HEAT"/>
    <x v="0"/>
    <x v="22"/>
    <n v="10"/>
    <n v="3650"/>
    <n v="13140"/>
  </r>
  <r>
    <x v="0"/>
    <x v="0"/>
    <x v="1"/>
    <x v="0"/>
    <x v="0"/>
    <s v="DK1_MedSmall"/>
    <x v="5"/>
    <s v="GNR_BO_WOODCHI_E-110"/>
    <x v="0"/>
    <x v="9"/>
    <n v="1.6746748052696101"/>
    <n v="611.25630392340702"/>
    <n v="2200.5226941242699"/>
  </r>
  <r>
    <x v="0"/>
    <x v="0"/>
    <x v="1"/>
    <x v="0"/>
    <x v="0"/>
    <s v="DK1_MedSmall"/>
    <x v="5"/>
    <s v="GNR_BO_WOODCHI_E-110"/>
    <x v="0"/>
    <x v="10"/>
    <n v="0.970011428625836"/>
    <n v="354.05417144843"/>
    <n v="1274.59501721435"/>
  </r>
  <r>
    <x v="0"/>
    <x v="0"/>
    <x v="1"/>
    <x v="0"/>
    <x v="0"/>
    <s v="DK1_MedSmall"/>
    <x v="5"/>
    <s v="GNR_BO_WOODCHI_E-110"/>
    <x v="0"/>
    <x v="11"/>
    <n v="1.08745532473312"/>
    <n v="396.92119352758999"/>
    <n v="1428.9162966993199"/>
  </r>
  <r>
    <x v="0"/>
    <x v="0"/>
    <x v="1"/>
    <x v="0"/>
    <x v="0"/>
    <s v="DK1_MedSmall"/>
    <x v="5"/>
    <s v="GNR_BO_WOODCHI_E-110"/>
    <x v="0"/>
    <x v="16"/>
    <n v="0.14790415587475"/>
    <n v="53.985016894283802"/>
    <n v="194.34606081942201"/>
  </r>
  <r>
    <x v="0"/>
    <x v="0"/>
    <x v="1"/>
    <x v="0"/>
    <x v="0"/>
    <s v="DK1_MedSmall"/>
    <x v="5"/>
    <s v="GNR_BO_WOODCHI_E-110"/>
    <x v="0"/>
    <x v="17"/>
    <n v="0.46977558442919898"/>
    <n v="171.468088316658"/>
    <n v="617.28511793996802"/>
  </r>
  <r>
    <x v="0"/>
    <x v="0"/>
    <x v="1"/>
    <x v="0"/>
    <x v="0"/>
    <s v="DK1_MedSmall"/>
    <x v="5"/>
    <s v="GNR_BO_WOODCHI_E-110"/>
    <x v="0"/>
    <x v="18"/>
    <n v="0.93955116885837198"/>
    <n v="342.93617663330599"/>
    <n v="1234.5702358799001"/>
  </r>
  <r>
    <x v="0"/>
    <x v="0"/>
    <x v="1"/>
    <x v="0"/>
    <x v="0"/>
    <s v="DK1_MedSmall"/>
    <x v="5"/>
    <s v="GNR_BO_WOODCHI_E-110"/>
    <x v="0"/>
    <x v="19"/>
    <n v="0.46977558442919898"/>
    <n v="171.468088316658"/>
    <n v="617.28511793996802"/>
  </r>
  <r>
    <x v="0"/>
    <x v="0"/>
    <x v="1"/>
    <x v="0"/>
    <x v="0"/>
    <s v="DK1_Medium"/>
    <x v="2"/>
    <s v="GNR_GEO_HEAT_HO"/>
    <x v="0"/>
    <x v="7"/>
    <n v="10"/>
    <n v="3650"/>
    <n v="13140"/>
  </r>
  <r>
    <x v="0"/>
    <x v="0"/>
    <x v="1"/>
    <x v="0"/>
    <x v="0"/>
    <s v="DK1_Medium"/>
    <x v="2"/>
    <s v="GNR_GEO_HEAT_HO"/>
    <x v="0"/>
    <x v="8"/>
    <n v="10"/>
    <n v="3650"/>
    <n v="13140"/>
  </r>
  <r>
    <x v="0"/>
    <x v="0"/>
    <x v="1"/>
    <x v="0"/>
    <x v="0"/>
    <s v="DK1_Medium"/>
    <x v="2"/>
    <s v="GNR_GEO_HEAT_HO"/>
    <x v="0"/>
    <x v="9"/>
    <n v="10"/>
    <n v="3650"/>
    <n v="13140"/>
  </r>
  <r>
    <x v="0"/>
    <x v="0"/>
    <x v="1"/>
    <x v="0"/>
    <x v="0"/>
    <s v="DK1_Medium"/>
    <x v="2"/>
    <s v="GNR_GEO_HEAT_HO"/>
    <x v="0"/>
    <x v="10"/>
    <n v="10"/>
    <n v="3650"/>
    <n v="13140"/>
  </r>
  <r>
    <x v="0"/>
    <x v="0"/>
    <x v="1"/>
    <x v="0"/>
    <x v="0"/>
    <s v="DK1_Medium"/>
    <x v="2"/>
    <s v="GNR_GEO_HEAT_HO"/>
    <x v="0"/>
    <x v="11"/>
    <n v="10"/>
    <n v="3650"/>
    <n v="13140"/>
  </r>
  <r>
    <x v="0"/>
    <x v="0"/>
    <x v="1"/>
    <x v="0"/>
    <x v="0"/>
    <s v="DK1_Medium"/>
    <x v="2"/>
    <s v="GNR_GEO_HEAT_HO"/>
    <x v="0"/>
    <x v="12"/>
    <n v="10"/>
    <n v="3650"/>
    <n v="13140"/>
  </r>
  <r>
    <x v="0"/>
    <x v="0"/>
    <x v="1"/>
    <x v="0"/>
    <x v="0"/>
    <s v="DK1_Medium"/>
    <x v="2"/>
    <s v="GNR_GEO_HEAT_HO"/>
    <x v="0"/>
    <x v="13"/>
    <n v="10"/>
    <n v="3650"/>
    <n v="13140"/>
  </r>
  <r>
    <x v="0"/>
    <x v="0"/>
    <x v="1"/>
    <x v="0"/>
    <x v="0"/>
    <s v="DK1_Medium"/>
    <x v="2"/>
    <s v="GNR_GEO_HEAT_HO"/>
    <x v="0"/>
    <x v="14"/>
    <n v="10"/>
    <n v="3650"/>
    <n v="13140"/>
  </r>
  <r>
    <x v="0"/>
    <x v="0"/>
    <x v="1"/>
    <x v="0"/>
    <x v="0"/>
    <s v="DK1_Medium"/>
    <x v="2"/>
    <s v="GNR_GEO_HEAT_HO"/>
    <x v="0"/>
    <x v="15"/>
    <n v="10"/>
    <n v="3650"/>
    <n v="13140"/>
  </r>
  <r>
    <x v="0"/>
    <x v="0"/>
    <x v="1"/>
    <x v="0"/>
    <x v="0"/>
    <s v="DK1_Medium"/>
    <x v="2"/>
    <s v="GNR_GEO_HEAT_HO"/>
    <x v="0"/>
    <x v="16"/>
    <n v="10"/>
    <n v="3650"/>
    <n v="13140"/>
  </r>
  <r>
    <x v="0"/>
    <x v="0"/>
    <x v="1"/>
    <x v="0"/>
    <x v="0"/>
    <s v="DK1_Medium"/>
    <x v="2"/>
    <s v="GNR_GEO_HEAT_HO"/>
    <x v="0"/>
    <x v="17"/>
    <n v="10"/>
    <n v="3650"/>
    <n v="13140"/>
  </r>
  <r>
    <x v="0"/>
    <x v="0"/>
    <x v="1"/>
    <x v="0"/>
    <x v="0"/>
    <s v="DK1_Medium"/>
    <x v="2"/>
    <s v="GNR_GEO_HEAT_HO"/>
    <x v="0"/>
    <x v="18"/>
    <n v="10"/>
    <n v="3650"/>
    <n v="13140"/>
  </r>
  <r>
    <x v="0"/>
    <x v="0"/>
    <x v="1"/>
    <x v="0"/>
    <x v="0"/>
    <s v="DK1_Medium"/>
    <x v="2"/>
    <s v="GNR_GEO_HEAT_HO"/>
    <x v="0"/>
    <x v="19"/>
    <n v="10"/>
    <n v="3650"/>
    <n v="13140"/>
  </r>
  <r>
    <x v="0"/>
    <x v="0"/>
    <x v="1"/>
    <x v="0"/>
    <x v="0"/>
    <s v="DK1_Medium"/>
    <x v="2"/>
    <s v="GNR_GEO_HEAT_HO"/>
    <x v="0"/>
    <x v="20"/>
    <n v="10"/>
    <n v="3650"/>
    <n v="13140"/>
  </r>
  <r>
    <x v="0"/>
    <x v="0"/>
    <x v="1"/>
    <x v="0"/>
    <x v="0"/>
    <s v="DK1_Medium"/>
    <x v="2"/>
    <s v="GNR_GEO_HEAT_HO"/>
    <x v="0"/>
    <x v="21"/>
    <n v="10"/>
    <n v="3650"/>
    <n v="13140"/>
  </r>
  <r>
    <x v="0"/>
    <x v="0"/>
    <x v="1"/>
    <x v="0"/>
    <x v="0"/>
    <s v="DK1_Medium"/>
    <x v="2"/>
    <s v="GNR_GEO_HEAT_HO"/>
    <x v="0"/>
    <x v="22"/>
    <n v="10"/>
    <n v="3650"/>
    <n v="13140"/>
  </r>
  <r>
    <x v="0"/>
    <x v="0"/>
    <x v="1"/>
    <x v="0"/>
    <x v="0"/>
    <s v="DK1_Medium"/>
    <x v="5"/>
    <s v="GNR_BO_WOODCHI_E-100"/>
    <x v="0"/>
    <x v="17"/>
    <n v="5.9931299471772403"/>
    <n v="2187.4924307196902"/>
    <n v="7874.9727505908904"/>
  </r>
  <r>
    <x v="0"/>
    <x v="0"/>
    <x v="1"/>
    <x v="0"/>
    <x v="0"/>
    <s v="DK1_Medium"/>
    <x v="5"/>
    <s v="GNR_BO_WOODCHI_E-100"/>
    <x v="0"/>
    <x v="18"/>
    <n v="7.0827899375731196"/>
    <n v="2585.2183272141901"/>
    <n v="9306.7859779710907"/>
  </r>
  <r>
    <x v="0"/>
    <x v="0"/>
    <x v="1"/>
    <x v="0"/>
    <x v="0"/>
    <s v="DK1_Medium"/>
    <x v="5"/>
    <s v="GNR_BO_WOODCHI_E-100"/>
    <x v="0"/>
    <x v="19"/>
    <n v="5.9931299471772403"/>
    <n v="2187.4924307196902"/>
    <n v="7874.9727505908904"/>
  </r>
  <r>
    <x v="0"/>
    <x v="0"/>
    <x v="1"/>
    <x v="0"/>
    <x v="0"/>
    <s v="DK1_NoDH"/>
    <x v="6"/>
    <s v="GNR_PV_SUN"/>
    <x v="0"/>
    <x v="6"/>
    <n v="2.68248392982282"/>
    <n v="979.10663438532799"/>
    <n v="3524.78388378718"/>
  </r>
  <r>
    <x v="0"/>
    <x v="0"/>
    <x v="1"/>
    <x v="0"/>
    <x v="0"/>
    <s v="DK1_NoDH"/>
    <x v="6"/>
    <s v="GNR_PV_SUN"/>
    <x v="0"/>
    <x v="7"/>
    <n v="28.611259447237799"/>
    <n v="10443.1096982418"/>
    <n v="37595.194913670501"/>
  </r>
  <r>
    <x v="0"/>
    <x v="0"/>
    <x v="1"/>
    <x v="0"/>
    <x v="0"/>
    <s v="DK1_NoDH"/>
    <x v="6"/>
    <s v="GNR_PV_SUN"/>
    <x v="0"/>
    <x v="8"/>
    <n v="83.493739168889405"/>
    <n v="30475.214796644599"/>
    <n v="109710.773267921"/>
  </r>
  <r>
    <x v="0"/>
    <x v="0"/>
    <x v="1"/>
    <x v="0"/>
    <x v="0"/>
    <s v="DK1_NoDH"/>
    <x v="6"/>
    <s v="GNR_PV_SUN"/>
    <x v="0"/>
    <x v="9"/>
    <n v="136.31013552331601"/>
    <n v="49753.199466010199"/>
    <n v="179111.51807763701"/>
  </r>
  <r>
    <x v="0"/>
    <x v="0"/>
    <x v="1"/>
    <x v="0"/>
    <x v="0"/>
    <s v="DK1_NoDH"/>
    <x v="6"/>
    <s v="GNR_PV_SUN"/>
    <x v="0"/>
    <x v="10"/>
    <n v="181.66694358778801"/>
    <n v="66308.434409542606"/>
    <n v="238710.363874353"/>
  </r>
  <r>
    <x v="0"/>
    <x v="0"/>
    <x v="1"/>
    <x v="0"/>
    <x v="0"/>
    <s v="DK1_NoDH"/>
    <x v="6"/>
    <s v="GNR_PV_SUN"/>
    <x v="0"/>
    <x v="11"/>
    <n v="210.711966393891"/>
    <n v="76909.867733770094"/>
    <n v="276875.52384157199"/>
  </r>
  <r>
    <x v="0"/>
    <x v="0"/>
    <x v="1"/>
    <x v="0"/>
    <x v="0"/>
    <s v="DK1_NoDH"/>
    <x v="6"/>
    <s v="GNR_PV_SUN"/>
    <x v="0"/>
    <x v="12"/>
    <n v="222.868755267343"/>
    <n v="81347.095672580195"/>
    <n v="292849.544421289"/>
  </r>
  <r>
    <x v="0"/>
    <x v="0"/>
    <x v="1"/>
    <x v="0"/>
    <x v="0"/>
    <s v="DK1_NoDH"/>
    <x v="6"/>
    <s v="GNR_PV_SUN"/>
    <x v="0"/>
    <x v="13"/>
    <n v="224.13580086823799"/>
    <n v="81809.567316906905"/>
    <n v="294514.44234086497"/>
  </r>
  <r>
    <x v="0"/>
    <x v="0"/>
    <x v="1"/>
    <x v="0"/>
    <x v="0"/>
    <s v="DK1_NoDH"/>
    <x v="6"/>
    <s v="GNR_PV_SUN"/>
    <x v="0"/>
    <x v="14"/>
    <n v="192.95620574351"/>
    <n v="70429.015096381205"/>
    <n v="253544.45434697199"/>
  </r>
  <r>
    <x v="0"/>
    <x v="0"/>
    <x v="1"/>
    <x v="0"/>
    <x v="0"/>
    <s v="DK1_NoDH"/>
    <x v="6"/>
    <s v="GNR_PV_SUN"/>
    <x v="0"/>
    <x v="15"/>
    <n v="146.058396272544"/>
    <n v="53311.314639478602"/>
    <n v="191920.732702123"/>
  </r>
  <r>
    <x v="0"/>
    <x v="0"/>
    <x v="1"/>
    <x v="0"/>
    <x v="0"/>
    <s v="DK1_NoDH"/>
    <x v="6"/>
    <s v="GNR_PV_SUN"/>
    <x v="0"/>
    <x v="16"/>
    <n v="93.065070127001903"/>
    <n v="33968.750596355698"/>
    <n v="122287.50214688"/>
  </r>
  <r>
    <x v="0"/>
    <x v="0"/>
    <x v="1"/>
    <x v="0"/>
    <x v="0"/>
    <s v="DK1_NoDH"/>
    <x v="6"/>
    <s v="GNR_PV_SUN"/>
    <x v="0"/>
    <x v="17"/>
    <n v="35.346006334878098"/>
    <n v="12901.2923122305"/>
    <n v="46444.652324029797"/>
  </r>
  <r>
    <x v="0"/>
    <x v="0"/>
    <x v="1"/>
    <x v="0"/>
    <x v="0"/>
    <s v="DK1_NoDH"/>
    <x v="6"/>
    <s v="GNR_PV_SUN"/>
    <x v="0"/>
    <x v="18"/>
    <n v="2.8936581966386599"/>
    <n v="1056.18524177311"/>
    <n v="3802.2668703832001"/>
  </r>
  <r>
    <x v="0"/>
    <x v="0"/>
    <x v="1"/>
    <x v="0"/>
    <x v="0"/>
    <s v="DK1_NoDH"/>
    <x v="7"/>
    <s v="GNR_ROR_WTR"/>
    <x v="0"/>
    <x v="0"/>
    <n v="6.1134711322954798E-3"/>
    <n v="2.2314169632878502"/>
    <n v="8.0331010678362702"/>
  </r>
  <r>
    <x v="0"/>
    <x v="0"/>
    <x v="1"/>
    <x v="0"/>
    <x v="0"/>
    <s v="DK1_NoDH"/>
    <x v="7"/>
    <s v="GNR_ROR_WTR"/>
    <x v="0"/>
    <x v="1"/>
    <n v="6.1134711322954798E-3"/>
    <n v="2.2314169632878502"/>
    <n v="8.0331010678362702"/>
  </r>
  <r>
    <x v="0"/>
    <x v="0"/>
    <x v="1"/>
    <x v="0"/>
    <x v="0"/>
    <s v="DK1_NoDH"/>
    <x v="7"/>
    <s v="GNR_ROR_WTR"/>
    <x v="0"/>
    <x v="2"/>
    <n v="6.1134711322954798E-3"/>
    <n v="2.2314169632878502"/>
    <n v="8.0331010678362702"/>
  </r>
  <r>
    <x v="0"/>
    <x v="0"/>
    <x v="1"/>
    <x v="0"/>
    <x v="0"/>
    <s v="DK1_NoDH"/>
    <x v="7"/>
    <s v="GNR_ROR_WTR"/>
    <x v="0"/>
    <x v="3"/>
    <n v="6.1134711322954798E-3"/>
    <n v="2.2314169632878502"/>
    <n v="8.0331010678362702"/>
  </r>
  <r>
    <x v="0"/>
    <x v="0"/>
    <x v="1"/>
    <x v="0"/>
    <x v="0"/>
    <s v="DK1_NoDH"/>
    <x v="7"/>
    <s v="GNR_ROR_WTR"/>
    <x v="0"/>
    <x v="4"/>
    <n v="6.1134711322954798E-3"/>
    <n v="2.2314169632878502"/>
    <n v="8.0331010678362702"/>
  </r>
  <r>
    <x v="0"/>
    <x v="0"/>
    <x v="1"/>
    <x v="0"/>
    <x v="0"/>
    <s v="DK1_NoDH"/>
    <x v="7"/>
    <s v="GNR_ROR_WTR"/>
    <x v="0"/>
    <x v="5"/>
    <n v="6.1134711322954798E-3"/>
    <n v="2.2314169632878502"/>
    <n v="8.0331010678362702"/>
  </r>
  <r>
    <x v="0"/>
    <x v="0"/>
    <x v="1"/>
    <x v="0"/>
    <x v="0"/>
    <s v="DK1_NoDH"/>
    <x v="7"/>
    <s v="GNR_ROR_WTR"/>
    <x v="0"/>
    <x v="6"/>
    <n v="6.1134711322954798E-3"/>
    <n v="2.2314169632878502"/>
    <n v="8.0331010678362702"/>
  </r>
  <r>
    <x v="0"/>
    <x v="0"/>
    <x v="1"/>
    <x v="0"/>
    <x v="0"/>
    <s v="DK1_NoDH"/>
    <x v="7"/>
    <s v="GNR_ROR_WTR"/>
    <x v="0"/>
    <x v="7"/>
    <n v="6.1134711322954798E-3"/>
    <n v="2.2314169632878502"/>
    <n v="8.0331010678362702"/>
  </r>
  <r>
    <x v="0"/>
    <x v="0"/>
    <x v="1"/>
    <x v="0"/>
    <x v="0"/>
    <s v="DK1_NoDH"/>
    <x v="7"/>
    <s v="GNR_ROR_WTR"/>
    <x v="0"/>
    <x v="8"/>
    <n v="6.1134711322954798E-3"/>
    <n v="2.2314169632878502"/>
    <n v="8.0331010678362702"/>
  </r>
  <r>
    <x v="0"/>
    <x v="0"/>
    <x v="1"/>
    <x v="0"/>
    <x v="0"/>
    <s v="DK1_NoDH"/>
    <x v="7"/>
    <s v="GNR_ROR_WTR"/>
    <x v="0"/>
    <x v="9"/>
    <n v="6.1134711322954798E-3"/>
    <n v="2.2314169632878502"/>
    <n v="8.0331010678362702"/>
  </r>
  <r>
    <x v="0"/>
    <x v="0"/>
    <x v="1"/>
    <x v="0"/>
    <x v="0"/>
    <s v="DK1_NoDH"/>
    <x v="7"/>
    <s v="GNR_ROR_WTR"/>
    <x v="0"/>
    <x v="10"/>
    <n v="6.1134711322954798E-3"/>
    <n v="2.2314169632878502"/>
    <n v="8.0331010678362702"/>
  </r>
  <r>
    <x v="0"/>
    <x v="0"/>
    <x v="1"/>
    <x v="0"/>
    <x v="0"/>
    <s v="DK1_NoDH"/>
    <x v="7"/>
    <s v="GNR_ROR_WTR"/>
    <x v="0"/>
    <x v="11"/>
    <n v="6.1134711322954798E-3"/>
    <n v="2.2314169632878502"/>
    <n v="8.0331010678362702"/>
  </r>
  <r>
    <x v="0"/>
    <x v="0"/>
    <x v="1"/>
    <x v="0"/>
    <x v="0"/>
    <s v="DK1_NoDH"/>
    <x v="7"/>
    <s v="GNR_ROR_WTR"/>
    <x v="0"/>
    <x v="12"/>
    <n v="6.1134711322954798E-3"/>
    <n v="2.2314169632878502"/>
    <n v="8.0331010678362702"/>
  </r>
  <r>
    <x v="0"/>
    <x v="0"/>
    <x v="1"/>
    <x v="0"/>
    <x v="0"/>
    <s v="DK1_NoDH"/>
    <x v="7"/>
    <s v="GNR_ROR_WTR"/>
    <x v="0"/>
    <x v="13"/>
    <n v="6.1134711322954798E-3"/>
    <n v="2.2314169632878502"/>
    <n v="8.0331010678362702"/>
  </r>
  <r>
    <x v="0"/>
    <x v="0"/>
    <x v="1"/>
    <x v="0"/>
    <x v="0"/>
    <s v="DK1_NoDH"/>
    <x v="7"/>
    <s v="GNR_ROR_WTR"/>
    <x v="0"/>
    <x v="14"/>
    <n v="6.1134711322954798E-3"/>
    <n v="2.2314169632878502"/>
    <n v="8.0331010678362702"/>
  </r>
  <r>
    <x v="0"/>
    <x v="0"/>
    <x v="1"/>
    <x v="0"/>
    <x v="0"/>
    <s v="DK1_NoDH"/>
    <x v="7"/>
    <s v="GNR_ROR_WTR"/>
    <x v="0"/>
    <x v="15"/>
    <n v="6.1134711322954798E-3"/>
    <n v="2.2314169632878502"/>
    <n v="8.0331010678362702"/>
  </r>
  <r>
    <x v="0"/>
    <x v="0"/>
    <x v="1"/>
    <x v="0"/>
    <x v="0"/>
    <s v="DK1_NoDH"/>
    <x v="7"/>
    <s v="GNR_ROR_WTR"/>
    <x v="0"/>
    <x v="16"/>
    <n v="6.1134711322954798E-3"/>
    <n v="2.2314169632878502"/>
    <n v="8.0331010678362702"/>
  </r>
  <r>
    <x v="0"/>
    <x v="0"/>
    <x v="1"/>
    <x v="0"/>
    <x v="0"/>
    <s v="DK1_NoDH"/>
    <x v="7"/>
    <s v="GNR_ROR_WTR"/>
    <x v="0"/>
    <x v="17"/>
    <n v="6.1134711322954798E-3"/>
    <n v="2.2314169632878502"/>
    <n v="8.0331010678362702"/>
  </r>
  <r>
    <x v="0"/>
    <x v="0"/>
    <x v="1"/>
    <x v="0"/>
    <x v="0"/>
    <s v="DK1_NoDH"/>
    <x v="7"/>
    <s v="GNR_ROR_WTR"/>
    <x v="0"/>
    <x v="18"/>
    <n v="6.1134711322954798E-3"/>
    <n v="2.2314169632878502"/>
    <n v="8.0331010678362702"/>
  </r>
  <r>
    <x v="0"/>
    <x v="0"/>
    <x v="1"/>
    <x v="0"/>
    <x v="0"/>
    <s v="DK1_NoDH"/>
    <x v="7"/>
    <s v="GNR_ROR_WTR"/>
    <x v="0"/>
    <x v="19"/>
    <n v="6.1134711322954798E-3"/>
    <n v="2.2314169632878502"/>
    <n v="8.0331010678362702"/>
  </r>
  <r>
    <x v="0"/>
    <x v="0"/>
    <x v="1"/>
    <x v="0"/>
    <x v="0"/>
    <s v="DK1_NoDH"/>
    <x v="7"/>
    <s v="GNR_ROR_WTR"/>
    <x v="0"/>
    <x v="20"/>
    <n v="6.1134711322954798E-3"/>
    <n v="2.2314169632878502"/>
    <n v="8.0331010678362702"/>
  </r>
  <r>
    <x v="0"/>
    <x v="0"/>
    <x v="1"/>
    <x v="0"/>
    <x v="0"/>
    <s v="DK1_NoDH"/>
    <x v="7"/>
    <s v="GNR_ROR_WTR"/>
    <x v="0"/>
    <x v="21"/>
    <n v="6.1134711322954798E-3"/>
    <n v="2.2314169632878502"/>
    <n v="8.0331010678362702"/>
  </r>
  <r>
    <x v="0"/>
    <x v="0"/>
    <x v="1"/>
    <x v="0"/>
    <x v="0"/>
    <s v="DK1_NoDH"/>
    <x v="7"/>
    <s v="GNR_ROR_WTR"/>
    <x v="0"/>
    <x v="22"/>
    <n v="6.1134711322954798E-3"/>
    <n v="2.2314169632878502"/>
    <n v="8.0331010678362702"/>
  </r>
  <r>
    <x v="0"/>
    <x v="0"/>
    <x v="1"/>
    <x v="0"/>
    <x v="0"/>
    <s v="DK1_NoDH"/>
    <x v="7"/>
    <s v="GNR_ROR_WTR"/>
    <x v="0"/>
    <x v="23"/>
    <n v="6.1134711322954798E-3"/>
    <n v="2.2314169632878502"/>
    <n v="8.0331010678362702"/>
  </r>
  <r>
    <x v="0"/>
    <x v="0"/>
    <x v="1"/>
    <x v="0"/>
    <x v="0"/>
    <s v="DK1_NoDH"/>
    <x v="8"/>
    <s v="GNR_WT_WIND_ONS"/>
    <x v="0"/>
    <x v="0"/>
    <n v="519.03693798882205"/>
    <n v="189448.48236592"/>
    <n v="682014.53651731205"/>
  </r>
  <r>
    <x v="0"/>
    <x v="0"/>
    <x v="1"/>
    <x v="0"/>
    <x v="0"/>
    <s v="DK1_NoDH"/>
    <x v="8"/>
    <s v="GNR_WT_WIND_ONS"/>
    <x v="0"/>
    <x v="1"/>
    <n v="567.05048323154199"/>
    <n v="206973.426379513"/>
    <n v="745104.33496624604"/>
  </r>
  <r>
    <x v="0"/>
    <x v="0"/>
    <x v="1"/>
    <x v="0"/>
    <x v="0"/>
    <s v="DK1_NoDH"/>
    <x v="8"/>
    <s v="GNR_WT_WIND_ONS"/>
    <x v="0"/>
    <x v="2"/>
    <n v="605.951968793162"/>
    <n v="221172.46860950399"/>
    <n v="796220.88699421496"/>
  </r>
  <r>
    <x v="0"/>
    <x v="0"/>
    <x v="1"/>
    <x v="0"/>
    <x v="0"/>
    <s v="DK1_NoDH"/>
    <x v="8"/>
    <s v="GNR_WT_WIND_ONS"/>
    <x v="0"/>
    <x v="3"/>
    <n v="685.507259085844"/>
    <n v="250210.14956633301"/>
    <n v="900756.53843880002"/>
  </r>
  <r>
    <x v="0"/>
    <x v="0"/>
    <x v="1"/>
    <x v="0"/>
    <x v="0"/>
    <s v="DK1_NoDH"/>
    <x v="8"/>
    <s v="GNR_WT_WIND_ONS"/>
    <x v="0"/>
    <x v="4"/>
    <n v="727.21245531857198"/>
    <n v="265432.54619127902"/>
    <n v="955557.16628860403"/>
  </r>
  <r>
    <x v="0"/>
    <x v="0"/>
    <x v="1"/>
    <x v="0"/>
    <x v="0"/>
    <s v="DK1_NoDH"/>
    <x v="8"/>
    <s v="GNR_WT_WIND_ONS"/>
    <x v="0"/>
    <x v="5"/>
    <n v="767.866260049635"/>
    <n v="280271.18491811701"/>
    <n v="1008976.2657052201"/>
  </r>
  <r>
    <x v="0"/>
    <x v="0"/>
    <x v="1"/>
    <x v="0"/>
    <x v="0"/>
    <s v="DK1_NoDH"/>
    <x v="8"/>
    <s v="GNR_WT_WIND_ONS"/>
    <x v="0"/>
    <x v="6"/>
    <n v="784.68852407628106"/>
    <n v="286411.31128784298"/>
    <n v="1031080.72063623"/>
  </r>
  <r>
    <x v="0"/>
    <x v="0"/>
    <x v="1"/>
    <x v="0"/>
    <x v="0"/>
    <s v="DK1_NoDH"/>
    <x v="8"/>
    <s v="GNR_WT_WIND_ONS"/>
    <x v="0"/>
    <x v="7"/>
    <n v="774.87553672740398"/>
    <n v="282829.57090550201"/>
    <n v="1018186.45525981"/>
  </r>
  <r>
    <x v="0"/>
    <x v="0"/>
    <x v="1"/>
    <x v="0"/>
    <x v="0"/>
    <s v="DK1_NoDH"/>
    <x v="8"/>
    <s v="GNR_WT_WIND_ONS"/>
    <x v="0"/>
    <x v="8"/>
    <n v="712.49297429525598"/>
    <n v="260059.93561776899"/>
    <n v="936215.76822396705"/>
  </r>
  <r>
    <x v="0"/>
    <x v="0"/>
    <x v="1"/>
    <x v="0"/>
    <x v="0"/>
    <s v="DK1_NoDH"/>
    <x v="8"/>
    <s v="GNR_WT_WIND_ONS"/>
    <x v="0"/>
    <x v="9"/>
    <n v="672.540097231971"/>
    <n v="245477.13548966899"/>
    <n v="883717.68776281003"/>
  </r>
  <r>
    <x v="0"/>
    <x v="0"/>
    <x v="1"/>
    <x v="0"/>
    <x v="0"/>
    <s v="DK1_NoDH"/>
    <x v="8"/>
    <s v="GNR_WT_WIND_ONS"/>
    <x v="0"/>
    <x v="10"/>
    <n v="601.04547511872397"/>
    <n v="219381.598418334"/>
    <n v="789773.75430600299"/>
  </r>
  <r>
    <x v="0"/>
    <x v="0"/>
    <x v="1"/>
    <x v="0"/>
    <x v="0"/>
    <s v="DK1_NoDH"/>
    <x v="8"/>
    <s v="GNR_WT_WIND_ONS"/>
    <x v="0"/>
    <x v="11"/>
    <n v="550.92914687267296"/>
    <n v="201089.13860852501"/>
    <n v="723920.89899069199"/>
  </r>
  <r>
    <x v="0"/>
    <x v="0"/>
    <x v="1"/>
    <x v="0"/>
    <x v="0"/>
    <s v="DK1_NoDH"/>
    <x v="8"/>
    <s v="GNR_WT_WIND_ONS"/>
    <x v="0"/>
    <x v="12"/>
    <n v="538.66291268657596"/>
    <n v="196611.96313059999"/>
    <n v="707803.067270161"/>
  </r>
  <r>
    <x v="0"/>
    <x v="0"/>
    <x v="1"/>
    <x v="0"/>
    <x v="0"/>
    <s v="DK1_NoDH"/>
    <x v="8"/>
    <s v="GNR_WT_WIND_ONS"/>
    <x v="0"/>
    <x v="13"/>
    <n v="544.97126169656804"/>
    <n v="198914.510519248"/>
    <n v="716092.23786929098"/>
  </r>
  <r>
    <x v="0"/>
    <x v="0"/>
    <x v="1"/>
    <x v="0"/>
    <x v="0"/>
    <s v="DK1_NoDH"/>
    <x v="8"/>
    <s v="GNR_WT_WIND_ONS"/>
    <x v="0"/>
    <x v="14"/>
    <n v="546.72358086601105"/>
    <n v="199554.107016094"/>
    <n v="718394.78525793797"/>
  </r>
  <r>
    <x v="0"/>
    <x v="0"/>
    <x v="1"/>
    <x v="0"/>
    <x v="0"/>
    <s v="DK1_NoDH"/>
    <x v="8"/>
    <s v="GNR_WT_WIND_ONS"/>
    <x v="0"/>
    <x v="15"/>
    <n v="526.39667850047999"/>
    <n v="192134.787652675"/>
    <n v="691685.23554963002"/>
  </r>
  <r>
    <x v="0"/>
    <x v="0"/>
    <x v="1"/>
    <x v="0"/>
    <x v="0"/>
    <s v="DK1_NoDH"/>
    <x v="8"/>
    <s v="GNR_WT_WIND_ONS"/>
    <x v="0"/>
    <x v="16"/>
    <n v="493.10261428107498"/>
    <n v="179982.45421259201"/>
    <n v="647936.835165333"/>
  </r>
  <r>
    <x v="0"/>
    <x v="0"/>
    <x v="1"/>
    <x v="0"/>
    <x v="0"/>
    <s v="DK1_NoDH"/>
    <x v="8"/>
    <s v="GNR_WT_WIND_ONS"/>
    <x v="0"/>
    <x v="17"/>
    <n v="396.72505996174601"/>
    <n v="144804.64688603699"/>
    <n v="521296.728789735"/>
  </r>
  <r>
    <x v="0"/>
    <x v="0"/>
    <x v="1"/>
    <x v="0"/>
    <x v="0"/>
    <s v="DK1_NoDH"/>
    <x v="8"/>
    <s v="GNR_WT_WIND_ONS"/>
    <x v="0"/>
    <x v="18"/>
    <n v="288.43173529020999"/>
    <n v="105277.583380927"/>
    <n v="378999.30017133499"/>
  </r>
  <r>
    <x v="0"/>
    <x v="0"/>
    <x v="1"/>
    <x v="0"/>
    <x v="0"/>
    <s v="DK1_NoDH"/>
    <x v="8"/>
    <s v="GNR_WT_WIND_ONS"/>
    <x v="0"/>
    <x v="19"/>
    <n v="254.787207236917"/>
    <n v="92997.330641474604"/>
    <n v="334790.39030930802"/>
  </r>
  <r>
    <x v="0"/>
    <x v="0"/>
    <x v="1"/>
    <x v="0"/>
    <x v="0"/>
    <s v="DK1_NoDH"/>
    <x v="8"/>
    <s v="GNR_WT_WIND_ONS"/>
    <x v="0"/>
    <x v="20"/>
    <n v="265.30112225357101"/>
    <n v="96834.909622553299"/>
    <n v="348605.67464119202"/>
  </r>
  <r>
    <x v="0"/>
    <x v="0"/>
    <x v="1"/>
    <x v="0"/>
    <x v="0"/>
    <s v="DK1_NoDH"/>
    <x v="8"/>
    <s v="GNR_WT_WIND_ONS"/>
    <x v="0"/>
    <x v="21"/>
    <n v="300.34750564241801"/>
    <n v="109626.839559482"/>
    <n v="394656.622414137"/>
  </r>
  <r>
    <x v="0"/>
    <x v="0"/>
    <x v="1"/>
    <x v="0"/>
    <x v="0"/>
    <s v="DK1_NoDH"/>
    <x v="8"/>
    <s v="GNR_WT_WIND_ONS"/>
    <x v="0"/>
    <x v="22"/>
    <n v="342.753629542922"/>
    <n v="125105.074783167"/>
    <n v="450378.26921940001"/>
  </r>
  <r>
    <x v="0"/>
    <x v="0"/>
    <x v="1"/>
    <x v="0"/>
    <x v="0"/>
    <s v="DK1_NoDH"/>
    <x v="8"/>
    <s v="GNR_WT_WIND_ONS"/>
    <x v="0"/>
    <x v="23"/>
    <n v="424.06123900504701"/>
    <n v="154782.35223684201"/>
    <n v="557216.46805263194"/>
  </r>
  <r>
    <x v="0"/>
    <x v="0"/>
    <x v="1"/>
    <x v="0"/>
    <x v="0"/>
    <s v="DK1_Offshore"/>
    <x v="8"/>
    <s v="GNR_WT_WIND_OFF"/>
    <x v="0"/>
    <x v="0"/>
    <n v="686.67870108802504"/>
    <n v="250637.72589712901"/>
    <n v="902295.81322966504"/>
  </r>
  <r>
    <x v="0"/>
    <x v="0"/>
    <x v="1"/>
    <x v="0"/>
    <x v="0"/>
    <s v="DK1_Offshore"/>
    <x v="8"/>
    <s v="GNR_WT_WIND_OFF"/>
    <x v="0"/>
    <x v="1"/>
    <n v="750.19995837976001"/>
    <n v="273822.98480861197"/>
    <n v="985762.74531100504"/>
  </r>
  <r>
    <x v="0"/>
    <x v="0"/>
    <x v="1"/>
    <x v="0"/>
    <x v="0"/>
    <s v="DK1_Offshore"/>
    <x v="8"/>
    <s v="GNR_WT_WIND_OFF"/>
    <x v="0"/>
    <x v="2"/>
    <n v="801.66608655043603"/>
    <n v="292608.12159090902"/>
    <n v="1053389.23772727"/>
  </r>
  <r>
    <x v="0"/>
    <x v="0"/>
    <x v="1"/>
    <x v="0"/>
    <x v="0"/>
    <s v="DK1_Offshore"/>
    <x v="8"/>
    <s v="GNR_WT_WIND_OFF"/>
    <x v="0"/>
    <x v="3"/>
    <n v="906.91663695352997"/>
    <n v="331024.57248803799"/>
    <n v="1191688.46095694"/>
  </r>
  <r>
    <x v="0"/>
    <x v="0"/>
    <x v="1"/>
    <x v="0"/>
    <x v="0"/>
    <s v="DK1_Offshore"/>
    <x v="8"/>
    <s v="GNR_WT_WIND_OFF"/>
    <x v="0"/>
    <x v="4"/>
    <n v="962.09203562299297"/>
    <n v="351163.59300239198"/>
    <n v="1264188.93480861"/>
  </r>
  <r>
    <x v="0"/>
    <x v="0"/>
    <x v="1"/>
    <x v="0"/>
    <x v="0"/>
    <s v="DK1_Offshore"/>
    <x v="8"/>
    <s v="GNR_WT_WIND_OFF"/>
    <x v="0"/>
    <x v="5"/>
    <n v="1015.87645785541"/>
    <n v="370794.907117225"/>
    <n v="1334861.6656220099"/>
  </r>
  <r>
    <x v="0"/>
    <x v="0"/>
    <x v="1"/>
    <x v="0"/>
    <x v="0"/>
    <s v="DK1_Offshore"/>
    <x v="8"/>
    <s v="GNR_WT_WIND_OFF"/>
    <x v="0"/>
    <x v="6"/>
    <n v="1038.13208084814"/>
    <n v="378918.20950956899"/>
    <n v="1364105.55423445"/>
  </r>
  <r>
    <x v="0"/>
    <x v="0"/>
    <x v="1"/>
    <x v="0"/>
    <x v="0"/>
    <s v="DK1_Offshore"/>
    <x v="8"/>
    <s v="GNR_WT_WIND_OFF"/>
    <x v="0"/>
    <x v="7"/>
    <n v="1025.1496341023801"/>
    <n v="374179.616447368"/>
    <n v="1347046.6192105301"/>
  </r>
  <r>
    <x v="0"/>
    <x v="0"/>
    <x v="1"/>
    <x v="0"/>
    <x v="0"/>
    <s v="DK1_Offshore"/>
    <x v="8"/>
    <s v="GNR_WT_WIND_OFF"/>
    <x v="0"/>
    <x v="8"/>
    <n v="942.61836550435896"/>
    <n v="344055.70340909099"/>
    <n v="1238600.53227273"/>
  </r>
  <r>
    <x v="0"/>
    <x v="0"/>
    <x v="1"/>
    <x v="0"/>
    <x v="0"/>
    <s v="DK1_Offshore"/>
    <x v="8"/>
    <s v="GNR_WT_WIND_OFF"/>
    <x v="0"/>
    <x v="9"/>
    <n v="889.76126089663796"/>
    <n v="324762.86022727302"/>
    <n v="1169146.29681818"/>
  </r>
  <r>
    <x v="0"/>
    <x v="0"/>
    <x v="1"/>
    <x v="0"/>
    <x v="0"/>
    <s v="DK1_Offshore"/>
    <x v="8"/>
    <s v="GNR_WT_WIND_OFF"/>
    <x v="0"/>
    <x v="10"/>
    <n v="795.174863177558"/>
    <n v="290238.82505980902"/>
    <n v="1044859.77021531"/>
  </r>
  <r>
    <x v="0"/>
    <x v="0"/>
    <x v="1"/>
    <x v="0"/>
    <x v="0"/>
    <s v="DK1_Offshore"/>
    <x v="8"/>
    <s v="GNR_WT_WIND_OFF"/>
    <x v="0"/>
    <x v="11"/>
    <n v="728.87165301173195"/>
    <n v="266038.15334928199"/>
    <n v="957737.35205741599"/>
  </r>
  <r>
    <x v="0"/>
    <x v="0"/>
    <x v="1"/>
    <x v="0"/>
    <x v="0"/>
    <s v="DK1_Offshore"/>
    <x v="8"/>
    <s v="GNR_WT_WIND_OFF"/>
    <x v="0"/>
    <x v="12"/>
    <n v="712.64359457953697"/>
    <n v="260114.912021531"/>
    <n v="936413.68327751197"/>
  </r>
  <r>
    <x v="0"/>
    <x v="0"/>
    <x v="1"/>
    <x v="0"/>
    <x v="0"/>
    <s v="DK1_Offshore"/>
    <x v="8"/>
    <s v="GNR_WT_WIND_OFF"/>
    <x v="0"/>
    <x v="13"/>
    <n v="720.98945320180906"/>
    <n v="263161.15041866002"/>
    <n v="947380.14150717703"/>
  </r>
  <r>
    <x v="0"/>
    <x v="0"/>
    <x v="1"/>
    <x v="0"/>
    <x v="0"/>
    <s v="DK1_Offshore"/>
    <x v="8"/>
    <s v="GNR_WT_WIND_OFF"/>
    <x v="0"/>
    <x v="14"/>
    <n v="723.30774726355105"/>
    <n v="264007.32775119599"/>
    <n v="950426.37990430603"/>
  </r>
  <r>
    <x v="0"/>
    <x v="0"/>
    <x v="1"/>
    <x v="0"/>
    <x v="0"/>
    <s v="DK1_Offshore"/>
    <x v="8"/>
    <s v="GNR_WT_WIND_OFF"/>
    <x v="0"/>
    <x v="15"/>
    <n v="696.41553614734198"/>
    <n v="254191.67069378"/>
    <n v="915090.01449760795"/>
  </r>
  <r>
    <x v="0"/>
    <x v="0"/>
    <x v="1"/>
    <x v="0"/>
    <x v="0"/>
    <s v="DK1_Offshore"/>
    <x v="8"/>
    <s v="GNR_WT_WIND_OFF"/>
    <x v="0"/>
    <x v="16"/>
    <n v="652.36794897424102"/>
    <n v="238114.30137559801"/>
    <n v="857211.48495215306"/>
  </r>
  <r>
    <x v="0"/>
    <x v="0"/>
    <x v="1"/>
    <x v="0"/>
    <x v="0"/>
    <s v="DK1_Offshore"/>
    <x v="8"/>
    <s v="GNR_WT_WIND_OFF"/>
    <x v="0"/>
    <x v="17"/>
    <n v="524.86177557842302"/>
    <n v="191574.54808612401"/>
    <n v="689668.37311004801"/>
  </r>
  <r>
    <x v="0"/>
    <x v="0"/>
    <x v="1"/>
    <x v="0"/>
    <x v="0"/>
    <s v="DK1_Offshore"/>
    <x v="8"/>
    <s v="GNR_WT_WIND_OFF"/>
    <x v="0"/>
    <x v="18"/>
    <n v="381.59120256275799"/>
    <n v="139280.78893540701"/>
    <n v="501410.84016746399"/>
  </r>
  <r>
    <x v="0"/>
    <x v="0"/>
    <x v="1"/>
    <x v="0"/>
    <x v="0"/>
    <s v="DK1_Offshore"/>
    <x v="8"/>
    <s v="GNR_WT_WIND_OFF"/>
    <x v="0"/>
    <x v="19"/>
    <n v="337.07995657730902"/>
    <n v="123034.18415071801"/>
    <n v="442923.06294258399"/>
  </r>
  <r>
    <x v="0"/>
    <x v="0"/>
    <x v="1"/>
    <x v="0"/>
    <x v="0"/>
    <s v="DK1_Offshore"/>
    <x v="8"/>
    <s v="GNR_WT_WIND_OFF"/>
    <x v="0"/>
    <x v="20"/>
    <n v="350.98972094776201"/>
    <n v="128111.248145933"/>
    <n v="461200.49332535901"/>
  </r>
  <r>
    <x v="0"/>
    <x v="0"/>
    <x v="1"/>
    <x v="0"/>
    <x v="0"/>
    <s v="DK1_Offshore"/>
    <x v="8"/>
    <s v="GNR_WT_WIND_OFF"/>
    <x v="0"/>
    <x v="21"/>
    <n v="397.35560218260503"/>
    <n v="145034.794796651"/>
    <n v="522125.26126794302"/>
  </r>
  <r>
    <x v="0"/>
    <x v="0"/>
    <x v="1"/>
    <x v="0"/>
    <x v="0"/>
    <s v="DK1_Offshore"/>
    <x v="8"/>
    <s v="GNR_WT_WIND_OFF"/>
    <x v="0"/>
    <x v="22"/>
    <n v="453.45831847676499"/>
    <n v="165512.28624401899"/>
    <n v="595844.23047846905"/>
  </r>
  <r>
    <x v="0"/>
    <x v="0"/>
    <x v="1"/>
    <x v="0"/>
    <x v="0"/>
    <s v="DK1_Offshore"/>
    <x v="8"/>
    <s v="GNR_WT_WIND_OFF"/>
    <x v="0"/>
    <x v="23"/>
    <n v="561.02716294160098"/>
    <n v="204774.91447368401"/>
    <n v="737189.69210526301"/>
  </r>
  <r>
    <x v="0"/>
    <x v="0"/>
    <x v="1"/>
    <x v="0"/>
    <x v="0"/>
    <s v="DK1_Rural"/>
    <x v="2"/>
    <s v="GNR_EH_HEAT"/>
    <x v="0"/>
    <x v="7"/>
    <n v="24.01"/>
    <n v="8763.65"/>
    <n v="31549.14"/>
  </r>
  <r>
    <x v="0"/>
    <x v="0"/>
    <x v="1"/>
    <x v="0"/>
    <x v="0"/>
    <s v="DK1_Rural"/>
    <x v="2"/>
    <s v="GNR_EH_HEAT"/>
    <x v="0"/>
    <x v="8"/>
    <n v="24.01"/>
    <n v="8763.65"/>
    <n v="31549.14"/>
  </r>
  <r>
    <x v="0"/>
    <x v="0"/>
    <x v="1"/>
    <x v="0"/>
    <x v="0"/>
    <s v="DK1_Rural"/>
    <x v="2"/>
    <s v="GNR_EH_HEAT"/>
    <x v="0"/>
    <x v="9"/>
    <n v="24.01"/>
    <n v="8763.65"/>
    <n v="31549.14"/>
  </r>
  <r>
    <x v="0"/>
    <x v="0"/>
    <x v="1"/>
    <x v="0"/>
    <x v="0"/>
    <s v="DK1_Rural"/>
    <x v="2"/>
    <s v="GNR_EH_HEAT"/>
    <x v="0"/>
    <x v="10"/>
    <n v="24.01"/>
    <n v="8763.65"/>
    <n v="31549.14"/>
  </r>
  <r>
    <x v="0"/>
    <x v="0"/>
    <x v="1"/>
    <x v="0"/>
    <x v="0"/>
    <s v="DK1_Rural"/>
    <x v="2"/>
    <s v="GNR_EH_HEAT"/>
    <x v="0"/>
    <x v="11"/>
    <n v="24.01"/>
    <n v="8763.65"/>
    <n v="31549.14"/>
  </r>
  <r>
    <x v="0"/>
    <x v="0"/>
    <x v="1"/>
    <x v="0"/>
    <x v="0"/>
    <s v="DK1_Rural"/>
    <x v="2"/>
    <s v="GNR_EH_HEAT"/>
    <x v="0"/>
    <x v="12"/>
    <n v="24.01"/>
    <n v="8763.65"/>
    <n v="31549.14"/>
  </r>
  <r>
    <x v="0"/>
    <x v="0"/>
    <x v="1"/>
    <x v="0"/>
    <x v="0"/>
    <s v="DK1_Rural"/>
    <x v="2"/>
    <s v="GNR_EH_HEAT"/>
    <x v="0"/>
    <x v="13"/>
    <n v="24.01"/>
    <n v="8763.65"/>
    <n v="31549.14"/>
  </r>
  <r>
    <x v="0"/>
    <x v="0"/>
    <x v="1"/>
    <x v="0"/>
    <x v="0"/>
    <s v="DK1_Rural"/>
    <x v="2"/>
    <s v="GNR_EH_HEAT"/>
    <x v="0"/>
    <x v="14"/>
    <n v="24.01"/>
    <n v="8763.65"/>
    <n v="31549.14"/>
  </r>
  <r>
    <x v="0"/>
    <x v="0"/>
    <x v="1"/>
    <x v="0"/>
    <x v="0"/>
    <s v="DK1_Rural"/>
    <x v="2"/>
    <s v="GNR_EH_HEAT"/>
    <x v="0"/>
    <x v="15"/>
    <n v="24.01"/>
    <n v="8763.65"/>
    <n v="31549.14"/>
  </r>
  <r>
    <x v="0"/>
    <x v="0"/>
    <x v="1"/>
    <x v="0"/>
    <x v="0"/>
    <s v="DK1_Rural"/>
    <x v="2"/>
    <s v="GNR_EH_HEAT"/>
    <x v="0"/>
    <x v="16"/>
    <n v="24.01"/>
    <n v="8763.65"/>
    <n v="31549.14"/>
  </r>
  <r>
    <x v="0"/>
    <x v="0"/>
    <x v="1"/>
    <x v="0"/>
    <x v="0"/>
    <s v="DK1_Rural"/>
    <x v="2"/>
    <s v="GNR_EH_HEAT"/>
    <x v="0"/>
    <x v="17"/>
    <n v="24.01"/>
    <n v="8763.65"/>
    <n v="31549.14"/>
  </r>
  <r>
    <x v="0"/>
    <x v="0"/>
    <x v="1"/>
    <x v="0"/>
    <x v="0"/>
    <s v="DK1_Rural"/>
    <x v="2"/>
    <s v="GNR_EH_HEAT"/>
    <x v="0"/>
    <x v="18"/>
    <n v="24.01"/>
    <n v="8763.65"/>
    <n v="31549.14"/>
  </r>
  <r>
    <x v="0"/>
    <x v="0"/>
    <x v="1"/>
    <x v="0"/>
    <x v="0"/>
    <s v="DK1_Rural"/>
    <x v="2"/>
    <s v="GNR_EH_HEAT"/>
    <x v="0"/>
    <x v="19"/>
    <n v="24.01"/>
    <n v="8763.65"/>
    <n v="31549.14"/>
  </r>
  <r>
    <x v="0"/>
    <x v="0"/>
    <x v="1"/>
    <x v="0"/>
    <x v="0"/>
    <s v="DK1_Rural"/>
    <x v="2"/>
    <s v="GNR_EH_HEAT"/>
    <x v="0"/>
    <x v="20"/>
    <n v="24.01"/>
    <n v="8763.65"/>
    <n v="31549.14"/>
  </r>
  <r>
    <x v="0"/>
    <x v="0"/>
    <x v="1"/>
    <x v="0"/>
    <x v="0"/>
    <s v="DK1_Rural"/>
    <x v="2"/>
    <s v="GNR_EH_HEAT"/>
    <x v="0"/>
    <x v="21"/>
    <n v="24.01"/>
    <n v="8763.65"/>
    <n v="31549.14"/>
  </r>
  <r>
    <x v="0"/>
    <x v="0"/>
    <x v="1"/>
    <x v="0"/>
    <x v="0"/>
    <s v="DK1_Rural"/>
    <x v="2"/>
    <s v="GNR_EH_HEAT"/>
    <x v="0"/>
    <x v="22"/>
    <n v="24.01"/>
    <n v="8763.65"/>
    <n v="31549.14"/>
  </r>
  <r>
    <x v="0"/>
    <x v="0"/>
    <x v="1"/>
    <x v="0"/>
    <x v="0"/>
    <s v="DK1_Rural"/>
    <x v="2"/>
    <s v="GNR_EH_HEAT"/>
    <x v="0"/>
    <x v="23"/>
    <n v="9.6719564610503994"/>
    <n v="3530.2641082834002"/>
    <n v="12708.950789820199"/>
  </r>
  <r>
    <x v="0"/>
    <x v="0"/>
    <x v="1"/>
    <x v="0"/>
    <x v="0"/>
    <s v="DK1_Rural"/>
    <x v="5"/>
    <s v="GNR_BO_WOODCHI_E-120"/>
    <x v="0"/>
    <x v="17"/>
    <n v="6.7361487073811599"/>
    <n v="2458.6942781941202"/>
    <n v="8851.2994014988399"/>
  </r>
  <r>
    <x v="0"/>
    <x v="0"/>
    <x v="1"/>
    <x v="0"/>
    <x v="0"/>
    <s v="DK1_Rural"/>
    <x v="5"/>
    <s v="GNR_BO_WOODCHI_E-120"/>
    <x v="0"/>
    <x v="18"/>
    <n v="7.9609030178140996"/>
    <n v="2905.7296015021402"/>
    <n v="10460.6265654077"/>
  </r>
  <r>
    <x v="0"/>
    <x v="0"/>
    <x v="1"/>
    <x v="0"/>
    <x v="0"/>
    <s v="DK1_Rural"/>
    <x v="5"/>
    <s v="GNR_BO_WOODCHI_E-120"/>
    <x v="0"/>
    <x v="19"/>
    <n v="6.7361487073811599"/>
    <n v="2458.6942781941202"/>
    <n v="8851.2994014988399"/>
  </r>
  <r>
    <x v="0"/>
    <x v="0"/>
    <x v="1"/>
    <x v="0"/>
    <x v="0"/>
    <s v="DK1_Rural"/>
    <x v="9"/>
    <s v="GNR_BO_WOODWST_E-100"/>
    <x v="0"/>
    <x v="7"/>
    <n v="21.75"/>
    <n v="7938.75"/>
    <n v="28579.5"/>
  </r>
  <r>
    <x v="0"/>
    <x v="0"/>
    <x v="1"/>
    <x v="0"/>
    <x v="0"/>
    <s v="DK1_Rural"/>
    <x v="9"/>
    <s v="GNR_BO_WOODWST_E-100"/>
    <x v="0"/>
    <x v="8"/>
    <n v="21.75"/>
    <n v="7938.75"/>
    <n v="28579.5"/>
  </r>
  <r>
    <x v="0"/>
    <x v="0"/>
    <x v="1"/>
    <x v="0"/>
    <x v="0"/>
    <s v="DK1_Rural"/>
    <x v="9"/>
    <s v="GNR_BO_WOODWST_E-100"/>
    <x v="0"/>
    <x v="9"/>
    <n v="21.75"/>
    <n v="7938.75"/>
    <n v="28579.5"/>
  </r>
  <r>
    <x v="0"/>
    <x v="0"/>
    <x v="1"/>
    <x v="0"/>
    <x v="0"/>
    <s v="DK1_Rural"/>
    <x v="9"/>
    <s v="GNR_BO_WOODWST_E-100"/>
    <x v="0"/>
    <x v="10"/>
    <n v="21.75"/>
    <n v="7938.75"/>
    <n v="28579.5"/>
  </r>
  <r>
    <x v="0"/>
    <x v="0"/>
    <x v="1"/>
    <x v="0"/>
    <x v="0"/>
    <s v="DK1_Rural"/>
    <x v="9"/>
    <s v="GNR_BO_WOODWST_E-100"/>
    <x v="0"/>
    <x v="11"/>
    <n v="21.75"/>
    <n v="7938.75"/>
    <n v="28579.5"/>
  </r>
  <r>
    <x v="0"/>
    <x v="0"/>
    <x v="1"/>
    <x v="0"/>
    <x v="0"/>
    <s v="DK1_Rural"/>
    <x v="9"/>
    <s v="GNR_BO_WOODWST_E-100"/>
    <x v="0"/>
    <x v="12"/>
    <n v="21.75"/>
    <n v="7938.75"/>
    <n v="28579.5"/>
  </r>
  <r>
    <x v="0"/>
    <x v="0"/>
    <x v="1"/>
    <x v="0"/>
    <x v="0"/>
    <s v="DK1_Rural"/>
    <x v="9"/>
    <s v="GNR_BO_WOODWST_E-100"/>
    <x v="0"/>
    <x v="13"/>
    <n v="21.75"/>
    <n v="7938.75"/>
    <n v="28579.5"/>
  </r>
  <r>
    <x v="0"/>
    <x v="0"/>
    <x v="1"/>
    <x v="0"/>
    <x v="0"/>
    <s v="DK1_Rural"/>
    <x v="9"/>
    <s v="GNR_BO_WOODWST_E-100"/>
    <x v="0"/>
    <x v="14"/>
    <n v="21.75"/>
    <n v="7938.75"/>
    <n v="28579.5"/>
  </r>
  <r>
    <x v="0"/>
    <x v="0"/>
    <x v="1"/>
    <x v="0"/>
    <x v="0"/>
    <s v="DK1_Rural"/>
    <x v="9"/>
    <s v="GNR_BO_WOODWST_E-100"/>
    <x v="0"/>
    <x v="15"/>
    <n v="21.75"/>
    <n v="7938.75"/>
    <n v="28579.5"/>
  </r>
  <r>
    <x v="0"/>
    <x v="0"/>
    <x v="1"/>
    <x v="0"/>
    <x v="0"/>
    <s v="DK1_Rural"/>
    <x v="9"/>
    <s v="GNR_BO_WOODWST_E-100"/>
    <x v="0"/>
    <x v="16"/>
    <n v="21.75"/>
    <n v="7938.75"/>
    <n v="28579.5"/>
  </r>
  <r>
    <x v="0"/>
    <x v="0"/>
    <x v="1"/>
    <x v="0"/>
    <x v="0"/>
    <s v="DK1_Rural"/>
    <x v="9"/>
    <s v="GNR_BO_WOODWST_E-100"/>
    <x v="0"/>
    <x v="17"/>
    <n v="21.75"/>
    <n v="7938.75"/>
    <n v="28579.5"/>
  </r>
  <r>
    <x v="0"/>
    <x v="0"/>
    <x v="1"/>
    <x v="0"/>
    <x v="0"/>
    <s v="DK1_Rural"/>
    <x v="9"/>
    <s v="GNR_BO_WOODWST_E-100"/>
    <x v="0"/>
    <x v="18"/>
    <n v="21.75"/>
    <n v="7938.75"/>
    <n v="28579.5"/>
  </r>
  <r>
    <x v="0"/>
    <x v="0"/>
    <x v="1"/>
    <x v="0"/>
    <x v="0"/>
    <s v="DK1_Rural"/>
    <x v="9"/>
    <s v="GNR_BO_WOODWST_E-100"/>
    <x v="0"/>
    <x v="19"/>
    <n v="21.75"/>
    <n v="7938.75"/>
    <n v="28579.5"/>
  </r>
  <r>
    <x v="0"/>
    <x v="0"/>
    <x v="1"/>
    <x v="0"/>
    <x v="0"/>
    <s v="DK1_Rural"/>
    <x v="9"/>
    <s v="GNR_BO_WOODWST_E-100"/>
    <x v="0"/>
    <x v="20"/>
    <n v="21.75"/>
    <n v="7938.75"/>
    <n v="28579.5"/>
  </r>
  <r>
    <x v="0"/>
    <x v="0"/>
    <x v="1"/>
    <x v="0"/>
    <x v="0"/>
    <s v="DK1_Rural"/>
    <x v="9"/>
    <s v="GNR_BO_WOODWST_E-113"/>
    <x v="0"/>
    <x v="7"/>
    <n v="3.5087719298245599"/>
    <n v="1280.7017543859599"/>
    <n v="4610.5263157894697"/>
  </r>
  <r>
    <x v="0"/>
    <x v="0"/>
    <x v="1"/>
    <x v="0"/>
    <x v="0"/>
    <s v="DK1_Rural"/>
    <x v="9"/>
    <s v="GNR_BO_WOODWST_E-113"/>
    <x v="0"/>
    <x v="8"/>
    <n v="3.5087719298245599"/>
    <n v="1280.7017543859599"/>
    <n v="4610.5263157894697"/>
  </r>
  <r>
    <x v="0"/>
    <x v="0"/>
    <x v="1"/>
    <x v="0"/>
    <x v="0"/>
    <s v="DK1_Rural"/>
    <x v="9"/>
    <s v="GNR_BO_WOODWST_E-113"/>
    <x v="0"/>
    <x v="9"/>
    <n v="3.5087719298245599"/>
    <n v="1280.7017543859599"/>
    <n v="4610.5263157894697"/>
  </r>
  <r>
    <x v="0"/>
    <x v="0"/>
    <x v="1"/>
    <x v="0"/>
    <x v="0"/>
    <s v="DK1_Rural"/>
    <x v="9"/>
    <s v="GNR_BO_WOODWST_E-113"/>
    <x v="0"/>
    <x v="10"/>
    <n v="3.5087719298245599"/>
    <n v="1280.7017543859599"/>
    <n v="4610.5263157894697"/>
  </r>
  <r>
    <x v="0"/>
    <x v="0"/>
    <x v="1"/>
    <x v="0"/>
    <x v="0"/>
    <s v="DK1_Rural"/>
    <x v="9"/>
    <s v="GNR_BO_WOODWST_E-113"/>
    <x v="0"/>
    <x v="11"/>
    <n v="3.5087719298245599"/>
    <n v="1280.7017543859599"/>
    <n v="4610.5263157894697"/>
  </r>
  <r>
    <x v="0"/>
    <x v="0"/>
    <x v="1"/>
    <x v="0"/>
    <x v="0"/>
    <s v="DK1_Rural"/>
    <x v="9"/>
    <s v="GNR_BO_WOODWST_E-113"/>
    <x v="0"/>
    <x v="12"/>
    <n v="3.5087719298245599"/>
    <n v="1280.7017543859599"/>
    <n v="4610.5263157894697"/>
  </r>
  <r>
    <x v="0"/>
    <x v="0"/>
    <x v="1"/>
    <x v="0"/>
    <x v="0"/>
    <s v="DK1_Rural"/>
    <x v="9"/>
    <s v="GNR_BO_WOODWST_E-113"/>
    <x v="0"/>
    <x v="13"/>
    <n v="3.5087719298245599"/>
    <n v="1280.7017543859599"/>
    <n v="4610.5263157894697"/>
  </r>
  <r>
    <x v="0"/>
    <x v="0"/>
    <x v="1"/>
    <x v="0"/>
    <x v="0"/>
    <s v="DK1_Rural"/>
    <x v="9"/>
    <s v="GNR_BO_WOODWST_E-113"/>
    <x v="0"/>
    <x v="14"/>
    <n v="3.5087719298245599"/>
    <n v="1280.7017543859599"/>
    <n v="4610.5263157894697"/>
  </r>
  <r>
    <x v="0"/>
    <x v="0"/>
    <x v="1"/>
    <x v="0"/>
    <x v="0"/>
    <s v="DK1_Rural"/>
    <x v="9"/>
    <s v="GNR_BO_WOODWST_E-113"/>
    <x v="0"/>
    <x v="15"/>
    <n v="3.5087719298245599"/>
    <n v="1280.7017543859599"/>
    <n v="4610.5263157894697"/>
  </r>
  <r>
    <x v="0"/>
    <x v="0"/>
    <x v="1"/>
    <x v="0"/>
    <x v="0"/>
    <s v="DK1_Rural"/>
    <x v="9"/>
    <s v="GNR_BO_WOODWST_E-113"/>
    <x v="0"/>
    <x v="16"/>
    <n v="3.5087719298245599"/>
    <n v="1280.7017543859599"/>
    <n v="4610.5263157894697"/>
  </r>
  <r>
    <x v="0"/>
    <x v="0"/>
    <x v="1"/>
    <x v="0"/>
    <x v="0"/>
    <s v="DK1_Rural"/>
    <x v="9"/>
    <s v="GNR_BO_WOODWST_E-113"/>
    <x v="0"/>
    <x v="17"/>
    <n v="3.5087719298245599"/>
    <n v="1280.7017543859599"/>
    <n v="4610.5263157894697"/>
  </r>
  <r>
    <x v="0"/>
    <x v="0"/>
    <x v="1"/>
    <x v="0"/>
    <x v="0"/>
    <s v="DK1_Rural"/>
    <x v="9"/>
    <s v="GNR_BO_WOODWST_E-113"/>
    <x v="0"/>
    <x v="18"/>
    <n v="3.5087719298245599"/>
    <n v="1280.7017543859599"/>
    <n v="4610.5263157894697"/>
  </r>
  <r>
    <x v="0"/>
    <x v="0"/>
    <x v="1"/>
    <x v="0"/>
    <x v="0"/>
    <s v="DK1_Rural"/>
    <x v="9"/>
    <s v="GNR_BO_WOODWST_E-113"/>
    <x v="0"/>
    <x v="19"/>
    <n v="3.5087719298245599"/>
    <n v="1280.7017543859599"/>
    <n v="4610.5263157894697"/>
  </r>
  <r>
    <x v="0"/>
    <x v="0"/>
    <x v="1"/>
    <x v="0"/>
    <x v="0"/>
    <s v="DK1_Rural"/>
    <x v="9"/>
    <s v="GNR_BO_WOODWST_E-113"/>
    <x v="0"/>
    <x v="20"/>
    <n v="3.5087719298245599"/>
    <n v="1280.7017543859599"/>
    <n v="4610.5263157894697"/>
  </r>
  <r>
    <x v="0"/>
    <x v="0"/>
    <x v="1"/>
    <x v="0"/>
    <x v="0"/>
    <s v="DK1_Rural"/>
    <x v="9"/>
    <s v="GNR_BO_WOODWST_E-86"/>
    <x v="0"/>
    <x v="8"/>
    <n v="3.4883720930232598"/>
    <n v="1273.2558139534899"/>
    <n v="4583.72093023256"/>
  </r>
  <r>
    <x v="0"/>
    <x v="0"/>
    <x v="1"/>
    <x v="0"/>
    <x v="0"/>
    <s v="DK1_Rural"/>
    <x v="9"/>
    <s v="GNR_BO_WOODWST_E-86"/>
    <x v="0"/>
    <x v="9"/>
    <n v="3.4883720930232598"/>
    <n v="1273.2558139534899"/>
    <n v="4583.72093023256"/>
  </r>
  <r>
    <x v="0"/>
    <x v="0"/>
    <x v="1"/>
    <x v="0"/>
    <x v="0"/>
    <s v="DK1_Rural"/>
    <x v="9"/>
    <s v="GNR_BO_WOODWST_E-86"/>
    <x v="0"/>
    <x v="10"/>
    <n v="3.4883720930232598"/>
    <n v="1273.2558139534899"/>
    <n v="4583.72093023256"/>
  </r>
  <r>
    <x v="0"/>
    <x v="0"/>
    <x v="1"/>
    <x v="0"/>
    <x v="0"/>
    <s v="DK1_Rural"/>
    <x v="9"/>
    <s v="GNR_BO_WOODWST_E-86"/>
    <x v="0"/>
    <x v="11"/>
    <n v="3.4883720930232598"/>
    <n v="1273.2558139534899"/>
    <n v="4583.72093023256"/>
  </r>
  <r>
    <x v="0"/>
    <x v="0"/>
    <x v="1"/>
    <x v="0"/>
    <x v="0"/>
    <s v="DK1_Rural"/>
    <x v="9"/>
    <s v="GNR_BO_WOODWST_E-86"/>
    <x v="0"/>
    <x v="12"/>
    <n v="3.4883720930232598"/>
    <n v="1273.2558139534899"/>
    <n v="4583.72093023256"/>
  </r>
  <r>
    <x v="0"/>
    <x v="0"/>
    <x v="1"/>
    <x v="0"/>
    <x v="0"/>
    <s v="DK1_Rural"/>
    <x v="9"/>
    <s v="GNR_BO_WOODWST_E-86"/>
    <x v="0"/>
    <x v="13"/>
    <n v="1.61450481093309"/>
    <n v="589.29425599057697"/>
    <n v="2121.4593215660798"/>
  </r>
  <r>
    <x v="0"/>
    <x v="0"/>
    <x v="1"/>
    <x v="0"/>
    <x v="0"/>
    <s v="DK1_Rural"/>
    <x v="9"/>
    <s v="GNR_BO_WOODWST_E-86"/>
    <x v="0"/>
    <x v="14"/>
    <n v="3.4883720930232598"/>
    <n v="1273.2558139534899"/>
    <n v="4583.72093023256"/>
  </r>
  <r>
    <x v="0"/>
    <x v="0"/>
    <x v="1"/>
    <x v="0"/>
    <x v="0"/>
    <s v="DK1_Rural"/>
    <x v="9"/>
    <s v="GNR_BO_WOODWST_E-86"/>
    <x v="0"/>
    <x v="15"/>
    <n v="3.4883720930232598"/>
    <n v="1273.2558139534899"/>
    <n v="4583.72093023256"/>
  </r>
  <r>
    <x v="0"/>
    <x v="0"/>
    <x v="1"/>
    <x v="0"/>
    <x v="0"/>
    <s v="DK1_Rural"/>
    <x v="9"/>
    <s v="GNR_BO_WOODWST_E-86"/>
    <x v="0"/>
    <x v="16"/>
    <n v="3.4883720930232598"/>
    <n v="1273.2558139534899"/>
    <n v="4583.72093023256"/>
  </r>
  <r>
    <x v="0"/>
    <x v="0"/>
    <x v="1"/>
    <x v="0"/>
    <x v="0"/>
    <s v="DK1_Rural"/>
    <x v="9"/>
    <s v="GNR_BO_WOODWST_E-86"/>
    <x v="0"/>
    <x v="17"/>
    <n v="3.4883720930232598"/>
    <n v="1273.2558139534899"/>
    <n v="4583.72093023256"/>
  </r>
  <r>
    <x v="0"/>
    <x v="0"/>
    <x v="1"/>
    <x v="0"/>
    <x v="0"/>
    <s v="DK1_Rural"/>
    <x v="9"/>
    <s v="GNR_BO_WOODWST_E-86"/>
    <x v="0"/>
    <x v="18"/>
    <n v="3.4883720930232598"/>
    <n v="1273.2558139534899"/>
    <n v="4583.72093023256"/>
  </r>
  <r>
    <x v="0"/>
    <x v="0"/>
    <x v="1"/>
    <x v="0"/>
    <x v="0"/>
    <s v="DK1_Rural"/>
    <x v="9"/>
    <s v="GNR_BO_WOODWST_E-86"/>
    <x v="0"/>
    <x v="19"/>
    <n v="3.4883720930232598"/>
    <n v="1273.2558139534899"/>
    <n v="4583.72093023256"/>
  </r>
  <r>
    <x v="0"/>
    <x v="0"/>
    <x v="1"/>
    <x v="0"/>
    <x v="0"/>
    <s v="DK1_Rural"/>
    <x v="9"/>
    <s v="GNR_BO_WOODWST_E-86"/>
    <x v="0"/>
    <x v="20"/>
    <n v="3.4883720930232598"/>
    <n v="1273.2558139534899"/>
    <n v="4583.72093023256"/>
  </r>
  <r>
    <x v="0"/>
    <x v="0"/>
    <x v="1"/>
    <x v="0"/>
    <x v="0"/>
    <s v="DK1_Rural"/>
    <x v="9"/>
    <s v="GNR_BO_WOODWST_E-89"/>
    <x v="0"/>
    <x v="8"/>
    <n v="2.2471910112359601"/>
    <n v="820.22471910112404"/>
    <n v="2952.8089887640499"/>
  </r>
  <r>
    <x v="0"/>
    <x v="0"/>
    <x v="1"/>
    <x v="0"/>
    <x v="0"/>
    <s v="DK1_Rural"/>
    <x v="9"/>
    <s v="GNR_BO_WOODWST_E-89"/>
    <x v="0"/>
    <x v="9"/>
    <n v="2.2471910112359601"/>
    <n v="820.22471910112404"/>
    <n v="2952.8089887640499"/>
  </r>
  <r>
    <x v="0"/>
    <x v="0"/>
    <x v="1"/>
    <x v="0"/>
    <x v="0"/>
    <s v="DK1_Rural"/>
    <x v="9"/>
    <s v="GNR_BO_WOODWST_E-89"/>
    <x v="0"/>
    <x v="10"/>
    <n v="2.2471910112359601"/>
    <n v="820.22471910112404"/>
    <n v="2952.8089887640499"/>
  </r>
  <r>
    <x v="0"/>
    <x v="0"/>
    <x v="1"/>
    <x v="0"/>
    <x v="0"/>
    <s v="DK1_Rural"/>
    <x v="9"/>
    <s v="GNR_BO_WOODWST_E-89"/>
    <x v="0"/>
    <x v="11"/>
    <n v="2.2471910112359601"/>
    <n v="820.22471910112404"/>
    <n v="2952.8089887640499"/>
  </r>
  <r>
    <x v="0"/>
    <x v="0"/>
    <x v="1"/>
    <x v="0"/>
    <x v="0"/>
    <s v="DK1_Rural"/>
    <x v="9"/>
    <s v="GNR_BO_WOODWST_E-89"/>
    <x v="0"/>
    <x v="12"/>
    <n v="2.2471910112359601"/>
    <n v="820.22471910112404"/>
    <n v="2952.8089887640499"/>
  </r>
  <r>
    <x v="0"/>
    <x v="0"/>
    <x v="1"/>
    <x v="0"/>
    <x v="0"/>
    <s v="DK1_Rural"/>
    <x v="9"/>
    <s v="GNR_BO_WOODWST_E-89"/>
    <x v="0"/>
    <x v="13"/>
    <n v="2.2471910112359601"/>
    <n v="820.22471910112404"/>
    <n v="2952.8089887640499"/>
  </r>
  <r>
    <x v="0"/>
    <x v="0"/>
    <x v="1"/>
    <x v="0"/>
    <x v="0"/>
    <s v="DK1_Rural"/>
    <x v="9"/>
    <s v="GNR_BO_WOODWST_E-89"/>
    <x v="0"/>
    <x v="14"/>
    <n v="2.2471910112359601"/>
    <n v="820.22471910112404"/>
    <n v="2952.8089887640499"/>
  </r>
  <r>
    <x v="0"/>
    <x v="0"/>
    <x v="1"/>
    <x v="0"/>
    <x v="0"/>
    <s v="DK1_Rural"/>
    <x v="9"/>
    <s v="GNR_BO_WOODWST_E-89"/>
    <x v="0"/>
    <x v="15"/>
    <n v="2.2471910112359601"/>
    <n v="820.22471910112404"/>
    <n v="2952.8089887640499"/>
  </r>
  <r>
    <x v="0"/>
    <x v="0"/>
    <x v="1"/>
    <x v="0"/>
    <x v="0"/>
    <s v="DK1_Rural"/>
    <x v="9"/>
    <s v="GNR_BO_WOODWST_E-89"/>
    <x v="0"/>
    <x v="16"/>
    <n v="2.2471910112359601"/>
    <n v="820.22471910112404"/>
    <n v="2952.8089887640499"/>
  </r>
  <r>
    <x v="0"/>
    <x v="0"/>
    <x v="1"/>
    <x v="0"/>
    <x v="0"/>
    <s v="DK1_Rural"/>
    <x v="9"/>
    <s v="GNR_BO_WOODWST_E-89"/>
    <x v="0"/>
    <x v="17"/>
    <n v="2.2471910112359601"/>
    <n v="820.22471910112404"/>
    <n v="2952.8089887640499"/>
  </r>
  <r>
    <x v="0"/>
    <x v="0"/>
    <x v="1"/>
    <x v="0"/>
    <x v="0"/>
    <s v="DK1_Rural"/>
    <x v="9"/>
    <s v="GNR_BO_WOODWST_E-89"/>
    <x v="0"/>
    <x v="18"/>
    <n v="2.2471910112359601"/>
    <n v="820.22471910112404"/>
    <n v="2952.8089887640499"/>
  </r>
  <r>
    <x v="0"/>
    <x v="0"/>
    <x v="1"/>
    <x v="0"/>
    <x v="0"/>
    <s v="DK1_Rural"/>
    <x v="9"/>
    <s v="GNR_BO_WOODWST_E-89"/>
    <x v="0"/>
    <x v="19"/>
    <n v="2.2471910112359601"/>
    <n v="820.22471910112404"/>
    <n v="2952.8089887640499"/>
  </r>
  <r>
    <x v="0"/>
    <x v="0"/>
    <x v="1"/>
    <x v="0"/>
    <x v="0"/>
    <s v="DK1_Rural"/>
    <x v="9"/>
    <s v="GNR_BO_WOODWST_E-89"/>
    <x v="0"/>
    <x v="20"/>
    <n v="2.2471910112359601"/>
    <n v="820.22471910112404"/>
    <n v="2952.8089887640499"/>
  </r>
  <r>
    <x v="0"/>
    <x v="0"/>
    <x v="1"/>
    <x v="0"/>
    <x v="0"/>
    <s v="DK1_Rural"/>
    <x v="9"/>
    <s v="GNR_BO_WOODWST_E-90"/>
    <x v="0"/>
    <x v="8"/>
    <n v="2"/>
    <n v="730"/>
    <n v="2628"/>
  </r>
  <r>
    <x v="0"/>
    <x v="0"/>
    <x v="1"/>
    <x v="0"/>
    <x v="0"/>
    <s v="DK1_Rural"/>
    <x v="9"/>
    <s v="GNR_BO_WOODWST_E-90"/>
    <x v="0"/>
    <x v="9"/>
    <n v="2"/>
    <n v="730"/>
    <n v="2628"/>
  </r>
  <r>
    <x v="0"/>
    <x v="0"/>
    <x v="1"/>
    <x v="0"/>
    <x v="0"/>
    <s v="DK1_Rural"/>
    <x v="9"/>
    <s v="GNR_BO_WOODWST_E-90"/>
    <x v="0"/>
    <x v="10"/>
    <n v="2"/>
    <n v="730"/>
    <n v="2628"/>
  </r>
  <r>
    <x v="0"/>
    <x v="0"/>
    <x v="1"/>
    <x v="0"/>
    <x v="0"/>
    <s v="DK1_Rural"/>
    <x v="9"/>
    <s v="GNR_BO_WOODWST_E-90"/>
    <x v="0"/>
    <x v="11"/>
    <n v="2"/>
    <n v="730"/>
    <n v="2628"/>
  </r>
  <r>
    <x v="0"/>
    <x v="0"/>
    <x v="1"/>
    <x v="0"/>
    <x v="0"/>
    <s v="DK1_Rural"/>
    <x v="9"/>
    <s v="GNR_BO_WOODWST_E-90"/>
    <x v="0"/>
    <x v="12"/>
    <n v="2"/>
    <n v="730"/>
    <n v="2628"/>
  </r>
  <r>
    <x v="0"/>
    <x v="0"/>
    <x v="1"/>
    <x v="0"/>
    <x v="0"/>
    <s v="DK1_Rural"/>
    <x v="9"/>
    <s v="GNR_BO_WOODWST_E-90"/>
    <x v="0"/>
    <x v="13"/>
    <n v="2"/>
    <n v="730"/>
    <n v="2628"/>
  </r>
  <r>
    <x v="0"/>
    <x v="0"/>
    <x v="1"/>
    <x v="0"/>
    <x v="0"/>
    <s v="DK1_Rural"/>
    <x v="9"/>
    <s v="GNR_BO_WOODWST_E-90"/>
    <x v="0"/>
    <x v="14"/>
    <n v="2"/>
    <n v="730"/>
    <n v="2628"/>
  </r>
  <r>
    <x v="0"/>
    <x v="0"/>
    <x v="1"/>
    <x v="0"/>
    <x v="0"/>
    <s v="DK1_Rural"/>
    <x v="9"/>
    <s v="GNR_BO_WOODWST_E-90"/>
    <x v="0"/>
    <x v="15"/>
    <n v="2"/>
    <n v="730"/>
    <n v="2628"/>
  </r>
  <r>
    <x v="0"/>
    <x v="0"/>
    <x v="1"/>
    <x v="0"/>
    <x v="0"/>
    <s v="DK1_Rural"/>
    <x v="9"/>
    <s v="GNR_BO_WOODWST_E-90"/>
    <x v="0"/>
    <x v="16"/>
    <n v="2"/>
    <n v="730"/>
    <n v="2628"/>
  </r>
  <r>
    <x v="0"/>
    <x v="0"/>
    <x v="1"/>
    <x v="0"/>
    <x v="0"/>
    <s v="DK1_Rural"/>
    <x v="9"/>
    <s v="GNR_BO_WOODWST_E-90"/>
    <x v="0"/>
    <x v="17"/>
    <n v="2"/>
    <n v="730"/>
    <n v="2628"/>
  </r>
  <r>
    <x v="0"/>
    <x v="0"/>
    <x v="1"/>
    <x v="0"/>
    <x v="0"/>
    <s v="DK1_Rural"/>
    <x v="9"/>
    <s v="GNR_BO_WOODWST_E-90"/>
    <x v="0"/>
    <x v="18"/>
    <n v="2"/>
    <n v="730"/>
    <n v="2628"/>
  </r>
  <r>
    <x v="0"/>
    <x v="0"/>
    <x v="1"/>
    <x v="0"/>
    <x v="0"/>
    <s v="DK1_Rural"/>
    <x v="9"/>
    <s v="GNR_BO_WOODWST_E-90"/>
    <x v="0"/>
    <x v="19"/>
    <n v="2"/>
    <n v="730"/>
    <n v="2628"/>
  </r>
  <r>
    <x v="0"/>
    <x v="0"/>
    <x v="1"/>
    <x v="0"/>
    <x v="0"/>
    <s v="DK1_Rural"/>
    <x v="9"/>
    <s v="GNR_BO_WOODWST_E-90"/>
    <x v="0"/>
    <x v="20"/>
    <n v="2"/>
    <n v="730"/>
    <n v="2628"/>
  </r>
  <r>
    <x v="0"/>
    <x v="0"/>
    <x v="1"/>
    <x v="0"/>
    <x v="0"/>
    <s v="DK1_Rural"/>
    <x v="9"/>
    <s v="GNR_BO_WOODWST_E-94"/>
    <x v="0"/>
    <x v="7"/>
    <n v="0.43805209030092301"/>
    <n v="159.889012959837"/>
    <n v="575.60044665541204"/>
  </r>
  <r>
    <x v="0"/>
    <x v="0"/>
    <x v="1"/>
    <x v="0"/>
    <x v="0"/>
    <s v="DK1_Rural"/>
    <x v="9"/>
    <s v="GNR_BO_WOODWST_E-94"/>
    <x v="0"/>
    <x v="8"/>
    <n v="0.98936170212765995"/>
    <n v="361.11702127659601"/>
    <n v="1300.0212765957399"/>
  </r>
  <r>
    <x v="0"/>
    <x v="0"/>
    <x v="1"/>
    <x v="0"/>
    <x v="0"/>
    <s v="DK1_Rural"/>
    <x v="9"/>
    <s v="GNR_BO_WOODWST_E-94"/>
    <x v="0"/>
    <x v="9"/>
    <n v="0.98936170212765995"/>
    <n v="361.11702127659601"/>
    <n v="1300.0212765957399"/>
  </r>
  <r>
    <x v="0"/>
    <x v="0"/>
    <x v="1"/>
    <x v="0"/>
    <x v="0"/>
    <s v="DK1_Rural"/>
    <x v="9"/>
    <s v="GNR_BO_WOODWST_E-94"/>
    <x v="0"/>
    <x v="10"/>
    <n v="0.98936170212765995"/>
    <n v="361.11702127659601"/>
    <n v="1300.0212765957399"/>
  </r>
  <r>
    <x v="0"/>
    <x v="0"/>
    <x v="1"/>
    <x v="0"/>
    <x v="0"/>
    <s v="DK1_Rural"/>
    <x v="9"/>
    <s v="GNR_BO_WOODWST_E-94"/>
    <x v="0"/>
    <x v="11"/>
    <n v="0.98936170212765995"/>
    <n v="361.11702127659601"/>
    <n v="1300.0212765957399"/>
  </r>
  <r>
    <x v="0"/>
    <x v="0"/>
    <x v="1"/>
    <x v="0"/>
    <x v="0"/>
    <s v="DK1_Rural"/>
    <x v="9"/>
    <s v="GNR_BO_WOODWST_E-94"/>
    <x v="0"/>
    <x v="12"/>
    <n v="0.98936170212765995"/>
    <n v="361.11702127659601"/>
    <n v="1300.0212765957399"/>
  </r>
  <r>
    <x v="0"/>
    <x v="0"/>
    <x v="1"/>
    <x v="0"/>
    <x v="0"/>
    <s v="DK1_Rural"/>
    <x v="9"/>
    <s v="GNR_BO_WOODWST_E-94"/>
    <x v="0"/>
    <x v="13"/>
    <n v="0.98936170212765995"/>
    <n v="361.11702127659601"/>
    <n v="1300.0212765957399"/>
  </r>
  <r>
    <x v="0"/>
    <x v="0"/>
    <x v="1"/>
    <x v="0"/>
    <x v="0"/>
    <s v="DK1_Rural"/>
    <x v="9"/>
    <s v="GNR_BO_WOODWST_E-94"/>
    <x v="0"/>
    <x v="14"/>
    <n v="0.98936170212765995"/>
    <n v="361.11702127659601"/>
    <n v="1300.0212765957399"/>
  </r>
  <r>
    <x v="0"/>
    <x v="0"/>
    <x v="1"/>
    <x v="0"/>
    <x v="0"/>
    <s v="DK1_Rural"/>
    <x v="9"/>
    <s v="GNR_BO_WOODWST_E-94"/>
    <x v="0"/>
    <x v="15"/>
    <n v="0.98936170212765995"/>
    <n v="361.11702127659601"/>
    <n v="1300.0212765957399"/>
  </r>
  <r>
    <x v="0"/>
    <x v="0"/>
    <x v="1"/>
    <x v="0"/>
    <x v="0"/>
    <s v="DK1_Rural"/>
    <x v="9"/>
    <s v="GNR_BO_WOODWST_E-94"/>
    <x v="0"/>
    <x v="16"/>
    <n v="0.98936170212765995"/>
    <n v="361.11702127659601"/>
    <n v="1300.0212765957399"/>
  </r>
  <r>
    <x v="0"/>
    <x v="0"/>
    <x v="1"/>
    <x v="0"/>
    <x v="0"/>
    <s v="DK1_Rural"/>
    <x v="9"/>
    <s v="GNR_BO_WOODWST_E-94"/>
    <x v="0"/>
    <x v="17"/>
    <n v="0.98936170212765995"/>
    <n v="361.11702127659601"/>
    <n v="1300.0212765957399"/>
  </r>
  <r>
    <x v="0"/>
    <x v="0"/>
    <x v="1"/>
    <x v="0"/>
    <x v="0"/>
    <s v="DK1_Rural"/>
    <x v="9"/>
    <s v="GNR_BO_WOODWST_E-94"/>
    <x v="0"/>
    <x v="18"/>
    <n v="0.98936170212765995"/>
    <n v="361.11702127659601"/>
    <n v="1300.0212765957399"/>
  </r>
  <r>
    <x v="0"/>
    <x v="0"/>
    <x v="1"/>
    <x v="0"/>
    <x v="0"/>
    <s v="DK1_Rural"/>
    <x v="9"/>
    <s v="GNR_BO_WOODWST_E-94"/>
    <x v="0"/>
    <x v="19"/>
    <n v="0.98936170212765995"/>
    <n v="361.11702127659601"/>
    <n v="1300.0212765957399"/>
  </r>
  <r>
    <x v="0"/>
    <x v="0"/>
    <x v="1"/>
    <x v="0"/>
    <x v="0"/>
    <s v="DK1_Rural"/>
    <x v="9"/>
    <s v="GNR_BO_WOODWST_E-94"/>
    <x v="0"/>
    <x v="20"/>
    <n v="0.98936170212765995"/>
    <n v="361.11702127659601"/>
    <n v="1300.0212765957399"/>
  </r>
  <r>
    <x v="0"/>
    <x v="0"/>
    <x v="1"/>
    <x v="0"/>
    <x v="0"/>
    <s v="DK1_Small"/>
    <x v="5"/>
    <s v="GNR_BO_WOODCHI_E-110"/>
    <x v="0"/>
    <x v="9"/>
    <n v="0.51982027613719495"/>
    <n v="189.73440079007599"/>
    <n v="683.04384284427397"/>
  </r>
  <r>
    <x v="0"/>
    <x v="0"/>
    <x v="1"/>
    <x v="0"/>
    <x v="0"/>
    <s v="DK1_Small"/>
    <x v="5"/>
    <s v="GNR_BO_WOODCHI_E-110"/>
    <x v="0"/>
    <x v="10"/>
    <n v="0.34654685075812502"/>
    <n v="126.489600526716"/>
    <n v="455.362561896177"/>
  </r>
  <r>
    <x v="0"/>
    <x v="0"/>
    <x v="1"/>
    <x v="0"/>
    <x v="0"/>
    <s v="DK1_Small"/>
    <x v="5"/>
    <s v="GNR_BO_WOODCHI_E-110"/>
    <x v="0"/>
    <x v="11"/>
    <n v="0.37542575498797198"/>
    <n v="137.03040057061"/>
    <n v="493.30944205419598"/>
  </r>
  <r>
    <x v="0"/>
    <x v="0"/>
    <x v="1"/>
    <x v="0"/>
    <x v="0"/>
    <s v="DK1_Small"/>
    <x v="5"/>
    <s v="GNR_BO_WOODCHI_E-110"/>
    <x v="0"/>
    <x v="12"/>
    <n v="5.7757808459687601E-2"/>
    <n v="21.081600087786001"/>
    <n v="75.8937603160295"/>
  </r>
  <r>
    <x v="0"/>
    <x v="0"/>
    <x v="1"/>
    <x v="0"/>
    <x v="0"/>
    <s v="DK1_Small"/>
    <x v="5"/>
    <s v="GNR_BO_WOODCHI_E-110"/>
    <x v="0"/>
    <x v="16"/>
    <n v="0.144394521149216"/>
    <n v="52.704000219463701"/>
    <n v="189.734400790069"/>
  </r>
  <r>
    <x v="0"/>
    <x v="0"/>
    <x v="1"/>
    <x v="0"/>
    <x v="0"/>
    <s v="DK1_Small"/>
    <x v="5"/>
    <s v="GNR_BO_WOODCHI_E-110"/>
    <x v="0"/>
    <x v="18"/>
    <n v="0.11551561691937499"/>
    <n v="42.163200175571902"/>
    <n v="151.787520632059"/>
  </r>
  <r>
    <x v="0"/>
    <x v="0"/>
    <x v="1"/>
    <x v="0"/>
    <x v="0"/>
    <s v="DK1_Small"/>
    <x v="9"/>
    <s v="GNR_BO_WOODWST_E-89"/>
    <x v="0"/>
    <x v="7"/>
    <n v="0.35587353479762002"/>
    <n v="129.89384020113101"/>
    <n v="467.61782472407299"/>
  </r>
  <r>
    <x v="0"/>
    <x v="0"/>
    <x v="1"/>
    <x v="0"/>
    <x v="0"/>
    <s v="DK1_Small"/>
    <x v="9"/>
    <s v="GNR_BO_WOODWST_E-89"/>
    <x v="0"/>
    <x v="8"/>
    <n v="1.85498069818953"/>
    <n v="677.06795483917699"/>
    <n v="2437.4446374210402"/>
  </r>
  <r>
    <x v="0"/>
    <x v="0"/>
    <x v="1"/>
    <x v="0"/>
    <x v="0"/>
    <s v="DK1_Small"/>
    <x v="9"/>
    <s v="GNR_BO_WOODWST_E-89"/>
    <x v="0"/>
    <x v="9"/>
    <n v="1.99775280898876"/>
    <n v="729.17977528089898"/>
    <n v="2625.0471910112401"/>
  </r>
  <r>
    <x v="0"/>
    <x v="0"/>
    <x v="1"/>
    <x v="0"/>
    <x v="0"/>
    <s v="DK1_Small"/>
    <x v="9"/>
    <s v="GNR_BO_WOODWST_E-89"/>
    <x v="0"/>
    <x v="10"/>
    <n v="1.99775280898876"/>
    <n v="729.17977528089898"/>
    <n v="2625.0471910112401"/>
  </r>
  <r>
    <x v="0"/>
    <x v="0"/>
    <x v="1"/>
    <x v="0"/>
    <x v="0"/>
    <s v="DK1_Small"/>
    <x v="9"/>
    <s v="GNR_BO_WOODWST_E-89"/>
    <x v="0"/>
    <x v="11"/>
    <n v="1.99775280898876"/>
    <n v="729.17977528089898"/>
    <n v="2625.0471910112401"/>
  </r>
  <r>
    <x v="0"/>
    <x v="0"/>
    <x v="1"/>
    <x v="0"/>
    <x v="0"/>
    <s v="DK1_Small"/>
    <x v="9"/>
    <s v="GNR_BO_WOODWST_E-89"/>
    <x v="0"/>
    <x v="12"/>
    <n v="1.99775280898876"/>
    <n v="729.17977528089898"/>
    <n v="2625.0471910112401"/>
  </r>
  <r>
    <x v="0"/>
    <x v="0"/>
    <x v="1"/>
    <x v="0"/>
    <x v="0"/>
    <s v="DK1_Small"/>
    <x v="9"/>
    <s v="GNR_BO_WOODWST_E-89"/>
    <x v="0"/>
    <x v="13"/>
    <n v="0.49864564559684799"/>
    <n v="182.00566064284899"/>
    <n v="655.22037831425803"/>
  </r>
  <r>
    <x v="0"/>
    <x v="0"/>
    <x v="1"/>
    <x v="0"/>
    <x v="0"/>
    <s v="DK1_Small"/>
    <x v="9"/>
    <s v="GNR_BO_WOODWST_E-89"/>
    <x v="0"/>
    <x v="14"/>
    <n v="0.92696197799453905"/>
    <n v="338.34112196800697"/>
    <n v="1218.02803908482"/>
  </r>
  <r>
    <x v="0"/>
    <x v="0"/>
    <x v="1"/>
    <x v="0"/>
    <x v="0"/>
    <s v="DK1_Small"/>
    <x v="9"/>
    <s v="GNR_BO_WOODWST_E-89"/>
    <x v="0"/>
    <x v="15"/>
    <n v="1.3552783103922199"/>
    <n v="494.676583293161"/>
    <n v="1780.83569985538"/>
  </r>
  <r>
    <x v="0"/>
    <x v="0"/>
    <x v="1"/>
    <x v="0"/>
    <x v="0"/>
    <s v="DK1_Small"/>
    <x v="9"/>
    <s v="GNR_BO_WOODWST_E-89"/>
    <x v="0"/>
    <x v="16"/>
    <n v="1.99775280898876"/>
    <n v="729.17977528089898"/>
    <n v="2625.0471910112401"/>
  </r>
  <r>
    <x v="0"/>
    <x v="0"/>
    <x v="1"/>
    <x v="0"/>
    <x v="0"/>
    <s v="DK1_Small"/>
    <x v="9"/>
    <s v="GNR_BO_WOODWST_E-89"/>
    <x v="0"/>
    <x v="17"/>
    <n v="1.99775280898876"/>
    <n v="729.17977528089898"/>
    <n v="2625.0471910112401"/>
  </r>
  <r>
    <x v="0"/>
    <x v="0"/>
    <x v="1"/>
    <x v="0"/>
    <x v="0"/>
    <s v="DK1_Small"/>
    <x v="9"/>
    <s v="GNR_BO_WOODWST_E-89"/>
    <x v="0"/>
    <x v="18"/>
    <n v="1.99775280898876"/>
    <n v="729.17977528089898"/>
    <n v="2625.0471910112401"/>
  </r>
  <r>
    <x v="0"/>
    <x v="0"/>
    <x v="1"/>
    <x v="0"/>
    <x v="0"/>
    <s v="DK1_Small"/>
    <x v="9"/>
    <s v="GNR_BO_WOODWST_E-89"/>
    <x v="0"/>
    <x v="19"/>
    <n v="1.99775280898876"/>
    <n v="729.17977528089898"/>
    <n v="2625.0471910112401"/>
  </r>
  <r>
    <x v="0"/>
    <x v="0"/>
    <x v="1"/>
    <x v="0"/>
    <x v="0"/>
    <s v="DK1_Small"/>
    <x v="9"/>
    <s v="GNR_BO_WOODWST_E-89"/>
    <x v="0"/>
    <x v="20"/>
    <n v="1.21250619959299"/>
    <n v="442.56476285144299"/>
    <n v="1593.23314626519"/>
  </r>
  <r>
    <x v="0"/>
    <x v="0"/>
    <x v="1"/>
    <x v="0"/>
    <x v="0"/>
    <s v="DK2_Rural"/>
    <x v="2"/>
    <s v="GNR_EH_HEAT"/>
    <x v="0"/>
    <x v="7"/>
    <n v="16.5"/>
    <n v="6022.5"/>
    <n v="21681"/>
  </r>
  <r>
    <x v="0"/>
    <x v="0"/>
    <x v="1"/>
    <x v="0"/>
    <x v="0"/>
    <s v="DK2_Rural"/>
    <x v="2"/>
    <s v="GNR_EH_HEAT"/>
    <x v="0"/>
    <x v="8"/>
    <n v="16.5"/>
    <n v="6022.5"/>
    <n v="21681"/>
  </r>
  <r>
    <x v="0"/>
    <x v="0"/>
    <x v="1"/>
    <x v="0"/>
    <x v="0"/>
    <s v="DK2_Rural"/>
    <x v="2"/>
    <s v="GNR_EH_HEAT"/>
    <x v="0"/>
    <x v="9"/>
    <n v="16.5"/>
    <n v="6022.5"/>
    <n v="21681"/>
  </r>
  <r>
    <x v="0"/>
    <x v="0"/>
    <x v="1"/>
    <x v="0"/>
    <x v="0"/>
    <s v="DK2_Rural"/>
    <x v="2"/>
    <s v="GNR_EH_HEAT"/>
    <x v="0"/>
    <x v="10"/>
    <n v="16.5"/>
    <n v="6022.5"/>
    <n v="21681"/>
  </r>
  <r>
    <x v="0"/>
    <x v="0"/>
    <x v="1"/>
    <x v="0"/>
    <x v="0"/>
    <s v="DK2_Rural"/>
    <x v="2"/>
    <s v="GNR_EH_HEAT"/>
    <x v="0"/>
    <x v="11"/>
    <n v="16.5"/>
    <n v="6022.5"/>
    <n v="21681"/>
  </r>
  <r>
    <x v="0"/>
    <x v="0"/>
    <x v="1"/>
    <x v="0"/>
    <x v="0"/>
    <s v="DK2_Rural"/>
    <x v="2"/>
    <s v="GNR_EH_HEAT"/>
    <x v="0"/>
    <x v="12"/>
    <n v="16.5"/>
    <n v="6022.5"/>
    <n v="21681"/>
  </r>
  <r>
    <x v="0"/>
    <x v="0"/>
    <x v="1"/>
    <x v="0"/>
    <x v="0"/>
    <s v="DK2_Rural"/>
    <x v="2"/>
    <s v="GNR_EH_HEAT"/>
    <x v="0"/>
    <x v="13"/>
    <n v="16.5"/>
    <n v="6022.5"/>
    <n v="21681"/>
  </r>
  <r>
    <x v="0"/>
    <x v="0"/>
    <x v="1"/>
    <x v="0"/>
    <x v="0"/>
    <s v="DK2_Rural"/>
    <x v="2"/>
    <s v="GNR_EH_HEAT"/>
    <x v="0"/>
    <x v="14"/>
    <n v="16.5"/>
    <n v="6022.5"/>
    <n v="21681"/>
  </r>
  <r>
    <x v="0"/>
    <x v="0"/>
    <x v="1"/>
    <x v="0"/>
    <x v="0"/>
    <s v="DK2_Rural"/>
    <x v="2"/>
    <s v="GNR_EH_HEAT"/>
    <x v="0"/>
    <x v="15"/>
    <n v="16.5"/>
    <n v="6022.5"/>
    <n v="21681"/>
  </r>
  <r>
    <x v="0"/>
    <x v="0"/>
    <x v="1"/>
    <x v="0"/>
    <x v="0"/>
    <s v="DK2_Rural"/>
    <x v="2"/>
    <s v="GNR_EH_HEAT"/>
    <x v="0"/>
    <x v="16"/>
    <n v="16.5"/>
    <n v="6022.5"/>
    <n v="21681"/>
  </r>
  <r>
    <x v="0"/>
    <x v="0"/>
    <x v="1"/>
    <x v="0"/>
    <x v="0"/>
    <s v="DK2_Rural"/>
    <x v="2"/>
    <s v="GNR_EH_HEAT"/>
    <x v="0"/>
    <x v="17"/>
    <n v="16.5"/>
    <n v="6022.5"/>
    <n v="21681"/>
  </r>
  <r>
    <x v="0"/>
    <x v="0"/>
    <x v="1"/>
    <x v="0"/>
    <x v="0"/>
    <s v="DK2_Rural"/>
    <x v="2"/>
    <s v="GNR_EH_HEAT"/>
    <x v="0"/>
    <x v="18"/>
    <n v="16.5"/>
    <n v="6022.5"/>
    <n v="21681"/>
  </r>
  <r>
    <x v="0"/>
    <x v="0"/>
    <x v="1"/>
    <x v="0"/>
    <x v="0"/>
    <s v="DK2_Rural"/>
    <x v="2"/>
    <s v="GNR_EH_HEAT"/>
    <x v="0"/>
    <x v="19"/>
    <n v="16.5"/>
    <n v="6022.5"/>
    <n v="21681"/>
  </r>
  <r>
    <x v="0"/>
    <x v="0"/>
    <x v="1"/>
    <x v="0"/>
    <x v="0"/>
    <s v="DK2_Rural"/>
    <x v="2"/>
    <s v="GNR_EH_HEAT"/>
    <x v="0"/>
    <x v="20"/>
    <n v="16.5"/>
    <n v="6022.5"/>
    <n v="21681"/>
  </r>
  <r>
    <x v="0"/>
    <x v="0"/>
    <x v="1"/>
    <x v="0"/>
    <x v="0"/>
    <s v="DK2_Rural"/>
    <x v="2"/>
    <s v="GNR_EH_HEAT"/>
    <x v="0"/>
    <x v="21"/>
    <n v="16.5"/>
    <n v="6022.5"/>
    <n v="21681"/>
  </r>
  <r>
    <x v="0"/>
    <x v="0"/>
    <x v="1"/>
    <x v="0"/>
    <x v="0"/>
    <s v="DK2_Rural"/>
    <x v="2"/>
    <s v="GNR_EH_HEAT"/>
    <x v="0"/>
    <x v="22"/>
    <n v="16.5"/>
    <n v="6022.5"/>
    <n v="21681"/>
  </r>
  <r>
    <x v="0"/>
    <x v="0"/>
    <x v="1"/>
    <x v="0"/>
    <x v="0"/>
    <s v="DK2_Rural"/>
    <x v="5"/>
    <s v="GNR_BO_WOODCHI_E-110"/>
    <x v="0"/>
    <x v="8"/>
    <n v="1.4527555314404901"/>
    <n v="530.25576897577696"/>
    <n v="1908.9207683128"/>
  </r>
  <r>
    <x v="0"/>
    <x v="0"/>
    <x v="1"/>
    <x v="0"/>
    <x v="0"/>
    <s v="DK2_Rural"/>
    <x v="5"/>
    <s v="GNR_BO_WOODCHI_E-110"/>
    <x v="0"/>
    <x v="9"/>
    <n v="4.1172345143121998"/>
    <n v="1502.79059772395"/>
    <n v="5410.0461518062302"/>
  </r>
  <r>
    <x v="0"/>
    <x v="0"/>
    <x v="1"/>
    <x v="0"/>
    <x v="0"/>
    <s v="DK2_Rural"/>
    <x v="5"/>
    <s v="GNR_BO_WOODCHI_E-110"/>
    <x v="0"/>
    <x v="17"/>
    <n v="1.93720625559897"/>
    <n v="707.08028329362503"/>
    <n v="2545.4890198570502"/>
  </r>
  <r>
    <x v="0"/>
    <x v="0"/>
    <x v="1"/>
    <x v="0"/>
    <x v="0"/>
    <s v="DK2_Rural"/>
    <x v="5"/>
    <s v="GNR_BO_WOODCHI_E-110"/>
    <x v="0"/>
    <x v="18"/>
    <n v="2.4216569797574898"/>
    <n v="883.90479761148299"/>
    <n v="3182.0572714013401"/>
  </r>
  <r>
    <x v="0"/>
    <x v="0"/>
    <x v="1"/>
    <x v="0"/>
    <x v="0"/>
    <s v="DK2_Rural"/>
    <x v="5"/>
    <s v="GNR_BO_WOODCHI_E-110"/>
    <x v="0"/>
    <x v="19"/>
    <n v="1.93720625559897"/>
    <n v="707.08028329362503"/>
    <n v="2545.4890198570502"/>
  </r>
  <r>
    <x v="0"/>
    <x v="0"/>
    <x v="1"/>
    <x v="0"/>
    <x v="1"/>
    <s v="DK2_Large"/>
    <x v="1"/>
    <s v="GNR_ST_MSW_BP_E-27"/>
    <x v="0"/>
    <x v="17"/>
    <n v="67.036763525257697"/>
    <n v="24468.418686719098"/>
    <n v="88086.307272188598"/>
  </r>
  <r>
    <x v="0"/>
    <x v="0"/>
    <x v="1"/>
    <x v="0"/>
    <x v="1"/>
    <s v="DK2_Large"/>
    <x v="1"/>
    <s v="GNR_ST_MSW_BP_E-27"/>
    <x v="0"/>
    <x v="18"/>
    <n v="71.851851851852004"/>
    <n v="26225.925925926"/>
    <n v="94413.333333333503"/>
  </r>
  <r>
    <x v="0"/>
    <x v="0"/>
    <x v="1"/>
    <x v="0"/>
    <x v="1"/>
    <s v="DK2_Large"/>
    <x v="1"/>
    <s v="GNR_ST_MSW_BP_E-27"/>
    <x v="0"/>
    <x v="19"/>
    <n v="71.851851851852004"/>
    <n v="26225.925925926"/>
    <n v="94413.333333333503"/>
  </r>
  <r>
    <x v="0"/>
    <x v="0"/>
    <x v="1"/>
    <x v="0"/>
    <x v="1"/>
    <s v="DK2_Large"/>
    <x v="1"/>
    <s v="GNR_ST_MSW_BP_E-27"/>
    <x v="0"/>
    <x v="20"/>
    <n v="3.41911972526088"/>
    <n v="1247.97869972022"/>
    <n v="4492.7233189928002"/>
  </r>
  <r>
    <x v="0"/>
    <x v="0"/>
    <x v="1"/>
    <x v="0"/>
    <x v="1"/>
    <s v="DK2_Large"/>
    <x v="2"/>
    <s v="GNR_GEO_HEAT_HO"/>
    <x v="0"/>
    <x v="4"/>
    <n v="14"/>
    <n v="5110"/>
    <n v="18396"/>
  </r>
  <r>
    <x v="0"/>
    <x v="0"/>
    <x v="1"/>
    <x v="0"/>
    <x v="1"/>
    <s v="DK2_Large"/>
    <x v="2"/>
    <s v="GNR_GEO_HEAT_HO"/>
    <x v="0"/>
    <x v="5"/>
    <n v="14"/>
    <n v="5110"/>
    <n v="18396"/>
  </r>
  <r>
    <x v="0"/>
    <x v="0"/>
    <x v="1"/>
    <x v="0"/>
    <x v="1"/>
    <s v="DK2_Large"/>
    <x v="2"/>
    <s v="GNR_GEO_HEAT_HO"/>
    <x v="0"/>
    <x v="6"/>
    <n v="14"/>
    <n v="5110"/>
    <n v="18396"/>
  </r>
  <r>
    <x v="0"/>
    <x v="0"/>
    <x v="1"/>
    <x v="0"/>
    <x v="1"/>
    <s v="DK2_Large"/>
    <x v="2"/>
    <s v="GNR_GEO_HEAT_HO"/>
    <x v="0"/>
    <x v="7"/>
    <n v="14"/>
    <n v="5110"/>
    <n v="18396"/>
  </r>
  <r>
    <x v="0"/>
    <x v="0"/>
    <x v="1"/>
    <x v="0"/>
    <x v="1"/>
    <s v="DK2_Large"/>
    <x v="2"/>
    <s v="GNR_GEO_HEAT_HO"/>
    <x v="0"/>
    <x v="8"/>
    <n v="14"/>
    <n v="5110"/>
    <n v="18396"/>
  </r>
  <r>
    <x v="0"/>
    <x v="0"/>
    <x v="1"/>
    <x v="0"/>
    <x v="1"/>
    <s v="DK2_Large"/>
    <x v="2"/>
    <s v="GNR_GEO_HEAT_HO"/>
    <x v="0"/>
    <x v="9"/>
    <n v="14"/>
    <n v="5110"/>
    <n v="18396"/>
  </r>
  <r>
    <x v="0"/>
    <x v="0"/>
    <x v="1"/>
    <x v="0"/>
    <x v="1"/>
    <s v="DK2_Large"/>
    <x v="2"/>
    <s v="GNR_GEO_HEAT_HO"/>
    <x v="0"/>
    <x v="10"/>
    <n v="14"/>
    <n v="5110"/>
    <n v="18396"/>
  </r>
  <r>
    <x v="0"/>
    <x v="0"/>
    <x v="1"/>
    <x v="0"/>
    <x v="1"/>
    <s v="DK2_Large"/>
    <x v="2"/>
    <s v="GNR_GEO_HEAT_HO"/>
    <x v="0"/>
    <x v="13"/>
    <n v="14"/>
    <n v="5110"/>
    <n v="18396"/>
  </r>
  <r>
    <x v="0"/>
    <x v="0"/>
    <x v="1"/>
    <x v="0"/>
    <x v="1"/>
    <s v="DK2_Large"/>
    <x v="2"/>
    <s v="GNR_GEO_HEAT_HO"/>
    <x v="0"/>
    <x v="14"/>
    <n v="14"/>
    <n v="5110"/>
    <n v="18396"/>
  </r>
  <r>
    <x v="0"/>
    <x v="0"/>
    <x v="1"/>
    <x v="0"/>
    <x v="1"/>
    <s v="DK2_Large"/>
    <x v="2"/>
    <s v="GNR_GEO_HEAT_HO"/>
    <x v="0"/>
    <x v="15"/>
    <n v="14"/>
    <n v="5110"/>
    <n v="18396"/>
  </r>
  <r>
    <x v="0"/>
    <x v="0"/>
    <x v="1"/>
    <x v="0"/>
    <x v="1"/>
    <s v="DK2_Large"/>
    <x v="2"/>
    <s v="GNR_GEO_HEAT_HO"/>
    <x v="0"/>
    <x v="16"/>
    <n v="14"/>
    <n v="5110"/>
    <n v="18396"/>
  </r>
  <r>
    <x v="0"/>
    <x v="0"/>
    <x v="1"/>
    <x v="0"/>
    <x v="1"/>
    <s v="DK2_Large"/>
    <x v="2"/>
    <s v="GNR_GEO_HEAT_HO"/>
    <x v="0"/>
    <x v="17"/>
    <n v="14"/>
    <n v="5110"/>
    <n v="18396"/>
  </r>
  <r>
    <x v="0"/>
    <x v="0"/>
    <x v="1"/>
    <x v="0"/>
    <x v="1"/>
    <s v="DK2_Large"/>
    <x v="2"/>
    <s v="GNR_GEO_HEAT_HO"/>
    <x v="0"/>
    <x v="18"/>
    <n v="14"/>
    <n v="5110"/>
    <n v="18396"/>
  </r>
  <r>
    <x v="0"/>
    <x v="0"/>
    <x v="1"/>
    <x v="0"/>
    <x v="1"/>
    <s v="DK2_Large"/>
    <x v="2"/>
    <s v="GNR_GEO_HEAT_HO"/>
    <x v="0"/>
    <x v="19"/>
    <n v="14"/>
    <n v="5110"/>
    <n v="18396"/>
  </r>
  <r>
    <x v="0"/>
    <x v="0"/>
    <x v="1"/>
    <x v="0"/>
    <x v="1"/>
    <s v="DK2_Large"/>
    <x v="2"/>
    <s v="GNR_GEO_HEAT_HO"/>
    <x v="0"/>
    <x v="20"/>
    <n v="14"/>
    <n v="5110"/>
    <n v="18396"/>
  </r>
  <r>
    <x v="0"/>
    <x v="0"/>
    <x v="1"/>
    <x v="0"/>
    <x v="1"/>
    <s v="DK2_Large"/>
    <x v="2"/>
    <s v="GNR_GEO_HEAT_HO"/>
    <x v="0"/>
    <x v="21"/>
    <n v="14"/>
    <n v="5110"/>
    <n v="18396"/>
  </r>
  <r>
    <x v="0"/>
    <x v="0"/>
    <x v="1"/>
    <x v="0"/>
    <x v="1"/>
    <s v="DK2_Large"/>
    <x v="2"/>
    <s v="GNR_GEO_HEAT_HO"/>
    <x v="0"/>
    <x v="22"/>
    <n v="14"/>
    <n v="5110"/>
    <n v="18396"/>
  </r>
  <r>
    <x v="0"/>
    <x v="0"/>
    <x v="1"/>
    <x v="0"/>
    <x v="1"/>
    <s v="DK2_Large"/>
    <x v="9"/>
    <s v="GNR_BO_WOODWST_E-90"/>
    <x v="0"/>
    <x v="6"/>
    <n v="7.4"/>
    <n v="2701"/>
    <n v="9723.6"/>
  </r>
  <r>
    <x v="0"/>
    <x v="0"/>
    <x v="1"/>
    <x v="0"/>
    <x v="1"/>
    <s v="DK2_Large"/>
    <x v="9"/>
    <s v="GNR_BO_WOODWST_E-90"/>
    <x v="0"/>
    <x v="7"/>
    <n v="7.4"/>
    <n v="2701"/>
    <n v="9723.6"/>
  </r>
  <r>
    <x v="0"/>
    <x v="0"/>
    <x v="1"/>
    <x v="0"/>
    <x v="1"/>
    <s v="DK2_Large"/>
    <x v="9"/>
    <s v="GNR_BO_WOODWST_E-90"/>
    <x v="0"/>
    <x v="8"/>
    <n v="7.4"/>
    <n v="2701"/>
    <n v="9723.6"/>
  </r>
  <r>
    <x v="0"/>
    <x v="0"/>
    <x v="1"/>
    <x v="0"/>
    <x v="1"/>
    <s v="DK2_Large"/>
    <x v="9"/>
    <s v="GNR_BO_WOODWST_E-90"/>
    <x v="0"/>
    <x v="9"/>
    <n v="7.4"/>
    <n v="2701"/>
    <n v="9723.6"/>
  </r>
  <r>
    <x v="0"/>
    <x v="0"/>
    <x v="1"/>
    <x v="0"/>
    <x v="1"/>
    <s v="DK2_Large"/>
    <x v="9"/>
    <s v="GNR_BO_WOODWST_E-90"/>
    <x v="0"/>
    <x v="17"/>
    <n v="7.4"/>
    <n v="2701"/>
    <n v="9723.6"/>
  </r>
  <r>
    <x v="0"/>
    <x v="0"/>
    <x v="1"/>
    <x v="0"/>
    <x v="1"/>
    <s v="DK2_Large"/>
    <x v="9"/>
    <s v="GNR_BO_WOODWST_E-90"/>
    <x v="0"/>
    <x v="18"/>
    <n v="7.4"/>
    <n v="2701"/>
    <n v="9723.6"/>
  </r>
  <r>
    <x v="0"/>
    <x v="0"/>
    <x v="1"/>
    <x v="0"/>
    <x v="1"/>
    <s v="DK2_Large"/>
    <x v="9"/>
    <s v="GNR_BO_WOODWST_E-90"/>
    <x v="0"/>
    <x v="19"/>
    <n v="7.4"/>
    <n v="2701"/>
    <n v="9723.6"/>
  </r>
  <r>
    <x v="0"/>
    <x v="0"/>
    <x v="1"/>
    <x v="0"/>
    <x v="1"/>
    <s v="DK2_Large"/>
    <x v="9"/>
    <s v="GNR_BO_WOODWST_E-90"/>
    <x v="0"/>
    <x v="20"/>
    <n v="7.4"/>
    <n v="2701"/>
    <n v="9723.6"/>
  </r>
  <r>
    <x v="0"/>
    <x v="0"/>
    <x v="1"/>
    <x v="0"/>
    <x v="1"/>
    <s v="DK2_MedSmall"/>
    <x v="2"/>
    <s v="GNR_EH_HEAT"/>
    <x v="0"/>
    <x v="7"/>
    <n v="2"/>
    <n v="730"/>
    <n v="2628"/>
  </r>
  <r>
    <x v="0"/>
    <x v="0"/>
    <x v="1"/>
    <x v="0"/>
    <x v="1"/>
    <s v="DK2_MedSmall"/>
    <x v="2"/>
    <s v="GNR_EH_HEAT"/>
    <x v="0"/>
    <x v="8"/>
    <n v="2"/>
    <n v="730"/>
    <n v="2628"/>
  </r>
  <r>
    <x v="0"/>
    <x v="0"/>
    <x v="1"/>
    <x v="0"/>
    <x v="1"/>
    <s v="DK2_MedSmall"/>
    <x v="2"/>
    <s v="GNR_EH_HEAT"/>
    <x v="0"/>
    <x v="9"/>
    <n v="2"/>
    <n v="730"/>
    <n v="2628"/>
  </r>
  <r>
    <x v="0"/>
    <x v="0"/>
    <x v="1"/>
    <x v="0"/>
    <x v="1"/>
    <s v="DK2_MedSmall"/>
    <x v="2"/>
    <s v="GNR_EH_HEAT"/>
    <x v="0"/>
    <x v="10"/>
    <n v="2"/>
    <n v="730"/>
    <n v="2628"/>
  </r>
  <r>
    <x v="0"/>
    <x v="0"/>
    <x v="1"/>
    <x v="0"/>
    <x v="1"/>
    <s v="DK2_MedSmall"/>
    <x v="2"/>
    <s v="GNR_EH_HEAT"/>
    <x v="0"/>
    <x v="11"/>
    <n v="2"/>
    <n v="730"/>
    <n v="2628"/>
  </r>
  <r>
    <x v="0"/>
    <x v="0"/>
    <x v="1"/>
    <x v="0"/>
    <x v="1"/>
    <s v="DK2_MedSmall"/>
    <x v="2"/>
    <s v="GNR_EH_HEAT"/>
    <x v="0"/>
    <x v="12"/>
    <n v="2"/>
    <n v="730"/>
    <n v="2628"/>
  </r>
  <r>
    <x v="0"/>
    <x v="0"/>
    <x v="1"/>
    <x v="0"/>
    <x v="1"/>
    <s v="DK2_MedSmall"/>
    <x v="2"/>
    <s v="GNR_EH_HEAT"/>
    <x v="0"/>
    <x v="13"/>
    <n v="2"/>
    <n v="730"/>
    <n v="2628"/>
  </r>
  <r>
    <x v="0"/>
    <x v="0"/>
    <x v="1"/>
    <x v="0"/>
    <x v="1"/>
    <s v="DK2_MedSmall"/>
    <x v="2"/>
    <s v="GNR_EH_HEAT"/>
    <x v="0"/>
    <x v="14"/>
    <n v="2"/>
    <n v="730"/>
    <n v="2628"/>
  </r>
  <r>
    <x v="0"/>
    <x v="0"/>
    <x v="1"/>
    <x v="0"/>
    <x v="1"/>
    <s v="DK2_MedSmall"/>
    <x v="2"/>
    <s v="GNR_EH_HEAT"/>
    <x v="0"/>
    <x v="15"/>
    <n v="2"/>
    <n v="730"/>
    <n v="2628"/>
  </r>
  <r>
    <x v="0"/>
    <x v="0"/>
    <x v="1"/>
    <x v="0"/>
    <x v="1"/>
    <s v="DK2_MedSmall"/>
    <x v="2"/>
    <s v="GNR_EH_HEAT"/>
    <x v="0"/>
    <x v="16"/>
    <n v="2"/>
    <n v="730"/>
    <n v="2628"/>
  </r>
  <r>
    <x v="0"/>
    <x v="0"/>
    <x v="1"/>
    <x v="0"/>
    <x v="1"/>
    <s v="DK2_MedSmall"/>
    <x v="2"/>
    <s v="GNR_EH_HEAT"/>
    <x v="0"/>
    <x v="17"/>
    <n v="2"/>
    <n v="730"/>
    <n v="2628"/>
  </r>
  <r>
    <x v="0"/>
    <x v="0"/>
    <x v="1"/>
    <x v="0"/>
    <x v="1"/>
    <s v="DK2_MedSmall"/>
    <x v="2"/>
    <s v="GNR_EH_HEAT"/>
    <x v="0"/>
    <x v="18"/>
    <n v="2"/>
    <n v="730"/>
    <n v="2628"/>
  </r>
  <r>
    <x v="0"/>
    <x v="0"/>
    <x v="1"/>
    <x v="0"/>
    <x v="1"/>
    <s v="DK2_MedSmall"/>
    <x v="2"/>
    <s v="GNR_EH_HEAT"/>
    <x v="0"/>
    <x v="19"/>
    <n v="2"/>
    <n v="730"/>
    <n v="2628"/>
  </r>
  <r>
    <x v="0"/>
    <x v="0"/>
    <x v="1"/>
    <x v="0"/>
    <x v="1"/>
    <s v="DK2_MedSmall"/>
    <x v="2"/>
    <s v="GNR_EH_HEAT"/>
    <x v="0"/>
    <x v="20"/>
    <n v="2"/>
    <n v="730"/>
    <n v="2628"/>
  </r>
  <r>
    <x v="0"/>
    <x v="0"/>
    <x v="1"/>
    <x v="0"/>
    <x v="1"/>
    <s v="DK2_MedSmall"/>
    <x v="2"/>
    <s v="GNR_EH_HEAT"/>
    <x v="0"/>
    <x v="21"/>
    <n v="2"/>
    <n v="730"/>
    <n v="2628"/>
  </r>
  <r>
    <x v="0"/>
    <x v="0"/>
    <x v="1"/>
    <x v="0"/>
    <x v="1"/>
    <s v="DK2_MedSmall"/>
    <x v="2"/>
    <s v="GNR_EH_HEAT"/>
    <x v="0"/>
    <x v="22"/>
    <n v="2"/>
    <n v="730"/>
    <n v="2628"/>
  </r>
  <r>
    <x v="0"/>
    <x v="0"/>
    <x v="1"/>
    <x v="0"/>
    <x v="1"/>
    <s v="DK2_MedSmall"/>
    <x v="5"/>
    <s v="GNR_BO_WOODCHI_E-118"/>
    <x v="0"/>
    <x v="9"/>
    <n v="0.23156162412429601"/>
    <n v="84.519992805367906"/>
    <n v="304.27197409932398"/>
  </r>
  <r>
    <x v="0"/>
    <x v="0"/>
    <x v="1"/>
    <x v="0"/>
    <x v="1"/>
    <s v="DK2_MedSmall"/>
    <x v="5"/>
    <s v="GNR_BO_WOODCHI_E-118"/>
    <x v="0"/>
    <x v="11"/>
    <n v="3.8593604020705899E-2"/>
    <n v="14.086665467557699"/>
    <n v="50.711995683207597"/>
  </r>
  <r>
    <x v="0"/>
    <x v="0"/>
    <x v="1"/>
    <x v="0"/>
    <x v="1"/>
    <s v="DK2_MedSmall"/>
    <x v="5"/>
    <s v="GNR_BO_WOODCHI_E-118"/>
    <x v="0"/>
    <x v="17"/>
    <n v="0.84905928845575895"/>
    <n v="309.906640286352"/>
    <n v="1115.66390503087"/>
  </r>
  <r>
    <x v="0"/>
    <x v="0"/>
    <x v="1"/>
    <x v="0"/>
    <x v="1"/>
    <s v="DK2_MedSmall"/>
    <x v="5"/>
    <s v="GNR_BO_WOODCHI_E-118"/>
    <x v="0"/>
    <x v="18"/>
    <n v="1.0034337045386299"/>
    <n v="366.2533021566"/>
    <n v="1318.5118877637599"/>
  </r>
  <r>
    <x v="0"/>
    <x v="0"/>
    <x v="1"/>
    <x v="0"/>
    <x v="1"/>
    <s v="DK2_MedSmall"/>
    <x v="5"/>
    <s v="GNR_BO_WOODCHI_E-118"/>
    <x v="0"/>
    <x v="19"/>
    <n v="0.84905928845575895"/>
    <n v="309.906640286352"/>
    <n v="1115.66390503087"/>
  </r>
  <r>
    <x v="0"/>
    <x v="0"/>
    <x v="1"/>
    <x v="0"/>
    <x v="1"/>
    <s v="DK2_Medium"/>
    <x v="2"/>
    <s v="GNR_EH_HEAT"/>
    <x v="0"/>
    <x v="7"/>
    <n v="2"/>
    <n v="730"/>
    <n v="2628"/>
  </r>
  <r>
    <x v="0"/>
    <x v="0"/>
    <x v="1"/>
    <x v="0"/>
    <x v="1"/>
    <s v="DK2_Medium"/>
    <x v="2"/>
    <s v="GNR_EH_HEAT"/>
    <x v="0"/>
    <x v="8"/>
    <n v="2"/>
    <n v="730"/>
    <n v="2628"/>
  </r>
  <r>
    <x v="0"/>
    <x v="0"/>
    <x v="1"/>
    <x v="0"/>
    <x v="1"/>
    <s v="DK2_Medium"/>
    <x v="2"/>
    <s v="GNR_EH_HEAT"/>
    <x v="0"/>
    <x v="9"/>
    <n v="2"/>
    <n v="730"/>
    <n v="2628"/>
  </r>
  <r>
    <x v="0"/>
    <x v="0"/>
    <x v="1"/>
    <x v="0"/>
    <x v="1"/>
    <s v="DK2_Medium"/>
    <x v="2"/>
    <s v="GNR_EH_HEAT"/>
    <x v="0"/>
    <x v="10"/>
    <n v="2"/>
    <n v="730"/>
    <n v="2628"/>
  </r>
  <r>
    <x v="0"/>
    <x v="0"/>
    <x v="1"/>
    <x v="0"/>
    <x v="1"/>
    <s v="DK2_Medium"/>
    <x v="2"/>
    <s v="GNR_EH_HEAT"/>
    <x v="0"/>
    <x v="11"/>
    <n v="0.12821080584407701"/>
    <n v="46.796944133088097"/>
    <n v="168.46899887911701"/>
  </r>
  <r>
    <x v="0"/>
    <x v="0"/>
    <x v="1"/>
    <x v="0"/>
    <x v="1"/>
    <s v="DK2_Medium"/>
    <x v="2"/>
    <s v="GNR_EH_HEAT"/>
    <x v="0"/>
    <x v="12"/>
    <n v="2"/>
    <n v="730"/>
    <n v="2628"/>
  </r>
  <r>
    <x v="0"/>
    <x v="0"/>
    <x v="1"/>
    <x v="0"/>
    <x v="1"/>
    <s v="DK2_Medium"/>
    <x v="2"/>
    <s v="GNR_EH_HEAT"/>
    <x v="0"/>
    <x v="13"/>
    <n v="2"/>
    <n v="730"/>
    <n v="2628"/>
  </r>
  <r>
    <x v="0"/>
    <x v="0"/>
    <x v="1"/>
    <x v="0"/>
    <x v="1"/>
    <s v="DK2_Medium"/>
    <x v="2"/>
    <s v="GNR_EH_HEAT"/>
    <x v="0"/>
    <x v="14"/>
    <n v="2"/>
    <n v="730"/>
    <n v="2628"/>
  </r>
  <r>
    <x v="0"/>
    <x v="0"/>
    <x v="1"/>
    <x v="0"/>
    <x v="1"/>
    <s v="DK2_Medium"/>
    <x v="2"/>
    <s v="GNR_EH_HEAT"/>
    <x v="0"/>
    <x v="15"/>
    <n v="2"/>
    <n v="730"/>
    <n v="2628"/>
  </r>
  <r>
    <x v="0"/>
    <x v="0"/>
    <x v="1"/>
    <x v="0"/>
    <x v="1"/>
    <s v="DK2_Medium"/>
    <x v="2"/>
    <s v="GNR_EH_HEAT"/>
    <x v="0"/>
    <x v="16"/>
    <n v="2"/>
    <n v="730"/>
    <n v="2628"/>
  </r>
  <r>
    <x v="0"/>
    <x v="0"/>
    <x v="1"/>
    <x v="0"/>
    <x v="1"/>
    <s v="DK2_Medium"/>
    <x v="2"/>
    <s v="GNR_EH_HEAT"/>
    <x v="0"/>
    <x v="17"/>
    <n v="2"/>
    <n v="730"/>
    <n v="2628"/>
  </r>
  <r>
    <x v="0"/>
    <x v="0"/>
    <x v="1"/>
    <x v="0"/>
    <x v="1"/>
    <s v="DK2_Medium"/>
    <x v="2"/>
    <s v="GNR_EH_HEAT"/>
    <x v="0"/>
    <x v="18"/>
    <n v="2"/>
    <n v="730"/>
    <n v="2628"/>
  </r>
  <r>
    <x v="0"/>
    <x v="0"/>
    <x v="1"/>
    <x v="0"/>
    <x v="1"/>
    <s v="DK2_Medium"/>
    <x v="2"/>
    <s v="GNR_EH_HEAT"/>
    <x v="0"/>
    <x v="19"/>
    <n v="2"/>
    <n v="730"/>
    <n v="2628"/>
  </r>
  <r>
    <x v="0"/>
    <x v="0"/>
    <x v="1"/>
    <x v="0"/>
    <x v="1"/>
    <s v="DK2_Medium"/>
    <x v="2"/>
    <s v="GNR_EH_HEAT"/>
    <x v="0"/>
    <x v="20"/>
    <n v="2"/>
    <n v="730"/>
    <n v="2628"/>
  </r>
  <r>
    <x v="0"/>
    <x v="0"/>
    <x v="1"/>
    <x v="0"/>
    <x v="1"/>
    <s v="DK2_Medium"/>
    <x v="2"/>
    <s v="GNR_EH_HEAT"/>
    <x v="0"/>
    <x v="21"/>
    <n v="2"/>
    <n v="730"/>
    <n v="2628"/>
  </r>
  <r>
    <x v="0"/>
    <x v="0"/>
    <x v="1"/>
    <x v="0"/>
    <x v="1"/>
    <s v="DK2_Medium"/>
    <x v="2"/>
    <s v="GNR_EH_HEAT"/>
    <x v="0"/>
    <x v="22"/>
    <n v="2"/>
    <n v="730"/>
    <n v="2628"/>
  </r>
  <r>
    <x v="0"/>
    <x v="0"/>
    <x v="1"/>
    <x v="0"/>
    <x v="1"/>
    <s v="DK2_Medium"/>
    <x v="5"/>
    <s v="GNR_BO_WOODCHI_E-110"/>
    <x v="0"/>
    <x v="16"/>
    <n v="0.24308950573452101"/>
    <n v="88.727669593100003"/>
    <n v="319.41961053516002"/>
  </r>
  <r>
    <x v="0"/>
    <x v="0"/>
    <x v="1"/>
    <x v="0"/>
    <x v="1"/>
    <s v="DK2_Medium"/>
    <x v="5"/>
    <s v="GNR_BO_WOODCHI_E-110"/>
    <x v="0"/>
    <x v="17"/>
    <n v="4.8617901146906997"/>
    <n v="1774.5533918620999"/>
    <n v="6388.3922107035796"/>
  </r>
  <r>
    <x v="0"/>
    <x v="0"/>
    <x v="1"/>
    <x v="0"/>
    <x v="1"/>
    <s v="DK2_Medium"/>
    <x v="5"/>
    <s v="GNR_BO_WOODCHI_E-110"/>
    <x v="0"/>
    <x v="18"/>
    <n v="4.8617901146906997"/>
    <n v="1774.5533918620999"/>
    <n v="6388.3922107035796"/>
  </r>
  <r>
    <x v="0"/>
    <x v="0"/>
    <x v="1"/>
    <x v="0"/>
    <x v="1"/>
    <s v="DK2_Medium"/>
    <x v="5"/>
    <s v="GNR_BO_WOODCHI_E-110"/>
    <x v="0"/>
    <x v="19"/>
    <n v="3.4032530802835002"/>
    <n v="1242.1873743034801"/>
    <n v="4471.8745474925099"/>
  </r>
  <r>
    <x v="0"/>
    <x v="0"/>
    <x v="1"/>
    <x v="0"/>
    <x v="1"/>
    <s v="DK2_Medium"/>
    <x v="5"/>
    <s v="GNR_BO_WOODCHI_E-110"/>
    <x v="0"/>
    <x v="20"/>
    <n v="0.486179011469067"/>
    <n v="177.45533918621001"/>
    <n v="638.83922107035403"/>
  </r>
  <r>
    <x v="0"/>
    <x v="0"/>
    <x v="1"/>
    <x v="0"/>
    <x v="1"/>
    <s v="DK2_NoDH"/>
    <x v="6"/>
    <s v="GNR_PV_SUN"/>
    <x v="0"/>
    <x v="6"/>
    <n v="1.36765973092062"/>
    <n v="499.19580178602502"/>
    <n v="1797.1048864296899"/>
  </r>
  <r>
    <x v="0"/>
    <x v="0"/>
    <x v="1"/>
    <x v="0"/>
    <x v="1"/>
    <s v="DK2_NoDH"/>
    <x v="6"/>
    <s v="GNR_PV_SUN"/>
    <x v="0"/>
    <x v="7"/>
    <n v="14.5874004917129"/>
    <n v="5324.4011794751896"/>
    <n v="19167.844246110701"/>
  </r>
  <r>
    <x v="0"/>
    <x v="0"/>
    <x v="1"/>
    <x v="0"/>
    <x v="1"/>
    <s v="DK2_NoDH"/>
    <x v="6"/>
    <s v="GNR_PV_SUN"/>
    <x v="0"/>
    <x v="8"/>
    <n v="42.569136603484402"/>
    <n v="15537.734860271799"/>
    <n v="55935.845496978502"/>
  </r>
  <r>
    <x v="0"/>
    <x v="0"/>
    <x v="1"/>
    <x v="0"/>
    <x v="1"/>
    <s v="DK2_NoDH"/>
    <x v="6"/>
    <s v="GNR_PV_SUN"/>
    <x v="0"/>
    <x v="9"/>
    <n v="69.497483731014995"/>
    <n v="25366.581561820502"/>
    <n v="91319.693622553707"/>
  </r>
  <r>
    <x v="0"/>
    <x v="0"/>
    <x v="1"/>
    <x v="0"/>
    <x v="1"/>
    <s v="DK2_NoDH"/>
    <x v="6"/>
    <s v="GNR_PV_SUN"/>
    <x v="0"/>
    <x v="10"/>
    <n v="92.622572840857799"/>
    <n v="33807.239086913098"/>
    <n v="121706.060712887"/>
  </r>
  <r>
    <x v="0"/>
    <x v="0"/>
    <x v="1"/>
    <x v="0"/>
    <x v="1"/>
    <s v="DK2_NoDH"/>
    <x v="6"/>
    <s v="GNR_PV_SUN"/>
    <x v="0"/>
    <x v="11"/>
    <n v="107.431126820975"/>
    <n v="39212.361289655797"/>
    <n v="141164.50064276101"/>
  </r>
  <r>
    <x v="0"/>
    <x v="0"/>
    <x v="1"/>
    <x v="0"/>
    <x v="1"/>
    <s v="DK2_NoDH"/>
    <x v="6"/>
    <s v="GNR_PV_SUN"/>
    <x v="0"/>
    <x v="12"/>
    <n v="113.62924432493401"/>
    <n v="41474.674178601002"/>
    <n v="149308.827042964"/>
  </r>
  <r>
    <x v="0"/>
    <x v="0"/>
    <x v="1"/>
    <x v="0"/>
    <x v="1"/>
    <s v="DK2_NoDH"/>
    <x v="6"/>
    <s v="GNR_PV_SUN"/>
    <x v="0"/>
    <x v="13"/>
    <n v="114.27524530421999"/>
    <n v="41710.464536040403"/>
    <n v="150157.67232974499"/>
  </r>
  <r>
    <x v="0"/>
    <x v="0"/>
    <x v="1"/>
    <x v="0"/>
    <x v="1"/>
    <s v="DK2_NoDH"/>
    <x v="6"/>
    <s v="GNR_PV_SUN"/>
    <x v="0"/>
    <x v="14"/>
    <n v="98.378383368008798"/>
    <n v="35908.109929323196"/>
    <n v="129269.19574556399"/>
  </r>
  <r>
    <x v="0"/>
    <x v="0"/>
    <x v="1"/>
    <x v="0"/>
    <x v="1"/>
    <s v="DK2_NoDH"/>
    <x v="6"/>
    <s v="GNR_PV_SUN"/>
    <x v="0"/>
    <x v="15"/>
    <n v="74.467617391466902"/>
    <n v="27180.680347885402"/>
    <n v="97850.449252387596"/>
  </r>
  <r>
    <x v="0"/>
    <x v="0"/>
    <x v="1"/>
    <x v="0"/>
    <x v="1"/>
    <s v="DK2_NoDH"/>
    <x v="6"/>
    <s v="GNR_PV_SUN"/>
    <x v="0"/>
    <x v="16"/>
    <n v="47.449062919981998"/>
    <n v="17318.907965793402"/>
    <n v="62348.068676856397"/>
  </r>
  <r>
    <x v="0"/>
    <x v="0"/>
    <x v="1"/>
    <x v="0"/>
    <x v="1"/>
    <s v="DK2_NoDH"/>
    <x v="6"/>
    <s v="GNR_PV_SUN"/>
    <x v="0"/>
    <x v="17"/>
    <n v="18.021099390619899"/>
    <n v="6577.7012775762796"/>
    <n v="23679.724599274599"/>
  </r>
  <r>
    <x v="0"/>
    <x v="0"/>
    <x v="1"/>
    <x v="0"/>
    <x v="1"/>
    <s v="DK2_NoDH"/>
    <x v="6"/>
    <s v="GNR_PV_SUN"/>
    <x v="0"/>
    <x v="18"/>
    <n v="1.4753265608016"/>
    <n v="538.49419469258396"/>
    <n v="1938.5791008932999"/>
  </r>
  <r>
    <x v="0"/>
    <x v="0"/>
    <x v="1"/>
    <x v="0"/>
    <x v="1"/>
    <s v="DK2_NoDH"/>
    <x v="7"/>
    <s v="GNR_ROR_WTR"/>
    <x v="0"/>
    <x v="0"/>
    <n v="9.1702066984432305E-3"/>
    <n v="3.34712544493178"/>
    <n v="12.0496516017544"/>
  </r>
  <r>
    <x v="0"/>
    <x v="0"/>
    <x v="1"/>
    <x v="0"/>
    <x v="1"/>
    <s v="DK2_NoDH"/>
    <x v="7"/>
    <s v="GNR_ROR_WTR"/>
    <x v="0"/>
    <x v="1"/>
    <n v="9.1702066984432305E-3"/>
    <n v="3.34712544493178"/>
    <n v="12.0496516017544"/>
  </r>
  <r>
    <x v="0"/>
    <x v="0"/>
    <x v="1"/>
    <x v="0"/>
    <x v="1"/>
    <s v="DK2_NoDH"/>
    <x v="7"/>
    <s v="GNR_ROR_WTR"/>
    <x v="0"/>
    <x v="2"/>
    <n v="9.1702066984432305E-3"/>
    <n v="3.34712544493178"/>
    <n v="12.0496516017544"/>
  </r>
  <r>
    <x v="0"/>
    <x v="0"/>
    <x v="1"/>
    <x v="0"/>
    <x v="1"/>
    <s v="DK2_NoDH"/>
    <x v="7"/>
    <s v="GNR_ROR_WTR"/>
    <x v="0"/>
    <x v="3"/>
    <n v="9.1702066984432305E-3"/>
    <n v="3.34712544493178"/>
    <n v="12.0496516017544"/>
  </r>
  <r>
    <x v="0"/>
    <x v="0"/>
    <x v="1"/>
    <x v="0"/>
    <x v="1"/>
    <s v="DK2_NoDH"/>
    <x v="7"/>
    <s v="GNR_ROR_WTR"/>
    <x v="0"/>
    <x v="4"/>
    <n v="9.1702066984432305E-3"/>
    <n v="3.34712544493178"/>
    <n v="12.0496516017544"/>
  </r>
  <r>
    <x v="0"/>
    <x v="0"/>
    <x v="1"/>
    <x v="0"/>
    <x v="1"/>
    <s v="DK2_NoDH"/>
    <x v="7"/>
    <s v="GNR_ROR_WTR"/>
    <x v="0"/>
    <x v="5"/>
    <n v="9.1702066984432305E-3"/>
    <n v="3.34712544493178"/>
    <n v="12.0496516017544"/>
  </r>
  <r>
    <x v="0"/>
    <x v="0"/>
    <x v="1"/>
    <x v="0"/>
    <x v="1"/>
    <s v="DK2_NoDH"/>
    <x v="7"/>
    <s v="GNR_ROR_WTR"/>
    <x v="0"/>
    <x v="6"/>
    <n v="9.1702066984432305E-3"/>
    <n v="3.34712544493178"/>
    <n v="12.0496516017544"/>
  </r>
  <r>
    <x v="0"/>
    <x v="0"/>
    <x v="1"/>
    <x v="0"/>
    <x v="1"/>
    <s v="DK2_NoDH"/>
    <x v="7"/>
    <s v="GNR_ROR_WTR"/>
    <x v="0"/>
    <x v="7"/>
    <n v="9.1702066984432305E-3"/>
    <n v="3.34712544493178"/>
    <n v="12.0496516017544"/>
  </r>
  <r>
    <x v="0"/>
    <x v="0"/>
    <x v="1"/>
    <x v="0"/>
    <x v="1"/>
    <s v="DK2_NoDH"/>
    <x v="7"/>
    <s v="GNR_ROR_WTR"/>
    <x v="0"/>
    <x v="8"/>
    <n v="9.1702066984432305E-3"/>
    <n v="3.34712544493178"/>
    <n v="12.0496516017544"/>
  </r>
  <r>
    <x v="0"/>
    <x v="0"/>
    <x v="1"/>
    <x v="0"/>
    <x v="1"/>
    <s v="DK2_NoDH"/>
    <x v="7"/>
    <s v="GNR_ROR_WTR"/>
    <x v="0"/>
    <x v="9"/>
    <n v="9.1702066984432305E-3"/>
    <n v="3.34712544493178"/>
    <n v="12.0496516017544"/>
  </r>
  <r>
    <x v="0"/>
    <x v="0"/>
    <x v="1"/>
    <x v="0"/>
    <x v="1"/>
    <s v="DK2_NoDH"/>
    <x v="7"/>
    <s v="GNR_ROR_WTR"/>
    <x v="0"/>
    <x v="10"/>
    <n v="9.1702066984432305E-3"/>
    <n v="3.34712544493178"/>
    <n v="12.0496516017544"/>
  </r>
  <r>
    <x v="0"/>
    <x v="0"/>
    <x v="1"/>
    <x v="0"/>
    <x v="1"/>
    <s v="DK2_NoDH"/>
    <x v="7"/>
    <s v="GNR_ROR_WTR"/>
    <x v="0"/>
    <x v="11"/>
    <n v="9.1702066984432305E-3"/>
    <n v="3.34712544493178"/>
    <n v="12.0496516017544"/>
  </r>
  <r>
    <x v="0"/>
    <x v="0"/>
    <x v="1"/>
    <x v="0"/>
    <x v="1"/>
    <s v="DK2_NoDH"/>
    <x v="7"/>
    <s v="GNR_ROR_WTR"/>
    <x v="0"/>
    <x v="12"/>
    <n v="9.1702066984432305E-3"/>
    <n v="3.34712544493178"/>
    <n v="12.0496516017544"/>
  </r>
  <r>
    <x v="0"/>
    <x v="0"/>
    <x v="1"/>
    <x v="0"/>
    <x v="1"/>
    <s v="DK2_NoDH"/>
    <x v="7"/>
    <s v="GNR_ROR_WTR"/>
    <x v="0"/>
    <x v="13"/>
    <n v="9.1702066984432305E-3"/>
    <n v="3.34712544493178"/>
    <n v="12.0496516017544"/>
  </r>
  <r>
    <x v="0"/>
    <x v="0"/>
    <x v="1"/>
    <x v="0"/>
    <x v="1"/>
    <s v="DK2_NoDH"/>
    <x v="7"/>
    <s v="GNR_ROR_WTR"/>
    <x v="0"/>
    <x v="14"/>
    <n v="9.1702066984432305E-3"/>
    <n v="3.34712544493178"/>
    <n v="12.0496516017544"/>
  </r>
  <r>
    <x v="0"/>
    <x v="0"/>
    <x v="1"/>
    <x v="0"/>
    <x v="1"/>
    <s v="DK2_NoDH"/>
    <x v="7"/>
    <s v="GNR_ROR_WTR"/>
    <x v="0"/>
    <x v="15"/>
    <n v="9.1702066984432305E-3"/>
    <n v="3.34712544493178"/>
    <n v="12.0496516017544"/>
  </r>
  <r>
    <x v="0"/>
    <x v="0"/>
    <x v="1"/>
    <x v="0"/>
    <x v="1"/>
    <s v="DK2_NoDH"/>
    <x v="7"/>
    <s v="GNR_ROR_WTR"/>
    <x v="0"/>
    <x v="16"/>
    <n v="9.1702066984432305E-3"/>
    <n v="3.34712544493178"/>
    <n v="12.0496516017544"/>
  </r>
  <r>
    <x v="0"/>
    <x v="0"/>
    <x v="1"/>
    <x v="0"/>
    <x v="1"/>
    <s v="DK2_NoDH"/>
    <x v="7"/>
    <s v="GNR_ROR_WTR"/>
    <x v="0"/>
    <x v="17"/>
    <n v="9.1702066984432305E-3"/>
    <n v="3.34712544493178"/>
    <n v="12.0496516017544"/>
  </r>
  <r>
    <x v="0"/>
    <x v="0"/>
    <x v="1"/>
    <x v="0"/>
    <x v="1"/>
    <s v="DK2_NoDH"/>
    <x v="7"/>
    <s v="GNR_ROR_WTR"/>
    <x v="0"/>
    <x v="18"/>
    <n v="9.1702066984432305E-3"/>
    <n v="3.34712544493178"/>
    <n v="12.0496516017544"/>
  </r>
  <r>
    <x v="0"/>
    <x v="0"/>
    <x v="1"/>
    <x v="0"/>
    <x v="1"/>
    <s v="DK2_NoDH"/>
    <x v="7"/>
    <s v="GNR_ROR_WTR"/>
    <x v="0"/>
    <x v="19"/>
    <n v="9.1702066984432305E-3"/>
    <n v="3.34712544493178"/>
    <n v="12.0496516017544"/>
  </r>
  <r>
    <x v="0"/>
    <x v="0"/>
    <x v="1"/>
    <x v="0"/>
    <x v="1"/>
    <s v="DK2_NoDH"/>
    <x v="7"/>
    <s v="GNR_ROR_WTR"/>
    <x v="0"/>
    <x v="20"/>
    <n v="9.1702066984432305E-3"/>
    <n v="3.34712544493178"/>
    <n v="12.0496516017544"/>
  </r>
  <r>
    <x v="0"/>
    <x v="0"/>
    <x v="1"/>
    <x v="0"/>
    <x v="1"/>
    <s v="DK2_NoDH"/>
    <x v="7"/>
    <s v="GNR_ROR_WTR"/>
    <x v="0"/>
    <x v="21"/>
    <n v="9.1702066984432305E-3"/>
    <n v="3.34712544493178"/>
    <n v="12.0496516017544"/>
  </r>
  <r>
    <x v="0"/>
    <x v="0"/>
    <x v="1"/>
    <x v="0"/>
    <x v="1"/>
    <s v="DK2_NoDH"/>
    <x v="7"/>
    <s v="GNR_ROR_WTR"/>
    <x v="0"/>
    <x v="22"/>
    <n v="9.1702066984432305E-3"/>
    <n v="3.34712544493178"/>
    <n v="12.0496516017544"/>
  </r>
  <r>
    <x v="0"/>
    <x v="0"/>
    <x v="1"/>
    <x v="0"/>
    <x v="1"/>
    <s v="DK2_NoDH"/>
    <x v="7"/>
    <s v="GNR_ROR_WTR"/>
    <x v="0"/>
    <x v="23"/>
    <n v="9.1702066984432305E-3"/>
    <n v="3.34712544493178"/>
    <n v="12.0496516017544"/>
  </r>
  <r>
    <x v="0"/>
    <x v="0"/>
    <x v="1"/>
    <x v="0"/>
    <x v="1"/>
    <s v="DK2_NoDH"/>
    <x v="8"/>
    <s v="GNR_WT_WIND_ONS"/>
    <x v="0"/>
    <x v="0"/>
    <n v="84.591461297541898"/>
    <n v="30875.883373602799"/>
    <n v="111153.18014497"/>
  </r>
  <r>
    <x v="0"/>
    <x v="0"/>
    <x v="1"/>
    <x v="0"/>
    <x v="1"/>
    <s v="DK2_NoDH"/>
    <x v="8"/>
    <s v="GNR_WT_WIND_ONS"/>
    <x v="0"/>
    <x v="1"/>
    <n v="86.449044062521693"/>
    <n v="31553.901082820401"/>
    <n v="113594.04389815401"/>
  </r>
  <r>
    <x v="0"/>
    <x v="0"/>
    <x v="1"/>
    <x v="0"/>
    <x v="1"/>
    <s v="DK2_NoDH"/>
    <x v="8"/>
    <s v="GNR_WT_WIND_ONS"/>
    <x v="0"/>
    <x v="2"/>
    <n v="88.735299773266107"/>
    <n v="32388.384417242101"/>
    <n v="116598.18390207201"/>
  </r>
  <r>
    <x v="0"/>
    <x v="0"/>
    <x v="1"/>
    <x v="0"/>
    <x v="1"/>
    <s v="DK2_NoDH"/>
    <x v="8"/>
    <s v="GNR_WT_WIND_ONS"/>
    <x v="0"/>
    <x v="3"/>
    <n v="85.020134243306501"/>
    <n v="31032.348998806901"/>
    <n v="111716.456395705"/>
  </r>
  <r>
    <x v="0"/>
    <x v="0"/>
    <x v="1"/>
    <x v="0"/>
    <x v="1"/>
    <s v="DK2_NoDH"/>
    <x v="8"/>
    <s v="GNR_WT_WIND_ONS"/>
    <x v="0"/>
    <x v="4"/>
    <n v="100.30946930891"/>
    <n v="36612.956297752004"/>
    <n v="131806.642671907"/>
  </r>
  <r>
    <x v="0"/>
    <x v="0"/>
    <x v="1"/>
    <x v="0"/>
    <x v="1"/>
    <s v="DK2_NoDH"/>
    <x v="8"/>
    <s v="GNR_WT_WIND_ONS"/>
    <x v="0"/>
    <x v="5"/>
    <n v="110.883401971102"/>
    <n v="40472.441719452298"/>
    <n v="145700.790190028"/>
  </r>
  <r>
    <x v="0"/>
    <x v="0"/>
    <x v="1"/>
    <x v="0"/>
    <x v="1"/>
    <s v="DK2_NoDH"/>
    <x v="8"/>
    <s v="GNR_WT_WIND_ONS"/>
    <x v="0"/>
    <x v="6"/>
    <n v="117.45638713949199"/>
    <n v="42871.581305914697"/>
    <n v="154337.69270129301"/>
  </r>
  <r>
    <x v="0"/>
    <x v="0"/>
    <x v="1"/>
    <x v="0"/>
    <x v="1"/>
    <s v="DK2_NoDH"/>
    <x v="8"/>
    <s v="GNR_WT_WIND_ONS"/>
    <x v="0"/>
    <x v="7"/>
    <n v="126.744300964391"/>
    <n v="46261.6698520028"/>
    <n v="166542.01146720999"/>
  </r>
  <r>
    <x v="0"/>
    <x v="0"/>
    <x v="1"/>
    <x v="0"/>
    <x v="1"/>
    <s v="DK2_NoDH"/>
    <x v="8"/>
    <s v="GNR_WT_WIND_ONS"/>
    <x v="0"/>
    <x v="8"/>
    <n v="131.60259434972301"/>
    <n v="48034.946937649001"/>
    <n v="172925.808975536"/>
  </r>
  <r>
    <x v="0"/>
    <x v="0"/>
    <x v="1"/>
    <x v="0"/>
    <x v="1"/>
    <s v="DK2_NoDH"/>
    <x v="8"/>
    <s v="GNR_WT_WIND_ONS"/>
    <x v="0"/>
    <x v="9"/>
    <n v="130.745248458194"/>
    <n v="47722.015687240797"/>
    <n v="171799.25647406699"/>
  </r>
  <r>
    <x v="0"/>
    <x v="0"/>
    <x v="1"/>
    <x v="0"/>
    <x v="1"/>
    <s v="DK2_NoDH"/>
    <x v="8"/>
    <s v="GNR_WT_WIND_ONS"/>
    <x v="0"/>
    <x v="10"/>
    <n v="127.03008292823399"/>
    <n v="46365.980268805601"/>
    <n v="166917.5289677"/>
  </r>
  <r>
    <x v="0"/>
    <x v="0"/>
    <x v="1"/>
    <x v="0"/>
    <x v="1"/>
    <s v="DK2_NoDH"/>
    <x v="8"/>
    <s v="GNR_WT_WIND_ONS"/>
    <x v="0"/>
    <x v="11"/>
    <n v="118.02795106717799"/>
    <n v="43080.202139520101"/>
    <n v="155088.72770227201"/>
  </r>
  <r>
    <x v="0"/>
    <x v="0"/>
    <x v="1"/>
    <x v="0"/>
    <x v="1"/>
    <s v="DK2_NoDH"/>
    <x v="8"/>
    <s v="GNR_WT_WIND_ONS"/>
    <x v="0"/>
    <x v="12"/>
    <n v="106.453781531535"/>
    <n v="38855.630259010301"/>
    <n v="139880.268932437"/>
  </r>
  <r>
    <x v="0"/>
    <x v="0"/>
    <x v="1"/>
    <x v="0"/>
    <x v="1"/>
    <s v="DK2_NoDH"/>
    <x v="8"/>
    <s v="GNR_WT_WIND_ONS"/>
    <x v="0"/>
    <x v="13"/>
    <n v="90.021318610559803"/>
    <n v="32857.781292854299"/>
    <n v="118288.012654276"/>
  </r>
  <r>
    <x v="0"/>
    <x v="0"/>
    <x v="1"/>
    <x v="0"/>
    <x v="1"/>
    <s v="DK2_NoDH"/>
    <x v="8"/>
    <s v="GNR_WT_WIND_ONS"/>
    <x v="0"/>
    <x v="14"/>
    <n v="78.590040056837907"/>
    <n v="28685.3646207458"/>
    <n v="103267.312634685"/>
  </r>
  <r>
    <x v="0"/>
    <x v="0"/>
    <x v="1"/>
    <x v="0"/>
    <x v="1"/>
    <s v="DK2_NoDH"/>
    <x v="8"/>
    <s v="GNR_WT_WIND_ONS"/>
    <x v="0"/>
    <x v="15"/>
    <n v="88.020844863658496"/>
    <n v="32127.608375235399"/>
    <n v="115659.390150847"/>
  </r>
  <r>
    <x v="0"/>
    <x v="0"/>
    <x v="1"/>
    <x v="0"/>
    <x v="1"/>
    <s v="DK2_NoDH"/>
    <x v="8"/>
    <s v="GNR_WT_WIND_ONS"/>
    <x v="0"/>
    <x v="16"/>
    <n v="97.880322616243603"/>
    <n v="35726.317754928903"/>
    <n v="128614.743917744"/>
  </r>
  <r>
    <x v="0"/>
    <x v="0"/>
    <x v="1"/>
    <x v="0"/>
    <x v="1"/>
    <s v="DK2_NoDH"/>
    <x v="8"/>
    <s v="GNR_WT_WIND_ONS"/>
    <x v="0"/>
    <x v="17"/>
    <n v="98.451886543929703"/>
    <n v="35934.9385885343"/>
    <n v="129365.778918724"/>
  </r>
  <r>
    <x v="0"/>
    <x v="0"/>
    <x v="1"/>
    <x v="0"/>
    <x v="1"/>
    <s v="DK2_NoDH"/>
    <x v="8"/>
    <s v="GNR_WT_WIND_ONS"/>
    <x v="0"/>
    <x v="18"/>
    <n v="82.733878532562102"/>
    <n v="30197.865664385201"/>
    <n v="108712.316391787"/>
  </r>
  <r>
    <x v="0"/>
    <x v="0"/>
    <x v="1"/>
    <x v="0"/>
    <x v="1"/>
    <s v="DK2_NoDH"/>
    <x v="8"/>
    <s v="GNR_WT_WIND_ONS"/>
    <x v="0"/>
    <x v="19"/>
    <n v="71.302599978840206"/>
    <n v="26025.448992276699"/>
    <n v="93691.616372196106"/>
  </r>
  <r>
    <x v="0"/>
    <x v="0"/>
    <x v="1"/>
    <x v="0"/>
    <x v="1"/>
    <s v="DK2_NoDH"/>
    <x v="8"/>
    <s v="GNR_WT_WIND_ONS"/>
    <x v="0"/>
    <x v="20"/>
    <n v="59.299757497432303"/>
    <n v="21644.4114865628"/>
    <n v="77919.881351625998"/>
  </r>
  <r>
    <x v="0"/>
    <x v="0"/>
    <x v="1"/>
    <x v="0"/>
    <x v="1"/>
    <s v="DK2_NoDH"/>
    <x v="8"/>
    <s v="GNR_WT_WIND_ONS"/>
    <x v="0"/>
    <x v="21"/>
    <n v="55.727482949394201"/>
    <n v="20340.531276528902"/>
    <n v="73225.912595503905"/>
  </r>
  <r>
    <x v="0"/>
    <x v="0"/>
    <x v="1"/>
    <x v="0"/>
    <x v="1"/>
    <s v="DK2_NoDH"/>
    <x v="8"/>
    <s v="GNR_WT_WIND_ONS"/>
    <x v="0"/>
    <x v="22"/>
    <n v="65.015396774293194"/>
    <n v="23730.619822617002"/>
    <n v="85430.231361421305"/>
  </r>
  <r>
    <x v="0"/>
    <x v="0"/>
    <x v="1"/>
    <x v="0"/>
    <x v="1"/>
    <s v="DK2_NoDH"/>
    <x v="8"/>
    <s v="GNR_WT_WIND_ONS"/>
    <x v="0"/>
    <x v="23"/>
    <n v="74.589092563035294"/>
    <n v="27225.018785507898"/>
    <n v="98010.067627828394"/>
  </r>
  <r>
    <x v="0"/>
    <x v="0"/>
    <x v="1"/>
    <x v="0"/>
    <x v="1"/>
    <s v="DK2_Offshore"/>
    <x v="8"/>
    <s v="GNR_WT_WIND_OFF"/>
    <x v="0"/>
    <x v="0"/>
    <n v="374.157679266608"/>
    <n v="136567.55293231201"/>
    <n v="491643.19055632298"/>
  </r>
  <r>
    <x v="0"/>
    <x v="0"/>
    <x v="1"/>
    <x v="0"/>
    <x v="1"/>
    <s v="DK2_Offshore"/>
    <x v="8"/>
    <s v="GNR_WT_WIND_OFF"/>
    <x v="0"/>
    <x v="1"/>
    <n v="382.37397965590901"/>
    <n v="139566.502574407"/>
    <n v="502439.40926786402"/>
  </r>
  <r>
    <x v="0"/>
    <x v="0"/>
    <x v="1"/>
    <x v="0"/>
    <x v="1"/>
    <s v="DK2_Offshore"/>
    <x v="8"/>
    <s v="GNR_WT_WIND_OFF"/>
    <x v="0"/>
    <x v="2"/>
    <n v="392.48634936581698"/>
    <n v="143257.517518523"/>
    <n v="515727.06306668301"/>
  </r>
  <r>
    <x v="0"/>
    <x v="0"/>
    <x v="1"/>
    <x v="0"/>
    <x v="1"/>
    <s v="DK2_Offshore"/>
    <x v="8"/>
    <s v="GNR_WT_WIND_OFF"/>
    <x v="0"/>
    <x v="3"/>
    <n v="376.05374858721598"/>
    <n v="137259.61823433399"/>
    <n v="494134.62564360199"/>
  </r>
  <r>
    <x v="0"/>
    <x v="0"/>
    <x v="1"/>
    <x v="0"/>
    <x v="1"/>
    <s v="DK2_Offshore"/>
    <x v="8"/>
    <s v="GNR_WT_WIND_OFF"/>
    <x v="0"/>
    <x v="4"/>
    <n v="443.68022102222801"/>
    <n v="161943.28067311301"/>
    <n v="582995.810423207"/>
  </r>
  <r>
    <x v="0"/>
    <x v="0"/>
    <x v="1"/>
    <x v="0"/>
    <x v="1"/>
    <s v="DK2_Offshore"/>
    <x v="8"/>
    <s v="GNR_WT_WIND_OFF"/>
    <x v="0"/>
    <x v="5"/>
    <n v="490.44993093055399"/>
    <n v="179014.22478965201"/>
    <n v="644451.20924274798"/>
  </r>
  <r>
    <x v="0"/>
    <x v="0"/>
    <x v="1"/>
    <x v="0"/>
    <x v="1"/>
    <s v="DK2_Offshore"/>
    <x v="8"/>
    <s v="GNR_WT_WIND_OFF"/>
    <x v="0"/>
    <x v="6"/>
    <n v="519.52299384653998"/>
    <n v="189625.89275398699"/>
    <n v="682653.21391435398"/>
  </r>
  <r>
    <x v="0"/>
    <x v="0"/>
    <x v="1"/>
    <x v="0"/>
    <x v="1"/>
    <s v="DK2_Offshore"/>
    <x v="8"/>
    <s v="GNR_WT_WIND_OFF"/>
    <x v="0"/>
    <x v="7"/>
    <n v="560.60449579304304"/>
    <n v="204620.640964461"/>
    <n v="736634.30747205799"/>
  </r>
  <r>
    <x v="0"/>
    <x v="0"/>
    <x v="1"/>
    <x v="0"/>
    <x v="1"/>
    <s v="DK2_Offshore"/>
    <x v="8"/>
    <s v="GNR_WT_WIND_OFF"/>
    <x v="0"/>
    <x v="8"/>
    <n v="582.09328142659797"/>
    <n v="212464.04772070801"/>
    <n v="764870.57179455005"/>
  </r>
  <r>
    <x v="0"/>
    <x v="0"/>
    <x v="1"/>
    <x v="0"/>
    <x v="1"/>
    <s v="DK2_Offshore"/>
    <x v="8"/>
    <s v="GNR_WT_WIND_OFF"/>
    <x v="0"/>
    <x v="9"/>
    <n v="578.30114278538201"/>
    <n v="211079.91711666499"/>
    <n v="759887.70161999203"/>
  </r>
  <r>
    <x v="0"/>
    <x v="0"/>
    <x v="1"/>
    <x v="0"/>
    <x v="1"/>
    <s v="DK2_Offshore"/>
    <x v="8"/>
    <s v="GNR_WT_WIND_OFF"/>
    <x v="0"/>
    <x v="10"/>
    <n v="561.86854200678101"/>
    <n v="205082.01783247499"/>
    <n v="738295.26419691101"/>
  </r>
  <r>
    <x v="0"/>
    <x v="0"/>
    <x v="1"/>
    <x v="0"/>
    <x v="1"/>
    <s v="DK2_Offshore"/>
    <x v="8"/>
    <s v="GNR_WT_WIND_OFF"/>
    <x v="0"/>
    <x v="11"/>
    <n v="522.05108627401705"/>
    <n v="190548.64649001599"/>
    <n v="685975.12736405898"/>
  </r>
  <r>
    <x v="0"/>
    <x v="0"/>
    <x v="1"/>
    <x v="0"/>
    <x v="1"/>
    <s v="DK2_Offshore"/>
    <x v="8"/>
    <s v="GNR_WT_WIND_OFF"/>
    <x v="0"/>
    <x v="12"/>
    <n v="470.85721461760602"/>
    <n v="171862.88333542601"/>
    <n v="618706.38000753499"/>
  </r>
  <r>
    <x v="0"/>
    <x v="0"/>
    <x v="1"/>
    <x v="0"/>
    <x v="1"/>
    <s v="DK2_Offshore"/>
    <x v="8"/>
    <s v="GNR_WT_WIND_OFF"/>
    <x v="0"/>
    <x v="13"/>
    <n v="398.17455732764"/>
    <n v="145333.71342458899"/>
    <n v="523201.36832851899"/>
  </r>
  <r>
    <x v="0"/>
    <x v="0"/>
    <x v="1"/>
    <x v="0"/>
    <x v="1"/>
    <s v="DK2_Offshore"/>
    <x v="8"/>
    <s v="GNR_WT_WIND_OFF"/>
    <x v="0"/>
    <x v="14"/>
    <n v="347.61270877809898"/>
    <n v="126878.63870400601"/>
    <n v="456763.09933442198"/>
  </r>
  <r>
    <x v="0"/>
    <x v="0"/>
    <x v="1"/>
    <x v="0"/>
    <x v="1"/>
    <s v="DK2_Offshore"/>
    <x v="8"/>
    <s v="GNR_WT_WIND_OFF"/>
    <x v="0"/>
    <x v="15"/>
    <n v="389.32623383147097"/>
    <n v="142104.07534848701"/>
    <n v="511574.67125455203"/>
  </r>
  <r>
    <x v="0"/>
    <x v="0"/>
    <x v="1"/>
    <x v="0"/>
    <x v="1"/>
    <s v="DK2_Offshore"/>
    <x v="8"/>
    <s v="GNR_WT_WIND_OFF"/>
    <x v="0"/>
    <x v="16"/>
    <n v="432.93582820544998"/>
    <n v="158021.57729498899"/>
    <n v="568877.67826196202"/>
  </r>
  <r>
    <x v="0"/>
    <x v="0"/>
    <x v="1"/>
    <x v="0"/>
    <x v="1"/>
    <s v="DK2_Offshore"/>
    <x v="8"/>
    <s v="GNR_WT_WIND_OFF"/>
    <x v="0"/>
    <x v="17"/>
    <n v="435.463920632927"/>
    <n v="158944.33103101799"/>
    <n v="572199.59171166597"/>
  </r>
  <r>
    <x v="0"/>
    <x v="0"/>
    <x v="1"/>
    <x v="0"/>
    <x v="1"/>
    <s v="DK2_Offshore"/>
    <x v="8"/>
    <s v="GNR_WT_WIND_OFF"/>
    <x v="0"/>
    <x v="18"/>
    <n v="365.94137887730801"/>
    <n v="133568.603290217"/>
    <n v="480846.97184478201"/>
  </r>
  <r>
    <x v="0"/>
    <x v="0"/>
    <x v="1"/>
    <x v="0"/>
    <x v="1"/>
    <s v="DK2_Offshore"/>
    <x v="8"/>
    <s v="GNR_WT_WIND_OFF"/>
    <x v="0"/>
    <x v="19"/>
    <n v="315.37953032776602"/>
    <n v="115113.528569635"/>
    <n v="414408.702850684"/>
  </r>
  <r>
    <x v="0"/>
    <x v="0"/>
    <x v="1"/>
    <x v="0"/>
    <x v="1"/>
    <s v="DK2_Offshore"/>
    <x v="8"/>
    <s v="GNR_WT_WIND_OFF"/>
    <x v="0"/>
    <x v="20"/>
    <n v="262.28958935074701"/>
    <n v="95735.7001130227"/>
    <n v="344648.52040688199"/>
  </r>
  <r>
    <x v="0"/>
    <x v="0"/>
    <x v="1"/>
    <x v="0"/>
    <x v="1"/>
    <s v="DK2_Offshore"/>
    <x v="8"/>
    <s v="GNR_WT_WIND_OFF"/>
    <x v="0"/>
    <x v="21"/>
    <n v="246.48901167901499"/>
    <n v="89968.489262840594"/>
    <n v="323886.56134622602"/>
  </r>
  <r>
    <x v="0"/>
    <x v="0"/>
    <x v="1"/>
    <x v="0"/>
    <x v="1"/>
    <s v="DK2_Offshore"/>
    <x v="8"/>
    <s v="GNR_WT_WIND_OFF"/>
    <x v="0"/>
    <x v="22"/>
    <n v="287.570513625518"/>
    <n v="104963.237473314"/>
    <n v="377867.65490393102"/>
  </r>
  <r>
    <x v="0"/>
    <x v="0"/>
    <x v="1"/>
    <x v="0"/>
    <x v="1"/>
    <s v="DK2_Offshore"/>
    <x v="8"/>
    <s v="GNR_WT_WIND_OFF"/>
    <x v="0"/>
    <x v="23"/>
    <n v="329.91606178575898"/>
    <n v="120419.362551802"/>
    <n v="433509.70518648799"/>
  </r>
  <r>
    <x v="0"/>
    <x v="0"/>
    <x v="1"/>
    <x v="0"/>
    <x v="1"/>
    <s v="DK2_Rural"/>
    <x v="2"/>
    <s v="GNR_EH_HEAT"/>
    <x v="0"/>
    <x v="7"/>
    <n v="16.5"/>
    <n v="6022.5"/>
    <n v="21681"/>
  </r>
  <r>
    <x v="0"/>
    <x v="0"/>
    <x v="1"/>
    <x v="0"/>
    <x v="1"/>
    <s v="DK2_Rural"/>
    <x v="2"/>
    <s v="GNR_EH_HEAT"/>
    <x v="0"/>
    <x v="8"/>
    <n v="16.5"/>
    <n v="6022.5"/>
    <n v="21681"/>
  </r>
  <r>
    <x v="0"/>
    <x v="0"/>
    <x v="1"/>
    <x v="0"/>
    <x v="1"/>
    <s v="DK2_Rural"/>
    <x v="2"/>
    <s v="GNR_EH_HEAT"/>
    <x v="0"/>
    <x v="9"/>
    <n v="16.5"/>
    <n v="6022.5"/>
    <n v="21681"/>
  </r>
  <r>
    <x v="0"/>
    <x v="0"/>
    <x v="1"/>
    <x v="0"/>
    <x v="1"/>
    <s v="DK2_Rural"/>
    <x v="2"/>
    <s v="GNR_EH_HEAT"/>
    <x v="0"/>
    <x v="10"/>
    <n v="16.5"/>
    <n v="6022.5"/>
    <n v="21681"/>
  </r>
  <r>
    <x v="0"/>
    <x v="0"/>
    <x v="1"/>
    <x v="0"/>
    <x v="1"/>
    <s v="DK2_Rural"/>
    <x v="2"/>
    <s v="GNR_EH_HEAT"/>
    <x v="0"/>
    <x v="11"/>
    <n v="16.5"/>
    <n v="6022.5"/>
    <n v="21681"/>
  </r>
  <r>
    <x v="0"/>
    <x v="0"/>
    <x v="1"/>
    <x v="0"/>
    <x v="1"/>
    <s v="DK2_Rural"/>
    <x v="2"/>
    <s v="GNR_EH_HEAT"/>
    <x v="0"/>
    <x v="12"/>
    <n v="16.5"/>
    <n v="6022.5"/>
    <n v="21681"/>
  </r>
  <r>
    <x v="0"/>
    <x v="0"/>
    <x v="1"/>
    <x v="0"/>
    <x v="1"/>
    <s v="DK2_Rural"/>
    <x v="2"/>
    <s v="GNR_EH_HEAT"/>
    <x v="0"/>
    <x v="13"/>
    <n v="16.5"/>
    <n v="6022.5"/>
    <n v="21681"/>
  </r>
  <r>
    <x v="0"/>
    <x v="0"/>
    <x v="1"/>
    <x v="0"/>
    <x v="1"/>
    <s v="DK2_Rural"/>
    <x v="2"/>
    <s v="GNR_EH_HEAT"/>
    <x v="0"/>
    <x v="14"/>
    <n v="16.5"/>
    <n v="6022.5"/>
    <n v="21681"/>
  </r>
  <r>
    <x v="0"/>
    <x v="0"/>
    <x v="1"/>
    <x v="0"/>
    <x v="1"/>
    <s v="DK2_Rural"/>
    <x v="2"/>
    <s v="GNR_EH_HEAT"/>
    <x v="0"/>
    <x v="15"/>
    <n v="16.5"/>
    <n v="6022.5"/>
    <n v="21681"/>
  </r>
  <r>
    <x v="0"/>
    <x v="0"/>
    <x v="1"/>
    <x v="0"/>
    <x v="1"/>
    <s v="DK2_Rural"/>
    <x v="2"/>
    <s v="GNR_EH_HEAT"/>
    <x v="0"/>
    <x v="16"/>
    <n v="16.5"/>
    <n v="6022.5"/>
    <n v="21681"/>
  </r>
  <r>
    <x v="0"/>
    <x v="0"/>
    <x v="1"/>
    <x v="0"/>
    <x v="1"/>
    <s v="DK2_Rural"/>
    <x v="2"/>
    <s v="GNR_EH_HEAT"/>
    <x v="0"/>
    <x v="17"/>
    <n v="16.5"/>
    <n v="6022.5"/>
    <n v="21681"/>
  </r>
  <r>
    <x v="0"/>
    <x v="0"/>
    <x v="1"/>
    <x v="0"/>
    <x v="1"/>
    <s v="DK2_Rural"/>
    <x v="2"/>
    <s v="GNR_EH_HEAT"/>
    <x v="0"/>
    <x v="18"/>
    <n v="16.5"/>
    <n v="6022.5"/>
    <n v="21681"/>
  </r>
  <r>
    <x v="0"/>
    <x v="0"/>
    <x v="1"/>
    <x v="0"/>
    <x v="1"/>
    <s v="DK2_Rural"/>
    <x v="2"/>
    <s v="GNR_EH_HEAT"/>
    <x v="0"/>
    <x v="19"/>
    <n v="16.5"/>
    <n v="6022.5"/>
    <n v="21681"/>
  </r>
  <r>
    <x v="0"/>
    <x v="0"/>
    <x v="1"/>
    <x v="0"/>
    <x v="1"/>
    <s v="DK2_Rural"/>
    <x v="2"/>
    <s v="GNR_EH_HEAT"/>
    <x v="0"/>
    <x v="20"/>
    <n v="16.5"/>
    <n v="6022.5"/>
    <n v="21681"/>
  </r>
  <r>
    <x v="0"/>
    <x v="0"/>
    <x v="1"/>
    <x v="0"/>
    <x v="1"/>
    <s v="DK2_Rural"/>
    <x v="2"/>
    <s v="GNR_EH_HEAT"/>
    <x v="0"/>
    <x v="21"/>
    <n v="16.5"/>
    <n v="6022.5"/>
    <n v="21681"/>
  </r>
  <r>
    <x v="0"/>
    <x v="0"/>
    <x v="1"/>
    <x v="0"/>
    <x v="1"/>
    <s v="DK2_Rural"/>
    <x v="2"/>
    <s v="GNR_EH_HEAT"/>
    <x v="0"/>
    <x v="22"/>
    <n v="16.5"/>
    <n v="6022.5"/>
    <n v="21681"/>
  </r>
  <r>
    <x v="0"/>
    <x v="0"/>
    <x v="1"/>
    <x v="0"/>
    <x v="1"/>
    <s v="DK2_Rural"/>
    <x v="5"/>
    <s v="GNR_BO_WOODCHI_E-110"/>
    <x v="0"/>
    <x v="8"/>
    <n v="1.4527555314404901"/>
    <n v="530.25576897577696"/>
    <n v="1908.9207683128"/>
  </r>
  <r>
    <x v="0"/>
    <x v="0"/>
    <x v="1"/>
    <x v="0"/>
    <x v="1"/>
    <s v="DK2_Rural"/>
    <x v="5"/>
    <s v="GNR_BO_WOODCHI_E-110"/>
    <x v="0"/>
    <x v="9"/>
    <n v="4.1172345143121998"/>
    <n v="1502.79059772395"/>
    <n v="5410.0461518062302"/>
  </r>
  <r>
    <x v="0"/>
    <x v="0"/>
    <x v="1"/>
    <x v="0"/>
    <x v="1"/>
    <s v="DK2_Rural"/>
    <x v="5"/>
    <s v="GNR_BO_WOODCHI_E-110"/>
    <x v="0"/>
    <x v="17"/>
    <n v="1.93720625559897"/>
    <n v="707.08028329362503"/>
    <n v="2545.4890198570502"/>
  </r>
  <r>
    <x v="0"/>
    <x v="0"/>
    <x v="1"/>
    <x v="0"/>
    <x v="1"/>
    <s v="DK2_Rural"/>
    <x v="5"/>
    <s v="GNR_BO_WOODCHI_E-110"/>
    <x v="0"/>
    <x v="18"/>
    <n v="2.4216569797574898"/>
    <n v="883.90479761148299"/>
    <n v="3182.0572714013401"/>
  </r>
  <r>
    <x v="0"/>
    <x v="0"/>
    <x v="1"/>
    <x v="0"/>
    <x v="1"/>
    <s v="DK2_Rural"/>
    <x v="5"/>
    <s v="GNR_BO_WOODCHI_E-110"/>
    <x v="0"/>
    <x v="19"/>
    <n v="1.93720625559897"/>
    <n v="707.08028329362503"/>
    <n v="2545.4890198570502"/>
  </r>
  <r>
    <x v="0"/>
    <x v="0"/>
    <x v="1"/>
    <x v="0"/>
    <x v="1"/>
    <s v="DK2_Small"/>
    <x v="4"/>
    <s v="GNR_BO_STRW_E-100"/>
    <x v="0"/>
    <x v="9"/>
    <n v="5.3496860744946403E-2"/>
    <n v="19.5263541719054"/>
    <n v="70.294875018859599"/>
  </r>
  <r>
    <x v="0"/>
    <x v="0"/>
    <x v="1"/>
    <x v="0"/>
    <x v="1"/>
    <s v="DK2_Small"/>
    <x v="4"/>
    <s v="GNR_BO_STRW_E-100"/>
    <x v="0"/>
    <x v="17"/>
    <n v="0.192588698681806"/>
    <n v="70.294875018859301"/>
    <n v="253.06155006789399"/>
  </r>
  <r>
    <x v="0"/>
    <x v="0"/>
    <x v="1"/>
    <x v="0"/>
    <x v="1"/>
    <s v="DK2_Small"/>
    <x v="4"/>
    <s v="GNR_BO_STRW_E-100"/>
    <x v="0"/>
    <x v="18"/>
    <n v="0.235386187277765"/>
    <n v="85.915958356384195"/>
    <n v="309.297450082983"/>
  </r>
  <r>
    <x v="0"/>
    <x v="0"/>
    <x v="1"/>
    <x v="0"/>
    <x v="1"/>
    <s v="DK2_Small"/>
    <x v="4"/>
    <s v="GNR_BO_STRW_E-100"/>
    <x v="0"/>
    <x v="19"/>
    <n v="0.192588698681806"/>
    <n v="70.294875018859301"/>
    <n v="253.06155006789399"/>
  </r>
  <r>
    <x v="0"/>
    <x v="0"/>
    <x v="1"/>
    <x v="1"/>
    <x v="2"/>
    <s v="DE4-E_A"/>
    <x v="10"/>
    <s v="AGG-DE4-E_RES_WTR_PMP"/>
    <x v="0"/>
    <x v="0"/>
    <n v="19320"/>
    <n v="7051800"/>
    <n v="25386480"/>
  </r>
  <r>
    <x v="0"/>
    <x v="0"/>
    <x v="1"/>
    <x v="1"/>
    <x v="2"/>
    <s v="DE4-E_A"/>
    <x v="10"/>
    <s v="AGG-DE4-E_RES_WTR_PMP"/>
    <x v="0"/>
    <x v="1"/>
    <n v="19320"/>
    <n v="7051800"/>
    <n v="25386480"/>
  </r>
  <r>
    <x v="0"/>
    <x v="0"/>
    <x v="1"/>
    <x v="1"/>
    <x v="2"/>
    <s v="DE4-E_A"/>
    <x v="10"/>
    <s v="AGG-DE4-E_RES_WTR_PMP"/>
    <x v="0"/>
    <x v="2"/>
    <n v="19320"/>
    <n v="7051800"/>
    <n v="25386480"/>
  </r>
  <r>
    <x v="0"/>
    <x v="0"/>
    <x v="1"/>
    <x v="1"/>
    <x v="2"/>
    <s v="DE4-E_A"/>
    <x v="10"/>
    <s v="AGG-DE4-E_RES_WTR_PMP"/>
    <x v="0"/>
    <x v="3"/>
    <n v="19320"/>
    <n v="7051800"/>
    <n v="25386480"/>
  </r>
  <r>
    <x v="0"/>
    <x v="0"/>
    <x v="1"/>
    <x v="1"/>
    <x v="2"/>
    <s v="DE4-E_A"/>
    <x v="10"/>
    <s v="AGG-DE4-E_RES_WTR_PMP"/>
    <x v="0"/>
    <x v="4"/>
    <n v="19320"/>
    <n v="7051800"/>
    <n v="25386480"/>
  </r>
  <r>
    <x v="0"/>
    <x v="0"/>
    <x v="1"/>
    <x v="1"/>
    <x v="2"/>
    <s v="DE4-E_A"/>
    <x v="10"/>
    <s v="AGG-DE4-E_RES_WTR_PMP"/>
    <x v="0"/>
    <x v="5"/>
    <n v="19320"/>
    <n v="7051800"/>
    <n v="25386480"/>
  </r>
  <r>
    <x v="0"/>
    <x v="0"/>
    <x v="1"/>
    <x v="1"/>
    <x v="2"/>
    <s v="DE4-E_A"/>
    <x v="10"/>
    <s v="AGG-DE4-E_RES_WTR_PMP"/>
    <x v="0"/>
    <x v="6"/>
    <n v="19320"/>
    <n v="7051800"/>
    <n v="25386480"/>
  </r>
  <r>
    <x v="0"/>
    <x v="0"/>
    <x v="1"/>
    <x v="1"/>
    <x v="2"/>
    <s v="DE4-E_A"/>
    <x v="10"/>
    <s v="AGG-DE4-E_RES_WTR_PMP"/>
    <x v="0"/>
    <x v="7"/>
    <n v="19320"/>
    <n v="7051800"/>
    <n v="25386480"/>
  </r>
  <r>
    <x v="0"/>
    <x v="0"/>
    <x v="1"/>
    <x v="1"/>
    <x v="2"/>
    <s v="DE4-E_A"/>
    <x v="10"/>
    <s v="AGG-DE4-E_RES_WTR_PMP"/>
    <x v="0"/>
    <x v="8"/>
    <n v="19320"/>
    <n v="7051800"/>
    <n v="25386480"/>
  </r>
  <r>
    <x v="0"/>
    <x v="0"/>
    <x v="1"/>
    <x v="1"/>
    <x v="2"/>
    <s v="DE4-E_A"/>
    <x v="10"/>
    <s v="AGG-DE4-E_RES_WTR_PMP"/>
    <x v="0"/>
    <x v="9"/>
    <n v="19320"/>
    <n v="7051800"/>
    <n v="25386480"/>
  </r>
  <r>
    <x v="0"/>
    <x v="0"/>
    <x v="1"/>
    <x v="1"/>
    <x v="2"/>
    <s v="DE4-E_A"/>
    <x v="10"/>
    <s v="AGG-DE4-E_RES_WTR_PMP"/>
    <x v="0"/>
    <x v="10"/>
    <n v="19320"/>
    <n v="7051800"/>
    <n v="25386480"/>
  </r>
  <r>
    <x v="0"/>
    <x v="0"/>
    <x v="1"/>
    <x v="1"/>
    <x v="2"/>
    <s v="DE4-E_A"/>
    <x v="10"/>
    <s v="AGG-DE4-E_RES_WTR_PMP"/>
    <x v="0"/>
    <x v="11"/>
    <n v="19320"/>
    <n v="7051800"/>
    <n v="25386480"/>
  </r>
  <r>
    <x v="0"/>
    <x v="0"/>
    <x v="1"/>
    <x v="1"/>
    <x v="2"/>
    <s v="DE4-E_A"/>
    <x v="10"/>
    <s v="AGG-DE4-E_RES_WTR_PMP"/>
    <x v="0"/>
    <x v="12"/>
    <n v="19320"/>
    <n v="7051800"/>
    <n v="25386480"/>
  </r>
  <r>
    <x v="0"/>
    <x v="0"/>
    <x v="1"/>
    <x v="1"/>
    <x v="2"/>
    <s v="DE4-E_A"/>
    <x v="10"/>
    <s v="AGG-DE4-E_RES_WTR_PMP"/>
    <x v="0"/>
    <x v="13"/>
    <n v="19320"/>
    <n v="7051800"/>
    <n v="25386480"/>
  </r>
  <r>
    <x v="0"/>
    <x v="0"/>
    <x v="1"/>
    <x v="1"/>
    <x v="2"/>
    <s v="DE4-E_A"/>
    <x v="10"/>
    <s v="AGG-DE4-E_RES_WTR_PMP"/>
    <x v="0"/>
    <x v="14"/>
    <n v="19320"/>
    <n v="7051800"/>
    <n v="25386480"/>
  </r>
  <r>
    <x v="0"/>
    <x v="0"/>
    <x v="1"/>
    <x v="1"/>
    <x v="2"/>
    <s v="DE4-E_A"/>
    <x v="10"/>
    <s v="AGG-DE4-E_RES_WTR_PMP"/>
    <x v="0"/>
    <x v="15"/>
    <n v="19320"/>
    <n v="7051800"/>
    <n v="25386480"/>
  </r>
  <r>
    <x v="0"/>
    <x v="0"/>
    <x v="1"/>
    <x v="1"/>
    <x v="2"/>
    <s v="DE4-E_A"/>
    <x v="10"/>
    <s v="AGG-DE4-E_RES_WTR_PMP"/>
    <x v="0"/>
    <x v="16"/>
    <n v="19320"/>
    <n v="7051800"/>
    <n v="25386480"/>
  </r>
  <r>
    <x v="0"/>
    <x v="0"/>
    <x v="1"/>
    <x v="1"/>
    <x v="2"/>
    <s v="DE4-E_A"/>
    <x v="10"/>
    <s v="AGG-DE4-E_RES_WTR_PMP"/>
    <x v="0"/>
    <x v="17"/>
    <n v="19320"/>
    <n v="7051800"/>
    <n v="25386480"/>
  </r>
  <r>
    <x v="0"/>
    <x v="0"/>
    <x v="1"/>
    <x v="1"/>
    <x v="2"/>
    <s v="DE4-E_A"/>
    <x v="10"/>
    <s v="AGG-DE4-E_RES_WTR_PMP"/>
    <x v="0"/>
    <x v="18"/>
    <n v="19320"/>
    <n v="7051800"/>
    <n v="25386480"/>
  </r>
  <r>
    <x v="0"/>
    <x v="0"/>
    <x v="1"/>
    <x v="1"/>
    <x v="2"/>
    <s v="DE4-E_A"/>
    <x v="10"/>
    <s v="AGG-DE4-E_RES_WTR_PMP"/>
    <x v="0"/>
    <x v="19"/>
    <n v="19320"/>
    <n v="7051800"/>
    <n v="25386480"/>
  </r>
  <r>
    <x v="0"/>
    <x v="0"/>
    <x v="1"/>
    <x v="1"/>
    <x v="2"/>
    <s v="DE4-E_A"/>
    <x v="10"/>
    <s v="AGG-DE4-E_RES_WTR_PMP"/>
    <x v="0"/>
    <x v="20"/>
    <n v="19320"/>
    <n v="7051800"/>
    <n v="25386480"/>
  </r>
  <r>
    <x v="0"/>
    <x v="0"/>
    <x v="1"/>
    <x v="1"/>
    <x v="2"/>
    <s v="DE4-E_A"/>
    <x v="10"/>
    <s v="AGG-DE4-E_RES_WTR_PMP"/>
    <x v="0"/>
    <x v="21"/>
    <n v="19320"/>
    <n v="7051800"/>
    <n v="25386480"/>
  </r>
  <r>
    <x v="0"/>
    <x v="0"/>
    <x v="1"/>
    <x v="1"/>
    <x v="2"/>
    <s v="DE4-E_A"/>
    <x v="10"/>
    <s v="AGG-DE4-E_RES_WTR_PMP"/>
    <x v="0"/>
    <x v="22"/>
    <n v="19320"/>
    <n v="7051800"/>
    <n v="25386480"/>
  </r>
  <r>
    <x v="0"/>
    <x v="0"/>
    <x v="1"/>
    <x v="1"/>
    <x v="2"/>
    <s v="DE4-E_A"/>
    <x v="10"/>
    <s v="AGG-DE4-E_RES_WTR_PMP"/>
    <x v="0"/>
    <x v="23"/>
    <n v="19320"/>
    <n v="7051800"/>
    <n v="25386480"/>
  </r>
  <r>
    <x v="0"/>
    <x v="0"/>
    <x v="1"/>
    <x v="1"/>
    <x v="2"/>
    <s v="DE4-E_A"/>
    <x v="1"/>
    <s v="GNR_ST_MSW_CND_E-33"/>
    <x v="0"/>
    <x v="0"/>
    <n v="189.69696969697"/>
    <n v="69239.393939393907"/>
    <n v="249261.818181818"/>
  </r>
  <r>
    <x v="0"/>
    <x v="0"/>
    <x v="1"/>
    <x v="1"/>
    <x v="2"/>
    <s v="DE4-E_A"/>
    <x v="1"/>
    <s v="GNR_ST_MSW_CND_E-33"/>
    <x v="0"/>
    <x v="1"/>
    <n v="189.69696969697"/>
    <n v="69239.393939393907"/>
    <n v="249261.818181818"/>
  </r>
  <r>
    <x v="0"/>
    <x v="0"/>
    <x v="1"/>
    <x v="1"/>
    <x v="2"/>
    <s v="DE4-E_A"/>
    <x v="1"/>
    <s v="GNR_ST_MSW_CND_E-33"/>
    <x v="0"/>
    <x v="2"/>
    <n v="189.69696969697"/>
    <n v="69239.393939393907"/>
    <n v="249261.818181818"/>
  </r>
  <r>
    <x v="0"/>
    <x v="0"/>
    <x v="1"/>
    <x v="1"/>
    <x v="2"/>
    <s v="DE4-E_A"/>
    <x v="1"/>
    <s v="GNR_ST_MSW_CND_E-33"/>
    <x v="0"/>
    <x v="3"/>
    <n v="189.69696969697"/>
    <n v="69239.393939393907"/>
    <n v="249261.818181818"/>
  </r>
  <r>
    <x v="0"/>
    <x v="0"/>
    <x v="1"/>
    <x v="1"/>
    <x v="2"/>
    <s v="DE4-E_A"/>
    <x v="1"/>
    <s v="GNR_ST_MSW_CND_E-33"/>
    <x v="0"/>
    <x v="4"/>
    <n v="189.69696969697"/>
    <n v="69239.393939393907"/>
    <n v="249261.818181818"/>
  </r>
  <r>
    <x v="0"/>
    <x v="0"/>
    <x v="1"/>
    <x v="1"/>
    <x v="2"/>
    <s v="DE4-E_A"/>
    <x v="1"/>
    <s v="GNR_ST_MSW_CND_E-33"/>
    <x v="0"/>
    <x v="5"/>
    <n v="189.69696969697"/>
    <n v="69239.393939393907"/>
    <n v="249261.818181818"/>
  </r>
  <r>
    <x v="0"/>
    <x v="0"/>
    <x v="1"/>
    <x v="1"/>
    <x v="2"/>
    <s v="DE4-E_A"/>
    <x v="1"/>
    <s v="GNR_ST_MSW_CND_E-33"/>
    <x v="0"/>
    <x v="6"/>
    <n v="189.69696969697"/>
    <n v="69239.393939393907"/>
    <n v="249261.818181818"/>
  </r>
  <r>
    <x v="0"/>
    <x v="0"/>
    <x v="1"/>
    <x v="1"/>
    <x v="2"/>
    <s v="DE4-E_A"/>
    <x v="1"/>
    <s v="GNR_ST_MSW_CND_E-33"/>
    <x v="0"/>
    <x v="7"/>
    <n v="189.69696969697"/>
    <n v="69239.393939393907"/>
    <n v="249261.818181818"/>
  </r>
  <r>
    <x v="0"/>
    <x v="0"/>
    <x v="1"/>
    <x v="1"/>
    <x v="2"/>
    <s v="DE4-E_A"/>
    <x v="1"/>
    <s v="GNR_ST_MSW_CND_E-33"/>
    <x v="0"/>
    <x v="8"/>
    <n v="189.69696969697"/>
    <n v="69239.393939393907"/>
    <n v="249261.818181818"/>
  </r>
  <r>
    <x v="0"/>
    <x v="0"/>
    <x v="1"/>
    <x v="1"/>
    <x v="2"/>
    <s v="DE4-E_A"/>
    <x v="1"/>
    <s v="GNR_ST_MSW_CND_E-33"/>
    <x v="0"/>
    <x v="9"/>
    <n v="189.69696969697"/>
    <n v="69239.393939393907"/>
    <n v="249261.818181818"/>
  </r>
  <r>
    <x v="0"/>
    <x v="0"/>
    <x v="1"/>
    <x v="1"/>
    <x v="2"/>
    <s v="DE4-E_A"/>
    <x v="1"/>
    <s v="GNR_ST_MSW_CND_E-33"/>
    <x v="0"/>
    <x v="10"/>
    <n v="189.69696969697"/>
    <n v="69239.393939393907"/>
    <n v="249261.818181818"/>
  </r>
  <r>
    <x v="0"/>
    <x v="0"/>
    <x v="1"/>
    <x v="1"/>
    <x v="2"/>
    <s v="DE4-E_A"/>
    <x v="1"/>
    <s v="GNR_ST_MSW_CND_E-33"/>
    <x v="0"/>
    <x v="11"/>
    <n v="189.69696969697"/>
    <n v="69239.393939393907"/>
    <n v="249261.818181818"/>
  </r>
  <r>
    <x v="0"/>
    <x v="0"/>
    <x v="1"/>
    <x v="1"/>
    <x v="2"/>
    <s v="DE4-E_A"/>
    <x v="1"/>
    <s v="GNR_ST_MSW_CND_E-33"/>
    <x v="0"/>
    <x v="12"/>
    <n v="189.69696969697"/>
    <n v="69239.393939393907"/>
    <n v="249261.818181818"/>
  </r>
  <r>
    <x v="0"/>
    <x v="0"/>
    <x v="1"/>
    <x v="1"/>
    <x v="2"/>
    <s v="DE4-E_A"/>
    <x v="1"/>
    <s v="GNR_ST_MSW_CND_E-33"/>
    <x v="0"/>
    <x v="13"/>
    <n v="189.69696969697"/>
    <n v="69239.393939393907"/>
    <n v="249261.818181818"/>
  </r>
  <r>
    <x v="0"/>
    <x v="0"/>
    <x v="1"/>
    <x v="1"/>
    <x v="2"/>
    <s v="DE4-E_A"/>
    <x v="1"/>
    <s v="GNR_ST_MSW_CND_E-33"/>
    <x v="0"/>
    <x v="14"/>
    <n v="189.69696969697"/>
    <n v="69239.393939393907"/>
    <n v="249261.818181818"/>
  </r>
  <r>
    <x v="0"/>
    <x v="0"/>
    <x v="1"/>
    <x v="1"/>
    <x v="2"/>
    <s v="DE4-E_A"/>
    <x v="1"/>
    <s v="GNR_ST_MSW_CND_E-33"/>
    <x v="0"/>
    <x v="15"/>
    <n v="189.69696969697"/>
    <n v="69239.393939393907"/>
    <n v="249261.818181818"/>
  </r>
  <r>
    <x v="0"/>
    <x v="0"/>
    <x v="1"/>
    <x v="1"/>
    <x v="2"/>
    <s v="DE4-E_A"/>
    <x v="1"/>
    <s v="GNR_ST_MSW_CND_E-33"/>
    <x v="0"/>
    <x v="16"/>
    <n v="189.69696969697"/>
    <n v="69239.393939393907"/>
    <n v="249261.818181818"/>
  </r>
  <r>
    <x v="0"/>
    <x v="0"/>
    <x v="1"/>
    <x v="1"/>
    <x v="2"/>
    <s v="DE4-E_A"/>
    <x v="1"/>
    <s v="GNR_ST_MSW_CND_E-33"/>
    <x v="0"/>
    <x v="17"/>
    <n v="189.69696969697"/>
    <n v="69239.393939393907"/>
    <n v="249261.818181818"/>
  </r>
  <r>
    <x v="0"/>
    <x v="0"/>
    <x v="1"/>
    <x v="1"/>
    <x v="2"/>
    <s v="DE4-E_A"/>
    <x v="1"/>
    <s v="GNR_ST_MSW_CND_E-33"/>
    <x v="0"/>
    <x v="18"/>
    <n v="189.69696969697"/>
    <n v="69239.393939393907"/>
    <n v="249261.818181818"/>
  </r>
  <r>
    <x v="0"/>
    <x v="0"/>
    <x v="1"/>
    <x v="1"/>
    <x v="2"/>
    <s v="DE4-E_A"/>
    <x v="1"/>
    <s v="GNR_ST_MSW_CND_E-33"/>
    <x v="0"/>
    <x v="19"/>
    <n v="189.69696969697"/>
    <n v="69239.393939393907"/>
    <n v="249261.818181818"/>
  </r>
  <r>
    <x v="0"/>
    <x v="0"/>
    <x v="1"/>
    <x v="1"/>
    <x v="2"/>
    <s v="DE4-E_A"/>
    <x v="1"/>
    <s v="GNR_ST_MSW_CND_E-33"/>
    <x v="0"/>
    <x v="20"/>
    <n v="189.69696969697"/>
    <n v="69239.393939393907"/>
    <n v="249261.818181818"/>
  </r>
  <r>
    <x v="0"/>
    <x v="0"/>
    <x v="1"/>
    <x v="1"/>
    <x v="2"/>
    <s v="DE4-E_A"/>
    <x v="1"/>
    <s v="GNR_ST_MSW_CND_E-33"/>
    <x v="0"/>
    <x v="21"/>
    <n v="189.69696969697"/>
    <n v="69239.393939393907"/>
    <n v="249261.818181818"/>
  </r>
  <r>
    <x v="0"/>
    <x v="0"/>
    <x v="1"/>
    <x v="1"/>
    <x v="2"/>
    <s v="DE4-E_A"/>
    <x v="1"/>
    <s v="GNR_ST_MSW_CND_E-33"/>
    <x v="0"/>
    <x v="22"/>
    <n v="189.69696969697"/>
    <n v="69239.393939393907"/>
    <n v="249261.818181818"/>
  </r>
  <r>
    <x v="0"/>
    <x v="0"/>
    <x v="1"/>
    <x v="1"/>
    <x v="2"/>
    <s v="DE4-E_A"/>
    <x v="1"/>
    <s v="GNR_ST_MSW_CND_E-33"/>
    <x v="0"/>
    <x v="23"/>
    <n v="189.69696969697"/>
    <n v="69239.393939393907"/>
    <n v="249261.818181818"/>
  </r>
  <r>
    <x v="0"/>
    <x v="0"/>
    <x v="1"/>
    <x v="1"/>
    <x v="2"/>
    <s v="DE4-E_A"/>
    <x v="6"/>
    <s v="GNR_PV_SUN"/>
    <x v="0"/>
    <x v="6"/>
    <n v="55.478588889307503"/>
    <n v="20249.6849445972"/>
    <n v="72898.865800550106"/>
  </r>
  <r>
    <x v="0"/>
    <x v="0"/>
    <x v="1"/>
    <x v="1"/>
    <x v="2"/>
    <s v="DE4-E_A"/>
    <x v="6"/>
    <s v="GNR_PV_SUN"/>
    <x v="0"/>
    <x v="7"/>
    <n v="591.73226830233796"/>
    <n v="215982.27793035301"/>
    <n v="777536.20054927201"/>
  </r>
  <r>
    <x v="0"/>
    <x v="0"/>
    <x v="1"/>
    <x v="1"/>
    <x v="2"/>
    <s v="DE4-E_A"/>
    <x v="6"/>
    <s v="GNR_PV_SUN"/>
    <x v="0"/>
    <x v="8"/>
    <n v="1726.8005890674001"/>
    <n v="630282.21500960202"/>
    <n v="2269015.9740345702"/>
  </r>
  <r>
    <x v="0"/>
    <x v="0"/>
    <x v="1"/>
    <x v="1"/>
    <x v="2"/>
    <s v="DE4-E_A"/>
    <x v="6"/>
    <s v="GNR_PV_SUN"/>
    <x v="0"/>
    <x v="9"/>
    <n v="2819.13859243262"/>
    <n v="1028985.58623791"/>
    <n v="3704348.1104564602"/>
  </r>
  <r>
    <x v="0"/>
    <x v="0"/>
    <x v="1"/>
    <x v="1"/>
    <x v="2"/>
    <s v="DE4-E_A"/>
    <x v="6"/>
    <s v="GNR_PV_SUN"/>
    <x v="0"/>
    <x v="10"/>
    <n v="3757.1989028652301"/>
    <n v="1371377.5995458099"/>
    <n v="4936959.3583649099"/>
  </r>
  <r>
    <x v="0"/>
    <x v="0"/>
    <x v="1"/>
    <x v="1"/>
    <x v="2"/>
    <s v="DE4-E_A"/>
    <x v="6"/>
    <s v="GNR_PV_SUN"/>
    <x v="0"/>
    <x v="11"/>
    <n v="4357.9021770305199"/>
    <n v="1590634.29461614"/>
    <n v="5726283.4606181001"/>
  </r>
  <r>
    <x v="0"/>
    <x v="0"/>
    <x v="1"/>
    <x v="1"/>
    <x v="2"/>
    <s v="DE4-E_A"/>
    <x v="6"/>
    <s v="GNR_PV_SUN"/>
    <x v="0"/>
    <x v="12"/>
    <n v="4609.3264202948303"/>
    <n v="1682404.14340761"/>
    <n v="6056654.9162673997"/>
  </r>
  <r>
    <x v="0"/>
    <x v="0"/>
    <x v="1"/>
    <x v="1"/>
    <x v="2"/>
    <s v="DE4-E_A"/>
    <x v="6"/>
    <s v="GNR_PV_SUN"/>
    <x v="0"/>
    <x v="13"/>
    <n v="4635.53120057871"/>
    <n v="1691968.88821123"/>
    <n v="6091087.9975604303"/>
  </r>
  <r>
    <x v="0"/>
    <x v="0"/>
    <x v="1"/>
    <x v="1"/>
    <x v="2"/>
    <s v="DE4-E_A"/>
    <x v="6"/>
    <s v="GNR_PV_SUN"/>
    <x v="0"/>
    <x v="14"/>
    <n v="3990.68113440364"/>
    <n v="1456598.6140573299"/>
    <n v="5243755.0106063802"/>
  </r>
  <r>
    <x v="0"/>
    <x v="0"/>
    <x v="1"/>
    <x v="1"/>
    <x v="2"/>
    <s v="DE4-E_A"/>
    <x v="6"/>
    <s v="GNR_PV_SUN"/>
    <x v="0"/>
    <x v="15"/>
    <n v="3020.7501452473798"/>
    <n v="1102573.8030152901"/>
    <n v="3969265.6908550598"/>
  </r>
  <r>
    <x v="0"/>
    <x v="0"/>
    <x v="1"/>
    <x v="1"/>
    <x v="2"/>
    <s v="DE4-E_A"/>
    <x v="6"/>
    <s v="GNR_PV_SUN"/>
    <x v="0"/>
    <x v="16"/>
    <n v="1924.7529158064899"/>
    <n v="702534.81426936702"/>
    <n v="2529125.3313697199"/>
  </r>
  <r>
    <x v="0"/>
    <x v="0"/>
    <x v="1"/>
    <x v="1"/>
    <x v="2"/>
    <s v="DE4-E_A"/>
    <x v="6"/>
    <s v="GNR_PV_SUN"/>
    <x v="0"/>
    <x v="17"/>
    <n v="731.018938279748"/>
    <n v="266821.91247210797"/>
    <n v="960558.884899589"/>
  </r>
  <r>
    <x v="0"/>
    <x v="0"/>
    <x v="1"/>
    <x v="1"/>
    <x v="2"/>
    <s v="DE4-E_A"/>
    <x v="6"/>
    <s v="GNR_PV_SUN"/>
    <x v="0"/>
    <x v="18"/>
    <n v="59.846052269955102"/>
    <n v="21843.809078533599"/>
    <n v="78637.712682721001"/>
  </r>
  <r>
    <x v="0"/>
    <x v="0"/>
    <x v="1"/>
    <x v="1"/>
    <x v="2"/>
    <s v="DE4-E_A"/>
    <x v="7"/>
    <s v="GNR_ROR_WTR"/>
    <x v="0"/>
    <x v="0"/>
    <n v="336.50990500607298"/>
    <n v="122826.115327217"/>
    <n v="442174.01517798001"/>
  </r>
  <r>
    <x v="0"/>
    <x v="0"/>
    <x v="1"/>
    <x v="1"/>
    <x v="2"/>
    <s v="DE4-E_A"/>
    <x v="7"/>
    <s v="GNR_ROR_WTR"/>
    <x v="0"/>
    <x v="1"/>
    <n v="336.50990500607298"/>
    <n v="122826.115327217"/>
    <n v="442174.01517798001"/>
  </r>
  <r>
    <x v="0"/>
    <x v="0"/>
    <x v="1"/>
    <x v="1"/>
    <x v="2"/>
    <s v="DE4-E_A"/>
    <x v="7"/>
    <s v="GNR_ROR_WTR"/>
    <x v="0"/>
    <x v="2"/>
    <n v="336.50990500607298"/>
    <n v="122826.115327217"/>
    <n v="442174.01517798001"/>
  </r>
  <r>
    <x v="0"/>
    <x v="0"/>
    <x v="1"/>
    <x v="1"/>
    <x v="2"/>
    <s v="DE4-E_A"/>
    <x v="7"/>
    <s v="GNR_ROR_WTR"/>
    <x v="0"/>
    <x v="3"/>
    <n v="336.50990500607298"/>
    <n v="122826.115327217"/>
    <n v="442174.01517798001"/>
  </r>
  <r>
    <x v="0"/>
    <x v="0"/>
    <x v="1"/>
    <x v="1"/>
    <x v="2"/>
    <s v="DE4-E_A"/>
    <x v="7"/>
    <s v="GNR_ROR_WTR"/>
    <x v="0"/>
    <x v="4"/>
    <n v="336.50990500607298"/>
    <n v="122826.115327217"/>
    <n v="442174.01517798001"/>
  </r>
  <r>
    <x v="0"/>
    <x v="0"/>
    <x v="1"/>
    <x v="1"/>
    <x v="2"/>
    <s v="DE4-E_A"/>
    <x v="7"/>
    <s v="GNR_ROR_WTR"/>
    <x v="0"/>
    <x v="5"/>
    <n v="336.50990500607298"/>
    <n v="122826.115327217"/>
    <n v="442174.01517798001"/>
  </r>
  <r>
    <x v="0"/>
    <x v="0"/>
    <x v="1"/>
    <x v="1"/>
    <x v="2"/>
    <s v="DE4-E_A"/>
    <x v="7"/>
    <s v="GNR_ROR_WTR"/>
    <x v="0"/>
    <x v="6"/>
    <n v="336.50990500607298"/>
    <n v="122826.115327217"/>
    <n v="442174.01517798001"/>
  </r>
  <r>
    <x v="0"/>
    <x v="0"/>
    <x v="1"/>
    <x v="1"/>
    <x v="2"/>
    <s v="DE4-E_A"/>
    <x v="7"/>
    <s v="GNR_ROR_WTR"/>
    <x v="0"/>
    <x v="7"/>
    <n v="336.50990500607298"/>
    <n v="122826.115327217"/>
    <n v="442174.01517798001"/>
  </r>
  <r>
    <x v="0"/>
    <x v="0"/>
    <x v="1"/>
    <x v="1"/>
    <x v="2"/>
    <s v="DE4-E_A"/>
    <x v="7"/>
    <s v="GNR_ROR_WTR"/>
    <x v="0"/>
    <x v="8"/>
    <n v="336.50990500607298"/>
    <n v="122826.115327217"/>
    <n v="442174.01517798001"/>
  </r>
  <r>
    <x v="0"/>
    <x v="0"/>
    <x v="1"/>
    <x v="1"/>
    <x v="2"/>
    <s v="DE4-E_A"/>
    <x v="7"/>
    <s v="GNR_ROR_WTR"/>
    <x v="0"/>
    <x v="9"/>
    <n v="336.50990500607298"/>
    <n v="122826.115327217"/>
    <n v="442174.01517798001"/>
  </r>
  <r>
    <x v="0"/>
    <x v="0"/>
    <x v="1"/>
    <x v="1"/>
    <x v="2"/>
    <s v="DE4-E_A"/>
    <x v="7"/>
    <s v="GNR_ROR_WTR"/>
    <x v="0"/>
    <x v="10"/>
    <n v="336.50990500607298"/>
    <n v="122826.115327217"/>
    <n v="442174.01517798001"/>
  </r>
  <r>
    <x v="0"/>
    <x v="0"/>
    <x v="1"/>
    <x v="1"/>
    <x v="2"/>
    <s v="DE4-E_A"/>
    <x v="7"/>
    <s v="GNR_ROR_WTR"/>
    <x v="0"/>
    <x v="11"/>
    <n v="336.50990500607298"/>
    <n v="122826.115327217"/>
    <n v="442174.01517798001"/>
  </r>
  <r>
    <x v="0"/>
    <x v="0"/>
    <x v="1"/>
    <x v="1"/>
    <x v="2"/>
    <s v="DE4-E_A"/>
    <x v="7"/>
    <s v="GNR_ROR_WTR"/>
    <x v="0"/>
    <x v="12"/>
    <n v="336.50990500607298"/>
    <n v="122826.115327217"/>
    <n v="442174.01517798001"/>
  </r>
  <r>
    <x v="0"/>
    <x v="0"/>
    <x v="1"/>
    <x v="1"/>
    <x v="2"/>
    <s v="DE4-E_A"/>
    <x v="7"/>
    <s v="GNR_ROR_WTR"/>
    <x v="0"/>
    <x v="13"/>
    <n v="336.50990500607298"/>
    <n v="122826.115327217"/>
    <n v="442174.01517798001"/>
  </r>
  <r>
    <x v="0"/>
    <x v="0"/>
    <x v="1"/>
    <x v="1"/>
    <x v="2"/>
    <s v="DE4-E_A"/>
    <x v="7"/>
    <s v="GNR_ROR_WTR"/>
    <x v="0"/>
    <x v="14"/>
    <n v="336.50990500607298"/>
    <n v="122826.115327217"/>
    <n v="442174.01517798001"/>
  </r>
  <r>
    <x v="0"/>
    <x v="0"/>
    <x v="1"/>
    <x v="1"/>
    <x v="2"/>
    <s v="DE4-E_A"/>
    <x v="7"/>
    <s v="GNR_ROR_WTR"/>
    <x v="0"/>
    <x v="15"/>
    <n v="336.50990500607298"/>
    <n v="122826.115327217"/>
    <n v="442174.01517798001"/>
  </r>
  <r>
    <x v="0"/>
    <x v="0"/>
    <x v="1"/>
    <x v="1"/>
    <x v="2"/>
    <s v="DE4-E_A"/>
    <x v="7"/>
    <s v="GNR_ROR_WTR"/>
    <x v="0"/>
    <x v="16"/>
    <n v="336.50990500607298"/>
    <n v="122826.115327217"/>
    <n v="442174.01517798001"/>
  </r>
  <r>
    <x v="0"/>
    <x v="0"/>
    <x v="1"/>
    <x v="1"/>
    <x v="2"/>
    <s v="DE4-E_A"/>
    <x v="7"/>
    <s v="GNR_ROR_WTR"/>
    <x v="0"/>
    <x v="17"/>
    <n v="336.50990500607298"/>
    <n v="122826.115327217"/>
    <n v="442174.01517798001"/>
  </r>
  <r>
    <x v="0"/>
    <x v="0"/>
    <x v="1"/>
    <x v="1"/>
    <x v="2"/>
    <s v="DE4-E_A"/>
    <x v="7"/>
    <s v="GNR_ROR_WTR"/>
    <x v="0"/>
    <x v="18"/>
    <n v="336.50990500607298"/>
    <n v="122826.115327217"/>
    <n v="442174.01517798001"/>
  </r>
  <r>
    <x v="0"/>
    <x v="0"/>
    <x v="1"/>
    <x v="1"/>
    <x v="2"/>
    <s v="DE4-E_A"/>
    <x v="7"/>
    <s v="GNR_ROR_WTR"/>
    <x v="0"/>
    <x v="19"/>
    <n v="336.50990500607298"/>
    <n v="122826.115327217"/>
    <n v="442174.01517798001"/>
  </r>
  <r>
    <x v="0"/>
    <x v="0"/>
    <x v="1"/>
    <x v="1"/>
    <x v="2"/>
    <s v="DE4-E_A"/>
    <x v="7"/>
    <s v="GNR_ROR_WTR"/>
    <x v="0"/>
    <x v="20"/>
    <n v="336.50990500607298"/>
    <n v="122826.115327217"/>
    <n v="442174.01517798001"/>
  </r>
  <r>
    <x v="0"/>
    <x v="0"/>
    <x v="1"/>
    <x v="1"/>
    <x v="2"/>
    <s v="DE4-E_A"/>
    <x v="7"/>
    <s v="GNR_ROR_WTR"/>
    <x v="0"/>
    <x v="21"/>
    <n v="336.50990500607298"/>
    <n v="122826.115327217"/>
    <n v="442174.01517798001"/>
  </r>
  <r>
    <x v="0"/>
    <x v="0"/>
    <x v="1"/>
    <x v="1"/>
    <x v="2"/>
    <s v="DE4-E_A"/>
    <x v="7"/>
    <s v="GNR_ROR_WTR"/>
    <x v="0"/>
    <x v="22"/>
    <n v="336.50990500607298"/>
    <n v="122826.115327217"/>
    <n v="442174.01517798001"/>
  </r>
  <r>
    <x v="0"/>
    <x v="0"/>
    <x v="1"/>
    <x v="1"/>
    <x v="2"/>
    <s v="DE4-E_A"/>
    <x v="7"/>
    <s v="GNR_ROR_WTR"/>
    <x v="0"/>
    <x v="23"/>
    <n v="336.50990500607298"/>
    <n v="122826.115327217"/>
    <n v="442174.01517798001"/>
  </r>
  <r>
    <x v="0"/>
    <x v="0"/>
    <x v="1"/>
    <x v="1"/>
    <x v="2"/>
    <s v="DE4-E_A"/>
    <x v="8"/>
    <s v="GNR_WT_WIND_ONS"/>
    <x v="0"/>
    <x v="0"/>
    <n v="4623.9007569805499"/>
    <n v="1687723.7762978999"/>
    <n v="6075805.5946724396"/>
  </r>
  <r>
    <x v="0"/>
    <x v="0"/>
    <x v="1"/>
    <x v="1"/>
    <x v="2"/>
    <s v="DE4-E_A"/>
    <x v="8"/>
    <s v="GNR_WT_WIND_ONS"/>
    <x v="0"/>
    <x v="1"/>
    <n v="4283.25667898547"/>
    <n v="1563388.6878297001"/>
    <n v="5628199.2761869105"/>
  </r>
  <r>
    <x v="0"/>
    <x v="0"/>
    <x v="1"/>
    <x v="1"/>
    <x v="2"/>
    <s v="DE4-E_A"/>
    <x v="8"/>
    <s v="GNR_WT_WIND_ONS"/>
    <x v="0"/>
    <x v="2"/>
    <n v="4062.0338007472901"/>
    <n v="1482642.33727276"/>
    <n v="5337512.4141819403"/>
  </r>
  <r>
    <x v="0"/>
    <x v="0"/>
    <x v="1"/>
    <x v="1"/>
    <x v="2"/>
    <s v="DE4-E_A"/>
    <x v="8"/>
    <s v="GNR_WT_WIND_ONS"/>
    <x v="0"/>
    <x v="3"/>
    <n v="3671.1006724447602"/>
    <n v="1339951.7454423399"/>
    <n v="4823826.2835924104"/>
  </r>
  <r>
    <x v="0"/>
    <x v="0"/>
    <x v="1"/>
    <x v="1"/>
    <x v="2"/>
    <s v="DE4-E_A"/>
    <x v="8"/>
    <s v="GNR_WT_WIND_ONS"/>
    <x v="0"/>
    <x v="4"/>
    <n v="3272.9484347306902"/>
    <n v="1194626.1786767"/>
    <n v="4300654.2432361199"/>
  </r>
  <r>
    <x v="0"/>
    <x v="0"/>
    <x v="1"/>
    <x v="1"/>
    <x v="2"/>
    <s v="DE4-E_A"/>
    <x v="8"/>
    <s v="GNR_WT_WIND_ONS"/>
    <x v="0"/>
    <x v="5"/>
    <n v="3110.7020096511401"/>
    <n v="1135406.2335226601"/>
    <n v="4087462.4406815898"/>
  </r>
  <r>
    <x v="0"/>
    <x v="0"/>
    <x v="1"/>
    <x v="1"/>
    <x v="2"/>
    <s v="DE4-E_A"/>
    <x v="8"/>
    <s v="GNR_WT_WIND_ONS"/>
    <x v="0"/>
    <x v="6"/>
    <n v="3059.5564548372199"/>
    <n v="1116738.10601559"/>
    <n v="4020257.1816561101"/>
  </r>
  <r>
    <x v="0"/>
    <x v="0"/>
    <x v="1"/>
    <x v="1"/>
    <x v="2"/>
    <s v="DE4-E_A"/>
    <x v="8"/>
    <s v="GNR_WT_WIND_ONS"/>
    <x v="0"/>
    <x v="7"/>
    <n v="3145.6963366290802"/>
    <n v="1148179.1628696099"/>
    <n v="4133444.9863306098"/>
  </r>
  <r>
    <x v="0"/>
    <x v="0"/>
    <x v="1"/>
    <x v="1"/>
    <x v="2"/>
    <s v="DE4-E_A"/>
    <x v="8"/>
    <s v="GNR_WT_WIND_ONS"/>
    <x v="0"/>
    <x v="8"/>
    <n v="3764.8267370080598"/>
    <n v="1374161.7590079401"/>
    <n v="4946982.3324285904"/>
  </r>
  <r>
    <x v="0"/>
    <x v="0"/>
    <x v="1"/>
    <x v="1"/>
    <x v="2"/>
    <s v="DE4-E_A"/>
    <x v="8"/>
    <s v="GNR_WT_WIND_ONS"/>
    <x v="0"/>
    <x v="9"/>
    <n v="4262.4558552573299"/>
    <n v="1555796.3871689199"/>
    <n v="5600866.9938081298"/>
  </r>
  <r>
    <x v="0"/>
    <x v="0"/>
    <x v="1"/>
    <x v="1"/>
    <x v="2"/>
    <s v="DE4-E_A"/>
    <x v="8"/>
    <s v="GNR_WT_WIND_ONS"/>
    <x v="0"/>
    <x v="10"/>
    <n v="4119.4196026796499"/>
    <n v="1503588.1549780699"/>
    <n v="5412917.3579210602"/>
  </r>
  <r>
    <x v="0"/>
    <x v="0"/>
    <x v="1"/>
    <x v="1"/>
    <x v="2"/>
    <s v="DE4-E_A"/>
    <x v="8"/>
    <s v="GNR_WT_WIND_ONS"/>
    <x v="0"/>
    <x v="11"/>
    <n v="3767.76332388732"/>
    <n v="1375233.61321887"/>
    <n v="4950841.0075879497"/>
  </r>
  <r>
    <x v="0"/>
    <x v="0"/>
    <x v="1"/>
    <x v="1"/>
    <x v="2"/>
    <s v="DE4-E_A"/>
    <x v="8"/>
    <s v="GNR_WT_WIND_ONS"/>
    <x v="0"/>
    <x v="12"/>
    <n v="3830.2881528583998"/>
    <n v="1398055.1757933199"/>
    <n v="5032998.6328559397"/>
  </r>
  <r>
    <x v="0"/>
    <x v="0"/>
    <x v="1"/>
    <x v="1"/>
    <x v="2"/>
    <s v="DE4-E_A"/>
    <x v="8"/>
    <s v="GNR_WT_WIND_ONS"/>
    <x v="0"/>
    <x v="13"/>
    <n v="3884.9820834847701"/>
    <n v="1418018.46047194"/>
    <n v="5104866.4576989803"/>
  </r>
  <r>
    <x v="0"/>
    <x v="0"/>
    <x v="1"/>
    <x v="1"/>
    <x v="2"/>
    <s v="DE4-E_A"/>
    <x v="8"/>
    <s v="GNR_WT_WIND_ONS"/>
    <x v="0"/>
    <x v="14"/>
    <n v="3904.3146137732801"/>
    <n v="1425074.8340272501"/>
    <n v="5130269.4024980897"/>
  </r>
  <r>
    <x v="0"/>
    <x v="0"/>
    <x v="1"/>
    <x v="1"/>
    <x v="2"/>
    <s v="DE4-E_A"/>
    <x v="8"/>
    <s v="GNR_WT_WIND_ONS"/>
    <x v="0"/>
    <x v="15"/>
    <n v="3652.7470044493298"/>
    <n v="1333252.6566240101"/>
    <n v="4799709.5638464196"/>
  </r>
  <r>
    <x v="0"/>
    <x v="0"/>
    <x v="1"/>
    <x v="1"/>
    <x v="2"/>
    <s v="DE4-E_A"/>
    <x v="8"/>
    <s v="GNR_WT_WIND_ONS"/>
    <x v="0"/>
    <x v="16"/>
    <n v="3301.7025145901798"/>
    <n v="1205121.4178254199"/>
    <n v="4338437.1041714996"/>
  </r>
  <r>
    <x v="0"/>
    <x v="0"/>
    <x v="1"/>
    <x v="1"/>
    <x v="2"/>
    <s v="DE4-E_A"/>
    <x v="8"/>
    <s v="GNR_WT_WIND_ONS"/>
    <x v="0"/>
    <x v="17"/>
    <n v="2735.6753936113"/>
    <n v="998521.51866812503"/>
    <n v="3594677.4672052502"/>
  </r>
  <r>
    <x v="0"/>
    <x v="0"/>
    <x v="1"/>
    <x v="1"/>
    <x v="2"/>
    <s v="DE4-E_A"/>
    <x v="8"/>
    <s v="GNR_WT_WIND_ONS"/>
    <x v="0"/>
    <x v="18"/>
    <n v="2101.86205883598"/>
    <n v="767179.65147513396"/>
    <n v="2761846.7453104798"/>
  </r>
  <r>
    <x v="0"/>
    <x v="0"/>
    <x v="1"/>
    <x v="1"/>
    <x v="2"/>
    <s v="DE4-E_A"/>
    <x v="8"/>
    <s v="GNR_WT_WIND_ONS"/>
    <x v="0"/>
    <x v="19"/>
    <n v="2111.1612506203301"/>
    <n v="770573.856476421"/>
    <n v="2774065.8833151199"/>
  </r>
  <r>
    <x v="0"/>
    <x v="0"/>
    <x v="1"/>
    <x v="1"/>
    <x v="2"/>
    <s v="DE4-E_A"/>
    <x v="8"/>
    <s v="GNR_WT_WIND_ONS"/>
    <x v="0"/>
    <x v="20"/>
    <n v="2218.8361028601498"/>
    <n v="809875.17754395597"/>
    <n v="2915550.6391582401"/>
  </r>
  <r>
    <x v="0"/>
    <x v="0"/>
    <x v="1"/>
    <x v="1"/>
    <x v="2"/>
    <s v="DE4-E_A"/>
    <x v="8"/>
    <s v="GNR_WT_WIND_ONS"/>
    <x v="0"/>
    <x v="21"/>
    <n v="2400.1703426549502"/>
    <n v="876062.17506905505"/>
    <n v="3153823.8302485999"/>
  </r>
  <r>
    <x v="0"/>
    <x v="0"/>
    <x v="1"/>
    <x v="1"/>
    <x v="2"/>
    <s v="DE4-E_A"/>
    <x v="8"/>
    <s v="GNR_WT_WIND_ONS"/>
    <x v="0"/>
    <x v="22"/>
    <n v="2506.2545436685"/>
    <n v="914782.908439002"/>
    <n v="3293218.4703804101"/>
  </r>
  <r>
    <x v="0"/>
    <x v="0"/>
    <x v="1"/>
    <x v="1"/>
    <x v="2"/>
    <s v="DE4-E_A"/>
    <x v="8"/>
    <s v="GNR_WT_WIND_ONS"/>
    <x v="0"/>
    <x v="23"/>
    <n v="2536.59927475427"/>
    <n v="925858.73528530705"/>
    <n v="3333091.44702711"/>
  </r>
  <r>
    <x v="0"/>
    <x v="0"/>
    <x v="1"/>
    <x v="1"/>
    <x v="2"/>
    <s v="DE4-E_Offshore_A"/>
    <x v="8"/>
    <s v="GNR_WT_WIND_OFF"/>
    <x v="0"/>
    <x v="0"/>
    <n v="1441.1134815834801"/>
    <n v="526006.42077797104"/>
    <n v="1893623.11480069"/>
  </r>
  <r>
    <x v="0"/>
    <x v="0"/>
    <x v="1"/>
    <x v="1"/>
    <x v="2"/>
    <s v="DE4-E_Offshore_A"/>
    <x v="8"/>
    <s v="GNR_WT_WIND_OFF"/>
    <x v="0"/>
    <x v="1"/>
    <n v="1334.94624335304"/>
    <n v="487255.37882385898"/>
    <n v="1754119.36376589"/>
  </r>
  <r>
    <x v="0"/>
    <x v="0"/>
    <x v="1"/>
    <x v="1"/>
    <x v="2"/>
    <s v="DE4-E_Offshore_A"/>
    <x v="8"/>
    <s v="GNR_WT_WIND_OFF"/>
    <x v="0"/>
    <x v="2"/>
    <n v="1265.9985541574099"/>
    <n v="462089.47226745298"/>
    <n v="1663522.10016283"/>
  </r>
  <r>
    <x v="0"/>
    <x v="0"/>
    <x v="1"/>
    <x v="1"/>
    <x v="2"/>
    <s v="DE4-E_Offshore_A"/>
    <x v="8"/>
    <s v="GNR_WT_WIND_OFF"/>
    <x v="0"/>
    <x v="3"/>
    <n v="1144.15791976579"/>
    <n v="417617.64071451302"/>
    <n v="1503423.50657225"/>
  </r>
  <r>
    <x v="0"/>
    <x v="0"/>
    <x v="1"/>
    <x v="1"/>
    <x v="2"/>
    <s v="DE4-E_Offshore_A"/>
    <x v="8"/>
    <s v="GNR_WT_WIND_OFF"/>
    <x v="0"/>
    <x v="4"/>
    <n v="1020.06733312719"/>
    <n v="372324.57659142499"/>
    <n v="1340368.47572913"/>
  </r>
  <r>
    <x v="0"/>
    <x v="0"/>
    <x v="1"/>
    <x v="1"/>
    <x v="2"/>
    <s v="DE4-E_Offshore_A"/>
    <x v="8"/>
    <s v="GNR_WT_WIND_OFF"/>
    <x v="0"/>
    <x v="5"/>
    <n v="969.50060974588098"/>
    <n v="353867.72255724698"/>
    <n v="1273923.80120609"/>
  </r>
  <r>
    <x v="0"/>
    <x v="0"/>
    <x v="1"/>
    <x v="1"/>
    <x v="2"/>
    <s v="DE4-E_Offshore_A"/>
    <x v="8"/>
    <s v="GNR_WT_WIND_OFF"/>
    <x v="0"/>
    <x v="6"/>
    <n v="953.56027009777597"/>
    <n v="348049.49858568801"/>
    <n v="1252978.1949084799"/>
  </r>
  <r>
    <x v="0"/>
    <x v="0"/>
    <x v="1"/>
    <x v="1"/>
    <x v="2"/>
    <s v="DE4-E_Offshore_A"/>
    <x v="8"/>
    <s v="GNR_WT_WIND_OFF"/>
    <x v="0"/>
    <x v="7"/>
    <n v="980.40715792616299"/>
    <n v="357848.61264304997"/>
    <n v="1288255.0055149801"/>
  </r>
  <r>
    <x v="0"/>
    <x v="0"/>
    <x v="1"/>
    <x v="1"/>
    <x v="2"/>
    <s v="DE4-E_Offshore_A"/>
    <x v="8"/>
    <s v="GNR_WT_WIND_OFF"/>
    <x v="0"/>
    <x v="8"/>
    <n v="1173.3691641927001"/>
    <n v="428279.74493033497"/>
    <n v="1541807.0817492099"/>
  </r>
  <r>
    <x v="0"/>
    <x v="0"/>
    <x v="1"/>
    <x v="1"/>
    <x v="2"/>
    <s v="DE4-E_Offshore_A"/>
    <x v="8"/>
    <s v="GNR_WT_WIND_OFF"/>
    <x v="0"/>
    <x v="9"/>
    <n v="1328.4633300990199"/>
    <n v="484889.11548614397"/>
    <n v="1745600.81575012"/>
  </r>
  <r>
    <x v="0"/>
    <x v="0"/>
    <x v="1"/>
    <x v="1"/>
    <x v="2"/>
    <s v="DE4-E_Offshore_A"/>
    <x v="8"/>
    <s v="GNR_WT_WIND_OFF"/>
    <x v="0"/>
    <x v="10"/>
    <n v="1283.8837677817201"/>
    <n v="468617.575240326"/>
    <n v="1687023.2708651801"/>
  </r>
  <r>
    <x v="0"/>
    <x v="0"/>
    <x v="1"/>
    <x v="1"/>
    <x v="2"/>
    <s v="DE4-E_Offshore_A"/>
    <x v="8"/>
    <s v="GNR_WT_WIND_OFF"/>
    <x v="0"/>
    <x v="11"/>
    <n v="1174.2843990050301"/>
    <n v="428613.80563683598"/>
    <n v="1543009.7002926101"/>
  </r>
  <r>
    <x v="0"/>
    <x v="0"/>
    <x v="1"/>
    <x v="1"/>
    <x v="2"/>
    <s v="DE4-E_Offshore_A"/>
    <x v="8"/>
    <s v="GNR_WT_WIND_OFF"/>
    <x v="0"/>
    <x v="12"/>
    <n v="1193.7712735509199"/>
    <n v="435726.51484608598"/>
    <n v="1568615.45344591"/>
  </r>
  <r>
    <x v="0"/>
    <x v="0"/>
    <x v="1"/>
    <x v="1"/>
    <x v="2"/>
    <s v="DE4-E_Offshore_A"/>
    <x v="8"/>
    <s v="GNR_WT_WIND_OFF"/>
    <x v="0"/>
    <x v="13"/>
    <n v="1210.8175219305899"/>
    <n v="441948.39550466603"/>
    <n v="1591014.2238167999"/>
  </r>
  <r>
    <x v="0"/>
    <x v="0"/>
    <x v="1"/>
    <x v="1"/>
    <x v="2"/>
    <s v="DE4-E_Offshore_A"/>
    <x v="8"/>
    <s v="GNR_WT_WIND_OFF"/>
    <x v="0"/>
    <x v="14"/>
    <n v="1216.8428177784399"/>
    <n v="444147.62848913099"/>
    <n v="1598931.46256087"/>
  </r>
  <r>
    <x v="0"/>
    <x v="0"/>
    <x v="1"/>
    <x v="1"/>
    <x v="2"/>
    <s v="DE4-E_Offshore_A"/>
    <x v="8"/>
    <s v="GNR_WT_WIND_OFF"/>
    <x v="0"/>
    <x v="15"/>
    <n v="1138.4377021887201"/>
    <n v="415529.76129888202"/>
    <n v="1495907.1406759799"/>
  </r>
  <r>
    <x v="0"/>
    <x v="0"/>
    <x v="1"/>
    <x v="1"/>
    <x v="2"/>
    <s v="DE4-E_Offshore_A"/>
    <x v="8"/>
    <s v="GNR_WT_WIND_OFF"/>
    <x v="0"/>
    <x v="16"/>
    <n v="1029.0290073312699"/>
    <n v="375595.587675913"/>
    <n v="1352144.11563329"/>
  </r>
  <r>
    <x v="0"/>
    <x v="0"/>
    <x v="1"/>
    <x v="1"/>
    <x v="2"/>
    <s v="DE4-E_Offshore_A"/>
    <x v="8"/>
    <s v="GNR_WT_WIND_OFF"/>
    <x v="0"/>
    <x v="17"/>
    <n v="852.61749725439199"/>
    <n v="311205.38649785297"/>
    <n v="1120339.3913922701"/>
  </r>
  <r>
    <x v="0"/>
    <x v="0"/>
    <x v="1"/>
    <x v="1"/>
    <x v="2"/>
    <s v="DE4-E_Offshore_A"/>
    <x v="8"/>
    <s v="GNR_WT_WIND_OFF"/>
    <x v="0"/>
    <x v="18"/>
    <n v="655.07931692619798"/>
    <n v="239103.95067806201"/>
    <n v="860774.22244102496"/>
  </r>
  <r>
    <x v="0"/>
    <x v="0"/>
    <x v="1"/>
    <x v="1"/>
    <x v="2"/>
    <s v="DE4-E_Offshore_A"/>
    <x v="8"/>
    <s v="GNR_WT_WIND_OFF"/>
    <x v="0"/>
    <x v="19"/>
    <n v="657.97756049858106"/>
    <n v="240161.809581982"/>
    <n v="864582.51449513598"/>
  </r>
  <r>
    <x v="0"/>
    <x v="0"/>
    <x v="1"/>
    <x v="1"/>
    <x v="2"/>
    <s v="DE4-E_Offshore_A"/>
    <x v="8"/>
    <s v="GNR_WT_WIND_OFF"/>
    <x v="0"/>
    <x v="20"/>
    <n v="691.53617028406597"/>
    <n v="252410.70215368399"/>
    <n v="908678.52775326197"/>
  </r>
  <r>
    <x v="0"/>
    <x v="0"/>
    <x v="1"/>
    <x v="1"/>
    <x v="2"/>
    <s v="DE4-E_Offshore_A"/>
    <x v="8"/>
    <s v="GNR_WT_WIND_OFF"/>
    <x v="0"/>
    <x v="21"/>
    <n v="748.05191994553002"/>
    <n v="273038.950780118"/>
    <n v="982940.22280842601"/>
  </r>
  <r>
    <x v="0"/>
    <x v="0"/>
    <x v="1"/>
    <x v="1"/>
    <x v="2"/>
    <s v="DE4-E_Offshore_A"/>
    <x v="8"/>
    <s v="GNR_WT_WIND_OFF"/>
    <x v="0"/>
    <x v="22"/>
    <n v="781.11477754100099"/>
    <n v="285106.893802465"/>
    <n v="1026384.81768888"/>
  </r>
  <r>
    <x v="0"/>
    <x v="0"/>
    <x v="1"/>
    <x v="1"/>
    <x v="2"/>
    <s v="DE4-E_Offshore_A"/>
    <x v="8"/>
    <s v="GNR_WT_WIND_OFF"/>
    <x v="0"/>
    <x v="23"/>
    <n v="790.57220393509203"/>
    <n v="288558.85443630902"/>
    <n v="1038811.87597071"/>
  </r>
  <r>
    <x v="0"/>
    <x v="0"/>
    <x v="1"/>
    <x v="1"/>
    <x v="3"/>
    <s v="DE4-N_A"/>
    <x v="10"/>
    <s v="AGG-DE4-N_ES_ELEC"/>
    <x v="0"/>
    <x v="19"/>
    <n v="5.8410958904109604E-4"/>
    <n v="0.2132"/>
    <n v="0.76751999999999998"/>
  </r>
  <r>
    <x v="0"/>
    <x v="0"/>
    <x v="1"/>
    <x v="1"/>
    <x v="3"/>
    <s v="DE4-N_A"/>
    <x v="10"/>
    <s v="AGG-DE4-N_RES_WTR_PMP"/>
    <x v="0"/>
    <x v="0"/>
    <n v="952.8"/>
    <n v="347772"/>
    <n v="1251979.2"/>
  </r>
  <r>
    <x v="0"/>
    <x v="0"/>
    <x v="1"/>
    <x v="1"/>
    <x v="3"/>
    <s v="DE4-N_A"/>
    <x v="10"/>
    <s v="AGG-DE4-N_RES_WTR_PMP"/>
    <x v="0"/>
    <x v="1"/>
    <n v="952.8"/>
    <n v="347772"/>
    <n v="1251979.2"/>
  </r>
  <r>
    <x v="0"/>
    <x v="0"/>
    <x v="1"/>
    <x v="1"/>
    <x v="3"/>
    <s v="DE4-N_A"/>
    <x v="10"/>
    <s v="AGG-DE4-N_RES_WTR_PMP"/>
    <x v="0"/>
    <x v="2"/>
    <n v="952.8"/>
    <n v="347772"/>
    <n v="1251979.2"/>
  </r>
  <r>
    <x v="0"/>
    <x v="0"/>
    <x v="1"/>
    <x v="1"/>
    <x v="3"/>
    <s v="DE4-N_A"/>
    <x v="10"/>
    <s v="AGG-DE4-N_RES_WTR_PMP"/>
    <x v="0"/>
    <x v="3"/>
    <n v="952.8"/>
    <n v="347772"/>
    <n v="1251979.2"/>
  </r>
  <r>
    <x v="0"/>
    <x v="0"/>
    <x v="1"/>
    <x v="1"/>
    <x v="3"/>
    <s v="DE4-N_A"/>
    <x v="10"/>
    <s v="AGG-DE4-N_RES_WTR_PMP"/>
    <x v="0"/>
    <x v="4"/>
    <n v="952.8"/>
    <n v="347772"/>
    <n v="1251979.2"/>
  </r>
  <r>
    <x v="0"/>
    <x v="0"/>
    <x v="1"/>
    <x v="1"/>
    <x v="3"/>
    <s v="DE4-N_A"/>
    <x v="10"/>
    <s v="AGG-DE4-N_RES_WTR_PMP"/>
    <x v="0"/>
    <x v="5"/>
    <n v="952.8"/>
    <n v="347772"/>
    <n v="1251979.2"/>
  </r>
  <r>
    <x v="0"/>
    <x v="0"/>
    <x v="1"/>
    <x v="1"/>
    <x v="3"/>
    <s v="DE4-N_A"/>
    <x v="10"/>
    <s v="AGG-DE4-N_RES_WTR_PMP"/>
    <x v="0"/>
    <x v="6"/>
    <n v="952.8"/>
    <n v="347772"/>
    <n v="1251979.2"/>
  </r>
  <r>
    <x v="0"/>
    <x v="0"/>
    <x v="1"/>
    <x v="1"/>
    <x v="3"/>
    <s v="DE4-N_A"/>
    <x v="10"/>
    <s v="AGG-DE4-N_RES_WTR_PMP"/>
    <x v="0"/>
    <x v="7"/>
    <n v="952.8"/>
    <n v="347772"/>
    <n v="1251979.2"/>
  </r>
  <r>
    <x v="0"/>
    <x v="0"/>
    <x v="1"/>
    <x v="1"/>
    <x v="3"/>
    <s v="DE4-N_A"/>
    <x v="10"/>
    <s v="AGG-DE4-N_RES_WTR_PMP"/>
    <x v="0"/>
    <x v="8"/>
    <n v="952.8"/>
    <n v="347772"/>
    <n v="1251979.2"/>
  </r>
  <r>
    <x v="0"/>
    <x v="0"/>
    <x v="1"/>
    <x v="1"/>
    <x v="3"/>
    <s v="DE4-N_A"/>
    <x v="10"/>
    <s v="AGG-DE4-N_RES_WTR_PMP"/>
    <x v="0"/>
    <x v="9"/>
    <n v="952.8"/>
    <n v="347772"/>
    <n v="1251979.2"/>
  </r>
  <r>
    <x v="0"/>
    <x v="0"/>
    <x v="1"/>
    <x v="1"/>
    <x v="3"/>
    <s v="DE4-N_A"/>
    <x v="10"/>
    <s v="AGG-DE4-N_RES_WTR_PMP"/>
    <x v="0"/>
    <x v="10"/>
    <n v="952.8"/>
    <n v="347772"/>
    <n v="1251979.2"/>
  </r>
  <r>
    <x v="0"/>
    <x v="0"/>
    <x v="1"/>
    <x v="1"/>
    <x v="3"/>
    <s v="DE4-N_A"/>
    <x v="10"/>
    <s v="AGG-DE4-N_RES_WTR_PMP"/>
    <x v="0"/>
    <x v="11"/>
    <n v="952.8"/>
    <n v="347772"/>
    <n v="1251979.2"/>
  </r>
  <r>
    <x v="0"/>
    <x v="0"/>
    <x v="1"/>
    <x v="1"/>
    <x v="3"/>
    <s v="DE4-N_A"/>
    <x v="10"/>
    <s v="AGG-DE4-N_RES_WTR_PMP"/>
    <x v="0"/>
    <x v="12"/>
    <n v="952.8"/>
    <n v="347772"/>
    <n v="1251979.2"/>
  </r>
  <r>
    <x v="0"/>
    <x v="0"/>
    <x v="1"/>
    <x v="1"/>
    <x v="3"/>
    <s v="DE4-N_A"/>
    <x v="10"/>
    <s v="AGG-DE4-N_RES_WTR_PMP"/>
    <x v="0"/>
    <x v="13"/>
    <n v="952.8"/>
    <n v="347772"/>
    <n v="1251979.2"/>
  </r>
  <r>
    <x v="0"/>
    <x v="0"/>
    <x v="1"/>
    <x v="1"/>
    <x v="3"/>
    <s v="DE4-N_A"/>
    <x v="10"/>
    <s v="AGG-DE4-N_RES_WTR_PMP"/>
    <x v="0"/>
    <x v="14"/>
    <n v="952.8"/>
    <n v="347772"/>
    <n v="1251979.2"/>
  </r>
  <r>
    <x v="0"/>
    <x v="0"/>
    <x v="1"/>
    <x v="1"/>
    <x v="3"/>
    <s v="DE4-N_A"/>
    <x v="10"/>
    <s v="AGG-DE4-N_RES_WTR_PMP"/>
    <x v="0"/>
    <x v="15"/>
    <n v="952.8"/>
    <n v="347772"/>
    <n v="1251979.2"/>
  </r>
  <r>
    <x v="0"/>
    <x v="0"/>
    <x v="1"/>
    <x v="1"/>
    <x v="3"/>
    <s v="DE4-N_A"/>
    <x v="10"/>
    <s v="AGG-DE4-N_RES_WTR_PMP"/>
    <x v="0"/>
    <x v="16"/>
    <n v="952.8"/>
    <n v="347772"/>
    <n v="1251979.2"/>
  </r>
  <r>
    <x v="0"/>
    <x v="0"/>
    <x v="1"/>
    <x v="1"/>
    <x v="3"/>
    <s v="DE4-N_A"/>
    <x v="10"/>
    <s v="AGG-DE4-N_RES_WTR_PMP"/>
    <x v="0"/>
    <x v="17"/>
    <n v="952.8"/>
    <n v="347772"/>
    <n v="1251979.2"/>
  </r>
  <r>
    <x v="0"/>
    <x v="0"/>
    <x v="1"/>
    <x v="1"/>
    <x v="3"/>
    <s v="DE4-N_A"/>
    <x v="10"/>
    <s v="AGG-DE4-N_RES_WTR_PMP"/>
    <x v="0"/>
    <x v="18"/>
    <n v="952.8"/>
    <n v="347772"/>
    <n v="1251979.2"/>
  </r>
  <r>
    <x v="0"/>
    <x v="0"/>
    <x v="1"/>
    <x v="1"/>
    <x v="3"/>
    <s v="DE4-N_A"/>
    <x v="10"/>
    <s v="AGG-DE4-N_RES_WTR_PMP"/>
    <x v="0"/>
    <x v="19"/>
    <n v="952.8"/>
    <n v="347772"/>
    <n v="1251979.2"/>
  </r>
  <r>
    <x v="0"/>
    <x v="0"/>
    <x v="1"/>
    <x v="1"/>
    <x v="3"/>
    <s v="DE4-N_A"/>
    <x v="10"/>
    <s v="AGG-DE4-N_RES_WTR_PMP"/>
    <x v="0"/>
    <x v="20"/>
    <n v="952.8"/>
    <n v="347772"/>
    <n v="1251979.2"/>
  </r>
  <r>
    <x v="0"/>
    <x v="0"/>
    <x v="1"/>
    <x v="1"/>
    <x v="3"/>
    <s v="DE4-N_A"/>
    <x v="10"/>
    <s v="AGG-DE4-N_RES_WTR_PMP"/>
    <x v="0"/>
    <x v="21"/>
    <n v="952.8"/>
    <n v="347772"/>
    <n v="1251979.2"/>
  </r>
  <r>
    <x v="0"/>
    <x v="0"/>
    <x v="1"/>
    <x v="1"/>
    <x v="3"/>
    <s v="DE4-N_A"/>
    <x v="10"/>
    <s v="AGG-DE4-N_RES_WTR_PMP"/>
    <x v="0"/>
    <x v="22"/>
    <n v="952.8"/>
    <n v="347772"/>
    <n v="1251979.2"/>
  </r>
  <r>
    <x v="0"/>
    <x v="0"/>
    <x v="1"/>
    <x v="1"/>
    <x v="3"/>
    <s v="DE4-N_A"/>
    <x v="10"/>
    <s v="AGG-DE4-N_RES_WTR_PMP"/>
    <x v="0"/>
    <x v="23"/>
    <n v="952.8"/>
    <n v="347772"/>
    <n v="1251979.2"/>
  </r>
  <r>
    <x v="0"/>
    <x v="0"/>
    <x v="1"/>
    <x v="1"/>
    <x v="3"/>
    <s v="DE4-N_A"/>
    <x v="6"/>
    <s v="GNR_PV_SUN"/>
    <x v="0"/>
    <x v="6"/>
    <n v="7.9506761137622899"/>
    <n v="2901.9967815232299"/>
    <n v="10447.1884134836"/>
  </r>
  <r>
    <x v="0"/>
    <x v="0"/>
    <x v="1"/>
    <x v="1"/>
    <x v="3"/>
    <s v="DE4-N_A"/>
    <x v="6"/>
    <s v="GNR_PV_SUN"/>
    <x v="0"/>
    <x v="7"/>
    <n v="84.801573102745394"/>
    <n v="30952.5741825021"/>
    <n v="111429.267057007"/>
  </r>
  <r>
    <x v="0"/>
    <x v="0"/>
    <x v="1"/>
    <x v="1"/>
    <x v="3"/>
    <s v="DE4-N_A"/>
    <x v="6"/>
    <s v="GNR_PV_SUN"/>
    <x v="0"/>
    <x v="8"/>
    <n v="247.46902312389"/>
    <n v="90326.193440219999"/>
    <n v="325174.29638479202"/>
  </r>
  <r>
    <x v="0"/>
    <x v="0"/>
    <x v="1"/>
    <x v="1"/>
    <x v="3"/>
    <s v="DE4-N_A"/>
    <x v="6"/>
    <s v="GNR_PV_SUN"/>
    <x v="0"/>
    <x v="9"/>
    <n v="404.012760904223"/>
    <n v="147464.65773004101"/>
    <n v="530872.76782814902"/>
  </r>
  <r>
    <x v="0"/>
    <x v="0"/>
    <x v="1"/>
    <x v="1"/>
    <x v="3"/>
    <s v="DE4-N_A"/>
    <x v="6"/>
    <s v="GNR_PV_SUN"/>
    <x v="0"/>
    <x v="10"/>
    <n v="538.446852555433"/>
    <n v="196533.10118273299"/>
    <n v="707519.16425783897"/>
  </r>
  <r>
    <x v="0"/>
    <x v="0"/>
    <x v="1"/>
    <x v="1"/>
    <x v="3"/>
    <s v="DE4-N_A"/>
    <x v="6"/>
    <s v="GNR_PV_SUN"/>
    <x v="0"/>
    <x v="11"/>
    <n v="624.53406690210602"/>
    <n v="227954.934419269"/>
    <n v="820637.76390936703"/>
  </r>
  <r>
    <x v="0"/>
    <x v="0"/>
    <x v="1"/>
    <x v="1"/>
    <x v="3"/>
    <s v="DE4-N_A"/>
    <x v="6"/>
    <s v="GNR_PV_SUN"/>
    <x v="0"/>
    <x v="12"/>
    <n v="660.56585439639002"/>
    <n v="241106.536854682"/>
    <n v="867983.53267685696"/>
  </r>
  <r>
    <x v="0"/>
    <x v="0"/>
    <x v="1"/>
    <x v="1"/>
    <x v="3"/>
    <s v="DE4-N_A"/>
    <x v="6"/>
    <s v="GNR_PV_SUN"/>
    <x v="0"/>
    <x v="13"/>
    <n v="664.32128013523095"/>
    <n v="242477.26724935899"/>
    <n v="872918.162097694"/>
  </r>
  <r>
    <x v="0"/>
    <x v="0"/>
    <x v="1"/>
    <x v="1"/>
    <x v="3"/>
    <s v="DE4-N_A"/>
    <x v="6"/>
    <s v="GNR_PV_SUN"/>
    <x v="0"/>
    <x v="14"/>
    <n v="571.907357561862"/>
    <n v="208746.18551007999"/>
    <n v="751486.26783628704"/>
  </r>
  <r>
    <x v="0"/>
    <x v="0"/>
    <x v="1"/>
    <x v="1"/>
    <x v="3"/>
    <s v="DE4-N_A"/>
    <x v="6"/>
    <s v="GNR_PV_SUN"/>
    <x v="0"/>
    <x v="15"/>
    <n v="432.90585622827803"/>
    <n v="158010.637523321"/>
    <n v="568838.29508395703"/>
  </r>
  <r>
    <x v="0"/>
    <x v="0"/>
    <x v="1"/>
    <x v="1"/>
    <x v="3"/>
    <s v="DE4-N_A"/>
    <x v="6"/>
    <s v="GNR_PV_SUN"/>
    <x v="0"/>
    <x v="16"/>
    <n v="275.83771215107998"/>
    <n v="100680.764935144"/>
    <n v="362450.75376652001"/>
  </r>
  <r>
    <x v="0"/>
    <x v="0"/>
    <x v="1"/>
    <x v="1"/>
    <x v="3"/>
    <s v="DE4-N_A"/>
    <x v="6"/>
    <s v="GNR_PV_SUN"/>
    <x v="0"/>
    <x v="17"/>
    <n v="104.762845047936"/>
    <n v="38238.438442496597"/>
    <n v="137658.378392988"/>
  </r>
  <r>
    <x v="0"/>
    <x v="0"/>
    <x v="1"/>
    <x v="1"/>
    <x v="3"/>
    <s v="DE4-N_A"/>
    <x v="6"/>
    <s v="GNR_PV_SUN"/>
    <x v="0"/>
    <x v="18"/>
    <n v="8.5765804035691104"/>
    <n v="3130.4518473027201"/>
    <n v="11269.6266502898"/>
  </r>
  <r>
    <x v="0"/>
    <x v="0"/>
    <x v="1"/>
    <x v="1"/>
    <x v="3"/>
    <s v="DE4-N_A"/>
    <x v="2"/>
    <s v="GNR_GEO_HEAT_EO"/>
    <x v="0"/>
    <x v="0"/>
    <n v="0.01"/>
    <n v="3.65"/>
    <n v="13.14"/>
  </r>
  <r>
    <x v="0"/>
    <x v="0"/>
    <x v="1"/>
    <x v="1"/>
    <x v="3"/>
    <s v="DE4-N_A"/>
    <x v="2"/>
    <s v="GNR_GEO_HEAT_EO"/>
    <x v="0"/>
    <x v="1"/>
    <n v="0.01"/>
    <n v="3.65"/>
    <n v="13.14"/>
  </r>
  <r>
    <x v="0"/>
    <x v="0"/>
    <x v="1"/>
    <x v="1"/>
    <x v="3"/>
    <s v="DE4-N_A"/>
    <x v="2"/>
    <s v="GNR_GEO_HEAT_EO"/>
    <x v="0"/>
    <x v="2"/>
    <n v="0.01"/>
    <n v="3.65"/>
    <n v="13.14"/>
  </r>
  <r>
    <x v="0"/>
    <x v="0"/>
    <x v="1"/>
    <x v="1"/>
    <x v="3"/>
    <s v="DE4-N_A"/>
    <x v="2"/>
    <s v="GNR_GEO_HEAT_EO"/>
    <x v="0"/>
    <x v="3"/>
    <n v="0.01"/>
    <n v="3.65"/>
    <n v="13.14"/>
  </r>
  <r>
    <x v="0"/>
    <x v="0"/>
    <x v="1"/>
    <x v="1"/>
    <x v="3"/>
    <s v="DE4-N_A"/>
    <x v="2"/>
    <s v="GNR_GEO_HEAT_EO"/>
    <x v="0"/>
    <x v="4"/>
    <n v="0.01"/>
    <n v="3.65"/>
    <n v="13.14"/>
  </r>
  <r>
    <x v="0"/>
    <x v="0"/>
    <x v="1"/>
    <x v="1"/>
    <x v="3"/>
    <s v="DE4-N_A"/>
    <x v="2"/>
    <s v="GNR_GEO_HEAT_EO"/>
    <x v="0"/>
    <x v="5"/>
    <n v="0.01"/>
    <n v="3.65"/>
    <n v="13.14"/>
  </r>
  <r>
    <x v="0"/>
    <x v="0"/>
    <x v="1"/>
    <x v="1"/>
    <x v="3"/>
    <s v="DE4-N_A"/>
    <x v="2"/>
    <s v="GNR_GEO_HEAT_EO"/>
    <x v="0"/>
    <x v="6"/>
    <n v="0.01"/>
    <n v="3.65"/>
    <n v="13.14"/>
  </r>
  <r>
    <x v="0"/>
    <x v="0"/>
    <x v="1"/>
    <x v="1"/>
    <x v="3"/>
    <s v="DE4-N_A"/>
    <x v="2"/>
    <s v="GNR_GEO_HEAT_EO"/>
    <x v="0"/>
    <x v="7"/>
    <n v="0.01"/>
    <n v="3.65"/>
    <n v="13.14"/>
  </r>
  <r>
    <x v="0"/>
    <x v="0"/>
    <x v="1"/>
    <x v="1"/>
    <x v="3"/>
    <s v="DE4-N_A"/>
    <x v="2"/>
    <s v="GNR_GEO_HEAT_EO"/>
    <x v="0"/>
    <x v="8"/>
    <n v="0.01"/>
    <n v="3.65"/>
    <n v="13.14"/>
  </r>
  <r>
    <x v="0"/>
    <x v="0"/>
    <x v="1"/>
    <x v="1"/>
    <x v="3"/>
    <s v="DE4-N_A"/>
    <x v="2"/>
    <s v="GNR_GEO_HEAT_EO"/>
    <x v="0"/>
    <x v="9"/>
    <n v="0.01"/>
    <n v="3.65"/>
    <n v="13.14"/>
  </r>
  <r>
    <x v="0"/>
    <x v="0"/>
    <x v="1"/>
    <x v="1"/>
    <x v="3"/>
    <s v="DE4-N_A"/>
    <x v="2"/>
    <s v="GNR_GEO_HEAT_EO"/>
    <x v="0"/>
    <x v="10"/>
    <n v="0.01"/>
    <n v="3.65"/>
    <n v="13.14"/>
  </r>
  <r>
    <x v="0"/>
    <x v="0"/>
    <x v="1"/>
    <x v="1"/>
    <x v="3"/>
    <s v="DE4-N_A"/>
    <x v="2"/>
    <s v="GNR_GEO_HEAT_EO"/>
    <x v="0"/>
    <x v="11"/>
    <n v="0.01"/>
    <n v="3.65"/>
    <n v="13.14"/>
  </r>
  <r>
    <x v="0"/>
    <x v="0"/>
    <x v="1"/>
    <x v="1"/>
    <x v="3"/>
    <s v="DE4-N_A"/>
    <x v="2"/>
    <s v="GNR_GEO_HEAT_EO"/>
    <x v="0"/>
    <x v="12"/>
    <n v="0.01"/>
    <n v="3.65"/>
    <n v="13.14"/>
  </r>
  <r>
    <x v="0"/>
    <x v="0"/>
    <x v="1"/>
    <x v="1"/>
    <x v="3"/>
    <s v="DE4-N_A"/>
    <x v="2"/>
    <s v="GNR_GEO_HEAT_EO"/>
    <x v="0"/>
    <x v="13"/>
    <n v="0.01"/>
    <n v="3.65"/>
    <n v="13.14"/>
  </r>
  <r>
    <x v="0"/>
    <x v="0"/>
    <x v="1"/>
    <x v="1"/>
    <x v="3"/>
    <s v="DE4-N_A"/>
    <x v="2"/>
    <s v="GNR_GEO_HEAT_EO"/>
    <x v="0"/>
    <x v="14"/>
    <n v="0.01"/>
    <n v="3.65"/>
    <n v="13.14"/>
  </r>
  <r>
    <x v="0"/>
    <x v="0"/>
    <x v="1"/>
    <x v="1"/>
    <x v="3"/>
    <s v="DE4-N_A"/>
    <x v="2"/>
    <s v="GNR_GEO_HEAT_EO"/>
    <x v="0"/>
    <x v="15"/>
    <n v="0.01"/>
    <n v="3.65"/>
    <n v="13.14"/>
  </r>
  <r>
    <x v="0"/>
    <x v="0"/>
    <x v="1"/>
    <x v="1"/>
    <x v="3"/>
    <s v="DE4-N_A"/>
    <x v="2"/>
    <s v="GNR_GEO_HEAT_EO"/>
    <x v="0"/>
    <x v="16"/>
    <n v="0.01"/>
    <n v="3.65"/>
    <n v="13.14"/>
  </r>
  <r>
    <x v="0"/>
    <x v="0"/>
    <x v="1"/>
    <x v="1"/>
    <x v="3"/>
    <s v="DE4-N_A"/>
    <x v="2"/>
    <s v="GNR_GEO_HEAT_EO"/>
    <x v="0"/>
    <x v="17"/>
    <n v="0.01"/>
    <n v="3.65"/>
    <n v="13.14"/>
  </r>
  <r>
    <x v="0"/>
    <x v="0"/>
    <x v="1"/>
    <x v="1"/>
    <x v="3"/>
    <s v="DE4-N_A"/>
    <x v="2"/>
    <s v="GNR_GEO_HEAT_EO"/>
    <x v="0"/>
    <x v="18"/>
    <n v="0.01"/>
    <n v="3.65"/>
    <n v="13.14"/>
  </r>
  <r>
    <x v="0"/>
    <x v="0"/>
    <x v="1"/>
    <x v="1"/>
    <x v="3"/>
    <s v="DE4-N_A"/>
    <x v="2"/>
    <s v="GNR_GEO_HEAT_EO"/>
    <x v="0"/>
    <x v="19"/>
    <n v="0.01"/>
    <n v="3.65"/>
    <n v="13.14"/>
  </r>
  <r>
    <x v="0"/>
    <x v="0"/>
    <x v="1"/>
    <x v="1"/>
    <x v="3"/>
    <s v="DE4-N_A"/>
    <x v="2"/>
    <s v="GNR_GEO_HEAT_EO"/>
    <x v="0"/>
    <x v="20"/>
    <n v="0.01"/>
    <n v="3.65"/>
    <n v="13.14"/>
  </r>
  <r>
    <x v="0"/>
    <x v="0"/>
    <x v="1"/>
    <x v="1"/>
    <x v="3"/>
    <s v="DE4-N_A"/>
    <x v="2"/>
    <s v="GNR_GEO_HEAT_EO"/>
    <x v="0"/>
    <x v="21"/>
    <n v="0.01"/>
    <n v="3.65"/>
    <n v="13.14"/>
  </r>
  <r>
    <x v="0"/>
    <x v="0"/>
    <x v="1"/>
    <x v="1"/>
    <x v="3"/>
    <s v="DE4-N_A"/>
    <x v="2"/>
    <s v="GNR_GEO_HEAT_EO"/>
    <x v="0"/>
    <x v="22"/>
    <n v="0.01"/>
    <n v="3.65"/>
    <n v="13.14"/>
  </r>
  <r>
    <x v="0"/>
    <x v="0"/>
    <x v="1"/>
    <x v="1"/>
    <x v="3"/>
    <s v="DE4-N_A"/>
    <x v="2"/>
    <s v="GNR_GEO_HEAT_EO"/>
    <x v="0"/>
    <x v="23"/>
    <n v="0.01"/>
    <n v="3.65"/>
    <n v="13.14"/>
  </r>
  <r>
    <x v="0"/>
    <x v="0"/>
    <x v="1"/>
    <x v="1"/>
    <x v="3"/>
    <s v="DE4-N_A"/>
    <x v="7"/>
    <s v="GNR_ROR_WTR"/>
    <x v="0"/>
    <x v="0"/>
    <n v="2.9651192288178598"/>
    <n v="1082.2685185185201"/>
    <n v="3896.1666666666702"/>
  </r>
  <r>
    <x v="0"/>
    <x v="0"/>
    <x v="1"/>
    <x v="1"/>
    <x v="3"/>
    <s v="DE4-N_A"/>
    <x v="7"/>
    <s v="GNR_ROR_WTR"/>
    <x v="0"/>
    <x v="1"/>
    <n v="2.9651192288178598"/>
    <n v="1082.2685185185201"/>
    <n v="3896.1666666666702"/>
  </r>
  <r>
    <x v="0"/>
    <x v="0"/>
    <x v="1"/>
    <x v="1"/>
    <x v="3"/>
    <s v="DE4-N_A"/>
    <x v="7"/>
    <s v="GNR_ROR_WTR"/>
    <x v="0"/>
    <x v="2"/>
    <n v="2.9651192288178598"/>
    <n v="1082.2685185185201"/>
    <n v="3896.1666666666702"/>
  </r>
  <r>
    <x v="0"/>
    <x v="0"/>
    <x v="1"/>
    <x v="1"/>
    <x v="3"/>
    <s v="DE4-N_A"/>
    <x v="7"/>
    <s v="GNR_ROR_WTR"/>
    <x v="0"/>
    <x v="3"/>
    <n v="2.9651192288178598"/>
    <n v="1082.2685185185201"/>
    <n v="3896.1666666666702"/>
  </r>
  <r>
    <x v="0"/>
    <x v="0"/>
    <x v="1"/>
    <x v="1"/>
    <x v="3"/>
    <s v="DE4-N_A"/>
    <x v="7"/>
    <s v="GNR_ROR_WTR"/>
    <x v="0"/>
    <x v="4"/>
    <n v="2.9651192288178598"/>
    <n v="1082.2685185185201"/>
    <n v="3896.1666666666702"/>
  </r>
  <r>
    <x v="0"/>
    <x v="0"/>
    <x v="1"/>
    <x v="1"/>
    <x v="3"/>
    <s v="DE4-N_A"/>
    <x v="7"/>
    <s v="GNR_ROR_WTR"/>
    <x v="0"/>
    <x v="5"/>
    <n v="2.9651192288178598"/>
    <n v="1082.2685185185201"/>
    <n v="3896.1666666666702"/>
  </r>
  <r>
    <x v="0"/>
    <x v="0"/>
    <x v="1"/>
    <x v="1"/>
    <x v="3"/>
    <s v="DE4-N_A"/>
    <x v="7"/>
    <s v="GNR_ROR_WTR"/>
    <x v="0"/>
    <x v="6"/>
    <n v="2.9651192288178598"/>
    <n v="1082.2685185185201"/>
    <n v="3896.1666666666702"/>
  </r>
  <r>
    <x v="0"/>
    <x v="0"/>
    <x v="1"/>
    <x v="1"/>
    <x v="3"/>
    <s v="DE4-N_A"/>
    <x v="7"/>
    <s v="GNR_ROR_WTR"/>
    <x v="0"/>
    <x v="7"/>
    <n v="2.9651192288178598"/>
    <n v="1082.2685185185201"/>
    <n v="3896.1666666666702"/>
  </r>
  <r>
    <x v="0"/>
    <x v="0"/>
    <x v="1"/>
    <x v="1"/>
    <x v="3"/>
    <s v="DE4-N_A"/>
    <x v="7"/>
    <s v="GNR_ROR_WTR"/>
    <x v="0"/>
    <x v="8"/>
    <n v="2.9651192288178598"/>
    <n v="1082.2685185185201"/>
    <n v="3896.1666666666702"/>
  </r>
  <r>
    <x v="0"/>
    <x v="0"/>
    <x v="1"/>
    <x v="1"/>
    <x v="3"/>
    <s v="DE4-N_A"/>
    <x v="7"/>
    <s v="GNR_ROR_WTR"/>
    <x v="0"/>
    <x v="9"/>
    <n v="2.9651192288178598"/>
    <n v="1082.2685185185201"/>
    <n v="3896.1666666666702"/>
  </r>
  <r>
    <x v="0"/>
    <x v="0"/>
    <x v="1"/>
    <x v="1"/>
    <x v="3"/>
    <s v="DE4-N_A"/>
    <x v="7"/>
    <s v="GNR_ROR_WTR"/>
    <x v="0"/>
    <x v="10"/>
    <n v="2.9651192288178598"/>
    <n v="1082.2685185185201"/>
    <n v="3896.1666666666702"/>
  </r>
  <r>
    <x v="0"/>
    <x v="0"/>
    <x v="1"/>
    <x v="1"/>
    <x v="3"/>
    <s v="DE4-N_A"/>
    <x v="7"/>
    <s v="GNR_ROR_WTR"/>
    <x v="0"/>
    <x v="11"/>
    <n v="2.9651192288178598"/>
    <n v="1082.2685185185201"/>
    <n v="3896.1666666666702"/>
  </r>
  <r>
    <x v="0"/>
    <x v="0"/>
    <x v="1"/>
    <x v="1"/>
    <x v="3"/>
    <s v="DE4-N_A"/>
    <x v="7"/>
    <s v="GNR_ROR_WTR"/>
    <x v="0"/>
    <x v="12"/>
    <n v="2.9651192288178598"/>
    <n v="1082.2685185185201"/>
    <n v="3896.1666666666702"/>
  </r>
  <r>
    <x v="0"/>
    <x v="0"/>
    <x v="1"/>
    <x v="1"/>
    <x v="3"/>
    <s v="DE4-N_A"/>
    <x v="7"/>
    <s v="GNR_ROR_WTR"/>
    <x v="0"/>
    <x v="13"/>
    <n v="2.9651192288178598"/>
    <n v="1082.2685185185201"/>
    <n v="3896.1666666666702"/>
  </r>
  <r>
    <x v="0"/>
    <x v="0"/>
    <x v="1"/>
    <x v="1"/>
    <x v="3"/>
    <s v="DE4-N_A"/>
    <x v="7"/>
    <s v="GNR_ROR_WTR"/>
    <x v="0"/>
    <x v="14"/>
    <n v="2.9651192288178598"/>
    <n v="1082.2685185185201"/>
    <n v="3896.1666666666702"/>
  </r>
  <r>
    <x v="0"/>
    <x v="0"/>
    <x v="1"/>
    <x v="1"/>
    <x v="3"/>
    <s v="DE4-N_A"/>
    <x v="7"/>
    <s v="GNR_ROR_WTR"/>
    <x v="0"/>
    <x v="15"/>
    <n v="2.9651192288178598"/>
    <n v="1082.2685185185201"/>
    <n v="3896.1666666666702"/>
  </r>
  <r>
    <x v="0"/>
    <x v="0"/>
    <x v="1"/>
    <x v="1"/>
    <x v="3"/>
    <s v="DE4-N_A"/>
    <x v="7"/>
    <s v="GNR_ROR_WTR"/>
    <x v="0"/>
    <x v="16"/>
    <n v="2.9651192288178598"/>
    <n v="1082.2685185185201"/>
    <n v="3896.1666666666702"/>
  </r>
  <r>
    <x v="0"/>
    <x v="0"/>
    <x v="1"/>
    <x v="1"/>
    <x v="3"/>
    <s v="DE4-N_A"/>
    <x v="7"/>
    <s v="GNR_ROR_WTR"/>
    <x v="0"/>
    <x v="17"/>
    <n v="2.9651192288178598"/>
    <n v="1082.2685185185201"/>
    <n v="3896.1666666666702"/>
  </r>
  <r>
    <x v="0"/>
    <x v="0"/>
    <x v="1"/>
    <x v="1"/>
    <x v="3"/>
    <s v="DE4-N_A"/>
    <x v="7"/>
    <s v="GNR_ROR_WTR"/>
    <x v="0"/>
    <x v="18"/>
    <n v="2.9651192288178598"/>
    <n v="1082.2685185185201"/>
    <n v="3896.1666666666702"/>
  </r>
  <r>
    <x v="0"/>
    <x v="0"/>
    <x v="1"/>
    <x v="1"/>
    <x v="3"/>
    <s v="DE4-N_A"/>
    <x v="7"/>
    <s v="GNR_ROR_WTR"/>
    <x v="0"/>
    <x v="19"/>
    <n v="2.9651192288178598"/>
    <n v="1082.2685185185201"/>
    <n v="3896.1666666666702"/>
  </r>
  <r>
    <x v="0"/>
    <x v="0"/>
    <x v="1"/>
    <x v="1"/>
    <x v="3"/>
    <s v="DE4-N_A"/>
    <x v="7"/>
    <s v="GNR_ROR_WTR"/>
    <x v="0"/>
    <x v="20"/>
    <n v="2.9651192288178598"/>
    <n v="1082.2685185185201"/>
    <n v="3896.1666666666702"/>
  </r>
  <r>
    <x v="0"/>
    <x v="0"/>
    <x v="1"/>
    <x v="1"/>
    <x v="3"/>
    <s v="DE4-N_A"/>
    <x v="7"/>
    <s v="GNR_ROR_WTR"/>
    <x v="0"/>
    <x v="21"/>
    <n v="2.9651192288178598"/>
    <n v="1082.2685185185201"/>
    <n v="3896.1666666666702"/>
  </r>
  <r>
    <x v="0"/>
    <x v="0"/>
    <x v="1"/>
    <x v="1"/>
    <x v="3"/>
    <s v="DE4-N_A"/>
    <x v="7"/>
    <s v="GNR_ROR_WTR"/>
    <x v="0"/>
    <x v="22"/>
    <n v="2.9651192288178598"/>
    <n v="1082.2685185185201"/>
    <n v="3896.1666666666702"/>
  </r>
  <r>
    <x v="0"/>
    <x v="0"/>
    <x v="1"/>
    <x v="1"/>
    <x v="3"/>
    <s v="DE4-N_A"/>
    <x v="7"/>
    <s v="GNR_ROR_WTR"/>
    <x v="0"/>
    <x v="23"/>
    <n v="2.9651192288178598"/>
    <n v="1082.2685185185201"/>
    <n v="3896.1666666666702"/>
  </r>
  <r>
    <x v="0"/>
    <x v="0"/>
    <x v="1"/>
    <x v="1"/>
    <x v="3"/>
    <s v="DE4-N_A"/>
    <x v="8"/>
    <s v="GNR_WT_WIND_ONS"/>
    <x v="0"/>
    <x v="0"/>
    <n v="2348.8557237938098"/>
    <n v="857332.33918474102"/>
    <n v="3086396.4210650702"/>
  </r>
  <r>
    <x v="0"/>
    <x v="0"/>
    <x v="1"/>
    <x v="1"/>
    <x v="3"/>
    <s v="DE4-N_A"/>
    <x v="8"/>
    <s v="GNR_WT_WIND_ONS"/>
    <x v="0"/>
    <x v="1"/>
    <n v="2175.81485755825"/>
    <n v="794172.42300875997"/>
    <n v="2859020.7228315398"/>
  </r>
  <r>
    <x v="0"/>
    <x v="0"/>
    <x v="1"/>
    <x v="1"/>
    <x v="3"/>
    <s v="DE4-N_A"/>
    <x v="8"/>
    <s v="GNR_WT_WIND_ONS"/>
    <x v="0"/>
    <x v="2"/>
    <n v="2063.4377432788301"/>
    <n v="753154.77629677195"/>
    <n v="2711357.1946683801"/>
  </r>
  <r>
    <x v="0"/>
    <x v="0"/>
    <x v="1"/>
    <x v="1"/>
    <x v="3"/>
    <s v="DE4-N_A"/>
    <x v="8"/>
    <s v="GNR_WT_WIND_ONS"/>
    <x v="0"/>
    <x v="3"/>
    <n v="1864.8509732994401"/>
    <n v="680670.605254294"/>
    <n v="2450414.1789154601"/>
  </r>
  <r>
    <x v="0"/>
    <x v="0"/>
    <x v="1"/>
    <x v="1"/>
    <x v="3"/>
    <s v="DE4-N_A"/>
    <x v="8"/>
    <s v="GNR_WT_WIND_ONS"/>
    <x v="0"/>
    <x v="4"/>
    <n v="1662.59702978991"/>
    <n v="606847.91587331705"/>
    <n v="2184652.4971439401"/>
  </r>
  <r>
    <x v="0"/>
    <x v="0"/>
    <x v="1"/>
    <x v="1"/>
    <x v="3"/>
    <s v="DE4-N_A"/>
    <x v="8"/>
    <s v="GNR_WT_WIND_ONS"/>
    <x v="0"/>
    <x v="5"/>
    <n v="1580.17885858719"/>
    <n v="576765.28338432603"/>
    <n v="2076355.02018357"/>
  </r>
  <r>
    <x v="0"/>
    <x v="0"/>
    <x v="1"/>
    <x v="1"/>
    <x v="3"/>
    <s v="DE4-N_A"/>
    <x v="8"/>
    <s v="GNR_WT_WIND_ONS"/>
    <x v="0"/>
    <x v="6"/>
    <n v="1554.1978664584301"/>
    <n v="567282.22125732899"/>
    <n v="2042215.9965263801"/>
  </r>
  <r>
    <x v="0"/>
    <x v="0"/>
    <x v="1"/>
    <x v="1"/>
    <x v="3"/>
    <s v="DE4-N_A"/>
    <x v="8"/>
    <s v="GNR_WT_WIND_ONS"/>
    <x v="0"/>
    <x v="7"/>
    <n v="1597.9553268858201"/>
    <n v="583253.69431332406"/>
    <n v="2099713.2995279701"/>
  </r>
  <r>
    <x v="0"/>
    <x v="0"/>
    <x v="1"/>
    <x v="1"/>
    <x v="3"/>
    <s v="DE4-N_A"/>
    <x v="8"/>
    <s v="GNR_WT_WIND_ONS"/>
    <x v="0"/>
    <x v="8"/>
    <n v="1912.46207370764"/>
    <n v="698048.65690328903"/>
    <n v="2512975.1648518401"/>
  </r>
  <r>
    <x v="0"/>
    <x v="0"/>
    <x v="1"/>
    <x v="1"/>
    <x v="3"/>
    <s v="DE4-N_A"/>
    <x v="8"/>
    <s v="GNR_WT_WIND_ONS"/>
    <x v="0"/>
    <x v="9"/>
    <n v="2165.24842535277"/>
    <n v="790315.675253761"/>
    <n v="2845136.4309135401"/>
  </r>
  <r>
    <x v="0"/>
    <x v="0"/>
    <x v="1"/>
    <x v="1"/>
    <x v="3"/>
    <s v="DE4-N_A"/>
    <x v="8"/>
    <s v="GNR_WT_WIND_ONS"/>
    <x v="0"/>
    <x v="10"/>
    <n v="2092.58866506923"/>
    <n v="763794.86275026901"/>
    <n v="2749661.5059009702"/>
  </r>
  <r>
    <x v="0"/>
    <x v="0"/>
    <x v="1"/>
    <x v="1"/>
    <x v="3"/>
    <s v="DE4-N_A"/>
    <x v="8"/>
    <s v="GNR_WT_WIND_ONS"/>
    <x v="0"/>
    <x v="11"/>
    <n v="1913.95380531312"/>
    <n v="698593.13893928903"/>
    <n v="2514935.3001814401"/>
  </r>
  <r>
    <x v="0"/>
    <x v="0"/>
    <x v="1"/>
    <x v="1"/>
    <x v="3"/>
    <s v="DE4-N_A"/>
    <x v="8"/>
    <s v="GNR_WT_WIND_ONS"/>
    <x v="0"/>
    <x v="12"/>
    <n v="1945.7152574131101"/>
    <n v="710186.06895578501"/>
    <n v="2556669.84824083"/>
  </r>
  <r>
    <x v="0"/>
    <x v="0"/>
    <x v="1"/>
    <x v="1"/>
    <x v="3"/>
    <s v="DE4-N_A"/>
    <x v="8"/>
    <s v="GNR_WT_WIND_ONS"/>
    <x v="0"/>
    <x v="13"/>
    <n v="1973.49875856516"/>
    <n v="720327.04687628197"/>
    <n v="2593177.3687546202"/>
  </r>
  <r>
    <x v="0"/>
    <x v="0"/>
    <x v="1"/>
    <x v="1"/>
    <x v="3"/>
    <s v="DE4-N_A"/>
    <x v="8"/>
    <s v="GNR_WT_WIND_ONS"/>
    <x v="0"/>
    <x v="14"/>
    <n v="1983.31932496789"/>
    <n v="723911.55361328099"/>
    <n v="2606081.5930078099"/>
  </r>
  <r>
    <x v="0"/>
    <x v="0"/>
    <x v="1"/>
    <x v="1"/>
    <x v="3"/>
    <s v="DE4-N_A"/>
    <x v="8"/>
    <s v="GNR_WT_WIND_ONS"/>
    <x v="0"/>
    <x v="15"/>
    <n v="1855.5276507651899"/>
    <n v="677267.59252929501"/>
    <n v="2438163.3331054598"/>
  </r>
  <r>
    <x v="0"/>
    <x v="0"/>
    <x v="1"/>
    <x v="1"/>
    <x v="3"/>
    <s v="DE4-N_A"/>
    <x v="8"/>
    <s v="GNR_WT_WIND_ONS"/>
    <x v="0"/>
    <x v="16"/>
    <n v="1677.2035684268899"/>
    <n v="612179.30247581506"/>
    <n v="2203845.4889129298"/>
  </r>
  <r>
    <x v="0"/>
    <x v="0"/>
    <x v="1"/>
    <x v="1"/>
    <x v="3"/>
    <s v="DE4-N_A"/>
    <x v="8"/>
    <s v="GNR_WT_WIND_ONS"/>
    <x v="0"/>
    <x v="17"/>
    <n v="1389.67230147081"/>
    <n v="507230.39003684698"/>
    <n v="1826029.40413265"/>
  </r>
  <r>
    <x v="0"/>
    <x v="0"/>
    <x v="1"/>
    <x v="1"/>
    <x v="3"/>
    <s v="DE4-N_A"/>
    <x v="8"/>
    <s v="GNR_WT_WIND_ONS"/>
    <x v="0"/>
    <x v="18"/>
    <n v="1067.7068966216"/>
    <n v="389713.017266882"/>
    <n v="1402966.86216078"/>
  </r>
  <r>
    <x v="0"/>
    <x v="0"/>
    <x v="1"/>
    <x v="1"/>
    <x v="3"/>
    <s v="DE4-N_A"/>
    <x v="8"/>
    <s v="GNR_WT_WIND_ONS"/>
    <x v="0"/>
    <x v="19"/>
    <n v="1072.43071337228"/>
    <n v="391437.21038088202"/>
    <n v="1409173.9573711699"/>
  </r>
  <r>
    <x v="0"/>
    <x v="0"/>
    <x v="1"/>
    <x v="1"/>
    <x v="3"/>
    <s v="DE4-N_A"/>
    <x v="8"/>
    <s v="GNR_WT_WIND_ONS"/>
    <x v="0"/>
    <x v="20"/>
    <n v="1127.1275389065099"/>
    <n v="411401.55170087598"/>
    <n v="1481045.5861231501"/>
  </r>
  <r>
    <x v="0"/>
    <x v="0"/>
    <x v="1"/>
    <x v="1"/>
    <x v="3"/>
    <s v="DE4-N_A"/>
    <x v="8"/>
    <s v="GNR_WT_WIND_ONS"/>
    <x v="0"/>
    <x v="21"/>
    <n v="1219.24196554484"/>
    <n v="445023.31742386601"/>
    <n v="1602083.9427259199"/>
  </r>
  <r>
    <x v="0"/>
    <x v="0"/>
    <x v="1"/>
    <x v="1"/>
    <x v="3"/>
    <s v="DE4-N_A"/>
    <x v="8"/>
    <s v="GNR_WT_WIND_ONS"/>
    <x v="0"/>
    <x v="22"/>
    <n v="1273.13076979277"/>
    <n v="464692.73097436002"/>
    <n v="1672893.83150769"/>
  </r>
  <r>
    <x v="0"/>
    <x v="0"/>
    <x v="1"/>
    <x v="1"/>
    <x v="3"/>
    <s v="DE4-N_A"/>
    <x v="8"/>
    <s v="GNR_WT_WIND_ONS"/>
    <x v="0"/>
    <x v="23"/>
    <n v="1288.54532971605"/>
    <n v="470319.04534635798"/>
    <n v="1693148.56324689"/>
  </r>
  <r>
    <x v="0"/>
    <x v="0"/>
    <x v="1"/>
    <x v="1"/>
    <x v="3"/>
    <s v="DE4-N_Offshore_A"/>
    <x v="8"/>
    <s v="GNR_WT_WIND_OFF"/>
    <x v="0"/>
    <x v="0"/>
    <n v="1270.8869258054499"/>
    <n v="463873.72791898903"/>
    <n v="1669945.42050836"/>
  </r>
  <r>
    <x v="0"/>
    <x v="0"/>
    <x v="1"/>
    <x v="1"/>
    <x v="3"/>
    <s v="DE4-N_Offshore_A"/>
    <x v="8"/>
    <s v="GNR_WT_WIND_OFF"/>
    <x v="0"/>
    <x v="1"/>
    <n v="1177.2603261377501"/>
    <n v="429700.01904027897"/>
    <n v="1546920.0685449999"/>
  </r>
  <r>
    <x v="0"/>
    <x v="0"/>
    <x v="1"/>
    <x v="1"/>
    <x v="3"/>
    <s v="DE4-N_Offshore_A"/>
    <x v="8"/>
    <s v="GNR_WT_WIND_OFF"/>
    <x v="0"/>
    <x v="2"/>
    <n v="1116.4568447443601"/>
    <n v="407506.74833169102"/>
    <n v="1467024.2939940901"/>
  </r>
  <r>
    <x v="0"/>
    <x v="0"/>
    <x v="1"/>
    <x v="1"/>
    <x v="3"/>
    <s v="DE4-N_Offshore_A"/>
    <x v="8"/>
    <s v="GNR_WT_WIND_OFF"/>
    <x v="0"/>
    <x v="3"/>
    <n v="1009.00821473778"/>
    <n v="368287.99837929202"/>
    <n v="1325836.7941654499"/>
  </r>
  <r>
    <x v="0"/>
    <x v="0"/>
    <x v="1"/>
    <x v="1"/>
    <x v="3"/>
    <s v="DE4-N_Offshore_A"/>
    <x v="8"/>
    <s v="GNR_WT_WIND_OFF"/>
    <x v="0"/>
    <x v="4"/>
    <n v="899.57540032733402"/>
    <n v="328345.02111947699"/>
    <n v="1182042.07603012"/>
  </r>
  <r>
    <x v="0"/>
    <x v="0"/>
    <x v="1"/>
    <x v="1"/>
    <x v="3"/>
    <s v="DE4-N_Offshore_A"/>
    <x v="8"/>
    <s v="GNR_WT_WIND_OFF"/>
    <x v="0"/>
    <x v="5"/>
    <n v="854.98169660629605"/>
    <n v="312068.31926129799"/>
    <n v="1123445.9493406699"/>
  </r>
  <r>
    <x v="0"/>
    <x v="0"/>
    <x v="1"/>
    <x v="1"/>
    <x v="3"/>
    <s v="DE4-N_Offshore_A"/>
    <x v="8"/>
    <s v="GNR_WT_WIND_OFF"/>
    <x v="0"/>
    <x v="6"/>
    <n v="840.92425455848797"/>
    <n v="306937.35291384801"/>
    <n v="1104974.47048985"/>
  </r>
  <r>
    <x v="0"/>
    <x v="0"/>
    <x v="1"/>
    <x v="1"/>
    <x v="3"/>
    <s v="DE4-N_Offshore_A"/>
    <x v="8"/>
    <s v="GNR_WT_WIND_OFF"/>
    <x v="0"/>
    <x v="7"/>
    <n v="864.59994642848096"/>
    <n v="315578.98044639599"/>
    <n v="1136084.3296070199"/>
  </r>
  <r>
    <x v="0"/>
    <x v="0"/>
    <x v="1"/>
    <x v="1"/>
    <x v="3"/>
    <s v="DE4-N_Offshore_A"/>
    <x v="8"/>
    <s v="GNR_WT_WIND_OFF"/>
    <x v="0"/>
    <x v="8"/>
    <n v="1034.7689817440601"/>
    <n v="377690.67833657999"/>
    <n v="1359686.44201169"/>
  </r>
  <r>
    <x v="0"/>
    <x v="0"/>
    <x v="1"/>
    <x v="1"/>
    <x v="3"/>
    <s v="DE4-N_Offshore_A"/>
    <x v="8"/>
    <s v="GNR_WT_WIND_OFF"/>
    <x v="0"/>
    <x v="9"/>
    <n v="1171.54318463505"/>
    <n v="427613.26239179401"/>
    <n v="1539407.74461046"/>
  </r>
  <r>
    <x v="0"/>
    <x v="0"/>
    <x v="1"/>
    <x v="1"/>
    <x v="3"/>
    <s v="DE4-N_Offshore_A"/>
    <x v="8"/>
    <s v="GNR_WT_WIND_OFF"/>
    <x v="0"/>
    <x v="10"/>
    <n v="1132.2294292429799"/>
    <n v="413263.74167368602"/>
    <n v="1487749.47002527"/>
  </r>
  <r>
    <x v="0"/>
    <x v="0"/>
    <x v="1"/>
    <x v="1"/>
    <x v="3"/>
    <s v="DE4-N_Offshore_A"/>
    <x v="8"/>
    <s v="GNR_WT_WIND_OFF"/>
    <x v="0"/>
    <x v="11"/>
    <n v="1035.57610760326"/>
    <n v="377985.27927519003"/>
    <n v="1360747.0053906799"/>
  </r>
  <r>
    <x v="0"/>
    <x v="0"/>
    <x v="1"/>
    <x v="1"/>
    <x v="3"/>
    <s v="DE4-N_Offshore_A"/>
    <x v="8"/>
    <s v="GNR_WT_WIND_OFF"/>
    <x v="0"/>
    <x v="12"/>
    <n v="1052.7611623554899"/>
    <n v="384257.824259752"/>
    <n v="1383328.16733511"/>
  </r>
  <r>
    <x v="0"/>
    <x v="0"/>
    <x v="1"/>
    <x v="1"/>
    <x v="3"/>
    <s v="DE4-N_Offshore_A"/>
    <x v="8"/>
    <s v="GNR_WT_WIND_OFF"/>
    <x v="0"/>
    <x v="13"/>
    <n v="1067.79388148317"/>
    <n v="389744.76674135501"/>
    <n v="1403081.16026888"/>
  </r>
  <r>
    <x v="0"/>
    <x v="0"/>
    <x v="1"/>
    <x v="1"/>
    <x v="3"/>
    <s v="DE4-N_Offshore_A"/>
    <x v="8"/>
    <s v="GNR_WT_WIND_OFF"/>
    <x v="0"/>
    <x v="14"/>
    <n v="1073.1074600562599"/>
    <n v="391684.22292053502"/>
    <n v="1410063.2025139299"/>
  </r>
  <r>
    <x v="0"/>
    <x v="0"/>
    <x v="1"/>
    <x v="1"/>
    <x v="3"/>
    <s v="DE4-N_Offshore_A"/>
    <x v="8"/>
    <s v="GNR_WT_WIND_OFF"/>
    <x v="0"/>
    <x v="15"/>
    <n v="1003.96367811776"/>
    <n v="366446.74251298199"/>
    <n v="1319208.2730467301"/>
  </r>
  <r>
    <x v="0"/>
    <x v="0"/>
    <x v="1"/>
    <x v="1"/>
    <x v="3"/>
    <s v="DE4-N_Offshore_A"/>
    <x v="8"/>
    <s v="GNR_WT_WIND_OFF"/>
    <x v="0"/>
    <x v="16"/>
    <n v="907.47850769871002"/>
    <n v="331229.65531002899"/>
    <n v="1192426.7591160999"/>
  </r>
  <r>
    <x v="0"/>
    <x v="0"/>
    <x v="1"/>
    <x v="1"/>
    <x v="3"/>
    <s v="DE4-N_Offshore_A"/>
    <x v="8"/>
    <s v="GNR_WT_WIND_OFF"/>
    <x v="0"/>
    <x v="17"/>
    <n v="751.90499833707895"/>
    <n v="274445.32439303398"/>
    <n v="988003.16781492205"/>
  </r>
  <r>
    <x v="0"/>
    <x v="0"/>
    <x v="1"/>
    <x v="1"/>
    <x v="3"/>
    <s v="DE4-N_Offshore_A"/>
    <x v="8"/>
    <s v="GNR_WT_WIND_OFF"/>
    <x v="0"/>
    <x v="18"/>
    <n v="577.70033372548301"/>
    <n v="210860.621809801"/>
    <n v="759098.23851528496"/>
  </r>
  <r>
    <x v="0"/>
    <x v="0"/>
    <x v="1"/>
    <x v="1"/>
    <x v="3"/>
    <s v="DE4-N_Offshore_A"/>
    <x v="8"/>
    <s v="GNR_WT_WIND_OFF"/>
    <x v="0"/>
    <x v="19"/>
    <n v="580.25623227963001"/>
    <n v="211793.52478206501"/>
    <n v="762456.68921543402"/>
  </r>
  <r>
    <x v="0"/>
    <x v="0"/>
    <x v="1"/>
    <x v="1"/>
    <x v="3"/>
    <s v="DE4-N_Offshore_A"/>
    <x v="8"/>
    <s v="GNR_WT_WIND_OFF"/>
    <x v="0"/>
    <x v="20"/>
    <n v="609.85084711712102"/>
    <n v="222595.55919774901"/>
    <n v="801344.01311189798"/>
  </r>
  <r>
    <x v="0"/>
    <x v="0"/>
    <x v="1"/>
    <x v="1"/>
    <x v="3"/>
    <s v="DE4-N_Offshore_A"/>
    <x v="8"/>
    <s v="GNR_WT_WIND_OFF"/>
    <x v="0"/>
    <x v="21"/>
    <n v="659.69086892298697"/>
    <n v="240787.16715689001"/>
    <n v="866833.80176480499"/>
  </r>
  <r>
    <x v="0"/>
    <x v="0"/>
    <x v="1"/>
    <x v="1"/>
    <x v="3"/>
    <s v="DE4-N_Offshore_A"/>
    <x v="8"/>
    <s v="GNR_WT_WIND_OFF"/>
    <x v="0"/>
    <x v="22"/>
    <n v="688.84829058674302"/>
    <n v="251429.62606416101"/>
    <n v="905146.65383097995"/>
  </r>
  <r>
    <x v="0"/>
    <x v="0"/>
    <x v="1"/>
    <x v="1"/>
    <x v="3"/>
    <s v="DE4-N_Offshore_A"/>
    <x v="8"/>
    <s v="GNR_WT_WIND_OFF"/>
    <x v="0"/>
    <x v="23"/>
    <n v="697.18859113185397"/>
    <n v="254473.83576312699"/>
    <n v="916105.80874725594"/>
  </r>
  <r>
    <x v="0"/>
    <x v="0"/>
    <x v="1"/>
    <x v="1"/>
    <x v="4"/>
    <s v="DE4-S_A"/>
    <x v="10"/>
    <s v="AGG-DE4-S_RES_WTR_PMP"/>
    <x v="0"/>
    <x v="0"/>
    <n v="17304"/>
    <n v="6315960"/>
    <n v="22737456"/>
  </r>
  <r>
    <x v="0"/>
    <x v="0"/>
    <x v="1"/>
    <x v="1"/>
    <x v="4"/>
    <s v="DE4-S_A"/>
    <x v="10"/>
    <s v="AGG-DE4-S_RES_WTR_PMP"/>
    <x v="0"/>
    <x v="1"/>
    <n v="17304"/>
    <n v="6315960"/>
    <n v="22737456"/>
  </r>
  <r>
    <x v="0"/>
    <x v="0"/>
    <x v="1"/>
    <x v="1"/>
    <x v="4"/>
    <s v="DE4-S_A"/>
    <x v="10"/>
    <s v="AGG-DE4-S_RES_WTR_PMP"/>
    <x v="0"/>
    <x v="2"/>
    <n v="17304"/>
    <n v="6315960"/>
    <n v="22737456"/>
  </r>
  <r>
    <x v="0"/>
    <x v="0"/>
    <x v="1"/>
    <x v="1"/>
    <x v="4"/>
    <s v="DE4-S_A"/>
    <x v="10"/>
    <s v="AGG-DE4-S_RES_WTR_PMP"/>
    <x v="0"/>
    <x v="3"/>
    <n v="17304"/>
    <n v="6315960"/>
    <n v="22737456"/>
  </r>
  <r>
    <x v="0"/>
    <x v="0"/>
    <x v="1"/>
    <x v="1"/>
    <x v="4"/>
    <s v="DE4-S_A"/>
    <x v="10"/>
    <s v="AGG-DE4-S_RES_WTR_PMP"/>
    <x v="0"/>
    <x v="4"/>
    <n v="17304"/>
    <n v="6315960"/>
    <n v="22737456"/>
  </r>
  <r>
    <x v="0"/>
    <x v="0"/>
    <x v="1"/>
    <x v="1"/>
    <x v="4"/>
    <s v="DE4-S_A"/>
    <x v="10"/>
    <s v="AGG-DE4-S_RES_WTR_PMP"/>
    <x v="0"/>
    <x v="5"/>
    <n v="17304"/>
    <n v="6315960"/>
    <n v="22737456"/>
  </r>
  <r>
    <x v="0"/>
    <x v="0"/>
    <x v="1"/>
    <x v="1"/>
    <x v="4"/>
    <s v="DE4-S_A"/>
    <x v="10"/>
    <s v="AGG-DE4-S_RES_WTR_PMP"/>
    <x v="0"/>
    <x v="6"/>
    <n v="17304"/>
    <n v="6315960"/>
    <n v="22737456"/>
  </r>
  <r>
    <x v="0"/>
    <x v="0"/>
    <x v="1"/>
    <x v="1"/>
    <x v="4"/>
    <s v="DE4-S_A"/>
    <x v="10"/>
    <s v="AGG-DE4-S_RES_WTR_PMP"/>
    <x v="0"/>
    <x v="7"/>
    <n v="17304"/>
    <n v="6315960"/>
    <n v="22737456"/>
  </r>
  <r>
    <x v="0"/>
    <x v="0"/>
    <x v="1"/>
    <x v="1"/>
    <x v="4"/>
    <s v="DE4-S_A"/>
    <x v="10"/>
    <s v="AGG-DE4-S_RES_WTR_PMP"/>
    <x v="0"/>
    <x v="8"/>
    <n v="17304"/>
    <n v="6315960"/>
    <n v="22737456"/>
  </r>
  <r>
    <x v="0"/>
    <x v="0"/>
    <x v="1"/>
    <x v="1"/>
    <x v="4"/>
    <s v="DE4-S_A"/>
    <x v="10"/>
    <s v="AGG-DE4-S_RES_WTR_PMP"/>
    <x v="0"/>
    <x v="9"/>
    <n v="17304"/>
    <n v="6315960"/>
    <n v="22737456"/>
  </r>
  <r>
    <x v="0"/>
    <x v="0"/>
    <x v="1"/>
    <x v="1"/>
    <x v="4"/>
    <s v="DE4-S_A"/>
    <x v="10"/>
    <s v="AGG-DE4-S_RES_WTR_PMP"/>
    <x v="0"/>
    <x v="10"/>
    <n v="17304"/>
    <n v="6315960"/>
    <n v="22737456"/>
  </r>
  <r>
    <x v="0"/>
    <x v="0"/>
    <x v="1"/>
    <x v="1"/>
    <x v="4"/>
    <s v="DE4-S_A"/>
    <x v="10"/>
    <s v="AGG-DE4-S_RES_WTR_PMP"/>
    <x v="0"/>
    <x v="11"/>
    <n v="17304"/>
    <n v="6315960"/>
    <n v="22737456"/>
  </r>
  <r>
    <x v="0"/>
    <x v="0"/>
    <x v="1"/>
    <x v="1"/>
    <x v="4"/>
    <s v="DE4-S_A"/>
    <x v="10"/>
    <s v="AGG-DE4-S_RES_WTR_PMP"/>
    <x v="0"/>
    <x v="12"/>
    <n v="17304"/>
    <n v="6315960"/>
    <n v="22737456"/>
  </r>
  <r>
    <x v="0"/>
    <x v="0"/>
    <x v="1"/>
    <x v="1"/>
    <x v="4"/>
    <s v="DE4-S_A"/>
    <x v="10"/>
    <s v="AGG-DE4-S_RES_WTR_PMP"/>
    <x v="0"/>
    <x v="13"/>
    <n v="17304"/>
    <n v="6315960"/>
    <n v="22737456"/>
  </r>
  <r>
    <x v="0"/>
    <x v="0"/>
    <x v="1"/>
    <x v="1"/>
    <x v="4"/>
    <s v="DE4-S_A"/>
    <x v="10"/>
    <s v="AGG-DE4-S_RES_WTR_PMP"/>
    <x v="0"/>
    <x v="14"/>
    <n v="17304"/>
    <n v="6315960"/>
    <n v="22737456"/>
  </r>
  <r>
    <x v="0"/>
    <x v="0"/>
    <x v="1"/>
    <x v="1"/>
    <x v="4"/>
    <s v="DE4-S_A"/>
    <x v="10"/>
    <s v="AGG-DE4-S_RES_WTR_PMP"/>
    <x v="0"/>
    <x v="15"/>
    <n v="17304"/>
    <n v="6315960"/>
    <n v="22737456"/>
  </r>
  <r>
    <x v="0"/>
    <x v="0"/>
    <x v="1"/>
    <x v="1"/>
    <x v="4"/>
    <s v="DE4-S_A"/>
    <x v="10"/>
    <s v="AGG-DE4-S_RES_WTR_PMP"/>
    <x v="0"/>
    <x v="16"/>
    <n v="17304"/>
    <n v="6315960"/>
    <n v="22737456"/>
  </r>
  <r>
    <x v="0"/>
    <x v="0"/>
    <x v="1"/>
    <x v="1"/>
    <x v="4"/>
    <s v="DE4-S_A"/>
    <x v="10"/>
    <s v="AGG-DE4-S_RES_WTR_PMP"/>
    <x v="0"/>
    <x v="17"/>
    <n v="17304"/>
    <n v="6315960"/>
    <n v="22737456"/>
  </r>
  <r>
    <x v="0"/>
    <x v="0"/>
    <x v="1"/>
    <x v="1"/>
    <x v="4"/>
    <s v="DE4-S_A"/>
    <x v="10"/>
    <s v="AGG-DE4-S_RES_WTR_PMP"/>
    <x v="0"/>
    <x v="18"/>
    <n v="17304"/>
    <n v="6315960"/>
    <n v="22737456"/>
  </r>
  <r>
    <x v="0"/>
    <x v="0"/>
    <x v="1"/>
    <x v="1"/>
    <x v="4"/>
    <s v="DE4-S_A"/>
    <x v="10"/>
    <s v="AGG-DE4-S_RES_WTR_PMP"/>
    <x v="0"/>
    <x v="19"/>
    <n v="17304"/>
    <n v="6315960"/>
    <n v="22737456"/>
  </r>
  <r>
    <x v="0"/>
    <x v="0"/>
    <x v="1"/>
    <x v="1"/>
    <x v="4"/>
    <s v="DE4-S_A"/>
    <x v="10"/>
    <s v="AGG-DE4-S_RES_WTR_PMP"/>
    <x v="0"/>
    <x v="20"/>
    <n v="17304"/>
    <n v="6315960"/>
    <n v="22737456"/>
  </r>
  <r>
    <x v="0"/>
    <x v="0"/>
    <x v="1"/>
    <x v="1"/>
    <x v="4"/>
    <s v="DE4-S_A"/>
    <x v="10"/>
    <s v="AGG-DE4-S_RES_WTR_PMP"/>
    <x v="0"/>
    <x v="21"/>
    <n v="17304"/>
    <n v="6315960"/>
    <n v="22737456"/>
  </r>
  <r>
    <x v="0"/>
    <x v="0"/>
    <x v="1"/>
    <x v="1"/>
    <x v="4"/>
    <s v="DE4-S_A"/>
    <x v="10"/>
    <s v="AGG-DE4-S_RES_WTR_PMP"/>
    <x v="0"/>
    <x v="22"/>
    <n v="17304"/>
    <n v="6315960"/>
    <n v="22737456"/>
  </r>
  <r>
    <x v="0"/>
    <x v="0"/>
    <x v="1"/>
    <x v="1"/>
    <x v="4"/>
    <s v="DE4-S_A"/>
    <x v="10"/>
    <s v="AGG-DE4-S_RES_WTR_PMP"/>
    <x v="0"/>
    <x v="23"/>
    <n v="17304"/>
    <n v="6315960"/>
    <n v="22737456"/>
  </r>
  <r>
    <x v="0"/>
    <x v="0"/>
    <x v="1"/>
    <x v="1"/>
    <x v="4"/>
    <s v="DE4-S_A"/>
    <x v="1"/>
    <s v="GNR_ST_MSW_CND_E-33"/>
    <x v="0"/>
    <x v="0"/>
    <n v="26.363636363636399"/>
    <n v="9622.7272727272702"/>
    <n v="34641.818181818198"/>
  </r>
  <r>
    <x v="0"/>
    <x v="0"/>
    <x v="1"/>
    <x v="1"/>
    <x v="4"/>
    <s v="DE4-S_A"/>
    <x v="1"/>
    <s v="GNR_ST_MSW_CND_E-33"/>
    <x v="0"/>
    <x v="1"/>
    <n v="26.363636363636399"/>
    <n v="9622.7272727272702"/>
    <n v="34641.818181818198"/>
  </r>
  <r>
    <x v="0"/>
    <x v="0"/>
    <x v="1"/>
    <x v="1"/>
    <x v="4"/>
    <s v="DE4-S_A"/>
    <x v="1"/>
    <s v="GNR_ST_MSW_CND_E-33"/>
    <x v="0"/>
    <x v="2"/>
    <n v="26.363636363636399"/>
    <n v="9622.7272727272702"/>
    <n v="34641.818181818198"/>
  </r>
  <r>
    <x v="0"/>
    <x v="0"/>
    <x v="1"/>
    <x v="1"/>
    <x v="4"/>
    <s v="DE4-S_A"/>
    <x v="1"/>
    <s v="GNR_ST_MSW_CND_E-33"/>
    <x v="0"/>
    <x v="3"/>
    <n v="26.363636363636399"/>
    <n v="9622.7272727272702"/>
    <n v="34641.818181818198"/>
  </r>
  <r>
    <x v="0"/>
    <x v="0"/>
    <x v="1"/>
    <x v="1"/>
    <x v="4"/>
    <s v="DE4-S_A"/>
    <x v="1"/>
    <s v="GNR_ST_MSW_CND_E-33"/>
    <x v="0"/>
    <x v="4"/>
    <n v="26.363636363636399"/>
    <n v="9622.7272727272702"/>
    <n v="34641.818181818198"/>
  </r>
  <r>
    <x v="0"/>
    <x v="0"/>
    <x v="1"/>
    <x v="1"/>
    <x v="4"/>
    <s v="DE4-S_A"/>
    <x v="1"/>
    <s v="GNR_ST_MSW_CND_E-33"/>
    <x v="0"/>
    <x v="5"/>
    <n v="26.363636363636399"/>
    <n v="9622.7272727272702"/>
    <n v="34641.818181818198"/>
  </r>
  <r>
    <x v="0"/>
    <x v="0"/>
    <x v="1"/>
    <x v="1"/>
    <x v="4"/>
    <s v="DE4-S_A"/>
    <x v="1"/>
    <s v="GNR_ST_MSW_CND_E-33"/>
    <x v="0"/>
    <x v="6"/>
    <n v="26.363636363636399"/>
    <n v="9622.7272727272702"/>
    <n v="34641.818181818198"/>
  </r>
  <r>
    <x v="0"/>
    <x v="0"/>
    <x v="1"/>
    <x v="1"/>
    <x v="4"/>
    <s v="DE4-S_A"/>
    <x v="1"/>
    <s v="GNR_ST_MSW_CND_E-33"/>
    <x v="0"/>
    <x v="7"/>
    <n v="26.363636363636399"/>
    <n v="9622.7272727272702"/>
    <n v="34641.818181818198"/>
  </r>
  <r>
    <x v="0"/>
    <x v="0"/>
    <x v="1"/>
    <x v="1"/>
    <x v="4"/>
    <s v="DE4-S_A"/>
    <x v="1"/>
    <s v="GNR_ST_MSW_CND_E-33"/>
    <x v="0"/>
    <x v="8"/>
    <n v="26.363636363636399"/>
    <n v="9622.7272727272702"/>
    <n v="34641.818181818198"/>
  </r>
  <r>
    <x v="0"/>
    <x v="0"/>
    <x v="1"/>
    <x v="1"/>
    <x v="4"/>
    <s v="DE4-S_A"/>
    <x v="1"/>
    <s v="GNR_ST_MSW_CND_E-33"/>
    <x v="0"/>
    <x v="9"/>
    <n v="26.363636363636399"/>
    <n v="9622.7272727272702"/>
    <n v="34641.818181818198"/>
  </r>
  <r>
    <x v="0"/>
    <x v="0"/>
    <x v="1"/>
    <x v="1"/>
    <x v="4"/>
    <s v="DE4-S_A"/>
    <x v="1"/>
    <s v="GNR_ST_MSW_CND_E-33"/>
    <x v="0"/>
    <x v="10"/>
    <n v="26.363636363636399"/>
    <n v="9622.7272727272702"/>
    <n v="34641.818181818198"/>
  </r>
  <r>
    <x v="0"/>
    <x v="0"/>
    <x v="1"/>
    <x v="1"/>
    <x v="4"/>
    <s v="DE4-S_A"/>
    <x v="1"/>
    <s v="GNR_ST_MSW_CND_E-33"/>
    <x v="0"/>
    <x v="11"/>
    <n v="26.363636363636399"/>
    <n v="9622.7272727272702"/>
    <n v="34641.818181818198"/>
  </r>
  <r>
    <x v="0"/>
    <x v="0"/>
    <x v="1"/>
    <x v="1"/>
    <x v="4"/>
    <s v="DE4-S_A"/>
    <x v="1"/>
    <s v="GNR_ST_MSW_CND_E-33"/>
    <x v="0"/>
    <x v="12"/>
    <n v="26.363636363636399"/>
    <n v="9622.7272727272702"/>
    <n v="34641.818181818198"/>
  </r>
  <r>
    <x v="0"/>
    <x v="0"/>
    <x v="1"/>
    <x v="1"/>
    <x v="4"/>
    <s v="DE4-S_A"/>
    <x v="1"/>
    <s v="GNR_ST_MSW_CND_E-33"/>
    <x v="0"/>
    <x v="13"/>
    <n v="26.363636363636399"/>
    <n v="9622.7272727272702"/>
    <n v="34641.818181818198"/>
  </r>
  <r>
    <x v="0"/>
    <x v="0"/>
    <x v="1"/>
    <x v="1"/>
    <x v="4"/>
    <s v="DE4-S_A"/>
    <x v="1"/>
    <s v="GNR_ST_MSW_CND_E-33"/>
    <x v="0"/>
    <x v="14"/>
    <n v="26.363636363636399"/>
    <n v="9622.7272727272702"/>
    <n v="34641.818181818198"/>
  </r>
  <r>
    <x v="0"/>
    <x v="0"/>
    <x v="1"/>
    <x v="1"/>
    <x v="4"/>
    <s v="DE4-S_A"/>
    <x v="1"/>
    <s v="GNR_ST_MSW_CND_E-33"/>
    <x v="0"/>
    <x v="15"/>
    <n v="26.363636363636399"/>
    <n v="9622.7272727272702"/>
    <n v="34641.818181818198"/>
  </r>
  <r>
    <x v="0"/>
    <x v="0"/>
    <x v="1"/>
    <x v="1"/>
    <x v="4"/>
    <s v="DE4-S_A"/>
    <x v="1"/>
    <s v="GNR_ST_MSW_CND_E-33"/>
    <x v="0"/>
    <x v="16"/>
    <n v="26.363636363636399"/>
    <n v="9622.7272727272702"/>
    <n v="34641.818181818198"/>
  </r>
  <r>
    <x v="0"/>
    <x v="0"/>
    <x v="1"/>
    <x v="1"/>
    <x v="4"/>
    <s v="DE4-S_A"/>
    <x v="1"/>
    <s v="GNR_ST_MSW_CND_E-33"/>
    <x v="0"/>
    <x v="17"/>
    <n v="26.363636363636399"/>
    <n v="9622.7272727272702"/>
    <n v="34641.818181818198"/>
  </r>
  <r>
    <x v="0"/>
    <x v="0"/>
    <x v="1"/>
    <x v="1"/>
    <x v="4"/>
    <s v="DE4-S_A"/>
    <x v="1"/>
    <s v="GNR_ST_MSW_CND_E-33"/>
    <x v="0"/>
    <x v="18"/>
    <n v="26.363636363636399"/>
    <n v="9622.7272727272702"/>
    <n v="34641.818181818198"/>
  </r>
  <r>
    <x v="0"/>
    <x v="0"/>
    <x v="1"/>
    <x v="1"/>
    <x v="4"/>
    <s v="DE4-S_A"/>
    <x v="1"/>
    <s v="GNR_ST_MSW_CND_E-33"/>
    <x v="0"/>
    <x v="19"/>
    <n v="26.363636363636399"/>
    <n v="9622.7272727272702"/>
    <n v="34641.818181818198"/>
  </r>
  <r>
    <x v="0"/>
    <x v="0"/>
    <x v="1"/>
    <x v="1"/>
    <x v="4"/>
    <s v="DE4-S_A"/>
    <x v="1"/>
    <s v="GNR_ST_MSW_CND_E-33"/>
    <x v="0"/>
    <x v="20"/>
    <n v="26.363636363636399"/>
    <n v="9622.7272727272702"/>
    <n v="34641.818181818198"/>
  </r>
  <r>
    <x v="0"/>
    <x v="0"/>
    <x v="1"/>
    <x v="1"/>
    <x v="4"/>
    <s v="DE4-S_A"/>
    <x v="1"/>
    <s v="GNR_ST_MSW_CND_E-33"/>
    <x v="0"/>
    <x v="21"/>
    <n v="26.363636363636399"/>
    <n v="9622.7272727272702"/>
    <n v="34641.818181818198"/>
  </r>
  <r>
    <x v="0"/>
    <x v="0"/>
    <x v="1"/>
    <x v="1"/>
    <x v="4"/>
    <s v="DE4-S_A"/>
    <x v="1"/>
    <s v="GNR_ST_MSW_CND_E-33"/>
    <x v="0"/>
    <x v="22"/>
    <n v="26.363636363636399"/>
    <n v="9622.7272727272702"/>
    <n v="34641.818181818198"/>
  </r>
  <r>
    <x v="0"/>
    <x v="0"/>
    <x v="1"/>
    <x v="1"/>
    <x v="4"/>
    <s v="DE4-S_A"/>
    <x v="1"/>
    <s v="GNR_ST_MSW_CND_E-33"/>
    <x v="0"/>
    <x v="23"/>
    <n v="26.363636363636399"/>
    <n v="9622.7272727272702"/>
    <n v="34641.818181818198"/>
  </r>
  <r>
    <x v="0"/>
    <x v="0"/>
    <x v="1"/>
    <x v="1"/>
    <x v="4"/>
    <s v="DE4-S_A"/>
    <x v="6"/>
    <s v="GNR_PV_SUN"/>
    <x v="0"/>
    <x v="6"/>
    <n v="104.39621317346"/>
    <n v="38104.617808312898"/>
    <n v="137176.62410992599"/>
  </r>
  <r>
    <x v="0"/>
    <x v="0"/>
    <x v="1"/>
    <x v="1"/>
    <x v="4"/>
    <s v="DE4-S_A"/>
    <x v="6"/>
    <s v="GNR_PV_SUN"/>
    <x v="0"/>
    <x v="7"/>
    <n v="1113.48556731607"/>
    <n v="406422.23207036703"/>
    <n v="1463120.03545332"/>
  </r>
  <r>
    <x v="0"/>
    <x v="0"/>
    <x v="1"/>
    <x v="1"/>
    <x v="4"/>
    <s v="DE4-S_A"/>
    <x v="6"/>
    <s v="GNR_PV_SUN"/>
    <x v="0"/>
    <x v="8"/>
    <n v="3249.3876649245599"/>
    <n v="1186026.49769747"/>
    <n v="4269695.3917108802"/>
  </r>
  <r>
    <x v="0"/>
    <x v="0"/>
    <x v="1"/>
    <x v="1"/>
    <x v="4"/>
    <s v="DE4-S_A"/>
    <x v="6"/>
    <s v="GNR_PV_SUN"/>
    <x v="0"/>
    <x v="9"/>
    <n v="5304.8824664292397"/>
    <n v="1936282.10024667"/>
    <n v="6970615.5608880203"/>
  </r>
  <r>
    <x v="0"/>
    <x v="0"/>
    <x v="1"/>
    <x v="1"/>
    <x v="4"/>
    <s v="DE4-S_A"/>
    <x v="6"/>
    <s v="GNR_PV_SUN"/>
    <x v="0"/>
    <x v="10"/>
    <n v="7070.0669474707001"/>
    <n v="2580574.4358268101"/>
    <n v="9290067.9689764995"/>
  </r>
  <r>
    <x v="0"/>
    <x v="0"/>
    <x v="1"/>
    <x v="1"/>
    <x v="4"/>
    <s v="DE4-S_A"/>
    <x v="6"/>
    <s v="GNR_PV_SUN"/>
    <x v="0"/>
    <x v="11"/>
    <n v="8200.4336045765194"/>
    <n v="2993158.2656704299"/>
    <n v="10775369.756413599"/>
  </r>
  <r>
    <x v="0"/>
    <x v="0"/>
    <x v="1"/>
    <x v="1"/>
    <x v="4"/>
    <s v="DE4-S_A"/>
    <x v="6"/>
    <s v="GNR_PV_SUN"/>
    <x v="0"/>
    <x v="12"/>
    <n v="8673.5483578945496"/>
    <n v="3165845.1506315102"/>
    <n v="11397042.5422734"/>
  </r>
  <r>
    <x v="0"/>
    <x v="0"/>
    <x v="1"/>
    <x v="1"/>
    <x v="4"/>
    <s v="DE4-S_A"/>
    <x v="6"/>
    <s v="GNR_PV_SUN"/>
    <x v="0"/>
    <x v="13"/>
    <n v="8722.8589096488195"/>
    <n v="3183843.5020218198"/>
    <n v="11461836.6072785"/>
  </r>
  <r>
    <x v="0"/>
    <x v="0"/>
    <x v="1"/>
    <x v="1"/>
    <x v="4"/>
    <s v="DE4-S_A"/>
    <x v="6"/>
    <s v="GNR_PV_SUN"/>
    <x v="0"/>
    <x v="14"/>
    <n v="7509.41952120922"/>
    <n v="2740938.1252413602"/>
    <n v="9867377.2508689109"/>
  </r>
  <r>
    <x v="0"/>
    <x v="0"/>
    <x v="1"/>
    <x v="1"/>
    <x v="4"/>
    <s v="DE4-S_A"/>
    <x v="6"/>
    <s v="GNR_PV_SUN"/>
    <x v="0"/>
    <x v="15"/>
    <n v="5684.2627474936498"/>
    <n v="2074755.9028351801"/>
    <n v="7469121.2502066502"/>
  </r>
  <r>
    <x v="0"/>
    <x v="0"/>
    <x v="1"/>
    <x v="1"/>
    <x v="4"/>
    <s v="DE4-S_A"/>
    <x v="6"/>
    <s v="GNR_PV_SUN"/>
    <x v="0"/>
    <x v="16"/>
    <n v="3621.8822383115698"/>
    <n v="1321987.01698372"/>
    <n v="4759153.2611413999"/>
  </r>
  <r>
    <x v="0"/>
    <x v="0"/>
    <x v="1"/>
    <x v="1"/>
    <x v="4"/>
    <s v="DE4-S_A"/>
    <x v="6"/>
    <s v="GNR_PV_SUN"/>
    <x v="0"/>
    <x v="17"/>
    <n v="1375.5866982622099"/>
    <n v="502089.14486570598"/>
    <n v="1807520.92151654"/>
  </r>
  <r>
    <x v="0"/>
    <x v="0"/>
    <x v="1"/>
    <x v="1"/>
    <x v="4"/>
    <s v="DE4-S_A"/>
    <x v="6"/>
    <s v="GNR_PV_SUN"/>
    <x v="0"/>
    <x v="18"/>
    <n v="112.61463846583899"/>
    <n v="41104.343040031097"/>
    <n v="147975.63494411201"/>
  </r>
  <r>
    <x v="0"/>
    <x v="0"/>
    <x v="1"/>
    <x v="1"/>
    <x v="4"/>
    <s v="DE4-S_A"/>
    <x v="6"/>
    <s v="GNR_PV_SUN_LS-4-MW_Y-2030"/>
    <x v="0"/>
    <x v="6"/>
    <n v="31.3340556197811"/>
    <n v="11436.9303012201"/>
    <n v="41172.9490843924"/>
  </r>
  <r>
    <x v="0"/>
    <x v="0"/>
    <x v="1"/>
    <x v="1"/>
    <x v="4"/>
    <s v="DE4-S_A"/>
    <x v="6"/>
    <s v="GNR_PV_SUN_LS-4-MW_Y-2030"/>
    <x v="0"/>
    <x v="7"/>
    <n v="334.20770387651601"/>
    <n v="121985.811914928"/>
    <n v="439148.92289374198"/>
  </r>
  <r>
    <x v="0"/>
    <x v="0"/>
    <x v="1"/>
    <x v="1"/>
    <x v="4"/>
    <s v="DE4-S_A"/>
    <x v="6"/>
    <s v="GNR_PV_SUN_LS-4-MW_Y-2030"/>
    <x v="0"/>
    <x v="8"/>
    <n v="975.28914821654803"/>
    <n v="355980.53909903998"/>
    <n v="1281529.94075654"/>
  </r>
  <r>
    <x v="0"/>
    <x v="0"/>
    <x v="1"/>
    <x v="1"/>
    <x v="4"/>
    <s v="DE4-S_A"/>
    <x v="6"/>
    <s v="GNR_PV_SUN_LS-4-MW_Y-2030"/>
    <x v="0"/>
    <x v="9"/>
    <n v="1592.2367029090001"/>
    <n v="581166.39656178595"/>
    <n v="2092199.0276224299"/>
  </r>
  <r>
    <x v="0"/>
    <x v="0"/>
    <x v="1"/>
    <x v="1"/>
    <x v="4"/>
    <s v="DE4-S_A"/>
    <x v="6"/>
    <s v="GNR_PV_SUN_LS-4-MW_Y-2030"/>
    <x v="0"/>
    <x v="10"/>
    <n v="2122.0489156970898"/>
    <n v="774547.854229438"/>
    <n v="2788372.2752259802"/>
  </r>
  <r>
    <x v="0"/>
    <x v="0"/>
    <x v="1"/>
    <x v="1"/>
    <x v="4"/>
    <s v="DE4-S_A"/>
    <x v="6"/>
    <s v="GNR_PV_SUN_LS-4-MW_Y-2030"/>
    <x v="0"/>
    <x v="11"/>
    <n v="2461.3234030355302"/>
    <n v="898383.04210796801"/>
    <n v="3234178.95158868"/>
  </r>
  <r>
    <x v="0"/>
    <x v="0"/>
    <x v="1"/>
    <x v="1"/>
    <x v="4"/>
    <s v="DE4-S_A"/>
    <x v="6"/>
    <s v="GNR_PV_SUN_LS-4-MW_Y-2030"/>
    <x v="0"/>
    <x v="12"/>
    <n v="2603.3266763762399"/>
    <n v="950214.23687732697"/>
    <n v="3420771.25275838"/>
  </r>
  <r>
    <x v="0"/>
    <x v="0"/>
    <x v="1"/>
    <x v="1"/>
    <x v="4"/>
    <s v="DE4-S_A"/>
    <x v="6"/>
    <s v="GNR_PV_SUN_LS-4-MW_Y-2030"/>
    <x v="0"/>
    <x v="13"/>
    <n v="2618.1270175413301"/>
    <n v="955616.36140258401"/>
    <n v="3440218.9010493001"/>
  </r>
  <r>
    <x v="0"/>
    <x v="0"/>
    <x v="1"/>
    <x v="1"/>
    <x v="4"/>
    <s v="DE4-S_A"/>
    <x v="6"/>
    <s v="GNR_PV_SUN_LS-4-MW_Y-2030"/>
    <x v="0"/>
    <x v="14"/>
    <n v="2253.9186221139598"/>
    <n v="822680.29707159405"/>
    <n v="2961649.0694577401"/>
  </r>
  <r>
    <x v="0"/>
    <x v="0"/>
    <x v="1"/>
    <x v="1"/>
    <x v="4"/>
    <s v="DE4-S_A"/>
    <x v="6"/>
    <s v="GNR_PV_SUN_LS-4-MW_Y-2030"/>
    <x v="0"/>
    <x v="15"/>
    <n v="1706.1059943953601"/>
    <n v="622728.68795430497"/>
    <n v="2241823.2766355001"/>
  </r>
  <r>
    <x v="0"/>
    <x v="0"/>
    <x v="1"/>
    <x v="1"/>
    <x v="4"/>
    <s v="DE4-S_A"/>
    <x v="6"/>
    <s v="GNR_PV_SUN_LS-4-MW_Y-2030"/>
    <x v="0"/>
    <x v="16"/>
    <n v="1087.0917253960599"/>
    <n v="396788.479769564"/>
    <n v="1428438.5271704299"/>
  </r>
  <r>
    <x v="0"/>
    <x v="0"/>
    <x v="1"/>
    <x v="1"/>
    <x v="4"/>
    <s v="DE4-S_A"/>
    <x v="6"/>
    <s v="GNR_PV_SUN_LS-4-MW_Y-2030"/>
    <x v="0"/>
    <x v="17"/>
    <n v="412.876183943201"/>
    <n v="150699.807139268"/>
    <n v="542519.30570136604"/>
  </r>
  <r>
    <x v="0"/>
    <x v="0"/>
    <x v="1"/>
    <x v="1"/>
    <x v="4"/>
    <s v="DE4-S_A"/>
    <x v="6"/>
    <s v="GNR_PV_SUN_LS-4-MW_Y-2030"/>
    <x v="0"/>
    <x v="18"/>
    <n v="33.800779147295799"/>
    <n v="12337.284388763001"/>
    <n v="44414.223799546598"/>
  </r>
  <r>
    <x v="0"/>
    <x v="0"/>
    <x v="1"/>
    <x v="1"/>
    <x v="4"/>
    <s v="DE4-S_A"/>
    <x v="2"/>
    <s v="GNR_GEO_HEAT_EO"/>
    <x v="0"/>
    <x v="0"/>
    <n v="44.76"/>
    <n v="16337.4"/>
    <n v="58814.64"/>
  </r>
  <r>
    <x v="0"/>
    <x v="0"/>
    <x v="1"/>
    <x v="1"/>
    <x v="4"/>
    <s v="DE4-S_A"/>
    <x v="2"/>
    <s v="GNR_GEO_HEAT_EO"/>
    <x v="0"/>
    <x v="1"/>
    <n v="44.76"/>
    <n v="16337.4"/>
    <n v="58814.64"/>
  </r>
  <r>
    <x v="0"/>
    <x v="0"/>
    <x v="1"/>
    <x v="1"/>
    <x v="4"/>
    <s v="DE4-S_A"/>
    <x v="2"/>
    <s v="GNR_GEO_HEAT_EO"/>
    <x v="0"/>
    <x v="2"/>
    <n v="44.76"/>
    <n v="16337.4"/>
    <n v="58814.64"/>
  </r>
  <r>
    <x v="0"/>
    <x v="0"/>
    <x v="1"/>
    <x v="1"/>
    <x v="4"/>
    <s v="DE4-S_A"/>
    <x v="2"/>
    <s v="GNR_GEO_HEAT_EO"/>
    <x v="0"/>
    <x v="3"/>
    <n v="44.76"/>
    <n v="16337.4"/>
    <n v="58814.64"/>
  </r>
  <r>
    <x v="0"/>
    <x v="0"/>
    <x v="1"/>
    <x v="1"/>
    <x v="4"/>
    <s v="DE4-S_A"/>
    <x v="2"/>
    <s v="GNR_GEO_HEAT_EO"/>
    <x v="0"/>
    <x v="4"/>
    <n v="44.76"/>
    <n v="16337.4"/>
    <n v="58814.64"/>
  </r>
  <r>
    <x v="0"/>
    <x v="0"/>
    <x v="1"/>
    <x v="1"/>
    <x v="4"/>
    <s v="DE4-S_A"/>
    <x v="2"/>
    <s v="GNR_GEO_HEAT_EO"/>
    <x v="0"/>
    <x v="5"/>
    <n v="44.76"/>
    <n v="16337.4"/>
    <n v="58814.64"/>
  </r>
  <r>
    <x v="0"/>
    <x v="0"/>
    <x v="1"/>
    <x v="1"/>
    <x v="4"/>
    <s v="DE4-S_A"/>
    <x v="2"/>
    <s v="GNR_GEO_HEAT_EO"/>
    <x v="0"/>
    <x v="6"/>
    <n v="44.76"/>
    <n v="16337.4"/>
    <n v="58814.64"/>
  </r>
  <r>
    <x v="0"/>
    <x v="0"/>
    <x v="1"/>
    <x v="1"/>
    <x v="4"/>
    <s v="DE4-S_A"/>
    <x v="2"/>
    <s v="GNR_GEO_HEAT_EO"/>
    <x v="0"/>
    <x v="7"/>
    <n v="44.76"/>
    <n v="16337.4"/>
    <n v="58814.64"/>
  </r>
  <r>
    <x v="0"/>
    <x v="0"/>
    <x v="1"/>
    <x v="1"/>
    <x v="4"/>
    <s v="DE4-S_A"/>
    <x v="2"/>
    <s v="GNR_GEO_HEAT_EO"/>
    <x v="0"/>
    <x v="8"/>
    <n v="44.76"/>
    <n v="16337.4"/>
    <n v="58814.64"/>
  </r>
  <r>
    <x v="0"/>
    <x v="0"/>
    <x v="1"/>
    <x v="1"/>
    <x v="4"/>
    <s v="DE4-S_A"/>
    <x v="2"/>
    <s v="GNR_GEO_HEAT_EO"/>
    <x v="0"/>
    <x v="9"/>
    <n v="44.76"/>
    <n v="16337.4"/>
    <n v="58814.64"/>
  </r>
  <r>
    <x v="0"/>
    <x v="0"/>
    <x v="1"/>
    <x v="1"/>
    <x v="4"/>
    <s v="DE4-S_A"/>
    <x v="2"/>
    <s v="GNR_GEO_HEAT_EO"/>
    <x v="0"/>
    <x v="10"/>
    <n v="44.76"/>
    <n v="16337.4"/>
    <n v="58814.64"/>
  </r>
  <r>
    <x v="0"/>
    <x v="0"/>
    <x v="1"/>
    <x v="1"/>
    <x v="4"/>
    <s v="DE4-S_A"/>
    <x v="2"/>
    <s v="GNR_GEO_HEAT_EO"/>
    <x v="0"/>
    <x v="11"/>
    <n v="44.76"/>
    <n v="16337.4"/>
    <n v="58814.64"/>
  </r>
  <r>
    <x v="0"/>
    <x v="0"/>
    <x v="1"/>
    <x v="1"/>
    <x v="4"/>
    <s v="DE4-S_A"/>
    <x v="2"/>
    <s v="GNR_GEO_HEAT_EO"/>
    <x v="0"/>
    <x v="12"/>
    <n v="44.76"/>
    <n v="16337.4"/>
    <n v="58814.64"/>
  </r>
  <r>
    <x v="0"/>
    <x v="0"/>
    <x v="1"/>
    <x v="1"/>
    <x v="4"/>
    <s v="DE4-S_A"/>
    <x v="2"/>
    <s v="GNR_GEO_HEAT_EO"/>
    <x v="0"/>
    <x v="13"/>
    <n v="44.76"/>
    <n v="16337.4"/>
    <n v="58814.64"/>
  </r>
  <r>
    <x v="0"/>
    <x v="0"/>
    <x v="1"/>
    <x v="1"/>
    <x v="4"/>
    <s v="DE4-S_A"/>
    <x v="2"/>
    <s v="GNR_GEO_HEAT_EO"/>
    <x v="0"/>
    <x v="14"/>
    <n v="44.76"/>
    <n v="16337.4"/>
    <n v="58814.64"/>
  </r>
  <r>
    <x v="0"/>
    <x v="0"/>
    <x v="1"/>
    <x v="1"/>
    <x v="4"/>
    <s v="DE4-S_A"/>
    <x v="2"/>
    <s v="GNR_GEO_HEAT_EO"/>
    <x v="0"/>
    <x v="15"/>
    <n v="44.76"/>
    <n v="16337.4"/>
    <n v="58814.64"/>
  </r>
  <r>
    <x v="0"/>
    <x v="0"/>
    <x v="1"/>
    <x v="1"/>
    <x v="4"/>
    <s v="DE4-S_A"/>
    <x v="2"/>
    <s v="GNR_GEO_HEAT_EO"/>
    <x v="0"/>
    <x v="16"/>
    <n v="44.76"/>
    <n v="16337.4"/>
    <n v="58814.64"/>
  </r>
  <r>
    <x v="0"/>
    <x v="0"/>
    <x v="1"/>
    <x v="1"/>
    <x v="4"/>
    <s v="DE4-S_A"/>
    <x v="2"/>
    <s v="GNR_GEO_HEAT_EO"/>
    <x v="0"/>
    <x v="17"/>
    <n v="44.76"/>
    <n v="16337.4"/>
    <n v="58814.64"/>
  </r>
  <r>
    <x v="0"/>
    <x v="0"/>
    <x v="1"/>
    <x v="1"/>
    <x v="4"/>
    <s v="DE4-S_A"/>
    <x v="2"/>
    <s v="GNR_GEO_HEAT_EO"/>
    <x v="0"/>
    <x v="18"/>
    <n v="44.76"/>
    <n v="16337.4"/>
    <n v="58814.64"/>
  </r>
  <r>
    <x v="0"/>
    <x v="0"/>
    <x v="1"/>
    <x v="1"/>
    <x v="4"/>
    <s v="DE4-S_A"/>
    <x v="2"/>
    <s v="GNR_GEO_HEAT_EO"/>
    <x v="0"/>
    <x v="19"/>
    <n v="44.76"/>
    <n v="16337.4"/>
    <n v="58814.64"/>
  </r>
  <r>
    <x v="0"/>
    <x v="0"/>
    <x v="1"/>
    <x v="1"/>
    <x v="4"/>
    <s v="DE4-S_A"/>
    <x v="2"/>
    <s v="GNR_GEO_HEAT_EO"/>
    <x v="0"/>
    <x v="20"/>
    <n v="44.76"/>
    <n v="16337.4"/>
    <n v="58814.64"/>
  </r>
  <r>
    <x v="0"/>
    <x v="0"/>
    <x v="1"/>
    <x v="1"/>
    <x v="4"/>
    <s v="DE4-S_A"/>
    <x v="2"/>
    <s v="GNR_GEO_HEAT_EO"/>
    <x v="0"/>
    <x v="21"/>
    <n v="44.76"/>
    <n v="16337.4"/>
    <n v="58814.64"/>
  </r>
  <r>
    <x v="0"/>
    <x v="0"/>
    <x v="1"/>
    <x v="1"/>
    <x v="4"/>
    <s v="DE4-S_A"/>
    <x v="2"/>
    <s v="GNR_GEO_HEAT_EO"/>
    <x v="0"/>
    <x v="22"/>
    <n v="44.76"/>
    <n v="16337.4"/>
    <n v="58814.64"/>
  </r>
  <r>
    <x v="0"/>
    <x v="0"/>
    <x v="1"/>
    <x v="1"/>
    <x v="4"/>
    <s v="DE4-S_A"/>
    <x v="2"/>
    <s v="GNR_GEO_HEAT_EO"/>
    <x v="0"/>
    <x v="23"/>
    <n v="44.76"/>
    <n v="16337.4"/>
    <n v="58814.64"/>
  </r>
  <r>
    <x v="0"/>
    <x v="0"/>
    <x v="1"/>
    <x v="1"/>
    <x v="4"/>
    <s v="DE4-S_A"/>
    <x v="7"/>
    <s v="GNR_RES_WTR_NOPMP"/>
    <x v="0"/>
    <x v="9"/>
    <n v="124"/>
    <n v="45260"/>
    <n v="162936"/>
  </r>
  <r>
    <x v="0"/>
    <x v="0"/>
    <x v="1"/>
    <x v="1"/>
    <x v="4"/>
    <s v="DE4-S_A"/>
    <x v="7"/>
    <s v="GNR_RES_WTR_NOPMP"/>
    <x v="0"/>
    <x v="11"/>
    <n v="25.432108074022501"/>
    <n v="9282.7194470182294"/>
    <n v="33417.790009265598"/>
  </r>
  <r>
    <x v="0"/>
    <x v="0"/>
    <x v="1"/>
    <x v="1"/>
    <x v="4"/>
    <s v="DE4-S_A"/>
    <x v="7"/>
    <s v="GNR_RES_WTR_NOPMP"/>
    <x v="0"/>
    <x v="12"/>
    <n v="124"/>
    <n v="45260"/>
    <n v="162936"/>
  </r>
  <r>
    <x v="0"/>
    <x v="0"/>
    <x v="1"/>
    <x v="1"/>
    <x v="4"/>
    <s v="DE4-S_A"/>
    <x v="7"/>
    <s v="GNR_RES_WTR_NOPMP"/>
    <x v="0"/>
    <x v="13"/>
    <n v="124"/>
    <n v="45260"/>
    <n v="162936"/>
  </r>
  <r>
    <x v="0"/>
    <x v="0"/>
    <x v="1"/>
    <x v="1"/>
    <x v="4"/>
    <s v="DE4-S_A"/>
    <x v="7"/>
    <s v="GNR_RES_WTR_NOPMP"/>
    <x v="0"/>
    <x v="14"/>
    <n v="124"/>
    <n v="45260"/>
    <n v="162936"/>
  </r>
  <r>
    <x v="0"/>
    <x v="0"/>
    <x v="1"/>
    <x v="1"/>
    <x v="4"/>
    <s v="DE4-S_A"/>
    <x v="7"/>
    <s v="GNR_RES_WTR_NOPMP"/>
    <x v="0"/>
    <x v="15"/>
    <n v="124"/>
    <n v="45260"/>
    <n v="162936"/>
  </r>
  <r>
    <x v="0"/>
    <x v="0"/>
    <x v="1"/>
    <x v="1"/>
    <x v="4"/>
    <s v="DE4-S_A"/>
    <x v="7"/>
    <s v="GNR_RES_WTR_NOPMP"/>
    <x v="0"/>
    <x v="16"/>
    <n v="124"/>
    <n v="45260"/>
    <n v="162936"/>
  </r>
  <r>
    <x v="0"/>
    <x v="0"/>
    <x v="1"/>
    <x v="1"/>
    <x v="4"/>
    <s v="DE4-S_A"/>
    <x v="7"/>
    <s v="GNR_RES_WTR_NOPMP"/>
    <x v="0"/>
    <x v="17"/>
    <n v="124"/>
    <n v="45260"/>
    <n v="162936"/>
  </r>
  <r>
    <x v="0"/>
    <x v="0"/>
    <x v="1"/>
    <x v="1"/>
    <x v="4"/>
    <s v="DE4-S_A"/>
    <x v="7"/>
    <s v="GNR_RES_WTR_NOPMP"/>
    <x v="0"/>
    <x v="18"/>
    <n v="124"/>
    <n v="45260"/>
    <n v="162936"/>
  </r>
  <r>
    <x v="0"/>
    <x v="0"/>
    <x v="1"/>
    <x v="1"/>
    <x v="4"/>
    <s v="DE4-S_A"/>
    <x v="7"/>
    <s v="GNR_RES_WTR_NOPMP"/>
    <x v="0"/>
    <x v="19"/>
    <n v="124"/>
    <n v="45260"/>
    <n v="162936"/>
  </r>
  <r>
    <x v="0"/>
    <x v="0"/>
    <x v="1"/>
    <x v="1"/>
    <x v="4"/>
    <s v="DE4-S_A"/>
    <x v="7"/>
    <s v="GNR_RES_WTR_NOPMP"/>
    <x v="0"/>
    <x v="20"/>
    <n v="124"/>
    <n v="45260"/>
    <n v="162936"/>
  </r>
  <r>
    <x v="0"/>
    <x v="0"/>
    <x v="1"/>
    <x v="1"/>
    <x v="4"/>
    <s v="DE4-S_A"/>
    <x v="7"/>
    <s v="GNR_RES_WTR_NOPMP"/>
    <x v="0"/>
    <x v="21"/>
    <n v="124"/>
    <n v="45260"/>
    <n v="162936"/>
  </r>
  <r>
    <x v="0"/>
    <x v="0"/>
    <x v="1"/>
    <x v="1"/>
    <x v="4"/>
    <s v="DE4-S_A"/>
    <x v="7"/>
    <s v="GNR_RES_WTR_NOPMP"/>
    <x v="0"/>
    <x v="22"/>
    <n v="124"/>
    <n v="45260"/>
    <n v="162936"/>
  </r>
  <r>
    <x v="0"/>
    <x v="0"/>
    <x v="1"/>
    <x v="1"/>
    <x v="4"/>
    <s v="DE4-S_A"/>
    <x v="7"/>
    <s v="GNR_RES_WTR_NOPMP"/>
    <x v="0"/>
    <x v="23"/>
    <n v="124"/>
    <n v="45260"/>
    <n v="162936"/>
  </r>
  <r>
    <x v="0"/>
    <x v="0"/>
    <x v="1"/>
    <x v="1"/>
    <x v="4"/>
    <s v="DE4-S_A"/>
    <x v="7"/>
    <s v="GNR_ROR_WTR"/>
    <x v="0"/>
    <x v="0"/>
    <n v="4846.1602993404404"/>
    <n v="1768848.50925926"/>
    <n v="6367854.63333333"/>
  </r>
  <r>
    <x v="0"/>
    <x v="0"/>
    <x v="1"/>
    <x v="1"/>
    <x v="4"/>
    <s v="DE4-S_A"/>
    <x v="7"/>
    <s v="GNR_ROR_WTR"/>
    <x v="0"/>
    <x v="1"/>
    <n v="4846.1602993404404"/>
    <n v="1768848.50925926"/>
    <n v="6367854.63333333"/>
  </r>
  <r>
    <x v="0"/>
    <x v="0"/>
    <x v="1"/>
    <x v="1"/>
    <x v="4"/>
    <s v="DE4-S_A"/>
    <x v="7"/>
    <s v="GNR_ROR_WTR"/>
    <x v="0"/>
    <x v="2"/>
    <n v="4846.1602993404404"/>
    <n v="1768848.50925926"/>
    <n v="6367854.63333333"/>
  </r>
  <r>
    <x v="0"/>
    <x v="0"/>
    <x v="1"/>
    <x v="1"/>
    <x v="4"/>
    <s v="DE4-S_A"/>
    <x v="7"/>
    <s v="GNR_ROR_WTR"/>
    <x v="0"/>
    <x v="3"/>
    <n v="4846.1602993404404"/>
    <n v="1768848.50925926"/>
    <n v="6367854.63333333"/>
  </r>
  <r>
    <x v="0"/>
    <x v="0"/>
    <x v="1"/>
    <x v="1"/>
    <x v="4"/>
    <s v="DE4-S_A"/>
    <x v="7"/>
    <s v="GNR_ROR_WTR"/>
    <x v="0"/>
    <x v="4"/>
    <n v="4846.1602993404404"/>
    <n v="1768848.50925926"/>
    <n v="6367854.63333333"/>
  </r>
  <r>
    <x v="0"/>
    <x v="0"/>
    <x v="1"/>
    <x v="1"/>
    <x v="4"/>
    <s v="DE4-S_A"/>
    <x v="7"/>
    <s v="GNR_ROR_WTR"/>
    <x v="0"/>
    <x v="5"/>
    <n v="4846.1602993404404"/>
    <n v="1768848.50925926"/>
    <n v="6367854.63333333"/>
  </r>
  <r>
    <x v="0"/>
    <x v="0"/>
    <x v="1"/>
    <x v="1"/>
    <x v="4"/>
    <s v="DE4-S_A"/>
    <x v="7"/>
    <s v="GNR_ROR_WTR"/>
    <x v="0"/>
    <x v="6"/>
    <n v="4846.1602993404404"/>
    <n v="1768848.50925926"/>
    <n v="6367854.63333333"/>
  </r>
  <r>
    <x v="0"/>
    <x v="0"/>
    <x v="1"/>
    <x v="1"/>
    <x v="4"/>
    <s v="DE4-S_A"/>
    <x v="7"/>
    <s v="GNR_ROR_WTR"/>
    <x v="0"/>
    <x v="7"/>
    <n v="4846.1602993404404"/>
    <n v="1768848.50925926"/>
    <n v="6367854.63333333"/>
  </r>
  <r>
    <x v="0"/>
    <x v="0"/>
    <x v="1"/>
    <x v="1"/>
    <x v="4"/>
    <s v="DE4-S_A"/>
    <x v="7"/>
    <s v="GNR_ROR_WTR"/>
    <x v="0"/>
    <x v="8"/>
    <n v="4846.1602993404404"/>
    <n v="1768848.50925926"/>
    <n v="6367854.63333333"/>
  </r>
  <r>
    <x v="0"/>
    <x v="0"/>
    <x v="1"/>
    <x v="1"/>
    <x v="4"/>
    <s v="DE4-S_A"/>
    <x v="7"/>
    <s v="GNR_ROR_WTR"/>
    <x v="0"/>
    <x v="9"/>
    <n v="4846.1602993404404"/>
    <n v="1768848.50925926"/>
    <n v="6367854.63333333"/>
  </r>
  <r>
    <x v="0"/>
    <x v="0"/>
    <x v="1"/>
    <x v="1"/>
    <x v="4"/>
    <s v="DE4-S_A"/>
    <x v="7"/>
    <s v="GNR_ROR_WTR"/>
    <x v="0"/>
    <x v="10"/>
    <n v="4846.1602993404404"/>
    <n v="1768848.50925926"/>
    <n v="6367854.63333333"/>
  </r>
  <r>
    <x v="0"/>
    <x v="0"/>
    <x v="1"/>
    <x v="1"/>
    <x v="4"/>
    <s v="DE4-S_A"/>
    <x v="7"/>
    <s v="GNR_ROR_WTR"/>
    <x v="0"/>
    <x v="11"/>
    <n v="4846.1602993404404"/>
    <n v="1768848.50925926"/>
    <n v="6367854.63333333"/>
  </r>
  <r>
    <x v="0"/>
    <x v="0"/>
    <x v="1"/>
    <x v="1"/>
    <x v="4"/>
    <s v="DE4-S_A"/>
    <x v="7"/>
    <s v="GNR_ROR_WTR"/>
    <x v="0"/>
    <x v="12"/>
    <n v="4846.1602993404404"/>
    <n v="1768848.50925926"/>
    <n v="6367854.63333333"/>
  </r>
  <r>
    <x v="0"/>
    <x v="0"/>
    <x v="1"/>
    <x v="1"/>
    <x v="4"/>
    <s v="DE4-S_A"/>
    <x v="7"/>
    <s v="GNR_ROR_WTR"/>
    <x v="0"/>
    <x v="13"/>
    <n v="4846.1602993404404"/>
    <n v="1768848.50925926"/>
    <n v="6367854.63333333"/>
  </r>
  <r>
    <x v="0"/>
    <x v="0"/>
    <x v="1"/>
    <x v="1"/>
    <x v="4"/>
    <s v="DE4-S_A"/>
    <x v="7"/>
    <s v="GNR_ROR_WTR"/>
    <x v="0"/>
    <x v="14"/>
    <n v="4846.1602993404404"/>
    <n v="1768848.50925926"/>
    <n v="6367854.63333333"/>
  </r>
  <r>
    <x v="0"/>
    <x v="0"/>
    <x v="1"/>
    <x v="1"/>
    <x v="4"/>
    <s v="DE4-S_A"/>
    <x v="7"/>
    <s v="GNR_ROR_WTR"/>
    <x v="0"/>
    <x v="15"/>
    <n v="4846.1602993404404"/>
    <n v="1768848.50925926"/>
    <n v="6367854.63333333"/>
  </r>
  <r>
    <x v="0"/>
    <x v="0"/>
    <x v="1"/>
    <x v="1"/>
    <x v="4"/>
    <s v="DE4-S_A"/>
    <x v="7"/>
    <s v="GNR_ROR_WTR"/>
    <x v="0"/>
    <x v="16"/>
    <n v="4846.1602993404404"/>
    <n v="1768848.50925926"/>
    <n v="6367854.63333333"/>
  </r>
  <r>
    <x v="0"/>
    <x v="0"/>
    <x v="1"/>
    <x v="1"/>
    <x v="4"/>
    <s v="DE4-S_A"/>
    <x v="7"/>
    <s v="GNR_ROR_WTR"/>
    <x v="0"/>
    <x v="17"/>
    <n v="4846.1602993404404"/>
    <n v="1768848.50925926"/>
    <n v="6367854.63333333"/>
  </r>
  <r>
    <x v="0"/>
    <x v="0"/>
    <x v="1"/>
    <x v="1"/>
    <x v="4"/>
    <s v="DE4-S_A"/>
    <x v="7"/>
    <s v="GNR_ROR_WTR"/>
    <x v="0"/>
    <x v="18"/>
    <n v="4846.1602993404404"/>
    <n v="1768848.50925926"/>
    <n v="6367854.63333333"/>
  </r>
  <r>
    <x v="0"/>
    <x v="0"/>
    <x v="1"/>
    <x v="1"/>
    <x v="4"/>
    <s v="DE4-S_A"/>
    <x v="7"/>
    <s v="GNR_ROR_WTR"/>
    <x v="0"/>
    <x v="19"/>
    <n v="4846.1602993404404"/>
    <n v="1768848.50925926"/>
    <n v="6367854.63333333"/>
  </r>
  <r>
    <x v="0"/>
    <x v="0"/>
    <x v="1"/>
    <x v="1"/>
    <x v="4"/>
    <s v="DE4-S_A"/>
    <x v="7"/>
    <s v="GNR_ROR_WTR"/>
    <x v="0"/>
    <x v="20"/>
    <n v="4846.1602993404404"/>
    <n v="1768848.50925926"/>
    <n v="6367854.63333333"/>
  </r>
  <r>
    <x v="0"/>
    <x v="0"/>
    <x v="1"/>
    <x v="1"/>
    <x v="4"/>
    <s v="DE4-S_A"/>
    <x v="7"/>
    <s v="GNR_ROR_WTR"/>
    <x v="0"/>
    <x v="21"/>
    <n v="4846.1602993404404"/>
    <n v="1768848.50925926"/>
    <n v="6367854.63333333"/>
  </r>
  <r>
    <x v="0"/>
    <x v="0"/>
    <x v="1"/>
    <x v="1"/>
    <x v="4"/>
    <s v="DE4-S_A"/>
    <x v="7"/>
    <s v="GNR_ROR_WTR"/>
    <x v="0"/>
    <x v="22"/>
    <n v="4846.1602993404404"/>
    <n v="1768848.50925926"/>
    <n v="6367854.63333333"/>
  </r>
  <r>
    <x v="0"/>
    <x v="0"/>
    <x v="1"/>
    <x v="1"/>
    <x v="4"/>
    <s v="DE4-S_A"/>
    <x v="7"/>
    <s v="GNR_ROR_WTR"/>
    <x v="0"/>
    <x v="23"/>
    <n v="4846.1602993404404"/>
    <n v="1768848.50925926"/>
    <n v="6367854.63333333"/>
  </r>
  <r>
    <x v="0"/>
    <x v="0"/>
    <x v="1"/>
    <x v="1"/>
    <x v="4"/>
    <s v="DE4-S_A"/>
    <x v="8"/>
    <s v="GNR_WT_WIND_ONS"/>
    <x v="0"/>
    <x v="0"/>
    <n v="2177.7323179397299"/>
    <n v="794872.29604799999"/>
    <n v="2861540.2657728"/>
  </r>
  <r>
    <x v="0"/>
    <x v="0"/>
    <x v="1"/>
    <x v="1"/>
    <x v="4"/>
    <s v="DE4-S_A"/>
    <x v="8"/>
    <s v="GNR_WT_WIND_ONS"/>
    <x v="0"/>
    <x v="1"/>
    <n v="2017.29816146594"/>
    <n v="736313.82893506996"/>
    <n v="2650729.7841662499"/>
  </r>
  <r>
    <x v="0"/>
    <x v="0"/>
    <x v="1"/>
    <x v="1"/>
    <x v="4"/>
    <s v="DE4-S_A"/>
    <x v="8"/>
    <s v="GNR_WT_WIND_ONS"/>
    <x v="0"/>
    <x v="2"/>
    <n v="1913.10816329619"/>
    <n v="698284.47960310895"/>
    <n v="2513824.1265711901"/>
  </r>
  <r>
    <x v="0"/>
    <x v="0"/>
    <x v="1"/>
    <x v="1"/>
    <x v="4"/>
    <s v="DE4-S_A"/>
    <x v="8"/>
    <s v="GNR_WT_WIND_ONS"/>
    <x v="0"/>
    <x v="3"/>
    <n v="1728.9892229464299"/>
    <n v="631081.06637544697"/>
    <n v="2271891.83895161"/>
  </r>
  <r>
    <x v="0"/>
    <x v="0"/>
    <x v="1"/>
    <x v="1"/>
    <x v="4"/>
    <s v="DE4-S_A"/>
    <x v="8"/>
    <s v="GNR_WT_WIND_ONS"/>
    <x v="0"/>
    <x v="4"/>
    <n v="1541.4702771254199"/>
    <n v="562636.65115077898"/>
    <n v="2025491.9441428101"/>
  </r>
  <r>
    <x v="0"/>
    <x v="0"/>
    <x v="1"/>
    <x v="1"/>
    <x v="4"/>
    <s v="DE4-S_A"/>
    <x v="8"/>
    <s v="GNR_WT_WIND_ONS"/>
    <x v="0"/>
    <x v="5"/>
    <n v="1465.0565948394201"/>
    <n v="534745.65711638797"/>
    <n v="1925084.365619"/>
  </r>
  <r>
    <x v="0"/>
    <x v="0"/>
    <x v="1"/>
    <x v="1"/>
    <x v="4"/>
    <s v="DE4-S_A"/>
    <x v="8"/>
    <s v="GNR_WT_WIND_ONS"/>
    <x v="0"/>
    <x v="6"/>
    <n v="1440.9684204837999"/>
    <n v="525953.47347658698"/>
    <n v="1893432.5045157101"/>
  </r>
  <r>
    <x v="0"/>
    <x v="0"/>
    <x v="1"/>
    <x v="1"/>
    <x v="4"/>
    <s v="DE4-S_A"/>
    <x v="8"/>
    <s v="GNR_WT_WIND_ONS"/>
    <x v="0"/>
    <x v="7"/>
    <n v="1481.5379772932599"/>
    <n v="540761.36171204096"/>
    <n v="1946740.90216335"/>
  </r>
  <r>
    <x v="0"/>
    <x v="0"/>
    <x v="1"/>
    <x v="1"/>
    <x v="4"/>
    <s v="DE4-S_A"/>
    <x v="8"/>
    <s v="GNR_WT_WIND_ONS"/>
    <x v="0"/>
    <x v="8"/>
    <n v="1773.1316668612701"/>
    <n v="647193.05840436404"/>
    <n v="2329895.0102557102"/>
  </r>
  <r>
    <x v="0"/>
    <x v="0"/>
    <x v="1"/>
    <x v="1"/>
    <x v="4"/>
    <s v="DE4-S_A"/>
    <x v="8"/>
    <s v="GNR_WT_WIND_ONS"/>
    <x v="0"/>
    <x v="9"/>
    <n v="2007.5015355318401"/>
    <n v="732738.06046912202"/>
    <n v="2637857.0176888402"/>
  </r>
  <r>
    <x v="0"/>
    <x v="0"/>
    <x v="1"/>
    <x v="1"/>
    <x v="4"/>
    <s v="DE4-S_A"/>
    <x v="8"/>
    <s v="GNR_WT_WIND_ONS"/>
    <x v="0"/>
    <x v="10"/>
    <n v="1940.13532543204"/>
    <n v="708149.39378269401"/>
    <n v="2549337.8176177"/>
  </r>
  <r>
    <x v="0"/>
    <x v="0"/>
    <x v="1"/>
    <x v="1"/>
    <x v="4"/>
    <s v="DE4-S_A"/>
    <x v="8"/>
    <s v="GNR_WT_WIND_ONS"/>
    <x v="0"/>
    <x v="11"/>
    <n v="1774.5147199343201"/>
    <n v="647697.87277602695"/>
    <n v="2331712.3419936998"/>
  </r>
  <r>
    <x v="0"/>
    <x v="0"/>
    <x v="1"/>
    <x v="1"/>
    <x v="4"/>
    <s v="DE4-S_A"/>
    <x v="8"/>
    <s v="GNR_WT_WIND_ONS"/>
    <x v="0"/>
    <x v="12"/>
    <n v="1803.9622249480101"/>
    <n v="658446.21210602205"/>
    <n v="2370406.3635816802"/>
  </r>
  <r>
    <x v="0"/>
    <x v="0"/>
    <x v="1"/>
    <x v="1"/>
    <x v="4"/>
    <s v="DE4-S_A"/>
    <x v="8"/>
    <s v="GNR_WT_WIND_ONS"/>
    <x v="0"/>
    <x v="13"/>
    <n v="1829.7215884335601"/>
    <n v="667848.37977824896"/>
    <n v="2404254.1672017002"/>
  </r>
  <r>
    <x v="0"/>
    <x v="0"/>
    <x v="1"/>
    <x v="1"/>
    <x v="4"/>
    <s v="DE4-S_A"/>
    <x v="8"/>
    <s v="GNR_WT_WIND_ONS"/>
    <x v="0"/>
    <x v="14"/>
    <n v="1838.8266878311399"/>
    <n v="671171.74105836498"/>
    <n v="2416218.2678101198"/>
  </r>
  <r>
    <x v="0"/>
    <x v="0"/>
    <x v="1"/>
    <x v="1"/>
    <x v="4"/>
    <s v="DE4-S_A"/>
    <x v="8"/>
    <s v="GNR_WT_WIND_ONS"/>
    <x v="0"/>
    <x v="15"/>
    <n v="1720.3451412398699"/>
    <n v="627925.97655255196"/>
    <n v="2260533.5155891902"/>
  </r>
  <r>
    <x v="0"/>
    <x v="0"/>
    <x v="1"/>
    <x v="1"/>
    <x v="4"/>
    <s v="DE4-S_A"/>
    <x v="8"/>
    <s v="GNR_WT_WIND_ONS"/>
    <x v="0"/>
    <x v="16"/>
    <n v="1555.0126717990399"/>
    <n v="567579.62520664802"/>
    <n v="2043286.6507439299"/>
  </r>
  <r>
    <x v="0"/>
    <x v="0"/>
    <x v="1"/>
    <x v="1"/>
    <x v="4"/>
    <s v="DE4-S_A"/>
    <x v="8"/>
    <s v="GNR_WT_WIND_ONS"/>
    <x v="0"/>
    <x v="17"/>
    <n v="1288.42919196868"/>
    <n v="470276.65506856801"/>
    <n v="1692995.9582468399"/>
  </r>
  <r>
    <x v="0"/>
    <x v="0"/>
    <x v="1"/>
    <x v="1"/>
    <x v="4"/>
    <s v="DE4-S_A"/>
    <x v="8"/>
    <s v="GNR_WT_WIND_ONS"/>
    <x v="0"/>
    <x v="18"/>
    <n v="989.92023703542202"/>
    <n v="361320.88651792897"/>
    <n v="1300755.1914645401"/>
  </r>
  <r>
    <x v="0"/>
    <x v="0"/>
    <x v="1"/>
    <x v="1"/>
    <x v="4"/>
    <s v="DE4-S_A"/>
    <x v="8"/>
    <s v="GNR_WT_WIND_ONS"/>
    <x v="0"/>
    <x v="19"/>
    <n v="994.29990510007997"/>
    <n v="362919.46536152897"/>
    <n v="1306510.07530151"/>
  </r>
  <r>
    <x v="0"/>
    <x v="0"/>
    <x v="1"/>
    <x v="1"/>
    <x v="4"/>
    <s v="DE4-S_A"/>
    <x v="8"/>
    <s v="GNR_WT_WIND_ONS"/>
    <x v="0"/>
    <x v="20"/>
    <n v="1045.0118511119099"/>
    <n v="381429.32565584598"/>
    <n v="1373145.5723610499"/>
  </r>
  <r>
    <x v="0"/>
    <x v="0"/>
    <x v="1"/>
    <x v="1"/>
    <x v="4"/>
    <s v="DE4-S_A"/>
    <x v="8"/>
    <s v="GNR_WT_WIND_ONS"/>
    <x v="0"/>
    <x v="21"/>
    <n v="1130.4153783727299"/>
    <n v="412601.61310604803"/>
    <n v="1485365.80718177"/>
  </r>
  <r>
    <x v="0"/>
    <x v="0"/>
    <x v="1"/>
    <x v="1"/>
    <x v="4"/>
    <s v="DE4-S_A"/>
    <x v="8"/>
    <s v="GNR_WT_WIND_ONS"/>
    <x v="0"/>
    <x v="22"/>
    <n v="1180.3781706366599"/>
    <n v="430838.03228238103"/>
    <n v="1551016.91621657"/>
  </r>
  <r>
    <x v="0"/>
    <x v="0"/>
    <x v="1"/>
    <x v="1"/>
    <x v="4"/>
    <s v="DE4-S_A"/>
    <x v="8"/>
    <s v="GNR_WT_WIND_ONS"/>
    <x v="0"/>
    <x v="23"/>
    <n v="1194.6697190581799"/>
    <n v="436054.44745623402"/>
    <n v="1569796.01084244"/>
  </r>
  <r>
    <x v="0"/>
    <x v="0"/>
    <x v="1"/>
    <x v="1"/>
    <x v="5"/>
    <s v="DE4-W_A"/>
    <x v="10"/>
    <s v="AGG-DE4-W_RES_WTR_PMP"/>
    <x v="0"/>
    <x v="0"/>
    <n v="9168"/>
    <n v="3346320"/>
    <n v="12046752"/>
  </r>
  <r>
    <x v="0"/>
    <x v="0"/>
    <x v="1"/>
    <x v="1"/>
    <x v="5"/>
    <s v="DE4-W_A"/>
    <x v="10"/>
    <s v="AGG-DE4-W_RES_WTR_PMP"/>
    <x v="0"/>
    <x v="1"/>
    <n v="9168"/>
    <n v="3346320"/>
    <n v="12046752"/>
  </r>
  <r>
    <x v="0"/>
    <x v="0"/>
    <x v="1"/>
    <x v="1"/>
    <x v="5"/>
    <s v="DE4-W_A"/>
    <x v="10"/>
    <s v="AGG-DE4-W_RES_WTR_PMP"/>
    <x v="0"/>
    <x v="2"/>
    <n v="9168"/>
    <n v="3346320"/>
    <n v="12046752"/>
  </r>
  <r>
    <x v="0"/>
    <x v="0"/>
    <x v="1"/>
    <x v="1"/>
    <x v="5"/>
    <s v="DE4-W_A"/>
    <x v="10"/>
    <s v="AGG-DE4-W_RES_WTR_PMP"/>
    <x v="0"/>
    <x v="3"/>
    <n v="9168"/>
    <n v="3346320"/>
    <n v="12046752"/>
  </r>
  <r>
    <x v="0"/>
    <x v="0"/>
    <x v="1"/>
    <x v="1"/>
    <x v="5"/>
    <s v="DE4-W_A"/>
    <x v="10"/>
    <s v="AGG-DE4-W_RES_WTR_PMP"/>
    <x v="0"/>
    <x v="4"/>
    <n v="9168"/>
    <n v="3346320"/>
    <n v="12046752"/>
  </r>
  <r>
    <x v="0"/>
    <x v="0"/>
    <x v="1"/>
    <x v="1"/>
    <x v="5"/>
    <s v="DE4-W_A"/>
    <x v="10"/>
    <s v="AGG-DE4-W_RES_WTR_PMP"/>
    <x v="0"/>
    <x v="5"/>
    <n v="9168"/>
    <n v="3346320"/>
    <n v="12046752"/>
  </r>
  <r>
    <x v="0"/>
    <x v="0"/>
    <x v="1"/>
    <x v="1"/>
    <x v="5"/>
    <s v="DE4-W_A"/>
    <x v="10"/>
    <s v="AGG-DE4-W_RES_WTR_PMP"/>
    <x v="0"/>
    <x v="6"/>
    <n v="9168"/>
    <n v="3346320"/>
    <n v="12046752"/>
  </r>
  <r>
    <x v="0"/>
    <x v="0"/>
    <x v="1"/>
    <x v="1"/>
    <x v="5"/>
    <s v="DE4-W_A"/>
    <x v="10"/>
    <s v="AGG-DE4-W_RES_WTR_PMP"/>
    <x v="0"/>
    <x v="7"/>
    <n v="9168"/>
    <n v="3346320"/>
    <n v="12046752"/>
  </r>
  <r>
    <x v="0"/>
    <x v="0"/>
    <x v="1"/>
    <x v="1"/>
    <x v="5"/>
    <s v="DE4-W_A"/>
    <x v="10"/>
    <s v="AGG-DE4-W_RES_WTR_PMP"/>
    <x v="0"/>
    <x v="8"/>
    <n v="9168"/>
    <n v="3346320"/>
    <n v="12046752"/>
  </r>
  <r>
    <x v="0"/>
    <x v="0"/>
    <x v="1"/>
    <x v="1"/>
    <x v="5"/>
    <s v="DE4-W_A"/>
    <x v="10"/>
    <s v="AGG-DE4-W_RES_WTR_PMP"/>
    <x v="0"/>
    <x v="9"/>
    <n v="9168"/>
    <n v="3346320"/>
    <n v="12046752"/>
  </r>
  <r>
    <x v="0"/>
    <x v="0"/>
    <x v="1"/>
    <x v="1"/>
    <x v="5"/>
    <s v="DE4-W_A"/>
    <x v="10"/>
    <s v="AGG-DE4-W_RES_WTR_PMP"/>
    <x v="0"/>
    <x v="10"/>
    <n v="9168"/>
    <n v="3346320"/>
    <n v="12046752"/>
  </r>
  <r>
    <x v="0"/>
    <x v="0"/>
    <x v="1"/>
    <x v="1"/>
    <x v="5"/>
    <s v="DE4-W_A"/>
    <x v="10"/>
    <s v="AGG-DE4-W_RES_WTR_PMP"/>
    <x v="0"/>
    <x v="11"/>
    <n v="9168"/>
    <n v="3346320"/>
    <n v="12046752"/>
  </r>
  <r>
    <x v="0"/>
    <x v="0"/>
    <x v="1"/>
    <x v="1"/>
    <x v="5"/>
    <s v="DE4-W_A"/>
    <x v="10"/>
    <s v="AGG-DE4-W_RES_WTR_PMP"/>
    <x v="0"/>
    <x v="12"/>
    <n v="9168"/>
    <n v="3346320"/>
    <n v="12046752"/>
  </r>
  <r>
    <x v="0"/>
    <x v="0"/>
    <x v="1"/>
    <x v="1"/>
    <x v="5"/>
    <s v="DE4-W_A"/>
    <x v="10"/>
    <s v="AGG-DE4-W_RES_WTR_PMP"/>
    <x v="0"/>
    <x v="13"/>
    <n v="9168"/>
    <n v="3346320"/>
    <n v="12046752"/>
  </r>
  <r>
    <x v="0"/>
    <x v="0"/>
    <x v="1"/>
    <x v="1"/>
    <x v="5"/>
    <s v="DE4-W_A"/>
    <x v="10"/>
    <s v="AGG-DE4-W_RES_WTR_PMP"/>
    <x v="0"/>
    <x v="14"/>
    <n v="9168"/>
    <n v="3346320"/>
    <n v="12046752"/>
  </r>
  <r>
    <x v="0"/>
    <x v="0"/>
    <x v="1"/>
    <x v="1"/>
    <x v="5"/>
    <s v="DE4-W_A"/>
    <x v="10"/>
    <s v="AGG-DE4-W_RES_WTR_PMP"/>
    <x v="0"/>
    <x v="15"/>
    <n v="9168"/>
    <n v="3346320"/>
    <n v="12046752"/>
  </r>
  <r>
    <x v="0"/>
    <x v="0"/>
    <x v="1"/>
    <x v="1"/>
    <x v="5"/>
    <s v="DE4-W_A"/>
    <x v="10"/>
    <s v="AGG-DE4-W_RES_WTR_PMP"/>
    <x v="0"/>
    <x v="16"/>
    <n v="9168"/>
    <n v="3346320"/>
    <n v="12046752"/>
  </r>
  <r>
    <x v="0"/>
    <x v="0"/>
    <x v="1"/>
    <x v="1"/>
    <x v="5"/>
    <s v="DE4-W_A"/>
    <x v="10"/>
    <s v="AGG-DE4-W_RES_WTR_PMP"/>
    <x v="0"/>
    <x v="17"/>
    <n v="9168"/>
    <n v="3346320"/>
    <n v="12046752"/>
  </r>
  <r>
    <x v="0"/>
    <x v="0"/>
    <x v="1"/>
    <x v="1"/>
    <x v="5"/>
    <s v="DE4-W_A"/>
    <x v="10"/>
    <s v="AGG-DE4-W_RES_WTR_PMP"/>
    <x v="0"/>
    <x v="18"/>
    <n v="9168"/>
    <n v="3346320"/>
    <n v="12046752"/>
  </r>
  <r>
    <x v="0"/>
    <x v="0"/>
    <x v="1"/>
    <x v="1"/>
    <x v="5"/>
    <s v="DE4-W_A"/>
    <x v="10"/>
    <s v="AGG-DE4-W_RES_WTR_PMP"/>
    <x v="0"/>
    <x v="19"/>
    <n v="9168"/>
    <n v="3346320"/>
    <n v="12046752"/>
  </r>
  <r>
    <x v="0"/>
    <x v="0"/>
    <x v="1"/>
    <x v="1"/>
    <x v="5"/>
    <s v="DE4-W_A"/>
    <x v="10"/>
    <s v="AGG-DE4-W_RES_WTR_PMP"/>
    <x v="0"/>
    <x v="20"/>
    <n v="9168"/>
    <n v="3346320"/>
    <n v="12046752"/>
  </r>
  <r>
    <x v="0"/>
    <x v="0"/>
    <x v="1"/>
    <x v="1"/>
    <x v="5"/>
    <s v="DE4-W_A"/>
    <x v="10"/>
    <s v="AGG-DE4-W_RES_WTR_PMP"/>
    <x v="0"/>
    <x v="21"/>
    <n v="9168"/>
    <n v="3346320"/>
    <n v="12046752"/>
  </r>
  <r>
    <x v="0"/>
    <x v="0"/>
    <x v="1"/>
    <x v="1"/>
    <x v="5"/>
    <s v="DE4-W_A"/>
    <x v="10"/>
    <s v="AGG-DE4-W_RES_WTR_PMP"/>
    <x v="0"/>
    <x v="22"/>
    <n v="9168"/>
    <n v="3346320"/>
    <n v="12046752"/>
  </r>
  <r>
    <x v="0"/>
    <x v="0"/>
    <x v="1"/>
    <x v="1"/>
    <x v="5"/>
    <s v="DE4-W_A"/>
    <x v="10"/>
    <s v="AGG-DE4-W_RES_WTR_PMP"/>
    <x v="0"/>
    <x v="23"/>
    <n v="9168"/>
    <n v="3346320"/>
    <n v="12046752"/>
  </r>
  <r>
    <x v="0"/>
    <x v="0"/>
    <x v="1"/>
    <x v="1"/>
    <x v="5"/>
    <s v="DE4-W_A"/>
    <x v="1"/>
    <s v="GNR_ST_MSW_CND_E-33"/>
    <x v="0"/>
    <x v="0"/>
    <n v="220"/>
    <n v="80300"/>
    <n v="289080"/>
  </r>
  <r>
    <x v="0"/>
    <x v="0"/>
    <x v="1"/>
    <x v="1"/>
    <x v="5"/>
    <s v="DE4-W_A"/>
    <x v="1"/>
    <s v="GNR_ST_MSW_CND_E-33"/>
    <x v="0"/>
    <x v="1"/>
    <n v="220"/>
    <n v="80300"/>
    <n v="289080"/>
  </r>
  <r>
    <x v="0"/>
    <x v="0"/>
    <x v="1"/>
    <x v="1"/>
    <x v="5"/>
    <s v="DE4-W_A"/>
    <x v="1"/>
    <s v="GNR_ST_MSW_CND_E-33"/>
    <x v="0"/>
    <x v="2"/>
    <n v="220"/>
    <n v="80300"/>
    <n v="289080"/>
  </r>
  <r>
    <x v="0"/>
    <x v="0"/>
    <x v="1"/>
    <x v="1"/>
    <x v="5"/>
    <s v="DE4-W_A"/>
    <x v="1"/>
    <s v="GNR_ST_MSW_CND_E-33"/>
    <x v="0"/>
    <x v="3"/>
    <n v="220"/>
    <n v="80300"/>
    <n v="289080"/>
  </r>
  <r>
    <x v="0"/>
    <x v="0"/>
    <x v="1"/>
    <x v="1"/>
    <x v="5"/>
    <s v="DE4-W_A"/>
    <x v="1"/>
    <s v="GNR_ST_MSW_CND_E-33"/>
    <x v="0"/>
    <x v="4"/>
    <n v="220"/>
    <n v="80300"/>
    <n v="289080"/>
  </r>
  <r>
    <x v="0"/>
    <x v="0"/>
    <x v="1"/>
    <x v="1"/>
    <x v="5"/>
    <s v="DE4-W_A"/>
    <x v="1"/>
    <s v="GNR_ST_MSW_CND_E-33"/>
    <x v="0"/>
    <x v="5"/>
    <n v="220"/>
    <n v="80300"/>
    <n v="289080"/>
  </r>
  <r>
    <x v="0"/>
    <x v="0"/>
    <x v="1"/>
    <x v="1"/>
    <x v="5"/>
    <s v="DE4-W_A"/>
    <x v="1"/>
    <s v="GNR_ST_MSW_CND_E-33"/>
    <x v="0"/>
    <x v="6"/>
    <n v="220"/>
    <n v="80300"/>
    <n v="289080"/>
  </r>
  <r>
    <x v="0"/>
    <x v="0"/>
    <x v="1"/>
    <x v="1"/>
    <x v="5"/>
    <s v="DE4-W_A"/>
    <x v="1"/>
    <s v="GNR_ST_MSW_CND_E-33"/>
    <x v="0"/>
    <x v="7"/>
    <n v="220"/>
    <n v="80300"/>
    <n v="289080"/>
  </r>
  <r>
    <x v="0"/>
    <x v="0"/>
    <x v="1"/>
    <x v="1"/>
    <x v="5"/>
    <s v="DE4-W_A"/>
    <x v="1"/>
    <s v="GNR_ST_MSW_CND_E-33"/>
    <x v="0"/>
    <x v="8"/>
    <n v="220"/>
    <n v="80300"/>
    <n v="289080"/>
  </r>
  <r>
    <x v="0"/>
    <x v="0"/>
    <x v="1"/>
    <x v="1"/>
    <x v="5"/>
    <s v="DE4-W_A"/>
    <x v="1"/>
    <s v="GNR_ST_MSW_CND_E-33"/>
    <x v="0"/>
    <x v="9"/>
    <n v="220"/>
    <n v="80300"/>
    <n v="289080"/>
  </r>
  <r>
    <x v="0"/>
    <x v="0"/>
    <x v="1"/>
    <x v="1"/>
    <x v="5"/>
    <s v="DE4-W_A"/>
    <x v="1"/>
    <s v="GNR_ST_MSW_CND_E-33"/>
    <x v="0"/>
    <x v="10"/>
    <n v="220"/>
    <n v="80300"/>
    <n v="289080"/>
  </r>
  <r>
    <x v="0"/>
    <x v="0"/>
    <x v="1"/>
    <x v="1"/>
    <x v="5"/>
    <s v="DE4-W_A"/>
    <x v="1"/>
    <s v="GNR_ST_MSW_CND_E-33"/>
    <x v="0"/>
    <x v="11"/>
    <n v="220"/>
    <n v="80300"/>
    <n v="289080"/>
  </r>
  <r>
    <x v="0"/>
    <x v="0"/>
    <x v="1"/>
    <x v="1"/>
    <x v="5"/>
    <s v="DE4-W_A"/>
    <x v="1"/>
    <s v="GNR_ST_MSW_CND_E-33"/>
    <x v="0"/>
    <x v="12"/>
    <n v="220"/>
    <n v="80300"/>
    <n v="289080"/>
  </r>
  <r>
    <x v="0"/>
    <x v="0"/>
    <x v="1"/>
    <x v="1"/>
    <x v="5"/>
    <s v="DE4-W_A"/>
    <x v="1"/>
    <s v="GNR_ST_MSW_CND_E-33"/>
    <x v="0"/>
    <x v="13"/>
    <n v="220"/>
    <n v="80300"/>
    <n v="289080"/>
  </r>
  <r>
    <x v="0"/>
    <x v="0"/>
    <x v="1"/>
    <x v="1"/>
    <x v="5"/>
    <s v="DE4-W_A"/>
    <x v="1"/>
    <s v="GNR_ST_MSW_CND_E-33"/>
    <x v="0"/>
    <x v="14"/>
    <n v="220"/>
    <n v="80300"/>
    <n v="289080"/>
  </r>
  <r>
    <x v="0"/>
    <x v="0"/>
    <x v="1"/>
    <x v="1"/>
    <x v="5"/>
    <s v="DE4-W_A"/>
    <x v="1"/>
    <s v="GNR_ST_MSW_CND_E-33"/>
    <x v="0"/>
    <x v="15"/>
    <n v="220"/>
    <n v="80300"/>
    <n v="289080"/>
  </r>
  <r>
    <x v="0"/>
    <x v="0"/>
    <x v="1"/>
    <x v="1"/>
    <x v="5"/>
    <s v="DE4-W_A"/>
    <x v="1"/>
    <s v="GNR_ST_MSW_CND_E-33"/>
    <x v="0"/>
    <x v="16"/>
    <n v="220"/>
    <n v="80300"/>
    <n v="289080"/>
  </r>
  <r>
    <x v="0"/>
    <x v="0"/>
    <x v="1"/>
    <x v="1"/>
    <x v="5"/>
    <s v="DE4-W_A"/>
    <x v="1"/>
    <s v="GNR_ST_MSW_CND_E-33"/>
    <x v="0"/>
    <x v="17"/>
    <n v="220"/>
    <n v="80300"/>
    <n v="289080"/>
  </r>
  <r>
    <x v="0"/>
    <x v="0"/>
    <x v="1"/>
    <x v="1"/>
    <x v="5"/>
    <s v="DE4-W_A"/>
    <x v="1"/>
    <s v="GNR_ST_MSW_CND_E-33"/>
    <x v="0"/>
    <x v="18"/>
    <n v="220"/>
    <n v="80300"/>
    <n v="289080"/>
  </r>
  <r>
    <x v="0"/>
    <x v="0"/>
    <x v="1"/>
    <x v="1"/>
    <x v="5"/>
    <s v="DE4-W_A"/>
    <x v="1"/>
    <s v="GNR_ST_MSW_CND_E-33"/>
    <x v="0"/>
    <x v="19"/>
    <n v="220"/>
    <n v="80300"/>
    <n v="289080"/>
  </r>
  <r>
    <x v="0"/>
    <x v="0"/>
    <x v="1"/>
    <x v="1"/>
    <x v="5"/>
    <s v="DE4-W_A"/>
    <x v="1"/>
    <s v="GNR_ST_MSW_CND_E-33"/>
    <x v="0"/>
    <x v="20"/>
    <n v="220"/>
    <n v="80300"/>
    <n v="289080"/>
  </r>
  <r>
    <x v="0"/>
    <x v="0"/>
    <x v="1"/>
    <x v="1"/>
    <x v="5"/>
    <s v="DE4-W_A"/>
    <x v="1"/>
    <s v="GNR_ST_MSW_CND_E-33"/>
    <x v="0"/>
    <x v="21"/>
    <n v="220"/>
    <n v="80300"/>
    <n v="289080"/>
  </r>
  <r>
    <x v="0"/>
    <x v="0"/>
    <x v="1"/>
    <x v="1"/>
    <x v="5"/>
    <s v="DE4-W_A"/>
    <x v="1"/>
    <s v="GNR_ST_MSW_CND_E-33"/>
    <x v="0"/>
    <x v="22"/>
    <n v="220"/>
    <n v="80300"/>
    <n v="289080"/>
  </r>
  <r>
    <x v="0"/>
    <x v="0"/>
    <x v="1"/>
    <x v="1"/>
    <x v="5"/>
    <s v="DE4-W_A"/>
    <x v="1"/>
    <s v="GNR_ST_MSW_CND_E-33"/>
    <x v="0"/>
    <x v="23"/>
    <n v="220"/>
    <n v="80300"/>
    <n v="289080"/>
  </r>
  <r>
    <x v="0"/>
    <x v="0"/>
    <x v="1"/>
    <x v="1"/>
    <x v="5"/>
    <s v="DE4-W_A"/>
    <x v="6"/>
    <s v="GNR_PV_SUN"/>
    <x v="0"/>
    <x v="6"/>
    <n v="50.928007722633403"/>
    <n v="18588.722818761202"/>
    <n v="66919.402147540299"/>
  </r>
  <r>
    <x v="0"/>
    <x v="0"/>
    <x v="1"/>
    <x v="1"/>
    <x v="5"/>
    <s v="DE4-W_A"/>
    <x v="6"/>
    <s v="GNR_PV_SUN"/>
    <x v="0"/>
    <x v="7"/>
    <n v="543.19596322034295"/>
    <n v="198266.526575425"/>
    <n v="713759.49567153095"/>
  </r>
  <r>
    <x v="0"/>
    <x v="0"/>
    <x v="1"/>
    <x v="1"/>
    <x v="5"/>
    <s v="DE4-W_A"/>
    <x v="6"/>
    <s v="GNR_PV_SUN"/>
    <x v="0"/>
    <x v="8"/>
    <n v="1585.1613297327699"/>
    <n v="578583.885352463"/>
    <n v="2082901.98726887"/>
  </r>
  <r>
    <x v="0"/>
    <x v="0"/>
    <x v="1"/>
    <x v="1"/>
    <x v="5"/>
    <s v="DE4-W_A"/>
    <x v="6"/>
    <s v="GNR_PV_SUN"/>
    <x v="0"/>
    <x v="9"/>
    <n v="2587.9012945524501"/>
    <n v="944583.97251164599"/>
    <n v="3400502.30104193"/>
  </r>
  <r>
    <x v="0"/>
    <x v="0"/>
    <x v="1"/>
    <x v="1"/>
    <x v="5"/>
    <s v="DE4-W_A"/>
    <x v="6"/>
    <s v="GNR_PV_SUN"/>
    <x v="0"/>
    <x v="10"/>
    <n v="3449.0180549179199"/>
    <n v="1258891.59004504"/>
    <n v="4532009.7241621399"/>
  </r>
  <r>
    <x v="0"/>
    <x v="0"/>
    <x v="1"/>
    <x v="1"/>
    <x v="5"/>
    <s v="DE4-W_A"/>
    <x v="6"/>
    <s v="GNR_PV_SUN"/>
    <x v="0"/>
    <x v="11"/>
    <n v="4000.4491853444702"/>
    <n v="1460163.95265073"/>
    <n v="5256590.22954264"/>
  </r>
  <r>
    <x v="0"/>
    <x v="0"/>
    <x v="1"/>
    <x v="1"/>
    <x v="5"/>
    <s v="DE4-W_A"/>
    <x v="6"/>
    <s v="GNR_PV_SUN"/>
    <x v="0"/>
    <x v="12"/>
    <n v="4231.2505820449196"/>
    <n v="1544406.4624464"/>
    <n v="5559863.2648070203"/>
  </r>
  <r>
    <x v="0"/>
    <x v="0"/>
    <x v="1"/>
    <x v="1"/>
    <x v="5"/>
    <s v="DE4-W_A"/>
    <x v="6"/>
    <s v="GNR_PV_SUN"/>
    <x v="0"/>
    <x v="13"/>
    <n v="4255.3059388841202"/>
    <n v="1553186.6676926999"/>
    <n v="5591472.0036937296"/>
  </r>
  <r>
    <x v="0"/>
    <x v="0"/>
    <x v="1"/>
    <x v="1"/>
    <x v="5"/>
    <s v="DE4-W_A"/>
    <x v="6"/>
    <s v="GNR_PV_SUN"/>
    <x v="0"/>
    <x v="14"/>
    <n v="3663.3491172059398"/>
    <n v="1337122.42778017"/>
    <n v="4813640.7400086001"/>
  </r>
  <r>
    <x v="0"/>
    <x v="0"/>
    <x v="1"/>
    <x v="1"/>
    <x v="5"/>
    <s v="DE4-W_A"/>
    <x v="6"/>
    <s v="GNR_PV_SUN"/>
    <x v="0"/>
    <x v="15"/>
    <n v="2772.9758417657699"/>
    <n v="1012136.18224451"/>
    <n v="3643690.25608022"/>
  </r>
  <r>
    <x v="0"/>
    <x v="0"/>
    <x v="1"/>
    <x v="1"/>
    <x v="5"/>
    <s v="DE4-W_A"/>
    <x v="6"/>
    <s v="GNR_PV_SUN"/>
    <x v="0"/>
    <x v="16"/>
    <n v="1766.8767955856599"/>
    <n v="644910.03038876597"/>
    <n v="2321676.1093995599"/>
  </r>
  <r>
    <x v="0"/>
    <x v="0"/>
    <x v="1"/>
    <x v="1"/>
    <x v="5"/>
    <s v="DE4-W_A"/>
    <x v="6"/>
    <s v="GNR_PV_SUN"/>
    <x v="0"/>
    <x v="17"/>
    <n v="671.05776984312502"/>
    <n v="244936.08599274099"/>
    <n v="881769.90957386605"/>
  </r>
  <r>
    <x v="0"/>
    <x v="0"/>
    <x v="1"/>
    <x v="1"/>
    <x v="5"/>
    <s v="DE4-W_A"/>
    <x v="6"/>
    <s v="GNR_PV_SUN"/>
    <x v="0"/>
    <x v="18"/>
    <n v="54.9372338625003"/>
    <n v="20052.090359812599"/>
    <n v="72187.525295325395"/>
  </r>
  <r>
    <x v="0"/>
    <x v="0"/>
    <x v="1"/>
    <x v="1"/>
    <x v="5"/>
    <s v="DE4-W_A"/>
    <x v="7"/>
    <s v="GNR_ROR_WTR"/>
    <x v="0"/>
    <x v="0"/>
    <n v="221.00837138508399"/>
    <n v="80668.055555555606"/>
    <n v="290405"/>
  </r>
  <r>
    <x v="0"/>
    <x v="0"/>
    <x v="1"/>
    <x v="1"/>
    <x v="5"/>
    <s v="DE4-W_A"/>
    <x v="7"/>
    <s v="GNR_ROR_WTR"/>
    <x v="0"/>
    <x v="1"/>
    <n v="221.00837138508399"/>
    <n v="80668.055555555606"/>
    <n v="290405"/>
  </r>
  <r>
    <x v="0"/>
    <x v="0"/>
    <x v="1"/>
    <x v="1"/>
    <x v="5"/>
    <s v="DE4-W_A"/>
    <x v="7"/>
    <s v="GNR_ROR_WTR"/>
    <x v="0"/>
    <x v="2"/>
    <n v="221.00837138508399"/>
    <n v="80668.055555555606"/>
    <n v="290405"/>
  </r>
  <r>
    <x v="0"/>
    <x v="0"/>
    <x v="1"/>
    <x v="1"/>
    <x v="5"/>
    <s v="DE4-W_A"/>
    <x v="7"/>
    <s v="GNR_ROR_WTR"/>
    <x v="0"/>
    <x v="3"/>
    <n v="221.00837138508399"/>
    <n v="80668.055555555606"/>
    <n v="290405"/>
  </r>
  <r>
    <x v="0"/>
    <x v="0"/>
    <x v="1"/>
    <x v="1"/>
    <x v="5"/>
    <s v="DE4-W_A"/>
    <x v="7"/>
    <s v="GNR_ROR_WTR"/>
    <x v="0"/>
    <x v="4"/>
    <n v="221.00837138508399"/>
    <n v="80668.055555555606"/>
    <n v="290405"/>
  </r>
  <r>
    <x v="0"/>
    <x v="0"/>
    <x v="1"/>
    <x v="1"/>
    <x v="5"/>
    <s v="DE4-W_A"/>
    <x v="7"/>
    <s v="GNR_ROR_WTR"/>
    <x v="0"/>
    <x v="5"/>
    <n v="221.00837138508399"/>
    <n v="80668.055555555606"/>
    <n v="290405"/>
  </r>
  <r>
    <x v="0"/>
    <x v="0"/>
    <x v="1"/>
    <x v="1"/>
    <x v="5"/>
    <s v="DE4-W_A"/>
    <x v="7"/>
    <s v="GNR_ROR_WTR"/>
    <x v="0"/>
    <x v="6"/>
    <n v="221.00837138508399"/>
    <n v="80668.055555555606"/>
    <n v="290405"/>
  </r>
  <r>
    <x v="0"/>
    <x v="0"/>
    <x v="1"/>
    <x v="1"/>
    <x v="5"/>
    <s v="DE4-W_A"/>
    <x v="7"/>
    <s v="GNR_ROR_WTR"/>
    <x v="0"/>
    <x v="7"/>
    <n v="221.00837138508399"/>
    <n v="80668.055555555606"/>
    <n v="290405"/>
  </r>
  <r>
    <x v="0"/>
    <x v="0"/>
    <x v="1"/>
    <x v="1"/>
    <x v="5"/>
    <s v="DE4-W_A"/>
    <x v="7"/>
    <s v="GNR_ROR_WTR"/>
    <x v="0"/>
    <x v="8"/>
    <n v="221.00837138508399"/>
    <n v="80668.055555555606"/>
    <n v="290405"/>
  </r>
  <r>
    <x v="0"/>
    <x v="0"/>
    <x v="1"/>
    <x v="1"/>
    <x v="5"/>
    <s v="DE4-W_A"/>
    <x v="7"/>
    <s v="GNR_ROR_WTR"/>
    <x v="0"/>
    <x v="9"/>
    <n v="221.00837138508399"/>
    <n v="80668.055555555606"/>
    <n v="290405"/>
  </r>
  <r>
    <x v="0"/>
    <x v="0"/>
    <x v="1"/>
    <x v="1"/>
    <x v="5"/>
    <s v="DE4-W_A"/>
    <x v="7"/>
    <s v="GNR_ROR_WTR"/>
    <x v="0"/>
    <x v="10"/>
    <n v="221.00837138508399"/>
    <n v="80668.055555555606"/>
    <n v="290405"/>
  </r>
  <r>
    <x v="0"/>
    <x v="0"/>
    <x v="1"/>
    <x v="1"/>
    <x v="5"/>
    <s v="DE4-W_A"/>
    <x v="7"/>
    <s v="GNR_ROR_WTR"/>
    <x v="0"/>
    <x v="11"/>
    <n v="221.00837138508399"/>
    <n v="80668.055555555606"/>
    <n v="290405"/>
  </r>
  <r>
    <x v="0"/>
    <x v="0"/>
    <x v="1"/>
    <x v="1"/>
    <x v="5"/>
    <s v="DE4-W_A"/>
    <x v="7"/>
    <s v="GNR_ROR_WTR"/>
    <x v="0"/>
    <x v="12"/>
    <n v="221.00837138508399"/>
    <n v="80668.055555555606"/>
    <n v="290405"/>
  </r>
  <r>
    <x v="0"/>
    <x v="0"/>
    <x v="1"/>
    <x v="1"/>
    <x v="5"/>
    <s v="DE4-W_A"/>
    <x v="7"/>
    <s v="GNR_ROR_WTR"/>
    <x v="0"/>
    <x v="13"/>
    <n v="221.00837138508399"/>
    <n v="80668.055555555606"/>
    <n v="290405"/>
  </r>
  <r>
    <x v="0"/>
    <x v="0"/>
    <x v="1"/>
    <x v="1"/>
    <x v="5"/>
    <s v="DE4-W_A"/>
    <x v="7"/>
    <s v="GNR_ROR_WTR"/>
    <x v="0"/>
    <x v="14"/>
    <n v="221.00837138508399"/>
    <n v="80668.055555555606"/>
    <n v="290405"/>
  </r>
  <r>
    <x v="0"/>
    <x v="0"/>
    <x v="1"/>
    <x v="1"/>
    <x v="5"/>
    <s v="DE4-W_A"/>
    <x v="7"/>
    <s v="GNR_ROR_WTR"/>
    <x v="0"/>
    <x v="15"/>
    <n v="221.00837138508399"/>
    <n v="80668.055555555606"/>
    <n v="290405"/>
  </r>
  <r>
    <x v="0"/>
    <x v="0"/>
    <x v="1"/>
    <x v="1"/>
    <x v="5"/>
    <s v="DE4-W_A"/>
    <x v="7"/>
    <s v="GNR_ROR_WTR"/>
    <x v="0"/>
    <x v="16"/>
    <n v="221.00837138508399"/>
    <n v="80668.055555555606"/>
    <n v="290405"/>
  </r>
  <r>
    <x v="0"/>
    <x v="0"/>
    <x v="1"/>
    <x v="1"/>
    <x v="5"/>
    <s v="DE4-W_A"/>
    <x v="7"/>
    <s v="GNR_ROR_WTR"/>
    <x v="0"/>
    <x v="17"/>
    <n v="221.00837138508399"/>
    <n v="80668.055555555606"/>
    <n v="290405"/>
  </r>
  <r>
    <x v="0"/>
    <x v="0"/>
    <x v="1"/>
    <x v="1"/>
    <x v="5"/>
    <s v="DE4-W_A"/>
    <x v="7"/>
    <s v="GNR_ROR_WTR"/>
    <x v="0"/>
    <x v="18"/>
    <n v="221.00837138508399"/>
    <n v="80668.055555555606"/>
    <n v="290405"/>
  </r>
  <r>
    <x v="0"/>
    <x v="0"/>
    <x v="1"/>
    <x v="1"/>
    <x v="5"/>
    <s v="DE4-W_A"/>
    <x v="7"/>
    <s v="GNR_ROR_WTR"/>
    <x v="0"/>
    <x v="19"/>
    <n v="221.00837138508399"/>
    <n v="80668.055555555606"/>
    <n v="290405"/>
  </r>
  <r>
    <x v="0"/>
    <x v="0"/>
    <x v="1"/>
    <x v="1"/>
    <x v="5"/>
    <s v="DE4-W_A"/>
    <x v="7"/>
    <s v="GNR_ROR_WTR"/>
    <x v="0"/>
    <x v="20"/>
    <n v="221.00837138508399"/>
    <n v="80668.055555555606"/>
    <n v="290405"/>
  </r>
  <r>
    <x v="0"/>
    <x v="0"/>
    <x v="1"/>
    <x v="1"/>
    <x v="5"/>
    <s v="DE4-W_A"/>
    <x v="7"/>
    <s v="GNR_ROR_WTR"/>
    <x v="0"/>
    <x v="21"/>
    <n v="221.00837138508399"/>
    <n v="80668.055555555606"/>
    <n v="290405"/>
  </r>
  <r>
    <x v="0"/>
    <x v="0"/>
    <x v="1"/>
    <x v="1"/>
    <x v="5"/>
    <s v="DE4-W_A"/>
    <x v="7"/>
    <s v="GNR_ROR_WTR"/>
    <x v="0"/>
    <x v="22"/>
    <n v="221.00837138508399"/>
    <n v="80668.055555555606"/>
    <n v="290405"/>
  </r>
  <r>
    <x v="0"/>
    <x v="0"/>
    <x v="1"/>
    <x v="1"/>
    <x v="5"/>
    <s v="DE4-W_A"/>
    <x v="7"/>
    <s v="GNR_ROR_WTR"/>
    <x v="0"/>
    <x v="23"/>
    <n v="221.00837138508399"/>
    <n v="80668.055555555606"/>
    <n v="290405"/>
  </r>
  <r>
    <x v="0"/>
    <x v="0"/>
    <x v="1"/>
    <x v="1"/>
    <x v="5"/>
    <s v="DE4-W_A"/>
    <x v="8"/>
    <s v="GNR_WT_WIND_ONS"/>
    <x v="0"/>
    <x v="0"/>
    <n v="4507.6064356926099"/>
    <n v="1645276.3490277999"/>
    <n v="5922994.8565000901"/>
  </r>
  <r>
    <x v="0"/>
    <x v="0"/>
    <x v="1"/>
    <x v="1"/>
    <x v="5"/>
    <s v="DE4-W_A"/>
    <x v="8"/>
    <s v="GNR_WT_WIND_ONS"/>
    <x v="0"/>
    <x v="1"/>
    <n v="4175.5297932748199"/>
    <n v="1524068.3745453099"/>
    <n v="5486646.1483631199"/>
  </r>
  <r>
    <x v="0"/>
    <x v="0"/>
    <x v="1"/>
    <x v="1"/>
    <x v="5"/>
    <s v="DE4-W_A"/>
    <x v="8"/>
    <s v="GNR_WT_WIND_ONS"/>
    <x v="0"/>
    <x v="2"/>
    <n v="3959.8708243483302"/>
    <n v="1445352.85088714"/>
    <n v="5203270.2631937005"/>
  </r>
  <r>
    <x v="0"/>
    <x v="0"/>
    <x v="1"/>
    <x v="1"/>
    <x v="5"/>
    <s v="DE4-W_A"/>
    <x v="8"/>
    <s v="GNR_WT_WIND_ONS"/>
    <x v="0"/>
    <x v="3"/>
    <n v="3578.7699362287799"/>
    <n v="1306251.0267235001"/>
    <n v="4702503.6962046102"/>
  </r>
  <r>
    <x v="0"/>
    <x v="0"/>
    <x v="1"/>
    <x v="1"/>
    <x v="5"/>
    <s v="DE4-W_A"/>
    <x v="8"/>
    <s v="GNR_WT_WIND_ONS"/>
    <x v="0"/>
    <x v="4"/>
    <n v="3190.6315043223499"/>
    <n v="1164580.49907766"/>
    <n v="4192489.7966795699"/>
  </r>
  <r>
    <x v="0"/>
    <x v="0"/>
    <x v="1"/>
    <x v="1"/>
    <x v="5"/>
    <s v="DE4-W_A"/>
    <x v="8"/>
    <s v="GNR_WT_WIND_ONS"/>
    <x v="0"/>
    <x v="5"/>
    <n v="3032.4656897225"/>
    <n v="1106849.97674871"/>
    <n v="3984659.9162953701"/>
  </r>
  <r>
    <x v="0"/>
    <x v="0"/>
    <x v="1"/>
    <x v="1"/>
    <x v="5"/>
    <s v="DE4-W_A"/>
    <x v="8"/>
    <s v="GNR_WT_WIND_ONS"/>
    <x v="0"/>
    <x v="6"/>
    <n v="2982.6064811985598"/>
    <n v="1088651.36563748"/>
    <n v="3919144.91629491"/>
  </r>
  <r>
    <x v="0"/>
    <x v="0"/>
    <x v="1"/>
    <x v="1"/>
    <x v="5"/>
    <s v="DE4-W_A"/>
    <x v="8"/>
    <s v="GNR_WT_WIND_ONS"/>
    <x v="0"/>
    <x v="7"/>
    <n v="3066.57988502835"/>
    <n v="1119301.65803535"/>
    <n v="4029485.9689272498"/>
  </r>
  <r>
    <x v="0"/>
    <x v="0"/>
    <x v="1"/>
    <x v="1"/>
    <x v="5"/>
    <s v="DE4-W_A"/>
    <x v="8"/>
    <s v="GNR_WT_WIND_ONS"/>
    <x v="0"/>
    <x v="8"/>
    <n v="3670.1387250549301"/>
    <n v="1339600.6346450499"/>
    <n v="4822562.2847221801"/>
  </r>
  <r>
    <x v="0"/>
    <x v="0"/>
    <x v="1"/>
    <x v="1"/>
    <x v="5"/>
    <s v="DE4-W_A"/>
    <x v="8"/>
    <s v="GNR_WT_WIND_ONS"/>
    <x v="0"/>
    <x v="9"/>
    <n v="4155.2521247363802"/>
    <n v="1516667.02552878"/>
    <n v="5460001.2919036001"/>
  </r>
  <r>
    <x v="0"/>
    <x v="0"/>
    <x v="1"/>
    <x v="1"/>
    <x v="5"/>
    <s v="DE4-W_A"/>
    <x v="8"/>
    <s v="GNR_WT_WIND_ONS"/>
    <x v="0"/>
    <x v="10"/>
    <n v="4015.8133334337999"/>
    <n v="1465771.8667033401"/>
    <n v="5276778.7201320101"/>
  </r>
  <r>
    <x v="0"/>
    <x v="0"/>
    <x v="1"/>
    <x v="1"/>
    <x v="5"/>
    <s v="DE4-W_A"/>
    <x v="8"/>
    <s v="GNR_WT_WIND_ONS"/>
    <x v="0"/>
    <x v="11"/>
    <n v="3673.0014547309502"/>
    <n v="1340645.5309768"/>
    <n v="4826323.9115164699"/>
  </r>
  <r>
    <x v="0"/>
    <x v="0"/>
    <x v="1"/>
    <x v="1"/>
    <x v="5"/>
    <s v="DE4-W_A"/>
    <x v="8"/>
    <s v="GNR_WT_WIND_ONS"/>
    <x v="0"/>
    <x v="12"/>
    <n v="3733.9537407494399"/>
    <n v="1362893.11537355"/>
    <n v="4906415.2153447699"/>
  </r>
  <r>
    <x v="0"/>
    <x v="0"/>
    <x v="1"/>
    <x v="1"/>
    <x v="5"/>
    <s v="DE4-W_A"/>
    <x v="8"/>
    <s v="GNR_WT_WIND_ONS"/>
    <x v="0"/>
    <x v="13"/>
    <n v="3787.2720809652301"/>
    <n v="1382354.30955231"/>
    <n v="4976475.51438832"/>
  </r>
  <r>
    <x v="0"/>
    <x v="0"/>
    <x v="1"/>
    <x v="1"/>
    <x v="5"/>
    <s v="DE4-W_A"/>
    <x v="8"/>
    <s v="GNR_WT_WIND_ONS"/>
    <x v="0"/>
    <x v="14"/>
    <n v="3806.11838466567"/>
    <n v="1389233.21040297"/>
    <n v="5001239.5574506903"/>
  </r>
  <r>
    <x v="0"/>
    <x v="0"/>
    <x v="1"/>
    <x v="1"/>
    <x v="5"/>
    <s v="DE4-W_A"/>
    <x v="8"/>
    <s v="GNR_WT_WIND_ONS"/>
    <x v="0"/>
    <x v="15"/>
    <n v="3560.8778757536802"/>
    <n v="1299720.42465009"/>
    <n v="4678993.5287403297"/>
  </r>
  <r>
    <x v="0"/>
    <x v="0"/>
    <x v="1"/>
    <x v="1"/>
    <x v="5"/>
    <s v="DE4-W_A"/>
    <x v="8"/>
    <s v="GNR_WT_WIND_ONS"/>
    <x v="0"/>
    <x v="16"/>
    <n v="3218.6623990666699"/>
    <n v="1174811.77565933"/>
    <n v="4229322.3923736"/>
  </r>
  <r>
    <x v="0"/>
    <x v="0"/>
    <x v="1"/>
    <x v="1"/>
    <x v="5"/>
    <s v="DE4-W_A"/>
    <x v="8"/>
    <s v="GNR_WT_WIND_ONS"/>
    <x v="0"/>
    <x v="17"/>
    <n v="2666.8712540146998"/>
    <n v="973408.00771536503"/>
    <n v="3504268.8277753098"/>
  </r>
  <r>
    <x v="0"/>
    <x v="0"/>
    <x v="1"/>
    <x v="1"/>
    <x v="5"/>
    <s v="DE4-W_A"/>
    <x v="8"/>
    <s v="GNR_WT_WIND_ONS"/>
    <x v="0"/>
    <x v="18"/>
    <n v="2048.9987656080398"/>
    <n v="747884.54944693297"/>
    <n v="2692384.3780089598"/>
  </r>
  <r>
    <x v="0"/>
    <x v="0"/>
    <x v="1"/>
    <x v="1"/>
    <x v="5"/>
    <s v="DE4-W_A"/>
    <x v="8"/>
    <s v="GNR_WT_WIND_ONS"/>
    <x v="0"/>
    <x v="19"/>
    <n v="2058.0640762487501"/>
    <n v="751193.38783079397"/>
    <n v="2704296.1961908601"/>
  </r>
  <r>
    <x v="0"/>
    <x v="0"/>
    <x v="1"/>
    <x v="1"/>
    <x v="5"/>
    <s v="DE4-W_A"/>
    <x v="8"/>
    <s v="GNR_WT_WIND_ONS"/>
    <x v="0"/>
    <x v="20"/>
    <n v="2163.0308310359801"/>
    <n v="789506.25332813396"/>
    <n v="2842222.5119812801"/>
  </r>
  <r>
    <x v="0"/>
    <x v="0"/>
    <x v="1"/>
    <x v="1"/>
    <x v="5"/>
    <s v="DE4-W_A"/>
    <x v="8"/>
    <s v="GNR_WT_WIND_ONS"/>
    <x v="0"/>
    <x v="21"/>
    <n v="2339.8043885299398"/>
    <n v="854028.60181342706"/>
    <n v="3074502.9665283398"/>
  </r>
  <r>
    <x v="0"/>
    <x v="0"/>
    <x v="1"/>
    <x v="1"/>
    <x v="5"/>
    <s v="DE4-W_A"/>
    <x v="8"/>
    <s v="GNR_WT_WIND_ONS"/>
    <x v="0"/>
    <x v="22"/>
    <n v="2443.2204980759898"/>
    <n v="891775.48179773695"/>
    <n v="3210391.7344718501"/>
  </r>
  <r>
    <x v="0"/>
    <x v="0"/>
    <x v="1"/>
    <x v="1"/>
    <x v="5"/>
    <s v="DE4-W_A"/>
    <x v="8"/>
    <s v="GNR_WT_WIND_ONS"/>
    <x v="0"/>
    <x v="23"/>
    <n v="2472.8020380614898"/>
    <n v="902572.74389244197"/>
    <n v="3249261.8780127899"/>
  </r>
  <r>
    <x v="0"/>
    <x v="0"/>
    <x v="1"/>
    <x v="1"/>
    <x v="5"/>
    <s v="DE4-W_Offshore_A"/>
    <x v="8"/>
    <s v="GNR_WT_WIND_OFF"/>
    <x v="0"/>
    <x v="0"/>
    <n v="3891.0321378410199"/>
    <n v="1420226.73031197"/>
    <n v="5112816.2291230997"/>
  </r>
  <r>
    <x v="0"/>
    <x v="0"/>
    <x v="1"/>
    <x v="1"/>
    <x v="5"/>
    <s v="DE4-W_Offshore_A"/>
    <x v="8"/>
    <s v="GNR_WT_WIND_OFF"/>
    <x v="0"/>
    <x v="1"/>
    <n v="3604.3786985250799"/>
    <n v="1315598.2249616501"/>
    <n v="4736153.6098619504"/>
  </r>
  <r>
    <x v="0"/>
    <x v="0"/>
    <x v="1"/>
    <x v="1"/>
    <x v="5"/>
    <s v="DE4-W_Offshore_A"/>
    <x v="8"/>
    <s v="GNR_WT_WIND_OFF"/>
    <x v="0"/>
    <x v="2"/>
    <n v="3418.2187063256401"/>
    <n v="1247649.82780886"/>
    <n v="4491539.3801119002"/>
  </r>
  <r>
    <x v="0"/>
    <x v="0"/>
    <x v="1"/>
    <x v="1"/>
    <x v="5"/>
    <s v="DE4-W_Offshore_A"/>
    <x v="8"/>
    <s v="GNR_WT_WIND_OFF"/>
    <x v="0"/>
    <x v="3"/>
    <n v="3089.2468174555202"/>
    <n v="1127575.0883712601"/>
    <n v="4059270.31813655"/>
  </r>
  <r>
    <x v="0"/>
    <x v="0"/>
    <x v="1"/>
    <x v="1"/>
    <x v="5"/>
    <s v="DE4-W_Offshore_A"/>
    <x v="8"/>
    <s v="GNR_WT_WIND_OFF"/>
    <x v="0"/>
    <x v="4"/>
    <n v="2754.20001733552"/>
    <n v="1005283.0063274699"/>
    <n v="3619018.8227788801"/>
  </r>
  <r>
    <x v="0"/>
    <x v="0"/>
    <x v="1"/>
    <x v="1"/>
    <x v="5"/>
    <s v="DE4-W_Offshore_A"/>
    <x v="8"/>
    <s v="GNR_WT_WIND_OFF"/>
    <x v="0"/>
    <x v="5"/>
    <n v="2617.6689611096099"/>
    <n v="955449.17080500803"/>
    <n v="3439617.0148980301"/>
  </r>
  <r>
    <x v="0"/>
    <x v="0"/>
    <x v="1"/>
    <x v="1"/>
    <x v="5"/>
    <s v="DE4-W_Offshore_A"/>
    <x v="8"/>
    <s v="GNR_WT_WIND_OFF"/>
    <x v="0"/>
    <x v="6"/>
    <n v="2574.6297593732402"/>
    <n v="939739.862171232"/>
    <n v="3383063.50381643"/>
  </r>
  <r>
    <x v="0"/>
    <x v="0"/>
    <x v="1"/>
    <x v="1"/>
    <x v="5"/>
    <s v="DE4-W_Offshore_A"/>
    <x v="8"/>
    <s v="GNR_WT_WIND_OFF"/>
    <x v="0"/>
    <x v="7"/>
    <n v="2647.1168359818698"/>
    <n v="966197.64513338101"/>
    <n v="3478311.5224801698"/>
  </r>
  <r>
    <x v="0"/>
    <x v="0"/>
    <x v="1"/>
    <x v="1"/>
    <x v="5"/>
    <s v="DE4-W_Offshore_A"/>
    <x v="8"/>
    <s v="GNR_WT_WIND_OFF"/>
    <x v="0"/>
    <x v="8"/>
    <n v="3168.1176991063799"/>
    <n v="1156362.9601738299"/>
    <n v="4162906.6566257901"/>
  </r>
  <r>
    <x v="0"/>
    <x v="0"/>
    <x v="1"/>
    <x v="1"/>
    <x v="5"/>
    <s v="DE4-W_Offshore_A"/>
    <x v="8"/>
    <s v="GNR_WT_WIND_OFF"/>
    <x v="0"/>
    <x v="9"/>
    <n v="3586.87471695765"/>
    <n v="1309209.27168954"/>
    <n v="4713153.3780823499"/>
  </r>
  <r>
    <x v="0"/>
    <x v="0"/>
    <x v="1"/>
    <x v="1"/>
    <x v="5"/>
    <s v="DE4-W_Offshore_A"/>
    <x v="8"/>
    <s v="GNR_WT_WIND_OFF"/>
    <x v="0"/>
    <x v="10"/>
    <n v="3466.5091025322399"/>
    <n v="1265275.82242427"/>
    <n v="4554992.9607273703"/>
  </r>
  <r>
    <x v="0"/>
    <x v="0"/>
    <x v="1"/>
    <x v="1"/>
    <x v="5"/>
    <s v="DE4-W_Offshore_A"/>
    <x v="8"/>
    <s v="GNR_WT_WIND_OFF"/>
    <x v="0"/>
    <x v="11"/>
    <n v="3170.5888494453102"/>
    <n v="1157264.93004754"/>
    <n v="4166153.74817114"/>
  </r>
  <r>
    <x v="0"/>
    <x v="0"/>
    <x v="1"/>
    <x v="1"/>
    <x v="5"/>
    <s v="DE4-W_Offshore_A"/>
    <x v="8"/>
    <s v="GNR_WT_WIND_OFF"/>
    <x v="0"/>
    <x v="12"/>
    <n v="3223.20375874504"/>
    <n v="1176469.3719419399"/>
    <n v="4235289.7389909904"/>
  </r>
  <r>
    <x v="0"/>
    <x v="0"/>
    <x v="1"/>
    <x v="1"/>
    <x v="5"/>
    <s v="DE4-W_Offshore_A"/>
    <x v="8"/>
    <s v="GNR_WT_WIND_OFF"/>
    <x v="0"/>
    <x v="13"/>
    <n v="3269.2289338076198"/>
    <n v="1193268.5608397799"/>
    <n v="4295766.8190232199"/>
  </r>
  <r>
    <x v="0"/>
    <x v="0"/>
    <x v="1"/>
    <x v="1"/>
    <x v="5"/>
    <s v="DE4-W_Offshore_A"/>
    <x v="8"/>
    <s v="GNR_WT_WIND_OFF"/>
    <x v="0"/>
    <x v="14"/>
    <n v="3285.4973402055798"/>
    <n v="1199206.5291750401"/>
    <n v="4317143.5050301403"/>
  </r>
  <r>
    <x v="0"/>
    <x v="0"/>
    <x v="1"/>
    <x v="1"/>
    <x v="5"/>
    <s v="DE4-W_Offshore_A"/>
    <x v="8"/>
    <s v="GNR_WT_WIND_OFF"/>
    <x v="0"/>
    <x v="15"/>
    <n v="3073.8021278371998"/>
    <n v="1121937.77666058"/>
    <n v="4038975.9959780802"/>
  </r>
  <r>
    <x v="0"/>
    <x v="0"/>
    <x v="1"/>
    <x v="1"/>
    <x v="5"/>
    <s v="DE4-W_Offshore_A"/>
    <x v="8"/>
    <s v="GNR_WT_WIND_OFF"/>
    <x v="0"/>
    <x v="16"/>
    <n v="2778.3966977375499"/>
    <n v="1014114.79467421"/>
    <n v="3650813.26082714"/>
  </r>
  <r>
    <x v="0"/>
    <x v="0"/>
    <x v="1"/>
    <x v="1"/>
    <x v="5"/>
    <s v="DE4-W_Offshore_A"/>
    <x v="8"/>
    <s v="GNR_WT_WIND_OFF"/>
    <x v="0"/>
    <x v="17"/>
    <n v="2302.0824699086902"/>
    <n v="840260.10151667194"/>
    <n v="3024936.36546002"/>
  </r>
  <r>
    <x v="0"/>
    <x v="0"/>
    <x v="1"/>
    <x v="1"/>
    <x v="5"/>
    <s v="DE4-W_Offshore_A"/>
    <x v="8"/>
    <s v="GNR_WT_WIND_OFF"/>
    <x v="0"/>
    <x v="18"/>
    <n v="1768.7258550895201"/>
    <n v="645584.93710767501"/>
    <n v="2324105.7735876301"/>
  </r>
  <r>
    <x v="0"/>
    <x v="0"/>
    <x v="1"/>
    <x v="1"/>
    <x v="5"/>
    <s v="DE4-W_Offshore_A"/>
    <x v="8"/>
    <s v="GNR_WT_WIND_OFF"/>
    <x v="0"/>
    <x v="19"/>
    <n v="1776.55116449613"/>
    <n v="648441.17504108895"/>
    <n v="2334388.2301479201"/>
  </r>
  <r>
    <x v="0"/>
    <x v="0"/>
    <x v="1"/>
    <x v="1"/>
    <x v="5"/>
    <s v="DE4-W_Offshore_A"/>
    <x v="8"/>
    <s v="GNR_WT_WIND_OFF"/>
    <x v="0"/>
    <x v="20"/>
    <n v="1867.16001025692"/>
    <n v="681513.40374377603"/>
    <n v="2453448.2534775902"/>
  </r>
  <r>
    <x v="0"/>
    <x v="0"/>
    <x v="1"/>
    <x v="1"/>
    <x v="5"/>
    <s v="DE4-W_Offshore_A"/>
    <x v="8"/>
    <s v="GNR_WT_WIND_OFF"/>
    <x v="0"/>
    <x v="21"/>
    <n v="2019.75354368588"/>
    <n v="737210.04344534595"/>
    <n v="2653956.1564032501"/>
  </r>
  <r>
    <x v="0"/>
    <x v="0"/>
    <x v="1"/>
    <x v="1"/>
    <x v="5"/>
    <s v="DE4-W_Offshore_A"/>
    <x v="8"/>
    <s v="GNR_WT_WIND_OFF"/>
    <x v="0"/>
    <x v="22"/>
    <n v="2109.0238496797401"/>
    <n v="769793.70513310703"/>
    <n v="2771257.3384791799"/>
  </r>
  <r>
    <x v="0"/>
    <x v="0"/>
    <x v="1"/>
    <x v="1"/>
    <x v="5"/>
    <s v="DE4-W_Offshore_A"/>
    <x v="8"/>
    <s v="GNR_WT_WIND_OFF"/>
    <x v="0"/>
    <x v="23"/>
    <n v="2134.5590698486899"/>
    <n v="779114.06049477297"/>
    <n v="2804810.61778118"/>
  </r>
  <r>
    <x v="0"/>
    <x v="0"/>
    <x v="1"/>
    <x v="2"/>
    <x v="6"/>
    <s v="NO1_A1"/>
    <x v="6"/>
    <s v="GNR_PV_SUN_LS-4-MW_Y-2020"/>
    <x v="0"/>
    <x v="0"/>
    <n v="2216.1118908414901"/>
    <n v="808880.84015714505"/>
    <n v="2911971.02456572"/>
  </r>
  <r>
    <x v="0"/>
    <x v="0"/>
    <x v="1"/>
    <x v="2"/>
    <x v="6"/>
    <s v="NO1_A1"/>
    <x v="6"/>
    <s v="GNR_PV_SUN_LS-4-MW_Y-2020"/>
    <x v="0"/>
    <x v="1"/>
    <n v="2109.27777336288"/>
    <n v="769886.38727745099"/>
    <n v="2771590.9941988201"/>
  </r>
  <r>
    <x v="0"/>
    <x v="0"/>
    <x v="1"/>
    <x v="2"/>
    <x v="6"/>
    <s v="NO1_A1"/>
    <x v="6"/>
    <s v="GNR_PV_SUN_LS-4-MW_Y-2020"/>
    <x v="0"/>
    <x v="2"/>
    <n v="2097.4030064477201"/>
    <n v="765552.09735341603"/>
    <n v="2755987.5504723"/>
  </r>
  <r>
    <x v="0"/>
    <x v="0"/>
    <x v="1"/>
    <x v="2"/>
    <x v="6"/>
    <s v="NO1_A1"/>
    <x v="6"/>
    <s v="GNR_PV_SUN_LS-4-MW_Y-2020"/>
    <x v="0"/>
    <x v="3"/>
    <n v="2242.01532485696"/>
    <n v="818335.59357279202"/>
    <n v="2946008.1368620498"/>
  </r>
  <r>
    <x v="0"/>
    <x v="0"/>
    <x v="1"/>
    <x v="2"/>
    <x v="6"/>
    <s v="NO1_A1"/>
    <x v="6"/>
    <s v="GNR_PV_SUN_LS-4-MW_Y-2020"/>
    <x v="0"/>
    <x v="4"/>
    <n v="2299.6620063197902"/>
    <n v="839376.63230672199"/>
    <n v="3021755.8763041999"/>
  </r>
  <r>
    <x v="0"/>
    <x v="0"/>
    <x v="1"/>
    <x v="2"/>
    <x v="6"/>
    <s v="NO1_A1"/>
    <x v="6"/>
    <s v="GNR_PV_SUN_LS-4-MW_Y-2020"/>
    <x v="0"/>
    <x v="5"/>
    <n v="2553.70396578803"/>
    <n v="932101.94751263096"/>
    <n v="3355567.0110454699"/>
  </r>
  <r>
    <x v="0"/>
    <x v="0"/>
    <x v="1"/>
    <x v="2"/>
    <x v="6"/>
    <s v="NO1_A1"/>
    <x v="6"/>
    <s v="GNR_PV_SUN_LS-4-MW_Y-2020"/>
    <x v="0"/>
    <x v="6"/>
    <n v="3136.8176449652001"/>
    <n v="1144938.4404122999"/>
    <n v="4121778.3854842698"/>
  </r>
  <r>
    <x v="0"/>
    <x v="0"/>
    <x v="1"/>
    <x v="2"/>
    <x v="6"/>
    <s v="NO1_A1"/>
    <x v="6"/>
    <s v="GNR_PV_SUN_LS-4-MW_Y-2020"/>
    <x v="0"/>
    <x v="7"/>
    <n v="3669.4731690131198"/>
    <n v="1339357.7066897899"/>
    <n v="4821687.7440832499"/>
  </r>
  <r>
    <x v="0"/>
    <x v="0"/>
    <x v="1"/>
    <x v="2"/>
    <x v="6"/>
    <s v="NO1_A1"/>
    <x v="6"/>
    <s v="GNR_PV_SUN_LS-4-MW_Y-2020"/>
    <x v="0"/>
    <x v="8"/>
    <n v="3749.0027706297301"/>
    <n v="1368386.01127985"/>
    <n v="4926189.6406074697"/>
  </r>
  <r>
    <x v="0"/>
    <x v="0"/>
    <x v="1"/>
    <x v="2"/>
    <x v="6"/>
    <s v="NO1_A1"/>
    <x v="6"/>
    <s v="GNR_PV_SUN_LS-4-MW_Y-2020"/>
    <x v="0"/>
    <x v="9"/>
    <n v="3720.91455354649"/>
    <n v="1358133.8120444701"/>
    <n v="4889281.7233600803"/>
  </r>
  <r>
    <x v="0"/>
    <x v="0"/>
    <x v="1"/>
    <x v="2"/>
    <x v="6"/>
    <s v="NO1_A1"/>
    <x v="6"/>
    <s v="GNR_PV_SUN_LS-4-MW_Y-2020"/>
    <x v="0"/>
    <x v="10"/>
    <n v="3553.42721247282"/>
    <n v="1297000.93255258"/>
    <n v="4669203.35718928"/>
  </r>
  <r>
    <x v="0"/>
    <x v="0"/>
    <x v="1"/>
    <x v="2"/>
    <x v="6"/>
    <s v="NO1_A1"/>
    <x v="6"/>
    <s v="GNR_PV_SUN_LS-4-MW_Y-2020"/>
    <x v="0"/>
    <x v="11"/>
    <n v="3377.62512116164"/>
    <n v="1232833.1692240001"/>
    <n v="4438199.4092063997"/>
  </r>
  <r>
    <x v="0"/>
    <x v="0"/>
    <x v="1"/>
    <x v="2"/>
    <x v="6"/>
    <s v="NO1_A1"/>
    <x v="6"/>
    <s v="GNR_PV_SUN_LS-4-MW_Y-2020"/>
    <x v="0"/>
    <x v="12"/>
    <n v="3215.8002145413102"/>
    <n v="1173767.07830758"/>
    <n v="4225561.4819072802"/>
  </r>
  <r>
    <x v="0"/>
    <x v="0"/>
    <x v="1"/>
    <x v="2"/>
    <x v="6"/>
    <s v="NO1_A1"/>
    <x v="6"/>
    <s v="GNR_PV_SUN_LS-4-MW_Y-2020"/>
    <x v="0"/>
    <x v="13"/>
    <n v="3083.7731103681099"/>
    <n v="1125577.1852843601"/>
    <n v="4052077.8670236901"/>
  </r>
  <r>
    <x v="0"/>
    <x v="0"/>
    <x v="1"/>
    <x v="2"/>
    <x v="6"/>
    <s v="NO1_A1"/>
    <x v="6"/>
    <s v="GNR_PV_SUN_LS-4-MW_Y-2020"/>
    <x v="0"/>
    <x v="14"/>
    <n v="2990.6965532649801"/>
    <n v="1091604.24194172"/>
    <n v="3929775.2709901901"/>
  </r>
  <r>
    <x v="0"/>
    <x v="0"/>
    <x v="1"/>
    <x v="2"/>
    <x v="6"/>
    <s v="NO1_A1"/>
    <x v="6"/>
    <s v="GNR_PV_SUN_LS-4-MW_Y-2020"/>
    <x v="0"/>
    <x v="15"/>
    <n v="2946.6162200119802"/>
    <n v="1075514.9203043701"/>
    <n v="3871853.7130957502"/>
  </r>
  <r>
    <x v="0"/>
    <x v="0"/>
    <x v="1"/>
    <x v="2"/>
    <x v="6"/>
    <s v="NO1_A1"/>
    <x v="6"/>
    <s v="GNR_PV_SUN_LS-4-MW_Y-2020"/>
    <x v="0"/>
    <x v="16"/>
    <n v="3042.8046404154602"/>
    <n v="1110623.6937516399"/>
    <n v="3998245.29750591"/>
  </r>
  <r>
    <x v="0"/>
    <x v="0"/>
    <x v="1"/>
    <x v="2"/>
    <x v="6"/>
    <s v="NO1_A1"/>
    <x v="6"/>
    <s v="GNR_PV_SUN_LS-4-MW_Y-2020"/>
    <x v="0"/>
    <x v="17"/>
    <n v="3073.1001416891399"/>
    <n v="1121681.55171653"/>
    <n v="4038053.58617952"/>
  </r>
  <r>
    <x v="0"/>
    <x v="0"/>
    <x v="1"/>
    <x v="2"/>
    <x v="6"/>
    <s v="NO1_A1"/>
    <x v="6"/>
    <s v="GNR_PV_SUN_LS-4-MW_Y-2020"/>
    <x v="0"/>
    <x v="18"/>
    <n v="3247.2836951535601"/>
    <n v="1185258.54873105"/>
    <n v="4266930.7754317801"/>
  </r>
  <r>
    <x v="0"/>
    <x v="0"/>
    <x v="1"/>
    <x v="2"/>
    <x v="6"/>
    <s v="NO1_A1"/>
    <x v="6"/>
    <s v="GNR_PV_SUN_LS-4-MW_Y-2020"/>
    <x v="0"/>
    <x v="19"/>
    <n v="3388.0027090690201"/>
    <n v="1236620.98881019"/>
    <n v="4451835.5597166903"/>
  </r>
  <r>
    <x v="0"/>
    <x v="0"/>
    <x v="1"/>
    <x v="2"/>
    <x v="6"/>
    <s v="NO1_A1"/>
    <x v="6"/>
    <s v="GNR_PV_SUN_LS-4-MW_Y-2020"/>
    <x v="0"/>
    <x v="20"/>
    <n v="3278.6655889716299"/>
    <n v="1196712.93997465"/>
    <n v="4308166.5839087199"/>
  </r>
  <r>
    <x v="0"/>
    <x v="0"/>
    <x v="1"/>
    <x v="2"/>
    <x v="6"/>
    <s v="NO1_A1"/>
    <x v="6"/>
    <s v="GNR_PV_SUN_LS-4-MW_Y-2020"/>
    <x v="0"/>
    <x v="21"/>
    <n v="3076.4487918821101"/>
    <n v="1122903.8090369699"/>
    <n v="4042453.7125331"/>
  </r>
  <r>
    <x v="0"/>
    <x v="0"/>
    <x v="1"/>
    <x v="2"/>
    <x v="6"/>
    <s v="NO1_A1"/>
    <x v="6"/>
    <s v="GNR_PV_SUN_LS-4-MW_Y-2020"/>
    <x v="0"/>
    <x v="22"/>
    <n v="2823.8076540321899"/>
    <n v="1030689.79372175"/>
    <n v="3710483.2573982999"/>
  </r>
  <r>
    <x v="0"/>
    <x v="0"/>
    <x v="1"/>
    <x v="2"/>
    <x v="6"/>
    <s v="NO1_A1"/>
    <x v="6"/>
    <s v="GNR_PV_SUN_LS-4-MW_Y-2020"/>
    <x v="0"/>
    <x v="23"/>
    <n v="2529.3737629234001"/>
    <n v="923221.42346704099"/>
    <n v="3323597.1244813502"/>
  </r>
  <r>
    <x v="0"/>
    <x v="0"/>
    <x v="1"/>
    <x v="2"/>
    <x v="6"/>
    <s v="NO1_A1"/>
    <x v="7"/>
    <s v="GHYRR_WATER"/>
    <x v="0"/>
    <x v="0"/>
    <n v="1358.2291834319101"/>
    <n v="495753.651952649"/>
    <n v="1784713.14702954"/>
  </r>
  <r>
    <x v="0"/>
    <x v="0"/>
    <x v="1"/>
    <x v="2"/>
    <x v="6"/>
    <s v="NO1_A1"/>
    <x v="7"/>
    <s v="GHYRR_WATER"/>
    <x v="0"/>
    <x v="1"/>
    <n v="1358.2291834319101"/>
    <n v="495753.651952649"/>
    <n v="1784713.14702954"/>
  </r>
  <r>
    <x v="0"/>
    <x v="0"/>
    <x v="1"/>
    <x v="2"/>
    <x v="6"/>
    <s v="NO1_A1"/>
    <x v="7"/>
    <s v="GHYRR_WATER"/>
    <x v="0"/>
    <x v="2"/>
    <n v="1358.2291834319101"/>
    <n v="495753.651952649"/>
    <n v="1784713.14702954"/>
  </r>
  <r>
    <x v="0"/>
    <x v="0"/>
    <x v="1"/>
    <x v="2"/>
    <x v="6"/>
    <s v="NO1_A1"/>
    <x v="7"/>
    <s v="GHYRR_WATER"/>
    <x v="0"/>
    <x v="3"/>
    <n v="1358.2291834319101"/>
    <n v="495753.651952649"/>
    <n v="1784713.14702954"/>
  </r>
  <r>
    <x v="0"/>
    <x v="0"/>
    <x v="1"/>
    <x v="2"/>
    <x v="6"/>
    <s v="NO1_A1"/>
    <x v="7"/>
    <s v="GHYRR_WATER"/>
    <x v="0"/>
    <x v="4"/>
    <n v="1358.2291834319101"/>
    <n v="495753.651952649"/>
    <n v="1784713.14702954"/>
  </r>
  <r>
    <x v="0"/>
    <x v="0"/>
    <x v="1"/>
    <x v="2"/>
    <x v="6"/>
    <s v="NO1_A1"/>
    <x v="7"/>
    <s v="GHYRR_WATER"/>
    <x v="0"/>
    <x v="5"/>
    <n v="1358.2291834319101"/>
    <n v="495753.651952649"/>
    <n v="1784713.14702954"/>
  </r>
  <r>
    <x v="0"/>
    <x v="0"/>
    <x v="1"/>
    <x v="2"/>
    <x v="6"/>
    <s v="NO1_A1"/>
    <x v="7"/>
    <s v="GHYRR_WATER"/>
    <x v="0"/>
    <x v="6"/>
    <n v="1358.2291834319101"/>
    <n v="495753.651952649"/>
    <n v="1784713.14702954"/>
  </r>
  <r>
    <x v="0"/>
    <x v="0"/>
    <x v="1"/>
    <x v="2"/>
    <x v="6"/>
    <s v="NO1_A1"/>
    <x v="7"/>
    <s v="GHYRR_WATER"/>
    <x v="0"/>
    <x v="7"/>
    <n v="1358.2291834319101"/>
    <n v="495753.651952649"/>
    <n v="1784713.14702954"/>
  </r>
  <r>
    <x v="0"/>
    <x v="0"/>
    <x v="1"/>
    <x v="2"/>
    <x v="6"/>
    <s v="NO1_A1"/>
    <x v="7"/>
    <s v="GHYRR_WATER"/>
    <x v="0"/>
    <x v="8"/>
    <n v="1358.2291834319101"/>
    <n v="495753.651952649"/>
    <n v="1784713.14702954"/>
  </r>
  <r>
    <x v="0"/>
    <x v="0"/>
    <x v="1"/>
    <x v="2"/>
    <x v="6"/>
    <s v="NO1_A1"/>
    <x v="7"/>
    <s v="GHYRR_WATER"/>
    <x v="0"/>
    <x v="9"/>
    <n v="1358.2291834319101"/>
    <n v="495753.651952649"/>
    <n v="1784713.14702954"/>
  </r>
  <r>
    <x v="0"/>
    <x v="0"/>
    <x v="1"/>
    <x v="2"/>
    <x v="6"/>
    <s v="NO1_A1"/>
    <x v="7"/>
    <s v="GHYRR_WATER"/>
    <x v="0"/>
    <x v="10"/>
    <n v="1358.2291834319101"/>
    <n v="495753.651952649"/>
    <n v="1784713.14702954"/>
  </r>
  <r>
    <x v="0"/>
    <x v="0"/>
    <x v="1"/>
    <x v="2"/>
    <x v="6"/>
    <s v="NO1_A1"/>
    <x v="7"/>
    <s v="GHYRR_WATER"/>
    <x v="0"/>
    <x v="11"/>
    <n v="1358.2291834319101"/>
    <n v="495753.651952649"/>
    <n v="1784713.14702954"/>
  </r>
  <r>
    <x v="0"/>
    <x v="0"/>
    <x v="1"/>
    <x v="2"/>
    <x v="6"/>
    <s v="NO1_A1"/>
    <x v="7"/>
    <s v="GHYRR_WATER"/>
    <x v="0"/>
    <x v="12"/>
    <n v="1358.2291834319101"/>
    <n v="495753.651952649"/>
    <n v="1784713.14702954"/>
  </r>
  <r>
    <x v="0"/>
    <x v="0"/>
    <x v="1"/>
    <x v="2"/>
    <x v="6"/>
    <s v="NO1_A1"/>
    <x v="7"/>
    <s v="GHYRR_WATER"/>
    <x v="0"/>
    <x v="13"/>
    <n v="1358.2291834319101"/>
    <n v="495753.651952649"/>
    <n v="1784713.14702954"/>
  </r>
  <r>
    <x v="0"/>
    <x v="0"/>
    <x v="1"/>
    <x v="2"/>
    <x v="6"/>
    <s v="NO1_A1"/>
    <x v="7"/>
    <s v="GHYRR_WATER"/>
    <x v="0"/>
    <x v="14"/>
    <n v="1358.2291834319101"/>
    <n v="495753.651952649"/>
    <n v="1784713.14702954"/>
  </r>
  <r>
    <x v="0"/>
    <x v="0"/>
    <x v="1"/>
    <x v="2"/>
    <x v="6"/>
    <s v="NO1_A1"/>
    <x v="7"/>
    <s v="GHYRR_WATER"/>
    <x v="0"/>
    <x v="15"/>
    <n v="1358.2291834319101"/>
    <n v="495753.651952649"/>
    <n v="1784713.14702954"/>
  </r>
  <r>
    <x v="0"/>
    <x v="0"/>
    <x v="1"/>
    <x v="2"/>
    <x v="6"/>
    <s v="NO1_A1"/>
    <x v="7"/>
    <s v="GHYRR_WATER"/>
    <x v="0"/>
    <x v="16"/>
    <n v="1358.2291834319101"/>
    <n v="495753.651952649"/>
    <n v="1784713.14702954"/>
  </r>
  <r>
    <x v="0"/>
    <x v="0"/>
    <x v="1"/>
    <x v="2"/>
    <x v="6"/>
    <s v="NO1_A1"/>
    <x v="7"/>
    <s v="GHYRR_WATER"/>
    <x v="0"/>
    <x v="17"/>
    <n v="1358.2291834319101"/>
    <n v="495753.651952649"/>
    <n v="1784713.14702954"/>
  </r>
  <r>
    <x v="0"/>
    <x v="0"/>
    <x v="1"/>
    <x v="2"/>
    <x v="6"/>
    <s v="NO1_A1"/>
    <x v="7"/>
    <s v="GHYRR_WATER"/>
    <x v="0"/>
    <x v="18"/>
    <n v="1358.2291834319101"/>
    <n v="495753.651952649"/>
    <n v="1784713.14702954"/>
  </r>
  <r>
    <x v="0"/>
    <x v="0"/>
    <x v="1"/>
    <x v="2"/>
    <x v="6"/>
    <s v="NO1_A1"/>
    <x v="7"/>
    <s v="GHYRR_WATER"/>
    <x v="0"/>
    <x v="19"/>
    <n v="1358.2291834319101"/>
    <n v="495753.651952649"/>
    <n v="1784713.14702954"/>
  </r>
  <r>
    <x v="0"/>
    <x v="0"/>
    <x v="1"/>
    <x v="2"/>
    <x v="6"/>
    <s v="NO1_A1"/>
    <x v="7"/>
    <s v="GHYRR_WATER"/>
    <x v="0"/>
    <x v="20"/>
    <n v="1358.2291834319101"/>
    <n v="495753.651952649"/>
    <n v="1784713.14702954"/>
  </r>
  <r>
    <x v="0"/>
    <x v="0"/>
    <x v="1"/>
    <x v="2"/>
    <x v="6"/>
    <s v="NO1_A1"/>
    <x v="7"/>
    <s v="GHYRR_WATER"/>
    <x v="0"/>
    <x v="21"/>
    <n v="1358.2291834319101"/>
    <n v="495753.651952649"/>
    <n v="1784713.14702954"/>
  </r>
  <r>
    <x v="0"/>
    <x v="0"/>
    <x v="1"/>
    <x v="2"/>
    <x v="6"/>
    <s v="NO1_A1"/>
    <x v="7"/>
    <s v="GHYRR_WATER"/>
    <x v="0"/>
    <x v="22"/>
    <n v="1358.2291834319101"/>
    <n v="495753.651952649"/>
    <n v="1784713.14702954"/>
  </r>
  <r>
    <x v="0"/>
    <x v="0"/>
    <x v="1"/>
    <x v="2"/>
    <x v="6"/>
    <s v="NO1_A1"/>
    <x v="7"/>
    <s v="GHYRR_WATER"/>
    <x v="0"/>
    <x v="23"/>
    <n v="1358.2291834319101"/>
    <n v="495753.651952649"/>
    <n v="1784713.14702954"/>
  </r>
  <r>
    <x v="0"/>
    <x v="0"/>
    <x v="1"/>
    <x v="2"/>
    <x v="6"/>
    <s v="NO1_A1"/>
    <x v="8"/>
    <s v="GNR_WT_WIND_ONS"/>
    <x v="0"/>
    <x v="0"/>
    <n v="75.520156117458797"/>
    <n v="27564.856982872501"/>
    <n v="99233.485138340795"/>
  </r>
  <r>
    <x v="0"/>
    <x v="0"/>
    <x v="1"/>
    <x v="2"/>
    <x v="6"/>
    <s v="NO1_A1"/>
    <x v="8"/>
    <s v="GNR_WT_WIND_ONS"/>
    <x v="0"/>
    <x v="1"/>
    <n v="77.119327496064699"/>
    <n v="28148.554536063599"/>
    <n v="101334.796329829"/>
  </r>
  <r>
    <x v="0"/>
    <x v="0"/>
    <x v="1"/>
    <x v="2"/>
    <x v="6"/>
    <s v="NO1_A1"/>
    <x v="8"/>
    <s v="GNR_WT_WIND_ONS"/>
    <x v="0"/>
    <x v="2"/>
    <n v="108.66812767787999"/>
    <n v="39663.8666024263"/>
    <n v="142789.91976873501"/>
  </r>
  <r>
    <x v="0"/>
    <x v="0"/>
    <x v="1"/>
    <x v="2"/>
    <x v="6"/>
    <s v="NO1_A1"/>
    <x v="8"/>
    <s v="GNR_WT_WIND_ONS"/>
    <x v="0"/>
    <x v="3"/>
    <n v="96.006231299021294"/>
    <n v="35042.274424142801"/>
    <n v="126152.187926914"/>
  </r>
  <r>
    <x v="0"/>
    <x v="0"/>
    <x v="1"/>
    <x v="2"/>
    <x v="6"/>
    <s v="NO1_A1"/>
    <x v="8"/>
    <s v="GNR_WT_WIND_ONS"/>
    <x v="0"/>
    <x v="4"/>
    <n v="115.251748343622"/>
    <n v="42066.888145421901"/>
    <n v="151440.79732351899"/>
  </r>
  <r>
    <x v="0"/>
    <x v="0"/>
    <x v="1"/>
    <x v="2"/>
    <x v="6"/>
    <s v="NO1_A1"/>
    <x v="8"/>
    <s v="GNR_WT_WIND_ONS"/>
    <x v="0"/>
    <x v="5"/>
    <n v="115.04483801174101"/>
    <n v="41991.3658742853"/>
    <n v="151168.91714742701"/>
  </r>
  <r>
    <x v="0"/>
    <x v="0"/>
    <x v="1"/>
    <x v="2"/>
    <x v="6"/>
    <s v="NO1_A1"/>
    <x v="8"/>
    <s v="GNR_WT_WIND_ONS"/>
    <x v="0"/>
    <x v="6"/>
    <n v="113.771144575256"/>
    <n v="41526.467769968302"/>
    <n v="149495.28397188601"/>
  </r>
  <r>
    <x v="0"/>
    <x v="0"/>
    <x v="1"/>
    <x v="2"/>
    <x v="6"/>
    <s v="NO1_A1"/>
    <x v="8"/>
    <s v="GNR_WT_WIND_ONS"/>
    <x v="0"/>
    <x v="7"/>
    <n v="112.17649246827"/>
    <n v="40944.4197509187"/>
    <n v="147399.91110330701"/>
  </r>
  <r>
    <x v="0"/>
    <x v="0"/>
    <x v="1"/>
    <x v="2"/>
    <x v="6"/>
    <s v="NO1_A1"/>
    <x v="8"/>
    <s v="GNR_WT_WIND_ONS"/>
    <x v="0"/>
    <x v="8"/>
    <n v="99.333590222460202"/>
    <n v="36256.760431198003"/>
    <n v="130524.33755231299"/>
  </r>
  <r>
    <x v="0"/>
    <x v="0"/>
    <x v="1"/>
    <x v="2"/>
    <x v="6"/>
    <s v="NO1_A1"/>
    <x v="8"/>
    <s v="GNR_WT_WIND_ONS"/>
    <x v="0"/>
    <x v="9"/>
    <n v="11.1613897382756"/>
    <n v="4073.90725447058"/>
    <n v="14666.0661160941"/>
  </r>
  <r>
    <x v="0"/>
    <x v="0"/>
    <x v="1"/>
    <x v="2"/>
    <x v="6"/>
    <s v="NO1_A1"/>
    <x v="8"/>
    <s v="GNR_WT_WIND_ONS"/>
    <x v="0"/>
    <x v="10"/>
    <n v="8.9435481518855493"/>
    <n v="3264.3950754382199"/>
    <n v="11751.822271577599"/>
  </r>
  <r>
    <x v="0"/>
    <x v="0"/>
    <x v="1"/>
    <x v="2"/>
    <x v="6"/>
    <s v="NO1_A1"/>
    <x v="8"/>
    <s v="GNR_WT_WIND_ONS"/>
    <x v="0"/>
    <x v="11"/>
    <n v="28.359260965720601"/>
    <n v="10351.130252487999"/>
    <n v="37264.068908956899"/>
  </r>
  <r>
    <x v="0"/>
    <x v="0"/>
    <x v="1"/>
    <x v="2"/>
    <x v="6"/>
    <s v="NO1_A1"/>
    <x v="8"/>
    <s v="GNR_WT_WIND_ONS"/>
    <x v="0"/>
    <x v="12"/>
    <n v="28.284114517212"/>
    <n v="10323.7017987824"/>
    <n v="37165.326475616603"/>
  </r>
  <r>
    <x v="0"/>
    <x v="0"/>
    <x v="1"/>
    <x v="2"/>
    <x v="6"/>
    <s v="NO1_A1"/>
    <x v="8"/>
    <s v="GNR_WT_WIND_ONS"/>
    <x v="0"/>
    <x v="13"/>
    <n v="28.798064163001801"/>
    <n v="10511.2934194956"/>
    <n v="37840.656310184298"/>
  </r>
  <r>
    <x v="0"/>
    <x v="0"/>
    <x v="1"/>
    <x v="2"/>
    <x v="6"/>
    <s v="NO1_A1"/>
    <x v="8"/>
    <s v="GNR_WT_WIND_ONS"/>
    <x v="0"/>
    <x v="14"/>
    <n v="44.3168994437602"/>
    <n v="16175.668296972501"/>
    <n v="58232.405869101"/>
  </r>
  <r>
    <x v="0"/>
    <x v="0"/>
    <x v="1"/>
    <x v="2"/>
    <x v="6"/>
    <s v="NO1_A1"/>
    <x v="8"/>
    <s v="GNR_WT_WIND_ONS"/>
    <x v="0"/>
    <x v="15"/>
    <n v="65.879645896232603"/>
    <n v="24046.070752124899"/>
    <n v="86565.854707649603"/>
  </r>
  <r>
    <x v="0"/>
    <x v="0"/>
    <x v="1"/>
    <x v="2"/>
    <x v="6"/>
    <s v="NO1_A1"/>
    <x v="8"/>
    <s v="GNR_WT_WIND_ONS"/>
    <x v="0"/>
    <x v="16"/>
    <n v="74.484610218297107"/>
    <n v="27186.8827296784"/>
    <n v="97872.777826842299"/>
  </r>
  <r>
    <x v="0"/>
    <x v="0"/>
    <x v="1"/>
    <x v="2"/>
    <x v="6"/>
    <s v="NO1_A1"/>
    <x v="8"/>
    <s v="GNR_WT_WIND_ONS"/>
    <x v="0"/>
    <x v="17"/>
    <n v="109.17681689150299"/>
    <n v="39849.538165398801"/>
    <n v="143458.33739543601"/>
  </r>
  <r>
    <x v="0"/>
    <x v="0"/>
    <x v="1"/>
    <x v="2"/>
    <x v="6"/>
    <s v="NO1_A1"/>
    <x v="8"/>
    <s v="GNR_WT_WIND_ONS"/>
    <x v="0"/>
    <x v="18"/>
    <n v="113.201517503099"/>
    <n v="41318.553888631199"/>
    <n v="148746.79399907199"/>
  </r>
  <r>
    <x v="0"/>
    <x v="0"/>
    <x v="1"/>
    <x v="2"/>
    <x v="6"/>
    <s v="NO1_A1"/>
    <x v="8"/>
    <s v="GNR_WT_WIND_ONS"/>
    <x v="0"/>
    <x v="19"/>
    <n v="116.415822327675"/>
    <n v="42491.775149601497"/>
    <n v="152970.390538565"/>
  </r>
  <r>
    <x v="0"/>
    <x v="0"/>
    <x v="1"/>
    <x v="2"/>
    <x v="6"/>
    <s v="NO1_A1"/>
    <x v="8"/>
    <s v="GNR_WT_WIND_ONS"/>
    <x v="0"/>
    <x v="20"/>
    <n v="116.591115835298"/>
    <n v="42555.757279883801"/>
    <n v="153200.72620758199"/>
  </r>
  <r>
    <x v="0"/>
    <x v="0"/>
    <x v="1"/>
    <x v="2"/>
    <x v="6"/>
    <s v="NO1_A1"/>
    <x v="8"/>
    <s v="GNR_WT_WIND_ONS"/>
    <x v="0"/>
    <x v="21"/>
    <n v="116.707134576344"/>
    <n v="42598.104120365599"/>
    <n v="153353.17483331601"/>
  </r>
  <r>
    <x v="0"/>
    <x v="0"/>
    <x v="1"/>
    <x v="2"/>
    <x v="6"/>
    <s v="NO1_A1"/>
    <x v="8"/>
    <s v="GNR_WT_WIND_ONS"/>
    <x v="0"/>
    <x v="22"/>
    <n v="116.611904484753"/>
    <n v="42563.345136934899"/>
    <n v="153228.04249296599"/>
  </r>
  <r>
    <x v="0"/>
    <x v="0"/>
    <x v="1"/>
    <x v="2"/>
    <x v="6"/>
    <s v="NO1_A1"/>
    <x v="8"/>
    <s v="GNR_WT_WIND_ONS"/>
    <x v="0"/>
    <x v="23"/>
    <n v="116.60389633544099"/>
    <n v="42560.422162436102"/>
    <n v="153217.51978477"/>
  </r>
  <r>
    <x v="0"/>
    <x v="0"/>
    <x v="1"/>
    <x v="2"/>
    <x v="6"/>
    <s v="NO1_A2"/>
    <x v="13"/>
    <s v="GHOB_LPG"/>
    <x v="0"/>
    <x v="7"/>
    <n v="1.3435870937527801"/>
    <n v="490.40928921976598"/>
    <n v="1765.47344119116"/>
  </r>
  <r>
    <x v="0"/>
    <x v="0"/>
    <x v="1"/>
    <x v="2"/>
    <x v="6"/>
    <s v="NO1_A2"/>
    <x v="1"/>
    <s v="GBPR_MUNIWASTE"/>
    <x v="0"/>
    <x v="7"/>
    <n v="52.086977299879898"/>
    <n v="19011.7467144562"/>
    <n v="68442.288172042201"/>
  </r>
  <r>
    <x v="0"/>
    <x v="0"/>
    <x v="1"/>
    <x v="2"/>
    <x v="6"/>
    <s v="NO1_A2"/>
    <x v="1"/>
    <s v="GBPR_MUNIWASTE"/>
    <x v="0"/>
    <x v="8"/>
    <n v="52.086977299879898"/>
    <n v="19011.7467144562"/>
    <n v="68442.288172042201"/>
  </r>
  <r>
    <x v="0"/>
    <x v="0"/>
    <x v="1"/>
    <x v="2"/>
    <x v="6"/>
    <s v="NO1_A2"/>
    <x v="1"/>
    <s v="GBPR_MUNIWASTE"/>
    <x v="0"/>
    <x v="9"/>
    <n v="20.5331209051073"/>
    <n v="7494.5891303641702"/>
    <n v="26980.520869311"/>
  </r>
  <r>
    <x v="0"/>
    <x v="0"/>
    <x v="1"/>
    <x v="2"/>
    <x v="6"/>
    <s v="NO1_A2"/>
    <x v="1"/>
    <s v="GHOB_MUNIWASTE"/>
    <x v="0"/>
    <x v="4"/>
    <n v="27.6594688542285"/>
    <n v="10095.7061317934"/>
    <n v="36344.542074456302"/>
  </r>
  <r>
    <x v="0"/>
    <x v="0"/>
    <x v="1"/>
    <x v="2"/>
    <x v="6"/>
    <s v="NO1_A2"/>
    <x v="1"/>
    <s v="GHOB_MUNIWASTE"/>
    <x v="0"/>
    <x v="5"/>
    <n v="37.647058823529399"/>
    <n v="13741.1764705882"/>
    <n v="49468.235294117701"/>
  </r>
  <r>
    <x v="0"/>
    <x v="0"/>
    <x v="1"/>
    <x v="2"/>
    <x v="6"/>
    <s v="NO1_A2"/>
    <x v="1"/>
    <s v="GHOB_MUNIWASTE"/>
    <x v="0"/>
    <x v="6"/>
    <n v="37.647058823529399"/>
    <n v="13741.1764705882"/>
    <n v="49468.235294117701"/>
  </r>
  <r>
    <x v="0"/>
    <x v="0"/>
    <x v="1"/>
    <x v="2"/>
    <x v="6"/>
    <s v="NO1_A2"/>
    <x v="1"/>
    <s v="GHOB_MUNIWASTE"/>
    <x v="0"/>
    <x v="7"/>
    <n v="37.647058823529399"/>
    <n v="13741.1764705882"/>
    <n v="49468.235294117701"/>
  </r>
  <r>
    <x v="0"/>
    <x v="0"/>
    <x v="1"/>
    <x v="2"/>
    <x v="6"/>
    <s v="NO1_A2"/>
    <x v="1"/>
    <s v="GHOB_MUNIWASTE"/>
    <x v="0"/>
    <x v="8"/>
    <n v="37.647058823529399"/>
    <n v="13741.1764705882"/>
    <n v="49468.235294117701"/>
  </r>
  <r>
    <x v="0"/>
    <x v="0"/>
    <x v="1"/>
    <x v="2"/>
    <x v="6"/>
    <s v="NO1_A2"/>
    <x v="1"/>
    <s v="GHOB_MUNIWASTE"/>
    <x v="0"/>
    <x v="9"/>
    <n v="37.647058823529399"/>
    <n v="13741.1764705882"/>
    <n v="49468.235294117701"/>
  </r>
  <r>
    <x v="0"/>
    <x v="0"/>
    <x v="1"/>
    <x v="2"/>
    <x v="6"/>
    <s v="NO1_A2"/>
    <x v="1"/>
    <s v="GHOB_MUNIWASTE"/>
    <x v="0"/>
    <x v="10"/>
    <n v="37.647058823529399"/>
    <n v="13741.1764705882"/>
    <n v="49468.235294117701"/>
  </r>
  <r>
    <x v="0"/>
    <x v="0"/>
    <x v="1"/>
    <x v="2"/>
    <x v="6"/>
    <s v="NO1_A2"/>
    <x v="1"/>
    <s v="GHOB_MUNIWASTE"/>
    <x v="0"/>
    <x v="11"/>
    <n v="37.647058823529399"/>
    <n v="13741.1764705882"/>
    <n v="49468.235294117701"/>
  </r>
  <r>
    <x v="0"/>
    <x v="0"/>
    <x v="1"/>
    <x v="2"/>
    <x v="6"/>
    <s v="NO1_A2"/>
    <x v="1"/>
    <s v="GHOB_MUNIWASTE"/>
    <x v="0"/>
    <x v="12"/>
    <n v="37.647058823529399"/>
    <n v="13741.1764705882"/>
    <n v="49468.235294117701"/>
  </r>
  <r>
    <x v="0"/>
    <x v="0"/>
    <x v="1"/>
    <x v="2"/>
    <x v="6"/>
    <s v="NO1_A2"/>
    <x v="1"/>
    <s v="GHOB_MUNIWASTE"/>
    <x v="0"/>
    <x v="13"/>
    <n v="37.647058823529399"/>
    <n v="13741.1764705882"/>
    <n v="49468.235294117701"/>
  </r>
  <r>
    <x v="0"/>
    <x v="0"/>
    <x v="1"/>
    <x v="2"/>
    <x v="6"/>
    <s v="NO1_A2"/>
    <x v="1"/>
    <s v="GHOB_MUNIWASTE"/>
    <x v="0"/>
    <x v="14"/>
    <n v="35.011119823470899"/>
    <n v="12779.058735566899"/>
    <n v="46004.6114480408"/>
  </r>
  <r>
    <x v="0"/>
    <x v="0"/>
    <x v="1"/>
    <x v="2"/>
    <x v="6"/>
    <s v="NO1_A2"/>
    <x v="1"/>
    <s v="GHOB_MUNIWASTE"/>
    <x v="0"/>
    <x v="15"/>
    <n v="20.363843152104799"/>
    <n v="7432.8027505182499"/>
    <n v="26758.0899018657"/>
  </r>
  <r>
    <x v="0"/>
    <x v="0"/>
    <x v="1"/>
    <x v="2"/>
    <x v="6"/>
    <s v="NO1_A2"/>
    <x v="1"/>
    <s v="GHOB_MUNIWASTE"/>
    <x v="0"/>
    <x v="16"/>
    <n v="8.8809003655415104"/>
    <n v="3241.5286334226498"/>
    <n v="11669.5030803215"/>
  </r>
  <r>
    <x v="0"/>
    <x v="0"/>
    <x v="1"/>
    <x v="2"/>
    <x v="6"/>
    <s v="NO1_A2"/>
    <x v="1"/>
    <s v="GHOB_MUNIWASTE"/>
    <x v="0"/>
    <x v="19"/>
    <n v="1.70608235342008"/>
    <n v="622.72005899833005"/>
    <n v="2241.7922123939902"/>
  </r>
  <r>
    <x v="0"/>
    <x v="0"/>
    <x v="1"/>
    <x v="2"/>
    <x v="6"/>
    <s v="NO1_A2"/>
    <x v="9"/>
    <s v="GHOB_WOODWASTE"/>
    <x v="0"/>
    <x v="6"/>
    <n v="18.0051879844269"/>
    <n v="6571.8936143158398"/>
    <n v="23658.817011537001"/>
  </r>
  <r>
    <x v="0"/>
    <x v="0"/>
    <x v="1"/>
    <x v="2"/>
    <x v="6"/>
    <s v="NO1_A2"/>
    <x v="9"/>
    <s v="GHOB_WOODWASTE"/>
    <x v="0"/>
    <x v="7"/>
    <n v="18.823529411764699"/>
    <n v="6870.5882352941198"/>
    <n v="24734.1176470588"/>
  </r>
  <r>
    <x v="0"/>
    <x v="0"/>
    <x v="1"/>
    <x v="2"/>
    <x v="6"/>
    <s v="NO1_A2"/>
    <x v="9"/>
    <s v="GHOB_WOODWASTE"/>
    <x v="0"/>
    <x v="8"/>
    <n v="18.823529411764699"/>
    <n v="6870.5882352941198"/>
    <n v="24734.1176470588"/>
  </r>
  <r>
    <x v="0"/>
    <x v="0"/>
    <x v="1"/>
    <x v="2"/>
    <x v="6"/>
    <s v="NO1_A2"/>
    <x v="9"/>
    <s v="GHOB_WOODWASTE"/>
    <x v="0"/>
    <x v="9"/>
    <n v="18.823529411764699"/>
    <n v="6870.5882352941198"/>
    <n v="24734.1176470588"/>
  </r>
  <r>
    <x v="0"/>
    <x v="0"/>
    <x v="1"/>
    <x v="2"/>
    <x v="6"/>
    <s v="NO1_A2"/>
    <x v="9"/>
    <s v="GHOB_WOODWASTE"/>
    <x v="0"/>
    <x v="10"/>
    <n v="2.3596188144153998"/>
    <n v="861.26086726161998"/>
    <n v="3100.5391221418299"/>
  </r>
  <r>
    <x v="0"/>
    <x v="0"/>
    <x v="1"/>
    <x v="2"/>
    <x v="7"/>
    <s v="NO2_A1"/>
    <x v="6"/>
    <s v="GNR_PV_SUN_LS-4-MW_Y-2020"/>
    <x v="0"/>
    <x v="0"/>
    <n v="5837.5501119371902"/>
    <n v="2130705.7908570799"/>
    <n v="7670540.8470854703"/>
  </r>
  <r>
    <x v="0"/>
    <x v="0"/>
    <x v="1"/>
    <x v="2"/>
    <x v="7"/>
    <s v="NO2_A1"/>
    <x v="6"/>
    <s v="GNR_PV_SUN_LS-4-MW_Y-2020"/>
    <x v="0"/>
    <x v="1"/>
    <n v="5701.5482597569398"/>
    <n v="2081065.11481128"/>
    <n v="7491834.4133206196"/>
  </r>
  <r>
    <x v="0"/>
    <x v="0"/>
    <x v="1"/>
    <x v="2"/>
    <x v="7"/>
    <s v="NO2_A1"/>
    <x v="6"/>
    <s v="GNR_PV_SUN_LS-4-MW_Y-2020"/>
    <x v="0"/>
    <x v="2"/>
    <n v="5607.1066409734603"/>
    <n v="2046593.9239553099"/>
    <n v="7367738.12623912"/>
  </r>
  <r>
    <x v="0"/>
    <x v="0"/>
    <x v="1"/>
    <x v="2"/>
    <x v="7"/>
    <s v="NO2_A1"/>
    <x v="6"/>
    <s v="GNR_PV_SUN_LS-4-MW_Y-2020"/>
    <x v="0"/>
    <x v="3"/>
    <n v="5177.4098951697497"/>
    <n v="1889754.61173696"/>
    <n v="6803116.6022530403"/>
  </r>
  <r>
    <x v="0"/>
    <x v="0"/>
    <x v="1"/>
    <x v="2"/>
    <x v="7"/>
    <s v="NO2_A1"/>
    <x v="6"/>
    <s v="GNR_PV_SUN_LS-4-MW_Y-2020"/>
    <x v="0"/>
    <x v="4"/>
    <n v="5701.1159010302599"/>
    <n v="2080907.30387605"/>
    <n v="7491266.2939537596"/>
  </r>
  <r>
    <x v="0"/>
    <x v="0"/>
    <x v="1"/>
    <x v="2"/>
    <x v="7"/>
    <s v="NO2_A1"/>
    <x v="6"/>
    <s v="GNR_PV_SUN_LS-4-MW_Y-2020"/>
    <x v="0"/>
    <x v="5"/>
    <n v="5800.3196185897204"/>
    <n v="2117116.6607852499"/>
    <n v="7621619.9788268898"/>
  </r>
  <r>
    <x v="0"/>
    <x v="0"/>
    <x v="1"/>
    <x v="2"/>
    <x v="7"/>
    <s v="NO2_A1"/>
    <x v="6"/>
    <s v="GNR_PV_SUN_LS-4-MW_Y-2020"/>
    <x v="0"/>
    <x v="6"/>
    <n v="6189.6763511556801"/>
    <n v="2259231.86817182"/>
    <n v="8133234.7254185705"/>
  </r>
  <r>
    <x v="0"/>
    <x v="0"/>
    <x v="1"/>
    <x v="2"/>
    <x v="7"/>
    <s v="NO2_A1"/>
    <x v="6"/>
    <s v="GNR_PV_SUN_LS-4-MW_Y-2020"/>
    <x v="0"/>
    <x v="7"/>
    <n v="6582.7371146923897"/>
    <n v="2402699.04686272"/>
    <n v="8649716.5687058102"/>
  </r>
  <r>
    <x v="0"/>
    <x v="0"/>
    <x v="1"/>
    <x v="2"/>
    <x v="7"/>
    <s v="NO2_A1"/>
    <x v="6"/>
    <s v="GNR_PV_SUN_LS-4-MW_Y-2020"/>
    <x v="0"/>
    <x v="8"/>
    <n v="6644.3134093229301"/>
    <n v="2425174.39440287"/>
    <n v="8730627.8198503293"/>
  </r>
  <r>
    <x v="0"/>
    <x v="0"/>
    <x v="1"/>
    <x v="2"/>
    <x v="7"/>
    <s v="NO2_A1"/>
    <x v="6"/>
    <s v="GNR_PV_SUN_LS-4-MW_Y-2020"/>
    <x v="0"/>
    <x v="9"/>
    <n v="6980.9800607848201"/>
    <n v="2548057.7221864602"/>
    <n v="9173007.7998712603"/>
  </r>
  <r>
    <x v="0"/>
    <x v="0"/>
    <x v="1"/>
    <x v="2"/>
    <x v="7"/>
    <s v="NO2_A1"/>
    <x v="6"/>
    <s v="GNR_PV_SUN_LS-4-MW_Y-2020"/>
    <x v="0"/>
    <x v="10"/>
    <n v="6925.6094822580299"/>
    <n v="2527847.4610241801"/>
    <n v="9100250.8596870508"/>
  </r>
  <r>
    <x v="0"/>
    <x v="0"/>
    <x v="1"/>
    <x v="2"/>
    <x v="7"/>
    <s v="NO2_A1"/>
    <x v="6"/>
    <s v="GNR_PV_SUN_LS-4-MW_Y-2020"/>
    <x v="0"/>
    <x v="11"/>
    <n v="6766.69909547727"/>
    <n v="2469845.1698492002"/>
    <n v="8891442.6114571299"/>
  </r>
  <r>
    <x v="0"/>
    <x v="0"/>
    <x v="1"/>
    <x v="2"/>
    <x v="7"/>
    <s v="NO2_A1"/>
    <x v="6"/>
    <s v="GNR_PV_SUN_LS-4-MW_Y-2020"/>
    <x v="0"/>
    <x v="12"/>
    <n v="6694.6699003285803"/>
    <n v="2443554.51361993"/>
    <n v="8796796.2490317505"/>
  </r>
  <r>
    <x v="0"/>
    <x v="0"/>
    <x v="1"/>
    <x v="2"/>
    <x v="7"/>
    <s v="NO2_A1"/>
    <x v="6"/>
    <s v="GNR_PV_SUN_LS-4-MW_Y-2020"/>
    <x v="0"/>
    <x v="13"/>
    <n v="6656.60483914625"/>
    <n v="2429660.7662883801"/>
    <n v="8746778.7586381696"/>
  </r>
  <r>
    <x v="0"/>
    <x v="0"/>
    <x v="1"/>
    <x v="2"/>
    <x v="7"/>
    <s v="NO2_A1"/>
    <x v="6"/>
    <s v="GNR_PV_SUN_LS-4-MW_Y-2020"/>
    <x v="0"/>
    <x v="14"/>
    <n v="6562.8375729584104"/>
    <n v="2395435.71412982"/>
    <n v="8623568.5708673596"/>
  </r>
  <r>
    <x v="0"/>
    <x v="0"/>
    <x v="1"/>
    <x v="2"/>
    <x v="7"/>
    <s v="NO2_A1"/>
    <x v="6"/>
    <s v="GNR_PV_SUN_LS-4-MW_Y-2020"/>
    <x v="0"/>
    <x v="15"/>
    <n v="6445.6679596111899"/>
    <n v="2352668.8052580799"/>
    <n v="8469607.6989290994"/>
  </r>
  <r>
    <x v="0"/>
    <x v="0"/>
    <x v="1"/>
    <x v="2"/>
    <x v="7"/>
    <s v="NO2_A1"/>
    <x v="6"/>
    <s v="GNR_PV_SUN_LS-4-MW_Y-2020"/>
    <x v="0"/>
    <x v="16"/>
    <n v="6423.6020835133504"/>
    <n v="2344614.7604823699"/>
    <n v="8440613.1377365403"/>
  </r>
  <r>
    <x v="0"/>
    <x v="0"/>
    <x v="1"/>
    <x v="2"/>
    <x v="7"/>
    <s v="NO2_A1"/>
    <x v="6"/>
    <s v="GNR_PV_SUN_LS-4-MW_Y-2020"/>
    <x v="0"/>
    <x v="17"/>
    <n v="6306.7480982912903"/>
    <n v="2301963.0558763202"/>
    <n v="8287067.0011547599"/>
  </r>
  <r>
    <x v="0"/>
    <x v="0"/>
    <x v="1"/>
    <x v="2"/>
    <x v="7"/>
    <s v="NO2_A1"/>
    <x v="6"/>
    <s v="GNR_PV_SUN_LS-4-MW_Y-2020"/>
    <x v="0"/>
    <x v="18"/>
    <n v="6425.8779756784297"/>
    <n v="2345445.4611226302"/>
    <n v="8443603.6600414608"/>
  </r>
  <r>
    <x v="0"/>
    <x v="0"/>
    <x v="1"/>
    <x v="2"/>
    <x v="7"/>
    <s v="NO2_A1"/>
    <x v="6"/>
    <s v="GNR_PV_SUN_LS-4-MW_Y-2020"/>
    <x v="0"/>
    <x v="19"/>
    <n v="6497.8094819972303"/>
    <n v="2371700.46092899"/>
    <n v="8538121.6593443602"/>
  </r>
  <r>
    <x v="0"/>
    <x v="0"/>
    <x v="1"/>
    <x v="2"/>
    <x v="7"/>
    <s v="NO2_A1"/>
    <x v="6"/>
    <s v="GNR_PV_SUN_LS-4-MW_Y-2020"/>
    <x v="0"/>
    <x v="20"/>
    <n v="6441.8365817510203"/>
    <n v="2351270.3523391201"/>
    <n v="8464573.2684208304"/>
  </r>
  <r>
    <x v="0"/>
    <x v="0"/>
    <x v="1"/>
    <x v="2"/>
    <x v="7"/>
    <s v="NO2_A1"/>
    <x v="6"/>
    <s v="GNR_PV_SUN_LS-4-MW_Y-2020"/>
    <x v="0"/>
    <x v="21"/>
    <n v="6286.8616404251497"/>
    <n v="2294704.4987551798"/>
    <n v="8260936.1955186501"/>
  </r>
  <r>
    <x v="0"/>
    <x v="0"/>
    <x v="1"/>
    <x v="2"/>
    <x v="7"/>
    <s v="NO2_A1"/>
    <x v="6"/>
    <s v="GNR_PV_SUN_LS-4-MW_Y-2020"/>
    <x v="0"/>
    <x v="22"/>
    <n v="6132.7572746039004"/>
    <n v="2238456.4052304202"/>
    <n v="8058443.0588295301"/>
  </r>
  <r>
    <x v="0"/>
    <x v="0"/>
    <x v="1"/>
    <x v="2"/>
    <x v="7"/>
    <s v="NO2_A1"/>
    <x v="6"/>
    <s v="GNR_PV_SUN_LS-4-MW_Y-2020"/>
    <x v="0"/>
    <x v="23"/>
    <n v="5902.4495669989001"/>
    <n v="2154394.0919546001"/>
    <n v="7755818.7310365597"/>
  </r>
  <r>
    <x v="0"/>
    <x v="0"/>
    <x v="1"/>
    <x v="2"/>
    <x v="7"/>
    <s v="NO2_A1"/>
    <x v="7"/>
    <s v="GHYRR_WATER"/>
    <x v="0"/>
    <x v="0"/>
    <n v="1476.64889035959"/>
    <n v="538976.84498124896"/>
    <n v="1940316.6419325001"/>
  </r>
  <r>
    <x v="0"/>
    <x v="0"/>
    <x v="1"/>
    <x v="2"/>
    <x v="7"/>
    <s v="NO2_A1"/>
    <x v="7"/>
    <s v="GHYRR_WATER"/>
    <x v="0"/>
    <x v="1"/>
    <n v="1476.64889035959"/>
    <n v="538976.84498124896"/>
    <n v="1940316.6419325001"/>
  </r>
  <r>
    <x v="0"/>
    <x v="0"/>
    <x v="1"/>
    <x v="2"/>
    <x v="7"/>
    <s v="NO2_A1"/>
    <x v="7"/>
    <s v="GHYRR_WATER"/>
    <x v="0"/>
    <x v="2"/>
    <n v="1476.64889035959"/>
    <n v="538976.84498124896"/>
    <n v="1940316.6419325001"/>
  </r>
  <r>
    <x v="0"/>
    <x v="0"/>
    <x v="1"/>
    <x v="2"/>
    <x v="7"/>
    <s v="NO2_A1"/>
    <x v="7"/>
    <s v="GHYRR_WATER"/>
    <x v="0"/>
    <x v="3"/>
    <n v="1476.64889035959"/>
    <n v="538976.84498124896"/>
    <n v="1940316.6419325001"/>
  </r>
  <r>
    <x v="0"/>
    <x v="0"/>
    <x v="1"/>
    <x v="2"/>
    <x v="7"/>
    <s v="NO2_A1"/>
    <x v="7"/>
    <s v="GHYRR_WATER"/>
    <x v="0"/>
    <x v="4"/>
    <n v="1476.64889035959"/>
    <n v="538976.84498124896"/>
    <n v="1940316.6419325001"/>
  </r>
  <r>
    <x v="0"/>
    <x v="0"/>
    <x v="1"/>
    <x v="2"/>
    <x v="7"/>
    <s v="NO2_A1"/>
    <x v="7"/>
    <s v="GHYRR_WATER"/>
    <x v="0"/>
    <x v="5"/>
    <n v="1476.64889035959"/>
    <n v="538976.84498124896"/>
    <n v="1940316.6419325001"/>
  </r>
  <r>
    <x v="0"/>
    <x v="0"/>
    <x v="1"/>
    <x v="2"/>
    <x v="7"/>
    <s v="NO2_A1"/>
    <x v="7"/>
    <s v="GHYRR_WATER"/>
    <x v="0"/>
    <x v="6"/>
    <n v="1476.64889035959"/>
    <n v="538976.84498124896"/>
    <n v="1940316.6419325001"/>
  </r>
  <r>
    <x v="0"/>
    <x v="0"/>
    <x v="1"/>
    <x v="2"/>
    <x v="7"/>
    <s v="NO2_A1"/>
    <x v="7"/>
    <s v="GHYRR_WATER"/>
    <x v="0"/>
    <x v="7"/>
    <n v="1476.64889035959"/>
    <n v="538976.84498124896"/>
    <n v="1940316.6419325001"/>
  </r>
  <r>
    <x v="0"/>
    <x v="0"/>
    <x v="1"/>
    <x v="2"/>
    <x v="7"/>
    <s v="NO2_A1"/>
    <x v="7"/>
    <s v="GHYRR_WATER"/>
    <x v="0"/>
    <x v="8"/>
    <n v="1476.64889035959"/>
    <n v="538976.84498124896"/>
    <n v="1940316.6419325001"/>
  </r>
  <r>
    <x v="0"/>
    <x v="0"/>
    <x v="1"/>
    <x v="2"/>
    <x v="7"/>
    <s v="NO2_A1"/>
    <x v="7"/>
    <s v="GHYRR_WATER"/>
    <x v="0"/>
    <x v="9"/>
    <n v="1476.64889035959"/>
    <n v="538976.84498124896"/>
    <n v="1940316.6419325001"/>
  </r>
  <r>
    <x v="0"/>
    <x v="0"/>
    <x v="1"/>
    <x v="2"/>
    <x v="7"/>
    <s v="NO2_A1"/>
    <x v="7"/>
    <s v="GHYRR_WATER"/>
    <x v="0"/>
    <x v="10"/>
    <n v="1476.64889035959"/>
    <n v="538976.84498124896"/>
    <n v="1940316.6419325001"/>
  </r>
  <r>
    <x v="0"/>
    <x v="0"/>
    <x v="1"/>
    <x v="2"/>
    <x v="7"/>
    <s v="NO2_A1"/>
    <x v="7"/>
    <s v="GHYRR_WATER"/>
    <x v="0"/>
    <x v="11"/>
    <n v="1476.64889035959"/>
    <n v="538976.84498124896"/>
    <n v="1940316.6419325001"/>
  </r>
  <r>
    <x v="0"/>
    <x v="0"/>
    <x v="1"/>
    <x v="2"/>
    <x v="7"/>
    <s v="NO2_A1"/>
    <x v="7"/>
    <s v="GHYRR_WATER"/>
    <x v="0"/>
    <x v="12"/>
    <n v="1476.64889035959"/>
    <n v="538976.84498124896"/>
    <n v="1940316.6419325001"/>
  </r>
  <r>
    <x v="0"/>
    <x v="0"/>
    <x v="1"/>
    <x v="2"/>
    <x v="7"/>
    <s v="NO2_A1"/>
    <x v="7"/>
    <s v="GHYRR_WATER"/>
    <x v="0"/>
    <x v="13"/>
    <n v="1476.64889035959"/>
    <n v="538976.84498124896"/>
    <n v="1940316.6419325001"/>
  </r>
  <r>
    <x v="0"/>
    <x v="0"/>
    <x v="1"/>
    <x v="2"/>
    <x v="7"/>
    <s v="NO2_A1"/>
    <x v="7"/>
    <s v="GHYRR_WATER"/>
    <x v="0"/>
    <x v="14"/>
    <n v="1476.64889035959"/>
    <n v="538976.84498124896"/>
    <n v="1940316.6419325001"/>
  </r>
  <r>
    <x v="0"/>
    <x v="0"/>
    <x v="1"/>
    <x v="2"/>
    <x v="7"/>
    <s v="NO2_A1"/>
    <x v="7"/>
    <s v="GHYRR_WATER"/>
    <x v="0"/>
    <x v="15"/>
    <n v="1476.64889035959"/>
    <n v="538976.84498124896"/>
    <n v="1940316.6419325001"/>
  </r>
  <r>
    <x v="0"/>
    <x v="0"/>
    <x v="1"/>
    <x v="2"/>
    <x v="7"/>
    <s v="NO2_A1"/>
    <x v="7"/>
    <s v="GHYRR_WATER"/>
    <x v="0"/>
    <x v="16"/>
    <n v="1476.64889035959"/>
    <n v="538976.84498124896"/>
    <n v="1940316.6419325001"/>
  </r>
  <r>
    <x v="0"/>
    <x v="0"/>
    <x v="1"/>
    <x v="2"/>
    <x v="7"/>
    <s v="NO2_A1"/>
    <x v="7"/>
    <s v="GHYRR_WATER"/>
    <x v="0"/>
    <x v="17"/>
    <n v="1476.64889035959"/>
    <n v="538976.84498124896"/>
    <n v="1940316.6419325001"/>
  </r>
  <r>
    <x v="0"/>
    <x v="0"/>
    <x v="1"/>
    <x v="2"/>
    <x v="7"/>
    <s v="NO2_A1"/>
    <x v="7"/>
    <s v="GHYRR_WATER"/>
    <x v="0"/>
    <x v="18"/>
    <n v="1476.64889035959"/>
    <n v="538976.84498124896"/>
    <n v="1940316.6419325001"/>
  </r>
  <r>
    <x v="0"/>
    <x v="0"/>
    <x v="1"/>
    <x v="2"/>
    <x v="7"/>
    <s v="NO2_A1"/>
    <x v="7"/>
    <s v="GHYRR_WATER"/>
    <x v="0"/>
    <x v="19"/>
    <n v="1476.64889035959"/>
    <n v="538976.84498124896"/>
    <n v="1940316.6419325001"/>
  </r>
  <r>
    <x v="0"/>
    <x v="0"/>
    <x v="1"/>
    <x v="2"/>
    <x v="7"/>
    <s v="NO2_A1"/>
    <x v="7"/>
    <s v="GHYRR_WATER"/>
    <x v="0"/>
    <x v="20"/>
    <n v="1476.64889035959"/>
    <n v="538976.84498124896"/>
    <n v="1940316.6419325001"/>
  </r>
  <r>
    <x v="0"/>
    <x v="0"/>
    <x v="1"/>
    <x v="2"/>
    <x v="7"/>
    <s v="NO2_A1"/>
    <x v="7"/>
    <s v="GHYRR_WATER"/>
    <x v="0"/>
    <x v="21"/>
    <n v="1476.64889035959"/>
    <n v="538976.84498124896"/>
    <n v="1940316.6419325001"/>
  </r>
  <r>
    <x v="0"/>
    <x v="0"/>
    <x v="1"/>
    <x v="2"/>
    <x v="7"/>
    <s v="NO2_A1"/>
    <x v="7"/>
    <s v="GHYRR_WATER"/>
    <x v="0"/>
    <x v="22"/>
    <n v="1476.64889035959"/>
    <n v="538976.84498124896"/>
    <n v="1940316.6419325001"/>
  </r>
  <r>
    <x v="0"/>
    <x v="0"/>
    <x v="1"/>
    <x v="2"/>
    <x v="7"/>
    <s v="NO2_A1"/>
    <x v="7"/>
    <s v="GHYRR_WATER"/>
    <x v="0"/>
    <x v="23"/>
    <n v="1476.64889035959"/>
    <n v="538976.84498124896"/>
    <n v="1940316.6419325001"/>
  </r>
  <r>
    <x v="0"/>
    <x v="0"/>
    <x v="1"/>
    <x v="2"/>
    <x v="7"/>
    <s v="NO2_A1"/>
    <x v="8"/>
    <s v="GNR_WT_WIND_ONS"/>
    <x v="0"/>
    <x v="0"/>
    <n v="317.86193424285199"/>
    <n v="116019.605998641"/>
    <n v="417670.58159510797"/>
  </r>
  <r>
    <x v="0"/>
    <x v="0"/>
    <x v="1"/>
    <x v="2"/>
    <x v="7"/>
    <s v="NO2_A1"/>
    <x v="8"/>
    <s v="GNR_WT_WIND_ONS"/>
    <x v="0"/>
    <x v="1"/>
    <n v="324.64826622910903"/>
    <n v="118496.617173625"/>
    <n v="426587.82182504999"/>
  </r>
  <r>
    <x v="0"/>
    <x v="0"/>
    <x v="1"/>
    <x v="2"/>
    <x v="7"/>
    <s v="NO2_A1"/>
    <x v="8"/>
    <s v="GNR_WT_WIND_ONS"/>
    <x v="0"/>
    <x v="2"/>
    <n v="453.73462593417401"/>
    <n v="165613.138465973"/>
    <n v="596207.29847750498"/>
  </r>
  <r>
    <x v="0"/>
    <x v="0"/>
    <x v="1"/>
    <x v="2"/>
    <x v="7"/>
    <s v="NO2_A1"/>
    <x v="8"/>
    <s v="GNR_WT_WIND_ONS"/>
    <x v="0"/>
    <x v="3"/>
    <n v="400.86414941532303"/>
    <n v="146315.41453659299"/>
    <n v="526735.49233173404"/>
  </r>
  <r>
    <x v="0"/>
    <x v="0"/>
    <x v="1"/>
    <x v="2"/>
    <x v="7"/>
    <s v="NO2_A1"/>
    <x v="8"/>
    <s v="GNR_WT_WIND_ONS"/>
    <x v="0"/>
    <x v="4"/>
    <n v="482.38647562674203"/>
    <n v="176071.06360376099"/>
    <n v="633855.82897353906"/>
  </r>
  <r>
    <x v="0"/>
    <x v="0"/>
    <x v="1"/>
    <x v="2"/>
    <x v="7"/>
    <s v="NO2_A1"/>
    <x v="8"/>
    <s v="GNR_WT_WIND_ONS"/>
    <x v="0"/>
    <x v="5"/>
    <n v="481.49891473663502"/>
    <n v="175747.103878872"/>
    <n v="632689.57396393898"/>
  </r>
  <r>
    <x v="0"/>
    <x v="0"/>
    <x v="1"/>
    <x v="2"/>
    <x v="7"/>
    <s v="NO2_A1"/>
    <x v="8"/>
    <s v="GNR_WT_WIND_ONS"/>
    <x v="0"/>
    <x v="6"/>
    <n v="476.04336535575197"/>
    <n v="173755.82835484901"/>
    <n v="625520.98207745701"/>
  </r>
  <r>
    <x v="0"/>
    <x v="0"/>
    <x v="1"/>
    <x v="2"/>
    <x v="7"/>
    <s v="NO2_A1"/>
    <x v="8"/>
    <s v="GNR_WT_WIND_ONS"/>
    <x v="0"/>
    <x v="7"/>
    <n v="467.820129353347"/>
    <n v="170754.34721397201"/>
    <n v="614715.64997029805"/>
  </r>
  <r>
    <x v="0"/>
    <x v="0"/>
    <x v="1"/>
    <x v="2"/>
    <x v="7"/>
    <s v="NO2_A1"/>
    <x v="8"/>
    <s v="GNR_WT_WIND_ONS"/>
    <x v="0"/>
    <x v="8"/>
    <n v="412.79824516743298"/>
    <n v="150671.35948611301"/>
    <n v="542416.89415000705"/>
  </r>
  <r>
    <x v="0"/>
    <x v="0"/>
    <x v="1"/>
    <x v="2"/>
    <x v="7"/>
    <s v="NO2_A1"/>
    <x v="8"/>
    <s v="GNR_WT_WIND_ONS"/>
    <x v="0"/>
    <x v="9"/>
    <n v="48.0412632285813"/>
    <n v="17535.061078432202"/>
    <n v="63126.219882355901"/>
  </r>
  <r>
    <x v="0"/>
    <x v="0"/>
    <x v="1"/>
    <x v="2"/>
    <x v="7"/>
    <s v="NO2_A1"/>
    <x v="8"/>
    <s v="GNR_WT_WIND_ONS"/>
    <x v="0"/>
    <x v="10"/>
    <n v="38.804081658374699"/>
    <n v="14163.489805306799"/>
    <n v="50988.563299104302"/>
  </r>
  <r>
    <x v="0"/>
    <x v="0"/>
    <x v="1"/>
    <x v="2"/>
    <x v="7"/>
    <s v="NO2_A1"/>
    <x v="8"/>
    <s v="GNR_WT_WIND_ONS"/>
    <x v="0"/>
    <x v="11"/>
    <n v="118.125198754431"/>
    <n v="43115.697545367497"/>
    <n v="155216.51116332301"/>
  </r>
  <r>
    <x v="0"/>
    <x v="0"/>
    <x v="1"/>
    <x v="2"/>
    <x v="7"/>
    <s v="NO2_A1"/>
    <x v="8"/>
    <s v="GNR_WT_WIND_ONS"/>
    <x v="0"/>
    <x v="12"/>
    <n v="118.055879012259"/>
    <n v="43090.395839474499"/>
    <n v="155125.42502210799"/>
  </r>
  <r>
    <x v="0"/>
    <x v="0"/>
    <x v="1"/>
    <x v="2"/>
    <x v="7"/>
    <s v="NO2_A1"/>
    <x v="8"/>
    <s v="GNR_WT_WIND_ONS"/>
    <x v="0"/>
    <x v="13"/>
    <n v="121.476199273009"/>
    <n v="44338.812734648302"/>
    <n v="159619.725844734"/>
  </r>
  <r>
    <x v="0"/>
    <x v="0"/>
    <x v="1"/>
    <x v="2"/>
    <x v="7"/>
    <s v="NO2_A1"/>
    <x v="8"/>
    <s v="GNR_WT_WIND_ONS"/>
    <x v="0"/>
    <x v="14"/>
    <n v="187.153134983885"/>
    <n v="68310.894269118202"/>
    <n v="245919.219368825"/>
  </r>
  <r>
    <x v="0"/>
    <x v="0"/>
    <x v="1"/>
    <x v="2"/>
    <x v="7"/>
    <s v="NO2_A1"/>
    <x v="8"/>
    <s v="GNR_WT_WIND_ONS"/>
    <x v="0"/>
    <x v="15"/>
    <n v="278.105106552618"/>
    <n v="101508.363891706"/>
    <n v="365430.11001013999"/>
  </r>
  <r>
    <x v="0"/>
    <x v="0"/>
    <x v="1"/>
    <x v="2"/>
    <x v="7"/>
    <s v="NO2_A1"/>
    <x v="8"/>
    <s v="GNR_WT_WIND_ONS"/>
    <x v="0"/>
    <x v="16"/>
    <n v="314.21614788894198"/>
    <n v="114688.893979464"/>
    <n v="412880.01832606999"/>
  </r>
  <r>
    <x v="0"/>
    <x v="0"/>
    <x v="1"/>
    <x v="2"/>
    <x v="7"/>
    <s v="NO2_A1"/>
    <x v="8"/>
    <s v="GNR_WT_WIND_ONS"/>
    <x v="0"/>
    <x v="17"/>
    <n v="457.28777488948998"/>
    <n v="166910.03783466399"/>
    <n v="600876.13620478997"/>
  </r>
  <r>
    <x v="0"/>
    <x v="0"/>
    <x v="1"/>
    <x v="2"/>
    <x v="7"/>
    <s v="NO2_A1"/>
    <x v="8"/>
    <s v="GNR_WT_WIND_ONS"/>
    <x v="0"/>
    <x v="18"/>
    <n v="473.92782814097899"/>
    <n v="172983.65727145699"/>
    <n v="622741.16617724602"/>
  </r>
  <r>
    <x v="0"/>
    <x v="0"/>
    <x v="1"/>
    <x v="2"/>
    <x v="7"/>
    <s v="NO2_A1"/>
    <x v="8"/>
    <s v="GNR_WT_WIND_ONS"/>
    <x v="0"/>
    <x v="19"/>
    <n v="487.20365760227702"/>
    <n v="177829.335024831"/>
    <n v="640185.60608939198"/>
  </r>
  <r>
    <x v="0"/>
    <x v="0"/>
    <x v="1"/>
    <x v="2"/>
    <x v="7"/>
    <s v="NO2_A1"/>
    <x v="8"/>
    <s v="GNR_WT_WIND_ONS"/>
    <x v="0"/>
    <x v="20"/>
    <n v="487.93224124381101"/>
    <n v="178095.26805399099"/>
    <n v="641142.96499436803"/>
  </r>
  <r>
    <x v="0"/>
    <x v="0"/>
    <x v="1"/>
    <x v="2"/>
    <x v="7"/>
    <s v="NO2_A1"/>
    <x v="8"/>
    <s v="GNR_WT_WIND_ONS"/>
    <x v="0"/>
    <x v="21"/>
    <n v="488.41036494640502"/>
    <n v="178269.783205438"/>
    <n v="641771.21953957702"/>
  </r>
  <r>
    <x v="0"/>
    <x v="0"/>
    <x v="1"/>
    <x v="2"/>
    <x v="7"/>
    <s v="NO2_A1"/>
    <x v="8"/>
    <s v="GNR_WT_WIND_ONS"/>
    <x v="0"/>
    <x v="22"/>
    <n v="488.01791314440101"/>
    <n v="178126.53829770599"/>
    <n v="641255.53787174297"/>
  </r>
  <r>
    <x v="0"/>
    <x v="0"/>
    <x v="1"/>
    <x v="2"/>
    <x v="7"/>
    <s v="NO2_A1"/>
    <x v="8"/>
    <s v="GNR_WT_WIND_ONS"/>
    <x v="0"/>
    <x v="23"/>
    <n v="487.98491083834801"/>
    <n v="178114.49245599701"/>
    <n v="641212.17284158897"/>
  </r>
  <r>
    <x v="0"/>
    <x v="0"/>
    <x v="1"/>
    <x v="2"/>
    <x v="8"/>
    <s v="NO3_A1"/>
    <x v="6"/>
    <s v="GNR_PV_SUN_LS-4-MW_Y-2020"/>
    <x v="0"/>
    <x v="0"/>
    <n v="1574.9096195863001"/>
    <n v="574842.01114900096"/>
    <n v="2069431.2401364001"/>
  </r>
  <r>
    <x v="0"/>
    <x v="0"/>
    <x v="1"/>
    <x v="2"/>
    <x v="8"/>
    <s v="NO3_A1"/>
    <x v="6"/>
    <s v="GNR_PV_SUN_LS-4-MW_Y-2020"/>
    <x v="0"/>
    <x v="1"/>
    <n v="1518.93165479146"/>
    <n v="554410.05399888195"/>
    <n v="1995876.1943959701"/>
  </r>
  <r>
    <x v="0"/>
    <x v="0"/>
    <x v="1"/>
    <x v="2"/>
    <x v="8"/>
    <s v="NO3_A1"/>
    <x v="6"/>
    <s v="GNR_PV_SUN_LS-4-MW_Y-2020"/>
    <x v="0"/>
    <x v="2"/>
    <n v="1488.3542468815999"/>
    <n v="543249.30011178297"/>
    <n v="1955697.48040242"/>
  </r>
  <r>
    <x v="0"/>
    <x v="0"/>
    <x v="1"/>
    <x v="2"/>
    <x v="8"/>
    <s v="NO3_A1"/>
    <x v="6"/>
    <s v="GNR_PV_SUN_LS-4-MW_Y-2020"/>
    <x v="0"/>
    <x v="3"/>
    <n v="1520.0293366368901"/>
    <n v="554810.70787246397"/>
    <n v="1997318.5483408701"/>
  </r>
  <r>
    <x v="0"/>
    <x v="0"/>
    <x v="1"/>
    <x v="2"/>
    <x v="8"/>
    <s v="NO3_A1"/>
    <x v="6"/>
    <s v="GNR_PV_SUN_LS-4-MW_Y-2020"/>
    <x v="0"/>
    <x v="4"/>
    <n v="1436.77221504417"/>
    <n v="524421.85849112098"/>
    <n v="1887918.6905680301"/>
  </r>
  <r>
    <x v="0"/>
    <x v="0"/>
    <x v="1"/>
    <x v="2"/>
    <x v="8"/>
    <s v="NO3_A1"/>
    <x v="6"/>
    <s v="GNR_PV_SUN_LS-4-MW_Y-2020"/>
    <x v="0"/>
    <x v="5"/>
    <n v="1516.64401055301"/>
    <n v="553575.06385184999"/>
    <n v="1992870.22986666"/>
  </r>
  <r>
    <x v="0"/>
    <x v="0"/>
    <x v="1"/>
    <x v="2"/>
    <x v="8"/>
    <s v="NO3_A1"/>
    <x v="6"/>
    <s v="GNR_PV_SUN_LS-4-MW_Y-2020"/>
    <x v="0"/>
    <x v="6"/>
    <n v="1767.7482755606"/>
    <n v="645228.12057961803"/>
    <n v="2322821.2340866202"/>
  </r>
  <r>
    <x v="0"/>
    <x v="0"/>
    <x v="1"/>
    <x v="2"/>
    <x v="8"/>
    <s v="NO3_A1"/>
    <x v="6"/>
    <s v="GNR_PV_SUN_LS-4-MW_Y-2020"/>
    <x v="0"/>
    <x v="7"/>
    <n v="2030.98104239546"/>
    <n v="741308.08047434397"/>
    <n v="2668709.08970764"/>
  </r>
  <r>
    <x v="0"/>
    <x v="0"/>
    <x v="1"/>
    <x v="2"/>
    <x v="8"/>
    <s v="NO3_A1"/>
    <x v="6"/>
    <s v="GNR_PV_SUN_LS-4-MW_Y-2020"/>
    <x v="0"/>
    <x v="8"/>
    <n v="2198.8988210131902"/>
    <n v="802598.06966981397"/>
    <n v="2889353.0508113299"/>
  </r>
  <r>
    <x v="0"/>
    <x v="0"/>
    <x v="1"/>
    <x v="2"/>
    <x v="8"/>
    <s v="NO3_A1"/>
    <x v="6"/>
    <s v="GNR_PV_SUN_LS-4-MW_Y-2020"/>
    <x v="0"/>
    <x v="9"/>
    <n v="2215.1811832160602"/>
    <n v="808541.13187386305"/>
    <n v="2910748.0747459098"/>
  </r>
  <r>
    <x v="0"/>
    <x v="0"/>
    <x v="1"/>
    <x v="2"/>
    <x v="8"/>
    <s v="NO3_A1"/>
    <x v="6"/>
    <s v="GNR_PV_SUN_LS-4-MW_Y-2020"/>
    <x v="0"/>
    <x v="10"/>
    <n v="2324.2788072726598"/>
    <n v="848361.76465451997"/>
    <n v="3054102.3527562702"/>
  </r>
  <r>
    <x v="0"/>
    <x v="0"/>
    <x v="1"/>
    <x v="2"/>
    <x v="8"/>
    <s v="NO3_A1"/>
    <x v="6"/>
    <s v="GNR_PV_SUN_LS-4-MW_Y-2020"/>
    <x v="0"/>
    <x v="11"/>
    <n v="2228.42010426148"/>
    <n v="813373.33805543894"/>
    <n v="2928144.01699958"/>
  </r>
  <r>
    <x v="0"/>
    <x v="0"/>
    <x v="1"/>
    <x v="2"/>
    <x v="8"/>
    <s v="NO3_A1"/>
    <x v="6"/>
    <s v="GNR_PV_SUN_LS-4-MW_Y-2020"/>
    <x v="0"/>
    <x v="12"/>
    <n v="1987.9703415249901"/>
    <n v="725609.17465662304"/>
    <n v="2612193.02876384"/>
  </r>
  <r>
    <x v="0"/>
    <x v="0"/>
    <x v="1"/>
    <x v="2"/>
    <x v="8"/>
    <s v="NO3_A1"/>
    <x v="6"/>
    <s v="GNR_PV_SUN_LS-4-MW_Y-2020"/>
    <x v="0"/>
    <x v="13"/>
    <n v="1798.2121214646399"/>
    <n v="656347.42433459498"/>
    <n v="2362850.7276045401"/>
  </r>
  <r>
    <x v="0"/>
    <x v="0"/>
    <x v="1"/>
    <x v="2"/>
    <x v="8"/>
    <s v="NO3_A1"/>
    <x v="6"/>
    <s v="GNR_PV_SUN_LS-4-MW_Y-2020"/>
    <x v="0"/>
    <x v="14"/>
    <n v="1768.64945259455"/>
    <n v="645557.05019701202"/>
    <n v="2324005.3807092402"/>
  </r>
  <r>
    <x v="0"/>
    <x v="0"/>
    <x v="1"/>
    <x v="2"/>
    <x v="8"/>
    <s v="NO3_A1"/>
    <x v="6"/>
    <s v="GNR_PV_SUN_LS-4-MW_Y-2020"/>
    <x v="0"/>
    <x v="15"/>
    <n v="1786.4611998443499"/>
    <n v="652058.33794318896"/>
    <n v="2347410.01659548"/>
  </r>
  <r>
    <x v="0"/>
    <x v="0"/>
    <x v="1"/>
    <x v="2"/>
    <x v="8"/>
    <s v="NO3_A1"/>
    <x v="6"/>
    <s v="GNR_PV_SUN_LS-4-MW_Y-2020"/>
    <x v="0"/>
    <x v="16"/>
    <n v="1747.2633644099601"/>
    <n v="637751.12800963502"/>
    <n v="2295904.06083469"/>
  </r>
  <r>
    <x v="0"/>
    <x v="0"/>
    <x v="1"/>
    <x v="2"/>
    <x v="8"/>
    <s v="NO3_A1"/>
    <x v="6"/>
    <s v="GNR_PV_SUN_LS-4-MW_Y-2020"/>
    <x v="0"/>
    <x v="17"/>
    <n v="1743.6265542850001"/>
    <n v="636423.69231402699"/>
    <n v="2291125.2923305002"/>
  </r>
  <r>
    <x v="0"/>
    <x v="0"/>
    <x v="1"/>
    <x v="2"/>
    <x v="8"/>
    <s v="NO3_A1"/>
    <x v="6"/>
    <s v="GNR_PV_SUN_LS-4-MW_Y-2020"/>
    <x v="0"/>
    <x v="18"/>
    <n v="1775.4459041991399"/>
    <n v="648037.755032685"/>
    <n v="2332935.9181176699"/>
  </r>
  <r>
    <x v="0"/>
    <x v="0"/>
    <x v="1"/>
    <x v="2"/>
    <x v="8"/>
    <s v="NO3_A1"/>
    <x v="6"/>
    <s v="GNR_PV_SUN_LS-4-MW_Y-2020"/>
    <x v="0"/>
    <x v="19"/>
    <n v="1951.83814530158"/>
    <n v="712420.92303507798"/>
    <n v="2564715.3229262801"/>
  </r>
  <r>
    <x v="0"/>
    <x v="0"/>
    <x v="1"/>
    <x v="2"/>
    <x v="8"/>
    <s v="NO3_A1"/>
    <x v="6"/>
    <s v="GNR_PV_SUN_LS-4-MW_Y-2020"/>
    <x v="0"/>
    <x v="20"/>
    <n v="2068.5505288632799"/>
    <n v="755020.94303509698"/>
    <n v="2718075.3949263501"/>
  </r>
  <r>
    <x v="0"/>
    <x v="0"/>
    <x v="1"/>
    <x v="2"/>
    <x v="8"/>
    <s v="NO3_A1"/>
    <x v="6"/>
    <s v="GNR_PV_SUN_LS-4-MW_Y-2020"/>
    <x v="0"/>
    <x v="21"/>
    <n v="2066.4853490218302"/>
    <n v="754267.152392969"/>
    <n v="2715361.7486146898"/>
  </r>
  <r>
    <x v="0"/>
    <x v="0"/>
    <x v="1"/>
    <x v="2"/>
    <x v="8"/>
    <s v="NO3_A1"/>
    <x v="6"/>
    <s v="GNR_PV_SUN_LS-4-MW_Y-2020"/>
    <x v="0"/>
    <x v="22"/>
    <n v="1912.7222785921099"/>
    <n v="698143.63168611901"/>
    <n v="2513317.0740700299"/>
  </r>
  <r>
    <x v="0"/>
    <x v="0"/>
    <x v="1"/>
    <x v="2"/>
    <x v="8"/>
    <s v="NO3_A1"/>
    <x v="6"/>
    <s v="GNR_PV_SUN_LS-4-MW_Y-2020"/>
    <x v="0"/>
    <x v="23"/>
    <n v="1664.4066528757601"/>
    <n v="607508.42829965299"/>
    <n v="2187030.3418787499"/>
  </r>
  <r>
    <x v="0"/>
    <x v="0"/>
    <x v="1"/>
    <x v="2"/>
    <x v="8"/>
    <s v="NO3_A1"/>
    <x v="7"/>
    <s v="GHYRR_WATER"/>
    <x v="0"/>
    <x v="0"/>
    <n v="892.60223179758896"/>
    <n v="325799.81460612"/>
    <n v="1172879.33258203"/>
  </r>
  <r>
    <x v="0"/>
    <x v="0"/>
    <x v="1"/>
    <x v="2"/>
    <x v="8"/>
    <s v="NO3_A1"/>
    <x v="7"/>
    <s v="GHYRR_WATER"/>
    <x v="0"/>
    <x v="1"/>
    <n v="892.60223179758896"/>
    <n v="325799.81460612"/>
    <n v="1172879.33258203"/>
  </r>
  <r>
    <x v="0"/>
    <x v="0"/>
    <x v="1"/>
    <x v="2"/>
    <x v="8"/>
    <s v="NO3_A1"/>
    <x v="7"/>
    <s v="GHYRR_WATER"/>
    <x v="0"/>
    <x v="2"/>
    <n v="892.60223179758896"/>
    <n v="325799.81460612"/>
    <n v="1172879.33258203"/>
  </r>
  <r>
    <x v="0"/>
    <x v="0"/>
    <x v="1"/>
    <x v="2"/>
    <x v="8"/>
    <s v="NO3_A1"/>
    <x v="7"/>
    <s v="GHYRR_WATER"/>
    <x v="0"/>
    <x v="3"/>
    <n v="892.60223179758896"/>
    <n v="325799.81460612"/>
    <n v="1172879.33258203"/>
  </r>
  <r>
    <x v="0"/>
    <x v="0"/>
    <x v="1"/>
    <x v="2"/>
    <x v="8"/>
    <s v="NO3_A1"/>
    <x v="7"/>
    <s v="GHYRR_WATER"/>
    <x v="0"/>
    <x v="4"/>
    <n v="892.60223179758896"/>
    <n v="325799.81460612"/>
    <n v="1172879.33258203"/>
  </r>
  <r>
    <x v="0"/>
    <x v="0"/>
    <x v="1"/>
    <x v="2"/>
    <x v="8"/>
    <s v="NO3_A1"/>
    <x v="7"/>
    <s v="GHYRR_WATER"/>
    <x v="0"/>
    <x v="5"/>
    <n v="892.60223179758896"/>
    <n v="325799.81460612"/>
    <n v="1172879.33258203"/>
  </r>
  <r>
    <x v="0"/>
    <x v="0"/>
    <x v="1"/>
    <x v="2"/>
    <x v="8"/>
    <s v="NO3_A1"/>
    <x v="7"/>
    <s v="GHYRR_WATER"/>
    <x v="0"/>
    <x v="6"/>
    <n v="892.60223179758896"/>
    <n v="325799.81460612"/>
    <n v="1172879.33258203"/>
  </r>
  <r>
    <x v="0"/>
    <x v="0"/>
    <x v="1"/>
    <x v="2"/>
    <x v="8"/>
    <s v="NO3_A1"/>
    <x v="7"/>
    <s v="GHYRR_WATER"/>
    <x v="0"/>
    <x v="7"/>
    <n v="892.60223179758896"/>
    <n v="325799.81460612"/>
    <n v="1172879.33258203"/>
  </r>
  <r>
    <x v="0"/>
    <x v="0"/>
    <x v="1"/>
    <x v="2"/>
    <x v="8"/>
    <s v="NO3_A1"/>
    <x v="7"/>
    <s v="GHYRR_WATER"/>
    <x v="0"/>
    <x v="8"/>
    <n v="892.60223179758896"/>
    <n v="325799.81460612"/>
    <n v="1172879.33258203"/>
  </r>
  <r>
    <x v="0"/>
    <x v="0"/>
    <x v="1"/>
    <x v="2"/>
    <x v="8"/>
    <s v="NO3_A1"/>
    <x v="7"/>
    <s v="GHYRR_WATER"/>
    <x v="0"/>
    <x v="9"/>
    <n v="892.60223179758896"/>
    <n v="325799.81460612"/>
    <n v="1172879.33258203"/>
  </r>
  <r>
    <x v="0"/>
    <x v="0"/>
    <x v="1"/>
    <x v="2"/>
    <x v="8"/>
    <s v="NO3_A1"/>
    <x v="7"/>
    <s v="GHYRR_WATER"/>
    <x v="0"/>
    <x v="10"/>
    <n v="892.60223179758896"/>
    <n v="325799.81460612"/>
    <n v="1172879.33258203"/>
  </r>
  <r>
    <x v="0"/>
    <x v="0"/>
    <x v="1"/>
    <x v="2"/>
    <x v="8"/>
    <s v="NO3_A1"/>
    <x v="7"/>
    <s v="GHYRR_WATER"/>
    <x v="0"/>
    <x v="11"/>
    <n v="892.60223179758896"/>
    <n v="325799.81460612"/>
    <n v="1172879.33258203"/>
  </r>
  <r>
    <x v="0"/>
    <x v="0"/>
    <x v="1"/>
    <x v="2"/>
    <x v="8"/>
    <s v="NO3_A1"/>
    <x v="7"/>
    <s v="GHYRR_WATER"/>
    <x v="0"/>
    <x v="12"/>
    <n v="892.60223179758896"/>
    <n v="325799.81460612"/>
    <n v="1172879.33258203"/>
  </r>
  <r>
    <x v="0"/>
    <x v="0"/>
    <x v="1"/>
    <x v="2"/>
    <x v="8"/>
    <s v="NO3_A1"/>
    <x v="7"/>
    <s v="GHYRR_WATER"/>
    <x v="0"/>
    <x v="13"/>
    <n v="892.60223179758896"/>
    <n v="325799.81460612"/>
    <n v="1172879.33258203"/>
  </r>
  <r>
    <x v="0"/>
    <x v="0"/>
    <x v="1"/>
    <x v="2"/>
    <x v="8"/>
    <s v="NO3_A1"/>
    <x v="7"/>
    <s v="GHYRR_WATER"/>
    <x v="0"/>
    <x v="14"/>
    <n v="892.60223179758896"/>
    <n v="325799.81460612"/>
    <n v="1172879.33258203"/>
  </r>
  <r>
    <x v="0"/>
    <x v="0"/>
    <x v="1"/>
    <x v="2"/>
    <x v="8"/>
    <s v="NO3_A1"/>
    <x v="7"/>
    <s v="GHYRR_WATER"/>
    <x v="0"/>
    <x v="15"/>
    <n v="892.60223179758896"/>
    <n v="325799.81460612"/>
    <n v="1172879.33258203"/>
  </r>
  <r>
    <x v="0"/>
    <x v="0"/>
    <x v="1"/>
    <x v="2"/>
    <x v="8"/>
    <s v="NO3_A1"/>
    <x v="7"/>
    <s v="GHYRR_WATER"/>
    <x v="0"/>
    <x v="16"/>
    <n v="892.60223179758896"/>
    <n v="325799.81460612"/>
    <n v="1172879.33258203"/>
  </r>
  <r>
    <x v="0"/>
    <x v="0"/>
    <x v="1"/>
    <x v="2"/>
    <x v="8"/>
    <s v="NO3_A1"/>
    <x v="7"/>
    <s v="GHYRR_WATER"/>
    <x v="0"/>
    <x v="17"/>
    <n v="892.60223179758896"/>
    <n v="325799.81460612"/>
    <n v="1172879.33258203"/>
  </r>
  <r>
    <x v="0"/>
    <x v="0"/>
    <x v="1"/>
    <x v="2"/>
    <x v="8"/>
    <s v="NO3_A1"/>
    <x v="7"/>
    <s v="GHYRR_WATER"/>
    <x v="0"/>
    <x v="18"/>
    <n v="892.60223179758896"/>
    <n v="325799.81460612"/>
    <n v="1172879.33258203"/>
  </r>
  <r>
    <x v="0"/>
    <x v="0"/>
    <x v="1"/>
    <x v="2"/>
    <x v="8"/>
    <s v="NO3_A1"/>
    <x v="7"/>
    <s v="GHYRR_WATER"/>
    <x v="0"/>
    <x v="19"/>
    <n v="892.60223179758896"/>
    <n v="325799.81460612"/>
    <n v="1172879.33258203"/>
  </r>
  <r>
    <x v="0"/>
    <x v="0"/>
    <x v="1"/>
    <x v="2"/>
    <x v="8"/>
    <s v="NO3_A1"/>
    <x v="7"/>
    <s v="GHYRR_WATER"/>
    <x v="0"/>
    <x v="20"/>
    <n v="892.60223179758896"/>
    <n v="325799.81460612"/>
    <n v="1172879.33258203"/>
  </r>
  <r>
    <x v="0"/>
    <x v="0"/>
    <x v="1"/>
    <x v="2"/>
    <x v="8"/>
    <s v="NO3_A1"/>
    <x v="7"/>
    <s v="GHYRR_WATER"/>
    <x v="0"/>
    <x v="21"/>
    <n v="892.60223179758896"/>
    <n v="325799.81460612"/>
    <n v="1172879.33258203"/>
  </r>
  <r>
    <x v="0"/>
    <x v="0"/>
    <x v="1"/>
    <x v="2"/>
    <x v="8"/>
    <s v="NO3_A1"/>
    <x v="7"/>
    <s v="GHYRR_WATER"/>
    <x v="0"/>
    <x v="22"/>
    <n v="892.60223179758896"/>
    <n v="325799.81460612"/>
    <n v="1172879.33258203"/>
  </r>
  <r>
    <x v="0"/>
    <x v="0"/>
    <x v="1"/>
    <x v="2"/>
    <x v="8"/>
    <s v="NO3_A1"/>
    <x v="7"/>
    <s v="GHYRR_WATER"/>
    <x v="0"/>
    <x v="23"/>
    <n v="892.60223179758896"/>
    <n v="325799.81460612"/>
    <n v="1172879.33258203"/>
  </r>
  <r>
    <x v="0"/>
    <x v="0"/>
    <x v="1"/>
    <x v="2"/>
    <x v="8"/>
    <s v="NO3_A1"/>
    <x v="8"/>
    <s v="GNR_WT_WIND_ONS"/>
    <x v="0"/>
    <x v="0"/>
    <n v="266.24341144288798"/>
    <n v="97178.845176653995"/>
    <n v="349843.84263595397"/>
  </r>
  <r>
    <x v="0"/>
    <x v="0"/>
    <x v="1"/>
    <x v="2"/>
    <x v="8"/>
    <s v="NO3_A1"/>
    <x v="8"/>
    <s v="GNR_WT_WIND_ONS"/>
    <x v="0"/>
    <x v="1"/>
    <n v="287.23014167541601"/>
    <n v="104839.001711527"/>
    <n v="377420.40616149601"/>
  </r>
  <r>
    <x v="0"/>
    <x v="0"/>
    <x v="1"/>
    <x v="2"/>
    <x v="8"/>
    <s v="NO3_A1"/>
    <x v="8"/>
    <s v="GNR_WT_WIND_ONS"/>
    <x v="0"/>
    <x v="2"/>
    <n v="255.87267417782201"/>
    <n v="93393.526074905007"/>
    <n v="336216.69386965799"/>
  </r>
  <r>
    <x v="0"/>
    <x v="0"/>
    <x v="1"/>
    <x v="2"/>
    <x v="8"/>
    <s v="NO3_A1"/>
    <x v="8"/>
    <s v="GNR_WT_WIND_ONS"/>
    <x v="0"/>
    <x v="3"/>
    <n v="248.32651862732499"/>
    <n v="90639.179298973802"/>
    <n v="326301.045476306"/>
  </r>
  <r>
    <x v="0"/>
    <x v="0"/>
    <x v="1"/>
    <x v="2"/>
    <x v="8"/>
    <s v="NO3_A1"/>
    <x v="8"/>
    <s v="GNR_WT_WIND_ONS"/>
    <x v="0"/>
    <x v="4"/>
    <n v="306.785017315495"/>
    <n v="111976.53132015601"/>
    <n v="403115.51275256102"/>
  </r>
  <r>
    <x v="0"/>
    <x v="0"/>
    <x v="1"/>
    <x v="2"/>
    <x v="8"/>
    <s v="NO3_A1"/>
    <x v="8"/>
    <s v="GNR_WT_WIND_ONS"/>
    <x v="0"/>
    <x v="5"/>
    <n v="297.59307352465601"/>
    <n v="108621.471836499"/>
    <n v="391037.29861139797"/>
  </r>
  <r>
    <x v="0"/>
    <x v="0"/>
    <x v="1"/>
    <x v="2"/>
    <x v="8"/>
    <s v="NO3_A1"/>
    <x v="8"/>
    <s v="GNR_WT_WIND_ONS"/>
    <x v="0"/>
    <x v="6"/>
    <n v="270.32847997094899"/>
    <n v="98669.895189396295"/>
    <n v="355211.62268182699"/>
  </r>
  <r>
    <x v="0"/>
    <x v="0"/>
    <x v="1"/>
    <x v="2"/>
    <x v="8"/>
    <s v="NO3_A1"/>
    <x v="8"/>
    <s v="GNR_WT_WIND_ONS"/>
    <x v="0"/>
    <x v="7"/>
    <n v="247.39185145449099"/>
    <n v="90298.025780889293"/>
    <n v="325072.89281120099"/>
  </r>
  <r>
    <x v="0"/>
    <x v="0"/>
    <x v="1"/>
    <x v="2"/>
    <x v="8"/>
    <s v="NO3_A1"/>
    <x v="8"/>
    <s v="GNR_WT_WIND_ONS"/>
    <x v="0"/>
    <x v="8"/>
    <n v="229.28419026051"/>
    <n v="83688.729445086006"/>
    <n v="301279.42600231001"/>
  </r>
  <r>
    <x v="0"/>
    <x v="0"/>
    <x v="1"/>
    <x v="2"/>
    <x v="8"/>
    <s v="NO3_A1"/>
    <x v="8"/>
    <s v="GNR_WT_WIND_ONS"/>
    <x v="0"/>
    <x v="9"/>
    <n v="165.88192691229099"/>
    <n v="60546.903322986298"/>
    <n v="217968.85196275101"/>
  </r>
  <r>
    <x v="0"/>
    <x v="0"/>
    <x v="1"/>
    <x v="2"/>
    <x v="8"/>
    <s v="NO3_A1"/>
    <x v="8"/>
    <s v="GNR_WT_WIND_ONS"/>
    <x v="0"/>
    <x v="10"/>
    <n v="76.979445356093095"/>
    <n v="28097.497554974001"/>
    <n v="101150.991197906"/>
  </r>
  <r>
    <x v="0"/>
    <x v="0"/>
    <x v="1"/>
    <x v="2"/>
    <x v="8"/>
    <s v="NO3_A1"/>
    <x v="8"/>
    <s v="GNR_WT_WIND_ONS"/>
    <x v="0"/>
    <x v="11"/>
    <n v="66.0064361824722"/>
    <n v="24092.349206602299"/>
    <n v="86732.457143768406"/>
  </r>
  <r>
    <x v="0"/>
    <x v="0"/>
    <x v="1"/>
    <x v="2"/>
    <x v="8"/>
    <s v="NO3_A1"/>
    <x v="8"/>
    <s v="GNR_WT_WIND_ONS"/>
    <x v="0"/>
    <x v="12"/>
    <n v="121.795834027577"/>
    <n v="44455.4794200658"/>
    <n v="160039.72591223699"/>
  </r>
  <r>
    <x v="0"/>
    <x v="0"/>
    <x v="1"/>
    <x v="2"/>
    <x v="8"/>
    <s v="NO3_A1"/>
    <x v="8"/>
    <s v="GNR_WT_WIND_ONS"/>
    <x v="0"/>
    <x v="13"/>
    <n v="250.56202987618201"/>
    <n v="91455.140904806598"/>
    <n v="329238.50725730398"/>
  </r>
  <r>
    <x v="0"/>
    <x v="0"/>
    <x v="1"/>
    <x v="2"/>
    <x v="8"/>
    <s v="NO3_A1"/>
    <x v="8"/>
    <s v="GNR_WT_WIND_ONS"/>
    <x v="0"/>
    <x v="14"/>
    <n v="313.97167197762502"/>
    <n v="114599.660271833"/>
    <n v="412558.77697859902"/>
  </r>
  <r>
    <x v="0"/>
    <x v="0"/>
    <x v="1"/>
    <x v="2"/>
    <x v="8"/>
    <s v="NO3_A1"/>
    <x v="8"/>
    <s v="GNR_WT_WIND_ONS"/>
    <x v="0"/>
    <x v="15"/>
    <n v="331.13731234334801"/>
    <n v="120865.11900532201"/>
    <n v="435114.42841916002"/>
  </r>
  <r>
    <x v="0"/>
    <x v="0"/>
    <x v="1"/>
    <x v="2"/>
    <x v="8"/>
    <s v="NO3_A1"/>
    <x v="8"/>
    <s v="GNR_WT_WIND_ONS"/>
    <x v="0"/>
    <x v="16"/>
    <n v="371.77145380485598"/>
    <n v="135696.58063877301"/>
    <n v="488507.69029958098"/>
  </r>
  <r>
    <x v="0"/>
    <x v="0"/>
    <x v="1"/>
    <x v="2"/>
    <x v="8"/>
    <s v="NO3_A1"/>
    <x v="8"/>
    <s v="GNR_WT_WIND_ONS"/>
    <x v="0"/>
    <x v="17"/>
    <n v="372.08625551127801"/>
    <n v="135811.48326161699"/>
    <n v="488921.33974181901"/>
  </r>
  <r>
    <x v="0"/>
    <x v="0"/>
    <x v="1"/>
    <x v="2"/>
    <x v="8"/>
    <s v="NO3_A1"/>
    <x v="8"/>
    <s v="GNR_WT_WIND_ONS"/>
    <x v="0"/>
    <x v="18"/>
    <n v="378.82561718035601"/>
    <n v="138271.35027083001"/>
    <n v="497776.86097498698"/>
  </r>
  <r>
    <x v="0"/>
    <x v="0"/>
    <x v="1"/>
    <x v="2"/>
    <x v="8"/>
    <s v="NO3_A1"/>
    <x v="8"/>
    <s v="GNR_WT_WIND_ONS"/>
    <x v="0"/>
    <x v="19"/>
    <n v="301.85445409828901"/>
    <n v="110176.87574587599"/>
    <n v="396636.75268515199"/>
  </r>
  <r>
    <x v="0"/>
    <x v="0"/>
    <x v="1"/>
    <x v="2"/>
    <x v="8"/>
    <s v="NO3_A1"/>
    <x v="8"/>
    <s v="GNR_WT_WIND_ONS"/>
    <x v="0"/>
    <x v="20"/>
    <n v="217.81457091667701"/>
    <n v="79502.318384586906"/>
    <n v="286208.34618451301"/>
  </r>
  <r>
    <x v="0"/>
    <x v="0"/>
    <x v="1"/>
    <x v="2"/>
    <x v="8"/>
    <s v="NO3_A1"/>
    <x v="8"/>
    <s v="GNR_WT_WIND_ONS"/>
    <x v="0"/>
    <x v="21"/>
    <n v="162.39729815337901"/>
    <n v="59275.013825983398"/>
    <n v="213390.04977354"/>
  </r>
  <r>
    <x v="0"/>
    <x v="0"/>
    <x v="1"/>
    <x v="2"/>
    <x v="8"/>
    <s v="NO3_A1"/>
    <x v="8"/>
    <s v="GNR_WT_WIND_ONS"/>
    <x v="0"/>
    <x v="22"/>
    <n v="139.208361452703"/>
    <n v="50811.051930236397"/>
    <n v="182919.78694885099"/>
  </r>
  <r>
    <x v="0"/>
    <x v="0"/>
    <x v="1"/>
    <x v="2"/>
    <x v="8"/>
    <s v="NO3_A1"/>
    <x v="8"/>
    <s v="GNR_WT_WIND_ONS"/>
    <x v="0"/>
    <x v="23"/>
    <n v="152.18128882581601"/>
    <n v="55546.170421422699"/>
    <n v="199966.213517122"/>
  </r>
  <r>
    <x v="0"/>
    <x v="0"/>
    <x v="1"/>
    <x v="2"/>
    <x v="8"/>
    <s v="NO3_A2"/>
    <x v="1"/>
    <s v="GHOB_MUNIWASTE"/>
    <x v="0"/>
    <x v="0"/>
    <n v="1.4987338545405999"/>
    <n v="547.037856907319"/>
    <n v="1969.3362848663501"/>
  </r>
  <r>
    <x v="0"/>
    <x v="0"/>
    <x v="1"/>
    <x v="2"/>
    <x v="8"/>
    <s v="NO3_A2"/>
    <x v="1"/>
    <s v="GHOB_MUNIWASTE"/>
    <x v="0"/>
    <x v="1"/>
    <n v="4.5014195989405001"/>
    <n v="1643.01815361328"/>
    <n v="5914.86535300782"/>
  </r>
  <r>
    <x v="0"/>
    <x v="0"/>
    <x v="1"/>
    <x v="2"/>
    <x v="8"/>
    <s v="NO3_A2"/>
    <x v="1"/>
    <s v="GHOB_MUNIWASTE"/>
    <x v="0"/>
    <x v="2"/>
    <n v="7.5466364598571198"/>
    <n v="2754.5223078478498"/>
    <n v="9916.2803082522605"/>
  </r>
  <r>
    <x v="0"/>
    <x v="0"/>
    <x v="1"/>
    <x v="2"/>
    <x v="8"/>
    <s v="NO3_A2"/>
    <x v="1"/>
    <s v="GHOB_MUNIWASTE"/>
    <x v="0"/>
    <x v="3"/>
    <n v="12.092434633184901"/>
    <n v="4413.7386411124799"/>
    <n v="15889.459108004899"/>
  </r>
  <r>
    <x v="0"/>
    <x v="0"/>
    <x v="1"/>
    <x v="2"/>
    <x v="8"/>
    <s v="NO3_A2"/>
    <x v="1"/>
    <s v="GHOB_MUNIWASTE"/>
    <x v="0"/>
    <x v="4"/>
    <n v="20.4954248885347"/>
    <n v="7480.8300843151801"/>
    <n v="26930.988303534701"/>
  </r>
  <r>
    <x v="0"/>
    <x v="0"/>
    <x v="1"/>
    <x v="2"/>
    <x v="8"/>
    <s v="NO3_A2"/>
    <x v="1"/>
    <s v="GHOB_MUNIWASTE"/>
    <x v="0"/>
    <x v="5"/>
    <n v="32.8781232274359"/>
    <n v="12000.5149780141"/>
    <n v="43201.853920850801"/>
  </r>
  <r>
    <x v="0"/>
    <x v="0"/>
    <x v="1"/>
    <x v="2"/>
    <x v="8"/>
    <s v="NO3_A2"/>
    <x v="1"/>
    <s v="GHOB_MUNIWASTE"/>
    <x v="0"/>
    <x v="6"/>
    <n v="55.959413436233199"/>
    <n v="20425.185904225102"/>
    <n v="73530.669255210494"/>
  </r>
  <r>
    <x v="0"/>
    <x v="0"/>
    <x v="1"/>
    <x v="2"/>
    <x v="8"/>
    <s v="NO3_A2"/>
    <x v="1"/>
    <s v="GHOB_MUNIWASTE"/>
    <x v="0"/>
    <x v="7"/>
    <n v="75.138789523770797"/>
    <n v="27425.658176176301"/>
    <n v="98732.369434234803"/>
  </r>
  <r>
    <x v="0"/>
    <x v="0"/>
    <x v="1"/>
    <x v="2"/>
    <x v="8"/>
    <s v="NO3_A2"/>
    <x v="1"/>
    <s v="GHOB_MUNIWASTE"/>
    <x v="0"/>
    <x v="8"/>
    <n v="81.078169065400303"/>
    <n v="29593.531708871102"/>
    <n v="106536.714151936"/>
  </r>
  <r>
    <x v="0"/>
    <x v="0"/>
    <x v="1"/>
    <x v="2"/>
    <x v="8"/>
    <s v="NO3_A2"/>
    <x v="1"/>
    <s v="GHOB_MUNIWASTE"/>
    <x v="0"/>
    <x v="9"/>
    <n v="73.829526746273999"/>
    <n v="26947.777262389998"/>
    <n v="97011.998144604106"/>
  </r>
  <r>
    <x v="0"/>
    <x v="0"/>
    <x v="1"/>
    <x v="2"/>
    <x v="8"/>
    <s v="NO3_A2"/>
    <x v="1"/>
    <s v="GHOB_MUNIWASTE"/>
    <x v="0"/>
    <x v="10"/>
    <n v="62.769501668597798"/>
    <n v="22910.868109038202"/>
    <n v="82479.125192537496"/>
  </r>
  <r>
    <x v="0"/>
    <x v="0"/>
    <x v="1"/>
    <x v="2"/>
    <x v="8"/>
    <s v="NO3_A2"/>
    <x v="1"/>
    <s v="GHOB_MUNIWASTE"/>
    <x v="0"/>
    <x v="11"/>
    <n v="53.289956517760203"/>
    <n v="19450.8341289825"/>
    <n v="70023.002864336901"/>
  </r>
  <r>
    <x v="0"/>
    <x v="0"/>
    <x v="1"/>
    <x v="2"/>
    <x v="8"/>
    <s v="NO3_A2"/>
    <x v="1"/>
    <s v="GHOB_MUNIWASTE"/>
    <x v="0"/>
    <x v="12"/>
    <n v="46.219926255998701"/>
    <n v="16870.273083439501"/>
    <n v="60732.983100382298"/>
  </r>
  <r>
    <x v="0"/>
    <x v="0"/>
    <x v="1"/>
    <x v="2"/>
    <x v="8"/>
    <s v="NO3_A2"/>
    <x v="1"/>
    <s v="GHOB_MUNIWASTE"/>
    <x v="0"/>
    <x v="13"/>
    <n v="41.821758919142297"/>
    <n v="15264.942005487001"/>
    <n v="54953.791219753002"/>
  </r>
  <r>
    <x v="0"/>
    <x v="0"/>
    <x v="1"/>
    <x v="2"/>
    <x v="8"/>
    <s v="NO3_A2"/>
    <x v="1"/>
    <s v="GHOB_MUNIWASTE"/>
    <x v="0"/>
    <x v="14"/>
    <n v="42.631918679476101"/>
    <n v="15560.6503180088"/>
    <n v="56018.341144831502"/>
  </r>
  <r>
    <x v="0"/>
    <x v="0"/>
    <x v="1"/>
    <x v="2"/>
    <x v="8"/>
    <s v="NO3_A2"/>
    <x v="1"/>
    <s v="GHOB_MUNIWASTE"/>
    <x v="0"/>
    <x v="15"/>
    <n v="34.3566143636207"/>
    <n v="12540.164242721599"/>
    <n v="45144.591273797603"/>
  </r>
  <r>
    <x v="0"/>
    <x v="0"/>
    <x v="1"/>
    <x v="2"/>
    <x v="8"/>
    <s v="NO3_A2"/>
    <x v="1"/>
    <s v="GHOB_MUNIWASTE"/>
    <x v="0"/>
    <x v="16"/>
    <n v="26.474633580926501"/>
    <n v="9663.2412570381803"/>
    <n v="34787.668525337504"/>
  </r>
  <r>
    <x v="0"/>
    <x v="0"/>
    <x v="1"/>
    <x v="2"/>
    <x v="8"/>
    <s v="NO3_A2"/>
    <x v="1"/>
    <s v="GHOB_MUNIWASTE"/>
    <x v="0"/>
    <x v="17"/>
    <n v="21.432667881551801"/>
    <n v="7822.9237767663999"/>
    <n v="28162.525596358999"/>
  </r>
  <r>
    <x v="0"/>
    <x v="0"/>
    <x v="1"/>
    <x v="2"/>
    <x v="8"/>
    <s v="NO3_A2"/>
    <x v="1"/>
    <s v="GHOB_MUNIWASTE"/>
    <x v="0"/>
    <x v="18"/>
    <n v="16.841713726830601"/>
    <n v="6147.2255102931804"/>
    <n v="22130.011837055401"/>
  </r>
  <r>
    <x v="0"/>
    <x v="0"/>
    <x v="1"/>
    <x v="2"/>
    <x v="8"/>
    <s v="NO3_A2"/>
    <x v="1"/>
    <s v="GHOB_MUNIWASTE"/>
    <x v="0"/>
    <x v="19"/>
    <n v="15.5217854348006"/>
    <n v="5665.4516837022202"/>
    <n v="20395.626061327999"/>
  </r>
  <r>
    <x v="0"/>
    <x v="0"/>
    <x v="1"/>
    <x v="2"/>
    <x v="8"/>
    <s v="NO3_A2"/>
    <x v="1"/>
    <s v="GHOB_MUNIWASTE"/>
    <x v="0"/>
    <x v="20"/>
    <n v="11.665237784708999"/>
    <n v="4257.8117914187897"/>
    <n v="15328.122449107599"/>
  </r>
  <r>
    <x v="0"/>
    <x v="0"/>
    <x v="1"/>
    <x v="2"/>
    <x v="8"/>
    <s v="NO3_A2"/>
    <x v="1"/>
    <s v="GHOB_MUNIWASTE"/>
    <x v="0"/>
    <x v="21"/>
    <n v="5.7879976941377"/>
    <n v="2112.6191583602599"/>
    <n v="7605.4289700969302"/>
  </r>
  <r>
    <x v="0"/>
    <x v="0"/>
    <x v="1"/>
    <x v="2"/>
    <x v="9"/>
    <s v="NO4_A1"/>
    <x v="6"/>
    <s v="GNR_PV_SUN_LS-4-MW_Y-2020"/>
    <x v="0"/>
    <x v="0"/>
    <n v="878.07168533073298"/>
    <n v="320496.16514571698"/>
    <n v="1153786.1945245799"/>
  </r>
  <r>
    <x v="0"/>
    <x v="0"/>
    <x v="1"/>
    <x v="2"/>
    <x v="9"/>
    <s v="NO4_A1"/>
    <x v="6"/>
    <s v="GNR_PV_SUN_LS-4-MW_Y-2020"/>
    <x v="0"/>
    <x v="1"/>
    <n v="430.92332558084701"/>
    <n v="157287.013837009"/>
    <n v="566233.24981323304"/>
  </r>
  <r>
    <x v="0"/>
    <x v="0"/>
    <x v="1"/>
    <x v="2"/>
    <x v="9"/>
    <s v="NO4_A1"/>
    <x v="6"/>
    <s v="GNR_PV_SUN_LS-4-MW_Y-2020"/>
    <x v="0"/>
    <x v="2"/>
    <n v="445.743293756105"/>
    <n v="162696.30222097799"/>
    <n v="585706.68799552298"/>
  </r>
  <r>
    <x v="0"/>
    <x v="0"/>
    <x v="1"/>
    <x v="2"/>
    <x v="9"/>
    <s v="NO4_A1"/>
    <x v="6"/>
    <s v="GNR_PV_SUN_LS-4-MW_Y-2020"/>
    <x v="0"/>
    <x v="3"/>
    <n v="701.00149658731198"/>
    <n v="255865.54625436899"/>
    <n v="921115.96651572804"/>
  </r>
  <r>
    <x v="0"/>
    <x v="0"/>
    <x v="1"/>
    <x v="2"/>
    <x v="9"/>
    <s v="NO4_A1"/>
    <x v="6"/>
    <s v="GNR_PV_SUN_LS-4-MW_Y-2020"/>
    <x v="0"/>
    <x v="4"/>
    <n v="809.76467670552199"/>
    <n v="295564.10699751601"/>
    <n v="1064030.78519106"/>
  </r>
  <r>
    <x v="0"/>
    <x v="0"/>
    <x v="1"/>
    <x v="2"/>
    <x v="9"/>
    <s v="NO4_A1"/>
    <x v="6"/>
    <s v="GNR_PV_SUN_LS-4-MW_Y-2020"/>
    <x v="0"/>
    <x v="5"/>
    <n v="911.09294243648901"/>
    <n v="332548.92398931802"/>
    <n v="1197176.1263615501"/>
  </r>
  <r>
    <x v="0"/>
    <x v="0"/>
    <x v="1"/>
    <x v="2"/>
    <x v="9"/>
    <s v="NO4_A1"/>
    <x v="6"/>
    <s v="GNR_PV_SUN_LS-4-MW_Y-2020"/>
    <x v="0"/>
    <x v="6"/>
    <n v="1340.3086993209499"/>
    <n v="489212.67525214702"/>
    <n v="1761165.63090773"/>
  </r>
  <r>
    <x v="0"/>
    <x v="0"/>
    <x v="1"/>
    <x v="2"/>
    <x v="9"/>
    <s v="NO4_A1"/>
    <x v="6"/>
    <s v="GNR_PV_SUN_LS-4-MW_Y-2020"/>
    <x v="0"/>
    <x v="7"/>
    <n v="1631.8241763594999"/>
    <n v="595615.82437121798"/>
    <n v="2144216.9677363802"/>
  </r>
  <r>
    <x v="0"/>
    <x v="0"/>
    <x v="1"/>
    <x v="2"/>
    <x v="9"/>
    <s v="NO4_A1"/>
    <x v="6"/>
    <s v="GNR_PV_SUN_LS-4-MW_Y-2020"/>
    <x v="0"/>
    <x v="8"/>
    <n v="1613.96092787261"/>
    <n v="589095.738673502"/>
    <n v="2120744.6592246098"/>
  </r>
  <r>
    <x v="0"/>
    <x v="0"/>
    <x v="1"/>
    <x v="2"/>
    <x v="9"/>
    <s v="NO4_A1"/>
    <x v="6"/>
    <s v="GNR_PV_SUN_LS-4-MW_Y-2020"/>
    <x v="0"/>
    <x v="9"/>
    <n v="1458.2150550353399"/>
    <n v="532248.49508789903"/>
    <n v="1916094.5823164401"/>
  </r>
  <r>
    <x v="0"/>
    <x v="0"/>
    <x v="1"/>
    <x v="2"/>
    <x v="9"/>
    <s v="NO4_A1"/>
    <x v="6"/>
    <s v="GNR_PV_SUN_LS-4-MW_Y-2020"/>
    <x v="0"/>
    <x v="10"/>
    <n v="1402.2242601790399"/>
    <n v="511811.85496535001"/>
    <n v="1842522.6778752599"/>
  </r>
  <r>
    <x v="0"/>
    <x v="0"/>
    <x v="1"/>
    <x v="2"/>
    <x v="9"/>
    <s v="NO4_A1"/>
    <x v="6"/>
    <s v="GNR_PV_SUN_LS-4-MW_Y-2020"/>
    <x v="0"/>
    <x v="11"/>
    <n v="1423.9485607315"/>
    <n v="519741.22466699599"/>
    <n v="1871068.4088011901"/>
  </r>
  <r>
    <x v="0"/>
    <x v="0"/>
    <x v="1"/>
    <x v="2"/>
    <x v="9"/>
    <s v="NO4_A1"/>
    <x v="6"/>
    <s v="GNR_PV_SUN_LS-4-MW_Y-2020"/>
    <x v="0"/>
    <x v="12"/>
    <n v="1310.7759150602101"/>
    <n v="478433.20899697702"/>
    <n v="1722359.55238912"/>
  </r>
  <r>
    <x v="0"/>
    <x v="0"/>
    <x v="1"/>
    <x v="2"/>
    <x v="9"/>
    <s v="NO4_A1"/>
    <x v="6"/>
    <s v="GNR_PV_SUN_LS-4-MW_Y-2020"/>
    <x v="0"/>
    <x v="13"/>
    <n v="1246.7883161808099"/>
    <n v="455077.73540599702"/>
    <n v="1638279.8474615901"/>
  </r>
  <r>
    <x v="0"/>
    <x v="0"/>
    <x v="1"/>
    <x v="2"/>
    <x v="9"/>
    <s v="NO4_A1"/>
    <x v="6"/>
    <s v="GNR_PV_SUN_LS-4-MW_Y-2020"/>
    <x v="0"/>
    <x v="14"/>
    <n v="1050.74803403805"/>
    <n v="383523.03242388699"/>
    <n v="1380682.9167259899"/>
  </r>
  <r>
    <x v="0"/>
    <x v="0"/>
    <x v="1"/>
    <x v="2"/>
    <x v="9"/>
    <s v="NO4_A1"/>
    <x v="6"/>
    <s v="GNR_PV_SUN_LS-4-MW_Y-2020"/>
    <x v="0"/>
    <x v="15"/>
    <n v="1044.1512515966499"/>
    <n v="381115.20683277899"/>
    <n v="1372014.7445980001"/>
  </r>
  <r>
    <x v="0"/>
    <x v="0"/>
    <x v="1"/>
    <x v="2"/>
    <x v="9"/>
    <s v="NO4_A1"/>
    <x v="6"/>
    <s v="GNR_PV_SUN_LS-4-MW_Y-2020"/>
    <x v="0"/>
    <x v="16"/>
    <n v="833.81928373278004"/>
    <n v="304344.03856246499"/>
    <n v="1095638.53882487"/>
  </r>
  <r>
    <x v="0"/>
    <x v="0"/>
    <x v="1"/>
    <x v="2"/>
    <x v="9"/>
    <s v="NO4_A1"/>
    <x v="6"/>
    <s v="GNR_PV_SUN_LS-4-MW_Y-2020"/>
    <x v="0"/>
    <x v="17"/>
    <n v="836.98422829949095"/>
    <n v="305499.24332931399"/>
    <n v="1099797.2759855301"/>
  </r>
  <r>
    <x v="0"/>
    <x v="0"/>
    <x v="1"/>
    <x v="2"/>
    <x v="9"/>
    <s v="NO4_A1"/>
    <x v="6"/>
    <s v="GNR_PV_SUN_LS-4-MW_Y-2020"/>
    <x v="0"/>
    <x v="18"/>
    <n v="920.53017253087103"/>
    <n v="335993.512973768"/>
    <n v="1209576.6467055599"/>
  </r>
  <r>
    <x v="0"/>
    <x v="0"/>
    <x v="1"/>
    <x v="2"/>
    <x v="9"/>
    <s v="NO4_A1"/>
    <x v="6"/>
    <s v="GNR_PV_SUN_LS-4-MW_Y-2020"/>
    <x v="0"/>
    <x v="19"/>
    <n v="1289.6845100406799"/>
    <n v="470734.84616484802"/>
    <n v="1694645.4461934499"/>
  </r>
  <r>
    <x v="0"/>
    <x v="0"/>
    <x v="1"/>
    <x v="2"/>
    <x v="9"/>
    <s v="NO4_A1"/>
    <x v="6"/>
    <s v="GNR_PV_SUN_LS-4-MW_Y-2020"/>
    <x v="0"/>
    <x v="20"/>
    <n v="1292.85156067352"/>
    <n v="471890.81964583503"/>
    <n v="1698806.9507250099"/>
  </r>
  <r>
    <x v="0"/>
    <x v="0"/>
    <x v="1"/>
    <x v="2"/>
    <x v="9"/>
    <s v="NO4_A1"/>
    <x v="6"/>
    <s v="GNR_PV_SUN_LS-4-MW_Y-2020"/>
    <x v="0"/>
    <x v="21"/>
    <n v="1347.0794878095301"/>
    <n v="491684.013050479"/>
    <n v="1770062.4469817199"/>
  </r>
  <r>
    <x v="0"/>
    <x v="0"/>
    <x v="1"/>
    <x v="2"/>
    <x v="9"/>
    <s v="NO4_A1"/>
    <x v="6"/>
    <s v="GNR_PV_SUN_LS-4-MW_Y-2020"/>
    <x v="0"/>
    <x v="22"/>
    <n v="1413.2771388696999"/>
    <n v="515846.15568743902"/>
    <n v="1857046.16047478"/>
  </r>
  <r>
    <x v="0"/>
    <x v="0"/>
    <x v="1"/>
    <x v="2"/>
    <x v="9"/>
    <s v="NO4_A1"/>
    <x v="6"/>
    <s v="GNR_PV_SUN_LS-4-MW_Y-2020"/>
    <x v="0"/>
    <x v="23"/>
    <n v="1378.9086421878301"/>
    <n v="503301.65439855901"/>
    <n v="1811885.9558348099"/>
  </r>
  <r>
    <x v="0"/>
    <x v="0"/>
    <x v="1"/>
    <x v="2"/>
    <x v="9"/>
    <s v="NO4_A1"/>
    <x v="7"/>
    <s v="GHYRR_WATER"/>
    <x v="0"/>
    <x v="0"/>
    <n v="678.81173238359804"/>
    <n v="247766.28232001301"/>
    <n v="891958.616352048"/>
  </r>
  <r>
    <x v="0"/>
    <x v="0"/>
    <x v="1"/>
    <x v="2"/>
    <x v="9"/>
    <s v="NO4_A1"/>
    <x v="7"/>
    <s v="GHYRR_WATER"/>
    <x v="0"/>
    <x v="1"/>
    <n v="678.81173238359804"/>
    <n v="247766.28232001301"/>
    <n v="891958.616352048"/>
  </r>
  <r>
    <x v="0"/>
    <x v="0"/>
    <x v="1"/>
    <x v="2"/>
    <x v="9"/>
    <s v="NO4_A1"/>
    <x v="7"/>
    <s v="GHYRR_WATER"/>
    <x v="0"/>
    <x v="2"/>
    <n v="678.81173238359804"/>
    <n v="247766.28232001301"/>
    <n v="891958.616352048"/>
  </r>
  <r>
    <x v="0"/>
    <x v="0"/>
    <x v="1"/>
    <x v="2"/>
    <x v="9"/>
    <s v="NO4_A1"/>
    <x v="7"/>
    <s v="GHYRR_WATER"/>
    <x v="0"/>
    <x v="3"/>
    <n v="678.81173238359804"/>
    <n v="247766.28232001301"/>
    <n v="891958.616352048"/>
  </r>
  <r>
    <x v="0"/>
    <x v="0"/>
    <x v="1"/>
    <x v="2"/>
    <x v="9"/>
    <s v="NO4_A1"/>
    <x v="7"/>
    <s v="GHYRR_WATER"/>
    <x v="0"/>
    <x v="4"/>
    <n v="678.81173238359804"/>
    <n v="247766.28232001301"/>
    <n v="891958.616352048"/>
  </r>
  <r>
    <x v="0"/>
    <x v="0"/>
    <x v="1"/>
    <x v="2"/>
    <x v="9"/>
    <s v="NO4_A1"/>
    <x v="7"/>
    <s v="GHYRR_WATER"/>
    <x v="0"/>
    <x v="5"/>
    <n v="678.81173238359804"/>
    <n v="247766.28232001301"/>
    <n v="891958.616352048"/>
  </r>
  <r>
    <x v="0"/>
    <x v="0"/>
    <x v="1"/>
    <x v="2"/>
    <x v="9"/>
    <s v="NO4_A1"/>
    <x v="7"/>
    <s v="GHYRR_WATER"/>
    <x v="0"/>
    <x v="6"/>
    <n v="678.81173238359804"/>
    <n v="247766.28232001301"/>
    <n v="891958.616352048"/>
  </r>
  <r>
    <x v="0"/>
    <x v="0"/>
    <x v="1"/>
    <x v="2"/>
    <x v="9"/>
    <s v="NO4_A1"/>
    <x v="7"/>
    <s v="GHYRR_WATER"/>
    <x v="0"/>
    <x v="7"/>
    <n v="678.81173238359804"/>
    <n v="247766.28232001301"/>
    <n v="891958.616352048"/>
  </r>
  <r>
    <x v="0"/>
    <x v="0"/>
    <x v="1"/>
    <x v="2"/>
    <x v="9"/>
    <s v="NO4_A1"/>
    <x v="7"/>
    <s v="GHYRR_WATER"/>
    <x v="0"/>
    <x v="8"/>
    <n v="678.81173238359804"/>
    <n v="247766.28232001301"/>
    <n v="891958.616352048"/>
  </r>
  <r>
    <x v="0"/>
    <x v="0"/>
    <x v="1"/>
    <x v="2"/>
    <x v="9"/>
    <s v="NO4_A1"/>
    <x v="7"/>
    <s v="GHYRR_WATER"/>
    <x v="0"/>
    <x v="9"/>
    <n v="678.81173238359804"/>
    <n v="247766.28232001301"/>
    <n v="891958.616352048"/>
  </r>
  <r>
    <x v="0"/>
    <x v="0"/>
    <x v="1"/>
    <x v="2"/>
    <x v="9"/>
    <s v="NO4_A1"/>
    <x v="7"/>
    <s v="GHYRR_WATER"/>
    <x v="0"/>
    <x v="10"/>
    <n v="678.81173238359804"/>
    <n v="247766.28232001301"/>
    <n v="891958.616352048"/>
  </r>
  <r>
    <x v="0"/>
    <x v="0"/>
    <x v="1"/>
    <x v="2"/>
    <x v="9"/>
    <s v="NO4_A1"/>
    <x v="7"/>
    <s v="GHYRR_WATER"/>
    <x v="0"/>
    <x v="11"/>
    <n v="678.81173238359804"/>
    <n v="247766.28232001301"/>
    <n v="891958.616352048"/>
  </r>
  <r>
    <x v="0"/>
    <x v="0"/>
    <x v="1"/>
    <x v="2"/>
    <x v="9"/>
    <s v="NO4_A1"/>
    <x v="7"/>
    <s v="GHYRR_WATER"/>
    <x v="0"/>
    <x v="12"/>
    <n v="678.81173238359804"/>
    <n v="247766.28232001301"/>
    <n v="891958.616352048"/>
  </r>
  <r>
    <x v="0"/>
    <x v="0"/>
    <x v="1"/>
    <x v="2"/>
    <x v="9"/>
    <s v="NO4_A1"/>
    <x v="7"/>
    <s v="GHYRR_WATER"/>
    <x v="0"/>
    <x v="13"/>
    <n v="678.81173238359804"/>
    <n v="247766.28232001301"/>
    <n v="891958.616352048"/>
  </r>
  <r>
    <x v="0"/>
    <x v="0"/>
    <x v="1"/>
    <x v="2"/>
    <x v="9"/>
    <s v="NO4_A1"/>
    <x v="7"/>
    <s v="GHYRR_WATER"/>
    <x v="0"/>
    <x v="14"/>
    <n v="678.81173238359804"/>
    <n v="247766.28232001301"/>
    <n v="891958.616352048"/>
  </r>
  <r>
    <x v="0"/>
    <x v="0"/>
    <x v="1"/>
    <x v="2"/>
    <x v="9"/>
    <s v="NO4_A1"/>
    <x v="7"/>
    <s v="GHYRR_WATER"/>
    <x v="0"/>
    <x v="15"/>
    <n v="678.81173238359804"/>
    <n v="247766.28232001301"/>
    <n v="891958.616352048"/>
  </r>
  <r>
    <x v="0"/>
    <x v="0"/>
    <x v="1"/>
    <x v="2"/>
    <x v="9"/>
    <s v="NO4_A1"/>
    <x v="7"/>
    <s v="GHYRR_WATER"/>
    <x v="0"/>
    <x v="16"/>
    <n v="678.81173238359804"/>
    <n v="247766.28232001301"/>
    <n v="891958.616352048"/>
  </r>
  <r>
    <x v="0"/>
    <x v="0"/>
    <x v="1"/>
    <x v="2"/>
    <x v="9"/>
    <s v="NO4_A1"/>
    <x v="7"/>
    <s v="GHYRR_WATER"/>
    <x v="0"/>
    <x v="17"/>
    <n v="678.81173238359804"/>
    <n v="247766.28232001301"/>
    <n v="891958.616352048"/>
  </r>
  <r>
    <x v="0"/>
    <x v="0"/>
    <x v="1"/>
    <x v="2"/>
    <x v="9"/>
    <s v="NO4_A1"/>
    <x v="7"/>
    <s v="GHYRR_WATER"/>
    <x v="0"/>
    <x v="18"/>
    <n v="678.81173238359804"/>
    <n v="247766.28232001301"/>
    <n v="891958.616352048"/>
  </r>
  <r>
    <x v="0"/>
    <x v="0"/>
    <x v="1"/>
    <x v="2"/>
    <x v="9"/>
    <s v="NO4_A1"/>
    <x v="7"/>
    <s v="GHYRR_WATER"/>
    <x v="0"/>
    <x v="19"/>
    <n v="678.81173238359804"/>
    <n v="247766.28232001301"/>
    <n v="891958.616352048"/>
  </r>
  <r>
    <x v="0"/>
    <x v="0"/>
    <x v="1"/>
    <x v="2"/>
    <x v="9"/>
    <s v="NO4_A1"/>
    <x v="7"/>
    <s v="GHYRR_WATER"/>
    <x v="0"/>
    <x v="20"/>
    <n v="678.81173238359804"/>
    <n v="247766.28232001301"/>
    <n v="891958.616352048"/>
  </r>
  <r>
    <x v="0"/>
    <x v="0"/>
    <x v="1"/>
    <x v="2"/>
    <x v="9"/>
    <s v="NO4_A1"/>
    <x v="7"/>
    <s v="GHYRR_WATER"/>
    <x v="0"/>
    <x v="21"/>
    <n v="678.81173238359804"/>
    <n v="247766.28232001301"/>
    <n v="891958.616352048"/>
  </r>
  <r>
    <x v="0"/>
    <x v="0"/>
    <x v="1"/>
    <x v="2"/>
    <x v="9"/>
    <s v="NO4_A1"/>
    <x v="7"/>
    <s v="GHYRR_WATER"/>
    <x v="0"/>
    <x v="22"/>
    <n v="678.81173238359804"/>
    <n v="247766.28232001301"/>
    <n v="891958.616352048"/>
  </r>
  <r>
    <x v="0"/>
    <x v="0"/>
    <x v="1"/>
    <x v="2"/>
    <x v="9"/>
    <s v="NO4_A1"/>
    <x v="7"/>
    <s v="GHYRR_WATER"/>
    <x v="0"/>
    <x v="23"/>
    <n v="678.81173238359804"/>
    <n v="247766.28232001301"/>
    <n v="891958.616352048"/>
  </r>
  <r>
    <x v="0"/>
    <x v="0"/>
    <x v="1"/>
    <x v="2"/>
    <x v="9"/>
    <s v="NO4_A1"/>
    <x v="8"/>
    <s v="GNR_WT_WIND_ONS"/>
    <x v="0"/>
    <x v="0"/>
    <n v="488.15692848532399"/>
    <n v="178177.278897143"/>
    <n v="641438.20402971597"/>
  </r>
  <r>
    <x v="0"/>
    <x v="0"/>
    <x v="1"/>
    <x v="2"/>
    <x v="9"/>
    <s v="NO4_A1"/>
    <x v="8"/>
    <s v="GNR_WT_WIND_ONS"/>
    <x v="0"/>
    <x v="1"/>
    <n v="396.76317143502501"/>
    <n v="144818.557573784"/>
    <n v="521346.80726562301"/>
  </r>
  <r>
    <x v="0"/>
    <x v="0"/>
    <x v="1"/>
    <x v="2"/>
    <x v="9"/>
    <s v="NO4_A1"/>
    <x v="8"/>
    <s v="GNR_WT_WIND_ONS"/>
    <x v="0"/>
    <x v="2"/>
    <n v="368.438219841467"/>
    <n v="134479.950242135"/>
    <n v="484127.82087168802"/>
  </r>
  <r>
    <x v="0"/>
    <x v="0"/>
    <x v="1"/>
    <x v="2"/>
    <x v="9"/>
    <s v="NO4_A1"/>
    <x v="8"/>
    <s v="GNR_WT_WIND_ONS"/>
    <x v="0"/>
    <x v="3"/>
    <n v="350.44919150044802"/>
    <n v="127913.95489766401"/>
    <n v="460490.237631589"/>
  </r>
  <r>
    <x v="0"/>
    <x v="0"/>
    <x v="1"/>
    <x v="2"/>
    <x v="9"/>
    <s v="NO4_A1"/>
    <x v="8"/>
    <s v="GNR_WT_WIND_ONS"/>
    <x v="0"/>
    <x v="4"/>
    <n v="216.663485050492"/>
    <n v="79082.1720434296"/>
    <n v="284695.81935634703"/>
  </r>
  <r>
    <x v="0"/>
    <x v="0"/>
    <x v="1"/>
    <x v="2"/>
    <x v="9"/>
    <s v="NO4_A1"/>
    <x v="8"/>
    <s v="GNR_WT_WIND_ONS"/>
    <x v="0"/>
    <x v="5"/>
    <n v="251.429831478387"/>
    <n v="91771.888489611301"/>
    <n v="330378.79856260098"/>
  </r>
  <r>
    <x v="0"/>
    <x v="0"/>
    <x v="1"/>
    <x v="2"/>
    <x v="9"/>
    <s v="NO4_A1"/>
    <x v="8"/>
    <s v="GNR_WT_WIND_ONS"/>
    <x v="0"/>
    <x v="6"/>
    <n v="72.168466562121296"/>
    <n v="26341.490295174299"/>
    <n v="94829.365062627403"/>
  </r>
  <r>
    <x v="0"/>
    <x v="0"/>
    <x v="1"/>
    <x v="2"/>
    <x v="9"/>
    <s v="NO4_A1"/>
    <x v="8"/>
    <s v="GNR_WT_WIND_ONS"/>
    <x v="0"/>
    <x v="7"/>
    <n v="51.771547786597203"/>
    <n v="18896.614942108001"/>
    <n v="68027.813791588705"/>
  </r>
  <r>
    <x v="0"/>
    <x v="0"/>
    <x v="1"/>
    <x v="2"/>
    <x v="9"/>
    <s v="NO4_A1"/>
    <x v="8"/>
    <s v="GNR_WT_WIND_ONS"/>
    <x v="0"/>
    <x v="8"/>
    <n v="85.069063037259994"/>
    <n v="31050.2080085999"/>
    <n v="111780.74883096"/>
  </r>
  <r>
    <x v="0"/>
    <x v="0"/>
    <x v="1"/>
    <x v="2"/>
    <x v="9"/>
    <s v="NO4_A1"/>
    <x v="8"/>
    <s v="GNR_WT_WIND_ONS"/>
    <x v="0"/>
    <x v="9"/>
    <n v="187.759643874067"/>
    <n v="68532.270014034293"/>
    <n v="246716.17205052401"/>
  </r>
  <r>
    <x v="0"/>
    <x v="0"/>
    <x v="1"/>
    <x v="2"/>
    <x v="9"/>
    <s v="NO4_A1"/>
    <x v="8"/>
    <s v="GNR_WT_WIND_ONS"/>
    <x v="0"/>
    <x v="10"/>
    <n v="200.34156345725799"/>
    <n v="73124.670661899305"/>
    <n v="263248.81438283698"/>
  </r>
  <r>
    <x v="0"/>
    <x v="0"/>
    <x v="1"/>
    <x v="2"/>
    <x v="9"/>
    <s v="NO4_A1"/>
    <x v="8"/>
    <s v="GNR_WT_WIND_ONS"/>
    <x v="0"/>
    <x v="11"/>
    <n v="133.27910428622599"/>
    <n v="48646.873064472602"/>
    <n v="175128.74303210099"/>
  </r>
  <r>
    <x v="0"/>
    <x v="0"/>
    <x v="1"/>
    <x v="2"/>
    <x v="9"/>
    <s v="NO4_A1"/>
    <x v="8"/>
    <s v="GNR_WT_WIND_ONS"/>
    <x v="0"/>
    <x v="12"/>
    <n v="133.58867424743499"/>
    <n v="48759.866100313899"/>
    <n v="175535.51796113001"/>
  </r>
  <r>
    <x v="0"/>
    <x v="0"/>
    <x v="1"/>
    <x v="2"/>
    <x v="9"/>
    <s v="NO4_A1"/>
    <x v="8"/>
    <s v="GNR_WT_WIND_ONS"/>
    <x v="0"/>
    <x v="13"/>
    <n v="223.62159829069799"/>
    <n v="81621.883376104699"/>
    <n v="293838.78015397699"/>
  </r>
  <r>
    <x v="0"/>
    <x v="0"/>
    <x v="1"/>
    <x v="2"/>
    <x v="9"/>
    <s v="NO4_A1"/>
    <x v="8"/>
    <s v="GNR_WT_WIND_ONS"/>
    <x v="0"/>
    <x v="14"/>
    <n v="379.14693017856598"/>
    <n v="138388.62951517699"/>
    <n v="498199.06625463598"/>
  </r>
  <r>
    <x v="0"/>
    <x v="0"/>
    <x v="1"/>
    <x v="2"/>
    <x v="9"/>
    <s v="NO4_A1"/>
    <x v="8"/>
    <s v="GNR_WT_WIND_ONS"/>
    <x v="0"/>
    <x v="15"/>
    <n v="367.48995096457901"/>
    <n v="134133.832102071"/>
    <n v="482881.79556745599"/>
  </r>
  <r>
    <x v="0"/>
    <x v="0"/>
    <x v="1"/>
    <x v="2"/>
    <x v="9"/>
    <s v="NO4_A1"/>
    <x v="8"/>
    <s v="GNR_WT_WIND_ONS"/>
    <x v="0"/>
    <x v="16"/>
    <n v="364.42564732043201"/>
    <n v="133015.36127195801"/>
    <n v="478855.30057904701"/>
  </r>
  <r>
    <x v="0"/>
    <x v="0"/>
    <x v="1"/>
    <x v="2"/>
    <x v="9"/>
    <s v="NO4_A1"/>
    <x v="8"/>
    <s v="GNR_WT_WIND_ONS"/>
    <x v="0"/>
    <x v="17"/>
    <n v="327.96155492907599"/>
    <n v="119705.967549113"/>
    <n v="430941.48317680601"/>
  </r>
  <r>
    <x v="0"/>
    <x v="0"/>
    <x v="1"/>
    <x v="2"/>
    <x v="9"/>
    <s v="NO4_A1"/>
    <x v="8"/>
    <s v="GNR_WT_WIND_ONS"/>
    <x v="0"/>
    <x v="18"/>
    <n v="335.081677543713"/>
    <n v="122304.81230345499"/>
    <n v="440297.32429243898"/>
  </r>
  <r>
    <x v="0"/>
    <x v="0"/>
    <x v="1"/>
    <x v="2"/>
    <x v="9"/>
    <s v="NO4_A1"/>
    <x v="8"/>
    <s v="GNR_WT_WIND_ONS"/>
    <x v="0"/>
    <x v="19"/>
    <n v="294.55312181364201"/>
    <n v="107511.88946197899"/>
    <n v="387042.802063126"/>
  </r>
  <r>
    <x v="0"/>
    <x v="0"/>
    <x v="1"/>
    <x v="2"/>
    <x v="9"/>
    <s v="NO4_A1"/>
    <x v="8"/>
    <s v="GNR_WT_WIND_ONS"/>
    <x v="0"/>
    <x v="20"/>
    <n v="275.00561407256203"/>
    <n v="100377.049136485"/>
    <n v="361357.376891347"/>
  </r>
  <r>
    <x v="0"/>
    <x v="0"/>
    <x v="1"/>
    <x v="2"/>
    <x v="9"/>
    <s v="NO4_A1"/>
    <x v="8"/>
    <s v="GNR_WT_WIND_ONS"/>
    <x v="0"/>
    <x v="21"/>
    <n v="194.713910444422"/>
    <n v="71070.577312213907"/>
    <n v="255854.07832397"/>
  </r>
  <r>
    <x v="0"/>
    <x v="0"/>
    <x v="1"/>
    <x v="2"/>
    <x v="9"/>
    <s v="NO4_A1"/>
    <x v="8"/>
    <s v="GNR_WT_WIND_ONS"/>
    <x v="0"/>
    <x v="22"/>
    <n v="106.32950091133399"/>
    <n v="38810.267832637001"/>
    <n v="139716.96419749301"/>
  </r>
  <r>
    <x v="0"/>
    <x v="0"/>
    <x v="1"/>
    <x v="2"/>
    <x v="9"/>
    <s v="NO4_A1"/>
    <x v="8"/>
    <s v="GNR_WT_WIND_ONS"/>
    <x v="0"/>
    <x v="23"/>
    <n v="29.764205228593202"/>
    <n v="10863.9349084365"/>
    <n v="39110.165670371498"/>
  </r>
  <r>
    <x v="0"/>
    <x v="0"/>
    <x v="1"/>
    <x v="2"/>
    <x v="10"/>
    <s v="NO5_A1"/>
    <x v="6"/>
    <s v="GNR_PV_SUN_LS-4-MW_Y-2020"/>
    <x v="0"/>
    <x v="0"/>
    <n v="1129.9476897578299"/>
    <n v="412430.90676160803"/>
    <n v="1484751.26434179"/>
  </r>
  <r>
    <x v="0"/>
    <x v="0"/>
    <x v="1"/>
    <x v="2"/>
    <x v="10"/>
    <s v="NO5_A1"/>
    <x v="6"/>
    <s v="GNR_PV_SUN_LS-4-MW_Y-2020"/>
    <x v="0"/>
    <x v="1"/>
    <n v="1093.60105745428"/>
    <n v="399164.385970812"/>
    <n v="1436991.7894949201"/>
  </r>
  <r>
    <x v="0"/>
    <x v="0"/>
    <x v="1"/>
    <x v="2"/>
    <x v="10"/>
    <s v="NO5_A1"/>
    <x v="6"/>
    <s v="GNR_PV_SUN_LS-4-MW_Y-2020"/>
    <x v="0"/>
    <x v="2"/>
    <n v="1090.68869140486"/>
    <n v="398101.37236277398"/>
    <n v="1433164.9405059901"/>
  </r>
  <r>
    <x v="0"/>
    <x v="0"/>
    <x v="1"/>
    <x v="2"/>
    <x v="10"/>
    <s v="NO5_A1"/>
    <x v="6"/>
    <s v="GNR_PV_SUN_LS-4-MW_Y-2020"/>
    <x v="0"/>
    <x v="3"/>
    <n v="1118.5963879538699"/>
    <n v="408287.68160316302"/>
    <n v="1469835.65377139"/>
  </r>
  <r>
    <x v="0"/>
    <x v="0"/>
    <x v="1"/>
    <x v="2"/>
    <x v="10"/>
    <s v="NO5_A1"/>
    <x v="6"/>
    <s v="GNR_PV_SUN_LS-4-MW_Y-2020"/>
    <x v="0"/>
    <x v="4"/>
    <n v="1140.4935878083299"/>
    <n v="416280.15955004102"/>
    <n v="1498608.5743801501"/>
  </r>
  <r>
    <x v="0"/>
    <x v="0"/>
    <x v="1"/>
    <x v="2"/>
    <x v="10"/>
    <s v="NO5_A1"/>
    <x v="6"/>
    <s v="GNR_PV_SUN_LS-4-MW_Y-2020"/>
    <x v="0"/>
    <x v="5"/>
    <n v="1167.04188021614"/>
    <n v="425970.28627889103"/>
    <n v="1533493.03060401"/>
  </r>
  <r>
    <x v="0"/>
    <x v="0"/>
    <x v="1"/>
    <x v="2"/>
    <x v="10"/>
    <s v="NO5_A1"/>
    <x v="6"/>
    <s v="GNR_PV_SUN_LS-4-MW_Y-2020"/>
    <x v="0"/>
    <x v="6"/>
    <n v="1302.7591297605099"/>
    <n v="475507.08236258599"/>
    <n v="1711825.4965053101"/>
  </r>
  <r>
    <x v="0"/>
    <x v="0"/>
    <x v="1"/>
    <x v="2"/>
    <x v="10"/>
    <s v="NO5_A1"/>
    <x v="6"/>
    <s v="GNR_PV_SUN_LS-4-MW_Y-2020"/>
    <x v="0"/>
    <x v="7"/>
    <n v="1463.45726469071"/>
    <n v="534161.90161210904"/>
    <n v="1922982.84580359"/>
  </r>
  <r>
    <x v="0"/>
    <x v="0"/>
    <x v="1"/>
    <x v="2"/>
    <x v="10"/>
    <s v="NO5_A1"/>
    <x v="6"/>
    <s v="GNR_PV_SUN_LS-4-MW_Y-2020"/>
    <x v="0"/>
    <x v="8"/>
    <n v="1511.2720312245201"/>
    <n v="551614.29139695095"/>
    <n v="1985811.44902902"/>
  </r>
  <r>
    <x v="0"/>
    <x v="0"/>
    <x v="1"/>
    <x v="2"/>
    <x v="10"/>
    <s v="NO5_A1"/>
    <x v="6"/>
    <s v="GNR_PV_SUN_LS-4-MW_Y-2020"/>
    <x v="0"/>
    <x v="9"/>
    <n v="1415.12410508277"/>
    <n v="516520.29835521098"/>
    <n v="1859473.0740787601"/>
  </r>
  <r>
    <x v="0"/>
    <x v="0"/>
    <x v="1"/>
    <x v="2"/>
    <x v="10"/>
    <s v="NO5_A1"/>
    <x v="6"/>
    <s v="GNR_PV_SUN_LS-4-MW_Y-2020"/>
    <x v="0"/>
    <x v="10"/>
    <n v="1450.33942224054"/>
    <n v="529373.88911779597"/>
    <n v="1905746.0008240701"/>
  </r>
  <r>
    <x v="0"/>
    <x v="0"/>
    <x v="1"/>
    <x v="2"/>
    <x v="10"/>
    <s v="NO5_A1"/>
    <x v="6"/>
    <s v="GNR_PV_SUN_LS-4-MW_Y-2020"/>
    <x v="0"/>
    <x v="11"/>
    <n v="1423.7633156904501"/>
    <n v="519673.61022701499"/>
    <n v="1870824.99681725"/>
  </r>
  <r>
    <x v="0"/>
    <x v="0"/>
    <x v="1"/>
    <x v="2"/>
    <x v="10"/>
    <s v="NO5_A1"/>
    <x v="6"/>
    <s v="GNR_PV_SUN_LS-4-MW_Y-2020"/>
    <x v="0"/>
    <x v="12"/>
    <n v="1389.33673985825"/>
    <n v="507107.91004826198"/>
    <n v="1825588.4761737401"/>
  </r>
  <r>
    <x v="0"/>
    <x v="0"/>
    <x v="1"/>
    <x v="2"/>
    <x v="10"/>
    <s v="NO5_A1"/>
    <x v="6"/>
    <s v="GNR_PV_SUN_LS-4-MW_Y-2020"/>
    <x v="0"/>
    <x v="13"/>
    <n v="1369.27171942002"/>
    <n v="499784.17758830701"/>
    <n v="1799223.0393179001"/>
  </r>
  <r>
    <x v="0"/>
    <x v="0"/>
    <x v="1"/>
    <x v="2"/>
    <x v="10"/>
    <s v="NO5_A1"/>
    <x v="6"/>
    <s v="GNR_PV_SUN_LS-4-MW_Y-2020"/>
    <x v="0"/>
    <x v="14"/>
    <n v="1359.62689534943"/>
    <n v="496263.81680254301"/>
    <n v="1786549.7404891599"/>
  </r>
  <r>
    <x v="0"/>
    <x v="0"/>
    <x v="1"/>
    <x v="2"/>
    <x v="10"/>
    <s v="NO5_A1"/>
    <x v="6"/>
    <s v="GNR_PV_SUN_LS-4-MW_Y-2020"/>
    <x v="0"/>
    <x v="15"/>
    <n v="1356.6922910149301"/>
    <n v="495192.686220448"/>
    <n v="1782693.6703936099"/>
  </r>
  <r>
    <x v="0"/>
    <x v="0"/>
    <x v="1"/>
    <x v="2"/>
    <x v="10"/>
    <s v="NO5_A1"/>
    <x v="6"/>
    <s v="GNR_PV_SUN_LS-4-MW_Y-2020"/>
    <x v="0"/>
    <x v="16"/>
    <n v="1353.8555742210001"/>
    <n v="494157.28459066502"/>
    <n v="1778966.22452639"/>
  </r>
  <r>
    <x v="0"/>
    <x v="0"/>
    <x v="1"/>
    <x v="2"/>
    <x v="10"/>
    <s v="NO5_A1"/>
    <x v="6"/>
    <s v="GNR_PV_SUN_LS-4-MW_Y-2020"/>
    <x v="0"/>
    <x v="17"/>
    <n v="1369.8557512641701"/>
    <n v="499997.34921142203"/>
    <n v="1799990.4571611199"/>
  </r>
  <r>
    <x v="0"/>
    <x v="0"/>
    <x v="1"/>
    <x v="2"/>
    <x v="10"/>
    <s v="NO5_A1"/>
    <x v="6"/>
    <s v="GNR_PV_SUN_LS-4-MW_Y-2020"/>
    <x v="0"/>
    <x v="18"/>
    <n v="1406.71076615637"/>
    <n v="513449.42964707402"/>
    <n v="1848417.94672947"/>
  </r>
  <r>
    <x v="0"/>
    <x v="0"/>
    <x v="1"/>
    <x v="2"/>
    <x v="10"/>
    <s v="NO5_A1"/>
    <x v="6"/>
    <s v="GNR_PV_SUN_LS-4-MW_Y-2020"/>
    <x v="0"/>
    <x v="19"/>
    <n v="1437.64873726633"/>
    <n v="524741.78910221101"/>
    <n v="1889070.4407679599"/>
  </r>
  <r>
    <x v="0"/>
    <x v="0"/>
    <x v="1"/>
    <x v="2"/>
    <x v="10"/>
    <s v="NO5_A1"/>
    <x v="6"/>
    <s v="GNR_PV_SUN_LS-4-MW_Y-2020"/>
    <x v="0"/>
    <x v="20"/>
    <n v="1420.8131250132799"/>
    <n v="518596.79062984599"/>
    <n v="1866948.44626744"/>
  </r>
  <r>
    <x v="0"/>
    <x v="0"/>
    <x v="1"/>
    <x v="2"/>
    <x v="10"/>
    <s v="NO5_A1"/>
    <x v="6"/>
    <s v="GNR_PV_SUN_LS-4-MW_Y-2020"/>
    <x v="0"/>
    <x v="21"/>
    <n v="1373.17303650447"/>
    <n v="501208.15832413099"/>
    <n v="1804349.3699668699"/>
  </r>
  <r>
    <x v="0"/>
    <x v="0"/>
    <x v="1"/>
    <x v="2"/>
    <x v="10"/>
    <s v="NO5_A1"/>
    <x v="6"/>
    <s v="GNR_PV_SUN_LS-4-MW_Y-2020"/>
    <x v="0"/>
    <x v="22"/>
    <n v="1303.00609849796"/>
    <n v="475597.22595175501"/>
    <n v="1712150.0134263199"/>
  </r>
  <r>
    <x v="0"/>
    <x v="0"/>
    <x v="1"/>
    <x v="2"/>
    <x v="10"/>
    <s v="NO5_A1"/>
    <x v="6"/>
    <s v="GNR_PV_SUN_LS-4-MW_Y-2020"/>
    <x v="0"/>
    <x v="23"/>
    <n v="1200.76093983546"/>
    <n v="438277.74303994502"/>
    <n v="1577799.8749438"/>
  </r>
  <r>
    <x v="0"/>
    <x v="0"/>
    <x v="1"/>
    <x v="2"/>
    <x v="10"/>
    <s v="NO5_A1"/>
    <x v="7"/>
    <s v="GHYRR_WATER"/>
    <x v="0"/>
    <x v="0"/>
    <n v="518.80016989933699"/>
    <n v="189362.06201325799"/>
    <n v="681703.42324772896"/>
  </r>
  <r>
    <x v="0"/>
    <x v="0"/>
    <x v="1"/>
    <x v="2"/>
    <x v="10"/>
    <s v="NO5_A1"/>
    <x v="7"/>
    <s v="GHYRR_WATER"/>
    <x v="0"/>
    <x v="1"/>
    <n v="518.80016989933699"/>
    <n v="189362.06201325799"/>
    <n v="681703.42324772896"/>
  </r>
  <r>
    <x v="0"/>
    <x v="0"/>
    <x v="1"/>
    <x v="2"/>
    <x v="10"/>
    <s v="NO5_A1"/>
    <x v="7"/>
    <s v="GHYRR_WATER"/>
    <x v="0"/>
    <x v="2"/>
    <n v="518.80016989933699"/>
    <n v="189362.06201325799"/>
    <n v="681703.42324772896"/>
  </r>
  <r>
    <x v="0"/>
    <x v="0"/>
    <x v="1"/>
    <x v="2"/>
    <x v="10"/>
    <s v="NO5_A1"/>
    <x v="7"/>
    <s v="GHYRR_WATER"/>
    <x v="0"/>
    <x v="3"/>
    <n v="518.80016989933699"/>
    <n v="189362.06201325799"/>
    <n v="681703.42324772896"/>
  </r>
  <r>
    <x v="0"/>
    <x v="0"/>
    <x v="1"/>
    <x v="2"/>
    <x v="10"/>
    <s v="NO5_A1"/>
    <x v="7"/>
    <s v="GHYRR_WATER"/>
    <x v="0"/>
    <x v="4"/>
    <n v="518.80016989933699"/>
    <n v="189362.06201325799"/>
    <n v="681703.42324772896"/>
  </r>
  <r>
    <x v="0"/>
    <x v="0"/>
    <x v="1"/>
    <x v="2"/>
    <x v="10"/>
    <s v="NO5_A1"/>
    <x v="7"/>
    <s v="GHYRR_WATER"/>
    <x v="0"/>
    <x v="5"/>
    <n v="518.80016989933699"/>
    <n v="189362.06201325799"/>
    <n v="681703.42324772896"/>
  </r>
  <r>
    <x v="0"/>
    <x v="0"/>
    <x v="1"/>
    <x v="2"/>
    <x v="10"/>
    <s v="NO5_A1"/>
    <x v="7"/>
    <s v="GHYRR_WATER"/>
    <x v="0"/>
    <x v="6"/>
    <n v="518.80016989933699"/>
    <n v="189362.06201325799"/>
    <n v="681703.42324772896"/>
  </r>
  <r>
    <x v="0"/>
    <x v="0"/>
    <x v="1"/>
    <x v="2"/>
    <x v="10"/>
    <s v="NO5_A1"/>
    <x v="7"/>
    <s v="GHYRR_WATER"/>
    <x v="0"/>
    <x v="7"/>
    <n v="518.80016989933699"/>
    <n v="189362.06201325799"/>
    <n v="681703.42324772896"/>
  </r>
  <r>
    <x v="0"/>
    <x v="0"/>
    <x v="1"/>
    <x v="2"/>
    <x v="10"/>
    <s v="NO5_A1"/>
    <x v="7"/>
    <s v="GHYRR_WATER"/>
    <x v="0"/>
    <x v="8"/>
    <n v="518.80016989933699"/>
    <n v="189362.06201325799"/>
    <n v="681703.42324772896"/>
  </r>
  <r>
    <x v="0"/>
    <x v="0"/>
    <x v="1"/>
    <x v="2"/>
    <x v="10"/>
    <s v="NO5_A1"/>
    <x v="7"/>
    <s v="GHYRR_WATER"/>
    <x v="0"/>
    <x v="9"/>
    <n v="518.80016989933699"/>
    <n v="189362.06201325799"/>
    <n v="681703.42324772896"/>
  </r>
  <r>
    <x v="0"/>
    <x v="0"/>
    <x v="1"/>
    <x v="2"/>
    <x v="10"/>
    <s v="NO5_A1"/>
    <x v="7"/>
    <s v="GHYRR_WATER"/>
    <x v="0"/>
    <x v="10"/>
    <n v="518.80016989933699"/>
    <n v="189362.06201325799"/>
    <n v="681703.42324772896"/>
  </r>
  <r>
    <x v="0"/>
    <x v="0"/>
    <x v="1"/>
    <x v="2"/>
    <x v="10"/>
    <s v="NO5_A1"/>
    <x v="7"/>
    <s v="GHYRR_WATER"/>
    <x v="0"/>
    <x v="11"/>
    <n v="518.80016989933699"/>
    <n v="189362.06201325799"/>
    <n v="681703.42324772896"/>
  </r>
  <r>
    <x v="0"/>
    <x v="0"/>
    <x v="1"/>
    <x v="2"/>
    <x v="10"/>
    <s v="NO5_A1"/>
    <x v="7"/>
    <s v="GHYRR_WATER"/>
    <x v="0"/>
    <x v="12"/>
    <n v="518.80016989933699"/>
    <n v="189362.06201325799"/>
    <n v="681703.42324772896"/>
  </r>
  <r>
    <x v="0"/>
    <x v="0"/>
    <x v="1"/>
    <x v="2"/>
    <x v="10"/>
    <s v="NO5_A1"/>
    <x v="7"/>
    <s v="GHYRR_WATER"/>
    <x v="0"/>
    <x v="13"/>
    <n v="518.80016989933699"/>
    <n v="189362.06201325799"/>
    <n v="681703.42324772896"/>
  </r>
  <r>
    <x v="0"/>
    <x v="0"/>
    <x v="1"/>
    <x v="2"/>
    <x v="10"/>
    <s v="NO5_A1"/>
    <x v="7"/>
    <s v="GHYRR_WATER"/>
    <x v="0"/>
    <x v="14"/>
    <n v="518.80016989933699"/>
    <n v="189362.06201325799"/>
    <n v="681703.42324772896"/>
  </r>
  <r>
    <x v="0"/>
    <x v="0"/>
    <x v="1"/>
    <x v="2"/>
    <x v="10"/>
    <s v="NO5_A1"/>
    <x v="7"/>
    <s v="GHYRR_WATER"/>
    <x v="0"/>
    <x v="15"/>
    <n v="518.80016989933699"/>
    <n v="189362.06201325799"/>
    <n v="681703.42324772896"/>
  </r>
  <r>
    <x v="0"/>
    <x v="0"/>
    <x v="1"/>
    <x v="2"/>
    <x v="10"/>
    <s v="NO5_A1"/>
    <x v="7"/>
    <s v="GHYRR_WATER"/>
    <x v="0"/>
    <x v="16"/>
    <n v="518.80016989933699"/>
    <n v="189362.06201325799"/>
    <n v="681703.42324772896"/>
  </r>
  <r>
    <x v="0"/>
    <x v="0"/>
    <x v="1"/>
    <x v="2"/>
    <x v="10"/>
    <s v="NO5_A1"/>
    <x v="7"/>
    <s v="GHYRR_WATER"/>
    <x v="0"/>
    <x v="17"/>
    <n v="518.80016989933699"/>
    <n v="189362.06201325799"/>
    <n v="681703.42324772896"/>
  </r>
  <r>
    <x v="0"/>
    <x v="0"/>
    <x v="1"/>
    <x v="2"/>
    <x v="10"/>
    <s v="NO5_A1"/>
    <x v="7"/>
    <s v="GHYRR_WATER"/>
    <x v="0"/>
    <x v="18"/>
    <n v="518.80016989933699"/>
    <n v="189362.06201325799"/>
    <n v="681703.42324772896"/>
  </r>
  <r>
    <x v="0"/>
    <x v="0"/>
    <x v="1"/>
    <x v="2"/>
    <x v="10"/>
    <s v="NO5_A1"/>
    <x v="7"/>
    <s v="GHYRR_WATER"/>
    <x v="0"/>
    <x v="19"/>
    <n v="518.80016989933699"/>
    <n v="189362.06201325799"/>
    <n v="681703.42324772896"/>
  </r>
  <r>
    <x v="0"/>
    <x v="0"/>
    <x v="1"/>
    <x v="2"/>
    <x v="10"/>
    <s v="NO5_A1"/>
    <x v="7"/>
    <s v="GHYRR_WATER"/>
    <x v="0"/>
    <x v="20"/>
    <n v="518.80016989933699"/>
    <n v="189362.06201325799"/>
    <n v="681703.42324772896"/>
  </r>
  <r>
    <x v="0"/>
    <x v="0"/>
    <x v="1"/>
    <x v="2"/>
    <x v="10"/>
    <s v="NO5_A1"/>
    <x v="7"/>
    <s v="GHYRR_WATER"/>
    <x v="0"/>
    <x v="21"/>
    <n v="518.80016989933699"/>
    <n v="189362.06201325799"/>
    <n v="681703.42324772896"/>
  </r>
  <r>
    <x v="0"/>
    <x v="0"/>
    <x v="1"/>
    <x v="2"/>
    <x v="10"/>
    <s v="NO5_A1"/>
    <x v="7"/>
    <s v="GHYRR_WATER"/>
    <x v="0"/>
    <x v="22"/>
    <n v="518.80016989933699"/>
    <n v="189362.06201325799"/>
    <n v="681703.42324772896"/>
  </r>
  <r>
    <x v="0"/>
    <x v="0"/>
    <x v="1"/>
    <x v="2"/>
    <x v="10"/>
    <s v="NO5_A1"/>
    <x v="7"/>
    <s v="GHYRR_WATER"/>
    <x v="0"/>
    <x v="23"/>
    <n v="518.80016989933699"/>
    <n v="189362.06201325799"/>
    <n v="681703.42324772896"/>
  </r>
  <r>
    <x v="0"/>
    <x v="0"/>
    <x v="1"/>
    <x v="3"/>
    <x v="11"/>
    <s v="SE1A"/>
    <x v="6"/>
    <s v="GNR_PV_SUN_LS-4-MW_Y-2020"/>
    <x v="0"/>
    <x v="7"/>
    <n v="307.04949805443403"/>
    <n v="112073.066789869"/>
    <n v="403463.04044352699"/>
  </r>
  <r>
    <x v="0"/>
    <x v="0"/>
    <x v="1"/>
    <x v="3"/>
    <x v="11"/>
    <s v="SE1A"/>
    <x v="6"/>
    <s v="GNR_PV_SUN_LS-4-MW_Y-2020"/>
    <x v="0"/>
    <x v="8"/>
    <n v="304.53364214221602"/>
    <n v="111154.779381909"/>
    <n v="400157.20577487099"/>
  </r>
  <r>
    <x v="0"/>
    <x v="0"/>
    <x v="1"/>
    <x v="3"/>
    <x v="11"/>
    <s v="SE1A"/>
    <x v="6"/>
    <s v="GNR_PV_SUN_LS-4-MW_Y-2020"/>
    <x v="0"/>
    <x v="9"/>
    <n v="421.86618443133199"/>
    <n v="153981.15731743601"/>
    <n v="554332.16634276998"/>
  </r>
  <r>
    <x v="0"/>
    <x v="0"/>
    <x v="1"/>
    <x v="3"/>
    <x v="11"/>
    <s v="SE1A"/>
    <x v="6"/>
    <s v="GNR_PV_SUN_LS-4-MW_Y-2020"/>
    <x v="0"/>
    <x v="10"/>
    <n v="498.29806789372401"/>
    <n v="181878.794781209"/>
    <n v="654763.66121235397"/>
  </r>
  <r>
    <x v="0"/>
    <x v="0"/>
    <x v="1"/>
    <x v="3"/>
    <x v="11"/>
    <s v="SE1A"/>
    <x v="6"/>
    <s v="GNR_PV_SUN_LS-4-MW_Y-2020"/>
    <x v="0"/>
    <x v="11"/>
    <n v="543.81779972139498"/>
    <n v="198493.49689830901"/>
    <n v="714576.58883391297"/>
  </r>
  <r>
    <x v="0"/>
    <x v="0"/>
    <x v="1"/>
    <x v="3"/>
    <x v="11"/>
    <s v="SE1A"/>
    <x v="6"/>
    <s v="GNR_PV_SUN_LS-4-MW_Y-2020"/>
    <x v="0"/>
    <x v="12"/>
    <n v="387.21693727991999"/>
    <n v="141334.18210717099"/>
    <n v="508803.05558581499"/>
  </r>
  <r>
    <x v="0"/>
    <x v="0"/>
    <x v="1"/>
    <x v="3"/>
    <x v="11"/>
    <s v="SE1A"/>
    <x v="6"/>
    <s v="GNR_PV_SUN_LS-4-MW_Y-2020"/>
    <x v="0"/>
    <x v="13"/>
    <n v="417.97767107260898"/>
    <n v="152561.84994150201"/>
    <n v="549222.65978940902"/>
  </r>
  <r>
    <x v="0"/>
    <x v="0"/>
    <x v="1"/>
    <x v="3"/>
    <x v="11"/>
    <s v="SE1A"/>
    <x v="6"/>
    <s v="GNR_PV_SUN_LS-4-MW_Y-2020"/>
    <x v="0"/>
    <x v="14"/>
    <n v="344.43385538180797"/>
    <n v="125718.35721436"/>
    <n v="452586.08597169601"/>
  </r>
  <r>
    <x v="0"/>
    <x v="0"/>
    <x v="1"/>
    <x v="3"/>
    <x v="11"/>
    <s v="SE1A"/>
    <x v="6"/>
    <s v="GNR_PV_SUN_LS-4-MW_Y-2020"/>
    <x v="0"/>
    <x v="16"/>
    <n v="21.295631437500202"/>
    <n v="7772.90547468758"/>
    <n v="27982.4597088753"/>
  </r>
  <r>
    <x v="0"/>
    <x v="0"/>
    <x v="1"/>
    <x v="3"/>
    <x v="11"/>
    <s v="SE1A"/>
    <x v="7"/>
    <s v="GHYRR_WATER"/>
    <x v="0"/>
    <x v="0"/>
    <n v="703.03276454150102"/>
    <n v="256606.959057648"/>
    <n v="923785.05260753306"/>
  </r>
  <r>
    <x v="0"/>
    <x v="0"/>
    <x v="1"/>
    <x v="3"/>
    <x v="11"/>
    <s v="SE1A"/>
    <x v="7"/>
    <s v="GHYRR_WATER"/>
    <x v="0"/>
    <x v="1"/>
    <n v="703.03276454150102"/>
    <n v="256606.959057648"/>
    <n v="923785.05260753306"/>
  </r>
  <r>
    <x v="0"/>
    <x v="0"/>
    <x v="1"/>
    <x v="3"/>
    <x v="11"/>
    <s v="SE1A"/>
    <x v="7"/>
    <s v="GHYRR_WATER"/>
    <x v="0"/>
    <x v="2"/>
    <n v="703.03276454150102"/>
    <n v="256606.959057648"/>
    <n v="923785.05260753306"/>
  </r>
  <r>
    <x v="0"/>
    <x v="0"/>
    <x v="1"/>
    <x v="3"/>
    <x v="11"/>
    <s v="SE1A"/>
    <x v="7"/>
    <s v="GHYRR_WATER"/>
    <x v="0"/>
    <x v="3"/>
    <n v="703.03276454150102"/>
    <n v="256606.959057648"/>
    <n v="923785.05260753306"/>
  </r>
  <r>
    <x v="0"/>
    <x v="0"/>
    <x v="1"/>
    <x v="3"/>
    <x v="11"/>
    <s v="SE1A"/>
    <x v="7"/>
    <s v="GHYRR_WATER"/>
    <x v="0"/>
    <x v="4"/>
    <n v="703.03276454150102"/>
    <n v="256606.959057648"/>
    <n v="923785.05260753306"/>
  </r>
  <r>
    <x v="0"/>
    <x v="0"/>
    <x v="1"/>
    <x v="3"/>
    <x v="11"/>
    <s v="SE1A"/>
    <x v="7"/>
    <s v="GHYRR_WATER"/>
    <x v="0"/>
    <x v="5"/>
    <n v="703.03276454150102"/>
    <n v="256606.959057648"/>
    <n v="923785.05260753306"/>
  </r>
  <r>
    <x v="0"/>
    <x v="0"/>
    <x v="1"/>
    <x v="3"/>
    <x v="11"/>
    <s v="SE1A"/>
    <x v="7"/>
    <s v="GHYRR_WATER"/>
    <x v="0"/>
    <x v="6"/>
    <n v="703.03276454150102"/>
    <n v="256606.959057648"/>
    <n v="923785.05260753306"/>
  </r>
  <r>
    <x v="0"/>
    <x v="0"/>
    <x v="1"/>
    <x v="3"/>
    <x v="11"/>
    <s v="SE1A"/>
    <x v="7"/>
    <s v="GHYRR_WATER"/>
    <x v="0"/>
    <x v="7"/>
    <n v="703.03276454150102"/>
    <n v="256606.959057648"/>
    <n v="923785.05260753306"/>
  </r>
  <r>
    <x v="0"/>
    <x v="0"/>
    <x v="1"/>
    <x v="3"/>
    <x v="11"/>
    <s v="SE1A"/>
    <x v="7"/>
    <s v="GHYRR_WATER"/>
    <x v="0"/>
    <x v="8"/>
    <n v="703.03276454150102"/>
    <n v="256606.959057648"/>
    <n v="923785.05260753306"/>
  </r>
  <r>
    <x v="0"/>
    <x v="0"/>
    <x v="1"/>
    <x v="3"/>
    <x v="11"/>
    <s v="SE1A"/>
    <x v="7"/>
    <s v="GHYRR_WATER"/>
    <x v="0"/>
    <x v="9"/>
    <n v="703.03276454150102"/>
    <n v="256606.959057648"/>
    <n v="923785.05260753306"/>
  </r>
  <r>
    <x v="0"/>
    <x v="0"/>
    <x v="1"/>
    <x v="3"/>
    <x v="11"/>
    <s v="SE1A"/>
    <x v="7"/>
    <s v="GHYRR_WATER"/>
    <x v="0"/>
    <x v="10"/>
    <n v="703.03276454150102"/>
    <n v="256606.959057648"/>
    <n v="923785.05260753306"/>
  </r>
  <r>
    <x v="0"/>
    <x v="0"/>
    <x v="1"/>
    <x v="3"/>
    <x v="11"/>
    <s v="SE1A"/>
    <x v="7"/>
    <s v="GHYRR_WATER"/>
    <x v="0"/>
    <x v="11"/>
    <n v="703.03276454150102"/>
    <n v="256606.959057648"/>
    <n v="923785.05260753306"/>
  </r>
  <r>
    <x v="0"/>
    <x v="0"/>
    <x v="1"/>
    <x v="3"/>
    <x v="11"/>
    <s v="SE1A"/>
    <x v="7"/>
    <s v="GHYRR_WATER"/>
    <x v="0"/>
    <x v="12"/>
    <n v="703.03276454150102"/>
    <n v="256606.959057648"/>
    <n v="923785.05260753306"/>
  </r>
  <r>
    <x v="0"/>
    <x v="0"/>
    <x v="1"/>
    <x v="3"/>
    <x v="11"/>
    <s v="SE1A"/>
    <x v="7"/>
    <s v="GHYRR_WATER"/>
    <x v="0"/>
    <x v="13"/>
    <n v="703.03276454150102"/>
    <n v="256606.959057648"/>
    <n v="923785.05260753306"/>
  </r>
  <r>
    <x v="0"/>
    <x v="0"/>
    <x v="1"/>
    <x v="3"/>
    <x v="11"/>
    <s v="SE1A"/>
    <x v="7"/>
    <s v="GHYRR_WATER"/>
    <x v="0"/>
    <x v="14"/>
    <n v="703.03276454150102"/>
    <n v="256606.959057648"/>
    <n v="923785.05260753306"/>
  </r>
  <r>
    <x v="0"/>
    <x v="0"/>
    <x v="1"/>
    <x v="3"/>
    <x v="11"/>
    <s v="SE1A"/>
    <x v="7"/>
    <s v="GHYRR_WATER"/>
    <x v="0"/>
    <x v="15"/>
    <n v="703.03276454150102"/>
    <n v="256606.959057648"/>
    <n v="923785.05260753306"/>
  </r>
  <r>
    <x v="0"/>
    <x v="0"/>
    <x v="1"/>
    <x v="3"/>
    <x v="11"/>
    <s v="SE1A"/>
    <x v="7"/>
    <s v="GHYRR_WATER"/>
    <x v="0"/>
    <x v="16"/>
    <n v="703.03276454150102"/>
    <n v="256606.959057648"/>
    <n v="923785.05260753306"/>
  </r>
  <r>
    <x v="0"/>
    <x v="0"/>
    <x v="1"/>
    <x v="3"/>
    <x v="11"/>
    <s v="SE1A"/>
    <x v="7"/>
    <s v="GHYRR_WATER"/>
    <x v="0"/>
    <x v="17"/>
    <n v="703.03276454150102"/>
    <n v="256606.959057648"/>
    <n v="923785.05260753306"/>
  </r>
  <r>
    <x v="0"/>
    <x v="0"/>
    <x v="1"/>
    <x v="3"/>
    <x v="11"/>
    <s v="SE1A"/>
    <x v="7"/>
    <s v="GHYRR_WATER"/>
    <x v="0"/>
    <x v="18"/>
    <n v="703.03276454150102"/>
    <n v="256606.959057648"/>
    <n v="923785.05260753306"/>
  </r>
  <r>
    <x v="0"/>
    <x v="0"/>
    <x v="1"/>
    <x v="3"/>
    <x v="11"/>
    <s v="SE1A"/>
    <x v="7"/>
    <s v="GHYRR_WATER"/>
    <x v="0"/>
    <x v="19"/>
    <n v="703.03276454150102"/>
    <n v="256606.959057648"/>
    <n v="923785.05260753306"/>
  </r>
  <r>
    <x v="0"/>
    <x v="0"/>
    <x v="1"/>
    <x v="3"/>
    <x v="11"/>
    <s v="SE1A"/>
    <x v="7"/>
    <s v="GHYRR_WATER"/>
    <x v="0"/>
    <x v="20"/>
    <n v="703.03276454150102"/>
    <n v="256606.959057648"/>
    <n v="923785.05260753306"/>
  </r>
  <r>
    <x v="0"/>
    <x v="0"/>
    <x v="1"/>
    <x v="3"/>
    <x v="11"/>
    <s v="SE1A"/>
    <x v="7"/>
    <s v="GHYRR_WATER"/>
    <x v="0"/>
    <x v="21"/>
    <n v="703.03276454150102"/>
    <n v="256606.959057648"/>
    <n v="923785.05260753306"/>
  </r>
  <r>
    <x v="0"/>
    <x v="0"/>
    <x v="1"/>
    <x v="3"/>
    <x v="11"/>
    <s v="SE1A"/>
    <x v="7"/>
    <s v="GHYRR_WATER"/>
    <x v="0"/>
    <x v="22"/>
    <n v="703.03276454150102"/>
    <n v="256606.959057648"/>
    <n v="923785.05260753306"/>
  </r>
  <r>
    <x v="0"/>
    <x v="0"/>
    <x v="1"/>
    <x v="3"/>
    <x v="11"/>
    <s v="SE1A"/>
    <x v="7"/>
    <s v="GHYRR_WATER"/>
    <x v="0"/>
    <x v="23"/>
    <n v="703.03276454150102"/>
    <n v="256606.959057648"/>
    <n v="923785.05260753306"/>
  </r>
  <r>
    <x v="0"/>
    <x v="0"/>
    <x v="1"/>
    <x v="3"/>
    <x v="11"/>
    <s v="SE1A"/>
    <x v="8"/>
    <s v="GNR_WT_WIND_ONS"/>
    <x v="0"/>
    <x v="0"/>
    <n v="976.30718708206905"/>
    <n v="356352.12328495499"/>
    <n v="1282867.64382584"/>
  </r>
  <r>
    <x v="0"/>
    <x v="0"/>
    <x v="1"/>
    <x v="3"/>
    <x v="11"/>
    <s v="SE1A"/>
    <x v="8"/>
    <s v="GNR_WT_WIND_ONS"/>
    <x v="0"/>
    <x v="1"/>
    <n v="794.77281850922395"/>
    <n v="290092.07875586703"/>
    <n v="1044331.48352112"/>
  </r>
  <r>
    <x v="0"/>
    <x v="0"/>
    <x v="1"/>
    <x v="3"/>
    <x v="11"/>
    <s v="SE1A"/>
    <x v="8"/>
    <s v="GNR_WT_WIND_ONS"/>
    <x v="0"/>
    <x v="2"/>
    <n v="930.88497219169597"/>
    <n v="339773.01484996901"/>
    <n v="1223182.85345989"/>
  </r>
  <r>
    <x v="0"/>
    <x v="0"/>
    <x v="1"/>
    <x v="3"/>
    <x v="11"/>
    <s v="SE1A"/>
    <x v="8"/>
    <s v="GNR_WT_WIND_ONS"/>
    <x v="0"/>
    <x v="3"/>
    <n v="883.79936740814799"/>
    <n v="322586.76910397399"/>
    <n v="1161312.36877431"/>
  </r>
  <r>
    <x v="0"/>
    <x v="0"/>
    <x v="1"/>
    <x v="3"/>
    <x v="11"/>
    <s v="SE1A"/>
    <x v="8"/>
    <s v="GNR_WT_WIND_ONS"/>
    <x v="0"/>
    <x v="4"/>
    <n v="749.27374573632699"/>
    <n v="273484.917193759"/>
    <n v="984545.70189753303"/>
  </r>
  <r>
    <x v="0"/>
    <x v="0"/>
    <x v="1"/>
    <x v="3"/>
    <x v="11"/>
    <s v="SE1A"/>
    <x v="8"/>
    <s v="GNR_WT_WIND_ONS"/>
    <x v="0"/>
    <x v="5"/>
    <n v="599.28267167341596"/>
    <n v="218738.17516079699"/>
    <n v="787457.43057886895"/>
  </r>
  <r>
    <x v="0"/>
    <x v="0"/>
    <x v="1"/>
    <x v="3"/>
    <x v="11"/>
    <s v="SE1A"/>
    <x v="8"/>
    <s v="GNR_WT_WIND_ONS"/>
    <x v="0"/>
    <x v="6"/>
    <n v="548.08005739062298"/>
    <n v="200049.220947578"/>
    <n v="720177.19541127898"/>
  </r>
  <r>
    <x v="0"/>
    <x v="0"/>
    <x v="1"/>
    <x v="3"/>
    <x v="11"/>
    <s v="SE1A"/>
    <x v="8"/>
    <s v="GNR_WT_WIND_ONS"/>
    <x v="0"/>
    <x v="7"/>
    <n v="467.89683478125602"/>
    <n v="170782.34469515801"/>
    <n v="614816.44090257003"/>
  </r>
  <r>
    <x v="0"/>
    <x v="0"/>
    <x v="1"/>
    <x v="3"/>
    <x v="11"/>
    <s v="SE1A"/>
    <x v="8"/>
    <s v="GNR_WT_WIND_ONS"/>
    <x v="0"/>
    <x v="8"/>
    <n v="371.70712753955502"/>
    <n v="135673.101551937"/>
    <n v="488423.165586975"/>
  </r>
  <r>
    <x v="0"/>
    <x v="0"/>
    <x v="1"/>
    <x v="3"/>
    <x v="11"/>
    <s v="SE1A"/>
    <x v="8"/>
    <s v="GNR_WT_WIND_ONS"/>
    <x v="0"/>
    <x v="9"/>
    <n v="262.05158334942502"/>
    <n v="95648.827922540106"/>
    <n v="344335.78052114398"/>
  </r>
  <r>
    <x v="0"/>
    <x v="0"/>
    <x v="1"/>
    <x v="3"/>
    <x v="11"/>
    <s v="SE1A"/>
    <x v="8"/>
    <s v="GNR_WT_WIND_ONS"/>
    <x v="0"/>
    <x v="10"/>
    <n v="189.10924447748101"/>
    <n v="69024.874234280403"/>
    <n v="248489.547243409"/>
  </r>
  <r>
    <x v="0"/>
    <x v="0"/>
    <x v="1"/>
    <x v="3"/>
    <x v="11"/>
    <s v="SE1A"/>
    <x v="8"/>
    <s v="GNR_WT_WIND_ONS"/>
    <x v="0"/>
    <x v="11"/>
    <n v="149.87069291261699"/>
    <n v="54702.802913105203"/>
    <n v="196930.090487179"/>
  </r>
  <r>
    <x v="0"/>
    <x v="0"/>
    <x v="1"/>
    <x v="3"/>
    <x v="11"/>
    <s v="SE1A"/>
    <x v="8"/>
    <s v="GNR_WT_WIND_ONS"/>
    <x v="0"/>
    <x v="12"/>
    <n v="144.19265995066701"/>
    <n v="52630.320881993503"/>
    <n v="189469.155175177"/>
  </r>
  <r>
    <x v="0"/>
    <x v="0"/>
    <x v="1"/>
    <x v="3"/>
    <x v="11"/>
    <s v="SE1A"/>
    <x v="8"/>
    <s v="GNR_WT_WIND_ONS"/>
    <x v="0"/>
    <x v="13"/>
    <n v="242.21119349309899"/>
    <n v="88407.085624981002"/>
    <n v="318265.50824993203"/>
  </r>
  <r>
    <x v="0"/>
    <x v="0"/>
    <x v="1"/>
    <x v="3"/>
    <x v="11"/>
    <s v="SE1A"/>
    <x v="8"/>
    <s v="GNR_WT_WIND_ONS"/>
    <x v="0"/>
    <x v="14"/>
    <n v="310.86964675727199"/>
    <n v="113467.421066404"/>
    <n v="408482.71583905601"/>
  </r>
  <r>
    <x v="0"/>
    <x v="0"/>
    <x v="1"/>
    <x v="3"/>
    <x v="11"/>
    <s v="SE1A"/>
    <x v="8"/>
    <s v="GNR_WT_WIND_ONS"/>
    <x v="0"/>
    <x v="15"/>
    <n v="475.12749295025498"/>
    <n v="173421.53492684301"/>
    <n v="624317.52573663497"/>
  </r>
  <r>
    <x v="0"/>
    <x v="0"/>
    <x v="1"/>
    <x v="3"/>
    <x v="11"/>
    <s v="SE1A"/>
    <x v="8"/>
    <s v="GNR_WT_WIND_ONS"/>
    <x v="0"/>
    <x v="16"/>
    <n v="595.40585228591101"/>
    <n v="217323.13608435699"/>
    <n v="782363.28990368696"/>
  </r>
  <r>
    <x v="0"/>
    <x v="0"/>
    <x v="1"/>
    <x v="3"/>
    <x v="11"/>
    <s v="SE1A"/>
    <x v="8"/>
    <s v="GNR_WT_WIND_ONS"/>
    <x v="0"/>
    <x v="17"/>
    <n v="685.24660745618496"/>
    <n v="250115.01172150701"/>
    <n v="900414.04219742701"/>
  </r>
  <r>
    <x v="0"/>
    <x v="0"/>
    <x v="1"/>
    <x v="3"/>
    <x v="11"/>
    <s v="SE1A"/>
    <x v="8"/>
    <s v="GNR_WT_WIND_ONS"/>
    <x v="0"/>
    <x v="18"/>
    <n v="770.05053186936004"/>
    <n v="281068.44413231598"/>
    <n v="1011846.39887634"/>
  </r>
  <r>
    <x v="0"/>
    <x v="0"/>
    <x v="1"/>
    <x v="3"/>
    <x v="11"/>
    <s v="SE1A"/>
    <x v="8"/>
    <s v="GNR_WT_WIND_ONS"/>
    <x v="0"/>
    <x v="19"/>
    <n v="747.23081006065001"/>
    <n v="272739.24567213701"/>
    <n v="981861.28441969398"/>
  </r>
  <r>
    <x v="0"/>
    <x v="0"/>
    <x v="1"/>
    <x v="3"/>
    <x v="11"/>
    <s v="SE1A"/>
    <x v="8"/>
    <s v="GNR_WT_WIND_ONS"/>
    <x v="0"/>
    <x v="20"/>
    <n v="679.55731529434502"/>
    <n v="248038.420082436"/>
    <n v="892938.31229677005"/>
  </r>
  <r>
    <x v="0"/>
    <x v="0"/>
    <x v="1"/>
    <x v="3"/>
    <x v="11"/>
    <s v="SE1A"/>
    <x v="8"/>
    <s v="GNR_WT_WIND_ONS"/>
    <x v="0"/>
    <x v="21"/>
    <n v="738.57833643807101"/>
    <n v="269581.09279989603"/>
    <n v="970491.93407962495"/>
  </r>
  <r>
    <x v="0"/>
    <x v="0"/>
    <x v="1"/>
    <x v="3"/>
    <x v="11"/>
    <s v="SE1A"/>
    <x v="8"/>
    <s v="GNR_WT_WIND_ONS"/>
    <x v="0"/>
    <x v="22"/>
    <n v="641.84905511379895"/>
    <n v="234274.905116537"/>
    <n v="843389.658419532"/>
  </r>
  <r>
    <x v="0"/>
    <x v="0"/>
    <x v="1"/>
    <x v="3"/>
    <x v="11"/>
    <s v="SE1A"/>
    <x v="8"/>
    <s v="GNR_WT_WIND_ONS"/>
    <x v="0"/>
    <x v="23"/>
    <n v="707.52263911416799"/>
    <n v="258245.763276671"/>
    <n v="929684.74779601698"/>
  </r>
  <r>
    <x v="0"/>
    <x v="0"/>
    <x v="1"/>
    <x v="3"/>
    <x v="11"/>
    <s v="SE1_EL"/>
    <x v="2"/>
    <s v="GHOB_WASTEHEAT"/>
    <x v="0"/>
    <x v="0"/>
    <n v="27.305906074994201"/>
    <n v="9966.6557173728706"/>
    <n v="35879.960582542299"/>
  </r>
  <r>
    <x v="0"/>
    <x v="0"/>
    <x v="1"/>
    <x v="3"/>
    <x v="11"/>
    <s v="SE1_EL"/>
    <x v="2"/>
    <s v="GHOB_WASTEHEAT"/>
    <x v="0"/>
    <x v="1"/>
    <n v="28.411238811811099"/>
    <n v="10370.102166311"/>
    <n v="37332.367798719701"/>
  </r>
  <r>
    <x v="0"/>
    <x v="0"/>
    <x v="1"/>
    <x v="3"/>
    <x v="11"/>
    <s v="SE1_EL"/>
    <x v="2"/>
    <s v="GHOB_WASTEHEAT"/>
    <x v="0"/>
    <x v="2"/>
    <n v="31.7589674117668"/>
    <n v="11592.0231052949"/>
    <n v="41731.283179061596"/>
  </r>
  <r>
    <x v="0"/>
    <x v="0"/>
    <x v="1"/>
    <x v="3"/>
    <x v="11"/>
    <s v="SE1_EL"/>
    <x v="2"/>
    <s v="GHOB_WASTEHEAT"/>
    <x v="0"/>
    <x v="3"/>
    <n v="36.418603411757502"/>
    <n v="13292.7902452915"/>
    <n v="47854.044883049297"/>
  </r>
  <r>
    <x v="0"/>
    <x v="0"/>
    <x v="1"/>
    <x v="3"/>
    <x v="11"/>
    <s v="SE1_EL"/>
    <x v="2"/>
    <s v="GHOB_WASTEHEAT"/>
    <x v="0"/>
    <x v="4"/>
    <n v="43.121921518074998"/>
    <n v="15739.5013540974"/>
    <n v="56662.204874750598"/>
  </r>
  <r>
    <x v="0"/>
    <x v="0"/>
    <x v="1"/>
    <x v="3"/>
    <x v="11"/>
    <s v="SE1_EL"/>
    <x v="2"/>
    <s v="GHOB_WASTEHEAT"/>
    <x v="0"/>
    <x v="5"/>
    <n v="51.974635911492101"/>
    <n v="18970.742107694601"/>
    <n v="68294.671587700694"/>
  </r>
  <r>
    <x v="0"/>
    <x v="0"/>
    <x v="1"/>
    <x v="3"/>
    <x v="11"/>
    <s v="SE1_EL"/>
    <x v="2"/>
    <s v="GHOB_WASTEHEAT"/>
    <x v="0"/>
    <x v="6"/>
    <n v="74.269593005408495"/>
    <n v="27108.401446974101"/>
    <n v="97590.245209106797"/>
  </r>
  <r>
    <x v="0"/>
    <x v="0"/>
    <x v="1"/>
    <x v="3"/>
    <x v="11"/>
    <s v="SE1_EL"/>
    <x v="2"/>
    <s v="GHOB_WASTEHEAT"/>
    <x v="0"/>
    <x v="7"/>
    <n v="80.622661438659904"/>
    <n v="29427.271425110899"/>
    <n v="105938.177130399"/>
  </r>
  <r>
    <x v="0"/>
    <x v="0"/>
    <x v="1"/>
    <x v="3"/>
    <x v="11"/>
    <s v="SE1_EL"/>
    <x v="2"/>
    <s v="GHOB_WASTEHEAT"/>
    <x v="0"/>
    <x v="8"/>
    <n v="74.640789470035202"/>
    <n v="27243.8881565628"/>
    <n v="98077.9973636262"/>
  </r>
  <r>
    <x v="0"/>
    <x v="0"/>
    <x v="1"/>
    <x v="3"/>
    <x v="11"/>
    <s v="SE1_EL"/>
    <x v="2"/>
    <s v="GHOB_WASTEHEAT"/>
    <x v="0"/>
    <x v="9"/>
    <n v="68.110724110459202"/>
    <n v="24860.4143003176"/>
    <n v="89497.491481143399"/>
  </r>
  <r>
    <x v="0"/>
    <x v="0"/>
    <x v="1"/>
    <x v="3"/>
    <x v="11"/>
    <s v="SE1_EL"/>
    <x v="2"/>
    <s v="GHOB_WASTEHEAT"/>
    <x v="0"/>
    <x v="10"/>
    <n v="64.420856072221099"/>
    <n v="23513.612466360701"/>
    <n v="84649.0048788985"/>
  </r>
  <r>
    <x v="0"/>
    <x v="0"/>
    <x v="1"/>
    <x v="3"/>
    <x v="11"/>
    <s v="SE1_EL"/>
    <x v="2"/>
    <s v="GHOB_WASTEHEAT"/>
    <x v="0"/>
    <x v="11"/>
    <n v="63.258504264174597"/>
    <n v="23089.354056423701"/>
    <n v="83121.674603125401"/>
  </r>
  <r>
    <x v="0"/>
    <x v="0"/>
    <x v="1"/>
    <x v="3"/>
    <x v="11"/>
    <s v="SE1_EL"/>
    <x v="2"/>
    <s v="GHOB_WASTEHEAT"/>
    <x v="0"/>
    <x v="12"/>
    <n v="59.018792717518799"/>
    <n v="21541.8593418944"/>
    <n v="77550.693630819704"/>
  </r>
  <r>
    <x v="0"/>
    <x v="0"/>
    <x v="1"/>
    <x v="3"/>
    <x v="11"/>
    <s v="SE1_EL"/>
    <x v="2"/>
    <s v="GHOB_WASTEHEAT"/>
    <x v="0"/>
    <x v="13"/>
    <n v="56.891161070111998"/>
    <n v="20765.273790590902"/>
    <n v="74754.985646127199"/>
  </r>
  <r>
    <x v="0"/>
    <x v="0"/>
    <x v="1"/>
    <x v="3"/>
    <x v="11"/>
    <s v="SE1_EL"/>
    <x v="2"/>
    <s v="GHOB_WASTEHEAT"/>
    <x v="0"/>
    <x v="14"/>
    <n v="55.149654446407297"/>
    <n v="20129.623872938701"/>
    <n v="72466.645942579198"/>
  </r>
  <r>
    <x v="0"/>
    <x v="0"/>
    <x v="1"/>
    <x v="3"/>
    <x v="11"/>
    <s v="SE1_EL"/>
    <x v="2"/>
    <s v="GHOB_WASTEHEAT"/>
    <x v="0"/>
    <x v="15"/>
    <n v="52.125048760434503"/>
    <n v="19025.642797558601"/>
    <n v="68492.314071211003"/>
  </r>
  <r>
    <x v="0"/>
    <x v="0"/>
    <x v="1"/>
    <x v="3"/>
    <x v="11"/>
    <s v="SE1_EL"/>
    <x v="2"/>
    <s v="GHOB_WASTEHEAT"/>
    <x v="0"/>
    <x v="16"/>
    <n v="49.243850451793897"/>
    <n v="17974.005414904801"/>
    <n v="64706.419493657202"/>
  </r>
  <r>
    <x v="0"/>
    <x v="0"/>
    <x v="1"/>
    <x v="3"/>
    <x v="11"/>
    <s v="SE1_EL"/>
    <x v="2"/>
    <s v="GHOB_WASTEHEAT"/>
    <x v="0"/>
    <x v="17"/>
    <n v="44.852142672107199"/>
    <n v="16371.032075319101"/>
    <n v="58935.715471148796"/>
  </r>
  <r>
    <x v="0"/>
    <x v="0"/>
    <x v="1"/>
    <x v="3"/>
    <x v="11"/>
    <s v="SE1_EL"/>
    <x v="2"/>
    <s v="GHOB_WASTEHEAT"/>
    <x v="0"/>
    <x v="18"/>
    <n v="43.524603723984796"/>
    <n v="15886.480359254499"/>
    <n v="57191.329293316099"/>
  </r>
  <r>
    <x v="0"/>
    <x v="0"/>
    <x v="1"/>
    <x v="3"/>
    <x v="11"/>
    <s v="SE1_EL"/>
    <x v="2"/>
    <s v="GHOB_WASTEHEAT"/>
    <x v="0"/>
    <x v="19"/>
    <n v="44.321373547816698"/>
    <n v="16177.301344953101"/>
    <n v="58238.284841831199"/>
  </r>
  <r>
    <x v="0"/>
    <x v="0"/>
    <x v="1"/>
    <x v="3"/>
    <x v="11"/>
    <s v="SE1_EL"/>
    <x v="2"/>
    <s v="GHOB_WASTEHEAT"/>
    <x v="0"/>
    <x v="20"/>
    <n v="42.386556230454403"/>
    <n v="15471.0930241159"/>
    <n v="55695.9348868171"/>
  </r>
  <r>
    <x v="0"/>
    <x v="0"/>
    <x v="1"/>
    <x v="3"/>
    <x v="11"/>
    <s v="SE1_EL"/>
    <x v="2"/>
    <s v="GHOB_WASTEHEAT"/>
    <x v="0"/>
    <x v="21"/>
    <n v="40.5377584443073"/>
    <n v="14796.281832172201"/>
    <n v="53266.614595819803"/>
  </r>
  <r>
    <x v="0"/>
    <x v="0"/>
    <x v="1"/>
    <x v="3"/>
    <x v="11"/>
    <s v="SE1_EL"/>
    <x v="2"/>
    <s v="GHOB_WASTEHEAT"/>
    <x v="0"/>
    <x v="22"/>
    <n v="35.995319154289497"/>
    <n v="13138.2914913157"/>
    <n v="47297.849368736403"/>
  </r>
  <r>
    <x v="0"/>
    <x v="0"/>
    <x v="1"/>
    <x v="3"/>
    <x v="11"/>
    <s v="SE1_EL"/>
    <x v="2"/>
    <s v="GHOB_WASTEHEAT"/>
    <x v="0"/>
    <x v="23"/>
    <n v="27.861255088137298"/>
    <n v="10169.358107170099"/>
    <n v="36609.689185812502"/>
  </r>
  <r>
    <x v="0"/>
    <x v="0"/>
    <x v="1"/>
    <x v="3"/>
    <x v="11"/>
    <s v="SE1_OTHER"/>
    <x v="2"/>
    <s v="GHOB_WASTEHEAT"/>
    <x v="0"/>
    <x v="0"/>
    <n v="35.828754578754399"/>
    <n v="13077.495421245399"/>
    <n v="47078.983516483298"/>
  </r>
  <r>
    <x v="0"/>
    <x v="0"/>
    <x v="1"/>
    <x v="3"/>
    <x v="11"/>
    <s v="SE1_OTHER"/>
    <x v="2"/>
    <s v="GHOB_WASTEHEAT"/>
    <x v="0"/>
    <x v="1"/>
    <n v="35.828754578754399"/>
    <n v="13077.495421245399"/>
    <n v="47078.983516483298"/>
  </r>
  <r>
    <x v="0"/>
    <x v="0"/>
    <x v="1"/>
    <x v="3"/>
    <x v="11"/>
    <s v="SE1_OTHER"/>
    <x v="2"/>
    <s v="GHOB_WASTEHEAT"/>
    <x v="0"/>
    <x v="2"/>
    <n v="35.828754578754399"/>
    <n v="13077.495421245399"/>
    <n v="47078.983516483298"/>
  </r>
  <r>
    <x v="0"/>
    <x v="0"/>
    <x v="1"/>
    <x v="3"/>
    <x v="11"/>
    <s v="SE1_OTHER"/>
    <x v="2"/>
    <s v="GHOB_WASTEHEAT"/>
    <x v="0"/>
    <x v="3"/>
    <n v="35.828754578754399"/>
    <n v="13077.495421245399"/>
    <n v="47078.983516483298"/>
  </r>
  <r>
    <x v="0"/>
    <x v="0"/>
    <x v="1"/>
    <x v="3"/>
    <x v="11"/>
    <s v="SE1_OTHER"/>
    <x v="2"/>
    <s v="GHOB_WASTEHEAT"/>
    <x v="0"/>
    <x v="4"/>
    <n v="35.828754578754399"/>
    <n v="13077.495421245399"/>
    <n v="47078.983516483298"/>
  </r>
  <r>
    <x v="0"/>
    <x v="0"/>
    <x v="1"/>
    <x v="3"/>
    <x v="11"/>
    <s v="SE1_OTHER"/>
    <x v="2"/>
    <s v="GHOB_WASTEHEAT"/>
    <x v="0"/>
    <x v="5"/>
    <n v="35.828754578754399"/>
    <n v="13077.495421245399"/>
    <n v="47078.983516483298"/>
  </r>
  <r>
    <x v="0"/>
    <x v="0"/>
    <x v="1"/>
    <x v="3"/>
    <x v="11"/>
    <s v="SE1_OTHER"/>
    <x v="2"/>
    <s v="GHOB_WASTEHEAT"/>
    <x v="0"/>
    <x v="6"/>
    <n v="35.828754578754399"/>
    <n v="13077.495421245399"/>
    <n v="47078.983516483298"/>
  </r>
  <r>
    <x v="0"/>
    <x v="0"/>
    <x v="1"/>
    <x v="3"/>
    <x v="11"/>
    <s v="SE1_OTHER"/>
    <x v="2"/>
    <s v="GHOB_WASTEHEAT"/>
    <x v="0"/>
    <x v="7"/>
    <n v="35.828754578754399"/>
    <n v="13077.495421245399"/>
    <n v="47078.983516483298"/>
  </r>
  <r>
    <x v="0"/>
    <x v="0"/>
    <x v="1"/>
    <x v="3"/>
    <x v="11"/>
    <s v="SE1_OTHER"/>
    <x v="2"/>
    <s v="GHOB_WASTEHEAT"/>
    <x v="0"/>
    <x v="8"/>
    <n v="35.828754578754399"/>
    <n v="13077.495421245399"/>
    <n v="47078.983516483298"/>
  </r>
  <r>
    <x v="0"/>
    <x v="0"/>
    <x v="1"/>
    <x v="3"/>
    <x v="11"/>
    <s v="SE1_OTHER"/>
    <x v="2"/>
    <s v="GHOB_WASTEHEAT"/>
    <x v="0"/>
    <x v="9"/>
    <n v="35.828754578754399"/>
    <n v="13077.495421245399"/>
    <n v="47078.983516483298"/>
  </r>
  <r>
    <x v="0"/>
    <x v="0"/>
    <x v="1"/>
    <x v="3"/>
    <x v="11"/>
    <s v="SE1_OTHER"/>
    <x v="2"/>
    <s v="GHOB_WASTEHEAT"/>
    <x v="0"/>
    <x v="10"/>
    <n v="35.828754578754399"/>
    <n v="13077.495421245399"/>
    <n v="47078.983516483298"/>
  </r>
  <r>
    <x v="0"/>
    <x v="0"/>
    <x v="1"/>
    <x v="3"/>
    <x v="11"/>
    <s v="SE1_OTHER"/>
    <x v="2"/>
    <s v="GHOB_WASTEHEAT"/>
    <x v="0"/>
    <x v="11"/>
    <n v="35.828754578754399"/>
    <n v="13077.495421245399"/>
    <n v="47078.983516483298"/>
  </r>
  <r>
    <x v="0"/>
    <x v="0"/>
    <x v="1"/>
    <x v="3"/>
    <x v="11"/>
    <s v="SE1_OTHER"/>
    <x v="2"/>
    <s v="GHOB_WASTEHEAT"/>
    <x v="0"/>
    <x v="12"/>
    <n v="35.828754578754399"/>
    <n v="13077.495421245399"/>
    <n v="47078.983516483298"/>
  </r>
  <r>
    <x v="0"/>
    <x v="0"/>
    <x v="1"/>
    <x v="3"/>
    <x v="11"/>
    <s v="SE1_OTHER"/>
    <x v="2"/>
    <s v="GHOB_WASTEHEAT"/>
    <x v="0"/>
    <x v="13"/>
    <n v="35.828754578754399"/>
    <n v="13077.495421245399"/>
    <n v="47078.983516483298"/>
  </r>
  <r>
    <x v="0"/>
    <x v="0"/>
    <x v="1"/>
    <x v="3"/>
    <x v="11"/>
    <s v="SE1_OTHER"/>
    <x v="2"/>
    <s v="GHOB_WASTEHEAT"/>
    <x v="0"/>
    <x v="14"/>
    <n v="35.828754578754399"/>
    <n v="13077.495421245399"/>
    <n v="47078.983516483298"/>
  </r>
  <r>
    <x v="0"/>
    <x v="0"/>
    <x v="1"/>
    <x v="3"/>
    <x v="11"/>
    <s v="SE1_OTHER"/>
    <x v="2"/>
    <s v="GHOB_WASTEHEAT"/>
    <x v="0"/>
    <x v="15"/>
    <n v="35.828754578754399"/>
    <n v="13077.495421245399"/>
    <n v="47078.983516483298"/>
  </r>
  <r>
    <x v="0"/>
    <x v="0"/>
    <x v="1"/>
    <x v="3"/>
    <x v="11"/>
    <s v="SE1_OTHER"/>
    <x v="2"/>
    <s v="GHOB_WASTEHEAT"/>
    <x v="0"/>
    <x v="16"/>
    <n v="35.828754578754399"/>
    <n v="13077.495421245399"/>
    <n v="47078.983516483298"/>
  </r>
  <r>
    <x v="0"/>
    <x v="0"/>
    <x v="1"/>
    <x v="3"/>
    <x v="11"/>
    <s v="SE1_OTHER"/>
    <x v="2"/>
    <s v="GHOB_WASTEHEAT"/>
    <x v="0"/>
    <x v="17"/>
    <n v="35.828754578754399"/>
    <n v="13077.495421245399"/>
    <n v="47078.983516483298"/>
  </r>
  <r>
    <x v="0"/>
    <x v="0"/>
    <x v="1"/>
    <x v="3"/>
    <x v="11"/>
    <s v="SE1_OTHER"/>
    <x v="2"/>
    <s v="GHOB_WASTEHEAT"/>
    <x v="0"/>
    <x v="18"/>
    <n v="35.828754578754399"/>
    <n v="13077.495421245399"/>
    <n v="47078.983516483298"/>
  </r>
  <r>
    <x v="0"/>
    <x v="0"/>
    <x v="1"/>
    <x v="3"/>
    <x v="11"/>
    <s v="SE1_OTHER"/>
    <x v="2"/>
    <s v="GHOB_WASTEHEAT"/>
    <x v="0"/>
    <x v="19"/>
    <n v="35.828754578754399"/>
    <n v="13077.495421245399"/>
    <n v="47078.983516483298"/>
  </r>
  <r>
    <x v="0"/>
    <x v="0"/>
    <x v="1"/>
    <x v="3"/>
    <x v="11"/>
    <s v="SE1_OTHER"/>
    <x v="2"/>
    <s v="GHOB_WASTEHEAT"/>
    <x v="0"/>
    <x v="20"/>
    <n v="35.828754578754399"/>
    <n v="13077.495421245399"/>
    <n v="47078.983516483298"/>
  </r>
  <r>
    <x v="0"/>
    <x v="0"/>
    <x v="1"/>
    <x v="3"/>
    <x v="11"/>
    <s v="SE1_OTHER"/>
    <x v="2"/>
    <s v="GHOB_WASTEHEAT"/>
    <x v="0"/>
    <x v="21"/>
    <n v="35.828754578754399"/>
    <n v="13077.495421245399"/>
    <n v="47078.983516483298"/>
  </r>
  <r>
    <x v="0"/>
    <x v="0"/>
    <x v="1"/>
    <x v="3"/>
    <x v="11"/>
    <s v="SE1_OTHER"/>
    <x v="2"/>
    <s v="GHOB_WASTEHEAT"/>
    <x v="0"/>
    <x v="22"/>
    <n v="35.828754578754399"/>
    <n v="13077.495421245399"/>
    <n v="47078.983516483298"/>
  </r>
  <r>
    <x v="0"/>
    <x v="0"/>
    <x v="1"/>
    <x v="3"/>
    <x v="11"/>
    <s v="SE1_OTHER"/>
    <x v="2"/>
    <s v="GHOB_WASTEHEAT"/>
    <x v="0"/>
    <x v="23"/>
    <n v="35.828754578754399"/>
    <n v="13077.495421245399"/>
    <n v="47078.983516483298"/>
  </r>
  <r>
    <x v="0"/>
    <x v="0"/>
    <x v="1"/>
    <x v="3"/>
    <x v="11"/>
    <s v="SE1_OTHER"/>
    <x v="9"/>
    <s v="GBPR_WOODWASTE"/>
    <x v="0"/>
    <x v="7"/>
    <n v="3.7998966172411799"/>
    <n v="1386.96226529303"/>
    <n v="4993.0641550549099"/>
  </r>
  <r>
    <x v="0"/>
    <x v="0"/>
    <x v="1"/>
    <x v="3"/>
    <x v="11"/>
    <s v="SE1_OTHER"/>
    <x v="9"/>
    <s v="GHOB_WOODWASTE"/>
    <x v="0"/>
    <x v="6"/>
    <n v="18.604020238312899"/>
    <n v="6790.4673869841999"/>
    <n v="24445.682593143101"/>
  </r>
  <r>
    <x v="0"/>
    <x v="0"/>
    <x v="1"/>
    <x v="3"/>
    <x v="11"/>
    <s v="SE1_OTHER"/>
    <x v="9"/>
    <s v="GHOB_WOODWASTE"/>
    <x v="0"/>
    <x v="7"/>
    <n v="25.696367569795001"/>
    <n v="9379.1741629751705"/>
    <n v="33765.026986710604"/>
  </r>
  <r>
    <x v="0"/>
    <x v="0"/>
    <x v="1"/>
    <x v="3"/>
    <x v="11"/>
    <s v="SE1_OTHER"/>
    <x v="9"/>
    <s v="GHOB_WOODWASTE"/>
    <x v="0"/>
    <x v="8"/>
    <n v="25.696367569795001"/>
    <n v="9379.1741629751705"/>
    <n v="33765.026986710604"/>
  </r>
  <r>
    <x v="0"/>
    <x v="0"/>
    <x v="1"/>
    <x v="3"/>
    <x v="11"/>
    <s v="SE1_OTHER"/>
    <x v="9"/>
    <s v="GHOB_WOODWASTE"/>
    <x v="0"/>
    <x v="9"/>
    <n v="20.9892938956521"/>
    <n v="7661.0922719130303"/>
    <n v="27579.932178886898"/>
  </r>
  <r>
    <x v="0"/>
    <x v="0"/>
    <x v="1"/>
    <x v="3"/>
    <x v="11"/>
    <s v="SE1_OTHER"/>
    <x v="9"/>
    <s v="GHOB_WOODWASTE"/>
    <x v="0"/>
    <x v="10"/>
    <n v="17.054709959910099"/>
    <n v="6224.9691353671897"/>
    <n v="22409.8888873219"/>
  </r>
  <r>
    <x v="0"/>
    <x v="0"/>
    <x v="1"/>
    <x v="3"/>
    <x v="11"/>
    <s v="SE1_OTHER"/>
    <x v="9"/>
    <s v="GHOB_WOODWASTE"/>
    <x v="0"/>
    <x v="11"/>
    <n v="15.8738388484454"/>
    <n v="5793.95117968258"/>
    <n v="20858.224246857299"/>
  </r>
  <r>
    <x v="0"/>
    <x v="0"/>
    <x v="1"/>
    <x v="3"/>
    <x v="11"/>
    <s v="SE1_OTHER"/>
    <x v="9"/>
    <s v="GHOB_WOODWASTE"/>
    <x v="0"/>
    <x v="12"/>
    <n v="12.161563264793999"/>
    <n v="4438.9705916498197"/>
    <n v="15980.294129939401"/>
  </r>
  <r>
    <x v="0"/>
    <x v="0"/>
    <x v="1"/>
    <x v="3"/>
    <x v="11"/>
    <s v="SE1_OTHER"/>
    <x v="9"/>
    <s v="GHOB_WOODWASTE"/>
    <x v="0"/>
    <x v="13"/>
    <n v="10.8869225255474"/>
    <n v="3973.7267218247998"/>
    <n v="14305.416198569301"/>
  </r>
  <r>
    <x v="0"/>
    <x v="0"/>
    <x v="1"/>
    <x v="3"/>
    <x v="11"/>
    <s v="SE1_OTHER"/>
    <x v="9"/>
    <s v="GHOB_WOODWASTE"/>
    <x v="0"/>
    <x v="14"/>
    <n v="11.2569382679965"/>
    <n v="4108.7824678187399"/>
    <n v="14791.616884147499"/>
  </r>
  <r>
    <x v="0"/>
    <x v="0"/>
    <x v="1"/>
    <x v="3"/>
    <x v="11"/>
    <s v="SE1_OTHER"/>
    <x v="9"/>
    <s v="GHOB_WOODWASTE"/>
    <x v="0"/>
    <x v="15"/>
    <n v="10.526819108042501"/>
    <n v="3842.2889744355102"/>
    <n v="13832.240307967901"/>
  </r>
  <r>
    <x v="0"/>
    <x v="0"/>
    <x v="1"/>
    <x v="3"/>
    <x v="11"/>
    <s v="SE1_OTHER"/>
    <x v="9"/>
    <s v="GHOB_WOODWASTE"/>
    <x v="0"/>
    <x v="16"/>
    <n v="7.4178115639084696"/>
    <n v="2707.5012208265898"/>
    <n v="9747.0043949757292"/>
  </r>
  <r>
    <x v="0"/>
    <x v="0"/>
    <x v="1"/>
    <x v="3"/>
    <x v="11"/>
    <s v="SE1_OTHER"/>
    <x v="9"/>
    <s v="GHOB_WOODWASTE"/>
    <x v="0"/>
    <x v="17"/>
    <n v="3.2198986789844"/>
    <n v="1175.26301782931"/>
    <n v="4230.9468641855101"/>
  </r>
  <r>
    <x v="0"/>
    <x v="0"/>
    <x v="1"/>
    <x v="3"/>
    <x v="11"/>
    <s v="SE1_OTHER"/>
    <x v="9"/>
    <s v="GHOB_WOODWASTE"/>
    <x v="0"/>
    <x v="18"/>
    <n v="1.48781986970194"/>
    <n v="543.05425244120795"/>
    <n v="1954.99530878835"/>
  </r>
  <r>
    <x v="0"/>
    <x v="0"/>
    <x v="1"/>
    <x v="3"/>
    <x v="11"/>
    <s v="SE1_OTHER"/>
    <x v="9"/>
    <s v="GHOB_WOODWASTE"/>
    <x v="0"/>
    <x v="19"/>
    <n v="1.3060329104535799"/>
    <n v="476.70201231555501"/>
    <n v="1716.1272443360001"/>
  </r>
  <r>
    <x v="0"/>
    <x v="0"/>
    <x v="1"/>
    <x v="3"/>
    <x v="12"/>
    <s v="SE2A"/>
    <x v="6"/>
    <s v="GNR_PV_SUN_LS-4-MW_Y-2020"/>
    <x v="0"/>
    <x v="0"/>
    <n v="58.315188477927599"/>
    <n v="21285.043794443602"/>
    <n v="76626.157659996796"/>
  </r>
  <r>
    <x v="0"/>
    <x v="0"/>
    <x v="1"/>
    <x v="3"/>
    <x v="12"/>
    <s v="SE2A"/>
    <x v="6"/>
    <s v="GNR_PV_SUN_LS-4-MW_Y-2020"/>
    <x v="0"/>
    <x v="1"/>
    <n v="415.44235608326699"/>
    <n v="151636.45997039301"/>
    <n v="545891.25589341298"/>
  </r>
  <r>
    <x v="0"/>
    <x v="0"/>
    <x v="1"/>
    <x v="3"/>
    <x v="12"/>
    <s v="SE2A"/>
    <x v="6"/>
    <s v="GNR_PV_SUN_LS-4-MW_Y-2020"/>
    <x v="0"/>
    <x v="2"/>
    <n v="271.66763574682699"/>
    <n v="99158.687047592"/>
    <n v="356971.27337133099"/>
  </r>
  <r>
    <x v="0"/>
    <x v="0"/>
    <x v="1"/>
    <x v="3"/>
    <x v="12"/>
    <s v="SE2A"/>
    <x v="6"/>
    <s v="GNR_PV_SUN_LS-4-MW_Y-2020"/>
    <x v="0"/>
    <x v="6"/>
    <n v="97.904122185571097"/>
    <n v="35735.004597733401"/>
    <n v="128646.01655184"/>
  </r>
  <r>
    <x v="0"/>
    <x v="0"/>
    <x v="1"/>
    <x v="3"/>
    <x v="12"/>
    <s v="SE2A"/>
    <x v="6"/>
    <s v="GNR_PV_SUN_LS-4-MW_Y-2020"/>
    <x v="0"/>
    <x v="7"/>
    <n v="202.670108017959"/>
    <n v="73974.589426555205"/>
    <n v="266308.52193559898"/>
  </r>
  <r>
    <x v="0"/>
    <x v="0"/>
    <x v="1"/>
    <x v="3"/>
    <x v="12"/>
    <s v="SE2A"/>
    <x v="6"/>
    <s v="GNR_PV_SUN_LS-4-MW_Y-2020"/>
    <x v="0"/>
    <x v="8"/>
    <n v="148.95149313034599"/>
    <n v="54367.2949925762"/>
    <n v="195722.261973274"/>
  </r>
  <r>
    <x v="0"/>
    <x v="0"/>
    <x v="1"/>
    <x v="3"/>
    <x v="12"/>
    <s v="SE2A"/>
    <x v="6"/>
    <s v="GNR_PV_SUN_LS-4-MW_Y-2020"/>
    <x v="0"/>
    <x v="9"/>
    <n v="244.95627458073901"/>
    <n v="89409.040221969597"/>
    <n v="321872.54479909001"/>
  </r>
  <r>
    <x v="0"/>
    <x v="0"/>
    <x v="1"/>
    <x v="3"/>
    <x v="12"/>
    <s v="SE2A"/>
    <x v="6"/>
    <s v="GNR_PV_SUN_LS-4-MW_Y-2020"/>
    <x v="0"/>
    <x v="10"/>
    <n v="208.21225695548699"/>
    <n v="75997.473788752803"/>
    <n v="273590.90563951002"/>
  </r>
  <r>
    <x v="0"/>
    <x v="0"/>
    <x v="1"/>
    <x v="3"/>
    <x v="12"/>
    <s v="SE2A"/>
    <x v="6"/>
    <s v="GNR_PV_SUN_LS-4-MW_Y-2020"/>
    <x v="0"/>
    <x v="11"/>
    <n v="197.38952451249099"/>
    <n v="72047.176447059304"/>
    <n v="259369.83520941401"/>
  </r>
  <r>
    <x v="0"/>
    <x v="0"/>
    <x v="1"/>
    <x v="3"/>
    <x v="12"/>
    <s v="SE2A"/>
    <x v="6"/>
    <s v="GNR_PV_SUN_LS-4-MW_Y-2020"/>
    <x v="0"/>
    <x v="19"/>
    <n v="22.612029401809501"/>
    <n v="8253.3907316604691"/>
    <n v="29712.206633977701"/>
  </r>
  <r>
    <x v="0"/>
    <x v="0"/>
    <x v="1"/>
    <x v="3"/>
    <x v="12"/>
    <s v="SE2A"/>
    <x v="6"/>
    <s v="GNR_PV_SUN_LS-4-MW_Y-2020"/>
    <x v="0"/>
    <x v="20"/>
    <n v="142.103178015558"/>
    <n v="51867.659975678704"/>
    <n v="186723.57591244299"/>
  </r>
  <r>
    <x v="0"/>
    <x v="0"/>
    <x v="1"/>
    <x v="3"/>
    <x v="12"/>
    <s v="SE2A"/>
    <x v="6"/>
    <s v="GNR_PV_SUN_LS-4-MW_Y-2020"/>
    <x v="0"/>
    <x v="21"/>
    <n v="87.354226983686999"/>
    <n v="31884.2928490458"/>
    <n v="114783.454256565"/>
  </r>
  <r>
    <x v="0"/>
    <x v="0"/>
    <x v="1"/>
    <x v="3"/>
    <x v="12"/>
    <s v="SE2A"/>
    <x v="6"/>
    <s v="GNR_PV_SUN_LS-4-MW_Y-2020"/>
    <x v="0"/>
    <x v="22"/>
    <n v="30.836657106161301"/>
    <n v="11255.3798437489"/>
    <n v="40519.367437495901"/>
  </r>
  <r>
    <x v="0"/>
    <x v="0"/>
    <x v="1"/>
    <x v="3"/>
    <x v="12"/>
    <s v="SE2A"/>
    <x v="6"/>
    <s v="GNR_PV_SUN_LS-4-MW_Y-2020"/>
    <x v="0"/>
    <x v="23"/>
    <n v="155.31095248029999"/>
    <n v="56688.497655309497"/>
    <n v="204078.59155911399"/>
  </r>
  <r>
    <x v="0"/>
    <x v="0"/>
    <x v="1"/>
    <x v="3"/>
    <x v="12"/>
    <s v="SE2A"/>
    <x v="7"/>
    <s v="GHYRR_WATER"/>
    <x v="0"/>
    <x v="0"/>
    <n v="1064.8780642060001"/>
    <n v="388680.49343518901"/>
    <n v="1399249.7763666799"/>
  </r>
  <r>
    <x v="0"/>
    <x v="0"/>
    <x v="1"/>
    <x v="3"/>
    <x v="12"/>
    <s v="SE2A"/>
    <x v="7"/>
    <s v="GHYRR_WATER"/>
    <x v="0"/>
    <x v="1"/>
    <n v="1064.8780642060001"/>
    <n v="388680.49343518901"/>
    <n v="1399249.7763666799"/>
  </r>
  <r>
    <x v="0"/>
    <x v="0"/>
    <x v="1"/>
    <x v="3"/>
    <x v="12"/>
    <s v="SE2A"/>
    <x v="7"/>
    <s v="GHYRR_WATER"/>
    <x v="0"/>
    <x v="2"/>
    <n v="1064.8780642060001"/>
    <n v="388680.49343518901"/>
    <n v="1399249.7763666799"/>
  </r>
  <r>
    <x v="0"/>
    <x v="0"/>
    <x v="1"/>
    <x v="3"/>
    <x v="12"/>
    <s v="SE2A"/>
    <x v="7"/>
    <s v="GHYRR_WATER"/>
    <x v="0"/>
    <x v="3"/>
    <n v="1064.8780642060001"/>
    <n v="388680.49343518901"/>
    <n v="1399249.7763666799"/>
  </r>
  <r>
    <x v="0"/>
    <x v="0"/>
    <x v="1"/>
    <x v="3"/>
    <x v="12"/>
    <s v="SE2A"/>
    <x v="7"/>
    <s v="GHYRR_WATER"/>
    <x v="0"/>
    <x v="4"/>
    <n v="1064.8780642060001"/>
    <n v="388680.49343518901"/>
    <n v="1399249.7763666799"/>
  </r>
  <r>
    <x v="0"/>
    <x v="0"/>
    <x v="1"/>
    <x v="3"/>
    <x v="12"/>
    <s v="SE2A"/>
    <x v="7"/>
    <s v="GHYRR_WATER"/>
    <x v="0"/>
    <x v="5"/>
    <n v="1064.8780642060001"/>
    <n v="388680.49343518901"/>
    <n v="1399249.7763666799"/>
  </r>
  <r>
    <x v="0"/>
    <x v="0"/>
    <x v="1"/>
    <x v="3"/>
    <x v="12"/>
    <s v="SE2A"/>
    <x v="7"/>
    <s v="GHYRR_WATER"/>
    <x v="0"/>
    <x v="6"/>
    <n v="1064.8780642060001"/>
    <n v="388680.49343518901"/>
    <n v="1399249.7763666799"/>
  </r>
  <r>
    <x v="0"/>
    <x v="0"/>
    <x v="1"/>
    <x v="3"/>
    <x v="12"/>
    <s v="SE2A"/>
    <x v="7"/>
    <s v="GHYRR_WATER"/>
    <x v="0"/>
    <x v="7"/>
    <n v="1064.8780642060001"/>
    <n v="388680.49343518901"/>
    <n v="1399249.7763666799"/>
  </r>
  <r>
    <x v="0"/>
    <x v="0"/>
    <x v="1"/>
    <x v="3"/>
    <x v="12"/>
    <s v="SE2A"/>
    <x v="7"/>
    <s v="GHYRR_WATER"/>
    <x v="0"/>
    <x v="8"/>
    <n v="1064.8780642060001"/>
    <n v="388680.49343518901"/>
    <n v="1399249.7763666799"/>
  </r>
  <r>
    <x v="0"/>
    <x v="0"/>
    <x v="1"/>
    <x v="3"/>
    <x v="12"/>
    <s v="SE2A"/>
    <x v="7"/>
    <s v="GHYRR_WATER"/>
    <x v="0"/>
    <x v="9"/>
    <n v="1064.8780642060001"/>
    <n v="388680.49343518901"/>
    <n v="1399249.7763666799"/>
  </r>
  <r>
    <x v="0"/>
    <x v="0"/>
    <x v="1"/>
    <x v="3"/>
    <x v="12"/>
    <s v="SE2A"/>
    <x v="7"/>
    <s v="GHYRR_WATER"/>
    <x v="0"/>
    <x v="10"/>
    <n v="1064.8780642060001"/>
    <n v="388680.49343518901"/>
    <n v="1399249.7763666799"/>
  </r>
  <r>
    <x v="0"/>
    <x v="0"/>
    <x v="1"/>
    <x v="3"/>
    <x v="12"/>
    <s v="SE2A"/>
    <x v="7"/>
    <s v="GHYRR_WATER"/>
    <x v="0"/>
    <x v="11"/>
    <n v="1064.8780642060001"/>
    <n v="388680.49343518901"/>
    <n v="1399249.7763666799"/>
  </r>
  <r>
    <x v="0"/>
    <x v="0"/>
    <x v="1"/>
    <x v="3"/>
    <x v="12"/>
    <s v="SE2A"/>
    <x v="7"/>
    <s v="GHYRR_WATER"/>
    <x v="0"/>
    <x v="12"/>
    <n v="1064.8780642060001"/>
    <n v="388680.49343518901"/>
    <n v="1399249.7763666799"/>
  </r>
  <r>
    <x v="0"/>
    <x v="0"/>
    <x v="1"/>
    <x v="3"/>
    <x v="12"/>
    <s v="SE2A"/>
    <x v="7"/>
    <s v="GHYRR_WATER"/>
    <x v="0"/>
    <x v="13"/>
    <n v="1064.8780642060001"/>
    <n v="388680.49343518901"/>
    <n v="1399249.7763666799"/>
  </r>
  <r>
    <x v="0"/>
    <x v="0"/>
    <x v="1"/>
    <x v="3"/>
    <x v="12"/>
    <s v="SE2A"/>
    <x v="7"/>
    <s v="GHYRR_WATER"/>
    <x v="0"/>
    <x v="14"/>
    <n v="1064.8780642060001"/>
    <n v="388680.49343518901"/>
    <n v="1399249.7763666799"/>
  </r>
  <r>
    <x v="0"/>
    <x v="0"/>
    <x v="1"/>
    <x v="3"/>
    <x v="12"/>
    <s v="SE2A"/>
    <x v="7"/>
    <s v="GHYRR_WATER"/>
    <x v="0"/>
    <x v="15"/>
    <n v="1064.8780642060001"/>
    <n v="388680.49343518901"/>
    <n v="1399249.7763666799"/>
  </r>
  <r>
    <x v="0"/>
    <x v="0"/>
    <x v="1"/>
    <x v="3"/>
    <x v="12"/>
    <s v="SE2A"/>
    <x v="7"/>
    <s v="GHYRR_WATER"/>
    <x v="0"/>
    <x v="16"/>
    <n v="1064.8780642060001"/>
    <n v="388680.49343518901"/>
    <n v="1399249.7763666799"/>
  </r>
  <r>
    <x v="0"/>
    <x v="0"/>
    <x v="1"/>
    <x v="3"/>
    <x v="12"/>
    <s v="SE2A"/>
    <x v="7"/>
    <s v="GHYRR_WATER"/>
    <x v="0"/>
    <x v="17"/>
    <n v="1064.8780642060001"/>
    <n v="388680.49343518901"/>
    <n v="1399249.7763666799"/>
  </r>
  <r>
    <x v="0"/>
    <x v="0"/>
    <x v="1"/>
    <x v="3"/>
    <x v="12"/>
    <s v="SE2A"/>
    <x v="7"/>
    <s v="GHYRR_WATER"/>
    <x v="0"/>
    <x v="18"/>
    <n v="1064.8780642060001"/>
    <n v="388680.49343518901"/>
    <n v="1399249.7763666799"/>
  </r>
  <r>
    <x v="0"/>
    <x v="0"/>
    <x v="1"/>
    <x v="3"/>
    <x v="12"/>
    <s v="SE2A"/>
    <x v="7"/>
    <s v="GHYRR_WATER"/>
    <x v="0"/>
    <x v="19"/>
    <n v="1064.8780642060001"/>
    <n v="388680.49343518901"/>
    <n v="1399249.7763666799"/>
  </r>
  <r>
    <x v="0"/>
    <x v="0"/>
    <x v="1"/>
    <x v="3"/>
    <x v="12"/>
    <s v="SE2A"/>
    <x v="7"/>
    <s v="GHYRR_WATER"/>
    <x v="0"/>
    <x v="20"/>
    <n v="1064.8780642060001"/>
    <n v="388680.49343518901"/>
    <n v="1399249.7763666799"/>
  </r>
  <r>
    <x v="0"/>
    <x v="0"/>
    <x v="1"/>
    <x v="3"/>
    <x v="12"/>
    <s v="SE2A"/>
    <x v="7"/>
    <s v="GHYRR_WATER"/>
    <x v="0"/>
    <x v="21"/>
    <n v="1064.8780642060001"/>
    <n v="388680.49343518901"/>
    <n v="1399249.7763666799"/>
  </r>
  <r>
    <x v="0"/>
    <x v="0"/>
    <x v="1"/>
    <x v="3"/>
    <x v="12"/>
    <s v="SE2A"/>
    <x v="7"/>
    <s v="GHYRR_WATER"/>
    <x v="0"/>
    <x v="22"/>
    <n v="1064.8780642060001"/>
    <n v="388680.49343518901"/>
    <n v="1399249.7763666799"/>
  </r>
  <r>
    <x v="0"/>
    <x v="0"/>
    <x v="1"/>
    <x v="3"/>
    <x v="12"/>
    <s v="SE2A"/>
    <x v="7"/>
    <s v="GHYRR_WATER"/>
    <x v="0"/>
    <x v="23"/>
    <n v="1064.8780642060001"/>
    <n v="388680.49343518901"/>
    <n v="1399249.7763666799"/>
  </r>
  <r>
    <x v="0"/>
    <x v="0"/>
    <x v="1"/>
    <x v="3"/>
    <x v="12"/>
    <s v="SE2A"/>
    <x v="8"/>
    <s v="GNR_WT_WIND_ONS"/>
    <x v="0"/>
    <x v="0"/>
    <n v="512.35914520012705"/>
    <n v="187011.08799804599"/>
    <n v="673239.91679296701"/>
  </r>
  <r>
    <x v="0"/>
    <x v="0"/>
    <x v="1"/>
    <x v="3"/>
    <x v="12"/>
    <s v="SE2A"/>
    <x v="8"/>
    <s v="GNR_WT_WIND_ONS"/>
    <x v="0"/>
    <x v="1"/>
    <n v="677.57838462070299"/>
    <n v="247316.11038655601"/>
    <n v="890337.99739160296"/>
  </r>
  <r>
    <x v="0"/>
    <x v="0"/>
    <x v="1"/>
    <x v="3"/>
    <x v="12"/>
    <s v="SE2A"/>
    <x v="8"/>
    <s v="GNR_WT_WIND_ONS"/>
    <x v="0"/>
    <x v="2"/>
    <n v="815.43855026625499"/>
    <n v="297635.070847183"/>
    <n v="1071486.2550498601"/>
  </r>
  <r>
    <x v="0"/>
    <x v="0"/>
    <x v="1"/>
    <x v="3"/>
    <x v="12"/>
    <s v="SE2A"/>
    <x v="8"/>
    <s v="GNR_WT_WIND_ONS"/>
    <x v="0"/>
    <x v="3"/>
    <n v="899.69930604622698"/>
    <n v="328390.246706873"/>
    <n v="1182204.8881447399"/>
  </r>
  <r>
    <x v="0"/>
    <x v="0"/>
    <x v="1"/>
    <x v="3"/>
    <x v="12"/>
    <s v="SE2A"/>
    <x v="8"/>
    <s v="GNR_WT_WIND_ONS"/>
    <x v="0"/>
    <x v="4"/>
    <n v="1021.92750466832"/>
    <n v="373003.53920393699"/>
    <n v="1342812.74113417"/>
  </r>
  <r>
    <x v="0"/>
    <x v="0"/>
    <x v="1"/>
    <x v="3"/>
    <x v="12"/>
    <s v="SE2A"/>
    <x v="8"/>
    <s v="GNR_WT_WIND_ONS"/>
    <x v="0"/>
    <x v="5"/>
    <n v="1003.91052968604"/>
    <n v="366427.34333540598"/>
    <n v="1319138.4360074601"/>
  </r>
  <r>
    <x v="0"/>
    <x v="0"/>
    <x v="1"/>
    <x v="3"/>
    <x v="12"/>
    <s v="SE2A"/>
    <x v="8"/>
    <s v="GNR_WT_WIND_ONS"/>
    <x v="0"/>
    <x v="6"/>
    <n v="1045.2251519920801"/>
    <n v="381507.18047710898"/>
    <n v="1373425.84971759"/>
  </r>
  <r>
    <x v="0"/>
    <x v="0"/>
    <x v="1"/>
    <x v="3"/>
    <x v="12"/>
    <s v="SE2A"/>
    <x v="8"/>
    <s v="GNR_WT_WIND_ONS"/>
    <x v="0"/>
    <x v="7"/>
    <n v="1030.38664927839"/>
    <n v="376091.12698661198"/>
    <n v="1353928.0571518"/>
  </r>
  <r>
    <x v="0"/>
    <x v="0"/>
    <x v="1"/>
    <x v="3"/>
    <x v="12"/>
    <s v="SE2A"/>
    <x v="8"/>
    <s v="GNR_WT_WIND_ONS"/>
    <x v="0"/>
    <x v="8"/>
    <n v="1056.1766691528801"/>
    <n v="385504.48424080102"/>
    <n v="1387816.14326688"/>
  </r>
  <r>
    <x v="0"/>
    <x v="0"/>
    <x v="1"/>
    <x v="3"/>
    <x v="12"/>
    <s v="SE2A"/>
    <x v="8"/>
    <s v="GNR_WT_WIND_ONS"/>
    <x v="0"/>
    <x v="9"/>
    <n v="1064.8103348529701"/>
    <n v="388655.77222133498"/>
    <n v="1399160.77999681"/>
  </r>
  <r>
    <x v="0"/>
    <x v="0"/>
    <x v="1"/>
    <x v="3"/>
    <x v="12"/>
    <s v="SE2A"/>
    <x v="8"/>
    <s v="GNR_WT_WIND_ONS"/>
    <x v="0"/>
    <x v="10"/>
    <n v="1122.0628473117799"/>
    <n v="409552.93926880101"/>
    <n v="1474390.5813676901"/>
  </r>
  <r>
    <x v="0"/>
    <x v="0"/>
    <x v="1"/>
    <x v="3"/>
    <x v="12"/>
    <s v="SE2A"/>
    <x v="8"/>
    <s v="GNR_WT_WIND_ONS"/>
    <x v="0"/>
    <x v="11"/>
    <n v="1165.85143016549"/>
    <n v="425535.77201040299"/>
    <n v="1531928.7792374501"/>
  </r>
  <r>
    <x v="0"/>
    <x v="0"/>
    <x v="1"/>
    <x v="3"/>
    <x v="12"/>
    <s v="SE2A"/>
    <x v="8"/>
    <s v="GNR_WT_WIND_ONS"/>
    <x v="0"/>
    <x v="12"/>
    <n v="1269.49674533393"/>
    <n v="463366.31204688601"/>
    <n v="1668118.72336879"/>
  </r>
  <r>
    <x v="0"/>
    <x v="0"/>
    <x v="1"/>
    <x v="3"/>
    <x v="12"/>
    <s v="SE2A"/>
    <x v="8"/>
    <s v="GNR_WT_WIND_ONS"/>
    <x v="0"/>
    <x v="13"/>
    <n v="1359.84913959298"/>
    <n v="496344.93595143902"/>
    <n v="1786841.76942518"/>
  </r>
  <r>
    <x v="0"/>
    <x v="0"/>
    <x v="1"/>
    <x v="3"/>
    <x v="12"/>
    <s v="SE2A"/>
    <x v="8"/>
    <s v="GNR_WT_WIND_ONS"/>
    <x v="0"/>
    <x v="14"/>
    <n v="1420.32688407207"/>
    <n v="518419.31268630398"/>
    <n v="1866309.5256707"/>
  </r>
  <r>
    <x v="0"/>
    <x v="0"/>
    <x v="1"/>
    <x v="3"/>
    <x v="12"/>
    <s v="SE2A"/>
    <x v="8"/>
    <s v="GNR_WT_WIND_ONS"/>
    <x v="0"/>
    <x v="15"/>
    <n v="1350.7873346778999"/>
    <n v="493037.37715743302"/>
    <n v="1774934.55776676"/>
  </r>
  <r>
    <x v="0"/>
    <x v="0"/>
    <x v="1"/>
    <x v="3"/>
    <x v="12"/>
    <s v="SE2A"/>
    <x v="8"/>
    <s v="GNR_WT_WIND_ONS"/>
    <x v="0"/>
    <x v="16"/>
    <n v="1389.1281819236401"/>
    <n v="507031.78640212701"/>
    <n v="1825314.4310476601"/>
  </r>
  <r>
    <x v="0"/>
    <x v="0"/>
    <x v="1"/>
    <x v="3"/>
    <x v="12"/>
    <s v="SE2A"/>
    <x v="8"/>
    <s v="GNR_WT_WIND_ONS"/>
    <x v="0"/>
    <x v="17"/>
    <n v="1417.36841358836"/>
    <n v="517339.47095975"/>
    <n v="1862422.0954551001"/>
  </r>
  <r>
    <x v="0"/>
    <x v="0"/>
    <x v="1"/>
    <x v="3"/>
    <x v="12"/>
    <s v="SE2A"/>
    <x v="8"/>
    <s v="GNR_WT_WIND_ONS"/>
    <x v="0"/>
    <x v="18"/>
    <n v="1347.3891212473"/>
    <n v="491797.02925526601"/>
    <n v="1770469.30531896"/>
  </r>
  <r>
    <x v="0"/>
    <x v="0"/>
    <x v="1"/>
    <x v="3"/>
    <x v="12"/>
    <s v="SE2A"/>
    <x v="8"/>
    <s v="GNR_WT_WIND_ONS"/>
    <x v="0"/>
    <x v="19"/>
    <n v="1185.1864150753299"/>
    <n v="432593.04150249501"/>
    <n v="1557334.9494089801"/>
  </r>
  <r>
    <x v="0"/>
    <x v="0"/>
    <x v="1"/>
    <x v="3"/>
    <x v="12"/>
    <s v="SE2A"/>
    <x v="8"/>
    <s v="GNR_WT_WIND_ONS"/>
    <x v="0"/>
    <x v="20"/>
    <n v="1097.33903959037"/>
    <n v="400528.74945048499"/>
    <n v="1441903.49802175"/>
  </r>
  <r>
    <x v="0"/>
    <x v="0"/>
    <x v="1"/>
    <x v="3"/>
    <x v="12"/>
    <s v="SE2A"/>
    <x v="8"/>
    <s v="GNR_WT_WIND_ONS"/>
    <x v="0"/>
    <x v="21"/>
    <n v="1012.57138837498"/>
    <n v="369588.55675686902"/>
    <n v="1330518.8043247301"/>
  </r>
  <r>
    <x v="0"/>
    <x v="0"/>
    <x v="1"/>
    <x v="3"/>
    <x v="12"/>
    <s v="SE2A"/>
    <x v="8"/>
    <s v="GNR_WT_WIND_ONS"/>
    <x v="0"/>
    <x v="22"/>
    <n v="943.133113016837"/>
    <n v="344243.586251145"/>
    <n v="1239276.9105041199"/>
  </r>
  <r>
    <x v="0"/>
    <x v="0"/>
    <x v="1"/>
    <x v="3"/>
    <x v="12"/>
    <s v="SE2A"/>
    <x v="8"/>
    <s v="GNR_WT_WIND_ONS"/>
    <x v="0"/>
    <x v="23"/>
    <n v="765.07437231982306"/>
    <n v="279252.14589673502"/>
    <n v="1005307.72522825"/>
  </r>
  <r>
    <x v="0"/>
    <x v="0"/>
    <x v="1"/>
    <x v="3"/>
    <x v="12"/>
    <s v="SE2_EL"/>
    <x v="1"/>
    <s v="GBPR_MUNIWASTE_24"/>
    <x v="0"/>
    <x v="6"/>
    <n v="8.2331673411673094"/>
    <n v="3005.1060795260701"/>
    <n v="10818.381886293801"/>
  </r>
  <r>
    <x v="0"/>
    <x v="0"/>
    <x v="1"/>
    <x v="3"/>
    <x v="12"/>
    <s v="SE2_EL"/>
    <x v="1"/>
    <s v="GBPR_MUNIWASTE_24"/>
    <x v="0"/>
    <x v="7"/>
    <n v="34.9155035392427"/>
    <n v="12744.1587918236"/>
    <n v="45878.971650564898"/>
  </r>
  <r>
    <x v="0"/>
    <x v="0"/>
    <x v="1"/>
    <x v="3"/>
    <x v="12"/>
    <s v="SE2_EL"/>
    <x v="1"/>
    <s v="GBPR_MUNIWASTE_24"/>
    <x v="0"/>
    <x v="8"/>
    <n v="22.495012410500301"/>
    <n v="8210.6795298326306"/>
    <n v="29558.446307397498"/>
  </r>
  <r>
    <x v="0"/>
    <x v="0"/>
    <x v="1"/>
    <x v="3"/>
    <x v="12"/>
    <s v="SE2_EL"/>
    <x v="1"/>
    <s v="GBPR_MUNIWASTE_24"/>
    <x v="0"/>
    <x v="9"/>
    <n v="1.7436568454838799"/>
    <n v="636.43474860161598"/>
    <n v="2291.1650949658201"/>
  </r>
  <r>
    <x v="0"/>
    <x v="0"/>
    <x v="1"/>
    <x v="3"/>
    <x v="12"/>
    <s v="SE2_EL"/>
    <x v="2"/>
    <s v="GHOB_WASTEHEAT"/>
    <x v="0"/>
    <x v="0"/>
    <n v="17.284798534798501"/>
    <n v="6308.9514652014404"/>
    <n v="22712.225274725199"/>
  </r>
  <r>
    <x v="0"/>
    <x v="0"/>
    <x v="1"/>
    <x v="3"/>
    <x v="12"/>
    <s v="SE2_EL"/>
    <x v="2"/>
    <s v="GHOB_WASTEHEAT"/>
    <x v="0"/>
    <x v="1"/>
    <n v="17.284798534798501"/>
    <n v="6308.9514652014404"/>
    <n v="22712.225274725199"/>
  </r>
  <r>
    <x v="0"/>
    <x v="0"/>
    <x v="1"/>
    <x v="3"/>
    <x v="12"/>
    <s v="SE2_EL"/>
    <x v="2"/>
    <s v="GHOB_WASTEHEAT"/>
    <x v="0"/>
    <x v="2"/>
    <n v="17.284798534798501"/>
    <n v="6308.9514652014404"/>
    <n v="22712.225274725199"/>
  </r>
  <r>
    <x v="0"/>
    <x v="0"/>
    <x v="1"/>
    <x v="3"/>
    <x v="12"/>
    <s v="SE2_EL"/>
    <x v="2"/>
    <s v="GHOB_WASTEHEAT"/>
    <x v="0"/>
    <x v="3"/>
    <n v="17.284798534798501"/>
    <n v="6308.9514652014404"/>
    <n v="22712.225274725199"/>
  </r>
  <r>
    <x v="0"/>
    <x v="0"/>
    <x v="1"/>
    <x v="3"/>
    <x v="12"/>
    <s v="SE2_EL"/>
    <x v="2"/>
    <s v="GHOB_WASTEHEAT"/>
    <x v="0"/>
    <x v="4"/>
    <n v="17.284798534798501"/>
    <n v="6308.9514652014404"/>
    <n v="22712.225274725199"/>
  </r>
  <r>
    <x v="0"/>
    <x v="0"/>
    <x v="1"/>
    <x v="3"/>
    <x v="12"/>
    <s v="SE2_EL"/>
    <x v="2"/>
    <s v="GHOB_WASTEHEAT"/>
    <x v="0"/>
    <x v="5"/>
    <n v="17.284798534798501"/>
    <n v="6308.9514652014404"/>
    <n v="22712.225274725199"/>
  </r>
  <r>
    <x v="0"/>
    <x v="0"/>
    <x v="1"/>
    <x v="3"/>
    <x v="12"/>
    <s v="SE2_EL"/>
    <x v="2"/>
    <s v="GHOB_WASTEHEAT"/>
    <x v="0"/>
    <x v="6"/>
    <n v="17.284798534798501"/>
    <n v="6308.9514652014404"/>
    <n v="22712.225274725199"/>
  </r>
  <r>
    <x v="0"/>
    <x v="0"/>
    <x v="1"/>
    <x v="3"/>
    <x v="12"/>
    <s v="SE2_EL"/>
    <x v="2"/>
    <s v="GHOB_WASTEHEAT"/>
    <x v="0"/>
    <x v="7"/>
    <n v="17.284798534798501"/>
    <n v="6308.9514652014404"/>
    <n v="22712.225274725199"/>
  </r>
  <r>
    <x v="0"/>
    <x v="0"/>
    <x v="1"/>
    <x v="3"/>
    <x v="12"/>
    <s v="SE2_EL"/>
    <x v="2"/>
    <s v="GHOB_WASTEHEAT"/>
    <x v="0"/>
    <x v="8"/>
    <n v="17.284798534798501"/>
    <n v="6308.9514652014404"/>
    <n v="22712.225274725199"/>
  </r>
  <r>
    <x v="0"/>
    <x v="0"/>
    <x v="1"/>
    <x v="3"/>
    <x v="12"/>
    <s v="SE2_EL"/>
    <x v="2"/>
    <s v="GHOB_WASTEHEAT"/>
    <x v="0"/>
    <x v="9"/>
    <n v="17.284798534798501"/>
    <n v="6308.9514652014404"/>
    <n v="22712.225274725199"/>
  </r>
  <r>
    <x v="0"/>
    <x v="0"/>
    <x v="1"/>
    <x v="3"/>
    <x v="12"/>
    <s v="SE2_EL"/>
    <x v="2"/>
    <s v="GHOB_WASTEHEAT"/>
    <x v="0"/>
    <x v="10"/>
    <n v="17.284798534798501"/>
    <n v="6308.9514652014404"/>
    <n v="22712.225274725199"/>
  </r>
  <r>
    <x v="0"/>
    <x v="0"/>
    <x v="1"/>
    <x v="3"/>
    <x v="12"/>
    <s v="SE2_EL"/>
    <x v="2"/>
    <s v="GHOB_WASTEHEAT"/>
    <x v="0"/>
    <x v="11"/>
    <n v="17.284798534798501"/>
    <n v="6308.9514652014404"/>
    <n v="22712.225274725199"/>
  </r>
  <r>
    <x v="0"/>
    <x v="0"/>
    <x v="1"/>
    <x v="3"/>
    <x v="12"/>
    <s v="SE2_EL"/>
    <x v="2"/>
    <s v="GHOB_WASTEHEAT"/>
    <x v="0"/>
    <x v="12"/>
    <n v="17.284798534798501"/>
    <n v="6308.9514652014404"/>
    <n v="22712.225274725199"/>
  </r>
  <r>
    <x v="0"/>
    <x v="0"/>
    <x v="1"/>
    <x v="3"/>
    <x v="12"/>
    <s v="SE2_EL"/>
    <x v="2"/>
    <s v="GHOB_WASTEHEAT"/>
    <x v="0"/>
    <x v="13"/>
    <n v="17.284798534798501"/>
    <n v="6308.9514652014404"/>
    <n v="22712.225274725199"/>
  </r>
  <r>
    <x v="0"/>
    <x v="0"/>
    <x v="1"/>
    <x v="3"/>
    <x v="12"/>
    <s v="SE2_EL"/>
    <x v="2"/>
    <s v="GHOB_WASTEHEAT"/>
    <x v="0"/>
    <x v="14"/>
    <n v="17.284798534798501"/>
    <n v="6308.9514652014404"/>
    <n v="22712.225274725199"/>
  </r>
  <r>
    <x v="0"/>
    <x v="0"/>
    <x v="1"/>
    <x v="3"/>
    <x v="12"/>
    <s v="SE2_EL"/>
    <x v="2"/>
    <s v="GHOB_WASTEHEAT"/>
    <x v="0"/>
    <x v="15"/>
    <n v="17.284798534798501"/>
    <n v="6308.9514652014404"/>
    <n v="22712.225274725199"/>
  </r>
  <r>
    <x v="0"/>
    <x v="0"/>
    <x v="1"/>
    <x v="3"/>
    <x v="12"/>
    <s v="SE2_EL"/>
    <x v="2"/>
    <s v="GHOB_WASTEHEAT"/>
    <x v="0"/>
    <x v="16"/>
    <n v="17.284798534798501"/>
    <n v="6308.9514652014404"/>
    <n v="22712.225274725199"/>
  </r>
  <r>
    <x v="0"/>
    <x v="0"/>
    <x v="1"/>
    <x v="3"/>
    <x v="12"/>
    <s v="SE2_EL"/>
    <x v="2"/>
    <s v="GHOB_WASTEHEAT"/>
    <x v="0"/>
    <x v="17"/>
    <n v="17.284798534798501"/>
    <n v="6308.9514652014404"/>
    <n v="22712.225274725199"/>
  </r>
  <r>
    <x v="0"/>
    <x v="0"/>
    <x v="1"/>
    <x v="3"/>
    <x v="12"/>
    <s v="SE2_EL"/>
    <x v="2"/>
    <s v="GHOB_WASTEHEAT"/>
    <x v="0"/>
    <x v="18"/>
    <n v="17.284798534798501"/>
    <n v="6308.9514652014404"/>
    <n v="22712.225274725199"/>
  </r>
  <r>
    <x v="0"/>
    <x v="0"/>
    <x v="1"/>
    <x v="3"/>
    <x v="12"/>
    <s v="SE2_EL"/>
    <x v="2"/>
    <s v="GHOB_WASTEHEAT"/>
    <x v="0"/>
    <x v="19"/>
    <n v="17.284798534798501"/>
    <n v="6308.9514652014404"/>
    <n v="22712.225274725199"/>
  </r>
  <r>
    <x v="0"/>
    <x v="0"/>
    <x v="1"/>
    <x v="3"/>
    <x v="12"/>
    <s v="SE2_EL"/>
    <x v="2"/>
    <s v="GHOB_WASTEHEAT"/>
    <x v="0"/>
    <x v="20"/>
    <n v="17.284798534798501"/>
    <n v="6308.9514652014404"/>
    <n v="22712.225274725199"/>
  </r>
  <r>
    <x v="0"/>
    <x v="0"/>
    <x v="1"/>
    <x v="3"/>
    <x v="12"/>
    <s v="SE2_EL"/>
    <x v="2"/>
    <s v="GHOB_WASTEHEAT"/>
    <x v="0"/>
    <x v="21"/>
    <n v="17.284798534798501"/>
    <n v="6308.9514652014404"/>
    <n v="22712.225274725199"/>
  </r>
  <r>
    <x v="0"/>
    <x v="0"/>
    <x v="1"/>
    <x v="3"/>
    <x v="12"/>
    <s v="SE2_EL"/>
    <x v="2"/>
    <s v="GHOB_WASTEHEAT"/>
    <x v="0"/>
    <x v="22"/>
    <n v="17.284798534798501"/>
    <n v="6308.9514652014404"/>
    <n v="22712.225274725199"/>
  </r>
  <r>
    <x v="0"/>
    <x v="0"/>
    <x v="1"/>
    <x v="3"/>
    <x v="12"/>
    <s v="SE2_EL"/>
    <x v="2"/>
    <s v="GHOB_WASTEHEAT"/>
    <x v="0"/>
    <x v="23"/>
    <n v="17.284798534798501"/>
    <n v="6308.9514652014404"/>
    <n v="22712.225274725199"/>
  </r>
  <r>
    <x v="0"/>
    <x v="0"/>
    <x v="1"/>
    <x v="3"/>
    <x v="12"/>
    <s v="SE2_EL"/>
    <x v="9"/>
    <s v="GEXT_WOODWASTE_HORNEBORG"/>
    <x v="0"/>
    <x v="5"/>
    <n v="22.805686456856701"/>
    <n v="8324.0755567526794"/>
    <n v="29966.672004309701"/>
  </r>
  <r>
    <x v="0"/>
    <x v="0"/>
    <x v="1"/>
    <x v="3"/>
    <x v="12"/>
    <s v="SE2_EL"/>
    <x v="9"/>
    <s v="GEXT_WOODWASTE_HORNEBORG"/>
    <x v="0"/>
    <x v="6"/>
    <n v="84.010507880910694"/>
    <n v="30663.835376532399"/>
    <n v="110389.807355517"/>
  </r>
  <r>
    <x v="0"/>
    <x v="0"/>
    <x v="1"/>
    <x v="3"/>
    <x v="12"/>
    <s v="SE2_EL"/>
    <x v="9"/>
    <s v="GEXT_WOODWASTE_HORNEBORG"/>
    <x v="0"/>
    <x v="7"/>
    <n v="84.010507880910694"/>
    <n v="30663.835376532399"/>
    <n v="110389.807355517"/>
  </r>
  <r>
    <x v="0"/>
    <x v="0"/>
    <x v="1"/>
    <x v="3"/>
    <x v="12"/>
    <s v="SE2_EL"/>
    <x v="9"/>
    <s v="GEXT_WOODWASTE_HORNEBORG"/>
    <x v="0"/>
    <x v="8"/>
    <n v="84.010507880910694"/>
    <n v="30663.835376532399"/>
    <n v="110389.807355517"/>
  </r>
  <r>
    <x v="0"/>
    <x v="0"/>
    <x v="1"/>
    <x v="3"/>
    <x v="12"/>
    <s v="SE2_EL"/>
    <x v="9"/>
    <s v="GEXT_WOODWASTE_HORNEBORG"/>
    <x v="0"/>
    <x v="9"/>
    <n v="84.010507880910694"/>
    <n v="30663.835376532399"/>
    <n v="110389.807355517"/>
  </r>
  <r>
    <x v="0"/>
    <x v="0"/>
    <x v="1"/>
    <x v="3"/>
    <x v="12"/>
    <s v="SE2_EL"/>
    <x v="9"/>
    <s v="GEXT_WOODWASTE_HORNEBORG"/>
    <x v="0"/>
    <x v="10"/>
    <n v="65.502252919226393"/>
    <n v="23908.322315517598"/>
    <n v="86069.960335863507"/>
  </r>
  <r>
    <x v="0"/>
    <x v="0"/>
    <x v="1"/>
    <x v="3"/>
    <x v="12"/>
    <s v="SE2_EL"/>
    <x v="9"/>
    <s v="GEXT_WOODWASTE_HORNEBORG"/>
    <x v="0"/>
    <x v="11"/>
    <n v="52.478881034333398"/>
    <n v="19154.791577531701"/>
    <n v="68957.249679114"/>
  </r>
  <r>
    <x v="0"/>
    <x v="0"/>
    <x v="1"/>
    <x v="3"/>
    <x v="12"/>
    <s v="SE2_EL"/>
    <x v="9"/>
    <s v="GEXT_WOODWASTE_HORNEBORG"/>
    <x v="0"/>
    <x v="12"/>
    <n v="37.001556830863997"/>
    <n v="13505.568243265299"/>
    <n v="48620.045675755202"/>
  </r>
  <r>
    <x v="0"/>
    <x v="0"/>
    <x v="1"/>
    <x v="3"/>
    <x v="12"/>
    <s v="SE2_EL"/>
    <x v="9"/>
    <s v="GEXT_WOODWASTE_HORNEBORG"/>
    <x v="0"/>
    <x v="13"/>
    <n v="27.476021965508998"/>
    <n v="10028.7480174108"/>
    <n v="36103.492862678897"/>
  </r>
  <r>
    <x v="0"/>
    <x v="0"/>
    <x v="1"/>
    <x v="3"/>
    <x v="12"/>
    <s v="SE2_EL"/>
    <x v="9"/>
    <s v="GEXT_WOODWASTE_HORNEBORG"/>
    <x v="0"/>
    <x v="14"/>
    <n v="14.852115247339301"/>
    <n v="5421.0220652788503"/>
    <n v="19515.679435003902"/>
  </r>
  <r>
    <x v="0"/>
    <x v="0"/>
    <x v="1"/>
    <x v="3"/>
    <x v="12"/>
    <s v="SE2_OTHER"/>
    <x v="2"/>
    <s v="GHOB_WASTEHEAT"/>
    <x v="0"/>
    <x v="0"/>
    <n v="16.031295787545702"/>
    <n v="5851.4229624541904"/>
    <n v="21065.1226648351"/>
  </r>
  <r>
    <x v="0"/>
    <x v="0"/>
    <x v="1"/>
    <x v="3"/>
    <x v="12"/>
    <s v="SE2_OTHER"/>
    <x v="2"/>
    <s v="GHOB_WASTEHEAT"/>
    <x v="0"/>
    <x v="1"/>
    <n v="16.031295787545702"/>
    <n v="5851.4229624541904"/>
    <n v="21065.1226648351"/>
  </r>
  <r>
    <x v="0"/>
    <x v="0"/>
    <x v="1"/>
    <x v="3"/>
    <x v="12"/>
    <s v="SE2_OTHER"/>
    <x v="2"/>
    <s v="GHOB_WASTEHEAT"/>
    <x v="0"/>
    <x v="2"/>
    <n v="16.031295787545702"/>
    <n v="5851.4229624541904"/>
    <n v="21065.1226648351"/>
  </r>
  <r>
    <x v="0"/>
    <x v="0"/>
    <x v="1"/>
    <x v="3"/>
    <x v="12"/>
    <s v="SE2_OTHER"/>
    <x v="2"/>
    <s v="GHOB_WASTEHEAT"/>
    <x v="0"/>
    <x v="3"/>
    <n v="16.031295787545702"/>
    <n v="5851.4229624541904"/>
    <n v="21065.1226648351"/>
  </r>
  <r>
    <x v="0"/>
    <x v="0"/>
    <x v="1"/>
    <x v="3"/>
    <x v="12"/>
    <s v="SE2_OTHER"/>
    <x v="2"/>
    <s v="GHOB_WASTEHEAT"/>
    <x v="0"/>
    <x v="4"/>
    <n v="16.031295787545702"/>
    <n v="5851.4229624541904"/>
    <n v="21065.1226648351"/>
  </r>
  <r>
    <x v="0"/>
    <x v="0"/>
    <x v="1"/>
    <x v="3"/>
    <x v="12"/>
    <s v="SE2_OTHER"/>
    <x v="2"/>
    <s v="GHOB_WASTEHEAT"/>
    <x v="0"/>
    <x v="5"/>
    <n v="16.031295787545702"/>
    <n v="5851.4229624541904"/>
    <n v="21065.1226648351"/>
  </r>
  <r>
    <x v="0"/>
    <x v="0"/>
    <x v="1"/>
    <x v="3"/>
    <x v="12"/>
    <s v="SE2_OTHER"/>
    <x v="2"/>
    <s v="GHOB_WASTEHEAT"/>
    <x v="0"/>
    <x v="6"/>
    <n v="16.031295787545702"/>
    <n v="5851.4229624541904"/>
    <n v="21065.1226648351"/>
  </r>
  <r>
    <x v="0"/>
    <x v="0"/>
    <x v="1"/>
    <x v="3"/>
    <x v="12"/>
    <s v="SE2_OTHER"/>
    <x v="2"/>
    <s v="GHOB_WASTEHEAT"/>
    <x v="0"/>
    <x v="7"/>
    <n v="16.031295787545702"/>
    <n v="5851.4229624541904"/>
    <n v="21065.1226648351"/>
  </r>
  <r>
    <x v="0"/>
    <x v="0"/>
    <x v="1"/>
    <x v="3"/>
    <x v="12"/>
    <s v="SE2_OTHER"/>
    <x v="2"/>
    <s v="GHOB_WASTEHEAT"/>
    <x v="0"/>
    <x v="8"/>
    <n v="16.031295787545702"/>
    <n v="5851.4229624541904"/>
    <n v="21065.1226648351"/>
  </r>
  <r>
    <x v="0"/>
    <x v="0"/>
    <x v="1"/>
    <x v="3"/>
    <x v="12"/>
    <s v="SE2_OTHER"/>
    <x v="2"/>
    <s v="GHOB_WASTEHEAT"/>
    <x v="0"/>
    <x v="9"/>
    <n v="16.031295787545702"/>
    <n v="5851.4229624541904"/>
    <n v="21065.1226648351"/>
  </r>
  <r>
    <x v="0"/>
    <x v="0"/>
    <x v="1"/>
    <x v="3"/>
    <x v="12"/>
    <s v="SE2_OTHER"/>
    <x v="2"/>
    <s v="GHOB_WASTEHEAT"/>
    <x v="0"/>
    <x v="10"/>
    <n v="16.031295787545702"/>
    <n v="5851.4229624541904"/>
    <n v="21065.1226648351"/>
  </r>
  <r>
    <x v="0"/>
    <x v="0"/>
    <x v="1"/>
    <x v="3"/>
    <x v="12"/>
    <s v="SE2_OTHER"/>
    <x v="2"/>
    <s v="GHOB_WASTEHEAT"/>
    <x v="0"/>
    <x v="11"/>
    <n v="16.031295787545702"/>
    <n v="5851.4229624541904"/>
    <n v="21065.1226648351"/>
  </r>
  <r>
    <x v="0"/>
    <x v="0"/>
    <x v="1"/>
    <x v="3"/>
    <x v="12"/>
    <s v="SE2_OTHER"/>
    <x v="2"/>
    <s v="GHOB_WASTEHEAT"/>
    <x v="0"/>
    <x v="12"/>
    <n v="16.031295787545702"/>
    <n v="5851.4229624541904"/>
    <n v="21065.1226648351"/>
  </r>
  <r>
    <x v="0"/>
    <x v="0"/>
    <x v="1"/>
    <x v="3"/>
    <x v="12"/>
    <s v="SE2_OTHER"/>
    <x v="2"/>
    <s v="GHOB_WASTEHEAT"/>
    <x v="0"/>
    <x v="13"/>
    <n v="16.031295787545702"/>
    <n v="5851.4229624541904"/>
    <n v="21065.1226648351"/>
  </r>
  <r>
    <x v="0"/>
    <x v="0"/>
    <x v="1"/>
    <x v="3"/>
    <x v="12"/>
    <s v="SE2_OTHER"/>
    <x v="2"/>
    <s v="GHOB_WASTEHEAT"/>
    <x v="0"/>
    <x v="14"/>
    <n v="16.031295787545702"/>
    <n v="5851.4229624541904"/>
    <n v="21065.1226648351"/>
  </r>
  <r>
    <x v="0"/>
    <x v="0"/>
    <x v="1"/>
    <x v="3"/>
    <x v="12"/>
    <s v="SE2_OTHER"/>
    <x v="2"/>
    <s v="GHOB_WASTEHEAT"/>
    <x v="0"/>
    <x v="15"/>
    <n v="16.031295787545702"/>
    <n v="5851.4229624541904"/>
    <n v="21065.1226648351"/>
  </r>
  <r>
    <x v="0"/>
    <x v="0"/>
    <x v="1"/>
    <x v="3"/>
    <x v="12"/>
    <s v="SE2_OTHER"/>
    <x v="2"/>
    <s v="GHOB_WASTEHEAT"/>
    <x v="0"/>
    <x v="16"/>
    <n v="16.031295787545702"/>
    <n v="5851.4229624541904"/>
    <n v="21065.1226648351"/>
  </r>
  <r>
    <x v="0"/>
    <x v="0"/>
    <x v="1"/>
    <x v="3"/>
    <x v="12"/>
    <s v="SE2_OTHER"/>
    <x v="2"/>
    <s v="GHOB_WASTEHEAT"/>
    <x v="0"/>
    <x v="17"/>
    <n v="16.031295787545702"/>
    <n v="5851.4229624541904"/>
    <n v="21065.1226648351"/>
  </r>
  <r>
    <x v="0"/>
    <x v="0"/>
    <x v="1"/>
    <x v="3"/>
    <x v="12"/>
    <s v="SE2_OTHER"/>
    <x v="2"/>
    <s v="GHOB_WASTEHEAT"/>
    <x v="0"/>
    <x v="18"/>
    <n v="16.031295787545702"/>
    <n v="5851.4229624541904"/>
    <n v="21065.1226648351"/>
  </r>
  <r>
    <x v="0"/>
    <x v="0"/>
    <x v="1"/>
    <x v="3"/>
    <x v="12"/>
    <s v="SE2_OTHER"/>
    <x v="2"/>
    <s v="GHOB_WASTEHEAT"/>
    <x v="0"/>
    <x v="19"/>
    <n v="16.031295787545702"/>
    <n v="5851.4229624541904"/>
    <n v="21065.1226648351"/>
  </r>
  <r>
    <x v="0"/>
    <x v="0"/>
    <x v="1"/>
    <x v="3"/>
    <x v="12"/>
    <s v="SE2_OTHER"/>
    <x v="2"/>
    <s v="GHOB_WASTEHEAT"/>
    <x v="0"/>
    <x v="20"/>
    <n v="16.031295787545702"/>
    <n v="5851.4229624541904"/>
    <n v="21065.1226648351"/>
  </r>
  <r>
    <x v="0"/>
    <x v="0"/>
    <x v="1"/>
    <x v="3"/>
    <x v="12"/>
    <s v="SE2_OTHER"/>
    <x v="2"/>
    <s v="GHOB_WASTEHEAT"/>
    <x v="0"/>
    <x v="21"/>
    <n v="16.031295787545702"/>
    <n v="5851.4229624541904"/>
    <n v="21065.1226648351"/>
  </r>
  <r>
    <x v="0"/>
    <x v="0"/>
    <x v="1"/>
    <x v="3"/>
    <x v="12"/>
    <s v="SE2_OTHER"/>
    <x v="2"/>
    <s v="GHOB_WASTEHEAT"/>
    <x v="0"/>
    <x v="22"/>
    <n v="16.031295787545702"/>
    <n v="5851.4229624541904"/>
    <n v="21065.1226648351"/>
  </r>
  <r>
    <x v="0"/>
    <x v="0"/>
    <x v="1"/>
    <x v="3"/>
    <x v="12"/>
    <s v="SE2_OTHER"/>
    <x v="2"/>
    <s v="GHOB_WASTEHEAT"/>
    <x v="0"/>
    <x v="23"/>
    <n v="16.031295787545702"/>
    <n v="5851.4229624541904"/>
    <n v="21065.1226648351"/>
  </r>
  <r>
    <x v="0"/>
    <x v="0"/>
    <x v="1"/>
    <x v="3"/>
    <x v="12"/>
    <s v="SE2_OTHER"/>
    <x v="9"/>
    <s v="GHOB_WOODWASTE"/>
    <x v="0"/>
    <x v="3"/>
    <n v="7.1827447091959602"/>
    <n v="2621.7018188565198"/>
    <n v="9438.1265478834903"/>
  </r>
  <r>
    <x v="0"/>
    <x v="0"/>
    <x v="1"/>
    <x v="3"/>
    <x v="12"/>
    <s v="SE2_OTHER"/>
    <x v="9"/>
    <s v="GHOB_WOODWASTE"/>
    <x v="0"/>
    <x v="4"/>
    <n v="16.6912579844156"/>
    <n v="6092.3091643117004"/>
    <n v="21932.3129915221"/>
  </r>
  <r>
    <x v="0"/>
    <x v="0"/>
    <x v="1"/>
    <x v="3"/>
    <x v="12"/>
    <s v="SE2_OTHER"/>
    <x v="9"/>
    <s v="GHOB_WOODWASTE"/>
    <x v="0"/>
    <x v="5"/>
    <n v="34.776787998276298"/>
    <n v="12693.5276193708"/>
    <n v="45696.699429735003"/>
  </r>
  <r>
    <x v="0"/>
    <x v="0"/>
    <x v="1"/>
    <x v="3"/>
    <x v="12"/>
    <s v="SE2_OTHER"/>
    <x v="9"/>
    <s v="GHOB_WOODWASTE"/>
    <x v="0"/>
    <x v="6"/>
    <n v="74.958365182111507"/>
    <n v="27359.8032914707"/>
    <n v="98495.291849294503"/>
  </r>
  <r>
    <x v="0"/>
    <x v="0"/>
    <x v="1"/>
    <x v="3"/>
    <x v="12"/>
    <s v="SE2_OTHER"/>
    <x v="9"/>
    <s v="GHOB_WOODWASTE"/>
    <x v="0"/>
    <x v="7"/>
    <n v="93.930849368703207"/>
    <n v="34284.760019576701"/>
    <n v="123425.136070476"/>
  </r>
  <r>
    <x v="0"/>
    <x v="0"/>
    <x v="1"/>
    <x v="3"/>
    <x v="12"/>
    <s v="SE2_OTHER"/>
    <x v="9"/>
    <s v="GHOB_WOODWASTE"/>
    <x v="0"/>
    <x v="8"/>
    <n v="94.427548548599404"/>
    <n v="34466.055220238799"/>
    <n v="124077.79879286001"/>
  </r>
  <r>
    <x v="0"/>
    <x v="0"/>
    <x v="1"/>
    <x v="3"/>
    <x v="12"/>
    <s v="SE2_OTHER"/>
    <x v="9"/>
    <s v="GHOB_WOODWASTE"/>
    <x v="0"/>
    <x v="9"/>
    <n v="88.854355032198498"/>
    <n v="32431.8395867525"/>
    <n v="116754.622512309"/>
  </r>
  <r>
    <x v="0"/>
    <x v="0"/>
    <x v="1"/>
    <x v="3"/>
    <x v="12"/>
    <s v="SE2_OTHER"/>
    <x v="9"/>
    <s v="GHOB_WOODWASTE"/>
    <x v="0"/>
    <x v="10"/>
    <n v="83.184849928190104"/>
    <n v="30362.470223789402"/>
    <n v="109304.892805642"/>
  </r>
  <r>
    <x v="0"/>
    <x v="0"/>
    <x v="1"/>
    <x v="3"/>
    <x v="12"/>
    <s v="SE2_OTHER"/>
    <x v="9"/>
    <s v="GHOB_WOODWASTE"/>
    <x v="0"/>
    <x v="11"/>
    <n v="78.439030415941502"/>
    <n v="28630.2461018186"/>
    <n v="103068.88596654699"/>
  </r>
  <r>
    <x v="0"/>
    <x v="0"/>
    <x v="1"/>
    <x v="3"/>
    <x v="12"/>
    <s v="SE2_OTHER"/>
    <x v="9"/>
    <s v="GHOB_WOODWASTE"/>
    <x v="0"/>
    <x v="12"/>
    <n v="68.645011866701296"/>
    <n v="25055.429331346"/>
    <n v="90199.545592845505"/>
  </r>
  <r>
    <x v="0"/>
    <x v="0"/>
    <x v="1"/>
    <x v="3"/>
    <x v="12"/>
    <s v="SE2_OTHER"/>
    <x v="9"/>
    <s v="GHOB_WOODWASTE"/>
    <x v="0"/>
    <x v="13"/>
    <n v="63.808260972215102"/>
    <n v="23290.015254858499"/>
    <n v="83844.054917490706"/>
  </r>
  <r>
    <x v="0"/>
    <x v="0"/>
    <x v="1"/>
    <x v="3"/>
    <x v="12"/>
    <s v="SE2_OTHER"/>
    <x v="9"/>
    <s v="GHOB_WOODWASTE"/>
    <x v="0"/>
    <x v="14"/>
    <n v="63.149186004363301"/>
    <n v="23049.452891592598"/>
    <n v="82978.030409733401"/>
  </r>
  <r>
    <x v="0"/>
    <x v="0"/>
    <x v="1"/>
    <x v="3"/>
    <x v="12"/>
    <s v="SE2_OTHER"/>
    <x v="9"/>
    <s v="GHOB_WOODWASTE"/>
    <x v="0"/>
    <x v="15"/>
    <n v="62.269510025119303"/>
    <n v="22728.371159168499"/>
    <n v="81822.1361730067"/>
  </r>
  <r>
    <x v="0"/>
    <x v="0"/>
    <x v="1"/>
    <x v="3"/>
    <x v="12"/>
    <s v="SE2_OTHER"/>
    <x v="9"/>
    <s v="GHOB_WOODWASTE"/>
    <x v="0"/>
    <x v="16"/>
    <n v="59.644711863972901"/>
    <n v="21770.319830350101"/>
    <n v="78373.151389260398"/>
  </r>
  <r>
    <x v="0"/>
    <x v="0"/>
    <x v="1"/>
    <x v="3"/>
    <x v="12"/>
    <s v="SE2_OTHER"/>
    <x v="9"/>
    <s v="GHOB_WOODWASTE"/>
    <x v="0"/>
    <x v="17"/>
    <n v="56.792700050470302"/>
    <n v="20729.3355184217"/>
    <n v="74625.607866317994"/>
  </r>
  <r>
    <x v="0"/>
    <x v="0"/>
    <x v="1"/>
    <x v="3"/>
    <x v="12"/>
    <s v="SE2_OTHER"/>
    <x v="9"/>
    <s v="GHOB_WOODWASTE"/>
    <x v="0"/>
    <x v="18"/>
    <n v="53.5373817353954"/>
    <n v="19541.144333419299"/>
    <n v="70348.119600309496"/>
  </r>
  <r>
    <x v="0"/>
    <x v="0"/>
    <x v="1"/>
    <x v="3"/>
    <x v="12"/>
    <s v="SE2_OTHER"/>
    <x v="9"/>
    <s v="GHOB_WOODWASTE"/>
    <x v="0"/>
    <x v="19"/>
    <n v="53.369128738074501"/>
    <n v="19479.731989397202"/>
    <n v="70127.035161830005"/>
  </r>
  <r>
    <x v="0"/>
    <x v="0"/>
    <x v="1"/>
    <x v="3"/>
    <x v="12"/>
    <s v="SE2_OTHER"/>
    <x v="9"/>
    <s v="GHOB_WOODWASTE"/>
    <x v="0"/>
    <x v="20"/>
    <n v="47.846168244250599"/>
    <n v="17463.851409151499"/>
    <n v="62869.8650729453"/>
  </r>
  <r>
    <x v="0"/>
    <x v="0"/>
    <x v="1"/>
    <x v="3"/>
    <x v="12"/>
    <s v="SE2_OTHER"/>
    <x v="9"/>
    <s v="GHOB_WOODWASTE"/>
    <x v="0"/>
    <x v="21"/>
    <n v="41.293264026881801"/>
    <n v="15072.041369811801"/>
    <n v="54259.348931322602"/>
  </r>
  <r>
    <x v="0"/>
    <x v="0"/>
    <x v="1"/>
    <x v="3"/>
    <x v="12"/>
    <s v="SE2_OTHER"/>
    <x v="9"/>
    <s v="GHOB_WOODWASTE"/>
    <x v="0"/>
    <x v="22"/>
    <n v="31.6282909431911"/>
    <n v="11544.3261942647"/>
    <n v="41559.574299353102"/>
  </r>
  <r>
    <x v="0"/>
    <x v="0"/>
    <x v="1"/>
    <x v="3"/>
    <x v="12"/>
    <s v="SE2_OTHER"/>
    <x v="9"/>
    <s v="GHOB_WOODWASTE"/>
    <x v="0"/>
    <x v="23"/>
    <n v="16.438684358581298"/>
    <n v="6000.1197908821596"/>
    <n v="21600.431247175798"/>
  </r>
  <r>
    <x v="0"/>
    <x v="0"/>
    <x v="1"/>
    <x v="3"/>
    <x v="13"/>
    <s v="SE3A"/>
    <x v="6"/>
    <s v="GNR_PV_SUN_LS-4-MW_Y-2020"/>
    <x v="0"/>
    <x v="0"/>
    <n v="9674.8255343726505"/>
    <n v="3531311.3200460202"/>
    <n v="12712720.752165699"/>
  </r>
  <r>
    <x v="0"/>
    <x v="0"/>
    <x v="1"/>
    <x v="3"/>
    <x v="13"/>
    <s v="SE3A"/>
    <x v="6"/>
    <s v="GNR_PV_SUN_LS-4-MW_Y-2020"/>
    <x v="0"/>
    <x v="1"/>
    <n v="9459.4335934123592"/>
    <n v="3452693.2615955099"/>
    <n v="12429695.741743799"/>
  </r>
  <r>
    <x v="0"/>
    <x v="0"/>
    <x v="1"/>
    <x v="3"/>
    <x v="13"/>
    <s v="SE3A"/>
    <x v="6"/>
    <s v="GNR_PV_SUN_LS-4-MW_Y-2020"/>
    <x v="0"/>
    <x v="2"/>
    <n v="9167.1679959436497"/>
    <n v="3346016.3185194298"/>
    <n v="12045658.74667"/>
  </r>
  <r>
    <x v="0"/>
    <x v="0"/>
    <x v="1"/>
    <x v="3"/>
    <x v="13"/>
    <s v="SE3A"/>
    <x v="6"/>
    <s v="GNR_PV_SUN_LS-4-MW_Y-2020"/>
    <x v="0"/>
    <x v="3"/>
    <n v="9712.4042575334697"/>
    <n v="3545027.5539997201"/>
    <n v="12762099.194398999"/>
  </r>
  <r>
    <x v="0"/>
    <x v="0"/>
    <x v="1"/>
    <x v="3"/>
    <x v="13"/>
    <s v="SE3A"/>
    <x v="6"/>
    <s v="GNR_PV_SUN_LS-4-MW_Y-2020"/>
    <x v="0"/>
    <x v="4"/>
    <n v="9397.5704960969597"/>
    <n v="3430113.2310753898"/>
    <n v="12348407.6318714"/>
  </r>
  <r>
    <x v="0"/>
    <x v="0"/>
    <x v="1"/>
    <x v="3"/>
    <x v="13"/>
    <s v="SE3A"/>
    <x v="6"/>
    <s v="GNR_PV_SUN_LS-4-MW_Y-2020"/>
    <x v="0"/>
    <x v="5"/>
    <n v="10307.762634103799"/>
    <n v="3762333.3614478898"/>
    <n v="13544400.101212399"/>
  </r>
  <r>
    <x v="0"/>
    <x v="0"/>
    <x v="1"/>
    <x v="3"/>
    <x v="13"/>
    <s v="SE3A"/>
    <x v="6"/>
    <s v="GNR_PV_SUN_LS-4-MW_Y-2020"/>
    <x v="0"/>
    <x v="6"/>
    <n v="11792.529870615401"/>
    <n v="4304273.4027746096"/>
    <n v="15495384.249988601"/>
  </r>
  <r>
    <x v="0"/>
    <x v="0"/>
    <x v="1"/>
    <x v="3"/>
    <x v="13"/>
    <s v="SE3A"/>
    <x v="6"/>
    <s v="GNR_PV_SUN_LS-4-MW_Y-2020"/>
    <x v="0"/>
    <x v="7"/>
    <n v="12859.6275165158"/>
    <n v="4693764.0435282802"/>
    <n v="16897550.556701802"/>
  </r>
  <r>
    <x v="0"/>
    <x v="0"/>
    <x v="1"/>
    <x v="3"/>
    <x v="13"/>
    <s v="SE3A"/>
    <x v="6"/>
    <s v="GNR_PV_SUN_LS-4-MW_Y-2020"/>
    <x v="0"/>
    <x v="8"/>
    <n v="13210.968393453"/>
    <n v="4822003.4636103604"/>
    <n v="17359212.4689973"/>
  </r>
  <r>
    <x v="0"/>
    <x v="0"/>
    <x v="1"/>
    <x v="3"/>
    <x v="13"/>
    <s v="SE3A"/>
    <x v="6"/>
    <s v="GNR_PV_SUN_LS-4-MW_Y-2020"/>
    <x v="0"/>
    <x v="9"/>
    <n v="13388.2008365528"/>
    <n v="4886693.3053417699"/>
    <n v="17592095.899230398"/>
  </r>
  <r>
    <x v="0"/>
    <x v="0"/>
    <x v="1"/>
    <x v="3"/>
    <x v="13"/>
    <s v="SE3A"/>
    <x v="6"/>
    <s v="GNR_PV_SUN_LS-4-MW_Y-2020"/>
    <x v="0"/>
    <x v="10"/>
    <n v="13407.418950027401"/>
    <n v="4893707.9167600097"/>
    <n v="17617348.500335999"/>
  </r>
  <r>
    <x v="0"/>
    <x v="0"/>
    <x v="1"/>
    <x v="3"/>
    <x v="13"/>
    <s v="SE3A"/>
    <x v="6"/>
    <s v="GNR_PV_SUN_LS-4-MW_Y-2020"/>
    <x v="0"/>
    <x v="11"/>
    <n v="13444.7048182864"/>
    <n v="4907317.2586745396"/>
    <n v="17666342.131228302"/>
  </r>
  <r>
    <x v="0"/>
    <x v="0"/>
    <x v="1"/>
    <x v="3"/>
    <x v="13"/>
    <s v="SE3A"/>
    <x v="6"/>
    <s v="GNR_PV_SUN_LS-4-MW_Y-2020"/>
    <x v="0"/>
    <x v="12"/>
    <n v="13361.0245618995"/>
    <n v="4876773.9650933202"/>
    <n v="17556386.274335999"/>
  </r>
  <r>
    <x v="0"/>
    <x v="0"/>
    <x v="1"/>
    <x v="3"/>
    <x v="13"/>
    <s v="SE3A"/>
    <x v="6"/>
    <s v="GNR_PV_SUN_LS-4-MW_Y-2020"/>
    <x v="0"/>
    <x v="13"/>
    <n v="12957.059173637699"/>
    <n v="4729326.5983777801"/>
    <n v="17025575.754159998"/>
  </r>
  <r>
    <x v="0"/>
    <x v="0"/>
    <x v="1"/>
    <x v="3"/>
    <x v="13"/>
    <s v="SE3A"/>
    <x v="6"/>
    <s v="GNR_PV_SUN_LS-4-MW_Y-2020"/>
    <x v="0"/>
    <x v="14"/>
    <n v="12871.8153279689"/>
    <n v="4698212.5947086401"/>
    <n v="16913565.3409511"/>
  </r>
  <r>
    <x v="0"/>
    <x v="0"/>
    <x v="1"/>
    <x v="3"/>
    <x v="13"/>
    <s v="SE3A"/>
    <x v="6"/>
    <s v="GNR_PV_SUN_LS-4-MW_Y-2020"/>
    <x v="0"/>
    <x v="15"/>
    <n v="13019.1478215515"/>
    <n v="4751988.9548663003"/>
    <n v="17107160.237518702"/>
  </r>
  <r>
    <x v="0"/>
    <x v="0"/>
    <x v="1"/>
    <x v="3"/>
    <x v="13"/>
    <s v="SE3A"/>
    <x v="6"/>
    <s v="GNR_PV_SUN_LS-4-MW_Y-2020"/>
    <x v="0"/>
    <x v="16"/>
    <n v="12789.0886100731"/>
    <n v="4668017.3426766796"/>
    <n v="16804862.433635999"/>
  </r>
  <r>
    <x v="0"/>
    <x v="0"/>
    <x v="1"/>
    <x v="3"/>
    <x v="13"/>
    <s v="SE3A"/>
    <x v="6"/>
    <s v="GNR_PV_SUN_LS-4-MW_Y-2020"/>
    <x v="0"/>
    <x v="17"/>
    <n v="13149.7149340007"/>
    <n v="4799645.95091026"/>
    <n v="17278725.423276901"/>
  </r>
  <r>
    <x v="0"/>
    <x v="0"/>
    <x v="1"/>
    <x v="3"/>
    <x v="13"/>
    <s v="SE3A"/>
    <x v="6"/>
    <s v="GNR_PV_SUN_LS-4-MW_Y-2020"/>
    <x v="0"/>
    <x v="18"/>
    <n v="13761.4106841185"/>
    <n v="5022914.8997032503"/>
    <n v="18082493.638931699"/>
  </r>
  <r>
    <x v="0"/>
    <x v="0"/>
    <x v="1"/>
    <x v="3"/>
    <x v="13"/>
    <s v="SE3A"/>
    <x v="6"/>
    <s v="GNR_PV_SUN_LS-4-MW_Y-2020"/>
    <x v="0"/>
    <x v="19"/>
    <n v="13872.0419690321"/>
    <n v="5063295.3186967103"/>
    <n v="18227863.1473081"/>
  </r>
  <r>
    <x v="0"/>
    <x v="0"/>
    <x v="1"/>
    <x v="3"/>
    <x v="13"/>
    <s v="SE3A"/>
    <x v="6"/>
    <s v="GNR_PV_SUN_LS-4-MW_Y-2020"/>
    <x v="0"/>
    <x v="20"/>
    <n v="13416.025505670899"/>
    <n v="4896849.3095698804"/>
    <n v="17628657.514451601"/>
  </r>
  <r>
    <x v="0"/>
    <x v="0"/>
    <x v="1"/>
    <x v="3"/>
    <x v="13"/>
    <s v="SE3A"/>
    <x v="6"/>
    <s v="GNR_PV_SUN_LS-4-MW_Y-2020"/>
    <x v="0"/>
    <x v="21"/>
    <n v="12871.3208531285"/>
    <n v="4698032.1113918796"/>
    <n v="16912915.601010799"/>
  </r>
  <r>
    <x v="0"/>
    <x v="0"/>
    <x v="1"/>
    <x v="3"/>
    <x v="13"/>
    <s v="SE3A"/>
    <x v="6"/>
    <s v="GNR_PV_SUN_LS-4-MW_Y-2020"/>
    <x v="0"/>
    <x v="22"/>
    <n v="12099.968611919699"/>
    <n v="4416488.5433507003"/>
    <n v="15899358.7560625"/>
  </r>
  <r>
    <x v="0"/>
    <x v="0"/>
    <x v="1"/>
    <x v="3"/>
    <x v="13"/>
    <s v="SE3A"/>
    <x v="6"/>
    <s v="GNR_PV_SUN_LS-4-MW_Y-2020"/>
    <x v="0"/>
    <x v="23"/>
    <n v="11184.526980611899"/>
    <n v="4082352.34792333"/>
    <n v="14696468.452524001"/>
  </r>
  <r>
    <x v="0"/>
    <x v="0"/>
    <x v="1"/>
    <x v="3"/>
    <x v="13"/>
    <s v="SE3A"/>
    <x v="7"/>
    <s v="GHYRR_WATER"/>
    <x v="0"/>
    <x v="0"/>
    <n v="334.52364720363499"/>
    <n v="122101.131229327"/>
    <n v="439564.07242557697"/>
  </r>
  <r>
    <x v="0"/>
    <x v="0"/>
    <x v="1"/>
    <x v="3"/>
    <x v="13"/>
    <s v="SE3A"/>
    <x v="7"/>
    <s v="GHYRR_WATER"/>
    <x v="0"/>
    <x v="1"/>
    <n v="334.52364720363499"/>
    <n v="122101.131229327"/>
    <n v="439564.07242557697"/>
  </r>
  <r>
    <x v="0"/>
    <x v="0"/>
    <x v="1"/>
    <x v="3"/>
    <x v="13"/>
    <s v="SE3A"/>
    <x v="7"/>
    <s v="GHYRR_WATER"/>
    <x v="0"/>
    <x v="2"/>
    <n v="334.52364720363499"/>
    <n v="122101.131229327"/>
    <n v="439564.07242557697"/>
  </r>
  <r>
    <x v="0"/>
    <x v="0"/>
    <x v="1"/>
    <x v="3"/>
    <x v="13"/>
    <s v="SE3A"/>
    <x v="7"/>
    <s v="GHYRR_WATER"/>
    <x v="0"/>
    <x v="3"/>
    <n v="334.52364720363499"/>
    <n v="122101.131229327"/>
    <n v="439564.07242557697"/>
  </r>
  <r>
    <x v="0"/>
    <x v="0"/>
    <x v="1"/>
    <x v="3"/>
    <x v="13"/>
    <s v="SE3A"/>
    <x v="7"/>
    <s v="GHYRR_WATER"/>
    <x v="0"/>
    <x v="4"/>
    <n v="334.52364720363499"/>
    <n v="122101.131229327"/>
    <n v="439564.07242557697"/>
  </r>
  <r>
    <x v="0"/>
    <x v="0"/>
    <x v="1"/>
    <x v="3"/>
    <x v="13"/>
    <s v="SE3A"/>
    <x v="7"/>
    <s v="GHYRR_WATER"/>
    <x v="0"/>
    <x v="5"/>
    <n v="334.52364720363499"/>
    <n v="122101.131229327"/>
    <n v="439564.07242557697"/>
  </r>
  <r>
    <x v="0"/>
    <x v="0"/>
    <x v="1"/>
    <x v="3"/>
    <x v="13"/>
    <s v="SE3A"/>
    <x v="7"/>
    <s v="GHYRR_WATER"/>
    <x v="0"/>
    <x v="6"/>
    <n v="334.52364720363499"/>
    <n v="122101.131229327"/>
    <n v="439564.07242557697"/>
  </r>
  <r>
    <x v="0"/>
    <x v="0"/>
    <x v="1"/>
    <x v="3"/>
    <x v="13"/>
    <s v="SE3A"/>
    <x v="7"/>
    <s v="GHYRR_WATER"/>
    <x v="0"/>
    <x v="7"/>
    <n v="334.52364720363499"/>
    <n v="122101.131229327"/>
    <n v="439564.07242557697"/>
  </r>
  <r>
    <x v="0"/>
    <x v="0"/>
    <x v="1"/>
    <x v="3"/>
    <x v="13"/>
    <s v="SE3A"/>
    <x v="7"/>
    <s v="GHYRR_WATER"/>
    <x v="0"/>
    <x v="8"/>
    <n v="334.52364720363499"/>
    <n v="122101.131229327"/>
    <n v="439564.07242557697"/>
  </r>
  <r>
    <x v="0"/>
    <x v="0"/>
    <x v="1"/>
    <x v="3"/>
    <x v="13"/>
    <s v="SE3A"/>
    <x v="7"/>
    <s v="GHYRR_WATER"/>
    <x v="0"/>
    <x v="9"/>
    <n v="334.52364720363499"/>
    <n v="122101.131229327"/>
    <n v="439564.07242557697"/>
  </r>
  <r>
    <x v="0"/>
    <x v="0"/>
    <x v="1"/>
    <x v="3"/>
    <x v="13"/>
    <s v="SE3A"/>
    <x v="7"/>
    <s v="GHYRR_WATER"/>
    <x v="0"/>
    <x v="10"/>
    <n v="334.52364720363499"/>
    <n v="122101.131229327"/>
    <n v="439564.07242557697"/>
  </r>
  <r>
    <x v="0"/>
    <x v="0"/>
    <x v="1"/>
    <x v="3"/>
    <x v="13"/>
    <s v="SE3A"/>
    <x v="7"/>
    <s v="GHYRR_WATER"/>
    <x v="0"/>
    <x v="11"/>
    <n v="334.52364720363499"/>
    <n v="122101.131229327"/>
    <n v="439564.07242557697"/>
  </r>
  <r>
    <x v="0"/>
    <x v="0"/>
    <x v="1"/>
    <x v="3"/>
    <x v="13"/>
    <s v="SE3A"/>
    <x v="7"/>
    <s v="GHYRR_WATER"/>
    <x v="0"/>
    <x v="12"/>
    <n v="334.52364720363499"/>
    <n v="122101.131229327"/>
    <n v="439564.07242557697"/>
  </r>
  <r>
    <x v="0"/>
    <x v="0"/>
    <x v="1"/>
    <x v="3"/>
    <x v="13"/>
    <s v="SE3A"/>
    <x v="7"/>
    <s v="GHYRR_WATER"/>
    <x v="0"/>
    <x v="13"/>
    <n v="334.52364720363499"/>
    <n v="122101.131229327"/>
    <n v="439564.07242557697"/>
  </r>
  <r>
    <x v="0"/>
    <x v="0"/>
    <x v="1"/>
    <x v="3"/>
    <x v="13"/>
    <s v="SE3A"/>
    <x v="7"/>
    <s v="GHYRR_WATER"/>
    <x v="0"/>
    <x v="14"/>
    <n v="334.52364720363499"/>
    <n v="122101.131229327"/>
    <n v="439564.07242557697"/>
  </r>
  <r>
    <x v="0"/>
    <x v="0"/>
    <x v="1"/>
    <x v="3"/>
    <x v="13"/>
    <s v="SE3A"/>
    <x v="7"/>
    <s v="GHYRR_WATER"/>
    <x v="0"/>
    <x v="15"/>
    <n v="334.52364720363499"/>
    <n v="122101.131229327"/>
    <n v="439564.07242557697"/>
  </r>
  <r>
    <x v="0"/>
    <x v="0"/>
    <x v="1"/>
    <x v="3"/>
    <x v="13"/>
    <s v="SE3A"/>
    <x v="7"/>
    <s v="GHYRR_WATER"/>
    <x v="0"/>
    <x v="16"/>
    <n v="334.52364720363499"/>
    <n v="122101.131229327"/>
    <n v="439564.07242557697"/>
  </r>
  <r>
    <x v="0"/>
    <x v="0"/>
    <x v="1"/>
    <x v="3"/>
    <x v="13"/>
    <s v="SE3A"/>
    <x v="7"/>
    <s v="GHYRR_WATER"/>
    <x v="0"/>
    <x v="17"/>
    <n v="334.52364720363499"/>
    <n v="122101.131229327"/>
    <n v="439564.07242557697"/>
  </r>
  <r>
    <x v="0"/>
    <x v="0"/>
    <x v="1"/>
    <x v="3"/>
    <x v="13"/>
    <s v="SE3A"/>
    <x v="7"/>
    <s v="GHYRR_WATER"/>
    <x v="0"/>
    <x v="18"/>
    <n v="334.52364720363499"/>
    <n v="122101.131229327"/>
    <n v="439564.07242557697"/>
  </r>
  <r>
    <x v="0"/>
    <x v="0"/>
    <x v="1"/>
    <x v="3"/>
    <x v="13"/>
    <s v="SE3A"/>
    <x v="7"/>
    <s v="GHYRR_WATER"/>
    <x v="0"/>
    <x v="19"/>
    <n v="334.52364720363499"/>
    <n v="122101.131229327"/>
    <n v="439564.07242557697"/>
  </r>
  <r>
    <x v="0"/>
    <x v="0"/>
    <x v="1"/>
    <x v="3"/>
    <x v="13"/>
    <s v="SE3A"/>
    <x v="7"/>
    <s v="GHYRR_WATER"/>
    <x v="0"/>
    <x v="20"/>
    <n v="334.52364720363499"/>
    <n v="122101.131229327"/>
    <n v="439564.07242557697"/>
  </r>
  <r>
    <x v="0"/>
    <x v="0"/>
    <x v="1"/>
    <x v="3"/>
    <x v="13"/>
    <s v="SE3A"/>
    <x v="7"/>
    <s v="GHYRR_WATER"/>
    <x v="0"/>
    <x v="21"/>
    <n v="334.52364720363499"/>
    <n v="122101.131229327"/>
    <n v="439564.07242557697"/>
  </r>
  <r>
    <x v="0"/>
    <x v="0"/>
    <x v="1"/>
    <x v="3"/>
    <x v="13"/>
    <s v="SE3A"/>
    <x v="7"/>
    <s v="GHYRR_WATER"/>
    <x v="0"/>
    <x v="22"/>
    <n v="334.52364720363499"/>
    <n v="122101.131229327"/>
    <n v="439564.07242557697"/>
  </r>
  <r>
    <x v="0"/>
    <x v="0"/>
    <x v="1"/>
    <x v="3"/>
    <x v="13"/>
    <s v="SE3A"/>
    <x v="7"/>
    <s v="GHYRR_WATER"/>
    <x v="0"/>
    <x v="23"/>
    <n v="334.52364720363499"/>
    <n v="122101.131229327"/>
    <n v="439564.07242557697"/>
  </r>
  <r>
    <x v="0"/>
    <x v="0"/>
    <x v="1"/>
    <x v="3"/>
    <x v="13"/>
    <s v="SE3A"/>
    <x v="8"/>
    <s v="GNR_WT_WIND_ONS"/>
    <x v="0"/>
    <x v="0"/>
    <n v="465.87654890896198"/>
    <n v="170044.94035177099"/>
    <n v="612161.78526637598"/>
  </r>
  <r>
    <x v="0"/>
    <x v="0"/>
    <x v="1"/>
    <x v="3"/>
    <x v="13"/>
    <s v="SE3A"/>
    <x v="8"/>
    <s v="GNR_WT_WIND_ONS"/>
    <x v="0"/>
    <x v="1"/>
    <n v="552.74125279522298"/>
    <n v="201750.55727025599"/>
    <n v="726302.00617292302"/>
  </r>
  <r>
    <x v="0"/>
    <x v="0"/>
    <x v="1"/>
    <x v="3"/>
    <x v="13"/>
    <s v="SE3A"/>
    <x v="8"/>
    <s v="GNR_WT_WIND_ONS"/>
    <x v="0"/>
    <x v="2"/>
    <n v="644.20754812597499"/>
    <n v="235135.75506598101"/>
    <n v="846488.71823753102"/>
  </r>
  <r>
    <x v="0"/>
    <x v="0"/>
    <x v="1"/>
    <x v="3"/>
    <x v="13"/>
    <s v="SE3A"/>
    <x v="8"/>
    <s v="GNR_WT_WIND_ONS"/>
    <x v="0"/>
    <x v="3"/>
    <n v="715.97236409203094"/>
    <n v="261329.91289359101"/>
    <n v="940787.68641692901"/>
  </r>
  <r>
    <x v="0"/>
    <x v="0"/>
    <x v="1"/>
    <x v="3"/>
    <x v="13"/>
    <s v="SE3A"/>
    <x v="8"/>
    <s v="GNR_WT_WIND_ONS"/>
    <x v="0"/>
    <x v="4"/>
    <n v="753.21017797820105"/>
    <n v="274921.71496204298"/>
    <n v="989718.173863356"/>
  </r>
  <r>
    <x v="0"/>
    <x v="0"/>
    <x v="1"/>
    <x v="3"/>
    <x v="13"/>
    <s v="SE3A"/>
    <x v="8"/>
    <s v="GNR_WT_WIND_ONS"/>
    <x v="0"/>
    <x v="5"/>
    <n v="770.06597380016899"/>
    <n v="281074.08043706202"/>
    <n v="1011866.68957342"/>
  </r>
  <r>
    <x v="0"/>
    <x v="0"/>
    <x v="1"/>
    <x v="3"/>
    <x v="13"/>
    <s v="SE3A"/>
    <x v="8"/>
    <s v="GNR_WT_WIND_ONS"/>
    <x v="0"/>
    <x v="6"/>
    <n v="797.98482667356302"/>
    <n v="291264.46173585003"/>
    <n v="1048552.06224906"/>
  </r>
  <r>
    <x v="0"/>
    <x v="0"/>
    <x v="1"/>
    <x v="3"/>
    <x v="13"/>
    <s v="SE3A"/>
    <x v="8"/>
    <s v="GNR_WT_WIND_ONS"/>
    <x v="0"/>
    <x v="7"/>
    <n v="809.634664317447"/>
    <n v="295516.652475868"/>
    <n v="1063859.94891313"/>
  </r>
  <r>
    <x v="0"/>
    <x v="0"/>
    <x v="1"/>
    <x v="3"/>
    <x v="13"/>
    <s v="SE3A"/>
    <x v="8"/>
    <s v="GNR_WT_WIND_ONS"/>
    <x v="0"/>
    <x v="8"/>
    <n v="808.02769429338105"/>
    <n v="294930.10841708397"/>
    <n v="1061748.3903015"/>
  </r>
  <r>
    <x v="0"/>
    <x v="0"/>
    <x v="1"/>
    <x v="3"/>
    <x v="13"/>
    <s v="SE3A"/>
    <x v="8"/>
    <s v="GNR_WT_WIND_ONS"/>
    <x v="0"/>
    <x v="9"/>
    <n v="782.262169780671"/>
    <n v="285525.69196994498"/>
    <n v="1027892.4910918"/>
  </r>
  <r>
    <x v="0"/>
    <x v="0"/>
    <x v="1"/>
    <x v="3"/>
    <x v="13"/>
    <s v="SE3A"/>
    <x v="8"/>
    <s v="GNR_WT_WIND_ONS"/>
    <x v="0"/>
    <x v="10"/>
    <n v="789.52985702246701"/>
    <n v="288178.39781320002"/>
    <n v="1037442.23212752"/>
  </r>
  <r>
    <x v="0"/>
    <x v="0"/>
    <x v="1"/>
    <x v="3"/>
    <x v="13"/>
    <s v="SE3A"/>
    <x v="8"/>
    <s v="GNR_WT_WIND_ONS"/>
    <x v="0"/>
    <x v="11"/>
    <n v="802.83640817079004"/>
    <n v="293035.28898233798"/>
    <n v="1054927.0403364201"/>
  </r>
  <r>
    <x v="0"/>
    <x v="0"/>
    <x v="1"/>
    <x v="3"/>
    <x v="13"/>
    <s v="SE3A"/>
    <x v="8"/>
    <s v="GNR_WT_WIND_ONS"/>
    <x v="0"/>
    <x v="12"/>
    <n v="820.12458885993703"/>
    <n v="299345.47493387701"/>
    <n v="1077643.70976196"/>
  </r>
  <r>
    <x v="0"/>
    <x v="0"/>
    <x v="1"/>
    <x v="3"/>
    <x v="13"/>
    <s v="SE3A"/>
    <x v="8"/>
    <s v="GNR_WT_WIND_ONS"/>
    <x v="0"/>
    <x v="13"/>
    <n v="840.57394578448998"/>
    <n v="306809.49021133903"/>
    <n v="1104514.1647608201"/>
  </r>
  <r>
    <x v="0"/>
    <x v="0"/>
    <x v="1"/>
    <x v="3"/>
    <x v="13"/>
    <s v="SE3A"/>
    <x v="8"/>
    <s v="GNR_WT_WIND_ONS"/>
    <x v="0"/>
    <x v="14"/>
    <n v="819.760015574004"/>
    <n v="299212.405684511"/>
    <n v="1077164.66046424"/>
  </r>
  <r>
    <x v="0"/>
    <x v="0"/>
    <x v="1"/>
    <x v="3"/>
    <x v="13"/>
    <s v="SE3A"/>
    <x v="8"/>
    <s v="GNR_WT_WIND_ONS"/>
    <x v="0"/>
    <x v="15"/>
    <n v="817.53670604334798"/>
    <n v="298400.89770582202"/>
    <n v="1074243.2317409599"/>
  </r>
  <r>
    <x v="0"/>
    <x v="0"/>
    <x v="1"/>
    <x v="3"/>
    <x v="13"/>
    <s v="SE3A"/>
    <x v="8"/>
    <s v="GNR_WT_WIND_ONS"/>
    <x v="0"/>
    <x v="16"/>
    <n v="795.48079946216899"/>
    <n v="290350.49180369201"/>
    <n v="1045261.77049329"/>
  </r>
  <r>
    <x v="0"/>
    <x v="0"/>
    <x v="1"/>
    <x v="3"/>
    <x v="13"/>
    <s v="SE3A"/>
    <x v="8"/>
    <s v="GNR_WT_WIND_ONS"/>
    <x v="0"/>
    <x v="17"/>
    <n v="723.89339934309498"/>
    <n v="264221.09076023003"/>
    <n v="951195.92673682596"/>
  </r>
  <r>
    <x v="0"/>
    <x v="0"/>
    <x v="1"/>
    <x v="3"/>
    <x v="13"/>
    <s v="SE3A"/>
    <x v="8"/>
    <s v="GNR_WT_WIND_ONS"/>
    <x v="0"/>
    <x v="18"/>
    <n v="603.91779810567004"/>
    <n v="220429.99630857"/>
    <n v="793547.98671085096"/>
  </r>
  <r>
    <x v="0"/>
    <x v="0"/>
    <x v="1"/>
    <x v="3"/>
    <x v="13"/>
    <s v="SE3A"/>
    <x v="8"/>
    <s v="GNR_WT_WIND_ONS"/>
    <x v="0"/>
    <x v="19"/>
    <n v="593.63716188501803"/>
    <n v="216677.564088032"/>
    <n v="780039.23071691405"/>
  </r>
  <r>
    <x v="0"/>
    <x v="0"/>
    <x v="1"/>
    <x v="3"/>
    <x v="13"/>
    <s v="SE3A"/>
    <x v="8"/>
    <s v="GNR_WT_WIND_ONS"/>
    <x v="0"/>
    <x v="20"/>
    <n v="571.63601547695396"/>
    <n v="208647.14564908799"/>
    <n v="751129.72433671798"/>
  </r>
  <r>
    <x v="0"/>
    <x v="0"/>
    <x v="1"/>
    <x v="3"/>
    <x v="13"/>
    <s v="SE3A"/>
    <x v="8"/>
    <s v="GNR_WT_WIND_ONS"/>
    <x v="0"/>
    <x v="21"/>
    <n v="539.26757479344303"/>
    <n v="196832.66479960701"/>
    <n v="708597.593278585"/>
  </r>
  <r>
    <x v="0"/>
    <x v="0"/>
    <x v="1"/>
    <x v="3"/>
    <x v="13"/>
    <s v="SE3A"/>
    <x v="8"/>
    <s v="GNR_WT_WIND_ONS"/>
    <x v="0"/>
    <x v="22"/>
    <n v="542.55472190820205"/>
    <n v="198032.473496494"/>
    <n v="712916.90458737698"/>
  </r>
  <r>
    <x v="0"/>
    <x v="0"/>
    <x v="1"/>
    <x v="3"/>
    <x v="13"/>
    <s v="SE3A"/>
    <x v="8"/>
    <s v="GNR_WT_WIND_ONS"/>
    <x v="0"/>
    <x v="23"/>
    <n v="481.43578680478998"/>
    <n v="175724.062183748"/>
    <n v="632606.62386149401"/>
  </r>
  <r>
    <x v="0"/>
    <x v="0"/>
    <x v="1"/>
    <x v="3"/>
    <x v="13"/>
    <s v="SE3_EL"/>
    <x v="1"/>
    <s v="GBPR_MUNIWASTE_24"/>
    <x v="0"/>
    <x v="7"/>
    <n v="105.428813216183"/>
    <n v="38481.516823906801"/>
    <n v="138533.46056606399"/>
  </r>
  <r>
    <x v="0"/>
    <x v="0"/>
    <x v="1"/>
    <x v="3"/>
    <x v="13"/>
    <s v="SE3_EL"/>
    <x v="1"/>
    <s v="GBPR_MUNIWASTE_24"/>
    <x v="0"/>
    <x v="8"/>
    <n v="73.217884566643093"/>
    <n v="26724.527866824701"/>
    <n v="96208.300320569004"/>
  </r>
  <r>
    <x v="0"/>
    <x v="0"/>
    <x v="1"/>
    <x v="3"/>
    <x v="13"/>
    <s v="SE3_EL"/>
    <x v="1"/>
    <s v="GBPR_MUNIWASTE_24"/>
    <x v="0"/>
    <x v="9"/>
    <n v="2.1111287174333802"/>
    <n v="770.56198186318295"/>
    <n v="2774.02313470746"/>
  </r>
  <r>
    <x v="0"/>
    <x v="0"/>
    <x v="1"/>
    <x v="3"/>
    <x v="13"/>
    <s v="SE3_EL"/>
    <x v="1"/>
    <s v="GBPR_MUNIWASTE_LINK"/>
    <x v="0"/>
    <x v="6"/>
    <n v="205.585260395196"/>
    <n v="75038.620044246505"/>
    <n v="270139.03215928702"/>
  </r>
  <r>
    <x v="0"/>
    <x v="0"/>
    <x v="1"/>
    <x v="3"/>
    <x v="13"/>
    <s v="SE3_EL"/>
    <x v="1"/>
    <s v="GBPR_MUNIWASTE_LINK"/>
    <x v="0"/>
    <x v="7"/>
    <n v="217.618749134181"/>
    <n v="79430.843433976101"/>
    <n v="285951.03636231401"/>
  </r>
  <r>
    <x v="0"/>
    <x v="0"/>
    <x v="1"/>
    <x v="3"/>
    <x v="13"/>
    <s v="SE3_EL"/>
    <x v="1"/>
    <s v="GBPR_MUNIWASTE_LINK"/>
    <x v="0"/>
    <x v="8"/>
    <n v="217.618749134181"/>
    <n v="79430.843433976101"/>
    <n v="285951.03636231401"/>
  </r>
  <r>
    <x v="0"/>
    <x v="0"/>
    <x v="1"/>
    <x v="3"/>
    <x v="13"/>
    <s v="SE3_EL"/>
    <x v="1"/>
    <s v="GBPR_MUNIWASTE_LINK"/>
    <x v="0"/>
    <x v="9"/>
    <n v="217.618749134181"/>
    <n v="79430.843433976101"/>
    <n v="285951.03636231401"/>
  </r>
  <r>
    <x v="0"/>
    <x v="0"/>
    <x v="1"/>
    <x v="3"/>
    <x v="13"/>
    <s v="SE3_EL"/>
    <x v="1"/>
    <s v="GBPR_MUNIWASTE_LINK"/>
    <x v="0"/>
    <x v="10"/>
    <n v="159.55462544699"/>
    <n v="58237.438288151199"/>
    <n v="209654.77783734401"/>
  </r>
  <r>
    <x v="0"/>
    <x v="0"/>
    <x v="1"/>
    <x v="3"/>
    <x v="13"/>
    <s v="SE3_EL"/>
    <x v="1"/>
    <s v="GBPR_MUNIWASTE_LINK"/>
    <x v="0"/>
    <x v="11"/>
    <n v="116.054101856709"/>
    <n v="42359.747177698599"/>
    <n v="152495.08983971499"/>
  </r>
  <r>
    <x v="0"/>
    <x v="0"/>
    <x v="1"/>
    <x v="3"/>
    <x v="13"/>
    <s v="SE3_EL"/>
    <x v="1"/>
    <s v="GBPR_MUNIWASTE_LINK"/>
    <x v="0"/>
    <x v="12"/>
    <n v="52.006354202480303"/>
    <n v="18982.319283905301"/>
    <n v="68336.349422059095"/>
  </r>
  <r>
    <x v="0"/>
    <x v="0"/>
    <x v="1"/>
    <x v="3"/>
    <x v="13"/>
    <s v="SE3_EL"/>
    <x v="1"/>
    <s v="GBPR_MUNIWASTE_LINK"/>
    <x v="0"/>
    <x v="13"/>
    <n v="19.764631191395601"/>
    <n v="7214.0903848593798"/>
    <n v="25970.725385493799"/>
  </r>
  <r>
    <x v="0"/>
    <x v="0"/>
    <x v="1"/>
    <x v="3"/>
    <x v="13"/>
    <s v="SE3_EL"/>
    <x v="1"/>
    <s v="GHOB_MUNIWASTE"/>
    <x v="0"/>
    <x v="0"/>
    <n v="189.21274661061301"/>
    <n v="69062.652512873698"/>
    <n v="248625.549046345"/>
  </r>
  <r>
    <x v="0"/>
    <x v="0"/>
    <x v="1"/>
    <x v="3"/>
    <x v="13"/>
    <s v="SE3_EL"/>
    <x v="1"/>
    <s v="GHOB_MUNIWASTE"/>
    <x v="0"/>
    <x v="1"/>
    <n v="189.21274661061301"/>
    <n v="69062.652512873698"/>
    <n v="248625.549046345"/>
  </r>
  <r>
    <x v="0"/>
    <x v="0"/>
    <x v="1"/>
    <x v="3"/>
    <x v="13"/>
    <s v="SE3_EL"/>
    <x v="1"/>
    <s v="GHOB_MUNIWASTE"/>
    <x v="0"/>
    <x v="2"/>
    <n v="189.21274661061301"/>
    <n v="69062.652512873698"/>
    <n v="248625.549046345"/>
  </r>
  <r>
    <x v="0"/>
    <x v="0"/>
    <x v="1"/>
    <x v="3"/>
    <x v="13"/>
    <s v="SE3_EL"/>
    <x v="1"/>
    <s v="GHOB_MUNIWASTE"/>
    <x v="0"/>
    <x v="3"/>
    <n v="189.21274661061301"/>
    <n v="69062.652512873698"/>
    <n v="248625.549046345"/>
  </r>
  <r>
    <x v="0"/>
    <x v="0"/>
    <x v="1"/>
    <x v="3"/>
    <x v="13"/>
    <s v="SE3_EL"/>
    <x v="1"/>
    <s v="GHOB_MUNIWASTE"/>
    <x v="0"/>
    <x v="4"/>
    <n v="189.21274661061301"/>
    <n v="69062.652512873698"/>
    <n v="248625.549046345"/>
  </r>
  <r>
    <x v="0"/>
    <x v="0"/>
    <x v="1"/>
    <x v="3"/>
    <x v="13"/>
    <s v="SE3_EL"/>
    <x v="1"/>
    <s v="GHOB_MUNIWASTE"/>
    <x v="0"/>
    <x v="5"/>
    <n v="189.21274661061301"/>
    <n v="69062.652512873698"/>
    <n v="248625.549046345"/>
  </r>
  <r>
    <x v="0"/>
    <x v="0"/>
    <x v="1"/>
    <x v="3"/>
    <x v="13"/>
    <s v="SE3_EL"/>
    <x v="1"/>
    <s v="GHOB_MUNIWASTE"/>
    <x v="0"/>
    <x v="6"/>
    <n v="189.21274661061301"/>
    <n v="69062.652512873698"/>
    <n v="248625.549046345"/>
  </r>
  <r>
    <x v="0"/>
    <x v="0"/>
    <x v="1"/>
    <x v="3"/>
    <x v="13"/>
    <s v="SE3_EL"/>
    <x v="1"/>
    <s v="GHOB_MUNIWASTE"/>
    <x v="0"/>
    <x v="7"/>
    <n v="189.21274661061301"/>
    <n v="69062.652512873698"/>
    <n v="248625.549046345"/>
  </r>
  <r>
    <x v="0"/>
    <x v="0"/>
    <x v="1"/>
    <x v="3"/>
    <x v="13"/>
    <s v="SE3_EL"/>
    <x v="1"/>
    <s v="GHOB_MUNIWASTE"/>
    <x v="0"/>
    <x v="8"/>
    <n v="189.21274661061301"/>
    <n v="69062.652512873698"/>
    <n v="248625.549046345"/>
  </r>
  <r>
    <x v="0"/>
    <x v="0"/>
    <x v="1"/>
    <x v="3"/>
    <x v="13"/>
    <s v="SE3_EL"/>
    <x v="1"/>
    <s v="GHOB_MUNIWASTE"/>
    <x v="0"/>
    <x v="9"/>
    <n v="189.21274661061301"/>
    <n v="69062.652512873698"/>
    <n v="248625.549046345"/>
  </r>
  <r>
    <x v="0"/>
    <x v="0"/>
    <x v="1"/>
    <x v="3"/>
    <x v="13"/>
    <s v="SE3_EL"/>
    <x v="1"/>
    <s v="GHOB_MUNIWASTE"/>
    <x v="0"/>
    <x v="10"/>
    <n v="189.21274661061301"/>
    <n v="69062.652512873698"/>
    <n v="248625.549046345"/>
  </r>
  <r>
    <x v="0"/>
    <x v="0"/>
    <x v="1"/>
    <x v="3"/>
    <x v="13"/>
    <s v="SE3_EL"/>
    <x v="1"/>
    <s v="GHOB_MUNIWASTE"/>
    <x v="0"/>
    <x v="11"/>
    <n v="189.21274661061301"/>
    <n v="69062.652512873698"/>
    <n v="248625.549046345"/>
  </r>
  <r>
    <x v="0"/>
    <x v="0"/>
    <x v="1"/>
    <x v="3"/>
    <x v="13"/>
    <s v="SE3_EL"/>
    <x v="1"/>
    <s v="GHOB_MUNIWASTE"/>
    <x v="0"/>
    <x v="12"/>
    <n v="189.21274661061301"/>
    <n v="69062.652512873698"/>
    <n v="248625.549046345"/>
  </r>
  <r>
    <x v="0"/>
    <x v="0"/>
    <x v="1"/>
    <x v="3"/>
    <x v="13"/>
    <s v="SE3_EL"/>
    <x v="1"/>
    <s v="GHOB_MUNIWASTE"/>
    <x v="0"/>
    <x v="13"/>
    <n v="189.21274661061301"/>
    <n v="69062.652512873698"/>
    <n v="248625.549046345"/>
  </r>
  <r>
    <x v="0"/>
    <x v="0"/>
    <x v="1"/>
    <x v="3"/>
    <x v="13"/>
    <s v="SE3_EL"/>
    <x v="1"/>
    <s v="GHOB_MUNIWASTE"/>
    <x v="0"/>
    <x v="14"/>
    <n v="189.21274661061301"/>
    <n v="69062.652512873698"/>
    <n v="248625.549046345"/>
  </r>
  <r>
    <x v="0"/>
    <x v="0"/>
    <x v="1"/>
    <x v="3"/>
    <x v="13"/>
    <s v="SE3_EL"/>
    <x v="1"/>
    <s v="GHOB_MUNIWASTE"/>
    <x v="0"/>
    <x v="15"/>
    <n v="189.21274661061301"/>
    <n v="69062.652512873698"/>
    <n v="248625.549046345"/>
  </r>
  <r>
    <x v="0"/>
    <x v="0"/>
    <x v="1"/>
    <x v="3"/>
    <x v="13"/>
    <s v="SE3_EL"/>
    <x v="1"/>
    <s v="GHOB_MUNIWASTE"/>
    <x v="0"/>
    <x v="16"/>
    <n v="189.21274661061301"/>
    <n v="69062.652512873698"/>
    <n v="248625.549046345"/>
  </r>
  <r>
    <x v="0"/>
    <x v="0"/>
    <x v="1"/>
    <x v="3"/>
    <x v="13"/>
    <s v="SE3_EL"/>
    <x v="1"/>
    <s v="GHOB_MUNIWASTE"/>
    <x v="0"/>
    <x v="17"/>
    <n v="189.21274661061301"/>
    <n v="69062.652512873698"/>
    <n v="248625.549046345"/>
  </r>
  <r>
    <x v="0"/>
    <x v="0"/>
    <x v="1"/>
    <x v="3"/>
    <x v="13"/>
    <s v="SE3_EL"/>
    <x v="1"/>
    <s v="GHOB_MUNIWASTE"/>
    <x v="0"/>
    <x v="18"/>
    <n v="189.21274661061301"/>
    <n v="69062.652512873698"/>
    <n v="248625.549046345"/>
  </r>
  <r>
    <x v="0"/>
    <x v="0"/>
    <x v="1"/>
    <x v="3"/>
    <x v="13"/>
    <s v="SE3_EL"/>
    <x v="1"/>
    <s v="GHOB_MUNIWASTE"/>
    <x v="0"/>
    <x v="19"/>
    <n v="189.21274661061301"/>
    <n v="69062.652512873698"/>
    <n v="248625.549046345"/>
  </r>
  <r>
    <x v="0"/>
    <x v="0"/>
    <x v="1"/>
    <x v="3"/>
    <x v="13"/>
    <s v="SE3_EL"/>
    <x v="1"/>
    <s v="GHOB_MUNIWASTE"/>
    <x v="0"/>
    <x v="20"/>
    <n v="189.21274661061301"/>
    <n v="69062.652512873698"/>
    <n v="248625.549046345"/>
  </r>
  <r>
    <x v="0"/>
    <x v="0"/>
    <x v="1"/>
    <x v="3"/>
    <x v="13"/>
    <s v="SE3_EL"/>
    <x v="1"/>
    <s v="GHOB_MUNIWASTE"/>
    <x v="0"/>
    <x v="21"/>
    <n v="189.21274661061301"/>
    <n v="69062.652512873698"/>
    <n v="248625.549046345"/>
  </r>
  <r>
    <x v="0"/>
    <x v="0"/>
    <x v="1"/>
    <x v="3"/>
    <x v="13"/>
    <s v="SE3_EL"/>
    <x v="1"/>
    <s v="GHOB_MUNIWASTE"/>
    <x v="0"/>
    <x v="22"/>
    <n v="189.21274661061301"/>
    <n v="69062.652512873698"/>
    <n v="248625.549046345"/>
  </r>
  <r>
    <x v="0"/>
    <x v="0"/>
    <x v="1"/>
    <x v="3"/>
    <x v="13"/>
    <s v="SE3_EL"/>
    <x v="1"/>
    <s v="GHOB_MUNIWASTE"/>
    <x v="0"/>
    <x v="23"/>
    <n v="189.21274661061301"/>
    <n v="69062.652512873698"/>
    <n v="248625.549046345"/>
  </r>
  <r>
    <x v="0"/>
    <x v="0"/>
    <x v="1"/>
    <x v="3"/>
    <x v="13"/>
    <s v="SE3_EL"/>
    <x v="2"/>
    <s v="GHOB_WASTEHEAT"/>
    <x v="0"/>
    <x v="0"/>
    <n v="27.2206959706959"/>
    <n v="9935.5540293039903"/>
    <n v="35767.994505494396"/>
  </r>
  <r>
    <x v="0"/>
    <x v="0"/>
    <x v="1"/>
    <x v="3"/>
    <x v="13"/>
    <s v="SE3_EL"/>
    <x v="2"/>
    <s v="GHOB_WASTEHEAT"/>
    <x v="0"/>
    <x v="1"/>
    <n v="27.2206959706959"/>
    <n v="9935.5540293039903"/>
    <n v="35767.994505494396"/>
  </r>
  <r>
    <x v="0"/>
    <x v="0"/>
    <x v="1"/>
    <x v="3"/>
    <x v="13"/>
    <s v="SE3_EL"/>
    <x v="2"/>
    <s v="GHOB_WASTEHEAT"/>
    <x v="0"/>
    <x v="2"/>
    <n v="27.2206959706959"/>
    <n v="9935.5540293039903"/>
    <n v="35767.994505494396"/>
  </r>
  <r>
    <x v="0"/>
    <x v="0"/>
    <x v="1"/>
    <x v="3"/>
    <x v="13"/>
    <s v="SE3_EL"/>
    <x v="2"/>
    <s v="GHOB_WASTEHEAT"/>
    <x v="0"/>
    <x v="3"/>
    <n v="27.2206959706959"/>
    <n v="9935.5540293039903"/>
    <n v="35767.994505494396"/>
  </r>
  <r>
    <x v="0"/>
    <x v="0"/>
    <x v="1"/>
    <x v="3"/>
    <x v="13"/>
    <s v="SE3_EL"/>
    <x v="2"/>
    <s v="GHOB_WASTEHEAT"/>
    <x v="0"/>
    <x v="4"/>
    <n v="27.2206959706959"/>
    <n v="9935.5540293039903"/>
    <n v="35767.994505494396"/>
  </r>
  <r>
    <x v="0"/>
    <x v="0"/>
    <x v="1"/>
    <x v="3"/>
    <x v="13"/>
    <s v="SE3_EL"/>
    <x v="2"/>
    <s v="GHOB_WASTEHEAT"/>
    <x v="0"/>
    <x v="5"/>
    <n v="27.2206959706959"/>
    <n v="9935.5540293039903"/>
    <n v="35767.994505494396"/>
  </r>
  <r>
    <x v="0"/>
    <x v="0"/>
    <x v="1"/>
    <x v="3"/>
    <x v="13"/>
    <s v="SE3_EL"/>
    <x v="2"/>
    <s v="GHOB_WASTEHEAT"/>
    <x v="0"/>
    <x v="6"/>
    <n v="27.2206959706959"/>
    <n v="9935.5540293039903"/>
    <n v="35767.994505494396"/>
  </r>
  <r>
    <x v="0"/>
    <x v="0"/>
    <x v="1"/>
    <x v="3"/>
    <x v="13"/>
    <s v="SE3_EL"/>
    <x v="2"/>
    <s v="GHOB_WASTEHEAT"/>
    <x v="0"/>
    <x v="7"/>
    <n v="27.2206959706959"/>
    <n v="9935.5540293039903"/>
    <n v="35767.994505494396"/>
  </r>
  <r>
    <x v="0"/>
    <x v="0"/>
    <x v="1"/>
    <x v="3"/>
    <x v="13"/>
    <s v="SE3_EL"/>
    <x v="2"/>
    <s v="GHOB_WASTEHEAT"/>
    <x v="0"/>
    <x v="8"/>
    <n v="27.2206959706959"/>
    <n v="9935.5540293039903"/>
    <n v="35767.994505494396"/>
  </r>
  <r>
    <x v="0"/>
    <x v="0"/>
    <x v="1"/>
    <x v="3"/>
    <x v="13"/>
    <s v="SE3_EL"/>
    <x v="2"/>
    <s v="GHOB_WASTEHEAT"/>
    <x v="0"/>
    <x v="9"/>
    <n v="27.2206959706959"/>
    <n v="9935.5540293039903"/>
    <n v="35767.994505494396"/>
  </r>
  <r>
    <x v="0"/>
    <x v="0"/>
    <x v="1"/>
    <x v="3"/>
    <x v="13"/>
    <s v="SE3_EL"/>
    <x v="2"/>
    <s v="GHOB_WASTEHEAT"/>
    <x v="0"/>
    <x v="10"/>
    <n v="27.2206959706959"/>
    <n v="9935.5540293039903"/>
    <n v="35767.994505494396"/>
  </r>
  <r>
    <x v="0"/>
    <x v="0"/>
    <x v="1"/>
    <x v="3"/>
    <x v="13"/>
    <s v="SE3_EL"/>
    <x v="2"/>
    <s v="GHOB_WASTEHEAT"/>
    <x v="0"/>
    <x v="11"/>
    <n v="27.2206959706959"/>
    <n v="9935.5540293039903"/>
    <n v="35767.994505494396"/>
  </r>
  <r>
    <x v="0"/>
    <x v="0"/>
    <x v="1"/>
    <x v="3"/>
    <x v="13"/>
    <s v="SE3_EL"/>
    <x v="2"/>
    <s v="GHOB_WASTEHEAT"/>
    <x v="0"/>
    <x v="12"/>
    <n v="27.2206959706959"/>
    <n v="9935.5540293039903"/>
    <n v="35767.994505494396"/>
  </r>
  <r>
    <x v="0"/>
    <x v="0"/>
    <x v="1"/>
    <x v="3"/>
    <x v="13"/>
    <s v="SE3_EL"/>
    <x v="2"/>
    <s v="GHOB_WASTEHEAT"/>
    <x v="0"/>
    <x v="13"/>
    <n v="27.2206959706959"/>
    <n v="9935.5540293039903"/>
    <n v="35767.994505494396"/>
  </r>
  <r>
    <x v="0"/>
    <x v="0"/>
    <x v="1"/>
    <x v="3"/>
    <x v="13"/>
    <s v="SE3_EL"/>
    <x v="2"/>
    <s v="GHOB_WASTEHEAT"/>
    <x v="0"/>
    <x v="14"/>
    <n v="27.2206959706959"/>
    <n v="9935.5540293039903"/>
    <n v="35767.994505494396"/>
  </r>
  <r>
    <x v="0"/>
    <x v="0"/>
    <x v="1"/>
    <x v="3"/>
    <x v="13"/>
    <s v="SE3_EL"/>
    <x v="2"/>
    <s v="GHOB_WASTEHEAT"/>
    <x v="0"/>
    <x v="15"/>
    <n v="27.2206959706959"/>
    <n v="9935.5540293039903"/>
    <n v="35767.994505494396"/>
  </r>
  <r>
    <x v="0"/>
    <x v="0"/>
    <x v="1"/>
    <x v="3"/>
    <x v="13"/>
    <s v="SE3_EL"/>
    <x v="2"/>
    <s v="GHOB_WASTEHEAT"/>
    <x v="0"/>
    <x v="16"/>
    <n v="27.2206959706959"/>
    <n v="9935.5540293039903"/>
    <n v="35767.994505494396"/>
  </r>
  <r>
    <x v="0"/>
    <x v="0"/>
    <x v="1"/>
    <x v="3"/>
    <x v="13"/>
    <s v="SE3_EL"/>
    <x v="2"/>
    <s v="GHOB_WASTEHEAT"/>
    <x v="0"/>
    <x v="17"/>
    <n v="27.2206959706959"/>
    <n v="9935.5540293039903"/>
    <n v="35767.994505494396"/>
  </r>
  <r>
    <x v="0"/>
    <x v="0"/>
    <x v="1"/>
    <x v="3"/>
    <x v="13"/>
    <s v="SE3_EL"/>
    <x v="2"/>
    <s v="GHOB_WASTEHEAT"/>
    <x v="0"/>
    <x v="18"/>
    <n v="27.2206959706959"/>
    <n v="9935.5540293039903"/>
    <n v="35767.994505494396"/>
  </r>
  <r>
    <x v="0"/>
    <x v="0"/>
    <x v="1"/>
    <x v="3"/>
    <x v="13"/>
    <s v="SE3_EL"/>
    <x v="2"/>
    <s v="GHOB_WASTEHEAT"/>
    <x v="0"/>
    <x v="19"/>
    <n v="27.2206959706959"/>
    <n v="9935.5540293039903"/>
    <n v="35767.994505494396"/>
  </r>
  <r>
    <x v="0"/>
    <x v="0"/>
    <x v="1"/>
    <x v="3"/>
    <x v="13"/>
    <s v="SE3_EL"/>
    <x v="2"/>
    <s v="GHOB_WASTEHEAT"/>
    <x v="0"/>
    <x v="20"/>
    <n v="27.2206959706959"/>
    <n v="9935.5540293039903"/>
    <n v="35767.994505494396"/>
  </r>
  <r>
    <x v="0"/>
    <x v="0"/>
    <x v="1"/>
    <x v="3"/>
    <x v="13"/>
    <s v="SE3_EL"/>
    <x v="2"/>
    <s v="GHOB_WASTEHEAT"/>
    <x v="0"/>
    <x v="21"/>
    <n v="27.2206959706959"/>
    <n v="9935.5540293039903"/>
    <n v="35767.994505494396"/>
  </r>
  <r>
    <x v="0"/>
    <x v="0"/>
    <x v="1"/>
    <x v="3"/>
    <x v="13"/>
    <s v="SE3_EL"/>
    <x v="2"/>
    <s v="GHOB_WASTEHEAT"/>
    <x v="0"/>
    <x v="22"/>
    <n v="27.2206959706959"/>
    <n v="9935.5540293039903"/>
    <n v="35767.994505494396"/>
  </r>
  <r>
    <x v="0"/>
    <x v="0"/>
    <x v="1"/>
    <x v="3"/>
    <x v="13"/>
    <s v="SE3_EL"/>
    <x v="2"/>
    <s v="GHOB_WASTEHEAT"/>
    <x v="0"/>
    <x v="23"/>
    <n v="27.2206959706959"/>
    <n v="9935.5540293039903"/>
    <n v="35767.994505494396"/>
  </r>
  <r>
    <x v="0"/>
    <x v="0"/>
    <x v="1"/>
    <x v="3"/>
    <x v="13"/>
    <s v="SE3_EL"/>
    <x v="9"/>
    <s v="GHOB_WOODWASTE"/>
    <x v="0"/>
    <x v="6"/>
    <n v="54.961675079839303"/>
    <n v="20061.0114041413"/>
    <n v="72219.641054908803"/>
  </r>
  <r>
    <x v="0"/>
    <x v="0"/>
    <x v="1"/>
    <x v="3"/>
    <x v="13"/>
    <s v="SE3_EL"/>
    <x v="9"/>
    <s v="GHOB_WOODWASTE"/>
    <x v="0"/>
    <x v="7"/>
    <n v="54.961675079839303"/>
    <n v="20061.0114041413"/>
    <n v="72219.641054908803"/>
  </r>
  <r>
    <x v="0"/>
    <x v="0"/>
    <x v="1"/>
    <x v="3"/>
    <x v="13"/>
    <s v="SE3_EL"/>
    <x v="9"/>
    <s v="GHOB_WOODWASTE"/>
    <x v="0"/>
    <x v="8"/>
    <n v="54.961675079839303"/>
    <n v="20061.0114041413"/>
    <n v="72219.641054908803"/>
  </r>
  <r>
    <x v="0"/>
    <x v="0"/>
    <x v="1"/>
    <x v="3"/>
    <x v="13"/>
    <s v="SE3_EL"/>
    <x v="9"/>
    <s v="GHOB_WOODWASTE"/>
    <x v="0"/>
    <x v="9"/>
    <n v="54.961675079839303"/>
    <n v="20061.0114041413"/>
    <n v="72219.641054908803"/>
  </r>
  <r>
    <x v="0"/>
    <x v="0"/>
    <x v="1"/>
    <x v="3"/>
    <x v="13"/>
    <s v="SE3_EL"/>
    <x v="9"/>
    <s v="GHOB_WOODWASTE"/>
    <x v="0"/>
    <x v="10"/>
    <n v="54.961675079839303"/>
    <n v="20061.0114041413"/>
    <n v="72219.641054908803"/>
  </r>
  <r>
    <x v="0"/>
    <x v="0"/>
    <x v="1"/>
    <x v="3"/>
    <x v="13"/>
    <s v="SE3_EL"/>
    <x v="9"/>
    <s v="GHOB_WOODWASTE"/>
    <x v="0"/>
    <x v="11"/>
    <n v="54.961675079839303"/>
    <n v="20061.0114041413"/>
    <n v="72219.641054908803"/>
  </r>
  <r>
    <x v="0"/>
    <x v="0"/>
    <x v="1"/>
    <x v="3"/>
    <x v="13"/>
    <s v="SE3_EL"/>
    <x v="9"/>
    <s v="GHOB_WOODWASTE"/>
    <x v="0"/>
    <x v="12"/>
    <n v="54.961675079839303"/>
    <n v="20061.0114041413"/>
    <n v="72219.641054908803"/>
  </r>
  <r>
    <x v="0"/>
    <x v="0"/>
    <x v="1"/>
    <x v="3"/>
    <x v="13"/>
    <s v="SE3_EL"/>
    <x v="9"/>
    <s v="GHOB_WOODWASTE"/>
    <x v="0"/>
    <x v="13"/>
    <n v="54.961675079839303"/>
    <n v="20061.0114041413"/>
    <n v="72219.641054908803"/>
  </r>
  <r>
    <x v="0"/>
    <x v="0"/>
    <x v="1"/>
    <x v="3"/>
    <x v="13"/>
    <s v="SE3_EL"/>
    <x v="9"/>
    <s v="GHOB_WOODWASTE"/>
    <x v="0"/>
    <x v="14"/>
    <n v="24.793723057027002"/>
    <n v="9049.7089158148592"/>
    <n v="32578.952096933499"/>
  </r>
  <r>
    <x v="0"/>
    <x v="0"/>
    <x v="1"/>
    <x v="3"/>
    <x v="13"/>
    <s v="SE3_EL"/>
    <x v="9"/>
    <s v="GHOB_WOODWASTE"/>
    <x v="0"/>
    <x v="19"/>
    <n v="10.5932701074361"/>
    <n v="3866.54358921419"/>
    <n v="13919.556921171101"/>
  </r>
  <r>
    <x v="0"/>
    <x v="0"/>
    <x v="1"/>
    <x v="3"/>
    <x v="13"/>
    <s v="SE3_GOT"/>
    <x v="1"/>
    <s v="GBPR_MUNIWASTE_24"/>
    <x v="0"/>
    <x v="6"/>
    <n v="96.589443738080604"/>
    <n v="35255.146964399399"/>
    <n v="126918.529071838"/>
  </r>
  <r>
    <x v="0"/>
    <x v="0"/>
    <x v="1"/>
    <x v="3"/>
    <x v="13"/>
    <s v="SE3_GOT"/>
    <x v="1"/>
    <s v="GBPR_MUNIWASTE_24"/>
    <x v="0"/>
    <x v="7"/>
    <n v="131.327857956298"/>
    <n v="47934.668154048697"/>
    <n v="172564.80535457499"/>
  </r>
  <r>
    <x v="0"/>
    <x v="0"/>
    <x v="1"/>
    <x v="3"/>
    <x v="13"/>
    <s v="SE3_GOT"/>
    <x v="1"/>
    <s v="GBPR_MUNIWASTE_24"/>
    <x v="0"/>
    <x v="8"/>
    <n v="103.170381387503"/>
    <n v="37657.189206438503"/>
    <n v="135565.88114317899"/>
  </r>
  <r>
    <x v="0"/>
    <x v="0"/>
    <x v="1"/>
    <x v="3"/>
    <x v="13"/>
    <s v="SE3_GOT"/>
    <x v="1"/>
    <s v="GBPR_MUNIWASTE_24"/>
    <x v="0"/>
    <x v="9"/>
    <n v="70.259092255236496"/>
    <n v="25644.568673161299"/>
    <n v="92320.447223380805"/>
  </r>
  <r>
    <x v="0"/>
    <x v="0"/>
    <x v="1"/>
    <x v="3"/>
    <x v="13"/>
    <s v="SE3_GOT"/>
    <x v="1"/>
    <s v="GBPR_MUNIWASTE_24"/>
    <x v="0"/>
    <x v="10"/>
    <n v="45.647466557750498"/>
    <n v="16661.325293578899"/>
    <n v="59980.771056884201"/>
  </r>
  <r>
    <x v="0"/>
    <x v="0"/>
    <x v="1"/>
    <x v="3"/>
    <x v="13"/>
    <s v="SE3_GOT"/>
    <x v="1"/>
    <s v="GBPR_MUNIWASTE_24"/>
    <x v="0"/>
    <x v="11"/>
    <n v="26.305790004018601"/>
    <n v="9601.6133514667908"/>
    <n v="34565.808065280398"/>
  </r>
  <r>
    <x v="0"/>
    <x v="0"/>
    <x v="1"/>
    <x v="3"/>
    <x v="13"/>
    <s v="SE3_GOT"/>
    <x v="1"/>
    <s v="GBPR_MUNIWASTE_24"/>
    <x v="0"/>
    <x v="12"/>
    <n v="2.45166810321503"/>
    <n v="894.85885767348498"/>
    <n v="3221.4918876245501"/>
  </r>
  <r>
    <x v="0"/>
    <x v="0"/>
    <x v="1"/>
    <x v="3"/>
    <x v="13"/>
    <s v="SE3_GOT"/>
    <x v="1"/>
    <s v="GBPR_MUNIWASTE_24"/>
    <x v="0"/>
    <x v="19"/>
    <n v="5.4404778831517202"/>
    <n v="1985.7744273503799"/>
    <n v="7148.7879384613598"/>
  </r>
  <r>
    <x v="0"/>
    <x v="0"/>
    <x v="1"/>
    <x v="3"/>
    <x v="13"/>
    <s v="SE3_GOT"/>
    <x v="2"/>
    <s v="GHOB_WASTEHEAT"/>
    <x v="0"/>
    <x v="0"/>
    <n v="118.24633699633701"/>
    <n v="43159.913003662798"/>
    <n v="155375.68681318601"/>
  </r>
  <r>
    <x v="0"/>
    <x v="0"/>
    <x v="1"/>
    <x v="3"/>
    <x v="13"/>
    <s v="SE3_GOT"/>
    <x v="2"/>
    <s v="GHOB_WASTEHEAT"/>
    <x v="0"/>
    <x v="1"/>
    <n v="118.24633699633701"/>
    <n v="43159.913003662798"/>
    <n v="155375.68681318601"/>
  </r>
  <r>
    <x v="0"/>
    <x v="0"/>
    <x v="1"/>
    <x v="3"/>
    <x v="13"/>
    <s v="SE3_GOT"/>
    <x v="2"/>
    <s v="GHOB_WASTEHEAT"/>
    <x v="0"/>
    <x v="2"/>
    <n v="118.24633699633701"/>
    <n v="43159.913003662798"/>
    <n v="155375.68681318601"/>
  </r>
  <r>
    <x v="0"/>
    <x v="0"/>
    <x v="1"/>
    <x v="3"/>
    <x v="13"/>
    <s v="SE3_GOT"/>
    <x v="2"/>
    <s v="GHOB_WASTEHEAT"/>
    <x v="0"/>
    <x v="3"/>
    <n v="118.24633699633701"/>
    <n v="43159.913003662798"/>
    <n v="155375.68681318601"/>
  </r>
  <r>
    <x v="0"/>
    <x v="0"/>
    <x v="1"/>
    <x v="3"/>
    <x v="13"/>
    <s v="SE3_GOT"/>
    <x v="2"/>
    <s v="GHOB_WASTEHEAT"/>
    <x v="0"/>
    <x v="4"/>
    <n v="118.24633699633701"/>
    <n v="43159.913003662798"/>
    <n v="155375.68681318601"/>
  </r>
  <r>
    <x v="0"/>
    <x v="0"/>
    <x v="1"/>
    <x v="3"/>
    <x v="13"/>
    <s v="SE3_GOT"/>
    <x v="2"/>
    <s v="GHOB_WASTEHEAT"/>
    <x v="0"/>
    <x v="5"/>
    <n v="118.24633699633701"/>
    <n v="43159.913003662798"/>
    <n v="155375.68681318601"/>
  </r>
  <r>
    <x v="0"/>
    <x v="0"/>
    <x v="1"/>
    <x v="3"/>
    <x v="13"/>
    <s v="SE3_GOT"/>
    <x v="2"/>
    <s v="GHOB_WASTEHEAT"/>
    <x v="0"/>
    <x v="6"/>
    <n v="118.24633699633701"/>
    <n v="43159.913003662798"/>
    <n v="155375.68681318601"/>
  </r>
  <r>
    <x v="0"/>
    <x v="0"/>
    <x v="1"/>
    <x v="3"/>
    <x v="13"/>
    <s v="SE3_GOT"/>
    <x v="2"/>
    <s v="GHOB_WASTEHEAT"/>
    <x v="0"/>
    <x v="7"/>
    <n v="118.24633699633701"/>
    <n v="43159.913003662798"/>
    <n v="155375.68681318601"/>
  </r>
  <r>
    <x v="0"/>
    <x v="0"/>
    <x v="1"/>
    <x v="3"/>
    <x v="13"/>
    <s v="SE3_GOT"/>
    <x v="2"/>
    <s v="GHOB_WASTEHEAT"/>
    <x v="0"/>
    <x v="8"/>
    <n v="118.24633699633701"/>
    <n v="43159.913003662798"/>
    <n v="155375.68681318601"/>
  </r>
  <r>
    <x v="0"/>
    <x v="0"/>
    <x v="1"/>
    <x v="3"/>
    <x v="13"/>
    <s v="SE3_GOT"/>
    <x v="2"/>
    <s v="GHOB_WASTEHEAT"/>
    <x v="0"/>
    <x v="9"/>
    <n v="118.24633699633701"/>
    <n v="43159.913003662798"/>
    <n v="155375.68681318601"/>
  </r>
  <r>
    <x v="0"/>
    <x v="0"/>
    <x v="1"/>
    <x v="3"/>
    <x v="13"/>
    <s v="SE3_GOT"/>
    <x v="2"/>
    <s v="GHOB_WASTEHEAT"/>
    <x v="0"/>
    <x v="10"/>
    <n v="118.24633699633701"/>
    <n v="43159.913003662798"/>
    <n v="155375.68681318601"/>
  </r>
  <r>
    <x v="0"/>
    <x v="0"/>
    <x v="1"/>
    <x v="3"/>
    <x v="13"/>
    <s v="SE3_GOT"/>
    <x v="2"/>
    <s v="GHOB_WASTEHEAT"/>
    <x v="0"/>
    <x v="11"/>
    <n v="118.24633699633701"/>
    <n v="43159.913003662798"/>
    <n v="155375.68681318601"/>
  </r>
  <r>
    <x v="0"/>
    <x v="0"/>
    <x v="1"/>
    <x v="3"/>
    <x v="13"/>
    <s v="SE3_GOT"/>
    <x v="2"/>
    <s v="GHOB_WASTEHEAT"/>
    <x v="0"/>
    <x v="12"/>
    <n v="118.24633699633701"/>
    <n v="43159.913003662798"/>
    <n v="155375.68681318601"/>
  </r>
  <r>
    <x v="0"/>
    <x v="0"/>
    <x v="1"/>
    <x v="3"/>
    <x v="13"/>
    <s v="SE3_GOT"/>
    <x v="2"/>
    <s v="GHOB_WASTEHEAT"/>
    <x v="0"/>
    <x v="13"/>
    <n v="118.24633699633701"/>
    <n v="43159.913003662798"/>
    <n v="155375.68681318601"/>
  </r>
  <r>
    <x v="0"/>
    <x v="0"/>
    <x v="1"/>
    <x v="3"/>
    <x v="13"/>
    <s v="SE3_GOT"/>
    <x v="2"/>
    <s v="GHOB_WASTEHEAT"/>
    <x v="0"/>
    <x v="14"/>
    <n v="118.24633699633701"/>
    <n v="43159.913003662798"/>
    <n v="155375.68681318601"/>
  </r>
  <r>
    <x v="0"/>
    <x v="0"/>
    <x v="1"/>
    <x v="3"/>
    <x v="13"/>
    <s v="SE3_GOT"/>
    <x v="2"/>
    <s v="GHOB_WASTEHEAT"/>
    <x v="0"/>
    <x v="15"/>
    <n v="118.24633699633701"/>
    <n v="43159.913003662798"/>
    <n v="155375.68681318601"/>
  </r>
  <r>
    <x v="0"/>
    <x v="0"/>
    <x v="1"/>
    <x v="3"/>
    <x v="13"/>
    <s v="SE3_GOT"/>
    <x v="2"/>
    <s v="GHOB_WASTEHEAT"/>
    <x v="0"/>
    <x v="16"/>
    <n v="118.24633699633701"/>
    <n v="43159.913003662798"/>
    <n v="155375.68681318601"/>
  </r>
  <r>
    <x v="0"/>
    <x v="0"/>
    <x v="1"/>
    <x v="3"/>
    <x v="13"/>
    <s v="SE3_GOT"/>
    <x v="2"/>
    <s v="GHOB_WASTEHEAT"/>
    <x v="0"/>
    <x v="17"/>
    <n v="118.24633699633701"/>
    <n v="43159.913003662798"/>
    <n v="155375.68681318601"/>
  </r>
  <r>
    <x v="0"/>
    <x v="0"/>
    <x v="1"/>
    <x v="3"/>
    <x v="13"/>
    <s v="SE3_GOT"/>
    <x v="2"/>
    <s v="GHOB_WASTEHEAT"/>
    <x v="0"/>
    <x v="18"/>
    <n v="118.24633699633701"/>
    <n v="43159.913003662798"/>
    <n v="155375.68681318601"/>
  </r>
  <r>
    <x v="0"/>
    <x v="0"/>
    <x v="1"/>
    <x v="3"/>
    <x v="13"/>
    <s v="SE3_GOT"/>
    <x v="2"/>
    <s v="GHOB_WASTEHEAT"/>
    <x v="0"/>
    <x v="19"/>
    <n v="118.24633699633701"/>
    <n v="43159.913003662798"/>
    <n v="155375.68681318601"/>
  </r>
  <r>
    <x v="0"/>
    <x v="0"/>
    <x v="1"/>
    <x v="3"/>
    <x v="13"/>
    <s v="SE3_GOT"/>
    <x v="2"/>
    <s v="GHOB_WASTEHEAT"/>
    <x v="0"/>
    <x v="20"/>
    <n v="118.24633699633701"/>
    <n v="43159.913003662798"/>
    <n v="155375.68681318601"/>
  </r>
  <r>
    <x v="0"/>
    <x v="0"/>
    <x v="1"/>
    <x v="3"/>
    <x v="13"/>
    <s v="SE3_GOT"/>
    <x v="2"/>
    <s v="GHOB_WASTEHEAT"/>
    <x v="0"/>
    <x v="21"/>
    <n v="118.24633699633701"/>
    <n v="43159.913003662798"/>
    <n v="155375.68681318601"/>
  </r>
  <r>
    <x v="0"/>
    <x v="0"/>
    <x v="1"/>
    <x v="3"/>
    <x v="13"/>
    <s v="SE3_GOT"/>
    <x v="2"/>
    <s v="GHOB_WASTEHEAT"/>
    <x v="0"/>
    <x v="22"/>
    <n v="118.24633699633701"/>
    <n v="43159.913003662798"/>
    <n v="155375.68681318601"/>
  </r>
  <r>
    <x v="0"/>
    <x v="0"/>
    <x v="1"/>
    <x v="3"/>
    <x v="13"/>
    <s v="SE3_GOT"/>
    <x v="2"/>
    <s v="GHOB_WASTEHEAT"/>
    <x v="0"/>
    <x v="23"/>
    <n v="118.24633699633701"/>
    <n v="43159.913003662798"/>
    <n v="155375.68681318601"/>
  </r>
  <r>
    <x v="0"/>
    <x v="0"/>
    <x v="1"/>
    <x v="3"/>
    <x v="13"/>
    <s v="SE3_HP"/>
    <x v="2"/>
    <s v="GHOB_WASTEHEAT"/>
    <x v="0"/>
    <x v="0"/>
    <n v="3.4340659340659201E-3"/>
    <n v="1.2534340659340599"/>
    <n v="4.51236263736262"/>
  </r>
  <r>
    <x v="0"/>
    <x v="0"/>
    <x v="1"/>
    <x v="3"/>
    <x v="13"/>
    <s v="SE3_HP"/>
    <x v="2"/>
    <s v="GHOB_WASTEHEAT"/>
    <x v="0"/>
    <x v="1"/>
    <n v="3.4340659340659201E-3"/>
    <n v="1.2534340659340599"/>
    <n v="4.51236263736262"/>
  </r>
  <r>
    <x v="0"/>
    <x v="0"/>
    <x v="1"/>
    <x v="3"/>
    <x v="13"/>
    <s v="SE3_HP"/>
    <x v="2"/>
    <s v="GHOB_WASTEHEAT"/>
    <x v="0"/>
    <x v="2"/>
    <n v="3.4340659340659201E-3"/>
    <n v="1.2534340659340599"/>
    <n v="4.51236263736262"/>
  </r>
  <r>
    <x v="0"/>
    <x v="0"/>
    <x v="1"/>
    <x v="3"/>
    <x v="13"/>
    <s v="SE3_HP"/>
    <x v="2"/>
    <s v="GHOB_WASTEHEAT"/>
    <x v="0"/>
    <x v="3"/>
    <n v="3.4340659340659201E-3"/>
    <n v="1.2534340659340599"/>
    <n v="4.51236263736262"/>
  </r>
  <r>
    <x v="0"/>
    <x v="0"/>
    <x v="1"/>
    <x v="3"/>
    <x v="13"/>
    <s v="SE3_HP"/>
    <x v="2"/>
    <s v="GHOB_WASTEHEAT"/>
    <x v="0"/>
    <x v="4"/>
    <n v="3.4340659340659201E-3"/>
    <n v="1.2534340659340599"/>
    <n v="4.51236263736262"/>
  </r>
  <r>
    <x v="0"/>
    <x v="0"/>
    <x v="1"/>
    <x v="3"/>
    <x v="13"/>
    <s v="SE3_HP"/>
    <x v="2"/>
    <s v="GHOB_WASTEHEAT"/>
    <x v="0"/>
    <x v="5"/>
    <n v="3.4340659340659201E-3"/>
    <n v="1.2534340659340599"/>
    <n v="4.51236263736262"/>
  </r>
  <r>
    <x v="0"/>
    <x v="0"/>
    <x v="1"/>
    <x v="3"/>
    <x v="13"/>
    <s v="SE3_HP"/>
    <x v="2"/>
    <s v="GHOB_WASTEHEAT"/>
    <x v="0"/>
    <x v="6"/>
    <n v="3.4340659340659201E-3"/>
    <n v="1.2534340659340599"/>
    <n v="4.51236263736262"/>
  </r>
  <r>
    <x v="0"/>
    <x v="0"/>
    <x v="1"/>
    <x v="3"/>
    <x v="13"/>
    <s v="SE3_HP"/>
    <x v="2"/>
    <s v="GHOB_WASTEHEAT"/>
    <x v="0"/>
    <x v="7"/>
    <n v="3.4340659340659201E-3"/>
    <n v="1.2534340659340599"/>
    <n v="4.51236263736262"/>
  </r>
  <r>
    <x v="0"/>
    <x v="0"/>
    <x v="1"/>
    <x v="3"/>
    <x v="13"/>
    <s v="SE3_HP"/>
    <x v="2"/>
    <s v="GHOB_WASTEHEAT"/>
    <x v="0"/>
    <x v="8"/>
    <n v="3.4340659340659201E-3"/>
    <n v="1.2534340659340599"/>
    <n v="4.51236263736262"/>
  </r>
  <r>
    <x v="0"/>
    <x v="0"/>
    <x v="1"/>
    <x v="3"/>
    <x v="13"/>
    <s v="SE3_HP"/>
    <x v="2"/>
    <s v="GHOB_WASTEHEAT"/>
    <x v="0"/>
    <x v="9"/>
    <n v="3.4340659340659201E-3"/>
    <n v="1.2534340659340599"/>
    <n v="4.51236263736262"/>
  </r>
  <r>
    <x v="0"/>
    <x v="0"/>
    <x v="1"/>
    <x v="3"/>
    <x v="13"/>
    <s v="SE3_HP"/>
    <x v="2"/>
    <s v="GHOB_WASTEHEAT"/>
    <x v="0"/>
    <x v="10"/>
    <n v="3.4340659340659201E-3"/>
    <n v="1.2534340659340599"/>
    <n v="4.51236263736262"/>
  </r>
  <r>
    <x v="0"/>
    <x v="0"/>
    <x v="1"/>
    <x v="3"/>
    <x v="13"/>
    <s v="SE3_HP"/>
    <x v="2"/>
    <s v="GHOB_WASTEHEAT"/>
    <x v="0"/>
    <x v="11"/>
    <n v="3.4340659340659201E-3"/>
    <n v="1.2534340659340599"/>
    <n v="4.51236263736262"/>
  </r>
  <r>
    <x v="0"/>
    <x v="0"/>
    <x v="1"/>
    <x v="3"/>
    <x v="13"/>
    <s v="SE3_HP"/>
    <x v="2"/>
    <s v="GHOB_WASTEHEAT"/>
    <x v="0"/>
    <x v="12"/>
    <n v="3.4340659340659201E-3"/>
    <n v="1.2534340659340599"/>
    <n v="4.51236263736262"/>
  </r>
  <r>
    <x v="0"/>
    <x v="0"/>
    <x v="1"/>
    <x v="3"/>
    <x v="13"/>
    <s v="SE3_HP"/>
    <x v="2"/>
    <s v="GHOB_WASTEHEAT"/>
    <x v="0"/>
    <x v="13"/>
    <n v="3.4340659340659201E-3"/>
    <n v="1.2534340659340599"/>
    <n v="4.51236263736262"/>
  </r>
  <r>
    <x v="0"/>
    <x v="0"/>
    <x v="1"/>
    <x v="3"/>
    <x v="13"/>
    <s v="SE3_HP"/>
    <x v="2"/>
    <s v="GHOB_WASTEHEAT"/>
    <x v="0"/>
    <x v="14"/>
    <n v="3.4340659340659201E-3"/>
    <n v="1.2534340659340599"/>
    <n v="4.51236263736262"/>
  </r>
  <r>
    <x v="0"/>
    <x v="0"/>
    <x v="1"/>
    <x v="3"/>
    <x v="13"/>
    <s v="SE3_HP"/>
    <x v="2"/>
    <s v="GHOB_WASTEHEAT"/>
    <x v="0"/>
    <x v="15"/>
    <n v="3.4340659340659201E-3"/>
    <n v="1.2534340659340599"/>
    <n v="4.51236263736262"/>
  </r>
  <r>
    <x v="0"/>
    <x v="0"/>
    <x v="1"/>
    <x v="3"/>
    <x v="13"/>
    <s v="SE3_HP"/>
    <x v="2"/>
    <s v="GHOB_WASTEHEAT"/>
    <x v="0"/>
    <x v="16"/>
    <n v="3.4340659340659201E-3"/>
    <n v="1.2534340659340599"/>
    <n v="4.51236263736262"/>
  </r>
  <r>
    <x v="0"/>
    <x v="0"/>
    <x v="1"/>
    <x v="3"/>
    <x v="13"/>
    <s v="SE3_HP"/>
    <x v="2"/>
    <s v="GHOB_WASTEHEAT"/>
    <x v="0"/>
    <x v="17"/>
    <n v="3.4340659340659201E-3"/>
    <n v="1.2534340659340599"/>
    <n v="4.51236263736262"/>
  </r>
  <r>
    <x v="0"/>
    <x v="0"/>
    <x v="1"/>
    <x v="3"/>
    <x v="13"/>
    <s v="SE3_HP"/>
    <x v="2"/>
    <s v="GHOB_WASTEHEAT"/>
    <x v="0"/>
    <x v="18"/>
    <n v="3.4340659340659201E-3"/>
    <n v="1.2534340659340599"/>
    <n v="4.51236263736262"/>
  </r>
  <r>
    <x v="0"/>
    <x v="0"/>
    <x v="1"/>
    <x v="3"/>
    <x v="13"/>
    <s v="SE3_HP"/>
    <x v="2"/>
    <s v="GHOB_WASTEHEAT"/>
    <x v="0"/>
    <x v="19"/>
    <n v="3.4340659340659201E-3"/>
    <n v="1.2534340659340599"/>
    <n v="4.51236263736262"/>
  </r>
  <r>
    <x v="0"/>
    <x v="0"/>
    <x v="1"/>
    <x v="3"/>
    <x v="13"/>
    <s v="SE3_HP"/>
    <x v="2"/>
    <s v="GHOB_WASTEHEAT"/>
    <x v="0"/>
    <x v="20"/>
    <n v="3.4340659340659201E-3"/>
    <n v="1.2534340659340599"/>
    <n v="4.51236263736262"/>
  </r>
  <r>
    <x v="0"/>
    <x v="0"/>
    <x v="1"/>
    <x v="3"/>
    <x v="13"/>
    <s v="SE3_HP"/>
    <x v="2"/>
    <s v="GHOB_WASTEHEAT"/>
    <x v="0"/>
    <x v="21"/>
    <n v="3.4340659340659201E-3"/>
    <n v="1.2534340659340599"/>
    <n v="4.51236263736262"/>
  </r>
  <r>
    <x v="0"/>
    <x v="0"/>
    <x v="1"/>
    <x v="3"/>
    <x v="13"/>
    <s v="SE3_HP"/>
    <x v="2"/>
    <s v="GHOB_WASTEHEAT"/>
    <x v="0"/>
    <x v="22"/>
    <n v="3.4340659340659201E-3"/>
    <n v="1.2534340659340599"/>
    <n v="4.51236263736262"/>
  </r>
  <r>
    <x v="0"/>
    <x v="0"/>
    <x v="1"/>
    <x v="3"/>
    <x v="13"/>
    <s v="SE3_HP"/>
    <x v="2"/>
    <s v="GHOB_WASTEHEAT"/>
    <x v="0"/>
    <x v="23"/>
    <n v="3.4340659340659201E-3"/>
    <n v="1.2534340659340599"/>
    <n v="4.51236263736262"/>
  </r>
  <r>
    <x v="0"/>
    <x v="0"/>
    <x v="1"/>
    <x v="3"/>
    <x v="13"/>
    <s v="SE3_HP"/>
    <x v="9"/>
    <s v="GEXT_WOODWASTE"/>
    <x v="0"/>
    <x v="7"/>
    <n v="17.087292891054101"/>
    <n v="6236.8619052347503"/>
    <n v="22452.702858845099"/>
  </r>
  <r>
    <x v="0"/>
    <x v="0"/>
    <x v="1"/>
    <x v="3"/>
    <x v="13"/>
    <s v="SE3_HP"/>
    <x v="9"/>
    <s v="GEXT_WOODWASTE"/>
    <x v="0"/>
    <x v="8"/>
    <n v="15.330618889227001"/>
    <n v="5595.6758945678403"/>
    <n v="20144.4332204442"/>
  </r>
  <r>
    <x v="0"/>
    <x v="0"/>
    <x v="1"/>
    <x v="3"/>
    <x v="13"/>
    <s v="SE3_HP"/>
    <x v="9"/>
    <s v="GEXT_WOODWASTE"/>
    <x v="0"/>
    <x v="9"/>
    <n v="9.6047902864062493"/>
    <n v="3505.7484545382799"/>
    <n v="12620.694436337801"/>
  </r>
  <r>
    <x v="0"/>
    <x v="0"/>
    <x v="1"/>
    <x v="3"/>
    <x v="13"/>
    <s v="SE3_HP"/>
    <x v="9"/>
    <s v="GEXT_WOODWASTE"/>
    <x v="0"/>
    <x v="10"/>
    <n v="17.805292125778902"/>
    <n v="6498.9316259092902"/>
    <n v="23396.153853273401"/>
  </r>
  <r>
    <x v="0"/>
    <x v="0"/>
    <x v="1"/>
    <x v="3"/>
    <x v="13"/>
    <s v="SE3_HP"/>
    <x v="9"/>
    <s v="GEXT_WOODWASTE"/>
    <x v="0"/>
    <x v="11"/>
    <n v="41.832804475393402"/>
    <n v="15268.973633518601"/>
    <n v="54968.305080666898"/>
  </r>
  <r>
    <x v="0"/>
    <x v="0"/>
    <x v="1"/>
    <x v="3"/>
    <x v="13"/>
    <s v="SE3_HP"/>
    <x v="9"/>
    <s v="GEXT_WOODWASTE"/>
    <x v="0"/>
    <x v="12"/>
    <n v="36.100645426877399"/>
    <n v="13176.7355808102"/>
    <n v="47436.248090916903"/>
  </r>
  <r>
    <x v="0"/>
    <x v="0"/>
    <x v="1"/>
    <x v="3"/>
    <x v="13"/>
    <s v="SE3_HP"/>
    <x v="9"/>
    <s v="GEXT_WOODWASTE"/>
    <x v="0"/>
    <x v="13"/>
    <n v="28.4985136252015"/>
    <n v="10401.957473198499"/>
    <n v="37447.046903514703"/>
  </r>
  <r>
    <x v="0"/>
    <x v="0"/>
    <x v="1"/>
    <x v="3"/>
    <x v="13"/>
    <s v="SE3_HP"/>
    <x v="9"/>
    <s v="GEXT_WOODWASTE"/>
    <x v="0"/>
    <x v="14"/>
    <n v="16.102026769031902"/>
    <n v="5877.2397706966603"/>
    <n v="21158.063174507999"/>
  </r>
  <r>
    <x v="0"/>
    <x v="0"/>
    <x v="1"/>
    <x v="3"/>
    <x v="13"/>
    <s v="SE3_HP"/>
    <x v="9"/>
    <s v="GEXT_WOODWASTE"/>
    <x v="0"/>
    <x v="15"/>
    <n v="5.5621081544655002"/>
    <n v="2030.1694763799101"/>
    <n v="7308.6101149676697"/>
  </r>
  <r>
    <x v="0"/>
    <x v="0"/>
    <x v="1"/>
    <x v="3"/>
    <x v="13"/>
    <s v="SE3_HP"/>
    <x v="9"/>
    <s v="GHOB_WOODWASTE"/>
    <x v="0"/>
    <x v="7"/>
    <n v="16.7502247862367"/>
    <n v="6113.8320469764103"/>
    <n v="22009.795369115101"/>
  </r>
  <r>
    <x v="0"/>
    <x v="0"/>
    <x v="1"/>
    <x v="3"/>
    <x v="13"/>
    <s v="SE3_HP"/>
    <x v="9"/>
    <s v="GHOB_WOODWASTE"/>
    <x v="0"/>
    <x v="8"/>
    <n v="16.7502247862367"/>
    <n v="6113.8320469764103"/>
    <n v="22009.795369115101"/>
  </r>
  <r>
    <x v="0"/>
    <x v="0"/>
    <x v="1"/>
    <x v="3"/>
    <x v="13"/>
    <s v="SE3_HP"/>
    <x v="9"/>
    <s v="GHOB_WOODWASTE"/>
    <x v="0"/>
    <x v="9"/>
    <n v="16.7502247862367"/>
    <n v="6113.8320469764103"/>
    <n v="22009.795369115101"/>
  </r>
  <r>
    <x v="0"/>
    <x v="0"/>
    <x v="1"/>
    <x v="3"/>
    <x v="13"/>
    <s v="SE3_HP"/>
    <x v="9"/>
    <s v="GHOB_WOODWASTE"/>
    <x v="0"/>
    <x v="10"/>
    <n v="16.7502247862367"/>
    <n v="6113.8320469764103"/>
    <n v="22009.795369115101"/>
  </r>
  <r>
    <x v="0"/>
    <x v="0"/>
    <x v="1"/>
    <x v="3"/>
    <x v="13"/>
    <s v="SE3_HP"/>
    <x v="9"/>
    <s v="GHOB_WOODWASTE"/>
    <x v="0"/>
    <x v="11"/>
    <n v="16.7502247862367"/>
    <n v="6113.8320469764103"/>
    <n v="22009.795369115101"/>
  </r>
  <r>
    <x v="0"/>
    <x v="0"/>
    <x v="1"/>
    <x v="3"/>
    <x v="13"/>
    <s v="SE3_HP"/>
    <x v="9"/>
    <s v="GHOB_WOODWASTE"/>
    <x v="0"/>
    <x v="12"/>
    <n v="16.7502247862367"/>
    <n v="6113.8320469764103"/>
    <n v="22009.795369115101"/>
  </r>
  <r>
    <x v="0"/>
    <x v="0"/>
    <x v="1"/>
    <x v="3"/>
    <x v="13"/>
    <s v="SE3_HP"/>
    <x v="9"/>
    <s v="GHOB_WOODWASTE"/>
    <x v="0"/>
    <x v="13"/>
    <n v="16.7502247862367"/>
    <n v="6113.8320469764103"/>
    <n v="22009.795369115101"/>
  </r>
  <r>
    <x v="0"/>
    <x v="0"/>
    <x v="1"/>
    <x v="3"/>
    <x v="13"/>
    <s v="SE3_HP"/>
    <x v="9"/>
    <s v="GHOB_WOODWASTE"/>
    <x v="0"/>
    <x v="14"/>
    <n v="16.7502247862367"/>
    <n v="6113.8320469764103"/>
    <n v="22009.795369115101"/>
  </r>
  <r>
    <x v="0"/>
    <x v="0"/>
    <x v="1"/>
    <x v="3"/>
    <x v="13"/>
    <s v="SE3_HP"/>
    <x v="9"/>
    <s v="GHOB_WOODWASTE"/>
    <x v="0"/>
    <x v="15"/>
    <n v="16.7502247862367"/>
    <n v="6113.8320469764103"/>
    <n v="22009.795369115101"/>
  </r>
  <r>
    <x v="0"/>
    <x v="0"/>
    <x v="1"/>
    <x v="3"/>
    <x v="13"/>
    <s v="SE3_HP"/>
    <x v="9"/>
    <s v="GHOB_WOODWASTE"/>
    <x v="0"/>
    <x v="16"/>
    <n v="16.7502247862367"/>
    <n v="6113.8320469764103"/>
    <n v="22009.795369115101"/>
  </r>
  <r>
    <x v="0"/>
    <x v="0"/>
    <x v="1"/>
    <x v="3"/>
    <x v="13"/>
    <s v="SE3_HP"/>
    <x v="9"/>
    <s v="GHOB_WOODWASTE"/>
    <x v="0"/>
    <x v="17"/>
    <n v="8.9507248985015604"/>
    <n v="3267.0145879530701"/>
    <n v="11761.252516631001"/>
  </r>
  <r>
    <x v="0"/>
    <x v="0"/>
    <x v="1"/>
    <x v="3"/>
    <x v="13"/>
    <s v="SE3_HP"/>
    <x v="9"/>
    <s v="GHOB_WOODWASTE"/>
    <x v="0"/>
    <x v="18"/>
    <n v="3.7815318356357399"/>
    <n v="1380.2591200070499"/>
    <n v="4968.9328320253599"/>
  </r>
  <r>
    <x v="0"/>
    <x v="0"/>
    <x v="1"/>
    <x v="3"/>
    <x v="13"/>
    <s v="SE3_HP"/>
    <x v="9"/>
    <s v="GHOB_WOODWASTE"/>
    <x v="0"/>
    <x v="19"/>
    <n v="3.8926498442590298"/>
    <n v="1420.8171931545401"/>
    <n v="5114.94189535636"/>
  </r>
  <r>
    <x v="0"/>
    <x v="0"/>
    <x v="1"/>
    <x v="3"/>
    <x v="13"/>
    <s v="SE3_OTHER"/>
    <x v="1"/>
    <s v="GBPR_MUNIWASTE_24"/>
    <x v="0"/>
    <x v="7"/>
    <n v="126.705322453374"/>
    <n v="46247.442695481303"/>
    <n v="166490.79370373301"/>
  </r>
  <r>
    <x v="0"/>
    <x v="0"/>
    <x v="1"/>
    <x v="3"/>
    <x v="13"/>
    <s v="SE3_OTHER"/>
    <x v="1"/>
    <s v="GBPR_MUNIWASTE_24"/>
    <x v="0"/>
    <x v="8"/>
    <n v="85.663575466989499"/>
    <n v="31267.205045451199"/>
    <n v="112561.938163624"/>
  </r>
  <r>
    <x v="0"/>
    <x v="0"/>
    <x v="1"/>
    <x v="3"/>
    <x v="13"/>
    <s v="SE3_OTHER"/>
    <x v="1"/>
    <s v="GHOB_MUNIWASTE"/>
    <x v="0"/>
    <x v="0"/>
    <n v="126.52888444552801"/>
    <n v="46183.042822617601"/>
    <n v="166258.954161423"/>
  </r>
  <r>
    <x v="0"/>
    <x v="0"/>
    <x v="1"/>
    <x v="3"/>
    <x v="13"/>
    <s v="SE3_OTHER"/>
    <x v="1"/>
    <s v="GHOB_MUNIWASTE"/>
    <x v="0"/>
    <x v="1"/>
    <n v="126.52888444552801"/>
    <n v="46183.042822617601"/>
    <n v="166258.954161423"/>
  </r>
  <r>
    <x v="0"/>
    <x v="0"/>
    <x v="1"/>
    <x v="3"/>
    <x v="13"/>
    <s v="SE3_OTHER"/>
    <x v="1"/>
    <s v="GHOB_MUNIWASTE"/>
    <x v="0"/>
    <x v="2"/>
    <n v="126.52888444552801"/>
    <n v="46183.042822617601"/>
    <n v="166258.954161423"/>
  </r>
  <r>
    <x v="0"/>
    <x v="0"/>
    <x v="1"/>
    <x v="3"/>
    <x v="13"/>
    <s v="SE3_OTHER"/>
    <x v="1"/>
    <s v="GHOB_MUNIWASTE"/>
    <x v="0"/>
    <x v="3"/>
    <n v="126.52888444552801"/>
    <n v="46183.042822617601"/>
    <n v="166258.954161423"/>
  </r>
  <r>
    <x v="0"/>
    <x v="0"/>
    <x v="1"/>
    <x v="3"/>
    <x v="13"/>
    <s v="SE3_OTHER"/>
    <x v="1"/>
    <s v="GHOB_MUNIWASTE"/>
    <x v="0"/>
    <x v="4"/>
    <n v="126.52888444552801"/>
    <n v="46183.042822617601"/>
    <n v="166258.954161423"/>
  </r>
  <r>
    <x v="0"/>
    <x v="0"/>
    <x v="1"/>
    <x v="3"/>
    <x v="13"/>
    <s v="SE3_OTHER"/>
    <x v="1"/>
    <s v="GHOB_MUNIWASTE"/>
    <x v="0"/>
    <x v="5"/>
    <n v="126.52888444552801"/>
    <n v="46183.042822617601"/>
    <n v="166258.954161423"/>
  </r>
  <r>
    <x v="0"/>
    <x v="0"/>
    <x v="1"/>
    <x v="3"/>
    <x v="13"/>
    <s v="SE3_OTHER"/>
    <x v="1"/>
    <s v="GHOB_MUNIWASTE"/>
    <x v="0"/>
    <x v="6"/>
    <n v="126.52888444552801"/>
    <n v="46183.042822617601"/>
    <n v="166258.954161423"/>
  </r>
  <r>
    <x v="0"/>
    <x v="0"/>
    <x v="1"/>
    <x v="3"/>
    <x v="13"/>
    <s v="SE3_OTHER"/>
    <x v="1"/>
    <s v="GHOB_MUNIWASTE"/>
    <x v="0"/>
    <x v="7"/>
    <n v="126.52888444552801"/>
    <n v="46183.042822617601"/>
    <n v="166258.954161423"/>
  </r>
  <r>
    <x v="0"/>
    <x v="0"/>
    <x v="1"/>
    <x v="3"/>
    <x v="13"/>
    <s v="SE3_OTHER"/>
    <x v="1"/>
    <s v="GHOB_MUNIWASTE"/>
    <x v="0"/>
    <x v="8"/>
    <n v="126.52888444552801"/>
    <n v="46183.042822617601"/>
    <n v="166258.954161423"/>
  </r>
  <r>
    <x v="0"/>
    <x v="0"/>
    <x v="1"/>
    <x v="3"/>
    <x v="13"/>
    <s v="SE3_OTHER"/>
    <x v="1"/>
    <s v="GHOB_MUNIWASTE"/>
    <x v="0"/>
    <x v="9"/>
    <n v="126.52888444552801"/>
    <n v="46183.042822617601"/>
    <n v="166258.954161423"/>
  </r>
  <r>
    <x v="0"/>
    <x v="0"/>
    <x v="1"/>
    <x v="3"/>
    <x v="13"/>
    <s v="SE3_OTHER"/>
    <x v="1"/>
    <s v="GHOB_MUNIWASTE"/>
    <x v="0"/>
    <x v="10"/>
    <n v="126.52888444552801"/>
    <n v="46183.042822617601"/>
    <n v="166258.954161423"/>
  </r>
  <r>
    <x v="0"/>
    <x v="0"/>
    <x v="1"/>
    <x v="3"/>
    <x v="13"/>
    <s v="SE3_OTHER"/>
    <x v="1"/>
    <s v="GHOB_MUNIWASTE"/>
    <x v="0"/>
    <x v="11"/>
    <n v="126.52888444552801"/>
    <n v="46183.042822617601"/>
    <n v="166258.954161423"/>
  </r>
  <r>
    <x v="0"/>
    <x v="0"/>
    <x v="1"/>
    <x v="3"/>
    <x v="13"/>
    <s v="SE3_OTHER"/>
    <x v="1"/>
    <s v="GHOB_MUNIWASTE"/>
    <x v="0"/>
    <x v="12"/>
    <n v="126.52888444552801"/>
    <n v="46183.042822617601"/>
    <n v="166258.954161423"/>
  </r>
  <r>
    <x v="0"/>
    <x v="0"/>
    <x v="1"/>
    <x v="3"/>
    <x v="13"/>
    <s v="SE3_OTHER"/>
    <x v="1"/>
    <s v="GHOB_MUNIWASTE"/>
    <x v="0"/>
    <x v="13"/>
    <n v="126.52888444552801"/>
    <n v="46183.042822617601"/>
    <n v="166258.954161423"/>
  </r>
  <r>
    <x v="0"/>
    <x v="0"/>
    <x v="1"/>
    <x v="3"/>
    <x v="13"/>
    <s v="SE3_OTHER"/>
    <x v="1"/>
    <s v="GHOB_MUNIWASTE"/>
    <x v="0"/>
    <x v="14"/>
    <n v="126.52888444552801"/>
    <n v="46183.042822617601"/>
    <n v="166258.954161423"/>
  </r>
  <r>
    <x v="0"/>
    <x v="0"/>
    <x v="1"/>
    <x v="3"/>
    <x v="13"/>
    <s v="SE3_OTHER"/>
    <x v="1"/>
    <s v="GHOB_MUNIWASTE"/>
    <x v="0"/>
    <x v="15"/>
    <n v="126.52888444552801"/>
    <n v="46183.042822617601"/>
    <n v="166258.954161423"/>
  </r>
  <r>
    <x v="0"/>
    <x v="0"/>
    <x v="1"/>
    <x v="3"/>
    <x v="13"/>
    <s v="SE3_OTHER"/>
    <x v="1"/>
    <s v="GHOB_MUNIWASTE"/>
    <x v="0"/>
    <x v="16"/>
    <n v="126.52888444552801"/>
    <n v="46183.042822617601"/>
    <n v="166258.954161423"/>
  </r>
  <r>
    <x v="0"/>
    <x v="0"/>
    <x v="1"/>
    <x v="3"/>
    <x v="13"/>
    <s v="SE3_OTHER"/>
    <x v="1"/>
    <s v="GHOB_MUNIWASTE"/>
    <x v="0"/>
    <x v="17"/>
    <n v="126.52888444552801"/>
    <n v="46183.042822617601"/>
    <n v="166258.954161423"/>
  </r>
  <r>
    <x v="0"/>
    <x v="0"/>
    <x v="1"/>
    <x v="3"/>
    <x v="13"/>
    <s v="SE3_OTHER"/>
    <x v="1"/>
    <s v="GHOB_MUNIWASTE"/>
    <x v="0"/>
    <x v="18"/>
    <n v="126.52888444552801"/>
    <n v="46183.042822617601"/>
    <n v="166258.954161423"/>
  </r>
  <r>
    <x v="0"/>
    <x v="0"/>
    <x v="1"/>
    <x v="3"/>
    <x v="13"/>
    <s v="SE3_OTHER"/>
    <x v="1"/>
    <s v="GHOB_MUNIWASTE"/>
    <x v="0"/>
    <x v="19"/>
    <n v="126.52888444552801"/>
    <n v="46183.042822617601"/>
    <n v="166258.954161423"/>
  </r>
  <r>
    <x v="0"/>
    <x v="0"/>
    <x v="1"/>
    <x v="3"/>
    <x v="13"/>
    <s v="SE3_OTHER"/>
    <x v="1"/>
    <s v="GHOB_MUNIWASTE"/>
    <x v="0"/>
    <x v="20"/>
    <n v="126.52888444552801"/>
    <n v="46183.042822617601"/>
    <n v="166258.954161423"/>
  </r>
  <r>
    <x v="0"/>
    <x v="0"/>
    <x v="1"/>
    <x v="3"/>
    <x v="13"/>
    <s v="SE3_OTHER"/>
    <x v="1"/>
    <s v="GHOB_MUNIWASTE"/>
    <x v="0"/>
    <x v="21"/>
    <n v="126.52888444552801"/>
    <n v="46183.042822617601"/>
    <n v="166258.954161423"/>
  </r>
  <r>
    <x v="0"/>
    <x v="0"/>
    <x v="1"/>
    <x v="3"/>
    <x v="13"/>
    <s v="SE3_OTHER"/>
    <x v="1"/>
    <s v="GHOB_MUNIWASTE"/>
    <x v="0"/>
    <x v="22"/>
    <n v="126.52888444552801"/>
    <n v="46183.042822617601"/>
    <n v="166258.954161423"/>
  </r>
  <r>
    <x v="0"/>
    <x v="0"/>
    <x v="1"/>
    <x v="3"/>
    <x v="13"/>
    <s v="SE3_OTHER"/>
    <x v="1"/>
    <s v="GHOB_MUNIWASTE"/>
    <x v="0"/>
    <x v="23"/>
    <n v="126.52888444552801"/>
    <n v="46183.042822617601"/>
    <n v="166258.954161423"/>
  </r>
  <r>
    <x v="0"/>
    <x v="0"/>
    <x v="1"/>
    <x v="3"/>
    <x v="13"/>
    <s v="SE3_OTHER"/>
    <x v="2"/>
    <s v="GHOB_WASTEHEAT"/>
    <x v="0"/>
    <x v="0"/>
    <n v="135.051739926739"/>
    <n v="49293.885073259902"/>
    <n v="177457.98626373601"/>
  </r>
  <r>
    <x v="0"/>
    <x v="0"/>
    <x v="1"/>
    <x v="3"/>
    <x v="13"/>
    <s v="SE3_OTHER"/>
    <x v="2"/>
    <s v="GHOB_WASTEHEAT"/>
    <x v="0"/>
    <x v="1"/>
    <n v="135.051739926739"/>
    <n v="49293.885073259902"/>
    <n v="177457.98626373601"/>
  </r>
  <r>
    <x v="0"/>
    <x v="0"/>
    <x v="1"/>
    <x v="3"/>
    <x v="13"/>
    <s v="SE3_OTHER"/>
    <x v="2"/>
    <s v="GHOB_WASTEHEAT"/>
    <x v="0"/>
    <x v="2"/>
    <n v="135.051739926739"/>
    <n v="49293.885073259902"/>
    <n v="177457.98626373601"/>
  </r>
  <r>
    <x v="0"/>
    <x v="0"/>
    <x v="1"/>
    <x v="3"/>
    <x v="13"/>
    <s v="SE3_OTHER"/>
    <x v="2"/>
    <s v="GHOB_WASTEHEAT"/>
    <x v="0"/>
    <x v="3"/>
    <n v="135.051739926739"/>
    <n v="49293.885073259902"/>
    <n v="177457.98626373601"/>
  </r>
  <r>
    <x v="0"/>
    <x v="0"/>
    <x v="1"/>
    <x v="3"/>
    <x v="13"/>
    <s v="SE3_OTHER"/>
    <x v="2"/>
    <s v="GHOB_WASTEHEAT"/>
    <x v="0"/>
    <x v="4"/>
    <n v="135.051739926739"/>
    <n v="49293.885073259902"/>
    <n v="177457.98626373601"/>
  </r>
  <r>
    <x v="0"/>
    <x v="0"/>
    <x v="1"/>
    <x v="3"/>
    <x v="13"/>
    <s v="SE3_OTHER"/>
    <x v="2"/>
    <s v="GHOB_WASTEHEAT"/>
    <x v="0"/>
    <x v="5"/>
    <n v="135.051739926739"/>
    <n v="49293.885073259902"/>
    <n v="177457.98626373601"/>
  </r>
  <r>
    <x v="0"/>
    <x v="0"/>
    <x v="1"/>
    <x v="3"/>
    <x v="13"/>
    <s v="SE3_OTHER"/>
    <x v="2"/>
    <s v="GHOB_WASTEHEAT"/>
    <x v="0"/>
    <x v="6"/>
    <n v="135.051739926739"/>
    <n v="49293.885073259902"/>
    <n v="177457.98626373601"/>
  </r>
  <r>
    <x v="0"/>
    <x v="0"/>
    <x v="1"/>
    <x v="3"/>
    <x v="13"/>
    <s v="SE3_OTHER"/>
    <x v="2"/>
    <s v="GHOB_WASTEHEAT"/>
    <x v="0"/>
    <x v="7"/>
    <n v="135.051739926739"/>
    <n v="49293.885073259902"/>
    <n v="177457.98626373601"/>
  </r>
  <r>
    <x v="0"/>
    <x v="0"/>
    <x v="1"/>
    <x v="3"/>
    <x v="13"/>
    <s v="SE3_OTHER"/>
    <x v="2"/>
    <s v="GHOB_WASTEHEAT"/>
    <x v="0"/>
    <x v="8"/>
    <n v="135.051739926739"/>
    <n v="49293.885073259902"/>
    <n v="177457.98626373601"/>
  </r>
  <r>
    <x v="0"/>
    <x v="0"/>
    <x v="1"/>
    <x v="3"/>
    <x v="13"/>
    <s v="SE3_OTHER"/>
    <x v="2"/>
    <s v="GHOB_WASTEHEAT"/>
    <x v="0"/>
    <x v="9"/>
    <n v="135.051739926739"/>
    <n v="49293.885073259902"/>
    <n v="177457.98626373601"/>
  </r>
  <r>
    <x v="0"/>
    <x v="0"/>
    <x v="1"/>
    <x v="3"/>
    <x v="13"/>
    <s v="SE3_OTHER"/>
    <x v="2"/>
    <s v="GHOB_WASTEHEAT"/>
    <x v="0"/>
    <x v="10"/>
    <n v="135.051739926739"/>
    <n v="49293.885073259902"/>
    <n v="177457.98626373601"/>
  </r>
  <r>
    <x v="0"/>
    <x v="0"/>
    <x v="1"/>
    <x v="3"/>
    <x v="13"/>
    <s v="SE3_OTHER"/>
    <x v="2"/>
    <s v="GHOB_WASTEHEAT"/>
    <x v="0"/>
    <x v="11"/>
    <n v="135.051739926739"/>
    <n v="49293.885073259902"/>
    <n v="177457.98626373601"/>
  </r>
  <r>
    <x v="0"/>
    <x v="0"/>
    <x v="1"/>
    <x v="3"/>
    <x v="13"/>
    <s v="SE3_OTHER"/>
    <x v="2"/>
    <s v="GHOB_WASTEHEAT"/>
    <x v="0"/>
    <x v="12"/>
    <n v="135.051739926739"/>
    <n v="49293.885073259902"/>
    <n v="177457.98626373601"/>
  </r>
  <r>
    <x v="0"/>
    <x v="0"/>
    <x v="1"/>
    <x v="3"/>
    <x v="13"/>
    <s v="SE3_OTHER"/>
    <x v="2"/>
    <s v="GHOB_WASTEHEAT"/>
    <x v="0"/>
    <x v="13"/>
    <n v="135.051739926739"/>
    <n v="49293.885073259902"/>
    <n v="177457.98626373601"/>
  </r>
  <r>
    <x v="0"/>
    <x v="0"/>
    <x v="1"/>
    <x v="3"/>
    <x v="13"/>
    <s v="SE3_OTHER"/>
    <x v="2"/>
    <s v="GHOB_WASTEHEAT"/>
    <x v="0"/>
    <x v="14"/>
    <n v="135.051739926739"/>
    <n v="49293.885073259902"/>
    <n v="177457.98626373601"/>
  </r>
  <r>
    <x v="0"/>
    <x v="0"/>
    <x v="1"/>
    <x v="3"/>
    <x v="13"/>
    <s v="SE3_OTHER"/>
    <x v="2"/>
    <s v="GHOB_WASTEHEAT"/>
    <x v="0"/>
    <x v="15"/>
    <n v="135.051739926739"/>
    <n v="49293.885073259902"/>
    <n v="177457.98626373601"/>
  </r>
  <r>
    <x v="0"/>
    <x v="0"/>
    <x v="1"/>
    <x v="3"/>
    <x v="13"/>
    <s v="SE3_OTHER"/>
    <x v="2"/>
    <s v="GHOB_WASTEHEAT"/>
    <x v="0"/>
    <x v="16"/>
    <n v="135.051739926739"/>
    <n v="49293.885073259902"/>
    <n v="177457.98626373601"/>
  </r>
  <r>
    <x v="0"/>
    <x v="0"/>
    <x v="1"/>
    <x v="3"/>
    <x v="13"/>
    <s v="SE3_OTHER"/>
    <x v="2"/>
    <s v="GHOB_WASTEHEAT"/>
    <x v="0"/>
    <x v="17"/>
    <n v="135.051739926739"/>
    <n v="49293.885073259902"/>
    <n v="177457.98626373601"/>
  </r>
  <r>
    <x v="0"/>
    <x v="0"/>
    <x v="1"/>
    <x v="3"/>
    <x v="13"/>
    <s v="SE3_OTHER"/>
    <x v="2"/>
    <s v="GHOB_WASTEHEAT"/>
    <x v="0"/>
    <x v="18"/>
    <n v="135.051739926739"/>
    <n v="49293.885073259902"/>
    <n v="177457.98626373601"/>
  </r>
  <r>
    <x v="0"/>
    <x v="0"/>
    <x v="1"/>
    <x v="3"/>
    <x v="13"/>
    <s v="SE3_OTHER"/>
    <x v="2"/>
    <s v="GHOB_WASTEHEAT"/>
    <x v="0"/>
    <x v="19"/>
    <n v="135.051739926739"/>
    <n v="49293.885073259902"/>
    <n v="177457.98626373601"/>
  </r>
  <r>
    <x v="0"/>
    <x v="0"/>
    <x v="1"/>
    <x v="3"/>
    <x v="13"/>
    <s v="SE3_OTHER"/>
    <x v="2"/>
    <s v="GHOB_WASTEHEAT"/>
    <x v="0"/>
    <x v="20"/>
    <n v="135.051739926739"/>
    <n v="49293.885073259902"/>
    <n v="177457.98626373601"/>
  </r>
  <r>
    <x v="0"/>
    <x v="0"/>
    <x v="1"/>
    <x v="3"/>
    <x v="13"/>
    <s v="SE3_OTHER"/>
    <x v="2"/>
    <s v="GHOB_WASTEHEAT"/>
    <x v="0"/>
    <x v="21"/>
    <n v="135.051739926739"/>
    <n v="49293.885073259902"/>
    <n v="177457.98626373601"/>
  </r>
  <r>
    <x v="0"/>
    <x v="0"/>
    <x v="1"/>
    <x v="3"/>
    <x v="13"/>
    <s v="SE3_OTHER"/>
    <x v="2"/>
    <s v="GHOB_WASTEHEAT"/>
    <x v="0"/>
    <x v="22"/>
    <n v="135.051739926739"/>
    <n v="49293.885073259902"/>
    <n v="177457.98626373601"/>
  </r>
  <r>
    <x v="0"/>
    <x v="0"/>
    <x v="1"/>
    <x v="3"/>
    <x v="13"/>
    <s v="SE3_OTHER"/>
    <x v="2"/>
    <s v="GHOB_WASTEHEAT"/>
    <x v="0"/>
    <x v="23"/>
    <n v="135.051739926739"/>
    <n v="49293.885073259902"/>
    <n v="177457.98626373601"/>
  </r>
  <r>
    <x v="0"/>
    <x v="0"/>
    <x v="1"/>
    <x v="3"/>
    <x v="13"/>
    <s v="SE3_OTHER"/>
    <x v="9"/>
    <s v="GHOB_WOODWASTE"/>
    <x v="0"/>
    <x v="5"/>
    <n v="81.031788502737598"/>
    <n v="29576.602803499201"/>
    <n v="106475.770092597"/>
  </r>
  <r>
    <x v="0"/>
    <x v="0"/>
    <x v="1"/>
    <x v="3"/>
    <x v="13"/>
    <s v="SE3_OTHER"/>
    <x v="9"/>
    <s v="GHOB_WOODWASTE"/>
    <x v="0"/>
    <x v="6"/>
    <n v="372.235684322704"/>
    <n v="135866.02477778701"/>
    <n v="489117.68920003303"/>
  </r>
  <r>
    <x v="0"/>
    <x v="0"/>
    <x v="1"/>
    <x v="3"/>
    <x v="13"/>
    <s v="SE3_OTHER"/>
    <x v="9"/>
    <s v="GHOB_WOODWASTE"/>
    <x v="0"/>
    <x v="7"/>
    <n v="383.52304456577701"/>
    <n v="139985.91126650901"/>
    <n v="503949.280559431"/>
  </r>
  <r>
    <x v="0"/>
    <x v="0"/>
    <x v="1"/>
    <x v="3"/>
    <x v="13"/>
    <s v="SE3_OTHER"/>
    <x v="9"/>
    <s v="GHOB_WOODWASTE"/>
    <x v="0"/>
    <x v="8"/>
    <n v="383.52304456577701"/>
    <n v="139985.91126650901"/>
    <n v="503949.280559431"/>
  </r>
  <r>
    <x v="0"/>
    <x v="0"/>
    <x v="1"/>
    <x v="3"/>
    <x v="13"/>
    <s v="SE3_OTHER"/>
    <x v="9"/>
    <s v="GHOB_WOODWASTE"/>
    <x v="0"/>
    <x v="9"/>
    <n v="383.52304456577701"/>
    <n v="139985.91126650901"/>
    <n v="503949.280559431"/>
  </r>
  <r>
    <x v="0"/>
    <x v="0"/>
    <x v="1"/>
    <x v="3"/>
    <x v="13"/>
    <s v="SE3_OTHER"/>
    <x v="9"/>
    <s v="GHOB_WOODWASTE"/>
    <x v="0"/>
    <x v="10"/>
    <n v="316.25195052946799"/>
    <n v="115431.961943256"/>
    <n v="415555.06299572001"/>
  </r>
  <r>
    <x v="0"/>
    <x v="0"/>
    <x v="1"/>
    <x v="3"/>
    <x v="13"/>
    <s v="SE3_OTHER"/>
    <x v="9"/>
    <s v="GHOB_WOODWASTE"/>
    <x v="0"/>
    <x v="11"/>
    <n v="271.22239919029198"/>
    <n v="98996.175704456604"/>
    <n v="356386.23253604397"/>
  </r>
  <r>
    <x v="0"/>
    <x v="0"/>
    <x v="1"/>
    <x v="3"/>
    <x v="13"/>
    <s v="SE3_OTHER"/>
    <x v="9"/>
    <s v="GHOB_WOODWASTE"/>
    <x v="0"/>
    <x v="12"/>
    <n v="203.179495553235"/>
    <n v="74160.515876930702"/>
    <n v="266977.85715695098"/>
  </r>
  <r>
    <x v="0"/>
    <x v="0"/>
    <x v="1"/>
    <x v="3"/>
    <x v="13"/>
    <s v="SE3_OTHER"/>
    <x v="9"/>
    <s v="GHOB_WOODWASTE"/>
    <x v="0"/>
    <x v="13"/>
    <n v="168.61184492836799"/>
    <n v="61543.323398854198"/>
    <n v="221555.964235875"/>
  </r>
  <r>
    <x v="0"/>
    <x v="0"/>
    <x v="1"/>
    <x v="3"/>
    <x v="13"/>
    <s v="SE3_OTHER"/>
    <x v="9"/>
    <s v="GHOB_WOODWASTE"/>
    <x v="0"/>
    <x v="14"/>
    <n v="108.523751491921"/>
    <n v="39611.169294551102"/>
    <n v="142600.20946038401"/>
  </r>
  <r>
    <x v="0"/>
    <x v="0"/>
    <x v="1"/>
    <x v="3"/>
    <x v="13"/>
    <s v="SE3_OTHER"/>
    <x v="9"/>
    <s v="GHOB_WOODWASTE"/>
    <x v="0"/>
    <x v="15"/>
    <n v="74.489903133525701"/>
    <n v="27188.8146437369"/>
    <n v="97879.732717452804"/>
  </r>
  <r>
    <x v="0"/>
    <x v="0"/>
    <x v="1"/>
    <x v="3"/>
    <x v="13"/>
    <s v="SE3_OTHER"/>
    <x v="9"/>
    <s v="GHOB_WOODWASTE"/>
    <x v="0"/>
    <x v="16"/>
    <n v="67.820537015191704"/>
    <n v="24754.496010545001"/>
    <n v="89116.185637961898"/>
  </r>
  <r>
    <x v="0"/>
    <x v="0"/>
    <x v="1"/>
    <x v="3"/>
    <x v="13"/>
    <s v="SE3_OTHER"/>
    <x v="9"/>
    <s v="GHOB_WOODWASTE"/>
    <x v="0"/>
    <x v="17"/>
    <n v="45.225833249597997"/>
    <n v="16507.429136103299"/>
    <n v="59426.7448899718"/>
  </r>
  <r>
    <x v="0"/>
    <x v="0"/>
    <x v="1"/>
    <x v="3"/>
    <x v="13"/>
    <s v="SE3_OTHER"/>
    <x v="9"/>
    <s v="GHOB_WOODWASTE"/>
    <x v="0"/>
    <x v="18"/>
    <n v="50.463059812207497"/>
    <n v="18419.016831455701"/>
    <n v="66308.460593240699"/>
  </r>
  <r>
    <x v="0"/>
    <x v="0"/>
    <x v="1"/>
    <x v="3"/>
    <x v="13"/>
    <s v="SE3_OTHER"/>
    <x v="9"/>
    <s v="GHOB_WOODWASTE"/>
    <x v="0"/>
    <x v="19"/>
    <n v="75.132265565071094"/>
    <n v="27423.276931250901"/>
    <n v="98723.796952503399"/>
  </r>
  <r>
    <x v="0"/>
    <x v="0"/>
    <x v="1"/>
    <x v="3"/>
    <x v="13"/>
    <s v="SE3_OTHER"/>
    <x v="9"/>
    <s v="GHOB_WOODWASTE"/>
    <x v="0"/>
    <x v="20"/>
    <n v="62.712982361337197"/>
    <n v="22890.238561888102"/>
    <n v="82404.858822797105"/>
  </r>
  <r>
    <x v="0"/>
    <x v="0"/>
    <x v="1"/>
    <x v="3"/>
    <x v="13"/>
    <s v="SE3_OTHER"/>
    <x v="9"/>
    <s v="GHOB_WOODWASTE"/>
    <x v="0"/>
    <x v="21"/>
    <n v="29.7810577619585"/>
    <n v="10870.0860831148"/>
    <n v="39132.309899213498"/>
  </r>
  <r>
    <x v="0"/>
    <x v="0"/>
    <x v="1"/>
    <x v="3"/>
    <x v="13"/>
    <s v="SE3_STO"/>
    <x v="1"/>
    <s v="GBPR_MUNIWASTE_HOGDALEN"/>
    <x v="0"/>
    <x v="7"/>
    <n v="3.27273204269129"/>
    <n v="1194.54719558232"/>
    <n v="4300.3699040963602"/>
  </r>
  <r>
    <x v="0"/>
    <x v="0"/>
    <x v="1"/>
    <x v="3"/>
    <x v="13"/>
    <s v="SE3_STO"/>
    <x v="1"/>
    <s v="GBPR_MUNIWASTE_HOGDALEN"/>
    <x v="0"/>
    <x v="10"/>
    <n v="12.0569430780197"/>
    <n v="4400.7842234771897"/>
    <n v="15842.823204517899"/>
  </r>
  <r>
    <x v="0"/>
    <x v="0"/>
    <x v="1"/>
    <x v="3"/>
    <x v="13"/>
    <s v="SE3_STO"/>
    <x v="1"/>
    <s v="GBPR_MUNIWASTE_HOGDALEN"/>
    <x v="0"/>
    <x v="11"/>
    <n v="57.117272308040697"/>
    <n v="20847.8043924349"/>
    <n v="75052.095812765503"/>
  </r>
  <r>
    <x v="0"/>
    <x v="0"/>
    <x v="1"/>
    <x v="3"/>
    <x v="13"/>
    <s v="SE3_STO"/>
    <x v="1"/>
    <s v="GBPR_MUNIWASTE_HOGDALEN"/>
    <x v="0"/>
    <x v="12"/>
    <n v="41.672926575738998"/>
    <n v="15210.6182001447"/>
    <n v="54758.225520521002"/>
  </r>
  <r>
    <x v="0"/>
    <x v="0"/>
    <x v="1"/>
    <x v="3"/>
    <x v="13"/>
    <s v="SE3_STO"/>
    <x v="1"/>
    <s v="GBPR_MUNIWASTE_HOGDALEN"/>
    <x v="0"/>
    <x v="13"/>
    <n v="26.027609722911301"/>
    <n v="9500.0775488626095"/>
    <n v="34200.279175905402"/>
  </r>
  <r>
    <x v="0"/>
    <x v="0"/>
    <x v="1"/>
    <x v="3"/>
    <x v="13"/>
    <s v="SE3_STO"/>
    <x v="1"/>
    <s v="GBPR_MUNIWASTE_HOGDALEN"/>
    <x v="0"/>
    <x v="14"/>
    <n v="8.4857944320249103"/>
    <n v="3097.3149676890898"/>
    <n v="11150.3338836807"/>
  </r>
  <r>
    <x v="0"/>
    <x v="0"/>
    <x v="1"/>
    <x v="3"/>
    <x v="13"/>
    <s v="SE3_STO"/>
    <x v="1"/>
    <s v="GBPR_MUNIWASTE_HOGDALEN"/>
    <x v="0"/>
    <x v="17"/>
    <n v="2.4136553365519799"/>
    <n v="880.98419784147097"/>
    <n v="3171.5431122292998"/>
  </r>
  <r>
    <x v="0"/>
    <x v="0"/>
    <x v="1"/>
    <x v="3"/>
    <x v="13"/>
    <s v="SE3_STO"/>
    <x v="1"/>
    <s v="GHOB_MUNIWASTE"/>
    <x v="0"/>
    <x v="5"/>
    <n v="18.807364417950399"/>
    <n v="6864.6880125518901"/>
    <n v="24712.876845186802"/>
  </r>
  <r>
    <x v="0"/>
    <x v="0"/>
    <x v="1"/>
    <x v="3"/>
    <x v="13"/>
    <s v="SE3_STO"/>
    <x v="1"/>
    <s v="GHOB_MUNIWASTE"/>
    <x v="0"/>
    <x v="6"/>
    <n v="120.96344365261299"/>
    <n v="44151.6569332039"/>
    <n v="158945.964959534"/>
  </r>
  <r>
    <x v="0"/>
    <x v="0"/>
    <x v="1"/>
    <x v="3"/>
    <x v="13"/>
    <s v="SE3_STO"/>
    <x v="1"/>
    <s v="GHOB_MUNIWASTE"/>
    <x v="0"/>
    <x v="7"/>
    <n v="120.96344365261299"/>
    <n v="44151.6569332039"/>
    <n v="158945.964959534"/>
  </r>
  <r>
    <x v="0"/>
    <x v="0"/>
    <x v="1"/>
    <x v="3"/>
    <x v="13"/>
    <s v="SE3_STO"/>
    <x v="1"/>
    <s v="GHOB_MUNIWASTE"/>
    <x v="0"/>
    <x v="8"/>
    <n v="120.96344365261299"/>
    <n v="44151.6569332039"/>
    <n v="158945.964959534"/>
  </r>
  <r>
    <x v="0"/>
    <x v="0"/>
    <x v="1"/>
    <x v="3"/>
    <x v="13"/>
    <s v="SE3_STO"/>
    <x v="1"/>
    <s v="GHOB_MUNIWASTE"/>
    <x v="0"/>
    <x v="9"/>
    <n v="120.96344365261299"/>
    <n v="44151.6569332039"/>
    <n v="158945.964959534"/>
  </r>
  <r>
    <x v="0"/>
    <x v="0"/>
    <x v="1"/>
    <x v="3"/>
    <x v="13"/>
    <s v="SE3_STO"/>
    <x v="1"/>
    <s v="GHOB_MUNIWASTE"/>
    <x v="0"/>
    <x v="10"/>
    <n v="120.96344365261299"/>
    <n v="44151.6569332039"/>
    <n v="158945.964959534"/>
  </r>
  <r>
    <x v="0"/>
    <x v="0"/>
    <x v="1"/>
    <x v="3"/>
    <x v="13"/>
    <s v="SE3_STO"/>
    <x v="1"/>
    <s v="GHOB_MUNIWASTE"/>
    <x v="0"/>
    <x v="11"/>
    <n v="120.96344365261299"/>
    <n v="44151.6569332039"/>
    <n v="158945.964959534"/>
  </r>
  <r>
    <x v="0"/>
    <x v="0"/>
    <x v="1"/>
    <x v="3"/>
    <x v="13"/>
    <s v="SE3_STO"/>
    <x v="1"/>
    <s v="GHOB_MUNIWASTE"/>
    <x v="0"/>
    <x v="12"/>
    <n v="120.96344365261299"/>
    <n v="44151.6569332039"/>
    <n v="158945.964959534"/>
  </r>
  <r>
    <x v="0"/>
    <x v="0"/>
    <x v="1"/>
    <x v="3"/>
    <x v="13"/>
    <s v="SE3_STO"/>
    <x v="1"/>
    <s v="GHOB_MUNIWASTE"/>
    <x v="0"/>
    <x v="13"/>
    <n v="120.96344365261299"/>
    <n v="44151.6569332039"/>
    <n v="158945.964959534"/>
  </r>
  <r>
    <x v="0"/>
    <x v="0"/>
    <x v="1"/>
    <x v="3"/>
    <x v="13"/>
    <s v="SE3_STO"/>
    <x v="1"/>
    <s v="GHOB_MUNIWASTE"/>
    <x v="0"/>
    <x v="14"/>
    <n v="120.96344365261299"/>
    <n v="44151.6569332039"/>
    <n v="158945.964959534"/>
  </r>
  <r>
    <x v="0"/>
    <x v="0"/>
    <x v="1"/>
    <x v="3"/>
    <x v="13"/>
    <s v="SE3_STO"/>
    <x v="1"/>
    <s v="GHOB_MUNIWASTE"/>
    <x v="0"/>
    <x v="15"/>
    <n v="120.96344365261299"/>
    <n v="44151.6569332039"/>
    <n v="158945.964959534"/>
  </r>
  <r>
    <x v="0"/>
    <x v="0"/>
    <x v="1"/>
    <x v="3"/>
    <x v="13"/>
    <s v="SE3_STO"/>
    <x v="1"/>
    <s v="GHOB_MUNIWASTE"/>
    <x v="0"/>
    <x v="16"/>
    <n v="120.96344365261299"/>
    <n v="44151.6569332039"/>
    <n v="158945.964959534"/>
  </r>
  <r>
    <x v="0"/>
    <x v="0"/>
    <x v="1"/>
    <x v="3"/>
    <x v="13"/>
    <s v="SE3_STO"/>
    <x v="1"/>
    <s v="GHOB_MUNIWASTE"/>
    <x v="0"/>
    <x v="17"/>
    <n v="120.96344365261299"/>
    <n v="44151.6569332039"/>
    <n v="158945.964959534"/>
  </r>
  <r>
    <x v="0"/>
    <x v="0"/>
    <x v="1"/>
    <x v="3"/>
    <x v="13"/>
    <s v="SE3_STO"/>
    <x v="1"/>
    <s v="GHOB_MUNIWASTE"/>
    <x v="0"/>
    <x v="18"/>
    <n v="120.96344365261299"/>
    <n v="44151.6569332039"/>
    <n v="158945.964959534"/>
  </r>
  <r>
    <x v="0"/>
    <x v="0"/>
    <x v="1"/>
    <x v="3"/>
    <x v="13"/>
    <s v="SE3_STO"/>
    <x v="1"/>
    <s v="GHOB_MUNIWASTE"/>
    <x v="0"/>
    <x v="19"/>
    <n v="120.96344365261299"/>
    <n v="44151.6569332039"/>
    <n v="158945.964959534"/>
  </r>
  <r>
    <x v="0"/>
    <x v="0"/>
    <x v="1"/>
    <x v="3"/>
    <x v="13"/>
    <s v="SE3_STO"/>
    <x v="1"/>
    <s v="GHOB_MUNIWASTE"/>
    <x v="0"/>
    <x v="20"/>
    <n v="120.96344365261299"/>
    <n v="44151.6569332039"/>
    <n v="158945.964959534"/>
  </r>
  <r>
    <x v="0"/>
    <x v="0"/>
    <x v="1"/>
    <x v="3"/>
    <x v="13"/>
    <s v="SE3_STO"/>
    <x v="1"/>
    <s v="GHOB_MUNIWASTE"/>
    <x v="0"/>
    <x v="21"/>
    <n v="120.96344365261299"/>
    <n v="44151.6569332039"/>
    <n v="158945.964959534"/>
  </r>
  <r>
    <x v="0"/>
    <x v="0"/>
    <x v="1"/>
    <x v="3"/>
    <x v="13"/>
    <s v="SE3_STO"/>
    <x v="1"/>
    <s v="GHOB_MUNIWASTE"/>
    <x v="0"/>
    <x v="22"/>
    <n v="120.96344365261299"/>
    <n v="44151.6569332039"/>
    <n v="158945.964959534"/>
  </r>
  <r>
    <x v="0"/>
    <x v="0"/>
    <x v="1"/>
    <x v="3"/>
    <x v="13"/>
    <s v="SE3_STO"/>
    <x v="1"/>
    <s v="GHOB_MUNIWASTE"/>
    <x v="0"/>
    <x v="23"/>
    <n v="91.135440192799607"/>
    <n v="33264.4356703718"/>
    <n v="119751.968413339"/>
  </r>
  <r>
    <x v="0"/>
    <x v="0"/>
    <x v="1"/>
    <x v="3"/>
    <x v="14"/>
    <s v="SE4A"/>
    <x v="6"/>
    <s v="GNR_PV_SUN_LS-4-MW_Y-2020"/>
    <x v="0"/>
    <x v="0"/>
    <n v="40850.564976801201"/>
    <n v="14910456.2165324"/>
    <n v="53677642.379516803"/>
  </r>
  <r>
    <x v="0"/>
    <x v="0"/>
    <x v="1"/>
    <x v="3"/>
    <x v="14"/>
    <s v="SE4A"/>
    <x v="6"/>
    <s v="GNR_PV_SUN_LS-4-MW_Y-2020"/>
    <x v="0"/>
    <x v="1"/>
    <n v="40643.012819837502"/>
    <n v="14834699.6792407"/>
    <n v="53404918.845266499"/>
  </r>
  <r>
    <x v="0"/>
    <x v="0"/>
    <x v="1"/>
    <x v="3"/>
    <x v="14"/>
    <s v="SE4A"/>
    <x v="6"/>
    <s v="GNR_PV_SUN_LS-4-MW_Y-2020"/>
    <x v="0"/>
    <x v="2"/>
    <n v="40465.703053274898"/>
    <n v="14769981.614445301"/>
    <n v="53171933.812003203"/>
  </r>
  <r>
    <x v="0"/>
    <x v="0"/>
    <x v="1"/>
    <x v="3"/>
    <x v="14"/>
    <s v="SE4A"/>
    <x v="6"/>
    <s v="GNR_PV_SUN_LS-4-MW_Y-2020"/>
    <x v="0"/>
    <x v="3"/>
    <n v="40543.908713381097"/>
    <n v="14798526.680384099"/>
    <n v="53274696.049382702"/>
  </r>
  <r>
    <x v="0"/>
    <x v="0"/>
    <x v="1"/>
    <x v="3"/>
    <x v="14"/>
    <s v="SE4A"/>
    <x v="6"/>
    <s v="GNR_PV_SUN_LS-4-MW_Y-2020"/>
    <x v="0"/>
    <x v="4"/>
    <n v="40667.344277838398"/>
    <n v="14843580.661411"/>
    <n v="53436890.381079704"/>
  </r>
  <r>
    <x v="0"/>
    <x v="0"/>
    <x v="1"/>
    <x v="3"/>
    <x v="14"/>
    <s v="SE4A"/>
    <x v="6"/>
    <s v="GNR_PV_SUN_LS-4-MW_Y-2020"/>
    <x v="0"/>
    <x v="5"/>
    <n v="41140.4512191467"/>
    <n v="15016264.694988601"/>
    <n v="54058552.901958801"/>
  </r>
  <r>
    <x v="0"/>
    <x v="0"/>
    <x v="1"/>
    <x v="3"/>
    <x v="14"/>
    <s v="SE4A"/>
    <x v="6"/>
    <s v="GNR_PV_SUN_LS-4-MW_Y-2020"/>
    <x v="0"/>
    <x v="6"/>
    <n v="41548.160798883197"/>
    <n v="15165078.691592401"/>
    <n v="54594283.289732501"/>
  </r>
  <r>
    <x v="0"/>
    <x v="0"/>
    <x v="1"/>
    <x v="3"/>
    <x v="14"/>
    <s v="SE4A"/>
    <x v="6"/>
    <s v="GNR_PV_SUN_LS-4-MW_Y-2020"/>
    <x v="0"/>
    <x v="7"/>
    <n v="42498.660023754797"/>
    <n v="15512010.9086705"/>
    <n v="55843239.271213703"/>
  </r>
  <r>
    <x v="0"/>
    <x v="0"/>
    <x v="1"/>
    <x v="3"/>
    <x v="14"/>
    <s v="SE4A"/>
    <x v="6"/>
    <s v="GNR_PV_SUN_LS-4-MW_Y-2020"/>
    <x v="0"/>
    <x v="8"/>
    <n v="42608.205870782302"/>
    <n v="15551995.1428355"/>
    <n v="55987182.5142079"/>
  </r>
  <r>
    <x v="0"/>
    <x v="0"/>
    <x v="1"/>
    <x v="3"/>
    <x v="14"/>
    <s v="SE4A"/>
    <x v="6"/>
    <s v="GNR_PV_SUN_LS-4-MW_Y-2020"/>
    <x v="0"/>
    <x v="9"/>
    <n v="42668.686983924898"/>
    <n v="15574070.7491326"/>
    <n v="56066654.696877301"/>
  </r>
  <r>
    <x v="0"/>
    <x v="0"/>
    <x v="1"/>
    <x v="3"/>
    <x v="14"/>
    <s v="SE4A"/>
    <x v="6"/>
    <s v="GNR_PV_SUN_LS-4-MW_Y-2020"/>
    <x v="0"/>
    <x v="10"/>
    <n v="42641.163578271997"/>
    <n v="15564024.7060693"/>
    <n v="56030488.941849403"/>
  </r>
  <r>
    <x v="0"/>
    <x v="0"/>
    <x v="1"/>
    <x v="3"/>
    <x v="14"/>
    <s v="SE4A"/>
    <x v="6"/>
    <s v="GNR_PV_SUN_LS-4-MW_Y-2020"/>
    <x v="0"/>
    <x v="11"/>
    <n v="42569.017323182401"/>
    <n v="15537691.3229616"/>
    <n v="55935688.762661703"/>
  </r>
  <r>
    <x v="0"/>
    <x v="0"/>
    <x v="1"/>
    <x v="3"/>
    <x v="14"/>
    <s v="SE4A"/>
    <x v="6"/>
    <s v="GNR_PV_SUN_LS-4-MW_Y-2020"/>
    <x v="0"/>
    <x v="12"/>
    <n v="42525.865757039901"/>
    <n v="15521941.0013196"/>
    <n v="55878987.604750402"/>
  </r>
  <r>
    <x v="0"/>
    <x v="0"/>
    <x v="1"/>
    <x v="3"/>
    <x v="14"/>
    <s v="SE4A"/>
    <x v="6"/>
    <s v="GNR_PV_SUN_LS-4-MW_Y-2020"/>
    <x v="0"/>
    <x v="13"/>
    <n v="42473.0778471417"/>
    <n v="15502673.4142067"/>
    <n v="55809624.291144297"/>
  </r>
  <r>
    <x v="0"/>
    <x v="0"/>
    <x v="1"/>
    <x v="3"/>
    <x v="14"/>
    <s v="SE4A"/>
    <x v="6"/>
    <s v="GNR_PV_SUN_LS-4-MW_Y-2020"/>
    <x v="0"/>
    <x v="14"/>
    <n v="42424.798286352103"/>
    <n v="15485051.374518501"/>
    <n v="55746184.9482667"/>
  </r>
  <r>
    <x v="0"/>
    <x v="0"/>
    <x v="1"/>
    <x v="3"/>
    <x v="14"/>
    <s v="SE4A"/>
    <x v="6"/>
    <s v="GNR_PV_SUN_LS-4-MW_Y-2020"/>
    <x v="0"/>
    <x v="15"/>
    <n v="42353.756790130901"/>
    <n v="15459121.2283978"/>
    <n v="55652836.422231898"/>
  </r>
  <r>
    <x v="0"/>
    <x v="0"/>
    <x v="1"/>
    <x v="3"/>
    <x v="14"/>
    <s v="SE4A"/>
    <x v="6"/>
    <s v="GNR_PV_SUN_LS-4-MW_Y-2020"/>
    <x v="0"/>
    <x v="16"/>
    <n v="42279.839805784097"/>
    <n v="15432141.529111199"/>
    <n v="55555709.504800297"/>
  </r>
  <r>
    <x v="0"/>
    <x v="0"/>
    <x v="1"/>
    <x v="3"/>
    <x v="14"/>
    <s v="SE4A"/>
    <x v="6"/>
    <s v="GNR_PV_SUN_LS-4-MW_Y-2020"/>
    <x v="0"/>
    <x v="17"/>
    <n v="42345.677941016598"/>
    <n v="15456172.448471099"/>
    <n v="55642220.814495899"/>
  </r>
  <r>
    <x v="0"/>
    <x v="0"/>
    <x v="1"/>
    <x v="3"/>
    <x v="14"/>
    <s v="SE4A"/>
    <x v="6"/>
    <s v="GNR_PV_SUN_LS-4-MW_Y-2020"/>
    <x v="0"/>
    <x v="18"/>
    <n v="42525.074099946702"/>
    <n v="15521652.0464806"/>
    <n v="55877947.36733"/>
  </r>
  <r>
    <x v="0"/>
    <x v="0"/>
    <x v="1"/>
    <x v="3"/>
    <x v="14"/>
    <s v="SE4A"/>
    <x v="6"/>
    <s v="GNR_PV_SUN_LS-4-MW_Y-2020"/>
    <x v="0"/>
    <x v="19"/>
    <n v="42711.418366790698"/>
    <n v="15589667.7038786"/>
    <n v="56122803.733962998"/>
  </r>
  <r>
    <x v="0"/>
    <x v="0"/>
    <x v="1"/>
    <x v="3"/>
    <x v="14"/>
    <s v="SE4A"/>
    <x v="6"/>
    <s v="GNR_PV_SUN_LS-4-MW_Y-2020"/>
    <x v="0"/>
    <x v="20"/>
    <n v="42699.1992019639"/>
    <n v="15585207.7087168"/>
    <n v="56106747.7513806"/>
  </r>
  <r>
    <x v="0"/>
    <x v="0"/>
    <x v="1"/>
    <x v="3"/>
    <x v="14"/>
    <s v="SE4A"/>
    <x v="6"/>
    <s v="GNR_PV_SUN_LS-4-MW_Y-2020"/>
    <x v="0"/>
    <x v="21"/>
    <n v="42622.876391244397"/>
    <n v="15557349.8828042"/>
    <n v="56006459.578095101"/>
  </r>
  <r>
    <x v="0"/>
    <x v="0"/>
    <x v="1"/>
    <x v="3"/>
    <x v="14"/>
    <s v="SE4A"/>
    <x v="6"/>
    <s v="GNR_PV_SUN_LS-4-MW_Y-2020"/>
    <x v="0"/>
    <x v="22"/>
    <n v="42411.058423286697"/>
    <n v="15480036.3244996"/>
    <n v="55728130.768198699"/>
  </r>
  <r>
    <x v="0"/>
    <x v="0"/>
    <x v="1"/>
    <x v="3"/>
    <x v="14"/>
    <s v="SE4A"/>
    <x v="6"/>
    <s v="GNR_PV_SUN_LS-4-MW_Y-2020"/>
    <x v="0"/>
    <x v="23"/>
    <n v="41745.064714801803"/>
    <n v="15236948.6209026"/>
    <n v="54853015.035249501"/>
  </r>
  <r>
    <x v="0"/>
    <x v="0"/>
    <x v="1"/>
    <x v="3"/>
    <x v="14"/>
    <s v="SE4A"/>
    <x v="7"/>
    <s v="GHYRR_WATER"/>
    <x v="0"/>
    <x v="0"/>
    <n v="95.839366377667005"/>
    <n v="34981.368727848501"/>
    <n v="125932.927420255"/>
  </r>
  <r>
    <x v="0"/>
    <x v="0"/>
    <x v="1"/>
    <x v="3"/>
    <x v="14"/>
    <s v="SE4A"/>
    <x v="7"/>
    <s v="GHYRR_WATER"/>
    <x v="0"/>
    <x v="1"/>
    <n v="95.839366377667005"/>
    <n v="34981.368727848501"/>
    <n v="125932.927420255"/>
  </r>
  <r>
    <x v="0"/>
    <x v="0"/>
    <x v="1"/>
    <x v="3"/>
    <x v="14"/>
    <s v="SE4A"/>
    <x v="7"/>
    <s v="GHYRR_WATER"/>
    <x v="0"/>
    <x v="2"/>
    <n v="95.839366377667005"/>
    <n v="34981.368727848501"/>
    <n v="125932.927420255"/>
  </r>
  <r>
    <x v="0"/>
    <x v="0"/>
    <x v="1"/>
    <x v="3"/>
    <x v="14"/>
    <s v="SE4A"/>
    <x v="7"/>
    <s v="GHYRR_WATER"/>
    <x v="0"/>
    <x v="3"/>
    <n v="95.839366377667005"/>
    <n v="34981.368727848501"/>
    <n v="125932.927420255"/>
  </r>
  <r>
    <x v="0"/>
    <x v="0"/>
    <x v="1"/>
    <x v="3"/>
    <x v="14"/>
    <s v="SE4A"/>
    <x v="7"/>
    <s v="GHYRR_WATER"/>
    <x v="0"/>
    <x v="4"/>
    <n v="95.839366377667005"/>
    <n v="34981.368727848501"/>
    <n v="125932.927420255"/>
  </r>
  <r>
    <x v="0"/>
    <x v="0"/>
    <x v="1"/>
    <x v="3"/>
    <x v="14"/>
    <s v="SE4A"/>
    <x v="7"/>
    <s v="GHYRR_WATER"/>
    <x v="0"/>
    <x v="5"/>
    <n v="95.839366377667005"/>
    <n v="34981.368727848501"/>
    <n v="125932.927420255"/>
  </r>
  <r>
    <x v="0"/>
    <x v="0"/>
    <x v="1"/>
    <x v="3"/>
    <x v="14"/>
    <s v="SE4A"/>
    <x v="7"/>
    <s v="GHYRR_WATER"/>
    <x v="0"/>
    <x v="6"/>
    <n v="95.839366377667005"/>
    <n v="34981.368727848501"/>
    <n v="125932.927420255"/>
  </r>
  <r>
    <x v="0"/>
    <x v="0"/>
    <x v="1"/>
    <x v="3"/>
    <x v="14"/>
    <s v="SE4A"/>
    <x v="7"/>
    <s v="GHYRR_WATER"/>
    <x v="0"/>
    <x v="7"/>
    <n v="95.839366377667005"/>
    <n v="34981.368727848501"/>
    <n v="125932.927420255"/>
  </r>
  <r>
    <x v="0"/>
    <x v="0"/>
    <x v="1"/>
    <x v="3"/>
    <x v="14"/>
    <s v="SE4A"/>
    <x v="7"/>
    <s v="GHYRR_WATER"/>
    <x v="0"/>
    <x v="8"/>
    <n v="95.839366377667005"/>
    <n v="34981.368727848501"/>
    <n v="125932.927420255"/>
  </r>
  <r>
    <x v="0"/>
    <x v="0"/>
    <x v="1"/>
    <x v="3"/>
    <x v="14"/>
    <s v="SE4A"/>
    <x v="7"/>
    <s v="GHYRR_WATER"/>
    <x v="0"/>
    <x v="9"/>
    <n v="95.839366377667005"/>
    <n v="34981.368727848501"/>
    <n v="125932.927420255"/>
  </r>
  <r>
    <x v="0"/>
    <x v="0"/>
    <x v="1"/>
    <x v="3"/>
    <x v="14"/>
    <s v="SE4A"/>
    <x v="7"/>
    <s v="GHYRR_WATER"/>
    <x v="0"/>
    <x v="10"/>
    <n v="95.839366377667005"/>
    <n v="34981.368727848501"/>
    <n v="125932.927420255"/>
  </r>
  <r>
    <x v="0"/>
    <x v="0"/>
    <x v="1"/>
    <x v="3"/>
    <x v="14"/>
    <s v="SE4A"/>
    <x v="7"/>
    <s v="GHYRR_WATER"/>
    <x v="0"/>
    <x v="11"/>
    <n v="95.839366377667005"/>
    <n v="34981.368727848501"/>
    <n v="125932.927420255"/>
  </r>
  <r>
    <x v="0"/>
    <x v="0"/>
    <x v="1"/>
    <x v="3"/>
    <x v="14"/>
    <s v="SE4A"/>
    <x v="7"/>
    <s v="GHYRR_WATER"/>
    <x v="0"/>
    <x v="12"/>
    <n v="95.839366377667005"/>
    <n v="34981.368727848501"/>
    <n v="125932.927420255"/>
  </r>
  <r>
    <x v="0"/>
    <x v="0"/>
    <x v="1"/>
    <x v="3"/>
    <x v="14"/>
    <s v="SE4A"/>
    <x v="7"/>
    <s v="GHYRR_WATER"/>
    <x v="0"/>
    <x v="13"/>
    <n v="95.839366377667005"/>
    <n v="34981.368727848501"/>
    <n v="125932.927420255"/>
  </r>
  <r>
    <x v="0"/>
    <x v="0"/>
    <x v="1"/>
    <x v="3"/>
    <x v="14"/>
    <s v="SE4A"/>
    <x v="7"/>
    <s v="GHYRR_WATER"/>
    <x v="0"/>
    <x v="14"/>
    <n v="95.839366377667005"/>
    <n v="34981.368727848501"/>
    <n v="125932.927420255"/>
  </r>
  <r>
    <x v="0"/>
    <x v="0"/>
    <x v="1"/>
    <x v="3"/>
    <x v="14"/>
    <s v="SE4A"/>
    <x v="7"/>
    <s v="GHYRR_WATER"/>
    <x v="0"/>
    <x v="15"/>
    <n v="95.839366377667005"/>
    <n v="34981.368727848501"/>
    <n v="125932.927420255"/>
  </r>
  <r>
    <x v="0"/>
    <x v="0"/>
    <x v="1"/>
    <x v="3"/>
    <x v="14"/>
    <s v="SE4A"/>
    <x v="7"/>
    <s v="GHYRR_WATER"/>
    <x v="0"/>
    <x v="16"/>
    <n v="95.839366377667005"/>
    <n v="34981.368727848501"/>
    <n v="125932.927420255"/>
  </r>
  <r>
    <x v="0"/>
    <x v="0"/>
    <x v="1"/>
    <x v="3"/>
    <x v="14"/>
    <s v="SE4A"/>
    <x v="7"/>
    <s v="GHYRR_WATER"/>
    <x v="0"/>
    <x v="17"/>
    <n v="95.839366377667005"/>
    <n v="34981.368727848501"/>
    <n v="125932.927420255"/>
  </r>
  <r>
    <x v="0"/>
    <x v="0"/>
    <x v="1"/>
    <x v="3"/>
    <x v="14"/>
    <s v="SE4A"/>
    <x v="7"/>
    <s v="GHYRR_WATER"/>
    <x v="0"/>
    <x v="18"/>
    <n v="95.839366377667005"/>
    <n v="34981.368727848501"/>
    <n v="125932.927420255"/>
  </r>
  <r>
    <x v="0"/>
    <x v="0"/>
    <x v="1"/>
    <x v="3"/>
    <x v="14"/>
    <s v="SE4A"/>
    <x v="7"/>
    <s v="GHYRR_WATER"/>
    <x v="0"/>
    <x v="19"/>
    <n v="95.839366377667005"/>
    <n v="34981.368727848501"/>
    <n v="125932.927420255"/>
  </r>
  <r>
    <x v="0"/>
    <x v="0"/>
    <x v="1"/>
    <x v="3"/>
    <x v="14"/>
    <s v="SE4A"/>
    <x v="7"/>
    <s v="GHYRR_WATER"/>
    <x v="0"/>
    <x v="20"/>
    <n v="95.839366377667005"/>
    <n v="34981.368727848501"/>
    <n v="125932.927420255"/>
  </r>
  <r>
    <x v="0"/>
    <x v="0"/>
    <x v="1"/>
    <x v="3"/>
    <x v="14"/>
    <s v="SE4A"/>
    <x v="7"/>
    <s v="GHYRR_WATER"/>
    <x v="0"/>
    <x v="21"/>
    <n v="95.839366377667005"/>
    <n v="34981.368727848501"/>
    <n v="125932.927420255"/>
  </r>
  <r>
    <x v="0"/>
    <x v="0"/>
    <x v="1"/>
    <x v="3"/>
    <x v="14"/>
    <s v="SE4A"/>
    <x v="7"/>
    <s v="GHYRR_WATER"/>
    <x v="0"/>
    <x v="22"/>
    <n v="95.839366377667005"/>
    <n v="34981.368727848501"/>
    <n v="125932.927420255"/>
  </r>
  <r>
    <x v="0"/>
    <x v="0"/>
    <x v="1"/>
    <x v="3"/>
    <x v="14"/>
    <s v="SE4A"/>
    <x v="7"/>
    <s v="GHYRR_WATER"/>
    <x v="0"/>
    <x v="23"/>
    <n v="95.839366377667005"/>
    <n v="34981.368727848501"/>
    <n v="125932.927420255"/>
  </r>
  <r>
    <x v="0"/>
    <x v="0"/>
    <x v="1"/>
    <x v="3"/>
    <x v="14"/>
    <s v="SE4A"/>
    <x v="8"/>
    <s v="GNR_WT_WIND_ONS"/>
    <x v="0"/>
    <x v="0"/>
    <n v="135.483492926769"/>
    <n v="49451.474918270796"/>
    <n v="178025.309705775"/>
  </r>
  <r>
    <x v="0"/>
    <x v="0"/>
    <x v="1"/>
    <x v="3"/>
    <x v="14"/>
    <s v="SE4A"/>
    <x v="8"/>
    <s v="GNR_WT_WIND_ONS"/>
    <x v="0"/>
    <x v="1"/>
    <n v="193.133915729927"/>
    <n v="70493.879241423303"/>
    <n v="253777.96526912399"/>
  </r>
  <r>
    <x v="0"/>
    <x v="0"/>
    <x v="1"/>
    <x v="3"/>
    <x v="14"/>
    <s v="SE4A"/>
    <x v="8"/>
    <s v="GNR_WT_WIND_ONS"/>
    <x v="0"/>
    <x v="2"/>
    <n v="269.13621317063399"/>
    <n v="98234.7178072815"/>
    <n v="353644.98410621303"/>
  </r>
  <r>
    <x v="0"/>
    <x v="0"/>
    <x v="1"/>
    <x v="3"/>
    <x v="14"/>
    <s v="SE4A"/>
    <x v="8"/>
    <s v="GNR_WT_WIND_ONS"/>
    <x v="0"/>
    <x v="3"/>
    <n v="297.23294912834803"/>
    <n v="108490.026431847"/>
    <n v="390564.095154649"/>
  </r>
  <r>
    <x v="0"/>
    <x v="0"/>
    <x v="1"/>
    <x v="3"/>
    <x v="14"/>
    <s v="SE4A"/>
    <x v="8"/>
    <s v="GNR_WT_WIND_ONS"/>
    <x v="0"/>
    <x v="4"/>
    <n v="328.84525779565399"/>
    <n v="120028.519095414"/>
    <n v="432102.66874349001"/>
  </r>
  <r>
    <x v="0"/>
    <x v="0"/>
    <x v="1"/>
    <x v="3"/>
    <x v="14"/>
    <s v="SE4A"/>
    <x v="8"/>
    <s v="GNR_WT_WIND_ONS"/>
    <x v="0"/>
    <x v="5"/>
    <n v="361.02923882690698"/>
    <n v="131775.672171821"/>
    <n v="474392.41981855599"/>
  </r>
  <r>
    <x v="0"/>
    <x v="0"/>
    <x v="1"/>
    <x v="3"/>
    <x v="14"/>
    <s v="SE4A"/>
    <x v="8"/>
    <s v="GNR_WT_WIND_ONS"/>
    <x v="0"/>
    <x v="6"/>
    <n v="401.06156516274501"/>
    <n v="146387.47128440201"/>
    <n v="526994.89662384603"/>
  </r>
  <r>
    <x v="0"/>
    <x v="0"/>
    <x v="1"/>
    <x v="3"/>
    <x v="14"/>
    <s v="SE4A"/>
    <x v="8"/>
    <s v="GNR_WT_WIND_ONS"/>
    <x v="0"/>
    <x v="7"/>
    <n v="411.60973279162101"/>
    <n v="150237.55246894201"/>
    <n v="540855.18888818996"/>
  </r>
  <r>
    <x v="0"/>
    <x v="0"/>
    <x v="1"/>
    <x v="3"/>
    <x v="14"/>
    <s v="SE4A"/>
    <x v="8"/>
    <s v="GNR_WT_WIND_ONS"/>
    <x v="0"/>
    <x v="8"/>
    <n v="417.383800096529"/>
    <n v="152345.08703523301"/>
    <n v="548442.31332684006"/>
  </r>
  <r>
    <x v="0"/>
    <x v="0"/>
    <x v="1"/>
    <x v="3"/>
    <x v="14"/>
    <s v="SE4A"/>
    <x v="8"/>
    <s v="GNR_WT_WIND_ONS"/>
    <x v="0"/>
    <x v="9"/>
    <n v="401.91768192952998"/>
    <n v="146699.95390427901"/>
    <n v="528119.83405540301"/>
  </r>
  <r>
    <x v="0"/>
    <x v="0"/>
    <x v="1"/>
    <x v="3"/>
    <x v="14"/>
    <s v="SE4A"/>
    <x v="8"/>
    <s v="GNR_WT_WIND_ONS"/>
    <x v="0"/>
    <x v="10"/>
    <n v="405.13847790225998"/>
    <n v="147875.54443432501"/>
    <n v="532351.95996357"/>
  </r>
  <r>
    <x v="0"/>
    <x v="0"/>
    <x v="1"/>
    <x v="3"/>
    <x v="14"/>
    <s v="SE4A"/>
    <x v="8"/>
    <s v="GNR_WT_WIND_ONS"/>
    <x v="0"/>
    <x v="11"/>
    <n v="408.54371966508899"/>
    <n v="149118.45767775801"/>
    <n v="536826.44763992704"/>
  </r>
  <r>
    <x v="0"/>
    <x v="0"/>
    <x v="1"/>
    <x v="3"/>
    <x v="14"/>
    <s v="SE4A"/>
    <x v="8"/>
    <s v="GNR_WT_WIND_ONS"/>
    <x v="0"/>
    <x v="12"/>
    <n v="405.45712746647598"/>
    <n v="147991.85152526401"/>
    <n v="532770.66549094894"/>
  </r>
  <r>
    <x v="0"/>
    <x v="0"/>
    <x v="1"/>
    <x v="3"/>
    <x v="14"/>
    <s v="SE4A"/>
    <x v="8"/>
    <s v="GNR_WT_WIND_ONS"/>
    <x v="0"/>
    <x v="13"/>
    <n v="412.265793767265"/>
    <n v="150477.01472505199"/>
    <n v="541717.25301018602"/>
  </r>
  <r>
    <x v="0"/>
    <x v="0"/>
    <x v="1"/>
    <x v="3"/>
    <x v="14"/>
    <s v="SE4A"/>
    <x v="8"/>
    <s v="GNR_WT_WIND_ONS"/>
    <x v="0"/>
    <x v="14"/>
    <n v="409.85106907817999"/>
    <n v="149595.64021353601"/>
    <n v="538544.30476872798"/>
  </r>
  <r>
    <x v="0"/>
    <x v="0"/>
    <x v="1"/>
    <x v="3"/>
    <x v="14"/>
    <s v="SE4A"/>
    <x v="8"/>
    <s v="GNR_WT_WIND_ONS"/>
    <x v="0"/>
    <x v="15"/>
    <n v="417.356252837113"/>
    <n v="152335.03228554601"/>
    <n v="548406.11622796697"/>
  </r>
  <r>
    <x v="0"/>
    <x v="0"/>
    <x v="1"/>
    <x v="3"/>
    <x v="14"/>
    <s v="SE4A"/>
    <x v="8"/>
    <s v="GNR_WT_WIND_ONS"/>
    <x v="0"/>
    <x v="16"/>
    <n v="415.691310511246"/>
    <n v="151727.32833660499"/>
    <n v="546218.38201177702"/>
  </r>
  <r>
    <x v="0"/>
    <x v="0"/>
    <x v="1"/>
    <x v="3"/>
    <x v="14"/>
    <s v="SE4A"/>
    <x v="8"/>
    <s v="GNR_WT_WIND_ONS"/>
    <x v="0"/>
    <x v="17"/>
    <n v="398.562190569015"/>
    <n v="145475.19955769001"/>
    <n v="523710.718407685"/>
  </r>
  <r>
    <x v="0"/>
    <x v="0"/>
    <x v="1"/>
    <x v="3"/>
    <x v="14"/>
    <s v="SE4A"/>
    <x v="8"/>
    <s v="GNR_WT_WIND_ONS"/>
    <x v="0"/>
    <x v="18"/>
    <n v="372.667322407379"/>
    <n v="136023.57267869299"/>
    <n v="489684.86164329702"/>
  </r>
  <r>
    <x v="0"/>
    <x v="0"/>
    <x v="1"/>
    <x v="3"/>
    <x v="14"/>
    <s v="SE4A"/>
    <x v="8"/>
    <s v="GNR_WT_WIND_ONS"/>
    <x v="0"/>
    <x v="19"/>
    <n v="329.720758669796"/>
    <n v="120348.07691447499"/>
    <n v="433253.07689211197"/>
  </r>
  <r>
    <x v="0"/>
    <x v="0"/>
    <x v="1"/>
    <x v="3"/>
    <x v="14"/>
    <s v="SE4A"/>
    <x v="8"/>
    <s v="GNR_WT_WIND_ONS"/>
    <x v="0"/>
    <x v="20"/>
    <n v="292.45605285722303"/>
    <n v="106746.459292887"/>
    <n v="384287.25345439202"/>
  </r>
  <r>
    <x v="0"/>
    <x v="0"/>
    <x v="1"/>
    <x v="3"/>
    <x v="14"/>
    <s v="SE4A"/>
    <x v="8"/>
    <s v="GNR_WT_WIND_ONS"/>
    <x v="0"/>
    <x v="21"/>
    <n v="245.71183715888"/>
    <n v="89684.820562991197"/>
    <n v="322865.35402676801"/>
  </r>
  <r>
    <x v="0"/>
    <x v="0"/>
    <x v="1"/>
    <x v="3"/>
    <x v="14"/>
    <s v="SE4A"/>
    <x v="8"/>
    <s v="GNR_WT_WIND_ONS"/>
    <x v="0"/>
    <x v="22"/>
    <n v="225.55883363586"/>
    <n v="82328.974277089103"/>
    <n v="296384.30739752098"/>
  </r>
  <r>
    <x v="0"/>
    <x v="0"/>
    <x v="1"/>
    <x v="3"/>
    <x v="14"/>
    <s v="SE4A"/>
    <x v="8"/>
    <s v="GNR_WT_WIND_ONS"/>
    <x v="0"/>
    <x v="23"/>
    <n v="209.12946071006999"/>
    <n v="76332.253159175598"/>
    <n v="274796.11137303198"/>
  </r>
  <r>
    <x v="0"/>
    <x v="0"/>
    <x v="1"/>
    <x v="3"/>
    <x v="14"/>
    <s v="SE4_EL"/>
    <x v="2"/>
    <s v="GHOB_WASTEHEAT"/>
    <x v="0"/>
    <x v="6"/>
    <n v="6.9296829465193897"/>
    <n v="2529.3342754795799"/>
    <n v="9105.6033917264795"/>
  </r>
  <r>
    <x v="0"/>
    <x v="0"/>
    <x v="1"/>
    <x v="3"/>
    <x v="14"/>
    <s v="SE4_EL"/>
    <x v="2"/>
    <s v="GHOB_WASTEHEAT"/>
    <x v="0"/>
    <x v="7"/>
    <n v="10.4166666666666"/>
    <n v="3802.0833333333198"/>
    <n v="13687.4999999999"/>
  </r>
  <r>
    <x v="0"/>
    <x v="0"/>
    <x v="1"/>
    <x v="3"/>
    <x v="14"/>
    <s v="SE4_EL"/>
    <x v="2"/>
    <s v="GHOB_WASTEHEAT"/>
    <x v="0"/>
    <x v="8"/>
    <n v="7.7770781273320297"/>
    <n v="2838.6335164761899"/>
    <n v="10219.080659314301"/>
  </r>
  <r>
    <x v="0"/>
    <x v="0"/>
    <x v="1"/>
    <x v="3"/>
    <x v="14"/>
    <s v="SE4_EL"/>
    <x v="2"/>
    <s v="GHOB_WASTEHEAT"/>
    <x v="0"/>
    <x v="9"/>
    <n v="10.2532697181211"/>
    <n v="3742.4434471141999"/>
    <n v="13472.796409611101"/>
  </r>
  <r>
    <x v="0"/>
    <x v="0"/>
    <x v="1"/>
    <x v="3"/>
    <x v="14"/>
    <s v="SE4_EL"/>
    <x v="2"/>
    <s v="GHOB_WASTEHEAT"/>
    <x v="0"/>
    <x v="10"/>
    <n v="8.3876814760935794"/>
    <n v="3061.50373877415"/>
    <n v="11021.413459587"/>
  </r>
  <r>
    <x v="0"/>
    <x v="0"/>
    <x v="1"/>
    <x v="3"/>
    <x v="14"/>
    <s v="SE4_EL"/>
    <x v="2"/>
    <s v="GHOB_WASTEHEAT"/>
    <x v="0"/>
    <x v="11"/>
    <n v="4.2608723889700002"/>
    <n v="1555.21842197405"/>
    <n v="5598.7863191065799"/>
  </r>
  <r>
    <x v="0"/>
    <x v="0"/>
    <x v="1"/>
    <x v="3"/>
    <x v="14"/>
    <s v="SE4_EL"/>
    <x v="9"/>
    <s v="GHOB_WOODWASTE"/>
    <x v="0"/>
    <x v="7"/>
    <n v="3.9267567071915299"/>
    <n v="1433.26619812491"/>
    <n v="5159.7583132496702"/>
  </r>
  <r>
    <x v="0"/>
    <x v="0"/>
    <x v="1"/>
    <x v="3"/>
    <x v="14"/>
    <s v="SE4_HP"/>
    <x v="1"/>
    <s v="GBPR_MUNIWASTE_65"/>
    <x v="0"/>
    <x v="6"/>
    <n v="30.8032126351555"/>
    <n v="11243.1726118318"/>
    <n v="40475.421402594402"/>
  </r>
  <r>
    <x v="0"/>
    <x v="0"/>
    <x v="1"/>
    <x v="3"/>
    <x v="14"/>
    <s v="SE4_HP"/>
    <x v="1"/>
    <s v="GBPR_MUNIWASTE_65"/>
    <x v="0"/>
    <x v="7"/>
    <n v="35.8832885975675"/>
    <n v="13097.4003381122"/>
    <n v="47150.641217203804"/>
  </r>
  <r>
    <x v="0"/>
    <x v="0"/>
    <x v="1"/>
    <x v="3"/>
    <x v="14"/>
    <s v="SE4_HP"/>
    <x v="1"/>
    <s v="GBPR_MUNIWASTE_65"/>
    <x v="0"/>
    <x v="8"/>
    <n v="14.1766616399049"/>
    <n v="5174.4814985652802"/>
    <n v="18628.133394835"/>
  </r>
  <r>
    <x v="0"/>
    <x v="0"/>
    <x v="1"/>
    <x v="3"/>
    <x v="14"/>
    <s v="SE4_HP"/>
    <x v="2"/>
    <s v="GHOB_WASTEHEAT"/>
    <x v="0"/>
    <x v="0"/>
    <n v="34.569597069596902"/>
    <n v="12617.902930402901"/>
    <n v="45424.450549450397"/>
  </r>
  <r>
    <x v="0"/>
    <x v="0"/>
    <x v="1"/>
    <x v="3"/>
    <x v="14"/>
    <s v="SE4_HP"/>
    <x v="2"/>
    <s v="GHOB_WASTEHEAT"/>
    <x v="0"/>
    <x v="1"/>
    <n v="34.569597069596902"/>
    <n v="12617.902930402901"/>
    <n v="45424.450549450397"/>
  </r>
  <r>
    <x v="0"/>
    <x v="0"/>
    <x v="1"/>
    <x v="3"/>
    <x v="14"/>
    <s v="SE4_HP"/>
    <x v="2"/>
    <s v="GHOB_WASTEHEAT"/>
    <x v="0"/>
    <x v="2"/>
    <n v="34.569597069596902"/>
    <n v="12617.902930402901"/>
    <n v="45424.450549450397"/>
  </r>
  <r>
    <x v="0"/>
    <x v="0"/>
    <x v="1"/>
    <x v="3"/>
    <x v="14"/>
    <s v="SE4_HP"/>
    <x v="2"/>
    <s v="GHOB_WASTEHEAT"/>
    <x v="0"/>
    <x v="3"/>
    <n v="34.569597069596902"/>
    <n v="12617.902930402901"/>
    <n v="45424.450549450397"/>
  </r>
  <r>
    <x v="0"/>
    <x v="0"/>
    <x v="1"/>
    <x v="3"/>
    <x v="14"/>
    <s v="SE4_HP"/>
    <x v="2"/>
    <s v="GHOB_WASTEHEAT"/>
    <x v="0"/>
    <x v="4"/>
    <n v="34.569597069596902"/>
    <n v="12617.902930402901"/>
    <n v="45424.450549450397"/>
  </r>
  <r>
    <x v="0"/>
    <x v="0"/>
    <x v="1"/>
    <x v="3"/>
    <x v="14"/>
    <s v="SE4_HP"/>
    <x v="2"/>
    <s v="GHOB_WASTEHEAT"/>
    <x v="0"/>
    <x v="5"/>
    <n v="34.569597069596902"/>
    <n v="12617.902930402901"/>
    <n v="45424.450549450397"/>
  </r>
  <r>
    <x v="0"/>
    <x v="0"/>
    <x v="1"/>
    <x v="3"/>
    <x v="14"/>
    <s v="SE4_HP"/>
    <x v="2"/>
    <s v="GHOB_WASTEHEAT"/>
    <x v="0"/>
    <x v="6"/>
    <n v="34.569597069596902"/>
    <n v="12617.902930402901"/>
    <n v="45424.450549450397"/>
  </r>
  <r>
    <x v="0"/>
    <x v="0"/>
    <x v="1"/>
    <x v="3"/>
    <x v="14"/>
    <s v="SE4_HP"/>
    <x v="2"/>
    <s v="GHOB_WASTEHEAT"/>
    <x v="0"/>
    <x v="7"/>
    <n v="34.569597069596902"/>
    <n v="12617.902930402901"/>
    <n v="45424.450549450397"/>
  </r>
  <r>
    <x v="0"/>
    <x v="0"/>
    <x v="1"/>
    <x v="3"/>
    <x v="14"/>
    <s v="SE4_HP"/>
    <x v="2"/>
    <s v="GHOB_WASTEHEAT"/>
    <x v="0"/>
    <x v="8"/>
    <n v="34.569597069596902"/>
    <n v="12617.902930402901"/>
    <n v="45424.450549450397"/>
  </r>
  <r>
    <x v="0"/>
    <x v="0"/>
    <x v="1"/>
    <x v="3"/>
    <x v="14"/>
    <s v="SE4_HP"/>
    <x v="2"/>
    <s v="GHOB_WASTEHEAT"/>
    <x v="0"/>
    <x v="9"/>
    <n v="34.569597069596902"/>
    <n v="12617.902930402901"/>
    <n v="45424.450549450397"/>
  </r>
  <r>
    <x v="0"/>
    <x v="0"/>
    <x v="1"/>
    <x v="3"/>
    <x v="14"/>
    <s v="SE4_HP"/>
    <x v="2"/>
    <s v="GHOB_WASTEHEAT"/>
    <x v="0"/>
    <x v="10"/>
    <n v="34.569597069596902"/>
    <n v="12617.902930402901"/>
    <n v="45424.450549450397"/>
  </r>
  <r>
    <x v="0"/>
    <x v="0"/>
    <x v="1"/>
    <x v="3"/>
    <x v="14"/>
    <s v="SE4_HP"/>
    <x v="2"/>
    <s v="GHOB_WASTEHEAT"/>
    <x v="0"/>
    <x v="11"/>
    <n v="34.569597069596902"/>
    <n v="12617.902930402901"/>
    <n v="45424.450549450397"/>
  </r>
  <r>
    <x v="0"/>
    <x v="0"/>
    <x v="1"/>
    <x v="3"/>
    <x v="14"/>
    <s v="SE4_HP"/>
    <x v="2"/>
    <s v="GHOB_WASTEHEAT"/>
    <x v="0"/>
    <x v="12"/>
    <n v="34.569597069596902"/>
    <n v="12617.902930402901"/>
    <n v="45424.450549450397"/>
  </r>
  <r>
    <x v="0"/>
    <x v="0"/>
    <x v="1"/>
    <x v="3"/>
    <x v="14"/>
    <s v="SE4_HP"/>
    <x v="2"/>
    <s v="GHOB_WASTEHEAT"/>
    <x v="0"/>
    <x v="13"/>
    <n v="34.569597069596902"/>
    <n v="12617.902930402901"/>
    <n v="45424.450549450397"/>
  </r>
  <r>
    <x v="0"/>
    <x v="0"/>
    <x v="1"/>
    <x v="3"/>
    <x v="14"/>
    <s v="SE4_HP"/>
    <x v="2"/>
    <s v="GHOB_WASTEHEAT"/>
    <x v="0"/>
    <x v="14"/>
    <n v="34.569597069596902"/>
    <n v="12617.902930402901"/>
    <n v="45424.450549450397"/>
  </r>
  <r>
    <x v="0"/>
    <x v="0"/>
    <x v="1"/>
    <x v="3"/>
    <x v="14"/>
    <s v="SE4_HP"/>
    <x v="2"/>
    <s v="GHOB_WASTEHEAT"/>
    <x v="0"/>
    <x v="15"/>
    <n v="34.569597069596902"/>
    <n v="12617.902930402901"/>
    <n v="45424.450549450397"/>
  </r>
  <r>
    <x v="0"/>
    <x v="0"/>
    <x v="1"/>
    <x v="3"/>
    <x v="14"/>
    <s v="SE4_HP"/>
    <x v="2"/>
    <s v="GHOB_WASTEHEAT"/>
    <x v="0"/>
    <x v="16"/>
    <n v="34.569597069596902"/>
    <n v="12617.902930402901"/>
    <n v="45424.450549450397"/>
  </r>
  <r>
    <x v="0"/>
    <x v="0"/>
    <x v="1"/>
    <x v="3"/>
    <x v="14"/>
    <s v="SE4_HP"/>
    <x v="2"/>
    <s v="GHOB_WASTEHEAT"/>
    <x v="0"/>
    <x v="17"/>
    <n v="34.569597069596902"/>
    <n v="12617.902930402901"/>
    <n v="45424.450549450397"/>
  </r>
  <r>
    <x v="0"/>
    <x v="0"/>
    <x v="1"/>
    <x v="3"/>
    <x v="14"/>
    <s v="SE4_HP"/>
    <x v="2"/>
    <s v="GHOB_WASTEHEAT"/>
    <x v="0"/>
    <x v="18"/>
    <n v="34.569597069596902"/>
    <n v="12617.902930402901"/>
    <n v="45424.450549450397"/>
  </r>
  <r>
    <x v="0"/>
    <x v="0"/>
    <x v="1"/>
    <x v="3"/>
    <x v="14"/>
    <s v="SE4_HP"/>
    <x v="2"/>
    <s v="GHOB_WASTEHEAT"/>
    <x v="0"/>
    <x v="19"/>
    <n v="34.569597069596902"/>
    <n v="12617.902930402901"/>
    <n v="45424.450549450397"/>
  </r>
  <r>
    <x v="0"/>
    <x v="0"/>
    <x v="1"/>
    <x v="3"/>
    <x v="14"/>
    <s v="SE4_HP"/>
    <x v="2"/>
    <s v="GHOB_WASTEHEAT"/>
    <x v="0"/>
    <x v="20"/>
    <n v="34.569597069596902"/>
    <n v="12617.902930402901"/>
    <n v="45424.450549450397"/>
  </r>
  <r>
    <x v="0"/>
    <x v="0"/>
    <x v="1"/>
    <x v="3"/>
    <x v="14"/>
    <s v="SE4_HP"/>
    <x v="2"/>
    <s v="GHOB_WASTEHEAT"/>
    <x v="0"/>
    <x v="21"/>
    <n v="34.569597069596902"/>
    <n v="12617.902930402901"/>
    <n v="45424.450549450397"/>
  </r>
  <r>
    <x v="0"/>
    <x v="0"/>
    <x v="1"/>
    <x v="3"/>
    <x v="14"/>
    <s v="SE4_HP"/>
    <x v="2"/>
    <s v="GHOB_WASTEHEAT"/>
    <x v="0"/>
    <x v="22"/>
    <n v="34.569597069596902"/>
    <n v="12617.902930402901"/>
    <n v="45424.450549450397"/>
  </r>
  <r>
    <x v="0"/>
    <x v="0"/>
    <x v="1"/>
    <x v="3"/>
    <x v="14"/>
    <s v="SE4_HP"/>
    <x v="2"/>
    <s v="GHOB_WASTEHEAT"/>
    <x v="0"/>
    <x v="23"/>
    <n v="34.569597069596902"/>
    <n v="12617.902930402901"/>
    <n v="45424.450549450397"/>
  </r>
  <r>
    <x v="0"/>
    <x v="0"/>
    <x v="1"/>
    <x v="3"/>
    <x v="14"/>
    <s v="SE4_HP"/>
    <x v="9"/>
    <s v="GHOB_WOODWASTE"/>
    <x v="0"/>
    <x v="5"/>
    <n v="6.7395682671726496"/>
    <n v="2459.9424175180202"/>
    <n v="8855.7927030648607"/>
  </r>
  <r>
    <x v="0"/>
    <x v="0"/>
    <x v="1"/>
    <x v="3"/>
    <x v="14"/>
    <s v="SE4_HP"/>
    <x v="9"/>
    <s v="GHOB_WOODWASTE"/>
    <x v="0"/>
    <x v="6"/>
    <n v="15.465406407747"/>
    <n v="5644.8733388276496"/>
    <n v="20321.5440197795"/>
  </r>
  <r>
    <x v="0"/>
    <x v="0"/>
    <x v="1"/>
    <x v="3"/>
    <x v="14"/>
    <s v="SE4_HP"/>
    <x v="9"/>
    <s v="GHOB_WOODWASTE"/>
    <x v="0"/>
    <x v="7"/>
    <n v="15.465406407747"/>
    <n v="5644.8733388276496"/>
    <n v="20321.5440197795"/>
  </r>
  <r>
    <x v="0"/>
    <x v="0"/>
    <x v="1"/>
    <x v="3"/>
    <x v="14"/>
    <s v="SE4_HP"/>
    <x v="9"/>
    <s v="GHOB_WOODWASTE"/>
    <x v="0"/>
    <x v="8"/>
    <n v="15.465406407747"/>
    <n v="5644.8733388276496"/>
    <n v="20321.5440197795"/>
  </r>
  <r>
    <x v="0"/>
    <x v="0"/>
    <x v="1"/>
    <x v="3"/>
    <x v="14"/>
    <s v="SE4_HP"/>
    <x v="9"/>
    <s v="GHOB_WOODWASTE"/>
    <x v="0"/>
    <x v="9"/>
    <n v="12.435884944427601"/>
    <n v="4539.0980047160601"/>
    <n v="16340.7528169778"/>
  </r>
  <r>
    <x v="0"/>
    <x v="0"/>
    <x v="1"/>
    <x v="3"/>
    <x v="14"/>
    <s v="SE4_HP"/>
    <x v="9"/>
    <s v="GHOB_WOODWASTE"/>
    <x v="0"/>
    <x v="10"/>
    <n v="4.3382637421283601"/>
    <n v="1583.46626587685"/>
    <n v="5700.4785571566699"/>
  </r>
  <r>
    <x v="0"/>
    <x v="0"/>
    <x v="1"/>
    <x v="3"/>
    <x v="14"/>
    <s v="SE4_HP"/>
    <x v="9"/>
    <s v="GHOB_WOODWASTE"/>
    <x v="0"/>
    <x v="15"/>
    <n v="2.1402634268462299"/>
    <n v="781.19615079887399"/>
    <n v="2812.3061428759502"/>
  </r>
  <r>
    <x v="0"/>
    <x v="0"/>
    <x v="1"/>
    <x v="3"/>
    <x v="14"/>
    <s v="SE4_HP"/>
    <x v="9"/>
    <s v="GHOB_WOODWASTE"/>
    <x v="0"/>
    <x v="16"/>
    <n v="6.4545904251082202"/>
    <n v="2355.9255051645"/>
    <n v="8481.3318185921999"/>
  </r>
  <r>
    <x v="0"/>
    <x v="0"/>
    <x v="1"/>
    <x v="3"/>
    <x v="14"/>
    <s v="SE4_HP"/>
    <x v="9"/>
    <s v="GHOB_WOODWASTE"/>
    <x v="0"/>
    <x v="17"/>
    <n v="8.6911909507484708"/>
    <n v="3172.2846970231899"/>
    <n v="11420.224909283501"/>
  </r>
  <r>
    <x v="0"/>
    <x v="0"/>
    <x v="1"/>
    <x v="3"/>
    <x v="14"/>
    <s v="SE4_HP"/>
    <x v="9"/>
    <s v="GHOB_WOODWASTE"/>
    <x v="0"/>
    <x v="18"/>
    <n v="12.5424700898688"/>
    <n v="4578.0015828021296"/>
    <n v="16480.805698087701"/>
  </r>
  <r>
    <x v="0"/>
    <x v="0"/>
    <x v="1"/>
    <x v="3"/>
    <x v="14"/>
    <s v="SE4_HP"/>
    <x v="9"/>
    <s v="GHOB_WOODWASTE"/>
    <x v="0"/>
    <x v="19"/>
    <n v="15.3753717071076"/>
    <n v="5612.0106730942898"/>
    <n v="20203.238423139399"/>
  </r>
  <r>
    <x v="0"/>
    <x v="0"/>
    <x v="1"/>
    <x v="3"/>
    <x v="14"/>
    <s v="SE4_HP"/>
    <x v="9"/>
    <s v="GHOB_WOODWASTE"/>
    <x v="0"/>
    <x v="20"/>
    <n v="15.465406407747"/>
    <n v="5644.8733388276496"/>
    <n v="20321.5440197795"/>
  </r>
  <r>
    <x v="0"/>
    <x v="0"/>
    <x v="1"/>
    <x v="3"/>
    <x v="14"/>
    <s v="SE4_HP"/>
    <x v="9"/>
    <s v="GHOB_WOODWASTE"/>
    <x v="0"/>
    <x v="21"/>
    <n v="13.0372429243717"/>
    <n v="4758.5936673956803"/>
    <n v="17130.937202624398"/>
  </r>
  <r>
    <x v="0"/>
    <x v="0"/>
    <x v="1"/>
    <x v="3"/>
    <x v="14"/>
    <s v="SE4_HP"/>
    <x v="9"/>
    <s v="GHOB_WOODWASTE"/>
    <x v="0"/>
    <x v="22"/>
    <n v="7.3703162744942201"/>
    <n v="2690.1654401903902"/>
    <n v="9684.5955846854104"/>
  </r>
  <r>
    <x v="0"/>
    <x v="0"/>
    <x v="1"/>
    <x v="3"/>
    <x v="14"/>
    <s v="SE4_MAL"/>
    <x v="1"/>
    <s v="GBPR_MUNIWASTE_24"/>
    <x v="0"/>
    <x v="6"/>
    <n v="53.195316721770901"/>
    <n v="19416.290603446399"/>
    <n v="69898.646172406894"/>
  </r>
  <r>
    <x v="0"/>
    <x v="0"/>
    <x v="1"/>
    <x v="3"/>
    <x v="14"/>
    <s v="SE4_MAL"/>
    <x v="1"/>
    <s v="GBPR_MUNIWASTE_24"/>
    <x v="0"/>
    <x v="7"/>
    <n v="58.9042128064821"/>
    <n v="21500.037674366002"/>
    <n v="77400.135627717405"/>
  </r>
  <r>
    <x v="0"/>
    <x v="0"/>
    <x v="1"/>
    <x v="3"/>
    <x v="14"/>
    <s v="SE4_MAL"/>
    <x v="1"/>
    <s v="GBPR_MUNIWASTE_24"/>
    <x v="0"/>
    <x v="8"/>
    <n v="27.741013315743899"/>
    <n v="10125.4698602465"/>
    <n v="36451.691496887499"/>
  </r>
  <r>
    <x v="0"/>
    <x v="0"/>
    <x v="1"/>
    <x v="3"/>
    <x v="14"/>
    <s v="SE4_MAL"/>
    <x v="1"/>
    <s v="GBPR_MUNIWASTE_24"/>
    <x v="0"/>
    <x v="9"/>
    <n v="0.221731463405754"/>
    <n v="80.931984143100294"/>
    <n v="291.35514291516103"/>
  </r>
  <r>
    <x v="0"/>
    <x v="0"/>
    <x v="1"/>
    <x v="3"/>
    <x v="14"/>
    <s v="SE4_MAL"/>
    <x v="1"/>
    <s v="GBPR_MUNIWASTE_24"/>
    <x v="0"/>
    <x v="18"/>
    <n v="9.0547489717996896"/>
    <n v="3304.9833747068901"/>
    <n v="11897.940148944799"/>
  </r>
  <r>
    <x v="0"/>
    <x v="0"/>
    <x v="1"/>
    <x v="3"/>
    <x v="14"/>
    <s v="SE4_MAL"/>
    <x v="1"/>
    <s v="GBPR_MUNIWASTE_24"/>
    <x v="0"/>
    <x v="19"/>
    <n v="15.5489368992721"/>
    <n v="5675.3619682343196"/>
    <n v="20431.3030856435"/>
  </r>
  <r>
    <x v="0"/>
    <x v="0"/>
    <x v="1"/>
    <x v="3"/>
    <x v="14"/>
    <s v="SE4_MAL"/>
    <x v="1"/>
    <s v="GBPR_MUNIWASTE_24"/>
    <x v="0"/>
    <x v="20"/>
    <n v="15.9242993729508"/>
    <n v="5812.3692711270296"/>
    <n v="20924.5293760573"/>
  </r>
  <r>
    <x v="0"/>
    <x v="0"/>
    <x v="1"/>
    <x v="3"/>
    <x v="14"/>
    <s v="SE4_MAL"/>
    <x v="1"/>
    <s v="GBPR_MUNIWASTE_24"/>
    <x v="0"/>
    <x v="21"/>
    <n v="10.069163284004301"/>
    <n v="3675.2445986615498"/>
    <n v="13230.8805551816"/>
  </r>
  <r>
    <x v="0"/>
    <x v="0"/>
    <x v="1"/>
    <x v="3"/>
    <x v="14"/>
    <s v="SE4_MAL"/>
    <x v="1"/>
    <s v="GHOB_MUNIWASTE"/>
    <x v="0"/>
    <x v="0"/>
    <n v="51.841475851120002"/>
    <n v="18922.1386856588"/>
    <n v="68119.699268371696"/>
  </r>
  <r>
    <x v="0"/>
    <x v="0"/>
    <x v="1"/>
    <x v="3"/>
    <x v="14"/>
    <s v="SE4_MAL"/>
    <x v="1"/>
    <s v="GHOB_MUNIWASTE"/>
    <x v="0"/>
    <x v="1"/>
    <n v="51.841475851120002"/>
    <n v="18922.1386856588"/>
    <n v="68119.699268371696"/>
  </r>
  <r>
    <x v="0"/>
    <x v="0"/>
    <x v="1"/>
    <x v="3"/>
    <x v="14"/>
    <s v="SE4_MAL"/>
    <x v="1"/>
    <s v="GHOB_MUNIWASTE"/>
    <x v="0"/>
    <x v="2"/>
    <n v="51.841475851120002"/>
    <n v="18922.1386856588"/>
    <n v="68119.699268371696"/>
  </r>
  <r>
    <x v="0"/>
    <x v="0"/>
    <x v="1"/>
    <x v="3"/>
    <x v="14"/>
    <s v="SE4_MAL"/>
    <x v="1"/>
    <s v="GHOB_MUNIWASTE"/>
    <x v="0"/>
    <x v="3"/>
    <n v="51.841475851120002"/>
    <n v="18922.1386856588"/>
    <n v="68119.699268371696"/>
  </r>
  <r>
    <x v="0"/>
    <x v="0"/>
    <x v="1"/>
    <x v="3"/>
    <x v="14"/>
    <s v="SE4_MAL"/>
    <x v="1"/>
    <s v="GHOB_MUNIWASTE"/>
    <x v="0"/>
    <x v="4"/>
    <n v="51.841475851120002"/>
    <n v="18922.1386856588"/>
    <n v="68119.699268371696"/>
  </r>
  <r>
    <x v="0"/>
    <x v="0"/>
    <x v="1"/>
    <x v="3"/>
    <x v="14"/>
    <s v="SE4_MAL"/>
    <x v="1"/>
    <s v="GHOB_MUNIWASTE"/>
    <x v="0"/>
    <x v="5"/>
    <n v="51.841475851120002"/>
    <n v="18922.1386856588"/>
    <n v="68119.699268371696"/>
  </r>
  <r>
    <x v="0"/>
    <x v="0"/>
    <x v="1"/>
    <x v="3"/>
    <x v="14"/>
    <s v="SE4_MAL"/>
    <x v="1"/>
    <s v="GHOB_MUNIWASTE"/>
    <x v="0"/>
    <x v="6"/>
    <n v="51.841475851120002"/>
    <n v="18922.1386856588"/>
    <n v="68119.699268371696"/>
  </r>
  <r>
    <x v="0"/>
    <x v="0"/>
    <x v="1"/>
    <x v="3"/>
    <x v="14"/>
    <s v="SE4_MAL"/>
    <x v="1"/>
    <s v="GHOB_MUNIWASTE"/>
    <x v="0"/>
    <x v="7"/>
    <n v="51.841475851120002"/>
    <n v="18922.1386856588"/>
    <n v="68119.699268371696"/>
  </r>
  <r>
    <x v="0"/>
    <x v="0"/>
    <x v="1"/>
    <x v="3"/>
    <x v="14"/>
    <s v="SE4_MAL"/>
    <x v="1"/>
    <s v="GHOB_MUNIWASTE"/>
    <x v="0"/>
    <x v="8"/>
    <n v="51.841475851120002"/>
    <n v="18922.1386856588"/>
    <n v="68119.699268371696"/>
  </r>
  <r>
    <x v="0"/>
    <x v="0"/>
    <x v="1"/>
    <x v="3"/>
    <x v="14"/>
    <s v="SE4_MAL"/>
    <x v="1"/>
    <s v="GHOB_MUNIWASTE"/>
    <x v="0"/>
    <x v="9"/>
    <n v="51.841475851120002"/>
    <n v="18922.1386856588"/>
    <n v="68119.699268371696"/>
  </r>
  <r>
    <x v="0"/>
    <x v="0"/>
    <x v="1"/>
    <x v="3"/>
    <x v="14"/>
    <s v="SE4_MAL"/>
    <x v="1"/>
    <s v="GHOB_MUNIWASTE"/>
    <x v="0"/>
    <x v="10"/>
    <n v="51.841475851120002"/>
    <n v="18922.1386856588"/>
    <n v="68119.699268371696"/>
  </r>
  <r>
    <x v="0"/>
    <x v="0"/>
    <x v="1"/>
    <x v="3"/>
    <x v="14"/>
    <s v="SE4_MAL"/>
    <x v="1"/>
    <s v="GHOB_MUNIWASTE"/>
    <x v="0"/>
    <x v="11"/>
    <n v="51.841475851120002"/>
    <n v="18922.1386856588"/>
    <n v="68119.699268371696"/>
  </r>
  <r>
    <x v="0"/>
    <x v="0"/>
    <x v="1"/>
    <x v="3"/>
    <x v="14"/>
    <s v="SE4_MAL"/>
    <x v="1"/>
    <s v="GHOB_MUNIWASTE"/>
    <x v="0"/>
    <x v="12"/>
    <n v="51.841475851120002"/>
    <n v="18922.1386856588"/>
    <n v="68119.699268371696"/>
  </r>
  <r>
    <x v="0"/>
    <x v="0"/>
    <x v="1"/>
    <x v="3"/>
    <x v="14"/>
    <s v="SE4_MAL"/>
    <x v="1"/>
    <s v="GHOB_MUNIWASTE"/>
    <x v="0"/>
    <x v="13"/>
    <n v="51.841475851120002"/>
    <n v="18922.1386856588"/>
    <n v="68119.699268371696"/>
  </r>
  <r>
    <x v="0"/>
    <x v="0"/>
    <x v="1"/>
    <x v="3"/>
    <x v="14"/>
    <s v="SE4_MAL"/>
    <x v="1"/>
    <s v="GHOB_MUNIWASTE"/>
    <x v="0"/>
    <x v="14"/>
    <n v="51.841475851120002"/>
    <n v="18922.1386856588"/>
    <n v="68119.699268371696"/>
  </r>
  <r>
    <x v="0"/>
    <x v="0"/>
    <x v="1"/>
    <x v="3"/>
    <x v="14"/>
    <s v="SE4_MAL"/>
    <x v="1"/>
    <s v="GHOB_MUNIWASTE"/>
    <x v="0"/>
    <x v="15"/>
    <n v="51.841475851120002"/>
    <n v="18922.1386856588"/>
    <n v="68119.699268371696"/>
  </r>
  <r>
    <x v="0"/>
    <x v="0"/>
    <x v="1"/>
    <x v="3"/>
    <x v="14"/>
    <s v="SE4_MAL"/>
    <x v="1"/>
    <s v="GHOB_MUNIWASTE"/>
    <x v="0"/>
    <x v="16"/>
    <n v="51.841475851120002"/>
    <n v="18922.1386856588"/>
    <n v="68119.699268371696"/>
  </r>
  <r>
    <x v="0"/>
    <x v="0"/>
    <x v="1"/>
    <x v="3"/>
    <x v="14"/>
    <s v="SE4_MAL"/>
    <x v="1"/>
    <s v="GHOB_MUNIWASTE"/>
    <x v="0"/>
    <x v="17"/>
    <n v="51.841475851120002"/>
    <n v="18922.1386856588"/>
    <n v="68119.699268371696"/>
  </r>
  <r>
    <x v="0"/>
    <x v="0"/>
    <x v="1"/>
    <x v="3"/>
    <x v="14"/>
    <s v="SE4_MAL"/>
    <x v="1"/>
    <s v="GHOB_MUNIWASTE"/>
    <x v="0"/>
    <x v="18"/>
    <n v="51.841475851120002"/>
    <n v="18922.1386856588"/>
    <n v="68119.699268371696"/>
  </r>
  <r>
    <x v="0"/>
    <x v="0"/>
    <x v="1"/>
    <x v="3"/>
    <x v="14"/>
    <s v="SE4_MAL"/>
    <x v="1"/>
    <s v="GHOB_MUNIWASTE"/>
    <x v="0"/>
    <x v="19"/>
    <n v="51.841475851120002"/>
    <n v="18922.1386856588"/>
    <n v="68119.699268371696"/>
  </r>
  <r>
    <x v="0"/>
    <x v="0"/>
    <x v="1"/>
    <x v="3"/>
    <x v="14"/>
    <s v="SE4_MAL"/>
    <x v="1"/>
    <s v="GHOB_MUNIWASTE"/>
    <x v="0"/>
    <x v="20"/>
    <n v="51.841475851120002"/>
    <n v="18922.1386856588"/>
    <n v="68119.699268371696"/>
  </r>
  <r>
    <x v="0"/>
    <x v="0"/>
    <x v="1"/>
    <x v="3"/>
    <x v="14"/>
    <s v="SE4_MAL"/>
    <x v="1"/>
    <s v="GHOB_MUNIWASTE"/>
    <x v="0"/>
    <x v="21"/>
    <n v="51.841475851120002"/>
    <n v="18922.1386856588"/>
    <n v="68119.699268371696"/>
  </r>
  <r>
    <x v="0"/>
    <x v="0"/>
    <x v="1"/>
    <x v="3"/>
    <x v="14"/>
    <s v="SE4_MAL"/>
    <x v="1"/>
    <s v="GHOB_MUNIWASTE"/>
    <x v="0"/>
    <x v="22"/>
    <n v="51.841475851120002"/>
    <n v="18922.1386856588"/>
    <n v="68119.699268371696"/>
  </r>
  <r>
    <x v="0"/>
    <x v="0"/>
    <x v="1"/>
    <x v="3"/>
    <x v="14"/>
    <s v="SE4_MAL"/>
    <x v="1"/>
    <s v="GHOB_MUNIWASTE"/>
    <x v="0"/>
    <x v="23"/>
    <n v="51.841475851120002"/>
    <n v="18922.1386856588"/>
    <n v="68119.699268371696"/>
  </r>
  <r>
    <x v="0"/>
    <x v="0"/>
    <x v="1"/>
    <x v="3"/>
    <x v="14"/>
    <s v="SE4_MAL"/>
    <x v="2"/>
    <s v="GHOB_WASTEHEAT"/>
    <x v="0"/>
    <x v="0"/>
    <n v="12.362637362637299"/>
    <n v="4512.3626373626203"/>
    <n v="16244.5054945054"/>
  </r>
  <r>
    <x v="0"/>
    <x v="0"/>
    <x v="1"/>
    <x v="3"/>
    <x v="14"/>
    <s v="SE4_MAL"/>
    <x v="2"/>
    <s v="GHOB_WASTEHEAT"/>
    <x v="0"/>
    <x v="1"/>
    <n v="12.362637362637299"/>
    <n v="4512.3626373626203"/>
    <n v="16244.5054945054"/>
  </r>
  <r>
    <x v="0"/>
    <x v="0"/>
    <x v="1"/>
    <x v="3"/>
    <x v="14"/>
    <s v="SE4_MAL"/>
    <x v="2"/>
    <s v="GHOB_WASTEHEAT"/>
    <x v="0"/>
    <x v="2"/>
    <n v="12.362637362637299"/>
    <n v="4512.3626373626203"/>
    <n v="16244.5054945054"/>
  </r>
  <r>
    <x v="0"/>
    <x v="0"/>
    <x v="1"/>
    <x v="3"/>
    <x v="14"/>
    <s v="SE4_MAL"/>
    <x v="2"/>
    <s v="GHOB_WASTEHEAT"/>
    <x v="0"/>
    <x v="3"/>
    <n v="12.362637362637299"/>
    <n v="4512.3626373626203"/>
    <n v="16244.5054945054"/>
  </r>
  <r>
    <x v="0"/>
    <x v="0"/>
    <x v="1"/>
    <x v="3"/>
    <x v="14"/>
    <s v="SE4_MAL"/>
    <x v="2"/>
    <s v="GHOB_WASTEHEAT"/>
    <x v="0"/>
    <x v="4"/>
    <n v="12.362637362637299"/>
    <n v="4512.3626373626203"/>
    <n v="16244.5054945054"/>
  </r>
  <r>
    <x v="0"/>
    <x v="0"/>
    <x v="1"/>
    <x v="3"/>
    <x v="14"/>
    <s v="SE4_MAL"/>
    <x v="2"/>
    <s v="GHOB_WASTEHEAT"/>
    <x v="0"/>
    <x v="5"/>
    <n v="12.362637362637299"/>
    <n v="4512.3626373626203"/>
    <n v="16244.5054945054"/>
  </r>
  <r>
    <x v="0"/>
    <x v="0"/>
    <x v="1"/>
    <x v="3"/>
    <x v="14"/>
    <s v="SE4_MAL"/>
    <x v="2"/>
    <s v="GHOB_WASTEHEAT"/>
    <x v="0"/>
    <x v="6"/>
    <n v="12.362637362637299"/>
    <n v="4512.3626373626203"/>
    <n v="16244.5054945054"/>
  </r>
  <r>
    <x v="0"/>
    <x v="0"/>
    <x v="1"/>
    <x v="3"/>
    <x v="14"/>
    <s v="SE4_MAL"/>
    <x v="2"/>
    <s v="GHOB_WASTEHEAT"/>
    <x v="0"/>
    <x v="7"/>
    <n v="12.362637362637299"/>
    <n v="4512.3626373626203"/>
    <n v="16244.5054945054"/>
  </r>
  <r>
    <x v="0"/>
    <x v="0"/>
    <x v="1"/>
    <x v="3"/>
    <x v="14"/>
    <s v="SE4_MAL"/>
    <x v="2"/>
    <s v="GHOB_WASTEHEAT"/>
    <x v="0"/>
    <x v="8"/>
    <n v="12.362637362637299"/>
    <n v="4512.3626373626203"/>
    <n v="16244.5054945054"/>
  </r>
  <r>
    <x v="0"/>
    <x v="0"/>
    <x v="1"/>
    <x v="3"/>
    <x v="14"/>
    <s v="SE4_MAL"/>
    <x v="2"/>
    <s v="GHOB_WASTEHEAT"/>
    <x v="0"/>
    <x v="9"/>
    <n v="12.362637362637299"/>
    <n v="4512.3626373626203"/>
    <n v="16244.5054945054"/>
  </r>
  <r>
    <x v="0"/>
    <x v="0"/>
    <x v="1"/>
    <x v="3"/>
    <x v="14"/>
    <s v="SE4_MAL"/>
    <x v="2"/>
    <s v="GHOB_WASTEHEAT"/>
    <x v="0"/>
    <x v="10"/>
    <n v="12.362637362637299"/>
    <n v="4512.3626373626203"/>
    <n v="16244.5054945054"/>
  </r>
  <r>
    <x v="0"/>
    <x v="0"/>
    <x v="1"/>
    <x v="3"/>
    <x v="14"/>
    <s v="SE4_MAL"/>
    <x v="2"/>
    <s v="GHOB_WASTEHEAT"/>
    <x v="0"/>
    <x v="11"/>
    <n v="12.362637362637299"/>
    <n v="4512.3626373626203"/>
    <n v="16244.5054945054"/>
  </r>
  <r>
    <x v="0"/>
    <x v="0"/>
    <x v="1"/>
    <x v="3"/>
    <x v="14"/>
    <s v="SE4_MAL"/>
    <x v="2"/>
    <s v="GHOB_WASTEHEAT"/>
    <x v="0"/>
    <x v="12"/>
    <n v="12.362637362637299"/>
    <n v="4512.3626373626203"/>
    <n v="16244.5054945054"/>
  </r>
  <r>
    <x v="0"/>
    <x v="0"/>
    <x v="1"/>
    <x v="3"/>
    <x v="14"/>
    <s v="SE4_MAL"/>
    <x v="2"/>
    <s v="GHOB_WASTEHEAT"/>
    <x v="0"/>
    <x v="13"/>
    <n v="12.362637362637299"/>
    <n v="4512.3626373626203"/>
    <n v="16244.5054945054"/>
  </r>
  <r>
    <x v="0"/>
    <x v="0"/>
    <x v="1"/>
    <x v="3"/>
    <x v="14"/>
    <s v="SE4_MAL"/>
    <x v="2"/>
    <s v="GHOB_WASTEHEAT"/>
    <x v="0"/>
    <x v="14"/>
    <n v="12.362637362637299"/>
    <n v="4512.3626373626203"/>
    <n v="16244.5054945054"/>
  </r>
  <r>
    <x v="0"/>
    <x v="0"/>
    <x v="1"/>
    <x v="3"/>
    <x v="14"/>
    <s v="SE4_MAL"/>
    <x v="2"/>
    <s v="GHOB_WASTEHEAT"/>
    <x v="0"/>
    <x v="15"/>
    <n v="12.362637362637299"/>
    <n v="4512.3626373626203"/>
    <n v="16244.5054945054"/>
  </r>
  <r>
    <x v="0"/>
    <x v="0"/>
    <x v="1"/>
    <x v="3"/>
    <x v="14"/>
    <s v="SE4_MAL"/>
    <x v="2"/>
    <s v="GHOB_WASTEHEAT"/>
    <x v="0"/>
    <x v="16"/>
    <n v="12.362637362637299"/>
    <n v="4512.3626373626203"/>
    <n v="16244.5054945054"/>
  </r>
  <r>
    <x v="0"/>
    <x v="0"/>
    <x v="1"/>
    <x v="3"/>
    <x v="14"/>
    <s v="SE4_MAL"/>
    <x v="2"/>
    <s v="GHOB_WASTEHEAT"/>
    <x v="0"/>
    <x v="17"/>
    <n v="12.362637362637299"/>
    <n v="4512.3626373626203"/>
    <n v="16244.5054945054"/>
  </r>
  <r>
    <x v="0"/>
    <x v="0"/>
    <x v="1"/>
    <x v="3"/>
    <x v="14"/>
    <s v="SE4_MAL"/>
    <x v="2"/>
    <s v="GHOB_WASTEHEAT"/>
    <x v="0"/>
    <x v="18"/>
    <n v="12.362637362637299"/>
    <n v="4512.3626373626203"/>
    <n v="16244.5054945054"/>
  </r>
  <r>
    <x v="0"/>
    <x v="0"/>
    <x v="1"/>
    <x v="3"/>
    <x v="14"/>
    <s v="SE4_MAL"/>
    <x v="2"/>
    <s v="GHOB_WASTEHEAT"/>
    <x v="0"/>
    <x v="19"/>
    <n v="12.362637362637299"/>
    <n v="4512.3626373626203"/>
    <n v="16244.5054945054"/>
  </r>
  <r>
    <x v="0"/>
    <x v="0"/>
    <x v="1"/>
    <x v="3"/>
    <x v="14"/>
    <s v="SE4_MAL"/>
    <x v="2"/>
    <s v="GHOB_WASTEHEAT"/>
    <x v="0"/>
    <x v="20"/>
    <n v="12.362637362637299"/>
    <n v="4512.3626373626203"/>
    <n v="16244.5054945054"/>
  </r>
  <r>
    <x v="0"/>
    <x v="0"/>
    <x v="1"/>
    <x v="3"/>
    <x v="14"/>
    <s v="SE4_MAL"/>
    <x v="2"/>
    <s v="GHOB_WASTEHEAT"/>
    <x v="0"/>
    <x v="21"/>
    <n v="12.362637362637299"/>
    <n v="4512.3626373626203"/>
    <n v="16244.5054945054"/>
  </r>
  <r>
    <x v="0"/>
    <x v="0"/>
    <x v="1"/>
    <x v="3"/>
    <x v="14"/>
    <s v="SE4_MAL"/>
    <x v="2"/>
    <s v="GHOB_WASTEHEAT"/>
    <x v="0"/>
    <x v="22"/>
    <n v="12.362637362637299"/>
    <n v="4512.3626373626203"/>
    <n v="16244.5054945054"/>
  </r>
  <r>
    <x v="0"/>
    <x v="0"/>
    <x v="1"/>
    <x v="3"/>
    <x v="14"/>
    <s v="SE4_MAL"/>
    <x v="2"/>
    <s v="GHOB_WASTEHEAT"/>
    <x v="0"/>
    <x v="23"/>
    <n v="12.362637362637299"/>
    <n v="4512.3626373626203"/>
    <n v="16244.5054945054"/>
  </r>
  <r>
    <x v="0"/>
    <x v="0"/>
    <x v="1"/>
    <x v="3"/>
    <x v="14"/>
    <s v="SE4_OTHER"/>
    <x v="1"/>
    <s v="GHOB_MUNIWASTE"/>
    <x v="0"/>
    <x v="0"/>
    <n v="14.00151860279"/>
    <n v="5110.55429001835"/>
    <n v="18397.995444066099"/>
  </r>
  <r>
    <x v="0"/>
    <x v="0"/>
    <x v="1"/>
    <x v="3"/>
    <x v="14"/>
    <s v="SE4_OTHER"/>
    <x v="1"/>
    <s v="GHOB_MUNIWASTE"/>
    <x v="0"/>
    <x v="1"/>
    <n v="14.00151860279"/>
    <n v="5110.55429001835"/>
    <n v="18397.995444066099"/>
  </r>
  <r>
    <x v="0"/>
    <x v="0"/>
    <x v="1"/>
    <x v="3"/>
    <x v="14"/>
    <s v="SE4_OTHER"/>
    <x v="1"/>
    <s v="GHOB_MUNIWASTE"/>
    <x v="0"/>
    <x v="2"/>
    <n v="14.00151860279"/>
    <n v="5110.55429001835"/>
    <n v="18397.995444066099"/>
  </r>
  <r>
    <x v="0"/>
    <x v="0"/>
    <x v="1"/>
    <x v="3"/>
    <x v="14"/>
    <s v="SE4_OTHER"/>
    <x v="1"/>
    <s v="GHOB_MUNIWASTE"/>
    <x v="0"/>
    <x v="3"/>
    <n v="14.00151860279"/>
    <n v="5110.55429001835"/>
    <n v="18397.995444066099"/>
  </r>
  <r>
    <x v="0"/>
    <x v="0"/>
    <x v="1"/>
    <x v="3"/>
    <x v="14"/>
    <s v="SE4_OTHER"/>
    <x v="1"/>
    <s v="GHOB_MUNIWASTE"/>
    <x v="0"/>
    <x v="4"/>
    <n v="14.00151860279"/>
    <n v="5110.55429001835"/>
    <n v="18397.995444066099"/>
  </r>
  <r>
    <x v="0"/>
    <x v="0"/>
    <x v="1"/>
    <x v="3"/>
    <x v="14"/>
    <s v="SE4_OTHER"/>
    <x v="1"/>
    <s v="GHOB_MUNIWASTE"/>
    <x v="0"/>
    <x v="5"/>
    <n v="14.00151860279"/>
    <n v="5110.55429001835"/>
    <n v="18397.995444066099"/>
  </r>
  <r>
    <x v="0"/>
    <x v="0"/>
    <x v="1"/>
    <x v="3"/>
    <x v="14"/>
    <s v="SE4_OTHER"/>
    <x v="1"/>
    <s v="GHOB_MUNIWASTE"/>
    <x v="0"/>
    <x v="6"/>
    <n v="14.00151860279"/>
    <n v="5110.55429001835"/>
    <n v="18397.995444066099"/>
  </r>
  <r>
    <x v="0"/>
    <x v="0"/>
    <x v="1"/>
    <x v="3"/>
    <x v="14"/>
    <s v="SE4_OTHER"/>
    <x v="1"/>
    <s v="GHOB_MUNIWASTE"/>
    <x v="0"/>
    <x v="7"/>
    <n v="14.00151860279"/>
    <n v="5110.55429001835"/>
    <n v="18397.995444066099"/>
  </r>
  <r>
    <x v="0"/>
    <x v="0"/>
    <x v="1"/>
    <x v="3"/>
    <x v="14"/>
    <s v="SE4_OTHER"/>
    <x v="1"/>
    <s v="GHOB_MUNIWASTE"/>
    <x v="0"/>
    <x v="8"/>
    <n v="14.00151860279"/>
    <n v="5110.55429001835"/>
    <n v="18397.995444066099"/>
  </r>
  <r>
    <x v="0"/>
    <x v="0"/>
    <x v="1"/>
    <x v="3"/>
    <x v="14"/>
    <s v="SE4_OTHER"/>
    <x v="1"/>
    <s v="GHOB_MUNIWASTE"/>
    <x v="0"/>
    <x v="9"/>
    <n v="14.00151860279"/>
    <n v="5110.55429001835"/>
    <n v="18397.995444066099"/>
  </r>
  <r>
    <x v="0"/>
    <x v="0"/>
    <x v="1"/>
    <x v="3"/>
    <x v="14"/>
    <s v="SE4_OTHER"/>
    <x v="1"/>
    <s v="GHOB_MUNIWASTE"/>
    <x v="0"/>
    <x v="10"/>
    <n v="14.00151860279"/>
    <n v="5110.55429001835"/>
    <n v="18397.995444066099"/>
  </r>
  <r>
    <x v="0"/>
    <x v="0"/>
    <x v="1"/>
    <x v="3"/>
    <x v="14"/>
    <s v="SE4_OTHER"/>
    <x v="1"/>
    <s v="GHOB_MUNIWASTE"/>
    <x v="0"/>
    <x v="11"/>
    <n v="14.00151860279"/>
    <n v="5110.55429001835"/>
    <n v="18397.995444066099"/>
  </r>
  <r>
    <x v="0"/>
    <x v="0"/>
    <x v="1"/>
    <x v="3"/>
    <x v="14"/>
    <s v="SE4_OTHER"/>
    <x v="1"/>
    <s v="GHOB_MUNIWASTE"/>
    <x v="0"/>
    <x v="12"/>
    <n v="14.00151860279"/>
    <n v="5110.55429001835"/>
    <n v="18397.995444066099"/>
  </r>
  <r>
    <x v="0"/>
    <x v="0"/>
    <x v="1"/>
    <x v="3"/>
    <x v="14"/>
    <s v="SE4_OTHER"/>
    <x v="1"/>
    <s v="GHOB_MUNIWASTE"/>
    <x v="0"/>
    <x v="13"/>
    <n v="14.00151860279"/>
    <n v="5110.55429001835"/>
    <n v="18397.995444066099"/>
  </r>
  <r>
    <x v="0"/>
    <x v="0"/>
    <x v="1"/>
    <x v="3"/>
    <x v="14"/>
    <s v="SE4_OTHER"/>
    <x v="1"/>
    <s v="GHOB_MUNIWASTE"/>
    <x v="0"/>
    <x v="14"/>
    <n v="14.00151860279"/>
    <n v="5110.55429001835"/>
    <n v="18397.995444066099"/>
  </r>
  <r>
    <x v="0"/>
    <x v="0"/>
    <x v="1"/>
    <x v="3"/>
    <x v="14"/>
    <s v="SE4_OTHER"/>
    <x v="1"/>
    <s v="GHOB_MUNIWASTE"/>
    <x v="0"/>
    <x v="15"/>
    <n v="14.00151860279"/>
    <n v="5110.55429001835"/>
    <n v="18397.995444066099"/>
  </r>
  <r>
    <x v="0"/>
    <x v="0"/>
    <x v="1"/>
    <x v="3"/>
    <x v="14"/>
    <s v="SE4_OTHER"/>
    <x v="1"/>
    <s v="GHOB_MUNIWASTE"/>
    <x v="0"/>
    <x v="16"/>
    <n v="14.00151860279"/>
    <n v="5110.55429001835"/>
    <n v="18397.995444066099"/>
  </r>
  <r>
    <x v="0"/>
    <x v="0"/>
    <x v="1"/>
    <x v="3"/>
    <x v="14"/>
    <s v="SE4_OTHER"/>
    <x v="1"/>
    <s v="GHOB_MUNIWASTE"/>
    <x v="0"/>
    <x v="17"/>
    <n v="14.00151860279"/>
    <n v="5110.55429001835"/>
    <n v="18397.995444066099"/>
  </r>
  <r>
    <x v="0"/>
    <x v="0"/>
    <x v="1"/>
    <x v="3"/>
    <x v="14"/>
    <s v="SE4_OTHER"/>
    <x v="1"/>
    <s v="GHOB_MUNIWASTE"/>
    <x v="0"/>
    <x v="18"/>
    <n v="14.00151860279"/>
    <n v="5110.55429001835"/>
    <n v="18397.995444066099"/>
  </r>
  <r>
    <x v="0"/>
    <x v="0"/>
    <x v="1"/>
    <x v="3"/>
    <x v="14"/>
    <s v="SE4_OTHER"/>
    <x v="1"/>
    <s v="GHOB_MUNIWASTE"/>
    <x v="0"/>
    <x v="19"/>
    <n v="14.00151860279"/>
    <n v="5110.55429001835"/>
    <n v="18397.995444066099"/>
  </r>
  <r>
    <x v="0"/>
    <x v="0"/>
    <x v="1"/>
    <x v="3"/>
    <x v="14"/>
    <s v="SE4_OTHER"/>
    <x v="1"/>
    <s v="GHOB_MUNIWASTE"/>
    <x v="0"/>
    <x v="20"/>
    <n v="14.00151860279"/>
    <n v="5110.55429001835"/>
    <n v="18397.995444066099"/>
  </r>
  <r>
    <x v="0"/>
    <x v="0"/>
    <x v="1"/>
    <x v="3"/>
    <x v="14"/>
    <s v="SE4_OTHER"/>
    <x v="1"/>
    <s v="GHOB_MUNIWASTE"/>
    <x v="0"/>
    <x v="21"/>
    <n v="14.00151860279"/>
    <n v="5110.55429001835"/>
    <n v="18397.995444066099"/>
  </r>
  <r>
    <x v="0"/>
    <x v="0"/>
    <x v="1"/>
    <x v="3"/>
    <x v="14"/>
    <s v="SE4_OTHER"/>
    <x v="1"/>
    <s v="GHOB_MUNIWASTE"/>
    <x v="0"/>
    <x v="22"/>
    <n v="14.00151860279"/>
    <n v="5110.55429001835"/>
    <n v="18397.995444066099"/>
  </r>
  <r>
    <x v="0"/>
    <x v="0"/>
    <x v="1"/>
    <x v="3"/>
    <x v="14"/>
    <s v="SE4_OTHER"/>
    <x v="1"/>
    <s v="GHOB_MUNIWASTE"/>
    <x v="0"/>
    <x v="23"/>
    <n v="14.00151860279"/>
    <n v="5110.55429001835"/>
    <n v="18397.995444066099"/>
  </r>
  <r>
    <x v="0"/>
    <x v="0"/>
    <x v="1"/>
    <x v="3"/>
    <x v="14"/>
    <s v="SE4_OTHER"/>
    <x v="2"/>
    <s v="GHOB_WASTEHEAT"/>
    <x v="0"/>
    <x v="0"/>
    <n v="54.953067765567503"/>
    <n v="20057.869734432199"/>
    <n v="72208.331043955797"/>
  </r>
  <r>
    <x v="0"/>
    <x v="0"/>
    <x v="1"/>
    <x v="3"/>
    <x v="14"/>
    <s v="SE4_OTHER"/>
    <x v="2"/>
    <s v="GHOB_WASTEHEAT"/>
    <x v="0"/>
    <x v="1"/>
    <n v="54.953067765567503"/>
    <n v="20057.869734432199"/>
    <n v="72208.331043955797"/>
  </r>
  <r>
    <x v="0"/>
    <x v="0"/>
    <x v="1"/>
    <x v="3"/>
    <x v="14"/>
    <s v="SE4_OTHER"/>
    <x v="2"/>
    <s v="GHOB_WASTEHEAT"/>
    <x v="0"/>
    <x v="2"/>
    <n v="54.953067765567503"/>
    <n v="20057.869734432199"/>
    <n v="72208.331043955797"/>
  </r>
  <r>
    <x v="0"/>
    <x v="0"/>
    <x v="1"/>
    <x v="3"/>
    <x v="14"/>
    <s v="SE4_OTHER"/>
    <x v="2"/>
    <s v="GHOB_WASTEHEAT"/>
    <x v="0"/>
    <x v="3"/>
    <n v="54.953067765567503"/>
    <n v="20057.869734432199"/>
    <n v="72208.331043955797"/>
  </r>
  <r>
    <x v="0"/>
    <x v="0"/>
    <x v="1"/>
    <x v="3"/>
    <x v="14"/>
    <s v="SE4_OTHER"/>
    <x v="2"/>
    <s v="GHOB_WASTEHEAT"/>
    <x v="0"/>
    <x v="4"/>
    <n v="54.953067765567503"/>
    <n v="20057.869734432199"/>
    <n v="72208.331043955797"/>
  </r>
  <r>
    <x v="0"/>
    <x v="0"/>
    <x v="1"/>
    <x v="3"/>
    <x v="14"/>
    <s v="SE4_OTHER"/>
    <x v="2"/>
    <s v="GHOB_WASTEHEAT"/>
    <x v="0"/>
    <x v="5"/>
    <n v="54.953067765567503"/>
    <n v="20057.869734432199"/>
    <n v="72208.331043955797"/>
  </r>
  <r>
    <x v="0"/>
    <x v="0"/>
    <x v="1"/>
    <x v="3"/>
    <x v="14"/>
    <s v="SE4_OTHER"/>
    <x v="2"/>
    <s v="GHOB_WASTEHEAT"/>
    <x v="0"/>
    <x v="6"/>
    <n v="54.953067765567503"/>
    <n v="20057.869734432199"/>
    <n v="72208.331043955797"/>
  </r>
  <r>
    <x v="0"/>
    <x v="0"/>
    <x v="1"/>
    <x v="3"/>
    <x v="14"/>
    <s v="SE4_OTHER"/>
    <x v="2"/>
    <s v="GHOB_WASTEHEAT"/>
    <x v="0"/>
    <x v="7"/>
    <n v="54.953067765567503"/>
    <n v="20057.869734432199"/>
    <n v="72208.331043955797"/>
  </r>
  <r>
    <x v="0"/>
    <x v="0"/>
    <x v="1"/>
    <x v="3"/>
    <x v="14"/>
    <s v="SE4_OTHER"/>
    <x v="2"/>
    <s v="GHOB_WASTEHEAT"/>
    <x v="0"/>
    <x v="8"/>
    <n v="54.953067765567503"/>
    <n v="20057.869734432199"/>
    <n v="72208.331043955797"/>
  </r>
  <r>
    <x v="0"/>
    <x v="0"/>
    <x v="1"/>
    <x v="3"/>
    <x v="14"/>
    <s v="SE4_OTHER"/>
    <x v="2"/>
    <s v="GHOB_WASTEHEAT"/>
    <x v="0"/>
    <x v="9"/>
    <n v="54.953067765567503"/>
    <n v="20057.869734432199"/>
    <n v="72208.331043955797"/>
  </r>
  <r>
    <x v="0"/>
    <x v="0"/>
    <x v="1"/>
    <x v="3"/>
    <x v="14"/>
    <s v="SE4_OTHER"/>
    <x v="2"/>
    <s v="GHOB_WASTEHEAT"/>
    <x v="0"/>
    <x v="10"/>
    <n v="54.953067765567503"/>
    <n v="20057.869734432199"/>
    <n v="72208.331043955797"/>
  </r>
  <r>
    <x v="0"/>
    <x v="0"/>
    <x v="1"/>
    <x v="3"/>
    <x v="14"/>
    <s v="SE4_OTHER"/>
    <x v="2"/>
    <s v="GHOB_WASTEHEAT"/>
    <x v="0"/>
    <x v="11"/>
    <n v="54.953067765567503"/>
    <n v="20057.869734432199"/>
    <n v="72208.331043955797"/>
  </r>
  <r>
    <x v="0"/>
    <x v="0"/>
    <x v="1"/>
    <x v="3"/>
    <x v="14"/>
    <s v="SE4_OTHER"/>
    <x v="2"/>
    <s v="GHOB_WASTEHEAT"/>
    <x v="0"/>
    <x v="12"/>
    <n v="54.953067765567503"/>
    <n v="20057.869734432199"/>
    <n v="72208.331043955797"/>
  </r>
  <r>
    <x v="0"/>
    <x v="0"/>
    <x v="1"/>
    <x v="3"/>
    <x v="14"/>
    <s v="SE4_OTHER"/>
    <x v="2"/>
    <s v="GHOB_WASTEHEAT"/>
    <x v="0"/>
    <x v="13"/>
    <n v="54.953067765567503"/>
    <n v="20057.869734432199"/>
    <n v="72208.331043955797"/>
  </r>
  <r>
    <x v="0"/>
    <x v="0"/>
    <x v="1"/>
    <x v="3"/>
    <x v="14"/>
    <s v="SE4_OTHER"/>
    <x v="2"/>
    <s v="GHOB_WASTEHEAT"/>
    <x v="0"/>
    <x v="14"/>
    <n v="54.953067765567503"/>
    <n v="20057.869734432199"/>
    <n v="72208.331043955797"/>
  </r>
  <r>
    <x v="0"/>
    <x v="0"/>
    <x v="1"/>
    <x v="3"/>
    <x v="14"/>
    <s v="SE4_OTHER"/>
    <x v="2"/>
    <s v="GHOB_WASTEHEAT"/>
    <x v="0"/>
    <x v="15"/>
    <n v="54.953067765567503"/>
    <n v="20057.869734432199"/>
    <n v="72208.331043955797"/>
  </r>
  <r>
    <x v="0"/>
    <x v="0"/>
    <x v="1"/>
    <x v="3"/>
    <x v="14"/>
    <s v="SE4_OTHER"/>
    <x v="2"/>
    <s v="GHOB_WASTEHEAT"/>
    <x v="0"/>
    <x v="16"/>
    <n v="54.953067765567503"/>
    <n v="20057.869734432199"/>
    <n v="72208.331043955797"/>
  </r>
  <r>
    <x v="0"/>
    <x v="0"/>
    <x v="1"/>
    <x v="3"/>
    <x v="14"/>
    <s v="SE4_OTHER"/>
    <x v="2"/>
    <s v="GHOB_WASTEHEAT"/>
    <x v="0"/>
    <x v="17"/>
    <n v="54.953067765567503"/>
    <n v="20057.869734432199"/>
    <n v="72208.331043955797"/>
  </r>
  <r>
    <x v="0"/>
    <x v="0"/>
    <x v="1"/>
    <x v="3"/>
    <x v="14"/>
    <s v="SE4_OTHER"/>
    <x v="2"/>
    <s v="GHOB_WASTEHEAT"/>
    <x v="0"/>
    <x v="18"/>
    <n v="54.953067765567503"/>
    <n v="20057.869734432199"/>
    <n v="72208.331043955797"/>
  </r>
  <r>
    <x v="0"/>
    <x v="0"/>
    <x v="1"/>
    <x v="3"/>
    <x v="14"/>
    <s v="SE4_OTHER"/>
    <x v="2"/>
    <s v="GHOB_WASTEHEAT"/>
    <x v="0"/>
    <x v="19"/>
    <n v="54.953067765567503"/>
    <n v="20057.869734432199"/>
    <n v="72208.331043955797"/>
  </r>
  <r>
    <x v="0"/>
    <x v="0"/>
    <x v="1"/>
    <x v="3"/>
    <x v="14"/>
    <s v="SE4_OTHER"/>
    <x v="2"/>
    <s v="GHOB_WASTEHEAT"/>
    <x v="0"/>
    <x v="20"/>
    <n v="54.953067765567503"/>
    <n v="20057.869734432199"/>
    <n v="72208.331043955797"/>
  </r>
  <r>
    <x v="0"/>
    <x v="0"/>
    <x v="1"/>
    <x v="3"/>
    <x v="14"/>
    <s v="SE4_OTHER"/>
    <x v="2"/>
    <s v="GHOB_WASTEHEAT"/>
    <x v="0"/>
    <x v="21"/>
    <n v="54.953067765567503"/>
    <n v="20057.869734432199"/>
    <n v="72208.331043955797"/>
  </r>
  <r>
    <x v="0"/>
    <x v="0"/>
    <x v="1"/>
    <x v="3"/>
    <x v="14"/>
    <s v="SE4_OTHER"/>
    <x v="2"/>
    <s v="GHOB_WASTEHEAT"/>
    <x v="0"/>
    <x v="22"/>
    <n v="54.953067765567503"/>
    <n v="20057.869734432199"/>
    <n v="72208.331043955797"/>
  </r>
  <r>
    <x v="0"/>
    <x v="0"/>
    <x v="1"/>
    <x v="3"/>
    <x v="14"/>
    <s v="SE4_OTHER"/>
    <x v="2"/>
    <s v="GHOB_WASTEHEAT"/>
    <x v="0"/>
    <x v="23"/>
    <n v="54.953067765567503"/>
    <n v="20057.869734432199"/>
    <n v="72208.331043955797"/>
  </r>
  <r>
    <x v="0"/>
    <x v="0"/>
    <x v="1"/>
    <x v="3"/>
    <x v="14"/>
    <s v="SE4_OTHER"/>
    <x v="9"/>
    <s v="GHOB_WOODWASTE"/>
    <x v="0"/>
    <x v="3"/>
    <n v="11.026383809914901"/>
    <n v="4024.6300906189499"/>
    <n v="14488.6683262282"/>
  </r>
  <r>
    <x v="0"/>
    <x v="0"/>
    <x v="1"/>
    <x v="3"/>
    <x v="14"/>
    <s v="SE4_OTHER"/>
    <x v="9"/>
    <s v="GHOB_WOODWASTE"/>
    <x v="0"/>
    <x v="4"/>
    <n v="30.4329923572908"/>
    <n v="11108.0422104111"/>
    <n v="39988.951957480102"/>
  </r>
  <r>
    <x v="0"/>
    <x v="0"/>
    <x v="1"/>
    <x v="3"/>
    <x v="14"/>
    <s v="SE4_OTHER"/>
    <x v="9"/>
    <s v="GHOB_WOODWASTE"/>
    <x v="0"/>
    <x v="5"/>
    <n v="96.383347196599203"/>
    <n v="35179.921726758701"/>
    <n v="126647.71821633101"/>
  </r>
  <r>
    <x v="0"/>
    <x v="0"/>
    <x v="1"/>
    <x v="3"/>
    <x v="14"/>
    <s v="SE4_OTHER"/>
    <x v="9"/>
    <s v="GHOB_WOODWASTE"/>
    <x v="0"/>
    <x v="6"/>
    <n v="218.15889545707799"/>
    <n v="79627.996841833505"/>
    <n v="286660.78863060102"/>
  </r>
  <r>
    <x v="0"/>
    <x v="0"/>
    <x v="1"/>
    <x v="3"/>
    <x v="14"/>
    <s v="SE4_OTHER"/>
    <x v="9"/>
    <s v="GHOB_WOODWASTE"/>
    <x v="0"/>
    <x v="7"/>
    <n v="239.57580030905501"/>
    <n v="87445.167112805197"/>
    <n v="314802.60160609899"/>
  </r>
  <r>
    <x v="0"/>
    <x v="0"/>
    <x v="1"/>
    <x v="3"/>
    <x v="14"/>
    <s v="SE4_OTHER"/>
    <x v="9"/>
    <s v="GHOB_WOODWASTE"/>
    <x v="0"/>
    <x v="8"/>
    <n v="181.75540611690101"/>
    <n v="66340.723232668795"/>
    <n v="238826.603637608"/>
  </r>
  <r>
    <x v="0"/>
    <x v="0"/>
    <x v="1"/>
    <x v="3"/>
    <x v="14"/>
    <s v="SE4_OTHER"/>
    <x v="9"/>
    <s v="GHOB_WOODWASTE"/>
    <x v="0"/>
    <x v="9"/>
    <n v="125.81923105657199"/>
    <n v="45924.019335648904"/>
    <n v="165326.46960833599"/>
  </r>
  <r>
    <x v="0"/>
    <x v="0"/>
    <x v="1"/>
    <x v="3"/>
    <x v="14"/>
    <s v="SE4_OTHER"/>
    <x v="9"/>
    <s v="GHOB_WOODWASTE"/>
    <x v="0"/>
    <x v="10"/>
    <n v="86.721079629330305"/>
    <n v="31653.1940647056"/>
    <n v="113951.49863294"/>
  </r>
  <r>
    <x v="0"/>
    <x v="0"/>
    <x v="1"/>
    <x v="3"/>
    <x v="14"/>
    <s v="SE4_OTHER"/>
    <x v="9"/>
    <s v="GHOB_WOODWASTE"/>
    <x v="0"/>
    <x v="11"/>
    <n v="62.597013217283397"/>
    <n v="22847.909824308401"/>
    <n v="82252.4753675104"/>
  </r>
  <r>
    <x v="0"/>
    <x v="0"/>
    <x v="1"/>
    <x v="3"/>
    <x v="14"/>
    <s v="SE4_OTHER"/>
    <x v="9"/>
    <s v="GHOB_WOODWASTE"/>
    <x v="0"/>
    <x v="12"/>
    <n v="43.010172148641601"/>
    <n v="15698.7128342542"/>
    <n v="56515.366203315098"/>
  </r>
  <r>
    <x v="0"/>
    <x v="0"/>
    <x v="1"/>
    <x v="3"/>
    <x v="14"/>
    <s v="SE4_OTHER"/>
    <x v="9"/>
    <s v="GHOB_WOODWASTE"/>
    <x v="0"/>
    <x v="13"/>
    <n v="43.7674883697212"/>
    <n v="15975.133254948199"/>
    <n v="57510.4797178136"/>
  </r>
  <r>
    <x v="0"/>
    <x v="0"/>
    <x v="1"/>
    <x v="3"/>
    <x v="14"/>
    <s v="SE4_OTHER"/>
    <x v="9"/>
    <s v="GHOB_WOODWASTE"/>
    <x v="0"/>
    <x v="14"/>
    <n v="53.833397538585999"/>
    <n v="19649.190101583899"/>
    <n v="70737.084365702001"/>
  </r>
  <r>
    <x v="0"/>
    <x v="0"/>
    <x v="1"/>
    <x v="3"/>
    <x v="14"/>
    <s v="SE4_OTHER"/>
    <x v="9"/>
    <s v="GHOB_WOODWASTE"/>
    <x v="0"/>
    <x v="15"/>
    <n v="70.632234609398793"/>
    <n v="25780.765632430601"/>
    <n v="92810.756276750006"/>
  </r>
  <r>
    <x v="0"/>
    <x v="0"/>
    <x v="1"/>
    <x v="3"/>
    <x v="14"/>
    <s v="SE4_OTHER"/>
    <x v="9"/>
    <s v="GHOB_WOODWASTE"/>
    <x v="0"/>
    <x v="16"/>
    <n v="81.928060831506798"/>
    <n v="29903.742203500002"/>
    <n v="107653.4719326"/>
  </r>
  <r>
    <x v="0"/>
    <x v="0"/>
    <x v="1"/>
    <x v="3"/>
    <x v="14"/>
    <s v="SE4_OTHER"/>
    <x v="9"/>
    <s v="GHOB_WOODWASTE"/>
    <x v="0"/>
    <x v="17"/>
    <n v="81.878447897802999"/>
    <n v="29885.6334826981"/>
    <n v="107588.280537713"/>
  </r>
  <r>
    <x v="0"/>
    <x v="0"/>
    <x v="1"/>
    <x v="3"/>
    <x v="14"/>
    <s v="SE4_OTHER"/>
    <x v="9"/>
    <s v="GHOB_WOODWASTE"/>
    <x v="0"/>
    <x v="18"/>
    <n v="96.674047501514806"/>
    <n v="35286.027338052903"/>
    <n v="127029.69841699"/>
  </r>
  <r>
    <x v="0"/>
    <x v="0"/>
    <x v="1"/>
    <x v="3"/>
    <x v="14"/>
    <s v="SE4_OTHER"/>
    <x v="9"/>
    <s v="GHOB_WOODWASTE"/>
    <x v="0"/>
    <x v="19"/>
    <n v="110.016365766086"/>
    <n v="40155.973504621499"/>
    <n v="144561.50461663699"/>
  </r>
  <r>
    <x v="0"/>
    <x v="0"/>
    <x v="1"/>
    <x v="3"/>
    <x v="14"/>
    <s v="SE4_OTHER"/>
    <x v="9"/>
    <s v="GHOB_WOODWASTE"/>
    <x v="0"/>
    <x v="20"/>
    <n v="110.85503082407099"/>
    <n v="40462.086250786102"/>
    <n v="145663.51050283"/>
  </r>
  <r>
    <x v="0"/>
    <x v="0"/>
    <x v="1"/>
    <x v="3"/>
    <x v="14"/>
    <s v="SE4_OTHER"/>
    <x v="9"/>
    <s v="GHOB_WOODWASTE"/>
    <x v="0"/>
    <x v="21"/>
    <n v="97.646326451240895"/>
    <n v="35640.909154702902"/>
    <n v="128307.272956931"/>
  </r>
  <r>
    <x v="0"/>
    <x v="0"/>
    <x v="1"/>
    <x v="3"/>
    <x v="14"/>
    <s v="SE4_OTHER"/>
    <x v="9"/>
    <s v="GHOB_WOODWASTE"/>
    <x v="0"/>
    <x v="22"/>
    <n v="71.880891250982103"/>
    <n v="26236.525306608499"/>
    <n v="94451.491103790497"/>
  </r>
  <r>
    <x v="0"/>
    <x v="0"/>
    <x v="1"/>
    <x v="3"/>
    <x v="14"/>
    <s v="SE4_OTHER"/>
    <x v="9"/>
    <s v="GHOB_WOODWASTE"/>
    <x v="0"/>
    <x v="23"/>
    <n v="13.8591518388341"/>
    <n v="5058.59042117443"/>
    <n v="18210.925516227999"/>
  </r>
</pivotCacheRecords>
</file>

<file path=xl/pivotCache/pivotCacheRecords9.xml><?xml version="1.0" encoding="utf-8"?>
<pivotCacheRecords xmlns="http://schemas.openxmlformats.org/spreadsheetml/2006/main" xmlns:r="http://schemas.openxmlformats.org/officeDocument/2006/relationships" count="412">
  <r>
    <x v="0"/>
    <x v="0"/>
    <x v="0"/>
    <x v="0"/>
    <x v="0"/>
    <s v="DK1_Large"/>
    <x v="0"/>
    <s v="GNR_ST_COAL_EXT_E-43"/>
    <n v="6.8137896279069698"/>
    <n v="24.5296426604651"/>
  </r>
  <r>
    <x v="0"/>
    <x v="0"/>
    <x v="0"/>
    <x v="0"/>
    <x v="0"/>
    <s v="DK1_Large"/>
    <x v="0"/>
    <s v="GNR_ST_COAL_EXT_E-47"/>
    <n v="7.1757446808510599"/>
    <n v="25.832680851063799"/>
  </r>
  <r>
    <x v="0"/>
    <x v="0"/>
    <x v="0"/>
    <x v="0"/>
    <x v="0"/>
    <s v="DK1_Large"/>
    <x v="1"/>
    <s v="GNR_BO_MSW_E-105"/>
    <n v="0.26419047619047598"/>
    <n v="0.95108571428571398"/>
  </r>
  <r>
    <x v="0"/>
    <x v="0"/>
    <x v="0"/>
    <x v="0"/>
    <x v="0"/>
    <s v="DK1_Large"/>
    <x v="2"/>
    <s v="GNR_EH_HEAT"/>
    <n v="1.5254664"/>
    <n v="5.4916790400000002"/>
  </r>
  <r>
    <x v="0"/>
    <x v="0"/>
    <x v="0"/>
    <x v="0"/>
    <x v="0"/>
    <s v="DK1_MedSmall"/>
    <x v="1"/>
    <s v="GNR_BO_MSW_E-100"/>
    <n v="5.6939999999999998E-2"/>
    <n v="0.204984"/>
  </r>
  <r>
    <x v="0"/>
    <x v="0"/>
    <x v="0"/>
    <x v="0"/>
    <x v="0"/>
    <s v="DK1_MedSmall"/>
    <x v="1"/>
    <s v="GNR_ST_MSW_BP_E-17"/>
    <n v="0.123670588235294"/>
    <n v="0.44521411764705898"/>
  </r>
  <r>
    <x v="0"/>
    <x v="0"/>
    <x v="0"/>
    <x v="0"/>
    <x v="0"/>
    <s v="DK1_MedSmall"/>
    <x v="1"/>
    <s v="GNR_ST_MSW_BP_E-20"/>
    <n v="0.14454"/>
    <n v="0.52034400000000003"/>
  </r>
  <r>
    <x v="0"/>
    <x v="0"/>
    <x v="0"/>
    <x v="0"/>
    <x v="0"/>
    <s v="DK1_MedSmall"/>
    <x v="1"/>
    <s v="GNR_ST_MSW_BP_E-21"/>
    <n v="0.41714285714285798"/>
    <n v="1.50171428571429"/>
  </r>
  <r>
    <x v="0"/>
    <x v="0"/>
    <x v="0"/>
    <x v="0"/>
    <x v="0"/>
    <s v="DK1_MedSmall"/>
    <x v="1"/>
    <s v="GNR_ST_MSW_BP_E-22"/>
    <n v="0.179181818181818"/>
    <n v="0.64505454545454599"/>
  </r>
  <r>
    <x v="0"/>
    <x v="0"/>
    <x v="0"/>
    <x v="0"/>
    <x v="0"/>
    <s v="DK1_MedSmall"/>
    <x v="1"/>
    <s v="GNR_ST_MSW_BP_E-26"/>
    <n v="0.23584615384615401"/>
    <n v="0.84904615384615501"/>
  </r>
  <r>
    <x v="0"/>
    <x v="0"/>
    <x v="0"/>
    <x v="0"/>
    <x v="0"/>
    <s v="DK1_MedSmall"/>
    <x v="3"/>
    <s v="GNR_BO_NGAS_E-100"/>
    <n v="8.8266882418866002E-3"/>
    <n v="3.1776077670791797E-2"/>
  </r>
  <r>
    <x v="0"/>
    <x v="0"/>
    <x v="0"/>
    <x v="0"/>
    <x v="0"/>
    <s v="DK1_MedSmall"/>
    <x v="3"/>
    <s v="GNR_BO_NGAS_E-101"/>
    <n v="0.37808045369980597"/>
    <n v="1.3610896333193001"/>
  </r>
  <r>
    <x v="0"/>
    <x v="0"/>
    <x v="0"/>
    <x v="0"/>
    <x v="0"/>
    <s v="DK1_MedSmall"/>
    <x v="3"/>
    <s v="GNR_BO_NGAS_E-102"/>
    <n v="4.3799999999999999E-2"/>
    <n v="0.15767999999999999"/>
  </r>
  <r>
    <x v="0"/>
    <x v="0"/>
    <x v="0"/>
    <x v="0"/>
    <x v="0"/>
    <s v="DK1_MedSmall"/>
    <x v="3"/>
    <s v="GNR_BO_NGAS_E-104"/>
    <n v="9.6444230769230699E-2"/>
    <n v="0.34719923076923098"/>
  </r>
  <r>
    <x v="0"/>
    <x v="0"/>
    <x v="0"/>
    <x v="0"/>
    <x v="0"/>
    <s v="DK1_MedSmall"/>
    <x v="4"/>
    <s v="GNR_BO_STRW_E-102"/>
    <n v="9.2151764705882294E-2"/>
    <n v="0.33174635294117599"/>
  </r>
  <r>
    <x v="0"/>
    <x v="0"/>
    <x v="0"/>
    <x v="0"/>
    <x v="0"/>
    <s v="DK1_MedSmall"/>
    <x v="2"/>
    <s v="GNR_EH_HEAT"/>
    <n v="0.1095"/>
    <n v="0.39419999999999999"/>
  </r>
  <r>
    <x v="0"/>
    <x v="0"/>
    <x v="0"/>
    <x v="0"/>
    <x v="0"/>
    <s v="DK1_MedSmall"/>
    <x v="2"/>
    <s v="GNR_GEO_HEAT_HO"/>
    <n v="7.2707999999999995E-2"/>
    <n v="0.2617488"/>
  </r>
  <r>
    <x v="0"/>
    <x v="0"/>
    <x v="0"/>
    <x v="0"/>
    <x v="0"/>
    <s v="DK1_MedSmall"/>
    <x v="5"/>
    <s v="GNR_BO_WOODCHI_E-100"/>
    <n v="1.8395999999999999E-2"/>
    <n v="6.6225599999999996E-2"/>
  </r>
  <r>
    <x v="0"/>
    <x v="0"/>
    <x v="0"/>
    <x v="0"/>
    <x v="0"/>
    <s v="DK1_MedSmall"/>
    <x v="5"/>
    <s v="GNR_BO_WOODCHI_E-110"/>
    <n v="0.13538181818181799"/>
    <n v="0.48737454545454501"/>
  </r>
  <r>
    <x v="0"/>
    <x v="0"/>
    <x v="0"/>
    <x v="0"/>
    <x v="0"/>
    <s v="DK1_Medium"/>
    <x v="1"/>
    <s v="GNR_BO_MSW_E-105"/>
    <n v="5.8400000000000001E-2"/>
    <n v="0.21024000000000001"/>
  </r>
  <r>
    <x v="0"/>
    <x v="0"/>
    <x v="0"/>
    <x v="0"/>
    <x v="0"/>
    <s v="DK1_Medium"/>
    <x v="1"/>
    <s v="GNR_ST_MSW_BP_E-22"/>
    <n v="0.88239002551757895"/>
    <n v="3.1766040918632799"/>
  </r>
  <r>
    <x v="0"/>
    <x v="0"/>
    <x v="0"/>
    <x v="0"/>
    <x v="0"/>
    <s v="DK1_Medium"/>
    <x v="4"/>
    <s v="GNR_BO_STRW_E-102"/>
    <n v="2.0783529411764701E-2"/>
    <n v="7.48207058823529E-2"/>
  </r>
  <r>
    <x v="0"/>
    <x v="0"/>
    <x v="0"/>
    <x v="0"/>
    <x v="0"/>
    <s v="DK1_Medium"/>
    <x v="2"/>
    <s v="GNR_GEO_HEAT_HO"/>
    <n v="8.7599999999999997E-2"/>
    <n v="0.31535999999999997"/>
  </r>
  <r>
    <x v="0"/>
    <x v="0"/>
    <x v="0"/>
    <x v="0"/>
    <x v="0"/>
    <s v="DK1_Medium"/>
    <x v="5"/>
    <s v="GNR_BO_WOODCHI_E-100"/>
    <n v="0.56458200000000003"/>
    <n v="2.0324952000000001"/>
  </r>
  <r>
    <x v="0"/>
    <x v="0"/>
    <x v="0"/>
    <x v="0"/>
    <x v="0"/>
    <s v="DK1_Medium"/>
    <x v="5"/>
    <s v="GNR_ST_WOODCHI_BP_E-30"/>
    <n v="2.6396799999999998"/>
    <n v="9.5028480000000002"/>
  </r>
  <r>
    <x v="0"/>
    <x v="0"/>
    <x v="0"/>
    <x v="0"/>
    <x v="0"/>
    <s v="DK1_NoDH"/>
    <x v="6"/>
    <s v="GNR_PV_SUN"/>
    <n v="0.56990659346167905"/>
    <n v="2.05166373646205"/>
  </r>
  <r>
    <x v="0"/>
    <x v="0"/>
    <x v="0"/>
    <x v="0"/>
    <x v="0"/>
    <s v="DK1_NoDH"/>
    <x v="7"/>
    <s v="GNR_ROR_WTR"/>
    <n v="3.7166480940522502E-2"/>
    <n v="0.13379933138588099"/>
  </r>
  <r>
    <x v="0"/>
    <x v="0"/>
    <x v="0"/>
    <x v="0"/>
    <x v="0"/>
    <s v="DK1_NoDH"/>
    <x v="8"/>
    <s v="GNR_WT_WIND_ONS"/>
    <n v="10.4267294285003"/>
    <n v="37.536225942601099"/>
  </r>
  <r>
    <x v="0"/>
    <x v="0"/>
    <x v="0"/>
    <x v="0"/>
    <x v="0"/>
    <s v="DK1_Offshore"/>
    <x v="8"/>
    <s v="GNR_WT_WIND_OFF"/>
    <n v="3.66971220000001"/>
    <n v="13.210963919999999"/>
  </r>
  <r>
    <x v="0"/>
    <x v="0"/>
    <x v="0"/>
    <x v="0"/>
    <x v="0"/>
    <s v="DK1_Rural"/>
    <x v="0"/>
    <s v="GNR_BO_COAL_E-91"/>
    <n v="9.6263736263736202E-2"/>
    <n v="0.34654945054945102"/>
  </r>
  <r>
    <x v="0"/>
    <x v="0"/>
    <x v="0"/>
    <x v="0"/>
    <x v="0"/>
    <s v="DK1_Rural"/>
    <x v="4"/>
    <s v="GNR_BO_STRW_E-100"/>
    <n v="1.1683212000000001"/>
    <n v="4.2059563200000003"/>
  </r>
  <r>
    <x v="0"/>
    <x v="0"/>
    <x v="0"/>
    <x v="0"/>
    <x v="0"/>
    <s v="DK1_Rural"/>
    <x v="4"/>
    <s v="GNR_BO_STRW_E-102"/>
    <n v="0.48918588235294103"/>
    <n v="1.7610691764705899"/>
  </r>
  <r>
    <x v="0"/>
    <x v="0"/>
    <x v="0"/>
    <x v="0"/>
    <x v="0"/>
    <s v="DK1_Rural"/>
    <x v="4"/>
    <s v="GNR_ST_STRW_BP_E-26"/>
    <n v="4.5203846153846101E-2"/>
    <n v="0.16273384615384601"/>
  </r>
  <r>
    <x v="0"/>
    <x v="0"/>
    <x v="0"/>
    <x v="0"/>
    <x v="0"/>
    <s v="DK1_Rural"/>
    <x v="2"/>
    <s v="GNR_EH_HEAT"/>
    <n v="0.76220759999999999"/>
    <n v="2.7439473599999999"/>
  </r>
  <r>
    <x v="0"/>
    <x v="0"/>
    <x v="0"/>
    <x v="0"/>
    <x v="0"/>
    <s v="DK1_Rural"/>
    <x v="5"/>
    <s v="GNR_BO_WOODCHI_E-100"/>
    <n v="0.19578657794037799"/>
    <n v="0.70483168058536105"/>
  </r>
  <r>
    <x v="0"/>
    <x v="0"/>
    <x v="0"/>
    <x v="0"/>
    <x v="0"/>
    <s v="DK1_Rural"/>
    <x v="5"/>
    <s v="GNR_BO_WOODCHI_E-105"/>
    <n v="3.4066666666666703E-2"/>
    <n v="0.12264"/>
  </r>
  <r>
    <x v="0"/>
    <x v="0"/>
    <x v="0"/>
    <x v="0"/>
    <x v="0"/>
    <s v="DK1_Rural"/>
    <x v="5"/>
    <s v="GNR_BO_WOODCHI_E-106"/>
    <n v="1.3257075471698101E-2"/>
    <n v="4.7725471698113198E-2"/>
  </r>
  <r>
    <x v="0"/>
    <x v="0"/>
    <x v="0"/>
    <x v="0"/>
    <x v="0"/>
    <s v="DK1_Rural"/>
    <x v="5"/>
    <s v="GNR_BO_WOODCHI_E-107"/>
    <n v="6.6515169633477297E-2"/>
    <n v="0.23945461068051799"/>
  </r>
  <r>
    <x v="0"/>
    <x v="0"/>
    <x v="0"/>
    <x v="0"/>
    <x v="0"/>
    <s v="DK1_Rural"/>
    <x v="5"/>
    <s v="GNR_BO_WOODCHI_E-108"/>
    <n v="1.9857589087597601E-2"/>
    <n v="7.1487320715351396E-2"/>
  </r>
  <r>
    <x v="0"/>
    <x v="0"/>
    <x v="0"/>
    <x v="0"/>
    <x v="0"/>
    <s v="DK1_Rural"/>
    <x v="5"/>
    <s v="GNR_BO_WOODCHI_E-110"/>
    <n v="0.83714412182837805"/>
    <n v="3.0137188385821601"/>
  </r>
  <r>
    <x v="0"/>
    <x v="0"/>
    <x v="0"/>
    <x v="0"/>
    <x v="0"/>
    <s v="DK1_Rural"/>
    <x v="5"/>
    <s v="GNR_BO_WOODCHI_E-112"/>
    <n v="0.14860714285714299"/>
    <n v="0.53498571428571495"/>
  </r>
  <r>
    <x v="0"/>
    <x v="0"/>
    <x v="0"/>
    <x v="0"/>
    <x v="0"/>
    <s v="DK1_Rural"/>
    <x v="5"/>
    <s v="GNR_BO_WOODCHI_E-113"/>
    <n v="3.6884210526315797E-2"/>
    <n v="0.13278315789473699"/>
  </r>
  <r>
    <x v="0"/>
    <x v="0"/>
    <x v="0"/>
    <x v="0"/>
    <x v="0"/>
    <s v="DK1_Rural"/>
    <x v="5"/>
    <s v="GNR_BO_WOODCHI_E-114"/>
    <n v="0.15996521739130401"/>
    <n v="0.57587478260869596"/>
  </r>
  <r>
    <x v="0"/>
    <x v="0"/>
    <x v="0"/>
    <x v="0"/>
    <x v="0"/>
    <s v="DK1_Rural"/>
    <x v="5"/>
    <s v="GNR_BO_WOODCHI_E-117"/>
    <n v="0.14974358974359001"/>
    <n v="0.53907692307692301"/>
  </r>
  <r>
    <x v="0"/>
    <x v="0"/>
    <x v="0"/>
    <x v="0"/>
    <x v="0"/>
    <s v="DK1_Rural"/>
    <x v="5"/>
    <s v="GNR_BO_WOODCHI_E-120"/>
    <n v="0.17519999999999999"/>
    <n v="0.63071999999999995"/>
  </r>
  <r>
    <x v="0"/>
    <x v="0"/>
    <x v="0"/>
    <x v="0"/>
    <x v="0"/>
    <s v="DK1_Rural"/>
    <x v="9"/>
    <s v="GNR_BO_WOODWST_E-100"/>
    <n v="0.26937"/>
    <n v="0.96973200000000004"/>
  </r>
  <r>
    <x v="0"/>
    <x v="0"/>
    <x v="0"/>
    <x v="0"/>
    <x v="0"/>
    <s v="DK1_Rural"/>
    <x v="9"/>
    <s v="GNR_BO_WOODWST_E-113"/>
    <n v="3.0736842105263201E-2"/>
    <n v="0.110652631578947"/>
  </r>
  <r>
    <x v="0"/>
    <x v="0"/>
    <x v="0"/>
    <x v="0"/>
    <x v="0"/>
    <s v="DK1_Rural"/>
    <x v="9"/>
    <s v="GNR_BO_WOODWST_E-84"/>
    <n v="6.0589999999999998E-2"/>
    <n v="0.21812400000000001"/>
  </r>
  <r>
    <x v="0"/>
    <x v="0"/>
    <x v="0"/>
    <x v="0"/>
    <x v="0"/>
    <s v="DK1_Rural"/>
    <x v="9"/>
    <s v="GNR_BO_WOODWST_E-86"/>
    <n v="3.0558139534883701E-2"/>
    <n v="0.110009302325581"/>
  </r>
  <r>
    <x v="0"/>
    <x v="0"/>
    <x v="0"/>
    <x v="0"/>
    <x v="0"/>
    <s v="DK1_Rural"/>
    <x v="9"/>
    <s v="GNR_BO_WOODWST_E-89"/>
    <n v="6.8898876404494394E-2"/>
    <n v="0.24803595505618001"/>
  </r>
  <r>
    <x v="0"/>
    <x v="0"/>
    <x v="0"/>
    <x v="0"/>
    <x v="0"/>
    <s v="DK1_Rural"/>
    <x v="9"/>
    <s v="GNR_BO_WOODWST_E-90"/>
    <n v="8.7599999999999997E-2"/>
    <n v="0.31535999999999997"/>
  </r>
  <r>
    <x v="0"/>
    <x v="0"/>
    <x v="0"/>
    <x v="0"/>
    <x v="0"/>
    <s v="DK1_Rural"/>
    <x v="9"/>
    <s v="GNR_BO_WOODWST_E-91"/>
    <n v="3.0323076923076901E-2"/>
    <n v="0.109163076923077"/>
  </r>
  <r>
    <x v="0"/>
    <x v="0"/>
    <x v="0"/>
    <x v="0"/>
    <x v="0"/>
    <s v="DK1_Rural"/>
    <x v="9"/>
    <s v="GNR_BO_WOODWST_E-94"/>
    <n v="8.6668085106383005E-3"/>
    <n v="3.1200510638297901E-2"/>
  </r>
  <r>
    <x v="0"/>
    <x v="0"/>
    <x v="0"/>
    <x v="0"/>
    <x v="0"/>
    <s v="DK1_Small"/>
    <x v="1"/>
    <s v="GNR_BO_MSW_E-104"/>
    <n v="1.43312614061491E-2"/>
    <n v="5.15925410621366E-2"/>
  </r>
  <r>
    <x v="0"/>
    <x v="0"/>
    <x v="0"/>
    <x v="0"/>
    <x v="0"/>
    <s v="DK1_Small"/>
    <x v="1"/>
    <s v="GNR_BO_MSW_E-105"/>
    <n v="0.27293448394057601"/>
    <n v="0.98256414218607402"/>
  </r>
  <r>
    <x v="0"/>
    <x v="0"/>
    <x v="0"/>
    <x v="0"/>
    <x v="0"/>
    <s v="DK1_Small"/>
    <x v="2"/>
    <s v="GNR_EH_HEAT"/>
    <n v="0.12264"/>
    <n v="0.44150400000000001"/>
  </r>
  <r>
    <x v="0"/>
    <x v="0"/>
    <x v="0"/>
    <x v="0"/>
    <x v="0"/>
    <s v="DK1_Small"/>
    <x v="9"/>
    <s v="GNR_BO_WOODWST_E-100"/>
    <n v="1.533E-2"/>
    <n v="5.5188000000000001E-2"/>
  </r>
  <r>
    <x v="0"/>
    <x v="0"/>
    <x v="0"/>
    <x v="0"/>
    <x v="0"/>
    <s v="DK1_Small"/>
    <x v="9"/>
    <s v="GNR_BO_WOODWST_E-89"/>
    <n v="1.7500314606741601E-2"/>
    <n v="6.3001132584269606E-2"/>
  </r>
  <r>
    <x v="0"/>
    <x v="0"/>
    <x v="0"/>
    <x v="0"/>
    <x v="0"/>
    <s v="DK2_Rural"/>
    <x v="0"/>
    <s v="GNR_ST_COAL_BP_E-35"/>
    <n v="0.92605714285714202"/>
    <n v="3.33380571428571"/>
  </r>
  <r>
    <x v="0"/>
    <x v="0"/>
    <x v="0"/>
    <x v="0"/>
    <x v="0"/>
    <s v="DK2_Rural"/>
    <x v="1"/>
    <s v="GNR_BO_MSW_E-105"/>
    <n v="5.8400000000000001E-2"/>
    <n v="0.21024000000000001"/>
  </r>
  <r>
    <x v="0"/>
    <x v="0"/>
    <x v="0"/>
    <x v="0"/>
    <x v="0"/>
    <s v="DK2_Rural"/>
    <x v="3"/>
    <s v="GNR_ENG_NGAS_BP_E-43"/>
    <n v="8.4102790697674398E-3"/>
    <n v="3.02770046511628E-2"/>
  </r>
  <r>
    <x v="0"/>
    <x v="0"/>
    <x v="0"/>
    <x v="0"/>
    <x v="0"/>
    <s v="DK2_Rural"/>
    <x v="3"/>
    <s v="GNR_ENG_NGAS_BP_E-45"/>
    <n v="9.73333333333333E-3"/>
    <n v="3.5040000000000002E-2"/>
  </r>
  <r>
    <x v="0"/>
    <x v="0"/>
    <x v="0"/>
    <x v="0"/>
    <x v="0"/>
    <s v="DK2_Rural"/>
    <x v="3"/>
    <s v="GNR_ENG_NGAS_BP_E-46"/>
    <n v="1.04739130434783E-2"/>
    <n v="3.7706086956521702E-2"/>
  </r>
  <r>
    <x v="0"/>
    <x v="0"/>
    <x v="0"/>
    <x v="0"/>
    <x v="0"/>
    <s v="DK2_Rural"/>
    <x v="4"/>
    <s v="GNR_BO_STRW_E-100"/>
    <n v="0.27692678740188997"/>
    <n v="0.99693643464680404"/>
  </r>
  <r>
    <x v="0"/>
    <x v="0"/>
    <x v="0"/>
    <x v="0"/>
    <x v="0"/>
    <s v="DK2_Rural"/>
    <x v="4"/>
    <s v="GNR_BO_STRW_E-102"/>
    <n v="0.38751180473088898"/>
    <n v="1.3950424970312001"/>
  </r>
  <r>
    <x v="0"/>
    <x v="0"/>
    <x v="0"/>
    <x v="0"/>
    <x v="0"/>
    <s v="DK2_Rural"/>
    <x v="4"/>
    <s v="GNR_ST_STRW_BP_E-24"/>
    <n v="0.1825"/>
    <n v="0.65700000000000003"/>
  </r>
  <r>
    <x v="0"/>
    <x v="0"/>
    <x v="0"/>
    <x v="0"/>
    <x v="0"/>
    <s v="DK2_Rural"/>
    <x v="4"/>
    <s v="GNR_ST_STRW_BP_E-27"/>
    <n v="0.323795555555555"/>
    <n v="1.165664"/>
  </r>
  <r>
    <x v="0"/>
    <x v="0"/>
    <x v="0"/>
    <x v="0"/>
    <x v="0"/>
    <s v="DK2_Rural"/>
    <x v="4"/>
    <s v="GNR_ST_STRW_BP_E-28"/>
    <n v="0.347379310344828"/>
    <n v="1.2505655172413801"/>
  </r>
  <r>
    <x v="0"/>
    <x v="0"/>
    <x v="0"/>
    <x v="0"/>
    <x v="0"/>
    <s v="DK2_Rural"/>
    <x v="2"/>
    <s v="GNR_EH_HEAT"/>
    <n v="0.14454"/>
    <n v="0.52034400000000003"/>
  </r>
  <r>
    <x v="0"/>
    <x v="0"/>
    <x v="0"/>
    <x v="0"/>
    <x v="0"/>
    <s v="DK2_Rural"/>
    <x v="9"/>
    <s v="GNR_BO_WOODWST_E-100"/>
    <n v="5.5188000000000001E-2"/>
    <n v="0.19867679999999999"/>
  </r>
  <r>
    <x v="0"/>
    <x v="0"/>
    <x v="0"/>
    <x v="0"/>
    <x v="1"/>
    <s v="DK2_Large"/>
    <x v="0"/>
    <s v="GNR_ST_COAL_EXT_E-42"/>
    <n v="10.4285714285714"/>
    <n v="37.542857142857102"/>
  </r>
  <r>
    <x v="0"/>
    <x v="0"/>
    <x v="0"/>
    <x v="0"/>
    <x v="1"/>
    <s v="DK2_Large"/>
    <x v="1"/>
    <s v="GNR_ST_MSW_BP_E-16"/>
    <n v="0.91756412437302404"/>
    <n v="3.3032308477428902"/>
  </r>
  <r>
    <x v="0"/>
    <x v="0"/>
    <x v="0"/>
    <x v="0"/>
    <x v="1"/>
    <s v="DK2_Large"/>
    <x v="1"/>
    <s v="GNR_ST_MSW_BP_E-20"/>
    <n v="1.6188941668644901"/>
    <n v="5.8280190007121799"/>
  </r>
  <r>
    <x v="0"/>
    <x v="0"/>
    <x v="0"/>
    <x v="0"/>
    <x v="1"/>
    <s v="DK2_Large"/>
    <x v="1"/>
    <s v="GNR_ST_MSW_BP_E-21"/>
    <n v="0.57148571428571504"/>
    <n v="2.05734857142857"/>
  </r>
  <r>
    <x v="0"/>
    <x v="0"/>
    <x v="0"/>
    <x v="0"/>
    <x v="1"/>
    <s v="DK2_Large"/>
    <x v="1"/>
    <s v="GNR_ST_MSW_BP_E-27"/>
    <n v="0.62942222222222399"/>
    <n v="2.2659199999999999"/>
  </r>
  <r>
    <x v="0"/>
    <x v="0"/>
    <x v="0"/>
    <x v="0"/>
    <x v="1"/>
    <s v="DK2_Large"/>
    <x v="3"/>
    <s v="GNR_BO_NGAS_E-101"/>
    <n v="0.32214531627627202"/>
    <n v="1.1597231385945801"/>
  </r>
  <r>
    <x v="0"/>
    <x v="0"/>
    <x v="0"/>
    <x v="0"/>
    <x v="1"/>
    <s v="DK2_Large"/>
    <x v="2"/>
    <s v="GNR_GEO_HEAT_HO"/>
    <n v="0.12264"/>
    <n v="0.44150400000000001"/>
  </r>
  <r>
    <x v="0"/>
    <x v="0"/>
    <x v="0"/>
    <x v="0"/>
    <x v="1"/>
    <s v="DK2_Large"/>
    <x v="5"/>
    <s v="GNR_ST_WOODCHI_BP_E-27"/>
    <n v="0.48666666666666802"/>
    <n v="1.75200000000001"/>
  </r>
  <r>
    <x v="0"/>
    <x v="0"/>
    <x v="0"/>
    <x v="0"/>
    <x v="1"/>
    <s v="DK2_Large"/>
    <x v="9"/>
    <s v="GNR_BO_WOODWST_E-90"/>
    <n v="6.4824000000000007E-2"/>
    <n v="0.2333664"/>
  </r>
  <r>
    <x v="0"/>
    <x v="0"/>
    <x v="0"/>
    <x v="0"/>
    <x v="1"/>
    <s v="DK2_MedSmall"/>
    <x v="1"/>
    <s v="GNR_BO_MSW_E-105"/>
    <n v="0.141828571428571"/>
    <n v="0.51058285714285701"/>
  </r>
  <r>
    <x v="0"/>
    <x v="0"/>
    <x v="0"/>
    <x v="0"/>
    <x v="1"/>
    <s v="DK2_MedSmall"/>
    <x v="1"/>
    <s v="GNR_ST_MSW_BP_E-28"/>
    <n v="7.1222342226393606E-2"/>
    <n v="0.256400432015017"/>
  </r>
  <r>
    <x v="0"/>
    <x v="0"/>
    <x v="0"/>
    <x v="0"/>
    <x v="1"/>
    <s v="DK2_MedSmall"/>
    <x v="4"/>
    <s v="GNR_BO_STRW_E-100"/>
    <n v="0.12956039999999999"/>
    <n v="0.46641744000000002"/>
  </r>
  <r>
    <x v="0"/>
    <x v="0"/>
    <x v="0"/>
    <x v="0"/>
    <x v="1"/>
    <s v="DK2_MedSmall"/>
    <x v="4"/>
    <s v="GNR_BO_STRW_E-102"/>
    <n v="8.5882352941176396E-2"/>
    <n v="0.309176470588235"/>
  </r>
  <r>
    <x v="0"/>
    <x v="0"/>
    <x v="0"/>
    <x v="0"/>
    <x v="1"/>
    <s v="DK2_MedSmall"/>
    <x v="2"/>
    <s v="GNR_EH_HEAT"/>
    <n v="1.7520000000000001E-2"/>
    <n v="6.3072000000000003E-2"/>
  </r>
  <r>
    <x v="0"/>
    <x v="0"/>
    <x v="0"/>
    <x v="0"/>
    <x v="1"/>
    <s v="DK2_MedSmall"/>
    <x v="5"/>
    <s v="GNR_BO_WOODCHI_E-112"/>
    <n v="9.4673658927044602E-2"/>
    <n v="0.34082517213736102"/>
  </r>
  <r>
    <x v="0"/>
    <x v="0"/>
    <x v="0"/>
    <x v="0"/>
    <x v="1"/>
    <s v="DK2_MedSmall"/>
    <x v="5"/>
    <s v="GNR_BO_WOODCHI_E-118"/>
    <n v="7.86915254237288E-2"/>
    <n v="0.28328949152542399"/>
  </r>
  <r>
    <x v="0"/>
    <x v="0"/>
    <x v="0"/>
    <x v="0"/>
    <x v="1"/>
    <s v="DK2_Medium"/>
    <x v="0"/>
    <s v="GNR_ST_COAL_BP_E-38"/>
    <n v="2.8127013157894698"/>
    <n v="10.1257247368421"/>
  </r>
  <r>
    <x v="0"/>
    <x v="0"/>
    <x v="0"/>
    <x v="0"/>
    <x v="1"/>
    <s v="DK2_Medium"/>
    <x v="1"/>
    <s v="GNR_BO_MSW_E-105"/>
    <n v="0.17519999999999999"/>
    <n v="0.63071999999999995"/>
  </r>
  <r>
    <x v="0"/>
    <x v="0"/>
    <x v="0"/>
    <x v="0"/>
    <x v="1"/>
    <s v="DK2_Medium"/>
    <x v="2"/>
    <s v="GNR_EH_HEAT"/>
    <n v="1.7520000000000001E-2"/>
    <n v="6.3072000000000003E-2"/>
  </r>
  <r>
    <x v="0"/>
    <x v="0"/>
    <x v="0"/>
    <x v="0"/>
    <x v="1"/>
    <s v="DK2_Medium"/>
    <x v="9"/>
    <s v="GNR_BO_WOODWST_E-82"/>
    <n v="7.47804878048781E-3"/>
    <n v="2.69209756097561E-2"/>
  </r>
  <r>
    <x v="0"/>
    <x v="0"/>
    <x v="0"/>
    <x v="0"/>
    <x v="1"/>
    <s v="DK2_NoDH"/>
    <x v="6"/>
    <s v="GNR_PV_SUN"/>
    <n v="0.29146560783759401"/>
    <n v="1.0492761882153401"/>
  </r>
  <r>
    <x v="0"/>
    <x v="0"/>
    <x v="0"/>
    <x v="0"/>
    <x v="1"/>
    <s v="DK2_NoDH"/>
    <x v="7"/>
    <s v="GNR_ROR_WTR"/>
    <n v="8.0331010678362695E-5"/>
    <n v="2.8919163844210599E-4"/>
  </r>
  <r>
    <x v="0"/>
    <x v="0"/>
    <x v="0"/>
    <x v="0"/>
    <x v="1"/>
    <s v="DK2_NoDH"/>
    <x v="8"/>
    <s v="GNR_WT_WIND_ONS"/>
    <n v="1.8714861274999901"/>
    <n v="6.7373500589999802"/>
  </r>
  <r>
    <x v="0"/>
    <x v="0"/>
    <x v="0"/>
    <x v="0"/>
    <x v="1"/>
    <s v="DK2_Offshore"/>
    <x v="8"/>
    <s v="GNR_WT_WIND_OFF"/>
    <n v="1.946472"/>
    <n v="7.0072992000000198"/>
  </r>
  <r>
    <x v="0"/>
    <x v="0"/>
    <x v="0"/>
    <x v="0"/>
    <x v="1"/>
    <s v="DK2_Rural"/>
    <x v="0"/>
    <s v="GNR_ST_COAL_BP_E-35"/>
    <n v="0.92605714285714202"/>
    <n v="3.33380571428571"/>
  </r>
  <r>
    <x v="0"/>
    <x v="0"/>
    <x v="0"/>
    <x v="0"/>
    <x v="1"/>
    <s v="DK2_Rural"/>
    <x v="1"/>
    <s v="GNR_BO_MSW_E-105"/>
    <n v="5.8400000000000001E-2"/>
    <n v="0.21024000000000001"/>
  </r>
  <r>
    <x v="0"/>
    <x v="0"/>
    <x v="0"/>
    <x v="0"/>
    <x v="1"/>
    <s v="DK2_Rural"/>
    <x v="3"/>
    <s v="GNR_ENG_NGAS_BP_E-43"/>
    <n v="8.4102790697674398E-3"/>
    <n v="3.02770046511628E-2"/>
  </r>
  <r>
    <x v="0"/>
    <x v="0"/>
    <x v="0"/>
    <x v="0"/>
    <x v="1"/>
    <s v="DK2_Rural"/>
    <x v="3"/>
    <s v="GNR_ENG_NGAS_BP_E-45"/>
    <n v="9.73333333333333E-3"/>
    <n v="3.5040000000000002E-2"/>
  </r>
  <r>
    <x v="0"/>
    <x v="0"/>
    <x v="0"/>
    <x v="0"/>
    <x v="1"/>
    <s v="DK2_Rural"/>
    <x v="3"/>
    <s v="GNR_ENG_NGAS_BP_E-46"/>
    <n v="1.04739130434783E-2"/>
    <n v="3.7706086956521702E-2"/>
  </r>
  <r>
    <x v="0"/>
    <x v="0"/>
    <x v="0"/>
    <x v="0"/>
    <x v="1"/>
    <s v="DK2_Rural"/>
    <x v="4"/>
    <s v="GNR_BO_STRW_E-100"/>
    <n v="0.27692678740188997"/>
    <n v="0.99693643464680404"/>
  </r>
  <r>
    <x v="0"/>
    <x v="0"/>
    <x v="0"/>
    <x v="0"/>
    <x v="1"/>
    <s v="DK2_Rural"/>
    <x v="4"/>
    <s v="GNR_BO_STRW_E-102"/>
    <n v="0.38751180473088898"/>
    <n v="1.3950424970312001"/>
  </r>
  <r>
    <x v="0"/>
    <x v="0"/>
    <x v="0"/>
    <x v="0"/>
    <x v="1"/>
    <s v="DK2_Rural"/>
    <x v="4"/>
    <s v="GNR_ST_STRW_BP_E-24"/>
    <n v="0.1825"/>
    <n v="0.65700000000000003"/>
  </r>
  <r>
    <x v="0"/>
    <x v="0"/>
    <x v="0"/>
    <x v="0"/>
    <x v="1"/>
    <s v="DK2_Rural"/>
    <x v="4"/>
    <s v="GNR_ST_STRW_BP_E-27"/>
    <n v="0.323795555555555"/>
    <n v="1.165664"/>
  </r>
  <r>
    <x v="0"/>
    <x v="0"/>
    <x v="0"/>
    <x v="0"/>
    <x v="1"/>
    <s v="DK2_Rural"/>
    <x v="4"/>
    <s v="GNR_ST_STRW_BP_E-28"/>
    <n v="0.347379310344828"/>
    <n v="1.2505655172413801"/>
  </r>
  <r>
    <x v="0"/>
    <x v="0"/>
    <x v="0"/>
    <x v="0"/>
    <x v="1"/>
    <s v="DK2_Rural"/>
    <x v="2"/>
    <s v="GNR_EH_HEAT"/>
    <n v="0.14454"/>
    <n v="0.52034400000000003"/>
  </r>
  <r>
    <x v="0"/>
    <x v="0"/>
    <x v="0"/>
    <x v="0"/>
    <x v="1"/>
    <s v="DK2_Rural"/>
    <x v="9"/>
    <s v="GNR_BO_WOODWST_E-100"/>
    <n v="5.5188000000000001E-2"/>
    <n v="0.19867679999999999"/>
  </r>
  <r>
    <x v="0"/>
    <x v="0"/>
    <x v="0"/>
    <x v="0"/>
    <x v="1"/>
    <s v="DK2_Small"/>
    <x v="1"/>
    <s v="GNR_BO_MSW_E-105"/>
    <n v="2.7531428571428599E-2"/>
    <n v="9.91131428571429E-2"/>
  </r>
  <r>
    <x v="0"/>
    <x v="0"/>
    <x v="0"/>
    <x v="0"/>
    <x v="1"/>
    <s v="DK2_Small"/>
    <x v="3"/>
    <s v="GNR_BO_NGAS_E-101"/>
    <n v="2.6548555236250899E-2"/>
    <n v="9.5574798850503198E-2"/>
  </r>
  <r>
    <x v="0"/>
    <x v="0"/>
    <x v="0"/>
    <x v="0"/>
    <x v="1"/>
    <s v="DK2_Small"/>
    <x v="3"/>
    <s v="GNR_BO_NGAS_E-104"/>
    <n v="3.90355377032564E-2"/>
    <n v="0.14052793573172301"/>
  </r>
  <r>
    <x v="0"/>
    <x v="0"/>
    <x v="0"/>
    <x v="0"/>
    <x v="1"/>
    <s v="DK2_Small"/>
    <x v="4"/>
    <s v="GNR_BO_STRW_E-100"/>
    <n v="5.6939999999999998E-2"/>
    <n v="0.204984"/>
  </r>
  <r>
    <x v="0"/>
    <x v="0"/>
    <x v="0"/>
    <x v="1"/>
    <x v="2"/>
    <s v="DE4-E_A"/>
    <x v="10"/>
    <s v="AGG-DE4-E_RES_WTR_PMP"/>
    <n v="169.2432"/>
    <n v="609.27552000000003"/>
  </r>
  <r>
    <x v="0"/>
    <x v="0"/>
    <x v="0"/>
    <x v="1"/>
    <x v="2"/>
    <s v="DE4-E_A"/>
    <x v="11"/>
    <s v="GNR_ST_LIGN_BP_E-39"/>
    <n v="209.37298461538501"/>
    <n v="753.74274461538403"/>
  </r>
  <r>
    <x v="0"/>
    <x v="0"/>
    <x v="0"/>
    <x v="1"/>
    <x v="2"/>
    <s v="DE4-E_A"/>
    <x v="11"/>
    <s v="GNR_ST_LIGN_CND_E-43"/>
    <n v="13.038139534883699"/>
    <n v="46.937302325581399"/>
  </r>
  <r>
    <x v="0"/>
    <x v="0"/>
    <x v="0"/>
    <x v="1"/>
    <x v="2"/>
    <s v="DE4-E_A"/>
    <x v="1"/>
    <s v="GNR_ST_MSW_CND_E-33"/>
    <n v="1.7281090909090899"/>
    <n v="6.2211927272727303"/>
  </r>
  <r>
    <x v="0"/>
    <x v="0"/>
    <x v="0"/>
    <x v="1"/>
    <x v="2"/>
    <s v="DE4-E_A"/>
    <x v="6"/>
    <s v="GNR_PV_SUN"/>
    <n v="11.438265235278299"/>
    <n v="41.1777548470018"/>
  </r>
  <r>
    <x v="0"/>
    <x v="0"/>
    <x v="0"/>
    <x v="1"/>
    <x v="2"/>
    <s v="DE4-E_A"/>
    <x v="2"/>
    <s v="GNR_GEO_HEAT_EO"/>
    <n v="1.9272E-3"/>
    <n v="6.9379200000000002E-3"/>
  </r>
  <r>
    <x v="0"/>
    <x v="0"/>
    <x v="0"/>
    <x v="1"/>
    <x v="2"/>
    <s v="DE4-E_A"/>
    <x v="7"/>
    <s v="GNR_ROR_WTR"/>
    <n v="2.9478267678532002"/>
    <n v="10.6121763642715"/>
  </r>
  <r>
    <x v="0"/>
    <x v="0"/>
    <x v="0"/>
    <x v="1"/>
    <x v="2"/>
    <s v="DE4-E_A"/>
    <x v="8"/>
    <s v="GNR_WT_WIND_ONS"/>
    <n v="40.504328129999998"/>
    <n v="145.81558126799999"/>
  </r>
  <r>
    <x v="0"/>
    <x v="0"/>
    <x v="0"/>
    <x v="1"/>
    <x v="2"/>
    <s v="DE4-E_Offshore_A"/>
    <x v="8"/>
    <s v="GNR_WT_WIND_OFF"/>
    <n v="1.4729939999999999"/>
    <n v="5.3027784000000002"/>
  </r>
  <r>
    <x v="0"/>
    <x v="0"/>
    <x v="0"/>
    <x v="1"/>
    <x v="3"/>
    <s v="DE4-N_A"/>
    <x v="0"/>
    <s v="GNR_ST_COAL_CND_E-46"/>
    <n v="3.8175380333592801"/>
    <n v="13.7431369200934"/>
  </r>
  <r>
    <x v="0"/>
    <x v="0"/>
    <x v="0"/>
    <x v="1"/>
    <x v="3"/>
    <s v="DE4-N_A"/>
    <x v="10"/>
    <s v="AGG-DE4-N_RES_WTR_PMP"/>
    <n v="8.3465279999999993"/>
    <n v="30.047500800000002"/>
  </r>
  <r>
    <x v="0"/>
    <x v="0"/>
    <x v="0"/>
    <x v="1"/>
    <x v="3"/>
    <s v="DE4-N_A"/>
    <x v="12"/>
    <s v="GNR_ST_NUCL_CND_E-33"/>
    <n v="37.429090909090903"/>
    <n v="134.744727272727"/>
  </r>
  <r>
    <x v="0"/>
    <x v="0"/>
    <x v="0"/>
    <x v="1"/>
    <x v="3"/>
    <s v="DE4-N_A"/>
    <x v="6"/>
    <s v="GNR_PV_SUN"/>
    <n v="1.6803275310545001"/>
    <n v="6.0491791117962102"/>
  </r>
  <r>
    <x v="0"/>
    <x v="0"/>
    <x v="0"/>
    <x v="1"/>
    <x v="3"/>
    <s v="DE4-N_A"/>
    <x v="7"/>
    <s v="GNR_ROR_WTR"/>
    <n v="2.5974444444444401E-2"/>
    <n v="9.3507999999999994E-2"/>
  </r>
  <r>
    <x v="0"/>
    <x v="0"/>
    <x v="0"/>
    <x v="1"/>
    <x v="3"/>
    <s v="DE4-N_A"/>
    <x v="8"/>
    <s v="GNR_WT_WIND_ONS"/>
    <n v="17.132994289999999"/>
    <n v="61.678779444"/>
  </r>
  <r>
    <x v="0"/>
    <x v="0"/>
    <x v="0"/>
    <x v="1"/>
    <x v="3"/>
    <s v="DE4-N_Offshore_A"/>
    <x v="8"/>
    <s v="GNR_WT_WIND_OFF"/>
    <n v="4.0293000000000001"/>
    <n v="14.50548"/>
  </r>
  <r>
    <x v="0"/>
    <x v="0"/>
    <x v="0"/>
    <x v="1"/>
    <x v="4"/>
    <s v="DE4-S_A"/>
    <x v="0"/>
    <s v="GNR_ST_COAL_CND_E-44"/>
    <n v="10.4920909090909"/>
    <n v="37.771527272727297"/>
  </r>
  <r>
    <x v="0"/>
    <x v="0"/>
    <x v="0"/>
    <x v="1"/>
    <x v="4"/>
    <s v="DE4-S_A"/>
    <x v="10"/>
    <s v="AGG-DE4-S_RES_WTR_PMP"/>
    <n v="151.58304000000001"/>
    <n v="545.69894399999998"/>
  </r>
  <r>
    <x v="0"/>
    <x v="0"/>
    <x v="0"/>
    <x v="1"/>
    <x v="4"/>
    <s v="DE4-S_A"/>
    <x v="1"/>
    <s v="GNR_ST_MSW_CND_E-33"/>
    <n v="1.06181818181818"/>
    <n v="3.8225454545454598"/>
  </r>
  <r>
    <x v="0"/>
    <x v="0"/>
    <x v="0"/>
    <x v="1"/>
    <x v="4"/>
    <s v="DE4-S_A"/>
    <x v="12"/>
    <s v="GNR_ST_NUCL_CND_E-33"/>
    <n v="177.69527272727299"/>
    <n v="639.70298181818202"/>
  </r>
  <r>
    <x v="0"/>
    <x v="0"/>
    <x v="0"/>
    <x v="1"/>
    <x v="4"/>
    <s v="DE4-S_A"/>
    <x v="6"/>
    <s v="GNR_PV_SUN"/>
    <n v="21.7176092114785"/>
    <n v="78.183393161322698"/>
  </r>
  <r>
    <x v="0"/>
    <x v="0"/>
    <x v="0"/>
    <x v="1"/>
    <x v="4"/>
    <s v="DE4-S_A"/>
    <x v="2"/>
    <s v="GNR_GEO_HEAT_EO"/>
    <n v="0.39209759999999999"/>
    <n v="1.41155136"/>
  </r>
  <r>
    <x v="0"/>
    <x v="0"/>
    <x v="0"/>
    <x v="1"/>
    <x v="4"/>
    <s v="DE4-S_A"/>
    <x v="7"/>
    <s v="GNR_RES_WTR_NOPMP"/>
    <n v="0.59766271944701799"/>
    <n v="2.1515857900092699"/>
  </r>
  <r>
    <x v="0"/>
    <x v="0"/>
    <x v="0"/>
    <x v="1"/>
    <x v="4"/>
    <s v="DE4-S_A"/>
    <x v="7"/>
    <s v="GNR_ROR_WTR"/>
    <n v="42.452364222222201"/>
    <n v="152.82851120000001"/>
  </r>
  <r>
    <x v="0"/>
    <x v="0"/>
    <x v="0"/>
    <x v="1"/>
    <x v="4"/>
    <s v="DE4-S_A"/>
    <x v="8"/>
    <s v="GNR_WT_WIND_ONS"/>
    <n v="13.97148009"/>
    <n v="50.297328323999999"/>
  </r>
  <r>
    <x v="0"/>
    <x v="0"/>
    <x v="0"/>
    <x v="1"/>
    <x v="5"/>
    <s v="DE4-W_A"/>
    <x v="0"/>
    <s v="GNR_ST_COAL_CND_E-45"/>
    <n v="67.140533333333295"/>
    <n v="241.70591999999999"/>
  </r>
  <r>
    <x v="0"/>
    <x v="0"/>
    <x v="0"/>
    <x v="1"/>
    <x v="5"/>
    <s v="DE4-W_A"/>
    <x v="10"/>
    <s v="AGG-DE4-W_RES_WTR_PMP"/>
    <n v="80.311679999999996"/>
    <n v="289.12204800000001"/>
  </r>
  <r>
    <x v="0"/>
    <x v="0"/>
    <x v="0"/>
    <x v="1"/>
    <x v="5"/>
    <s v="DE4-W_A"/>
    <x v="11"/>
    <s v="GNR_ST_LIGN_BP_E-33"/>
    <n v="20.878"/>
    <n v="75.160799999999995"/>
  </r>
  <r>
    <x v="0"/>
    <x v="0"/>
    <x v="0"/>
    <x v="1"/>
    <x v="5"/>
    <s v="DE4-W_A"/>
    <x v="11"/>
    <s v="GNR_ST_LIGN_BP_E-37"/>
    <n v="77.814843243243203"/>
    <n v="280.13343567567603"/>
  </r>
  <r>
    <x v="0"/>
    <x v="0"/>
    <x v="0"/>
    <x v="1"/>
    <x v="5"/>
    <s v="DE4-W_A"/>
    <x v="11"/>
    <s v="GNR_ST_LIGN_CND_E-32"/>
    <n v="124.25512500000001"/>
    <n v="447.31844999999998"/>
  </r>
  <r>
    <x v="0"/>
    <x v="0"/>
    <x v="0"/>
    <x v="1"/>
    <x v="5"/>
    <s v="DE4-W_A"/>
    <x v="11"/>
    <s v="GNR_ST_LIGN_CND_E-41"/>
    <n v="86.1043902439025"/>
    <n v="309.97580487804902"/>
  </r>
  <r>
    <x v="0"/>
    <x v="0"/>
    <x v="0"/>
    <x v="1"/>
    <x v="5"/>
    <s v="DE4-W_A"/>
    <x v="1"/>
    <s v="GNR_ST_MSW_CND_E-33"/>
    <n v="4.5870545454545404"/>
    <n v="16.513396363636399"/>
  </r>
  <r>
    <x v="0"/>
    <x v="0"/>
    <x v="0"/>
    <x v="1"/>
    <x v="5"/>
    <s v="DE4-W_A"/>
    <x v="12"/>
    <s v="GNR_ST_NUCL_CND_E-33"/>
    <n v="71.566545454545405"/>
    <n v="257.63956363636402"/>
  </r>
  <r>
    <x v="0"/>
    <x v="0"/>
    <x v="0"/>
    <x v="1"/>
    <x v="5"/>
    <s v="DE4-W_A"/>
    <x v="6"/>
    <s v="GNR_PV_SUN"/>
    <n v="10.6223389660178"/>
    <n v="38.240420277664001"/>
  </r>
  <r>
    <x v="0"/>
    <x v="0"/>
    <x v="0"/>
    <x v="1"/>
    <x v="5"/>
    <s v="DE4-W_A"/>
    <x v="7"/>
    <s v="GNR_ROR_WTR"/>
    <n v="1.9360333333333299"/>
    <n v="6.9697199999999997"/>
  </r>
  <r>
    <x v="0"/>
    <x v="0"/>
    <x v="0"/>
    <x v="1"/>
    <x v="5"/>
    <s v="DE4-W_A"/>
    <x v="8"/>
    <s v="GNR_WT_WIND_ONS"/>
    <n v="38.021413850000002"/>
    <n v="136.87708986000001"/>
  </r>
  <r>
    <x v="0"/>
    <x v="0"/>
    <x v="0"/>
    <x v="1"/>
    <x v="5"/>
    <s v="DE4-W_Offshore_A"/>
    <x v="8"/>
    <s v="GNR_WT_WIND_OFF"/>
    <n v="0.49694700000000003"/>
    <n v="1.7890092"/>
  </r>
  <r>
    <x v="0"/>
    <x v="0"/>
    <x v="0"/>
    <x v="2"/>
    <x v="6"/>
    <s v="NO1_A1"/>
    <x v="13"/>
    <s v="GHOB_LNG"/>
    <n v="0.23703529411764701"/>
    <n v="0.85332705882352899"/>
  </r>
  <r>
    <x v="0"/>
    <x v="0"/>
    <x v="0"/>
    <x v="2"/>
    <x v="6"/>
    <s v="NO1_A1"/>
    <x v="13"/>
    <s v="GHOB_LPG"/>
    <n v="0.42872470588235301"/>
    <n v="1.54340894117647"/>
  </r>
  <r>
    <x v="0"/>
    <x v="0"/>
    <x v="0"/>
    <x v="2"/>
    <x v="6"/>
    <s v="NO1_A1"/>
    <x v="1"/>
    <s v="GBPR_MUNIWASTE"/>
    <n v="0.33727569892473103"/>
    <n v="1.2141925161290299"/>
  </r>
  <r>
    <x v="0"/>
    <x v="0"/>
    <x v="0"/>
    <x v="2"/>
    <x v="6"/>
    <s v="NO1_A1"/>
    <x v="1"/>
    <s v="GHOB_MUNIWASTE"/>
    <n v="7.6716988235294103E-2"/>
    <n v="0.27618115764705897"/>
  </r>
  <r>
    <x v="0"/>
    <x v="0"/>
    <x v="0"/>
    <x v="2"/>
    <x v="6"/>
    <s v="NO1_A1"/>
    <x v="2"/>
    <s v="GHOB_WASTEHEAT"/>
    <n v="2.5974162087911999E-2"/>
    <n v="9.3506983516483094E-2"/>
  </r>
  <r>
    <x v="0"/>
    <x v="0"/>
    <x v="0"/>
    <x v="2"/>
    <x v="6"/>
    <s v="NO1_A1"/>
    <x v="7"/>
    <s v="GHYRR_WATER"/>
    <n v="11.0626254909401"/>
    <n v="39.825451767384301"/>
  </r>
  <r>
    <x v="0"/>
    <x v="0"/>
    <x v="0"/>
    <x v="2"/>
    <x v="6"/>
    <s v="NO1_A1"/>
    <x v="7"/>
    <s v="GHYRS_WATER"/>
    <n v="30.3408069508613"/>
    <n v="109.226905023101"/>
  </r>
  <r>
    <x v="0"/>
    <x v="0"/>
    <x v="0"/>
    <x v="2"/>
    <x v="6"/>
    <s v="NO1_A1"/>
    <x v="9"/>
    <s v="GHOB_WOODWASTE"/>
    <n v="0.40947420775305299"/>
    <n v="1.47410714791099"/>
  </r>
  <r>
    <x v="0"/>
    <x v="0"/>
    <x v="0"/>
    <x v="2"/>
    <x v="6"/>
    <s v="NO1_A2"/>
    <x v="13"/>
    <s v="GHOB_LPG"/>
    <n v="0.99447865947678205"/>
    <n v="3.5801231741164101"/>
  </r>
  <r>
    <x v="0"/>
    <x v="0"/>
    <x v="0"/>
    <x v="2"/>
    <x v="6"/>
    <s v="NO1_A2"/>
    <x v="1"/>
    <s v="GBPR_MUNIWASTE"/>
    <n v="0.45628192114694799"/>
    <n v="1.64261491612901"/>
  </r>
  <r>
    <x v="0"/>
    <x v="0"/>
    <x v="0"/>
    <x v="2"/>
    <x v="6"/>
    <s v="NO1_A2"/>
    <x v="1"/>
    <s v="GHOB_MUNIWASTE"/>
    <n v="0.32978823529411799"/>
    <n v="1.18723764705882"/>
  </r>
  <r>
    <x v="0"/>
    <x v="0"/>
    <x v="0"/>
    <x v="2"/>
    <x v="6"/>
    <s v="NO1_A2"/>
    <x v="9"/>
    <s v="GHOB_WOODWASTE"/>
    <n v="8.56301725199754E-2"/>
    <n v="0.308268621071912"/>
  </r>
  <r>
    <x v="0"/>
    <x v="0"/>
    <x v="0"/>
    <x v="2"/>
    <x v="7"/>
    <s v="NO2_A1"/>
    <x v="13"/>
    <s v="GHOB_LNG"/>
    <n v="1.3170614876736E-2"/>
    <n v="4.7414213556249599E-2"/>
  </r>
  <r>
    <x v="0"/>
    <x v="0"/>
    <x v="0"/>
    <x v="2"/>
    <x v="7"/>
    <s v="NO2_A1"/>
    <x v="13"/>
    <s v="GHOB_LPG"/>
    <n v="3.8768223623721301E-2"/>
    <n v="0.139565605045397"/>
  </r>
  <r>
    <x v="0"/>
    <x v="0"/>
    <x v="0"/>
    <x v="2"/>
    <x v="7"/>
    <s v="NO2_A1"/>
    <x v="1"/>
    <s v="GBPR_MUNIWASTE"/>
    <n v="0.441869856985315"/>
    <n v="1.5907314851471399"/>
  </r>
  <r>
    <x v="0"/>
    <x v="0"/>
    <x v="0"/>
    <x v="2"/>
    <x v="7"/>
    <s v="NO2_A1"/>
    <x v="2"/>
    <s v="GHOB_WASTEHEAT"/>
    <n v="3.8816276368669397E-2"/>
    <n v="0.13973859492721"/>
  </r>
  <r>
    <x v="0"/>
    <x v="0"/>
    <x v="0"/>
    <x v="2"/>
    <x v="7"/>
    <s v="NO2_A1"/>
    <x v="7"/>
    <s v="GHYRR_WATER"/>
    <n v="12.0352086454608"/>
    <n v="43.326751123658902"/>
  </r>
  <r>
    <x v="0"/>
    <x v="0"/>
    <x v="0"/>
    <x v="2"/>
    <x v="7"/>
    <s v="NO2_A1"/>
    <x v="7"/>
    <s v="GHYRS_WATER"/>
    <n v="24.4824985281981"/>
    <n v="88.136994701513103"/>
  </r>
  <r>
    <x v="0"/>
    <x v="0"/>
    <x v="0"/>
    <x v="2"/>
    <x v="7"/>
    <s v="NO2_A1"/>
    <x v="8"/>
    <s v="GNR_WT_WIND_ONS"/>
    <n v="1.5001477000000001"/>
    <n v="5.40053172"/>
  </r>
  <r>
    <x v="0"/>
    <x v="0"/>
    <x v="0"/>
    <x v="2"/>
    <x v="8"/>
    <s v="NO3_A1"/>
    <x v="13"/>
    <s v="GHOB_LNG"/>
    <n v="4.2246293474844897E-2"/>
    <n v="0.152086656509442"/>
  </r>
  <r>
    <x v="0"/>
    <x v="0"/>
    <x v="0"/>
    <x v="2"/>
    <x v="8"/>
    <s v="NO3_A1"/>
    <x v="13"/>
    <s v="GHOB_LPG"/>
    <n v="3.1039711946087099E-2"/>
    <n v="0.11174296300591401"/>
  </r>
  <r>
    <x v="0"/>
    <x v="0"/>
    <x v="0"/>
    <x v="2"/>
    <x v="8"/>
    <s v="NO3_A1"/>
    <x v="1"/>
    <s v="GBPR_MUNIWASTE"/>
    <n v="0.17645277419354799"/>
    <n v="0.63522998709677403"/>
  </r>
  <r>
    <x v="0"/>
    <x v="0"/>
    <x v="0"/>
    <x v="2"/>
    <x v="8"/>
    <s v="NO3_A1"/>
    <x v="2"/>
    <s v="GHOB_WASTEHEAT"/>
    <n v="3.7584798618014198E-2"/>
    <n v="0.13530527502485101"/>
  </r>
  <r>
    <x v="0"/>
    <x v="0"/>
    <x v="0"/>
    <x v="2"/>
    <x v="8"/>
    <s v="NO3_A1"/>
    <x v="7"/>
    <s v="GHYRR_WATER"/>
    <n v="7.2289971164664797"/>
    <n v="26.024389619279301"/>
  </r>
  <r>
    <x v="0"/>
    <x v="0"/>
    <x v="0"/>
    <x v="2"/>
    <x v="8"/>
    <s v="NO3_A1"/>
    <x v="7"/>
    <s v="GHYRS_WATER"/>
    <n v="14.7618662902597"/>
    <n v="53.142718644934902"/>
  </r>
  <r>
    <x v="0"/>
    <x v="0"/>
    <x v="0"/>
    <x v="2"/>
    <x v="8"/>
    <s v="NO3_A1"/>
    <x v="8"/>
    <s v="GNR_WT_WIND_ONS"/>
    <n v="1.0027718999999999"/>
    <n v="3.6099788400000001"/>
  </r>
  <r>
    <x v="0"/>
    <x v="0"/>
    <x v="0"/>
    <x v="2"/>
    <x v="8"/>
    <s v="NO3_A2"/>
    <x v="13"/>
    <s v="GHOB_LNG"/>
    <n v="3.2673165304162297E-2"/>
    <n v="0.117623395094984"/>
  </r>
  <r>
    <x v="0"/>
    <x v="0"/>
    <x v="0"/>
    <x v="2"/>
    <x v="8"/>
    <s v="NO3_A2"/>
    <x v="13"/>
    <s v="GHOB_LPG"/>
    <n v="3.0876017989461699E-2"/>
    <n v="0.111153664762062"/>
  </r>
  <r>
    <x v="0"/>
    <x v="0"/>
    <x v="0"/>
    <x v="2"/>
    <x v="8"/>
    <s v="NO3_A2"/>
    <x v="1"/>
    <s v="GHOB_MUNIWASTE"/>
    <n v="0.66849316964755201"/>
    <n v="2.4065754107311901"/>
  </r>
  <r>
    <x v="0"/>
    <x v="0"/>
    <x v="0"/>
    <x v="2"/>
    <x v="9"/>
    <s v="NO4_A1"/>
    <x v="13"/>
    <s v="GHOB_LNG"/>
    <n v="2.3236527092589599E-2"/>
    <n v="8.36514975333226E-2"/>
  </r>
  <r>
    <x v="0"/>
    <x v="0"/>
    <x v="0"/>
    <x v="2"/>
    <x v="9"/>
    <s v="NO4_A1"/>
    <x v="13"/>
    <s v="GHOB_LPG"/>
    <n v="6.9387905722106402E-3"/>
    <n v="2.49796460599583E-2"/>
  </r>
  <r>
    <x v="0"/>
    <x v="0"/>
    <x v="0"/>
    <x v="2"/>
    <x v="9"/>
    <s v="NO4_A1"/>
    <x v="1"/>
    <s v="GBPR_MUNIWASTE"/>
    <n v="5.5971313548387096E-3"/>
    <n v="2.0149672877419301E-2"/>
  </r>
  <r>
    <x v="0"/>
    <x v="0"/>
    <x v="0"/>
    <x v="2"/>
    <x v="9"/>
    <s v="NO4_A1"/>
    <x v="1"/>
    <s v="GHOB_MUNIWASTE"/>
    <n v="0.15116301426588799"/>
    <n v="0.54418685135719702"/>
  </r>
  <r>
    <x v="0"/>
    <x v="0"/>
    <x v="0"/>
    <x v="2"/>
    <x v="9"/>
    <s v="NO4_A1"/>
    <x v="2"/>
    <s v="GHOB_WASTEHEAT"/>
    <n v="8.7987060439560102E-2"/>
    <n v="0.31675341758241599"/>
  </r>
  <r>
    <x v="0"/>
    <x v="0"/>
    <x v="0"/>
    <x v="2"/>
    <x v="9"/>
    <s v="NO4_A1"/>
    <x v="7"/>
    <s v="GHYRR_WATER"/>
    <n v="5.5658255385089399"/>
    <n v="20.036971938632199"/>
  </r>
  <r>
    <x v="0"/>
    <x v="0"/>
    <x v="0"/>
    <x v="2"/>
    <x v="9"/>
    <s v="NO4_A1"/>
    <x v="7"/>
    <s v="GHYRS_WATER"/>
    <n v="11.457208036614499"/>
    <n v="41.245948931812201"/>
  </r>
  <r>
    <x v="0"/>
    <x v="0"/>
    <x v="0"/>
    <x v="2"/>
    <x v="9"/>
    <s v="NO4_A1"/>
    <x v="8"/>
    <s v="GNR_WT_WIND_ONS"/>
    <n v="0.819936"/>
    <n v="2.9517696"/>
  </r>
  <r>
    <x v="0"/>
    <x v="0"/>
    <x v="0"/>
    <x v="2"/>
    <x v="10"/>
    <s v="NO5_A1"/>
    <x v="13"/>
    <s v="GHOB_LPG"/>
    <n v="8.6739392789373898E-2"/>
    <n v="0.31226181404174602"/>
  </r>
  <r>
    <x v="0"/>
    <x v="0"/>
    <x v="0"/>
    <x v="2"/>
    <x v="10"/>
    <s v="NO5_A1"/>
    <x v="1"/>
    <s v="GBPR_MUNIWASTE"/>
    <n v="0.32904946236559102"/>
    <n v="1.1845780645161299"/>
  </r>
  <r>
    <x v="0"/>
    <x v="0"/>
    <x v="0"/>
    <x v="2"/>
    <x v="10"/>
    <s v="NO5_A1"/>
    <x v="7"/>
    <s v="GHYRR_WATER"/>
    <n v="4.2591856656192402"/>
    <n v="15.3330683962292"/>
  </r>
  <r>
    <x v="0"/>
    <x v="0"/>
    <x v="0"/>
    <x v="2"/>
    <x v="10"/>
    <s v="NO5_A1"/>
    <x v="7"/>
    <s v="GHYRS_WATER"/>
    <n v="9.8345840409323504"/>
    <n v="35.4045025473565"/>
  </r>
  <r>
    <x v="0"/>
    <x v="0"/>
    <x v="0"/>
    <x v="3"/>
    <x v="11"/>
    <s v="SE1A"/>
    <x v="7"/>
    <s v="GHYRR_WATER"/>
    <n v="5.2294426027032399"/>
    <n v="18.825993369731702"/>
  </r>
  <r>
    <x v="0"/>
    <x v="0"/>
    <x v="0"/>
    <x v="3"/>
    <x v="11"/>
    <s v="SE1A"/>
    <x v="7"/>
    <s v="GHYRS_WATER"/>
    <n v="20.5261031674208"/>
    <n v="73.893971402714897"/>
  </r>
  <r>
    <x v="0"/>
    <x v="0"/>
    <x v="0"/>
    <x v="3"/>
    <x v="11"/>
    <s v="SE1A"/>
    <x v="8"/>
    <s v="GNR_WT_WIND_ONS"/>
    <n v="1.3272919999999999"/>
    <n v="4.7782511999999997"/>
  </r>
  <r>
    <x v="0"/>
    <x v="0"/>
    <x v="0"/>
    <x v="3"/>
    <x v="11"/>
    <s v="SE1_EL"/>
    <x v="1"/>
    <s v="GBPR_MUNIWASTE"/>
    <n v="0.14639067988622101"/>
    <n v="0.52700644759039605"/>
  </r>
  <r>
    <x v="0"/>
    <x v="0"/>
    <x v="0"/>
    <x v="3"/>
    <x v="11"/>
    <s v="SE1_EL"/>
    <x v="2"/>
    <s v="GHOB_WASTEHEAT"/>
    <n v="1.0915592504598499"/>
    <n v="3.9296133016554502"/>
  </r>
  <r>
    <x v="0"/>
    <x v="0"/>
    <x v="0"/>
    <x v="3"/>
    <x v="11"/>
    <s v="SE1_OTHER"/>
    <x v="14"/>
    <s v="GBPR_PEAT_38"/>
    <n v="0.148238364781559"/>
    <n v="0.53365811321361301"/>
  </r>
  <r>
    <x v="0"/>
    <x v="0"/>
    <x v="0"/>
    <x v="3"/>
    <x v="11"/>
    <s v="SE1_OTHER"/>
    <x v="14"/>
    <s v="GHOB_PEAT"/>
    <n v="0.108651812071654"/>
    <n v="0.39114652345795298"/>
  </r>
  <r>
    <x v="0"/>
    <x v="0"/>
    <x v="0"/>
    <x v="3"/>
    <x v="11"/>
    <s v="SE1_OTHER"/>
    <x v="2"/>
    <s v="GHOB_WASTEHEAT"/>
    <n v="0.31385989010988902"/>
    <n v="1.1298956043956001"/>
  </r>
  <r>
    <x v="0"/>
    <x v="0"/>
    <x v="0"/>
    <x v="3"/>
    <x v="11"/>
    <s v="SE1_OTHER"/>
    <x v="9"/>
    <s v="GBPR_WOODWASTE"/>
    <n v="0.69861989755898901"/>
    <n v="2.5150316312123602"/>
  </r>
  <r>
    <x v="0"/>
    <x v="0"/>
    <x v="0"/>
    <x v="3"/>
    <x v="11"/>
    <s v="SE1_OTHER"/>
    <x v="9"/>
    <s v="GHOB_WOODWASTE"/>
    <n v="0.217843582964281"/>
    <n v="0.784236898671413"/>
  </r>
  <r>
    <x v="0"/>
    <x v="0"/>
    <x v="0"/>
    <x v="3"/>
    <x v="12"/>
    <s v="SE2A"/>
    <x v="7"/>
    <s v="GHYRR_WATER"/>
    <n v="7.9209945773647004"/>
    <n v="28.515580478512899"/>
  </r>
  <r>
    <x v="0"/>
    <x v="0"/>
    <x v="0"/>
    <x v="3"/>
    <x v="12"/>
    <s v="SE2A"/>
    <x v="7"/>
    <s v="GHYRS_WATER"/>
    <n v="31.102957466063302"/>
    <n v="111.970646877828"/>
  </r>
  <r>
    <x v="0"/>
    <x v="0"/>
    <x v="0"/>
    <x v="3"/>
    <x v="12"/>
    <s v="SE2A"/>
    <x v="8"/>
    <s v="GNR_WT_WIND_ONS"/>
    <n v="5.7980369999999999"/>
    <n v="20.872933199999999"/>
  </r>
  <r>
    <x v="0"/>
    <x v="0"/>
    <x v="0"/>
    <x v="3"/>
    <x v="12"/>
    <s v="SE2_EL"/>
    <x v="1"/>
    <s v="GBPR_MUNIWASTE_24"/>
    <n v="1.89802728790387"/>
    <n v="6.8328982364539197"/>
  </r>
  <r>
    <x v="0"/>
    <x v="0"/>
    <x v="0"/>
    <x v="3"/>
    <x v="12"/>
    <s v="SE2_EL"/>
    <x v="2"/>
    <s v="GHOB_WASTEHEAT"/>
    <n v="0.151414835164835"/>
    <n v="0.545093406593404"/>
  </r>
  <r>
    <x v="0"/>
    <x v="0"/>
    <x v="0"/>
    <x v="3"/>
    <x v="12"/>
    <s v="SE2_EL"/>
    <x v="9"/>
    <s v="GBPR_WOODWASTE_25"/>
    <n v="1.3622364398514799"/>
    <n v="4.9040511834653397"/>
  </r>
  <r>
    <x v="0"/>
    <x v="0"/>
    <x v="0"/>
    <x v="3"/>
    <x v="12"/>
    <s v="SE2_EL"/>
    <x v="9"/>
    <s v="GEXT_WOODWASTE_HORNEBORG"/>
    <n v="0.735932049036777"/>
    <n v="2.6493553765323998"/>
  </r>
  <r>
    <x v="0"/>
    <x v="0"/>
    <x v="0"/>
    <x v="3"/>
    <x v="12"/>
    <s v="SE2_OTHER"/>
    <x v="1"/>
    <s v="GBPR_MUNIWASTE_24"/>
    <n v="0.14386926660923799"/>
    <n v="0.51792935979325605"/>
  </r>
  <r>
    <x v="0"/>
    <x v="0"/>
    <x v="0"/>
    <x v="3"/>
    <x v="12"/>
    <s v="SE2_OTHER"/>
    <x v="2"/>
    <s v="GHOB_WASTEHEAT"/>
    <n v="0.14043415109890101"/>
    <n v="0.50556294395604195"/>
  </r>
  <r>
    <x v="0"/>
    <x v="0"/>
    <x v="0"/>
    <x v="3"/>
    <x v="12"/>
    <s v="SE2_OTHER"/>
    <x v="9"/>
    <s v="GBPR_WOODWASTE_36"/>
    <n v="1.3408005874376401"/>
    <n v="4.8268821147754899"/>
  </r>
  <r>
    <x v="0"/>
    <x v="0"/>
    <x v="0"/>
    <x v="3"/>
    <x v="12"/>
    <s v="SE2_OTHER"/>
    <x v="9"/>
    <s v="GHOB_WOODWASTE"/>
    <n v="0.79076677213218505"/>
    <n v="2.84676037967587"/>
  </r>
  <r>
    <x v="0"/>
    <x v="0"/>
    <x v="0"/>
    <x v="3"/>
    <x v="13"/>
    <s v="SE3A"/>
    <x v="12"/>
    <s v="GCND_NUCLEAR"/>
    <n v="174.97633143472601"/>
    <n v="629.91479316501398"/>
  </r>
  <r>
    <x v="0"/>
    <x v="0"/>
    <x v="0"/>
    <x v="3"/>
    <x v="13"/>
    <s v="SE3A"/>
    <x v="7"/>
    <s v="GHYRR_WATER"/>
    <n v="2.48832245171281"/>
    <n v="8.9579608261661292"/>
  </r>
  <r>
    <x v="0"/>
    <x v="0"/>
    <x v="0"/>
    <x v="3"/>
    <x v="13"/>
    <s v="SE3A"/>
    <x v="7"/>
    <s v="GHYRS_WATER"/>
    <n v="9.7789683257918494"/>
    <n v="35.204285972850599"/>
  </r>
  <r>
    <x v="0"/>
    <x v="0"/>
    <x v="0"/>
    <x v="3"/>
    <x v="13"/>
    <s v="SE3A"/>
    <x v="8"/>
    <s v="GNR_WT_WIND_ONS"/>
    <n v="4.6407759999999998"/>
    <n v="16.706793600000001"/>
  </r>
  <r>
    <x v="0"/>
    <x v="0"/>
    <x v="0"/>
    <x v="3"/>
    <x v="13"/>
    <s v="SE3_EL"/>
    <x v="0"/>
    <s v="GEXT_COAL_LINK"/>
    <n v="0.260215557869382"/>
    <n v="0.93677600832977503"/>
  </r>
  <r>
    <x v="0"/>
    <x v="0"/>
    <x v="0"/>
    <x v="3"/>
    <x v="13"/>
    <s v="SE3_EL"/>
    <x v="1"/>
    <s v="GBPR_MUNIWASTE_24"/>
    <n v="2.1025490871593502"/>
    <n v="7.5691767137736701"/>
  </r>
  <r>
    <x v="0"/>
    <x v="0"/>
    <x v="0"/>
    <x v="3"/>
    <x v="13"/>
    <s v="SE3_EL"/>
    <x v="1"/>
    <s v="GBPR_MUNIWASTE_LINK"/>
    <n v="1.9063402424154301"/>
    <n v="6.8628248726955396"/>
  </r>
  <r>
    <x v="0"/>
    <x v="0"/>
    <x v="0"/>
    <x v="3"/>
    <x v="13"/>
    <s v="SE3_EL"/>
    <x v="1"/>
    <s v="GHOB_MUNIWASTE"/>
    <n v="1.6575036603089699"/>
    <n v="5.9670131771122898"/>
  </r>
  <r>
    <x v="0"/>
    <x v="0"/>
    <x v="0"/>
    <x v="3"/>
    <x v="13"/>
    <s v="SE3_EL"/>
    <x v="14"/>
    <s v="GBPR_PEAT_38"/>
    <n v="0.35056556021644197"/>
    <n v="1.26203601677919"/>
  </r>
  <r>
    <x v="0"/>
    <x v="0"/>
    <x v="0"/>
    <x v="3"/>
    <x v="13"/>
    <s v="SE3_EL"/>
    <x v="14"/>
    <s v="GEXT_PEAT"/>
    <n v="1.4321077937703801"/>
    <n v="5.1555880575733797"/>
  </r>
  <r>
    <x v="0"/>
    <x v="0"/>
    <x v="0"/>
    <x v="3"/>
    <x v="13"/>
    <s v="SE3_EL"/>
    <x v="14"/>
    <s v="GHOB_PEAT"/>
    <n v="0.19432906209991899"/>
    <n v="0.69958462355970696"/>
  </r>
  <r>
    <x v="0"/>
    <x v="0"/>
    <x v="0"/>
    <x v="3"/>
    <x v="13"/>
    <s v="SE3_EL"/>
    <x v="15"/>
    <s v="GBPR_RECYCLEDWOOD_SE3EL"/>
    <n v="0.90482791606631596"/>
    <n v="3.25738049783874"/>
  </r>
  <r>
    <x v="0"/>
    <x v="0"/>
    <x v="0"/>
    <x v="3"/>
    <x v="13"/>
    <s v="SE3_EL"/>
    <x v="15"/>
    <s v="GHOB_RECYCLEDWOOD"/>
    <n v="0.23581935398350101"/>
    <n v="0.84894967434060298"/>
  </r>
  <r>
    <x v="0"/>
    <x v="0"/>
    <x v="0"/>
    <x v="3"/>
    <x v="13"/>
    <s v="SE3_EL"/>
    <x v="2"/>
    <s v="GHOB_WASTEHEAT"/>
    <n v="0.23845329670329601"/>
    <n v="0.85843186813186501"/>
  </r>
  <r>
    <x v="0"/>
    <x v="0"/>
    <x v="0"/>
    <x v="3"/>
    <x v="13"/>
    <s v="SE3_EL"/>
    <x v="9"/>
    <s v="GBPR_WOODWASTE_25"/>
    <n v="2.2024112784588499"/>
    <n v="7.9286806024518404"/>
  </r>
  <r>
    <x v="0"/>
    <x v="0"/>
    <x v="0"/>
    <x v="3"/>
    <x v="13"/>
    <s v="SE3_EL"/>
    <x v="9"/>
    <s v="GBPR_WOODWASTE_ABY"/>
    <n v="1.5148641481110801"/>
    <n v="5.4535109331998903"/>
  </r>
  <r>
    <x v="0"/>
    <x v="0"/>
    <x v="0"/>
    <x v="3"/>
    <x v="13"/>
    <s v="SE3_EL"/>
    <x v="9"/>
    <s v="GHOB_WOODWASTE"/>
    <n v="0.48146427369939199"/>
    <n v="1.7332713853178101"/>
  </r>
  <r>
    <x v="0"/>
    <x v="0"/>
    <x v="0"/>
    <x v="3"/>
    <x v="13"/>
    <s v="SE3_GOT"/>
    <x v="1"/>
    <s v="GBPR_MUNIWASTE_24"/>
    <n v="2.04172888888889"/>
    <n v="7.3502239999999999"/>
  </r>
  <r>
    <x v="0"/>
    <x v="0"/>
    <x v="0"/>
    <x v="3"/>
    <x v="13"/>
    <s v="SE3_GOT"/>
    <x v="3"/>
    <s v="GHOB_NATGAS"/>
    <n v="7.9989335577752896E-2"/>
    <n v="0.28796160807991"/>
  </r>
  <r>
    <x v="0"/>
    <x v="0"/>
    <x v="0"/>
    <x v="3"/>
    <x v="13"/>
    <s v="SE3_GOT"/>
    <x v="2"/>
    <s v="GHOB_WASTEHEAT"/>
    <n v="1.03583791208791"/>
    <n v="3.7290164835164701"/>
  </r>
  <r>
    <x v="0"/>
    <x v="0"/>
    <x v="0"/>
    <x v="3"/>
    <x v="13"/>
    <s v="SE3_GOT"/>
    <x v="9"/>
    <s v="GBPR_WOODWASTE_GOT"/>
    <n v="0.72695775983838196"/>
    <n v="2.6170479354181801"/>
  </r>
  <r>
    <x v="0"/>
    <x v="0"/>
    <x v="0"/>
    <x v="3"/>
    <x v="13"/>
    <s v="SE3_HP"/>
    <x v="1"/>
    <s v="GBPR_MUNIWASTE_24"/>
    <n v="1.5087909515495499"/>
    <n v="5.4316474255783804"/>
  </r>
  <r>
    <x v="0"/>
    <x v="0"/>
    <x v="0"/>
    <x v="3"/>
    <x v="13"/>
    <s v="SE3_HP"/>
    <x v="2"/>
    <s v="GHOB_WASTEHEAT"/>
    <n v="3.0082417582417501E-5"/>
    <n v="1.08296703296703E-4"/>
  </r>
  <r>
    <x v="0"/>
    <x v="0"/>
    <x v="0"/>
    <x v="3"/>
    <x v="13"/>
    <s v="SE3_HP"/>
    <x v="9"/>
    <s v="GBPR_WOODWASTE_36"/>
    <n v="0.76285639229421998"/>
    <n v="2.7462830122591999"/>
  </r>
  <r>
    <x v="0"/>
    <x v="0"/>
    <x v="0"/>
    <x v="3"/>
    <x v="13"/>
    <s v="SE3_HP"/>
    <x v="9"/>
    <s v="GEXT_WOODWASTE"/>
    <n v="2.8851426426672"/>
    <n v="10.3865135136019"/>
  </r>
  <r>
    <x v="0"/>
    <x v="0"/>
    <x v="0"/>
    <x v="3"/>
    <x v="13"/>
    <s v="SE3_HP"/>
    <x v="9"/>
    <s v="GHOB_WOODWASTE"/>
    <n v="0.146731969127434"/>
    <n v="0.52823508885876203"/>
  </r>
  <r>
    <x v="0"/>
    <x v="0"/>
    <x v="0"/>
    <x v="3"/>
    <x v="13"/>
    <s v="SE3_OTHER"/>
    <x v="0"/>
    <s v="GBPR_COAL_SE3"/>
    <n v="0.50026877024805305"/>
    <n v="1.8009675728929899"/>
  </r>
  <r>
    <x v="0"/>
    <x v="0"/>
    <x v="0"/>
    <x v="3"/>
    <x v="13"/>
    <s v="SE3_OTHER"/>
    <x v="1"/>
    <s v="GBPR_MUNIWASTE_24"/>
    <n v="1.3153998562926199"/>
    <n v="4.7354394826534296"/>
  </r>
  <r>
    <x v="0"/>
    <x v="0"/>
    <x v="0"/>
    <x v="3"/>
    <x v="13"/>
    <s v="SE3_OTHER"/>
    <x v="1"/>
    <s v="GHOB_MUNIWASTE"/>
    <n v="1.10839302774282"/>
    <n v="3.99021489987416"/>
  </r>
  <r>
    <x v="0"/>
    <x v="0"/>
    <x v="0"/>
    <x v="3"/>
    <x v="13"/>
    <s v="SE3_OTHER"/>
    <x v="16"/>
    <s v="GHOB_OTHERGAS"/>
    <n v="0.20611764705882399"/>
    <n v="0.74202352941176497"/>
  </r>
  <r>
    <x v="0"/>
    <x v="0"/>
    <x v="0"/>
    <x v="3"/>
    <x v="13"/>
    <s v="SE3_OTHER"/>
    <x v="15"/>
    <s v="GBPR_RECYCLEDWOOD_SE3OTHER"/>
    <n v="0.54544487385222196"/>
    <n v="1.9636015458680001"/>
  </r>
  <r>
    <x v="0"/>
    <x v="0"/>
    <x v="0"/>
    <x v="3"/>
    <x v="13"/>
    <s v="SE3_OTHER"/>
    <x v="15"/>
    <s v="GHOB_RECYCLEDWOOD"/>
    <n v="0.55024560087249497"/>
    <n v="1.9808841631409799"/>
  </r>
  <r>
    <x v="0"/>
    <x v="0"/>
    <x v="0"/>
    <x v="3"/>
    <x v="13"/>
    <s v="SE3_OTHER"/>
    <x v="4"/>
    <s v="GHOB_STRAW"/>
    <n v="7.0262500000000004E-3"/>
    <n v="2.5294500000000001E-2"/>
  </r>
  <r>
    <x v="0"/>
    <x v="0"/>
    <x v="0"/>
    <x v="3"/>
    <x v="13"/>
    <s v="SE3_OTHER"/>
    <x v="2"/>
    <s v="GHOB_WASTEHEAT"/>
    <n v="1.18305324175824"/>
    <n v="4.2589916703296504"/>
  </r>
  <r>
    <x v="0"/>
    <x v="0"/>
    <x v="0"/>
    <x v="3"/>
    <x v="13"/>
    <s v="SE3_OTHER"/>
    <x v="5"/>
    <s v="GHOB_WOODCHIPS"/>
    <n v="0.45269538848504898"/>
    <n v="1.62970339854618"/>
  </r>
  <r>
    <x v="0"/>
    <x v="0"/>
    <x v="0"/>
    <x v="3"/>
    <x v="13"/>
    <s v="SE3_OTHER"/>
    <x v="9"/>
    <s v="GBPR_WOODWASTE_25"/>
    <n v="6.0824413643169901"/>
    <n v="21.896788911541201"/>
  </r>
  <r>
    <x v="0"/>
    <x v="0"/>
    <x v="0"/>
    <x v="3"/>
    <x v="13"/>
    <s v="SE3_OTHER"/>
    <x v="9"/>
    <s v="GHOB_WOODWASTE"/>
    <n v="3.1820499772100099"/>
    <n v="11.455379917956"/>
  </r>
  <r>
    <x v="0"/>
    <x v="0"/>
    <x v="0"/>
    <x v="3"/>
    <x v="13"/>
    <s v="SE3_STO"/>
    <x v="0"/>
    <s v="GBPR_COAL_VARTAN"/>
    <n v="1.2684634574765601"/>
    <n v="4.5664684469156001"/>
  </r>
  <r>
    <x v="0"/>
    <x v="0"/>
    <x v="0"/>
    <x v="3"/>
    <x v="13"/>
    <s v="SE3_STO"/>
    <x v="1"/>
    <s v="GBPR_MUNIWASTE_HOGDALEN"/>
    <n v="1.49397131395108"/>
    <n v="5.3782967302238998"/>
  </r>
  <r>
    <x v="0"/>
    <x v="0"/>
    <x v="0"/>
    <x v="3"/>
    <x v="13"/>
    <s v="SE3_STO"/>
    <x v="1"/>
    <s v="GHOB_MUNIWASTE"/>
    <n v="1.0596397663968899"/>
    <n v="3.8147031590288201"/>
  </r>
  <r>
    <x v="0"/>
    <x v="0"/>
    <x v="0"/>
    <x v="3"/>
    <x v="13"/>
    <s v="SE3_STO"/>
    <x v="9"/>
    <s v="GBPR_WOODWASTE"/>
    <n v="2.4040743533647602"/>
    <n v="8.6546676721131206"/>
  </r>
  <r>
    <x v="0"/>
    <x v="0"/>
    <x v="0"/>
    <x v="3"/>
    <x v="13"/>
    <s v="SE3_STO"/>
    <x v="9"/>
    <s v="GBPR_WOODWASTE_BRISTA"/>
    <n v="1.32574919939076"/>
    <n v="4.7726971178067501"/>
  </r>
  <r>
    <x v="0"/>
    <x v="0"/>
    <x v="0"/>
    <x v="3"/>
    <x v="14"/>
    <s v="SE4A"/>
    <x v="7"/>
    <s v="GHYRR_WATER"/>
    <n v="0.71089608721217201"/>
    <n v="2.5592259139638198"/>
  </r>
  <r>
    <x v="0"/>
    <x v="0"/>
    <x v="0"/>
    <x v="3"/>
    <x v="14"/>
    <s v="SE4A"/>
    <x v="7"/>
    <s v="GHYRS_WATER"/>
    <n v="1.65901900452489"/>
    <n v="5.9724684162895896"/>
  </r>
  <r>
    <x v="0"/>
    <x v="0"/>
    <x v="0"/>
    <x v="3"/>
    <x v="14"/>
    <s v="SE4A"/>
    <x v="8"/>
    <s v="GNR_WT_WIND_ONS"/>
    <n v="2.8917470000000001"/>
    <n v="10.410289199999999"/>
  </r>
  <r>
    <x v="0"/>
    <x v="0"/>
    <x v="0"/>
    <x v="3"/>
    <x v="14"/>
    <s v="SE4_EL"/>
    <x v="15"/>
    <s v="GBPR_RECYCLEDWOOD"/>
    <n v="0.41247538060376898"/>
    <n v="1.4849113701735701"/>
  </r>
  <r>
    <x v="0"/>
    <x v="0"/>
    <x v="0"/>
    <x v="3"/>
    <x v="14"/>
    <s v="SE4_EL"/>
    <x v="15"/>
    <s v="GBPR_RECYCLEDWOOD_SE4EL"/>
    <n v="1.45684212598816E-2"/>
    <n v="5.24463165355738E-2"/>
  </r>
  <r>
    <x v="0"/>
    <x v="0"/>
    <x v="0"/>
    <x v="3"/>
    <x v="14"/>
    <s v="SE4_EL"/>
    <x v="15"/>
    <s v="GHOB_RECYCLEDWOOD"/>
    <n v="8.33704370042237E-3"/>
    <n v="3.0013357321520499E-2"/>
  </r>
  <r>
    <x v="0"/>
    <x v="0"/>
    <x v="0"/>
    <x v="3"/>
    <x v="14"/>
    <s v="SE4_EL"/>
    <x v="4"/>
    <s v="GHOB_STRAW"/>
    <n v="1.11913353396655E-3"/>
    <n v="4.0288807222795897E-3"/>
  </r>
  <r>
    <x v="0"/>
    <x v="0"/>
    <x v="0"/>
    <x v="3"/>
    <x v="14"/>
    <s v="SE4_EL"/>
    <x v="2"/>
    <s v="GHOB_WASTEHEAT"/>
    <n v="9.1249999999999595E-2"/>
    <n v="0.32849999999999902"/>
  </r>
  <r>
    <x v="0"/>
    <x v="0"/>
    <x v="0"/>
    <x v="3"/>
    <x v="14"/>
    <s v="SE4_EL"/>
    <x v="9"/>
    <s v="GHOB_WOODWASTE"/>
    <n v="0.46479018629854801"/>
    <n v="1.6732446706747699"/>
  </r>
  <r>
    <x v="0"/>
    <x v="0"/>
    <x v="0"/>
    <x v="3"/>
    <x v="14"/>
    <s v="SE4_HP"/>
    <x v="1"/>
    <s v="GBPR_MUNIWASTE_65"/>
    <n v="0.45329523809523797"/>
    <n v="1.6318628571428599"/>
  </r>
  <r>
    <x v="0"/>
    <x v="0"/>
    <x v="0"/>
    <x v="3"/>
    <x v="14"/>
    <s v="SE4_HP"/>
    <x v="3"/>
    <s v="GHOB_NATGAS"/>
    <n v="0.232791528555921"/>
    <n v="0.83804950280131396"/>
  </r>
  <r>
    <x v="0"/>
    <x v="0"/>
    <x v="0"/>
    <x v="3"/>
    <x v="14"/>
    <s v="SE4_HP"/>
    <x v="2"/>
    <s v="GHOB_WASTEHEAT"/>
    <n v="0.30282967032966901"/>
    <n v="1.09018681318681"/>
  </r>
  <r>
    <x v="0"/>
    <x v="0"/>
    <x v="0"/>
    <x v="3"/>
    <x v="14"/>
    <s v="SE4_HP"/>
    <x v="9"/>
    <s v="GHOB_WOODWASTE"/>
    <n v="0.135476960131864"/>
    <n v="0.48771705647470898"/>
  </r>
  <r>
    <x v="0"/>
    <x v="0"/>
    <x v="0"/>
    <x v="3"/>
    <x v="14"/>
    <s v="SE4_MAL"/>
    <x v="1"/>
    <s v="GBPR_MUNIWASTE_24"/>
    <n v="1.1522633406430001"/>
    <n v="4.1481480263148001"/>
  </r>
  <r>
    <x v="0"/>
    <x v="0"/>
    <x v="0"/>
    <x v="3"/>
    <x v="14"/>
    <s v="SE4_MAL"/>
    <x v="1"/>
    <s v="GHOB_MUNIWASTE"/>
    <n v="0.454131328455811"/>
    <n v="1.6348727824409199"/>
  </r>
  <r>
    <x v="0"/>
    <x v="0"/>
    <x v="0"/>
    <x v="3"/>
    <x v="14"/>
    <s v="SE4_MAL"/>
    <x v="3"/>
    <s v="GBPR_NATGAS_MAL"/>
    <n v="0.35801636974503198"/>
    <n v="1.2888589310821099"/>
  </r>
  <r>
    <x v="0"/>
    <x v="0"/>
    <x v="0"/>
    <x v="3"/>
    <x v="14"/>
    <s v="SE4_MAL"/>
    <x v="2"/>
    <s v="GHOB_WASTEHEAT"/>
    <n v="0.108296703296703"/>
    <n v="0.38986813186813102"/>
  </r>
  <r>
    <x v="0"/>
    <x v="0"/>
    <x v="0"/>
    <x v="3"/>
    <x v="14"/>
    <s v="SE4_MAL"/>
    <x v="5"/>
    <s v="GHOB_WOODCHIPS"/>
    <n v="0.66352970547021095"/>
    <n v="2.38870693969276"/>
  </r>
  <r>
    <x v="0"/>
    <x v="0"/>
    <x v="0"/>
    <x v="3"/>
    <x v="14"/>
    <s v="SE4_OTHER"/>
    <x v="1"/>
    <s v="GBPR_MUNIWASTE_19"/>
    <n v="0.63635390505347"/>
    <n v="2.29087405819249"/>
  </r>
  <r>
    <x v="0"/>
    <x v="0"/>
    <x v="0"/>
    <x v="3"/>
    <x v="14"/>
    <s v="SE4_OTHER"/>
    <x v="1"/>
    <s v="GHOB_MUNIWASTE"/>
    <n v="0.12265330296044"/>
    <n v="0.44155189065758499"/>
  </r>
  <r>
    <x v="0"/>
    <x v="0"/>
    <x v="0"/>
    <x v="3"/>
    <x v="14"/>
    <s v="SE4_OTHER"/>
    <x v="15"/>
    <s v="GHOB_RECYCLEDWOOD"/>
    <n v="0.39159909880840499"/>
    <n v="1.4097567557102599"/>
  </r>
  <r>
    <x v="0"/>
    <x v="0"/>
    <x v="0"/>
    <x v="3"/>
    <x v="14"/>
    <s v="SE4_OTHER"/>
    <x v="2"/>
    <s v="GHOB_WASTEHEAT"/>
    <n v="0.481388873626372"/>
    <n v="1.73299994505494"/>
  </r>
  <r>
    <x v="0"/>
    <x v="0"/>
    <x v="0"/>
    <x v="3"/>
    <x v="14"/>
    <s v="SE4_OTHER"/>
    <x v="5"/>
    <s v="GBPR_WOODCHIPS_25"/>
    <n v="5.6010859341739903E-3"/>
    <n v="2.0163909363026401E-2"/>
  </r>
  <r>
    <x v="0"/>
    <x v="0"/>
    <x v="0"/>
    <x v="3"/>
    <x v="14"/>
    <s v="SE4_OTHER"/>
    <x v="5"/>
    <s v="GHOB_WOODCHIPS"/>
    <n v="0.29687412565876098"/>
    <n v="1.06874685237154"/>
  </r>
  <r>
    <x v="0"/>
    <x v="0"/>
    <x v="0"/>
    <x v="3"/>
    <x v="14"/>
    <s v="SE4_OTHER"/>
    <x v="9"/>
    <s v="GBPR_WOODWASTE_36"/>
    <n v="2.1522721681260899"/>
    <n v="7.7481798052539501"/>
  </r>
  <r>
    <x v="0"/>
    <x v="0"/>
    <x v="0"/>
    <x v="3"/>
    <x v="14"/>
    <s v="SE4_OTHER"/>
    <x v="9"/>
    <s v="GHOB_WOODWASTE"/>
    <n v="2.0737540560133199"/>
    <n v="7.4655146016479401"/>
  </r>
  <r>
    <x v="0"/>
    <x v="0"/>
    <x v="1"/>
    <x v="0"/>
    <x v="0"/>
    <s v="DK1_Large"/>
    <x v="1"/>
    <s v="GNR_BO_MSW_E-105"/>
    <n v="9.6527198781014206E-2"/>
    <n v="0.347497915611651"/>
  </r>
  <r>
    <x v="0"/>
    <x v="0"/>
    <x v="1"/>
    <x v="0"/>
    <x v="0"/>
    <s v="DK1_Large"/>
    <x v="1"/>
    <s v="GNR_ST_MSW_BP_E-27"/>
    <n v="7.25944444444446E-2"/>
    <n v="0.26134000000000102"/>
  </r>
  <r>
    <x v="0"/>
    <x v="0"/>
    <x v="1"/>
    <x v="0"/>
    <x v="0"/>
    <s v="DK1_Large"/>
    <x v="4"/>
    <s v="GNR_BO_STRW_E-100"/>
    <n v="1.8797499999999999E-3"/>
    <n v="6.7670999999999999E-3"/>
  </r>
  <r>
    <x v="0"/>
    <x v="0"/>
    <x v="1"/>
    <x v="0"/>
    <x v="0"/>
    <s v="DK1_Large"/>
    <x v="4"/>
    <s v="GNR_BO_STRW_E-102"/>
    <n v="2.6350921303330702E-3"/>
    <n v="9.4863316691990596E-3"/>
  </r>
  <r>
    <x v="0"/>
    <x v="0"/>
    <x v="1"/>
    <x v="0"/>
    <x v="0"/>
    <s v="DK1_Large"/>
    <x v="2"/>
    <s v="GNR_EH_HEAT"/>
    <n v="5.89475E-2"/>
    <n v="0.21221100000000001"/>
  </r>
  <r>
    <x v="0"/>
    <x v="0"/>
    <x v="1"/>
    <x v="0"/>
    <x v="0"/>
    <s v="DK1_Large"/>
    <x v="5"/>
    <s v="GNR_BO_WOODCHI_E-100"/>
    <n v="1.4843597111892599E-2"/>
    <n v="5.34369496028132E-2"/>
  </r>
  <r>
    <x v="0"/>
    <x v="0"/>
    <x v="1"/>
    <x v="0"/>
    <x v="0"/>
    <s v="DK1_Large"/>
    <x v="5"/>
    <s v="GNR_ST_WOODCHI_BP_E-23"/>
    <n v="5.40118210241555E-3"/>
    <n v="1.9444255568696001E-2"/>
  </r>
  <r>
    <x v="0"/>
    <x v="0"/>
    <x v="1"/>
    <x v="0"/>
    <x v="0"/>
    <s v="DK1_MedSmall"/>
    <x v="2"/>
    <s v="GNR_EH_HEAT"/>
    <n v="5.8400000000000001E-2"/>
    <n v="0.21024000000000001"/>
  </r>
  <r>
    <x v="0"/>
    <x v="0"/>
    <x v="1"/>
    <x v="0"/>
    <x v="0"/>
    <s v="DK1_MedSmall"/>
    <x v="5"/>
    <s v="GNR_BO_WOODCHI_E-110"/>
    <n v="2.1020890390603302E-3"/>
    <n v="7.5675205406171902E-3"/>
  </r>
  <r>
    <x v="0"/>
    <x v="0"/>
    <x v="1"/>
    <x v="0"/>
    <x v="0"/>
    <s v="DK1_Medium"/>
    <x v="2"/>
    <s v="GNR_GEO_HEAT_HO"/>
    <n v="5.8400000000000001E-2"/>
    <n v="0.21024000000000001"/>
  </r>
  <r>
    <x v="0"/>
    <x v="0"/>
    <x v="1"/>
    <x v="0"/>
    <x v="0"/>
    <s v="DK1_Medium"/>
    <x v="5"/>
    <s v="GNR_BO_WOODCHI_E-100"/>
    <n v="6.9602031886535701E-3"/>
    <n v="2.50567314791529E-2"/>
  </r>
  <r>
    <x v="0"/>
    <x v="0"/>
    <x v="1"/>
    <x v="0"/>
    <x v="0"/>
    <s v="DK1_NoDH"/>
    <x v="6"/>
    <s v="GNR_PV_SUN"/>
    <n v="0.56969215361430103"/>
    <n v="2.0508917530114799"/>
  </r>
  <r>
    <x v="0"/>
    <x v="0"/>
    <x v="1"/>
    <x v="0"/>
    <x v="0"/>
    <s v="DK1_NoDH"/>
    <x v="7"/>
    <s v="GNR_ROR_WTR"/>
    <n v="5.3554007118908398E-5"/>
    <n v="1.9279442562806999E-4"/>
  </r>
  <r>
    <x v="0"/>
    <x v="0"/>
    <x v="1"/>
    <x v="0"/>
    <x v="0"/>
    <s v="DK1_NoDH"/>
    <x v="8"/>
    <s v="GNR_WT_WIND_ONS"/>
    <n v="4.7053835079999997"/>
    <n v="16.939380628799999"/>
  </r>
  <r>
    <x v="0"/>
    <x v="0"/>
    <x v="1"/>
    <x v="0"/>
    <x v="0"/>
    <s v="DK1_Offshore"/>
    <x v="8"/>
    <s v="GNR_WT_WIND_OFF"/>
    <n v="6.2251573999999996"/>
    <n v="22.410566639999999"/>
  </r>
  <r>
    <x v="0"/>
    <x v="0"/>
    <x v="1"/>
    <x v="0"/>
    <x v="0"/>
    <s v="DK1_Rural"/>
    <x v="2"/>
    <s v="GNR_EH_HEAT"/>
    <n v="0.14374866410828299"/>
    <n v="0.51749519078981998"/>
  </r>
  <r>
    <x v="0"/>
    <x v="0"/>
    <x v="1"/>
    <x v="0"/>
    <x v="0"/>
    <s v="DK1_Rural"/>
    <x v="5"/>
    <s v="GNR_BO_WOODCHI_E-120"/>
    <n v="7.8231181578903904E-3"/>
    <n v="2.81632253684054E-2"/>
  </r>
  <r>
    <x v="0"/>
    <x v="0"/>
    <x v="1"/>
    <x v="0"/>
    <x v="0"/>
    <s v="DK1_Rural"/>
    <x v="9"/>
    <s v="GNR_BO_WOODWST_E-100"/>
    <n v="0.11114250000000001"/>
    <n v="0.400113"/>
  </r>
  <r>
    <x v="0"/>
    <x v="0"/>
    <x v="1"/>
    <x v="0"/>
    <x v="0"/>
    <s v="DK1_Rural"/>
    <x v="9"/>
    <s v="GNR_BO_WOODWST_E-113"/>
    <n v="1.7929824561403501E-2"/>
    <n v="6.4547368421052603E-2"/>
  </r>
  <r>
    <x v="0"/>
    <x v="0"/>
    <x v="1"/>
    <x v="0"/>
    <x v="0"/>
    <s v="DK1_Rural"/>
    <x v="9"/>
    <s v="GNR_BO_WOODWST_E-86"/>
    <n v="1.5868364023432401E-2"/>
    <n v="5.7126110484356799E-2"/>
  </r>
  <r>
    <x v="0"/>
    <x v="0"/>
    <x v="1"/>
    <x v="0"/>
    <x v="0"/>
    <s v="DK1_Rural"/>
    <x v="9"/>
    <s v="GNR_BO_WOODWST_E-89"/>
    <n v="1.06629213483146E-2"/>
    <n v="3.8386516853932601E-2"/>
  </r>
  <r>
    <x v="0"/>
    <x v="0"/>
    <x v="1"/>
    <x v="0"/>
    <x v="0"/>
    <s v="DK1_Rural"/>
    <x v="9"/>
    <s v="GNR_BO_WOODWST_E-90"/>
    <n v="9.4900000000000002E-3"/>
    <n v="3.4164E-2"/>
  </r>
  <r>
    <x v="0"/>
    <x v="0"/>
    <x v="1"/>
    <x v="0"/>
    <x v="0"/>
    <s v="DK1_Rural"/>
    <x v="9"/>
    <s v="GNR_BO_WOODWST_E-94"/>
    <n v="4.85441028955558E-3"/>
    <n v="1.7475877042400102E-2"/>
  </r>
  <r>
    <x v="0"/>
    <x v="0"/>
    <x v="1"/>
    <x v="0"/>
    <x v="0"/>
    <s v="DK1_Small"/>
    <x v="5"/>
    <s v="GNR_BO_WOODCHI_E-110"/>
    <n v="5.6920320237022301E-4"/>
    <n v="2.0491315285328E-3"/>
  </r>
  <r>
    <x v="0"/>
    <x v="0"/>
    <x v="1"/>
    <x v="0"/>
    <x v="0"/>
    <s v="DK1_Small"/>
    <x v="9"/>
    <s v="GNR_BO_WOODWST_E-89"/>
    <n v="8.0979881260429595E-3"/>
    <n v="2.9152757253754699E-2"/>
  </r>
  <r>
    <x v="0"/>
    <x v="0"/>
    <x v="1"/>
    <x v="0"/>
    <x v="0"/>
    <s v="DK2_Rural"/>
    <x v="2"/>
    <s v="GNR_EH_HEAT"/>
    <n v="9.6360000000000001E-2"/>
    <n v="0.34689599999999998"/>
  </r>
  <r>
    <x v="0"/>
    <x v="0"/>
    <x v="1"/>
    <x v="0"/>
    <x v="0"/>
    <s v="DK2_Rural"/>
    <x v="5"/>
    <s v="GNR_BO_WOODCHI_E-110"/>
    <n v="4.3311117308984601E-3"/>
    <n v="1.5592002231234499E-2"/>
  </r>
  <r>
    <x v="0"/>
    <x v="0"/>
    <x v="1"/>
    <x v="0"/>
    <x v="1"/>
    <s v="DK2_Large"/>
    <x v="1"/>
    <s v="GNR_ST_MSW_BP_E-27"/>
    <n v="7.8168249238291201E-2"/>
    <n v="0.28140569725784798"/>
  </r>
  <r>
    <x v="0"/>
    <x v="0"/>
    <x v="1"/>
    <x v="0"/>
    <x v="1"/>
    <s v="DK2_Large"/>
    <x v="2"/>
    <s v="GNR_GEO_HEAT_HO"/>
    <n v="8.6870000000000003E-2"/>
    <n v="0.31273200000000001"/>
  </r>
  <r>
    <x v="0"/>
    <x v="0"/>
    <x v="1"/>
    <x v="0"/>
    <x v="1"/>
    <s v="DK2_Large"/>
    <x v="9"/>
    <s v="GNR_BO_WOODWST_E-90"/>
    <n v="2.1607999999999999E-2"/>
    <n v="7.7788800000000005E-2"/>
  </r>
  <r>
    <x v="0"/>
    <x v="0"/>
    <x v="1"/>
    <x v="0"/>
    <x v="1"/>
    <s v="DK2_MedSmall"/>
    <x v="2"/>
    <s v="GNR_EH_HEAT"/>
    <n v="1.1679999999999999E-2"/>
    <n v="4.2048000000000002E-2"/>
  </r>
  <r>
    <x v="0"/>
    <x v="0"/>
    <x v="1"/>
    <x v="0"/>
    <x v="1"/>
    <s v="DK2_MedSmall"/>
    <x v="5"/>
    <s v="GNR_BO_WOODCHI_E-118"/>
    <n v="1.0846732410022301E-3"/>
    <n v="3.90482366760803E-3"/>
  </r>
  <r>
    <x v="0"/>
    <x v="0"/>
    <x v="1"/>
    <x v="0"/>
    <x v="1"/>
    <s v="DK2_Medium"/>
    <x v="2"/>
    <s v="GNR_EH_HEAT"/>
    <n v="1.0996796944133099E-2"/>
    <n v="3.9588468998879099E-2"/>
  </r>
  <r>
    <x v="0"/>
    <x v="0"/>
    <x v="1"/>
    <x v="0"/>
    <x v="1"/>
    <s v="DK2_Medium"/>
    <x v="5"/>
    <s v="GNR_BO_WOODCHI_E-110"/>
    <n v="5.0574771668069904E-3"/>
    <n v="1.82069178005052E-2"/>
  </r>
  <r>
    <x v="0"/>
    <x v="0"/>
    <x v="1"/>
    <x v="0"/>
    <x v="1"/>
    <s v="DK2_NoDH"/>
    <x v="6"/>
    <s v="GNR_PV_SUN"/>
    <n v="0.29045654620983502"/>
    <n v="1.0456435663554"/>
  </r>
  <r>
    <x v="0"/>
    <x v="0"/>
    <x v="1"/>
    <x v="0"/>
    <x v="1"/>
    <s v="DK2_NoDH"/>
    <x v="7"/>
    <s v="GNR_ROR_WTR"/>
    <n v="8.0331010678362695E-5"/>
    <n v="2.8919163844210599E-4"/>
  </r>
  <r>
    <x v="0"/>
    <x v="0"/>
    <x v="1"/>
    <x v="0"/>
    <x v="1"/>
    <s v="DK2_NoDH"/>
    <x v="8"/>
    <s v="GNR_WT_WIND_ONS"/>
    <n v="0.83062384899999697"/>
    <n v="2.9902458563999899"/>
  </r>
  <r>
    <x v="0"/>
    <x v="0"/>
    <x v="1"/>
    <x v="0"/>
    <x v="1"/>
    <s v="DK2_Offshore"/>
    <x v="8"/>
    <s v="GNR_WT_WIND_OFF"/>
    <n v="3.6739440000000001"/>
    <n v="13.226198399999999"/>
  </r>
  <r>
    <x v="0"/>
    <x v="0"/>
    <x v="1"/>
    <x v="0"/>
    <x v="1"/>
    <s v="DK2_Rural"/>
    <x v="2"/>
    <s v="GNR_EH_HEAT"/>
    <n v="9.6360000000000001E-2"/>
    <n v="0.34689599999999998"/>
  </r>
  <r>
    <x v="0"/>
    <x v="0"/>
    <x v="1"/>
    <x v="0"/>
    <x v="1"/>
    <s v="DK2_Rural"/>
    <x v="5"/>
    <s v="GNR_BO_WOODCHI_E-110"/>
    <n v="4.3311117308984601E-3"/>
    <n v="1.5592002231234499E-2"/>
  </r>
  <r>
    <x v="0"/>
    <x v="0"/>
    <x v="1"/>
    <x v="0"/>
    <x v="1"/>
    <s v="DK2_Small"/>
    <x v="4"/>
    <s v="GNR_BO_STRW_E-100"/>
    <n v="2.4603206256600802E-4"/>
    <n v="8.8571542523762997E-4"/>
  </r>
  <r>
    <x v="0"/>
    <x v="0"/>
    <x v="1"/>
    <x v="1"/>
    <x v="2"/>
    <s v="DE4-E_A"/>
    <x v="10"/>
    <s v="AGG-DE4-E_RES_WTR_PMP"/>
    <n v="169.2432"/>
    <n v="609.27552000000003"/>
  </r>
  <r>
    <x v="0"/>
    <x v="0"/>
    <x v="1"/>
    <x v="1"/>
    <x v="2"/>
    <s v="DE4-E_A"/>
    <x v="1"/>
    <s v="GNR_ST_MSW_CND_E-33"/>
    <n v="1.66174545454546"/>
    <n v="5.98228363636363"/>
  </r>
  <r>
    <x v="0"/>
    <x v="0"/>
    <x v="1"/>
    <x v="1"/>
    <x v="2"/>
    <s v="DE4-E_A"/>
    <x v="6"/>
    <s v="GNR_PV_SUN"/>
    <n v="11.7822576427959"/>
    <n v="42.416127514065202"/>
  </r>
  <r>
    <x v="0"/>
    <x v="0"/>
    <x v="1"/>
    <x v="1"/>
    <x v="2"/>
    <s v="DE4-E_A"/>
    <x v="7"/>
    <s v="GNR_ROR_WTR"/>
    <n v="2.9478267678532002"/>
    <n v="10.6121763642715"/>
  </r>
  <r>
    <x v="0"/>
    <x v="0"/>
    <x v="1"/>
    <x v="1"/>
    <x v="2"/>
    <s v="DE4-E_A"/>
    <x v="8"/>
    <s v="GNR_WT_WIND_ONS"/>
    <n v="29.319812710000001"/>
    <n v="105.551325756"/>
  </r>
  <r>
    <x v="0"/>
    <x v="0"/>
    <x v="1"/>
    <x v="1"/>
    <x v="2"/>
    <s v="DE4-E_Offshore_A"/>
    <x v="8"/>
    <s v="GNR_WT_WIND_OFF"/>
    <n v="9.1379940000000008"/>
    <n v="32.896778400000002"/>
  </r>
  <r>
    <x v="0"/>
    <x v="0"/>
    <x v="1"/>
    <x v="1"/>
    <x v="3"/>
    <s v="DE4-N_A"/>
    <x v="10"/>
    <s v="AGG-DE4-N_ES_ELEC"/>
    <n v="2.132E-7"/>
    <n v="7.6751999999999998E-7"/>
  </r>
  <r>
    <x v="0"/>
    <x v="0"/>
    <x v="1"/>
    <x v="1"/>
    <x v="3"/>
    <s v="DE4-N_A"/>
    <x v="10"/>
    <s v="AGG-DE4-N_RES_WTR_PMP"/>
    <n v="8.3465279999999993"/>
    <n v="30.047500800000002"/>
  </r>
  <r>
    <x v="0"/>
    <x v="0"/>
    <x v="1"/>
    <x v="1"/>
    <x v="3"/>
    <s v="DE4-N_A"/>
    <x v="6"/>
    <s v="GNR_PV_SUN"/>
    <n v="1.6885237400986799"/>
    <n v="6.0786854643552299"/>
  </r>
  <r>
    <x v="0"/>
    <x v="0"/>
    <x v="1"/>
    <x v="1"/>
    <x v="3"/>
    <s v="DE4-N_A"/>
    <x v="2"/>
    <s v="GNR_GEO_HEAT_EO"/>
    <n v="8.7600000000000002E-5"/>
    <n v="3.1535999999999999E-4"/>
  </r>
  <r>
    <x v="0"/>
    <x v="0"/>
    <x v="1"/>
    <x v="1"/>
    <x v="3"/>
    <s v="DE4-N_A"/>
    <x v="7"/>
    <s v="GNR_ROR_WTR"/>
    <n v="2.5974444444444401E-2"/>
    <n v="9.3507999999999994E-2"/>
  </r>
  <r>
    <x v="0"/>
    <x v="0"/>
    <x v="1"/>
    <x v="1"/>
    <x v="3"/>
    <s v="DE4-N_A"/>
    <x v="8"/>
    <s v="GNR_WT_WIND_ONS"/>
    <n v="14.893920420000001"/>
    <n v="53.618113512000001"/>
  </r>
  <r>
    <x v="0"/>
    <x v="0"/>
    <x v="1"/>
    <x v="1"/>
    <x v="3"/>
    <s v="DE4-N_Offshore_A"/>
    <x v="8"/>
    <s v="GNR_WT_WIND_OFF"/>
    <n v="8.0586000000000002"/>
    <n v="29.010960000000001"/>
  </r>
  <r>
    <x v="0"/>
    <x v="0"/>
    <x v="1"/>
    <x v="1"/>
    <x v="4"/>
    <s v="DE4-S_A"/>
    <x v="10"/>
    <s v="AGG-DE4-S_RES_WTR_PMP"/>
    <n v="151.58304000000001"/>
    <n v="545.69894399999998"/>
  </r>
  <r>
    <x v="0"/>
    <x v="0"/>
    <x v="1"/>
    <x v="1"/>
    <x v="4"/>
    <s v="DE4-S_A"/>
    <x v="1"/>
    <s v="GNR_ST_MSW_CND_E-33"/>
    <n v="0.23094545454545501"/>
    <n v="0.83140363636363701"/>
  </r>
  <r>
    <x v="0"/>
    <x v="0"/>
    <x v="1"/>
    <x v="1"/>
    <x v="4"/>
    <s v="DE4-S_A"/>
    <x v="6"/>
    <s v="GNR_PV_SUN"/>
    <n v="22.1711313349394"/>
    <n v="79.816072805781801"/>
  </r>
  <r>
    <x v="0"/>
    <x v="0"/>
    <x v="1"/>
    <x v="1"/>
    <x v="4"/>
    <s v="DE4-S_A"/>
    <x v="6"/>
    <s v="GNR_PV_SUN_LS-4-MW_Y-2030"/>
    <n v="6.65456572881779"/>
    <n v="23.956436623744001"/>
  </r>
  <r>
    <x v="0"/>
    <x v="0"/>
    <x v="1"/>
    <x v="1"/>
    <x v="4"/>
    <s v="DE4-S_A"/>
    <x v="2"/>
    <s v="GNR_GEO_HEAT_EO"/>
    <n v="0.39209759999999999"/>
    <n v="1.41155136"/>
  </r>
  <r>
    <x v="0"/>
    <x v="0"/>
    <x v="1"/>
    <x v="1"/>
    <x v="4"/>
    <s v="DE4-S_A"/>
    <x v="7"/>
    <s v="GNR_RES_WTR_NOPMP"/>
    <n v="0.59766271944701799"/>
    <n v="2.1515857900092699"/>
  </r>
  <r>
    <x v="0"/>
    <x v="0"/>
    <x v="1"/>
    <x v="1"/>
    <x v="4"/>
    <s v="DE4-S_A"/>
    <x v="7"/>
    <s v="GNR_ROR_WTR"/>
    <n v="42.452364222222201"/>
    <n v="152.82851120000001"/>
  </r>
  <r>
    <x v="0"/>
    <x v="0"/>
    <x v="1"/>
    <x v="1"/>
    <x v="4"/>
    <s v="DE4-S_A"/>
    <x v="8"/>
    <s v="GNR_WT_WIND_ONS"/>
    <n v="13.808839559999999"/>
    <n v="49.711822415999997"/>
  </r>
  <r>
    <x v="0"/>
    <x v="0"/>
    <x v="1"/>
    <x v="1"/>
    <x v="5"/>
    <s v="DE4-W_A"/>
    <x v="10"/>
    <s v="AGG-DE4-W_RES_WTR_PMP"/>
    <n v="80.311679999999996"/>
    <n v="289.12204800000001"/>
  </r>
  <r>
    <x v="0"/>
    <x v="0"/>
    <x v="1"/>
    <x v="1"/>
    <x v="5"/>
    <s v="DE4-W_A"/>
    <x v="1"/>
    <s v="GNR_ST_MSW_CND_E-33"/>
    <n v="1.9272"/>
    <n v="6.9379200000000001"/>
  </r>
  <r>
    <x v="0"/>
    <x v="0"/>
    <x v="1"/>
    <x v="1"/>
    <x v="5"/>
    <s v="DE4-W_A"/>
    <x v="6"/>
    <s v="GNR_PV_SUN"/>
    <n v="10.8158285968592"/>
    <n v="38.936982948693"/>
  </r>
  <r>
    <x v="0"/>
    <x v="0"/>
    <x v="1"/>
    <x v="1"/>
    <x v="5"/>
    <s v="DE4-W_A"/>
    <x v="7"/>
    <s v="GNR_ROR_WTR"/>
    <n v="1.9360333333333299"/>
    <n v="6.9697199999999997"/>
  </r>
  <r>
    <x v="0"/>
    <x v="0"/>
    <x v="1"/>
    <x v="1"/>
    <x v="5"/>
    <s v="DE4-W_A"/>
    <x v="8"/>
    <s v="GNR_WT_WIND_ONS"/>
    <n v="28.58239902"/>
    <n v="102.896636472"/>
  </r>
  <r>
    <x v="0"/>
    <x v="0"/>
    <x v="1"/>
    <x v="1"/>
    <x v="5"/>
    <s v="DE4-W_Offshore_A"/>
    <x v="8"/>
    <s v="GNR_WT_WIND_OFF"/>
    <n v="24.672747000000001"/>
    <n v="88.821889200000001"/>
  </r>
  <r>
    <x v="0"/>
    <x v="0"/>
    <x v="1"/>
    <x v="2"/>
    <x v="6"/>
    <s v="NO1_A1"/>
    <x v="6"/>
    <s v="GNR_PV_SUN_LS-4-MW_Y-2020"/>
    <n v="26.068959745430998"/>
    <n v="93.848255083551607"/>
  </r>
  <r>
    <x v="0"/>
    <x v="0"/>
    <x v="1"/>
    <x v="2"/>
    <x v="6"/>
    <s v="NO1_A1"/>
    <x v="7"/>
    <s v="GHYRR_WATER"/>
    <n v="11.898087646863599"/>
    <n v="42.833115528708902"/>
  </r>
  <r>
    <x v="0"/>
    <x v="0"/>
    <x v="1"/>
    <x v="2"/>
    <x v="6"/>
    <s v="NO1_A1"/>
    <x v="8"/>
    <s v="GNR_WT_WIND_ONS"/>
    <n v="0.73307599999999995"/>
    <n v="2.6390736000000001"/>
  </r>
  <r>
    <x v="0"/>
    <x v="0"/>
    <x v="1"/>
    <x v="2"/>
    <x v="6"/>
    <s v="NO1_A2"/>
    <x v="13"/>
    <s v="GHOB_LPG"/>
    <n v="4.90409289219766E-4"/>
    <n v="1.76547344119116E-3"/>
  </r>
  <r>
    <x v="0"/>
    <x v="0"/>
    <x v="1"/>
    <x v="2"/>
    <x v="6"/>
    <s v="NO1_A2"/>
    <x v="1"/>
    <s v="GBPR_MUNIWASTE"/>
    <n v="4.5518082559276501E-2"/>
    <n v="0.16386509721339501"/>
  </r>
  <r>
    <x v="0"/>
    <x v="0"/>
    <x v="1"/>
    <x v="2"/>
    <x v="6"/>
    <s v="NO1_A2"/>
    <x v="1"/>
    <s v="GHOB_MUNIWASTE"/>
    <n v="0.15784240454559401"/>
    <n v="0.568232656364137"/>
  </r>
  <r>
    <x v="0"/>
    <x v="0"/>
    <x v="1"/>
    <x v="2"/>
    <x v="6"/>
    <s v="NO1_A2"/>
    <x v="9"/>
    <s v="GHOB_WOODWASTE"/>
    <n v="2.8044919187459799E-2"/>
    <n v="0.10096170907485499"/>
  </r>
  <r>
    <x v="0"/>
    <x v="0"/>
    <x v="1"/>
    <x v="2"/>
    <x v="7"/>
    <s v="NO2_A1"/>
    <x v="6"/>
    <s v="GNR_PV_SUN_LS-4-MW_Y-2020"/>
    <n v="55.002867954505"/>
    <n v="198.010324636218"/>
  </r>
  <r>
    <x v="0"/>
    <x v="0"/>
    <x v="1"/>
    <x v="2"/>
    <x v="7"/>
    <s v="NO2_A1"/>
    <x v="7"/>
    <s v="GHYRR_WATER"/>
    <n v="12.93544427955"/>
    <n v="46.567599406379898"/>
  </r>
  <r>
    <x v="0"/>
    <x v="0"/>
    <x v="1"/>
    <x v="2"/>
    <x v="7"/>
    <s v="NO2_A1"/>
    <x v="8"/>
    <s v="GNR_WT_WIND_ONS"/>
    <n v="3.0705252000000001"/>
    <n v="11.05389072"/>
  </r>
  <r>
    <x v="0"/>
    <x v="0"/>
    <x v="1"/>
    <x v="2"/>
    <x v="8"/>
    <s v="NO3_A1"/>
    <x v="6"/>
    <s v="GNR_PV_SUN_LS-4-MW_Y-2020"/>
    <n v="16.093865141719402"/>
    <n v="57.937914510189799"/>
  </r>
  <r>
    <x v="0"/>
    <x v="0"/>
    <x v="1"/>
    <x v="2"/>
    <x v="8"/>
    <s v="NO3_A1"/>
    <x v="7"/>
    <s v="GHYRR_WATER"/>
    <n v="7.8191955505468798"/>
    <n v="28.1491039819688"/>
  </r>
  <r>
    <x v="0"/>
    <x v="0"/>
    <x v="1"/>
    <x v="2"/>
    <x v="8"/>
    <s v="NO3_A1"/>
    <x v="8"/>
    <s v="GNR_WT_WIND_ONS"/>
    <n v="2.1285082000000002"/>
    <n v="7.6626295200000003"/>
  </r>
  <r>
    <x v="0"/>
    <x v="0"/>
    <x v="1"/>
    <x v="2"/>
    <x v="8"/>
    <s v="NO3_A2"/>
    <x v="1"/>
    <s v="GHOB_MUNIWASTE"/>
    <n v="0.271498820138729"/>
    <n v="0.97739575249942601"/>
  </r>
  <r>
    <x v="0"/>
    <x v="0"/>
    <x v="1"/>
    <x v="2"/>
    <x v="9"/>
    <s v="NO4_A1"/>
    <x v="6"/>
    <s v="GNR_PV_SUN_LS-4-MW_Y-2020"/>
    <n v="9.85962733893437"/>
    <n v="35.494658420163702"/>
  </r>
  <r>
    <x v="0"/>
    <x v="0"/>
    <x v="1"/>
    <x v="2"/>
    <x v="9"/>
    <s v="NO4_A1"/>
    <x v="7"/>
    <s v="GHYRR_WATER"/>
    <n v="5.94639077568032"/>
    <n v="21.407006792449199"/>
  </r>
  <r>
    <x v="0"/>
    <x v="0"/>
    <x v="1"/>
    <x v="2"/>
    <x v="9"/>
    <s v="NO4_A1"/>
    <x v="8"/>
    <s v="GNR_WT_WIND_ONS"/>
    <n v="2.1294"/>
    <n v="7.6658400000000002"/>
  </r>
  <r>
    <x v="0"/>
    <x v="0"/>
    <x v="1"/>
    <x v="2"/>
    <x v="10"/>
    <s v="NO5_A1"/>
    <x v="6"/>
    <s v="GNR_PV_SUN_LS-4-MW_Y-2020"/>
    <n v="11.5514602267556"/>
    <n v="41.585256816319998"/>
  </r>
  <r>
    <x v="0"/>
    <x v="0"/>
    <x v="1"/>
    <x v="2"/>
    <x v="10"/>
    <s v="NO5_A1"/>
    <x v="7"/>
    <s v="GHYRR_WATER"/>
    <n v="4.5446894883181903"/>
    <n v="16.3608821579455"/>
  </r>
  <r>
    <x v="0"/>
    <x v="0"/>
    <x v="1"/>
    <x v="3"/>
    <x v="11"/>
    <s v="SE1A"/>
    <x v="6"/>
    <s v="GNR_PV_SUN_LS-4-MW_Y-2020"/>
    <n v="1.1849685899064499"/>
    <n v="4.2658869236632304"/>
  </r>
  <r>
    <x v="0"/>
    <x v="0"/>
    <x v="1"/>
    <x v="3"/>
    <x v="11"/>
    <s v="SE1A"/>
    <x v="7"/>
    <s v="GHYRR_WATER"/>
    <n v="6.1585670173835503"/>
    <n v="22.170841262580801"/>
  </r>
  <r>
    <x v="0"/>
    <x v="0"/>
    <x v="1"/>
    <x v="3"/>
    <x v="11"/>
    <s v="SE1A"/>
    <x v="8"/>
    <s v="GNR_WT_WIND_ONS"/>
    <n v="4.9862206320000002"/>
    <n v="17.950394275200001"/>
  </r>
  <r>
    <x v="0"/>
    <x v="0"/>
    <x v="1"/>
    <x v="3"/>
    <x v="11"/>
    <s v="SE1_EL"/>
    <x v="2"/>
    <s v="GHOB_WASTEHEAT"/>
    <n v="0.43662099999999998"/>
    <n v="1.5718356"/>
  </r>
  <r>
    <x v="0"/>
    <x v="0"/>
    <x v="1"/>
    <x v="3"/>
    <x v="11"/>
    <s v="SE1_OTHER"/>
    <x v="2"/>
    <s v="GHOB_WASTEHEAT"/>
    <n v="0.31385989010988902"/>
    <n v="1.1298956043956001"/>
  </r>
  <r>
    <x v="0"/>
    <x v="0"/>
    <x v="1"/>
    <x v="3"/>
    <x v="11"/>
    <s v="SE1_OTHER"/>
    <x v="9"/>
    <s v="GBPR_WOODWASTE"/>
    <n v="1.38696226529303E-3"/>
    <n v="4.9930641550549101E-3"/>
  </r>
  <r>
    <x v="0"/>
    <x v="0"/>
    <x v="1"/>
    <x v="3"/>
    <x v="11"/>
    <s v="SE1_OTHER"/>
    <x v="9"/>
    <s v="GHOB_WOODWASTE"/>
    <n v="6.6495117559038905E-2"/>
    <n v="0.23938242321254"/>
  </r>
  <r>
    <x v="0"/>
    <x v="0"/>
    <x v="1"/>
    <x v="3"/>
    <x v="12"/>
    <s v="SE2A"/>
    <x v="6"/>
    <s v="GNR_PV_SUN_LS-4-MW_Y-2020"/>
    <n v="0.83355999134251801"/>
    <n v="3.0008159688330598"/>
  </r>
  <r>
    <x v="0"/>
    <x v="0"/>
    <x v="1"/>
    <x v="3"/>
    <x v="12"/>
    <s v="SE2A"/>
    <x v="7"/>
    <s v="GHYRR_WATER"/>
    <n v="9.3283318424445305"/>
    <n v="33.581994632800303"/>
  </r>
  <r>
    <x v="0"/>
    <x v="0"/>
    <x v="1"/>
    <x v="3"/>
    <x v="12"/>
    <s v="SE2A"/>
    <x v="8"/>
    <s v="GNR_WT_WIND_ONS"/>
    <n v="9.4801729780000006"/>
    <n v="34.128622720800003"/>
  </r>
  <r>
    <x v="0"/>
    <x v="0"/>
    <x v="1"/>
    <x v="3"/>
    <x v="12"/>
    <s v="SE2_EL"/>
    <x v="1"/>
    <s v="GBPR_MUNIWASTE_24"/>
    <n v="2.4596379149783899E-2"/>
    <n v="8.8546964939221998E-2"/>
  </r>
  <r>
    <x v="0"/>
    <x v="0"/>
    <x v="1"/>
    <x v="3"/>
    <x v="12"/>
    <s v="SE2_EL"/>
    <x v="2"/>
    <s v="GHOB_WASTEHEAT"/>
    <n v="0.151414835164835"/>
    <n v="0.545093406593404"/>
  </r>
  <r>
    <x v="0"/>
    <x v="0"/>
    <x v="1"/>
    <x v="3"/>
    <x v="12"/>
    <s v="SE2_EL"/>
    <x v="9"/>
    <s v="GEXT_WOODWASTE_HORNEBORG"/>
    <n v="0.20299786928188701"/>
    <n v="0.730792329414792"/>
  </r>
  <r>
    <x v="0"/>
    <x v="0"/>
    <x v="1"/>
    <x v="3"/>
    <x v="12"/>
    <s v="SE2_OTHER"/>
    <x v="2"/>
    <s v="GHOB_WASTEHEAT"/>
    <n v="0.14043415109890101"/>
    <n v="0.50556294395604195"/>
  </r>
  <r>
    <x v="0"/>
    <x v="0"/>
    <x v="1"/>
    <x v="3"/>
    <x v="12"/>
    <s v="SE2_OTHER"/>
    <x v="9"/>
    <s v="GHOB_WOODWASTE"/>
    <n v="0.43466685211884998"/>
    <n v="1.5648006676278601"/>
  </r>
  <r>
    <x v="0"/>
    <x v="0"/>
    <x v="1"/>
    <x v="3"/>
    <x v="13"/>
    <s v="SE3A"/>
    <x v="6"/>
    <s v="GNR_PV_SUN_LS-4-MW_Y-2020"/>
    <n v="106.279152374642"/>
    <n v="382.604948548712"/>
  </r>
  <r>
    <x v="0"/>
    <x v="0"/>
    <x v="1"/>
    <x v="3"/>
    <x v="13"/>
    <s v="SE3A"/>
    <x v="7"/>
    <s v="GHYRR_WATER"/>
    <n v="2.9304271495038399"/>
    <n v="10.5495377382138"/>
  </r>
  <r>
    <x v="0"/>
    <x v="0"/>
    <x v="1"/>
    <x v="3"/>
    <x v="13"/>
    <s v="SE3A"/>
    <x v="8"/>
    <s v="GNR_WT_WIND_ONS"/>
    <n v="6.1473913199999997"/>
    <n v="22.130608752000001"/>
  </r>
  <r>
    <x v="0"/>
    <x v="0"/>
    <x v="1"/>
    <x v="3"/>
    <x v="13"/>
    <s v="SE3_EL"/>
    <x v="1"/>
    <s v="GBPR_MUNIWASTE_24"/>
    <n v="6.5976606672594695E-2"/>
    <n v="0.23751578402134099"/>
  </r>
  <r>
    <x v="0"/>
    <x v="0"/>
    <x v="1"/>
    <x v="3"/>
    <x v="13"/>
    <s v="SE3_EL"/>
    <x v="1"/>
    <s v="GBPR_MUNIWASTE_LINK"/>
    <n v="0.440124745480789"/>
    <n v="1.58444908373084"/>
  </r>
  <r>
    <x v="0"/>
    <x v="0"/>
    <x v="1"/>
    <x v="3"/>
    <x v="13"/>
    <s v="SE3_EL"/>
    <x v="1"/>
    <s v="GHOB_MUNIWASTE"/>
    <n v="1.6575036603089699"/>
    <n v="5.9670131771122898"/>
  </r>
  <r>
    <x v="0"/>
    <x v="0"/>
    <x v="1"/>
    <x v="3"/>
    <x v="13"/>
    <s v="SE3_EL"/>
    <x v="2"/>
    <s v="GHOB_WASTEHEAT"/>
    <n v="0.23845329670329601"/>
    <n v="0.85843186813186501"/>
  </r>
  <r>
    <x v="0"/>
    <x v="0"/>
    <x v="1"/>
    <x v="3"/>
    <x v="13"/>
    <s v="SE3_EL"/>
    <x v="9"/>
    <s v="GHOB_WOODWASTE"/>
    <n v="0.17340434373815999"/>
    <n v="0.624255637457375"/>
  </r>
  <r>
    <x v="0"/>
    <x v="0"/>
    <x v="1"/>
    <x v="3"/>
    <x v="13"/>
    <s v="SE3_GOT"/>
    <x v="1"/>
    <s v="GBPR_MUNIWASTE_24"/>
    <n v="0.17563514492811799"/>
    <n v="0.63228652174122302"/>
  </r>
  <r>
    <x v="0"/>
    <x v="0"/>
    <x v="1"/>
    <x v="3"/>
    <x v="13"/>
    <s v="SE3_GOT"/>
    <x v="2"/>
    <s v="GHOB_WASTEHEAT"/>
    <n v="1.03583791208791"/>
    <n v="3.7290164835164701"/>
  </r>
  <r>
    <x v="0"/>
    <x v="0"/>
    <x v="1"/>
    <x v="3"/>
    <x v="13"/>
    <s v="SE3_HP"/>
    <x v="2"/>
    <s v="GHOB_WASTEHEAT"/>
    <n v="3.0082417582417501E-5"/>
    <n v="1.08296703296703E-4"/>
  </r>
  <r>
    <x v="0"/>
    <x v="0"/>
    <x v="1"/>
    <x v="3"/>
    <x v="13"/>
    <s v="SE3_HP"/>
    <x v="9"/>
    <s v="GEXT_WOODWASTE"/>
    <n v="6.8592293814854099E-2"/>
    <n v="0.24693225773347499"/>
  </r>
  <r>
    <x v="0"/>
    <x v="0"/>
    <x v="1"/>
    <x v="3"/>
    <x v="13"/>
    <s v="SE3_HP"/>
    <x v="9"/>
    <s v="GHOB_WOODWASTE"/>
    <n v="6.7206411370878696E-2"/>
    <n v="0.24194308093516301"/>
  </r>
  <r>
    <x v="0"/>
    <x v="0"/>
    <x v="1"/>
    <x v="3"/>
    <x v="13"/>
    <s v="SE3_OTHER"/>
    <x v="1"/>
    <s v="GBPR_MUNIWASTE_24"/>
    <n v="7.7514647740932502E-2"/>
    <n v="0.27905273186735702"/>
  </r>
  <r>
    <x v="0"/>
    <x v="0"/>
    <x v="1"/>
    <x v="3"/>
    <x v="13"/>
    <s v="SE3_OTHER"/>
    <x v="1"/>
    <s v="GHOB_MUNIWASTE"/>
    <n v="1.10839302774282"/>
    <n v="3.99021489987416"/>
  </r>
  <r>
    <x v="0"/>
    <x v="0"/>
    <x v="1"/>
    <x v="3"/>
    <x v="13"/>
    <s v="SE3_OTHER"/>
    <x v="2"/>
    <s v="GHOB_WASTEHEAT"/>
    <n v="1.18305324175824"/>
    <n v="4.2589916703296504"/>
  </r>
  <r>
    <x v="0"/>
    <x v="0"/>
    <x v="1"/>
    <x v="3"/>
    <x v="13"/>
    <s v="SE3_OTHER"/>
    <x v="9"/>
    <s v="GHOB_WOODWASTE"/>
    <n v="1.12319686579696"/>
    <n v="4.0435087168690398"/>
  </r>
  <r>
    <x v="0"/>
    <x v="0"/>
    <x v="1"/>
    <x v="3"/>
    <x v="13"/>
    <s v="SE3_STO"/>
    <x v="1"/>
    <s v="GBPR_MUNIWASTE_HOGDALEN"/>
    <n v="5.5132130726032298E-2"/>
    <n v="0.19847567061371599"/>
  </r>
  <r>
    <x v="0"/>
    <x v="0"/>
    <x v="1"/>
    <x v="3"/>
    <x v="13"/>
    <s v="SE3_STO"/>
    <x v="1"/>
    <s v="GHOB_MUNIWASTE"/>
    <n v="0.79070729154738995"/>
    <n v="2.8465462495706002"/>
  </r>
  <r>
    <x v="0"/>
    <x v="0"/>
    <x v="1"/>
    <x v="3"/>
    <x v="14"/>
    <s v="SE4A"/>
    <x v="6"/>
    <s v="GNR_PV_SUN_LS-4-MW_Y-2020"/>
    <n v="367.90634435157102"/>
    <n v="1324.4628396656601"/>
  </r>
  <r>
    <x v="0"/>
    <x v="0"/>
    <x v="1"/>
    <x v="3"/>
    <x v="14"/>
    <s v="SE4A"/>
    <x v="7"/>
    <s v="GHYRR_WATER"/>
    <n v="0.83955284946836395"/>
    <n v="3.0223902580861099"/>
  </r>
  <r>
    <x v="0"/>
    <x v="0"/>
    <x v="1"/>
    <x v="3"/>
    <x v="14"/>
    <s v="SE4A"/>
    <x v="8"/>
    <s v="GNR_WT_WIND_ONS"/>
    <n v="2.9802045800000001"/>
    <n v="10.728736487999999"/>
  </r>
  <r>
    <x v="0"/>
    <x v="0"/>
    <x v="1"/>
    <x v="3"/>
    <x v="14"/>
    <s v="SE4_EL"/>
    <x v="2"/>
    <s v="GHOB_WASTEHEAT"/>
    <n v="1.7529216733151502E-2"/>
    <n v="6.3105180239345401E-2"/>
  </r>
  <r>
    <x v="0"/>
    <x v="0"/>
    <x v="1"/>
    <x v="3"/>
    <x v="14"/>
    <s v="SE4_EL"/>
    <x v="9"/>
    <s v="GHOB_WOODWASTE"/>
    <n v="1.43326619812491E-3"/>
    <n v="5.1597583132496697E-3"/>
  </r>
  <r>
    <x v="0"/>
    <x v="0"/>
    <x v="1"/>
    <x v="3"/>
    <x v="14"/>
    <s v="SE4_HP"/>
    <x v="1"/>
    <s v="GBPR_MUNIWASTE_65"/>
    <n v="2.9515054448509201E-2"/>
    <n v="0.106254196014633"/>
  </r>
  <r>
    <x v="0"/>
    <x v="0"/>
    <x v="1"/>
    <x v="3"/>
    <x v="14"/>
    <s v="SE4_HP"/>
    <x v="2"/>
    <s v="GHOB_WASTEHEAT"/>
    <n v="0.30282967032966901"/>
    <n v="1.09018681318681"/>
  </r>
  <r>
    <x v="0"/>
    <x v="0"/>
    <x v="1"/>
    <x v="3"/>
    <x v="14"/>
    <s v="SE4_HP"/>
    <x v="9"/>
    <s v="GHOB_WOODWASTE"/>
    <n v="5.5110177759890598E-2"/>
    <n v="0.198396639935606"/>
  </r>
  <r>
    <x v="0"/>
    <x v="0"/>
    <x v="1"/>
    <x v="3"/>
    <x v="14"/>
    <s v="SE4_MAL"/>
    <x v="1"/>
    <s v="GBPR_MUNIWASTE_24"/>
    <n v="6.9590689334931705E-2"/>
    <n v="0.25052648160575403"/>
  </r>
  <r>
    <x v="0"/>
    <x v="0"/>
    <x v="1"/>
    <x v="3"/>
    <x v="14"/>
    <s v="SE4_MAL"/>
    <x v="1"/>
    <s v="GHOB_MUNIWASTE"/>
    <n v="0.454131328455811"/>
    <n v="1.6348727824409199"/>
  </r>
  <r>
    <x v="0"/>
    <x v="0"/>
    <x v="1"/>
    <x v="3"/>
    <x v="14"/>
    <s v="SE4_MAL"/>
    <x v="2"/>
    <s v="GHOB_WASTEHEAT"/>
    <n v="0.108296703296703"/>
    <n v="0.38986813186813102"/>
  </r>
  <r>
    <x v="0"/>
    <x v="0"/>
    <x v="1"/>
    <x v="3"/>
    <x v="14"/>
    <s v="SE4_OTHER"/>
    <x v="1"/>
    <s v="GHOB_MUNIWASTE"/>
    <n v="0.12265330296044"/>
    <n v="0.44155189065758499"/>
  </r>
  <r>
    <x v="0"/>
    <x v="0"/>
    <x v="1"/>
    <x v="3"/>
    <x v="14"/>
    <s v="SE4_OTHER"/>
    <x v="2"/>
    <s v="GHOB_WASTEHEAT"/>
    <n v="0.481388873626372"/>
    <n v="1.73299994505494"/>
  </r>
  <r>
    <x v="0"/>
    <x v="0"/>
    <x v="1"/>
    <x v="3"/>
    <x v="14"/>
    <s v="SE4_OTHER"/>
    <x v="9"/>
    <s v="GHOB_WOODWASTE"/>
    <n v="0.70388489392511999"/>
    <n v="2.5339856181304299"/>
  </r>
</pivotCacheRecords>
</file>

<file path=xl/pivotCache/pivotCacheRecords10.xml><?xml version="1.0" encoding="utf-8"?>
<pivotCacheRecords xmlns="http://schemas.openxmlformats.org/spreadsheetml/2006/main" xmlns:r="http://schemas.openxmlformats.org/officeDocument/2006/relationships" count="24">
  <r>
    <x v="0"/>
    <x v="0"/>
    <x v="0"/>
    <x v="0"/>
    <x v="0"/>
    <x v="0"/>
    <x v="0"/>
    <x v="0"/>
    <x v="0"/>
    <x v="0"/>
    <x v="0"/>
    <x v="0"/>
    <x v="0"/>
    <x v="0"/>
  </r>
  <r>
    <x v="0"/>
    <x v="0"/>
    <x v="0"/>
    <x v="0"/>
    <x v="0"/>
    <x v="0"/>
    <x v="0"/>
    <x v="1"/>
    <x v="1"/>
    <x v="1"/>
    <x v="1"/>
    <x v="1"/>
    <x v="1"/>
    <x v="1"/>
  </r>
  <r>
    <x v="0"/>
    <x v="0"/>
    <x v="0"/>
    <x v="0"/>
    <x v="0"/>
    <x v="1"/>
    <x v="0"/>
    <x v="2"/>
    <x v="2"/>
    <x v="2"/>
    <x v="2"/>
    <x v="2"/>
    <x v="2"/>
    <x v="2"/>
  </r>
  <r>
    <x v="0"/>
    <x v="0"/>
    <x v="0"/>
    <x v="0"/>
    <x v="0"/>
    <x v="2"/>
    <x v="0"/>
    <x v="3"/>
    <x v="3"/>
    <x v="3"/>
    <x v="3"/>
    <x v="3"/>
    <x v="3"/>
    <x v="3"/>
  </r>
  <r>
    <x v="0"/>
    <x v="0"/>
    <x v="0"/>
    <x v="0"/>
    <x v="1"/>
    <x v="3"/>
    <x v="0"/>
    <x v="4"/>
    <x v="4"/>
    <x v="4"/>
    <x v="4"/>
    <x v="4"/>
    <x v="4"/>
    <x v="4"/>
  </r>
  <r>
    <x v="0"/>
    <x v="0"/>
    <x v="0"/>
    <x v="0"/>
    <x v="1"/>
    <x v="4"/>
    <x v="0"/>
    <x v="5"/>
    <x v="5"/>
    <x v="5"/>
    <x v="5"/>
    <x v="5"/>
    <x v="5"/>
    <x v="5"/>
  </r>
  <r>
    <x v="0"/>
    <x v="0"/>
    <x v="0"/>
    <x v="0"/>
    <x v="1"/>
    <x v="2"/>
    <x v="0"/>
    <x v="3"/>
    <x v="3"/>
    <x v="3"/>
    <x v="3"/>
    <x v="3"/>
    <x v="3"/>
    <x v="3"/>
  </r>
  <r>
    <x v="0"/>
    <x v="0"/>
    <x v="0"/>
    <x v="1"/>
    <x v="2"/>
    <x v="5"/>
    <x v="1"/>
    <x v="6"/>
    <x v="6"/>
    <x v="6"/>
    <x v="6"/>
    <x v="6"/>
    <x v="6"/>
    <x v="6"/>
  </r>
  <r>
    <x v="0"/>
    <x v="0"/>
    <x v="0"/>
    <x v="1"/>
    <x v="2"/>
    <x v="5"/>
    <x v="1"/>
    <x v="7"/>
    <x v="7"/>
    <x v="7"/>
    <x v="7"/>
    <x v="7"/>
    <x v="7"/>
    <x v="7"/>
  </r>
  <r>
    <x v="0"/>
    <x v="0"/>
    <x v="0"/>
    <x v="1"/>
    <x v="3"/>
    <x v="6"/>
    <x v="0"/>
    <x v="8"/>
    <x v="8"/>
    <x v="8"/>
    <x v="8"/>
    <x v="8"/>
    <x v="8"/>
    <x v="8"/>
  </r>
  <r>
    <x v="0"/>
    <x v="0"/>
    <x v="0"/>
    <x v="1"/>
    <x v="4"/>
    <x v="7"/>
    <x v="0"/>
    <x v="9"/>
    <x v="9"/>
    <x v="9"/>
    <x v="9"/>
    <x v="9"/>
    <x v="9"/>
    <x v="9"/>
  </r>
  <r>
    <x v="0"/>
    <x v="0"/>
    <x v="0"/>
    <x v="1"/>
    <x v="5"/>
    <x v="8"/>
    <x v="0"/>
    <x v="10"/>
    <x v="10"/>
    <x v="10"/>
    <x v="10"/>
    <x v="10"/>
    <x v="10"/>
    <x v="10"/>
  </r>
  <r>
    <x v="0"/>
    <x v="0"/>
    <x v="0"/>
    <x v="1"/>
    <x v="5"/>
    <x v="8"/>
    <x v="1"/>
    <x v="11"/>
    <x v="11"/>
    <x v="11"/>
    <x v="11"/>
    <x v="11"/>
    <x v="11"/>
    <x v="11"/>
  </r>
  <r>
    <x v="0"/>
    <x v="0"/>
    <x v="0"/>
    <x v="1"/>
    <x v="5"/>
    <x v="8"/>
    <x v="1"/>
    <x v="12"/>
    <x v="12"/>
    <x v="12"/>
    <x v="12"/>
    <x v="12"/>
    <x v="12"/>
    <x v="12"/>
  </r>
  <r>
    <x v="0"/>
    <x v="0"/>
    <x v="0"/>
    <x v="1"/>
    <x v="5"/>
    <x v="8"/>
    <x v="1"/>
    <x v="13"/>
    <x v="13"/>
    <x v="13"/>
    <x v="13"/>
    <x v="13"/>
    <x v="13"/>
    <x v="13"/>
  </r>
  <r>
    <x v="0"/>
    <x v="0"/>
    <x v="0"/>
    <x v="1"/>
    <x v="5"/>
    <x v="8"/>
    <x v="1"/>
    <x v="14"/>
    <x v="14"/>
    <x v="14"/>
    <x v="14"/>
    <x v="14"/>
    <x v="14"/>
    <x v="14"/>
  </r>
  <r>
    <x v="0"/>
    <x v="0"/>
    <x v="0"/>
    <x v="2"/>
    <x v="6"/>
    <x v="9"/>
    <x v="2"/>
    <x v="15"/>
    <x v="15"/>
    <x v="15"/>
    <x v="15"/>
    <x v="15"/>
    <x v="15"/>
    <x v="15"/>
  </r>
  <r>
    <x v="0"/>
    <x v="0"/>
    <x v="0"/>
    <x v="2"/>
    <x v="6"/>
    <x v="9"/>
    <x v="2"/>
    <x v="16"/>
    <x v="16"/>
    <x v="16"/>
    <x v="16"/>
    <x v="16"/>
    <x v="16"/>
    <x v="16"/>
  </r>
  <r>
    <x v="0"/>
    <x v="0"/>
    <x v="0"/>
    <x v="2"/>
    <x v="7"/>
    <x v="10"/>
    <x v="0"/>
    <x v="17"/>
    <x v="17"/>
    <x v="17"/>
    <x v="17"/>
    <x v="17"/>
    <x v="17"/>
    <x v="17"/>
  </r>
  <r>
    <x v="0"/>
    <x v="0"/>
    <x v="0"/>
    <x v="2"/>
    <x v="7"/>
    <x v="10"/>
    <x v="2"/>
    <x v="15"/>
    <x v="18"/>
    <x v="18"/>
    <x v="18"/>
    <x v="18"/>
    <x v="18"/>
    <x v="18"/>
  </r>
  <r>
    <x v="0"/>
    <x v="0"/>
    <x v="0"/>
    <x v="2"/>
    <x v="7"/>
    <x v="10"/>
    <x v="2"/>
    <x v="18"/>
    <x v="19"/>
    <x v="19"/>
    <x v="19"/>
    <x v="19"/>
    <x v="19"/>
    <x v="19"/>
  </r>
  <r>
    <x v="0"/>
    <x v="0"/>
    <x v="0"/>
    <x v="2"/>
    <x v="7"/>
    <x v="10"/>
    <x v="2"/>
    <x v="16"/>
    <x v="20"/>
    <x v="20"/>
    <x v="20"/>
    <x v="20"/>
    <x v="20"/>
    <x v="20"/>
  </r>
  <r>
    <x v="0"/>
    <x v="0"/>
    <x v="0"/>
    <x v="2"/>
    <x v="7"/>
    <x v="11"/>
    <x v="0"/>
    <x v="19"/>
    <x v="21"/>
    <x v="21"/>
    <x v="21"/>
    <x v="21"/>
    <x v="21"/>
    <x v="21"/>
  </r>
  <r>
    <x v="0"/>
    <x v="0"/>
    <x v="0"/>
    <x v="2"/>
    <x v="7"/>
    <x v="12"/>
    <x v="0"/>
    <x v="20"/>
    <x v="22"/>
    <x v="22"/>
    <x v="22"/>
    <x v="22"/>
    <x v="22"/>
    <x v="22"/>
  </r>
</pivotCacheRecords>
</file>

<file path=xl/pivotCache/pivotCacheRecords11.xml><?xml version="1.0" encoding="utf-8"?>
<pivotCacheRecords xmlns="http://schemas.openxmlformats.org/spreadsheetml/2006/main" xmlns:r="http://schemas.openxmlformats.org/officeDocument/2006/relationships" count="1200">
  <r>
    <x v="0"/>
    <x v="0"/>
    <x v="0"/>
    <x v="0"/>
    <x v="0"/>
    <s v="DK1_Large"/>
    <x v="0"/>
    <x v="0"/>
    <x v="0"/>
    <x v="0"/>
  </r>
  <r>
    <x v="0"/>
    <x v="0"/>
    <x v="0"/>
    <x v="0"/>
    <x v="0"/>
    <s v="DK1_Large"/>
    <x v="0"/>
    <x v="1"/>
    <x v="0"/>
    <x v="0"/>
  </r>
  <r>
    <x v="0"/>
    <x v="0"/>
    <x v="0"/>
    <x v="0"/>
    <x v="0"/>
    <s v="DK1_Large"/>
    <x v="0"/>
    <x v="2"/>
    <x v="0"/>
    <x v="0"/>
  </r>
  <r>
    <x v="0"/>
    <x v="0"/>
    <x v="0"/>
    <x v="0"/>
    <x v="0"/>
    <s v="DK1_Large"/>
    <x v="0"/>
    <x v="3"/>
    <x v="0"/>
    <x v="0"/>
  </r>
  <r>
    <x v="0"/>
    <x v="0"/>
    <x v="0"/>
    <x v="0"/>
    <x v="0"/>
    <s v="DK1_Large"/>
    <x v="0"/>
    <x v="4"/>
    <x v="0"/>
    <x v="0"/>
  </r>
  <r>
    <x v="0"/>
    <x v="0"/>
    <x v="0"/>
    <x v="0"/>
    <x v="0"/>
    <s v="DK1_Large"/>
    <x v="0"/>
    <x v="5"/>
    <x v="0"/>
    <x v="0"/>
  </r>
  <r>
    <x v="0"/>
    <x v="0"/>
    <x v="0"/>
    <x v="0"/>
    <x v="0"/>
    <s v="DK1_Large"/>
    <x v="0"/>
    <x v="6"/>
    <x v="0"/>
    <x v="0"/>
  </r>
  <r>
    <x v="0"/>
    <x v="0"/>
    <x v="0"/>
    <x v="0"/>
    <x v="0"/>
    <s v="DK1_Large"/>
    <x v="0"/>
    <x v="7"/>
    <x v="0"/>
    <x v="0"/>
  </r>
  <r>
    <x v="0"/>
    <x v="0"/>
    <x v="0"/>
    <x v="0"/>
    <x v="0"/>
    <s v="DK1_Large"/>
    <x v="0"/>
    <x v="8"/>
    <x v="0"/>
    <x v="0"/>
  </r>
  <r>
    <x v="0"/>
    <x v="0"/>
    <x v="0"/>
    <x v="0"/>
    <x v="0"/>
    <s v="DK1_Large"/>
    <x v="0"/>
    <x v="9"/>
    <x v="0"/>
    <x v="0"/>
  </r>
  <r>
    <x v="0"/>
    <x v="0"/>
    <x v="0"/>
    <x v="0"/>
    <x v="0"/>
    <s v="DK1_Large"/>
    <x v="0"/>
    <x v="10"/>
    <x v="0"/>
    <x v="0"/>
  </r>
  <r>
    <x v="0"/>
    <x v="0"/>
    <x v="0"/>
    <x v="0"/>
    <x v="0"/>
    <s v="DK1_Large"/>
    <x v="0"/>
    <x v="11"/>
    <x v="0"/>
    <x v="0"/>
  </r>
  <r>
    <x v="0"/>
    <x v="0"/>
    <x v="0"/>
    <x v="0"/>
    <x v="0"/>
    <s v="DK1_Large"/>
    <x v="0"/>
    <x v="12"/>
    <x v="0"/>
    <x v="0"/>
  </r>
  <r>
    <x v="0"/>
    <x v="0"/>
    <x v="0"/>
    <x v="0"/>
    <x v="0"/>
    <s v="DK1_Large"/>
    <x v="0"/>
    <x v="13"/>
    <x v="0"/>
    <x v="0"/>
  </r>
  <r>
    <x v="0"/>
    <x v="0"/>
    <x v="0"/>
    <x v="0"/>
    <x v="0"/>
    <s v="DK1_Large"/>
    <x v="0"/>
    <x v="14"/>
    <x v="0"/>
    <x v="0"/>
  </r>
  <r>
    <x v="0"/>
    <x v="0"/>
    <x v="0"/>
    <x v="0"/>
    <x v="0"/>
    <s v="DK1_Large"/>
    <x v="0"/>
    <x v="15"/>
    <x v="0"/>
    <x v="0"/>
  </r>
  <r>
    <x v="0"/>
    <x v="0"/>
    <x v="0"/>
    <x v="0"/>
    <x v="0"/>
    <s v="DK1_Large"/>
    <x v="0"/>
    <x v="16"/>
    <x v="0"/>
    <x v="0"/>
  </r>
  <r>
    <x v="0"/>
    <x v="0"/>
    <x v="0"/>
    <x v="0"/>
    <x v="0"/>
    <s v="DK1_Large"/>
    <x v="0"/>
    <x v="17"/>
    <x v="0"/>
    <x v="0"/>
  </r>
  <r>
    <x v="0"/>
    <x v="0"/>
    <x v="0"/>
    <x v="0"/>
    <x v="0"/>
    <s v="DK1_Large"/>
    <x v="0"/>
    <x v="18"/>
    <x v="0"/>
    <x v="0"/>
  </r>
  <r>
    <x v="0"/>
    <x v="0"/>
    <x v="0"/>
    <x v="0"/>
    <x v="0"/>
    <s v="DK1_Large"/>
    <x v="0"/>
    <x v="19"/>
    <x v="0"/>
    <x v="0"/>
  </r>
  <r>
    <x v="0"/>
    <x v="0"/>
    <x v="0"/>
    <x v="0"/>
    <x v="0"/>
    <s v="DK1_Large"/>
    <x v="0"/>
    <x v="20"/>
    <x v="0"/>
    <x v="0"/>
  </r>
  <r>
    <x v="0"/>
    <x v="0"/>
    <x v="0"/>
    <x v="0"/>
    <x v="0"/>
    <s v="DK1_Large"/>
    <x v="0"/>
    <x v="21"/>
    <x v="0"/>
    <x v="0"/>
  </r>
  <r>
    <x v="0"/>
    <x v="0"/>
    <x v="0"/>
    <x v="0"/>
    <x v="0"/>
    <s v="DK1_Large"/>
    <x v="0"/>
    <x v="22"/>
    <x v="0"/>
    <x v="0"/>
  </r>
  <r>
    <x v="0"/>
    <x v="0"/>
    <x v="0"/>
    <x v="0"/>
    <x v="0"/>
    <s v="DK1_Large"/>
    <x v="0"/>
    <x v="23"/>
    <x v="0"/>
    <x v="0"/>
  </r>
  <r>
    <x v="0"/>
    <x v="0"/>
    <x v="0"/>
    <x v="0"/>
    <x v="0"/>
    <s v="DK1_MedSmall"/>
    <x v="0"/>
    <x v="0"/>
    <x v="0"/>
    <x v="0"/>
  </r>
  <r>
    <x v="0"/>
    <x v="0"/>
    <x v="0"/>
    <x v="0"/>
    <x v="0"/>
    <s v="DK1_MedSmall"/>
    <x v="0"/>
    <x v="1"/>
    <x v="0"/>
    <x v="0"/>
  </r>
  <r>
    <x v="0"/>
    <x v="0"/>
    <x v="0"/>
    <x v="0"/>
    <x v="0"/>
    <s v="DK1_MedSmall"/>
    <x v="0"/>
    <x v="2"/>
    <x v="0"/>
    <x v="0"/>
  </r>
  <r>
    <x v="0"/>
    <x v="0"/>
    <x v="0"/>
    <x v="0"/>
    <x v="0"/>
    <s v="DK1_MedSmall"/>
    <x v="0"/>
    <x v="3"/>
    <x v="0"/>
    <x v="0"/>
  </r>
  <r>
    <x v="0"/>
    <x v="0"/>
    <x v="0"/>
    <x v="0"/>
    <x v="0"/>
    <s v="DK1_MedSmall"/>
    <x v="0"/>
    <x v="4"/>
    <x v="0"/>
    <x v="0"/>
  </r>
  <r>
    <x v="0"/>
    <x v="0"/>
    <x v="0"/>
    <x v="0"/>
    <x v="0"/>
    <s v="DK1_MedSmall"/>
    <x v="0"/>
    <x v="5"/>
    <x v="0"/>
    <x v="0"/>
  </r>
  <r>
    <x v="0"/>
    <x v="0"/>
    <x v="0"/>
    <x v="0"/>
    <x v="0"/>
    <s v="DK1_MedSmall"/>
    <x v="0"/>
    <x v="6"/>
    <x v="0"/>
    <x v="0"/>
  </r>
  <r>
    <x v="0"/>
    <x v="0"/>
    <x v="0"/>
    <x v="0"/>
    <x v="0"/>
    <s v="DK1_MedSmall"/>
    <x v="0"/>
    <x v="7"/>
    <x v="0"/>
    <x v="0"/>
  </r>
  <r>
    <x v="0"/>
    <x v="0"/>
    <x v="0"/>
    <x v="0"/>
    <x v="0"/>
    <s v="DK1_MedSmall"/>
    <x v="0"/>
    <x v="8"/>
    <x v="0"/>
    <x v="0"/>
  </r>
  <r>
    <x v="0"/>
    <x v="0"/>
    <x v="0"/>
    <x v="0"/>
    <x v="0"/>
    <s v="DK1_MedSmall"/>
    <x v="0"/>
    <x v="9"/>
    <x v="0"/>
    <x v="0"/>
  </r>
  <r>
    <x v="0"/>
    <x v="0"/>
    <x v="0"/>
    <x v="0"/>
    <x v="0"/>
    <s v="DK1_MedSmall"/>
    <x v="0"/>
    <x v="10"/>
    <x v="0"/>
    <x v="0"/>
  </r>
  <r>
    <x v="0"/>
    <x v="0"/>
    <x v="0"/>
    <x v="0"/>
    <x v="0"/>
    <s v="DK1_MedSmall"/>
    <x v="0"/>
    <x v="11"/>
    <x v="0"/>
    <x v="0"/>
  </r>
  <r>
    <x v="0"/>
    <x v="0"/>
    <x v="0"/>
    <x v="0"/>
    <x v="0"/>
    <s v="DK1_MedSmall"/>
    <x v="0"/>
    <x v="12"/>
    <x v="0"/>
    <x v="0"/>
  </r>
  <r>
    <x v="0"/>
    <x v="0"/>
    <x v="0"/>
    <x v="0"/>
    <x v="0"/>
    <s v="DK1_MedSmall"/>
    <x v="0"/>
    <x v="13"/>
    <x v="0"/>
    <x v="0"/>
  </r>
  <r>
    <x v="0"/>
    <x v="0"/>
    <x v="0"/>
    <x v="0"/>
    <x v="0"/>
    <s v="DK1_MedSmall"/>
    <x v="0"/>
    <x v="14"/>
    <x v="0"/>
    <x v="0"/>
  </r>
  <r>
    <x v="0"/>
    <x v="0"/>
    <x v="0"/>
    <x v="0"/>
    <x v="0"/>
    <s v="DK1_MedSmall"/>
    <x v="0"/>
    <x v="15"/>
    <x v="0"/>
    <x v="0"/>
  </r>
  <r>
    <x v="0"/>
    <x v="0"/>
    <x v="0"/>
    <x v="0"/>
    <x v="0"/>
    <s v="DK1_MedSmall"/>
    <x v="0"/>
    <x v="16"/>
    <x v="0"/>
    <x v="0"/>
  </r>
  <r>
    <x v="0"/>
    <x v="0"/>
    <x v="0"/>
    <x v="0"/>
    <x v="0"/>
    <s v="DK1_MedSmall"/>
    <x v="0"/>
    <x v="17"/>
    <x v="0"/>
    <x v="0"/>
  </r>
  <r>
    <x v="0"/>
    <x v="0"/>
    <x v="0"/>
    <x v="0"/>
    <x v="0"/>
    <s v="DK1_MedSmall"/>
    <x v="0"/>
    <x v="18"/>
    <x v="0"/>
    <x v="0"/>
  </r>
  <r>
    <x v="0"/>
    <x v="0"/>
    <x v="0"/>
    <x v="0"/>
    <x v="0"/>
    <s v="DK1_MedSmall"/>
    <x v="0"/>
    <x v="19"/>
    <x v="0"/>
    <x v="0"/>
  </r>
  <r>
    <x v="0"/>
    <x v="0"/>
    <x v="0"/>
    <x v="0"/>
    <x v="0"/>
    <s v="DK1_MedSmall"/>
    <x v="0"/>
    <x v="20"/>
    <x v="0"/>
    <x v="0"/>
  </r>
  <r>
    <x v="0"/>
    <x v="0"/>
    <x v="0"/>
    <x v="0"/>
    <x v="0"/>
    <s v="DK1_MedSmall"/>
    <x v="0"/>
    <x v="21"/>
    <x v="0"/>
    <x v="0"/>
  </r>
  <r>
    <x v="0"/>
    <x v="0"/>
    <x v="0"/>
    <x v="0"/>
    <x v="0"/>
    <s v="DK1_MedSmall"/>
    <x v="0"/>
    <x v="22"/>
    <x v="0"/>
    <x v="0"/>
  </r>
  <r>
    <x v="0"/>
    <x v="0"/>
    <x v="0"/>
    <x v="0"/>
    <x v="0"/>
    <s v="DK1_MedSmall"/>
    <x v="0"/>
    <x v="23"/>
    <x v="0"/>
    <x v="0"/>
  </r>
  <r>
    <x v="0"/>
    <x v="0"/>
    <x v="0"/>
    <x v="0"/>
    <x v="0"/>
    <s v="DK1_Medium"/>
    <x v="0"/>
    <x v="0"/>
    <x v="0"/>
    <x v="0"/>
  </r>
  <r>
    <x v="0"/>
    <x v="0"/>
    <x v="0"/>
    <x v="0"/>
    <x v="0"/>
    <s v="DK1_Medium"/>
    <x v="0"/>
    <x v="1"/>
    <x v="0"/>
    <x v="0"/>
  </r>
  <r>
    <x v="0"/>
    <x v="0"/>
    <x v="0"/>
    <x v="0"/>
    <x v="0"/>
    <s v="DK1_Medium"/>
    <x v="0"/>
    <x v="2"/>
    <x v="0"/>
    <x v="0"/>
  </r>
  <r>
    <x v="0"/>
    <x v="0"/>
    <x v="0"/>
    <x v="0"/>
    <x v="0"/>
    <s v="DK1_Medium"/>
    <x v="0"/>
    <x v="3"/>
    <x v="0"/>
    <x v="0"/>
  </r>
  <r>
    <x v="0"/>
    <x v="0"/>
    <x v="0"/>
    <x v="0"/>
    <x v="0"/>
    <s v="DK1_Medium"/>
    <x v="0"/>
    <x v="4"/>
    <x v="0"/>
    <x v="0"/>
  </r>
  <r>
    <x v="0"/>
    <x v="0"/>
    <x v="0"/>
    <x v="0"/>
    <x v="0"/>
    <s v="DK1_Medium"/>
    <x v="0"/>
    <x v="5"/>
    <x v="0"/>
    <x v="0"/>
  </r>
  <r>
    <x v="0"/>
    <x v="0"/>
    <x v="0"/>
    <x v="0"/>
    <x v="0"/>
    <s v="DK1_Medium"/>
    <x v="0"/>
    <x v="6"/>
    <x v="0"/>
    <x v="0"/>
  </r>
  <r>
    <x v="0"/>
    <x v="0"/>
    <x v="0"/>
    <x v="0"/>
    <x v="0"/>
    <s v="DK1_Medium"/>
    <x v="0"/>
    <x v="7"/>
    <x v="0"/>
    <x v="0"/>
  </r>
  <r>
    <x v="0"/>
    <x v="0"/>
    <x v="0"/>
    <x v="0"/>
    <x v="0"/>
    <s v="DK1_Medium"/>
    <x v="0"/>
    <x v="8"/>
    <x v="0"/>
    <x v="0"/>
  </r>
  <r>
    <x v="0"/>
    <x v="0"/>
    <x v="0"/>
    <x v="0"/>
    <x v="0"/>
    <s v="DK1_Medium"/>
    <x v="0"/>
    <x v="9"/>
    <x v="0"/>
    <x v="0"/>
  </r>
  <r>
    <x v="0"/>
    <x v="0"/>
    <x v="0"/>
    <x v="0"/>
    <x v="0"/>
    <s v="DK1_Medium"/>
    <x v="0"/>
    <x v="10"/>
    <x v="0"/>
    <x v="0"/>
  </r>
  <r>
    <x v="0"/>
    <x v="0"/>
    <x v="0"/>
    <x v="0"/>
    <x v="0"/>
    <s v="DK1_Medium"/>
    <x v="0"/>
    <x v="11"/>
    <x v="0"/>
    <x v="0"/>
  </r>
  <r>
    <x v="0"/>
    <x v="0"/>
    <x v="0"/>
    <x v="0"/>
    <x v="0"/>
    <s v="DK1_Medium"/>
    <x v="0"/>
    <x v="12"/>
    <x v="0"/>
    <x v="0"/>
  </r>
  <r>
    <x v="0"/>
    <x v="0"/>
    <x v="0"/>
    <x v="0"/>
    <x v="0"/>
    <s v="DK1_Medium"/>
    <x v="0"/>
    <x v="13"/>
    <x v="0"/>
    <x v="0"/>
  </r>
  <r>
    <x v="0"/>
    <x v="0"/>
    <x v="0"/>
    <x v="0"/>
    <x v="0"/>
    <s v="DK1_Medium"/>
    <x v="0"/>
    <x v="14"/>
    <x v="0"/>
    <x v="0"/>
  </r>
  <r>
    <x v="0"/>
    <x v="0"/>
    <x v="0"/>
    <x v="0"/>
    <x v="0"/>
    <s v="DK1_Medium"/>
    <x v="0"/>
    <x v="15"/>
    <x v="0"/>
    <x v="0"/>
  </r>
  <r>
    <x v="0"/>
    <x v="0"/>
    <x v="0"/>
    <x v="0"/>
    <x v="0"/>
    <s v="DK1_Medium"/>
    <x v="0"/>
    <x v="16"/>
    <x v="0"/>
    <x v="0"/>
  </r>
  <r>
    <x v="0"/>
    <x v="0"/>
    <x v="0"/>
    <x v="0"/>
    <x v="0"/>
    <s v="DK1_Medium"/>
    <x v="0"/>
    <x v="17"/>
    <x v="0"/>
    <x v="0"/>
  </r>
  <r>
    <x v="0"/>
    <x v="0"/>
    <x v="0"/>
    <x v="0"/>
    <x v="0"/>
    <s v="DK1_Medium"/>
    <x v="0"/>
    <x v="18"/>
    <x v="0"/>
    <x v="0"/>
  </r>
  <r>
    <x v="0"/>
    <x v="0"/>
    <x v="0"/>
    <x v="0"/>
    <x v="0"/>
    <s v="DK1_Medium"/>
    <x v="0"/>
    <x v="19"/>
    <x v="0"/>
    <x v="0"/>
  </r>
  <r>
    <x v="0"/>
    <x v="0"/>
    <x v="0"/>
    <x v="0"/>
    <x v="0"/>
    <s v="DK1_Medium"/>
    <x v="0"/>
    <x v="20"/>
    <x v="0"/>
    <x v="0"/>
  </r>
  <r>
    <x v="0"/>
    <x v="0"/>
    <x v="0"/>
    <x v="0"/>
    <x v="0"/>
    <s v="DK1_Medium"/>
    <x v="0"/>
    <x v="21"/>
    <x v="0"/>
    <x v="0"/>
  </r>
  <r>
    <x v="0"/>
    <x v="0"/>
    <x v="0"/>
    <x v="0"/>
    <x v="0"/>
    <s v="DK1_Medium"/>
    <x v="0"/>
    <x v="22"/>
    <x v="0"/>
    <x v="0"/>
  </r>
  <r>
    <x v="0"/>
    <x v="0"/>
    <x v="0"/>
    <x v="0"/>
    <x v="0"/>
    <s v="DK1_Medium"/>
    <x v="0"/>
    <x v="23"/>
    <x v="0"/>
    <x v="0"/>
  </r>
  <r>
    <x v="0"/>
    <x v="0"/>
    <x v="0"/>
    <x v="0"/>
    <x v="0"/>
    <s v="DK1_Rural"/>
    <x v="0"/>
    <x v="0"/>
    <x v="0"/>
    <x v="0"/>
  </r>
  <r>
    <x v="0"/>
    <x v="0"/>
    <x v="0"/>
    <x v="0"/>
    <x v="0"/>
    <s v="DK1_Rural"/>
    <x v="0"/>
    <x v="1"/>
    <x v="0"/>
    <x v="0"/>
  </r>
  <r>
    <x v="0"/>
    <x v="0"/>
    <x v="0"/>
    <x v="0"/>
    <x v="0"/>
    <s v="DK1_Rural"/>
    <x v="0"/>
    <x v="2"/>
    <x v="0"/>
    <x v="0"/>
  </r>
  <r>
    <x v="0"/>
    <x v="0"/>
    <x v="0"/>
    <x v="0"/>
    <x v="0"/>
    <s v="DK1_Rural"/>
    <x v="0"/>
    <x v="3"/>
    <x v="0"/>
    <x v="0"/>
  </r>
  <r>
    <x v="0"/>
    <x v="0"/>
    <x v="0"/>
    <x v="0"/>
    <x v="0"/>
    <s v="DK1_Rural"/>
    <x v="0"/>
    <x v="4"/>
    <x v="0"/>
    <x v="0"/>
  </r>
  <r>
    <x v="0"/>
    <x v="0"/>
    <x v="0"/>
    <x v="0"/>
    <x v="0"/>
    <s v="DK1_Rural"/>
    <x v="0"/>
    <x v="5"/>
    <x v="0"/>
    <x v="0"/>
  </r>
  <r>
    <x v="0"/>
    <x v="0"/>
    <x v="0"/>
    <x v="0"/>
    <x v="0"/>
    <s v="DK1_Rural"/>
    <x v="0"/>
    <x v="6"/>
    <x v="0"/>
    <x v="0"/>
  </r>
  <r>
    <x v="0"/>
    <x v="0"/>
    <x v="0"/>
    <x v="0"/>
    <x v="0"/>
    <s v="DK1_Rural"/>
    <x v="0"/>
    <x v="7"/>
    <x v="0"/>
    <x v="0"/>
  </r>
  <r>
    <x v="0"/>
    <x v="0"/>
    <x v="0"/>
    <x v="0"/>
    <x v="0"/>
    <s v="DK1_Rural"/>
    <x v="0"/>
    <x v="8"/>
    <x v="0"/>
    <x v="0"/>
  </r>
  <r>
    <x v="0"/>
    <x v="0"/>
    <x v="0"/>
    <x v="0"/>
    <x v="0"/>
    <s v="DK1_Rural"/>
    <x v="0"/>
    <x v="9"/>
    <x v="0"/>
    <x v="0"/>
  </r>
  <r>
    <x v="0"/>
    <x v="0"/>
    <x v="0"/>
    <x v="0"/>
    <x v="0"/>
    <s v="DK1_Rural"/>
    <x v="0"/>
    <x v="10"/>
    <x v="0"/>
    <x v="0"/>
  </r>
  <r>
    <x v="0"/>
    <x v="0"/>
    <x v="0"/>
    <x v="0"/>
    <x v="0"/>
    <s v="DK1_Rural"/>
    <x v="0"/>
    <x v="11"/>
    <x v="0"/>
    <x v="0"/>
  </r>
  <r>
    <x v="0"/>
    <x v="0"/>
    <x v="0"/>
    <x v="0"/>
    <x v="0"/>
    <s v="DK1_Rural"/>
    <x v="0"/>
    <x v="12"/>
    <x v="0"/>
    <x v="0"/>
  </r>
  <r>
    <x v="0"/>
    <x v="0"/>
    <x v="0"/>
    <x v="0"/>
    <x v="0"/>
    <s v="DK1_Rural"/>
    <x v="0"/>
    <x v="13"/>
    <x v="0"/>
    <x v="0"/>
  </r>
  <r>
    <x v="0"/>
    <x v="0"/>
    <x v="0"/>
    <x v="0"/>
    <x v="0"/>
    <s v="DK1_Rural"/>
    <x v="0"/>
    <x v="14"/>
    <x v="0"/>
    <x v="0"/>
  </r>
  <r>
    <x v="0"/>
    <x v="0"/>
    <x v="0"/>
    <x v="0"/>
    <x v="0"/>
    <s v="DK1_Rural"/>
    <x v="0"/>
    <x v="15"/>
    <x v="0"/>
    <x v="0"/>
  </r>
  <r>
    <x v="0"/>
    <x v="0"/>
    <x v="0"/>
    <x v="0"/>
    <x v="0"/>
    <s v="DK1_Rural"/>
    <x v="0"/>
    <x v="16"/>
    <x v="0"/>
    <x v="0"/>
  </r>
  <r>
    <x v="0"/>
    <x v="0"/>
    <x v="0"/>
    <x v="0"/>
    <x v="0"/>
    <s v="DK1_Rural"/>
    <x v="0"/>
    <x v="17"/>
    <x v="0"/>
    <x v="0"/>
  </r>
  <r>
    <x v="0"/>
    <x v="0"/>
    <x v="0"/>
    <x v="0"/>
    <x v="0"/>
    <s v="DK1_Rural"/>
    <x v="0"/>
    <x v="18"/>
    <x v="0"/>
    <x v="0"/>
  </r>
  <r>
    <x v="0"/>
    <x v="0"/>
    <x v="0"/>
    <x v="0"/>
    <x v="0"/>
    <s v="DK1_Rural"/>
    <x v="0"/>
    <x v="19"/>
    <x v="0"/>
    <x v="0"/>
  </r>
  <r>
    <x v="0"/>
    <x v="0"/>
    <x v="0"/>
    <x v="0"/>
    <x v="0"/>
    <s v="DK1_Rural"/>
    <x v="0"/>
    <x v="20"/>
    <x v="0"/>
    <x v="0"/>
  </r>
  <r>
    <x v="0"/>
    <x v="0"/>
    <x v="0"/>
    <x v="0"/>
    <x v="0"/>
    <s v="DK1_Rural"/>
    <x v="0"/>
    <x v="21"/>
    <x v="0"/>
    <x v="0"/>
  </r>
  <r>
    <x v="0"/>
    <x v="0"/>
    <x v="0"/>
    <x v="0"/>
    <x v="0"/>
    <s v="DK1_Rural"/>
    <x v="0"/>
    <x v="22"/>
    <x v="0"/>
    <x v="0"/>
  </r>
  <r>
    <x v="0"/>
    <x v="0"/>
    <x v="0"/>
    <x v="0"/>
    <x v="0"/>
    <s v="DK1_Rural"/>
    <x v="0"/>
    <x v="23"/>
    <x v="0"/>
    <x v="0"/>
  </r>
  <r>
    <x v="0"/>
    <x v="0"/>
    <x v="0"/>
    <x v="0"/>
    <x v="0"/>
    <s v="DK1_Small"/>
    <x v="0"/>
    <x v="0"/>
    <x v="0"/>
    <x v="0"/>
  </r>
  <r>
    <x v="0"/>
    <x v="0"/>
    <x v="0"/>
    <x v="0"/>
    <x v="0"/>
    <s v="DK1_Small"/>
    <x v="0"/>
    <x v="1"/>
    <x v="0"/>
    <x v="0"/>
  </r>
  <r>
    <x v="0"/>
    <x v="0"/>
    <x v="0"/>
    <x v="0"/>
    <x v="0"/>
    <s v="DK1_Small"/>
    <x v="0"/>
    <x v="2"/>
    <x v="0"/>
    <x v="0"/>
  </r>
  <r>
    <x v="0"/>
    <x v="0"/>
    <x v="0"/>
    <x v="0"/>
    <x v="0"/>
    <s v="DK1_Small"/>
    <x v="0"/>
    <x v="3"/>
    <x v="0"/>
    <x v="0"/>
  </r>
  <r>
    <x v="0"/>
    <x v="0"/>
    <x v="0"/>
    <x v="0"/>
    <x v="0"/>
    <s v="DK1_Small"/>
    <x v="0"/>
    <x v="4"/>
    <x v="0"/>
    <x v="0"/>
  </r>
  <r>
    <x v="0"/>
    <x v="0"/>
    <x v="0"/>
    <x v="0"/>
    <x v="0"/>
    <s v="DK1_Small"/>
    <x v="0"/>
    <x v="5"/>
    <x v="0"/>
    <x v="0"/>
  </r>
  <r>
    <x v="0"/>
    <x v="0"/>
    <x v="0"/>
    <x v="0"/>
    <x v="0"/>
    <s v="DK1_Small"/>
    <x v="0"/>
    <x v="6"/>
    <x v="0"/>
    <x v="0"/>
  </r>
  <r>
    <x v="0"/>
    <x v="0"/>
    <x v="0"/>
    <x v="0"/>
    <x v="0"/>
    <s v="DK1_Small"/>
    <x v="0"/>
    <x v="7"/>
    <x v="0"/>
    <x v="0"/>
  </r>
  <r>
    <x v="0"/>
    <x v="0"/>
    <x v="0"/>
    <x v="0"/>
    <x v="0"/>
    <s v="DK1_Small"/>
    <x v="0"/>
    <x v="8"/>
    <x v="0"/>
    <x v="0"/>
  </r>
  <r>
    <x v="0"/>
    <x v="0"/>
    <x v="0"/>
    <x v="0"/>
    <x v="0"/>
    <s v="DK1_Small"/>
    <x v="0"/>
    <x v="9"/>
    <x v="0"/>
    <x v="0"/>
  </r>
  <r>
    <x v="0"/>
    <x v="0"/>
    <x v="0"/>
    <x v="0"/>
    <x v="0"/>
    <s v="DK1_Small"/>
    <x v="0"/>
    <x v="10"/>
    <x v="0"/>
    <x v="0"/>
  </r>
  <r>
    <x v="0"/>
    <x v="0"/>
    <x v="0"/>
    <x v="0"/>
    <x v="0"/>
    <s v="DK1_Small"/>
    <x v="0"/>
    <x v="11"/>
    <x v="0"/>
    <x v="0"/>
  </r>
  <r>
    <x v="0"/>
    <x v="0"/>
    <x v="0"/>
    <x v="0"/>
    <x v="0"/>
    <s v="DK1_Small"/>
    <x v="0"/>
    <x v="12"/>
    <x v="0"/>
    <x v="0"/>
  </r>
  <r>
    <x v="0"/>
    <x v="0"/>
    <x v="0"/>
    <x v="0"/>
    <x v="0"/>
    <s v="DK1_Small"/>
    <x v="0"/>
    <x v="13"/>
    <x v="0"/>
    <x v="0"/>
  </r>
  <r>
    <x v="0"/>
    <x v="0"/>
    <x v="0"/>
    <x v="0"/>
    <x v="0"/>
    <s v="DK1_Small"/>
    <x v="0"/>
    <x v="14"/>
    <x v="0"/>
    <x v="0"/>
  </r>
  <r>
    <x v="0"/>
    <x v="0"/>
    <x v="0"/>
    <x v="0"/>
    <x v="0"/>
    <s v="DK1_Small"/>
    <x v="0"/>
    <x v="15"/>
    <x v="0"/>
    <x v="0"/>
  </r>
  <r>
    <x v="0"/>
    <x v="0"/>
    <x v="0"/>
    <x v="0"/>
    <x v="0"/>
    <s v="DK1_Small"/>
    <x v="0"/>
    <x v="16"/>
    <x v="0"/>
    <x v="0"/>
  </r>
  <r>
    <x v="0"/>
    <x v="0"/>
    <x v="0"/>
    <x v="0"/>
    <x v="0"/>
    <s v="DK1_Small"/>
    <x v="0"/>
    <x v="17"/>
    <x v="0"/>
    <x v="0"/>
  </r>
  <r>
    <x v="0"/>
    <x v="0"/>
    <x v="0"/>
    <x v="0"/>
    <x v="0"/>
    <s v="DK1_Small"/>
    <x v="0"/>
    <x v="18"/>
    <x v="0"/>
    <x v="0"/>
  </r>
  <r>
    <x v="0"/>
    <x v="0"/>
    <x v="0"/>
    <x v="0"/>
    <x v="0"/>
    <s v="DK1_Small"/>
    <x v="0"/>
    <x v="19"/>
    <x v="0"/>
    <x v="0"/>
  </r>
  <r>
    <x v="0"/>
    <x v="0"/>
    <x v="0"/>
    <x v="0"/>
    <x v="0"/>
    <s v="DK1_Small"/>
    <x v="0"/>
    <x v="20"/>
    <x v="0"/>
    <x v="0"/>
  </r>
  <r>
    <x v="0"/>
    <x v="0"/>
    <x v="0"/>
    <x v="0"/>
    <x v="0"/>
    <s v="DK1_Small"/>
    <x v="0"/>
    <x v="21"/>
    <x v="0"/>
    <x v="0"/>
  </r>
  <r>
    <x v="0"/>
    <x v="0"/>
    <x v="0"/>
    <x v="0"/>
    <x v="0"/>
    <s v="DK1_Small"/>
    <x v="0"/>
    <x v="22"/>
    <x v="0"/>
    <x v="0"/>
  </r>
  <r>
    <x v="0"/>
    <x v="0"/>
    <x v="0"/>
    <x v="0"/>
    <x v="0"/>
    <s v="DK1_Small"/>
    <x v="0"/>
    <x v="23"/>
    <x v="0"/>
    <x v="0"/>
  </r>
  <r>
    <x v="0"/>
    <x v="0"/>
    <x v="0"/>
    <x v="0"/>
    <x v="0"/>
    <s v="DK2_Rural"/>
    <x v="0"/>
    <x v="0"/>
    <x v="0"/>
    <x v="0"/>
  </r>
  <r>
    <x v="0"/>
    <x v="0"/>
    <x v="0"/>
    <x v="0"/>
    <x v="0"/>
    <s v="DK2_Rural"/>
    <x v="0"/>
    <x v="1"/>
    <x v="0"/>
    <x v="0"/>
  </r>
  <r>
    <x v="0"/>
    <x v="0"/>
    <x v="0"/>
    <x v="0"/>
    <x v="0"/>
    <s v="DK2_Rural"/>
    <x v="0"/>
    <x v="2"/>
    <x v="0"/>
    <x v="0"/>
  </r>
  <r>
    <x v="0"/>
    <x v="0"/>
    <x v="0"/>
    <x v="0"/>
    <x v="0"/>
    <s v="DK2_Rural"/>
    <x v="0"/>
    <x v="3"/>
    <x v="0"/>
    <x v="0"/>
  </r>
  <r>
    <x v="0"/>
    <x v="0"/>
    <x v="0"/>
    <x v="0"/>
    <x v="0"/>
    <s v="DK2_Rural"/>
    <x v="0"/>
    <x v="4"/>
    <x v="0"/>
    <x v="0"/>
  </r>
  <r>
    <x v="0"/>
    <x v="0"/>
    <x v="0"/>
    <x v="0"/>
    <x v="0"/>
    <s v="DK2_Rural"/>
    <x v="0"/>
    <x v="5"/>
    <x v="0"/>
    <x v="0"/>
  </r>
  <r>
    <x v="0"/>
    <x v="0"/>
    <x v="0"/>
    <x v="0"/>
    <x v="0"/>
    <s v="DK2_Rural"/>
    <x v="0"/>
    <x v="6"/>
    <x v="0"/>
    <x v="0"/>
  </r>
  <r>
    <x v="0"/>
    <x v="0"/>
    <x v="0"/>
    <x v="0"/>
    <x v="0"/>
    <s v="DK2_Rural"/>
    <x v="0"/>
    <x v="7"/>
    <x v="0"/>
    <x v="0"/>
  </r>
  <r>
    <x v="0"/>
    <x v="0"/>
    <x v="0"/>
    <x v="0"/>
    <x v="0"/>
    <s v="DK2_Rural"/>
    <x v="0"/>
    <x v="8"/>
    <x v="0"/>
    <x v="0"/>
  </r>
  <r>
    <x v="0"/>
    <x v="0"/>
    <x v="0"/>
    <x v="0"/>
    <x v="0"/>
    <s v="DK2_Rural"/>
    <x v="0"/>
    <x v="9"/>
    <x v="0"/>
    <x v="0"/>
  </r>
  <r>
    <x v="0"/>
    <x v="0"/>
    <x v="0"/>
    <x v="0"/>
    <x v="0"/>
    <s v="DK2_Rural"/>
    <x v="0"/>
    <x v="10"/>
    <x v="0"/>
    <x v="0"/>
  </r>
  <r>
    <x v="0"/>
    <x v="0"/>
    <x v="0"/>
    <x v="0"/>
    <x v="0"/>
    <s v="DK2_Rural"/>
    <x v="0"/>
    <x v="11"/>
    <x v="0"/>
    <x v="0"/>
  </r>
  <r>
    <x v="0"/>
    <x v="0"/>
    <x v="0"/>
    <x v="0"/>
    <x v="0"/>
    <s v="DK2_Rural"/>
    <x v="0"/>
    <x v="12"/>
    <x v="0"/>
    <x v="0"/>
  </r>
  <r>
    <x v="0"/>
    <x v="0"/>
    <x v="0"/>
    <x v="0"/>
    <x v="0"/>
    <s v="DK2_Rural"/>
    <x v="0"/>
    <x v="13"/>
    <x v="0"/>
    <x v="0"/>
  </r>
  <r>
    <x v="0"/>
    <x v="0"/>
    <x v="0"/>
    <x v="0"/>
    <x v="0"/>
    <s v="DK2_Rural"/>
    <x v="0"/>
    <x v="14"/>
    <x v="0"/>
    <x v="0"/>
  </r>
  <r>
    <x v="0"/>
    <x v="0"/>
    <x v="0"/>
    <x v="0"/>
    <x v="0"/>
    <s v="DK2_Rural"/>
    <x v="0"/>
    <x v="15"/>
    <x v="0"/>
    <x v="0"/>
  </r>
  <r>
    <x v="0"/>
    <x v="0"/>
    <x v="0"/>
    <x v="0"/>
    <x v="0"/>
    <s v="DK2_Rural"/>
    <x v="0"/>
    <x v="16"/>
    <x v="0"/>
    <x v="0"/>
  </r>
  <r>
    <x v="0"/>
    <x v="0"/>
    <x v="0"/>
    <x v="0"/>
    <x v="0"/>
    <s v="DK2_Rural"/>
    <x v="0"/>
    <x v="17"/>
    <x v="0"/>
    <x v="0"/>
  </r>
  <r>
    <x v="0"/>
    <x v="0"/>
    <x v="0"/>
    <x v="0"/>
    <x v="0"/>
    <s v="DK2_Rural"/>
    <x v="0"/>
    <x v="18"/>
    <x v="0"/>
    <x v="0"/>
  </r>
  <r>
    <x v="0"/>
    <x v="0"/>
    <x v="0"/>
    <x v="0"/>
    <x v="0"/>
    <s v="DK2_Rural"/>
    <x v="0"/>
    <x v="19"/>
    <x v="0"/>
    <x v="0"/>
  </r>
  <r>
    <x v="0"/>
    <x v="0"/>
    <x v="0"/>
    <x v="0"/>
    <x v="0"/>
    <s v="DK2_Rural"/>
    <x v="0"/>
    <x v="20"/>
    <x v="0"/>
    <x v="0"/>
  </r>
  <r>
    <x v="0"/>
    <x v="0"/>
    <x v="0"/>
    <x v="0"/>
    <x v="0"/>
    <s v="DK2_Rural"/>
    <x v="0"/>
    <x v="21"/>
    <x v="0"/>
    <x v="0"/>
  </r>
  <r>
    <x v="0"/>
    <x v="0"/>
    <x v="0"/>
    <x v="0"/>
    <x v="0"/>
    <s v="DK2_Rural"/>
    <x v="0"/>
    <x v="22"/>
    <x v="0"/>
    <x v="0"/>
  </r>
  <r>
    <x v="0"/>
    <x v="0"/>
    <x v="0"/>
    <x v="0"/>
    <x v="0"/>
    <s v="DK2_Rural"/>
    <x v="0"/>
    <x v="23"/>
    <x v="0"/>
    <x v="0"/>
  </r>
  <r>
    <x v="0"/>
    <x v="0"/>
    <x v="0"/>
    <x v="0"/>
    <x v="1"/>
    <s v="DK2_Large"/>
    <x v="0"/>
    <x v="0"/>
    <x v="0"/>
    <x v="0"/>
  </r>
  <r>
    <x v="0"/>
    <x v="0"/>
    <x v="0"/>
    <x v="0"/>
    <x v="1"/>
    <s v="DK2_Large"/>
    <x v="0"/>
    <x v="1"/>
    <x v="0"/>
    <x v="0"/>
  </r>
  <r>
    <x v="0"/>
    <x v="0"/>
    <x v="0"/>
    <x v="0"/>
    <x v="1"/>
    <s v="DK2_Large"/>
    <x v="0"/>
    <x v="2"/>
    <x v="0"/>
    <x v="0"/>
  </r>
  <r>
    <x v="0"/>
    <x v="0"/>
    <x v="0"/>
    <x v="0"/>
    <x v="1"/>
    <s v="DK2_Large"/>
    <x v="0"/>
    <x v="3"/>
    <x v="0"/>
    <x v="0"/>
  </r>
  <r>
    <x v="0"/>
    <x v="0"/>
    <x v="0"/>
    <x v="0"/>
    <x v="1"/>
    <s v="DK2_Large"/>
    <x v="0"/>
    <x v="4"/>
    <x v="0"/>
    <x v="0"/>
  </r>
  <r>
    <x v="0"/>
    <x v="0"/>
    <x v="0"/>
    <x v="0"/>
    <x v="1"/>
    <s v="DK2_Large"/>
    <x v="0"/>
    <x v="5"/>
    <x v="0"/>
    <x v="0"/>
  </r>
  <r>
    <x v="0"/>
    <x v="0"/>
    <x v="0"/>
    <x v="0"/>
    <x v="1"/>
    <s v="DK2_Large"/>
    <x v="0"/>
    <x v="6"/>
    <x v="0"/>
    <x v="0"/>
  </r>
  <r>
    <x v="0"/>
    <x v="0"/>
    <x v="0"/>
    <x v="0"/>
    <x v="1"/>
    <s v="DK2_Large"/>
    <x v="0"/>
    <x v="7"/>
    <x v="0"/>
    <x v="0"/>
  </r>
  <r>
    <x v="0"/>
    <x v="0"/>
    <x v="0"/>
    <x v="0"/>
    <x v="1"/>
    <s v="DK2_Large"/>
    <x v="0"/>
    <x v="8"/>
    <x v="0"/>
    <x v="0"/>
  </r>
  <r>
    <x v="0"/>
    <x v="0"/>
    <x v="0"/>
    <x v="0"/>
    <x v="1"/>
    <s v="DK2_Large"/>
    <x v="0"/>
    <x v="9"/>
    <x v="0"/>
    <x v="0"/>
  </r>
  <r>
    <x v="0"/>
    <x v="0"/>
    <x v="0"/>
    <x v="0"/>
    <x v="1"/>
    <s v="DK2_Large"/>
    <x v="0"/>
    <x v="10"/>
    <x v="0"/>
    <x v="0"/>
  </r>
  <r>
    <x v="0"/>
    <x v="0"/>
    <x v="0"/>
    <x v="0"/>
    <x v="1"/>
    <s v="DK2_Large"/>
    <x v="0"/>
    <x v="11"/>
    <x v="0"/>
    <x v="0"/>
  </r>
  <r>
    <x v="0"/>
    <x v="0"/>
    <x v="0"/>
    <x v="0"/>
    <x v="1"/>
    <s v="DK2_Large"/>
    <x v="0"/>
    <x v="12"/>
    <x v="0"/>
    <x v="0"/>
  </r>
  <r>
    <x v="0"/>
    <x v="0"/>
    <x v="0"/>
    <x v="0"/>
    <x v="1"/>
    <s v="DK2_Large"/>
    <x v="0"/>
    <x v="13"/>
    <x v="0"/>
    <x v="0"/>
  </r>
  <r>
    <x v="0"/>
    <x v="0"/>
    <x v="0"/>
    <x v="0"/>
    <x v="1"/>
    <s v="DK2_Large"/>
    <x v="0"/>
    <x v="14"/>
    <x v="0"/>
    <x v="0"/>
  </r>
  <r>
    <x v="0"/>
    <x v="0"/>
    <x v="0"/>
    <x v="0"/>
    <x v="1"/>
    <s v="DK2_Large"/>
    <x v="0"/>
    <x v="15"/>
    <x v="0"/>
    <x v="0"/>
  </r>
  <r>
    <x v="0"/>
    <x v="0"/>
    <x v="0"/>
    <x v="0"/>
    <x v="1"/>
    <s v="DK2_Large"/>
    <x v="0"/>
    <x v="16"/>
    <x v="0"/>
    <x v="0"/>
  </r>
  <r>
    <x v="0"/>
    <x v="0"/>
    <x v="0"/>
    <x v="0"/>
    <x v="1"/>
    <s v="DK2_Large"/>
    <x v="0"/>
    <x v="17"/>
    <x v="0"/>
    <x v="0"/>
  </r>
  <r>
    <x v="0"/>
    <x v="0"/>
    <x v="0"/>
    <x v="0"/>
    <x v="1"/>
    <s v="DK2_Large"/>
    <x v="0"/>
    <x v="18"/>
    <x v="0"/>
    <x v="0"/>
  </r>
  <r>
    <x v="0"/>
    <x v="0"/>
    <x v="0"/>
    <x v="0"/>
    <x v="1"/>
    <s v="DK2_Large"/>
    <x v="0"/>
    <x v="19"/>
    <x v="0"/>
    <x v="0"/>
  </r>
  <r>
    <x v="0"/>
    <x v="0"/>
    <x v="0"/>
    <x v="0"/>
    <x v="1"/>
    <s v="DK2_Large"/>
    <x v="0"/>
    <x v="20"/>
    <x v="0"/>
    <x v="0"/>
  </r>
  <r>
    <x v="0"/>
    <x v="0"/>
    <x v="0"/>
    <x v="0"/>
    <x v="1"/>
    <s v="DK2_Large"/>
    <x v="0"/>
    <x v="21"/>
    <x v="0"/>
    <x v="0"/>
  </r>
  <r>
    <x v="0"/>
    <x v="0"/>
    <x v="0"/>
    <x v="0"/>
    <x v="1"/>
    <s v="DK2_Large"/>
    <x v="0"/>
    <x v="22"/>
    <x v="0"/>
    <x v="0"/>
  </r>
  <r>
    <x v="0"/>
    <x v="0"/>
    <x v="0"/>
    <x v="0"/>
    <x v="1"/>
    <s v="DK2_Large"/>
    <x v="0"/>
    <x v="23"/>
    <x v="0"/>
    <x v="0"/>
  </r>
  <r>
    <x v="0"/>
    <x v="0"/>
    <x v="0"/>
    <x v="0"/>
    <x v="1"/>
    <s v="DK2_MedSmall"/>
    <x v="0"/>
    <x v="0"/>
    <x v="0"/>
    <x v="0"/>
  </r>
  <r>
    <x v="0"/>
    <x v="0"/>
    <x v="0"/>
    <x v="0"/>
    <x v="1"/>
    <s v="DK2_MedSmall"/>
    <x v="0"/>
    <x v="1"/>
    <x v="0"/>
    <x v="0"/>
  </r>
  <r>
    <x v="0"/>
    <x v="0"/>
    <x v="0"/>
    <x v="0"/>
    <x v="1"/>
    <s v="DK2_MedSmall"/>
    <x v="0"/>
    <x v="2"/>
    <x v="0"/>
    <x v="0"/>
  </r>
  <r>
    <x v="0"/>
    <x v="0"/>
    <x v="0"/>
    <x v="0"/>
    <x v="1"/>
    <s v="DK2_MedSmall"/>
    <x v="0"/>
    <x v="3"/>
    <x v="0"/>
    <x v="0"/>
  </r>
  <r>
    <x v="0"/>
    <x v="0"/>
    <x v="0"/>
    <x v="0"/>
    <x v="1"/>
    <s v="DK2_MedSmall"/>
    <x v="0"/>
    <x v="4"/>
    <x v="0"/>
    <x v="0"/>
  </r>
  <r>
    <x v="0"/>
    <x v="0"/>
    <x v="0"/>
    <x v="0"/>
    <x v="1"/>
    <s v="DK2_MedSmall"/>
    <x v="0"/>
    <x v="5"/>
    <x v="0"/>
    <x v="0"/>
  </r>
  <r>
    <x v="0"/>
    <x v="0"/>
    <x v="0"/>
    <x v="0"/>
    <x v="1"/>
    <s v="DK2_MedSmall"/>
    <x v="0"/>
    <x v="6"/>
    <x v="0"/>
    <x v="0"/>
  </r>
  <r>
    <x v="0"/>
    <x v="0"/>
    <x v="0"/>
    <x v="0"/>
    <x v="1"/>
    <s v="DK2_MedSmall"/>
    <x v="0"/>
    <x v="7"/>
    <x v="0"/>
    <x v="0"/>
  </r>
  <r>
    <x v="0"/>
    <x v="0"/>
    <x v="0"/>
    <x v="0"/>
    <x v="1"/>
    <s v="DK2_MedSmall"/>
    <x v="0"/>
    <x v="8"/>
    <x v="0"/>
    <x v="0"/>
  </r>
  <r>
    <x v="0"/>
    <x v="0"/>
    <x v="0"/>
    <x v="0"/>
    <x v="1"/>
    <s v="DK2_MedSmall"/>
    <x v="0"/>
    <x v="9"/>
    <x v="0"/>
    <x v="0"/>
  </r>
  <r>
    <x v="0"/>
    <x v="0"/>
    <x v="0"/>
    <x v="0"/>
    <x v="1"/>
    <s v="DK2_MedSmall"/>
    <x v="0"/>
    <x v="10"/>
    <x v="0"/>
    <x v="0"/>
  </r>
  <r>
    <x v="0"/>
    <x v="0"/>
    <x v="0"/>
    <x v="0"/>
    <x v="1"/>
    <s v="DK2_MedSmall"/>
    <x v="0"/>
    <x v="11"/>
    <x v="0"/>
    <x v="0"/>
  </r>
  <r>
    <x v="0"/>
    <x v="0"/>
    <x v="0"/>
    <x v="0"/>
    <x v="1"/>
    <s v="DK2_MedSmall"/>
    <x v="0"/>
    <x v="12"/>
    <x v="0"/>
    <x v="0"/>
  </r>
  <r>
    <x v="0"/>
    <x v="0"/>
    <x v="0"/>
    <x v="0"/>
    <x v="1"/>
    <s v="DK2_MedSmall"/>
    <x v="0"/>
    <x v="13"/>
    <x v="0"/>
    <x v="0"/>
  </r>
  <r>
    <x v="0"/>
    <x v="0"/>
    <x v="0"/>
    <x v="0"/>
    <x v="1"/>
    <s v="DK2_MedSmall"/>
    <x v="0"/>
    <x v="14"/>
    <x v="0"/>
    <x v="0"/>
  </r>
  <r>
    <x v="0"/>
    <x v="0"/>
    <x v="0"/>
    <x v="0"/>
    <x v="1"/>
    <s v="DK2_MedSmall"/>
    <x v="0"/>
    <x v="15"/>
    <x v="0"/>
    <x v="0"/>
  </r>
  <r>
    <x v="0"/>
    <x v="0"/>
    <x v="0"/>
    <x v="0"/>
    <x v="1"/>
    <s v="DK2_MedSmall"/>
    <x v="0"/>
    <x v="16"/>
    <x v="0"/>
    <x v="0"/>
  </r>
  <r>
    <x v="0"/>
    <x v="0"/>
    <x v="0"/>
    <x v="0"/>
    <x v="1"/>
    <s v="DK2_MedSmall"/>
    <x v="0"/>
    <x v="17"/>
    <x v="0"/>
    <x v="0"/>
  </r>
  <r>
    <x v="0"/>
    <x v="0"/>
    <x v="0"/>
    <x v="0"/>
    <x v="1"/>
    <s v="DK2_MedSmall"/>
    <x v="0"/>
    <x v="18"/>
    <x v="0"/>
    <x v="0"/>
  </r>
  <r>
    <x v="0"/>
    <x v="0"/>
    <x v="0"/>
    <x v="0"/>
    <x v="1"/>
    <s v="DK2_MedSmall"/>
    <x v="0"/>
    <x v="19"/>
    <x v="0"/>
    <x v="0"/>
  </r>
  <r>
    <x v="0"/>
    <x v="0"/>
    <x v="0"/>
    <x v="0"/>
    <x v="1"/>
    <s v="DK2_MedSmall"/>
    <x v="0"/>
    <x v="20"/>
    <x v="0"/>
    <x v="0"/>
  </r>
  <r>
    <x v="0"/>
    <x v="0"/>
    <x v="0"/>
    <x v="0"/>
    <x v="1"/>
    <s v="DK2_MedSmall"/>
    <x v="0"/>
    <x v="21"/>
    <x v="0"/>
    <x v="0"/>
  </r>
  <r>
    <x v="0"/>
    <x v="0"/>
    <x v="0"/>
    <x v="0"/>
    <x v="1"/>
    <s v="DK2_MedSmall"/>
    <x v="0"/>
    <x v="22"/>
    <x v="0"/>
    <x v="0"/>
  </r>
  <r>
    <x v="0"/>
    <x v="0"/>
    <x v="0"/>
    <x v="0"/>
    <x v="1"/>
    <s v="DK2_MedSmall"/>
    <x v="0"/>
    <x v="23"/>
    <x v="0"/>
    <x v="0"/>
  </r>
  <r>
    <x v="0"/>
    <x v="0"/>
    <x v="0"/>
    <x v="0"/>
    <x v="1"/>
    <s v="DK2_Medium"/>
    <x v="0"/>
    <x v="0"/>
    <x v="0"/>
    <x v="0"/>
  </r>
  <r>
    <x v="0"/>
    <x v="0"/>
    <x v="0"/>
    <x v="0"/>
    <x v="1"/>
    <s v="DK2_Medium"/>
    <x v="0"/>
    <x v="1"/>
    <x v="0"/>
    <x v="0"/>
  </r>
  <r>
    <x v="0"/>
    <x v="0"/>
    <x v="0"/>
    <x v="0"/>
    <x v="1"/>
    <s v="DK2_Medium"/>
    <x v="0"/>
    <x v="2"/>
    <x v="0"/>
    <x v="0"/>
  </r>
  <r>
    <x v="0"/>
    <x v="0"/>
    <x v="0"/>
    <x v="0"/>
    <x v="1"/>
    <s v="DK2_Medium"/>
    <x v="0"/>
    <x v="3"/>
    <x v="0"/>
    <x v="0"/>
  </r>
  <r>
    <x v="0"/>
    <x v="0"/>
    <x v="0"/>
    <x v="0"/>
    <x v="1"/>
    <s v="DK2_Medium"/>
    <x v="0"/>
    <x v="4"/>
    <x v="0"/>
    <x v="0"/>
  </r>
  <r>
    <x v="0"/>
    <x v="0"/>
    <x v="0"/>
    <x v="0"/>
    <x v="1"/>
    <s v="DK2_Medium"/>
    <x v="0"/>
    <x v="5"/>
    <x v="0"/>
    <x v="0"/>
  </r>
  <r>
    <x v="0"/>
    <x v="0"/>
    <x v="0"/>
    <x v="0"/>
    <x v="1"/>
    <s v="DK2_Medium"/>
    <x v="0"/>
    <x v="6"/>
    <x v="0"/>
    <x v="0"/>
  </r>
  <r>
    <x v="0"/>
    <x v="0"/>
    <x v="0"/>
    <x v="0"/>
    <x v="1"/>
    <s v="DK2_Medium"/>
    <x v="0"/>
    <x v="7"/>
    <x v="0"/>
    <x v="0"/>
  </r>
  <r>
    <x v="0"/>
    <x v="0"/>
    <x v="0"/>
    <x v="0"/>
    <x v="1"/>
    <s v="DK2_Medium"/>
    <x v="0"/>
    <x v="8"/>
    <x v="0"/>
    <x v="0"/>
  </r>
  <r>
    <x v="0"/>
    <x v="0"/>
    <x v="0"/>
    <x v="0"/>
    <x v="1"/>
    <s v="DK2_Medium"/>
    <x v="0"/>
    <x v="9"/>
    <x v="0"/>
    <x v="0"/>
  </r>
  <r>
    <x v="0"/>
    <x v="0"/>
    <x v="0"/>
    <x v="0"/>
    <x v="1"/>
    <s v="DK2_Medium"/>
    <x v="0"/>
    <x v="10"/>
    <x v="0"/>
    <x v="0"/>
  </r>
  <r>
    <x v="0"/>
    <x v="0"/>
    <x v="0"/>
    <x v="0"/>
    <x v="1"/>
    <s v="DK2_Medium"/>
    <x v="0"/>
    <x v="11"/>
    <x v="0"/>
    <x v="0"/>
  </r>
  <r>
    <x v="0"/>
    <x v="0"/>
    <x v="0"/>
    <x v="0"/>
    <x v="1"/>
    <s v="DK2_Medium"/>
    <x v="0"/>
    <x v="12"/>
    <x v="0"/>
    <x v="0"/>
  </r>
  <r>
    <x v="0"/>
    <x v="0"/>
    <x v="0"/>
    <x v="0"/>
    <x v="1"/>
    <s v="DK2_Medium"/>
    <x v="0"/>
    <x v="13"/>
    <x v="0"/>
    <x v="0"/>
  </r>
  <r>
    <x v="0"/>
    <x v="0"/>
    <x v="0"/>
    <x v="0"/>
    <x v="1"/>
    <s v="DK2_Medium"/>
    <x v="0"/>
    <x v="14"/>
    <x v="0"/>
    <x v="0"/>
  </r>
  <r>
    <x v="0"/>
    <x v="0"/>
    <x v="0"/>
    <x v="0"/>
    <x v="1"/>
    <s v="DK2_Medium"/>
    <x v="0"/>
    <x v="15"/>
    <x v="0"/>
    <x v="0"/>
  </r>
  <r>
    <x v="0"/>
    <x v="0"/>
    <x v="0"/>
    <x v="0"/>
    <x v="1"/>
    <s v="DK2_Medium"/>
    <x v="0"/>
    <x v="16"/>
    <x v="0"/>
    <x v="0"/>
  </r>
  <r>
    <x v="0"/>
    <x v="0"/>
    <x v="0"/>
    <x v="0"/>
    <x v="1"/>
    <s v="DK2_Medium"/>
    <x v="0"/>
    <x v="17"/>
    <x v="0"/>
    <x v="0"/>
  </r>
  <r>
    <x v="0"/>
    <x v="0"/>
    <x v="0"/>
    <x v="0"/>
    <x v="1"/>
    <s v="DK2_Medium"/>
    <x v="0"/>
    <x v="18"/>
    <x v="0"/>
    <x v="0"/>
  </r>
  <r>
    <x v="0"/>
    <x v="0"/>
    <x v="0"/>
    <x v="0"/>
    <x v="1"/>
    <s v="DK2_Medium"/>
    <x v="0"/>
    <x v="19"/>
    <x v="0"/>
    <x v="0"/>
  </r>
  <r>
    <x v="0"/>
    <x v="0"/>
    <x v="0"/>
    <x v="0"/>
    <x v="1"/>
    <s v="DK2_Medium"/>
    <x v="0"/>
    <x v="20"/>
    <x v="0"/>
    <x v="0"/>
  </r>
  <r>
    <x v="0"/>
    <x v="0"/>
    <x v="0"/>
    <x v="0"/>
    <x v="1"/>
    <s v="DK2_Medium"/>
    <x v="0"/>
    <x v="21"/>
    <x v="0"/>
    <x v="0"/>
  </r>
  <r>
    <x v="0"/>
    <x v="0"/>
    <x v="0"/>
    <x v="0"/>
    <x v="1"/>
    <s v="DK2_Medium"/>
    <x v="0"/>
    <x v="22"/>
    <x v="0"/>
    <x v="0"/>
  </r>
  <r>
    <x v="0"/>
    <x v="0"/>
    <x v="0"/>
    <x v="0"/>
    <x v="1"/>
    <s v="DK2_Medium"/>
    <x v="0"/>
    <x v="23"/>
    <x v="0"/>
    <x v="0"/>
  </r>
  <r>
    <x v="0"/>
    <x v="0"/>
    <x v="0"/>
    <x v="0"/>
    <x v="1"/>
    <s v="DK2_Rural"/>
    <x v="0"/>
    <x v="0"/>
    <x v="0"/>
    <x v="0"/>
  </r>
  <r>
    <x v="0"/>
    <x v="0"/>
    <x v="0"/>
    <x v="0"/>
    <x v="1"/>
    <s v="DK2_Rural"/>
    <x v="0"/>
    <x v="1"/>
    <x v="0"/>
    <x v="0"/>
  </r>
  <r>
    <x v="0"/>
    <x v="0"/>
    <x v="0"/>
    <x v="0"/>
    <x v="1"/>
    <s v="DK2_Rural"/>
    <x v="0"/>
    <x v="2"/>
    <x v="0"/>
    <x v="0"/>
  </r>
  <r>
    <x v="0"/>
    <x v="0"/>
    <x v="0"/>
    <x v="0"/>
    <x v="1"/>
    <s v="DK2_Rural"/>
    <x v="0"/>
    <x v="3"/>
    <x v="0"/>
    <x v="0"/>
  </r>
  <r>
    <x v="0"/>
    <x v="0"/>
    <x v="0"/>
    <x v="0"/>
    <x v="1"/>
    <s v="DK2_Rural"/>
    <x v="0"/>
    <x v="4"/>
    <x v="0"/>
    <x v="0"/>
  </r>
  <r>
    <x v="0"/>
    <x v="0"/>
    <x v="0"/>
    <x v="0"/>
    <x v="1"/>
    <s v="DK2_Rural"/>
    <x v="0"/>
    <x v="5"/>
    <x v="0"/>
    <x v="0"/>
  </r>
  <r>
    <x v="0"/>
    <x v="0"/>
    <x v="0"/>
    <x v="0"/>
    <x v="1"/>
    <s v="DK2_Rural"/>
    <x v="0"/>
    <x v="6"/>
    <x v="0"/>
    <x v="0"/>
  </r>
  <r>
    <x v="0"/>
    <x v="0"/>
    <x v="0"/>
    <x v="0"/>
    <x v="1"/>
    <s v="DK2_Rural"/>
    <x v="0"/>
    <x v="7"/>
    <x v="0"/>
    <x v="0"/>
  </r>
  <r>
    <x v="0"/>
    <x v="0"/>
    <x v="0"/>
    <x v="0"/>
    <x v="1"/>
    <s v="DK2_Rural"/>
    <x v="0"/>
    <x v="8"/>
    <x v="0"/>
    <x v="0"/>
  </r>
  <r>
    <x v="0"/>
    <x v="0"/>
    <x v="0"/>
    <x v="0"/>
    <x v="1"/>
    <s v="DK2_Rural"/>
    <x v="0"/>
    <x v="9"/>
    <x v="0"/>
    <x v="0"/>
  </r>
  <r>
    <x v="0"/>
    <x v="0"/>
    <x v="0"/>
    <x v="0"/>
    <x v="1"/>
    <s v="DK2_Rural"/>
    <x v="0"/>
    <x v="10"/>
    <x v="0"/>
    <x v="0"/>
  </r>
  <r>
    <x v="0"/>
    <x v="0"/>
    <x v="0"/>
    <x v="0"/>
    <x v="1"/>
    <s v="DK2_Rural"/>
    <x v="0"/>
    <x v="11"/>
    <x v="0"/>
    <x v="0"/>
  </r>
  <r>
    <x v="0"/>
    <x v="0"/>
    <x v="0"/>
    <x v="0"/>
    <x v="1"/>
    <s v="DK2_Rural"/>
    <x v="0"/>
    <x v="12"/>
    <x v="0"/>
    <x v="0"/>
  </r>
  <r>
    <x v="0"/>
    <x v="0"/>
    <x v="0"/>
    <x v="0"/>
    <x v="1"/>
    <s v="DK2_Rural"/>
    <x v="0"/>
    <x v="13"/>
    <x v="0"/>
    <x v="0"/>
  </r>
  <r>
    <x v="0"/>
    <x v="0"/>
    <x v="0"/>
    <x v="0"/>
    <x v="1"/>
    <s v="DK2_Rural"/>
    <x v="0"/>
    <x v="14"/>
    <x v="0"/>
    <x v="0"/>
  </r>
  <r>
    <x v="0"/>
    <x v="0"/>
    <x v="0"/>
    <x v="0"/>
    <x v="1"/>
    <s v="DK2_Rural"/>
    <x v="0"/>
    <x v="15"/>
    <x v="0"/>
    <x v="0"/>
  </r>
  <r>
    <x v="0"/>
    <x v="0"/>
    <x v="0"/>
    <x v="0"/>
    <x v="1"/>
    <s v="DK2_Rural"/>
    <x v="0"/>
    <x v="16"/>
    <x v="0"/>
    <x v="0"/>
  </r>
  <r>
    <x v="0"/>
    <x v="0"/>
    <x v="0"/>
    <x v="0"/>
    <x v="1"/>
    <s v="DK2_Rural"/>
    <x v="0"/>
    <x v="17"/>
    <x v="0"/>
    <x v="0"/>
  </r>
  <r>
    <x v="0"/>
    <x v="0"/>
    <x v="0"/>
    <x v="0"/>
    <x v="1"/>
    <s v="DK2_Rural"/>
    <x v="0"/>
    <x v="18"/>
    <x v="0"/>
    <x v="0"/>
  </r>
  <r>
    <x v="0"/>
    <x v="0"/>
    <x v="0"/>
    <x v="0"/>
    <x v="1"/>
    <s v="DK2_Rural"/>
    <x v="0"/>
    <x v="19"/>
    <x v="0"/>
    <x v="0"/>
  </r>
  <r>
    <x v="0"/>
    <x v="0"/>
    <x v="0"/>
    <x v="0"/>
    <x v="1"/>
    <s v="DK2_Rural"/>
    <x v="0"/>
    <x v="20"/>
    <x v="0"/>
    <x v="0"/>
  </r>
  <r>
    <x v="0"/>
    <x v="0"/>
    <x v="0"/>
    <x v="0"/>
    <x v="1"/>
    <s v="DK2_Rural"/>
    <x v="0"/>
    <x v="21"/>
    <x v="0"/>
    <x v="0"/>
  </r>
  <r>
    <x v="0"/>
    <x v="0"/>
    <x v="0"/>
    <x v="0"/>
    <x v="1"/>
    <s v="DK2_Rural"/>
    <x v="0"/>
    <x v="22"/>
    <x v="0"/>
    <x v="0"/>
  </r>
  <r>
    <x v="0"/>
    <x v="0"/>
    <x v="0"/>
    <x v="0"/>
    <x v="1"/>
    <s v="DK2_Rural"/>
    <x v="0"/>
    <x v="23"/>
    <x v="0"/>
    <x v="0"/>
  </r>
  <r>
    <x v="0"/>
    <x v="0"/>
    <x v="0"/>
    <x v="0"/>
    <x v="1"/>
    <s v="DK2_Small"/>
    <x v="0"/>
    <x v="0"/>
    <x v="0"/>
    <x v="0"/>
  </r>
  <r>
    <x v="0"/>
    <x v="0"/>
    <x v="0"/>
    <x v="0"/>
    <x v="1"/>
    <s v="DK2_Small"/>
    <x v="0"/>
    <x v="1"/>
    <x v="0"/>
    <x v="0"/>
  </r>
  <r>
    <x v="0"/>
    <x v="0"/>
    <x v="0"/>
    <x v="0"/>
    <x v="1"/>
    <s v="DK2_Small"/>
    <x v="0"/>
    <x v="2"/>
    <x v="0"/>
    <x v="0"/>
  </r>
  <r>
    <x v="0"/>
    <x v="0"/>
    <x v="0"/>
    <x v="0"/>
    <x v="1"/>
    <s v="DK2_Small"/>
    <x v="0"/>
    <x v="3"/>
    <x v="0"/>
    <x v="0"/>
  </r>
  <r>
    <x v="0"/>
    <x v="0"/>
    <x v="0"/>
    <x v="0"/>
    <x v="1"/>
    <s v="DK2_Small"/>
    <x v="0"/>
    <x v="4"/>
    <x v="0"/>
    <x v="0"/>
  </r>
  <r>
    <x v="0"/>
    <x v="0"/>
    <x v="0"/>
    <x v="0"/>
    <x v="1"/>
    <s v="DK2_Small"/>
    <x v="0"/>
    <x v="5"/>
    <x v="0"/>
    <x v="0"/>
  </r>
  <r>
    <x v="0"/>
    <x v="0"/>
    <x v="0"/>
    <x v="0"/>
    <x v="1"/>
    <s v="DK2_Small"/>
    <x v="0"/>
    <x v="6"/>
    <x v="0"/>
    <x v="0"/>
  </r>
  <r>
    <x v="0"/>
    <x v="0"/>
    <x v="0"/>
    <x v="0"/>
    <x v="1"/>
    <s v="DK2_Small"/>
    <x v="0"/>
    <x v="7"/>
    <x v="0"/>
    <x v="0"/>
  </r>
  <r>
    <x v="0"/>
    <x v="0"/>
    <x v="0"/>
    <x v="0"/>
    <x v="1"/>
    <s v="DK2_Small"/>
    <x v="0"/>
    <x v="8"/>
    <x v="0"/>
    <x v="0"/>
  </r>
  <r>
    <x v="0"/>
    <x v="0"/>
    <x v="0"/>
    <x v="0"/>
    <x v="1"/>
    <s v="DK2_Small"/>
    <x v="0"/>
    <x v="9"/>
    <x v="0"/>
    <x v="0"/>
  </r>
  <r>
    <x v="0"/>
    <x v="0"/>
    <x v="0"/>
    <x v="0"/>
    <x v="1"/>
    <s v="DK2_Small"/>
    <x v="0"/>
    <x v="10"/>
    <x v="0"/>
    <x v="0"/>
  </r>
  <r>
    <x v="0"/>
    <x v="0"/>
    <x v="0"/>
    <x v="0"/>
    <x v="1"/>
    <s v="DK2_Small"/>
    <x v="0"/>
    <x v="11"/>
    <x v="0"/>
    <x v="0"/>
  </r>
  <r>
    <x v="0"/>
    <x v="0"/>
    <x v="0"/>
    <x v="0"/>
    <x v="1"/>
    <s v="DK2_Small"/>
    <x v="0"/>
    <x v="12"/>
    <x v="0"/>
    <x v="0"/>
  </r>
  <r>
    <x v="0"/>
    <x v="0"/>
    <x v="0"/>
    <x v="0"/>
    <x v="1"/>
    <s v="DK2_Small"/>
    <x v="0"/>
    <x v="13"/>
    <x v="0"/>
    <x v="0"/>
  </r>
  <r>
    <x v="0"/>
    <x v="0"/>
    <x v="0"/>
    <x v="0"/>
    <x v="1"/>
    <s v="DK2_Small"/>
    <x v="0"/>
    <x v="14"/>
    <x v="0"/>
    <x v="0"/>
  </r>
  <r>
    <x v="0"/>
    <x v="0"/>
    <x v="0"/>
    <x v="0"/>
    <x v="1"/>
    <s v="DK2_Small"/>
    <x v="0"/>
    <x v="15"/>
    <x v="0"/>
    <x v="0"/>
  </r>
  <r>
    <x v="0"/>
    <x v="0"/>
    <x v="0"/>
    <x v="0"/>
    <x v="1"/>
    <s v="DK2_Small"/>
    <x v="0"/>
    <x v="16"/>
    <x v="0"/>
    <x v="0"/>
  </r>
  <r>
    <x v="0"/>
    <x v="0"/>
    <x v="0"/>
    <x v="0"/>
    <x v="1"/>
    <s v="DK2_Small"/>
    <x v="0"/>
    <x v="17"/>
    <x v="0"/>
    <x v="0"/>
  </r>
  <r>
    <x v="0"/>
    <x v="0"/>
    <x v="0"/>
    <x v="0"/>
    <x v="1"/>
    <s v="DK2_Small"/>
    <x v="0"/>
    <x v="18"/>
    <x v="0"/>
    <x v="0"/>
  </r>
  <r>
    <x v="0"/>
    <x v="0"/>
    <x v="0"/>
    <x v="0"/>
    <x v="1"/>
    <s v="DK2_Small"/>
    <x v="0"/>
    <x v="19"/>
    <x v="0"/>
    <x v="0"/>
  </r>
  <r>
    <x v="0"/>
    <x v="0"/>
    <x v="0"/>
    <x v="0"/>
    <x v="1"/>
    <s v="DK2_Small"/>
    <x v="0"/>
    <x v="20"/>
    <x v="0"/>
    <x v="0"/>
  </r>
  <r>
    <x v="0"/>
    <x v="0"/>
    <x v="0"/>
    <x v="0"/>
    <x v="1"/>
    <s v="DK2_Small"/>
    <x v="0"/>
    <x v="21"/>
    <x v="0"/>
    <x v="0"/>
  </r>
  <r>
    <x v="0"/>
    <x v="0"/>
    <x v="0"/>
    <x v="0"/>
    <x v="1"/>
    <s v="DK2_Small"/>
    <x v="0"/>
    <x v="22"/>
    <x v="0"/>
    <x v="0"/>
  </r>
  <r>
    <x v="0"/>
    <x v="0"/>
    <x v="0"/>
    <x v="0"/>
    <x v="1"/>
    <s v="DK2_Small"/>
    <x v="0"/>
    <x v="23"/>
    <x v="0"/>
    <x v="0"/>
  </r>
  <r>
    <x v="0"/>
    <x v="0"/>
    <x v="1"/>
    <x v="0"/>
    <x v="0"/>
    <s v="DK1_Large"/>
    <x v="0"/>
    <x v="0"/>
    <x v="0"/>
    <x v="0"/>
  </r>
  <r>
    <x v="0"/>
    <x v="0"/>
    <x v="1"/>
    <x v="0"/>
    <x v="0"/>
    <s v="DK1_Large"/>
    <x v="0"/>
    <x v="1"/>
    <x v="0"/>
    <x v="0"/>
  </r>
  <r>
    <x v="0"/>
    <x v="0"/>
    <x v="1"/>
    <x v="0"/>
    <x v="0"/>
    <s v="DK1_Large"/>
    <x v="0"/>
    <x v="2"/>
    <x v="0"/>
    <x v="0"/>
  </r>
  <r>
    <x v="0"/>
    <x v="0"/>
    <x v="1"/>
    <x v="0"/>
    <x v="0"/>
    <s v="DK1_Large"/>
    <x v="0"/>
    <x v="3"/>
    <x v="0"/>
    <x v="0"/>
  </r>
  <r>
    <x v="0"/>
    <x v="0"/>
    <x v="1"/>
    <x v="0"/>
    <x v="0"/>
    <s v="DK1_Large"/>
    <x v="0"/>
    <x v="4"/>
    <x v="0"/>
    <x v="0"/>
  </r>
  <r>
    <x v="0"/>
    <x v="0"/>
    <x v="1"/>
    <x v="0"/>
    <x v="0"/>
    <s v="DK1_Large"/>
    <x v="0"/>
    <x v="5"/>
    <x v="0"/>
    <x v="0"/>
  </r>
  <r>
    <x v="0"/>
    <x v="0"/>
    <x v="1"/>
    <x v="0"/>
    <x v="0"/>
    <s v="DK1_Large"/>
    <x v="0"/>
    <x v="6"/>
    <x v="0"/>
    <x v="0"/>
  </r>
  <r>
    <x v="0"/>
    <x v="0"/>
    <x v="1"/>
    <x v="0"/>
    <x v="0"/>
    <s v="DK1_Large"/>
    <x v="0"/>
    <x v="7"/>
    <x v="0"/>
    <x v="0"/>
  </r>
  <r>
    <x v="0"/>
    <x v="0"/>
    <x v="1"/>
    <x v="0"/>
    <x v="0"/>
    <s v="DK1_Large"/>
    <x v="0"/>
    <x v="8"/>
    <x v="0"/>
    <x v="0"/>
  </r>
  <r>
    <x v="0"/>
    <x v="0"/>
    <x v="1"/>
    <x v="0"/>
    <x v="0"/>
    <s v="DK1_Large"/>
    <x v="0"/>
    <x v="9"/>
    <x v="0"/>
    <x v="0"/>
  </r>
  <r>
    <x v="0"/>
    <x v="0"/>
    <x v="1"/>
    <x v="0"/>
    <x v="0"/>
    <s v="DK1_Large"/>
    <x v="0"/>
    <x v="10"/>
    <x v="0"/>
    <x v="0"/>
  </r>
  <r>
    <x v="0"/>
    <x v="0"/>
    <x v="1"/>
    <x v="0"/>
    <x v="0"/>
    <s v="DK1_Large"/>
    <x v="0"/>
    <x v="11"/>
    <x v="0"/>
    <x v="0"/>
  </r>
  <r>
    <x v="0"/>
    <x v="0"/>
    <x v="1"/>
    <x v="0"/>
    <x v="0"/>
    <s v="DK1_Large"/>
    <x v="0"/>
    <x v="12"/>
    <x v="0"/>
    <x v="0"/>
  </r>
  <r>
    <x v="0"/>
    <x v="0"/>
    <x v="1"/>
    <x v="0"/>
    <x v="0"/>
    <s v="DK1_Large"/>
    <x v="0"/>
    <x v="13"/>
    <x v="0"/>
    <x v="0"/>
  </r>
  <r>
    <x v="0"/>
    <x v="0"/>
    <x v="1"/>
    <x v="0"/>
    <x v="0"/>
    <s v="DK1_Large"/>
    <x v="0"/>
    <x v="14"/>
    <x v="0"/>
    <x v="0"/>
  </r>
  <r>
    <x v="0"/>
    <x v="0"/>
    <x v="1"/>
    <x v="0"/>
    <x v="0"/>
    <s v="DK1_Large"/>
    <x v="0"/>
    <x v="15"/>
    <x v="0"/>
    <x v="0"/>
  </r>
  <r>
    <x v="0"/>
    <x v="0"/>
    <x v="1"/>
    <x v="0"/>
    <x v="0"/>
    <s v="DK1_Large"/>
    <x v="0"/>
    <x v="16"/>
    <x v="0"/>
    <x v="0"/>
  </r>
  <r>
    <x v="0"/>
    <x v="0"/>
    <x v="1"/>
    <x v="0"/>
    <x v="0"/>
    <s v="DK1_Large"/>
    <x v="0"/>
    <x v="17"/>
    <x v="0"/>
    <x v="0"/>
  </r>
  <r>
    <x v="0"/>
    <x v="0"/>
    <x v="1"/>
    <x v="0"/>
    <x v="0"/>
    <s v="DK1_Large"/>
    <x v="0"/>
    <x v="18"/>
    <x v="0"/>
    <x v="0"/>
  </r>
  <r>
    <x v="0"/>
    <x v="0"/>
    <x v="1"/>
    <x v="0"/>
    <x v="0"/>
    <s v="DK1_Large"/>
    <x v="0"/>
    <x v="19"/>
    <x v="0"/>
    <x v="0"/>
  </r>
  <r>
    <x v="0"/>
    <x v="0"/>
    <x v="1"/>
    <x v="0"/>
    <x v="0"/>
    <s v="DK1_Large"/>
    <x v="0"/>
    <x v="20"/>
    <x v="0"/>
    <x v="0"/>
  </r>
  <r>
    <x v="0"/>
    <x v="0"/>
    <x v="1"/>
    <x v="0"/>
    <x v="0"/>
    <s v="DK1_Large"/>
    <x v="0"/>
    <x v="21"/>
    <x v="0"/>
    <x v="0"/>
  </r>
  <r>
    <x v="0"/>
    <x v="0"/>
    <x v="1"/>
    <x v="0"/>
    <x v="0"/>
    <s v="DK1_Large"/>
    <x v="0"/>
    <x v="22"/>
    <x v="0"/>
    <x v="0"/>
  </r>
  <r>
    <x v="0"/>
    <x v="0"/>
    <x v="1"/>
    <x v="0"/>
    <x v="0"/>
    <s v="DK1_Large"/>
    <x v="0"/>
    <x v="23"/>
    <x v="0"/>
    <x v="0"/>
  </r>
  <r>
    <x v="0"/>
    <x v="0"/>
    <x v="1"/>
    <x v="0"/>
    <x v="0"/>
    <s v="DK1_MedSmall"/>
    <x v="0"/>
    <x v="0"/>
    <x v="0"/>
    <x v="0"/>
  </r>
  <r>
    <x v="0"/>
    <x v="0"/>
    <x v="1"/>
    <x v="0"/>
    <x v="0"/>
    <s v="DK1_MedSmall"/>
    <x v="0"/>
    <x v="1"/>
    <x v="0"/>
    <x v="0"/>
  </r>
  <r>
    <x v="0"/>
    <x v="0"/>
    <x v="1"/>
    <x v="0"/>
    <x v="0"/>
    <s v="DK1_MedSmall"/>
    <x v="0"/>
    <x v="2"/>
    <x v="0"/>
    <x v="0"/>
  </r>
  <r>
    <x v="0"/>
    <x v="0"/>
    <x v="1"/>
    <x v="0"/>
    <x v="0"/>
    <s v="DK1_MedSmall"/>
    <x v="0"/>
    <x v="3"/>
    <x v="0"/>
    <x v="0"/>
  </r>
  <r>
    <x v="0"/>
    <x v="0"/>
    <x v="1"/>
    <x v="0"/>
    <x v="0"/>
    <s v="DK1_MedSmall"/>
    <x v="0"/>
    <x v="4"/>
    <x v="0"/>
    <x v="0"/>
  </r>
  <r>
    <x v="0"/>
    <x v="0"/>
    <x v="1"/>
    <x v="0"/>
    <x v="0"/>
    <s v="DK1_MedSmall"/>
    <x v="0"/>
    <x v="5"/>
    <x v="0"/>
    <x v="0"/>
  </r>
  <r>
    <x v="0"/>
    <x v="0"/>
    <x v="1"/>
    <x v="0"/>
    <x v="0"/>
    <s v="DK1_MedSmall"/>
    <x v="0"/>
    <x v="6"/>
    <x v="0"/>
    <x v="0"/>
  </r>
  <r>
    <x v="0"/>
    <x v="0"/>
    <x v="1"/>
    <x v="0"/>
    <x v="0"/>
    <s v="DK1_MedSmall"/>
    <x v="0"/>
    <x v="7"/>
    <x v="0"/>
    <x v="0"/>
  </r>
  <r>
    <x v="0"/>
    <x v="0"/>
    <x v="1"/>
    <x v="0"/>
    <x v="0"/>
    <s v="DK1_MedSmall"/>
    <x v="0"/>
    <x v="8"/>
    <x v="0"/>
    <x v="0"/>
  </r>
  <r>
    <x v="0"/>
    <x v="0"/>
    <x v="1"/>
    <x v="0"/>
    <x v="0"/>
    <s v="DK1_MedSmall"/>
    <x v="0"/>
    <x v="9"/>
    <x v="0"/>
    <x v="0"/>
  </r>
  <r>
    <x v="0"/>
    <x v="0"/>
    <x v="1"/>
    <x v="0"/>
    <x v="0"/>
    <s v="DK1_MedSmall"/>
    <x v="0"/>
    <x v="10"/>
    <x v="0"/>
    <x v="0"/>
  </r>
  <r>
    <x v="0"/>
    <x v="0"/>
    <x v="1"/>
    <x v="0"/>
    <x v="0"/>
    <s v="DK1_MedSmall"/>
    <x v="0"/>
    <x v="11"/>
    <x v="0"/>
    <x v="0"/>
  </r>
  <r>
    <x v="0"/>
    <x v="0"/>
    <x v="1"/>
    <x v="0"/>
    <x v="0"/>
    <s v="DK1_MedSmall"/>
    <x v="0"/>
    <x v="12"/>
    <x v="0"/>
    <x v="0"/>
  </r>
  <r>
    <x v="0"/>
    <x v="0"/>
    <x v="1"/>
    <x v="0"/>
    <x v="0"/>
    <s v="DK1_MedSmall"/>
    <x v="0"/>
    <x v="13"/>
    <x v="0"/>
    <x v="0"/>
  </r>
  <r>
    <x v="0"/>
    <x v="0"/>
    <x v="1"/>
    <x v="0"/>
    <x v="0"/>
    <s v="DK1_MedSmall"/>
    <x v="0"/>
    <x v="14"/>
    <x v="0"/>
    <x v="0"/>
  </r>
  <r>
    <x v="0"/>
    <x v="0"/>
    <x v="1"/>
    <x v="0"/>
    <x v="0"/>
    <s v="DK1_MedSmall"/>
    <x v="0"/>
    <x v="15"/>
    <x v="0"/>
    <x v="0"/>
  </r>
  <r>
    <x v="0"/>
    <x v="0"/>
    <x v="1"/>
    <x v="0"/>
    <x v="0"/>
    <s v="DK1_MedSmall"/>
    <x v="0"/>
    <x v="16"/>
    <x v="0"/>
    <x v="0"/>
  </r>
  <r>
    <x v="0"/>
    <x v="0"/>
    <x v="1"/>
    <x v="0"/>
    <x v="0"/>
    <s v="DK1_MedSmall"/>
    <x v="0"/>
    <x v="17"/>
    <x v="0"/>
    <x v="0"/>
  </r>
  <r>
    <x v="0"/>
    <x v="0"/>
    <x v="1"/>
    <x v="0"/>
    <x v="0"/>
    <s v="DK1_MedSmall"/>
    <x v="0"/>
    <x v="18"/>
    <x v="0"/>
    <x v="0"/>
  </r>
  <r>
    <x v="0"/>
    <x v="0"/>
    <x v="1"/>
    <x v="0"/>
    <x v="0"/>
    <s v="DK1_MedSmall"/>
    <x v="0"/>
    <x v="19"/>
    <x v="0"/>
    <x v="0"/>
  </r>
  <r>
    <x v="0"/>
    <x v="0"/>
    <x v="1"/>
    <x v="0"/>
    <x v="0"/>
    <s v="DK1_MedSmall"/>
    <x v="0"/>
    <x v="20"/>
    <x v="0"/>
    <x v="0"/>
  </r>
  <r>
    <x v="0"/>
    <x v="0"/>
    <x v="1"/>
    <x v="0"/>
    <x v="0"/>
    <s v="DK1_MedSmall"/>
    <x v="0"/>
    <x v="21"/>
    <x v="0"/>
    <x v="0"/>
  </r>
  <r>
    <x v="0"/>
    <x v="0"/>
    <x v="1"/>
    <x v="0"/>
    <x v="0"/>
    <s v="DK1_MedSmall"/>
    <x v="0"/>
    <x v="22"/>
    <x v="0"/>
    <x v="0"/>
  </r>
  <r>
    <x v="0"/>
    <x v="0"/>
    <x v="1"/>
    <x v="0"/>
    <x v="0"/>
    <s v="DK1_MedSmall"/>
    <x v="0"/>
    <x v="23"/>
    <x v="0"/>
    <x v="0"/>
  </r>
  <r>
    <x v="0"/>
    <x v="0"/>
    <x v="1"/>
    <x v="0"/>
    <x v="0"/>
    <s v="DK1_Medium"/>
    <x v="0"/>
    <x v="0"/>
    <x v="0"/>
    <x v="0"/>
  </r>
  <r>
    <x v="0"/>
    <x v="0"/>
    <x v="1"/>
    <x v="0"/>
    <x v="0"/>
    <s v="DK1_Medium"/>
    <x v="0"/>
    <x v="1"/>
    <x v="0"/>
    <x v="0"/>
  </r>
  <r>
    <x v="0"/>
    <x v="0"/>
    <x v="1"/>
    <x v="0"/>
    <x v="0"/>
    <s v="DK1_Medium"/>
    <x v="0"/>
    <x v="2"/>
    <x v="0"/>
    <x v="0"/>
  </r>
  <r>
    <x v="0"/>
    <x v="0"/>
    <x v="1"/>
    <x v="0"/>
    <x v="0"/>
    <s v="DK1_Medium"/>
    <x v="0"/>
    <x v="3"/>
    <x v="0"/>
    <x v="0"/>
  </r>
  <r>
    <x v="0"/>
    <x v="0"/>
    <x v="1"/>
    <x v="0"/>
    <x v="0"/>
    <s v="DK1_Medium"/>
    <x v="0"/>
    <x v="4"/>
    <x v="0"/>
    <x v="0"/>
  </r>
  <r>
    <x v="0"/>
    <x v="0"/>
    <x v="1"/>
    <x v="0"/>
    <x v="0"/>
    <s v="DK1_Medium"/>
    <x v="0"/>
    <x v="5"/>
    <x v="0"/>
    <x v="0"/>
  </r>
  <r>
    <x v="0"/>
    <x v="0"/>
    <x v="1"/>
    <x v="0"/>
    <x v="0"/>
    <s v="DK1_Medium"/>
    <x v="0"/>
    <x v="6"/>
    <x v="0"/>
    <x v="0"/>
  </r>
  <r>
    <x v="0"/>
    <x v="0"/>
    <x v="1"/>
    <x v="0"/>
    <x v="0"/>
    <s v="DK1_Medium"/>
    <x v="0"/>
    <x v="7"/>
    <x v="0"/>
    <x v="0"/>
  </r>
  <r>
    <x v="0"/>
    <x v="0"/>
    <x v="1"/>
    <x v="0"/>
    <x v="0"/>
    <s v="DK1_Medium"/>
    <x v="0"/>
    <x v="8"/>
    <x v="0"/>
    <x v="0"/>
  </r>
  <r>
    <x v="0"/>
    <x v="0"/>
    <x v="1"/>
    <x v="0"/>
    <x v="0"/>
    <s v="DK1_Medium"/>
    <x v="0"/>
    <x v="9"/>
    <x v="0"/>
    <x v="0"/>
  </r>
  <r>
    <x v="0"/>
    <x v="0"/>
    <x v="1"/>
    <x v="0"/>
    <x v="0"/>
    <s v="DK1_Medium"/>
    <x v="0"/>
    <x v="10"/>
    <x v="0"/>
    <x v="0"/>
  </r>
  <r>
    <x v="0"/>
    <x v="0"/>
    <x v="1"/>
    <x v="0"/>
    <x v="0"/>
    <s v="DK1_Medium"/>
    <x v="0"/>
    <x v="11"/>
    <x v="0"/>
    <x v="0"/>
  </r>
  <r>
    <x v="0"/>
    <x v="0"/>
    <x v="1"/>
    <x v="0"/>
    <x v="0"/>
    <s v="DK1_Medium"/>
    <x v="0"/>
    <x v="12"/>
    <x v="0"/>
    <x v="0"/>
  </r>
  <r>
    <x v="0"/>
    <x v="0"/>
    <x v="1"/>
    <x v="0"/>
    <x v="0"/>
    <s v="DK1_Medium"/>
    <x v="0"/>
    <x v="13"/>
    <x v="0"/>
    <x v="0"/>
  </r>
  <r>
    <x v="0"/>
    <x v="0"/>
    <x v="1"/>
    <x v="0"/>
    <x v="0"/>
    <s v="DK1_Medium"/>
    <x v="0"/>
    <x v="14"/>
    <x v="0"/>
    <x v="0"/>
  </r>
  <r>
    <x v="0"/>
    <x v="0"/>
    <x v="1"/>
    <x v="0"/>
    <x v="0"/>
    <s v="DK1_Medium"/>
    <x v="0"/>
    <x v="15"/>
    <x v="0"/>
    <x v="0"/>
  </r>
  <r>
    <x v="0"/>
    <x v="0"/>
    <x v="1"/>
    <x v="0"/>
    <x v="0"/>
    <s v="DK1_Medium"/>
    <x v="0"/>
    <x v="16"/>
    <x v="0"/>
    <x v="0"/>
  </r>
  <r>
    <x v="0"/>
    <x v="0"/>
    <x v="1"/>
    <x v="0"/>
    <x v="0"/>
    <s v="DK1_Medium"/>
    <x v="0"/>
    <x v="17"/>
    <x v="0"/>
    <x v="0"/>
  </r>
  <r>
    <x v="0"/>
    <x v="0"/>
    <x v="1"/>
    <x v="0"/>
    <x v="0"/>
    <s v="DK1_Medium"/>
    <x v="0"/>
    <x v="18"/>
    <x v="0"/>
    <x v="0"/>
  </r>
  <r>
    <x v="0"/>
    <x v="0"/>
    <x v="1"/>
    <x v="0"/>
    <x v="0"/>
    <s v="DK1_Medium"/>
    <x v="0"/>
    <x v="19"/>
    <x v="0"/>
    <x v="0"/>
  </r>
  <r>
    <x v="0"/>
    <x v="0"/>
    <x v="1"/>
    <x v="0"/>
    <x v="0"/>
    <s v="DK1_Medium"/>
    <x v="0"/>
    <x v="20"/>
    <x v="0"/>
    <x v="0"/>
  </r>
  <r>
    <x v="0"/>
    <x v="0"/>
    <x v="1"/>
    <x v="0"/>
    <x v="0"/>
    <s v="DK1_Medium"/>
    <x v="0"/>
    <x v="21"/>
    <x v="0"/>
    <x v="0"/>
  </r>
  <r>
    <x v="0"/>
    <x v="0"/>
    <x v="1"/>
    <x v="0"/>
    <x v="0"/>
    <s v="DK1_Medium"/>
    <x v="0"/>
    <x v="22"/>
    <x v="0"/>
    <x v="0"/>
  </r>
  <r>
    <x v="0"/>
    <x v="0"/>
    <x v="1"/>
    <x v="0"/>
    <x v="0"/>
    <s v="DK1_Medium"/>
    <x v="0"/>
    <x v="23"/>
    <x v="0"/>
    <x v="0"/>
  </r>
  <r>
    <x v="0"/>
    <x v="0"/>
    <x v="1"/>
    <x v="0"/>
    <x v="0"/>
    <s v="DK1_Rural"/>
    <x v="0"/>
    <x v="0"/>
    <x v="0"/>
    <x v="0"/>
  </r>
  <r>
    <x v="0"/>
    <x v="0"/>
    <x v="1"/>
    <x v="0"/>
    <x v="0"/>
    <s v="DK1_Rural"/>
    <x v="0"/>
    <x v="1"/>
    <x v="0"/>
    <x v="0"/>
  </r>
  <r>
    <x v="0"/>
    <x v="0"/>
    <x v="1"/>
    <x v="0"/>
    <x v="0"/>
    <s v="DK1_Rural"/>
    <x v="0"/>
    <x v="2"/>
    <x v="0"/>
    <x v="0"/>
  </r>
  <r>
    <x v="0"/>
    <x v="0"/>
    <x v="1"/>
    <x v="0"/>
    <x v="0"/>
    <s v="DK1_Rural"/>
    <x v="0"/>
    <x v="3"/>
    <x v="0"/>
    <x v="0"/>
  </r>
  <r>
    <x v="0"/>
    <x v="0"/>
    <x v="1"/>
    <x v="0"/>
    <x v="0"/>
    <s v="DK1_Rural"/>
    <x v="0"/>
    <x v="4"/>
    <x v="0"/>
    <x v="0"/>
  </r>
  <r>
    <x v="0"/>
    <x v="0"/>
    <x v="1"/>
    <x v="0"/>
    <x v="0"/>
    <s v="DK1_Rural"/>
    <x v="0"/>
    <x v="5"/>
    <x v="0"/>
    <x v="0"/>
  </r>
  <r>
    <x v="0"/>
    <x v="0"/>
    <x v="1"/>
    <x v="0"/>
    <x v="0"/>
    <s v="DK1_Rural"/>
    <x v="0"/>
    <x v="6"/>
    <x v="0"/>
    <x v="0"/>
  </r>
  <r>
    <x v="0"/>
    <x v="0"/>
    <x v="1"/>
    <x v="0"/>
    <x v="0"/>
    <s v="DK1_Rural"/>
    <x v="0"/>
    <x v="7"/>
    <x v="0"/>
    <x v="0"/>
  </r>
  <r>
    <x v="0"/>
    <x v="0"/>
    <x v="1"/>
    <x v="0"/>
    <x v="0"/>
    <s v="DK1_Rural"/>
    <x v="0"/>
    <x v="8"/>
    <x v="0"/>
    <x v="0"/>
  </r>
  <r>
    <x v="0"/>
    <x v="0"/>
    <x v="1"/>
    <x v="0"/>
    <x v="0"/>
    <s v="DK1_Rural"/>
    <x v="0"/>
    <x v="9"/>
    <x v="0"/>
    <x v="0"/>
  </r>
  <r>
    <x v="0"/>
    <x v="0"/>
    <x v="1"/>
    <x v="0"/>
    <x v="0"/>
    <s v="DK1_Rural"/>
    <x v="0"/>
    <x v="10"/>
    <x v="0"/>
    <x v="0"/>
  </r>
  <r>
    <x v="0"/>
    <x v="0"/>
    <x v="1"/>
    <x v="0"/>
    <x v="0"/>
    <s v="DK1_Rural"/>
    <x v="0"/>
    <x v="11"/>
    <x v="0"/>
    <x v="0"/>
  </r>
  <r>
    <x v="0"/>
    <x v="0"/>
    <x v="1"/>
    <x v="0"/>
    <x v="0"/>
    <s v="DK1_Rural"/>
    <x v="0"/>
    <x v="12"/>
    <x v="0"/>
    <x v="0"/>
  </r>
  <r>
    <x v="0"/>
    <x v="0"/>
    <x v="1"/>
    <x v="0"/>
    <x v="0"/>
    <s v="DK1_Rural"/>
    <x v="0"/>
    <x v="13"/>
    <x v="0"/>
    <x v="0"/>
  </r>
  <r>
    <x v="0"/>
    <x v="0"/>
    <x v="1"/>
    <x v="0"/>
    <x v="0"/>
    <s v="DK1_Rural"/>
    <x v="0"/>
    <x v="14"/>
    <x v="0"/>
    <x v="0"/>
  </r>
  <r>
    <x v="0"/>
    <x v="0"/>
    <x v="1"/>
    <x v="0"/>
    <x v="0"/>
    <s v="DK1_Rural"/>
    <x v="0"/>
    <x v="15"/>
    <x v="0"/>
    <x v="0"/>
  </r>
  <r>
    <x v="0"/>
    <x v="0"/>
    <x v="1"/>
    <x v="0"/>
    <x v="0"/>
    <s v="DK1_Rural"/>
    <x v="0"/>
    <x v="16"/>
    <x v="0"/>
    <x v="0"/>
  </r>
  <r>
    <x v="0"/>
    <x v="0"/>
    <x v="1"/>
    <x v="0"/>
    <x v="0"/>
    <s v="DK1_Rural"/>
    <x v="0"/>
    <x v="17"/>
    <x v="0"/>
    <x v="0"/>
  </r>
  <r>
    <x v="0"/>
    <x v="0"/>
    <x v="1"/>
    <x v="0"/>
    <x v="0"/>
    <s v="DK1_Rural"/>
    <x v="0"/>
    <x v="18"/>
    <x v="0"/>
    <x v="0"/>
  </r>
  <r>
    <x v="0"/>
    <x v="0"/>
    <x v="1"/>
    <x v="0"/>
    <x v="0"/>
    <s v="DK1_Rural"/>
    <x v="0"/>
    <x v="19"/>
    <x v="0"/>
    <x v="0"/>
  </r>
  <r>
    <x v="0"/>
    <x v="0"/>
    <x v="1"/>
    <x v="0"/>
    <x v="0"/>
    <s v="DK1_Rural"/>
    <x v="0"/>
    <x v="20"/>
    <x v="0"/>
    <x v="0"/>
  </r>
  <r>
    <x v="0"/>
    <x v="0"/>
    <x v="1"/>
    <x v="0"/>
    <x v="0"/>
    <s v="DK1_Rural"/>
    <x v="0"/>
    <x v="21"/>
    <x v="0"/>
    <x v="0"/>
  </r>
  <r>
    <x v="0"/>
    <x v="0"/>
    <x v="1"/>
    <x v="0"/>
    <x v="0"/>
    <s v="DK1_Rural"/>
    <x v="0"/>
    <x v="22"/>
    <x v="0"/>
    <x v="0"/>
  </r>
  <r>
    <x v="0"/>
    <x v="0"/>
    <x v="1"/>
    <x v="0"/>
    <x v="0"/>
    <s v="DK1_Rural"/>
    <x v="0"/>
    <x v="23"/>
    <x v="0"/>
    <x v="0"/>
  </r>
  <r>
    <x v="0"/>
    <x v="0"/>
    <x v="1"/>
    <x v="0"/>
    <x v="0"/>
    <s v="DK1_Small"/>
    <x v="0"/>
    <x v="0"/>
    <x v="0"/>
    <x v="0"/>
  </r>
  <r>
    <x v="0"/>
    <x v="0"/>
    <x v="1"/>
    <x v="0"/>
    <x v="0"/>
    <s v="DK1_Small"/>
    <x v="0"/>
    <x v="1"/>
    <x v="0"/>
    <x v="0"/>
  </r>
  <r>
    <x v="0"/>
    <x v="0"/>
    <x v="1"/>
    <x v="0"/>
    <x v="0"/>
    <s v="DK1_Small"/>
    <x v="0"/>
    <x v="2"/>
    <x v="0"/>
    <x v="0"/>
  </r>
  <r>
    <x v="0"/>
    <x v="0"/>
    <x v="1"/>
    <x v="0"/>
    <x v="0"/>
    <s v="DK1_Small"/>
    <x v="0"/>
    <x v="3"/>
    <x v="0"/>
    <x v="0"/>
  </r>
  <r>
    <x v="0"/>
    <x v="0"/>
    <x v="1"/>
    <x v="0"/>
    <x v="0"/>
    <s v="DK1_Small"/>
    <x v="0"/>
    <x v="4"/>
    <x v="0"/>
    <x v="0"/>
  </r>
  <r>
    <x v="0"/>
    <x v="0"/>
    <x v="1"/>
    <x v="0"/>
    <x v="0"/>
    <s v="DK1_Small"/>
    <x v="0"/>
    <x v="5"/>
    <x v="0"/>
    <x v="0"/>
  </r>
  <r>
    <x v="0"/>
    <x v="0"/>
    <x v="1"/>
    <x v="0"/>
    <x v="0"/>
    <s v="DK1_Small"/>
    <x v="0"/>
    <x v="6"/>
    <x v="0"/>
    <x v="0"/>
  </r>
  <r>
    <x v="0"/>
    <x v="0"/>
    <x v="1"/>
    <x v="0"/>
    <x v="0"/>
    <s v="DK1_Small"/>
    <x v="0"/>
    <x v="7"/>
    <x v="0"/>
    <x v="0"/>
  </r>
  <r>
    <x v="0"/>
    <x v="0"/>
    <x v="1"/>
    <x v="0"/>
    <x v="0"/>
    <s v="DK1_Small"/>
    <x v="0"/>
    <x v="8"/>
    <x v="0"/>
    <x v="0"/>
  </r>
  <r>
    <x v="0"/>
    <x v="0"/>
    <x v="1"/>
    <x v="0"/>
    <x v="0"/>
    <s v="DK1_Small"/>
    <x v="0"/>
    <x v="9"/>
    <x v="0"/>
    <x v="0"/>
  </r>
  <r>
    <x v="0"/>
    <x v="0"/>
    <x v="1"/>
    <x v="0"/>
    <x v="0"/>
    <s v="DK1_Small"/>
    <x v="0"/>
    <x v="10"/>
    <x v="0"/>
    <x v="0"/>
  </r>
  <r>
    <x v="0"/>
    <x v="0"/>
    <x v="1"/>
    <x v="0"/>
    <x v="0"/>
    <s v="DK1_Small"/>
    <x v="0"/>
    <x v="11"/>
    <x v="0"/>
    <x v="0"/>
  </r>
  <r>
    <x v="0"/>
    <x v="0"/>
    <x v="1"/>
    <x v="0"/>
    <x v="0"/>
    <s v="DK1_Small"/>
    <x v="0"/>
    <x v="12"/>
    <x v="0"/>
    <x v="0"/>
  </r>
  <r>
    <x v="0"/>
    <x v="0"/>
    <x v="1"/>
    <x v="0"/>
    <x v="0"/>
    <s v="DK1_Small"/>
    <x v="0"/>
    <x v="13"/>
    <x v="0"/>
    <x v="0"/>
  </r>
  <r>
    <x v="0"/>
    <x v="0"/>
    <x v="1"/>
    <x v="0"/>
    <x v="0"/>
    <s v="DK1_Small"/>
    <x v="0"/>
    <x v="14"/>
    <x v="0"/>
    <x v="0"/>
  </r>
  <r>
    <x v="0"/>
    <x v="0"/>
    <x v="1"/>
    <x v="0"/>
    <x v="0"/>
    <s v="DK1_Small"/>
    <x v="0"/>
    <x v="15"/>
    <x v="0"/>
    <x v="0"/>
  </r>
  <r>
    <x v="0"/>
    <x v="0"/>
    <x v="1"/>
    <x v="0"/>
    <x v="0"/>
    <s v="DK1_Small"/>
    <x v="0"/>
    <x v="16"/>
    <x v="0"/>
    <x v="0"/>
  </r>
  <r>
    <x v="0"/>
    <x v="0"/>
    <x v="1"/>
    <x v="0"/>
    <x v="0"/>
    <s v="DK1_Small"/>
    <x v="0"/>
    <x v="17"/>
    <x v="0"/>
    <x v="0"/>
  </r>
  <r>
    <x v="0"/>
    <x v="0"/>
    <x v="1"/>
    <x v="0"/>
    <x v="0"/>
    <s v="DK1_Small"/>
    <x v="0"/>
    <x v="18"/>
    <x v="0"/>
    <x v="0"/>
  </r>
  <r>
    <x v="0"/>
    <x v="0"/>
    <x v="1"/>
    <x v="0"/>
    <x v="0"/>
    <s v="DK1_Small"/>
    <x v="0"/>
    <x v="19"/>
    <x v="0"/>
    <x v="0"/>
  </r>
  <r>
    <x v="0"/>
    <x v="0"/>
    <x v="1"/>
    <x v="0"/>
    <x v="0"/>
    <s v="DK1_Small"/>
    <x v="0"/>
    <x v="20"/>
    <x v="0"/>
    <x v="0"/>
  </r>
  <r>
    <x v="0"/>
    <x v="0"/>
    <x v="1"/>
    <x v="0"/>
    <x v="0"/>
    <s v="DK1_Small"/>
    <x v="0"/>
    <x v="21"/>
    <x v="0"/>
    <x v="0"/>
  </r>
  <r>
    <x v="0"/>
    <x v="0"/>
    <x v="1"/>
    <x v="0"/>
    <x v="0"/>
    <s v="DK1_Small"/>
    <x v="0"/>
    <x v="22"/>
    <x v="0"/>
    <x v="0"/>
  </r>
  <r>
    <x v="0"/>
    <x v="0"/>
    <x v="1"/>
    <x v="0"/>
    <x v="0"/>
    <s v="DK1_Small"/>
    <x v="0"/>
    <x v="23"/>
    <x v="0"/>
    <x v="0"/>
  </r>
  <r>
    <x v="0"/>
    <x v="0"/>
    <x v="1"/>
    <x v="0"/>
    <x v="0"/>
    <s v="DK2_Rural"/>
    <x v="0"/>
    <x v="0"/>
    <x v="0"/>
    <x v="0"/>
  </r>
  <r>
    <x v="0"/>
    <x v="0"/>
    <x v="1"/>
    <x v="0"/>
    <x v="0"/>
    <s v="DK2_Rural"/>
    <x v="0"/>
    <x v="1"/>
    <x v="0"/>
    <x v="0"/>
  </r>
  <r>
    <x v="0"/>
    <x v="0"/>
    <x v="1"/>
    <x v="0"/>
    <x v="0"/>
    <s v="DK2_Rural"/>
    <x v="0"/>
    <x v="2"/>
    <x v="0"/>
    <x v="0"/>
  </r>
  <r>
    <x v="0"/>
    <x v="0"/>
    <x v="1"/>
    <x v="0"/>
    <x v="0"/>
    <s v="DK2_Rural"/>
    <x v="0"/>
    <x v="3"/>
    <x v="0"/>
    <x v="0"/>
  </r>
  <r>
    <x v="0"/>
    <x v="0"/>
    <x v="1"/>
    <x v="0"/>
    <x v="0"/>
    <s v="DK2_Rural"/>
    <x v="0"/>
    <x v="4"/>
    <x v="0"/>
    <x v="0"/>
  </r>
  <r>
    <x v="0"/>
    <x v="0"/>
    <x v="1"/>
    <x v="0"/>
    <x v="0"/>
    <s v="DK2_Rural"/>
    <x v="0"/>
    <x v="5"/>
    <x v="0"/>
    <x v="0"/>
  </r>
  <r>
    <x v="0"/>
    <x v="0"/>
    <x v="1"/>
    <x v="0"/>
    <x v="0"/>
    <s v="DK2_Rural"/>
    <x v="0"/>
    <x v="6"/>
    <x v="0"/>
    <x v="0"/>
  </r>
  <r>
    <x v="0"/>
    <x v="0"/>
    <x v="1"/>
    <x v="0"/>
    <x v="0"/>
    <s v="DK2_Rural"/>
    <x v="0"/>
    <x v="7"/>
    <x v="0"/>
    <x v="0"/>
  </r>
  <r>
    <x v="0"/>
    <x v="0"/>
    <x v="1"/>
    <x v="0"/>
    <x v="0"/>
    <s v="DK2_Rural"/>
    <x v="0"/>
    <x v="8"/>
    <x v="0"/>
    <x v="0"/>
  </r>
  <r>
    <x v="0"/>
    <x v="0"/>
    <x v="1"/>
    <x v="0"/>
    <x v="0"/>
    <s v="DK2_Rural"/>
    <x v="0"/>
    <x v="9"/>
    <x v="0"/>
    <x v="0"/>
  </r>
  <r>
    <x v="0"/>
    <x v="0"/>
    <x v="1"/>
    <x v="0"/>
    <x v="0"/>
    <s v="DK2_Rural"/>
    <x v="0"/>
    <x v="10"/>
    <x v="0"/>
    <x v="0"/>
  </r>
  <r>
    <x v="0"/>
    <x v="0"/>
    <x v="1"/>
    <x v="0"/>
    <x v="0"/>
    <s v="DK2_Rural"/>
    <x v="0"/>
    <x v="11"/>
    <x v="0"/>
    <x v="0"/>
  </r>
  <r>
    <x v="0"/>
    <x v="0"/>
    <x v="1"/>
    <x v="0"/>
    <x v="0"/>
    <s v="DK2_Rural"/>
    <x v="0"/>
    <x v="12"/>
    <x v="0"/>
    <x v="0"/>
  </r>
  <r>
    <x v="0"/>
    <x v="0"/>
    <x v="1"/>
    <x v="0"/>
    <x v="0"/>
    <s v="DK2_Rural"/>
    <x v="0"/>
    <x v="13"/>
    <x v="0"/>
    <x v="0"/>
  </r>
  <r>
    <x v="0"/>
    <x v="0"/>
    <x v="1"/>
    <x v="0"/>
    <x v="0"/>
    <s v="DK2_Rural"/>
    <x v="0"/>
    <x v="14"/>
    <x v="0"/>
    <x v="0"/>
  </r>
  <r>
    <x v="0"/>
    <x v="0"/>
    <x v="1"/>
    <x v="0"/>
    <x v="0"/>
    <s v="DK2_Rural"/>
    <x v="0"/>
    <x v="15"/>
    <x v="0"/>
    <x v="0"/>
  </r>
  <r>
    <x v="0"/>
    <x v="0"/>
    <x v="1"/>
    <x v="0"/>
    <x v="0"/>
    <s v="DK2_Rural"/>
    <x v="0"/>
    <x v="16"/>
    <x v="0"/>
    <x v="0"/>
  </r>
  <r>
    <x v="0"/>
    <x v="0"/>
    <x v="1"/>
    <x v="0"/>
    <x v="0"/>
    <s v="DK2_Rural"/>
    <x v="0"/>
    <x v="17"/>
    <x v="0"/>
    <x v="0"/>
  </r>
  <r>
    <x v="0"/>
    <x v="0"/>
    <x v="1"/>
    <x v="0"/>
    <x v="0"/>
    <s v="DK2_Rural"/>
    <x v="0"/>
    <x v="18"/>
    <x v="0"/>
    <x v="0"/>
  </r>
  <r>
    <x v="0"/>
    <x v="0"/>
    <x v="1"/>
    <x v="0"/>
    <x v="0"/>
    <s v="DK2_Rural"/>
    <x v="0"/>
    <x v="19"/>
    <x v="0"/>
    <x v="0"/>
  </r>
  <r>
    <x v="0"/>
    <x v="0"/>
    <x v="1"/>
    <x v="0"/>
    <x v="0"/>
    <s v="DK2_Rural"/>
    <x v="0"/>
    <x v="20"/>
    <x v="0"/>
    <x v="0"/>
  </r>
  <r>
    <x v="0"/>
    <x v="0"/>
    <x v="1"/>
    <x v="0"/>
    <x v="0"/>
    <s v="DK2_Rural"/>
    <x v="0"/>
    <x v="21"/>
    <x v="0"/>
    <x v="0"/>
  </r>
  <r>
    <x v="0"/>
    <x v="0"/>
    <x v="1"/>
    <x v="0"/>
    <x v="0"/>
    <s v="DK2_Rural"/>
    <x v="0"/>
    <x v="22"/>
    <x v="0"/>
    <x v="0"/>
  </r>
  <r>
    <x v="0"/>
    <x v="0"/>
    <x v="1"/>
    <x v="0"/>
    <x v="0"/>
    <s v="DK2_Rural"/>
    <x v="0"/>
    <x v="23"/>
    <x v="0"/>
    <x v="0"/>
  </r>
  <r>
    <x v="0"/>
    <x v="0"/>
    <x v="1"/>
    <x v="0"/>
    <x v="1"/>
    <s v="DK2_Large"/>
    <x v="0"/>
    <x v="0"/>
    <x v="0"/>
    <x v="0"/>
  </r>
  <r>
    <x v="0"/>
    <x v="0"/>
    <x v="1"/>
    <x v="0"/>
    <x v="1"/>
    <s v="DK2_Large"/>
    <x v="0"/>
    <x v="1"/>
    <x v="0"/>
    <x v="0"/>
  </r>
  <r>
    <x v="0"/>
    <x v="0"/>
    <x v="1"/>
    <x v="0"/>
    <x v="1"/>
    <s v="DK2_Large"/>
    <x v="0"/>
    <x v="2"/>
    <x v="0"/>
    <x v="0"/>
  </r>
  <r>
    <x v="0"/>
    <x v="0"/>
    <x v="1"/>
    <x v="0"/>
    <x v="1"/>
    <s v="DK2_Large"/>
    <x v="0"/>
    <x v="3"/>
    <x v="0"/>
    <x v="0"/>
  </r>
  <r>
    <x v="0"/>
    <x v="0"/>
    <x v="1"/>
    <x v="0"/>
    <x v="1"/>
    <s v="DK2_Large"/>
    <x v="0"/>
    <x v="4"/>
    <x v="0"/>
    <x v="0"/>
  </r>
  <r>
    <x v="0"/>
    <x v="0"/>
    <x v="1"/>
    <x v="0"/>
    <x v="1"/>
    <s v="DK2_Large"/>
    <x v="0"/>
    <x v="5"/>
    <x v="0"/>
    <x v="0"/>
  </r>
  <r>
    <x v="0"/>
    <x v="0"/>
    <x v="1"/>
    <x v="0"/>
    <x v="1"/>
    <s v="DK2_Large"/>
    <x v="0"/>
    <x v="6"/>
    <x v="0"/>
    <x v="0"/>
  </r>
  <r>
    <x v="0"/>
    <x v="0"/>
    <x v="1"/>
    <x v="0"/>
    <x v="1"/>
    <s v="DK2_Large"/>
    <x v="0"/>
    <x v="7"/>
    <x v="0"/>
    <x v="0"/>
  </r>
  <r>
    <x v="0"/>
    <x v="0"/>
    <x v="1"/>
    <x v="0"/>
    <x v="1"/>
    <s v="DK2_Large"/>
    <x v="0"/>
    <x v="8"/>
    <x v="0"/>
    <x v="0"/>
  </r>
  <r>
    <x v="0"/>
    <x v="0"/>
    <x v="1"/>
    <x v="0"/>
    <x v="1"/>
    <s v="DK2_Large"/>
    <x v="0"/>
    <x v="9"/>
    <x v="0"/>
    <x v="0"/>
  </r>
  <r>
    <x v="0"/>
    <x v="0"/>
    <x v="1"/>
    <x v="0"/>
    <x v="1"/>
    <s v="DK2_Large"/>
    <x v="0"/>
    <x v="10"/>
    <x v="0"/>
    <x v="0"/>
  </r>
  <r>
    <x v="0"/>
    <x v="0"/>
    <x v="1"/>
    <x v="0"/>
    <x v="1"/>
    <s v="DK2_Large"/>
    <x v="0"/>
    <x v="11"/>
    <x v="0"/>
    <x v="0"/>
  </r>
  <r>
    <x v="0"/>
    <x v="0"/>
    <x v="1"/>
    <x v="0"/>
    <x v="1"/>
    <s v="DK2_Large"/>
    <x v="0"/>
    <x v="12"/>
    <x v="0"/>
    <x v="0"/>
  </r>
  <r>
    <x v="0"/>
    <x v="0"/>
    <x v="1"/>
    <x v="0"/>
    <x v="1"/>
    <s v="DK2_Large"/>
    <x v="0"/>
    <x v="13"/>
    <x v="0"/>
    <x v="0"/>
  </r>
  <r>
    <x v="0"/>
    <x v="0"/>
    <x v="1"/>
    <x v="0"/>
    <x v="1"/>
    <s v="DK2_Large"/>
    <x v="0"/>
    <x v="14"/>
    <x v="0"/>
    <x v="0"/>
  </r>
  <r>
    <x v="0"/>
    <x v="0"/>
    <x v="1"/>
    <x v="0"/>
    <x v="1"/>
    <s v="DK2_Large"/>
    <x v="0"/>
    <x v="15"/>
    <x v="0"/>
    <x v="0"/>
  </r>
  <r>
    <x v="0"/>
    <x v="0"/>
    <x v="1"/>
    <x v="0"/>
    <x v="1"/>
    <s v="DK2_Large"/>
    <x v="0"/>
    <x v="16"/>
    <x v="0"/>
    <x v="0"/>
  </r>
  <r>
    <x v="0"/>
    <x v="0"/>
    <x v="1"/>
    <x v="0"/>
    <x v="1"/>
    <s v="DK2_Large"/>
    <x v="0"/>
    <x v="17"/>
    <x v="0"/>
    <x v="0"/>
  </r>
  <r>
    <x v="0"/>
    <x v="0"/>
    <x v="1"/>
    <x v="0"/>
    <x v="1"/>
    <s v="DK2_Large"/>
    <x v="0"/>
    <x v="18"/>
    <x v="0"/>
    <x v="0"/>
  </r>
  <r>
    <x v="0"/>
    <x v="0"/>
    <x v="1"/>
    <x v="0"/>
    <x v="1"/>
    <s v="DK2_Large"/>
    <x v="0"/>
    <x v="19"/>
    <x v="0"/>
    <x v="0"/>
  </r>
  <r>
    <x v="0"/>
    <x v="0"/>
    <x v="1"/>
    <x v="0"/>
    <x v="1"/>
    <s v="DK2_Large"/>
    <x v="0"/>
    <x v="20"/>
    <x v="0"/>
    <x v="0"/>
  </r>
  <r>
    <x v="0"/>
    <x v="0"/>
    <x v="1"/>
    <x v="0"/>
    <x v="1"/>
    <s v="DK2_Large"/>
    <x v="0"/>
    <x v="21"/>
    <x v="0"/>
    <x v="0"/>
  </r>
  <r>
    <x v="0"/>
    <x v="0"/>
    <x v="1"/>
    <x v="0"/>
    <x v="1"/>
    <s v="DK2_Large"/>
    <x v="0"/>
    <x v="22"/>
    <x v="0"/>
    <x v="0"/>
  </r>
  <r>
    <x v="0"/>
    <x v="0"/>
    <x v="1"/>
    <x v="0"/>
    <x v="1"/>
    <s v="DK2_Large"/>
    <x v="0"/>
    <x v="23"/>
    <x v="0"/>
    <x v="0"/>
  </r>
  <r>
    <x v="0"/>
    <x v="0"/>
    <x v="1"/>
    <x v="0"/>
    <x v="1"/>
    <s v="DK2_MedSmall"/>
    <x v="0"/>
    <x v="0"/>
    <x v="0"/>
    <x v="0"/>
  </r>
  <r>
    <x v="0"/>
    <x v="0"/>
    <x v="1"/>
    <x v="0"/>
    <x v="1"/>
    <s v="DK2_MedSmall"/>
    <x v="0"/>
    <x v="1"/>
    <x v="0"/>
    <x v="0"/>
  </r>
  <r>
    <x v="0"/>
    <x v="0"/>
    <x v="1"/>
    <x v="0"/>
    <x v="1"/>
    <s v="DK2_MedSmall"/>
    <x v="0"/>
    <x v="2"/>
    <x v="0"/>
    <x v="0"/>
  </r>
  <r>
    <x v="0"/>
    <x v="0"/>
    <x v="1"/>
    <x v="0"/>
    <x v="1"/>
    <s v="DK2_MedSmall"/>
    <x v="0"/>
    <x v="3"/>
    <x v="0"/>
    <x v="0"/>
  </r>
  <r>
    <x v="0"/>
    <x v="0"/>
    <x v="1"/>
    <x v="0"/>
    <x v="1"/>
    <s v="DK2_MedSmall"/>
    <x v="0"/>
    <x v="4"/>
    <x v="0"/>
    <x v="0"/>
  </r>
  <r>
    <x v="0"/>
    <x v="0"/>
    <x v="1"/>
    <x v="0"/>
    <x v="1"/>
    <s v="DK2_MedSmall"/>
    <x v="0"/>
    <x v="5"/>
    <x v="0"/>
    <x v="0"/>
  </r>
  <r>
    <x v="0"/>
    <x v="0"/>
    <x v="1"/>
    <x v="0"/>
    <x v="1"/>
    <s v="DK2_MedSmall"/>
    <x v="0"/>
    <x v="6"/>
    <x v="0"/>
    <x v="0"/>
  </r>
  <r>
    <x v="0"/>
    <x v="0"/>
    <x v="1"/>
    <x v="0"/>
    <x v="1"/>
    <s v="DK2_MedSmall"/>
    <x v="0"/>
    <x v="7"/>
    <x v="0"/>
    <x v="0"/>
  </r>
  <r>
    <x v="0"/>
    <x v="0"/>
    <x v="1"/>
    <x v="0"/>
    <x v="1"/>
    <s v="DK2_MedSmall"/>
    <x v="0"/>
    <x v="8"/>
    <x v="0"/>
    <x v="0"/>
  </r>
  <r>
    <x v="0"/>
    <x v="0"/>
    <x v="1"/>
    <x v="0"/>
    <x v="1"/>
    <s v="DK2_MedSmall"/>
    <x v="0"/>
    <x v="9"/>
    <x v="0"/>
    <x v="0"/>
  </r>
  <r>
    <x v="0"/>
    <x v="0"/>
    <x v="1"/>
    <x v="0"/>
    <x v="1"/>
    <s v="DK2_MedSmall"/>
    <x v="0"/>
    <x v="10"/>
    <x v="0"/>
    <x v="0"/>
  </r>
  <r>
    <x v="0"/>
    <x v="0"/>
    <x v="1"/>
    <x v="0"/>
    <x v="1"/>
    <s v="DK2_MedSmall"/>
    <x v="0"/>
    <x v="11"/>
    <x v="0"/>
    <x v="0"/>
  </r>
  <r>
    <x v="0"/>
    <x v="0"/>
    <x v="1"/>
    <x v="0"/>
    <x v="1"/>
    <s v="DK2_MedSmall"/>
    <x v="0"/>
    <x v="12"/>
    <x v="0"/>
    <x v="0"/>
  </r>
  <r>
    <x v="0"/>
    <x v="0"/>
    <x v="1"/>
    <x v="0"/>
    <x v="1"/>
    <s v="DK2_MedSmall"/>
    <x v="0"/>
    <x v="13"/>
    <x v="0"/>
    <x v="0"/>
  </r>
  <r>
    <x v="0"/>
    <x v="0"/>
    <x v="1"/>
    <x v="0"/>
    <x v="1"/>
    <s v="DK2_MedSmall"/>
    <x v="0"/>
    <x v="14"/>
    <x v="0"/>
    <x v="0"/>
  </r>
  <r>
    <x v="0"/>
    <x v="0"/>
    <x v="1"/>
    <x v="0"/>
    <x v="1"/>
    <s v="DK2_MedSmall"/>
    <x v="0"/>
    <x v="15"/>
    <x v="0"/>
    <x v="0"/>
  </r>
  <r>
    <x v="0"/>
    <x v="0"/>
    <x v="1"/>
    <x v="0"/>
    <x v="1"/>
    <s v="DK2_MedSmall"/>
    <x v="0"/>
    <x v="16"/>
    <x v="0"/>
    <x v="0"/>
  </r>
  <r>
    <x v="0"/>
    <x v="0"/>
    <x v="1"/>
    <x v="0"/>
    <x v="1"/>
    <s v="DK2_MedSmall"/>
    <x v="0"/>
    <x v="17"/>
    <x v="0"/>
    <x v="0"/>
  </r>
  <r>
    <x v="0"/>
    <x v="0"/>
    <x v="1"/>
    <x v="0"/>
    <x v="1"/>
    <s v="DK2_MedSmall"/>
    <x v="0"/>
    <x v="18"/>
    <x v="0"/>
    <x v="0"/>
  </r>
  <r>
    <x v="0"/>
    <x v="0"/>
    <x v="1"/>
    <x v="0"/>
    <x v="1"/>
    <s v="DK2_MedSmall"/>
    <x v="0"/>
    <x v="19"/>
    <x v="0"/>
    <x v="0"/>
  </r>
  <r>
    <x v="0"/>
    <x v="0"/>
    <x v="1"/>
    <x v="0"/>
    <x v="1"/>
    <s v="DK2_MedSmall"/>
    <x v="0"/>
    <x v="20"/>
    <x v="0"/>
    <x v="0"/>
  </r>
  <r>
    <x v="0"/>
    <x v="0"/>
    <x v="1"/>
    <x v="0"/>
    <x v="1"/>
    <s v="DK2_MedSmall"/>
    <x v="0"/>
    <x v="21"/>
    <x v="0"/>
    <x v="0"/>
  </r>
  <r>
    <x v="0"/>
    <x v="0"/>
    <x v="1"/>
    <x v="0"/>
    <x v="1"/>
    <s v="DK2_MedSmall"/>
    <x v="0"/>
    <x v="22"/>
    <x v="0"/>
    <x v="0"/>
  </r>
  <r>
    <x v="0"/>
    <x v="0"/>
    <x v="1"/>
    <x v="0"/>
    <x v="1"/>
    <s v="DK2_MedSmall"/>
    <x v="0"/>
    <x v="23"/>
    <x v="0"/>
    <x v="0"/>
  </r>
  <r>
    <x v="0"/>
    <x v="0"/>
    <x v="1"/>
    <x v="0"/>
    <x v="1"/>
    <s v="DK2_Medium"/>
    <x v="0"/>
    <x v="0"/>
    <x v="0"/>
    <x v="0"/>
  </r>
  <r>
    <x v="0"/>
    <x v="0"/>
    <x v="1"/>
    <x v="0"/>
    <x v="1"/>
    <s v="DK2_Medium"/>
    <x v="0"/>
    <x v="1"/>
    <x v="0"/>
    <x v="0"/>
  </r>
  <r>
    <x v="0"/>
    <x v="0"/>
    <x v="1"/>
    <x v="0"/>
    <x v="1"/>
    <s v="DK2_Medium"/>
    <x v="0"/>
    <x v="2"/>
    <x v="0"/>
    <x v="0"/>
  </r>
  <r>
    <x v="0"/>
    <x v="0"/>
    <x v="1"/>
    <x v="0"/>
    <x v="1"/>
    <s v="DK2_Medium"/>
    <x v="0"/>
    <x v="3"/>
    <x v="0"/>
    <x v="0"/>
  </r>
  <r>
    <x v="0"/>
    <x v="0"/>
    <x v="1"/>
    <x v="0"/>
    <x v="1"/>
    <s v="DK2_Medium"/>
    <x v="0"/>
    <x v="4"/>
    <x v="0"/>
    <x v="0"/>
  </r>
  <r>
    <x v="0"/>
    <x v="0"/>
    <x v="1"/>
    <x v="0"/>
    <x v="1"/>
    <s v="DK2_Medium"/>
    <x v="0"/>
    <x v="5"/>
    <x v="0"/>
    <x v="0"/>
  </r>
  <r>
    <x v="0"/>
    <x v="0"/>
    <x v="1"/>
    <x v="0"/>
    <x v="1"/>
    <s v="DK2_Medium"/>
    <x v="0"/>
    <x v="6"/>
    <x v="0"/>
    <x v="0"/>
  </r>
  <r>
    <x v="0"/>
    <x v="0"/>
    <x v="1"/>
    <x v="0"/>
    <x v="1"/>
    <s v="DK2_Medium"/>
    <x v="0"/>
    <x v="7"/>
    <x v="0"/>
    <x v="0"/>
  </r>
  <r>
    <x v="0"/>
    <x v="0"/>
    <x v="1"/>
    <x v="0"/>
    <x v="1"/>
    <s v="DK2_Medium"/>
    <x v="0"/>
    <x v="8"/>
    <x v="0"/>
    <x v="0"/>
  </r>
  <r>
    <x v="0"/>
    <x v="0"/>
    <x v="1"/>
    <x v="0"/>
    <x v="1"/>
    <s v="DK2_Medium"/>
    <x v="0"/>
    <x v="9"/>
    <x v="0"/>
    <x v="0"/>
  </r>
  <r>
    <x v="0"/>
    <x v="0"/>
    <x v="1"/>
    <x v="0"/>
    <x v="1"/>
    <s v="DK2_Medium"/>
    <x v="0"/>
    <x v="10"/>
    <x v="0"/>
    <x v="0"/>
  </r>
  <r>
    <x v="0"/>
    <x v="0"/>
    <x v="1"/>
    <x v="0"/>
    <x v="1"/>
    <s v="DK2_Medium"/>
    <x v="0"/>
    <x v="11"/>
    <x v="0"/>
    <x v="0"/>
  </r>
  <r>
    <x v="0"/>
    <x v="0"/>
    <x v="1"/>
    <x v="0"/>
    <x v="1"/>
    <s v="DK2_Medium"/>
    <x v="0"/>
    <x v="12"/>
    <x v="0"/>
    <x v="0"/>
  </r>
  <r>
    <x v="0"/>
    <x v="0"/>
    <x v="1"/>
    <x v="0"/>
    <x v="1"/>
    <s v="DK2_Medium"/>
    <x v="0"/>
    <x v="13"/>
    <x v="0"/>
    <x v="0"/>
  </r>
  <r>
    <x v="0"/>
    <x v="0"/>
    <x v="1"/>
    <x v="0"/>
    <x v="1"/>
    <s v="DK2_Medium"/>
    <x v="0"/>
    <x v="14"/>
    <x v="0"/>
    <x v="0"/>
  </r>
  <r>
    <x v="0"/>
    <x v="0"/>
    <x v="1"/>
    <x v="0"/>
    <x v="1"/>
    <s v="DK2_Medium"/>
    <x v="0"/>
    <x v="15"/>
    <x v="0"/>
    <x v="0"/>
  </r>
  <r>
    <x v="0"/>
    <x v="0"/>
    <x v="1"/>
    <x v="0"/>
    <x v="1"/>
    <s v="DK2_Medium"/>
    <x v="0"/>
    <x v="16"/>
    <x v="0"/>
    <x v="0"/>
  </r>
  <r>
    <x v="0"/>
    <x v="0"/>
    <x v="1"/>
    <x v="0"/>
    <x v="1"/>
    <s v="DK2_Medium"/>
    <x v="0"/>
    <x v="17"/>
    <x v="0"/>
    <x v="0"/>
  </r>
  <r>
    <x v="0"/>
    <x v="0"/>
    <x v="1"/>
    <x v="0"/>
    <x v="1"/>
    <s v="DK2_Medium"/>
    <x v="0"/>
    <x v="18"/>
    <x v="0"/>
    <x v="0"/>
  </r>
  <r>
    <x v="0"/>
    <x v="0"/>
    <x v="1"/>
    <x v="0"/>
    <x v="1"/>
    <s v="DK2_Medium"/>
    <x v="0"/>
    <x v="19"/>
    <x v="0"/>
    <x v="0"/>
  </r>
  <r>
    <x v="0"/>
    <x v="0"/>
    <x v="1"/>
    <x v="0"/>
    <x v="1"/>
    <s v="DK2_Medium"/>
    <x v="0"/>
    <x v="20"/>
    <x v="0"/>
    <x v="0"/>
  </r>
  <r>
    <x v="0"/>
    <x v="0"/>
    <x v="1"/>
    <x v="0"/>
    <x v="1"/>
    <s v="DK2_Medium"/>
    <x v="0"/>
    <x v="21"/>
    <x v="0"/>
    <x v="0"/>
  </r>
  <r>
    <x v="0"/>
    <x v="0"/>
    <x v="1"/>
    <x v="0"/>
    <x v="1"/>
    <s v="DK2_Medium"/>
    <x v="0"/>
    <x v="22"/>
    <x v="0"/>
    <x v="0"/>
  </r>
  <r>
    <x v="0"/>
    <x v="0"/>
    <x v="1"/>
    <x v="0"/>
    <x v="1"/>
    <s v="DK2_Medium"/>
    <x v="0"/>
    <x v="23"/>
    <x v="0"/>
    <x v="0"/>
  </r>
  <r>
    <x v="0"/>
    <x v="0"/>
    <x v="1"/>
    <x v="0"/>
    <x v="1"/>
    <s v="DK2_Rural"/>
    <x v="0"/>
    <x v="0"/>
    <x v="0"/>
    <x v="0"/>
  </r>
  <r>
    <x v="0"/>
    <x v="0"/>
    <x v="1"/>
    <x v="0"/>
    <x v="1"/>
    <s v="DK2_Rural"/>
    <x v="0"/>
    <x v="1"/>
    <x v="0"/>
    <x v="0"/>
  </r>
  <r>
    <x v="0"/>
    <x v="0"/>
    <x v="1"/>
    <x v="0"/>
    <x v="1"/>
    <s v="DK2_Rural"/>
    <x v="0"/>
    <x v="2"/>
    <x v="0"/>
    <x v="0"/>
  </r>
  <r>
    <x v="0"/>
    <x v="0"/>
    <x v="1"/>
    <x v="0"/>
    <x v="1"/>
    <s v="DK2_Rural"/>
    <x v="0"/>
    <x v="3"/>
    <x v="0"/>
    <x v="0"/>
  </r>
  <r>
    <x v="0"/>
    <x v="0"/>
    <x v="1"/>
    <x v="0"/>
    <x v="1"/>
    <s v="DK2_Rural"/>
    <x v="0"/>
    <x v="4"/>
    <x v="0"/>
    <x v="0"/>
  </r>
  <r>
    <x v="0"/>
    <x v="0"/>
    <x v="1"/>
    <x v="0"/>
    <x v="1"/>
    <s v="DK2_Rural"/>
    <x v="0"/>
    <x v="5"/>
    <x v="0"/>
    <x v="0"/>
  </r>
  <r>
    <x v="0"/>
    <x v="0"/>
    <x v="1"/>
    <x v="0"/>
    <x v="1"/>
    <s v="DK2_Rural"/>
    <x v="0"/>
    <x v="6"/>
    <x v="0"/>
    <x v="0"/>
  </r>
  <r>
    <x v="0"/>
    <x v="0"/>
    <x v="1"/>
    <x v="0"/>
    <x v="1"/>
    <s v="DK2_Rural"/>
    <x v="0"/>
    <x v="7"/>
    <x v="0"/>
    <x v="0"/>
  </r>
  <r>
    <x v="0"/>
    <x v="0"/>
    <x v="1"/>
    <x v="0"/>
    <x v="1"/>
    <s v="DK2_Rural"/>
    <x v="0"/>
    <x v="8"/>
    <x v="0"/>
    <x v="0"/>
  </r>
  <r>
    <x v="0"/>
    <x v="0"/>
    <x v="1"/>
    <x v="0"/>
    <x v="1"/>
    <s v="DK2_Rural"/>
    <x v="0"/>
    <x v="9"/>
    <x v="0"/>
    <x v="0"/>
  </r>
  <r>
    <x v="0"/>
    <x v="0"/>
    <x v="1"/>
    <x v="0"/>
    <x v="1"/>
    <s v="DK2_Rural"/>
    <x v="0"/>
    <x v="10"/>
    <x v="0"/>
    <x v="0"/>
  </r>
  <r>
    <x v="0"/>
    <x v="0"/>
    <x v="1"/>
    <x v="0"/>
    <x v="1"/>
    <s v="DK2_Rural"/>
    <x v="0"/>
    <x v="11"/>
    <x v="0"/>
    <x v="0"/>
  </r>
  <r>
    <x v="0"/>
    <x v="0"/>
    <x v="1"/>
    <x v="0"/>
    <x v="1"/>
    <s v="DK2_Rural"/>
    <x v="0"/>
    <x v="12"/>
    <x v="0"/>
    <x v="0"/>
  </r>
  <r>
    <x v="0"/>
    <x v="0"/>
    <x v="1"/>
    <x v="0"/>
    <x v="1"/>
    <s v="DK2_Rural"/>
    <x v="0"/>
    <x v="13"/>
    <x v="0"/>
    <x v="0"/>
  </r>
  <r>
    <x v="0"/>
    <x v="0"/>
    <x v="1"/>
    <x v="0"/>
    <x v="1"/>
    <s v="DK2_Rural"/>
    <x v="0"/>
    <x v="14"/>
    <x v="0"/>
    <x v="0"/>
  </r>
  <r>
    <x v="0"/>
    <x v="0"/>
    <x v="1"/>
    <x v="0"/>
    <x v="1"/>
    <s v="DK2_Rural"/>
    <x v="0"/>
    <x v="15"/>
    <x v="0"/>
    <x v="0"/>
  </r>
  <r>
    <x v="0"/>
    <x v="0"/>
    <x v="1"/>
    <x v="0"/>
    <x v="1"/>
    <s v="DK2_Rural"/>
    <x v="0"/>
    <x v="16"/>
    <x v="0"/>
    <x v="0"/>
  </r>
  <r>
    <x v="0"/>
    <x v="0"/>
    <x v="1"/>
    <x v="0"/>
    <x v="1"/>
    <s v="DK2_Rural"/>
    <x v="0"/>
    <x v="17"/>
    <x v="0"/>
    <x v="0"/>
  </r>
  <r>
    <x v="0"/>
    <x v="0"/>
    <x v="1"/>
    <x v="0"/>
    <x v="1"/>
    <s v="DK2_Rural"/>
    <x v="0"/>
    <x v="18"/>
    <x v="0"/>
    <x v="0"/>
  </r>
  <r>
    <x v="0"/>
    <x v="0"/>
    <x v="1"/>
    <x v="0"/>
    <x v="1"/>
    <s v="DK2_Rural"/>
    <x v="0"/>
    <x v="19"/>
    <x v="0"/>
    <x v="0"/>
  </r>
  <r>
    <x v="0"/>
    <x v="0"/>
    <x v="1"/>
    <x v="0"/>
    <x v="1"/>
    <s v="DK2_Rural"/>
    <x v="0"/>
    <x v="20"/>
    <x v="0"/>
    <x v="0"/>
  </r>
  <r>
    <x v="0"/>
    <x v="0"/>
    <x v="1"/>
    <x v="0"/>
    <x v="1"/>
    <s v="DK2_Rural"/>
    <x v="0"/>
    <x v="21"/>
    <x v="0"/>
    <x v="0"/>
  </r>
  <r>
    <x v="0"/>
    <x v="0"/>
    <x v="1"/>
    <x v="0"/>
    <x v="1"/>
    <s v="DK2_Rural"/>
    <x v="0"/>
    <x v="22"/>
    <x v="0"/>
    <x v="0"/>
  </r>
  <r>
    <x v="0"/>
    <x v="0"/>
    <x v="1"/>
    <x v="0"/>
    <x v="1"/>
    <s v="DK2_Rural"/>
    <x v="0"/>
    <x v="23"/>
    <x v="0"/>
    <x v="0"/>
  </r>
  <r>
    <x v="0"/>
    <x v="0"/>
    <x v="1"/>
    <x v="0"/>
    <x v="1"/>
    <s v="DK2_Small"/>
    <x v="0"/>
    <x v="0"/>
    <x v="0"/>
    <x v="0"/>
  </r>
  <r>
    <x v="0"/>
    <x v="0"/>
    <x v="1"/>
    <x v="0"/>
    <x v="1"/>
    <s v="DK2_Small"/>
    <x v="0"/>
    <x v="1"/>
    <x v="0"/>
    <x v="0"/>
  </r>
  <r>
    <x v="0"/>
    <x v="0"/>
    <x v="1"/>
    <x v="0"/>
    <x v="1"/>
    <s v="DK2_Small"/>
    <x v="0"/>
    <x v="2"/>
    <x v="0"/>
    <x v="0"/>
  </r>
  <r>
    <x v="0"/>
    <x v="0"/>
    <x v="1"/>
    <x v="0"/>
    <x v="1"/>
    <s v="DK2_Small"/>
    <x v="0"/>
    <x v="3"/>
    <x v="0"/>
    <x v="0"/>
  </r>
  <r>
    <x v="0"/>
    <x v="0"/>
    <x v="1"/>
    <x v="0"/>
    <x v="1"/>
    <s v="DK2_Small"/>
    <x v="0"/>
    <x v="4"/>
    <x v="0"/>
    <x v="0"/>
  </r>
  <r>
    <x v="0"/>
    <x v="0"/>
    <x v="1"/>
    <x v="0"/>
    <x v="1"/>
    <s v="DK2_Small"/>
    <x v="0"/>
    <x v="5"/>
    <x v="0"/>
    <x v="0"/>
  </r>
  <r>
    <x v="0"/>
    <x v="0"/>
    <x v="1"/>
    <x v="0"/>
    <x v="1"/>
    <s v="DK2_Small"/>
    <x v="0"/>
    <x v="6"/>
    <x v="0"/>
    <x v="0"/>
  </r>
  <r>
    <x v="0"/>
    <x v="0"/>
    <x v="1"/>
    <x v="0"/>
    <x v="1"/>
    <s v="DK2_Small"/>
    <x v="0"/>
    <x v="7"/>
    <x v="0"/>
    <x v="0"/>
  </r>
  <r>
    <x v="0"/>
    <x v="0"/>
    <x v="1"/>
    <x v="0"/>
    <x v="1"/>
    <s v="DK2_Small"/>
    <x v="0"/>
    <x v="8"/>
    <x v="0"/>
    <x v="0"/>
  </r>
  <r>
    <x v="0"/>
    <x v="0"/>
    <x v="1"/>
    <x v="0"/>
    <x v="1"/>
    <s v="DK2_Small"/>
    <x v="0"/>
    <x v="9"/>
    <x v="0"/>
    <x v="0"/>
  </r>
  <r>
    <x v="0"/>
    <x v="0"/>
    <x v="1"/>
    <x v="0"/>
    <x v="1"/>
    <s v="DK2_Small"/>
    <x v="0"/>
    <x v="10"/>
    <x v="0"/>
    <x v="0"/>
  </r>
  <r>
    <x v="0"/>
    <x v="0"/>
    <x v="1"/>
    <x v="0"/>
    <x v="1"/>
    <s v="DK2_Small"/>
    <x v="0"/>
    <x v="11"/>
    <x v="0"/>
    <x v="0"/>
  </r>
  <r>
    <x v="0"/>
    <x v="0"/>
    <x v="1"/>
    <x v="0"/>
    <x v="1"/>
    <s v="DK2_Small"/>
    <x v="0"/>
    <x v="12"/>
    <x v="0"/>
    <x v="0"/>
  </r>
  <r>
    <x v="0"/>
    <x v="0"/>
    <x v="1"/>
    <x v="0"/>
    <x v="1"/>
    <s v="DK2_Small"/>
    <x v="0"/>
    <x v="13"/>
    <x v="0"/>
    <x v="0"/>
  </r>
  <r>
    <x v="0"/>
    <x v="0"/>
    <x v="1"/>
    <x v="0"/>
    <x v="1"/>
    <s v="DK2_Small"/>
    <x v="0"/>
    <x v="14"/>
    <x v="0"/>
    <x v="0"/>
  </r>
  <r>
    <x v="0"/>
    <x v="0"/>
    <x v="1"/>
    <x v="0"/>
    <x v="1"/>
    <s v="DK2_Small"/>
    <x v="0"/>
    <x v="15"/>
    <x v="0"/>
    <x v="0"/>
  </r>
  <r>
    <x v="0"/>
    <x v="0"/>
    <x v="1"/>
    <x v="0"/>
    <x v="1"/>
    <s v="DK2_Small"/>
    <x v="0"/>
    <x v="16"/>
    <x v="0"/>
    <x v="0"/>
  </r>
  <r>
    <x v="0"/>
    <x v="0"/>
    <x v="1"/>
    <x v="0"/>
    <x v="1"/>
    <s v="DK2_Small"/>
    <x v="0"/>
    <x v="17"/>
    <x v="0"/>
    <x v="0"/>
  </r>
  <r>
    <x v="0"/>
    <x v="0"/>
    <x v="1"/>
    <x v="0"/>
    <x v="1"/>
    <s v="DK2_Small"/>
    <x v="0"/>
    <x v="18"/>
    <x v="0"/>
    <x v="0"/>
  </r>
  <r>
    <x v="0"/>
    <x v="0"/>
    <x v="1"/>
    <x v="0"/>
    <x v="1"/>
    <s v="DK2_Small"/>
    <x v="0"/>
    <x v="19"/>
    <x v="0"/>
    <x v="0"/>
  </r>
  <r>
    <x v="0"/>
    <x v="0"/>
    <x v="1"/>
    <x v="0"/>
    <x v="1"/>
    <s v="DK2_Small"/>
    <x v="0"/>
    <x v="20"/>
    <x v="0"/>
    <x v="0"/>
  </r>
  <r>
    <x v="0"/>
    <x v="0"/>
    <x v="1"/>
    <x v="0"/>
    <x v="1"/>
    <s v="DK2_Small"/>
    <x v="0"/>
    <x v="21"/>
    <x v="0"/>
    <x v="0"/>
  </r>
  <r>
    <x v="0"/>
    <x v="0"/>
    <x v="1"/>
    <x v="0"/>
    <x v="1"/>
    <s v="DK2_Small"/>
    <x v="0"/>
    <x v="22"/>
    <x v="0"/>
    <x v="0"/>
  </r>
  <r>
    <x v="0"/>
    <x v="0"/>
    <x v="1"/>
    <x v="0"/>
    <x v="1"/>
    <s v="DK2_Small"/>
    <x v="0"/>
    <x v="23"/>
    <x v="0"/>
    <x v="0"/>
  </r>
  <r>
    <x v="0"/>
    <x v="0"/>
    <x v="1"/>
    <x v="1"/>
    <x v="2"/>
    <s v="DE4-E_A"/>
    <x v="0"/>
    <x v="0"/>
    <x v="0"/>
    <x v="0"/>
  </r>
  <r>
    <x v="0"/>
    <x v="0"/>
    <x v="1"/>
    <x v="1"/>
    <x v="2"/>
    <s v="DE4-E_A"/>
    <x v="0"/>
    <x v="1"/>
    <x v="0"/>
    <x v="0"/>
  </r>
  <r>
    <x v="0"/>
    <x v="0"/>
    <x v="1"/>
    <x v="1"/>
    <x v="2"/>
    <s v="DE4-E_A"/>
    <x v="0"/>
    <x v="2"/>
    <x v="0"/>
    <x v="0"/>
  </r>
  <r>
    <x v="0"/>
    <x v="0"/>
    <x v="1"/>
    <x v="1"/>
    <x v="2"/>
    <s v="DE4-E_A"/>
    <x v="0"/>
    <x v="3"/>
    <x v="0"/>
    <x v="0"/>
  </r>
  <r>
    <x v="0"/>
    <x v="0"/>
    <x v="1"/>
    <x v="1"/>
    <x v="2"/>
    <s v="DE4-E_A"/>
    <x v="0"/>
    <x v="4"/>
    <x v="0"/>
    <x v="0"/>
  </r>
  <r>
    <x v="0"/>
    <x v="0"/>
    <x v="1"/>
    <x v="1"/>
    <x v="2"/>
    <s v="DE4-E_A"/>
    <x v="0"/>
    <x v="5"/>
    <x v="0"/>
    <x v="0"/>
  </r>
  <r>
    <x v="0"/>
    <x v="0"/>
    <x v="1"/>
    <x v="1"/>
    <x v="2"/>
    <s v="DE4-E_A"/>
    <x v="0"/>
    <x v="6"/>
    <x v="0"/>
    <x v="0"/>
  </r>
  <r>
    <x v="0"/>
    <x v="0"/>
    <x v="1"/>
    <x v="1"/>
    <x v="2"/>
    <s v="DE4-E_A"/>
    <x v="0"/>
    <x v="7"/>
    <x v="0"/>
    <x v="0"/>
  </r>
  <r>
    <x v="0"/>
    <x v="0"/>
    <x v="1"/>
    <x v="1"/>
    <x v="2"/>
    <s v="DE4-E_A"/>
    <x v="0"/>
    <x v="8"/>
    <x v="0"/>
    <x v="0"/>
  </r>
  <r>
    <x v="0"/>
    <x v="0"/>
    <x v="1"/>
    <x v="1"/>
    <x v="2"/>
    <s v="DE4-E_A"/>
    <x v="0"/>
    <x v="9"/>
    <x v="0"/>
    <x v="0"/>
  </r>
  <r>
    <x v="0"/>
    <x v="0"/>
    <x v="1"/>
    <x v="1"/>
    <x v="2"/>
    <s v="DE4-E_A"/>
    <x v="0"/>
    <x v="10"/>
    <x v="0"/>
    <x v="0"/>
  </r>
  <r>
    <x v="0"/>
    <x v="0"/>
    <x v="1"/>
    <x v="1"/>
    <x v="2"/>
    <s v="DE4-E_A"/>
    <x v="0"/>
    <x v="11"/>
    <x v="0"/>
    <x v="0"/>
  </r>
  <r>
    <x v="0"/>
    <x v="0"/>
    <x v="1"/>
    <x v="1"/>
    <x v="2"/>
    <s v="DE4-E_A"/>
    <x v="0"/>
    <x v="12"/>
    <x v="0"/>
    <x v="0"/>
  </r>
  <r>
    <x v="0"/>
    <x v="0"/>
    <x v="1"/>
    <x v="1"/>
    <x v="2"/>
    <s v="DE4-E_A"/>
    <x v="0"/>
    <x v="13"/>
    <x v="0"/>
    <x v="0"/>
  </r>
  <r>
    <x v="0"/>
    <x v="0"/>
    <x v="1"/>
    <x v="1"/>
    <x v="2"/>
    <s v="DE4-E_A"/>
    <x v="0"/>
    <x v="14"/>
    <x v="0"/>
    <x v="0"/>
  </r>
  <r>
    <x v="0"/>
    <x v="0"/>
    <x v="1"/>
    <x v="1"/>
    <x v="2"/>
    <s v="DE4-E_A"/>
    <x v="0"/>
    <x v="15"/>
    <x v="0"/>
    <x v="0"/>
  </r>
  <r>
    <x v="0"/>
    <x v="0"/>
    <x v="1"/>
    <x v="1"/>
    <x v="2"/>
    <s v="DE4-E_A"/>
    <x v="0"/>
    <x v="16"/>
    <x v="0"/>
    <x v="0"/>
  </r>
  <r>
    <x v="0"/>
    <x v="0"/>
    <x v="1"/>
    <x v="1"/>
    <x v="2"/>
    <s v="DE4-E_A"/>
    <x v="0"/>
    <x v="17"/>
    <x v="0"/>
    <x v="0"/>
  </r>
  <r>
    <x v="0"/>
    <x v="0"/>
    <x v="1"/>
    <x v="1"/>
    <x v="2"/>
    <s v="DE4-E_A"/>
    <x v="0"/>
    <x v="18"/>
    <x v="0"/>
    <x v="0"/>
  </r>
  <r>
    <x v="0"/>
    <x v="0"/>
    <x v="1"/>
    <x v="1"/>
    <x v="2"/>
    <s v="DE4-E_A"/>
    <x v="0"/>
    <x v="19"/>
    <x v="0"/>
    <x v="0"/>
  </r>
  <r>
    <x v="0"/>
    <x v="0"/>
    <x v="1"/>
    <x v="1"/>
    <x v="2"/>
    <s v="DE4-E_A"/>
    <x v="0"/>
    <x v="20"/>
    <x v="0"/>
    <x v="0"/>
  </r>
  <r>
    <x v="0"/>
    <x v="0"/>
    <x v="1"/>
    <x v="1"/>
    <x v="2"/>
    <s v="DE4-E_A"/>
    <x v="0"/>
    <x v="21"/>
    <x v="0"/>
    <x v="0"/>
  </r>
  <r>
    <x v="0"/>
    <x v="0"/>
    <x v="1"/>
    <x v="1"/>
    <x v="2"/>
    <s v="DE4-E_A"/>
    <x v="0"/>
    <x v="22"/>
    <x v="0"/>
    <x v="0"/>
  </r>
  <r>
    <x v="0"/>
    <x v="0"/>
    <x v="1"/>
    <x v="1"/>
    <x v="2"/>
    <s v="DE4-E_A"/>
    <x v="0"/>
    <x v="23"/>
    <x v="0"/>
    <x v="0"/>
  </r>
  <r>
    <x v="0"/>
    <x v="0"/>
    <x v="1"/>
    <x v="1"/>
    <x v="3"/>
    <s v="DE4-N_A"/>
    <x v="0"/>
    <x v="0"/>
    <x v="0"/>
    <x v="0"/>
  </r>
  <r>
    <x v="0"/>
    <x v="0"/>
    <x v="1"/>
    <x v="1"/>
    <x v="3"/>
    <s v="DE4-N_A"/>
    <x v="0"/>
    <x v="1"/>
    <x v="0"/>
    <x v="0"/>
  </r>
  <r>
    <x v="0"/>
    <x v="0"/>
    <x v="1"/>
    <x v="1"/>
    <x v="3"/>
    <s v="DE4-N_A"/>
    <x v="0"/>
    <x v="2"/>
    <x v="0"/>
    <x v="0"/>
  </r>
  <r>
    <x v="0"/>
    <x v="0"/>
    <x v="1"/>
    <x v="1"/>
    <x v="3"/>
    <s v="DE4-N_A"/>
    <x v="0"/>
    <x v="3"/>
    <x v="0"/>
    <x v="0"/>
  </r>
  <r>
    <x v="0"/>
    <x v="0"/>
    <x v="1"/>
    <x v="1"/>
    <x v="3"/>
    <s v="DE4-N_A"/>
    <x v="0"/>
    <x v="4"/>
    <x v="0"/>
    <x v="0"/>
  </r>
  <r>
    <x v="0"/>
    <x v="0"/>
    <x v="1"/>
    <x v="1"/>
    <x v="3"/>
    <s v="DE4-N_A"/>
    <x v="0"/>
    <x v="5"/>
    <x v="0"/>
    <x v="0"/>
  </r>
  <r>
    <x v="0"/>
    <x v="0"/>
    <x v="1"/>
    <x v="1"/>
    <x v="3"/>
    <s v="DE4-N_A"/>
    <x v="0"/>
    <x v="6"/>
    <x v="0"/>
    <x v="0"/>
  </r>
  <r>
    <x v="0"/>
    <x v="0"/>
    <x v="1"/>
    <x v="1"/>
    <x v="3"/>
    <s v="DE4-N_A"/>
    <x v="0"/>
    <x v="7"/>
    <x v="0"/>
    <x v="0"/>
  </r>
  <r>
    <x v="0"/>
    <x v="0"/>
    <x v="1"/>
    <x v="1"/>
    <x v="3"/>
    <s v="DE4-N_A"/>
    <x v="0"/>
    <x v="8"/>
    <x v="0"/>
    <x v="0"/>
  </r>
  <r>
    <x v="0"/>
    <x v="0"/>
    <x v="1"/>
    <x v="1"/>
    <x v="3"/>
    <s v="DE4-N_A"/>
    <x v="0"/>
    <x v="9"/>
    <x v="0"/>
    <x v="0"/>
  </r>
  <r>
    <x v="0"/>
    <x v="0"/>
    <x v="1"/>
    <x v="1"/>
    <x v="3"/>
    <s v="DE4-N_A"/>
    <x v="0"/>
    <x v="10"/>
    <x v="0"/>
    <x v="0"/>
  </r>
  <r>
    <x v="0"/>
    <x v="0"/>
    <x v="1"/>
    <x v="1"/>
    <x v="3"/>
    <s v="DE4-N_A"/>
    <x v="0"/>
    <x v="11"/>
    <x v="0"/>
    <x v="0"/>
  </r>
  <r>
    <x v="0"/>
    <x v="0"/>
    <x v="1"/>
    <x v="1"/>
    <x v="3"/>
    <s v="DE4-N_A"/>
    <x v="0"/>
    <x v="12"/>
    <x v="0"/>
    <x v="0"/>
  </r>
  <r>
    <x v="0"/>
    <x v="0"/>
    <x v="1"/>
    <x v="1"/>
    <x v="3"/>
    <s v="DE4-N_A"/>
    <x v="0"/>
    <x v="13"/>
    <x v="0"/>
    <x v="0"/>
  </r>
  <r>
    <x v="0"/>
    <x v="0"/>
    <x v="1"/>
    <x v="1"/>
    <x v="3"/>
    <s v="DE4-N_A"/>
    <x v="0"/>
    <x v="14"/>
    <x v="0"/>
    <x v="0"/>
  </r>
  <r>
    <x v="0"/>
    <x v="0"/>
    <x v="1"/>
    <x v="1"/>
    <x v="3"/>
    <s v="DE4-N_A"/>
    <x v="0"/>
    <x v="15"/>
    <x v="0"/>
    <x v="0"/>
  </r>
  <r>
    <x v="0"/>
    <x v="0"/>
    <x v="1"/>
    <x v="1"/>
    <x v="3"/>
    <s v="DE4-N_A"/>
    <x v="0"/>
    <x v="16"/>
    <x v="0"/>
    <x v="0"/>
  </r>
  <r>
    <x v="0"/>
    <x v="0"/>
    <x v="1"/>
    <x v="1"/>
    <x v="3"/>
    <s v="DE4-N_A"/>
    <x v="0"/>
    <x v="17"/>
    <x v="0"/>
    <x v="0"/>
  </r>
  <r>
    <x v="0"/>
    <x v="0"/>
    <x v="1"/>
    <x v="1"/>
    <x v="3"/>
    <s v="DE4-N_A"/>
    <x v="0"/>
    <x v="18"/>
    <x v="0"/>
    <x v="0"/>
  </r>
  <r>
    <x v="0"/>
    <x v="0"/>
    <x v="1"/>
    <x v="1"/>
    <x v="3"/>
    <s v="DE4-N_A"/>
    <x v="0"/>
    <x v="19"/>
    <x v="0"/>
    <x v="0"/>
  </r>
  <r>
    <x v="0"/>
    <x v="0"/>
    <x v="1"/>
    <x v="1"/>
    <x v="3"/>
    <s v="DE4-N_A"/>
    <x v="0"/>
    <x v="20"/>
    <x v="0"/>
    <x v="0"/>
  </r>
  <r>
    <x v="0"/>
    <x v="0"/>
    <x v="1"/>
    <x v="1"/>
    <x v="3"/>
    <s v="DE4-N_A"/>
    <x v="0"/>
    <x v="21"/>
    <x v="0"/>
    <x v="0"/>
  </r>
  <r>
    <x v="0"/>
    <x v="0"/>
    <x v="1"/>
    <x v="1"/>
    <x v="3"/>
    <s v="DE4-N_A"/>
    <x v="0"/>
    <x v="22"/>
    <x v="0"/>
    <x v="0"/>
  </r>
  <r>
    <x v="0"/>
    <x v="0"/>
    <x v="1"/>
    <x v="1"/>
    <x v="3"/>
    <s v="DE4-N_A"/>
    <x v="0"/>
    <x v="23"/>
    <x v="0"/>
    <x v="0"/>
  </r>
  <r>
    <x v="0"/>
    <x v="0"/>
    <x v="1"/>
    <x v="1"/>
    <x v="4"/>
    <s v="DE4-S_A"/>
    <x v="0"/>
    <x v="0"/>
    <x v="0"/>
    <x v="0"/>
  </r>
  <r>
    <x v="0"/>
    <x v="0"/>
    <x v="1"/>
    <x v="1"/>
    <x v="4"/>
    <s v="DE4-S_A"/>
    <x v="0"/>
    <x v="1"/>
    <x v="0"/>
    <x v="0"/>
  </r>
  <r>
    <x v="0"/>
    <x v="0"/>
    <x v="1"/>
    <x v="1"/>
    <x v="4"/>
    <s v="DE4-S_A"/>
    <x v="0"/>
    <x v="2"/>
    <x v="0"/>
    <x v="0"/>
  </r>
  <r>
    <x v="0"/>
    <x v="0"/>
    <x v="1"/>
    <x v="1"/>
    <x v="4"/>
    <s v="DE4-S_A"/>
    <x v="0"/>
    <x v="3"/>
    <x v="0"/>
    <x v="0"/>
  </r>
  <r>
    <x v="0"/>
    <x v="0"/>
    <x v="1"/>
    <x v="1"/>
    <x v="4"/>
    <s v="DE4-S_A"/>
    <x v="0"/>
    <x v="4"/>
    <x v="0"/>
    <x v="0"/>
  </r>
  <r>
    <x v="0"/>
    <x v="0"/>
    <x v="1"/>
    <x v="1"/>
    <x v="4"/>
    <s v="DE4-S_A"/>
    <x v="0"/>
    <x v="5"/>
    <x v="0"/>
    <x v="0"/>
  </r>
  <r>
    <x v="0"/>
    <x v="0"/>
    <x v="1"/>
    <x v="1"/>
    <x v="4"/>
    <s v="DE4-S_A"/>
    <x v="0"/>
    <x v="6"/>
    <x v="0"/>
    <x v="0"/>
  </r>
  <r>
    <x v="0"/>
    <x v="0"/>
    <x v="1"/>
    <x v="1"/>
    <x v="4"/>
    <s v="DE4-S_A"/>
    <x v="0"/>
    <x v="7"/>
    <x v="0"/>
    <x v="0"/>
  </r>
  <r>
    <x v="0"/>
    <x v="0"/>
    <x v="1"/>
    <x v="1"/>
    <x v="4"/>
    <s v="DE4-S_A"/>
    <x v="0"/>
    <x v="8"/>
    <x v="0"/>
    <x v="0"/>
  </r>
  <r>
    <x v="0"/>
    <x v="0"/>
    <x v="1"/>
    <x v="1"/>
    <x v="4"/>
    <s v="DE4-S_A"/>
    <x v="0"/>
    <x v="9"/>
    <x v="0"/>
    <x v="0"/>
  </r>
  <r>
    <x v="0"/>
    <x v="0"/>
    <x v="1"/>
    <x v="1"/>
    <x v="4"/>
    <s v="DE4-S_A"/>
    <x v="0"/>
    <x v="10"/>
    <x v="0"/>
    <x v="0"/>
  </r>
  <r>
    <x v="0"/>
    <x v="0"/>
    <x v="1"/>
    <x v="1"/>
    <x v="4"/>
    <s v="DE4-S_A"/>
    <x v="0"/>
    <x v="11"/>
    <x v="0"/>
    <x v="0"/>
  </r>
  <r>
    <x v="0"/>
    <x v="0"/>
    <x v="1"/>
    <x v="1"/>
    <x v="4"/>
    <s v="DE4-S_A"/>
    <x v="0"/>
    <x v="12"/>
    <x v="0"/>
    <x v="0"/>
  </r>
  <r>
    <x v="0"/>
    <x v="0"/>
    <x v="1"/>
    <x v="1"/>
    <x v="4"/>
    <s v="DE4-S_A"/>
    <x v="0"/>
    <x v="13"/>
    <x v="0"/>
    <x v="0"/>
  </r>
  <r>
    <x v="0"/>
    <x v="0"/>
    <x v="1"/>
    <x v="1"/>
    <x v="4"/>
    <s v="DE4-S_A"/>
    <x v="0"/>
    <x v="14"/>
    <x v="0"/>
    <x v="0"/>
  </r>
  <r>
    <x v="0"/>
    <x v="0"/>
    <x v="1"/>
    <x v="1"/>
    <x v="4"/>
    <s v="DE4-S_A"/>
    <x v="0"/>
    <x v="15"/>
    <x v="0"/>
    <x v="0"/>
  </r>
  <r>
    <x v="0"/>
    <x v="0"/>
    <x v="1"/>
    <x v="1"/>
    <x v="4"/>
    <s v="DE4-S_A"/>
    <x v="0"/>
    <x v="16"/>
    <x v="0"/>
    <x v="0"/>
  </r>
  <r>
    <x v="0"/>
    <x v="0"/>
    <x v="1"/>
    <x v="1"/>
    <x v="4"/>
    <s v="DE4-S_A"/>
    <x v="0"/>
    <x v="17"/>
    <x v="0"/>
    <x v="0"/>
  </r>
  <r>
    <x v="0"/>
    <x v="0"/>
    <x v="1"/>
    <x v="1"/>
    <x v="4"/>
    <s v="DE4-S_A"/>
    <x v="0"/>
    <x v="18"/>
    <x v="0"/>
    <x v="0"/>
  </r>
  <r>
    <x v="0"/>
    <x v="0"/>
    <x v="1"/>
    <x v="1"/>
    <x v="4"/>
    <s v="DE4-S_A"/>
    <x v="0"/>
    <x v="19"/>
    <x v="0"/>
    <x v="0"/>
  </r>
  <r>
    <x v="0"/>
    <x v="0"/>
    <x v="1"/>
    <x v="1"/>
    <x v="4"/>
    <s v="DE4-S_A"/>
    <x v="0"/>
    <x v="20"/>
    <x v="0"/>
    <x v="0"/>
  </r>
  <r>
    <x v="0"/>
    <x v="0"/>
    <x v="1"/>
    <x v="1"/>
    <x v="4"/>
    <s v="DE4-S_A"/>
    <x v="0"/>
    <x v="21"/>
    <x v="0"/>
    <x v="0"/>
  </r>
  <r>
    <x v="0"/>
    <x v="0"/>
    <x v="1"/>
    <x v="1"/>
    <x v="4"/>
    <s v="DE4-S_A"/>
    <x v="0"/>
    <x v="22"/>
    <x v="0"/>
    <x v="0"/>
  </r>
  <r>
    <x v="0"/>
    <x v="0"/>
    <x v="1"/>
    <x v="1"/>
    <x v="4"/>
    <s v="DE4-S_A"/>
    <x v="0"/>
    <x v="23"/>
    <x v="0"/>
    <x v="0"/>
  </r>
  <r>
    <x v="0"/>
    <x v="0"/>
    <x v="1"/>
    <x v="1"/>
    <x v="5"/>
    <s v="DE4-W_A"/>
    <x v="0"/>
    <x v="0"/>
    <x v="0"/>
    <x v="0"/>
  </r>
  <r>
    <x v="0"/>
    <x v="0"/>
    <x v="1"/>
    <x v="1"/>
    <x v="5"/>
    <s v="DE4-W_A"/>
    <x v="0"/>
    <x v="1"/>
    <x v="0"/>
    <x v="0"/>
  </r>
  <r>
    <x v="0"/>
    <x v="0"/>
    <x v="1"/>
    <x v="1"/>
    <x v="5"/>
    <s v="DE4-W_A"/>
    <x v="0"/>
    <x v="2"/>
    <x v="0"/>
    <x v="0"/>
  </r>
  <r>
    <x v="0"/>
    <x v="0"/>
    <x v="1"/>
    <x v="1"/>
    <x v="5"/>
    <s v="DE4-W_A"/>
    <x v="0"/>
    <x v="3"/>
    <x v="0"/>
    <x v="0"/>
  </r>
  <r>
    <x v="0"/>
    <x v="0"/>
    <x v="1"/>
    <x v="1"/>
    <x v="5"/>
    <s v="DE4-W_A"/>
    <x v="0"/>
    <x v="4"/>
    <x v="0"/>
    <x v="0"/>
  </r>
  <r>
    <x v="0"/>
    <x v="0"/>
    <x v="1"/>
    <x v="1"/>
    <x v="5"/>
    <s v="DE4-W_A"/>
    <x v="0"/>
    <x v="5"/>
    <x v="0"/>
    <x v="0"/>
  </r>
  <r>
    <x v="0"/>
    <x v="0"/>
    <x v="1"/>
    <x v="1"/>
    <x v="5"/>
    <s v="DE4-W_A"/>
    <x v="0"/>
    <x v="6"/>
    <x v="0"/>
    <x v="0"/>
  </r>
  <r>
    <x v="0"/>
    <x v="0"/>
    <x v="1"/>
    <x v="1"/>
    <x v="5"/>
    <s v="DE4-W_A"/>
    <x v="0"/>
    <x v="7"/>
    <x v="0"/>
    <x v="0"/>
  </r>
  <r>
    <x v="0"/>
    <x v="0"/>
    <x v="1"/>
    <x v="1"/>
    <x v="5"/>
    <s v="DE4-W_A"/>
    <x v="0"/>
    <x v="8"/>
    <x v="0"/>
    <x v="0"/>
  </r>
  <r>
    <x v="0"/>
    <x v="0"/>
    <x v="1"/>
    <x v="1"/>
    <x v="5"/>
    <s v="DE4-W_A"/>
    <x v="0"/>
    <x v="9"/>
    <x v="0"/>
    <x v="0"/>
  </r>
  <r>
    <x v="0"/>
    <x v="0"/>
    <x v="1"/>
    <x v="1"/>
    <x v="5"/>
    <s v="DE4-W_A"/>
    <x v="0"/>
    <x v="10"/>
    <x v="0"/>
    <x v="0"/>
  </r>
  <r>
    <x v="0"/>
    <x v="0"/>
    <x v="1"/>
    <x v="1"/>
    <x v="5"/>
    <s v="DE4-W_A"/>
    <x v="0"/>
    <x v="11"/>
    <x v="0"/>
    <x v="0"/>
  </r>
  <r>
    <x v="0"/>
    <x v="0"/>
    <x v="1"/>
    <x v="1"/>
    <x v="5"/>
    <s v="DE4-W_A"/>
    <x v="0"/>
    <x v="12"/>
    <x v="0"/>
    <x v="0"/>
  </r>
  <r>
    <x v="0"/>
    <x v="0"/>
    <x v="1"/>
    <x v="1"/>
    <x v="5"/>
    <s v="DE4-W_A"/>
    <x v="0"/>
    <x v="13"/>
    <x v="0"/>
    <x v="0"/>
  </r>
  <r>
    <x v="0"/>
    <x v="0"/>
    <x v="1"/>
    <x v="1"/>
    <x v="5"/>
    <s v="DE4-W_A"/>
    <x v="0"/>
    <x v="14"/>
    <x v="0"/>
    <x v="0"/>
  </r>
  <r>
    <x v="0"/>
    <x v="0"/>
    <x v="1"/>
    <x v="1"/>
    <x v="5"/>
    <s v="DE4-W_A"/>
    <x v="0"/>
    <x v="15"/>
    <x v="0"/>
    <x v="0"/>
  </r>
  <r>
    <x v="0"/>
    <x v="0"/>
    <x v="1"/>
    <x v="1"/>
    <x v="5"/>
    <s v="DE4-W_A"/>
    <x v="0"/>
    <x v="16"/>
    <x v="0"/>
    <x v="0"/>
  </r>
  <r>
    <x v="0"/>
    <x v="0"/>
    <x v="1"/>
    <x v="1"/>
    <x v="5"/>
    <s v="DE4-W_A"/>
    <x v="0"/>
    <x v="17"/>
    <x v="0"/>
    <x v="0"/>
  </r>
  <r>
    <x v="0"/>
    <x v="0"/>
    <x v="1"/>
    <x v="1"/>
    <x v="5"/>
    <s v="DE4-W_A"/>
    <x v="0"/>
    <x v="18"/>
    <x v="0"/>
    <x v="0"/>
  </r>
  <r>
    <x v="0"/>
    <x v="0"/>
    <x v="1"/>
    <x v="1"/>
    <x v="5"/>
    <s v="DE4-W_A"/>
    <x v="0"/>
    <x v="19"/>
    <x v="0"/>
    <x v="0"/>
  </r>
  <r>
    <x v="0"/>
    <x v="0"/>
    <x v="1"/>
    <x v="1"/>
    <x v="5"/>
    <s v="DE4-W_A"/>
    <x v="0"/>
    <x v="20"/>
    <x v="0"/>
    <x v="0"/>
  </r>
  <r>
    <x v="0"/>
    <x v="0"/>
    <x v="1"/>
    <x v="1"/>
    <x v="5"/>
    <s v="DE4-W_A"/>
    <x v="0"/>
    <x v="21"/>
    <x v="0"/>
    <x v="0"/>
  </r>
  <r>
    <x v="0"/>
    <x v="0"/>
    <x v="1"/>
    <x v="1"/>
    <x v="5"/>
    <s v="DE4-W_A"/>
    <x v="0"/>
    <x v="22"/>
    <x v="0"/>
    <x v="0"/>
  </r>
  <r>
    <x v="0"/>
    <x v="0"/>
    <x v="1"/>
    <x v="1"/>
    <x v="5"/>
    <s v="DE4-W_A"/>
    <x v="0"/>
    <x v="23"/>
    <x v="0"/>
    <x v="0"/>
  </r>
  <r>
    <x v="0"/>
    <x v="0"/>
    <x v="1"/>
    <x v="2"/>
    <x v="6"/>
    <s v="NO1_A1"/>
    <x v="0"/>
    <x v="0"/>
    <x v="0"/>
    <x v="0"/>
  </r>
  <r>
    <x v="0"/>
    <x v="0"/>
    <x v="1"/>
    <x v="2"/>
    <x v="6"/>
    <s v="NO1_A1"/>
    <x v="0"/>
    <x v="1"/>
    <x v="0"/>
    <x v="0"/>
  </r>
  <r>
    <x v="0"/>
    <x v="0"/>
    <x v="1"/>
    <x v="2"/>
    <x v="6"/>
    <s v="NO1_A1"/>
    <x v="0"/>
    <x v="2"/>
    <x v="0"/>
    <x v="0"/>
  </r>
  <r>
    <x v="0"/>
    <x v="0"/>
    <x v="1"/>
    <x v="2"/>
    <x v="6"/>
    <s v="NO1_A1"/>
    <x v="0"/>
    <x v="3"/>
    <x v="0"/>
    <x v="0"/>
  </r>
  <r>
    <x v="0"/>
    <x v="0"/>
    <x v="1"/>
    <x v="2"/>
    <x v="6"/>
    <s v="NO1_A1"/>
    <x v="0"/>
    <x v="4"/>
    <x v="0"/>
    <x v="0"/>
  </r>
  <r>
    <x v="0"/>
    <x v="0"/>
    <x v="1"/>
    <x v="2"/>
    <x v="6"/>
    <s v="NO1_A1"/>
    <x v="0"/>
    <x v="5"/>
    <x v="0"/>
    <x v="0"/>
  </r>
  <r>
    <x v="0"/>
    <x v="0"/>
    <x v="1"/>
    <x v="2"/>
    <x v="6"/>
    <s v="NO1_A1"/>
    <x v="0"/>
    <x v="6"/>
    <x v="0"/>
    <x v="0"/>
  </r>
  <r>
    <x v="0"/>
    <x v="0"/>
    <x v="1"/>
    <x v="2"/>
    <x v="6"/>
    <s v="NO1_A1"/>
    <x v="0"/>
    <x v="7"/>
    <x v="0"/>
    <x v="0"/>
  </r>
  <r>
    <x v="0"/>
    <x v="0"/>
    <x v="1"/>
    <x v="2"/>
    <x v="6"/>
    <s v="NO1_A1"/>
    <x v="0"/>
    <x v="8"/>
    <x v="0"/>
    <x v="0"/>
  </r>
  <r>
    <x v="0"/>
    <x v="0"/>
    <x v="1"/>
    <x v="2"/>
    <x v="6"/>
    <s v="NO1_A1"/>
    <x v="0"/>
    <x v="9"/>
    <x v="0"/>
    <x v="0"/>
  </r>
  <r>
    <x v="0"/>
    <x v="0"/>
    <x v="1"/>
    <x v="2"/>
    <x v="6"/>
    <s v="NO1_A1"/>
    <x v="0"/>
    <x v="10"/>
    <x v="0"/>
    <x v="0"/>
  </r>
  <r>
    <x v="0"/>
    <x v="0"/>
    <x v="1"/>
    <x v="2"/>
    <x v="6"/>
    <s v="NO1_A1"/>
    <x v="0"/>
    <x v="11"/>
    <x v="0"/>
    <x v="0"/>
  </r>
  <r>
    <x v="0"/>
    <x v="0"/>
    <x v="1"/>
    <x v="2"/>
    <x v="6"/>
    <s v="NO1_A1"/>
    <x v="0"/>
    <x v="12"/>
    <x v="0"/>
    <x v="0"/>
  </r>
  <r>
    <x v="0"/>
    <x v="0"/>
    <x v="1"/>
    <x v="2"/>
    <x v="6"/>
    <s v="NO1_A1"/>
    <x v="0"/>
    <x v="13"/>
    <x v="0"/>
    <x v="0"/>
  </r>
  <r>
    <x v="0"/>
    <x v="0"/>
    <x v="1"/>
    <x v="2"/>
    <x v="6"/>
    <s v="NO1_A1"/>
    <x v="0"/>
    <x v="14"/>
    <x v="0"/>
    <x v="0"/>
  </r>
  <r>
    <x v="0"/>
    <x v="0"/>
    <x v="1"/>
    <x v="2"/>
    <x v="6"/>
    <s v="NO1_A1"/>
    <x v="0"/>
    <x v="15"/>
    <x v="0"/>
    <x v="0"/>
  </r>
  <r>
    <x v="0"/>
    <x v="0"/>
    <x v="1"/>
    <x v="2"/>
    <x v="6"/>
    <s v="NO1_A1"/>
    <x v="0"/>
    <x v="16"/>
    <x v="0"/>
    <x v="0"/>
  </r>
  <r>
    <x v="0"/>
    <x v="0"/>
    <x v="1"/>
    <x v="2"/>
    <x v="6"/>
    <s v="NO1_A1"/>
    <x v="0"/>
    <x v="17"/>
    <x v="0"/>
    <x v="0"/>
  </r>
  <r>
    <x v="0"/>
    <x v="0"/>
    <x v="1"/>
    <x v="2"/>
    <x v="6"/>
    <s v="NO1_A1"/>
    <x v="0"/>
    <x v="18"/>
    <x v="0"/>
    <x v="0"/>
  </r>
  <r>
    <x v="0"/>
    <x v="0"/>
    <x v="1"/>
    <x v="2"/>
    <x v="6"/>
    <s v="NO1_A1"/>
    <x v="0"/>
    <x v="19"/>
    <x v="0"/>
    <x v="0"/>
  </r>
  <r>
    <x v="0"/>
    <x v="0"/>
    <x v="1"/>
    <x v="2"/>
    <x v="6"/>
    <s v="NO1_A1"/>
    <x v="0"/>
    <x v="20"/>
    <x v="0"/>
    <x v="0"/>
  </r>
  <r>
    <x v="0"/>
    <x v="0"/>
    <x v="1"/>
    <x v="2"/>
    <x v="6"/>
    <s v="NO1_A1"/>
    <x v="0"/>
    <x v="21"/>
    <x v="0"/>
    <x v="0"/>
  </r>
  <r>
    <x v="0"/>
    <x v="0"/>
    <x v="1"/>
    <x v="2"/>
    <x v="6"/>
    <s v="NO1_A1"/>
    <x v="0"/>
    <x v="22"/>
    <x v="0"/>
    <x v="0"/>
  </r>
  <r>
    <x v="0"/>
    <x v="0"/>
    <x v="1"/>
    <x v="2"/>
    <x v="6"/>
    <s v="NO1_A1"/>
    <x v="0"/>
    <x v="23"/>
    <x v="0"/>
    <x v="0"/>
  </r>
  <r>
    <x v="0"/>
    <x v="0"/>
    <x v="1"/>
    <x v="2"/>
    <x v="6"/>
    <s v="NO1_A2"/>
    <x v="0"/>
    <x v="0"/>
    <x v="0"/>
    <x v="0"/>
  </r>
  <r>
    <x v="0"/>
    <x v="0"/>
    <x v="1"/>
    <x v="2"/>
    <x v="6"/>
    <s v="NO1_A2"/>
    <x v="0"/>
    <x v="1"/>
    <x v="0"/>
    <x v="0"/>
  </r>
  <r>
    <x v="0"/>
    <x v="0"/>
    <x v="1"/>
    <x v="2"/>
    <x v="6"/>
    <s v="NO1_A2"/>
    <x v="0"/>
    <x v="2"/>
    <x v="0"/>
    <x v="0"/>
  </r>
  <r>
    <x v="0"/>
    <x v="0"/>
    <x v="1"/>
    <x v="2"/>
    <x v="6"/>
    <s v="NO1_A2"/>
    <x v="0"/>
    <x v="3"/>
    <x v="0"/>
    <x v="0"/>
  </r>
  <r>
    <x v="0"/>
    <x v="0"/>
    <x v="1"/>
    <x v="2"/>
    <x v="6"/>
    <s v="NO1_A2"/>
    <x v="0"/>
    <x v="4"/>
    <x v="0"/>
    <x v="0"/>
  </r>
  <r>
    <x v="0"/>
    <x v="0"/>
    <x v="1"/>
    <x v="2"/>
    <x v="6"/>
    <s v="NO1_A2"/>
    <x v="0"/>
    <x v="5"/>
    <x v="0"/>
    <x v="0"/>
  </r>
  <r>
    <x v="0"/>
    <x v="0"/>
    <x v="1"/>
    <x v="2"/>
    <x v="6"/>
    <s v="NO1_A2"/>
    <x v="0"/>
    <x v="6"/>
    <x v="0"/>
    <x v="0"/>
  </r>
  <r>
    <x v="0"/>
    <x v="0"/>
    <x v="1"/>
    <x v="2"/>
    <x v="6"/>
    <s v="NO1_A2"/>
    <x v="0"/>
    <x v="7"/>
    <x v="0"/>
    <x v="0"/>
  </r>
  <r>
    <x v="0"/>
    <x v="0"/>
    <x v="1"/>
    <x v="2"/>
    <x v="6"/>
    <s v="NO1_A2"/>
    <x v="0"/>
    <x v="8"/>
    <x v="0"/>
    <x v="0"/>
  </r>
  <r>
    <x v="0"/>
    <x v="0"/>
    <x v="1"/>
    <x v="2"/>
    <x v="6"/>
    <s v="NO1_A2"/>
    <x v="0"/>
    <x v="9"/>
    <x v="0"/>
    <x v="0"/>
  </r>
  <r>
    <x v="0"/>
    <x v="0"/>
    <x v="1"/>
    <x v="2"/>
    <x v="6"/>
    <s v="NO1_A2"/>
    <x v="0"/>
    <x v="10"/>
    <x v="0"/>
    <x v="0"/>
  </r>
  <r>
    <x v="0"/>
    <x v="0"/>
    <x v="1"/>
    <x v="2"/>
    <x v="6"/>
    <s v="NO1_A2"/>
    <x v="0"/>
    <x v="11"/>
    <x v="0"/>
    <x v="0"/>
  </r>
  <r>
    <x v="0"/>
    <x v="0"/>
    <x v="1"/>
    <x v="2"/>
    <x v="6"/>
    <s v="NO1_A2"/>
    <x v="0"/>
    <x v="12"/>
    <x v="0"/>
    <x v="0"/>
  </r>
  <r>
    <x v="0"/>
    <x v="0"/>
    <x v="1"/>
    <x v="2"/>
    <x v="6"/>
    <s v="NO1_A2"/>
    <x v="0"/>
    <x v="13"/>
    <x v="0"/>
    <x v="0"/>
  </r>
  <r>
    <x v="0"/>
    <x v="0"/>
    <x v="1"/>
    <x v="2"/>
    <x v="6"/>
    <s v="NO1_A2"/>
    <x v="0"/>
    <x v="14"/>
    <x v="0"/>
    <x v="0"/>
  </r>
  <r>
    <x v="0"/>
    <x v="0"/>
    <x v="1"/>
    <x v="2"/>
    <x v="6"/>
    <s v="NO1_A2"/>
    <x v="0"/>
    <x v="15"/>
    <x v="0"/>
    <x v="0"/>
  </r>
  <r>
    <x v="0"/>
    <x v="0"/>
    <x v="1"/>
    <x v="2"/>
    <x v="6"/>
    <s v="NO1_A2"/>
    <x v="0"/>
    <x v="16"/>
    <x v="0"/>
    <x v="0"/>
  </r>
  <r>
    <x v="0"/>
    <x v="0"/>
    <x v="1"/>
    <x v="2"/>
    <x v="6"/>
    <s v="NO1_A2"/>
    <x v="0"/>
    <x v="17"/>
    <x v="0"/>
    <x v="0"/>
  </r>
  <r>
    <x v="0"/>
    <x v="0"/>
    <x v="1"/>
    <x v="2"/>
    <x v="6"/>
    <s v="NO1_A2"/>
    <x v="0"/>
    <x v="18"/>
    <x v="0"/>
    <x v="0"/>
  </r>
  <r>
    <x v="0"/>
    <x v="0"/>
    <x v="1"/>
    <x v="2"/>
    <x v="6"/>
    <s v="NO1_A2"/>
    <x v="0"/>
    <x v="19"/>
    <x v="0"/>
    <x v="0"/>
  </r>
  <r>
    <x v="0"/>
    <x v="0"/>
    <x v="1"/>
    <x v="2"/>
    <x v="6"/>
    <s v="NO1_A2"/>
    <x v="0"/>
    <x v="20"/>
    <x v="0"/>
    <x v="0"/>
  </r>
  <r>
    <x v="0"/>
    <x v="0"/>
    <x v="1"/>
    <x v="2"/>
    <x v="6"/>
    <s v="NO1_A2"/>
    <x v="0"/>
    <x v="21"/>
    <x v="0"/>
    <x v="0"/>
  </r>
  <r>
    <x v="0"/>
    <x v="0"/>
    <x v="1"/>
    <x v="2"/>
    <x v="6"/>
    <s v="NO1_A2"/>
    <x v="0"/>
    <x v="22"/>
    <x v="0"/>
    <x v="0"/>
  </r>
  <r>
    <x v="0"/>
    <x v="0"/>
    <x v="1"/>
    <x v="2"/>
    <x v="6"/>
    <s v="NO1_A2"/>
    <x v="0"/>
    <x v="23"/>
    <x v="0"/>
    <x v="0"/>
  </r>
  <r>
    <x v="0"/>
    <x v="0"/>
    <x v="1"/>
    <x v="2"/>
    <x v="7"/>
    <s v="NO2_A1"/>
    <x v="0"/>
    <x v="0"/>
    <x v="0"/>
    <x v="0"/>
  </r>
  <r>
    <x v="0"/>
    <x v="0"/>
    <x v="1"/>
    <x v="2"/>
    <x v="7"/>
    <s v="NO2_A1"/>
    <x v="0"/>
    <x v="1"/>
    <x v="0"/>
    <x v="0"/>
  </r>
  <r>
    <x v="0"/>
    <x v="0"/>
    <x v="1"/>
    <x v="2"/>
    <x v="7"/>
    <s v="NO2_A1"/>
    <x v="0"/>
    <x v="2"/>
    <x v="0"/>
    <x v="0"/>
  </r>
  <r>
    <x v="0"/>
    <x v="0"/>
    <x v="1"/>
    <x v="2"/>
    <x v="7"/>
    <s v="NO2_A1"/>
    <x v="0"/>
    <x v="3"/>
    <x v="0"/>
    <x v="0"/>
  </r>
  <r>
    <x v="0"/>
    <x v="0"/>
    <x v="1"/>
    <x v="2"/>
    <x v="7"/>
    <s v="NO2_A1"/>
    <x v="0"/>
    <x v="4"/>
    <x v="0"/>
    <x v="0"/>
  </r>
  <r>
    <x v="0"/>
    <x v="0"/>
    <x v="1"/>
    <x v="2"/>
    <x v="7"/>
    <s v="NO2_A1"/>
    <x v="0"/>
    <x v="5"/>
    <x v="0"/>
    <x v="0"/>
  </r>
  <r>
    <x v="0"/>
    <x v="0"/>
    <x v="1"/>
    <x v="2"/>
    <x v="7"/>
    <s v="NO2_A1"/>
    <x v="0"/>
    <x v="6"/>
    <x v="0"/>
    <x v="0"/>
  </r>
  <r>
    <x v="0"/>
    <x v="0"/>
    <x v="1"/>
    <x v="2"/>
    <x v="7"/>
    <s v="NO2_A1"/>
    <x v="0"/>
    <x v="7"/>
    <x v="0"/>
    <x v="0"/>
  </r>
  <r>
    <x v="0"/>
    <x v="0"/>
    <x v="1"/>
    <x v="2"/>
    <x v="7"/>
    <s v="NO2_A1"/>
    <x v="0"/>
    <x v="8"/>
    <x v="0"/>
    <x v="0"/>
  </r>
  <r>
    <x v="0"/>
    <x v="0"/>
    <x v="1"/>
    <x v="2"/>
    <x v="7"/>
    <s v="NO2_A1"/>
    <x v="0"/>
    <x v="9"/>
    <x v="0"/>
    <x v="0"/>
  </r>
  <r>
    <x v="0"/>
    <x v="0"/>
    <x v="1"/>
    <x v="2"/>
    <x v="7"/>
    <s v="NO2_A1"/>
    <x v="0"/>
    <x v="10"/>
    <x v="0"/>
    <x v="0"/>
  </r>
  <r>
    <x v="0"/>
    <x v="0"/>
    <x v="1"/>
    <x v="2"/>
    <x v="7"/>
    <s v="NO2_A1"/>
    <x v="0"/>
    <x v="11"/>
    <x v="0"/>
    <x v="0"/>
  </r>
  <r>
    <x v="0"/>
    <x v="0"/>
    <x v="1"/>
    <x v="2"/>
    <x v="7"/>
    <s v="NO2_A1"/>
    <x v="0"/>
    <x v="12"/>
    <x v="0"/>
    <x v="0"/>
  </r>
  <r>
    <x v="0"/>
    <x v="0"/>
    <x v="1"/>
    <x v="2"/>
    <x v="7"/>
    <s v="NO2_A1"/>
    <x v="0"/>
    <x v="13"/>
    <x v="0"/>
    <x v="0"/>
  </r>
  <r>
    <x v="0"/>
    <x v="0"/>
    <x v="1"/>
    <x v="2"/>
    <x v="7"/>
    <s v="NO2_A1"/>
    <x v="0"/>
    <x v="14"/>
    <x v="0"/>
    <x v="0"/>
  </r>
  <r>
    <x v="0"/>
    <x v="0"/>
    <x v="1"/>
    <x v="2"/>
    <x v="7"/>
    <s v="NO2_A1"/>
    <x v="0"/>
    <x v="15"/>
    <x v="0"/>
    <x v="0"/>
  </r>
  <r>
    <x v="0"/>
    <x v="0"/>
    <x v="1"/>
    <x v="2"/>
    <x v="7"/>
    <s v="NO2_A1"/>
    <x v="0"/>
    <x v="16"/>
    <x v="0"/>
    <x v="0"/>
  </r>
  <r>
    <x v="0"/>
    <x v="0"/>
    <x v="1"/>
    <x v="2"/>
    <x v="7"/>
    <s v="NO2_A1"/>
    <x v="0"/>
    <x v="17"/>
    <x v="0"/>
    <x v="0"/>
  </r>
  <r>
    <x v="0"/>
    <x v="0"/>
    <x v="1"/>
    <x v="2"/>
    <x v="7"/>
    <s v="NO2_A1"/>
    <x v="0"/>
    <x v="18"/>
    <x v="0"/>
    <x v="0"/>
  </r>
  <r>
    <x v="0"/>
    <x v="0"/>
    <x v="1"/>
    <x v="2"/>
    <x v="7"/>
    <s v="NO2_A1"/>
    <x v="0"/>
    <x v="19"/>
    <x v="0"/>
    <x v="0"/>
  </r>
  <r>
    <x v="0"/>
    <x v="0"/>
    <x v="1"/>
    <x v="2"/>
    <x v="7"/>
    <s v="NO2_A1"/>
    <x v="0"/>
    <x v="20"/>
    <x v="0"/>
    <x v="0"/>
  </r>
  <r>
    <x v="0"/>
    <x v="0"/>
    <x v="1"/>
    <x v="2"/>
    <x v="7"/>
    <s v="NO2_A1"/>
    <x v="0"/>
    <x v="21"/>
    <x v="0"/>
    <x v="0"/>
  </r>
  <r>
    <x v="0"/>
    <x v="0"/>
    <x v="1"/>
    <x v="2"/>
    <x v="7"/>
    <s v="NO2_A1"/>
    <x v="0"/>
    <x v="22"/>
    <x v="0"/>
    <x v="0"/>
  </r>
  <r>
    <x v="0"/>
    <x v="0"/>
    <x v="1"/>
    <x v="2"/>
    <x v="7"/>
    <s v="NO2_A1"/>
    <x v="0"/>
    <x v="23"/>
    <x v="0"/>
    <x v="0"/>
  </r>
  <r>
    <x v="0"/>
    <x v="0"/>
    <x v="1"/>
    <x v="2"/>
    <x v="8"/>
    <s v="NO3_A1"/>
    <x v="0"/>
    <x v="0"/>
    <x v="0"/>
    <x v="0"/>
  </r>
  <r>
    <x v="0"/>
    <x v="0"/>
    <x v="1"/>
    <x v="2"/>
    <x v="8"/>
    <s v="NO3_A1"/>
    <x v="0"/>
    <x v="1"/>
    <x v="0"/>
    <x v="0"/>
  </r>
  <r>
    <x v="0"/>
    <x v="0"/>
    <x v="1"/>
    <x v="2"/>
    <x v="8"/>
    <s v="NO3_A1"/>
    <x v="0"/>
    <x v="2"/>
    <x v="0"/>
    <x v="0"/>
  </r>
  <r>
    <x v="0"/>
    <x v="0"/>
    <x v="1"/>
    <x v="2"/>
    <x v="8"/>
    <s v="NO3_A1"/>
    <x v="0"/>
    <x v="3"/>
    <x v="0"/>
    <x v="0"/>
  </r>
  <r>
    <x v="0"/>
    <x v="0"/>
    <x v="1"/>
    <x v="2"/>
    <x v="8"/>
    <s v="NO3_A1"/>
    <x v="0"/>
    <x v="4"/>
    <x v="0"/>
    <x v="0"/>
  </r>
  <r>
    <x v="0"/>
    <x v="0"/>
    <x v="1"/>
    <x v="2"/>
    <x v="8"/>
    <s v="NO3_A1"/>
    <x v="0"/>
    <x v="5"/>
    <x v="0"/>
    <x v="0"/>
  </r>
  <r>
    <x v="0"/>
    <x v="0"/>
    <x v="1"/>
    <x v="2"/>
    <x v="8"/>
    <s v="NO3_A1"/>
    <x v="0"/>
    <x v="6"/>
    <x v="0"/>
    <x v="0"/>
  </r>
  <r>
    <x v="0"/>
    <x v="0"/>
    <x v="1"/>
    <x v="2"/>
    <x v="8"/>
    <s v="NO3_A1"/>
    <x v="0"/>
    <x v="7"/>
    <x v="0"/>
    <x v="0"/>
  </r>
  <r>
    <x v="0"/>
    <x v="0"/>
    <x v="1"/>
    <x v="2"/>
    <x v="8"/>
    <s v="NO3_A1"/>
    <x v="0"/>
    <x v="8"/>
    <x v="0"/>
    <x v="0"/>
  </r>
  <r>
    <x v="0"/>
    <x v="0"/>
    <x v="1"/>
    <x v="2"/>
    <x v="8"/>
    <s v="NO3_A1"/>
    <x v="0"/>
    <x v="9"/>
    <x v="0"/>
    <x v="0"/>
  </r>
  <r>
    <x v="0"/>
    <x v="0"/>
    <x v="1"/>
    <x v="2"/>
    <x v="8"/>
    <s v="NO3_A1"/>
    <x v="0"/>
    <x v="10"/>
    <x v="0"/>
    <x v="0"/>
  </r>
  <r>
    <x v="0"/>
    <x v="0"/>
    <x v="1"/>
    <x v="2"/>
    <x v="8"/>
    <s v="NO3_A1"/>
    <x v="0"/>
    <x v="11"/>
    <x v="0"/>
    <x v="0"/>
  </r>
  <r>
    <x v="0"/>
    <x v="0"/>
    <x v="1"/>
    <x v="2"/>
    <x v="8"/>
    <s v="NO3_A1"/>
    <x v="0"/>
    <x v="12"/>
    <x v="0"/>
    <x v="0"/>
  </r>
  <r>
    <x v="0"/>
    <x v="0"/>
    <x v="1"/>
    <x v="2"/>
    <x v="8"/>
    <s v="NO3_A1"/>
    <x v="0"/>
    <x v="13"/>
    <x v="0"/>
    <x v="0"/>
  </r>
  <r>
    <x v="0"/>
    <x v="0"/>
    <x v="1"/>
    <x v="2"/>
    <x v="8"/>
    <s v="NO3_A1"/>
    <x v="0"/>
    <x v="14"/>
    <x v="0"/>
    <x v="0"/>
  </r>
  <r>
    <x v="0"/>
    <x v="0"/>
    <x v="1"/>
    <x v="2"/>
    <x v="8"/>
    <s v="NO3_A1"/>
    <x v="0"/>
    <x v="15"/>
    <x v="0"/>
    <x v="0"/>
  </r>
  <r>
    <x v="0"/>
    <x v="0"/>
    <x v="1"/>
    <x v="2"/>
    <x v="8"/>
    <s v="NO3_A1"/>
    <x v="0"/>
    <x v="16"/>
    <x v="0"/>
    <x v="0"/>
  </r>
  <r>
    <x v="0"/>
    <x v="0"/>
    <x v="1"/>
    <x v="2"/>
    <x v="8"/>
    <s v="NO3_A1"/>
    <x v="0"/>
    <x v="17"/>
    <x v="0"/>
    <x v="0"/>
  </r>
  <r>
    <x v="0"/>
    <x v="0"/>
    <x v="1"/>
    <x v="2"/>
    <x v="8"/>
    <s v="NO3_A1"/>
    <x v="0"/>
    <x v="18"/>
    <x v="0"/>
    <x v="0"/>
  </r>
  <r>
    <x v="0"/>
    <x v="0"/>
    <x v="1"/>
    <x v="2"/>
    <x v="8"/>
    <s v="NO3_A1"/>
    <x v="0"/>
    <x v="19"/>
    <x v="0"/>
    <x v="0"/>
  </r>
  <r>
    <x v="0"/>
    <x v="0"/>
    <x v="1"/>
    <x v="2"/>
    <x v="8"/>
    <s v="NO3_A1"/>
    <x v="0"/>
    <x v="20"/>
    <x v="0"/>
    <x v="0"/>
  </r>
  <r>
    <x v="0"/>
    <x v="0"/>
    <x v="1"/>
    <x v="2"/>
    <x v="8"/>
    <s v="NO3_A1"/>
    <x v="0"/>
    <x v="21"/>
    <x v="0"/>
    <x v="0"/>
  </r>
  <r>
    <x v="0"/>
    <x v="0"/>
    <x v="1"/>
    <x v="2"/>
    <x v="8"/>
    <s v="NO3_A1"/>
    <x v="0"/>
    <x v="22"/>
    <x v="0"/>
    <x v="0"/>
  </r>
  <r>
    <x v="0"/>
    <x v="0"/>
    <x v="1"/>
    <x v="2"/>
    <x v="8"/>
    <s v="NO3_A1"/>
    <x v="0"/>
    <x v="23"/>
    <x v="0"/>
    <x v="0"/>
  </r>
  <r>
    <x v="0"/>
    <x v="0"/>
    <x v="1"/>
    <x v="2"/>
    <x v="8"/>
    <s v="NO3_A2"/>
    <x v="0"/>
    <x v="0"/>
    <x v="0"/>
    <x v="0"/>
  </r>
  <r>
    <x v="0"/>
    <x v="0"/>
    <x v="1"/>
    <x v="2"/>
    <x v="8"/>
    <s v="NO3_A2"/>
    <x v="0"/>
    <x v="1"/>
    <x v="0"/>
    <x v="0"/>
  </r>
  <r>
    <x v="0"/>
    <x v="0"/>
    <x v="1"/>
    <x v="2"/>
    <x v="8"/>
    <s v="NO3_A2"/>
    <x v="0"/>
    <x v="2"/>
    <x v="0"/>
    <x v="0"/>
  </r>
  <r>
    <x v="0"/>
    <x v="0"/>
    <x v="1"/>
    <x v="2"/>
    <x v="8"/>
    <s v="NO3_A2"/>
    <x v="0"/>
    <x v="3"/>
    <x v="0"/>
    <x v="0"/>
  </r>
  <r>
    <x v="0"/>
    <x v="0"/>
    <x v="1"/>
    <x v="2"/>
    <x v="8"/>
    <s v="NO3_A2"/>
    <x v="0"/>
    <x v="4"/>
    <x v="0"/>
    <x v="0"/>
  </r>
  <r>
    <x v="0"/>
    <x v="0"/>
    <x v="1"/>
    <x v="2"/>
    <x v="8"/>
    <s v="NO3_A2"/>
    <x v="0"/>
    <x v="5"/>
    <x v="0"/>
    <x v="0"/>
  </r>
  <r>
    <x v="0"/>
    <x v="0"/>
    <x v="1"/>
    <x v="2"/>
    <x v="8"/>
    <s v="NO3_A2"/>
    <x v="0"/>
    <x v="6"/>
    <x v="0"/>
    <x v="0"/>
  </r>
  <r>
    <x v="0"/>
    <x v="0"/>
    <x v="1"/>
    <x v="2"/>
    <x v="8"/>
    <s v="NO3_A2"/>
    <x v="0"/>
    <x v="7"/>
    <x v="0"/>
    <x v="0"/>
  </r>
  <r>
    <x v="0"/>
    <x v="0"/>
    <x v="1"/>
    <x v="2"/>
    <x v="8"/>
    <s v="NO3_A2"/>
    <x v="0"/>
    <x v="8"/>
    <x v="0"/>
    <x v="0"/>
  </r>
  <r>
    <x v="0"/>
    <x v="0"/>
    <x v="1"/>
    <x v="2"/>
    <x v="8"/>
    <s v="NO3_A2"/>
    <x v="0"/>
    <x v="9"/>
    <x v="0"/>
    <x v="0"/>
  </r>
  <r>
    <x v="0"/>
    <x v="0"/>
    <x v="1"/>
    <x v="2"/>
    <x v="8"/>
    <s v="NO3_A2"/>
    <x v="0"/>
    <x v="10"/>
    <x v="0"/>
    <x v="0"/>
  </r>
  <r>
    <x v="0"/>
    <x v="0"/>
    <x v="1"/>
    <x v="2"/>
    <x v="8"/>
    <s v="NO3_A2"/>
    <x v="0"/>
    <x v="11"/>
    <x v="0"/>
    <x v="0"/>
  </r>
  <r>
    <x v="0"/>
    <x v="0"/>
    <x v="1"/>
    <x v="2"/>
    <x v="8"/>
    <s v="NO3_A2"/>
    <x v="0"/>
    <x v="12"/>
    <x v="0"/>
    <x v="0"/>
  </r>
  <r>
    <x v="0"/>
    <x v="0"/>
    <x v="1"/>
    <x v="2"/>
    <x v="8"/>
    <s v="NO3_A2"/>
    <x v="0"/>
    <x v="13"/>
    <x v="0"/>
    <x v="0"/>
  </r>
  <r>
    <x v="0"/>
    <x v="0"/>
    <x v="1"/>
    <x v="2"/>
    <x v="8"/>
    <s v="NO3_A2"/>
    <x v="0"/>
    <x v="14"/>
    <x v="0"/>
    <x v="0"/>
  </r>
  <r>
    <x v="0"/>
    <x v="0"/>
    <x v="1"/>
    <x v="2"/>
    <x v="8"/>
    <s v="NO3_A2"/>
    <x v="0"/>
    <x v="15"/>
    <x v="0"/>
    <x v="0"/>
  </r>
  <r>
    <x v="0"/>
    <x v="0"/>
    <x v="1"/>
    <x v="2"/>
    <x v="8"/>
    <s v="NO3_A2"/>
    <x v="0"/>
    <x v="16"/>
    <x v="0"/>
    <x v="0"/>
  </r>
  <r>
    <x v="0"/>
    <x v="0"/>
    <x v="1"/>
    <x v="2"/>
    <x v="8"/>
    <s v="NO3_A2"/>
    <x v="0"/>
    <x v="17"/>
    <x v="0"/>
    <x v="0"/>
  </r>
  <r>
    <x v="0"/>
    <x v="0"/>
    <x v="1"/>
    <x v="2"/>
    <x v="8"/>
    <s v="NO3_A2"/>
    <x v="0"/>
    <x v="18"/>
    <x v="0"/>
    <x v="0"/>
  </r>
  <r>
    <x v="0"/>
    <x v="0"/>
    <x v="1"/>
    <x v="2"/>
    <x v="8"/>
    <s v="NO3_A2"/>
    <x v="0"/>
    <x v="19"/>
    <x v="0"/>
    <x v="0"/>
  </r>
  <r>
    <x v="0"/>
    <x v="0"/>
    <x v="1"/>
    <x v="2"/>
    <x v="8"/>
    <s v="NO3_A2"/>
    <x v="0"/>
    <x v="20"/>
    <x v="0"/>
    <x v="0"/>
  </r>
  <r>
    <x v="0"/>
    <x v="0"/>
    <x v="1"/>
    <x v="2"/>
    <x v="8"/>
    <s v="NO3_A2"/>
    <x v="0"/>
    <x v="21"/>
    <x v="0"/>
    <x v="0"/>
  </r>
  <r>
    <x v="0"/>
    <x v="0"/>
    <x v="1"/>
    <x v="2"/>
    <x v="8"/>
    <s v="NO3_A2"/>
    <x v="0"/>
    <x v="22"/>
    <x v="0"/>
    <x v="0"/>
  </r>
  <r>
    <x v="0"/>
    <x v="0"/>
    <x v="1"/>
    <x v="2"/>
    <x v="8"/>
    <s v="NO3_A2"/>
    <x v="0"/>
    <x v="23"/>
    <x v="0"/>
    <x v="0"/>
  </r>
  <r>
    <x v="0"/>
    <x v="0"/>
    <x v="1"/>
    <x v="2"/>
    <x v="9"/>
    <s v="NO4_A1"/>
    <x v="0"/>
    <x v="0"/>
    <x v="0"/>
    <x v="0"/>
  </r>
  <r>
    <x v="0"/>
    <x v="0"/>
    <x v="1"/>
    <x v="2"/>
    <x v="9"/>
    <s v="NO4_A1"/>
    <x v="0"/>
    <x v="1"/>
    <x v="0"/>
    <x v="0"/>
  </r>
  <r>
    <x v="0"/>
    <x v="0"/>
    <x v="1"/>
    <x v="2"/>
    <x v="9"/>
    <s v="NO4_A1"/>
    <x v="0"/>
    <x v="2"/>
    <x v="0"/>
    <x v="0"/>
  </r>
  <r>
    <x v="0"/>
    <x v="0"/>
    <x v="1"/>
    <x v="2"/>
    <x v="9"/>
    <s v="NO4_A1"/>
    <x v="0"/>
    <x v="3"/>
    <x v="0"/>
    <x v="0"/>
  </r>
  <r>
    <x v="0"/>
    <x v="0"/>
    <x v="1"/>
    <x v="2"/>
    <x v="9"/>
    <s v="NO4_A1"/>
    <x v="0"/>
    <x v="4"/>
    <x v="0"/>
    <x v="0"/>
  </r>
  <r>
    <x v="0"/>
    <x v="0"/>
    <x v="1"/>
    <x v="2"/>
    <x v="9"/>
    <s v="NO4_A1"/>
    <x v="0"/>
    <x v="5"/>
    <x v="0"/>
    <x v="0"/>
  </r>
  <r>
    <x v="0"/>
    <x v="0"/>
    <x v="1"/>
    <x v="2"/>
    <x v="9"/>
    <s v="NO4_A1"/>
    <x v="0"/>
    <x v="6"/>
    <x v="0"/>
    <x v="0"/>
  </r>
  <r>
    <x v="0"/>
    <x v="0"/>
    <x v="1"/>
    <x v="2"/>
    <x v="9"/>
    <s v="NO4_A1"/>
    <x v="0"/>
    <x v="7"/>
    <x v="0"/>
    <x v="0"/>
  </r>
  <r>
    <x v="0"/>
    <x v="0"/>
    <x v="1"/>
    <x v="2"/>
    <x v="9"/>
    <s v="NO4_A1"/>
    <x v="0"/>
    <x v="8"/>
    <x v="0"/>
    <x v="0"/>
  </r>
  <r>
    <x v="0"/>
    <x v="0"/>
    <x v="1"/>
    <x v="2"/>
    <x v="9"/>
    <s v="NO4_A1"/>
    <x v="0"/>
    <x v="9"/>
    <x v="0"/>
    <x v="0"/>
  </r>
  <r>
    <x v="0"/>
    <x v="0"/>
    <x v="1"/>
    <x v="2"/>
    <x v="9"/>
    <s v="NO4_A1"/>
    <x v="0"/>
    <x v="10"/>
    <x v="0"/>
    <x v="0"/>
  </r>
  <r>
    <x v="0"/>
    <x v="0"/>
    <x v="1"/>
    <x v="2"/>
    <x v="9"/>
    <s v="NO4_A1"/>
    <x v="0"/>
    <x v="11"/>
    <x v="0"/>
    <x v="0"/>
  </r>
  <r>
    <x v="0"/>
    <x v="0"/>
    <x v="1"/>
    <x v="2"/>
    <x v="9"/>
    <s v="NO4_A1"/>
    <x v="0"/>
    <x v="12"/>
    <x v="0"/>
    <x v="0"/>
  </r>
  <r>
    <x v="0"/>
    <x v="0"/>
    <x v="1"/>
    <x v="2"/>
    <x v="9"/>
    <s v="NO4_A1"/>
    <x v="0"/>
    <x v="13"/>
    <x v="0"/>
    <x v="0"/>
  </r>
  <r>
    <x v="0"/>
    <x v="0"/>
    <x v="1"/>
    <x v="2"/>
    <x v="9"/>
    <s v="NO4_A1"/>
    <x v="0"/>
    <x v="14"/>
    <x v="0"/>
    <x v="0"/>
  </r>
  <r>
    <x v="0"/>
    <x v="0"/>
    <x v="1"/>
    <x v="2"/>
    <x v="9"/>
    <s v="NO4_A1"/>
    <x v="0"/>
    <x v="15"/>
    <x v="0"/>
    <x v="0"/>
  </r>
  <r>
    <x v="0"/>
    <x v="0"/>
    <x v="1"/>
    <x v="2"/>
    <x v="9"/>
    <s v="NO4_A1"/>
    <x v="0"/>
    <x v="16"/>
    <x v="0"/>
    <x v="0"/>
  </r>
  <r>
    <x v="0"/>
    <x v="0"/>
    <x v="1"/>
    <x v="2"/>
    <x v="9"/>
    <s v="NO4_A1"/>
    <x v="0"/>
    <x v="17"/>
    <x v="0"/>
    <x v="0"/>
  </r>
  <r>
    <x v="0"/>
    <x v="0"/>
    <x v="1"/>
    <x v="2"/>
    <x v="9"/>
    <s v="NO4_A1"/>
    <x v="0"/>
    <x v="18"/>
    <x v="0"/>
    <x v="0"/>
  </r>
  <r>
    <x v="0"/>
    <x v="0"/>
    <x v="1"/>
    <x v="2"/>
    <x v="9"/>
    <s v="NO4_A1"/>
    <x v="0"/>
    <x v="19"/>
    <x v="0"/>
    <x v="0"/>
  </r>
  <r>
    <x v="0"/>
    <x v="0"/>
    <x v="1"/>
    <x v="2"/>
    <x v="9"/>
    <s v="NO4_A1"/>
    <x v="0"/>
    <x v="20"/>
    <x v="0"/>
    <x v="0"/>
  </r>
  <r>
    <x v="0"/>
    <x v="0"/>
    <x v="1"/>
    <x v="2"/>
    <x v="9"/>
    <s v="NO4_A1"/>
    <x v="0"/>
    <x v="21"/>
    <x v="0"/>
    <x v="0"/>
  </r>
  <r>
    <x v="0"/>
    <x v="0"/>
    <x v="1"/>
    <x v="2"/>
    <x v="9"/>
    <s v="NO4_A1"/>
    <x v="0"/>
    <x v="22"/>
    <x v="0"/>
    <x v="0"/>
  </r>
  <r>
    <x v="0"/>
    <x v="0"/>
    <x v="1"/>
    <x v="2"/>
    <x v="9"/>
    <s v="NO4_A1"/>
    <x v="0"/>
    <x v="23"/>
    <x v="0"/>
    <x v="0"/>
  </r>
  <r>
    <x v="0"/>
    <x v="0"/>
    <x v="1"/>
    <x v="2"/>
    <x v="10"/>
    <s v="NO5_A1"/>
    <x v="0"/>
    <x v="0"/>
    <x v="0"/>
    <x v="0"/>
  </r>
  <r>
    <x v="0"/>
    <x v="0"/>
    <x v="1"/>
    <x v="2"/>
    <x v="10"/>
    <s v="NO5_A1"/>
    <x v="0"/>
    <x v="1"/>
    <x v="0"/>
    <x v="0"/>
  </r>
  <r>
    <x v="0"/>
    <x v="0"/>
    <x v="1"/>
    <x v="2"/>
    <x v="10"/>
    <s v="NO5_A1"/>
    <x v="0"/>
    <x v="2"/>
    <x v="0"/>
    <x v="0"/>
  </r>
  <r>
    <x v="0"/>
    <x v="0"/>
    <x v="1"/>
    <x v="2"/>
    <x v="10"/>
    <s v="NO5_A1"/>
    <x v="0"/>
    <x v="3"/>
    <x v="0"/>
    <x v="0"/>
  </r>
  <r>
    <x v="0"/>
    <x v="0"/>
    <x v="1"/>
    <x v="2"/>
    <x v="10"/>
    <s v="NO5_A1"/>
    <x v="0"/>
    <x v="4"/>
    <x v="0"/>
    <x v="0"/>
  </r>
  <r>
    <x v="0"/>
    <x v="0"/>
    <x v="1"/>
    <x v="2"/>
    <x v="10"/>
    <s v="NO5_A1"/>
    <x v="0"/>
    <x v="5"/>
    <x v="0"/>
    <x v="0"/>
  </r>
  <r>
    <x v="0"/>
    <x v="0"/>
    <x v="1"/>
    <x v="2"/>
    <x v="10"/>
    <s v="NO5_A1"/>
    <x v="0"/>
    <x v="6"/>
    <x v="0"/>
    <x v="0"/>
  </r>
  <r>
    <x v="0"/>
    <x v="0"/>
    <x v="1"/>
    <x v="2"/>
    <x v="10"/>
    <s v="NO5_A1"/>
    <x v="0"/>
    <x v="7"/>
    <x v="0"/>
    <x v="0"/>
  </r>
  <r>
    <x v="0"/>
    <x v="0"/>
    <x v="1"/>
    <x v="2"/>
    <x v="10"/>
    <s v="NO5_A1"/>
    <x v="0"/>
    <x v="8"/>
    <x v="0"/>
    <x v="0"/>
  </r>
  <r>
    <x v="0"/>
    <x v="0"/>
    <x v="1"/>
    <x v="2"/>
    <x v="10"/>
    <s v="NO5_A1"/>
    <x v="0"/>
    <x v="9"/>
    <x v="0"/>
    <x v="0"/>
  </r>
  <r>
    <x v="0"/>
    <x v="0"/>
    <x v="1"/>
    <x v="2"/>
    <x v="10"/>
    <s v="NO5_A1"/>
    <x v="0"/>
    <x v="10"/>
    <x v="0"/>
    <x v="0"/>
  </r>
  <r>
    <x v="0"/>
    <x v="0"/>
    <x v="1"/>
    <x v="2"/>
    <x v="10"/>
    <s v="NO5_A1"/>
    <x v="0"/>
    <x v="11"/>
    <x v="0"/>
    <x v="0"/>
  </r>
  <r>
    <x v="0"/>
    <x v="0"/>
    <x v="1"/>
    <x v="2"/>
    <x v="10"/>
    <s v="NO5_A1"/>
    <x v="0"/>
    <x v="12"/>
    <x v="0"/>
    <x v="0"/>
  </r>
  <r>
    <x v="0"/>
    <x v="0"/>
    <x v="1"/>
    <x v="2"/>
    <x v="10"/>
    <s v="NO5_A1"/>
    <x v="0"/>
    <x v="13"/>
    <x v="0"/>
    <x v="0"/>
  </r>
  <r>
    <x v="0"/>
    <x v="0"/>
    <x v="1"/>
    <x v="2"/>
    <x v="10"/>
    <s v="NO5_A1"/>
    <x v="0"/>
    <x v="14"/>
    <x v="0"/>
    <x v="0"/>
  </r>
  <r>
    <x v="0"/>
    <x v="0"/>
    <x v="1"/>
    <x v="2"/>
    <x v="10"/>
    <s v="NO5_A1"/>
    <x v="0"/>
    <x v="15"/>
    <x v="0"/>
    <x v="0"/>
  </r>
  <r>
    <x v="0"/>
    <x v="0"/>
    <x v="1"/>
    <x v="2"/>
    <x v="10"/>
    <s v="NO5_A1"/>
    <x v="0"/>
    <x v="16"/>
    <x v="0"/>
    <x v="0"/>
  </r>
  <r>
    <x v="0"/>
    <x v="0"/>
    <x v="1"/>
    <x v="2"/>
    <x v="10"/>
    <s v="NO5_A1"/>
    <x v="0"/>
    <x v="17"/>
    <x v="0"/>
    <x v="0"/>
  </r>
  <r>
    <x v="0"/>
    <x v="0"/>
    <x v="1"/>
    <x v="2"/>
    <x v="10"/>
    <s v="NO5_A1"/>
    <x v="0"/>
    <x v="18"/>
    <x v="0"/>
    <x v="0"/>
  </r>
  <r>
    <x v="0"/>
    <x v="0"/>
    <x v="1"/>
    <x v="2"/>
    <x v="10"/>
    <s v="NO5_A1"/>
    <x v="0"/>
    <x v="19"/>
    <x v="0"/>
    <x v="0"/>
  </r>
  <r>
    <x v="0"/>
    <x v="0"/>
    <x v="1"/>
    <x v="2"/>
    <x v="10"/>
    <s v="NO5_A1"/>
    <x v="0"/>
    <x v="20"/>
    <x v="0"/>
    <x v="0"/>
  </r>
  <r>
    <x v="0"/>
    <x v="0"/>
    <x v="1"/>
    <x v="2"/>
    <x v="10"/>
    <s v="NO5_A1"/>
    <x v="0"/>
    <x v="21"/>
    <x v="0"/>
    <x v="0"/>
  </r>
  <r>
    <x v="0"/>
    <x v="0"/>
    <x v="1"/>
    <x v="2"/>
    <x v="10"/>
    <s v="NO5_A1"/>
    <x v="0"/>
    <x v="22"/>
    <x v="0"/>
    <x v="0"/>
  </r>
  <r>
    <x v="0"/>
    <x v="0"/>
    <x v="1"/>
    <x v="2"/>
    <x v="10"/>
    <s v="NO5_A1"/>
    <x v="0"/>
    <x v="23"/>
    <x v="0"/>
    <x v="0"/>
  </r>
  <r>
    <x v="0"/>
    <x v="0"/>
    <x v="1"/>
    <x v="3"/>
    <x v="11"/>
    <s v="SE1A"/>
    <x v="0"/>
    <x v="0"/>
    <x v="0"/>
    <x v="0"/>
  </r>
  <r>
    <x v="0"/>
    <x v="0"/>
    <x v="1"/>
    <x v="3"/>
    <x v="11"/>
    <s v="SE1A"/>
    <x v="0"/>
    <x v="1"/>
    <x v="0"/>
    <x v="0"/>
  </r>
  <r>
    <x v="0"/>
    <x v="0"/>
    <x v="1"/>
    <x v="3"/>
    <x v="11"/>
    <s v="SE1A"/>
    <x v="0"/>
    <x v="2"/>
    <x v="0"/>
    <x v="0"/>
  </r>
  <r>
    <x v="0"/>
    <x v="0"/>
    <x v="1"/>
    <x v="3"/>
    <x v="11"/>
    <s v="SE1A"/>
    <x v="0"/>
    <x v="3"/>
    <x v="0"/>
    <x v="0"/>
  </r>
  <r>
    <x v="0"/>
    <x v="0"/>
    <x v="1"/>
    <x v="3"/>
    <x v="11"/>
    <s v="SE1A"/>
    <x v="0"/>
    <x v="4"/>
    <x v="0"/>
    <x v="0"/>
  </r>
  <r>
    <x v="0"/>
    <x v="0"/>
    <x v="1"/>
    <x v="3"/>
    <x v="11"/>
    <s v="SE1A"/>
    <x v="0"/>
    <x v="5"/>
    <x v="0"/>
    <x v="0"/>
  </r>
  <r>
    <x v="0"/>
    <x v="0"/>
    <x v="1"/>
    <x v="3"/>
    <x v="11"/>
    <s v="SE1A"/>
    <x v="0"/>
    <x v="6"/>
    <x v="0"/>
    <x v="0"/>
  </r>
  <r>
    <x v="0"/>
    <x v="0"/>
    <x v="1"/>
    <x v="3"/>
    <x v="11"/>
    <s v="SE1A"/>
    <x v="0"/>
    <x v="7"/>
    <x v="0"/>
    <x v="0"/>
  </r>
  <r>
    <x v="0"/>
    <x v="0"/>
    <x v="1"/>
    <x v="3"/>
    <x v="11"/>
    <s v="SE1A"/>
    <x v="0"/>
    <x v="8"/>
    <x v="0"/>
    <x v="0"/>
  </r>
  <r>
    <x v="0"/>
    <x v="0"/>
    <x v="1"/>
    <x v="3"/>
    <x v="11"/>
    <s v="SE1A"/>
    <x v="0"/>
    <x v="9"/>
    <x v="0"/>
    <x v="0"/>
  </r>
  <r>
    <x v="0"/>
    <x v="0"/>
    <x v="1"/>
    <x v="3"/>
    <x v="11"/>
    <s v="SE1A"/>
    <x v="0"/>
    <x v="10"/>
    <x v="0"/>
    <x v="0"/>
  </r>
  <r>
    <x v="0"/>
    <x v="0"/>
    <x v="1"/>
    <x v="3"/>
    <x v="11"/>
    <s v="SE1A"/>
    <x v="0"/>
    <x v="11"/>
    <x v="0"/>
    <x v="0"/>
  </r>
  <r>
    <x v="0"/>
    <x v="0"/>
    <x v="1"/>
    <x v="3"/>
    <x v="11"/>
    <s v="SE1A"/>
    <x v="0"/>
    <x v="12"/>
    <x v="0"/>
    <x v="0"/>
  </r>
  <r>
    <x v="0"/>
    <x v="0"/>
    <x v="1"/>
    <x v="3"/>
    <x v="11"/>
    <s v="SE1A"/>
    <x v="0"/>
    <x v="13"/>
    <x v="0"/>
    <x v="0"/>
  </r>
  <r>
    <x v="0"/>
    <x v="0"/>
    <x v="1"/>
    <x v="3"/>
    <x v="11"/>
    <s v="SE1A"/>
    <x v="0"/>
    <x v="14"/>
    <x v="0"/>
    <x v="0"/>
  </r>
  <r>
    <x v="0"/>
    <x v="0"/>
    <x v="1"/>
    <x v="3"/>
    <x v="11"/>
    <s v="SE1A"/>
    <x v="0"/>
    <x v="15"/>
    <x v="0"/>
    <x v="0"/>
  </r>
  <r>
    <x v="0"/>
    <x v="0"/>
    <x v="1"/>
    <x v="3"/>
    <x v="11"/>
    <s v="SE1A"/>
    <x v="0"/>
    <x v="16"/>
    <x v="0"/>
    <x v="0"/>
  </r>
  <r>
    <x v="0"/>
    <x v="0"/>
    <x v="1"/>
    <x v="3"/>
    <x v="11"/>
    <s v="SE1A"/>
    <x v="0"/>
    <x v="17"/>
    <x v="0"/>
    <x v="0"/>
  </r>
  <r>
    <x v="0"/>
    <x v="0"/>
    <x v="1"/>
    <x v="3"/>
    <x v="11"/>
    <s v="SE1A"/>
    <x v="0"/>
    <x v="18"/>
    <x v="0"/>
    <x v="0"/>
  </r>
  <r>
    <x v="0"/>
    <x v="0"/>
    <x v="1"/>
    <x v="3"/>
    <x v="11"/>
    <s v="SE1A"/>
    <x v="0"/>
    <x v="19"/>
    <x v="0"/>
    <x v="0"/>
  </r>
  <r>
    <x v="0"/>
    <x v="0"/>
    <x v="1"/>
    <x v="3"/>
    <x v="11"/>
    <s v="SE1A"/>
    <x v="0"/>
    <x v="20"/>
    <x v="0"/>
    <x v="0"/>
  </r>
  <r>
    <x v="0"/>
    <x v="0"/>
    <x v="1"/>
    <x v="3"/>
    <x v="11"/>
    <s v="SE1A"/>
    <x v="0"/>
    <x v="21"/>
    <x v="0"/>
    <x v="0"/>
  </r>
  <r>
    <x v="0"/>
    <x v="0"/>
    <x v="1"/>
    <x v="3"/>
    <x v="11"/>
    <s v="SE1A"/>
    <x v="0"/>
    <x v="22"/>
    <x v="0"/>
    <x v="0"/>
  </r>
  <r>
    <x v="0"/>
    <x v="0"/>
    <x v="1"/>
    <x v="3"/>
    <x v="11"/>
    <s v="SE1A"/>
    <x v="0"/>
    <x v="23"/>
    <x v="0"/>
    <x v="0"/>
  </r>
  <r>
    <x v="0"/>
    <x v="0"/>
    <x v="1"/>
    <x v="3"/>
    <x v="11"/>
    <s v="SE1_EL"/>
    <x v="0"/>
    <x v="0"/>
    <x v="0"/>
    <x v="0"/>
  </r>
  <r>
    <x v="0"/>
    <x v="0"/>
    <x v="1"/>
    <x v="3"/>
    <x v="11"/>
    <s v="SE1_EL"/>
    <x v="0"/>
    <x v="1"/>
    <x v="0"/>
    <x v="0"/>
  </r>
  <r>
    <x v="0"/>
    <x v="0"/>
    <x v="1"/>
    <x v="3"/>
    <x v="11"/>
    <s v="SE1_EL"/>
    <x v="0"/>
    <x v="2"/>
    <x v="0"/>
    <x v="0"/>
  </r>
  <r>
    <x v="0"/>
    <x v="0"/>
    <x v="1"/>
    <x v="3"/>
    <x v="11"/>
    <s v="SE1_EL"/>
    <x v="0"/>
    <x v="3"/>
    <x v="0"/>
    <x v="0"/>
  </r>
  <r>
    <x v="0"/>
    <x v="0"/>
    <x v="1"/>
    <x v="3"/>
    <x v="11"/>
    <s v="SE1_EL"/>
    <x v="0"/>
    <x v="4"/>
    <x v="0"/>
    <x v="0"/>
  </r>
  <r>
    <x v="0"/>
    <x v="0"/>
    <x v="1"/>
    <x v="3"/>
    <x v="11"/>
    <s v="SE1_EL"/>
    <x v="0"/>
    <x v="5"/>
    <x v="0"/>
    <x v="0"/>
  </r>
  <r>
    <x v="0"/>
    <x v="0"/>
    <x v="1"/>
    <x v="3"/>
    <x v="11"/>
    <s v="SE1_EL"/>
    <x v="0"/>
    <x v="6"/>
    <x v="0"/>
    <x v="0"/>
  </r>
  <r>
    <x v="0"/>
    <x v="0"/>
    <x v="1"/>
    <x v="3"/>
    <x v="11"/>
    <s v="SE1_EL"/>
    <x v="0"/>
    <x v="7"/>
    <x v="0"/>
    <x v="0"/>
  </r>
  <r>
    <x v="0"/>
    <x v="0"/>
    <x v="1"/>
    <x v="3"/>
    <x v="11"/>
    <s v="SE1_EL"/>
    <x v="0"/>
    <x v="8"/>
    <x v="0"/>
    <x v="0"/>
  </r>
  <r>
    <x v="0"/>
    <x v="0"/>
    <x v="1"/>
    <x v="3"/>
    <x v="11"/>
    <s v="SE1_EL"/>
    <x v="0"/>
    <x v="9"/>
    <x v="0"/>
    <x v="0"/>
  </r>
  <r>
    <x v="0"/>
    <x v="0"/>
    <x v="1"/>
    <x v="3"/>
    <x v="11"/>
    <s v="SE1_EL"/>
    <x v="0"/>
    <x v="10"/>
    <x v="0"/>
    <x v="0"/>
  </r>
  <r>
    <x v="0"/>
    <x v="0"/>
    <x v="1"/>
    <x v="3"/>
    <x v="11"/>
    <s v="SE1_EL"/>
    <x v="0"/>
    <x v="11"/>
    <x v="0"/>
    <x v="0"/>
  </r>
  <r>
    <x v="0"/>
    <x v="0"/>
    <x v="1"/>
    <x v="3"/>
    <x v="11"/>
    <s v="SE1_EL"/>
    <x v="0"/>
    <x v="12"/>
    <x v="0"/>
    <x v="0"/>
  </r>
  <r>
    <x v="0"/>
    <x v="0"/>
    <x v="1"/>
    <x v="3"/>
    <x v="11"/>
    <s v="SE1_EL"/>
    <x v="0"/>
    <x v="13"/>
    <x v="0"/>
    <x v="0"/>
  </r>
  <r>
    <x v="0"/>
    <x v="0"/>
    <x v="1"/>
    <x v="3"/>
    <x v="11"/>
    <s v="SE1_EL"/>
    <x v="0"/>
    <x v="14"/>
    <x v="0"/>
    <x v="0"/>
  </r>
  <r>
    <x v="0"/>
    <x v="0"/>
    <x v="1"/>
    <x v="3"/>
    <x v="11"/>
    <s v="SE1_EL"/>
    <x v="0"/>
    <x v="15"/>
    <x v="0"/>
    <x v="0"/>
  </r>
  <r>
    <x v="0"/>
    <x v="0"/>
    <x v="1"/>
    <x v="3"/>
    <x v="11"/>
    <s v="SE1_EL"/>
    <x v="0"/>
    <x v="16"/>
    <x v="0"/>
    <x v="0"/>
  </r>
  <r>
    <x v="0"/>
    <x v="0"/>
    <x v="1"/>
    <x v="3"/>
    <x v="11"/>
    <s v="SE1_EL"/>
    <x v="0"/>
    <x v="17"/>
    <x v="0"/>
    <x v="0"/>
  </r>
  <r>
    <x v="0"/>
    <x v="0"/>
    <x v="1"/>
    <x v="3"/>
    <x v="11"/>
    <s v="SE1_EL"/>
    <x v="0"/>
    <x v="18"/>
    <x v="0"/>
    <x v="0"/>
  </r>
  <r>
    <x v="0"/>
    <x v="0"/>
    <x v="1"/>
    <x v="3"/>
    <x v="11"/>
    <s v="SE1_EL"/>
    <x v="0"/>
    <x v="19"/>
    <x v="0"/>
    <x v="0"/>
  </r>
  <r>
    <x v="0"/>
    <x v="0"/>
    <x v="1"/>
    <x v="3"/>
    <x v="11"/>
    <s v="SE1_EL"/>
    <x v="0"/>
    <x v="20"/>
    <x v="0"/>
    <x v="0"/>
  </r>
  <r>
    <x v="0"/>
    <x v="0"/>
    <x v="1"/>
    <x v="3"/>
    <x v="11"/>
    <s v="SE1_EL"/>
    <x v="0"/>
    <x v="21"/>
    <x v="0"/>
    <x v="0"/>
  </r>
  <r>
    <x v="0"/>
    <x v="0"/>
    <x v="1"/>
    <x v="3"/>
    <x v="11"/>
    <s v="SE1_EL"/>
    <x v="0"/>
    <x v="22"/>
    <x v="0"/>
    <x v="0"/>
  </r>
  <r>
    <x v="0"/>
    <x v="0"/>
    <x v="1"/>
    <x v="3"/>
    <x v="11"/>
    <s v="SE1_EL"/>
    <x v="0"/>
    <x v="23"/>
    <x v="0"/>
    <x v="0"/>
  </r>
  <r>
    <x v="0"/>
    <x v="0"/>
    <x v="1"/>
    <x v="3"/>
    <x v="11"/>
    <s v="SE1_OTHER"/>
    <x v="0"/>
    <x v="0"/>
    <x v="0"/>
    <x v="0"/>
  </r>
  <r>
    <x v="0"/>
    <x v="0"/>
    <x v="1"/>
    <x v="3"/>
    <x v="11"/>
    <s v="SE1_OTHER"/>
    <x v="0"/>
    <x v="1"/>
    <x v="0"/>
    <x v="0"/>
  </r>
  <r>
    <x v="0"/>
    <x v="0"/>
    <x v="1"/>
    <x v="3"/>
    <x v="11"/>
    <s v="SE1_OTHER"/>
    <x v="0"/>
    <x v="2"/>
    <x v="0"/>
    <x v="0"/>
  </r>
  <r>
    <x v="0"/>
    <x v="0"/>
    <x v="1"/>
    <x v="3"/>
    <x v="11"/>
    <s v="SE1_OTHER"/>
    <x v="0"/>
    <x v="3"/>
    <x v="0"/>
    <x v="0"/>
  </r>
  <r>
    <x v="0"/>
    <x v="0"/>
    <x v="1"/>
    <x v="3"/>
    <x v="11"/>
    <s v="SE1_OTHER"/>
    <x v="0"/>
    <x v="4"/>
    <x v="0"/>
    <x v="0"/>
  </r>
  <r>
    <x v="0"/>
    <x v="0"/>
    <x v="1"/>
    <x v="3"/>
    <x v="11"/>
    <s v="SE1_OTHER"/>
    <x v="0"/>
    <x v="5"/>
    <x v="0"/>
    <x v="0"/>
  </r>
  <r>
    <x v="0"/>
    <x v="0"/>
    <x v="1"/>
    <x v="3"/>
    <x v="11"/>
    <s v="SE1_OTHER"/>
    <x v="0"/>
    <x v="6"/>
    <x v="0"/>
    <x v="0"/>
  </r>
  <r>
    <x v="0"/>
    <x v="0"/>
    <x v="1"/>
    <x v="3"/>
    <x v="11"/>
    <s v="SE1_OTHER"/>
    <x v="0"/>
    <x v="7"/>
    <x v="0"/>
    <x v="0"/>
  </r>
  <r>
    <x v="0"/>
    <x v="0"/>
    <x v="1"/>
    <x v="3"/>
    <x v="11"/>
    <s v="SE1_OTHER"/>
    <x v="0"/>
    <x v="8"/>
    <x v="0"/>
    <x v="0"/>
  </r>
  <r>
    <x v="0"/>
    <x v="0"/>
    <x v="1"/>
    <x v="3"/>
    <x v="11"/>
    <s v="SE1_OTHER"/>
    <x v="0"/>
    <x v="9"/>
    <x v="0"/>
    <x v="0"/>
  </r>
  <r>
    <x v="0"/>
    <x v="0"/>
    <x v="1"/>
    <x v="3"/>
    <x v="11"/>
    <s v="SE1_OTHER"/>
    <x v="0"/>
    <x v="10"/>
    <x v="0"/>
    <x v="0"/>
  </r>
  <r>
    <x v="0"/>
    <x v="0"/>
    <x v="1"/>
    <x v="3"/>
    <x v="11"/>
    <s v="SE1_OTHER"/>
    <x v="0"/>
    <x v="11"/>
    <x v="0"/>
    <x v="0"/>
  </r>
  <r>
    <x v="0"/>
    <x v="0"/>
    <x v="1"/>
    <x v="3"/>
    <x v="11"/>
    <s v="SE1_OTHER"/>
    <x v="0"/>
    <x v="12"/>
    <x v="0"/>
    <x v="0"/>
  </r>
  <r>
    <x v="0"/>
    <x v="0"/>
    <x v="1"/>
    <x v="3"/>
    <x v="11"/>
    <s v="SE1_OTHER"/>
    <x v="0"/>
    <x v="13"/>
    <x v="0"/>
    <x v="0"/>
  </r>
  <r>
    <x v="0"/>
    <x v="0"/>
    <x v="1"/>
    <x v="3"/>
    <x v="11"/>
    <s v="SE1_OTHER"/>
    <x v="0"/>
    <x v="14"/>
    <x v="0"/>
    <x v="0"/>
  </r>
  <r>
    <x v="0"/>
    <x v="0"/>
    <x v="1"/>
    <x v="3"/>
    <x v="11"/>
    <s v="SE1_OTHER"/>
    <x v="0"/>
    <x v="15"/>
    <x v="0"/>
    <x v="0"/>
  </r>
  <r>
    <x v="0"/>
    <x v="0"/>
    <x v="1"/>
    <x v="3"/>
    <x v="11"/>
    <s v="SE1_OTHER"/>
    <x v="0"/>
    <x v="16"/>
    <x v="0"/>
    <x v="0"/>
  </r>
  <r>
    <x v="0"/>
    <x v="0"/>
    <x v="1"/>
    <x v="3"/>
    <x v="11"/>
    <s v="SE1_OTHER"/>
    <x v="0"/>
    <x v="17"/>
    <x v="0"/>
    <x v="0"/>
  </r>
  <r>
    <x v="0"/>
    <x v="0"/>
    <x v="1"/>
    <x v="3"/>
    <x v="11"/>
    <s v="SE1_OTHER"/>
    <x v="0"/>
    <x v="18"/>
    <x v="0"/>
    <x v="0"/>
  </r>
  <r>
    <x v="0"/>
    <x v="0"/>
    <x v="1"/>
    <x v="3"/>
    <x v="11"/>
    <s v="SE1_OTHER"/>
    <x v="0"/>
    <x v="19"/>
    <x v="0"/>
    <x v="0"/>
  </r>
  <r>
    <x v="0"/>
    <x v="0"/>
    <x v="1"/>
    <x v="3"/>
    <x v="11"/>
    <s v="SE1_OTHER"/>
    <x v="0"/>
    <x v="20"/>
    <x v="0"/>
    <x v="0"/>
  </r>
  <r>
    <x v="0"/>
    <x v="0"/>
    <x v="1"/>
    <x v="3"/>
    <x v="11"/>
    <s v="SE1_OTHER"/>
    <x v="0"/>
    <x v="21"/>
    <x v="0"/>
    <x v="0"/>
  </r>
  <r>
    <x v="0"/>
    <x v="0"/>
    <x v="1"/>
    <x v="3"/>
    <x v="11"/>
    <s v="SE1_OTHER"/>
    <x v="0"/>
    <x v="22"/>
    <x v="0"/>
    <x v="0"/>
  </r>
  <r>
    <x v="0"/>
    <x v="0"/>
    <x v="1"/>
    <x v="3"/>
    <x v="11"/>
    <s v="SE1_OTHER"/>
    <x v="0"/>
    <x v="23"/>
    <x v="0"/>
    <x v="0"/>
  </r>
  <r>
    <x v="0"/>
    <x v="0"/>
    <x v="1"/>
    <x v="3"/>
    <x v="12"/>
    <s v="SE2A"/>
    <x v="0"/>
    <x v="0"/>
    <x v="0"/>
    <x v="0"/>
  </r>
  <r>
    <x v="0"/>
    <x v="0"/>
    <x v="1"/>
    <x v="3"/>
    <x v="12"/>
    <s v="SE2A"/>
    <x v="0"/>
    <x v="1"/>
    <x v="0"/>
    <x v="0"/>
  </r>
  <r>
    <x v="0"/>
    <x v="0"/>
    <x v="1"/>
    <x v="3"/>
    <x v="12"/>
    <s v="SE2A"/>
    <x v="0"/>
    <x v="2"/>
    <x v="0"/>
    <x v="0"/>
  </r>
  <r>
    <x v="0"/>
    <x v="0"/>
    <x v="1"/>
    <x v="3"/>
    <x v="12"/>
    <s v="SE2A"/>
    <x v="0"/>
    <x v="3"/>
    <x v="0"/>
    <x v="0"/>
  </r>
  <r>
    <x v="0"/>
    <x v="0"/>
    <x v="1"/>
    <x v="3"/>
    <x v="12"/>
    <s v="SE2A"/>
    <x v="0"/>
    <x v="4"/>
    <x v="0"/>
    <x v="0"/>
  </r>
  <r>
    <x v="0"/>
    <x v="0"/>
    <x v="1"/>
    <x v="3"/>
    <x v="12"/>
    <s v="SE2A"/>
    <x v="0"/>
    <x v="5"/>
    <x v="0"/>
    <x v="0"/>
  </r>
  <r>
    <x v="0"/>
    <x v="0"/>
    <x v="1"/>
    <x v="3"/>
    <x v="12"/>
    <s v="SE2A"/>
    <x v="0"/>
    <x v="6"/>
    <x v="0"/>
    <x v="0"/>
  </r>
  <r>
    <x v="0"/>
    <x v="0"/>
    <x v="1"/>
    <x v="3"/>
    <x v="12"/>
    <s v="SE2A"/>
    <x v="0"/>
    <x v="7"/>
    <x v="0"/>
    <x v="0"/>
  </r>
  <r>
    <x v="0"/>
    <x v="0"/>
    <x v="1"/>
    <x v="3"/>
    <x v="12"/>
    <s v="SE2A"/>
    <x v="0"/>
    <x v="8"/>
    <x v="0"/>
    <x v="0"/>
  </r>
  <r>
    <x v="0"/>
    <x v="0"/>
    <x v="1"/>
    <x v="3"/>
    <x v="12"/>
    <s v="SE2A"/>
    <x v="0"/>
    <x v="9"/>
    <x v="0"/>
    <x v="0"/>
  </r>
  <r>
    <x v="0"/>
    <x v="0"/>
    <x v="1"/>
    <x v="3"/>
    <x v="12"/>
    <s v="SE2A"/>
    <x v="0"/>
    <x v="10"/>
    <x v="0"/>
    <x v="0"/>
  </r>
  <r>
    <x v="0"/>
    <x v="0"/>
    <x v="1"/>
    <x v="3"/>
    <x v="12"/>
    <s v="SE2A"/>
    <x v="0"/>
    <x v="11"/>
    <x v="0"/>
    <x v="0"/>
  </r>
  <r>
    <x v="0"/>
    <x v="0"/>
    <x v="1"/>
    <x v="3"/>
    <x v="12"/>
    <s v="SE2A"/>
    <x v="0"/>
    <x v="12"/>
    <x v="0"/>
    <x v="0"/>
  </r>
  <r>
    <x v="0"/>
    <x v="0"/>
    <x v="1"/>
    <x v="3"/>
    <x v="12"/>
    <s v="SE2A"/>
    <x v="0"/>
    <x v="13"/>
    <x v="0"/>
    <x v="0"/>
  </r>
  <r>
    <x v="0"/>
    <x v="0"/>
    <x v="1"/>
    <x v="3"/>
    <x v="12"/>
    <s v="SE2A"/>
    <x v="0"/>
    <x v="14"/>
    <x v="0"/>
    <x v="0"/>
  </r>
  <r>
    <x v="0"/>
    <x v="0"/>
    <x v="1"/>
    <x v="3"/>
    <x v="12"/>
    <s v="SE2A"/>
    <x v="0"/>
    <x v="15"/>
    <x v="0"/>
    <x v="0"/>
  </r>
  <r>
    <x v="0"/>
    <x v="0"/>
    <x v="1"/>
    <x v="3"/>
    <x v="12"/>
    <s v="SE2A"/>
    <x v="0"/>
    <x v="16"/>
    <x v="0"/>
    <x v="0"/>
  </r>
  <r>
    <x v="0"/>
    <x v="0"/>
    <x v="1"/>
    <x v="3"/>
    <x v="12"/>
    <s v="SE2A"/>
    <x v="0"/>
    <x v="17"/>
    <x v="0"/>
    <x v="0"/>
  </r>
  <r>
    <x v="0"/>
    <x v="0"/>
    <x v="1"/>
    <x v="3"/>
    <x v="12"/>
    <s v="SE2A"/>
    <x v="0"/>
    <x v="18"/>
    <x v="0"/>
    <x v="0"/>
  </r>
  <r>
    <x v="0"/>
    <x v="0"/>
    <x v="1"/>
    <x v="3"/>
    <x v="12"/>
    <s v="SE2A"/>
    <x v="0"/>
    <x v="19"/>
    <x v="0"/>
    <x v="0"/>
  </r>
  <r>
    <x v="0"/>
    <x v="0"/>
    <x v="1"/>
    <x v="3"/>
    <x v="12"/>
    <s v="SE2A"/>
    <x v="0"/>
    <x v="20"/>
    <x v="0"/>
    <x v="0"/>
  </r>
  <r>
    <x v="0"/>
    <x v="0"/>
    <x v="1"/>
    <x v="3"/>
    <x v="12"/>
    <s v="SE2A"/>
    <x v="0"/>
    <x v="21"/>
    <x v="0"/>
    <x v="0"/>
  </r>
  <r>
    <x v="0"/>
    <x v="0"/>
    <x v="1"/>
    <x v="3"/>
    <x v="12"/>
    <s v="SE2A"/>
    <x v="0"/>
    <x v="22"/>
    <x v="0"/>
    <x v="0"/>
  </r>
  <r>
    <x v="0"/>
    <x v="0"/>
    <x v="1"/>
    <x v="3"/>
    <x v="12"/>
    <s v="SE2A"/>
    <x v="0"/>
    <x v="23"/>
    <x v="0"/>
    <x v="0"/>
  </r>
  <r>
    <x v="0"/>
    <x v="0"/>
    <x v="1"/>
    <x v="3"/>
    <x v="12"/>
    <s v="SE2_EL"/>
    <x v="0"/>
    <x v="0"/>
    <x v="0"/>
    <x v="0"/>
  </r>
  <r>
    <x v="0"/>
    <x v="0"/>
    <x v="1"/>
    <x v="3"/>
    <x v="12"/>
    <s v="SE2_EL"/>
    <x v="0"/>
    <x v="1"/>
    <x v="0"/>
    <x v="0"/>
  </r>
  <r>
    <x v="0"/>
    <x v="0"/>
    <x v="1"/>
    <x v="3"/>
    <x v="12"/>
    <s v="SE2_EL"/>
    <x v="0"/>
    <x v="2"/>
    <x v="0"/>
    <x v="0"/>
  </r>
  <r>
    <x v="0"/>
    <x v="0"/>
    <x v="1"/>
    <x v="3"/>
    <x v="12"/>
    <s v="SE2_EL"/>
    <x v="0"/>
    <x v="3"/>
    <x v="0"/>
    <x v="0"/>
  </r>
  <r>
    <x v="0"/>
    <x v="0"/>
    <x v="1"/>
    <x v="3"/>
    <x v="12"/>
    <s v="SE2_EL"/>
    <x v="0"/>
    <x v="4"/>
    <x v="0"/>
    <x v="0"/>
  </r>
  <r>
    <x v="0"/>
    <x v="0"/>
    <x v="1"/>
    <x v="3"/>
    <x v="12"/>
    <s v="SE2_EL"/>
    <x v="0"/>
    <x v="5"/>
    <x v="0"/>
    <x v="0"/>
  </r>
  <r>
    <x v="0"/>
    <x v="0"/>
    <x v="1"/>
    <x v="3"/>
    <x v="12"/>
    <s v="SE2_EL"/>
    <x v="0"/>
    <x v="6"/>
    <x v="0"/>
    <x v="0"/>
  </r>
  <r>
    <x v="0"/>
    <x v="0"/>
    <x v="1"/>
    <x v="3"/>
    <x v="12"/>
    <s v="SE2_EL"/>
    <x v="0"/>
    <x v="7"/>
    <x v="0"/>
    <x v="0"/>
  </r>
  <r>
    <x v="0"/>
    <x v="0"/>
    <x v="1"/>
    <x v="3"/>
    <x v="12"/>
    <s v="SE2_EL"/>
    <x v="0"/>
    <x v="8"/>
    <x v="0"/>
    <x v="0"/>
  </r>
  <r>
    <x v="0"/>
    <x v="0"/>
    <x v="1"/>
    <x v="3"/>
    <x v="12"/>
    <s v="SE2_EL"/>
    <x v="0"/>
    <x v="9"/>
    <x v="0"/>
    <x v="0"/>
  </r>
  <r>
    <x v="0"/>
    <x v="0"/>
    <x v="1"/>
    <x v="3"/>
    <x v="12"/>
    <s v="SE2_EL"/>
    <x v="0"/>
    <x v="10"/>
    <x v="0"/>
    <x v="0"/>
  </r>
  <r>
    <x v="0"/>
    <x v="0"/>
    <x v="1"/>
    <x v="3"/>
    <x v="12"/>
    <s v="SE2_EL"/>
    <x v="0"/>
    <x v="11"/>
    <x v="0"/>
    <x v="0"/>
  </r>
  <r>
    <x v="0"/>
    <x v="0"/>
    <x v="1"/>
    <x v="3"/>
    <x v="12"/>
    <s v="SE2_EL"/>
    <x v="0"/>
    <x v="12"/>
    <x v="0"/>
    <x v="0"/>
  </r>
  <r>
    <x v="0"/>
    <x v="0"/>
    <x v="1"/>
    <x v="3"/>
    <x v="12"/>
    <s v="SE2_EL"/>
    <x v="0"/>
    <x v="13"/>
    <x v="0"/>
    <x v="0"/>
  </r>
  <r>
    <x v="0"/>
    <x v="0"/>
    <x v="1"/>
    <x v="3"/>
    <x v="12"/>
    <s v="SE2_EL"/>
    <x v="0"/>
    <x v="14"/>
    <x v="0"/>
    <x v="0"/>
  </r>
  <r>
    <x v="0"/>
    <x v="0"/>
    <x v="1"/>
    <x v="3"/>
    <x v="12"/>
    <s v="SE2_EL"/>
    <x v="0"/>
    <x v="15"/>
    <x v="0"/>
    <x v="0"/>
  </r>
  <r>
    <x v="0"/>
    <x v="0"/>
    <x v="1"/>
    <x v="3"/>
    <x v="12"/>
    <s v="SE2_EL"/>
    <x v="0"/>
    <x v="16"/>
    <x v="0"/>
    <x v="0"/>
  </r>
  <r>
    <x v="0"/>
    <x v="0"/>
    <x v="1"/>
    <x v="3"/>
    <x v="12"/>
    <s v="SE2_EL"/>
    <x v="0"/>
    <x v="17"/>
    <x v="0"/>
    <x v="0"/>
  </r>
  <r>
    <x v="0"/>
    <x v="0"/>
    <x v="1"/>
    <x v="3"/>
    <x v="12"/>
    <s v="SE2_EL"/>
    <x v="0"/>
    <x v="18"/>
    <x v="0"/>
    <x v="0"/>
  </r>
  <r>
    <x v="0"/>
    <x v="0"/>
    <x v="1"/>
    <x v="3"/>
    <x v="12"/>
    <s v="SE2_EL"/>
    <x v="0"/>
    <x v="19"/>
    <x v="0"/>
    <x v="0"/>
  </r>
  <r>
    <x v="0"/>
    <x v="0"/>
    <x v="1"/>
    <x v="3"/>
    <x v="12"/>
    <s v="SE2_EL"/>
    <x v="0"/>
    <x v="20"/>
    <x v="0"/>
    <x v="0"/>
  </r>
  <r>
    <x v="0"/>
    <x v="0"/>
    <x v="1"/>
    <x v="3"/>
    <x v="12"/>
    <s v="SE2_EL"/>
    <x v="0"/>
    <x v="21"/>
    <x v="0"/>
    <x v="0"/>
  </r>
  <r>
    <x v="0"/>
    <x v="0"/>
    <x v="1"/>
    <x v="3"/>
    <x v="12"/>
    <s v="SE2_EL"/>
    <x v="0"/>
    <x v="22"/>
    <x v="0"/>
    <x v="0"/>
  </r>
  <r>
    <x v="0"/>
    <x v="0"/>
    <x v="1"/>
    <x v="3"/>
    <x v="12"/>
    <s v="SE2_EL"/>
    <x v="0"/>
    <x v="23"/>
    <x v="0"/>
    <x v="0"/>
  </r>
  <r>
    <x v="0"/>
    <x v="0"/>
    <x v="1"/>
    <x v="3"/>
    <x v="12"/>
    <s v="SE2_OTHER"/>
    <x v="0"/>
    <x v="0"/>
    <x v="0"/>
    <x v="0"/>
  </r>
  <r>
    <x v="0"/>
    <x v="0"/>
    <x v="1"/>
    <x v="3"/>
    <x v="12"/>
    <s v="SE2_OTHER"/>
    <x v="0"/>
    <x v="1"/>
    <x v="0"/>
    <x v="0"/>
  </r>
  <r>
    <x v="0"/>
    <x v="0"/>
    <x v="1"/>
    <x v="3"/>
    <x v="12"/>
    <s v="SE2_OTHER"/>
    <x v="0"/>
    <x v="2"/>
    <x v="0"/>
    <x v="0"/>
  </r>
  <r>
    <x v="0"/>
    <x v="0"/>
    <x v="1"/>
    <x v="3"/>
    <x v="12"/>
    <s v="SE2_OTHER"/>
    <x v="0"/>
    <x v="3"/>
    <x v="0"/>
    <x v="0"/>
  </r>
  <r>
    <x v="0"/>
    <x v="0"/>
    <x v="1"/>
    <x v="3"/>
    <x v="12"/>
    <s v="SE2_OTHER"/>
    <x v="0"/>
    <x v="4"/>
    <x v="0"/>
    <x v="0"/>
  </r>
  <r>
    <x v="0"/>
    <x v="0"/>
    <x v="1"/>
    <x v="3"/>
    <x v="12"/>
    <s v="SE2_OTHER"/>
    <x v="0"/>
    <x v="5"/>
    <x v="0"/>
    <x v="0"/>
  </r>
  <r>
    <x v="0"/>
    <x v="0"/>
    <x v="1"/>
    <x v="3"/>
    <x v="12"/>
    <s v="SE2_OTHER"/>
    <x v="0"/>
    <x v="6"/>
    <x v="0"/>
    <x v="0"/>
  </r>
  <r>
    <x v="0"/>
    <x v="0"/>
    <x v="1"/>
    <x v="3"/>
    <x v="12"/>
    <s v="SE2_OTHER"/>
    <x v="0"/>
    <x v="7"/>
    <x v="0"/>
    <x v="0"/>
  </r>
  <r>
    <x v="0"/>
    <x v="0"/>
    <x v="1"/>
    <x v="3"/>
    <x v="12"/>
    <s v="SE2_OTHER"/>
    <x v="0"/>
    <x v="8"/>
    <x v="0"/>
    <x v="0"/>
  </r>
  <r>
    <x v="0"/>
    <x v="0"/>
    <x v="1"/>
    <x v="3"/>
    <x v="12"/>
    <s v="SE2_OTHER"/>
    <x v="0"/>
    <x v="9"/>
    <x v="0"/>
    <x v="0"/>
  </r>
  <r>
    <x v="0"/>
    <x v="0"/>
    <x v="1"/>
    <x v="3"/>
    <x v="12"/>
    <s v="SE2_OTHER"/>
    <x v="0"/>
    <x v="10"/>
    <x v="0"/>
    <x v="0"/>
  </r>
  <r>
    <x v="0"/>
    <x v="0"/>
    <x v="1"/>
    <x v="3"/>
    <x v="12"/>
    <s v="SE2_OTHER"/>
    <x v="0"/>
    <x v="11"/>
    <x v="0"/>
    <x v="0"/>
  </r>
  <r>
    <x v="0"/>
    <x v="0"/>
    <x v="1"/>
    <x v="3"/>
    <x v="12"/>
    <s v="SE2_OTHER"/>
    <x v="0"/>
    <x v="12"/>
    <x v="0"/>
    <x v="0"/>
  </r>
  <r>
    <x v="0"/>
    <x v="0"/>
    <x v="1"/>
    <x v="3"/>
    <x v="12"/>
    <s v="SE2_OTHER"/>
    <x v="0"/>
    <x v="13"/>
    <x v="0"/>
    <x v="0"/>
  </r>
  <r>
    <x v="0"/>
    <x v="0"/>
    <x v="1"/>
    <x v="3"/>
    <x v="12"/>
    <s v="SE2_OTHER"/>
    <x v="0"/>
    <x v="14"/>
    <x v="0"/>
    <x v="0"/>
  </r>
  <r>
    <x v="0"/>
    <x v="0"/>
    <x v="1"/>
    <x v="3"/>
    <x v="12"/>
    <s v="SE2_OTHER"/>
    <x v="0"/>
    <x v="15"/>
    <x v="0"/>
    <x v="0"/>
  </r>
  <r>
    <x v="0"/>
    <x v="0"/>
    <x v="1"/>
    <x v="3"/>
    <x v="12"/>
    <s v="SE2_OTHER"/>
    <x v="0"/>
    <x v="16"/>
    <x v="0"/>
    <x v="0"/>
  </r>
  <r>
    <x v="0"/>
    <x v="0"/>
    <x v="1"/>
    <x v="3"/>
    <x v="12"/>
    <s v="SE2_OTHER"/>
    <x v="0"/>
    <x v="17"/>
    <x v="0"/>
    <x v="0"/>
  </r>
  <r>
    <x v="0"/>
    <x v="0"/>
    <x v="1"/>
    <x v="3"/>
    <x v="12"/>
    <s v="SE2_OTHER"/>
    <x v="0"/>
    <x v="18"/>
    <x v="0"/>
    <x v="0"/>
  </r>
  <r>
    <x v="0"/>
    <x v="0"/>
    <x v="1"/>
    <x v="3"/>
    <x v="12"/>
    <s v="SE2_OTHER"/>
    <x v="0"/>
    <x v="19"/>
    <x v="0"/>
    <x v="0"/>
  </r>
  <r>
    <x v="0"/>
    <x v="0"/>
    <x v="1"/>
    <x v="3"/>
    <x v="12"/>
    <s v="SE2_OTHER"/>
    <x v="0"/>
    <x v="20"/>
    <x v="0"/>
    <x v="0"/>
  </r>
  <r>
    <x v="0"/>
    <x v="0"/>
    <x v="1"/>
    <x v="3"/>
    <x v="12"/>
    <s v="SE2_OTHER"/>
    <x v="0"/>
    <x v="21"/>
    <x v="0"/>
    <x v="0"/>
  </r>
  <r>
    <x v="0"/>
    <x v="0"/>
    <x v="1"/>
    <x v="3"/>
    <x v="12"/>
    <s v="SE2_OTHER"/>
    <x v="0"/>
    <x v="22"/>
    <x v="0"/>
    <x v="0"/>
  </r>
  <r>
    <x v="0"/>
    <x v="0"/>
    <x v="1"/>
    <x v="3"/>
    <x v="12"/>
    <s v="SE2_OTHER"/>
    <x v="0"/>
    <x v="23"/>
    <x v="0"/>
    <x v="0"/>
  </r>
  <r>
    <x v="0"/>
    <x v="0"/>
    <x v="1"/>
    <x v="3"/>
    <x v="13"/>
    <s v="SE3A"/>
    <x v="0"/>
    <x v="0"/>
    <x v="0"/>
    <x v="0"/>
  </r>
  <r>
    <x v="0"/>
    <x v="0"/>
    <x v="1"/>
    <x v="3"/>
    <x v="13"/>
    <s v="SE3A"/>
    <x v="0"/>
    <x v="1"/>
    <x v="0"/>
    <x v="0"/>
  </r>
  <r>
    <x v="0"/>
    <x v="0"/>
    <x v="1"/>
    <x v="3"/>
    <x v="13"/>
    <s v="SE3A"/>
    <x v="0"/>
    <x v="2"/>
    <x v="0"/>
    <x v="0"/>
  </r>
  <r>
    <x v="0"/>
    <x v="0"/>
    <x v="1"/>
    <x v="3"/>
    <x v="13"/>
    <s v="SE3A"/>
    <x v="0"/>
    <x v="3"/>
    <x v="0"/>
    <x v="0"/>
  </r>
  <r>
    <x v="0"/>
    <x v="0"/>
    <x v="1"/>
    <x v="3"/>
    <x v="13"/>
    <s v="SE3A"/>
    <x v="0"/>
    <x v="4"/>
    <x v="0"/>
    <x v="0"/>
  </r>
  <r>
    <x v="0"/>
    <x v="0"/>
    <x v="1"/>
    <x v="3"/>
    <x v="13"/>
    <s v="SE3A"/>
    <x v="0"/>
    <x v="5"/>
    <x v="0"/>
    <x v="0"/>
  </r>
  <r>
    <x v="0"/>
    <x v="0"/>
    <x v="1"/>
    <x v="3"/>
    <x v="13"/>
    <s v="SE3A"/>
    <x v="0"/>
    <x v="6"/>
    <x v="0"/>
    <x v="0"/>
  </r>
  <r>
    <x v="0"/>
    <x v="0"/>
    <x v="1"/>
    <x v="3"/>
    <x v="13"/>
    <s v="SE3A"/>
    <x v="0"/>
    <x v="7"/>
    <x v="0"/>
    <x v="0"/>
  </r>
  <r>
    <x v="0"/>
    <x v="0"/>
    <x v="1"/>
    <x v="3"/>
    <x v="13"/>
    <s v="SE3A"/>
    <x v="0"/>
    <x v="8"/>
    <x v="0"/>
    <x v="0"/>
  </r>
  <r>
    <x v="0"/>
    <x v="0"/>
    <x v="1"/>
    <x v="3"/>
    <x v="13"/>
    <s v="SE3A"/>
    <x v="0"/>
    <x v="9"/>
    <x v="0"/>
    <x v="0"/>
  </r>
  <r>
    <x v="0"/>
    <x v="0"/>
    <x v="1"/>
    <x v="3"/>
    <x v="13"/>
    <s v="SE3A"/>
    <x v="0"/>
    <x v="10"/>
    <x v="0"/>
    <x v="0"/>
  </r>
  <r>
    <x v="0"/>
    <x v="0"/>
    <x v="1"/>
    <x v="3"/>
    <x v="13"/>
    <s v="SE3A"/>
    <x v="0"/>
    <x v="11"/>
    <x v="0"/>
    <x v="0"/>
  </r>
  <r>
    <x v="0"/>
    <x v="0"/>
    <x v="1"/>
    <x v="3"/>
    <x v="13"/>
    <s v="SE3A"/>
    <x v="0"/>
    <x v="12"/>
    <x v="0"/>
    <x v="0"/>
  </r>
  <r>
    <x v="0"/>
    <x v="0"/>
    <x v="1"/>
    <x v="3"/>
    <x v="13"/>
    <s v="SE3A"/>
    <x v="0"/>
    <x v="13"/>
    <x v="0"/>
    <x v="0"/>
  </r>
  <r>
    <x v="0"/>
    <x v="0"/>
    <x v="1"/>
    <x v="3"/>
    <x v="13"/>
    <s v="SE3A"/>
    <x v="0"/>
    <x v="14"/>
    <x v="0"/>
    <x v="0"/>
  </r>
  <r>
    <x v="0"/>
    <x v="0"/>
    <x v="1"/>
    <x v="3"/>
    <x v="13"/>
    <s v="SE3A"/>
    <x v="0"/>
    <x v="15"/>
    <x v="0"/>
    <x v="0"/>
  </r>
  <r>
    <x v="0"/>
    <x v="0"/>
    <x v="1"/>
    <x v="3"/>
    <x v="13"/>
    <s v="SE3A"/>
    <x v="0"/>
    <x v="16"/>
    <x v="0"/>
    <x v="0"/>
  </r>
  <r>
    <x v="0"/>
    <x v="0"/>
    <x v="1"/>
    <x v="3"/>
    <x v="13"/>
    <s v="SE3A"/>
    <x v="0"/>
    <x v="17"/>
    <x v="0"/>
    <x v="0"/>
  </r>
  <r>
    <x v="0"/>
    <x v="0"/>
    <x v="1"/>
    <x v="3"/>
    <x v="13"/>
    <s v="SE3A"/>
    <x v="0"/>
    <x v="18"/>
    <x v="0"/>
    <x v="0"/>
  </r>
  <r>
    <x v="0"/>
    <x v="0"/>
    <x v="1"/>
    <x v="3"/>
    <x v="13"/>
    <s v="SE3A"/>
    <x v="0"/>
    <x v="19"/>
    <x v="0"/>
    <x v="0"/>
  </r>
  <r>
    <x v="0"/>
    <x v="0"/>
    <x v="1"/>
    <x v="3"/>
    <x v="13"/>
    <s v="SE3A"/>
    <x v="0"/>
    <x v="20"/>
    <x v="0"/>
    <x v="0"/>
  </r>
  <r>
    <x v="0"/>
    <x v="0"/>
    <x v="1"/>
    <x v="3"/>
    <x v="13"/>
    <s v="SE3A"/>
    <x v="0"/>
    <x v="21"/>
    <x v="0"/>
    <x v="0"/>
  </r>
  <r>
    <x v="0"/>
    <x v="0"/>
    <x v="1"/>
    <x v="3"/>
    <x v="13"/>
    <s v="SE3A"/>
    <x v="0"/>
    <x v="22"/>
    <x v="0"/>
    <x v="0"/>
  </r>
  <r>
    <x v="0"/>
    <x v="0"/>
    <x v="1"/>
    <x v="3"/>
    <x v="13"/>
    <s v="SE3A"/>
    <x v="0"/>
    <x v="23"/>
    <x v="0"/>
    <x v="0"/>
  </r>
  <r>
    <x v="0"/>
    <x v="0"/>
    <x v="1"/>
    <x v="3"/>
    <x v="13"/>
    <s v="SE3_EL"/>
    <x v="0"/>
    <x v="0"/>
    <x v="0"/>
    <x v="0"/>
  </r>
  <r>
    <x v="0"/>
    <x v="0"/>
    <x v="1"/>
    <x v="3"/>
    <x v="13"/>
    <s v="SE3_EL"/>
    <x v="0"/>
    <x v="1"/>
    <x v="0"/>
    <x v="0"/>
  </r>
  <r>
    <x v="0"/>
    <x v="0"/>
    <x v="1"/>
    <x v="3"/>
    <x v="13"/>
    <s v="SE3_EL"/>
    <x v="0"/>
    <x v="2"/>
    <x v="0"/>
    <x v="0"/>
  </r>
  <r>
    <x v="0"/>
    <x v="0"/>
    <x v="1"/>
    <x v="3"/>
    <x v="13"/>
    <s v="SE3_EL"/>
    <x v="0"/>
    <x v="3"/>
    <x v="0"/>
    <x v="0"/>
  </r>
  <r>
    <x v="0"/>
    <x v="0"/>
    <x v="1"/>
    <x v="3"/>
    <x v="13"/>
    <s v="SE3_EL"/>
    <x v="0"/>
    <x v="4"/>
    <x v="0"/>
    <x v="0"/>
  </r>
  <r>
    <x v="0"/>
    <x v="0"/>
    <x v="1"/>
    <x v="3"/>
    <x v="13"/>
    <s v="SE3_EL"/>
    <x v="0"/>
    <x v="5"/>
    <x v="0"/>
    <x v="0"/>
  </r>
  <r>
    <x v="0"/>
    <x v="0"/>
    <x v="1"/>
    <x v="3"/>
    <x v="13"/>
    <s v="SE3_EL"/>
    <x v="0"/>
    <x v="6"/>
    <x v="0"/>
    <x v="0"/>
  </r>
  <r>
    <x v="0"/>
    <x v="0"/>
    <x v="1"/>
    <x v="3"/>
    <x v="13"/>
    <s v="SE3_EL"/>
    <x v="0"/>
    <x v="7"/>
    <x v="0"/>
    <x v="0"/>
  </r>
  <r>
    <x v="0"/>
    <x v="0"/>
    <x v="1"/>
    <x v="3"/>
    <x v="13"/>
    <s v="SE3_EL"/>
    <x v="0"/>
    <x v="8"/>
    <x v="0"/>
    <x v="0"/>
  </r>
  <r>
    <x v="0"/>
    <x v="0"/>
    <x v="1"/>
    <x v="3"/>
    <x v="13"/>
    <s v="SE3_EL"/>
    <x v="0"/>
    <x v="9"/>
    <x v="0"/>
    <x v="0"/>
  </r>
  <r>
    <x v="0"/>
    <x v="0"/>
    <x v="1"/>
    <x v="3"/>
    <x v="13"/>
    <s v="SE3_EL"/>
    <x v="0"/>
    <x v="10"/>
    <x v="0"/>
    <x v="0"/>
  </r>
  <r>
    <x v="0"/>
    <x v="0"/>
    <x v="1"/>
    <x v="3"/>
    <x v="13"/>
    <s v="SE3_EL"/>
    <x v="0"/>
    <x v="11"/>
    <x v="0"/>
    <x v="0"/>
  </r>
  <r>
    <x v="0"/>
    <x v="0"/>
    <x v="1"/>
    <x v="3"/>
    <x v="13"/>
    <s v="SE3_EL"/>
    <x v="0"/>
    <x v="12"/>
    <x v="0"/>
    <x v="0"/>
  </r>
  <r>
    <x v="0"/>
    <x v="0"/>
    <x v="1"/>
    <x v="3"/>
    <x v="13"/>
    <s v="SE3_EL"/>
    <x v="0"/>
    <x v="13"/>
    <x v="0"/>
    <x v="0"/>
  </r>
  <r>
    <x v="0"/>
    <x v="0"/>
    <x v="1"/>
    <x v="3"/>
    <x v="13"/>
    <s v="SE3_EL"/>
    <x v="0"/>
    <x v="14"/>
    <x v="0"/>
    <x v="0"/>
  </r>
  <r>
    <x v="0"/>
    <x v="0"/>
    <x v="1"/>
    <x v="3"/>
    <x v="13"/>
    <s v="SE3_EL"/>
    <x v="0"/>
    <x v="15"/>
    <x v="0"/>
    <x v="0"/>
  </r>
  <r>
    <x v="0"/>
    <x v="0"/>
    <x v="1"/>
    <x v="3"/>
    <x v="13"/>
    <s v="SE3_EL"/>
    <x v="0"/>
    <x v="16"/>
    <x v="0"/>
    <x v="0"/>
  </r>
  <r>
    <x v="0"/>
    <x v="0"/>
    <x v="1"/>
    <x v="3"/>
    <x v="13"/>
    <s v="SE3_EL"/>
    <x v="0"/>
    <x v="17"/>
    <x v="0"/>
    <x v="0"/>
  </r>
  <r>
    <x v="0"/>
    <x v="0"/>
    <x v="1"/>
    <x v="3"/>
    <x v="13"/>
    <s v="SE3_EL"/>
    <x v="0"/>
    <x v="18"/>
    <x v="0"/>
    <x v="0"/>
  </r>
  <r>
    <x v="0"/>
    <x v="0"/>
    <x v="1"/>
    <x v="3"/>
    <x v="13"/>
    <s v="SE3_EL"/>
    <x v="0"/>
    <x v="19"/>
    <x v="0"/>
    <x v="0"/>
  </r>
  <r>
    <x v="0"/>
    <x v="0"/>
    <x v="1"/>
    <x v="3"/>
    <x v="13"/>
    <s v="SE3_EL"/>
    <x v="0"/>
    <x v="20"/>
    <x v="0"/>
    <x v="0"/>
  </r>
  <r>
    <x v="0"/>
    <x v="0"/>
    <x v="1"/>
    <x v="3"/>
    <x v="13"/>
    <s v="SE3_EL"/>
    <x v="0"/>
    <x v="21"/>
    <x v="0"/>
    <x v="0"/>
  </r>
  <r>
    <x v="0"/>
    <x v="0"/>
    <x v="1"/>
    <x v="3"/>
    <x v="13"/>
    <s v="SE3_EL"/>
    <x v="0"/>
    <x v="22"/>
    <x v="0"/>
    <x v="0"/>
  </r>
  <r>
    <x v="0"/>
    <x v="0"/>
    <x v="1"/>
    <x v="3"/>
    <x v="13"/>
    <s v="SE3_EL"/>
    <x v="0"/>
    <x v="23"/>
    <x v="0"/>
    <x v="0"/>
  </r>
  <r>
    <x v="0"/>
    <x v="0"/>
    <x v="1"/>
    <x v="3"/>
    <x v="13"/>
    <s v="SE3_GOT"/>
    <x v="0"/>
    <x v="0"/>
    <x v="0"/>
    <x v="0"/>
  </r>
  <r>
    <x v="0"/>
    <x v="0"/>
    <x v="1"/>
    <x v="3"/>
    <x v="13"/>
    <s v="SE3_GOT"/>
    <x v="0"/>
    <x v="1"/>
    <x v="0"/>
    <x v="0"/>
  </r>
  <r>
    <x v="0"/>
    <x v="0"/>
    <x v="1"/>
    <x v="3"/>
    <x v="13"/>
    <s v="SE3_GOT"/>
    <x v="0"/>
    <x v="2"/>
    <x v="0"/>
    <x v="0"/>
  </r>
  <r>
    <x v="0"/>
    <x v="0"/>
    <x v="1"/>
    <x v="3"/>
    <x v="13"/>
    <s v="SE3_GOT"/>
    <x v="0"/>
    <x v="3"/>
    <x v="0"/>
    <x v="0"/>
  </r>
  <r>
    <x v="0"/>
    <x v="0"/>
    <x v="1"/>
    <x v="3"/>
    <x v="13"/>
    <s v="SE3_GOT"/>
    <x v="0"/>
    <x v="4"/>
    <x v="0"/>
    <x v="0"/>
  </r>
  <r>
    <x v="0"/>
    <x v="0"/>
    <x v="1"/>
    <x v="3"/>
    <x v="13"/>
    <s v="SE3_GOT"/>
    <x v="0"/>
    <x v="5"/>
    <x v="0"/>
    <x v="0"/>
  </r>
  <r>
    <x v="0"/>
    <x v="0"/>
    <x v="1"/>
    <x v="3"/>
    <x v="13"/>
    <s v="SE3_GOT"/>
    <x v="0"/>
    <x v="6"/>
    <x v="0"/>
    <x v="0"/>
  </r>
  <r>
    <x v="0"/>
    <x v="0"/>
    <x v="1"/>
    <x v="3"/>
    <x v="13"/>
    <s v="SE3_GOT"/>
    <x v="0"/>
    <x v="7"/>
    <x v="0"/>
    <x v="0"/>
  </r>
  <r>
    <x v="0"/>
    <x v="0"/>
    <x v="1"/>
    <x v="3"/>
    <x v="13"/>
    <s v="SE3_GOT"/>
    <x v="0"/>
    <x v="8"/>
    <x v="0"/>
    <x v="0"/>
  </r>
  <r>
    <x v="0"/>
    <x v="0"/>
    <x v="1"/>
    <x v="3"/>
    <x v="13"/>
    <s v="SE3_GOT"/>
    <x v="0"/>
    <x v="9"/>
    <x v="0"/>
    <x v="0"/>
  </r>
  <r>
    <x v="0"/>
    <x v="0"/>
    <x v="1"/>
    <x v="3"/>
    <x v="13"/>
    <s v="SE3_GOT"/>
    <x v="0"/>
    <x v="10"/>
    <x v="0"/>
    <x v="0"/>
  </r>
  <r>
    <x v="0"/>
    <x v="0"/>
    <x v="1"/>
    <x v="3"/>
    <x v="13"/>
    <s v="SE3_GOT"/>
    <x v="0"/>
    <x v="11"/>
    <x v="0"/>
    <x v="0"/>
  </r>
  <r>
    <x v="0"/>
    <x v="0"/>
    <x v="1"/>
    <x v="3"/>
    <x v="13"/>
    <s v="SE3_GOT"/>
    <x v="0"/>
    <x v="12"/>
    <x v="0"/>
    <x v="0"/>
  </r>
  <r>
    <x v="0"/>
    <x v="0"/>
    <x v="1"/>
    <x v="3"/>
    <x v="13"/>
    <s v="SE3_GOT"/>
    <x v="0"/>
    <x v="13"/>
    <x v="0"/>
    <x v="0"/>
  </r>
  <r>
    <x v="0"/>
    <x v="0"/>
    <x v="1"/>
    <x v="3"/>
    <x v="13"/>
    <s v="SE3_GOT"/>
    <x v="0"/>
    <x v="14"/>
    <x v="0"/>
    <x v="0"/>
  </r>
  <r>
    <x v="0"/>
    <x v="0"/>
    <x v="1"/>
    <x v="3"/>
    <x v="13"/>
    <s v="SE3_GOT"/>
    <x v="0"/>
    <x v="15"/>
    <x v="0"/>
    <x v="0"/>
  </r>
  <r>
    <x v="0"/>
    <x v="0"/>
    <x v="1"/>
    <x v="3"/>
    <x v="13"/>
    <s v="SE3_GOT"/>
    <x v="0"/>
    <x v="16"/>
    <x v="0"/>
    <x v="0"/>
  </r>
  <r>
    <x v="0"/>
    <x v="0"/>
    <x v="1"/>
    <x v="3"/>
    <x v="13"/>
    <s v="SE3_GOT"/>
    <x v="0"/>
    <x v="17"/>
    <x v="0"/>
    <x v="0"/>
  </r>
  <r>
    <x v="0"/>
    <x v="0"/>
    <x v="1"/>
    <x v="3"/>
    <x v="13"/>
    <s v="SE3_GOT"/>
    <x v="0"/>
    <x v="18"/>
    <x v="0"/>
    <x v="0"/>
  </r>
  <r>
    <x v="0"/>
    <x v="0"/>
    <x v="1"/>
    <x v="3"/>
    <x v="13"/>
    <s v="SE3_GOT"/>
    <x v="0"/>
    <x v="19"/>
    <x v="0"/>
    <x v="0"/>
  </r>
  <r>
    <x v="0"/>
    <x v="0"/>
    <x v="1"/>
    <x v="3"/>
    <x v="13"/>
    <s v="SE3_GOT"/>
    <x v="0"/>
    <x v="20"/>
    <x v="0"/>
    <x v="0"/>
  </r>
  <r>
    <x v="0"/>
    <x v="0"/>
    <x v="1"/>
    <x v="3"/>
    <x v="13"/>
    <s v="SE3_GOT"/>
    <x v="0"/>
    <x v="21"/>
    <x v="0"/>
    <x v="0"/>
  </r>
  <r>
    <x v="0"/>
    <x v="0"/>
    <x v="1"/>
    <x v="3"/>
    <x v="13"/>
    <s v="SE3_GOT"/>
    <x v="0"/>
    <x v="22"/>
    <x v="0"/>
    <x v="0"/>
  </r>
  <r>
    <x v="0"/>
    <x v="0"/>
    <x v="1"/>
    <x v="3"/>
    <x v="13"/>
    <s v="SE3_GOT"/>
    <x v="0"/>
    <x v="23"/>
    <x v="0"/>
    <x v="0"/>
  </r>
  <r>
    <x v="0"/>
    <x v="0"/>
    <x v="1"/>
    <x v="3"/>
    <x v="13"/>
    <s v="SE3_HP"/>
    <x v="0"/>
    <x v="0"/>
    <x v="0"/>
    <x v="0"/>
  </r>
  <r>
    <x v="0"/>
    <x v="0"/>
    <x v="1"/>
    <x v="3"/>
    <x v="13"/>
    <s v="SE3_HP"/>
    <x v="0"/>
    <x v="1"/>
    <x v="0"/>
    <x v="0"/>
  </r>
  <r>
    <x v="0"/>
    <x v="0"/>
    <x v="1"/>
    <x v="3"/>
    <x v="13"/>
    <s v="SE3_HP"/>
    <x v="0"/>
    <x v="2"/>
    <x v="0"/>
    <x v="0"/>
  </r>
  <r>
    <x v="0"/>
    <x v="0"/>
    <x v="1"/>
    <x v="3"/>
    <x v="13"/>
    <s v="SE3_HP"/>
    <x v="0"/>
    <x v="3"/>
    <x v="0"/>
    <x v="0"/>
  </r>
  <r>
    <x v="0"/>
    <x v="0"/>
    <x v="1"/>
    <x v="3"/>
    <x v="13"/>
    <s v="SE3_HP"/>
    <x v="0"/>
    <x v="4"/>
    <x v="0"/>
    <x v="0"/>
  </r>
  <r>
    <x v="0"/>
    <x v="0"/>
    <x v="1"/>
    <x v="3"/>
    <x v="13"/>
    <s v="SE3_HP"/>
    <x v="0"/>
    <x v="5"/>
    <x v="0"/>
    <x v="0"/>
  </r>
  <r>
    <x v="0"/>
    <x v="0"/>
    <x v="1"/>
    <x v="3"/>
    <x v="13"/>
    <s v="SE3_HP"/>
    <x v="0"/>
    <x v="6"/>
    <x v="0"/>
    <x v="0"/>
  </r>
  <r>
    <x v="0"/>
    <x v="0"/>
    <x v="1"/>
    <x v="3"/>
    <x v="13"/>
    <s v="SE3_HP"/>
    <x v="0"/>
    <x v="7"/>
    <x v="0"/>
    <x v="0"/>
  </r>
  <r>
    <x v="0"/>
    <x v="0"/>
    <x v="1"/>
    <x v="3"/>
    <x v="13"/>
    <s v="SE3_HP"/>
    <x v="0"/>
    <x v="8"/>
    <x v="0"/>
    <x v="0"/>
  </r>
  <r>
    <x v="0"/>
    <x v="0"/>
    <x v="1"/>
    <x v="3"/>
    <x v="13"/>
    <s v="SE3_HP"/>
    <x v="0"/>
    <x v="9"/>
    <x v="0"/>
    <x v="0"/>
  </r>
  <r>
    <x v="0"/>
    <x v="0"/>
    <x v="1"/>
    <x v="3"/>
    <x v="13"/>
    <s v="SE3_HP"/>
    <x v="0"/>
    <x v="10"/>
    <x v="0"/>
    <x v="0"/>
  </r>
  <r>
    <x v="0"/>
    <x v="0"/>
    <x v="1"/>
    <x v="3"/>
    <x v="13"/>
    <s v="SE3_HP"/>
    <x v="0"/>
    <x v="11"/>
    <x v="0"/>
    <x v="0"/>
  </r>
  <r>
    <x v="0"/>
    <x v="0"/>
    <x v="1"/>
    <x v="3"/>
    <x v="13"/>
    <s v="SE3_HP"/>
    <x v="0"/>
    <x v="12"/>
    <x v="0"/>
    <x v="0"/>
  </r>
  <r>
    <x v="0"/>
    <x v="0"/>
    <x v="1"/>
    <x v="3"/>
    <x v="13"/>
    <s v="SE3_HP"/>
    <x v="0"/>
    <x v="13"/>
    <x v="0"/>
    <x v="0"/>
  </r>
  <r>
    <x v="0"/>
    <x v="0"/>
    <x v="1"/>
    <x v="3"/>
    <x v="13"/>
    <s v="SE3_HP"/>
    <x v="0"/>
    <x v="14"/>
    <x v="0"/>
    <x v="0"/>
  </r>
  <r>
    <x v="0"/>
    <x v="0"/>
    <x v="1"/>
    <x v="3"/>
    <x v="13"/>
    <s v="SE3_HP"/>
    <x v="0"/>
    <x v="15"/>
    <x v="0"/>
    <x v="0"/>
  </r>
  <r>
    <x v="0"/>
    <x v="0"/>
    <x v="1"/>
    <x v="3"/>
    <x v="13"/>
    <s v="SE3_HP"/>
    <x v="0"/>
    <x v="16"/>
    <x v="0"/>
    <x v="0"/>
  </r>
  <r>
    <x v="0"/>
    <x v="0"/>
    <x v="1"/>
    <x v="3"/>
    <x v="13"/>
    <s v="SE3_HP"/>
    <x v="0"/>
    <x v="17"/>
    <x v="0"/>
    <x v="0"/>
  </r>
  <r>
    <x v="0"/>
    <x v="0"/>
    <x v="1"/>
    <x v="3"/>
    <x v="13"/>
    <s v="SE3_HP"/>
    <x v="0"/>
    <x v="18"/>
    <x v="0"/>
    <x v="0"/>
  </r>
  <r>
    <x v="0"/>
    <x v="0"/>
    <x v="1"/>
    <x v="3"/>
    <x v="13"/>
    <s v="SE3_HP"/>
    <x v="0"/>
    <x v="19"/>
    <x v="0"/>
    <x v="0"/>
  </r>
  <r>
    <x v="0"/>
    <x v="0"/>
    <x v="1"/>
    <x v="3"/>
    <x v="13"/>
    <s v="SE3_HP"/>
    <x v="0"/>
    <x v="20"/>
    <x v="0"/>
    <x v="0"/>
  </r>
  <r>
    <x v="0"/>
    <x v="0"/>
    <x v="1"/>
    <x v="3"/>
    <x v="13"/>
    <s v="SE3_HP"/>
    <x v="0"/>
    <x v="21"/>
    <x v="0"/>
    <x v="0"/>
  </r>
  <r>
    <x v="0"/>
    <x v="0"/>
    <x v="1"/>
    <x v="3"/>
    <x v="13"/>
    <s v="SE3_HP"/>
    <x v="0"/>
    <x v="22"/>
    <x v="0"/>
    <x v="0"/>
  </r>
  <r>
    <x v="0"/>
    <x v="0"/>
    <x v="1"/>
    <x v="3"/>
    <x v="13"/>
    <s v="SE3_HP"/>
    <x v="0"/>
    <x v="23"/>
    <x v="0"/>
    <x v="0"/>
  </r>
  <r>
    <x v="0"/>
    <x v="0"/>
    <x v="1"/>
    <x v="3"/>
    <x v="13"/>
    <s v="SE3_OTHER"/>
    <x v="0"/>
    <x v="0"/>
    <x v="0"/>
    <x v="0"/>
  </r>
  <r>
    <x v="0"/>
    <x v="0"/>
    <x v="1"/>
    <x v="3"/>
    <x v="13"/>
    <s v="SE3_OTHER"/>
    <x v="0"/>
    <x v="1"/>
    <x v="0"/>
    <x v="0"/>
  </r>
  <r>
    <x v="0"/>
    <x v="0"/>
    <x v="1"/>
    <x v="3"/>
    <x v="13"/>
    <s v="SE3_OTHER"/>
    <x v="0"/>
    <x v="2"/>
    <x v="0"/>
    <x v="0"/>
  </r>
  <r>
    <x v="0"/>
    <x v="0"/>
    <x v="1"/>
    <x v="3"/>
    <x v="13"/>
    <s v="SE3_OTHER"/>
    <x v="0"/>
    <x v="3"/>
    <x v="0"/>
    <x v="0"/>
  </r>
  <r>
    <x v="0"/>
    <x v="0"/>
    <x v="1"/>
    <x v="3"/>
    <x v="13"/>
    <s v="SE3_OTHER"/>
    <x v="0"/>
    <x v="4"/>
    <x v="0"/>
    <x v="0"/>
  </r>
  <r>
    <x v="0"/>
    <x v="0"/>
    <x v="1"/>
    <x v="3"/>
    <x v="13"/>
    <s v="SE3_OTHER"/>
    <x v="0"/>
    <x v="5"/>
    <x v="0"/>
    <x v="0"/>
  </r>
  <r>
    <x v="0"/>
    <x v="0"/>
    <x v="1"/>
    <x v="3"/>
    <x v="13"/>
    <s v="SE3_OTHER"/>
    <x v="0"/>
    <x v="6"/>
    <x v="0"/>
    <x v="0"/>
  </r>
  <r>
    <x v="0"/>
    <x v="0"/>
    <x v="1"/>
    <x v="3"/>
    <x v="13"/>
    <s v="SE3_OTHER"/>
    <x v="0"/>
    <x v="7"/>
    <x v="0"/>
    <x v="0"/>
  </r>
  <r>
    <x v="0"/>
    <x v="0"/>
    <x v="1"/>
    <x v="3"/>
    <x v="13"/>
    <s v="SE3_OTHER"/>
    <x v="0"/>
    <x v="8"/>
    <x v="0"/>
    <x v="0"/>
  </r>
  <r>
    <x v="0"/>
    <x v="0"/>
    <x v="1"/>
    <x v="3"/>
    <x v="13"/>
    <s v="SE3_OTHER"/>
    <x v="0"/>
    <x v="9"/>
    <x v="0"/>
    <x v="0"/>
  </r>
  <r>
    <x v="0"/>
    <x v="0"/>
    <x v="1"/>
    <x v="3"/>
    <x v="13"/>
    <s v="SE3_OTHER"/>
    <x v="0"/>
    <x v="10"/>
    <x v="0"/>
    <x v="0"/>
  </r>
  <r>
    <x v="0"/>
    <x v="0"/>
    <x v="1"/>
    <x v="3"/>
    <x v="13"/>
    <s v="SE3_OTHER"/>
    <x v="0"/>
    <x v="11"/>
    <x v="0"/>
    <x v="0"/>
  </r>
  <r>
    <x v="0"/>
    <x v="0"/>
    <x v="1"/>
    <x v="3"/>
    <x v="13"/>
    <s v="SE3_OTHER"/>
    <x v="0"/>
    <x v="12"/>
    <x v="0"/>
    <x v="0"/>
  </r>
  <r>
    <x v="0"/>
    <x v="0"/>
    <x v="1"/>
    <x v="3"/>
    <x v="13"/>
    <s v="SE3_OTHER"/>
    <x v="0"/>
    <x v="13"/>
    <x v="0"/>
    <x v="0"/>
  </r>
  <r>
    <x v="0"/>
    <x v="0"/>
    <x v="1"/>
    <x v="3"/>
    <x v="13"/>
    <s v="SE3_OTHER"/>
    <x v="0"/>
    <x v="14"/>
    <x v="0"/>
    <x v="0"/>
  </r>
  <r>
    <x v="0"/>
    <x v="0"/>
    <x v="1"/>
    <x v="3"/>
    <x v="13"/>
    <s v="SE3_OTHER"/>
    <x v="0"/>
    <x v="15"/>
    <x v="0"/>
    <x v="0"/>
  </r>
  <r>
    <x v="0"/>
    <x v="0"/>
    <x v="1"/>
    <x v="3"/>
    <x v="13"/>
    <s v="SE3_OTHER"/>
    <x v="0"/>
    <x v="16"/>
    <x v="0"/>
    <x v="0"/>
  </r>
  <r>
    <x v="0"/>
    <x v="0"/>
    <x v="1"/>
    <x v="3"/>
    <x v="13"/>
    <s v="SE3_OTHER"/>
    <x v="0"/>
    <x v="17"/>
    <x v="0"/>
    <x v="0"/>
  </r>
  <r>
    <x v="0"/>
    <x v="0"/>
    <x v="1"/>
    <x v="3"/>
    <x v="13"/>
    <s v="SE3_OTHER"/>
    <x v="0"/>
    <x v="18"/>
    <x v="0"/>
    <x v="0"/>
  </r>
  <r>
    <x v="0"/>
    <x v="0"/>
    <x v="1"/>
    <x v="3"/>
    <x v="13"/>
    <s v="SE3_OTHER"/>
    <x v="0"/>
    <x v="19"/>
    <x v="0"/>
    <x v="0"/>
  </r>
  <r>
    <x v="0"/>
    <x v="0"/>
    <x v="1"/>
    <x v="3"/>
    <x v="13"/>
    <s v="SE3_OTHER"/>
    <x v="0"/>
    <x v="20"/>
    <x v="0"/>
    <x v="0"/>
  </r>
  <r>
    <x v="0"/>
    <x v="0"/>
    <x v="1"/>
    <x v="3"/>
    <x v="13"/>
    <s v="SE3_OTHER"/>
    <x v="0"/>
    <x v="21"/>
    <x v="0"/>
    <x v="0"/>
  </r>
  <r>
    <x v="0"/>
    <x v="0"/>
    <x v="1"/>
    <x v="3"/>
    <x v="13"/>
    <s v="SE3_OTHER"/>
    <x v="0"/>
    <x v="22"/>
    <x v="0"/>
    <x v="0"/>
  </r>
  <r>
    <x v="0"/>
    <x v="0"/>
    <x v="1"/>
    <x v="3"/>
    <x v="13"/>
    <s v="SE3_OTHER"/>
    <x v="0"/>
    <x v="23"/>
    <x v="0"/>
    <x v="0"/>
  </r>
  <r>
    <x v="0"/>
    <x v="0"/>
    <x v="1"/>
    <x v="3"/>
    <x v="13"/>
    <s v="SE3_STO"/>
    <x v="0"/>
    <x v="0"/>
    <x v="0"/>
    <x v="0"/>
  </r>
  <r>
    <x v="0"/>
    <x v="0"/>
    <x v="1"/>
    <x v="3"/>
    <x v="13"/>
    <s v="SE3_STO"/>
    <x v="0"/>
    <x v="1"/>
    <x v="0"/>
    <x v="0"/>
  </r>
  <r>
    <x v="0"/>
    <x v="0"/>
    <x v="1"/>
    <x v="3"/>
    <x v="13"/>
    <s v="SE3_STO"/>
    <x v="0"/>
    <x v="2"/>
    <x v="0"/>
    <x v="0"/>
  </r>
  <r>
    <x v="0"/>
    <x v="0"/>
    <x v="1"/>
    <x v="3"/>
    <x v="13"/>
    <s v="SE3_STO"/>
    <x v="0"/>
    <x v="3"/>
    <x v="0"/>
    <x v="0"/>
  </r>
  <r>
    <x v="0"/>
    <x v="0"/>
    <x v="1"/>
    <x v="3"/>
    <x v="13"/>
    <s v="SE3_STO"/>
    <x v="0"/>
    <x v="4"/>
    <x v="0"/>
    <x v="0"/>
  </r>
  <r>
    <x v="0"/>
    <x v="0"/>
    <x v="1"/>
    <x v="3"/>
    <x v="13"/>
    <s v="SE3_STO"/>
    <x v="0"/>
    <x v="5"/>
    <x v="0"/>
    <x v="0"/>
  </r>
  <r>
    <x v="0"/>
    <x v="0"/>
    <x v="1"/>
    <x v="3"/>
    <x v="13"/>
    <s v="SE3_STO"/>
    <x v="0"/>
    <x v="6"/>
    <x v="0"/>
    <x v="0"/>
  </r>
  <r>
    <x v="0"/>
    <x v="0"/>
    <x v="1"/>
    <x v="3"/>
    <x v="13"/>
    <s v="SE3_STO"/>
    <x v="0"/>
    <x v="7"/>
    <x v="0"/>
    <x v="0"/>
  </r>
  <r>
    <x v="0"/>
    <x v="0"/>
    <x v="1"/>
    <x v="3"/>
    <x v="13"/>
    <s v="SE3_STO"/>
    <x v="0"/>
    <x v="8"/>
    <x v="0"/>
    <x v="0"/>
  </r>
  <r>
    <x v="0"/>
    <x v="0"/>
    <x v="1"/>
    <x v="3"/>
    <x v="13"/>
    <s v="SE3_STO"/>
    <x v="0"/>
    <x v="9"/>
    <x v="0"/>
    <x v="0"/>
  </r>
  <r>
    <x v="0"/>
    <x v="0"/>
    <x v="1"/>
    <x v="3"/>
    <x v="13"/>
    <s v="SE3_STO"/>
    <x v="0"/>
    <x v="10"/>
    <x v="0"/>
    <x v="0"/>
  </r>
  <r>
    <x v="0"/>
    <x v="0"/>
    <x v="1"/>
    <x v="3"/>
    <x v="13"/>
    <s v="SE3_STO"/>
    <x v="0"/>
    <x v="11"/>
    <x v="0"/>
    <x v="0"/>
  </r>
  <r>
    <x v="0"/>
    <x v="0"/>
    <x v="1"/>
    <x v="3"/>
    <x v="13"/>
    <s v="SE3_STO"/>
    <x v="0"/>
    <x v="12"/>
    <x v="0"/>
    <x v="0"/>
  </r>
  <r>
    <x v="0"/>
    <x v="0"/>
    <x v="1"/>
    <x v="3"/>
    <x v="13"/>
    <s v="SE3_STO"/>
    <x v="0"/>
    <x v="13"/>
    <x v="0"/>
    <x v="0"/>
  </r>
  <r>
    <x v="0"/>
    <x v="0"/>
    <x v="1"/>
    <x v="3"/>
    <x v="13"/>
    <s v="SE3_STO"/>
    <x v="0"/>
    <x v="14"/>
    <x v="0"/>
    <x v="0"/>
  </r>
  <r>
    <x v="0"/>
    <x v="0"/>
    <x v="1"/>
    <x v="3"/>
    <x v="13"/>
    <s v="SE3_STO"/>
    <x v="0"/>
    <x v="15"/>
    <x v="0"/>
    <x v="0"/>
  </r>
  <r>
    <x v="0"/>
    <x v="0"/>
    <x v="1"/>
    <x v="3"/>
    <x v="13"/>
    <s v="SE3_STO"/>
    <x v="0"/>
    <x v="16"/>
    <x v="0"/>
    <x v="0"/>
  </r>
  <r>
    <x v="0"/>
    <x v="0"/>
    <x v="1"/>
    <x v="3"/>
    <x v="13"/>
    <s v="SE3_STO"/>
    <x v="0"/>
    <x v="17"/>
    <x v="0"/>
    <x v="0"/>
  </r>
  <r>
    <x v="0"/>
    <x v="0"/>
    <x v="1"/>
    <x v="3"/>
    <x v="13"/>
    <s v="SE3_STO"/>
    <x v="0"/>
    <x v="18"/>
    <x v="0"/>
    <x v="0"/>
  </r>
  <r>
    <x v="0"/>
    <x v="0"/>
    <x v="1"/>
    <x v="3"/>
    <x v="13"/>
    <s v="SE3_STO"/>
    <x v="0"/>
    <x v="19"/>
    <x v="0"/>
    <x v="0"/>
  </r>
  <r>
    <x v="0"/>
    <x v="0"/>
    <x v="1"/>
    <x v="3"/>
    <x v="13"/>
    <s v="SE3_STO"/>
    <x v="0"/>
    <x v="20"/>
    <x v="0"/>
    <x v="0"/>
  </r>
  <r>
    <x v="0"/>
    <x v="0"/>
    <x v="1"/>
    <x v="3"/>
    <x v="13"/>
    <s v="SE3_STO"/>
    <x v="0"/>
    <x v="21"/>
    <x v="0"/>
    <x v="0"/>
  </r>
  <r>
    <x v="0"/>
    <x v="0"/>
    <x v="1"/>
    <x v="3"/>
    <x v="13"/>
    <s v="SE3_STO"/>
    <x v="0"/>
    <x v="22"/>
    <x v="0"/>
    <x v="0"/>
  </r>
  <r>
    <x v="0"/>
    <x v="0"/>
    <x v="1"/>
    <x v="3"/>
    <x v="13"/>
    <s v="SE3_STO"/>
    <x v="0"/>
    <x v="23"/>
    <x v="0"/>
    <x v="0"/>
  </r>
  <r>
    <x v="0"/>
    <x v="0"/>
    <x v="1"/>
    <x v="3"/>
    <x v="14"/>
    <s v="SE4A"/>
    <x v="0"/>
    <x v="0"/>
    <x v="0"/>
    <x v="0"/>
  </r>
  <r>
    <x v="0"/>
    <x v="0"/>
    <x v="1"/>
    <x v="3"/>
    <x v="14"/>
    <s v="SE4A"/>
    <x v="0"/>
    <x v="1"/>
    <x v="0"/>
    <x v="0"/>
  </r>
  <r>
    <x v="0"/>
    <x v="0"/>
    <x v="1"/>
    <x v="3"/>
    <x v="14"/>
    <s v="SE4A"/>
    <x v="0"/>
    <x v="2"/>
    <x v="0"/>
    <x v="0"/>
  </r>
  <r>
    <x v="0"/>
    <x v="0"/>
    <x v="1"/>
    <x v="3"/>
    <x v="14"/>
    <s v="SE4A"/>
    <x v="0"/>
    <x v="3"/>
    <x v="0"/>
    <x v="0"/>
  </r>
  <r>
    <x v="0"/>
    <x v="0"/>
    <x v="1"/>
    <x v="3"/>
    <x v="14"/>
    <s v="SE4A"/>
    <x v="0"/>
    <x v="4"/>
    <x v="0"/>
    <x v="0"/>
  </r>
  <r>
    <x v="0"/>
    <x v="0"/>
    <x v="1"/>
    <x v="3"/>
    <x v="14"/>
    <s v="SE4A"/>
    <x v="0"/>
    <x v="5"/>
    <x v="0"/>
    <x v="0"/>
  </r>
  <r>
    <x v="0"/>
    <x v="0"/>
    <x v="1"/>
    <x v="3"/>
    <x v="14"/>
    <s v="SE4A"/>
    <x v="0"/>
    <x v="6"/>
    <x v="0"/>
    <x v="0"/>
  </r>
  <r>
    <x v="0"/>
    <x v="0"/>
    <x v="1"/>
    <x v="3"/>
    <x v="14"/>
    <s v="SE4A"/>
    <x v="0"/>
    <x v="7"/>
    <x v="0"/>
    <x v="0"/>
  </r>
  <r>
    <x v="0"/>
    <x v="0"/>
    <x v="1"/>
    <x v="3"/>
    <x v="14"/>
    <s v="SE4A"/>
    <x v="0"/>
    <x v="8"/>
    <x v="0"/>
    <x v="0"/>
  </r>
  <r>
    <x v="0"/>
    <x v="0"/>
    <x v="1"/>
    <x v="3"/>
    <x v="14"/>
    <s v="SE4A"/>
    <x v="0"/>
    <x v="9"/>
    <x v="0"/>
    <x v="0"/>
  </r>
  <r>
    <x v="0"/>
    <x v="0"/>
    <x v="1"/>
    <x v="3"/>
    <x v="14"/>
    <s v="SE4A"/>
    <x v="0"/>
    <x v="10"/>
    <x v="0"/>
    <x v="0"/>
  </r>
  <r>
    <x v="0"/>
    <x v="0"/>
    <x v="1"/>
    <x v="3"/>
    <x v="14"/>
    <s v="SE4A"/>
    <x v="0"/>
    <x v="11"/>
    <x v="0"/>
    <x v="0"/>
  </r>
  <r>
    <x v="0"/>
    <x v="0"/>
    <x v="1"/>
    <x v="3"/>
    <x v="14"/>
    <s v="SE4A"/>
    <x v="0"/>
    <x v="12"/>
    <x v="0"/>
    <x v="0"/>
  </r>
  <r>
    <x v="0"/>
    <x v="0"/>
    <x v="1"/>
    <x v="3"/>
    <x v="14"/>
    <s v="SE4A"/>
    <x v="0"/>
    <x v="13"/>
    <x v="0"/>
    <x v="0"/>
  </r>
  <r>
    <x v="0"/>
    <x v="0"/>
    <x v="1"/>
    <x v="3"/>
    <x v="14"/>
    <s v="SE4A"/>
    <x v="0"/>
    <x v="14"/>
    <x v="0"/>
    <x v="0"/>
  </r>
  <r>
    <x v="0"/>
    <x v="0"/>
    <x v="1"/>
    <x v="3"/>
    <x v="14"/>
    <s v="SE4A"/>
    <x v="0"/>
    <x v="15"/>
    <x v="0"/>
    <x v="0"/>
  </r>
  <r>
    <x v="0"/>
    <x v="0"/>
    <x v="1"/>
    <x v="3"/>
    <x v="14"/>
    <s v="SE4A"/>
    <x v="0"/>
    <x v="16"/>
    <x v="0"/>
    <x v="0"/>
  </r>
  <r>
    <x v="0"/>
    <x v="0"/>
    <x v="1"/>
    <x v="3"/>
    <x v="14"/>
    <s v="SE4A"/>
    <x v="0"/>
    <x v="17"/>
    <x v="0"/>
    <x v="0"/>
  </r>
  <r>
    <x v="0"/>
    <x v="0"/>
    <x v="1"/>
    <x v="3"/>
    <x v="14"/>
    <s v="SE4A"/>
    <x v="0"/>
    <x v="18"/>
    <x v="0"/>
    <x v="0"/>
  </r>
  <r>
    <x v="0"/>
    <x v="0"/>
    <x v="1"/>
    <x v="3"/>
    <x v="14"/>
    <s v="SE4A"/>
    <x v="0"/>
    <x v="19"/>
    <x v="0"/>
    <x v="0"/>
  </r>
  <r>
    <x v="0"/>
    <x v="0"/>
    <x v="1"/>
    <x v="3"/>
    <x v="14"/>
    <s v="SE4A"/>
    <x v="0"/>
    <x v="20"/>
    <x v="0"/>
    <x v="0"/>
  </r>
  <r>
    <x v="0"/>
    <x v="0"/>
    <x v="1"/>
    <x v="3"/>
    <x v="14"/>
    <s v="SE4A"/>
    <x v="0"/>
    <x v="21"/>
    <x v="0"/>
    <x v="0"/>
  </r>
  <r>
    <x v="0"/>
    <x v="0"/>
    <x v="1"/>
    <x v="3"/>
    <x v="14"/>
    <s v="SE4A"/>
    <x v="0"/>
    <x v="22"/>
    <x v="0"/>
    <x v="0"/>
  </r>
  <r>
    <x v="0"/>
    <x v="0"/>
    <x v="1"/>
    <x v="3"/>
    <x v="14"/>
    <s v="SE4A"/>
    <x v="0"/>
    <x v="23"/>
    <x v="0"/>
    <x v="0"/>
  </r>
  <r>
    <x v="0"/>
    <x v="0"/>
    <x v="1"/>
    <x v="3"/>
    <x v="14"/>
    <s v="SE4_EL"/>
    <x v="0"/>
    <x v="0"/>
    <x v="0"/>
    <x v="0"/>
  </r>
  <r>
    <x v="0"/>
    <x v="0"/>
    <x v="1"/>
    <x v="3"/>
    <x v="14"/>
    <s v="SE4_EL"/>
    <x v="0"/>
    <x v="1"/>
    <x v="0"/>
    <x v="0"/>
  </r>
  <r>
    <x v="0"/>
    <x v="0"/>
    <x v="1"/>
    <x v="3"/>
    <x v="14"/>
    <s v="SE4_EL"/>
    <x v="0"/>
    <x v="2"/>
    <x v="0"/>
    <x v="0"/>
  </r>
  <r>
    <x v="0"/>
    <x v="0"/>
    <x v="1"/>
    <x v="3"/>
    <x v="14"/>
    <s v="SE4_EL"/>
    <x v="0"/>
    <x v="3"/>
    <x v="0"/>
    <x v="0"/>
  </r>
  <r>
    <x v="0"/>
    <x v="0"/>
    <x v="1"/>
    <x v="3"/>
    <x v="14"/>
    <s v="SE4_EL"/>
    <x v="0"/>
    <x v="4"/>
    <x v="0"/>
    <x v="0"/>
  </r>
  <r>
    <x v="0"/>
    <x v="0"/>
    <x v="1"/>
    <x v="3"/>
    <x v="14"/>
    <s v="SE4_EL"/>
    <x v="0"/>
    <x v="5"/>
    <x v="0"/>
    <x v="0"/>
  </r>
  <r>
    <x v="0"/>
    <x v="0"/>
    <x v="1"/>
    <x v="3"/>
    <x v="14"/>
    <s v="SE4_EL"/>
    <x v="0"/>
    <x v="6"/>
    <x v="0"/>
    <x v="0"/>
  </r>
  <r>
    <x v="0"/>
    <x v="0"/>
    <x v="1"/>
    <x v="3"/>
    <x v="14"/>
    <s v="SE4_EL"/>
    <x v="0"/>
    <x v="7"/>
    <x v="0"/>
    <x v="0"/>
  </r>
  <r>
    <x v="0"/>
    <x v="0"/>
    <x v="1"/>
    <x v="3"/>
    <x v="14"/>
    <s v="SE4_EL"/>
    <x v="0"/>
    <x v="8"/>
    <x v="0"/>
    <x v="0"/>
  </r>
  <r>
    <x v="0"/>
    <x v="0"/>
    <x v="1"/>
    <x v="3"/>
    <x v="14"/>
    <s v="SE4_EL"/>
    <x v="0"/>
    <x v="9"/>
    <x v="0"/>
    <x v="0"/>
  </r>
  <r>
    <x v="0"/>
    <x v="0"/>
    <x v="1"/>
    <x v="3"/>
    <x v="14"/>
    <s v="SE4_EL"/>
    <x v="0"/>
    <x v="10"/>
    <x v="0"/>
    <x v="0"/>
  </r>
  <r>
    <x v="0"/>
    <x v="0"/>
    <x v="1"/>
    <x v="3"/>
    <x v="14"/>
    <s v="SE4_EL"/>
    <x v="0"/>
    <x v="11"/>
    <x v="0"/>
    <x v="0"/>
  </r>
  <r>
    <x v="0"/>
    <x v="0"/>
    <x v="1"/>
    <x v="3"/>
    <x v="14"/>
    <s v="SE4_EL"/>
    <x v="0"/>
    <x v="12"/>
    <x v="0"/>
    <x v="0"/>
  </r>
  <r>
    <x v="0"/>
    <x v="0"/>
    <x v="1"/>
    <x v="3"/>
    <x v="14"/>
    <s v="SE4_EL"/>
    <x v="0"/>
    <x v="13"/>
    <x v="0"/>
    <x v="0"/>
  </r>
  <r>
    <x v="0"/>
    <x v="0"/>
    <x v="1"/>
    <x v="3"/>
    <x v="14"/>
    <s v="SE4_EL"/>
    <x v="0"/>
    <x v="14"/>
    <x v="0"/>
    <x v="0"/>
  </r>
  <r>
    <x v="0"/>
    <x v="0"/>
    <x v="1"/>
    <x v="3"/>
    <x v="14"/>
    <s v="SE4_EL"/>
    <x v="0"/>
    <x v="15"/>
    <x v="0"/>
    <x v="0"/>
  </r>
  <r>
    <x v="0"/>
    <x v="0"/>
    <x v="1"/>
    <x v="3"/>
    <x v="14"/>
    <s v="SE4_EL"/>
    <x v="0"/>
    <x v="16"/>
    <x v="0"/>
    <x v="0"/>
  </r>
  <r>
    <x v="0"/>
    <x v="0"/>
    <x v="1"/>
    <x v="3"/>
    <x v="14"/>
    <s v="SE4_EL"/>
    <x v="0"/>
    <x v="17"/>
    <x v="0"/>
    <x v="0"/>
  </r>
  <r>
    <x v="0"/>
    <x v="0"/>
    <x v="1"/>
    <x v="3"/>
    <x v="14"/>
    <s v="SE4_EL"/>
    <x v="0"/>
    <x v="18"/>
    <x v="0"/>
    <x v="0"/>
  </r>
  <r>
    <x v="0"/>
    <x v="0"/>
    <x v="1"/>
    <x v="3"/>
    <x v="14"/>
    <s v="SE4_EL"/>
    <x v="0"/>
    <x v="19"/>
    <x v="0"/>
    <x v="0"/>
  </r>
  <r>
    <x v="0"/>
    <x v="0"/>
    <x v="1"/>
    <x v="3"/>
    <x v="14"/>
    <s v="SE4_EL"/>
    <x v="0"/>
    <x v="20"/>
    <x v="0"/>
    <x v="0"/>
  </r>
  <r>
    <x v="0"/>
    <x v="0"/>
    <x v="1"/>
    <x v="3"/>
    <x v="14"/>
    <s v="SE4_EL"/>
    <x v="0"/>
    <x v="21"/>
    <x v="0"/>
    <x v="0"/>
  </r>
  <r>
    <x v="0"/>
    <x v="0"/>
    <x v="1"/>
    <x v="3"/>
    <x v="14"/>
    <s v="SE4_EL"/>
    <x v="0"/>
    <x v="22"/>
    <x v="0"/>
    <x v="0"/>
  </r>
  <r>
    <x v="0"/>
    <x v="0"/>
    <x v="1"/>
    <x v="3"/>
    <x v="14"/>
    <s v="SE4_EL"/>
    <x v="0"/>
    <x v="23"/>
    <x v="0"/>
    <x v="0"/>
  </r>
  <r>
    <x v="0"/>
    <x v="0"/>
    <x v="1"/>
    <x v="3"/>
    <x v="14"/>
    <s v="SE4_HP"/>
    <x v="0"/>
    <x v="0"/>
    <x v="0"/>
    <x v="0"/>
  </r>
  <r>
    <x v="0"/>
    <x v="0"/>
    <x v="1"/>
    <x v="3"/>
    <x v="14"/>
    <s v="SE4_HP"/>
    <x v="0"/>
    <x v="1"/>
    <x v="0"/>
    <x v="0"/>
  </r>
  <r>
    <x v="0"/>
    <x v="0"/>
    <x v="1"/>
    <x v="3"/>
    <x v="14"/>
    <s v="SE4_HP"/>
    <x v="0"/>
    <x v="2"/>
    <x v="0"/>
    <x v="0"/>
  </r>
  <r>
    <x v="0"/>
    <x v="0"/>
    <x v="1"/>
    <x v="3"/>
    <x v="14"/>
    <s v="SE4_HP"/>
    <x v="0"/>
    <x v="3"/>
    <x v="0"/>
    <x v="0"/>
  </r>
  <r>
    <x v="0"/>
    <x v="0"/>
    <x v="1"/>
    <x v="3"/>
    <x v="14"/>
    <s v="SE4_HP"/>
    <x v="0"/>
    <x v="4"/>
    <x v="0"/>
    <x v="0"/>
  </r>
  <r>
    <x v="0"/>
    <x v="0"/>
    <x v="1"/>
    <x v="3"/>
    <x v="14"/>
    <s v="SE4_HP"/>
    <x v="0"/>
    <x v="5"/>
    <x v="0"/>
    <x v="0"/>
  </r>
  <r>
    <x v="0"/>
    <x v="0"/>
    <x v="1"/>
    <x v="3"/>
    <x v="14"/>
    <s v="SE4_HP"/>
    <x v="0"/>
    <x v="6"/>
    <x v="0"/>
    <x v="0"/>
  </r>
  <r>
    <x v="0"/>
    <x v="0"/>
    <x v="1"/>
    <x v="3"/>
    <x v="14"/>
    <s v="SE4_HP"/>
    <x v="0"/>
    <x v="7"/>
    <x v="0"/>
    <x v="0"/>
  </r>
  <r>
    <x v="0"/>
    <x v="0"/>
    <x v="1"/>
    <x v="3"/>
    <x v="14"/>
    <s v="SE4_HP"/>
    <x v="0"/>
    <x v="8"/>
    <x v="0"/>
    <x v="0"/>
  </r>
  <r>
    <x v="0"/>
    <x v="0"/>
    <x v="1"/>
    <x v="3"/>
    <x v="14"/>
    <s v="SE4_HP"/>
    <x v="0"/>
    <x v="9"/>
    <x v="0"/>
    <x v="0"/>
  </r>
  <r>
    <x v="0"/>
    <x v="0"/>
    <x v="1"/>
    <x v="3"/>
    <x v="14"/>
    <s v="SE4_HP"/>
    <x v="0"/>
    <x v="10"/>
    <x v="0"/>
    <x v="0"/>
  </r>
  <r>
    <x v="0"/>
    <x v="0"/>
    <x v="1"/>
    <x v="3"/>
    <x v="14"/>
    <s v="SE4_HP"/>
    <x v="0"/>
    <x v="11"/>
    <x v="0"/>
    <x v="0"/>
  </r>
  <r>
    <x v="0"/>
    <x v="0"/>
    <x v="1"/>
    <x v="3"/>
    <x v="14"/>
    <s v="SE4_HP"/>
    <x v="0"/>
    <x v="12"/>
    <x v="0"/>
    <x v="0"/>
  </r>
  <r>
    <x v="0"/>
    <x v="0"/>
    <x v="1"/>
    <x v="3"/>
    <x v="14"/>
    <s v="SE4_HP"/>
    <x v="0"/>
    <x v="13"/>
    <x v="0"/>
    <x v="0"/>
  </r>
  <r>
    <x v="0"/>
    <x v="0"/>
    <x v="1"/>
    <x v="3"/>
    <x v="14"/>
    <s v="SE4_HP"/>
    <x v="0"/>
    <x v="14"/>
    <x v="0"/>
    <x v="0"/>
  </r>
  <r>
    <x v="0"/>
    <x v="0"/>
    <x v="1"/>
    <x v="3"/>
    <x v="14"/>
    <s v="SE4_HP"/>
    <x v="0"/>
    <x v="15"/>
    <x v="0"/>
    <x v="0"/>
  </r>
  <r>
    <x v="0"/>
    <x v="0"/>
    <x v="1"/>
    <x v="3"/>
    <x v="14"/>
    <s v="SE4_HP"/>
    <x v="0"/>
    <x v="16"/>
    <x v="0"/>
    <x v="0"/>
  </r>
  <r>
    <x v="0"/>
    <x v="0"/>
    <x v="1"/>
    <x v="3"/>
    <x v="14"/>
    <s v="SE4_HP"/>
    <x v="0"/>
    <x v="17"/>
    <x v="0"/>
    <x v="0"/>
  </r>
  <r>
    <x v="0"/>
    <x v="0"/>
    <x v="1"/>
    <x v="3"/>
    <x v="14"/>
    <s v="SE4_HP"/>
    <x v="0"/>
    <x v="18"/>
    <x v="0"/>
    <x v="0"/>
  </r>
  <r>
    <x v="0"/>
    <x v="0"/>
    <x v="1"/>
    <x v="3"/>
    <x v="14"/>
    <s v="SE4_HP"/>
    <x v="0"/>
    <x v="19"/>
    <x v="0"/>
    <x v="0"/>
  </r>
  <r>
    <x v="0"/>
    <x v="0"/>
    <x v="1"/>
    <x v="3"/>
    <x v="14"/>
    <s v="SE4_HP"/>
    <x v="0"/>
    <x v="20"/>
    <x v="0"/>
    <x v="0"/>
  </r>
  <r>
    <x v="0"/>
    <x v="0"/>
    <x v="1"/>
    <x v="3"/>
    <x v="14"/>
    <s v="SE4_HP"/>
    <x v="0"/>
    <x v="21"/>
    <x v="0"/>
    <x v="0"/>
  </r>
  <r>
    <x v="0"/>
    <x v="0"/>
    <x v="1"/>
    <x v="3"/>
    <x v="14"/>
    <s v="SE4_HP"/>
    <x v="0"/>
    <x v="22"/>
    <x v="0"/>
    <x v="0"/>
  </r>
  <r>
    <x v="0"/>
    <x v="0"/>
    <x v="1"/>
    <x v="3"/>
    <x v="14"/>
    <s v="SE4_HP"/>
    <x v="0"/>
    <x v="23"/>
    <x v="0"/>
    <x v="0"/>
  </r>
  <r>
    <x v="0"/>
    <x v="0"/>
    <x v="1"/>
    <x v="3"/>
    <x v="14"/>
    <s v="SE4_MAL"/>
    <x v="0"/>
    <x v="0"/>
    <x v="0"/>
    <x v="0"/>
  </r>
  <r>
    <x v="0"/>
    <x v="0"/>
    <x v="1"/>
    <x v="3"/>
    <x v="14"/>
    <s v="SE4_MAL"/>
    <x v="0"/>
    <x v="1"/>
    <x v="0"/>
    <x v="0"/>
  </r>
  <r>
    <x v="0"/>
    <x v="0"/>
    <x v="1"/>
    <x v="3"/>
    <x v="14"/>
    <s v="SE4_MAL"/>
    <x v="0"/>
    <x v="2"/>
    <x v="0"/>
    <x v="0"/>
  </r>
  <r>
    <x v="0"/>
    <x v="0"/>
    <x v="1"/>
    <x v="3"/>
    <x v="14"/>
    <s v="SE4_MAL"/>
    <x v="0"/>
    <x v="3"/>
    <x v="0"/>
    <x v="0"/>
  </r>
  <r>
    <x v="0"/>
    <x v="0"/>
    <x v="1"/>
    <x v="3"/>
    <x v="14"/>
    <s v="SE4_MAL"/>
    <x v="0"/>
    <x v="4"/>
    <x v="0"/>
    <x v="0"/>
  </r>
  <r>
    <x v="0"/>
    <x v="0"/>
    <x v="1"/>
    <x v="3"/>
    <x v="14"/>
    <s v="SE4_MAL"/>
    <x v="0"/>
    <x v="5"/>
    <x v="0"/>
    <x v="0"/>
  </r>
  <r>
    <x v="0"/>
    <x v="0"/>
    <x v="1"/>
    <x v="3"/>
    <x v="14"/>
    <s v="SE4_MAL"/>
    <x v="0"/>
    <x v="6"/>
    <x v="0"/>
    <x v="0"/>
  </r>
  <r>
    <x v="0"/>
    <x v="0"/>
    <x v="1"/>
    <x v="3"/>
    <x v="14"/>
    <s v="SE4_MAL"/>
    <x v="0"/>
    <x v="7"/>
    <x v="0"/>
    <x v="0"/>
  </r>
  <r>
    <x v="0"/>
    <x v="0"/>
    <x v="1"/>
    <x v="3"/>
    <x v="14"/>
    <s v="SE4_MAL"/>
    <x v="0"/>
    <x v="8"/>
    <x v="0"/>
    <x v="0"/>
  </r>
  <r>
    <x v="0"/>
    <x v="0"/>
    <x v="1"/>
    <x v="3"/>
    <x v="14"/>
    <s v="SE4_MAL"/>
    <x v="0"/>
    <x v="9"/>
    <x v="0"/>
    <x v="0"/>
  </r>
  <r>
    <x v="0"/>
    <x v="0"/>
    <x v="1"/>
    <x v="3"/>
    <x v="14"/>
    <s v="SE4_MAL"/>
    <x v="0"/>
    <x v="10"/>
    <x v="0"/>
    <x v="0"/>
  </r>
  <r>
    <x v="0"/>
    <x v="0"/>
    <x v="1"/>
    <x v="3"/>
    <x v="14"/>
    <s v="SE4_MAL"/>
    <x v="0"/>
    <x v="11"/>
    <x v="0"/>
    <x v="0"/>
  </r>
  <r>
    <x v="0"/>
    <x v="0"/>
    <x v="1"/>
    <x v="3"/>
    <x v="14"/>
    <s v="SE4_MAL"/>
    <x v="0"/>
    <x v="12"/>
    <x v="0"/>
    <x v="0"/>
  </r>
  <r>
    <x v="0"/>
    <x v="0"/>
    <x v="1"/>
    <x v="3"/>
    <x v="14"/>
    <s v="SE4_MAL"/>
    <x v="0"/>
    <x v="13"/>
    <x v="0"/>
    <x v="0"/>
  </r>
  <r>
    <x v="0"/>
    <x v="0"/>
    <x v="1"/>
    <x v="3"/>
    <x v="14"/>
    <s v="SE4_MAL"/>
    <x v="0"/>
    <x v="14"/>
    <x v="0"/>
    <x v="0"/>
  </r>
  <r>
    <x v="0"/>
    <x v="0"/>
    <x v="1"/>
    <x v="3"/>
    <x v="14"/>
    <s v="SE4_MAL"/>
    <x v="0"/>
    <x v="15"/>
    <x v="0"/>
    <x v="0"/>
  </r>
  <r>
    <x v="0"/>
    <x v="0"/>
    <x v="1"/>
    <x v="3"/>
    <x v="14"/>
    <s v="SE4_MAL"/>
    <x v="0"/>
    <x v="16"/>
    <x v="0"/>
    <x v="0"/>
  </r>
  <r>
    <x v="0"/>
    <x v="0"/>
    <x v="1"/>
    <x v="3"/>
    <x v="14"/>
    <s v="SE4_MAL"/>
    <x v="0"/>
    <x v="17"/>
    <x v="0"/>
    <x v="0"/>
  </r>
  <r>
    <x v="0"/>
    <x v="0"/>
    <x v="1"/>
    <x v="3"/>
    <x v="14"/>
    <s v="SE4_MAL"/>
    <x v="0"/>
    <x v="18"/>
    <x v="0"/>
    <x v="0"/>
  </r>
  <r>
    <x v="0"/>
    <x v="0"/>
    <x v="1"/>
    <x v="3"/>
    <x v="14"/>
    <s v="SE4_MAL"/>
    <x v="0"/>
    <x v="19"/>
    <x v="0"/>
    <x v="0"/>
  </r>
  <r>
    <x v="0"/>
    <x v="0"/>
    <x v="1"/>
    <x v="3"/>
    <x v="14"/>
    <s v="SE4_MAL"/>
    <x v="0"/>
    <x v="20"/>
    <x v="0"/>
    <x v="0"/>
  </r>
  <r>
    <x v="0"/>
    <x v="0"/>
    <x v="1"/>
    <x v="3"/>
    <x v="14"/>
    <s v="SE4_MAL"/>
    <x v="0"/>
    <x v="21"/>
    <x v="0"/>
    <x v="0"/>
  </r>
  <r>
    <x v="0"/>
    <x v="0"/>
    <x v="1"/>
    <x v="3"/>
    <x v="14"/>
    <s v="SE4_MAL"/>
    <x v="0"/>
    <x v="22"/>
    <x v="0"/>
    <x v="0"/>
  </r>
  <r>
    <x v="0"/>
    <x v="0"/>
    <x v="1"/>
    <x v="3"/>
    <x v="14"/>
    <s v="SE4_MAL"/>
    <x v="0"/>
    <x v="23"/>
    <x v="0"/>
    <x v="0"/>
  </r>
  <r>
    <x v="0"/>
    <x v="0"/>
    <x v="1"/>
    <x v="3"/>
    <x v="14"/>
    <s v="SE4_OTHER"/>
    <x v="0"/>
    <x v="0"/>
    <x v="0"/>
    <x v="0"/>
  </r>
  <r>
    <x v="0"/>
    <x v="0"/>
    <x v="1"/>
    <x v="3"/>
    <x v="14"/>
    <s v="SE4_OTHER"/>
    <x v="0"/>
    <x v="1"/>
    <x v="0"/>
    <x v="0"/>
  </r>
  <r>
    <x v="0"/>
    <x v="0"/>
    <x v="1"/>
    <x v="3"/>
    <x v="14"/>
    <s v="SE4_OTHER"/>
    <x v="0"/>
    <x v="2"/>
    <x v="0"/>
    <x v="0"/>
  </r>
  <r>
    <x v="0"/>
    <x v="0"/>
    <x v="1"/>
    <x v="3"/>
    <x v="14"/>
    <s v="SE4_OTHER"/>
    <x v="0"/>
    <x v="3"/>
    <x v="0"/>
    <x v="0"/>
  </r>
  <r>
    <x v="0"/>
    <x v="0"/>
    <x v="1"/>
    <x v="3"/>
    <x v="14"/>
    <s v="SE4_OTHER"/>
    <x v="0"/>
    <x v="4"/>
    <x v="0"/>
    <x v="0"/>
  </r>
  <r>
    <x v="0"/>
    <x v="0"/>
    <x v="1"/>
    <x v="3"/>
    <x v="14"/>
    <s v="SE4_OTHER"/>
    <x v="0"/>
    <x v="5"/>
    <x v="0"/>
    <x v="0"/>
  </r>
  <r>
    <x v="0"/>
    <x v="0"/>
    <x v="1"/>
    <x v="3"/>
    <x v="14"/>
    <s v="SE4_OTHER"/>
    <x v="0"/>
    <x v="6"/>
    <x v="0"/>
    <x v="0"/>
  </r>
  <r>
    <x v="0"/>
    <x v="0"/>
    <x v="1"/>
    <x v="3"/>
    <x v="14"/>
    <s v="SE4_OTHER"/>
    <x v="0"/>
    <x v="7"/>
    <x v="0"/>
    <x v="0"/>
  </r>
  <r>
    <x v="0"/>
    <x v="0"/>
    <x v="1"/>
    <x v="3"/>
    <x v="14"/>
    <s v="SE4_OTHER"/>
    <x v="0"/>
    <x v="8"/>
    <x v="0"/>
    <x v="0"/>
  </r>
  <r>
    <x v="0"/>
    <x v="0"/>
    <x v="1"/>
    <x v="3"/>
    <x v="14"/>
    <s v="SE4_OTHER"/>
    <x v="0"/>
    <x v="9"/>
    <x v="0"/>
    <x v="0"/>
  </r>
  <r>
    <x v="0"/>
    <x v="0"/>
    <x v="1"/>
    <x v="3"/>
    <x v="14"/>
    <s v="SE4_OTHER"/>
    <x v="0"/>
    <x v="10"/>
    <x v="0"/>
    <x v="0"/>
  </r>
  <r>
    <x v="0"/>
    <x v="0"/>
    <x v="1"/>
    <x v="3"/>
    <x v="14"/>
    <s v="SE4_OTHER"/>
    <x v="0"/>
    <x v="11"/>
    <x v="0"/>
    <x v="0"/>
  </r>
  <r>
    <x v="0"/>
    <x v="0"/>
    <x v="1"/>
    <x v="3"/>
    <x v="14"/>
    <s v="SE4_OTHER"/>
    <x v="0"/>
    <x v="12"/>
    <x v="0"/>
    <x v="0"/>
  </r>
  <r>
    <x v="0"/>
    <x v="0"/>
    <x v="1"/>
    <x v="3"/>
    <x v="14"/>
    <s v="SE4_OTHER"/>
    <x v="0"/>
    <x v="13"/>
    <x v="0"/>
    <x v="0"/>
  </r>
  <r>
    <x v="0"/>
    <x v="0"/>
    <x v="1"/>
    <x v="3"/>
    <x v="14"/>
    <s v="SE4_OTHER"/>
    <x v="0"/>
    <x v="14"/>
    <x v="0"/>
    <x v="0"/>
  </r>
  <r>
    <x v="0"/>
    <x v="0"/>
    <x v="1"/>
    <x v="3"/>
    <x v="14"/>
    <s v="SE4_OTHER"/>
    <x v="0"/>
    <x v="15"/>
    <x v="0"/>
    <x v="0"/>
  </r>
  <r>
    <x v="0"/>
    <x v="0"/>
    <x v="1"/>
    <x v="3"/>
    <x v="14"/>
    <s v="SE4_OTHER"/>
    <x v="0"/>
    <x v="16"/>
    <x v="0"/>
    <x v="0"/>
  </r>
  <r>
    <x v="0"/>
    <x v="0"/>
    <x v="1"/>
    <x v="3"/>
    <x v="14"/>
    <s v="SE4_OTHER"/>
    <x v="0"/>
    <x v="17"/>
    <x v="0"/>
    <x v="0"/>
  </r>
  <r>
    <x v="0"/>
    <x v="0"/>
    <x v="1"/>
    <x v="3"/>
    <x v="14"/>
    <s v="SE4_OTHER"/>
    <x v="0"/>
    <x v="18"/>
    <x v="0"/>
    <x v="0"/>
  </r>
  <r>
    <x v="0"/>
    <x v="0"/>
    <x v="1"/>
    <x v="3"/>
    <x v="14"/>
    <s v="SE4_OTHER"/>
    <x v="0"/>
    <x v="19"/>
    <x v="0"/>
    <x v="0"/>
  </r>
  <r>
    <x v="0"/>
    <x v="0"/>
    <x v="1"/>
    <x v="3"/>
    <x v="14"/>
    <s v="SE4_OTHER"/>
    <x v="0"/>
    <x v="20"/>
    <x v="0"/>
    <x v="0"/>
  </r>
  <r>
    <x v="0"/>
    <x v="0"/>
    <x v="1"/>
    <x v="3"/>
    <x v="14"/>
    <s v="SE4_OTHER"/>
    <x v="0"/>
    <x v="21"/>
    <x v="0"/>
    <x v="0"/>
  </r>
  <r>
    <x v="0"/>
    <x v="0"/>
    <x v="1"/>
    <x v="3"/>
    <x v="14"/>
    <s v="SE4_OTHER"/>
    <x v="0"/>
    <x v="22"/>
    <x v="0"/>
    <x v="0"/>
  </r>
  <r>
    <x v="0"/>
    <x v="0"/>
    <x v="1"/>
    <x v="3"/>
    <x v="14"/>
    <s v="SE4_OTHER"/>
    <x v="0"/>
    <x v="23"/>
    <x v="0"/>
    <x v="0"/>
  </r>
</pivotCacheRecords>
</file>

<file path=xl/pivotCache/pivotCacheRecords12.xml><?xml version="1.0" encoding="utf-8"?>
<pivotCacheRecords xmlns="http://schemas.openxmlformats.org/spreadsheetml/2006/main" xmlns:r="http://schemas.openxmlformats.org/officeDocument/2006/relationships" count="20">
  <r>
    <x v="0"/>
    <x v="0"/>
    <x v="0"/>
    <x v="0"/>
    <x v="0"/>
    <x v="0"/>
    <x v="0"/>
    <x v="0"/>
  </r>
  <r>
    <x v="0"/>
    <x v="0"/>
    <x v="0"/>
    <x v="1"/>
    <x v="1"/>
    <x v="1"/>
    <x v="0"/>
    <x v="0"/>
  </r>
  <r>
    <x v="0"/>
    <x v="0"/>
    <x v="0"/>
    <x v="1"/>
    <x v="2"/>
    <x v="2"/>
    <x v="0"/>
    <x v="0"/>
  </r>
  <r>
    <x v="0"/>
    <x v="0"/>
    <x v="0"/>
    <x v="1"/>
    <x v="3"/>
    <x v="3"/>
    <x v="0"/>
    <x v="0"/>
  </r>
  <r>
    <x v="0"/>
    <x v="0"/>
    <x v="0"/>
    <x v="1"/>
    <x v="4"/>
    <x v="4"/>
    <x v="0"/>
    <x v="0"/>
  </r>
  <r>
    <x v="0"/>
    <x v="0"/>
    <x v="0"/>
    <x v="2"/>
    <x v="5"/>
    <x v="5"/>
    <x v="0"/>
    <x v="0"/>
  </r>
  <r>
    <x v="0"/>
    <x v="0"/>
    <x v="0"/>
    <x v="2"/>
    <x v="6"/>
    <x v="6"/>
    <x v="0"/>
    <x v="0"/>
  </r>
  <r>
    <x v="0"/>
    <x v="0"/>
    <x v="0"/>
    <x v="2"/>
    <x v="7"/>
    <x v="7"/>
    <x v="0"/>
    <x v="0"/>
  </r>
  <r>
    <x v="0"/>
    <x v="0"/>
    <x v="0"/>
    <x v="2"/>
    <x v="8"/>
    <x v="8"/>
    <x v="0"/>
    <x v="0"/>
  </r>
  <r>
    <x v="0"/>
    <x v="0"/>
    <x v="0"/>
    <x v="2"/>
    <x v="9"/>
    <x v="9"/>
    <x v="0"/>
    <x v="0"/>
  </r>
  <r>
    <x v="0"/>
    <x v="0"/>
    <x v="1"/>
    <x v="0"/>
    <x v="0"/>
    <x v="0"/>
    <x v="0"/>
    <x v="0"/>
  </r>
  <r>
    <x v="0"/>
    <x v="0"/>
    <x v="1"/>
    <x v="1"/>
    <x v="1"/>
    <x v="1"/>
    <x v="0"/>
    <x v="0"/>
  </r>
  <r>
    <x v="0"/>
    <x v="0"/>
    <x v="1"/>
    <x v="1"/>
    <x v="2"/>
    <x v="2"/>
    <x v="0"/>
    <x v="0"/>
  </r>
  <r>
    <x v="0"/>
    <x v="0"/>
    <x v="1"/>
    <x v="1"/>
    <x v="3"/>
    <x v="3"/>
    <x v="0"/>
    <x v="0"/>
  </r>
  <r>
    <x v="0"/>
    <x v="0"/>
    <x v="1"/>
    <x v="1"/>
    <x v="4"/>
    <x v="4"/>
    <x v="0"/>
    <x v="0"/>
  </r>
  <r>
    <x v="0"/>
    <x v="0"/>
    <x v="1"/>
    <x v="2"/>
    <x v="5"/>
    <x v="5"/>
    <x v="0"/>
    <x v="0"/>
  </r>
  <r>
    <x v="0"/>
    <x v="0"/>
    <x v="1"/>
    <x v="2"/>
    <x v="6"/>
    <x v="6"/>
    <x v="0"/>
    <x v="0"/>
  </r>
  <r>
    <x v="0"/>
    <x v="0"/>
    <x v="1"/>
    <x v="2"/>
    <x v="7"/>
    <x v="7"/>
    <x v="0"/>
    <x v="0"/>
  </r>
  <r>
    <x v="0"/>
    <x v="0"/>
    <x v="1"/>
    <x v="2"/>
    <x v="8"/>
    <x v="8"/>
    <x v="0"/>
    <x v="0"/>
  </r>
  <r>
    <x v="0"/>
    <x v="0"/>
    <x v="1"/>
    <x v="2"/>
    <x v="9"/>
    <x v="9"/>
    <x v="0"/>
    <x v="0"/>
  </r>
</pivotCacheRecords>
</file>

<file path=xl/pivotCache/pivotCacheRecords13.xml><?xml version="1.0" encoding="utf-8"?>
<pivotCacheRecords xmlns="http://schemas.openxmlformats.org/spreadsheetml/2006/main" xmlns:r="http://schemas.openxmlformats.org/officeDocument/2006/relationships" count="2640">
  <r>
    <x v="0"/>
    <x v="0"/>
    <x v="0"/>
    <x v="0"/>
    <x v="0"/>
    <x v="0"/>
    <x v="0"/>
    <n v="0"/>
  </r>
  <r>
    <x v="0"/>
    <x v="0"/>
    <x v="0"/>
    <x v="0"/>
    <x v="0"/>
    <x v="0"/>
    <x v="1"/>
    <n v="0"/>
  </r>
  <r>
    <x v="0"/>
    <x v="0"/>
    <x v="0"/>
    <x v="0"/>
    <x v="0"/>
    <x v="0"/>
    <x v="2"/>
    <n v="0"/>
  </r>
  <r>
    <x v="0"/>
    <x v="0"/>
    <x v="0"/>
    <x v="0"/>
    <x v="0"/>
    <x v="0"/>
    <x v="3"/>
    <n v="0"/>
  </r>
  <r>
    <x v="0"/>
    <x v="0"/>
    <x v="0"/>
    <x v="0"/>
    <x v="0"/>
    <x v="0"/>
    <x v="4"/>
    <n v="0"/>
  </r>
  <r>
    <x v="0"/>
    <x v="0"/>
    <x v="0"/>
    <x v="0"/>
    <x v="0"/>
    <x v="0"/>
    <x v="5"/>
    <n v="0"/>
  </r>
  <r>
    <x v="0"/>
    <x v="0"/>
    <x v="0"/>
    <x v="0"/>
    <x v="0"/>
    <x v="0"/>
    <x v="6"/>
    <n v="0"/>
  </r>
  <r>
    <x v="0"/>
    <x v="0"/>
    <x v="0"/>
    <x v="0"/>
    <x v="0"/>
    <x v="0"/>
    <x v="7"/>
    <n v="0"/>
  </r>
  <r>
    <x v="0"/>
    <x v="0"/>
    <x v="0"/>
    <x v="0"/>
    <x v="0"/>
    <x v="0"/>
    <x v="8"/>
    <n v="0"/>
  </r>
  <r>
    <x v="0"/>
    <x v="0"/>
    <x v="0"/>
    <x v="0"/>
    <x v="0"/>
    <x v="0"/>
    <x v="9"/>
    <n v="0"/>
  </r>
  <r>
    <x v="0"/>
    <x v="0"/>
    <x v="0"/>
    <x v="0"/>
    <x v="0"/>
    <x v="0"/>
    <x v="10"/>
    <n v="0"/>
  </r>
  <r>
    <x v="0"/>
    <x v="0"/>
    <x v="0"/>
    <x v="0"/>
    <x v="0"/>
    <x v="0"/>
    <x v="11"/>
    <n v="0"/>
  </r>
  <r>
    <x v="0"/>
    <x v="0"/>
    <x v="0"/>
    <x v="0"/>
    <x v="0"/>
    <x v="0"/>
    <x v="12"/>
    <n v="0"/>
  </r>
  <r>
    <x v="0"/>
    <x v="0"/>
    <x v="0"/>
    <x v="0"/>
    <x v="0"/>
    <x v="0"/>
    <x v="13"/>
    <n v="0"/>
  </r>
  <r>
    <x v="0"/>
    <x v="0"/>
    <x v="0"/>
    <x v="0"/>
    <x v="0"/>
    <x v="0"/>
    <x v="14"/>
    <n v="0"/>
  </r>
  <r>
    <x v="0"/>
    <x v="0"/>
    <x v="0"/>
    <x v="0"/>
    <x v="0"/>
    <x v="0"/>
    <x v="15"/>
    <n v="0"/>
  </r>
  <r>
    <x v="0"/>
    <x v="0"/>
    <x v="0"/>
    <x v="0"/>
    <x v="0"/>
    <x v="0"/>
    <x v="16"/>
    <n v="0"/>
  </r>
  <r>
    <x v="0"/>
    <x v="0"/>
    <x v="0"/>
    <x v="0"/>
    <x v="0"/>
    <x v="0"/>
    <x v="17"/>
    <n v="0"/>
  </r>
  <r>
    <x v="0"/>
    <x v="0"/>
    <x v="0"/>
    <x v="0"/>
    <x v="0"/>
    <x v="0"/>
    <x v="18"/>
    <n v="0"/>
  </r>
  <r>
    <x v="0"/>
    <x v="0"/>
    <x v="0"/>
    <x v="0"/>
    <x v="0"/>
    <x v="0"/>
    <x v="19"/>
    <n v="0"/>
  </r>
  <r>
    <x v="0"/>
    <x v="0"/>
    <x v="0"/>
    <x v="0"/>
    <x v="0"/>
    <x v="0"/>
    <x v="20"/>
    <n v="0"/>
  </r>
  <r>
    <x v="0"/>
    <x v="0"/>
    <x v="0"/>
    <x v="0"/>
    <x v="0"/>
    <x v="0"/>
    <x v="21"/>
    <n v="0"/>
  </r>
  <r>
    <x v="0"/>
    <x v="0"/>
    <x v="0"/>
    <x v="0"/>
    <x v="0"/>
    <x v="0"/>
    <x v="22"/>
    <n v="0"/>
  </r>
  <r>
    <x v="0"/>
    <x v="0"/>
    <x v="0"/>
    <x v="0"/>
    <x v="0"/>
    <x v="0"/>
    <x v="23"/>
    <n v="0"/>
  </r>
  <r>
    <x v="0"/>
    <x v="0"/>
    <x v="0"/>
    <x v="0"/>
    <x v="1"/>
    <x v="0"/>
    <x v="0"/>
    <n v="2.7090000000000001"/>
  </r>
  <r>
    <x v="0"/>
    <x v="0"/>
    <x v="0"/>
    <x v="0"/>
    <x v="1"/>
    <x v="0"/>
    <x v="1"/>
    <n v="2.7090000000000001"/>
  </r>
  <r>
    <x v="0"/>
    <x v="0"/>
    <x v="0"/>
    <x v="0"/>
    <x v="1"/>
    <x v="0"/>
    <x v="2"/>
    <n v="2.7090000000000001"/>
  </r>
  <r>
    <x v="0"/>
    <x v="0"/>
    <x v="0"/>
    <x v="0"/>
    <x v="1"/>
    <x v="0"/>
    <x v="3"/>
    <n v="2.7090000000000001"/>
  </r>
  <r>
    <x v="0"/>
    <x v="0"/>
    <x v="0"/>
    <x v="0"/>
    <x v="1"/>
    <x v="0"/>
    <x v="4"/>
    <n v="2.7090000000000001"/>
  </r>
  <r>
    <x v="0"/>
    <x v="0"/>
    <x v="0"/>
    <x v="0"/>
    <x v="1"/>
    <x v="0"/>
    <x v="5"/>
    <n v="2.7090000000000001"/>
  </r>
  <r>
    <x v="0"/>
    <x v="0"/>
    <x v="0"/>
    <x v="0"/>
    <x v="1"/>
    <x v="0"/>
    <x v="6"/>
    <n v="2.7090000000000001"/>
  </r>
  <r>
    <x v="0"/>
    <x v="0"/>
    <x v="0"/>
    <x v="0"/>
    <x v="1"/>
    <x v="0"/>
    <x v="7"/>
    <n v="2.7090000000000001"/>
  </r>
  <r>
    <x v="0"/>
    <x v="0"/>
    <x v="0"/>
    <x v="0"/>
    <x v="1"/>
    <x v="0"/>
    <x v="8"/>
    <n v="2.7090000000000001"/>
  </r>
  <r>
    <x v="0"/>
    <x v="0"/>
    <x v="0"/>
    <x v="0"/>
    <x v="1"/>
    <x v="0"/>
    <x v="9"/>
    <n v="2.7090000000000001"/>
  </r>
  <r>
    <x v="0"/>
    <x v="0"/>
    <x v="0"/>
    <x v="0"/>
    <x v="1"/>
    <x v="0"/>
    <x v="10"/>
    <n v="2.7090000000000001"/>
  </r>
  <r>
    <x v="0"/>
    <x v="0"/>
    <x v="0"/>
    <x v="0"/>
    <x v="1"/>
    <x v="0"/>
    <x v="11"/>
    <n v="2.7090000000000001"/>
  </r>
  <r>
    <x v="0"/>
    <x v="0"/>
    <x v="0"/>
    <x v="0"/>
    <x v="1"/>
    <x v="0"/>
    <x v="12"/>
    <n v="2.7090000000000001"/>
  </r>
  <r>
    <x v="0"/>
    <x v="0"/>
    <x v="0"/>
    <x v="0"/>
    <x v="1"/>
    <x v="0"/>
    <x v="13"/>
    <n v="2.7090000000000001"/>
  </r>
  <r>
    <x v="0"/>
    <x v="0"/>
    <x v="0"/>
    <x v="0"/>
    <x v="1"/>
    <x v="0"/>
    <x v="14"/>
    <n v="2.7090000000000001"/>
  </r>
  <r>
    <x v="0"/>
    <x v="0"/>
    <x v="0"/>
    <x v="0"/>
    <x v="1"/>
    <x v="0"/>
    <x v="15"/>
    <n v="2.7090000000000001"/>
  </r>
  <r>
    <x v="0"/>
    <x v="0"/>
    <x v="0"/>
    <x v="0"/>
    <x v="1"/>
    <x v="0"/>
    <x v="16"/>
    <n v="2.7090000000000001"/>
  </r>
  <r>
    <x v="0"/>
    <x v="0"/>
    <x v="0"/>
    <x v="0"/>
    <x v="1"/>
    <x v="0"/>
    <x v="17"/>
    <n v="2.7090000000000001"/>
  </r>
  <r>
    <x v="0"/>
    <x v="0"/>
    <x v="0"/>
    <x v="0"/>
    <x v="1"/>
    <x v="0"/>
    <x v="18"/>
    <n v="2.7090000000000001"/>
  </r>
  <r>
    <x v="0"/>
    <x v="0"/>
    <x v="0"/>
    <x v="0"/>
    <x v="1"/>
    <x v="0"/>
    <x v="19"/>
    <n v="2.7090000000000001"/>
  </r>
  <r>
    <x v="0"/>
    <x v="0"/>
    <x v="0"/>
    <x v="0"/>
    <x v="1"/>
    <x v="0"/>
    <x v="20"/>
    <n v="2.7090000000000001"/>
  </r>
  <r>
    <x v="0"/>
    <x v="0"/>
    <x v="0"/>
    <x v="0"/>
    <x v="1"/>
    <x v="0"/>
    <x v="21"/>
    <n v="2.7090000000000001"/>
  </r>
  <r>
    <x v="0"/>
    <x v="0"/>
    <x v="0"/>
    <x v="0"/>
    <x v="1"/>
    <x v="0"/>
    <x v="22"/>
    <n v="2.7090000000000001"/>
  </r>
  <r>
    <x v="0"/>
    <x v="0"/>
    <x v="0"/>
    <x v="0"/>
    <x v="1"/>
    <x v="0"/>
    <x v="23"/>
    <n v="2.7090000000000001"/>
  </r>
  <r>
    <x v="0"/>
    <x v="0"/>
    <x v="0"/>
    <x v="0"/>
    <x v="2"/>
    <x v="0"/>
    <x v="0"/>
    <n v="5.4180000000000001"/>
  </r>
  <r>
    <x v="0"/>
    <x v="0"/>
    <x v="0"/>
    <x v="0"/>
    <x v="2"/>
    <x v="0"/>
    <x v="1"/>
    <n v="5.4180000000000001"/>
  </r>
  <r>
    <x v="0"/>
    <x v="0"/>
    <x v="0"/>
    <x v="0"/>
    <x v="2"/>
    <x v="0"/>
    <x v="2"/>
    <n v="5.4180000000000001"/>
  </r>
  <r>
    <x v="0"/>
    <x v="0"/>
    <x v="0"/>
    <x v="0"/>
    <x v="2"/>
    <x v="0"/>
    <x v="3"/>
    <n v="5.4180000000000001"/>
  </r>
  <r>
    <x v="0"/>
    <x v="0"/>
    <x v="0"/>
    <x v="0"/>
    <x v="2"/>
    <x v="0"/>
    <x v="4"/>
    <n v="5.4180000000000001"/>
  </r>
  <r>
    <x v="0"/>
    <x v="0"/>
    <x v="0"/>
    <x v="0"/>
    <x v="2"/>
    <x v="0"/>
    <x v="5"/>
    <n v="5.4180000000000001"/>
  </r>
  <r>
    <x v="0"/>
    <x v="0"/>
    <x v="0"/>
    <x v="0"/>
    <x v="2"/>
    <x v="0"/>
    <x v="6"/>
    <n v="5.4180000000000001"/>
  </r>
  <r>
    <x v="0"/>
    <x v="0"/>
    <x v="0"/>
    <x v="0"/>
    <x v="2"/>
    <x v="0"/>
    <x v="7"/>
    <n v="5.4180000000000001"/>
  </r>
  <r>
    <x v="0"/>
    <x v="0"/>
    <x v="0"/>
    <x v="0"/>
    <x v="2"/>
    <x v="0"/>
    <x v="8"/>
    <n v="5.4180000000000001"/>
  </r>
  <r>
    <x v="0"/>
    <x v="0"/>
    <x v="0"/>
    <x v="0"/>
    <x v="2"/>
    <x v="0"/>
    <x v="9"/>
    <n v="5.4180000000000001"/>
  </r>
  <r>
    <x v="0"/>
    <x v="0"/>
    <x v="0"/>
    <x v="0"/>
    <x v="2"/>
    <x v="0"/>
    <x v="10"/>
    <n v="5.4180000000000001"/>
  </r>
  <r>
    <x v="0"/>
    <x v="0"/>
    <x v="0"/>
    <x v="0"/>
    <x v="2"/>
    <x v="0"/>
    <x v="11"/>
    <n v="5.4180000000000001"/>
  </r>
  <r>
    <x v="0"/>
    <x v="0"/>
    <x v="0"/>
    <x v="0"/>
    <x v="2"/>
    <x v="0"/>
    <x v="12"/>
    <n v="5.4180000000000001"/>
  </r>
  <r>
    <x v="0"/>
    <x v="0"/>
    <x v="0"/>
    <x v="0"/>
    <x v="2"/>
    <x v="0"/>
    <x v="13"/>
    <n v="5.4180000000000001"/>
  </r>
  <r>
    <x v="0"/>
    <x v="0"/>
    <x v="0"/>
    <x v="0"/>
    <x v="2"/>
    <x v="0"/>
    <x v="14"/>
    <n v="5.4180000000000001"/>
  </r>
  <r>
    <x v="0"/>
    <x v="0"/>
    <x v="0"/>
    <x v="0"/>
    <x v="2"/>
    <x v="0"/>
    <x v="15"/>
    <n v="5.4180000000000001"/>
  </r>
  <r>
    <x v="0"/>
    <x v="0"/>
    <x v="0"/>
    <x v="0"/>
    <x v="2"/>
    <x v="0"/>
    <x v="16"/>
    <n v="4.0935623430782604"/>
  </r>
  <r>
    <x v="0"/>
    <x v="0"/>
    <x v="0"/>
    <x v="0"/>
    <x v="2"/>
    <x v="0"/>
    <x v="17"/>
    <n v="5.4180000000000001"/>
  </r>
  <r>
    <x v="0"/>
    <x v="0"/>
    <x v="0"/>
    <x v="0"/>
    <x v="2"/>
    <x v="0"/>
    <x v="18"/>
    <n v="5.4180000000000001"/>
  </r>
  <r>
    <x v="0"/>
    <x v="0"/>
    <x v="0"/>
    <x v="0"/>
    <x v="2"/>
    <x v="0"/>
    <x v="19"/>
    <n v="5.4180000000000001"/>
  </r>
  <r>
    <x v="0"/>
    <x v="0"/>
    <x v="0"/>
    <x v="0"/>
    <x v="2"/>
    <x v="0"/>
    <x v="20"/>
    <n v="5.4180000000000001"/>
  </r>
  <r>
    <x v="0"/>
    <x v="0"/>
    <x v="0"/>
    <x v="0"/>
    <x v="2"/>
    <x v="0"/>
    <x v="21"/>
    <n v="5.4180000000000001"/>
  </r>
  <r>
    <x v="0"/>
    <x v="0"/>
    <x v="0"/>
    <x v="0"/>
    <x v="2"/>
    <x v="0"/>
    <x v="22"/>
    <n v="1.1323654417915401"/>
  </r>
  <r>
    <x v="0"/>
    <x v="0"/>
    <x v="0"/>
    <x v="0"/>
    <x v="2"/>
    <x v="0"/>
    <x v="23"/>
    <n v="5.4180000000000001"/>
  </r>
  <r>
    <x v="0"/>
    <x v="0"/>
    <x v="0"/>
    <x v="0"/>
    <x v="3"/>
    <x v="0"/>
    <x v="0"/>
    <n v="-0.45635338059677699"/>
  </r>
  <r>
    <x v="0"/>
    <x v="0"/>
    <x v="0"/>
    <x v="0"/>
    <x v="3"/>
    <x v="0"/>
    <x v="1"/>
    <n v="-0.52649999999999997"/>
  </r>
  <r>
    <x v="0"/>
    <x v="0"/>
    <x v="0"/>
    <x v="0"/>
    <x v="3"/>
    <x v="0"/>
    <x v="2"/>
    <n v="-5.9350291315501298E-2"/>
  </r>
  <r>
    <x v="0"/>
    <x v="0"/>
    <x v="0"/>
    <x v="0"/>
    <x v="3"/>
    <x v="0"/>
    <x v="3"/>
    <n v="-0.52649999999999997"/>
  </r>
  <r>
    <x v="0"/>
    <x v="0"/>
    <x v="0"/>
    <x v="0"/>
    <x v="3"/>
    <x v="0"/>
    <x v="4"/>
    <n v="-0.52649999999999997"/>
  </r>
  <r>
    <x v="0"/>
    <x v="0"/>
    <x v="0"/>
    <x v="0"/>
    <x v="3"/>
    <x v="0"/>
    <x v="5"/>
    <n v="-0.52649999999999997"/>
  </r>
  <r>
    <x v="0"/>
    <x v="0"/>
    <x v="0"/>
    <x v="0"/>
    <x v="3"/>
    <x v="0"/>
    <x v="6"/>
    <n v="-0.52649999999999997"/>
  </r>
  <r>
    <x v="0"/>
    <x v="0"/>
    <x v="0"/>
    <x v="0"/>
    <x v="3"/>
    <x v="0"/>
    <x v="7"/>
    <n v="-0.52649999999999997"/>
  </r>
  <r>
    <x v="0"/>
    <x v="0"/>
    <x v="0"/>
    <x v="0"/>
    <x v="3"/>
    <x v="0"/>
    <x v="8"/>
    <n v="-0.52649999999999997"/>
  </r>
  <r>
    <x v="0"/>
    <x v="0"/>
    <x v="0"/>
    <x v="0"/>
    <x v="3"/>
    <x v="0"/>
    <x v="9"/>
    <n v="-0.52649999999999997"/>
  </r>
  <r>
    <x v="0"/>
    <x v="0"/>
    <x v="0"/>
    <x v="0"/>
    <x v="3"/>
    <x v="0"/>
    <x v="10"/>
    <n v="-0.52649999999999997"/>
  </r>
  <r>
    <x v="0"/>
    <x v="0"/>
    <x v="0"/>
    <x v="0"/>
    <x v="3"/>
    <x v="0"/>
    <x v="11"/>
    <n v="-0.52649999999999997"/>
  </r>
  <r>
    <x v="0"/>
    <x v="0"/>
    <x v="0"/>
    <x v="0"/>
    <x v="3"/>
    <x v="0"/>
    <x v="12"/>
    <n v="-0.52649999999999997"/>
  </r>
  <r>
    <x v="0"/>
    <x v="0"/>
    <x v="0"/>
    <x v="0"/>
    <x v="3"/>
    <x v="0"/>
    <x v="13"/>
    <n v="-0.52649999999999997"/>
  </r>
  <r>
    <x v="0"/>
    <x v="0"/>
    <x v="0"/>
    <x v="0"/>
    <x v="3"/>
    <x v="0"/>
    <x v="14"/>
    <n v="-0.52649999999999997"/>
  </r>
  <r>
    <x v="0"/>
    <x v="0"/>
    <x v="0"/>
    <x v="0"/>
    <x v="3"/>
    <x v="0"/>
    <x v="15"/>
    <n v="-0.52649999999999997"/>
  </r>
  <r>
    <x v="0"/>
    <x v="0"/>
    <x v="0"/>
    <x v="0"/>
    <x v="3"/>
    <x v="0"/>
    <x v="16"/>
    <n v="-0.52649999999999997"/>
  </r>
  <r>
    <x v="0"/>
    <x v="0"/>
    <x v="0"/>
    <x v="0"/>
    <x v="3"/>
    <x v="0"/>
    <x v="17"/>
    <n v="-0.52649999999999997"/>
  </r>
  <r>
    <x v="0"/>
    <x v="0"/>
    <x v="0"/>
    <x v="0"/>
    <x v="3"/>
    <x v="0"/>
    <x v="18"/>
    <n v="-0.45206698223467201"/>
  </r>
  <r>
    <x v="0"/>
    <x v="0"/>
    <x v="0"/>
    <x v="0"/>
    <x v="3"/>
    <x v="0"/>
    <x v="19"/>
    <n v="-0.400355212040019"/>
  </r>
  <r>
    <x v="0"/>
    <x v="0"/>
    <x v="0"/>
    <x v="0"/>
    <x v="3"/>
    <x v="0"/>
    <x v="20"/>
    <n v="-0.47150693935475801"/>
  </r>
  <r>
    <x v="0"/>
    <x v="0"/>
    <x v="0"/>
    <x v="0"/>
    <x v="3"/>
    <x v="0"/>
    <x v="21"/>
    <n v="-0.52649999999999997"/>
  </r>
  <r>
    <x v="0"/>
    <x v="0"/>
    <x v="0"/>
    <x v="0"/>
    <x v="3"/>
    <x v="0"/>
    <x v="22"/>
    <n v="-0.52649999999999997"/>
  </r>
  <r>
    <x v="0"/>
    <x v="0"/>
    <x v="0"/>
    <x v="0"/>
    <x v="3"/>
    <x v="0"/>
    <x v="23"/>
    <n v="-0.52649999999999997"/>
  </r>
  <r>
    <x v="0"/>
    <x v="0"/>
    <x v="0"/>
    <x v="1"/>
    <x v="4"/>
    <x v="0"/>
    <x v="0"/>
    <n v="0"/>
  </r>
  <r>
    <x v="0"/>
    <x v="0"/>
    <x v="0"/>
    <x v="1"/>
    <x v="4"/>
    <x v="0"/>
    <x v="1"/>
    <n v="0"/>
  </r>
  <r>
    <x v="0"/>
    <x v="0"/>
    <x v="0"/>
    <x v="1"/>
    <x v="4"/>
    <x v="0"/>
    <x v="2"/>
    <n v="0"/>
  </r>
  <r>
    <x v="0"/>
    <x v="0"/>
    <x v="0"/>
    <x v="1"/>
    <x v="4"/>
    <x v="0"/>
    <x v="3"/>
    <n v="0"/>
  </r>
  <r>
    <x v="0"/>
    <x v="0"/>
    <x v="0"/>
    <x v="1"/>
    <x v="4"/>
    <x v="0"/>
    <x v="4"/>
    <n v="0"/>
  </r>
  <r>
    <x v="0"/>
    <x v="0"/>
    <x v="0"/>
    <x v="1"/>
    <x v="4"/>
    <x v="0"/>
    <x v="5"/>
    <n v="0"/>
  </r>
  <r>
    <x v="0"/>
    <x v="0"/>
    <x v="0"/>
    <x v="1"/>
    <x v="4"/>
    <x v="0"/>
    <x v="6"/>
    <n v="0"/>
  </r>
  <r>
    <x v="0"/>
    <x v="0"/>
    <x v="0"/>
    <x v="1"/>
    <x v="4"/>
    <x v="0"/>
    <x v="7"/>
    <n v="0"/>
  </r>
  <r>
    <x v="0"/>
    <x v="0"/>
    <x v="0"/>
    <x v="1"/>
    <x v="4"/>
    <x v="0"/>
    <x v="8"/>
    <n v="0"/>
  </r>
  <r>
    <x v="0"/>
    <x v="0"/>
    <x v="0"/>
    <x v="1"/>
    <x v="4"/>
    <x v="0"/>
    <x v="9"/>
    <n v="0"/>
  </r>
  <r>
    <x v="0"/>
    <x v="0"/>
    <x v="0"/>
    <x v="1"/>
    <x v="4"/>
    <x v="0"/>
    <x v="10"/>
    <n v="0"/>
  </r>
  <r>
    <x v="0"/>
    <x v="0"/>
    <x v="0"/>
    <x v="1"/>
    <x v="4"/>
    <x v="0"/>
    <x v="11"/>
    <n v="0"/>
  </r>
  <r>
    <x v="0"/>
    <x v="0"/>
    <x v="0"/>
    <x v="1"/>
    <x v="4"/>
    <x v="0"/>
    <x v="12"/>
    <n v="0"/>
  </r>
  <r>
    <x v="0"/>
    <x v="0"/>
    <x v="0"/>
    <x v="1"/>
    <x v="4"/>
    <x v="0"/>
    <x v="13"/>
    <n v="0"/>
  </r>
  <r>
    <x v="0"/>
    <x v="0"/>
    <x v="0"/>
    <x v="1"/>
    <x v="4"/>
    <x v="0"/>
    <x v="14"/>
    <n v="0"/>
  </r>
  <r>
    <x v="0"/>
    <x v="0"/>
    <x v="0"/>
    <x v="1"/>
    <x v="4"/>
    <x v="0"/>
    <x v="15"/>
    <n v="0"/>
  </r>
  <r>
    <x v="0"/>
    <x v="0"/>
    <x v="0"/>
    <x v="1"/>
    <x v="4"/>
    <x v="0"/>
    <x v="16"/>
    <n v="0"/>
  </r>
  <r>
    <x v="0"/>
    <x v="0"/>
    <x v="0"/>
    <x v="1"/>
    <x v="4"/>
    <x v="0"/>
    <x v="17"/>
    <n v="0"/>
  </r>
  <r>
    <x v="0"/>
    <x v="0"/>
    <x v="0"/>
    <x v="1"/>
    <x v="4"/>
    <x v="0"/>
    <x v="18"/>
    <n v="0"/>
  </r>
  <r>
    <x v="0"/>
    <x v="0"/>
    <x v="0"/>
    <x v="1"/>
    <x v="4"/>
    <x v="0"/>
    <x v="19"/>
    <n v="0"/>
  </r>
  <r>
    <x v="0"/>
    <x v="0"/>
    <x v="0"/>
    <x v="1"/>
    <x v="4"/>
    <x v="0"/>
    <x v="20"/>
    <n v="0"/>
  </r>
  <r>
    <x v="0"/>
    <x v="0"/>
    <x v="0"/>
    <x v="1"/>
    <x v="4"/>
    <x v="0"/>
    <x v="21"/>
    <n v="0"/>
  </r>
  <r>
    <x v="0"/>
    <x v="0"/>
    <x v="0"/>
    <x v="1"/>
    <x v="4"/>
    <x v="0"/>
    <x v="22"/>
    <n v="0"/>
  </r>
  <r>
    <x v="0"/>
    <x v="0"/>
    <x v="0"/>
    <x v="1"/>
    <x v="4"/>
    <x v="0"/>
    <x v="23"/>
    <n v="0"/>
  </r>
  <r>
    <x v="0"/>
    <x v="0"/>
    <x v="0"/>
    <x v="1"/>
    <x v="2"/>
    <x v="0"/>
    <x v="0"/>
    <n v="5.7574202407775799"/>
  </r>
  <r>
    <x v="0"/>
    <x v="0"/>
    <x v="0"/>
    <x v="1"/>
    <x v="2"/>
    <x v="0"/>
    <x v="1"/>
    <n v="5.6081181127172899"/>
  </r>
  <r>
    <x v="0"/>
    <x v="0"/>
    <x v="0"/>
    <x v="1"/>
    <x v="2"/>
    <x v="0"/>
    <x v="2"/>
    <n v="4.5118067612519202"/>
  </r>
  <r>
    <x v="0"/>
    <x v="0"/>
    <x v="0"/>
    <x v="1"/>
    <x v="2"/>
    <x v="0"/>
    <x v="3"/>
    <n v="0"/>
  </r>
  <r>
    <x v="0"/>
    <x v="0"/>
    <x v="0"/>
    <x v="1"/>
    <x v="2"/>
    <x v="0"/>
    <x v="4"/>
    <n v="4.7280440764204599"/>
  </r>
  <r>
    <x v="0"/>
    <x v="0"/>
    <x v="0"/>
    <x v="1"/>
    <x v="2"/>
    <x v="0"/>
    <x v="5"/>
    <n v="4.4048266927155701"/>
  </r>
  <r>
    <x v="0"/>
    <x v="0"/>
    <x v="0"/>
    <x v="1"/>
    <x v="2"/>
    <x v="0"/>
    <x v="6"/>
    <n v="3.9827406271478698"/>
  </r>
  <r>
    <x v="0"/>
    <x v="0"/>
    <x v="0"/>
    <x v="1"/>
    <x v="2"/>
    <x v="0"/>
    <x v="7"/>
    <n v="3.2376377183687901"/>
  </r>
  <r>
    <x v="0"/>
    <x v="0"/>
    <x v="0"/>
    <x v="1"/>
    <x v="2"/>
    <x v="0"/>
    <x v="8"/>
    <n v="4.3047870054536101"/>
  </r>
  <r>
    <x v="0"/>
    <x v="0"/>
    <x v="0"/>
    <x v="1"/>
    <x v="2"/>
    <x v="0"/>
    <x v="9"/>
    <n v="1.59245876873113"/>
  </r>
  <r>
    <x v="0"/>
    <x v="0"/>
    <x v="0"/>
    <x v="1"/>
    <x v="2"/>
    <x v="0"/>
    <x v="10"/>
    <n v="4.7371061796529901"/>
  </r>
  <r>
    <x v="0"/>
    <x v="0"/>
    <x v="0"/>
    <x v="1"/>
    <x v="2"/>
    <x v="0"/>
    <x v="11"/>
    <n v="0"/>
  </r>
  <r>
    <x v="0"/>
    <x v="0"/>
    <x v="0"/>
    <x v="1"/>
    <x v="2"/>
    <x v="0"/>
    <x v="12"/>
    <n v="0"/>
  </r>
  <r>
    <x v="0"/>
    <x v="0"/>
    <x v="0"/>
    <x v="1"/>
    <x v="2"/>
    <x v="0"/>
    <x v="13"/>
    <n v="1.03211997215095"/>
  </r>
  <r>
    <x v="0"/>
    <x v="0"/>
    <x v="0"/>
    <x v="1"/>
    <x v="2"/>
    <x v="0"/>
    <x v="14"/>
    <n v="4.6721169161077301"/>
  </r>
  <r>
    <x v="0"/>
    <x v="0"/>
    <x v="0"/>
    <x v="1"/>
    <x v="2"/>
    <x v="0"/>
    <x v="15"/>
    <n v="4.4060031649000599"/>
  </r>
  <r>
    <x v="0"/>
    <x v="0"/>
    <x v="0"/>
    <x v="1"/>
    <x v="2"/>
    <x v="0"/>
    <x v="16"/>
    <n v="4.0861713575832699"/>
  </r>
  <r>
    <x v="0"/>
    <x v="0"/>
    <x v="0"/>
    <x v="1"/>
    <x v="2"/>
    <x v="0"/>
    <x v="17"/>
    <n v="4.3353958543795201"/>
  </r>
  <r>
    <x v="0"/>
    <x v="0"/>
    <x v="0"/>
    <x v="1"/>
    <x v="2"/>
    <x v="0"/>
    <x v="18"/>
    <n v="2.5829151850291998"/>
  </r>
  <r>
    <x v="0"/>
    <x v="0"/>
    <x v="0"/>
    <x v="1"/>
    <x v="2"/>
    <x v="0"/>
    <x v="19"/>
    <n v="3.92662101184527"/>
  </r>
  <r>
    <x v="0"/>
    <x v="0"/>
    <x v="0"/>
    <x v="1"/>
    <x v="2"/>
    <x v="0"/>
    <x v="20"/>
    <n v="4.2873235117839901"/>
  </r>
  <r>
    <x v="0"/>
    <x v="0"/>
    <x v="0"/>
    <x v="1"/>
    <x v="2"/>
    <x v="0"/>
    <x v="21"/>
    <n v="4.0558376325396299"/>
  </r>
  <r>
    <x v="0"/>
    <x v="0"/>
    <x v="0"/>
    <x v="1"/>
    <x v="2"/>
    <x v="0"/>
    <x v="22"/>
    <n v="3.3425738029354601"/>
  </r>
  <r>
    <x v="0"/>
    <x v="0"/>
    <x v="0"/>
    <x v="1"/>
    <x v="2"/>
    <x v="0"/>
    <x v="23"/>
    <n v="3.7804530045197402"/>
  </r>
  <r>
    <x v="0"/>
    <x v="0"/>
    <x v="0"/>
    <x v="1"/>
    <x v="5"/>
    <x v="0"/>
    <x v="0"/>
    <n v="-1.6020000000000001"/>
  </r>
  <r>
    <x v="0"/>
    <x v="0"/>
    <x v="0"/>
    <x v="1"/>
    <x v="5"/>
    <x v="0"/>
    <x v="1"/>
    <n v="-1.6020000000000001"/>
  </r>
  <r>
    <x v="0"/>
    <x v="0"/>
    <x v="0"/>
    <x v="1"/>
    <x v="5"/>
    <x v="0"/>
    <x v="2"/>
    <n v="-1.6020000000000001"/>
  </r>
  <r>
    <x v="0"/>
    <x v="0"/>
    <x v="0"/>
    <x v="1"/>
    <x v="5"/>
    <x v="0"/>
    <x v="3"/>
    <n v="-1.6020000000000001"/>
  </r>
  <r>
    <x v="0"/>
    <x v="0"/>
    <x v="0"/>
    <x v="1"/>
    <x v="5"/>
    <x v="0"/>
    <x v="4"/>
    <n v="-1.6020000000000001"/>
  </r>
  <r>
    <x v="0"/>
    <x v="0"/>
    <x v="0"/>
    <x v="1"/>
    <x v="5"/>
    <x v="0"/>
    <x v="5"/>
    <n v="-1.6020000000000001"/>
  </r>
  <r>
    <x v="0"/>
    <x v="0"/>
    <x v="0"/>
    <x v="1"/>
    <x v="5"/>
    <x v="0"/>
    <x v="6"/>
    <n v="-1.6020000000000001"/>
  </r>
  <r>
    <x v="0"/>
    <x v="0"/>
    <x v="0"/>
    <x v="1"/>
    <x v="5"/>
    <x v="0"/>
    <x v="7"/>
    <n v="-1.6020000000000001"/>
  </r>
  <r>
    <x v="0"/>
    <x v="0"/>
    <x v="0"/>
    <x v="1"/>
    <x v="5"/>
    <x v="0"/>
    <x v="8"/>
    <n v="-1.6020000000000001"/>
  </r>
  <r>
    <x v="0"/>
    <x v="0"/>
    <x v="0"/>
    <x v="1"/>
    <x v="5"/>
    <x v="0"/>
    <x v="9"/>
    <n v="-1.6020000000000001"/>
  </r>
  <r>
    <x v="0"/>
    <x v="0"/>
    <x v="0"/>
    <x v="1"/>
    <x v="5"/>
    <x v="0"/>
    <x v="10"/>
    <n v="-1.6020000000000001"/>
  </r>
  <r>
    <x v="0"/>
    <x v="0"/>
    <x v="0"/>
    <x v="1"/>
    <x v="5"/>
    <x v="0"/>
    <x v="11"/>
    <n v="-1.6020000000000001"/>
  </r>
  <r>
    <x v="0"/>
    <x v="0"/>
    <x v="0"/>
    <x v="1"/>
    <x v="5"/>
    <x v="0"/>
    <x v="12"/>
    <n v="-1.6020000000000001"/>
  </r>
  <r>
    <x v="0"/>
    <x v="0"/>
    <x v="0"/>
    <x v="1"/>
    <x v="5"/>
    <x v="0"/>
    <x v="13"/>
    <n v="-1.6020000000000001"/>
  </r>
  <r>
    <x v="0"/>
    <x v="0"/>
    <x v="0"/>
    <x v="1"/>
    <x v="5"/>
    <x v="0"/>
    <x v="14"/>
    <n v="-1.6020000000000001"/>
  </r>
  <r>
    <x v="0"/>
    <x v="0"/>
    <x v="0"/>
    <x v="1"/>
    <x v="5"/>
    <x v="0"/>
    <x v="15"/>
    <n v="-1.6020000000000001"/>
  </r>
  <r>
    <x v="0"/>
    <x v="0"/>
    <x v="0"/>
    <x v="1"/>
    <x v="5"/>
    <x v="0"/>
    <x v="16"/>
    <n v="-1.6020000000000001"/>
  </r>
  <r>
    <x v="0"/>
    <x v="0"/>
    <x v="0"/>
    <x v="1"/>
    <x v="5"/>
    <x v="0"/>
    <x v="17"/>
    <n v="-1.6020000000000001"/>
  </r>
  <r>
    <x v="0"/>
    <x v="0"/>
    <x v="0"/>
    <x v="1"/>
    <x v="5"/>
    <x v="0"/>
    <x v="18"/>
    <n v="-1.34007518533022"/>
  </r>
  <r>
    <x v="0"/>
    <x v="0"/>
    <x v="0"/>
    <x v="1"/>
    <x v="5"/>
    <x v="0"/>
    <x v="19"/>
    <n v="-1.2316572303570901"/>
  </r>
  <r>
    <x v="0"/>
    <x v="0"/>
    <x v="0"/>
    <x v="1"/>
    <x v="5"/>
    <x v="0"/>
    <x v="20"/>
    <n v="-1.33457033909265"/>
  </r>
  <r>
    <x v="0"/>
    <x v="0"/>
    <x v="0"/>
    <x v="1"/>
    <x v="5"/>
    <x v="0"/>
    <x v="21"/>
    <n v="-1.59384876754657"/>
  </r>
  <r>
    <x v="0"/>
    <x v="0"/>
    <x v="0"/>
    <x v="1"/>
    <x v="5"/>
    <x v="0"/>
    <x v="22"/>
    <n v="-1.6020000000000001"/>
  </r>
  <r>
    <x v="0"/>
    <x v="0"/>
    <x v="0"/>
    <x v="1"/>
    <x v="5"/>
    <x v="0"/>
    <x v="23"/>
    <n v="-1.6020000000000001"/>
  </r>
  <r>
    <x v="0"/>
    <x v="0"/>
    <x v="0"/>
    <x v="1"/>
    <x v="3"/>
    <x v="0"/>
    <x v="0"/>
    <n v="0"/>
  </r>
  <r>
    <x v="0"/>
    <x v="0"/>
    <x v="0"/>
    <x v="1"/>
    <x v="3"/>
    <x v="0"/>
    <x v="1"/>
    <n v="0"/>
  </r>
  <r>
    <x v="0"/>
    <x v="0"/>
    <x v="0"/>
    <x v="1"/>
    <x v="3"/>
    <x v="0"/>
    <x v="2"/>
    <n v="0"/>
  </r>
  <r>
    <x v="0"/>
    <x v="0"/>
    <x v="0"/>
    <x v="1"/>
    <x v="3"/>
    <x v="0"/>
    <x v="3"/>
    <n v="0"/>
  </r>
  <r>
    <x v="0"/>
    <x v="0"/>
    <x v="0"/>
    <x v="1"/>
    <x v="3"/>
    <x v="0"/>
    <x v="4"/>
    <n v="0"/>
  </r>
  <r>
    <x v="0"/>
    <x v="0"/>
    <x v="0"/>
    <x v="1"/>
    <x v="3"/>
    <x v="0"/>
    <x v="5"/>
    <n v="0"/>
  </r>
  <r>
    <x v="0"/>
    <x v="0"/>
    <x v="0"/>
    <x v="1"/>
    <x v="3"/>
    <x v="0"/>
    <x v="6"/>
    <n v="0"/>
  </r>
  <r>
    <x v="0"/>
    <x v="0"/>
    <x v="0"/>
    <x v="1"/>
    <x v="3"/>
    <x v="0"/>
    <x v="7"/>
    <n v="0"/>
  </r>
  <r>
    <x v="0"/>
    <x v="0"/>
    <x v="0"/>
    <x v="1"/>
    <x v="3"/>
    <x v="0"/>
    <x v="8"/>
    <n v="0"/>
  </r>
  <r>
    <x v="0"/>
    <x v="0"/>
    <x v="0"/>
    <x v="1"/>
    <x v="3"/>
    <x v="0"/>
    <x v="9"/>
    <n v="0"/>
  </r>
  <r>
    <x v="0"/>
    <x v="0"/>
    <x v="0"/>
    <x v="1"/>
    <x v="3"/>
    <x v="0"/>
    <x v="10"/>
    <n v="0"/>
  </r>
  <r>
    <x v="0"/>
    <x v="0"/>
    <x v="0"/>
    <x v="1"/>
    <x v="3"/>
    <x v="0"/>
    <x v="11"/>
    <n v="0"/>
  </r>
  <r>
    <x v="0"/>
    <x v="0"/>
    <x v="0"/>
    <x v="1"/>
    <x v="3"/>
    <x v="0"/>
    <x v="12"/>
    <n v="0"/>
  </r>
  <r>
    <x v="0"/>
    <x v="0"/>
    <x v="0"/>
    <x v="1"/>
    <x v="3"/>
    <x v="0"/>
    <x v="13"/>
    <n v="0"/>
  </r>
  <r>
    <x v="0"/>
    <x v="0"/>
    <x v="0"/>
    <x v="1"/>
    <x v="3"/>
    <x v="0"/>
    <x v="14"/>
    <n v="0"/>
  </r>
  <r>
    <x v="0"/>
    <x v="0"/>
    <x v="0"/>
    <x v="1"/>
    <x v="3"/>
    <x v="0"/>
    <x v="15"/>
    <n v="0"/>
  </r>
  <r>
    <x v="0"/>
    <x v="0"/>
    <x v="0"/>
    <x v="1"/>
    <x v="3"/>
    <x v="0"/>
    <x v="16"/>
    <n v="0"/>
  </r>
  <r>
    <x v="0"/>
    <x v="0"/>
    <x v="0"/>
    <x v="1"/>
    <x v="3"/>
    <x v="0"/>
    <x v="17"/>
    <n v="0"/>
  </r>
  <r>
    <x v="0"/>
    <x v="0"/>
    <x v="0"/>
    <x v="1"/>
    <x v="3"/>
    <x v="0"/>
    <x v="18"/>
    <n v="0"/>
  </r>
  <r>
    <x v="0"/>
    <x v="0"/>
    <x v="0"/>
    <x v="1"/>
    <x v="3"/>
    <x v="0"/>
    <x v="19"/>
    <n v="0"/>
  </r>
  <r>
    <x v="0"/>
    <x v="0"/>
    <x v="0"/>
    <x v="1"/>
    <x v="3"/>
    <x v="0"/>
    <x v="20"/>
    <n v="0"/>
  </r>
  <r>
    <x v="0"/>
    <x v="0"/>
    <x v="0"/>
    <x v="1"/>
    <x v="3"/>
    <x v="0"/>
    <x v="21"/>
    <n v="0"/>
  </r>
  <r>
    <x v="0"/>
    <x v="0"/>
    <x v="0"/>
    <x v="1"/>
    <x v="3"/>
    <x v="0"/>
    <x v="22"/>
    <n v="0"/>
  </r>
  <r>
    <x v="0"/>
    <x v="0"/>
    <x v="0"/>
    <x v="1"/>
    <x v="3"/>
    <x v="0"/>
    <x v="23"/>
    <n v="0"/>
  </r>
  <r>
    <x v="0"/>
    <x v="0"/>
    <x v="0"/>
    <x v="1"/>
    <x v="6"/>
    <x v="0"/>
    <x v="0"/>
    <n v="0"/>
  </r>
  <r>
    <x v="0"/>
    <x v="0"/>
    <x v="0"/>
    <x v="1"/>
    <x v="6"/>
    <x v="0"/>
    <x v="1"/>
    <n v="0"/>
  </r>
  <r>
    <x v="0"/>
    <x v="0"/>
    <x v="0"/>
    <x v="1"/>
    <x v="6"/>
    <x v="0"/>
    <x v="2"/>
    <n v="0"/>
  </r>
  <r>
    <x v="0"/>
    <x v="0"/>
    <x v="0"/>
    <x v="1"/>
    <x v="6"/>
    <x v="0"/>
    <x v="3"/>
    <n v="0"/>
  </r>
  <r>
    <x v="0"/>
    <x v="0"/>
    <x v="0"/>
    <x v="1"/>
    <x v="6"/>
    <x v="0"/>
    <x v="4"/>
    <n v="0"/>
  </r>
  <r>
    <x v="0"/>
    <x v="0"/>
    <x v="0"/>
    <x v="1"/>
    <x v="6"/>
    <x v="0"/>
    <x v="5"/>
    <n v="0"/>
  </r>
  <r>
    <x v="0"/>
    <x v="0"/>
    <x v="0"/>
    <x v="1"/>
    <x v="6"/>
    <x v="0"/>
    <x v="6"/>
    <n v="0"/>
  </r>
  <r>
    <x v="0"/>
    <x v="0"/>
    <x v="0"/>
    <x v="1"/>
    <x v="6"/>
    <x v="0"/>
    <x v="7"/>
    <n v="0"/>
  </r>
  <r>
    <x v="0"/>
    <x v="0"/>
    <x v="0"/>
    <x v="1"/>
    <x v="6"/>
    <x v="0"/>
    <x v="8"/>
    <n v="0"/>
  </r>
  <r>
    <x v="0"/>
    <x v="0"/>
    <x v="0"/>
    <x v="1"/>
    <x v="6"/>
    <x v="0"/>
    <x v="9"/>
    <n v="0"/>
  </r>
  <r>
    <x v="0"/>
    <x v="0"/>
    <x v="0"/>
    <x v="1"/>
    <x v="6"/>
    <x v="0"/>
    <x v="10"/>
    <n v="0"/>
  </r>
  <r>
    <x v="0"/>
    <x v="0"/>
    <x v="0"/>
    <x v="1"/>
    <x v="6"/>
    <x v="0"/>
    <x v="11"/>
    <n v="0"/>
  </r>
  <r>
    <x v="0"/>
    <x v="0"/>
    <x v="0"/>
    <x v="1"/>
    <x v="6"/>
    <x v="0"/>
    <x v="12"/>
    <n v="0"/>
  </r>
  <r>
    <x v="0"/>
    <x v="0"/>
    <x v="0"/>
    <x v="1"/>
    <x v="6"/>
    <x v="0"/>
    <x v="13"/>
    <n v="0"/>
  </r>
  <r>
    <x v="0"/>
    <x v="0"/>
    <x v="0"/>
    <x v="1"/>
    <x v="6"/>
    <x v="0"/>
    <x v="14"/>
    <n v="0"/>
  </r>
  <r>
    <x v="0"/>
    <x v="0"/>
    <x v="0"/>
    <x v="1"/>
    <x v="6"/>
    <x v="0"/>
    <x v="15"/>
    <n v="0"/>
  </r>
  <r>
    <x v="0"/>
    <x v="0"/>
    <x v="0"/>
    <x v="1"/>
    <x v="6"/>
    <x v="0"/>
    <x v="16"/>
    <n v="0"/>
  </r>
  <r>
    <x v="0"/>
    <x v="0"/>
    <x v="0"/>
    <x v="1"/>
    <x v="6"/>
    <x v="0"/>
    <x v="17"/>
    <n v="0"/>
  </r>
  <r>
    <x v="0"/>
    <x v="0"/>
    <x v="0"/>
    <x v="1"/>
    <x v="6"/>
    <x v="0"/>
    <x v="18"/>
    <n v="0"/>
  </r>
  <r>
    <x v="0"/>
    <x v="0"/>
    <x v="0"/>
    <x v="1"/>
    <x v="6"/>
    <x v="0"/>
    <x v="19"/>
    <n v="0"/>
  </r>
  <r>
    <x v="0"/>
    <x v="0"/>
    <x v="0"/>
    <x v="1"/>
    <x v="6"/>
    <x v="0"/>
    <x v="20"/>
    <n v="0"/>
  </r>
  <r>
    <x v="0"/>
    <x v="0"/>
    <x v="0"/>
    <x v="1"/>
    <x v="6"/>
    <x v="0"/>
    <x v="21"/>
    <n v="0"/>
  </r>
  <r>
    <x v="0"/>
    <x v="0"/>
    <x v="0"/>
    <x v="1"/>
    <x v="6"/>
    <x v="0"/>
    <x v="22"/>
    <n v="0"/>
  </r>
  <r>
    <x v="0"/>
    <x v="0"/>
    <x v="0"/>
    <x v="1"/>
    <x v="6"/>
    <x v="0"/>
    <x v="23"/>
    <n v="0"/>
  </r>
  <r>
    <x v="0"/>
    <x v="0"/>
    <x v="0"/>
    <x v="1"/>
    <x v="7"/>
    <x v="0"/>
    <x v="0"/>
    <n v="-0.54900000000000004"/>
  </r>
  <r>
    <x v="0"/>
    <x v="0"/>
    <x v="0"/>
    <x v="1"/>
    <x v="7"/>
    <x v="0"/>
    <x v="1"/>
    <n v="-0.54900000000000004"/>
  </r>
  <r>
    <x v="0"/>
    <x v="0"/>
    <x v="0"/>
    <x v="1"/>
    <x v="7"/>
    <x v="0"/>
    <x v="2"/>
    <n v="-0.54900000000000004"/>
  </r>
  <r>
    <x v="0"/>
    <x v="0"/>
    <x v="0"/>
    <x v="1"/>
    <x v="7"/>
    <x v="0"/>
    <x v="3"/>
    <n v="-0.54900000000000004"/>
  </r>
  <r>
    <x v="0"/>
    <x v="0"/>
    <x v="0"/>
    <x v="1"/>
    <x v="7"/>
    <x v="0"/>
    <x v="4"/>
    <n v="-0.54900000000000004"/>
  </r>
  <r>
    <x v="0"/>
    <x v="0"/>
    <x v="0"/>
    <x v="1"/>
    <x v="7"/>
    <x v="0"/>
    <x v="5"/>
    <n v="-0.54900000000000004"/>
  </r>
  <r>
    <x v="0"/>
    <x v="0"/>
    <x v="0"/>
    <x v="1"/>
    <x v="7"/>
    <x v="0"/>
    <x v="6"/>
    <n v="-0.54900000000000004"/>
  </r>
  <r>
    <x v="0"/>
    <x v="0"/>
    <x v="0"/>
    <x v="1"/>
    <x v="7"/>
    <x v="0"/>
    <x v="7"/>
    <n v="-0.54900000000000004"/>
  </r>
  <r>
    <x v="0"/>
    <x v="0"/>
    <x v="0"/>
    <x v="1"/>
    <x v="7"/>
    <x v="0"/>
    <x v="8"/>
    <n v="-0.54900000000000004"/>
  </r>
  <r>
    <x v="0"/>
    <x v="0"/>
    <x v="0"/>
    <x v="1"/>
    <x v="7"/>
    <x v="0"/>
    <x v="9"/>
    <n v="-0.54900000000000004"/>
  </r>
  <r>
    <x v="0"/>
    <x v="0"/>
    <x v="0"/>
    <x v="1"/>
    <x v="7"/>
    <x v="0"/>
    <x v="10"/>
    <n v="-0.54900000000000004"/>
  </r>
  <r>
    <x v="0"/>
    <x v="0"/>
    <x v="0"/>
    <x v="1"/>
    <x v="7"/>
    <x v="0"/>
    <x v="11"/>
    <n v="-0.54900000000000004"/>
  </r>
  <r>
    <x v="0"/>
    <x v="0"/>
    <x v="0"/>
    <x v="1"/>
    <x v="7"/>
    <x v="0"/>
    <x v="12"/>
    <n v="-0.54900000000000004"/>
  </r>
  <r>
    <x v="0"/>
    <x v="0"/>
    <x v="0"/>
    <x v="1"/>
    <x v="7"/>
    <x v="0"/>
    <x v="13"/>
    <n v="-0.54900000000000004"/>
  </r>
  <r>
    <x v="0"/>
    <x v="0"/>
    <x v="0"/>
    <x v="1"/>
    <x v="7"/>
    <x v="0"/>
    <x v="14"/>
    <n v="-0.54900000000000004"/>
  </r>
  <r>
    <x v="0"/>
    <x v="0"/>
    <x v="0"/>
    <x v="1"/>
    <x v="7"/>
    <x v="0"/>
    <x v="15"/>
    <n v="-0.54900000000000004"/>
  </r>
  <r>
    <x v="0"/>
    <x v="0"/>
    <x v="0"/>
    <x v="1"/>
    <x v="7"/>
    <x v="0"/>
    <x v="16"/>
    <n v="-0.54900000000000004"/>
  </r>
  <r>
    <x v="0"/>
    <x v="0"/>
    <x v="0"/>
    <x v="1"/>
    <x v="7"/>
    <x v="0"/>
    <x v="17"/>
    <n v="-0.54900000000000004"/>
  </r>
  <r>
    <x v="0"/>
    <x v="0"/>
    <x v="0"/>
    <x v="1"/>
    <x v="7"/>
    <x v="0"/>
    <x v="18"/>
    <n v="-0.54900000000000004"/>
  </r>
  <r>
    <x v="0"/>
    <x v="0"/>
    <x v="0"/>
    <x v="1"/>
    <x v="7"/>
    <x v="0"/>
    <x v="19"/>
    <n v="-0.54900000000000004"/>
  </r>
  <r>
    <x v="0"/>
    <x v="0"/>
    <x v="0"/>
    <x v="1"/>
    <x v="7"/>
    <x v="0"/>
    <x v="20"/>
    <n v="-0.54900000000000004"/>
  </r>
  <r>
    <x v="0"/>
    <x v="0"/>
    <x v="0"/>
    <x v="1"/>
    <x v="7"/>
    <x v="0"/>
    <x v="21"/>
    <n v="-0.54900000000000004"/>
  </r>
  <r>
    <x v="0"/>
    <x v="0"/>
    <x v="0"/>
    <x v="1"/>
    <x v="7"/>
    <x v="0"/>
    <x v="22"/>
    <n v="-0.54900000000000004"/>
  </r>
  <r>
    <x v="0"/>
    <x v="0"/>
    <x v="0"/>
    <x v="1"/>
    <x v="7"/>
    <x v="0"/>
    <x v="23"/>
    <n v="-0.54900000000000004"/>
  </r>
  <r>
    <x v="0"/>
    <x v="0"/>
    <x v="0"/>
    <x v="2"/>
    <x v="4"/>
    <x v="0"/>
    <x v="0"/>
    <n v="-2.7090000000000001"/>
  </r>
  <r>
    <x v="0"/>
    <x v="0"/>
    <x v="0"/>
    <x v="2"/>
    <x v="4"/>
    <x v="0"/>
    <x v="1"/>
    <n v="-2.7090000000000001"/>
  </r>
  <r>
    <x v="0"/>
    <x v="0"/>
    <x v="0"/>
    <x v="2"/>
    <x v="4"/>
    <x v="0"/>
    <x v="2"/>
    <n v="-2.7090000000000001"/>
  </r>
  <r>
    <x v="0"/>
    <x v="0"/>
    <x v="0"/>
    <x v="2"/>
    <x v="4"/>
    <x v="0"/>
    <x v="3"/>
    <n v="-2.7090000000000001"/>
  </r>
  <r>
    <x v="0"/>
    <x v="0"/>
    <x v="0"/>
    <x v="2"/>
    <x v="4"/>
    <x v="0"/>
    <x v="4"/>
    <n v="-2.7090000000000001"/>
  </r>
  <r>
    <x v="0"/>
    <x v="0"/>
    <x v="0"/>
    <x v="2"/>
    <x v="4"/>
    <x v="0"/>
    <x v="5"/>
    <n v="-2.7090000000000001"/>
  </r>
  <r>
    <x v="0"/>
    <x v="0"/>
    <x v="0"/>
    <x v="2"/>
    <x v="4"/>
    <x v="0"/>
    <x v="6"/>
    <n v="-2.7090000000000001"/>
  </r>
  <r>
    <x v="0"/>
    <x v="0"/>
    <x v="0"/>
    <x v="2"/>
    <x v="4"/>
    <x v="0"/>
    <x v="7"/>
    <n v="-2.7090000000000001"/>
  </r>
  <r>
    <x v="0"/>
    <x v="0"/>
    <x v="0"/>
    <x v="2"/>
    <x v="4"/>
    <x v="0"/>
    <x v="8"/>
    <n v="-2.7090000000000001"/>
  </r>
  <r>
    <x v="0"/>
    <x v="0"/>
    <x v="0"/>
    <x v="2"/>
    <x v="4"/>
    <x v="0"/>
    <x v="9"/>
    <n v="-2.7090000000000001"/>
  </r>
  <r>
    <x v="0"/>
    <x v="0"/>
    <x v="0"/>
    <x v="2"/>
    <x v="4"/>
    <x v="0"/>
    <x v="10"/>
    <n v="-2.7090000000000001"/>
  </r>
  <r>
    <x v="0"/>
    <x v="0"/>
    <x v="0"/>
    <x v="2"/>
    <x v="4"/>
    <x v="0"/>
    <x v="11"/>
    <n v="-2.7090000000000001"/>
  </r>
  <r>
    <x v="0"/>
    <x v="0"/>
    <x v="0"/>
    <x v="2"/>
    <x v="4"/>
    <x v="0"/>
    <x v="12"/>
    <n v="-2.7090000000000001"/>
  </r>
  <r>
    <x v="0"/>
    <x v="0"/>
    <x v="0"/>
    <x v="2"/>
    <x v="4"/>
    <x v="0"/>
    <x v="13"/>
    <n v="-2.7090000000000001"/>
  </r>
  <r>
    <x v="0"/>
    <x v="0"/>
    <x v="0"/>
    <x v="2"/>
    <x v="4"/>
    <x v="0"/>
    <x v="14"/>
    <n v="-2.7090000000000001"/>
  </r>
  <r>
    <x v="0"/>
    <x v="0"/>
    <x v="0"/>
    <x v="2"/>
    <x v="4"/>
    <x v="0"/>
    <x v="15"/>
    <n v="-2.7090000000000001"/>
  </r>
  <r>
    <x v="0"/>
    <x v="0"/>
    <x v="0"/>
    <x v="2"/>
    <x v="4"/>
    <x v="0"/>
    <x v="16"/>
    <n v="-2.7090000000000001"/>
  </r>
  <r>
    <x v="0"/>
    <x v="0"/>
    <x v="0"/>
    <x v="2"/>
    <x v="4"/>
    <x v="0"/>
    <x v="17"/>
    <n v="-2.7090000000000001"/>
  </r>
  <r>
    <x v="0"/>
    <x v="0"/>
    <x v="0"/>
    <x v="2"/>
    <x v="4"/>
    <x v="0"/>
    <x v="18"/>
    <n v="-2.7090000000000001"/>
  </r>
  <r>
    <x v="0"/>
    <x v="0"/>
    <x v="0"/>
    <x v="2"/>
    <x v="4"/>
    <x v="0"/>
    <x v="19"/>
    <n v="-2.7090000000000001"/>
  </r>
  <r>
    <x v="0"/>
    <x v="0"/>
    <x v="0"/>
    <x v="2"/>
    <x v="4"/>
    <x v="0"/>
    <x v="20"/>
    <n v="-2.7090000000000001"/>
  </r>
  <r>
    <x v="0"/>
    <x v="0"/>
    <x v="0"/>
    <x v="2"/>
    <x v="4"/>
    <x v="0"/>
    <x v="21"/>
    <n v="-2.7090000000000001"/>
  </r>
  <r>
    <x v="0"/>
    <x v="0"/>
    <x v="0"/>
    <x v="2"/>
    <x v="4"/>
    <x v="0"/>
    <x v="22"/>
    <n v="-2.7090000000000001"/>
  </r>
  <r>
    <x v="0"/>
    <x v="0"/>
    <x v="0"/>
    <x v="2"/>
    <x v="4"/>
    <x v="0"/>
    <x v="23"/>
    <n v="-2.7090000000000001"/>
  </r>
  <r>
    <x v="0"/>
    <x v="0"/>
    <x v="0"/>
    <x v="2"/>
    <x v="2"/>
    <x v="0"/>
    <x v="0"/>
    <n v="-12.974399999999999"/>
  </r>
  <r>
    <x v="0"/>
    <x v="0"/>
    <x v="0"/>
    <x v="2"/>
    <x v="2"/>
    <x v="0"/>
    <x v="1"/>
    <n v="-12.974399999999999"/>
  </r>
  <r>
    <x v="0"/>
    <x v="0"/>
    <x v="0"/>
    <x v="2"/>
    <x v="2"/>
    <x v="0"/>
    <x v="2"/>
    <n v="0"/>
  </r>
  <r>
    <x v="0"/>
    <x v="0"/>
    <x v="0"/>
    <x v="2"/>
    <x v="2"/>
    <x v="0"/>
    <x v="3"/>
    <n v="0"/>
  </r>
  <r>
    <x v="0"/>
    <x v="0"/>
    <x v="0"/>
    <x v="2"/>
    <x v="2"/>
    <x v="0"/>
    <x v="4"/>
    <n v="-8.5054830021444801"/>
  </r>
  <r>
    <x v="0"/>
    <x v="0"/>
    <x v="0"/>
    <x v="2"/>
    <x v="2"/>
    <x v="0"/>
    <x v="5"/>
    <n v="0"/>
  </r>
  <r>
    <x v="0"/>
    <x v="0"/>
    <x v="0"/>
    <x v="2"/>
    <x v="2"/>
    <x v="0"/>
    <x v="6"/>
    <n v="0"/>
  </r>
  <r>
    <x v="0"/>
    <x v="0"/>
    <x v="0"/>
    <x v="2"/>
    <x v="2"/>
    <x v="0"/>
    <x v="7"/>
    <n v="0"/>
  </r>
  <r>
    <x v="0"/>
    <x v="0"/>
    <x v="0"/>
    <x v="2"/>
    <x v="2"/>
    <x v="0"/>
    <x v="8"/>
    <n v="0"/>
  </r>
  <r>
    <x v="0"/>
    <x v="0"/>
    <x v="0"/>
    <x v="2"/>
    <x v="2"/>
    <x v="0"/>
    <x v="9"/>
    <n v="-12.974399999999999"/>
  </r>
  <r>
    <x v="0"/>
    <x v="0"/>
    <x v="0"/>
    <x v="2"/>
    <x v="2"/>
    <x v="0"/>
    <x v="10"/>
    <n v="-12.974399999999999"/>
  </r>
  <r>
    <x v="0"/>
    <x v="0"/>
    <x v="0"/>
    <x v="2"/>
    <x v="2"/>
    <x v="0"/>
    <x v="11"/>
    <n v="0"/>
  </r>
  <r>
    <x v="0"/>
    <x v="0"/>
    <x v="0"/>
    <x v="2"/>
    <x v="2"/>
    <x v="0"/>
    <x v="12"/>
    <n v="-11.648104358216299"/>
  </r>
  <r>
    <x v="0"/>
    <x v="0"/>
    <x v="0"/>
    <x v="2"/>
    <x v="2"/>
    <x v="0"/>
    <x v="13"/>
    <n v="-12.974399999999999"/>
  </r>
  <r>
    <x v="0"/>
    <x v="0"/>
    <x v="0"/>
    <x v="2"/>
    <x v="2"/>
    <x v="0"/>
    <x v="14"/>
    <n v="0"/>
  </r>
  <r>
    <x v="0"/>
    <x v="0"/>
    <x v="0"/>
    <x v="2"/>
    <x v="2"/>
    <x v="0"/>
    <x v="15"/>
    <n v="0"/>
  </r>
  <r>
    <x v="0"/>
    <x v="0"/>
    <x v="0"/>
    <x v="2"/>
    <x v="2"/>
    <x v="0"/>
    <x v="16"/>
    <n v="0"/>
  </r>
  <r>
    <x v="0"/>
    <x v="0"/>
    <x v="0"/>
    <x v="2"/>
    <x v="2"/>
    <x v="0"/>
    <x v="17"/>
    <n v="-12.974399999999999"/>
  </r>
  <r>
    <x v="0"/>
    <x v="0"/>
    <x v="0"/>
    <x v="2"/>
    <x v="2"/>
    <x v="0"/>
    <x v="18"/>
    <n v="-8.6201487340529308"/>
  </r>
  <r>
    <x v="0"/>
    <x v="0"/>
    <x v="0"/>
    <x v="2"/>
    <x v="2"/>
    <x v="0"/>
    <x v="19"/>
    <n v="-8.4075340187412895"/>
  </r>
  <r>
    <x v="0"/>
    <x v="0"/>
    <x v="0"/>
    <x v="2"/>
    <x v="2"/>
    <x v="0"/>
    <x v="20"/>
    <n v="-10.6798195413407"/>
  </r>
  <r>
    <x v="0"/>
    <x v="0"/>
    <x v="0"/>
    <x v="2"/>
    <x v="2"/>
    <x v="0"/>
    <x v="21"/>
    <n v="-7.7333893437451504"/>
  </r>
  <r>
    <x v="0"/>
    <x v="0"/>
    <x v="0"/>
    <x v="2"/>
    <x v="2"/>
    <x v="0"/>
    <x v="22"/>
    <n v="-8.7954137751299104"/>
  </r>
  <r>
    <x v="0"/>
    <x v="0"/>
    <x v="0"/>
    <x v="2"/>
    <x v="2"/>
    <x v="0"/>
    <x v="23"/>
    <n v="-7.3261577493468302"/>
  </r>
  <r>
    <x v="0"/>
    <x v="0"/>
    <x v="0"/>
    <x v="3"/>
    <x v="4"/>
    <x v="0"/>
    <x v="0"/>
    <n v="-5.4180000000000001"/>
  </r>
  <r>
    <x v="0"/>
    <x v="0"/>
    <x v="0"/>
    <x v="3"/>
    <x v="4"/>
    <x v="0"/>
    <x v="1"/>
    <n v="-5.4180000000000001"/>
  </r>
  <r>
    <x v="0"/>
    <x v="0"/>
    <x v="0"/>
    <x v="3"/>
    <x v="4"/>
    <x v="0"/>
    <x v="2"/>
    <n v="-5.4180000000000001"/>
  </r>
  <r>
    <x v="0"/>
    <x v="0"/>
    <x v="0"/>
    <x v="3"/>
    <x v="4"/>
    <x v="0"/>
    <x v="3"/>
    <n v="-5.4180000000000001"/>
  </r>
  <r>
    <x v="0"/>
    <x v="0"/>
    <x v="0"/>
    <x v="3"/>
    <x v="4"/>
    <x v="0"/>
    <x v="4"/>
    <n v="-5.4180000000000001"/>
  </r>
  <r>
    <x v="0"/>
    <x v="0"/>
    <x v="0"/>
    <x v="3"/>
    <x v="4"/>
    <x v="0"/>
    <x v="5"/>
    <n v="-5.4180000000000001"/>
  </r>
  <r>
    <x v="0"/>
    <x v="0"/>
    <x v="0"/>
    <x v="3"/>
    <x v="4"/>
    <x v="0"/>
    <x v="6"/>
    <n v="-5.4180000000000001"/>
  </r>
  <r>
    <x v="0"/>
    <x v="0"/>
    <x v="0"/>
    <x v="3"/>
    <x v="4"/>
    <x v="0"/>
    <x v="7"/>
    <n v="-5.4180000000000001"/>
  </r>
  <r>
    <x v="0"/>
    <x v="0"/>
    <x v="0"/>
    <x v="3"/>
    <x v="4"/>
    <x v="0"/>
    <x v="8"/>
    <n v="-5.4180000000000001"/>
  </r>
  <r>
    <x v="0"/>
    <x v="0"/>
    <x v="0"/>
    <x v="3"/>
    <x v="4"/>
    <x v="0"/>
    <x v="9"/>
    <n v="-5.4180000000000001"/>
  </r>
  <r>
    <x v="0"/>
    <x v="0"/>
    <x v="0"/>
    <x v="3"/>
    <x v="4"/>
    <x v="0"/>
    <x v="10"/>
    <n v="-5.4180000000000001"/>
  </r>
  <r>
    <x v="0"/>
    <x v="0"/>
    <x v="0"/>
    <x v="3"/>
    <x v="4"/>
    <x v="0"/>
    <x v="11"/>
    <n v="-5.4180000000000001"/>
  </r>
  <r>
    <x v="0"/>
    <x v="0"/>
    <x v="0"/>
    <x v="3"/>
    <x v="4"/>
    <x v="0"/>
    <x v="12"/>
    <n v="-5.4180000000000001"/>
  </r>
  <r>
    <x v="0"/>
    <x v="0"/>
    <x v="0"/>
    <x v="3"/>
    <x v="4"/>
    <x v="0"/>
    <x v="13"/>
    <n v="-5.4180000000000001"/>
  </r>
  <r>
    <x v="0"/>
    <x v="0"/>
    <x v="0"/>
    <x v="3"/>
    <x v="4"/>
    <x v="0"/>
    <x v="14"/>
    <n v="-5.4180000000000001"/>
  </r>
  <r>
    <x v="0"/>
    <x v="0"/>
    <x v="0"/>
    <x v="3"/>
    <x v="4"/>
    <x v="0"/>
    <x v="15"/>
    <n v="-5.4180000000000001"/>
  </r>
  <r>
    <x v="0"/>
    <x v="0"/>
    <x v="0"/>
    <x v="3"/>
    <x v="4"/>
    <x v="0"/>
    <x v="16"/>
    <n v="-4.0935623430782604"/>
  </r>
  <r>
    <x v="0"/>
    <x v="0"/>
    <x v="0"/>
    <x v="3"/>
    <x v="4"/>
    <x v="0"/>
    <x v="17"/>
    <n v="-5.4180000000000001"/>
  </r>
  <r>
    <x v="0"/>
    <x v="0"/>
    <x v="0"/>
    <x v="3"/>
    <x v="4"/>
    <x v="0"/>
    <x v="18"/>
    <n v="-5.4180000000000001"/>
  </r>
  <r>
    <x v="0"/>
    <x v="0"/>
    <x v="0"/>
    <x v="3"/>
    <x v="4"/>
    <x v="0"/>
    <x v="19"/>
    <n v="-5.4180000000000001"/>
  </r>
  <r>
    <x v="0"/>
    <x v="0"/>
    <x v="0"/>
    <x v="3"/>
    <x v="4"/>
    <x v="0"/>
    <x v="20"/>
    <n v="-5.4180000000000001"/>
  </r>
  <r>
    <x v="0"/>
    <x v="0"/>
    <x v="0"/>
    <x v="3"/>
    <x v="4"/>
    <x v="0"/>
    <x v="21"/>
    <n v="-5.4180000000000001"/>
  </r>
  <r>
    <x v="0"/>
    <x v="0"/>
    <x v="0"/>
    <x v="3"/>
    <x v="4"/>
    <x v="0"/>
    <x v="22"/>
    <n v="-1.1323654417915401"/>
  </r>
  <r>
    <x v="0"/>
    <x v="0"/>
    <x v="0"/>
    <x v="3"/>
    <x v="4"/>
    <x v="0"/>
    <x v="23"/>
    <n v="-5.4180000000000001"/>
  </r>
  <r>
    <x v="0"/>
    <x v="0"/>
    <x v="0"/>
    <x v="3"/>
    <x v="0"/>
    <x v="0"/>
    <x v="0"/>
    <n v="-5.7574202407775799"/>
  </r>
  <r>
    <x v="0"/>
    <x v="0"/>
    <x v="0"/>
    <x v="3"/>
    <x v="0"/>
    <x v="0"/>
    <x v="1"/>
    <n v="-5.6081181127172899"/>
  </r>
  <r>
    <x v="0"/>
    <x v="0"/>
    <x v="0"/>
    <x v="3"/>
    <x v="0"/>
    <x v="0"/>
    <x v="2"/>
    <n v="-4.5118067612519202"/>
  </r>
  <r>
    <x v="0"/>
    <x v="0"/>
    <x v="0"/>
    <x v="3"/>
    <x v="0"/>
    <x v="0"/>
    <x v="3"/>
    <n v="0"/>
  </r>
  <r>
    <x v="0"/>
    <x v="0"/>
    <x v="0"/>
    <x v="3"/>
    <x v="0"/>
    <x v="0"/>
    <x v="4"/>
    <n v="-4.7280440764204599"/>
  </r>
  <r>
    <x v="0"/>
    <x v="0"/>
    <x v="0"/>
    <x v="3"/>
    <x v="0"/>
    <x v="0"/>
    <x v="5"/>
    <n v="-4.4048266927155701"/>
  </r>
  <r>
    <x v="0"/>
    <x v="0"/>
    <x v="0"/>
    <x v="3"/>
    <x v="0"/>
    <x v="0"/>
    <x v="6"/>
    <n v="-3.9827406271478698"/>
  </r>
  <r>
    <x v="0"/>
    <x v="0"/>
    <x v="0"/>
    <x v="3"/>
    <x v="0"/>
    <x v="0"/>
    <x v="7"/>
    <n v="-3.2376377183687901"/>
  </r>
  <r>
    <x v="0"/>
    <x v="0"/>
    <x v="0"/>
    <x v="3"/>
    <x v="0"/>
    <x v="0"/>
    <x v="8"/>
    <n v="-4.3047870054536101"/>
  </r>
  <r>
    <x v="0"/>
    <x v="0"/>
    <x v="0"/>
    <x v="3"/>
    <x v="0"/>
    <x v="0"/>
    <x v="9"/>
    <n v="-1.59245876873113"/>
  </r>
  <r>
    <x v="0"/>
    <x v="0"/>
    <x v="0"/>
    <x v="3"/>
    <x v="0"/>
    <x v="0"/>
    <x v="10"/>
    <n v="-4.7371061796529901"/>
  </r>
  <r>
    <x v="0"/>
    <x v="0"/>
    <x v="0"/>
    <x v="3"/>
    <x v="0"/>
    <x v="0"/>
    <x v="11"/>
    <n v="0"/>
  </r>
  <r>
    <x v="0"/>
    <x v="0"/>
    <x v="0"/>
    <x v="3"/>
    <x v="0"/>
    <x v="0"/>
    <x v="12"/>
    <n v="0"/>
  </r>
  <r>
    <x v="0"/>
    <x v="0"/>
    <x v="0"/>
    <x v="3"/>
    <x v="0"/>
    <x v="0"/>
    <x v="13"/>
    <n v="-1.03211997215095"/>
  </r>
  <r>
    <x v="0"/>
    <x v="0"/>
    <x v="0"/>
    <x v="3"/>
    <x v="0"/>
    <x v="0"/>
    <x v="14"/>
    <n v="-4.6721169161077301"/>
  </r>
  <r>
    <x v="0"/>
    <x v="0"/>
    <x v="0"/>
    <x v="3"/>
    <x v="0"/>
    <x v="0"/>
    <x v="15"/>
    <n v="-4.4060031649000599"/>
  </r>
  <r>
    <x v="0"/>
    <x v="0"/>
    <x v="0"/>
    <x v="3"/>
    <x v="0"/>
    <x v="0"/>
    <x v="16"/>
    <n v="-4.0861713575832699"/>
  </r>
  <r>
    <x v="0"/>
    <x v="0"/>
    <x v="0"/>
    <x v="3"/>
    <x v="0"/>
    <x v="0"/>
    <x v="17"/>
    <n v="-4.3353958543795201"/>
  </r>
  <r>
    <x v="0"/>
    <x v="0"/>
    <x v="0"/>
    <x v="3"/>
    <x v="0"/>
    <x v="0"/>
    <x v="18"/>
    <n v="-2.5829151850291998"/>
  </r>
  <r>
    <x v="0"/>
    <x v="0"/>
    <x v="0"/>
    <x v="3"/>
    <x v="0"/>
    <x v="0"/>
    <x v="19"/>
    <n v="-3.92662101184527"/>
  </r>
  <r>
    <x v="0"/>
    <x v="0"/>
    <x v="0"/>
    <x v="3"/>
    <x v="0"/>
    <x v="0"/>
    <x v="20"/>
    <n v="-4.2873235117839901"/>
  </r>
  <r>
    <x v="0"/>
    <x v="0"/>
    <x v="0"/>
    <x v="3"/>
    <x v="0"/>
    <x v="0"/>
    <x v="21"/>
    <n v="-4.0558376325396299"/>
  </r>
  <r>
    <x v="0"/>
    <x v="0"/>
    <x v="0"/>
    <x v="3"/>
    <x v="0"/>
    <x v="0"/>
    <x v="22"/>
    <n v="-3.3425738029354601"/>
  </r>
  <r>
    <x v="0"/>
    <x v="0"/>
    <x v="0"/>
    <x v="3"/>
    <x v="0"/>
    <x v="0"/>
    <x v="23"/>
    <n v="-3.7804530045197402"/>
  </r>
  <r>
    <x v="0"/>
    <x v="0"/>
    <x v="0"/>
    <x v="3"/>
    <x v="1"/>
    <x v="0"/>
    <x v="0"/>
    <n v="12.974399999999999"/>
  </r>
  <r>
    <x v="0"/>
    <x v="0"/>
    <x v="0"/>
    <x v="3"/>
    <x v="1"/>
    <x v="0"/>
    <x v="1"/>
    <n v="12.974399999999999"/>
  </r>
  <r>
    <x v="0"/>
    <x v="0"/>
    <x v="0"/>
    <x v="3"/>
    <x v="1"/>
    <x v="0"/>
    <x v="2"/>
    <n v="0"/>
  </r>
  <r>
    <x v="0"/>
    <x v="0"/>
    <x v="0"/>
    <x v="3"/>
    <x v="1"/>
    <x v="0"/>
    <x v="3"/>
    <n v="0"/>
  </r>
  <r>
    <x v="0"/>
    <x v="0"/>
    <x v="0"/>
    <x v="3"/>
    <x v="1"/>
    <x v="0"/>
    <x v="4"/>
    <n v="8.5054830021444801"/>
  </r>
  <r>
    <x v="0"/>
    <x v="0"/>
    <x v="0"/>
    <x v="3"/>
    <x v="1"/>
    <x v="0"/>
    <x v="5"/>
    <n v="0"/>
  </r>
  <r>
    <x v="0"/>
    <x v="0"/>
    <x v="0"/>
    <x v="3"/>
    <x v="1"/>
    <x v="0"/>
    <x v="6"/>
    <n v="0"/>
  </r>
  <r>
    <x v="0"/>
    <x v="0"/>
    <x v="0"/>
    <x v="3"/>
    <x v="1"/>
    <x v="0"/>
    <x v="7"/>
    <n v="0"/>
  </r>
  <r>
    <x v="0"/>
    <x v="0"/>
    <x v="0"/>
    <x v="3"/>
    <x v="1"/>
    <x v="0"/>
    <x v="8"/>
    <n v="0"/>
  </r>
  <r>
    <x v="0"/>
    <x v="0"/>
    <x v="0"/>
    <x v="3"/>
    <x v="1"/>
    <x v="0"/>
    <x v="9"/>
    <n v="12.974399999999999"/>
  </r>
  <r>
    <x v="0"/>
    <x v="0"/>
    <x v="0"/>
    <x v="3"/>
    <x v="1"/>
    <x v="0"/>
    <x v="10"/>
    <n v="12.974399999999999"/>
  </r>
  <r>
    <x v="0"/>
    <x v="0"/>
    <x v="0"/>
    <x v="3"/>
    <x v="1"/>
    <x v="0"/>
    <x v="11"/>
    <n v="0"/>
  </r>
  <r>
    <x v="0"/>
    <x v="0"/>
    <x v="0"/>
    <x v="3"/>
    <x v="1"/>
    <x v="0"/>
    <x v="12"/>
    <n v="11.648104358216299"/>
  </r>
  <r>
    <x v="0"/>
    <x v="0"/>
    <x v="0"/>
    <x v="3"/>
    <x v="1"/>
    <x v="0"/>
    <x v="13"/>
    <n v="12.974399999999999"/>
  </r>
  <r>
    <x v="0"/>
    <x v="0"/>
    <x v="0"/>
    <x v="3"/>
    <x v="1"/>
    <x v="0"/>
    <x v="14"/>
    <n v="0"/>
  </r>
  <r>
    <x v="0"/>
    <x v="0"/>
    <x v="0"/>
    <x v="3"/>
    <x v="1"/>
    <x v="0"/>
    <x v="15"/>
    <n v="0"/>
  </r>
  <r>
    <x v="0"/>
    <x v="0"/>
    <x v="0"/>
    <x v="3"/>
    <x v="1"/>
    <x v="0"/>
    <x v="16"/>
    <n v="0"/>
  </r>
  <r>
    <x v="0"/>
    <x v="0"/>
    <x v="0"/>
    <x v="3"/>
    <x v="1"/>
    <x v="0"/>
    <x v="17"/>
    <n v="12.974399999999999"/>
  </r>
  <r>
    <x v="0"/>
    <x v="0"/>
    <x v="0"/>
    <x v="3"/>
    <x v="1"/>
    <x v="0"/>
    <x v="18"/>
    <n v="8.6201487340529308"/>
  </r>
  <r>
    <x v="0"/>
    <x v="0"/>
    <x v="0"/>
    <x v="3"/>
    <x v="1"/>
    <x v="0"/>
    <x v="19"/>
    <n v="8.4075340187412895"/>
  </r>
  <r>
    <x v="0"/>
    <x v="0"/>
    <x v="0"/>
    <x v="3"/>
    <x v="1"/>
    <x v="0"/>
    <x v="20"/>
    <n v="10.6798195413407"/>
  </r>
  <r>
    <x v="0"/>
    <x v="0"/>
    <x v="0"/>
    <x v="3"/>
    <x v="1"/>
    <x v="0"/>
    <x v="21"/>
    <n v="7.7333893437451504"/>
  </r>
  <r>
    <x v="0"/>
    <x v="0"/>
    <x v="0"/>
    <x v="3"/>
    <x v="1"/>
    <x v="0"/>
    <x v="22"/>
    <n v="8.7954137751299104"/>
  </r>
  <r>
    <x v="0"/>
    <x v="0"/>
    <x v="0"/>
    <x v="3"/>
    <x v="1"/>
    <x v="0"/>
    <x v="23"/>
    <n v="7.3261577493468302"/>
  </r>
  <r>
    <x v="0"/>
    <x v="0"/>
    <x v="0"/>
    <x v="4"/>
    <x v="0"/>
    <x v="0"/>
    <x v="0"/>
    <n v="1.6020000000000001"/>
  </r>
  <r>
    <x v="0"/>
    <x v="0"/>
    <x v="0"/>
    <x v="4"/>
    <x v="0"/>
    <x v="0"/>
    <x v="1"/>
    <n v="1.6020000000000001"/>
  </r>
  <r>
    <x v="0"/>
    <x v="0"/>
    <x v="0"/>
    <x v="4"/>
    <x v="0"/>
    <x v="0"/>
    <x v="2"/>
    <n v="1.6020000000000001"/>
  </r>
  <r>
    <x v="0"/>
    <x v="0"/>
    <x v="0"/>
    <x v="4"/>
    <x v="0"/>
    <x v="0"/>
    <x v="3"/>
    <n v="1.6020000000000001"/>
  </r>
  <r>
    <x v="0"/>
    <x v="0"/>
    <x v="0"/>
    <x v="4"/>
    <x v="0"/>
    <x v="0"/>
    <x v="4"/>
    <n v="1.6020000000000001"/>
  </r>
  <r>
    <x v="0"/>
    <x v="0"/>
    <x v="0"/>
    <x v="4"/>
    <x v="0"/>
    <x v="0"/>
    <x v="5"/>
    <n v="1.6020000000000001"/>
  </r>
  <r>
    <x v="0"/>
    <x v="0"/>
    <x v="0"/>
    <x v="4"/>
    <x v="0"/>
    <x v="0"/>
    <x v="6"/>
    <n v="1.6020000000000001"/>
  </r>
  <r>
    <x v="0"/>
    <x v="0"/>
    <x v="0"/>
    <x v="4"/>
    <x v="0"/>
    <x v="0"/>
    <x v="7"/>
    <n v="1.6020000000000001"/>
  </r>
  <r>
    <x v="0"/>
    <x v="0"/>
    <x v="0"/>
    <x v="4"/>
    <x v="0"/>
    <x v="0"/>
    <x v="8"/>
    <n v="1.6020000000000001"/>
  </r>
  <r>
    <x v="0"/>
    <x v="0"/>
    <x v="0"/>
    <x v="4"/>
    <x v="0"/>
    <x v="0"/>
    <x v="9"/>
    <n v="1.6020000000000001"/>
  </r>
  <r>
    <x v="0"/>
    <x v="0"/>
    <x v="0"/>
    <x v="4"/>
    <x v="0"/>
    <x v="0"/>
    <x v="10"/>
    <n v="1.6020000000000001"/>
  </r>
  <r>
    <x v="0"/>
    <x v="0"/>
    <x v="0"/>
    <x v="4"/>
    <x v="0"/>
    <x v="0"/>
    <x v="11"/>
    <n v="1.6020000000000001"/>
  </r>
  <r>
    <x v="0"/>
    <x v="0"/>
    <x v="0"/>
    <x v="4"/>
    <x v="0"/>
    <x v="0"/>
    <x v="12"/>
    <n v="1.6020000000000001"/>
  </r>
  <r>
    <x v="0"/>
    <x v="0"/>
    <x v="0"/>
    <x v="4"/>
    <x v="0"/>
    <x v="0"/>
    <x v="13"/>
    <n v="1.6020000000000001"/>
  </r>
  <r>
    <x v="0"/>
    <x v="0"/>
    <x v="0"/>
    <x v="4"/>
    <x v="0"/>
    <x v="0"/>
    <x v="14"/>
    <n v="1.6020000000000001"/>
  </r>
  <r>
    <x v="0"/>
    <x v="0"/>
    <x v="0"/>
    <x v="4"/>
    <x v="0"/>
    <x v="0"/>
    <x v="15"/>
    <n v="1.6020000000000001"/>
  </r>
  <r>
    <x v="0"/>
    <x v="0"/>
    <x v="0"/>
    <x v="4"/>
    <x v="0"/>
    <x v="0"/>
    <x v="16"/>
    <n v="1.6020000000000001"/>
  </r>
  <r>
    <x v="0"/>
    <x v="0"/>
    <x v="0"/>
    <x v="4"/>
    <x v="0"/>
    <x v="0"/>
    <x v="17"/>
    <n v="1.6020000000000001"/>
  </r>
  <r>
    <x v="0"/>
    <x v="0"/>
    <x v="0"/>
    <x v="4"/>
    <x v="0"/>
    <x v="0"/>
    <x v="18"/>
    <n v="1.34007518533022"/>
  </r>
  <r>
    <x v="0"/>
    <x v="0"/>
    <x v="0"/>
    <x v="4"/>
    <x v="0"/>
    <x v="0"/>
    <x v="19"/>
    <n v="1.2316572303570901"/>
  </r>
  <r>
    <x v="0"/>
    <x v="0"/>
    <x v="0"/>
    <x v="4"/>
    <x v="0"/>
    <x v="0"/>
    <x v="20"/>
    <n v="1.33457033909265"/>
  </r>
  <r>
    <x v="0"/>
    <x v="0"/>
    <x v="0"/>
    <x v="4"/>
    <x v="0"/>
    <x v="0"/>
    <x v="21"/>
    <n v="1.59384876754657"/>
  </r>
  <r>
    <x v="0"/>
    <x v="0"/>
    <x v="0"/>
    <x v="4"/>
    <x v="0"/>
    <x v="0"/>
    <x v="22"/>
    <n v="1.6020000000000001"/>
  </r>
  <r>
    <x v="0"/>
    <x v="0"/>
    <x v="0"/>
    <x v="4"/>
    <x v="0"/>
    <x v="0"/>
    <x v="23"/>
    <n v="1.6020000000000001"/>
  </r>
  <r>
    <x v="0"/>
    <x v="0"/>
    <x v="0"/>
    <x v="4"/>
    <x v="3"/>
    <x v="0"/>
    <x v="0"/>
    <n v="0.54"/>
  </r>
  <r>
    <x v="0"/>
    <x v="0"/>
    <x v="0"/>
    <x v="4"/>
    <x v="3"/>
    <x v="0"/>
    <x v="1"/>
    <n v="0"/>
  </r>
  <r>
    <x v="0"/>
    <x v="0"/>
    <x v="0"/>
    <x v="4"/>
    <x v="3"/>
    <x v="0"/>
    <x v="2"/>
    <n v="0"/>
  </r>
  <r>
    <x v="0"/>
    <x v="0"/>
    <x v="0"/>
    <x v="4"/>
    <x v="3"/>
    <x v="0"/>
    <x v="3"/>
    <n v="0.211321588546031"/>
  </r>
  <r>
    <x v="0"/>
    <x v="0"/>
    <x v="0"/>
    <x v="4"/>
    <x v="3"/>
    <x v="0"/>
    <x v="4"/>
    <n v="0"/>
  </r>
  <r>
    <x v="0"/>
    <x v="0"/>
    <x v="0"/>
    <x v="4"/>
    <x v="3"/>
    <x v="0"/>
    <x v="5"/>
    <n v="0.41704356956828598"/>
  </r>
  <r>
    <x v="0"/>
    <x v="0"/>
    <x v="0"/>
    <x v="4"/>
    <x v="3"/>
    <x v="0"/>
    <x v="6"/>
    <n v="0.116459702522019"/>
  </r>
  <r>
    <x v="0"/>
    <x v="0"/>
    <x v="0"/>
    <x v="4"/>
    <x v="3"/>
    <x v="0"/>
    <x v="7"/>
    <n v="0"/>
  </r>
  <r>
    <x v="0"/>
    <x v="0"/>
    <x v="0"/>
    <x v="4"/>
    <x v="3"/>
    <x v="0"/>
    <x v="8"/>
    <n v="0"/>
  </r>
  <r>
    <x v="0"/>
    <x v="0"/>
    <x v="0"/>
    <x v="4"/>
    <x v="3"/>
    <x v="0"/>
    <x v="9"/>
    <n v="0"/>
  </r>
  <r>
    <x v="0"/>
    <x v="0"/>
    <x v="0"/>
    <x v="4"/>
    <x v="3"/>
    <x v="0"/>
    <x v="10"/>
    <n v="1.73556768411589E-2"/>
  </r>
  <r>
    <x v="0"/>
    <x v="0"/>
    <x v="0"/>
    <x v="4"/>
    <x v="3"/>
    <x v="0"/>
    <x v="11"/>
    <n v="0"/>
  </r>
  <r>
    <x v="0"/>
    <x v="0"/>
    <x v="0"/>
    <x v="4"/>
    <x v="3"/>
    <x v="0"/>
    <x v="12"/>
    <n v="0"/>
  </r>
  <r>
    <x v="0"/>
    <x v="0"/>
    <x v="0"/>
    <x v="4"/>
    <x v="3"/>
    <x v="0"/>
    <x v="13"/>
    <n v="0"/>
  </r>
  <r>
    <x v="0"/>
    <x v="0"/>
    <x v="0"/>
    <x v="4"/>
    <x v="3"/>
    <x v="0"/>
    <x v="14"/>
    <n v="0"/>
  </r>
  <r>
    <x v="0"/>
    <x v="0"/>
    <x v="0"/>
    <x v="4"/>
    <x v="3"/>
    <x v="0"/>
    <x v="15"/>
    <n v="0"/>
  </r>
  <r>
    <x v="0"/>
    <x v="0"/>
    <x v="0"/>
    <x v="4"/>
    <x v="3"/>
    <x v="0"/>
    <x v="16"/>
    <n v="0"/>
  </r>
  <r>
    <x v="0"/>
    <x v="0"/>
    <x v="0"/>
    <x v="4"/>
    <x v="3"/>
    <x v="0"/>
    <x v="17"/>
    <n v="0"/>
  </r>
  <r>
    <x v="0"/>
    <x v="0"/>
    <x v="0"/>
    <x v="4"/>
    <x v="3"/>
    <x v="0"/>
    <x v="18"/>
    <n v="0"/>
  </r>
  <r>
    <x v="0"/>
    <x v="0"/>
    <x v="0"/>
    <x v="4"/>
    <x v="3"/>
    <x v="0"/>
    <x v="19"/>
    <n v="0"/>
  </r>
  <r>
    <x v="0"/>
    <x v="0"/>
    <x v="0"/>
    <x v="4"/>
    <x v="3"/>
    <x v="0"/>
    <x v="20"/>
    <n v="0"/>
  </r>
  <r>
    <x v="0"/>
    <x v="0"/>
    <x v="0"/>
    <x v="4"/>
    <x v="3"/>
    <x v="0"/>
    <x v="21"/>
    <n v="0"/>
  </r>
  <r>
    <x v="0"/>
    <x v="0"/>
    <x v="0"/>
    <x v="4"/>
    <x v="3"/>
    <x v="0"/>
    <x v="22"/>
    <n v="0"/>
  </r>
  <r>
    <x v="0"/>
    <x v="0"/>
    <x v="0"/>
    <x v="4"/>
    <x v="3"/>
    <x v="0"/>
    <x v="23"/>
    <n v="0"/>
  </r>
  <r>
    <x v="0"/>
    <x v="0"/>
    <x v="0"/>
    <x v="4"/>
    <x v="6"/>
    <x v="0"/>
    <x v="0"/>
    <n v="-1.53"/>
  </r>
  <r>
    <x v="0"/>
    <x v="0"/>
    <x v="0"/>
    <x v="4"/>
    <x v="6"/>
    <x v="0"/>
    <x v="1"/>
    <n v="-0.16194898292214399"/>
  </r>
  <r>
    <x v="0"/>
    <x v="0"/>
    <x v="0"/>
    <x v="4"/>
    <x v="6"/>
    <x v="0"/>
    <x v="2"/>
    <n v="-1.7966593045542899E-2"/>
  </r>
  <r>
    <x v="0"/>
    <x v="0"/>
    <x v="0"/>
    <x v="4"/>
    <x v="6"/>
    <x v="0"/>
    <x v="3"/>
    <n v="0"/>
  </r>
  <r>
    <x v="0"/>
    <x v="0"/>
    <x v="0"/>
    <x v="4"/>
    <x v="6"/>
    <x v="0"/>
    <x v="4"/>
    <n v="0"/>
  </r>
  <r>
    <x v="0"/>
    <x v="0"/>
    <x v="0"/>
    <x v="4"/>
    <x v="6"/>
    <x v="0"/>
    <x v="5"/>
    <n v="0"/>
  </r>
  <r>
    <x v="0"/>
    <x v="0"/>
    <x v="0"/>
    <x v="4"/>
    <x v="6"/>
    <x v="0"/>
    <x v="6"/>
    <n v="0"/>
  </r>
  <r>
    <x v="0"/>
    <x v="0"/>
    <x v="0"/>
    <x v="4"/>
    <x v="6"/>
    <x v="0"/>
    <x v="7"/>
    <n v="-0.28213650748911201"/>
  </r>
  <r>
    <x v="0"/>
    <x v="0"/>
    <x v="0"/>
    <x v="4"/>
    <x v="6"/>
    <x v="0"/>
    <x v="8"/>
    <n v="-0.54300530667082203"/>
  </r>
  <r>
    <x v="0"/>
    <x v="0"/>
    <x v="0"/>
    <x v="4"/>
    <x v="6"/>
    <x v="0"/>
    <x v="9"/>
    <n v="-0.67427127563586298"/>
  </r>
  <r>
    <x v="0"/>
    <x v="0"/>
    <x v="0"/>
    <x v="4"/>
    <x v="6"/>
    <x v="0"/>
    <x v="10"/>
    <n v="-1.53"/>
  </r>
  <r>
    <x v="0"/>
    <x v="0"/>
    <x v="0"/>
    <x v="4"/>
    <x v="6"/>
    <x v="0"/>
    <x v="11"/>
    <n v="-1.0421407692065301"/>
  </r>
  <r>
    <x v="0"/>
    <x v="0"/>
    <x v="0"/>
    <x v="4"/>
    <x v="6"/>
    <x v="0"/>
    <x v="12"/>
    <n v="-1.0163186376273701"/>
  </r>
  <r>
    <x v="0"/>
    <x v="0"/>
    <x v="0"/>
    <x v="4"/>
    <x v="6"/>
    <x v="0"/>
    <x v="13"/>
    <n v="-1.0112334352635599"/>
  </r>
  <r>
    <x v="0"/>
    <x v="0"/>
    <x v="0"/>
    <x v="4"/>
    <x v="6"/>
    <x v="0"/>
    <x v="14"/>
    <n v="-0.99638313373118903"/>
  </r>
  <r>
    <x v="0"/>
    <x v="0"/>
    <x v="0"/>
    <x v="4"/>
    <x v="6"/>
    <x v="0"/>
    <x v="15"/>
    <n v="-0.96205404257418003"/>
  </r>
  <r>
    <x v="0"/>
    <x v="0"/>
    <x v="0"/>
    <x v="4"/>
    <x v="6"/>
    <x v="0"/>
    <x v="16"/>
    <n v="-1.07050500836169"/>
  </r>
  <r>
    <x v="0"/>
    <x v="0"/>
    <x v="0"/>
    <x v="4"/>
    <x v="6"/>
    <x v="0"/>
    <x v="17"/>
    <n v="-1.53"/>
  </r>
  <r>
    <x v="0"/>
    <x v="0"/>
    <x v="0"/>
    <x v="4"/>
    <x v="6"/>
    <x v="0"/>
    <x v="18"/>
    <n v="-1.53"/>
  </r>
  <r>
    <x v="0"/>
    <x v="0"/>
    <x v="0"/>
    <x v="4"/>
    <x v="6"/>
    <x v="0"/>
    <x v="19"/>
    <n v="-1.53"/>
  </r>
  <r>
    <x v="0"/>
    <x v="0"/>
    <x v="0"/>
    <x v="4"/>
    <x v="6"/>
    <x v="0"/>
    <x v="20"/>
    <n v="-1.53"/>
  </r>
  <r>
    <x v="0"/>
    <x v="0"/>
    <x v="0"/>
    <x v="4"/>
    <x v="6"/>
    <x v="0"/>
    <x v="21"/>
    <n v="-1.53"/>
  </r>
  <r>
    <x v="0"/>
    <x v="0"/>
    <x v="0"/>
    <x v="4"/>
    <x v="6"/>
    <x v="0"/>
    <x v="22"/>
    <n v="-1.28690596744292"/>
  </r>
  <r>
    <x v="0"/>
    <x v="0"/>
    <x v="0"/>
    <x v="4"/>
    <x v="6"/>
    <x v="0"/>
    <x v="23"/>
    <n v="-0.86293502207383399"/>
  </r>
  <r>
    <x v="0"/>
    <x v="0"/>
    <x v="0"/>
    <x v="4"/>
    <x v="8"/>
    <x v="0"/>
    <x v="0"/>
    <n v="-4.72952717034366E-3"/>
  </r>
  <r>
    <x v="0"/>
    <x v="0"/>
    <x v="0"/>
    <x v="4"/>
    <x v="8"/>
    <x v="0"/>
    <x v="1"/>
    <n v="-0.61199999999999999"/>
  </r>
  <r>
    <x v="0"/>
    <x v="0"/>
    <x v="0"/>
    <x v="4"/>
    <x v="8"/>
    <x v="0"/>
    <x v="2"/>
    <n v="-0.61199999999999999"/>
  </r>
  <r>
    <x v="0"/>
    <x v="0"/>
    <x v="0"/>
    <x v="4"/>
    <x v="8"/>
    <x v="0"/>
    <x v="3"/>
    <n v="-0.61199999999999999"/>
  </r>
  <r>
    <x v="0"/>
    <x v="0"/>
    <x v="0"/>
    <x v="4"/>
    <x v="8"/>
    <x v="0"/>
    <x v="4"/>
    <n v="-0.24077692454185901"/>
  </r>
  <r>
    <x v="0"/>
    <x v="0"/>
    <x v="0"/>
    <x v="4"/>
    <x v="8"/>
    <x v="0"/>
    <x v="5"/>
    <n v="-0.61199999999999999"/>
  </r>
  <r>
    <x v="0"/>
    <x v="0"/>
    <x v="0"/>
    <x v="4"/>
    <x v="8"/>
    <x v="0"/>
    <x v="6"/>
    <n v="-0.61199999999999999"/>
  </r>
  <r>
    <x v="0"/>
    <x v="0"/>
    <x v="0"/>
    <x v="4"/>
    <x v="8"/>
    <x v="0"/>
    <x v="7"/>
    <n v="-0.61199999999999999"/>
  </r>
  <r>
    <x v="0"/>
    <x v="0"/>
    <x v="0"/>
    <x v="4"/>
    <x v="8"/>
    <x v="0"/>
    <x v="8"/>
    <n v="-0.61199999999999999"/>
  </r>
  <r>
    <x v="0"/>
    <x v="0"/>
    <x v="0"/>
    <x v="4"/>
    <x v="8"/>
    <x v="0"/>
    <x v="9"/>
    <n v="-0.61199999999999999"/>
  </r>
  <r>
    <x v="0"/>
    <x v="0"/>
    <x v="0"/>
    <x v="4"/>
    <x v="8"/>
    <x v="0"/>
    <x v="10"/>
    <n v="0"/>
  </r>
  <r>
    <x v="0"/>
    <x v="0"/>
    <x v="0"/>
    <x v="4"/>
    <x v="8"/>
    <x v="0"/>
    <x v="11"/>
    <n v="-0.61199999999999999"/>
  </r>
  <r>
    <x v="0"/>
    <x v="0"/>
    <x v="0"/>
    <x v="4"/>
    <x v="8"/>
    <x v="0"/>
    <x v="12"/>
    <n v="-0.61199999999999999"/>
  </r>
  <r>
    <x v="0"/>
    <x v="0"/>
    <x v="0"/>
    <x v="4"/>
    <x v="8"/>
    <x v="0"/>
    <x v="13"/>
    <n v="-0.61199999999999999"/>
  </r>
  <r>
    <x v="0"/>
    <x v="0"/>
    <x v="0"/>
    <x v="4"/>
    <x v="8"/>
    <x v="0"/>
    <x v="14"/>
    <n v="-0.61199999999999999"/>
  </r>
  <r>
    <x v="0"/>
    <x v="0"/>
    <x v="0"/>
    <x v="4"/>
    <x v="8"/>
    <x v="0"/>
    <x v="15"/>
    <n v="-0.61199999999999999"/>
  </r>
  <r>
    <x v="0"/>
    <x v="0"/>
    <x v="0"/>
    <x v="4"/>
    <x v="8"/>
    <x v="0"/>
    <x v="16"/>
    <n v="-0.61199999999999999"/>
  </r>
  <r>
    <x v="0"/>
    <x v="0"/>
    <x v="0"/>
    <x v="4"/>
    <x v="8"/>
    <x v="0"/>
    <x v="17"/>
    <n v="-0.61199999999999999"/>
  </r>
  <r>
    <x v="0"/>
    <x v="0"/>
    <x v="0"/>
    <x v="4"/>
    <x v="8"/>
    <x v="0"/>
    <x v="18"/>
    <n v="-0.61199999999999999"/>
  </r>
  <r>
    <x v="0"/>
    <x v="0"/>
    <x v="0"/>
    <x v="4"/>
    <x v="8"/>
    <x v="0"/>
    <x v="19"/>
    <n v="-0.61199999999999999"/>
  </r>
  <r>
    <x v="0"/>
    <x v="0"/>
    <x v="0"/>
    <x v="4"/>
    <x v="8"/>
    <x v="0"/>
    <x v="20"/>
    <n v="-0.61199999999999999"/>
  </r>
  <r>
    <x v="0"/>
    <x v="0"/>
    <x v="0"/>
    <x v="4"/>
    <x v="8"/>
    <x v="0"/>
    <x v="21"/>
    <n v="-0.61199999999999999"/>
  </r>
  <r>
    <x v="0"/>
    <x v="0"/>
    <x v="0"/>
    <x v="4"/>
    <x v="8"/>
    <x v="0"/>
    <x v="22"/>
    <n v="-0.61199999999999999"/>
  </r>
  <r>
    <x v="0"/>
    <x v="0"/>
    <x v="0"/>
    <x v="4"/>
    <x v="8"/>
    <x v="0"/>
    <x v="23"/>
    <n v="-0.61199999999999999"/>
  </r>
  <r>
    <x v="0"/>
    <x v="0"/>
    <x v="0"/>
    <x v="5"/>
    <x v="4"/>
    <x v="0"/>
    <x v="0"/>
    <n v="0.45635338059677699"/>
  </r>
  <r>
    <x v="0"/>
    <x v="0"/>
    <x v="0"/>
    <x v="5"/>
    <x v="4"/>
    <x v="0"/>
    <x v="1"/>
    <n v="0.52649999999999997"/>
  </r>
  <r>
    <x v="0"/>
    <x v="0"/>
    <x v="0"/>
    <x v="5"/>
    <x v="4"/>
    <x v="0"/>
    <x v="2"/>
    <n v="5.9350291315501298E-2"/>
  </r>
  <r>
    <x v="0"/>
    <x v="0"/>
    <x v="0"/>
    <x v="5"/>
    <x v="4"/>
    <x v="0"/>
    <x v="3"/>
    <n v="0.52649999999999997"/>
  </r>
  <r>
    <x v="0"/>
    <x v="0"/>
    <x v="0"/>
    <x v="5"/>
    <x v="4"/>
    <x v="0"/>
    <x v="4"/>
    <n v="0.52649999999999997"/>
  </r>
  <r>
    <x v="0"/>
    <x v="0"/>
    <x v="0"/>
    <x v="5"/>
    <x v="4"/>
    <x v="0"/>
    <x v="5"/>
    <n v="0.52649999999999997"/>
  </r>
  <r>
    <x v="0"/>
    <x v="0"/>
    <x v="0"/>
    <x v="5"/>
    <x v="4"/>
    <x v="0"/>
    <x v="6"/>
    <n v="0.52649999999999997"/>
  </r>
  <r>
    <x v="0"/>
    <x v="0"/>
    <x v="0"/>
    <x v="5"/>
    <x v="4"/>
    <x v="0"/>
    <x v="7"/>
    <n v="0.52649999999999997"/>
  </r>
  <r>
    <x v="0"/>
    <x v="0"/>
    <x v="0"/>
    <x v="5"/>
    <x v="4"/>
    <x v="0"/>
    <x v="8"/>
    <n v="0.52649999999999997"/>
  </r>
  <r>
    <x v="0"/>
    <x v="0"/>
    <x v="0"/>
    <x v="5"/>
    <x v="4"/>
    <x v="0"/>
    <x v="9"/>
    <n v="0.52649999999999997"/>
  </r>
  <r>
    <x v="0"/>
    <x v="0"/>
    <x v="0"/>
    <x v="5"/>
    <x v="4"/>
    <x v="0"/>
    <x v="10"/>
    <n v="0.52649999999999997"/>
  </r>
  <r>
    <x v="0"/>
    <x v="0"/>
    <x v="0"/>
    <x v="5"/>
    <x v="4"/>
    <x v="0"/>
    <x v="11"/>
    <n v="0.52649999999999997"/>
  </r>
  <r>
    <x v="0"/>
    <x v="0"/>
    <x v="0"/>
    <x v="5"/>
    <x v="4"/>
    <x v="0"/>
    <x v="12"/>
    <n v="0.52649999999999997"/>
  </r>
  <r>
    <x v="0"/>
    <x v="0"/>
    <x v="0"/>
    <x v="5"/>
    <x v="4"/>
    <x v="0"/>
    <x v="13"/>
    <n v="0.52649999999999997"/>
  </r>
  <r>
    <x v="0"/>
    <x v="0"/>
    <x v="0"/>
    <x v="5"/>
    <x v="4"/>
    <x v="0"/>
    <x v="14"/>
    <n v="0.52649999999999997"/>
  </r>
  <r>
    <x v="0"/>
    <x v="0"/>
    <x v="0"/>
    <x v="5"/>
    <x v="4"/>
    <x v="0"/>
    <x v="15"/>
    <n v="0.52649999999999997"/>
  </r>
  <r>
    <x v="0"/>
    <x v="0"/>
    <x v="0"/>
    <x v="5"/>
    <x v="4"/>
    <x v="0"/>
    <x v="16"/>
    <n v="0.52649999999999997"/>
  </r>
  <r>
    <x v="0"/>
    <x v="0"/>
    <x v="0"/>
    <x v="5"/>
    <x v="4"/>
    <x v="0"/>
    <x v="17"/>
    <n v="0.52649999999999997"/>
  </r>
  <r>
    <x v="0"/>
    <x v="0"/>
    <x v="0"/>
    <x v="5"/>
    <x v="4"/>
    <x v="0"/>
    <x v="18"/>
    <n v="0.45206698223467201"/>
  </r>
  <r>
    <x v="0"/>
    <x v="0"/>
    <x v="0"/>
    <x v="5"/>
    <x v="4"/>
    <x v="0"/>
    <x v="19"/>
    <n v="0.400355212040019"/>
  </r>
  <r>
    <x v="0"/>
    <x v="0"/>
    <x v="0"/>
    <x v="5"/>
    <x v="4"/>
    <x v="0"/>
    <x v="20"/>
    <n v="0.47150693935475801"/>
  </r>
  <r>
    <x v="0"/>
    <x v="0"/>
    <x v="0"/>
    <x v="5"/>
    <x v="4"/>
    <x v="0"/>
    <x v="21"/>
    <n v="0.52649999999999997"/>
  </r>
  <r>
    <x v="0"/>
    <x v="0"/>
    <x v="0"/>
    <x v="5"/>
    <x v="4"/>
    <x v="0"/>
    <x v="22"/>
    <n v="0.52649999999999997"/>
  </r>
  <r>
    <x v="0"/>
    <x v="0"/>
    <x v="0"/>
    <x v="5"/>
    <x v="4"/>
    <x v="0"/>
    <x v="23"/>
    <n v="0.52649999999999997"/>
  </r>
  <r>
    <x v="0"/>
    <x v="0"/>
    <x v="0"/>
    <x v="5"/>
    <x v="0"/>
    <x v="0"/>
    <x v="0"/>
    <n v="0"/>
  </r>
  <r>
    <x v="0"/>
    <x v="0"/>
    <x v="0"/>
    <x v="5"/>
    <x v="0"/>
    <x v="0"/>
    <x v="1"/>
    <n v="0"/>
  </r>
  <r>
    <x v="0"/>
    <x v="0"/>
    <x v="0"/>
    <x v="5"/>
    <x v="0"/>
    <x v="0"/>
    <x v="2"/>
    <n v="0"/>
  </r>
  <r>
    <x v="0"/>
    <x v="0"/>
    <x v="0"/>
    <x v="5"/>
    <x v="0"/>
    <x v="0"/>
    <x v="3"/>
    <n v="0"/>
  </r>
  <r>
    <x v="0"/>
    <x v="0"/>
    <x v="0"/>
    <x v="5"/>
    <x v="0"/>
    <x v="0"/>
    <x v="4"/>
    <n v="0"/>
  </r>
  <r>
    <x v="0"/>
    <x v="0"/>
    <x v="0"/>
    <x v="5"/>
    <x v="0"/>
    <x v="0"/>
    <x v="5"/>
    <n v="0"/>
  </r>
  <r>
    <x v="0"/>
    <x v="0"/>
    <x v="0"/>
    <x v="5"/>
    <x v="0"/>
    <x v="0"/>
    <x v="6"/>
    <n v="0"/>
  </r>
  <r>
    <x v="0"/>
    <x v="0"/>
    <x v="0"/>
    <x v="5"/>
    <x v="0"/>
    <x v="0"/>
    <x v="7"/>
    <n v="0"/>
  </r>
  <r>
    <x v="0"/>
    <x v="0"/>
    <x v="0"/>
    <x v="5"/>
    <x v="0"/>
    <x v="0"/>
    <x v="8"/>
    <n v="0"/>
  </r>
  <r>
    <x v="0"/>
    <x v="0"/>
    <x v="0"/>
    <x v="5"/>
    <x v="0"/>
    <x v="0"/>
    <x v="9"/>
    <n v="0"/>
  </r>
  <r>
    <x v="0"/>
    <x v="0"/>
    <x v="0"/>
    <x v="5"/>
    <x v="0"/>
    <x v="0"/>
    <x v="10"/>
    <n v="0"/>
  </r>
  <r>
    <x v="0"/>
    <x v="0"/>
    <x v="0"/>
    <x v="5"/>
    <x v="0"/>
    <x v="0"/>
    <x v="11"/>
    <n v="0"/>
  </r>
  <r>
    <x v="0"/>
    <x v="0"/>
    <x v="0"/>
    <x v="5"/>
    <x v="0"/>
    <x v="0"/>
    <x v="12"/>
    <n v="0"/>
  </r>
  <r>
    <x v="0"/>
    <x v="0"/>
    <x v="0"/>
    <x v="5"/>
    <x v="0"/>
    <x v="0"/>
    <x v="13"/>
    <n v="0"/>
  </r>
  <r>
    <x v="0"/>
    <x v="0"/>
    <x v="0"/>
    <x v="5"/>
    <x v="0"/>
    <x v="0"/>
    <x v="14"/>
    <n v="0"/>
  </r>
  <r>
    <x v="0"/>
    <x v="0"/>
    <x v="0"/>
    <x v="5"/>
    <x v="0"/>
    <x v="0"/>
    <x v="15"/>
    <n v="0"/>
  </r>
  <r>
    <x v="0"/>
    <x v="0"/>
    <x v="0"/>
    <x v="5"/>
    <x v="0"/>
    <x v="0"/>
    <x v="16"/>
    <n v="0"/>
  </r>
  <r>
    <x v="0"/>
    <x v="0"/>
    <x v="0"/>
    <x v="5"/>
    <x v="0"/>
    <x v="0"/>
    <x v="17"/>
    <n v="0"/>
  </r>
  <r>
    <x v="0"/>
    <x v="0"/>
    <x v="0"/>
    <x v="5"/>
    <x v="0"/>
    <x v="0"/>
    <x v="18"/>
    <n v="0"/>
  </r>
  <r>
    <x v="0"/>
    <x v="0"/>
    <x v="0"/>
    <x v="5"/>
    <x v="0"/>
    <x v="0"/>
    <x v="19"/>
    <n v="0"/>
  </r>
  <r>
    <x v="0"/>
    <x v="0"/>
    <x v="0"/>
    <x v="5"/>
    <x v="0"/>
    <x v="0"/>
    <x v="20"/>
    <n v="0"/>
  </r>
  <r>
    <x v="0"/>
    <x v="0"/>
    <x v="0"/>
    <x v="5"/>
    <x v="0"/>
    <x v="0"/>
    <x v="21"/>
    <n v="0"/>
  </r>
  <r>
    <x v="0"/>
    <x v="0"/>
    <x v="0"/>
    <x v="5"/>
    <x v="0"/>
    <x v="0"/>
    <x v="22"/>
    <n v="0"/>
  </r>
  <r>
    <x v="0"/>
    <x v="0"/>
    <x v="0"/>
    <x v="5"/>
    <x v="0"/>
    <x v="0"/>
    <x v="23"/>
    <n v="0"/>
  </r>
  <r>
    <x v="0"/>
    <x v="0"/>
    <x v="0"/>
    <x v="5"/>
    <x v="5"/>
    <x v="0"/>
    <x v="0"/>
    <n v="-0.54"/>
  </r>
  <r>
    <x v="0"/>
    <x v="0"/>
    <x v="0"/>
    <x v="5"/>
    <x v="5"/>
    <x v="0"/>
    <x v="1"/>
    <n v="0"/>
  </r>
  <r>
    <x v="0"/>
    <x v="0"/>
    <x v="0"/>
    <x v="5"/>
    <x v="5"/>
    <x v="0"/>
    <x v="2"/>
    <n v="0"/>
  </r>
  <r>
    <x v="0"/>
    <x v="0"/>
    <x v="0"/>
    <x v="5"/>
    <x v="5"/>
    <x v="0"/>
    <x v="3"/>
    <n v="-0.211321588546031"/>
  </r>
  <r>
    <x v="0"/>
    <x v="0"/>
    <x v="0"/>
    <x v="5"/>
    <x v="5"/>
    <x v="0"/>
    <x v="4"/>
    <n v="0"/>
  </r>
  <r>
    <x v="0"/>
    <x v="0"/>
    <x v="0"/>
    <x v="5"/>
    <x v="5"/>
    <x v="0"/>
    <x v="5"/>
    <n v="-0.41704356956828598"/>
  </r>
  <r>
    <x v="0"/>
    <x v="0"/>
    <x v="0"/>
    <x v="5"/>
    <x v="5"/>
    <x v="0"/>
    <x v="6"/>
    <n v="-0.116459702522019"/>
  </r>
  <r>
    <x v="0"/>
    <x v="0"/>
    <x v="0"/>
    <x v="5"/>
    <x v="5"/>
    <x v="0"/>
    <x v="7"/>
    <n v="0"/>
  </r>
  <r>
    <x v="0"/>
    <x v="0"/>
    <x v="0"/>
    <x v="5"/>
    <x v="5"/>
    <x v="0"/>
    <x v="8"/>
    <n v="0"/>
  </r>
  <r>
    <x v="0"/>
    <x v="0"/>
    <x v="0"/>
    <x v="5"/>
    <x v="5"/>
    <x v="0"/>
    <x v="9"/>
    <n v="0"/>
  </r>
  <r>
    <x v="0"/>
    <x v="0"/>
    <x v="0"/>
    <x v="5"/>
    <x v="5"/>
    <x v="0"/>
    <x v="10"/>
    <n v="-1.73556768411589E-2"/>
  </r>
  <r>
    <x v="0"/>
    <x v="0"/>
    <x v="0"/>
    <x v="5"/>
    <x v="5"/>
    <x v="0"/>
    <x v="11"/>
    <n v="0"/>
  </r>
  <r>
    <x v="0"/>
    <x v="0"/>
    <x v="0"/>
    <x v="5"/>
    <x v="5"/>
    <x v="0"/>
    <x v="12"/>
    <n v="0"/>
  </r>
  <r>
    <x v="0"/>
    <x v="0"/>
    <x v="0"/>
    <x v="5"/>
    <x v="5"/>
    <x v="0"/>
    <x v="13"/>
    <n v="0"/>
  </r>
  <r>
    <x v="0"/>
    <x v="0"/>
    <x v="0"/>
    <x v="5"/>
    <x v="5"/>
    <x v="0"/>
    <x v="14"/>
    <n v="0"/>
  </r>
  <r>
    <x v="0"/>
    <x v="0"/>
    <x v="0"/>
    <x v="5"/>
    <x v="5"/>
    <x v="0"/>
    <x v="15"/>
    <n v="0"/>
  </r>
  <r>
    <x v="0"/>
    <x v="0"/>
    <x v="0"/>
    <x v="5"/>
    <x v="5"/>
    <x v="0"/>
    <x v="16"/>
    <n v="0"/>
  </r>
  <r>
    <x v="0"/>
    <x v="0"/>
    <x v="0"/>
    <x v="5"/>
    <x v="5"/>
    <x v="0"/>
    <x v="17"/>
    <n v="0"/>
  </r>
  <r>
    <x v="0"/>
    <x v="0"/>
    <x v="0"/>
    <x v="5"/>
    <x v="5"/>
    <x v="0"/>
    <x v="18"/>
    <n v="0"/>
  </r>
  <r>
    <x v="0"/>
    <x v="0"/>
    <x v="0"/>
    <x v="5"/>
    <x v="5"/>
    <x v="0"/>
    <x v="19"/>
    <n v="0"/>
  </r>
  <r>
    <x v="0"/>
    <x v="0"/>
    <x v="0"/>
    <x v="5"/>
    <x v="5"/>
    <x v="0"/>
    <x v="20"/>
    <n v="0"/>
  </r>
  <r>
    <x v="0"/>
    <x v="0"/>
    <x v="0"/>
    <x v="5"/>
    <x v="5"/>
    <x v="0"/>
    <x v="21"/>
    <n v="0"/>
  </r>
  <r>
    <x v="0"/>
    <x v="0"/>
    <x v="0"/>
    <x v="5"/>
    <x v="5"/>
    <x v="0"/>
    <x v="22"/>
    <n v="0"/>
  </r>
  <r>
    <x v="0"/>
    <x v="0"/>
    <x v="0"/>
    <x v="5"/>
    <x v="5"/>
    <x v="0"/>
    <x v="23"/>
    <n v="0"/>
  </r>
  <r>
    <x v="0"/>
    <x v="0"/>
    <x v="0"/>
    <x v="5"/>
    <x v="7"/>
    <x v="0"/>
    <x v="0"/>
    <n v="0"/>
  </r>
  <r>
    <x v="0"/>
    <x v="0"/>
    <x v="0"/>
    <x v="5"/>
    <x v="7"/>
    <x v="0"/>
    <x v="1"/>
    <n v="-0.56279513185427099"/>
  </r>
  <r>
    <x v="0"/>
    <x v="0"/>
    <x v="0"/>
    <x v="5"/>
    <x v="7"/>
    <x v="0"/>
    <x v="2"/>
    <n v="-4.6994491240414098E-2"/>
  </r>
  <r>
    <x v="0"/>
    <x v="0"/>
    <x v="0"/>
    <x v="5"/>
    <x v="7"/>
    <x v="0"/>
    <x v="3"/>
    <n v="-0.30941970348393999"/>
  </r>
  <r>
    <x v="0"/>
    <x v="0"/>
    <x v="0"/>
    <x v="5"/>
    <x v="7"/>
    <x v="0"/>
    <x v="4"/>
    <n v="-0.531468729710739"/>
  </r>
  <r>
    <x v="0"/>
    <x v="0"/>
    <x v="0"/>
    <x v="5"/>
    <x v="7"/>
    <x v="0"/>
    <x v="5"/>
    <n v="-0.21852493432199099"/>
  </r>
  <r>
    <x v="0"/>
    <x v="0"/>
    <x v="0"/>
    <x v="5"/>
    <x v="7"/>
    <x v="0"/>
    <x v="6"/>
    <n v="-0.59691711058289498"/>
  </r>
  <r>
    <x v="0"/>
    <x v="0"/>
    <x v="0"/>
    <x v="5"/>
    <x v="7"/>
    <x v="0"/>
    <x v="7"/>
    <n v="-0.90751291555872504"/>
  </r>
  <r>
    <x v="0"/>
    <x v="0"/>
    <x v="0"/>
    <x v="5"/>
    <x v="7"/>
    <x v="0"/>
    <x v="8"/>
    <n v="-0.943420597798306"/>
  </r>
  <r>
    <x v="0"/>
    <x v="0"/>
    <x v="0"/>
    <x v="5"/>
    <x v="7"/>
    <x v="0"/>
    <x v="9"/>
    <n v="-0.92479233202076405"/>
  </r>
  <r>
    <x v="0"/>
    <x v="0"/>
    <x v="0"/>
    <x v="5"/>
    <x v="7"/>
    <x v="0"/>
    <x v="10"/>
    <n v="-0.90884786069595003"/>
  </r>
  <r>
    <x v="0"/>
    <x v="0"/>
    <x v="0"/>
    <x v="5"/>
    <x v="7"/>
    <x v="0"/>
    <x v="11"/>
    <n v="-0.93154195227639502"/>
  </r>
  <r>
    <x v="0"/>
    <x v="0"/>
    <x v="0"/>
    <x v="5"/>
    <x v="7"/>
    <x v="0"/>
    <x v="12"/>
    <n v="-0.96668013838558597"/>
  </r>
  <r>
    <x v="0"/>
    <x v="0"/>
    <x v="0"/>
    <x v="5"/>
    <x v="7"/>
    <x v="0"/>
    <x v="13"/>
    <n v="-1.01154956369416"/>
  </r>
  <r>
    <x v="0"/>
    <x v="0"/>
    <x v="0"/>
    <x v="5"/>
    <x v="7"/>
    <x v="0"/>
    <x v="14"/>
    <n v="-1.04260161802408"/>
  </r>
  <r>
    <x v="0"/>
    <x v="0"/>
    <x v="0"/>
    <x v="5"/>
    <x v="7"/>
    <x v="0"/>
    <x v="15"/>
    <n v="-0.95917578641494505"/>
  </r>
  <r>
    <x v="0"/>
    <x v="0"/>
    <x v="0"/>
    <x v="5"/>
    <x v="7"/>
    <x v="0"/>
    <x v="16"/>
    <n v="-0.93061963058096098"/>
  </r>
  <r>
    <x v="0"/>
    <x v="0"/>
    <x v="0"/>
    <x v="5"/>
    <x v="7"/>
    <x v="0"/>
    <x v="17"/>
    <n v="-1.0861939184473901"/>
  </r>
  <r>
    <x v="0"/>
    <x v="0"/>
    <x v="0"/>
    <x v="5"/>
    <x v="7"/>
    <x v="0"/>
    <x v="18"/>
    <n v="-1.17"/>
  </r>
  <r>
    <x v="0"/>
    <x v="0"/>
    <x v="0"/>
    <x v="5"/>
    <x v="7"/>
    <x v="0"/>
    <x v="19"/>
    <n v="-1.17"/>
  </r>
  <r>
    <x v="0"/>
    <x v="0"/>
    <x v="0"/>
    <x v="5"/>
    <x v="7"/>
    <x v="0"/>
    <x v="20"/>
    <n v="-1.17"/>
  </r>
  <r>
    <x v="0"/>
    <x v="0"/>
    <x v="0"/>
    <x v="5"/>
    <x v="7"/>
    <x v="0"/>
    <x v="21"/>
    <n v="-1.1307240176659099"/>
  </r>
  <r>
    <x v="0"/>
    <x v="0"/>
    <x v="0"/>
    <x v="5"/>
    <x v="7"/>
    <x v="0"/>
    <x v="22"/>
    <n v="-0.96565269123552699"/>
  </r>
  <r>
    <x v="0"/>
    <x v="0"/>
    <x v="0"/>
    <x v="5"/>
    <x v="7"/>
    <x v="0"/>
    <x v="23"/>
    <n v="-0.79918089187949504"/>
  </r>
  <r>
    <x v="0"/>
    <x v="0"/>
    <x v="0"/>
    <x v="6"/>
    <x v="6"/>
    <x v="0"/>
    <x v="0"/>
    <n v="2.25"/>
  </r>
  <r>
    <x v="0"/>
    <x v="0"/>
    <x v="0"/>
    <x v="6"/>
    <x v="6"/>
    <x v="0"/>
    <x v="1"/>
    <n v="0"/>
  </r>
  <r>
    <x v="0"/>
    <x v="0"/>
    <x v="0"/>
    <x v="6"/>
    <x v="6"/>
    <x v="0"/>
    <x v="2"/>
    <n v="0"/>
  </r>
  <r>
    <x v="0"/>
    <x v="0"/>
    <x v="0"/>
    <x v="6"/>
    <x v="6"/>
    <x v="0"/>
    <x v="3"/>
    <n v="0"/>
  </r>
  <r>
    <x v="0"/>
    <x v="0"/>
    <x v="0"/>
    <x v="6"/>
    <x v="6"/>
    <x v="0"/>
    <x v="4"/>
    <n v="0"/>
  </r>
  <r>
    <x v="0"/>
    <x v="0"/>
    <x v="0"/>
    <x v="6"/>
    <x v="6"/>
    <x v="0"/>
    <x v="5"/>
    <n v="0"/>
  </r>
  <r>
    <x v="0"/>
    <x v="0"/>
    <x v="0"/>
    <x v="6"/>
    <x v="6"/>
    <x v="0"/>
    <x v="6"/>
    <n v="0"/>
  </r>
  <r>
    <x v="0"/>
    <x v="0"/>
    <x v="0"/>
    <x v="6"/>
    <x v="6"/>
    <x v="0"/>
    <x v="7"/>
    <n v="0"/>
  </r>
  <r>
    <x v="0"/>
    <x v="0"/>
    <x v="0"/>
    <x v="6"/>
    <x v="6"/>
    <x v="0"/>
    <x v="8"/>
    <n v="1.65734664611375"/>
  </r>
  <r>
    <x v="0"/>
    <x v="0"/>
    <x v="0"/>
    <x v="6"/>
    <x v="6"/>
    <x v="0"/>
    <x v="9"/>
    <n v="0"/>
  </r>
  <r>
    <x v="0"/>
    <x v="0"/>
    <x v="0"/>
    <x v="6"/>
    <x v="6"/>
    <x v="0"/>
    <x v="10"/>
    <n v="0"/>
  </r>
  <r>
    <x v="0"/>
    <x v="0"/>
    <x v="0"/>
    <x v="6"/>
    <x v="6"/>
    <x v="0"/>
    <x v="11"/>
    <n v="2.25"/>
  </r>
  <r>
    <x v="0"/>
    <x v="0"/>
    <x v="0"/>
    <x v="6"/>
    <x v="6"/>
    <x v="0"/>
    <x v="12"/>
    <n v="0"/>
  </r>
  <r>
    <x v="0"/>
    <x v="0"/>
    <x v="0"/>
    <x v="6"/>
    <x v="6"/>
    <x v="0"/>
    <x v="13"/>
    <n v="0"/>
  </r>
  <r>
    <x v="0"/>
    <x v="0"/>
    <x v="0"/>
    <x v="6"/>
    <x v="6"/>
    <x v="0"/>
    <x v="14"/>
    <n v="0"/>
  </r>
  <r>
    <x v="0"/>
    <x v="0"/>
    <x v="0"/>
    <x v="6"/>
    <x v="6"/>
    <x v="0"/>
    <x v="15"/>
    <n v="2.25"/>
  </r>
  <r>
    <x v="0"/>
    <x v="0"/>
    <x v="0"/>
    <x v="6"/>
    <x v="6"/>
    <x v="0"/>
    <x v="16"/>
    <n v="2.25"/>
  </r>
  <r>
    <x v="0"/>
    <x v="0"/>
    <x v="0"/>
    <x v="6"/>
    <x v="6"/>
    <x v="0"/>
    <x v="17"/>
    <n v="0"/>
  </r>
  <r>
    <x v="0"/>
    <x v="0"/>
    <x v="0"/>
    <x v="6"/>
    <x v="6"/>
    <x v="0"/>
    <x v="18"/>
    <n v="0"/>
  </r>
  <r>
    <x v="0"/>
    <x v="0"/>
    <x v="0"/>
    <x v="6"/>
    <x v="6"/>
    <x v="0"/>
    <x v="19"/>
    <n v="0"/>
  </r>
  <r>
    <x v="0"/>
    <x v="0"/>
    <x v="0"/>
    <x v="6"/>
    <x v="6"/>
    <x v="0"/>
    <x v="20"/>
    <n v="0"/>
  </r>
  <r>
    <x v="0"/>
    <x v="0"/>
    <x v="0"/>
    <x v="6"/>
    <x v="6"/>
    <x v="0"/>
    <x v="21"/>
    <n v="2.25"/>
  </r>
  <r>
    <x v="0"/>
    <x v="0"/>
    <x v="0"/>
    <x v="6"/>
    <x v="6"/>
    <x v="0"/>
    <x v="22"/>
    <n v="0"/>
  </r>
  <r>
    <x v="0"/>
    <x v="0"/>
    <x v="0"/>
    <x v="6"/>
    <x v="6"/>
    <x v="0"/>
    <x v="23"/>
    <n v="0"/>
  </r>
  <r>
    <x v="0"/>
    <x v="0"/>
    <x v="0"/>
    <x v="6"/>
    <x v="9"/>
    <x v="0"/>
    <x v="0"/>
    <n v="0"/>
  </r>
  <r>
    <x v="0"/>
    <x v="0"/>
    <x v="0"/>
    <x v="6"/>
    <x v="9"/>
    <x v="0"/>
    <x v="1"/>
    <n v="0"/>
  </r>
  <r>
    <x v="0"/>
    <x v="0"/>
    <x v="0"/>
    <x v="6"/>
    <x v="9"/>
    <x v="0"/>
    <x v="2"/>
    <n v="0"/>
  </r>
  <r>
    <x v="0"/>
    <x v="0"/>
    <x v="0"/>
    <x v="6"/>
    <x v="9"/>
    <x v="0"/>
    <x v="3"/>
    <n v="0"/>
  </r>
  <r>
    <x v="0"/>
    <x v="0"/>
    <x v="0"/>
    <x v="6"/>
    <x v="9"/>
    <x v="0"/>
    <x v="4"/>
    <n v="0"/>
  </r>
  <r>
    <x v="0"/>
    <x v="0"/>
    <x v="0"/>
    <x v="6"/>
    <x v="9"/>
    <x v="0"/>
    <x v="5"/>
    <n v="0"/>
  </r>
  <r>
    <x v="0"/>
    <x v="0"/>
    <x v="0"/>
    <x v="6"/>
    <x v="9"/>
    <x v="0"/>
    <x v="6"/>
    <n v="0"/>
  </r>
  <r>
    <x v="0"/>
    <x v="0"/>
    <x v="0"/>
    <x v="6"/>
    <x v="9"/>
    <x v="0"/>
    <x v="7"/>
    <n v="0"/>
  </r>
  <r>
    <x v="0"/>
    <x v="0"/>
    <x v="0"/>
    <x v="6"/>
    <x v="9"/>
    <x v="0"/>
    <x v="8"/>
    <n v="0"/>
  </r>
  <r>
    <x v="0"/>
    <x v="0"/>
    <x v="0"/>
    <x v="6"/>
    <x v="9"/>
    <x v="0"/>
    <x v="9"/>
    <n v="0"/>
  </r>
  <r>
    <x v="0"/>
    <x v="0"/>
    <x v="0"/>
    <x v="6"/>
    <x v="9"/>
    <x v="0"/>
    <x v="10"/>
    <n v="0"/>
  </r>
  <r>
    <x v="0"/>
    <x v="0"/>
    <x v="0"/>
    <x v="6"/>
    <x v="9"/>
    <x v="0"/>
    <x v="11"/>
    <n v="0.67358206839215895"/>
  </r>
  <r>
    <x v="0"/>
    <x v="0"/>
    <x v="0"/>
    <x v="6"/>
    <x v="9"/>
    <x v="0"/>
    <x v="12"/>
    <n v="0.28318745223373398"/>
  </r>
  <r>
    <x v="0"/>
    <x v="0"/>
    <x v="0"/>
    <x v="6"/>
    <x v="9"/>
    <x v="0"/>
    <x v="13"/>
    <n v="0"/>
  </r>
  <r>
    <x v="0"/>
    <x v="0"/>
    <x v="0"/>
    <x v="6"/>
    <x v="9"/>
    <x v="0"/>
    <x v="14"/>
    <n v="0"/>
  </r>
  <r>
    <x v="0"/>
    <x v="0"/>
    <x v="0"/>
    <x v="6"/>
    <x v="9"/>
    <x v="0"/>
    <x v="15"/>
    <n v="0"/>
  </r>
  <r>
    <x v="0"/>
    <x v="0"/>
    <x v="0"/>
    <x v="6"/>
    <x v="9"/>
    <x v="0"/>
    <x v="16"/>
    <n v="0"/>
  </r>
  <r>
    <x v="0"/>
    <x v="0"/>
    <x v="0"/>
    <x v="6"/>
    <x v="9"/>
    <x v="0"/>
    <x v="17"/>
    <n v="0"/>
  </r>
  <r>
    <x v="0"/>
    <x v="0"/>
    <x v="0"/>
    <x v="6"/>
    <x v="9"/>
    <x v="0"/>
    <x v="18"/>
    <n v="0"/>
  </r>
  <r>
    <x v="0"/>
    <x v="0"/>
    <x v="0"/>
    <x v="6"/>
    <x v="9"/>
    <x v="0"/>
    <x v="19"/>
    <n v="0"/>
  </r>
  <r>
    <x v="0"/>
    <x v="0"/>
    <x v="0"/>
    <x v="6"/>
    <x v="9"/>
    <x v="0"/>
    <x v="20"/>
    <n v="0"/>
  </r>
  <r>
    <x v="0"/>
    <x v="0"/>
    <x v="0"/>
    <x v="6"/>
    <x v="9"/>
    <x v="0"/>
    <x v="21"/>
    <n v="0"/>
  </r>
  <r>
    <x v="0"/>
    <x v="0"/>
    <x v="0"/>
    <x v="6"/>
    <x v="9"/>
    <x v="0"/>
    <x v="22"/>
    <n v="0"/>
  </r>
  <r>
    <x v="0"/>
    <x v="0"/>
    <x v="0"/>
    <x v="6"/>
    <x v="9"/>
    <x v="0"/>
    <x v="23"/>
    <n v="0"/>
  </r>
  <r>
    <x v="0"/>
    <x v="0"/>
    <x v="0"/>
    <x v="6"/>
    <x v="10"/>
    <x v="0"/>
    <x v="0"/>
    <n v="0"/>
  </r>
  <r>
    <x v="0"/>
    <x v="0"/>
    <x v="0"/>
    <x v="6"/>
    <x v="10"/>
    <x v="0"/>
    <x v="1"/>
    <n v="0"/>
  </r>
  <r>
    <x v="0"/>
    <x v="0"/>
    <x v="0"/>
    <x v="6"/>
    <x v="10"/>
    <x v="0"/>
    <x v="2"/>
    <n v="0"/>
  </r>
  <r>
    <x v="0"/>
    <x v="0"/>
    <x v="0"/>
    <x v="6"/>
    <x v="10"/>
    <x v="0"/>
    <x v="3"/>
    <n v="0"/>
  </r>
  <r>
    <x v="0"/>
    <x v="0"/>
    <x v="0"/>
    <x v="6"/>
    <x v="10"/>
    <x v="0"/>
    <x v="4"/>
    <n v="0"/>
  </r>
  <r>
    <x v="0"/>
    <x v="0"/>
    <x v="0"/>
    <x v="6"/>
    <x v="10"/>
    <x v="0"/>
    <x v="5"/>
    <n v="0"/>
  </r>
  <r>
    <x v="0"/>
    <x v="0"/>
    <x v="0"/>
    <x v="6"/>
    <x v="10"/>
    <x v="0"/>
    <x v="6"/>
    <n v="0"/>
  </r>
  <r>
    <x v="0"/>
    <x v="0"/>
    <x v="0"/>
    <x v="6"/>
    <x v="10"/>
    <x v="0"/>
    <x v="7"/>
    <n v="0"/>
  </r>
  <r>
    <x v="0"/>
    <x v="0"/>
    <x v="0"/>
    <x v="6"/>
    <x v="10"/>
    <x v="0"/>
    <x v="8"/>
    <n v="0"/>
  </r>
  <r>
    <x v="0"/>
    <x v="0"/>
    <x v="0"/>
    <x v="6"/>
    <x v="10"/>
    <x v="0"/>
    <x v="9"/>
    <n v="0"/>
  </r>
  <r>
    <x v="0"/>
    <x v="0"/>
    <x v="0"/>
    <x v="6"/>
    <x v="10"/>
    <x v="0"/>
    <x v="10"/>
    <n v="0"/>
  </r>
  <r>
    <x v="0"/>
    <x v="0"/>
    <x v="0"/>
    <x v="6"/>
    <x v="10"/>
    <x v="0"/>
    <x v="11"/>
    <n v="0"/>
  </r>
  <r>
    <x v="0"/>
    <x v="0"/>
    <x v="0"/>
    <x v="6"/>
    <x v="10"/>
    <x v="0"/>
    <x v="12"/>
    <n v="0"/>
  </r>
  <r>
    <x v="0"/>
    <x v="0"/>
    <x v="0"/>
    <x v="6"/>
    <x v="10"/>
    <x v="0"/>
    <x v="13"/>
    <n v="0"/>
  </r>
  <r>
    <x v="0"/>
    <x v="0"/>
    <x v="0"/>
    <x v="6"/>
    <x v="10"/>
    <x v="0"/>
    <x v="14"/>
    <n v="0"/>
  </r>
  <r>
    <x v="0"/>
    <x v="0"/>
    <x v="0"/>
    <x v="6"/>
    <x v="10"/>
    <x v="0"/>
    <x v="15"/>
    <n v="0"/>
  </r>
  <r>
    <x v="0"/>
    <x v="0"/>
    <x v="0"/>
    <x v="6"/>
    <x v="10"/>
    <x v="0"/>
    <x v="16"/>
    <n v="0"/>
  </r>
  <r>
    <x v="0"/>
    <x v="0"/>
    <x v="0"/>
    <x v="6"/>
    <x v="10"/>
    <x v="0"/>
    <x v="17"/>
    <n v="0"/>
  </r>
  <r>
    <x v="0"/>
    <x v="0"/>
    <x v="0"/>
    <x v="6"/>
    <x v="10"/>
    <x v="0"/>
    <x v="18"/>
    <n v="0"/>
  </r>
  <r>
    <x v="0"/>
    <x v="0"/>
    <x v="0"/>
    <x v="6"/>
    <x v="10"/>
    <x v="0"/>
    <x v="19"/>
    <n v="0"/>
  </r>
  <r>
    <x v="0"/>
    <x v="0"/>
    <x v="0"/>
    <x v="6"/>
    <x v="10"/>
    <x v="0"/>
    <x v="20"/>
    <n v="0"/>
  </r>
  <r>
    <x v="0"/>
    <x v="0"/>
    <x v="0"/>
    <x v="6"/>
    <x v="10"/>
    <x v="0"/>
    <x v="21"/>
    <n v="0"/>
  </r>
  <r>
    <x v="0"/>
    <x v="0"/>
    <x v="0"/>
    <x v="6"/>
    <x v="10"/>
    <x v="0"/>
    <x v="22"/>
    <n v="0"/>
  </r>
  <r>
    <x v="0"/>
    <x v="0"/>
    <x v="0"/>
    <x v="6"/>
    <x v="10"/>
    <x v="0"/>
    <x v="23"/>
    <n v="0"/>
  </r>
  <r>
    <x v="0"/>
    <x v="0"/>
    <x v="0"/>
    <x v="6"/>
    <x v="8"/>
    <x v="0"/>
    <x v="0"/>
    <n v="0"/>
  </r>
  <r>
    <x v="0"/>
    <x v="0"/>
    <x v="0"/>
    <x v="6"/>
    <x v="8"/>
    <x v="0"/>
    <x v="1"/>
    <n v="0"/>
  </r>
  <r>
    <x v="0"/>
    <x v="0"/>
    <x v="0"/>
    <x v="6"/>
    <x v="8"/>
    <x v="0"/>
    <x v="2"/>
    <n v="0"/>
  </r>
  <r>
    <x v="0"/>
    <x v="0"/>
    <x v="0"/>
    <x v="6"/>
    <x v="8"/>
    <x v="0"/>
    <x v="3"/>
    <n v="0"/>
  </r>
  <r>
    <x v="0"/>
    <x v="0"/>
    <x v="0"/>
    <x v="6"/>
    <x v="8"/>
    <x v="0"/>
    <x v="4"/>
    <n v="0"/>
  </r>
  <r>
    <x v="0"/>
    <x v="0"/>
    <x v="0"/>
    <x v="6"/>
    <x v="8"/>
    <x v="0"/>
    <x v="5"/>
    <n v="0"/>
  </r>
  <r>
    <x v="0"/>
    <x v="0"/>
    <x v="0"/>
    <x v="6"/>
    <x v="8"/>
    <x v="0"/>
    <x v="6"/>
    <n v="0"/>
  </r>
  <r>
    <x v="0"/>
    <x v="0"/>
    <x v="0"/>
    <x v="6"/>
    <x v="8"/>
    <x v="0"/>
    <x v="7"/>
    <n v="0"/>
  </r>
  <r>
    <x v="0"/>
    <x v="0"/>
    <x v="0"/>
    <x v="6"/>
    <x v="8"/>
    <x v="0"/>
    <x v="8"/>
    <n v="0"/>
  </r>
  <r>
    <x v="0"/>
    <x v="0"/>
    <x v="0"/>
    <x v="6"/>
    <x v="8"/>
    <x v="0"/>
    <x v="9"/>
    <n v="0"/>
  </r>
  <r>
    <x v="0"/>
    <x v="0"/>
    <x v="0"/>
    <x v="6"/>
    <x v="8"/>
    <x v="0"/>
    <x v="10"/>
    <n v="0"/>
  </r>
  <r>
    <x v="0"/>
    <x v="0"/>
    <x v="0"/>
    <x v="6"/>
    <x v="8"/>
    <x v="0"/>
    <x v="11"/>
    <n v="0"/>
  </r>
  <r>
    <x v="0"/>
    <x v="0"/>
    <x v="0"/>
    <x v="6"/>
    <x v="8"/>
    <x v="0"/>
    <x v="12"/>
    <n v="0"/>
  </r>
  <r>
    <x v="0"/>
    <x v="0"/>
    <x v="0"/>
    <x v="6"/>
    <x v="8"/>
    <x v="0"/>
    <x v="13"/>
    <n v="0"/>
  </r>
  <r>
    <x v="0"/>
    <x v="0"/>
    <x v="0"/>
    <x v="6"/>
    <x v="8"/>
    <x v="0"/>
    <x v="14"/>
    <n v="0"/>
  </r>
  <r>
    <x v="0"/>
    <x v="0"/>
    <x v="0"/>
    <x v="6"/>
    <x v="8"/>
    <x v="0"/>
    <x v="15"/>
    <n v="0"/>
  </r>
  <r>
    <x v="0"/>
    <x v="0"/>
    <x v="0"/>
    <x v="6"/>
    <x v="8"/>
    <x v="0"/>
    <x v="16"/>
    <n v="0"/>
  </r>
  <r>
    <x v="0"/>
    <x v="0"/>
    <x v="0"/>
    <x v="6"/>
    <x v="8"/>
    <x v="0"/>
    <x v="17"/>
    <n v="0"/>
  </r>
  <r>
    <x v="0"/>
    <x v="0"/>
    <x v="0"/>
    <x v="6"/>
    <x v="8"/>
    <x v="0"/>
    <x v="18"/>
    <n v="0.26309297717715502"/>
  </r>
  <r>
    <x v="0"/>
    <x v="0"/>
    <x v="0"/>
    <x v="6"/>
    <x v="8"/>
    <x v="0"/>
    <x v="19"/>
    <n v="0"/>
  </r>
  <r>
    <x v="0"/>
    <x v="0"/>
    <x v="0"/>
    <x v="6"/>
    <x v="8"/>
    <x v="0"/>
    <x v="20"/>
    <n v="0"/>
  </r>
  <r>
    <x v="0"/>
    <x v="0"/>
    <x v="0"/>
    <x v="6"/>
    <x v="8"/>
    <x v="0"/>
    <x v="21"/>
    <n v="0"/>
  </r>
  <r>
    <x v="0"/>
    <x v="0"/>
    <x v="0"/>
    <x v="6"/>
    <x v="8"/>
    <x v="0"/>
    <x v="22"/>
    <n v="0"/>
  </r>
  <r>
    <x v="0"/>
    <x v="0"/>
    <x v="0"/>
    <x v="6"/>
    <x v="8"/>
    <x v="0"/>
    <x v="23"/>
    <n v="0"/>
  </r>
  <r>
    <x v="0"/>
    <x v="0"/>
    <x v="0"/>
    <x v="7"/>
    <x v="0"/>
    <x v="0"/>
    <x v="0"/>
    <n v="0"/>
  </r>
  <r>
    <x v="0"/>
    <x v="0"/>
    <x v="0"/>
    <x v="7"/>
    <x v="0"/>
    <x v="0"/>
    <x v="1"/>
    <n v="0"/>
  </r>
  <r>
    <x v="0"/>
    <x v="0"/>
    <x v="0"/>
    <x v="7"/>
    <x v="0"/>
    <x v="0"/>
    <x v="2"/>
    <n v="0"/>
  </r>
  <r>
    <x v="0"/>
    <x v="0"/>
    <x v="0"/>
    <x v="7"/>
    <x v="0"/>
    <x v="0"/>
    <x v="3"/>
    <n v="0"/>
  </r>
  <r>
    <x v="0"/>
    <x v="0"/>
    <x v="0"/>
    <x v="7"/>
    <x v="0"/>
    <x v="0"/>
    <x v="4"/>
    <n v="0"/>
  </r>
  <r>
    <x v="0"/>
    <x v="0"/>
    <x v="0"/>
    <x v="7"/>
    <x v="0"/>
    <x v="0"/>
    <x v="5"/>
    <n v="0"/>
  </r>
  <r>
    <x v="0"/>
    <x v="0"/>
    <x v="0"/>
    <x v="7"/>
    <x v="0"/>
    <x v="0"/>
    <x v="6"/>
    <n v="0"/>
  </r>
  <r>
    <x v="0"/>
    <x v="0"/>
    <x v="0"/>
    <x v="7"/>
    <x v="0"/>
    <x v="0"/>
    <x v="7"/>
    <n v="0"/>
  </r>
  <r>
    <x v="0"/>
    <x v="0"/>
    <x v="0"/>
    <x v="7"/>
    <x v="0"/>
    <x v="0"/>
    <x v="8"/>
    <n v="0"/>
  </r>
  <r>
    <x v="0"/>
    <x v="0"/>
    <x v="0"/>
    <x v="7"/>
    <x v="0"/>
    <x v="0"/>
    <x v="9"/>
    <n v="0"/>
  </r>
  <r>
    <x v="0"/>
    <x v="0"/>
    <x v="0"/>
    <x v="7"/>
    <x v="0"/>
    <x v="0"/>
    <x v="10"/>
    <n v="0"/>
  </r>
  <r>
    <x v="0"/>
    <x v="0"/>
    <x v="0"/>
    <x v="7"/>
    <x v="0"/>
    <x v="0"/>
    <x v="11"/>
    <n v="0"/>
  </r>
  <r>
    <x v="0"/>
    <x v="0"/>
    <x v="0"/>
    <x v="7"/>
    <x v="0"/>
    <x v="0"/>
    <x v="12"/>
    <n v="0"/>
  </r>
  <r>
    <x v="0"/>
    <x v="0"/>
    <x v="0"/>
    <x v="7"/>
    <x v="0"/>
    <x v="0"/>
    <x v="13"/>
    <n v="0"/>
  </r>
  <r>
    <x v="0"/>
    <x v="0"/>
    <x v="0"/>
    <x v="7"/>
    <x v="0"/>
    <x v="0"/>
    <x v="14"/>
    <n v="0"/>
  </r>
  <r>
    <x v="0"/>
    <x v="0"/>
    <x v="0"/>
    <x v="7"/>
    <x v="0"/>
    <x v="0"/>
    <x v="15"/>
    <n v="0"/>
  </r>
  <r>
    <x v="0"/>
    <x v="0"/>
    <x v="0"/>
    <x v="7"/>
    <x v="0"/>
    <x v="0"/>
    <x v="16"/>
    <n v="0"/>
  </r>
  <r>
    <x v="0"/>
    <x v="0"/>
    <x v="0"/>
    <x v="7"/>
    <x v="0"/>
    <x v="0"/>
    <x v="17"/>
    <n v="0"/>
  </r>
  <r>
    <x v="0"/>
    <x v="0"/>
    <x v="0"/>
    <x v="7"/>
    <x v="0"/>
    <x v="0"/>
    <x v="18"/>
    <n v="0"/>
  </r>
  <r>
    <x v="0"/>
    <x v="0"/>
    <x v="0"/>
    <x v="7"/>
    <x v="0"/>
    <x v="0"/>
    <x v="19"/>
    <n v="0"/>
  </r>
  <r>
    <x v="0"/>
    <x v="0"/>
    <x v="0"/>
    <x v="7"/>
    <x v="0"/>
    <x v="0"/>
    <x v="20"/>
    <n v="0"/>
  </r>
  <r>
    <x v="0"/>
    <x v="0"/>
    <x v="0"/>
    <x v="7"/>
    <x v="0"/>
    <x v="0"/>
    <x v="21"/>
    <n v="0"/>
  </r>
  <r>
    <x v="0"/>
    <x v="0"/>
    <x v="0"/>
    <x v="7"/>
    <x v="0"/>
    <x v="0"/>
    <x v="22"/>
    <n v="0"/>
  </r>
  <r>
    <x v="0"/>
    <x v="0"/>
    <x v="0"/>
    <x v="7"/>
    <x v="0"/>
    <x v="0"/>
    <x v="23"/>
    <n v="0"/>
  </r>
  <r>
    <x v="0"/>
    <x v="0"/>
    <x v="0"/>
    <x v="7"/>
    <x v="5"/>
    <x v="0"/>
    <x v="0"/>
    <n v="1.53"/>
  </r>
  <r>
    <x v="0"/>
    <x v="0"/>
    <x v="0"/>
    <x v="7"/>
    <x v="5"/>
    <x v="0"/>
    <x v="1"/>
    <n v="0.16194898292214399"/>
  </r>
  <r>
    <x v="0"/>
    <x v="0"/>
    <x v="0"/>
    <x v="7"/>
    <x v="5"/>
    <x v="0"/>
    <x v="2"/>
    <n v="1.7966593045542899E-2"/>
  </r>
  <r>
    <x v="0"/>
    <x v="0"/>
    <x v="0"/>
    <x v="7"/>
    <x v="5"/>
    <x v="0"/>
    <x v="3"/>
    <n v="0"/>
  </r>
  <r>
    <x v="0"/>
    <x v="0"/>
    <x v="0"/>
    <x v="7"/>
    <x v="5"/>
    <x v="0"/>
    <x v="4"/>
    <n v="0"/>
  </r>
  <r>
    <x v="0"/>
    <x v="0"/>
    <x v="0"/>
    <x v="7"/>
    <x v="5"/>
    <x v="0"/>
    <x v="5"/>
    <n v="0"/>
  </r>
  <r>
    <x v="0"/>
    <x v="0"/>
    <x v="0"/>
    <x v="7"/>
    <x v="5"/>
    <x v="0"/>
    <x v="6"/>
    <n v="0"/>
  </r>
  <r>
    <x v="0"/>
    <x v="0"/>
    <x v="0"/>
    <x v="7"/>
    <x v="5"/>
    <x v="0"/>
    <x v="7"/>
    <n v="0.28213650748911201"/>
  </r>
  <r>
    <x v="0"/>
    <x v="0"/>
    <x v="0"/>
    <x v="7"/>
    <x v="5"/>
    <x v="0"/>
    <x v="8"/>
    <n v="0.54300530667082203"/>
  </r>
  <r>
    <x v="0"/>
    <x v="0"/>
    <x v="0"/>
    <x v="7"/>
    <x v="5"/>
    <x v="0"/>
    <x v="9"/>
    <n v="0.67427127563586298"/>
  </r>
  <r>
    <x v="0"/>
    <x v="0"/>
    <x v="0"/>
    <x v="7"/>
    <x v="5"/>
    <x v="0"/>
    <x v="10"/>
    <n v="1.53"/>
  </r>
  <r>
    <x v="0"/>
    <x v="0"/>
    <x v="0"/>
    <x v="7"/>
    <x v="5"/>
    <x v="0"/>
    <x v="11"/>
    <n v="1.0421407692065301"/>
  </r>
  <r>
    <x v="0"/>
    <x v="0"/>
    <x v="0"/>
    <x v="7"/>
    <x v="5"/>
    <x v="0"/>
    <x v="12"/>
    <n v="1.0163186376273701"/>
  </r>
  <r>
    <x v="0"/>
    <x v="0"/>
    <x v="0"/>
    <x v="7"/>
    <x v="5"/>
    <x v="0"/>
    <x v="13"/>
    <n v="1.0112334352635599"/>
  </r>
  <r>
    <x v="0"/>
    <x v="0"/>
    <x v="0"/>
    <x v="7"/>
    <x v="5"/>
    <x v="0"/>
    <x v="14"/>
    <n v="0.99638313373118903"/>
  </r>
  <r>
    <x v="0"/>
    <x v="0"/>
    <x v="0"/>
    <x v="7"/>
    <x v="5"/>
    <x v="0"/>
    <x v="15"/>
    <n v="0.96205404257418003"/>
  </r>
  <r>
    <x v="0"/>
    <x v="0"/>
    <x v="0"/>
    <x v="7"/>
    <x v="5"/>
    <x v="0"/>
    <x v="16"/>
    <n v="1.07050500836169"/>
  </r>
  <r>
    <x v="0"/>
    <x v="0"/>
    <x v="0"/>
    <x v="7"/>
    <x v="5"/>
    <x v="0"/>
    <x v="17"/>
    <n v="1.53"/>
  </r>
  <r>
    <x v="0"/>
    <x v="0"/>
    <x v="0"/>
    <x v="7"/>
    <x v="5"/>
    <x v="0"/>
    <x v="18"/>
    <n v="1.53"/>
  </r>
  <r>
    <x v="0"/>
    <x v="0"/>
    <x v="0"/>
    <x v="7"/>
    <x v="5"/>
    <x v="0"/>
    <x v="19"/>
    <n v="1.53"/>
  </r>
  <r>
    <x v="0"/>
    <x v="0"/>
    <x v="0"/>
    <x v="7"/>
    <x v="5"/>
    <x v="0"/>
    <x v="20"/>
    <n v="1.53"/>
  </r>
  <r>
    <x v="0"/>
    <x v="0"/>
    <x v="0"/>
    <x v="7"/>
    <x v="5"/>
    <x v="0"/>
    <x v="21"/>
    <n v="1.53"/>
  </r>
  <r>
    <x v="0"/>
    <x v="0"/>
    <x v="0"/>
    <x v="7"/>
    <x v="5"/>
    <x v="0"/>
    <x v="22"/>
    <n v="1.28690596744292"/>
  </r>
  <r>
    <x v="0"/>
    <x v="0"/>
    <x v="0"/>
    <x v="7"/>
    <x v="5"/>
    <x v="0"/>
    <x v="23"/>
    <n v="0.86293502207383399"/>
  </r>
  <r>
    <x v="0"/>
    <x v="0"/>
    <x v="0"/>
    <x v="7"/>
    <x v="11"/>
    <x v="0"/>
    <x v="0"/>
    <n v="-2.25"/>
  </r>
  <r>
    <x v="0"/>
    <x v="0"/>
    <x v="0"/>
    <x v="7"/>
    <x v="11"/>
    <x v="0"/>
    <x v="1"/>
    <n v="0"/>
  </r>
  <r>
    <x v="0"/>
    <x v="0"/>
    <x v="0"/>
    <x v="7"/>
    <x v="11"/>
    <x v="0"/>
    <x v="2"/>
    <n v="0"/>
  </r>
  <r>
    <x v="0"/>
    <x v="0"/>
    <x v="0"/>
    <x v="7"/>
    <x v="11"/>
    <x v="0"/>
    <x v="3"/>
    <n v="0"/>
  </r>
  <r>
    <x v="0"/>
    <x v="0"/>
    <x v="0"/>
    <x v="7"/>
    <x v="11"/>
    <x v="0"/>
    <x v="4"/>
    <n v="0"/>
  </r>
  <r>
    <x v="0"/>
    <x v="0"/>
    <x v="0"/>
    <x v="7"/>
    <x v="11"/>
    <x v="0"/>
    <x v="5"/>
    <n v="0"/>
  </r>
  <r>
    <x v="0"/>
    <x v="0"/>
    <x v="0"/>
    <x v="7"/>
    <x v="11"/>
    <x v="0"/>
    <x v="6"/>
    <n v="0"/>
  </r>
  <r>
    <x v="0"/>
    <x v="0"/>
    <x v="0"/>
    <x v="7"/>
    <x v="11"/>
    <x v="0"/>
    <x v="7"/>
    <n v="0"/>
  </r>
  <r>
    <x v="0"/>
    <x v="0"/>
    <x v="0"/>
    <x v="7"/>
    <x v="11"/>
    <x v="0"/>
    <x v="8"/>
    <n v="-1.65734664611375"/>
  </r>
  <r>
    <x v="0"/>
    <x v="0"/>
    <x v="0"/>
    <x v="7"/>
    <x v="11"/>
    <x v="0"/>
    <x v="9"/>
    <n v="0"/>
  </r>
  <r>
    <x v="0"/>
    <x v="0"/>
    <x v="0"/>
    <x v="7"/>
    <x v="11"/>
    <x v="0"/>
    <x v="10"/>
    <n v="0"/>
  </r>
  <r>
    <x v="0"/>
    <x v="0"/>
    <x v="0"/>
    <x v="7"/>
    <x v="11"/>
    <x v="0"/>
    <x v="11"/>
    <n v="-2.25"/>
  </r>
  <r>
    <x v="0"/>
    <x v="0"/>
    <x v="0"/>
    <x v="7"/>
    <x v="11"/>
    <x v="0"/>
    <x v="12"/>
    <n v="0"/>
  </r>
  <r>
    <x v="0"/>
    <x v="0"/>
    <x v="0"/>
    <x v="7"/>
    <x v="11"/>
    <x v="0"/>
    <x v="13"/>
    <n v="0"/>
  </r>
  <r>
    <x v="0"/>
    <x v="0"/>
    <x v="0"/>
    <x v="7"/>
    <x v="11"/>
    <x v="0"/>
    <x v="14"/>
    <n v="0"/>
  </r>
  <r>
    <x v="0"/>
    <x v="0"/>
    <x v="0"/>
    <x v="7"/>
    <x v="11"/>
    <x v="0"/>
    <x v="15"/>
    <n v="-2.25"/>
  </r>
  <r>
    <x v="0"/>
    <x v="0"/>
    <x v="0"/>
    <x v="7"/>
    <x v="11"/>
    <x v="0"/>
    <x v="16"/>
    <n v="-2.25"/>
  </r>
  <r>
    <x v="0"/>
    <x v="0"/>
    <x v="0"/>
    <x v="7"/>
    <x v="11"/>
    <x v="0"/>
    <x v="17"/>
    <n v="0"/>
  </r>
  <r>
    <x v="0"/>
    <x v="0"/>
    <x v="0"/>
    <x v="7"/>
    <x v="11"/>
    <x v="0"/>
    <x v="18"/>
    <n v="0"/>
  </r>
  <r>
    <x v="0"/>
    <x v="0"/>
    <x v="0"/>
    <x v="7"/>
    <x v="11"/>
    <x v="0"/>
    <x v="19"/>
    <n v="0"/>
  </r>
  <r>
    <x v="0"/>
    <x v="0"/>
    <x v="0"/>
    <x v="7"/>
    <x v="11"/>
    <x v="0"/>
    <x v="20"/>
    <n v="0"/>
  </r>
  <r>
    <x v="0"/>
    <x v="0"/>
    <x v="0"/>
    <x v="7"/>
    <x v="11"/>
    <x v="0"/>
    <x v="21"/>
    <n v="-2.25"/>
  </r>
  <r>
    <x v="0"/>
    <x v="0"/>
    <x v="0"/>
    <x v="7"/>
    <x v="11"/>
    <x v="0"/>
    <x v="22"/>
    <n v="0"/>
  </r>
  <r>
    <x v="0"/>
    <x v="0"/>
    <x v="0"/>
    <x v="7"/>
    <x v="11"/>
    <x v="0"/>
    <x v="23"/>
    <n v="0"/>
  </r>
  <r>
    <x v="0"/>
    <x v="0"/>
    <x v="0"/>
    <x v="7"/>
    <x v="10"/>
    <x v="0"/>
    <x v="0"/>
    <n v="0"/>
  </r>
  <r>
    <x v="0"/>
    <x v="0"/>
    <x v="0"/>
    <x v="7"/>
    <x v="10"/>
    <x v="0"/>
    <x v="1"/>
    <n v="0"/>
  </r>
  <r>
    <x v="0"/>
    <x v="0"/>
    <x v="0"/>
    <x v="7"/>
    <x v="10"/>
    <x v="0"/>
    <x v="2"/>
    <n v="0"/>
  </r>
  <r>
    <x v="0"/>
    <x v="0"/>
    <x v="0"/>
    <x v="7"/>
    <x v="10"/>
    <x v="0"/>
    <x v="3"/>
    <n v="0"/>
  </r>
  <r>
    <x v="0"/>
    <x v="0"/>
    <x v="0"/>
    <x v="7"/>
    <x v="10"/>
    <x v="0"/>
    <x v="4"/>
    <n v="0"/>
  </r>
  <r>
    <x v="0"/>
    <x v="0"/>
    <x v="0"/>
    <x v="7"/>
    <x v="10"/>
    <x v="0"/>
    <x v="5"/>
    <n v="0"/>
  </r>
  <r>
    <x v="0"/>
    <x v="0"/>
    <x v="0"/>
    <x v="7"/>
    <x v="10"/>
    <x v="0"/>
    <x v="6"/>
    <n v="0"/>
  </r>
  <r>
    <x v="0"/>
    <x v="0"/>
    <x v="0"/>
    <x v="7"/>
    <x v="10"/>
    <x v="0"/>
    <x v="7"/>
    <n v="0"/>
  </r>
  <r>
    <x v="0"/>
    <x v="0"/>
    <x v="0"/>
    <x v="7"/>
    <x v="10"/>
    <x v="0"/>
    <x v="8"/>
    <n v="0"/>
  </r>
  <r>
    <x v="0"/>
    <x v="0"/>
    <x v="0"/>
    <x v="7"/>
    <x v="10"/>
    <x v="0"/>
    <x v="9"/>
    <n v="0"/>
  </r>
  <r>
    <x v="0"/>
    <x v="0"/>
    <x v="0"/>
    <x v="7"/>
    <x v="10"/>
    <x v="0"/>
    <x v="10"/>
    <n v="0"/>
  </r>
  <r>
    <x v="0"/>
    <x v="0"/>
    <x v="0"/>
    <x v="7"/>
    <x v="10"/>
    <x v="0"/>
    <x v="11"/>
    <n v="0"/>
  </r>
  <r>
    <x v="0"/>
    <x v="0"/>
    <x v="0"/>
    <x v="7"/>
    <x v="10"/>
    <x v="0"/>
    <x v="12"/>
    <n v="0"/>
  </r>
  <r>
    <x v="0"/>
    <x v="0"/>
    <x v="0"/>
    <x v="7"/>
    <x v="10"/>
    <x v="0"/>
    <x v="13"/>
    <n v="0"/>
  </r>
  <r>
    <x v="0"/>
    <x v="0"/>
    <x v="0"/>
    <x v="7"/>
    <x v="10"/>
    <x v="0"/>
    <x v="14"/>
    <n v="0"/>
  </r>
  <r>
    <x v="0"/>
    <x v="0"/>
    <x v="0"/>
    <x v="7"/>
    <x v="10"/>
    <x v="0"/>
    <x v="15"/>
    <n v="0"/>
  </r>
  <r>
    <x v="0"/>
    <x v="0"/>
    <x v="0"/>
    <x v="7"/>
    <x v="10"/>
    <x v="0"/>
    <x v="16"/>
    <n v="0"/>
  </r>
  <r>
    <x v="0"/>
    <x v="0"/>
    <x v="0"/>
    <x v="7"/>
    <x v="10"/>
    <x v="0"/>
    <x v="17"/>
    <n v="0"/>
  </r>
  <r>
    <x v="0"/>
    <x v="0"/>
    <x v="0"/>
    <x v="7"/>
    <x v="10"/>
    <x v="0"/>
    <x v="18"/>
    <n v="0"/>
  </r>
  <r>
    <x v="0"/>
    <x v="0"/>
    <x v="0"/>
    <x v="7"/>
    <x v="10"/>
    <x v="0"/>
    <x v="19"/>
    <n v="0.62634707499833298"/>
  </r>
  <r>
    <x v="0"/>
    <x v="0"/>
    <x v="0"/>
    <x v="7"/>
    <x v="10"/>
    <x v="0"/>
    <x v="20"/>
    <n v="0"/>
  </r>
  <r>
    <x v="0"/>
    <x v="0"/>
    <x v="0"/>
    <x v="7"/>
    <x v="10"/>
    <x v="0"/>
    <x v="21"/>
    <n v="0"/>
  </r>
  <r>
    <x v="0"/>
    <x v="0"/>
    <x v="0"/>
    <x v="7"/>
    <x v="10"/>
    <x v="0"/>
    <x v="22"/>
    <n v="0"/>
  </r>
  <r>
    <x v="0"/>
    <x v="0"/>
    <x v="0"/>
    <x v="7"/>
    <x v="10"/>
    <x v="0"/>
    <x v="23"/>
    <n v="0"/>
  </r>
  <r>
    <x v="0"/>
    <x v="0"/>
    <x v="0"/>
    <x v="8"/>
    <x v="11"/>
    <x v="0"/>
    <x v="0"/>
    <n v="0"/>
  </r>
  <r>
    <x v="0"/>
    <x v="0"/>
    <x v="0"/>
    <x v="8"/>
    <x v="11"/>
    <x v="0"/>
    <x v="1"/>
    <n v="0"/>
  </r>
  <r>
    <x v="0"/>
    <x v="0"/>
    <x v="0"/>
    <x v="8"/>
    <x v="11"/>
    <x v="0"/>
    <x v="2"/>
    <n v="0"/>
  </r>
  <r>
    <x v="0"/>
    <x v="0"/>
    <x v="0"/>
    <x v="8"/>
    <x v="11"/>
    <x v="0"/>
    <x v="3"/>
    <n v="0"/>
  </r>
  <r>
    <x v="0"/>
    <x v="0"/>
    <x v="0"/>
    <x v="8"/>
    <x v="11"/>
    <x v="0"/>
    <x v="4"/>
    <n v="0"/>
  </r>
  <r>
    <x v="0"/>
    <x v="0"/>
    <x v="0"/>
    <x v="8"/>
    <x v="11"/>
    <x v="0"/>
    <x v="5"/>
    <n v="0"/>
  </r>
  <r>
    <x v="0"/>
    <x v="0"/>
    <x v="0"/>
    <x v="8"/>
    <x v="11"/>
    <x v="0"/>
    <x v="6"/>
    <n v="0"/>
  </r>
  <r>
    <x v="0"/>
    <x v="0"/>
    <x v="0"/>
    <x v="8"/>
    <x v="11"/>
    <x v="0"/>
    <x v="7"/>
    <n v="0"/>
  </r>
  <r>
    <x v="0"/>
    <x v="0"/>
    <x v="0"/>
    <x v="8"/>
    <x v="11"/>
    <x v="0"/>
    <x v="8"/>
    <n v="0"/>
  </r>
  <r>
    <x v="0"/>
    <x v="0"/>
    <x v="0"/>
    <x v="8"/>
    <x v="11"/>
    <x v="0"/>
    <x v="9"/>
    <n v="0"/>
  </r>
  <r>
    <x v="0"/>
    <x v="0"/>
    <x v="0"/>
    <x v="8"/>
    <x v="11"/>
    <x v="0"/>
    <x v="10"/>
    <n v="0"/>
  </r>
  <r>
    <x v="0"/>
    <x v="0"/>
    <x v="0"/>
    <x v="8"/>
    <x v="11"/>
    <x v="0"/>
    <x v="11"/>
    <n v="-0.67358206839215895"/>
  </r>
  <r>
    <x v="0"/>
    <x v="0"/>
    <x v="0"/>
    <x v="8"/>
    <x v="11"/>
    <x v="0"/>
    <x v="12"/>
    <n v="-0.28318745223373398"/>
  </r>
  <r>
    <x v="0"/>
    <x v="0"/>
    <x v="0"/>
    <x v="8"/>
    <x v="11"/>
    <x v="0"/>
    <x v="13"/>
    <n v="0"/>
  </r>
  <r>
    <x v="0"/>
    <x v="0"/>
    <x v="0"/>
    <x v="8"/>
    <x v="11"/>
    <x v="0"/>
    <x v="14"/>
    <n v="0"/>
  </r>
  <r>
    <x v="0"/>
    <x v="0"/>
    <x v="0"/>
    <x v="8"/>
    <x v="11"/>
    <x v="0"/>
    <x v="15"/>
    <n v="0"/>
  </r>
  <r>
    <x v="0"/>
    <x v="0"/>
    <x v="0"/>
    <x v="8"/>
    <x v="11"/>
    <x v="0"/>
    <x v="16"/>
    <n v="0"/>
  </r>
  <r>
    <x v="0"/>
    <x v="0"/>
    <x v="0"/>
    <x v="8"/>
    <x v="11"/>
    <x v="0"/>
    <x v="17"/>
    <n v="0"/>
  </r>
  <r>
    <x v="0"/>
    <x v="0"/>
    <x v="0"/>
    <x v="8"/>
    <x v="11"/>
    <x v="0"/>
    <x v="18"/>
    <n v="0"/>
  </r>
  <r>
    <x v="0"/>
    <x v="0"/>
    <x v="0"/>
    <x v="8"/>
    <x v="11"/>
    <x v="0"/>
    <x v="19"/>
    <n v="0"/>
  </r>
  <r>
    <x v="0"/>
    <x v="0"/>
    <x v="0"/>
    <x v="8"/>
    <x v="11"/>
    <x v="0"/>
    <x v="20"/>
    <n v="0"/>
  </r>
  <r>
    <x v="0"/>
    <x v="0"/>
    <x v="0"/>
    <x v="8"/>
    <x v="11"/>
    <x v="0"/>
    <x v="21"/>
    <n v="0"/>
  </r>
  <r>
    <x v="0"/>
    <x v="0"/>
    <x v="0"/>
    <x v="8"/>
    <x v="11"/>
    <x v="0"/>
    <x v="22"/>
    <n v="0"/>
  </r>
  <r>
    <x v="0"/>
    <x v="0"/>
    <x v="0"/>
    <x v="8"/>
    <x v="11"/>
    <x v="0"/>
    <x v="23"/>
    <n v="0"/>
  </r>
  <r>
    <x v="0"/>
    <x v="0"/>
    <x v="0"/>
    <x v="8"/>
    <x v="12"/>
    <x v="0"/>
    <x v="0"/>
    <n v="0"/>
  </r>
  <r>
    <x v="0"/>
    <x v="0"/>
    <x v="0"/>
    <x v="8"/>
    <x v="12"/>
    <x v="0"/>
    <x v="1"/>
    <n v="0"/>
  </r>
  <r>
    <x v="0"/>
    <x v="0"/>
    <x v="0"/>
    <x v="8"/>
    <x v="12"/>
    <x v="0"/>
    <x v="2"/>
    <n v="0"/>
  </r>
  <r>
    <x v="0"/>
    <x v="0"/>
    <x v="0"/>
    <x v="8"/>
    <x v="12"/>
    <x v="0"/>
    <x v="3"/>
    <n v="0"/>
  </r>
  <r>
    <x v="0"/>
    <x v="0"/>
    <x v="0"/>
    <x v="8"/>
    <x v="12"/>
    <x v="0"/>
    <x v="4"/>
    <n v="-0.74032776749243401"/>
  </r>
  <r>
    <x v="0"/>
    <x v="0"/>
    <x v="0"/>
    <x v="8"/>
    <x v="12"/>
    <x v="0"/>
    <x v="5"/>
    <n v="0"/>
  </r>
  <r>
    <x v="0"/>
    <x v="0"/>
    <x v="0"/>
    <x v="8"/>
    <x v="12"/>
    <x v="0"/>
    <x v="6"/>
    <n v="0"/>
  </r>
  <r>
    <x v="0"/>
    <x v="0"/>
    <x v="0"/>
    <x v="8"/>
    <x v="12"/>
    <x v="0"/>
    <x v="7"/>
    <n v="0"/>
  </r>
  <r>
    <x v="0"/>
    <x v="0"/>
    <x v="0"/>
    <x v="8"/>
    <x v="12"/>
    <x v="0"/>
    <x v="8"/>
    <n v="0"/>
  </r>
  <r>
    <x v="0"/>
    <x v="0"/>
    <x v="0"/>
    <x v="8"/>
    <x v="12"/>
    <x v="0"/>
    <x v="9"/>
    <n v="0"/>
  </r>
  <r>
    <x v="0"/>
    <x v="0"/>
    <x v="0"/>
    <x v="8"/>
    <x v="12"/>
    <x v="0"/>
    <x v="10"/>
    <n v="-0.9"/>
  </r>
  <r>
    <x v="0"/>
    <x v="0"/>
    <x v="0"/>
    <x v="8"/>
    <x v="12"/>
    <x v="0"/>
    <x v="11"/>
    <n v="-0.76017334222453403"/>
  </r>
  <r>
    <x v="0"/>
    <x v="0"/>
    <x v="0"/>
    <x v="8"/>
    <x v="12"/>
    <x v="0"/>
    <x v="12"/>
    <n v="0"/>
  </r>
  <r>
    <x v="0"/>
    <x v="0"/>
    <x v="0"/>
    <x v="8"/>
    <x v="12"/>
    <x v="0"/>
    <x v="13"/>
    <n v="0"/>
  </r>
  <r>
    <x v="0"/>
    <x v="0"/>
    <x v="0"/>
    <x v="8"/>
    <x v="12"/>
    <x v="0"/>
    <x v="14"/>
    <n v="0"/>
  </r>
  <r>
    <x v="0"/>
    <x v="0"/>
    <x v="0"/>
    <x v="8"/>
    <x v="12"/>
    <x v="0"/>
    <x v="15"/>
    <n v="0"/>
  </r>
  <r>
    <x v="0"/>
    <x v="0"/>
    <x v="0"/>
    <x v="8"/>
    <x v="12"/>
    <x v="0"/>
    <x v="16"/>
    <n v="0"/>
  </r>
  <r>
    <x v="0"/>
    <x v="0"/>
    <x v="0"/>
    <x v="8"/>
    <x v="12"/>
    <x v="0"/>
    <x v="17"/>
    <n v="0"/>
  </r>
  <r>
    <x v="0"/>
    <x v="0"/>
    <x v="0"/>
    <x v="8"/>
    <x v="12"/>
    <x v="0"/>
    <x v="18"/>
    <n v="-0.9"/>
  </r>
  <r>
    <x v="0"/>
    <x v="0"/>
    <x v="0"/>
    <x v="8"/>
    <x v="12"/>
    <x v="0"/>
    <x v="19"/>
    <n v="0"/>
  </r>
  <r>
    <x v="0"/>
    <x v="0"/>
    <x v="0"/>
    <x v="8"/>
    <x v="12"/>
    <x v="0"/>
    <x v="20"/>
    <n v="0"/>
  </r>
  <r>
    <x v="0"/>
    <x v="0"/>
    <x v="0"/>
    <x v="8"/>
    <x v="12"/>
    <x v="0"/>
    <x v="21"/>
    <n v="0"/>
  </r>
  <r>
    <x v="0"/>
    <x v="0"/>
    <x v="0"/>
    <x v="8"/>
    <x v="12"/>
    <x v="0"/>
    <x v="22"/>
    <n v="0"/>
  </r>
  <r>
    <x v="0"/>
    <x v="0"/>
    <x v="0"/>
    <x v="8"/>
    <x v="12"/>
    <x v="0"/>
    <x v="23"/>
    <n v="0"/>
  </r>
  <r>
    <x v="0"/>
    <x v="0"/>
    <x v="0"/>
    <x v="8"/>
    <x v="10"/>
    <x v="0"/>
    <x v="0"/>
    <n v="0"/>
  </r>
  <r>
    <x v="0"/>
    <x v="0"/>
    <x v="0"/>
    <x v="8"/>
    <x v="10"/>
    <x v="0"/>
    <x v="1"/>
    <n v="0"/>
  </r>
  <r>
    <x v="0"/>
    <x v="0"/>
    <x v="0"/>
    <x v="8"/>
    <x v="10"/>
    <x v="0"/>
    <x v="2"/>
    <n v="0"/>
  </r>
  <r>
    <x v="0"/>
    <x v="0"/>
    <x v="0"/>
    <x v="8"/>
    <x v="10"/>
    <x v="0"/>
    <x v="3"/>
    <n v="0"/>
  </r>
  <r>
    <x v="0"/>
    <x v="0"/>
    <x v="0"/>
    <x v="8"/>
    <x v="10"/>
    <x v="0"/>
    <x v="4"/>
    <n v="0"/>
  </r>
  <r>
    <x v="0"/>
    <x v="0"/>
    <x v="0"/>
    <x v="8"/>
    <x v="10"/>
    <x v="0"/>
    <x v="5"/>
    <n v="0.9"/>
  </r>
  <r>
    <x v="0"/>
    <x v="0"/>
    <x v="0"/>
    <x v="8"/>
    <x v="10"/>
    <x v="0"/>
    <x v="6"/>
    <n v="0"/>
  </r>
  <r>
    <x v="0"/>
    <x v="0"/>
    <x v="0"/>
    <x v="8"/>
    <x v="10"/>
    <x v="0"/>
    <x v="7"/>
    <n v="0"/>
  </r>
  <r>
    <x v="0"/>
    <x v="0"/>
    <x v="0"/>
    <x v="8"/>
    <x v="10"/>
    <x v="0"/>
    <x v="8"/>
    <n v="0"/>
  </r>
  <r>
    <x v="0"/>
    <x v="0"/>
    <x v="0"/>
    <x v="8"/>
    <x v="10"/>
    <x v="0"/>
    <x v="9"/>
    <n v="0.9"/>
  </r>
  <r>
    <x v="0"/>
    <x v="0"/>
    <x v="0"/>
    <x v="8"/>
    <x v="10"/>
    <x v="0"/>
    <x v="10"/>
    <n v="0"/>
  </r>
  <r>
    <x v="0"/>
    <x v="0"/>
    <x v="0"/>
    <x v="8"/>
    <x v="10"/>
    <x v="0"/>
    <x v="11"/>
    <n v="0"/>
  </r>
  <r>
    <x v="0"/>
    <x v="0"/>
    <x v="0"/>
    <x v="8"/>
    <x v="10"/>
    <x v="0"/>
    <x v="12"/>
    <n v="0"/>
  </r>
  <r>
    <x v="0"/>
    <x v="0"/>
    <x v="0"/>
    <x v="8"/>
    <x v="10"/>
    <x v="0"/>
    <x v="13"/>
    <n v="0"/>
  </r>
  <r>
    <x v="0"/>
    <x v="0"/>
    <x v="0"/>
    <x v="8"/>
    <x v="10"/>
    <x v="0"/>
    <x v="14"/>
    <n v="0"/>
  </r>
  <r>
    <x v="0"/>
    <x v="0"/>
    <x v="0"/>
    <x v="8"/>
    <x v="10"/>
    <x v="0"/>
    <x v="15"/>
    <n v="0"/>
  </r>
  <r>
    <x v="0"/>
    <x v="0"/>
    <x v="0"/>
    <x v="8"/>
    <x v="10"/>
    <x v="0"/>
    <x v="16"/>
    <n v="0"/>
  </r>
  <r>
    <x v="0"/>
    <x v="0"/>
    <x v="0"/>
    <x v="8"/>
    <x v="10"/>
    <x v="0"/>
    <x v="17"/>
    <n v="0"/>
  </r>
  <r>
    <x v="0"/>
    <x v="0"/>
    <x v="0"/>
    <x v="8"/>
    <x v="10"/>
    <x v="0"/>
    <x v="18"/>
    <n v="0"/>
  </r>
  <r>
    <x v="0"/>
    <x v="0"/>
    <x v="0"/>
    <x v="8"/>
    <x v="10"/>
    <x v="0"/>
    <x v="19"/>
    <n v="0.9"/>
  </r>
  <r>
    <x v="0"/>
    <x v="0"/>
    <x v="0"/>
    <x v="8"/>
    <x v="10"/>
    <x v="0"/>
    <x v="20"/>
    <n v="0.9"/>
  </r>
  <r>
    <x v="0"/>
    <x v="0"/>
    <x v="0"/>
    <x v="8"/>
    <x v="10"/>
    <x v="0"/>
    <x v="21"/>
    <n v="0.9"/>
  </r>
  <r>
    <x v="0"/>
    <x v="0"/>
    <x v="0"/>
    <x v="8"/>
    <x v="10"/>
    <x v="0"/>
    <x v="22"/>
    <n v="0.39972038438385199"/>
  </r>
  <r>
    <x v="0"/>
    <x v="0"/>
    <x v="0"/>
    <x v="8"/>
    <x v="10"/>
    <x v="0"/>
    <x v="23"/>
    <n v="0"/>
  </r>
  <r>
    <x v="0"/>
    <x v="0"/>
    <x v="0"/>
    <x v="8"/>
    <x v="13"/>
    <x v="0"/>
    <x v="0"/>
    <n v="0"/>
  </r>
  <r>
    <x v="0"/>
    <x v="0"/>
    <x v="0"/>
    <x v="8"/>
    <x v="13"/>
    <x v="0"/>
    <x v="1"/>
    <n v="-0.9"/>
  </r>
  <r>
    <x v="0"/>
    <x v="0"/>
    <x v="0"/>
    <x v="8"/>
    <x v="13"/>
    <x v="0"/>
    <x v="2"/>
    <n v="0"/>
  </r>
  <r>
    <x v="0"/>
    <x v="0"/>
    <x v="0"/>
    <x v="8"/>
    <x v="13"/>
    <x v="0"/>
    <x v="3"/>
    <n v="-0.9"/>
  </r>
  <r>
    <x v="0"/>
    <x v="0"/>
    <x v="0"/>
    <x v="8"/>
    <x v="13"/>
    <x v="0"/>
    <x v="4"/>
    <n v="-0.9"/>
  </r>
  <r>
    <x v="0"/>
    <x v="0"/>
    <x v="0"/>
    <x v="8"/>
    <x v="13"/>
    <x v="0"/>
    <x v="5"/>
    <n v="-0.9"/>
  </r>
  <r>
    <x v="0"/>
    <x v="0"/>
    <x v="0"/>
    <x v="8"/>
    <x v="13"/>
    <x v="0"/>
    <x v="6"/>
    <n v="-0.9"/>
  </r>
  <r>
    <x v="0"/>
    <x v="0"/>
    <x v="0"/>
    <x v="8"/>
    <x v="13"/>
    <x v="0"/>
    <x v="7"/>
    <n v="0"/>
  </r>
  <r>
    <x v="0"/>
    <x v="0"/>
    <x v="0"/>
    <x v="8"/>
    <x v="13"/>
    <x v="0"/>
    <x v="8"/>
    <n v="0"/>
  </r>
  <r>
    <x v="0"/>
    <x v="0"/>
    <x v="0"/>
    <x v="8"/>
    <x v="13"/>
    <x v="0"/>
    <x v="9"/>
    <n v="0"/>
  </r>
  <r>
    <x v="0"/>
    <x v="0"/>
    <x v="0"/>
    <x v="8"/>
    <x v="13"/>
    <x v="0"/>
    <x v="10"/>
    <n v="0"/>
  </r>
  <r>
    <x v="0"/>
    <x v="0"/>
    <x v="0"/>
    <x v="8"/>
    <x v="13"/>
    <x v="0"/>
    <x v="11"/>
    <n v="-0.9"/>
  </r>
  <r>
    <x v="0"/>
    <x v="0"/>
    <x v="0"/>
    <x v="8"/>
    <x v="13"/>
    <x v="0"/>
    <x v="12"/>
    <n v="-0.9"/>
  </r>
  <r>
    <x v="0"/>
    <x v="0"/>
    <x v="0"/>
    <x v="8"/>
    <x v="13"/>
    <x v="0"/>
    <x v="13"/>
    <n v="-0.9"/>
  </r>
  <r>
    <x v="0"/>
    <x v="0"/>
    <x v="0"/>
    <x v="8"/>
    <x v="13"/>
    <x v="0"/>
    <x v="14"/>
    <n v="0"/>
  </r>
  <r>
    <x v="0"/>
    <x v="0"/>
    <x v="0"/>
    <x v="8"/>
    <x v="13"/>
    <x v="0"/>
    <x v="15"/>
    <n v="0"/>
  </r>
  <r>
    <x v="0"/>
    <x v="0"/>
    <x v="0"/>
    <x v="8"/>
    <x v="13"/>
    <x v="0"/>
    <x v="16"/>
    <n v="0"/>
  </r>
  <r>
    <x v="0"/>
    <x v="0"/>
    <x v="0"/>
    <x v="8"/>
    <x v="13"/>
    <x v="0"/>
    <x v="17"/>
    <n v="0"/>
  </r>
  <r>
    <x v="0"/>
    <x v="0"/>
    <x v="0"/>
    <x v="8"/>
    <x v="13"/>
    <x v="0"/>
    <x v="18"/>
    <n v="0"/>
  </r>
  <r>
    <x v="0"/>
    <x v="0"/>
    <x v="0"/>
    <x v="8"/>
    <x v="13"/>
    <x v="0"/>
    <x v="19"/>
    <n v="0"/>
  </r>
  <r>
    <x v="0"/>
    <x v="0"/>
    <x v="0"/>
    <x v="8"/>
    <x v="13"/>
    <x v="0"/>
    <x v="20"/>
    <n v="0"/>
  </r>
  <r>
    <x v="0"/>
    <x v="0"/>
    <x v="0"/>
    <x v="8"/>
    <x v="13"/>
    <x v="0"/>
    <x v="21"/>
    <n v="0"/>
  </r>
  <r>
    <x v="0"/>
    <x v="0"/>
    <x v="0"/>
    <x v="8"/>
    <x v="13"/>
    <x v="0"/>
    <x v="22"/>
    <n v="0"/>
  </r>
  <r>
    <x v="0"/>
    <x v="0"/>
    <x v="0"/>
    <x v="8"/>
    <x v="13"/>
    <x v="0"/>
    <x v="23"/>
    <n v="0"/>
  </r>
  <r>
    <x v="0"/>
    <x v="0"/>
    <x v="0"/>
    <x v="9"/>
    <x v="9"/>
    <x v="0"/>
    <x v="0"/>
    <n v="0"/>
  </r>
  <r>
    <x v="0"/>
    <x v="0"/>
    <x v="0"/>
    <x v="9"/>
    <x v="9"/>
    <x v="0"/>
    <x v="1"/>
    <n v="0"/>
  </r>
  <r>
    <x v="0"/>
    <x v="0"/>
    <x v="0"/>
    <x v="9"/>
    <x v="9"/>
    <x v="0"/>
    <x v="2"/>
    <n v="0"/>
  </r>
  <r>
    <x v="0"/>
    <x v="0"/>
    <x v="0"/>
    <x v="9"/>
    <x v="9"/>
    <x v="0"/>
    <x v="3"/>
    <n v="0"/>
  </r>
  <r>
    <x v="0"/>
    <x v="0"/>
    <x v="0"/>
    <x v="9"/>
    <x v="9"/>
    <x v="0"/>
    <x v="4"/>
    <n v="0.74032776749243401"/>
  </r>
  <r>
    <x v="0"/>
    <x v="0"/>
    <x v="0"/>
    <x v="9"/>
    <x v="9"/>
    <x v="0"/>
    <x v="5"/>
    <n v="0"/>
  </r>
  <r>
    <x v="0"/>
    <x v="0"/>
    <x v="0"/>
    <x v="9"/>
    <x v="9"/>
    <x v="0"/>
    <x v="6"/>
    <n v="0"/>
  </r>
  <r>
    <x v="0"/>
    <x v="0"/>
    <x v="0"/>
    <x v="9"/>
    <x v="9"/>
    <x v="0"/>
    <x v="7"/>
    <n v="0"/>
  </r>
  <r>
    <x v="0"/>
    <x v="0"/>
    <x v="0"/>
    <x v="9"/>
    <x v="9"/>
    <x v="0"/>
    <x v="8"/>
    <n v="0"/>
  </r>
  <r>
    <x v="0"/>
    <x v="0"/>
    <x v="0"/>
    <x v="9"/>
    <x v="9"/>
    <x v="0"/>
    <x v="9"/>
    <n v="0"/>
  </r>
  <r>
    <x v="0"/>
    <x v="0"/>
    <x v="0"/>
    <x v="9"/>
    <x v="9"/>
    <x v="0"/>
    <x v="10"/>
    <n v="0.9"/>
  </r>
  <r>
    <x v="0"/>
    <x v="0"/>
    <x v="0"/>
    <x v="9"/>
    <x v="9"/>
    <x v="0"/>
    <x v="11"/>
    <n v="0.76017334222453403"/>
  </r>
  <r>
    <x v="0"/>
    <x v="0"/>
    <x v="0"/>
    <x v="9"/>
    <x v="9"/>
    <x v="0"/>
    <x v="12"/>
    <n v="0"/>
  </r>
  <r>
    <x v="0"/>
    <x v="0"/>
    <x v="0"/>
    <x v="9"/>
    <x v="9"/>
    <x v="0"/>
    <x v="13"/>
    <n v="0"/>
  </r>
  <r>
    <x v="0"/>
    <x v="0"/>
    <x v="0"/>
    <x v="9"/>
    <x v="9"/>
    <x v="0"/>
    <x v="14"/>
    <n v="0"/>
  </r>
  <r>
    <x v="0"/>
    <x v="0"/>
    <x v="0"/>
    <x v="9"/>
    <x v="9"/>
    <x v="0"/>
    <x v="15"/>
    <n v="0"/>
  </r>
  <r>
    <x v="0"/>
    <x v="0"/>
    <x v="0"/>
    <x v="9"/>
    <x v="9"/>
    <x v="0"/>
    <x v="16"/>
    <n v="0"/>
  </r>
  <r>
    <x v="0"/>
    <x v="0"/>
    <x v="0"/>
    <x v="9"/>
    <x v="9"/>
    <x v="0"/>
    <x v="17"/>
    <n v="0"/>
  </r>
  <r>
    <x v="0"/>
    <x v="0"/>
    <x v="0"/>
    <x v="9"/>
    <x v="9"/>
    <x v="0"/>
    <x v="18"/>
    <n v="0.9"/>
  </r>
  <r>
    <x v="0"/>
    <x v="0"/>
    <x v="0"/>
    <x v="9"/>
    <x v="9"/>
    <x v="0"/>
    <x v="19"/>
    <n v="0"/>
  </r>
  <r>
    <x v="0"/>
    <x v="0"/>
    <x v="0"/>
    <x v="9"/>
    <x v="9"/>
    <x v="0"/>
    <x v="20"/>
    <n v="0"/>
  </r>
  <r>
    <x v="0"/>
    <x v="0"/>
    <x v="0"/>
    <x v="9"/>
    <x v="9"/>
    <x v="0"/>
    <x v="21"/>
    <n v="0"/>
  </r>
  <r>
    <x v="0"/>
    <x v="0"/>
    <x v="0"/>
    <x v="9"/>
    <x v="9"/>
    <x v="0"/>
    <x v="22"/>
    <n v="0"/>
  </r>
  <r>
    <x v="0"/>
    <x v="0"/>
    <x v="0"/>
    <x v="9"/>
    <x v="9"/>
    <x v="0"/>
    <x v="23"/>
    <n v="0"/>
  </r>
  <r>
    <x v="0"/>
    <x v="0"/>
    <x v="0"/>
    <x v="9"/>
    <x v="14"/>
    <x v="0"/>
    <x v="0"/>
    <n v="0"/>
  </r>
  <r>
    <x v="0"/>
    <x v="0"/>
    <x v="0"/>
    <x v="9"/>
    <x v="14"/>
    <x v="0"/>
    <x v="1"/>
    <n v="-0.54"/>
  </r>
  <r>
    <x v="0"/>
    <x v="0"/>
    <x v="0"/>
    <x v="9"/>
    <x v="14"/>
    <x v="0"/>
    <x v="2"/>
    <n v="0"/>
  </r>
  <r>
    <x v="0"/>
    <x v="0"/>
    <x v="0"/>
    <x v="9"/>
    <x v="14"/>
    <x v="0"/>
    <x v="3"/>
    <n v="0"/>
  </r>
  <r>
    <x v="0"/>
    <x v="0"/>
    <x v="0"/>
    <x v="9"/>
    <x v="14"/>
    <x v="0"/>
    <x v="4"/>
    <n v="-0.54"/>
  </r>
  <r>
    <x v="0"/>
    <x v="0"/>
    <x v="0"/>
    <x v="9"/>
    <x v="14"/>
    <x v="0"/>
    <x v="5"/>
    <n v="-0.54"/>
  </r>
  <r>
    <x v="0"/>
    <x v="0"/>
    <x v="0"/>
    <x v="9"/>
    <x v="14"/>
    <x v="0"/>
    <x v="6"/>
    <n v="-0.54"/>
  </r>
  <r>
    <x v="0"/>
    <x v="0"/>
    <x v="0"/>
    <x v="9"/>
    <x v="14"/>
    <x v="0"/>
    <x v="7"/>
    <n v="-0.54"/>
  </r>
  <r>
    <x v="0"/>
    <x v="0"/>
    <x v="0"/>
    <x v="9"/>
    <x v="14"/>
    <x v="0"/>
    <x v="8"/>
    <n v="0"/>
  </r>
  <r>
    <x v="0"/>
    <x v="0"/>
    <x v="0"/>
    <x v="9"/>
    <x v="14"/>
    <x v="0"/>
    <x v="9"/>
    <n v="0"/>
  </r>
  <r>
    <x v="0"/>
    <x v="0"/>
    <x v="0"/>
    <x v="9"/>
    <x v="14"/>
    <x v="0"/>
    <x v="10"/>
    <n v="-0.54"/>
  </r>
  <r>
    <x v="0"/>
    <x v="0"/>
    <x v="0"/>
    <x v="9"/>
    <x v="14"/>
    <x v="0"/>
    <x v="11"/>
    <n v="-5.7412933099961698E-2"/>
  </r>
  <r>
    <x v="0"/>
    <x v="0"/>
    <x v="0"/>
    <x v="9"/>
    <x v="14"/>
    <x v="0"/>
    <x v="12"/>
    <n v="0"/>
  </r>
  <r>
    <x v="0"/>
    <x v="0"/>
    <x v="0"/>
    <x v="9"/>
    <x v="14"/>
    <x v="0"/>
    <x v="13"/>
    <n v="-0.54"/>
  </r>
  <r>
    <x v="0"/>
    <x v="0"/>
    <x v="0"/>
    <x v="9"/>
    <x v="14"/>
    <x v="0"/>
    <x v="14"/>
    <n v="-0.54"/>
  </r>
  <r>
    <x v="0"/>
    <x v="0"/>
    <x v="0"/>
    <x v="9"/>
    <x v="14"/>
    <x v="0"/>
    <x v="15"/>
    <n v="-0.54"/>
  </r>
  <r>
    <x v="0"/>
    <x v="0"/>
    <x v="0"/>
    <x v="9"/>
    <x v="14"/>
    <x v="0"/>
    <x v="16"/>
    <n v="-0.54"/>
  </r>
  <r>
    <x v="0"/>
    <x v="0"/>
    <x v="0"/>
    <x v="9"/>
    <x v="14"/>
    <x v="0"/>
    <x v="17"/>
    <n v="-0.54"/>
  </r>
  <r>
    <x v="0"/>
    <x v="0"/>
    <x v="0"/>
    <x v="9"/>
    <x v="14"/>
    <x v="0"/>
    <x v="18"/>
    <n v="0"/>
  </r>
  <r>
    <x v="0"/>
    <x v="0"/>
    <x v="0"/>
    <x v="9"/>
    <x v="14"/>
    <x v="0"/>
    <x v="19"/>
    <n v="0"/>
  </r>
  <r>
    <x v="0"/>
    <x v="0"/>
    <x v="0"/>
    <x v="9"/>
    <x v="14"/>
    <x v="0"/>
    <x v="20"/>
    <n v="0"/>
  </r>
  <r>
    <x v="0"/>
    <x v="0"/>
    <x v="0"/>
    <x v="9"/>
    <x v="14"/>
    <x v="0"/>
    <x v="21"/>
    <n v="-0.54"/>
  </r>
  <r>
    <x v="0"/>
    <x v="0"/>
    <x v="0"/>
    <x v="9"/>
    <x v="14"/>
    <x v="0"/>
    <x v="22"/>
    <n v="0"/>
  </r>
  <r>
    <x v="0"/>
    <x v="0"/>
    <x v="0"/>
    <x v="9"/>
    <x v="14"/>
    <x v="0"/>
    <x v="23"/>
    <n v="0"/>
  </r>
  <r>
    <x v="0"/>
    <x v="0"/>
    <x v="0"/>
    <x v="9"/>
    <x v="13"/>
    <x v="0"/>
    <x v="0"/>
    <n v="0"/>
  </r>
  <r>
    <x v="0"/>
    <x v="0"/>
    <x v="0"/>
    <x v="9"/>
    <x v="13"/>
    <x v="0"/>
    <x v="1"/>
    <n v="0"/>
  </r>
  <r>
    <x v="0"/>
    <x v="0"/>
    <x v="0"/>
    <x v="9"/>
    <x v="13"/>
    <x v="0"/>
    <x v="2"/>
    <n v="0"/>
  </r>
  <r>
    <x v="0"/>
    <x v="0"/>
    <x v="0"/>
    <x v="9"/>
    <x v="13"/>
    <x v="0"/>
    <x v="3"/>
    <n v="0"/>
  </r>
  <r>
    <x v="0"/>
    <x v="0"/>
    <x v="0"/>
    <x v="9"/>
    <x v="13"/>
    <x v="0"/>
    <x v="4"/>
    <n v="0"/>
  </r>
  <r>
    <x v="0"/>
    <x v="0"/>
    <x v="0"/>
    <x v="9"/>
    <x v="13"/>
    <x v="0"/>
    <x v="5"/>
    <n v="0"/>
  </r>
  <r>
    <x v="0"/>
    <x v="0"/>
    <x v="0"/>
    <x v="9"/>
    <x v="13"/>
    <x v="0"/>
    <x v="6"/>
    <n v="0"/>
  </r>
  <r>
    <x v="0"/>
    <x v="0"/>
    <x v="0"/>
    <x v="9"/>
    <x v="13"/>
    <x v="0"/>
    <x v="7"/>
    <n v="0"/>
  </r>
  <r>
    <x v="0"/>
    <x v="0"/>
    <x v="0"/>
    <x v="9"/>
    <x v="13"/>
    <x v="0"/>
    <x v="8"/>
    <n v="0"/>
  </r>
  <r>
    <x v="0"/>
    <x v="0"/>
    <x v="0"/>
    <x v="9"/>
    <x v="13"/>
    <x v="0"/>
    <x v="9"/>
    <n v="0"/>
  </r>
  <r>
    <x v="0"/>
    <x v="0"/>
    <x v="0"/>
    <x v="9"/>
    <x v="13"/>
    <x v="0"/>
    <x v="10"/>
    <n v="0"/>
  </r>
  <r>
    <x v="0"/>
    <x v="0"/>
    <x v="0"/>
    <x v="9"/>
    <x v="13"/>
    <x v="0"/>
    <x v="11"/>
    <n v="0"/>
  </r>
  <r>
    <x v="0"/>
    <x v="0"/>
    <x v="0"/>
    <x v="9"/>
    <x v="13"/>
    <x v="0"/>
    <x v="12"/>
    <n v="0"/>
  </r>
  <r>
    <x v="0"/>
    <x v="0"/>
    <x v="0"/>
    <x v="9"/>
    <x v="13"/>
    <x v="0"/>
    <x v="13"/>
    <n v="0"/>
  </r>
  <r>
    <x v="0"/>
    <x v="0"/>
    <x v="0"/>
    <x v="9"/>
    <x v="13"/>
    <x v="0"/>
    <x v="14"/>
    <n v="0"/>
  </r>
  <r>
    <x v="0"/>
    <x v="0"/>
    <x v="0"/>
    <x v="9"/>
    <x v="13"/>
    <x v="0"/>
    <x v="15"/>
    <n v="0"/>
  </r>
  <r>
    <x v="0"/>
    <x v="0"/>
    <x v="0"/>
    <x v="9"/>
    <x v="13"/>
    <x v="0"/>
    <x v="16"/>
    <n v="0"/>
  </r>
  <r>
    <x v="0"/>
    <x v="0"/>
    <x v="0"/>
    <x v="9"/>
    <x v="13"/>
    <x v="0"/>
    <x v="17"/>
    <n v="0"/>
  </r>
  <r>
    <x v="0"/>
    <x v="0"/>
    <x v="0"/>
    <x v="9"/>
    <x v="13"/>
    <x v="0"/>
    <x v="18"/>
    <n v="0"/>
  </r>
  <r>
    <x v="0"/>
    <x v="0"/>
    <x v="0"/>
    <x v="9"/>
    <x v="13"/>
    <x v="0"/>
    <x v="19"/>
    <n v="0"/>
  </r>
  <r>
    <x v="0"/>
    <x v="0"/>
    <x v="0"/>
    <x v="9"/>
    <x v="13"/>
    <x v="0"/>
    <x v="20"/>
    <n v="0"/>
  </r>
  <r>
    <x v="0"/>
    <x v="0"/>
    <x v="0"/>
    <x v="9"/>
    <x v="13"/>
    <x v="0"/>
    <x v="21"/>
    <n v="0"/>
  </r>
  <r>
    <x v="0"/>
    <x v="0"/>
    <x v="0"/>
    <x v="9"/>
    <x v="13"/>
    <x v="0"/>
    <x v="22"/>
    <n v="0"/>
  </r>
  <r>
    <x v="0"/>
    <x v="0"/>
    <x v="0"/>
    <x v="9"/>
    <x v="13"/>
    <x v="0"/>
    <x v="23"/>
    <n v="0"/>
  </r>
  <r>
    <x v="0"/>
    <x v="0"/>
    <x v="0"/>
    <x v="10"/>
    <x v="11"/>
    <x v="0"/>
    <x v="0"/>
    <n v="0"/>
  </r>
  <r>
    <x v="0"/>
    <x v="0"/>
    <x v="0"/>
    <x v="10"/>
    <x v="11"/>
    <x v="0"/>
    <x v="1"/>
    <n v="0"/>
  </r>
  <r>
    <x v="0"/>
    <x v="0"/>
    <x v="0"/>
    <x v="10"/>
    <x v="11"/>
    <x v="0"/>
    <x v="2"/>
    <n v="0"/>
  </r>
  <r>
    <x v="0"/>
    <x v="0"/>
    <x v="0"/>
    <x v="10"/>
    <x v="11"/>
    <x v="0"/>
    <x v="3"/>
    <n v="0"/>
  </r>
  <r>
    <x v="0"/>
    <x v="0"/>
    <x v="0"/>
    <x v="10"/>
    <x v="11"/>
    <x v="0"/>
    <x v="4"/>
    <n v="0"/>
  </r>
  <r>
    <x v="0"/>
    <x v="0"/>
    <x v="0"/>
    <x v="10"/>
    <x v="11"/>
    <x v="0"/>
    <x v="5"/>
    <n v="0"/>
  </r>
  <r>
    <x v="0"/>
    <x v="0"/>
    <x v="0"/>
    <x v="10"/>
    <x v="11"/>
    <x v="0"/>
    <x v="6"/>
    <n v="0"/>
  </r>
  <r>
    <x v="0"/>
    <x v="0"/>
    <x v="0"/>
    <x v="10"/>
    <x v="11"/>
    <x v="0"/>
    <x v="7"/>
    <n v="0"/>
  </r>
  <r>
    <x v="0"/>
    <x v="0"/>
    <x v="0"/>
    <x v="10"/>
    <x v="11"/>
    <x v="0"/>
    <x v="8"/>
    <n v="0"/>
  </r>
  <r>
    <x v="0"/>
    <x v="0"/>
    <x v="0"/>
    <x v="10"/>
    <x v="11"/>
    <x v="0"/>
    <x v="9"/>
    <n v="0"/>
  </r>
  <r>
    <x v="0"/>
    <x v="0"/>
    <x v="0"/>
    <x v="10"/>
    <x v="11"/>
    <x v="0"/>
    <x v="10"/>
    <n v="0"/>
  </r>
  <r>
    <x v="0"/>
    <x v="0"/>
    <x v="0"/>
    <x v="10"/>
    <x v="11"/>
    <x v="0"/>
    <x v="11"/>
    <n v="0"/>
  </r>
  <r>
    <x v="0"/>
    <x v="0"/>
    <x v="0"/>
    <x v="10"/>
    <x v="11"/>
    <x v="0"/>
    <x v="12"/>
    <n v="0"/>
  </r>
  <r>
    <x v="0"/>
    <x v="0"/>
    <x v="0"/>
    <x v="10"/>
    <x v="11"/>
    <x v="0"/>
    <x v="13"/>
    <n v="0"/>
  </r>
  <r>
    <x v="0"/>
    <x v="0"/>
    <x v="0"/>
    <x v="10"/>
    <x v="11"/>
    <x v="0"/>
    <x v="14"/>
    <n v="0"/>
  </r>
  <r>
    <x v="0"/>
    <x v="0"/>
    <x v="0"/>
    <x v="10"/>
    <x v="11"/>
    <x v="0"/>
    <x v="15"/>
    <n v="0"/>
  </r>
  <r>
    <x v="0"/>
    <x v="0"/>
    <x v="0"/>
    <x v="10"/>
    <x v="11"/>
    <x v="0"/>
    <x v="16"/>
    <n v="0"/>
  </r>
  <r>
    <x v="0"/>
    <x v="0"/>
    <x v="0"/>
    <x v="10"/>
    <x v="11"/>
    <x v="0"/>
    <x v="17"/>
    <n v="0"/>
  </r>
  <r>
    <x v="0"/>
    <x v="0"/>
    <x v="0"/>
    <x v="10"/>
    <x v="11"/>
    <x v="0"/>
    <x v="18"/>
    <n v="0"/>
  </r>
  <r>
    <x v="0"/>
    <x v="0"/>
    <x v="0"/>
    <x v="10"/>
    <x v="11"/>
    <x v="0"/>
    <x v="19"/>
    <n v="0"/>
  </r>
  <r>
    <x v="0"/>
    <x v="0"/>
    <x v="0"/>
    <x v="10"/>
    <x v="11"/>
    <x v="0"/>
    <x v="20"/>
    <n v="0"/>
  </r>
  <r>
    <x v="0"/>
    <x v="0"/>
    <x v="0"/>
    <x v="10"/>
    <x v="11"/>
    <x v="0"/>
    <x v="21"/>
    <n v="0"/>
  </r>
  <r>
    <x v="0"/>
    <x v="0"/>
    <x v="0"/>
    <x v="10"/>
    <x v="11"/>
    <x v="0"/>
    <x v="22"/>
    <n v="0"/>
  </r>
  <r>
    <x v="0"/>
    <x v="0"/>
    <x v="0"/>
    <x v="10"/>
    <x v="11"/>
    <x v="0"/>
    <x v="23"/>
    <n v="0"/>
  </r>
  <r>
    <x v="0"/>
    <x v="0"/>
    <x v="0"/>
    <x v="10"/>
    <x v="6"/>
    <x v="0"/>
    <x v="0"/>
    <n v="0"/>
  </r>
  <r>
    <x v="0"/>
    <x v="0"/>
    <x v="0"/>
    <x v="10"/>
    <x v="6"/>
    <x v="0"/>
    <x v="1"/>
    <n v="0"/>
  </r>
  <r>
    <x v="0"/>
    <x v="0"/>
    <x v="0"/>
    <x v="10"/>
    <x v="6"/>
    <x v="0"/>
    <x v="2"/>
    <n v="0"/>
  </r>
  <r>
    <x v="0"/>
    <x v="0"/>
    <x v="0"/>
    <x v="10"/>
    <x v="6"/>
    <x v="0"/>
    <x v="3"/>
    <n v="0"/>
  </r>
  <r>
    <x v="0"/>
    <x v="0"/>
    <x v="0"/>
    <x v="10"/>
    <x v="6"/>
    <x v="0"/>
    <x v="4"/>
    <n v="0"/>
  </r>
  <r>
    <x v="0"/>
    <x v="0"/>
    <x v="0"/>
    <x v="10"/>
    <x v="6"/>
    <x v="0"/>
    <x v="5"/>
    <n v="0"/>
  </r>
  <r>
    <x v="0"/>
    <x v="0"/>
    <x v="0"/>
    <x v="10"/>
    <x v="6"/>
    <x v="0"/>
    <x v="6"/>
    <n v="0"/>
  </r>
  <r>
    <x v="0"/>
    <x v="0"/>
    <x v="0"/>
    <x v="10"/>
    <x v="6"/>
    <x v="0"/>
    <x v="7"/>
    <n v="0"/>
  </r>
  <r>
    <x v="0"/>
    <x v="0"/>
    <x v="0"/>
    <x v="10"/>
    <x v="6"/>
    <x v="0"/>
    <x v="8"/>
    <n v="0"/>
  </r>
  <r>
    <x v="0"/>
    <x v="0"/>
    <x v="0"/>
    <x v="10"/>
    <x v="6"/>
    <x v="0"/>
    <x v="9"/>
    <n v="0"/>
  </r>
  <r>
    <x v="0"/>
    <x v="0"/>
    <x v="0"/>
    <x v="10"/>
    <x v="6"/>
    <x v="0"/>
    <x v="10"/>
    <n v="0"/>
  </r>
  <r>
    <x v="0"/>
    <x v="0"/>
    <x v="0"/>
    <x v="10"/>
    <x v="6"/>
    <x v="0"/>
    <x v="11"/>
    <n v="0"/>
  </r>
  <r>
    <x v="0"/>
    <x v="0"/>
    <x v="0"/>
    <x v="10"/>
    <x v="6"/>
    <x v="0"/>
    <x v="12"/>
    <n v="0"/>
  </r>
  <r>
    <x v="0"/>
    <x v="0"/>
    <x v="0"/>
    <x v="10"/>
    <x v="6"/>
    <x v="0"/>
    <x v="13"/>
    <n v="0"/>
  </r>
  <r>
    <x v="0"/>
    <x v="0"/>
    <x v="0"/>
    <x v="10"/>
    <x v="6"/>
    <x v="0"/>
    <x v="14"/>
    <n v="0"/>
  </r>
  <r>
    <x v="0"/>
    <x v="0"/>
    <x v="0"/>
    <x v="10"/>
    <x v="6"/>
    <x v="0"/>
    <x v="15"/>
    <n v="0"/>
  </r>
  <r>
    <x v="0"/>
    <x v="0"/>
    <x v="0"/>
    <x v="10"/>
    <x v="6"/>
    <x v="0"/>
    <x v="16"/>
    <n v="0"/>
  </r>
  <r>
    <x v="0"/>
    <x v="0"/>
    <x v="0"/>
    <x v="10"/>
    <x v="6"/>
    <x v="0"/>
    <x v="17"/>
    <n v="0"/>
  </r>
  <r>
    <x v="0"/>
    <x v="0"/>
    <x v="0"/>
    <x v="10"/>
    <x v="6"/>
    <x v="0"/>
    <x v="18"/>
    <n v="0"/>
  </r>
  <r>
    <x v="0"/>
    <x v="0"/>
    <x v="0"/>
    <x v="10"/>
    <x v="6"/>
    <x v="0"/>
    <x v="19"/>
    <n v="-0.62634707499833298"/>
  </r>
  <r>
    <x v="0"/>
    <x v="0"/>
    <x v="0"/>
    <x v="10"/>
    <x v="6"/>
    <x v="0"/>
    <x v="20"/>
    <n v="0"/>
  </r>
  <r>
    <x v="0"/>
    <x v="0"/>
    <x v="0"/>
    <x v="10"/>
    <x v="6"/>
    <x v="0"/>
    <x v="21"/>
    <n v="0"/>
  </r>
  <r>
    <x v="0"/>
    <x v="0"/>
    <x v="0"/>
    <x v="10"/>
    <x v="6"/>
    <x v="0"/>
    <x v="22"/>
    <n v="0"/>
  </r>
  <r>
    <x v="0"/>
    <x v="0"/>
    <x v="0"/>
    <x v="10"/>
    <x v="6"/>
    <x v="0"/>
    <x v="23"/>
    <n v="0"/>
  </r>
  <r>
    <x v="0"/>
    <x v="0"/>
    <x v="0"/>
    <x v="10"/>
    <x v="9"/>
    <x v="0"/>
    <x v="0"/>
    <n v="0"/>
  </r>
  <r>
    <x v="0"/>
    <x v="0"/>
    <x v="0"/>
    <x v="10"/>
    <x v="9"/>
    <x v="0"/>
    <x v="1"/>
    <n v="0"/>
  </r>
  <r>
    <x v="0"/>
    <x v="0"/>
    <x v="0"/>
    <x v="10"/>
    <x v="9"/>
    <x v="0"/>
    <x v="2"/>
    <n v="0"/>
  </r>
  <r>
    <x v="0"/>
    <x v="0"/>
    <x v="0"/>
    <x v="10"/>
    <x v="9"/>
    <x v="0"/>
    <x v="3"/>
    <n v="0"/>
  </r>
  <r>
    <x v="0"/>
    <x v="0"/>
    <x v="0"/>
    <x v="10"/>
    <x v="9"/>
    <x v="0"/>
    <x v="4"/>
    <n v="0"/>
  </r>
  <r>
    <x v="0"/>
    <x v="0"/>
    <x v="0"/>
    <x v="10"/>
    <x v="9"/>
    <x v="0"/>
    <x v="5"/>
    <n v="-0.9"/>
  </r>
  <r>
    <x v="0"/>
    <x v="0"/>
    <x v="0"/>
    <x v="10"/>
    <x v="9"/>
    <x v="0"/>
    <x v="6"/>
    <n v="0"/>
  </r>
  <r>
    <x v="0"/>
    <x v="0"/>
    <x v="0"/>
    <x v="10"/>
    <x v="9"/>
    <x v="0"/>
    <x v="7"/>
    <n v="0"/>
  </r>
  <r>
    <x v="0"/>
    <x v="0"/>
    <x v="0"/>
    <x v="10"/>
    <x v="9"/>
    <x v="0"/>
    <x v="8"/>
    <n v="0"/>
  </r>
  <r>
    <x v="0"/>
    <x v="0"/>
    <x v="0"/>
    <x v="10"/>
    <x v="9"/>
    <x v="0"/>
    <x v="9"/>
    <n v="-0.9"/>
  </r>
  <r>
    <x v="0"/>
    <x v="0"/>
    <x v="0"/>
    <x v="10"/>
    <x v="9"/>
    <x v="0"/>
    <x v="10"/>
    <n v="0"/>
  </r>
  <r>
    <x v="0"/>
    <x v="0"/>
    <x v="0"/>
    <x v="10"/>
    <x v="9"/>
    <x v="0"/>
    <x v="11"/>
    <n v="0"/>
  </r>
  <r>
    <x v="0"/>
    <x v="0"/>
    <x v="0"/>
    <x v="10"/>
    <x v="9"/>
    <x v="0"/>
    <x v="12"/>
    <n v="0"/>
  </r>
  <r>
    <x v="0"/>
    <x v="0"/>
    <x v="0"/>
    <x v="10"/>
    <x v="9"/>
    <x v="0"/>
    <x v="13"/>
    <n v="0"/>
  </r>
  <r>
    <x v="0"/>
    <x v="0"/>
    <x v="0"/>
    <x v="10"/>
    <x v="9"/>
    <x v="0"/>
    <x v="14"/>
    <n v="0"/>
  </r>
  <r>
    <x v="0"/>
    <x v="0"/>
    <x v="0"/>
    <x v="10"/>
    <x v="9"/>
    <x v="0"/>
    <x v="15"/>
    <n v="0"/>
  </r>
  <r>
    <x v="0"/>
    <x v="0"/>
    <x v="0"/>
    <x v="10"/>
    <x v="9"/>
    <x v="0"/>
    <x v="16"/>
    <n v="0"/>
  </r>
  <r>
    <x v="0"/>
    <x v="0"/>
    <x v="0"/>
    <x v="10"/>
    <x v="9"/>
    <x v="0"/>
    <x v="17"/>
    <n v="0"/>
  </r>
  <r>
    <x v="0"/>
    <x v="0"/>
    <x v="0"/>
    <x v="10"/>
    <x v="9"/>
    <x v="0"/>
    <x v="18"/>
    <n v="0"/>
  </r>
  <r>
    <x v="0"/>
    <x v="0"/>
    <x v="0"/>
    <x v="10"/>
    <x v="9"/>
    <x v="0"/>
    <x v="19"/>
    <n v="-0.9"/>
  </r>
  <r>
    <x v="0"/>
    <x v="0"/>
    <x v="0"/>
    <x v="10"/>
    <x v="9"/>
    <x v="0"/>
    <x v="20"/>
    <n v="-0.9"/>
  </r>
  <r>
    <x v="0"/>
    <x v="0"/>
    <x v="0"/>
    <x v="10"/>
    <x v="9"/>
    <x v="0"/>
    <x v="21"/>
    <n v="-0.9"/>
  </r>
  <r>
    <x v="0"/>
    <x v="0"/>
    <x v="0"/>
    <x v="10"/>
    <x v="9"/>
    <x v="0"/>
    <x v="22"/>
    <n v="-0.39972038438385199"/>
  </r>
  <r>
    <x v="0"/>
    <x v="0"/>
    <x v="0"/>
    <x v="10"/>
    <x v="9"/>
    <x v="0"/>
    <x v="23"/>
    <n v="0"/>
  </r>
  <r>
    <x v="0"/>
    <x v="0"/>
    <x v="0"/>
    <x v="11"/>
    <x v="12"/>
    <x v="0"/>
    <x v="0"/>
    <n v="0"/>
  </r>
  <r>
    <x v="0"/>
    <x v="0"/>
    <x v="0"/>
    <x v="11"/>
    <x v="12"/>
    <x v="0"/>
    <x v="1"/>
    <n v="0.54"/>
  </r>
  <r>
    <x v="0"/>
    <x v="0"/>
    <x v="0"/>
    <x v="11"/>
    <x v="12"/>
    <x v="0"/>
    <x v="2"/>
    <n v="0"/>
  </r>
  <r>
    <x v="0"/>
    <x v="0"/>
    <x v="0"/>
    <x v="11"/>
    <x v="12"/>
    <x v="0"/>
    <x v="3"/>
    <n v="0"/>
  </r>
  <r>
    <x v="0"/>
    <x v="0"/>
    <x v="0"/>
    <x v="11"/>
    <x v="12"/>
    <x v="0"/>
    <x v="4"/>
    <n v="0.54"/>
  </r>
  <r>
    <x v="0"/>
    <x v="0"/>
    <x v="0"/>
    <x v="11"/>
    <x v="12"/>
    <x v="0"/>
    <x v="5"/>
    <n v="0.54"/>
  </r>
  <r>
    <x v="0"/>
    <x v="0"/>
    <x v="0"/>
    <x v="11"/>
    <x v="12"/>
    <x v="0"/>
    <x v="6"/>
    <n v="0.54"/>
  </r>
  <r>
    <x v="0"/>
    <x v="0"/>
    <x v="0"/>
    <x v="11"/>
    <x v="12"/>
    <x v="0"/>
    <x v="7"/>
    <n v="0.54"/>
  </r>
  <r>
    <x v="0"/>
    <x v="0"/>
    <x v="0"/>
    <x v="11"/>
    <x v="12"/>
    <x v="0"/>
    <x v="8"/>
    <n v="0"/>
  </r>
  <r>
    <x v="0"/>
    <x v="0"/>
    <x v="0"/>
    <x v="11"/>
    <x v="12"/>
    <x v="0"/>
    <x v="9"/>
    <n v="0"/>
  </r>
  <r>
    <x v="0"/>
    <x v="0"/>
    <x v="0"/>
    <x v="11"/>
    <x v="12"/>
    <x v="0"/>
    <x v="10"/>
    <n v="0.54"/>
  </r>
  <r>
    <x v="0"/>
    <x v="0"/>
    <x v="0"/>
    <x v="11"/>
    <x v="12"/>
    <x v="0"/>
    <x v="11"/>
    <n v="5.7412933099961698E-2"/>
  </r>
  <r>
    <x v="0"/>
    <x v="0"/>
    <x v="0"/>
    <x v="11"/>
    <x v="12"/>
    <x v="0"/>
    <x v="12"/>
    <n v="0"/>
  </r>
  <r>
    <x v="0"/>
    <x v="0"/>
    <x v="0"/>
    <x v="11"/>
    <x v="12"/>
    <x v="0"/>
    <x v="13"/>
    <n v="0.54"/>
  </r>
  <r>
    <x v="0"/>
    <x v="0"/>
    <x v="0"/>
    <x v="11"/>
    <x v="12"/>
    <x v="0"/>
    <x v="14"/>
    <n v="0.54"/>
  </r>
  <r>
    <x v="0"/>
    <x v="0"/>
    <x v="0"/>
    <x v="11"/>
    <x v="12"/>
    <x v="0"/>
    <x v="15"/>
    <n v="0.54"/>
  </r>
  <r>
    <x v="0"/>
    <x v="0"/>
    <x v="0"/>
    <x v="11"/>
    <x v="12"/>
    <x v="0"/>
    <x v="16"/>
    <n v="0.54"/>
  </r>
  <r>
    <x v="0"/>
    <x v="0"/>
    <x v="0"/>
    <x v="11"/>
    <x v="12"/>
    <x v="0"/>
    <x v="17"/>
    <n v="0.54"/>
  </r>
  <r>
    <x v="0"/>
    <x v="0"/>
    <x v="0"/>
    <x v="11"/>
    <x v="12"/>
    <x v="0"/>
    <x v="18"/>
    <n v="0"/>
  </r>
  <r>
    <x v="0"/>
    <x v="0"/>
    <x v="0"/>
    <x v="11"/>
    <x v="12"/>
    <x v="0"/>
    <x v="19"/>
    <n v="0"/>
  </r>
  <r>
    <x v="0"/>
    <x v="0"/>
    <x v="0"/>
    <x v="11"/>
    <x v="12"/>
    <x v="0"/>
    <x v="20"/>
    <n v="0"/>
  </r>
  <r>
    <x v="0"/>
    <x v="0"/>
    <x v="0"/>
    <x v="11"/>
    <x v="12"/>
    <x v="0"/>
    <x v="21"/>
    <n v="0.54"/>
  </r>
  <r>
    <x v="0"/>
    <x v="0"/>
    <x v="0"/>
    <x v="11"/>
    <x v="12"/>
    <x v="0"/>
    <x v="22"/>
    <n v="0"/>
  </r>
  <r>
    <x v="0"/>
    <x v="0"/>
    <x v="0"/>
    <x v="11"/>
    <x v="12"/>
    <x v="0"/>
    <x v="23"/>
    <n v="0"/>
  </r>
  <r>
    <x v="0"/>
    <x v="0"/>
    <x v="0"/>
    <x v="11"/>
    <x v="13"/>
    <x v="0"/>
    <x v="0"/>
    <n v="0.88766464524309696"/>
  </r>
  <r>
    <x v="0"/>
    <x v="0"/>
    <x v="0"/>
    <x v="11"/>
    <x v="13"/>
    <x v="0"/>
    <x v="1"/>
    <n v="2.97"/>
  </r>
  <r>
    <x v="0"/>
    <x v="0"/>
    <x v="0"/>
    <x v="11"/>
    <x v="13"/>
    <x v="0"/>
    <x v="2"/>
    <n v="1.56754340041865E-2"/>
  </r>
  <r>
    <x v="0"/>
    <x v="0"/>
    <x v="0"/>
    <x v="11"/>
    <x v="13"/>
    <x v="0"/>
    <x v="3"/>
    <n v="0"/>
  </r>
  <r>
    <x v="0"/>
    <x v="0"/>
    <x v="0"/>
    <x v="11"/>
    <x v="13"/>
    <x v="0"/>
    <x v="4"/>
    <n v="2.97"/>
  </r>
  <r>
    <x v="0"/>
    <x v="0"/>
    <x v="0"/>
    <x v="11"/>
    <x v="13"/>
    <x v="0"/>
    <x v="5"/>
    <n v="2.97"/>
  </r>
  <r>
    <x v="0"/>
    <x v="0"/>
    <x v="0"/>
    <x v="11"/>
    <x v="13"/>
    <x v="0"/>
    <x v="6"/>
    <n v="2.97"/>
  </r>
  <r>
    <x v="0"/>
    <x v="0"/>
    <x v="0"/>
    <x v="11"/>
    <x v="13"/>
    <x v="0"/>
    <x v="7"/>
    <n v="0"/>
  </r>
  <r>
    <x v="0"/>
    <x v="0"/>
    <x v="0"/>
    <x v="11"/>
    <x v="13"/>
    <x v="0"/>
    <x v="8"/>
    <n v="0.423264666464989"/>
  </r>
  <r>
    <x v="0"/>
    <x v="0"/>
    <x v="0"/>
    <x v="11"/>
    <x v="13"/>
    <x v="0"/>
    <x v="9"/>
    <n v="2.97"/>
  </r>
  <r>
    <x v="0"/>
    <x v="0"/>
    <x v="0"/>
    <x v="11"/>
    <x v="13"/>
    <x v="0"/>
    <x v="10"/>
    <n v="2.97"/>
  </r>
  <r>
    <x v="0"/>
    <x v="0"/>
    <x v="0"/>
    <x v="11"/>
    <x v="13"/>
    <x v="0"/>
    <x v="11"/>
    <n v="1.43974363628697"/>
  </r>
  <r>
    <x v="0"/>
    <x v="0"/>
    <x v="0"/>
    <x v="11"/>
    <x v="13"/>
    <x v="0"/>
    <x v="12"/>
    <n v="0"/>
  </r>
  <r>
    <x v="0"/>
    <x v="0"/>
    <x v="0"/>
    <x v="11"/>
    <x v="13"/>
    <x v="0"/>
    <x v="13"/>
    <n v="2.97"/>
  </r>
  <r>
    <x v="0"/>
    <x v="0"/>
    <x v="0"/>
    <x v="11"/>
    <x v="13"/>
    <x v="0"/>
    <x v="14"/>
    <n v="0"/>
  </r>
  <r>
    <x v="0"/>
    <x v="0"/>
    <x v="0"/>
    <x v="11"/>
    <x v="13"/>
    <x v="0"/>
    <x v="15"/>
    <n v="2.97"/>
  </r>
  <r>
    <x v="0"/>
    <x v="0"/>
    <x v="0"/>
    <x v="11"/>
    <x v="13"/>
    <x v="0"/>
    <x v="16"/>
    <n v="2.97"/>
  </r>
  <r>
    <x v="0"/>
    <x v="0"/>
    <x v="0"/>
    <x v="11"/>
    <x v="13"/>
    <x v="0"/>
    <x v="17"/>
    <n v="2.97"/>
  </r>
  <r>
    <x v="0"/>
    <x v="0"/>
    <x v="0"/>
    <x v="11"/>
    <x v="13"/>
    <x v="0"/>
    <x v="18"/>
    <n v="0.19917241852831499"/>
  </r>
  <r>
    <x v="0"/>
    <x v="0"/>
    <x v="0"/>
    <x v="11"/>
    <x v="13"/>
    <x v="0"/>
    <x v="19"/>
    <n v="0.44893867775185198"/>
  </r>
  <r>
    <x v="0"/>
    <x v="0"/>
    <x v="0"/>
    <x v="11"/>
    <x v="13"/>
    <x v="0"/>
    <x v="20"/>
    <n v="0"/>
  </r>
  <r>
    <x v="0"/>
    <x v="0"/>
    <x v="0"/>
    <x v="11"/>
    <x v="13"/>
    <x v="0"/>
    <x v="21"/>
    <n v="2.97"/>
  </r>
  <r>
    <x v="0"/>
    <x v="0"/>
    <x v="0"/>
    <x v="11"/>
    <x v="13"/>
    <x v="0"/>
    <x v="22"/>
    <n v="2.97"/>
  </r>
  <r>
    <x v="0"/>
    <x v="0"/>
    <x v="0"/>
    <x v="11"/>
    <x v="13"/>
    <x v="0"/>
    <x v="23"/>
    <n v="2.97"/>
  </r>
  <r>
    <x v="0"/>
    <x v="0"/>
    <x v="0"/>
    <x v="12"/>
    <x v="9"/>
    <x v="0"/>
    <x v="0"/>
    <n v="0"/>
  </r>
  <r>
    <x v="0"/>
    <x v="0"/>
    <x v="0"/>
    <x v="12"/>
    <x v="9"/>
    <x v="0"/>
    <x v="1"/>
    <n v="0.9"/>
  </r>
  <r>
    <x v="0"/>
    <x v="0"/>
    <x v="0"/>
    <x v="12"/>
    <x v="9"/>
    <x v="0"/>
    <x v="2"/>
    <n v="0"/>
  </r>
  <r>
    <x v="0"/>
    <x v="0"/>
    <x v="0"/>
    <x v="12"/>
    <x v="9"/>
    <x v="0"/>
    <x v="3"/>
    <n v="0.9"/>
  </r>
  <r>
    <x v="0"/>
    <x v="0"/>
    <x v="0"/>
    <x v="12"/>
    <x v="9"/>
    <x v="0"/>
    <x v="4"/>
    <n v="0.9"/>
  </r>
  <r>
    <x v="0"/>
    <x v="0"/>
    <x v="0"/>
    <x v="12"/>
    <x v="9"/>
    <x v="0"/>
    <x v="5"/>
    <n v="0.9"/>
  </r>
  <r>
    <x v="0"/>
    <x v="0"/>
    <x v="0"/>
    <x v="12"/>
    <x v="9"/>
    <x v="0"/>
    <x v="6"/>
    <n v="0.9"/>
  </r>
  <r>
    <x v="0"/>
    <x v="0"/>
    <x v="0"/>
    <x v="12"/>
    <x v="9"/>
    <x v="0"/>
    <x v="7"/>
    <n v="0"/>
  </r>
  <r>
    <x v="0"/>
    <x v="0"/>
    <x v="0"/>
    <x v="12"/>
    <x v="9"/>
    <x v="0"/>
    <x v="8"/>
    <n v="0"/>
  </r>
  <r>
    <x v="0"/>
    <x v="0"/>
    <x v="0"/>
    <x v="12"/>
    <x v="9"/>
    <x v="0"/>
    <x v="9"/>
    <n v="0"/>
  </r>
  <r>
    <x v="0"/>
    <x v="0"/>
    <x v="0"/>
    <x v="12"/>
    <x v="9"/>
    <x v="0"/>
    <x v="10"/>
    <n v="0"/>
  </r>
  <r>
    <x v="0"/>
    <x v="0"/>
    <x v="0"/>
    <x v="12"/>
    <x v="9"/>
    <x v="0"/>
    <x v="11"/>
    <n v="0.9"/>
  </r>
  <r>
    <x v="0"/>
    <x v="0"/>
    <x v="0"/>
    <x v="12"/>
    <x v="9"/>
    <x v="0"/>
    <x v="12"/>
    <n v="0.9"/>
  </r>
  <r>
    <x v="0"/>
    <x v="0"/>
    <x v="0"/>
    <x v="12"/>
    <x v="9"/>
    <x v="0"/>
    <x v="13"/>
    <n v="0.9"/>
  </r>
  <r>
    <x v="0"/>
    <x v="0"/>
    <x v="0"/>
    <x v="12"/>
    <x v="9"/>
    <x v="0"/>
    <x v="14"/>
    <n v="0"/>
  </r>
  <r>
    <x v="0"/>
    <x v="0"/>
    <x v="0"/>
    <x v="12"/>
    <x v="9"/>
    <x v="0"/>
    <x v="15"/>
    <n v="0"/>
  </r>
  <r>
    <x v="0"/>
    <x v="0"/>
    <x v="0"/>
    <x v="12"/>
    <x v="9"/>
    <x v="0"/>
    <x v="16"/>
    <n v="0"/>
  </r>
  <r>
    <x v="0"/>
    <x v="0"/>
    <x v="0"/>
    <x v="12"/>
    <x v="9"/>
    <x v="0"/>
    <x v="17"/>
    <n v="0"/>
  </r>
  <r>
    <x v="0"/>
    <x v="0"/>
    <x v="0"/>
    <x v="12"/>
    <x v="9"/>
    <x v="0"/>
    <x v="18"/>
    <n v="0"/>
  </r>
  <r>
    <x v="0"/>
    <x v="0"/>
    <x v="0"/>
    <x v="12"/>
    <x v="9"/>
    <x v="0"/>
    <x v="19"/>
    <n v="0"/>
  </r>
  <r>
    <x v="0"/>
    <x v="0"/>
    <x v="0"/>
    <x v="12"/>
    <x v="9"/>
    <x v="0"/>
    <x v="20"/>
    <n v="0"/>
  </r>
  <r>
    <x v="0"/>
    <x v="0"/>
    <x v="0"/>
    <x v="12"/>
    <x v="9"/>
    <x v="0"/>
    <x v="21"/>
    <n v="0"/>
  </r>
  <r>
    <x v="0"/>
    <x v="0"/>
    <x v="0"/>
    <x v="12"/>
    <x v="9"/>
    <x v="0"/>
    <x v="22"/>
    <n v="0"/>
  </r>
  <r>
    <x v="0"/>
    <x v="0"/>
    <x v="0"/>
    <x v="12"/>
    <x v="9"/>
    <x v="0"/>
    <x v="23"/>
    <n v="0"/>
  </r>
  <r>
    <x v="0"/>
    <x v="0"/>
    <x v="0"/>
    <x v="12"/>
    <x v="12"/>
    <x v="0"/>
    <x v="0"/>
    <n v="0"/>
  </r>
  <r>
    <x v="0"/>
    <x v="0"/>
    <x v="0"/>
    <x v="12"/>
    <x v="12"/>
    <x v="0"/>
    <x v="1"/>
    <n v="0"/>
  </r>
  <r>
    <x v="0"/>
    <x v="0"/>
    <x v="0"/>
    <x v="12"/>
    <x v="12"/>
    <x v="0"/>
    <x v="2"/>
    <n v="0"/>
  </r>
  <r>
    <x v="0"/>
    <x v="0"/>
    <x v="0"/>
    <x v="12"/>
    <x v="12"/>
    <x v="0"/>
    <x v="3"/>
    <n v="0"/>
  </r>
  <r>
    <x v="0"/>
    <x v="0"/>
    <x v="0"/>
    <x v="12"/>
    <x v="12"/>
    <x v="0"/>
    <x v="4"/>
    <n v="0"/>
  </r>
  <r>
    <x v="0"/>
    <x v="0"/>
    <x v="0"/>
    <x v="12"/>
    <x v="12"/>
    <x v="0"/>
    <x v="5"/>
    <n v="0"/>
  </r>
  <r>
    <x v="0"/>
    <x v="0"/>
    <x v="0"/>
    <x v="12"/>
    <x v="12"/>
    <x v="0"/>
    <x v="6"/>
    <n v="0"/>
  </r>
  <r>
    <x v="0"/>
    <x v="0"/>
    <x v="0"/>
    <x v="12"/>
    <x v="12"/>
    <x v="0"/>
    <x v="7"/>
    <n v="0"/>
  </r>
  <r>
    <x v="0"/>
    <x v="0"/>
    <x v="0"/>
    <x v="12"/>
    <x v="12"/>
    <x v="0"/>
    <x v="8"/>
    <n v="0"/>
  </r>
  <r>
    <x v="0"/>
    <x v="0"/>
    <x v="0"/>
    <x v="12"/>
    <x v="12"/>
    <x v="0"/>
    <x v="9"/>
    <n v="0"/>
  </r>
  <r>
    <x v="0"/>
    <x v="0"/>
    <x v="0"/>
    <x v="12"/>
    <x v="12"/>
    <x v="0"/>
    <x v="10"/>
    <n v="0"/>
  </r>
  <r>
    <x v="0"/>
    <x v="0"/>
    <x v="0"/>
    <x v="12"/>
    <x v="12"/>
    <x v="0"/>
    <x v="11"/>
    <n v="0"/>
  </r>
  <r>
    <x v="0"/>
    <x v="0"/>
    <x v="0"/>
    <x v="12"/>
    <x v="12"/>
    <x v="0"/>
    <x v="12"/>
    <n v="0"/>
  </r>
  <r>
    <x v="0"/>
    <x v="0"/>
    <x v="0"/>
    <x v="12"/>
    <x v="12"/>
    <x v="0"/>
    <x v="13"/>
    <n v="0"/>
  </r>
  <r>
    <x v="0"/>
    <x v="0"/>
    <x v="0"/>
    <x v="12"/>
    <x v="12"/>
    <x v="0"/>
    <x v="14"/>
    <n v="0"/>
  </r>
  <r>
    <x v="0"/>
    <x v="0"/>
    <x v="0"/>
    <x v="12"/>
    <x v="12"/>
    <x v="0"/>
    <x v="15"/>
    <n v="0"/>
  </r>
  <r>
    <x v="0"/>
    <x v="0"/>
    <x v="0"/>
    <x v="12"/>
    <x v="12"/>
    <x v="0"/>
    <x v="16"/>
    <n v="0"/>
  </r>
  <r>
    <x v="0"/>
    <x v="0"/>
    <x v="0"/>
    <x v="12"/>
    <x v="12"/>
    <x v="0"/>
    <x v="17"/>
    <n v="0"/>
  </r>
  <r>
    <x v="0"/>
    <x v="0"/>
    <x v="0"/>
    <x v="12"/>
    <x v="12"/>
    <x v="0"/>
    <x v="18"/>
    <n v="0"/>
  </r>
  <r>
    <x v="0"/>
    <x v="0"/>
    <x v="0"/>
    <x v="12"/>
    <x v="12"/>
    <x v="0"/>
    <x v="19"/>
    <n v="0"/>
  </r>
  <r>
    <x v="0"/>
    <x v="0"/>
    <x v="0"/>
    <x v="12"/>
    <x v="12"/>
    <x v="0"/>
    <x v="20"/>
    <n v="0"/>
  </r>
  <r>
    <x v="0"/>
    <x v="0"/>
    <x v="0"/>
    <x v="12"/>
    <x v="12"/>
    <x v="0"/>
    <x v="21"/>
    <n v="0"/>
  </r>
  <r>
    <x v="0"/>
    <x v="0"/>
    <x v="0"/>
    <x v="12"/>
    <x v="12"/>
    <x v="0"/>
    <x v="22"/>
    <n v="0"/>
  </r>
  <r>
    <x v="0"/>
    <x v="0"/>
    <x v="0"/>
    <x v="12"/>
    <x v="12"/>
    <x v="0"/>
    <x v="23"/>
    <n v="0"/>
  </r>
  <r>
    <x v="0"/>
    <x v="0"/>
    <x v="0"/>
    <x v="12"/>
    <x v="14"/>
    <x v="0"/>
    <x v="0"/>
    <n v="-0.88766464524309696"/>
  </r>
  <r>
    <x v="0"/>
    <x v="0"/>
    <x v="0"/>
    <x v="12"/>
    <x v="14"/>
    <x v="0"/>
    <x v="1"/>
    <n v="-2.97"/>
  </r>
  <r>
    <x v="0"/>
    <x v="0"/>
    <x v="0"/>
    <x v="12"/>
    <x v="14"/>
    <x v="0"/>
    <x v="2"/>
    <n v="-1.56754340041865E-2"/>
  </r>
  <r>
    <x v="0"/>
    <x v="0"/>
    <x v="0"/>
    <x v="12"/>
    <x v="14"/>
    <x v="0"/>
    <x v="3"/>
    <n v="0"/>
  </r>
  <r>
    <x v="0"/>
    <x v="0"/>
    <x v="0"/>
    <x v="12"/>
    <x v="14"/>
    <x v="0"/>
    <x v="4"/>
    <n v="-2.97"/>
  </r>
  <r>
    <x v="0"/>
    <x v="0"/>
    <x v="0"/>
    <x v="12"/>
    <x v="14"/>
    <x v="0"/>
    <x v="5"/>
    <n v="-2.97"/>
  </r>
  <r>
    <x v="0"/>
    <x v="0"/>
    <x v="0"/>
    <x v="12"/>
    <x v="14"/>
    <x v="0"/>
    <x v="6"/>
    <n v="-2.97"/>
  </r>
  <r>
    <x v="0"/>
    <x v="0"/>
    <x v="0"/>
    <x v="12"/>
    <x v="14"/>
    <x v="0"/>
    <x v="7"/>
    <n v="0"/>
  </r>
  <r>
    <x v="0"/>
    <x v="0"/>
    <x v="0"/>
    <x v="12"/>
    <x v="14"/>
    <x v="0"/>
    <x v="8"/>
    <n v="-0.423264666464989"/>
  </r>
  <r>
    <x v="0"/>
    <x v="0"/>
    <x v="0"/>
    <x v="12"/>
    <x v="14"/>
    <x v="0"/>
    <x v="9"/>
    <n v="-2.97"/>
  </r>
  <r>
    <x v="0"/>
    <x v="0"/>
    <x v="0"/>
    <x v="12"/>
    <x v="14"/>
    <x v="0"/>
    <x v="10"/>
    <n v="-2.97"/>
  </r>
  <r>
    <x v="0"/>
    <x v="0"/>
    <x v="0"/>
    <x v="12"/>
    <x v="14"/>
    <x v="0"/>
    <x v="11"/>
    <n v="-1.43974363628697"/>
  </r>
  <r>
    <x v="0"/>
    <x v="0"/>
    <x v="0"/>
    <x v="12"/>
    <x v="14"/>
    <x v="0"/>
    <x v="12"/>
    <n v="0"/>
  </r>
  <r>
    <x v="0"/>
    <x v="0"/>
    <x v="0"/>
    <x v="12"/>
    <x v="14"/>
    <x v="0"/>
    <x v="13"/>
    <n v="-2.97"/>
  </r>
  <r>
    <x v="0"/>
    <x v="0"/>
    <x v="0"/>
    <x v="12"/>
    <x v="14"/>
    <x v="0"/>
    <x v="14"/>
    <n v="0"/>
  </r>
  <r>
    <x v="0"/>
    <x v="0"/>
    <x v="0"/>
    <x v="12"/>
    <x v="14"/>
    <x v="0"/>
    <x v="15"/>
    <n v="-2.97"/>
  </r>
  <r>
    <x v="0"/>
    <x v="0"/>
    <x v="0"/>
    <x v="12"/>
    <x v="14"/>
    <x v="0"/>
    <x v="16"/>
    <n v="-2.97"/>
  </r>
  <r>
    <x v="0"/>
    <x v="0"/>
    <x v="0"/>
    <x v="12"/>
    <x v="14"/>
    <x v="0"/>
    <x v="17"/>
    <n v="-2.97"/>
  </r>
  <r>
    <x v="0"/>
    <x v="0"/>
    <x v="0"/>
    <x v="12"/>
    <x v="14"/>
    <x v="0"/>
    <x v="18"/>
    <n v="-0.19917241852831499"/>
  </r>
  <r>
    <x v="0"/>
    <x v="0"/>
    <x v="0"/>
    <x v="12"/>
    <x v="14"/>
    <x v="0"/>
    <x v="19"/>
    <n v="-0.44893867775185198"/>
  </r>
  <r>
    <x v="0"/>
    <x v="0"/>
    <x v="0"/>
    <x v="12"/>
    <x v="14"/>
    <x v="0"/>
    <x v="20"/>
    <n v="0"/>
  </r>
  <r>
    <x v="0"/>
    <x v="0"/>
    <x v="0"/>
    <x v="12"/>
    <x v="14"/>
    <x v="0"/>
    <x v="21"/>
    <n v="-2.97"/>
  </r>
  <r>
    <x v="0"/>
    <x v="0"/>
    <x v="0"/>
    <x v="12"/>
    <x v="14"/>
    <x v="0"/>
    <x v="22"/>
    <n v="-2.97"/>
  </r>
  <r>
    <x v="0"/>
    <x v="0"/>
    <x v="0"/>
    <x v="12"/>
    <x v="14"/>
    <x v="0"/>
    <x v="23"/>
    <n v="-2.97"/>
  </r>
  <r>
    <x v="0"/>
    <x v="0"/>
    <x v="0"/>
    <x v="12"/>
    <x v="8"/>
    <x v="0"/>
    <x v="0"/>
    <n v="0.19016082707849"/>
  </r>
  <r>
    <x v="0"/>
    <x v="0"/>
    <x v="0"/>
    <x v="12"/>
    <x v="8"/>
    <x v="0"/>
    <x v="1"/>
    <n v="3.29880653636546"/>
  </r>
  <r>
    <x v="0"/>
    <x v="0"/>
    <x v="0"/>
    <x v="12"/>
    <x v="8"/>
    <x v="0"/>
    <x v="2"/>
    <n v="0"/>
  </r>
  <r>
    <x v="0"/>
    <x v="0"/>
    <x v="0"/>
    <x v="12"/>
    <x v="8"/>
    <x v="0"/>
    <x v="3"/>
    <n v="2.77127587502489"/>
  </r>
  <r>
    <x v="0"/>
    <x v="0"/>
    <x v="0"/>
    <x v="12"/>
    <x v="8"/>
    <x v="0"/>
    <x v="4"/>
    <n v="1.77873247435297"/>
  </r>
  <r>
    <x v="0"/>
    <x v="0"/>
    <x v="0"/>
    <x v="12"/>
    <x v="8"/>
    <x v="0"/>
    <x v="5"/>
    <n v="3.4562530614170202"/>
  </r>
  <r>
    <x v="0"/>
    <x v="0"/>
    <x v="0"/>
    <x v="12"/>
    <x v="8"/>
    <x v="0"/>
    <x v="6"/>
    <n v="4.7745630382439304"/>
  </r>
  <r>
    <x v="0"/>
    <x v="0"/>
    <x v="0"/>
    <x v="12"/>
    <x v="8"/>
    <x v="0"/>
    <x v="7"/>
    <n v="6.11718575473268"/>
  </r>
  <r>
    <x v="0"/>
    <x v="0"/>
    <x v="0"/>
    <x v="12"/>
    <x v="8"/>
    <x v="0"/>
    <x v="8"/>
    <n v="6.57"/>
  </r>
  <r>
    <x v="0"/>
    <x v="0"/>
    <x v="0"/>
    <x v="12"/>
    <x v="8"/>
    <x v="0"/>
    <x v="9"/>
    <n v="5.2206255663128296"/>
  </r>
  <r>
    <x v="0"/>
    <x v="0"/>
    <x v="0"/>
    <x v="12"/>
    <x v="8"/>
    <x v="0"/>
    <x v="10"/>
    <n v="4.5949945605241904"/>
  </r>
  <r>
    <x v="0"/>
    <x v="0"/>
    <x v="0"/>
    <x v="12"/>
    <x v="8"/>
    <x v="0"/>
    <x v="11"/>
    <n v="6.57"/>
  </r>
  <r>
    <x v="0"/>
    <x v="0"/>
    <x v="0"/>
    <x v="12"/>
    <x v="8"/>
    <x v="0"/>
    <x v="12"/>
    <n v="5.4295770053071299"/>
  </r>
  <r>
    <x v="0"/>
    <x v="0"/>
    <x v="0"/>
    <x v="12"/>
    <x v="8"/>
    <x v="0"/>
    <x v="13"/>
    <n v="4.9803595095079096"/>
  </r>
  <r>
    <x v="0"/>
    <x v="0"/>
    <x v="0"/>
    <x v="12"/>
    <x v="8"/>
    <x v="0"/>
    <x v="14"/>
    <n v="5.24818466726102"/>
  </r>
  <r>
    <x v="0"/>
    <x v="0"/>
    <x v="0"/>
    <x v="12"/>
    <x v="8"/>
    <x v="0"/>
    <x v="15"/>
    <n v="6.57"/>
  </r>
  <r>
    <x v="0"/>
    <x v="0"/>
    <x v="0"/>
    <x v="12"/>
    <x v="8"/>
    <x v="0"/>
    <x v="16"/>
    <n v="6.57"/>
  </r>
  <r>
    <x v="0"/>
    <x v="0"/>
    <x v="0"/>
    <x v="12"/>
    <x v="8"/>
    <x v="0"/>
    <x v="17"/>
    <n v="6.57"/>
  </r>
  <r>
    <x v="0"/>
    <x v="0"/>
    <x v="0"/>
    <x v="12"/>
    <x v="8"/>
    <x v="0"/>
    <x v="18"/>
    <n v="6.57"/>
  </r>
  <r>
    <x v="0"/>
    <x v="0"/>
    <x v="0"/>
    <x v="12"/>
    <x v="8"/>
    <x v="0"/>
    <x v="19"/>
    <n v="6.57"/>
  </r>
  <r>
    <x v="0"/>
    <x v="0"/>
    <x v="0"/>
    <x v="12"/>
    <x v="8"/>
    <x v="0"/>
    <x v="20"/>
    <n v="5.5122994137713199"/>
  </r>
  <r>
    <x v="0"/>
    <x v="0"/>
    <x v="0"/>
    <x v="12"/>
    <x v="8"/>
    <x v="0"/>
    <x v="21"/>
    <n v="6.57"/>
  </r>
  <r>
    <x v="0"/>
    <x v="0"/>
    <x v="0"/>
    <x v="12"/>
    <x v="8"/>
    <x v="0"/>
    <x v="22"/>
    <n v="4.6857516846139102"/>
  </r>
  <r>
    <x v="0"/>
    <x v="0"/>
    <x v="0"/>
    <x v="12"/>
    <x v="8"/>
    <x v="0"/>
    <x v="23"/>
    <n v="2.8443411976808899"/>
  </r>
  <r>
    <x v="0"/>
    <x v="0"/>
    <x v="0"/>
    <x v="13"/>
    <x v="5"/>
    <x v="0"/>
    <x v="0"/>
    <n v="4.72952717034366E-3"/>
  </r>
  <r>
    <x v="0"/>
    <x v="0"/>
    <x v="0"/>
    <x v="13"/>
    <x v="5"/>
    <x v="0"/>
    <x v="1"/>
    <n v="0.61199999999999999"/>
  </r>
  <r>
    <x v="0"/>
    <x v="0"/>
    <x v="0"/>
    <x v="13"/>
    <x v="5"/>
    <x v="0"/>
    <x v="2"/>
    <n v="0.61199999999999999"/>
  </r>
  <r>
    <x v="0"/>
    <x v="0"/>
    <x v="0"/>
    <x v="13"/>
    <x v="5"/>
    <x v="0"/>
    <x v="3"/>
    <n v="0.61199999999999999"/>
  </r>
  <r>
    <x v="0"/>
    <x v="0"/>
    <x v="0"/>
    <x v="13"/>
    <x v="5"/>
    <x v="0"/>
    <x v="4"/>
    <n v="0.24077692454185901"/>
  </r>
  <r>
    <x v="0"/>
    <x v="0"/>
    <x v="0"/>
    <x v="13"/>
    <x v="5"/>
    <x v="0"/>
    <x v="5"/>
    <n v="0.61199999999999999"/>
  </r>
  <r>
    <x v="0"/>
    <x v="0"/>
    <x v="0"/>
    <x v="13"/>
    <x v="5"/>
    <x v="0"/>
    <x v="6"/>
    <n v="0.61199999999999999"/>
  </r>
  <r>
    <x v="0"/>
    <x v="0"/>
    <x v="0"/>
    <x v="13"/>
    <x v="5"/>
    <x v="0"/>
    <x v="7"/>
    <n v="0.61199999999999999"/>
  </r>
  <r>
    <x v="0"/>
    <x v="0"/>
    <x v="0"/>
    <x v="13"/>
    <x v="5"/>
    <x v="0"/>
    <x v="8"/>
    <n v="0.61199999999999999"/>
  </r>
  <r>
    <x v="0"/>
    <x v="0"/>
    <x v="0"/>
    <x v="13"/>
    <x v="5"/>
    <x v="0"/>
    <x v="9"/>
    <n v="0.61199999999999999"/>
  </r>
  <r>
    <x v="0"/>
    <x v="0"/>
    <x v="0"/>
    <x v="13"/>
    <x v="5"/>
    <x v="0"/>
    <x v="10"/>
    <n v="0"/>
  </r>
  <r>
    <x v="0"/>
    <x v="0"/>
    <x v="0"/>
    <x v="13"/>
    <x v="5"/>
    <x v="0"/>
    <x v="11"/>
    <n v="0.61199999999999999"/>
  </r>
  <r>
    <x v="0"/>
    <x v="0"/>
    <x v="0"/>
    <x v="13"/>
    <x v="5"/>
    <x v="0"/>
    <x v="12"/>
    <n v="0.61199999999999999"/>
  </r>
  <r>
    <x v="0"/>
    <x v="0"/>
    <x v="0"/>
    <x v="13"/>
    <x v="5"/>
    <x v="0"/>
    <x v="13"/>
    <n v="0.61199999999999999"/>
  </r>
  <r>
    <x v="0"/>
    <x v="0"/>
    <x v="0"/>
    <x v="13"/>
    <x v="5"/>
    <x v="0"/>
    <x v="14"/>
    <n v="0.61199999999999999"/>
  </r>
  <r>
    <x v="0"/>
    <x v="0"/>
    <x v="0"/>
    <x v="13"/>
    <x v="5"/>
    <x v="0"/>
    <x v="15"/>
    <n v="0.61199999999999999"/>
  </r>
  <r>
    <x v="0"/>
    <x v="0"/>
    <x v="0"/>
    <x v="13"/>
    <x v="5"/>
    <x v="0"/>
    <x v="16"/>
    <n v="0.61199999999999999"/>
  </r>
  <r>
    <x v="0"/>
    <x v="0"/>
    <x v="0"/>
    <x v="13"/>
    <x v="5"/>
    <x v="0"/>
    <x v="17"/>
    <n v="0.61199999999999999"/>
  </r>
  <r>
    <x v="0"/>
    <x v="0"/>
    <x v="0"/>
    <x v="13"/>
    <x v="5"/>
    <x v="0"/>
    <x v="18"/>
    <n v="0.61199999999999999"/>
  </r>
  <r>
    <x v="0"/>
    <x v="0"/>
    <x v="0"/>
    <x v="13"/>
    <x v="5"/>
    <x v="0"/>
    <x v="19"/>
    <n v="0.61199999999999999"/>
  </r>
  <r>
    <x v="0"/>
    <x v="0"/>
    <x v="0"/>
    <x v="13"/>
    <x v="5"/>
    <x v="0"/>
    <x v="20"/>
    <n v="0.61199999999999999"/>
  </r>
  <r>
    <x v="0"/>
    <x v="0"/>
    <x v="0"/>
    <x v="13"/>
    <x v="5"/>
    <x v="0"/>
    <x v="21"/>
    <n v="0.61199999999999999"/>
  </r>
  <r>
    <x v="0"/>
    <x v="0"/>
    <x v="0"/>
    <x v="13"/>
    <x v="5"/>
    <x v="0"/>
    <x v="22"/>
    <n v="0.61199999999999999"/>
  </r>
  <r>
    <x v="0"/>
    <x v="0"/>
    <x v="0"/>
    <x v="13"/>
    <x v="5"/>
    <x v="0"/>
    <x v="23"/>
    <n v="0.61199999999999999"/>
  </r>
  <r>
    <x v="0"/>
    <x v="0"/>
    <x v="0"/>
    <x v="13"/>
    <x v="11"/>
    <x v="0"/>
    <x v="0"/>
    <n v="0"/>
  </r>
  <r>
    <x v="0"/>
    <x v="0"/>
    <x v="0"/>
    <x v="13"/>
    <x v="11"/>
    <x v="0"/>
    <x v="1"/>
    <n v="0"/>
  </r>
  <r>
    <x v="0"/>
    <x v="0"/>
    <x v="0"/>
    <x v="13"/>
    <x v="11"/>
    <x v="0"/>
    <x v="2"/>
    <n v="0"/>
  </r>
  <r>
    <x v="0"/>
    <x v="0"/>
    <x v="0"/>
    <x v="13"/>
    <x v="11"/>
    <x v="0"/>
    <x v="3"/>
    <n v="0"/>
  </r>
  <r>
    <x v="0"/>
    <x v="0"/>
    <x v="0"/>
    <x v="13"/>
    <x v="11"/>
    <x v="0"/>
    <x v="4"/>
    <n v="0"/>
  </r>
  <r>
    <x v="0"/>
    <x v="0"/>
    <x v="0"/>
    <x v="13"/>
    <x v="11"/>
    <x v="0"/>
    <x v="5"/>
    <n v="0"/>
  </r>
  <r>
    <x v="0"/>
    <x v="0"/>
    <x v="0"/>
    <x v="13"/>
    <x v="11"/>
    <x v="0"/>
    <x v="6"/>
    <n v="0"/>
  </r>
  <r>
    <x v="0"/>
    <x v="0"/>
    <x v="0"/>
    <x v="13"/>
    <x v="11"/>
    <x v="0"/>
    <x v="7"/>
    <n v="0"/>
  </r>
  <r>
    <x v="0"/>
    <x v="0"/>
    <x v="0"/>
    <x v="13"/>
    <x v="11"/>
    <x v="0"/>
    <x v="8"/>
    <n v="0"/>
  </r>
  <r>
    <x v="0"/>
    <x v="0"/>
    <x v="0"/>
    <x v="13"/>
    <x v="11"/>
    <x v="0"/>
    <x v="9"/>
    <n v="0"/>
  </r>
  <r>
    <x v="0"/>
    <x v="0"/>
    <x v="0"/>
    <x v="13"/>
    <x v="11"/>
    <x v="0"/>
    <x v="10"/>
    <n v="0"/>
  </r>
  <r>
    <x v="0"/>
    <x v="0"/>
    <x v="0"/>
    <x v="13"/>
    <x v="11"/>
    <x v="0"/>
    <x v="11"/>
    <n v="0"/>
  </r>
  <r>
    <x v="0"/>
    <x v="0"/>
    <x v="0"/>
    <x v="13"/>
    <x v="11"/>
    <x v="0"/>
    <x v="12"/>
    <n v="0"/>
  </r>
  <r>
    <x v="0"/>
    <x v="0"/>
    <x v="0"/>
    <x v="13"/>
    <x v="11"/>
    <x v="0"/>
    <x v="13"/>
    <n v="0"/>
  </r>
  <r>
    <x v="0"/>
    <x v="0"/>
    <x v="0"/>
    <x v="13"/>
    <x v="11"/>
    <x v="0"/>
    <x v="14"/>
    <n v="0"/>
  </r>
  <r>
    <x v="0"/>
    <x v="0"/>
    <x v="0"/>
    <x v="13"/>
    <x v="11"/>
    <x v="0"/>
    <x v="15"/>
    <n v="0"/>
  </r>
  <r>
    <x v="0"/>
    <x v="0"/>
    <x v="0"/>
    <x v="13"/>
    <x v="11"/>
    <x v="0"/>
    <x v="16"/>
    <n v="0"/>
  </r>
  <r>
    <x v="0"/>
    <x v="0"/>
    <x v="0"/>
    <x v="13"/>
    <x v="11"/>
    <x v="0"/>
    <x v="17"/>
    <n v="0"/>
  </r>
  <r>
    <x v="0"/>
    <x v="0"/>
    <x v="0"/>
    <x v="13"/>
    <x v="11"/>
    <x v="0"/>
    <x v="18"/>
    <n v="-0.26309297717715502"/>
  </r>
  <r>
    <x v="0"/>
    <x v="0"/>
    <x v="0"/>
    <x v="13"/>
    <x v="11"/>
    <x v="0"/>
    <x v="19"/>
    <n v="0"/>
  </r>
  <r>
    <x v="0"/>
    <x v="0"/>
    <x v="0"/>
    <x v="13"/>
    <x v="11"/>
    <x v="0"/>
    <x v="20"/>
    <n v="0"/>
  </r>
  <r>
    <x v="0"/>
    <x v="0"/>
    <x v="0"/>
    <x v="13"/>
    <x v="11"/>
    <x v="0"/>
    <x v="21"/>
    <n v="0"/>
  </r>
  <r>
    <x v="0"/>
    <x v="0"/>
    <x v="0"/>
    <x v="13"/>
    <x v="11"/>
    <x v="0"/>
    <x v="22"/>
    <n v="0"/>
  </r>
  <r>
    <x v="0"/>
    <x v="0"/>
    <x v="0"/>
    <x v="13"/>
    <x v="11"/>
    <x v="0"/>
    <x v="23"/>
    <n v="0"/>
  </r>
  <r>
    <x v="0"/>
    <x v="0"/>
    <x v="0"/>
    <x v="13"/>
    <x v="13"/>
    <x v="0"/>
    <x v="0"/>
    <n v="-0.19016082707849"/>
  </r>
  <r>
    <x v="0"/>
    <x v="0"/>
    <x v="0"/>
    <x v="13"/>
    <x v="13"/>
    <x v="0"/>
    <x v="1"/>
    <n v="-3.29880653636546"/>
  </r>
  <r>
    <x v="0"/>
    <x v="0"/>
    <x v="0"/>
    <x v="13"/>
    <x v="13"/>
    <x v="0"/>
    <x v="2"/>
    <n v="0"/>
  </r>
  <r>
    <x v="0"/>
    <x v="0"/>
    <x v="0"/>
    <x v="13"/>
    <x v="13"/>
    <x v="0"/>
    <x v="3"/>
    <n v="-2.77127587502489"/>
  </r>
  <r>
    <x v="0"/>
    <x v="0"/>
    <x v="0"/>
    <x v="13"/>
    <x v="13"/>
    <x v="0"/>
    <x v="4"/>
    <n v="-1.77873247435297"/>
  </r>
  <r>
    <x v="0"/>
    <x v="0"/>
    <x v="0"/>
    <x v="13"/>
    <x v="13"/>
    <x v="0"/>
    <x v="5"/>
    <n v="-3.4562530614170202"/>
  </r>
  <r>
    <x v="0"/>
    <x v="0"/>
    <x v="0"/>
    <x v="13"/>
    <x v="13"/>
    <x v="0"/>
    <x v="6"/>
    <n v="-4.7745630382439304"/>
  </r>
  <r>
    <x v="0"/>
    <x v="0"/>
    <x v="0"/>
    <x v="13"/>
    <x v="13"/>
    <x v="0"/>
    <x v="7"/>
    <n v="-6.11718575473268"/>
  </r>
  <r>
    <x v="0"/>
    <x v="0"/>
    <x v="0"/>
    <x v="13"/>
    <x v="13"/>
    <x v="0"/>
    <x v="8"/>
    <n v="-6.57"/>
  </r>
  <r>
    <x v="0"/>
    <x v="0"/>
    <x v="0"/>
    <x v="13"/>
    <x v="13"/>
    <x v="0"/>
    <x v="9"/>
    <n v="-5.2206255663128296"/>
  </r>
  <r>
    <x v="0"/>
    <x v="0"/>
    <x v="0"/>
    <x v="13"/>
    <x v="13"/>
    <x v="0"/>
    <x v="10"/>
    <n v="-4.5949945605241904"/>
  </r>
  <r>
    <x v="0"/>
    <x v="0"/>
    <x v="0"/>
    <x v="13"/>
    <x v="13"/>
    <x v="0"/>
    <x v="11"/>
    <n v="-6.57"/>
  </r>
  <r>
    <x v="0"/>
    <x v="0"/>
    <x v="0"/>
    <x v="13"/>
    <x v="13"/>
    <x v="0"/>
    <x v="12"/>
    <n v="-5.4295770053071299"/>
  </r>
  <r>
    <x v="0"/>
    <x v="0"/>
    <x v="0"/>
    <x v="13"/>
    <x v="13"/>
    <x v="0"/>
    <x v="13"/>
    <n v="-4.9803595095079096"/>
  </r>
  <r>
    <x v="0"/>
    <x v="0"/>
    <x v="0"/>
    <x v="13"/>
    <x v="13"/>
    <x v="0"/>
    <x v="14"/>
    <n v="-5.24818466726102"/>
  </r>
  <r>
    <x v="0"/>
    <x v="0"/>
    <x v="0"/>
    <x v="13"/>
    <x v="13"/>
    <x v="0"/>
    <x v="15"/>
    <n v="-6.57"/>
  </r>
  <r>
    <x v="0"/>
    <x v="0"/>
    <x v="0"/>
    <x v="13"/>
    <x v="13"/>
    <x v="0"/>
    <x v="16"/>
    <n v="-6.57"/>
  </r>
  <r>
    <x v="0"/>
    <x v="0"/>
    <x v="0"/>
    <x v="13"/>
    <x v="13"/>
    <x v="0"/>
    <x v="17"/>
    <n v="-6.57"/>
  </r>
  <r>
    <x v="0"/>
    <x v="0"/>
    <x v="0"/>
    <x v="13"/>
    <x v="13"/>
    <x v="0"/>
    <x v="18"/>
    <n v="-6.57"/>
  </r>
  <r>
    <x v="0"/>
    <x v="0"/>
    <x v="0"/>
    <x v="13"/>
    <x v="13"/>
    <x v="0"/>
    <x v="19"/>
    <n v="-6.57"/>
  </r>
  <r>
    <x v="0"/>
    <x v="0"/>
    <x v="0"/>
    <x v="13"/>
    <x v="13"/>
    <x v="0"/>
    <x v="20"/>
    <n v="-5.5122994137713199"/>
  </r>
  <r>
    <x v="0"/>
    <x v="0"/>
    <x v="0"/>
    <x v="13"/>
    <x v="13"/>
    <x v="0"/>
    <x v="21"/>
    <n v="-6.57"/>
  </r>
  <r>
    <x v="0"/>
    <x v="0"/>
    <x v="0"/>
    <x v="13"/>
    <x v="13"/>
    <x v="0"/>
    <x v="22"/>
    <n v="-4.6857516846139102"/>
  </r>
  <r>
    <x v="0"/>
    <x v="0"/>
    <x v="0"/>
    <x v="13"/>
    <x v="13"/>
    <x v="0"/>
    <x v="23"/>
    <n v="-2.8443411976808899"/>
  </r>
  <r>
    <x v="0"/>
    <x v="0"/>
    <x v="0"/>
    <x v="13"/>
    <x v="7"/>
    <x v="0"/>
    <x v="0"/>
    <n v="2.4166958590176901"/>
  </r>
  <r>
    <x v="0"/>
    <x v="0"/>
    <x v="0"/>
    <x v="13"/>
    <x v="7"/>
    <x v="0"/>
    <x v="1"/>
    <n v="2.9503821235552001"/>
  </r>
  <r>
    <x v="0"/>
    <x v="0"/>
    <x v="0"/>
    <x v="13"/>
    <x v="7"/>
    <x v="0"/>
    <x v="2"/>
    <n v="1.9316772982421699"/>
  </r>
  <r>
    <x v="0"/>
    <x v="0"/>
    <x v="0"/>
    <x v="13"/>
    <x v="7"/>
    <x v="0"/>
    <x v="3"/>
    <n v="2.6086188731525799"/>
  </r>
  <r>
    <x v="0"/>
    <x v="0"/>
    <x v="0"/>
    <x v="13"/>
    <x v="7"/>
    <x v="0"/>
    <x v="4"/>
    <n v="2.9179088105207098"/>
  </r>
  <r>
    <x v="0"/>
    <x v="0"/>
    <x v="0"/>
    <x v="13"/>
    <x v="7"/>
    <x v="0"/>
    <x v="5"/>
    <n v="2.7403386113450501"/>
  </r>
  <r>
    <x v="0"/>
    <x v="0"/>
    <x v="0"/>
    <x v="13"/>
    <x v="7"/>
    <x v="0"/>
    <x v="6"/>
    <n v="3.0263226621044099"/>
  </r>
  <r>
    <x v="0"/>
    <x v="0"/>
    <x v="0"/>
    <x v="13"/>
    <x v="7"/>
    <x v="0"/>
    <x v="7"/>
    <n v="3.7082656992473702"/>
  </r>
  <r>
    <x v="0"/>
    <x v="0"/>
    <x v="0"/>
    <x v="13"/>
    <x v="7"/>
    <x v="0"/>
    <x v="8"/>
    <n v="3.85993184474387"/>
  </r>
  <r>
    <x v="0"/>
    <x v="0"/>
    <x v="0"/>
    <x v="13"/>
    <x v="7"/>
    <x v="0"/>
    <x v="9"/>
    <n v="3.9017841847250798"/>
  </r>
  <r>
    <x v="0"/>
    <x v="0"/>
    <x v="0"/>
    <x v="13"/>
    <x v="7"/>
    <x v="0"/>
    <x v="10"/>
    <n v="3.8887848239510299"/>
  </r>
  <r>
    <x v="0"/>
    <x v="0"/>
    <x v="0"/>
    <x v="13"/>
    <x v="7"/>
    <x v="0"/>
    <x v="11"/>
    <n v="4.2286512630688797"/>
  </r>
  <r>
    <x v="0"/>
    <x v="0"/>
    <x v="0"/>
    <x v="13"/>
    <x v="7"/>
    <x v="0"/>
    <x v="12"/>
    <n v="4.1075700102635002"/>
  </r>
  <r>
    <x v="0"/>
    <x v="0"/>
    <x v="0"/>
    <x v="13"/>
    <x v="7"/>
    <x v="0"/>
    <x v="13"/>
    <n v="3.8454062262466602"/>
  </r>
  <r>
    <x v="0"/>
    <x v="0"/>
    <x v="0"/>
    <x v="13"/>
    <x v="7"/>
    <x v="0"/>
    <x v="14"/>
    <n v="4.1762021574503203"/>
  </r>
  <r>
    <x v="0"/>
    <x v="0"/>
    <x v="0"/>
    <x v="13"/>
    <x v="7"/>
    <x v="0"/>
    <x v="15"/>
    <n v="3.6568223498121499"/>
  </r>
  <r>
    <x v="0"/>
    <x v="0"/>
    <x v="0"/>
    <x v="13"/>
    <x v="7"/>
    <x v="0"/>
    <x v="16"/>
    <n v="3.8827573557590198"/>
  </r>
  <r>
    <x v="0"/>
    <x v="0"/>
    <x v="0"/>
    <x v="13"/>
    <x v="7"/>
    <x v="0"/>
    <x v="17"/>
    <n v="3.7479274448997399"/>
  </r>
  <r>
    <x v="0"/>
    <x v="0"/>
    <x v="0"/>
    <x v="13"/>
    <x v="7"/>
    <x v="0"/>
    <x v="18"/>
    <n v="4.1357487203552701"/>
  </r>
  <r>
    <x v="0"/>
    <x v="0"/>
    <x v="0"/>
    <x v="13"/>
    <x v="7"/>
    <x v="0"/>
    <x v="19"/>
    <n v="4.5749774898614497"/>
  </r>
  <r>
    <x v="0"/>
    <x v="0"/>
    <x v="0"/>
    <x v="13"/>
    <x v="7"/>
    <x v="0"/>
    <x v="20"/>
    <n v="4.1970184487410496"/>
  </r>
  <r>
    <x v="0"/>
    <x v="0"/>
    <x v="0"/>
    <x v="13"/>
    <x v="7"/>
    <x v="0"/>
    <x v="21"/>
    <n v="4.4334240930578197"/>
  </r>
  <r>
    <x v="0"/>
    <x v="0"/>
    <x v="0"/>
    <x v="13"/>
    <x v="7"/>
    <x v="0"/>
    <x v="22"/>
    <n v="3.7048516714525999"/>
  </r>
  <r>
    <x v="0"/>
    <x v="0"/>
    <x v="0"/>
    <x v="13"/>
    <x v="7"/>
    <x v="0"/>
    <x v="23"/>
    <n v="3.33881983595646"/>
  </r>
  <r>
    <x v="0"/>
    <x v="0"/>
    <x v="0"/>
    <x v="14"/>
    <x v="0"/>
    <x v="0"/>
    <x v="0"/>
    <n v="0.54900000000000004"/>
  </r>
  <r>
    <x v="0"/>
    <x v="0"/>
    <x v="0"/>
    <x v="14"/>
    <x v="0"/>
    <x v="0"/>
    <x v="1"/>
    <n v="0.54900000000000004"/>
  </r>
  <r>
    <x v="0"/>
    <x v="0"/>
    <x v="0"/>
    <x v="14"/>
    <x v="0"/>
    <x v="0"/>
    <x v="2"/>
    <n v="0.54900000000000004"/>
  </r>
  <r>
    <x v="0"/>
    <x v="0"/>
    <x v="0"/>
    <x v="14"/>
    <x v="0"/>
    <x v="0"/>
    <x v="3"/>
    <n v="0.54900000000000004"/>
  </r>
  <r>
    <x v="0"/>
    <x v="0"/>
    <x v="0"/>
    <x v="14"/>
    <x v="0"/>
    <x v="0"/>
    <x v="4"/>
    <n v="0.54900000000000004"/>
  </r>
  <r>
    <x v="0"/>
    <x v="0"/>
    <x v="0"/>
    <x v="14"/>
    <x v="0"/>
    <x v="0"/>
    <x v="5"/>
    <n v="0.54900000000000004"/>
  </r>
  <r>
    <x v="0"/>
    <x v="0"/>
    <x v="0"/>
    <x v="14"/>
    <x v="0"/>
    <x v="0"/>
    <x v="6"/>
    <n v="0.54900000000000004"/>
  </r>
  <r>
    <x v="0"/>
    <x v="0"/>
    <x v="0"/>
    <x v="14"/>
    <x v="0"/>
    <x v="0"/>
    <x v="7"/>
    <n v="0.54900000000000004"/>
  </r>
  <r>
    <x v="0"/>
    <x v="0"/>
    <x v="0"/>
    <x v="14"/>
    <x v="0"/>
    <x v="0"/>
    <x v="8"/>
    <n v="0.54900000000000004"/>
  </r>
  <r>
    <x v="0"/>
    <x v="0"/>
    <x v="0"/>
    <x v="14"/>
    <x v="0"/>
    <x v="0"/>
    <x v="9"/>
    <n v="0.54900000000000004"/>
  </r>
  <r>
    <x v="0"/>
    <x v="0"/>
    <x v="0"/>
    <x v="14"/>
    <x v="0"/>
    <x v="0"/>
    <x v="10"/>
    <n v="0.54900000000000004"/>
  </r>
  <r>
    <x v="0"/>
    <x v="0"/>
    <x v="0"/>
    <x v="14"/>
    <x v="0"/>
    <x v="0"/>
    <x v="11"/>
    <n v="0.54900000000000004"/>
  </r>
  <r>
    <x v="0"/>
    <x v="0"/>
    <x v="0"/>
    <x v="14"/>
    <x v="0"/>
    <x v="0"/>
    <x v="12"/>
    <n v="0.54900000000000004"/>
  </r>
  <r>
    <x v="0"/>
    <x v="0"/>
    <x v="0"/>
    <x v="14"/>
    <x v="0"/>
    <x v="0"/>
    <x v="13"/>
    <n v="0.54900000000000004"/>
  </r>
  <r>
    <x v="0"/>
    <x v="0"/>
    <x v="0"/>
    <x v="14"/>
    <x v="0"/>
    <x v="0"/>
    <x v="14"/>
    <n v="0.54900000000000004"/>
  </r>
  <r>
    <x v="0"/>
    <x v="0"/>
    <x v="0"/>
    <x v="14"/>
    <x v="0"/>
    <x v="0"/>
    <x v="15"/>
    <n v="0.54900000000000004"/>
  </r>
  <r>
    <x v="0"/>
    <x v="0"/>
    <x v="0"/>
    <x v="14"/>
    <x v="0"/>
    <x v="0"/>
    <x v="16"/>
    <n v="0.54900000000000004"/>
  </r>
  <r>
    <x v="0"/>
    <x v="0"/>
    <x v="0"/>
    <x v="14"/>
    <x v="0"/>
    <x v="0"/>
    <x v="17"/>
    <n v="0.54900000000000004"/>
  </r>
  <r>
    <x v="0"/>
    <x v="0"/>
    <x v="0"/>
    <x v="14"/>
    <x v="0"/>
    <x v="0"/>
    <x v="18"/>
    <n v="0.54900000000000004"/>
  </r>
  <r>
    <x v="0"/>
    <x v="0"/>
    <x v="0"/>
    <x v="14"/>
    <x v="0"/>
    <x v="0"/>
    <x v="19"/>
    <n v="0.54900000000000004"/>
  </r>
  <r>
    <x v="0"/>
    <x v="0"/>
    <x v="0"/>
    <x v="14"/>
    <x v="0"/>
    <x v="0"/>
    <x v="20"/>
    <n v="0.54900000000000004"/>
  </r>
  <r>
    <x v="0"/>
    <x v="0"/>
    <x v="0"/>
    <x v="14"/>
    <x v="0"/>
    <x v="0"/>
    <x v="21"/>
    <n v="0.54900000000000004"/>
  </r>
  <r>
    <x v="0"/>
    <x v="0"/>
    <x v="0"/>
    <x v="14"/>
    <x v="0"/>
    <x v="0"/>
    <x v="22"/>
    <n v="0.54900000000000004"/>
  </r>
  <r>
    <x v="0"/>
    <x v="0"/>
    <x v="0"/>
    <x v="14"/>
    <x v="0"/>
    <x v="0"/>
    <x v="23"/>
    <n v="0.54900000000000004"/>
  </r>
  <r>
    <x v="0"/>
    <x v="0"/>
    <x v="0"/>
    <x v="14"/>
    <x v="3"/>
    <x v="0"/>
    <x v="0"/>
    <n v="0"/>
  </r>
  <r>
    <x v="0"/>
    <x v="0"/>
    <x v="0"/>
    <x v="14"/>
    <x v="3"/>
    <x v="0"/>
    <x v="1"/>
    <n v="0.56279513185427099"/>
  </r>
  <r>
    <x v="0"/>
    <x v="0"/>
    <x v="0"/>
    <x v="14"/>
    <x v="3"/>
    <x v="0"/>
    <x v="2"/>
    <n v="4.6994491240414098E-2"/>
  </r>
  <r>
    <x v="0"/>
    <x v="0"/>
    <x v="0"/>
    <x v="14"/>
    <x v="3"/>
    <x v="0"/>
    <x v="3"/>
    <n v="0.30941970348393999"/>
  </r>
  <r>
    <x v="0"/>
    <x v="0"/>
    <x v="0"/>
    <x v="14"/>
    <x v="3"/>
    <x v="0"/>
    <x v="4"/>
    <n v="0.531468729710739"/>
  </r>
  <r>
    <x v="0"/>
    <x v="0"/>
    <x v="0"/>
    <x v="14"/>
    <x v="3"/>
    <x v="0"/>
    <x v="5"/>
    <n v="0.21852493432199099"/>
  </r>
  <r>
    <x v="0"/>
    <x v="0"/>
    <x v="0"/>
    <x v="14"/>
    <x v="3"/>
    <x v="0"/>
    <x v="6"/>
    <n v="0.59691711058289498"/>
  </r>
  <r>
    <x v="0"/>
    <x v="0"/>
    <x v="0"/>
    <x v="14"/>
    <x v="3"/>
    <x v="0"/>
    <x v="7"/>
    <n v="0.90751291555872504"/>
  </r>
  <r>
    <x v="0"/>
    <x v="0"/>
    <x v="0"/>
    <x v="14"/>
    <x v="3"/>
    <x v="0"/>
    <x v="8"/>
    <n v="0.943420597798306"/>
  </r>
  <r>
    <x v="0"/>
    <x v="0"/>
    <x v="0"/>
    <x v="14"/>
    <x v="3"/>
    <x v="0"/>
    <x v="9"/>
    <n v="0.92479233202076405"/>
  </r>
  <r>
    <x v="0"/>
    <x v="0"/>
    <x v="0"/>
    <x v="14"/>
    <x v="3"/>
    <x v="0"/>
    <x v="10"/>
    <n v="0.90884786069595003"/>
  </r>
  <r>
    <x v="0"/>
    <x v="0"/>
    <x v="0"/>
    <x v="14"/>
    <x v="3"/>
    <x v="0"/>
    <x v="11"/>
    <n v="0.93154195227639502"/>
  </r>
  <r>
    <x v="0"/>
    <x v="0"/>
    <x v="0"/>
    <x v="14"/>
    <x v="3"/>
    <x v="0"/>
    <x v="12"/>
    <n v="0.96668013838558597"/>
  </r>
  <r>
    <x v="0"/>
    <x v="0"/>
    <x v="0"/>
    <x v="14"/>
    <x v="3"/>
    <x v="0"/>
    <x v="13"/>
    <n v="1.01154956369416"/>
  </r>
  <r>
    <x v="0"/>
    <x v="0"/>
    <x v="0"/>
    <x v="14"/>
    <x v="3"/>
    <x v="0"/>
    <x v="14"/>
    <n v="1.04260161802408"/>
  </r>
  <r>
    <x v="0"/>
    <x v="0"/>
    <x v="0"/>
    <x v="14"/>
    <x v="3"/>
    <x v="0"/>
    <x v="15"/>
    <n v="0.95917578641494505"/>
  </r>
  <r>
    <x v="0"/>
    <x v="0"/>
    <x v="0"/>
    <x v="14"/>
    <x v="3"/>
    <x v="0"/>
    <x v="16"/>
    <n v="0.93061963058096098"/>
  </r>
  <r>
    <x v="0"/>
    <x v="0"/>
    <x v="0"/>
    <x v="14"/>
    <x v="3"/>
    <x v="0"/>
    <x v="17"/>
    <n v="1.0861939184473901"/>
  </r>
  <r>
    <x v="0"/>
    <x v="0"/>
    <x v="0"/>
    <x v="14"/>
    <x v="3"/>
    <x v="0"/>
    <x v="18"/>
    <n v="1.17"/>
  </r>
  <r>
    <x v="0"/>
    <x v="0"/>
    <x v="0"/>
    <x v="14"/>
    <x v="3"/>
    <x v="0"/>
    <x v="19"/>
    <n v="1.17"/>
  </r>
  <r>
    <x v="0"/>
    <x v="0"/>
    <x v="0"/>
    <x v="14"/>
    <x v="3"/>
    <x v="0"/>
    <x v="20"/>
    <n v="1.17"/>
  </r>
  <r>
    <x v="0"/>
    <x v="0"/>
    <x v="0"/>
    <x v="14"/>
    <x v="3"/>
    <x v="0"/>
    <x v="21"/>
    <n v="1.1307240176659099"/>
  </r>
  <r>
    <x v="0"/>
    <x v="0"/>
    <x v="0"/>
    <x v="14"/>
    <x v="3"/>
    <x v="0"/>
    <x v="22"/>
    <n v="0.96565269123552699"/>
  </r>
  <r>
    <x v="0"/>
    <x v="0"/>
    <x v="0"/>
    <x v="14"/>
    <x v="3"/>
    <x v="0"/>
    <x v="23"/>
    <n v="0.79918089187949504"/>
  </r>
  <r>
    <x v="0"/>
    <x v="0"/>
    <x v="0"/>
    <x v="14"/>
    <x v="8"/>
    <x v="0"/>
    <x v="0"/>
    <n v="-2.4166958590176901"/>
  </r>
  <r>
    <x v="0"/>
    <x v="0"/>
    <x v="0"/>
    <x v="14"/>
    <x v="8"/>
    <x v="0"/>
    <x v="1"/>
    <n v="-2.9503821235552001"/>
  </r>
  <r>
    <x v="0"/>
    <x v="0"/>
    <x v="0"/>
    <x v="14"/>
    <x v="8"/>
    <x v="0"/>
    <x v="2"/>
    <n v="-1.9316772982421699"/>
  </r>
  <r>
    <x v="0"/>
    <x v="0"/>
    <x v="0"/>
    <x v="14"/>
    <x v="8"/>
    <x v="0"/>
    <x v="3"/>
    <n v="-2.6086188731525799"/>
  </r>
  <r>
    <x v="0"/>
    <x v="0"/>
    <x v="0"/>
    <x v="14"/>
    <x v="8"/>
    <x v="0"/>
    <x v="4"/>
    <n v="-2.9179088105207098"/>
  </r>
  <r>
    <x v="0"/>
    <x v="0"/>
    <x v="0"/>
    <x v="14"/>
    <x v="8"/>
    <x v="0"/>
    <x v="5"/>
    <n v="-2.7403386113450501"/>
  </r>
  <r>
    <x v="0"/>
    <x v="0"/>
    <x v="0"/>
    <x v="14"/>
    <x v="8"/>
    <x v="0"/>
    <x v="6"/>
    <n v="-3.0263226621044099"/>
  </r>
  <r>
    <x v="0"/>
    <x v="0"/>
    <x v="0"/>
    <x v="14"/>
    <x v="8"/>
    <x v="0"/>
    <x v="7"/>
    <n v="-3.7082656992473702"/>
  </r>
  <r>
    <x v="0"/>
    <x v="0"/>
    <x v="0"/>
    <x v="14"/>
    <x v="8"/>
    <x v="0"/>
    <x v="8"/>
    <n v="-3.85993184474387"/>
  </r>
  <r>
    <x v="0"/>
    <x v="0"/>
    <x v="0"/>
    <x v="14"/>
    <x v="8"/>
    <x v="0"/>
    <x v="9"/>
    <n v="-3.9017841847250798"/>
  </r>
  <r>
    <x v="0"/>
    <x v="0"/>
    <x v="0"/>
    <x v="14"/>
    <x v="8"/>
    <x v="0"/>
    <x v="10"/>
    <n v="-3.8887848239510299"/>
  </r>
  <r>
    <x v="0"/>
    <x v="0"/>
    <x v="0"/>
    <x v="14"/>
    <x v="8"/>
    <x v="0"/>
    <x v="11"/>
    <n v="-4.2286512630688797"/>
  </r>
  <r>
    <x v="0"/>
    <x v="0"/>
    <x v="0"/>
    <x v="14"/>
    <x v="8"/>
    <x v="0"/>
    <x v="12"/>
    <n v="-4.1075700102635002"/>
  </r>
  <r>
    <x v="0"/>
    <x v="0"/>
    <x v="0"/>
    <x v="14"/>
    <x v="8"/>
    <x v="0"/>
    <x v="13"/>
    <n v="-3.8454062262466602"/>
  </r>
  <r>
    <x v="0"/>
    <x v="0"/>
    <x v="0"/>
    <x v="14"/>
    <x v="8"/>
    <x v="0"/>
    <x v="14"/>
    <n v="-4.1762021574503203"/>
  </r>
  <r>
    <x v="0"/>
    <x v="0"/>
    <x v="0"/>
    <x v="14"/>
    <x v="8"/>
    <x v="0"/>
    <x v="15"/>
    <n v="-3.6568223498121499"/>
  </r>
  <r>
    <x v="0"/>
    <x v="0"/>
    <x v="0"/>
    <x v="14"/>
    <x v="8"/>
    <x v="0"/>
    <x v="16"/>
    <n v="-3.8827573557590198"/>
  </r>
  <r>
    <x v="0"/>
    <x v="0"/>
    <x v="0"/>
    <x v="14"/>
    <x v="8"/>
    <x v="0"/>
    <x v="17"/>
    <n v="-3.7479274448997399"/>
  </r>
  <r>
    <x v="0"/>
    <x v="0"/>
    <x v="0"/>
    <x v="14"/>
    <x v="8"/>
    <x v="0"/>
    <x v="18"/>
    <n v="-4.1357487203552701"/>
  </r>
  <r>
    <x v="0"/>
    <x v="0"/>
    <x v="0"/>
    <x v="14"/>
    <x v="8"/>
    <x v="0"/>
    <x v="19"/>
    <n v="-4.5749774898614497"/>
  </r>
  <r>
    <x v="0"/>
    <x v="0"/>
    <x v="0"/>
    <x v="14"/>
    <x v="8"/>
    <x v="0"/>
    <x v="20"/>
    <n v="-4.1970184487410496"/>
  </r>
  <r>
    <x v="0"/>
    <x v="0"/>
    <x v="0"/>
    <x v="14"/>
    <x v="8"/>
    <x v="0"/>
    <x v="21"/>
    <n v="-4.4334240930578197"/>
  </r>
  <r>
    <x v="0"/>
    <x v="0"/>
    <x v="0"/>
    <x v="14"/>
    <x v="8"/>
    <x v="0"/>
    <x v="22"/>
    <n v="-3.7048516714525999"/>
  </r>
  <r>
    <x v="0"/>
    <x v="0"/>
    <x v="0"/>
    <x v="14"/>
    <x v="8"/>
    <x v="0"/>
    <x v="23"/>
    <n v="-3.33881983595646"/>
  </r>
  <r>
    <x v="0"/>
    <x v="0"/>
    <x v="1"/>
    <x v="0"/>
    <x v="0"/>
    <x v="0"/>
    <x v="0"/>
    <n v="-5.6042198840660902"/>
  </r>
  <r>
    <x v="0"/>
    <x v="0"/>
    <x v="1"/>
    <x v="0"/>
    <x v="0"/>
    <x v="0"/>
    <x v="1"/>
    <n v="-5.6042198840660902"/>
  </r>
  <r>
    <x v="0"/>
    <x v="0"/>
    <x v="1"/>
    <x v="0"/>
    <x v="0"/>
    <x v="0"/>
    <x v="2"/>
    <n v="-5.6042198840660902"/>
  </r>
  <r>
    <x v="0"/>
    <x v="0"/>
    <x v="1"/>
    <x v="0"/>
    <x v="0"/>
    <x v="0"/>
    <x v="3"/>
    <n v="-5.6042198840660902"/>
  </r>
  <r>
    <x v="0"/>
    <x v="0"/>
    <x v="1"/>
    <x v="0"/>
    <x v="0"/>
    <x v="0"/>
    <x v="4"/>
    <n v="-5.6042198840660902"/>
  </r>
  <r>
    <x v="0"/>
    <x v="0"/>
    <x v="1"/>
    <x v="0"/>
    <x v="0"/>
    <x v="0"/>
    <x v="5"/>
    <n v="-5.6042198840660902"/>
  </r>
  <r>
    <x v="0"/>
    <x v="0"/>
    <x v="1"/>
    <x v="0"/>
    <x v="0"/>
    <x v="0"/>
    <x v="6"/>
    <n v="-5.6042198840660902"/>
  </r>
  <r>
    <x v="0"/>
    <x v="0"/>
    <x v="1"/>
    <x v="0"/>
    <x v="0"/>
    <x v="0"/>
    <x v="7"/>
    <n v="-5.6042198840660902"/>
  </r>
  <r>
    <x v="0"/>
    <x v="0"/>
    <x v="1"/>
    <x v="0"/>
    <x v="0"/>
    <x v="0"/>
    <x v="8"/>
    <n v="-5.6042198840660902"/>
  </r>
  <r>
    <x v="0"/>
    <x v="0"/>
    <x v="1"/>
    <x v="0"/>
    <x v="0"/>
    <x v="0"/>
    <x v="9"/>
    <n v="-5.6042198840660902"/>
  </r>
  <r>
    <x v="0"/>
    <x v="0"/>
    <x v="1"/>
    <x v="0"/>
    <x v="0"/>
    <x v="0"/>
    <x v="10"/>
    <n v="-5.6042198840660902"/>
  </r>
  <r>
    <x v="0"/>
    <x v="0"/>
    <x v="1"/>
    <x v="0"/>
    <x v="0"/>
    <x v="0"/>
    <x v="11"/>
    <n v="-5.6042198840660902"/>
  </r>
  <r>
    <x v="0"/>
    <x v="0"/>
    <x v="1"/>
    <x v="0"/>
    <x v="0"/>
    <x v="0"/>
    <x v="12"/>
    <n v="-5.6042198840660902"/>
  </r>
  <r>
    <x v="0"/>
    <x v="0"/>
    <x v="1"/>
    <x v="0"/>
    <x v="0"/>
    <x v="0"/>
    <x v="13"/>
    <n v="-5.6042198840660902"/>
  </r>
  <r>
    <x v="0"/>
    <x v="0"/>
    <x v="1"/>
    <x v="0"/>
    <x v="0"/>
    <x v="0"/>
    <x v="14"/>
    <n v="-5.6042198840660902"/>
  </r>
  <r>
    <x v="0"/>
    <x v="0"/>
    <x v="1"/>
    <x v="0"/>
    <x v="0"/>
    <x v="0"/>
    <x v="15"/>
    <n v="-5.6042198840660902"/>
  </r>
  <r>
    <x v="0"/>
    <x v="0"/>
    <x v="1"/>
    <x v="0"/>
    <x v="0"/>
    <x v="0"/>
    <x v="16"/>
    <n v="-5.6042198840660902"/>
  </r>
  <r>
    <x v="0"/>
    <x v="0"/>
    <x v="1"/>
    <x v="0"/>
    <x v="0"/>
    <x v="0"/>
    <x v="17"/>
    <n v="-5.08697022088176"/>
  </r>
  <r>
    <x v="0"/>
    <x v="0"/>
    <x v="1"/>
    <x v="0"/>
    <x v="0"/>
    <x v="0"/>
    <x v="18"/>
    <n v="-3.9131315525302699"/>
  </r>
  <r>
    <x v="0"/>
    <x v="0"/>
    <x v="1"/>
    <x v="0"/>
    <x v="0"/>
    <x v="0"/>
    <x v="19"/>
    <n v="-3.6531383892143698"/>
  </r>
  <r>
    <x v="0"/>
    <x v="0"/>
    <x v="1"/>
    <x v="0"/>
    <x v="0"/>
    <x v="0"/>
    <x v="20"/>
    <n v="-4.1071685715415702"/>
  </r>
  <r>
    <x v="0"/>
    <x v="0"/>
    <x v="1"/>
    <x v="0"/>
    <x v="0"/>
    <x v="0"/>
    <x v="21"/>
    <n v="-4.83683657930177"/>
  </r>
  <r>
    <x v="0"/>
    <x v="0"/>
    <x v="1"/>
    <x v="0"/>
    <x v="0"/>
    <x v="0"/>
    <x v="22"/>
    <n v="-5.5617116906017001"/>
  </r>
  <r>
    <x v="0"/>
    <x v="0"/>
    <x v="1"/>
    <x v="0"/>
    <x v="0"/>
    <x v="0"/>
    <x v="23"/>
    <n v="-5.6042198840660902"/>
  </r>
  <r>
    <x v="0"/>
    <x v="0"/>
    <x v="1"/>
    <x v="0"/>
    <x v="1"/>
    <x v="0"/>
    <x v="0"/>
    <n v="2.7090000000000001"/>
  </r>
  <r>
    <x v="0"/>
    <x v="0"/>
    <x v="1"/>
    <x v="0"/>
    <x v="1"/>
    <x v="0"/>
    <x v="1"/>
    <n v="2.7090000000000001"/>
  </r>
  <r>
    <x v="0"/>
    <x v="0"/>
    <x v="1"/>
    <x v="0"/>
    <x v="1"/>
    <x v="0"/>
    <x v="2"/>
    <n v="2.7090000000000001"/>
  </r>
  <r>
    <x v="0"/>
    <x v="0"/>
    <x v="1"/>
    <x v="0"/>
    <x v="1"/>
    <x v="0"/>
    <x v="3"/>
    <n v="2.7090000000000001"/>
  </r>
  <r>
    <x v="0"/>
    <x v="0"/>
    <x v="1"/>
    <x v="0"/>
    <x v="1"/>
    <x v="0"/>
    <x v="4"/>
    <n v="2.7090000000000001"/>
  </r>
  <r>
    <x v="0"/>
    <x v="0"/>
    <x v="1"/>
    <x v="0"/>
    <x v="1"/>
    <x v="0"/>
    <x v="5"/>
    <n v="2.7090000000000001"/>
  </r>
  <r>
    <x v="0"/>
    <x v="0"/>
    <x v="1"/>
    <x v="0"/>
    <x v="1"/>
    <x v="0"/>
    <x v="6"/>
    <n v="2.7090000000000001"/>
  </r>
  <r>
    <x v="0"/>
    <x v="0"/>
    <x v="1"/>
    <x v="0"/>
    <x v="1"/>
    <x v="0"/>
    <x v="7"/>
    <n v="2.7090000000000001"/>
  </r>
  <r>
    <x v="0"/>
    <x v="0"/>
    <x v="1"/>
    <x v="0"/>
    <x v="1"/>
    <x v="0"/>
    <x v="8"/>
    <n v="2.7090000000000001"/>
  </r>
  <r>
    <x v="0"/>
    <x v="0"/>
    <x v="1"/>
    <x v="0"/>
    <x v="1"/>
    <x v="0"/>
    <x v="9"/>
    <n v="2.7090000000000001"/>
  </r>
  <r>
    <x v="0"/>
    <x v="0"/>
    <x v="1"/>
    <x v="0"/>
    <x v="1"/>
    <x v="0"/>
    <x v="10"/>
    <n v="2.7090000000000001"/>
  </r>
  <r>
    <x v="0"/>
    <x v="0"/>
    <x v="1"/>
    <x v="0"/>
    <x v="1"/>
    <x v="0"/>
    <x v="11"/>
    <n v="2.7090000000000001"/>
  </r>
  <r>
    <x v="0"/>
    <x v="0"/>
    <x v="1"/>
    <x v="0"/>
    <x v="1"/>
    <x v="0"/>
    <x v="12"/>
    <n v="2.7090000000000001"/>
  </r>
  <r>
    <x v="0"/>
    <x v="0"/>
    <x v="1"/>
    <x v="0"/>
    <x v="1"/>
    <x v="0"/>
    <x v="13"/>
    <n v="2.7090000000000001"/>
  </r>
  <r>
    <x v="0"/>
    <x v="0"/>
    <x v="1"/>
    <x v="0"/>
    <x v="1"/>
    <x v="0"/>
    <x v="14"/>
    <n v="2.7090000000000001"/>
  </r>
  <r>
    <x v="0"/>
    <x v="0"/>
    <x v="1"/>
    <x v="0"/>
    <x v="1"/>
    <x v="0"/>
    <x v="15"/>
    <n v="2.7090000000000001"/>
  </r>
  <r>
    <x v="0"/>
    <x v="0"/>
    <x v="1"/>
    <x v="0"/>
    <x v="1"/>
    <x v="0"/>
    <x v="16"/>
    <n v="2.7090000000000001"/>
  </r>
  <r>
    <x v="0"/>
    <x v="0"/>
    <x v="1"/>
    <x v="0"/>
    <x v="1"/>
    <x v="0"/>
    <x v="17"/>
    <n v="2.7090000000000001"/>
  </r>
  <r>
    <x v="0"/>
    <x v="0"/>
    <x v="1"/>
    <x v="0"/>
    <x v="1"/>
    <x v="0"/>
    <x v="18"/>
    <n v="2.7090000000000001"/>
  </r>
  <r>
    <x v="0"/>
    <x v="0"/>
    <x v="1"/>
    <x v="0"/>
    <x v="1"/>
    <x v="0"/>
    <x v="19"/>
    <n v="2.7090000000000001"/>
  </r>
  <r>
    <x v="0"/>
    <x v="0"/>
    <x v="1"/>
    <x v="0"/>
    <x v="1"/>
    <x v="0"/>
    <x v="20"/>
    <n v="2.7090000000000001"/>
  </r>
  <r>
    <x v="0"/>
    <x v="0"/>
    <x v="1"/>
    <x v="0"/>
    <x v="1"/>
    <x v="0"/>
    <x v="21"/>
    <n v="2.7090000000000001"/>
  </r>
  <r>
    <x v="0"/>
    <x v="0"/>
    <x v="1"/>
    <x v="0"/>
    <x v="1"/>
    <x v="0"/>
    <x v="22"/>
    <n v="2.7090000000000001"/>
  </r>
  <r>
    <x v="0"/>
    <x v="0"/>
    <x v="1"/>
    <x v="0"/>
    <x v="1"/>
    <x v="0"/>
    <x v="23"/>
    <n v="2.7090000000000001"/>
  </r>
  <r>
    <x v="0"/>
    <x v="0"/>
    <x v="1"/>
    <x v="0"/>
    <x v="2"/>
    <x v="0"/>
    <x v="0"/>
    <n v="0"/>
  </r>
  <r>
    <x v="0"/>
    <x v="0"/>
    <x v="1"/>
    <x v="0"/>
    <x v="2"/>
    <x v="0"/>
    <x v="1"/>
    <n v="0"/>
  </r>
  <r>
    <x v="0"/>
    <x v="0"/>
    <x v="1"/>
    <x v="0"/>
    <x v="2"/>
    <x v="0"/>
    <x v="2"/>
    <n v="0"/>
  </r>
  <r>
    <x v="0"/>
    <x v="0"/>
    <x v="1"/>
    <x v="0"/>
    <x v="2"/>
    <x v="0"/>
    <x v="3"/>
    <n v="0"/>
  </r>
  <r>
    <x v="0"/>
    <x v="0"/>
    <x v="1"/>
    <x v="0"/>
    <x v="2"/>
    <x v="0"/>
    <x v="4"/>
    <n v="0"/>
  </r>
  <r>
    <x v="0"/>
    <x v="0"/>
    <x v="1"/>
    <x v="0"/>
    <x v="2"/>
    <x v="0"/>
    <x v="5"/>
    <n v="0"/>
  </r>
  <r>
    <x v="0"/>
    <x v="0"/>
    <x v="1"/>
    <x v="0"/>
    <x v="2"/>
    <x v="0"/>
    <x v="6"/>
    <n v="0"/>
  </r>
  <r>
    <x v="0"/>
    <x v="0"/>
    <x v="1"/>
    <x v="0"/>
    <x v="2"/>
    <x v="0"/>
    <x v="7"/>
    <n v="0"/>
  </r>
  <r>
    <x v="0"/>
    <x v="0"/>
    <x v="1"/>
    <x v="0"/>
    <x v="2"/>
    <x v="0"/>
    <x v="8"/>
    <n v="0"/>
  </r>
  <r>
    <x v="0"/>
    <x v="0"/>
    <x v="1"/>
    <x v="0"/>
    <x v="2"/>
    <x v="0"/>
    <x v="9"/>
    <n v="0"/>
  </r>
  <r>
    <x v="0"/>
    <x v="0"/>
    <x v="1"/>
    <x v="0"/>
    <x v="2"/>
    <x v="0"/>
    <x v="10"/>
    <n v="0"/>
  </r>
  <r>
    <x v="0"/>
    <x v="0"/>
    <x v="1"/>
    <x v="0"/>
    <x v="2"/>
    <x v="0"/>
    <x v="11"/>
    <n v="0"/>
  </r>
  <r>
    <x v="0"/>
    <x v="0"/>
    <x v="1"/>
    <x v="0"/>
    <x v="2"/>
    <x v="0"/>
    <x v="12"/>
    <n v="0"/>
  </r>
  <r>
    <x v="0"/>
    <x v="0"/>
    <x v="1"/>
    <x v="0"/>
    <x v="2"/>
    <x v="0"/>
    <x v="13"/>
    <n v="0"/>
  </r>
  <r>
    <x v="0"/>
    <x v="0"/>
    <x v="1"/>
    <x v="0"/>
    <x v="2"/>
    <x v="0"/>
    <x v="14"/>
    <n v="0"/>
  </r>
  <r>
    <x v="0"/>
    <x v="0"/>
    <x v="1"/>
    <x v="0"/>
    <x v="2"/>
    <x v="0"/>
    <x v="15"/>
    <n v="0"/>
  </r>
  <r>
    <x v="0"/>
    <x v="0"/>
    <x v="1"/>
    <x v="0"/>
    <x v="2"/>
    <x v="0"/>
    <x v="16"/>
    <n v="0"/>
  </r>
  <r>
    <x v="0"/>
    <x v="0"/>
    <x v="1"/>
    <x v="0"/>
    <x v="2"/>
    <x v="0"/>
    <x v="17"/>
    <n v="0"/>
  </r>
  <r>
    <x v="0"/>
    <x v="0"/>
    <x v="1"/>
    <x v="0"/>
    <x v="2"/>
    <x v="0"/>
    <x v="18"/>
    <n v="0"/>
  </r>
  <r>
    <x v="0"/>
    <x v="0"/>
    <x v="1"/>
    <x v="0"/>
    <x v="2"/>
    <x v="0"/>
    <x v="19"/>
    <n v="0"/>
  </r>
  <r>
    <x v="0"/>
    <x v="0"/>
    <x v="1"/>
    <x v="0"/>
    <x v="2"/>
    <x v="0"/>
    <x v="20"/>
    <n v="0"/>
  </r>
  <r>
    <x v="0"/>
    <x v="0"/>
    <x v="1"/>
    <x v="0"/>
    <x v="2"/>
    <x v="0"/>
    <x v="21"/>
    <n v="0"/>
  </r>
  <r>
    <x v="0"/>
    <x v="0"/>
    <x v="1"/>
    <x v="0"/>
    <x v="2"/>
    <x v="0"/>
    <x v="22"/>
    <n v="0"/>
  </r>
  <r>
    <x v="0"/>
    <x v="0"/>
    <x v="1"/>
    <x v="0"/>
    <x v="2"/>
    <x v="0"/>
    <x v="23"/>
    <n v="0"/>
  </r>
  <r>
    <x v="0"/>
    <x v="0"/>
    <x v="1"/>
    <x v="0"/>
    <x v="3"/>
    <x v="0"/>
    <x v="0"/>
    <n v="-0.52649999999999997"/>
  </r>
  <r>
    <x v="0"/>
    <x v="0"/>
    <x v="1"/>
    <x v="0"/>
    <x v="3"/>
    <x v="0"/>
    <x v="1"/>
    <n v="-0.52649999999999997"/>
  </r>
  <r>
    <x v="0"/>
    <x v="0"/>
    <x v="1"/>
    <x v="0"/>
    <x v="3"/>
    <x v="0"/>
    <x v="2"/>
    <n v="-0.52649999999999997"/>
  </r>
  <r>
    <x v="0"/>
    <x v="0"/>
    <x v="1"/>
    <x v="0"/>
    <x v="3"/>
    <x v="0"/>
    <x v="3"/>
    <n v="-0.52649999999999997"/>
  </r>
  <r>
    <x v="0"/>
    <x v="0"/>
    <x v="1"/>
    <x v="0"/>
    <x v="3"/>
    <x v="0"/>
    <x v="4"/>
    <n v="-0.52649999999999997"/>
  </r>
  <r>
    <x v="0"/>
    <x v="0"/>
    <x v="1"/>
    <x v="0"/>
    <x v="3"/>
    <x v="0"/>
    <x v="5"/>
    <n v="-0.52649999999999997"/>
  </r>
  <r>
    <x v="0"/>
    <x v="0"/>
    <x v="1"/>
    <x v="0"/>
    <x v="3"/>
    <x v="0"/>
    <x v="6"/>
    <n v="-0.52649999999999997"/>
  </r>
  <r>
    <x v="0"/>
    <x v="0"/>
    <x v="1"/>
    <x v="0"/>
    <x v="3"/>
    <x v="0"/>
    <x v="7"/>
    <n v="-0.52649999999999997"/>
  </r>
  <r>
    <x v="0"/>
    <x v="0"/>
    <x v="1"/>
    <x v="0"/>
    <x v="3"/>
    <x v="0"/>
    <x v="8"/>
    <n v="-0.52649999999999997"/>
  </r>
  <r>
    <x v="0"/>
    <x v="0"/>
    <x v="1"/>
    <x v="0"/>
    <x v="3"/>
    <x v="0"/>
    <x v="9"/>
    <n v="-0.52649999999999997"/>
  </r>
  <r>
    <x v="0"/>
    <x v="0"/>
    <x v="1"/>
    <x v="0"/>
    <x v="3"/>
    <x v="0"/>
    <x v="10"/>
    <n v="-0.52649999999999997"/>
  </r>
  <r>
    <x v="0"/>
    <x v="0"/>
    <x v="1"/>
    <x v="0"/>
    <x v="3"/>
    <x v="0"/>
    <x v="11"/>
    <n v="-0.52649999999999997"/>
  </r>
  <r>
    <x v="0"/>
    <x v="0"/>
    <x v="1"/>
    <x v="0"/>
    <x v="3"/>
    <x v="0"/>
    <x v="12"/>
    <n v="-0.52649999999999997"/>
  </r>
  <r>
    <x v="0"/>
    <x v="0"/>
    <x v="1"/>
    <x v="0"/>
    <x v="3"/>
    <x v="0"/>
    <x v="13"/>
    <n v="-0.52649999999999997"/>
  </r>
  <r>
    <x v="0"/>
    <x v="0"/>
    <x v="1"/>
    <x v="0"/>
    <x v="3"/>
    <x v="0"/>
    <x v="14"/>
    <n v="-0.52649999999999997"/>
  </r>
  <r>
    <x v="0"/>
    <x v="0"/>
    <x v="1"/>
    <x v="0"/>
    <x v="3"/>
    <x v="0"/>
    <x v="15"/>
    <n v="-0.52649999999999997"/>
  </r>
  <r>
    <x v="0"/>
    <x v="0"/>
    <x v="1"/>
    <x v="0"/>
    <x v="3"/>
    <x v="0"/>
    <x v="16"/>
    <n v="-0.52649999999999997"/>
  </r>
  <r>
    <x v="0"/>
    <x v="0"/>
    <x v="1"/>
    <x v="0"/>
    <x v="3"/>
    <x v="0"/>
    <x v="17"/>
    <n v="-0.52649999999999997"/>
  </r>
  <r>
    <x v="0"/>
    <x v="0"/>
    <x v="1"/>
    <x v="0"/>
    <x v="3"/>
    <x v="0"/>
    <x v="18"/>
    <n v="-0.52649999999999997"/>
  </r>
  <r>
    <x v="0"/>
    <x v="0"/>
    <x v="1"/>
    <x v="0"/>
    <x v="3"/>
    <x v="0"/>
    <x v="19"/>
    <n v="-0.52649999999999997"/>
  </r>
  <r>
    <x v="0"/>
    <x v="0"/>
    <x v="1"/>
    <x v="0"/>
    <x v="3"/>
    <x v="0"/>
    <x v="20"/>
    <n v="-0.52649999999999997"/>
  </r>
  <r>
    <x v="0"/>
    <x v="0"/>
    <x v="1"/>
    <x v="0"/>
    <x v="3"/>
    <x v="0"/>
    <x v="21"/>
    <n v="-0.52649999999999997"/>
  </r>
  <r>
    <x v="0"/>
    <x v="0"/>
    <x v="1"/>
    <x v="0"/>
    <x v="3"/>
    <x v="0"/>
    <x v="22"/>
    <n v="-0.52649999999999997"/>
  </r>
  <r>
    <x v="0"/>
    <x v="0"/>
    <x v="1"/>
    <x v="0"/>
    <x v="3"/>
    <x v="0"/>
    <x v="23"/>
    <n v="-0.52649999999999997"/>
  </r>
  <r>
    <x v="0"/>
    <x v="0"/>
    <x v="1"/>
    <x v="1"/>
    <x v="4"/>
    <x v="0"/>
    <x v="0"/>
    <n v="5.6042198840660902"/>
  </r>
  <r>
    <x v="0"/>
    <x v="0"/>
    <x v="1"/>
    <x v="1"/>
    <x v="4"/>
    <x v="0"/>
    <x v="1"/>
    <n v="5.6042198840660902"/>
  </r>
  <r>
    <x v="0"/>
    <x v="0"/>
    <x v="1"/>
    <x v="1"/>
    <x v="4"/>
    <x v="0"/>
    <x v="2"/>
    <n v="5.6042198840660902"/>
  </r>
  <r>
    <x v="0"/>
    <x v="0"/>
    <x v="1"/>
    <x v="1"/>
    <x v="4"/>
    <x v="0"/>
    <x v="3"/>
    <n v="5.6042198840660902"/>
  </r>
  <r>
    <x v="0"/>
    <x v="0"/>
    <x v="1"/>
    <x v="1"/>
    <x v="4"/>
    <x v="0"/>
    <x v="4"/>
    <n v="5.6042198840660902"/>
  </r>
  <r>
    <x v="0"/>
    <x v="0"/>
    <x v="1"/>
    <x v="1"/>
    <x v="4"/>
    <x v="0"/>
    <x v="5"/>
    <n v="5.6042198840660902"/>
  </r>
  <r>
    <x v="0"/>
    <x v="0"/>
    <x v="1"/>
    <x v="1"/>
    <x v="4"/>
    <x v="0"/>
    <x v="6"/>
    <n v="5.6042198840660902"/>
  </r>
  <r>
    <x v="0"/>
    <x v="0"/>
    <x v="1"/>
    <x v="1"/>
    <x v="4"/>
    <x v="0"/>
    <x v="7"/>
    <n v="5.6042198840660902"/>
  </r>
  <r>
    <x v="0"/>
    <x v="0"/>
    <x v="1"/>
    <x v="1"/>
    <x v="4"/>
    <x v="0"/>
    <x v="8"/>
    <n v="5.6042198840660902"/>
  </r>
  <r>
    <x v="0"/>
    <x v="0"/>
    <x v="1"/>
    <x v="1"/>
    <x v="4"/>
    <x v="0"/>
    <x v="9"/>
    <n v="5.6042198840660902"/>
  </r>
  <r>
    <x v="0"/>
    <x v="0"/>
    <x v="1"/>
    <x v="1"/>
    <x v="4"/>
    <x v="0"/>
    <x v="10"/>
    <n v="5.6042198840660902"/>
  </r>
  <r>
    <x v="0"/>
    <x v="0"/>
    <x v="1"/>
    <x v="1"/>
    <x v="4"/>
    <x v="0"/>
    <x v="11"/>
    <n v="5.6042198840660902"/>
  </r>
  <r>
    <x v="0"/>
    <x v="0"/>
    <x v="1"/>
    <x v="1"/>
    <x v="4"/>
    <x v="0"/>
    <x v="12"/>
    <n v="5.6042198840660902"/>
  </r>
  <r>
    <x v="0"/>
    <x v="0"/>
    <x v="1"/>
    <x v="1"/>
    <x v="4"/>
    <x v="0"/>
    <x v="13"/>
    <n v="5.6042198840660902"/>
  </r>
  <r>
    <x v="0"/>
    <x v="0"/>
    <x v="1"/>
    <x v="1"/>
    <x v="4"/>
    <x v="0"/>
    <x v="14"/>
    <n v="5.6042198840660902"/>
  </r>
  <r>
    <x v="0"/>
    <x v="0"/>
    <x v="1"/>
    <x v="1"/>
    <x v="4"/>
    <x v="0"/>
    <x v="15"/>
    <n v="5.6042198840660902"/>
  </r>
  <r>
    <x v="0"/>
    <x v="0"/>
    <x v="1"/>
    <x v="1"/>
    <x v="4"/>
    <x v="0"/>
    <x v="16"/>
    <n v="5.6042198840660902"/>
  </r>
  <r>
    <x v="0"/>
    <x v="0"/>
    <x v="1"/>
    <x v="1"/>
    <x v="4"/>
    <x v="0"/>
    <x v="17"/>
    <n v="5.08697022088176"/>
  </r>
  <r>
    <x v="0"/>
    <x v="0"/>
    <x v="1"/>
    <x v="1"/>
    <x v="4"/>
    <x v="0"/>
    <x v="18"/>
    <n v="3.9131315525302699"/>
  </r>
  <r>
    <x v="0"/>
    <x v="0"/>
    <x v="1"/>
    <x v="1"/>
    <x v="4"/>
    <x v="0"/>
    <x v="19"/>
    <n v="3.6531383892143698"/>
  </r>
  <r>
    <x v="0"/>
    <x v="0"/>
    <x v="1"/>
    <x v="1"/>
    <x v="4"/>
    <x v="0"/>
    <x v="20"/>
    <n v="4.1071685715415702"/>
  </r>
  <r>
    <x v="0"/>
    <x v="0"/>
    <x v="1"/>
    <x v="1"/>
    <x v="4"/>
    <x v="0"/>
    <x v="21"/>
    <n v="4.83683657930177"/>
  </r>
  <r>
    <x v="0"/>
    <x v="0"/>
    <x v="1"/>
    <x v="1"/>
    <x v="4"/>
    <x v="0"/>
    <x v="22"/>
    <n v="5.5617116906017001"/>
  </r>
  <r>
    <x v="0"/>
    <x v="0"/>
    <x v="1"/>
    <x v="1"/>
    <x v="4"/>
    <x v="0"/>
    <x v="23"/>
    <n v="5.6042198840660902"/>
  </r>
  <r>
    <x v="0"/>
    <x v="0"/>
    <x v="1"/>
    <x v="1"/>
    <x v="2"/>
    <x v="0"/>
    <x v="0"/>
    <n v="33.2726951707144"/>
  </r>
  <r>
    <x v="0"/>
    <x v="0"/>
    <x v="1"/>
    <x v="1"/>
    <x v="2"/>
    <x v="0"/>
    <x v="1"/>
    <n v="33.272695170714499"/>
  </r>
  <r>
    <x v="0"/>
    <x v="0"/>
    <x v="1"/>
    <x v="1"/>
    <x v="2"/>
    <x v="0"/>
    <x v="2"/>
    <n v="33.272695170714499"/>
  </r>
  <r>
    <x v="0"/>
    <x v="0"/>
    <x v="1"/>
    <x v="1"/>
    <x v="2"/>
    <x v="0"/>
    <x v="3"/>
    <n v="33.272695170714499"/>
  </r>
  <r>
    <x v="0"/>
    <x v="0"/>
    <x v="1"/>
    <x v="1"/>
    <x v="2"/>
    <x v="0"/>
    <x v="4"/>
    <n v="33.272695170714499"/>
  </r>
  <r>
    <x v="0"/>
    <x v="0"/>
    <x v="1"/>
    <x v="1"/>
    <x v="2"/>
    <x v="0"/>
    <x v="5"/>
    <n v="33.272695170714499"/>
  </r>
  <r>
    <x v="0"/>
    <x v="0"/>
    <x v="1"/>
    <x v="1"/>
    <x v="2"/>
    <x v="0"/>
    <x v="6"/>
    <n v="33.272695170714499"/>
  </r>
  <r>
    <x v="0"/>
    <x v="0"/>
    <x v="1"/>
    <x v="1"/>
    <x v="2"/>
    <x v="0"/>
    <x v="7"/>
    <n v="33.272695170714499"/>
  </r>
  <r>
    <x v="0"/>
    <x v="0"/>
    <x v="1"/>
    <x v="1"/>
    <x v="2"/>
    <x v="0"/>
    <x v="8"/>
    <n v="33.272695170714499"/>
  </r>
  <r>
    <x v="0"/>
    <x v="0"/>
    <x v="1"/>
    <x v="1"/>
    <x v="2"/>
    <x v="0"/>
    <x v="9"/>
    <n v="33.272695170714499"/>
  </r>
  <r>
    <x v="0"/>
    <x v="0"/>
    <x v="1"/>
    <x v="1"/>
    <x v="2"/>
    <x v="0"/>
    <x v="10"/>
    <n v="33.272695170714499"/>
  </r>
  <r>
    <x v="0"/>
    <x v="0"/>
    <x v="1"/>
    <x v="1"/>
    <x v="2"/>
    <x v="0"/>
    <x v="11"/>
    <n v="33.272695170714499"/>
  </r>
  <r>
    <x v="0"/>
    <x v="0"/>
    <x v="1"/>
    <x v="1"/>
    <x v="2"/>
    <x v="0"/>
    <x v="12"/>
    <n v="33.272695170714499"/>
  </r>
  <r>
    <x v="0"/>
    <x v="0"/>
    <x v="1"/>
    <x v="1"/>
    <x v="2"/>
    <x v="0"/>
    <x v="13"/>
    <n v="33.272695170714499"/>
  </r>
  <r>
    <x v="0"/>
    <x v="0"/>
    <x v="1"/>
    <x v="1"/>
    <x v="2"/>
    <x v="0"/>
    <x v="14"/>
    <n v="33.272695170714499"/>
  </r>
  <r>
    <x v="0"/>
    <x v="0"/>
    <x v="1"/>
    <x v="1"/>
    <x v="2"/>
    <x v="0"/>
    <x v="15"/>
    <n v="33.272695170714499"/>
  </r>
  <r>
    <x v="0"/>
    <x v="0"/>
    <x v="1"/>
    <x v="1"/>
    <x v="2"/>
    <x v="0"/>
    <x v="16"/>
    <n v="33.272695170714499"/>
  </r>
  <r>
    <x v="0"/>
    <x v="0"/>
    <x v="1"/>
    <x v="1"/>
    <x v="2"/>
    <x v="0"/>
    <x v="17"/>
    <n v="33.272695170714499"/>
  </r>
  <r>
    <x v="0"/>
    <x v="0"/>
    <x v="1"/>
    <x v="1"/>
    <x v="2"/>
    <x v="0"/>
    <x v="18"/>
    <n v="33.272695170714499"/>
  </r>
  <r>
    <x v="0"/>
    <x v="0"/>
    <x v="1"/>
    <x v="1"/>
    <x v="2"/>
    <x v="0"/>
    <x v="19"/>
    <n v="33.272695170714499"/>
  </r>
  <r>
    <x v="0"/>
    <x v="0"/>
    <x v="1"/>
    <x v="1"/>
    <x v="2"/>
    <x v="0"/>
    <x v="20"/>
    <n v="33.272695170714499"/>
  </r>
  <r>
    <x v="0"/>
    <x v="0"/>
    <x v="1"/>
    <x v="1"/>
    <x v="2"/>
    <x v="0"/>
    <x v="21"/>
    <n v="33.272695170714499"/>
  </r>
  <r>
    <x v="0"/>
    <x v="0"/>
    <x v="1"/>
    <x v="1"/>
    <x v="2"/>
    <x v="0"/>
    <x v="22"/>
    <n v="33.272695170714499"/>
  </r>
  <r>
    <x v="0"/>
    <x v="0"/>
    <x v="1"/>
    <x v="1"/>
    <x v="2"/>
    <x v="0"/>
    <x v="23"/>
    <n v="33.272695170714499"/>
  </r>
  <r>
    <x v="0"/>
    <x v="0"/>
    <x v="1"/>
    <x v="1"/>
    <x v="5"/>
    <x v="0"/>
    <x v="0"/>
    <n v="-2.7"/>
  </r>
  <r>
    <x v="0"/>
    <x v="0"/>
    <x v="1"/>
    <x v="1"/>
    <x v="5"/>
    <x v="0"/>
    <x v="1"/>
    <n v="-2.7"/>
  </r>
  <r>
    <x v="0"/>
    <x v="0"/>
    <x v="1"/>
    <x v="1"/>
    <x v="5"/>
    <x v="0"/>
    <x v="2"/>
    <n v="-2.7"/>
  </r>
  <r>
    <x v="0"/>
    <x v="0"/>
    <x v="1"/>
    <x v="1"/>
    <x v="5"/>
    <x v="0"/>
    <x v="3"/>
    <n v="-2.7"/>
  </r>
  <r>
    <x v="0"/>
    <x v="0"/>
    <x v="1"/>
    <x v="1"/>
    <x v="5"/>
    <x v="0"/>
    <x v="4"/>
    <n v="-2.7"/>
  </r>
  <r>
    <x v="0"/>
    <x v="0"/>
    <x v="1"/>
    <x v="1"/>
    <x v="5"/>
    <x v="0"/>
    <x v="5"/>
    <n v="-2.7"/>
  </r>
  <r>
    <x v="0"/>
    <x v="0"/>
    <x v="1"/>
    <x v="1"/>
    <x v="5"/>
    <x v="0"/>
    <x v="6"/>
    <n v="-2.7"/>
  </r>
  <r>
    <x v="0"/>
    <x v="0"/>
    <x v="1"/>
    <x v="1"/>
    <x v="5"/>
    <x v="0"/>
    <x v="7"/>
    <n v="-2.7"/>
  </r>
  <r>
    <x v="0"/>
    <x v="0"/>
    <x v="1"/>
    <x v="1"/>
    <x v="5"/>
    <x v="0"/>
    <x v="8"/>
    <n v="-2.5218780620390802"/>
  </r>
  <r>
    <x v="0"/>
    <x v="0"/>
    <x v="1"/>
    <x v="1"/>
    <x v="5"/>
    <x v="0"/>
    <x v="9"/>
    <n v="-2.6117904694838301"/>
  </r>
  <r>
    <x v="0"/>
    <x v="0"/>
    <x v="1"/>
    <x v="1"/>
    <x v="5"/>
    <x v="0"/>
    <x v="10"/>
    <n v="-2.5541223378790101"/>
  </r>
  <r>
    <x v="0"/>
    <x v="0"/>
    <x v="1"/>
    <x v="1"/>
    <x v="5"/>
    <x v="0"/>
    <x v="11"/>
    <n v="-2.50882293372961"/>
  </r>
  <r>
    <x v="0"/>
    <x v="0"/>
    <x v="1"/>
    <x v="1"/>
    <x v="5"/>
    <x v="0"/>
    <x v="12"/>
    <n v="-2.5936298852651798"/>
  </r>
  <r>
    <x v="0"/>
    <x v="0"/>
    <x v="1"/>
    <x v="1"/>
    <x v="5"/>
    <x v="0"/>
    <x v="13"/>
    <n v="-2.5813844563904902"/>
  </r>
  <r>
    <x v="0"/>
    <x v="0"/>
    <x v="1"/>
    <x v="1"/>
    <x v="5"/>
    <x v="0"/>
    <x v="14"/>
    <n v="-2.5766596372289898"/>
  </r>
  <r>
    <x v="0"/>
    <x v="0"/>
    <x v="1"/>
    <x v="1"/>
    <x v="5"/>
    <x v="0"/>
    <x v="15"/>
    <n v="-2.6786553054954201"/>
  </r>
  <r>
    <x v="0"/>
    <x v="0"/>
    <x v="1"/>
    <x v="1"/>
    <x v="5"/>
    <x v="0"/>
    <x v="16"/>
    <n v="-2.5121322209880299"/>
  </r>
  <r>
    <x v="0"/>
    <x v="0"/>
    <x v="1"/>
    <x v="1"/>
    <x v="5"/>
    <x v="0"/>
    <x v="17"/>
    <n v="-2.0064342792872099"/>
  </r>
  <r>
    <x v="0"/>
    <x v="0"/>
    <x v="1"/>
    <x v="1"/>
    <x v="5"/>
    <x v="0"/>
    <x v="18"/>
    <n v="-1.5328920327714299"/>
  </r>
  <r>
    <x v="0"/>
    <x v="0"/>
    <x v="1"/>
    <x v="1"/>
    <x v="5"/>
    <x v="0"/>
    <x v="19"/>
    <n v="-1.4200630773988701"/>
  </r>
  <r>
    <x v="0"/>
    <x v="0"/>
    <x v="1"/>
    <x v="1"/>
    <x v="5"/>
    <x v="0"/>
    <x v="20"/>
    <n v="-1.6135333812475501"/>
  </r>
  <r>
    <x v="0"/>
    <x v="0"/>
    <x v="1"/>
    <x v="1"/>
    <x v="5"/>
    <x v="0"/>
    <x v="21"/>
    <n v="-2.0196673014519102"/>
  </r>
  <r>
    <x v="0"/>
    <x v="0"/>
    <x v="1"/>
    <x v="1"/>
    <x v="5"/>
    <x v="0"/>
    <x v="22"/>
    <n v="-2.5267842924914401"/>
  </r>
  <r>
    <x v="0"/>
    <x v="0"/>
    <x v="1"/>
    <x v="1"/>
    <x v="5"/>
    <x v="0"/>
    <x v="23"/>
    <n v="-2.7"/>
  </r>
  <r>
    <x v="0"/>
    <x v="0"/>
    <x v="1"/>
    <x v="1"/>
    <x v="3"/>
    <x v="0"/>
    <x v="0"/>
    <n v="0"/>
  </r>
  <r>
    <x v="0"/>
    <x v="0"/>
    <x v="1"/>
    <x v="1"/>
    <x v="3"/>
    <x v="0"/>
    <x v="1"/>
    <n v="0"/>
  </r>
  <r>
    <x v="0"/>
    <x v="0"/>
    <x v="1"/>
    <x v="1"/>
    <x v="3"/>
    <x v="0"/>
    <x v="2"/>
    <n v="0"/>
  </r>
  <r>
    <x v="0"/>
    <x v="0"/>
    <x v="1"/>
    <x v="1"/>
    <x v="3"/>
    <x v="0"/>
    <x v="3"/>
    <n v="0"/>
  </r>
  <r>
    <x v="0"/>
    <x v="0"/>
    <x v="1"/>
    <x v="1"/>
    <x v="3"/>
    <x v="0"/>
    <x v="4"/>
    <n v="0"/>
  </r>
  <r>
    <x v="0"/>
    <x v="0"/>
    <x v="1"/>
    <x v="1"/>
    <x v="3"/>
    <x v="0"/>
    <x v="5"/>
    <n v="0"/>
  </r>
  <r>
    <x v="0"/>
    <x v="0"/>
    <x v="1"/>
    <x v="1"/>
    <x v="3"/>
    <x v="0"/>
    <x v="6"/>
    <n v="0"/>
  </r>
  <r>
    <x v="0"/>
    <x v="0"/>
    <x v="1"/>
    <x v="1"/>
    <x v="3"/>
    <x v="0"/>
    <x v="7"/>
    <n v="0"/>
  </r>
  <r>
    <x v="0"/>
    <x v="0"/>
    <x v="1"/>
    <x v="1"/>
    <x v="3"/>
    <x v="0"/>
    <x v="8"/>
    <n v="0"/>
  </r>
  <r>
    <x v="0"/>
    <x v="0"/>
    <x v="1"/>
    <x v="1"/>
    <x v="3"/>
    <x v="0"/>
    <x v="9"/>
    <n v="0"/>
  </r>
  <r>
    <x v="0"/>
    <x v="0"/>
    <x v="1"/>
    <x v="1"/>
    <x v="3"/>
    <x v="0"/>
    <x v="10"/>
    <n v="0"/>
  </r>
  <r>
    <x v="0"/>
    <x v="0"/>
    <x v="1"/>
    <x v="1"/>
    <x v="3"/>
    <x v="0"/>
    <x v="11"/>
    <n v="0"/>
  </r>
  <r>
    <x v="0"/>
    <x v="0"/>
    <x v="1"/>
    <x v="1"/>
    <x v="3"/>
    <x v="0"/>
    <x v="12"/>
    <n v="0"/>
  </r>
  <r>
    <x v="0"/>
    <x v="0"/>
    <x v="1"/>
    <x v="1"/>
    <x v="3"/>
    <x v="0"/>
    <x v="13"/>
    <n v="0"/>
  </r>
  <r>
    <x v="0"/>
    <x v="0"/>
    <x v="1"/>
    <x v="1"/>
    <x v="3"/>
    <x v="0"/>
    <x v="14"/>
    <n v="0"/>
  </r>
  <r>
    <x v="0"/>
    <x v="0"/>
    <x v="1"/>
    <x v="1"/>
    <x v="3"/>
    <x v="0"/>
    <x v="15"/>
    <n v="0"/>
  </r>
  <r>
    <x v="0"/>
    <x v="0"/>
    <x v="1"/>
    <x v="1"/>
    <x v="3"/>
    <x v="0"/>
    <x v="16"/>
    <n v="0"/>
  </r>
  <r>
    <x v="0"/>
    <x v="0"/>
    <x v="1"/>
    <x v="1"/>
    <x v="3"/>
    <x v="0"/>
    <x v="17"/>
    <n v="0"/>
  </r>
  <r>
    <x v="0"/>
    <x v="0"/>
    <x v="1"/>
    <x v="1"/>
    <x v="3"/>
    <x v="0"/>
    <x v="18"/>
    <n v="0"/>
  </r>
  <r>
    <x v="0"/>
    <x v="0"/>
    <x v="1"/>
    <x v="1"/>
    <x v="3"/>
    <x v="0"/>
    <x v="19"/>
    <n v="0"/>
  </r>
  <r>
    <x v="0"/>
    <x v="0"/>
    <x v="1"/>
    <x v="1"/>
    <x v="3"/>
    <x v="0"/>
    <x v="20"/>
    <n v="0"/>
  </r>
  <r>
    <x v="0"/>
    <x v="0"/>
    <x v="1"/>
    <x v="1"/>
    <x v="3"/>
    <x v="0"/>
    <x v="21"/>
    <n v="0"/>
  </r>
  <r>
    <x v="0"/>
    <x v="0"/>
    <x v="1"/>
    <x v="1"/>
    <x v="3"/>
    <x v="0"/>
    <x v="22"/>
    <n v="0"/>
  </r>
  <r>
    <x v="0"/>
    <x v="0"/>
    <x v="1"/>
    <x v="1"/>
    <x v="3"/>
    <x v="0"/>
    <x v="23"/>
    <n v="0"/>
  </r>
  <r>
    <x v="0"/>
    <x v="0"/>
    <x v="1"/>
    <x v="1"/>
    <x v="6"/>
    <x v="0"/>
    <x v="0"/>
    <n v="-1.26"/>
  </r>
  <r>
    <x v="0"/>
    <x v="0"/>
    <x v="1"/>
    <x v="1"/>
    <x v="6"/>
    <x v="0"/>
    <x v="1"/>
    <n v="-1.26"/>
  </r>
  <r>
    <x v="0"/>
    <x v="0"/>
    <x v="1"/>
    <x v="1"/>
    <x v="6"/>
    <x v="0"/>
    <x v="2"/>
    <n v="-1.26"/>
  </r>
  <r>
    <x v="0"/>
    <x v="0"/>
    <x v="1"/>
    <x v="1"/>
    <x v="6"/>
    <x v="0"/>
    <x v="3"/>
    <n v="-1.26"/>
  </r>
  <r>
    <x v="0"/>
    <x v="0"/>
    <x v="1"/>
    <x v="1"/>
    <x v="6"/>
    <x v="0"/>
    <x v="4"/>
    <n v="-1.26"/>
  </r>
  <r>
    <x v="0"/>
    <x v="0"/>
    <x v="1"/>
    <x v="1"/>
    <x v="6"/>
    <x v="0"/>
    <x v="5"/>
    <n v="-1.26"/>
  </r>
  <r>
    <x v="0"/>
    <x v="0"/>
    <x v="1"/>
    <x v="1"/>
    <x v="6"/>
    <x v="0"/>
    <x v="6"/>
    <n v="-1.26"/>
  </r>
  <r>
    <x v="0"/>
    <x v="0"/>
    <x v="1"/>
    <x v="1"/>
    <x v="6"/>
    <x v="0"/>
    <x v="7"/>
    <n v="-1.26"/>
  </r>
  <r>
    <x v="0"/>
    <x v="0"/>
    <x v="1"/>
    <x v="1"/>
    <x v="6"/>
    <x v="0"/>
    <x v="8"/>
    <n v="-1.26"/>
  </r>
  <r>
    <x v="0"/>
    <x v="0"/>
    <x v="1"/>
    <x v="1"/>
    <x v="6"/>
    <x v="0"/>
    <x v="9"/>
    <n v="-1.26"/>
  </r>
  <r>
    <x v="0"/>
    <x v="0"/>
    <x v="1"/>
    <x v="1"/>
    <x v="6"/>
    <x v="0"/>
    <x v="10"/>
    <n v="-1.26"/>
  </r>
  <r>
    <x v="0"/>
    <x v="0"/>
    <x v="1"/>
    <x v="1"/>
    <x v="6"/>
    <x v="0"/>
    <x v="11"/>
    <n v="-1.26"/>
  </r>
  <r>
    <x v="0"/>
    <x v="0"/>
    <x v="1"/>
    <x v="1"/>
    <x v="6"/>
    <x v="0"/>
    <x v="12"/>
    <n v="-1.26"/>
  </r>
  <r>
    <x v="0"/>
    <x v="0"/>
    <x v="1"/>
    <x v="1"/>
    <x v="6"/>
    <x v="0"/>
    <x v="13"/>
    <n v="-1.26"/>
  </r>
  <r>
    <x v="0"/>
    <x v="0"/>
    <x v="1"/>
    <x v="1"/>
    <x v="6"/>
    <x v="0"/>
    <x v="14"/>
    <n v="-1.26"/>
  </r>
  <r>
    <x v="0"/>
    <x v="0"/>
    <x v="1"/>
    <x v="1"/>
    <x v="6"/>
    <x v="0"/>
    <x v="15"/>
    <n v="-1.26"/>
  </r>
  <r>
    <x v="0"/>
    <x v="0"/>
    <x v="1"/>
    <x v="1"/>
    <x v="6"/>
    <x v="0"/>
    <x v="16"/>
    <n v="-1.26"/>
  </r>
  <r>
    <x v="0"/>
    <x v="0"/>
    <x v="1"/>
    <x v="1"/>
    <x v="6"/>
    <x v="0"/>
    <x v="17"/>
    <n v="-1.26"/>
  </r>
  <r>
    <x v="0"/>
    <x v="0"/>
    <x v="1"/>
    <x v="1"/>
    <x v="6"/>
    <x v="0"/>
    <x v="18"/>
    <n v="-1.26"/>
  </r>
  <r>
    <x v="0"/>
    <x v="0"/>
    <x v="1"/>
    <x v="1"/>
    <x v="6"/>
    <x v="0"/>
    <x v="19"/>
    <n v="-1.26"/>
  </r>
  <r>
    <x v="0"/>
    <x v="0"/>
    <x v="1"/>
    <x v="1"/>
    <x v="6"/>
    <x v="0"/>
    <x v="20"/>
    <n v="-1.26"/>
  </r>
  <r>
    <x v="0"/>
    <x v="0"/>
    <x v="1"/>
    <x v="1"/>
    <x v="6"/>
    <x v="0"/>
    <x v="21"/>
    <n v="-1.26"/>
  </r>
  <r>
    <x v="0"/>
    <x v="0"/>
    <x v="1"/>
    <x v="1"/>
    <x v="6"/>
    <x v="0"/>
    <x v="22"/>
    <n v="-1.26"/>
  </r>
  <r>
    <x v="0"/>
    <x v="0"/>
    <x v="1"/>
    <x v="1"/>
    <x v="6"/>
    <x v="0"/>
    <x v="23"/>
    <n v="-1.26"/>
  </r>
  <r>
    <x v="0"/>
    <x v="0"/>
    <x v="1"/>
    <x v="1"/>
    <x v="7"/>
    <x v="0"/>
    <x v="0"/>
    <n v="-36.553931789550802"/>
  </r>
  <r>
    <x v="0"/>
    <x v="0"/>
    <x v="1"/>
    <x v="1"/>
    <x v="7"/>
    <x v="0"/>
    <x v="1"/>
    <n v="-36.553931789550802"/>
  </r>
  <r>
    <x v="0"/>
    <x v="0"/>
    <x v="1"/>
    <x v="1"/>
    <x v="7"/>
    <x v="0"/>
    <x v="2"/>
    <n v="-36.553931789550802"/>
  </r>
  <r>
    <x v="0"/>
    <x v="0"/>
    <x v="1"/>
    <x v="1"/>
    <x v="7"/>
    <x v="0"/>
    <x v="3"/>
    <n v="-36.553931789550802"/>
  </r>
  <r>
    <x v="0"/>
    <x v="0"/>
    <x v="1"/>
    <x v="1"/>
    <x v="7"/>
    <x v="0"/>
    <x v="4"/>
    <n v="-36.553931789550802"/>
  </r>
  <r>
    <x v="0"/>
    <x v="0"/>
    <x v="1"/>
    <x v="1"/>
    <x v="7"/>
    <x v="0"/>
    <x v="5"/>
    <n v="-36.553931789550802"/>
  </r>
  <r>
    <x v="0"/>
    <x v="0"/>
    <x v="1"/>
    <x v="1"/>
    <x v="7"/>
    <x v="0"/>
    <x v="6"/>
    <n v="-36.553931789550802"/>
  </r>
  <r>
    <x v="0"/>
    <x v="0"/>
    <x v="1"/>
    <x v="1"/>
    <x v="7"/>
    <x v="0"/>
    <x v="7"/>
    <n v="-36.553931789550802"/>
  </r>
  <r>
    <x v="0"/>
    <x v="0"/>
    <x v="1"/>
    <x v="1"/>
    <x v="7"/>
    <x v="0"/>
    <x v="8"/>
    <n v="-36.553931789550802"/>
  </r>
  <r>
    <x v="0"/>
    <x v="0"/>
    <x v="1"/>
    <x v="1"/>
    <x v="7"/>
    <x v="0"/>
    <x v="9"/>
    <n v="-36.553931789550802"/>
  </r>
  <r>
    <x v="0"/>
    <x v="0"/>
    <x v="1"/>
    <x v="1"/>
    <x v="7"/>
    <x v="0"/>
    <x v="10"/>
    <n v="-36.553931789550802"/>
  </r>
  <r>
    <x v="0"/>
    <x v="0"/>
    <x v="1"/>
    <x v="1"/>
    <x v="7"/>
    <x v="0"/>
    <x v="11"/>
    <n v="-36.553931789550802"/>
  </r>
  <r>
    <x v="0"/>
    <x v="0"/>
    <x v="1"/>
    <x v="1"/>
    <x v="7"/>
    <x v="0"/>
    <x v="12"/>
    <n v="-36.553931789550802"/>
  </r>
  <r>
    <x v="0"/>
    <x v="0"/>
    <x v="1"/>
    <x v="1"/>
    <x v="7"/>
    <x v="0"/>
    <x v="13"/>
    <n v="-36.553931789550802"/>
  </r>
  <r>
    <x v="0"/>
    <x v="0"/>
    <x v="1"/>
    <x v="1"/>
    <x v="7"/>
    <x v="0"/>
    <x v="14"/>
    <n v="-36.553931789550802"/>
  </r>
  <r>
    <x v="0"/>
    <x v="0"/>
    <x v="1"/>
    <x v="1"/>
    <x v="7"/>
    <x v="0"/>
    <x v="15"/>
    <n v="-36.553931789550802"/>
  </r>
  <r>
    <x v="0"/>
    <x v="0"/>
    <x v="1"/>
    <x v="1"/>
    <x v="7"/>
    <x v="0"/>
    <x v="16"/>
    <n v="-36.553931789550802"/>
  </r>
  <r>
    <x v="0"/>
    <x v="0"/>
    <x v="1"/>
    <x v="1"/>
    <x v="7"/>
    <x v="0"/>
    <x v="17"/>
    <n v="-36.553931789550802"/>
  </r>
  <r>
    <x v="0"/>
    <x v="0"/>
    <x v="1"/>
    <x v="1"/>
    <x v="7"/>
    <x v="0"/>
    <x v="18"/>
    <n v="-36.553931789550802"/>
  </r>
  <r>
    <x v="0"/>
    <x v="0"/>
    <x v="1"/>
    <x v="1"/>
    <x v="7"/>
    <x v="0"/>
    <x v="19"/>
    <n v="-36.553931789550802"/>
  </r>
  <r>
    <x v="0"/>
    <x v="0"/>
    <x v="1"/>
    <x v="1"/>
    <x v="7"/>
    <x v="0"/>
    <x v="20"/>
    <n v="-36.553931789550802"/>
  </r>
  <r>
    <x v="0"/>
    <x v="0"/>
    <x v="1"/>
    <x v="1"/>
    <x v="7"/>
    <x v="0"/>
    <x v="21"/>
    <n v="-36.553931789550802"/>
  </r>
  <r>
    <x v="0"/>
    <x v="0"/>
    <x v="1"/>
    <x v="1"/>
    <x v="7"/>
    <x v="0"/>
    <x v="22"/>
    <n v="-36.553931789550802"/>
  </r>
  <r>
    <x v="0"/>
    <x v="0"/>
    <x v="1"/>
    <x v="1"/>
    <x v="7"/>
    <x v="0"/>
    <x v="23"/>
    <n v="-36.553931789550802"/>
  </r>
  <r>
    <x v="0"/>
    <x v="0"/>
    <x v="1"/>
    <x v="2"/>
    <x v="4"/>
    <x v="0"/>
    <x v="0"/>
    <n v="-2.7090000000000001"/>
  </r>
  <r>
    <x v="0"/>
    <x v="0"/>
    <x v="1"/>
    <x v="2"/>
    <x v="4"/>
    <x v="0"/>
    <x v="1"/>
    <n v="-2.7090000000000001"/>
  </r>
  <r>
    <x v="0"/>
    <x v="0"/>
    <x v="1"/>
    <x v="2"/>
    <x v="4"/>
    <x v="0"/>
    <x v="2"/>
    <n v="-2.7090000000000001"/>
  </r>
  <r>
    <x v="0"/>
    <x v="0"/>
    <x v="1"/>
    <x v="2"/>
    <x v="4"/>
    <x v="0"/>
    <x v="3"/>
    <n v="-2.7090000000000001"/>
  </r>
  <r>
    <x v="0"/>
    <x v="0"/>
    <x v="1"/>
    <x v="2"/>
    <x v="4"/>
    <x v="0"/>
    <x v="4"/>
    <n v="-2.7090000000000001"/>
  </r>
  <r>
    <x v="0"/>
    <x v="0"/>
    <x v="1"/>
    <x v="2"/>
    <x v="4"/>
    <x v="0"/>
    <x v="5"/>
    <n v="-2.7090000000000001"/>
  </r>
  <r>
    <x v="0"/>
    <x v="0"/>
    <x v="1"/>
    <x v="2"/>
    <x v="4"/>
    <x v="0"/>
    <x v="6"/>
    <n v="-2.7090000000000001"/>
  </r>
  <r>
    <x v="0"/>
    <x v="0"/>
    <x v="1"/>
    <x v="2"/>
    <x v="4"/>
    <x v="0"/>
    <x v="7"/>
    <n v="-2.7090000000000001"/>
  </r>
  <r>
    <x v="0"/>
    <x v="0"/>
    <x v="1"/>
    <x v="2"/>
    <x v="4"/>
    <x v="0"/>
    <x v="8"/>
    <n v="-2.7090000000000001"/>
  </r>
  <r>
    <x v="0"/>
    <x v="0"/>
    <x v="1"/>
    <x v="2"/>
    <x v="4"/>
    <x v="0"/>
    <x v="9"/>
    <n v="-2.7090000000000001"/>
  </r>
  <r>
    <x v="0"/>
    <x v="0"/>
    <x v="1"/>
    <x v="2"/>
    <x v="4"/>
    <x v="0"/>
    <x v="10"/>
    <n v="-2.7090000000000001"/>
  </r>
  <r>
    <x v="0"/>
    <x v="0"/>
    <x v="1"/>
    <x v="2"/>
    <x v="4"/>
    <x v="0"/>
    <x v="11"/>
    <n v="-2.7090000000000001"/>
  </r>
  <r>
    <x v="0"/>
    <x v="0"/>
    <x v="1"/>
    <x v="2"/>
    <x v="4"/>
    <x v="0"/>
    <x v="12"/>
    <n v="-2.7090000000000001"/>
  </r>
  <r>
    <x v="0"/>
    <x v="0"/>
    <x v="1"/>
    <x v="2"/>
    <x v="4"/>
    <x v="0"/>
    <x v="13"/>
    <n v="-2.7090000000000001"/>
  </r>
  <r>
    <x v="0"/>
    <x v="0"/>
    <x v="1"/>
    <x v="2"/>
    <x v="4"/>
    <x v="0"/>
    <x v="14"/>
    <n v="-2.7090000000000001"/>
  </r>
  <r>
    <x v="0"/>
    <x v="0"/>
    <x v="1"/>
    <x v="2"/>
    <x v="4"/>
    <x v="0"/>
    <x v="15"/>
    <n v="-2.7090000000000001"/>
  </r>
  <r>
    <x v="0"/>
    <x v="0"/>
    <x v="1"/>
    <x v="2"/>
    <x v="4"/>
    <x v="0"/>
    <x v="16"/>
    <n v="-2.7090000000000001"/>
  </r>
  <r>
    <x v="0"/>
    <x v="0"/>
    <x v="1"/>
    <x v="2"/>
    <x v="4"/>
    <x v="0"/>
    <x v="17"/>
    <n v="-2.7090000000000001"/>
  </r>
  <r>
    <x v="0"/>
    <x v="0"/>
    <x v="1"/>
    <x v="2"/>
    <x v="4"/>
    <x v="0"/>
    <x v="18"/>
    <n v="-2.7090000000000001"/>
  </r>
  <r>
    <x v="0"/>
    <x v="0"/>
    <x v="1"/>
    <x v="2"/>
    <x v="4"/>
    <x v="0"/>
    <x v="19"/>
    <n v="-2.7090000000000001"/>
  </r>
  <r>
    <x v="0"/>
    <x v="0"/>
    <x v="1"/>
    <x v="2"/>
    <x v="4"/>
    <x v="0"/>
    <x v="20"/>
    <n v="-2.7090000000000001"/>
  </r>
  <r>
    <x v="0"/>
    <x v="0"/>
    <x v="1"/>
    <x v="2"/>
    <x v="4"/>
    <x v="0"/>
    <x v="21"/>
    <n v="-2.7090000000000001"/>
  </r>
  <r>
    <x v="0"/>
    <x v="0"/>
    <x v="1"/>
    <x v="2"/>
    <x v="4"/>
    <x v="0"/>
    <x v="22"/>
    <n v="-2.7090000000000001"/>
  </r>
  <r>
    <x v="0"/>
    <x v="0"/>
    <x v="1"/>
    <x v="2"/>
    <x v="4"/>
    <x v="0"/>
    <x v="23"/>
    <n v="-2.7090000000000001"/>
  </r>
  <r>
    <x v="0"/>
    <x v="0"/>
    <x v="1"/>
    <x v="2"/>
    <x v="2"/>
    <x v="0"/>
    <x v="0"/>
    <n v="-12.974399999999999"/>
  </r>
  <r>
    <x v="0"/>
    <x v="0"/>
    <x v="1"/>
    <x v="2"/>
    <x v="2"/>
    <x v="0"/>
    <x v="1"/>
    <n v="-12.974399999999999"/>
  </r>
  <r>
    <x v="0"/>
    <x v="0"/>
    <x v="1"/>
    <x v="2"/>
    <x v="2"/>
    <x v="0"/>
    <x v="2"/>
    <n v="-12.974399999999999"/>
  </r>
  <r>
    <x v="0"/>
    <x v="0"/>
    <x v="1"/>
    <x v="2"/>
    <x v="2"/>
    <x v="0"/>
    <x v="3"/>
    <n v="-12.974399999999999"/>
  </r>
  <r>
    <x v="0"/>
    <x v="0"/>
    <x v="1"/>
    <x v="2"/>
    <x v="2"/>
    <x v="0"/>
    <x v="4"/>
    <n v="-12.974399999999999"/>
  </r>
  <r>
    <x v="0"/>
    <x v="0"/>
    <x v="1"/>
    <x v="2"/>
    <x v="2"/>
    <x v="0"/>
    <x v="5"/>
    <n v="-12.974399999999999"/>
  </r>
  <r>
    <x v="0"/>
    <x v="0"/>
    <x v="1"/>
    <x v="2"/>
    <x v="2"/>
    <x v="0"/>
    <x v="6"/>
    <n v="-12.974399999999999"/>
  </r>
  <r>
    <x v="0"/>
    <x v="0"/>
    <x v="1"/>
    <x v="2"/>
    <x v="2"/>
    <x v="0"/>
    <x v="7"/>
    <n v="-12.974399999999999"/>
  </r>
  <r>
    <x v="0"/>
    <x v="0"/>
    <x v="1"/>
    <x v="2"/>
    <x v="2"/>
    <x v="0"/>
    <x v="8"/>
    <n v="-12.974399999999999"/>
  </r>
  <r>
    <x v="0"/>
    <x v="0"/>
    <x v="1"/>
    <x v="2"/>
    <x v="2"/>
    <x v="0"/>
    <x v="9"/>
    <n v="-12.974399999999999"/>
  </r>
  <r>
    <x v="0"/>
    <x v="0"/>
    <x v="1"/>
    <x v="2"/>
    <x v="2"/>
    <x v="0"/>
    <x v="10"/>
    <n v="-12.974399999999999"/>
  </r>
  <r>
    <x v="0"/>
    <x v="0"/>
    <x v="1"/>
    <x v="2"/>
    <x v="2"/>
    <x v="0"/>
    <x v="11"/>
    <n v="-12.974399999999999"/>
  </r>
  <r>
    <x v="0"/>
    <x v="0"/>
    <x v="1"/>
    <x v="2"/>
    <x v="2"/>
    <x v="0"/>
    <x v="12"/>
    <n v="-12.974399999999999"/>
  </r>
  <r>
    <x v="0"/>
    <x v="0"/>
    <x v="1"/>
    <x v="2"/>
    <x v="2"/>
    <x v="0"/>
    <x v="13"/>
    <n v="-12.974399999999999"/>
  </r>
  <r>
    <x v="0"/>
    <x v="0"/>
    <x v="1"/>
    <x v="2"/>
    <x v="2"/>
    <x v="0"/>
    <x v="14"/>
    <n v="-12.974399999999999"/>
  </r>
  <r>
    <x v="0"/>
    <x v="0"/>
    <x v="1"/>
    <x v="2"/>
    <x v="2"/>
    <x v="0"/>
    <x v="15"/>
    <n v="-12.974399999999999"/>
  </r>
  <r>
    <x v="0"/>
    <x v="0"/>
    <x v="1"/>
    <x v="2"/>
    <x v="2"/>
    <x v="0"/>
    <x v="16"/>
    <n v="-12.974399999999999"/>
  </r>
  <r>
    <x v="0"/>
    <x v="0"/>
    <x v="1"/>
    <x v="2"/>
    <x v="2"/>
    <x v="0"/>
    <x v="17"/>
    <n v="-12.974399999999999"/>
  </r>
  <r>
    <x v="0"/>
    <x v="0"/>
    <x v="1"/>
    <x v="2"/>
    <x v="2"/>
    <x v="0"/>
    <x v="18"/>
    <n v="-12.974399999999999"/>
  </r>
  <r>
    <x v="0"/>
    <x v="0"/>
    <x v="1"/>
    <x v="2"/>
    <x v="2"/>
    <x v="0"/>
    <x v="19"/>
    <n v="-12.974399999999999"/>
  </r>
  <r>
    <x v="0"/>
    <x v="0"/>
    <x v="1"/>
    <x v="2"/>
    <x v="2"/>
    <x v="0"/>
    <x v="20"/>
    <n v="-12.974399999999999"/>
  </r>
  <r>
    <x v="0"/>
    <x v="0"/>
    <x v="1"/>
    <x v="2"/>
    <x v="2"/>
    <x v="0"/>
    <x v="21"/>
    <n v="-12.974399999999999"/>
  </r>
  <r>
    <x v="0"/>
    <x v="0"/>
    <x v="1"/>
    <x v="2"/>
    <x v="2"/>
    <x v="0"/>
    <x v="22"/>
    <n v="-12.974399999999999"/>
  </r>
  <r>
    <x v="0"/>
    <x v="0"/>
    <x v="1"/>
    <x v="2"/>
    <x v="2"/>
    <x v="0"/>
    <x v="23"/>
    <n v="-12.974399999999999"/>
  </r>
  <r>
    <x v="0"/>
    <x v="0"/>
    <x v="1"/>
    <x v="3"/>
    <x v="4"/>
    <x v="0"/>
    <x v="0"/>
    <n v="0"/>
  </r>
  <r>
    <x v="0"/>
    <x v="0"/>
    <x v="1"/>
    <x v="3"/>
    <x v="4"/>
    <x v="0"/>
    <x v="1"/>
    <n v="0"/>
  </r>
  <r>
    <x v="0"/>
    <x v="0"/>
    <x v="1"/>
    <x v="3"/>
    <x v="4"/>
    <x v="0"/>
    <x v="2"/>
    <n v="0"/>
  </r>
  <r>
    <x v="0"/>
    <x v="0"/>
    <x v="1"/>
    <x v="3"/>
    <x v="4"/>
    <x v="0"/>
    <x v="3"/>
    <n v="0"/>
  </r>
  <r>
    <x v="0"/>
    <x v="0"/>
    <x v="1"/>
    <x v="3"/>
    <x v="4"/>
    <x v="0"/>
    <x v="4"/>
    <n v="0"/>
  </r>
  <r>
    <x v="0"/>
    <x v="0"/>
    <x v="1"/>
    <x v="3"/>
    <x v="4"/>
    <x v="0"/>
    <x v="5"/>
    <n v="0"/>
  </r>
  <r>
    <x v="0"/>
    <x v="0"/>
    <x v="1"/>
    <x v="3"/>
    <x v="4"/>
    <x v="0"/>
    <x v="6"/>
    <n v="0"/>
  </r>
  <r>
    <x v="0"/>
    <x v="0"/>
    <x v="1"/>
    <x v="3"/>
    <x v="4"/>
    <x v="0"/>
    <x v="7"/>
    <n v="0"/>
  </r>
  <r>
    <x v="0"/>
    <x v="0"/>
    <x v="1"/>
    <x v="3"/>
    <x v="4"/>
    <x v="0"/>
    <x v="8"/>
    <n v="0"/>
  </r>
  <r>
    <x v="0"/>
    <x v="0"/>
    <x v="1"/>
    <x v="3"/>
    <x v="4"/>
    <x v="0"/>
    <x v="9"/>
    <n v="0"/>
  </r>
  <r>
    <x v="0"/>
    <x v="0"/>
    <x v="1"/>
    <x v="3"/>
    <x v="4"/>
    <x v="0"/>
    <x v="10"/>
    <n v="0"/>
  </r>
  <r>
    <x v="0"/>
    <x v="0"/>
    <x v="1"/>
    <x v="3"/>
    <x v="4"/>
    <x v="0"/>
    <x v="11"/>
    <n v="0"/>
  </r>
  <r>
    <x v="0"/>
    <x v="0"/>
    <x v="1"/>
    <x v="3"/>
    <x v="4"/>
    <x v="0"/>
    <x v="12"/>
    <n v="0"/>
  </r>
  <r>
    <x v="0"/>
    <x v="0"/>
    <x v="1"/>
    <x v="3"/>
    <x v="4"/>
    <x v="0"/>
    <x v="13"/>
    <n v="0"/>
  </r>
  <r>
    <x v="0"/>
    <x v="0"/>
    <x v="1"/>
    <x v="3"/>
    <x v="4"/>
    <x v="0"/>
    <x v="14"/>
    <n v="0"/>
  </r>
  <r>
    <x v="0"/>
    <x v="0"/>
    <x v="1"/>
    <x v="3"/>
    <x v="4"/>
    <x v="0"/>
    <x v="15"/>
    <n v="0"/>
  </r>
  <r>
    <x v="0"/>
    <x v="0"/>
    <x v="1"/>
    <x v="3"/>
    <x v="4"/>
    <x v="0"/>
    <x v="16"/>
    <n v="0"/>
  </r>
  <r>
    <x v="0"/>
    <x v="0"/>
    <x v="1"/>
    <x v="3"/>
    <x v="4"/>
    <x v="0"/>
    <x v="17"/>
    <n v="0"/>
  </r>
  <r>
    <x v="0"/>
    <x v="0"/>
    <x v="1"/>
    <x v="3"/>
    <x v="4"/>
    <x v="0"/>
    <x v="18"/>
    <n v="0"/>
  </r>
  <r>
    <x v="0"/>
    <x v="0"/>
    <x v="1"/>
    <x v="3"/>
    <x v="4"/>
    <x v="0"/>
    <x v="19"/>
    <n v="0"/>
  </r>
  <r>
    <x v="0"/>
    <x v="0"/>
    <x v="1"/>
    <x v="3"/>
    <x v="4"/>
    <x v="0"/>
    <x v="20"/>
    <n v="0"/>
  </r>
  <r>
    <x v="0"/>
    <x v="0"/>
    <x v="1"/>
    <x v="3"/>
    <x v="4"/>
    <x v="0"/>
    <x v="21"/>
    <n v="0"/>
  </r>
  <r>
    <x v="0"/>
    <x v="0"/>
    <x v="1"/>
    <x v="3"/>
    <x v="4"/>
    <x v="0"/>
    <x v="22"/>
    <n v="0"/>
  </r>
  <r>
    <x v="0"/>
    <x v="0"/>
    <x v="1"/>
    <x v="3"/>
    <x v="4"/>
    <x v="0"/>
    <x v="23"/>
    <n v="0"/>
  </r>
  <r>
    <x v="0"/>
    <x v="0"/>
    <x v="1"/>
    <x v="3"/>
    <x v="0"/>
    <x v="0"/>
    <x v="0"/>
    <n v="-33.2726951707144"/>
  </r>
  <r>
    <x v="0"/>
    <x v="0"/>
    <x v="1"/>
    <x v="3"/>
    <x v="0"/>
    <x v="0"/>
    <x v="1"/>
    <n v="-33.272695170714499"/>
  </r>
  <r>
    <x v="0"/>
    <x v="0"/>
    <x v="1"/>
    <x v="3"/>
    <x v="0"/>
    <x v="0"/>
    <x v="2"/>
    <n v="-33.272695170714499"/>
  </r>
  <r>
    <x v="0"/>
    <x v="0"/>
    <x v="1"/>
    <x v="3"/>
    <x v="0"/>
    <x v="0"/>
    <x v="3"/>
    <n v="-33.272695170714499"/>
  </r>
  <r>
    <x v="0"/>
    <x v="0"/>
    <x v="1"/>
    <x v="3"/>
    <x v="0"/>
    <x v="0"/>
    <x v="4"/>
    <n v="-33.272695170714499"/>
  </r>
  <r>
    <x v="0"/>
    <x v="0"/>
    <x v="1"/>
    <x v="3"/>
    <x v="0"/>
    <x v="0"/>
    <x v="5"/>
    <n v="-33.272695170714499"/>
  </r>
  <r>
    <x v="0"/>
    <x v="0"/>
    <x v="1"/>
    <x v="3"/>
    <x v="0"/>
    <x v="0"/>
    <x v="6"/>
    <n v="-33.272695170714499"/>
  </r>
  <r>
    <x v="0"/>
    <x v="0"/>
    <x v="1"/>
    <x v="3"/>
    <x v="0"/>
    <x v="0"/>
    <x v="7"/>
    <n v="-33.272695170714499"/>
  </r>
  <r>
    <x v="0"/>
    <x v="0"/>
    <x v="1"/>
    <x v="3"/>
    <x v="0"/>
    <x v="0"/>
    <x v="8"/>
    <n v="-33.272695170714499"/>
  </r>
  <r>
    <x v="0"/>
    <x v="0"/>
    <x v="1"/>
    <x v="3"/>
    <x v="0"/>
    <x v="0"/>
    <x v="9"/>
    <n v="-33.272695170714499"/>
  </r>
  <r>
    <x v="0"/>
    <x v="0"/>
    <x v="1"/>
    <x v="3"/>
    <x v="0"/>
    <x v="0"/>
    <x v="10"/>
    <n v="-33.272695170714499"/>
  </r>
  <r>
    <x v="0"/>
    <x v="0"/>
    <x v="1"/>
    <x v="3"/>
    <x v="0"/>
    <x v="0"/>
    <x v="11"/>
    <n v="-33.272695170714499"/>
  </r>
  <r>
    <x v="0"/>
    <x v="0"/>
    <x v="1"/>
    <x v="3"/>
    <x v="0"/>
    <x v="0"/>
    <x v="12"/>
    <n v="-33.272695170714499"/>
  </r>
  <r>
    <x v="0"/>
    <x v="0"/>
    <x v="1"/>
    <x v="3"/>
    <x v="0"/>
    <x v="0"/>
    <x v="13"/>
    <n v="-33.272695170714499"/>
  </r>
  <r>
    <x v="0"/>
    <x v="0"/>
    <x v="1"/>
    <x v="3"/>
    <x v="0"/>
    <x v="0"/>
    <x v="14"/>
    <n v="-33.272695170714499"/>
  </r>
  <r>
    <x v="0"/>
    <x v="0"/>
    <x v="1"/>
    <x v="3"/>
    <x v="0"/>
    <x v="0"/>
    <x v="15"/>
    <n v="-33.272695170714499"/>
  </r>
  <r>
    <x v="0"/>
    <x v="0"/>
    <x v="1"/>
    <x v="3"/>
    <x v="0"/>
    <x v="0"/>
    <x v="16"/>
    <n v="-33.272695170714499"/>
  </r>
  <r>
    <x v="0"/>
    <x v="0"/>
    <x v="1"/>
    <x v="3"/>
    <x v="0"/>
    <x v="0"/>
    <x v="17"/>
    <n v="-33.272695170714499"/>
  </r>
  <r>
    <x v="0"/>
    <x v="0"/>
    <x v="1"/>
    <x v="3"/>
    <x v="0"/>
    <x v="0"/>
    <x v="18"/>
    <n v="-33.272695170714499"/>
  </r>
  <r>
    <x v="0"/>
    <x v="0"/>
    <x v="1"/>
    <x v="3"/>
    <x v="0"/>
    <x v="0"/>
    <x v="19"/>
    <n v="-33.272695170714499"/>
  </r>
  <r>
    <x v="0"/>
    <x v="0"/>
    <x v="1"/>
    <x v="3"/>
    <x v="0"/>
    <x v="0"/>
    <x v="20"/>
    <n v="-33.272695170714499"/>
  </r>
  <r>
    <x v="0"/>
    <x v="0"/>
    <x v="1"/>
    <x v="3"/>
    <x v="0"/>
    <x v="0"/>
    <x v="21"/>
    <n v="-33.272695170714499"/>
  </r>
  <r>
    <x v="0"/>
    <x v="0"/>
    <x v="1"/>
    <x v="3"/>
    <x v="0"/>
    <x v="0"/>
    <x v="22"/>
    <n v="-33.272695170714499"/>
  </r>
  <r>
    <x v="0"/>
    <x v="0"/>
    <x v="1"/>
    <x v="3"/>
    <x v="0"/>
    <x v="0"/>
    <x v="23"/>
    <n v="-33.272695170714499"/>
  </r>
  <r>
    <x v="0"/>
    <x v="0"/>
    <x v="1"/>
    <x v="3"/>
    <x v="1"/>
    <x v="0"/>
    <x v="0"/>
    <n v="12.974399999999999"/>
  </r>
  <r>
    <x v="0"/>
    <x v="0"/>
    <x v="1"/>
    <x v="3"/>
    <x v="1"/>
    <x v="0"/>
    <x v="1"/>
    <n v="12.974399999999999"/>
  </r>
  <r>
    <x v="0"/>
    <x v="0"/>
    <x v="1"/>
    <x v="3"/>
    <x v="1"/>
    <x v="0"/>
    <x v="2"/>
    <n v="12.974399999999999"/>
  </r>
  <r>
    <x v="0"/>
    <x v="0"/>
    <x v="1"/>
    <x v="3"/>
    <x v="1"/>
    <x v="0"/>
    <x v="3"/>
    <n v="12.974399999999999"/>
  </r>
  <r>
    <x v="0"/>
    <x v="0"/>
    <x v="1"/>
    <x v="3"/>
    <x v="1"/>
    <x v="0"/>
    <x v="4"/>
    <n v="12.974399999999999"/>
  </r>
  <r>
    <x v="0"/>
    <x v="0"/>
    <x v="1"/>
    <x v="3"/>
    <x v="1"/>
    <x v="0"/>
    <x v="5"/>
    <n v="12.974399999999999"/>
  </r>
  <r>
    <x v="0"/>
    <x v="0"/>
    <x v="1"/>
    <x v="3"/>
    <x v="1"/>
    <x v="0"/>
    <x v="6"/>
    <n v="12.974399999999999"/>
  </r>
  <r>
    <x v="0"/>
    <x v="0"/>
    <x v="1"/>
    <x v="3"/>
    <x v="1"/>
    <x v="0"/>
    <x v="7"/>
    <n v="12.974399999999999"/>
  </r>
  <r>
    <x v="0"/>
    <x v="0"/>
    <x v="1"/>
    <x v="3"/>
    <x v="1"/>
    <x v="0"/>
    <x v="8"/>
    <n v="12.974399999999999"/>
  </r>
  <r>
    <x v="0"/>
    <x v="0"/>
    <x v="1"/>
    <x v="3"/>
    <x v="1"/>
    <x v="0"/>
    <x v="9"/>
    <n v="12.974399999999999"/>
  </r>
  <r>
    <x v="0"/>
    <x v="0"/>
    <x v="1"/>
    <x v="3"/>
    <x v="1"/>
    <x v="0"/>
    <x v="10"/>
    <n v="12.974399999999999"/>
  </r>
  <r>
    <x v="0"/>
    <x v="0"/>
    <x v="1"/>
    <x v="3"/>
    <x v="1"/>
    <x v="0"/>
    <x v="11"/>
    <n v="12.974399999999999"/>
  </r>
  <r>
    <x v="0"/>
    <x v="0"/>
    <x v="1"/>
    <x v="3"/>
    <x v="1"/>
    <x v="0"/>
    <x v="12"/>
    <n v="12.974399999999999"/>
  </r>
  <r>
    <x v="0"/>
    <x v="0"/>
    <x v="1"/>
    <x v="3"/>
    <x v="1"/>
    <x v="0"/>
    <x v="13"/>
    <n v="12.974399999999999"/>
  </r>
  <r>
    <x v="0"/>
    <x v="0"/>
    <x v="1"/>
    <x v="3"/>
    <x v="1"/>
    <x v="0"/>
    <x v="14"/>
    <n v="12.974399999999999"/>
  </r>
  <r>
    <x v="0"/>
    <x v="0"/>
    <x v="1"/>
    <x v="3"/>
    <x v="1"/>
    <x v="0"/>
    <x v="15"/>
    <n v="12.974399999999999"/>
  </r>
  <r>
    <x v="0"/>
    <x v="0"/>
    <x v="1"/>
    <x v="3"/>
    <x v="1"/>
    <x v="0"/>
    <x v="16"/>
    <n v="12.974399999999999"/>
  </r>
  <r>
    <x v="0"/>
    <x v="0"/>
    <x v="1"/>
    <x v="3"/>
    <x v="1"/>
    <x v="0"/>
    <x v="17"/>
    <n v="12.974399999999999"/>
  </r>
  <r>
    <x v="0"/>
    <x v="0"/>
    <x v="1"/>
    <x v="3"/>
    <x v="1"/>
    <x v="0"/>
    <x v="18"/>
    <n v="12.974399999999999"/>
  </r>
  <r>
    <x v="0"/>
    <x v="0"/>
    <x v="1"/>
    <x v="3"/>
    <x v="1"/>
    <x v="0"/>
    <x v="19"/>
    <n v="12.974399999999999"/>
  </r>
  <r>
    <x v="0"/>
    <x v="0"/>
    <x v="1"/>
    <x v="3"/>
    <x v="1"/>
    <x v="0"/>
    <x v="20"/>
    <n v="12.974399999999999"/>
  </r>
  <r>
    <x v="0"/>
    <x v="0"/>
    <x v="1"/>
    <x v="3"/>
    <x v="1"/>
    <x v="0"/>
    <x v="21"/>
    <n v="12.974399999999999"/>
  </r>
  <r>
    <x v="0"/>
    <x v="0"/>
    <x v="1"/>
    <x v="3"/>
    <x v="1"/>
    <x v="0"/>
    <x v="22"/>
    <n v="12.974399999999999"/>
  </r>
  <r>
    <x v="0"/>
    <x v="0"/>
    <x v="1"/>
    <x v="3"/>
    <x v="1"/>
    <x v="0"/>
    <x v="23"/>
    <n v="12.974399999999999"/>
  </r>
  <r>
    <x v="0"/>
    <x v="0"/>
    <x v="1"/>
    <x v="3"/>
    <x v="3"/>
    <x v="0"/>
    <x v="0"/>
    <n v="-0.36"/>
  </r>
  <r>
    <x v="0"/>
    <x v="0"/>
    <x v="1"/>
    <x v="3"/>
    <x v="3"/>
    <x v="0"/>
    <x v="1"/>
    <n v="-0.36"/>
  </r>
  <r>
    <x v="0"/>
    <x v="0"/>
    <x v="1"/>
    <x v="3"/>
    <x v="3"/>
    <x v="0"/>
    <x v="2"/>
    <n v="-0.36"/>
  </r>
  <r>
    <x v="0"/>
    <x v="0"/>
    <x v="1"/>
    <x v="3"/>
    <x v="3"/>
    <x v="0"/>
    <x v="3"/>
    <n v="-0.36"/>
  </r>
  <r>
    <x v="0"/>
    <x v="0"/>
    <x v="1"/>
    <x v="3"/>
    <x v="3"/>
    <x v="0"/>
    <x v="4"/>
    <n v="-0.36"/>
  </r>
  <r>
    <x v="0"/>
    <x v="0"/>
    <x v="1"/>
    <x v="3"/>
    <x v="3"/>
    <x v="0"/>
    <x v="5"/>
    <n v="-0.36"/>
  </r>
  <r>
    <x v="0"/>
    <x v="0"/>
    <x v="1"/>
    <x v="3"/>
    <x v="3"/>
    <x v="0"/>
    <x v="6"/>
    <n v="-0.36"/>
  </r>
  <r>
    <x v="0"/>
    <x v="0"/>
    <x v="1"/>
    <x v="3"/>
    <x v="3"/>
    <x v="0"/>
    <x v="7"/>
    <n v="-0.36"/>
  </r>
  <r>
    <x v="0"/>
    <x v="0"/>
    <x v="1"/>
    <x v="3"/>
    <x v="3"/>
    <x v="0"/>
    <x v="8"/>
    <n v="-0.36"/>
  </r>
  <r>
    <x v="0"/>
    <x v="0"/>
    <x v="1"/>
    <x v="3"/>
    <x v="3"/>
    <x v="0"/>
    <x v="9"/>
    <n v="-0.36"/>
  </r>
  <r>
    <x v="0"/>
    <x v="0"/>
    <x v="1"/>
    <x v="3"/>
    <x v="3"/>
    <x v="0"/>
    <x v="10"/>
    <n v="-0.36"/>
  </r>
  <r>
    <x v="0"/>
    <x v="0"/>
    <x v="1"/>
    <x v="3"/>
    <x v="3"/>
    <x v="0"/>
    <x v="11"/>
    <n v="-0.36"/>
  </r>
  <r>
    <x v="0"/>
    <x v="0"/>
    <x v="1"/>
    <x v="3"/>
    <x v="3"/>
    <x v="0"/>
    <x v="12"/>
    <n v="-0.36"/>
  </r>
  <r>
    <x v="0"/>
    <x v="0"/>
    <x v="1"/>
    <x v="3"/>
    <x v="3"/>
    <x v="0"/>
    <x v="13"/>
    <n v="-0.36"/>
  </r>
  <r>
    <x v="0"/>
    <x v="0"/>
    <x v="1"/>
    <x v="3"/>
    <x v="3"/>
    <x v="0"/>
    <x v="14"/>
    <n v="-0.36"/>
  </r>
  <r>
    <x v="0"/>
    <x v="0"/>
    <x v="1"/>
    <x v="3"/>
    <x v="3"/>
    <x v="0"/>
    <x v="15"/>
    <n v="-0.36"/>
  </r>
  <r>
    <x v="0"/>
    <x v="0"/>
    <x v="1"/>
    <x v="3"/>
    <x v="3"/>
    <x v="0"/>
    <x v="16"/>
    <n v="-0.36"/>
  </r>
  <r>
    <x v="0"/>
    <x v="0"/>
    <x v="1"/>
    <x v="3"/>
    <x v="3"/>
    <x v="0"/>
    <x v="17"/>
    <n v="-0.36"/>
  </r>
  <r>
    <x v="0"/>
    <x v="0"/>
    <x v="1"/>
    <x v="3"/>
    <x v="3"/>
    <x v="0"/>
    <x v="18"/>
    <n v="-0.36"/>
  </r>
  <r>
    <x v="0"/>
    <x v="0"/>
    <x v="1"/>
    <x v="3"/>
    <x v="3"/>
    <x v="0"/>
    <x v="19"/>
    <n v="-0.36"/>
  </r>
  <r>
    <x v="0"/>
    <x v="0"/>
    <x v="1"/>
    <x v="3"/>
    <x v="3"/>
    <x v="0"/>
    <x v="20"/>
    <n v="-0.36"/>
  </r>
  <r>
    <x v="0"/>
    <x v="0"/>
    <x v="1"/>
    <x v="3"/>
    <x v="3"/>
    <x v="0"/>
    <x v="21"/>
    <n v="-0.36"/>
  </r>
  <r>
    <x v="0"/>
    <x v="0"/>
    <x v="1"/>
    <x v="3"/>
    <x v="3"/>
    <x v="0"/>
    <x v="22"/>
    <n v="-0.36"/>
  </r>
  <r>
    <x v="0"/>
    <x v="0"/>
    <x v="1"/>
    <x v="3"/>
    <x v="3"/>
    <x v="0"/>
    <x v="23"/>
    <n v="-0.36"/>
  </r>
  <r>
    <x v="0"/>
    <x v="0"/>
    <x v="1"/>
    <x v="4"/>
    <x v="0"/>
    <x v="0"/>
    <x v="0"/>
    <n v="2.7"/>
  </r>
  <r>
    <x v="0"/>
    <x v="0"/>
    <x v="1"/>
    <x v="4"/>
    <x v="0"/>
    <x v="0"/>
    <x v="1"/>
    <n v="2.7"/>
  </r>
  <r>
    <x v="0"/>
    <x v="0"/>
    <x v="1"/>
    <x v="4"/>
    <x v="0"/>
    <x v="0"/>
    <x v="2"/>
    <n v="2.7"/>
  </r>
  <r>
    <x v="0"/>
    <x v="0"/>
    <x v="1"/>
    <x v="4"/>
    <x v="0"/>
    <x v="0"/>
    <x v="3"/>
    <n v="2.7"/>
  </r>
  <r>
    <x v="0"/>
    <x v="0"/>
    <x v="1"/>
    <x v="4"/>
    <x v="0"/>
    <x v="0"/>
    <x v="4"/>
    <n v="2.7"/>
  </r>
  <r>
    <x v="0"/>
    <x v="0"/>
    <x v="1"/>
    <x v="4"/>
    <x v="0"/>
    <x v="0"/>
    <x v="5"/>
    <n v="2.7"/>
  </r>
  <r>
    <x v="0"/>
    <x v="0"/>
    <x v="1"/>
    <x v="4"/>
    <x v="0"/>
    <x v="0"/>
    <x v="6"/>
    <n v="2.7"/>
  </r>
  <r>
    <x v="0"/>
    <x v="0"/>
    <x v="1"/>
    <x v="4"/>
    <x v="0"/>
    <x v="0"/>
    <x v="7"/>
    <n v="2.7"/>
  </r>
  <r>
    <x v="0"/>
    <x v="0"/>
    <x v="1"/>
    <x v="4"/>
    <x v="0"/>
    <x v="0"/>
    <x v="8"/>
    <n v="2.5218780620390802"/>
  </r>
  <r>
    <x v="0"/>
    <x v="0"/>
    <x v="1"/>
    <x v="4"/>
    <x v="0"/>
    <x v="0"/>
    <x v="9"/>
    <n v="2.6117904694838301"/>
  </r>
  <r>
    <x v="0"/>
    <x v="0"/>
    <x v="1"/>
    <x v="4"/>
    <x v="0"/>
    <x v="0"/>
    <x v="10"/>
    <n v="2.5541223378790101"/>
  </r>
  <r>
    <x v="0"/>
    <x v="0"/>
    <x v="1"/>
    <x v="4"/>
    <x v="0"/>
    <x v="0"/>
    <x v="11"/>
    <n v="2.50882293372961"/>
  </r>
  <r>
    <x v="0"/>
    <x v="0"/>
    <x v="1"/>
    <x v="4"/>
    <x v="0"/>
    <x v="0"/>
    <x v="12"/>
    <n v="2.5936298852651798"/>
  </r>
  <r>
    <x v="0"/>
    <x v="0"/>
    <x v="1"/>
    <x v="4"/>
    <x v="0"/>
    <x v="0"/>
    <x v="13"/>
    <n v="2.5813844563904902"/>
  </r>
  <r>
    <x v="0"/>
    <x v="0"/>
    <x v="1"/>
    <x v="4"/>
    <x v="0"/>
    <x v="0"/>
    <x v="14"/>
    <n v="2.5766596372289898"/>
  </r>
  <r>
    <x v="0"/>
    <x v="0"/>
    <x v="1"/>
    <x v="4"/>
    <x v="0"/>
    <x v="0"/>
    <x v="15"/>
    <n v="2.6786553054954201"/>
  </r>
  <r>
    <x v="0"/>
    <x v="0"/>
    <x v="1"/>
    <x v="4"/>
    <x v="0"/>
    <x v="0"/>
    <x v="16"/>
    <n v="2.5121322209880299"/>
  </r>
  <r>
    <x v="0"/>
    <x v="0"/>
    <x v="1"/>
    <x v="4"/>
    <x v="0"/>
    <x v="0"/>
    <x v="17"/>
    <n v="2.0064342792872099"/>
  </r>
  <r>
    <x v="0"/>
    <x v="0"/>
    <x v="1"/>
    <x v="4"/>
    <x v="0"/>
    <x v="0"/>
    <x v="18"/>
    <n v="1.5328920327714299"/>
  </r>
  <r>
    <x v="0"/>
    <x v="0"/>
    <x v="1"/>
    <x v="4"/>
    <x v="0"/>
    <x v="0"/>
    <x v="19"/>
    <n v="1.4200630773988701"/>
  </r>
  <r>
    <x v="0"/>
    <x v="0"/>
    <x v="1"/>
    <x v="4"/>
    <x v="0"/>
    <x v="0"/>
    <x v="20"/>
    <n v="1.6135333812475501"/>
  </r>
  <r>
    <x v="0"/>
    <x v="0"/>
    <x v="1"/>
    <x v="4"/>
    <x v="0"/>
    <x v="0"/>
    <x v="21"/>
    <n v="2.0196673014519102"/>
  </r>
  <r>
    <x v="0"/>
    <x v="0"/>
    <x v="1"/>
    <x v="4"/>
    <x v="0"/>
    <x v="0"/>
    <x v="22"/>
    <n v="2.5267842924914401"/>
  </r>
  <r>
    <x v="0"/>
    <x v="0"/>
    <x v="1"/>
    <x v="4"/>
    <x v="0"/>
    <x v="0"/>
    <x v="23"/>
    <n v="2.7"/>
  </r>
  <r>
    <x v="0"/>
    <x v="0"/>
    <x v="1"/>
    <x v="4"/>
    <x v="3"/>
    <x v="0"/>
    <x v="0"/>
    <n v="0"/>
  </r>
  <r>
    <x v="0"/>
    <x v="0"/>
    <x v="1"/>
    <x v="4"/>
    <x v="3"/>
    <x v="0"/>
    <x v="1"/>
    <n v="0"/>
  </r>
  <r>
    <x v="0"/>
    <x v="0"/>
    <x v="1"/>
    <x v="4"/>
    <x v="3"/>
    <x v="0"/>
    <x v="2"/>
    <n v="0"/>
  </r>
  <r>
    <x v="0"/>
    <x v="0"/>
    <x v="1"/>
    <x v="4"/>
    <x v="3"/>
    <x v="0"/>
    <x v="3"/>
    <n v="0"/>
  </r>
  <r>
    <x v="0"/>
    <x v="0"/>
    <x v="1"/>
    <x v="4"/>
    <x v="3"/>
    <x v="0"/>
    <x v="4"/>
    <n v="0"/>
  </r>
  <r>
    <x v="0"/>
    <x v="0"/>
    <x v="1"/>
    <x v="4"/>
    <x v="3"/>
    <x v="0"/>
    <x v="5"/>
    <n v="0"/>
  </r>
  <r>
    <x v="0"/>
    <x v="0"/>
    <x v="1"/>
    <x v="4"/>
    <x v="3"/>
    <x v="0"/>
    <x v="6"/>
    <n v="-3.7131249392895901E-2"/>
  </r>
  <r>
    <x v="0"/>
    <x v="0"/>
    <x v="1"/>
    <x v="4"/>
    <x v="3"/>
    <x v="0"/>
    <x v="7"/>
    <n v="-0.440359941024979"/>
  </r>
  <r>
    <x v="0"/>
    <x v="0"/>
    <x v="1"/>
    <x v="4"/>
    <x v="3"/>
    <x v="0"/>
    <x v="8"/>
    <n v="-0.43367146880921098"/>
  </r>
  <r>
    <x v="0"/>
    <x v="0"/>
    <x v="1"/>
    <x v="4"/>
    <x v="3"/>
    <x v="0"/>
    <x v="9"/>
    <n v="-0.51851425566581699"/>
  </r>
  <r>
    <x v="0"/>
    <x v="0"/>
    <x v="1"/>
    <x v="4"/>
    <x v="3"/>
    <x v="0"/>
    <x v="10"/>
    <n v="-0.54"/>
  </r>
  <r>
    <x v="0"/>
    <x v="0"/>
    <x v="1"/>
    <x v="4"/>
    <x v="3"/>
    <x v="0"/>
    <x v="11"/>
    <n v="-0.54"/>
  </r>
  <r>
    <x v="0"/>
    <x v="0"/>
    <x v="1"/>
    <x v="4"/>
    <x v="3"/>
    <x v="0"/>
    <x v="12"/>
    <n v="-0.54"/>
  </r>
  <r>
    <x v="0"/>
    <x v="0"/>
    <x v="1"/>
    <x v="4"/>
    <x v="3"/>
    <x v="0"/>
    <x v="13"/>
    <n v="-0.49199044834440903"/>
  </r>
  <r>
    <x v="0"/>
    <x v="0"/>
    <x v="1"/>
    <x v="4"/>
    <x v="3"/>
    <x v="0"/>
    <x v="14"/>
    <n v="-0.45820623845149799"/>
  </r>
  <r>
    <x v="0"/>
    <x v="0"/>
    <x v="1"/>
    <x v="4"/>
    <x v="3"/>
    <x v="0"/>
    <x v="15"/>
    <n v="-0.53875757699543203"/>
  </r>
  <r>
    <x v="0"/>
    <x v="0"/>
    <x v="1"/>
    <x v="4"/>
    <x v="3"/>
    <x v="0"/>
    <x v="16"/>
    <n v="-0.54"/>
  </r>
  <r>
    <x v="0"/>
    <x v="0"/>
    <x v="1"/>
    <x v="4"/>
    <x v="3"/>
    <x v="0"/>
    <x v="17"/>
    <n v="-0.42525108289393998"/>
  </r>
  <r>
    <x v="0"/>
    <x v="0"/>
    <x v="1"/>
    <x v="4"/>
    <x v="3"/>
    <x v="0"/>
    <x v="18"/>
    <n v="-0.22200456416397399"/>
  </r>
  <r>
    <x v="0"/>
    <x v="0"/>
    <x v="1"/>
    <x v="4"/>
    <x v="3"/>
    <x v="0"/>
    <x v="19"/>
    <n v="-0.18123200010586701"/>
  </r>
  <r>
    <x v="0"/>
    <x v="0"/>
    <x v="1"/>
    <x v="4"/>
    <x v="3"/>
    <x v="0"/>
    <x v="20"/>
    <n v="-0.236557541855273"/>
  </r>
  <r>
    <x v="0"/>
    <x v="0"/>
    <x v="1"/>
    <x v="4"/>
    <x v="3"/>
    <x v="0"/>
    <x v="21"/>
    <n v="-0.34954409664470898"/>
  </r>
  <r>
    <x v="0"/>
    <x v="0"/>
    <x v="1"/>
    <x v="4"/>
    <x v="3"/>
    <x v="0"/>
    <x v="22"/>
    <n v="-0.53845079848664001"/>
  </r>
  <r>
    <x v="0"/>
    <x v="0"/>
    <x v="1"/>
    <x v="4"/>
    <x v="3"/>
    <x v="0"/>
    <x v="23"/>
    <n v="-0.30985454424145398"/>
  </r>
  <r>
    <x v="0"/>
    <x v="0"/>
    <x v="1"/>
    <x v="4"/>
    <x v="6"/>
    <x v="0"/>
    <x v="0"/>
    <n v="-2.8888599573969902"/>
  </r>
  <r>
    <x v="0"/>
    <x v="0"/>
    <x v="1"/>
    <x v="4"/>
    <x v="6"/>
    <x v="0"/>
    <x v="1"/>
    <n v="-2.8888599573969902"/>
  </r>
  <r>
    <x v="0"/>
    <x v="0"/>
    <x v="1"/>
    <x v="4"/>
    <x v="6"/>
    <x v="0"/>
    <x v="2"/>
    <n v="-2.8888599573969902"/>
  </r>
  <r>
    <x v="0"/>
    <x v="0"/>
    <x v="1"/>
    <x v="4"/>
    <x v="6"/>
    <x v="0"/>
    <x v="3"/>
    <n v="-2.3435576636759001"/>
  </r>
  <r>
    <x v="0"/>
    <x v="0"/>
    <x v="1"/>
    <x v="4"/>
    <x v="6"/>
    <x v="0"/>
    <x v="4"/>
    <n v="-2.8888599573969902"/>
  </r>
  <r>
    <x v="0"/>
    <x v="0"/>
    <x v="1"/>
    <x v="4"/>
    <x v="6"/>
    <x v="0"/>
    <x v="5"/>
    <n v="-2.8888599573969902"/>
  </r>
  <r>
    <x v="0"/>
    <x v="0"/>
    <x v="1"/>
    <x v="4"/>
    <x v="6"/>
    <x v="0"/>
    <x v="6"/>
    <n v="-2.8888599573969902"/>
  </r>
  <r>
    <x v="0"/>
    <x v="0"/>
    <x v="1"/>
    <x v="4"/>
    <x v="6"/>
    <x v="0"/>
    <x v="7"/>
    <n v="-2.8888599573969902"/>
  </r>
  <r>
    <x v="0"/>
    <x v="0"/>
    <x v="1"/>
    <x v="4"/>
    <x v="6"/>
    <x v="0"/>
    <x v="8"/>
    <n v="-2.8888599573969902"/>
  </r>
  <r>
    <x v="0"/>
    <x v="0"/>
    <x v="1"/>
    <x v="4"/>
    <x v="6"/>
    <x v="0"/>
    <x v="9"/>
    <n v="-2.8888599573969902"/>
  </r>
  <r>
    <x v="0"/>
    <x v="0"/>
    <x v="1"/>
    <x v="4"/>
    <x v="6"/>
    <x v="0"/>
    <x v="10"/>
    <n v="-2.8888599573969902"/>
  </r>
  <r>
    <x v="0"/>
    <x v="0"/>
    <x v="1"/>
    <x v="4"/>
    <x v="6"/>
    <x v="0"/>
    <x v="11"/>
    <n v="-2.8888599573969902"/>
  </r>
  <r>
    <x v="0"/>
    <x v="0"/>
    <x v="1"/>
    <x v="4"/>
    <x v="6"/>
    <x v="0"/>
    <x v="12"/>
    <n v="-2.8888599573969902"/>
  </r>
  <r>
    <x v="0"/>
    <x v="0"/>
    <x v="1"/>
    <x v="4"/>
    <x v="6"/>
    <x v="0"/>
    <x v="13"/>
    <n v="-2.8888599573969902"/>
  </r>
  <r>
    <x v="0"/>
    <x v="0"/>
    <x v="1"/>
    <x v="4"/>
    <x v="6"/>
    <x v="0"/>
    <x v="14"/>
    <n v="-2.8888599573969902"/>
  </r>
  <r>
    <x v="0"/>
    <x v="0"/>
    <x v="1"/>
    <x v="4"/>
    <x v="6"/>
    <x v="0"/>
    <x v="15"/>
    <n v="-2.8888599573969902"/>
  </r>
  <r>
    <x v="0"/>
    <x v="0"/>
    <x v="1"/>
    <x v="4"/>
    <x v="6"/>
    <x v="0"/>
    <x v="16"/>
    <n v="-2.8888599573969902"/>
  </r>
  <r>
    <x v="0"/>
    <x v="0"/>
    <x v="1"/>
    <x v="4"/>
    <x v="6"/>
    <x v="0"/>
    <x v="17"/>
    <n v="-2.8888599573969902"/>
  </r>
  <r>
    <x v="0"/>
    <x v="0"/>
    <x v="1"/>
    <x v="4"/>
    <x v="6"/>
    <x v="0"/>
    <x v="18"/>
    <n v="-2.8888599573969902"/>
  </r>
  <r>
    <x v="0"/>
    <x v="0"/>
    <x v="1"/>
    <x v="4"/>
    <x v="6"/>
    <x v="0"/>
    <x v="19"/>
    <n v="-2.8888599573969902"/>
  </r>
  <r>
    <x v="0"/>
    <x v="0"/>
    <x v="1"/>
    <x v="4"/>
    <x v="6"/>
    <x v="0"/>
    <x v="20"/>
    <n v="-2.8888599573969902"/>
  </r>
  <r>
    <x v="0"/>
    <x v="0"/>
    <x v="1"/>
    <x v="4"/>
    <x v="6"/>
    <x v="0"/>
    <x v="21"/>
    <n v="-2.8888599573969902"/>
  </r>
  <r>
    <x v="0"/>
    <x v="0"/>
    <x v="1"/>
    <x v="4"/>
    <x v="6"/>
    <x v="0"/>
    <x v="22"/>
    <n v="-2.8888599573969902"/>
  </r>
  <r>
    <x v="0"/>
    <x v="0"/>
    <x v="1"/>
    <x v="4"/>
    <x v="6"/>
    <x v="0"/>
    <x v="23"/>
    <n v="-2.8888599573969902"/>
  </r>
  <r>
    <x v="0"/>
    <x v="0"/>
    <x v="1"/>
    <x v="4"/>
    <x v="8"/>
    <x v="0"/>
    <x v="0"/>
    <n v="-0.46470705690119901"/>
  </r>
  <r>
    <x v="0"/>
    <x v="0"/>
    <x v="1"/>
    <x v="4"/>
    <x v="8"/>
    <x v="0"/>
    <x v="1"/>
    <n v="-0.30431252697831201"/>
  </r>
  <r>
    <x v="0"/>
    <x v="0"/>
    <x v="1"/>
    <x v="4"/>
    <x v="8"/>
    <x v="0"/>
    <x v="2"/>
    <n v="-0.19884795842242101"/>
  </r>
  <r>
    <x v="0"/>
    <x v="0"/>
    <x v="1"/>
    <x v="4"/>
    <x v="8"/>
    <x v="0"/>
    <x v="3"/>
    <n v="-0.61199999999999999"/>
  </r>
  <r>
    <x v="0"/>
    <x v="0"/>
    <x v="1"/>
    <x v="4"/>
    <x v="8"/>
    <x v="0"/>
    <x v="4"/>
    <n v="-5.2783895181422402E-2"/>
  </r>
  <r>
    <x v="0"/>
    <x v="0"/>
    <x v="1"/>
    <x v="4"/>
    <x v="8"/>
    <x v="0"/>
    <x v="5"/>
    <n v="-0.28194105903822198"/>
  </r>
  <r>
    <x v="0"/>
    <x v="0"/>
    <x v="1"/>
    <x v="4"/>
    <x v="8"/>
    <x v="0"/>
    <x v="6"/>
    <n v="-0.61199999999999999"/>
  </r>
  <r>
    <x v="0"/>
    <x v="0"/>
    <x v="1"/>
    <x v="4"/>
    <x v="8"/>
    <x v="0"/>
    <x v="7"/>
    <n v="-0.61199999999999999"/>
  </r>
  <r>
    <x v="0"/>
    <x v="0"/>
    <x v="1"/>
    <x v="4"/>
    <x v="8"/>
    <x v="0"/>
    <x v="8"/>
    <n v="-0.61199999999999999"/>
  </r>
  <r>
    <x v="0"/>
    <x v="0"/>
    <x v="1"/>
    <x v="4"/>
    <x v="8"/>
    <x v="0"/>
    <x v="9"/>
    <n v="-0.61199999999999999"/>
  </r>
  <r>
    <x v="0"/>
    <x v="0"/>
    <x v="1"/>
    <x v="4"/>
    <x v="8"/>
    <x v="0"/>
    <x v="10"/>
    <n v="-0.61199999999999999"/>
  </r>
  <r>
    <x v="0"/>
    <x v="0"/>
    <x v="1"/>
    <x v="4"/>
    <x v="8"/>
    <x v="0"/>
    <x v="11"/>
    <n v="-0.61199999999999999"/>
  </r>
  <r>
    <x v="0"/>
    <x v="0"/>
    <x v="1"/>
    <x v="4"/>
    <x v="8"/>
    <x v="0"/>
    <x v="12"/>
    <n v="-0.61199999999999999"/>
  </r>
  <r>
    <x v="0"/>
    <x v="0"/>
    <x v="1"/>
    <x v="4"/>
    <x v="8"/>
    <x v="0"/>
    <x v="13"/>
    <n v="-0.61199999999999999"/>
  </r>
  <r>
    <x v="0"/>
    <x v="0"/>
    <x v="1"/>
    <x v="4"/>
    <x v="8"/>
    <x v="0"/>
    <x v="14"/>
    <n v="-0.61199999999999999"/>
  </r>
  <r>
    <x v="0"/>
    <x v="0"/>
    <x v="1"/>
    <x v="4"/>
    <x v="8"/>
    <x v="0"/>
    <x v="15"/>
    <n v="-0.61199999999999999"/>
  </r>
  <r>
    <x v="0"/>
    <x v="0"/>
    <x v="1"/>
    <x v="4"/>
    <x v="8"/>
    <x v="0"/>
    <x v="16"/>
    <n v="-0.61199999999999999"/>
  </r>
  <r>
    <x v="0"/>
    <x v="0"/>
    <x v="1"/>
    <x v="4"/>
    <x v="8"/>
    <x v="0"/>
    <x v="17"/>
    <n v="-0.61199999999999999"/>
  </r>
  <r>
    <x v="0"/>
    <x v="0"/>
    <x v="1"/>
    <x v="4"/>
    <x v="8"/>
    <x v="0"/>
    <x v="18"/>
    <n v="-0.61199999999999999"/>
  </r>
  <r>
    <x v="0"/>
    <x v="0"/>
    <x v="1"/>
    <x v="4"/>
    <x v="8"/>
    <x v="0"/>
    <x v="19"/>
    <n v="-0.61199999999999999"/>
  </r>
  <r>
    <x v="0"/>
    <x v="0"/>
    <x v="1"/>
    <x v="4"/>
    <x v="8"/>
    <x v="0"/>
    <x v="20"/>
    <n v="-0.61199999999999999"/>
  </r>
  <r>
    <x v="0"/>
    <x v="0"/>
    <x v="1"/>
    <x v="4"/>
    <x v="8"/>
    <x v="0"/>
    <x v="21"/>
    <n v="-0.61199999999999999"/>
  </r>
  <r>
    <x v="0"/>
    <x v="0"/>
    <x v="1"/>
    <x v="4"/>
    <x v="8"/>
    <x v="0"/>
    <x v="22"/>
    <n v="-0.61199999999999999"/>
  </r>
  <r>
    <x v="0"/>
    <x v="0"/>
    <x v="1"/>
    <x v="4"/>
    <x v="8"/>
    <x v="0"/>
    <x v="23"/>
    <n v="-0.61199999999999999"/>
  </r>
  <r>
    <x v="0"/>
    <x v="0"/>
    <x v="1"/>
    <x v="5"/>
    <x v="4"/>
    <x v="0"/>
    <x v="0"/>
    <n v="0.52649999999999997"/>
  </r>
  <r>
    <x v="0"/>
    <x v="0"/>
    <x v="1"/>
    <x v="5"/>
    <x v="4"/>
    <x v="0"/>
    <x v="1"/>
    <n v="0.52649999999999997"/>
  </r>
  <r>
    <x v="0"/>
    <x v="0"/>
    <x v="1"/>
    <x v="5"/>
    <x v="4"/>
    <x v="0"/>
    <x v="2"/>
    <n v="0.52649999999999997"/>
  </r>
  <r>
    <x v="0"/>
    <x v="0"/>
    <x v="1"/>
    <x v="5"/>
    <x v="4"/>
    <x v="0"/>
    <x v="3"/>
    <n v="0.52649999999999997"/>
  </r>
  <r>
    <x v="0"/>
    <x v="0"/>
    <x v="1"/>
    <x v="5"/>
    <x v="4"/>
    <x v="0"/>
    <x v="4"/>
    <n v="0.52649999999999997"/>
  </r>
  <r>
    <x v="0"/>
    <x v="0"/>
    <x v="1"/>
    <x v="5"/>
    <x v="4"/>
    <x v="0"/>
    <x v="5"/>
    <n v="0.52649999999999997"/>
  </r>
  <r>
    <x v="0"/>
    <x v="0"/>
    <x v="1"/>
    <x v="5"/>
    <x v="4"/>
    <x v="0"/>
    <x v="6"/>
    <n v="0.52649999999999997"/>
  </r>
  <r>
    <x v="0"/>
    <x v="0"/>
    <x v="1"/>
    <x v="5"/>
    <x v="4"/>
    <x v="0"/>
    <x v="7"/>
    <n v="0.52649999999999997"/>
  </r>
  <r>
    <x v="0"/>
    <x v="0"/>
    <x v="1"/>
    <x v="5"/>
    <x v="4"/>
    <x v="0"/>
    <x v="8"/>
    <n v="0.52649999999999997"/>
  </r>
  <r>
    <x v="0"/>
    <x v="0"/>
    <x v="1"/>
    <x v="5"/>
    <x v="4"/>
    <x v="0"/>
    <x v="9"/>
    <n v="0.52649999999999997"/>
  </r>
  <r>
    <x v="0"/>
    <x v="0"/>
    <x v="1"/>
    <x v="5"/>
    <x v="4"/>
    <x v="0"/>
    <x v="10"/>
    <n v="0.52649999999999997"/>
  </r>
  <r>
    <x v="0"/>
    <x v="0"/>
    <x v="1"/>
    <x v="5"/>
    <x v="4"/>
    <x v="0"/>
    <x v="11"/>
    <n v="0.52649999999999997"/>
  </r>
  <r>
    <x v="0"/>
    <x v="0"/>
    <x v="1"/>
    <x v="5"/>
    <x v="4"/>
    <x v="0"/>
    <x v="12"/>
    <n v="0.52649999999999997"/>
  </r>
  <r>
    <x v="0"/>
    <x v="0"/>
    <x v="1"/>
    <x v="5"/>
    <x v="4"/>
    <x v="0"/>
    <x v="13"/>
    <n v="0.52649999999999997"/>
  </r>
  <r>
    <x v="0"/>
    <x v="0"/>
    <x v="1"/>
    <x v="5"/>
    <x v="4"/>
    <x v="0"/>
    <x v="14"/>
    <n v="0.52649999999999997"/>
  </r>
  <r>
    <x v="0"/>
    <x v="0"/>
    <x v="1"/>
    <x v="5"/>
    <x v="4"/>
    <x v="0"/>
    <x v="15"/>
    <n v="0.52649999999999997"/>
  </r>
  <r>
    <x v="0"/>
    <x v="0"/>
    <x v="1"/>
    <x v="5"/>
    <x v="4"/>
    <x v="0"/>
    <x v="16"/>
    <n v="0.52649999999999997"/>
  </r>
  <r>
    <x v="0"/>
    <x v="0"/>
    <x v="1"/>
    <x v="5"/>
    <x v="4"/>
    <x v="0"/>
    <x v="17"/>
    <n v="0.52649999999999997"/>
  </r>
  <r>
    <x v="0"/>
    <x v="0"/>
    <x v="1"/>
    <x v="5"/>
    <x v="4"/>
    <x v="0"/>
    <x v="18"/>
    <n v="0.52649999999999997"/>
  </r>
  <r>
    <x v="0"/>
    <x v="0"/>
    <x v="1"/>
    <x v="5"/>
    <x v="4"/>
    <x v="0"/>
    <x v="19"/>
    <n v="0.52649999999999997"/>
  </r>
  <r>
    <x v="0"/>
    <x v="0"/>
    <x v="1"/>
    <x v="5"/>
    <x v="4"/>
    <x v="0"/>
    <x v="20"/>
    <n v="0.52649999999999997"/>
  </r>
  <r>
    <x v="0"/>
    <x v="0"/>
    <x v="1"/>
    <x v="5"/>
    <x v="4"/>
    <x v="0"/>
    <x v="21"/>
    <n v="0.52649999999999997"/>
  </r>
  <r>
    <x v="0"/>
    <x v="0"/>
    <x v="1"/>
    <x v="5"/>
    <x v="4"/>
    <x v="0"/>
    <x v="22"/>
    <n v="0.52649999999999997"/>
  </r>
  <r>
    <x v="0"/>
    <x v="0"/>
    <x v="1"/>
    <x v="5"/>
    <x v="4"/>
    <x v="0"/>
    <x v="23"/>
    <n v="0.52649999999999997"/>
  </r>
  <r>
    <x v="0"/>
    <x v="0"/>
    <x v="1"/>
    <x v="5"/>
    <x v="0"/>
    <x v="0"/>
    <x v="0"/>
    <n v="0"/>
  </r>
  <r>
    <x v="0"/>
    <x v="0"/>
    <x v="1"/>
    <x v="5"/>
    <x v="0"/>
    <x v="0"/>
    <x v="1"/>
    <n v="0"/>
  </r>
  <r>
    <x v="0"/>
    <x v="0"/>
    <x v="1"/>
    <x v="5"/>
    <x v="0"/>
    <x v="0"/>
    <x v="2"/>
    <n v="0"/>
  </r>
  <r>
    <x v="0"/>
    <x v="0"/>
    <x v="1"/>
    <x v="5"/>
    <x v="0"/>
    <x v="0"/>
    <x v="3"/>
    <n v="0"/>
  </r>
  <r>
    <x v="0"/>
    <x v="0"/>
    <x v="1"/>
    <x v="5"/>
    <x v="0"/>
    <x v="0"/>
    <x v="4"/>
    <n v="0"/>
  </r>
  <r>
    <x v="0"/>
    <x v="0"/>
    <x v="1"/>
    <x v="5"/>
    <x v="0"/>
    <x v="0"/>
    <x v="5"/>
    <n v="0"/>
  </r>
  <r>
    <x v="0"/>
    <x v="0"/>
    <x v="1"/>
    <x v="5"/>
    <x v="0"/>
    <x v="0"/>
    <x v="6"/>
    <n v="0"/>
  </r>
  <r>
    <x v="0"/>
    <x v="0"/>
    <x v="1"/>
    <x v="5"/>
    <x v="0"/>
    <x v="0"/>
    <x v="7"/>
    <n v="0"/>
  </r>
  <r>
    <x v="0"/>
    <x v="0"/>
    <x v="1"/>
    <x v="5"/>
    <x v="0"/>
    <x v="0"/>
    <x v="8"/>
    <n v="0"/>
  </r>
  <r>
    <x v="0"/>
    <x v="0"/>
    <x v="1"/>
    <x v="5"/>
    <x v="0"/>
    <x v="0"/>
    <x v="9"/>
    <n v="0"/>
  </r>
  <r>
    <x v="0"/>
    <x v="0"/>
    <x v="1"/>
    <x v="5"/>
    <x v="0"/>
    <x v="0"/>
    <x v="10"/>
    <n v="0"/>
  </r>
  <r>
    <x v="0"/>
    <x v="0"/>
    <x v="1"/>
    <x v="5"/>
    <x v="0"/>
    <x v="0"/>
    <x v="11"/>
    <n v="0"/>
  </r>
  <r>
    <x v="0"/>
    <x v="0"/>
    <x v="1"/>
    <x v="5"/>
    <x v="0"/>
    <x v="0"/>
    <x v="12"/>
    <n v="0"/>
  </r>
  <r>
    <x v="0"/>
    <x v="0"/>
    <x v="1"/>
    <x v="5"/>
    <x v="0"/>
    <x v="0"/>
    <x v="13"/>
    <n v="0"/>
  </r>
  <r>
    <x v="0"/>
    <x v="0"/>
    <x v="1"/>
    <x v="5"/>
    <x v="0"/>
    <x v="0"/>
    <x v="14"/>
    <n v="0"/>
  </r>
  <r>
    <x v="0"/>
    <x v="0"/>
    <x v="1"/>
    <x v="5"/>
    <x v="0"/>
    <x v="0"/>
    <x v="15"/>
    <n v="0"/>
  </r>
  <r>
    <x v="0"/>
    <x v="0"/>
    <x v="1"/>
    <x v="5"/>
    <x v="0"/>
    <x v="0"/>
    <x v="16"/>
    <n v="0"/>
  </r>
  <r>
    <x v="0"/>
    <x v="0"/>
    <x v="1"/>
    <x v="5"/>
    <x v="0"/>
    <x v="0"/>
    <x v="17"/>
    <n v="0"/>
  </r>
  <r>
    <x v="0"/>
    <x v="0"/>
    <x v="1"/>
    <x v="5"/>
    <x v="0"/>
    <x v="0"/>
    <x v="18"/>
    <n v="0"/>
  </r>
  <r>
    <x v="0"/>
    <x v="0"/>
    <x v="1"/>
    <x v="5"/>
    <x v="0"/>
    <x v="0"/>
    <x v="19"/>
    <n v="0"/>
  </r>
  <r>
    <x v="0"/>
    <x v="0"/>
    <x v="1"/>
    <x v="5"/>
    <x v="0"/>
    <x v="0"/>
    <x v="20"/>
    <n v="0"/>
  </r>
  <r>
    <x v="0"/>
    <x v="0"/>
    <x v="1"/>
    <x v="5"/>
    <x v="0"/>
    <x v="0"/>
    <x v="21"/>
    <n v="0"/>
  </r>
  <r>
    <x v="0"/>
    <x v="0"/>
    <x v="1"/>
    <x v="5"/>
    <x v="0"/>
    <x v="0"/>
    <x v="22"/>
    <n v="0"/>
  </r>
  <r>
    <x v="0"/>
    <x v="0"/>
    <x v="1"/>
    <x v="5"/>
    <x v="0"/>
    <x v="0"/>
    <x v="23"/>
    <n v="0"/>
  </r>
  <r>
    <x v="0"/>
    <x v="0"/>
    <x v="1"/>
    <x v="5"/>
    <x v="2"/>
    <x v="0"/>
    <x v="0"/>
    <n v="0.36"/>
  </r>
  <r>
    <x v="0"/>
    <x v="0"/>
    <x v="1"/>
    <x v="5"/>
    <x v="2"/>
    <x v="0"/>
    <x v="1"/>
    <n v="0.36"/>
  </r>
  <r>
    <x v="0"/>
    <x v="0"/>
    <x v="1"/>
    <x v="5"/>
    <x v="2"/>
    <x v="0"/>
    <x v="2"/>
    <n v="0.36"/>
  </r>
  <r>
    <x v="0"/>
    <x v="0"/>
    <x v="1"/>
    <x v="5"/>
    <x v="2"/>
    <x v="0"/>
    <x v="3"/>
    <n v="0.36"/>
  </r>
  <r>
    <x v="0"/>
    <x v="0"/>
    <x v="1"/>
    <x v="5"/>
    <x v="2"/>
    <x v="0"/>
    <x v="4"/>
    <n v="0.36"/>
  </r>
  <r>
    <x v="0"/>
    <x v="0"/>
    <x v="1"/>
    <x v="5"/>
    <x v="2"/>
    <x v="0"/>
    <x v="5"/>
    <n v="0.36"/>
  </r>
  <r>
    <x v="0"/>
    <x v="0"/>
    <x v="1"/>
    <x v="5"/>
    <x v="2"/>
    <x v="0"/>
    <x v="6"/>
    <n v="0.36"/>
  </r>
  <r>
    <x v="0"/>
    <x v="0"/>
    <x v="1"/>
    <x v="5"/>
    <x v="2"/>
    <x v="0"/>
    <x v="7"/>
    <n v="0.36"/>
  </r>
  <r>
    <x v="0"/>
    <x v="0"/>
    <x v="1"/>
    <x v="5"/>
    <x v="2"/>
    <x v="0"/>
    <x v="8"/>
    <n v="0.36"/>
  </r>
  <r>
    <x v="0"/>
    <x v="0"/>
    <x v="1"/>
    <x v="5"/>
    <x v="2"/>
    <x v="0"/>
    <x v="9"/>
    <n v="0.36"/>
  </r>
  <r>
    <x v="0"/>
    <x v="0"/>
    <x v="1"/>
    <x v="5"/>
    <x v="2"/>
    <x v="0"/>
    <x v="10"/>
    <n v="0.36"/>
  </r>
  <r>
    <x v="0"/>
    <x v="0"/>
    <x v="1"/>
    <x v="5"/>
    <x v="2"/>
    <x v="0"/>
    <x v="11"/>
    <n v="0.36"/>
  </r>
  <r>
    <x v="0"/>
    <x v="0"/>
    <x v="1"/>
    <x v="5"/>
    <x v="2"/>
    <x v="0"/>
    <x v="12"/>
    <n v="0.36"/>
  </r>
  <r>
    <x v="0"/>
    <x v="0"/>
    <x v="1"/>
    <x v="5"/>
    <x v="2"/>
    <x v="0"/>
    <x v="13"/>
    <n v="0.36"/>
  </r>
  <r>
    <x v="0"/>
    <x v="0"/>
    <x v="1"/>
    <x v="5"/>
    <x v="2"/>
    <x v="0"/>
    <x v="14"/>
    <n v="0.36"/>
  </r>
  <r>
    <x v="0"/>
    <x v="0"/>
    <x v="1"/>
    <x v="5"/>
    <x v="2"/>
    <x v="0"/>
    <x v="15"/>
    <n v="0.36"/>
  </r>
  <r>
    <x v="0"/>
    <x v="0"/>
    <x v="1"/>
    <x v="5"/>
    <x v="2"/>
    <x v="0"/>
    <x v="16"/>
    <n v="0.36"/>
  </r>
  <r>
    <x v="0"/>
    <x v="0"/>
    <x v="1"/>
    <x v="5"/>
    <x v="2"/>
    <x v="0"/>
    <x v="17"/>
    <n v="0.36"/>
  </r>
  <r>
    <x v="0"/>
    <x v="0"/>
    <x v="1"/>
    <x v="5"/>
    <x v="2"/>
    <x v="0"/>
    <x v="18"/>
    <n v="0.36"/>
  </r>
  <r>
    <x v="0"/>
    <x v="0"/>
    <x v="1"/>
    <x v="5"/>
    <x v="2"/>
    <x v="0"/>
    <x v="19"/>
    <n v="0.36"/>
  </r>
  <r>
    <x v="0"/>
    <x v="0"/>
    <x v="1"/>
    <x v="5"/>
    <x v="2"/>
    <x v="0"/>
    <x v="20"/>
    <n v="0.36"/>
  </r>
  <r>
    <x v="0"/>
    <x v="0"/>
    <x v="1"/>
    <x v="5"/>
    <x v="2"/>
    <x v="0"/>
    <x v="21"/>
    <n v="0.36"/>
  </r>
  <r>
    <x v="0"/>
    <x v="0"/>
    <x v="1"/>
    <x v="5"/>
    <x v="2"/>
    <x v="0"/>
    <x v="22"/>
    <n v="0.36"/>
  </r>
  <r>
    <x v="0"/>
    <x v="0"/>
    <x v="1"/>
    <x v="5"/>
    <x v="2"/>
    <x v="0"/>
    <x v="23"/>
    <n v="0.36"/>
  </r>
  <r>
    <x v="0"/>
    <x v="0"/>
    <x v="1"/>
    <x v="5"/>
    <x v="5"/>
    <x v="0"/>
    <x v="0"/>
    <n v="0"/>
  </r>
  <r>
    <x v="0"/>
    <x v="0"/>
    <x v="1"/>
    <x v="5"/>
    <x v="5"/>
    <x v="0"/>
    <x v="1"/>
    <n v="0"/>
  </r>
  <r>
    <x v="0"/>
    <x v="0"/>
    <x v="1"/>
    <x v="5"/>
    <x v="5"/>
    <x v="0"/>
    <x v="2"/>
    <n v="0"/>
  </r>
  <r>
    <x v="0"/>
    <x v="0"/>
    <x v="1"/>
    <x v="5"/>
    <x v="5"/>
    <x v="0"/>
    <x v="3"/>
    <n v="0"/>
  </r>
  <r>
    <x v="0"/>
    <x v="0"/>
    <x v="1"/>
    <x v="5"/>
    <x v="5"/>
    <x v="0"/>
    <x v="4"/>
    <n v="0"/>
  </r>
  <r>
    <x v="0"/>
    <x v="0"/>
    <x v="1"/>
    <x v="5"/>
    <x v="5"/>
    <x v="0"/>
    <x v="5"/>
    <n v="0"/>
  </r>
  <r>
    <x v="0"/>
    <x v="0"/>
    <x v="1"/>
    <x v="5"/>
    <x v="5"/>
    <x v="0"/>
    <x v="6"/>
    <n v="3.7131249392895901E-2"/>
  </r>
  <r>
    <x v="0"/>
    <x v="0"/>
    <x v="1"/>
    <x v="5"/>
    <x v="5"/>
    <x v="0"/>
    <x v="7"/>
    <n v="0.440359941024979"/>
  </r>
  <r>
    <x v="0"/>
    <x v="0"/>
    <x v="1"/>
    <x v="5"/>
    <x v="5"/>
    <x v="0"/>
    <x v="8"/>
    <n v="0.43367146880921098"/>
  </r>
  <r>
    <x v="0"/>
    <x v="0"/>
    <x v="1"/>
    <x v="5"/>
    <x v="5"/>
    <x v="0"/>
    <x v="9"/>
    <n v="0.51851425566581699"/>
  </r>
  <r>
    <x v="0"/>
    <x v="0"/>
    <x v="1"/>
    <x v="5"/>
    <x v="5"/>
    <x v="0"/>
    <x v="10"/>
    <n v="0.54"/>
  </r>
  <r>
    <x v="0"/>
    <x v="0"/>
    <x v="1"/>
    <x v="5"/>
    <x v="5"/>
    <x v="0"/>
    <x v="11"/>
    <n v="0.54"/>
  </r>
  <r>
    <x v="0"/>
    <x v="0"/>
    <x v="1"/>
    <x v="5"/>
    <x v="5"/>
    <x v="0"/>
    <x v="12"/>
    <n v="0.54"/>
  </r>
  <r>
    <x v="0"/>
    <x v="0"/>
    <x v="1"/>
    <x v="5"/>
    <x v="5"/>
    <x v="0"/>
    <x v="13"/>
    <n v="0.49199044834440903"/>
  </r>
  <r>
    <x v="0"/>
    <x v="0"/>
    <x v="1"/>
    <x v="5"/>
    <x v="5"/>
    <x v="0"/>
    <x v="14"/>
    <n v="0.45820623845149799"/>
  </r>
  <r>
    <x v="0"/>
    <x v="0"/>
    <x v="1"/>
    <x v="5"/>
    <x v="5"/>
    <x v="0"/>
    <x v="15"/>
    <n v="0.53875757699543203"/>
  </r>
  <r>
    <x v="0"/>
    <x v="0"/>
    <x v="1"/>
    <x v="5"/>
    <x v="5"/>
    <x v="0"/>
    <x v="16"/>
    <n v="0.54"/>
  </r>
  <r>
    <x v="0"/>
    <x v="0"/>
    <x v="1"/>
    <x v="5"/>
    <x v="5"/>
    <x v="0"/>
    <x v="17"/>
    <n v="0.42525108289393998"/>
  </r>
  <r>
    <x v="0"/>
    <x v="0"/>
    <x v="1"/>
    <x v="5"/>
    <x v="5"/>
    <x v="0"/>
    <x v="18"/>
    <n v="0.22200456416397399"/>
  </r>
  <r>
    <x v="0"/>
    <x v="0"/>
    <x v="1"/>
    <x v="5"/>
    <x v="5"/>
    <x v="0"/>
    <x v="19"/>
    <n v="0.18123200010586701"/>
  </r>
  <r>
    <x v="0"/>
    <x v="0"/>
    <x v="1"/>
    <x v="5"/>
    <x v="5"/>
    <x v="0"/>
    <x v="20"/>
    <n v="0.236557541855273"/>
  </r>
  <r>
    <x v="0"/>
    <x v="0"/>
    <x v="1"/>
    <x v="5"/>
    <x v="5"/>
    <x v="0"/>
    <x v="21"/>
    <n v="0.34954409664470898"/>
  </r>
  <r>
    <x v="0"/>
    <x v="0"/>
    <x v="1"/>
    <x v="5"/>
    <x v="5"/>
    <x v="0"/>
    <x v="22"/>
    <n v="0.53845079848664001"/>
  </r>
  <r>
    <x v="0"/>
    <x v="0"/>
    <x v="1"/>
    <x v="5"/>
    <x v="5"/>
    <x v="0"/>
    <x v="23"/>
    <n v="0.30985454424145398"/>
  </r>
  <r>
    <x v="0"/>
    <x v="0"/>
    <x v="1"/>
    <x v="5"/>
    <x v="7"/>
    <x v="0"/>
    <x v="0"/>
    <n v="-1.71159345286099"/>
  </r>
  <r>
    <x v="0"/>
    <x v="0"/>
    <x v="1"/>
    <x v="5"/>
    <x v="7"/>
    <x v="0"/>
    <x v="1"/>
    <n v="-1.6570180571668101"/>
  </r>
  <r>
    <x v="0"/>
    <x v="0"/>
    <x v="1"/>
    <x v="5"/>
    <x v="7"/>
    <x v="0"/>
    <x v="2"/>
    <n v="-1.6319036856951501"/>
  </r>
  <r>
    <x v="0"/>
    <x v="0"/>
    <x v="1"/>
    <x v="5"/>
    <x v="7"/>
    <x v="0"/>
    <x v="3"/>
    <n v="-1.64525350669448"/>
  </r>
  <r>
    <x v="0"/>
    <x v="0"/>
    <x v="1"/>
    <x v="5"/>
    <x v="7"/>
    <x v="0"/>
    <x v="4"/>
    <n v="-1.6800987574674999"/>
  </r>
  <r>
    <x v="0"/>
    <x v="0"/>
    <x v="1"/>
    <x v="5"/>
    <x v="7"/>
    <x v="0"/>
    <x v="5"/>
    <n v="-1.9351686650669699"/>
  </r>
  <r>
    <x v="0"/>
    <x v="0"/>
    <x v="1"/>
    <x v="5"/>
    <x v="7"/>
    <x v="0"/>
    <x v="6"/>
    <n v="-2.0789992886967301"/>
  </r>
  <r>
    <x v="0"/>
    <x v="0"/>
    <x v="1"/>
    <x v="5"/>
    <x v="7"/>
    <x v="0"/>
    <x v="7"/>
    <n v="-2.6854977848581099"/>
  </r>
  <r>
    <x v="0"/>
    <x v="0"/>
    <x v="1"/>
    <x v="5"/>
    <x v="7"/>
    <x v="0"/>
    <x v="8"/>
    <n v="-2.6854977848581099"/>
  </r>
  <r>
    <x v="0"/>
    <x v="0"/>
    <x v="1"/>
    <x v="5"/>
    <x v="7"/>
    <x v="0"/>
    <x v="9"/>
    <n v="-2.6854977848581099"/>
  </r>
  <r>
    <x v="0"/>
    <x v="0"/>
    <x v="1"/>
    <x v="5"/>
    <x v="7"/>
    <x v="0"/>
    <x v="10"/>
    <n v="-2.6739908395846301"/>
  </r>
  <r>
    <x v="0"/>
    <x v="0"/>
    <x v="1"/>
    <x v="5"/>
    <x v="7"/>
    <x v="0"/>
    <x v="11"/>
    <n v="-2.6561172735388201"/>
  </r>
  <r>
    <x v="0"/>
    <x v="0"/>
    <x v="1"/>
    <x v="5"/>
    <x v="7"/>
    <x v="0"/>
    <x v="12"/>
    <n v="-2.6827351031796098"/>
  </r>
  <r>
    <x v="0"/>
    <x v="0"/>
    <x v="1"/>
    <x v="5"/>
    <x v="7"/>
    <x v="0"/>
    <x v="13"/>
    <n v="-2.6854977848581099"/>
  </r>
  <r>
    <x v="0"/>
    <x v="0"/>
    <x v="1"/>
    <x v="5"/>
    <x v="7"/>
    <x v="0"/>
    <x v="14"/>
    <n v="-2.6854977848581099"/>
  </r>
  <r>
    <x v="0"/>
    <x v="0"/>
    <x v="1"/>
    <x v="5"/>
    <x v="7"/>
    <x v="0"/>
    <x v="15"/>
    <n v="-2.6854977848581099"/>
  </r>
  <r>
    <x v="0"/>
    <x v="0"/>
    <x v="1"/>
    <x v="5"/>
    <x v="7"/>
    <x v="0"/>
    <x v="16"/>
    <n v="-2.6854977848581099"/>
  </r>
  <r>
    <x v="0"/>
    <x v="0"/>
    <x v="1"/>
    <x v="5"/>
    <x v="7"/>
    <x v="0"/>
    <x v="17"/>
    <n v="-2.6854977848581099"/>
  </r>
  <r>
    <x v="0"/>
    <x v="0"/>
    <x v="1"/>
    <x v="5"/>
    <x v="7"/>
    <x v="0"/>
    <x v="18"/>
    <n v="-2.6854977848581099"/>
  </r>
  <r>
    <x v="0"/>
    <x v="0"/>
    <x v="1"/>
    <x v="5"/>
    <x v="7"/>
    <x v="0"/>
    <x v="19"/>
    <n v="-2.6854977848581099"/>
  </r>
  <r>
    <x v="0"/>
    <x v="0"/>
    <x v="1"/>
    <x v="5"/>
    <x v="7"/>
    <x v="0"/>
    <x v="20"/>
    <n v="-2.6854977848581099"/>
  </r>
  <r>
    <x v="0"/>
    <x v="0"/>
    <x v="1"/>
    <x v="5"/>
    <x v="7"/>
    <x v="0"/>
    <x v="21"/>
    <n v="-2.6854977848581099"/>
  </r>
  <r>
    <x v="0"/>
    <x v="0"/>
    <x v="1"/>
    <x v="5"/>
    <x v="7"/>
    <x v="0"/>
    <x v="22"/>
    <n v="-2.6854977848581099"/>
  </r>
  <r>
    <x v="0"/>
    <x v="0"/>
    <x v="1"/>
    <x v="5"/>
    <x v="7"/>
    <x v="0"/>
    <x v="23"/>
    <n v="-2.2536253054633599"/>
  </r>
  <r>
    <x v="0"/>
    <x v="0"/>
    <x v="1"/>
    <x v="6"/>
    <x v="6"/>
    <x v="0"/>
    <x v="0"/>
    <n v="0"/>
  </r>
  <r>
    <x v="0"/>
    <x v="0"/>
    <x v="1"/>
    <x v="6"/>
    <x v="6"/>
    <x v="0"/>
    <x v="1"/>
    <n v="0"/>
  </r>
  <r>
    <x v="0"/>
    <x v="0"/>
    <x v="1"/>
    <x v="6"/>
    <x v="6"/>
    <x v="0"/>
    <x v="2"/>
    <n v="0"/>
  </r>
  <r>
    <x v="0"/>
    <x v="0"/>
    <x v="1"/>
    <x v="6"/>
    <x v="6"/>
    <x v="0"/>
    <x v="3"/>
    <n v="0"/>
  </r>
  <r>
    <x v="0"/>
    <x v="0"/>
    <x v="1"/>
    <x v="6"/>
    <x v="6"/>
    <x v="0"/>
    <x v="4"/>
    <n v="0"/>
  </r>
  <r>
    <x v="0"/>
    <x v="0"/>
    <x v="1"/>
    <x v="6"/>
    <x v="6"/>
    <x v="0"/>
    <x v="5"/>
    <n v="0"/>
  </r>
  <r>
    <x v="0"/>
    <x v="0"/>
    <x v="1"/>
    <x v="6"/>
    <x v="6"/>
    <x v="0"/>
    <x v="6"/>
    <n v="0"/>
  </r>
  <r>
    <x v="0"/>
    <x v="0"/>
    <x v="1"/>
    <x v="6"/>
    <x v="6"/>
    <x v="0"/>
    <x v="7"/>
    <n v="0"/>
  </r>
  <r>
    <x v="0"/>
    <x v="0"/>
    <x v="1"/>
    <x v="6"/>
    <x v="6"/>
    <x v="0"/>
    <x v="8"/>
    <n v="0"/>
  </r>
  <r>
    <x v="0"/>
    <x v="0"/>
    <x v="1"/>
    <x v="6"/>
    <x v="6"/>
    <x v="0"/>
    <x v="9"/>
    <n v="0"/>
  </r>
  <r>
    <x v="0"/>
    <x v="0"/>
    <x v="1"/>
    <x v="6"/>
    <x v="6"/>
    <x v="0"/>
    <x v="10"/>
    <n v="0"/>
  </r>
  <r>
    <x v="0"/>
    <x v="0"/>
    <x v="1"/>
    <x v="6"/>
    <x v="6"/>
    <x v="0"/>
    <x v="11"/>
    <n v="0"/>
  </r>
  <r>
    <x v="0"/>
    <x v="0"/>
    <x v="1"/>
    <x v="6"/>
    <x v="6"/>
    <x v="0"/>
    <x v="12"/>
    <n v="0"/>
  </r>
  <r>
    <x v="0"/>
    <x v="0"/>
    <x v="1"/>
    <x v="6"/>
    <x v="6"/>
    <x v="0"/>
    <x v="13"/>
    <n v="0"/>
  </r>
  <r>
    <x v="0"/>
    <x v="0"/>
    <x v="1"/>
    <x v="6"/>
    <x v="6"/>
    <x v="0"/>
    <x v="14"/>
    <n v="0"/>
  </r>
  <r>
    <x v="0"/>
    <x v="0"/>
    <x v="1"/>
    <x v="6"/>
    <x v="6"/>
    <x v="0"/>
    <x v="15"/>
    <n v="0"/>
  </r>
  <r>
    <x v="0"/>
    <x v="0"/>
    <x v="1"/>
    <x v="6"/>
    <x v="6"/>
    <x v="0"/>
    <x v="16"/>
    <n v="0"/>
  </r>
  <r>
    <x v="0"/>
    <x v="0"/>
    <x v="1"/>
    <x v="6"/>
    <x v="6"/>
    <x v="0"/>
    <x v="17"/>
    <n v="0"/>
  </r>
  <r>
    <x v="0"/>
    <x v="0"/>
    <x v="1"/>
    <x v="6"/>
    <x v="6"/>
    <x v="0"/>
    <x v="18"/>
    <n v="0"/>
  </r>
  <r>
    <x v="0"/>
    <x v="0"/>
    <x v="1"/>
    <x v="6"/>
    <x v="6"/>
    <x v="0"/>
    <x v="19"/>
    <n v="0"/>
  </r>
  <r>
    <x v="0"/>
    <x v="0"/>
    <x v="1"/>
    <x v="6"/>
    <x v="6"/>
    <x v="0"/>
    <x v="20"/>
    <n v="0"/>
  </r>
  <r>
    <x v="0"/>
    <x v="0"/>
    <x v="1"/>
    <x v="6"/>
    <x v="6"/>
    <x v="0"/>
    <x v="21"/>
    <n v="0"/>
  </r>
  <r>
    <x v="0"/>
    <x v="0"/>
    <x v="1"/>
    <x v="6"/>
    <x v="6"/>
    <x v="0"/>
    <x v="22"/>
    <n v="0"/>
  </r>
  <r>
    <x v="0"/>
    <x v="0"/>
    <x v="1"/>
    <x v="6"/>
    <x v="6"/>
    <x v="0"/>
    <x v="23"/>
    <n v="0"/>
  </r>
  <r>
    <x v="0"/>
    <x v="0"/>
    <x v="1"/>
    <x v="6"/>
    <x v="9"/>
    <x v="0"/>
    <x v="0"/>
    <n v="0"/>
  </r>
  <r>
    <x v="0"/>
    <x v="0"/>
    <x v="1"/>
    <x v="6"/>
    <x v="9"/>
    <x v="0"/>
    <x v="1"/>
    <n v="0"/>
  </r>
  <r>
    <x v="0"/>
    <x v="0"/>
    <x v="1"/>
    <x v="6"/>
    <x v="9"/>
    <x v="0"/>
    <x v="2"/>
    <n v="0"/>
  </r>
  <r>
    <x v="0"/>
    <x v="0"/>
    <x v="1"/>
    <x v="6"/>
    <x v="9"/>
    <x v="0"/>
    <x v="3"/>
    <n v="0"/>
  </r>
  <r>
    <x v="0"/>
    <x v="0"/>
    <x v="1"/>
    <x v="6"/>
    <x v="9"/>
    <x v="0"/>
    <x v="4"/>
    <n v="0"/>
  </r>
  <r>
    <x v="0"/>
    <x v="0"/>
    <x v="1"/>
    <x v="6"/>
    <x v="9"/>
    <x v="0"/>
    <x v="5"/>
    <n v="0"/>
  </r>
  <r>
    <x v="0"/>
    <x v="0"/>
    <x v="1"/>
    <x v="6"/>
    <x v="9"/>
    <x v="0"/>
    <x v="6"/>
    <n v="0"/>
  </r>
  <r>
    <x v="0"/>
    <x v="0"/>
    <x v="1"/>
    <x v="6"/>
    <x v="9"/>
    <x v="0"/>
    <x v="7"/>
    <n v="0"/>
  </r>
  <r>
    <x v="0"/>
    <x v="0"/>
    <x v="1"/>
    <x v="6"/>
    <x v="9"/>
    <x v="0"/>
    <x v="8"/>
    <n v="0"/>
  </r>
  <r>
    <x v="0"/>
    <x v="0"/>
    <x v="1"/>
    <x v="6"/>
    <x v="9"/>
    <x v="0"/>
    <x v="9"/>
    <n v="0"/>
  </r>
  <r>
    <x v="0"/>
    <x v="0"/>
    <x v="1"/>
    <x v="6"/>
    <x v="9"/>
    <x v="0"/>
    <x v="10"/>
    <n v="0"/>
  </r>
  <r>
    <x v="0"/>
    <x v="0"/>
    <x v="1"/>
    <x v="6"/>
    <x v="9"/>
    <x v="0"/>
    <x v="11"/>
    <n v="0"/>
  </r>
  <r>
    <x v="0"/>
    <x v="0"/>
    <x v="1"/>
    <x v="6"/>
    <x v="9"/>
    <x v="0"/>
    <x v="12"/>
    <n v="0"/>
  </r>
  <r>
    <x v="0"/>
    <x v="0"/>
    <x v="1"/>
    <x v="6"/>
    <x v="9"/>
    <x v="0"/>
    <x v="13"/>
    <n v="0"/>
  </r>
  <r>
    <x v="0"/>
    <x v="0"/>
    <x v="1"/>
    <x v="6"/>
    <x v="9"/>
    <x v="0"/>
    <x v="14"/>
    <n v="0"/>
  </r>
  <r>
    <x v="0"/>
    <x v="0"/>
    <x v="1"/>
    <x v="6"/>
    <x v="9"/>
    <x v="0"/>
    <x v="15"/>
    <n v="0"/>
  </r>
  <r>
    <x v="0"/>
    <x v="0"/>
    <x v="1"/>
    <x v="6"/>
    <x v="9"/>
    <x v="0"/>
    <x v="16"/>
    <n v="0"/>
  </r>
  <r>
    <x v="0"/>
    <x v="0"/>
    <x v="1"/>
    <x v="6"/>
    <x v="9"/>
    <x v="0"/>
    <x v="17"/>
    <n v="0"/>
  </r>
  <r>
    <x v="0"/>
    <x v="0"/>
    <x v="1"/>
    <x v="6"/>
    <x v="9"/>
    <x v="0"/>
    <x v="18"/>
    <n v="0"/>
  </r>
  <r>
    <x v="0"/>
    <x v="0"/>
    <x v="1"/>
    <x v="6"/>
    <x v="9"/>
    <x v="0"/>
    <x v="19"/>
    <n v="0"/>
  </r>
  <r>
    <x v="0"/>
    <x v="0"/>
    <x v="1"/>
    <x v="6"/>
    <x v="9"/>
    <x v="0"/>
    <x v="20"/>
    <n v="0"/>
  </r>
  <r>
    <x v="0"/>
    <x v="0"/>
    <x v="1"/>
    <x v="6"/>
    <x v="9"/>
    <x v="0"/>
    <x v="21"/>
    <n v="0"/>
  </r>
  <r>
    <x v="0"/>
    <x v="0"/>
    <x v="1"/>
    <x v="6"/>
    <x v="9"/>
    <x v="0"/>
    <x v="22"/>
    <n v="0"/>
  </r>
  <r>
    <x v="0"/>
    <x v="0"/>
    <x v="1"/>
    <x v="6"/>
    <x v="9"/>
    <x v="0"/>
    <x v="23"/>
    <n v="0"/>
  </r>
  <r>
    <x v="0"/>
    <x v="0"/>
    <x v="1"/>
    <x v="6"/>
    <x v="10"/>
    <x v="0"/>
    <x v="0"/>
    <n v="0"/>
  </r>
  <r>
    <x v="0"/>
    <x v="0"/>
    <x v="1"/>
    <x v="6"/>
    <x v="10"/>
    <x v="0"/>
    <x v="1"/>
    <n v="0"/>
  </r>
  <r>
    <x v="0"/>
    <x v="0"/>
    <x v="1"/>
    <x v="6"/>
    <x v="10"/>
    <x v="0"/>
    <x v="2"/>
    <n v="0"/>
  </r>
  <r>
    <x v="0"/>
    <x v="0"/>
    <x v="1"/>
    <x v="6"/>
    <x v="10"/>
    <x v="0"/>
    <x v="3"/>
    <n v="0"/>
  </r>
  <r>
    <x v="0"/>
    <x v="0"/>
    <x v="1"/>
    <x v="6"/>
    <x v="10"/>
    <x v="0"/>
    <x v="4"/>
    <n v="0"/>
  </r>
  <r>
    <x v="0"/>
    <x v="0"/>
    <x v="1"/>
    <x v="6"/>
    <x v="10"/>
    <x v="0"/>
    <x v="5"/>
    <n v="0"/>
  </r>
  <r>
    <x v="0"/>
    <x v="0"/>
    <x v="1"/>
    <x v="6"/>
    <x v="10"/>
    <x v="0"/>
    <x v="6"/>
    <n v="0"/>
  </r>
  <r>
    <x v="0"/>
    <x v="0"/>
    <x v="1"/>
    <x v="6"/>
    <x v="10"/>
    <x v="0"/>
    <x v="7"/>
    <n v="0"/>
  </r>
  <r>
    <x v="0"/>
    <x v="0"/>
    <x v="1"/>
    <x v="6"/>
    <x v="10"/>
    <x v="0"/>
    <x v="8"/>
    <n v="0"/>
  </r>
  <r>
    <x v="0"/>
    <x v="0"/>
    <x v="1"/>
    <x v="6"/>
    <x v="10"/>
    <x v="0"/>
    <x v="9"/>
    <n v="0"/>
  </r>
  <r>
    <x v="0"/>
    <x v="0"/>
    <x v="1"/>
    <x v="6"/>
    <x v="10"/>
    <x v="0"/>
    <x v="10"/>
    <n v="0"/>
  </r>
  <r>
    <x v="0"/>
    <x v="0"/>
    <x v="1"/>
    <x v="6"/>
    <x v="10"/>
    <x v="0"/>
    <x v="11"/>
    <n v="0"/>
  </r>
  <r>
    <x v="0"/>
    <x v="0"/>
    <x v="1"/>
    <x v="6"/>
    <x v="10"/>
    <x v="0"/>
    <x v="12"/>
    <n v="0"/>
  </r>
  <r>
    <x v="0"/>
    <x v="0"/>
    <x v="1"/>
    <x v="6"/>
    <x v="10"/>
    <x v="0"/>
    <x v="13"/>
    <n v="0"/>
  </r>
  <r>
    <x v="0"/>
    <x v="0"/>
    <x v="1"/>
    <x v="6"/>
    <x v="10"/>
    <x v="0"/>
    <x v="14"/>
    <n v="0"/>
  </r>
  <r>
    <x v="0"/>
    <x v="0"/>
    <x v="1"/>
    <x v="6"/>
    <x v="10"/>
    <x v="0"/>
    <x v="15"/>
    <n v="0"/>
  </r>
  <r>
    <x v="0"/>
    <x v="0"/>
    <x v="1"/>
    <x v="6"/>
    <x v="10"/>
    <x v="0"/>
    <x v="16"/>
    <n v="0"/>
  </r>
  <r>
    <x v="0"/>
    <x v="0"/>
    <x v="1"/>
    <x v="6"/>
    <x v="10"/>
    <x v="0"/>
    <x v="17"/>
    <n v="0"/>
  </r>
  <r>
    <x v="0"/>
    <x v="0"/>
    <x v="1"/>
    <x v="6"/>
    <x v="10"/>
    <x v="0"/>
    <x v="18"/>
    <n v="0"/>
  </r>
  <r>
    <x v="0"/>
    <x v="0"/>
    <x v="1"/>
    <x v="6"/>
    <x v="10"/>
    <x v="0"/>
    <x v="19"/>
    <n v="0"/>
  </r>
  <r>
    <x v="0"/>
    <x v="0"/>
    <x v="1"/>
    <x v="6"/>
    <x v="10"/>
    <x v="0"/>
    <x v="20"/>
    <n v="0"/>
  </r>
  <r>
    <x v="0"/>
    <x v="0"/>
    <x v="1"/>
    <x v="6"/>
    <x v="10"/>
    <x v="0"/>
    <x v="21"/>
    <n v="0"/>
  </r>
  <r>
    <x v="0"/>
    <x v="0"/>
    <x v="1"/>
    <x v="6"/>
    <x v="10"/>
    <x v="0"/>
    <x v="22"/>
    <n v="0"/>
  </r>
  <r>
    <x v="0"/>
    <x v="0"/>
    <x v="1"/>
    <x v="6"/>
    <x v="10"/>
    <x v="0"/>
    <x v="23"/>
    <n v="0"/>
  </r>
  <r>
    <x v="0"/>
    <x v="0"/>
    <x v="1"/>
    <x v="6"/>
    <x v="8"/>
    <x v="0"/>
    <x v="0"/>
    <n v="0"/>
  </r>
  <r>
    <x v="0"/>
    <x v="0"/>
    <x v="1"/>
    <x v="6"/>
    <x v="8"/>
    <x v="0"/>
    <x v="1"/>
    <n v="0"/>
  </r>
  <r>
    <x v="0"/>
    <x v="0"/>
    <x v="1"/>
    <x v="6"/>
    <x v="8"/>
    <x v="0"/>
    <x v="2"/>
    <n v="0"/>
  </r>
  <r>
    <x v="0"/>
    <x v="0"/>
    <x v="1"/>
    <x v="6"/>
    <x v="8"/>
    <x v="0"/>
    <x v="3"/>
    <n v="0"/>
  </r>
  <r>
    <x v="0"/>
    <x v="0"/>
    <x v="1"/>
    <x v="6"/>
    <x v="8"/>
    <x v="0"/>
    <x v="4"/>
    <n v="0"/>
  </r>
  <r>
    <x v="0"/>
    <x v="0"/>
    <x v="1"/>
    <x v="6"/>
    <x v="8"/>
    <x v="0"/>
    <x v="5"/>
    <n v="0"/>
  </r>
  <r>
    <x v="0"/>
    <x v="0"/>
    <x v="1"/>
    <x v="6"/>
    <x v="8"/>
    <x v="0"/>
    <x v="6"/>
    <n v="0"/>
  </r>
  <r>
    <x v="0"/>
    <x v="0"/>
    <x v="1"/>
    <x v="6"/>
    <x v="8"/>
    <x v="0"/>
    <x v="7"/>
    <n v="0"/>
  </r>
  <r>
    <x v="0"/>
    <x v="0"/>
    <x v="1"/>
    <x v="6"/>
    <x v="8"/>
    <x v="0"/>
    <x v="8"/>
    <n v="0"/>
  </r>
  <r>
    <x v="0"/>
    <x v="0"/>
    <x v="1"/>
    <x v="6"/>
    <x v="8"/>
    <x v="0"/>
    <x v="9"/>
    <n v="0"/>
  </r>
  <r>
    <x v="0"/>
    <x v="0"/>
    <x v="1"/>
    <x v="6"/>
    <x v="8"/>
    <x v="0"/>
    <x v="10"/>
    <n v="0"/>
  </r>
  <r>
    <x v="0"/>
    <x v="0"/>
    <x v="1"/>
    <x v="6"/>
    <x v="8"/>
    <x v="0"/>
    <x v="11"/>
    <n v="0"/>
  </r>
  <r>
    <x v="0"/>
    <x v="0"/>
    <x v="1"/>
    <x v="6"/>
    <x v="8"/>
    <x v="0"/>
    <x v="12"/>
    <n v="0"/>
  </r>
  <r>
    <x v="0"/>
    <x v="0"/>
    <x v="1"/>
    <x v="6"/>
    <x v="8"/>
    <x v="0"/>
    <x v="13"/>
    <n v="0"/>
  </r>
  <r>
    <x v="0"/>
    <x v="0"/>
    <x v="1"/>
    <x v="6"/>
    <x v="8"/>
    <x v="0"/>
    <x v="14"/>
    <n v="0"/>
  </r>
  <r>
    <x v="0"/>
    <x v="0"/>
    <x v="1"/>
    <x v="6"/>
    <x v="8"/>
    <x v="0"/>
    <x v="15"/>
    <n v="0"/>
  </r>
  <r>
    <x v="0"/>
    <x v="0"/>
    <x v="1"/>
    <x v="6"/>
    <x v="8"/>
    <x v="0"/>
    <x v="16"/>
    <n v="0"/>
  </r>
  <r>
    <x v="0"/>
    <x v="0"/>
    <x v="1"/>
    <x v="6"/>
    <x v="8"/>
    <x v="0"/>
    <x v="17"/>
    <n v="0"/>
  </r>
  <r>
    <x v="0"/>
    <x v="0"/>
    <x v="1"/>
    <x v="6"/>
    <x v="8"/>
    <x v="0"/>
    <x v="18"/>
    <n v="0"/>
  </r>
  <r>
    <x v="0"/>
    <x v="0"/>
    <x v="1"/>
    <x v="6"/>
    <x v="8"/>
    <x v="0"/>
    <x v="19"/>
    <n v="0"/>
  </r>
  <r>
    <x v="0"/>
    <x v="0"/>
    <x v="1"/>
    <x v="6"/>
    <x v="8"/>
    <x v="0"/>
    <x v="20"/>
    <n v="0"/>
  </r>
  <r>
    <x v="0"/>
    <x v="0"/>
    <x v="1"/>
    <x v="6"/>
    <x v="8"/>
    <x v="0"/>
    <x v="21"/>
    <n v="0"/>
  </r>
  <r>
    <x v="0"/>
    <x v="0"/>
    <x v="1"/>
    <x v="6"/>
    <x v="8"/>
    <x v="0"/>
    <x v="22"/>
    <n v="0"/>
  </r>
  <r>
    <x v="0"/>
    <x v="0"/>
    <x v="1"/>
    <x v="6"/>
    <x v="8"/>
    <x v="0"/>
    <x v="23"/>
    <n v="0"/>
  </r>
  <r>
    <x v="0"/>
    <x v="0"/>
    <x v="1"/>
    <x v="7"/>
    <x v="0"/>
    <x v="0"/>
    <x v="0"/>
    <n v="1.26"/>
  </r>
  <r>
    <x v="0"/>
    <x v="0"/>
    <x v="1"/>
    <x v="7"/>
    <x v="0"/>
    <x v="0"/>
    <x v="1"/>
    <n v="1.26"/>
  </r>
  <r>
    <x v="0"/>
    <x v="0"/>
    <x v="1"/>
    <x v="7"/>
    <x v="0"/>
    <x v="0"/>
    <x v="2"/>
    <n v="1.26"/>
  </r>
  <r>
    <x v="0"/>
    <x v="0"/>
    <x v="1"/>
    <x v="7"/>
    <x v="0"/>
    <x v="0"/>
    <x v="3"/>
    <n v="1.26"/>
  </r>
  <r>
    <x v="0"/>
    <x v="0"/>
    <x v="1"/>
    <x v="7"/>
    <x v="0"/>
    <x v="0"/>
    <x v="4"/>
    <n v="1.26"/>
  </r>
  <r>
    <x v="0"/>
    <x v="0"/>
    <x v="1"/>
    <x v="7"/>
    <x v="0"/>
    <x v="0"/>
    <x v="5"/>
    <n v="1.26"/>
  </r>
  <r>
    <x v="0"/>
    <x v="0"/>
    <x v="1"/>
    <x v="7"/>
    <x v="0"/>
    <x v="0"/>
    <x v="6"/>
    <n v="1.26"/>
  </r>
  <r>
    <x v="0"/>
    <x v="0"/>
    <x v="1"/>
    <x v="7"/>
    <x v="0"/>
    <x v="0"/>
    <x v="7"/>
    <n v="1.26"/>
  </r>
  <r>
    <x v="0"/>
    <x v="0"/>
    <x v="1"/>
    <x v="7"/>
    <x v="0"/>
    <x v="0"/>
    <x v="8"/>
    <n v="1.26"/>
  </r>
  <r>
    <x v="0"/>
    <x v="0"/>
    <x v="1"/>
    <x v="7"/>
    <x v="0"/>
    <x v="0"/>
    <x v="9"/>
    <n v="1.26"/>
  </r>
  <r>
    <x v="0"/>
    <x v="0"/>
    <x v="1"/>
    <x v="7"/>
    <x v="0"/>
    <x v="0"/>
    <x v="10"/>
    <n v="1.26"/>
  </r>
  <r>
    <x v="0"/>
    <x v="0"/>
    <x v="1"/>
    <x v="7"/>
    <x v="0"/>
    <x v="0"/>
    <x v="11"/>
    <n v="1.26"/>
  </r>
  <r>
    <x v="0"/>
    <x v="0"/>
    <x v="1"/>
    <x v="7"/>
    <x v="0"/>
    <x v="0"/>
    <x v="12"/>
    <n v="1.26"/>
  </r>
  <r>
    <x v="0"/>
    <x v="0"/>
    <x v="1"/>
    <x v="7"/>
    <x v="0"/>
    <x v="0"/>
    <x v="13"/>
    <n v="1.26"/>
  </r>
  <r>
    <x v="0"/>
    <x v="0"/>
    <x v="1"/>
    <x v="7"/>
    <x v="0"/>
    <x v="0"/>
    <x v="14"/>
    <n v="1.26"/>
  </r>
  <r>
    <x v="0"/>
    <x v="0"/>
    <x v="1"/>
    <x v="7"/>
    <x v="0"/>
    <x v="0"/>
    <x v="15"/>
    <n v="1.26"/>
  </r>
  <r>
    <x v="0"/>
    <x v="0"/>
    <x v="1"/>
    <x v="7"/>
    <x v="0"/>
    <x v="0"/>
    <x v="16"/>
    <n v="1.26"/>
  </r>
  <r>
    <x v="0"/>
    <x v="0"/>
    <x v="1"/>
    <x v="7"/>
    <x v="0"/>
    <x v="0"/>
    <x v="17"/>
    <n v="1.26"/>
  </r>
  <r>
    <x v="0"/>
    <x v="0"/>
    <x v="1"/>
    <x v="7"/>
    <x v="0"/>
    <x v="0"/>
    <x v="18"/>
    <n v="1.26"/>
  </r>
  <r>
    <x v="0"/>
    <x v="0"/>
    <x v="1"/>
    <x v="7"/>
    <x v="0"/>
    <x v="0"/>
    <x v="19"/>
    <n v="1.26"/>
  </r>
  <r>
    <x v="0"/>
    <x v="0"/>
    <x v="1"/>
    <x v="7"/>
    <x v="0"/>
    <x v="0"/>
    <x v="20"/>
    <n v="1.26"/>
  </r>
  <r>
    <x v="0"/>
    <x v="0"/>
    <x v="1"/>
    <x v="7"/>
    <x v="0"/>
    <x v="0"/>
    <x v="21"/>
    <n v="1.26"/>
  </r>
  <r>
    <x v="0"/>
    <x v="0"/>
    <x v="1"/>
    <x v="7"/>
    <x v="0"/>
    <x v="0"/>
    <x v="22"/>
    <n v="1.26"/>
  </r>
  <r>
    <x v="0"/>
    <x v="0"/>
    <x v="1"/>
    <x v="7"/>
    <x v="0"/>
    <x v="0"/>
    <x v="23"/>
    <n v="1.26"/>
  </r>
  <r>
    <x v="0"/>
    <x v="0"/>
    <x v="1"/>
    <x v="7"/>
    <x v="5"/>
    <x v="0"/>
    <x v="0"/>
    <n v="2.8888599573969902"/>
  </r>
  <r>
    <x v="0"/>
    <x v="0"/>
    <x v="1"/>
    <x v="7"/>
    <x v="5"/>
    <x v="0"/>
    <x v="1"/>
    <n v="2.8888599573969902"/>
  </r>
  <r>
    <x v="0"/>
    <x v="0"/>
    <x v="1"/>
    <x v="7"/>
    <x v="5"/>
    <x v="0"/>
    <x v="2"/>
    <n v="2.8888599573969902"/>
  </r>
  <r>
    <x v="0"/>
    <x v="0"/>
    <x v="1"/>
    <x v="7"/>
    <x v="5"/>
    <x v="0"/>
    <x v="3"/>
    <n v="2.3435576636759001"/>
  </r>
  <r>
    <x v="0"/>
    <x v="0"/>
    <x v="1"/>
    <x v="7"/>
    <x v="5"/>
    <x v="0"/>
    <x v="4"/>
    <n v="2.8888599573969902"/>
  </r>
  <r>
    <x v="0"/>
    <x v="0"/>
    <x v="1"/>
    <x v="7"/>
    <x v="5"/>
    <x v="0"/>
    <x v="5"/>
    <n v="2.8888599573969902"/>
  </r>
  <r>
    <x v="0"/>
    <x v="0"/>
    <x v="1"/>
    <x v="7"/>
    <x v="5"/>
    <x v="0"/>
    <x v="6"/>
    <n v="2.8888599573969902"/>
  </r>
  <r>
    <x v="0"/>
    <x v="0"/>
    <x v="1"/>
    <x v="7"/>
    <x v="5"/>
    <x v="0"/>
    <x v="7"/>
    <n v="2.8888599573969902"/>
  </r>
  <r>
    <x v="0"/>
    <x v="0"/>
    <x v="1"/>
    <x v="7"/>
    <x v="5"/>
    <x v="0"/>
    <x v="8"/>
    <n v="2.8888599573969902"/>
  </r>
  <r>
    <x v="0"/>
    <x v="0"/>
    <x v="1"/>
    <x v="7"/>
    <x v="5"/>
    <x v="0"/>
    <x v="9"/>
    <n v="2.8888599573969902"/>
  </r>
  <r>
    <x v="0"/>
    <x v="0"/>
    <x v="1"/>
    <x v="7"/>
    <x v="5"/>
    <x v="0"/>
    <x v="10"/>
    <n v="2.8888599573969902"/>
  </r>
  <r>
    <x v="0"/>
    <x v="0"/>
    <x v="1"/>
    <x v="7"/>
    <x v="5"/>
    <x v="0"/>
    <x v="11"/>
    <n v="2.8888599573969902"/>
  </r>
  <r>
    <x v="0"/>
    <x v="0"/>
    <x v="1"/>
    <x v="7"/>
    <x v="5"/>
    <x v="0"/>
    <x v="12"/>
    <n v="2.8888599573969902"/>
  </r>
  <r>
    <x v="0"/>
    <x v="0"/>
    <x v="1"/>
    <x v="7"/>
    <x v="5"/>
    <x v="0"/>
    <x v="13"/>
    <n v="2.8888599573969902"/>
  </r>
  <r>
    <x v="0"/>
    <x v="0"/>
    <x v="1"/>
    <x v="7"/>
    <x v="5"/>
    <x v="0"/>
    <x v="14"/>
    <n v="2.8888599573969902"/>
  </r>
  <r>
    <x v="0"/>
    <x v="0"/>
    <x v="1"/>
    <x v="7"/>
    <x v="5"/>
    <x v="0"/>
    <x v="15"/>
    <n v="2.8888599573969902"/>
  </r>
  <r>
    <x v="0"/>
    <x v="0"/>
    <x v="1"/>
    <x v="7"/>
    <x v="5"/>
    <x v="0"/>
    <x v="16"/>
    <n v="2.8888599573969902"/>
  </r>
  <r>
    <x v="0"/>
    <x v="0"/>
    <x v="1"/>
    <x v="7"/>
    <x v="5"/>
    <x v="0"/>
    <x v="17"/>
    <n v="2.8888599573969902"/>
  </r>
  <r>
    <x v="0"/>
    <x v="0"/>
    <x v="1"/>
    <x v="7"/>
    <x v="5"/>
    <x v="0"/>
    <x v="18"/>
    <n v="2.8888599573969902"/>
  </r>
  <r>
    <x v="0"/>
    <x v="0"/>
    <x v="1"/>
    <x v="7"/>
    <x v="5"/>
    <x v="0"/>
    <x v="19"/>
    <n v="2.8888599573969902"/>
  </r>
  <r>
    <x v="0"/>
    <x v="0"/>
    <x v="1"/>
    <x v="7"/>
    <x v="5"/>
    <x v="0"/>
    <x v="20"/>
    <n v="2.8888599573969902"/>
  </r>
  <r>
    <x v="0"/>
    <x v="0"/>
    <x v="1"/>
    <x v="7"/>
    <x v="5"/>
    <x v="0"/>
    <x v="21"/>
    <n v="2.8888599573969902"/>
  </r>
  <r>
    <x v="0"/>
    <x v="0"/>
    <x v="1"/>
    <x v="7"/>
    <x v="5"/>
    <x v="0"/>
    <x v="22"/>
    <n v="2.8888599573969902"/>
  </r>
  <r>
    <x v="0"/>
    <x v="0"/>
    <x v="1"/>
    <x v="7"/>
    <x v="5"/>
    <x v="0"/>
    <x v="23"/>
    <n v="2.8888599573969902"/>
  </r>
  <r>
    <x v="0"/>
    <x v="0"/>
    <x v="1"/>
    <x v="7"/>
    <x v="11"/>
    <x v="0"/>
    <x v="0"/>
    <n v="0"/>
  </r>
  <r>
    <x v="0"/>
    <x v="0"/>
    <x v="1"/>
    <x v="7"/>
    <x v="11"/>
    <x v="0"/>
    <x v="1"/>
    <n v="0"/>
  </r>
  <r>
    <x v="0"/>
    <x v="0"/>
    <x v="1"/>
    <x v="7"/>
    <x v="11"/>
    <x v="0"/>
    <x v="2"/>
    <n v="0"/>
  </r>
  <r>
    <x v="0"/>
    <x v="0"/>
    <x v="1"/>
    <x v="7"/>
    <x v="11"/>
    <x v="0"/>
    <x v="3"/>
    <n v="0"/>
  </r>
  <r>
    <x v="0"/>
    <x v="0"/>
    <x v="1"/>
    <x v="7"/>
    <x v="11"/>
    <x v="0"/>
    <x v="4"/>
    <n v="0"/>
  </r>
  <r>
    <x v="0"/>
    <x v="0"/>
    <x v="1"/>
    <x v="7"/>
    <x v="11"/>
    <x v="0"/>
    <x v="5"/>
    <n v="0"/>
  </r>
  <r>
    <x v="0"/>
    <x v="0"/>
    <x v="1"/>
    <x v="7"/>
    <x v="11"/>
    <x v="0"/>
    <x v="6"/>
    <n v="0"/>
  </r>
  <r>
    <x v="0"/>
    <x v="0"/>
    <x v="1"/>
    <x v="7"/>
    <x v="11"/>
    <x v="0"/>
    <x v="7"/>
    <n v="0"/>
  </r>
  <r>
    <x v="0"/>
    <x v="0"/>
    <x v="1"/>
    <x v="7"/>
    <x v="11"/>
    <x v="0"/>
    <x v="8"/>
    <n v="0"/>
  </r>
  <r>
    <x v="0"/>
    <x v="0"/>
    <x v="1"/>
    <x v="7"/>
    <x v="11"/>
    <x v="0"/>
    <x v="9"/>
    <n v="0"/>
  </r>
  <r>
    <x v="0"/>
    <x v="0"/>
    <x v="1"/>
    <x v="7"/>
    <x v="11"/>
    <x v="0"/>
    <x v="10"/>
    <n v="0"/>
  </r>
  <r>
    <x v="0"/>
    <x v="0"/>
    <x v="1"/>
    <x v="7"/>
    <x v="11"/>
    <x v="0"/>
    <x v="11"/>
    <n v="0"/>
  </r>
  <r>
    <x v="0"/>
    <x v="0"/>
    <x v="1"/>
    <x v="7"/>
    <x v="11"/>
    <x v="0"/>
    <x v="12"/>
    <n v="0"/>
  </r>
  <r>
    <x v="0"/>
    <x v="0"/>
    <x v="1"/>
    <x v="7"/>
    <x v="11"/>
    <x v="0"/>
    <x v="13"/>
    <n v="0"/>
  </r>
  <r>
    <x v="0"/>
    <x v="0"/>
    <x v="1"/>
    <x v="7"/>
    <x v="11"/>
    <x v="0"/>
    <x v="14"/>
    <n v="0"/>
  </r>
  <r>
    <x v="0"/>
    <x v="0"/>
    <x v="1"/>
    <x v="7"/>
    <x v="11"/>
    <x v="0"/>
    <x v="15"/>
    <n v="0"/>
  </r>
  <r>
    <x v="0"/>
    <x v="0"/>
    <x v="1"/>
    <x v="7"/>
    <x v="11"/>
    <x v="0"/>
    <x v="16"/>
    <n v="0"/>
  </r>
  <r>
    <x v="0"/>
    <x v="0"/>
    <x v="1"/>
    <x v="7"/>
    <x v="11"/>
    <x v="0"/>
    <x v="17"/>
    <n v="0"/>
  </r>
  <r>
    <x v="0"/>
    <x v="0"/>
    <x v="1"/>
    <x v="7"/>
    <x v="11"/>
    <x v="0"/>
    <x v="18"/>
    <n v="0"/>
  </r>
  <r>
    <x v="0"/>
    <x v="0"/>
    <x v="1"/>
    <x v="7"/>
    <x v="11"/>
    <x v="0"/>
    <x v="19"/>
    <n v="0"/>
  </r>
  <r>
    <x v="0"/>
    <x v="0"/>
    <x v="1"/>
    <x v="7"/>
    <x v="11"/>
    <x v="0"/>
    <x v="20"/>
    <n v="0"/>
  </r>
  <r>
    <x v="0"/>
    <x v="0"/>
    <x v="1"/>
    <x v="7"/>
    <x v="11"/>
    <x v="0"/>
    <x v="21"/>
    <n v="0"/>
  </r>
  <r>
    <x v="0"/>
    <x v="0"/>
    <x v="1"/>
    <x v="7"/>
    <x v="11"/>
    <x v="0"/>
    <x v="22"/>
    <n v="0"/>
  </r>
  <r>
    <x v="0"/>
    <x v="0"/>
    <x v="1"/>
    <x v="7"/>
    <x v="11"/>
    <x v="0"/>
    <x v="23"/>
    <n v="0"/>
  </r>
  <r>
    <x v="0"/>
    <x v="0"/>
    <x v="1"/>
    <x v="7"/>
    <x v="10"/>
    <x v="0"/>
    <x v="0"/>
    <n v="0"/>
  </r>
  <r>
    <x v="0"/>
    <x v="0"/>
    <x v="1"/>
    <x v="7"/>
    <x v="10"/>
    <x v="0"/>
    <x v="1"/>
    <n v="0"/>
  </r>
  <r>
    <x v="0"/>
    <x v="0"/>
    <x v="1"/>
    <x v="7"/>
    <x v="10"/>
    <x v="0"/>
    <x v="2"/>
    <n v="0"/>
  </r>
  <r>
    <x v="0"/>
    <x v="0"/>
    <x v="1"/>
    <x v="7"/>
    <x v="10"/>
    <x v="0"/>
    <x v="3"/>
    <n v="0"/>
  </r>
  <r>
    <x v="0"/>
    <x v="0"/>
    <x v="1"/>
    <x v="7"/>
    <x v="10"/>
    <x v="0"/>
    <x v="4"/>
    <n v="0"/>
  </r>
  <r>
    <x v="0"/>
    <x v="0"/>
    <x v="1"/>
    <x v="7"/>
    <x v="10"/>
    <x v="0"/>
    <x v="5"/>
    <n v="0"/>
  </r>
  <r>
    <x v="0"/>
    <x v="0"/>
    <x v="1"/>
    <x v="7"/>
    <x v="10"/>
    <x v="0"/>
    <x v="6"/>
    <n v="0"/>
  </r>
  <r>
    <x v="0"/>
    <x v="0"/>
    <x v="1"/>
    <x v="7"/>
    <x v="10"/>
    <x v="0"/>
    <x v="7"/>
    <n v="0"/>
  </r>
  <r>
    <x v="0"/>
    <x v="0"/>
    <x v="1"/>
    <x v="7"/>
    <x v="10"/>
    <x v="0"/>
    <x v="8"/>
    <n v="0"/>
  </r>
  <r>
    <x v="0"/>
    <x v="0"/>
    <x v="1"/>
    <x v="7"/>
    <x v="10"/>
    <x v="0"/>
    <x v="9"/>
    <n v="0"/>
  </r>
  <r>
    <x v="0"/>
    <x v="0"/>
    <x v="1"/>
    <x v="7"/>
    <x v="10"/>
    <x v="0"/>
    <x v="10"/>
    <n v="0"/>
  </r>
  <r>
    <x v="0"/>
    <x v="0"/>
    <x v="1"/>
    <x v="7"/>
    <x v="10"/>
    <x v="0"/>
    <x v="11"/>
    <n v="0"/>
  </r>
  <r>
    <x v="0"/>
    <x v="0"/>
    <x v="1"/>
    <x v="7"/>
    <x v="10"/>
    <x v="0"/>
    <x v="12"/>
    <n v="0"/>
  </r>
  <r>
    <x v="0"/>
    <x v="0"/>
    <x v="1"/>
    <x v="7"/>
    <x v="10"/>
    <x v="0"/>
    <x v="13"/>
    <n v="0"/>
  </r>
  <r>
    <x v="0"/>
    <x v="0"/>
    <x v="1"/>
    <x v="7"/>
    <x v="10"/>
    <x v="0"/>
    <x v="14"/>
    <n v="0"/>
  </r>
  <r>
    <x v="0"/>
    <x v="0"/>
    <x v="1"/>
    <x v="7"/>
    <x v="10"/>
    <x v="0"/>
    <x v="15"/>
    <n v="0"/>
  </r>
  <r>
    <x v="0"/>
    <x v="0"/>
    <x v="1"/>
    <x v="7"/>
    <x v="10"/>
    <x v="0"/>
    <x v="16"/>
    <n v="0"/>
  </r>
  <r>
    <x v="0"/>
    <x v="0"/>
    <x v="1"/>
    <x v="7"/>
    <x v="10"/>
    <x v="0"/>
    <x v="17"/>
    <n v="0"/>
  </r>
  <r>
    <x v="0"/>
    <x v="0"/>
    <x v="1"/>
    <x v="7"/>
    <x v="10"/>
    <x v="0"/>
    <x v="18"/>
    <n v="0"/>
  </r>
  <r>
    <x v="0"/>
    <x v="0"/>
    <x v="1"/>
    <x v="7"/>
    <x v="10"/>
    <x v="0"/>
    <x v="19"/>
    <n v="0"/>
  </r>
  <r>
    <x v="0"/>
    <x v="0"/>
    <x v="1"/>
    <x v="7"/>
    <x v="10"/>
    <x v="0"/>
    <x v="20"/>
    <n v="0"/>
  </r>
  <r>
    <x v="0"/>
    <x v="0"/>
    <x v="1"/>
    <x v="7"/>
    <x v="10"/>
    <x v="0"/>
    <x v="21"/>
    <n v="0"/>
  </r>
  <r>
    <x v="0"/>
    <x v="0"/>
    <x v="1"/>
    <x v="7"/>
    <x v="10"/>
    <x v="0"/>
    <x v="22"/>
    <n v="0"/>
  </r>
  <r>
    <x v="0"/>
    <x v="0"/>
    <x v="1"/>
    <x v="7"/>
    <x v="10"/>
    <x v="0"/>
    <x v="23"/>
    <n v="0"/>
  </r>
  <r>
    <x v="0"/>
    <x v="0"/>
    <x v="1"/>
    <x v="8"/>
    <x v="11"/>
    <x v="0"/>
    <x v="0"/>
    <n v="0"/>
  </r>
  <r>
    <x v="0"/>
    <x v="0"/>
    <x v="1"/>
    <x v="8"/>
    <x v="11"/>
    <x v="0"/>
    <x v="1"/>
    <n v="0"/>
  </r>
  <r>
    <x v="0"/>
    <x v="0"/>
    <x v="1"/>
    <x v="8"/>
    <x v="11"/>
    <x v="0"/>
    <x v="2"/>
    <n v="0"/>
  </r>
  <r>
    <x v="0"/>
    <x v="0"/>
    <x v="1"/>
    <x v="8"/>
    <x v="11"/>
    <x v="0"/>
    <x v="3"/>
    <n v="0"/>
  </r>
  <r>
    <x v="0"/>
    <x v="0"/>
    <x v="1"/>
    <x v="8"/>
    <x v="11"/>
    <x v="0"/>
    <x v="4"/>
    <n v="0"/>
  </r>
  <r>
    <x v="0"/>
    <x v="0"/>
    <x v="1"/>
    <x v="8"/>
    <x v="11"/>
    <x v="0"/>
    <x v="5"/>
    <n v="0"/>
  </r>
  <r>
    <x v="0"/>
    <x v="0"/>
    <x v="1"/>
    <x v="8"/>
    <x v="11"/>
    <x v="0"/>
    <x v="6"/>
    <n v="0"/>
  </r>
  <r>
    <x v="0"/>
    <x v="0"/>
    <x v="1"/>
    <x v="8"/>
    <x v="11"/>
    <x v="0"/>
    <x v="7"/>
    <n v="0"/>
  </r>
  <r>
    <x v="0"/>
    <x v="0"/>
    <x v="1"/>
    <x v="8"/>
    <x v="11"/>
    <x v="0"/>
    <x v="8"/>
    <n v="0"/>
  </r>
  <r>
    <x v="0"/>
    <x v="0"/>
    <x v="1"/>
    <x v="8"/>
    <x v="11"/>
    <x v="0"/>
    <x v="9"/>
    <n v="0"/>
  </r>
  <r>
    <x v="0"/>
    <x v="0"/>
    <x v="1"/>
    <x v="8"/>
    <x v="11"/>
    <x v="0"/>
    <x v="10"/>
    <n v="0"/>
  </r>
  <r>
    <x v="0"/>
    <x v="0"/>
    <x v="1"/>
    <x v="8"/>
    <x v="11"/>
    <x v="0"/>
    <x v="11"/>
    <n v="0"/>
  </r>
  <r>
    <x v="0"/>
    <x v="0"/>
    <x v="1"/>
    <x v="8"/>
    <x v="11"/>
    <x v="0"/>
    <x v="12"/>
    <n v="0"/>
  </r>
  <r>
    <x v="0"/>
    <x v="0"/>
    <x v="1"/>
    <x v="8"/>
    <x v="11"/>
    <x v="0"/>
    <x v="13"/>
    <n v="0"/>
  </r>
  <r>
    <x v="0"/>
    <x v="0"/>
    <x v="1"/>
    <x v="8"/>
    <x v="11"/>
    <x v="0"/>
    <x v="14"/>
    <n v="0"/>
  </r>
  <r>
    <x v="0"/>
    <x v="0"/>
    <x v="1"/>
    <x v="8"/>
    <x v="11"/>
    <x v="0"/>
    <x v="15"/>
    <n v="0"/>
  </r>
  <r>
    <x v="0"/>
    <x v="0"/>
    <x v="1"/>
    <x v="8"/>
    <x v="11"/>
    <x v="0"/>
    <x v="16"/>
    <n v="0"/>
  </r>
  <r>
    <x v="0"/>
    <x v="0"/>
    <x v="1"/>
    <x v="8"/>
    <x v="11"/>
    <x v="0"/>
    <x v="17"/>
    <n v="0"/>
  </r>
  <r>
    <x v="0"/>
    <x v="0"/>
    <x v="1"/>
    <x v="8"/>
    <x v="11"/>
    <x v="0"/>
    <x v="18"/>
    <n v="0"/>
  </r>
  <r>
    <x v="0"/>
    <x v="0"/>
    <x v="1"/>
    <x v="8"/>
    <x v="11"/>
    <x v="0"/>
    <x v="19"/>
    <n v="0"/>
  </r>
  <r>
    <x v="0"/>
    <x v="0"/>
    <x v="1"/>
    <x v="8"/>
    <x v="11"/>
    <x v="0"/>
    <x v="20"/>
    <n v="0"/>
  </r>
  <r>
    <x v="0"/>
    <x v="0"/>
    <x v="1"/>
    <x v="8"/>
    <x v="11"/>
    <x v="0"/>
    <x v="21"/>
    <n v="0"/>
  </r>
  <r>
    <x v="0"/>
    <x v="0"/>
    <x v="1"/>
    <x v="8"/>
    <x v="11"/>
    <x v="0"/>
    <x v="22"/>
    <n v="0"/>
  </r>
  <r>
    <x v="0"/>
    <x v="0"/>
    <x v="1"/>
    <x v="8"/>
    <x v="11"/>
    <x v="0"/>
    <x v="23"/>
    <n v="0"/>
  </r>
  <r>
    <x v="0"/>
    <x v="0"/>
    <x v="1"/>
    <x v="8"/>
    <x v="12"/>
    <x v="0"/>
    <x v="0"/>
    <n v="0"/>
  </r>
  <r>
    <x v="0"/>
    <x v="0"/>
    <x v="1"/>
    <x v="8"/>
    <x v="12"/>
    <x v="0"/>
    <x v="1"/>
    <n v="0"/>
  </r>
  <r>
    <x v="0"/>
    <x v="0"/>
    <x v="1"/>
    <x v="8"/>
    <x v="12"/>
    <x v="0"/>
    <x v="2"/>
    <n v="0"/>
  </r>
  <r>
    <x v="0"/>
    <x v="0"/>
    <x v="1"/>
    <x v="8"/>
    <x v="12"/>
    <x v="0"/>
    <x v="3"/>
    <n v="0"/>
  </r>
  <r>
    <x v="0"/>
    <x v="0"/>
    <x v="1"/>
    <x v="8"/>
    <x v="12"/>
    <x v="0"/>
    <x v="4"/>
    <n v="0"/>
  </r>
  <r>
    <x v="0"/>
    <x v="0"/>
    <x v="1"/>
    <x v="8"/>
    <x v="12"/>
    <x v="0"/>
    <x v="5"/>
    <n v="0"/>
  </r>
  <r>
    <x v="0"/>
    <x v="0"/>
    <x v="1"/>
    <x v="8"/>
    <x v="12"/>
    <x v="0"/>
    <x v="6"/>
    <n v="0"/>
  </r>
  <r>
    <x v="0"/>
    <x v="0"/>
    <x v="1"/>
    <x v="8"/>
    <x v="12"/>
    <x v="0"/>
    <x v="7"/>
    <n v="0"/>
  </r>
  <r>
    <x v="0"/>
    <x v="0"/>
    <x v="1"/>
    <x v="8"/>
    <x v="12"/>
    <x v="0"/>
    <x v="8"/>
    <n v="0"/>
  </r>
  <r>
    <x v="0"/>
    <x v="0"/>
    <x v="1"/>
    <x v="8"/>
    <x v="12"/>
    <x v="0"/>
    <x v="9"/>
    <n v="0"/>
  </r>
  <r>
    <x v="0"/>
    <x v="0"/>
    <x v="1"/>
    <x v="8"/>
    <x v="12"/>
    <x v="0"/>
    <x v="10"/>
    <n v="0"/>
  </r>
  <r>
    <x v="0"/>
    <x v="0"/>
    <x v="1"/>
    <x v="8"/>
    <x v="12"/>
    <x v="0"/>
    <x v="11"/>
    <n v="0"/>
  </r>
  <r>
    <x v="0"/>
    <x v="0"/>
    <x v="1"/>
    <x v="8"/>
    <x v="12"/>
    <x v="0"/>
    <x v="12"/>
    <n v="0"/>
  </r>
  <r>
    <x v="0"/>
    <x v="0"/>
    <x v="1"/>
    <x v="8"/>
    <x v="12"/>
    <x v="0"/>
    <x v="13"/>
    <n v="0"/>
  </r>
  <r>
    <x v="0"/>
    <x v="0"/>
    <x v="1"/>
    <x v="8"/>
    <x v="12"/>
    <x v="0"/>
    <x v="14"/>
    <n v="0"/>
  </r>
  <r>
    <x v="0"/>
    <x v="0"/>
    <x v="1"/>
    <x v="8"/>
    <x v="12"/>
    <x v="0"/>
    <x v="15"/>
    <n v="0"/>
  </r>
  <r>
    <x v="0"/>
    <x v="0"/>
    <x v="1"/>
    <x v="8"/>
    <x v="12"/>
    <x v="0"/>
    <x v="16"/>
    <n v="0"/>
  </r>
  <r>
    <x v="0"/>
    <x v="0"/>
    <x v="1"/>
    <x v="8"/>
    <x v="12"/>
    <x v="0"/>
    <x v="17"/>
    <n v="0"/>
  </r>
  <r>
    <x v="0"/>
    <x v="0"/>
    <x v="1"/>
    <x v="8"/>
    <x v="12"/>
    <x v="0"/>
    <x v="18"/>
    <n v="0"/>
  </r>
  <r>
    <x v="0"/>
    <x v="0"/>
    <x v="1"/>
    <x v="8"/>
    <x v="12"/>
    <x v="0"/>
    <x v="19"/>
    <n v="0"/>
  </r>
  <r>
    <x v="0"/>
    <x v="0"/>
    <x v="1"/>
    <x v="8"/>
    <x v="12"/>
    <x v="0"/>
    <x v="20"/>
    <n v="0"/>
  </r>
  <r>
    <x v="0"/>
    <x v="0"/>
    <x v="1"/>
    <x v="8"/>
    <x v="12"/>
    <x v="0"/>
    <x v="21"/>
    <n v="0"/>
  </r>
  <r>
    <x v="0"/>
    <x v="0"/>
    <x v="1"/>
    <x v="8"/>
    <x v="12"/>
    <x v="0"/>
    <x v="22"/>
    <n v="0"/>
  </r>
  <r>
    <x v="0"/>
    <x v="0"/>
    <x v="1"/>
    <x v="8"/>
    <x v="12"/>
    <x v="0"/>
    <x v="23"/>
    <n v="0"/>
  </r>
  <r>
    <x v="0"/>
    <x v="0"/>
    <x v="1"/>
    <x v="8"/>
    <x v="10"/>
    <x v="0"/>
    <x v="0"/>
    <n v="0"/>
  </r>
  <r>
    <x v="0"/>
    <x v="0"/>
    <x v="1"/>
    <x v="8"/>
    <x v="10"/>
    <x v="0"/>
    <x v="1"/>
    <n v="0"/>
  </r>
  <r>
    <x v="0"/>
    <x v="0"/>
    <x v="1"/>
    <x v="8"/>
    <x v="10"/>
    <x v="0"/>
    <x v="2"/>
    <n v="0"/>
  </r>
  <r>
    <x v="0"/>
    <x v="0"/>
    <x v="1"/>
    <x v="8"/>
    <x v="10"/>
    <x v="0"/>
    <x v="3"/>
    <n v="0"/>
  </r>
  <r>
    <x v="0"/>
    <x v="0"/>
    <x v="1"/>
    <x v="8"/>
    <x v="10"/>
    <x v="0"/>
    <x v="4"/>
    <n v="0"/>
  </r>
  <r>
    <x v="0"/>
    <x v="0"/>
    <x v="1"/>
    <x v="8"/>
    <x v="10"/>
    <x v="0"/>
    <x v="5"/>
    <n v="0"/>
  </r>
  <r>
    <x v="0"/>
    <x v="0"/>
    <x v="1"/>
    <x v="8"/>
    <x v="10"/>
    <x v="0"/>
    <x v="6"/>
    <n v="0"/>
  </r>
  <r>
    <x v="0"/>
    <x v="0"/>
    <x v="1"/>
    <x v="8"/>
    <x v="10"/>
    <x v="0"/>
    <x v="7"/>
    <n v="0"/>
  </r>
  <r>
    <x v="0"/>
    <x v="0"/>
    <x v="1"/>
    <x v="8"/>
    <x v="10"/>
    <x v="0"/>
    <x v="8"/>
    <n v="0"/>
  </r>
  <r>
    <x v="0"/>
    <x v="0"/>
    <x v="1"/>
    <x v="8"/>
    <x v="10"/>
    <x v="0"/>
    <x v="9"/>
    <n v="0"/>
  </r>
  <r>
    <x v="0"/>
    <x v="0"/>
    <x v="1"/>
    <x v="8"/>
    <x v="10"/>
    <x v="0"/>
    <x v="10"/>
    <n v="0"/>
  </r>
  <r>
    <x v="0"/>
    <x v="0"/>
    <x v="1"/>
    <x v="8"/>
    <x v="10"/>
    <x v="0"/>
    <x v="11"/>
    <n v="0"/>
  </r>
  <r>
    <x v="0"/>
    <x v="0"/>
    <x v="1"/>
    <x v="8"/>
    <x v="10"/>
    <x v="0"/>
    <x v="12"/>
    <n v="0"/>
  </r>
  <r>
    <x v="0"/>
    <x v="0"/>
    <x v="1"/>
    <x v="8"/>
    <x v="10"/>
    <x v="0"/>
    <x v="13"/>
    <n v="0"/>
  </r>
  <r>
    <x v="0"/>
    <x v="0"/>
    <x v="1"/>
    <x v="8"/>
    <x v="10"/>
    <x v="0"/>
    <x v="14"/>
    <n v="0"/>
  </r>
  <r>
    <x v="0"/>
    <x v="0"/>
    <x v="1"/>
    <x v="8"/>
    <x v="10"/>
    <x v="0"/>
    <x v="15"/>
    <n v="0"/>
  </r>
  <r>
    <x v="0"/>
    <x v="0"/>
    <x v="1"/>
    <x v="8"/>
    <x v="10"/>
    <x v="0"/>
    <x v="16"/>
    <n v="0"/>
  </r>
  <r>
    <x v="0"/>
    <x v="0"/>
    <x v="1"/>
    <x v="8"/>
    <x v="10"/>
    <x v="0"/>
    <x v="17"/>
    <n v="0"/>
  </r>
  <r>
    <x v="0"/>
    <x v="0"/>
    <x v="1"/>
    <x v="8"/>
    <x v="10"/>
    <x v="0"/>
    <x v="18"/>
    <n v="0"/>
  </r>
  <r>
    <x v="0"/>
    <x v="0"/>
    <x v="1"/>
    <x v="8"/>
    <x v="10"/>
    <x v="0"/>
    <x v="19"/>
    <n v="0"/>
  </r>
  <r>
    <x v="0"/>
    <x v="0"/>
    <x v="1"/>
    <x v="8"/>
    <x v="10"/>
    <x v="0"/>
    <x v="20"/>
    <n v="0"/>
  </r>
  <r>
    <x v="0"/>
    <x v="0"/>
    <x v="1"/>
    <x v="8"/>
    <x v="10"/>
    <x v="0"/>
    <x v="21"/>
    <n v="0"/>
  </r>
  <r>
    <x v="0"/>
    <x v="0"/>
    <x v="1"/>
    <x v="8"/>
    <x v="10"/>
    <x v="0"/>
    <x v="22"/>
    <n v="0"/>
  </r>
  <r>
    <x v="0"/>
    <x v="0"/>
    <x v="1"/>
    <x v="8"/>
    <x v="10"/>
    <x v="0"/>
    <x v="23"/>
    <n v="0"/>
  </r>
  <r>
    <x v="0"/>
    <x v="0"/>
    <x v="1"/>
    <x v="8"/>
    <x v="13"/>
    <x v="0"/>
    <x v="0"/>
    <n v="0"/>
  </r>
  <r>
    <x v="0"/>
    <x v="0"/>
    <x v="1"/>
    <x v="8"/>
    <x v="13"/>
    <x v="0"/>
    <x v="1"/>
    <n v="0"/>
  </r>
  <r>
    <x v="0"/>
    <x v="0"/>
    <x v="1"/>
    <x v="8"/>
    <x v="13"/>
    <x v="0"/>
    <x v="2"/>
    <n v="0"/>
  </r>
  <r>
    <x v="0"/>
    <x v="0"/>
    <x v="1"/>
    <x v="8"/>
    <x v="13"/>
    <x v="0"/>
    <x v="3"/>
    <n v="0"/>
  </r>
  <r>
    <x v="0"/>
    <x v="0"/>
    <x v="1"/>
    <x v="8"/>
    <x v="13"/>
    <x v="0"/>
    <x v="4"/>
    <n v="0"/>
  </r>
  <r>
    <x v="0"/>
    <x v="0"/>
    <x v="1"/>
    <x v="8"/>
    <x v="13"/>
    <x v="0"/>
    <x v="5"/>
    <n v="0"/>
  </r>
  <r>
    <x v="0"/>
    <x v="0"/>
    <x v="1"/>
    <x v="8"/>
    <x v="13"/>
    <x v="0"/>
    <x v="6"/>
    <n v="0"/>
  </r>
  <r>
    <x v="0"/>
    <x v="0"/>
    <x v="1"/>
    <x v="8"/>
    <x v="13"/>
    <x v="0"/>
    <x v="7"/>
    <n v="0"/>
  </r>
  <r>
    <x v="0"/>
    <x v="0"/>
    <x v="1"/>
    <x v="8"/>
    <x v="13"/>
    <x v="0"/>
    <x v="8"/>
    <n v="0"/>
  </r>
  <r>
    <x v="0"/>
    <x v="0"/>
    <x v="1"/>
    <x v="8"/>
    <x v="13"/>
    <x v="0"/>
    <x v="9"/>
    <n v="0"/>
  </r>
  <r>
    <x v="0"/>
    <x v="0"/>
    <x v="1"/>
    <x v="8"/>
    <x v="13"/>
    <x v="0"/>
    <x v="10"/>
    <n v="0"/>
  </r>
  <r>
    <x v="0"/>
    <x v="0"/>
    <x v="1"/>
    <x v="8"/>
    <x v="13"/>
    <x v="0"/>
    <x v="11"/>
    <n v="0"/>
  </r>
  <r>
    <x v="0"/>
    <x v="0"/>
    <x v="1"/>
    <x v="8"/>
    <x v="13"/>
    <x v="0"/>
    <x v="12"/>
    <n v="0"/>
  </r>
  <r>
    <x v="0"/>
    <x v="0"/>
    <x v="1"/>
    <x v="8"/>
    <x v="13"/>
    <x v="0"/>
    <x v="13"/>
    <n v="0"/>
  </r>
  <r>
    <x v="0"/>
    <x v="0"/>
    <x v="1"/>
    <x v="8"/>
    <x v="13"/>
    <x v="0"/>
    <x v="14"/>
    <n v="0"/>
  </r>
  <r>
    <x v="0"/>
    <x v="0"/>
    <x v="1"/>
    <x v="8"/>
    <x v="13"/>
    <x v="0"/>
    <x v="15"/>
    <n v="0"/>
  </r>
  <r>
    <x v="0"/>
    <x v="0"/>
    <x v="1"/>
    <x v="8"/>
    <x v="13"/>
    <x v="0"/>
    <x v="16"/>
    <n v="0"/>
  </r>
  <r>
    <x v="0"/>
    <x v="0"/>
    <x v="1"/>
    <x v="8"/>
    <x v="13"/>
    <x v="0"/>
    <x v="17"/>
    <n v="0"/>
  </r>
  <r>
    <x v="0"/>
    <x v="0"/>
    <x v="1"/>
    <x v="8"/>
    <x v="13"/>
    <x v="0"/>
    <x v="18"/>
    <n v="0"/>
  </r>
  <r>
    <x v="0"/>
    <x v="0"/>
    <x v="1"/>
    <x v="8"/>
    <x v="13"/>
    <x v="0"/>
    <x v="19"/>
    <n v="0"/>
  </r>
  <r>
    <x v="0"/>
    <x v="0"/>
    <x v="1"/>
    <x v="8"/>
    <x v="13"/>
    <x v="0"/>
    <x v="20"/>
    <n v="0"/>
  </r>
  <r>
    <x v="0"/>
    <x v="0"/>
    <x v="1"/>
    <x v="8"/>
    <x v="13"/>
    <x v="0"/>
    <x v="21"/>
    <n v="0"/>
  </r>
  <r>
    <x v="0"/>
    <x v="0"/>
    <x v="1"/>
    <x v="8"/>
    <x v="13"/>
    <x v="0"/>
    <x v="22"/>
    <n v="0"/>
  </r>
  <r>
    <x v="0"/>
    <x v="0"/>
    <x v="1"/>
    <x v="8"/>
    <x v="13"/>
    <x v="0"/>
    <x v="23"/>
    <n v="0"/>
  </r>
  <r>
    <x v="0"/>
    <x v="0"/>
    <x v="1"/>
    <x v="9"/>
    <x v="9"/>
    <x v="0"/>
    <x v="0"/>
    <n v="0"/>
  </r>
  <r>
    <x v="0"/>
    <x v="0"/>
    <x v="1"/>
    <x v="9"/>
    <x v="9"/>
    <x v="0"/>
    <x v="1"/>
    <n v="0"/>
  </r>
  <r>
    <x v="0"/>
    <x v="0"/>
    <x v="1"/>
    <x v="9"/>
    <x v="9"/>
    <x v="0"/>
    <x v="2"/>
    <n v="0"/>
  </r>
  <r>
    <x v="0"/>
    <x v="0"/>
    <x v="1"/>
    <x v="9"/>
    <x v="9"/>
    <x v="0"/>
    <x v="3"/>
    <n v="0"/>
  </r>
  <r>
    <x v="0"/>
    <x v="0"/>
    <x v="1"/>
    <x v="9"/>
    <x v="9"/>
    <x v="0"/>
    <x v="4"/>
    <n v="0"/>
  </r>
  <r>
    <x v="0"/>
    <x v="0"/>
    <x v="1"/>
    <x v="9"/>
    <x v="9"/>
    <x v="0"/>
    <x v="5"/>
    <n v="0"/>
  </r>
  <r>
    <x v="0"/>
    <x v="0"/>
    <x v="1"/>
    <x v="9"/>
    <x v="9"/>
    <x v="0"/>
    <x v="6"/>
    <n v="0"/>
  </r>
  <r>
    <x v="0"/>
    <x v="0"/>
    <x v="1"/>
    <x v="9"/>
    <x v="9"/>
    <x v="0"/>
    <x v="7"/>
    <n v="0"/>
  </r>
  <r>
    <x v="0"/>
    <x v="0"/>
    <x v="1"/>
    <x v="9"/>
    <x v="9"/>
    <x v="0"/>
    <x v="8"/>
    <n v="0"/>
  </r>
  <r>
    <x v="0"/>
    <x v="0"/>
    <x v="1"/>
    <x v="9"/>
    <x v="9"/>
    <x v="0"/>
    <x v="9"/>
    <n v="0"/>
  </r>
  <r>
    <x v="0"/>
    <x v="0"/>
    <x v="1"/>
    <x v="9"/>
    <x v="9"/>
    <x v="0"/>
    <x v="10"/>
    <n v="0"/>
  </r>
  <r>
    <x v="0"/>
    <x v="0"/>
    <x v="1"/>
    <x v="9"/>
    <x v="9"/>
    <x v="0"/>
    <x v="11"/>
    <n v="0"/>
  </r>
  <r>
    <x v="0"/>
    <x v="0"/>
    <x v="1"/>
    <x v="9"/>
    <x v="9"/>
    <x v="0"/>
    <x v="12"/>
    <n v="0"/>
  </r>
  <r>
    <x v="0"/>
    <x v="0"/>
    <x v="1"/>
    <x v="9"/>
    <x v="9"/>
    <x v="0"/>
    <x v="13"/>
    <n v="0"/>
  </r>
  <r>
    <x v="0"/>
    <x v="0"/>
    <x v="1"/>
    <x v="9"/>
    <x v="9"/>
    <x v="0"/>
    <x v="14"/>
    <n v="0"/>
  </r>
  <r>
    <x v="0"/>
    <x v="0"/>
    <x v="1"/>
    <x v="9"/>
    <x v="9"/>
    <x v="0"/>
    <x v="15"/>
    <n v="0"/>
  </r>
  <r>
    <x v="0"/>
    <x v="0"/>
    <x v="1"/>
    <x v="9"/>
    <x v="9"/>
    <x v="0"/>
    <x v="16"/>
    <n v="0"/>
  </r>
  <r>
    <x v="0"/>
    <x v="0"/>
    <x v="1"/>
    <x v="9"/>
    <x v="9"/>
    <x v="0"/>
    <x v="17"/>
    <n v="0"/>
  </r>
  <r>
    <x v="0"/>
    <x v="0"/>
    <x v="1"/>
    <x v="9"/>
    <x v="9"/>
    <x v="0"/>
    <x v="18"/>
    <n v="0"/>
  </r>
  <r>
    <x v="0"/>
    <x v="0"/>
    <x v="1"/>
    <x v="9"/>
    <x v="9"/>
    <x v="0"/>
    <x v="19"/>
    <n v="0"/>
  </r>
  <r>
    <x v="0"/>
    <x v="0"/>
    <x v="1"/>
    <x v="9"/>
    <x v="9"/>
    <x v="0"/>
    <x v="20"/>
    <n v="0"/>
  </r>
  <r>
    <x v="0"/>
    <x v="0"/>
    <x v="1"/>
    <x v="9"/>
    <x v="9"/>
    <x v="0"/>
    <x v="21"/>
    <n v="0"/>
  </r>
  <r>
    <x v="0"/>
    <x v="0"/>
    <x v="1"/>
    <x v="9"/>
    <x v="9"/>
    <x v="0"/>
    <x v="22"/>
    <n v="0"/>
  </r>
  <r>
    <x v="0"/>
    <x v="0"/>
    <x v="1"/>
    <x v="9"/>
    <x v="9"/>
    <x v="0"/>
    <x v="23"/>
    <n v="0"/>
  </r>
  <r>
    <x v="0"/>
    <x v="0"/>
    <x v="1"/>
    <x v="9"/>
    <x v="14"/>
    <x v="0"/>
    <x v="0"/>
    <n v="0"/>
  </r>
  <r>
    <x v="0"/>
    <x v="0"/>
    <x v="1"/>
    <x v="9"/>
    <x v="14"/>
    <x v="0"/>
    <x v="1"/>
    <n v="-0.54"/>
  </r>
  <r>
    <x v="0"/>
    <x v="0"/>
    <x v="1"/>
    <x v="9"/>
    <x v="14"/>
    <x v="0"/>
    <x v="2"/>
    <n v="-0.54"/>
  </r>
  <r>
    <x v="0"/>
    <x v="0"/>
    <x v="1"/>
    <x v="9"/>
    <x v="14"/>
    <x v="0"/>
    <x v="3"/>
    <n v="-0.26111370945198897"/>
  </r>
  <r>
    <x v="0"/>
    <x v="0"/>
    <x v="1"/>
    <x v="9"/>
    <x v="14"/>
    <x v="0"/>
    <x v="4"/>
    <n v="-0.318448175199956"/>
  </r>
  <r>
    <x v="0"/>
    <x v="0"/>
    <x v="1"/>
    <x v="9"/>
    <x v="14"/>
    <x v="0"/>
    <x v="5"/>
    <n v="-0.16128300061760001"/>
  </r>
  <r>
    <x v="0"/>
    <x v="0"/>
    <x v="1"/>
    <x v="9"/>
    <x v="14"/>
    <x v="0"/>
    <x v="6"/>
    <n v="-3.0264612115207E-2"/>
  </r>
  <r>
    <x v="0"/>
    <x v="0"/>
    <x v="1"/>
    <x v="9"/>
    <x v="14"/>
    <x v="0"/>
    <x v="7"/>
    <n v="0"/>
  </r>
  <r>
    <x v="0"/>
    <x v="0"/>
    <x v="1"/>
    <x v="9"/>
    <x v="14"/>
    <x v="0"/>
    <x v="8"/>
    <n v="0"/>
  </r>
  <r>
    <x v="0"/>
    <x v="0"/>
    <x v="1"/>
    <x v="9"/>
    <x v="14"/>
    <x v="0"/>
    <x v="9"/>
    <n v="0"/>
  </r>
  <r>
    <x v="0"/>
    <x v="0"/>
    <x v="1"/>
    <x v="9"/>
    <x v="14"/>
    <x v="0"/>
    <x v="10"/>
    <n v="0"/>
  </r>
  <r>
    <x v="0"/>
    <x v="0"/>
    <x v="1"/>
    <x v="9"/>
    <x v="14"/>
    <x v="0"/>
    <x v="11"/>
    <n v="0"/>
  </r>
  <r>
    <x v="0"/>
    <x v="0"/>
    <x v="1"/>
    <x v="9"/>
    <x v="14"/>
    <x v="0"/>
    <x v="12"/>
    <n v="0"/>
  </r>
  <r>
    <x v="0"/>
    <x v="0"/>
    <x v="1"/>
    <x v="9"/>
    <x v="14"/>
    <x v="0"/>
    <x v="13"/>
    <n v="0"/>
  </r>
  <r>
    <x v="0"/>
    <x v="0"/>
    <x v="1"/>
    <x v="9"/>
    <x v="14"/>
    <x v="0"/>
    <x v="14"/>
    <n v="0"/>
  </r>
  <r>
    <x v="0"/>
    <x v="0"/>
    <x v="1"/>
    <x v="9"/>
    <x v="14"/>
    <x v="0"/>
    <x v="15"/>
    <n v="0"/>
  </r>
  <r>
    <x v="0"/>
    <x v="0"/>
    <x v="1"/>
    <x v="9"/>
    <x v="14"/>
    <x v="0"/>
    <x v="16"/>
    <n v="0"/>
  </r>
  <r>
    <x v="0"/>
    <x v="0"/>
    <x v="1"/>
    <x v="9"/>
    <x v="14"/>
    <x v="0"/>
    <x v="17"/>
    <n v="-4.1807556924628599E-2"/>
  </r>
  <r>
    <x v="0"/>
    <x v="0"/>
    <x v="1"/>
    <x v="9"/>
    <x v="14"/>
    <x v="0"/>
    <x v="18"/>
    <n v="-0.107070031631293"/>
  </r>
  <r>
    <x v="0"/>
    <x v="0"/>
    <x v="1"/>
    <x v="9"/>
    <x v="14"/>
    <x v="0"/>
    <x v="19"/>
    <n v="0"/>
  </r>
  <r>
    <x v="0"/>
    <x v="0"/>
    <x v="1"/>
    <x v="9"/>
    <x v="14"/>
    <x v="0"/>
    <x v="20"/>
    <n v="-3.0188725317122401E-2"/>
  </r>
  <r>
    <x v="0"/>
    <x v="0"/>
    <x v="1"/>
    <x v="9"/>
    <x v="14"/>
    <x v="0"/>
    <x v="21"/>
    <n v="0"/>
  </r>
  <r>
    <x v="0"/>
    <x v="0"/>
    <x v="1"/>
    <x v="9"/>
    <x v="14"/>
    <x v="0"/>
    <x v="22"/>
    <n v="0"/>
  </r>
  <r>
    <x v="0"/>
    <x v="0"/>
    <x v="1"/>
    <x v="9"/>
    <x v="14"/>
    <x v="0"/>
    <x v="23"/>
    <n v="0"/>
  </r>
  <r>
    <x v="0"/>
    <x v="0"/>
    <x v="1"/>
    <x v="9"/>
    <x v="13"/>
    <x v="0"/>
    <x v="0"/>
    <n v="0"/>
  </r>
  <r>
    <x v="0"/>
    <x v="0"/>
    <x v="1"/>
    <x v="9"/>
    <x v="13"/>
    <x v="0"/>
    <x v="1"/>
    <n v="0"/>
  </r>
  <r>
    <x v="0"/>
    <x v="0"/>
    <x v="1"/>
    <x v="9"/>
    <x v="13"/>
    <x v="0"/>
    <x v="2"/>
    <n v="0"/>
  </r>
  <r>
    <x v="0"/>
    <x v="0"/>
    <x v="1"/>
    <x v="9"/>
    <x v="13"/>
    <x v="0"/>
    <x v="3"/>
    <n v="0"/>
  </r>
  <r>
    <x v="0"/>
    <x v="0"/>
    <x v="1"/>
    <x v="9"/>
    <x v="13"/>
    <x v="0"/>
    <x v="4"/>
    <n v="0"/>
  </r>
  <r>
    <x v="0"/>
    <x v="0"/>
    <x v="1"/>
    <x v="9"/>
    <x v="13"/>
    <x v="0"/>
    <x v="5"/>
    <n v="0"/>
  </r>
  <r>
    <x v="0"/>
    <x v="0"/>
    <x v="1"/>
    <x v="9"/>
    <x v="13"/>
    <x v="0"/>
    <x v="6"/>
    <n v="0"/>
  </r>
  <r>
    <x v="0"/>
    <x v="0"/>
    <x v="1"/>
    <x v="9"/>
    <x v="13"/>
    <x v="0"/>
    <x v="7"/>
    <n v="0"/>
  </r>
  <r>
    <x v="0"/>
    <x v="0"/>
    <x v="1"/>
    <x v="9"/>
    <x v="13"/>
    <x v="0"/>
    <x v="8"/>
    <n v="0"/>
  </r>
  <r>
    <x v="0"/>
    <x v="0"/>
    <x v="1"/>
    <x v="9"/>
    <x v="13"/>
    <x v="0"/>
    <x v="9"/>
    <n v="0"/>
  </r>
  <r>
    <x v="0"/>
    <x v="0"/>
    <x v="1"/>
    <x v="9"/>
    <x v="13"/>
    <x v="0"/>
    <x v="10"/>
    <n v="0"/>
  </r>
  <r>
    <x v="0"/>
    <x v="0"/>
    <x v="1"/>
    <x v="9"/>
    <x v="13"/>
    <x v="0"/>
    <x v="11"/>
    <n v="0"/>
  </r>
  <r>
    <x v="0"/>
    <x v="0"/>
    <x v="1"/>
    <x v="9"/>
    <x v="13"/>
    <x v="0"/>
    <x v="12"/>
    <n v="0"/>
  </r>
  <r>
    <x v="0"/>
    <x v="0"/>
    <x v="1"/>
    <x v="9"/>
    <x v="13"/>
    <x v="0"/>
    <x v="13"/>
    <n v="0"/>
  </r>
  <r>
    <x v="0"/>
    <x v="0"/>
    <x v="1"/>
    <x v="9"/>
    <x v="13"/>
    <x v="0"/>
    <x v="14"/>
    <n v="0"/>
  </r>
  <r>
    <x v="0"/>
    <x v="0"/>
    <x v="1"/>
    <x v="9"/>
    <x v="13"/>
    <x v="0"/>
    <x v="15"/>
    <n v="-7.3428404992804702E-2"/>
  </r>
  <r>
    <x v="0"/>
    <x v="0"/>
    <x v="1"/>
    <x v="9"/>
    <x v="13"/>
    <x v="0"/>
    <x v="16"/>
    <n v="-0.27"/>
  </r>
  <r>
    <x v="0"/>
    <x v="0"/>
    <x v="1"/>
    <x v="9"/>
    <x v="13"/>
    <x v="0"/>
    <x v="17"/>
    <n v="-0.27"/>
  </r>
  <r>
    <x v="0"/>
    <x v="0"/>
    <x v="1"/>
    <x v="9"/>
    <x v="13"/>
    <x v="0"/>
    <x v="18"/>
    <n v="-0.187630366582095"/>
  </r>
  <r>
    <x v="0"/>
    <x v="0"/>
    <x v="1"/>
    <x v="9"/>
    <x v="13"/>
    <x v="0"/>
    <x v="19"/>
    <n v="0"/>
  </r>
  <r>
    <x v="0"/>
    <x v="0"/>
    <x v="1"/>
    <x v="9"/>
    <x v="13"/>
    <x v="0"/>
    <x v="20"/>
    <n v="0"/>
  </r>
  <r>
    <x v="0"/>
    <x v="0"/>
    <x v="1"/>
    <x v="9"/>
    <x v="13"/>
    <x v="0"/>
    <x v="21"/>
    <n v="0"/>
  </r>
  <r>
    <x v="0"/>
    <x v="0"/>
    <x v="1"/>
    <x v="9"/>
    <x v="13"/>
    <x v="0"/>
    <x v="22"/>
    <n v="0"/>
  </r>
  <r>
    <x v="0"/>
    <x v="0"/>
    <x v="1"/>
    <x v="9"/>
    <x v="13"/>
    <x v="0"/>
    <x v="23"/>
    <n v="0"/>
  </r>
  <r>
    <x v="0"/>
    <x v="0"/>
    <x v="1"/>
    <x v="10"/>
    <x v="11"/>
    <x v="0"/>
    <x v="0"/>
    <n v="0"/>
  </r>
  <r>
    <x v="0"/>
    <x v="0"/>
    <x v="1"/>
    <x v="10"/>
    <x v="11"/>
    <x v="0"/>
    <x v="1"/>
    <n v="0"/>
  </r>
  <r>
    <x v="0"/>
    <x v="0"/>
    <x v="1"/>
    <x v="10"/>
    <x v="11"/>
    <x v="0"/>
    <x v="2"/>
    <n v="0"/>
  </r>
  <r>
    <x v="0"/>
    <x v="0"/>
    <x v="1"/>
    <x v="10"/>
    <x v="11"/>
    <x v="0"/>
    <x v="3"/>
    <n v="0"/>
  </r>
  <r>
    <x v="0"/>
    <x v="0"/>
    <x v="1"/>
    <x v="10"/>
    <x v="11"/>
    <x v="0"/>
    <x v="4"/>
    <n v="0"/>
  </r>
  <r>
    <x v="0"/>
    <x v="0"/>
    <x v="1"/>
    <x v="10"/>
    <x v="11"/>
    <x v="0"/>
    <x v="5"/>
    <n v="0"/>
  </r>
  <r>
    <x v="0"/>
    <x v="0"/>
    <x v="1"/>
    <x v="10"/>
    <x v="11"/>
    <x v="0"/>
    <x v="6"/>
    <n v="0"/>
  </r>
  <r>
    <x v="0"/>
    <x v="0"/>
    <x v="1"/>
    <x v="10"/>
    <x v="11"/>
    <x v="0"/>
    <x v="7"/>
    <n v="0"/>
  </r>
  <r>
    <x v="0"/>
    <x v="0"/>
    <x v="1"/>
    <x v="10"/>
    <x v="11"/>
    <x v="0"/>
    <x v="8"/>
    <n v="0"/>
  </r>
  <r>
    <x v="0"/>
    <x v="0"/>
    <x v="1"/>
    <x v="10"/>
    <x v="11"/>
    <x v="0"/>
    <x v="9"/>
    <n v="0"/>
  </r>
  <r>
    <x v="0"/>
    <x v="0"/>
    <x v="1"/>
    <x v="10"/>
    <x v="11"/>
    <x v="0"/>
    <x v="10"/>
    <n v="0"/>
  </r>
  <r>
    <x v="0"/>
    <x v="0"/>
    <x v="1"/>
    <x v="10"/>
    <x v="11"/>
    <x v="0"/>
    <x v="11"/>
    <n v="0"/>
  </r>
  <r>
    <x v="0"/>
    <x v="0"/>
    <x v="1"/>
    <x v="10"/>
    <x v="11"/>
    <x v="0"/>
    <x v="12"/>
    <n v="0"/>
  </r>
  <r>
    <x v="0"/>
    <x v="0"/>
    <x v="1"/>
    <x v="10"/>
    <x v="11"/>
    <x v="0"/>
    <x v="13"/>
    <n v="0"/>
  </r>
  <r>
    <x v="0"/>
    <x v="0"/>
    <x v="1"/>
    <x v="10"/>
    <x v="11"/>
    <x v="0"/>
    <x v="14"/>
    <n v="0"/>
  </r>
  <r>
    <x v="0"/>
    <x v="0"/>
    <x v="1"/>
    <x v="10"/>
    <x v="11"/>
    <x v="0"/>
    <x v="15"/>
    <n v="0"/>
  </r>
  <r>
    <x v="0"/>
    <x v="0"/>
    <x v="1"/>
    <x v="10"/>
    <x v="11"/>
    <x v="0"/>
    <x v="16"/>
    <n v="0"/>
  </r>
  <r>
    <x v="0"/>
    <x v="0"/>
    <x v="1"/>
    <x v="10"/>
    <x v="11"/>
    <x v="0"/>
    <x v="17"/>
    <n v="0"/>
  </r>
  <r>
    <x v="0"/>
    <x v="0"/>
    <x v="1"/>
    <x v="10"/>
    <x v="11"/>
    <x v="0"/>
    <x v="18"/>
    <n v="0"/>
  </r>
  <r>
    <x v="0"/>
    <x v="0"/>
    <x v="1"/>
    <x v="10"/>
    <x v="11"/>
    <x v="0"/>
    <x v="19"/>
    <n v="0"/>
  </r>
  <r>
    <x v="0"/>
    <x v="0"/>
    <x v="1"/>
    <x v="10"/>
    <x v="11"/>
    <x v="0"/>
    <x v="20"/>
    <n v="0"/>
  </r>
  <r>
    <x v="0"/>
    <x v="0"/>
    <x v="1"/>
    <x v="10"/>
    <x v="11"/>
    <x v="0"/>
    <x v="21"/>
    <n v="0"/>
  </r>
  <r>
    <x v="0"/>
    <x v="0"/>
    <x v="1"/>
    <x v="10"/>
    <x v="11"/>
    <x v="0"/>
    <x v="22"/>
    <n v="0"/>
  </r>
  <r>
    <x v="0"/>
    <x v="0"/>
    <x v="1"/>
    <x v="10"/>
    <x v="11"/>
    <x v="0"/>
    <x v="23"/>
    <n v="0"/>
  </r>
  <r>
    <x v="0"/>
    <x v="0"/>
    <x v="1"/>
    <x v="10"/>
    <x v="6"/>
    <x v="0"/>
    <x v="0"/>
    <n v="0"/>
  </r>
  <r>
    <x v="0"/>
    <x v="0"/>
    <x v="1"/>
    <x v="10"/>
    <x v="6"/>
    <x v="0"/>
    <x v="1"/>
    <n v="0"/>
  </r>
  <r>
    <x v="0"/>
    <x v="0"/>
    <x v="1"/>
    <x v="10"/>
    <x v="6"/>
    <x v="0"/>
    <x v="2"/>
    <n v="0"/>
  </r>
  <r>
    <x v="0"/>
    <x v="0"/>
    <x v="1"/>
    <x v="10"/>
    <x v="6"/>
    <x v="0"/>
    <x v="3"/>
    <n v="0"/>
  </r>
  <r>
    <x v="0"/>
    <x v="0"/>
    <x v="1"/>
    <x v="10"/>
    <x v="6"/>
    <x v="0"/>
    <x v="4"/>
    <n v="0"/>
  </r>
  <r>
    <x v="0"/>
    <x v="0"/>
    <x v="1"/>
    <x v="10"/>
    <x v="6"/>
    <x v="0"/>
    <x v="5"/>
    <n v="0"/>
  </r>
  <r>
    <x v="0"/>
    <x v="0"/>
    <x v="1"/>
    <x v="10"/>
    <x v="6"/>
    <x v="0"/>
    <x v="6"/>
    <n v="0"/>
  </r>
  <r>
    <x v="0"/>
    <x v="0"/>
    <x v="1"/>
    <x v="10"/>
    <x v="6"/>
    <x v="0"/>
    <x v="7"/>
    <n v="0"/>
  </r>
  <r>
    <x v="0"/>
    <x v="0"/>
    <x v="1"/>
    <x v="10"/>
    <x v="6"/>
    <x v="0"/>
    <x v="8"/>
    <n v="0"/>
  </r>
  <r>
    <x v="0"/>
    <x v="0"/>
    <x v="1"/>
    <x v="10"/>
    <x v="6"/>
    <x v="0"/>
    <x v="9"/>
    <n v="0"/>
  </r>
  <r>
    <x v="0"/>
    <x v="0"/>
    <x v="1"/>
    <x v="10"/>
    <x v="6"/>
    <x v="0"/>
    <x v="10"/>
    <n v="0"/>
  </r>
  <r>
    <x v="0"/>
    <x v="0"/>
    <x v="1"/>
    <x v="10"/>
    <x v="6"/>
    <x v="0"/>
    <x v="11"/>
    <n v="0"/>
  </r>
  <r>
    <x v="0"/>
    <x v="0"/>
    <x v="1"/>
    <x v="10"/>
    <x v="6"/>
    <x v="0"/>
    <x v="12"/>
    <n v="0"/>
  </r>
  <r>
    <x v="0"/>
    <x v="0"/>
    <x v="1"/>
    <x v="10"/>
    <x v="6"/>
    <x v="0"/>
    <x v="13"/>
    <n v="0"/>
  </r>
  <r>
    <x v="0"/>
    <x v="0"/>
    <x v="1"/>
    <x v="10"/>
    <x v="6"/>
    <x v="0"/>
    <x v="14"/>
    <n v="0"/>
  </r>
  <r>
    <x v="0"/>
    <x v="0"/>
    <x v="1"/>
    <x v="10"/>
    <x v="6"/>
    <x v="0"/>
    <x v="15"/>
    <n v="0"/>
  </r>
  <r>
    <x v="0"/>
    <x v="0"/>
    <x v="1"/>
    <x v="10"/>
    <x v="6"/>
    <x v="0"/>
    <x v="16"/>
    <n v="0"/>
  </r>
  <r>
    <x v="0"/>
    <x v="0"/>
    <x v="1"/>
    <x v="10"/>
    <x v="6"/>
    <x v="0"/>
    <x v="17"/>
    <n v="0"/>
  </r>
  <r>
    <x v="0"/>
    <x v="0"/>
    <x v="1"/>
    <x v="10"/>
    <x v="6"/>
    <x v="0"/>
    <x v="18"/>
    <n v="0"/>
  </r>
  <r>
    <x v="0"/>
    <x v="0"/>
    <x v="1"/>
    <x v="10"/>
    <x v="6"/>
    <x v="0"/>
    <x v="19"/>
    <n v="0"/>
  </r>
  <r>
    <x v="0"/>
    <x v="0"/>
    <x v="1"/>
    <x v="10"/>
    <x v="6"/>
    <x v="0"/>
    <x v="20"/>
    <n v="0"/>
  </r>
  <r>
    <x v="0"/>
    <x v="0"/>
    <x v="1"/>
    <x v="10"/>
    <x v="6"/>
    <x v="0"/>
    <x v="21"/>
    <n v="0"/>
  </r>
  <r>
    <x v="0"/>
    <x v="0"/>
    <x v="1"/>
    <x v="10"/>
    <x v="6"/>
    <x v="0"/>
    <x v="22"/>
    <n v="0"/>
  </r>
  <r>
    <x v="0"/>
    <x v="0"/>
    <x v="1"/>
    <x v="10"/>
    <x v="6"/>
    <x v="0"/>
    <x v="23"/>
    <n v="0"/>
  </r>
  <r>
    <x v="0"/>
    <x v="0"/>
    <x v="1"/>
    <x v="10"/>
    <x v="9"/>
    <x v="0"/>
    <x v="0"/>
    <n v="0"/>
  </r>
  <r>
    <x v="0"/>
    <x v="0"/>
    <x v="1"/>
    <x v="10"/>
    <x v="9"/>
    <x v="0"/>
    <x v="1"/>
    <n v="0"/>
  </r>
  <r>
    <x v="0"/>
    <x v="0"/>
    <x v="1"/>
    <x v="10"/>
    <x v="9"/>
    <x v="0"/>
    <x v="2"/>
    <n v="0"/>
  </r>
  <r>
    <x v="0"/>
    <x v="0"/>
    <x v="1"/>
    <x v="10"/>
    <x v="9"/>
    <x v="0"/>
    <x v="3"/>
    <n v="0"/>
  </r>
  <r>
    <x v="0"/>
    <x v="0"/>
    <x v="1"/>
    <x v="10"/>
    <x v="9"/>
    <x v="0"/>
    <x v="4"/>
    <n v="0"/>
  </r>
  <r>
    <x v="0"/>
    <x v="0"/>
    <x v="1"/>
    <x v="10"/>
    <x v="9"/>
    <x v="0"/>
    <x v="5"/>
    <n v="0"/>
  </r>
  <r>
    <x v="0"/>
    <x v="0"/>
    <x v="1"/>
    <x v="10"/>
    <x v="9"/>
    <x v="0"/>
    <x v="6"/>
    <n v="0"/>
  </r>
  <r>
    <x v="0"/>
    <x v="0"/>
    <x v="1"/>
    <x v="10"/>
    <x v="9"/>
    <x v="0"/>
    <x v="7"/>
    <n v="0"/>
  </r>
  <r>
    <x v="0"/>
    <x v="0"/>
    <x v="1"/>
    <x v="10"/>
    <x v="9"/>
    <x v="0"/>
    <x v="8"/>
    <n v="0"/>
  </r>
  <r>
    <x v="0"/>
    <x v="0"/>
    <x v="1"/>
    <x v="10"/>
    <x v="9"/>
    <x v="0"/>
    <x v="9"/>
    <n v="0"/>
  </r>
  <r>
    <x v="0"/>
    <x v="0"/>
    <x v="1"/>
    <x v="10"/>
    <x v="9"/>
    <x v="0"/>
    <x v="10"/>
    <n v="0"/>
  </r>
  <r>
    <x v="0"/>
    <x v="0"/>
    <x v="1"/>
    <x v="10"/>
    <x v="9"/>
    <x v="0"/>
    <x v="11"/>
    <n v="0"/>
  </r>
  <r>
    <x v="0"/>
    <x v="0"/>
    <x v="1"/>
    <x v="10"/>
    <x v="9"/>
    <x v="0"/>
    <x v="12"/>
    <n v="0"/>
  </r>
  <r>
    <x v="0"/>
    <x v="0"/>
    <x v="1"/>
    <x v="10"/>
    <x v="9"/>
    <x v="0"/>
    <x v="13"/>
    <n v="0"/>
  </r>
  <r>
    <x v="0"/>
    <x v="0"/>
    <x v="1"/>
    <x v="10"/>
    <x v="9"/>
    <x v="0"/>
    <x v="14"/>
    <n v="0"/>
  </r>
  <r>
    <x v="0"/>
    <x v="0"/>
    <x v="1"/>
    <x v="10"/>
    <x v="9"/>
    <x v="0"/>
    <x v="15"/>
    <n v="0"/>
  </r>
  <r>
    <x v="0"/>
    <x v="0"/>
    <x v="1"/>
    <x v="10"/>
    <x v="9"/>
    <x v="0"/>
    <x v="16"/>
    <n v="0"/>
  </r>
  <r>
    <x v="0"/>
    <x v="0"/>
    <x v="1"/>
    <x v="10"/>
    <x v="9"/>
    <x v="0"/>
    <x v="17"/>
    <n v="0"/>
  </r>
  <r>
    <x v="0"/>
    <x v="0"/>
    <x v="1"/>
    <x v="10"/>
    <x v="9"/>
    <x v="0"/>
    <x v="18"/>
    <n v="0"/>
  </r>
  <r>
    <x v="0"/>
    <x v="0"/>
    <x v="1"/>
    <x v="10"/>
    <x v="9"/>
    <x v="0"/>
    <x v="19"/>
    <n v="0"/>
  </r>
  <r>
    <x v="0"/>
    <x v="0"/>
    <x v="1"/>
    <x v="10"/>
    <x v="9"/>
    <x v="0"/>
    <x v="20"/>
    <n v="0"/>
  </r>
  <r>
    <x v="0"/>
    <x v="0"/>
    <x v="1"/>
    <x v="10"/>
    <x v="9"/>
    <x v="0"/>
    <x v="21"/>
    <n v="0"/>
  </r>
  <r>
    <x v="0"/>
    <x v="0"/>
    <x v="1"/>
    <x v="10"/>
    <x v="9"/>
    <x v="0"/>
    <x v="22"/>
    <n v="0"/>
  </r>
  <r>
    <x v="0"/>
    <x v="0"/>
    <x v="1"/>
    <x v="10"/>
    <x v="9"/>
    <x v="0"/>
    <x v="23"/>
    <n v="0"/>
  </r>
  <r>
    <x v="0"/>
    <x v="0"/>
    <x v="1"/>
    <x v="11"/>
    <x v="12"/>
    <x v="0"/>
    <x v="0"/>
    <n v="0"/>
  </r>
  <r>
    <x v="0"/>
    <x v="0"/>
    <x v="1"/>
    <x v="11"/>
    <x v="12"/>
    <x v="0"/>
    <x v="1"/>
    <n v="0.54"/>
  </r>
  <r>
    <x v="0"/>
    <x v="0"/>
    <x v="1"/>
    <x v="11"/>
    <x v="12"/>
    <x v="0"/>
    <x v="2"/>
    <n v="0.54"/>
  </r>
  <r>
    <x v="0"/>
    <x v="0"/>
    <x v="1"/>
    <x v="11"/>
    <x v="12"/>
    <x v="0"/>
    <x v="3"/>
    <n v="0.26111370945198897"/>
  </r>
  <r>
    <x v="0"/>
    <x v="0"/>
    <x v="1"/>
    <x v="11"/>
    <x v="12"/>
    <x v="0"/>
    <x v="4"/>
    <n v="0.318448175199956"/>
  </r>
  <r>
    <x v="0"/>
    <x v="0"/>
    <x v="1"/>
    <x v="11"/>
    <x v="12"/>
    <x v="0"/>
    <x v="5"/>
    <n v="0.16128300061760001"/>
  </r>
  <r>
    <x v="0"/>
    <x v="0"/>
    <x v="1"/>
    <x v="11"/>
    <x v="12"/>
    <x v="0"/>
    <x v="6"/>
    <n v="3.0264612115207E-2"/>
  </r>
  <r>
    <x v="0"/>
    <x v="0"/>
    <x v="1"/>
    <x v="11"/>
    <x v="12"/>
    <x v="0"/>
    <x v="7"/>
    <n v="0"/>
  </r>
  <r>
    <x v="0"/>
    <x v="0"/>
    <x v="1"/>
    <x v="11"/>
    <x v="12"/>
    <x v="0"/>
    <x v="8"/>
    <n v="0"/>
  </r>
  <r>
    <x v="0"/>
    <x v="0"/>
    <x v="1"/>
    <x v="11"/>
    <x v="12"/>
    <x v="0"/>
    <x v="9"/>
    <n v="0"/>
  </r>
  <r>
    <x v="0"/>
    <x v="0"/>
    <x v="1"/>
    <x v="11"/>
    <x v="12"/>
    <x v="0"/>
    <x v="10"/>
    <n v="0"/>
  </r>
  <r>
    <x v="0"/>
    <x v="0"/>
    <x v="1"/>
    <x v="11"/>
    <x v="12"/>
    <x v="0"/>
    <x v="11"/>
    <n v="0"/>
  </r>
  <r>
    <x v="0"/>
    <x v="0"/>
    <x v="1"/>
    <x v="11"/>
    <x v="12"/>
    <x v="0"/>
    <x v="12"/>
    <n v="0"/>
  </r>
  <r>
    <x v="0"/>
    <x v="0"/>
    <x v="1"/>
    <x v="11"/>
    <x v="12"/>
    <x v="0"/>
    <x v="13"/>
    <n v="0"/>
  </r>
  <r>
    <x v="0"/>
    <x v="0"/>
    <x v="1"/>
    <x v="11"/>
    <x v="12"/>
    <x v="0"/>
    <x v="14"/>
    <n v="0"/>
  </r>
  <r>
    <x v="0"/>
    <x v="0"/>
    <x v="1"/>
    <x v="11"/>
    <x v="12"/>
    <x v="0"/>
    <x v="15"/>
    <n v="0"/>
  </r>
  <r>
    <x v="0"/>
    <x v="0"/>
    <x v="1"/>
    <x v="11"/>
    <x v="12"/>
    <x v="0"/>
    <x v="16"/>
    <n v="0"/>
  </r>
  <r>
    <x v="0"/>
    <x v="0"/>
    <x v="1"/>
    <x v="11"/>
    <x v="12"/>
    <x v="0"/>
    <x v="17"/>
    <n v="4.1807556924628599E-2"/>
  </r>
  <r>
    <x v="0"/>
    <x v="0"/>
    <x v="1"/>
    <x v="11"/>
    <x v="12"/>
    <x v="0"/>
    <x v="18"/>
    <n v="0.107070031631293"/>
  </r>
  <r>
    <x v="0"/>
    <x v="0"/>
    <x v="1"/>
    <x v="11"/>
    <x v="12"/>
    <x v="0"/>
    <x v="19"/>
    <n v="0"/>
  </r>
  <r>
    <x v="0"/>
    <x v="0"/>
    <x v="1"/>
    <x v="11"/>
    <x v="12"/>
    <x v="0"/>
    <x v="20"/>
    <n v="3.0188725317122401E-2"/>
  </r>
  <r>
    <x v="0"/>
    <x v="0"/>
    <x v="1"/>
    <x v="11"/>
    <x v="12"/>
    <x v="0"/>
    <x v="21"/>
    <n v="0"/>
  </r>
  <r>
    <x v="0"/>
    <x v="0"/>
    <x v="1"/>
    <x v="11"/>
    <x v="12"/>
    <x v="0"/>
    <x v="22"/>
    <n v="0"/>
  </r>
  <r>
    <x v="0"/>
    <x v="0"/>
    <x v="1"/>
    <x v="11"/>
    <x v="12"/>
    <x v="0"/>
    <x v="23"/>
    <n v="0"/>
  </r>
  <r>
    <x v="0"/>
    <x v="0"/>
    <x v="1"/>
    <x v="11"/>
    <x v="13"/>
    <x v="0"/>
    <x v="0"/>
    <n v="0.72688834362958399"/>
  </r>
  <r>
    <x v="0"/>
    <x v="0"/>
    <x v="1"/>
    <x v="11"/>
    <x v="13"/>
    <x v="0"/>
    <x v="1"/>
    <n v="8.6380991798843898E-2"/>
  </r>
  <r>
    <x v="0"/>
    <x v="0"/>
    <x v="1"/>
    <x v="11"/>
    <x v="13"/>
    <x v="0"/>
    <x v="2"/>
    <n v="0.10312825981793999"/>
  </r>
  <r>
    <x v="0"/>
    <x v="0"/>
    <x v="1"/>
    <x v="11"/>
    <x v="13"/>
    <x v="0"/>
    <x v="3"/>
    <n v="0.30109128686178399"/>
  </r>
  <r>
    <x v="0"/>
    <x v="0"/>
    <x v="1"/>
    <x v="11"/>
    <x v="13"/>
    <x v="0"/>
    <x v="4"/>
    <n v="0.11735747130579199"/>
  </r>
  <r>
    <x v="0"/>
    <x v="0"/>
    <x v="1"/>
    <x v="11"/>
    <x v="13"/>
    <x v="0"/>
    <x v="5"/>
    <n v="2.8539817747860401E-2"/>
  </r>
  <r>
    <x v="0"/>
    <x v="0"/>
    <x v="1"/>
    <x v="11"/>
    <x v="13"/>
    <x v="0"/>
    <x v="6"/>
    <n v="0"/>
  </r>
  <r>
    <x v="0"/>
    <x v="0"/>
    <x v="1"/>
    <x v="11"/>
    <x v="13"/>
    <x v="0"/>
    <x v="7"/>
    <n v="0"/>
  </r>
  <r>
    <x v="0"/>
    <x v="0"/>
    <x v="1"/>
    <x v="11"/>
    <x v="13"/>
    <x v="0"/>
    <x v="8"/>
    <n v="0"/>
  </r>
  <r>
    <x v="0"/>
    <x v="0"/>
    <x v="1"/>
    <x v="11"/>
    <x v="13"/>
    <x v="0"/>
    <x v="9"/>
    <n v="0"/>
  </r>
  <r>
    <x v="0"/>
    <x v="0"/>
    <x v="1"/>
    <x v="11"/>
    <x v="13"/>
    <x v="0"/>
    <x v="10"/>
    <n v="0"/>
  </r>
  <r>
    <x v="0"/>
    <x v="0"/>
    <x v="1"/>
    <x v="11"/>
    <x v="13"/>
    <x v="0"/>
    <x v="11"/>
    <n v="0"/>
  </r>
  <r>
    <x v="0"/>
    <x v="0"/>
    <x v="1"/>
    <x v="11"/>
    <x v="13"/>
    <x v="0"/>
    <x v="12"/>
    <n v="-8.1244171518345301E-2"/>
  </r>
  <r>
    <x v="0"/>
    <x v="0"/>
    <x v="1"/>
    <x v="11"/>
    <x v="13"/>
    <x v="0"/>
    <x v="13"/>
    <n v="0"/>
  </r>
  <r>
    <x v="0"/>
    <x v="0"/>
    <x v="1"/>
    <x v="11"/>
    <x v="13"/>
    <x v="0"/>
    <x v="14"/>
    <n v="0"/>
  </r>
  <r>
    <x v="0"/>
    <x v="0"/>
    <x v="1"/>
    <x v="11"/>
    <x v="13"/>
    <x v="0"/>
    <x v="15"/>
    <n v="-0.121781104011133"/>
  </r>
  <r>
    <x v="0"/>
    <x v="0"/>
    <x v="1"/>
    <x v="11"/>
    <x v="13"/>
    <x v="0"/>
    <x v="16"/>
    <n v="-6.7830983126771797E-3"/>
  </r>
  <r>
    <x v="0"/>
    <x v="0"/>
    <x v="1"/>
    <x v="11"/>
    <x v="13"/>
    <x v="0"/>
    <x v="17"/>
    <n v="0"/>
  </r>
  <r>
    <x v="0"/>
    <x v="0"/>
    <x v="1"/>
    <x v="11"/>
    <x v="13"/>
    <x v="0"/>
    <x v="18"/>
    <n v="0"/>
  </r>
  <r>
    <x v="0"/>
    <x v="0"/>
    <x v="1"/>
    <x v="11"/>
    <x v="13"/>
    <x v="0"/>
    <x v="19"/>
    <n v="9.9604306020555394E-2"/>
  </r>
  <r>
    <x v="0"/>
    <x v="0"/>
    <x v="1"/>
    <x v="11"/>
    <x v="13"/>
    <x v="0"/>
    <x v="20"/>
    <n v="0"/>
  </r>
  <r>
    <x v="0"/>
    <x v="0"/>
    <x v="1"/>
    <x v="11"/>
    <x v="13"/>
    <x v="0"/>
    <x v="21"/>
    <n v="0.11216485643944001"/>
  </r>
  <r>
    <x v="0"/>
    <x v="0"/>
    <x v="1"/>
    <x v="11"/>
    <x v="13"/>
    <x v="0"/>
    <x v="22"/>
    <n v="9.0109180077184797E-2"/>
  </r>
  <r>
    <x v="0"/>
    <x v="0"/>
    <x v="1"/>
    <x v="11"/>
    <x v="13"/>
    <x v="0"/>
    <x v="23"/>
    <n v="0.27858396171556299"/>
  </r>
  <r>
    <x v="0"/>
    <x v="0"/>
    <x v="1"/>
    <x v="12"/>
    <x v="9"/>
    <x v="0"/>
    <x v="0"/>
    <n v="0"/>
  </r>
  <r>
    <x v="0"/>
    <x v="0"/>
    <x v="1"/>
    <x v="12"/>
    <x v="9"/>
    <x v="0"/>
    <x v="1"/>
    <n v="0"/>
  </r>
  <r>
    <x v="0"/>
    <x v="0"/>
    <x v="1"/>
    <x v="12"/>
    <x v="9"/>
    <x v="0"/>
    <x v="2"/>
    <n v="0"/>
  </r>
  <r>
    <x v="0"/>
    <x v="0"/>
    <x v="1"/>
    <x v="12"/>
    <x v="9"/>
    <x v="0"/>
    <x v="3"/>
    <n v="0"/>
  </r>
  <r>
    <x v="0"/>
    <x v="0"/>
    <x v="1"/>
    <x v="12"/>
    <x v="9"/>
    <x v="0"/>
    <x v="4"/>
    <n v="0"/>
  </r>
  <r>
    <x v="0"/>
    <x v="0"/>
    <x v="1"/>
    <x v="12"/>
    <x v="9"/>
    <x v="0"/>
    <x v="5"/>
    <n v="0"/>
  </r>
  <r>
    <x v="0"/>
    <x v="0"/>
    <x v="1"/>
    <x v="12"/>
    <x v="9"/>
    <x v="0"/>
    <x v="6"/>
    <n v="0"/>
  </r>
  <r>
    <x v="0"/>
    <x v="0"/>
    <x v="1"/>
    <x v="12"/>
    <x v="9"/>
    <x v="0"/>
    <x v="7"/>
    <n v="0"/>
  </r>
  <r>
    <x v="0"/>
    <x v="0"/>
    <x v="1"/>
    <x v="12"/>
    <x v="9"/>
    <x v="0"/>
    <x v="8"/>
    <n v="0"/>
  </r>
  <r>
    <x v="0"/>
    <x v="0"/>
    <x v="1"/>
    <x v="12"/>
    <x v="9"/>
    <x v="0"/>
    <x v="9"/>
    <n v="0"/>
  </r>
  <r>
    <x v="0"/>
    <x v="0"/>
    <x v="1"/>
    <x v="12"/>
    <x v="9"/>
    <x v="0"/>
    <x v="10"/>
    <n v="0"/>
  </r>
  <r>
    <x v="0"/>
    <x v="0"/>
    <x v="1"/>
    <x v="12"/>
    <x v="9"/>
    <x v="0"/>
    <x v="11"/>
    <n v="0"/>
  </r>
  <r>
    <x v="0"/>
    <x v="0"/>
    <x v="1"/>
    <x v="12"/>
    <x v="9"/>
    <x v="0"/>
    <x v="12"/>
    <n v="0"/>
  </r>
  <r>
    <x v="0"/>
    <x v="0"/>
    <x v="1"/>
    <x v="12"/>
    <x v="9"/>
    <x v="0"/>
    <x v="13"/>
    <n v="0"/>
  </r>
  <r>
    <x v="0"/>
    <x v="0"/>
    <x v="1"/>
    <x v="12"/>
    <x v="9"/>
    <x v="0"/>
    <x v="14"/>
    <n v="0"/>
  </r>
  <r>
    <x v="0"/>
    <x v="0"/>
    <x v="1"/>
    <x v="12"/>
    <x v="9"/>
    <x v="0"/>
    <x v="15"/>
    <n v="0"/>
  </r>
  <r>
    <x v="0"/>
    <x v="0"/>
    <x v="1"/>
    <x v="12"/>
    <x v="9"/>
    <x v="0"/>
    <x v="16"/>
    <n v="0"/>
  </r>
  <r>
    <x v="0"/>
    <x v="0"/>
    <x v="1"/>
    <x v="12"/>
    <x v="9"/>
    <x v="0"/>
    <x v="17"/>
    <n v="0"/>
  </r>
  <r>
    <x v="0"/>
    <x v="0"/>
    <x v="1"/>
    <x v="12"/>
    <x v="9"/>
    <x v="0"/>
    <x v="18"/>
    <n v="0"/>
  </r>
  <r>
    <x v="0"/>
    <x v="0"/>
    <x v="1"/>
    <x v="12"/>
    <x v="9"/>
    <x v="0"/>
    <x v="19"/>
    <n v="0"/>
  </r>
  <r>
    <x v="0"/>
    <x v="0"/>
    <x v="1"/>
    <x v="12"/>
    <x v="9"/>
    <x v="0"/>
    <x v="20"/>
    <n v="0"/>
  </r>
  <r>
    <x v="0"/>
    <x v="0"/>
    <x v="1"/>
    <x v="12"/>
    <x v="9"/>
    <x v="0"/>
    <x v="21"/>
    <n v="0"/>
  </r>
  <r>
    <x v="0"/>
    <x v="0"/>
    <x v="1"/>
    <x v="12"/>
    <x v="9"/>
    <x v="0"/>
    <x v="22"/>
    <n v="0"/>
  </r>
  <r>
    <x v="0"/>
    <x v="0"/>
    <x v="1"/>
    <x v="12"/>
    <x v="9"/>
    <x v="0"/>
    <x v="23"/>
    <n v="0"/>
  </r>
  <r>
    <x v="0"/>
    <x v="0"/>
    <x v="1"/>
    <x v="12"/>
    <x v="12"/>
    <x v="0"/>
    <x v="0"/>
    <n v="0"/>
  </r>
  <r>
    <x v="0"/>
    <x v="0"/>
    <x v="1"/>
    <x v="12"/>
    <x v="12"/>
    <x v="0"/>
    <x v="1"/>
    <n v="0"/>
  </r>
  <r>
    <x v="0"/>
    <x v="0"/>
    <x v="1"/>
    <x v="12"/>
    <x v="12"/>
    <x v="0"/>
    <x v="2"/>
    <n v="0"/>
  </r>
  <r>
    <x v="0"/>
    <x v="0"/>
    <x v="1"/>
    <x v="12"/>
    <x v="12"/>
    <x v="0"/>
    <x v="3"/>
    <n v="0"/>
  </r>
  <r>
    <x v="0"/>
    <x v="0"/>
    <x v="1"/>
    <x v="12"/>
    <x v="12"/>
    <x v="0"/>
    <x v="4"/>
    <n v="0"/>
  </r>
  <r>
    <x v="0"/>
    <x v="0"/>
    <x v="1"/>
    <x v="12"/>
    <x v="12"/>
    <x v="0"/>
    <x v="5"/>
    <n v="0"/>
  </r>
  <r>
    <x v="0"/>
    <x v="0"/>
    <x v="1"/>
    <x v="12"/>
    <x v="12"/>
    <x v="0"/>
    <x v="6"/>
    <n v="0"/>
  </r>
  <r>
    <x v="0"/>
    <x v="0"/>
    <x v="1"/>
    <x v="12"/>
    <x v="12"/>
    <x v="0"/>
    <x v="7"/>
    <n v="0"/>
  </r>
  <r>
    <x v="0"/>
    <x v="0"/>
    <x v="1"/>
    <x v="12"/>
    <x v="12"/>
    <x v="0"/>
    <x v="8"/>
    <n v="0"/>
  </r>
  <r>
    <x v="0"/>
    <x v="0"/>
    <x v="1"/>
    <x v="12"/>
    <x v="12"/>
    <x v="0"/>
    <x v="9"/>
    <n v="0"/>
  </r>
  <r>
    <x v="0"/>
    <x v="0"/>
    <x v="1"/>
    <x v="12"/>
    <x v="12"/>
    <x v="0"/>
    <x v="10"/>
    <n v="0"/>
  </r>
  <r>
    <x v="0"/>
    <x v="0"/>
    <x v="1"/>
    <x v="12"/>
    <x v="12"/>
    <x v="0"/>
    <x v="11"/>
    <n v="0"/>
  </r>
  <r>
    <x v="0"/>
    <x v="0"/>
    <x v="1"/>
    <x v="12"/>
    <x v="12"/>
    <x v="0"/>
    <x v="12"/>
    <n v="0"/>
  </r>
  <r>
    <x v="0"/>
    <x v="0"/>
    <x v="1"/>
    <x v="12"/>
    <x v="12"/>
    <x v="0"/>
    <x v="13"/>
    <n v="0"/>
  </r>
  <r>
    <x v="0"/>
    <x v="0"/>
    <x v="1"/>
    <x v="12"/>
    <x v="12"/>
    <x v="0"/>
    <x v="14"/>
    <n v="0"/>
  </r>
  <r>
    <x v="0"/>
    <x v="0"/>
    <x v="1"/>
    <x v="12"/>
    <x v="12"/>
    <x v="0"/>
    <x v="15"/>
    <n v="7.3428404992804702E-2"/>
  </r>
  <r>
    <x v="0"/>
    <x v="0"/>
    <x v="1"/>
    <x v="12"/>
    <x v="12"/>
    <x v="0"/>
    <x v="16"/>
    <n v="0.27"/>
  </r>
  <r>
    <x v="0"/>
    <x v="0"/>
    <x v="1"/>
    <x v="12"/>
    <x v="12"/>
    <x v="0"/>
    <x v="17"/>
    <n v="0.27"/>
  </r>
  <r>
    <x v="0"/>
    <x v="0"/>
    <x v="1"/>
    <x v="12"/>
    <x v="12"/>
    <x v="0"/>
    <x v="18"/>
    <n v="0.187630366582095"/>
  </r>
  <r>
    <x v="0"/>
    <x v="0"/>
    <x v="1"/>
    <x v="12"/>
    <x v="12"/>
    <x v="0"/>
    <x v="19"/>
    <n v="0"/>
  </r>
  <r>
    <x v="0"/>
    <x v="0"/>
    <x v="1"/>
    <x v="12"/>
    <x v="12"/>
    <x v="0"/>
    <x v="20"/>
    <n v="0"/>
  </r>
  <r>
    <x v="0"/>
    <x v="0"/>
    <x v="1"/>
    <x v="12"/>
    <x v="12"/>
    <x v="0"/>
    <x v="21"/>
    <n v="0"/>
  </r>
  <r>
    <x v="0"/>
    <x v="0"/>
    <x v="1"/>
    <x v="12"/>
    <x v="12"/>
    <x v="0"/>
    <x v="22"/>
    <n v="0"/>
  </r>
  <r>
    <x v="0"/>
    <x v="0"/>
    <x v="1"/>
    <x v="12"/>
    <x v="12"/>
    <x v="0"/>
    <x v="23"/>
    <n v="0"/>
  </r>
  <r>
    <x v="0"/>
    <x v="0"/>
    <x v="1"/>
    <x v="12"/>
    <x v="14"/>
    <x v="0"/>
    <x v="0"/>
    <n v="-0.72688834362958399"/>
  </r>
  <r>
    <x v="0"/>
    <x v="0"/>
    <x v="1"/>
    <x v="12"/>
    <x v="14"/>
    <x v="0"/>
    <x v="1"/>
    <n v="-8.6380991798843898E-2"/>
  </r>
  <r>
    <x v="0"/>
    <x v="0"/>
    <x v="1"/>
    <x v="12"/>
    <x v="14"/>
    <x v="0"/>
    <x v="2"/>
    <n v="-0.10312825981793999"/>
  </r>
  <r>
    <x v="0"/>
    <x v="0"/>
    <x v="1"/>
    <x v="12"/>
    <x v="14"/>
    <x v="0"/>
    <x v="3"/>
    <n v="-0.30109128686178399"/>
  </r>
  <r>
    <x v="0"/>
    <x v="0"/>
    <x v="1"/>
    <x v="12"/>
    <x v="14"/>
    <x v="0"/>
    <x v="4"/>
    <n v="-0.11735747130579199"/>
  </r>
  <r>
    <x v="0"/>
    <x v="0"/>
    <x v="1"/>
    <x v="12"/>
    <x v="14"/>
    <x v="0"/>
    <x v="5"/>
    <n v="-2.8539817747860401E-2"/>
  </r>
  <r>
    <x v="0"/>
    <x v="0"/>
    <x v="1"/>
    <x v="12"/>
    <x v="14"/>
    <x v="0"/>
    <x v="6"/>
    <n v="0"/>
  </r>
  <r>
    <x v="0"/>
    <x v="0"/>
    <x v="1"/>
    <x v="12"/>
    <x v="14"/>
    <x v="0"/>
    <x v="7"/>
    <n v="0"/>
  </r>
  <r>
    <x v="0"/>
    <x v="0"/>
    <x v="1"/>
    <x v="12"/>
    <x v="14"/>
    <x v="0"/>
    <x v="8"/>
    <n v="0"/>
  </r>
  <r>
    <x v="0"/>
    <x v="0"/>
    <x v="1"/>
    <x v="12"/>
    <x v="14"/>
    <x v="0"/>
    <x v="9"/>
    <n v="0"/>
  </r>
  <r>
    <x v="0"/>
    <x v="0"/>
    <x v="1"/>
    <x v="12"/>
    <x v="14"/>
    <x v="0"/>
    <x v="10"/>
    <n v="0"/>
  </r>
  <r>
    <x v="0"/>
    <x v="0"/>
    <x v="1"/>
    <x v="12"/>
    <x v="14"/>
    <x v="0"/>
    <x v="11"/>
    <n v="0"/>
  </r>
  <r>
    <x v="0"/>
    <x v="0"/>
    <x v="1"/>
    <x v="12"/>
    <x v="14"/>
    <x v="0"/>
    <x v="12"/>
    <n v="8.1244171518345301E-2"/>
  </r>
  <r>
    <x v="0"/>
    <x v="0"/>
    <x v="1"/>
    <x v="12"/>
    <x v="14"/>
    <x v="0"/>
    <x v="13"/>
    <n v="0"/>
  </r>
  <r>
    <x v="0"/>
    <x v="0"/>
    <x v="1"/>
    <x v="12"/>
    <x v="14"/>
    <x v="0"/>
    <x v="14"/>
    <n v="0"/>
  </r>
  <r>
    <x v="0"/>
    <x v="0"/>
    <x v="1"/>
    <x v="12"/>
    <x v="14"/>
    <x v="0"/>
    <x v="15"/>
    <n v="0.121781104011133"/>
  </r>
  <r>
    <x v="0"/>
    <x v="0"/>
    <x v="1"/>
    <x v="12"/>
    <x v="14"/>
    <x v="0"/>
    <x v="16"/>
    <n v="6.7830983126771797E-3"/>
  </r>
  <r>
    <x v="0"/>
    <x v="0"/>
    <x v="1"/>
    <x v="12"/>
    <x v="14"/>
    <x v="0"/>
    <x v="17"/>
    <n v="0"/>
  </r>
  <r>
    <x v="0"/>
    <x v="0"/>
    <x v="1"/>
    <x v="12"/>
    <x v="14"/>
    <x v="0"/>
    <x v="18"/>
    <n v="0"/>
  </r>
  <r>
    <x v="0"/>
    <x v="0"/>
    <x v="1"/>
    <x v="12"/>
    <x v="14"/>
    <x v="0"/>
    <x v="19"/>
    <n v="-9.9604306020555394E-2"/>
  </r>
  <r>
    <x v="0"/>
    <x v="0"/>
    <x v="1"/>
    <x v="12"/>
    <x v="14"/>
    <x v="0"/>
    <x v="20"/>
    <n v="0"/>
  </r>
  <r>
    <x v="0"/>
    <x v="0"/>
    <x v="1"/>
    <x v="12"/>
    <x v="14"/>
    <x v="0"/>
    <x v="21"/>
    <n v="-0.11216485643944001"/>
  </r>
  <r>
    <x v="0"/>
    <x v="0"/>
    <x v="1"/>
    <x v="12"/>
    <x v="14"/>
    <x v="0"/>
    <x v="22"/>
    <n v="-9.0109180077184797E-2"/>
  </r>
  <r>
    <x v="0"/>
    <x v="0"/>
    <x v="1"/>
    <x v="12"/>
    <x v="14"/>
    <x v="0"/>
    <x v="23"/>
    <n v="-0.27858396171556299"/>
  </r>
  <r>
    <x v="0"/>
    <x v="0"/>
    <x v="1"/>
    <x v="12"/>
    <x v="8"/>
    <x v="0"/>
    <x v="0"/>
    <n v="0"/>
  </r>
  <r>
    <x v="0"/>
    <x v="0"/>
    <x v="1"/>
    <x v="12"/>
    <x v="8"/>
    <x v="0"/>
    <x v="1"/>
    <n v="0"/>
  </r>
  <r>
    <x v="0"/>
    <x v="0"/>
    <x v="1"/>
    <x v="12"/>
    <x v="8"/>
    <x v="0"/>
    <x v="2"/>
    <n v="0"/>
  </r>
  <r>
    <x v="0"/>
    <x v="0"/>
    <x v="1"/>
    <x v="12"/>
    <x v="8"/>
    <x v="0"/>
    <x v="3"/>
    <n v="0"/>
  </r>
  <r>
    <x v="0"/>
    <x v="0"/>
    <x v="1"/>
    <x v="12"/>
    <x v="8"/>
    <x v="0"/>
    <x v="4"/>
    <n v="0"/>
  </r>
  <r>
    <x v="0"/>
    <x v="0"/>
    <x v="1"/>
    <x v="12"/>
    <x v="8"/>
    <x v="0"/>
    <x v="5"/>
    <n v="0"/>
  </r>
  <r>
    <x v="0"/>
    <x v="0"/>
    <x v="1"/>
    <x v="12"/>
    <x v="8"/>
    <x v="0"/>
    <x v="6"/>
    <n v="0"/>
  </r>
  <r>
    <x v="0"/>
    <x v="0"/>
    <x v="1"/>
    <x v="12"/>
    <x v="8"/>
    <x v="0"/>
    <x v="7"/>
    <n v="0"/>
  </r>
  <r>
    <x v="0"/>
    <x v="0"/>
    <x v="1"/>
    <x v="12"/>
    <x v="8"/>
    <x v="0"/>
    <x v="8"/>
    <n v="0"/>
  </r>
  <r>
    <x v="0"/>
    <x v="0"/>
    <x v="1"/>
    <x v="12"/>
    <x v="8"/>
    <x v="0"/>
    <x v="9"/>
    <n v="0"/>
  </r>
  <r>
    <x v="0"/>
    <x v="0"/>
    <x v="1"/>
    <x v="12"/>
    <x v="8"/>
    <x v="0"/>
    <x v="10"/>
    <n v="0"/>
  </r>
  <r>
    <x v="0"/>
    <x v="0"/>
    <x v="1"/>
    <x v="12"/>
    <x v="8"/>
    <x v="0"/>
    <x v="11"/>
    <n v="0"/>
  </r>
  <r>
    <x v="0"/>
    <x v="0"/>
    <x v="1"/>
    <x v="12"/>
    <x v="8"/>
    <x v="0"/>
    <x v="12"/>
    <n v="0"/>
  </r>
  <r>
    <x v="0"/>
    <x v="0"/>
    <x v="1"/>
    <x v="12"/>
    <x v="8"/>
    <x v="0"/>
    <x v="13"/>
    <n v="0.259771192056794"/>
  </r>
  <r>
    <x v="0"/>
    <x v="0"/>
    <x v="1"/>
    <x v="12"/>
    <x v="8"/>
    <x v="0"/>
    <x v="14"/>
    <n v="0.259428506417688"/>
  </r>
  <r>
    <x v="0"/>
    <x v="0"/>
    <x v="1"/>
    <x v="12"/>
    <x v="8"/>
    <x v="0"/>
    <x v="15"/>
    <n v="0"/>
  </r>
  <r>
    <x v="0"/>
    <x v="0"/>
    <x v="1"/>
    <x v="12"/>
    <x v="8"/>
    <x v="0"/>
    <x v="16"/>
    <n v="0"/>
  </r>
  <r>
    <x v="0"/>
    <x v="0"/>
    <x v="1"/>
    <x v="12"/>
    <x v="8"/>
    <x v="0"/>
    <x v="17"/>
    <n v="9.5257020324913903E-3"/>
  </r>
  <r>
    <x v="0"/>
    <x v="0"/>
    <x v="1"/>
    <x v="12"/>
    <x v="8"/>
    <x v="0"/>
    <x v="18"/>
    <n v="0"/>
  </r>
  <r>
    <x v="0"/>
    <x v="0"/>
    <x v="1"/>
    <x v="12"/>
    <x v="8"/>
    <x v="0"/>
    <x v="19"/>
    <n v="0"/>
  </r>
  <r>
    <x v="0"/>
    <x v="0"/>
    <x v="1"/>
    <x v="12"/>
    <x v="8"/>
    <x v="0"/>
    <x v="20"/>
    <n v="0"/>
  </r>
  <r>
    <x v="0"/>
    <x v="0"/>
    <x v="1"/>
    <x v="12"/>
    <x v="8"/>
    <x v="0"/>
    <x v="21"/>
    <n v="0"/>
  </r>
  <r>
    <x v="0"/>
    <x v="0"/>
    <x v="1"/>
    <x v="12"/>
    <x v="8"/>
    <x v="0"/>
    <x v="22"/>
    <n v="0"/>
  </r>
  <r>
    <x v="0"/>
    <x v="0"/>
    <x v="1"/>
    <x v="12"/>
    <x v="8"/>
    <x v="0"/>
    <x v="23"/>
    <n v="0"/>
  </r>
  <r>
    <x v="0"/>
    <x v="0"/>
    <x v="1"/>
    <x v="13"/>
    <x v="5"/>
    <x v="0"/>
    <x v="0"/>
    <n v="0.46470705690119901"/>
  </r>
  <r>
    <x v="0"/>
    <x v="0"/>
    <x v="1"/>
    <x v="13"/>
    <x v="5"/>
    <x v="0"/>
    <x v="1"/>
    <n v="0.30431252697831201"/>
  </r>
  <r>
    <x v="0"/>
    <x v="0"/>
    <x v="1"/>
    <x v="13"/>
    <x v="5"/>
    <x v="0"/>
    <x v="2"/>
    <n v="0.19884795842242101"/>
  </r>
  <r>
    <x v="0"/>
    <x v="0"/>
    <x v="1"/>
    <x v="13"/>
    <x v="5"/>
    <x v="0"/>
    <x v="3"/>
    <n v="0.61199999999999999"/>
  </r>
  <r>
    <x v="0"/>
    <x v="0"/>
    <x v="1"/>
    <x v="13"/>
    <x v="5"/>
    <x v="0"/>
    <x v="4"/>
    <n v="5.2783895181422402E-2"/>
  </r>
  <r>
    <x v="0"/>
    <x v="0"/>
    <x v="1"/>
    <x v="13"/>
    <x v="5"/>
    <x v="0"/>
    <x v="5"/>
    <n v="0.28194105903822198"/>
  </r>
  <r>
    <x v="0"/>
    <x v="0"/>
    <x v="1"/>
    <x v="13"/>
    <x v="5"/>
    <x v="0"/>
    <x v="6"/>
    <n v="0.61199999999999999"/>
  </r>
  <r>
    <x v="0"/>
    <x v="0"/>
    <x v="1"/>
    <x v="13"/>
    <x v="5"/>
    <x v="0"/>
    <x v="7"/>
    <n v="0.61199999999999999"/>
  </r>
  <r>
    <x v="0"/>
    <x v="0"/>
    <x v="1"/>
    <x v="13"/>
    <x v="5"/>
    <x v="0"/>
    <x v="8"/>
    <n v="0.61199999999999999"/>
  </r>
  <r>
    <x v="0"/>
    <x v="0"/>
    <x v="1"/>
    <x v="13"/>
    <x v="5"/>
    <x v="0"/>
    <x v="9"/>
    <n v="0.61199999999999999"/>
  </r>
  <r>
    <x v="0"/>
    <x v="0"/>
    <x v="1"/>
    <x v="13"/>
    <x v="5"/>
    <x v="0"/>
    <x v="10"/>
    <n v="0.61199999999999999"/>
  </r>
  <r>
    <x v="0"/>
    <x v="0"/>
    <x v="1"/>
    <x v="13"/>
    <x v="5"/>
    <x v="0"/>
    <x v="11"/>
    <n v="0.61199999999999999"/>
  </r>
  <r>
    <x v="0"/>
    <x v="0"/>
    <x v="1"/>
    <x v="13"/>
    <x v="5"/>
    <x v="0"/>
    <x v="12"/>
    <n v="0.61199999999999999"/>
  </r>
  <r>
    <x v="0"/>
    <x v="0"/>
    <x v="1"/>
    <x v="13"/>
    <x v="5"/>
    <x v="0"/>
    <x v="13"/>
    <n v="0.61199999999999999"/>
  </r>
  <r>
    <x v="0"/>
    <x v="0"/>
    <x v="1"/>
    <x v="13"/>
    <x v="5"/>
    <x v="0"/>
    <x v="14"/>
    <n v="0.61199999999999999"/>
  </r>
  <r>
    <x v="0"/>
    <x v="0"/>
    <x v="1"/>
    <x v="13"/>
    <x v="5"/>
    <x v="0"/>
    <x v="15"/>
    <n v="0.61199999999999999"/>
  </r>
  <r>
    <x v="0"/>
    <x v="0"/>
    <x v="1"/>
    <x v="13"/>
    <x v="5"/>
    <x v="0"/>
    <x v="16"/>
    <n v="0.61199999999999999"/>
  </r>
  <r>
    <x v="0"/>
    <x v="0"/>
    <x v="1"/>
    <x v="13"/>
    <x v="5"/>
    <x v="0"/>
    <x v="17"/>
    <n v="0.61199999999999999"/>
  </r>
  <r>
    <x v="0"/>
    <x v="0"/>
    <x v="1"/>
    <x v="13"/>
    <x v="5"/>
    <x v="0"/>
    <x v="18"/>
    <n v="0.61199999999999999"/>
  </r>
  <r>
    <x v="0"/>
    <x v="0"/>
    <x v="1"/>
    <x v="13"/>
    <x v="5"/>
    <x v="0"/>
    <x v="19"/>
    <n v="0.61199999999999999"/>
  </r>
  <r>
    <x v="0"/>
    <x v="0"/>
    <x v="1"/>
    <x v="13"/>
    <x v="5"/>
    <x v="0"/>
    <x v="20"/>
    <n v="0.61199999999999999"/>
  </r>
  <r>
    <x v="0"/>
    <x v="0"/>
    <x v="1"/>
    <x v="13"/>
    <x v="5"/>
    <x v="0"/>
    <x v="21"/>
    <n v="0.61199999999999999"/>
  </r>
  <r>
    <x v="0"/>
    <x v="0"/>
    <x v="1"/>
    <x v="13"/>
    <x v="5"/>
    <x v="0"/>
    <x v="22"/>
    <n v="0.61199999999999999"/>
  </r>
  <r>
    <x v="0"/>
    <x v="0"/>
    <x v="1"/>
    <x v="13"/>
    <x v="5"/>
    <x v="0"/>
    <x v="23"/>
    <n v="0.61199999999999999"/>
  </r>
  <r>
    <x v="0"/>
    <x v="0"/>
    <x v="1"/>
    <x v="13"/>
    <x v="11"/>
    <x v="0"/>
    <x v="0"/>
    <n v="0"/>
  </r>
  <r>
    <x v="0"/>
    <x v="0"/>
    <x v="1"/>
    <x v="13"/>
    <x v="11"/>
    <x v="0"/>
    <x v="1"/>
    <n v="0"/>
  </r>
  <r>
    <x v="0"/>
    <x v="0"/>
    <x v="1"/>
    <x v="13"/>
    <x v="11"/>
    <x v="0"/>
    <x v="2"/>
    <n v="0"/>
  </r>
  <r>
    <x v="0"/>
    <x v="0"/>
    <x v="1"/>
    <x v="13"/>
    <x v="11"/>
    <x v="0"/>
    <x v="3"/>
    <n v="0"/>
  </r>
  <r>
    <x v="0"/>
    <x v="0"/>
    <x v="1"/>
    <x v="13"/>
    <x v="11"/>
    <x v="0"/>
    <x v="4"/>
    <n v="0"/>
  </r>
  <r>
    <x v="0"/>
    <x v="0"/>
    <x v="1"/>
    <x v="13"/>
    <x v="11"/>
    <x v="0"/>
    <x v="5"/>
    <n v="0"/>
  </r>
  <r>
    <x v="0"/>
    <x v="0"/>
    <x v="1"/>
    <x v="13"/>
    <x v="11"/>
    <x v="0"/>
    <x v="6"/>
    <n v="0"/>
  </r>
  <r>
    <x v="0"/>
    <x v="0"/>
    <x v="1"/>
    <x v="13"/>
    <x v="11"/>
    <x v="0"/>
    <x v="7"/>
    <n v="0"/>
  </r>
  <r>
    <x v="0"/>
    <x v="0"/>
    <x v="1"/>
    <x v="13"/>
    <x v="11"/>
    <x v="0"/>
    <x v="8"/>
    <n v="0"/>
  </r>
  <r>
    <x v="0"/>
    <x v="0"/>
    <x v="1"/>
    <x v="13"/>
    <x v="11"/>
    <x v="0"/>
    <x v="9"/>
    <n v="0"/>
  </r>
  <r>
    <x v="0"/>
    <x v="0"/>
    <x v="1"/>
    <x v="13"/>
    <x v="11"/>
    <x v="0"/>
    <x v="10"/>
    <n v="0"/>
  </r>
  <r>
    <x v="0"/>
    <x v="0"/>
    <x v="1"/>
    <x v="13"/>
    <x v="11"/>
    <x v="0"/>
    <x v="11"/>
    <n v="0"/>
  </r>
  <r>
    <x v="0"/>
    <x v="0"/>
    <x v="1"/>
    <x v="13"/>
    <x v="11"/>
    <x v="0"/>
    <x v="12"/>
    <n v="0"/>
  </r>
  <r>
    <x v="0"/>
    <x v="0"/>
    <x v="1"/>
    <x v="13"/>
    <x v="11"/>
    <x v="0"/>
    <x v="13"/>
    <n v="0"/>
  </r>
  <r>
    <x v="0"/>
    <x v="0"/>
    <x v="1"/>
    <x v="13"/>
    <x v="11"/>
    <x v="0"/>
    <x v="14"/>
    <n v="0"/>
  </r>
  <r>
    <x v="0"/>
    <x v="0"/>
    <x v="1"/>
    <x v="13"/>
    <x v="11"/>
    <x v="0"/>
    <x v="15"/>
    <n v="0"/>
  </r>
  <r>
    <x v="0"/>
    <x v="0"/>
    <x v="1"/>
    <x v="13"/>
    <x v="11"/>
    <x v="0"/>
    <x v="16"/>
    <n v="0"/>
  </r>
  <r>
    <x v="0"/>
    <x v="0"/>
    <x v="1"/>
    <x v="13"/>
    <x v="11"/>
    <x v="0"/>
    <x v="17"/>
    <n v="0"/>
  </r>
  <r>
    <x v="0"/>
    <x v="0"/>
    <x v="1"/>
    <x v="13"/>
    <x v="11"/>
    <x v="0"/>
    <x v="18"/>
    <n v="0"/>
  </r>
  <r>
    <x v="0"/>
    <x v="0"/>
    <x v="1"/>
    <x v="13"/>
    <x v="11"/>
    <x v="0"/>
    <x v="19"/>
    <n v="0"/>
  </r>
  <r>
    <x v="0"/>
    <x v="0"/>
    <x v="1"/>
    <x v="13"/>
    <x v="11"/>
    <x v="0"/>
    <x v="20"/>
    <n v="0"/>
  </r>
  <r>
    <x v="0"/>
    <x v="0"/>
    <x v="1"/>
    <x v="13"/>
    <x v="11"/>
    <x v="0"/>
    <x v="21"/>
    <n v="0"/>
  </r>
  <r>
    <x v="0"/>
    <x v="0"/>
    <x v="1"/>
    <x v="13"/>
    <x v="11"/>
    <x v="0"/>
    <x v="22"/>
    <n v="0"/>
  </r>
  <r>
    <x v="0"/>
    <x v="0"/>
    <x v="1"/>
    <x v="13"/>
    <x v="11"/>
    <x v="0"/>
    <x v="23"/>
    <n v="0"/>
  </r>
  <r>
    <x v="0"/>
    <x v="0"/>
    <x v="1"/>
    <x v="13"/>
    <x v="13"/>
    <x v="0"/>
    <x v="0"/>
    <n v="0"/>
  </r>
  <r>
    <x v="0"/>
    <x v="0"/>
    <x v="1"/>
    <x v="13"/>
    <x v="13"/>
    <x v="0"/>
    <x v="1"/>
    <n v="0"/>
  </r>
  <r>
    <x v="0"/>
    <x v="0"/>
    <x v="1"/>
    <x v="13"/>
    <x v="13"/>
    <x v="0"/>
    <x v="2"/>
    <n v="0"/>
  </r>
  <r>
    <x v="0"/>
    <x v="0"/>
    <x v="1"/>
    <x v="13"/>
    <x v="13"/>
    <x v="0"/>
    <x v="3"/>
    <n v="0"/>
  </r>
  <r>
    <x v="0"/>
    <x v="0"/>
    <x v="1"/>
    <x v="13"/>
    <x v="13"/>
    <x v="0"/>
    <x v="4"/>
    <n v="0"/>
  </r>
  <r>
    <x v="0"/>
    <x v="0"/>
    <x v="1"/>
    <x v="13"/>
    <x v="13"/>
    <x v="0"/>
    <x v="5"/>
    <n v="0"/>
  </r>
  <r>
    <x v="0"/>
    <x v="0"/>
    <x v="1"/>
    <x v="13"/>
    <x v="13"/>
    <x v="0"/>
    <x v="6"/>
    <n v="0"/>
  </r>
  <r>
    <x v="0"/>
    <x v="0"/>
    <x v="1"/>
    <x v="13"/>
    <x v="13"/>
    <x v="0"/>
    <x v="7"/>
    <n v="0"/>
  </r>
  <r>
    <x v="0"/>
    <x v="0"/>
    <x v="1"/>
    <x v="13"/>
    <x v="13"/>
    <x v="0"/>
    <x v="8"/>
    <n v="0"/>
  </r>
  <r>
    <x v="0"/>
    <x v="0"/>
    <x v="1"/>
    <x v="13"/>
    <x v="13"/>
    <x v="0"/>
    <x v="9"/>
    <n v="0"/>
  </r>
  <r>
    <x v="0"/>
    <x v="0"/>
    <x v="1"/>
    <x v="13"/>
    <x v="13"/>
    <x v="0"/>
    <x v="10"/>
    <n v="0"/>
  </r>
  <r>
    <x v="0"/>
    <x v="0"/>
    <x v="1"/>
    <x v="13"/>
    <x v="13"/>
    <x v="0"/>
    <x v="11"/>
    <n v="0"/>
  </r>
  <r>
    <x v="0"/>
    <x v="0"/>
    <x v="1"/>
    <x v="13"/>
    <x v="13"/>
    <x v="0"/>
    <x v="12"/>
    <n v="0"/>
  </r>
  <r>
    <x v="0"/>
    <x v="0"/>
    <x v="1"/>
    <x v="13"/>
    <x v="13"/>
    <x v="0"/>
    <x v="13"/>
    <n v="-0.259771192056794"/>
  </r>
  <r>
    <x v="0"/>
    <x v="0"/>
    <x v="1"/>
    <x v="13"/>
    <x v="13"/>
    <x v="0"/>
    <x v="14"/>
    <n v="-0.259428506417688"/>
  </r>
  <r>
    <x v="0"/>
    <x v="0"/>
    <x v="1"/>
    <x v="13"/>
    <x v="13"/>
    <x v="0"/>
    <x v="15"/>
    <n v="0"/>
  </r>
  <r>
    <x v="0"/>
    <x v="0"/>
    <x v="1"/>
    <x v="13"/>
    <x v="13"/>
    <x v="0"/>
    <x v="16"/>
    <n v="0"/>
  </r>
  <r>
    <x v="0"/>
    <x v="0"/>
    <x v="1"/>
    <x v="13"/>
    <x v="13"/>
    <x v="0"/>
    <x v="17"/>
    <n v="-9.5257020324913903E-3"/>
  </r>
  <r>
    <x v="0"/>
    <x v="0"/>
    <x v="1"/>
    <x v="13"/>
    <x v="13"/>
    <x v="0"/>
    <x v="18"/>
    <n v="0"/>
  </r>
  <r>
    <x v="0"/>
    <x v="0"/>
    <x v="1"/>
    <x v="13"/>
    <x v="13"/>
    <x v="0"/>
    <x v="19"/>
    <n v="0"/>
  </r>
  <r>
    <x v="0"/>
    <x v="0"/>
    <x v="1"/>
    <x v="13"/>
    <x v="13"/>
    <x v="0"/>
    <x v="20"/>
    <n v="0"/>
  </r>
  <r>
    <x v="0"/>
    <x v="0"/>
    <x v="1"/>
    <x v="13"/>
    <x v="13"/>
    <x v="0"/>
    <x v="21"/>
    <n v="0"/>
  </r>
  <r>
    <x v="0"/>
    <x v="0"/>
    <x v="1"/>
    <x v="13"/>
    <x v="13"/>
    <x v="0"/>
    <x v="22"/>
    <n v="0"/>
  </r>
  <r>
    <x v="0"/>
    <x v="0"/>
    <x v="1"/>
    <x v="13"/>
    <x v="13"/>
    <x v="0"/>
    <x v="23"/>
    <n v="0"/>
  </r>
  <r>
    <x v="0"/>
    <x v="0"/>
    <x v="1"/>
    <x v="13"/>
    <x v="7"/>
    <x v="0"/>
    <x v="0"/>
    <n v="0"/>
  </r>
  <r>
    <x v="0"/>
    <x v="0"/>
    <x v="1"/>
    <x v="13"/>
    <x v="7"/>
    <x v="0"/>
    <x v="1"/>
    <n v="0"/>
  </r>
  <r>
    <x v="0"/>
    <x v="0"/>
    <x v="1"/>
    <x v="13"/>
    <x v="7"/>
    <x v="0"/>
    <x v="2"/>
    <n v="0"/>
  </r>
  <r>
    <x v="0"/>
    <x v="0"/>
    <x v="1"/>
    <x v="13"/>
    <x v="7"/>
    <x v="0"/>
    <x v="3"/>
    <n v="0"/>
  </r>
  <r>
    <x v="0"/>
    <x v="0"/>
    <x v="1"/>
    <x v="13"/>
    <x v="7"/>
    <x v="0"/>
    <x v="4"/>
    <n v="0"/>
  </r>
  <r>
    <x v="0"/>
    <x v="0"/>
    <x v="1"/>
    <x v="13"/>
    <x v="7"/>
    <x v="0"/>
    <x v="5"/>
    <n v="0"/>
  </r>
  <r>
    <x v="0"/>
    <x v="0"/>
    <x v="1"/>
    <x v="13"/>
    <x v="7"/>
    <x v="0"/>
    <x v="6"/>
    <n v="0"/>
  </r>
  <r>
    <x v="0"/>
    <x v="0"/>
    <x v="1"/>
    <x v="13"/>
    <x v="7"/>
    <x v="0"/>
    <x v="7"/>
    <n v="0"/>
  </r>
  <r>
    <x v="0"/>
    <x v="0"/>
    <x v="1"/>
    <x v="13"/>
    <x v="7"/>
    <x v="0"/>
    <x v="8"/>
    <n v="0"/>
  </r>
  <r>
    <x v="0"/>
    <x v="0"/>
    <x v="1"/>
    <x v="13"/>
    <x v="7"/>
    <x v="0"/>
    <x v="9"/>
    <n v="0"/>
  </r>
  <r>
    <x v="0"/>
    <x v="0"/>
    <x v="1"/>
    <x v="13"/>
    <x v="7"/>
    <x v="0"/>
    <x v="10"/>
    <n v="0"/>
  </r>
  <r>
    <x v="0"/>
    <x v="0"/>
    <x v="1"/>
    <x v="13"/>
    <x v="7"/>
    <x v="0"/>
    <x v="11"/>
    <n v="0"/>
  </r>
  <r>
    <x v="0"/>
    <x v="0"/>
    <x v="1"/>
    <x v="13"/>
    <x v="7"/>
    <x v="0"/>
    <x v="12"/>
    <n v="0"/>
  </r>
  <r>
    <x v="0"/>
    <x v="0"/>
    <x v="1"/>
    <x v="13"/>
    <x v="7"/>
    <x v="0"/>
    <x v="13"/>
    <n v="0"/>
  </r>
  <r>
    <x v="0"/>
    <x v="0"/>
    <x v="1"/>
    <x v="13"/>
    <x v="7"/>
    <x v="0"/>
    <x v="14"/>
    <n v="0"/>
  </r>
  <r>
    <x v="0"/>
    <x v="0"/>
    <x v="1"/>
    <x v="13"/>
    <x v="7"/>
    <x v="0"/>
    <x v="15"/>
    <n v="0"/>
  </r>
  <r>
    <x v="0"/>
    <x v="0"/>
    <x v="1"/>
    <x v="13"/>
    <x v="7"/>
    <x v="0"/>
    <x v="16"/>
    <n v="0"/>
  </r>
  <r>
    <x v="0"/>
    <x v="0"/>
    <x v="1"/>
    <x v="13"/>
    <x v="7"/>
    <x v="0"/>
    <x v="17"/>
    <n v="0"/>
  </r>
  <r>
    <x v="0"/>
    <x v="0"/>
    <x v="1"/>
    <x v="13"/>
    <x v="7"/>
    <x v="0"/>
    <x v="18"/>
    <n v="0"/>
  </r>
  <r>
    <x v="0"/>
    <x v="0"/>
    <x v="1"/>
    <x v="13"/>
    <x v="7"/>
    <x v="0"/>
    <x v="19"/>
    <n v="0"/>
  </r>
  <r>
    <x v="0"/>
    <x v="0"/>
    <x v="1"/>
    <x v="13"/>
    <x v="7"/>
    <x v="0"/>
    <x v="20"/>
    <n v="0"/>
  </r>
  <r>
    <x v="0"/>
    <x v="0"/>
    <x v="1"/>
    <x v="13"/>
    <x v="7"/>
    <x v="0"/>
    <x v="21"/>
    <n v="0"/>
  </r>
  <r>
    <x v="0"/>
    <x v="0"/>
    <x v="1"/>
    <x v="13"/>
    <x v="7"/>
    <x v="0"/>
    <x v="22"/>
    <n v="0"/>
  </r>
  <r>
    <x v="0"/>
    <x v="0"/>
    <x v="1"/>
    <x v="13"/>
    <x v="7"/>
    <x v="0"/>
    <x v="23"/>
    <n v="0"/>
  </r>
  <r>
    <x v="0"/>
    <x v="0"/>
    <x v="1"/>
    <x v="14"/>
    <x v="0"/>
    <x v="0"/>
    <x v="0"/>
    <n v="36.553931789550802"/>
  </r>
  <r>
    <x v="0"/>
    <x v="0"/>
    <x v="1"/>
    <x v="14"/>
    <x v="0"/>
    <x v="0"/>
    <x v="1"/>
    <n v="36.553931789550802"/>
  </r>
  <r>
    <x v="0"/>
    <x v="0"/>
    <x v="1"/>
    <x v="14"/>
    <x v="0"/>
    <x v="0"/>
    <x v="2"/>
    <n v="36.553931789550802"/>
  </r>
  <r>
    <x v="0"/>
    <x v="0"/>
    <x v="1"/>
    <x v="14"/>
    <x v="0"/>
    <x v="0"/>
    <x v="3"/>
    <n v="36.553931789550802"/>
  </r>
  <r>
    <x v="0"/>
    <x v="0"/>
    <x v="1"/>
    <x v="14"/>
    <x v="0"/>
    <x v="0"/>
    <x v="4"/>
    <n v="36.553931789550802"/>
  </r>
  <r>
    <x v="0"/>
    <x v="0"/>
    <x v="1"/>
    <x v="14"/>
    <x v="0"/>
    <x v="0"/>
    <x v="5"/>
    <n v="36.553931789550802"/>
  </r>
  <r>
    <x v="0"/>
    <x v="0"/>
    <x v="1"/>
    <x v="14"/>
    <x v="0"/>
    <x v="0"/>
    <x v="6"/>
    <n v="36.553931789550802"/>
  </r>
  <r>
    <x v="0"/>
    <x v="0"/>
    <x v="1"/>
    <x v="14"/>
    <x v="0"/>
    <x v="0"/>
    <x v="7"/>
    <n v="36.553931789550802"/>
  </r>
  <r>
    <x v="0"/>
    <x v="0"/>
    <x v="1"/>
    <x v="14"/>
    <x v="0"/>
    <x v="0"/>
    <x v="8"/>
    <n v="36.553931789550802"/>
  </r>
  <r>
    <x v="0"/>
    <x v="0"/>
    <x v="1"/>
    <x v="14"/>
    <x v="0"/>
    <x v="0"/>
    <x v="9"/>
    <n v="36.553931789550802"/>
  </r>
  <r>
    <x v="0"/>
    <x v="0"/>
    <x v="1"/>
    <x v="14"/>
    <x v="0"/>
    <x v="0"/>
    <x v="10"/>
    <n v="36.553931789550802"/>
  </r>
  <r>
    <x v="0"/>
    <x v="0"/>
    <x v="1"/>
    <x v="14"/>
    <x v="0"/>
    <x v="0"/>
    <x v="11"/>
    <n v="36.553931789550802"/>
  </r>
  <r>
    <x v="0"/>
    <x v="0"/>
    <x v="1"/>
    <x v="14"/>
    <x v="0"/>
    <x v="0"/>
    <x v="12"/>
    <n v="36.553931789550802"/>
  </r>
  <r>
    <x v="0"/>
    <x v="0"/>
    <x v="1"/>
    <x v="14"/>
    <x v="0"/>
    <x v="0"/>
    <x v="13"/>
    <n v="36.553931789550802"/>
  </r>
  <r>
    <x v="0"/>
    <x v="0"/>
    <x v="1"/>
    <x v="14"/>
    <x v="0"/>
    <x v="0"/>
    <x v="14"/>
    <n v="36.553931789550802"/>
  </r>
  <r>
    <x v="0"/>
    <x v="0"/>
    <x v="1"/>
    <x v="14"/>
    <x v="0"/>
    <x v="0"/>
    <x v="15"/>
    <n v="36.553931789550802"/>
  </r>
  <r>
    <x v="0"/>
    <x v="0"/>
    <x v="1"/>
    <x v="14"/>
    <x v="0"/>
    <x v="0"/>
    <x v="16"/>
    <n v="36.553931789550802"/>
  </r>
  <r>
    <x v="0"/>
    <x v="0"/>
    <x v="1"/>
    <x v="14"/>
    <x v="0"/>
    <x v="0"/>
    <x v="17"/>
    <n v="36.553931789550802"/>
  </r>
  <r>
    <x v="0"/>
    <x v="0"/>
    <x v="1"/>
    <x v="14"/>
    <x v="0"/>
    <x v="0"/>
    <x v="18"/>
    <n v="36.553931789550802"/>
  </r>
  <r>
    <x v="0"/>
    <x v="0"/>
    <x v="1"/>
    <x v="14"/>
    <x v="0"/>
    <x v="0"/>
    <x v="19"/>
    <n v="36.553931789550802"/>
  </r>
  <r>
    <x v="0"/>
    <x v="0"/>
    <x v="1"/>
    <x v="14"/>
    <x v="0"/>
    <x v="0"/>
    <x v="20"/>
    <n v="36.553931789550802"/>
  </r>
  <r>
    <x v="0"/>
    <x v="0"/>
    <x v="1"/>
    <x v="14"/>
    <x v="0"/>
    <x v="0"/>
    <x v="21"/>
    <n v="36.553931789550802"/>
  </r>
  <r>
    <x v="0"/>
    <x v="0"/>
    <x v="1"/>
    <x v="14"/>
    <x v="0"/>
    <x v="0"/>
    <x v="22"/>
    <n v="36.553931789550802"/>
  </r>
  <r>
    <x v="0"/>
    <x v="0"/>
    <x v="1"/>
    <x v="14"/>
    <x v="0"/>
    <x v="0"/>
    <x v="23"/>
    <n v="36.553931789550802"/>
  </r>
  <r>
    <x v="0"/>
    <x v="0"/>
    <x v="1"/>
    <x v="14"/>
    <x v="3"/>
    <x v="0"/>
    <x v="0"/>
    <n v="1.71159345286099"/>
  </r>
  <r>
    <x v="0"/>
    <x v="0"/>
    <x v="1"/>
    <x v="14"/>
    <x v="3"/>
    <x v="0"/>
    <x v="1"/>
    <n v="1.6570180571668101"/>
  </r>
  <r>
    <x v="0"/>
    <x v="0"/>
    <x v="1"/>
    <x v="14"/>
    <x v="3"/>
    <x v="0"/>
    <x v="2"/>
    <n v="1.6319036856951501"/>
  </r>
  <r>
    <x v="0"/>
    <x v="0"/>
    <x v="1"/>
    <x v="14"/>
    <x v="3"/>
    <x v="0"/>
    <x v="3"/>
    <n v="1.64525350669448"/>
  </r>
  <r>
    <x v="0"/>
    <x v="0"/>
    <x v="1"/>
    <x v="14"/>
    <x v="3"/>
    <x v="0"/>
    <x v="4"/>
    <n v="1.6800987574674999"/>
  </r>
  <r>
    <x v="0"/>
    <x v="0"/>
    <x v="1"/>
    <x v="14"/>
    <x v="3"/>
    <x v="0"/>
    <x v="5"/>
    <n v="1.9351686650669699"/>
  </r>
  <r>
    <x v="0"/>
    <x v="0"/>
    <x v="1"/>
    <x v="14"/>
    <x v="3"/>
    <x v="0"/>
    <x v="6"/>
    <n v="2.0789992886967301"/>
  </r>
  <r>
    <x v="0"/>
    <x v="0"/>
    <x v="1"/>
    <x v="14"/>
    <x v="3"/>
    <x v="0"/>
    <x v="7"/>
    <n v="2.6854977848581099"/>
  </r>
  <r>
    <x v="0"/>
    <x v="0"/>
    <x v="1"/>
    <x v="14"/>
    <x v="3"/>
    <x v="0"/>
    <x v="8"/>
    <n v="2.6854977848581099"/>
  </r>
  <r>
    <x v="0"/>
    <x v="0"/>
    <x v="1"/>
    <x v="14"/>
    <x v="3"/>
    <x v="0"/>
    <x v="9"/>
    <n v="2.6854977848581099"/>
  </r>
  <r>
    <x v="0"/>
    <x v="0"/>
    <x v="1"/>
    <x v="14"/>
    <x v="3"/>
    <x v="0"/>
    <x v="10"/>
    <n v="2.6739908395846301"/>
  </r>
  <r>
    <x v="0"/>
    <x v="0"/>
    <x v="1"/>
    <x v="14"/>
    <x v="3"/>
    <x v="0"/>
    <x v="11"/>
    <n v="2.6561172735388201"/>
  </r>
  <r>
    <x v="0"/>
    <x v="0"/>
    <x v="1"/>
    <x v="14"/>
    <x v="3"/>
    <x v="0"/>
    <x v="12"/>
    <n v="2.6827351031796098"/>
  </r>
  <r>
    <x v="0"/>
    <x v="0"/>
    <x v="1"/>
    <x v="14"/>
    <x v="3"/>
    <x v="0"/>
    <x v="13"/>
    <n v="2.6854977848581099"/>
  </r>
  <r>
    <x v="0"/>
    <x v="0"/>
    <x v="1"/>
    <x v="14"/>
    <x v="3"/>
    <x v="0"/>
    <x v="14"/>
    <n v="2.6854977848581099"/>
  </r>
  <r>
    <x v="0"/>
    <x v="0"/>
    <x v="1"/>
    <x v="14"/>
    <x v="3"/>
    <x v="0"/>
    <x v="15"/>
    <n v="2.6854977848581099"/>
  </r>
  <r>
    <x v="0"/>
    <x v="0"/>
    <x v="1"/>
    <x v="14"/>
    <x v="3"/>
    <x v="0"/>
    <x v="16"/>
    <n v="2.6854977848581099"/>
  </r>
  <r>
    <x v="0"/>
    <x v="0"/>
    <x v="1"/>
    <x v="14"/>
    <x v="3"/>
    <x v="0"/>
    <x v="17"/>
    <n v="2.6854977848581099"/>
  </r>
  <r>
    <x v="0"/>
    <x v="0"/>
    <x v="1"/>
    <x v="14"/>
    <x v="3"/>
    <x v="0"/>
    <x v="18"/>
    <n v="2.6854977848581099"/>
  </r>
  <r>
    <x v="0"/>
    <x v="0"/>
    <x v="1"/>
    <x v="14"/>
    <x v="3"/>
    <x v="0"/>
    <x v="19"/>
    <n v="2.6854977848581099"/>
  </r>
  <r>
    <x v="0"/>
    <x v="0"/>
    <x v="1"/>
    <x v="14"/>
    <x v="3"/>
    <x v="0"/>
    <x v="20"/>
    <n v="2.6854977848581099"/>
  </r>
  <r>
    <x v="0"/>
    <x v="0"/>
    <x v="1"/>
    <x v="14"/>
    <x v="3"/>
    <x v="0"/>
    <x v="21"/>
    <n v="2.6854977848581099"/>
  </r>
  <r>
    <x v="0"/>
    <x v="0"/>
    <x v="1"/>
    <x v="14"/>
    <x v="3"/>
    <x v="0"/>
    <x v="22"/>
    <n v="2.6854977848581099"/>
  </r>
  <r>
    <x v="0"/>
    <x v="0"/>
    <x v="1"/>
    <x v="14"/>
    <x v="3"/>
    <x v="0"/>
    <x v="23"/>
    <n v="2.2536253054633599"/>
  </r>
  <r>
    <x v="0"/>
    <x v="0"/>
    <x v="1"/>
    <x v="14"/>
    <x v="8"/>
    <x v="0"/>
    <x v="0"/>
    <n v="0"/>
  </r>
  <r>
    <x v="0"/>
    <x v="0"/>
    <x v="1"/>
    <x v="14"/>
    <x v="8"/>
    <x v="0"/>
    <x v="1"/>
    <n v="0"/>
  </r>
  <r>
    <x v="0"/>
    <x v="0"/>
    <x v="1"/>
    <x v="14"/>
    <x v="8"/>
    <x v="0"/>
    <x v="2"/>
    <n v="0"/>
  </r>
  <r>
    <x v="0"/>
    <x v="0"/>
    <x v="1"/>
    <x v="14"/>
    <x v="8"/>
    <x v="0"/>
    <x v="3"/>
    <n v="0"/>
  </r>
  <r>
    <x v="0"/>
    <x v="0"/>
    <x v="1"/>
    <x v="14"/>
    <x v="8"/>
    <x v="0"/>
    <x v="4"/>
    <n v="0"/>
  </r>
  <r>
    <x v="0"/>
    <x v="0"/>
    <x v="1"/>
    <x v="14"/>
    <x v="8"/>
    <x v="0"/>
    <x v="5"/>
    <n v="0"/>
  </r>
  <r>
    <x v="0"/>
    <x v="0"/>
    <x v="1"/>
    <x v="14"/>
    <x v="8"/>
    <x v="0"/>
    <x v="6"/>
    <n v="0"/>
  </r>
  <r>
    <x v="0"/>
    <x v="0"/>
    <x v="1"/>
    <x v="14"/>
    <x v="8"/>
    <x v="0"/>
    <x v="7"/>
    <n v="0"/>
  </r>
  <r>
    <x v="0"/>
    <x v="0"/>
    <x v="1"/>
    <x v="14"/>
    <x v="8"/>
    <x v="0"/>
    <x v="8"/>
    <n v="0"/>
  </r>
  <r>
    <x v="0"/>
    <x v="0"/>
    <x v="1"/>
    <x v="14"/>
    <x v="8"/>
    <x v="0"/>
    <x v="9"/>
    <n v="0"/>
  </r>
  <r>
    <x v="0"/>
    <x v="0"/>
    <x v="1"/>
    <x v="14"/>
    <x v="8"/>
    <x v="0"/>
    <x v="10"/>
    <n v="0"/>
  </r>
  <r>
    <x v="0"/>
    <x v="0"/>
    <x v="1"/>
    <x v="14"/>
    <x v="8"/>
    <x v="0"/>
    <x v="11"/>
    <n v="0"/>
  </r>
  <r>
    <x v="0"/>
    <x v="0"/>
    <x v="1"/>
    <x v="14"/>
    <x v="8"/>
    <x v="0"/>
    <x v="12"/>
    <n v="0"/>
  </r>
  <r>
    <x v="0"/>
    <x v="0"/>
    <x v="1"/>
    <x v="14"/>
    <x v="8"/>
    <x v="0"/>
    <x v="13"/>
    <n v="0"/>
  </r>
  <r>
    <x v="0"/>
    <x v="0"/>
    <x v="1"/>
    <x v="14"/>
    <x v="8"/>
    <x v="0"/>
    <x v="14"/>
    <n v="0"/>
  </r>
  <r>
    <x v="0"/>
    <x v="0"/>
    <x v="1"/>
    <x v="14"/>
    <x v="8"/>
    <x v="0"/>
    <x v="15"/>
    <n v="0"/>
  </r>
  <r>
    <x v="0"/>
    <x v="0"/>
    <x v="1"/>
    <x v="14"/>
    <x v="8"/>
    <x v="0"/>
    <x v="16"/>
    <n v="0"/>
  </r>
  <r>
    <x v="0"/>
    <x v="0"/>
    <x v="1"/>
    <x v="14"/>
    <x v="8"/>
    <x v="0"/>
    <x v="17"/>
    <n v="0"/>
  </r>
  <r>
    <x v="0"/>
    <x v="0"/>
    <x v="1"/>
    <x v="14"/>
    <x v="8"/>
    <x v="0"/>
    <x v="18"/>
    <n v="0"/>
  </r>
  <r>
    <x v="0"/>
    <x v="0"/>
    <x v="1"/>
    <x v="14"/>
    <x v="8"/>
    <x v="0"/>
    <x v="19"/>
    <n v="0"/>
  </r>
  <r>
    <x v="0"/>
    <x v="0"/>
    <x v="1"/>
    <x v="14"/>
    <x v="8"/>
    <x v="0"/>
    <x v="20"/>
    <n v="0"/>
  </r>
  <r>
    <x v="0"/>
    <x v="0"/>
    <x v="1"/>
    <x v="14"/>
    <x v="8"/>
    <x v="0"/>
    <x v="21"/>
    <n v="0"/>
  </r>
  <r>
    <x v="0"/>
    <x v="0"/>
    <x v="1"/>
    <x v="14"/>
    <x v="8"/>
    <x v="0"/>
    <x v="22"/>
    <n v="0"/>
  </r>
  <r>
    <x v="0"/>
    <x v="0"/>
    <x v="1"/>
    <x v="14"/>
    <x v="8"/>
    <x v="0"/>
    <x v="23"/>
    <n v="0"/>
  </r>
</pivotCacheRecords>
</file>

<file path=xl/pivotCache/pivotCacheRecords14.xml><?xml version="1.0" encoding="utf-8"?>
<pivotCacheRecords xmlns="http://schemas.openxmlformats.org/spreadsheetml/2006/main" xmlns:r="http://schemas.openxmlformats.org/officeDocument/2006/relationships" count="110">
  <r>
    <x v="0"/>
    <x v="0"/>
    <x v="0"/>
    <x v="0"/>
    <x v="0"/>
    <x v="0"/>
    <x v="0"/>
    <n v="475.29589617928502"/>
  </r>
  <r>
    <x v="0"/>
    <x v="0"/>
    <x v="0"/>
    <x v="0"/>
    <x v="0"/>
    <x v="1"/>
    <x v="1"/>
    <n v="13702.155305649199"/>
  </r>
  <r>
    <x v="0"/>
    <x v="0"/>
    <x v="0"/>
    <x v="0"/>
    <x v="0"/>
    <x v="2"/>
    <x v="2"/>
    <n v="0"/>
  </r>
  <r>
    <x v="0"/>
    <x v="0"/>
    <x v="0"/>
    <x v="0"/>
    <x v="0"/>
    <x v="3"/>
    <x v="3"/>
    <n v="0"/>
  </r>
  <r>
    <x v="0"/>
    <x v="0"/>
    <x v="0"/>
    <x v="0"/>
    <x v="1"/>
    <x v="0"/>
    <x v="4"/>
    <n v="0"/>
  </r>
  <r>
    <x v="0"/>
    <x v="0"/>
    <x v="0"/>
    <x v="0"/>
    <x v="1"/>
    <x v="1"/>
    <x v="5"/>
    <n v="4322.74347402273"/>
  </r>
  <r>
    <x v="0"/>
    <x v="0"/>
    <x v="0"/>
    <x v="0"/>
    <x v="1"/>
    <x v="1"/>
    <x v="1"/>
    <n v="0"/>
  </r>
  <r>
    <x v="0"/>
    <x v="0"/>
    <x v="0"/>
    <x v="0"/>
    <x v="1"/>
    <x v="3"/>
    <x v="6"/>
    <n v="0"/>
  </r>
  <r>
    <x v="0"/>
    <x v="0"/>
    <x v="0"/>
    <x v="1"/>
    <x v="2"/>
    <x v="0"/>
    <x v="0"/>
    <n v="0"/>
  </r>
  <r>
    <x v="0"/>
    <x v="0"/>
    <x v="0"/>
    <x v="1"/>
    <x v="2"/>
    <x v="1"/>
    <x v="1"/>
    <n v="0"/>
  </r>
  <r>
    <x v="0"/>
    <x v="0"/>
    <x v="0"/>
    <x v="1"/>
    <x v="2"/>
    <x v="1"/>
    <x v="7"/>
    <n v="23730.84"/>
  </r>
  <r>
    <x v="0"/>
    <x v="0"/>
    <x v="0"/>
    <x v="1"/>
    <x v="2"/>
    <x v="1"/>
    <x v="8"/>
    <n v="45414.003641477502"/>
  </r>
  <r>
    <x v="0"/>
    <x v="0"/>
    <x v="0"/>
    <x v="1"/>
    <x v="3"/>
    <x v="0"/>
    <x v="4"/>
    <n v="0"/>
  </r>
  <r>
    <x v="0"/>
    <x v="0"/>
    <x v="0"/>
    <x v="1"/>
    <x v="3"/>
    <x v="0"/>
    <x v="0"/>
    <n v="0"/>
  </r>
  <r>
    <x v="0"/>
    <x v="0"/>
    <x v="0"/>
    <x v="1"/>
    <x v="3"/>
    <x v="1"/>
    <x v="5"/>
    <n v="0"/>
  </r>
  <r>
    <x v="0"/>
    <x v="0"/>
    <x v="0"/>
    <x v="1"/>
    <x v="3"/>
    <x v="1"/>
    <x v="8"/>
    <n v="30430.954322909402"/>
  </r>
  <r>
    <x v="0"/>
    <x v="0"/>
    <x v="0"/>
    <x v="1"/>
    <x v="3"/>
    <x v="2"/>
    <x v="2"/>
    <n v="0"/>
  </r>
  <r>
    <x v="0"/>
    <x v="0"/>
    <x v="0"/>
    <x v="1"/>
    <x v="3"/>
    <x v="3"/>
    <x v="6"/>
    <n v="0"/>
  </r>
  <r>
    <x v="0"/>
    <x v="0"/>
    <x v="0"/>
    <x v="1"/>
    <x v="4"/>
    <x v="1"/>
    <x v="5"/>
    <n v="0"/>
  </r>
  <r>
    <x v="0"/>
    <x v="0"/>
    <x v="0"/>
    <x v="1"/>
    <x v="4"/>
    <x v="1"/>
    <x v="8"/>
    <n v="0"/>
  </r>
  <r>
    <x v="0"/>
    <x v="0"/>
    <x v="0"/>
    <x v="1"/>
    <x v="5"/>
    <x v="1"/>
    <x v="5"/>
    <n v="0"/>
  </r>
  <r>
    <x v="0"/>
    <x v="0"/>
    <x v="0"/>
    <x v="1"/>
    <x v="5"/>
    <x v="1"/>
    <x v="1"/>
    <n v="0"/>
  </r>
  <r>
    <x v="0"/>
    <x v="0"/>
    <x v="0"/>
    <x v="1"/>
    <x v="5"/>
    <x v="1"/>
    <x v="7"/>
    <n v="54590.294440791899"/>
  </r>
  <r>
    <x v="0"/>
    <x v="0"/>
    <x v="0"/>
    <x v="2"/>
    <x v="6"/>
    <x v="2"/>
    <x v="2"/>
    <n v="4711.18152583152"/>
  </r>
  <r>
    <x v="0"/>
    <x v="0"/>
    <x v="0"/>
    <x v="2"/>
    <x v="6"/>
    <x v="2"/>
    <x v="9"/>
    <n v="349.22087502845102"/>
  </r>
  <r>
    <x v="0"/>
    <x v="0"/>
    <x v="0"/>
    <x v="2"/>
    <x v="6"/>
    <x v="2"/>
    <x v="10"/>
    <n v="0"/>
  </r>
  <r>
    <x v="0"/>
    <x v="0"/>
    <x v="0"/>
    <x v="2"/>
    <x v="6"/>
    <x v="3"/>
    <x v="3"/>
    <n v="96.028936669661704"/>
  </r>
  <r>
    <x v="0"/>
    <x v="0"/>
    <x v="0"/>
    <x v="2"/>
    <x v="7"/>
    <x v="0"/>
    <x v="4"/>
    <n v="7532.7987089463304"/>
  </r>
  <r>
    <x v="0"/>
    <x v="0"/>
    <x v="0"/>
    <x v="2"/>
    <x v="7"/>
    <x v="1"/>
    <x v="1"/>
    <n v="0"/>
  </r>
  <r>
    <x v="0"/>
    <x v="0"/>
    <x v="0"/>
    <x v="2"/>
    <x v="7"/>
    <x v="2"/>
    <x v="11"/>
    <n v="0"/>
  </r>
  <r>
    <x v="0"/>
    <x v="0"/>
    <x v="0"/>
    <x v="2"/>
    <x v="7"/>
    <x v="2"/>
    <x v="10"/>
    <n v="228.61668237439201"/>
  </r>
  <r>
    <x v="0"/>
    <x v="0"/>
    <x v="0"/>
    <x v="2"/>
    <x v="8"/>
    <x v="2"/>
    <x v="11"/>
    <n v="0"/>
  </r>
  <r>
    <x v="0"/>
    <x v="0"/>
    <x v="0"/>
    <x v="2"/>
    <x v="8"/>
    <x v="2"/>
    <x v="12"/>
    <n v="0"/>
  </r>
  <r>
    <x v="0"/>
    <x v="0"/>
    <x v="0"/>
    <x v="2"/>
    <x v="8"/>
    <x v="2"/>
    <x v="10"/>
    <n v="1788.3979403001099"/>
  </r>
  <r>
    <x v="0"/>
    <x v="0"/>
    <x v="0"/>
    <x v="2"/>
    <x v="8"/>
    <x v="3"/>
    <x v="13"/>
    <n v="0"/>
  </r>
  <r>
    <x v="0"/>
    <x v="0"/>
    <x v="0"/>
    <x v="2"/>
    <x v="9"/>
    <x v="2"/>
    <x v="9"/>
    <n v="1204.6829050466899"/>
  </r>
  <r>
    <x v="0"/>
    <x v="0"/>
    <x v="0"/>
    <x v="2"/>
    <x v="9"/>
    <x v="3"/>
    <x v="14"/>
    <n v="0"/>
  </r>
  <r>
    <x v="0"/>
    <x v="0"/>
    <x v="0"/>
    <x v="2"/>
    <x v="9"/>
    <x v="3"/>
    <x v="13"/>
    <n v="0"/>
  </r>
  <r>
    <x v="0"/>
    <x v="0"/>
    <x v="0"/>
    <x v="2"/>
    <x v="10"/>
    <x v="2"/>
    <x v="11"/>
    <n v="0"/>
  </r>
  <r>
    <x v="0"/>
    <x v="0"/>
    <x v="0"/>
    <x v="2"/>
    <x v="10"/>
    <x v="2"/>
    <x v="2"/>
    <n v="0"/>
  </r>
  <r>
    <x v="0"/>
    <x v="0"/>
    <x v="0"/>
    <x v="2"/>
    <x v="10"/>
    <x v="2"/>
    <x v="9"/>
    <n v="0"/>
  </r>
  <r>
    <x v="0"/>
    <x v="0"/>
    <x v="0"/>
    <x v="3"/>
    <x v="11"/>
    <x v="2"/>
    <x v="12"/>
    <n v="2386.1557205814902"/>
  </r>
  <r>
    <x v="0"/>
    <x v="0"/>
    <x v="0"/>
    <x v="3"/>
    <x v="11"/>
    <x v="3"/>
    <x v="13"/>
    <n v="15338.927709572001"/>
  </r>
  <r>
    <x v="0"/>
    <x v="0"/>
    <x v="0"/>
    <x v="3"/>
    <x v="12"/>
    <x v="2"/>
    <x v="9"/>
    <n v="2628"/>
  </r>
  <r>
    <x v="0"/>
    <x v="0"/>
    <x v="0"/>
    <x v="3"/>
    <x v="12"/>
    <x v="2"/>
    <x v="12"/>
    <n v="0"/>
  </r>
  <r>
    <x v="0"/>
    <x v="0"/>
    <x v="0"/>
    <x v="3"/>
    <x v="12"/>
    <x v="3"/>
    <x v="14"/>
    <n v="0"/>
  </r>
  <r>
    <x v="0"/>
    <x v="0"/>
    <x v="0"/>
    <x v="3"/>
    <x v="12"/>
    <x v="3"/>
    <x v="3"/>
    <n v="41414.035577850998"/>
  </r>
  <r>
    <x v="0"/>
    <x v="0"/>
    <x v="0"/>
    <x v="3"/>
    <x v="13"/>
    <x v="0"/>
    <x v="4"/>
    <n v="4780.5898548749501"/>
  </r>
  <r>
    <x v="0"/>
    <x v="0"/>
    <x v="0"/>
    <x v="3"/>
    <x v="13"/>
    <x v="2"/>
    <x v="11"/>
    <n v="0"/>
  </r>
  <r>
    <x v="0"/>
    <x v="0"/>
    <x v="0"/>
    <x v="3"/>
    <x v="13"/>
    <x v="3"/>
    <x v="13"/>
    <n v="0"/>
  </r>
  <r>
    <x v="0"/>
    <x v="0"/>
    <x v="0"/>
    <x v="3"/>
    <x v="13"/>
    <x v="3"/>
    <x v="6"/>
    <n v="31383.0240679985"/>
  </r>
  <r>
    <x v="0"/>
    <x v="0"/>
    <x v="0"/>
    <x v="3"/>
    <x v="14"/>
    <x v="0"/>
    <x v="0"/>
    <n v="7038.8841157934403"/>
  </r>
  <r>
    <x v="0"/>
    <x v="0"/>
    <x v="0"/>
    <x v="3"/>
    <x v="14"/>
    <x v="1"/>
    <x v="1"/>
    <n v="4809.24"/>
  </r>
  <r>
    <x v="0"/>
    <x v="0"/>
    <x v="0"/>
    <x v="3"/>
    <x v="14"/>
    <x v="3"/>
    <x v="3"/>
    <n v="0"/>
  </r>
  <r>
    <x v="0"/>
    <x v="0"/>
    <x v="0"/>
    <x v="0"/>
    <x v="0"/>
    <x v="0"/>
    <x v="0"/>
    <n v="0"/>
  </r>
  <r>
    <x v="0"/>
    <x v="0"/>
    <x v="0"/>
    <x v="0"/>
    <x v="0"/>
    <x v="1"/>
    <x v="1"/>
    <n v="21373.834130699001"/>
  </r>
  <r>
    <x v="0"/>
    <x v="0"/>
    <x v="0"/>
    <x v="0"/>
    <x v="0"/>
    <x v="2"/>
    <x v="2"/>
    <n v="0"/>
  </r>
  <r>
    <x v="0"/>
    <x v="0"/>
    <x v="0"/>
    <x v="0"/>
    <x v="0"/>
    <x v="3"/>
    <x v="3"/>
    <n v="0"/>
  </r>
  <r>
    <x v="0"/>
    <x v="0"/>
    <x v="0"/>
    <x v="0"/>
    <x v="1"/>
    <x v="0"/>
    <x v="4"/>
    <n v="2679.6569195827801"/>
  </r>
  <r>
    <x v="0"/>
    <x v="0"/>
    <x v="0"/>
    <x v="0"/>
    <x v="1"/>
    <x v="1"/>
    <x v="5"/>
    <n v="4612.1400000000003"/>
  </r>
  <r>
    <x v="0"/>
    <x v="0"/>
    <x v="0"/>
    <x v="0"/>
    <x v="1"/>
    <x v="1"/>
    <x v="1"/>
    <n v="0"/>
  </r>
  <r>
    <x v="0"/>
    <x v="0"/>
    <x v="0"/>
    <x v="0"/>
    <x v="1"/>
    <x v="1"/>
    <x v="8"/>
    <n v="3153.6"/>
  </r>
  <r>
    <x v="0"/>
    <x v="0"/>
    <x v="0"/>
    <x v="0"/>
    <x v="1"/>
    <x v="3"/>
    <x v="6"/>
    <n v="0"/>
  </r>
  <r>
    <x v="0"/>
    <x v="0"/>
    <x v="0"/>
    <x v="1"/>
    <x v="2"/>
    <x v="0"/>
    <x v="0"/>
    <n v="0"/>
  </r>
  <r>
    <x v="0"/>
    <x v="0"/>
    <x v="0"/>
    <x v="1"/>
    <x v="2"/>
    <x v="1"/>
    <x v="1"/>
    <n v="0"/>
  </r>
  <r>
    <x v="0"/>
    <x v="0"/>
    <x v="0"/>
    <x v="1"/>
    <x v="2"/>
    <x v="1"/>
    <x v="7"/>
    <n v="23730.84"/>
  </r>
  <r>
    <x v="0"/>
    <x v="0"/>
    <x v="0"/>
    <x v="1"/>
    <x v="2"/>
    <x v="1"/>
    <x v="8"/>
    <n v="0"/>
  </r>
  <r>
    <x v="0"/>
    <x v="0"/>
    <x v="0"/>
    <x v="1"/>
    <x v="3"/>
    <x v="0"/>
    <x v="4"/>
    <n v="0"/>
  </r>
  <r>
    <x v="0"/>
    <x v="0"/>
    <x v="0"/>
    <x v="1"/>
    <x v="3"/>
    <x v="0"/>
    <x v="0"/>
    <n v="0"/>
  </r>
  <r>
    <x v="0"/>
    <x v="0"/>
    <x v="0"/>
    <x v="1"/>
    <x v="3"/>
    <x v="1"/>
    <x v="5"/>
    <n v="46732.743944800299"/>
  </r>
  <r>
    <x v="0"/>
    <x v="0"/>
    <x v="0"/>
    <x v="1"/>
    <x v="3"/>
    <x v="1"/>
    <x v="8"/>
    <n v="291468.80969545897"/>
  </r>
  <r>
    <x v="0"/>
    <x v="0"/>
    <x v="0"/>
    <x v="1"/>
    <x v="3"/>
    <x v="2"/>
    <x v="2"/>
    <n v="0"/>
  </r>
  <r>
    <x v="0"/>
    <x v="0"/>
    <x v="0"/>
    <x v="1"/>
    <x v="3"/>
    <x v="3"/>
    <x v="6"/>
    <n v="0"/>
  </r>
  <r>
    <x v="0"/>
    <x v="0"/>
    <x v="0"/>
    <x v="1"/>
    <x v="4"/>
    <x v="1"/>
    <x v="5"/>
    <n v="0"/>
  </r>
  <r>
    <x v="0"/>
    <x v="0"/>
    <x v="0"/>
    <x v="1"/>
    <x v="4"/>
    <x v="1"/>
    <x v="8"/>
    <n v="0"/>
  </r>
  <r>
    <x v="0"/>
    <x v="0"/>
    <x v="0"/>
    <x v="1"/>
    <x v="5"/>
    <x v="0"/>
    <x v="0"/>
    <n v="0"/>
  </r>
  <r>
    <x v="0"/>
    <x v="0"/>
    <x v="0"/>
    <x v="1"/>
    <x v="5"/>
    <x v="1"/>
    <x v="5"/>
    <n v="0"/>
  </r>
  <r>
    <x v="0"/>
    <x v="0"/>
    <x v="0"/>
    <x v="1"/>
    <x v="5"/>
    <x v="1"/>
    <x v="1"/>
    <n v="0"/>
  </r>
  <r>
    <x v="0"/>
    <x v="0"/>
    <x v="0"/>
    <x v="1"/>
    <x v="5"/>
    <x v="1"/>
    <x v="7"/>
    <n v="113655.74400000001"/>
  </r>
  <r>
    <x v="0"/>
    <x v="0"/>
    <x v="0"/>
    <x v="2"/>
    <x v="6"/>
    <x v="2"/>
    <x v="2"/>
    <n v="0"/>
  </r>
  <r>
    <x v="0"/>
    <x v="0"/>
    <x v="0"/>
    <x v="2"/>
    <x v="6"/>
    <x v="2"/>
    <x v="9"/>
    <n v="0"/>
  </r>
  <r>
    <x v="0"/>
    <x v="0"/>
    <x v="0"/>
    <x v="2"/>
    <x v="6"/>
    <x v="2"/>
    <x v="10"/>
    <n v="0"/>
  </r>
  <r>
    <x v="0"/>
    <x v="0"/>
    <x v="0"/>
    <x v="2"/>
    <x v="6"/>
    <x v="3"/>
    <x v="3"/>
    <n v="0"/>
  </r>
  <r>
    <x v="0"/>
    <x v="0"/>
    <x v="0"/>
    <x v="2"/>
    <x v="7"/>
    <x v="0"/>
    <x v="4"/>
    <n v="25107.377889589399"/>
  </r>
  <r>
    <x v="0"/>
    <x v="0"/>
    <x v="0"/>
    <x v="2"/>
    <x v="7"/>
    <x v="1"/>
    <x v="1"/>
    <n v="11037.6"/>
  </r>
  <r>
    <x v="0"/>
    <x v="0"/>
    <x v="0"/>
    <x v="2"/>
    <x v="7"/>
    <x v="2"/>
    <x v="11"/>
    <n v="0"/>
  </r>
  <r>
    <x v="0"/>
    <x v="0"/>
    <x v="0"/>
    <x v="2"/>
    <x v="7"/>
    <x v="2"/>
    <x v="10"/>
    <n v="0"/>
  </r>
  <r>
    <x v="0"/>
    <x v="0"/>
    <x v="0"/>
    <x v="2"/>
    <x v="8"/>
    <x v="2"/>
    <x v="11"/>
    <n v="0"/>
  </r>
  <r>
    <x v="0"/>
    <x v="0"/>
    <x v="0"/>
    <x v="2"/>
    <x v="8"/>
    <x v="2"/>
    <x v="12"/>
    <n v="0"/>
  </r>
  <r>
    <x v="0"/>
    <x v="0"/>
    <x v="0"/>
    <x v="2"/>
    <x v="8"/>
    <x v="2"/>
    <x v="10"/>
    <n v="0"/>
  </r>
  <r>
    <x v="0"/>
    <x v="0"/>
    <x v="0"/>
    <x v="2"/>
    <x v="8"/>
    <x v="3"/>
    <x v="13"/>
    <n v="0"/>
  </r>
  <r>
    <x v="0"/>
    <x v="0"/>
    <x v="0"/>
    <x v="2"/>
    <x v="9"/>
    <x v="2"/>
    <x v="9"/>
    <n v="0"/>
  </r>
  <r>
    <x v="0"/>
    <x v="0"/>
    <x v="0"/>
    <x v="2"/>
    <x v="9"/>
    <x v="3"/>
    <x v="14"/>
    <n v="0"/>
  </r>
  <r>
    <x v="0"/>
    <x v="0"/>
    <x v="0"/>
    <x v="2"/>
    <x v="9"/>
    <x v="3"/>
    <x v="13"/>
    <n v="0"/>
  </r>
  <r>
    <x v="0"/>
    <x v="0"/>
    <x v="0"/>
    <x v="2"/>
    <x v="10"/>
    <x v="2"/>
    <x v="11"/>
    <n v="0"/>
  </r>
  <r>
    <x v="0"/>
    <x v="0"/>
    <x v="0"/>
    <x v="2"/>
    <x v="10"/>
    <x v="2"/>
    <x v="2"/>
    <n v="0"/>
  </r>
  <r>
    <x v="0"/>
    <x v="0"/>
    <x v="0"/>
    <x v="2"/>
    <x v="10"/>
    <x v="2"/>
    <x v="9"/>
    <n v="0"/>
  </r>
  <r>
    <x v="0"/>
    <x v="0"/>
    <x v="0"/>
    <x v="3"/>
    <x v="11"/>
    <x v="2"/>
    <x v="12"/>
    <n v="741.01417110909597"/>
  </r>
  <r>
    <x v="0"/>
    <x v="0"/>
    <x v="0"/>
    <x v="3"/>
    <x v="11"/>
    <x v="3"/>
    <x v="13"/>
    <n v="709.50469352631001"/>
  </r>
  <r>
    <x v="0"/>
    <x v="0"/>
    <x v="0"/>
    <x v="3"/>
    <x v="12"/>
    <x v="2"/>
    <x v="9"/>
    <n v="0"/>
  </r>
  <r>
    <x v="0"/>
    <x v="0"/>
    <x v="0"/>
    <x v="3"/>
    <x v="12"/>
    <x v="2"/>
    <x v="12"/>
    <n v="292.386451624838"/>
  </r>
  <r>
    <x v="0"/>
    <x v="0"/>
    <x v="0"/>
    <x v="3"/>
    <x v="12"/>
    <x v="3"/>
    <x v="14"/>
    <n v="76.580056452386899"/>
  </r>
  <r>
    <x v="0"/>
    <x v="0"/>
    <x v="0"/>
    <x v="3"/>
    <x v="12"/>
    <x v="3"/>
    <x v="3"/>
    <n v="192.98477118504499"/>
  </r>
  <r>
    <x v="0"/>
    <x v="0"/>
    <x v="0"/>
    <x v="3"/>
    <x v="13"/>
    <x v="0"/>
    <x v="4"/>
    <n v="4719.6662612303799"/>
  </r>
  <r>
    <x v="0"/>
    <x v="0"/>
    <x v="0"/>
    <x v="3"/>
    <x v="13"/>
    <x v="2"/>
    <x v="11"/>
    <n v="0"/>
  </r>
  <r>
    <x v="0"/>
    <x v="0"/>
    <x v="0"/>
    <x v="3"/>
    <x v="13"/>
    <x v="3"/>
    <x v="13"/>
    <n v="0"/>
  </r>
  <r>
    <x v="0"/>
    <x v="0"/>
    <x v="0"/>
    <x v="3"/>
    <x v="13"/>
    <x v="3"/>
    <x v="6"/>
    <n v="0"/>
  </r>
  <r>
    <x v="0"/>
    <x v="0"/>
    <x v="0"/>
    <x v="3"/>
    <x v="14"/>
    <x v="0"/>
    <x v="0"/>
    <n v="20994.0609255782"/>
  </r>
  <r>
    <x v="0"/>
    <x v="0"/>
    <x v="0"/>
    <x v="3"/>
    <x v="14"/>
    <x v="1"/>
    <x v="1"/>
    <n v="320212.44247646502"/>
  </r>
  <r>
    <x v="0"/>
    <x v="0"/>
    <x v="0"/>
    <x v="3"/>
    <x v="14"/>
    <x v="3"/>
    <x v="3"/>
    <n v="0"/>
  </r>
</pivotCacheRecords>
</file>

<file path=xl/pivotCache/pivotCacheRecords15.xml><?xml version="1.0" encoding="utf-8"?>
<pivotCacheRecords xmlns="http://schemas.openxmlformats.org/spreadsheetml/2006/main" xmlns:r="http://schemas.openxmlformats.org/officeDocument/2006/relationships" count="720">
  <r>
    <x v="0"/>
    <x v="0"/>
    <x v="0"/>
    <x v="0"/>
    <x v="0"/>
    <x v="0"/>
    <x v="0"/>
    <n v="1477.05213623742"/>
    <n v="539124.02972665697"/>
  </r>
  <r>
    <x v="0"/>
    <x v="0"/>
    <x v="0"/>
    <x v="0"/>
    <x v="0"/>
    <x v="0"/>
    <x v="1"/>
    <n v="1437.7779175860201"/>
    <n v="524788.93991889595"/>
  </r>
  <r>
    <x v="0"/>
    <x v="0"/>
    <x v="0"/>
    <x v="0"/>
    <x v="0"/>
    <x v="0"/>
    <x v="2"/>
    <n v="1427.53246924217"/>
    <n v="521049.35127339402"/>
  </r>
  <r>
    <x v="0"/>
    <x v="0"/>
    <x v="0"/>
    <x v="0"/>
    <x v="0"/>
    <x v="0"/>
    <x v="3"/>
    <n v="1477.9059235994"/>
    <n v="539435.66211378202"/>
  </r>
  <r>
    <x v="0"/>
    <x v="0"/>
    <x v="0"/>
    <x v="0"/>
    <x v="0"/>
    <x v="0"/>
    <x v="4"/>
    <n v="1514.61878016484"/>
    <n v="552835.854760168"/>
  </r>
  <r>
    <x v="0"/>
    <x v="0"/>
    <x v="0"/>
    <x v="0"/>
    <x v="0"/>
    <x v="0"/>
    <x v="5"/>
    <n v="1673.42322949441"/>
    <n v="610799.47876546101"/>
  </r>
  <r>
    <x v="0"/>
    <x v="0"/>
    <x v="0"/>
    <x v="0"/>
    <x v="0"/>
    <x v="0"/>
    <x v="6"/>
    <n v="2037.1366457008501"/>
    <n v="743554.87568081205"/>
  </r>
  <r>
    <x v="0"/>
    <x v="0"/>
    <x v="0"/>
    <x v="0"/>
    <x v="0"/>
    <x v="0"/>
    <x v="7"/>
    <n v="2412.8030849751099"/>
    <n v="880673.12601591495"/>
  </r>
  <r>
    <x v="0"/>
    <x v="0"/>
    <x v="0"/>
    <x v="0"/>
    <x v="0"/>
    <x v="0"/>
    <x v="8"/>
    <n v="2507.5734821556598"/>
    <n v="915264.32098681701"/>
  </r>
  <r>
    <x v="0"/>
    <x v="0"/>
    <x v="0"/>
    <x v="0"/>
    <x v="0"/>
    <x v="0"/>
    <x v="9"/>
    <n v="2515.25756841354"/>
    <n v="918069.01247094397"/>
  </r>
  <r>
    <x v="0"/>
    <x v="0"/>
    <x v="0"/>
    <x v="0"/>
    <x v="0"/>
    <x v="0"/>
    <x v="10"/>
    <n v="2523.7954420334099"/>
    <n v="921185.33634219598"/>
  </r>
  <r>
    <x v="0"/>
    <x v="0"/>
    <x v="0"/>
    <x v="0"/>
    <x v="0"/>
    <x v="0"/>
    <x v="11"/>
    <n v="2502.45075798374"/>
    <n v="913394.52666406496"/>
  </r>
  <r>
    <x v="0"/>
    <x v="0"/>
    <x v="0"/>
    <x v="0"/>
    <x v="0"/>
    <x v="0"/>
    <x v="12"/>
    <n v="2417.9258091470301"/>
    <n v="882542.920338667"/>
  </r>
  <r>
    <x v="0"/>
    <x v="0"/>
    <x v="0"/>
    <x v="0"/>
    <x v="0"/>
    <x v="0"/>
    <x v="13"/>
    <n v="2422.1947459569701"/>
    <n v="884101.08227429294"/>
  </r>
  <r>
    <x v="0"/>
    <x v="0"/>
    <x v="0"/>
    <x v="0"/>
    <x v="0"/>
    <x v="0"/>
    <x v="14"/>
    <n v="2370.11371687576"/>
    <n v="865091.50665965397"/>
  </r>
  <r>
    <x v="0"/>
    <x v="0"/>
    <x v="0"/>
    <x v="0"/>
    <x v="0"/>
    <x v="0"/>
    <x v="15"/>
    <n v="2250.58348619759"/>
    <n v="821462.97246212"/>
  </r>
  <r>
    <x v="0"/>
    <x v="0"/>
    <x v="0"/>
    <x v="0"/>
    <x v="0"/>
    <x v="0"/>
    <x v="16"/>
    <n v="2263.3902966273899"/>
    <n v="826137.45826899901"/>
  </r>
  <r>
    <x v="0"/>
    <x v="0"/>
    <x v="0"/>
    <x v="0"/>
    <x v="0"/>
    <x v="0"/>
    <x v="17"/>
    <n v="2410.24172288915"/>
    <n v="879738.22885454004"/>
  </r>
  <r>
    <x v="0"/>
    <x v="0"/>
    <x v="0"/>
    <x v="0"/>
    <x v="0"/>
    <x v="0"/>
    <x v="18"/>
    <n v="2408.5341481651799"/>
    <n v="879114.96408028901"/>
  </r>
  <r>
    <x v="0"/>
    <x v="0"/>
    <x v="0"/>
    <x v="0"/>
    <x v="0"/>
    <x v="0"/>
    <x v="19"/>
    <n v="2398.2886998213298"/>
    <n v="875375.37543478596"/>
  </r>
  <r>
    <x v="0"/>
    <x v="0"/>
    <x v="0"/>
    <x v="0"/>
    <x v="0"/>
    <x v="0"/>
    <x v="20"/>
    <n v="2270.2205955232898"/>
    <n v="828630.51736600103"/>
  </r>
  <r>
    <x v="0"/>
    <x v="0"/>
    <x v="0"/>
    <x v="0"/>
    <x v="0"/>
    <x v="0"/>
    <x v="21"/>
    <n v="2073.8495022662901"/>
    <n v="756955.06832719699"/>
  </r>
  <r>
    <x v="0"/>
    <x v="0"/>
    <x v="0"/>
    <x v="0"/>
    <x v="0"/>
    <x v="0"/>
    <x v="22"/>
    <n v="1860.4026617695599"/>
    <n v="679046.97154588799"/>
  </r>
  <r>
    <x v="0"/>
    <x v="0"/>
    <x v="0"/>
    <x v="0"/>
    <x v="0"/>
    <x v="0"/>
    <x v="23"/>
    <n v="1666.5929305985201"/>
    <n v="608306.41966846003"/>
  </r>
  <r>
    <x v="0"/>
    <x v="0"/>
    <x v="0"/>
    <x v="1"/>
    <x v="0"/>
    <x v="0"/>
    <x v="0"/>
    <n v="1062.2230329041499"/>
    <n v="387711.40701001399"/>
  </r>
  <r>
    <x v="0"/>
    <x v="0"/>
    <x v="0"/>
    <x v="1"/>
    <x v="0"/>
    <x v="0"/>
    <x v="1"/>
    <n v="1022.18736125499"/>
    <n v="373098.386858073"/>
  </r>
  <r>
    <x v="0"/>
    <x v="0"/>
    <x v="0"/>
    <x v="1"/>
    <x v="0"/>
    <x v="0"/>
    <x v="2"/>
    <n v="1010.26184204035"/>
    <n v="368745.57234472898"/>
  </r>
  <r>
    <x v="0"/>
    <x v="0"/>
    <x v="0"/>
    <x v="1"/>
    <x v="0"/>
    <x v="0"/>
    <x v="3"/>
    <n v="998.33632282571205"/>
    <n v="364392.75783138501"/>
  </r>
  <r>
    <x v="0"/>
    <x v="0"/>
    <x v="0"/>
    <x v="1"/>
    <x v="0"/>
    <x v="0"/>
    <x v="4"/>
    <n v="1086.0740713334301"/>
    <n v="396417.03603670298"/>
  </r>
  <r>
    <x v="0"/>
    <x v="0"/>
    <x v="0"/>
    <x v="1"/>
    <x v="0"/>
    <x v="0"/>
    <x v="5"/>
    <n v="1233.4394159143601"/>
    <n v="450205.38680874201"/>
  </r>
  <r>
    <x v="0"/>
    <x v="0"/>
    <x v="0"/>
    <x v="1"/>
    <x v="0"/>
    <x v="0"/>
    <x v="6"/>
    <n v="1349.28731685659"/>
    <n v="492489.870652657"/>
  </r>
  <r>
    <x v="0"/>
    <x v="0"/>
    <x v="0"/>
    <x v="1"/>
    <x v="0"/>
    <x v="0"/>
    <x v="7"/>
    <n v="1588.64952395047"/>
    <n v="579857.07624192198"/>
  </r>
  <r>
    <x v="0"/>
    <x v="0"/>
    <x v="0"/>
    <x v="1"/>
    <x v="0"/>
    <x v="0"/>
    <x v="8"/>
    <n v="1672.97998125401"/>
    <n v="610637.69315771305"/>
  </r>
  <r>
    <x v="0"/>
    <x v="0"/>
    <x v="0"/>
    <x v="1"/>
    <x v="0"/>
    <x v="0"/>
    <x v="9"/>
    <n v="1678.09091806028"/>
    <n v="612503.18509200297"/>
  </r>
  <r>
    <x v="0"/>
    <x v="0"/>
    <x v="0"/>
    <x v="1"/>
    <x v="0"/>
    <x v="0"/>
    <x v="10"/>
    <n v="1685.7573232697"/>
    <n v="615301.42299343902"/>
  </r>
  <r>
    <x v="0"/>
    <x v="0"/>
    <x v="0"/>
    <x v="1"/>
    <x v="0"/>
    <x v="0"/>
    <x v="11"/>
    <n v="1666.1653988456401"/>
    <n v="608150.370578659"/>
  </r>
  <r>
    <x v="0"/>
    <x v="0"/>
    <x v="0"/>
    <x v="1"/>
    <x v="0"/>
    <x v="0"/>
    <x v="12"/>
    <n v="1641.4625376153101"/>
    <n v="599133.82622958894"/>
  </r>
  <r>
    <x v="0"/>
    <x v="0"/>
    <x v="0"/>
    <x v="1"/>
    <x v="0"/>
    <x v="0"/>
    <x v="13"/>
    <n v="1609.09327117557"/>
    <n v="587319.04397908296"/>
  </r>
  <r>
    <x v="0"/>
    <x v="0"/>
    <x v="0"/>
    <x v="1"/>
    <x v="0"/>
    <x v="0"/>
    <x v="14"/>
    <n v="1567.35395392433"/>
    <n v="572084.19318237901"/>
  </r>
  <r>
    <x v="0"/>
    <x v="0"/>
    <x v="0"/>
    <x v="1"/>
    <x v="0"/>
    <x v="0"/>
    <x v="15"/>
    <n v="1514.5409402594801"/>
    <n v="552807.44319471205"/>
  </r>
  <r>
    <x v="0"/>
    <x v="0"/>
    <x v="0"/>
    <x v="1"/>
    <x v="0"/>
    <x v="0"/>
    <x v="16"/>
    <n v="1528.1701050762199"/>
    <n v="557782.08835281897"/>
  </r>
  <r>
    <x v="0"/>
    <x v="0"/>
    <x v="0"/>
    <x v="1"/>
    <x v="0"/>
    <x v="0"/>
    <x v="17"/>
    <n v="1638.0552464111299"/>
    <n v="597890.16494006198"/>
  </r>
  <r>
    <x v="0"/>
    <x v="0"/>
    <x v="0"/>
    <x v="1"/>
    <x v="0"/>
    <x v="0"/>
    <x v="18"/>
    <n v="1703.6456020916601"/>
    <n v="621830.64476345503"/>
  </r>
  <r>
    <x v="0"/>
    <x v="0"/>
    <x v="0"/>
    <x v="1"/>
    <x v="0"/>
    <x v="0"/>
    <x v="19"/>
    <n v="1700.2383108874701"/>
    <n v="620586.98347392795"/>
  </r>
  <r>
    <x v="0"/>
    <x v="0"/>
    <x v="0"/>
    <x v="1"/>
    <x v="0"/>
    <x v="0"/>
    <x v="20"/>
    <n v="1581.8349415421001"/>
    <n v="577369.75366286805"/>
  </r>
  <r>
    <x v="0"/>
    <x v="0"/>
    <x v="0"/>
    <x v="1"/>
    <x v="0"/>
    <x v="0"/>
    <x v="21"/>
    <n v="1460.0242809925501"/>
    <n v="532908.86256228096"/>
  </r>
  <r>
    <x v="0"/>
    <x v="0"/>
    <x v="0"/>
    <x v="1"/>
    <x v="0"/>
    <x v="0"/>
    <x v="22"/>
    <n v="1331.3990380346299"/>
    <n v="485960.64888264"/>
  </r>
  <r>
    <x v="0"/>
    <x v="0"/>
    <x v="0"/>
    <x v="1"/>
    <x v="0"/>
    <x v="0"/>
    <x v="23"/>
    <n v="1205.3292634798499"/>
    <n v="439945.18117014499"/>
  </r>
  <r>
    <x v="0"/>
    <x v="0"/>
    <x v="1"/>
    <x v="2"/>
    <x v="0"/>
    <x v="0"/>
    <x v="0"/>
    <n v="6205.06922753452"/>
    <n v="2264850.2680501002"/>
  </r>
  <r>
    <x v="0"/>
    <x v="0"/>
    <x v="1"/>
    <x v="2"/>
    <x v="0"/>
    <x v="0"/>
    <x v="1"/>
    <n v="5906.3835861094303"/>
    <n v="2155830.0089299399"/>
  </r>
  <r>
    <x v="0"/>
    <x v="0"/>
    <x v="1"/>
    <x v="2"/>
    <x v="0"/>
    <x v="0"/>
    <x v="2"/>
    <n v="5856.3943574190398"/>
    <n v="2137583.9404579499"/>
  </r>
  <r>
    <x v="0"/>
    <x v="0"/>
    <x v="1"/>
    <x v="2"/>
    <x v="0"/>
    <x v="0"/>
    <x v="3"/>
    <n v="6013.3917787747996"/>
    <n v="2194887.9992527999"/>
  </r>
  <r>
    <x v="0"/>
    <x v="0"/>
    <x v="1"/>
    <x v="2"/>
    <x v="0"/>
    <x v="0"/>
    <x v="4"/>
    <n v="6373.0017926663004"/>
    <n v="2326145.6543232002"/>
  </r>
  <r>
    <x v="0"/>
    <x v="0"/>
    <x v="1"/>
    <x v="2"/>
    <x v="0"/>
    <x v="0"/>
    <x v="5"/>
    <n v="7010.5206748084502"/>
    <n v="2558840.0463050902"/>
  </r>
  <r>
    <x v="0"/>
    <x v="0"/>
    <x v="1"/>
    <x v="2"/>
    <x v="0"/>
    <x v="0"/>
    <x v="6"/>
    <n v="8226.3524463625708"/>
    <n v="3002618.64292234"/>
  </r>
  <r>
    <x v="0"/>
    <x v="0"/>
    <x v="1"/>
    <x v="2"/>
    <x v="0"/>
    <x v="0"/>
    <x v="7"/>
    <n v="9150.0596627572104"/>
    <n v="3339771.77690638"/>
  </r>
  <r>
    <x v="0"/>
    <x v="0"/>
    <x v="1"/>
    <x v="2"/>
    <x v="0"/>
    <x v="0"/>
    <x v="8"/>
    <n v="9542.0064589578196"/>
    <n v="3482832.3575196001"/>
  </r>
  <r>
    <x v="0"/>
    <x v="0"/>
    <x v="1"/>
    <x v="2"/>
    <x v="0"/>
    <x v="0"/>
    <x v="9"/>
    <n v="9651.2016803783899"/>
    <n v="3522688.61333811"/>
  </r>
  <r>
    <x v="0"/>
    <x v="0"/>
    <x v="1"/>
    <x v="2"/>
    <x v="0"/>
    <x v="0"/>
    <x v="10"/>
    <n v="9892.0872761302107"/>
    <n v="3610611.8557875301"/>
  </r>
  <r>
    <x v="0"/>
    <x v="0"/>
    <x v="1"/>
    <x v="2"/>
    <x v="0"/>
    <x v="0"/>
    <x v="11"/>
    <n v="10025.6522465374"/>
    <n v="3659363.0699861301"/>
  </r>
  <r>
    <x v="0"/>
    <x v="0"/>
    <x v="1"/>
    <x v="2"/>
    <x v="0"/>
    <x v="0"/>
    <x v="12"/>
    <n v="9921.7683806651294"/>
    <n v="3621445.45894277"/>
  </r>
  <r>
    <x v="0"/>
    <x v="0"/>
    <x v="1"/>
    <x v="2"/>
    <x v="0"/>
    <x v="0"/>
    <x v="13"/>
    <n v="9844.4412925346805"/>
    <n v="3593221.0717751598"/>
  </r>
  <r>
    <x v="0"/>
    <x v="0"/>
    <x v="1"/>
    <x v="2"/>
    <x v="0"/>
    <x v="0"/>
    <x v="14"/>
    <n v="9715.8752449965796"/>
    <n v="3546294.4644237501"/>
  </r>
  <r>
    <x v="0"/>
    <x v="0"/>
    <x v="1"/>
    <x v="2"/>
    <x v="0"/>
    <x v="0"/>
    <x v="15"/>
    <n v="9549.5048432613694"/>
    <n v="3485569.2677904"/>
  </r>
  <r>
    <x v="0"/>
    <x v="0"/>
    <x v="1"/>
    <x v="2"/>
    <x v="0"/>
    <x v="0"/>
    <x v="16"/>
    <n v="9271.5959750107304"/>
    <n v="3384132.5308789201"/>
  </r>
  <r>
    <x v="0"/>
    <x v="0"/>
    <x v="1"/>
    <x v="2"/>
    <x v="0"/>
    <x v="0"/>
    <x v="17"/>
    <n v="9248.4759567414203"/>
    <n v="3375693.7242106199"/>
  </r>
  <r>
    <x v="0"/>
    <x v="0"/>
    <x v="1"/>
    <x v="2"/>
    <x v="0"/>
    <x v="0"/>
    <x v="18"/>
    <n v="9643.8595124144904"/>
    <n v="3520008.7220312902"/>
  </r>
  <r>
    <x v="0"/>
    <x v="0"/>
    <x v="1"/>
    <x v="2"/>
    <x v="0"/>
    <x v="0"/>
    <x v="19"/>
    <n v="10109.6966372731"/>
    <n v="3690039.2726046699"/>
  </r>
  <r>
    <x v="0"/>
    <x v="0"/>
    <x v="1"/>
    <x v="2"/>
    <x v="0"/>
    <x v="0"/>
    <x v="20"/>
    <n v="9539.3507811836407"/>
    <n v="3481863.03513203"/>
  </r>
  <r>
    <x v="0"/>
    <x v="0"/>
    <x v="1"/>
    <x v="2"/>
    <x v="0"/>
    <x v="0"/>
    <x v="21"/>
    <n v="8924.9519173107892"/>
    <n v="3257607.4498184398"/>
  </r>
  <r>
    <x v="0"/>
    <x v="0"/>
    <x v="1"/>
    <x v="2"/>
    <x v="0"/>
    <x v="0"/>
    <x v="22"/>
    <n v="8442.3996441088602"/>
    <n v="3081475.8700997299"/>
  </r>
  <r>
    <x v="0"/>
    <x v="0"/>
    <x v="1"/>
    <x v="2"/>
    <x v="0"/>
    <x v="0"/>
    <x v="23"/>
    <n v="7660.0682151042301"/>
    <n v="2795924.89851304"/>
  </r>
  <r>
    <x v="0"/>
    <x v="0"/>
    <x v="1"/>
    <x v="3"/>
    <x v="0"/>
    <x v="0"/>
    <x v="0"/>
    <n v="1909.2520700106199"/>
    <n v="696877.00555387698"/>
  </r>
  <r>
    <x v="0"/>
    <x v="0"/>
    <x v="1"/>
    <x v="3"/>
    <x v="0"/>
    <x v="0"/>
    <x v="1"/>
    <n v="1817.3487957259799"/>
    <n v="663332.31043998199"/>
  </r>
  <r>
    <x v="0"/>
    <x v="0"/>
    <x v="1"/>
    <x v="3"/>
    <x v="0"/>
    <x v="0"/>
    <x v="2"/>
    <n v="1801.9674945904701"/>
    <n v="657718.13552552299"/>
  </r>
  <r>
    <x v="0"/>
    <x v="0"/>
    <x v="1"/>
    <x v="3"/>
    <x v="0"/>
    <x v="0"/>
    <x v="3"/>
    <n v="1850.27439346917"/>
    <n v="675350.15361624595"/>
  </r>
  <r>
    <x v="0"/>
    <x v="0"/>
    <x v="1"/>
    <x v="3"/>
    <x v="0"/>
    <x v="0"/>
    <x v="4"/>
    <n v="1960.9236285127099"/>
    <n v="715737.12440713798"/>
  </r>
  <r>
    <x v="0"/>
    <x v="0"/>
    <x v="1"/>
    <x v="3"/>
    <x v="0"/>
    <x v="0"/>
    <x v="5"/>
    <n v="2157.0832845564501"/>
    <n v="787335.39886310301"/>
  </r>
  <r>
    <x v="0"/>
    <x v="0"/>
    <x v="1"/>
    <x v="3"/>
    <x v="0"/>
    <x v="0"/>
    <x v="6"/>
    <n v="2531.1853681115599"/>
    <n v="923882.65936071903"/>
  </r>
  <r>
    <x v="0"/>
    <x v="0"/>
    <x v="1"/>
    <x v="3"/>
    <x v="0"/>
    <x v="0"/>
    <x v="7"/>
    <n v="2815.4029731560699"/>
    <n v="1027622.0852019601"/>
  </r>
  <r>
    <x v="0"/>
    <x v="0"/>
    <x v="1"/>
    <x v="3"/>
    <x v="0"/>
    <x v="0"/>
    <x v="8"/>
    <n v="2936.0019873716401"/>
    <n v="1071640.7253906501"/>
  </r>
  <r>
    <x v="0"/>
    <x v="0"/>
    <x v="1"/>
    <x v="3"/>
    <x v="0"/>
    <x v="0"/>
    <x v="9"/>
    <n v="2969.6005170395001"/>
    <n v="1083904.18871942"/>
  </r>
  <r>
    <x v="0"/>
    <x v="0"/>
    <x v="1"/>
    <x v="3"/>
    <x v="0"/>
    <x v="0"/>
    <x v="10"/>
    <n v="3043.7191618862198"/>
    <n v="1110957.49408847"/>
  </r>
  <r>
    <x v="0"/>
    <x v="0"/>
    <x v="1"/>
    <x v="3"/>
    <x v="0"/>
    <x v="0"/>
    <x v="11"/>
    <n v="3084.81607585765"/>
    <n v="1125957.86768804"/>
  </r>
  <r>
    <x v="0"/>
    <x v="0"/>
    <x v="1"/>
    <x v="3"/>
    <x v="0"/>
    <x v="0"/>
    <x v="12"/>
    <n v="3052.8518094354299"/>
    <n v="1114290.91044393"/>
  </r>
  <r>
    <x v="0"/>
    <x v="0"/>
    <x v="1"/>
    <x v="3"/>
    <x v="0"/>
    <x v="0"/>
    <x v="13"/>
    <n v="3029.0588592414401"/>
    <n v="1105606.48362313"/>
  </r>
  <r>
    <x v="0"/>
    <x v="0"/>
    <x v="1"/>
    <x v="3"/>
    <x v="0"/>
    <x v="0"/>
    <x v="14"/>
    <n v="2989.5000753835602"/>
    <n v="1091167.527515"/>
  </r>
  <r>
    <x v="0"/>
    <x v="0"/>
    <x v="1"/>
    <x v="3"/>
    <x v="0"/>
    <x v="0"/>
    <x v="15"/>
    <n v="2938.3091825419601"/>
    <n v="1072482.8516278199"/>
  </r>
  <r>
    <x v="0"/>
    <x v="0"/>
    <x v="1"/>
    <x v="3"/>
    <x v="0"/>
    <x v="0"/>
    <x v="16"/>
    <n v="2852.7987615417601"/>
    <n v="1041271.5479627399"/>
  </r>
  <r>
    <x v="0"/>
    <x v="0"/>
    <x v="1"/>
    <x v="3"/>
    <x v="0"/>
    <x v="0"/>
    <x v="17"/>
    <n v="2845.68490976659"/>
    <n v="1038674.99206481"/>
  </r>
  <r>
    <x v="0"/>
    <x v="0"/>
    <x v="1"/>
    <x v="3"/>
    <x v="0"/>
    <x v="0"/>
    <x v="18"/>
    <n v="2967.3413884352299"/>
    <n v="1083079.6067788601"/>
  </r>
  <r>
    <x v="0"/>
    <x v="0"/>
    <x v="1"/>
    <x v="3"/>
    <x v="0"/>
    <x v="0"/>
    <x v="19"/>
    <n v="3110.67588839172"/>
    <n v="1135396.6992629799"/>
  </r>
  <r>
    <x v="0"/>
    <x v="0"/>
    <x v="1"/>
    <x v="3"/>
    <x v="0"/>
    <x v="0"/>
    <x v="20"/>
    <n v="2935.1848557488102"/>
    <n v="1071342.4723483201"/>
  </r>
  <r>
    <x v="0"/>
    <x v="0"/>
    <x v="1"/>
    <x v="3"/>
    <x v="0"/>
    <x v="0"/>
    <x v="21"/>
    <n v="2746.1390514802401"/>
    <n v="1002340.75379029"/>
  </r>
  <r>
    <x v="0"/>
    <x v="0"/>
    <x v="1"/>
    <x v="3"/>
    <x v="0"/>
    <x v="0"/>
    <x v="22"/>
    <n v="2597.66142895657"/>
    <n v="948146.42156914901"/>
  </r>
  <r>
    <x v="0"/>
    <x v="0"/>
    <x v="1"/>
    <x v="3"/>
    <x v="0"/>
    <x v="0"/>
    <x v="23"/>
    <n v="2356.9440661859198"/>
    <n v="860284.58415785898"/>
  </r>
  <r>
    <x v="0"/>
    <x v="0"/>
    <x v="1"/>
    <x v="4"/>
    <x v="0"/>
    <x v="0"/>
    <x v="0"/>
    <n v="16792.7397975934"/>
    <n v="6129350.0261215996"/>
  </r>
  <r>
    <x v="0"/>
    <x v="0"/>
    <x v="1"/>
    <x v="4"/>
    <x v="0"/>
    <x v="0"/>
    <x v="1"/>
    <n v="15984.408726044399"/>
    <n v="5834309.1850062003"/>
  </r>
  <r>
    <x v="0"/>
    <x v="0"/>
    <x v="1"/>
    <x v="4"/>
    <x v="0"/>
    <x v="0"/>
    <x v="2"/>
    <n v="15849.1231910571"/>
    <n v="5784929.9647358498"/>
  </r>
  <r>
    <x v="0"/>
    <x v="0"/>
    <x v="1"/>
    <x v="4"/>
    <x v="0"/>
    <x v="0"/>
    <x v="3"/>
    <n v="16274.004324376499"/>
    <n v="5940011.5783974398"/>
  </r>
  <r>
    <x v="0"/>
    <x v="0"/>
    <x v="1"/>
    <x v="4"/>
    <x v="0"/>
    <x v="0"/>
    <x v="4"/>
    <n v="17247.214641691298"/>
    <n v="6295233.3442173302"/>
  </r>
  <r>
    <x v="0"/>
    <x v="0"/>
    <x v="1"/>
    <x v="4"/>
    <x v="0"/>
    <x v="0"/>
    <x v="5"/>
    <n v="18972.527980076"/>
    <n v="6924972.7127277497"/>
  </r>
  <r>
    <x v="0"/>
    <x v="0"/>
    <x v="1"/>
    <x v="4"/>
    <x v="0"/>
    <x v="0"/>
    <x v="6"/>
    <n v="22262.925851344899"/>
    <n v="8125967.9357408704"/>
  </r>
  <r>
    <x v="0"/>
    <x v="0"/>
    <x v="1"/>
    <x v="4"/>
    <x v="0"/>
    <x v="0"/>
    <x v="7"/>
    <n v="24762.748877531802"/>
    <n v="9038403.3402990904"/>
  </r>
  <r>
    <x v="0"/>
    <x v="0"/>
    <x v="1"/>
    <x v="4"/>
    <x v="0"/>
    <x v="0"/>
    <x v="8"/>
    <n v="25823.472025291401"/>
    <n v="9425567.2892313693"/>
  </r>
  <r>
    <x v="0"/>
    <x v="0"/>
    <x v="1"/>
    <x v="4"/>
    <x v="0"/>
    <x v="0"/>
    <x v="9"/>
    <n v="26118.986365779299"/>
    <n v="9533430.0235094391"/>
  </r>
  <r>
    <x v="0"/>
    <x v="0"/>
    <x v="1"/>
    <x v="4"/>
    <x v="0"/>
    <x v="0"/>
    <x v="10"/>
    <n v="26770.893537499302"/>
    <n v="9771376.1411872301"/>
  </r>
  <r>
    <x v="0"/>
    <x v="0"/>
    <x v="1"/>
    <x v="4"/>
    <x v="0"/>
    <x v="0"/>
    <x v="11"/>
    <n v="27132.359576293398"/>
    <n v="9903311.2453470901"/>
  </r>
  <r>
    <x v="0"/>
    <x v="0"/>
    <x v="1"/>
    <x v="4"/>
    <x v="0"/>
    <x v="0"/>
    <x v="12"/>
    <n v="26851.219323897902"/>
    <n v="9800695.0532227494"/>
  </r>
  <r>
    <x v="0"/>
    <x v="0"/>
    <x v="1"/>
    <x v="4"/>
    <x v="0"/>
    <x v="0"/>
    <x v="13"/>
    <n v="26641.9495119645"/>
    <n v="9724311.5718670394"/>
  </r>
  <r>
    <x v="0"/>
    <x v="0"/>
    <x v="1"/>
    <x v="4"/>
    <x v="0"/>
    <x v="0"/>
    <x v="14"/>
    <n v="26294.012026669101"/>
    <n v="9597314.3897342104"/>
  </r>
  <r>
    <x v="0"/>
    <x v="0"/>
    <x v="1"/>
    <x v="4"/>
    <x v="0"/>
    <x v="0"/>
    <x v="15"/>
    <n v="25843.764855539499"/>
    <n v="9432974.1722719297"/>
  </r>
  <r>
    <x v="0"/>
    <x v="0"/>
    <x v="1"/>
    <x v="4"/>
    <x v="0"/>
    <x v="0"/>
    <x v="16"/>
    <n v="25091.6618344696"/>
    <n v="9158456.5695814006"/>
  </r>
  <r>
    <x v="0"/>
    <x v="0"/>
    <x v="1"/>
    <x v="4"/>
    <x v="0"/>
    <x v="0"/>
    <x v="17"/>
    <n v="25029.092274538001"/>
    <n v="9135618.6802063603"/>
  </r>
  <r>
    <x v="0"/>
    <x v="0"/>
    <x v="1"/>
    <x v="4"/>
    <x v="0"/>
    <x v="0"/>
    <x v="18"/>
    <n v="26099.116302827999"/>
    <n v="9526177.4505322296"/>
  </r>
  <r>
    <x v="0"/>
    <x v="0"/>
    <x v="1"/>
    <x v="4"/>
    <x v="0"/>
    <x v="0"/>
    <x v="19"/>
    <n v="27359.808381990799"/>
    <n v="9986330.0594266299"/>
  </r>
  <r>
    <x v="0"/>
    <x v="0"/>
    <x v="1"/>
    <x v="4"/>
    <x v="0"/>
    <x v="0"/>
    <x v="20"/>
    <n v="25816.2849812452"/>
    <n v="9422944.0181545094"/>
  </r>
  <r>
    <x v="0"/>
    <x v="0"/>
    <x v="1"/>
    <x v="4"/>
    <x v="0"/>
    <x v="0"/>
    <x v="21"/>
    <n v="24153.541202792101"/>
    <n v="8816042.5390191302"/>
  </r>
  <r>
    <x v="0"/>
    <x v="0"/>
    <x v="1"/>
    <x v="4"/>
    <x v="0"/>
    <x v="0"/>
    <x v="22"/>
    <n v="22847.613022868001"/>
    <n v="8339378.7533468297"/>
  </r>
  <r>
    <x v="0"/>
    <x v="0"/>
    <x v="1"/>
    <x v="4"/>
    <x v="0"/>
    <x v="0"/>
    <x v="23"/>
    <n v="20730.394400317"/>
    <n v="7566593.9561157199"/>
  </r>
  <r>
    <x v="0"/>
    <x v="0"/>
    <x v="1"/>
    <x v="5"/>
    <x v="0"/>
    <x v="0"/>
    <x v="0"/>
    <n v="18485.0314051028"/>
    <n v="6747036.4628625298"/>
  </r>
  <r>
    <x v="0"/>
    <x v="0"/>
    <x v="1"/>
    <x v="5"/>
    <x v="0"/>
    <x v="0"/>
    <x v="1"/>
    <n v="17595.240613165101"/>
    <n v="6422262.82380528"/>
  </r>
  <r>
    <x v="0"/>
    <x v="0"/>
    <x v="1"/>
    <x v="5"/>
    <x v="0"/>
    <x v="0"/>
    <x v="2"/>
    <n v="17446.321652171398"/>
    <n v="6367907.4030425604"/>
  </r>
  <r>
    <x v="0"/>
    <x v="0"/>
    <x v="1"/>
    <x v="5"/>
    <x v="0"/>
    <x v="0"/>
    <x v="3"/>
    <n v="17914.0202640424"/>
    <n v="6538617.3963754801"/>
  </r>
  <r>
    <x v="0"/>
    <x v="0"/>
    <x v="1"/>
    <x v="5"/>
    <x v="0"/>
    <x v="0"/>
    <x v="4"/>
    <n v="18985.306039691201"/>
    <n v="6929636.7044872902"/>
  </r>
  <r>
    <x v="0"/>
    <x v="0"/>
    <x v="1"/>
    <x v="5"/>
    <x v="0"/>
    <x v="0"/>
    <x v="5"/>
    <n v="20884.4881641147"/>
    <n v="7622838.1799018597"/>
  </r>
  <r>
    <x v="0"/>
    <x v="0"/>
    <x v="1"/>
    <x v="5"/>
    <x v="0"/>
    <x v="0"/>
    <x v="6"/>
    <n v="24506.476518534699"/>
    <n v="8944863.9292651508"/>
  </r>
  <r>
    <x v="0"/>
    <x v="0"/>
    <x v="1"/>
    <x v="5"/>
    <x v="0"/>
    <x v="0"/>
    <x v="7"/>
    <n v="27258.2196946474"/>
    <n v="9949250.1885462906"/>
  </r>
  <r>
    <x v="0"/>
    <x v="0"/>
    <x v="1"/>
    <x v="5"/>
    <x v="0"/>
    <x v="0"/>
    <x v="8"/>
    <n v="28425.837423189001"/>
    <n v="10375430.659464"/>
  </r>
  <r>
    <x v="0"/>
    <x v="0"/>
    <x v="1"/>
    <x v="5"/>
    <x v="0"/>
    <x v="0"/>
    <x v="9"/>
    <n v="28751.132278609701"/>
    <n v="10494163.2816926"/>
  </r>
  <r>
    <x v="0"/>
    <x v="0"/>
    <x v="1"/>
    <x v="5"/>
    <x v="0"/>
    <x v="0"/>
    <x v="10"/>
    <n v="29468.735521898401"/>
    <n v="10756088.4654929"/>
  </r>
  <r>
    <x v="0"/>
    <x v="0"/>
    <x v="1"/>
    <x v="5"/>
    <x v="0"/>
    <x v="0"/>
    <x v="11"/>
    <n v="29866.628370803599"/>
    <n v="10901319.355343301"/>
  </r>
  <r>
    <x v="0"/>
    <x v="0"/>
    <x v="1"/>
    <x v="5"/>
    <x v="0"/>
    <x v="0"/>
    <x v="12"/>
    <n v="29557.156154988399"/>
    <n v="10788361.996570799"/>
  </r>
  <r>
    <x v="0"/>
    <x v="0"/>
    <x v="1"/>
    <x v="5"/>
    <x v="0"/>
    <x v="0"/>
    <x v="13"/>
    <n v="29326.7971372012"/>
    <n v="10704280.955078401"/>
  </r>
  <r>
    <x v="0"/>
    <x v="0"/>
    <x v="1"/>
    <x v="5"/>
    <x v="0"/>
    <x v="0"/>
    <x v="14"/>
    <n v="28943.7961843954"/>
    <n v="10564485.607304299"/>
  </r>
  <r>
    <x v="0"/>
    <x v="0"/>
    <x v="1"/>
    <x v="5"/>
    <x v="0"/>
    <x v="0"/>
    <x v="15"/>
    <n v="28448.175267338102"/>
    <n v="10383583.972578401"/>
  </r>
  <r>
    <x v="0"/>
    <x v="0"/>
    <x v="1"/>
    <x v="5"/>
    <x v="0"/>
    <x v="0"/>
    <x v="16"/>
    <n v="27620.278918563399"/>
    <n v="10081401.805275699"/>
  </r>
  <r>
    <x v="0"/>
    <x v="0"/>
    <x v="1"/>
    <x v="5"/>
    <x v="0"/>
    <x v="0"/>
    <x v="17"/>
    <n v="27551.4038991038"/>
    <n v="10056262.4231729"/>
  </r>
  <r>
    <x v="0"/>
    <x v="0"/>
    <x v="1"/>
    <x v="5"/>
    <x v="0"/>
    <x v="0"/>
    <x v="18"/>
    <n v="28729.259806213799"/>
    <n v="10486179.829267999"/>
  </r>
  <r>
    <x v="0"/>
    <x v="0"/>
    <x v="1"/>
    <x v="5"/>
    <x v="0"/>
    <x v="0"/>
    <x v="19"/>
    <n v="30116.9983739743"/>
    <n v="10992704.4065006"/>
  </r>
  <r>
    <x v="0"/>
    <x v="0"/>
    <x v="1"/>
    <x v="5"/>
    <x v="0"/>
    <x v="0"/>
    <x v="20"/>
    <n v="28417.926103386199"/>
    <n v="10372543.027736001"/>
  </r>
  <r>
    <x v="0"/>
    <x v="0"/>
    <x v="1"/>
    <x v="5"/>
    <x v="0"/>
    <x v="0"/>
    <x v="21"/>
    <n v="26587.6189984224"/>
    <n v="9704480.93442416"/>
  </r>
  <r>
    <x v="0"/>
    <x v="0"/>
    <x v="1"/>
    <x v="5"/>
    <x v="0"/>
    <x v="0"/>
    <x v="22"/>
    <n v="25150.085653079499"/>
    <n v="9179781.2633740306"/>
  </r>
  <r>
    <x v="0"/>
    <x v="0"/>
    <x v="1"/>
    <x v="5"/>
    <x v="0"/>
    <x v="0"/>
    <x v="23"/>
    <n v="22819.5039135273"/>
    <n v="8329118.9284374602"/>
  </r>
  <r>
    <x v="0"/>
    <x v="0"/>
    <x v="2"/>
    <x v="6"/>
    <x v="0"/>
    <x v="0"/>
    <x v="0"/>
    <n v="3250.9400500245501"/>
    <n v="1186593.1182589601"/>
  </r>
  <r>
    <x v="0"/>
    <x v="0"/>
    <x v="2"/>
    <x v="6"/>
    <x v="0"/>
    <x v="0"/>
    <x v="1"/>
    <n v="3148.06220034023"/>
    <n v="1149042.70312418"/>
  </r>
  <r>
    <x v="0"/>
    <x v="0"/>
    <x v="2"/>
    <x v="6"/>
    <x v="0"/>
    <x v="0"/>
    <x v="2"/>
    <n v="3164.5226562897201"/>
    <n v="1155050.76954575"/>
  </r>
  <r>
    <x v="0"/>
    <x v="0"/>
    <x v="2"/>
    <x v="6"/>
    <x v="0"/>
    <x v="0"/>
    <x v="3"/>
    <n v="3265.7544603790898"/>
    <n v="1192000.3780383701"/>
  </r>
  <r>
    <x v="0"/>
    <x v="0"/>
    <x v="2"/>
    <x v="6"/>
    <x v="0"/>
    <x v="0"/>
    <x v="4"/>
    <n v="3336.5344209619002"/>
    <n v="1217835.0636511"/>
  </r>
  <r>
    <x v="0"/>
    <x v="0"/>
    <x v="2"/>
    <x v="6"/>
    <x v="0"/>
    <x v="0"/>
    <x v="5"/>
    <n v="3556.2815078876101"/>
    <n v="1298042.7503789801"/>
  </r>
  <r>
    <x v="0"/>
    <x v="0"/>
    <x v="2"/>
    <x v="6"/>
    <x v="0"/>
    <x v="0"/>
    <x v="6"/>
    <n v="4060.7944827395299"/>
    <n v="1482189.9861999301"/>
  </r>
  <r>
    <x v="0"/>
    <x v="0"/>
    <x v="2"/>
    <x v="6"/>
    <x v="0"/>
    <x v="0"/>
    <x v="7"/>
    <n v="4576.0067539586098"/>
    <n v="1670242.46519489"/>
  </r>
  <r>
    <x v="0"/>
    <x v="0"/>
    <x v="2"/>
    <x v="6"/>
    <x v="0"/>
    <x v="0"/>
    <x v="8"/>
    <n v="4639.3795093641502"/>
    <n v="1693373.5209179099"/>
  </r>
  <r>
    <x v="0"/>
    <x v="0"/>
    <x v="2"/>
    <x v="6"/>
    <x v="0"/>
    <x v="0"/>
    <x v="9"/>
    <n v="4522.5102721227604"/>
    <n v="1650716.24932481"/>
  </r>
  <r>
    <x v="0"/>
    <x v="0"/>
    <x v="2"/>
    <x v="6"/>
    <x v="0"/>
    <x v="0"/>
    <x v="10"/>
    <n v="4357.0826898303703"/>
    <n v="1590335.1817880899"/>
  </r>
  <r>
    <x v="0"/>
    <x v="0"/>
    <x v="2"/>
    <x v="6"/>
    <x v="0"/>
    <x v="0"/>
    <x v="11"/>
    <n v="4233.6292702091896"/>
    <n v="1545274.68362635"/>
  </r>
  <r>
    <x v="0"/>
    <x v="0"/>
    <x v="2"/>
    <x v="6"/>
    <x v="0"/>
    <x v="0"/>
    <x v="12"/>
    <n v="4097.0074858284097"/>
    <n v="1495407.73232737"/>
  </r>
  <r>
    <x v="0"/>
    <x v="0"/>
    <x v="2"/>
    <x v="6"/>
    <x v="0"/>
    <x v="0"/>
    <x v="13"/>
    <n v="3984.2533625743899"/>
    <n v="1454252.47733965"/>
  </r>
  <r>
    <x v="0"/>
    <x v="0"/>
    <x v="2"/>
    <x v="6"/>
    <x v="0"/>
    <x v="0"/>
    <x v="14"/>
    <n v="3925.8187439537001"/>
    <n v="1432923.8415431001"/>
  </r>
  <r>
    <x v="0"/>
    <x v="0"/>
    <x v="2"/>
    <x v="6"/>
    <x v="0"/>
    <x v="0"/>
    <x v="15"/>
    <n v="3904.4201512193599"/>
    <n v="1425113.3551950699"/>
  </r>
  <r>
    <x v="0"/>
    <x v="0"/>
    <x v="2"/>
    <x v="6"/>
    <x v="0"/>
    <x v="0"/>
    <x v="16"/>
    <n v="4004.0059097137801"/>
    <n v="1461462.1570455299"/>
  </r>
  <r>
    <x v="0"/>
    <x v="0"/>
    <x v="2"/>
    <x v="6"/>
    <x v="0"/>
    <x v="0"/>
    <x v="17"/>
    <n v="4066.55564232185"/>
    <n v="1484292.8094474699"/>
  </r>
  <r>
    <x v="0"/>
    <x v="0"/>
    <x v="2"/>
    <x v="6"/>
    <x v="0"/>
    <x v="0"/>
    <x v="18"/>
    <n v="4235.2753158041296"/>
    <n v="1545875.4902685101"/>
  </r>
  <r>
    <x v="0"/>
    <x v="0"/>
    <x v="2"/>
    <x v="6"/>
    <x v="0"/>
    <x v="0"/>
    <x v="19"/>
    <n v="4371.8971001849104"/>
    <n v="1595742.4415674901"/>
  </r>
  <r>
    <x v="0"/>
    <x v="0"/>
    <x v="2"/>
    <x v="6"/>
    <x v="0"/>
    <x v="0"/>
    <x v="20"/>
    <n v="4270.6652960955398"/>
    <n v="1558792.8330748701"/>
  </r>
  <r>
    <x v="0"/>
    <x v="0"/>
    <x v="2"/>
    <x v="6"/>
    <x v="0"/>
    <x v="0"/>
    <x v="21"/>
    <n v="4084.6621438662901"/>
    <n v="1490901.6825112"/>
  </r>
  <r>
    <x v="0"/>
    <x v="0"/>
    <x v="2"/>
    <x v="6"/>
    <x v="0"/>
    <x v="0"/>
    <x v="22"/>
    <n v="3842.69344140876"/>
    <n v="1402583.1061142001"/>
  </r>
  <r>
    <x v="0"/>
    <x v="0"/>
    <x v="2"/>
    <x v="6"/>
    <x v="0"/>
    <x v="0"/>
    <x v="23"/>
    <n v="3569.4498726472102"/>
    <n v="1302849.20351623"/>
  </r>
  <r>
    <x v="0"/>
    <x v="0"/>
    <x v="2"/>
    <x v="7"/>
    <x v="0"/>
    <x v="0"/>
    <x v="0"/>
    <n v="3310.1059995812898"/>
    <n v="1208188.6898471699"/>
  </r>
  <r>
    <x v="0"/>
    <x v="0"/>
    <x v="2"/>
    <x v="7"/>
    <x v="0"/>
    <x v="0"/>
    <x v="1"/>
    <n v="3187.3117447581199"/>
    <n v="1163368.7868367101"/>
  </r>
  <r>
    <x v="0"/>
    <x v="0"/>
    <x v="2"/>
    <x v="7"/>
    <x v="0"/>
    <x v="0"/>
    <x v="2"/>
    <n v="3220.23484206579"/>
    <n v="1175385.7173540101"/>
  </r>
  <r>
    <x v="0"/>
    <x v="0"/>
    <x v="2"/>
    <x v="7"/>
    <x v="0"/>
    <x v="0"/>
    <x v="3"/>
    <n v="3279.8523425958701"/>
    <n v="1197146.10504749"/>
  </r>
  <r>
    <x v="0"/>
    <x v="0"/>
    <x v="2"/>
    <x v="7"/>
    <x v="0"/>
    <x v="0"/>
    <x v="4"/>
    <n v="3336.8004028037199"/>
    <n v="1217932.14702336"/>
  </r>
  <r>
    <x v="0"/>
    <x v="0"/>
    <x v="2"/>
    <x v="7"/>
    <x v="0"/>
    <x v="0"/>
    <x v="5"/>
    <n v="3430.2308140822302"/>
    <n v="1252034.2471400099"/>
  </r>
  <r>
    <x v="0"/>
    <x v="0"/>
    <x v="2"/>
    <x v="7"/>
    <x v="0"/>
    <x v="0"/>
    <x v="6"/>
    <n v="3795.0543247887699"/>
    <n v="1385194.8285479001"/>
  </r>
  <r>
    <x v="0"/>
    <x v="0"/>
    <x v="2"/>
    <x v="7"/>
    <x v="0"/>
    <x v="0"/>
    <x v="7"/>
    <n v="4160.7676489360601"/>
    <n v="1518680.19186166"/>
  </r>
  <r>
    <x v="0"/>
    <x v="0"/>
    <x v="2"/>
    <x v="7"/>
    <x v="0"/>
    <x v="0"/>
    <x v="8"/>
    <n v="4166.9963430212902"/>
    <n v="1520953.6652027699"/>
  </r>
  <r>
    <x v="0"/>
    <x v="0"/>
    <x v="2"/>
    <x v="7"/>
    <x v="0"/>
    <x v="0"/>
    <x v="9"/>
    <n v="4140.3019397988601"/>
    <n v="1511210.20802658"/>
  </r>
  <r>
    <x v="0"/>
    <x v="0"/>
    <x v="2"/>
    <x v="7"/>
    <x v="0"/>
    <x v="0"/>
    <x v="10"/>
    <n v="4078.9048123872799"/>
    <n v="1488800.25652136"/>
  </r>
  <r>
    <x v="0"/>
    <x v="0"/>
    <x v="2"/>
    <x v="7"/>
    <x v="0"/>
    <x v="0"/>
    <x v="11"/>
    <n v="4003.2706699237301"/>
    <n v="1461193.79452216"/>
  </r>
  <r>
    <x v="0"/>
    <x v="0"/>
    <x v="2"/>
    <x v="7"/>
    <x v="0"/>
    <x v="0"/>
    <x v="12"/>
    <n v="3934.7550349861499"/>
    <n v="1436185.58776995"/>
  </r>
  <r>
    <x v="0"/>
    <x v="0"/>
    <x v="2"/>
    <x v="7"/>
    <x v="0"/>
    <x v="0"/>
    <x v="13"/>
    <n v="3901.8319376784898"/>
    <n v="1424168.65725265"/>
  </r>
  <r>
    <x v="0"/>
    <x v="0"/>
    <x v="2"/>
    <x v="7"/>
    <x v="0"/>
    <x v="0"/>
    <x v="14"/>
    <n v="3875.1375344560602"/>
    <n v="1414425.2000764599"/>
  </r>
  <r>
    <x v="0"/>
    <x v="0"/>
    <x v="2"/>
    <x v="7"/>
    <x v="0"/>
    <x v="0"/>
    <x v="15"/>
    <n v="3850.2227581151301"/>
    <n v="1405331.30671202"/>
  </r>
  <r>
    <x v="0"/>
    <x v="0"/>
    <x v="2"/>
    <x v="7"/>
    <x v="0"/>
    <x v="0"/>
    <x v="16"/>
    <n v="3863.5699597263501"/>
    <n v="1410203.03530012"/>
  </r>
  <r>
    <x v="0"/>
    <x v="0"/>
    <x v="2"/>
    <x v="7"/>
    <x v="0"/>
    <x v="0"/>
    <x v="17"/>
    <n v="3888.4847360672802"/>
    <n v="1419296.92866456"/>
  </r>
  <r>
    <x v="0"/>
    <x v="0"/>
    <x v="2"/>
    <x v="7"/>
    <x v="0"/>
    <x v="0"/>
    <x v="18"/>
    <n v="4017.5076849756902"/>
    <n v="1466390.30501613"/>
  </r>
  <r>
    <x v="0"/>
    <x v="0"/>
    <x v="2"/>
    <x v="7"/>
    <x v="0"/>
    <x v="0"/>
    <x v="19"/>
    <n v="4098.4807080837199"/>
    <n v="1495945.45845056"/>
  </r>
  <r>
    <x v="0"/>
    <x v="0"/>
    <x v="2"/>
    <x v="7"/>
    <x v="0"/>
    <x v="0"/>
    <x v="20"/>
    <n v="4045.9817150796098"/>
    <n v="1476783.32600406"/>
  </r>
  <r>
    <x v="0"/>
    <x v="0"/>
    <x v="2"/>
    <x v="7"/>
    <x v="0"/>
    <x v="0"/>
    <x v="21"/>
    <n v="3899.1624973562398"/>
    <n v="1423194.3115350299"/>
  </r>
  <r>
    <x v="0"/>
    <x v="0"/>
    <x v="2"/>
    <x v="7"/>
    <x v="0"/>
    <x v="0"/>
    <x v="22"/>
    <n v="3752.3432796328898"/>
    <n v="1369605.2970660001"/>
  </r>
  <r>
    <x v="0"/>
    <x v="0"/>
    <x v="2"/>
    <x v="7"/>
    <x v="0"/>
    <x v="0"/>
    <x v="23"/>
    <n v="3533.44917320896"/>
    <n v="1289708.94822127"/>
  </r>
  <r>
    <x v="0"/>
    <x v="0"/>
    <x v="2"/>
    <x v="8"/>
    <x v="0"/>
    <x v="0"/>
    <x v="0"/>
    <n v="2511.73301407402"/>
    <n v="916782.55013701902"/>
  </r>
  <r>
    <x v="0"/>
    <x v="0"/>
    <x v="2"/>
    <x v="8"/>
    <x v="0"/>
    <x v="0"/>
    <x v="1"/>
    <n v="2478.4806418592002"/>
    <n v="904645.43427860795"/>
  </r>
  <r>
    <x v="0"/>
    <x v="0"/>
    <x v="2"/>
    <x v="8"/>
    <x v="0"/>
    <x v="0"/>
    <x v="2"/>
    <n v="2419.6235721991002"/>
    <n v="883162.60385267099"/>
  </r>
  <r>
    <x v="0"/>
    <x v="0"/>
    <x v="2"/>
    <x v="8"/>
    <x v="0"/>
    <x v="0"/>
    <x v="3"/>
    <n v="2442.5534376742899"/>
    <n v="891532.00475111499"/>
  </r>
  <r>
    <x v="0"/>
    <x v="0"/>
    <x v="2"/>
    <x v="8"/>
    <x v="0"/>
    <x v="0"/>
    <x v="4"/>
    <n v="2418.9871631614901"/>
    <n v="882930.31455394498"/>
  </r>
  <r>
    <x v="0"/>
    <x v="0"/>
    <x v="2"/>
    <x v="8"/>
    <x v="0"/>
    <x v="0"/>
    <x v="5"/>
    <n v="2486.1546342957299"/>
    <n v="907446.44151794002"/>
  </r>
  <r>
    <x v="0"/>
    <x v="0"/>
    <x v="2"/>
    <x v="8"/>
    <x v="0"/>
    <x v="0"/>
    <x v="6"/>
    <n v="2698.8707663422201"/>
    <n v="985087.82971491001"/>
  </r>
  <r>
    <x v="0"/>
    <x v="0"/>
    <x v="2"/>
    <x v="8"/>
    <x v="0"/>
    <x v="0"/>
    <x v="7"/>
    <n v="2927.2255738560102"/>
    <n v="1068437.3344574401"/>
  </r>
  <r>
    <x v="0"/>
    <x v="0"/>
    <x v="2"/>
    <x v="8"/>
    <x v="0"/>
    <x v="0"/>
    <x v="8"/>
    <n v="3069.5909933226699"/>
    <n v="1120400.7125627799"/>
  </r>
  <r>
    <x v="0"/>
    <x v="0"/>
    <x v="2"/>
    <x v="8"/>
    <x v="0"/>
    <x v="0"/>
    <x v="9"/>
    <n v="3024.81267923318"/>
    <n v="1104056.62792011"/>
  </r>
  <r>
    <x v="0"/>
    <x v="0"/>
    <x v="2"/>
    <x v="8"/>
    <x v="0"/>
    <x v="0"/>
    <x v="10"/>
    <n v="3044.0042397412399"/>
    <n v="1111061.5475055501"/>
  </r>
  <r>
    <x v="0"/>
    <x v="0"/>
    <x v="2"/>
    <x v="8"/>
    <x v="0"/>
    <x v="0"/>
    <x v="11"/>
    <n v="2942.4814468946802"/>
    <n v="1074005.72811656"/>
  </r>
  <r>
    <x v="0"/>
    <x v="0"/>
    <x v="2"/>
    <x v="8"/>
    <x v="0"/>
    <x v="0"/>
    <x v="12"/>
    <n v="2766.9976360632199"/>
    <n v="1009954.13716307"/>
  </r>
  <r>
    <x v="0"/>
    <x v="0"/>
    <x v="2"/>
    <x v="8"/>
    <x v="0"/>
    <x v="0"/>
    <x v="13"/>
    <n v="2709.03656333764"/>
    <n v="988798.34561823704"/>
  </r>
  <r>
    <x v="0"/>
    <x v="0"/>
    <x v="2"/>
    <x v="8"/>
    <x v="0"/>
    <x v="0"/>
    <x v="14"/>
    <n v="2741.20153740363"/>
    <n v="1000538.56115232"/>
  </r>
  <r>
    <x v="0"/>
    <x v="0"/>
    <x v="2"/>
    <x v="8"/>
    <x v="0"/>
    <x v="0"/>
    <x v="15"/>
    <n v="2774.4407507849701"/>
    <n v="1012670.87403651"/>
  </r>
  <r>
    <x v="0"/>
    <x v="0"/>
    <x v="2"/>
    <x v="8"/>
    <x v="0"/>
    <x v="0"/>
    <x v="16"/>
    <n v="2775.8056806945701"/>
    <n v="1013169.07345352"/>
  </r>
  <r>
    <x v="0"/>
    <x v="0"/>
    <x v="2"/>
    <x v="8"/>
    <x v="0"/>
    <x v="0"/>
    <x v="17"/>
    <n v="2772.6487569159299"/>
    <n v="1012016.79627431"/>
  </r>
  <r>
    <x v="0"/>
    <x v="0"/>
    <x v="2"/>
    <x v="8"/>
    <x v="0"/>
    <x v="0"/>
    <x v="18"/>
    <n v="2809.29132313935"/>
    <n v="1025391.33294586"/>
  </r>
  <r>
    <x v="0"/>
    <x v="0"/>
    <x v="2"/>
    <x v="8"/>
    <x v="0"/>
    <x v="0"/>
    <x v="19"/>
    <n v="2903.7717475566301"/>
    <n v="1059876.6878581699"/>
  </r>
  <r>
    <x v="0"/>
    <x v="0"/>
    <x v="2"/>
    <x v="8"/>
    <x v="0"/>
    <x v="0"/>
    <x v="20"/>
    <n v="2934.8206132916398"/>
    <n v="1071209.5238514501"/>
  </r>
  <r>
    <x v="0"/>
    <x v="0"/>
    <x v="2"/>
    <x v="8"/>
    <x v="0"/>
    <x v="0"/>
    <x v="21"/>
    <n v="2880.1947067255301"/>
    <n v="1051271.0679548201"/>
  </r>
  <r>
    <x v="0"/>
    <x v="0"/>
    <x v="2"/>
    <x v="8"/>
    <x v="0"/>
    <x v="0"/>
    <x v="22"/>
    <n v="2712.5679157417899"/>
    <n v="990087.28924575204"/>
  </r>
  <r>
    <x v="0"/>
    <x v="0"/>
    <x v="2"/>
    <x v="8"/>
    <x v="0"/>
    <x v="0"/>
    <x v="23"/>
    <n v="2492.6443317186599"/>
    <n v="909815.18107731105"/>
  </r>
  <r>
    <x v="0"/>
    <x v="0"/>
    <x v="2"/>
    <x v="9"/>
    <x v="0"/>
    <x v="0"/>
    <x v="0"/>
    <n v="1943.41364735361"/>
    <n v="709345.98128406901"/>
  </r>
  <r>
    <x v="0"/>
    <x v="0"/>
    <x v="2"/>
    <x v="9"/>
    <x v="0"/>
    <x v="0"/>
    <x v="1"/>
    <n v="1923.2461472395701"/>
    <n v="701984.84374244197"/>
  </r>
  <r>
    <x v="0"/>
    <x v="0"/>
    <x v="2"/>
    <x v="9"/>
    <x v="0"/>
    <x v="0"/>
    <x v="2"/>
    <n v="1910.41228353063"/>
    <n v="697300.48348867905"/>
  </r>
  <r>
    <x v="0"/>
    <x v="0"/>
    <x v="2"/>
    <x v="9"/>
    <x v="0"/>
    <x v="0"/>
    <x v="3"/>
    <n v="1881.99444246083"/>
    <n v="686927.97149820498"/>
  </r>
  <r>
    <x v="0"/>
    <x v="0"/>
    <x v="2"/>
    <x v="9"/>
    <x v="0"/>
    <x v="0"/>
    <x v="4"/>
    <n v="1910.41228353063"/>
    <n v="697300.48348867905"/>
  </r>
  <r>
    <x v="0"/>
    <x v="0"/>
    <x v="2"/>
    <x v="9"/>
    <x v="0"/>
    <x v="0"/>
    <x v="5"/>
    <n v="1896.6617152710501"/>
    <n v="692281.52607393404"/>
  </r>
  <r>
    <x v="0"/>
    <x v="0"/>
    <x v="2"/>
    <x v="9"/>
    <x v="0"/>
    <x v="0"/>
    <x v="6"/>
    <n v="2014.9166023034199"/>
    <n v="735444.55984074704"/>
  </r>
  <r>
    <x v="0"/>
    <x v="0"/>
    <x v="2"/>
    <x v="9"/>
    <x v="0"/>
    <x v="0"/>
    <x v="7"/>
    <n v="2245.0094445136801"/>
    <n v="819428.44724749296"/>
  </r>
  <r>
    <x v="0"/>
    <x v="0"/>
    <x v="2"/>
    <x v="9"/>
    <x v="0"/>
    <x v="0"/>
    <x v="8"/>
    <n v="2259.6767173239"/>
    <n v="824782.00182322203"/>
  </r>
  <r>
    <x v="0"/>
    <x v="0"/>
    <x v="2"/>
    <x v="9"/>
    <x v="0"/>
    <x v="0"/>
    <x v="9"/>
    <n v="2209.25796703878"/>
    <n v="806379.15796915395"/>
  </r>
  <r>
    <x v="0"/>
    <x v="0"/>
    <x v="2"/>
    <x v="9"/>
    <x v="0"/>
    <x v="0"/>
    <x v="10"/>
    <n v="2168.0062622600499"/>
    <n v="791322.28572491696"/>
  </r>
  <r>
    <x v="0"/>
    <x v="0"/>
    <x v="2"/>
    <x v="9"/>
    <x v="0"/>
    <x v="0"/>
    <x v="11"/>
    <n v="2124.92114838004"/>
    <n v="775596.21915871301"/>
  </r>
  <r>
    <x v="0"/>
    <x v="0"/>
    <x v="2"/>
    <x v="9"/>
    <x v="0"/>
    <x v="0"/>
    <x v="12"/>
    <n v="2017.6667159553299"/>
    <n v="736448.35132369597"/>
  </r>
  <r>
    <x v="0"/>
    <x v="0"/>
    <x v="2"/>
    <x v="9"/>
    <x v="0"/>
    <x v="0"/>
    <x v="13"/>
    <n v="2042.4177388225701"/>
    <n v="745482.47467023903"/>
  </r>
  <r>
    <x v="0"/>
    <x v="0"/>
    <x v="2"/>
    <x v="9"/>
    <x v="0"/>
    <x v="0"/>
    <x v="14"/>
    <n v="2003.9161476957499"/>
    <n v="731429.39390895097"/>
  </r>
  <r>
    <x v="0"/>
    <x v="0"/>
    <x v="2"/>
    <x v="9"/>
    <x v="0"/>
    <x v="0"/>
    <x v="15"/>
    <n v="2053.4181934302301"/>
    <n v="749497.64060203498"/>
  </r>
  <r>
    <x v="0"/>
    <x v="0"/>
    <x v="2"/>
    <x v="9"/>
    <x v="0"/>
    <x v="0"/>
    <x v="16"/>
    <n v="2029.58387511363"/>
    <n v="740798.11441647599"/>
  </r>
  <r>
    <x v="0"/>
    <x v="0"/>
    <x v="2"/>
    <x v="9"/>
    <x v="0"/>
    <x v="0"/>
    <x v="17"/>
    <n v="2036.0008069681001"/>
    <n v="743140.29454335698"/>
  </r>
  <r>
    <x v="0"/>
    <x v="0"/>
    <x v="2"/>
    <x v="9"/>
    <x v="0"/>
    <x v="0"/>
    <x v="18"/>
    <n v="2106.5870573672701"/>
    <n v="768904.27593905199"/>
  </r>
  <r>
    <x v="0"/>
    <x v="0"/>
    <x v="2"/>
    <x v="9"/>
    <x v="0"/>
    <x v="0"/>
    <x v="19"/>
    <n v="2150.5888757979101"/>
    <n v="784964.93966623896"/>
  </r>
  <r>
    <x v="0"/>
    <x v="0"/>
    <x v="2"/>
    <x v="9"/>
    <x v="0"/>
    <x v="0"/>
    <x v="20"/>
    <n v="2162.50603495621"/>
    <n v="789314.70275901898"/>
  </r>
  <r>
    <x v="0"/>
    <x v="0"/>
    <x v="2"/>
    <x v="9"/>
    <x v="0"/>
    <x v="0"/>
    <x v="21"/>
    <n v="2110.2538755698201"/>
    <n v="770242.66458298499"/>
  </r>
  <r>
    <x v="0"/>
    <x v="0"/>
    <x v="2"/>
    <x v="9"/>
    <x v="0"/>
    <x v="0"/>
    <x v="22"/>
    <n v="2089.1696709051398"/>
    <n v="762546.92988037399"/>
  </r>
  <r>
    <x v="0"/>
    <x v="0"/>
    <x v="2"/>
    <x v="9"/>
    <x v="0"/>
    <x v="0"/>
    <x v="23"/>
    <n v="1983.74864758171"/>
    <n v="724068.25636732299"/>
  </r>
  <r>
    <x v="0"/>
    <x v="0"/>
    <x v="2"/>
    <x v="10"/>
    <x v="0"/>
    <x v="0"/>
    <x v="0"/>
    <n v="1566.8146095294601"/>
    <n v="571887.33247825201"/>
  </r>
  <r>
    <x v="0"/>
    <x v="0"/>
    <x v="2"/>
    <x v="10"/>
    <x v="0"/>
    <x v="0"/>
    <x v="1"/>
    <n v="1532.2741950162001"/>
    <n v="559280.081180915"/>
  </r>
  <r>
    <x v="0"/>
    <x v="0"/>
    <x v="2"/>
    <x v="10"/>
    <x v="0"/>
    <x v="0"/>
    <x v="2"/>
    <n v="1529.5065567458601"/>
    <n v="558269.893212241"/>
  </r>
  <r>
    <x v="0"/>
    <x v="0"/>
    <x v="2"/>
    <x v="10"/>
    <x v="0"/>
    <x v="0"/>
    <x v="3"/>
    <n v="1556.02740189219"/>
    <n v="567950.00169065001"/>
  </r>
  <r>
    <x v="0"/>
    <x v="0"/>
    <x v="2"/>
    <x v="10"/>
    <x v="0"/>
    <x v="0"/>
    <x v="4"/>
    <n v="1576.8364373300799"/>
    <n v="575545.29962548101"/>
  </r>
  <r>
    <x v="0"/>
    <x v="0"/>
    <x v="2"/>
    <x v="10"/>
    <x v="0"/>
    <x v="0"/>
    <x v="5"/>
    <n v="1602.0654328729599"/>
    <n v="584753.88299863006"/>
  </r>
  <r>
    <x v="0"/>
    <x v="0"/>
    <x v="2"/>
    <x v="10"/>
    <x v="0"/>
    <x v="0"/>
    <x v="6"/>
    <n v="1731.0383186333599"/>
    <n v="631828.98630117695"/>
  </r>
  <r>
    <x v="0"/>
    <x v="0"/>
    <x v="2"/>
    <x v="10"/>
    <x v="0"/>
    <x v="0"/>
    <x v="7"/>
    <n v="1883.75068399475"/>
    <n v="687568.99965808296"/>
  </r>
  <r>
    <x v="0"/>
    <x v="0"/>
    <x v="2"/>
    <x v="10"/>
    <x v="0"/>
    <x v="0"/>
    <x v="8"/>
    <n v="1929.1893326744801"/>
    <n v="704154.106426185"/>
  </r>
  <r>
    <x v="0"/>
    <x v="0"/>
    <x v="2"/>
    <x v="10"/>
    <x v="0"/>
    <x v="0"/>
    <x v="9"/>
    <n v="1837.81940338391"/>
    <n v="670804.08223512606"/>
  </r>
  <r>
    <x v="0"/>
    <x v="0"/>
    <x v="2"/>
    <x v="10"/>
    <x v="0"/>
    <x v="0"/>
    <x v="10"/>
    <n v="1871.28472258285"/>
    <n v="683018.923742741"/>
  </r>
  <r>
    <x v="0"/>
    <x v="0"/>
    <x v="2"/>
    <x v="10"/>
    <x v="0"/>
    <x v="0"/>
    <x v="11"/>
    <n v="1846.0292950999899"/>
    <n v="673800.69271149801"/>
  </r>
  <r>
    <x v="0"/>
    <x v="0"/>
    <x v="2"/>
    <x v="10"/>
    <x v="0"/>
    <x v="0"/>
    <x v="12"/>
    <n v="1813.31352133627"/>
    <n v="661859.43528773997"/>
  </r>
  <r>
    <x v="0"/>
    <x v="0"/>
    <x v="2"/>
    <x v="10"/>
    <x v="0"/>
    <x v="0"/>
    <x v="13"/>
    <n v="1794.2456165751"/>
    <n v="654899.65004991204"/>
  </r>
  <r>
    <x v="0"/>
    <x v="0"/>
    <x v="2"/>
    <x v="10"/>
    <x v="0"/>
    <x v="0"/>
    <x v="14"/>
    <n v="1785.08008457964"/>
    <n v="651554.23087156902"/>
  </r>
  <r>
    <x v="0"/>
    <x v="0"/>
    <x v="2"/>
    <x v="10"/>
    <x v="0"/>
    <x v="0"/>
    <x v="15"/>
    <n v="1782.2913131385999"/>
    <n v="650536.32929558796"/>
  </r>
  <r>
    <x v="0"/>
    <x v="0"/>
    <x v="2"/>
    <x v="10"/>
    <x v="0"/>
    <x v="0"/>
    <x v="16"/>
    <n v="1779.59556479249"/>
    <n v="649552.381149258"/>
  </r>
  <r>
    <x v="0"/>
    <x v="0"/>
    <x v="2"/>
    <x v="10"/>
    <x v="0"/>
    <x v="0"/>
    <x v="17"/>
    <n v="1794.80062540831"/>
    <n v="655102.22827403399"/>
  </r>
  <r>
    <x v="0"/>
    <x v="0"/>
    <x v="2"/>
    <x v="10"/>
    <x v="0"/>
    <x v="0"/>
    <x v="18"/>
    <n v="1829.82415883053"/>
    <n v="667885.81797314505"/>
  </r>
  <r>
    <x v="0"/>
    <x v="0"/>
    <x v="2"/>
    <x v="10"/>
    <x v="0"/>
    <x v="0"/>
    <x v="19"/>
    <n v="1859.2246913864201"/>
    <n v="678617.01235604205"/>
  </r>
  <r>
    <x v="0"/>
    <x v="0"/>
    <x v="2"/>
    <x v="10"/>
    <x v="0"/>
    <x v="0"/>
    <x v="20"/>
    <n v="1843.22571186753"/>
    <n v="672777.38483164902"/>
  </r>
  <r>
    <x v="0"/>
    <x v="0"/>
    <x v="2"/>
    <x v="10"/>
    <x v="0"/>
    <x v="0"/>
    <x v="21"/>
    <n v="1797.9530607234101"/>
    <n v="656252.86716404499"/>
  </r>
  <r>
    <x v="0"/>
    <x v="0"/>
    <x v="2"/>
    <x v="10"/>
    <x v="0"/>
    <x v="0"/>
    <x v="22"/>
    <n v="1731.27301445035"/>
    <n v="631914.65027437801"/>
  </r>
  <r>
    <x v="0"/>
    <x v="0"/>
    <x v="2"/>
    <x v="10"/>
    <x v="0"/>
    <x v="0"/>
    <x v="23"/>
    <n v="1634.10884989497"/>
    <n v="596449.73021166597"/>
  </r>
  <r>
    <x v="0"/>
    <x v="0"/>
    <x v="3"/>
    <x v="11"/>
    <x v="0"/>
    <x v="0"/>
    <x v="0"/>
    <n v="772.53032291414797"/>
    <n v="281973.56786366401"/>
  </r>
  <r>
    <x v="0"/>
    <x v="0"/>
    <x v="3"/>
    <x v="11"/>
    <x v="0"/>
    <x v="0"/>
    <x v="1"/>
    <n v="695.47486871043498"/>
    <n v="253848.32707930901"/>
  </r>
  <r>
    <x v="0"/>
    <x v="0"/>
    <x v="3"/>
    <x v="11"/>
    <x v="0"/>
    <x v="0"/>
    <x v="2"/>
    <n v="807.43578507480402"/>
    <n v="294714.06155230402"/>
  </r>
  <r>
    <x v="0"/>
    <x v="0"/>
    <x v="3"/>
    <x v="11"/>
    <x v="0"/>
    <x v="0"/>
    <x v="3"/>
    <n v="836.41390460440596"/>
    <n v="305291.07518060802"/>
  </r>
  <r>
    <x v="0"/>
    <x v="0"/>
    <x v="3"/>
    <x v="11"/>
    <x v="0"/>
    <x v="0"/>
    <x v="4"/>
    <n v="823.90062571662304"/>
    <n v="300723.72838656802"/>
  </r>
  <r>
    <x v="0"/>
    <x v="0"/>
    <x v="3"/>
    <x v="11"/>
    <x v="0"/>
    <x v="0"/>
    <x v="5"/>
    <n v="905.56623530004595"/>
    <n v="330531.67588451703"/>
  </r>
  <r>
    <x v="0"/>
    <x v="0"/>
    <x v="3"/>
    <x v="11"/>
    <x v="0"/>
    <x v="0"/>
    <x v="6"/>
    <n v="1003.69668552529"/>
    <n v="366349.29021672998"/>
  </r>
  <r>
    <x v="0"/>
    <x v="0"/>
    <x v="3"/>
    <x v="11"/>
    <x v="0"/>
    <x v="0"/>
    <x v="7"/>
    <n v="1247.37632702421"/>
    <n v="455292.359363836"/>
  </r>
  <r>
    <x v="0"/>
    <x v="0"/>
    <x v="3"/>
    <x v="11"/>
    <x v="0"/>
    <x v="0"/>
    <x v="8"/>
    <n v="1153.197438553"/>
    <n v="420917.06507184601"/>
  </r>
  <r>
    <x v="0"/>
    <x v="0"/>
    <x v="3"/>
    <x v="11"/>
    <x v="0"/>
    <x v="0"/>
    <x v="9"/>
    <n v="1160.4419684354"/>
    <n v="423561.31847892201"/>
  </r>
  <r>
    <x v="0"/>
    <x v="0"/>
    <x v="3"/>
    <x v="11"/>
    <x v="0"/>
    <x v="0"/>
    <x v="10"/>
    <n v="1163.7349365637699"/>
    <n v="424763.251845775"/>
  </r>
  <r>
    <x v="0"/>
    <x v="0"/>
    <x v="3"/>
    <x v="11"/>
    <x v="0"/>
    <x v="0"/>
    <x v="11"/>
    <n v="1169.66227919482"/>
    <n v="426926.73190611001"/>
  </r>
  <r>
    <x v="0"/>
    <x v="0"/>
    <x v="3"/>
    <x v="11"/>
    <x v="0"/>
    <x v="0"/>
    <x v="12"/>
    <n v="1089.97245048842"/>
    <n v="397839.94442827301"/>
  </r>
  <r>
    <x v="0"/>
    <x v="0"/>
    <x v="3"/>
    <x v="11"/>
    <x v="0"/>
    <x v="0"/>
    <x v="13"/>
    <n v="1138.04978516253"/>
    <n v="415388.17158432299"/>
  </r>
  <r>
    <x v="0"/>
    <x v="0"/>
    <x v="3"/>
    <x v="11"/>
    <x v="0"/>
    <x v="0"/>
    <x v="14"/>
    <n v="1133.43962978282"/>
    <n v="413705.46487073001"/>
  </r>
  <r>
    <x v="0"/>
    <x v="0"/>
    <x v="3"/>
    <x v="11"/>
    <x v="0"/>
    <x v="0"/>
    <x v="15"/>
    <n v="1073.5076098466"/>
    <n v="391830.27759400901"/>
  </r>
  <r>
    <x v="0"/>
    <x v="0"/>
    <x v="3"/>
    <x v="11"/>
    <x v="0"/>
    <x v="0"/>
    <x v="16"/>
    <n v="1103.1443230018699"/>
    <n v="402647.67789568403"/>
  </r>
  <r>
    <x v="0"/>
    <x v="0"/>
    <x v="3"/>
    <x v="11"/>
    <x v="0"/>
    <x v="0"/>
    <x v="17"/>
    <n v="1122.2435381463799"/>
    <n v="409618.89142343"/>
  </r>
  <r>
    <x v="0"/>
    <x v="0"/>
    <x v="3"/>
    <x v="11"/>
    <x v="0"/>
    <x v="0"/>
    <x v="18"/>
    <n v="1140.68415966522"/>
    <n v="416349.71827780601"/>
  </r>
  <r>
    <x v="0"/>
    <x v="0"/>
    <x v="3"/>
    <x v="11"/>
    <x v="0"/>
    <x v="0"/>
    <x v="19"/>
    <n v="1126.19509990042"/>
    <n v="411061.21146365302"/>
  </r>
  <r>
    <x v="0"/>
    <x v="0"/>
    <x v="3"/>
    <x v="11"/>
    <x v="0"/>
    <x v="0"/>
    <x v="20"/>
    <n v="1129.4880680287799"/>
    <n v="412263.144830506"/>
  </r>
  <r>
    <x v="0"/>
    <x v="0"/>
    <x v="3"/>
    <x v="11"/>
    <x v="0"/>
    <x v="0"/>
    <x v="21"/>
    <n v="1111.0474465099501"/>
    <n v="405532.31797613099"/>
  </r>
  <r>
    <x v="0"/>
    <x v="0"/>
    <x v="3"/>
    <x v="11"/>
    <x v="0"/>
    <x v="0"/>
    <x v="22"/>
    <n v="1045.1880839426699"/>
    <n v="381493.65063907497"/>
  </r>
  <r>
    <x v="0"/>
    <x v="0"/>
    <x v="3"/>
    <x v="11"/>
    <x v="0"/>
    <x v="0"/>
    <x v="23"/>
    <n v="935.20294845531998"/>
    <n v="341349.07618619199"/>
  </r>
  <r>
    <x v="0"/>
    <x v="0"/>
    <x v="3"/>
    <x v="12"/>
    <x v="0"/>
    <x v="0"/>
    <x v="0"/>
    <n v="1886.3710133247901"/>
    <n v="688525.41986354697"/>
  </r>
  <r>
    <x v="0"/>
    <x v="0"/>
    <x v="3"/>
    <x v="12"/>
    <x v="0"/>
    <x v="0"/>
    <x v="1"/>
    <n v="1795.0949965510099"/>
    <n v="655209.67374111805"/>
  </r>
  <r>
    <x v="0"/>
    <x v="0"/>
    <x v="3"/>
    <x v="12"/>
    <x v="0"/>
    <x v="0"/>
    <x v="2"/>
    <n v="1797.1233524793099"/>
    <n v="655950.02365494904"/>
  </r>
  <r>
    <x v="0"/>
    <x v="0"/>
    <x v="3"/>
    <x v="12"/>
    <x v="0"/>
    <x v="0"/>
    <x v="3"/>
    <n v="1789.0099287660901"/>
    <n v="652988.62399962195"/>
  </r>
  <r>
    <x v="0"/>
    <x v="0"/>
    <x v="3"/>
    <x v="12"/>
    <x v="0"/>
    <x v="0"/>
    <x v="4"/>
    <n v="1723.08836109614"/>
    <n v="628927.25180008996"/>
  </r>
  <r>
    <x v="0"/>
    <x v="0"/>
    <x v="3"/>
    <x v="12"/>
    <x v="0"/>
    <x v="0"/>
    <x v="5"/>
    <n v="1625.72727653744"/>
    <n v="593390.45593616494"/>
  </r>
  <r>
    <x v="0"/>
    <x v="0"/>
    <x v="3"/>
    <x v="12"/>
    <x v="0"/>
    <x v="0"/>
    <x v="6"/>
    <n v="1745.4002763075"/>
    <n v="637071.10085223895"/>
  </r>
  <r>
    <x v="0"/>
    <x v="0"/>
    <x v="3"/>
    <x v="12"/>
    <x v="0"/>
    <x v="0"/>
    <x v="7"/>
    <n v="1834.6479371529799"/>
    <n v="669646.49706083699"/>
  </r>
  <r>
    <x v="0"/>
    <x v="0"/>
    <x v="3"/>
    <x v="12"/>
    <x v="0"/>
    <x v="0"/>
    <x v="8"/>
    <n v="1806.2509541566901"/>
    <n v="659281.59826719202"/>
  </r>
  <r>
    <x v="0"/>
    <x v="0"/>
    <x v="3"/>
    <x v="12"/>
    <x v="0"/>
    <x v="0"/>
    <x v="9"/>
    <n v="1901.5836827870801"/>
    <n v="694078.04421728605"/>
  </r>
  <r>
    <x v="0"/>
    <x v="0"/>
    <x v="3"/>
    <x v="12"/>
    <x v="0"/>
    <x v="0"/>
    <x v="10"/>
    <n v="1916.7963522493801"/>
    <n v="699630.66857102397"/>
  </r>
  <r>
    <x v="0"/>
    <x v="0"/>
    <x v="3"/>
    <x v="12"/>
    <x v="0"/>
    <x v="0"/>
    <x v="11"/>
    <n v="1945.1933352456699"/>
    <n v="709995.56736466906"/>
  </r>
  <r>
    <x v="0"/>
    <x v="0"/>
    <x v="3"/>
    <x v="12"/>
    <x v="0"/>
    <x v="0"/>
    <x v="12"/>
    <n v="1776.83979319625"/>
    <n v="648546.52451663197"/>
  </r>
  <r>
    <x v="0"/>
    <x v="0"/>
    <x v="3"/>
    <x v="12"/>
    <x v="0"/>
    <x v="0"/>
    <x v="13"/>
    <n v="1691.6488442073901"/>
    <n v="617451.82813569705"/>
  </r>
  <r>
    <x v="0"/>
    <x v="0"/>
    <x v="3"/>
    <x v="12"/>
    <x v="0"/>
    <x v="0"/>
    <x v="14"/>
    <n v="1746.4144542716599"/>
    <n v="637441.27580915496"/>
  </r>
  <r>
    <x v="0"/>
    <x v="0"/>
    <x v="3"/>
    <x v="12"/>
    <x v="0"/>
    <x v="0"/>
    <x v="15"/>
    <n v="1738.3010305584301"/>
    <n v="634479.87615382799"/>
  </r>
  <r>
    <x v="0"/>
    <x v="0"/>
    <x v="3"/>
    <x v="12"/>
    <x v="0"/>
    <x v="0"/>
    <x v="16"/>
    <n v="1704.8331577413801"/>
    <n v="622264.10257560399"/>
  </r>
  <r>
    <x v="0"/>
    <x v="0"/>
    <x v="3"/>
    <x v="12"/>
    <x v="0"/>
    <x v="0"/>
    <x v="17"/>
    <n v="1740.3293864867401"/>
    <n v="635220.22606766003"/>
  </r>
  <r>
    <x v="0"/>
    <x v="0"/>
    <x v="3"/>
    <x v="12"/>
    <x v="0"/>
    <x v="0"/>
    <x v="18"/>
    <n v="1762.6413016981101"/>
    <n v="643364.07511980901"/>
  </r>
  <r>
    <x v="0"/>
    <x v="0"/>
    <x v="3"/>
    <x v="12"/>
    <x v="0"/>
    <x v="0"/>
    <x v="19"/>
    <n v="1895.49861500217"/>
    <n v="691856.99447578995"/>
  </r>
  <r>
    <x v="0"/>
    <x v="0"/>
    <x v="3"/>
    <x v="12"/>
    <x v="0"/>
    <x v="0"/>
    <x v="20"/>
    <n v="1837.6904710454401"/>
    <n v="670757.02193158504"/>
  </r>
  <r>
    <x v="0"/>
    <x v="0"/>
    <x v="3"/>
    <x v="12"/>
    <x v="0"/>
    <x v="0"/>
    <x v="21"/>
    <n v="1811.32184397746"/>
    <n v="661132.47305177199"/>
  </r>
  <r>
    <x v="0"/>
    <x v="0"/>
    <x v="3"/>
    <x v="12"/>
    <x v="0"/>
    <x v="0"/>
    <x v="22"/>
    <n v="1680.4928866017101"/>
    <n v="613379.90360962297"/>
  </r>
  <r>
    <x v="0"/>
    <x v="0"/>
    <x v="3"/>
    <x v="12"/>
    <x v="0"/>
    <x v="0"/>
    <x v="23"/>
    <n v="1807.26513212084"/>
    <n v="659651.77322410804"/>
  </r>
  <r>
    <x v="0"/>
    <x v="0"/>
    <x v="3"/>
    <x v="13"/>
    <x v="0"/>
    <x v="0"/>
    <x v="0"/>
    <n v="7579.8348768910801"/>
    <n v="2766639.7300652498"/>
  </r>
  <r>
    <x v="0"/>
    <x v="0"/>
    <x v="3"/>
    <x v="13"/>
    <x v="0"/>
    <x v="0"/>
    <x v="1"/>
    <n v="7478.2351012198596"/>
    <n v="2729555.8119452498"/>
  </r>
  <r>
    <x v="0"/>
    <x v="0"/>
    <x v="3"/>
    <x v="13"/>
    <x v="0"/>
    <x v="0"/>
    <x v="2"/>
    <n v="7369.2611482821803"/>
    <n v="2689780.3191229901"/>
  </r>
  <r>
    <x v="0"/>
    <x v="0"/>
    <x v="3"/>
    <x v="13"/>
    <x v="0"/>
    <x v="0"/>
    <x v="3"/>
    <n v="7443.8222739763796"/>
    <n v="2716995.1300013801"/>
  </r>
  <r>
    <x v="0"/>
    <x v="0"/>
    <x v="3"/>
    <x v="13"/>
    <x v="0"/>
    <x v="0"/>
    <x v="4"/>
    <n v="7587.2090541575399"/>
    <n v="2769331.3047675001"/>
  </r>
  <r>
    <x v="0"/>
    <x v="0"/>
    <x v="3"/>
    <x v="13"/>
    <x v="0"/>
    <x v="0"/>
    <x v="5"/>
    <n v="7994.42750987205"/>
    <n v="2917966.0411033002"/>
  </r>
  <r>
    <x v="0"/>
    <x v="0"/>
    <x v="3"/>
    <x v="13"/>
    <x v="0"/>
    <x v="0"/>
    <x v="6"/>
    <n v="8981.7479105480597"/>
    <n v="3278337.9873500401"/>
  </r>
  <r>
    <x v="0"/>
    <x v="0"/>
    <x v="3"/>
    <x v="13"/>
    <x v="0"/>
    <x v="0"/>
    <x v="7"/>
    <n v="9989.5521369642302"/>
    <n v="3646186.5299919401"/>
  </r>
  <r>
    <x v="0"/>
    <x v="0"/>
    <x v="3"/>
    <x v="13"/>
    <x v="0"/>
    <x v="0"/>
    <x v="8"/>
    <n v="10303.364347303601"/>
    <n v="3760727.9867658098"/>
  </r>
  <r>
    <x v="0"/>
    <x v="0"/>
    <x v="3"/>
    <x v="13"/>
    <x v="0"/>
    <x v="0"/>
    <x v="9"/>
    <n v="10418.8931244781"/>
    <n v="3802895.9904345102"/>
  </r>
  <r>
    <x v="0"/>
    <x v="0"/>
    <x v="3"/>
    <x v="13"/>
    <x v="0"/>
    <x v="0"/>
    <x v="10"/>
    <n v="10431.183419922199"/>
    <n v="3807381.9482716098"/>
  </r>
  <r>
    <x v="0"/>
    <x v="0"/>
    <x v="3"/>
    <x v="13"/>
    <x v="0"/>
    <x v="0"/>
    <x v="11"/>
    <n v="10486.8994259355"/>
    <n v="3827718.2904664399"/>
  </r>
  <r>
    <x v="0"/>
    <x v="0"/>
    <x v="3"/>
    <x v="13"/>
    <x v="0"/>
    <x v="0"/>
    <x v="12"/>
    <n v="10408.241535093201"/>
    <n v="3799008.1603090302"/>
  </r>
  <r>
    <x v="0"/>
    <x v="0"/>
    <x v="3"/>
    <x v="13"/>
    <x v="0"/>
    <x v="0"/>
    <x v="13"/>
    <n v="10274.686991267299"/>
    <n v="3750260.75181258"/>
  </r>
  <r>
    <x v="0"/>
    <x v="0"/>
    <x v="3"/>
    <x v="13"/>
    <x v="0"/>
    <x v="0"/>
    <x v="14"/>
    <n v="10171.4485095369"/>
    <n v="3712578.7059809701"/>
  </r>
  <r>
    <x v="0"/>
    <x v="0"/>
    <x v="3"/>
    <x v="13"/>
    <x v="0"/>
    <x v="0"/>
    <x v="15"/>
    <n v="10074.764852043299"/>
    <n v="3677289.1709958101"/>
  </r>
  <r>
    <x v="0"/>
    <x v="0"/>
    <x v="3"/>
    <x v="13"/>
    <x v="0"/>
    <x v="0"/>
    <x v="16"/>
    <n v="9829.7782961909306"/>
    <n v="3587869.07810969"/>
  </r>
  <r>
    <x v="0"/>
    <x v="0"/>
    <x v="3"/>
    <x v="13"/>
    <x v="0"/>
    <x v="0"/>
    <x v="17"/>
    <n v="10120.648621701301"/>
    <n v="3694036.7469209698"/>
  </r>
  <r>
    <x v="0"/>
    <x v="0"/>
    <x v="3"/>
    <x v="13"/>
    <x v="0"/>
    <x v="0"/>
    <x v="18"/>
    <n v="10572.9314940442"/>
    <n v="3859119.9953261199"/>
  </r>
  <r>
    <x v="0"/>
    <x v="0"/>
    <x v="3"/>
    <x v="13"/>
    <x v="0"/>
    <x v="0"/>
    <x v="19"/>
    <n v="10659.782915182501"/>
    <n v="3890820.7640415998"/>
  </r>
  <r>
    <x v="0"/>
    <x v="0"/>
    <x v="3"/>
    <x v="13"/>
    <x v="0"/>
    <x v="0"/>
    <x v="20"/>
    <n v="10231.2612806982"/>
    <n v="3734410.3674548399"/>
  </r>
  <r>
    <x v="0"/>
    <x v="0"/>
    <x v="3"/>
    <x v="13"/>
    <x v="0"/>
    <x v="0"/>
    <x v="21"/>
    <n v="9753.5784644375199"/>
    <n v="3560056.1395196901"/>
  </r>
  <r>
    <x v="0"/>
    <x v="0"/>
    <x v="3"/>
    <x v="13"/>
    <x v="0"/>
    <x v="0"/>
    <x v="22"/>
    <n v="9146.43786949899"/>
    <n v="3338449.8223671298"/>
  </r>
  <r>
    <x v="0"/>
    <x v="0"/>
    <x v="3"/>
    <x v="13"/>
    <x v="0"/>
    <x v="0"/>
    <x v="23"/>
    <n v="8484.4006215768204"/>
    <n v="3096806.2268755399"/>
  </r>
  <r>
    <x v="0"/>
    <x v="0"/>
    <x v="3"/>
    <x v="14"/>
    <x v="0"/>
    <x v="0"/>
    <x v="0"/>
    <n v="2058.0596480959398"/>
    <n v="751191.77155501698"/>
  </r>
  <r>
    <x v="0"/>
    <x v="0"/>
    <x v="3"/>
    <x v="14"/>
    <x v="0"/>
    <x v="0"/>
    <x v="1"/>
    <n v="1953.1585495279401"/>
    <n v="712902.87057769799"/>
  </r>
  <r>
    <x v="0"/>
    <x v="0"/>
    <x v="3"/>
    <x v="14"/>
    <x v="0"/>
    <x v="0"/>
    <x v="2"/>
    <n v="1909.86603265861"/>
    <n v="697101.10192039202"/>
  </r>
  <r>
    <x v="0"/>
    <x v="0"/>
    <x v="3"/>
    <x v="14"/>
    <x v="0"/>
    <x v="0"/>
    <x v="3"/>
    <n v="1979.8000983706099"/>
    <n v="722627.03590527095"/>
  </r>
  <r>
    <x v="0"/>
    <x v="0"/>
    <x v="3"/>
    <x v="14"/>
    <x v="0"/>
    <x v="0"/>
    <x v="4"/>
    <n v="2081.37100333327"/>
    <n v="759700.41621664295"/>
  </r>
  <r>
    <x v="0"/>
    <x v="0"/>
    <x v="3"/>
    <x v="14"/>
    <x v="0"/>
    <x v="0"/>
    <x v="5"/>
    <n v="2262.0340064226002"/>
    <n v="825642.41234424803"/>
  </r>
  <r>
    <x v="0"/>
    <x v="0"/>
    <x v="3"/>
    <x v="14"/>
    <x v="0"/>
    <x v="0"/>
    <x v="6"/>
    <n v="2553.4259468892601"/>
    <n v="932000.47061457799"/>
  </r>
  <r>
    <x v="0"/>
    <x v="0"/>
    <x v="3"/>
    <x v="14"/>
    <x v="0"/>
    <x v="0"/>
    <x v="7"/>
    <n v="2890.6080494292401"/>
    <n v="1055071.93804167"/>
  </r>
  <r>
    <x v="0"/>
    <x v="0"/>
    <x v="3"/>
    <x v="14"/>
    <x v="0"/>
    <x v="0"/>
    <x v="8"/>
    <n v="2987.1836639839098"/>
    <n v="1090322.0373541301"/>
  </r>
  <r>
    <x v="0"/>
    <x v="0"/>
    <x v="3"/>
    <x v="14"/>
    <x v="0"/>
    <x v="0"/>
    <x v="9"/>
    <n v="3020.4856000372401"/>
    <n v="1102477.24401359"/>
  </r>
  <r>
    <x v="0"/>
    <x v="0"/>
    <x v="3"/>
    <x v="14"/>
    <x v="0"/>
    <x v="0"/>
    <x v="10"/>
    <n v="3020.4856000372401"/>
    <n v="1102477.24401359"/>
  </r>
  <r>
    <x v="0"/>
    <x v="0"/>
    <x v="3"/>
    <x v="14"/>
    <x v="0"/>
    <x v="0"/>
    <x v="11"/>
    <n v="2982.1883735759102"/>
    <n v="1088498.75635521"/>
  </r>
  <r>
    <x v="0"/>
    <x v="0"/>
    <x v="3"/>
    <x v="14"/>
    <x v="0"/>
    <x v="0"/>
    <x v="12"/>
    <n v="2924.7425338839098"/>
    <n v="1067531.0248676301"/>
  </r>
  <r>
    <x v="0"/>
    <x v="0"/>
    <x v="3"/>
    <x v="14"/>
    <x v="0"/>
    <x v="0"/>
    <x v="13"/>
    <n v="2878.9523718105802"/>
    <n v="1050817.6157108599"/>
  </r>
  <r>
    <x v="0"/>
    <x v="0"/>
    <x v="3"/>
    <x v="14"/>
    <x v="0"/>
    <x v="0"/>
    <x v="14"/>
    <n v="2824.8367257239101"/>
    <n v="1031065.40488923"/>
  </r>
  <r>
    <x v="0"/>
    <x v="0"/>
    <x v="3"/>
    <x v="14"/>
    <x v="0"/>
    <x v="0"/>
    <x v="15"/>
    <n v="2764.8932408279202"/>
    <n v="1009186.03290219"/>
  </r>
  <r>
    <x v="0"/>
    <x v="0"/>
    <x v="3"/>
    <x v="14"/>
    <x v="0"/>
    <x v="0"/>
    <x v="16"/>
    <n v="2676.6431102865799"/>
    <n v="976974.73525460297"/>
  </r>
  <r>
    <x v="0"/>
    <x v="0"/>
    <x v="3"/>
    <x v="14"/>
    <x v="0"/>
    <x v="0"/>
    <x v="17"/>
    <n v="2716.6054335505801"/>
    <n v="991560.983245963"/>
  </r>
  <r>
    <x v="0"/>
    <x v="0"/>
    <x v="3"/>
    <x v="14"/>
    <x v="0"/>
    <x v="0"/>
    <x v="18"/>
    <n v="2871.4594361985801"/>
    <n v="1048082.69421248"/>
  </r>
  <r>
    <x v="0"/>
    <x v="0"/>
    <x v="3"/>
    <x v="14"/>
    <x v="0"/>
    <x v="0"/>
    <x v="19"/>
    <n v="3006.3322772145698"/>
    <n v="1097311.2811833201"/>
  </r>
  <r>
    <x v="0"/>
    <x v="0"/>
    <x v="3"/>
    <x v="14"/>
    <x v="0"/>
    <x v="0"/>
    <x v="20"/>
    <n v="2952.2166311279102"/>
    <n v="1077559.0703616899"/>
  </r>
  <r>
    <x v="0"/>
    <x v="0"/>
    <x v="3"/>
    <x v="14"/>
    <x v="0"/>
    <x v="0"/>
    <x v="21"/>
    <n v="2835.6598549412502"/>
    <n v="1035015.84705355"/>
  </r>
  <r>
    <x v="0"/>
    <x v="0"/>
    <x v="3"/>
    <x v="14"/>
    <x v="0"/>
    <x v="0"/>
    <x v="22"/>
    <n v="2630.02039981192"/>
    <n v="959957.44593135105"/>
  </r>
  <r>
    <x v="0"/>
    <x v="0"/>
    <x v="3"/>
    <x v="14"/>
    <x v="0"/>
    <x v="0"/>
    <x v="23"/>
    <n v="2427.7111382879302"/>
    <n v="886114.56547509297"/>
  </r>
  <r>
    <x v="0"/>
    <x v="1"/>
    <x v="0"/>
    <x v="0"/>
    <x v="0"/>
    <x v="0"/>
    <x v="0"/>
    <n v="1477.05213623742"/>
    <n v="539124.02972665697"/>
  </r>
  <r>
    <x v="0"/>
    <x v="1"/>
    <x v="0"/>
    <x v="0"/>
    <x v="0"/>
    <x v="0"/>
    <x v="1"/>
    <n v="1437.7779175860201"/>
    <n v="524788.93991889595"/>
  </r>
  <r>
    <x v="0"/>
    <x v="1"/>
    <x v="0"/>
    <x v="0"/>
    <x v="0"/>
    <x v="0"/>
    <x v="2"/>
    <n v="1427.53246924217"/>
    <n v="521049.35127339402"/>
  </r>
  <r>
    <x v="0"/>
    <x v="1"/>
    <x v="0"/>
    <x v="0"/>
    <x v="0"/>
    <x v="0"/>
    <x v="3"/>
    <n v="1477.9059235994"/>
    <n v="539435.66211378202"/>
  </r>
  <r>
    <x v="0"/>
    <x v="1"/>
    <x v="0"/>
    <x v="0"/>
    <x v="0"/>
    <x v="0"/>
    <x v="4"/>
    <n v="1514.61878016484"/>
    <n v="552835.854760168"/>
  </r>
  <r>
    <x v="0"/>
    <x v="1"/>
    <x v="0"/>
    <x v="0"/>
    <x v="0"/>
    <x v="0"/>
    <x v="5"/>
    <n v="1673.42322949441"/>
    <n v="610799.47876546101"/>
  </r>
  <r>
    <x v="0"/>
    <x v="1"/>
    <x v="0"/>
    <x v="0"/>
    <x v="0"/>
    <x v="0"/>
    <x v="6"/>
    <n v="2037.1366457008501"/>
    <n v="743554.87568081205"/>
  </r>
  <r>
    <x v="0"/>
    <x v="1"/>
    <x v="0"/>
    <x v="0"/>
    <x v="0"/>
    <x v="0"/>
    <x v="7"/>
    <n v="2412.8030849751099"/>
    <n v="880673.12601591495"/>
  </r>
  <r>
    <x v="0"/>
    <x v="1"/>
    <x v="0"/>
    <x v="0"/>
    <x v="0"/>
    <x v="0"/>
    <x v="8"/>
    <n v="2507.5734821556598"/>
    <n v="915264.32098681701"/>
  </r>
  <r>
    <x v="0"/>
    <x v="1"/>
    <x v="0"/>
    <x v="0"/>
    <x v="0"/>
    <x v="0"/>
    <x v="9"/>
    <n v="2515.25756841354"/>
    <n v="918069.01247094397"/>
  </r>
  <r>
    <x v="0"/>
    <x v="1"/>
    <x v="0"/>
    <x v="0"/>
    <x v="0"/>
    <x v="0"/>
    <x v="10"/>
    <n v="2523.7954420334099"/>
    <n v="921185.33634219598"/>
  </r>
  <r>
    <x v="0"/>
    <x v="1"/>
    <x v="0"/>
    <x v="0"/>
    <x v="0"/>
    <x v="0"/>
    <x v="11"/>
    <n v="2502.45075798374"/>
    <n v="913394.52666406496"/>
  </r>
  <r>
    <x v="0"/>
    <x v="1"/>
    <x v="0"/>
    <x v="0"/>
    <x v="0"/>
    <x v="0"/>
    <x v="12"/>
    <n v="2417.9258091470301"/>
    <n v="882542.920338667"/>
  </r>
  <r>
    <x v="0"/>
    <x v="1"/>
    <x v="0"/>
    <x v="0"/>
    <x v="0"/>
    <x v="0"/>
    <x v="13"/>
    <n v="2422.1947459569701"/>
    <n v="884101.08227429294"/>
  </r>
  <r>
    <x v="0"/>
    <x v="1"/>
    <x v="0"/>
    <x v="0"/>
    <x v="0"/>
    <x v="0"/>
    <x v="14"/>
    <n v="2370.11371687576"/>
    <n v="865091.50665965397"/>
  </r>
  <r>
    <x v="0"/>
    <x v="1"/>
    <x v="0"/>
    <x v="0"/>
    <x v="0"/>
    <x v="0"/>
    <x v="15"/>
    <n v="2250.58348619759"/>
    <n v="821462.97246212"/>
  </r>
  <r>
    <x v="0"/>
    <x v="1"/>
    <x v="0"/>
    <x v="0"/>
    <x v="0"/>
    <x v="0"/>
    <x v="16"/>
    <n v="2263.3902966273899"/>
    <n v="826137.45826899901"/>
  </r>
  <r>
    <x v="0"/>
    <x v="1"/>
    <x v="0"/>
    <x v="0"/>
    <x v="0"/>
    <x v="0"/>
    <x v="17"/>
    <n v="2410.24172288915"/>
    <n v="879738.22885454004"/>
  </r>
  <r>
    <x v="0"/>
    <x v="1"/>
    <x v="0"/>
    <x v="0"/>
    <x v="0"/>
    <x v="0"/>
    <x v="18"/>
    <n v="2408.5341481651799"/>
    <n v="879114.96408028901"/>
  </r>
  <r>
    <x v="0"/>
    <x v="1"/>
    <x v="0"/>
    <x v="0"/>
    <x v="0"/>
    <x v="0"/>
    <x v="19"/>
    <n v="2398.2886998213298"/>
    <n v="875375.37543478596"/>
  </r>
  <r>
    <x v="0"/>
    <x v="1"/>
    <x v="0"/>
    <x v="0"/>
    <x v="0"/>
    <x v="0"/>
    <x v="20"/>
    <n v="2270.2205955232898"/>
    <n v="828630.51736600103"/>
  </r>
  <r>
    <x v="0"/>
    <x v="1"/>
    <x v="0"/>
    <x v="0"/>
    <x v="0"/>
    <x v="0"/>
    <x v="21"/>
    <n v="2073.8495022662901"/>
    <n v="756955.06832719699"/>
  </r>
  <r>
    <x v="0"/>
    <x v="1"/>
    <x v="0"/>
    <x v="0"/>
    <x v="0"/>
    <x v="0"/>
    <x v="22"/>
    <n v="1860.4026617695599"/>
    <n v="679046.97154588799"/>
  </r>
  <r>
    <x v="0"/>
    <x v="1"/>
    <x v="0"/>
    <x v="0"/>
    <x v="0"/>
    <x v="0"/>
    <x v="23"/>
    <n v="1666.5929305985201"/>
    <n v="608306.41966846003"/>
  </r>
  <r>
    <x v="0"/>
    <x v="1"/>
    <x v="0"/>
    <x v="1"/>
    <x v="0"/>
    <x v="0"/>
    <x v="0"/>
    <n v="1062.2230329041499"/>
    <n v="387711.40701001399"/>
  </r>
  <r>
    <x v="0"/>
    <x v="1"/>
    <x v="0"/>
    <x v="1"/>
    <x v="0"/>
    <x v="0"/>
    <x v="1"/>
    <n v="1022.18736125499"/>
    <n v="373098.386858073"/>
  </r>
  <r>
    <x v="0"/>
    <x v="1"/>
    <x v="0"/>
    <x v="1"/>
    <x v="0"/>
    <x v="0"/>
    <x v="2"/>
    <n v="1010.26184204035"/>
    <n v="368745.57234472898"/>
  </r>
  <r>
    <x v="0"/>
    <x v="1"/>
    <x v="0"/>
    <x v="1"/>
    <x v="0"/>
    <x v="0"/>
    <x v="3"/>
    <n v="998.33632282571205"/>
    <n v="364392.75783138501"/>
  </r>
  <r>
    <x v="0"/>
    <x v="1"/>
    <x v="0"/>
    <x v="1"/>
    <x v="0"/>
    <x v="0"/>
    <x v="4"/>
    <n v="1086.0740713334301"/>
    <n v="396417.03603670298"/>
  </r>
  <r>
    <x v="0"/>
    <x v="1"/>
    <x v="0"/>
    <x v="1"/>
    <x v="0"/>
    <x v="0"/>
    <x v="5"/>
    <n v="1233.4394159143601"/>
    <n v="450205.38680874201"/>
  </r>
  <r>
    <x v="0"/>
    <x v="1"/>
    <x v="0"/>
    <x v="1"/>
    <x v="0"/>
    <x v="0"/>
    <x v="6"/>
    <n v="1349.28731685659"/>
    <n v="492489.870652657"/>
  </r>
  <r>
    <x v="0"/>
    <x v="1"/>
    <x v="0"/>
    <x v="1"/>
    <x v="0"/>
    <x v="0"/>
    <x v="7"/>
    <n v="1588.64952395047"/>
    <n v="579857.07624192198"/>
  </r>
  <r>
    <x v="0"/>
    <x v="1"/>
    <x v="0"/>
    <x v="1"/>
    <x v="0"/>
    <x v="0"/>
    <x v="8"/>
    <n v="1672.97998125401"/>
    <n v="610637.69315771305"/>
  </r>
  <r>
    <x v="0"/>
    <x v="1"/>
    <x v="0"/>
    <x v="1"/>
    <x v="0"/>
    <x v="0"/>
    <x v="9"/>
    <n v="1678.09091806028"/>
    <n v="612503.18509200297"/>
  </r>
  <r>
    <x v="0"/>
    <x v="1"/>
    <x v="0"/>
    <x v="1"/>
    <x v="0"/>
    <x v="0"/>
    <x v="10"/>
    <n v="1685.7573232697"/>
    <n v="615301.42299343902"/>
  </r>
  <r>
    <x v="0"/>
    <x v="1"/>
    <x v="0"/>
    <x v="1"/>
    <x v="0"/>
    <x v="0"/>
    <x v="11"/>
    <n v="1666.1653988456401"/>
    <n v="608150.370578659"/>
  </r>
  <r>
    <x v="0"/>
    <x v="1"/>
    <x v="0"/>
    <x v="1"/>
    <x v="0"/>
    <x v="0"/>
    <x v="12"/>
    <n v="1641.4625376153101"/>
    <n v="599133.82622958894"/>
  </r>
  <r>
    <x v="0"/>
    <x v="1"/>
    <x v="0"/>
    <x v="1"/>
    <x v="0"/>
    <x v="0"/>
    <x v="13"/>
    <n v="1609.09327117557"/>
    <n v="587319.04397908296"/>
  </r>
  <r>
    <x v="0"/>
    <x v="1"/>
    <x v="0"/>
    <x v="1"/>
    <x v="0"/>
    <x v="0"/>
    <x v="14"/>
    <n v="1567.35395392433"/>
    <n v="572084.19318237901"/>
  </r>
  <r>
    <x v="0"/>
    <x v="1"/>
    <x v="0"/>
    <x v="1"/>
    <x v="0"/>
    <x v="0"/>
    <x v="15"/>
    <n v="1514.5409402594801"/>
    <n v="552807.44319471205"/>
  </r>
  <r>
    <x v="0"/>
    <x v="1"/>
    <x v="0"/>
    <x v="1"/>
    <x v="0"/>
    <x v="0"/>
    <x v="16"/>
    <n v="1528.1701050762199"/>
    <n v="557782.08835281897"/>
  </r>
  <r>
    <x v="0"/>
    <x v="1"/>
    <x v="0"/>
    <x v="1"/>
    <x v="0"/>
    <x v="0"/>
    <x v="17"/>
    <n v="1638.0552464111299"/>
    <n v="597890.16494006198"/>
  </r>
  <r>
    <x v="0"/>
    <x v="1"/>
    <x v="0"/>
    <x v="1"/>
    <x v="0"/>
    <x v="0"/>
    <x v="18"/>
    <n v="1703.6456020916601"/>
    <n v="621830.64476345503"/>
  </r>
  <r>
    <x v="0"/>
    <x v="1"/>
    <x v="0"/>
    <x v="1"/>
    <x v="0"/>
    <x v="0"/>
    <x v="19"/>
    <n v="1700.2383108874701"/>
    <n v="620586.98347392795"/>
  </r>
  <r>
    <x v="0"/>
    <x v="1"/>
    <x v="0"/>
    <x v="1"/>
    <x v="0"/>
    <x v="0"/>
    <x v="20"/>
    <n v="1581.8349415421001"/>
    <n v="577369.75366286805"/>
  </r>
  <r>
    <x v="0"/>
    <x v="1"/>
    <x v="0"/>
    <x v="1"/>
    <x v="0"/>
    <x v="0"/>
    <x v="21"/>
    <n v="1460.0242809925501"/>
    <n v="532908.86256228096"/>
  </r>
  <r>
    <x v="0"/>
    <x v="1"/>
    <x v="0"/>
    <x v="1"/>
    <x v="0"/>
    <x v="0"/>
    <x v="22"/>
    <n v="1331.3990380346299"/>
    <n v="485960.64888264"/>
  </r>
  <r>
    <x v="0"/>
    <x v="1"/>
    <x v="0"/>
    <x v="1"/>
    <x v="0"/>
    <x v="0"/>
    <x v="23"/>
    <n v="1205.3292634798499"/>
    <n v="439945.18117014499"/>
  </r>
  <r>
    <x v="0"/>
    <x v="1"/>
    <x v="1"/>
    <x v="2"/>
    <x v="0"/>
    <x v="0"/>
    <x v="0"/>
    <n v="6205.06922753452"/>
    <n v="2264850.2680501002"/>
  </r>
  <r>
    <x v="0"/>
    <x v="1"/>
    <x v="1"/>
    <x v="2"/>
    <x v="0"/>
    <x v="0"/>
    <x v="1"/>
    <n v="5906.3835861094303"/>
    <n v="2155830.0089299399"/>
  </r>
  <r>
    <x v="0"/>
    <x v="1"/>
    <x v="1"/>
    <x v="2"/>
    <x v="0"/>
    <x v="0"/>
    <x v="2"/>
    <n v="5856.3943574190398"/>
    <n v="2137583.9404579499"/>
  </r>
  <r>
    <x v="0"/>
    <x v="1"/>
    <x v="1"/>
    <x v="2"/>
    <x v="0"/>
    <x v="0"/>
    <x v="3"/>
    <n v="6013.3917787747996"/>
    <n v="2194887.9992527999"/>
  </r>
  <r>
    <x v="0"/>
    <x v="1"/>
    <x v="1"/>
    <x v="2"/>
    <x v="0"/>
    <x v="0"/>
    <x v="4"/>
    <n v="6373.0017926663004"/>
    <n v="2326145.6543232002"/>
  </r>
  <r>
    <x v="0"/>
    <x v="1"/>
    <x v="1"/>
    <x v="2"/>
    <x v="0"/>
    <x v="0"/>
    <x v="5"/>
    <n v="7010.5206748084502"/>
    <n v="2558840.0463050902"/>
  </r>
  <r>
    <x v="0"/>
    <x v="1"/>
    <x v="1"/>
    <x v="2"/>
    <x v="0"/>
    <x v="0"/>
    <x v="6"/>
    <n v="8226.3524463625708"/>
    <n v="3002618.64292234"/>
  </r>
  <r>
    <x v="0"/>
    <x v="1"/>
    <x v="1"/>
    <x v="2"/>
    <x v="0"/>
    <x v="0"/>
    <x v="7"/>
    <n v="9150.0596627572104"/>
    <n v="3339771.77690638"/>
  </r>
  <r>
    <x v="0"/>
    <x v="1"/>
    <x v="1"/>
    <x v="2"/>
    <x v="0"/>
    <x v="0"/>
    <x v="8"/>
    <n v="9542.0064589578196"/>
    <n v="3482832.3575196001"/>
  </r>
  <r>
    <x v="0"/>
    <x v="1"/>
    <x v="1"/>
    <x v="2"/>
    <x v="0"/>
    <x v="0"/>
    <x v="9"/>
    <n v="9651.2016803783899"/>
    <n v="3522688.61333811"/>
  </r>
  <r>
    <x v="0"/>
    <x v="1"/>
    <x v="1"/>
    <x v="2"/>
    <x v="0"/>
    <x v="0"/>
    <x v="10"/>
    <n v="9892.0872761302107"/>
    <n v="3610611.8557875301"/>
  </r>
  <r>
    <x v="0"/>
    <x v="1"/>
    <x v="1"/>
    <x v="2"/>
    <x v="0"/>
    <x v="0"/>
    <x v="11"/>
    <n v="10025.6522465374"/>
    <n v="3659363.0699861301"/>
  </r>
  <r>
    <x v="0"/>
    <x v="1"/>
    <x v="1"/>
    <x v="2"/>
    <x v="0"/>
    <x v="0"/>
    <x v="12"/>
    <n v="9921.7683806651294"/>
    <n v="3621445.45894277"/>
  </r>
  <r>
    <x v="0"/>
    <x v="1"/>
    <x v="1"/>
    <x v="2"/>
    <x v="0"/>
    <x v="0"/>
    <x v="13"/>
    <n v="9844.4412925346805"/>
    <n v="3593221.0717751598"/>
  </r>
  <r>
    <x v="0"/>
    <x v="1"/>
    <x v="1"/>
    <x v="2"/>
    <x v="0"/>
    <x v="0"/>
    <x v="14"/>
    <n v="9715.8752449965796"/>
    <n v="3546294.4644237501"/>
  </r>
  <r>
    <x v="0"/>
    <x v="1"/>
    <x v="1"/>
    <x v="2"/>
    <x v="0"/>
    <x v="0"/>
    <x v="15"/>
    <n v="9549.5048432613694"/>
    <n v="3485569.2677904"/>
  </r>
  <r>
    <x v="0"/>
    <x v="1"/>
    <x v="1"/>
    <x v="2"/>
    <x v="0"/>
    <x v="0"/>
    <x v="16"/>
    <n v="9271.5959750107304"/>
    <n v="3384132.5308789201"/>
  </r>
  <r>
    <x v="0"/>
    <x v="1"/>
    <x v="1"/>
    <x v="2"/>
    <x v="0"/>
    <x v="0"/>
    <x v="17"/>
    <n v="9248.4759567414203"/>
    <n v="3375693.7242106199"/>
  </r>
  <r>
    <x v="0"/>
    <x v="1"/>
    <x v="1"/>
    <x v="2"/>
    <x v="0"/>
    <x v="0"/>
    <x v="18"/>
    <n v="9643.8595124144904"/>
    <n v="3520008.7220312902"/>
  </r>
  <r>
    <x v="0"/>
    <x v="1"/>
    <x v="1"/>
    <x v="2"/>
    <x v="0"/>
    <x v="0"/>
    <x v="19"/>
    <n v="10109.6966372731"/>
    <n v="3690039.2726046699"/>
  </r>
  <r>
    <x v="0"/>
    <x v="1"/>
    <x v="1"/>
    <x v="2"/>
    <x v="0"/>
    <x v="0"/>
    <x v="20"/>
    <n v="9539.3507811836407"/>
    <n v="3481863.03513203"/>
  </r>
  <r>
    <x v="0"/>
    <x v="1"/>
    <x v="1"/>
    <x v="2"/>
    <x v="0"/>
    <x v="0"/>
    <x v="21"/>
    <n v="8924.9519173107892"/>
    <n v="3257607.4498184398"/>
  </r>
  <r>
    <x v="0"/>
    <x v="1"/>
    <x v="1"/>
    <x v="2"/>
    <x v="0"/>
    <x v="0"/>
    <x v="22"/>
    <n v="8442.3996441088602"/>
    <n v="3081475.8700997299"/>
  </r>
  <r>
    <x v="0"/>
    <x v="1"/>
    <x v="1"/>
    <x v="2"/>
    <x v="0"/>
    <x v="0"/>
    <x v="23"/>
    <n v="7660.0682151042301"/>
    <n v="2795924.89851304"/>
  </r>
  <r>
    <x v="0"/>
    <x v="1"/>
    <x v="1"/>
    <x v="3"/>
    <x v="0"/>
    <x v="0"/>
    <x v="0"/>
    <n v="1909.2520700106199"/>
    <n v="696877.00555387698"/>
  </r>
  <r>
    <x v="0"/>
    <x v="1"/>
    <x v="1"/>
    <x v="3"/>
    <x v="0"/>
    <x v="0"/>
    <x v="1"/>
    <n v="1817.3487957259799"/>
    <n v="663332.31043998199"/>
  </r>
  <r>
    <x v="0"/>
    <x v="1"/>
    <x v="1"/>
    <x v="3"/>
    <x v="0"/>
    <x v="0"/>
    <x v="2"/>
    <n v="1801.9674945904701"/>
    <n v="657718.13552552299"/>
  </r>
  <r>
    <x v="0"/>
    <x v="1"/>
    <x v="1"/>
    <x v="3"/>
    <x v="0"/>
    <x v="0"/>
    <x v="3"/>
    <n v="1850.27439346917"/>
    <n v="675350.15361624595"/>
  </r>
  <r>
    <x v="0"/>
    <x v="1"/>
    <x v="1"/>
    <x v="3"/>
    <x v="0"/>
    <x v="0"/>
    <x v="4"/>
    <n v="1960.9236285127099"/>
    <n v="715737.12440713798"/>
  </r>
  <r>
    <x v="0"/>
    <x v="1"/>
    <x v="1"/>
    <x v="3"/>
    <x v="0"/>
    <x v="0"/>
    <x v="5"/>
    <n v="2157.0832845564501"/>
    <n v="787335.39886310301"/>
  </r>
  <r>
    <x v="0"/>
    <x v="1"/>
    <x v="1"/>
    <x v="3"/>
    <x v="0"/>
    <x v="0"/>
    <x v="6"/>
    <n v="2531.1853681115599"/>
    <n v="923882.65936071903"/>
  </r>
  <r>
    <x v="0"/>
    <x v="1"/>
    <x v="1"/>
    <x v="3"/>
    <x v="0"/>
    <x v="0"/>
    <x v="7"/>
    <n v="2815.4029731560699"/>
    <n v="1027622.0852019601"/>
  </r>
  <r>
    <x v="0"/>
    <x v="1"/>
    <x v="1"/>
    <x v="3"/>
    <x v="0"/>
    <x v="0"/>
    <x v="8"/>
    <n v="2936.0019873716401"/>
    <n v="1071640.7253906501"/>
  </r>
  <r>
    <x v="0"/>
    <x v="1"/>
    <x v="1"/>
    <x v="3"/>
    <x v="0"/>
    <x v="0"/>
    <x v="9"/>
    <n v="2969.6005170395001"/>
    <n v="1083904.18871942"/>
  </r>
  <r>
    <x v="0"/>
    <x v="1"/>
    <x v="1"/>
    <x v="3"/>
    <x v="0"/>
    <x v="0"/>
    <x v="10"/>
    <n v="3043.7191618862198"/>
    <n v="1110957.49408847"/>
  </r>
  <r>
    <x v="0"/>
    <x v="1"/>
    <x v="1"/>
    <x v="3"/>
    <x v="0"/>
    <x v="0"/>
    <x v="11"/>
    <n v="3084.81607585765"/>
    <n v="1125957.86768804"/>
  </r>
  <r>
    <x v="0"/>
    <x v="1"/>
    <x v="1"/>
    <x v="3"/>
    <x v="0"/>
    <x v="0"/>
    <x v="12"/>
    <n v="3052.8518094354299"/>
    <n v="1114290.91044393"/>
  </r>
  <r>
    <x v="0"/>
    <x v="1"/>
    <x v="1"/>
    <x v="3"/>
    <x v="0"/>
    <x v="0"/>
    <x v="13"/>
    <n v="3029.0588592414401"/>
    <n v="1105606.48362313"/>
  </r>
  <r>
    <x v="0"/>
    <x v="1"/>
    <x v="1"/>
    <x v="3"/>
    <x v="0"/>
    <x v="0"/>
    <x v="14"/>
    <n v="2989.5000753835602"/>
    <n v="1091167.527515"/>
  </r>
  <r>
    <x v="0"/>
    <x v="1"/>
    <x v="1"/>
    <x v="3"/>
    <x v="0"/>
    <x v="0"/>
    <x v="15"/>
    <n v="2938.3091825419601"/>
    <n v="1072482.8516278199"/>
  </r>
  <r>
    <x v="0"/>
    <x v="1"/>
    <x v="1"/>
    <x v="3"/>
    <x v="0"/>
    <x v="0"/>
    <x v="16"/>
    <n v="2852.7987615417601"/>
    <n v="1041271.5479627399"/>
  </r>
  <r>
    <x v="0"/>
    <x v="1"/>
    <x v="1"/>
    <x v="3"/>
    <x v="0"/>
    <x v="0"/>
    <x v="17"/>
    <n v="2845.68490976659"/>
    <n v="1038674.99206481"/>
  </r>
  <r>
    <x v="0"/>
    <x v="1"/>
    <x v="1"/>
    <x v="3"/>
    <x v="0"/>
    <x v="0"/>
    <x v="18"/>
    <n v="2967.3413884352299"/>
    <n v="1083079.6067788601"/>
  </r>
  <r>
    <x v="0"/>
    <x v="1"/>
    <x v="1"/>
    <x v="3"/>
    <x v="0"/>
    <x v="0"/>
    <x v="19"/>
    <n v="3110.67588839172"/>
    <n v="1135396.6992629799"/>
  </r>
  <r>
    <x v="0"/>
    <x v="1"/>
    <x v="1"/>
    <x v="3"/>
    <x v="0"/>
    <x v="0"/>
    <x v="20"/>
    <n v="2935.1848557488102"/>
    <n v="1071342.4723483201"/>
  </r>
  <r>
    <x v="0"/>
    <x v="1"/>
    <x v="1"/>
    <x v="3"/>
    <x v="0"/>
    <x v="0"/>
    <x v="21"/>
    <n v="2746.1390514802401"/>
    <n v="1002340.75379029"/>
  </r>
  <r>
    <x v="0"/>
    <x v="1"/>
    <x v="1"/>
    <x v="3"/>
    <x v="0"/>
    <x v="0"/>
    <x v="22"/>
    <n v="2597.66142895657"/>
    <n v="948146.42156914901"/>
  </r>
  <r>
    <x v="0"/>
    <x v="1"/>
    <x v="1"/>
    <x v="3"/>
    <x v="0"/>
    <x v="0"/>
    <x v="23"/>
    <n v="2356.9440661859198"/>
    <n v="860284.58415785898"/>
  </r>
  <r>
    <x v="0"/>
    <x v="1"/>
    <x v="1"/>
    <x v="4"/>
    <x v="0"/>
    <x v="0"/>
    <x v="0"/>
    <n v="16792.7397975934"/>
    <n v="6129350.0261215996"/>
  </r>
  <r>
    <x v="0"/>
    <x v="1"/>
    <x v="1"/>
    <x v="4"/>
    <x v="0"/>
    <x v="0"/>
    <x v="1"/>
    <n v="15984.408726044399"/>
    <n v="5834309.1850062003"/>
  </r>
  <r>
    <x v="0"/>
    <x v="1"/>
    <x v="1"/>
    <x v="4"/>
    <x v="0"/>
    <x v="0"/>
    <x v="2"/>
    <n v="15849.1231910571"/>
    <n v="5784929.9647358498"/>
  </r>
  <r>
    <x v="0"/>
    <x v="1"/>
    <x v="1"/>
    <x v="4"/>
    <x v="0"/>
    <x v="0"/>
    <x v="3"/>
    <n v="16274.004324376499"/>
    <n v="5940011.5783974398"/>
  </r>
  <r>
    <x v="0"/>
    <x v="1"/>
    <x v="1"/>
    <x v="4"/>
    <x v="0"/>
    <x v="0"/>
    <x v="4"/>
    <n v="17247.214641691298"/>
    <n v="6295233.3442173302"/>
  </r>
  <r>
    <x v="0"/>
    <x v="1"/>
    <x v="1"/>
    <x v="4"/>
    <x v="0"/>
    <x v="0"/>
    <x v="5"/>
    <n v="18972.527980076"/>
    <n v="6924972.7127277497"/>
  </r>
  <r>
    <x v="0"/>
    <x v="1"/>
    <x v="1"/>
    <x v="4"/>
    <x v="0"/>
    <x v="0"/>
    <x v="6"/>
    <n v="22262.925851344899"/>
    <n v="8125967.9357408704"/>
  </r>
  <r>
    <x v="0"/>
    <x v="1"/>
    <x v="1"/>
    <x v="4"/>
    <x v="0"/>
    <x v="0"/>
    <x v="7"/>
    <n v="24762.748877531802"/>
    <n v="9038403.3402990904"/>
  </r>
  <r>
    <x v="0"/>
    <x v="1"/>
    <x v="1"/>
    <x v="4"/>
    <x v="0"/>
    <x v="0"/>
    <x v="8"/>
    <n v="25823.472025291401"/>
    <n v="9425567.2892313693"/>
  </r>
  <r>
    <x v="0"/>
    <x v="1"/>
    <x v="1"/>
    <x v="4"/>
    <x v="0"/>
    <x v="0"/>
    <x v="9"/>
    <n v="26118.986365779299"/>
    <n v="9533430.0235094391"/>
  </r>
  <r>
    <x v="0"/>
    <x v="1"/>
    <x v="1"/>
    <x v="4"/>
    <x v="0"/>
    <x v="0"/>
    <x v="10"/>
    <n v="26770.893537499302"/>
    <n v="9771376.1411872301"/>
  </r>
  <r>
    <x v="0"/>
    <x v="1"/>
    <x v="1"/>
    <x v="4"/>
    <x v="0"/>
    <x v="0"/>
    <x v="11"/>
    <n v="27132.359576293398"/>
    <n v="9903311.2453470901"/>
  </r>
  <r>
    <x v="0"/>
    <x v="1"/>
    <x v="1"/>
    <x v="4"/>
    <x v="0"/>
    <x v="0"/>
    <x v="12"/>
    <n v="26851.219323897902"/>
    <n v="9800695.0532227494"/>
  </r>
  <r>
    <x v="0"/>
    <x v="1"/>
    <x v="1"/>
    <x v="4"/>
    <x v="0"/>
    <x v="0"/>
    <x v="13"/>
    <n v="26641.9495119645"/>
    <n v="9724311.5718670394"/>
  </r>
  <r>
    <x v="0"/>
    <x v="1"/>
    <x v="1"/>
    <x v="4"/>
    <x v="0"/>
    <x v="0"/>
    <x v="14"/>
    <n v="26294.012026669101"/>
    <n v="9597314.3897342104"/>
  </r>
  <r>
    <x v="0"/>
    <x v="1"/>
    <x v="1"/>
    <x v="4"/>
    <x v="0"/>
    <x v="0"/>
    <x v="15"/>
    <n v="25843.764855539499"/>
    <n v="9432974.1722719297"/>
  </r>
  <r>
    <x v="0"/>
    <x v="1"/>
    <x v="1"/>
    <x v="4"/>
    <x v="0"/>
    <x v="0"/>
    <x v="16"/>
    <n v="25091.6618344696"/>
    <n v="9158456.5695814006"/>
  </r>
  <r>
    <x v="0"/>
    <x v="1"/>
    <x v="1"/>
    <x v="4"/>
    <x v="0"/>
    <x v="0"/>
    <x v="17"/>
    <n v="25029.092274538001"/>
    <n v="9135618.6802063603"/>
  </r>
  <r>
    <x v="0"/>
    <x v="1"/>
    <x v="1"/>
    <x v="4"/>
    <x v="0"/>
    <x v="0"/>
    <x v="18"/>
    <n v="26099.116302827999"/>
    <n v="9526177.4505322296"/>
  </r>
  <r>
    <x v="0"/>
    <x v="1"/>
    <x v="1"/>
    <x v="4"/>
    <x v="0"/>
    <x v="0"/>
    <x v="19"/>
    <n v="27359.808381990799"/>
    <n v="9986330.0594266299"/>
  </r>
  <r>
    <x v="0"/>
    <x v="1"/>
    <x v="1"/>
    <x v="4"/>
    <x v="0"/>
    <x v="0"/>
    <x v="20"/>
    <n v="25816.2849812452"/>
    <n v="9422944.0181545094"/>
  </r>
  <r>
    <x v="0"/>
    <x v="1"/>
    <x v="1"/>
    <x v="4"/>
    <x v="0"/>
    <x v="0"/>
    <x v="21"/>
    <n v="24153.541202792101"/>
    <n v="8816042.5390191302"/>
  </r>
  <r>
    <x v="0"/>
    <x v="1"/>
    <x v="1"/>
    <x v="4"/>
    <x v="0"/>
    <x v="0"/>
    <x v="22"/>
    <n v="22847.613022868001"/>
    <n v="8339378.7533468297"/>
  </r>
  <r>
    <x v="0"/>
    <x v="1"/>
    <x v="1"/>
    <x v="4"/>
    <x v="0"/>
    <x v="0"/>
    <x v="23"/>
    <n v="20730.394400317"/>
    <n v="7566593.9561157199"/>
  </r>
  <r>
    <x v="0"/>
    <x v="1"/>
    <x v="1"/>
    <x v="5"/>
    <x v="0"/>
    <x v="0"/>
    <x v="0"/>
    <n v="18485.0314051028"/>
    <n v="6747036.4628625298"/>
  </r>
  <r>
    <x v="0"/>
    <x v="1"/>
    <x v="1"/>
    <x v="5"/>
    <x v="0"/>
    <x v="0"/>
    <x v="1"/>
    <n v="17595.240613165101"/>
    <n v="6422262.82380528"/>
  </r>
  <r>
    <x v="0"/>
    <x v="1"/>
    <x v="1"/>
    <x v="5"/>
    <x v="0"/>
    <x v="0"/>
    <x v="2"/>
    <n v="17446.321652171398"/>
    <n v="6367907.4030425604"/>
  </r>
  <r>
    <x v="0"/>
    <x v="1"/>
    <x v="1"/>
    <x v="5"/>
    <x v="0"/>
    <x v="0"/>
    <x v="3"/>
    <n v="17914.0202640424"/>
    <n v="6538617.3963754801"/>
  </r>
  <r>
    <x v="0"/>
    <x v="1"/>
    <x v="1"/>
    <x v="5"/>
    <x v="0"/>
    <x v="0"/>
    <x v="4"/>
    <n v="18985.306039691201"/>
    <n v="6929636.7044872902"/>
  </r>
  <r>
    <x v="0"/>
    <x v="1"/>
    <x v="1"/>
    <x v="5"/>
    <x v="0"/>
    <x v="0"/>
    <x v="5"/>
    <n v="20884.4881641147"/>
    <n v="7622838.1799018597"/>
  </r>
  <r>
    <x v="0"/>
    <x v="1"/>
    <x v="1"/>
    <x v="5"/>
    <x v="0"/>
    <x v="0"/>
    <x v="6"/>
    <n v="24506.476518534699"/>
    <n v="8944863.9292651508"/>
  </r>
  <r>
    <x v="0"/>
    <x v="1"/>
    <x v="1"/>
    <x v="5"/>
    <x v="0"/>
    <x v="0"/>
    <x v="7"/>
    <n v="27258.2196946474"/>
    <n v="9949250.1885462906"/>
  </r>
  <r>
    <x v="0"/>
    <x v="1"/>
    <x v="1"/>
    <x v="5"/>
    <x v="0"/>
    <x v="0"/>
    <x v="8"/>
    <n v="28425.837423189001"/>
    <n v="10375430.659464"/>
  </r>
  <r>
    <x v="0"/>
    <x v="1"/>
    <x v="1"/>
    <x v="5"/>
    <x v="0"/>
    <x v="0"/>
    <x v="9"/>
    <n v="28751.132278609701"/>
    <n v="10494163.2816926"/>
  </r>
  <r>
    <x v="0"/>
    <x v="1"/>
    <x v="1"/>
    <x v="5"/>
    <x v="0"/>
    <x v="0"/>
    <x v="10"/>
    <n v="29468.735521898401"/>
    <n v="10756088.4654929"/>
  </r>
  <r>
    <x v="0"/>
    <x v="1"/>
    <x v="1"/>
    <x v="5"/>
    <x v="0"/>
    <x v="0"/>
    <x v="11"/>
    <n v="29866.628370803599"/>
    <n v="10901319.355343301"/>
  </r>
  <r>
    <x v="0"/>
    <x v="1"/>
    <x v="1"/>
    <x v="5"/>
    <x v="0"/>
    <x v="0"/>
    <x v="12"/>
    <n v="29557.156154988399"/>
    <n v="10788361.996570799"/>
  </r>
  <r>
    <x v="0"/>
    <x v="1"/>
    <x v="1"/>
    <x v="5"/>
    <x v="0"/>
    <x v="0"/>
    <x v="13"/>
    <n v="29326.7971372012"/>
    <n v="10704280.955078401"/>
  </r>
  <r>
    <x v="0"/>
    <x v="1"/>
    <x v="1"/>
    <x v="5"/>
    <x v="0"/>
    <x v="0"/>
    <x v="14"/>
    <n v="28943.7961843954"/>
    <n v="10564485.607304299"/>
  </r>
  <r>
    <x v="0"/>
    <x v="1"/>
    <x v="1"/>
    <x v="5"/>
    <x v="0"/>
    <x v="0"/>
    <x v="15"/>
    <n v="28448.175267338102"/>
    <n v="10383583.972578401"/>
  </r>
  <r>
    <x v="0"/>
    <x v="1"/>
    <x v="1"/>
    <x v="5"/>
    <x v="0"/>
    <x v="0"/>
    <x v="16"/>
    <n v="27620.278918563399"/>
    <n v="10081401.805275699"/>
  </r>
  <r>
    <x v="0"/>
    <x v="1"/>
    <x v="1"/>
    <x v="5"/>
    <x v="0"/>
    <x v="0"/>
    <x v="17"/>
    <n v="27551.4038991038"/>
    <n v="10056262.4231729"/>
  </r>
  <r>
    <x v="0"/>
    <x v="1"/>
    <x v="1"/>
    <x v="5"/>
    <x v="0"/>
    <x v="0"/>
    <x v="18"/>
    <n v="28729.259806213799"/>
    <n v="10486179.829267999"/>
  </r>
  <r>
    <x v="0"/>
    <x v="1"/>
    <x v="1"/>
    <x v="5"/>
    <x v="0"/>
    <x v="0"/>
    <x v="19"/>
    <n v="30116.9983739743"/>
    <n v="10992704.4065006"/>
  </r>
  <r>
    <x v="0"/>
    <x v="1"/>
    <x v="1"/>
    <x v="5"/>
    <x v="0"/>
    <x v="0"/>
    <x v="20"/>
    <n v="28417.926103386199"/>
    <n v="10372543.027736001"/>
  </r>
  <r>
    <x v="0"/>
    <x v="1"/>
    <x v="1"/>
    <x v="5"/>
    <x v="0"/>
    <x v="0"/>
    <x v="21"/>
    <n v="26587.6189984224"/>
    <n v="9704480.93442416"/>
  </r>
  <r>
    <x v="0"/>
    <x v="1"/>
    <x v="1"/>
    <x v="5"/>
    <x v="0"/>
    <x v="0"/>
    <x v="22"/>
    <n v="25150.085653079499"/>
    <n v="9179781.2633740306"/>
  </r>
  <r>
    <x v="0"/>
    <x v="1"/>
    <x v="1"/>
    <x v="5"/>
    <x v="0"/>
    <x v="0"/>
    <x v="23"/>
    <n v="22819.5039135273"/>
    <n v="8329118.9284374602"/>
  </r>
  <r>
    <x v="0"/>
    <x v="1"/>
    <x v="2"/>
    <x v="6"/>
    <x v="0"/>
    <x v="0"/>
    <x v="0"/>
    <n v="3250.9400500245501"/>
    <n v="1186593.1182589601"/>
  </r>
  <r>
    <x v="0"/>
    <x v="1"/>
    <x v="2"/>
    <x v="6"/>
    <x v="0"/>
    <x v="0"/>
    <x v="1"/>
    <n v="3148.06220034023"/>
    <n v="1149042.70312418"/>
  </r>
  <r>
    <x v="0"/>
    <x v="1"/>
    <x v="2"/>
    <x v="6"/>
    <x v="0"/>
    <x v="0"/>
    <x v="2"/>
    <n v="3164.5226562897201"/>
    <n v="1155050.76954575"/>
  </r>
  <r>
    <x v="0"/>
    <x v="1"/>
    <x v="2"/>
    <x v="6"/>
    <x v="0"/>
    <x v="0"/>
    <x v="3"/>
    <n v="3265.7544603790898"/>
    <n v="1192000.3780383701"/>
  </r>
  <r>
    <x v="0"/>
    <x v="1"/>
    <x v="2"/>
    <x v="6"/>
    <x v="0"/>
    <x v="0"/>
    <x v="4"/>
    <n v="3336.5344209619002"/>
    <n v="1217835.0636511"/>
  </r>
  <r>
    <x v="0"/>
    <x v="1"/>
    <x v="2"/>
    <x v="6"/>
    <x v="0"/>
    <x v="0"/>
    <x v="5"/>
    <n v="3556.2815078876101"/>
    <n v="1298042.7503789801"/>
  </r>
  <r>
    <x v="0"/>
    <x v="1"/>
    <x v="2"/>
    <x v="6"/>
    <x v="0"/>
    <x v="0"/>
    <x v="6"/>
    <n v="4060.7944827395299"/>
    <n v="1482189.9861999301"/>
  </r>
  <r>
    <x v="0"/>
    <x v="1"/>
    <x v="2"/>
    <x v="6"/>
    <x v="0"/>
    <x v="0"/>
    <x v="7"/>
    <n v="4576.0067539586098"/>
    <n v="1670242.46519489"/>
  </r>
  <r>
    <x v="0"/>
    <x v="1"/>
    <x v="2"/>
    <x v="6"/>
    <x v="0"/>
    <x v="0"/>
    <x v="8"/>
    <n v="4639.3795093641502"/>
    <n v="1693373.5209179099"/>
  </r>
  <r>
    <x v="0"/>
    <x v="1"/>
    <x v="2"/>
    <x v="6"/>
    <x v="0"/>
    <x v="0"/>
    <x v="9"/>
    <n v="4522.5102721227604"/>
    <n v="1650716.24932481"/>
  </r>
  <r>
    <x v="0"/>
    <x v="1"/>
    <x v="2"/>
    <x v="6"/>
    <x v="0"/>
    <x v="0"/>
    <x v="10"/>
    <n v="4357.0826898303703"/>
    <n v="1590335.1817880899"/>
  </r>
  <r>
    <x v="0"/>
    <x v="1"/>
    <x v="2"/>
    <x v="6"/>
    <x v="0"/>
    <x v="0"/>
    <x v="11"/>
    <n v="4233.6292702091896"/>
    <n v="1545274.68362635"/>
  </r>
  <r>
    <x v="0"/>
    <x v="1"/>
    <x v="2"/>
    <x v="6"/>
    <x v="0"/>
    <x v="0"/>
    <x v="12"/>
    <n v="4097.0074858284097"/>
    <n v="1495407.73232737"/>
  </r>
  <r>
    <x v="0"/>
    <x v="1"/>
    <x v="2"/>
    <x v="6"/>
    <x v="0"/>
    <x v="0"/>
    <x v="13"/>
    <n v="3984.2533625743899"/>
    <n v="1454252.47733965"/>
  </r>
  <r>
    <x v="0"/>
    <x v="1"/>
    <x v="2"/>
    <x v="6"/>
    <x v="0"/>
    <x v="0"/>
    <x v="14"/>
    <n v="3925.8187439537001"/>
    <n v="1432923.8415431001"/>
  </r>
  <r>
    <x v="0"/>
    <x v="1"/>
    <x v="2"/>
    <x v="6"/>
    <x v="0"/>
    <x v="0"/>
    <x v="15"/>
    <n v="3904.4201512193599"/>
    <n v="1425113.3551950699"/>
  </r>
  <r>
    <x v="0"/>
    <x v="1"/>
    <x v="2"/>
    <x v="6"/>
    <x v="0"/>
    <x v="0"/>
    <x v="16"/>
    <n v="4004.0059097137801"/>
    <n v="1461462.1570455299"/>
  </r>
  <r>
    <x v="0"/>
    <x v="1"/>
    <x v="2"/>
    <x v="6"/>
    <x v="0"/>
    <x v="0"/>
    <x v="17"/>
    <n v="4066.55564232185"/>
    <n v="1484292.8094474699"/>
  </r>
  <r>
    <x v="0"/>
    <x v="1"/>
    <x v="2"/>
    <x v="6"/>
    <x v="0"/>
    <x v="0"/>
    <x v="18"/>
    <n v="4235.2753158041296"/>
    <n v="1545875.4902685101"/>
  </r>
  <r>
    <x v="0"/>
    <x v="1"/>
    <x v="2"/>
    <x v="6"/>
    <x v="0"/>
    <x v="0"/>
    <x v="19"/>
    <n v="4371.8971001849104"/>
    <n v="1595742.4415674901"/>
  </r>
  <r>
    <x v="0"/>
    <x v="1"/>
    <x v="2"/>
    <x v="6"/>
    <x v="0"/>
    <x v="0"/>
    <x v="20"/>
    <n v="4270.6652960955398"/>
    <n v="1558792.8330748701"/>
  </r>
  <r>
    <x v="0"/>
    <x v="1"/>
    <x v="2"/>
    <x v="6"/>
    <x v="0"/>
    <x v="0"/>
    <x v="21"/>
    <n v="4084.6621438662901"/>
    <n v="1490901.6825112"/>
  </r>
  <r>
    <x v="0"/>
    <x v="1"/>
    <x v="2"/>
    <x v="6"/>
    <x v="0"/>
    <x v="0"/>
    <x v="22"/>
    <n v="3842.69344140876"/>
    <n v="1402583.1061142001"/>
  </r>
  <r>
    <x v="0"/>
    <x v="1"/>
    <x v="2"/>
    <x v="6"/>
    <x v="0"/>
    <x v="0"/>
    <x v="23"/>
    <n v="3569.4498726472102"/>
    <n v="1302849.20351623"/>
  </r>
  <r>
    <x v="0"/>
    <x v="1"/>
    <x v="2"/>
    <x v="7"/>
    <x v="0"/>
    <x v="0"/>
    <x v="0"/>
    <n v="3310.1059995812898"/>
    <n v="1208188.6898471699"/>
  </r>
  <r>
    <x v="0"/>
    <x v="1"/>
    <x v="2"/>
    <x v="7"/>
    <x v="0"/>
    <x v="0"/>
    <x v="1"/>
    <n v="3187.3117447581199"/>
    <n v="1163368.7868367101"/>
  </r>
  <r>
    <x v="0"/>
    <x v="1"/>
    <x v="2"/>
    <x v="7"/>
    <x v="0"/>
    <x v="0"/>
    <x v="2"/>
    <n v="3220.23484206579"/>
    <n v="1175385.7173540101"/>
  </r>
  <r>
    <x v="0"/>
    <x v="1"/>
    <x v="2"/>
    <x v="7"/>
    <x v="0"/>
    <x v="0"/>
    <x v="3"/>
    <n v="3279.8523425958701"/>
    <n v="1197146.10504749"/>
  </r>
  <r>
    <x v="0"/>
    <x v="1"/>
    <x v="2"/>
    <x v="7"/>
    <x v="0"/>
    <x v="0"/>
    <x v="4"/>
    <n v="3336.8004028037199"/>
    <n v="1217932.14702336"/>
  </r>
  <r>
    <x v="0"/>
    <x v="1"/>
    <x v="2"/>
    <x v="7"/>
    <x v="0"/>
    <x v="0"/>
    <x v="5"/>
    <n v="3430.2308140822302"/>
    <n v="1252034.2471400099"/>
  </r>
  <r>
    <x v="0"/>
    <x v="1"/>
    <x v="2"/>
    <x v="7"/>
    <x v="0"/>
    <x v="0"/>
    <x v="6"/>
    <n v="3795.0543247887699"/>
    <n v="1385194.8285479001"/>
  </r>
  <r>
    <x v="0"/>
    <x v="1"/>
    <x v="2"/>
    <x v="7"/>
    <x v="0"/>
    <x v="0"/>
    <x v="7"/>
    <n v="4160.7676489360601"/>
    <n v="1518680.19186166"/>
  </r>
  <r>
    <x v="0"/>
    <x v="1"/>
    <x v="2"/>
    <x v="7"/>
    <x v="0"/>
    <x v="0"/>
    <x v="8"/>
    <n v="4166.9963430212902"/>
    <n v="1520953.6652027699"/>
  </r>
  <r>
    <x v="0"/>
    <x v="1"/>
    <x v="2"/>
    <x v="7"/>
    <x v="0"/>
    <x v="0"/>
    <x v="9"/>
    <n v="4140.3019397988601"/>
    <n v="1511210.20802658"/>
  </r>
  <r>
    <x v="0"/>
    <x v="1"/>
    <x v="2"/>
    <x v="7"/>
    <x v="0"/>
    <x v="0"/>
    <x v="10"/>
    <n v="4078.9048123872799"/>
    <n v="1488800.25652136"/>
  </r>
  <r>
    <x v="0"/>
    <x v="1"/>
    <x v="2"/>
    <x v="7"/>
    <x v="0"/>
    <x v="0"/>
    <x v="11"/>
    <n v="4003.2706699237301"/>
    <n v="1461193.79452216"/>
  </r>
  <r>
    <x v="0"/>
    <x v="1"/>
    <x v="2"/>
    <x v="7"/>
    <x v="0"/>
    <x v="0"/>
    <x v="12"/>
    <n v="3934.7550349861499"/>
    <n v="1436185.58776995"/>
  </r>
  <r>
    <x v="0"/>
    <x v="1"/>
    <x v="2"/>
    <x v="7"/>
    <x v="0"/>
    <x v="0"/>
    <x v="13"/>
    <n v="3901.8319376784898"/>
    <n v="1424168.65725265"/>
  </r>
  <r>
    <x v="0"/>
    <x v="1"/>
    <x v="2"/>
    <x v="7"/>
    <x v="0"/>
    <x v="0"/>
    <x v="14"/>
    <n v="3875.1375344560602"/>
    <n v="1414425.2000764599"/>
  </r>
  <r>
    <x v="0"/>
    <x v="1"/>
    <x v="2"/>
    <x v="7"/>
    <x v="0"/>
    <x v="0"/>
    <x v="15"/>
    <n v="3850.2227581151301"/>
    <n v="1405331.30671202"/>
  </r>
  <r>
    <x v="0"/>
    <x v="1"/>
    <x v="2"/>
    <x v="7"/>
    <x v="0"/>
    <x v="0"/>
    <x v="16"/>
    <n v="3863.5699597263501"/>
    <n v="1410203.03530012"/>
  </r>
  <r>
    <x v="0"/>
    <x v="1"/>
    <x v="2"/>
    <x v="7"/>
    <x v="0"/>
    <x v="0"/>
    <x v="17"/>
    <n v="3888.4847360672802"/>
    <n v="1419296.92866456"/>
  </r>
  <r>
    <x v="0"/>
    <x v="1"/>
    <x v="2"/>
    <x v="7"/>
    <x v="0"/>
    <x v="0"/>
    <x v="18"/>
    <n v="4017.5076849756902"/>
    <n v="1466390.30501613"/>
  </r>
  <r>
    <x v="0"/>
    <x v="1"/>
    <x v="2"/>
    <x v="7"/>
    <x v="0"/>
    <x v="0"/>
    <x v="19"/>
    <n v="4098.4807080837199"/>
    <n v="1495945.45845056"/>
  </r>
  <r>
    <x v="0"/>
    <x v="1"/>
    <x v="2"/>
    <x v="7"/>
    <x v="0"/>
    <x v="0"/>
    <x v="20"/>
    <n v="4045.9817150796098"/>
    <n v="1476783.32600406"/>
  </r>
  <r>
    <x v="0"/>
    <x v="1"/>
    <x v="2"/>
    <x v="7"/>
    <x v="0"/>
    <x v="0"/>
    <x v="21"/>
    <n v="3899.1624973562398"/>
    <n v="1423194.3115350299"/>
  </r>
  <r>
    <x v="0"/>
    <x v="1"/>
    <x v="2"/>
    <x v="7"/>
    <x v="0"/>
    <x v="0"/>
    <x v="22"/>
    <n v="3752.3432796328898"/>
    <n v="1369605.2970660001"/>
  </r>
  <r>
    <x v="0"/>
    <x v="1"/>
    <x v="2"/>
    <x v="7"/>
    <x v="0"/>
    <x v="0"/>
    <x v="23"/>
    <n v="3533.44917320896"/>
    <n v="1289708.94822127"/>
  </r>
  <r>
    <x v="0"/>
    <x v="1"/>
    <x v="2"/>
    <x v="8"/>
    <x v="0"/>
    <x v="0"/>
    <x v="0"/>
    <n v="2511.73301407402"/>
    <n v="916782.55013701902"/>
  </r>
  <r>
    <x v="0"/>
    <x v="1"/>
    <x v="2"/>
    <x v="8"/>
    <x v="0"/>
    <x v="0"/>
    <x v="1"/>
    <n v="2478.4806418592002"/>
    <n v="904645.43427860795"/>
  </r>
  <r>
    <x v="0"/>
    <x v="1"/>
    <x v="2"/>
    <x v="8"/>
    <x v="0"/>
    <x v="0"/>
    <x v="2"/>
    <n v="2419.6235721991002"/>
    <n v="883162.60385267099"/>
  </r>
  <r>
    <x v="0"/>
    <x v="1"/>
    <x v="2"/>
    <x v="8"/>
    <x v="0"/>
    <x v="0"/>
    <x v="3"/>
    <n v="2442.5534376742899"/>
    <n v="891532.00475111499"/>
  </r>
  <r>
    <x v="0"/>
    <x v="1"/>
    <x v="2"/>
    <x v="8"/>
    <x v="0"/>
    <x v="0"/>
    <x v="4"/>
    <n v="2418.9871631614901"/>
    <n v="882930.31455394498"/>
  </r>
  <r>
    <x v="0"/>
    <x v="1"/>
    <x v="2"/>
    <x v="8"/>
    <x v="0"/>
    <x v="0"/>
    <x v="5"/>
    <n v="2486.1546342957299"/>
    <n v="907446.44151794002"/>
  </r>
  <r>
    <x v="0"/>
    <x v="1"/>
    <x v="2"/>
    <x v="8"/>
    <x v="0"/>
    <x v="0"/>
    <x v="6"/>
    <n v="2698.8707663422201"/>
    <n v="985087.82971491001"/>
  </r>
  <r>
    <x v="0"/>
    <x v="1"/>
    <x v="2"/>
    <x v="8"/>
    <x v="0"/>
    <x v="0"/>
    <x v="7"/>
    <n v="2927.2255738560102"/>
    <n v="1068437.3344574401"/>
  </r>
  <r>
    <x v="0"/>
    <x v="1"/>
    <x v="2"/>
    <x v="8"/>
    <x v="0"/>
    <x v="0"/>
    <x v="8"/>
    <n v="3069.5909933226699"/>
    <n v="1120400.7125627799"/>
  </r>
  <r>
    <x v="0"/>
    <x v="1"/>
    <x v="2"/>
    <x v="8"/>
    <x v="0"/>
    <x v="0"/>
    <x v="9"/>
    <n v="3024.81267923318"/>
    <n v="1104056.62792011"/>
  </r>
  <r>
    <x v="0"/>
    <x v="1"/>
    <x v="2"/>
    <x v="8"/>
    <x v="0"/>
    <x v="0"/>
    <x v="10"/>
    <n v="3044.0042397412399"/>
    <n v="1111061.5475055501"/>
  </r>
  <r>
    <x v="0"/>
    <x v="1"/>
    <x v="2"/>
    <x v="8"/>
    <x v="0"/>
    <x v="0"/>
    <x v="11"/>
    <n v="2942.4814468946802"/>
    <n v="1074005.72811656"/>
  </r>
  <r>
    <x v="0"/>
    <x v="1"/>
    <x v="2"/>
    <x v="8"/>
    <x v="0"/>
    <x v="0"/>
    <x v="12"/>
    <n v="2766.9976360632199"/>
    <n v="1009954.13716307"/>
  </r>
  <r>
    <x v="0"/>
    <x v="1"/>
    <x v="2"/>
    <x v="8"/>
    <x v="0"/>
    <x v="0"/>
    <x v="13"/>
    <n v="2709.03656333764"/>
    <n v="988798.34561823704"/>
  </r>
  <r>
    <x v="0"/>
    <x v="1"/>
    <x v="2"/>
    <x v="8"/>
    <x v="0"/>
    <x v="0"/>
    <x v="14"/>
    <n v="2741.20153740363"/>
    <n v="1000538.56115232"/>
  </r>
  <r>
    <x v="0"/>
    <x v="1"/>
    <x v="2"/>
    <x v="8"/>
    <x v="0"/>
    <x v="0"/>
    <x v="15"/>
    <n v="2774.4407507849701"/>
    <n v="1012670.87403651"/>
  </r>
  <r>
    <x v="0"/>
    <x v="1"/>
    <x v="2"/>
    <x v="8"/>
    <x v="0"/>
    <x v="0"/>
    <x v="16"/>
    <n v="2775.8056806945701"/>
    <n v="1013169.07345352"/>
  </r>
  <r>
    <x v="0"/>
    <x v="1"/>
    <x v="2"/>
    <x v="8"/>
    <x v="0"/>
    <x v="0"/>
    <x v="17"/>
    <n v="2772.6487569159299"/>
    <n v="1012016.79627431"/>
  </r>
  <r>
    <x v="0"/>
    <x v="1"/>
    <x v="2"/>
    <x v="8"/>
    <x v="0"/>
    <x v="0"/>
    <x v="18"/>
    <n v="2809.29132313935"/>
    <n v="1025391.33294586"/>
  </r>
  <r>
    <x v="0"/>
    <x v="1"/>
    <x v="2"/>
    <x v="8"/>
    <x v="0"/>
    <x v="0"/>
    <x v="19"/>
    <n v="2903.7717475566301"/>
    <n v="1059876.6878581699"/>
  </r>
  <r>
    <x v="0"/>
    <x v="1"/>
    <x v="2"/>
    <x v="8"/>
    <x v="0"/>
    <x v="0"/>
    <x v="20"/>
    <n v="2934.8206132916398"/>
    <n v="1071209.5238514501"/>
  </r>
  <r>
    <x v="0"/>
    <x v="1"/>
    <x v="2"/>
    <x v="8"/>
    <x v="0"/>
    <x v="0"/>
    <x v="21"/>
    <n v="2880.1947067255301"/>
    <n v="1051271.0679548201"/>
  </r>
  <r>
    <x v="0"/>
    <x v="1"/>
    <x v="2"/>
    <x v="8"/>
    <x v="0"/>
    <x v="0"/>
    <x v="22"/>
    <n v="2712.5679157417899"/>
    <n v="990087.28924575204"/>
  </r>
  <r>
    <x v="0"/>
    <x v="1"/>
    <x v="2"/>
    <x v="8"/>
    <x v="0"/>
    <x v="0"/>
    <x v="23"/>
    <n v="2492.6443317186599"/>
    <n v="909815.18107731105"/>
  </r>
  <r>
    <x v="0"/>
    <x v="1"/>
    <x v="2"/>
    <x v="9"/>
    <x v="0"/>
    <x v="0"/>
    <x v="0"/>
    <n v="1943.41364735361"/>
    <n v="709345.98128406901"/>
  </r>
  <r>
    <x v="0"/>
    <x v="1"/>
    <x v="2"/>
    <x v="9"/>
    <x v="0"/>
    <x v="0"/>
    <x v="1"/>
    <n v="1923.2461472395701"/>
    <n v="701984.84374244197"/>
  </r>
  <r>
    <x v="0"/>
    <x v="1"/>
    <x v="2"/>
    <x v="9"/>
    <x v="0"/>
    <x v="0"/>
    <x v="2"/>
    <n v="1910.41228353063"/>
    <n v="697300.48348867905"/>
  </r>
  <r>
    <x v="0"/>
    <x v="1"/>
    <x v="2"/>
    <x v="9"/>
    <x v="0"/>
    <x v="0"/>
    <x v="3"/>
    <n v="1881.99444246083"/>
    <n v="686927.97149820498"/>
  </r>
  <r>
    <x v="0"/>
    <x v="1"/>
    <x v="2"/>
    <x v="9"/>
    <x v="0"/>
    <x v="0"/>
    <x v="4"/>
    <n v="1910.41228353063"/>
    <n v="697300.48348867905"/>
  </r>
  <r>
    <x v="0"/>
    <x v="1"/>
    <x v="2"/>
    <x v="9"/>
    <x v="0"/>
    <x v="0"/>
    <x v="5"/>
    <n v="1896.6617152710501"/>
    <n v="692281.52607393404"/>
  </r>
  <r>
    <x v="0"/>
    <x v="1"/>
    <x v="2"/>
    <x v="9"/>
    <x v="0"/>
    <x v="0"/>
    <x v="6"/>
    <n v="2014.9166023034199"/>
    <n v="735444.55984074704"/>
  </r>
  <r>
    <x v="0"/>
    <x v="1"/>
    <x v="2"/>
    <x v="9"/>
    <x v="0"/>
    <x v="0"/>
    <x v="7"/>
    <n v="2245.0094445136801"/>
    <n v="819428.44724749296"/>
  </r>
  <r>
    <x v="0"/>
    <x v="1"/>
    <x v="2"/>
    <x v="9"/>
    <x v="0"/>
    <x v="0"/>
    <x v="8"/>
    <n v="2259.6767173239"/>
    <n v="824782.00182322203"/>
  </r>
  <r>
    <x v="0"/>
    <x v="1"/>
    <x v="2"/>
    <x v="9"/>
    <x v="0"/>
    <x v="0"/>
    <x v="9"/>
    <n v="2209.25796703878"/>
    <n v="806379.15796915395"/>
  </r>
  <r>
    <x v="0"/>
    <x v="1"/>
    <x v="2"/>
    <x v="9"/>
    <x v="0"/>
    <x v="0"/>
    <x v="10"/>
    <n v="2168.0062622600499"/>
    <n v="791322.28572491696"/>
  </r>
  <r>
    <x v="0"/>
    <x v="1"/>
    <x v="2"/>
    <x v="9"/>
    <x v="0"/>
    <x v="0"/>
    <x v="11"/>
    <n v="2124.92114838004"/>
    <n v="775596.21915871301"/>
  </r>
  <r>
    <x v="0"/>
    <x v="1"/>
    <x v="2"/>
    <x v="9"/>
    <x v="0"/>
    <x v="0"/>
    <x v="12"/>
    <n v="2017.6667159553299"/>
    <n v="736448.35132369597"/>
  </r>
  <r>
    <x v="0"/>
    <x v="1"/>
    <x v="2"/>
    <x v="9"/>
    <x v="0"/>
    <x v="0"/>
    <x v="13"/>
    <n v="2042.4177388225701"/>
    <n v="745482.47467023903"/>
  </r>
  <r>
    <x v="0"/>
    <x v="1"/>
    <x v="2"/>
    <x v="9"/>
    <x v="0"/>
    <x v="0"/>
    <x v="14"/>
    <n v="2003.9161476957499"/>
    <n v="731429.39390895097"/>
  </r>
  <r>
    <x v="0"/>
    <x v="1"/>
    <x v="2"/>
    <x v="9"/>
    <x v="0"/>
    <x v="0"/>
    <x v="15"/>
    <n v="2053.4181934302301"/>
    <n v="749497.64060203498"/>
  </r>
  <r>
    <x v="0"/>
    <x v="1"/>
    <x v="2"/>
    <x v="9"/>
    <x v="0"/>
    <x v="0"/>
    <x v="16"/>
    <n v="2029.58387511363"/>
    <n v="740798.11441647599"/>
  </r>
  <r>
    <x v="0"/>
    <x v="1"/>
    <x v="2"/>
    <x v="9"/>
    <x v="0"/>
    <x v="0"/>
    <x v="17"/>
    <n v="2036.0008069681001"/>
    <n v="743140.29454335698"/>
  </r>
  <r>
    <x v="0"/>
    <x v="1"/>
    <x v="2"/>
    <x v="9"/>
    <x v="0"/>
    <x v="0"/>
    <x v="18"/>
    <n v="2106.5870573672701"/>
    <n v="768904.27593905199"/>
  </r>
  <r>
    <x v="0"/>
    <x v="1"/>
    <x v="2"/>
    <x v="9"/>
    <x v="0"/>
    <x v="0"/>
    <x v="19"/>
    <n v="2150.5888757979101"/>
    <n v="784964.93966623896"/>
  </r>
  <r>
    <x v="0"/>
    <x v="1"/>
    <x v="2"/>
    <x v="9"/>
    <x v="0"/>
    <x v="0"/>
    <x v="20"/>
    <n v="2162.50603495621"/>
    <n v="789314.70275901898"/>
  </r>
  <r>
    <x v="0"/>
    <x v="1"/>
    <x v="2"/>
    <x v="9"/>
    <x v="0"/>
    <x v="0"/>
    <x v="21"/>
    <n v="2110.2538755698201"/>
    <n v="770242.66458298499"/>
  </r>
  <r>
    <x v="0"/>
    <x v="1"/>
    <x v="2"/>
    <x v="9"/>
    <x v="0"/>
    <x v="0"/>
    <x v="22"/>
    <n v="2089.1696709051398"/>
    <n v="762546.92988037399"/>
  </r>
  <r>
    <x v="0"/>
    <x v="1"/>
    <x v="2"/>
    <x v="9"/>
    <x v="0"/>
    <x v="0"/>
    <x v="23"/>
    <n v="1983.74864758171"/>
    <n v="724068.25636732299"/>
  </r>
  <r>
    <x v="0"/>
    <x v="1"/>
    <x v="2"/>
    <x v="10"/>
    <x v="0"/>
    <x v="0"/>
    <x v="0"/>
    <n v="1566.8146095294601"/>
    <n v="571887.33247825201"/>
  </r>
  <r>
    <x v="0"/>
    <x v="1"/>
    <x v="2"/>
    <x v="10"/>
    <x v="0"/>
    <x v="0"/>
    <x v="1"/>
    <n v="1532.2741950162001"/>
    <n v="559280.081180915"/>
  </r>
  <r>
    <x v="0"/>
    <x v="1"/>
    <x v="2"/>
    <x v="10"/>
    <x v="0"/>
    <x v="0"/>
    <x v="2"/>
    <n v="1529.5065567458601"/>
    <n v="558269.893212241"/>
  </r>
  <r>
    <x v="0"/>
    <x v="1"/>
    <x v="2"/>
    <x v="10"/>
    <x v="0"/>
    <x v="0"/>
    <x v="3"/>
    <n v="1556.02740189219"/>
    <n v="567950.00169065001"/>
  </r>
  <r>
    <x v="0"/>
    <x v="1"/>
    <x v="2"/>
    <x v="10"/>
    <x v="0"/>
    <x v="0"/>
    <x v="4"/>
    <n v="1576.8364373300799"/>
    <n v="575545.29962548101"/>
  </r>
  <r>
    <x v="0"/>
    <x v="1"/>
    <x v="2"/>
    <x v="10"/>
    <x v="0"/>
    <x v="0"/>
    <x v="5"/>
    <n v="1602.0654328729599"/>
    <n v="584753.88299863006"/>
  </r>
  <r>
    <x v="0"/>
    <x v="1"/>
    <x v="2"/>
    <x v="10"/>
    <x v="0"/>
    <x v="0"/>
    <x v="6"/>
    <n v="1731.0383186333599"/>
    <n v="631828.98630117695"/>
  </r>
  <r>
    <x v="0"/>
    <x v="1"/>
    <x v="2"/>
    <x v="10"/>
    <x v="0"/>
    <x v="0"/>
    <x v="7"/>
    <n v="1883.75068399475"/>
    <n v="687568.99965808296"/>
  </r>
  <r>
    <x v="0"/>
    <x v="1"/>
    <x v="2"/>
    <x v="10"/>
    <x v="0"/>
    <x v="0"/>
    <x v="8"/>
    <n v="1929.1893326744801"/>
    <n v="704154.106426185"/>
  </r>
  <r>
    <x v="0"/>
    <x v="1"/>
    <x v="2"/>
    <x v="10"/>
    <x v="0"/>
    <x v="0"/>
    <x v="9"/>
    <n v="1837.81940338391"/>
    <n v="670804.08223512606"/>
  </r>
  <r>
    <x v="0"/>
    <x v="1"/>
    <x v="2"/>
    <x v="10"/>
    <x v="0"/>
    <x v="0"/>
    <x v="10"/>
    <n v="1871.28472258285"/>
    <n v="683018.923742741"/>
  </r>
  <r>
    <x v="0"/>
    <x v="1"/>
    <x v="2"/>
    <x v="10"/>
    <x v="0"/>
    <x v="0"/>
    <x v="11"/>
    <n v="1846.0292950999899"/>
    <n v="673800.69271149801"/>
  </r>
  <r>
    <x v="0"/>
    <x v="1"/>
    <x v="2"/>
    <x v="10"/>
    <x v="0"/>
    <x v="0"/>
    <x v="12"/>
    <n v="1813.31352133627"/>
    <n v="661859.43528773997"/>
  </r>
  <r>
    <x v="0"/>
    <x v="1"/>
    <x v="2"/>
    <x v="10"/>
    <x v="0"/>
    <x v="0"/>
    <x v="13"/>
    <n v="1794.2456165751"/>
    <n v="654899.65004991204"/>
  </r>
  <r>
    <x v="0"/>
    <x v="1"/>
    <x v="2"/>
    <x v="10"/>
    <x v="0"/>
    <x v="0"/>
    <x v="14"/>
    <n v="1785.08008457964"/>
    <n v="651554.23087156902"/>
  </r>
  <r>
    <x v="0"/>
    <x v="1"/>
    <x v="2"/>
    <x v="10"/>
    <x v="0"/>
    <x v="0"/>
    <x v="15"/>
    <n v="1782.2913131385999"/>
    <n v="650536.32929558796"/>
  </r>
  <r>
    <x v="0"/>
    <x v="1"/>
    <x v="2"/>
    <x v="10"/>
    <x v="0"/>
    <x v="0"/>
    <x v="16"/>
    <n v="1779.59556479249"/>
    <n v="649552.381149258"/>
  </r>
  <r>
    <x v="0"/>
    <x v="1"/>
    <x v="2"/>
    <x v="10"/>
    <x v="0"/>
    <x v="0"/>
    <x v="17"/>
    <n v="1794.80062540831"/>
    <n v="655102.22827403399"/>
  </r>
  <r>
    <x v="0"/>
    <x v="1"/>
    <x v="2"/>
    <x v="10"/>
    <x v="0"/>
    <x v="0"/>
    <x v="18"/>
    <n v="1829.82415883053"/>
    <n v="667885.81797314505"/>
  </r>
  <r>
    <x v="0"/>
    <x v="1"/>
    <x v="2"/>
    <x v="10"/>
    <x v="0"/>
    <x v="0"/>
    <x v="19"/>
    <n v="1859.2246913864201"/>
    <n v="678617.01235604205"/>
  </r>
  <r>
    <x v="0"/>
    <x v="1"/>
    <x v="2"/>
    <x v="10"/>
    <x v="0"/>
    <x v="0"/>
    <x v="20"/>
    <n v="1843.22571186753"/>
    <n v="672777.38483164902"/>
  </r>
  <r>
    <x v="0"/>
    <x v="1"/>
    <x v="2"/>
    <x v="10"/>
    <x v="0"/>
    <x v="0"/>
    <x v="21"/>
    <n v="1797.9530607234101"/>
    <n v="656252.86716404499"/>
  </r>
  <r>
    <x v="0"/>
    <x v="1"/>
    <x v="2"/>
    <x v="10"/>
    <x v="0"/>
    <x v="0"/>
    <x v="22"/>
    <n v="1731.27301445035"/>
    <n v="631914.65027437801"/>
  </r>
  <r>
    <x v="0"/>
    <x v="1"/>
    <x v="2"/>
    <x v="10"/>
    <x v="0"/>
    <x v="0"/>
    <x v="23"/>
    <n v="1634.10884989497"/>
    <n v="596449.73021166597"/>
  </r>
  <r>
    <x v="0"/>
    <x v="1"/>
    <x v="3"/>
    <x v="11"/>
    <x v="0"/>
    <x v="0"/>
    <x v="0"/>
    <n v="772.53032291414797"/>
    <n v="281973.56786366401"/>
  </r>
  <r>
    <x v="0"/>
    <x v="1"/>
    <x v="3"/>
    <x v="11"/>
    <x v="0"/>
    <x v="0"/>
    <x v="1"/>
    <n v="695.47486871043498"/>
    <n v="253848.32707930901"/>
  </r>
  <r>
    <x v="0"/>
    <x v="1"/>
    <x v="3"/>
    <x v="11"/>
    <x v="0"/>
    <x v="0"/>
    <x v="2"/>
    <n v="807.43578507480402"/>
    <n v="294714.06155230402"/>
  </r>
  <r>
    <x v="0"/>
    <x v="1"/>
    <x v="3"/>
    <x v="11"/>
    <x v="0"/>
    <x v="0"/>
    <x v="3"/>
    <n v="836.41390460440596"/>
    <n v="305291.07518060802"/>
  </r>
  <r>
    <x v="0"/>
    <x v="1"/>
    <x v="3"/>
    <x v="11"/>
    <x v="0"/>
    <x v="0"/>
    <x v="4"/>
    <n v="823.90062571662304"/>
    <n v="300723.72838656802"/>
  </r>
  <r>
    <x v="0"/>
    <x v="1"/>
    <x v="3"/>
    <x v="11"/>
    <x v="0"/>
    <x v="0"/>
    <x v="5"/>
    <n v="905.56623530004595"/>
    <n v="330531.67588451703"/>
  </r>
  <r>
    <x v="0"/>
    <x v="1"/>
    <x v="3"/>
    <x v="11"/>
    <x v="0"/>
    <x v="0"/>
    <x v="6"/>
    <n v="1003.69668552529"/>
    <n v="366349.29021672998"/>
  </r>
  <r>
    <x v="0"/>
    <x v="1"/>
    <x v="3"/>
    <x v="11"/>
    <x v="0"/>
    <x v="0"/>
    <x v="7"/>
    <n v="1247.37632702421"/>
    <n v="455292.359363836"/>
  </r>
  <r>
    <x v="0"/>
    <x v="1"/>
    <x v="3"/>
    <x v="11"/>
    <x v="0"/>
    <x v="0"/>
    <x v="8"/>
    <n v="1153.197438553"/>
    <n v="420917.06507184601"/>
  </r>
  <r>
    <x v="0"/>
    <x v="1"/>
    <x v="3"/>
    <x v="11"/>
    <x v="0"/>
    <x v="0"/>
    <x v="9"/>
    <n v="1160.4419684354"/>
    <n v="423561.31847892201"/>
  </r>
  <r>
    <x v="0"/>
    <x v="1"/>
    <x v="3"/>
    <x v="11"/>
    <x v="0"/>
    <x v="0"/>
    <x v="10"/>
    <n v="1163.7349365637699"/>
    <n v="424763.251845775"/>
  </r>
  <r>
    <x v="0"/>
    <x v="1"/>
    <x v="3"/>
    <x v="11"/>
    <x v="0"/>
    <x v="0"/>
    <x v="11"/>
    <n v="1169.66227919482"/>
    <n v="426926.73190611001"/>
  </r>
  <r>
    <x v="0"/>
    <x v="1"/>
    <x v="3"/>
    <x v="11"/>
    <x v="0"/>
    <x v="0"/>
    <x v="12"/>
    <n v="1089.97245048842"/>
    <n v="397839.94442827301"/>
  </r>
  <r>
    <x v="0"/>
    <x v="1"/>
    <x v="3"/>
    <x v="11"/>
    <x v="0"/>
    <x v="0"/>
    <x v="13"/>
    <n v="1138.04978516253"/>
    <n v="415388.17158432299"/>
  </r>
  <r>
    <x v="0"/>
    <x v="1"/>
    <x v="3"/>
    <x v="11"/>
    <x v="0"/>
    <x v="0"/>
    <x v="14"/>
    <n v="1133.43962978282"/>
    <n v="413705.46487073001"/>
  </r>
  <r>
    <x v="0"/>
    <x v="1"/>
    <x v="3"/>
    <x v="11"/>
    <x v="0"/>
    <x v="0"/>
    <x v="15"/>
    <n v="1073.5076098466"/>
    <n v="391830.27759400901"/>
  </r>
  <r>
    <x v="0"/>
    <x v="1"/>
    <x v="3"/>
    <x v="11"/>
    <x v="0"/>
    <x v="0"/>
    <x v="16"/>
    <n v="1103.1443230018699"/>
    <n v="402647.67789568403"/>
  </r>
  <r>
    <x v="0"/>
    <x v="1"/>
    <x v="3"/>
    <x v="11"/>
    <x v="0"/>
    <x v="0"/>
    <x v="17"/>
    <n v="1122.2435381463799"/>
    <n v="409618.89142343"/>
  </r>
  <r>
    <x v="0"/>
    <x v="1"/>
    <x v="3"/>
    <x v="11"/>
    <x v="0"/>
    <x v="0"/>
    <x v="18"/>
    <n v="1140.68415966522"/>
    <n v="416349.71827780601"/>
  </r>
  <r>
    <x v="0"/>
    <x v="1"/>
    <x v="3"/>
    <x v="11"/>
    <x v="0"/>
    <x v="0"/>
    <x v="19"/>
    <n v="1126.19509990042"/>
    <n v="411061.21146365302"/>
  </r>
  <r>
    <x v="0"/>
    <x v="1"/>
    <x v="3"/>
    <x v="11"/>
    <x v="0"/>
    <x v="0"/>
    <x v="20"/>
    <n v="1129.4880680287799"/>
    <n v="412263.144830506"/>
  </r>
  <r>
    <x v="0"/>
    <x v="1"/>
    <x v="3"/>
    <x v="11"/>
    <x v="0"/>
    <x v="0"/>
    <x v="21"/>
    <n v="1111.0474465099501"/>
    <n v="405532.31797613099"/>
  </r>
  <r>
    <x v="0"/>
    <x v="1"/>
    <x v="3"/>
    <x v="11"/>
    <x v="0"/>
    <x v="0"/>
    <x v="22"/>
    <n v="1045.1880839426699"/>
    <n v="381493.65063907497"/>
  </r>
  <r>
    <x v="0"/>
    <x v="1"/>
    <x v="3"/>
    <x v="11"/>
    <x v="0"/>
    <x v="0"/>
    <x v="23"/>
    <n v="935.20294845531998"/>
    <n v="341349.07618619199"/>
  </r>
  <r>
    <x v="0"/>
    <x v="1"/>
    <x v="3"/>
    <x v="12"/>
    <x v="0"/>
    <x v="0"/>
    <x v="0"/>
    <n v="1886.3710133247901"/>
    <n v="688525.41986354697"/>
  </r>
  <r>
    <x v="0"/>
    <x v="1"/>
    <x v="3"/>
    <x v="12"/>
    <x v="0"/>
    <x v="0"/>
    <x v="1"/>
    <n v="1795.0949965510099"/>
    <n v="655209.67374111805"/>
  </r>
  <r>
    <x v="0"/>
    <x v="1"/>
    <x v="3"/>
    <x v="12"/>
    <x v="0"/>
    <x v="0"/>
    <x v="2"/>
    <n v="1797.1233524793099"/>
    <n v="655950.02365494904"/>
  </r>
  <r>
    <x v="0"/>
    <x v="1"/>
    <x v="3"/>
    <x v="12"/>
    <x v="0"/>
    <x v="0"/>
    <x v="3"/>
    <n v="1789.0099287660901"/>
    <n v="652988.62399962195"/>
  </r>
  <r>
    <x v="0"/>
    <x v="1"/>
    <x v="3"/>
    <x v="12"/>
    <x v="0"/>
    <x v="0"/>
    <x v="4"/>
    <n v="1723.08836109614"/>
    <n v="628927.25180008996"/>
  </r>
  <r>
    <x v="0"/>
    <x v="1"/>
    <x v="3"/>
    <x v="12"/>
    <x v="0"/>
    <x v="0"/>
    <x v="5"/>
    <n v="1625.72727653744"/>
    <n v="593390.45593616494"/>
  </r>
  <r>
    <x v="0"/>
    <x v="1"/>
    <x v="3"/>
    <x v="12"/>
    <x v="0"/>
    <x v="0"/>
    <x v="6"/>
    <n v="1745.4002763075"/>
    <n v="637071.10085223895"/>
  </r>
  <r>
    <x v="0"/>
    <x v="1"/>
    <x v="3"/>
    <x v="12"/>
    <x v="0"/>
    <x v="0"/>
    <x v="7"/>
    <n v="1834.6479371529799"/>
    <n v="669646.49706083699"/>
  </r>
  <r>
    <x v="0"/>
    <x v="1"/>
    <x v="3"/>
    <x v="12"/>
    <x v="0"/>
    <x v="0"/>
    <x v="8"/>
    <n v="1806.2509541566901"/>
    <n v="659281.59826719202"/>
  </r>
  <r>
    <x v="0"/>
    <x v="1"/>
    <x v="3"/>
    <x v="12"/>
    <x v="0"/>
    <x v="0"/>
    <x v="9"/>
    <n v="1901.5836827870801"/>
    <n v="694078.04421728605"/>
  </r>
  <r>
    <x v="0"/>
    <x v="1"/>
    <x v="3"/>
    <x v="12"/>
    <x v="0"/>
    <x v="0"/>
    <x v="10"/>
    <n v="1916.7963522493801"/>
    <n v="699630.66857102397"/>
  </r>
  <r>
    <x v="0"/>
    <x v="1"/>
    <x v="3"/>
    <x v="12"/>
    <x v="0"/>
    <x v="0"/>
    <x v="11"/>
    <n v="1945.1933352456699"/>
    <n v="709995.56736466906"/>
  </r>
  <r>
    <x v="0"/>
    <x v="1"/>
    <x v="3"/>
    <x v="12"/>
    <x v="0"/>
    <x v="0"/>
    <x v="12"/>
    <n v="1776.83979319625"/>
    <n v="648546.52451663197"/>
  </r>
  <r>
    <x v="0"/>
    <x v="1"/>
    <x v="3"/>
    <x v="12"/>
    <x v="0"/>
    <x v="0"/>
    <x v="13"/>
    <n v="1691.6488442073901"/>
    <n v="617451.82813569705"/>
  </r>
  <r>
    <x v="0"/>
    <x v="1"/>
    <x v="3"/>
    <x v="12"/>
    <x v="0"/>
    <x v="0"/>
    <x v="14"/>
    <n v="1746.4144542716599"/>
    <n v="637441.27580915496"/>
  </r>
  <r>
    <x v="0"/>
    <x v="1"/>
    <x v="3"/>
    <x v="12"/>
    <x v="0"/>
    <x v="0"/>
    <x v="15"/>
    <n v="1738.3010305584301"/>
    <n v="634479.87615382799"/>
  </r>
  <r>
    <x v="0"/>
    <x v="1"/>
    <x v="3"/>
    <x v="12"/>
    <x v="0"/>
    <x v="0"/>
    <x v="16"/>
    <n v="1704.8331577413801"/>
    <n v="622264.10257560399"/>
  </r>
  <r>
    <x v="0"/>
    <x v="1"/>
    <x v="3"/>
    <x v="12"/>
    <x v="0"/>
    <x v="0"/>
    <x v="17"/>
    <n v="1740.3293864867401"/>
    <n v="635220.22606766003"/>
  </r>
  <r>
    <x v="0"/>
    <x v="1"/>
    <x v="3"/>
    <x v="12"/>
    <x v="0"/>
    <x v="0"/>
    <x v="18"/>
    <n v="1762.6413016981101"/>
    <n v="643364.07511980901"/>
  </r>
  <r>
    <x v="0"/>
    <x v="1"/>
    <x v="3"/>
    <x v="12"/>
    <x v="0"/>
    <x v="0"/>
    <x v="19"/>
    <n v="1895.49861500217"/>
    <n v="691856.99447578995"/>
  </r>
  <r>
    <x v="0"/>
    <x v="1"/>
    <x v="3"/>
    <x v="12"/>
    <x v="0"/>
    <x v="0"/>
    <x v="20"/>
    <n v="1837.6904710454401"/>
    <n v="670757.02193158504"/>
  </r>
  <r>
    <x v="0"/>
    <x v="1"/>
    <x v="3"/>
    <x v="12"/>
    <x v="0"/>
    <x v="0"/>
    <x v="21"/>
    <n v="1811.32184397746"/>
    <n v="661132.47305177199"/>
  </r>
  <r>
    <x v="0"/>
    <x v="1"/>
    <x v="3"/>
    <x v="12"/>
    <x v="0"/>
    <x v="0"/>
    <x v="22"/>
    <n v="1680.4928866017101"/>
    <n v="613379.90360962297"/>
  </r>
  <r>
    <x v="0"/>
    <x v="1"/>
    <x v="3"/>
    <x v="12"/>
    <x v="0"/>
    <x v="0"/>
    <x v="23"/>
    <n v="1807.26513212084"/>
    <n v="659651.77322410804"/>
  </r>
  <r>
    <x v="0"/>
    <x v="1"/>
    <x v="3"/>
    <x v="13"/>
    <x v="0"/>
    <x v="0"/>
    <x v="0"/>
    <n v="7579.8348768910801"/>
    <n v="2766639.7300652498"/>
  </r>
  <r>
    <x v="0"/>
    <x v="1"/>
    <x v="3"/>
    <x v="13"/>
    <x v="0"/>
    <x v="0"/>
    <x v="1"/>
    <n v="7478.2351012198596"/>
    <n v="2729555.8119452498"/>
  </r>
  <r>
    <x v="0"/>
    <x v="1"/>
    <x v="3"/>
    <x v="13"/>
    <x v="0"/>
    <x v="0"/>
    <x v="2"/>
    <n v="7369.2611482821803"/>
    <n v="2689780.3191229901"/>
  </r>
  <r>
    <x v="0"/>
    <x v="1"/>
    <x v="3"/>
    <x v="13"/>
    <x v="0"/>
    <x v="0"/>
    <x v="3"/>
    <n v="7443.8222739763796"/>
    <n v="2716995.1300013801"/>
  </r>
  <r>
    <x v="0"/>
    <x v="1"/>
    <x v="3"/>
    <x v="13"/>
    <x v="0"/>
    <x v="0"/>
    <x v="4"/>
    <n v="7587.2090541575399"/>
    <n v="2769331.3047675001"/>
  </r>
  <r>
    <x v="0"/>
    <x v="1"/>
    <x v="3"/>
    <x v="13"/>
    <x v="0"/>
    <x v="0"/>
    <x v="5"/>
    <n v="7994.42750987205"/>
    <n v="2917966.0411033002"/>
  </r>
  <r>
    <x v="0"/>
    <x v="1"/>
    <x v="3"/>
    <x v="13"/>
    <x v="0"/>
    <x v="0"/>
    <x v="6"/>
    <n v="8981.7479105480597"/>
    <n v="3278337.9873500401"/>
  </r>
  <r>
    <x v="0"/>
    <x v="1"/>
    <x v="3"/>
    <x v="13"/>
    <x v="0"/>
    <x v="0"/>
    <x v="7"/>
    <n v="9989.5521369642302"/>
    <n v="3646186.5299919401"/>
  </r>
  <r>
    <x v="0"/>
    <x v="1"/>
    <x v="3"/>
    <x v="13"/>
    <x v="0"/>
    <x v="0"/>
    <x v="8"/>
    <n v="10303.364347303601"/>
    <n v="3760727.9867658098"/>
  </r>
  <r>
    <x v="0"/>
    <x v="1"/>
    <x v="3"/>
    <x v="13"/>
    <x v="0"/>
    <x v="0"/>
    <x v="9"/>
    <n v="10418.8931244781"/>
    <n v="3802895.9904345102"/>
  </r>
  <r>
    <x v="0"/>
    <x v="1"/>
    <x v="3"/>
    <x v="13"/>
    <x v="0"/>
    <x v="0"/>
    <x v="10"/>
    <n v="10431.183419922199"/>
    <n v="3807381.9482716098"/>
  </r>
  <r>
    <x v="0"/>
    <x v="1"/>
    <x v="3"/>
    <x v="13"/>
    <x v="0"/>
    <x v="0"/>
    <x v="11"/>
    <n v="10486.8994259355"/>
    <n v="3827718.2904664399"/>
  </r>
  <r>
    <x v="0"/>
    <x v="1"/>
    <x v="3"/>
    <x v="13"/>
    <x v="0"/>
    <x v="0"/>
    <x v="12"/>
    <n v="10408.241535093201"/>
    <n v="3799008.1603090302"/>
  </r>
  <r>
    <x v="0"/>
    <x v="1"/>
    <x v="3"/>
    <x v="13"/>
    <x v="0"/>
    <x v="0"/>
    <x v="13"/>
    <n v="10274.686991267299"/>
    <n v="3750260.75181258"/>
  </r>
  <r>
    <x v="0"/>
    <x v="1"/>
    <x v="3"/>
    <x v="13"/>
    <x v="0"/>
    <x v="0"/>
    <x v="14"/>
    <n v="10171.4485095369"/>
    <n v="3712578.7059809701"/>
  </r>
  <r>
    <x v="0"/>
    <x v="1"/>
    <x v="3"/>
    <x v="13"/>
    <x v="0"/>
    <x v="0"/>
    <x v="15"/>
    <n v="10074.764852043299"/>
    <n v="3677289.1709958101"/>
  </r>
  <r>
    <x v="0"/>
    <x v="1"/>
    <x v="3"/>
    <x v="13"/>
    <x v="0"/>
    <x v="0"/>
    <x v="16"/>
    <n v="9829.7782961909306"/>
    <n v="3587869.07810969"/>
  </r>
  <r>
    <x v="0"/>
    <x v="1"/>
    <x v="3"/>
    <x v="13"/>
    <x v="0"/>
    <x v="0"/>
    <x v="17"/>
    <n v="10120.648621701301"/>
    <n v="3694036.7469209698"/>
  </r>
  <r>
    <x v="0"/>
    <x v="1"/>
    <x v="3"/>
    <x v="13"/>
    <x v="0"/>
    <x v="0"/>
    <x v="18"/>
    <n v="10572.9314940442"/>
    <n v="3859119.9953261199"/>
  </r>
  <r>
    <x v="0"/>
    <x v="1"/>
    <x v="3"/>
    <x v="13"/>
    <x v="0"/>
    <x v="0"/>
    <x v="19"/>
    <n v="10659.782915182501"/>
    <n v="3890820.7640415998"/>
  </r>
  <r>
    <x v="0"/>
    <x v="1"/>
    <x v="3"/>
    <x v="13"/>
    <x v="0"/>
    <x v="0"/>
    <x v="20"/>
    <n v="10231.2612806982"/>
    <n v="3734410.3674548399"/>
  </r>
  <r>
    <x v="0"/>
    <x v="1"/>
    <x v="3"/>
    <x v="13"/>
    <x v="0"/>
    <x v="0"/>
    <x v="21"/>
    <n v="9753.5784644375199"/>
    <n v="3560056.1395196901"/>
  </r>
  <r>
    <x v="0"/>
    <x v="1"/>
    <x v="3"/>
    <x v="13"/>
    <x v="0"/>
    <x v="0"/>
    <x v="22"/>
    <n v="9146.43786949899"/>
    <n v="3338449.8223671298"/>
  </r>
  <r>
    <x v="0"/>
    <x v="1"/>
    <x v="3"/>
    <x v="13"/>
    <x v="0"/>
    <x v="0"/>
    <x v="23"/>
    <n v="8484.4006215768204"/>
    <n v="3096806.2268755399"/>
  </r>
  <r>
    <x v="0"/>
    <x v="1"/>
    <x v="3"/>
    <x v="14"/>
    <x v="0"/>
    <x v="0"/>
    <x v="0"/>
    <n v="2058.0596480959398"/>
    <n v="751191.77155501698"/>
  </r>
  <r>
    <x v="0"/>
    <x v="1"/>
    <x v="3"/>
    <x v="14"/>
    <x v="0"/>
    <x v="0"/>
    <x v="1"/>
    <n v="1953.1585495279401"/>
    <n v="712902.87057769799"/>
  </r>
  <r>
    <x v="0"/>
    <x v="1"/>
    <x v="3"/>
    <x v="14"/>
    <x v="0"/>
    <x v="0"/>
    <x v="2"/>
    <n v="1909.86603265861"/>
    <n v="697101.10192039202"/>
  </r>
  <r>
    <x v="0"/>
    <x v="1"/>
    <x v="3"/>
    <x v="14"/>
    <x v="0"/>
    <x v="0"/>
    <x v="3"/>
    <n v="1979.8000983706099"/>
    <n v="722627.03590527095"/>
  </r>
  <r>
    <x v="0"/>
    <x v="1"/>
    <x v="3"/>
    <x v="14"/>
    <x v="0"/>
    <x v="0"/>
    <x v="4"/>
    <n v="2081.37100333327"/>
    <n v="759700.41621664295"/>
  </r>
  <r>
    <x v="0"/>
    <x v="1"/>
    <x v="3"/>
    <x v="14"/>
    <x v="0"/>
    <x v="0"/>
    <x v="5"/>
    <n v="2262.0340064226002"/>
    <n v="825642.41234424803"/>
  </r>
  <r>
    <x v="0"/>
    <x v="1"/>
    <x v="3"/>
    <x v="14"/>
    <x v="0"/>
    <x v="0"/>
    <x v="6"/>
    <n v="2553.4259468892601"/>
    <n v="932000.47061457799"/>
  </r>
  <r>
    <x v="0"/>
    <x v="1"/>
    <x v="3"/>
    <x v="14"/>
    <x v="0"/>
    <x v="0"/>
    <x v="7"/>
    <n v="2890.6080494292401"/>
    <n v="1055071.93804167"/>
  </r>
  <r>
    <x v="0"/>
    <x v="1"/>
    <x v="3"/>
    <x v="14"/>
    <x v="0"/>
    <x v="0"/>
    <x v="8"/>
    <n v="2987.1836639839098"/>
    <n v="1090322.0373541301"/>
  </r>
  <r>
    <x v="0"/>
    <x v="1"/>
    <x v="3"/>
    <x v="14"/>
    <x v="0"/>
    <x v="0"/>
    <x v="9"/>
    <n v="3020.4856000372401"/>
    <n v="1102477.24401359"/>
  </r>
  <r>
    <x v="0"/>
    <x v="1"/>
    <x v="3"/>
    <x v="14"/>
    <x v="0"/>
    <x v="0"/>
    <x v="10"/>
    <n v="3020.4856000372401"/>
    <n v="1102477.24401359"/>
  </r>
  <r>
    <x v="0"/>
    <x v="1"/>
    <x v="3"/>
    <x v="14"/>
    <x v="0"/>
    <x v="0"/>
    <x v="11"/>
    <n v="2982.1883735759102"/>
    <n v="1088498.75635521"/>
  </r>
  <r>
    <x v="0"/>
    <x v="1"/>
    <x v="3"/>
    <x v="14"/>
    <x v="0"/>
    <x v="0"/>
    <x v="12"/>
    <n v="2924.7425338839098"/>
    <n v="1067531.0248676301"/>
  </r>
  <r>
    <x v="0"/>
    <x v="1"/>
    <x v="3"/>
    <x v="14"/>
    <x v="0"/>
    <x v="0"/>
    <x v="13"/>
    <n v="2878.9523718105802"/>
    <n v="1050817.6157108599"/>
  </r>
  <r>
    <x v="0"/>
    <x v="1"/>
    <x v="3"/>
    <x v="14"/>
    <x v="0"/>
    <x v="0"/>
    <x v="14"/>
    <n v="2824.8367257239101"/>
    <n v="1031065.40488923"/>
  </r>
  <r>
    <x v="0"/>
    <x v="1"/>
    <x v="3"/>
    <x v="14"/>
    <x v="0"/>
    <x v="0"/>
    <x v="15"/>
    <n v="2764.8932408279202"/>
    <n v="1009186.03290219"/>
  </r>
  <r>
    <x v="0"/>
    <x v="1"/>
    <x v="3"/>
    <x v="14"/>
    <x v="0"/>
    <x v="0"/>
    <x v="16"/>
    <n v="2676.6431102865799"/>
    <n v="976974.73525460297"/>
  </r>
  <r>
    <x v="0"/>
    <x v="1"/>
    <x v="3"/>
    <x v="14"/>
    <x v="0"/>
    <x v="0"/>
    <x v="17"/>
    <n v="2716.6054335505801"/>
    <n v="991560.983245963"/>
  </r>
  <r>
    <x v="0"/>
    <x v="1"/>
    <x v="3"/>
    <x v="14"/>
    <x v="0"/>
    <x v="0"/>
    <x v="18"/>
    <n v="2871.4594361985801"/>
    <n v="1048082.69421248"/>
  </r>
  <r>
    <x v="0"/>
    <x v="1"/>
    <x v="3"/>
    <x v="14"/>
    <x v="0"/>
    <x v="0"/>
    <x v="19"/>
    <n v="3006.3322772145698"/>
    <n v="1097311.2811833201"/>
  </r>
  <r>
    <x v="0"/>
    <x v="1"/>
    <x v="3"/>
    <x v="14"/>
    <x v="0"/>
    <x v="0"/>
    <x v="20"/>
    <n v="2952.2166311279102"/>
    <n v="1077559.0703616899"/>
  </r>
  <r>
    <x v="0"/>
    <x v="1"/>
    <x v="3"/>
    <x v="14"/>
    <x v="0"/>
    <x v="0"/>
    <x v="21"/>
    <n v="2835.6598549412502"/>
    <n v="1035015.84705355"/>
  </r>
  <r>
    <x v="0"/>
    <x v="1"/>
    <x v="3"/>
    <x v="14"/>
    <x v="0"/>
    <x v="0"/>
    <x v="22"/>
    <n v="2630.02039981192"/>
    <n v="959957.44593135105"/>
  </r>
  <r>
    <x v="0"/>
    <x v="1"/>
    <x v="3"/>
    <x v="14"/>
    <x v="0"/>
    <x v="0"/>
    <x v="23"/>
    <n v="2427.7111382879302"/>
    <n v="886114.56547509297"/>
  </r>
</pivotCacheRecords>
</file>

<file path=xl/pivotCache/pivotCacheRecords16.xml><?xml version="1.0" encoding="utf-8"?>
<pivotCacheRecords xmlns="http://schemas.openxmlformats.org/spreadsheetml/2006/main" xmlns:r="http://schemas.openxmlformats.org/officeDocument/2006/relationships" count="30">
  <r>
    <x v="0"/>
    <x v="0"/>
    <x v="0"/>
    <x v="0"/>
    <x v="0"/>
    <x v="0"/>
    <x v="0"/>
  </r>
  <r>
    <x v="0"/>
    <x v="0"/>
    <x v="0"/>
    <x v="1"/>
    <x v="0"/>
    <x v="1"/>
    <x v="1"/>
  </r>
  <r>
    <x v="0"/>
    <x v="0"/>
    <x v="1"/>
    <x v="2"/>
    <x v="0"/>
    <x v="2"/>
    <x v="2"/>
  </r>
  <r>
    <x v="0"/>
    <x v="0"/>
    <x v="1"/>
    <x v="3"/>
    <x v="0"/>
    <x v="3"/>
    <x v="3"/>
  </r>
  <r>
    <x v="0"/>
    <x v="0"/>
    <x v="1"/>
    <x v="4"/>
    <x v="0"/>
    <x v="4"/>
    <x v="4"/>
  </r>
  <r>
    <x v="0"/>
    <x v="0"/>
    <x v="1"/>
    <x v="5"/>
    <x v="0"/>
    <x v="5"/>
    <x v="5"/>
  </r>
  <r>
    <x v="0"/>
    <x v="0"/>
    <x v="2"/>
    <x v="6"/>
    <x v="0"/>
    <x v="6"/>
    <x v="6"/>
  </r>
  <r>
    <x v="0"/>
    <x v="0"/>
    <x v="2"/>
    <x v="7"/>
    <x v="0"/>
    <x v="7"/>
    <x v="7"/>
  </r>
  <r>
    <x v="0"/>
    <x v="0"/>
    <x v="2"/>
    <x v="8"/>
    <x v="0"/>
    <x v="8"/>
    <x v="8"/>
  </r>
  <r>
    <x v="0"/>
    <x v="0"/>
    <x v="2"/>
    <x v="9"/>
    <x v="0"/>
    <x v="9"/>
    <x v="9"/>
  </r>
  <r>
    <x v="0"/>
    <x v="0"/>
    <x v="2"/>
    <x v="10"/>
    <x v="0"/>
    <x v="10"/>
    <x v="10"/>
  </r>
  <r>
    <x v="0"/>
    <x v="0"/>
    <x v="3"/>
    <x v="11"/>
    <x v="0"/>
    <x v="11"/>
    <x v="11"/>
  </r>
  <r>
    <x v="0"/>
    <x v="0"/>
    <x v="3"/>
    <x v="12"/>
    <x v="0"/>
    <x v="12"/>
    <x v="12"/>
  </r>
  <r>
    <x v="0"/>
    <x v="0"/>
    <x v="3"/>
    <x v="13"/>
    <x v="0"/>
    <x v="13"/>
    <x v="13"/>
  </r>
  <r>
    <x v="0"/>
    <x v="0"/>
    <x v="3"/>
    <x v="14"/>
    <x v="0"/>
    <x v="14"/>
    <x v="14"/>
  </r>
  <r>
    <x v="0"/>
    <x v="1"/>
    <x v="0"/>
    <x v="0"/>
    <x v="0"/>
    <x v="0"/>
    <x v="0"/>
  </r>
  <r>
    <x v="0"/>
    <x v="1"/>
    <x v="0"/>
    <x v="1"/>
    <x v="0"/>
    <x v="1"/>
    <x v="1"/>
  </r>
  <r>
    <x v="0"/>
    <x v="1"/>
    <x v="1"/>
    <x v="2"/>
    <x v="0"/>
    <x v="2"/>
    <x v="2"/>
  </r>
  <r>
    <x v="0"/>
    <x v="1"/>
    <x v="1"/>
    <x v="3"/>
    <x v="0"/>
    <x v="3"/>
    <x v="3"/>
  </r>
  <r>
    <x v="0"/>
    <x v="1"/>
    <x v="1"/>
    <x v="4"/>
    <x v="0"/>
    <x v="4"/>
    <x v="4"/>
  </r>
  <r>
    <x v="0"/>
    <x v="1"/>
    <x v="1"/>
    <x v="5"/>
    <x v="0"/>
    <x v="5"/>
    <x v="5"/>
  </r>
  <r>
    <x v="0"/>
    <x v="1"/>
    <x v="2"/>
    <x v="6"/>
    <x v="0"/>
    <x v="6"/>
    <x v="6"/>
  </r>
  <r>
    <x v="0"/>
    <x v="1"/>
    <x v="2"/>
    <x v="7"/>
    <x v="0"/>
    <x v="7"/>
    <x v="7"/>
  </r>
  <r>
    <x v="0"/>
    <x v="1"/>
    <x v="2"/>
    <x v="8"/>
    <x v="0"/>
    <x v="8"/>
    <x v="8"/>
  </r>
  <r>
    <x v="0"/>
    <x v="1"/>
    <x v="2"/>
    <x v="9"/>
    <x v="0"/>
    <x v="9"/>
    <x v="9"/>
  </r>
  <r>
    <x v="0"/>
    <x v="1"/>
    <x v="2"/>
    <x v="10"/>
    <x v="0"/>
    <x v="10"/>
    <x v="10"/>
  </r>
  <r>
    <x v="0"/>
    <x v="1"/>
    <x v="3"/>
    <x v="11"/>
    <x v="0"/>
    <x v="11"/>
    <x v="11"/>
  </r>
  <r>
    <x v="0"/>
    <x v="1"/>
    <x v="3"/>
    <x v="12"/>
    <x v="0"/>
    <x v="12"/>
    <x v="12"/>
  </r>
  <r>
    <x v="0"/>
    <x v="1"/>
    <x v="3"/>
    <x v="13"/>
    <x v="0"/>
    <x v="13"/>
    <x v="13"/>
  </r>
  <r>
    <x v="0"/>
    <x v="1"/>
    <x v="3"/>
    <x v="14"/>
    <x v="0"/>
    <x v="14"/>
    <x v="14"/>
  </r>
</pivotCacheRecords>
</file>

<file path=xl/pivotCache/pivotCacheRecords17.xml><?xml version="1.0" encoding="utf-8"?>
<pivotCacheRecords xmlns="http://schemas.openxmlformats.org/spreadsheetml/2006/main" xmlns:r="http://schemas.openxmlformats.org/officeDocument/2006/relationships" count="1292">
  <r>
    <x v="0"/>
    <x v="0"/>
    <x v="0"/>
    <x v="0"/>
    <s v="NeA"/>
    <x v="0"/>
    <s v="GCND_COAL1"/>
    <n v="992.39073797318497"/>
    <n v="0.992390737973185"/>
  </r>
  <r>
    <x v="0"/>
    <x v="1"/>
    <x v="0"/>
    <x v="0"/>
    <s v="NeA"/>
    <x v="0"/>
    <s v="GCND_COAL1"/>
    <n v="3301.9249914689599"/>
    <n v="3.3019249914689599"/>
  </r>
  <r>
    <x v="0"/>
    <x v="1"/>
    <x v="1"/>
    <x v="1"/>
    <s v="UKA"/>
    <x v="0"/>
    <s v="GCND_COAL1"/>
    <n v="2310.5117702401599"/>
    <n v="2.3105117702401601"/>
  </r>
  <r>
    <x v="0"/>
    <x v="0"/>
    <x v="0"/>
    <x v="0"/>
    <s v="NeA"/>
    <x v="0"/>
    <s v="GCND_COAL2"/>
    <n v="1368.2469108933201"/>
    <n v="1.36824691089332"/>
  </r>
  <r>
    <x v="0"/>
    <x v="0"/>
    <x v="1"/>
    <x v="1"/>
    <s v="UKA"/>
    <x v="0"/>
    <s v="GCND_COAL2"/>
    <n v="995.6"/>
    <n v="0.99560000000000004"/>
  </r>
  <r>
    <x v="0"/>
    <x v="1"/>
    <x v="0"/>
    <x v="0"/>
    <s v="NeA"/>
    <x v="0"/>
    <s v="GCND_COAL2"/>
    <n v="1368.2469108933201"/>
    <n v="1.36824691089332"/>
  </r>
  <r>
    <x v="0"/>
    <x v="1"/>
    <x v="1"/>
    <x v="1"/>
    <s v="UKA"/>
    <x v="0"/>
    <s v="GCND_COAL2"/>
    <n v="2986.8"/>
    <n v="2.9868000000000001"/>
  </r>
  <r>
    <x v="0"/>
    <x v="0"/>
    <x v="2"/>
    <x v="2"/>
    <s v="FinA"/>
    <x v="0"/>
    <s v="GCND_COAL3"/>
    <n v="565"/>
    <n v="0.56499999999999995"/>
  </r>
  <r>
    <x v="0"/>
    <x v="0"/>
    <x v="0"/>
    <x v="0"/>
    <s v="NeA"/>
    <x v="0"/>
    <s v="GCND_COAL3"/>
    <n v="1368.2469108933201"/>
    <n v="1.36824691089332"/>
  </r>
  <r>
    <x v="0"/>
    <x v="0"/>
    <x v="1"/>
    <x v="1"/>
    <s v="UKA"/>
    <x v="0"/>
    <s v="GCND_COAL3"/>
    <n v="2286.8000000000002"/>
    <n v="2.2867999999999999"/>
  </r>
  <r>
    <x v="0"/>
    <x v="1"/>
    <x v="0"/>
    <x v="0"/>
    <s v="NeA"/>
    <x v="0"/>
    <s v="GCND_COAL3"/>
    <n v="281.38311382777601"/>
    <n v="0.28138311382777598"/>
  </r>
  <r>
    <x v="0"/>
    <x v="1"/>
    <x v="1"/>
    <x v="1"/>
    <s v="UKA"/>
    <x v="0"/>
    <s v="GCND_COAL3"/>
    <n v="759.01250804655001"/>
    <n v="0.75901250804654996"/>
  </r>
  <r>
    <x v="0"/>
    <x v="0"/>
    <x v="0"/>
    <x v="0"/>
    <s v="NeA"/>
    <x v="0"/>
    <s v="GCND_COAL4"/>
    <n v="957.77283762532397"/>
    <n v="0.95777283762532395"/>
  </r>
  <r>
    <x v="0"/>
    <x v="0"/>
    <x v="1"/>
    <x v="1"/>
    <s v="UKA"/>
    <x v="0"/>
    <s v="GCND_COAL4"/>
    <n v="13072.9490269869"/>
    <n v="13.072949026986899"/>
  </r>
  <r>
    <x v="0"/>
    <x v="0"/>
    <x v="2"/>
    <x v="2"/>
    <s v="FinA"/>
    <x v="1"/>
    <s v="GCND_FUELOIL1"/>
    <n v="446.765294592413"/>
    <n v="0.44676529459241299"/>
  </r>
  <r>
    <x v="0"/>
    <x v="0"/>
    <x v="0"/>
    <x v="0"/>
    <s v="NeA"/>
    <x v="1"/>
    <s v="GCND_FUELOIL1"/>
    <n v="174.21003206554701"/>
    <n v="0.174210032065547"/>
  </r>
  <r>
    <x v="0"/>
    <x v="0"/>
    <x v="3"/>
    <x v="3"/>
    <s v="SE1A"/>
    <x v="1"/>
    <s v="GCND_FUELOIL1"/>
    <n v="17.682881861104701"/>
    <n v="1.7682881861104699E-2"/>
  </r>
  <r>
    <x v="0"/>
    <x v="0"/>
    <x v="3"/>
    <x v="4"/>
    <s v="SE2A"/>
    <x v="1"/>
    <s v="GCND_FUELOIL1"/>
    <n v="33.631589165016898"/>
    <n v="3.3631589165016899E-2"/>
  </r>
  <r>
    <x v="0"/>
    <x v="0"/>
    <x v="3"/>
    <x v="5"/>
    <s v="SE3A"/>
    <x v="1"/>
    <s v="GCND_FUELOIL1"/>
    <n v="359.68155602152098"/>
    <n v="0.35968155602152102"/>
  </r>
  <r>
    <x v="0"/>
    <x v="0"/>
    <x v="3"/>
    <x v="6"/>
    <s v="SE4A"/>
    <x v="1"/>
    <s v="GCND_FUELOIL1"/>
    <n v="480.612466000084"/>
    <n v="0.480612466000084"/>
  </r>
  <r>
    <x v="0"/>
    <x v="0"/>
    <x v="1"/>
    <x v="1"/>
    <s v="UKA"/>
    <x v="1"/>
    <s v="GCND_FUELOIL1"/>
    <n v="704.64736921453402"/>
    <n v="0.70464736921453397"/>
  </r>
  <r>
    <x v="0"/>
    <x v="1"/>
    <x v="2"/>
    <x v="2"/>
    <s v="FinA"/>
    <x v="1"/>
    <s v="GCND_FUELOIL1"/>
    <n v="379.18878127522203"/>
    <n v="0.37918878127522199"/>
  </r>
  <r>
    <x v="0"/>
    <x v="1"/>
    <x v="0"/>
    <x v="0"/>
    <s v="NeA"/>
    <x v="1"/>
    <s v="GCND_FUELOIL1"/>
    <n v="219.901756740791"/>
    <n v="0.21990175674079099"/>
  </r>
  <r>
    <x v="0"/>
    <x v="1"/>
    <x v="3"/>
    <x v="3"/>
    <s v="SE1A"/>
    <x v="1"/>
    <s v="GCND_FUELOIL1"/>
    <n v="7.8366752770527803"/>
    <n v="7.8366752770527796E-3"/>
  </r>
  <r>
    <x v="0"/>
    <x v="1"/>
    <x v="3"/>
    <x v="4"/>
    <s v="SE2A"/>
    <x v="1"/>
    <s v="GCND_FUELOIL1"/>
    <n v="14.904801457573001"/>
    <n v="1.4904801457573001E-2"/>
  </r>
  <r>
    <x v="0"/>
    <x v="1"/>
    <x v="3"/>
    <x v="5"/>
    <s v="SE3A"/>
    <x v="1"/>
    <s v="GCND_FUELOIL1"/>
    <n v="159.403177594358"/>
    <n v="0.15940317759435799"/>
  </r>
  <r>
    <x v="0"/>
    <x v="1"/>
    <x v="3"/>
    <x v="6"/>
    <s v="SE4A"/>
    <x v="1"/>
    <s v="GCND_FUELOIL1"/>
    <n v="212.997172052075"/>
    <n v="0.212997172052075"/>
  </r>
  <r>
    <x v="0"/>
    <x v="1"/>
    <x v="1"/>
    <x v="1"/>
    <s v="UKA"/>
    <x v="1"/>
    <s v="GCND_FUELOIL1"/>
    <n v="577.29292929292899"/>
    <n v="0.57729292929292897"/>
  </r>
  <r>
    <x v="0"/>
    <x v="0"/>
    <x v="2"/>
    <x v="2"/>
    <s v="FinA"/>
    <x v="1"/>
    <s v="GCND_FUELOIL2"/>
    <n v="446.765294592413"/>
    <n v="0.44676529459241299"/>
  </r>
  <r>
    <x v="0"/>
    <x v="0"/>
    <x v="0"/>
    <x v="0"/>
    <s v="NeA"/>
    <x v="1"/>
    <s v="GCND_FUELOIL2"/>
    <n v="174.21003206554701"/>
    <n v="0.174210032065547"/>
  </r>
  <r>
    <x v="0"/>
    <x v="0"/>
    <x v="3"/>
    <x v="3"/>
    <s v="SE1A"/>
    <x v="1"/>
    <s v="GCND_FUELOIL2"/>
    <n v="17.682881861104701"/>
    <n v="1.7682881861104699E-2"/>
  </r>
  <r>
    <x v="0"/>
    <x v="0"/>
    <x v="3"/>
    <x v="4"/>
    <s v="SE2A"/>
    <x v="1"/>
    <s v="GCND_FUELOIL2"/>
    <n v="33.631589165016898"/>
    <n v="3.3631589165016899E-2"/>
  </r>
  <r>
    <x v="0"/>
    <x v="0"/>
    <x v="3"/>
    <x v="5"/>
    <s v="SE3A"/>
    <x v="1"/>
    <s v="GCND_FUELOIL2"/>
    <n v="359.68155602152098"/>
    <n v="0.35968155602152102"/>
  </r>
  <r>
    <x v="0"/>
    <x v="0"/>
    <x v="3"/>
    <x v="6"/>
    <s v="SE4A"/>
    <x v="1"/>
    <s v="GCND_FUELOIL2"/>
    <n v="480.612466000084"/>
    <n v="0.480612466000084"/>
  </r>
  <r>
    <x v="0"/>
    <x v="0"/>
    <x v="1"/>
    <x v="1"/>
    <s v="UKA"/>
    <x v="1"/>
    <s v="GCND_FUELOIL2"/>
    <n v="704.64736921453402"/>
    <n v="0.70464736921453397"/>
  </r>
  <r>
    <x v="0"/>
    <x v="1"/>
    <x v="2"/>
    <x v="2"/>
    <s v="FinA"/>
    <x v="1"/>
    <s v="GCND_FUELOIL2"/>
    <n v="379.18878127522203"/>
    <n v="0.37918878127522199"/>
  </r>
  <r>
    <x v="0"/>
    <x v="1"/>
    <x v="0"/>
    <x v="0"/>
    <s v="NeA"/>
    <x v="1"/>
    <s v="GCND_FUELOIL2"/>
    <n v="219.901756740791"/>
    <n v="0.21990175674079099"/>
  </r>
  <r>
    <x v="0"/>
    <x v="1"/>
    <x v="3"/>
    <x v="3"/>
    <s v="SE1A"/>
    <x v="1"/>
    <s v="GCND_FUELOIL2"/>
    <n v="7.8366752770527803"/>
    <n v="7.8366752770527796E-3"/>
  </r>
  <r>
    <x v="0"/>
    <x v="1"/>
    <x v="3"/>
    <x v="4"/>
    <s v="SE2A"/>
    <x v="1"/>
    <s v="GCND_FUELOIL2"/>
    <n v="14.904801457573001"/>
    <n v="1.4904801457573001E-2"/>
  </r>
  <r>
    <x v="0"/>
    <x v="1"/>
    <x v="3"/>
    <x v="5"/>
    <s v="SE3A"/>
    <x v="1"/>
    <s v="GCND_FUELOIL2"/>
    <n v="159.403177594358"/>
    <n v="0.15940317759435799"/>
  </r>
  <r>
    <x v="0"/>
    <x v="1"/>
    <x v="3"/>
    <x v="6"/>
    <s v="SE4A"/>
    <x v="1"/>
    <s v="GCND_FUELOIL2"/>
    <n v="212.997172052075"/>
    <n v="0.212997172052075"/>
  </r>
  <r>
    <x v="0"/>
    <x v="1"/>
    <x v="1"/>
    <x v="1"/>
    <s v="UKA"/>
    <x v="1"/>
    <s v="GCND_FUELOIL2"/>
    <n v="577.29292929292899"/>
    <n v="0.57729292929292897"/>
  </r>
  <r>
    <x v="0"/>
    <x v="0"/>
    <x v="2"/>
    <x v="2"/>
    <s v="FinA"/>
    <x v="1"/>
    <s v="GCND_FUELOIL3"/>
    <n v="446.765294592413"/>
    <n v="0.44676529459241299"/>
  </r>
  <r>
    <x v="0"/>
    <x v="0"/>
    <x v="0"/>
    <x v="0"/>
    <s v="NeA"/>
    <x v="1"/>
    <s v="GCND_FUELOIL3"/>
    <n v="174.21003206554701"/>
    <n v="0.174210032065547"/>
  </r>
  <r>
    <x v="0"/>
    <x v="0"/>
    <x v="3"/>
    <x v="3"/>
    <s v="SE1A"/>
    <x v="1"/>
    <s v="GCND_FUELOIL3"/>
    <n v="17.682881861104701"/>
    <n v="1.7682881861104699E-2"/>
  </r>
  <r>
    <x v="0"/>
    <x v="0"/>
    <x v="3"/>
    <x v="4"/>
    <s v="SE2A"/>
    <x v="1"/>
    <s v="GCND_FUELOIL3"/>
    <n v="33.631589165016898"/>
    <n v="3.3631589165016899E-2"/>
  </r>
  <r>
    <x v="0"/>
    <x v="0"/>
    <x v="3"/>
    <x v="5"/>
    <s v="SE3A"/>
    <x v="1"/>
    <s v="GCND_FUELOIL3"/>
    <n v="359.68155602152098"/>
    <n v="0.35968155602152102"/>
  </r>
  <r>
    <x v="0"/>
    <x v="0"/>
    <x v="3"/>
    <x v="6"/>
    <s v="SE4A"/>
    <x v="1"/>
    <s v="GCND_FUELOIL3"/>
    <n v="480.612466000084"/>
    <n v="0.480612466000084"/>
  </r>
  <r>
    <x v="0"/>
    <x v="0"/>
    <x v="1"/>
    <x v="1"/>
    <s v="UKA"/>
    <x v="1"/>
    <s v="GCND_FUELOIL3"/>
    <n v="704.64736921453402"/>
    <n v="0.70464736921453397"/>
  </r>
  <r>
    <x v="0"/>
    <x v="1"/>
    <x v="2"/>
    <x v="2"/>
    <s v="FinA"/>
    <x v="1"/>
    <s v="GCND_FUELOIL3"/>
    <n v="379.18878127522203"/>
    <n v="0.37918878127522199"/>
  </r>
  <r>
    <x v="0"/>
    <x v="1"/>
    <x v="0"/>
    <x v="0"/>
    <s v="NeA"/>
    <x v="1"/>
    <s v="GCND_FUELOIL3"/>
    <n v="219.901756740791"/>
    <n v="0.21990175674079099"/>
  </r>
  <r>
    <x v="0"/>
    <x v="1"/>
    <x v="3"/>
    <x v="3"/>
    <s v="SE1A"/>
    <x v="1"/>
    <s v="GCND_FUELOIL3"/>
    <n v="7.8366752770527803"/>
    <n v="7.8366752770527796E-3"/>
  </r>
  <r>
    <x v="0"/>
    <x v="1"/>
    <x v="3"/>
    <x v="4"/>
    <s v="SE2A"/>
    <x v="1"/>
    <s v="GCND_FUELOIL3"/>
    <n v="14.904801457573001"/>
    <n v="1.4904801457573001E-2"/>
  </r>
  <r>
    <x v="0"/>
    <x v="1"/>
    <x v="3"/>
    <x v="5"/>
    <s v="SE3A"/>
    <x v="1"/>
    <s v="GCND_FUELOIL3"/>
    <n v="159.403177594358"/>
    <n v="0.15940317759435799"/>
  </r>
  <r>
    <x v="0"/>
    <x v="1"/>
    <x v="3"/>
    <x v="6"/>
    <s v="SE4A"/>
    <x v="1"/>
    <s v="GCND_FUELOIL3"/>
    <n v="212.997172052075"/>
    <n v="0.212997172052075"/>
  </r>
  <r>
    <x v="0"/>
    <x v="1"/>
    <x v="1"/>
    <x v="1"/>
    <s v="UKA"/>
    <x v="1"/>
    <s v="GCND_FUELOIL3"/>
    <n v="577.29292929292899"/>
    <n v="0.57729292929292897"/>
  </r>
  <r>
    <x v="0"/>
    <x v="0"/>
    <x v="2"/>
    <x v="2"/>
    <s v="FinA"/>
    <x v="2"/>
    <s v="GCND_NATGAS1"/>
    <n v="4.3"/>
    <n v="4.3E-3"/>
  </r>
  <r>
    <x v="0"/>
    <x v="0"/>
    <x v="0"/>
    <x v="0"/>
    <s v="NeA"/>
    <x v="2"/>
    <s v="GCND_NATGAS1"/>
    <n v="1092.1265337679099"/>
    <n v="1.09212653376791"/>
  </r>
  <r>
    <x v="0"/>
    <x v="0"/>
    <x v="1"/>
    <x v="1"/>
    <s v="UKA"/>
    <x v="2"/>
    <s v="GCND_NATGAS1"/>
    <n v="3049.62077098801"/>
    <n v="3.0496207709880099"/>
  </r>
  <r>
    <x v="0"/>
    <x v="1"/>
    <x v="2"/>
    <x v="2"/>
    <s v="FinA"/>
    <x v="2"/>
    <s v="GCND_NATGAS1"/>
    <n v="17.659886159376899"/>
    <n v="1.76598861593769E-2"/>
  </r>
  <r>
    <x v="0"/>
    <x v="1"/>
    <x v="0"/>
    <x v="0"/>
    <s v="NeA"/>
    <x v="2"/>
    <s v="GCND_NATGAS1"/>
    <n v="4361.7849996005898"/>
    <n v="4.36178499960059"/>
  </r>
  <r>
    <x v="0"/>
    <x v="1"/>
    <x v="1"/>
    <x v="1"/>
    <s v="UKA"/>
    <x v="2"/>
    <s v="GCND_NATGAS1"/>
    <n v="17911.165391204999"/>
    <n v="17.911165391205"/>
  </r>
  <r>
    <x v="0"/>
    <x v="0"/>
    <x v="2"/>
    <x v="2"/>
    <s v="FinA"/>
    <x v="2"/>
    <s v="GCND_NATGAS2"/>
    <n v="14.3333333333333"/>
    <n v="1.43333333333333E-2"/>
  </r>
  <r>
    <x v="0"/>
    <x v="0"/>
    <x v="0"/>
    <x v="0"/>
    <s v="NeA"/>
    <x v="2"/>
    <s v="GCND_NATGAS2"/>
    <n v="4894.40599554245"/>
    <n v="4.8944059955424501"/>
  </r>
  <r>
    <x v="0"/>
    <x v="0"/>
    <x v="1"/>
    <x v="1"/>
    <s v="UKA"/>
    <x v="2"/>
    <s v="GCND_NATGAS2"/>
    <n v="16000.5"/>
    <n v="16.000499999999999"/>
  </r>
  <r>
    <x v="0"/>
    <x v="1"/>
    <x v="2"/>
    <x v="2"/>
    <s v="FinA"/>
    <x v="2"/>
    <s v="GCND_NATGAS2"/>
    <n v="14.3333333333333"/>
    <n v="1.43333333333333E-2"/>
  </r>
  <r>
    <x v="0"/>
    <x v="1"/>
    <x v="0"/>
    <x v="0"/>
    <s v="NeA"/>
    <x v="2"/>
    <s v="GCND_NATGAS2"/>
    <n v="4006.0900029701602"/>
    <n v="4.0060900029701596"/>
  </r>
  <r>
    <x v="0"/>
    <x v="1"/>
    <x v="1"/>
    <x v="1"/>
    <s v="UKA"/>
    <x v="2"/>
    <s v="GCND_NATGAS2"/>
    <n v="16000.5"/>
    <n v="16.000499999999999"/>
  </r>
  <r>
    <x v="0"/>
    <x v="0"/>
    <x v="2"/>
    <x v="2"/>
    <s v="FinA"/>
    <x v="2"/>
    <s v="GCND_NATGAS3"/>
    <n v="14.3333333333333"/>
    <n v="1.43333333333333E-2"/>
  </r>
  <r>
    <x v="0"/>
    <x v="0"/>
    <x v="0"/>
    <x v="0"/>
    <s v="NeA"/>
    <x v="2"/>
    <s v="GCND_NATGAS3"/>
    <n v="1631.4686651808199"/>
    <n v="1.6314686651808199"/>
  </r>
  <r>
    <x v="0"/>
    <x v="0"/>
    <x v="4"/>
    <x v="7"/>
    <s v="PL_A"/>
    <x v="2"/>
    <s v="GCND_NATGAS3"/>
    <n v="8"/>
    <n v="8.0000000000000002E-3"/>
  </r>
  <r>
    <x v="0"/>
    <x v="0"/>
    <x v="1"/>
    <x v="1"/>
    <s v="UKA"/>
    <x v="2"/>
    <s v="GCND_NATGAS3"/>
    <n v="12946.95"/>
    <n v="12.946949999999999"/>
  </r>
  <r>
    <x v="0"/>
    <x v="1"/>
    <x v="2"/>
    <x v="2"/>
    <s v="FinA"/>
    <x v="2"/>
    <s v="GCND_NATGAS3"/>
    <n v="1.3865288595965599"/>
    <n v="1.3865288595965601E-3"/>
  </r>
  <r>
    <x v="0"/>
    <x v="1"/>
    <x v="4"/>
    <x v="7"/>
    <s v="PL_A"/>
    <x v="2"/>
    <s v="GCND_NATGAS3"/>
    <n v="8"/>
    <n v="8.0000000000000002E-3"/>
  </r>
  <r>
    <x v="0"/>
    <x v="1"/>
    <x v="1"/>
    <x v="1"/>
    <s v="UKA"/>
    <x v="2"/>
    <s v="GCND_NATGAS3"/>
    <n v="1137.546921759"/>
    <n v="1.137546921759"/>
  </r>
  <r>
    <x v="0"/>
    <x v="0"/>
    <x v="2"/>
    <x v="2"/>
    <s v="FinA"/>
    <x v="2"/>
    <s v="GCND_NATGAS4"/>
    <n v="6.6531056520870804"/>
    <n v="6.6531056520870799E-3"/>
  </r>
  <r>
    <x v="0"/>
    <x v="0"/>
    <x v="0"/>
    <x v="0"/>
    <s v="NeA"/>
    <x v="2"/>
    <s v="GCND_NATGAS4"/>
    <n v="815.73433259040905"/>
    <n v="0.81573433259040895"/>
  </r>
  <r>
    <x v="0"/>
    <x v="0"/>
    <x v="5"/>
    <x v="8"/>
    <s v="NO3_A1"/>
    <x v="2"/>
    <s v="GCND_NATGAS4"/>
    <n v="300"/>
    <n v="0.3"/>
  </r>
  <r>
    <x v="0"/>
    <x v="0"/>
    <x v="1"/>
    <x v="1"/>
    <s v="UKA"/>
    <x v="2"/>
    <s v="GCND_NATGAS4"/>
    <n v="2818.65"/>
    <n v="2.8186499999999999"/>
  </r>
  <r>
    <x v="0"/>
    <x v="1"/>
    <x v="5"/>
    <x v="8"/>
    <s v="NO3_A1"/>
    <x v="2"/>
    <s v="GCND_NATGAS4"/>
    <n v="300"/>
    <n v="0.3"/>
  </r>
  <r>
    <x v="0"/>
    <x v="1"/>
    <x v="1"/>
    <x v="1"/>
    <s v="UKA"/>
    <x v="2"/>
    <s v="GCND_NATGAS4"/>
    <n v="1551.95"/>
    <n v="1.5519499999999999"/>
  </r>
  <r>
    <x v="0"/>
    <x v="0"/>
    <x v="2"/>
    <x v="2"/>
    <s v="FinA"/>
    <x v="3"/>
    <s v="GCND_NUCLEAR"/>
    <n v="2752"/>
    <n v="2.7519999999999998"/>
  </r>
  <r>
    <x v="0"/>
    <x v="0"/>
    <x v="0"/>
    <x v="0"/>
    <s v="NeA"/>
    <x v="3"/>
    <s v="GCND_NUCLEAR"/>
    <n v="510"/>
    <n v="0.51"/>
  </r>
  <r>
    <x v="0"/>
    <x v="0"/>
    <x v="3"/>
    <x v="5"/>
    <s v="SE3A"/>
    <x v="3"/>
    <s v="GCND_NUCLEAR"/>
    <n v="8890"/>
    <n v="8.89"/>
  </r>
  <r>
    <x v="0"/>
    <x v="0"/>
    <x v="1"/>
    <x v="1"/>
    <s v="UKA"/>
    <x v="3"/>
    <s v="GCND_NUCLEAR"/>
    <n v="8918"/>
    <n v="8.9179999999999993"/>
  </r>
  <r>
    <x v="0"/>
    <x v="1"/>
    <x v="2"/>
    <x v="2"/>
    <s v="FinA"/>
    <x v="3"/>
    <s v="GCND_NUCLEAR"/>
    <n v="4510"/>
    <n v="4.51"/>
  </r>
  <r>
    <x v="0"/>
    <x v="1"/>
    <x v="0"/>
    <x v="0"/>
    <s v="NeA"/>
    <x v="3"/>
    <s v="GCND_NUCLEAR"/>
    <n v="610"/>
    <n v="0.61"/>
  </r>
  <r>
    <x v="0"/>
    <x v="1"/>
    <x v="3"/>
    <x v="5"/>
    <s v="SE3A"/>
    <x v="3"/>
    <s v="GCND_NUCLEAR"/>
    <n v="6673"/>
    <n v="6.673"/>
  </r>
  <r>
    <x v="0"/>
    <x v="1"/>
    <x v="1"/>
    <x v="1"/>
    <s v="UKA"/>
    <x v="3"/>
    <s v="GCND_NUCLEAR"/>
    <n v="8433"/>
    <n v="8.4329999999999998"/>
  </r>
  <r>
    <x v="0"/>
    <x v="0"/>
    <x v="2"/>
    <x v="2"/>
    <s v="FinA"/>
    <x v="4"/>
    <s v="GCND_COFIRING"/>
    <n v="325.375"/>
    <n v="0.32537500000000003"/>
  </r>
  <r>
    <x v="0"/>
    <x v="0"/>
    <x v="1"/>
    <x v="1"/>
    <s v="UKA"/>
    <x v="4"/>
    <s v="GCND_COFIRING"/>
    <n v="16"/>
    <n v="1.6E-2"/>
  </r>
  <r>
    <x v="0"/>
    <x v="1"/>
    <x v="2"/>
    <x v="2"/>
    <s v="FinA"/>
    <x v="4"/>
    <s v="GCND_COFIRING"/>
    <n v="325.375"/>
    <n v="0.32537500000000003"/>
  </r>
  <r>
    <x v="0"/>
    <x v="1"/>
    <x v="1"/>
    <x v="1"/>
    <s v="UKA"/>
    <x v="4"/>
    <s v="GCND_COFIRING"/>
    <n v="16"/>
    <n v="1.6E-2"/>
  </r>
  <r>
    <x v="0"/>
    <x v="0"/>
    <x v="2"/>
    <x v="2"/>
    <s v="FinA"/>
    <x v="5"/>
    <s v="GCND_PEAT"/>
    <n v="163.49843260188101"/>
    <n v="0.16349843260188099"/>
  </r>
  <r>
    <x v="0"/>
    <x v="1"/>
    <x v="2"/>
    <x v="2"/>
    <s v="FinA"/>
    <x v="5"/>
    <s v="GCND_PEAT"/>
    <n v="163.60762800417999"/>
    <n v="0.16360762800417999"/>
  </r>
  <r>
    <x v="0"/>
    <x v="0"/>
    <x v="2"/>
    <x v="2"/>
    <s v="FinA"/>
    <x v="6"/>
    <s v="GCND_WOODCHIPS"/>
    <n v="5.4984326018808796"/>
    <n v="5.4984326018808804E-3"/>
  </r>
  <r>
    <x v="0"/>
    <x v="1"/>
    <x v="2"/>
    <x v="2"/>
    <s v="FinA"/>
    <x v="6"/>
    <s v="GCND_WOODCHIPS"/>
    <n v="5.6076280041797304"/>
    <n v="5.6076280041797303E-3"/>
  </r>
  <r>
    <x v="0"/>
    <x v="0"/>
    <x v="2"/>
    <x v="2"/>
    <s v="FinA"/>
    <x v="7"/>
    <s v="GHYRR_WATER"/>
    <n v="1673.1"/>
    <n v="1.6731"/>
  </r>
  <r>
    <x v="0"/>
    <x v="0"/>
    <x v="0"/>
    <x v="0"/>
    <s v="NeA"/>
    <x v="7"/>
    <s v="GHYRR_WATER"/>
    <n v="37"/>
    <n v="3.6999999999999998E-2"/>
  </r>
  <r>
    <x v="0"/>
    <x v="0"/>
    <x v="5"/>
    <x v="9"/>
    <s v="NO1_A1"/>
    <x v="7"/>
    <s v="GHYRR_WATER"/>
    <n v="2230.52867293793"/>
    <n v="2.2305286729379299"/>
  </r>
  <r>
    <x v="0"/>
    <x v="0"/>
    <x v="5"/>
    <x v="10"/>
    <s v="NO2_A1"/>
    <x v="7"/>
    <s v="GHYRR_WATER"/>
    <n v="2990.1432629257502"/>
    <n v="2.9901432629257498"/>
  </r>
  <r>
    <x v="0"/>
    <x v="0"/>
    <x v="5"/>
    <x v="8"/>
    <s v="NO3_A1"/>
    <x v="7"/>
    <s v="GHYRR_WATER"/>
    <n v="1860.3240071862599"/>
    <n v="1.8603240071862599"/>
  </r>
  <r>
    <x v="0"/>
    <x v="0"/>
    <x v="5"/>
    <x v="11"/>
    <s v="NO4_A1"/>
    <x v="7"/>
    <s v="GHYRR_WATER"/>
    <n v="1577.8632075053499"/>
    <n v="1.57786320750535"/>
  </r>
  <r>
    <x v="0"/>
    <x v="0"/>
    <x v="5"/>
    <x v="12"/>
    <s v="NO5_A1"/>
    <x v="7"/>
    <s v="GHYRR_WATER"/>
    <n v="914.31468008072795"/>
    <n v="0.91431468008072803"/>
  </r>
  <r>
    <x v="0"/>
    <x v="0"/>
    <x v="3"/>
    <x v="3"/>
    <s v="SE1A"/>
    <x v="7"/>
    <s v="GHYRR_WATER"/>
    <n v="1074.8761302059299"/>
    <n v="1.07487613020593"/>
  </r>
  <r>
    <x v="0"/>
    <x v="0"/>
    <x v="3"/>
    <x v="4"/>
    <s v="SE2A"/>
    <x v="7"/>
    <s v="GHYRR_WATER"/>
    <n v="1628.1062142834801"/>
    <n v="1.6281062142834799"/>
  </r>
  <r>
    <x v="0"/>
    <x v="0"/>
    <x v="3"/>
    <x v="5"/>
    <s v="SE3A"/>
    <x v="7"/>
    <s v="GHYRR_WATER"/>
    <n v="511.45764678992902"/>
    <n v="0.511457646789929"/>
  </r>
  <r>
    <x v="0"/>
    <x v="0"/>
    <x v="3"/>
    <x v="6"/>
    <s v="SE4A"/>
    <x v="7"/>
    <s v="GHYRR_WATER"/>
    <n v="146.11982447348399"/>
    <n v="0.14611982447348401"/>
  </r>
  <r>
    <x v="0"/>
    <x v="0"/>
    <x v="1"/>
    <x v="1"/>
    <s v="UKA"/>
    <x v="7"/>
    <s v="GHYRR_WATER"/>
    <n v="1728.4"/>
    <n v="1.7283999999999999"/>
  </r>
  <r>
    <x v="0"/>
    <x v="1"/>
    <x v="2"/>
    <x v="2"/>
    <s v="FinA"/>
    <x v="7"/>
    <s v="GHYRR_WATER"/>
    <n v="1856.7"/>
    <n v="1.8567"/>
  </r>
  <r>
    <x v="0"/>
    <x v="1"/>
    <x v="0"/>
    <x v="0"/>
    <s v="NeA"/>
    <x v="7"/>
    <s v="GHYRR_WATER"/>
    <n v="37"/>
    <n v="3.6999999999999998E-2"/>
  </r>
  <r>
    <x v="0"/>
    <x v="1"/>
    <x v="5"/>
    <x v="9"/>
    <s v="NO1_A1"/>
    <x v="7"/>
    <s v="GHYRR_WATER"/>
    <n v="2398.9807547215901"/>
    <n v="2.39898075472159"/>
  </r>
  <r>
    <x v="0"/>
    <x v="1"/>
    <x v="5"/>
    <x v="10"/>
    <s v="NO2_A1"/>
    <x v="7"/>
    <s v="GHYRR_WATER"/>
    <n v="3213.8064827015601"/>
    <n v="3.21380648270156"/>
  </r>
  <r>
    <x v="0"/>
    <x v="1"/>
    <x v="5"/>
    <x v="8"/>
    <s v="NO3_A1"/>
    <x v="7"/>
    <s v="GHYRR_WATER"/>
    <n v="2012.2068061740399"/>
    <n v="2.0122068061740399"/>
  </r>
  <r>
    <x v="0"/>
    <x v="1"/>
    <x v="5"/>
    <x v="11"/>
    <s v="NO4_A1"/>
    <x v="7"/>
    <s v="GHYRR_WATER"/>
    <n v="1685.7501474810399"/>
    <n v="1.6857501474810399"/>
  </r>
  <r>
    <x v="0"/>
    <x v="1"/>
    <x v="5"/>
    <x v="12"/>
    <s v="NO5_A1"/>
    <x v="7"/>
    <s v="GHYRR_WATER"/>
    <n v="975.603470193818"/>
    <n v="0.97560347019381799"/>
  </r>
  <r>
    <x v="0"/>
    <x v="1"/>
    <x v="3"/>
    <x v="3"/>
    <s v="SE1A"/>
    <x v="7"/>
    <s v="GHYRR_WATER"/>
    <n v="1265.8512935656299"/>
    <n v="1.2658512935656301"/>
  </r>
  <r>
    <x v="0"/>
    <x v="1"/>
    <x v="3"/>
    <x v="4"/>
    <s v="SE2A"/>
    <x v="7"/>
    <s v="GHYRR_WATER"/>
    <n v="1917.37475556198"/>
    <n v="1.91737475556198"/>
  </r>
  <r>
    <x v="0"/>
    <x v="1"/>
    <x v="3"/>
    <x v="5"/>
    <s v="SE3A"/>
    <x v="7"/>
    <s v="GHYRR_WATER"/>
    <n v="602.32924110895601"/>
    <n v="0.60232924110895603"/>
  </r>
  <r>
    <x v="0"/>
    <x v="1"/>
    <x v="3"/>
    <x v="6"/>
    <s v="SE4A"/>
    <x v="7"/>
    <s v="GHYRR_WATER"/>
    <n v="172.56434126907399"/>
    <n v="0.172564341269074"/>
  </r>
  <r>
    <x v="0"/>
    <x v="1"/>
    <x v="1"/>
    <x v="1"/>
    <s v="UKA"/>
    <x v="7"/>
    <s v="GHYRR_WATER"/>
    <n v="1739.2"/>
    <n v="1.7392000000000001"/>
  </r>
  <r>
    <x v="0"/>
    <x v="0"/>
    <x v="2"/>
    <x v="2"/>
    <s v="FinA"/>
    <x v="7"/>
    <s v="GHYRS_WATER"/>
    <n v="1569.5"/>
    <n v="1.5694999999999999"/>
  </r>
  <r>
    <x v="0"/>
    <x v="0"/>
    <x v="5"/>
    <x v="9"/>
    <s v="NO1_A1"/>
    <x v="7"/>
    <s v="GHYRS_WATER"/>
    <n v="6117.5387270765896"/>
    <n v="6.1175387270765897"/>
  </r>
  <r>
    <x v="0"/>
    <x v="0"/>
    <x v="5"/>
    <x v="10"/>
    <s v="NO2_A1"/>
    <x v="7"/>
    <s v="GHYRS_WATER"/>
    <n v="6082.6679611650497"/>
    <n v="6.0826679611650496"/>
  </r>
  <r>
    <x v="0"/>
    <x v="0"/>
    <x v="5"/>
    <x v="8"/>
    <s v="NO3_A1"/>
    <x v="7"/>
    <s v="GHYRS_WATER"/>
    <n v="3798.84703344121"/>
    <n v="3.7988470334412101"/>
  </r>
  <r>
    <x v="0"/>
    <x v="0"/>
    <x v="5"/>
    <x v="11"/>
    <s v="NO4_A1"/>
    <x v="7"/>
    <s v="GHYRS_WATER"/>
    <n v="3248.01898597627"/>
    <n v="3.24801898597627"/>
  </r>
  <r>
    <x v="0"/>
    <x v="0"/>
    <x v="5"/>
    <x v="12"/>
    <s v="NO5_A1"/>
    <x v="7"/>
    <s v="GHYRS_WATER"/>
    <n v="2111.1792880258899"/>
    <n v="2.1111792880258902"/>
  </r>
  <r>
    <x v="0"/>
    <x v="0"/>
    <x v="3"/>
    <x v="3"/>
    <s v="SE1A"/>
    <x v="7"/>
    <s v="GHYRS_WATER"/>
    <n v="4219"/>
    <n v="4.2190000000000003"/>
  </r>
  <r>
    <x v="0"/>
    <x v="0"/>
    <x v="3"/>
    <x v="4"/>
    <s v="SE2A"/>
    <x v="7"/>
    <s v="GHYRS_WATER"/>
    <n v="6393"/>
    <n v="6.3929999999999998"/>
  </r>
  <r>
    <x v="0"/>
    <x v="0"/>
    <x v="3"/>
    <x v="5"/>
    <s v="SE3A"/>
    <x v="7"/>
    <s v="GHYRS_WATER"/>
    <n v="2010"/>
    <n v="2.0099999999999998"/>
  </r>
  <r>
    <x v="0"/>
    <x v="0"/>
    <x v="3"/>
    <x v="6"/>
    <s v="SE4A"/>
    <x v="7"/>
    <s v="GHYRS_WATER"/>
    <n v="341"/>
    <n v="0.34100000000000003"/>
  </r>
  <r>
    <x v="0"/>
    <x v="0"/>
    <x v="1"/>
    <x v="1"/>
    <s v="UKA"/>
    <x v="7"/>
    <s v="GHYRS_WATER"/>
    <n v="2744"/>
    <n v="2.7440000000000002"/>
  </r>
  <r>
    <x v="0"/>
    <x v="1"/>
    <x v="2"/>
    <x v="2"/>
    <s v="FinA"/>
    <x v="7"/>
    <s v="GHYRS_WATER"/>
    <n v="1569.5"/>
    <n v="1.5694999999999999"/>
  </r>
  <r>
    <x v="0"/>
    <x v="1"/>
    <x v="5"/>
    <x v="9"/>
    <s v="NO1_A1"/>
    <x v="7"/>
    <s v="GHYRS_WATER"/>
    <n v="6117.5387270765896"/>
    <n v="6.1175387270765897"/>
  </r>
  <r>
    <x v="0"/>
    <x v="1"/>
    <x v="5"/>
    <x v="10"/>
    <s v="NO2_A1"/>
    <x v="7"/>
    <s v="GHYRS_WATER"/>
    <n v="6082.6679611650497"/>
    <n v="6.0826679611650496"/>
  </r>
  <r>
    <x v="0"/>
    <x v="1"/>
    <x v="5"/>
    <x v="8"/>
    <s v="NO3_A1"/>
    <x v="7"/>
    <s v="GHYRS_WATER"/>
    <n v="3798.84703344121"/>
    <n v="3.7988470334412101"/>
  </r>
  <r>
    <x v="0"/>
    <x v="1"/>
    <x v="5"/>
    <x v="11"/>
    <s v="NO4_A1"/>
    <x v="7"/>
    <s v="GHYRS_WATER"/>
    <n v="3248.01898597627"/>
    <n v="3.24801898597627"/>
  </r>
  <r>
    <x v="0"/>
    <x v="1"/>
    <x v="5"/>
    <x v="12"/>
    <s v="NO5_A1"/>
    <x v="7"/>
    <s v="GHYRS_WATER"/>
    <n v="2111.1792880258899"/>
    <n v="2.1111792880258902"/>
  </r>
  <r>
    <x v="0"/>
    <x v="1"/>
    <x v="3"/>
    <x v="3"/>
    <s v="SE1A"/>
    <x v="7"/>
    <s v="GHYRS_WATER"/>
    <n v="4219"/>
    <n v="4.2190000000000003"/>
  </r>
  <r>
    <x v="0"/>
    <x v="1"/>
    <x v="3"/>
    <x v="4"/>
    <s v="SE2A"/>
    <x v="7"/>
    <s v="GHYRS_WATER"/>
    <n v="6393"/>
    <n v="6.3929999999999998"/>
  </r>
  <r>
    <x v="0"/>
    <x v="1"/>
    <x v="3"/>
    <x v="5"/>
    <s v="SE3A"/>
    <x v="7"/>
    <s v="GHYRS_WATER"/>
    <n v="2010"/>
    <n v="2.0099999999999998"/>
  </r>
  <r>
    <x v="0"/>
    <x v="1"/>
    <x v="3"/>
    <x v="6"/>
    <s v="SE4A"/>
    <x v="7"/>
    <s v="GHYRS_WATER"/>
    <n v="341"/>
    <n v="0.34100000000000003"/>
  </r>
  <r>
    <x v="0"/>
    <x v="1"/>
    <x v="1"/>
    <x v="1"/>
    <s v="UKA"/>
    <x v="7"/>
    <s v="GHYRS_WATER"/>
    <n v="2744"/>
    <n v="2.7440000000000002"/>
  </r>
  <r>
    <x v="0"/>
    <x v="0"/>
    <x v="0"/>
    <x v="0"/>
    <s v="NeA"/>
    <x v="8"/>
    <s v="GSOLE_SUN"/>
    <n v="949"/>
    <n v="0.94899999999999995"/>
  </r>
  <r>
    <x v="0"/>
    <x v="0"/>
    <x v="1"/>
    <x v="1"/>
    <s v="UKA"/>
    <x v="8"/>
    <s v="GSOLE_SUN"/>
    <n v="8462.7999999999993"/>
    <n v="8.4627999999999997"/>
  </r>
  <r>
    <x v="0"/>
    <x v="1"/>
    <x v="0"/>
    <x v="0"/>
    <s v="NeA"/>
    <x v="8"/>
    <s v="GSOLE_SUN"/>
    <n v="1478"/>
    <n v="1.478"/>
  </r>
  <r>
    <x v="0"/>
    <x v="1"/>
    <x v="1"/>
    <x v="1"/>
    <s v="UKA"/>
    <x v="8"/>
    <s v="GSOLE_SUN"/>
    <n v="23300"/>
    <n v="23.3"/>
  </r>
  <r>
    <x v="0"/>
    <x v="0"/>
    <x v="0"/>
    <x v="0"/>
    <s v="NE_OFFSHORE"/>
    <x v="9"/>
    <s v="GWND_WIND"/>
    <n v="730.28571428571399"/>
    <n v="0.73028571428571398"/>
  </r>
  <r>
    <x v="0"/>
    <x v="0"/>
    <x v="0"/>
    <x v="0"/>
    <s v="NeA"/>
    <x v="9"/>
    <s v="GWND_WIND"/>
    <n v="3134.2857142857101"/>
    <n v="3.1342857142857099"/>
  </r>
  <r>
    <x v="0"/>
    <x v="0"/>
    <x v="1"/>
    <x v="1"/>
    <s v="UKA"/>
    <x v="9"/>
    <s v="GWND_WIND"/>
    <n v="12620.352684260401"/>
    <n v="12.6203526842604"/>
  </r>
  <r>
    <x v="0"/>
    <x v="0"/>
    <x v="1"/>
    <x v="1"/>
    <s v="UK_OFFSHORE"/>
    <x v="9"/>
    <s v="GWND_WIND"/>
    <n v="11229.6674765567"/>
    <n v="11.229667476556701"/>
  </r>
  <r>
    <x v="0"/>
    <x v="1"/>
    <x v="0"/>
    <x v="0"/>
    <s v="NE_OFFSHORE"/>
    <x v="9"/>
    <s v="GWND_WIND"/>
    <n v="6500"/>
    <n v="6.5"/>
  </r>
  <r>
    <x v="0"/>
    <x v="1"/>
    <x v="0"/>
    <x v="0"/>
    <s v="NeA"/>
    <x v="9"/>
    <s v="GWND_WIND"/>
    <n v="6183.5"/>
    <n v="6.1835000000000004"/>
  </r>
  <r>
    <x v="0"/>
    <x v="1"/>
    <x v="1"/>
    <x v="1"/>
    <s v="UKA"/>
    <x v="9"/>
    <s v="GWND_WIND"/>
    <n v="19826.4195450716"/>
    <n v="19.826419545071602"/>
  </r>
  <r>
    <x v="0"/>
    <x v="1"/>
    <x v="1"/>
    <x v="1"/>
    <s v="UK_OFFSHORE"/>
    <x v="9"/>
    <s v="GWND_WIND"/>
    <n v="31517.472924187699"/>
    <n v="31.5174729241877"/>
  </r>
  <r>
    <x v="0"/>
    <x v="0"/>
    <x v="2"/>
    <x v="2"/>
    <s v="FinA"/>
    <x v="1"/>
    <s v="Back-up-power"/>
    <n v="100000"/>
    <n v="100"/>
  </r>
  <r>
    <x v="0"/>
    <x v="0"/>
    <x v="0"/>
    <x v="0"/>
    <s v="NeA"/>
    <x v="1"/>
    <s v="Back-up-power"/>
    <n v="100000"/>
    <n v="100"/>
  </r>
  <r>
    <x v="0"/>
    <x v="0"/>
    <x v="3"/>
    <x v="3"/>
    <s v="SE1A"/>
    <x v="1"/>
    <s v="Back-up-power"/>
    <n v="100000"/>
    <n v="100"/>
  </r>
  <r>
    <x v="0"/>
    <x v="0"/>
    <x v="3"/>
    <x v="4"/>
    <s v="SE2A"/>
    <x v="1"/>
    <s v="Back-up-power"/>
    <n v="100000"/>
    <n v="100"/>
  </r>
  <r>
    <x v="0"/>
    <x v="0"/>
    <x v="3"/>
    <x v="5"/>
    <s v="SE3A"/>
    <x v="1"/>
    <s v="Back-up-power"/>
    <n v="100000"/>
    <n v="100"/>
  </r>
  <r>
    <x v="0"/>
    <x v="0"/>
    <x v="3"/>
    <x v="6"/>
    <s v="SE4A"/>
    <x v="1"/>
    <s v="Back-up-power"/>
    <n v="100000"/>
    <n v="100"/>
  </r>
  <r>
    <x v="0"/>
    <x v="0"/>
    <x v="1"/>
    <x v="1"/>
    <s v="UKA"/>
    <x v="1"/>
    <s v="Back-up-power"/>
    <n v="100000"/>
    <n v="100"/>
  </r>
  <r>
    <x v="0"/>
    <x v="1"/>
    <x v="2"/>
    <x v="2"/>
    <s v="FinA"/>
    <x v="1"/>
    <s v="Back-up-power"/>
    <n v="100000"/>
    <n v="100"/>
  </r>
  <r>
    <x v="0"/>
    <x v="1"/>
    <x v="0"/>
    <x v="0"/>
    <s v="NeA"/>
    <x v="1"/>
    <s v="Back-up-power"/>
    <n v="100000"/>
    <n v="100"/>
  </r>
  <r>
    <x v="0"/>
    <x v="1"/>
    <x v="3"/>
    <x v="3"/>
    <s v="SE1A"/>
    <x v="1"/>
    <s v="Back-up-power"/>
    <n v="100000"/>
    <n v="100"/>
  </r>
  <r>
    <x v="0"/>
    <x v="1"/>
    <x v="3"/>
    <x v="4"/>
    <s v="SE2A"/>
    <x v="1"/>
    <s v="Back-up-power"/>
    <n v="100000"/>
    <n v="100"/>
  </r>
  <r>
    <x v="0"/>
    <x v="1"/>
    <x v="3"/>
    <x v="5"/>
    <s v="SE3A"/>
    <x v="1"/>
    <s v="Back-up-power"/>
    <n v="100000"/>
    <n v="100"/>
  </r>
  <r>
    <x v="0"/>
    <x v="1"/>
    <x v="3"/>
    <x v="6"/>
    <s v="SE4A"/>
    <x v="1"/>
    <s v="Back-up-power"/>
    <n v="100000"/>
    <n v="100"/>
  </r>
  <r>
    <x v="0"/>
    <x v="1"/>
    <x v="1"/>
    <x v="1"/>
    <s v="UKA"/>
    <x v="1"/>
    <s v="Back-up-power"/>
    <n v="100000"/>
    <n v="100"/>
  </r>
  <r>
    <x v="0"/>
    <x v="0"/>
    <x v="3"/>
    <x v="5"/>
    <s v="SE3_EL"/>
    <x v="0"/>
    <s v="GEXT_COAL_LINK"/>
    <n v="16.579999999999998"/>
    <n v="1.6580000000000001E-2"/>
  </r>
  <r>
    <x v="0"/>
    <x v="1"/>
    <x v="3"/>
    <x v="5"/>
    <s v="SE3_EL"/>
    <x v="0"/>
    <s v="GEXT_COAL_LINK"/>
    <n v="16.579999999999998"/>
    <n v="1.6580000000000001E-2"/>
  </r>
  <r>
    <x v="0"/>
    <x v="0"/>
    <x v="2"/>
    <x v="2"/>
    <s v="FIN_EL"/>
    <x v="0"/>
    <s v="GEXT_COAL_KYMIJARVI"/>
    <n v="148"/>
    <n v="0.14799999999999999"/>
  </r>
  <r>
    <x v="0"/>
    <x v="1"/>
    <x v="2"/>
    <x v="2"/>
    <s v="FIN_EL"/>
    <x v="0"/>
    <s v="GEXT_COAL_KYMIJARVI"/>
    <n v="148"/>
    <n v="0.14799999999999999"/>
  </r>
  <r>
    <x v="0"/>
    <x v="0"/>
    <x v="3"/>
    <x v="6"/>
    <s v="SE4_MAL"/>
    <x v="2"/>
    <s v="GEXT_NATGAS_ORESUND"/>
    <n v="440"/>
    <n v="0.44"/>
  </r>
  <r>
    <x v="0"/>
    <x v="1"/>
    <x v="3"/>
    <x v="6"/>
    <s v="SE4_MAL"/>
    <x v="2"/>
    <s v="GEXT_NATGAS_ORESUND"/>
    <n v="440"/>
    <n v="0.44"/>
  </r>
  <r>
    <x v="0"/>
    <x v="0"/>
    <x v="2"/>
    <x v="2"/>
    <s v="FIN_GAS"/>
    <x v="2"/>
    <s v="GEXT_NATGAS_NOKIA"/>
    <n v="70"/>
    <n v="7.0000000000000007E-2"/>
  </r>
  <r>
    <x v="0"/>
    <x v="1"/>
    <x v="2"/>
    <x v="2"/>
    <s v="FIN_GAS"/>
    <x v="2"/>
    <s v="GEXT_NATGAS_NOKIA"/>
    <n v="70"/>
    <n v="7.0000000000000007E-2"/>
  </r>
  <r>
    <x v="0"/>
    <x v="0"/>
    <x v="2"/>
    <x v="2"/>
    <s v="FIN_EL"/>
    <x v="2"/>
    <s v="GEXT_NATGAS_MERTANIEMI"/>
    <n v="103"/>
    <n v="0.10299999999999999"/>
  </r>
  <r>
    <x v="0"/>
    <x v="1"/>
    <x v="2"/>
    <x v="2"/>
    <s v="FIN_EL"/>
    <x v="2"/>
    <s v="GEXT_NATGAS_MERTANIEMI"/>
    <n v="103"/>
    <n v="0.10299999999999999"/>
  </r>
  <r>
    <x v="0"/>
    <x v="0"/>
    <x v="2"/>
    <x v="2"/>
    <s v="FIN_TAMP"/>
    <x v="2"/>
    <s v="GEXT_NATGAS_TAMPERE"/>
    <n v="336"/>
    <n v="0.33600000000000002"/>
  </r>
  <r>
    <x v="0"/>
    <x v="1"/>
    <x v="2"/>
    <x v="2"/>
    <s v="FIN_TAMP"/>
    <x v="2"/>
    <s v="GEXT_NATGAS_TAMPERE"/>
    <n v="336"/>
    <n v="0.33600000000000002"/>
  </r>
  <r>
    <x v="0"/>
    <x v="0"/>
    <x v="2"/>
    <x v="2"/>
    <s v="FIN_HELS"/>
    <x v="2"/>
    <s v="GEXT_NATGAS_VOUSAARI"/>
    <n v="470"/>
    <n v="0.47"/>
  </r>
  <r>
    <x v="0"/>
    <x v="1"/>
    <x v="2"/>
    <x v="2"/>
    <s v="FIN_HELS"/>
    <x v="2"/>
    <s v="GEXT_NATGAS_VOUSAARI"/>
    <n v="470"/>
    <n v="0.47"/>
  </r>
  <r>
    <x v="0"/>
    <x v="0"/>
    <x v="3"/>
    <x v="4"/>
    <s v="SE2_EL"/>
    <x v="10"/>
    <s v="GEXT_WOODWASTE_HORNEBORG"/>
    <n v="41"/>
    <n v="4.1000000000000002E-2"/>
  </r>
  <r>
    <x v="0"/>
    <x v="1"/>
    <x v="3"/>
    <x v="4"/>
    <s v="SE2_EL"/>
    <x v="10"/>
    <s v="GEXT_WOODWASTE_HORNEBORG"/>
    <n v="41"/>
    <n v="4.1000000000000002E-2"/>
  </r>
  <r>
    <x v="0"/>
    <x v="0"/>
    <x v="3"/>
    <x v="5"/>
    <s v="SE3_HP"/>
    <x v="10"/>
    <s v="GEXT_WOODWASTE"/>
    <n v="212.5"/>
    <n v="0.21249999999999999"/>
  </r>
  <r>
    <x v="0"/>
    <x v="1"/>
    <x v="3"/>
    <x v="5"/>
    <s v="SE3_HP"/>
    <x v="10"/>
    <s v="GEXT_WOODWASTE"/>
    <n v="212.5"/>
    <n v="0.21249999999999999"/>
  </r>
  <r>
    <x v="0"/>
    <x v="0"/>
    <x v="3"/>
    <x v="5"/>
    <s v="SE3_STO"/>
    <x v="11"/>
    <s v="GEXT_BIOOIL_VARTAN"/>
    <n v="190"/>
    <n v="0.19"/>
  </r>
  <r>
    <x v="0"/>
    <x v="1"/>
    <x v="3"/>
    <x v="5"/>
    <s v="SE3_STO"/>
    <x v="11"/>
    <s v="GEXT_BIOOIL_VARTAN"/>
    <n v="190"/>
    <n v="0.19"/>
  </r>
  <r>
    <x v="0"/>
    <x v="0"/>
    <x v="3"/>
    <x v="5"/>
    <s v="SE3_HP"/>
    <x v="1"/>
    <s v="GEXT_FUELOIL"/>
    <n v="212.5"/>
    <n v="0.21249999999999999"/>
  </r>
  <r>
    <x v="0"/>
    <x v="1"/>
    <x v="3"/>
    <x v="5"/>
    <s v="SE3_HP"/>
    <x v="1"/>
    <s v="GEXT_FUELOIL"/>
    <n v="212.5"/>
    <n v="0.21249999999999999"/>
  </r>
  <r>
    <x v="0"/>
    <x v="0"/>
    <x v="2"/>
    <x v="2"/>
    <s v="FIN_OTHER"/>
    <x v="5"/>
    <s v="GEXT_PEAT_KELJONLAHTI"/>
    <n v="189.7"/>
    <n v="0.18970000000000001"/>
  </r>
  <r>
    <x v="0"/>
    <x v="1"/>
    <x v="2"/>
    <x v="2"/>
    <s v="FIN_OTHER"/>
    <x v="5"/>
    <s v="GEXT_PEAT_KELJONLAHTI"/>
    <n v="189.7"/>
    <n v="0.18970000000000001"/>
  </r>
  <r>
    <x v="0"/>
    <x v="0"/>
    <x v="2"/>
    <x v="2"/>
    <s v="FIN_OTHER"/>
    <x v="5"/>
    <s v="GEXT_PEAT_TOPPILA"/>
    <n v="112"/>
    <n v="0.112"/>
  </r>
  <r>
    <x v="0"/>
    <x v="1"/>
    <x v="2"/>
    <x v="2"/>
    <s v="FIN_OTHER"/>
    <x v="5"/>
    <s v="GEXT_PEAT_TOPPILA"/>
    <n v="112"/>
    <n v="0.112"/>
  </r>
  <r>
    <x v="0"/>
    <x v="0"/>
    <x v="2"/>
    <x v="2"/>
    <s v="FIN_OTHER"/>
    <x v="5"/>
    <s v="GEXT_PEAT_SEVO"/>
    <n v="108"/>
    <n v="0.108"/>
  </r>
  <r>
    <x v="0"/>
    <x v="1"/>
    <x v="2"/>
    <x v="2"/>
    <s v="FIN_OTHER"/>
    <x v="5"/>
    <s v="GEXT_PEAT_SEVO"/>
    <n v="108"/>
    <n v="0.108"/>
  </r>
  <r>
    <x v="0"/>
    <x v="0"/>
    <x v="3"/>
    <x v="5"/>
    <s v="SE3_EL"/>
    <x v="5"/>
    <s v="GEXT_PEAT"/>
    <n v="110.94"/>
    <n v="0.11094"/>
  </r>
  <r>
    <x v="0"/>
    <x v="1"/>
    <x v="3"/>
    <x v="5"/>
    <s v="SE3_EL"/>
    <x v="5"/>
    <s v="GEXT_PEAT"/>
    <n v="110.94"/>
    <n v="0.11094"/>
  </r>
  <r>
    <x v="0"/>
    <x v="0"/>
    <x v="2"/>
    <x v="2"/>
    <s v="FIN_HELS"/>
    <x v="0"/>
    <s v="GBPR_COAL_SALMISAARI"/>
    <n v="160"/>
    <n v="0.16"/>
  </r>
  <r>
    <x v="0"/>
    <x v="1"/>
    <x v="2"/>
    <x v="2"/>
    <s v="FIN_HELS"/>
    <x v="0"/>
    <s v="GBPR_COAL_SALMISAARI"/>
    <n v="160"/>
    <n v="0.16"/>
  </r>
  <r>
    <x v="0"/>
    <x v="0"/>
    <x v="2"/>
    <x v="2"/>
    <s v="FIN_ESPOO"/>
    <x v="0"/>
    <s v="GBPR_COAL_SUOMENOJA"/>
    <n v="75"/>
    <n v="7.4999999999999997E-2"/>
  </r>
  <r>
    <x v="0"/>
    <x v="1"/>
    <x v="2"/>
    <x v="2"/>
    <s v="FIN_ESPOO"/>
    <x v="0"/>
    <s v="GBPR_COAL_SUOMENOJA"/>
    <n v="75"/>
    <n v="7.4999999999999997E-2"/>
  </r>
  <r>
    <x v="0"/>
    <x v="0"/>
    <x v="2"/>
    <x v="2"/>
    <s v="FIN_HP"/>
    <x v="0"/>
    <s v="GBPR_COAL_NAANTALI"/>
    <n v="261"/>
    <n v="0.26100000000000001"/>
  </r>
  <r>
    <x v="0"/>
    <x v="1"/>
    <x v="2"/>
    <x v="2"/>
    <s v="FIN_HP"/>
    <x v="0"/>
    <s v="GBPR_COAL_NAANTALI"/>
    <n v="261"/>
    <n v="0.26100000000000001"/>
  </r>
  <r>
    <x v="0"/>
    <x v="0"/>
    <x v="2"/>
    <x v="2"/>
    <s v="FIN_HELS"/>
    <x v="0"/>
    <s v="GBPR_COAL_MARTINLAAKSO"/>
    <n v="140"/>
    <n v="0.14000000000000001"/>
  </r>
  <r>
    <x v="0"/>
    <x v="1"/>
    <x v="2"/>
    <x v="2"/>
    <s v="FIN_HELS"/>
    <x v="0"/>
    <s v="GBPR_COAL_MARTINLAAKSO"/>
    <n v="140"/>
    <n v="0.14000000000000001"/>
  </r>
  <r>
    <x v="0"/>
    <x v="0"/>
    <x v="3"/>
    <x v="5"/>
    <s v="SE3_STO"/>
    <x v="0"/>
    <s v="GBPR_COAL_VARTAN"/>
    <n v="117.16"/>
    <n v="0.11716"/>
  </r>
  <r>
    <x v="0"/>
    <x v="1"/>
    <x v="3"/>
    <x v="5"/>
    <s v="SE3_STO"/>
    <x v="0"/>
    <s v="GBPR_COAL_VARTAN"/>
    <n v="117.16"/>
    <n v="0.11716"/>
  </r>
  <r>
    <x v="0"/>
    <x v="0"/>
    <x v="3"/>
    <x v="5"/>
    <s v="SE3_OTHER"/>
    <x v="0"/>
    <s v="GBPR_COAL_SE3"/>
    <n v="33.390557939914203"/>
    <n v="3.3390557939914203E-2"/>
  </r>
  <r>
    <x v="0"/>
    <x v="1"/>
    <x v="3"/>
    <x v="5"/>
    <s v="SE3_OTHER"/>
    <x v="0"/>
    <s v="GBPR_COAL_SE3"/>
    <n v="33.390557939914203"/>
    <n v="3.3390557939914203E-2"/>
  </r>
  <r>
    <x v="0"/>
    <x v="0"/>
    <x v="2"/>
    <x v="2"/>
    <s v="FIN_OTHER"/>
    <x v="0"/>
    <s v="GBPR_COAL"/>
    <n v="2.2999999999999998"/>
    <n v="2.3E-3"/>
  </r>
  <r>
    <x v="0"/>
    <x v="1"/>
    <x v="2"/>
    <x v="2"/>
    <s v="FIN_OTHER"/>
    <x v="0"/>
    <s v="GBPR_COAL"/>
    <n v="2.2999999999999998"/>
    <n v="2.3E-3"/>
  </r>
  <r>
    <x v="0"/>
    <x v="0"/>
    <x v="3"/>
    <x v="5"/>
    <s v="SE3_EL"/>
    <x v="12"/>
    <s v="GBPR_MUNIWASTE_LINK"/>
    <n v="45.22"/>
    <n v="4.5220000000000003E-2"/>
  </r>
  <r>
    <x v="0"/>
    <x v="1"/>
    <x v="3"/>
    <x v="5"/>
    <s v="SE3_EL"/>
    <x v="12"/>
    <s v="GBPR_MUNIWASTE_LINK"/>
    <n v="45.22"/>
    <n v="4.5220000000000003E-2"/>
  </r>
  <r>
    <x v="0"/>
    <x v="0"/>
    <x v="3"/>
    <x v="5"/>
    <s v="SE3_STO"/>
    <x v="12"/>
    <s v="GBPR_MUNIWASTE_HOGDALEN"/>
    <n v="57.4"/>
    <n v="5.74E-2"/>
  </r>
  <r>
    <x v="0"/>
    <x v="1"/>
    <x v="3"/>
    <x v="5"/>
    <s v="SE3_STO"/>
    <x v="12"/>
    <s v="GBPR_MUNIWASTE_HOGDALEN"/>
    <n v="57.4"/>
    <n v="5.74E-2"/>
  </r>
  <r>
    <x v="0"/>
    <x v="0"/>
    <x v="3"/>
    <x v="4"/>
    <s v="SE2_EL"/>
    <x v="12"/>
    <s v="GBPR_MUNIWASTE_24"/>
    <n v="74.231155778894504"/>
    <n v="7.4231155778894498E-2"/>
  </r>
  <r>
    <x v="0"/>
    <x v="0"/>
    <x v="3"/>
    <x v="4"/>
    <s v="SE2_OTHER"/>
    <x v="12"/>
    <s v="GBPR_MUNIWASTE_24"/>
    <n v="5.6266746055373602"/>
    <n v="5.6266746055373597E-3"/>
  </r>
  <r>
    <x v="0"/>
    <x v="0"/>
    <x v="3"/>
    <x v="5"/>
    <s v="SE3_EL"/>
    <x v="12"/>
    <s v="GBPR_MUNIWASTE_24"/>
    <n v="82.229928840518994"/>
    <n v="8.2229928840518995E-2"/>
  </r>
  <r>
    <x v="0"/>
    <x v="0"/>
    <x v="3"/>
    <x v="5"/>
    <s v="SE3_GOT"/>
    <x v="12"/>
    <s v="GBPR_MUNIWASTE_24"/>
    <n v="40.6"/>
    <n v="4.0599999999999997E-2"/>
  </r>
  <r>
    <x v="0"/>
    <x v="0"/>
    <x v="3"/>
    <x v="5"/>
    <s v="SE3_HP"/>
    <x v="12"/>
    <s v="GBPR_MUNIWASTE_24"/>
    <n v="59.008264462809898"/>
    <n v="5.9008264462809899E-2"/>
  </r>
  <r>
    <x v="0"/>
    <x v="0"/>
    <x v="3"/>
    <x v="5"/>
    <s v="SE3_OTHER"/>
    <x v="12"/>
    <s v="GBPR_MUNIWASTE_24"/>
    <n v="51.444809179655103"/>
    <n v="5.1444809179655097E-2"/>
  </r>
  <r>
    <x v="0"/>
    <x v="0"/>
    <x v="3"/>
    <x v="6"/>
    <s v="SE4_MAL"/>
    <x v="12"/>
    <s v="GBPR_MUNIWASTE_24"/>
    <n v="33.798449612403097"/>
    <n v="3.3798449612403102E-2"/>
  </r>
  <r>
    <x v="0"/>
    <x v="1"/>
    <x v="3"/>
    <x v="4"/>
    <s v="SE2_EL"/>
    <x v="12"/>
    <s v="GBPR_MUNIWASTE_24"/>
    <n v="74.231155778894504"/>
    <n v="7.4231155778894498E-2"/>
  </r>
  <r>
    <x v="0"/>
    <x v="1"/>
    <x v="3"/>
    <x v="4"/>
    <s v="SE2_OTHER"/>
    <x v="12"/>
    <s v="GBPR_MUNIWASTE_24"/>
    <n v="5.6266746055373602"/>
    <n v="5.6266746055373597E-3"/>
  </r>
  <r>
    <x v="0"/>
    <x v="1"/>
    <x v="3"/>
    <x v="5"/>
    <s v="SE3_EL"/>
    <x v="12"/>
    <s v="GBPR_MUNIWASTE_24"/>
    <n v="82.229928840518994"/>
    <n v="8.2229928840518995E-2"/>
  </r>
  <r>
    <x v="0"/>
    <x v="1"/>
    <x v="3"/>
    <x v="5"/>
    <s v="SE3_GOT"/>
    <x v="12"/>
    <s v="GBPR_MUNIWASTE_24"/>
    <n v="40.6"/>
    <n v="4.0599999999999997E-2"/>
  </r>
  <r>
    <x v="0"/>
    <x v="1"/>
    <x v="3"/>
    <x v="5"/>
    <s v="SE3_HP"/>
    <x v="12"/>
    <s v="GBPR_MUNIWASTE_24"/>
    <n v="59.008264462809898"/>
    <n v="5.9008264462809899E-2"/>
  </r>
  <r>
    <x v="0"/>
    <x v="1"/>
    <x v="3"/>
    <x v="5"/>
    <s v="SE3_OTHER"/>
    <x v="12"/>
    <s v="GBPR_MUNIWASTE_24"/>
    <n v="51.444809179655103"/>
    <n v="5.1444809179655097E-2"/>
  </r>
  <r>
    <x v="0"/>
    <x v="1"/>
    <x v="3"/>
    <x v="6"/>
    <s v="SE4_MAL"/>
    <x v="12"/>
    <s v="GBPR_MUNIWASTE_24"/>
    <n v="33.798449612403097"/>
    <n v="3.3798449612403102E-2"/>
  </r>
  <r>
    <x v="0"/>
    <x v="0"/>
    <x v="3"/>
    <x v="6"/>
    <s v="SE4_OTHER"/>
    <x v="12"/>
    <s v="GBPR_MUNIWASTE_19"/>
    <n v="20.530501930501899"/>
    <n v="2.0530501930501901E-2"/>
  </r>
  <r>
    <x v="0"/>
    <x v="1"/>
    <x v="3"/>
    <x v="6"/>
    <s v="SE4_OTHER"/>
    <x v="12"/>
    <s v="GBPR_MUNIWASTE_19"/>
    <n v="20.530501930501899"/>
    <n v="2.0530501930501901E-2"/>
  </r>
  <r>
    <x v="0"/>
    <x v="0"/>
    <x v="5"/>
    <x v="9"/>
    <s v="NO1_A1"/>
    <x v="12"/>
    <s v="GBPR_MUNIWASTE"/>
    <n v="8.1999999999999993"/>
    <n v="8.2000000000000007E-3"/>
  </r>
  <r>
    <x v="0"/>
    <x v="0"/>
    <x v="5"/>
    <x v="9"/>
    <s v="NO1_A2"/>
    <x v="12"/>
    <s v="GBPR_MUNIWASTE"/>
    <n v="11.0933333333332"/>
    <n v="1.10933333333332E-2"/>
  </r>
  <r>
    <x v="0"/>
    <x v="0"/>
    <x v="5"/>
    <x v="10"/>
    <s v="NO2_A1"/>
    <x v="12"/>
    <s v="GBPR_MUNIWASTE"/>
    <n v="10.8"/>
    <n v="1.0800000000000001E-2"/>
  </r>
  <r>
    <x v="0"/>
    <x v="0"/>
    <x v="5"/>
    <x v="8"/>
    <s v="NO3_A1"/>
    <x v="12"/>
    <s v="GBPR_MUNIWASTE"/>
    <n v="4.29"/>
    <n v="4.2900000000000004E-3"/>
  </r>
  <r>
    <x v="0"/>
    <x v="0"/>
    <x v="5"/>
    <x v="11"/>
    <s v="NO4_A1"/>
    <x v="12"/>
    <s v="GBPR_MUNIWASTE"/>
    <n v="0.16800000000000001"/>
    <n v="1.6799999999999999E-4"/>
  </r>
  <r>
    <x v="0"/>
    <x v="0"/>
    <x v="5"/>
    <x v="12"/>
    <s v="NO5_A1"/>
    <x v="12"/>
    <s v="GBPR_MUNIWASTE"/>
    <n v="8"/>
    <n v="8.0000000000000002E-3"/>
  </r>
  <r>
    <x v="0"/>
    <x v="0"/>
    <x v="3"/>
    <x v="3"/>
    <s v="SE1_EL"/>
    <x v="12"/>
    <s v="GBPR_MUNIWASTE"/>
    <n v="7"/>
    <n v="7.0000000000000001E-3"/>
  </r>
  <r>
    <x v="0"/>
    <x v="1"/>
    <x v="5"/>
    <x v="9"/>
    <s v="NO1_A1"/>
    <x v="12"/>
    <s v="GBPR_MUNIWASTE"/>
    <n v="8.1999999999999993"/>
    <n v="8.2000000000000007E-3"/>
  </r>
  <r>
    <x v="0"/>
    <x v="1"/>
    <x v="5"/>
    <x v="9"/>
    <s v="NO1_A2"/>
    <x v="12"/>
    <s v="GBPR_MUNIWASTE"/>
    <n v="11.0933333333332"/>
    <n v="1.10933333333332E-2"/>
  </r>
  <r>
    <x v="0"/>
    <x v="1"/>
    <x v="5"/>
    <x v="10"/>
    <s v="NO2_A1"/>
    <x v="12"/>
    <s v="GBPR_MUNIWASTE"/>
    <n v="10.8"/>
    <n v="1.0800000000000001E-2"/>
  </r>
  <r>
    <x v="0"/>
    <x v="1"/>
    <x v="5"/>
    <x v="8"/>
    <s v="NO3_A1"/>
    <x v="12"/>
    <s v="GBPR_MUNIWASTE"/>
    <n v="4.29"/>
    <n v="4.2900000000000004E-3"/>
  </r>
  <r>
    <x v="0"/>
    <x v="1"/>
    <x v="5"/>
    <x v="11"/>
    <s v="NO4_A1"/>
    <x v="12"/>
    <s v="GBPR_MUNIWASTE"/>
    <n v="0.16800000000000001"/>
    <n v="1.6799999999999999E-4"/>
  </r>
  <r>
    <x v="0"/>
    <x v="1"/>
    <x v="5"/>
    <x v="12"/>
    <s v="NO5_A1"/>
    <x v="12"/>
    <s v="GBPR_MUNIWASTE"/>
    <n v="8"/>
    <n v="8.0000000000000002E-3"/>
  </r>
  <r>
    <x v="0"/>
    <x v="1"/>
    <x v="3"/>
    <x v="3"/>
    <s v="SE1_EL"/>
    <x v="12"/>
    <s v="GBPR_MUNIWASTE"/>
    <n v="7"/>
    <n v="7.0000000000000001E-3"/>
  </r>
  <r>
    <x v="0"/>
    <x v="0"/>
    <x v="3"/>
    <x v="6"/>
    <s v="SE4_HP"/>
    <x v="12"/>
    <s v="GBPR_MUNIWASTE_65"/>
    <n v="18"/>
    <n v="1.7999999999999999E-2"/>
  </r>
  <r>
    <x v="0"/>
    <x v="1"/>
    <x v="3"/>
    <x v="6"/>
    <s v="SE4_HP"/>
    <x v="12"/>
    <s v="GBPR_MUNIWASTE_65"/>
    <n v="18"/>
    <n v="1.7999999999999999E-2"/>
  </r>
  <r>
    <x v="0"/>
    <x v="0"/>
    <x v="3"/>
    <x v="5"/>
    <s v="SE3_EL"/>
    <x v="13"/>
    <s v="GBPR_RECYCLEDWOOD_SE3EL"/>
    <n v="102.020720662019"/>
    <n v="0.102020720662019"/>
  </r>
  <r>
    <x v="0"/>
    <x v="1"/>
    <x v="3"/>
    <x v="5"/>
    <s v="SE3_EL"/>
    <x v="13"/>
    <s v="GBPR_RECYCLEDWOOD_SE3EL"/>
    <n v="102.020720662019"/>
    <n v="0.102020720662019"/>
  </r>
  <r>
    <x v="0"/>
    <x v="0"/>
    <x v="3"/>
    <x v="5"/>
    <s v="SE3_OTHER"/>
    <x v="13"/>
    <s v="GBPR_RECYCLEDWOOD_SE3OTHER"/>
    <n v="61.426755039009898"/>
    <n v="6.1426755039009899E-2"/>
  </r>
  <r>
    <x v="0"/>
    <x v="1"/>
    <x v="3"/>
    <x v="5"/>
    <s v="SE3_OTHER"/>
    <x v="13"/>
    <s v="GBPR_RECYCLEDWOOD_SE3OTHER"/>
    <n v="61.426755039009898"/>
    <n v="6.1426755039009899E-2"/>
  </r>
  <r>
    <x v="0"/>
    <x v="0"/>
    <x v="3"/>
    <x v="6"/>
    <s v="SE4_EL"/>
    <x v="13"/>
    <s v="GBPR_RECYCLEDWOOD_SE4EL"/>
    <n v="4"/>
    <n v="4.0000000000000001E-3"/>
  </r>
  <r>
    <x v="0"/>
    <x v="1"/>
    <x v="3"/>
    <x v="6"/>
    <s v="SE4_EL"/>
    <x v="13"/>
    <s v="GBPR_RECYCLEDWOOD_SE4EL"/>
    <n v="4"/>
    <n v="4.0000000000000001E-3"/>
  </r>
  <r>
    <x v="0"/>
    <x v="0"/>
    <x v="3"/>
    <x v="6"/>
    <s v="SE4_EL"/>
    <x v="13"/>
    <s v="GBPR_RECYCLEDWOOD"/>
    <n v="38.5"/>
    <n v="3.85E-2"/>
  </r>
  <r>
    <x v="0"/>
    <x v="1"/>
    <x v="3"/>
    <x v="6"/>
    <s v="SE4_EL"/>
    <x v="13"/>
    <s v="GBPR_RECYCLEDWOOD"/>
    <n v="38.5"/>
    <n v="3.85E-2"/>
  </r>
  <r>
    <x v="0"/>
    <x v="0"/>
    <x v="3"/>
    <x v="5"/>
    <s v="SE3_GOT"/>
    <x v="10"/>
    <s v="GBPR_WOODWASTE_GOT"/>
    <n v="13"/>
    <n v="1.2999999999999999E-2"/>
  </r>
  <r>
    <x v="0"/>
    <x v="1"/>
    <x v="3"/>
    <x v="5"/>
    <s v="SE3_GOT"/>
    <x v="10"/>
    <s v="GBPR_WOODWASTE_GOT"/>
    <n v="13"/>
    <n v="1.2999999999999999E-2"/>
  </r>
  <r>
    <x v="0"/>
    <x v="0"/>
    <x v="3"/>
    <x v="3"/>
    <s v="SE1_EL"/>
    <x v="10"/>
    <s v="GBPR_WOODWASTE_25"/>
    <n v="2.2523033309709399"/>
    <n v="2.2523033309709401E-3"/>
  </r>
  <r>
    <x v="0"/>
    <x v="0"/>
    <x v="3"/>
    <x v="4"/>
    <s v="SE2_EL"/>
    <x v="10"/>
    <s v="GBPR_WOODWASTE_25"/>
    <n v="55.968768074031203"/>
    <n v="5.59687680740312E-2"/>
  </r>
  <r>
    <x v="0"/>
    <x v="0"/>
    <x v="3"/>
    <x v="5"/>
    <s v="SE3_EL"/>
    <x v="10"/>
    <s v="GBPR_WOODWASTE_25"/>
    <n v="65.44"/>
    <n v="6.5439999999999998E-2"/>
  </r>
  <r>
    <x v="0"/>
    <x v="0"/>
    <x v="3"/>
    <x v="5"/>
    <s v="SE3_OTHER"/>
    <x v="10"/>
    <s v="GBPR_WOODWASTE_25"/>
    <n v="180.7269"/>
    <n v="0.1807269"/>
  </r>
  <r>
    <x v="0"/>
    <x v="1"/>
    <x v="3"/>
    <x v="3"/>
    <s v="SE1_EL"/>
    <x v="10"/>
    <s v="GBPR_WOODWASTE_25"/>
    <n v="2.2523033309709399"/>
    <n v="2.2523033309709401E-3"/>
  </r>
  <r>
    <x v="0"/>
    <x v="1"/>
    <x v="3"/>
    <x v="4"/>
    <s v="SE2_EL"/>
    <x v="10"/>
    <s v="GBPR_WOODWASTE_25"/>
    <n v="55.968768074031203"/>
    <n v="5.59687680740312E-2"/>
  </r>
  <r>
    <x v="0"/>
    <x v="1"/>
    <x v="3"/>
    <x v="5"/>
    <s v="SE3_EL"/>
    <x v="10"/>
    <s v="GBPR_WOODWASTE_25"/>
    <n v="65.44"/>
    <n v="6.5439999999999998E-2"/>
  </r>
  <r>
    <x v="0"/>
    <x v="1"/>
    <x v="3"/>
    <x v="5"/>
    <s v="SE3_OTHER"/>
    <x v="10"/>
    <s v="GBPR_WOODWASTE_25"/>
    <n v="180.7269"/>
    <n v="0.1807269"/>
  </r>
  <r>
    <x v="0"/>
    <x v="0"/>
    <x v="3"/>
    <x v="4"/>
    <s v="SE2_OTHER"/>
    <x v="10"/>
    <s v="GBPR_WOODWASTE_36"/>
    <n v="52.728164867517201"/>
    <n v="5.2728164867517198E-2"/>
  </r>
  <r>
    <x v="0"/>
    <x v="0"/>
    <x v="3"/>
    <x v="5"/>
    <s v="SE3_HP"/>
    <x v="10"/>
    <s v="GBPR_WOODWASTE_36"/>
    <n v="30"/>
    <n v="0.03"/>
  </r>
  <r>
    <x v="0"/>
    <x v="0"/>
    <x v="3"/>
    <x v="6"/>
    <s v="SE4_OTHER"/>
    <x v="10"/>
    <s v="GBPR_WOODWASTE_36"/>
    <n v="84.64"/>
    <n v="8.4640000000000007E-2"/>
  </r>
  <r>
    <x v="0"/>
    <x v="1"/>
    <x v="3"/>
    <x v="4"/>
    <s v="SE2_OTHER"/>
    <x v="10"/>
    <s v="GBPR_WOODWASTE_36"/>
    <n v="52.728164867517201"/>
    <n v="5.2728164867517198E-2"/>
  </r>
  <r>
    <x v="0"/>
    <x v="1"/>
    <x v="3"/>
    <x v="5"/>
    <s v="SE3_HP"/>
    <x v="10"/>
    <s v="GBPR_WOODWASTE_36"/>
    <n v="30"/>
    <n v="0.03"/>
  </r>
  <r>
    <x v="0"/>
    <x v="1"/>
    <x v="3"/>
    <x v="6"/>
    <s v="SE4_OTHER"/>
    <x v="10"/>
    <s v="GBPR_WOODWASTE_36"/>
    <n v="84.64"/>
    <n v="8.4640000000000007E-2"/>
  </r>
  <r>
    <x v="0"/>
    <x v="0"/>
    <x v="3"/>
    <x v="5"/>
    <s v="SE3_EL"/>
    <x v="10"/>
    <s v="GBPR_WOODWASTE_ABY"/>
    <n v="106"/>
    <n v="0.106"/>
  </r>
  <r>
    <x v="0"/>
    <x v="1"/>
    <x v="3"/>
    <x v="5"/>
    <s v="SE3_EL"/>
    <x v="10"/>
    <s v="GBPR_WOODWASTE_ABY"/>
    <n v="106"/>
    <n v="0.106"/>
  </r>
  <r>
    <x v="0"/>
    <x v="0"/>
    <x v="3"/>
    <x v="5"/>
    <s v="SE3_STO"/>
    <x v="10"/>
    <s v="GBPR_WOODWASTE_BRISTA"/>
    <n v="42"/>
    <n v="4.2000000000000003E-2"/>
  </r>
  <r>
    <x v="0"/>
    <x v="1"/>
    <x v="3"/>
    <x v="5"/>
    <s v="SE3_STO"/>
    <x v="10"/>
    <s v="GBPR_WOODWASTE_BRISTA"/>
    <n v="42"/>
    <n v="4.2000000000000003E-2"/>
  </r>
  <r>
    <x v="0"/>
    <x v="0"/>
    <x v="2"/>
    <x v="2"/>
    <s v="FIN_EL"/>
    <x v="10"/>
    <s v="GBPR_WOODWASTE_FINEL"/>
    <n v="110"/>
    <n v="0.11"/>
  </r>
  <r>
    <x v="0"/>
    <x v="1"/>
    <x v="2"/>
    <x v="2"/>
    <s v="FIN_EL"/>
    <x v="10"/>
    <s v="GBPR_WOODWASTE_FINEL"/>
    <n v="110"/>
    <n v="0.11"/>
  </r>
  <r>
    <x v="0"/>
    <x v="0"/>
    <x v="2"/>
    <x v="2"/>
    <s v="FIN_OTHER"/>
    <x v="10"/>
    <s v="GBPR_WOODWASTE_FINOTHER"/>
    <n v="74.099999999999994"/>
    <n v="7.4099999999999999E-2"/>
  </r>
  <r>
    <x v="0"/>
    <x v="1"/>
    <x v="2"/>
    <x v="2"/>
    <s v="FIN_OTHER"/>
    <x v="10"/>
    <s v="GBPR_WOODWASTE_FINOTHER"/>
    <n v="74.099999999999994"/>
    <n v="7.4099999999999999E-2"/>
  </r>
  <r>
    <x v="0"/>
    <x v="0"/>
    <x v="3"/>
    <x v="3"/>
    <s v="SE1_OTHER"/>
    <x v="10"/>
    <s v="GBPR_WOODWASTE"/>
    <n v="34"/>
    <n v="3.4000000000000002E-2"/>
  </r>
  <r>
    <x v="0"/>
    <x v="0"/>
    <x v="3"/>
    <x v="5"/>
    <s v="SE3_STO"/>
    <x v="10"/>
    <s v="GBPR_WOODWASTE"/>
    <n v="117"/>
    <n v="0.11700000000000001"/>
  </r>
  <r>
    <x v="0"/>
    <x v="1"/>
    <x v="3"/>
    <x v="3"/>
    <s v="SE1_OTHER"/>
    <x v="10"/>
    <s v="GBPR_WOODWASTE"/>
    <n v="34"/>
    <n v="3.4000000000000002E-2"/>
  </r>
  <r>
    <x v="0"/>
    <x v="1"/>
    <x v="3"/>
    <x v="5"/>
    <s v="SE3_STO"/>
    <x v="10"/>
    <s v="GBPR_WOODWASTE"/>
    <n v="117"/>
    <n v="0.11700000000000001"/>
  </r>
  <r>
    <x v="0"/>
    <x v="0"/>
    <x v="2"/>
    <x v="2"/>
    <s v="FIN_OTHER"/>
    <x v="6"/>
    <s v="GBPR_WOODCHIPS_FINOTHER"/>
    <n v="211.2"/>
    <n v="0.2112"/>
  </r>
  <r>
    <x v="0"/>
    <x v="1"/>
    <x v="2"/>
    <x v="2"/>
    <s v="FIN_OTHER"/>
    <x v="6"/>
    <s v="GBPR_WOODCHIPS_FINOTHER"/>
    <n v="211.2"/>
    <n v="0.2112"/>
  </r>
  <r>
    <x v="0"/>
    <x v="0"/>
    <x v="3"/>
    <x v="5"/>
    <s v="SE3_HP"/>
    <x v="6"/>
    <s v="GBPR_WOODCHIPS_08"/>
    <n v="0.53562231759656698"/>
    <n v="5.3562231759656702E-4"/>
  </r>
  <r>
    <x v="0"/>
    <x v="1"/>
    <x v="3"/>
    <x v="5"/>
    <s v="SE3_HP"/>
    <x v="6"/>
    <s v="GBPR_WOODCHIPS_08"/>
    <n v="0.53562231759656698"/>
    <n v="5.3562231759656702E-4"/>
  </r>
  <r>
    <x v="0"/>
    <x v="0"/>
    <x v="3"/>
    <x v="3"/>
    <s v="SE1_OTHER"/>
    <x v="6"/>
    <s v="GBPR_WOODCHIPS_25"/>
    <n v="3"/>
    <n v="3.0000000000000001E-3"/>
  </r>
  <r>
    <x v="0"/>
    <x v="0"/>
    <x v="3"/>
    <x v="5"/>
    <s v="SE3_EL"/>
    <x v="6"/>
    <s v="GBPR_WOODCHIPS_25"/>
    <n v="15.8917497725065"/>
    <n v="1.58917497725065E-2"/>
  </r>
  <r>
    <x v="0"/>
    <x v="0"/>
    <x v="3"/>
    <x v="5"/>
    <s v="SE3_OTHER"/>
    <x v="6"/>
    <s v="GBPR_WOODCHIPS_25"/>
    <n v="14.7669902912621"/>
    <n v="1.47669902912621E-2"/>
  </r>
  <r>
    <x v="0"/>
    <x v="0"/>
    <x v="3"/>
    <x v="6"/>
    <s v="SE4_OTHER"/>
    <x v="6"/>
    <s v="GBPR_WOODCHIPS_25"/>
    <n v="23.973076923076899"/>
    <n v="2.3973076923076899E-2"/>
  </r>
  <r>
    <x v="0"/>
    <x v="1"/>
    <x v="3"/>
    <x v="3"/>
    <s v="SE1_OTHER"/>
    <x v="6"/>
    <s v="GBPR_WOODCHIPS_25"/>
    <n v="3"/>
    <n v="3.0000000000000001E-3"/>
  </r>
  <r>
    <x v="0"/>
    <x v="1"/>
    <x v="3"/>
    <x v="5"/>
    <s v="SE3_EL"/>
    <x v="6"/>
    <s v="GBPR_WOODCHIPS_25"/>
    <n v="15.8917497725065"/>
    <n v="1.58917497725065E-2"/>
  </r>
  <r>
    <x v="0"/>
    <x v="1"/>
    <x v="3"/>
    <x v="5"/>
    <s v="SE3_OTHER"/>
    <x v="6"/>
    <s v="GBPR_WOODCHIPS_25"/>
    <n v="14.7669902912621"/>
    <n v="1.47669902912621E-2"/>
  </r>
  <r>
    <x v="0"/>
    <x v="1"/>
    <x v="3"/>
    <x v="6"/>
    <s v="SE4_OTHER"/>
    <x v="6"/>
    <s v="GBPR_WOODCHIPS_25"/>
    <n v="23.973076923076899"/>
    <n v="2.3973076923076899E-2"/>
  </r>
  <r>
    <x v="0"/>
    <x v="0"/>
    <x v="3"/>
    <x v="4"/>
    <s v="SE2_EL"/>
    <x v="6"/>
    <s v="GBPR_WOODCHIPS_37"/>
    <n v="10.1598579040853"/>
    <n v="1.0159857904085299E-2"/>
  </r>
  <r>
    <x v="0"/>
    <x v="0"/>
    <x v="3"/>
    <x v="4"/>
    <s v="SE2_OTHER"/>
    <x v="6"/>
    <s v="GBPR_WOODCHIPS_37"/>
    <n v="8"/>
    <n v="8.0000000000000002E-3"/>
  </r>
  <r>
    <x v="0"/>
    <x v="0"/>
    <x v="3"/>
    <x v="5"/>
    <s v="SE3_OTHER"/>
    <x v="6"/>
    <s v="GBPR_WOODCHIPS_37"/>
    <n v="39.299999999999997"/>
    <n v="3.9300000000000002E-2"/>
  </r>
  <r>
    <x v="0"/>
    <x v="1"/>
    <x v="3"/>
    <x v="4"/>
    <s v="SE2_EL"/>
    <x v="6"/>
    <s v="GBPR_WOODCHIPS_37"/>
    <n v="10.1598579040853"/>
    <n v="1.0159857904085299E-2"/>
  </r>
  <r>
    <x v="0"/>
    <x v="1"/>
    <x v="3"/>
    <x v="4"/>
    <s v="SE2_OTHER"/>
    <x v="6"/>
    <s v="GBPR_WOODCHIPS_37"/>
    <n v="8"/>
    <n v="8.0000000000000002E-3"/>
  </r>
  <r>
    <x v="0"/>
    <x v="1"/>
    <x v="3"/>
    <x v="5"/>
    <s v="SE3_OTHER"/>
    <x v="6"/>
    <s v="GBPR_WOODCHIPS_37"/>
    <n v="39.299999999999997"/>
    <n v="3.9300000000000002E-2"/>
  </r>
  <r>
    <x v="0"/>
    <x v="0"/>
    <x v="6"/>
    <x v="13"/>
    <s v="EE_Industry"/>
    <x v="6"/>
    <s v="GBPR_WOODCHIPS"/>
    <n v="6.5"/>
    <n v="6.4999999999999997E-3"/>
  </r>
  <r>
    <x v="0"/>
    <x v="0"/>
    <x v="6"/>
    <x v="13"/>
    <s v="EE_Small"/>
    <x v="6"/>
    <s v="GBPR_WOODCHIPS"/>
    <n v="4"/>
    <n v="4.0000000000000001E-3"/>
  </r>
  <r>
    <x v="0"/>
    <x v="0"/>
    <x v="2"/>
    <x v="2"/>
    <s v="FIN_EL"/>
    <x v="6"/>
    <s v="GBPR_WOODCHIPS"/>
    <n v="47"/>
    <n v="4.7E-2"/>
  </r>
  <r>
    <x v="0"/>
    <x v="0"/>
    <x v="3"/>
    <x v="6"/>
    <s v="SE4_OTHER"/>
    <x v="6"/>
    <s v="GBPR_WOODCHIPS"/>
    <n v="31"/>
    <n v="3.1E-2"/>
  </r>
  <r>
    <x v="0"/>
    <x v="1"/>
    <x v="6"/>
    <x v="13"/>
    <s v="EE_Industry"/>
    <x v="6"/>
    <s v="GBPR_WOODCHIPS"/>
    <n v="6.5"/>
    <n v="6.4999999999999997E-3"/>
  </r>
  <r>
    <x v="0"/>
    <x v="1"/>
    <x v="6"/>
    <x v="13"/>
    <s v="EE_Small"/>
    <x v="6"/>
    <s v="GBPR_WOODCHIPS"/>
    <n v="4"/>
    <n v="4.0000000000000001E-3"/>
  </r>
  <r>
    <x v="0"/>
    <x v="1"/>
    <x v="2"/>
    <x v="2"/>
    <s v="FIN_EL"/>
    <x v="6"/>
    <s v="GBPR_WOODCHIPS"/>
    <n v="47"/>
    <n v="4.7E-2"/>
  </r>
  <r>
    <x v="0"/>
    <x v="1"/>
    <x v="3"/>
    <x v="6"/>
    <s v="SE4_OTHER"/>
    <x v="6"/>
    <s v="GBPR_WOODCHIPS"/>
    <n v="31"/>
    <n v="3.1E-2"/>
  </r>
  <r>
    <x v="0"/>
    <x v="0"/>
    <x v="3"/>
    <x v="5"/>
    <s v="SE3_STO"/>
    <x v="14"/>
    <s v="GBPR_WOODPELLETS_HASSELBY"/>
    <n v="75"/>
    <n v="7.4999999999999997E-2"/>
  </r>
  <r>
    <x v="0"/>
    <x v="1"/>
    <x v="3"/>
    <x v="5"/>
    <s v="SE3_STO"/>
    <x v="14"/>
    <s v="GBPR_WOODPELLETS_HASSELBY"/>
    <n v="75"/>
    <n v="7.4999999999999997E-2"/>
  </r>
  <r>
    <x v="0"/>
    <x v="0"/>
    <x v="2"/>
    <x v="2"/>
    <s v="FIN_OTHER"/>
    <x v="14"/>
    <s v="GBPR_WOODPELLETS"/>
    <n v="1.1000000000000001"/>
    <n v="1.1000000000000001E-3"/>
  </r>
  <r>
    <x v="0"/>
    <x v="0"/>
    <x v="3"/>
    <x v="6"/>
    <s v="SE4_HP"/>
    <x v="14"/>
    <s v="GBPR_WOODPELLETS"/>
    <n v="69"/>
    <n v="6.9000000000000006E-2"/>
  </r>
  <r>
    <x v="0"/>
    <x v="1"/>
    <x v="2"/>
    <x v="2"/>
    <s v="FIN_OTHER"/>
    <x v="14"/>
    <s v="GBPR_WOODPELLETS"/>
    <n v="1.1000000000000001"/>
    <n v="1.1000000000000001E-3"/>
  </r>
  <r>
    <x v="0"/>
    <x v="1"/>
    <x v="3"/>
    <x v="6"/>
    <s v="SE4_HP"/>
    <x v="14"/>
    <s v="GBPR_WOODPELLETS"/>
    <n v="69"/>
    <n v="6.9000000000000006E-2"/>
  </r>
  <r>
    <x v="0"/>
    <x v="0"/>
    <x v="3"/>
    <x v="3"/>
    <s v="SE1_OTHER"/>
    <x v="5"/>
    <s v="GBPR_PEAT_38"/>
    <n v="9.1999999999999993"/>
    <n v="9.1999999999999998E-3"/>
  </r>
  <r>
    <x v="0"/>
    <x v="0"/>
    <x v="3"/>
    <x v="5"/>
    <s v="SE3_EL"/>
    <x v="5"/>
    <s v="GBPR_PEAT_38"/>
    <n v="22"/>
    <n v="2.1999999999999999E-2"/>
  </r>
  <r>
    <x v="0"/>
    <x v="1"/>
    <x v="3"/>
    <x v="3"/>
    <s v="SE1_OTHER"/>
    <x v="5"/>
    <s v="GBPR_PEAT_38"/>
    <n v="9.1999999999999993"/>
    <n v="9.1999999999999998E-3"/>
  </r>
  <r>
    <x v="0"/>
    <x v="1"/>
    <x v="3"/>
    <x v="5"/>
    <s v="SE3_EL"/>
    <x v="5"/>
    <s v="GBPR_PEAT_38"/>
    <n v="22"/>
    <n v="2.1999999999999999E-2"/>
  </r>
  <r>
    <x v="0"/>
    <x v="0"/>
    <x v="2"/>
    <x v="2"/>
    <s v="FIN_OTHER"/>
    <x v="5"/>
    <s v="GBPR_PEAT"/>
    <n v="521.4"/>
    <n v="0.52139999999999997"/>
  </r>
  <r>
    <x v="0"/>
    <x v="1"/>
    <x v="2"/>
    <x v="2"/>
    <s v="FIN_OTHER"/>
    <x v="5"/>
    <s v="GBPR_PEAT"/>
    <n v="521.4"/>
    <n v="0.52139999999999997"/>
  </r>
  <r>
    <x v="0"/>
    <x v="0"/>
    <x v="6"/>
    <x v="13"/>
    <s v="EE_Small"/>
    <x v="15"/>
    <s v="GBPR_BIOGAS"/>
    <n v="5.7"/>
    <n v="5.7000000000000002E-3"/>
  </r>
  <r>
    <x v="0"/>
    <x v="1"/>
    <x v="6"/>
    <x v="13"/>
    <s v="EE_Small"/>
    <x v="15"/>
    <s v="GBPR_BIOGAS"/>
    <n v="5.7"/>
    <n v="5.7000000000000002E-3"/>
  </r>
  <r>
    <x v="0"/>
    <x v="0"/>
    <x v="3"/>
    <x v="5"/>
    <s v="SE3_GOT"/>
    <x v="2"/>
    <s v="GBPR_NATGAS_RYA"/>
    <n v="261"/>
    <n v="0.26100000000000001"/>
  </r>
  <r>
    <x v="0"/>
    <x v="1"/>
    <x v="3"/>
    <x v="5"/>
    <s v="SE3_GOT"/>
    <x v="2"/>
    <s v="GBPR_NATGAS_RYA"/>
    <n v="261"/>
    <n v="0.26100000000000001"/>
  </r>
  <r>
    <x v="0"/>
    <x v="0"/>
    <x v="3"/>
    <x v="5"/>
    <s v="SE3_GOT"/>
    <x v="2"/>
    <s v="GBPR_NATGAS_GOT"/>
    <n v="48.9"/>
    <n v="4.8899999999999999E-2"/>
  </r>
  <r>
    <x v="0"/>
    <x v="1"/>
    <x v="3"/>
    <x v="5"/>
    <s v="SE3_GOT"/>
    <x v="2"/>
    <s v="GBPR_NATGAS_GOT"/>
    <n v="48.9"/>
    <n v="4.8899999999999999E-2"/>
  </r>
  <r>
    <x v="0"/>
    <x v="0"/>
    <x v="3"/>
    <x v="6"/>
    <s v="SE4_MAL"/>
    <x v="2"/>
    <s v="GBPR_NATGAS_MAL"/>
    <n v="130"/>
    <n v="0.13"/>
  </r>
  <r>
    <x v="0"/>
    <x v="1"/>
    <x v="3"/>
    <x v="6"/>
    <s v="SE4_MAL"/>
    <x v="2"/>
    <s v="GBPR_NATGAS_MAL"/>
    <n v="130"/>
    <n v="0.13"/>
  </r>
  <r>
    <x v="0"/>
    <x v="0"/>
    <x v="2"/>
    <x v="2"/>
    <s v="FIN_OTHER"/>
    <x v="2"/>
    <s v="GBPR_NATGAS_100"/>
    <n v="198.6"/>
    <n v="0.1986"/>
  </r>
  <r>
    <x v="0"/>
    <x v="0"/>
    <x v="3"/>
    <x v="6"/>
    <s v="SE4_HP"/>
    <x v="2"/>
    <s v="GBPR_NATGAS_100"/>
    <n v="54"/>
    <n v="5.3999999999999999E-2"/>
  </r>
  <r>
    <x v="0"/>
    <x v="1"/>
    <x v="2"/>
    <x v="2"/>
    <s v="FIN_OTHER"/>
    <x v="2"/>
    <s v="GBPR_NATGAS_100"/>
    <n v="198.6"/>
    <n v="0.1986"/>
  </r>
  <r>
    <x v="0"/>
    <x v="1"/>
    <x v="3"/>
    <x v="6"/>
    <s v="SE4_HP"/>
    <x v="2"/>
    <s v="GBPR_NATGAS_100"/>
    <n v="54"/>
    <n v="5.3999999999999999E-2"/>
  </r>
  <r>
    <x v="0"/>
    <x v="0"/>
    <x v="2"/>
    <x v="2"/>
    <s v="FIN_HELS"/>
    <x v="2"/>
    <s v="GBPR_NATGAS_VOUSAARI"/>
    <n v="160"/>
    <n v="0.16"/>
  </r>
  <r>
    <x v="0"/>
    <x v="1"/>
    <x v="2"/>
    <x v="2"/>
    <s v="FIN_HELS"/>
    <x v="2"/>
    <s v="GBPR_NATGAS_VOUSAARI"/>
    <n v="160"/>
    <n v="0.16"/>
  </r>
  <r>
    <x v="0"/>
    <x v="0"/>
    <x v="2"/>
    <x v="2"/>
    <s v="FIN_EL"/>
    <x v="2"/>
    <s v="GBPR_NATGAS_FINEL"/>
    <n v="81.2"/>
    <n v="8.1199999999999994E-2"/>
  </r>
  <r>
    <x v="0"/>
    <x v="1"/>
    <x v="2"/>
    <x v="2"/>
    <s v="FIN_EL"/>
    <x v="2"/>
    <s v="GBPR_NATGAS_FINEL"/>
    <n v="81.2"/>
    <n v="8.1199999999999994E-2"/>
  </r>
  <r>
    <x v="0"/>
    <x v="0"/>
    <x v="2"/>
    <x v="2"/>
    <s v="FIN_ESPOO"/>
    <x v="2"/>
    <s v="GBPR_NATGAS_SUOMENOJA2"/>
    <n v="234"/>
    <n v="0.23400000000000001"/>
  </r>
  <r>
    <x v="0"/>
    <x v="1"/>
    <x v="2"/>
    <x v="2"/>
    <s v="FIN_ESPOO"/>
    <x v="2"/>
    <s v="GBPR_NATGAS_SUOMENOJA2"/>
    <n v="234"/>
    <n v="0.23400000000000001"/>
  </r>
  <r>
    <x v="0"/>
    <x v="0"/>
    <x v="2"/>
    <x v="2"/>
    <s v="FIN_GAS"/>
    <x v="2"/>
    <s v="GBPR_NATGAS_GASAREA"/>
    <n v="59"/>
    <n v="5.8999999999999997E-2"/>
  </r>
  <r>
    <x v="0"/>
    <x v="1"/>
    <x v="2"/>
    <x v="2"/>
    <s v="FIN_GAS"/>
    <x v="2"/>
    <s v="GBPR_NATGAS_GASAREA"/>
    <n v="59"/>
    <n v="5.8999999999999997E-2"/>
  </r>
  <r>
    <x v="0"/>
    <x v="0"/>
    <x v="2"/>
    <x v="2"/>
    <s v="FIN_ESPOO"/>
    <x v="2"/>
    <s v="GBPR_NATGAS_SUOMENOJA"/>
    <n v="49"/>
    <n v="4.9000000000000002E-2"/>
  </r>
  <r>
    <x v="0"/>
    <x v="1"/>
    <x v="2"/>
    <x v="2"/>
    <s v="FIN_ESPOO"/>
    <x v="2"/>
    <s v="GBPR_NATGAS_SUOMENOJA"/>
    <n v="49"/>
    <n v="4.9000000000000002E-2"/>
  </r>
  <r>
    <x v="0"/>
    <x v="0"/>
    <x v="2"/>
    <x v="2"/>
    <s v="FIN_HELS"/>
    <x v="2"/>
    <s v="GBPR_NATGAS_MARTINLAAKSOGT"/>
    <n v="58"/>
    <n v="5.8000000000000003E-2"/>
  </r>
  <r>
    <x v="0"/>
    <x v="1"/>
    <x v="2"/>
    <x v="2"/>
    <s v="FIN_HELS"/>
    <x v="2"/>
    <s v="GBPR_NATGAS_MARTINLAAKSOGT"/>
    <n v="58"/>
    <n v="5.8000000000000003E-2"/>
  </r>
  <r>
    <x v="0"/>
    <x v="0"/>
    <x v="6"/>
    <x v="13"/>
    <s v="EE_Industry"/>
    <x v="2"/>
    <s v="GBPR_NATGAS"/>
    <n v="19.2"/>
    <n v="1.9199999999999998E-2"/>
  </r>
  <r>
    <x v="0"/>
    <x v="0"/>
    <x v="6"/>
    <x v="13"/>
    <s v="EE_Small"/>
    <x v="2"/>
    <s v="GBPR_NATGAS"/>
    <n v="4.3"/>
    <n v="4.3E-3"/>
  </r>
  <r>
    <x v="0"/>
    <x v="0"/>
    <x v="4"/>
    <x v="7"/>
    <s v="PL_A1"/>
    <x v="2"/>
    <s v="GBPR_NATGAS"/>
    <n v="3228"/>
    <n v="3.2280000000000002"/>
  </r>
  <r>
    <x v="0"/>
    <x v="0"/>
    <x v="3"/>
    <x v="3"/>
    <s v="SE1_OTHER"/>
    <x v="2"/>
    <s v="GBPR_NATGAS"/>
    <n v="1.2"/>
    <n v="1.1999999999999999E-3"/>
  </r>
  <r>
    <x v="0"/>
    <x v="0"/>
    <x v="3"/>
    <x v="5"/>
    <s v="SE3_EL"/>
    <x v="2"/>
    <s v="GBPR_NATGAS"/>
    <n v="3.6339130000000002"/>
    <n v="3.6339129999999999E-3"/>
  </r>
  <r>
    <x v="0"/>
    <x v="1"/>
    <x v="6"/>
    <x v="13"/>
    <s v="EE_Industry"/>
    <x v="2"/>
    <s v="GBPR_NATGAS"/>
    <n v="19.2"/>
    <n v="1.9199999999999998E-2"/>
  </r>
  <r>
    <x v="0"/>
    <x v="1"/>
    <x v="6"/>
    <x v="13"/>
    <s v="EE_Small"/>
    <x v="2"/>
    <s v="GBPR_NATGAS"/>
    <n v="4.3"/>
    <n v="4.3E-3"/>
  </r>
  <r>
    <x v="0"/>
    <x v="1"/>
    <x v="4"/>
    <x v="7"/>
    <s v="PL_A1"/>
    <x v="2"/>
    <s v="GBPR_NATGAS"/>
    <n v="2488"/>
    <n v="2.488"/>
  </r>
  <r>
    <x v="0"/>
    <x v="1"/>
    <x v="3"/>
    <x v="3"/>
    <s v="SE1_OTHER"/>
    <x v="2"/>
    <s v="GBPR_NATGAS"/>
    <n v="1.2"/>
    <n v="1.1999999999999999E-3"/>
  </r>
  <r>
    <x v="0"/>
    <x v="1"/>
    <x v="3"/>
    <x v="5"/>
    <s v="SE3_EL"/>
    <x v="2"/>
    <s v="GBPR_NATGAS"/>
    <n v="3.6339130000000002"/>
    <n v="3.6339129999999999E-3"/>
  </r>
  <r>
    <x v="0"/>
    <x v="0"/>
    <x v="3"/>
    <x v="5"/>
    <s v="SE3_EL"/>
    <x v="1"/>
    <s v="GBPR_FUELOIL_LINK"/>
    <n v="61"/>
    <n v="6.0999999999999999E-2"/>
  </r>
  <r>
    <x v="0"/>
    <x v="1"/>
    <x v="3"/>
    <x v="5"/>
    <s v="SE3_EL"/>
    <x v="1"/>
    <s v="GBPR_FUELOIL_LINK"/>
    <n v="61"/>
    <n v="6.0999999999999999E-2"/>
  </r>
  <r>
    <x v="0"/>
    <x v="0"/>
    <x v="3"/>
    <x v="5"/>
    <s v="SE3_EL"/>
    <x v="1"/>
    <s v="GBPR_FUELOIL"/>
    <n v="22"/>
    <n v="2.1999999999999999E-2"/>
  </r>
  <r>
    <x v="0"/>
    <x v="1"/>
    <x v="3"/>
    <x v="5"/>
    <s v="SE3_EL"/>
    <x v="1"/>
    <s v="GBPR_FUELOIL"/>
    <n v="22"/>
    <n v="2.1999999999999999E-2"/>
  </r>
  <r>
    <x v="0"/>
    <x v="0"/>
    <x v="2"/>
    <x v="2"/>
    <s v="FIN_OTHER"/>
    <x v="16"/>
    <s v="GBPR_HEAVYFUELOIL"/>
    <n v="51.8"/>
    <n v="5.1799999999999999E-2"/>
  </r>
  <r>
    <x v="0"/>
    <x v="1"/>
    <x v="2"/>
    <x v="2"/>
    <s v="FIN_OTHER"/>
    <x v="16"/>
    <s v="GBPR_HEAVYFUELOIL"/>
    <n v="51.8"/>
    <n v="5.1799999999999999E-2"/>
  </r>
  <r>
    <x v="0"/>
    <x v="0"/>
    <x v="2"/>
    <x v="2"/>
    <s v="FIN_HELS"/>
    <x v="17"/>
    <s v="GETOH_HEATPUMP"/>
    <n v="30"/>
    <n v="0.03"/>
  </r>
  <r>
    <x v="0"/>
    <x v="0"/>
    <x v="2"/>
    <x v="2"/>
    <s v="FIN_HP"/>
    <x v="17"/>
    <s v="GETOH_HEATPUMP"/>
    <n v="34.200000000000003"/>
    <n v="3.4200000000000001E-2"/>
  </r>
  <r>
    <x v="0"/>
    <x v="0"/>
    <x v="5"/>
    <x v="9"/>
    <s v="NO1_A1"/>
    <x v="17"/>
    <s v="GETOH_HEATPUMP"/>
    <n v="172.45599999999999"/>
    <n v="0.172456"/>
  </r>
  <r>
    <x v="0"/>
    <x v="0"/>
    <x v="5"/>
    <x v="9"/>
    <s v="NO1_A2"/>
    <x v="17"/>
    <s v="GETOH_HEATPUMP"/>
    <n v="30"/>
    <n v="0.03"/>
  </r>
  <r>
    <x v="0"/>
    <x v="0"/>
    <x v="5"/>
    <x v="10"/>
    <s v="NO2_A1"/>
    <x v="17"/>
    <s v="GETOH_HEATPUMP"/>
    <n v="1.98"/>
    <n v="1.98E-3"/>
  </r>
  <r>
    <x v="0"/>
    <x v="0"/>
    <x v="5"/>
    <x v="8"/>
    <s v="NO3_A2"/>
    <x v="17"/>
    <s v="GETOH_HEATPUMP"/>
    <n v="1"/>
    <n v="1E-3"/>
  </r>
  <r>
    <x v="0"/>
    <x v="0"/>
    <x v="5"/>
    <x v="11"/>
    <s v="NO4_A1"/>
    <x v="17"/>
    <s v="GETOH_HEATPUMP"/>
    <n v="6.53"/>
    <n v="6.5300000000000002E-3"/>
  </r>
  <r>
    <x v="0"/>
    <x v="0"/>
    <x v="5"/>
    <x v="12"/>
    <s v="NO5_A1"/>
    <x v="17"/>
    <s v="GETOH_HEATPUMP"/>
    <n v="0.75"/>
    <n v="7.5000000000000002E-4"/>
  </r>
  <r>
    <x v="0"/>
    <x v="0"/>
    <x v="3"/>
    <x v="4"/>
    <s v="SE2_EL"/>
    <x v="17"/>
    <s v="GETOH_HEATPUMP"/>
    <n v="11"/>
    <n v="1.0999999999999999E-2"/>
  </r>
  <r>
    <x v="0"/>
    <x v="1"/>
    <x v="2"/>
    <x v="2"/>
    <s v="FIN_HELS"/>
    <x v="17"/>
    <s v="GETOH_HEATPUMP"/>
    <n v="30"/>
    <n v="0.03"/>
  </r>
  <r>
    <x v="0"/>
    <x v="1"/>
    <x v="2"/>
    <x v="2"/>
    <s v="FIN_HP"/>
    <x v="17"/>
    <s v="GETOH_HEATPUMP"/>
    <n v="34.200000000000003"/>
    <n v="3.4200000000000001E-2"/>
  </r>
  <r>
    <x v="0"/>
    <x v="1"/>
    <x v="5"/>
    <x v="9"/>
    <s v="NO1_A1"/>
    <x v="17"/>
    <s v="GETOH_HEATPUMP"/>
    <n v="172.45599999999999"/>
    <n v="0.172456"/>
  </r>
  <r>
    <x v="0"/>
    <x v="1"/>
    <x v="5"/>
    <x v="9"/>
    <s v="NO1_A2"/>
    <x v="17"/>
    <s v="GETOH_HEATPUMP"/>
    <n v="30"/>
    <n v="0.03"/>
  </r>
  <r>
    <x v="0"/>
    <x v="1"/>
    <x v="5"/>
    <x v="10"/>
    <s v="NO2_A1"/>
    <x v="17"/>
    <s v="GETOH_HEATPUMP"/>
    <n v="1.98"/>
    <n v="1.98E-3"/>
  </r>
  <r>
    <x v="0"/>
    <x v="1"/>
    <x v="5"/>
    <x v="8"/>
    <s v="NO3_A2"/>
    <x v="17"/>
    <s v="GETOH_HEATPUMP"/>
    <n v="1"/>
    <n v="1E-3"/>
  </r>
  <r>
    <x v="0"/>
    <x v="1"/>
    <x v="5"/>
    <x v="11"/>
    <s v="NO4_A1"/>
    <x v="17"/>
    <s v="GETOH_HEATPUMP"/>
    <n v="6.53"/>
    <n v="6.5300000000000002E-3"/>
  </r>
  <r>
    <x v="0"/>
    <x v="1"/>
    <x v="5"/>
    <x v="12"/>
    <s v="NO5_A1"/>
    <x v="17"/>
    <s v="GETOH_HEATPUMP"/>
    <n v="0.75"/>
    <n v="7.5000000000000002E-4"/>
  </r>
  <r>
    <x v="0"/>
    <x v="1"/>
    <x v="3"/>
    <x v="4"/>
    <s v="SE2_EL"/>
    <x v="17"/>
    <s v="GETOH_HEATPUMP"/>
    <n v="11"/>
    <n v="1.0999999999999999E-2"/>
  </r>
  <r>
    <x v="0"/>
    <x v="0"/>
    <x v="3"/>
    <x v="5"/>
    <s v="SE3_EL"/>
    <x v="17"/>
    <s v="GETOH_HEATPUMP33"/>
    <n v="90.4"/>
    <n v="9.0399999999999994E-2"/>
  </r>
  <r>
    <x v="0"/>
    <x v="0"/>
    <x v="3"/>
    <x v="5"/>
    <s v="SE3_GOT"/>
    <x v="17"/>
    <s v="GETOH_HEATPUMP33"/>
    <n v="160"/>
    <n v="0.16"/>
  </r>
  <r>
    <x v="0"/>
    <x v="0"/>
    <x v="3"/>
    <x v="5"/>
    <s v="SE3_STO"/>
    <x v="17"/>
    <s v="GETOH_HEATPUMP33"/>
    <n v="565"/>
    <n v="0.56499999999999995"/>
  </r>
  <r>
    <x v="0"/>
    <x v="0"/>
    <x v="3"/>
    <x v="6"/>
    <s v="SE4_MAL"/>
    <x v="17"/>
    <s v="GETOH_HEATPUMP33"/>
    <n v="1.1000000000000001"/>
    <n v="1.1000000000000001E-3"/>
  </r>
  <r>
    <x v="0"/>
    <x v="1"/>
    <x v="3"/>
    <x v="5"/>
    <s v="SE3_EL"/>
    <x v="17"/>
    <s v="GETOH_HEATPUMP33"/>
    <n v="90.4"/>
    <n v="9.0399999999999994E-2"/>
  </r>
  <r>
    <x v="0"/>
    <x v="1"/>
    <x v="3"/>
    <x v="5"/>
    <s v="SE3_GOT"/>
    <x v="17"/>
    <s v="GETOH_HEATPUMP33"/>
    <n v="160"/>
    <n v="0.16"/>
  </r>
  <r>
    <x v="0"/>
    <x v="1"/>
    <x v="3"/>
    <x v="5"/>
    <s v="SE3_STO"/>
    <x v="17"/>
    <s v="GETOH_HEATPUMP33"/>
    <n v="565"/>
    <n v="0.56499999999999995"/>
  </r>
  <r>
    <x v="0"/>
    <x v="1"/>
    <x v="3"/>
    <x v="6"/>
    <s v="SE4_MAL"/>
    <x v="17"/>
    <s v="GETOH_HEATPUMP33"/>
    <n v="1.1000000000000001"/>
    <n v="1.1000000000000001E-3"/>
  </r>
  <r>
    <x v="0"/>
    <x v="0"/>
    <x v="3"/>
    <x v="6"/>
    <s v="SE4_EL"/>
    <x v="17"/>
    <s v="GETOH_HEATPUMP1"/>
    <n v="55"/>
    <n v="5.5E-2"/>
  </r>
  <r>
    <x v="0"/>
    <x v="0"/>
    <x v="3"/>
    <x v="6"/>
    <s v="SE4_HP"/>
    <x v="17"/>
    <s v="GETOH_HEATPUMP1"/>
    <n v="31.55"/>
    <n v="3.1550000000000002E-2"/>
  </r>
  <r>
    <x v="0"/>
    <x v="1"/>
    <x v="3"/>
    <x v="6"/>
    <s v="SE4_EL"/>
    <x v="17"/>
    <s v="GETOH_HEATPUMP1"/>
    <n v="55"/>
    <n v="5.5E-2"/>
  </r>
  <r>
    <x v="0"/>
    <x v="1"/>
    <x v="3"/>
    <x v="6"/>
    <s v="SE4_HP"/>
    <x v="17"/>
    <s v="GETOH_HEATPUMP1"/>
    <n v="31.55"/>
    <n v="3.1550000000000002E-2"/>
  </r>
  <r>
    <x v="0"/>
    <x v="0"/>
    <x v="3"/>
    <x v="5"/>
    <s v="SE3_HP"/>
    <x v="17"/>
    <s v="GETOH_HEATPUMP2"/>
    <n v="204"/>
    <n v="0.20399999999999999"/>
  </r>
  <r>
    <x v="0"/>
    <x v="1"/>
    <x v="3"/>
    <x v="5"/>
    <s v="SE3_HP"/>
    <x v="17"/>
    <s v="GETOH_HEATPUMP2"/>
    <n v="204"/>
    <n v="0.20399999999999999"/>
  </r>
  <r>
    <x v="0"/>
    <x v="0"/>
    <x v="5"/>
    <x v="8"/>
    <s v="NO3_A1"/>
    <x v="17"/>
    <s v="GETOH_HEATPUMP3"/>
    <n v="11.46"/>
    <n v="1.146E-2"/>
  </r>
  <r>
    <x v="0"/>
    <x v="1"/>
    <x v="5"/>
    <x v="8"/>
    <s v="NO3_A1"/>
    <x v="17"/>
    <s v="GETOH_HEATPUMP3"/>
    <n v="11.46"/>
    <n v="1.146E-2"/>
  </r>
  <r>
    <x v="0"/>
    <x v="0"/>
    <x v="2"/>
    <x v="2"/>
    <s v="FIN_EL"/>
    <x v="17"/>
    <s v="GETOH_ELECTRICBOILER"/>
    <n v="95.6"/>
    <n v="9.5600000000000004E-2"/>
  </r>
  <r>
    <x v="0"/>
    <x v="0"/>
    <x v="2"/>
    <x v="2"/>
    <s v="FIN_HP"/>
    <x v="17"/>
    <s v="GETOH_ELECTRICBOILER"/>
    <n v="80"/>
    <n v="0.08"/>
  </r>
  <r>
    <x v="0"/>
    <x v="0"/>
    <x v="2"/>
    <x v="2"/>
    <s v="FIN_TAMP"/>
    <x v="17"/>
    <s v="GETOH_ELECTRICBOILER"/>
    <n v="20"/>
    <n v="0.02"/>
  </r>
  <r>
    <x v="0"/>
    <x v="0"/>
    <x v="5"/>
    <x v="9"/>
    <s v="NO1_A1"/>
    <x v="17"/>
    <s v="GETOH_ELECTRICBOILER"/>
    <n v="92.698999999999998"/>
    <n v="9.2699000000000004E-2"/>
  </r>
  <r>
    <x v="0"/>
    <x v="0"/>
    <x v="5"/>
    <x v="9"/>
    <s v="NO1_A2"/>
    <x v="17"/>
    <s v="GETOH_ELECTRICBOILER"/>
    <n v="246"/>
    <n v="0.246"/>
  </r>
  <r>
    <x v="0"/>
    <x v="0"/>
    <x v="5"/>
    <x v="10"/>
    <s v="NO2_A1"/>
    <x v="17"/>
    <s v="GETOH_ELECTRICBOILER"/>
    <n v="43.262"/>
    <n v="4.3262000000000002E-2"/>
  </r>
  <r>
    <x v="0"/>
    <x v="0"/>
    <x v="5"/>
    <x v="8"/>
    <s v="NO3_A1"/>
    <x v="17"/>
    <s v="GETOH_ELECTRICBOILER"/>
    <n v="25.835000000000001"/>
    <n v="2.5835E-2"/>
  </r>
  <r>
    <x v="0"/>
    <x v="0"/>
    <x v="5"/>
    <x v="8"/>
    <s v="NO3_A2"/>
    <x v="17"/>
    <s v="GETOH_ELECTRICBOILER"/>
    <n v="88.5"/>
    <n v="8.8499999999999995E-2"/>
  </r>
  <r>
    <x v="0"/>
    <x v="0"/>
    <x v="5"/>
    <x v="11"/>
    <s v="NO4_A1"/>
    <x v="17"/>
    <s v="GETOH_ELECTRICBOILER"/>
    <n v="40.384999999999998"/>
    <n v="4.0384999999999997E-2"/>
  </r>
  <r>
    <x v="0"/>
    <x v="0"/>
    <x v="5"/>
    <x v="12"/>
    <s v="NO5_A1"/>
    <x v="17"/>
    <s v="GETOH_ELECTRICBOILER"/>
    <n v="16.600000000000001"/>
    <n v="1.66E-2"/>
  </r>
  <r>
    <x v="0"/>
    <x v="0"/>
    <x v="3"/>
    <x v="3"/>
    <s v="SE1_EL"/>
    <x v="17"/>
    <s v="GETOH_ELECTRICBOILER"/>
    <n v="76.075000000000003"/>
    <n v="7.6075000000000004E-2"/>
  </r>
  <r>
    <x v="0"/>
    <x v="0"/>
    <x v="3"/>
    <x v="4"/>
    <s v="SE2_EL"/>
    <x v="17"/>
    <s v="GETOH_ELECTRICBOILER"/>
    <n v="176"/>
    <n v="0.17599999999999999"/>
  </r>
  <r>
    <x v="0"/>
    <x v="0"/>
    <x v="3"/>
    <x v="5"/>
    <s v="SE3_EL"/>
    <x v="17"/>
    <s v="GETOH_ELECTRICBOILER"/>
    <n v="303.62"/>
    <n v="0.30362"/>
  </r>
  <r>
    <x v="0"/>
    <x v="0"/>
    <x v="3"/>
    <x v="5"/>
    <s v="SE3_HP"/>
    <x v="17"/>
    <s v="GETOH_ELECTRICBOILER"/>
    <n v="86"/>
    <n v="8.5999999999999993E-2"/>
  </r>
  <r>
    <x v="0"/>
    <x v="0"/>
    <x v="3"/>
    <x v="5"/>
    <s v="SE3_STO"/>
    <x v="17"/>
    <s v="GETOH_ELECTRICBOILER"/>
    <n v="337"/>
    <n v="0.33700000000000002"/>
  </r>
  <r>
    <x v="0"/>
    <x v="0"/>
    <x v="3"/>
    <x v="6"/>
    <s v="SE4_EL"/>
    <x v="17"/>
    <s v="GETOH_ELECTRICBOILER"/>
    <n v="88.43"/>
    <n v="8.8429999999999995E-2"/>
  </r>
  <r>
    <x v="0"/>
    <x v="1"/>
    <x v="2"/>
    <x v="2"/>
    <s v="FIN_EL"/>
    <x v="17"/>
    <s v="GETOH_ELECTRICBOILER"/>
    <n v="95.6"/>
    <n v="9.5600000000000004E-2"/>
  </r>
  <r>
    <x v="0"/>
    <x v="1"/>
    <x v="2"/>
    <x v="2"/>
    <s v="FIN_HP"/>
    <x v="17"/>
    <s v="GETOH_ELECTRICBOILER"/>
    <n v="80"/>
    <n v="0.08"/>
  </r>
  <r>
    <x v="0"/>
    <x v="1"/>
    <x v="2"/>
    <x v="2"/>
    <s v="FIN_TAMP"/>
    <x v="17"/>
    <s v="GETOH_ELECTRICBOILER"/>
    <n v="20"/>
    <n v="0.02"/>
  </r>
  <r>
    <x v="0"/>
    <x v="1"/>
    <x v="5"/>
    <x v="9"/>
    <s v="NO1_A1"/>
    <x v="17"/>
    <s v="GETOH_ELECTRICBOILER"/>
    <n v="92.698999999999998"/>
    <n v="9.2699000000000004E-2"/>
  </r>
  <r>
    <x v="0"/>
    <x v="1"/>
    <x v="5"/>
    <x v="9"/>
    <s v="NO1_A2"/>
    <x v="17"/>
    <s v="GETOH_ELECTRICBOILER"/>
    <n v="246"/>
    <n v="0.246"/>
  </r>
  <r>
    <x v="0"/>
    <x v="1"/>
    <x v="5"/>
    <x v="10"/>
    <s v="NO2_A1"/>
    <x v="17"/>
    <s v="GETOH_ELECTRICBOILER"/>
    <n v="43.262"/>
    <n v="4.3262000000000002E-2"/>
  </r>
  <r>
    <x v="0"/>
    <x v="1"/>
    <x v="5"/>
    <x v="8"/>
    <s v="NO3_A1"/>
    <x v="17"/>
    <s v="GETOH_ELECTRICBOILER"/>
    <n v="25.835000000000001"/>
    <n v="2.5835E-2"/>
  </r>
  <r>
    <x v="0"/>
    <x v="1"/>
    <x v="5"/>
    <x v="8"/>
    <s v="NO3_A2"/>
    <x v="17"/>
    <s v="GETOH_ELECTRICBOILER"/>
    <n v="88.5"/>
    <n v="8.8499999999999995E-2"/>
  </r>
  <r>
    <x v="0"/>
    <x v="1"/>
    <x v="5"/>
    <x v="11"/>
    <s v="NO4_A1"/>
    <x v="17"/>
    <s v="GETOH_ELECTRICBOILER"/>
    <n v="40.384999999999998"/>
    <n v="4.0384999999999997E-2"/>
  </r>
  <r>
    <x v="0"/>
    <x v="1"/>
    <x v="5"/>
    <x v="12"/>
    <s v="NO5_A1"/>
    <x v="17"/>
    <s v="GETOH_ELECTRICBOILER"/>
    <n v="16.600000000000001"/>
    <n v="1.66E-2"/>
  </r>
  <r>
    <x v="0"/>
    <x v="1"/>
    <x v="3"/>
    <x v="3"/>
    <s v="SE1_EL"/>
    <x v="17"/>
    <s v="GETOH_ELECTRICBOILER"/>
    <n v="76.075000000000003"/>
    <n v="7.6075000000000004E-2"/>
  </r>
  <r>
    <x v="0"/>
    <x v="1"/>
    <x v="3"/>
    <x v="4"/>
    <s v="SE2_EL"/>
    <x v="17"/>
    <s v="GETOH_ELECTRICBOILER"/>
    <n v="176"/>
    <n v="0.17599999999999999"/>
  </r>
  <r>
    <x v="0"/>
    <x v="1"/>
    <x v="3"/>
    <x v="5"/>
    <s v="SE3_EL"/>
    <x v="17"/>
    <s v="GETOH_ELECTRICBOILER"/>
    <n v="303.62"/>
    <n v="0.30362"/>
  </r>
  <r>
    <x v="0"/>
    <x v="1"/>
    <x v="3"/>
    <x v="5"/>
    <s v="SE3_HP"/>
    <x v="17"/>
    <s v="GETOH_ELECTRICBOILER"/>
    <n v="86"/>
    <n v="8.5999999999999993E-2"/>
  </r>
  <r>
    <x v="0"/>
    <x v="1"/>
    <x v="3"/>
    <x v="5"/>
    <s v="SE3_STO"/>
    <x v="17"/>
    <s v="GETOH_ELECTRICBOILER"/>
    <n v="337"/>
    <n v="0.33700000000000002"/>
  </r>
  <r>
    <x v="0"/>
    <x v="1"/>
    <x v="3"/>
    <x v="6"/>
    <s v="SE4_EL"/>
    <x v="17"/>
    <s v="GETOH_ELECTRICBOILER"/>
    <n v="88.43"/>
    <n v="8.8429999999999995E-2"/>
  </r>
  <r>
    <x v="0"/>
    <x v="0"/>
    <x v="2"/>
    <x v="2"/>
    <s v="FinA"/>
    <x v="4"/>
    <s v="GBPR_IND_BIO"/>
    <n v="300"/>
    <n v="0.3"/>
  </r>
  <r>
    <x v="0"/>
    <x v="0"/>
    <x v="3"/>
    <x v="3"/>
    <s v="SE1A"/>
    <x v="4"/>
    <s v="GBPR_IND_BIO"/>
    <n v="129"/>
    <n v="0.129"/>
  </r>
  <r>
    <x v="0"/>
    <x v="0"/>
    <x v="3"/>
    <x v="4"/>
    <s v="SE2A"/>
    <x v="4"/>
    <s v="GBPR_IND_BIO"/>
    <n v="364.7"/>
    <n v="0.36470000000000002"/>
  </r>
  <r>
    <x v="0"/>
    <x v="0"/>
    <x v="3"/>
    <x v="5"/>
    <s v="SE3A"/>
    <x v="4"/>
    <s v="GBPR_IND_BIO"/>
    <n v="567.79999999999995"/>
    <n v="0.56779999999999997"/>
  </r>
  <r>
    <x v="0"/>
    <x v="0"/>
    <x v="3"/>
    <x v="6"/>
    <s v="SE4A"/>
    <x v="4"/>
    <s v="GBPR_IND_BIO"/>
    <n v="258.89999999999998"/>
    <n v="0.25890000000000002"/>
  </r>
  <r>
    <x v="0"/>
    <x v="1"/>
    <x v="2"/>
    <x v="2"/>
    <s v="FinA"/>
    <x v="4"/>
    <s v="GBPR_IND_BIO"/>
    <n v="300"/>
    <n v="0.3"/>
  </r>
  <r>
    <x v="0"/>
    <x v="1"/>
    <x v="3"/>
    <x v="3"/>
    <s v="SE1A"/>
    <x v="4"/>
    <s v="GBPR_IND_BIO"/>
    <n v="129"/>
    <n v="0.129"/>
  </r>
  <r>
    <x v="0"/>
    <x v="1"/>
    <x v="3"/>
    <x v="4"/>
    <s v="SE2A"/>
    <x v="4"/>
    <s v="GBPR_IND_BIO"/>
    <n v="364.7"/>
    <n v="0.36470000000000002"/>
  </r>
  <r>
    <x v="0"/>
    <x v="1"/>
    <x v="3"/>
    <x v="5"/>
    <s v="SE3A"/>
    <x v="4"/>
    <s v="GBPR_IND_BIO"/>
    <n v="567.79999999999995"/>
    <n v="0.56779999999999997"/>
  </r>
  <r>
    <x v="0"/>
    <x v="1"/>
    <x v="3"/>
    <x v="6"/>
    <s v="SE4A"/>
    <x v="4"/>
    <s v="GBPR_IND_BIO"/>
    <n v="258.89999999999998"/>
    <n v="0.25890000000000002"/>
  </r>
  <r>
    <x v="0"/>
    <x v="0"/>
    <x v="3"/>
    <x v="3"/>
    <s v="SE1A"/>
    <x v="1"/>
    <s v="GBPR_IND_FOSSILE"/>
    <n v="100"/>
    <n v="0.1"/>
  </r>
  <r>
    <x v="0"/>
    <x v="1"/>
    <x v="3"/>
    <x v="3"/>
    <s v="SE1A"/>
    <x v="1"/>
    <s v="GBPR_IND_FOSSILE"/>
    <n v="100"/>
    <n v="0.1"/>
  </r>
  <r>
    <x v="0"/>
    <x v="0"/>
    <x v="2"/>
    <x v="2"/>
    <s v="FinA"/>
    <x v="4"/>
    <s v="GBPR_WOOD_IND"/>
    <n v="1847"/>
    <n v="1.847"/>
  </r>
  <r>
    <x v="0"/>
    <x v="1"/>
    <x v="2"/>
    <x v="2"/>
    <s v="FinA"/>
    <x v="4"/>
    <s v="GBPR_WOOD_IND"/>
    <n v="1847"/>
    <n v="1.847"/>
  </r>
  <r>
    <x v="0"/>
    <x v="0"/>
    <x v="2"/>
    <x v="2"/>
    <s v="FinA"/>
    <x v="5"/>
    <s v="GBPR_PEAT_IND"/>
    <n v="634"/>
    <n v="0.63400000000000001"/>
  </r>
  <r>
    <x v="0"/>
    <x v="1"/>
    <x v="2"/>
    <x v="2"/>
    <s v="FinA"/>
    <x v="5"/>
    <s v="GBPR_PEAT_IND"/>
    <n v="634"/>
    <n v="0.63400000000000001"/>
  </r>
  <r>
    <x v="0"/>
    <x v="0"/>
    <x v="2"/>
    <x v="2"/>
    <s v="FinA"/>
    <x v="2"/>
    <s v="GBPR_NATGAS_IND"/>
    <n v="369"/>
    <n v="0.36899999999999999"/>
  </r>
  <r>
    <x v="0"/>
    <x v="1"/>
    <x v="2"/>
    <x v="2"/>
    <s v="FinA"/>
    <x v="2"/>
    <s v="GBPR_NATGAS_IND"/>
    <n v="369"/>
    <n v="0.36899999999999999"/>
  </r>
  <r>
    <x v="0"/>
    <x v="0"/>
    <x v="2"/>
    <x v="2"/>
    <s v="FinA"/>
    <x v="0"/>
    <s v="GBPR_COAL_IND"/>
    <n v="20"/>
    <n v="0.02"/>
  </r>
  <r>
    <x v="0"/>
    <x v="1"/>
    <x v="2"/>
    <x v="2"/>
    <s v="FinA"/>
    <x v="0"/>
    <s v="GBPR_COAL_IND"/>
    <n v="20"/>
    <n v="0.02"/>
  </r>
  <r>
    <x v="0"/>
    <x v="0"/>
    <x v="2"/>
    <x v="2"/>
    <s v="FinA"/>
    <x v="1"/>
    <s v="GBPR_FUELOIL_IND"/>
    <n v="60"/>
    <n v="0.06"/>
  </r>
  <r>
    <x v="0"/>
    <x v="1"/>
    <x v="2"/>
    <x v="2"/>
    <s v="FinA"/>
    <x v="1"/>
    <s v="GBPR_FUELOIL_IND"/>
    <n v="60"/>
    <n v="0.06"/>
  </r>
  <r>
    <x v="0"/>
    <x v="0"/>
    <x v="0"/>
    <x v="0"/>
    <s v="NeA"/>
    <x v="0"/>
    <s v="GBPR_COAL1"/>
    <n v="403.98902415572701"/>
    <n v="0.40398902415572702"/>
  </r>
  <r>
    <x v="0"/>
    <x v="0"/>
    <x v="1"/>
    <x v="1"/>
    <s v="UKA"/>
    <x v="0"/>
    <s v="GBPR_COAL1"/>
    <n v="232.450973013122"/>
    <n v="0.23245097301312201"/>
  </r>
  <r>
    <x v="0"/>
    <x v="1"/>
    <x v="0"/>
    <x v="0"/>
    <s v="NeA"/>
    <x v="0"/>
    <s v="GBPR_COAL1"/>
    <n v="426.82315122076"/>
    <n v="0.42682315122075998"/>
  </r>
  <r>
    <x v="0"/>
    <x v="1"/>
    <x v="1"/>
    <x v="1"/>
    <s v="UKA"/>
    <x v="0"/>
    <s v="GBPR_COAL1"/>
    <n v="86.075721713295295"/>
    <n v="8.6075721713295306E-2"/>
  </r>
  <r>
    <x v="0"/>
    <x v="0"/>
    <x v="0"/>
    <x v="0"/>
    <s v="NeA"/>
    <x v="0"/>
    <s v="GBPR_COAL2"/>
    <n v="403.98902415572701"/>
    <n v="0.40398902415572702"/>
  </r>
  <r>
    <x v="0"/>
    <x v="1"/>
    <x v="0"/>
    <x v="0"/>
    <s v="NeA"/>
    <x v="0"/>
    <s v="GBPR_COAL2"/>
    <n v="426.82315122076"/>
    <n v="0.42682315122075998"/>
  </r>
  <r>
    <x v="0"/>
    <x v="0"/>
    <x v="0"/>
    <x v="0"/>
    <s v="NeA"/>
    <x v="0"/>
    <s v="GBPR_COAL3"/>
    <n v="403.98902415572701"/>
    <n v="0.40398902415572702"/>
  </r>
  <r>
    <x v="0"/>
    <x v="1"/>
    <x v="0"/>
    <x v="0"/>
    <s v="NeA"/>
    <x v="0"/>
    <s v="GBPR_COAL3"/>
    <n v="426.82315122076"/>
    <n v="0.42682315122075998"/>
  </r>
  <r>
    <x v="0"/>
    <x v="0"/>
    <x v="0"/>
    <x v="0"/>
    <s v="NeA"/>
    <x v="1"/>
    <s v="GBPR_FUELOIL1"/>
    <n v="208.07930674265501"/>
    <n v="0.20807930674265501"/>
  </r>
  <r>
    <x v="0"/>
    <x v="0"/>
    <x v="1"/>
    <x v="1"/>
    <s v="UKA"/>
    <x v="1"/>
    <s v="GBPR_FUELOIL1"/>
    <n v="772.22894617819998"/>
    <n v="0.77222894617820004"/>
  </r>
  <r>
    <x v="0"/>
    <x v="1"/>
    <x v="0"/>
    <x v="0"/>
    <s v="NeA"/>
    <x v="1"/>
    <s v="GBPR_FUELOIL1"/>
    <n v="262.65424873407699"/>
    <n v="0.262654248734077"/>
  </r>
  <r>
    <x v="0"/>
    <x v="1"/>
    <x v="1"/>
    <x v="1"/>
    <s v="UKA"/>
    <x v="1"/>
    <s v="GBPR_FUELOIL1"/>
    <n v="537.69226594301199"/>
    <n v="0.537692265943012"/>
  </r>
  <r>
    <x v="0"/>
    <x v="0"/>
    <x v="0"/>
    <x v="0"/>
    <s v="NeA"/>
    <x v="1"/>
    <s v="GBPR_FUELOIL2"/>
    <n v="208.07930674265501"/>
    <n v="0.20807930674265501"/>
  </r>
  <r>
    <x v="0"/>
    <x v="1"/>
    <x v="0"/>
    <x v="0"/>
    <s v="NeA"/>
    <x v="1"/>
    <s v="GBPR_FUELOIL2"/>
    <n v="262.65424873407699"/>
    <n v="0.262654248734077"/>
  </r>
  <r>
    <x v="0"/>
    <x v="0"/>
    <x v="0"/>
    <x v="0"/>
    <s v="NeA"/>
    <x v="1"/>
    <s v="GBPR_FUELOIL3"/>
    <n v="208.07930674265501"/>
    <n v="0.20807930674265501"/>
  </r>
  <r>
    <x v="0"/>
    <x v="1"/>
    <x v="0"/>
    <x v="0"/>
    <s v="NeA"/>
    <x v="1"/>
    <s v="GBPR_FUELOIL3"/>
    <n v="262.65424873407699"/>
    <n v="0.262654248734077"/>
  </r>
  <r>
    <x v="0"/>
    <x v="0"/>
    <x v="0"/>
    <x v="0"/>
    <s v="NeA"/>
    <x v="2"/>
    <s v="GBPR_NATGAS1"/>
    <n v="3267.0743638496801"/>
    <n v="3.2670743638496802"/>
  </r>
  <r>
    <x v="0"/>
    <x v="0"/>
    <x v="1"/>
    <x v="1"/>
    <s v="UKA"/>
    <x v="2"/>
    <s v="GBPR_NATGAS1"/>
    <n v="4754.6792290119902"/>
    <n v="4.7546792290119901"/>
  </r>
  <r>
    <x v="0"/>
    <x v="1"/>
    <x v="0"/>
    <x v="0"/>
    <s v="NeA"/>
    <x v="2"/>
    <s v="GBPR_NATGAS1"/>
    <n v="3241.5612053533"/>
    <n v="3.2415612053533001"/>
  </r>
  <r>
    <x v="0"/>
    <x v="1"/>
    <x v="1"/>
    <x v="1"/>
    <s v="UKA"/>
    <x v="2"/>
    <s v="GBPR_NATGAS1"/>
    <n v="5166.0376870359796"/>
    <n v="5.1660376870359803"/>
  </r>
  <r>
    <x v="0"/>
    <x v="0"/>
    <x v="0"/>
    <x v="0"/>
    <s v="NeA"/>
    <x v="2"/>
    <s v="GBPR_NATGAS2"/>
    <n v="3267.0743638496801"/>
    <n v="3.2670743638496802"/>
  </r>
  <r>
    <x v="0"/>
    <x v="1"/>
    <x v="0"/>
    <x v="0"/>
    <s v="NeA"/>
    <x v="2"/>
    <s v="GBPR_NATGAS2"/>
    <n v="3241.5612053533"/>
    <n v="3.2415612053533001"/>
  </r>
  <r>
    <x v="0"/>
    <x v="0"/>
    <x v="0"/>
    <x v="0"/>
    <s v="NeA"/>
    <x v="2"/>
    <s v="GBPR_NATGAS3"/>
    <n v="3267.0743638496801"/>
    <n v="3.2670743638496802"/>
  </r>
  <r>
    <x v="0"/>
    <x v="1"/>
    <x v="0"/>
    <x v="0"/>
    <s v="NeA"/>
    <x v="2"/>
    <s v="GBPR_NATGAS3"/>
    <n v="3241.5612053533"/>
    <n v="3.2415612053533001"/>
  </r>
  <r>
    <x v="0"/>
    <x v="0"/>
    <x v="0"/>
    <x v="0"/>
    <s v="NeA"/>
    <x v="4"/>
    <s v="GBPR_WOOD1"/>
    <n v="633.02948944272998"/>
    <n v="0.63302948944272996"/>
  </r>
  <r>
    <x v="0"/>
    <x v="0"/>
    <x v="1"/>
    <x v="1"/>
    <s v="UKA"/>
    <x v="4"/>
    <s v="GBPR_WOOD1"/>
    <n v="456.62152010605399"/>
    <n v="0.456621520106054"/>
  </r>
  <r>
    <x v="0"/>
    <x v="1"/>
    <x v="0"/>
    <x v="0"/>
    <s v="NeA"/>
    <x v="4"/>
    <s v="GBPR_WOOD1"/>
    <n v="762.96282277606304"/>
    <n v="0.76296282277606298"/>
  </r>
  <r>
    <x v="0"/>
    <x v="1"/>
    <x v="1"/>
    <x v="1"/>
    <s v="UKA"/>
    <x v="4"/>
    <s v="GBPR_WOOD1"/>
    <n v="556.78890346472701"/>
    <n v="0.55678890346472698"/>
  </r>
  <r>
    <x v="0"/>
    <x v="0"/>
    <x v="0"/>
    <x v="0"/>
    <s v="NeA"/>
    <x v="4"/>
    <s v="GBPR_WOOD2"/>
    <n v="633.02948944272998"/>
    <n v="0.63302948944272996"/>
  </r>
  <r>
    <x v="0"/>
    <x v="0"/>
    <x v="1"/>
    <x v="1"/>
    <s v="UKA"/>
    <x v="4"/>
    <s v="GBPR_WOOD2"/>
    <n v="4187.5784798939503"/>
    <n v="4.1875784798939497"/>
  </r>
  <r>
    <x v="0"/>
    <x v="1"/>
    <x v="0"/>
    <x v="0"/>
    <s v="NeA"/>
    <x v="4"/>
    <s v="GBPR_WOOD2"/>
    <n v="762.96282277606304"/>
    <n v="0.76296282277606298"/>
  </r>
  <r>
    <x v="0"/>
    <x v="1"/>
    <x v="1"/>
    <x v="1"/>
    <s v="UKA"/>
    <x v="4"/>
    <s v="GBPR_WOOD2"/>
    <n v="5092.8110965352698"/>
    <n v="5.0928110965352698"/>
  </r>
  <r>
    <x v="0"/>
    <x v="0"/>
    <x v="0"/>
    <x v="0"/>
    <s v="NeA"/>
    <x v="4"/>
    <s v="GBPR_WOOD3"/>
    <n v="633.02948944272998"/>
    <n v="0.63302948944272996"/>
  </r>
  <r>
    <x v="0"/>
    <x v="1"/>
    <x v="0"/>
    <x v="0"/>
    <s v="NeA"/>
    <x v="4"/>
    <s v="GBPR_WOOD3"/>
    <n v="762.96282277606304"/>
    <n v="0.76296282277606298"/>
  </r>
  <r>
    <x v="0"/>
    <x v="0"/>
    <x v="6"/>
    <x v="13"/>
    <s v="EE_Narva"/>
    <x v="18"/>
    <s v="Narva-EJ-TG1"/>
    <n v="167"/>
    <n v="0.16700000000000001"/>
  </r>
  <r>
    <x v="0"/>
    <x v="0"/>
    <x v="6"/>
    <x v="13"/>
    <s v="EE_Narva"/>
    <x v="18"/>
    <s v="Narva-EJ-TG2"/>
    <n v="167"/>
    <n v="0.16700000000000001"/>
  </r>
  <r>
    <x v="0"/>
    <x v="0"/>
    <x v="6"/>
    <x v="13"/>
    <s v="EE_Narva"/>
    <x v="18"/>
    <s v="Narva-EJ-TG3"/>
    <n v="164"/>
    <n v="0.16400000000000001"/>
  </r>
  <r>
    <x v="0"/>
    <x v="0"/>
    <x v="6"/>
    <x v="13"/>
    <s v="EE_Narva"/>
    <x v="18"/>
    <s v="Narva-EJ-TG4"/>
    <n v="164"/>
    <n v="0.16400000000000001"/>
  </r>
  <r>
    <x v="0"/>
    <x v="0"/>
    <x v="6"/>
    <x v="13"/>
    <s v="EE_Narva"/>
    <x v="18"/>
    <s v="Narva-EJ-TG5"/>
    <n v="173"/>
    <n v="0.17299999999999999"/>
  </r>
  <r>
    <x v="0"/>
    <x v="0"/>
    <x v="6"/>
    <x v="13"/>
    <s v="EE_Narva"/>
    <x v="18"/>
    <s v="Narva-EJ-TG6"/>
    <n v="173"/>
    <n v="0.17299999999999999"/>
  </r>
  <r>
    <x v="0"/>
    <x v="0"/>
    <x v="6"/>
    <x v="13"/>
    <s v="EE_Narva"/>
    <x v="18"/>
    <s v="Narva-EJ-TG7"/>
    <n v="167"/>
    <n v="0.16700000000000001"/>
  </r>
  <r>
    <x v="0"/>
    <x v="0"/>
    <x v="6"/>
    <x v="13"/>
    <s v="EE_Narva"/>
    <x v="18"/>
    <s v="Narva-EJ-TG8"/>
    <n v="194"/>
    <n v="0.19400000000000001"/>
  </r>
  <r>
    <x v="0"/>
    <x v="1"/>
    <x v="6"/>
    <x v="13"/>
    <s v="EE_Narva"/>
    <x v="18"/>
    <s v="Narva-EJ-TG8"/>
    <n v="194"/>
    <n v="0.19400000000000001"/>
  </r>
  <r>
    <x v="0"/>
    <x v="0"/>
    <x v="6"/>
    <x v="13"/>
    <s v="EE_Narva"/>
    <x v="18"/>
    <s v="Auvere-EJ-TG1"/>
    <n v="274"/>
    <n v="0.27400000000000002"/>
  </r>
  <r>
    <x v="0"/>
    <x v="1"/>
    <x v="6"/>
    <x v="13"/>
    <s v="EE_Narva"/>
    <x v="18"/>
    <s v="Auvere-EJ-TG1"/>
    <n v="274"/>
    <n v="0.27400000000000002"/>
  </r>
  <r>
    <x v="0"/>
    <x v="0"/>
    <x v="6"/>
    <x v="13"/>
    <s v="EE_Narva"/>
    <x v="18"/>
    <s v="Narva-EJ-TG11"/>
    <n v="192"/>
    <n v="0.192"/>
  </r>
  <r>
    <x v="0"/>
    <x v="1"/>
    <x v="6"/>
    <x v="13"/>
    <s v="EE_Narva"/>
    <x v="18"/>
    <s v="Narva-EJ-TG11"/>
    <n v="192"/>
    <n v="0.192"/>
  </r>
  <r>
    <x v="0"/>
    <x v="0"/>
    <x v="6"/>
    <x v="13"/>
    <s v="EE_Narva"/>
    <x v="18"/>
    <s v="GEXT_SHALE_NARVA_TG11"/>
    <n v="192"/>
    <n v="0.192"/>
  </r>
  <r>
    <x v="0"/>
    <x v="1"/>
    <x v="6"/>
    <x v="13"/>
    <s v="EE_Narva"/>
    <x v="18"/>
    <s v="GEXT_SHALE_NARVA_TG11"/>
    <n v="192"/>
    <n v="0.192"/>
  </r>
  <r>
    <x v="0"/>
    <x v="0"/>
    <x v="6"/>
    <x v="13"/>
    <s v="EE_Parnu"/>
    <x v="6"/>
    <s v="GBPR_WOODCHIPS_TARTU"/>
    <n v="22"/>
    <n v="2.1999999999999999E-2"/>
  </r>
  <r>
    <x v="0"/>
    <x v="0"/>
    <x v="6"/>
    <x v="13"/>
    <s v="EE_Tallinn"/>
    <x v="6"/>
    <s v="GBPR_WOODCHIPS_TARTU"/>
    <n v="22"/>
    <n v="2.1999999999999999E-2"/>
  </r>
  <r>
    <x v="0"/>
    <x v="0"/>
    <x v="6"/>
    <x v="13"/>
    <s v="EE_Tartu"/>
    <x v="6"/>
    <s v="GBPR_WOODCHIPS_TARTU"/>
    <n v="22"/>
    <n v="2.1999999999999999E-2"/>
  </r>
  <r>
    <x v="0"/>
    <x v="1"/>
    <x v="6"/>
    <x v="13"/>
    <s v="EE_Parnu"/>
    <x v="6"/>
    <s v="GBPR_WOODCHIPS_TARTU"/>
    <n v="22"/>
    <n v="2.1999999999999999E-2"/>
  </r>
  <r>
    <x v="0"/>
    <x v="1"/>
    <x v="6"/>
    <x v="13"/>
    <s v="EE_Tallinn"/>
    <x v="6"/>
    <s v="GBPR_WOODCHIPS_TARTU"/>
    <n v="22"/>
    <n v="2.1999999999999999E-2"/>
  </r>
  <r>
    <x v="0"/>
    <x v="1"/>
    <x v="6"/>
    <x v="13"/>
    <s v="EE_Tartu"/>
    <x v="6"/>
    <s v="GBPR_WOODCHIPS_TARTU"/>
    <n v="22"/>
    <n v="2.1999999999999999E-2"/>
  </r>
  <r>
    <x v="0"/>
    <x v="0"/>
    <x v="6"/>
    <x v="13"/>
    <s v="EE_Tallinn"/>
    <x v="2"/>
    <s v="GBPR_NATGAS_IRU2"/>
    <n v="94"/>
    <n v="9.4E-2"/>
  </r>
  <r>
    <x v="0"/>
    <x v="0"/>
    <x v="6"/>
    <x v="13"/>
    <s v="EE_Tallinn"/>
    <x v="12"/>
    <s v="GBPR_MUNIWASTE_IRU"/>
    <n v="17"/>
    <n v="1.7000000000000001E-2"/>
  </r>
  <r>
    <x v="0"/>
    <x v="1"/>
    <x v="6"/>
    <x v="13"/>
    <s v="EE_Tallinn"/>
    <x v="12"/>
    <s v="GBPR_MUNIWASTE_IRU"/>
    <n v="17"/>
    <n v="1.7000000000000001E-2"/>
  </r>
  <r>
    <x v="0"/>
    <x v="0"/>
    <x v="6"/>
    <x v="13"/>
    <s v="EE_Small"/>
    <x v="18"/>
    <s v="GEXT_SHALE_SILLAMAE"/>
    <n v="10"/>
    <n v="0.01"/>
  </r>
  <r>
    <x v="0"/>
    <x v="1"/>
    <x v="6"/>
    <x v="13"/>
    <s v="EE_Small"/>
    <x v="18"/>
    <s v="GEXT_SHALE_SILLAMAE"/>
    <n v="10"/>
    <n v="0.01"/>
  </r>
  <r>
    <x v="0"/>
    <x v="0"/>
    <x v="6"/>
    <x v="13"/>
    <s v="EE_Small"/>
    <x v="2"/>
    <s v="GEXT_NATGAS_EE_SMALL"/>
    <n v="5.8"/>
    <n v="5.7999999999999996E-3"/>
  </r>
  <r>
    <x v="0"/>
    <x v="1"/>
    <x v="6"/>
    <x v="13"/>
    <s v="EE_Small"/>
    <x v="2"/>
    <s v="GEXT_NATGAS_EE_SMALL"/>
    <n v="5.8"/>
    <n v="5.7999999999999996E-3"/>
  </r>
  <r>
    <x v="0"/>
    <x v="0"/>
    <x v="7"/>
    <x v="14"/>
    <s v="LV_A"/>
    <x v="4"/>
    <s v="BIO-GAS-LV"/>
    <n v="5"/>
    <n v="5.0000000000000001E-3"/>
  </r>
  <r>
    <x v="0"/>
    <x v="0"/>
    <x v="7"/>
    <x v="14"/>
    <s v="LV_A"/>
    <x v="2"/>
    <s v="GE-BP-LV-G"/>
    <n v="24"/>
    <n v="2.4E-2"/>
  </r>
  <r>
    <x v="0"/>
    <x v="0"/>
    <x v="7"/>
    <x v="14"/>
    <s v="LV_A"/>
    <x v="7"/>
    <s v="Keguma-HPP-1"/>
    <n v="71"/>
    <n v="7.0999999999999994E-2"/>
  </r>
  <r>
    <x v="0"/>
    <x v="1"/>
    <x v="7"/>
    <x v="14"/>
    <s v="LV_A"/>
    <x v="7"/>
    <s v="Keguma-HPP-1"/>
    <n v="71"/>
    <n v="7.0999999999999994E-2"/>
  </r>
  <r>
    <x v="0"/>
    <x v="0"/>
    <x v="7"/>
    <x v="14"/>
    <s v="LV_A"/>
    <x v="7"/>
    <s v="Keguma-HPP-2"/>
    <n v="190"/>
    <n v="0.19"/>
  </r>
  <r>
    <x v="0"/>
    <x v="1"/>
    <x v="7"/>
    <x v="14"/>
    <s v="LV_A"/>
    <x v="7"/>
    <s v="Keguma-HPP-2"/>
    <n v="190"/>
    <n v="0.19"/>
  </r>
  <r>
    <x v="0"/>
    <x v="0"/>
    <x v="7"/>
    <x v="14"/>
    <s v="LV_A"/>
    <x v="7"/>
    <s v="NEW-HYDRO-LV"/>
    <n v="6"/>
    <n v="6.0000000000000001E-3"/>
  </r>
  <r>
    <x v="0"/>
    <x v="1"/>
    <x v="7"/>
    <x v="14"/>
    <s v="LV_A"/>
    <x v="7"/>
    <s v="NEW-HYDRO-LV"/>
    <n v="6"/>
    <n v="6.0000000000000001E-3"/>
  </r>
  <r>
    <x v="0"/>
    <x v="0"/>
    <x v="7"/>
    <x v="14"/>
    <s v="LV_A"/>
    <x v="7"/>
    <s v="Planivas-HPP"/>
    <n v="860"/>
    <n v="0.86"/>
  </r>
  <r>
    <x v="0"/>
    <x v="1"/>
    <x v="7"/>
    <x v="14"/>
    <s v="LV_A"/>
    <x v="7"/>
    <s v="Planivas-HPP"/>
    <n v="860"/>
    <n v="0.86"/>
  </r>
  <r>
    <x v="0"/>
    <x v="0"/>
    <x v="7"/>
    <x v="14"/>
    <s v="LV_A"/>
    <x v="7"/>
    <s v="Riga-HPP"/>
    <n v="397"/>
    <n v="0.39700000000000002"/>
  </r>
  <r>
    <x v="0"/>
    <x v="1"/>
    <x v="7"/>
    <x v="14"/>
    <s v="LV_A"/>
    <x v="7"/>
    <s v="Riga-HPP"/>
    <n v="397"/>
    <n v="0.39700000000000002"/>
  </r>
  <r>
    <x v="0"/>
    <x v="0"/>
    <x v="7"/>
    <x v="14"/>
    <s v="LV_A"/>
    <x v="2"/>
    <s v="Rigas_TEC-1-GT"/>
    <n v="45"/>
    <n v="4.4999999999999998E-2"/>
  </r>
  <r>
    <x v="0"/>
    <x v="1"/>
    <x v="7"/>
    <x v="14"/>
    <s v="LV_A"/>
    <x v="2"/>
    <s v="Rigas_TEC-1-GT"/>
    <n v="45"/>
    <n v="4.4999999999999998E-2"/>
  </r>
  <r>
    <x v="0"/>
    <x v="0"/>
    <x v="7"/>
    <x v="14"/>
    <s v="LV_A"/>
    <x v="2"/>
    <s v="Rigas_TEC-1-ST"/>
    <n v="144"/>
    <n v="0.14399999999999999"/>
  </r>
  <r>
    <x v="0"/>
    <x v="1"/>
    <x v="7"/>
    <x v="14"/>
    <s v="LV_A"/>
    <x v="2"/>
    <s v="Rigas_TEC-1-ST"/>
    <n v="144"/>
    <n v="0.14399999999999999"/>
  </r>
  <r>
    <x v="0"/>
    <x v="0"/>
    <x v="7"/>
    <x v="14"/>
    <s v="LV_A"/>
    <x v="2"/>
    <s v="Rigas_TEC-2-CC"/>
    <n v="420"/>
    <n v="0.42"/>
  </r>
  <r>
    <x v="0"/>
    <x v="1"/>
    <x v="7"/>
    <x v="14"/>
    <s v="LV_A"/>
    <x v="2"/>
    <s v="Rigas_TEC-2-CC"/>
    <n v="420"/>
    <n v="0.42"/>
  </r>
  <r>
    <x v="0"/>
    <x v="0"/>
    <x v="7"/>
    <x v="14"/>
    <s v="LV_A"/>
    <x v="7"/>
    <s v="SM-HPP-LV"/>
    <n v="36"/>
    <n v="3.5999999999999997E-2"/>
  </r>
  <r>
    <x v="0"/>
    <x v="1"/>
    <x v="7"/>
    <x v="14"/>
    <s v="LV_A"/>
    <x v="7"/>
    <s v="SM-HPP-LV"/>
    <n v="36"/>
    <n v="3.5999999999999997E-2"/>
  </r>
  <r>
    <x v="0"/>
    <x v="0"/>
    <x v="7"/>
    <x v="14"/>
    <s v="LV_A"/>
    <x v="4"/>
    <s v="ST-B1-Bio-LV"/>
    <n v="40"/>
    <n v="0.04"/>
  </r>
  <r>
    <x v="0"/>
    <x v="1"/>
    <x v="7"/>
    <x v="14"/>
    <s v="LV_A"/>
    <x v="4"/>
    <s v="ST-B1-Bio-LV"/>
    <n v="40"/>
    <n v="0.04"/>
  </r>
  <r>
    <x v="0"/>
    <x v="0"/>
    <x v="7"/>
    <x v="14"/>
    <s v="LV_A"/>
    <x v="12"/>
    <s v="ST-B1-waste-LV"/>
    <n v="75"/>
    <n v="7.4999999999999997E-2"/>
  </r>
  <r>
    <x v="0"/>
    <x v="1"/>
    <x v="7"/>
    <x v="14"/>
    <s v="LV_A"/>
    <x v="12"/>
    <s v="ST-B1-waste-LV"/>
    <n v="75"/>
    <n v="7.4999999999999997E-2"/>
  </r>
  <r>
    <x v="0"/>
    <x v="0"/>
    <x v="8"/>
    <x v="15"/>
    <s v="LT_A"/>
    <x v="7"/>
    <s v="KaunasHPP"/>
    <n v="101"/>
    <n v="0.10100000000000001"/>
  </r>
  <r>
    <x v="0"/>
    <x v="1"/>
    <x v="8"/>
    <x v="15"/>
    <s v="LT_A"/>
    <x v="7"/>
    <s v="KaunasHPP"/>
    <n v="101"/>
    <n v="0.10100000000000001"/>
  </r>
  <r>
    <x v="0"/>
    <x v="0"/>
    <x v="8"/>
    <x v="15"/>
    <s v="LT_A"/>
    <x v="7"/>
    <s v="Kruonis"/>
    <n v="9000"/>
    <n v="9"/>
  </r>
  <r>
    <x v="0"/>
    <x v="1"/>
    <x v="8"/>
    <x v="15"/>
    <s v="LT_A"/>
    <x v="7"/>
    <s v="Kruonis"/>
    <n v="9000"/>
    <n v="9"/>
  </r>
  <r>
    <x v="0"/>
    <x v="0"/>
    <x v="8"/>
    <x v="15"/>
    <s v="LT_A"/>
    <x v="2"/>
    <s v="LithuanianCCGT"/>
    <n v="455"/>
    <n v="0.45500000000000002"/>
  </r>
  <r>
    <x v="0"/>
    <x v="1"/>
    <x v="8"/>
    <x v="15"/>
    <s v="LT_A"/>
    <x v="2"/>
    <s v="LithuanianCCGT"/>
    <n v="455"/>
    <n v="0.45500000000000002"/>
  </r>
  <r>
    <x v="0"/>
    <x v="0"/>
    <x v="8"/>
    <x v="15"/>
    <s v="LT_A"/>
    <x v="2"/>
    <s v="LithuanianPP"/>
    <n v="1500"/>
    <n v="1.5"/>
  </r>
  <r>
    <x v="0"/>
    <x v="1"/>
    <x v="8"/>
    <x v="15"/>
    <s v="LT_A"/>
    <x v="2"/>
    <s v="LithuanianPP"/>
    <n v="1500"/>
    <n v="1.5"/>
  </r>
  <r>
    <x v="0"/>
    <x v="0"/>
    <x v="7"/>
    <x v="14"/>
    <s v="LV_A"/>
    <x v="9"/>
    <s v="WI-L9"/>
    <n v="50"/>
    <n v="0.05"/>
  </r>
  <r>
    <x v="0"/>
    <x v="0"/>
    <x v="4"/>
    <x v="7"/>
    <s v="PL_A"/>
    <x v="9"/>
    <s v="WI-L9"/>
    <n v="1100"/>
    <n v="1.1000000000000001"/>
  </r>
  <r>
    <x v="0"/>
    <x v="1"/>
    <x v="7"/>
    <x v="14"/>
    <s v="LV_A"/>
    <x v="9"/>
    <s v="WI-L9"/>
    <n v="50"/>
    <n v="0.05"/>
  </r>
  <r>
    <x v="0"/>
    <x v="1"/>
    <x v="4"/>
    <x v="7"/>
    <s v="PL_A"/>
    <x v="9"/>
    <s v="WI-L9"/>
    <n v="1100"/>
    <n v="1.1000000000000001"/>
  </r>
  <r>
    <x v="0"/>
    <x v="0"/>
    <x v="4"/>
    <x v="7"/>
    <s v="PL_A"/>
    <x v="0"/>
    <s v="GCND-CO-02"/>
    <n v="32"/>
    <n v="3.2000000000000001E-2"/>
  </r>
  <r>
    <x v="0"/>
    <x v="1"/>
    <x v="4"/>
    <x v="7"/>
    <s v="PL_A"/>
    <x v="0"/>
    <s v="GCND-CO-02"/>
    <n v="32"/>
    <n v="3.2000000000000001E-2"/>
  </r>
  <r>
    <x v="0"/>
    <x v="0"/>
    <x v="4"/>
    <x v="7"/>
    <s v="PL_A"/>
    <x v="0"/>
    <s v="GCND-CO-03"/>
    <n v="180"/>
    <n v="0.18"/>
  </r>
  <r>
    <x v="0"/>
    <x v="1"/>
    <x v="4"/>
    <x v="7"/>
    <s v="PL_A"/>
    <x v="0"/>
    <s v="GCND-CO-03"/>
    <n v="21"/>
    <n v="2.1000000000000001E-2"/>
  </r>
  <r>
    <x v="0"/>
    <x v="0"/>
    <x v="4"/>
    <x v="7"/>
    <s v="PL_A"/>
    <x v="0"/>
    <s v="GCND-CO-035"/>
    <n v="1420"/>
    <n v="1.42"/>
  </r>
  <r>
    <x v="0"/>
    <x v="0"/>
    <x v="4"/>
    <x v="7"/>
    <s v="PL_A"/>
    <x v="0"/>
    <s v="GCND-CO-038"/>
    <n v="1425"/>
    <n v="1.425"/>
  </r>
  <r>
    <x v="0"/>
    <x v="0"/>
    <x v="4"/>
    <x v="7"/>
    <s v="PL_A"/>
    <x v="0"/>
    <s v="GCND-CO-039"/>
    <n v="4609"/>
    <n v="4.609"/>
  </r>
  <r>
    <x v="0"/>
    <x v="1"/>
    <x v="4"/>
    <x v="7"/>
    <s v="PL_A"/>
    <x v="0"/>
    <s v="GCND-CO-039"/>
    <n v="1585"/>
    <n v="1.585"/>
  </r>
  <r>
    <x v="0"/>
    <x v="0"/>
    <x v="4"/>
    <x v="7"/>
    <s v="PL_A"/>
    <x v="0"/>
    <s v="GCND-CO-040"/>
    <n v="5018"/>
    <n v="5.0179999999999998"/>
  </r>
  <r>
    <x v="0"/>
    <x v="1"/>
    <x v="4"/>
    <x v="7"/>
    <s v="PL_A"/>
    <x v="0"/>
    <s v="GCND-CO-040"/>
    <n v="1729"/>
    <n v="1.7290000000000001"/>
  </r>
  <r>
    <x v="0"/>
    <x v="0"/>
    <x v="4"/>
    <x v="7"/>
    <s v="PL_A"/>
    <x v="19"/>
    <s v="GCND-LI"/>
    <n v="783"/>
    <n v="0.78300000000000003"/>
  </r>
  <r>
    <x v="0"/>
    <x v="1"/>
    <x v="4"/>
    <x v="7"/>
    <s v="PL_A"/>
    <x v="19"/>
    <s v="GCND-LI"/>
    <n v="441"/>
    <n v="0.441"/>
  </r>
  <r>
    <x v="0"/>
    <x v="0"/>
    <x v="4"/>
    <x v="7"/>
    <s v="PL_A"/>
    <x v="20"/>
    <s v="GCND-STRAW"/>
    <n v="207"/>
    <n v="0.20699999999999999"/>
  </r>
  <r>
    <x v="0"/>
    <x v="0"/>
    <x v="4"/>
    <x v="7"/>
    <s v="PL_A"/>
    <x v="15"/>
    <s v="GCND-BG"/>
    <n v="70"/>
    <n v="7.0000000000000007E-2"/>
  </r>
  <r>
    <x v="0"/>
    <x v="0"/>
    <x v="4"/>
    <x v="7"/>
    <s v="PL_A1"/>
    <x v="0"/>
    <s v="GBPR-CO-04"/>
    <n v="780"/>
    <n v="0.78"/>
  </r>
  <r>
    <x v="0"/>
    <x v="1"/>
    <x v="4"/>
    <x v="7"/>
    <s v="PL_A1"/>
    <x v="0"/>
    <s v="GBPR-CO-04"/>
    <n v="676"/>
    <n v="0.67600000000000005"/>
  </r>
  <r>
    <x v="0"/>
    <x v="0"/>
    <x v="4"/>
    <x v="7"/>
    <s v="PL_A1"/>
    <x v="0"/>
    <s v="GBPR-CO-07"/>
    <n v="591"/>
    <n v="0.59099999999999997"/>
  </r>
  <r>
    <x v="0"/>
    <x v="1"/>
    <x v="4"/>
    <x v="7"/>
    <s v="PL_A1"/>
    <x v="0"/>
    <s v="GBPR-CO-07"/>
    <n v="487"/>
    <n v="0.48699999999999999"/>
  </r>
  <r>
    <x v="0"/>
    <x v="0"/>
    <x v="4"/>
    <x v="7"/>
    <s v="PL_A1"/>
    <x v="0"/>
    <s v="GBPR-CO-09"/>
    <n v="3594"/>
    <n v="3.5939999999999999"/>
  </r>
  <r>
    <x v="0"/>
    <x v="1"/>
    <x v="4"/>
    <x v="7"/>
    <s v="PL_A1"/>
    <x v="0"/>
    <s v="GBPR-CO-09"/>
    <n v="2680"/>
    <n v="2.68"/>
  </r>
  <r>
    <x v="0"/>
    <x v="0"/>
    <x v="4"/>
    <x v="7"/>
    <s v="PL_A1"/>
    <x v="19"/>
    <s v="GBRP-LIGNITE-047"/>
    <n v="57"/>
    <n v="5.7000000000000002E-2"/>
  </r>
  <r>
    <x v="0"/>
    <x v="1"/>
    <x v="4"/>
    <x v="7"/>
    <s v="PL_A1"/>
    <x v="19"/>
    <s v="GBRP-LIGNITE-047"/>
    <n v="57"/>
    <n v="5.7000000000000002E-2"/>
  </r>
  <r>
    <x v="0"/>
    <x v="0"/>
    <x v="4"/>
    <x v="7"/>
    <s v="PL_A1"/>
    <x v="1"/>
    <s v="GBPR-FO-088"/>
    <n v="220"/>
    <n v="0.22"/>
  </r>
  <r>
    <x v="0"/>
    <x v="1"/>
    <x v="4"/>
    <x v="7"/>
    <s v="PL_A1"/>
    <x v="1"/>
    <s v="GBPR-FO-088"/>
    <n v="220"/>
    <n v="0.22"/>
  </r>
  <r>
    <x v="0"/>
    <x v="0"/>
    <x v="4"/>
    <x v="7"/>
    <s v="PL_A1"/>
    <x v="12"/>
    <s v="GBPR-WASTE"/>
    <n v="34"/>
    <n v="3.4000000000000002E-2"/>
  </r>
  <r>
    <x v="0"/>
    <x v="1"/>
    <x v="4"/>
    <x v="7"/>
    <s v="PL_A1"/>
    <x v="12"/>
    <s v="GBPR-WASTE"/>
    <n v="34"/>
    <n v="3.4000000000000002E-2"/>
  </r>
  <r>
    <x v="0"/>
    <x v="0"/>
    <x v="4"/>
    <x v="7"/>
    <s v="PL_A1"/>
    <x v="20"/>
    <s v="GBPR-STRAW"/>
    <n v="120"/>
    <n v="0.12"/>
  </r>
  <r>
    <x v="0"/>
    <x v="1"/>
    <x v="4"/>
    <x v="7"/>
    <s v="PL_A1"/>
    <x v="20"/>
    <s v="GBPR-STRAW"/>
    <n v="82"/>
    <n v="8.2000000000000003E-2"/>
  </r>
  <r>
    <x v="0"/>
    <x v="0"/>
    <x v="4"/>
    <x v="7"/>
    <s v="PL_A1"/>
    <x v="0"/>
    <s v="GEXT-CO-025"/>
    <n v="2027"/>
    <n v="2.0270000000000001"/>
  </r>
  <r>
    <x v="0"/>
    <x v="1"/>
    <x v="4"/>
    <x v="7"/>
    <s v="PL_A1"/>
    <x v="0"/>
    <s v="GEXT-CO-025"/>
    <n v="395"/>
    <n v="0.39500000000000002"/>
  </r>
  <r>
    <x v="0"/>
    <x v="0"/>
    <x v="4"/>
    <x v="7"/>
    <s v="PL_A1"/>
    <x v="0"/>
    <s v="GEXT-CO-04"/>
    <n v="356"/>
    <n v="0.35599999999999998"/>
  </r>
  <r>
    <x v="0"/>
    <x v="1"/>
    <x v="4"/>
    <x v="7"/>
    <s v="PL_A1"/>
    <x v="0"/>
    <s v="GEXT-CO-04"/>
    <n v="184"/>
    <n v="0.184"/>
  </r>
  <r>
    <x v="0"/>
    <x v="0"/>
    <x v="4"/>
    <x v="7"/>
    <s v="PL_A1"/>
    <x v="20"/>
    <s v="GEXT-STRAW"/>
    <n v="91"/>
    <n v="9.0999999999999998E-2"/>
  </r>
  <r>
    <x v="0"/>
    <x v="0"/>
    <x v="4"/>
    <x v="7"/>
    <s v="PL_A1"/>
    <x v="10"/>
    <s v="GEXT-WW-018"/>
    <n v="691"/>
    <n v="0.69099999999999995"/>
  </r>
  <r>
    <x v="0"/>
    <x v="1"/>
    <x v="4"/>
    <x v="7"/>
    <s v="PL_A1"/>
    <x v="10"/>
    <s v="GEXT-WW-018"/>
    <n v="213"/>
    <n v="0.21299999999999999"/>
  </r>
  <r>
    <x v="0"/>
    <x v="0"/>
    <x v="8"/>
    <x v="15"/>
    <s v="LT_A"/>
    <x v="8"/>
    <s v="SOLE1"/>
    <n v="10"/>
    <n v="0.01"/>
  </r>
  <r>
    <x v="0"/>
    <x v="1"/>
    <x v="8"/>
    <x v="15"/>
    <s v="LT_A"/>
    <x v="8"/>
    <s v="SOLE1"/>
    <n v="10"/>
    <n v="0.01"/>
  </r>
  <r>
    <x v="0"/>
    <x v="0"/>
    <x v="6"/>
    <x v="13"/>
    <s v="EE_A"/>
    <x v="9"/>
    <s v="WI-L10"/>
    <n v="313"/>
    <n v="0.313"/>
  </r>
  <r>
    <x v="0"/>
    <x v="0"/>
    <x v="7"/>
    <x v="14"/>
    <s v="LV_A"/>
    <x v="9"/>
    <s v="WI-L10"/>
    <n v="68"/>
    <n v="6.8000000000000005E-2"/>
  </r>
  <r>
    <x v="0"/>
    <x v="0"/>
    <x v="8"/>
    <x v="15"/>
    <s v="LT_A"/>
    <x v="9"/>
    <s v="WI-L10"/>
    <n v="500"/>
    <n v="0.5"/>
  </r>
  <r>
    <x v="0"/>
    <x v="1"/>
    <x v="6"/>
    <x v="13"/>
    <s v="EE_A"/>
    <x v="9"/>
    <s v="WI-L10"/>
    <n v="183"/>
    <n v="0.183"/>
  </r>
  <r>
    <x v="0"/>
    <x v="1"/>
    <x v="7"/>
    <x v="14"/>
    <s v="LV_A"/>
    <x v="9"/>
    <s v="WI-L10"/>
    <n v="68"/>
    <n v="6.8000000000000005E-2"/>
  </r>
  <r>
    <x v="0"/>
    <x v="1"/>
    <x v="8"/>
    <x v="15"/>
    <s v="LT_A"/>
    <x v="9"/>
    <s v="WI-L10"/>
    <n v="500"/>
    <n v="0.5"/>
  </r>
  <r>
    <x v="0"/>
    <x v="0"/>
    <x v="4"/>
    <x v="7"/>
    <s v="PL_A"/>
    <x v="7"/>
    <s v="HY-ROR"/>
    <n v="953"/>
    <n v="0.95299999999999996"/>
  </r>
  <r>
    <x v="0"/>
    <x v="1"/>
    <x v="4"/>
    <x v="7"/>
    <s v="PL_A"/>
    <x v="7"/>
    <s v="HY-ROR"/>
    <n v="953"/>
    <n v="0.95299999999999996"/>
  </r>
  <r>
    <x v="0"/>
    <x v="0"/>
    <x v="4"/>
    <x v="7"/>
    <s v="PL_A"/>
    <x v="2"/>
    <s v="GCND-NG"/>
    <n v="8"/>
    <n v="8.0000000000000002E-3"/>
  </r>
  <r>
    <x v="0"/>
    <x v="1"/>
    <x v="4"/>
    <x v="7"/>
    <s v="PL_A"/>
    <x v="2"/>
    <s v="GCND-NG"/>
    <n v="8"/>
    <n v="8.0000000000000002E-3"/>
  </r>
  <r>
    <x v="0"/>
    <x v="0"/>
    <x v="9"/>
    <x v="16"/>
    <s v="DE4-E_A"/>
    <x v="17"/>
    <s v="AGG-DE4-E_ES_ELEC"/>
    <n v="0.44"/>
    <n v="4.4000000000000002E-4"/>
  </r>
  <r>
    <x v="0"/>
    <x v="1"/>
    <x v="9"/>
    <x v="16"/>
    <s v="DE4-E_A"/>
    <x v="17"/>
    <s v="AGG-DE4-E_ES_ELEC"/>
    <n v="1.08"/>
    <n v="1.08E-3"/>
  </r>
  <r>
    <x v="0"/>
    <x v="0"/>
    <x v="9"/>
    <x v="16"/>
    <s v="DE4-E_A"/>
    <x v="17"/>
    <s v="AGG-DE4-E_RES_WTR_PMP"/>
    <n v="19320"/>
    <n v="19.32"/>
  </r>
  <r>
    <x v="0"/>
    <x v="1"/>
    <x v="9"/>
    <x v="16"/>
    <s v="DE4-E_A"/>
    <x v="17"/>
    <s v="AGG-DE4-E_RES_WTR_PMP"/>
    <n v="19320"/>
    <n v="19.32"/>
  </r>
  <r>
    <x v="0"/>
    <x v="0"/>
    <x v="9"/>
    <x v="17"/>
    <s v="DE4-N_A"/>
    <x v="17"/>
    <s v="AGG-DE4-N_ES_ELEC"/>
    <n v="0.14000000000000001"/>
    <n v="1.3999999999999999E-4"/>
  </r>
  <r>
    <x v="0"/>
    <x v="1"/>
    <x v="9"/>
    <x v="17"/>
    <s v="DE4-N_A"/>
    <x v="17"/>
    <s v="AGG-DE4-N_ES_ELEC"/>
    <n v="0.41"/>
    <n v="4.0999999999999999E-4"/>
  </r>
  <r>
    <x v="0"/>
    <x v="0"/>
    <x v="9"/>
    <x v="17"/>
    <s v="DE4-N_A"/>
    <x v="17"/>
    <s v="AGG-DE4-N_RES_WTR_PMP"/>
    <n v="952.8"/>
    <n v="0.95279999999999998"/>
  </r>
  <r>
    <x v="0"/>
    <x v="1"/>
    <x v="9"/>
    <x v="17"/>
    <s v="DE4-N_A"/>
    <x v="17"/>
    <s v="AGG-DE4-N_RES_WTR_PMP"/>
    <n v="952.8"/>
    <n v="0.95279999999999998"/>
  </r>
  <r>
    <x v="0"/>
    <x v="0"/>
    <x v="9"/>
    <x v="18"/>
    <s v="DE4-S_A"/>
    <x v="17"/>
    <s v="AGG-DE4-S_ES_ELEC"/>
    <n v="0.71"/>
    <n v="7.1000000000000002E-4"/>
  </r>
  <r>
    <x v="0"/>
    <x v="1"/>
    <x v="9"/>
    <x v="18"/>
    <s v="DE4-S_A"/>
    <x v="17"/>
    <s v="AGG-DE4-S_ES_ELEC"/>
    <n v="2.4700000000000002"/>
    <n v="2.47E-3"/>
  </r>
  <r>
    <x v="0"/>
    <x v="0"/>
    <x v="9"/>
    <x v="18"/>
    <s v="DE4-S_A"/>
    <x v="17"/>
    <s v="AGG-DE4-S_RES_WTR_PMP"/>
    <n v="17304"/>
    <n v="17.303999999999998"/>
  </r>
  <r>
    <x v="0"/>
    <x v="1"/>
    <x v="9"/>
    <x v="18"/>
    <s v="DE4-S_A"/>
    <x v="17"/>
    <s v="AGG-DE4-S_RES_WTR_PMP"/>
    <n v="17304"/>
    <n v="17.303999999999998"/>
  </r>
  <r>
    <x v="0"/>
    <x v="0"/>
    <x v="9"/>
    <x v="19"/>
    <s v="DE4-W_A"/>
    <x v="17"/>
    <s v="AGG-DE4-W_ES_ELEC"/>
    <n v="0.45"/>
    <n v="4.4999999999999999E-4"/>
  </r>
  <r>
    <x v="0"/>
    <x v="1"/>
    <x v="9"/>
    <x v="19"/>
    <s v="DE4-W_A"/>
    <x v="17"/>
    <s v="AGG-DE4-W_ES_ELEC"/>
    <n v="3.16"/>
    <n v="3.16E-3"/>
  </r>
  <r>
    <x v="0"/>
    <x v="0"/>
    <x v="9"/>
    <x v="19"/>
    <s v="DE4-W_A"/>
    <x v="17"/>
    <s v="AGG-DE4-W_RES_WTR_PMP"/>
    <n v="9168"/>
    <n v="9.1679999999999993"/>
  </r>
  <r>
    <x v="0"/>
    <x v="1"/>
    <x v="9"/>
    <x v="19"/>
    <s v="DE4-W_A"/>
    <x v="17"/>
    <s v="AGG-DE4-W_RES_WTR_PMP"/>
    <n v="9168"/>
    <n v="9.1679999999999993"/>
  </r>
  <r>
    <x v="0"/>
    <x v="0"/>
    <x v="10"/>
    <x v="20"/>
    <s v="DK1_Large"/>
    <x v="17"/>
    <s v="GNR_BO_ELEC_E-100"/>
    <n v="128.94999999999999"/>
    <n v="0.12895000000000001"/>
  </r>
  <r>
    <x v="0"/>
    <x v="0"/>
    <x v="10"/>
    <x v="20"/>
    <s v="DK1_MedSmall"/>
    <x v="17"/>
    <s v="GNR_BO_ELEC_E-100"/>
    <n v="1"/>
    <n v="1E-3"/>
  </r>
  <r>
    <x v="0"/>
    <x v="0"/>
    <x v="10"/>
    <x v="20"/>
    <s v="DK1_Medium"/>
    <x v="17"/>
    <s v="GNR_BO_ELEC_E-100"/>
    <n v="30"/>
    <n v="0.03"/>
  </r>
  <r>
    <x v="0"/>
    <x v="0"/>
    <x v="10"/>
    <x v="20"/>
    <s v="DK1_Rural"/>
    <x v="17"/>
    <s v="GNR_BO_ELEC_E-100"/>
    <n v="231.41"/>
    <n v="0.23141"/>
  </r>
  <r>
    <x v="0"/>
    <x v="0"/>
    <x v="10"/>
    <x v="20"/>
    <s v="DK1_Small"/>
    <x v="17"/>
    <s v="GNR_BO_ELEC_E-100"/>
    <n v="13"/>
    <n v="1.2999999999999999E-2"/>
  </r>
  <r>
    <x v="0"/>
    <x v="0"/>
    <x v="10"/>
    <x v="20"/>
    <s v="DK2_Rural"/>
    <x v="17"/>
    <s v="GNR_BO_ELEC_E-100"/>
    <n v="10"/>
    <n v="0.01"/>
  </r>
  <r>
    <x v="0"/>
    <x v="0"/>
    <x v="10"/>
    <x v="21"/>
    <s v="DK2_Large"/>
    <x v="17"/>
    <s v="GNR_BO_ELEC_E-100"/>
    <n v="10"/>
    <n v="0.01"/>
  </r>
  <r>
    <x v="0"/>
    <x v="0"/>
    <x v="10"/>
    <x v="21"/>
    <s v="DK2_Medium"/>
    <x v="17"/>
    <s v="GNR_BO_ELEC_E-100"/>
    <n v="90"/>
    <n v="0.09"/>
  </r>
  <r>
    <x v="0"/>
    <x v="0"/>
    <x v="10"/>
    <x v="21"/>
    <s v="DK2_NoDH"/>
    <x v="17"/>
    <s v="GNR_BO_ELEC_E-100"/>
    <n v="10"/>
    <n v="0.01"/>
  </r>
  <r>
    <x v="0"/>
    <x v="0"/>
    <x v="10"/>
    <x v="21"/>
    <s v="DK2_Rural"/>
    <x v="17"/>
    <s v="GNR_BO_ELEC_E-100"/>
    <n v="10"/>
    <n v="0.01"/>
  </r>
  <r>
    <x v="0"/>
    <x v="1"/>
    <x v="10"/>
    <x v="20"/>
    <s v="DK1_Large"/>
    <x v="17"/>
    <s v="GNR_BO_ELEC_E-100"/>
    <n v="82.95"/>
    <n v="8.2949999999999996E-2"/>
  </r>
  <r>
    <x v="0"/>
    <x v="1"/>
    <x v="10"/>
    <x v="20"/>
    <s v="DK1_MedSmall"/>
    <x v="17"/>
    <s v="GNR_BO_ELEC_E-100"/>
    <n v="1"/>
    <n v="1E-3"/>
  </r>
  <r>
    <x v="0"/>
    <x v="1"/>
    <x v="10"/>
    <x v="20"/>
    <s v="DK1_Medium"/>
    <x v="17"/>
    <s v="GNR_BO_ELEC_E-100"/>
    <n v="30"/>
    <n v="0.03"/>
  </r>
  <r>
    <x v="0"/>
    <x v="1"/>
    <x v="10"/>
    <x v="20"/>
    <s v="DK1_Rural"/>
    <x v="17"/>
    <s v="GNR_BO_ELEC_E-100"/>
    <n v="191.41"/>
    <n v="0.19141"/>
  </r>
  <r>
    <x v="0"/>
    <x v="1"/>
    <x v="10"/>
    <x v="20"/>
    <s v="DK2_Rural"/>
    <x v="17"/>
    <s v="GNR_BO_ELEC_E-100"/>
    <n v="10"/>
    <n v="0.01"/>
  </r>
  <r>
    <x v="0"/>
    <x v="1"/>
    <x v="10"/>
    <x v="21"/>
    <s v="DK2_Large"/>
    <x v="17"/>
    <s v="GNR_BO_ELEC_E-100"/>
    <n v="10"/>
    <n v="0.01"/>
  </r>
  <r>
    <x v="0"/>
    <x v="1"/>
    <x v="10"/>
    <x v="21"/>
    <s v="DK2_NoDH"/>
    <x v="17"/>
    <s v="GNR_BO_ELEC_E-100"/>
    <n v="10"/>
    <n v="0.01"/>
  </r>
  <r>
    <x v="0"/>
    <x v="1"/>
    <x v="10"/>
    <x v="21"/>
    <s v="DK2_Rural"/>
    <x v="17"/>
    <s v="GNR_BO_ELEC_E-100"/>
    <n v="10"/>
    <n v="0.01"/>
  </r>
  <r>
    <x v="0"/>
    <x v="0"/>
    <x v="9"/>
    <x v="17"/>
    <s v="DE4-N_A"/>
    <x v="17"/>
    <s v="GNR_BO_ELEC_E-80"/>
    <n v="14.69"/>
    <n v="1.469E-2"/>
  </r>
  <r>
    <x v="0"/>
    <x v="0"/>
    <x v="9"/>
    <x v="19"/>
    <s v="DE4-W_A"/>
    <x v="17"/>
    <s v="GNR_BO_ELEC_E-80"/>
    <n v="129.75"/>
    <n v="0.12975"/>
  </r>
  <r>
    <x v="0"/>
    <x v="1"/>
    <x v="9"/>
    <x v="17"/>
    <s v="DE4-N_A"/>
    <x v="17"/>
    <s v="GNR_BO_ELEC_E-80"/>
    <n v="10.17"/>
    <n v="1.017E-2"/>
  </r>
  <r>
    <x v="0"/>
    <x v="1"/>
    <x v="9"/>
    <x v="19"/>
    <s v="DE4-W_A"/>
    <x v="17"/>
    <s v="GNR_BO_ELEC_E-80"/>
    <n v="89.83"/>
    <n v="8.9829999999999993E-2"/>
  </r>
  <r>
    <x v="0"/>
    <x v="0"/>
    <x v="10"/>
    <x v="20"/>
    <s v="DK2_Rural"/>
    <x v="17"/>
    <s v="GNR_BO_ELEC_E-98"/>
    <n v="13.6"/>
    <n v="1.3599999999999999E-2"/>
  </r>
  <r>
    <x v="0"/>
    <x v="0"/>
    <x v="10"/>
    <x v="21"/>
    <s v="DK2_Rural"/>
    <x v="17"/>
    <s v="GNR_BO_ELEC_E-98"/>
    <n v="13.6"/>
    <n v="1.3599999999999999E-2"/>
  </r>
  <r>
    <x v="0"/>
    <x v="1"/>
    <x v="10"/>
    <x v="20"/>
    <s v="DK2_Rural"/>
    <x v="17"/>
    <s v="GNR_BO_ELEC_E-98"/>
    <n v="13.6"/>
    <n v="1.3599999999999999E-2"/>
  </r>
  <r>
    <x v="0"/>
    <x v="1"/>
    <x v="10"/>
    <x v="21"/>
    <s v="DK2_Rural"/>
    <x v="17"/>
    <s v="GNR_BO_ELEC_E-98"/>
    <n v="13.6"/>
    <n v="1.3599999999999999E-2"/>
  </r>
  <r>
    <x v="0"/>
    <x v="0"/>
    <x v="10"/>
    <x v="20"/>
    <s v="DK1_Rural"/>
    <x v="17"/>
    <s v="GNR_BO_ELEC_E-99"/>
    <n v="19.850000000000001"/>
    <n v="1.985E-2"/>
  </r>
  <r>
    <x v="0"/>
    <x v="1"/>
    <x v="10"/>
    <x v="20"/>
    <s v="DK1_Rural"/>
    <x v="17"/>
    <s v="GNR_BO_ELEC_E-99"/>
    <n v="19.850000000000001"/>
    <n v="1.985E-2"/>
  </r>
  <r>
    <x v="0"/>
    <x v="0"/>
    <x v="9"/>
    <x v="19"/>
    <s v="DE4-W_A"/>
    <x v="0"/>
    <s v="GNR_CC_COAL_BP_E-47"/>
    <n v="43.3"/>
    <n v="4.3299999999999998E-2"/>
  </r>
  <r>
    <x v="0"/>
    <x v="0"/>
    <x v="9"/>
    <x v="19"/>
    <s v="DE4-W_A"/>
    <x v="0"/>
    <s v="GNR_CC_COAL_BP_E-49"/>
    <n v="66"/>
    <n v="6.6000000000000003E-2"/>
  </r>
  <r>
    <x v="0"/>
    <x v="0"/>
    <x v="9"/>
    <x v="16"/>
    <s v="DE4-E_A"/>
    <x v="1"/>
    <s v="GNR_CC_FUELOIL_BP_E-38"/>
    <n v="92.5"/>
    <n v="9.2499999999999999E-2"/>
  </r>
  <r>
    <x v="0"/>
    <x v="0"/>
    <x v="9"/>
    <x v="19"/>
    <s v="DE4-W_A"/>
    <x v="1"/>
    <s v="GNR_CC_FUELOIL_BP_E-38"/>
    <n v="146.30000000000001"/>
    <n v="0.14630000000000001"/>
  </r>
  <r>
    <x v="0"/>
    <x v="0"/>
    <x v="9"/>
    <x v="18"/>
    <s v="DE4-S_A"/>
    <x v="1"/>
    <s v="GNR_CC_FUELOIL_CND_E-38"/>
    <n v="347"/>
    <n v="0.34699999999999998"/>
  </r>
  <r>
    <x v="0"/>
    <x v="0"/>
    <x v="9"/>
    <x v="19"/>
    <s v="DE4-W_A"/>
    <x v="1"/>
    <s v="GNR_CC_FUELOIL_CND_E-38"/>
    <n v="266"/>
    <n v="0.26600000000000001"/>
  </r>
  <r>
    <x v="0"/>
    <x v="0"/>
    <x v="9"/>
    <x v="18"/>
    <s v="DE4-S_A"/>
    <x v="2"/>
    <s v="GNR_CC_NGAS_BP_E-18"/>
    <n v="36"/>
    <n v="3.5999999999999997E-2"/>
  </r>
  <r>
    <x v="0"/>
    <x v="0"/>
    <x v="9"/>
    <x v="19"/>
    <s v="DE4-W_A"/>
    <x v="2"/>
    <s v="GNR_CC_NGAS_BP_E-39"/>
    <n v="109.5"/>
    <n v="0.1095"/>
  </r>
  <r>
    <x v="0"/>
    <x v="0"/>
    <x v="9"/>
    <x v="16"/>
    <s v="DE4-E_A"/>
    <x v="2"/>
    <s v="GNR_CC_NGAS_BP_E-53"/>
    <n v="1999.9"/>
    <n v="1.9999"/>
  </r>
  <r>
    <x v="0"/>
    <x v="0"/>
    <x v="9"/>
    <x v="18"/>
    <s v="DE4-S_A"/>
    <x v="2"/>
    <s v="GNR_CC_NGAS_BP_E-53"/>
    <n v="3247.9"/>
    <n v="3.2479"/>
  </r>
  <r>
    <x v="0"/>
    <x v="1"/>
    <x v="9"/>
    <x v="16"/>
    <s v="DE4-E_A"/>
    <x v="2"/>
    <s v="GNR_CC_NGAS_BP_E-53"/>
    <n v="86.6"/>
    <n v="8.6599999999999996E-2"/>
  </r>
  <r>
    <x v="0"/>
    <x v="1"/>
    <x v="9"/>
    <x v="18"/>
    <s v="DE4-S_A"/>
    <x v="2"/>
    <s v="GNR_CC_NGAS_BP_E-53"/>
    <n v="979.4"/>
    <n v="0.97940000000000005"/>
  </r>
  <r>
    <x v="0"/>
    <x v="0"/>
    <x v="9"/>
    <x v="19"/>
    <s v="DE4-W_A"/>
    <x v="2"/>
    <s v="GNR_CC_NGAS_BP_E-55"/>
    <n v="5421.2"/>
    <n v="5.4211999999999998"/>
  </r>
  <r>
    <x v="0"/>
    <x v="1"/>
    <x v="9"/>
    <x v="19"/>
    <s v="DE4-W_A"/>
    <x v="2"/>
    <s v="GNR_CC_NGAS_BP_E-55"/>
    <n v="3205.7"/>
    <n v="3.2057000000000002"/>
  </r>
  <r>
    <x v="0"/>
    <x v="0"/>
    <x v="9"/>
    <x v="17"/>
    <s v="DE4-N_A"/>
    <x v="2"/>
    <s v="GNR_CC_NGAS_BP_E-57"/>
    <n v="127"/>
    <n v="0.127"/>
  </r>
  <r>
    <x v="0"/>
    <x v="1"/>
    <x v="9"/>
    <x v="17"/>
    <s v="DE4-N_A"/>
    <x v="2"/>
    <s v="GNR_CC_NGAS_BP_E-57"/>
    <n v="127"/>
    <n v="0.127"/>
  </r>
  <r>
    <x v="0"/>
    <x v="0"/>
    <x v="9"/>
    <x v="19"/>
    <s v="DE4-W_A"/>
    <x v="2"/>
    <s v="GNR_CC_NGAS_CND_E-42"/>
    <n v="1021.5"/>
    <n v="1.0215000000000001"/>
  </r>
  <r>
    <x v="0"/>
    <x v="0"/>
    <x v="9"/>
    <x v="18"/>
    <s v="DE4-S_A"/>
    <x v="2"/>
    <s v="GNR_CC_NGAS_CND_E-43"/>
    <n v="823"/>
    <n v="0.82299999999999995"/>
  </r>
  <r>
    <x v="0"/>
    <x v="0"/>
    <x v="9"/>
    <x v="16"/>
    <s v="DE4-E_A"/>
    <x v="2"/>
    <s v="GNR_CC_NGAS_CND_E-51"/>
    <n v="160"/>
    <n v="0.16"/>
  </r>
  <r>
    <x v="0"/>
    <x v="0"/>
    <x v="9"/>
    <x v="16"/>
    <s v="DE4-E_A"/>
    <x v="2"/>
    <s v="GNR_CC_NGAS_CND_E-57"/>
    <n v="50"/>
    <n v="0.05"/>
  </r>
  <r>
    <x v="0"/>
    <x v="0"/>
    <x v="9"/>
    <x v="18"/>
    <s v="DE4-S_A"/>
    <x v="2"/>
    <s v="GNR_CC_NGAS_CND_E-57"/>
    <n v="1838.6"/>
    <n v="1.8386"/>
  </r>
  <r>
    <x v="0"/>
    <x v="0"/>
    <x v="9"/>
    <x v="19"/>
    <s v="DE4-W_A"/>
    <x v="2"/>
    <s v="GNR_CC_NGAS_CND_E-57"/>
    <n v="2929.5"/>
    <n v="2.9295"/>
  </r>
  <r>
    <x v="0"/>
    <x v="1"/>
    <x v="9"/>
    <x v="16"/>
    <s v="DE4-E_A"/>
    <x v="2"/>
    <s v="GNR_CC_NGAS_CND_E-57"/>
    <n v="50"/>
    <n v="0.05"/>
  </r>
  <r>
    <x v="0"/>
    <x v="1"/>
    <x v="9"/>
    <x v="18"/>
    <s v="DE4-S_A"/>
    <x v="2"/>
    <s v="GNR_CC_NGAS_CND_E-57"/>
    <n v="1485.6"/>
    <n v="1.4856"/>
  </r>
  <r>
    <x v="0"/>
    <x v="1"/>
    <x v="9"/>
    <x v="19"/>
    <s v="DE4-W_A"/>
    <x v="2"/>
    <s v="GNR_CC_NGAS_CND_E-57"/>
    <n v="2929.5"/>
    <n v="2.9295"/>
  </r>
  <r>
    <x v="0"/>
    <x v="0"/>
    <x v="10"/>
    <x v="20"/>
    <s v="DK1_NoDH"/>
    <x v="15"/>
    <s v="GNR_ENG_BGAS_BP_E-30"/>
    <n v="0.43"/>
    <n v="4.2999999999999999E-4"/>
  </r>
  <r>
    <x v="0"/>
    <x v="0"/>
    <x v="10"/>
    <x v="20"/>
    <s v="DK1_Rural"/>
    <x v="15"/>
    <s v="GNR_ENG_BGAS_BP_E-30"/>
    <n v="6"/>
    <n v="6.0000000000000001E-3"/>
  </r>
  <r>
    <x v="0"/>
    <x v="1"/>
    <x v="10"/>
    <x v="20"/>
    <s v="DK1_Rural"/>
    <x v="15"/>
    <s v="GNR_ENG_BGAS_BP_E-30"/>
    <n v="6"/>
    <n v="6.0000000000000001E-3"/>
  </r>
  <r>
    <x v="0"/>
    <x v="0"/>
    <x v="10"/>
    <x v="20"/>
    <s v="DK1_Large"/>
    <x v="15"/>
    <s v="GNR_ENG_BGAS_BP_E-31"/>
    <n v="0.25"/>
    <n v="2.5000000000000001E-4"/>
  </r>
  <r>
    <x v="0"/>
    <x v="0"/>
    <x v="10"/>
    <x v="20"/>
    <s v="DK1_NoDH"/>
    <x v="15"/>
    <s v="GNR_ENG_BGAS_BP_E-31"/>
    <n v="0.47"/>
    <n v="4.6999999999999999E-4"/>
  </r>
  <r>
    <x v="0"/>
    <x v="0"/>
    <x v="10"/>
    <x v="21"/>
    <s v="DK2_NoDH"/>
    <x v="15"/>
    <s v="GNR_ENG_BGAS_BP_E-31"/>
    <n v="0.1"/>
    <n v="1E-4"/>
  </r>
  <r>
    <x v="0"/>
    <x v="0"/>
    <x v="10"/>
    <x v="20"/>
    <s v="DK1_Medium"/>
    <x v="15"/>
    <s v="GNR_ENG_BGAS_BP_E-32"/>
    <n v="0.28999999999999998"/>
    <n v="2.9E-4"/>
  </r>
  <r>
    <x v="0"/>
    <x v="0"/>
    <x v="10"/>
    <x v="20"/>
    <s v="DK1_NoDH"/>
    <x v="15"/>
    <s v="GNR_ENG_BGAS_BP_E-32"/>
    <n v="1.19"/>
    <n v="1.1900000000000001E-3"/>
  </r>
  <r>
    <x v="0"/>
    <x v="0"/>
    <x v="10"/>
    <x v="21"/>
    <s v="DK2_NoDH"/>
    <x v="15"/>
    <s v="GNR_ENG_BGAS_BP_E-32"/>
    <n v="0.11"/>
    <n v="1.1E-4"/>
  </r>
  <r>
    <x v="0"/>
    <x v="0"/>
    <x v="10"/>
    <x v="20"/>
    <s v="DK1_MedSmall"/>
    <x v="15"/>
    <s v="GNR_ENG_BGAS_BP_E-33"/>
    <n v="0.17"/>
    <n v="1.7000000000000001E-4"/>
  </r>
  <r>
    <x v="0"/>
    <x v="0"/>
    <x v="10"/>
    <x v="20"/>
    <s v="DK1_NoDH"/>
    <x v="15"/>
    <s v="GNR_ENG_BGAS_BP_E-33"/>
    <n v="0.92"/>
    <n v="9.2000000000000003E-4"/>
  </r>
  <r>
    <x v="0"/>
    <x v="0"/>
    <x v="10"/>
    <x v="21"/>
    <s v="DK2_NoDH"/>
    <x v="15"/>
    <s v="GNR_ENG_BGAS_BP_E-33"/>
    <n v="0.23"/>
    <n v="2.3000000000000001E-4"/>
  </r>
  <r>
    <x v="0"/>
    <x v="1"/>
    <x v="10"/>
    <x v="20"/>
    <s v="DK1_NoDH"/>
    <x v="15"/>
    <s v="GNR_ENG_BGAS_BP_E-33"/>
    <n v="0.13"/>
    <n v="1.2999999999999999E-4"/>
  </r>
  <r>
    <x v="0"/>
    <x v="1"/>
    <x v="10"/>
    <x v="21"/>
    <s v="DK2_NoDH"/>
    <x v="15"/>
    <s v="GNR_ENG_BGAS_BP_E-33"/>
    <n v="0.23"/>
    <n v="2.3000000000000001E-4"/>
  </r>
  <r>
    <x v="0"/>
    <x v="0"/>
    <x v="10"/>
    <x v="20"/>
    <s v="DK1_Medium"/>
    <x v="15"/>
    <s v="GNR_ENG_BGAS_BP_E-34"/>
    <n v="0.64"/>
    <n v="6.4000000000000005E-4"/>
  </r>
  <r>
    <x v="0"/>
    <x v="0"/>
    <x v="10"/>
    <x v="20"/>
    <s v="DK1_NoDH"/>
    <x v="15"/>
    <s v="GNR_ENG_BGAS_BP_E-34"/>
    <n v="2.8719999999999999"/>
    <n v="2.872E-3"/>
  </r>
  <r>
    <x v="0"/>
    <x v="0"/>
    <x v="10"/>
    <x v="20"/>
    <s v="DK1_Rural"/>
    <x v="15"/>
    <s v="GNR_ENG_BGAS_BP_E-34"/>
    <n v="1.0329999999999999"/>
    <n v="1.0330000000000001E-3"/>
  </r>
  <r>
    <x v="0"/>
    <x v="0"/>
    <x v="10"/>
    <x v="20"/>
    <s v="DK2_Rural"/>
    <x v="15"/>
    <s v="GNR_ENG_BGAS_BP_E-34"/>
    <n v="0.76"/>
    <n v="7.6000000000000004E-4"/>
  </r>
  <r>
    <x v="0"/>
    <x v="0"/>
    <x v="10"/>
    <x v="21"/>
    <s v="DK2_NoDH"/>
    <x v="15"/>
    <s v="GNR_ENG_BGAS_BP_E-34"/>
    <n v="0.1"/>
    <n v="1E-4"/>
  </r>
  <r>
    <x v="0"/>
    <x v="0"/>
    <x v="10"/>
    <x v="21"/>
    <s v="DK2_Rural"/>
    <x v="15"/>
    <s v="GNR_ENG_BGAS_BP_E-34"/>
    <n v="0.76"/>
    <n v="7.6000000000000004E-4"/>
  </r>
  <r>
    <x v="0"/>
    <x v="1"/>
    <x v="10"/>
    <x v="20"/>
    <s v="DK1_NoDH"/>
    <x v="15"/>
    <s v="GNR_ENG_BGAS_BP_E-34"/>
    <n v="0.3"/>
    <n v="2.9999999999999997E-4"/>
  </r>
  <r>
    <x v="0"/>
    <x v="1"/>
    <x v="10"/>
    <x v="21"/>
    <s v="DK2_NoDH"/>
    <x v="15"/>
    <s v="GNR_ENG_BGAS_BP_E-34"/>
    <n v="0.1"/>
    <n v="1E-4"/>
  </r>
  <r>
    <x v="0"/>
    <x v="0"/>
    <x v="10"/>
    <x v="20"/>
    <s v="DK1_Medium"/>
    <x v="15"/>
    <s v="GNR_ENG_BGAS_BP_E-35"/>
    <n v="0.38"/>
    <n v="3.8000000000000002E-4"/>
  </r>
  <r>
    <x v="0"/>
    <x v="0"/>
    <x v="10"/>
    <x v="20"/>
    <s v="DK1_NoDH"/>
    <x v="15"/>
    <s v="GNR_ENG_BGAS_BP_E-35"/>
    <n v="2.19"/>
    <n v="2.1900000000000001E-3"/>
  </r>
  <r>
    <x v="0"/>
    <x v="0"/>
    <x v="10"/>
    <x v="20"/>
    <s v="DK1_Rural"/>
    <x v="15"/>
    <s v="GNR_ENG_BGAS_BP_E-35"/>
    <n v="1.05"/>
    <n v="1.0499999999999999E-3"/>
  </r>
  <r>
    <x v="0"/>
    <x v="0"/>
    <x v="10"/>
    <x v="21"/>
    <s v="DK2_NoDH"/>
    <x v="15"/>
    <s v="GNR_ENG_BGAS_BP_E-35"/>
    <n v="0.22"/>
    <n v="2.2000000000000001E-4"/>
  </r>
  <r>
    <x v="0"/>
    <x v="1"/>
    <x v="10"/>
    <x v="20"/>
    <s v="DK1_NoDH"/>
    <x v="15"/>
    <s v="GNR_ENG_BGAS_BP_E-35"/>
    <n v="1.4"/>
    <n v="1.4E-3"/>
  </r>
  <r>
    <x v="0"/>
    <x v="1"/>
    <x v="10"/>
    <x v="21"/>
    <s v="DK2_NoDH"/>
    <x v="15"/>
    <s v="GNR_ENG_BGAS_BP_E-35"/>
    <n v="0.22"/>
    <n v="2.2000000000000001E-4"/>
  </r>
  <r>
    <x v="0"/>
    <x v="0"/>
    <x v="10"/>
    <x v="20"/>
    <s v="DK1_Large"/>
    <x v="15"/>
    <s v="GNR_ENG_BGAS_BP_E-36"/>
    <n v="0.81"/>
    <n v="8.0999999999999996E-4"/>
  </r>
  <r>
    <x v="0"/>
    <x v="0"/>
    <x v="10"/>
    <x v="20"/>
    <s v="DK1_NoDH"/>
    <x v="15"/>
    <s v="GNR_ENG_BGAS_BP_E-36"/>
    <n v="2.08"/>
    <n v="2.0799999999999998E-3"/>
  </r>
  <r>
    <x v="0"/>
    <x v="0"/>
    <x v="10"/>
    <x v="21"/>
    <s v="DK2_NoDH"/>
    <x v="15"/>
    <s v="GNR_ENG_BGAS_BP_E-36"/>
    <n v="6.3E-2"/>
    <n v="6.3E-5"/>
  </r>
  <r>
    <x v="0"/>
    <x v="1"/>
    <x v="10"/>
    <x v="20"/>
    <s v="DK1_Large"/>
    <x v="15"/>
    <s v="GNR_ENG_BGAS_BP_E-36"/>
    <n v="0.81"/>
    <n v="8.0999999999999996E-4"/>
  </r>
  <r>
    <x v="0"/>
    <x v="1"/>
    <x v="10"/>
    <x v="21"/>
    <s v="DK2_NoDH"/>
    <x v="15"/>
    <s v="GNR_ENG_BGAS_BP_E-36"/>
    <n v="6.3E-2"/>
    <n v="6.3E-5"/>
  </r>
  <r>
    <x v="0"/>
    <x v="0"/>
    <x v="10"/>
    <x v="20"/>
    <s v="DK1_Large"/>
    <x v="15"/>
    <s v="GNR_ENG_BGAS_BP_E-37"/>
    <n v="1.1599999999999999"/>
    <n v="1.16E-3"/>
  </r>
  <r>
    <x v="0"/>
    <x v="0"/>
    <x v="10"/>
    <x v="20"/>
    <s v="DK1_Medium"/>
    <x v="15"/>
    <s v="GNR_ENG_BGAS_BP_E-37"/>
    <n v="2.5"/>
    <n v="2.5000000000000001E-3"/>
  </r>
  <r>
    <x v="0"/>
    <x v="0"/>
    <x v="10"/>
    <x v="20"/>
    <s v="DK1_NoDH"/>
    <x v="15"/>
    <s v="GNR_ENG_BGAS_BP_E-37"/>
    <n v="4.351"/>
    <n v="4.3509999999999998E-3"/>
  </r>
  <r>
    <x v="0"/>
    <x v="0"/>
    <x v="10"/>
    <x v="20"/>
    <s v="DK1_Rural"/>
    <x v="15"/>
    <s v="GNR_ENG_BGAS_BP_E-37"/>
    <n v="4.9950000000000001"/>
    <n v="4.9950000000000003E-3"/>
  </r>
  <r>
    <x v="0"/>
    <x v="0"/>
    <x v="10"/>
    <x v="21"/>
    <s v="DK2_NoDH"/>
    <x v="15"/>
    <s v="GNR_ENG_BGAS_BP_E-37"/>
    <n v="0.1"/>
    <n v="1E-4"/>
  </r>
  <r>
    <x v="0"/>
    <x v="1"/>
    <x v="10"/>
    <x v="20"/>
    <s v="DK1_Large"/>
    <x v="15"/>
    <s v="GNR_ENG_BGAS_BP_E-37"/>
    <n v="0.5"/>
    <n v="5.0000000000000001E-4"/>
  </r>
  <r>
    <x v="0"/>
    <x v="1"/>
    <x v="10"/>
    <x v="20"/>
    <s v="DK1_NoDH"/>
    <x v="15"/>
    <s v="GNR_ENG_BGAS_BP_E-37"/>
    <n v="1.651"/>
    <n v="1.6509999999999999E-3"/>
  </r>
  <r>
    <x v="0"/>
    <x v="1"/>
    <x v="10"/>
    <x v="20"/>
    <s v="DK1_Rural"/>
    <x v="15"/>
    <s v="GNR_ENG_BGAS_BP_E-37"/>
    <n v="1.7549999999999999"/>
    <n v="1.755E-3"/>
  </r>
  <r>
    <x v="0"/>
    <x v="1"/>
    <x v="10"/>
    <x v="21"/>
    <s v="DK2_NoDH"/>
    <x v="15"/>
    <s v="GNR_ENG_BGAS_BP_E-37"/>
    <n v="0.1"/>
    <n v="1E-4"/>
  </r>
  <r>
    <x v="0"/>
    <x v="0"/>
    <x v="10"/>
    <x v="20"/>
    <s v="DK1_MedSmall"/>
    <x v="15"/>
    <s v="GNR_ENG_BGAS_BP_E-38"/>
    <n v="0.17"/>
    <n v="1.7000000000000001E-4"/>
  </r>
  <r>
    <x v="0"/>
    <x v="0"/>
    <x v="10"/>
    <x v="20"/>
    <s v="DK1_NoDH"/>
    <x v="15"/>
    <s v="GNR_ENG_BGAS_BP_E-38"/>
    <n v="0.19"/>
    <n v="1.9000000000000001E-4"/>
  </r>
  <r>
    <x v="0"/>
    <x v="0"/>
    <x v="10"/>
    <x v="20"/>
    <s v="DK1_Rural"/>
    <x v="15"/>
    <s v="GNR_ENG_BGAS_BP_E-38"/>
    <n v="0.8"/>
    <n v="8.0000000000000004E-4"/>
  </r>
  <r>
    <x v="0"/>
    <x v="0"/>
    <x v="10"/>
    <x v="21"/>
    <s v="DK2_Large"/>
    <x v="15"/>
    <s v="GNR_ENG_BGAS_BP_E-38"/>
    <n v="0.6"/>
    <n v="5.9999999999999995E-4"/>
  </r>
  <r>
    <x v="0"/>
    <x v="0"/>
    <x v="10"/>
    <x v="21"/>
    <s v="DK2_MedSmall"/>
    <x v="15"/>
    <s v="GNR_ENG_BGAS_BP_E-38"/>
    <n v="0.25"/>
    <n v="2.5000000000000001E-4"/>
  </r>
  <r>
    <x v="0"/>
    <x v="0"/>
    <x v="10"/>
    <x v="21"/>
    <s v="DK2_NoDH"/>
    <x v="15"/>
    <s v="GNR_ENG_BGAS_BP_E-38"/>
    <n v="0.36299999999999999"/>
    <n v="3.6299999999999999E-4"/>
  </r>
  <r>
    <x v="0"/>
    <x v="1"/>
    <x v="10"/>
    <x v="20"/>
    <s v="DK1_NoDH"/>
    <x v="15"/>
    <s v="GNR_ENG_BGAS_BP_E-38"/>
    <n v="0.19"/>
    <n v="1.9000000000000001E-4"/>
  </r>
  <r>
    <x v="0"/>
    <x v="1"/>
    <x v="10"/>
    <x v="20"/>
    <s v="DK1_Rural"/>
    <x v="15"/>
    <s v="GNR_ENG_BGAS_BP_E-38"/>
    <n v="0.8"/>
    <n v="8.0000000000000004E-4"/>
  </r>
  <r>
    <x v="0"/>
    <x v="1"/>
    <x v="10"/>
    <x v="21"/>
    <s v="DK2_MedSmall"/>
    <x v="15"/>
    <s v="GNR_ENG_BGAS_BP_E-38"/>
    <n v="0.25"/>
    <n v="2.5000000000000001E-4"/>
  </r>
  <r>
    <x v="0"/>
    <x v="1"/>
    <x v="10"/>
    <x v="21"/>
    <s v="DK2_NoDH"/>
    <x v="15"/>
    <s v="GNR_ENG_BGAS_BP_E-38"/>
    <n v="0.36299999999999999"/>
    <n v="3.6299999999999999E-4"/>
  </r>
  <r>
    <x v="0"/>
    <x v="0"/>
    <x v="10"/>
    <x v="20"/>
    <s v="DK1_Large"/>
    <x v="15"/>
    <s v="GNR_ENG_BGAS_BP_E-39"/>
    <n v="4.1150000000000002"/>
    <n v="4.1149999999999997E-3"/>
  </r>
  <r>
    <x v="0"/>
    <x v="0"/>
    <x v="10"/>
    <x v="20"/>
    <s v="DK1_Medium"/>
    <x v="15"/>
    <s v="GNR_ENG_BGAS_BP_E-39"/>
    <n v="0.63"/>
    <n v="6.3000000000000003E-4"/>
  </r>
  <r>
    <x v="0"/>
    <x v="0"/>
    <x v="10"/>
    <x v="20"/>
    <s v="DK1_NoDH"/>
    <x v="15"/>
    <s v="GNR_ENG_BGAS_BP_E-39"/>
    <n v="1.1599999999999999"/>
    <n v="1.16E-3"/>
  </r>
  <r>
    <x v="0"/>
    <x v="0"/>
    <x v="10"/>
    <x v="20"/>
    <s v="DK1_Rural"/>
    <x v="15"/>
    <s v="GNR_ENG_BGAS_BP_E-39"/>
    <n v="3.62"/>
    <n v="3.62E-3"/>
  </r>
  <r>
    <x v="0"/>
    <x v="0"/>
    <x v="10"/>
    <x v="20"/>
    <s v="DK2_Rural"/>
    <x v="15"/>
    <s v="GNR_ENG_BGAS_BP_E-39"/>
    <n v="1.01"/>
    <n v="1.01E-3"/>
  </r>
  <r>
    <x v="0"/>
    <x v="0"/>
    <x v="10"/>
    <x v="21"/>
    <s v="DK2_NoDH"/>
    <x v="15"/>
    <s v="GNR_ENG_BGAS_BP_E-39"/>
    <n v="0.82"/>
    <n v="8.1999999999999998E-4"/>
  </r>
  <r>
    <x v="0"/>
    <x v="0"/>
    <x v="10"/>
    <x v="21"/>
    <s v="DK2_Rural"/>
    <x v="15"/>
    <s v="GNR_ENG_BGAS_BP_E-39"/>
    <n v="1.01"/>
    <n v="1.01E-3"/>
  </r>
  <r>
    <x v="0"/>
    <x v="1"/>
    <x v="10"/>
    <x v="20"/>
    <s v="DK1_Large"/>
    <x v="15"/>
    <s v="GNR_ENG_BGAS_BP_E-39"/>
    <n v="3.375"/>
    <n v="3.375E-3"/>
  </r>
  <r>
    <x v="0"/>
    <x v="1"/>
    <x v="10"/>
    <x v="20"/>
    <s v="DK1_Medium"/>
    <x v="15"/>
    <s v="GNR_ENG_BGAS_BP_E-39"/>
    <n v="0.63"/>
    <n v="6.3000000000000003E-4"/>
  </r>
  <r>
    <x v="0"/>
    <x v="1"/>
    <x v="10"/>
    <x v="20"/>
    <s v="DK1_NoDH"/>
    <x v="15"/>
    <s v="GNR_ENG_BGAS_BP_E-39"/>
    <n v="1.1599999999999999"/>
    <n v="1.16E-3"/>
  </r>
  <r>
    <x v="0"/>
    <x v="1"/>
    <x v="10"/>
    <x v="20"/>
    <s v="DK1_Rural"/>
    <x v="15"/>
    <s v="GNR_ENG_BGAS_BP_E-39"/>
    <n v="0.62"/>
    <n v="6.2E-4"/>
  </r>
  <r>
    <x v="0"/>
    <x v="1"/>
    <x v="10"/>
    <x v="21"/>
    <s v="DK2_NoDH"/>
    <x v="15"/>
    <s v="GNR_ENG_BGAS_BP_E-39"/>
    <n v="0.19"/>
    <n v="1.9000000000000001E-4"/>
  </r>
  <r>
    <x v="0"/>
    <x v="0"/>
    <x v="10"/>
    <x v="20"/>
    <s v="DK1_Large"/>
    <x v="15"/>
    <s v="GNR_ENG_BGAS_BP_E-40"/>
    <n v="1.2430000000000001"/>
    <n v="1.243E-3"/>
  </r>
  <r>
    <x v="0"/>
    <x v="0"/>
    <x v="10"/>
    <x v="20"/>
    <s v="DK1_NoDH"/>
    <x v="15"/>
    <s v="GNR_ENG_BGAS_BP_E-40"/>
    <n v="2.6"/>
    <n v="2.5999999999999999E-3"/>
  </r>
  <r>
    <x v="0"/>
    <x v="0"/>
    <x v="10"/>
    <x v="20"/>
    <s v="DK1_Rural"/>
    <x v="15"/>
    <s v="GNR_ENG_BGAS_BP_E-40"/>
    <n v="6.24"/>
    <n v="6.2399999999999999E-3"/>
  </r>
  <r>
    <x v="0"/>
    <x v="0"/>
    <x v="10"/>
    <x v="20"/>
    <s v="DK2_Rural"/>
    <x v="15"/>
    <s v="GNR_ENG_BGAS_BP_E-40"/>
    <n v="0.53"/>
    <n v="5.2999999999999998E-4"/>
  </r>
  <r>
    <x v="0"/>
    <x v="0"/>
    <x v="10"/>
    <x v="21"/>
    <s v="DK2_NoDH"/>
    <x v="15"/>
    <s v="GNR_ENG_BGAS_BP_E-40"/>
    <n v="0.04"/>
    <n v="4.0000000000000003E-5"/>
  </r>
  <r>
    <x v="0"/>
    <x v="0"/>
    <x v="10"/>
    <x v="21"/>
    <s v="DK2_Rural"/>
    <x v="15"/>
    <s v="GNR_ENG_BGAS_BP_E-40"/>
    <n v="0.53"/>
    <n v="5.2999999999999998E-4"/>
  </r>
  <r>
    <x v="0"/>
    <x v="1"/>
    <x v="10"/>
    <x v="20"/>
    <s v="DK1_Large"/>
    <x v="15"/>
    <s v="GNR_ENG_BGAS_BP_E-40"/>
    <n v="1.2430000000000001"/>
    <n v="1.243E-3"/>
  </r>
  <r>
    <x v="0"/>
    <x v="1"/>
    <x v="10"/>
    <x v="20"/>
    <s v="DK1_NoDH"/>
    <x v="15"/>
    <s v="GNR_ENG_BGAS_BP_E-40"/>
    <n v="2.6"/>
    <n v="2.5999999999999999E-3"/>
  </r>
  <r>
    <x v="0"/>
    <x v="1"/>
    <x v="10"/>
    <x v="20"/>
    <s v="DK1_Rural"/>
    <x v="15"/>
    <s v="GNR_ENG_BGAS_BP_E-40"/>
    <n v="6.34"/>
    <n v="6.3400000000000001E-3"/>
  </r>
  <r>
    <x v="0"/>
    <x v="1"/>
    <x v="10"/>
    <x v="20"/>
    <s v="DK2_Rural"/>
    <x v="15"/>
    <s v="GNR_ENG_BGAS_BP_E-40"/>
    <n v="0.53"/>
    <n v="5.2999999999999998E-4"/>
  </r>
  <r>
    <x v="0"/>
    <x v="1"/>
    <x v="10"/>
    <x v="21"/>
    <s v="DK2_NoDH"/>
    <x v="15"/>
    <s v="GNR_ENG_BGAS_BP_E-40"/>
    <n v="0.04"/>
    <n v="4.0000000000000003E-5"/>
  </r>
  <r>
    <x v="0"/>
    <x v="1"/>
    <x v="10"/>
    <x v="21"/>
    <s v="DK2_Rural"/>
    <x v="15"/>
    <s v="GNR_ENG_BGAS_BP_E-40"/>
    <n v="0.53"/>
    <n v="5.2999999999999998E-4"/>
  </r>
  <r>
    <x v="0"/>
    <x v="0"/>
    <x v="10"/>
    <x v="20"/>
    <s v="DK1_Large"/>
    <x v="15"/>
    <s v="GNR_ENG_BGAS_BP_E-41"/>
    <n v="2.677"/>
    <n v="2.6770000000000001E-3"/>
  </r>
  <r>
    <x v="0"/>
    <x v="0"/>
    <x v="10"/>
    <x v="20"/>
    <s v="DK1_Medium"/>
    <x v="15"/>
    <s v="GNR_ENG_BGAS_BP_E-41"/>
    <n v="3.3170000000000002"/>
    <n v="3.3170000000000001E-3"/>
  </r>
  <r>
    <x v="0"/>
    <x v="0"/>
    <x v="10"/>
    <x v="20"/>
    <s v="DK1_Rural"/>
    <x v="15"/>
    <s v="GNR_ENG_BGAS_BP_E-41"/>
    <n v="2.081"/>
    <n v="2.081E-3"/>
  </r>
  <r>
    <x v="0"/>
    <x v="0"/>
    <x v="10"/>
    <x v="20"/>
    <s v="DK2_Rural"/>
    <x v="15"/>
    <s v="GNR_ENG_BGAS_BP_E-41"/>
    <n v="2"/>
    <n v="2E-3"/>
  </r>
  <r>
    <x v="0"/>
    <x v="0"/>
    <x v="10"/>
    <x v="21"/>
    <s v="DK2_Rural"/>
    <x v="15"/>
    <s v="GNR_ENG_BGAS_BP_E-41"/>
    <n v="2"/>
    <n v="2E-3"/>
  </r>
  <r>
    <x v="0"/>
    <x v="1"/>
    <x v="10"/>
    <x v="20"/>
    <s v="DK1_Large"/>
    <x v="15"/>
    <s v="GNR_ENG_BGAS_BP_E-41"/>
    <n v="2.677"/>
    <n v="2.6770000000000001E-3"/>
  </r>
  <r>
    <x v="0"/>
    <x v="1"/>
    <x v="10"/>
    <x v="20"/>
    <s v="DK1_Medium"/>
    <x v="15"/>
    <s v="GNR_ENG_BGAS_BP_E-41"/>
    <n v="3.3170000000000002"/>
    <n v="3.3170000000000001E-3"/>
  </r>
  <r>
    <x v="0"/>
    <x v="1"/>
    <x v="10"/>
    <x v="20"/>
    <s v="DK1_Rural"/>
    <x v="15"/>
    <s v="GNR_ENG_BGAS_BP_E-41"/>
    <n v="1.18"/>
    <n v="1.1800000000000001E-3"/>
  </r>
  <r>
    <x v="0"/>
    <x v="1"/>
    <x v="10"/>
    <x v="20"/>
    <s v="DK2_Rural"/>
    <x v="15"/>
    <s v="GNR_ENG_BGAS_BP_E-41"/>
    <n v="2"/>
    <n v="2E-3"/>
  </r>
  <r>
    <x v="0"/>
    <x v="1"/>
    <x v="10"/>
    <x v="21"/>
    <s v="DK2_Rural"/>
    <x v="15"/>
    <s v="GNR_ENG_BGAS_BP_E-41"/>
    <n v="2"/>
    <n v="2E-3"/>
  </r>
  <r>
    <x v="0"/>
    <x v="0"/>
    <x v="10"/>
    <x v="20"/>
    <s v="DK1_Large"/>
    <x v="15"/>
    <s v="GNR_ENG_BGAS_BP_E-42"/>
    <n v="3.0030000000000001"/>
    <n v="3.003E-3"/>
  </r>
  <r>
    <x v="0"/>
    <x v="0"/>
    <x v="10"/>
    <x v="20"/>
    <s v="DK1_Medium"/>
    <x v="15"/>
    <s v="GNR_ENG_BGAS_BP_E-42"/>
    <n v="0.61"/>
    <n v="6.0999999999999997E-4"/>
  </r>
  <r>
    <x v="0"/>
    <x v="0"/>
    <x v="10"/>
    <x v="20"/>
    <s v="DK1_NoDH"/>
    <x v="15"/>
    <s v="GNR_ENG_BGAS_BP_E-42"/>
    <n v="1.4"/>
    <n v="1.4E-3"/>
  </r>
  <r>
    <x v="0"/>
    <x v="0"/>
    <x v="10"/>
    <x v="20"/>
    <s v="DK1_Rural"/>
    <x v="15"/>
    <s v="GNR_ENG_BGAS_BP_E-42"/>
    <n v="8.5299999999999994"/>
    <n v="8.5299999999999994E-3"/>
  </r>
  <r>
    <x v="0"/>
    <x v="0"/>
    <x v="10"/>
    <x v="20"/>
    <s v="DK2_Rural"/>
    <x v="15"/>
    <s v="GNR_ENG_BGAS_BP_E-42"/>
    <n v="5.734"/>
    <n v="5.7340000000000004E-3"/>
  </r>
  <r>
    <x v="0"/>
    <x v="0"/>
    <x v="10"/>
    <x v="21"/>
    <s v="DK2_Large"/>
    <x v="15"/>
    <s v="GNR_ENG_BGAS_BP_E-42"/>
    <n v="3.0470000000000002"/>
    <n v="3.0469999999999998E-3"/>
  </r>
  <r>
    <x v="0"/>
    <x v="0"/>
    <x v="10"/>
    <x v="21"/>
    <s v="DK2_NoDH"/>
    <x v="15"/>
    <s v="GNR_ENG_BGAS_BP_E-42"/>
    <n v="4.4000000000000004"/>
    <n v="4.4000000000000003E-3"/>
  </r>
  <r>
    <x v="0"/>
    <x v="0"/>
    <x v="10"/>
    <x v="21"/>
    <s v="DK2_Rural"/>
    <x v="15"/>
    <s v="GNR_ENG_BGAS_BP_E-42"/>
    <n v="5.734"/>
    <n v="5.7340000000000004E-3"/>
  </r>
  <r>
    <x v="0"/>
    <x v="1"/>
    <x v="10"/>
    <x v="20"/>
    <s v="DK1_Large"/>
    <x v="15"/>
    <s v="GNR_ENG_BGAS_BP_E-42"/>
    <n v="2.4750000000000001"/>
    <n v="2.4750000000000002E-3"/>
  </r>
  <r>
    <x v="0"/>
    <x v="1"/>
    <x v="10"/>
    <x v="20"/>
    <s v="DK1_Medium"/>
    <x v="15"/>
    <s v="GNR_ENG_BGAS_BP_E-42"/>
    <n v="0.33"/>
    <n v="3.3E-4"/>
  </r>
  <r>
    <x v="0"/>
    <x v="1"/>
    <x v="10"/>
    <x v="20"/>
    <s v="DK1_NoDH"/>
    <x v="15"/>
    <s v="GNR_ENG_BGAS_BP_E-42"/>
    <n v="0.59"/>
    <n v="5.9000000000000003E-4"/>
  </r>
  <r>
    <x v="0"/>
    <x v="1"/>
    <x v="10"/>
    <x v="20"/>
    <s v="DK1_Rural"/>
    <x v="15"/>
    <s v="GNR_ENG_BGAS_BP_E-42"/>
    <n v="6.68"/>
    <n v="6.6800000000000002E-3"/>
  </r>
  <r>
    <x v="0"/>
    <x v="1"/>
    <x v="10"/>
    <x v="20"/>
    <s v="DK2_Rural"/>
    <x v="15"/>
    <s v="GNR_ENG_BGAS_BP_E-42"/>
    <n v="5.734"/>
    <n v="5.7340000000000004E-3"/>
  </r>
  <r>
    <x v="0"/>
    <x v="1"/>
    <x v="10"/>
    <x v="21"/>
    <s v="DK2_Large"/>
    <x v="15"/>
    <s v="GNR_ENG_BGAS_BP_E-42"/>
    <n v="3.0470000000000002"/>
    <n v="3.0469999999999998E-3"/>
  </r>
  <r>
    <x v="0"/>
    <x v="1"/>
    <x v="10"/>
    <x v="21"/>
    <s v="DK2_NoDH"/>
    <x v="15"/>
    <s v="GNR_ENG_BGAS_BP_E-42"/>
    <n v="4.4000000000000004"/>
    <n v="4.4000000000000003E-3"/>
  </r>
  <r>
    <x v="0"/>
    <x v="1"/>
    <x v="10"/>
    <x v="21"/>
    <s v="DK2_Rural"/>
    <x v="15"/>
    <s v="GNR_ENG_BGAS_BP_E-42"/>
    <n v="5.734"/>
    <n v="5.7340000000000004E-3"/>
  </r>
  <r>
    <x v="0"/>
    <x v="0"/>
    <x v="10"/>
    <x v="20"/>
    <s v="DK1_Large"/>
    <x v="15"/>
    <s v="GNR_ENG_BGAS_BP_E-43"/>
    <n v="3.0470000000000002"/>
    <n v="3.0469999999999998E-3"/>
  </r>
  <r>
    <x v="0"/>
    <x v="0"/>
    <x v="10"/>
    <x v="20"/>
    <s v="DK1_NoDH"/>
    <x v="15"/>
    <s v="GNR_ENG_BGAS_BP_E-43"/>
    <n v="6"/>
    <n v="6.0000000000000001E-3"/>
  </r>
  <r>
    <x v="0"/>
    <x v="0"/>
    <x v="10"/>
    <x v="20"/>
    <s v="DK1_Rural"/>
    <x v="15"/>
    <s v="GNR_ENG_BGAS_BP_E-43"/>
    <n v="5.14"/>
    <n v="5.1399999999999996E-3"/>
  </r>
  <r>
    <x v="0"/>
    <x v="1"/>
    <x v="10"/>
    <x v="20"/>
    <s v="DK1_Large"/>
    <x v="15"/>
    <s v="GNR_ENG_BGAS_BP_E-43"/>
    <n v="3.0470000000000002"/>
    <n v="3.0469999999999998E-3"/>
  </r>
  <r>
    <x v="0"/>
    <x v="1"/>
    <x v="10"/>
    <x v="20"/>
    <s v="DK1_NoDH"/>
    <x v="15"/>
    <s v="GNR_ENG_BGAS_BP_E-43"/>
    <n v="6"/>
    <n v="6.0000000000000001E-3"/>
  </r>
  <r>
    <x v="0"/>
    <x v="1"/>
    <x v="10"/>
    <x v="20"/>
    <s v="DK1_Rural"/>
    <x v="15"/>
    <s v="GNR_ENG_BGAS_BP_E-43"/>
    <n v="5.14"/>
    <n v="5.1399999999999996E-3"/>
  </r>
  <r>
    <x v="0"/>
    <x v="0"/>
    <x v="9"/>
    <x v="16"/>
    <s v="DE4-E_A"/>
    <x v="15"/>
    <s v="GNR_ENG_BGAS_BP_E-45"/>
    <n v="2.57"/>
    <n v="2.5699999999999998E-3"/>
  </r>
  <r>
    <x v="0"/>
    <x v="0"/>
    <x v="9"/>
    <x v="17"/>
    <s v="DE4-N_A"/>
    <x v="15"/>
    <s v="GNR_ENG_BGAS_BP_E-45"/>
    <n v="0.48"/>
    <n v="4.8000000000000001E-4"/>
  </r>
  <r>
    <x v="0"/>
    <x v="0"/>
    <x v="9"/>
    <x v="18"/>
    <s v="DE4-S_A"/>
    <x v="15"/>
    <s v="GNR_ENG_BGAS_BP_E-45"/>
    <n v="47.36"/>
    <n v="4.7359999999999999E-2"/>
  </r>
  <r>
    <x v="0"/>
    <x v="0"/>
    <x v="9"/>
    <x v="19"/>
    <s v="DE4-W_A"/>
    <x v="15"/>
    <s v="GNR_ENG_BGAS_BP_E-45"/>
    <n v="17.59"/>
    <n v="1.7590000000000001E-2"/>
  </r>
  <r>
    <x v="0"/>
    <x v="1"/>
    <x v="9"/>
    <x v="16"/>
    <s v="DE4-E_A"/>
    <x v="15"/>
    <s v="GNR_ENG_BGAS_BP_E-45"/>
    <n v="4.51"/>
    <n v="4.5100000000000001E-3"/>
  </r>
  <r>
    <x v="0"/>
    <x v="1"/>
    <x v="9"/>
    <x v="17"/>
    <s v="DE4-N_A"/>
    <x v="15"/>
    <s v="GNR_ENG_BGAS_BP_E-45"/>
    <n v="0.75"/>
    <n v="7.5000000000000002E-4"/>
  </r>
  <r>
    <x v="0"/>
    <x v="1"/>
    <x v="9"/>
    <x v="18"/>
    <s v="DE4-S_A"/>
    <x v="15"/>
    <s v="GNR_ENG_BGAS_BP_E-45"/>
    <n v="9.24"/>
    <n v="9.2399999999999999E-3"/>
  </r>
  <r>
    <x v="0"/>
    <x v="1"/>
    <x v="9"/>
    <x v="19"/>
    <s v="DE4-W_A"/>
    <x v="15"/>
    <s v="GNR_ENG_BGAS_BP_E-45"/>
    <n v="20.8"/>
    <n v="2.0799999999999999E-2"/>
  </r>
  <r>
    <x v="0"/>
    <x v="0"/>
    <x v="10"/>
    <x v="21"/>
    <s v="DK2_NoDH"/>
    <x v="15"/>
    <s v="GNR_ENG_BGAS_CND_E-32"/>
    <n v="0.13"/>
    <n v="1.2999999999999999E-4"/>
  </r>
  <r>
    <x v="0"/>
    <x v="1"/>
    <x v="10"/>
    <x v="21"/>
    <s v="DK2_NoDH"/>
    <x v="15"/>
    <s v="GNR_ENG_BGAS_CND_E-32"/>
    <n v="0.13"/>
    <n v="1.2999999999999999E-4"/>
  </r>
  <r>
    <x v="0"/>
    <x v="0"/>
    <x v="10"/>
    <x v="21"/>
    <s v="DK2_NoDH"/>
    <x v="15"/>
    <s v="GNR_ENG_BGAS_CND_E-35"/>
    <n v="0.31"/>
    <n v="3.1E-4"/>
  </r>
  <r>
    <x v="0"/>
    <x v="0"/>
    <x v="10"/>
    <x v="20"/>
    <s v="DK1_NoDH"/>
    <x v="15"/>
    <s v="GNR_ENG_BGAS_CND_E-36"/>
    <n v="1.4"/>
    <n v="1.4E-3"/>
  </r>
  <r>
    <x v="0"/>
    <x v="1"/>
    <x v="10"/>
    <x v="20"/>
    <s v="DK1_NoDH"/>
    <x v="15"/>
    <s v="GNR_ENG_BGAS_CND_E-36"/>
    <n v="1.4"/>
    <n v="1.4E-3"/>
  </r>
  <r>
    <x v="0"/>
    <x v="0"/>
    <x v="10"/>
    <x v="20"/>
    <s v="DK1_NoDH"/>
    <x v="15"/>
    <s v="GNR_ENG_BGAS_CND_E-42"/>
    <n v="0.35"/>
    <n v="3.5E-4"/>
  </r>
  <r>
    <x v="0"/>
    <x v="0"/>
    <x v="9"/>
    <x v="16"/>
    <s v="DE4-E_A"/>
    <x v="15"/>
    <s v="GNR_ENG_BGAS_CND_E-44"/>
    <n v="1827.61"/>
    <n v="1.82761"/>
  </r>
  <r>
    <x v="0"/>
    <x v="0"/>
    <x v="9"/>
    <x v="17"/>
    <s v="DE4-N_A"/>
    <x v="15"/>
    <s v="GNR_ENG_BGAS_CND_E-44"/>
    <n v="484.32"/>
    <n v="0.48431999999999997"/>
  </r>
  <r>
    <x v="0"/>
    <x v="0"/>
    <x v="9"/>
    <x v="18"/>
    <s v="DE4-S_A"/>
    <x v="15"/>
    <s v="GNR_ENG_BGAS_CND_E-44"/>
    <n v="2526.71"/>
    <n v="2.52671"/>
  </r>
  <r>
    <x v="0"/>
    <x v="0"/>
    <x v="9"/>
    <x v="19"/>
    <s v="DE4-W_A"/>
    <x v="15"/>
    <s v="GNR_ENG_BGAS_CND_E-44"/>
    <n v="2541.5"/>
    <n v="2.5415000000000001"/>
  </r>
  <r>
    <x v="0"/>
    <x v="1"/>
    <x v="9"/>
    <x v="16"/>
    <s v="DE4-E_A"/>
    <x v="15"/>
    <s v="GNR_ENG_BGAS_CND_E-44"/>
    <n v="1305.97"/>
    <n v="1.3059700000000001"/>
  </r>
  <r>
    <x v="0"/>
    <x v="1"/>
    <x v="9"/>
    <x v="17"/>
    <s v="DE4-N_A"/>
    <x v="15"/>
    <s v="GNR_ENG_BGAS_CND_E-44"/>
    <n v="461.21"/>
    <n v="0.46121000000000001"/>
  </r>
  <r>
    <x v="0"/>
    <x v="1"/>
    <x v="9"/>
    <x v="18"/>
    <s v="DE4-S_A"/>
    <x v="15"/>
    <s v="GNR_ENG_BGAS_CND_E-44"/>
    <n v="1871.04"/>
    <n v="1.87104"/>
  </r>
  <r>
    <x v="0"/>
    <x v="1"/>
    <x v="9"/>
    <x v="19"/>
    <s v="DE4-W_A"/>
    <x v="15"/>
    <s v="GNR_ENG_BGAS_CND_E-44"/>
    <n v="1922.45"/>
    <n v="1.92245"/>
  </r>
  <r>
    <x v="0"/>
    <x v="0"/>
    <x v="10"/>
    <x v="20"/>
    <s v="DK2_Rural"/>
    <x v="1"/>
    <s v="GNR_ENG_FUELOIL_CND_E-42"/>
    <n v="0.2"/>
    <n v="2.0000000000000001E-4"/>
  </r>
  <r>
    <x v="0"/>
    <x v="0"/>
    <x v="10"/>
    <x v="21"/>
    <s v="DK2_Rural"/>
    <x v="1"/>
    <s v="GNR_ENG_FUELOIL_CND_E-42"/>
    <n v="0.2"/>
    <n v="2.0000000000000001E-4"/>
  </r>
  <r>
    <x v="0"/>
    <x v="1"/>
    <x v="10"/>
    <x v="20"/>
    <s v="DK2_Rural"/>
    <x v="1"/>
    <s v="GNR_ENG_FUELOIL_CND_E-42"/>
    <n v="0.2"/>
    <n v="2.0000000000000001E-4"/>
  </r>
  <r>
    <x v="0"/>
    <x v="1"/>
    <x v="10"/>
    <x v="21"/>
    <s v="DK2_Rural"/>
    <x v="1"/>
    <s v="GNR_ENG_FUELOIL_CND_E-42"/>
    <n v="0.2"/>
    <n v="2.0000000000000001E-4"/>
  </r>
  <r>
    <x v="0"/>
    <x v="0"/>
    <x v="10"/>
    <x v="20"/>
    <s v="DK1_Rural"/>
    <x v="21"/>
    <s v="GNR_ENG_LIGHTOIL_BP_E-35"/>
    <n v="2.54"/>
    <n v="2.5400000000000002E-3"/>
  </r>
  <r>
    <x v="0"/>
    <x v="0"/>
    <x v="10"/>
    <x v="20"/>
    <s v="DK1_Large"/>
    <x v="21"/>
    <s v="GNR_ENG_LIGHTOIL_BP_E-37"/>
    <n v="32"/>
    <n v="3.2000000000000001E-2"/>
  </r>
  <r>
    <x v="0"/>
    <x v="0"/>
    <x v="10"/>
    <x v="20"/>
    <s v="DK1_Rural"/>
    <x v="21"/>
    <s v="GNR_ENG_LIGHTOIL_BP_E-37"/>
    <n v="16"/>
    <n v="1.6E-2"/>
  </r>
  <r>
    <x v="0"/>
    <x v="0"/>
    <x v="10"/>
    <x v="21"/>
    <s v="DK2_NoDH"/>
    <x v="21"/>
    <s v="GNR_ENG_LIGHTOIL_BP_E-37"/>
    <n v="16"/>
    <n v="1.6E-2"/>
  </r>
  <r>
    <x v="0"/>
    <x v="1"/>
    <x v="10"/>
    <x v="20"/>
    <s v="DK1_Large"/>
    <x v="21"/>
    <s v="GNR_ENG_LIGHTOIL_BP_E-37"/>
    <n v="32"/>
    <n v="3.2000000000000001E-2"/>
  </r>
  <r>
    <x v="0"/>
    <x v="1"/>
    <x v="10"/>
    <x v="20"/>
    <s v="DK1_Rural"/>
    <x v="21"/>
    <s v="GNR_ENG_LIGHTOIL_BP_E-37"/>
    <n v="16"/>
    <n v="1.6E-2"/>
  </r>
  <r>
    <x v="0"/>
    <x v="1"/>
    <x v="10"/>
    <x v="21"/>
    <s v="DK2_NoDH"/>
    <x v="21"/>
    <s v="GNR_ENG_LIGHTOIL_BP_E-37"/>
    <n v="16"/>
    <n v="1.6E-2"/>
  </r>
  <r>
    <x v="0"/>
    <x v="0"/>
    <x v="10"/>
    <x v="21"/>
    <s v="DK2_NoDH"/>
    <x v="21"/>
    <s v="GNR_ENG_LIGHTOIL_BP_E-39"/>
    <n v="7.8E-2"/>
    <n v="7.7999999999999999E-5"/>
  </r>
  <r>
    <x v="0"/>
    <x v="1"/>
    <x v="10"/>
    <x v="21"/>
    <s v="DK2_NoDH"/>
    <x v="21"/>
    <s v="GNR_ENG_LIGHTOIL_BP_E-39"/>
    <n v="7.8E-2"/>
    <n v="7.7999999999999999E-5"/>
  </r>
  <r>
    <x v="0"/>
    <x v="0"/>
    <x v="10"/>
    <x v="20"/>
    <s v="DK2_Rural"/>
    <x v="21"/>
    <s v="GNR_ENG_LIGHTOIL_BP_E-43"/>
    <n v="0.50700000000000001"/>
    <n v="5.0699999999999996E-4"/>
  </r>
  <r>
    <x v="0"/>
    <x v="0"/>
    <x v="10"/>
    <x v="21"/>
    <s v="DK2_Rural"/>
    <x v="21"/>
    <s v="GNR_ENG_LIGHTOIL_BP_E-43"/>
    <n v="0.50700000000000001"/>
    <n v="5.0699999999999996E-4"/>
  </r>
  <r>
    <x v="0"/>
    <x v="1"/>
    <x v="10"/>
    <x v="20"/>
    <s v="DK2_Rural"/>
    <x v="21"/>
    <s v="GNR_ENG_LIGHTOIL_BP_E-43"/>
    <n v="0.13900000000000001"/>
    <n v="1.3899999999999999E-4"/>
  </r>
  <r>
    <x v="0"/>
    <x v="1"/>
    <x v="10"/>
    <x v="21"/>
    <s v="DK2_Rural"/>
    <x v="21"/>
    <s v="GNR_ENG_LIGHTOIL_BP_E-43"/>
    <n v="0.13900000000000001"/>
    <n v="1.3899999999999999E-4"/>
  </r>
  <r>
    <x v="0"/>
    <x v="0"/>
    <x v="10"/>
    <x v="20"/>
    <s v="DK1_Rural"/>
    <x v="21"/>
    <s v="GNR_ENG_LIGHTOIL_CND_E-33"/>
    <n v="0.45"/>
    <n v="4.4999999999999999E-4"/>
  </r>
  <r>
    <x v="0"/>
    <x v="1"/>
    <x v="10"/>
    <x v="20"/>
    <s v="DK1_Rural"/>
    <x v="21"/>
    <s v="GNR_ENG_LIGHTOIL_CND_E-33"/>
    <n v="0.45"/>
    <n v="4.4999999999999999E-4"/>
  </r>
  <r>
    <x v="0"/>
    <x v="0"/>
    <x v="10"/>
    <x v="20"/>
    <s v="DK1_NoDH"/>
    <x v="21"/>
    <s v="GNR_ENG_LIGHTOIL_CND_E-34"/>
    <n v="0.5"/>
    <n v="5.0000000000000001E-4"/>
  </r>
  <r>
    <x v="0"/>
    <x v="1"/>
    <x v="10"/>
    <x v="20"/>
    <s v="DK1_NoDH"/>
    <x v="21"/>
    <s v="GNR_ENG_LIGHTOIL_CND_E-34"/>
    <n v="0.5"/>
    <n v="5.0000000000000001E-4"/>
  </r>
  <r>
    <x v="0"/>
    <x v="0"/>
    <x v="10"/>
    <x v="20"/>
    <s v="DK1_NoDH"/>
    <x v="21"/>
    <s v="GNR_ENG_LIGHTOIL_CND_E-36"/>
    <n v="0.72"/>
    <n v="7.2000000000000005E-4"/>
  </r>
  <r>
    <x v="0"/>
    <x v="1"/>
    <x v="10"/>
    <x v="20"/>
    <s v="DK1_NoDH"/>
    <x v="21"/>
    <s v="GNR_ENG_LIGHTOIL_CND_E-36"/>
    <n v="0.72"/>
    <n v="7.2000000000000005E-4"/>
  </r>
  <r>
    <x v="0"/>
    <x v="0"/>
    <x v="10"/>
    <x v="20"/>
    <s v="DK2_Rural"/>
    <x v="21"/>
    <s v="GNR_ENG_LIGHTOIL_CND_E-37"/>
    <n v="15"/>
    <n v="1.4999999999999999E-2"/>
  </r>
  <r>
    <x v="0"/>
    <x v="0"/>
    <x v="10"/>
    <x v="21"/>
    <s v="DK2_NoDH"/>
    <x v="21"/>
    <s v="GNR_ENG_LIGHTOIL_CND_E-37"/>
    <n v="20"/>
    <n v="0.02"/>
  </r>
  <r>
    <x v="0"/>
    <x v="0"/>
    <x v="10"/>
    <x v="21"/>
    <s v="DK2_Rural"/>
    <x v="21"/>
    <s v="GNR_ENG_LIGHTOIL_CND_E-37"/>
    <n v="15"/>
    <n v="1.4999999999999999E-2"/>
  </r>
  <r>
    <x v="0"/>
    <x v="1"/>
    <x v="10"/>
    <x v="20"/>
    <s v="DK2_Rural"/>
    <x v="21"/>
    <s v="GNR_ENG_LIGHTOIL_CND_E-37"/>
    <n v="15"/>
    <n v="1.4999999999999999E-2"/>
  </r>
  <r>
    <x v="0"/>
    <x v="1"/>
    <x v="10"/>
    <x v="21"/>
    <s v="DK2_NoDH"/>
    <x v="21"/>
    <s v="GNR_ENG_LIGHTOIL_CND_E-37"/>
    <n v="20"/>
    <n v="0.02"/>
  </r>
  <r>
    <x v="0"/>
    <x v="1"/>
    <x v="10"/>
    <x v="21"/>
    <s v="DK2_Rural"/>
    <x v="21"/>
    <s v="GNR_ENG_LIGHTOIL_CND_E-37"/>
    <n v="15"/>
    <n v="1.4999999999999999E-2"/>
  </r>
  <r>
    <x v="0"/>
    <x v="0"/>
    <x v="10"/>
    <x v="20"/>
    <s v="DK1_Medium"/>
    <x v="21"/>
    <s v="GNR_ENG_LIGHTOIL_CND_E-38"/>
    <n v="1.36"/>
    <n v="1.3600000000000001E-3"/>
  </r>
  <r>
    <x v="0"/>
    <x v="0"/>
    <x v="10"/>
    <x v="20"/>
    <s v="DK1_MedSmall"/>
    <x v="21"/>
    <s v="GNR_ENG_LIGHTOIL_CND_E-39"/>
    <n v="0.3"/>
    <n v="2.9999999999999997E-4"/>
  </r>
  <r>
    <x v="0"/>
    <x v="0"/>
    <x v="10"/>
    <x v="20"/>
    <s v="DK1_Medium"/>
    <x v="21"/>
    <s v="GNR_ENG_LIGHTOIL_CND_E-39"/>
    <n v="0.7"/>
    <n v="6.9999999999999999E-4"/>
  </r>
  <r>
    <x v="0"/>
    <x v="0"/>
    <x v="10"/>
    <x v="20"/>
    <s v="DK2_Rural"/>
    <x v="21"/>
    <s v="GNR_ENG_LIGHTOIL_CND_E-39"/>
    <n v="19.600000000000001"/>
    <n v="1.9599999999999999E-2"/>
  </r>
  <r>
    <x v="0"/>
    <x v="0"/>
    <x v="10"/>
    <x v="21"/>
    <s v="DK2_Rural"/>
    <x v="21"/>
    <s v="GNR_ENG_LIGHTOIL_CND_E-39"/>
    <n v="19.600000000000001"/>
    <n v="1.9599999999999999E-2"/>
  </r>
  <r>
    <x v="0"/>
    <x v="1"/>
    <x v="10"/>
    <x v="20"/>
    <s v="DK1_Medium"/>
    <x v="21"/>
    <s v="GNR_ENG_LIGHTOIL_CND_E-39"/>
    <n v="0.7"/>
    <n v="6.9999999999999999E-4"/>
  </r>
  <r>
    <x v="0"/>
    <x v="0"/>
    <x v="10"/>
    <x v="21"/>
    <s v="DK2_Large"/>
    <x v="21"/>
    <s v="GNR_ENG_LIGHTOIL_CND_E-40"/>
    <n v="1.25"/>
    <n v="1.25E-3"/>
  </r>
  <r>
    <x v="0"/>
    <x v="1"/>
    <x v="10"/>
    <x v="21"/>
    <s v="DK2_Large"/>
    <x v="21"/>
    <s v="GNR_ENG_LIGHTOIL_CND_E-40"/>
    <n v="1.25"/>
    <n v="1.25E-3"/>
  </r>
  <r>
    <x v="0"/>
    <x v="0"/>
    <x v="10"/>
    <x v="20"/>
    <s v="DK1_Medium"/>
    <x v="21"/>
    <s v="GNR_ENG_LIGHTOIL_CND_E-41"/>
    <n v="0.56000000000000005"/>
    <n v="5.5999999999999995E-4"/>
  </r>
  <r>
    <x v="0"/>
    <x v="0"/>
    <x v="10"/>
    <x v="20"/>
    <s v="DK1_NoDH"/>
    <x v="21"/>
    <s v="GNR_ENG_LIGHTOIL_CND_E-41"/>
    <n v="40.799999999999997"/>
    <n v="4.0800000000000003E-2"/>
  </r>
  <r>
    <x v="0"/>
    <x v="0"/>
    <x v="10"/>
    <x v="20"/>
    <s v="DK2_Rural"/>
    <x v="21"/>
    <s v="GNR_ENG_LIGHTOIL_CND_E-41"/>
    <n v="0.28000000000000003"/>
    <n v="2.7999999999999998E-4"/>
  </r>
  <r>
    <x v="0"/>
    <x v="0"/>
    <x v="10"/>
    <x v="21"/>
    <s v="DK2_Rural"/>
    <x v="21"/>
    <s v="GNR_ENG_LIGHTOIL_CND_E-41"/>
    <n v="0.28000000000000003"/>
    <n v="2.7999999999999998E-4"/>
  </r>
  <r>
    <x v="0"/>
    <x v="1"/>
    <x v="10"/>
    <x v="20"/>
    <s v="DK1_NoDH"/>
    <x v="21"/>
    <s v="GNR_ENG_LIGHTOIL_CND_E-41"/>
    <n v="40.799999999999997"/>
    <n v="4.0800000000000003E-2"/>
  </r>
  <r>
    <x v="0"/>
    <x v="1"/>
    <x v="10"/>
    <x v="20"/>
    <s v="DK2_Rural"/>
    <x v="21"/>
    <s v="GNR_ENG_LIGHTOIL_CND_E-41"/>
    <n v="0.28000000000000003"/>
    <n v="2.7999999999999998E-4"/>
  </r>
  <r>
    <x v="0"/>
    <x v="1"/>
    <x v="10"/>
    <x v="21"/>
    <s v="DK2_Rural"/>
    <x v="21"/>
    <s v="GNR_ENG_LIGHTOIL_CND_E-41"/>
    <n v="0.28000000000000003"/>
    <n v="2.7999999999999998E-4"/>
  </r>
  <r>
    <x v="0"/>
    <x v="0"/>
    <x v="10"/>
    <x v="20"/>
    <s v="DK1_Rural"/>
    <x v="21"/>
    <s v="GNR_ENG_LIGHTOIL_CND_E-42"/>
    <n v="0.19"/>
    <n v="1.9000000000000001E-4"/>
  </r>
  <r>
    <x v="0"/>
    <x v="1"/>
    <x v="10"/>
    <x v="20"/>
    <s v="DK1_Rural"/>
    <x v="21"/>
    <s v="GNR_ENG_LIGHTOIL_CND_E-42"/>
    <n v="0.19"/>
    <n v="1.9000000000000001E-4"/>
  </r>
  <r>
    <x v="0"/>
    <x v="0"/>
    <x v="10"/>
    <x v="20"/>
    <s v="DK1_NoDH"/>
    <x v="21"/>
    <s v="GNR_ENG_LIGHTOIL_CND_E-43"/>
    <n v="0.02"/>
    <n v="2.0000000000000002E-5"/>
  </r>
  <r>
    <x v="0"/>
    <x v="0"/>
    <x v="10"/>
    <x v="20"/>
    <s v="DK1_Rural"/>
    <x v="21"/>
    <s v="GNR_ENG_LIGHTOIL_CND_E-43"/>
    <n v="1.18"/>
    <n v="1.1800000000000001E-3"/>
  </r>
  <r>
    <x v="0"/>
    <x v="0"/>
    <x v="10"/>
    <x v="20"/>
    <s v="DK2_Rural"/>
    <x v="21"/>
    <s v="GNR_ENG_LIGHTOIL_CND_E-43"/>
    <n v="0.12"/>
    <n v="1.2E-4"/>
  </r>
  <r>
    <x v="0"/>
    <x v="0"/>
    <x v="10"/>
    <x v="21"/>
    <s v="DK2_Large"/>
    <x v="21"/>
    <s v="GNR_ENG_LIGHTOIL_CND_E-43"/>
    <n v="1.3"/>
    <n v="1.2999999999999999E-3"/>
  </r>
  <r>
    <x v="0"/>
    <x v="0"/>
    <x v="10"/>
    <x v="21"/>
    <s v="DK2_Rural"/>
    <x v="21"/>
    <s v="GNR_ENG_LIGHTOIL_CND_E-43"/>
    <n v="0.12"/>
    <n v="1.2E-4"/>
  </r>
  <r>
    <x v="0"/>
    <x v="1"/>
    <x v="10"/>
    <x v="20"/>
    <s v="DK1_NoDH"/>
    <x v="21"/>
    <s v="GNR_ENG_LIGHTOIL_CND_E-43"/>
    <n v="0.02"/>
    <n v="2.0000000000000002E-5"/>
  </r>
  <r>
    <x v="0"/>
    <x v="1"/>
    <x v="10"/>
    <x v="20"/>
    <s v="DK1_Rural"/>
    <x v="21"/>
    <s v="GNR_ENG_LIGHTOIL_CND_E-43"/>
    <n v="0.76"/>
    <n v="7.6000000000000004E-4"/>
  </r>
  <r>
    <x v="0"/>
    <x v="1"/>
    <x v="10"/>
    <x v="21"/>
    <s v="DK2_Large"/>
    <x v="21"/>
    <s v="GNR_ENG_LIGHTOIL_CND_E-43"/>
    <n v="1.3"/>
    <n v="1.2999999999999999E-3"/>
  </r>
  <r>
    <x v="0"/>
    <x v="0"/>
    <x v="10"/>
    <x v="20"/>
    <s v="DK1_NoDH"/>
    <x v="2"/>
    <s v="GNR_ENG_NGAS_BP_E-33"/>
    <n v="0.13500000000000001"/>
    <n v="1.35E-4"/>
  </r>
  <r>
    <x v="0"/>
    <x v="0"/>
    <x v="10"/>
    <x v="20"/>
    <s v="DK1_Rural"/>
    <x v="2"/>
    <s v="GNR_ENG_NGAS_BP_E-33"/>
    <n v="4.5"/>
    <n v="4.4999999999999997E-3"/>
  </r>
  <r>
    <x v="0"/>
    <x v="0"/>
    <x v="10"/>
    <x v="20"/>
    <s v="DK2_Rural"/>
    <x v="2"/>
    <s v="GNR_ENG_NGAS_BP_E-33"/>
    <n v="6.87"/>
    <n v="6.8700000000000002E-3"/>
  </r>
  <r>
    <x v="0"/>
    <x v="0"/>
    <x v="10"/>
    <x v="21"/>
    <s v="DK2_Medium"/>
    <x v="2"/>
    <s v="GNR_ENG_NGAS_BP_E-33"/>
    <n v="1"/>
    <n v="1E-3"/>
  </r>
  <r>
    <x v="0"/>
    <x v="0"/>
    <x v="10"/>
    <x v="21"/>
    <s v="DK2_NoDH"/>
    <x v="2"/>
    <s v="GNR_ENG_NGAS_BP_E-33"/>
    <n v="1.6"/>
    <n v="1.6000000000000001E-3"/>
  </r>
  <r>
    <x v="0"/>
    <x v="0"/>
    <x v="10"/>
    <x v="21"/>
    <s v="DK2_Rural"/>
    <x v="2"/>
    <s v="GNR_ENG_NGAS_BP_E-33"/>
    <n v="6.87"/>
    <n v="6.8700000000000002E-3"/>
  </r>
  <r>
    <x v="0"/>
    <x v="1"/>
    <x v="10"/>
    <x v="20"/>
    <s v="DK1_NoDH"/>
    <x v="2"/>
    <s v="GNR_ENG_NGAS_BP_E-33"/>
    <n v="1.4999999999999999E-2"/>
    <n v="1.5E-5"/>
  </r>
  <r>
    <x v="0"/>
    <x v="0"/>
    <x v="10"/>
    <x v="20"/>
    <s v="DK1_Large"/>
    <x v="2"/>
    <s v="GNR_ENG_NGAS_BP_E-34"/>
    <n v="1.0469999999999999"/>
    <n v="1.047E-3"/>
  </r>
  <r>
    <x v="0"/>
    <x v="0"/>
    <x v="10"/>
    <x v="20"/>
    <s v="DK1_Medium"/>
    <x v="2"/>
    <s v="GNR_ENG_NGAS_BP_E-34"/>
    <n v="0.66"/>
    <n v="6.6E-4"/>
  </r>
  <r>
    <x v="0"/>
    <x v="0"/>
    <x v="10"/>
    <x v="20"/>
    <s v="DK1_Rural"/>
    <x v="2"/>
    <s v="GNR_ENG_NGAS_BP_E-34"/>
    <n v="4.63"/>
    <n v="4.6299999999999996E-3"/>
  </r>
  <r>
    <x v="0"/>
    <x v="0"/>
    <x v="10"/>
    <x v="20"/>
    <s v="DK2_Rural"/>
    <x v="2"/>
    <s v="GNR_ENG_NGAS_BP_E-34"/>
    <n v="3.97"/>
    <n v="3.9699999999999996E-3"/>
  </r>
  <r>
    <x v="0"/>
    <x v="0"/>
    <x v="10"/>
    <x v="21"/>
    <s v="DK2_Large"/>
    <x v="2"/>
    <s v="GNR_ENG_NGAS_BP_E-34"/>
    <n v="0.98"/>
    <n v="9.7999999999999997E-4"/>
  </r>
  <r>
    <x v="0"/>
    <x v="0"/>
    <x v="10"/>
    <x v="21"/>
    <s v="DK2_NoDH"/>
    <x v="2"/>
    <s v="GNR_ENG_NGAS_BP_E-34"/>
    <n v="6.32"/>
    <n v="6.3200000000000001E-3"/>
  </r>
  <r>
    <x v="0"/>
    <x v="0"/>
    <x v="10"/>
    <x v="21"/>
    <s v="DK2_Rural"/>
    <x v="2"/>
    <s v="GNR_ENG_NGAS_BP_E-34"/>
    <n v="3.97"/>
    <n v="3.9699999999999996E-3"/>
  </r>
  <r>
    <x v="0"/>
    <x v="0"/>
    <x v="10"/>
    <x v="20"/>
    <s v="DK1_MedSmall"/>
    <x v="2"/>
    <s v="GNR_ENG_NGAS_BP_E-35"/>
    <n v="0.63"/>
    <n v="6.3000000000000003E-4"/>
  </r>
  <r>
    <x v="0"/>
    <x v="0"/>
    <x v="10"/>
    <x v="20"/>
    <s v="DK1_NoDH"/>
    <x v="2"/>
    <s v="GNR_ENG_NGAS_BP_E-35"/>
    <n v="1.84"/>
    <n v="1.8400000000000001E-3"/>
  </r>
  <r>
    <x v="0"/>
    <x v="0"/>
    <x v="10"/>
    <x v="20"/>
    <s v="DK2_Rural"/>
    <x v="2"/>
    <s v="GNR_ENG_NGAS_BP_E-35"/>
    <n v="7.29"/>
    <n v="7.2899999999999996E-3"/>
  </r>
  <r>
    <x v="0"/>
    <x v="0"/>
    <x v="10"/>
    <x v="21"/>
    <s v="DK2_Medium"/>
    <x v="2"/>
    <s v="GNR_ENG_NGAS_BP_E-35"/>
    <n v="3"/>
    <n v="3.0000000000000001E-3"/>
  </r>
  <r>
    <x v="0"/>
    <x v="0"/>
    <x v="10"/>
    <x v="21"/>
    <s v="DK2_NoDH"/>
    <x v="2"/>
    <s v="GNR_ENG_NGAS_BP_E-35"/>
    <n v="5.22"/>
    <n v="5.2199999999999998E-3"/>
  </r>
  <r>
    <x v="0"/>
    <x v="0"/>
    <x v="10"/>
    <x v="21"/>
    <s v="DK2_Rural"/>
    <x v="2"/>
    <s v="GNR_ENG_NGAS_BP_E-35"/>
    <n v="7.29"/>
    <n v="7.2899999999999996E-3"/>
  </r>
  <r>
    <x v="0"/>
    <x v="1"/>
    <x v="10"/>
    <x v="21"/>
    <s v="DK2_Medium"/>
    <x v="2"/>
    <s v="GNR_ENG_NGAS_BP_E-35"/>
    <n v="0.97"/>
    <n v="9.7000000000000005E-4"/>
  </r>
  <r>
    <x v="0"/>
    <x v="0"/>
    <x v="10"/>
    <x v="20"/>
    <s v="DK1_Medium"/>
    <x v="2"/>
    <s v="GNR_ENG_NGAS_BP_E-36"/>
    <n v="2.0699999999999998"/>
    <n v="2.0699999999999998E-3"/>
  </r>
  <r>
    <x v="0"/>
    <x v="0"/>
    <x v="10"/>
    <x v="20"/>
    <s v="DK1_NoDH"/>
    <x v="2"/>
    <s v="GNR_ENG_NGAS_BP_E-36"/>
    <n v="3.37"/>
    <n v="3.3700000000000002E-3"/>
  </r>
  <r>
    <x v="0"/>
    <x v="0"/>
    <x v="10"/>
    <x v="20"/>
    <s v="DK1_Rural"/>
    <x v="2"/>
    <s v="GNR_ENG_NGAS_BP_E-36"/>
    <n v="22.21"/>
    <n v="2.2210000000000001E-2"/>
  </r>
  <r>
    <x v="0"/>
    <x v="0"/>
    <x v="10"/>
    <x v="20"/>
    <s v="DK2_Rural"/>
    <x v="2"/>
    <s v="GNR_ENG_NGAS_BP_E-36"/>
    <n v="1.3149999999999999"/>
    <n v="1.315E-3"/>
  </r>
  <r>
    <x v="0"/>
    <x v="0"/>
    <x v="10"/>
    <x v="21"/>
    <s v="DK2_Large"/>
    <x v="2"/>
    <s v="GNR_ENG_NGAS_BP_E-36"/>
    <n v="2.8"/>
    <n v="2.8E-3"/>
  </r>
  <r>
    <x v="0"/>
    <x v="0"/>
    <x v="10"/>
    <x v="21"/>
    <s v="DK2_NoDH"/>
    <x v="2"/>
    <s v="GNR_ENG_NGAS_BP_E-36"/>
    <n v="3.53"/>
    <n v="3.5300000000000002E-3"/>
  </r>
  <r>
    <x v="0"/>
    <x v="0"/>
    <x v="10"/>
    <x v="21"/>
    <s v="DK2_Rural"/>
    <x v="2"/>
    <s v="GNR_ENG_NGAS_BP_E-36"/>
    <n v="1.3149999999999999"/>
    <n v="1.315E-3"/>
  </r>
  <r>
    <x v="0"/>
    <x v="1"/>
    <x v="10"/>
    <x v="20"/>
    <s v="DK2_Rural"/>
    <x v="2"/>
    <s v="GNR_ENG_NGAS_BP_E-36"/>
    <n v="0.28499999999999998"/>
    <n v="2.8499999999999999E-4"/>
  </r>
  <r>
    <x v="0"/>
    <x v="1"/>
    <x v="10"/>
    <x v="21"/>
    <s v="DK2_NoDH"/>
    <x v="2"/>
    <s v="GNR_ENG_NGAS_BP_E-36"/>
    <n v="0.1"/>
    <n v="1E-4"/>
  </r>
  <r>
    <x v="0"/>
    <x v="1"/>
    <x v="10"/>
    <x v="21"/>
    <s v="DK2_Rural"/>
    <x v="2"/>
    <s v="GNR_ENG_NGAS_BP_E-36"/>
    <n v="0.28499999999999998"/>
    <n v="2.8499999999999999E-4"/>
  </r>
  <r>
    <x v="0"/>
    <x v="0"/>
    <x v="10"/>
    <x v="20"/>
    <s v="DK1_MedSmall"/>
    <x v="2"/>
    <s v="GNR_ENG_NGAS_BP_E-37"/>
    <n v="1"/>
    <n v="1E-3"/>
  </r>
  <r>
    <x v="0"/>
    <x v="0"/>
    <x v="10"/>
    <x v="20"/>
    <s v="DK1_NoDH"/>
    <x v="2"/>
    <s v="GNR_ENG_NGAS_BP_E-37"/>
    <n v="36.86"/>
    <n v="3.6859999999999997E-2"/>
  </r>
  <r>
    <x v="0"/>
    <x v="0"/>
    <x v="10"/>
    <x v="20"/>
    <s v="DK1_Rural"/>
    <x v="2"/>
    <s v="GNR_ENG_NGAS_BP_E-37"/>
    <n v="23.21"/>
    <n v="2.3210000000000001E-2"/>
  </r>
  <r>
    <x v="0"/>
    <x v="0"/>
    <x v="10"/>
    <x v="20"/>
    <s v="DK2_Rural"/>
    <x v="2"/>
    <s v="GNR_ENG_NGAS_BP_E-37"/>
    <n v="1.81"/>
    <n v="1.81E-3"/>
  </r>
  <r>
    <x v="0"/>
    <x v="0"/>
    <x v="10"/>
    <x v="21"/>
    <s v="DK2_NoDH"/>
    <x v="2"/>
    <s v="GNR_ENG_NGAS_BP_E-37"/>
    <n v="2.82"/>
    <n v="2.82E-3"/>
  </r>
  <r>
    <x v="0"/>
    <x v="0"/>
    <x v="10"/>
    <x v="21"/>
    <s v="DK2_Rural"/>
    <x v="2"/>
    <s v="GNR_ENG_NGAS_BP_E-37"/>
    <n v="1.81"/>
    <n v="1.81E-3"/>
  </r>
  <r>
    <x v="0"/>
    <x v="1"/>
    <x v="10"/>
    <x v="20"/>
    <s v="DK1_Rural"/>
    <x v="2"/>
    <s v="GNR_ENG_NGAS_BP_E-37"/>
    <n v="7.17"/>
    <n v="7.1700000000000002E-3"/>
  </r>
  <r>
    <x v="0"/>
    <x v="0"/>
    <x v="10"/>
    <x v="20"/>
    <s v="DK1_Large"/>
    <x v="2"/>
    <s v="GNR_ENG_NGAS_BP_E-38"/>
    <n v="2.9279999999999999"/>
    <n v="2.928E-3"/>
  </r>
  <r>
    <x v="0"/>
    <x v="0"/>
    <x v="10"/>
    <x v="20"/>
    <s v="DK1_NoDH"/>
    <x v="2"/>
    <s v="GNR_ENG_NGAS_BP_E-38"/>
    <n v="12.36"/>
    <n v="1.2359999999999999E-2"/>
  </r>
  <r>
    <x v="0"/>
    <x v="0"/>
    <x v="10"/>
    <x v="20"/>
    <s v="DK1_Rural"/>
    <x v="2"/>
    <s v="GNR_ENG_NGAS_BP_E-38"/>
    <n v="46.79"/>
    <n v="4.6789999999999998E-2"/>
  </r>
  <r>
    <x v="0"/>
    <x v="0"/>
    <x v="10"/>
    <x v="20"/>
    <s v="DK1_Small"/>
    <x v="2"/>
    <s v="GNR_ENG_NGAS_BP_E-38"/>
    <n v="3.89"/>
    <n v="3.8899999999999998E-3"/>
  </r>
  <r>
    <x v="0"/>
    <x v="0"/>
    <x v="10"/>
    <x v="20"/>
    <s v="DK2_Rural"/>
    <x v="2"/>
    <s v="GNR_ENG_NGAS_BP_E-38"/>
    <n v="3.1850000000000001"/>
    <n v="3.1849999999999999E-3"/>
  </r>
  <r>
    <x v="0"/>
    <x v="0"/>
    <x v="10"/>
    <x v="21"/>
    <s v="DK2_Large"/>
    <x v="2"/>
    <s v="GNR_ENG_NGAS_BP_E-38"/>
    <n v="4.0199999999999996"/>
    <n v="4.0200000000000001E-3"/>
  </r>
  <r>
    <x v="0"/>
    <x v="0"/>
    <x v="10"/>
    <x v="21"/>
    <s v="DK2_Medium"/>
    <x v="2"/>
    <s v="GNR_ENG_NGAS_BP_E-38"/>
    <n v="0.97"/>
    <n v="9.7000000000000005E-4"/>
  </r>
  <r>
    <x v="0"/>
    <x v="0"/>
    <x v="10"/>
    <x v="21"/>
    <s v="DK2_NoDH"/>
    <x v="2"/>
    <s v="GNR_ENG_NGAS_BP_E-38"/>
    <n v="3.76"/>
    <n v="3.7599999999999999E-3"/>
  </r>
  <r>
    <x v="0"/>
    <x v="0"/>
    <x v="10"/>
    <x v="21"/>
    <s v="DK2_Rural"/>
    <x v="2"/>
    <s v="GNR_ENG_NGAS_BP_E-38"/>
    <n v="3.1850000000000001"/>
    <n v="3.1849999999999999E-3"/>
  </r>
  <r>
    <x v="0"/>
    <x v="1"/>
    <x v="10"/>
    <x v="20"/>
    <s v="DK1_NoDH"/>
    <x v="2"/>
    <s v="GNR_ENG_NGAS_BP_E-38"/>
    <n v="1"/>
    <n v="1E-3"/>
  </r>
  <r>
    <x v="0"/>
    <x v="1"/>
    <x v="10"/>
    <x v="20"/>
    <s v="DK1_Rural"/>
    <x v="2"/>
    <s v="GNR_ENG_NGAS_BP_E-38"/>
    <n v="3"/>
    <n v="3.0000000000000001E-3"/>
  </r>
  <r>
    <x v="0"/>
    <x v="1"/>
    <x v="10"/>
    <x v="20"/>
    <s v="DK1_Small"/>
    <x v="2"/>
    <s v="GNR_ENG_NGAS_BP_E-38"/>
    <n v="1.1299999999999999"/>
    <n v="1.1299999999999999E-3"/>
  </r>
  <r>
    <x v="0"/>
    <x v="1"/>
    <x v="10"/>
    <x v="20"/>
    <s v="DK2_Rural"/>
    <x v="2"/>
    <s v="GNR_ENG_NGAS_BP_E-38"/>
    <n v="0.38500000000000001"/>
    <n v="3.8499999999999998E-4"/>
  </r>
  <r>
    <x v="0"/>
    <x v="1"/>
    <x v="10"/>
    <x v="21"/>
    <s v="DK2_Rural"/>
    <x v="2"/>
    <s v="GNR_ENG_NGAS_BP_E-38"/>
    <n v="0.38500000000000001"/>
    <n v="3.8499999999999998E-4"/>
  </r>
  <r>
    <x v="0"/>
    <x v="0"/>
    <x v="10"/>
    <x v="20"/>
    <s v="DK1_Large"/>
    <x v="2"/>
    <s v="GNR_ENG_NGAS_BP_E-39"/>
    <n v="13.46"/>
    <n v="1.346E-2"/>
  </r>
  <r>
    <x v="0"/>
    <x v="0"/>
    <x v="10"/>
    <x v="20"/>
    <s v="DK1_NoDH"/>
    <x v="2"/>
    <s v="GNR_ENG_NGAS_BP_E-39"/>
    <n v="11.33"/>
    <n v="1.133E-2"/>
  </r>
  <r>
    <x v="0"/>
    <x v="0"/>
    <x v="10"/>
    <x v="20"/>
    <s v="DK1_Rural"/>
    <x v="2"/>
    <s v="GNR_ENG_NGAS_BP_E-39"/>
    <n v="56.18"/>
    <n v="5.6180000000000001E-2"/>
  </r>
  <r>
    <x v="0"/>
    <x v="0"/>
    <x v="10"/>
    <x v="20"/>
    <s v="DK1_Small"/>
    <x v="2"/>
    <s v="GNR_ENG_NGAS_BP_E-39"/>
    <n v="0.74"/>
    <n v="7.3999999999999999E-4"/>
  </r>
  <r>
    <x v="0"/>
    <x v="0"/>
    <x v="10"/>
    <x v="20"/>
    <s v="DK2_Rural"/>
    <x v="2"/>
    <s v="GNR_ENG_NGAS_BP_E-39"/>
    <n v="26.1"/>
    <n v="2.6100000000000002E-2"/>
  </r>
  <r>
    <x v="0"/>
    <x v="0"/>
    <x v="10"/>
    <x v="21"/>
    <s v="DK2_Medium"/>
    <x v="2"/>
    <s v="GNR_ENG_NGAS_BP_E-39"/>
    <n v="11.26"/>
    <n v="1.1259999999999999E-2"/>
  </r>
  <r>
    <x v="0"/>
    <x v="0"/>
    <x v="10"/>
    <x v="21"/>
    <s v="DK2_NoDH"/>
    <x v="2"/>
    <s v="GNR_ENG_NGAS_BP_E-39"/>
    <n v="8.15"/>
    <n v="8.1499999999999993E-3"/>
  </r>
  <r>
    <x v="0"/>
    <x v="0"/>
    <x v="10"/>
    <x v="21"/>
    <s v="DK2_Rural"/>
    <x v="2"/>
    <s v="GNR_ENG_NGAS_BP_E-39"/>
    <n v="26.1"/>
    <n v="2.6100000000000002E-2"/>
  </r>
  <r>
    <x v="0"/>
    <x v="1"/>
    <x v="10"/>
    <x v="20"/>
    <s v="DK1_Large"/>
    <x v="2"/>
    <s v="GNR_ENG_NGAS_BP_E-39"/>
    <n v="3.7"/>
    <n v="3.7000000000000002E-3"/>
  </r>
  <r>
    <x v="0"/>
    <x v="1"/>
    <x v="10"/>
    <x v="20"/>
    <s v="DK1_NoDH"/>
    <x v="2"/>
    <s v="GNR_ENG_NGAS_BP_E-39"/>
    <n v="1"/>
    <n v="1E-3"/>
  </r>
  <r>
    <x v="0"/>
    <x v="1"/>
    <x v="10"/>
    <x v="20"/>
    <s v="DK1_Rural"/>
    <x v="2"/>
    <s v="GNR_ENG_NGAS_BP_E-39"/>
    <n v="2"/>
    <n v="2E-3"/>
  </r>
  <r>
    <x v="0"/>
    <x v="1"/>
    <x v="10"/>
    <x v="21"/>
    <s v="DK2_NoDH"/>
    <x v="2"/>
    <s v="GNR_ENG_NGAS_BP_E-39"/>
    <n v="6.06"/>
    <n v="6.0600000000000003E-3"/>
  </r>
  <r>
    <x v="0"/>
    <x v="0"/>
    <x v="10"/>
    <x v="20"/>
    <s v="DK1_Large"/>
    <x v="2"/>
    <s v="GNR_ENG_NGAS_BP_E-40"/>
    <n v="5.21"/>
    <n v="5.2100000000000002E-3"/>
  </r>
  <r>
    <x v="0"/>
    <x v="0"/>
    <x v="10"/>
    <x v="20"/>
    <s v="DK1_MedSmall"/>
    <x v="2"/>
    <s v="GNR_ENG_NGAS_BP_E-40"/>
    <n v="12.472"/>
    <n v="1.2472E-2"/>
  </r>
  <r>
    <x v="0"/>
    <x v="0"/>
    <x v="10"/>
    <x v="20"/>
    <s v="DK1_Medium"/>
    <x v="2"/>
    <s v="GNR_ENG_NGAS_BP_E-40"/>
    <n v="1.33"/>
    <n v="1.33E-3"/>
  </r>
  <r>
    <x v="0"/>
    <x v="0"/>
    <x v="10"/>
    <x v="20"/>
    <s v="DK1_NoDH"/>
    <x v="2"/>
    <s v="GNR_ENG_NGAS_BP_E-40"/>
    <n v="2.82"/>
    <n v="2.82E-3"/>
  </r>
  <r>
    <x v="0"/>
    <x v="0"/>
    <x v="10"/>
    <x v="20"/>
    <s v="DK1_Rural"/>
    <x v="2"/>
    <s v="GNR_ENG_NGAS_BP_E-40"/>
    <n v="70.569999999999993"/>
    <n v="7.0569999999999994E-2"/>
  </r>
  <r>
    <x v="0"/>
    <x v="0"/>
    <x v="10"/>
    <x v="20"/>
    <s v="DK2_Rural"/>
    <x v="2"/>
    <s v="GNR_ENG_NGAS_BP_E-40"/>
    <n v="26.3"/>
    <n v="2.63E-2"/>
  </r>
  <r>
    <x v="0"/>
    <x v="0"/>
    <x v="10"/>
    <x v="21"/>
    <s v="DK2_Large"/>
    <x v="2"/>
    <s v="GNR_ENG_NGAS_BP_E-40"/>
    <n v="5.5"/>
    <n v="5.4999999999999997E-3"/>
  </r>
  <r>
    <x v="0"/>
    <x v="0"/>
    <x v="10"/>
    <x v="21"/>
    <s v="DK2_MedSmall"/>
    <x v="2"/>
    <s v="GNR_ENG_NGAS_BP_E-40"/>
    <n v="1.48"/>
    <n v="1.48E-3"/>
  </r>
  <r>
    <x v="0"/>
    <x v="0"/>
    <x v="10"/>
    <x v="21"/>
    <s v="DK2_NoDH"/>
    <x v="2"/>
    <s v="GNR_ENG_NGAS_BP_E-40"/>
    <n v="8.0299999999999994"/>
    <n v="8.0300000000000007E-3"/>
  </r>
  <r>
    <x v="0"/>
    <x v="0"/>
    <x v="10"/>
    <x v="21"/>
    <s v="DK2_Rural"/>
    <x v="2"/>
    <s v="GNR_ENG_NGAS_BP_E-40"/>
    <n v="26.3"/>
    <n v="2.63E-2"/>
  </r>
  <r>
    <x v="0"/>
    <x v="1"/>
    <x v="10"/>
    <x v="20"/>
    <s v="DK1_NoDH"/>
    <x v="2"/>
    <s v="GNR_ENG_NGAS_BP_E-40"/>
    <n v="0.8"/>
    <n v="8.0000000000000004E-4"/>
  </r>
  <r>
    <x v="0"/>
    <x v="1"/>
    <x v="10"/>
    <x v="20"/>
    <s v="DK1_Rural"/>
    <x v="2"/>
    <s v="GNR_ENG_NGAS_BP_E-40"/>
    <n v="4.62"/>
    <n v="4.62E-3"/>
  </r>
  <r>
    <x v="0"/>
    <x v="1"/>
    <x v="10"/>
    <x v="20"/>
    <s v="DK2_Rural"/>
    <x v="2"/>
    <s v="GNR_ENG_NGAS_BP_E-40"/>
    <n v="8.5"/>
    <n v="8.5000000000000006E-3"/>
  </r>
  <r>
    <x v="0"/>
    <x v="1"/>
    <x v="10"/>
    <x v="21"/>
    <s v="DK2_Rural"/>
    <x v="2"/>
    <s v="GNR_ENG_NGAS_BP_E-40"/>
    <n v="8.5"/>
    <n v="8.5000000000000006E-3"/>
  </r>
  <r>
    <x v="0"/>
    <x v="0"/>
    <x v="10"/>
    <x v="20"/>
    <s v="DK1_Large"/>
    <x v="2"/>
    <s v="GNR_ENG_NGAS_BP_E-41"/>
    <n v="3.8"/>
    <n v="3.8E-3"/>
  </r>
  <r>
    <x v="0"/>
    <x v="0"/>
    <x v="10"/>
    <x v="20"/>
    <s v="DK1_MedSmall"/>
    <x v="2"/>
    <s v="GNR_ENG_NGAS_BP_E-41"/>
    <n v="8.52"/>
    <n v="8.5199999999999998E-3"/>
  </r>
  <r>
    <x v="0"/>
    <x v="0"/>
    <x v="10"/>
    <x v="20"/>
    <s v="DK1_Medium"/>
    <x v="2"/>
    <s v="GNR_ENG_NGAS_BP_E-41"/>
    <n v="4.3"/>
    <n v="4.3E-3"/>
  </r>
  <r>
    <x v="0"/>
    <x v="0"/>
    <x v="10"/>
    <x v="20"/>
    <s v="DK1_NoDH"/>
    <x v="2"/>
    <s v="GNR_ENG_NGAS_BP_E-41"/>
    <n v="7.91"/>
    <n v="7.9100000000000004E-3"/>
  </r>
  <r>
    <x v="0"/>
    <x v="0"/>
    <x v="10"/>
    <x v="20"/>
    <s v="DK1_Rural"/>
    <x v="2"/>
    <s v="GNR_ENG_NGAS_BP_E-41"/>
    <n v="105.58"/>
    <n v="0.10557999999999999"/>
  </r>
  <r>
    <x v="0"/>
    <x v="0"/>
    <x v="10"/>
    <x v="20"/>
    <s v="DK1_Small"/>
    <x v="2"/>
    <s v="GNR_ENG_NGAS_BP_E-41"/>
    <n v="1.48"/>
    <n v="1.48E-3"/>
  </r>
  <r>
    <x v="0"/>
    <x v="0"/>
    <x v="10"/>
    <x v="20"/>
    <s v="DK2_Rural"/>
    <x v="2"/>
    <s v="GNR_ENG_NGAS_BP_E-41"/>
    <n v="5.4359999999999999"/>
    <n v="5.4359999999999999E-3"/>
  </r>
  <r>
    <x v="0"/>
    <x v="0"/>
    <x v="10"/>
    <x v="21"/>
    <s v="DK2_Medium"/>
    <x v="2"/>
    <s v="GNR_ENG_NGAS_BP_E-41"/>
    <n v="3.1"/>
    <n v="3.0999999999999999E-3"/>
  </r>
  <r>
    <x v="0"/>
    <x v="0"/>
    <x v="10"/>
    <x v="21"/>
    <s v="DK2_NoDH"/>
    <x v="2"/>
    <s v="GNR_ENG_NGAS_BP_E-41"/>
    <n v="16.46"/>
    <n v="1.6459999999999999E-2"/>
  </r>
  <r>
    <x v="0"/>
    <x v="0"/>
    <x v="10"/>
    <x v="21"/>
    <s v="DK2_Rural"/>
    <x v="2"/>
    <s v="GNR_ENG_NGAS_BP_E-41"/>
    <n v="5.4359999999999999"/>
    <n v="5.4359999999999999E-3"/>
  </r>
  <r>
    <x v="0"/>
    <x v="1"/>
    <x v="10"/>
    <x v="20"/>
    <s v="DK1_MedSmall"/>
    <x v="2"/>
    <s v="GNR_ENG_NGAS_BP_E-41"/>
    <n v="3.02"/>
    <n v="3.0200000000000001E-3"/>
  </r>
  <r>
    <x v="0"/>
    <x v="1"/>
    <x v="10"/>
    <x v="20"/>
    <s v="DK1_Medium"/>
    <x v="2"/>
    <s v="GNR_ENG_NGAS_BP_E-41"/>
    <n v="4.3"/>
    <n v="4.3E-3"/>
  </r>
  <r>
    <x v="0"/>
    <x v="1"/>
    <x v="10"/>
    <x v="20"/>
    <s v="DK1_NoDH"/>
    <x v="2"/>
    <s v="GNR_ENG_NGAS_BP_E-41"/>
    <n v="2.87"/>
    <n v="2.8700000000000002E-3"/>
  </r>
  <r>
    <x v="0"/>
    <x v="1"/>
    <x v="10"/>
    <x v="20"/>
    <s v="DK1_Rural"/>
    <x v="2"/>
    <s v="GNR_ENG_NGAS_BP_E-41"/>
    <n v="14.65"/>
    <n v="1.465E-2"/>
  </r>
  <r>
    <x v="0"/>
    <x v="1"/>
    <x v="10"/>
    <x v="21"/>
    <s v="DK2_NoDH"/>
    <x v="2"/>
    <s v="GNR_ENG_NGAS_BP_E-41"/>
    <n v="1.1000000000000001"/>
    <n v="1.1000000000000001E-3"/>
  </r>
  <r>
    <x v="0"/>
    <x v="0"/>
    <x v="10"/>
    <x v="20"/>
    <s v="DK1_Large"/>
    <x v="2"/>
    <s v="GNR_ENG_NGAS_BP_E-42"/>
    <n v="2.2599999999999998"/>
    <n v="2.2599999999999999E-3"/>
  </r>
  <r>
    <x v="0"/>
    <x v="0"/>
    <x v="10"/>
    <x v="20"/>
    <s v="DK1_Medium"/>
    <x v="2"/>
    <s v="GNR_ENG_NGAS_BP_E-42"/>
    <n v="10.029999999999999"/>
    <n v="1.0030000000000001E-2"/>
  </r>
  <r>
    <x v="0"/>
    <x v="0"/>
    <x v="10"/>
    <x v="20"/>
    <s v="DK1_NoDH"/>
    <x v="2"/>
    <s v="GNR_ENG_NGAS_BP_E-42"/>
    <n v="11.12"/>
    <n v="1.112E-2"/>
  </r>
  <r>
    <x v="0"/>
    <x v="0"/>
    <x v="10"/>
    <x v="20"/>
    <s v="DK1_Rural"/>
    <x v="2"/>
    <s v="GNR_ENG_NGAS_BP_E-42"/>
    <n v="76.742000000000004"/>
    <n v="7.6742000000000005E-2"/>
  </r>
  <r>
    <x v="0"/>
    <x v="0"/>
    <x v="10"/>
    <x v="20"/>
    <s v="DK1_Small"/>
    <x v="2"/>
    <s v="GNR_ENG_NGAS_BP_E-42"/>
    <n v="14.1"/>
    <n v="1.41E-2"/>
  </r>
  <r>
    <x v="0"/>
    <x v="0"/>
    <x v="10"/>
    <x v="20"/>
    <s v="DK2_Rural"/>
    <x v="2"/>
    <s v="GNR_ENG_NGAS_BP_E-42"/>
    <n v="1.52"/>
    <n v="1.5200000000000001E-3"/>
  </r>
  <r>
    <x v="0"/>
    <x v="0"/>
    <x v="10"/>
    <x v="21"/>
    <s v="DK2_MedSmall"/>
    <x v="2"/>
    <s v="GNR_ENG_NGAS_BP_E-42"/>
    <n v="3.1"/>
    <n v="3.0999999999999999E-3"/>
  </r>
  <r>
    <x v="0"/>
    <x v="0"/>
    <x v="10"/>
    <x v="21"/>
    <s v="DK2_Medium"/>
    <x v="2"/>
    <s v="GNR_ENG_NGAS_BP_E-42"/>
    <n v="2"/>
    <n v="2E-3"/>
  </r>
  <r>
    <x v="0"/>
    <x v="0"/>
    <x v="10"/>
    <x v="21"/>
    <s v="DK2_Rural"/>
    <x v="2"/>
    <s v="GNR_ENG_NGAS_BP_E-42"/>
    <n v="1.52"/>
    <n v="1.5200000000000001E-3"/>
  </r>
  <r>
    <x v="0"/>
    <x v="1"/>
    <x v="10"/>
    <x v="20"/>
    <s v="DK1_Large"/>
    <x v="2"/>
    <s v="GNR_ENG_NGAS_BP_E-42"/>
    <n v="2.2599999999999998"/>
    <n v="2.2599999999999999E-3"/>
  </r>
  <r>
    <x v="0"/>
    <x v="1"/>
    <x v="10"/>
    <x v="20"/>
    <s v="DK1_Medium"/>
    <x v="2"/>
    <s v="GNR_ENG_NGAS_BP_E-42"/>
    <n v="6.2"/>
    <n v="6.1999999999999998E-3"/>
  </r>
  <r>
    <x v="0"/>
    <x v="1"/>
    <x v="10"/>
    <x v="20"/>
    <s v="DK1_NoDH"/>
    <x v="2"/>
    <s v="GNR_ENG_NGAS_BP_E-42"/>
    <n v="0.91"/>
    <n v="9.1E-4"/>
  </r>
  <r>
    <x v="0"/>
    <x v="1"/>
    <x v="10"/>
    <x v="20"/>
    <s v="DK1_Rural"/>
    <x v="2"/>
    <s v="GNR_ENG_NGAS_BP_E-42"/>
    <n v="33.902000000000001"/>
    <n v="3.3902000000000002E-2"/>
  </r>
  <r>
    <x v="0"/>
    <x v="1"/>
    <x v="10"/>
    <x v="21"/>
    <s v="DK2_Medium"/>
    <x v="2"/>
    <s v="GNR_ENG_NGAS_BP_E-42"/>
    <n v="2"/>
    <n v="2E-3"/>
  </r>
  <r>
    <x v="0"/>
    <x v="0"/>
    <x v="10"/>
    <x v="20"/>
    <s v="DK1_Large"/>
    <x v="2"/>
    <s v="GNR_ENG_NGAS_BP_E-43"/>
    <n v="8.99"/>
    <n v="8.9899999999999997E-3"/>
  </r>
  <r>
    <x v="0"/>
    <x v="0"/>
    <x v="10"/>
    <x v="20"/>
    <s v="DK1_Medium"/>
    <x v="2"/>
    <s v="GNR_ENG_NGAS_BP_E-43"/>
    <n v="1.42"/>
    <n v="1.42E-3"/>
  </r>
  <r>
    <x v="0"/>
    <x v="0"/>
    <x v="10"/>
    <x v="20"/>
    <s v="DK1_NoDH"/>
    <x v="2"/>
    <s v="GNR_ENG_NGAS_BP_E-43"/>
    <n v="12.340999999999999"/>
    <n v="1.2341E-2"/>
  </r>
  <r>
    <x v="0"/>
    <x v="0"/>
    <x v="10"/>
    <x v="20"/>
    <s v="DK1_Rural"/>
    <x v="2"/>
    <s v="GNR_ENG_NGAS_BP_E-43"/>
    <n v="48.531999999999996"/>
    <n v="4.8531999999999999E-2"/>
  </r>
  <r>
    <x v="0"/>
    <x v="0"/>
    <x v="10"/>
    <x v="20"/>
    <s v="DK2_Rural"/>
    <x v="2"/>
    <s v="GNR_ENG_NGAS_BP_E-43"/>
    <n v="2.4769999999999999"/>
    <n v="2.477E-3"/>
  </r>
  <r>
    <x v="0"/>
    <x v="0"/>
    <x v="10"/>
    <x v="21"/>
    <s v="DK2_Rural"/>
    <x v="2"/>
    <s v="GNR_ENG_NGAS_BP_E-43"/>
    <n v="2.4769999999999999"/>
    <n v="2.477E-3"/>
  </r>
  <r>
    <x v="0"/>
    <x v="1"/>
    <x v="10"/>
    <x v="20"/>
    <s v="DK1_Large"/>
    <x v="2"/>
    <s v="GNR_ENG_NGAS_BP_E-43"/>
    <n v="3.04"/>
    <n v="3.0400000000000002E-3"/>
  </r>
  <r>
    <x v="0"/>
    <x v="1"/>
    <x v="10"/>
    <x v="20"/>
    <s v="DK1_Medium"/>
    <x v="2"/>
    <s v="GNR_ENG_NGAS_BP_E-43"/>
    <n v="1.42"/>
    <n v="1.42E-3"/>
  </r>
  <r>
    <x v="0"/>
    <x v="1"/>
    <x v="10"/>
    <x v="20"/>
    <s v="DK1_NoDH"/>
    <x v="2"/>
    <s v="GNR_ENG_NGAS_BP_E-43"/>
    <n v="9.141"/>
    <n v="9.1409999999999998E-3"/>
  </r>
  <r>
    <x v="0"/>
    <x v="1"/>
    <x v="10"/>
    <x v="20"/>
    <s v="DK1_Rural"/>
    <x v="2"/>
    <s v="GNR_ENG_NGAS_BP_E-43"/>
    <n v="15.832000000000001"/>
    <n v="1.5831999999999999E-2"/>
  </r>
  <r>
    <x v="0"/>
    <x v="0"/>
    <x v="10"/>
    <x v="20"/>
    <s v="DK1_Large"/>
    <x v="2"/>
    <s v="GNR_ENG_NGAS_BP_E-44"/>
    <n v="3.14"/>
    <n v="3.14E-3"/>
  </r>
  <r>
    <x v="0"/>
    <x v="0"/>
    <x v="10"/>
    <x v="20"/>
    <s v="DK1_Medium"/>
    <x v="2"/>
    <s v="GNR_ENG_NGAS_BP_E-44"/>
    <n v="4.68"/>
    <n v="4.6800000000000001E-3"/>
  </r>
  <r>
    <x v="0"/>
    <x v="0"/>
    <x v="10"/>
    <x v="20"/>
    <s v="DK1_Rural"/>
    <x v="2"/>
    <s v="GNR_ENG_NGAS_BP_E-44"/>
    <n v="54.03"/>
    <n v="5.4030000000000002E-2"/>
  </r>
  <r>
    <x v="0"/>
    <x v="1"/>
    <x v="10"/>
    <x v="20"/>
    <s v="DK1_Medium"/>
    <x v="2"/>
    <s v="GNR_ENG_NGAS_BP_E-44"/>
    <n v="4.68"/>
    <n v="4.6800000000000001E-3"/>
  </r>
  <r>
    <x v="0"/>
    <x v="1"/>
    <x v="10"/>
    <x v="20"/>
    <s v="DK1_Rural"/>
    <x v="2"/>
    <s v="GNR_ENG_NGAS_BP_E-44"/>
    <n v="13.16"/>
    <n v="1.316E-2"/>
  </r>
  <r>
    <x v="0"/>
    <x v="0"/>
    <x v="10"/>
    <x v="20"/>
    <s v="DK1_Rural"/>
    <x v="2"/>
    <s v="GNR_ENG_NGAS_BP_E-45"/>
    <n v="10.44"/>
    <n v="1.044E-2"/>
  </r>
  <r>
    <x v="0"/>
    <x v="0"/>
    <x v="10"/>
    <x v="20"/>
    <s v="DK2_Rural"/>
    <x v="2"/>
    <s v="GNR_ENG_NGAS_BP_E-45"/>
    <n v="0.5"/>
    <n v="5.0000000000000001E-4"/>
  </r>
  <r>
    <x v="0"/>
    <x v="0"/>
    <x v="10"/>
    <x v="21"/>
    <s v="DK2_Rural"/>
    <x v="2"/>
    <s v="GNR_ENG_NGAS_BP_E-45"/>
    <n v="0.5"/>
    <n v="5.0000000000000001E-4"/>
  </r>
  <r>
    <x v="0"/>
    <x v="1"/>
    <x v="10"/>
    <x v="20"/>
    <s v="DK1_Rural"/>
    <x v="2"/>
    <s v="GNR_ENG_NGAS_BP_E-45"/>
    <n v="5.0999999999999996"/>
    <n v="5.1000000000000004E-3"/>
  </r>
  <r>
    <x v="0"/>
    <x v="1"/>
    <x v="10"/>
    <x v="20"/>
    <s v="DK2_Rural"/>
    <x v="2"/>
    <s v="GNR_ENG_NGAS_BP_E-45"/>
    <n v="0.5"/>
    <n v="5.0000000000000001E-4"/>
  </r>
  <r>
    <x v="0"/>
    <x v="1"/>
    <x v="10"/>
    <x v="21"/>
    <s v="DK2_Rural"/>
    <x v="2"/>
    <s v="GNR_ENG_NGAS_BP_E-45"/>
    <n v="0.5"/>
    <n v="5.0000000000000001E-4"/>
  </r>
  <r>
    <x v="0"/>
    <x v="0"/>
    <x v="10"/>
    <x v="20"/>
    <s v="DK1_Large"/>
    <x v="2"/>
    <s v="GNR_ENG_NGAS_BP_E-46"/>
    <n v="2.92"/>
    <n v="2.9199999999999999E-3"/>
  </r>
  <r>
    <x v="0"/>
    <x v="0"/>
    <x v="10"/>
    <x v="20"/>
    <s v="DK1_MedSmall"/>
    <x v="2"/>
    <s v="GNR_ENG_NGAS_BP_E-46"/>
    <n v="2.21"/>
    <n v="2.2100000000000002E-3"/>
  </r>
  <r>
    <x v="0"/>
    <x v="0"/>
    <x v="10"/>
    <x v="20"/>
    <s v="DK1_NoDH"/>
    <x v="2"/>
    <s v="GNR_ENG_NGAS_BP_E-46"/>
    <n v="4.8049999999999997"/>
    <n v="4.8050000000000002E-3"/>
  </r>
  <r>
    <x v="0"/>
    <x v="0"/>
    <x v="10"/>
    <x v="20"/>
    <s v="DK1_Rural"/>
    <x v="2"/>
    <s v="GNR_ENG_NGAS_BP_E-46"/>
    <n v="21.64"/>
    <n v="2.164E-2"/>
  </r>
  <r>
    <x v="0"/>
    <x v="0"/>
    <x v="10"/>
    <x v="20"/>
    <s v="DK2_Rural"/>
    <x v="2"/>
    <s v="GNR_ENG_NGAS_BP_E-46"/>
    <n v="0.55000000000000004"/>
    <n v="5.5000000000000003E-4"/>
  </r>
  <r>
    <x v="0"/>
    <x v="0"/>
    <x v="10"/>
    <x v="21"/>
    <s v="DK2_NoDH"/>
    <x v="2"/>
    <s v="GNR_ENG_NGAS_BP_E-46"/>
    <n v="9.44"/>
    <n v="9.4400000000000005E-3"/>
  </r>
  <r>
    <x v="0"/>
    <x v="0"/>
    <x v="10"/>
    <x v="21"/>
    <s v="DK2_Rural"/>
    <x v="2"/>
    <s v="GNR_ENG_NGAS_BP_E-46"/>
    <n v="0.55000000000000004"/>
    <n v="5.5000000000000003E-4"/>
  </r>
  <r>
    <x v="0"/>
    <x v="0"/>
    <x v="10"/>
    <x v="21"/>
    <s v="DK2_Small"/>
    <x v="2"/>
    <s v="GNR_ENG_NGAS_BP_E-46"/>
    <n v="38.5"/>
    <n v="3.85E-2"/>
  </r>
  <r>
    <x v="0"/>
    <x v="0"/>
    <x v="9"/>
    <x v="18"/>
    <s v="DE4-S_A"/>
    <x v="2"/>
    <s v="GNR_ENG_NGAS_BP_E-46"/>
    <n v="33.1"/>
    <n v="3.3099999999999997E-2"/>
  </r>
  <r>
    <x v="0"/>
    <x v="1"/>
    <x v="10"/>
    <x v="20"/>
    <s v="DK1_Large"/>
    <x v="2"/>
    <s v="GNR_ENG_NGAS_BP_E-46"/>
    <n v="0.73"/>
    <n v="7.2999999999999996E-4"/>
  </r>
  <r>
    <x v="0"/>
    <x v="1"/>
    <x v="10"/>
    <x v="20"/>
    <s v="DK1_NoDH"/>
    <x v="2"/>
    <s v="GNR_ENG_NGAS_BP_E-46"/>
    <n v="1.4999999999999999E-2"/>
    <n v="1.5E-5"/>
  </r>
  <r>
    <x v="0"/>
    <x v="1"/>
    <x v="10"/>
    <x v="20"/>
    <s v="DK1_Rural"/>
    <x v="2"/>
    <s v="GNR_ENG_NGAS_BP_E-46"/>
    <n v="1.82"/>
    <n v="1.82E-3"/>
  </r>
  <r>
    <x v="0"/>
    <x v="1"/>
    <x v="10"/>
    <x v="21"/>
    <s v="DK2_NoDH"/>
    <x v="2"/>
    <s v="GNR_ENG_NGAS_BP_E-46"/>
    <n v="1.3"/>
    <n v="1.2999999999999999E-3"/>
  </r>
  <r>
    <x v="0"/>
    <x v="1"/>
    <x v="9"/>
    <x v="18"/>
    <s v="DE4-S_A"/>
    <x v="2"/>
    <s v="GNR_ENG_NGAS_BP_E-46"/>
    <n v="33.1"/>
    <n v="3.3099999999999997E-2"/>
  </r>
  <r>
    <x v="0"/>
    <x v="0"/>
    <x v="10"/>
    <x v="20"/>
    <s v="DK1_Rural"/>
    <x v="2"/>
    <s v="GNR_ENG_NGAS_BP_E-47"/>
    <n v="3.7"/>
    <n v="3.7000000000000002E-3"/>
  </r>
  <r>
    <x v="0"/>
    <x v="0"/>
    <x v="10"/>
    <x v="20"/>
    <s v="DK1_NoDH"/>
    <x v="2"/>
    <s v="GNR_ENG_NGAS_CND_E-41"/>
    <n v="40.799999999999997"/>
    <n v="4.0800000000000003E-2"/>
  </r>
  <r>
    <x v="0"/>
    <x v="1"/>
    <x v="10"/>
    <x v="20"/>
    <s v="DK1_NoDH"/>
    <x v="2"/>
    <s v="GNR_ENG_NGAS_CND_E-41"/>
    <n v="40.799999999999997"/>
    <n v="4.0800000000000003E-2"/>
  </r>
  <r>
    <x v="0"/>
    <x v="0"/>
    <x v="9"/>
    <x v="19"/>
    <s v="DE4-W_A"/>
    <x v="2"/>
    <s v="GNR_ENG_NGAS_CND_E-44"/>
    <n v="14"/>
    <n v="1.4E-2"/>
  </r>
  <r>
    <x v="0"/>
    <x v="0"/>
    <x v="10"/>
    <x v="20"/>
    <s v="DK1_NoDH"/>
    <x v="2"/>
    <s v="GNR_ENG_NGAS_CND_E-46"/>
    <n v="0.64"/>
    <n v="6.4000000000000005E-4"/>
  </r>
  <r>
    <x v="0"/>
    <x v="1"/>
    <x v="10"/>
    <x v="20"/>
    <s v="DK1_NoDH"/>
    <x v="2"/>
    <s v="GNR_ENG_NGAS_CND_E-46"/>
    <n v="0.64"/>
    <n v="6.4000000000000005E-4"/>
  </r>
  <r>
    <x v="0"/>
    <x v="0"/>
    <x v="9"/>
    <x v="16"/>
    <s v="DE4-E_A"/>
    <x v="22"/>
    <s v="GNR_GEO_HEAT_EO"/>
    <n v="0.22"/>
    <n v="2.2000000000000001E-4"/>
  </r>
  <r>
    <x v="0"/>
    <x v="0"/>
    <x v="9"/>
    <x v="18"/>
    <s v="DE4-S_A"/>
    <x v="22"/>
    <s v="GNR_GEO_HEAT_EO"/>
    <n v="44.76"/>
    <n v="4.4760000000000001E-2"/>
  </r>
  <r>
    <x v="0"/>
    <x v="1"/>
    <x v="9"/>
    <x v="17"/>
    <s v="DE4-N_A"/>
    <x v="22"/>
    <s v="GNR_GEO_HEAT_EO"/>
    <n v="0.01"/>
    <n v="1.0000000000000001E-5"/>
  </r>
  <r>
    <x v="0"/>
    <x v="1"/>
    <x v="9"/>
    <x v="18"/>
    <s v="DE4-S_A"/>
    <x v="22"/>
    <s v="GNR_GEO_HEAT_EO"/>
    <n v="44.76"/>
    <n v="4.4760000000000001E-2"/>
  </r>
  <r>
    <x v="0"/>
    <x v="0"/>
    <x v="9"/>
    <x v="16"/>
    <s v="DE4-E_A"/>
    <x v="1"/>
    <s v="GNR_GT_FUELOIL_CND_E-30"/>
    <n v="51"/>
    <n v="5.0999999999999997E-2"/>
  </r>
  <r>
    <x v="0"/>
    <x v="0"/>
    <x v="9"/>
    <x v="17"/>
    <s v="DE4-N_A"/>
    <x v="1"/>
    <s v="GNR_GT_FUELOIL_CND_E-31"/>
    <n v="355"/>
    <n v="0.35499999999999998"/>
  </r>
  <r>
    <x v="0"/>
    <x v="0"/>
    <x v="9"/>
    <x v="19"/>
    <s v="DE4-W_A"/>
    <x v="1"/>
    <s v="GNR_GT_FUELOIL_CND_E-31"/>
    <n v="230.2"/>
    <n v="0.23019999999999999"/>
  </r>
  <r>
    <x v="0"/>
    <x v="0"/>
    <x v="9"/>
    <x v="18"/>
    <s v="DE4-S_A"/>
    <x v="1"/>
    <s v="GNR_GT_FUELOIL_CND_E-32"/>
    <n v="422.1"/>
    <n v="0.42209999999999998"/>
  </r>
  <r>
    <x v="0"/>
    <x v="0"/>
    <x v="9"/>
    <x v="18"/>
    <s v="DE4-S_A"/>
    <x v="1"/>
    <s v="GNR_GT_FUELOIL_CND_E-35"/>
    <n v="24"/>
    <n v="2.4E-2"/>
  </r>
  <r>
    <x v="0"/>
    <x v="0"/>
    <x v="9"/>
    <x v="16"/>
    <s v="DE4-E_A"/>
    <x v="1"/>
    <s v="GNR_GT_FUELOIL_CND_E-36"/>
    <n v="120"/>
    <n v="0.12"/>
  </r>
  <r>
    <x v="0"/>
    <x v="0"/>
    <x v="10"/>
    <x v="20"/>
    <s v="DK1_Large"/>
    <x v="21"/>
    <s v="GNR_GT_LIGHTOIL_CND_E-26"/>
    <n v="14"/>
    <n v="1.4E-2"/>
  </r>
  <r>
    <x v="0"/>
    <x v="0"/>
    <x v="10"/>
    <x v="20"/>
    <s v="DK2_Rural"/>
    <x v="21"/>
    <s v="GNR_GT_LIGHTOIL_CND_E-27"/>
    <n v="70"/>
    <n v="7.0000000000000007E-2"/>
  </r>
  <r>
    <x v="0"/>
    <x v="0"/>
    <x v="10"/>
    <x v="21"/>
    <s v="DK2_Medium"/>
    <x v="21"/>
    <s v="GNR_GT_LIGHTOIL_CND_E-27"/>
    <n v="63"/>
    <n v="6.3E-2"/>
  </r>
  <r>
    <x v="0"/>
    <x v="0"/>
    <x v="10"/>
    <x v="21"/>
    <s v="DK2_Rural"/>
    <x v="21"/>
    <s v="GNR_GT_LIGHTOIL_CND_E-27"/>
    <n v="70"/>
    <n v="7.0000000000000007E-2"/>
  </r>
  <r>
    <x v="0"/>
    <x v="0"/>
    <x v="10"/>
    <x v="20"/>
    <s v="DK1_Large"/>
    <x v="2"/>
    <s v="GNR_GT_NGAS_BP_E-27"/>
    <n v="26"/>
    <n v="2.5999999999999999E-2"/>
  </r>
  <r>
    <x v="0"/>
    <x v="0"/>
    <x v="10"/>
    <x v="20"/>
    <s v="DK1_NoDH"/>
    <x v="2"/>
    <s v="GNR_GT_NGAS_BP_E-28"/>
    <n v="34.9"/>
    <n v="3.49E-2"/>
  </r>
  <r>
    <x v="0"/>
    <x v="0"/>
    <x v="10"/>
    <x v="20"/>
    <s v="DK1_Rural"/>
    <x v="2"/>
    <s v="GNR_GT_NGAS_BP_E-28"/>
    <n v="7.4"/>
    <n v="7.4000000000000003E-3"/>
  </r>
  <r>
    <x v="0"/>
    <x v="0"/>
    <x v="10"/>
    <x v="21"/>
    <s v="DK2_NoDH"/>
    <x v="2"/>
    <s v="GNR_GT_NGAS_BP_E-28"/>
    <n v="4.9000000000000004"/>
    <n v="4.8999999999999998E-3"/>
  </r>
  <r>
    <x v="0"/>
    <x v="1"/>
    <x v="10"/>
    <x v="20"/>
    <s v="DK1_NoDH"/>
    <x v="2"/>
    <s v="GNR_GT_NGAS_BP_E-28"/>
    <n v="19.600000000000001"/>
    <n v="1.9599999999999999E-2"/>
  </r>
  <r>
    <x v="0"/>
    <x v="0"/>
    <x v="10"/>
    <x v="20"/>
    <s v="DK1_Rural"/>
    <x v="2"/>
    <s v="GNR_GT_NGAS_BP_E-30"/>
    <n v="6.3"/>
    <n v="6.3E-3"/>
  </r>
  <r>
    <x v="0"/>
    <x v="0"/>
    <x v="10"/>
    <x v="20"/>
    <s v="DK1_MedSmall"/>
    <x v="2"/>
    <s v="GNR_GT_NGAS_BP_E-31"/>
    <n v="17"/>
    <n v="1.7000000000000001E-2"/>
  </r>
  <r>
    <x v="0"/>
    <x v="0"/>
    <x v="10"/>
    <x v="20"/>
    <s v="DK1_Medium"/>
    <x v="2"/>
    <s v="GNR_GT_NGAS_BP_E-31"/>
    <n v="9"/>
    <n v="8.9999999999999993E-3"/>
  </r>
  <r>
    <x v="0"/>
    <x v="0"/>
    <x v="10"/>
    <x v="20"/>
    <s v="DK1_Small"/>
    <x v="2"/>
    <s v="GNR_GT_NGAS_BP_E-31"/>
    <n v="6.2"/>
    <n v="6.1999999999999998E-3"/>
  </r>
  <r>
    <x v="0"/>
    <x v="0"/>
    <x v="9"/>
    <x v="19"/>
    <s v="DE4-W_A"/>
    <x v="2"/>
    <s v="GNR_GT_NGAS_BP_E-31"/>
    <n v="104"/>
    <n v="0.104"/>
  </r>
  <r>
    <x v="0"/>
    <x v="0"/>
    <x v="9"/>
    <x v="18"/>
    <s v="DE4-S_A"/>
    <x v="2"/>
    <s v="GNR_GT_NGAS_BP_E-32"/>
    <n v="80"/>
    <n v="0.08"/>
  </r>
  <r>
    <x v="0"/>
    <x v="0"/>
    <x v="10"/>
    <x v="20"/>
    <s v="DK1_NoDH"/>
    <x v="2"/>
    <s v="GNR_GT_NGAS_BP_E-33"/>
    <n v="5.3"/>
    <n v="5.3E-3"/>
  </r>
  <r>
    <x v="0"/>
    <x v="0"/>
    <x v="10"/>
    <x v="20"/>
    <s v="DK1_NoDH"/>
    <x v="2"/>
    <s v="GNR_GT_NGAS_BP_E-36"/>
    <n v="4"/>
    <n v="4.0000000000000001E-3"/>
  </r>
  <r>
    <x v="0"/>
    <x v="0"/>
    <x v="10"/>
    <x v="21"/>
    <s v="DK2_Large"/>
    <x v="2"/>
    <s v="GNR_GT_NGAS_BP_E-36"/>
    <n v="23.2"/>
    <n v="2.3199999999999998E-2"/>
  </r>
  <r>
    <x v="0"/>
    <x v="1"/>
    <x v="10"/>
    <x v="20"/>
    <s v="DK1_NoDH"/>
    <x v="2"/>
    <s v="GNR_GT_NGAS_BP_E-36"/>
    <n v="4"/>
    <n v="4.0000000000000001E-3"/>
  </r>
  <r>
    <x v="0"/>
    <x v="0"/>
    <x v="9"/>
    <x v="18"/>
    <s v="DE4-S_A"/>
    <x v="2"/>
    <s v="GNR_GT_NGAS_BP_E-37"/>
    <n v="178.8"/>
    <n v="0.17879999999999999"/>
  </r>
  <r>
    <x v="0"/>
    <x v="0"/>
    <x v="9"/>
    <x v="16"/>
    <s v="DE4-E_A"/>
    <x v="2"/>
    <s v="GNR_GT_NGAS_BP_E-38"/>
    <n v="225.7"/>
    <n v="0.22570000000000001"/>
  </r>
  <r>
    <x v="0"/>
    <x v="0"/>
    <x v="9"/>
    <x v="19"/>
    <s v="DE4-W_A"/>
    <x v="2"/>
    <s v="GNR_GT_NGAS_BP_E-39"/>
    <n v="249.9"/>
    <n v="0.24990000000000001"/>
  </r>
  <r>
    <x v="0"/>
    <x v="1"/>
    <x v="9"/>
    <x v="19"/>
    <s v="DE4-W_A"/>
    <x v="2"/>
    <s v="GNR_GT_NGAS_BP_E-39"/>
    <n v="127.2"/>
    <n v="0.12720000000000001"/>
  </r>
  <r>
    <x v="0"/>
    <x v="0"/>
    <x v="10"/>
    <x v="20"/>
    <s v="DK1_Rural"/>
    <x v="2"/>
    <s v="GNR_GT_NGAS_BP_E-41"/>
    <n v="6"/>
    <n v="6.0000000000000001E-3"/>
  </r>
  <r>
    <x v="0"/>
    <x v="0"/>
    <x v="10"/>
    <x v="21"/>
    <s v="DK2_Medium"/>
    <x v="2"/>
    <s v="GNR_GT_NGAS_BP_E-42"/>
    <n v="59"/>
    <n v="5.8999999999999997E-2"/>
  </r>
  <r>
    <x v="0"/>
    <x v="0"/>
    <x v="10"/>
    <x v="20"/>
    <s v="DK1_Medium"/>
    <x v="2"/>
    <s v="GNR_GT_NGAS_BP_E-43"/>
    <n v="82.15"/>
    <n v="8.2150000000000001E-2"/>
  </r>
  <r>
    <x v="0"/>
    <x v="0"/>
    <x v="10"/>
    <x v="20"/>
    <s v="DK1_Medium"/>
    <x v="2"/>
    <s v="GNR_GT_NGAS_BP_E-44"/>
    <n v="57"/>
    <n v="5.7000000000000002E-2"/>
  </r>
  <r>
    <x v="0"/>
    <x v="0"/>
    <x v="10"/>
    <x v="21"/>
    <s v="DK2_Medium"/>
    <x v="2"/>
    <s v="GNR_GT_NGAS_BP_E-44"/>
    <n v="77"/>
    <n v="7.6999999999999999E-2"/>
  </r>
  <r>
    <x v="0"/>
    <x v="0"/>
    <x v="10"/>
    <x v="20"/>
    <s v="DK1_Medium"/>
    <x v="2"/>
    <s v="GNR_GT_NGAS_BP_E-47"/>
    <n v="108.55"/>
    <n v="0.10854999999999999"/>
  </r>
  <r>
    <x v="0"/>
    <x v="0"/>
    <x v="9"/>
    <x v="18"/>
    <s v="DE4-S_A"/>
    <x v="2"/>
    <s v="GNR_GT_NGAS_CND_E-31"/>
    <n v="323"/>
    <n v="0.32300000000000001"/>
  </r>
  <r>
    <x v="0"/>
    <x v="0"/>
    <x v="9"/>
    <x v="19"/>
    <s v="DE4-W_A"/>
    <x v="2"/>
    <s v="GNR_GT_NGAS_CND_E-32"/>
    <n v="581.4"/>
    <n v="0.58140000000000003"/>
  </r>
  <r>
    <x v="0"/>
    <x v="0"/>
    <x v="9"/>
    <x v="16"/>
    <s v="DE4-E_A"/>
    <x v="2"/>
    <s v="GNR_GT_NGAS_CND_E-35"/>
    <n v="446"/>
    <n v="0.44600000000000001"/>
  </r>
  <r>
    <x v="0"/>
    <x v="0"/>
    <x v="9"/>
    <x v="19"/>
    <s v="DE4-W_A"/>
    <x v="2"/>
    <s v="GNR_GT_NGAS_CND_E-40"/>
    <n v="865"/>
    <n v="0.86499999999999999"/>
  </r>
  <r>
    <x v="0"/>
    <x v="1"/>
    <x v="9"/>
    <x v="19"/>
    <s v="DE4-W_A"/>
    <x v="2"/>
    <s v="GNR_GT_NGAS_CND_E-40"/>
    <n v="544"/>
    <n v="0.54400000000000004"/>
  </r>
  <r>
    <x v="0"/>
    <x v="0"/>
    <x v="10"/>
    <x v="20"/>
    <s v="DK1_Rural"/>
    <x v="17"/>
    <s v="GNR_HP_ELEC_COP-300"/>
    <n v="1.5"/>
    <n v="1.5E-3"/>
  </r>
  <r>
    <x v="0"/>
    <x v="0"/>
    <x v="10"/>
    <x v="21"/>
    <s v="DK2_Large"/>
    <x v="17"/>
    <s v="GNR_HP_ELEC_COP-300"/>
    <n v="0.34"/>
    <n v="3.4000000000000002E-4"/>
  </r>
  <r>
    <x v="0"/>
    <x v="1"/>
    <x v="10"/>
    <x v="20"/>
    <s v="DK1_Rural"/>
    <x v="17"/>
    <s v="GNR_HP_ELEC_COP-300"/>
    <n v="1.5"/>
    <n v="1.5E-3"/>
  </r>
  <r>
    <x v="0"/>
    <x v="1"/>
    <x v="10"/>
    <x v="21"/>
    <s v="DK2_Large"/>
    <x v="17"/>
    <s v="GNR_HP_ELEC_COP-300"/>
    <n v="0.34"/>
    <n v="3.4000000000000002E-4"/>
  </r>
  <r>
    <x v="0"/>
    <x v="0"/>
    <x v="10"/>
    <x v="20"/>
    <s v="DK1_Rural"/>
    <x v="17"/>
    <s v="GNR_HP_ELEC_COP-350"/>
    <n v="2.1890000000000001"/>
    <n v="2.189E-3"/>
  </r>
  <r>
    <x v="0"/>
    <x v="1"/>
    <x v="10"/>
    <x v="20"/>
    <s v="DK1_Rural"/>
    <x v="17"/>
    <s v="GNR_HP_ELEC_COP-350"/>
    <n v="2.1890000000000001"/>
    <n v="2.189E-3"/>
  </r>
  <r>
    <x v="0"/>
    <x v="0"/>
    <x v="10"/>
    <x v="20"/>
    <s v="DK1_Rural"/>
    <x v="17"/>
    <s v="GNR_HP_ELEC_COP-400"/>
    <n v="2.048"/>
    <n v="2.0479999999999999E-3"/>
  </r>
  <r>
    <x v="0"/>
    <x v="0"/>
    <x v="10"/>
    <x v="20"/>
    <s v="DK2_Rural"/>
    <x v="17"/>
    <s v="GNR_HP_ELEC_COP-400"/>
    <n v="0.8"/>
    <n v="8.0000000000000004E-4"/>
  </r>
  <r>
    <x v="0"/>
    <x v="0"/>
    <x v="10"/>
    <x v="21"/>
    <s v="DK2_Rural"/>
    <x v="17"/>
    <s v="GNR_HP_ELEC_COP-400"/>
    <n v="0.8"/>
    <n v="8.0000000000000004E-4"/>
  </r>
  <r>
    <x v="0"/>
    <x v="1"/>
    <x v="10"/>
    <x v="20"/>
    <s v="DK1_Rural"/>
    <x v="17"/>
    <s v="GNR_HP_ELEC_COP-400"/>
    <n v="2.048"/>
    <n v="2.0479999999999999E-3"/>
  </r>
  <r>
    <x v="0"/>
    <x v="1"/>
    <x v="10"/>
    <x v="20"/>
    <s v="DK2_Rural"/>
    <x v="17"/>
    <s v="GNR_HP_ELEC_COP-400"/>
    <n v="0.8"/>
    <n v="8.0000000000000004E-4"/>
  </r>
  <r>
    <x v="0"/>
    <x v="1"/>
    <x v="10"/>
    <x v="21"/>
    <s v="DK2_Rural"/>
    <x v="17"/>
    <s v="GNR_HP_ELEC_COP-400"/>
    <n v="0.8"/>
    <n v="8.0000000000000004E-4"/>
  </r>
  <r>
    <x v="0"/>
    <x v="0"/>
    <x v="10"/>
    <x v="20"/>
    <s v="DK1_Rural"/>
    <x v="17"/>
    <s v="GNR_HP_ELEC_COP-430"/>
    <n v="1.3"/>
    <n v="1.2999999999999999E-3"/>
  </r>
  <r>
    <x v="0"/>
    <x v="1"/>
    <x v="10"/>
    <x v="20"/>
    <s v="DK1_Rural"/>
    <x v="17"/>
    <s v="GNR_HP_ELEC_COP-430"/>
    <n v="1.3"/>
    <n v="1.2999999999999999E-3"/>
  </r>
  <r>
    <x v="0"/>
    <x v="0"/>
    <x v="10"/>
    <x v="20"/>
    <s v="DK1_Rural"/>
    <x v="17"/>
    <s v="GNR_HP_ELEC_COP-450"/>
    <n v="0.54"/>
    <n v="5.4000000000000001E-4"/>
  </r>
  <r>
    <x v="0"/>
    <x v="1"/>
    <x v="10"/>
    <x v="20"/>
    <s v="DK1_Rural"/>
    <x v="17"/>
    <s v="GNR_HP_ELEC_COP-450"/>
    <n v="0.54"/>
    <n v="5.4000000000000001E-4"/>
  </r>
  <r>
    <x v="0"/>
    <x v="0"/>
    <x v="10"/>
    <x v="20"/>
    <s v="DK1_Rural"/>
    <x v="17"/>
    <s v="GNR_HP_ELEC_COP-460"/>
    <n v="3.6"/>
    <n v="3.5999999999999999E-3"/>
  </r>
  <r>
    <x v="0"/>
    <x v="1"/>
    <x v="10"/>
    <x v="20"/>
    <s v="DK1_Rural"/>
    <x v="17"/>
    <s v="GNR_HP_ELEC_COP-460"/>
    <n v="3.6"/>
    <n v="3.5999999999999999E-3"/>
  </r>
  <r>
    <x v="0"/>
    <x v="0"/>
    <x v="10"/>
    <x v="20"/>
    <s v="DK1_Rural"/>
    <x v="17"/>
    <s v="GNR_HP_ELEC_COP-470"/>
    <n v="0.95"/>
    <n v="9.5E-4"/>
  </r>
  <r>
    <x v="0"/>
    <x v="1"/>
    <x v="10"/>
    <x v="20"/>
    <s v="DK1_Rural"/>
    <x v="17"/>
    <s v="GNR_HP_ELEC_COP-470"/>
    <n v="0.95"/>
    <n v="9.5E-4"/>
  </r>
  <r>
    <x v="0"/>
    <x v="0"/>
    <x v="10"/>
    <x v="20"/>
    <s v="DK1_Rural"/>
    <x v="17"/>
    <s v="GNR_HP_ELEC_COP-500"/>
    <n v="0.5"/>
    <n v="5.0000000000000001E-4"/>
  </r>
  <r>
    <x v="0"/>
    <x v="1"/>
    <x v="10"/>
    <x v="20"/>
    <s v="DK1_Rural"/>
    <x v="17"/>
    <s v="GNR_HP_ELEC_COP-500"/>
    <n v="0.5"/>
    <n v="5.0000000000000001E-4"/>
  </r>
  <r>
    <x v="0"/>
    <x v="0"/>
    <x v="10"/>
    <x v="20"/>
    <s v="DK1_Rural"/>
    <x v="17"/>
    <s v="GNR_HP_ELEC_COP-530"/>
    <n v="1.35"/>
    <n v="1.3500000000000001E-3"/>
  </r>
  <r>
    <x v="0"/>
    <x v="1"/>
    <x v="10"/>
    <x v="20"/>
    <s v="DK1_Rural"/>
    <x v="17"/>
    <s v="GNR_HP_ELEC_COP-530"/>
    <n v="1.35"/>
    <n v="1.3500000000000001E-3"/>
  </r>
  <r>
    <x v="0"/>
    <x v="0"/>
    <x v="10"/>
    <x v="20"/>
    <s v="DK1_Rural"/>
    <x v="17"/>
    <s v="GNR_HP_ELEC_COP-600"/>
    <n v="0.3"/>
    <n v="2.9999999999999997E-4"/>
  </r>
  <r>
    <x v="0"/>
    <x v="1"/>
    <x v="10"/>
    <x v="20"/>
    <s v="DK1_Rural"/>
    <x v="17"/>
    <s v="GNR_HP_ELEC_COP-600"/>
    <n v="0.3"/>
    <n v="2.9999999999999997E-4"/>
  </r>
  <r>
    <x v="0"/>
    <x v="0"/>
    <x v="10"/>
    <x v="20"/>
    <s v="DK1_NoDH"/>
    <x v="8"/>
    <s v="GNR_PV_SUN"/>
    <n v="518.50799999974299"/>
    <n v="0.51850799999974295"/>
  </r>
  <r>
    <x v="0"/>
    <x v="0"/>
    <x v="10"/>
    <x v="21"/>
    <s v="DK2_NoDH"/>
    <x v="8"/>
    <s v="GNR_PV_SUN"/>
    <n v="265.48035599999599"/>
    <n v="0.26548035599999598"/>
  </r>
  <r>
    <x v="0"/>
    <x v="0"/>
    <x v="9"/>
    <x v="16"/>
    <s v="DE4-E_A"/>
    <x v="8"/>
    <s v="GNR_PV_SUN"/>
    <n v="10550.37"/>
    <n v="10.550369999999999"/>
  </r>
  <r>
    <x v="0"/>
    <x v="0"/>
    <x v="9"/>
    <x v="17"/>
    <s v="DE4-N_A"/>
    <x v="8"/>
    <s v="GNR_PV_SUN"/>
    <n v="1605.25"/>
    <n v="1.6052500000000001"/>
  </r>
  <r>
    <x v="0"/>
    <x v="0"/>
    <x v="9"/>
    <x v="18"/>
    <s v="DE4-S_A"/>
    <x v="8"/>
    <s v="GNR_PV_SUN"/>
    <n v="19416.080000000002"/>
    <n v="19.416080000000001"/>
  </r>
  <r>
    <x v="0"/>
    <x v="0"/>
    <x v="9"/>
    <x v="19"/>
    <s v="DE4-W_A"/>
    <x v="8"/>
    <s v="GNR_PV_SUN"/>
    <n v="9797.7800000000007"/>
    <n v="9.7977799999999995"/>
  </r>
  <r>
    <x v="0"/>
    <x v="1"/>
    <x v="10"/>
    <x v="20"/>
    <s v="DK1_NoDH"/>
    <x v="8"/>
    <s v="GNR_PV_SUN"/>
    <n v="518.31289999974297"/>
    <n v="0.51831289999974295"/>
  </r>
  <r>
    <x v="0"/>
    <x v="1"/>
    <x v="10"/>
    <x v="21"/>
    <s v="DK2_NoDH"/>
    <x v="8"/>
    <s v="GNR_PV_SUN"/>
    <n v="264.56125599999598"/>
    <n v="0.26456125599999603"/>
  </r>
  <r>
    <x v="0"/>
    <x v="1"/>
    <x v="9"/>
    <x v="16"/>
    <s v="DE4-E_A"/>
    <x v="8"/>
    <s v="GNR_PV_SUN"/>
    <n v="10867.66"/>
    <n v="10.867660000000001"/>
  </r>
  <r>
    <x v="0"/>
    <x v="1"/>
    <x v="9"/>
    <x v="17"/>
    <s v="DE4-N_A"/>
    <x v="8"/>
    <s v="GNR_PV_SUN"/>
    <n v="1613.08"/>
    <n v="1.6130800000000001"/>
  </r>
  <r>
    <x v="0"/>
    <x v="1"/>
    <x v="9"/>
    <x v="18"/>
    <s v="DE4-S_A"/>
    <x v="8"/>
    <s v="GNR_PV_SUN"/>
    <n v="19821.54"/>
    <n v="19.821539999999999"/>
  </r>
  <r>
    <x v="0"/>
    <x v="1"/>
    <x v="9"/>
    <x v="19"/>
    <s v="DE4-W_A"/>
    <x v="8"/>
    <s v="GNR_PV_SUN"/>
    <n v="9976.25"/>
    <n v="9.9762500000000003"/>
  </r>
  <r>
    <x v="0"/>
    <x v="0"/>
    <x v="9"/>
    <x v="18"/>
    <s v="DE4-S_A"/>
    <x v="7"/>
    <s v="GNR_RES_WTR_NOPMP"/>
    <n v="124"/>
    <n v="0.124"/>
  </r>
  <r>
    <x v="0"/>
    <x v="1"/>
    <x v="9"/>
    <x v="18"/>
    <s v="DE4-S_A"/>
    <x v="7"/>
    <s v="GNR_RES_WTR_NOPMP"/>
    <n v="124"/>
    <n v="0.124"/>
  </r>
  <r>
    <x v="0"/>
    <x v="0"/>
    <x v="10"/>
    <x v="20"/>
    <s v="DK1_NoDH"/>
    <x v="7"/>
    <s v="GNR_ROR_WTR"/>
    <n v="6.94"/>
    <n v="6.94E-3"/>
  </r>
  <r>
    <x v="0"/>
    <x v="0"/>
    <x v="10"/>
    <x v="21"/>
    <s v="DK2_NoDH"/>
    <x v="7"/>
    <s v="GNR_ROR_WTR"/>
    <n v="1.4999999999999999E-2"/>
    <n v="1.5E-5"/>
  </r>
  <r>
    <x v="0"/>
    <x v="0"/>
    <x v="9"/>
    <x v="16"/>
    <s v="DE4-E_A"/>
    <x v="7"/>
    <s v="GNR_ROR_WTR"/>
    <n v="550.44000000000005"/>
    <n v="0.55044000000000004"/>
  </r>
  <r>
    <x v="0"/>
    <x v="0"/>
    <x v="9"/>
    <x v="17"/>
    <s v="DE4-N_A"/>
    <x v="7"/>
    <s v="GNR_ROR_WTR"/>
    <n v="4.8499999999999996"/>
    <n v="4.8500000000000001E-3"/>
  </r>
  <r>
    <x v="0"/>
    <x v="0"/>
    <x v="9"/>
    <x v="18"/>
    <s v="DE4-S_A"/>
    <x v="7"/>
    <s v="GNR_ROR_WTR"/>
    <n v="7926.79"/>
    <n v="7.9267899999999996"/>
  </r>
  <r>
    <x v="0"/>
    <x v="0"/>
    <x v="9"/>
    <x v="19"/>
    <s v="DE4-W_A"/>
    <x v="7"/>
    <s v="GNR_ROR_WTR"/>
    <n v="361.5"/>
    <n v="0.36149999999999999"/>
  </r>
  <r>
    <x v="0"/>
    <x v="1"/>
    <x v="10"/>
    <x v="20"/>
    <s v="DK1_NoDH"/>
    <x v="7"/>
    <s v="GNR_ROR_WTR"/>
    <n v="0.01"/>
    <n v="1.0000000000000001E-5"/>
  </r>
  <r>
    <x v="0"/>
    <x v="1"/>
    <x v="10"/>
    <x v="21"/>
    <s v="DK2_NoDH"/>
    <x v="7"/>
    <s v="GNR_ROR_WTR"/>
    <n v="1.4999999999999999E-2"/>
    <n v="1.5E-5"/>
  </r>
  <r>
    <x v="0"/>
    <x v="1"/>
    <x v="9"/>
    <x v="16"/>
    <s v="DE4-E_A"/>
    <x v="7"/>
    <s v="GNR_ROR_WTR"/>
    <n v="550.44000000000005"/>
    <n v="0.55044000000000004"/>
  </r>
  <r>
    <x v="0"/>
    <x v="1"/>
    <x v="9"/>
    <x v="17"/>
    <s v="DE4-N_A"/>
    <x v="7"/>
    <s v="GNR_ROR_WTR"/>
    <n v="4.8499999999999996"/>
    <n v="4.8500000000000001E-3"/>
  </r>
  <r>
    <x v="0"/>
    <x v="1"/>
    <x v="9"/>
    <x v="18"/>
    <s v="DE4-S_A"/>
    <x v="7"/>
    <s v="GNR_ROR_WTR"/>
    <n v="7926.79"/>
    <n v="7.9267899999999996"/>
  </r>
  <r>
    <x v="0"/>
    <x v="1"/>
    <x v="9"/>
    <x v="19"/>
    <s v="DE4-W_A"/>
    <x v="7"/>
    <s v="GNR_ROR_WTR"/>
    <n v="361.5"/>
    <n v="0.36149999999999999"/>
  </r>
  <r>
    <x v="0"/>
    <x v="0"/>
    <x v="9"/>
    <x v="19"/>
    <s v="DE4-W_A"/>
    <x v="15"/>
    <s v="GNR_ST_BGAS_BP_E-33"/>
    <n v="33.4"/>
    <n v="3.3399999999999999E-2"/>
  </r>
  <r>
    <x v="0"/>
    <x v="0"/>
    <x v="9"/>
    <x v="16"/>
    <s v="DE4-E_A"/>
    <x v="15"/>
    <s v="GNR_ST_BGAS_BP_E-38"/>
    <n v="230.4"/>
    <n v="0.23039999999999999"/>
  </r>
  <r>
    <x v="0"/>
    <x v="0"/>
    <x v="9"/>
    <x v="17"/>
    <s v="DE4-N_A"/>
    <x v="15"/>
    <s v="GNR_ST_BGAS_BP_E-38"/>
    <n v="20"/>
    <n v="0.02"/>
  </r>
  <r>
    <x v="0"/>
    <x v="0"/>
    <x v="9"/>
    <x v="18"/>
    <s v="DE4-S_A"/>
    <x v="15"/>
    <s v="GNR_ST_BGAS_BP_E-38"/>
    <n v="261.2"/>
    <n v="0.26119999999999999"/>
  </r>
  <r>
    <x v="0"/>
    <x v="0"/>
    <x v="9"/>
    <x v="19"/>
    <s v="DE4-W_A"/>
    <x v="15"/>
    <s v="GNR_ST_BGAS_BP_E-38"/>
    <n v="134.30000000000001"/>
    <n v="0.1343"/>
  </r>
  <r>
    <x v="0"/>
    <x v="1"/>
    <x v="9"/>
    <x v="16"/>
    <s v="DE4-E_A"/>
    <x v="15"/>
    <s v="GNR_ST_BGAS_BP_E-38"/>
    <n v="65.7"/>
    <n v="6.5699999999999995E-2"/>
  </r>
  <r>
    <x v="0"/>
    <x v="1"/>
    <x v="9"/>
    <x v="17"/>
    <s v="DE4-N_A"/>
    <x v="15"/>
    <s v="GNR_ST_BGAS_BP_E-38"/>
    <n v="20"/>
    <n v="0.02"/>
  </r>
  <r>
    <x v="0"/>
    <x v="1"/>
    <x v="9"/>
    <x v="18"/>
    <s v="DE4-S_A"/>
    <x v="15"/>
    <s v="GNR_ST_BGAS_BP_E-38"/>
    <n v="106.2"/>
    <n v="0.1062"/>
  </r>
  <r>
    <x v="0"/>
    <x v="1"/>
    <x v="9"/>
    <x v="19"/>
    <s v="DE4-W_A"/>
    <x v="15"/>
    <s v="GNR_ST_BGAS_BP_E-38"/>
    <n v="40"/>
    <n v="0.04"/>
  </r>
  <r>
    <x v="0"/>
    <x v="0"/>
    <x v="9"/>
    <x v="16"/>
    <s v="DE4-E_A"/>
    <x v="15"/>
    <s v="GNR_ST_BGAS_CND_E-38"/>
    <n v="73.8"/>
    <n v="7.3800000000000004E-2"/>
  </r>
  <r>
    <x v="0"/>
    <x v="0"/>
    <x v="9"/>
    <x v="18"/>
    <s v="DE4-S_A"/>
    <x v="15"/>
    <s v="GNR_ST_BGAS_CND_E-38"/>
    <n v="40.299999999999997"/>
    <n v="4.0300000000000002E-2"/>
  </r>
  <r>
    <x v="0"/>
    <x v="0"/>
    <x v="9"/>
    <x v="19"/>
    <s v="DE4-W_A"/>
    <x v="15"/>
    <s v="GNR_ST_BGAS_CND_E-38"/>
    <n v="94.5"/>
    <n v="9.4500000000000001E-2"/>
  </r>
  <r>
    <x v="0"/>
    <x v="1"/>
    <x v="9"/>
    <x v="16"/>
    <s v="DE4-E_A"/>
    <x v="15"/>
    <s v="GNR_ST_BGAS_CND_E-38"/>
    <n v="18.100000000000001"/>
    <n v="1.8100000000000002E-2"/>
  </r>
  <r>
    <x v="0"/>
    <x v="1"/>
    <x v="9"/>
    <x v="19"/>
    <s v="DE4-W_A"/>
    <x v="15"/>
    <s v="GNR_ST_BGAS_CND_E-38"/>
    <n v="57.7"/>
    <n v="5.7700000000000001E-2"/>
  </r>
  <r>
    <x v="0"/>
    <x v="0"/>
    <x v="9"/>
    <x v="19"/>
    <s v="DE4-W_A"/>
    <x v="0"/>
    <s v="GNR_ST_COAL_BP_E-33"/>
    <n v="1849.4"/>
    <n v="1.8493999999999999"/>
  </r>
  <r>
    <x v="0"/>
    <x v="0"/>
    <x v="9"/>
    <x v="18"/>
    <s v="DE4-S_A"/>
    <x v="0"/>
    <s v="GNR_ST_COAL_BP_E-34"/>
    <n v="227.3"/>
    <n v="0.2273"/>
  </r>
  <r>
    <x v="0"/>
    <x v="0"/>
    <x v="10"/>
    <x v="20"/>
    <s v="DK2_Rural"/>
    <x v="0"/>
    <s v="GNR_ST_COAL_BP_E-35"/>
    <n v="37"/>
    <n v="3.6999999999999998E-2"/>
  </r>
  <r>
    <x v="0"/>
    <x v="0"/>
    <x v="10"/>
    <x v="21"/>
    <s v="DK2_Rural"/>
    <x v="0"/>
    <s v="GNR_ST_COAL_BP_E-35"/>
    <n v="37"/>
    <n v="3.6999999999999998E-2"/>
  </r>
  <r>
    <x v="0"/>
    <x v="0"/>
    <x v="9"/>
    <x v="16"/>
    <s v="DE4-E_A"/>
    <x v="0"/>
    <s v="GNR_ST_COAL_BP_E-35"/>
    <n v="124"/>
    <n v="0.124"/>
  </r>
  <r>
    <x v="0"/>
    <x v="1"/>
    <x v="10"/>
    <x v="20"/>
    <s v="DK2_Rural"/>
    <x v="0"/>
    <s v="GNR_ST_COAL_BP_E-35"/>
    <n v="37"/>
    <n v="3.6999999999999998E-2"/>
  </r>
  <r>
    <x v="0"/>
    <x v="1"/>
    <x v="10"/>
    <x v="21"/>
    <s v="DK2_Rural"/>
    <x v="0"/>
    <s v="GNR_ST_COAL_BP_E-35"/>
    <n v="37"/>
    <n v="3.6999999999999998E-2"/>
  </r>
  <r>
    <x v="0"/>
    <x v="0"/>
    <x v="10"/>
    <x v="21"/>
    <s v="DK2_Medium"/>
    <x v="0"/>
    <s v="GNR_ST_COAL_BP_E-38"/>
    <n v="142"/>
    <n v="0.14199999999999999"/>
  </r>
  <r>
    <x v="0"/>
    <x v="0"/>
    <x v="9"/>
    <x v="16"/>
    <s v="DE4-E_A"/>
    <x v="0"/>
    <s v="GNR_ST_COAL_BP_E-40"/>
    <n v="1167"/>
    <n v="1.167"/>
  </r>
  <r>
    <x v="0"/>
    <x v="0"/>
    <x v="9"/>
    <x v="17"/>
    <s v="DE4-N_A"/>
    <x v="0"/>
    <s v="GNR_ST_COAL_BP_E-40"/>
    <n v="924"/>
    <n v="0.92400000000000004"/>
  </r>
  <r>
    <x v="0"/>
    <x v="1"/>
    <x v="9"/>
    <x v="16"/>
    <s v="DE4-E_A"/>
    <x v="0"/>
    <s v="GNR_ST_COAL_BP_E-40"/>
    <n v="603"/>
    <n v="0.60299999999999998"/>
  </r>
  <r>
    <x v="0"/>
    <x v="1"/>
    <x v="9"/>
    <x v="17"/>
    <s v="DE4-N_A"/>
    <x v="0"/>
    <s v="GNR_ST_COAL_BP_E-40"/>
    <n v="221"/>
    <n v="0.221"/>
  </r>
  <r>
    <x v="0"/>
    <x v="0"/>
    <x v="9"/>
    <x v="19"/>
    <s v="DE4-W_A"/>
    <x v="0"/>
    <s v="GNR_ST_COAL_BP_E-41"/>
    <n v="7679.5"/>
    <n v="7.6795"/>
  </r>
  <r>
    <x v="0"/>
    <x v="1"/>
    <x v="9"/>
    <x v="19"/>
    <s v="DE4-W_A"/>
    <x v="0"/>
    <s v="GNR_ST_COAL_BP_E-41"/>
    <n v="2144"/>
    <n v="2.1440000000000001"/>
  </r>
  <r>
    <x v="0"/>
    <x v="0"/>
    <x v="9"/>
    <x v="18"/>
    <s v="DE4-S_A"/>
    <x v="0"/>
    <s v="GNR_ST_COAL_BP_E-43"/>
    <n v="7583.8"/>
    <n v="7.5838000000000001"/>
  </r>
  <r>
    <x v="0"/>
    <x v="1"/>
    <x v="9"/>
    <x v="18"/>
    <s v="DE4-S_A"/>
    <x v="0"/>
    <s v="GNR_ST_COAL_BP_E-43"/>
    <n v="3188.6"/>
    <n v="3.1886000000000001"/>
  </r>
  <r>
    <x v="0"/>
    <x v="0"/>
    <x v="9"/>
    <x v="19"/>
    <s v="DE4-W_A"/>
    <x v="0"/>
    <s v="GNR_ST_COAL_CND_E-37"/>
    <n v="7106"/>
    <n v="7.1059999999999999"/>
  </r>
  <r>
    <x v="0"/>
    <x v="0"/>
    <x v="9"/>
    <x v="18"/>
    <s v="DE4-S_A"/>
    <x v="0"/>
    <s v="GNR_ST_COAL_CND_E-38"/>
    <n v="726"/>
    <n v="0.72599999999999998"/>
  </r>
  <r>
    <x v="0"/>
    <x v="0"/>
    <x v="9"/>
    <x v="18"/>
    <s v="DE4-S_A"/>
    <x v="0"/>
    <s v="GNR_ST_COAL_CND_E-44"/>
    <n v="527"/>
    <n v="0.52700000000000002"/>
  </r>
  <r>
    <x v="0"/>
    <x v="1"/>
    <x v="9"/>
    <x v="18"/>
    <s v="DE4-S_A"/>
    <x v="0"/>
    <s v="GNR_ST_COAL_CND_E-44"/>
    <n v="283"/>
    <n v="0.28299999999999997"/>
  </r>
  <r>
    <x v="0"/>
    <x v="0"/>
    <x v="9"/>
    <x v="19"/>
    <s v="DE4-W_A"/>
    <x v="0"/>
    <s v="GNR_ST_COAL_CND_E-45"/>
    <n v="3449"/>
    <n v="3.4489999999999998"/>
  </r>
  <r>
    <x v="0"/>
    <x v="1"/>
    <x v="9"/>
    <x v="19"/>
    <s v="DE4-W_A"/>
    <x v="0"/>
    <s v="GNR_ST_COAL_CND_E-45"/>
    <n v="2260"/>
    <n v="2.2599999999999998"/>
  </r>
  <r>
    <x v="0"/>
    <x v="0"/>
    <x v="9"/>
    <x v="17"/>
    <s v="DE4-N_A"/>
    <x v="0"/>
    <s v="GNR_ST_COAL_CND_E-46"/>
    <n v="1600"/>
    <n v="1.6"/>
  </r>
  <r>
    <x v="0"/>
    <x v="1"/>
    <x v="9"/>
    <x v="17"/>
    <s v="DE4-N_A"/>
    <x v="0"/>
    <s v="GNR_ST_COAL_CND_E-46"/>
    <n v="1600"/>
    <n v="1.6"/>
  </r>
  <r>
    <x v="0"/>
    <x v="0"/>
    <x v="10"/>
    <x v="21"/>
    <s v="DK2_Medium"/>
    <x v="0"/>
    <s v="GNR_ST_COAL_EXT_E-41"/>
    <n v="640"/>
    <n v="0.64"/>
  </r>
  <r>
    <x v="0"/>
    <x v="0"/>
    <x v="10"/>
    <x v="20"/>
    <s v="DK1_Large"/>
    <x v="0"/>
    <s v="GNR_ST_COAL_EXT_E-42"/>
    <n v="714"/>
    <n v="0.71399999999999997"/>
  </r>
  <r>
    <x v="0"/>
    <x v="0"/>
    <x v="10"/>
    <x v="21"/>
    <s v="DK2_Large"/>
    <x v="0"/>
    <s v="GNR_ST_COAL_EXT_E-42"/>
    <n v="500"/>
    <n v="0.5"/>
  </r>
  <r>
    <x v="0"/>
    <x v="1"/>
    <x v="10"/>
    <x v="21"/>
    <s v="DK2_Large"/>
    <x v="0"/>
    <s v="GNR_ST_COAL_EXT_E-42"/>
    <n v="250"/>
    <n v="0.25"/>
  </r>
  <r>
    <x v="0"/>
    <x v="0"/>
    <x v="10"/>
    <x v="20"/>
    <s v="DK1_Large"/>
    <x v="0"/>
    <s v="GNR_ST_COAL_EXT_E-43"/>
    <n v="745"/>
    <n v="0.745"/>
  </r>
  <r>
    <x v="0"/>
    <x v="0"/>
    <x v="10"/>
    <x v="20"/>
    <s v="DK1_Large"/>
    <x v="0"/>
    <s v="GNR_ST_COAL_EXT_E-47"/>
    <n v="385"/>
    <n v="0.38500000000000001"/>
  </r>
  <r>
    <x v="0"/>
    <x v="0"/>
    <x v="10"/>
    <x v="21"/>
    <s v="DK2_MedSmall"/>
    <x v="1"/>
    <s v="GNR_ST_FUELOIL_BP_E-27"/>
    <n v="9"/>
    <n v="8.9999999999999993E-3"/>
  </r>
  <r>
    <x v="0"/>
    <x v="0"/>
    <x v="10"/>
    <x v="20"/>
    <s v="DK1_NoDH"/>
    <x v="1"/>
    <s v="GNR_ST_FUELOIL_BP_E-34"/>
    <n v="4.28"/>
    <n v="4.28E-3"/>
  </r>
  <r>
    <x v="0"/>
    <x v="0"/>
    <x v="10"/>
    <x v="21"/>
    <s v="DK2_MedSmall"/>
    <x v="1"/>
    <s v="GNR_ST_FUELOIL_BP_E-34"/>
    <n v="9"/>
    <n v="8.9999999999999993E-3"/>
  </r>
  <r>
    <x v="0"/>
    <x v="0"/>
    <x v="9"/>
    <x v="17"/>
    <s v="DE4-N_A"/>
    <x v="1"/>
    <s v="GNR_ST_FUELOIL_BP_E-35"/>
    <n v="74.5"/>
    <n v="7.4499999999999997E-2"/>
  </r>
  <r>
    <x v="0"/>
    <x v="0"/>
    <x v="9"/>
    <x v="16"/>
    <s v="DE4-E_A"/>
    <x v="1"/>
    <s v="GNR_ST_FUELOIL_BP_E-36"/>
    <n v="304"/>
    <n v="0.30399999999999999"/>
  </r>
  <r>
    <x v="0"/>
    <x v="0"/>
    <x v="9"/>
    <x v="18"/>
    <s v="DE4-S_A"/>
    <x v="1"/>
    <s v="GNR_ST_FUELOIL_BP_E-36"/>
    <n v="791"/>
    <n v="0.79100000000000004"/>
  </r>
  <r>
    <x v="0"/>
    <x v="0"/>
    <x v="9"/>
    <x v="16"/>
    <s v="DE4-E_A"/>
    <x v="1"/>
    <s v="GNR_ST_FUELOIL_BP_E-38"/>
    <n v="230.5"/>
    <n v="0.23050000000000001"/>
  </r>
  <r>
    <x v="0"/>
    <x v="0"/>
    <x v="9"/>
    <x v="17"/>
    <s v="DE4-N_A"/>
    <x v="1"/>
    <s v="GNR_ST_FUELOIL_BP_E-38"/>
    <n v="38"/>
    <n v="3.7999999999999999E-2"/>
  </r>
  <r>
    <x v="0"/>
    <x v="0"/>
    <x v="9"/>
    <x v="18"/>
    <s v="DE4-S_A"/>
    <x v="1"/>
    <s v="GNR_ST_FUELOIL_BP_E-38"/>
    <n v="70"/>
    <n v="7.0000000000000007E-2"/>
  </r>
  <r>
    <x v="0"/>
    <x v="0"/>
    <x v="10"/>
    <x v="20"/>
    <s v="DK2_Rural"/>
    <x v="1"/>
    <s v="GNR_ST_FUELOIL_CND_E-32"/>
    <n v="27.5"/>
    <n v="2.75E-2"/>
  </r>
  <r>
    <x v="0"/>
    <x v="0"/>
    <x v="10"/>
    <x v="21"/>
    <s v="DK2_Rural"/>
    <x v="1"/>
    <s v="GNR_ST_FUELOIL_CND_E-32"/>
    <n v="27.5"/>
    <n v="2.75E-2"/>
  </r>
  <r>
    <x v="0"/>
    <x v="0"/>
    <x v="9"/>
    <x v="17"/>
    <s v="DE4-N_A"/>
    <x v="1"/>
    <s v="GNR_ST_FUELOIL_CND_E-35"/>
    <n v="175"/>
    <n v="0.17499999999999999"/>
  </r>
  <r>
    <x v="0"/>
    <x v="0"/>
    <x v="9"/>
    <x v="18"/>
    <s v="DE4-S_A"/>
    <x v="1"/>
    <s v="GNR_ST_FUELOIL_CND_E-37"/>
    <n v="33.799999999999997"/>
    <n v="3.3799999999999997E-2"/>
  </r>
  <r>
    <x v="0"/>
    <x v="0"/>
    <x v="9"/>
    <x v="16"/>
    <s v="DE4-E_A"/>
    <x v="1"/>
    <s v="GNR_ST_FUELOIL_CND_E-39"/>
    <n v="110.5"/>
    <n v="0.1105"/>
  </r>
  <r>
    <x v="0"/>
    <x v="0"/>
    <x v="9"/>
    <x v="19"/>
    <s v="DE4-W_A"/>
    <x v="1"/>
    <s v="GNR_ST_FUELOIL_CND_E-39"/>
    <n v="33.200000000000003"/>
    <n v="3.32E-2"/>
  </r>
  <r>
    <x v="0"/>
    <x v="1"/>
    <x v="9"/>
    <x v="16"/>
    <s v="DE4-E_A"/>
    <x v="1"/>
    <s v="GNR_ST_FUELOIL_CND_E-39"/>
    <n v="59"/>
    <n v="5.8999999999999997E-2"/>
  </r>
  <r>
    <x v="0"/>
    <x v="1"/>
    <x v="9"/>
    <x v="19"/>
    <s v="DE4-W_A"/>
    <x v="1"/>
    <s v="GNR_ST_FUELOIL_CND_E-39"/>
    <n v="24.8"/>
    <n v="2.4799999999999999E-2"/>
  </r>
  <r>
    <x v="0"/>
    <x v="0"/>
    <x v="10"/>
    <x v="21"/>
    <s v="DK2_Medium"/>
    <x v="21"/>
    <s v="GNR_ST_LIGHTOIL_CND_E-33"/>
    <n v="520"/>
    <n v="0.52"/>
  </r>
  <r>
    <x v="0"/>
    <x v="0"/>
    <x v="9"/>
    <x v="16"/>
    <s v="DE4-E_A"/>
    <x v="19"/>
    <s v="GNR_ST_LIGN_BP_E-28"/>
    <n v="127"/>
    <n v="0.127"/>
  </r>
  <r>
    <x v="0"/>
    <x v="0"/>
    <x v="9"/>
    <x v="19"/>
    <s v="DE4-W_A"/>
    <x v="19"/>
    <s v="GNR_ST_LIGN_BP_E-33"/>
    <n v="786.5"/>
    <n v="0.78649999999999998"/>
  </r>
  <r>
    <x v="0"/>
    <x v="0"/>
    <x v="9"/>
    <x v="19"/>
    <s v="DE4-W_A"/>
    <x v="19"/>
    <s v="GNR_ST_LIGN_BP_E-37"/>
    <n v="3286.7"/>
    <n v="3.2867000000000002"/>
  </r>
  <r>
    <x v="0"/>
    <x v="1"/>
    <x v="9"/>
    <x v="19"/>
    <s v="DE4-W_A"/>
    <x v="19"/>
    <s v="GNR_ST_LIGN_BP_E-37"/>
    <n v="340.4"/>
    <n v="0.34039999999999998"/>
  </r>
  <r>
    <x v="0"/>
    <x v="0"/>
    <x v="9"/>
    <x v="16"/>
    <s v="DE4-E_A"/>
    <x v="19"/>
    <s v="GNR_ST_LIGN_BP_E-39"/>
    <n v="9321.4"/>
    <n v="9.3214000000000006"/>
  </r>
  <r>
    <x v="0"/>
    <x v="1"/>
    <x v="9"/>
    <x v="16"/>
    <s v="DE4-E_A"/>
    <x v="19"/>
    <s v="GNR_ST_LIGN_BP_E-39"/>
    <n v="5335.6"/>
    <n v="5.3356000000000003"/>
  </r>
  <r>
    <x v="0"/>
    <x v="0"/>
    <x v="9"/>
    <x v="19"/>
    <s v="DE4-W_A"/>
    <x v="19"/>
    <s v="GNR_ST_LIGN_CND_E-32"/>
    <n v="4539"/>
    <n v="4.5389999999999997"/>
  </r>
  <r>
    <x v="0"/>
    <x v="0"/>
    <x v="9"/>
    <x v="19"/>
    <s v="DE4-W_A"/>
    <x v="19"/>
    <s v="GNR_ST_LIGN_CND_E-41"/>
    <n v="4030"/>
    <n v="4.03"/>
  </r>
  <r>
    <x v="0"/>
    <x v="1"/>
    <x v="9"/>
    <x v="19"/>
    <s v="DE4-W_A"/>
    <x v="19"/>
    <s v="GNR_ST_LIGN_CND_E-41"/>
    <n v="2752"/>
    <n v="2.7519999999999998"/>
  </r>
  <r>
    <x v="0"/>
    <x v="0"/>
    <x v="9"/>
    <x v="16"/>
    <s v="DE4-E_A"/>
    <x v="19"/>
    <s v="GNR_ST_LIGN_CND_E-43"/>
    <n v="640"/>
    <n v="0.64"/>
  </r>
  <r>
    <x v="0"/>
    <x v="1"/>
    <x v="9"/>
    <x v="16"/>
    <s v="DE4-E_A"/>
    <x v="19"/>
    <s v="GNR_ST_LIGN_CND_E-43"/>
    <n v="640"/>
    <n v="0.64"/>
  </r>
  <r>
    <x v="0"/>
    <x v="0"/>
    <x v="10"/>
    <x v="21"/>
    <s v="DK2_Large"/>
    <x v="12"/>
    <s v="GNR_ST_MSW_BP_E-16"/>
    <n v="28.5"/>
    <n v="2.8500000000000001E-2"/>
  </r>
  <r>
    <x v="0"/>
    <x v="0"/>
    <x v="10"/>
    <x v="20"/>
    <s v="DK1_MedSmall"/>
    <x v="12"/>
    <s v="GNR_ST_MSW_BP_E-17"/>
    <n v="2.4"/>
    <n v="2.3999999999999998E-3"/>
  </r>
  <r>
    <x v="0"/>
    <x v="0"/>
    <x v="10"/>
    <x v="20"/>
    <s v="DK1_Large"/>
    <x v="12"/>
    <s v="GNR_ST_MSW_BP_E-18"/>
    <n v="2.85"/>
    <n v="2.8500000000000001E-3"/>
  </r>
  <r>
    <x v="0"/>
    <x v="0"/>
    <x v="10"/>
    <x v="20"/>
    <s v="DK1_Medium"/>
    <x v="12"/>
    <s v="GNR_ST_MSW_BP_E-18"/>
    <n v="7"/>
    <n v="7.0000000000000001E-3"/>
  </r>
  <r>
    <x v="0"/>
    <x v="0"/>
    <x v="10"/>
    <x v="20"/>
    <s v="DK1_Large"/>
    <x v="12"/>
    <s v="GNR_ST_MSW_BP_E-19"/>
    <n v="9"/>
    <n v="8.9999999999999993E-3"/>
  </r>
  <r>
    <x v="0"/>
    <x v="0"/>
    <x v="10"/>
    <x v="20"/>
    <s v="DK1_MedSmall"/>
    <x v="12"/>
    <s v="GNR_ST_MSW_BP_E-20"/>
    <n v="3.3"/>
    <n v="3.3E-3"/>
  </r>
  <r>
    <x v="0"/>
    <x v="0"/>
    <x v="10"/>
    <x v="20"/>
    <s v="DK1_Small"/>
    <x v="12"/>
    <s v="GNR_ST_MSW_BP_E-20"/>
    <n v="2.89"/>
    <n v="2.8900000000000002E-3"/>
  </r>
  <r>
    <x v="0"/>
    <x v="0"/>
    <x v="10"/>
    <x v="21"/>
    <s v="DK2_Large"/>
    <x v="12"/>
    <s v="GNR_ST_MSW_BP_E-20"/>
    <n v="39"/>
    <n v="3.9E-2"/>
  </r>
  <r>
    <x v="0"/>
    <x v="0"/>
    <x v="10"/>
    <x v="20"/>
    <s v="DK1_MedSmall"/>
    <x v="12"/>
    <s v="GNR_ST_MSW_BP_E-21"/>
    <n v="10"/>
    <n v="0.01"/>
  </r>
  <r>
    <x v="0"/>
    <x v="0"/>
    <x v="10"/>
    <x v="20"/>
    <s v="DK1_Medium"/>
    <x v="12"/>
    <s v="GNR_ST_MSW_BP_E-21"/>
    <n v="27"/>
    <n v="2.7E-2"/>
  </r>
  <r>
    <x v="0"/>
    <x v="0"/>
    <x v="10"/>
    <x v="21"/>
    <s v="DK2_Large"/>
    <x v="12"/>
    <s v="GNR_ST_MSW_BP_E-21"/>
    <n v="13.7"/>
    <n v="1.37E-2"/>
  </r>
  <r>
    <x v="0"/>
    <x v="0"/>
    <x v="10"/>
    <x v="21"/>
    <s v="DK2_MedSmall"/>
    <x v="12"/>
    <s v="GNR_ST_MSW_BP_E-21"/>
    <n v="6.7"/>
    <n v="6.7000000000000002E-3"/>
  </r>
  <r>
    <x v="0"/>
    <x v="0"/>
    <x v="10"/>
    <x v="20"/>
    <s v="DK1_Large"/>
    <x v="12"/>
    <s v="GNR_ST_MSW_BP_E-22"/>
    <n v="31"/>
    <n v="3.1E-2"/>
  </r>
  <r>
    <x v="0"/>
    <x v="0"/>
    <x v="10"/>
    <x v="20"/>
    <s v="DK1_MedSmall"/>
    <x v="12"/>
    <s v="GNR_ST_MSW_BP_E-22"/>
    <n v="4.5"/>
    <n v="4.4999999999999997E-3"/>
  </r>
  <r>
    <x v="0"/>
    <x v="0"/>
    <x v="10"/>
    <x v="20"/>
    <s v="DK1_Medium"/>
    <x v="12"/>
    <s v="GNR_ST_MSW_BP_E-22"/>
    <n v="62.6"/>
    <n v="6.2600000000000003E-2"/>
  </r>
  <r>
    <x v="0"/>
    <x v="0"/>
    <x v="10"/>
    <x v="20"/>
    <s v="DK1_Large"/>
    <x v="12"/>
    <s v="GNR_ST_MSW_BP_E-23"/>
    <n v="36.06"/>
    <n v="3.6060000000000002E-2"/>
  </r>
  <r>
    <x v="0"/>
    <x v="0"/>
    <x v="10"/>
    <x v="21"/>
    <s v="DK2_Medium"/>
    <x v="12"/>
    <s v="GNR_ST_MSW_BP_E-23"/>
    <n v="8"/>
    <n v="8.0000000000000002E-3"/>
  </r>
  <r>
    <x v="0"/>
    <x v="1"/>
    <x v="10"/>
    <x v="21"/>
    <s v="DK2_Medium"/>
    <x v="12"/>
    <s v="GNR_ST_MSW_BP_E-23"/>
    <n v="8"/>
    <n v="8.0000000000000002E-3"/>
  </r>
  <r>
    <x v="0"/>
    <x v="0"/>
    <x v="10"/>
    <x v="21"/>
    <s v="DK2_MedSmall"/>
    <x v="12"/>
    <s v="GNR_ST_MSW_BP_E-25"/>
    <n v="10.9"/>
    <n v="1.09E-2"/>
  </r>
  <r>
    <x v="0"/>
    <x v="0"/>
    <x v="10"/>
    <x v="21"/>
    <s v="DK2_Medium"/>
    <x v="12"/>
    <s v="GNR_ST_MSW_BP_E-25"/>
    <n v="7.4"/>
    <n v="7.4000000000000003E-3"/>
  </r>
  <r>
    <x v="0"/>
    <x v="0"/>
    <x v="10"/>
    <x v="20"/>
    <s v="DK1_MedSmall"/>
    <x v="12"/>
    <s v="GNR_ST_MSW_BP_E-26"/>
    <n v="7"/>
    <n v="7.0000000000000001E-3"/>
  </r>
  <r>
    <x v="0"/>
    <x v="0"/>
    <x v="10"/>
    <x v="20"/>
    <s v="DK1_Large"/>
    <x v="12"/>
    <s v="GNR_ST_MSW_BP_E-27"/>
    <n v="17.899999999999999"/>
    <n v="1.7899999999999999E-2"/>
  </r>
  <r>
    <x v="0"/>
    <x v="0"/>
    <x v="10"/>
    <x v="21"/>
    <s v="DK2_Large"/>
    <x v="12"/>
    <s v="GNR_ST_MSW_BP_E-27"/>
    <n v="19.399999999999999"/>
    <n v="1.9400000000000001E-2"/>
  </r>
  <r>
    <x v="0"/>
    <x v="1"/>
    <x v="10"/>
    <x v="20"/>
    <s v="DK1_Large"/>
    <x v="12"/>
    <s v="GNR_ST_MSW_BP_E-27"/>
    <n v="17.899999999999999"/>
    <n v="1.7899999999999999E-2"/>
  </r>
  <r>
    <x v="0"/>
    <x v="1"/>
    <x v="10"/>
    <x v="21"/>
    <s v="DK2_Large"/>
    <x v="12"/>
    <s v="GNR_ST_MSW_BP_E-27"/>
    <n v="19.399999999999999"/>
    <n v="1.9400000000000001E-2"/>
  </r>
  <r>
    <x v="0"/>
    <x v="0"/>
    <x v="10"/>
    <x v="21"/>
    <s v="DK2_MedSmall"/>
    <x v="12"/>
    <s v="GNR_ST_MSW_BP_E-28"/>
    <n v="12.89"/>
    <n v="1.289E-2"/>
  </r>
  <r>
    <x v="0"/>
    <x v="0"/>
    <x v="9"/>
    <x v="16"/>
    <s v="DE4-E_A"/>
    <x v="12"/>
    <s v="GNR_ST_MSW_BP_E-33"/>
    <n v="318.89999999999998"/>
    <n v="0.31890000000000002"/>
  </r>
  <r>
    <x v="0"/>
    <x v="0"/>
    <x v="9"/>
    <x v="17"/>
    <s v="DE4-N_A"/>
    <x v="12"/>
    <s v="GNR_ST_MSW_BP_E-33"/>
    <n v="41"/>
    <n v="4.1000000000000002E-2"/>
  </r>
  <r>
    <x v="0"/>
    <x v="0"/>
    <x v="9"/>
    <x v="18"/>
    <s v="DE4-S_A"/>
    <x v="12"/>
    <s v="GNR_ST_MSW_BP_E-33"/>
    <n v="399.9"/>
    <n v="0.39989999999999998"/>
  </r>
  <r>
    <x v="0"/>
    <x v="0"/>
    <x v="9"/>
    <x v="19"/>
    <s v="DE4-W_A"/>
    <x v="12"/>
    <s v="GNR_ST_MSW_BP_E-33"/>
    <n v="579.1"/>
    <n v="0.57909999999999995"/>
  </r>
  <r>
    <x v="0"/>
    <x v="1"/>
    <x v="9"/>
    <x v="16"/>
    <s v="DE4-E_A"/>
    <x v="12"/>
    <s v="GNR_ST_MSW_BP_E-33"/>
    <n v="267.2"/>
    <n v="0.26719999999999999"/>
  </r>
  <r>
    <x v="0"/>
    <x v="1"/>
    <x v="9"/>
    <x v="17"/>
    <s v="DE4-N_A"/>
    <x v="12"/>
    <s v="GNR_ST_MSW_BP_E-33"/>
    <n v="17"/>
    <n v="1.7000000000000001E-2"/>
  </r>
  <r>
    <x v="0"/>
    <x v="1"/>
    <x v="9"/>
    <x v="18"/>
    <s v="DE4-S_A"/>
    <x v="12"/>
    <s v="GNR_ST_MSW_BP_E-33"/>
    <n v="106.2"/>
    <n v="0.1062"/>
  </r>
  <r>
    <x v="0"/>
    <x v="1"/>
    <x v="9"/>
    <x v="19"/>
    <s v="DE4-W_A"/>
    <x v="12"/>
    <s v="GNR_ST_MSW_BP_E-33"/>
    <n v="157.5"/>
    <n v="0.1575"/>
  </r>
  <r>
    <x v="0"/>
    <x v="0"/>
    <x v="9"/>
    <x v="16"/>
    <s v="DE4-E_A"/>
    <x v="12"/>
    <s v="GNR_ST_MSW_CND_E-33"/>
    <n v="65.099999999999994"/>
    <n v="6.5100000000000005E-2"/>
  </r>
  <r>
    <x v="0"/>
    <x v="0"/>
    <x v="9"/>
    <x v="18"/>
    <s v="DE4-S_A"/>
    <x v="12"/>
    <s v="GNR_ST_MSW_CND_E-33"/>
    <n v="40"/>
    <n v="0.04"/>
  </r>
  <r>
    <x v="0"/>
    <x v="0"/>
    <x v="9"/>
    <x v="19"/>
    <s v="DE4-W_A"/>
    <x v="12"/>
    <s v="GNR_ST_MSW_CND_E-33"/>
    <n v="172.8"/>
    <n v="0.17280000000000001"/>
  </r>
  <r>
    <x v="0"/>
    <x v="1"/>
    <x v="9"/>
    <x v="16"/>
    <s v="DE4-E_A"/>
    <x v="12"/>
    <s v="GNR_ST_MSW_CND_E-33"/>
    <n v="62.6"/>
    <n v="6.2600000000000003E-2"/>
  </r>
  <r>
    <x v="0"/>
    <x v="1"/>
    <x v="9"/>
    <x v="18"/>
    <s v="DE4-S_A"/>
    <x v="12"/>
    <s v="GNR_ST_MSW_CND_E-33"/>
    <n v="8.6999999999999993"/>
    <n v="8.6999999999999994E-3"/>
  </r>
  <r>
    <x v="0"/>
    <x v="1"/>
    <x v="9"/>
    <x v="19"/>
    <s v="DE4-W_A"/>
    <x v="12"/>
    <s v="GNR_ST_MSW_CND_E-33"/>
    <n v="72.599999999999994"/>
    <n v="7.2599999999999998E-2"/>
  </r>
  <r>
    <x v="0"/>
    <x v="0"/>
    <x v="9"/>
    <x v="16"/>
    <s v="DE4-E_A"/>
    <x v="2"/>
    <s v="GNR_ST_NGAS_BP_E-31"/>
    <n v="26.5"/>
    <n v="2.6499999999999999E-2"/>
  </r>
  <r>
    <x v="0"/>
    <x v="0"/>
    <x v="9"/>
    <x v="19"/>
    <s v="DE4-W_A"/>
    <x v="2"/>
    <s v="GNR_ST_NGAS_BP_E-33"/>
    <n v="203.9"/>
    <n v="0.2039"/>
  </r>
  <r>
    <x v="0"/>
    <x v="0"/>
    <x v="9"/>
    <x v="16"/>
    <s v="DE4-E_A"/>
    <x v="2"/>
    <s v="GNR_ST_NGAS_BP_E-38"/>
    <n v="1223"/>
    <n v="1.2230000000000001"/>
  </r>
  <r>
    <x v="0"/>
    <x v="0"/>
    <x v="9"/>
    <x v="18"/>
    <s v="DE4-S_A"/>
    <x v="2"/>
    <s v="GNR_ST_NGAS_BP_E-38"/>
    <n v="986.2"/>
    <n v="0.98619999999999997"/>
  </r>
  <r>
    <x v="0"/>
    <x v="0"/>
    <x v="9"/>
    <x v="19"/>
    <s v="DE4-W_A"/>
    <x v="2"/>
    <s v="GNR_ST_NGAS_BP_E-38"/>
    <n v="2148.3000000000002"/>
    <n v="2.1482999999999999"/>
  </r>
  <r>
    <x v="0"/>
    <x v="1"/>
    <x v="9"/>
    <x v="16"/>
    <s v="DE4-E_A"/>
    <x v="2"/>
    <s v="GNR_ST_NGAS_BP_E-38"/>
    <n v="179.4"/>
    <n v="0.1794"/>
  </r>
  <r>
    <x v="0"/>
    <x v="1"/>
    <x v="9"/>
    <x v="18"/>
    <s v="DE4-S_A"/>
    <x v="2"/>
    <s v="GNR_ST_NGAS_BP_E-38"/>
    <n v="610.1"/>
    <n v="0.61009999999999998"/>
  </r>
  <r>
    <x v="0"/>
    <x v="1"/>
    <x v="9"/>
    <x v="19"/>
    <s v="DE4-W_A"/>
    <x v="2"/>
    <s v="GNR_ST_NGAS_BP_E-38"/>
    <n v="862.5"/>
    <n v="0.86250000000000004"/>
  </r>
  <r>
    <x v="0"/>
    <x v="0"/>
    <x v="10"/>
    <x v="21"/>
    <s v="DK2_Large"/>
    <x v="2"/>
    <s v="GNR_ST_NGAS_BP_E-39"/>
    <n v="82"/>
    <n v="8.2000000000000003E-2"/>
  </r>
  <r>
    <x v="0"/>
    <x v="0"/>
    <x v="10"/>
    <x v="21"/>
    <s v="DK2_NoDH"/>
    <x v="2"/>
    <s v="GNR_ST_NGAS_BP_E-39"/>
    <n v="5.89"/>
    <n v="5.8900000000000003E-3"/>
  </r>
  <r>
    <x v="0"/>
    <x v="0"/>
    <x v="9"/>
    <x v="17"/>
    <s v="DE4-N_A"/>
    <x v="2"/>
    <s v="GNR_ST_NGAS_BP_E-39"/>
    <n v="128.5"/>
    <n v="0.1285"/>
  </r>
  <r>
    <x v="0"/>
    <x v="1"/>
    <x v="9"/>
    <x v="17"/>
    <s v="DE4-N_A"/>
    <x v="2"/>
    <s v="GNR_ST_NGAS_BP_E-39"/>
    <n v="75"/>
    <n v="7.4999999999999997E-2"/>
  </r>
  <r>
    <x v="0"/>
    <x v="0"/>
    <x v="9"/>
    <x v="18"/>
    <s v="DE4-S_A"/>
    <x v="2"/>
    <s v="GNR_ST_NGAS_CND_E-36"/>
    <n v="415"/>
    <n v="0.41499999999999998"/>
  </r>
  <r>
    <x v="0"/>
    <x v="0"/>
    <x v="9"/>
    <x v="19"/>
    <s v="DE4-W_A"/>
    <x v="2"/>
    <s v="GNR_ST_NGAS_CND_E-36"/>
    <n v="2176"/>
    <n v="2.1760000000000002"/>
  </r>
  <r>
    <x v="0"/>
    <x v="0"/>
    <x v="9"/>
    <x v="16"/>
    <s v="DE4-E_A"/>
    <x v="2"/>
    <s v="GNR_ST_NGAS_CND_E-38"/>
    <n v="40"/>
    <n v="0.04"/>
  </r>
  <r>
    <x v="0"/>
    <x v="0"/>
    <x v="9"/>
    <x v="19"/>
    <s v="DE4-W_A"/>
    <x v="2"/>
    <s v="GNR_ST_NGAS_CND_E-39"/>
    <n v="39.799999999999997"/>
    <n v="3.9800000000000002E-2"/>
  </r>
  <r>
    <x v="0"/>
    <x v="1"/>
    <x v="9"/>
    <x v="19"/>
    <s v="DE4-W_A"/>
    <x v="2"/>
    <s v="GNR_ST_NGAS_CND_E-39"/>
    <n v="39.799999999999997"/>
    <n v="3.9800000000000002E-2"/>
  </r>
  <r>
    <x v="0"/>
    <x v="0"/>
    <x v="10"/>
    <x v="20"/>
    <s v="DK1_Large"/>
    <x v="2"/>
    <s v="GNR_ST_NGAS_EXT_E-47"/>
    <n v="392"/>
    <n v="0.39200000000000002"/>
  </r>
  <r>
    <x v="0"/>
    <x v="0"/>
    <x v="9"/>
    <x v="17"/>
    <s v="DE4-N_A"/>
    <x v="3"/>
    <s v="GNR_ST_NUCL_CND_E-33"/>
    <n v="1410"/>
    <n v="1.41"/>
  </r>
  <r>
    <x v="0"/>
    <x v="0"/>
    <x v="9"/>
    <x v="18"/>
    <s v="DE4-S_A"/>
    <x v="3"/>
    <s v="GNR_ST_NUCL_CND_E-33"/>
    <n v="6694"/>
    <n v="6.694"/>
  </r>
  <r>
    <x v="0"/>
    <x v="0"/>
    <x v="9"/>
    <x v="19"/>
    <s v="DE4-W_A"/>
    <x v="3"/>
    <s v="GNR_ST_NUCL_CND_E-33"/>
    <n v="2696"/>
    <n v="2.6960000000000002"/>
  </r>
  <r>
    <x v="0"/>
    <x v="0"/>
    <x v="10"/>
    <x v="20"/>
    <s v="DK1_MedSmall"/>
    <x v="20"/>
    <s v="GNR_ST_STRW_BP_E-21"/>
    <n v="17.5"/>
    <n v="1.7500000000000002E-2"/>
  </r>
  <r>
    <x v="0"/>
    <x v="0"/>
    <x v="10"/>
    <x v="20"/>
    <s v="DK2_Rural"/>
    <x v="20"/>
    <s v="GNR_ST_STRW_BP_E-24"/>
    <n v="5"/>
    <n v="5.0000000000000001E-3"/>
  </r>
  <r>
    <x v="0"/>
    <x v="0"/>
    <x v="10"/>
    <x v="21"/>
    <s v="DK2_Rural"/>
    <x v="20"/>
    <s v="GNR_ST_STRW_BP_E-24"/>
    <n v="5"/>
    <n v="5.0000000000000001E-3"/>
  </r>
  <r>
    <x v="0"/>
    <x v="0"/>
    <x v="10"/>
    <x v="20"/>
    <s v="DK1_Large"/>
    <x v="20"/>
    <s v="GNR_ST_STRW_BP_E-26"/>
    <n v="31"/>
    <n v="3.1E-2"/>
  </r>
  <r>
    <x v="0"/>
    <x v="0"/>
    <x v="10"/>
    <x v="20"/>
    <s v="DK1_Rural"/>
    <x v="20"/>
    <s v="GNR_ST_STRW_BP_E-26"/>
    <n v="2.2999999999999998"/>
    <n v="2.3E-3"/>
  </r>
  <r>
    <x v="0"/>
    <x v="1"/>
    <x v="10"/>
    <x v="20"/>
    <s v="DK1_Large"/>
    <x v="20"/>
    <s v="GNR_ST_STRW_BP_E-26"/>
    <n v="31"/>
    <n v="3.1E-2"/>
  </r>
  <r>
    <x v="0"/>
    <x v="0"/>
    <x v="10"/>
    <x v="20"/>
    <s v="DK2_Rural"/>
    <x v="20"/>
    <s v="GNR_ST_STRW_BP_E-27"/>
    <n v="9.98"/>
    <n v="9.9799999999999993E-3"/>
  </r>
  <r>
    <x v="0"/>
    <x v="0"/>
    <x v="10"/>
    <x v="21"/>
    <s v="DK2_Rural"/>
    <x v="20"/>
    <s v="GNR_ST_STRW_BP_E-27"/>
    <n v="9.98"/>
    <n v="9.9799999999999993E-3"/>
  </r>
  <r>
    <x v="0"/>
    <x v="0"/>
    <x v="10"/>
    <x v="20"/>
    <s v="DK2_Rural"/>
    <x v="20"/>
    <s v="GNR_ST_STRW_BP_E-28"/>
    <n v="11.5"/>
    <n v="1.15E-2"/>
  </r>
  <r>
    <x v="0"/>
    <x v="0"/>
    <x v="10"/>
    <x v="21"/>
    <s v="DK2_Rural"/>
    <x v="20"/>
    <s v="GNR_ST_STRW_BP_E-28"/>
    <n v="11.5"/>
    <n v="1.15E-2"/>
  </r>
  <r>
    <x v="0"/>
    <x v="0"/>
    <x v="10"/>
    <x v="20"/>
    <s v="DK1_Small"/>
    <x v="6"/>
    <s v="GNR_ST_WOODCHI_BP_E-15"/>
    <n v="0.6"/>
    <n v="5.9999999999999995E-4"/>
  </r>
  <r>
    <x v="0"/>
    <x v="0"/>
    <x v="10"/>
    <x v="20"/>
    <s v="DK1_Rural"/>
    <x v="6"/>
    <s v="GNR_ST_WOODCHI_BP_E-17"/>
    <n v="0.75"/>
    <n v="7.5000000000000002E-4"/>
  </r>
  <r>
    <x v="0"/>
    <x v="1"/>
    <x v="10"/>
    <x v="20"/>
    <s v="DK1_Rural"/>
    <x v="6"/>
    <s v="GNR_ST_WOODCHI_BP_E-17"/>
    <n v="0.75"/>
    <n v="7.5000000000000002E-4"/>
  </r>
  <r>
    <x v="0"/>
    <x v="0"/>
    <x v="10"/>
    <x v="20"/>
    <s v="DK1_Large"/>
    <x v="6"/>
    <s v="GNR_ST_WOODCHI_BP_E-23"/>
    <n v="7.5"/>
    <n v="7.4999999999999997E-3"/>
  </r>
  <r>
    <x v="0"/>
    <x v="1"/>
    <x v="10"/>
    <x v="20"/>
    <s v="DK1_Large"/>
    <x v="6"/>
    <s v="GNR_ST_WOODCHI_BP_E-23"/>
    <n v="7.5"/>
    <n v="7.4999999999999997E-3"/>
  </r>
  <r>
    <x v="0"/>
    <x v="0"/>
    <x v="10"/>
    <x v="21"/>
    <s v="DK2_Large"/>
    <x v="6"/>
    <s v="GNR_ST_WOODCHI_BP_E-24"/>
    <n v="11"/>
    <n v="1.0999999999999999E-2"/>
  </r>
  <r>
    <x v="0"/>
    <x v="0"/>
    <x v="10"/>
    <x v="20"/>
    <s v="DK1_Medium"/>
    <x v="6"/>
    <s v="GNR_ST_WOODCHI_BP_E-27"/>
    <n v="52"/>
    <n v="5.1999999999999998E-2"/>
  </r>
  <r>
    <x v="0"/>
    <x v="0"/>
    <x v="10"/>
    <x v="20"/>
    <s v="DK1_Rural"/>
    <x v="6"/>
    <s v="GNR_ST_WOODCHI_BP_E-27"/>
    <n v="4.7"/>
    <n v="4.7000000000000002E-3"/>
  </r>
  <r>
    <x v="0"/>
    <x v="0"/>
    <x v="10"/>
    <x v="21"/>
    <s v="DK2_Large"/>
    <x v="6"/>
    <s v="GNR_ST_WOODCHI_BP_E-27"/>
    <n v="15"/>
    <n v="1.4999999999999999E-2"/>
  </r>
  <r>
    <x v="0"/>
    <x v="0"/>
    <x v="10"/>
    <x v="21"/>
    <s v="DK2_Medium"/>
    <x v="6"/>
    <s v="GNR_ST_WOODCHI_BP_E-27"/>
    <n v="0.33"/>
    <n v="3.3E-4"/>
  </r>
  <r>
    <x v="0"/>
    <x v="1"/>
    <x v="10"/>
    <x v="21"/>
    <s v="DK2_Medium"/>
    <x v="6"/>
    <s v="GNR_ST_WOODCHI_BP_E-27"/>
    <n v="0.33"/>
    <n v="3.3E-4"/>
  </r>
  <r>
    <x v="0"/>
    <x v="0"/>
    <x v="10"/>
    <x v="20"/>
    <s v="DK1_Medium"/>
    <x v="6"/>
    <s v="GNR_ST_WOODCHI_BP_E-30"/>
    <n v="90.4"/>
    <n v="9.0399999999999994E-2"/>
  </r>
  <r>
    <x v="0"/>
    <x v="1"/>
    <x v="10"/>
    <x v="20"/>
    <s v="DK1_NoDH"/>
    <x v="6"/>
    <s v="GNR_ST_WOODCHI_EXT_E-30"/>
    <n v="92"/>
    <n v="9.1999999999999998E-2"/>
  </r>
  <r>
    <x v="0"/>
    <x v="0"/>
    <x v="10"/>
    <x v="21"/>
    <s v="DK2_Large"/>
    <x v="14"/>
    <s v="GNR_ST_WOODPEL_BP_E-18"/>
    <n v="64"/>
    <n v="6.4000000000000001E-2"/>
  </r>
  <r>
    <x v="0"/>
    <x v="0"/>
    <x v="10"/>
    <x v="20"/>
    <s v="DK1_Rural"/>
    <x v="14"/>
    <s v="GNR_ST_WOODPEL_BP_E-30"/>
    <n v="1.91"/>
    <n v="1.91E-3"/>
  </r>
  <r>
    <x v="0"/>
    <x v="0"/>
    <x v="10"/>
    <x v="21"/>
    <s v="DK2_Large"/>
    <x v="14"/>
    <s v="GNR_ST_WOODPEL_EXT_E-50"/>
    <n v="568"/>
    <n v="0.56799999999999995"/>
  </r>
  <r>
    <x v="0"/>
    <x v="0"/>
    <x v="10"/>
    <x v="20"/>
    <s v="DK1_Offshore"/>
    <x v="9"/>
    <s v="GNR_WT_WIND_OFF"/>
    <n v="821.700000000003"/>
    <n v="0.82170000000000298"/>
  </r>
  <r>
    <x v="0"/>
    <x v="0"/>
    <x v="10"/>
    <x v="21"/>
    <s v="DK2_Offshore"/>
    <x v="9"/>
    <s v="GNR_WT_WIND_OFF"/>
    <n v="444.400000000001"/>
    <n v="0.44440000000000102"/>
  </r>
  <r>
    <x v="0"/>
    <x v="0"/>
    <x v="9"/>
    <x v="16"/>
    <s v="DE4-E_Offshore_A"/>
    <x v="9"/>
    <s v="GNR_WT_WIND_OFF"/>
    <n v="336.3"/>
    <n v="0.33629999999999999"/>
  </r>
  <r>
    <x v="0"/>
    <x v="0"/>
    <x v="9"/>
    <x v="17"/>
    <s v="DE4-N_Offshore_A"/>
    <x v="9"/>
    <s v="GNR_WT_WIND_OFF"/>
    <n v="900"/>
    <n v="0.9"/>
  </r>
  <r>
    <x v="0"/>
    <x v="0"/>
    <x v="9"/>
    <x v="19"/>
    <s v="DE4-W_Offshore_A"/>
    <x v="9"/>
    <s v="GNR_WT_WIND_OFF"/>
    <n v="111"/>
    <n v="0.111"/>
  </r>
  <r>
    <x v="0"/>
    <x v="1"/>
    <x v="10"/>
    <x v="20"/>
    <s v="DK1_Offshore"/>
    <x v="9"/>
    <s v="GNR_WT_WIND_OFF"/>
    <n v="1393.9"/>
    <n v="1.3938999999999999"/>
  </r>
  <r>
    <x v="0"/>
    <x v="1"/>
    <x v="10"/>
    <x v="21"/>
    <s v="DK2_Offshore"/>
    <x v="9"/>
    <s v="GNR_WT_WIND_OFF"/>
    <n v="838.8"/>
    <n v="0.83879999999999999"/>
  </r>
  <r>
    <x v="0"/>
    <x v="1"/>
    <x v="9"/>
    <x v="16"/>
    <s v="DE4-E_Offshore_A"/>
    <x v="9"/>
    <s v="GNR_WT_WIND_OFF"/>
    <n v="2086.3000000000002"/>
    <n v="2.0863"/>
  </r>
  <r>
    <x v="0"/>
    <x v="1"/>
    <x v="9"/>
    <x v="17"/>
    <s v="DE4-N_Offshore_A"/>
    <x v="9"/>
    <s v="GNR_WT_WIND_OFF"/>
    <n v="1800"/>
    <n v="1.8"/>
  </r>
  <r>
    <x v="0"/>
    <x v="1"/>
    <x v="9"/>
    <x v="19"/>
    <s v="DE4-W_Offshore_A"/>
    <x v="9"/>
    <s v="GNR_WT_WIND_OFF"/>
    <n v="5511"/>
    <n v="5.5110000000000001"/>
  </r>
  <r>
    <x v="0"/>
    <x v="0"/>
    <x v="10"/>
    <x v="20"/>
    <s v="DK1_NoDH"/>
    <x v="9"/>
    <s v="GNR_WT_WIND_ONS"/>
    <n v="3259.3715000000998"/>
    <n v="3.2593715000000998"/>
  </r>
  <r>
    <x v="0"/>
    <x v="0"/>
    <x v="10"/>
    <x v="21"/>
    <s v="DK2_NoDH"/>
    <x v="9"/>
    <s v="GNR_WT_WIND_ONS"/>
    <n v="632.47249999999804"/>
    <n v="0.63247249999999799"/>
  </r>
  <r>
    <x v="0"/>
    <x v="0"/>
    <x v="2"/>
    <x v="2"/>
    <s v="FinA"/>
    <x v="9"/>
    <s v="GNR_WT_WIND_ONS"/>
    <n v="1532.2550000000001"/>
    <n v="1.5322549999999999"/>
  </r>
  <r>
    <x v="0"/>
    <x v="0"/>
    <x v="9"/>
    <x v="16"/>
    <s v="DE4-E_A"/>
    <x v="9"/>
    <s v="GNR_WT_WIND_ONS"/>
    <n v="17898.509999999998"/>
    <n v="17.898510000000002"/>
  </r>
  <r>
    <x v="0"/>
    <x v="0"/>
    <x v="9"/>
    <x v="17"/>
    <s v="DE4-N_A"/>
    <x v="9"/>
    <s v="GNR_WT_WIND_ONS"/>
    <n v="6944.87"/>
    <n v="6.9448699999999999"/>
  </r>
  <r>
    <x v="0"/>
    <x v="0"/>
    <x v="9"/>
    <x v="18"/>
    <s v="DE4-S_A"/>
    <x v="9"/>
    <s v="GNR_WT_WIND_ONS"/>
    <n v="7404.07"/>
    <n v="7.4040699999999999"/>
  </r>
  <r>
    <x v="0"/>
    <x v="0"/>
    <x v="9"/>
    <x v="19"/>
    <s v="DE4-W_A"/>
    <x v="9"/>
    <s v="GNR_WT_WIND_ONS"/>
    <n v="17465.05"/>
    <n v="17.465050000000002"/>
  </r>
  <r>
    <x v="0"/>
    <x v="0"/>
    <x v="5"/>
    <x v="10"/>
    <s v="NO2_A1"/>
    <x v="9"/>
    <s v="GNR_WT_WIND_ONS"/>
    <n v="536.15"/>
    <n v="0.53615000000000002"/>
  </r>
  <r>
    <x v="0"/>
    <x v="0"/>
    <x v="5"/>
    <x v="8"/>
    <s v="NO3_A1"/>
    <x v="9"/>
    <s v="GNR_WT_WIND_ONS"/>
    <n v="360.45"/>
    <n v="0.36044999999999999"/>
  </r>
  <r>
    <x v="0"/>
    <x v="0"/>
    <x v="5"/>
    <x v="11"/>
    <s v="NO4_A1"/>
    <x v="9"/>
    <s v="GNR_WT_WIND_ONS"/>
    <n v="262.8"/>
    <n v="0.26279999999999998"/>
  </r>
  <r>
    <x v="0"/>
    <x v="0"/>
    <x v="3"/>
    <x v="3"/>
    <s v="SE1A"/>
    <x v="9"/>
    <s v="GNR_WT_WIND_ONS"/>
    <n v="524"/>
    <n v="0.52400000000000002"/>
  </r>
  <r>
    <x v="0"/>
    <x v="0"/>
    <x v="3"/>
    <x v="4"/>
    <s v="SE2A"/>
    <x v="9"/>
    <s v="GNR_WT_WIND_ONS"/>
    <n v="2289"/>
    <n v="2.2890000000000001"/>
  </r>
  <r>
    <x v="0"/>
    <x v="0"/>
    <x v="3"/>
    <x v="5"/>
    <s v="SE3A"/>
    <x v="9"/>
    <s v="GNR_WT_WIND_ONS"/>
    <n v="2098"/>
    <n v="2.0979999999999999"/>
  </r>
  <r>
    <x v="0"/>
    <x v="0"/>
    <x v="3"/>
    <x v="6"/>
    <s v="SE4A"/>
    <x v="9"/>
    <s v="GNR_WT_WIND_ONS"/>
    <n v="1437.25"/>
    <n v="1.4372499999999999"/>
  </r>
  <r>
    <x v="0"/>
    <x v="1"/>
    <x v="10"/>
    <x v="20"/>
    <s v="DK1_NoDH"/>
    <x v="9"/>
    <s v="GNR_WT_WIND_ONS"/>
    <n v="1470.8920000000001"/>
    <n v="1.4708920000000001"/>
  </r>
  <r>
    <x v="0"/>
    <x v="1"/>
    <x v="10"/>
    <x v="21"/>
    <s v="DK2_NoDH"/>
    <x v="9"/>
    <s v="GNR_WT_WIND_ONS"/>
    <n v="280.71099999999899"/>
    <n v="0.28071099999999899"/>
  </r>
  <r>
    <x v="0"/>
    <x v="1"/>
    <x v="2"/>
    <x v="2"/>
    <s v="FinA"/>
    <x v="9"/>
    <s v="GNR_WT_WIND_ONS"/>
    <n v="3153.55"/>
    <n v="3.1535500000000001"/>
  </r>
  <r>
    <x v="0"/>
    <x v="1"/>
    <x v="9"/>
    <x v="16"/>
    <s v="DE4-E_A"/>
    <x v="9"/>
    <s v="GNR_WT_WIND_ONS"/>
    <n v="12956.17"/>
    <n v="12.95617"/>
  </r>
  <r>
    <x v="0"/>
    <x v="1"/>
    <x v="9"/>
    <x v="17"/>
    <s v="DE4-N_A"/>
    <x v="9"/>
    <s v="GNR_WT_WIND_ONS"/>
    <n v="6037.26"/>
    <n v="6.0372599999999998"/>
  </r>
  <r>
    <x v="0"/>
    <x v="1"/>
    <x v="9"/>
    <x v="18"/>
    <s v="DE4-S_A"/>
    <x v="9"/>
    <s v="GNR_WT_WIND_ONS"/>
    <n v="7317.88"/>
    <n v="7.3178799999999997"/>
  </r>
  <r>
    <x v="0"/>
    <x v="1"/>
    <x v="9"/>
    <x v="19"/>
    <s v="DE4-W_A"/>
    <x v="9"/>
    <s v="GNR_WT_WIND_ONS"/>
    <n v="13129.26"/>
    <n v="13.12926"/>
  </r>
  <r>
    <x v="0"/>
    <x v="1"/>
    <x v="5"/>
    <x v="9"/>
    <s v="NO1_A1"/>
    <x v="9"/>
    <s v="GNR_WT_WIND_ONS"/>
    <n v="262"/>
    <n v="0.26200000000000001"/>
  </r>
  <r>
    <x v="0"/>
    <x v="1"/>
    <x v="5"/>
    <x v="10"/>
    <s v="NO2_A1"/>
    <x v="9"/>
    <s v="GNR_WT_WIND_ONS"/>
    <n v="1097.4000000000001"/>
    <n v="1.0973999999999999"/>
  </r>
  <r>
    <x v="0"/>
    <x v="1"/>
    <x v="5"/>
    <x v="8"/>
    <s v="NO3_A1"/>
    <x v="9"/>
    <s v="GNR_WT_WIND_ONS"/>
    <n v="765.1"/>
    <n v="0.7651"/>
  </r>
  <r>
    <x v="0"/>
    <x v="1"/>
    <x v="5"/>
    <x v="11"/>
    <s v="NO4_A1"/>
    <x v="9"/>
    <s v="GNR_WT_WIND_ONS"/>
    <n v="682.5"/>
    <n v="0.6825"/>
  </r>
  <r>
    <x v="0"/>
    <x v="1"/>
    <x v="3"/>
    <x v="3"/>
    <s v="SE1A"/>
    <x v="9"/>
    <s v="GNR_WT_WIND_ONS"/>
    <n v="1968.5039999999999"/>
    <n v="1.968504"/>
  </r>
  <r>
    <x v="0"/>
    <x v="1"/>
    <x v="3"/>
    <x v="4"/>
    <s v="SE2A"/>
    <x v="9"/>
    <s v="GNR_WT_WIND_ONS"/>
    <n v="3742.6660000000002"/>
    <n v="3.7426659999999998"/>
  </r>
  <r>
    <x v="0"/>
    <x v="1"/>
    <x v="3"/>
    <x v="5"/>
    <s v="SE3A"/>
    <x v="9"/>
    <s v="GNR_WT_WIND_ONS"/>
    <n v="2779.11"/>
    <n v="2.7791100000000002"/>
  </r>
  <r>
    <x v="0"/>
    <x v="1"/>
    <x v="3"/>
    <x v="6"/>
    <s v="SE4A"/>
    <x v="9"/>
    <s v="GNR_WT_WIND_ONS"/>
    <n v="1481.2149999999999"/>
    <n v="1.4812149999999999"/>
  </r>
</pivotCacheRecords>
</file>

<file path=xl/pivotCache/pivotCacheRecords18.xml><?xml version="1.0" encoding="utf-8"?>
<pivotCacheRecords xmlns="http://schemas.openxmlformats.org/spreadsheetml/2006/main" xmlns:r="http://schemas.openxmlformats.org/officeDocument/2006/relationships" count="29">
  <r>
    <x v="0"/>
    <x v="0"/>
    <x v="0"/>
    <x v="0"/>
    <x v="0"/>
    <x v="0"/>
    <x v="0"/>
    <x v="0"/>
    <x v="0"/>
    <x v="0"/>
  </r>
  <r>
    <x v="0"/>
    <x v="0"/>
    <x v="0"/>
    <x v="0"/>
    <x v="0"/>
    <x v="0"/>
    <x v="0"/>
    <x v="0"/>
    <x v="1"/>
    <x v="1"/>
  </r>
  <r>
    <x v="0"/>
    <x v="0"/>
    <x v="0"/>
    <x v="0"/>
    <x v="0"/>
    <x v="1"/>
    <x v="0"/>
    <x v="0"/>
    <x v="1"/>
    <x v="2"/>
  </r>
  <r>
    <x v="0"/>
    <x v="0"/>
    <x v="0"/>
    <x v="0"/>
    <x v="0"/>
    <x v="2"/>
    <x v="0"/>
    <x v="0"/>
    <x v="1"/>
    <x v="3"/>
  </r>
  <r>
    <x v="0"/>
    <x v="0"/>
    <x v="0"/>
    <x v="0"/>
    <x v="0"/>
    <x v="3"/>
    <x v="0"/>
    <x v="0"/>
    <x v="1"/>
    <x v="4"/>
  </r>
  <r>
    <x v="0"/>
    <x v="0"/>
    <x v="0"/>
    <x v="0"/>
    <x v="0"/>
    <x v="4"/>
    <x v="0"/>
    <x v="0"/>
    <x v="1"/>
    <x v="5"/>
  </r>
  <r>
    <x v="0"/>
    <x v="0"/>
    <x v="0"/>
    <x v="0"/>
    <x v="0"/>
    <x v="5"/>
    <x v="0"/>
    <x v="0"/>
    <x v="1"/>
    <x v="6"/>
  </r>
  <r>
    <x v="0"/>
    <x v="0"/>
    <x v="0"/>
    <x v="0"/>
    <x v="1"/>
    <x v="6"/>
    <x v="0"/>
    <x v="0"/>
    <x v="0"/>
    <x v="7"/>
  </r>
  <r>
    <x v="0"/>
    <x v="0"/>
    <x v="0"/>
    <x v="0"/>
    <x v="1"/>
    <x v="6"/>
    <x v="0"/>
    <x v="0"/>
    <x v="1"/>
    <x v="8"/>
  </r>
  <r>
    <x v="0"/>
    <x v="0"/>
    <x v="0"/>
    <x v="0"/>
    <x v="1"/>
    <x v="7"/>
    <x v="0"/>
    <x v="0"/>
    <x v="2"/>
    <x v="9"/>
  </r>
  <r>
    <x v="0"/>
    <x v="0"/>
    <x v="0"/>
    <x v="0"/>
    <x v="1"/>
    <x v="7"/>
    <x v="0"/>
    <x v="0"/>
    <x v="1"/>
    <x v="10"/>
  </r>
  <r>
    <x v="0"/>
    <x v="0"/>
    <x v="0"/>
    <x v="0"/>
    <x v="1"/>
    <x v="8"/>
    <x v="0"/>
    <x v="0"/>
    <x v="0"/>
    <x v="11"/>
  </r>
  <r>
    <x v="0"/>
    <x v="0"/>
    <x v="0"/>
    <x v="0"/>
    <x v="1"/>
    <x v="8"/>
    <x v="0"/>
    <x v="0"/>
    <x v="1"/>
    <x v="12"/>
  </r>
  <r>
    <x v="0"/>
    <x v="0"/>
    <x v="0"/>
    <x v="0"/>
    <x v="1"/>
    <x v="5"/>
    <x v="0"/>
    <x v="0"/>
    <x v="1"/>
    <x v="6"/>
  </r>
  <r>
    <x v="0"/>
    <x v="0"/>
    <x v="0"/>
    <x v="0"/>
    <x v="1"/>
    <x v="9"/>
    <x v="0"/>
    <x v="0"/>
    <x v="2"/>
    <x v="13"/>
  </r>
  <r>
    <x v="0"/>
    <x v="0"/>
    <x v="0"/>
    <x v="0"/>
    <x v="1"/>
    <x v="9"/>
    <x v="0"/>
    <x v="0"/>
    <x v="1"/>
    <x v="14"/>
  </r>
  <r>
    <x v="0"/>
    <x v="0"/>
    <x v="0"/>
    <x v="1"/>
    <x v="2"/>
    <x v="10"/>
    <x v="1"/>
    <x v="1"/>
    <x v="3"/>
    <x v="15"/>
  </r>
  <r>
    <x v="0"/>
    <x v="0"/>
    <x v="0"/>
    <x v="2"/>
    <x v="3"/>
    <x v="11"/>
    <x v="0"/>
    <x v="0"/>
    <x v="2"/>
    <x v="16"/>
  </r>
  <r>
    <x v="0"/>
    <x v="0"/>
    <x v="0"/>
    <x v="3"/>
    <x v="4"/>
    <x v="12"/>
    <x v="0"/>
    <x v="0"/>
    <x v="2"/>
    <x v="17"/>
  </r>
  <r>
    <x v="0"/>
    <x v="0"/>
    <x v="0"/>
    <x v="3"/>
    <x v="5"/>
    <x v="13"/>
    <x v="0"/>
    <x v="0"/>
    <x v="2"/>
    <x v="18"/>
  </r>
  <r>
    <x v="0"/>
    <x v="0"/>
    <x v="0"/>
    <x v="3"/>
    <x v="5"/>
    <x v="14"/>
    <x v="0"/>
    <x v="0"/>
    <x v="2"/>
    <x v="19"/>
  </r>
  <r>
    <x v="0"/>
    <x v="0"/>
    <x v="0"/>
    <x v="3"/>
    <x v="6"/>
    <x v="15"/>
    <x v="0"/>
    <x v="0"/>
    <x v="2"/>
    <x v="20"/>
  </r>
  <r>
    <x v="0"/>
    <x v="0"/>
    <x v="0"/>
    <x v="3"/>
    <x v="6"/>
    <x v="16"/>
    <x v="0"/>
    <x v="0"/>
    <x v="2"/>
    <x v="21"/>
  </r>
  <r>
    <x v="0"/>
    <x v="0"/>
    <x v="0"/>
    <x v="3"/>
    <x v="6"/>
    <x v="17"/>
    <x v="0"/>
    <x v="0"/>
    <x v="2"/>
    <x v="22"/>
  </r>
  <r>
    <x v="0"/>
    <x v="0"/>
    <x v="0"/>
    <x v="3"/>
    <x v="6"/>
    <x v="18"/>
    <x v="0"/>
    <x v="0"/>
    <x v="2"/>
    <x v="23"/>
  </r>
  <r>
    <x v="0"/>
    <x v="0"/>
    <x v="0"/>
    <x v="3"/>
    <x v="6"/>
    <x v="19"/>
    <x v="0"/>
    <x v="0"/>
    <x v="2"/>
    <x v="24"/>
  </r>
  <r>
    <x v="0"/>
    <x v="0"/>
    <x v="0"/>
    <x v="3"/>
    <x v="7"/>
    <x v="20"/>
    <x v="0"/>
    <x v="0"/>
    <x v="2"/>
    <x v="25"/>
  </r>
  <r>
    <x v="0"/>
    <x v="0"/>
    <x v="0"/>
    <x v="3"/>
    <x v="7"/>
    <x v="21"/>
    <x v="0"/>
    <x v="0"/>
    <x v="2"/>
    <x v="26"/>
  </r>
  <r>
    <x v="0"/>
    <x v="0"/>
    <x v="0"/>
    <x v="3"/>
    <x v="7"/>
    <x v="22"/>
    <x v="0"/>
    <x v="0"/>
    <x v="2"/>
    <x v="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pivotTable1.xml><?xml version="1.0" encoding="utf-8"?>
<pivotTableDefinition xmlns="http://schemas.openxmlformats.org/spreadsheetml/2006/main" name="PivotTable1" cacheId="330"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18" firstHeaderRow="1" firstDataRow="1" firstDataCol="1"/>
  <pivotFields count="3">
    <pivotField showAll="0" defaultSubtotal="0"/>
    <pivotField showAll="0" defaultSubtotal="0"/>
    <pivotField axis="axisRow" showAll="0" defaultSubtotal="0">
      <items count="4">
        <item x="1"/>
        <item x="0"/>
        <item x="2"/>
        <item x="3"/>
      </items>
    </pivotField>
  </pivotFields>
  <rowFields count="1">
    <field x="2"/>
  </rowFields>
  <rowItems count="4">
    <i>
      <x/>
    </i>
    <i>
      <x v="1"/>
    </i>
    <i>
      <x v="2"/>
    </i>
    <i>
      <x v="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33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U56" firstHeaderRow="1" firstDataRow="4" firstDataCol="4"/>
  <pivotFields count="8">
    <pivotField axis="axisCol"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Col" compact="0" outline="0" showAll="0" defaultSubtotal="0">
      <items count="4">
        <item x="0"/>
        <item x="1"/>
        <item x="2"/>
        <item x="3"/>
      </items>
      <extLst>
        <ext xmlns:x14="http://schemas.microsoft.com/office/spreadsheetml/2009/9/main" uri="{2946ED86-A175-432a-8AC1-64E0C546D7DE}">
          <x14:pivotField fillDownLabels="1"/>
        </ext>
      </extLst>
    </pivotField>
    <pivotField axis="axisCol" compact="0" outline="0" showAll="0" sortType="ascending" defaultSubtotal="0">
      <items count="15">
        <item x="2"/>
        <item x="3"/>
        <item x="4"/>
        <item x="5"/>
        <item x="0"/>
        <item x="1"/>
        <item x="6"/>
        <item x="7"/>
        <item x="8"/>
        <item x="9"/>
        <item x="10"/>
        <item x="11"/>
        <item x="12"/>
        <item x="13"/>
        <item x="14"/>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5"/>
    <field x="6"/>
  </rowFields>
  <rowItems count="49">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1">
      <x v="1"/>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t="grand">
      <x/>
    </i>
  </rowItems>
  <colFields count="3">
    <field x="4"/>
    <field x="3"/>
    <field x="0"/>
  </colFields>
  <colItems count="16">
    <i>
      <x/>
      <x v="1"/>
      <x/>
    </i>
    <i>
      <x v="1"/>
      <x v="1"/>
      <x/>
    </i>
    <i>
      <x v="2"/>
      <x v="1"/>
      <x/>
    </i>
    <i>
      <x v="3"/>
      <x v="1"/>
      <x/>
    </i>
    <i>
      <x v="4"/>
      <x/>
      <x/>
    </i>
    <i>
      <x v="5"/>
      <x/>
      <x/>
    </i>
    <i>
      <x v="6"/>
      <x v="2"/>
      <x/>
    </i>
    <i>
      <x v="7"/>
      <x v="2"/>
      <x/>
    </i>
    <i>
      <x v="8"/>
      <x v="2"/>
      <x/>
    </i>
    <i>
      <x v="9"/>
      <x v="2"/>
      <x/>
    </i>
    <i>
      <x v="10"/>
      <x v="2"/>
      <x/>
    </i>
    <i>
      <x v="11"/>
      <x v="3"/>
      <x/>
    </i>
    <i>
      <x v="12"/>
      <x v="3"/>
      <x/>
    </i>
    <i>
      <x v="13"/>
      <x v="3"/>
      <x/>
    </i>
    <i>
      <x v="14"/>
      <x v="3"/>
      <x/>
    </i>
    <i t="grand">
      <x/>
    </i>
  </colItems>
  <dataFields count="1">
    <dataField name="Average of OMONEY/MWh" fld="7" subtotal="average" baseField="4" baseItem="0"/>
  </dataFields>
  <chartFormats count="16">
    <chartFormat chart="1" format="3" series="1">
      <pivotArea type="data" outline="0" fieldPosition="0">
        <references count="1">
          <reference field="4294967294" count="1" selected="0">
            <x v="0"/>
          </reference>
        </references>
      </pivotArea>
    </chartFormat>
    <chartFormat chart="1" format="124" series="1">
      <pivotArea type="data" outline="0" fieldPosition="0">
        <references count="2">
          <reference field="4294967294" count="1" selected="0">
            <x v="0"/>
          </reference>
          <reference field="4" count="1" selected="0">
            <x v="4"/>
          </reference>
        </references>
      </pivotArea>
    </chartFormat>
    <chartFormat chart="1" format="125" series="1">
      <pivotArea type="data" outline="0" fieldPosition="0">
        <references count="2">
          <reference field="4294967294" count="1" selected="0">
            <x v="0"/>
          </reference>
          <reference field="4" count="1" selected="0">
            <x v="5"/>
          </reference>
        </references>
      </pivotArea>
    </chartFormat>
    <chartFormat chart="1" format="165" series="1">
      <pivotArea type="data" outline="0" fieldPosition="0">
        <references count="4">
          <reference field="4294967294" count="1" selected="0">
            <x v="0"/>
          </reference>
          <reference field="0" count="1" selected="0">
            <x v="0"/>
          </reference>
          <reference field="3" count="1" selected="0">
            <x v="0"/>
          </reference>
          <reference field="4" count="1" selected="0">
            <x v="4"/>
          </reference>
        </references>
      </pivotArea>
    </chartFormat>
    <chartFormat chart="1" format="166" series="1">
      <pivotArea type="data" outline="0" fieldPosition="0">
        <references count="4">
          <reference field="4294967294" count="1" selected="0">
            <x v="0"/>
          </reference>
          <reference field="0" count="1" selected="0">
            <x v="0"/>
          </reference>
          <reference field="3" count="1" selected="0">
            <x v="0"/>
          </reference>
          <reference field="4" count="1" selected="0">
            <x v="5"/>
          </reference>
        </references>
      </pivotArea>
    </chartFormat>
    <chartFormat chart="1" format="167" series="1">
      <pivotArea type="data" outline="0" fieldPosition="0">
        <references count="4">
          <reference field="4294967294" count="1" selected="0">
            <x v="0"/>
          </reference>
          <reference field="0" count="1" selected="0">
            <x v="0"/>
          </reference>
          <reference field="3" count="1" selected="0">
            <x v="1"/>
          </reference>
          <reference field="4" count="1" selected="0">
            <x v="2"/>
          </reference>
        </references>
      </pivotArea>
    </chartFormat>
    <chartFormat chart="1" format="168" series="1">
      <pivotArea type="data" outline="0" fieldPosition="0">
        <references count="4">
          <reference field="4294967294" count="1" selected="0">
            <x v="0"/>
          </reference>
          <reference field="0" count="1" selected="0">
            <x v="0"/>
          </reference>
          <reference field="3" count="1" selected="0">
            <x v="1"/>
          </reference>
          <reference field="4" count="1" selected="0">
            <x v="3"/>
          </reference>
        </references>
      </pivotArea>
    </chartFormat>
    <chartFormat chart="1" format="169" series="1">
      <pivotArea type="data" outline="0" fieldPosition="0">
        <references count="4">
          <reference field="4294967294" count="1" selected="0">
            <x v="0"/>
          </reference>
          <reference field="0" count="1" selected="0">
            <x v="0"/>
          </reference>
          <reference field="3" count="1" selected="0">
            <x v="2"/>
          </reference>
          <reference field="4" count="1" selected="0">
            <x v="6"/>
          </reference>
        </references>
      </pivotArea>
    </chartFormat>
    <chartFormat chart="1" format="170" series="1">
      <pivotArea type="data" outline="0" fieldPosition="0">
        <references count="4">
          <reference field="4294967294" count="1" selected="0">
            <x v="0"/>
          </reference>
          <reference field="0" count="1" selected="0">
            <x v="0"/>
          </reference>
          <reference field="3" count="1" selected="0">
            <x v="2"/>
          </reference>
          <reference field="4" count="1" selected="0">
            <x v="7"/>
          </reference>
        </references>
      </pivotArea>
    </chartFormat>
    <chartFormat chart="1" format="171" series="1">
      <pivotArea type="data" outline="0" fieldPosition="0">
        <references count="4">
          <reference field="4294967294" count="1" selected="0">
            <x v="0"/>
          </reference>
          <reference field="0" count="1" selected="0">
            <x v="0"/>
          </reference>
          <reference field="3" count="1" selected="0">
            <x v="2"/>
          </reference>
          <reference field="4" count="1" selected="0">
            <x v="8"/>
          </reference>
        </references>
      </pivotArea>
    </chartFormat>
    <chartFormat chart="1" format="172" series="1">
      <pivotArea type="data" outline="0" fieldPosition="0">
        <references count="4">
          <reference field="4294967294" count="1" selected="0">
            <x v="0"/>
          </reference>
          <reference field="0" count="1" selected="0">
            <x v="0"/>
          </reference>
          <reference field="3" count="1" selected="0">
            <x v="2"/>
          </reference>
          <reference field="4" count="1" selected="0">
            <x v="9"/>
          </reference>
        </references>
      </pivotArea>
    </chartFormat>
    <chartFormat chart="1" format="173" series="1">
      <pivotArea type="data" outline="0" fieldPosition="0">
        <references count="4">
          <reference field="4294967294" count="1" selected="0">
            <x v="0"/>
          </reference>
          <reference field="0" count="1" selected="0">
            <x v="0"/>
          </reference>
          <reference field="3" count="1" selected="0">
            <x v="2"/>
          </reference>
          <reference field="4" count="1" selected="0">
            <x v="10"/>
          </reference>
        </references>
      </pivotArea>
    </chartFormat>
    <chartFormat chart="1" format="174" series="1">
      <pivotArea type="data" outline="0" fieldPosition="0">
        <references count="4">
          <reference field="4294967294" count="1" selected="0">
            <x v="0"/>
          </reference>
          <reference field="0" count="1" selected="0">
            <x v="0"/>
          </reference>
          <reference field="3" count="1" selected="0">
            <x v="3"/>
          </reference>
          <reference field="4" count="1" selected="0">
            <x v="11"/>
          </reference>
        </references>
      </pivotArea>
    </chartFormat>
    <chartFormat chart="1" format="175" series="1">
      <pivotArea type="data" outline="0" fieldPosition="0">
        <references count="4">
          <reference field="4294967294" count="1" selected="0">
            <x v="0"/>
          </reference>
          <reference field="0" count="1" selected="0">
            <x v="0"/>
          </reference>
          <reference field="3" count="1" selected="0">
            <x v="3"/>
          </reference>
          <reference field="4" count="1" selected="0">
            <x v="12"/>
          </reference>
        </references>
      </pivotArea>
    </chartFormat>
    <chartFormat chart="1" format="176" series="1">
      <pivotArea type="data" outline="0" fieldPosition="0">
        <references count="4">
          <reference field="4294967294" count="1" selected="0">
            <x v="0"/>
          </reference>
          <reference field="0" count="1" selected="0">
            <x v="0"/>
          </reference>
          <reference field="3" count="1" selected="0">
            <x v="3"/>
          </reference>
          <reference field="4" count="1" selected="0">
            <x v="13"/>
          </reference>
        </references>
      </pivotArea>
    </chartFormat>
    <chartFormat chart="1" format="177" series="1">
      <pivotArea type="data" outline="0" fieldPosition="0">
        <references count="4">
          <reference field="4294967294" count="1" selected="0">
            <x v="0"/>
          </reference>
          <reference field="0" count="1" selected="0">
            <x v="0"/>
          </reference>
          <reference field="3" count="1" selected="0">
            <x v="3"/>
          </reference>
          <reference field="4" count="1" selected="0">
            <x v="1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33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AH31" firstHeaderRow="1" firstDataRow="2" firstDataCol="2" rowPageCount="2" colPageCount="1"/>
  <pivotFields count="10">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3">
        <item x="0"/>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30">
        <item x="0"/>
        <item x="1"/>
        <item x="2"/>
        <item x="3"/>
        <item x="4"/>
        <item x="6"/>
        <item x="7"/>
        <item x="8"/>
        <item x="5"/>
        <item x="9"/>
        <item x="10"/>
        <item x="11"/>
        <item x="12"/>
        <item x="13"/>
        <item x="14"/>
        <item x="15"/>
        <item x="16"/>
        <item x="17"/>
        <item x="18"/>
        <item x="19"/>
        <item x="20"/>
        <item x="21"/>
        <item x="22"/>
        <item x="23"/>
        <item x="24"/>
        <item x="25"/>
        <item x="26"/>
        <item x="27"/>
        <item x="28"/>
        <item x="29"/>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6"/>
    <field x="7"/>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1">
    <field x="5"/>
  </colFields>
  <col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colItems>
  <pageFields count="2">
    <pageField fld="0" hier="-1"/>
    <pageField fld="3" hier="-1"/>
  </pageFields>
  <dataFields count="1">
    <dataField name="Sum of OMONEY/MWh" fld="9" baseField="0" baseItem="0"/>
  </dataFields>
  <chartFormats count="11">
    <chartFormat chart="1" format="2" series="1">
      <pivotArea type="data" outline="0" fieldPosition="0">
        <references count="1">
          <reference field="4294967294" count="1" selected="0">
            <x v="0"/>
          </reference>
        </references>
      </pivotArea>
    </chartFormat>
    <chartFormat chart="1" format="90" series="1">
      <pivotArea type="data" outline="0" fieldPosition="0">
        <references count="2">
          <reference field="4294967294" count="1" selected="0">
            <x v="0"/>
          </reference>
          <reference field="5" count="1" selected="0">
            <x v="0"/>
          </reference>
        </references>
      </pivotArea>
    </chartFormat>
    <chartFormat chart="1" format="91" series="1">
      <pivotArea type="data" outline="0" fieldPosition="0">
        <references count="2">
          <reference field="4294967294" count="1" selected="0">
            <x v="0"/>
          </reference>
          <reference field="5" count="1" selected="0">
            <x v="1"/>
          </reference>
        </references>
      </pivotArea>
    </chartFormat>
    <chartFormat chart="1" format="92" series="1">
      <pivotArea type="data" outline="0" fieldPosition="0">
        <references count="2">
          <reference field="4294967294" count="1" selected="0">
            <x v="0"/>
          </reference>
          <reference field="5" count="1" selected="0">
            <x v="2"/>
          </reference>
        </references>
      </pivotArea>
    </chartFormat>
    <chartFormat chart="1" format="93" series="1">
      <pivotArea type="data" outline="0" fieldPosition="0">
        <references count="2">
          <reference field="4294967294" count="1" selected="0">
            <x v="0"/>
          </reference>
          <reference field="5" count="1" selected="0">
            <x v="3"/>
          </reference>
        </references>
      </pivotArea>
    </chartFormat>
    <chartFormat chart="1" format="94" series="1">
      <pivotArea type="data" outline="0" fieldPosition="0">
        <references count="2">
          <reference field="4294967294" count="1" selected="0">
            <x v="0"/>
          </reference>
          <reference field="5" count="1" selected="0">
            <x v="4"/>
          </reference>
        </references>
      </pivotArea>
    </chartFormat>
    <chartFormat chart="1" format="95" series="1">
      <pivotArea type="data" outline="0" fieldPosition="0">
        <references count="2">
          <reference field="4294967294" count="1" selected="0">
            <x v="0"/>
          </reference>
          <reference field="5" count="1" selected="0">
            <x v="5"/>
          </reference>
        </references>
      </pivotArea>
    </chartFormat>
    <chartFormat chart="1" format="96" series="1">
      <pivotArea type="data" outline="0" fieldPosition="0">
        <references count="2">
          <reference field="4294967294" count="1" selected="0">
            <x v="0"/>
          </reference>
          <reference field="5" count="1" selected="0">
            <x v="6"/>
          </reference>
        </references>
      </pivotArea>
    </chartFormat>
    <chartFormat chart="1" format="97" series="1">
      <pivotArea type="data" outline="0" fieldPosition="0">
        <references count="2">
          <reference field="4294967294" count="1" selected="0">
            <x v="0"/>
          </reference>
          <reference field="5" count="1" selected="0">
            <x v="7"/>
          </reference>
        </references>
      </pivotArea>
    </chartFormat>
    <chartFormat chart="1" format="98" series="1">
      <pivotArea type="data" outline="0" fieldPosition="0">
        <references count="2">
          <reference field="4294967294" count="1" selected="0">
            <x v="0"/>
          </reference>
          <reference field="5" count="1" selected="0">
            <x v="8"/>
          </reference>
        </references>
      </pivotArea>
    </chartFormat>
    <chartFormat chart="1" format="99" series="1">
      <pivotArea type="data" outline="0" fieldPosition="0">
        <references count="2">
          <reference field="4294967294" count="1" selected="0">
            <x v="0"/>
          </reference>
          <reference field="5"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33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3:R9" firstHeaderRow="1" firstDataRow="2" firstDataCol="1"/>
  <pivotFields count="11">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
        <item x="0"/>
        <item x="1"/>
        <item x="2"/>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5">
        <item x="4"/>
        <item x="1"/>
        <item x="6"/>
        <item x="0"/>
        <item x="8"/>
        <item x="2"/>
        <item x="3"/>
        <item x="5"/>
        <item x="7"/>
        <item x="9"/>
        <item x="10"/>
        <item x="11"/>
        <item x="12"/>
        <item x="13"/>
        <item x="1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3"/>
  </rowFields>
  <rowItems count="5">
    <i>
      <x/>
    </i>
    <i>
      <x v="1"/>
    </i>
    <i>
      <x v="2"/>
    </i>
    <i>
      <x v="3"/>
    </i>
    <i t="grand">
      <x/>
    </i>
  </rowItems>
  <colFields count="1">
    <field x="6"/>
  </colFields>
  <colItems count="16">
    <i>
      <x/>
    </i>
    <i>
      <x v="1"/>
    </i>
    <i>
      <x v="2"/>
    </i>
    <i>
      <x v="3"/>
    </i>
    <i>
      <x v="4"/>
    </i>
    <i>
      <x v="5"/>
    </i>
    <i>
      <x v="6"/>
    </i>
    <i>
      <x v="7"/>
    </i>
    <i>
      <x v="8"/>
    </i>
    <i>
      <x v="9"/>
    </i>
    <i>
      <x v="10"/>
    </i>
    <i>
      <x v="11"/>
    </i>
    <i>
      <x v="12"/>
    </i>
    <i>
      <x v="13"/>
    </i>
    <i>
      <x v="14"/>
    </i>
    <i t="grand">
      <x/>
    </i>
  </colItems>
  <dataFields count="1">
    <dataField name="Sum of TWh" fld="9" baseField="0" baseItem="0"/>
  </dataFields>
  <formats count="3">
    <format dxfId="3">
      <pivotArea collapsedLevelsAreSubtotals="1" fieldPosition="0">
        <references count="1">
          <reference field="6" count="1">
            <x v="0"/>
          </reference>
        </references>
      </pivotArea>
    </format>
    <format dxfId="2">
      <pivotArea collapsedLevelsAreSubtotals="1" fieldPosition="0">
        <references count="1">
          <reference field="6" count="1">
            <x v="1"/>
          </reference>
        </references>
      </pivotArea>
    </format>
    <format dxfId="1">
      <pivotArea collapsedLevelsAreSubtotals="1" fieldPosition="0">
        <references count="1">
          <reference field="6" count="1">
            <x v="2"/>
          </reference>
        </references>
      </pivotArea>
    </format>
  </formats>
  <chartFormats count="3">
    <chartFormat chart="0" format="0"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34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9" fieldListSortAscending="1">
  <location ref="B4:J2036" firstHeaderRow="1" firstDataRow="2" firstDataCol="4" rowPageCount="1" colPageCount="1"/>
  <pivotFields count="14">
    <pivotField compact="0" outline="0" multipleItemSelectionAllowed="1"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4">
        <item x="0"/>
        <item x="1"/>
        <item x="2"/>
        <item x="3"/>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5">
        <item x="4"/>
        <item x="0"/>
        <item x="1"/>
        <item x="8"/>
        <item x="6"/>
        <item x="2"/>
        <item x="3"/>
        <item x="5"/>
        <item x="7"/>
        <item x="9"/>
        <item x="10"/>
        <item x="11"/>
        <item x="12"/>
        <item x="13"/>
        <item x="14"/>
      </items>
      <extLst>
        <ext xmlns:x14="http://schemas.microsoft.com/office/spreadsheetml/2009/9/main" uri="{2946ED86-A175-432a-8AC1-64E0C546D7DE}">
          <x14:pivotField fillDownLabels="1"/>
        </ext>
      </extLst>
    </pivotField>
    <pivotField axis="axisRow" compact="0" outline="0" multipleItemSelectionAllowed="1" showAll="0" defaultSubtotal="0">
      <items count="10">
        <item x="4"/>
        <item x="8"/>
        <item x="0"/>
        <item x="1"/>
        <item x="2"/>
        <item x="3"/>
        <item x="5"/>
        <item x="6"/>
        <item x="7"/>
        <item x="9"/>
      </items>
      <extLst>
        <ext xmlns:x14="http://schemas.microsoft.com/office/spreadsheetml/2009/9/main" uri="{2946ED86-A175-432a-8AC1-64E0C546D7DE}">
          <x14:pivotField fillDownLabels="1"/>
        </ext>
      </extLst>
    </pivotField>
    <pivotField axis="axisRow" compact="0" outline="0" multipleItemSelectionAllowed="1" showAll="0" defaultSubtotal="0">
      <items count="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4">
    <field x="9"/>
    <field x="7"/>
    <field x="8"/>
    <field x="10"/>
  </rowFields>
  <rowItems count="2031">
    <i>
      <x/>
      <x/>
      <x v="10"/>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56"/>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1">
      <x v="1"/>
      <x v="47"/>
      <x/>
    </i>
    <i r="3">
      <x v="1"/>
    </i>
    <i r="3">
      <x v="2"/>
    </i>
    <i r="3">
      <x v="4"/>
    </i>
    <i r="3">
      <x v="6"/>
    </i>
    <i r="3">
      <x v="9"/>
    </i>
    <i r="3">
      <x v="11"/>
    </i>
    <i r="3">
      <x v="12"/>
    </i>
    <i r="3">
      <x v="13"/>
    </i>
    <i r="3">
      <x v="14"/>
    </i>
    <i r="3">
      <x v="15"/>
    </i>
    <i r="3">
      <x v="16"/>
    </i>
    <i r="3">
      <x v="17"/>
    </i>
    <i r="3">
      <x v="18"/>
    </i>
    <i r="3">
      <x v="19"/>
    </i>
    <i r="3">
      <x v="20"/>
    </i>
    <i r="3">
      <x v="21"/>
    </i>
    <i r="3">
      <x v="22"/>
    </i>
    <i r="3">
      <x v="23"/>
    </i>
    <i r="2">
      <x v="57"/>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1">
      <x v="2"/>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1"/>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31"/>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63"/>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66"/>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69"/>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74"/>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1">
      <x v="3"/>
      <x v="2"/>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13"/>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14"/>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15"/>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16"/>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17"/>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18"/>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19"/>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20"/>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21"/>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22"/>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54"/>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58"/>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67"/>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73"/>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80"/>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87"/>
      <x v="4"/>
    </i>
    <i r="3">
      <x v="5"/>
    </i>
    <i r="3">
      <x v="6"/>
    </i>
    <i r="3">
      <x v="7"/>
    </i>
    <i r="3">
      <x v="8"/>
    </i>
    <i r="3">
      <x v="9"/>
    </i>
    <i r="3">
      <x v="10"/>
    </i>
    <i r="3">
      <x v="12"/>
    </i>
    <i r="3">
      <x v="13"/>
    </i>
    <i r="3">
      <x v="14"/>
    </i>
    <i r="3">
      <x v="15"/>
    </i>
    <i r="3">
      <x v="16"/>
    </i>
    <i r="3">
      <x v="18"/>
    </i>
    <i r="3">
      <x v="19"/>
    </i>
    <i r="2">
      <x v="88"/>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90"/>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1">
      <x v="4"/>
      <x v="3"/>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4"/>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5"/>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6"/>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7"/>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8"/>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23"/>
      <x v="7"/>
    </i>
    <i r="3">
      <x v="8"/>
    </i>
    <i r="3">
      <x v="9"/>
    </i>
    <i r="3">
      <x v="10"/>
    </i>
    <i r="3">
      <x v="11"/>
    </i>
    <i r="3">
      <x v="12"/>
    </i>
    <i r="3">
      <x v="13"/>
    </i>
    <i r="3">
      <x v="14"/>
    </i>
    <i r="3">
      <x v="15"/>
    </i>
    <i r="3">
      <x v="16"/>
    </i>
    <i r="3">
      <x v="17"/>
    </i>
    <i r="3">
      <x v="18"/>
    </i>
    <i r="3">
      <x v="19"/>
    </i>
    <i r="3">
      <x v="20"/>
    </i>
    <i r="2">
      <x v="24"/>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25"/>
      <x v="18"/>
    </i>
    <i r="3">
      <x v="19"/>
    </i>
    <i r="3">
      <x v="20"/>
    </i>
    <i r="3">
      <x v="21"/>
    </i>
    <i r="2">
      <x v="26"/>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27"/>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28"/>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29"/>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30"/>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32"/>
      <x v="3"/>
    </i>
    <i r="3">
      <x v="4"/>
    </i>
    <i r="3">
      <x v="5"/>
    </i>
    <i r="3">
      <x v="6"/>
    </i>
    <i r="3">
      <x v="7"/>
    </i>
    <i r="3">
      <x v="8"/>
    </i>
    <i r="3">
      <x v="9"/>
    </i>
    <i r="3">
      <x v="10"/>
    </i>
    <i r="3">
      <x v="11"/>
    </i>
    <i r="3">
      <x v="12"/>
    </i>
    <i r="3">
      <x v="13"/>
    </i>
    <i r="3">
      <x v="15"/>
    </i>
    <i r="3">
      <x v="16"/>
    </i>
    <i r="3">
      <x v="17"/>
    </i>
    <i r="3">
      <x v="18"/>
    </i>
    <i r="3">
      <x v="19"/>
    </i>
    <i r="3">
      <x v="20"/>
    </i>
    <i r="3">
      <x v="21"/>
    </i>
    <i r="3">
      <x v="22"/>
    </i>
    <i r="2">
      <x v="33"/>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34"/>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35"/>
      <x v="6"/>
    </i>
    <i r="3">
      <x v="7"/>
    </i>
    <i r="3">
      <x v="8"/>
    </i>
    <i r="3">
      <x v="9"/>
    </i>
    <i r="3">
      <x v="10"/>
    </i>
    <i r="3">
      <x v="11"/>
    </i>
    <i r="3">
      <x v="12"/>
    </i>
    <i r="3">
      <x v="13"/>
    </i>
    <i r="3">
      <x v="14"/>
    </i>
    <i r="3">
      <x v="15"/>
    </i>
    <i r="3">
      <x v="16"/>
    </i>
    <i r="3">
      <x v="17"/>
    </i>
    <i r="3">
      <x v="18"/>
    </i>
    <i r="3">
      <x v="19"/>
    </i>
    <i r="3">
      <x v="20"/>
    </i>
    <i r="3">
      <x v="21"/>
    </i>
    <i r="3">
      <x v="22"/>
    </i>
    <i r="3">
      <x v="23"/>
    </i>
    <i r="2">
      <x v="36"/>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38"/>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50"/>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51"/>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55"/>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59"/>
      <x v="4"/>
    </i>
    <i r="3">
      <x v="5"/>
    </i>
    <i r="3">
      <x v="6"/>
    </i>
    <i r="3">
      <x v="7"/>
    </i>
    <i r="3">
      <x v="8"/>
    </i>
    <i r="3">
      <x v="9"/>
    </i>
    <i r="3">
      <x v="10"/>
    </i>
    <i r="3">
      <x v="11"/>
    </i>
    <i r="3">
      <x v="12"/>
    </i>
    <i r="3">
      <x v="13"/>
    </i>
    <i r="3">
      <x v="14"/>
    </i>
    <i r="3">
      <x v="15"/>
    </i>
    <i r="3">
      <x v="16"/>
    </i>
    <i r="3">
      <x v="17"/>
    </i>
    <i r="3">
      <x v="18"/>
    </i>
    <i r="3">
      <x v="19"/>
    </i>
    <i r="3">
      <x v="20"/>
    </i>
    <i r="3">
      <x v="21"/>
    </i>
    <i r="3">
      <x v="22"/>
    </i>
    <i r="3">
      <x v="23"/>
    </i>
    <i r="2">
      <x v="60"/>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61"/>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62"/>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64"/>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68"/>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70"/>
      <x v="5"/>
    </i>
    <i r="3">
      <x v="6"/>
    </i>
    <i r="3">
      <x v="7"/>
    </i>
    <i r="3">
      <x v="8"/>
    </i>
    <i r="3">
      <x v="9"/>
    </i>
    <i r="3">
      <x v="10"/>
    </i>
    <i r="3">
      <x v="11"/>
    </i>
    <i r="3">
      <x v="12"/>
    </i>
    <i r="3">
      <x v="13"/>
    </i>
    <i r="3">
      <x v="14"/>
    </i>
    <i r="3">
      <x v="15"/>
    </i>
    <i r="3">
      <x v="16"/>
    </i>
    <i r="3">
      <x v="17"/>
    </i>
    <i r="3">
      <x v="18"/>
    </i>
    <i r="3">
      <x v="19"/>
    </i>
    <i r="3">
      <x v="20"/>
    </i>
    <i r="3">
      <x v="21"/>
    </i>
    <i r="2">
      <x v="71"/>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72"/>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75"/>
      <x v="5"/>
    </i>
    <i r="3">
      <x v="6"/>
    </i>
    <i r="3">
      <x v="7"/>
    </i>
    <i r="3">
      <x v="8"/>
    </i>
    <i r="3">
      <x v="9"/>
    </i>
    <i r="3">
      <x v="10"/>
    </i>
    <i r="3">
      <x v="11"/>
    </i>
    <i r="3">
      <x v="12"/>
    </i>
    <i r="3">
      <x v="13"/>
    </i>
    <i r="3">
      <x v="14"/>
    </i>
    <i r="3">
      <x v="15"/>
    </i>
    <i r="3">
      <x v="16"/>
    </i>
    <i r="3">
      <x v="17"/>
    </i>
    <i r="3">
      <x v="18"/>
    </i>
    <i r="3">
      <x v="19"/>
    </i>
    <i r="3">
      <x v="20"/>
    </i>
    <i r="3">
      <x v="21"/>
    </i>
    <i r="2">
      <x v="76"/>
      <x v="5"/>
    </i>
    <i r="3">
      <x v="6"/>
    </i>
    <i r="3">
      <x v="7"/>
    </i>
    <i r="3">
      <x v="8"/>
    </i>
    <i r="3">
      <x v="9"/>
    </i>
    <i r="3">
      <x v="10"/>
    </i>
    <i r="3">
      <x v="11"/>
    </i>
    <i r="3">
      <x v="12"/>
    </i>
    <i r="3">
      <x v="13"/>
    </i>
    <i r="3">
      <x v="14"/>
    </i>
    <i r="3">
      <x v="15"/>
    </i>
    <i r="3">
      <x v="16"/>
    </i>
    <i r="3">
      <x v="19"/>
    </i>
    <i r="3">
      <x v="20"/>
    </i>
    <i r="2">
      <x v="77"/>
      <x v="6"/>
    </i>
    <i r="3">
      <x v="7"/>
    </i>
    <i r="3">
      <x v="8"/>
    </i>
    <i r="3">
      <x v="9"/>
    </i>
    <i r="3">
      <x v="10"/>
    </i>
    <i r="3">
      <x v="11"/>
    </i>
    <i r="3">
      <x v="12"/>
    </i>
    <i r="3">
      <x v="13"/>
    </i>
    <i r="3">
      <x v="14"/>
    </i>
    <i r="3">
      <x v="15"/>
    </i>
    <i r="3">
      <x v="16"/>
    </i>
    <i r="3">
      <x v="17"/>
    </i>
    <i r="3">
      <x v="18"/>
    </i>
    <i r="3">
      <x v="19"/>
    </i>
    <i r="3">
      <x v="20"/>
    </i>
    <i r="3">
      <x v="21"/>
    </i>
    <i r="3">
      <x v="22"/>
    </i>
    <i r="3">
      <x v="23"/>
    </i>
    <i r="2">
      <x v="78"/>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79"/>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81"/>
      <x/>
    </i>
    <i r="3">
      <x v="1"/>
    </i>
    <i r="3">
      <x v="3"/>
    </i>
    <i r="3">
      <x v="4"/>
    </i>
    <i r="3">
      <x v="5"/>
    </i>
    <i r="3">
      <x v="6"/>
    </i>
    <i r="3">
      <x v="7"/>
    </i>
    <i r="3">
      <x v="8"/>
    </i>
    <i r="3">
      <x v="9"/>
    </i>
    <i r="3">
      <x v="10"/>
    </i>
    <i r="3">
      <x v="11"/>
    </i>
    <i r="3">
      <x v="12"/>
    </i>
    <i r="3">
      <x v="13"/>
    </i>
    <i r="3">
      <x v="14"/>
    </i>
    <i r="3">
      <x v="15"/>
    </i>
    <i r="3">
      <x v="16"/>
    </i>
    <i r="3">
      <x v="17"/>
    </i>
    <i r="3">
      <x v="18"/>
    </i>
    <i r="3">
      <x v="19"/>
    </i>
    <i r="3">
      <x v="20"/>
    </i>
    <i r="3">
      <x v="21"/>
    </i>
    <i r="3">
      <x v="22"/>
    </i>
    <i r="3">
      <x v="23"/>
    </i>
    <i r="2">
      <x v="82"/>
      <x v="6"/>
    </i>
    <i r="3">
      <x v="7"/>
    </i>
    <i r="3">
      <x v="8"/>
    </i>
    <i r="3">
      <x v="9"/>
    </i>
    <i r="3">
      <x v="10"/>
    </i>
    <i r="3">
      <x v="11"/>
    </i>
    <i r="2">
      <x v="83"/>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84"/>
      <x v="5"/>
    </i>
    <i r="3">
      <x v="6"/>
    </i>
    <i r="3">
      <x v="7"/>
    </i>
    <i r="3">
      <x v="8"/>
    </i>
    <i r="3">
      <x v="9"/>
    </i>
    <i r="3">
      <x v="10"/>
    </i>
    <i r="3">
      <x v="11"/>
    </i>
    <i r="3">
      <x v="12"/>
    </i>
    <i r="3">
      <x v="13"/>
    </i>
    <i r="3">
      <x v="14"/>
    </i>
    <i r="3">
      <x v="15"/>
    </i>
    <i r="3">
      <x v="16"/>
    </i>
    <i r="3">
      <x v="17"/>
    </i>
    <i r="3">
      <x v="18"/>
    </i>
    <i r="3">
      <x v="19"/>
    </i>
    <i r="3">
      <x v="20"/>
    </i>
    <i r="3">
      <x v="21"/>
    </i>
    <i r="3">
      <x v="22"/>
    </i>
    <i r="3">
      <x v="23"/>
    </i>
    <i r="2">
      <x v="85"/>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86"/>
      <x v="7"/>
    </i>
    <i r="2">
      <x v="89"/>
      <x v="18"/>
    </i>
    <i r="1">
      <x v="5"/>
      <x v="9"/>
      <x v="6"/>
    </i>
    <i r="3">
      <x v="7"/>
    </i>
    <i r="3">
      <x v="8"/>
    </i>
    <i r="3">
      <x v="9"/>
    </i>
    <i r="3">
      <x v="10"/>
    </i>
    <i r="3">
      <x v="11"/>
    </i>
    <i r="3">
      <x v="12"/>
    </i>
    <i r="3">
      <x v="13"/>
    </i>
    <i r="3">
      <x v="14"/>
    </i>
    <i r="3">
      <x v="15"/>
    </i>
    <i r="3">
      <x v="16"/>
    </i>
    <i r="3">
      <x v="17"/>
    </i>
    <i r="3">
      <x v="18"/>
    </i>
    <i r="2">
      <x v="92"/>
      <x v="6"/>
    </i>
    <i r="3">
      <x v="7"/>
    </i>
    <i r="3">
      <x v="8"/>
    </i>
    <i r="3">
      <x v="9"/>
    </i>
    <i r="3">
      <x v="10"/>
    </i>
    <i r="3">
      <x v="11"/>
    </i>
    <i r="3">
      <x v="12"/>
    </i>
    <i r="3">
      <x v="13"/>
    </i>
    <i r="3">
      <x v="14"/>
    </i>
    <i r="3">
      <x v="15"/>
    </i>
    <i r="3">
      <x v="16"/>
    </i>
    <i r="3">
      <x v="17"/>
    </i>
    <i r="3">
      <x v="18"/>
    </i>
    <i r="2">
      <x v="93"/>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1">
      <x v="6"/>
      <x v="11"/>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12"/>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1">
      <x v="7"/>
      <x v="37"/>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43"/>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46"/>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49"/>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1">
      <x v="8"/>
      <x v="39"/>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40"/>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41"/>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42"/>
      <x v="17"/>
    </i>
    <i r="3">
      <x v="19"/>
    </i>
    <i r="3">
      <x v="20"/>
    </i>
    <i r="3">
      <x v="21"/>
    </i>
    <i r="2">
      <x v="44"/>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45"/>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48"/>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52"/>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53"/>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2">
      <x v="65"/>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1">
      <x v="9"/>
      <x v="91"/>
      <x v="19"/>
    </i>
    <i t="grand">
      <x/>
    </i>
  </rowItems>
  <colFields count="1">
    <field x="3"/>
  </colFields>
  <colItems count="5">
    <i>
      <x/>
    </i>
    <i>
      <x v="1"/>
    </i>
    <i>
      <x v="2"/>
    </i>
    <i>
      <x v="3"/>
    </i>
    <i t="grand">
      <x/>
    </i>
  </colItems>
  <pageFields count="1">
    <pageField fld="6" hier="-1"/>
  </pageFields>
  <dataFields count="1">
    <dataField name="Sum of MW" fld="11" baseField="0" baseItem="0"/>
  </dataFields>
  <chartFormats count="1">
    <chartFormat chart="2" format="7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3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2:C33" firstHeaderRow="1" firstDataRow="1" firstDataCol="1"/>
  <pivotFields count="10">
    <pivotField showAll="0"/>
    <pivotField showAll="0"/>
    <pivotField showAll="0" defaultSubtotal="0"/>
    <pivotField axis="axisRow" showAll="0">
      <items count="5">
        <item x="0"/>
        <item x="1"/>
        <item x="2"/>
        <item x="3"/>
        <item t="default"/>
      </items>
    </pivotField>
    <pivotField showAll="0"/>
    <pivotField showAll="0"/>
    <pivotField axis="axisRow" showAll="0">
      <items count="15">
        <item x="0"/>
        <item x="3"/>
        <item x="5"/>
        <item x="4"/>
        <item x="1"/>
        <item x="7"/>
        <item x="2"/>
        <item x="6"/>
        <item x="8"/>
        <item x="9"/>
        <item x="10"/>
        <item x="11"/>
        <item x="12"/>
        <item x="13"/>
        <item t="default"/>
      </items>
    </pivotField>
    <pivotField showAll="0"/>
    <pivotField dataField="1" showAll="0"/>
    <pivotField showAll="0"/>
  </pivotFields>
  <rowFields count="2">
    <field x="3"/>
    <field x="6"/>
  </rowFields>
  <rowItems count="31">
    <i>
      <x/>
    </i>
    <i r="1">
      <x/>
    </i>
    <i r="1">
      <x v="1"/>
    </i>
    <i r="1">
      <x v="2"/>
    </i>
    <i r="1">
      <x v="3"/>
    </i>
    <i r="1">
      <x v="4"/>
    </i>
    <i r="1">
      <x v="5"/>
    </i>
    <i r="1">
      <x v="6"/>
    </i>
    <i r="1">
      <x v="7"/>
    </i>
    <i>
      <x v="1"/>
    </i>
    <i r="1">
      <x v="8"/>
    </i>
    <i>
      <x v="2"/>
    </i>
    <i r="1">
      <x v="1"/>
    </i>
    <i r="1">
      <x v="4"/>
    </i>
    <i r="1">
      <x v="5"/>
    </i>
    <i r="1">
      <x v="6"/>
    </i>
    <i r="1">
      <x v="9"/>
    </i>
    <i r="1">
      <x v="13"/>
    </i>
    <i>
      <x v="3"/>
    </i>
    <i r="1">
      <x/>
    </i>
    <i r="1">
      <x v="1"/>
    </i>
    <i r="1">
      <x v="2"/>
    </i>
    <i r="1">
      <x v="3"/>
    </i>
    <i r="1">
      <x v="4"/>
    </i>
    <i r="1">
      <x v="5"/>
    </i>
    <i r="1">
      <x v="6"/>
    </i>
    <i r="1">
      <x v="7"/>
    </i>
    <i r="1">
      <x v="10"/>
    </i>
    <i r="1">
      <x v="11"/>
    </i>
    <i r="1">
      <x v="12"/>
    </i>
    <i t="grand">
      <x/>
    </i>
  </rowItems>
  <colItems count="1">
    <i/>
  </colItems>
  <dataFields count="1">
    <dataField name="Sum of TWh" fld="8" baseField="0" baseItem="0"/>
  </dataFields>
  <chartFormats count="1">
    <chartFormat chart="0" format="3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34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3:R29" firstHeaderRow="1" firstDataRow="2"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4">
        <item x="0"/>
        <item x="3"/>
        <item x="1"/>
        <item x="4"/>
        <item x="5"/>
        <item x="7"/>
        <item x="2"/>
        <item x="6"/>
        <item x="8"/>
        <item x="9"/>
        <item x="10"/>
        <item x="11"/>
        <item x="12"/>
        <item x="13"/>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8"/>
    <field x="9"/>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1">
    <field x="6"/>
  </colFields>
  <colItems count="15">
    <i>
      <x/>
    </i>
    <i>
      <x v="1"/>
    </i>
    <i>
      <x v="2"/>
    </i>
    <i>
      <x v="3"/>
    </i>
    <i>
      <x v="4"/>
    </i>
    <i>
      <x v="5"/>
    </i>
    <i>
      <x v="6"/>
    </i>
    <i>
      <x v="7"/>
    </i>
    <i>
      <x v="8"/>
    </i>
    <i>
      <x v="9"/>
    </i>
    <i>
      <x v="10"/>
    </i>
    <i>
      <x v="11"/>
    </i>
    <i>
      <x v="12"/>
    </i>
    <i>
      <x v="13"/>
    </i>
    <i t="grand">
      <x/>
    </i>
  </colItems>
  <dataFields count="1">
    <dataField name="Sum of MW" fld="10" baseField="0" baseItem="0"/>
  </dataFields>
  <chartFormats count="7">
    <chartFormat chart="1" format="93" series="1">
      <pivotArea type="data" outline="0" fieldPosition="0">
        <references count="1">
          <reference field="4294967294" count="1" selected="0">
            <x v="0"/>
          </reference>
        </references>
      </pivotArea>
    </chartFormat>
    <chartFormat chart="1" format="113" series="1">
      <pivotArea type="data" outline="0" fieldPosition="0">
        <references count="2">
          <reference field="4294967294" count="1" selected="0">
            <x v="0"/>
          </reference>
          <reference field="6" count="1" selected="0">
            <x v="0"/>
          </reference>
        </references>
      </pivotArea>
    </chartFormat>
    <chartFormat chart="1" format="115" series="1">
      <pivotArea type="data" outline="0" fieldPosition="0">
        <references count="2">
          <reference field="4294967294" count="1" selected="0">
            <x v="0"/>
          </reference>
          <reference field="6" count="1" selected="0">
            <x v="1"/>
          </reference>
        </references>
      </pivotArea>
    </chartFormat>
    <chartFormat chart="1" format="118" series="1">
      <pivotArea type="data" outline="0" fieldPosition="0">
        <references count="2">
          <reference field="4294967294" count="1" selected="0">
            <x v="0"/>
          </reference>
          <reference field="6" count="1" selected="0">
            <x v="2"/>
          </reference>
        </references>
      </pivotArea>
    </chartFormat>
    <chartFormat chart="1" format="119" series="1">
      <pivotArea type="data" outline="0" fieldPosition="0">
        <references count="2">
          <reference field="4294967294" count="1" selected="0">
            <x v="0"/>
          </reference>
          <reference field="6" count="1" selected="0">
            <x v="3"/>
          </reference>
        </references>
      </pivotArea>
    </chartFormat>
    <chartFormat chart="1" format="124" series="1">
      <pivotArea type="data" outline="0" fieldPosition="0">
        <references count="2">
          <reference field="4294967294" count="1" selected="0">
            <x v="0"/>
          </reference>
          <reference field="6" count="1" selected="0">
            <x v="4"/>
          </reference>
        </references>
      </pivotArea>
    </chartFormat>
    <chartFormat chart="1" format="126" series="1">
      <pivotArea type="data" outline="0" fieldPosition="0">
        <references count="2">
          <reference field="4294967294" count="1" selected="0">
            <x v="0"/>
          </reference>
          <reference field="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35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3:G22" firstHeaderRow="1" firstDataRow="2" firstDataCol="1"/>
  <pivotFields count="13">
    <pivotField showAll="0"/>
    <pivotField showAll="0"/>
    <pivotField showAll="0" defaultSubtotal="0"/>
    <pivotField axis="axisCol" showAll="0">
      <items count="5">
        <item x="0"/>
        <item x="1"/>
        <item x="2"/>
        <item x="3"/>
        <item t="default"/>
      </items>
    </pivotField>
    <pivotField showAll="0"/>
    <pivotField showAll="0"/>
    <pivotField axis="axisRow" showAll="0">
      <items count="18">
        <item x="6"/>
        <item x="0"/>
        <item x="10"/>
        <item x="1"/>
        <item x="3"/>
        <item x="4"/>
        <item x="8"/>
        <item x="9"/>
        <item x="2"/>
        <item x="5"/>
        <item x="7"/>
        <item x="11"/>
        <item x="12"/>
        <item x="13"/>
        <item x="14"/>
        <item x="15"/>
        <item x="16"/>
        <item t="default"/>
      </items>
    </pivotField>
    <pivotField showAll="0"/>
    <pivotField showAll="0"/>
    <pivotField showAll="0"/>
    <pivotField showAll="0"/>
    <pivotField showAll="0"/>
    <pivotField dataField="1" showAll="0"/>
  </pivotFields>
  <rowFields count="1">
    <field x="6"/>
  </rowFields>
  <rowItems count="18">
    <i>
      <x/>
    </i>
    <i>
      <x v="1"/>
    </i>
    <i>
      <x v="2"/>
    </i>
    <i>
      <x v="3"/>
    </i>
    <i>
      <x v="4"/>
    </i>
    <i>
      <x v="5"/>
    </i>
    <i>
      <x v="6"/>
    </i>
    <i>
      <x v="7"/>
    </i>
    <i>
      <x v="8"/>
    </i>
    <i>
      <x v="9"/>
    </i>
    <i>
      <x v="10"/>
    </i>
    <i>
      <x v="11"/>
    </i>
    <i>
      <x v="12"/>
    </i>
    <i>
      <x v="13"/>
    </i>
    <i>
      <x v="14"/>
    </i>
    <i>
      <x v="15"/>
    </i>
    <i>
      <x v="16"/>
    </i>
    <i t="grand">
      <x/>
    </i>
  </rowItems>
  <colFields count="1">
    <field x="3"/>
  </colFields>
  <colItems count="5">
    <i>
      <x/>
    </i>
    <i>
      <x v="1"/>
    </i>
    <i>
      <x v="2"/>
    </i>
    <i>
      <x v="3"/>
    </i>
    <i t="grand">
      <x/>
    </i>
  </colItems>
  <dataFields count="1">
    <dataField name="Sum of GJ" fld="12" baseField="0" baseItem="0"/>
  </dataFields>
  <chartFormats count="1">
    <chartFormat chart="0" format="0"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5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3:T9" firstHeaderRow="1" firstDataRow="2" firstDataCol="1"/>
  <pivotFields count="10">
    <pivotField showAll="0"/>
    <pivotField showAll="0"/>
    <pivotField showAll="0" defaultSubtotal="0"/>
    <pivotField axis="axisRow" showAll="0">
      <items count="5">
        <item x="0"/>
        <item x="1"/>
        <item x="2"/>
        <item x="3"/>
        <item t="default"/>
      </items>
    </pivotField>
    <pivotField showAll="0"/>
    <pivotField showAll="0"/>
    <pivotField axis="axisCol" showAll="0">
      <items count="18">
        <item x="6"/>
        <item x="0"/>
        <item x="10"/>
        <item x="4"/>
        <item x="8"/>
        <item x="3"/>
        <item x="1"/>
        <item x="9"/>
        <item x="2"/>
        <item x="5"/>
        <item x="7"/>
        <item x="11"/>
        <item x="12"/>
        <item x="13"/>
        <item x="14"/>
        <item x="15"/>
        <item x="16"/>
        <item t="default"/>
      </items>
    </pivotField>
    <pivotField showAll="0"/>
    <pivotField dataField="1" showAll="0"/>
    <pivotField showAll="0"/>
  </pivotFields>
  <rowFields count="1">
    <field x="3"/>
  </rowFields>
  <rowItems count="5">
    <i>
      <x/>
    </i>
    <i>
      <x v="1"/>
    </i>
    <i>
      <x v="2"/>
    </i>
    <i>
      <x v="3"/>
    </i>
    <i t="grand">
      <x/>
    </i>
  </rowItems>
  <colFields count="1">
    <field x="6"/>
  </colFields>
  <colItems count="18">
    <i>
      <x/>
    </i>
    <i>
      <x v="1"/>
    </i>
    <i>
      <x v="2"/>
    </i>
    <i>
      <x v="3"/>
    </i>
    <i>
      <x v="4"/>
    </i>
    <i>
      <x v="5"/>
    </i>
    <i>
      <x v="6"/>
    </i>
    <i>
      <x v="7"/>
    </i>
    <i>
      <x v="8"/>
    </i>
    <i>
      <x v="9"/>
    </i>
    <i>
      <x v="10"/>
    </i>
    <i>
      <x v="11"/>
    </i>
    <i>
      <x v="12"/>
    </i>
    <i>
      <x v="13"/>
    </i>
    <i>
      <x v="14"/>
    </i>
    <i>
      <x v="15"/>
    </i>
    <i>
      <x v="16"/>
    </i>
    <i t="grand">
      <x/>
    </i>
  </colItems>
  <dataFields count="1">
    <dataField name="Sum of TWh" fld="8" baseField="0" baseItem="0"/>
  </dataFields>
  <chartFormats count="12">
    <chartFormat chart="0" format="21" series="1">
      <pivotArea type="data" outline="0" fieldPosition="0">
        <references count="1">
          <reference field="6" count="1" selected="0">
            <x v="0"/>
          </reference>
        </references>
      </pivotArea>
    </chartFormat>
    <chartFormat chart="0" format="25" series="1">
      <pivotArea type="data" outline="0" fieldPosition="0">
        <references count="1">
          <reference field="6" count="1" selected="0">
            <x v="1"/>
          </reference>
        </references>
      </pivotArea>
    </chartFormat>
    <chartFormat chart="0" format="27" series="1">
      <pivotArea type="data" outline="0" fieldPosition="0">
        <references count="1">
          <reference field="6" count="1" selected="0">
            <x v="2"/>
          </reference>
        </references>
      </pivotArea>
    </chartFormat>
    <chartFormat chart="0" format="34" series="1">
      <pivotArea type="data" outline="0" fieldPosition="0">
        <references count="1">
          <reference field="6" count="1" selected="0">
            <x v="3"/>
          </reference>
        </references>
      </pivotArea>
    </chartFormat>
    <chartFormat chart="0" format="37" series="1">
      <pivotArea type="data" outline="0" fieldPosition="0">
        <references count="1">
          <reference field="6" count="1" selected="0">
            <x v="4"/>
          </reference>
        </references>
      </pivotArea>
    </chartFormat>
    <chartFormat chart="0" format="61" series="1">
      <pivotArea type="data" outline="0" fieldPosition="0">
        <references count="2">
          <reference field="4294967294" count="1" selected="0">
            <x v="0"/>
          </reference>
          <reference field="6" count="1" selected="0">
            <x v="1"/>
          </reference>
        </references>
      </pivotArea>
    </chartFormat>
    <chartFormat chart="0" format="63" series="1">
      <pivotArea type="data" outline="0" fieldPosition="0">
        <references count="2">
          <reference field="4294967294" count="1" selected="0">
            <x v="0"/>
          </reference>
          <reference field="6" count="1" selected="0">
            <x v="2"/>
          </reference>
        </references>
      </pivotArea>
    </chartFormat>
    <chartFormat chart="0" format="70" series="1">
      <pivotArea type="data" outline="0" fieldPosition="0">
        <references count="2">
          <reference field="4294967294" count="1" selected="0">
            <x v="0"/>
          </reference>
          <reference field="6" count="1" selected="0">
            <x v="3"/>
          </reference>
        </references>
      </pivotArea>
    </chartFormat>
    <chartFormat chart="0" format="73" series="1">
      <pivotArea type="data" outline="0" fieldPosition="0">
        <references count="2">
          <reference field="4294967294" count="1" selected="0">
            <x v="0"/>
          </reference>
          <reference field="6" count="1" selected="0">
            <x v="4"/>
          </reference>
        </references>
      </pivotArea>
    </chartFormat>
    <chartFormat chart="0" format="78" series="1">
      <pivotArea type="data" outline="0" fieldPosition="0">
        <references count="2">
          <reference field="4294967294" count="1" selected="0">
            <x v="0"/>
          </reference>
          <reference field="6" count="1" selected="0">
            <x v="5"/>
          </reference>
        </references>
      </pivotArea>
    </chartFormat>
    <chartFormat chart="0" format="82" series="1">
      <pivotArea type="data" outline="0" fieldPosition="0">
        <references count="2">
          <reference field="4294967294" count="1" selected="0">
            <x v="0"/>
          </reference>
          <reference field="6" count="1" selected="0">
            <x v="6"/>
          </reference>
        </references>
      </pivotArea>
    </chartFormat>
    <chartFormat chart="0" format="84" series="1">
      <pivotArea type="data" outline="0" fieldPosition="0">
        <references count="2">
          <reference field="4294967294" count="1" selected="0">
            <x v="0"/>
          </reference>
          <reference field="6"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35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4" fieldListSortAscending="1">
  <location ref="B3:E36" firstHeaderRow="0" firstDataRow="1" firstDataCol="1"/>
  <pivotFields count="14">
    <pivotField axis="axisRow" showAll="0">
      <items count="2">
        <item x="0"/>
        <item t="default"/>
      </items>
    </pivotField>
    <pivotField axis="axisRow" showAll="0">
      <items count="2">
        <item x="0"/>
        <item t="default"/>
      </items>
    </pivotField>
    <pivotField axis="axisRow" showAll="0" defaultSubtotal="0">
      <items count="1">
        <item x="0"/>
      </items>
    </pivotField>
    <pivotField axis="axisRow" showAll="0">
      <items count="4">
        <item x="0"/>
        <item x="1"/>
        <item x="2"/>
        <item t="default"/>
      </items>
    </pivotField>
    <pivotField showAll="0"/>
    <pivotField showAll="0"/>
    <pivotField axis="axisRow" showAll="0">
      <items count="4">
        <item x="0"/>
        <item x="1"/>
        <item x="2"/>
        <item t="default"/>
      </items>
    </pivotField>
    <pivotField axis="axisRow" showAll="0">
      <items count="22">
        <item x="3"/>
        <item x="9"/>
        <item x="10"/>
        <item x="8"/>
        <item x="1"/>
        <item x="11"/>
        <item x="12"/>
        <item x="6"/>
        <item x="13"/>
        <item x="14"/>
        <item x="7"/>
        <item x="0"/>
        <item x="2"/>
        <item x="4"/>
        <item x="5"/>
        <item x="15"/>
        <item x="16"/>
        <item x="17"/>
        <item x="18"/>
        <item x="19"/>
        <item x="20"/>
        <item t="default"/>
      </items>
    </pivotField>
    <pivotField showAll="0"/>
    <pivotField dataField="1" showAll="0"/>
    <pivotField dataField="1" showAll="0"/>
    <pivotField showAll="0"/>
    <pivotField dataField="1" showAll="0"/>
    <pivotField showAll="0"/>
  </pivotFields>
  <rowFields count="6">
    <field x="0"/>
    <field x="1"/>
    <field x="2"/>
    <field x="3"/>
    <field x="6"/>
    <field x="7"/>
  </rowFields>
  <rowItems count="33">
    <i>
      <x/>
    </i>
    <i r="1">
      <x/>
    </i>
    <i r="2">
      <x/>
    </i>
    <i r="3">
      <x/>
    </i>
    <i r="4">
      <x/>
    </i>
    <i r="5">
      <x/>
    </i>
    <i r="5">
      <x v="4"/>
    </i>
    <i r="5">
      <x v="11"/>
    </i>
    <i r="5">
      <x v="12"/>
    </i>
    <i r="5">
      <x v="13"/>
    </i>
    <i r="5">
      <x v="14"/>
    </i>
    <i r="3">
      <x v="1"/>
    </i>
    <i r="4">
      <x/>
    </i>
    <i r="5">
      <x v="1"/>
    </i>
    <i r="5">
      <x v="2"/>
    </i>
    <i r="5">
      <x v="3"/>
    </i>
    <i r="4">
      <x v="1"/>
    </i>
    <i r="5">
      <x v="5"/>
    </i>
    <i r="5">
      <x v="6"/>
    </i>
    <i r="5">
      <x v="7"/>
    </i>
    <i r="5">
      <x v="8"/>
    </i>
    <i r="5">
      <x v="9"/>
    </i>
    <i r="5">
      <x v="10"/>
    </i>
    <i r="3">
      <x v="2"/>
    </i>
    <i r="4">
      <x/>
    </i>
    <i r="5">
      <x v="17"/>
    </i>
    <i r="5">
      <x v="19"/>
    </i>
    <i r="5">
      <x v="20"/>
    </i>
    <i r="4">
      <x v="2"/>
    </i>
    <i r="5">
      <x v="15"/>
    </i>
    <i r="5">
      <x v="16"/>
    </i>
    <i r="5">
      <x v="18"/>
    </i>
    <i t="grand">
      <x/>
    </i>
  </rowItems>
  <colFields count="1">
    <field x="-2"/>
  </colFields>
  <colItems count="3">
    <i>
      <x/>
    </i>
    <i i="1">
      <x v="1"/>
    </i>
    <i i="2">
      <x v="2"/>
    </i>
  </colItems>
  <dataFields count="3">
    <dataField name="Sum of CO2 megatons" fld="9" baseField="0" baseItem="0"/>
    <dataField name="Sum of SO2 kilotons" fld="10" baseField="0" baseItem="0"/>
    <dataField name="Sum of N2O kilotons" fld="12" baseField="0" baseItem="0"/>
  </dataFields>
  <chartFormats count="3">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36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E30" firstHeaderRow="1" firstDataRow="1"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6"/>
    <field x="7"/>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Items count="1">
    <i/>
  </colItems>
  <dataFields count="1">
    <dataField name="Sum of MWh" fld="8" baseField="0" baseItem="0"/>
  </dataFields>
  <chartFormats count="1">
    <chartFormat chart="1"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36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G7" firstHeaderRow="1" firstDataRow="2" firstDataCol="1"/>
  <pivotFields count="8">
    <pivotField showAll="0"/>
    <pivotField showAll="0" defaultSubtotal="0"/>
    <pivotField showAll="0" defaultSubtotal="0"/>
    <pivotField axis="axisCol" showAll="0">
      <items count="4">
        <item x="0"/>
        <item x="1"/>
        <item x="2"/>
        <item t="default"/>
      </items>
    </pivotField>
    <pivotField showAll="0"/>
    <pivotField showAll="0"/>
    <pivotField axis="axisRow" showAll="0">
      <items count="2">
        <item x="0"/>
        <item t="default"/>
      </items>
    </pivotField>
    <pivotField dataField="1" showAll="0"/>
  </pivotFields>
  <rowFields count="1">
    <field x="6"/>
  </rowFields>
  <rowItems count="2">
    <i>
      <x/>
    </i>
    <i t="grand">
      <x/>
    </i>
  </rowItems>
  <colFields count="1">
    <field x="3"/>
  </colFields>
  <colItems count="4">
    <i>
      <x/>
    </i>
    <i>
      <x v="1"/>
    </i>
    <i>
      <x v="2"/>
    </i>
    <i t="grand">
      <x/>
    </i>
  </colItems>
  <dataFields count="1">
    <dataField name="Sum of M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36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J31" firstHeaderRow="1" firstDataRow="3" firstDataCol="2"/>
  <pivotFields count="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5">
        <item h="1" x="4"/>
        <item x="5"/>
        <item h="1" x="0"/>
        <item h="1" x="1"/>
        <item h="1" x="2"/>
        <item h="1" x="3"/>
        <item h="1" x="6"/>
        <item h="1" x="7"/>
        <item h="1" x="8"/>
        <item h="1" x="9"/>
        <item h="1" x="10"/>
        <item h="1" x="11"/>
        <item h="1" x="12"/>
        <item h="1" x="13"/>
        <item h="1" x="14"/>
      </items>
      <extLst>
        <ext xmlns:x14="http://schemas.microsoft.com/office/spreadsheetml/2009/9/main" uri="{2946ED86-A175-432a-8AC1-64E0C546D7DE}">
          <x14:pivotField fillDownLabels="1"/>
        </ext>
      </extLst>
    </pivotField>
    <pivotField axis="axisCol" compact="0" outline="0" showAll="0" defaultSubtotal="0">
      <items count="15">
        <item x="5"/>
        <item x="3"/>
        <item x="0"/>
        <item x="1"/>
        <item x="2"/>
        <item x="4"/>
        <item x="6"/>
        <item x="7"/>
        <item x="8"/>
        <item x="9"/>
        <item x="10"/>
        <item x="11"/>
        <item x="12"/>
        <item x="13"/>
        <item x="14"/>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2">
    <field x="3"/>
    <field x="4"/>
  </colFields>
  <colItems count="6">
    <i>
      <x v="1"/>
      <x/>
    </i>
    <i r="1">
      <x v="2"/>
    </i>
    <i r="1">
      <x v="4"/>
    </i>
    <i r="1">
      <x v="5"/>
    </i>
    <i r="1">
      <x v="7"/>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2" cacheId="3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fieldListSortAscending="1">
  <location ref="C5:H11" firstHeaderRow="1" firstDataRow="2" firstDataCol="1"/>
  <pivotFields count="8">
    <pivotField showAll="0"/>
    <pivotField showAll="0" defaultSubtotal="0"/>
    <pivotField showAll="0" defaultSubtotal="0"/>
    <pivotField axis="axisCol" showAll="0">
      <items count="5">
        <item x="0"/>
        <item x="1"/>
        <item x="2"/>
        <item x="3"/>
        <item t="default"/>
      </items>
    </pivotField>
    <pivotField showAll="0"/>
    <pivotField axis="axisRow" showAll="0">
      <items count="5">
        <item x="0"/>
        <item x="1"/>
        <item x="2"/>
        <item x="3"/>
        <item t="default"/>
      </items>
    </pivotField>
    <pivotField showAll="0"/>
    <pivotField dataField="1" showAll="0"/>
  </pivotFields>
  <rowFields count="1">
    <field x="5"/>
  </rowFields>
  <rowItems count="5">
    <i>
      <x/>
    </i>
    <i>
      <x v="1"/>
    </i>
    <i>
      <x v="2"/>
    </i>
    <i>
      <x v="3"/>
    </i>
    <i t="grand">
      <x/>
    </i>
  </rowItems>
  <colFields count="1">
    <field x="3"/>
  </colFields>
  <colItems count="5">
    <i>
      <x/>
    </i>
    <i>
      <x v="1"/>
    </i>
    <i>
      <x v="2"/>
    </i>
    <i>
      <x v="3"/>
    </i>
    <i t="grand">
      <x/>
    </i>
  </colItems>
  <dataFields count="1">
    <dataField name="Sum of G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 cacheId="37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I29" firstHeaderRow="1" firstDataRow="2" firstDataCol="3"/>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4">
        <item x="0"/>
        <item x="1"/>
        <item x="2"/>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5"/>
    <field x="6"/>
  </rowFields>
  <rowItems count="25">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2"/>
  </colFields>
  <colItems count="5">
    <i>
      <x/>
    </i>
    <i>
      <x v="1"/>
    </i>
    <i>
      <x v="2"/>
    </i>
    <i>
      <x v="3"/>
    </i>
    <i t="grand">
      <x/>
    </i>
  </colItems>
  <dataFields count="1">
    <dataField name="Sum of MW" fld="7" baseField="0" baseItem="0"/>
  </dataFields>
  <chartFormats count="5">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3" cacheId="3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D9" firstHeaderRow="1" firstDataRow="1" firstDataCol="1"/>
  <pivotFields count="7">
    <pivotField showAll="0"/>
    <pivotField showAll="0"/>
    <pivotField axis="axisRow" showAll="0">
      <items count="5">
        <item x="0"/>
        <item x="1"/>
        <item x="2"/>
        <item x="3"/>
        <item t="default"/>
      </items>
    </pivotField>
    <pivotField showAll="0"/>
    <pivotField showAll="0" defaultSubtotal="0"/>
    <pivotField dataField="1" showAll="0"/>
    <pivotField showAll="0"/>
  </pivotFields>
  <rowFields count="1">
    <field x="2"/>
  </rowFields>
  <rowItems count="5">
    <i>
      <x/>
    </i>
    <i>
      <x v="1"/>
    </i>
    <i>
      <x v="2"/>
    </i>
    <i>
      <x v="3"/>
    </i>
    <i t="grand">
      <x/>
    </i>
  </rowItems>
  <colItems count="1">
    <i/>
  </colItems>
  <dataFields count="1">
    <dataField name="Sum of TWh" fld="5"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2" cacheId="3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5" fieldListSortAscending="1">
  <location ref="B4:Z39" firstHeaderRow="1" firstDataRow="2" firstDataCol="1"/>
  <pivotFields count="9">
    <pivotField showAll="0"/>
    <pivotField axis="axisRow" showAll="0">
      <items count="3">
        <item x="1"/>
        <item x="0"/>
        <item t="default"/>
      </items>
    </pivotField>
    <pivotField axis="axisRow" showAll="0">
      <items count="12">
        <item x="10"/>
        <item x="6"/>
        <item x="2"/>
        <item x="9"/>
        <item x="7"/>
        <item x="8"/>
        <item x="5"/>
        <item x="4"/>
        <item x="3"/>
        <item x="0"/>
        <item x="1"/>
        <item t="default"/>
      </items>
    </pivotField>
    <pivotField showAll="0"/>
    <pivotField showAll="0"/>
    <pivotField axis="axisCol" showAll="0">
      <items count="24">
        <item x="8"/>
        <item x="15"/>
        <item x="0"/>
        <item x="17"/>
        <item x="21"/>
        <item x="19"/>
        <item x="3"/>
        <item x="20"/>
        <item x="7"/>
        <item x="9"/>
        <item x="4"/>
        <item x="1"/>
        <item x="2"/>
        <item x="5"/>
        <item x="6"/>
        <item x="10"/>
        <item x="11"/>
        <item x="12"/>
        <item x="13"/>
        <item x="14"/>
        <item x="16"/>
        <item x="18"/>
        <item x="22"/>
        <item t="default"/>
      </items>
    </pivotField>
    <pivotField showAll="0"/>
    <pivotField showAll="0"/>
    <pivotField dataField="1" showAll="0" defaultSubtotal="0"/>
  </pivotFields>
  <rowFields count="2">
    <field x="2"/>
    <field x="1"/>
  </rowFields>
  <rowItems count="34">
    <i>
      <x/>
    </i>
    <i r="1">
      <x/>
    </i>
    <i r="1">
      <x v="1"/>
    </i>
    <i>
      <x v="1"/>
    </i>
    <i r="1">
      <x/>
    </i>
    <i r="1">
      <x v="1"/>
    </i>
    <i>
      <x v="2"/>
    </i>
    <i r="1">
      <x/>
    </i>
    <i r="1">
      <x v="1"/>
    </i>
    <i>
      <x v="3"/>
    </i>
    <i r="1">
      <x/>
    </i>
    <i r="1">
      <x v="1"/>
    </i>
    <i>
      <x v="4"/>
    </i>
    <i r="1">
      <x/>
    </i>
    <i r="1">
      <x v="1"/>
    </i>
    <i>
      <x v="5"/>
    </i>
    <i r="1">
      <x/>
    </i>
    <i r="1">
      <x v="1"/>
    </i>
    <i>
      <x v="6"/>
    </i>
    <i r="1">
      <x/>
    </i>
    <i r="1">
      <x v="1"/>
    </i>
    <i>
      <x v="7"/>
    </i>
    <i r="1">
      <x/>
    </i>
    <i r="1">
      <x v="1"/>
    </i>
    <i>
      <x v="8"/>
    </i>
    <i r="1">
      <x/>
    </i>
    <i r="1">
      <x v="1"/>
    </i>
    <i>
      <x v="9"/>
    </i>
    <i r="1">
      <x/>
    </i>
    <i r="1">
      <x v="1"/>
    </i>
    <i>
      <x v="10"/>
    </i>
    <i r="1">
      <x/>
    </i>
    <i r="1">
      <x v="1"/>
    </i>
    <i t="grand">
      <x/>
    </i>
  </rowItems>
  <colFields count="1">
    <field x="5"/>
  </colFields>
  <colItems count="24">
    <i>
      <x/>
    </i>
    <i>
      <x v="1"/>
    </i>
    <i>
      <x v="2"/>
    </i>
    <i>
      <x v="3"/>
    </i>
    <i>
      <x v="4"/>
    </i>
    <i>
      <x v="5"/>
    </i>
    <i>
      <x v="6"/>
    </i>
    <i>
      <x v="7"/>
    </i>
    <i>
      <x v="8"/>
    </i>
    <i>
      <x v="9"/>
    </i>
    <i>
      <x v="10"/>
    </i>
    <i>
      <x v="11"/>
    </i>
    <i>
      <x v="12"/>
    </i>
    <i>
      <x v="13"/>
    </i>
    <i>
      <x v="14"/>
    </i>
    <i>
      <x v="15"/>
    </i>
    <i>
      <x v="16"/>
    </i>
    <i>
      <x v="17"/>
    </i>
    <i>
      <x v="18"/>
    </i>
    <i>
      <x v="19"/>
    </i>
    <i>
      <x v="20"/>
    </i>
    <i>
      <x v="21"/>
    </i>
    <i>
      <x v="22"/>
    </i>
    <i t="grand">
      <x/>
    </i>
  </colItems>
  <dataFields count="1">
    <dataField name="Sum of GW" fld="8" baseField="0" baseItem="0"/>
  </dataFields>
  <chartFormats count="22">
    <chartFormat chart="1" format="38" series="1">
      <pivotArea type="data" outline="0" fieldPosition="0">
        <references count="2">
          <reference field="4294967294" count="1" selected="0">
            <x v="0"/>
          </reference>
          <reference field="5" count="1" selected="0">
            <x v="11"/>
          </reference>
        </references>
      </pivotArea>
    </chartFormat>
    <chartFormat chart="1" format="39" series="1">
      <pivotArea type="data" outline="0" fieldPosition="0">
        <references count="2">
          <reference field="4294967294" count="1" selected="0">
            <x v="0"/>
          </reference>
          <reference field="5" count="1" selected="0">
            <x v="12"/>
          </reference>
        </references>
      </pivotArea>
    </chartFormat>
    <chartFormat chart="1" format="40" series="1">
      <pivotArea type="data" outline="0" fieldPosition="0">
        <references count="2">
          <reference field="4294967294" count="1" selected="0">
            <x v="0"/>
          </reference>
          <reference field="5" count="1" selected="0">
            <x v="13"/>
          </reference>
        </references>
      </pivotArea>
    </chartFormat>
    <chartFormat chart="1" format="41" series="1">
      <pivotArea type="data" outline="0" fieldPosition="0">
        <references count="2">
          <reference field="4294967294" count="1" selected="0">
            <x v="0"/>
          </reference>
          <reference field="5" count="1" selected="0">
            <x v="14"/>
          </reference>
        </references>
      </pivotArea>
    </chartFormat>
    <chartFormat chart="1" format="42" series="1">
      <pivotArea type="data" outline="0" fieldPosition="0">
        <references count="2">
          <reference field="4294967294" count="1" selected="0">
            <x v="0"/>
          </reference>
          <reference field="5" count="1" selected="0">
            <x v="15"/>
          </reference>
        </references>
      </pivotArea>
    </chartFormat>
    <chartFormat chart="1" format="43" series="1">
      <pivotArea type="data" outline="0" fieldPosition="0">
        <references count="2">
          <reference field="4294967294" count="1" selected="0">
            <x v="0"/>
          </reference>
          <reference field="5" count="1" selected="0">
            <x v="16"/>
          </reference>
        </references>
      </pivotArea>
    </chartFormat>
    <chartFormat chart="1" format="44" series="1">
      <pivotArea type="data" outline="0" fieldPosition="0">
        <references count="2">
          <reference field="4294967294" count="1" selected="0">
            <x v="0"/>
          </reference>
          <reference field="5" count="1" selected="0">
            <x v="17"/>
          </reference>
        </references>
      </pivotArea>
    </chartFormat>
    <chartFormat chart="1" format="45" series="1">
      <pivotArea type="data" outline="0" fieldPosition="0">
        <references count="2">
          <reference field="4294967294" count="1" selected="0">
            <x v="0"/>
          </reference>
          <reference field="5" count="1" selected="0">
            <x v="18"/>
          </reference>
        </references>
      </pivotArea>
    </chartFormat>
    <chartFormat chart="1" format="46" series="1">
      <pivotArea type="data" outline="0" fieldPosition="0">
        <references count="2">
          <reference field="4294967294" count="1" selected="0">
            <x v="0"/>
          </reference>
          <reference field="5" count="1" selected="0">
            <x v="19"/>
          </reference>
        </references>
      </pivotArea>
    </chartFormat>
    <chartFormat chart="1" format="47" series="1">
      <pivotArea type="data" outline="0" fieldPosition="0">
        <references count="2">
          <reference field="4294967294" count="1" selected="0">
            <x v="0"/>
          </reference>
          <reference field="5" count="1" selected="0">
            <x v="20"/>
          </reference>
        </references>
      </pivotArea>
    </chartFormat>
    <chartFormat chart="1" format="48" series="1">
      <pivotArea type="data" outline="0" fieldPosition="0">
        <references count="2">
          <reference field="4294967294" count="1" selected="0">
            <x v="0"/>
          </reference>
          <reference field="5" count="1" selected="0">
            <x v="21"/>
          </reference>
        </references>
      </pivotArea>
    </chartFormat>
    <chartFormat chart="1" format="50" series="1">
      <pivotArea type="data" outline="0" fieldPosition="0">
        <references count="2">
          <reference field="4294967294" count="1" selected="0">
            <x v="0"/>
          </reference>
          <reference field="5" count="1" selected="0">
            <x v="0"/>
          </reference>
        </references>
      </pivotArea>
    </chartFormat>
    <chartFormat chart="1" format="51" series="1">
      <pivotArea type="data" outline="0" fieldPosition="0">
        <references count="2">
          <reference field="4294967294" count="1" selected="0">
            <x v="0"/>
          </reference>
          <reference field="5" count="1" selected="0">
            <x v="1"/>
          </reference>
        </references>
      </pivotArea>
    </chartFormat>
    <chartFormat chart="1" format="52" series="1">
      <pivotArea type="data" outline="0" fieldPosition="0">
        <references count="2">
          <reference field="4294967294" count="1" selected="0">
            <x v="0"/>
          </reference>
          <reference field="5" count="1" selected="0">
            <x v="2"/>
          </reference>
        </references>
      </pivotArea>
    </chartFormat>
    <chartFormat chart="1" format="53" series="1">
      <pivotArea type="data" outline="0" fieldPosition="0">
        <references count="2">
          <reference field="4294967294" count="1" selected="0">
            <x v="0"/>
          </reference>
          <reference field="5" count="1" selected="0">
            <x v="3"/>
          </reference>
        </references>
      </pivotArea>
    </chartFormat>
    <chartFormat chart="1" format="54" series="1">
      <pivotArea type="data" outline="0" fieldPosition="0">
        <references count="2">
          <reference field="4294967294" count="1" selected="0">
            <x v="0"/>
          </reference>
          <reference field="5" count="1" selected="0">
            <x v="4"/>
          </reference>
        </references>
      </pivotArea>
    </chartFormat>
    <chartFormat chart="1" format="55" series="1">
      <pivotArea type="data" outline="0" fieldPosition="0">
        <references count="2">
          <reference field="4294967294" count="1" selected="0">
            <x v="0"/>
          </reference>
          <reference field="5" count="1" selected="0">
            <x v="5"/>
          </reference>
        </references>
      </pivotArea>
    </chartFormat>
    <chartFormat chart="1" format="56" series="1">
      <pivotArea type="data" outline="0" fieldPosition="0">
        <references count="2">
          <reference field="4294967294" count="1" selected="0">
            <x v="0"/>
          </reference>
          <reference field="5" count="1" selected="0">
            <x v="6"/>
          </reference>
        </references>
      </pivotArea>
    </chartFormat>
    <chartFormat chart="1" format="57" series="1">
      <pivotArea type="data" outline="0" fieldPosition="0">
        <references count="2">
          <reference field="4294967294" count="1" selected="0">
            <x v="0"/>
          </reference>
          <reference field="5" count="1" selected="0">
            <x v="7"/>
          </reference>
        </references>
      </pivotArea>
    </chartFormat>
    <chartFormat chart="1" format="58" series="1">
      <pivotArea type="data" outline="0" fieldPosition="0">
        <references count="2">
          <reference field="4294967294" count="1" selected="0">
            <x v="0"/>
          </reference>
          <reference field="5" count="1" selected="0">
            <x v="8"/>
          </reference>
        </references>
      </pivotArea>
    </chartFormat>
    <chartFormat chart="1" format="59" series="1">
      <pivotArea type="data" outline="0" fieldPosition="0">
        <references count="2">
          <reference field="4294967294" count="1" selected="0">
            <x v="0"/>
          </reference>
          <reference field="5" count="1" selected="0">
            <x v="9"/>
          </reference>
        </references>
      </pivotArea>
    </chartFormat>
    <chartFormat chart="1" format="60" series="1">
      <pivotArea type="data" outline="0" fieldPosition="0">
        <references count="2">
          <reference field="4294967294" count="1" selected="0">
            <x v="0"/>
          </reference>
          <reference field="5"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5" cacheId="38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fieldListSortAscending="1">
  <location ref="B3:E10" firstHeaderRow="1" firstDataRow="2" firstDataCol="1"/>
  <pivotFields count="10">
    <pivotField showAll="0"/>
    <pivotField axis="axisRow" showAll="0" defaultSubtotal="0">
      <items count="1">
        <item x="0"/>
      </items>
    </pivotField>
    <pivotField showAll="0" defaultSubtotal="0"/>
    <pivotField axis="axisRow" showAll="0">
      <items count="5">
        <item x="0"/>
        <item x="1"/>
        <item x="2"/>
        <item x="3"/>
        <item t="default"/>
      </items>
    </pivotField>
    <pivotField showAll="0"/>
    <pivotField showAll="0"/>
    <pivotField axis="axisCol" showAll="0">
      <items count="3">
        <item x="0"/>
        <item x="1"/>
        <item t="default"/>
      </items>
    </pivotField>
    <pivotField showAll="0"/>
    <pivotField showAll="0"/>
    <pivotField dataField="1" showAll="0"/>
  </pivotFields>
  <rowFields count="2">
    <field x="1"/>
    <field x="3"/>
  </rowFields>
  <rowItems count="6">
    <i>
      <x/>
    </i>
    <i r="1">
      <x/>
    </i>
    <i r="1">
      <x v="1"/>
    </i>
    <i r="1">
      <x v="2"/>
    </i>
    <i r="1">
      <x v="3"/>
    </i>
    <i t="grand">
      <x/>
    </i>
  </rowItems>
  <colFields count="1">
    <field x="6"/>
  </colFields>
  <colItems count="3">
    <i>
      <x/>
    </i>
    <i>
      <x v="1"/>
    </i>
    <i t="grand">
      <x/>
    </i>
  </colItems>
  <dataFields count="1">
    <dataField name="Sum of MW" fld="9" baseField="0" baseItem="0"/>
  </dataFields>
  <chartFormats count="2">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zoomScaleNormal="100" workbookViewId="0">
      <selection activeCell="J5" sqref="J5"/>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0.28515625" style="8" customWidth="1"/>
    <col min="8" max="11" width="9.140625" style="8"/>
    <col min="12" max="12" width="10.42578125" style="8" customWidth="1"/>
    <col min="13" max="16384" width="9.140625" style="8"/>
  </cols>
  <sheetData>
    <row r="1" spans="1:9996" x14ac:dyDescent="0.25">
      <c r="A1" s="8" t="s">
        <v>285</v>
      </c>
    </row>
    <row r="9" spans="1:9996" x14ac:dyDescent="0.25">
      <c r="F9" s="8" t="s">
        <v>222</v>
      </c>
    </row>
    <row r="10" spans="1:9996" x14ac:dyDescent="0.25">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G11" s="26" t="s">
        <v>258</v>
      </c>
    </row>
    <row r="12" spans="1:9996" ht="15.75" thickBot="1" x14ac:dyDescent="0.3"/>
    <row r="13" spans="1:9996" x14ac:dyDescent="0.25">
      <c r="A13"/>
      <c r="B13" s="17"/>
      <c r="C13" s="18"/>
      <c r="D13" s="19"/>
      <c r="E13"/>
      <c r="F13" s="8" t="s">
        <v>219</v>
      </c>
    </row>
    <row r="14" spans="1:9996" x14ac:dyDescent="0.25">
      <c r="A14"/>
      <c r="B14" s="20">
        <v>2</v>
      </c>
      <c r="C14" s="21" t="s">
        <v>176</v>
      </c>
      <c r="D14" s="22"/>
      <c r="E14"/>
      <c r="G14" s="1" t="s">
        <v>11</v>
      </c>
      <c r="H14"/>
      <c r="I14"/>
    </row>
    <row r="15" spans="1:9996" ht="15.75" thickBot="1" x14ac:dyDescent="0.3">
      <c r="A15"/>
      <c r="B15" s="20"/>
      <c r="C15" s="21" t="s">
        <v>147</v>
      </c>
      <c r="D15" s="22"/>
      <c r="E15"/>
      <c r="G15" s="2" t="s">
        <v>6</v>
      </c>
      <c r="H15"/>
    </row>
    <row r="16" spans="1:9996" x14ac:dyDescent="0.25">
      <c r="A16"/>
      <c r="B16" s="20"/>
      <c r="C16" s="21"/>
      <c r="D16" s="22"/>
      <c r="E16"/>
      <c r="G16" s="2" t="s">
        <v>7</v>
      </c>
      <c r="H16"/>
      <c r="J16" s="9" t="s">
        <v>218</v>
      </c>
      <c r="K16" s="10"/>
    </row>
    <row r="17" spans="1:11" x14ac:dyDescent="0.25">
      <c r="A17"/>
      <c r="B17" s="20" t="b">
        <v>1</v>
      </c>
      <c r="C17" s="21" t="s">
        <v>138</v>
      </c>
      <c r="D17" s="22"/>
      <c r="E17"/>
      <c r="G17" s="2" t="s">
        <v>19</v>
      </c>
      <c r="H17"/>
      <c r="J17" s="11" t="s">
        <v>203</v>
      </c>
      <c r="K17" s="12" t="s">
        <v>211</v>
      </c>
    </row>
    <row r="18" spans="1:11" x14ac:dyDescent="0.25">
      <c r="A18"/>
      <c r="B18" s="20" t="b">
        <v>1</v>
      </c>
      <c r="C18" s="21" t="s">
        <v>139</v>
      </c>
      <c r="D18" s="22"/>
      <c r="E18"/>
      <c r="G18" s="2" t="s">
        <v>8</v>
      </c>
      <c r="H18"/>
      <c r="J18" s="11" t="s">
        <v>204</v>
      </c>
      <c r="K18" s="12" t="s">
        <v>212</v>
      </c>
    </row>
    <row r="19" spans="1:11" x14ac:dyDescent="0.25">
      <c r="A19"/>
      <c r="B19" s="20" t="b">
        <v>1</v>
      </c>
      <c r="C19" s="21" t="s">
        <v>140</v>
      </c>
      <c r="D19" s="22"/>
      <c r="E19"/>
      <c r="F19" s="15"/>
      <c r="G19"/>
      <c r="H19"/>
      <c r="J19" s="11" t="s">
        <v>205</v>
      </c>
      <c r="K19" s="12" t="s">
        <v>213</v>
      </c>
    </row>
    <row r="20" spans="1:11" x14ac:dyDescent="0.25">
      <c r="A20"/>
      <c r="B20" s="20" t="b">
        <v>1</v>
      </c>
      <c r="C20" s="21" t="s">
        <v>141</v>
      </c>
      <c r="D20" s="22"/>
      <c r="E20"/>
      <c r="G20"/>
      <c r="H20"/>
      <c r="J20" s="11" t="s">
        <v>206</v>
      </c>
      <c r="K20" s="12" t="s">
        <v>214</v>
      </c>
    </row>
    <row r="21" spans="1:11" x14ac:dyDescent="0.25">
      <c r="A21"/>
      <c r="B21" s="20" t="b">
        <v>1</v>
      </c>
      <c r="C21" s="21" t="s">
        <v>142</v>
      </c>
      <c r="D21" s="22"/>
      <c r="E21"/>
      <c r="G21"/>
      <c r="H21"/>
      <c r="J21" s="11" t="s">
        <v>207</v>
      </c>
      <c r="K21" s="12" t="s">
        <v>215</v>
      </c>
    </row>
    <row r="22" spans="1:11" x14ac:dyDescent="0.25">
      <c r="A22"/>
      <c r="B22" s="20" t="b">
        <v>1</v>
      </c>
      <c r="C22" s="21" t="s">
        <v>143</v>
      </c>
      <c r="D22" s="22"/>
      <c r="E22"/>
      <c r="G22"/>
      <c r="H22"/>
      <c r="J22" s="11" t="s">
        <v>208</v>
      </c>
      <c r="K22" s="12" t="s">
        <v>146</v>
      </c>
    </row>
    <row r="23" spans="1:11" x14ac:dyDescent="0.25">
      <c r="A23"/>
      <c r="B23" s="20" t="b">
        <v>1</v>
      </c>
      <c r="C23" s="21" t="s">
        <v>144</v>
      </c>
      <c r="D23" s="22"/>
      <c r="E23"/>
      <c r="G23"/>
      <c r="H23"/>
      <c r="J23" s="11" t="s">
        <v>209</v>
      </c>
      <c r="K23" s="12" t="s">
        <v>216</v>
      </c>
    </row>
    <row r="24" spans="1:11" x14ac:dyDescent="0.25">
      <c r="A24"/>
      <c r="B24" s="20" t="b">
        <v>1</v>
      </c>
      <c r="C24" s="21" t="s">
        <v>145</v>
      </c>
      <c r="D24" s="22"/>
      <c r="E24"/>
      <c r="G24"/>
      <c r="H24"/>
      <c r="J24" s="11" t="s">
        <v>210</v>
      </c>
      <c r="K24" s="12" t="s">
        <v>217</v>
      </c>
    </row>
    <row r="25" spans="1:11" x14ac:dyDescent="0.25">
      <c r="A25"/>
      <c r="B25" s="20" t="b">
        <v>1</v>
      </c>
      <c r="C25" s="21" t="s">
        <v>146</v>
      </c>
      <c r="D25" s="22"/>
      <c r="E25"/>
      <c r="G25"/>
      <c r="H25"/>
      <c r="J25" s="11"/>
      <c r="K25" s="12"/>
    </row>
    <row r="26" spans="1:11" x14ac:dyDescent="0.25">
      <c r="A26"/>
      <c r="B26" s="20" t="b">
        <v>1</v>
      </c>
      <c r="C26" s="21" t="s">
        <v>194</v>
      </c>
      <c r="D26" s="22"/>
      <c r="E26"/>
      <c r="G26"/>
      <c r="H26"/>
      <c r="J26" s="11"/>
      <c r="K26" s="12"/>
    </row>
    <row r="27" spans="1:11" x14ac:dyDescent="0.25">
      <c r="A27"/>
      <c r="B27" s="20"/>
      <c r="C27" s="21"/>
      <c r="D27" s="22"/>
      <c r="E27"/>
      <c r="G27"/>
      <c r="H27"/>
      <c r="J27" s="11"/>
      <c r="K27" s="12"/>
    </row>
    <row r="28" spans="1:11" x14ac:dyDescent="0.25">
      <c r="A28"/>
      <c r="B28" s="20"/>
      <c r="C28" s="21"/>
      <c r="D28" s="22"/>
      <c r="E28"/>
      <c r="G28"/>
      <c r="H28"/>
      <c r="J28" s="11"/>
      <c r="K28" s="12"/>
    </row>
    <row r="29" spans="1:11" x14ac:dyDescent="0.25">
      <c r="A29"/>
      <c r="B29" s="20"/>
      <c r="C29" s="21"/>
      <c r="D29" s="22"/>
      <c r="E29"/>
      <c r="G29"/>
      <c r="H29"/>
      <c r="J29" s="11"/>
      <c r="K29" s="12"/>
    </row>
    <row r="30" spans="1:11" ht="15.75" thickBot="1" x14ac:dyDescent="0.3">
      <c r="A30"/>
      <c r="B30" s="20"/>
      <c r="C30" s="21"/>
      <c r="D30" s="22"/>
      <c r="E30"/>
      <c r="G30"/>
      <c r="H30"/>
      <c r="J30" s="13"/>
      <c r="K30" s="14"/>
    </row>
    <row r="31" spans="1:11" x14ac:dyDescent="0.25">
      <c r="A31"/>
      <c r="B31" s="20" t="b">
        <v>0</v>
      </c>
      <c r="C31" s="21" t="s">
        <v>178</v>
      </c>
      <c r="D31" s="22"/>
      <c r="E31"/>
      <c r="G31"/>
      <c r="H31"/>
    </row>
    <row r="32" spans="1:11" x14ac:dyDescent="0.25">
      <c r="A32"/>
      <c r="B32" s="20"/>
      <c r="C32" s="21" t="s">
        <v>179</v>
      </c>
      <c r="D32" s="22"/>
      <c r="E32"/>
      <c r="G32"/>
    </row>
    <row r="33" spans="1:7" x14ac:dyDescent="0.25">
      <c r="A33"/>
      <c r="B33" s="20"/>
      <c r="C33" s="21"/>
      <c r="D33" s="22"/>
      <c r="E33"/>
      <c r="G33"/>
    </row>
    <row r="34" spans="1:7" ht="15.75" thickBot="1" x14ac:dyDescent="0.3">
      <c r="A34"/>
      <c r="B34" s="23"/>
      <c r="C34" s="24"/>
      <c r="D34" s="25"/>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14</xdr:row>
                    <xdr:rowOff>0</xdr:rowOff>
                  </from>
                  <to>
                    <xdr:col>2</xdr:col>
                    <xdr:colOff>0</xdr:colOff>
                    <xdr:row>14</xdr:row>
                    <xdr:rowOff>190500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6</xdr:col>
                    <xdr:colOff>28575</xdr:colOff>
                    <xdr:row>2</xdr:row>
                    <xdr:rowOff>28575</xdr:rowOff>
                  </from>
                  <to>
                    <xdr:col>8</xdr:col>
                    <xdr:colOff>161925</xdr:colOff>
                    <xdr:row>5</xdr:row>
                    <xdr:rowOff>28575</xdr:rowOff>
                  </to>
                </anchor>
              </controlPr>
            </control>
          </mc:Choice>
        </mc:AlternateContent>
        <mc:AlternateContent xmlns:mc="http://schemas.openxmlformats.org/markup-compatibility/2006">
          <mc:Choice Requires="x14">
            <control shapeId="2741" r:id="rId22" name="Check Box 693">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mc:AlternateContent xmlns:mc="http://schemas.openxmlformats.org/markup-compatibility/2006">
          <mc:Choice Requires="x14">
            <control shapeId="2742" r:id="rId23" name="Check Box 694">
              <controlPr defaultSize="0" autoFill="0" autoLine="0" autoPict="0">
                <anchor moveWithCells="1">
                  <from>
                    <xdr:col>5</xdr:col>
                    <xdr:colOff>0</xdr:colOff>
                    <xdr:row>15</xdr:row>
                    <xdr:rowOff>0</xdr:rowOff>
                  </from>
                  <to>
                    <xdr:col>6</xdr:col>
                    <xdr:colOff>76200</xdr:colOff>
                    <xdr:row>16</xdr:row>
                    <xdr:rowOff>19050</xdr:rowOff>
                  </to>
                </anchor>
              </controlPr>
            </control>
          </mc:Choice>
        </mc:AlternateContent>
        <mc:AlternateContent xmlns:mc="http://schemas.openxmlformats.org/markup-compatibility/2006">
          <mc:Choice Requires="x14">
            <control shapeId="2743" r:id="rId24" name="Check Box 695">
              <controlPr defaultSize="0" autoFill="0" autoLine="0" autoPict="0">
                <anchor moveWithCells="1">
                  <from>
                    <xdr:col>5</xdr:col>
                    <xdr:colOff>0</xdr:colOff>
                    <xdr:row>16</xdr:row>
                    <xdr:rowOff>0</xdr:rowOff>
                  </from>
                  <to>
                    <xdr:col>6</xdr:col>
                    <xdr:colOff>76200</xdr:colOff>
                    <xdr:row>17</xdr:row>
                    <xdr:rowOff>19050</xdr:rowOff>
                  </to>
                </anchor>
              </controlPr>
            </control>
          </mc:Choice>
        </mc:AlternateContent>
        <mc:AlternateContent xmlns:mc="http://schemas.openxmlformats.org/markup-compatibility/2006">
          <mc:Choice Requires="x14">
            <control shapeId="2744" r:id="rId25" name="Check Box 696">
              <controlPr defaultSize="0" autoFill="0" autoLine="0" autoPict="0">
                <anchor moveWithCells="1">
                  <from>
                    <xdr:col>5</xdr:col>
                    <xdr:colOff>0</xdr:colOff>
                    <xdr:row>17</xdr:row>
                    <xdr:rowOff>0</xdr:rowOff>
                  </from>
                  <to>
                    <xdr:col>6</xdr:col>
                    <xdr:colOff>76200</xdr:colOff>
                    <xdr:row>18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81"/>
  <sheetViews>
    <sheetView topLeftCell="A69" zoomScaleNormal="100" workbookViewId="0">
      <selection activeCell="B79" sqref="B79:E81"/>
    </sheetView>
  </sheetViews>
  <sheetFormatPr defaultRowHeight="15" x14ac:dyDescent="0.25"/>
  <cols>
    <col min="4" max="4" width="38.85546875" customWidth="1"/>
  </cols>
  <sheetData>
    <row r="1" spans="2:5" x14ac:dyDescent="0.25">
      <c r="B1" t="s">
        <v>2</v>
      </c>
      <c r="C1" t="b">
        <f t="shared" ref="C1:C11" si="0">VGE_T</f>
        <v>1</v>
      </c>
      <c r="D1" t="s">
        <v>4</v>
      </c>
      <c r="E1" t="s">
        <v>25</v>
      </c>
    </row>
    <row r="2" spans="2:5" x14ac:dyDescent="0.25">
      <c r="B2" t="s">
        <v>1</v>
      </c>
      <c r="C2" t="b">
        <f t="shared" si="0"/>
        <v>1</v>
      </c>
      <c r="D2" t="s">
        <v>4</v>
      </c>
      <c r="E2" t="s">
        <v>72</v>
      </c>
    </row>
    <row r="3" spans="2:5" x14ac:dyDescent="0.25">
      <c r="B3" t="s">
        <v>3</v>
      </c>
      <c r="C3" t="b">
        <f t="shared" si="0"/>
        <v>1</v>
      </c>
      <c r="D3" t="s">
        <v>4</v>
      </c>
      <c r="E3" t="s">
        <v>253</v>
      </c>
    </row>
    <row r="4" spans="2:5" x14ac:dyDescent="0.25">
      <c r="B4" t="s">
        <v>2</v>
      </c>
      <c r="C4" t="b">
        <f t="shared" si="0"/>
        <v>1</v>
      </c>
      <c r="D4" t="s">
        <v>39</v>
      </c>
      <c r="E4" t="s">
        <v>30</v>
      </c>
    </row>
    <row r="5" spans="2:5" x14ac:dyDescent="0.25">
      <c r="B5" t="s">
        <v>1</v>
      </c>
      <c r="C5" t="b">
        <f t="shared" si="0"/>
        <v>1</v>
      </c>
      <c r="D5" t="s">
        <v>39</v>
      </c>
      <c r="E5" t="s">
        <v>129</v>
      </c>
    </row>
    <row r="6" spans="2:5" x14ac:dyDescent="0.25">
      <c r="B6" t="s">
        <v>3</v>
      </c>
      <c r="C6" t="b">
        <f t="shared" si="0"/>
        <v>1</v>
      </c>
      <c r="D6" t="s">
        <v>39</v>
      </c>
      <c r="E6" t="s">
        <v>131</v>
      </c>
    </row>
    <row r="7" spans="2:5" x14ac:dyDescent="0.25">
      <c r="B7" t="s">
        <v>221</v>
      </c>
      <c r="C7" t="b">
        <f t="shared" si="0"/>
        <v>1</v>
      </c>
      <c r="D7" t="s">
        <v>39</v>
      </c>
      <c r="E7" t="s">
        <v>220</v>
      </c>
    </row>
    <row r="8" spans="2:5" x14ac:dyDescent="0.25">
      <c r="B8" t="s">
        <v>221</v>
      </c>
      <c r="C8" t="b">
        <f t="shared" si="0"/>
        <v>1</v>
      </c>
      <c r="D8" t="s">
        <v>39</v>
      </c>
      <c r="E8" t="str">
        <f>"DELETE FROM 'Electricity generation - Term' WHERE NOT (COUNTRY IN ( " &amp; C_filter &amp; "));"</f>
        <v>DELETE FROM 'Electricity generation - Term' WHERE NOT (COUNTRY IN ( 'DENMARK' , 'NORWAY' , 'GERMANY' , 'SWEDEN'));</v>
      </c>
    </row>
    <row r="9" spans="2:5" x14ac:dyDescent="0.25">
      <c r="B9" t="s">
        <v>2</v>
      </c>
      <c r="C9" t="b">
        <f t="shared" si="0"/>
        <v>1</v>
      </c>
      <c r="D9" t="s">
        <v>5</v>
      </c>
      <c r="E9" t="s">
        <v>26</v>
      </c>
    </row>
    <row r="10" spans="2:5" x14ac:dyDescent="0.25">
      <c r="B10" t="s">
        <v>1</v>
      </c>
      <c r="C10" t="b">
        <f t="shared" si="0"/>
        <v>1</v>
      </c>
      <c r="D10" t="s">
        <v>5</v>
      </c>
      <c r="E10" t="s">
        <v>130</v>
      </c>
    </row>
    <row r="11" spans="2:5" x14ac:dyDescent="0.25">
      <c r="B11" t="s">
        <v>3</v>
      </c>
      <c r="C11" t="b">
        <f t="shared" si="0"/>
        <v>1</v>
      </c>
      <c r="D11" t="s">
        <v>5</v>
      </c>
      <c r="E11" t="s">
        <v>136</v>
      </c>
    </row>
    <row r="12" spans="2:5" x14ac:dyDescent="0.25">
      <c r="B12" t="s">
        <v>2</v>
      </c>
      <c r="C12" t="b">
        <f>QEEQ</f>
        <v>1</v>
      </c>
      <c r="D12" t="s">
        <v>23</v>
      </c>
      <c r="E12" t="s">
        <v>27</v>
      </c>
    </row>
    <row r="13" spans="2:5" x14ac:dyDescent="0.25">
      <c r="B13" t="s">
        <v>1</v>
      </c>
      <c r="C13" t="b">
        <f>QEEQ</f>
        <v>1</v>
      </c>
      <c r="D13" t="s">
        <v>23</v>
      </c>
      <c r="E13" t="s">
        <v>115</v>
      </c>
    </row>
    <row r="14" spans="2:5" x14ac:dyDescent="0.25">
      <c r="B14" t="s">
        <v>3</v>
      </c>
      <c r="C14" t="b">
        <f>QEEQ</f>
        <v>1</v>
      </c>
      <c r="D14" t="s">
        <v>23</v>
      </c>
      <c r="E14" t="s">
        <v>116</v>
      </c>
    </row>
    <row r="15" spans="2:5" x14ac:dyDescent="0.25">
      <c r="B15" t="s">
        <v>2</v>
      </c>
      <c r="C15" t="b">
        <f>QHEQ</f>
        <v>1</v>
      </c>
      <c r="D15" t="s">
        <v>109</v>
      </c>
      <c r="E15" t="s">
        <v>110</v>
      </c>
    </row>
    <row r="16" spans="2:5" x14ac:dyDescent="0.25">
      <c r="B16" t="s">
        <v>1</v>
      </c>
      <c r="C16" t="b">
        <f>QHEQ</f>
        <v>1</v>
      </c>
      <c r="D16" t="s">
        <v>109</v>
      </c>
      <c r="E16" t="s">
        <v>168</v>
      </c>
    </row>
    <row r="17" spans="2:5" x14ac:dyDescent="0.25">
      <c r="B17" t="s">
        <v>3</v>
      </c>
      <c r="C17" t="b">
        <f>QHEQ</f>
        <v>1</v>
      </c>
      <c r="D17" t="s">
        <v>109</v>
      </c>
      <c r="E17" t="s">
        <v>172</v>
      </c>
    </row>
    <row r="18" spans="2:5" x14ac:dyDescent="0.25">
      <c r="B18" t="s">
        <v>2</v>
      </c>
      <c r="C18" t="b">
        <f t="shared" ref="C18:C27" si="1">VGH_T</f>
        <v>1</v>
      </c>
      <c r="D18" t="s">
        <v>31</v>
      </c>
      <c r="E18" t="s">
        <v>32</v>
      </c>
    </row>
    <row r="19" spans="2:5" x14ac:dyDescent="0.25">
      <c r="B19" t="s">
        <v>1</v>
      </c>
      <c r="C19" t="b">
        <f t="shared" si="1"/>
        <v>1</v>
      </c>
      <c r="D19" t="s">
        <v>31</v>
      </c>
      <c r="E19" t="s">
        <v>73</v>
      </c>
    </row>
    <row r="20" spans="2:5" x14ac:dyDescent="0.25">
      <c r="B20" t="s">
        <v>3</v>
      </c>
      <c r="C20" t="b">
        <f t="shared" si="1"/>
        <v>1</v>
      </c>
      <c r="D20" t="s">
        <v>31</v>
      </c>
      <c r="E20" t="s">
        <v>252</v>
      </c>
    </row>
    <row r="21" spans="2:5" x14ac:dyDescent="0.25">
      <c r="B21" t="s">
        <v>2</v>
      </c>
      <c r="C21" t="b">
        <f t="shared" si="1"/>
        <v>1</v>
      </c>
      <c r="D21" t="s">
        <v>35</v>
      </c>
      <c r="E21" t="s">
        <v>37</v>
      </c>
    </row>
    <row r="22" spans="2:5" x14ac:dyDescent="0.25">
      <c r="B22" t="s">
        <v>1</v>
      </c>
      <c r="C22" t="b">
        <f t="shared" si="1"/>
        <v>1</v>
      </c>
      <c r="D22" t="s">
        <v>35</v>
      </c>
      <c r="E22" t="s">
        <v>74</v>
      </c>
    </row>
    <row r="23" spans="2:5" x14ac:dyDescent="0.25">
      <c r="B23" t="s">
        <v>3</v>
      </c>
      <c r="C23" t="b">
        <f t="shared" si="1"/>
        <v>1</v>
      </c>
      <c r="D23" t="s">
        <v>35</v>
      </c>
      <c r="E23" t="s">
        <v>75</v>
      </c>
    </row>
    <row r="24" spans="2:5" x14ac:dyDescent="0.25">
      <c r="B24" t="s">
        <v>221</v>
      </c>
      <c r="C24" t="b">
        <f t="shared" si="1"/>
        <v>1</v>
      </c>
      <c r="D24" t="s">
        <v>35</v>
      </c>
      <c r="E24" t="str">
        <f>"DELETE FROM 'Heat generation - Term' WHERE NOT (COUNTRY IN ( " &amp; C_filter &amp; "));"</f>
        <v>DELETE FROM 'Heat generation - Term' WHERE NOT (COUNTRY IN ( 'DENMARK' , 'NORWAY' , 'GERMANY' , 'SWEDEN'));</v>
      </c>
    </row>
    <row r="25" spans="2:5" x14ac:dyDescent="0.25">
      <c r="B25" t="s">
        <v>2</v>
      </c>
      <c r="C25" t="b">
        <f t="shared" si="1"/>
        <v>1</v>
      </c>
      <c r="D25" t="s">
        <v>36</v>
      </c>
      <c r="E25" t="s">
        <v>41</v>
      </c>
    </row>
    <row r="26" spans="2:5" x14ac:dyDescent="0.25">
      <c r="B26" t="s">
        <v>1</v>
      </c>
      <c r="C26" t="b">
        <f t="shared" si="1"/>
        <v>1</v>
      </c>
      <c r="D26" t="s">
        <v>36</v>
      </c>
      <c r="E26" t="s">
        <v>76</v>
      </c>
    </row>
    <row r="27" spans="2:5" x14ac:dyDescent="0.25">
      <c r="B27" t="s">
        <v>3</v>
      </c>
      <c r="C27" t="b">
        <f t="shared" si="1"/>
        <v>1</v>
      </c>
      <c r="D27" t="s">
        <v>36</v>
      </c>
      <c r="E27" t="s">
        <v>86</v>
      </c>
    </row>
    <row r="28" spans="2:5" x14ac:dyDescent="0.25">
      <c r="B28" t="s">
        <v>2</v>
      </c>
      <c r="C28" t="b">
        <f t="shared" ref="C28:C44" si="2">VGF_T</f>
        <v>1</v>
      </c>
      <c r="D28" t="s">
        <v>52</v>
      </c>
      <c r="E28" t="s">
        <v>53</v>
      </c>
    </row>
    <row r="29" spans="2:5" x14ac:dyDescent="0.25">
      <c r="B29" t="s">
        <v>1</v>
      </c>
      <c r="C29" t="b">
        <f t="shared" si="2"/>
        <v>1</v>
      </c>
      <c r="D29" t="s">
        <v>52</v>
      </c>
      <c r="E29" t="s">
        <v>77</v>
      </c>
    </row>
    <row r="30" spans="2:5" x14ac:dyDescent="0.25">
      <c r="B30" t="s">
        <v>3</v>
      </c>
      <c r="C30" t="b">
        <f t="shared" si="2"/>
        <v>1</v>
      </c>
      <c r="D30" t="s">
        <v>52</v>
      </c>
      <c r="E30" t="s">
        <v>254</v>
      </c>
    </row>
    <row r="31" spans="2:5" x14ac:dyDescent="0.25">
      <c r="B31" t="s">
        <v>2</v>
      </c>
      <c r="C31" t="b">
        <f t="shared" si="2"/>
        <v>1</v>
      </c>
      <c r="D31" t="s">
        <v>54</v>
      </c>
      <c r="E31" t="s">
        <v>56</v>
      </c>
    </row>
    <row r="32" spans="2:5" x14ac:dyDescent="0.25">
      <c r="B32" t="s">
        <v>1</v>
      </c>
      <c r="C32" t="b">
        <f t="shared" si="2"/>
        <v>1</v>
      </c>
      <c r="D32" t="s">
        <v>54</v>
      </c>
      <c r="E32" t="s">
        <v>78</v>
      </c>
    </row>
    <row r="33" spans="2:5" x14ac:dyDescent="0.25">
      <c r="B33" t="s">
        <v>3</v>
      </c>
      <c r="C33" t="b">
        <f t="shared" si="2"/>
        <v>1</v>
      </c>
      <c r="D33" t="s">
        <v>54</v>
      </c>
      <c r="E33" t="s">
        <v>79</v>
      </c>
    </row>
    <row r="34" spans="2:5" x14ac:dyDescent="0.25">
      <c r="B34" t="s">
        <v>221</v>
      </c>
      <c r="C34" t="b">
        <f t="shared" si="2"/>
        <v>1</v>
      </c>
      <c r="D34" t="s">
        <v>54</v>
      </c>
      <c r="E34" t="str">
        <f>"DELETE FROM 'Fuel consumption - Term' WHERE NOT (COUNTRY IN ( " &amp; C_filter &amp; "));"</f>
        <v>DELETE FROM 'Fuel consumption - Term' WHERE NOT (COUNTRY IN ( 'DENMARK' , 'NORWAY' , 'GERMANY' , 'SWEDEN'));</v>
      </c>
    </row>
    <row r="35" spans="2:5" x14ac:dyDescent="0.25">
      <c r="B35" t="s">
        <v>2</v>
      </c>
      <c r="C35" t="b">
        <f t="shared" si="2"/>
        <v>1</v>
      </c>
      <c r="D35" t="s">
        <v>55</v>
      </c>
      <c r="E35" t="s">
        <v>58</v>
      </c>
    </row>
    <row r="36" spans="2:5" x14ac:dyDescent="0.25">
      <c r="B36" t="s">
        <v>1</v>
      </c>
      <c r="C36" t="b">
        <f t="shared" si="2"/>
        <v>1</v>
      </c>
      <c r="D36" t="s">
        <v>55</v>
      </c>
      <c r="E36" t="s">
        <v>80</v>
      </c>
    </row>
    <row r="37" spans="2:5" x14ac:dyDescent="0.25">
      <c r="B37" t="s">
        <v>3</v>
      </c>
      <c r="C37" t="b">
        <f t="shared" si="2"/>
        <v>1</v>
      </c>
      <c r="D37" t="s">
        <v>55</v>
      </c>
      <c r="E37" t="s">
        <v>81</v>
      </c>
    </row>
    <row r="38" spans="2:5" x14ac:dyDescent="0.25">
      <c r="B38" t="s">
        <v>2</v>
      </c>
      <c r="C38" t="b">
        <f t="shared" si="2"/>
        <v>1</v>
      </c>
      <c r="D38" t="s">
        <v>62</v>
      </c>
      <c r="E38" t="s">
        <v>61</v>
      </c>
    </row>
    <row r="39" spans="2:5" x14ac:dyDescent="0.25">
      <c r="B39" t="s">
        <v>1</v>
      </c>
      <c r="C39" t="b">
        <f t="shared" si="2"/>
        <v>1</v>
      </c>
      <c r="D39" t="s">
        <v>62</v>
      </c>
      <c r="E39" t="s">
        <v>82</v>
      </c>
    </row>
    <row r="40" spans="2:5" x14ac:dyDescent="0.25">
      <c r="B40" t="s">
        <v>3</v>
      </c>
      <c r="C40" t="b">
        <f t="shared" si="2"/>
        <v>1</v>
      </c>
      <c r="D40" t="s">
        <v>62</v>
      </c>
      <c r="E40" t="s">
        <v>83</v>
      </c>
    </row>
    <row r="41" spans="2:5" x14ac:dyDescent="0.25">
      <c r="B41" t="s">
        <v>221</v>
      </c>
      <c r="C41" t="b">
        <f t="shared" si="2"/>
        <v>1</v>
      </c>
      <c r="D41" t="s">
        <v>62</v>
      </c>
      <c r="E41" t="str">
        <f>"DELETE FROM 'Emissions - Term' WHERE NOT (COUNTRY IN ( " &amp; C_filter &amp; "));"</f>
        <v>DELETE FROM 'Emissions - Term' WHERE NOT (COUNTRY IN ( 'DENMARK' , 'NORWAY' , 'GERMANY' , 'SWEDEN'));</v>
      </c>
    </row>
    <row r="42" spans="2:5" x14ac:dyDescent="0.25">
      <c r="B42" t="s">
        <v>2</v>
      </c>
      <c r="C42" t="b">
        <f t="shared" si="2"/>
        <v>1</v>
      </c>
      <c r="D42" t="s">
        <v>67</v>
      </c>
      <c r="E42" t="s">
        <v>68</v>
      </c>
    </row>
    <row r="43" spans="2:5" x14ac:dyDescent="0.25">
      <c r="B43" t="s">
        <v>1</v>
      </c>
      <c r="C43" t="b">
        <f t="shared" si="2"/>
        <v>1</v>
      </c>
      <c r="D43" t="s">
        <v>67</v>
      </c>
      <c r="E43" t="s">
        <v>84</v>
      </c>
    </row>
    <row r="44" spans="2:5" x14ac:dyDescent="0.25">
      <c r="B44" t="s">
        <v>3</v>
      </c>
      <c r="C44" t="b">
        <f t="shared" si="2"/>
        <v>1</v>
      </c>
      <c r="D44" t="s">
        <v>67</v>
      </c>
      <c r="E44" t="s">
        <v>85</v>
      </c>
    </row>
    <row r="45" spans="2:5" x14ac:dyDescent="0.25">
      <c r="B45" t="s">
        <v>2</v>
      </c>
      <c r="C45" t="b">
        <f t="shared" ref="C45:C51" si="3">STO</f>
        <v>1</v>
      </c>
      <c r="D45" t="s">
        <v>89</v>
      </c>
      <c r="E45" t="s">
        <v>90</v>
      </c>
    </row>
    <row r="46" spans="2:5" x14ac:dyDescent="0.25">
      <c r="B46" t="s">
        <v>1</v>
      </c>
      <c r="C46" t="b">
        <f t="shared" si="3"/>
        <v>1</v>
      </c>
      <c r="D46" t="s">
        <v>89</v>
      </c>
      <c r="E46" t="s">
        <v>96</v>
      </c>
    </row>
    <row r="47" spans="2:5" x14ac:dyDescent="0.25">
      <c r="B47" t="s">
        <v>3</v>
      </c>
      <c r="C47" t="b">
        <f t="shared" si="3"/>
        <v>1</v>
      </c>
      <c r="D47" t="s">
        <v>89</v>
      </c>
      <c r="E47" s="6" t="s">
        <v>97</v>
      </c>
    </row>
    <row r="48" spans="2:5" x14ac:dyDescent="0.25">
      <c r="B48" t="s">
        <v>221</v>
      </c>
      <c r="C48" t="b">
        <f t="shared" si="3"/>
        <v>1</v>
      </c>
      <c r="D48" t="s">
        <v>89</v>
      </c>
      <c r="E48" s="6" t="str">
        <f>"DELETE FROM 'Heat Storage volume' WHERE NOT (COUNTRY IN ( " &amp; C_filter &amp; "));"</f>
        <v>DELETE FROM 'Heat Storage volume' WHERE NOT (COUNTRY IN ( 'DENMARK' , 'NORWAY' , 'GERMANY' , 'SWEDEN'));</v>
      </c>
    </row>
    <row r="49" spans="2:5" x14ac:dyDescent="0.25">
      <c r="B49" t="s">
        <v>2</v>
      </c>
      <c r="C49" t="b">
        <f t="shared" si="3"/>
        <v>1</v>
      </c>
      <c r="D49" t="s">
        <v>91</v>
      </c>
      <c r="E49" t="s">
        <v>92</v>
      </c>
    </row>
    <row r="50" spans="2:5" x14ac:dyDescent="0.25">
      <c r="B50" t="s">
        <v>1</v>
      </c>
      <c r="C50" t="b">
        <f t="shared" si="3"/>
        <v>1</v>
      </c>
      <c r="D50" t="s">
        <v>91</v>
      </c>
      <c r="E50" t="s">
        <v>98</v>
      </c>
    </row>
    <row r="51" spans="2:5" x14ac:dyDescent="0.25">
      <c r="B51" t="s">
        <v>3</v>
      </c>
      <c r="C51" t="b">
        <f t="shared" si="3"/>
        <v>1</v>
      </c>
      <c r="D51" t="s">
        <v>91</v>
      </c>
      <c r="E51" s="6" t="s">
        <v>99</v>
      </c>
    </row>
    <row r="52" spans="2:5" x14ac:dyDescent="0.25">
      <c r="B52" t="s">
        <v>2</v>
      </c>
      <c r="C52" t="b">
        <f t="shared" ref="C52:C57" si="4">IGK</f>
        <v>1</v>
      </c>
      <c r="D52" t="s">
        <v>117</v>
      </c>
      <c r="E52" s="6" t="s">
        <v>118</v>
      </c>
    </row>
    <row r="53" spans="2:5" x14ac:dyDescent="0.25">
      <c r="B53" t="s">
        <v>1</v>
      </c>
      <c r="C53" t="b">
        <f t="shared" si="4"/>
        <v>1</v>
      </c>
      <c r="D53" t="s">
        <v>117</v>
      </c>
      <c r="E53" s="6" t="s">
        <v>160</v>
      </c>
    </row>
    <row r="54" spans="2:5" x14ac:dyDescent="0.25">
      <c r="B54" t="s">
        <v>3</v>
      </c>
      <c r="C54" t="b">
        <f t="shared" si="4"/>
        <v>1</v>
      </c>
      <c r="D54" t="s">
        <v>117</v>
      </c>
      <c r="E54" s="6" t="s">
        <v>119</v>
      </c>
    </row>
    <row r="55" spans="2:5" x14ac:dyDescent="0.25">
      <c r="B55" t="s">
        <v>2</v>
      </c>
      <c r="C55" t="b">
        <f t="shared" si="4"/>
        <v>1</v>
      </c>
      <c r="D55" t="s">
        <v>120</v>
      </c>
      <c r="E55" s="6" t="s">
        <v>121</v>
      </c>
    </row>
    <row r="56" spans="2:5" x14ac:dyDescent="0.25">
      <c r="B56" t="s">
        <v>1</v>
      </c>
      <c r="C56" t="b">
        <f t="shared" si="4"/>
        <v>1</v>
      </c>
      <c r="D56" t="s">
        <v>120</v>
      </c>
      <c r="E56" s="6" t="s">
        <v>173</v>
      </c>
    </row>
    <row r="57" spans="2:5" x14ac:dyDescent="0.25">
      <c r="B57" t="s">
        <v>3</v>
      </c>
      <c r="C57" t="b">
        <f t="shared" si="4"/>
        <v>1</v>
      </c>
      <c r="D57" t="s">
        <v>120</v>
      </c>
      <c r="E57" s="6" t="s">
        <v>175</v>
      </c>
    </row>
    <row r="58" spans="2:5" x14ac:dyDescent="0.25">
      <c r="B58" t="s">
        <v>2</v>
      </c>
      <c r="C58" t="b">
        <f t="shared" ref="C58:C69" si="5">DE</f>
        <v>1</v>
      </c>
      <c r="D58" t="s">
        <v>103</v>
      </c>
      <c r="E58" s="6" t="s">
        <v>101</v>
      </c>
    </row>
    <row r="59" spans="2:5" x14ac:dyDescent="0.25">
      <c r="B59" t="s">
        <v>1</v>
      </c>
      <c r="C59" t="b">
        <f t="shared" si="5"/>
        <v>1</v>
      </c>
      <c r="D59" t="s">
        <v>103</v>
      </c>
      <c r="E59" s="6" t="s">
        <v>277</v>
      </c>
    </row>
    <row r="60" spans="2:5" x14ac:dyDescent="0.25">
      <c r="B60" t="s">
        <v>3</v>
      </c>
      <c r="C60" t="b">
        <f t="shared" si="5"/>
        <v>1</v>
      </c>
      <c r="D60" t="s">
        <v>103</v>
      </c>
      <c r="E60" s="6" t="s">
        <v>278</v>
      </c>
    </row>
    <row r="61" spans="2:5" x14ac:dyDescent="0.25">
      <c r="B61" t="s">
        <v>2</v>
      </c>
      <c r="C61" t="b">
        <f t="shared" si="5"/>
        <v>1</v>
      </c>
      <c r="D61" t="s">
        <v>105</v>
      </c>
      <c r="E61" s="6" t="s">
        <v>108</v>
      </c>
    </row>
    <row r="62" spans="2:5" x14ac:dyDescent="0.25">
      <c r="B62" t="s">
        <v>1</v>
      </c>
      <c r="C62" t="b">
        <f t="shared" si="5"/>
        <v>1</v>
      </c>
      <c r="D62" t="s">
        <v>105</v>
      </c>
      <c r="E62" s="6" t="s">
        <v>279</v>
      </c>
    </row>
    <row r="63" spans="2:5" x14ac:dyDescent="0.25">
      <c r="B63" t="s">
        <v>3</v>
      </c>
      <c r="C63" t="b">
        <f t="shared" si="5"/>
        <v>1</v>
      </c>
      <c r="D63" t="s">
        <v>105</v>
      </c>
      <c r="E63" s="6" t="s">
        <v>280</v>
      </c>
    </row>
    <row r="64" spans="2:5" x14ac:dyDescent="0.25">
      <c r="B64" t="s">
        <v>2</v>
      </c>
      <c r="C64" t="b">
        <f t="shared" si="5"/>
        <v>1</v>
      </c>
      <c r="D64" t="s">
        <v>102</v>
      </c>
      <c r="E64" s="6" t="s">
        <v>104</v>
      </c>
    </row>
    <row r="65" spans="2:5" x14ac:dyDescent="0.25">
      <c r="B65" t="s">
        <v>1</v>
      </c>
      <c r="C65" t="b">
        <f t="shared" si="5"/>
        <v>1</v>
      </c>
      <c r="D65" t="s">
        <v>102</v>
      </c>
      <c r="E65" s="6" t="s">
        <v>281</v>
      </c>
    </row>
    <row r="66" spans="2:5" x14ac:dyDescent="0.25">
      <c r="B66" t="s">
        <v>3</v>
      </c>
      <c r="C66" t="b">
        <f t="shared" si="5"/>
        <v>1</v>
      </c>
      <c r="D66" t="s">
        <v>102</v>
      </c>
      <c r="E66" s="6" t="s">
        <v>282</v>
      </c>
    </row>
    <row r="67" spans="2:5" x14ac:dyDescent="0.25">
      <c r="B67" t="s">
        <v>2</v>
      </c>
      <c r="C67" t="b">
        <f t="shared" si="5"/>
        <v>1</v>
      </c>
      <c r="D67" t="s">
        <v>106</v>
      </c>
      <c r="E67" s="8" t="s">
        <v>107</v>
      </c>
    </row>
    <row r="68" spans="2:5" x14ac:dyDescent="0.25">
      <c r="B68" t="s">
        <v>1</v>
      </c>
      <c r="C68" t="b">
        <f t="shared" si="5"/>
        <v>1</v>
      </c>
      <c r="D68" t="s">
        <v>106</v>
      </c>
      <c r="E68" s="8" t="s">
        <v>283</v>
      </c>
    </row>
    <row r="69" spans="2:5" x14ac:dyDescent="0.25">
      <c r="B69" t="s">
        <v>3</v>
      </c>
      <c r="C69" t="b">
        <f t="shared" si="5"/>
        <v>1</v>
      </c>
      <c r="D69" t="s">
        <v>106</v>
      </c>
      <c r="E69" s="8" t="s">
        <v>284</v>
      </c>
    </row>
    <row r="70" spans="2:5" x14ac:dyDescent="0.25">
      <c r="B70" t="s">
        <v>2</v>
      </c>
      <c r="C70" t="b">
        <f t="shared" ref="C70:C78" si="6">VX_T</f>
        <v>1</v>
      </c>
      <c r="D70" t="s">
        <v>122</v>
      </c>
      <c r="E70" s="6" t="s">
        <v>125</v>
      </c>
    </row>
    <row r="71" spans="2:5" x14ac:dyDescent="0.25">
      <c r="B71" t="s">
        <v>1</v>
      </c>
      <c r="C71" t="b">
        <f t="shared" si="6"/>
        <v>1</v>
      </c>
      <c r="D71" t="s">
        <v>122</v>
      </c>
      <c r="E71" s="6" t="s">
        <v>126</v>
      </c>
    </row>
    <row r="72" spans="2:5" x14ac:dyDescent="0.25">
      <c r="B72" t="s">
        <v>3</v>
      </c>
      <c r="C72" t="b">
        <f t="shared" si="6"/>
        <v>1</v>
      </c>
      <c r="D72" t="s">
        <v>122</v>
      </c>
      <c r="E72" s="6" t="s">
        <v>127</v>
      </c>
    </row>
    <row r="73" spans="2:5" x14ac:dyDescent="0.25">
      <c r="B73" t="s">
        <v>2</v>
      </c>
      <c r="C73" t="b">
        <f t="shared" si="6"/>
        <v>1</v>
      </c>
      <c r="D73" t="s">
        <v>123</v>
      </c>
      <c r="E73" s="6" t="s">
        <v>124</v>
      </c>
    </row>
    <row r="74" spans="2:5" x14ac:dyDescent="0.25">
      <c r="B74" t="s">
        <v>1</v>
      </c>
      <c r="C74" t="b">
        <f t="shared" si="6"/>
        <v>1</v>
      </c>
      <c r="D74" t="s">
        <v>123</v>
      </c>
      <c r="E74" s="6" t="s">
        <v>128</v>
      </c>
    </row>
    <row r="75" spans="2:5" x14ac:dyDescent="0.25">
      <c r="B75" t="s">
        <v>3</v>
      </c>
      <c r="C75" t="b">
        <f t="shared" si="6"/>
        <v>1</v>
      </c>
      <c r="D75" t="s">
        <v>123</v>
      </c>
      <c r="E75" s="6" t="s">
        <v>150</v>
      </c>
    </row>
    <row r="76" spans="2:5" x14ac:dyDescent="0.25">
      <c r="B76" t="s">
        <v>2</v>
      </c>
      <c r="C76" t="b">
        <f t="shared" si="6"/>
        <v>1</v>
      </c>
      <c r="D76" t="s">
        <v>184</v>
      </c>
      <c r="E76" t="s">
        <v>180</v>
      </c>
    </row>
    <row r="77" spans="2:5" x14ac:dyDescent="0.25">
      <c r="B77" t="s">
        <v>1</v>
      </c>
      <c r="C77" t="b">
        <f t="shared" si="6"/>
        <v>1</v>
      </c>
      <c r="D77" t="s">
        <v>184</v>
      </c>
      <c r="E77" t="s">
        <v>182</v>
      </c>
    </row>
    <row r="78" spans="2:5" x14ac:dyDescent="0.25">
      <c r="B78" t="s">
        <v>3</v>
      </c>
      <c r="C78" t="b">
        <f t="shared" si="6"/>
        <v>1</v>
      </c>
      <c r="D78" t="s">
        <v>184</v>
      </c>
      <c r="E78" t="s">
        <v>183</v>
      </c>
    </row>
    <row r="79" spans="2:5" x14ac:dyDescent="0.25">
      <c r="B79" t="s">
        <v>2</v>
      </c>
      <c r="C79" t="b">
        <f>VGKN</f>
        <v>1</v>
      </c>
      <c r="D79" t="s">
        <v>190</v>
      </c>
      <c r="E79" t="s">
        <v>191</v>
      </c>
    </row>
    <row r="80" spans="2:5" x14ac:dyDescent="0.25">
      <c r="B80" t="s">
        <v>1</v>
      </c>
      <c r="C80" t="b">
        <f>VGKN</f>
        <v>1</v>
      </c>
      <c r="D80" t="s">
        <v>190</v>
      </c>
      <c r="E80" t="s">
        <v>192</v>
      </c>
    </row>
    <row r="81" spans="2:5" x14ac:dyDescent="0.25">
      <c r="B81" t="s">
        <v>3</v>
      </c>
      <c r="C81" t="b">
        <f>VGKN</f>
        <v>1</v>
      </c>
      <c r="D81" t="s">
        <v>190</v>
      </c>
      <c r="E81" t="s">
        <v>193</v>
      </c>
    </row>
  </sheetData>
  <conditionalFormatting sqref="C18:C81 C1:C14">
    <cfRule type="containsText" dxfId="8" priority="2" operator="containsText" text="TRUE">
      <formula>NOT(ISERROR(SEARCH("TRUE",C1)))</formula>
    </cfRule>
    <cfRule type="colorScale" priority="3">
      <colorScale>
        <cfvo type="min"/>
        <cfvo type="percentile" val="50"/>
        <cfvo type="max"/>
        <color rgb="FFF8696B"/>
        <color rgb="FFFCFCFF"/>
        <color rgb="FF63BE7B"/>
      </colorScale>
    </cfRule>
  </conditionalFormatting>
  <conditionalFormatting sqref="C15:C17">
    <cfRule type="containsText" dxfId="7" priority="1" operator="containsText" text="TRUE">
      <formula>NOT(ISERROR(SEARCH("TRUE",C15)))</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H108"/>
  <sheetViews>
    <sheetView topLeftCell="A69" zoomScaleNormal="100" workbookViewId="0">
      <selection activeCell="E79" sqref="E79:E81"/>
    </sheetView>
  </sheetViews>
  <sheetFormatPr defaultRowHeight="15" x14ac:dyDescent="0.25"/>
  <cols>
    <col min="3" max="3" width="6.140625" bestFit="1" customWidth="1"/>
    <col min="4" max="4" width="47.140625" bestFit="1" customWidth="1"/>
  </cols>
  <sheetData>
    <row r="1" spans="1:5" x14ac:dyDescent="0.25">
      <c r="A1">
        <v>1.9999999552965164E-2</v>
      </c>
      <c r="B1" t="s">
        <v>2</v>
      </c>
      <c r="C1" t="b">
        <f t="shared" ref="C1:C11" si="0">VGE_T</f>
        <v>1</v>
      </c>
      <c r="D1" t="s">
        <v>4</v>
      </c>
      <c r="E1" t="s">
        <v>25</v>
      </c>
    </row>
    <row r="2" spans="1:5" x14ac:dyDescent="0.25">
      <c r="A2">
        <v>0.18000000715255737</v>
      </c>
      <c r="B2" t="s">
        <v>1</v>
      </c>
      <c r="C2" t="b">
        <f t="shared" si="0"/>
        <v>1</v>
      </c>
      <c r="D2" t="s">
        <v>4</v>
      </c>
      <c r="E2" t="s">
        <v>28</v>
      </c>
    </row>
    <row r="3" spans="1:5" x14ac:dyDescent="0.25">
      <c r="A3">
        <v>0.40999999642372131</v>
      </c>
      <c r="B3" t="s">
        <v>3</v>
      </c>
      <c r="C3" t="b">
        <f t="shared" si="0"/>
        <v>1</v>
      </c>
      <c r="D3" t="s">
        <v>4</v>
      </c>
      <c r="E3" t="s">
        <v>29</v>
      </c>
    </row>
    <row r="4" spans="1:5" x14ac:dyDescent="0.25">
      <c r="A4">
        <v>0.62000000476837158</v>
      </c>
      <c r="B4" t="s">
        <v>2</v>
      </c>
      <c r="C4" t="b">
        <f t="shared" si="0"/>
        <v>1</v>
      </c>
      <c r="D4" t="s">
        <v>39</v>
      </c>
      <c r="E4" t="s">
        <v>30</v>
      </c>
    </row>
    <row r="5" spans="1:5" x14ac:dyDescent="0.25">
      <c r="A5">
        <v>0.80000001192092896</v>
      </c>
      <c r="B5" t="s">
        <v>1</v>
      </c>
      <c r="C5" t="b">
        <f t="shared" si="0"/>
        <v>1</v>
      </c>
      <c r="D5" t="s">
        <v>39</v>
      </c>
      <c r="E5" t="s">
        <v>134</v>
      </c>
    </row>
    <row r="6" spans="1:5" x14ac:dyDescent="0.25">
      <c r="A6">
        <v>1.0800000429153442</v>
      </c>
      <c r="B6" t="s">
        <v>3</v>
      </c>
      <c r="C6" t="b">
        <f t="shared" si="0"/>
        <v>1</v>
      </c>
      <c r="D6" t="s">
        <v>39</v>
      </c>
      <c r="E6" t="s">
        <v>135</v>
      </c>
    </row>
    <row r="7" spans="1:5" x14ac:dyDescent="0.25">
      <c r="A7">
        <v>1.2699999809265137</v>
      </c>
      <c r="B7" t="s">
        <v>221</v>
      </c>
      <c r="C7" t="b">
        <f t="shared" si="0"/>
        <v>1</v>
      </c>
      <c r="D7" t="s">
        <v>39</v>
      </c>
      <c r="E7" t="s">
        <v>220</v>
      </c>
    </row>
    <row r="8" spans="1:5" x14ac:dyDescent="0.25">
      <c r="A8">
        <v>1.4900000095367432</v>
      </c>
      <c r="B8" t="s">
        <v>221</v>
      </c>
      <c r="C8" t="b">
        <f t="shared" si="0"/>
        <v>1</v>
      </c>
      <c r="D8" t="s">
        <v>39</v>
      </c>
      <c r="E8" t="str">
        <f>"DELETE FROM 'Electricity generation - Term' WHERE NOT (COUNTRY IN ( " &amp; C_filter &amp; "));"</f>
        <v>DELETE FROM 'Electricity generation - Term' WHERE NOT (COUNTRY IN ( 'DENMARK' , 'NORWAY' , 'GERMANY' , 'SWEDEN'));</v>
      </c>
    </row>
    <row r="9" spans="1:5" x14ac:dyDescent="0.25">
      <c r="A9">
        <v>1.6799999475479126</v>
      </c>
      <c r="B9" t="s">
        <v>2</v>
      </c>
      <c r="C9" t="b">
        <f t="shared" si="0"/>
        <v>1</v>
      </c>
      <c r="D9" t="s">
        <v>5</v>
      </c>
      <c r="E9" t="s">
        <v>26</v>
      </c>
    </row>
    <row r="10" spans="1:5" x14ac:dyDescent="0.25">
      <c r="A10">
        <v>1.8500000238418579</v>
      </c>
      <c r="B10" t="s">
        <v>1</v>
      </c>
      <c r="C10" t="b">
        <f t="shared" si="0"/>
        <v>1</v>
      </c>
      <c r="D10" t="s">
        <v>5</v>
      </c>
      <c r="E10" t="s">
        <v>132</v>
      </c>
    </row>
    <row r="11" spans="1:5" x14ac:dyDescent="0.25">
      <c r="A11">
        <v>2.0499999523162842</v>
      </c>
      <c r="B11" t="s">
        <v>3</v>
      </c>
      <c r="C11" t="b">
        <f t="shared" si="0"/>
        <v>1</v>
      </c>
      <c r="D11" t="s">
        <v>5</v>
      </c>
      <c r="E11" t="s">
        <v>133</v>
      </c>
    </row>
    <row r="12" spans="1:5" x14ac:dyDescent="0.25">
      <c r="A12">
        <v>2.2400000095367432</v>
      </c>
      <c r="B12" t="s">
        <v>2</v>
      </c>
      <c r="C12" t="b">
        <f>QEEQ</f>
        <v>1</v>
      </c>
      <c r="D12" t="s">
        <v>23</v>
      </c>
      <c r="E12" t="s">
        <v>27</v>
      </c>
    </row>
    <row r="13" spans="1:5" x14ac:dyDescent="0.25">
      <c r="A13">
        <v>2.4600000381469727</v>
      </c>
      <c r="B13" t="s">
        <v>1</v>
      </c>
      <c r="C13" t="b">
        <f>QEEQ</f>
        <v>1</v>
      </c>
      <c r="D13" t="s">
        <v>23</v>
      </c>
      <c r="E13" t="s">
        <v>24</v>
      </c>
    </row>
    <row r="14" spans="1:5" x14ac:dyDescent="0.25">
      <c r="A14">
        <v>2.6400001049041748</v>
      </c>
      <c r="B14" t="s">
        <v>3</v>
      </c>
      <c r="C14" t="b">
        <f>QEEQ</f>
        <v>1</v>
      </c>
      <c r="D14" t="s">
        <v>23</v>
      </c>
      <c r="E14" t="s">
        <v>256</v>
      </c>
    </row>
    <row r="15" spans="1:5" x14ac:dyDescent="0.25">
      <c r="A15">
        <v>2.8199999332427979</v>
      </c>
      <c r="B15" t="s">
        <v>2</v>
      </c>
      <c r="C15" t="b">
        <f>QHEQ</f>
        <v>1</v>
      </c>
      <c r="D15" t="s">
        <v>109</v>
      </c>
      <c r="E15" t="s">
        <v>110</v>
      </c>
    </row>
    <row r="16" spans="1:5" x14ac:dyDescent="0.25">
      <c r="A16">
        <v>3.0799999237060547</v>
      </c>
      <c r="B16" t="s">
        <v>1</v>
      </c>
      <c r="C16" t="b">
        <f>QHEQ</f>
        <v>1</v>
      </c>
      <c r="D16" t="s">
        <v>109</v>
      </c>
      <c r="E16" t="s">
        <v>165</v>
      </c>
    </row>
    <row r="17" spans="1:8" x14ac:dyDescent="0.25">
      <c r="A17">
        <v>3.4100000858306885</v>
      </c>
      <c r="B17" t="s">
        <v>3</v>
      </c>
      <c r="C17" t="b">
        <f>QHEQ</f>
        <v>1</v>
      </c>
      <c r="D17" t="s">
        <v>109</v>
      </c>
      <c r="E17" t="s">
        <v>171</v>
      </c>
      <c r="F17" t="s">
        <v>166</v>
      </c>
      <c r="G17" t="s">
        <v>164</v>
      </c>
      <c r="H17" t="s">
        <v>167</v>
      </c>
    </row>
    <row r="18" spans="1:8" x14ac:dyDescent="0.25">
      <c r="A18">
        <v>3.8299999237060547</v>
      </c>
      <c r="B18" t="s">
        <v>2</v>
      </c>
      <c r="C18" t="b">
        <f t="shared" ref="C18:C27" si="1">VGH_T</f>
        <v>1</v>
      </c>
      <c r="D18" t="s">
        <v>31</v>
      </c>
      <c r="E18" t="s">
        <v>32</v>
      </c>
    </row>
    <row r="19" spans="1:8" x14ac:dyDescent="0.25">
      <c r="A19">
        <v>4.059999942779541</v>
      </c>
      <c r="B19" t="s">
        <v>1</v>
      </c>
      <c r="C19" t="b">
        <f t="shared" si="1"/>
        <v>1</v>
      </c>
      <c r="D19" t="s">
        <v>31</v>
      </c>
      <c r="E19" t="s">
        <v>34</v>
      </c>
    </row>
    <row r="20" spans="1:8" x14ac:dyDescent="0.25">
      <c r="A20">
        <v>4.440000057220459</v>
      </c>
      <c r="B20" t="s">
        <v>3</v>
      </c>
      <c r="C20" t="b">
        <f t="shared" si="1"/>
        <v>1</v>
      </c>
      <c r="D20" t="s">
        <v>31</v>
      </c>
      <c r="E20" t="s">
        <v>33</v>
      </c>
    </row>
    <row r="21" spans="1:8" x14ac:dyDescent="0.25">
      <c r="A21">
        <v>4.679999828338623</v>
      </c>
      <c r="B21" t="s">
        <v>2</v>
      </c>
      <c r="C21" t="b">
        <f t="shared" si="1"/>
        <v>1</v>
      </c>
      <c r="D21" t="s">
        <v>35</v>
      </c>
      <c r="E21" t="s">
        <v>37</v>
      </c>
    </row>
    <row r="22" spans="1:8" x14ac:dyDescent="0.25">
      <c r="A22">
        <v>4.9800000190734863</v>
      </c>
      <c r="B22" t="s">
        <v>1</v>
      </c>
      <c r="C22" t="b">
        <f t="shared" si="1"/>
        <v>1</v>
      </c>
      <c r="D22" t="s">
        <v>35</v>
      </c>
      <c r="E22" t="s">
        <v>38</v>
      </c>
    </row>
    <row r="23" spans="1:8" x14ac:dyDescent="0.25">
      <c r="A23">
        <v>5.369999885559082</v>
      </c>
      <c r="B23" t="s">
        <v>3</v>
      </c>
      <c r="C23" t="b">
        <f t="shared" si="1"/>
        <v>1</v>
      </c>
      <c r="D23" t="s">
        <v>35</v>
      </c>
      <c r="E23" t="s">
        <v>40</v>
      </c>
    </row>
    <row r="24" spans="1:8" x14ac:dyDescent="0.25">
      <c r="A24">
        <v>5.570000171661377</v>
      </c>
      <c r="B24" t="s">
        <v>221</v>
      </c>
      <c r="C24" t="b">
        <f t="shared" si="1"/>
        <v>1</v>
      </c>
      <c r="D24" t="s">
        <v>35</v>
      </c>
      <c r="E24" t="str">
        <f>"DELETE FROM 'Heat generation - Term' WHERE NOT (COUNTRY IN ( " &amp; C_filter &amp; "));"</f>
        <v>DELETE FROM 'Heat generation - Term' WHERE NOT (COUNTRY IN ( 'DENMARK' , 'NORWAY' , 'GERMANY' , 'SWEDEN'));</v>
      </c>
    </row>
    <row r="25" spans="1:8" x14ac:dyDescent="0.25">
      <c r="A25">
        <v>5.9099998474121094</v>
      </c>
      <c r="B25" t="s">
        <v>2</v>
      </c>
      <c r="C25" t="b">
        <f t="shared" si="1"/>
        <v>1</v>
      </c>
      <c r="D25" t="s">
        <v>36</v>
      </c>
      <c r="E25" t="s">
        <v>41</v>
      </c>
    </row>
    <row r="26" spans="1:8" x14ac:dyDescent="0.25">
      <c r="A26">
        <v>6.130000114440918</v>
      </c>
      <c r="B26" t="s">
        <v>1</v>
      </c>
      <c r="C26" t="b">
        <f t="shared" si="1"/>
        <v>1</v>
      </c>
      <c r="D26" t="s">
        <v>36</v>
      </c>
      <c r="E26" t="s">
        <v>42</v>
      </c>
    </row>
    <row r="27" spans="1:8" x14ac:dyDescent="0.25">
      <c r="A27">
        <v>6.3299999237060547</v>
      </c>
      <c r="B27" t="s">
        <v>3</v>
      </c>
      <c r="C27" t="b">
        <f t="shared" si="1"/>
        <v>1</v>
      </c>
      <c r="D27" t="s">
        <v>36</v>
      </c>
      <c r="E27" t="s">
        <v>43</v>
      </c>
    </row>
    <row r="28" spans="1:8" x14ac:dyDescent="0.25">
      <c r="A28">
        <v>6.5</v>
      </c>
      <c r="B28" t="s">
        <v>2</v>
      </c>
      <c r="C28" t="b">
        <f t="shared" ref="C28:C44" si="2">VGF_T</f>
        <v>1</v>
      </c>
      <c r="D28" t="s">
        <v>52</v>
      </c>
      <c r="E28" t="s">
        <v>53</v>
      </c>
    </row>
    <row r="29" spans="1:8" x14ac:dyDescent="0.25">
      <c r="A29">
        <v>6.6599998474121094</v>
      </c>
      <c r="B29" t="s">
        <v>1</v>
      </c>
      <c r="C29" t="b">
        <f t="shared" si="2"/>
        <v>1</v>
      </c>
      <c r="D29" t="s">
        <v>52</v>
      </c>
      <c r="E29" t="s">
        <v>63</v>
      </c>
    </row>
    <row r="30" spans="1:8" x14ac:dyDescent="0.25">
      <c r="A30">
        <v>6.8899998664855957</v>
      </c>
      <c r="B30" t="s">
        <v>3</v>
      </c>
      <c r="C30" t="b">
        <f t="shared" si="2"/>
        <v>1</v>
      </c>
      <c r="D30" t="s">
        <v>52</v>
      </c>
      <c r="E30" t="s">
        <v>64</v>
      </c>
    </row>
    <row r="31" spans="1:8" x14ac:dyDescent="0.25">
      <c r="A31">
        <v>7.0900001525878906</v>
      </c>
      <c r="B31" t="s">
        <v>2</v>
      </c>
      <c r="C31" t="b">
        <f t="shared" si="2"/>
        <v>1</v>
      </c>
      <c r="D31" t="s">
        <v>54</v>
      </c>
      <c r="E31" t="s">
        <v>56</v>
      </c>
    </row>
    <row r="32" spans="1:8" x14ac:dyDescent="0.25">
      <c r="A32">
        <v>7.2600002288818359</v>
      </c>
      <c r="B32" t="s">
        <v>1</v>
      </c>
      <c r="C32" t="b">
        <f t="shared" si="2"/>
        <v>1</v>
      </c>
      <c r="D32" t="s">
        <v>54</v>
      </c>
      <c r="E32" t="s">
        <v>57</v>
      </c>
    </row>
    <row r="33" spans="1:5" x14ac:dyDescent="0.25">
      <c r="A33">
        <v>7.5300002098083496</v>
      </c>
      <c r="B33" t="s">
        <v>3</v>
      </c>
      <c r="C33" t="b">
        <f t="shared" si="2"/>
        <v>1</v>
      </c>
      <c r="D33" t="s">
        <v>54</v>
      </c>
      <c r="E33" t="s">
        <v>65</v>
      </c>
    </row>
    <row r="34" spans="1:5" x14ac:dyDescent="0.25">
      <c r="A34">
        <v>7.6999998092651367</v>
      </c>
      <c r="B34" t="s">
        <v>221</v>
      </c>
      <c r="C34" t="b">
        <f t="shared" si="2"/>
        <v>1</v>
      </c>
      <c r="D34" t="s">
        <v>54</v>
      </c>
      <c r="E34" t="str">
        <f>"DELETE FROM 'Fuel consumption - Term' WHERE NOT (COUNTRY IN ( " &amp; C_filter &amp; "));"</f>
        <v>DELETE FROM 'Fuel consumption - Term' WHERE NOT (COUNTRY IN ( 'DENMARK' , 'NORWAY' , 'GERMANY' , 'SWEDEN'));</v>
      </c>
    </row>
    <row r="35" spans="1:5" x14ac:dyDescent="0.25">
      <c r="A35">
        <v>7.9099998474121094</v>
      </c>
      <c r="B35" t="s">
        <v>2</v>
      </c>
      <c r="C35" t="b">
        <f t="shared" si="2"/>
        <v>1</v>
      </c>
      <c r="D35" t="s">
        <v>55</v>
      </c>
      <c r="E35" t="s">
        <v>58</v>
      </c>
    </row>
    <row r="36" spans="1:5" x14ac:dyDescent="0.25">
      <c r="A36">
        <v>8.0799999237060547</v>
      </c>
      <c r="B36" t="s">
        <v>1</v>
      </c>
      <c r="C36" t="b">
        <f t="shared" si="2"/>
        <v>1</v>
      </c>
      <c r="D36" t="s">
        <v>55</v>
      </c>
      <c r="E36" t="s">
        <v>59</v>
      </c>
    </row>
    <row r="37" spans="1:5" x14ac:dyDescent="0.25">
      <c r="A37">
        <v>8.2799997329711914</v>
      </c>
      <c r="B37" t="s">
        <v>3</v>
      </c>
      <c r="C37" t="b">
        <f t="shared" si="2"/>
        <v>1</v>
      </c>
      <c r="D37" t="s">
        <v>55</v>
      </c>
      <c r="E37" t="s">
        <v>60</v>
      </c>
    </row>
    <row r="38" spans="1:5" x14ac:dyDescent="0.25">
      <c r="A38">
        <v>8.4499998092651367</v>
      </c>
      <c r="B38" t="s">
        <v>2</v>
      </c>
      <c r="C38" t="b">
        <f t="shared" si="2"/>
        <v>1</v>
      </c>
      <c r="D38" t="s">
        <v>62</v>
      </c>
      <c r="E38" t="s">
        <v>61</v>
      </c>
    </row>
    <row r="39" spans="1:5" x14ac:dyDescent="0.25">
      <c r="A39">
        <v>8.619999885559082</v>
      </c>
      <c r="B39" t="s">
        <v>1</v>
      </c>
      <c r="C39" t="b">
        <f t="shared" si="2"/>
        <v>1</v>
      </c>
      <c r="D39" t="s">
        <v>62</v>
      </c>
      <c r="E39" t="s">
        <v>66</v>
      </c>
    </row>
    <row r="40" spans="1:5" x14ac:dyDescent="0.25">
      <c r="A40">
        <v>8.8900003433227539</v>
      </c>
      <c r="B40" t="s">
        <v>3</v>
      </c>
      <c r="C40" t="b">
        <f t="shared" si="2"/>
        <v>1</v>
      </c>
      <c r="D40" t="s">
        <v>62</v>
      </c>
      <c r="E40" t="s">
        <v>271</v>
      </c>
    </row>
    <row r="41" spans="1:5" x14ac:dyDescent="0.25">
      <c r="A41">
        <v>9.0500001907348633</v>
      </c>
      <c r="B41" t="s">
        <v>221</v>
      </c>
      <c r="C41" t="b">
        <f t="shared" si="2"/>
        <v>1</v>
      </c>
      <c r="D41" t="s">
        <v>62</v>
      </c>
      <c r="E41" t="str">
        <f>"DELETE FROM 'Emissions - Term' WHERE NOT (COUNTRY IN ( " &amp; C_filter &amp; "));"</f>
        <v>DELETE FROM 'Emissions - Term' WHERE NOT (COUNTRY IN ( 'DENMARK' , 'NORWAY' , 'GERMANY' , 'SWEDEN'));</v>
      </c>
    </row>
    <row r="42" spans="1:5" x14ac:dyDescent="0.25">
      <c r="A42">
        <v>9.2100000381469727</v>
      </c>
      <c r="B42" t="s">
        <v>2</v>
      </c>
      <c r="C42" t="b">
        <f t="shared" si="2"/>
        <v>1</v>
      </c>
      <c r="D42" t="s">
        <v>67</v>
      </c>
      <c r="E42" t="s">
        <v>68</v>
      </c>
    </row>
    <row r="43" spans="1:5" x14ac:dyDescent="0.25">
      <c r="A43">
        <v>9.3900003433227539</v>
      </c>
      <c r="B43" t="s">
        <v>1</v>
      </c>
      <c r="C43" t="b">
        <f t="shared" si="2"/>
        <v>1</v>
      </c>
      <c r="D43" t="s">
        <v>67</v>
      </c>
      <c r="E43" t="s">
        <v>69</v>
      </c>
    </row>
    <row r="44" spans="1:5" x14ac:dyDescent="0.25">
      <c r="A44">
        <v>9.5799999237060547</v>
      </c>
      <c r="B44" t="s">
        <v>3</v>
      </c>
      <c r="C44" t="b">
        <f t="shared" si="2"/>
        <v>1</v>
      </c>
      <c r="D44" t="s">
        <v>67</v>
      </c>
      <c r="E44" t="s">
        <v>70</v>
      </c>
    </row>
    <row r="45" spans="1:5" x14ac:dyDescent="0.25">
      <c r="A45">
        <v>9.7600002288818359</v>
      </c>
      <c r="B45" t="s">
        <v>2</v>
      </c>
      <c r="C45" t="b">
        <f t="shared" ref="C45:C51" si="3">STO</f>
        <v>1</v>
      </c>
      <c r="D45" t="s">
        <v>89</v>
      </c>
      <c r="E45" t="s">
        <v>90</v>
      </c>
    </row>
    <row r="46" spans="1:5" x14ac:dyDescent="0.25">
      <c r="A46">
        <v>9.9399995803833008</v>
      </c>
      <c r="B46" t="s">
        <v>1</v>
      </c>
      <c r="C46" t="b">
        <f t="shared" si="3"/>
        <v>1</v>
      </c>
      <c r="D46" t="s">
        <v>89</v>
      </c>
      <c r="E46" t="s">
        <v>93</v>
      </c>
    </row>
    <row r="47" spans="1:5" x14ac:dyDescent="0.25">
      <c r="A47">
        <v>10.119999885559082</v>
      </c>
      <c r="B47" t="s">
        <v>3</v>
      </c>
      <c r="C47" t="b">
        <f t="shared" si="3"/>
        <v>1</v>
      </c>
      <c r="D47" t="s">
        <v>89</v>
      </c>
      <c r="E47" s="6" t="s">
        <v>94</v>
      </c>
    </row>
    <row r="48" spans="1:5" x14ac:dyDescent="0.25">
      <c r="A48">
        <v>10.289999961853027</v>
      </c>
      <c r="B48" t="s">
        <v>221</v>
      </c>
      <c r="C48" t="b">
        <f t="shared" si="3"/>
        <v>1</v>
      </c>
      <c r="D48" t="s">
        <v>89</v>
      </c>
      <c r="E48" s="6" t="str">
        <f>"DELETE FROM 'Heat Storage volume' WHERE NOT (COUNTRY IN ( " &amp; C_filter &amp; "));"</f>
        <v>DELETE FROM 'Heat Storage volume' WHERE NOT (COUNTRY IN ( 'DENMARK' , 'NORWAY' , 'GERMANY' , 'SWEDEN'));</v>
      </c>
    </row>
    <row r="49" spans="1:5" x14ac:dyDescent="0.25">
      <c r="A49">
        <v>10.510000228881836</v>
      </c>
      <c r="B49" t="s">
        <v>2</v>
      </c>
      <c r="C49" t="b">
        <f t="shared" si="3"/>
        <v>1</v>
      </c>
      <c r="D49" t="s">
        <v>91</v>
      </c>
      <c r="E49" t="s">
        <v>92</v>
      </c>
    </row>
    <row r="50" spans="1:5" x14ac:dyDescent="0.25">
      <c r="A50">
        <v>10.689999580383301</v>
      </c>
      <c r="B50" t="s">
        <v>1</v>
      </c>
      <c r="C50" t="b">
        <f t="shared" si="3"/>
        <v>1</v>
      </c>
      <c r="D50" t="s">
        <v>91</v>
      </c>
      <c r="E50" t="s">
        <v>95</v>
      </c>
    </row>
    <row r="51" spans="1:5" x14ac:dyDescent="0.25">
      <c r="A51">
        <v>10.859999656677246</v>
      </c>
      <c r="B51" t="s">
        <v>3</v>
      </c>
      <c r="C51" t="b">
        <f t="shared" si="3"/>
        <v>1</v>
      </c>
      <c r="D51" t="s">
        <v>91</v>
      </c>
      <c r="E51" s="6" t="s">
        <v>100</v>
      </c>
    </row>
    <row r="52" spans="1:5" x14ac:dyDescent="0.25">
      <c r="A52">
        <v>11.029999732971191</v>
      </c>
      <c r="B52" t="s">
        <v>2</v>
      </c>
      <c r="C52" t="b">
        <f t="shared" ref="C52:C57" si="4">IGK</f>
        <v>1</v>
      </c>
      <c r="D52" t="s">
        <v>117</v>
      </c>
      <c r="E52" s="6" t="s">
        <v>118</v>
      </c>
    </row>
    <row r="53" spans="1:5" x14ac:dyDescent="0.25">
      <c r="A53">
        <v>11.199999809265137</v>
      </c>
      <c r="B53" t="s">
        <v>1</v>
      </c>
      <c r="C53" t="b">
        <f t="shared" si="4"/>
        <v>1</v>
      </c>
      <c r="D53" t="s">
        <v>117</v>
      </c>
      <c r="E53" s="6" t="s">
        <v>160</v>
      </c>
    </row>
    <row r="54" spans="1:5" x14ac:dyDescent="0.25">
      <c r="A54">
        <v>11.539999961853027</v>
      </c>
      <c r="B54" t="s">
        <v>3</v>
      </c>
      <c r="C54" t="b">
        <f t="shared" si="4"/>
        <v>1</v>
      </c>
      <c r="D54" t="s">
        <v>117</v>
      </c>
      <c r="E54" s="6" t="s">
        <v>119</v>
      </c>
    </row>
    <row r="55" spans="1:5" x14ac:dyDescent="0.25">
      <c r="A55">
        <v>11.699999809265137</v>
      </c>
      <c r="B55" t="s">
        <v>2</v>
      </c>
      <c r="C55" t="b">
        <f t="shared" si="4"/>
        <v>1</v>
      </c>
      <c r="D55" t="s">
        <v>120</v>
      </c>
      <c r="E55" s="6" t="s">
        <v>121</v>
      </c>
    </row>
    <row r="56" spans="1:5" x14ac:dyDescent="0.25">
      <c r="A56">
        <v>11.859999656677246</v>
      </c>
      <c r="B56" t="s">
        <v>1</v>
      </c>
      <c r="C56" t="b">
        <f t="shared" si="4"/>
        <v>1</v>
      </c>
      <c r="D56" t="s">
        <v>120</v>
      </c>
      <c r="E56" s="6" t="s">
        <v>173</v>
      </c>
    </row>
    <row r="57" spans="1:5" x14ac:dyDescent="0.25">
      <c r="A57">
        <v>12.079999923706055</v>
      </c>
      <c r="B57" t="s">
        <v>3</v>
      </c>
      <c r="C57" t="b">
        <f t="shared" si="4"/>
        <v>1</v>
      </c>
      <c r="D57" t="s">
        <v>120</v>
      </c>
      <c r="E57" s="6" t="s">
        <v>174</v>
      </c>
    </row>
    <row r="58" spans="1:5" x14ac:dyDescent="0.25">
      <c r="A58">
        <v>12.279999732971191</v>
      </c>
      <c r="B58" t="s">
        <v>2</v>
      </c>
      <c r="C58" t="b">
        <f t="shared" ref="C58:C69" si="5">DE</f>
        <v>1</v>
      </c>
      <c r="D58" t="s">
        <v>103</v>
      </c>
      <c r="E58" s="6" t="s">
        <v>101</v>
      </c>
    </row>
    <row r="59" spans="1:5" x14ac:dyDescent="0.25">
      <c r="A59">
        <v>12.449999809265137</v>
      </c>
      <c r="B59" t="s">
        <v>1</v>
      </c>
      <c r="C59" t="b">
        <f t="shared" si="5"/>
        <v>1</v>
      </c>
      <c r="D59" t="s">
        <v>103</v>
      </c>
      <c r="E59" s="6" t="s">
        <v>277</v>
      </c>
    </row>
    <row r="60" spans="1:5" x14ac:dyDescent="0.25">
      <c r="A60">
        <v>12.630000114440918</v>
      </c>
      <c r="B60" t="s">
        <v>3</v>
      </c>
      <c r="C60" t="b">
        <f t="shared" si="5"/>
        <v>1</v>
      </c>
      <c r="D60" t="s">
        <v>103</v>
      </c>
      <c r="E60" s="6" t="s">
        <v>278</v>
      </c>
    </row>
    <row r="61" spans="1:5" x14ac:dyDescent="0.25">
      <c r="A61">
        <v>12.800000190734863</v>
      </c>
      <c r="B61" t="s">
        <v>2</v>
      </c>
      <c r="C61" t="b">
        <f t="shared" si="5"/>
        <v>1</v>
      </c>
      <c r="D61" t="s">
        <v>105</v>
      </c>
      <c r="E61" s="6" t="s">
        <v>108</v>
      </c>
    </row>
    <row r="62" spans="1:5" x14ac:dyDescent="0.25">
      <c r="A62">
        <v>12.979999542236328</v>
      </c>
      <c r="B62" t="s">
        <v>1</v>
      </c>
      <c r="C62" t="b">
        <f t="shared" si="5"/>
        <v>1</v>
      </c>
      <c r="D62" t="s">
        <v>105</v>
      </c>
      <c r="E62" s="6" t="s">
        <v>279</v>
      </c>
    </row>
    <row r="63" spans="1:5" x14ac:dyDescent="0.25">
      <c r="A63">
        <v>13.199999809265137</v>
      </c>
      <c r="B63" t="s">
        <v>3</v>
      </c>
      <c r="C63" t="b">
        <f t="shared" si="5"/>
        <v>1</v>
      </c>
      <c r="D63" t="s">
        <v>105</v>
      </c>
      <c r="E63" s="6" t="s">
        <v>280</v>
      </c>
    </row>
    <row r="64" spans="1:5" x14ac:dyDescent="0.25">
      <c r="A64">
        <v>13.359999656677246</v>
      </c>
      <c r="B64" t="s">
        <v>2</v>
      </c>
      <c r="C64" t="b">
        <f t="shared" si="5"/>
        <v>1</v>
      </c>
      <c r="D64" t="s">
        <v>102</v>
      </c>
      <c r="E64" s="6" t="s">
        <v>104</v>
      </c>
    </row>
    <row r="65" spans="1:5" x14ac:dyDescent="0.25">
      <c r="A65">
        <v>13.539999961853027</v>
      </c>
      <c r="B65" t="s">
        <v>1</v>
      </c>
      <c r="C65" t="b">
        <f t="shared" si="5"/>
        <v>1</v>
      </c>
      <c r="D65" t="s">
        <v>102</v>
      </c>
      <c r="E65" s="6" t="s">
        <v>281</v>
      </c>
    </row>
    <row r="66" spans="1:5" x14ac:dyDescent="0.25">
      <c r="A66">
        <v>13.729999542236328</v>
      </c>
      <c r="B66" t="s">
        <v>3</v>
      </c>
      <c r="C66" t="b">
        <f t="shared" si="5"/>
        <v>1</v>
      </c>
      <c r="D66" t="s">
        <v>102</v>
      </c>
      <c r="E66" s="6" t="s">
        <v>282</v>
      </c>
    </row>
    <row r="67" spans="1:5" x14ac:dyDescent="0.25">
      <c r="A67">
        <v>13.890000343322754</v>
      </c>
      <c r="B67" t="s">
        <v>2</v>
      </c>
      <c r="C67" t="b">
        <f t="shared" si="5"/>
        <v>1</v>
      </c>
      <c r="D67" t="s">
        <v>106</v>
      </c>
      <c r="E67" s="8" t="s">
        <v>107</v>
      </c>
    </row>
    <row r="68" spans="1:5" x14ac:dyDescent="0.25">
      <c r="A68">
        <v>14.119999885559082</v>
      </c>
      <c r="B68" t="s">
        <v>1</v>
      </c>
      <c r="C68" t="b">
        <f t="shared" si="5"/>
        <v>1</v>
      </c>
      <c r="D68" t="s">
        <v>106</v>
      </c>
      <c r="E68" s="8" t="s">
        <v>283</v>
      </c>
    </row>
    <row r="69" spans="1:5" x14ac:dyDescent="0.25">
      <c r="A69">
        <v>14.289999961853027</v>
      </c>
      <c r="B69" t="s">
        <v>3</v>
      </c>
      <c r="C69" t="b">
        <f t="shared" si="5"/>
        <v>1</v>
      </c>
      <c r="D69" t="s">
        <v>106</v>
      </c>
      <c r="E69" s="8" t="s">
        <v>284</v>
      </c>
    </row>
    <row r="70" spans="1:5" x14ac:dyDescent="0.25">
      <c r="A70">
        <v>14.479999542236328</v>
      </c>
      <c r="B70" t="s">
        <v>2</v>
      </c>
      <c r="C70" t="b">
        <f t="shared" ref="C70:C78" si="6">VX_T</f>
        <v>1</v>
      </c>
      <c r="D70" t="s">
        <v>122</v>
      </c>
      <c r="E70" s="6" t="s">
        <v>125</v>
      </c>
    </row>
    <row r="71" spans="1:5" x14ac:dyDescent="0.25">
      <c r="A71">
        <v>14.649999618530273</v>
      </c>
      <c r="B71" t="s">
        <v>1</v>
      </c>
      <c r="C71" t="b">
        <f t="shared" si="6"/>
        <v>1</v>
      </c>
      <c r="D71" t="s">
        <v>122</v>
      </c>
      <c r="E71" s="6" t="s">
        <v>148</v>
      </c>
    </row>
    <row r="72" spans="1:5" x14ac:dyDescent="0.25">
      <c r="A72">
        <v>14.850000381469727</v>
      </c>
      <c r="B72" t="s">
        <v>3</v>
      </c>
      <c r="C72" t="b">
        <f t="shared" si="6"/>
        <v>1</v>
      </c>
      <c r="D72" t="s">
        <v>122</v>
      </c>
      <c r="E72" s="6" t="s">
        <v>149</v>
      </c>
    </row>
    <row r="73" spans="1:5" x14ac:dyDescent="0.25">
      <c r="A73">
        <v>15.060000419616699</v>
      </c>
      <c r="B73" t="s">
        <v>2</v>
      </c>
      <c r="C73" t="b">
        <f t="shared" si="6"/>
        <v>1</v>
      </c>
      <c r="D73" t="s">
        <v>123</v>
      </c>
      <c r="E73" s="6" t="s">
        <v>124</v>
      </c>
    </row>
    <row r="74" spans="1:5" x14ac:dyDescent="0.25">
      <c r="A74">
        <v>15.229999542236328</v>
      </c>
      <c r="B74" t="s">
        <v>1</v>
      </c>
      <c r="C74" t="b">
        <f t="shared" si="6"/>
        <v>1</v>
      </c>
      <c r="D74" t="s">
        <v>123</v>
      </c>
      <c r="E74" s="6" t="s">
        <v>151</v>
      </c>
    </row>
    <row r="75" spans="1:5" x14ac:dyDescent="0.25">
      <c r="A75">
        <v>15.430000305175781</v>
      </c>
      <c r="B75" t="s">
        <v>3</v>
      </c>
      <c r="C75" t="b">
        <f t="shared" si="6"/>
        <v>1</v>
      </c>
      <c r="D75" t="s">
        <v>123</v>
      </c>
      <c r="E75" s="6" t="s">
        <v>152</v>
      </c>
    </row>
    <row r="76" spans="1:5" x14ac:dyDescent="0.25">
      <c r="A76">
        <v>15.619999885559082</v>
      </c>
      <c r="B76" t="s">
        <v>2</v>
      </c>
      <c r="C76" t="b">
        <f t="shared" si="6"/>
        <v>1</v>
      </c>
      <c r="D76" t="s">
        <v>181</v>
      </c>
      <c r="E76" t="s">
        <v>180</v>
      </c>
    </row>
    <row r="77" spans="1:5" x14ac:dyDescent="0.25">
      <c r="A77">
        <v>15.819999694824219</v>
      </c>
      <c r="B77" t="s">
        <v>1</v>
      </c>
      <c r="C77" t="b">
        <f t="shared" si="6"/>
        <v>1</v>
      </c>
      <c r="D77" t="s">
        <v>181</v>
      </c>
      <c r="E77" t="s">
        <v>177</v>
      </c>
    </row>
    <row r="78" spans="1:5" x14ac:dyDescent="0.25">
      <c r="A78">
        <v>16.030000686645508</v>
      </c>
      <c r="B78" t="s">
        <v>3</v>
      </c>
      <c r="C78" t="b">
        <f t="shared" si="6"/>
        <v>1</v>
      </c>
      <c r="D78" t="s">
        <v>181</v>
      </c>
      <c r="E78" t="s">
        <v>185</v>
      </c>
    </row>
    <row r="79" spans="1:5" x14ac:dyDescent="0.25">
      <c r="A79">
        <v>16.200000762939453</v>
      </c>
      <c r="B79" t="s">
        <v>2</v>
      </c>
      <c r="C79" t="b">
        <f>VGKN</f>
        <v>1</v>
      </c>
      <c r="D79" t="s">
        <v>190</v>
      </c>
      <c r="E79" t="s">
        <v>191</v>
      </c>
    </row>
    <row r="80" spans="1:5" x14ac:dyDescent="0.25">
      <c r="A80">
        <v>16.409999847412109</v>
      </c>
      <c r="B80" t="s">
        <v>1</v>
      </c>
      <c r="C80" t="b">
        <f>VGKN</f>
        <v>1</v>
      </c>
      <c r="D80" t="s">
        <v>190</v>
      </c>
      <c r="E80" t="s">
        <v>286</v>
      </c>
    </row>
    <row r="81" spans="1:5" x14ac:dyDescent="0.25">
      <c r="A81">
        <v>16.600000381469727</v>
      </c>
      <c r="B81" t="s">
        <v>3</v>
      </c>
      <c r="C81" t="b">
        <f>VGKN</f>
        <v>1</v>
      </c>
      <c r="D81" t="s">
        <v>190</v>
      </c>
      <c r="E81" t="s">
        <v>287</v>
      </c>
    </row>
    <row r="86" spans="1:5" x14ac:dyDescent="0.25">
      <c r="B86" t="s">
        <v>161</v>
      </c>
      <c r="E86" s="6"/>
    </row>
    <row r="87" spans="1:5" x14ac:dyDescent="0.25">
      <c r="B87" t="s">
        <v>162</v>
      </c>
      <c r="E87" s="6"/>
    </row>
    <row r="88" spans="1:5" x14ac:dyDescent="0.25">
      <c r="E88" s="6"/>
    </row>
    <row r="89" spans="1:5" x14ac:dyDescent="0.25">
      <c r="E89" s="6"/>
    </row>
    <row r="90" spans="1:5" x14ac:dyDescent="0.25">
      <c r="E90" s="6"/>
    </row>
    <row r="91" spans="1:5" x14ac:dyDescent="0.25">
      <c r="E91" s="6"/>
    </row>
    <row r="92" spans="1:5" x14ac:dyDescent="0.25">
      <c r="E92" s="6"/>
    </row>
    <row r="93" spans="1:5" x14ac:dyDescent="0.25">
      <c r="E93" s="6"/>
    </row>
    <row r="94" spans="1:5" x14ac:dyDescent="0.25">
      <c r="E94" s="6"/>
    </row>
    <row r="95" spans="1:5" x14ac:dyDescent="0.25">
      <c r="E95" s="6"/>
    </row>
    <row r="96" spans="1:5" x14ac:dyDescent="0.25">
      <c r="E96" s="6"/>
    </row>
    <row r="97" spans="5:5" x14ac:dyDescent="0.25">
      <c r="E97" s="6"/>
    </row>
    <row r="98" spans="5:5" x14ac:dyDescent="0.25">
      <c r="E98" s="6"/>
    </row>
    <row r="99" spans="5:5" x14ac:dyDescent="0.25">
      <c r="E99" s="6"/>
    </row>
    <row r="100" spans="5:5" x14ac:dyDescent="0.25">
      <c r="E100" s="6"/>
    </row>
    <row r="101" spans="5:5" x14ac:dyDescent="0.25">
      <c r="E101" s="6"/>
    </row>
    <row r="102" spans="5:5" x14ac:dyDescent="0.25">
      <c r="E102" s="6"/>
    </row>
    <row r="103" spans="5:5" x14ac:dyDescent="0.25">
      <c r="E103" s="6"/>
    </row>
    <row r="104" spans="5:5" x14ac:dyDescent="0.25">
      <c r="E104" s="6"/>
    </row>
    <row r="105" spans="5:5" x14ac:dyDescent="0.25">
      <c r="E105" s="6"/>
    </row>
    <row r="106" spans="5:5" x14ac:dyDescent="0.25">
      <c r="E106" s="6"/>
    </row>
    <row r="107" spans="5:5" x14ac:dyDescent="0.25">
      <c r="E107" s="6"/>
    </row>
    <row r="108" spans="5:5" x14ac:dyDescent="0.25">
      <c r="E108" s="6"/>
    </row>
  </sheetData>
  <conditionalFormatting sqref="C1:C6 C9:C23 C25:C33 C35:C40 C42:C47 C49:C78">
    <cfRule type="containsText" dxfId="6" priority="18" operator="containsText" text="TRUE">
      <formula>NOT(ISERROR(SEARCH("TRUE",C1)))</formula>
    </cfRule>
  </conditionalFormatting>
  <conditionalFormatting sqref="C7">
    <cfRule type="containsText" dxfId="5" priority="16" operator="containsText" text="TRUE">
      <formula>NOT(ISERROR(SEARCH("TRUE",C7)))</formula>
    </cfRule>
    <cfRule type="colorScale" priority="17">
      <colorScale>
        <cfvo type="min"/>
        <cfvo type="percentile" val="50"/>
        <cfvo type="max"/>
        <color rgb="FFF8696B"/>
        <color rgb="FFFCFCFF"/>
        <color rgb="FF63BE7B"/>
      </colorScale>
    </cfRule>
  </conditionalFormatting>
  <conditionalFormatting sqref="C8">
    <cfRule type="colorScale" priority="15">
      <colorScale>
        <cfvo type="min"/>
        <cfvo type="percentile" val="50"/>
        <cfvo type="max"/>
        <color rgb="FFF8696B"/>
        <color rgb="FFFCFCFF"/>
        <color rgb="FF63BE7B"/>
      </colorScale>
    </cfRule>
  </conditionalFormatting>
  <conditionalFormatting sqref="C24">
    <cfRule type="colorScale" priority="10">
      <colorScale>
        <cfvo type="min"/>
        <cfvo type="percentile" val="50"/>
        <cfvo type="max"/>
        <color rgb="FFF8696B"/>
        <color rgb="FFFCFCFF"/>
        <color rgb="FF63BE7B"/>
      </colorScale>
    </cfRule>
  </conditionalFormatting>
  <conditionalFormatting sqref="C34">
    <cfRule type="colorScale" priority="8">
      <colorScale>
        <cfvo type="min"/>
        <cfvo type="percentile" val="50"/>
        <cfvo type="max"/>
        <color rgb="FFF8696B"/>
        <color rgb="FFFCFCFF"/>
        <color rgb="FF63BE7B"/>
      </colorScale>
    </cfRule>
  </conditionalFormatting>
  <conditionalFormatting sqref="C41">
    <cfRule type="colorScale" priority="6">
      <colorScale>
        <cfvo type="min"/>
        <cfvo type="percentile" val="50"/>
        <cfvo type="max"/>
        <color rgb="FFF8696B"/>
        <color rgb="FFFCFCFF"/>
        <color rgb="FF63BE7B"/>
      </colorScale>
    </cfRule>
  </conditionalFormatting>
  <conditionalFormatting sqref="C48">
    <cfRule type="colorScale" priority="4">
      <colorScale>
        <cfvo type="min"/>
        <cfvo type="percentile" val="50"/>
        <cfvo type="max"/>
        <color rgb="FFF8696B"/>
        <color rgb="FFFCFCFF"/>
        <color rgb="FF63BE7B"/>
      </colorScale>
    </cfRule>
  </conditionalFormatting>
  <conditionalFormatting sqref="C79:C81">
    <cfRule type="containsText" dxfId="0" priority="1" operator="containsText" text="TRUE">
      <formula>NOT(ISERROR(SEARCH("TRUE",C79)))</formula>
    </cfRule>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14" operator="containsText" text="TRUE" id="{49790E47-265C-4B12-A427-32C13585EFDD}">
            <xm:f>NOT(ISERROR(SEARCH("TRUE",Queries_BB3!C8)))</xm:f>
            <x14:dxf>
              <font>
                <color rgb="FF006100"/>
              </font>
              <fill>
                <patternFill>
                  <bgColor rgb="FFC6EFCE"/>
                </patternFill>
              </fill>
            </x14:dxf>
          </x14:cfRule>
          <xm:sqref>C24 C34 C41 C48 C8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4:U56"/>
  <sheetViews>
    <sheetView tabSelected="1" topLeftCell="A4" zoomScale="85" zoomScaleNormal="85" workbookViewId="0">
      <selection activeCell="D14" sqref="D14"/>
    </sheetView>
  </sheetViews>
  <sheetFormatPr defaultRowHeight="15" x14ac:dyDescent="0.25"/>
  <cols>
    <col min="2" max="2" width="25.7109375" customWidth="1"/>
    <col min="3" max="3" width="9.7109375" bestFit="1" customWidth="1"/>
    <col min="4" max="5" width="8.140625" customWidth="1"/>
    <col min="6" max="20" width="12.85546875" customWidth="1"/>
    <col min="21" max="21" width="12.28515625" customWidth="1"/>
    <col min="22" max="44" width="18.42578125" bestFit="1" customWidth="1"/>
    <col min="45" max="45" width="12.85546875" bestFit="1" customWidth="1"/>
    <col min="46" max="77" width="13.28515625" bestFit="1" customWidth="1"/>
    <col min="78" max="78" width="12.5703125" bestFit="1" customWidth="1"/>
  </cols>
  <sheetData>
    <row r="4" spans="2:21" x14ac:dyDescent="0.25">
      <c r="B4" s="1" t="s">
        <v>114</v>
      </c>
      <c r="F4" s="1" t="s">
        <v>87</v>
      </c>
      <c r="G4" s="1" t="s">
        <v>11</v>
      </c>
      <c r="H4" s="1" t="s">
        <v>255</v>
      </c>
    </row>
    <row r="5" spans="2:21" x14ac:dyDescent="0.25">
      <c r="F5" t="s">
        <v>288</v>
      </c>
      <c r="G5" t="s">
        <v>289</v>
      </c>
      <c r="H5" t="s">
        <v>290</v>
      </c>
      <c r="I5" t="s">
        <v>291</v>
      </c>
      <c r="J5" t="s">
        <v>224</v>
      </c>
      <c r="K5" t="s">
        <v>225</v>
      </c>
      <c r="L5" t="s">
        <v>292</v>
      </c>
      <c r="M5" t="s">
        <v>293</v>
      </c>
      <c r="N5" t="s">
        <v>294</v>
      </c>
      <c r="O5" t="s">
        <v>295</v>
      </c>
      <c r="P5" t="s">
        <v>296</v>
      </c>
      <c r="Q5" t="s">
        <v>297</v>
      </c>
      <c r="R5" t="s">
        <v>298</v>
      </c>
      <c r="S5" t="s">
        <v>299</v>
      </c>
      <c r="T5" t="s">
        <v>300</v>
      </c>
      <c r="U5" t="s">
        <v>0</v>
      </c>
    </row>
    <row r="6" spans="2:21" x14ac:dyDescent="0.25">
      <c r="F6" t="s">
        <v>19</v>
      </c>
      <c r="G6" t="s">
        <v>19</v>
      </c>
      <c r="H6" t="s">
        <v>19</v>
      </c>
      <c r="I6" t="s">
        <v>19</v>
      </c>
      <c r="J6" t="s">
        <v>6</v>
      </c>
      <c r="K6" t="s">
        <v>6</v>
      </c>
      <c r="L6" t="s">
        <v>7</v>
      </c>
      <c r="M6" t="s">
        <v>7</v>
      </c>
      <c r="N6" t="s">
        <v>7</v>
      </c>
      <c r="O6" t="s">
        <v>7</v>
      </c>
      <c r="P6" t="s">
        <v>7</v>
      </c>
      <c r="Q6" t="s">
        <v>8</v>
      </c>
      <c r="R6" t="s">
        <v>8</v>
      </c>
      <c r="S6" t="s">
        <v>8</v>
      </c>
      <c r="T6" t="s">
        <v>8</v>
      </c>
    </row>
    <row r="7" spans="2:21" x14ac:dyDescent="0.25">
      <c r="B7" s="1" t="s">
        <v>189</v>
      </c>
      <c r="C7" s="1" t="s">
        <v>257</v>
      </c>
      <c r="D7" s="1" t="s">
        <v>15</v>
      </c>
      <c r="E7" s="1" t="s">
        <v>88</v>
      </c>
      <c r="F7" t="s">
        <v>251</v>
      </c>
      <c r="G7" t="s">
        <v>251</v>
      </c>
      <c r="H7" t="s">
        <v>251</v>
      </c>
      <c r="I7" t="s">
        <v>251</v>
      </c>
      <c r="J7" t="s">
        <v>251</v>
      </c>
      <c r="K7" t="s">
        <v>251</v>
      </c>
      <c r="L7" t="s">
        <v>251</v>
      </c>
      <c r="M7" t="s">
        <v>251</v>
      </c>
      <c r="N7" t="s">
        <v>251</v>
      </c>
      <c r="O7" t="s">
        <v>251</v>
      </c>
      <c r="P7" t="s">
        <v>251</v>
      </c>
      <c r="Q7" t="s">
        <v>251</v>
      </c>
      <c r="R7" t="s">
        <v>251</v>
      </c>
      <c r="S7" t="s">
        <v>251</v>
      </c>
      <c r="T7" t="s">
        <v>251</v>
      </c>
    </row>
    <row r="8" spans="2:21" x14ac:dyDescent="0.25">
      <c r="B8" t="s">
        <v>259</v>
      </c>
      <c r="C8" t="s">
        <v>188</v>
      </c>
      <c r="D8" t="s">
        <v>137</v>
      </c>
      <c r="E8" t="s">
        <v>46</v>
      </c>
      <c r="F8" s="3">
        <v>301.64030808082703</v>
      </c>
      <c r="G8" s="3">
        <v>123.736290944239</v>
      </c>
      <c r="H8" s="3">
        <v>436.32531202774499</v>
      </c>
      <c r="I8" s="3">
        <v>301.64030808082703</v>
      </c>
      <c r="J8" s="3">
        <v>9.5444867150819095E-4</v>
      </c>
      <c r="K8" s="3">
        <v>9.5444867150819095E-4</v>
      </c>
      <c r="L8" s="3">
        <v>0</v>
      </c>
      <c r="M8" s="3">
        <v>0</v>
      </c>
      <c r="N8" s="3">
        <v>0</v>
      </c>
      <c r="O8" s="3">
        <v>0</v>
      </c>
      <c r="P8" s="3">
        <v>0</v>
      </c>
      <c r="Q8" s="3">
        <v>-9.1436182730484695E-4</v>
      </c>
      <c r="R8" s="3">
        <v>0</v>
      </c>
      <c r="S8" s="3">
        <v>0</v>
      </c>
      <c r="T8" s="3">
        <v>0</v>
      </c>
      <c r="U8" s="3">
        <v>77.556214244610274</v>
      </c>
    </row>
    <row r="9" spans="2:21" x14ac:dyDescent="0.25">
      <c r="B9" t="s">
        <v>259</v>
      </c>
      <c r="C9" t="s">
        <v>188</v>
      </c>
      <c r="D9" t="s">
        <v>137</v>
      </c>
      <c r="E9" t="s">
        <v>47</v>
      </c>
      <c r="F9" s="3">
        <v>301.64030808082703</v>
      </c>
      <c r="G9" s="3">
        <v>123.736290944239</v>
      </c>
      <c r="H9" s="3">
        <v>436.32531202774499</v>
      </c>
      <c r="I9" s="3">
        <v>301.64030808082703</v>
      </c>
      <c r="J9" s="3">
        <v>9.5444867150819095E-4</v>
      </c>
      <c r="K9" s="3">
        <v>9.5444867150819095E-4</v>
      </c>
      <c r="L9" s="3">
        <v>0</v>
      </c>
      <c r="M9" s="3">
        <v>0</v>
      </c>
      <c r="N9" s="3">
        <v>0</v>
      </c>
      <c r="O9" s="3">
        <v>0</v>
      </c>
      <c r="P9" s="3">
        <v>0</v>
      </c>
      <c r="Q9" s="3">
        <v>-9.1436182730484695E-4</v>
      </c>
      <c r="R9" s="3">
        <v>0</v>
      </c>
      <c r="S9" s="3">
        <v>0</v>
      </c>
      <c r="T9" s="3">
        <v>0</v>
      </c>
      <c r="U9" s="3">
        <v>77.556214244610274</v>
      </c>
    </row>
    <row r="10" spans="2:21" x14ac:dyDescent="0.25">
      <c r="B10" t="s">
        <v>259</v>
      </c>
      <c r="C10" t="s">
        <v>188</v>
      </c>
      <c r="D10" t="s">
        <v>137</v>
      </c>
      <c r="E10" t="s">
        <v>48</v>
      </c>
      <c r="F10" s="3">
        <v>301.64030808082703</v>
      </c>
      <c r="G10" s="3">
        <v>123.736290944239</v>
      </c>
      <c r="H10" s="3">
        <v>436.32531202774499</v>
      </c>
      <c r="I10" s="3">
        <v>301.64030808082703</v>
      </c>
      <c r="J10" s="3">
        <v>9.5444867150819095E-4</v>
      </c>
      <c r="K10" s="3">
        <v>9.5444867150819095E-4</v>
      </c>
      <c r="L10" s="3">
        <v>0</v>
      </c>
      <c r="M10" s="3">
        <v>0</v>
      </c>
      <c r="N10" s="3">
        <v>0</v>
      </c>
      <c r="O10" s="3">
        <v>0</v>
      </c>
      <c r="P10" s="3">
        <v>0</v>
      </c>
      <c r="Q10" s="3">
        <v>-9.1436182730484695E-4</v>
      </c>
      <c r="R10" s="3">
        <v>0</v>
      </c>
      <c r="S10" s="3">
        <v>0</v>
      </c>
      <c r="T10" s="3">
        <v>0</v>
      </c>
      <c r="U10" s="3">
        <v>77.556214244610274</v>
      </c>
    </row>
    <row r="11" spans="2:21" x14ac:dyDescent="0.25">
      <c r="B11" t="s">
        <v>259</v>
      </c>
      <c r="C11" t="s">
        <v>188</v>
      </c>
      <c r="D11" t="s">
        <v>137</v>
      </c>
      <c r="E11" t="s">
        <v>49</v>
      </c>
      <c r="F11" s="3">
        <v>301.64030808082703</v>
      </c>
      <c r="G11" s="3">
        <v>123.736290944239</v>
      </c>
      <c r="H11" s="3">
        <v>436.32531202774499</v>
      </c>
      <c r="I11" s="3">
        <v>301.64030808082703</v>
      </c>
      <c r="J11" s="3">
        <v>9.5444867150819095E-4</v>
      </c>
      <c r="K11" s="3">
        <v>9.5444867150819095E-4</v>
      </c>
      <c r="L11" s="3">
        <v>0</v>
      </c>
      <c r="M11" s="3">
        <v>0</v>
      </c>
      <c r="N11" s="3">
        <v>0</v>
      </c>
      <c r="O11" s="3">
        <v>0</v>
      </c>
      <c r="P11" s="3">
        <v>0</v>
      </c>
      <c r="Q11" s="3">
        <v>-9.1436182730484695E-4</v>
      </c>
      <c r="R11" s="3">
        <v>0</v>
      </c>
      <c r="S11" s="3">
        <v>0</v>
      </c>
      <c r="T11" s="3">
        <v>0</v>
      </c>
      <c r="U11" s="3">
        <v>77.556214244610274</v>
      </c>
    </row>
    <row r="12" spans="2:21" x14ac:dyDescent="0.25">
      <c r="B12" t="s">
        <v>259</v>
      </c>
      <c r="C12" t="s">
        <v>188</v>
      </c>
      <c r="D12" t="s">
        <v>137</v>
      </c>
      <c r="E12" t="s">
        <v>50</v>
      </c>
      <c r="F12" s="3">
        <v>301.64030808082703</v>
      </c>
      <c r="G12" s="3">
        <v>123.736290944239</v>
      </c>
      <c r="H12" s="3">
        <v>436.32531202774499</v>
      </c>
      <c r="I12" s="3">
        <v>301.64030808082703</v>
      </c>
      <c r="J12" s="3">
        <v>9.5444867150819095E-4</v>
      </c>
      <c r="K12" s="3">
        <v>9.5444867150819095E-4</v>
      </c>
      <c r="L12" s="3">
        <v>0</v>
      </c>
      <c r="M12" s="3">
        <v>0</v>
      </c>
      <c r="N12" s="3">
        <v>0</v>
      </c>
      <c r="O12" s="3">
        <v>0</v>
      </c>
      <c r="P12" s="3">
        <v>0</v>
      </c>
      <c r="Q12" s="3">
        <v>-9.1436182730484695E-4</v>
      </c>
      <c r="R12" s="3">
        <v>0</v>
      </c>
      <c r="S12" s="3">
        <v>0</v>
      </c>
      <c r="T12" s="3">
        <v>0</v>
      </c>
      <c r="U12" s="3">
        <v>77.556214244610274</v>
      </c>
    </row>
    <row r="13" spans="2:21" x14ac:dyDescent="0.25">
      <c r="B13" t="s">
        <v>259</v>
      </c>
      <c r="C13" t="s">
        <v>188</v>
      </c>
      <c r="D13" t="s">
        <v>137</v>
      </c>
      <c r="E13" t="s">
        <v>51</v>
      </c>
      <c r="F13" s="3">
        <v>301.64030808082703</v>
      </c>
      <c r="G13" s="3">
        <v>123.736290944239</v>
      </c>
      <c r="H13" s="3">
        <v>436.32531202774499</v>
      </c>
      <c r="I13" s="3">
        <v>301.64030808082703</v>
      </c>
      <c r="J13" s="3">
        <v>9.5444867150819095E-4</v>
      </c>
      <c r="K13" s="3">
        <v>9.5444867150819095E-4</v>
      </c>
      <c r="L13" s="3">
        <v>0</v>
      </c>
      <c r="M13" s="3">
        <v>0</v>
      </c>
      <c r="N13" s="3">
        <v>0</v>
      </c>
      <c r="O13" s="3">
        <v>0</v>
      </c>
      <c r="P13" s="3">
        <v>0</v>
      </c>
      <c r="Q13" s="3">
        <v>-9.1436182730484695E-4</v>
      </c>
      <c r="R13" s="3">
        <v>0</v>
      </c>
      <c r="S13" s="3">
        <v>0</v>
      </c>
      <c r="T13" s="3">
        <v>0</v>
      </c>
      <c r="U13" s="3">
        <v>77.556214244610274</v>
      </c>
    </row>
    <row r="14" spans="2:21" x14ac:dyDescent="0.25">
      <c r="B14" t="s">
        <v>259</v>
      </c>
      <c r="C14" t="s">
        <v>188</v>
      </c>
      <c r="D14" t="s">
        <v>137</v>
      </c>
      <c r="E14" t="s">
        <v>196</v>
      </c>
      <c r="F14" s="3">
        <v>301.64030808082703</v>
      </c>
      <c r="G14" s="3">
        <v>123.736290944239</v>
      </c>
      <c r="H14" s="3">
        <v>436.32531202774499</v>
      </c>
      <c r="I14" s="3">
        <v>301.64030808082703</v>
      </c>
      <c r="J14" s="3">
        <v>1.9507416480303099E-3</v>
      </c>
      <c r="K14" s="3">
        <v>9.5444867150819095E-4</v>
      </c>
      <c r="L14" s="3">
        <v>0</v>
      </c>
      <c r="M14" s="3">
        <v>0</v>
      </c>
      <c r="N14" s="3">
        <v>0</v>
      </c>
      <c r="O14" s="3">
        <v>0</v>
      </c>
      <c r="P14" s="3">
        <v>0</v>
      </c>
      <c r="Q14" s="3">
        <v>-9.1436182730484695E-4</v>
      </c>
      <c r="R14" s="3">
        <v>0</v>
      </c>
      <c r="S14" s="3">
        <v>0</v>
      </c>
      <c r="T14" s="3">
        <v>0</v>
      </c>
      <c r="U14" s="3">
        <v>77.556280664142022</v>
      </c>
    </row>
    <row r="15" spans="2:21" x14ac:dyDescent="0.25">
      <c r="B15" t="s">
        <v>259</v>
      </c>
      <c r="C15" t="s">
        <v>188</v>
      </c>
      <c r="D15" t="s">
        <v>137</v>
      </c>
      <c r="E15" t="s">
        <v>197</v>
      </c>
      <c r="F15" s="3">
        <v>301.64030808082703</v>
      </c>
      <c r="G15" s="3">
        <v>123.736290944239</v>
      </c>
      <c r="H15" s="3">
        <v>436.32531202774499</v>
      </c>
      <c r="I15" s="3">
        <v>301.64030808082703</v>
      </c>
      <c r="J15" s="3">
        <v>86.436862732438001</v>
      </c>
      <c r="K15" s="3">
        <v>82.805600135848294</v>
      </c>
      <c r="L15" s="3">
        <v>0</v>
      </c>
      <c r="M15" s="3">
        <v>0</v>
      </c>
      <c r="N15" s="3">
        <v>0</v>
      </c>
      <c r="O15" s="3">
        <v>0</v>
      </c>
      <c r="P15" s="3">
        <v>0</v>
      </c>
      <c r="Q15" s="3">
        <v>0</v>
      </c>
      <c r="R15" s="3">
        <v>0</v>
      </c>
      <c r="S15" s="3">
        <v>0</v>
      </c>
      <c r="T15" s="3">
        <v>0</v>
      </c>
      <c r="U15" s="3">
        <v>88.838978800128274</v>
      </c>
    </row>
    <row r="16" spans="2:21" x14ac:dyDescent="0.25">
      <c r="B16" t="s">
        <v>259</v>
      </c>
      <c r="C16" t="s">
        <v>188</v>
      </c>
      <c r="D16" t="s">
        <v>137</v>
      </c>
      <c r="E16" t="s">
        <v>198</v>
      </c>
      <c r="F16" s="3">
        <v>301.64030808082703</v>
      </c>
      <c r="G16" s="3">
        <v>123.736290944239</v>
      </c>
      <c r="H16" s="3">
        <v>436.32531202774499</v>
      </c>
      <c r="I16" s="3">
        <v>301.64030808082703</v>
      </c>
      <c r="J16" s="3">
        <v>118.538452362754</v>
      </c>
      <c r="K16" s="3">
        <v>113.558923001691</v>
      </c>
      <c r="L16" s="3">
        <v>0</v>
      </c>
      <c r="M16" s="3">
        <v>0</v>
      </c>
      <c r="N16" s="3">
        <v>0</v>
      </c>
      <c r="O16" s="3">
        <v>0</v>
      </c>
      <c r="P16" s="3">
        <v>0</v>
      </c>
      <c r="Q16" s="3">
        <v>0</v>
      </c>
      <c r="R16" s="3">
        <v>0</v>
      </c>
      <c r="S16" s="3">
        <v>0</v>
      </c>
      <c r="T16" s="3">
        <v>0</v>
      </c>
      <c r="U16" s="3">
        <v>93.029306299872204</v>
      </c>
    </row>
    <row r="17" spans="2:21" x14ac:dyDescent="0.25">
      <c r="B17" t="s">
        <v>259</v>
      </c>
      <c r="C17" t="s">
        <v>188</v>
      </c>
      <c r="D17" t="s">
        <v>137</v>
      </c>
      <c r="E17" t="s">
        <v>199</v>
      </c>
      <c r="F17" s="3">
        <v>301.64030808082703</v>
      </c>
      <c r="G17" s="3">
        <v>123.736290944239</v>
      </c>
      <c r="H17" s="3">
        <v>436.32531202774499</v>
      </c>
      <c r="I17" s="3">
        <v>301.64030808082703</v>
      </c>
      <c r="J17" s="3">
        <v>118.538452362754</v>
      </c>
      <c r="K17" s="3">
        <v>113.558923001691</v>
      </c>
      <c r="L17" s="3">
        <v>0</v>
      </c>
      <c r="M17" s="3">
        <v>0</v>
      </c>
      <c r="N17" s="3">
        <v>0</v>
      </c>
      <c r="O17" s="3">
        <v>0</v>
      </c>
      <c r="P17" s="3">
        <v>0</v>
      </c>
      <c r="Q17" s="3">
        <v>0</v>
      </c>
      <c r="R17" s="3">
        <v>0</v>
      </c>
      <c r="S17" s="3">
        <v>0</v>
      </c>
      <c r="T17" s="3">
        <v>0</v>
      </c>
      <c r="U17" s="3">
        <v>93.029306299872204</v>
      </c>
    </row>
    <row r="18" spans="2:21" x14ac:dyDescent="0.25">
      <c r="B18" t="s">
        <v>259</v>
      </c>
      <c r="C18" t="s">
        <v>188</v>
      </c>
      <c r="D18" t="s">
        <v>137</v>
      </c>
      <c r="E18" t="s">
        <v>200</v>
      </c>
      <c r="F18" s="3">
        <v>301.64030808082703</v>
      </c>
      <c r="G18" s="3">
        <v>123.736290944239</v>
      </c>
      <c r="H18" s="3">
        <v>436.32531202774499</v>
      </c>
      <c r="I18" s="3">
        <v>301.64030808082703</v>
      </c>
      <c r="J18" s="3">
        <v>118.538452362754</v>
      </c>
      <c r="K18" s="3">
        <v>9.5444867150819095E-4</v>
      </c>
      <c r="L18" s="3">
        <v>0</v>
      </c>
      <c r="M18" s="3">
        <v>0</v>
      </c>
      <c r="N18" s="3">
        <v>0</v>
      </c>
      <c r="O18" s="3">
        <v>0</v>
      </c>
      <c r="P18" s="3">
        <v>0</v>
      </c>
      <c r="Q18" s="3">
        <v>0</v>
      </c>
      <c r="R18" s="3">
        <v>0</v>
      </c>
      <c r="S18" s="3">
        <v>0</v>
      </c>
      <c r="T18" s="3">
        <v>0</v>
      </c>
      <c r="U18" s="3">
        <v>85.458775063004239</v>
      </c>
    </row>
    <row r="19" spans="2:21" x14ac:dyDescent="0.25">
      <c r="B19" t="s">
        <v>259</v>
      </c>
      <c r="C19" t="s">
        <v>188</v>
      </c>
      <c r="D19" t="s">
        <v>137</v>
      </c>
      <c r="E19" t="s">
        <v>240</v>
      </c>
      <c r="F19" s="3">
        <v>301.64030808082703</v>
      </c>
      <c r="G19" s="3">
        <v>123.736290944239</v>
      </c>
      <c r="H19" s="3">
        <v>436.32531202774499</v>
      </c>
      <c r="I19" s="3">
        <v>301.64030808082703</v>
      </c>
      <c r="J19" s="3">
        <v>118.538452362754</v>
      </c>
      <c r="K19" s="3">
        <v>9.5444867150819095E-4</v>
      </c>
      <c r="L19" s="3">
        <v>0</v>
      </c>
      <c r="M19" s="3">
        <v>0</v>
      </c>
      <c r="N19" s="3">
        <v>0</v>
      </c>
      <c r="O19" s="3">
        <v>0</v>
      </c>
      <c r="P19" s="3">
        <v>0</v>
      </c>
      <c r="Q19" s="3">
        <v>0</v>
      </c>
      <c r="R19" s="3">
        <v>0</v>
      </c>
      <c r="S19" s="3">
        <v>0</v>
      </c>
      <c r="T19" s="3">
        <v>0</v>
      </c>
      <c r="U19" s="3">
        <v>85.458775063004239</v>
      </c>
    </row>
    <row r="20" spans="2:21" x14ac:dyDescent="0.25">
      <c r="B20" t="s">
        <v>259</v>
      </c>
      <c r="C20" t="s">
        <v>188</v>
      </c>
      <c r="D20" t="s">
        <v>137</v>
      </c>
      <c r="E20" t="s">
        <v>301</v>
      </c>
      <c r="F20" s="3">
        <v>301.64030808082703</v>
      </c>
      <c r="G20" s="3">
        <v>123.736290944239</v>
      </c>
      <c r="H20" s="3">
        <v>436.32531202774499</v>
      </c>
      <c r="I20" s="3">
        <v>301.64030808082703</v>
      </c>
      <c r="J20" s="3">
        <v>118.538452362754</v>
      </c>
      <c r="K20" s="3">
        <v>9.5444867150819095E-4</v>
      </c>
      <c r="L20" s="3">
        <v>0</v>
      </c>
      <c r="M20" s="3">
        <v>0</v>
      </c>
      <c r="N20" s="3">
        <v>0</v>
      </c>
      <c r="O20" s="3">
        <v>0</v>
      </c>
      <c r="P20" s="3">
        <v>0</v>
      </c>
      <c r="Q20" s="3">
        <v>0</v>
      </c>
      <c r="R20" s="3">
        <v>-9.1436182730484695E-4</v>
      </c>
      <c r="S20" s="3">
        <v>0</v>
      </c>
      <c r="T20" s="3">
        <v>0</v>
      </c>
      <c r="U20" s="3">
        <v>85.458714105549092</v>
      </c>
    </row>
    <row r="21" spans="2:21" x14ac:dyDescent="0.25">
      <c r="B21" t="s">
        <v>259</v>
      </c>
      <c r="C21" t="s">
        <v>188</v>
      </c>
      <c r="D21" t="s">
        <v>137</v>
      </c>
      <c r="E21" t="s">
        <v>302</v>
      </c>
      <c r="F21" s="3">
        <v>301.64030808082703</v>
      </c>
      <c r="G21" s="3">
        <v>123.736290944239</v>
      </c>
      <c r="H21" s="3">
        <v>436.32531202774499</v>
      </c>
      <c r="I21" s="3">
        <v>301.64030808082703</v>
      </c>
      <c r="J21" s="3">
        <v>118.538452362754</v>
      </c>
      <c r="K21" s="3">
        <v>113.558923001691</v>
      </c>
      <c r="L21" s="3">
        <v>0</v>
      </c>
      <c r="M21" s="3">
        <v>0</v>
      </c>
      <c r="N21" s="3">
        <v>0</v>
      </c>
      <c r="O21" s="3">
        <v>0</v>
      </c>
      <c r="P21" s="3">
        <v>0</v>
      </c>
      <c r="Q21" s="3">
        <v>0</v>
      </c>
      <c r="R21" s="3">
        <v>-9.1436182730484695E-4</v>
      </c>
      <c r="S21" s="3">
        <v>0</v>
      </c>
      <c r="T21" s="3">
        <v>0</v>
      </c>
      <c r="U21" s="3">
        <v>93.029245342417056</v>
      </c>
    </row>
    <row r="22" spans="2:21" x14ac:dyDescent="0.25">
      <c r="B22" t="s">
        <v>259</v>
      </c>
      <c r="C22" t="s">
        <v>188</v>
      </c>
      <c r="D22" t="s">
        <v>137</v>
      </c>
      <c r="E22" t="s">
        <v>303</v>
      </c>
      <c r="F22" s="3">
        <v>301.64030808082703</v>
      </c>
      <c r="G22" s="3">
        <v>123.736290944239</v>
      </c>
      <c r="H22" s="3">
        <v>436.32531202774499</v>
      </c>
      <c r="I22" s="3">
        <v>301.64030808082703</v>
      </c>
      <c r="J22" s="3">
        <v>118.538452362754</v>
      </c>
      <c r="K22" s="3">
        <v>113.558923001691</v>
      </c>
      <c r="L22" s="3">
        <v>0</v>
      </c>
      <c r="M22" s="3">
        <v>0</v>
      </c>
      <c r="N22" s="3">
        <v>0</v>
      </c>
      <c r="O22" s="3">
        <v>0</v>
      </c>
      <c r="P22" s="3">
        <v>0</v>
      </c>
      <c r="Q22" s="3">
        <v>0</v>
      </c>
      <c r="R22" s="3">
        <v>-9.1436182730484695E-4</v>
      </c>
      <c r="S22" s="3">
        <v>0</v>
      </c>
      <c r="T22" s="3">
        <v>0</v>
      </c>
      <c r="U22" s="3">
        <v>93.029245342417056</v>
      </c>
    </row>
    <row r="23" spans="2:21" x14ac:dyDescent="0.25">
      <c r="B23" t="s">
        <v>259</v>
      </c>
      <c r="C23" t="s">
        <v>188</v>
      </c>
      <c r="D23" t="s">
        <v>137</v>
      </c>
      <c r="E23" t="s">
        <v>304</v>
      </c>
      <c r="F23" s="3">
        <v>301.64030808082703</v>
      </c>
      <c r="G23" s="3">
        <v>123.736290944239</v>
      </c>
      <c r="H23" s="3">
        <v>436.32531202774499</v>
      </c>
      <c r="I23" s="3">
        <v>301.64030808082703</v>
      </c>
      <c r="J23" s="3">
        <v>118.538452362754</v>
      </c>
      <c r="K23" s="3">
        <v>113.558923001691</v>
      </c>
      <c r="L23" s="3">
        <v>0</v>
      </c>
      <c r="M23" s="3">
        <v>0</v>
      </c>
      <c r="N23" s="3">
        <v>0</v>
      </c>
      <c r="O23" s="3">
        <v>0</v>
      </c>
      <c r="P23" s="3">
        <v>0</v>
      </c>
      <c r="Q23" s="3">
        <v>0</v>
      </c>
      <c r="R23" s="3">
        <v>-9.1436182730484695E-4</v>
      </c>
      <c r="S23" s="3">
        <v>0</v>
      </c>
      <c r="T23" s="3">
        <v>0</v>
      </c>
      <c r="U23" s="3">
        <v>93.029245342417056</v>
      </c>
    </row>
    <row r="24" spans="2:21" x14ac:dyDescent="0.25">
      <c r="B24" t="s">
        <v>259</v>
      </c>
      <c r="C24" t="s">
        <v>188</v>
      </c>
      <c r="D24" t="s">
        <v>137</v>
      </c>
      <c r="E24" t="s">
        <v>305</v>
      </c>
      <c r="F24" s="3">
        <v>301.64030808082703</v>
      </c>
      <c r="G24" s="3">
        <v>123.736290944239</v>
      </c>
      <c r="H24" s="3">
        <v>436.32531202774499</v>
      </c>
      <c r="I24" s="3">
        <v>301.64030808082703</v>
      </c>
      <c r="J24" s="3">
        <v>118.538452362754</v>
      </c>
      <c r="K24" s="3">
        <v>59.878483759990999</v>
      </c>
      <c r="L24" s="3">
        <v>0</v>
      </c>
      <c r="M24" s="3">
        <v>0</v>
      </c>
      <c r="N24" s="3">
        <v>0</v>
      </c>
      <c r="O24" s="3">
        <v>0</v>
      </c>
      <c r="P24" s="3">
        <v>0</v>
      </c>
      <c r="Q24" s="3">
        <v>0</v>
      </c>
      <c r="R24" s="3">
        <v>-9.1436182730484695E-4</v>
      </c>
      <c r="S24" s="3">
        <v>0</v>
      </c>
      <c r="T24" s="3">
        <v>0</v>
      </c>
      <c r="U24" s="3">
        <v>89.450549392970387</v>
      </c>
    </row>
    <row r="25" spans="2:21" x14ac:dyDescent="0.25">
      <c r="B25" t="s">
        <v>259</v>
      </c>
      <c r="C25" t="s">
        <v>188</v>
      </c>
      <c r="D25" t="s">
        <v>137</v>
      </c>
      <c r="E25" t="s">
        <v>306</v>
      </c>
      <c r="F25" s="3">
        <v>301.64030808082703</v>
      </c>
      <c r="G25" s="3">
        <v>288.970500779605</v>
      </c>
      <c r="H25" s="3">
        <v>436.32531202774499</v>
      </c>
      <c r="I25" s="3">
        <v>301.64030808082703</v>
      </c>
      <c r="J25" s="3">
        <v>276.83282538503403</v>
      </c>
      <c r="K25" s="3">
        <v>265.20493235703498</v>
      </c>
      <c r="L25" s="3">
        <v>0</v>
      </c>
      <c r="M25" s="3">
        <v>0</v>
      </c>
      <c r="N25" s="3">
        <v>0</v>
      </c>
      <c r="O25" s="3">
        <v>0</v>
      </c>
      <c r="P25" s="3">
        <v>0</v>
      </c>
      <c r="Q25" s="3">
        <v>-9.1436182730484695E-4</v>
      </c>
      <c r="R25" s="3">
        <v>-9.1436182730484695E-4</v>
      </c>
      <c r="S25" s="3">
        <v>0</v>
      </c>
      <c r="T25" s="3">
        <v>0</v>
      </c>
      <c r="U25" s="3">
        <v>124.70749053249457</v>
      </c>
    </row>
    <row r="26" spans="2:21" x14ac:dyDescent="0.25">
      <c r="B26" t="s">
        <v>259</v>
      </c>
      <c r="C26" t="s">
        <v>188</v>
      </c>
      <c r="D26" t="s">
        <v>137</v>
      </c>
      <c r="E26" t="s">
        <v>307</v>
      </c>
      <c r="F26" s="3">
        <v>301.64030808082703</v>
      </c>
      <c r="G26" s="3">
        <v>288.970500779605</v>
      </c>
      <c r="H26" s="3">
        <v>436.32531202774499</v>
      </c>
      <c r="I26" s="3">
        <v>301.64030808082703</v>
      </c>
      <c r="J26" s="3">
        <v>276.83282538503403</v>
      </c>
      <c r="K26" s="3">
        <v>265.20493235703498</v>
      </c>
      <c r="L26" s="3">
        <v>0</v>
      </c>
      <c r="M26" s="3">
        <v>0</v>
      </c>
      <c r="N26" s="3">
        <v>0</v>
      </c>
      <c r="O26" s="3">
        <v>0</v>
      </c>
      <c r="P26" s="3">
        <v>0</v>
      </c>
      <c r="Q26" s="3">
        <v>-9.1436182730484695E-4</v>
      </c>
      <c r="R26" s="3">
        <v>-9.1436182730484695E-4</v>
      </c>
      <c r="S26" s="3">
        <v>0</v>
      </c>
      <c r="T26" s="3">
        <v>0</v>
      </c>
      <c r="U26" s="3">
        <v>124.70749053249457</v>
      </c>
    </row>
    <row r="27" spans="2:21" x14ac:dyDescent="0.25">
      <c r="B27" t="s">
        <v>259</v>
      </c>
      <c r="C27" t="s">
        <v>188</v>
      </c>
      <c r="D27" t="s">
        <v>137</v>
      </c>
      <c r="E27" t="s">
        <v>308</v>
      </c>
      <c r="F27" s="3">
        <v>301.64030808082703</v>
      </c>
      <c r="G27" s="3">
        <v>288.970500779605</v>
      </c>
      <c r="H27" s="3">
        <v>436.32531202774499</v>
      </c>
      <c r="I27" s="3">
        <v>301.64030808082703</v>
      </c>
      <c r="J27" s="3">
        <v>276.83282538503403</v>
      </c>
      <c r="K27" s="3">
        <v>265.20493235703498</v>
      </c>
      <c r="L27" s="3">
        <v>0</v>
      </c>
      <c r="M27" s="3">
        <v>0</v>
      </c>
      <c r="N27" s="3">
        <v>0</v>
      </c>
      <c r="O27" s="3">
        <v>0</v>
      </c>
      <c r="P27" s="3">
        <v>0</v>
      </c>
      <c r="Q27" s="3">
        <v>-9.1436182730484695E-4</v>
      </c>
      <c r="R27" s="3">
        <v>0</v>
      </c>
      <c r="S27" s="3">
        <v>0</v>
      </c>
      <c r="T27" s="3">
        <v>0</v>
      </c>
      <c r="U27" s="3">
        <v>124.70755148994972</v>
      </c>
    </row>
    <row r="28" spans="2:21" x14ac:dyDescent="0.25">
      <c r="B28" t="s">
        <v>259</v>
      </c>
      <c r="C28" t="s">
        <v>188</v>
      </c>
      <c r="D28" t="s">
        <v>137</v>
      </c>
      <c r="E28" t="s">
        <v>309</v>
      </c>
      <c r="F28" s="3">
        <v>301.64030808082703</v>
      </c>
      <c r="G28" s="3">
        <v>288.970500779605</v>
      </c>
      <c r="H28" s="3">
        <v>436.32531202774499</v>
      </c>
      <c r="I28" s="3">
        <v>301.64030808082703</v>
      </c>
      <c r="J28" s="3">
        <v>276.83282538503403</v>
      </c>
      <c r="K28" s="3">
        <v>265.20493235703498</v>
      </c>
      <c r="L28" s="3">
        <v>0</v>
      </c>
      <c r="M28" s="3">
        <v>0</v>
      </c>
      <c r="N28" s="3">
        <v>0</v>
      </c>
      <c r="O28" s="3">
        <v>0</v>
      </c>
      <c r="P28" s="3">
        <v>0</v>
      </c>
      <c r="Q28" s="3">
        <v>-9.1436182730484695E-4</v>
      </c>
      <c r="R28" s="3">
        <v>0</v>
      </c>
      <c r="S28" s="3">
        <v>0</v>
      </c>
      <c r="T28" s="3">
        <v>0</v>
      </c>
      <c r="U28" s="3">
        <v>124.70755148994972</v>
      </c>
    </row>
    <row r="29" spans="2:21" x14ac:dyDescent="0.25">
      <c r="B29" t="s">
        <v>259</v>
      </c>
      <c r="C29" t="s">
        <v>188</v>
      </c>
      <c r="D29" t="s">
        <v>137</v>
      </c>
      <c r="E29" t="s">
        <v>310</v>
      </c>
      <c r="F29" s="3">
        <v>301.64030808082703</v>
      </c>
      <c r="G29" s="3">
        <v>288.970500779605</v>
      </c>
      <c r="H29" s="3">
        <v>436.32531202774499</v>
      </c>
      <c r="I29" s="3">
        <v>301.64030808082703</v>
      </c>
      <c r="J29" s="3">
        <v>276.83282538503403</v>
      </c>
      <c r="K29" s="3">
        <v>265.20493235703498</v>
      </c>
      <c r="L29" s="3">
        <v>0</v>
      </c>
      <c r="M29" s="3">
        <v>0</v>
      </c>
      <c r="N29" s="3">
        <v>0</v>
      </c>
      <c r="O29" s="3">
        <v>0</v>
      </c>
      <c r="P29" s="3">
        <v>0</v>
      </c>
      <c r="Q29" s="3">
        <v>-9.1436182730484695E-4</v>
      </c>
      <c r="R29" s="3">
        <v>0</v>
      </c>
      <c r="S29" s="3">
        <v>0</v>
      </c>
      <c r="T29" s="3">
        <v>0</v>
      </c>
      <c r="U29" s="3">
        <v>124.70755148994972</v>
      </c>
    </row>
    <row r="30" spans="2:21" x14ac:dyDescent="0.25">
      <c r="B30" t="s">
        <v>259</v>
      </c>
      <c r="C30" t="s">
        <v>188</v>
      </c>
      <c r="D30" t="s">
        <v>137</v>
      </c>
      <c r="E30" t="s">
        <v>311</v>
      </c>
      <c r="F30" s="3">
        <v>301.64030808082703</v>
      </c>
      <c r="G30" s="3">
        <v>288.970500779605</v>
      </c>
      <c r="H30" s="3">
        <v>436.32531202774499</v>
      </c>
      <c r="I30" s="3">
        <v>301.64030808082703</v>
      </c>
      <c r="J30" s="3">
        <v>276.83282538503403</v>
      </c>
      <c r="K30" s="3">
        <v>265.20493235703498</v>
      </c>
      <c r="L30" s="3">
        <v>0</v>
      </c>
      <c r="M30" s="3">
        <v>0</v>
      </c>
      <c r="N30" s="3">
        <v>0</v>
      </c>
      <c r="O30" s="3">
        <v>0</v>
      </c>
      <c r="P30" s="3">
        <v>0</v>
      </c>
      <c r="Q30" s="3">
        <v>-9.1436182730484695E-4</v>
      </c>
      <c r="R30" s="3">
        <v>0</v>
      </c>
      <c r="S30" s="3">
        <v>0</v>
      </c>
      <c r="T30" s="3">
        <v>0</v>
      </c>
      <c r="U30" s="3">
        <v>124.70755148994972</v>
      </c>
    </row>
    <row r="31" spans="2:21" x14ac:dyDescent="0.25">
      <c r="B31" t="s">
        <v>259</v>
      </c>
      <c r="C31" t="s">
        <v>188</v>
      </c>
      <c r="D31" t="s">
        <v>137</v>
      </c>
      <c r="E31" t="s">
        <v>312</v>
      </c>
      <c r="F31" s="3">
        <v>301.64030808082703</v>
      </c>
      <c r="G31" s="3">
        <v>123.736290944239</v>
      </c>
      <c r="H31" s="3">
        <v>436.32531202774499</v>
      </c>
      <c r="I31" s="3">
        <v>301.64030808082703</v>
      </c>
      <c r="J31" s="3">
        <v>1.9507416480303099E-3</v>
      </c>
      <c r="K31" s="3">
        <v>9.5444867150819095E-4</v>
      </c>
      <c r="L31" s="3">
        <v>0</v>
      </c>
      <c r="M31" s="3">
        <v>0</v>
      </c>
      <c r="N31" s="3">
        <v>0</v>
      </c>
      <c r="O31" s="3">
        <v>0</v>
      </c>
      <c r="P31" s="3">
        <v>0</v>
      </c>
      <c r="Q31" s="3">
        <v>-9.1436182730484695E-4</v>
      </c>
      <c r="R31" s="3">
        <v>0</v>
      </c>
      <c r="S31" s="3">
        <v>0</v>
      </c>
      <c r="T31" s="3">
        <v>0</v>
      </c>
      <c r="U31" s="3">
        <v>77.556280664142022</v>
      </c>
    </row>
    <row r="32" spans="2:21" x14ac:dyDescent="0.25">
      <c r="B32" t="s">
        <v>259</v>
      </c>
      <c r="C32" t="s">
        <v>259</v>
      </c>
      <c r="D32" t="s">
        <v>137</v>
      </c>
      <c r="E32" t="s">
        <v>46</v>
      </c>
      <c r="F32" s="3">
        <v>372.29089143597002</v>
      </c>
      <c r="G32" s="3">
        <v>372.29089143597002</v>
      </c>
      <c r="H32" s="3">
        <v>405.65297063555602</v>
      </c>
      <c r="I32" s="3">
        <v>388.61411506886202</v>
      </c>
      <c r="J32" s="3">
        <v>341.67237618144202</v>
      </c>
      <c r="K32" s="3">
        <v>356.653243195659</v>
      </c>
      <c r="L32" s="3">
        <v>313.57180514738502</v>
      </c>
      <c r="M32" s="3">
        <v>327.32070558182102</v>
      </c>
      <c r="N32" s="3">
        <v>327.32070558182102</v>
      </c>
      <c r="O32" s="3">
        <v>313.57180514738502</v>
      </c>
      <c r="P32" s="3">
        <v>341.67237618144202</v>
      </c>
      <c r="Q32" s="3">
        <v>300.400358531194</v>
      </c>
      <c r="R32" s="3">
        <v>313.57180514738502</v>
      </c>
      <c r="S32" s="3">
        <v>327.32070558182102</v>
      </c>
      <c r="T32" s="3">
        <v>341.67237618144202</v>
      </c>
      <c r="U32" s="3">
        <v>342.90647540234369</v>
      </c>
    </row>
    <row r="33" spans="2:21" x14ac:dyDescent="0.25">
      <c r="B33" t="s">
        <v>259</v>
      </c>
      <c r="C33" t="s">
        <v>259</v>
      </c>
      <c r="D33" t="s">
        <v>137</v>
      </c>
      <c r="E33" t="s">
        <v>47</v>
      </c>
      <c r="F33" s="3">
        <v>372.29089143597002</v>
      </c>
      <c r="G33" s="3">
        <v>372.29089143597002</v>
      </c>
      <c r="H33" s="3">
        <v>405.65297063555602</v>
      </c>
      <c r="I33" s="3">
        <v>388.61411506886202</v>
      </c>
      <c r="J33" s="3">
        <v>341.67237618144202</v>
      </c>
      <c r="K33" s="3">
        <v>356.653243195659</v>
      </c>
      <c r="L33" s="3">
        <v>313.57180514738502</v>
      </c>
      <c r="M33" s="3">
        <v>327.32070558182102</v>
      </c>
      <c r="N33" s="3">
        <v>327.32070558182102</v>
      </c>
      <c r="O33" s="3">
        <v>313.57180514738502</v>
      </c>
      <c r="P33" s="3">
        <v>341.67237618144202</v>
      </c>
      <c r="Q33" s="3">
        <v>300.400358531194</v>
      </c>
      <c r="R33" s="3">
        <v>313.57180514738502</v>
      </c>
      <c r="S33" s="3">
        <v>327.32070558182102</v>
      </c>
      <c r="T33" s="3">
        <v>341.67237618144202</v>
      </c>
      <c r="U33" s="3">
        <v>342.90647540234369</v>
      </c>
    </row>
    <row r="34" spans="2:21" x14ac:dyDescent="0.25">
      <c r="B34" t="s">
        <v>259</v>
      </c>
      <c r="C34" t="s">
        <v>259</v>
      </c>
      <c r="D34" t="s">
        <v>137</v>
      </c>
      <c r="E34" t="s">
        <v>48</v>
      </c>
      <c r="F34" s="3">
        <v>372.29089143597002</v>
      </c>
      <c r="G34" s="3">
        <v>372.29089143597002</v>
      </c>
      <c r="H34" s="3">
        <v>405.65297063555602</v>
      </c>
      <c r="I34" s="3">
        <v>388.61411506886202</v>
      </c>
      <c r="J34" s="3">
        <v>341.67237618144202</v>
      </c>
      <c r="K34" s="3">
        <v>356.653243195659</v>
      </c>
      <c r="L34" s="3">
        <v>313.57180514738502</v>
      </c>
      <c r="M34" s="3">
        <v>327.32070558182102</v>
      </c>
      <c r="N34" s="3">
        <v>327.32070558182102</v>
      </c>
      <c r="O34" s="3">
        <v>313.57180514738502</v>
      </c>
      <c r="P34" s="3">
        <v>341.67237618144202</v>
      </c>
      <c r="Q34" s="3">
        <v>300.400358531194</v>
      </c>
      <c r="R34" s="3">
        <v>313.57180514738502</v>
      </c>
      <c r="S34" s="3">
        <v>327.32070558182102</v>
      </c>
      <c r="T34" s="3">
        <v>341.67237618144202</v>
      </c>
      <c r="U34" s="3">
        <v>342.90647540234369</v>
      </c>
    </row>
    <row r="35" spans="2:21" x14ac:dyDescent="0.25">
      <c r="B35" t="s">
        <v>259</v>
      </c>
      <c r="C35" t="s">
        <v>259</v>
      </c>
      <c r="D35" t="s">
        <v>137</v>
      </c>
      <c r="E35" t="s">
        <v>49</v>
      </c>
      <c r="F35" s="3">
        <v>372.29089143597002</v>
      </c>
      <c r="G35" s="3">
        <v>372.29089143597002</v>
      </c>
      <c r="H35" s="3">
        <v>405.65297063555602</v>
      </c>
      <c r="I35" s="3">
        <v>388.61411506886202</v>
      </c>
      <c r="J35" s="3">
        <v>341.67237618144202</v>
      </c>
      <c r="K35" s="3">
        <v>356.653243195659</v>
      </c>
      <c r="L35" s="3">
        <v>313.57180514738502</v>
      </c>
      <c r="M35" s="3">
        <v>327.32070558182102</v>
      </c>
      <c r="N35" s="3">
        <v>327.32070558182102</v>
      </c>
      <c r="O35" s="3">
        <v>313.57180514738502</v>
      </c>
      <c r="P35" s="3">
        <v>341.67237618144202</v>
      </c>
      <c r="Q35" s="3">
        <v>300.400358531194</v>
      </c>
      <c r="R35" s="3">
        <v>313.57180514738502</v>
      </c>
      <c r="S35" s="3">
        <v>327.32070558182102</v>
      </c>
      <c r="T35" s="3">
        <v>341.67237618144202</v>
      </c>
      <c r="U35" s="3">
        <v>342.90647540234369</v>
      </c>
    </row>
    <row r="36" spans="2:21" x14ac:dyDescent="0.25">
      <c r="B36" t="s">
        <v>259</v>
      </c>
      <c r="C36" t="s">
        <v>259</v>
      </c>
      <c r="D36" t="s">
        <v>137</v>
      </c>
      <c r="E36" t="s">
        <v>50</v>
      </c>
      <c r="F36" s="3">
        <v>372.29089143597002</v>
      </c>
      <c r="G36" s="3">
        <v>372.29089143597002</v>
      </c>
      <c r="H36" s="3">
        <v>405.65297063555602</v>
      </c>
      <c r="I36" s="3">
        <v>388.61411506886202</v>
      </c>
      <c r="J36" s="3">
        <v>341.67237618144202</v>
      </c>
      <c r="K36" s="3">
        <v>356.653243195659</v>
      </c>
      <c r="L36" s="3">
        <v>313.57180514738502</v>
      </c>
      <c r="M36" s="3">
        <v>327.32070558182102</v>
      </c>
      <c r="N36" s="3">
        <v>327.32070558182102</v>
      </c>
      <c r="O36" s="3">
        <v>313.57180514738502</v>
      </c>
      <c r="P36" s="3">
        <v>341.67237618144202</v>
      </c>
      <c r="Q36" s="3">
        <v>300.400358531194</v>
      </c>
      <c r="R36" s="3">
        <v>313.57180514738502</v>
      </c>
      <c r="S36" s="3">
        <v>327.32070558182102</v>
      </c>
      <c r="T36" s="3">
        <v>341.67237618144202</v>
      </c>
      <c r="U36" s="3">
        <v>342.90647540234369</v>
      </c>
    </row>
    <row r="37" spans="2:21" x14ac:dyDescent="0.25">
      <c r="B37" t="s">
        <v>259</v>
      </c>
      <c r="C37" t="s">
        <v>259</v>
      </c>
      <c r="D37" t="s">
        <v>137</v>
      </c>
      <c r="E37" t="s">
        <v>51</v>
      </c>
      <c r="F37" s="3">
        <v>372.29089143597002</v>
      </c>
      <c r="G37" s="3">
        <v>372.29089143597002</v>
      </c>
      <c r="H37" s="3">
        <v>405.65297063555602</v>
      </c>
      <c r="I37" s="3">
        <v>388.61411506886202</v>
      </c>
      <c r="J37" s="3">
        <v>341.67237618144202</v>
      </c>
      <c r="K37" s="3">
        <v>356.653243195659</v>
      </c>
      <c r="L37" s="3">
        <v>313.57180514738502</v>
      </c>
      <c r="M37" s="3">
        <v>327.32070558182102</v>
      </c>
      <c r="N37" s="3">
        <v>327.32070558182102</v>
      </c>
      <c r="O37" s="3">
        <v>313.57180514738502</v>
      </c>
      <c r="P37" s="3">
        <v>341.67237618144202</v>
      </c>
      <c r="Q37" s="3">
        <v>300.400358531194</v>
      </c>
      <c r="R37" s="3">
        <v>313.57180514738502</v>
      </c>
      <c r="S37" s="3">
        <v>327.32070558182102</v>
      </c>
      <c r="T37" s="3">
        <v>341.67237618144202</v>
      </c>
      <c r="U37" s="3">
        <v>342.90647540234369</v>
      </c>
    </row>
    <row r="38" spans="2:21" x14ac:dyDescent="0.25">
      <c r="B38" t="s">
        <v>259</v>
      </c>
      <c r="C38" t="s">
        <v>259</v>
      </c>
      <c r="D38" t="s">
        <v>137</v>
      </c>
      <c r="E38" t="s">
        <v>196</v>
      </c>
      <c r="F38" s="3">
        <v>372.29089143597002</v>
      </c>
      <c r="G38" s="3">
        <v>372.29089143597002</v>
      </c>
      <c r="H38" s="3">
        <v>405.65297063555602</v>
      </c>
      <c r="I38" s="3">
        <v>388.61411506886202</v>
      </c>
      <c r="J38" s="3">
        <v>341.67237618144202</v>
      </c>
      <c r="K38" s="3">
        <v>356.653243195659</v>
      </c>
      <c r="L38" s="3">
        <v>313.57180514738502</v>
      </c>
      <c r="M38" s="3">
        <v>327.32070558182102</v>
      </c>
      <c r="N38" s="3">
        <v>327.32070558182102</v>
      </c>
      <c r="O38" s="3">
        <v>313.57180514738502</v>
      </c>
      <c r="P38" s="3">
        <v>341.67237618144202</v>
      </c>
      <c r="Q38" s="3">
        <v>300.400358531194</v>
      </c>
      <c r="R38" s="3">
        <v>313.57180514738502</v>
      </c>
      <c r="S38" s="3">
        <v>327.32070558182102</v>
      </c>
      <c r="T38" s="3">
        <v>341.67237618144202</v>
      </c>
      <c r="U38" s="3">
        <v>342.90647540234369</v>
      </c>
    </row>
    <row r="39" spans="2:21" x14ac:dyDescent="0.25">
      <c r="B39" t="s">
        <v>259</v>
      </c>
      <c r="C39" t="s">
        <v>259</v>
      </c>
      <c r="D39" t="s">
        <v>137</v>
      </c>
      <c r="E39" t="s">
        <v>197</v>
      </c>
      <c r="F39" s="3">
        <v>372.29089143597002</v>
      </c>
      <c r="G39" s="3">
        <v>372.29089143597002</v>
      </c>
      <c r="H39" s="3">
        <v>405.65297063555602</v>
      </c>
      <c r="I39" s="3">
        <v>388.61411506886202</v>
      </c>
      <c r="J39" s="3">
        <v>341.67237618144202</v>
      </c>
      <c r="K39" s="3">
        <v>356.653243195659</v>
      </c>
      <c r="L39" s="3">
        <v>313.57180514738502</v>
      </c>
      <c r="M39" s="3">
        <v>327.32070558182102</v>
      </c>
      <c r="N39" s="3">
        <v>327.32070558182102</v>
      </c>
      <c r="O39" s="3">
        <v>313.57180514738502</v>
      </c>
      <c r="P39" s="3">
        <v>341.67237618144202</v>
      </c>
      <c r="Q39" s="3">
        <v>300.400358531194</v>
      </c>
      <c r="R39" s="3">
        <v>313.57180514738502</v>
      </c>
      <c r="S39" s="3">
        <v>327.32070558182102</v>
      </c>
      <c r="T39" s="3">
        <v>341.67237618144202</v>
      </c>
      <c r="U39" s="3">
        <v>342.90647540234369</v>
      </c>
    </row>
    <row r="40" spans="2:21" x14ac:dyDescent="0.25">
      <c r="B40" t="s">
        <v>259</v>
      </c>
      <c r="C40" t="s">
        <v>259</v>
      </c>
      <c r="D40" t="s">
        <v>137</v>
      </c>
      <c r="E40" t="s">
        <v>198</v>
      </c>
      <c r="F40" s="3">
        <v>372.29089143597002</v>
      </c>
      <c r="G40" s="3">
        <v>372.29089143597002</v>
      </c>
      <c r="H40" s="3">
        <v>405.65297063555602</v>
      </c>
      <c r="I40" s="3">
        <v>388.61411506886202</v>
      </c>
      <c r="J40" s="3">
        <v>341.67237618144202</v>
      </c>
      <c r="K40" s="3">
        <v>356.653243195659</v>
      </c>
      <c r="L40" s="3">
        <v>313.57180514738502</v>
      </c>
      <c r="M40" s="3">
        <v>327.32070558182102</v>
      </c>
      <c r="N40" s="3">
        <v>327.32070558182102</v>
      </c>
      <c r="O40" s="3">
        <v>313.57180514738502</v>
      </c>
      <c r="P40" s="3">
        <v>341.67237618144202</v>
      </c>
      <c r="Q40" s="3">
        <v>300.400358531194</v>
      </c>
      <c r="R40" s="3">
        <v>313.57180514738502</v>
      </c>
      <c r="S40" s="3">
        <v>327.32070558182102</v>
      </c>
      <c r="T40" s="3">
        <v>341.67237618144202</v>
      </c>
      <c r="U40" s="3">
        <v>342.90647540234369</v>
      </c>
    </row>
    <row r="41" spans="2:21" x14ac:dyDescent="0.25">
      <c r="B41" t="s">
        <v>259</v>
      </c>
      <c r="C41" t="s">
        <v>259</v>
      </c>
      <c r="D41" t="s">
        <v>137</v>
      </c>
      <c r="E41" t="s">
        <v>199</v>
      </c>
      <c r="F41" s="3">
        <v>372.29089143597002</v>
      </c>
      <c r="G41" s="3">
        <v>372.29089143597002</v>
      </c>
      <c r="H41" s="3">
        <v>405.65297063555602</v>
      </c>
      <c r="I41" s="3">
        <v>388.61411506886202</v>
      </c>
      <c r="J41" s="3">
        <v>341.67237618144202</v>
      </c>
      <c r="K41" s="3">
        <v>356.653243195659</v>
      </c>
      <c r="L41" s="3">
        <v>313.57180514738502</v>
      </c>
      <c r="M41" s="3">
        <v>327.32070558182102</v>
      </c>
      <c r="N41" s="3">
        <v>327.32070558182102</v>
      </c>
      <c r="O41" s="3">
        <v>313.57180514738502</v>
      </c>
      <c r="P41" s="3">
        <v>341.67237618144202</v>
      </c>
      <c r="Q41" s="3">
        <v>300.400358531194</v>
      </c>
      <c r="R41" s="3">
        <v>313.57180514738502</v>
      </c>
      <c r="S41" s="3">
        <v>327.32070558182102</v>
      </c>
      <c r="T41" s="3">
        <v>341.67237618144202</v>
      </c>
      <c r="U41" s="3">
        <v>342.90647540234369</v>
      </c>
    </row>
    <row r="42" spans="2:21" x14ac:dyDescent="0.25">
      <c r="B42" t="s">
        <v>259</v>
      </c>
      <c r="C42" t="s">
        <v>259</v>
      </c>
      <c r="D42" t="s">
        <v>137</v>
      </c>
      <c r="E42" t="s">
        <v>200</v>
      </c>
      <c r="F42" s="3">
        <v>372.29089143597002</v>
      </c>
      <c r="G42" s="3">
        <v>372.29089143597002</v>
      </c>
      <c r="H42" s="3">
        <v>405.65297063555602</v>
      </c>
      <c r="I42" s="3">
        <v>388.61411506886202</v>
      </c>
      <c r="J42" s="3">
        <v>341.67237618144202</v>
      </c>
      <c r="K42" s="3">
        <v>356.653243195659</v>
      </c>
      <c r="L42" s="3">
        <v>313.57180514738502</v>
      </c>
      <c r="M42" s="3">
        <v>327.32070558182102</v>
      </c>
      <c r="N42" s="3">
        <v>327.32070558182102</v>
      </c>
      <c r="O42" s="3">
        <v>313.57180514738502</v>
      </c>
      <c r="P42" s="3">
        <v>341.67237618144202</v>
      </c>
      <c r="Q42" s="3">
        <v>300.400358531194</v>
      </c>
      <c r="R42" s="3">
        <v>313.57180514738502</v>
      </c>
      <c r="S42" s="3">
        <v>327.32070558182102</v>
      </c>
      <c r="T42" s="3">
        <v>341.67237618144202</v>
      </c>
      <c r="U42" s="3">
        <v>342.90647540234369</v>
      </c>
    </row>
    <row r="43" spans="2:21" x14ac:dyDescent="0.25">
      <c r="B43" t="s">
        <v>259</v>
      </c>
      <c r="C43" t="s">
        <v>259</v>
      </c>
      <c r="D43" t="s">
        <v>137</v>
      </c>
      <c r="E43" t="s">
        <v>240</v>
      </c>
      <c r="F43" s="3">
        <v>372.29089143597002</v>
      </c>
      <c r="G43" s="3">
        <v>372.29089143597002</v>
      </c>
      <c r="H43" s="3">
        <v>405.65297063555602</v>
      </c>
      <c r="I43" s="3">
        <v>388.61411506886202</v>
      </c>
      <c r="J43" s="3">
        <v>341.67237618144202</v>
      </c>
      <c r="K43" s="3">
        <v>356.653243195659</v>
      </c>
      <c r="L43" s="3">
        <v>313.57180514738502</v>
      </c>
      <c r="M43" s="3">
        <v>327.32070558182102</v>
      </c>
      <c r="N43" s="3">
        <v>327.32070558182102</v>
      </c>
      <c r="O43" s="3">
        <v>313.57180514738502</v>
      </c>
      <c r="P43" s="3">
        <v>341.67237618144202</v>
      </c>
      <c r="Q43" s="3">
        <v>300.400358531194</v>
      </c>
      <c r="R43" s="3">
        <v>313.57180514738502</v>
      </c>
      <c r="S43" s="3">
        <v>327.32070558182102</v>
      </c>
      <c r="T43" s="3">
        <v>341.67237618144202</v>
      </c>
      <c r="U43" s="3">
        <v>342.90647540234369</v>
      </c>
    </row>
    <row r="44" spans="2:21" x14ac:dyDescent="0.25">
      <c r="B44" t="s">
        <v>259</v>
      </c>
      <c r="C44" t="s">
        <v>259</v>
      </c>
      <c r="D44" t="s">
        <v>137</v>
      </c>
      <c r="E44" t="s">
        <v>301</v>
      </c>
      <c r="F44" s="3">
        <v>372.29089143597002</v>
      </c>
      <c r="G44" s="3">
        <v>372.29089143597002</v>
      </c>
      <c r="H44" s="3">
        <v>405.65297063555602</v>
      </c>
      <c r="I44" s="3">
        <v>388.61411506886202</v>
      </c>
      <c r="J44" s="3">
        <v>341.67237618144202</v>
      </c>
      <c r="K44" s="3">
        <v>356.653243195659</v>
      </c>
      <c r="L44" s="3">
        <v>313.57180514738502</v>
      </c>
      <c r="M44" s="3">
        <v>327.32070558182102</v>
      </c>
      <c r="N44" s="3">
        <v>327.32070558182102</v>
      </c>
      <c r="O44" s="3">
        <v>313.57180514738502</v>
      </c>
      <c r="P44" s="3">
        <v>341.67237618144202</v>
      </c>
      <c r="Q44" s="3">
        <v>300.400358531194</v>
      </c>
      <c r="R44" s="3">
        <v>313.57180514738502</v>
      </c>
      <c r="S44" s="3">
        <v>327.32070558182102</v>
      </c>
      <c r="T44" s="3">
        <v>341.67237618144202</v>
      </c>
      <c r="U44" s="3">
        <v>342.90647540234369</v>
      </c>
    </row>
    <row r="45" spans="2:21" x14ac:dyDescent="0.25">
      <c r="B45" t="s">
        <v>259</v>
      </c>
      <c r="C45" t="s">
        <v>259</v>
      </c>
      <c r="D45" t="s">
        <v>137</v>
      </c>
      <c r="E45" t="s">
        <v>302</v>
      </c>
      <c r="F45" s="3">
        <v>372.29089143597002</v>
      </c>
      <c r="G45" s="3">
        <v>372.29089143597002</v>
      </c>
      <c r="H45" s="3">
        <v>405.65297063555602</v>
      </c>
      <c r="I45" s="3">
        <v>388.61411506886202</v>
      </c>
      <c r="J45" s="3">
        <v>341.67237618144202</v>
      </c>
      <c r="K45" s="3">
        <v>356.653243195659</v>
      </c>
      <c r="L45" s="3">
        <v>313.57180514738502</v>
      </c>
      <c r="M45" s="3">
        <v>327.32070558182102</v>
      </c>
      <c r="N45" s="3">
        <v>327.32070558182102</v>
      </c>
      <c r="O45" s="3">
        <v>313.57180514738502</v>
      </c>
      <c r="P45" s="3">
        <v>341.67237618144202</v>
      </c>
      <c r="Q45" s="3">
        <v>300.400358531194</v>
      </c>
      <c r="R45" s="3">
        <v>313.57180514738502</v>
      </c>
      <c r="S45" s="3">
        <v>327.32070558182102</v>
      </c>
      <c r="T45" s="3">
        <v>341.67237618144202</v>
      </c>
      <c r="U45" s="3">
        <v>342.90647540234369</v>
      </c>
    </row>
    <row r="46" spans="2:21" x14ac:dyDescent="0.25">
      <c r="B46" t="s">
        <v>259</v>
      </c>
      <c r="C46" t="s">
        <v>259</v>
      </c>
      <c r="D46" t="s">
        <v>137</v>
      </c>
      <c r="E46" t="s">
        <v>303</v>
      </c>
      <c r="F46" s="3">
        <v>372.29089143597002</v>
      </c>
      <c r="G46" s="3">
        <v>372.29089143597002</v>
      </c>
      <c r="H46" s="3">
        <v>405.65297063555602</v>
      </c>
      <c r="I46" s="3">
        <v>388.61411506886202</v>
      </c>
      <c r="J46" s="3">
        <v>341.67237618144202</v>
      </c>
      <c r="K46" s="3">
        <v>356.653243195659</v>
      </c>
      <c r="L46" s="3">
        <v>313.57180514738502</v>
      </c>
      <c r="M46" s="3">
        <v>327.32070558182102</v>
      </c>
      <c r="N46" s="3">
        <v>327.32070558182102</v>
      </c>
      <c r="O46" s="3">
        <v>313.57180514738502</v>
      </c>
      <c r="P46" s="3">
        <v>341.67237618144202</v>
      </c>
      <c r="Q46" s="3">
        <v>300.400358531194</v>
      </c>
      <c r="R46" s="3">
        <v>313.57180514738502</v>
      </c>
      <c r="S46" s="3">
        <v>327.32070558182102</v>
      </c>
      <c r="T46" s="3">
        <v>341.67237618144202</v>
      </c>
      <c r="U46" s="3">
        <v>342.90647540234369</v>
      </c>
    </row>
    <row r="47" spans="2:21" x14ac:dyDescent="0.25">
      <c r="B47" t="s">
        <v>259</v>
      </c>
      <c r="C47" t="s">
        <v>259</v>
      </c>
      <c r="D47" t="s">
        <v>137</v>
      </c>
      <c r="E47" t="s">
        <v>304</v>
      </c>
      <c r="F47" s="3">
        <v>372.29089143597002</v>
      </c>
      <c r="G47" s="3">
        <v>372.29089143597002</v>
      </c>
      <c r="H47" s="3">
        <v>405.65297063555602</v>
      </c>
      <c r="I47" s="3">
        <v>388.61411506886202</v>
      </c>
      <c r="J47" s="3">
        <v>341.67237618144202</v>
      </c>
      <c r="K47" s="3">
        <v>356.653243195659</v>
      </c>
      <c r="L47" s="3">
        <v>313.57180514738502</v>
      </c>
      <c r="M47" s="3">
        <v>327.32070558182102</v>
      </c>
      <c r="N47" s="3">
        <v>327.32070558182102</v>
      </c>
      <c r="O47" s="3">
        <v>313.57180514738502</v>
      </c>
      <c r="P47" s="3">
        <v>341.67237618144202</v>
      </c>
      <c r="Q47" s="3">
        <v>300.400358531194</v>
      </c>
      <c r="R47" s="3">
        <v>313.57180514738502</v>
      </c>
      <c r="S47" s="3">
        <v>327.32070558182102</v>
      </c>
      <c r="T47" s="3">
        <v>341.67237618144202</v>
      </c>
      <c r="U47" s="3">
        <v>342.90647540234369</v>
      </c>
    </row>
    <row r="48" spans="2:21" x14ac:dyDescent="0.25">
      <c r="B48" t="s">
        <v>259</v>
      </c>
      <c r="C48" t="s">
        <v>259</v>
      </c>
      <c r="D48" t="s">
        <v>137</v>
      </c>
      <c r="E48" t="s">
        <v>305</v>
      </c>
      <c r="F48" s="3">
        <v>372.29089143597002</v>
      </c>
      <c r="G48" s="3">
        <v>372.29089143597002</v>
      </c>
      <c r="H48" s="3">
        <v>405.65297063555602</v>
      </c>
      <c r="I48" s="3">
        <v>388.61411506886202</v>
      </c>
      <c r="J48" s="3">
        <v>341.67237618144202</v>
      </c>
      <c r="K48" s="3">
        <v>356.653243195659</v>
      </c>
      <c r="L48" s="3">
        <v>313.57180514738502</v>
      </c>
      <c r="M48" s="3">
        <v>327.32070558182102</v>
      </c>
      <c r="N48" s="3">
        <v>327.32070558182102</v>
      </c>
      <c r="O48" s="3">
        <v>313.57180514738502</v>
      </c>
      <c r="P48" s="3">
        <v>341.67237618144202</v>
      </c>
      <c r="Q48" s="3">
        <v>300.400358531194</v>
      </c>
      <c r="R48" s="3">
        <v>313.57180514738502</v>
      </c>
      <c r="S48" s="3">
        <v>327.32070558182102</v>
      </c>
      <c r="T48" s="3">
        <v>341.67237618144202</v>
      </c>
      <c r="U48" s="3">
        <v>342.90647540234369</v>
      </c>
    </row>
    <row r="49" spans="2:21" x14ac:dyDescent="0.25">
      <c r="B49" t="s">
        <v>259</v>
      </c>
      <c r="C49" t="s">
        <v>259</v>
      </c>
      <c r="D49" t="s">
        <v>137</v>
      </c>
      <c r="E49" t="s">
        <v>306</v>
      </c>
      <c r="F49" s="3">
        <v>372.29089143597002</v>
      </c>
      <c r="G49" s="3">
        <v>372.29089143597002</v>
      </c>
      <c r="H49" s="3">
        <v>405.65297063555602</v>
      </c>
      <c r="I49" s="3">
        <v>388.61411506886202</v>
      </c>
      <c r="J49" s="3">
        <v>347.67507060161199</v>
      </c>
      <c r="K49" s="3">
        <v>356.653243195659</v>
      </c>
      <c r="L49" s="3">
        <v>313.57180514738502</v>
      </c>
      <c r="M49" s="3">
        <v>327.32070558182102</v>
      </c>
      <c r="N49" s="3">
        <v>327.32070558182102</v>
      </c>
      <c r="O49" s="3">
        <v>313.57180514738502</v>
      </c>
      <c r="P49" s="3">
        <v>341.67237618144202</v>
      </c>
      <c r="Q49" s="3">
        <v>300.400358531194</v>
      </c>
      <c r="R49" s="3">
        <v>313.57180514738502</v>
      </c>
      <c r="S49" s="3">
        <v>327.32070558182102</v>
      </c>
      <c r="T49" s="3">
        <v>341.67237618144202</v>
      </c>
      <c r="U49" s="3">
        <v>343.30665503035499</v>
      </c>
    </row>
    <row r="50" spans="2:21" x14ac:dyDescent="0.25">
      <c r="B50" t="s">
        <v>259</v>
      </c>
      <c r="C50" t="s">
        <v>259</v>
      </c>
      <c r="D50" t="s">
        <v>137</v>
      </c>
      <c r="E50" t="s">
        <v>307</v>
      </c>
      <c r="F50" s="3">
        <v>372.29089143597002</v>
      </c>
      <c r="G50" s="3">
        <v>372.29089143597002</v>
      </c>
      <c r="H50" s="3">
        <v>405.65297063555602</v>
      </c>
      <c r="I50" s="3">
        <v>388.61411506886202</v>
      </c>
      <c r="J50" s="3">
        <v>356.653243195659</v>
      </c>
      <c r="K50" s="3">
        <v>356.653243195659</v>
      </c>
      <c r="L50" s="3">
        <v>313.57180514738502</v>
      </c>
      <c r="M50" s="3">
        <v>327.32070558182102</v>
      </c>
      <c r="N50" s="3">
        <v>327.32070558182102</v>
      </c>
      <c r="O50" s="3">
        <v>313.57180514738502</v>
      </c>
      <c r="P50" s="3">
        <v>341.67237618144202</v>
      </c>
      <c r="Q50" s="3">
        <v>300.400358531194</v>
      </c>
      <c r="R50" s="3">
        <v>313.57180514738502</v>
      </c>
      <c r="S50" s="3">
        <v>327.32070558182102</v>
      </c>
      <c r="T50" s="3">
        <v>341.67237618144202</v>
      </c>
      <c r="U50" s="3">
        <v>343.90519986995815</v>
      </c>
    </row>
    <row r="51" spans="2:21" x14ac:dyDescent="0.25">
      <c r="B51" t="s">
        <v>259</v>
      </c>
      <c r="C51" t="s">
        <v>259</v>
      </c>
      <c r="D51" t="s">
        <v>137</v>
      </c>
      <c r="E51" t="s">
        <v>308</v>
      </c>
      <c r="F51" s="3">
        <v>372.29089143597002</v>
      </c>
      <c r="G51" s="3">
        <v>372.29089143597002</v>
      </c>
      <c r="H51" s="3">
        <v>405.65297063555602</v>
      </c>
      <c r="I51" s="3">
        <v>388.61411506886202</v>
      </c>
      <c r="J51" s="3">
        <v>356.653243195659</v>
      </c>
      <c r="K51" s="3">
        <v>356.653243195659</v>
      </c>
      <c r="L51" s="3">
        <v>313.57180514738502</v>
      </c>
      <c r="M51" s="3">
        <v>327.32070558182102</v>
      </c>
      <c r="N51" s="3">
        <v>327.32070558182102</v>
      </c>
      <c r="O51" s="3">
        <v>313.57180514738502</v>
      </c>
      <c r="P51" s="3">
        <v>341.67237618144202</v>
      </c>
      <c r="Q51" s="3">
        <v>300.400358531194</v>
      </c>
      <c r="R51" s="3">
        <v>313.57180514738502</v>
      </c>
      <c r="S51" s="3">
        <v>327.32070558182102</v>
      </c>
      <c r="T51" s="3">
        <v>341.67237618144202</v>
      </c>
      <c r="U51" s="3">
        <v>343.90519986995815</v>
      </c>
    </row>
    <row r="52" spans="2:21" x14ac:dyDescent="0.25">
      <c r="B52" t="s">
        <v>259</v>
      </c>
      <c r="C52" t="s">
        <v>259</v>
      </c>
      <c r="D52" t="s">
        <v>137</v>
      </c>
      <c r="E52" t="s">
        <v>309</v>
      </c>
      <c r="F52" s="3">
        <v>372.29089143597002</v>
      </c>
      <c r="G52" s="3">
        <v>372.29089143597002</v>
      </c>
      <c r="H52" s="3">
        <v>405.65297063555602</v>
      </c>
      <c r="I52" s="3">
        <v>388.61411506886202</v>
      </c>
      <c r="J52" s="3">
        <v>356.653243195659</v>
      </c>
      <c r="K52" s="3">
        <v>356.653243195659</v>
      </c>
      <c r="L52" s="3">
        <v>313.57180514738502</v>
      </c>
      <c r="M52" s="3">
        <v>327.32070558182102</v>
      </c>
      <c r="N52" s="3">
        <v>327.32070558182102</v>
      </c>
      <c r="O52" s="3">
        <v>313.57180514738502</v>
      </c>
      <c r="P52" s="3">
        <v>341.67237618144202</v>
      </c>
      <c r="Q52" s="3">
        <v>300.400358531194</v>
      </c>
      <c r="R52" s="3">
        <v>313.57180514738502</v>
      </c>
      <c r="S52" s="3">
        <v>327.32070558182102</v>
      </c>
      <c r="T52" s="3">
        <v>341.67237618144202</v>
      </c>
      <c r="U52" s="3">
        <v>343.90519986995815</v>
      </c>
    </row>
    <row r="53" spans="2:21" x14ac:dyDescent="0.25">
      <c r="B53" t="s">
        <v>259</v>
      </c>
      <c r="C53" t="s">
        <v>259</v>
      </c>
      <c r="D53" t="s">
        <v>137</v>
      </c>
      <c r="E53" t="s">
        <v>310</v>
      </c>
      <c r="F53" s="3">
        <v>372.29089143597002</v>
      </c>
      <c r="G53" s="3">
        <v>372.29089143597002</v>
      </c>
      <c r="H53" s="3">
        <v>405.65297063555602</v>
      </c>
      <c r="I53" s="3">
        <v>388.61411506886202</v>
      </c>
      <c r="J53" s="3">
        <v>356.653243195659</v>
      </c>
      <c r="K53" s="3">
        <v>356.653243195659</v>
      </c>
      <c r="L53" s="3">
        <v>313.57180514738502</v>
      </c>
      <c r="M53" s="3">
        <v>327.32070558182102</v>
      </c>
      <c r="N53" s="3">
        <v>327.32070558182102</v>
      </c>
      <c r="O53" s="3">
        <v>313.57180514738502</v>
      </c>
      <c r="P53" s="3">
        <v>341.67237618144202</v>
      </c>
      <c r="Q53" s="3">
        <v>300.400358531194</v>
      </c>
      <c r="R53" s="3">
        <v>313.57180514738502</v>
      </c>
      <c r="S53" s="3">
        <v>327.32070558182102</v>
      </c>
      <c r="T53" s="3">
        <v>341.67237618144202</v>
      </c>
      <c r="U53" s="3">
        <v>343.90519986995815</v>
      </c>
    </row>
    <row r="54" spans="2:21" x14ac:dyDescent="0.25">
      <c r="B54" t="s">
        <v>259</v>
      </c>
      <c r="C54" t="s">
        <v>259</v>
      </c>
      <c r="D54" t="s">
        <v>137</v>
      </c>
      <c r="E54" t="s">
        <v>311</v>
      </c>
      <c r="F54" s="3">
        <v>372.29089143597002</v>
      </c>
      <c r="G54" s="3">
        <v>372.29089143597002</v>
      </c>
      <c r="H54" s="3">
        <v>405.65297063555602</v>
      </c>
      <c r="I54" s="3">
        <v>388.61411506886202</v>
      </c>
      <c r="J54" s="3">
        <v>341.67237618144202</v>
      </c>
      <c r="K54" s="3">
        <v>356.653243195659</v>
      </c>
      <c r="L54" s="3">
        <v>313.57180514738502</v>
      </c>
      <c r="M54" s="3">
        <v>327.32070558182102</v>
      </c>
      <c r="N54" s="3">
        <v>327.32070558182102</v>
      </c>
      <c r="O54" s="3">
        <v>313.57180514738502</v>
      </c>
      <c r="P54" s="3">
        <v>341.67237618144202</v>
      </c>
      <c r="Q54" s="3">
        <v>300.400358531194</v>
      </c>
      <c r="R54" s="3">
        <v>313.57180514738502</v>
      </c>
      <c r="S54" s="3">
        <v>327.32070558182102</v>
      </c>
      <c r="T54" s="3">
        <v>341.67237618144202</v>
      </c>
      <c r="U54" s="3">
        <v>342.90647540234369</v>
      </c>
    </row>
    <row r="55" spans="2:21" x14ac:dyDescent="0.25">
      <c r="B55" t="s">
        <v>259</v>
      </c>
      <c r="C55" t="s">
        <v>259</v>
      </c>
      <c r="D55" t="s">
        <v>137</v>
      </c>
      <c r="E55" t="s">
        <v>312</v>
      </c>
      <c r="F55" s="3">
        <v>372.29089143597002</v>
      </c>
      <c r="G55" s="3">
        <v>372.29089143597002</v>
      </c>
      <c r="H55" s="3">
        <v>405.65297063555602</v>
      </c>
      <c r="I55" s="3">
        <v>388.61411506886202</v>
      </c>
      <c r="J55" s="3">
        <v>341.67237618144202</v>
      </c>
      <c r="K55" s="3">
        <v>356.653243195659</v>
      </c>
      <c r="L55" s="3">
        <v>313.57180514738502</v>
      </c>
      <c r="M55" s="3">
        <v>327.32070558182102</v>
      </c>
      <c r="N55" s="3">
        <v>327.32070558182102</v>
      </c>
      <c r="O55" s="3">
        <v>313.57180514738502</v>
      </c>
      <c r="P55" s="3">
        <v>341.67237618144202</v>
      </c>
      <c r="Q55" s="3">
        <v>300.400358531194</v>
      </c>
      <c r="R55" s="3">
        <v>313.57180514738502</v>
      </c>
      <c r="S55" s="3">
        <v>327.32070558182102</v>
      </c>
      <c r="T55" s="3">
        <v>341.67237618144202</v>
      </c>
      <c r="U55" s="3">
        <v>342.90647540234369</v>
      </c>
    </row>
    <row r="56" spans="2:21" x14ac:dyDescent="0.25">
      <c r="B56" t="s">
        <v>0</v>
      </c>
      <c r="F56" s="3">
        <v>336.9655997583987</v>
      </c>
      <c r="G56" s="3">
        <v>268.66786741952552</v>
      </c>
      <c r="H56" s="3">
        <v>420.98914133165073</v>
      </c>
      <c r="I56" s="3">
        <v>345.12721157484435</v>
      </c>
      <c r="J56" s="3">
        <v>230.84068136071664</v>
      </c>
      <c r="K56" s="3">
        <v>226.27909643078553</v>
      </c>
      <c r="L56" s="3">
        <v>156.78590257369251</v>
      </c>
      <c r="M56" s="3">
        <v>163.66035279091054</v>
      </c>
      <c r="N56" s="3">
        <v>163.66035279091054</v>
      </c>
      <c r="O56" s="3">
        <v>156.78590257369251</v>
      </c>
      <c r="P56" s="3">
        <v>170.83618809072098</v>
      </c>
      <c r="Q56" s="3">
        <v>150.19991257673067</v>
      </c>
      <c r="R56" s="3">
        <v>156.78576922925936</v>
      </c>
      <c r="S56" s="3">
        <v>163.66035279091054</v>
      </c>
      <c r="T56" s="3">
        <v>170.83618809072098</v>
      </c>
      <c r="U56" s="3">
        <v>218.80536795889805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AH31"/>
  <sheetViews>
    <sheetView workbookViewId="0">
      <selection activeCell="B7" sqref="B7"/>
    </sheetView>
  </sheetViews>
  <sheetFormatPr defaultRowHeight="15" x14ac:dyDescent="0.25"/>
  <cols>
    <col min="2" max="2" width="22.140625" bestFit="1" customWidth="1"/>
    <col min="3" max="3" width="7.85546875" bestFit="1" customWidth="1"/>
    <col min="4" max="25" width="14.5703125" customWidth="1"/>
    <col min="26" max="26" width="14.5703125" bestFit="1" customWidth="1"/>
    <col min="27" max="33" width="14.5703125" customWidth="1"/>
    <col min="34" max="34" width="12" customWidth="1"/>
    <col min="35" max="222" width="23.42578125" bestFit="1" customWidth="1"/>
    <col min="223" max="223" width="11.28515625" bestFit="1" customWidth="1"/>
  </cols>
  <sheetData>
    <row r="2" spans="2:34" x14ac:dyDescent="0.25">
      <c r="B2" s="1" t="s">
        <v>195</v>
      </c>
      <c r="C2" t="s">
        <v>223</v>
      </c>
    </row>
    <row r="3" spans="2:34" x14ac:dyDescent="0.25">
      <c r="B3" s="1" t="s">
        <v>11</v>
      </c>
      <c r="C3" t="s">
        <v>223</v>
      </c>
    </row>
    <row r="5" spans="2:34" x14ac:dyDescent="0.25">
      <c r="B5" s="1" t="s">
        <v>169</v>
      </c>
      <c r="D5" s="1" t="s">
        <v>170</v>
      </c>
    </row>
    <row r="6" spans="2:34" x14ac:dyDescent="0.25">
      <c r="B6" s="1" t="s">
        <v>15</v>
      </c>
      <c r="C6" s="1" t="s">
        <v>88</v>
      </c>
      <c r="D6" t="s">
        <v>241</v>
      </c>
      <c r="E6" t="s">
        <v>242</v>
      </c>
      <c r="F6" t="s">
        <v>243</v>
      </c>
      <c r="G6" t="s">
        <v>244</v>
      </c>
      <c r="H6" t="s">
        <v>245</v>
      </c>
      <c r="I6" t="s">
        <v>246</v>
      </c>
      <c r="J6" t="s">
        <v>247</v>
      </c>
      <c r="K6" t="s">
        <v>248</v>
      </c>
      <c r="L6" t="s">
        <v>249</v>
      </c>
      <c r="M6" t="s">
        <v>250</v>
      </c>
      <c r="N6" t="s">
        <v>313</v>
      </c>
      <c r="O6" t="s">
        <v>314</v>
      </c>
      <c r="P6" t="s">
        <v>315</v>
      </c>
      <c r="Q6" t="s">
        <v>316</v>
      </c>
      <c r="R6" t="s">
        <v>317</v>
      </c>
      <c r="S6" t="s">
        <v>318</v>
      </c>
      <c r="T6" t="s">
        <v>319</v>
      </c>
      <c r="U6" t="s">
        <v>320</v>
      </c>
      <c r="V6" t="s">
        <v>321</v>
      </c>
      <c r="W6" t="s">
        <v>322</v>
      </c>
      <c r="X6" t="s">
        <v>323</v>
      </c>
      <c r="Y6" t="s">
        <v>324</v>
      </c>
      <c r="Z6" t="s">
        <v>325</v>
      </c>
      <c r="AA6" t="s">
        <v>326</v>
      </c>
      <c r="AB6" t="s">
        <v>327</v>
      </c>
      <c r="AC6" t="s">
        <v>328</v>
      </c>
      <c r="AD6" t="s">
        <v>329</v>
      </c>
      <c r="AE6" t="s">
        <v>330</v>
      </c>
      <c r="AF6" t="s">
        <v>331</v>
      </c>
      <c r="AG6" t="s">
        <v>332</v>
      </c>
      <c r="AH6" t="s">
        <v>0</v>
      </c>
    </row>
    <row r="7" spans="2:34" x14ac:dyDescent="0.25">
      <c r="B7" t="s">
        <v>137</v>
      </c>
      <c r="C7" t="s">
        <v>46</v>
      </c>
      <c r="D7" s="3">
        <v>101.69256127579318</v>
      </c>
      <c r="E7" s="3">
        <v>385.53192241640119</v>
      </c>
      <c r="F7" s="3">
        <v>349.95281472240623</v>
      </c>
      <c r="G7" s="3">
        <v>309.6885894326162</v>
      </c>
      <c r="H7" s="3">
        <v>95.10637913133499</v>
      </c>
      <c r="I7" s="3">
        <v>353.99258569072123</v>
      </c>
      <c r="J7" s="3">
        <v>304.50426215988921</v>
      </c>
      <c r="K7" s="3">
        <v>95.396257579507989</v>
      </c>
      <c r="L7" s="3">
        <v>556.17168404392487</v>
      </c>
      <c r="M7" s="3">
        <v>374.89235376614823</v>
      </c>
      <c r="N7" s="3">
        <v>39.422613207604101</v>
      </c>
      <c r="O7" s="3">
        <v>22.369059868235301</v>
      </c>
      <c r="P7" s="3">
        <v>-18.998106730364501</v>
      </c>
      <c r="Q7" s="3">
        <v>22.369059868235301</v>
      </c>
      <c r="R7" s="3">
        <v>9.9324500921146406</v>
      </c>
      <c r="S7" s="3">
        <v>6.0598588235294102</v>
      </c>
      <c r="T7" s="3">
        <v>22.369059868235301</v>
      </c>
      <c r="U7" s="3">
        <v>7.9292995862151496</v>
      </c>
      <c r="V7" s="3">
        <v>48.472948102311371</v>
      </c>
      <c r="W7" s="3">
        <v>49.796632811438627</v>
      </c>
      <c r="X7" s="3">
        <v>48.473871700116732</v>
      </c>
      <c r="Y7" s="3">
        <v>120.75987532489063</v>
      </c>
      <c r="Z7" s="3">
        <v>108.23935109306443</v>
      </c>
      <c r="AA7" s="3">
        <v>74.515399608876834</v>
      </c>
      <c r="AB7" s="3">
        <v>48.473871700116732</v>
      </c>
      <c r="AC7" s="3">
        <v>99.188092600551798</v>
      </c>
      <c r="AD7" s="3">
        <v>143.95156616919701</v>
      </c>
      <c r="AE7" s="3">
        <v>447.31803928567865</v>
      </c>
      <c r="AF7" s="3">
        <v>363.88965849251258</v>
      </c>
      <c r="AG7" s="3">
        <v>48.473871700116732</v>
      </c>
      <c r="AH7" s="3">
        <v>4639.9358833914193</v>
      </c>
    </row>
    <row r="8" spans="2:34" x14ac:dyDescent="0.25">
      <c r="B8" t="s">
        <v>137</v>
      </c>
      <c r="C8" t="s">
        <v>47</v>
      </c>
      <c r="D8" s="3">
        <v>101.69256127579318</v>
      </c>
      <c r="E8" s="3">
        <v>385.53192241640119</v>
      </c>
      <c r="F8" s="3">
        <v>349.95281472240623</v>
      </c>
      <c r="G8" s="3">
        <v>309.6885894326162</v>
      </c>
      <c r="H8" s="3">
        <v>95.10637913133499</v>
      </c>
      <c r="I8" s="3">
        <v>353.99258569072123</v>
      </c>
      <c r="J8" s="3">
        <v>304.50426215988921</v>
      </c>
      <c r="K8" s="3">
        <v>95.396257579507989</v>
      </c>
      <c r="L8" s="3">
        <v>556.17168404392487</v>
      </c>
      <c r="M8" s="3">
        <v>374.89235376614823</v>
      </c>
      <c r="N8" s="3">
        <v>39.422613207604101</v>
      </c>
      <c r="O8" s="3">
        <v>22.369059868235301</v>
      </c>
      <c r="P8" s="3">
        <v>-18.998106730364501</v>
      </c>
      <c r="Q8" s="3">
        <v>22.369059868235301</v>
      </c>
      <c r="R8" s="3">
        <v>9.9324500921146406</v>
      </c>
      <c r="S8" s="3">
        <v>6.0598588235294102</v>
      </c>
      <c r="T8" s="3">
        <v>22.369059868235301</v>
      </c>
      <c r="U8" s="3">
        <v>7.9292995862151496</v>
      </c>
      <c r="V8" s="3">
        <v>48.472948102311371</v>
      </c>
      <c r="W8" s="3">
        <v>49.796632811438627</v>
      </c>
      <c r="X8" s="3">
        <v>48.473871700116732</v>
      </c>
      <c r="Y8" s="3">
        <v>146.95004540326264</v>
      </c>
      <c r="Z8" s="3">
        <v>108.23935109306443</v>
      </c>
      <c r="AA8" s="3">
        <v>74.515399608876834</v>
      </c>
      <c r="AB8" s="3">
        <v>48.473871700116732</v>
      </c>
      <c r="AC8" s="3">
        <v>99.188092600551798</v>
      </c>
      <c r="AD8" s="3">
        <v>143.95156616919701</v>
      </c>
      <c r="AE8" s="3">
        <v>447.31803928567865</v>
      </c>
      <c r="AF8" s="3">
        <v>363.88965849251258</v>
      </c>
      <c r="AG8" s="3">
        <v>48.473871700116732</v>
      </c>
      <c r="AH8" s="3">
        <v>4666.1260534697913</v>
      </c>
    </row>
    <row r="9" spans="2:34" x14ac:dyDescent="0.25">
      <c r="B9" t="s">
        <v>137</v>
      </c>
      <c r="C9" t="s">
        <v>48</v>
      </c>
      <c r="D9" s="3">
        <v>101.69256127579318</v>
      </c>
      <c r="E9" s="3">
        <v>385.53192241640119</v>
      </c>
      <c r="F9" s="3">
        <v>349.95281472240623</v>
      </c>
      <c r="G9" s="3">
        <v>309.6885894326162</v>
      </c>
      <c r="H9" s="3">
        <v>95.10637913133499</v>
      </c>
      <c r="I9" s="3">
        <v>353.99258569072123</v>
      </c>
      <c r="J9" s="3">
        <v>304.50426215988921</v>
      </c>
      <c r="K9" s="3">
        <v>95.396257579507989</v>
      </c>
      <c r="L9" s="3">
        <v>556.17168404392487</v>
      </c>
      <c r="M9" s="3">
        <v>374.89235376614823</v>
      </c>
      <c r="N9" s="3">
        <v>39.422613207604101</v>
      </c>
      <c r="O9" s="3">
        <v>22.369059868235301</v>
      </c>
      <c r="P9" s="3">
        <v>-18.998106730364501</v>
      </c>
      <c r="Q9" s="3">
        <v>22.369059868235301</v>
      </c>
      <c r="R9" s="3">
        <v>9.9324500921146406</v>
      </c>
      <c r="S9" s="3">
        <v>6.0598588235294102</v>
      </c>
      <c r="T9" s="3">
        <v>22.369059868235301</v>
      </c>
      <c r="U9" s="3">
        <v>7.9292995862151496</v>
      </c>
      <c r="V9" s="3">
        <v>48.472948102311371</v>
      </c>
      <c r="W9" s="3">
        <v>49.796632811438627</v>
      </c>
      <c r="X9" s="3">
        <v>57.603977490629205</v>
      </c>
      <c r="Y9" s="3">
        <v>146.95004540326264</v>
      </c>
      <c r="Z9" s="3">
        <v>108.23935109306443</v>
      </c>
      <c r="AA9" s="3">
        <v>74.515399608876834</v>
      </c>
      <c r="AB9" s="3">
        <v>48.473871700116732</v>
      </c>
      <c r="AC9" s="3">
        <v>99.188092600551798</v>
      </c>
      <c r="AD9" s="3">
        <v>110.21689554240101</v>
      </c>
      <c r="AE9" s="3">
        <v>447.31803928567865</v>
      </c>
      <c r="AF9" s="3">
        <v>363.88965849251258</v>
      </c>
      <c r="AG9" s="3">
        <v>48.473871700116732</v>
      </c>
      <c r="AH9" s="3">
        <v>4641.5214886335079</v>
      </c>
    </row>
    <row r="10" spans="2:34" x14ac:dyDescent="0.25">
      <c r="B10" t="s">
        <v>137</v>
      </c>
      <c r="C10" t="s">
        <v>49</v>
      </c>
      <c r="D10" s="3">
        <v>101.69256127579318</v>
      </c>
      <c r="E10" s="3">
        <v>385.53192241640119</v>
      </c>
      <c r="F10" s="3">
        <v>349.95281472240623</v>
      </c>
      <c r="G10" s="3">
        <v>309.6885894326162</v>
      </c>
      <c r="H10" s="3">
        <v>95.10637913133499</v>
      </c>
      <c r="I10" s="3">
        <v>355.89687058841923</v>
      </c>
      <c r="J10" s="3">
        <v>304.50426215988921</v>
      </c>
      <c r="K10" s="3">
        <v>95.396257579507989</v>
      </c>
      <c r="L10" s="3">
        <v>556.17168404392487</v>
      </c>
      <c r="M10" s="3">
        <v>374.89235376614823</v>
      </c>
      <c r="N10" s="3">
        <v>39.422613207604101</v>
      </c>
      <c r="O10" s="3">
        <v>22.369059868235301</v>
      </c>
      <c r="P10" s="3">
        <v>5.0476063496271797</v>
      </c>
      <c r="Q10" s="3">
        <v>22.369059868235301</v>
      </c>
      <c r="R10" s="3">
        <v>9.9324500921146406</v>
      </c>
      <c r="S10" s="3">
        <v>6.0598588235294102</v>
      </c>
      <c r="T10" s="3">
        <v>22.369059868235301</v>
      </c>
      <c r="U10" s="3">
        <v>7.9292995862151496</v>
      </c>
      <c r="V10" s="3">
        <v>48.472948102311371</v>
      </c>
      <c r="W10" s="3">
        <v>49.796632811438627</v>
      </c>
      <c r="X10" s="3">
        <v>64.615884559041803</v>
      </c>
      <c r="Y10" s="3">
        <v>146.95004540326264</v>
      </c>
      <c r="Z10" s="3">
        <v>108.23935109306443</v>
      </c>
      <c r="AA10" s="3">
        <v>74.515399608876834</v>
      </c>
      <c r="AB10" s="3">
        <v>48.473871700116732</v>
      </c>
      <c r="AC10" s="3">
        <v>99.188092600551798</v>
      </c>
      <c r="AD10" s="3">
        <v>143.95156616919701</v>
      </c>
      <c r="AE10" s="3">
        <v>447.31803928567865</v>
      </c>
      <c r="AF10" s="3">
        <v>363.88965849251258</v>
      </c>
      <c r="AG10" s="3">
        <v>181.92774866524672</v>
      </c>
      <c r="AH10" s="3">
        <v>4841.6719412715356</v>
      </c>
    </row>
    <row r="11" spans="2:34" x14ac:dyDescent="0.25">
      <c r="B11" t="s">
        <v>137</v>
      </c>
      <c r="C11" t="s">
        <v>50</v>
      </c>
      <c r="D11" s="3">
        <v>104.90437013729425</v>
      </c>
      <c r="E11" s="3">
        <v>385.53192241640119</v>
      </c>
      <c r="F11" s="3">
        <v>349.95281472240623</v>
      </c>
      <c r="G11" s="3">
        <v>309.6885894326162</v>
      </c>
      <c r="H11" s="3">
        <v>95.10637913133499</v>
      </c>
      <c r="I11" s="3">
        <v>393.31462645751679</v>
      </c>
      <c r="J11" s="3">
        <v>304.50426215988921</v>
      </c>
      <c r="K11" s="3">
        <v>95.396257579507989</v>
      </c>
      <c r="L11" s="3">
        <v>556.17168404392487</v>
      </c>
      <c r="M11" s="3">
        <v>374.89235376614823</v>
      </c>
      <c r="N11" s="3">
        <v>39.422613207604101</v>
      </c>
      <c r="O11" s="3">
        <v>120.01029687872723</v>
      </c>
      <c r="P11" s="3">
        <v>5.0476063496271797</v>
      </c>
      <c r="Q11" s="3">
        <v>22.369059868235301</v>
      </c>
      <c r="R11" s="3">
        <v>9.9324500921146406</v>
      </c>
      <c r="S11" s="3">
        <v>6.0598588235294102</v>
      </c>
      <c r="T11" s="3">
        <v>22.369059868235301</v>
      </c>
      <c r="U11" s="3">
        <v>7.9292995862151496</v>
      </c>
      <c r="V11" s="3">
        <v>172.28507831720927</v>
      </c>
      <c r="W11" s="3">
        <v>49.796632811438627</v>
      </c>
      <c r="X11" s="3">
        <v>64.615884559041803</v>
      </c>
      <c r="Y11" s="3">
        <v>146.95004540326264</v>
      </c>
      <c r="Z11" s="3">
        <v>108.23935109306443</v>
      </c>
      <c r="AA11" s="3">
        <v>74.515399608876834</v>
      </c>
      <c r="AB11" s="3">
        <v>165.78573580632164</v>
      </c>
      <c r="AC11" s="3">
        <v>99.188092600551798</v>
      </c>
      <c r="AD11" s="3">
        <v>143.95156616919701</v>
      </c>
      <c r="AE11" s="3">
        <v>447.31803928567865</v>
      </c>
      <c r="AF11" s="3">
        <v>363.88965849251258</v>
      </c>
      <c r="AG11" s="3">
        <v>181.92774866524672</v>
      </c>
      <c r="AH11" s="3">
        <v>5221.0667373337292</v>
      </c>
    </row>
    <row r="12" spans="2:34" x14ac:dyDescent="0.25">
      <c r="B12" t="s">
        <v>137</v>
      </c>
      <c r="C12" t="s">
        <v>51</v>
      </c>
      <c r="D12" s="3">
        <v>160.3900844722917</v>
      </c>
      <c r="E12" s="3">
        <v>385.53192241640119</v>
      </c>
      <c r="F12" s="3">
        <v>349.95281472240623</v>
      </c>
      <c r="G12" s="3">
        <v>309.6885894326162</v>
      </c>
      <c r="H12" s="3">
        <v>95.10637913133499</v>
      </c>
      <c r="I12" s="3">
        <v>393.31462645751679</v>
      </c>
      <c r="J12" s="3">
        <v>304.50426215988921</v>
      </c>
      <c r="K12" s="3">
        <v>95.396257579507989</v>
      </c>
      <c r="L12" s="3">
        <v>556.17168404392487</v>
      </c>
      <c r="M12" s="3">
        <v>385.53192241640119</v>
      </c>
      <c r="N12" s="3">
        <v>39.422613207604101</v>
      </c>
      <c r="O12" s="3">
        <v>125.18896410265464</v>
      </c>
      <c r="P12" s="3">
        <v>22.369059868235301</v>
      </c>
      <c r="Q12" s="3">
        <v>22.369059868235301</v>
      </c>
      <c r="R12" s="3">
        <v>26.241651136820529</v>
      </c>
      <c r="S12" s="3">
        <v>22.369059868235301</v>
      </c>
      <c r="T12" s="3">
        <v>22.369059868235301</v>
      </c>
      <c r="U12" s="3">
        <v>7.9292995862151496</v>
      </c>
      <c r="V12" s="3">
        <v>198.67821868513528</v>
      </c>
      <c r="W12" s="3">
        <v>78.400505847818295</v>
      </c>
      <c r="X12" s="3">
        <v>64.615884559041803</v>
      </c>
      <c r="Y12" s="3">
        <v>162.40898269458464</v>
      </c>
      <c r="Z12" s="3">
        <v>108.23935109306443</v>
      </c>
      <c r="AA12" s="3">
        <v>74.515399608876834</v>
      </c>
      <c r="AB12" s="3">
        <v>197.28145301920568</v>
      </c>
      <c r="AC12" s="3">
        <v>103.06068386913702</v>
      </c>
      <c r="AD12" s="3">
        <v>143.95156616919701</v>
      </c>
      <c r="AE12" s="3">
        <v>463.46005214460371</v>
      </c>
      <c r="AF12" s="3">
        <v>487.94856770505362</v>
      </c>
      <c r="AG12" s="3">
        <v>380.03167135143769</v>
      </c>
      <c r="AH12" s="3">
        <v>5786.4396470856809</v>
      </c>
    </row>
    <row r="13" spans="2:34" x14ac:dyDescent="0.25">
      <c r="B13" t="s">
        <v>137</v>
      </c>
      <c r="C13" t="s">
        <v>196</v>
      </c>
      <c r="D13" s="3">
        <v>222.06437784555499</v>
      </c>
      <c r="E13" s="3">
        <v>385.53200544081585</v>
      </c>
      <c r="F13" s="3">
        <v>357.73095332156288</v>
      </c>
      <c r="G13" s="3">
        <v>309.68867245703086</v>
      </c>
      <c r="H13" s="3">
        <v>95.106462155749711</v>
      </c>
      <c r="I13" s="3">
        <v>556.81755178500396</v>
      </c>
      <c r="J13" s="3">
        <v>351.62864581771623</v>
      </c>
      <c r="K13" s="3">
        <v>95.396257579507989</v>
      </c>
      <c r="L13" s="3">
        <v>566.65903025669047</v>
      </c>
      <c r="M13" s="3">
        <v>385.53192241640119</v>
      </c>
      <c r="N13" s="3">
        <v>116.13770561014201</v>
      </c>
      <c r="O13" s="3">
        <v>345.16450109366673</v>
      </c>
      <c r="P13" s="3">
        <v>22.369059868235301</v>
      </c>
      <c r="Q13" s="3">
        <v>22.369059868235301</v>
      </c>
      <c r="R13" s="3">
        <v>26.241651136820529</v>
      </c>
      <c r="S13" s="3">
        <v>22.369059868235301</v>
      </c>
      <c r="T13" s="3">
        <v>22.369059868235301</v>
      </c>
      <c r="U13" s="3">
        <v>7.9292995862151496</v>
      </c>
      <c r="V13" s="3">
        <v>214.82115514186569</v>
      </c>
      <c r="W13" s="3">
        <v>96.923352069860101</v>
      </c>
      <c r="X13" s="3">
        <v>64.615884559041803</v>
      </c>
      <c r="Y13" s="3">
        <v>235.8945922520532</v>
      </c>
      <c r="Z13" s="3">
        <v>488.15436209091837</v>
      </c>
      <c r="AA13" s="3">
        <v>125.95151048602062</v>
      </c>
      <c r="AB13" s="3">
        <v>380.03167135143769</v>
      </c>
      <c r="AC13" s="3">
        <v>153.07820552070862</v>
      </c>
      <c r="AD13" s="3">
        <v>167.15967814182099</v>
      </c>
      <c r="AE13" s="3">
        <v>503.84481104746959</v>
      </c>
      <c r="AF13" s="3">
        <v>528.78489051029339</v>
      </c>
      <c r="AG13" s="3">
        <v>380.03167135143769</v>
      </c>
      <c r="AH13" s="3">
        <v>7250.3970604987462</v>
      </c>
    </row>
    <row r="14" spans="2:34" x14ac:dyDescent="0.25">
      <c r="B14" t="s">
        <v>137</v>
      </c>
      <c r="C14" t="s">
        <v>197</v>
      </c>
      <c r="D14" s="3">
        <v>196.78426358333968</v>
      </c>
      <c r="E14" s="3">
        <v>392.73491477338172</v>
      </c>
      <c r="F14" s="3">
        <v>364.93386265412875</v>
      </c>
      <c r="G14" s="3">
        <v>369.40957424407691</v>
      </c>
      <c r="H14" s="3">
        <v>127.1221403129381</v>
      </c>
      <c r="I14" s="3">
        <v>476.95568270719036</v>
      </c>
      <c r="J14" s="3">
        <v>358.5290329583143</v>
      </c>
      <c r="K14" s="3">
        <v>102.29664472010606</v>
      </c>
      <c r="L14" s="3">
        <v>594.86562320301823</v>
      </c>
      <c r="M14" s="3">
        <v>392.43230955699926</v>
      </c>
      <c r="N14" s="3">
        <v>116.13770561014201</v>
      </c>
      <c r="O14" s="3">
        <v>503.632588342502</v>
      </c>
      <c r="P14" s="3">
        <v>22.369059868235301</v>
      </c>
      <c r="Q14" s="3">
        <v>22.369059868235301</v>
      </c>
      <c r="R14" s="3">
        <v>26.241651136820529</v>
      </c>
      <c r="S14" s="3">
        <v>22.369059868235301</v>
      </c>
      <c r="T14" s="3">
        <v>22.369059868235301</v>
      </c>
      <c r="U14" s="3">
        <v>7.9292995862151496</v>
      </c>
      <c r="V14" s="3">
        <v>280.30149566207717</v>
      </c>
      <c r="W14" s="3">
        <v>96.923352069860101</v>
      </c>
      <c r="X14" s="3">
        <v>64.615884559041803</v>
      </c>
      <c r="Y14" s="3">
        <v>383.88830127920238</v>
      </c>
      <c r="Z14" s="3">
        <v>488.15436209091837</v>
      </c>
      <c r="AA14" s="3">
        <v>157.3512981155653</v>
      </c>
      <c r="AB14" s="3">
        <v>404.72598129775236</v>
      </c>
      <c r="AC14" s="3">
        <v>391.13004695145679</v>
      </c>
      <c r="AD14" s="3">
        <v>373.83855316923569</v>
      </c>
      <c r="AE14" s="3">
        <v>503.84481104746959</v>
      </c>
      <c r="AF14" s="3">
        <v>528.78489051029339</v>
      </c>
      <c r="AG14" s="3">
        <v>456.19538464486362</v>
      </c>
      <c r="AH14" s="3">
        <v>8249.2358942598512</v>
      </c>
    </row>
    <row r="15" spans="2:34" x14ac:dyDescent="0.25">
      <c r="B15" t="s">
        <v>137</v>
      </c>
      <c r="C15" t="s">
        <v>198</v>
      </c>
      <c r="D15" s="3">
        <v>229.21011169476998</v>
      </c>
      <c r="E15" s="3">
        <v>440.87347674866362</v>
      </c>
      <c r="F15" s="3">
        <v>479.48017707273198</v>
      </c>
      <c r="G15" s="3">
        <v>460.47012893547299</v>
      </c>
      <c r="H15" s="3">
        <v>127.1221403129381</v>
      </c>
      <c r="I15" s="3">
        <v>508.01964519794097</v>
      </c>
      <c r="J15" s="3">
        <v>474.11636859925602</v>
      </c>
      <c r="K15" s="3">
        <v>217.8839803610478</v>
      </c>
      <c r="L15" s="3">
        <v>958.31400022358002</v>
      </c>
      <c r="M15" s="3">
        <v>508.01964519794097</v>
      </c>
      <c r="N15" s="3">
        <v>116.13770561014201</v>
      </c>
      <c r="O15" s="3">
        <v>426.59464618837001</v>
      </c>
      <c r="P15" s="3">
        <v>22.369059868235301</v>
      </c>
      <c r="Q15" s="3">
        <v>22.369059868235301</v>
      </c>
      <c r="R15" s="3">
        <v>26.241651136820529</v>
      </c>
      <c r="S15" s="3">
        <v>22.369059868235301</v>
      </c>
      <c r="T15" s="3">
        <v>22.369059868235301</v>
      </c>
      <c r="U15" s="3">
        <v>7.9292995862151496</v>
      </c>
      <c r="V15" s="3">
        <v>271.46778121805858</v>
      </c>
      <c r="W15" s="3">
        <v>96.923352069860101</v>
      </c>
      <c r="X15" s="3">
        <v>64.615884559041803</v>
      </c>
      <c r="Y15" s="3">
        <v>383.88830127920238</v>
      </c>
      <c r="Z15" s="3">
        <v>488.15436209091837</v>
      </c>
      <c r="AA15" s="3">
        <v>157.3512981155653</v>
      </c>
      <c r="AB15" s="3">
        <v>404.72598129775236</v>
      </c>
      <c r="AC15" s="3">
        <v>343.05197847396266</v>
      </c>
      <c r="AD15" s="3">
        <v>167.15967814182099</v>
      </c>
      <c r="AE15" s="3">
        <v>503.84481104746959</v>
      </c>
      <c r="AF15" s="3">
        <v>528.78489051029339</v>
      </c>
      <c r="AG15" s="3">
        <v>380.03167135143769</v>
      </c>
      <c r="AH15" s="3">
        <v>8859.8892064942138</v>
      </c>
    </row>
    <row r="16" spans="2:34" x14ac:dyDescent="0.25">
      <c r="B16" t="s">
        <v>137</v>
      </c>
      <c r="C16" t="s">
        <v>199</v>
      </c>
      <c r="D16" s="3">
        <v>223.44186805137701</v>
      </c>
      <c r="E16" s="3">
        <v>585.04795376040397</v>
      </c>
      <c r="F16" s="3">
        <v>479.48017707273198</v>
      </c>
      <c r="G16" s="3">
        <v>460.47012893547299</v>
      </c>
      <c r="H16" s="3">
        <v>290.98119590735314</v>
      </c>
      <c r="I16" s="3">
        <v>508.01964519794097</v>
      </c>
      <c r="J16" s="3">
        <v>534.87783050598898</v>
      </c>
      <c r="K16" s="3">
        <v>129.6154450300393</v>
      </c>
      <c r="L16" s="3">
        <v>958.31400022358002</v>
      </c>
      <c r="M16" s="3">
        <v>629.31033197045394</v>
      </c>
      <c r="N16" s="3">
        <v>116.13770561014201</v>
      </c>
      <c r="O16" s="3">
        <v>372.67504546808038</v>
      </c>
      <c r="P16" s="3">
        <v>22.369059868235301</v>
      </c>
      <c r="Q16" s="3">
        <v>22.369059868235301</v>
      </c>
      <c r="R16" s="3">
        <v>26.241651136820529</v>
      </c>
      <c r="S16" s="3">
        <v>22.369059868235301</v>
      </c>
      <c r="T16" s="3">
        <v>22.369059868235301</v>
      </c>
      <c r="U16" s="3">
        <v>7.9292995862151496</v>
      </c>
      <c r="V16" s="3">
        <v>214.82115514186569</v>
      </c>
      <c r="W16" s="3">
        <v>96.923352069860101</v>
      </c>
      <c r="X16" s="3">
        <v>64.615884559041803</v>
      </c>
      <c r="Y16" s="3">
        <v>239.51546508818041</v>
      </c>
      <c r="Z16" s="3">
        <v>488.15436209091837</v>
      </c>
      <c r="AA16" s="3">
        <v>157.3512981155653</v>
      </c>
      <c r="AB16" s="3">
        <v>404.34767386965859</v>
      </c>
      <c r="AC16" s="3">
        <v>343.05197847396266</v>
      </c>
      <c r="AD16" s="3">
        <v>317.49709815465798</v>
      </c>
      <c r="AE16" s="3">
        <v>463.46005214460371</v>
      </c>
      <c r="AF16" s="3">
        <v>528.78489051029339</v>
      </c>
      <c r="AG16" s="3">
        <v>380.03167135143769</v>
      </c>
      <c r="AH16" s="3">
        <v>9110.5733994995862</v>
      </c>
    </row>
    <row r="17" spans="2:34" x14ac:dyDescent="0.25">
      <c r="B17" t="s">
        <v>137</v>
      </c>
      <c r="C17" t="s">
        <v>200</v>
      </c>
      <c r="D17" s="3">
        <v>223.44186805137701</v>
      </c>
      <c r="E17" s="3">
        <v>585.04795376040397</v>
      </c>
      <c r="F17" s="3">
        <v>479.48017707273198</v>
      </c>
      <c r="G17" s="3">
        <v>460.47012893547299</v>
      </c>
      <c r="H17" s="3">
        <v>290.98119590735314</v>
      </c>
      <c r="I17" s="3">
        <v>393.31462645751679</v>
      </c>
      <c r="J17" s="3">
        <v>471.302248317519</v>
      </c>
      <c r="K17" s="3">
        <v>103.17896162062361</v>
      </c>
      <c r="L17" s="3">
        <v>810.15922758159195</v>
      </c>
      <c r="M17" s="3">
        <v>393.31462645751679</v>
      </c>
      <c r="N17" s="3">
        <v>116.13770561014201</v>
      </c>
      <c r="O17" s="3">
        <v>345.16450109366673</v>
      </c>
      <c r="P17" s="3">
        <v>22.369059868235301</v>
      </c>
      <c r="Q17" s="3">
        <v>22.369059868235301</v>
      </c>
      <c r="R17" s="3">
        <v>26.241651136820529</v>
      </c>
      <c r="S17" s="3">
        <v>22.369059868235301</v>
      </c>
      <c r="T17" s="3">
        <v>22.369059868235301</v>
      </c>
      <c r="U17" s="3">
        <v>7.9292995862151496</v>
      </c>
      <c r="V17" s="3">
        <v>214.82115514186569</v>
      </c>
      <c r="W17" s="3">
        <v>84.690902300999994</v>
      </c>
      <c r="X17" s="3">
        <v>64.615884559041803</v>
      </c>
      <c r="Y17" s="3">
        <v>235.8945922520532</v>
      </c>
      <c r="Z17" s="3">
        <v>488.15436209091837</v>
      </c>
      <c r="AA17" s="3">
        <v>157.3512981155653</v>
      </c>
      <c r="AB17" s="3">
        <v>380.03167135143769</v>
      </c>
      <c r="AC17" s="3">
        <v>391.13004695145679</v>
      </c>
      <c r="AD17" s="3">
        <v>167.15967814182099</v>
      </c>
      <c r="AE17" s="3">
        <v>463.46005214460371</v>
      </c>
      <c r="AF17" s="3">
        <v>487.94856770505362</v>
      </c>
      <c r="AG17" s="3">
        <v>380.03167135143769</v>
      </c>
      <c r="AH17" s="3">
        <v>8310.9302931681468</v>
      </c>
    </row>
    <row r="18" spans="2:34" x14ac:dyDescent="0.25">
      <c r="B18" t="s">
        <v>137</v>
      </c>
      <c r="C18" t="s">
        <v>240</v>
      </c>
      <c r="D18" s="3">
        <v>111.5706861019667</v>
      </c>
      <c r="E18" s="3">
        <v>585.04795376040397</v>
      </c>
      <c r="F18" s="3">
        <v>479.48017707273198</v>
      </c>
      <c r="G18" s="3">
        <v>460.47012893547299</v>
      </c>
      <c r="H18" s="3">
        <v>290.98119590735314</v>
      </c>
      <c r="I18" s="3">
        <v>355.89687058841923</v>
      </c>
      <c r="J18" s="3">
        <v>534.87783050598898</v>
      </c>
      <c r="K18" s="3">
        <v>97.008432275131767</v>
      </c>
      <c r="L18" s="3">
        <v>810.15922758159195</v>
      </c>
      <c r="M18" s="3">
        <v>620.14278069758097</v>
      </c>
      <c r="N18" s="3">
        <v>116.13770561014201</v>
      </c>
      <c r="O18" s="3">
        <v>329.02248823474167</v>
      </c>
      <c r="P18" s="3">
        <v>22.369059868235301</v>
      </c>
      <c r="Q18" s="3">
        <v>22.369059868235301</v>
      </c>
      <c r="R18" s="3">
        <v>26.241651136820529</v>
      </c>
      <c r="S18" s="3">
        <v>22.369059868235301</v>
      </c>
      <c r="T18" s="3">
        <v>22.369059868235301</v>
      </c>
      <c r="U18" s="3">
        <v>7.9292995862151496</v>
      </c>
      <c r="V18" s="3">
        <v>214.82115514186569</v>
      </c>
      <c r="W18" s="3">
        <v>84.690902300999994</v>
      </c>
      <c r="X18" s="3">
        <v>64.615884559041803</v>
      </c>
      <c r="Y18" s="3">
        <v>203.00118577543421</v>
      </c>
      <c r="Z18" s="3">
        <v>149.07567389830419</v>
      </c>
      <c r="AA18" s="3">
        <v>157.3512981155653</v>
      </c>
      <c r="AB18" s="3">
        <v>380.03167135143769</v>
      </c>
      <c r="AC18" s="3">
        <v>391.13004695145679</v>
      </c>
      <c r="AD18" s="3">
        <v>167.15967814182099</v>
      </c>
      <c r="AE18" s="3">
        <v>447.31803928567865</v>
      </c>
      <c r="AF18" s="3">
        <v>487.94856770505362</v>
      </c>
      <c r="AG18" s="3">
        <v>380.03167135143769</v>
      </c>
      <c r="AH18" s="3">
        <v>8041.6184420455984</v>
      </c>
    </row>
    <row r="19" spans="2:34" x14ac:dyDescent="0.25">
      <c r="B19" t="s">
        <v>137</v>
      </c>
      <c r="C19" t="s">
        <v>301</v>
      </c>
      <c r="D19" s="3">
        <v>111.5706861019667</v>
      </c>
      <c r="E19" s="3">
        <v>510.96961299073905</v>
      </c>
      <c r="F19" s="3">
        <v>479.48017707273198</v>
      </c>
      <c r="G19" s="3">
        <v>460.47012893547299</v>
      </c>
      <c r="H19" s="3">
        <v>290.98119590735314</v>
      </c>
      <c r="I19" s="3">
        <v>355.89687058841923</v>
      </c>
      <c r="J19" s="3">
        <v>359.41134985883184</v>
      </c>
      <c r="K19" s="3">
        <v>103.17896162062361</v>
      </c>
      <c r="L19" s="3">
        <v>810.15922758159195</v>
      </c>
      <c r="M19" s="3">
        <v>393.31462645751679</v>
      </c>
      <c r="N19" s="3">
        <v>116.13770561014201</v>
      </c>
      <c r="O19" s="3">
        <v>125.18896410265464</v>
      </c>
      <c r="P19" s="3">
        <v>22.369059868235301</v>
      </c>
      <c r="Q19" s="3">
        <v>22.369059868235301</v>
      </c>
      <c r="R19" s="3">
        <v>26.241651136820529</v>
      </c>
      <c r="S19" s="3">
        <v>22.369059868235301</v>
      </c>
      <c r="T19" s="3">
        <v>22.369059868235301</v>
      </c>
      <c r="U19" s="3">
        <v>7.9292995862151496</v>
      </c>
      <c r="V19" s="3">
        <v>214.82115514186569</v>
      </c>
      <c r="W19" s="3">
        <v>78.400782625143393</v>
      </c>
      <c r="X19" s="3">
        <v>64.615884559041803</v>
      </c>
      <c r="Y19" s="3">
        <v>203.00118577543421</v>
      </c>
      <c r="Z19" s="3">
        <v>149.07567389830419</v>
      </c>
      <c r="AA19" s="3">
        <v>157.3512981155653</v>
      </c>
      <c r="AB19" s="3">
        <v>380.03167135143769</v>
      </c>
      <c r="AC19" s="3">
        <v>391.13004695145679</v>
      </c>
      <c r="AD19" s="3">
        <v>143.95156616919701</v>
      </c>
      <c r="AE19" s="3">
        <v>447.31803928567865</v>
      </c>
      <c r="AF19" s="3">
        <v>487.94856770505362</v>
      </c>
      <c r="AG19" s="3">
        <v>181.92774866524672</v>
      </c>
      <c r="AH19" s="3">
        <v>7139.9803172674447</v>
      </c>
    </row>
    <row r="20" spans="2:34" x14ac:dyDescent="0.25">
      <c r="B20" t="s">
        <v>137</v>
      </c>
      <c r="C20" t="s">
        <v>302</v>
      </c>
      <c r="D20" s="3">
        <v>111.5706861019667</v>
      </c>
      <c r="E20" s="3">
        <v>395.41004724257465</v>
      </c>
      <c r="F20" s="3">
        <v>367.60899512332168</v>
      </c>
      <c r="G20" s="3">
        <v>371.52875095350021</v>
      </c>
      <c r="H20" s="3">
        <v>127.1221403129381</v>
      </c>
      <c r="I20" s="3">
        <v>365.36003463450413</v>
      </c>
      <c r="J20" s="3">
        <v>361.09180986380113</v>
      </c>
      <c r="K20" s="3">
        <v>217.8839803610478</v>
      </c>
      <c r="L20" s="3">
        <v>605.34144195237798</v>
      </c>
      <c r="M20" s="3">
        <v>394.99508646248609</v>
      </c>
      <c r="N20" s="3">
        <v>116.13770561014201</v>
      </c>
      <c r="O20" s="3">
        <v>125.18896410265464</v>
      </c>
      <c r="P20" s="3">
        <v>22.369059868235301</v>
      </c>
      <c r="Q20" s="3">
        <v>22.369059868235301</v>
      </c>
      <c r="R20" s="3">
        <v>26.241651136820529</v>
      </c>
      <c r="S20" s="3">
        <v>22.369059868235301</v>
      </c>
      <c r="T20" s="3">
        <v>22.369059868235301</v>
      </c>
      <c r="U20" s="3">
        <v>7.9292995862151496</v>
      </c>
      <c r="V20" s="3">
        <v>214.82115514186569</v>
      </c>
      <c r="W20" s="3">
        <v>78.400782625143393</v>
      </c>
      <c r="X20" s="3">
        <v>64.615884559041803</v>
      </c>
      <c r="Y20" s="3">
        <v>203.00118577543421</v>
      </c>
      <c r="Z20" s="3">
        <v>108.23935109306443</v>
      </c>
      <c r="AA20" s="3">
        <v>157.3512981155653</v>
      </c>
      <c r="AB20" s="3">
        <v>197.28145301920568</v>
      </c>
      <c r="AC20" s="3">
        <v>391.13004695145679</v>
      </c>
      <c r="AD20" s="3">
        <v>143.95156616919701</v>
      </c>
      <c r="AE20" s="3">
        <v>447.31803928567865</v>
      </c>
      <c r="AF20" s="3">
        <v>487.94856770505362</v>
      </c>
      <c r="AG20" s="3">
        <v>181.92774866524672</v>
      </c>
      <c r="AH20" s="3">
        <v>6358.8739120232431</v>
      </c>
    </row>
    <row r="21" spans="2:34" x14ac:dyDescent="0.25">
      <c r="B21" t="s">
        <v>137</v>
      </c>
      <c r="C21" t="s">
        <v>303</v>
      </c>
      <c r="D21" s="3">
        <v>111.5706861019667</v>
      </c>
      <c r="E21" s="3">
        <v>395.41004724257465</v>
      </c>
      <c r="F21" s="3">
        <v>367.60899512332168</v>
      </c>
      <c r="G21" s="3">
        <v>376.43985909833333</v>
      </c>
      <c r="H21" s="3">
        <v>127.1221403129381</v>
      </c>
      <c r="I21" s="3">
        <v>363.45574973680613</v>
      </c>
      <c r="J21" s="3">
        <v>361.09180986380113</v>
      </c>
      <c r="K21" s="3">
        <v>253.82431502411779</v>
      </c>
      <c r="L21" s="3">
        <v>605.34144195237798</v>
      </c>
      <c r="M21" s="3">
        <v>394.99508646248609</v>
      </c>
      <c r="N21" s="3">
        <v>116.13770561014201</v>
      </c>
      <c r="O21" s="3">
        <v>120.01029687872723</v>
      </c>
      <c r="P21" s="3">
        <v>22.369059868235301</v>
      </c>
      <c r="Q21" s="3">
        <v>22.369059868235301</v>
      </c>
      <c r="R21" s="3">
        <v>26.241651136820529</v>
      </c>
      <c r="S21" s="3">
        <v>22.369059868235301</v>
      </c>
      <c r="T21" s="3">
        <v>22.369059868235301</v>
      </c>
      <c r="U21" s="3">
        <v>7.9292995862151496</v>
      </c>
      <c r="V21" s="3">
        <v>214.82115514186569</v>
      </c>
      <c r="W21" s="3">
        <v>78.400782625143393</v>
      </c>
      <c r="X21" s="3">
        <v>64.615884559041803</v>
      </c>
      <c r="Y21" s="3">
        <v>178.55099555350972</v>
      </c>
      <c r="Z21" s="3">
        <v>108.23935109306443</v>
      </c>
      <c r="AA21" s="3">
        <v>157.3512981155653</v>
      </c>
      <c r="AB21" s="3">
        <v>197.28145301920568</v>
      </c>
      <c r="AC21" s="3">
        <v>391.13004695145679</v>
      </c>
      <c r="AD21" s="3">
        <v>143.95156616919701</v>
      </c>
      <c r="AE21" s="3">
        <v>447.31803928567865</v>
      </c>
      <c r="AF21" s="3">
        <v>487.94856770505362</v>
      </c>
      <c r="AG21" s="3">
        <v>181.92774866524672</v>
      </c>
      <c r="AH21" s="3">
        <v>6368.1922124875973</v>
      </c>
    </row>
    <row r="22" spans="2:34" x14ac:dyDescent="0.25">
      <c r="B22" t="s">
        <v>137</v>
      </c>
      <c r="C22" t="s">
        <v>304</v>
      </c>
      <c r="D22" s="3">
        <v>111.5706861019667</v>
      </c>
      <c r="E22" s="3">
        <v>395.41004724257465</v>
      </c>
      <c r="F22" s="3">
        <v>479.48017707273198</v>
      </c>
      <c r="G22" s="3">
        <v>460.47012893547299</v>
      </c>
      <c r="H22" s="3">
        <v>127.1221403129381</v>
      </c>
      <c r="I22" s="3">
        <v>365.36003463450413</v>
      </c>
      <c r="J22" s="3">
        <v>474.11636859925602</v>
      </c>
      <c r="K22" s="3">
        <v>217.8839803610478</v>
      </c>
      <c r="L22" s="3">
        <v>689.129101640964</v>
      </c>
      <c r="M22" s="3">
        <v>484.88881233373297</v>
      </c>
      <c r="N22" s="3">
        <v>39.422613207604101</v>
      </c>
      <c r="O22" s="3">
        <v>43.295204476189333</v>
      </c>
      <c r="P22" s="3">
        <v>22.369059868235301</v>
      </c>
      <c r="Q22" s="3">
        <v>22.369059868235301</v>
      </c>
      <c r="R22" s="3">
        <v>26.241651136820529</v>
      </c>
      <c r="S22" s="3">
        <v>22.369059868235301</v>
      </c>
      <c r="T22" s="3">
        <v>22.369059868235301</v>
      </c>
      <c r="U22" s="3">
        <v>7.9292995862151496</v>
      </c>
      <c r="V22" s="3">
        <v>214.82115514186569</v>
      </c>
      <c r="W22" s="3">
        <v>62.942419661581994</v>
      </c>
      <c r="X22" s="3">
        <v>64.615884559041803</v>
      </c>
      <c r="Y22" s="3">
        <v>162.40898269458464</v>
      </c>
      <c r="Z22" s="3">
        <v>108.23935109306443</v>
      </c>
      <c r="AA22" s="3">
        <v>157.3512981155653</v>
      </c>
      <c r="AB22" s="3">
        <v>197.28145301920568</v>
      </c>
      <c r="AC22" s="3">
        <v>343.05197847396266</v>
      </c>
      <c r="AD22" s="3">
        <v>143.95156616919701</v>
      </c>
      <c r="AE22" s="3">
        <v>463.46005214460371</v>
      </c>
      <c r="AF22" s="3">
        <v>487.94856770505362</v>
      </c>
      <c r="AG22" s="3">
        <v>380.03167135143769</v>
      </c>
      <c r="AH22" s="3">
        <v>6797.9008652441216</v>
      </c>
    </row>
    <row r="23" spans="2:34" x14ac:dyDescent="0.25">
      <c r="B23" t="s">
        <v>137</v>
      </c>
      <c r="C23" t="s">
        <v>305</v>
      </c>
      <c r="D23" s="3">
        <v>160.3900844722917</v>
      </c>
      <c r="E23" s="3">
        <v>585.04795376040397</v>
      </c>
      <c r="F23" s="3">
        <v>479.48017707273198</v>
      </c>
      <c r="G23" s="3">
        <v>460.47012893547299</v>
      </c>
      <c r="H23" s="3">
        <v>290.98119590735314</v>
      </c>
      <c r="I23" s="3">
        <v>384.76720807647621</v>
      </c>
      <c r="J23" s="3">
        <v>419.89370269854851</v>
      </c>
      <c r="K23" s="3">
        <v>291.22390512475681</v>
      </c>
      <c r="L23" s="3">
        <v>929.91428620423198</v>
      </c>
      <c r="M23" s="3">
        <v>453.79697929723346</v>
      </c>
      <c r="N23" s="3">
        <v>39.422613207604101</v>
      </c>
      <c r="O23" s="3">
        <v>43.295204476189333</v>
      </c>
      <c r="P23" s="3">
        <v>22.369059868235301</v>
      </c>
      <c r="Q23" s="3">
        <v>22.369059868235301</v>
      </c>
      <c r="R23" s="3">
        <v>9.9324500921146406</v>
      </c>
      <c r="S23" s="3">
        <v>22.369059868235301</v>
      </c>
      <c r="T23" s="3">
        <v>22.369059868235301</v>
      </c>
      <c r="U23" s="3">
        <v>7.9292995862151496</v>
      </c>
      <c r="V23" s="3">
        <v>214.82115514186569</v>
      </c>
      <c r="W23" s="3">
        <v>49.795709213633266</v>
      </c>
      <c r="X23" s="3">
        <v>64.615884559041803</v>
      </c>
      <c r="Y23" s="3">
        <v>162.40898269458464</v>
      </c>
      <c r="Z23" s="3">
        <v>108.23935109306443</v>
      </c>
      <c r="AA23" s="3">
        <v>143.04622425592021</v>
      </c>
      <c r="AB23" s="3">
        <v>197.28145301920568</v>
      </c>
      <c r="AC23" s="3">
        <v>354.62434014408052</v>
      </c>
      <c r="AD23" s="3">
        <v>143.95156616919701</v>
      </c>
      <c r="AE23" s="3">
        <v>463.46005214460371</v>
      </c>
      <c r="AF23" s="3">
        <v>487.94856770505362</v>
      </c>
      <c r="AG23" s="3">
        <v>380.03167135143769</v>
      </c>
      <c r="AH23" s="3">
        <v>7416.2463858762512</v>
      </c>
    </row>
    <row r="24" spans="2:34" x14ac:dyDescent="0.25">
      <c r="B24" t="s">
        <v>137</v>
      </c>
      <c r="C24" t="s">
        <v>306</v>
      </c>
      <c r="D24" s="3">
        <v>311.57142071995486</v>
      </c>
      <c r="E24" s="3">
        <v>585.04795376040397</v>
      </c>
      <c r="F24" s="3">
        <v>570.33638940186495</v>
      </c>
      <c r="G24" s="3">
        <v>519.08744244343802</v>
      </c>
      <c r="H24" s="3">
        <v>284.82809379690013</v>
      </c>
      <c r="I24" s="3">
        <v>597.38333436340497</v>
      </c>
      <c r="J24" s="3">
        <v>534.87783050598898</v>
      </c>
      <c r="K24" s="3">
        <v>291.22390512475681</v>
      </c>
      <c r="L24" s="3">
        <v>958.31400022358002</v>
      </c>
      <c r="M24" s="3">
        <v>629.31033197045394</v>
      </c>
      <c r="N24" s="3">
        <v>39.422613207604101</v>
      </c>
      <c r="O24" s="3">
        <v>39.422613207604101</v>
      </c>
      <c r="P24" s="3">
        <v>22.369059868235301</v>
      </c>
      <c r="Q24" s="3">
        <v>22.369059868235301</v>
      </c>
      <c r="R24" s="3">
        <v>9.9324500921146406</v>
      </c>
      <c r="S24" s="3">
        <v>6.0598588235294102</v>
      </c>
      <c r="T24" s="3">
        <v>22.369059868235301</v>
      </c>
      <c r="U24" s="3">
        <v>7.9292995862151496</v>
      </c>
      <c r="V24" s="3">
        <v>214.82115514186569</v>
      </c>
      <c r="W24" s="3">
        <v>49.795709213633266</v>
      </c>
      <c r="X24" s="3">
        <v>64.615884559041803</v>
      </c>
      <c r="Y24" s="3">
        <v>162.40898269458464</v>
      </c>
      <c r="Z24" s="3">
        <v>108.23935109306443</v>
      </c>
      <c r="AA24" s="3">
        <v>142.09352334494571</v>
      </c>
      <c r="AB24" s="3">
        <v>188.2542913580977</v>
      </c>
      <c r="AC24" s="3">
        <v>391.13004695145679</v>
      </c>
      <c r="AD24" s="3">
        <v>143.95156616919701</v>
      </c>
      <c r="AE24" s="3">
        <v>463.46005214460371</v>
      </c>
      <c r="AF24" s="3">
        <v>509.3768262757124</v>
      </c>
      <c r="AG24" s="3">
        <v>380.03167135143769</v>
      </c>
      <c r="AH24" s="3">
        <v>8270.0337771301583</v>
      </c>
    </row>
    <row r="25" spans="2:34" x14ac:dyDescent="0.25">
      <c r="B25" t="s">
        <v>137</v>
      </c>
      <c r="C25" t="s">
        <v>307</v>
      </c>
      <c r="D25" s="3">
        <v>342.38404718082109</v>
      </c>
      <c r="E25" s="3">
        <v>585.04795376040397</v>
      </c>
      <c r="F25" s="3">
        <v>567.68099871448294</v>
      </c>
      <c r="G25" s="3">
        <v>519.08744244343802</v>
      </c>
      <c r="H25" s="3">
        <v>290.98119590735314</v>
      </c>
      <c r="I25" s="3">
        <v>661.19743242556092</v>
      </c>
      <c r="J25" s="3">
        <v>534.87783050598898</v>
      </c>
      <c r="K25" s="3">
        <v>291.22390512475681</v>
      </c>
      <c r="L25" s="3">
        <v>958.31400022358002</v>
      </c>
      <c r="M25" s="3">
        <v>629.31033197045394</v>
      </c>
      <c r="N25" s="3">
        <v>39.422613207604101</v>
      </c>
      <c r="O25" s="3">
        <v>39.422613207604101</v>
      </c>
      <c r="P25" s="3">
        <v>5.0476063496271797</v>
      </c>
      <c r="Q25" s="3">
        <v>22.369059868235301</v>
      </c>
      <c r="R25" s="3">
        <v>9.9324500921146406</v>
      </c>
      <c r="S25" s="3">
        <v>6.0598588235294102</v>
      </c>
      <c r="T25" s="3">
        <v>22.369059868235301</v>
      </c>
      <c r="U25" s="3">
        <v>7.9292995862151496</v>
      </c>
      <c r="V25" s="3">
        <v>214.82115514186569</v>
      </c>
      <c r="W25" s="3">
        <v>49.795709213633266</v>
      </c>
      <c r="X25" s="3">
        <v>64.615884559041803</v>
      </c>
      <c r="Y25" s="3">
        <v>162.40898269458464</v>
      </c>
      <c r="Z25" s="3">
        <v>108.23935109306443</v>
      </c>
      <c r="AA25" s="3">
        <v>142.09352334494571</v>
      </c>
      <c r="AB25" s="3">
        <v>188.2542913580977</v>
      </c>
      <c r="AC25" s="3">
        <v>343.05197847396266</v>
      </c>
      <c r="AD25" s="3">
        <v>143.95156616919701</v>
      </c>
      <c r="AE25" s="3">
        <v>463.46005214460371</v>
      </c>
      <c r="AF25" s="3">
        <v>528.78489051029339</v>
      </c>
      <c r="AG25" s="3">
        <v>380.03167135143769</v>
      </c>
      <c r="AH25" s="3">
        <v>8322.1667553147308</v>
      </c>
    </row>
    <row r="26" spans="2:34" x14ac:dyDescent="0.25">
      <c r="B26" t="s">
        <v>137</v>
      </c>
      <c r="C26" t="s">
        <v>308</v>
      </c>
      <c r="D26" s="3">
        <v>329.61386514690912</v>
      </c>
      <c r="E26" s="3">
        <v>585.04795376040397</v>
      </c>
      <c r="F26" s="3">
        <v>567.68099871448294</v>
      </c>
      <c r="G26" s="3">
        <v>519.08744244343802</v>
      </c>
      <c r="H26" s="3">
        <v>142.8042654901783</v>
      </c>
      <c r="I26" s="3">
        <v>661.19743242556092</v>
      </c>
      <c r="J26" s="3">
        <v>534.87783050598898</v>
      </c>
      <c r="K26" s="3">
        <v>291.22390512475681</v>
      </c>
      <c r="L26" s="3">
        <v>958.31400022358002</v>
      </c>
      <c r="M26" s="3">
        <v>629.31033197045394</v>
      </c>
      <c r="N26" s="3">
        <v>39.422613207604101</v>
      </c>
      <c r="O26" s="3">
        <v>43.295204476189333</v>
      </c>
      <c r="P26" s="3">
        <v>22.369059868235301</v>
      </c>
      <c r="Q26" s="3">
        <v>22.369059868235301</v>
      </c>
      <c r="R26" s="3">
        <v>9.9324500921146406</v>
      </c>
      <c r="S26" s="3">
        <v>6.0598588235294102</v>
      </c>
      <c r="T26" s="3">
        <v>22.369059868235301</v>
      </c>
      <c r="U26" s="3">
        <v>7.9292995862151496</v>
      </c>
      <c r="V26" s="3">
        <v>214.82115514186569</v>
      </c>
      <c r="W26" s="3">
        <v>49.796632811438627</v>
      </c>
      <c r="X26" s="3">
        <v>64.615884559041803</v>
      </c>
      <c r="Y26" s="3">
        <v>178.55099555350972</v>
      </c>
      <c r="Z26" s="3">
        <v>149.07567389830419</v>
      </c>
      <c r="AA26" s="3">
        <v>142.09352334494571</v>
      </c>
      <c r="AB26" s="3">
        <v>197.28145301920568</v>
      </c>
      <c r="AC26" s="3">
        <v>343.05197847396266</v>
      </c>
      <c r="AD26" s="3">
        <v>143.95156616919701</v>
      </c>
      <c r="AE26" s="3">
        <v>463.46005214460371</v>
      </c>
      <c r="AF26" s="3">
        <v>528.78489051029339</v>
      </c>
      <c r="AG26" s="3">
        <v>380.03167135143769</v>
      </c>
      <c r="AH26" s="3">
        <v>8248.4201085739187</v>
      </c>
    </row>
    <row r="27" spans="2:34" x14ac:dyDescent="0.25">
      <c r="B27" t="s">
        <v>137</v>
      </c>
      <c r="C27" t="s">
        <v>309</v>
      </c>
      <c r="D27" s="3">
        <v>232.6175607893351</v>
      </c>
      <c r="E27" s="3">
        <v>408.6012449944314</v>
      </c>
      <c r="F27" s="3">
        <v>435.05578777828077</v>
      </c>
      <c r="G27" s="3">
        <v>446.65070393207202</v>
      </c>
      <c r="H27" s="3">
        <v>127.1221403129381</v>
      </c>
      <c r="I27" s="3">
        <v>576.785093683627</v>
      </c>
      <c r="J27" s="3">
        <v>532.18581904321309</v>
      </c>
      <c r="K27" s="3">
        <v>291.22390512475681</v>
      </c>
      <c r="L27" s="3">
        <v>790.004574072644</v>
      </c>
      <c r="M27" s="3">
        <v>407.63225390876477</v>
      </c>
      <c r="N27" s="3">
        <v>39.422613207604101</v>
      </c>
      <c r="O27" s="3">
        <v>39.422613207604101</v>
      </c>
      <c r="P27" s="3">
        <v>5.0476063496271797</v>
      </c>
      <c r="Q27" s="3">
        <v>22.369059868235301</v>
      </c>
      <c r="R27" s="3">
        <v>9.9324500921146406</v>
      </c>
      <c r="S27" s="3">
        <v>6.0598588235294102</v>
      </c>
      <c r="T27" s="3">
        <v>22.369059868235301</v>
      </c>
      <c r="U27" s="3">
        <v>7.9292995862151496</v>
      </c>
      <c r="V27" s="3">
        <v>198.67821868513528</v>
      </c>
      <c r="W27" s="3">
        <v>49.796632811438627</v>
      </c>
      <c r="X27" s="3">
        <v>64.615884559041803</v>
      </c>
      <c r="Y27" s="3">
        <v>169.65757972802911</v>
      </c>
      <c r="Z27" s="3">
        <v>129.6676096637232</v>
      </c>
      <c r="AA27" s="3">
        <v>125.95151048602062</v>
      </c>
      <c r="AB27" s="3">
        <v>197.28145301920568</v>
      </c>
      <c r="AC27" s="3">
        <v>343.05197847396266</v>
      </c>
      <c r="AD27" s="3">
        <v>143.95156616919701</v>
      </c>
      <c r="AE27" s="3">
        <v>464.43643642363179</v>
      </c>
      <c r="AF27" s="3">
        <v>528.78489051029339</v>
      </c>
      <c r="AG27" s="3">
        <v>380.03167135143769</v>
      </c>
      <c r="AH27" s="3">
        <v>7196.3370765243435</v>
      </c>
    </row>
    <row r="28" spans="2:34" x14ac:dyDescent="0.25">
      <c r="B28" t="s">
        <v>137</v>
      </c>
      <c r="C28" t="s">
        <v>310</v>
      </c>
      <c r="D28" s="3">
        <v>113.5262335931606</v>
      </c>
      <c r="E28" s="3">
        <v>408.6012449944314</v>
      </c>
      <c r="F28" s="3">
        <v>376.3694410332244</v>
      </c>
      <c r="G28" s="3">
        <v>340.89779034539544</v>
      </c>
      <c r="H28" s="3">
        <v>118.1757017093652</v>
      </c>
      <c r="I28" s="3">
        <v>377.99720208078281</v>
      </c>
      <c r="J28" s="3">
        <v>373.72897731007981</v>
      </c>
      <c r="K28" s="3">
        <v>117.4965890718716</v>
      </c>
      <c r="L28" s="3">
        <v>656.99817234864884</v>
      </c>
      <c r="M28" s="3">
        <v>407.63225390876477</v>
      </c>
      <c r="N28" s="3">
        <v>39.422613207604101</v>
      </c>
      <c r="O28" s="3">
        <v>22.369059868235301</v>
      </c>
      <c r="P28" s="3">
        <v>5.0476063496271797</v>
      </c>
      <c r="Q28" s="3">
        <v>22.369059868235301</v>
      </c>
      <c r="R28" s="3">
        <v>9.9324500921146406</v>
      </c>
      <c r="S28" s="3">
        <v>6.0598588235294102</v>
      </c>
      <c r="T28" s="3">
        <v>22.369059868235301</v>
      </c>
      <c r="U28" s="3">
        <v>7.9292995862151496</v>
      </c>
      <c r="V28" s="3">
        <v>172.28507831720927</v>
      </c>
      <c r="W28" s="3">
        <v>49.796632811438627</v>
      </c>
      <c r="X28" s="3">
        <v>64.615884559041803</v>
      </c>
      <c r="Y28" s="3">
        <v>162.40898269458464</v>
      </c>
      <c r="Z28" s="3">
        <v>108.23935109306443</v>
      </c>
      <c r="AA28" s="3">
        <v>125.95151048602062</v>
      </c>
      <c r="AB28" s="3">
        <v>188.2542913580977</v>
      </c>
      <c r="AC28" s="3">
        <v>153.07820552070862</v>
      </c>
      <c r="AD28" s="3">
        <v>143.95156616919701</v>
      </c>
      <c r="AE28" s="3">
        <v>463.46005214460371</v>
      </c>
      <c r="AF28" s="3">
        <v>528.78489051029339</v>
      </c>
      <c r="AG28" s="3">
        <v>380.03167135143769</v>
      </c>
      <c r="AH28" s="3">
        <v>5967.7807310752169</v>
      </c>
    </row>
    <row r="29" spans="2:34" x14ac:dyDescent="0.25">
      <c r="B29" t="s">
        <v>137</v>
      </c>
      <c r="C29" t="s">
        <v>311</v>
      </c>
      <c r="D29" s="3">
        <v>124.76188385382339</v>
      </c>
      <c r="E29" s="3">
        <v>408.6012449944314</v>
      </c>
      <c r="F29" s="3">
        <v>380.80019287517842</v>
      </c>
      <c r="G29" s="3">
        <v>340.89779034539544</v>
      </c>
      <c r="H29" s="3">
        <v>118.1757017093652</v>
      </c>
      <c r="I29" s="3">
        <v>377.99720208078281</v>
      </c>
      <c r="J29" s="3">
        <v>373.72897731007981</v>
      </c>
      <c r="K29" s="3">
        <v>117.4965890718716</v>
      </c>
      <c r="L29" s="3">
        <v>656.99817234864884</v>
      </c>
      <c r="M29" s="3">
        <v>407.63225390876477</v>
      </c>
      <c r="N29" s="3">
        <v>39.422613207604101</v>
      </c>
      <c r="O29" s="3">
        <v>22.369059868235301</v>
      </c>
      <c r="P29" s="3">
        <v>5.0476063496271797</v>
      </c>
      <c r="Q29" s="3">
        <v>22.369059868235301</v>
      </c>
      <c r="R29" s="3">
        <v>6.0598588235294102</v>
      </c>
      <c r="S29" s="3">
        <v>6.0598588235294102</v>
      </c>
      <c r="T29" s="3">
        <v>22.369059868235301</v>
      </c>
      <c r="U29" s="3">
        <v>7.9292995862151496</v>
      </c>
      <c r="V29" s="3">
        <v>172.28507831720927</v>
      </c>
      <c r="W29" s="3">
        <v>49.796632811438627</v>
      </c>
      <c r="X29" s="3">
        <v>64.615884559041803</v>
      </c>
      <c r="Y29" s="3">
        <v>162.05627003577564</v>
      </c>
      <c r="Z29" s="3">
        <v>108.23935109306443</v>
      </c>
      <c r="AA29" s="3">
        <v>125.95151048602062</v>
      </c>
      <c r="AB29" s="3">
        <v>165.78573580632164</v>
      </c>
      <c r="AC29" s="3">
        <v>153.07820552070862</v>
      </c>
      <c r="AD29" s="3">
        <v>143.95156616919701</v>
      </c>
      <c r="AE29" s="3">
        <v>463.46005214460371</v>
      </c>
      <c r="AF29" s="3">
        <v>487.94856770505362</v>
      </c>
      <c r="AG29" s="3">
        <v>380.03167135143769</v>
      </c>
      <c r="AH29" s="3">
        <v>5915.9169508934237</v>
      </c>
    </row>
    <row r="30" spans="2:34" x14ac:dyDescent="0.25">
      <c r="B30" t="s">
        <v>137</v>
      </c>
      <c r="C30" t="s">
        <v>312</v>
      </c>
      <c r="D30" s="3">
        <v>101.6926443002079</v>
      </c>
      <c r="E30" s="3">
        <v>385.53200544081585</v>
      </c>
      <c r="F30" s="3">
        <v>357.73095332156288</v>
      </c>
      <c r="G30" s="3">
        <v>316.67710352217898</v>
      </c>
      <c r="H30" s="3">
        <v>95.106462155749711</v>
      </c>
      <c r="I30" s="3">
        <v>353.99258569072123</v>
      </c>
      <c r="J30" s="3">
        <v>351.62864581771623</v>
      </c>
      <c r="K30" s="3">
        <v>95.396257579507989</v>
      </c>
      <c r="L30" s="3">
        <v>566.65903025669047</v>
      </c>
      <c r="M30" s="3">
        <v>385.53192241640119</v>
      </c>
      <c r="N30" s="3">
        <v>39.422613207604101</v>
      </c>
      <c r="O30" s="3">
        <v>22.369059868235301</v>
      </c>
      <c r="P30" s="3">
        <v>-18.998106730364501</v>
      </c>
      <c r="Q30" s="3">
        <v>5.0476063496271797</v>
      </c>
      <c r="R30" s="3">
        <v>6.0598588235294102</v>
      </c>
      <c r="S30" s="3">
        <v>6.0598588235294102</v>
      </c>
      <c r="T30" s="3">
        <v>22.369059868235301</v>
      </c>
      <c r="U30" s="3">
        <v>7.9292995862151496</v>
      </c>
      <c r="V30" s="3">
        <v>172.28507831720927</v>
      </c>
      <c r="W30" s="3">
        <v>49.796632811438627</v>
      </c>
      <c r="X30" s="3">
        <v>64.615884559041803</v>
      </c>
      <c r="Y30" s="3">
        <v>146.95004540326264</v>
      </c>
      <c r="Z30" s="3">
        <v>108.23935109306443</v>
      </c>
      <c r="AA30" s="3">
        <v>74.515399608876834</v>
      </c>
      <c r="AB30" s="3">
        <v>48.473871700116732</v>
      </c>
      <c r="AC30" s="3">
        <v>147.89953829678123</v>
      </c>
      <c r="AD30" s="3">
        <v>143.95156616919701</v>
      </c>
      <c r="AE30" s="3">
        <v>447.31803928567865</v>
      </c>
      <c r="AF30" s="3">
        <v>487.94856770505362</v>
      </c>
      <c r="AG30" s="3">
        <v>181.92774866524672</v>
      </c>
      <c r="AH30" s="3">
        <v>5174.1285839131306</v>
      </c>
    </row>
    <row r="31" spans="2:34" x14ac:dyDescent="0.25">
      <c r="B31" t="s">
        <v>0</v>
      </c>
      <c r="D31" s="3">
        <v>4041.4183595055147</v>
      </c>
      <c r="E31" s="3">
        <v>10936.203102926671</v>
      </c>
      <c r="F31" s="3">
        <v>10169.615695904973</v>
      </c>
      <c r="G31" s="3">
        <v>9510.8750113723054</v>
      </c>
      <c r="H31" s="3">
        <v>3933.4549791270647</v>
      </c>
      <c r="I31" s="3">
        <v>10444.918082930781</v>
      </c>
      <c r="J31" s="3">
        <v>9763.8684815474135</v>
      </c>
      <c r="K31" s="3">
        <v>3897.0374657773777</v>
      </c>
      <c r="L31" s="3">
        <v>17220.988662362517</v>
      </c>
      <c r="M31" s="3">
        <v>10807.09557861155</v>
      </c>
      <c r="N31" s="3">
        <v>1636.5785486053401</v>
      </c>
      <c r="O31" s="3">
        <v>3342.5781286154725</v>
      </c>
      <c r="P31" s="3">
        <v>267.46004933159929</v>
      </c>
      <c r="Q31" s="3">
        <v>519.53598331903902</v>
      </c>
      <c r="R31" s="3">
        <v>410.03483116534579</v>
      </c>
      <c r="S31" s="3">
        <v>341.14702430117643</v>
      </c>
      <c r="T31" s="3">
        <v>536.85743683764724</v>
      </c>
      <c r="U31" s="3">
        <v>190.30319006916352</v>
      </c>
      <c r="V31" s="3">
        <v>4410.0116816308773</v>
      </c>
      <c r="W31" s="3">
        <v>1580.9739420215574</v>
      </c>
      <c r="X31" s="3">
        <v>1511.4852966307408</v>
      </c>
      <c r="Y31" s="3">
        <v>4606.8646488565309</v>
      </c>
      <c r="Z31" s="3">
        <v>4641.2567082091919</v>
      </c>
      <c r="AA31" s="3">
        <v>3010.9023165370659</v>
      </c>
      <c r="AB31" s="3">
        <v>5253.6001971928727</v>
      </c>
      <c r="AC31" s="3">
        <v>6356.9818413788571</v>
      </c>
      <c r="AD31" s="3">
        <v>3917.3678843099292</v>
      </c>
      <c r="AE31" s="3">
        <v>11083.751783868867</v>
      </c>
      <c r="AF31" s="3">
        <v>11438.589919871156</v>
      </c>
      <c r="AG31" s="3">
        <v>7013.6268906568203</v>
      </c>
      <c r="AH31" s="3">
        <v>162795.38372347539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R144"/>
  <sheetViews>
    <sheetView topLeftCell="A4" zoomScale="85" zoomScaleNormal="85" workbookViewId="0">
      <selection activeCell="N25" sqref="N25"/>
    </sheetView>
  </sheetViews>
  <sheetFormatPr defaultRowHeight="15" x14ac:dyDescent="0.25"/>
  <cols>
    <col min="2" max="2" width="11.7109375" customWidth="1"/>
    <col min="3" max="17" width="16" customWidth="1"/>
    <col min="18" max="18" width="12.85546875" customWidth="1"/>
    <col min="19" max="19" width="15.140625" customWidth="1"/>
    <col min="20" max="20" width="12" customWidth="1"/>
    <col min="21" max="21" width="12" bestFit="1" customWidth="1"/>
  </cols>
  <sheetData>
    <row r="3" spans="2:18" x14ac:dyDescent="0.25">
      <c r="B3" s="1" t="s">
        <v>13</v>
      </c>
      <c r="C3" s="1" t="s">
        <v>12</v>
      </c>
    </row>
    <row r="4" spans="2:18" x14ac:dyDescent="0.25">
      <c r="B4" s="1" t="s">
        <v>11</v>
      </c>
      <c r="C4" t="s">
        <v>9</v>
      </c>
      <c r="D4" t="s">
        <v>226</v>
      </c>
      <c r="E4" t="s">
        <v>229</v>
      </c>
      <c r="F4" t="s">
        <v>16</v>
      </c>
      <c r="G4" t="s">
        <v>230</v>
      </c>
      <c r="H4" t="s">
        <v>235</v>
      </c>
      <c r="I4" t="s">
        <v>232</v>
      </c>
      <c r="J4" t="s">
        <v>10</v>
      </c>
      <c r="K4" t="s">
        <v>228</v>
      </c>
      <c r="L4" t="s">
        <v>159</v>
      </c>
      <c r="M4" t="s">
        <v>333</v>
      </c>
      <c r="N4" t="s">
        <v>227</v>
      </c>
      <c r="O4" t="s">
        <v>231</v>
      </c>
      <c r="P4" t="s">
        <v>233</v>
      </c>
      <c r="Q4" t="s">
        <v>236</v>
      </c>
      <c r="R4" t="s">
        <v>0</v>
      </c>
    </row>
    <row r="5" spans="2:18" x14ac:dyDescent="0.25">
      <c r="B5" t="s">
        <v>6</v>
      </c>
      <c r="C5" s="5">
        <v>1.7215209011234092</v>
      </c>
      <c r="D5" s="5">
        <v>-3.737570217290521</v>
      </c>
      <c r="E5" s="5">
        <v>33.349508513000302</v>
      </c>
      <c r="F5" s="3">
        <v>10.619174450000001</v>
      </c>
      <c r="G5" s="3">
        <v>2.5628839999999996E-2</v>
      </c>
      <c r="H5" s="3">
        <v>1.2543033054264414</v>
      </c>
      <c r="I5" s="3">
        <v>0.92454627188355565</v>
      </c>
      <c r="J5" s="3">
        <v>3.3642627272098262E-2</v>
      </c>
      <c r="K5" s="3">
        <v>0.47568260000000001</v>
      </c>
      <c r="L5" s="3"/>
      <c r="M5" s="3"/>
      <c r="N5" s="3"/>
      <c r="O5" s="3"/>
      <c r="P5" s="3"/>
      <c r="Q5" s="3"/>
      <c r="R5" s="3">
        <v>44.666437291415292</v>
      </c>
    </row>
    <row r="6" spans="2:18" x14ac:dyDescent="0.25">
      <c r="B6" t="s">
        <v>19</v>
      </c>
      <c r="C6" s="5">
        <v>98.570847987340073</v>
      </c>
      <c r="D6" s="5">
        <v>-818.96889621320008</v>
      </c>
      <c r="E6" s="5">
        <v>244.10377007</v>
      </c>
      <c r="F6" s="3">
        <v>36.585827495345271</v>
      </c>
      <c r="G6" s="3"/>
      <c r="H6" s="3">
        <v>3.6949679999999998</v>
      </c>
      <c r="I6" s="3"/>
      <c r="J6" s="3">
        <v>86.447283221029792</v>
      </c>
      <c r="K6" s="3"/>
      <c r="L6" s="3">
        <v>198.00753599999999</v>
      </c>
      <c r="M6" s="3">
        <v>0.78621000000000008</v>
      </c>
      <c r="N6" s="3">
        <v>94.608000000000004</v>
      </c>
      <c r="O6" s="3"/>
      <c r="P6" s="3"/>
      <c r="Q6" s="3"/>
      <c r="R6" s="3">
        <v>-56.164453439484987</v>
      </c>
    </row>
    <row r="7" spans="2:18" x14ac:dyDescent="0.25">
      <c r="B7" t="s">
        <v>7</v>
      </c>
      <c r="C7" s="5">
        <v>118.57678040734537</v>
      </c>
      <c r="D7" s="5">
        <v>-3.3503171279357447</v>
      </c>
      <c r="E7" s="5">
        <v>11.384365000000001</v>
      </c>
      <c r="F7" s="3"/>
      <c r="G7" s="3"/>
      <c r="H7" s="3">
        <v>0.38166453036712944</v>
      </c>
      <c r="I7" s="3"/>
      <c r="J7" s="3">
        <v>174.17261404482053</v>
      </c>
      <c r="K7" s="3"/>
      <c r="L7" s="3"/>
      <c r="M7" s="3"/>
      <c r="N7" s="3"/>
      <c r="O7" s="3"/>
      <c r="P7" s="3"/>
      <c r="Q7" s="3"/>
      <c r="R7" s="3">
        <v>301.1651068545973</v>
      </c>
    </row>
    <row r="8" spans="2:18" x14ac:dyDescent="0.25">
      <c r="B8" t="s">
        <v>8</v>
      </c>
      <c r="C8" s="5">
        <v>476.20402530746196</v>
      </c>
      <c r="D8" s="5">
        <v>-36.041247928962498</v>
      </c>
      <c r="E8" s="5">
        <v>38.251841509999998</v>
      </c>
      <c r="F8" s="3">
        <v>0.54584037306437594</v>
      </c>
      <c r="G8" s="3">
        <v>9.4736639378685303E-2</v>
      </c>
      <c r="H8" s="3">
        <v>2.8206496563707342</v>
      </c>
      <c r="I8" s="3">
        <v>9.857911244146231E-4</v>
      </c>
      <c r="J8" s="3">
        <v>98.673582541594044</v>
      </c>
      <c r="K8" s="3"/>
      <c r="L8" s="3"/>
      <c r="M8" s="3"/>
      <c r="N8" s="3">
        <v>61.241716002154199</v>
      </c>
      <c r="O8" s="3">
        <v>0.4147381080638074</v>
      </c>
      <c r="P8" s="3">
        <v>5.6083425156411435</v>
      </c>
      <c r="Q8" s="3">
        <v>0.48803691436072755</v>
      </c>
      <c r="R8" s="3">
        <v>648.30324743025176</v>
      </c>
    </row>
    <row r="9" spans="2:18" x14ac:dyDescent="0.25">
      <c r="B9" t="s">
        <v>0</v>
      </c>
      <c r="C9" s="5">
        <v>695.07317460327079</v>
      </c>
      <c r="D9" s="5">
        <v>-862.09803148738899</v>
      </c>
      <c r="E9" s="5">
        <v>327.08948509300029</v>
      </c>
      <c r="F9" s="3">
        <v>47.750842318409653</v>
      </c>
      <c r="G9" s="3">
        <v>0.1203654793786853</v>
      </c>
      <c r="H9" s="3">
        <v>8.1515854921643047</v>
      </c>
      <c r="I9" s="3">
        <v>0.92553206300797031</v>
      </c>
      <c r="J9" s="3">
        <v>359.3271224347165</v>
      </c>
      <c r="K9" s="3">
        <v>0.47568260000000001</v>
      </c>
      <c r="L9" s="3">
        <v>198.00753599999999</v>
      </c>
      <c r="M9" s="3">
        <v>0.78621000000000008</v>
      </c>
      <c r="N9" s="3">
        <v>155.8497160021542</v>
      </c>
      <c r="O9" s="3">
        <v>0.4147381080638074</v>
      </c>
      <c r="P9" s="3">
        <v>5.6083425156411435</v>
      </c>
      <c r="Q9" s="3">
        <v>0.48803691436072755</v>
      </c>
      <c r="R9" s="3">
        <v>937.97033813677933</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J2036"/>
  <sheetViews>
    <sheetView zoomScale="55" zoomScaleNormal="55" workbookViewId="0">
      <selection activeCell="B5" sqref="B5"/>
    </sheetView>
  </sheetViews>
  <sheetFormatPr defaultRowHeight="15" x14ac:dyDescent="0.25"/>
  <cols>
    <col min="2" max="2" width="16" bestFit="1" customWidth="1"/>
    <col min="3" max="3" width="10" customWidth="1"/>
    <col min="4" max="5" width="10" bestFit="1" customWidth="1"/>
    <col min="6" max="10" width="13.140625" bestFit="1" customWidth="1"/>
    <col min="11" max="12" width="12.5703125" bestFit="1" customWidth="1"/>
    <col min="13" max="19" width="15.140625" customWidth="1"/>
    <col min="20" max="20" width="12.28515625" bestFit="1" customWidth="1"/>
    <col min="21" max="25" width="15.140625" customWidth="1"/>
    <col min="26" max="26" width="12.28515625" bestFit="1" customWidth="1"/>
    <col min="27" max="27" width="12.28515625" customWidth="1"/>
    <col min="28" max="97" width="15.42578125" customWidth="1"/>
    <col min="98" max="98" width="12.28515625" customWidth="1"/>
    <col min="99" max="114" width="17" bestFit="1" customWidth="1"/>
    <col min="115" max="115" width="12.5703125" bestFit="1" customWidth="1"/>
  </cols>
  <sheetData>
    <row r="2" spans="2:10" x14ac:dyDescent="0.25">
      <c r="B2" s="1" t="s">
        <v>12</v>
      </c>
      <c r="C2" t="s">
        <v>223</v>
      </c>
    </row>
    <row r="4" spans="2:10" x14ac:dyDescent="0.25">
      <c r="B4" s="1" t="s">
        <v>14</v>
      </c>
      <c r="F4" s="1" t="s">
        <v>11</v>
      </c>
    </row>
    <row r="5" spans="2:10" x14ac:dyDescent="0.25">
      <c r="B5" s="1" t="s">
        <v>15</v>
      </c>
      <c r="C5" s="1" t="s">
        <v>273</v>
      </c>
      <c r="D5" s="1" t="s">
        <v>272</v>
      </c>
      <c r="E5" s="1" t="s">
        <v>88</v>
      </c>
      <c r="F5" t="s">
        <v>6</v>
      </c>
      <c r="G5" t="s">
        <v>19</v>
      </c>
      <c r="H5" t="s">
        <v>7</v>
      </c>
      <c r="I5" t="s">
        <v>8</v>
      </c>
      <c r="J5" t="s">
        <v>0</v>
      </c>
    </row>
    <row r="6" spans="2:10" x14ac:dyDescent="0.25">
      <c r="B6" t="s">
        <v>137</v>
      </c>
      <c r="C6" t="s">
        <v>274</v>
      </c>
      <c r="D6" t="s">
        <v>334</v>
      </c>
      <c r="E6" t="s">
        <v>46</v>
      </c>
      <c r="F6" s="3">
        <v>3.8404825653080241</v>
      </c>
      <c r="G6" s="3">
        <v>9731.9586509287328</v>
      </c>
      <c r="H6" s="3"/>
      <c r="I6" s="3"/>
      <c r="J6" s="3">
        <v>9735.7991334940416</v>
      </c>
    </row>
    <row r="7" spans="2:10" x14ac:dyDescent="0.25">
      <c r="B7" t="s">
        <v>137</v>
      </c>
      <c r="C7" t="s">
        <v>274</v>
      </c>
      <c r="D7" t="s">
        <v>334</v>
      </c>
      <c r="E7" t="s">
        <v>47</v>
      </c>
      <c r="F7" s="3">
        <v>3.8404825653080241</v>
      </c>
      <c r="G7" s="3">
        <v>9731.9586509287328</v>
      </c>
      <c r="H7" s="3"/>
      <c r="I7" s="3"/>
      <c r="J7" s="3">
        <v>9735.7991334940416</v>
      </c>
    </row>
    <row r="8" spans="2:10" x14ac:dyDescent="0.25">
      <c r="B8" t="s">
        <v>137</v>
      </c>
      <c r="C8" t="s">
        <v>274</v>
      </c>
      <c r="D8" t="s">
        <v>334</v>
      </c>
      <c r="E8" t="s">
        <v>48</v>
      </c>
      <c r="F8" s="3">
        <v>3.8404825653080241</v>
      </c>
      <c r="G8" s="3">
        <v>9731.9586509287328</v>
      </c>
      <c r="H8" s="3"/>
      <c r="I8" s="3"/>
      <c r="J8" s="3">
        <v>9735.7991334940416</v>
      </c>
    </row>
    <row r="9" spans="2:10" x14ac:dyDescent="0.25">
      <c r="B9" t="s">
        <v>137</v>
      </c>
      <c r="C9" t="s">
        <v>274</v>
      </c>
      <c r="D9" t="s">
        <v>334</v>
      </c>
      <c r="E9" t="s">
        <v>49</v>
      </c>
      <c r="F9" s="3">
        <v>3.8404825653080241</v>
      </c>
      <c r="G9" s="3">
        <v>9731.9586509287328</v>
      </c>
      <c r="H9" s="3"/>
      <c r="I9" s="3"/>
      <c r="J9" s="3">
        <v>9735.7991334940416</v>
      </c>
    </row>
    <row r="10" spans="2:10" x14ac:dyDescent="0.25">
      <c r="B10" t="s">
        <v>137</v>
      </c>
      <c r="C10" t="s">
        <v>274</v>
      </c>
      <c r="D10" t="s">
        <v>334</v>
      </c>
      <c r="E10" t="s">
        <v>50</v>
      </c>
      <c r="F10" s="3">
        <v>3.8404825653080241</v>
      </c>
      <c r="G10" s="3">
        <v>9731.9586509287328</v>
      </c>
      <c r="H10" s="3"/>
      <c r="I10" s="3"/>
      <c r="J10" s="3">
        <v>9735.7991334940416</v>
      </c>
    </row>
    <row r="11" spans="2:10" x14ac:dyDescent="0.25">
      <c r="B11" t="s">
        <v>137</v>
      </c>
      <c r="C11" t="s">
        <v>274</v>
      </c>
      <c r="D11" t="s">
        <v>334</v>
      </c>
      <c r="E11" t="s">
        <v>51</v>
      </c>
      <c r="F11" s="3">
        <v>3.8404825653080241</v>
      </c>
      <c r="G11" s="3">
        <v>9731.9586509287328</v>
      </c>
      <c r="H11" s="3"/>
      <c r="I11" s="3"/>
      <c r="J11" s="3">
        <v>9735.7991334940416</v>
      </c>
    </row>
    <row r="12" spans="2:10" x14ac:dyDescent="0.25">
      <c r="B12" t="s">
        <v>137</v>
      </c>
      <c r="C12" t="s">
        <v>274</v>
      </c>
      <c r="D12" t="s">
        <v>334</v>
      </c>
      <c r="E12" t="s">
        <v>196</v>
      </c>
      <c r="F12" s="3">
        <v>3.8404825653080241</v>
      </c>
      <c r="G12" s="3">
        <v>9731.9586509287328</v>
      </c>
      <c r="H12" s="3"/>
      <c r="I12" s="3"/>
      <c r="J12" s="3">
        <v>9735.7991334940416</v>
      </c>
    </row>
    <row r="13" spans="2:10" x14ac:dyDescent="0.25">
      <c r="B13" t="s">
        <v>137</v>
      </c>
      <c r="C13" t="s">
        <v>274</v>
      </c>
      <c r="D13" t="s">
        <v>334</v>
      </c>
      <c r="E13" t="s">
        <v>197</v>
      </c>
      <c r="F13" s="3">
        <v>3.8404825653080241</v>
      </c>
      <c r="G13" s="3">
        <v>9731.9586509287328</v>
      </c>
      <c r="H13" s="3"/>
      <c r="I13" s="3"/>
      <c r="J13" s="3">
        <v>9735.7991334940416</v>
      </c>
    </row>
    <row r="14" spans="2:10" x14ac:dyDescent="0.25">
      <c r="B14" t="s">
        <v>137</v>
      </c>
      <c r="C14" t="s">
        <v>274</v>
      </c>
      <c r="D14" t="s">
        <v>334</v>
      </c>
      <c r="E14" t="s">
        <v>198</v>
      </c>
      <c r="F14" s="3">
        <v>3.8404825653080241</v>
      </c>
      <c r="G14" s="3">
        <v>9731.9586509287328</v>
      </c>
      <c r="H14" s="3"/>
      <c r="I14" s="3"/>
      <c r="J14" s="3">
        <v>9735.7991334940416</v>
      </c>
    </row>
    <row r="15" spans="2:10" x14ac:dyDescent="0.25">
      <c r="B15" t="s">
        <v>137</v>
      </c>
      <c r="C15" t="s">
        <v>274</v>
      </c>
      <c r="D15" t="s">
        <v>334</v>
      </c>
      <c r="E15" t="s">
        <v>199</v>
      </c>
      <c r="F15" s="3">
        <v>3.8404825653080241</v>
      </c>
      <c r="G15" s="3">
        <v>9731.9586509287328</v>
      </c>
      <c r="H15" s="3"/>
      <c r="I15" s="3"/>
      <c r="J15" s="3">
        <v>9735.7991334940416</v>
      </c>
    </row>
    <row r="16" spans="2:10" x14ac:dyDescent="0.25">
      <c r="B16" t="s">
        <v>137</v>
      </c>
      <c r="C16" t="s">
        <v>274</v>
      </c>
      <c r="D16" t="s">
        <v>334</v>
      </c>
      <c r="E16" t="s">
        <v>200</v>
      </c>
      <c r="F16" s="3">
        <v>3.8404825653080241</v>
      </c>
      <c r="G16" s="3">
        <v>9731.9586509287328</v>
      </c>
      <c r="H16" s="3"/>
      <c r="I16" s="3"/>
      <c r="J16" s="3">
        <v>9735.7991334940416</v>
      </c>
    </row>
    <row r="17" spans="2:10" x14ac:dyDescent="0.25">
      <c r="B17" t="s">
        <v>137</v>
      </c>
      <c r="C17" t="s">
        <v>274</v>
      </c>
      <c r="D17" t="s">
        <v>334</v>
      </c>
      <c r="E17" t="s">
        <v>240</v>
      </c>
      <c r="F17" s="3">
        <v>3.8404825653080241</v>
      </c>
      <c r="G17" s="3">
        <v>9731.9586509287328</v>
      </c>
      <c r="H17" s="3"/>
      <c r="I17" s="3"/>
      <c r="J17" s="3">
        <v>9735.7991334940416</v>
      </c>
    </row>
    <row r="18" spans="2:10" x14ac:dyDescent="0.25">
      <c r="B18" t="s">
        <v>137</v>
      </c>
      <c r="C18" t="s">
        <v>274</v>
      </c>
      <c r="D18" t="s">
        <v>334</v>
      </c>
      <c r="E18" t="s">
        <v>301</v>
      </c>
      <c r="F18" s="3">
        <v>3.8404825653080241</v>
      </c>
      <c r="G18" s="3">
        <v>9731.9586509287328</v>
      </c>
      <c r="H18" s="3"/>
      <c r="I18" s="3"/>
      <c r="J18" s="3">
        <v>9735.7991334940416</v>
      </c>
    </row>
    <row r="19" spans="2:10" x14ac:dyDescent="0.25">
      <c r="B19" t="s">
        <v>137</v>
      </c>
      <c r="C19" t="s">
        <v>274</v>
      </c>
      <c r="D19" t="s">
        <v>334</v>
      </c>
      <c r="E19" t="s">
        <v>302</v>
      </c>
      <c r="F19" s="3">
        <v>3.8404825653080241</v>
      </c>
      <c r="G19" s="3">
        <v>9731.9586509287328</v>
      </c>
      <c r="H19" s="3"/>
      <c r="I19" s="3"/>
      <c r="J19" s="3">
        <v>9735.7991334940416</v>
      </c>
    </row>
    <row r="20" spans="2:10" x14ac:dyDescent="0.25">
      <c r="B20" t="s">
        <v>137</v>
      </c>
      <c r="C20" t="s">
        <v>274</v>
      </c>
      <c r="D20" t="s">
        <v>334</v>
      </c>
      <c r="E20" t="s">
        <v>303</v>
      </c>
      <c r="F20" s="3">
        <v>3.8404825653080241</v>
      </c>
      <c r="G20" s="3">
        <v>9731.9586509287328</v>
      </c>
      <c r="H20" s="3"/>
      <c r="I20" s="3"/>
      <c r="J20" s="3">
        <v>9735.7991334940416</v>
      </c>
    </row>
    <row r="21" spans="2:10" x14ac:dyDescent="0.25">
      <c r="B21" t="s">
        <v>137</v>
      </c>
      <c r="C21" t="s">
        <v>274</v>
      </c>
      <c r="D21" t="s">
        <v>334</v>
      </c>
      <c r="E21" t="s">
        <v>304</v>
      </c>
      <c r="F21" s="3">
        <v>3.8404825653080241</v>
      </c>
      <c r="G21" s="3">
        <v>9731.9586509287328</v>
      </c>
      <c r="H21" s="3"/>
      <c r="I21" s="3"/>
      <c r="J21" s="3">
        <v>9735.7991334940416</v>
      </c>
    </row>
    <row r="22" spans="2:10" x14ac:dyDescent="0.25">
      <c r="B22" t="s">
        <v>137</v>
      </c>
      <c r="C22" t="s">
        <v>274</v>
      </c>
      <c r="D22" t="s">
        <v>334</v>
      </c>
      <c r="E22" t="s">
        <v>305</v>
      </c>
      <c r="F22" s="3">
        <v>3.8404825653080241</v>
      </c>
      <c r="G22" s="3">
        <v>9731.9586509287328</v>
      </c>
      <c r="H22" s="3"/>
      <c r="I22" s="3"/>
      <c r="J22" s="3">
        <v>9735.7991334940416</v>
      </c>
    </row>
    <row r="23" spans="2:10" x14ac:dyDescent="0.25">
      <c r="B23" t="s">
        <v>137</v>
      </c>
      <c r="C23" t="s">
        <v>274</v>
      </c>
      <c r="D23" t="s">
        <v>334</v>
      </c>
      <c r="E23" t="s">
        <v>306</v>
      </c>
      <c r="F23" s="3">
        <v>3.8404825653080241</v>
      </c>
      <c r="G23" s="3">
        <v>9731.9586509287328</v>
      </c>
      <c r="H23" s="3"/>
      <c r="I23" s="3"/>
      <c r="J23" s="3">
        <v>9735.7991334940416</v>
      </c>
    </row>
    <row r="24" spans="2:10" x14ac:dyDescent="0.25">
      <c r="B24" t="s">
        <v>137</v>
      </c>
      <c r="C24" t="s">
        <v>274</v>
      </c>
      <c r="D24" t="s">
        <v>334</v>
      </c>
      <c r="E24" t="s">
        <v>307</v>
      </c>
      <c r="F24" s="3">
        <v>3.8404825653080241</v>
      </c>
      <c r="G24" s="3">
        <v>9731.9586509287328</v>
      </c>
      <c r="H24" s="3"/>
      <c r="I24" s="3"/>
      <c r="J24" s="3">
        <v>9735.7991334940416</v>
      </c>
    </row>
    <row r="25" spans="2:10" x14ac:dyDescent="0.25">
      <c r="B25" t="s">
        <v>137</v>
      </c>
      <c r="C25" t="s">
        <v>274</v>
      </c>
      <c r="D25" t="s">
        <v>334</v>
      </c>
      <c r="E25" t="s">
        <v>308</v>
      </c>
      <c r="F25" s="3">
        <v>3.8404825653080241</v>
      </c>
      <c r="G25" s="3">
        <v>9731.9586509287328</v>
      </c>
      <c r="H25" s="3"/>
      <c r="I25" s="3"/>
      <c r="J25" s="3">
        <v>9735.7991334940416</v>
      </c>
    </row>
    <row r="26" spans="2:10" x14ac:dyDescent="0.25">
      <c r="B26" t="s">
        <v>137</v>
      </c>
      <c r="C26" t="s">
        <v>274</v>
      </c>
      <c r="D26" t="s">
        <v>334</v>
      </c>
      <c r="E26" t="s">
        <v>309</v>
      </c>
      <c r="F26" s="3">
        <v>3.8404825653080241</v>
      </c>
      <c r="G26" s="3">
        <v>9731.9586509287328</v>
      </c>
      <c r="H26" s="3"/>
      <c r="I26" s="3"/>
      <c r="J26" s="3">
        <v>9735.7991334940416</v>
      </c>
    </row>
    <row r="27" spans="2:10" x14ac:dyDescent="0.25">
      <c r="B27" t="s">
        <v>137</v>
      </c>
      <c r="C27" t="s">
        <v>274</v>
      </c>
      <c r="D27" t="s">
        <v>334</v>
      </c>
      <c r="E27" t="s">
        <v>310</v>
      </c>
      <c r="F27" s="3">
        <v>3.8404825653080241</v>
      </c>
      <c r="G27" s="3">
        <v>9731.9586509287328</v>
      </c>
      <c r="H27" s="3"/>
      <c r="I27" s="3"/>
      <c r="J27" s="3">
        <v>9735.7991334940416</v>
      </c>
    </row>
    <row r="28" spans="2:10" x14ac:dyDescent="0.25">
      <c r="B28" t="s">
        <v>137</v>
      </c>
      <c r="C28" t="s">
        <v>274</v>
      </c>
      <c r="D28" t="s">
        <v>334</v>
      </c>
      <c r="E28" t="s">
        <v>311</v>
      </c>
      <c r="F28" s="3">
        <v>3.8404825653080241</v>
      </c>
      <c r="G28" s="3">
        <v>9731.9586509287328</v>
      </c>
      <c r="H28" s="3"/>
      <c r="I28" s="3"/>
      <c r="J28" s="3">
        <v>9735.7991334940416</v>
      </c>
    </row>
    <row r="29" spans="2:10" x14ac:dyDescent="0.25">
      <c r="B29" t="s">
        <v>137</v>
      </c>
      <c r="C29" t="s">
        <v>274</v>
      </c>
      <c r="D29" t="s">
        <v>334</v>
      </c>
      <c r="E29" t="s">
        <v>312</v>
      </c>
      <c r="F29" s="3">
        <v>3.8404825653080241</v>
      </c>
      <c r="G29" s="3">
        <v>9731.9586509287328</v>
      </c>
      <c r="H29" s="3"/>
      <c r="I29" s="3"/>
      <c r="J29" s="3">
        <v>9735.7991334940416</v>
      </c>
    </row>
    <row r="30" spans="2:10" x14ac:dyDescent="0.25">
      <c r="B30" t="s">
        <v>137</v>
      </c>
      <c r="C30" t="s">
        <v>274</v>
      </c>
      <c r="D30" t="s">
        <v>335</v>
      </c>
      <c r="E30" t="s">
        <v>46</v>
      </c>
      <c r="F30" s="3"/>
      <c r="G30" s="3"/>
      <c r="H30" s="3">
        <v>9508.6358673464038</v>
      </c>
      <c r="I30" s="3">
        <v>4064.6728970083595</v>
      </c>
      <c r="J30" s="3">
        <v>13573.308764354762</v>
      </c>
    </row>
    <row r="31" spans="2:10" x14ac:dyDescent="0.25">
      <c r="B31" t="s">
        <v>137</v>
      </c>
      <c r="C31" t="s">
        <v>274</v>
      </c>
      <c r="D31" t="s">
        <v>335</v>
      </c>
      <c r="E31" t="s">
        <v>47</v>
      </c>
      <c r="F31" s="3"/>
      <c r="G31" s="3"/>
      <c r="H31" s="3">
        <v>9508.6358673464038</v>
      </c>
      <c r="I31" s="3">
        <v>4064.6728970083595</v>
      </c>
      <c r="J31" s="3">
        <v>13573.308764354762</v>
      </c>
    </row>
    <row r="32" spans="2:10" x14ac:dyDescent="0.25">
      <c r="B32" t="s">
        <v>137</v>
      </c>
      <c r="C32" t="s">
        <v>274</v>
      </c>
      <c r="D32" t="s">
        <v>335</v>
      </c>
      <c r="E32" t="s">
        <v>48</v>
      </c>
      <c r="F32" s="3"/>
      <c r="G32" s="3"/>
      <c r="H32" s="3">
        <v>9508.6358673464038</v>
      </c>
      <c r="I32" s="3">
        <v>4064.6728970083595</v>
      </c>
      <c r="J32" s="3">
        <v>13573.308764354762</v>
      </c>
    </row>
    <row r="33" spans="2:10" x14ac:dyDescent="0.25">
      <c r="B33" t="s">
        <v>137</v>
      </c>
      <c r="C33" t="s">
        <v>274</v>
      </c>
      <c r="D33" t="s">
        <v>335</v>
      </c>
      <c r="E33" t="s">
        <v>49</v>
      </c>
      <c r="F33" s="3"/>
      <c r="G33" s="3"/>
      <c r="H33" s="3">
        <v>9508.6358673464038</v>
      </c>
      <c r="I33" s="3">
        <v>4064.6728970083595</v>
      </c>
      <c r="J33" s="3">
        <v>13573.308764354762</v>
      </c>
    </row>
    <row r="34" spans="2:10" x14ac:dyDescent="0.25">
      <c r="B34" t="s">
        <v>137</v>
      </c>
      <c r="C34" t="s">
        <v>274</v>
      </c>
      <c r="D34" t="s">
        <v>335</v>
      </c>
      <c r="E34" t="s">
        <v>50</v>
      </c>
      <c r="F34" s="3"/>
      <c r="G34" s="3"/>
      <c r="H34" s="3">
        <v>9508.6358673464038</v>
      </c>
      <c r="I34" s="3">
        <v>4064.6728970083595</v>
      </c>
      <c r="J34" s="3">
        <v>13573.308764354762</v>
      </c>
    </row>
    <row r="35" spans="2:10" x14ac:dyDescent="0.25">
      <c r="B35" t="s">
        <v>137</v>
      </c>
      <c r="C35" t="s">
        <v>274</v>
      </c>
      <c r="D35" t="s">
        <v>335</v>
      </c>
      <c r="E35" t="s">
        <v>51</v>
      </c>
      <c r="F35" s="3"/>
      <c r="G35" s="3"/>
      <c r="H35" s="3">
        <v>9508.6358673464038</v>
      </c>
      <c r="I35" s="3">
        <v>4064.6728970083595</v>
      </c>
      <c r="J35" s="3">
        <v>13573.308764354762</v>
      </c>
    </row>
    <row r="36" spans="2:10" x14ac:dyDescent="0.25">
      <c r="B36" t="s">
        <v>137</v>
      </c>
      <c r="C36" t="s">
        <v>274</v>
      </c>
      <c r="D36" t="s">
        <v>335</v>
      </c>
      <c r="E36" t="s">
        <v>196</v>
      </c>
      <c r="F36" s="3"/>
      <c r="G36" s="3"/>
      <c r="H36" s="3">
        <v>9508.6358673464038</v>
      </c>
      <c r="I36" s="3">
        <v>4064.6728970083595</v>
      </c>
      <c r="J36" s="3">
        <v>13573.308764354762</v>
      </c>
    </row>
    <row r="37" spans="2:10" x14ac:dyDescent="0.25">
      <c r="B37" t="s">
        <v>137</v>
      </c>
      <c r="C37" t="s">
        <v>274</v>
      </c>
      <c r="D37" t="s">
        <v>335</v>
      </c>
      <c r="E37" t="s">
        <v>197</v>
      </c>
      <c r="F37" s="3"/>
      <c r="G37" s="3"/>
      <c r="H37" s="3">
        <v>9508.6358673464038</v>
      </c>
      <c r="I37" s="3">
        <v>4064.6728970083595</v>
      </c>
      <c r="J37" s="3">
        <v>13573.308764354762</v>
      </c>
    </row>
    <row r="38" spans="2:10" x14ac:dyDescent="0.25">
      <c r="B38" t="s">
        <v>137</v>
      </c>
      <c r="C38" t="s">
        <v>274</v>
      </c>
      <c r="D38" t="s">
        <v>335</v>
      </c>
      <c r="E38" t="s">
        <v>198</v>
      </c>
      <c r="F38" s="3"/>
      <c r="G38" s="3"/>
      <c r="H38" s="3">
        <v>9508.6358673464038</v>
      </c>
      <c r="I38" s="3">
        <v>4064.6728970083595</v>
      </c>
      <c r="J38" s="3">
        <v>13573.308764354762</v>
      </c>
    </row>
    <row r="39" spans="2:10" x14ac:dyDescent="0.25">
      <c r="B39" t="s">
        <v>137</v>
      </c>
      <c r="C39" t="s">
        <v>274</v>
      </c>
      <c r="D39" t="s">
        <v>335</v>
      </c>
      <c r="E39" t="s">
        <v>199</v>
      </c>
      <c r="F39" s="3"/>
      <c r="G39" s="3"/>
      <c r="H39" s="3">
        <v>9508.6358673464038</v>
      </c>
      <c r="I39" s="3">
        <v>4064.6728970083595</v>
      </c>
      <c r="J39" s="3">
        <v>13573.308764354762</v>
      </c>
    </row>
    <row r="40" spans="2:10" x14ac:dyDescent="0.25">
      <c r="B40" t="s">
        <v>137</v>
      </c>
      <c r="C40" t="s">
        <v>274</v>
      </c>
      <c r="D40" t="s">
        <v>335</v>
      </c>
      <c r="E40" t="s">
        <v>200</v>
      </c>
      <c r="F40" s="3"/>
      <c r="G40" s="3"/>
      <c r="H40" s="3">
        <v>9508.6358673464038</v>
      </c>
      <c r="I40" s="3">
        <v>4064.6728970083595</v>
      </c>
      <c r="J40" s="3">
        <v>13573.308764354762</v>
      </c>
    </row>
    <row r="41" spans="2:10" x14ac:dyDescent="0.25">
      <c r="B41" t="s">
        <v>137</v>
      </c>
      <c r="C41" t="s">
        <v>274</v>
      </c>
      <c r="D41" t="s">
        <v>335</v>
      </c>
      <c r="E41" t="s">
        <v>240</v>
      </c>
      <c r="F41" s="3"/>
      <c r="G41" s="3"/>
      <c r="H41" s="3">
        <v>9508.6358673464038</v>
      </c>
      <c r="I41" s="3">
        <v>4064.6728970083595</v>
      </c>
      <c r="J41" s="3">
        <v>13573.308764354762</v>
      </c>
    </row>
    <row r="42" spans="2:10" x14ac:dyDescent="0.25">
      <c r="B42" t="s">
        <v>137</v>
      </c>
      <c r="C42" t="s">
        <v>274</v>
      </c>
      <c r="D42" t="s">
        <v>335</v>
      </c>
      <c r="E42" t="s">
        <v>301</v>
      </c>
      <c r="F42" s="3"/>
      <c r="G42" s="3"/>
      <c r="H42" s="3">
        <v>9508.6358673464038</v>
      </c>
      <c r="I42" s="3">
        <v>4064.6728970083595</v>
      </c>
      <c r="J42" s="3">
        <v>13573.308764354762</v>
      </c>
    </row>
    <row r="43" spans="2:10" x14ac:dyDescent="0.25">
      <c r="B43" t="s">
        <v>137</v>
      </c>
      <c r="C43" t="s">
        <v>274</v>
      </c>
      <c r="D43" t="s">
        <v>335</v>
      </c>
      <c r="E43" t="s">
        <v>302</v>
      </c>
      <c r="F43" s="3"/>
      <c r="G43" s="3"/>
      <c r="H43" s="3">
        <v>9508.6358673464038</v>
      </c>
      <c r="I43" s="3">
        <v>4064.6728970083595</v>
      </c>
      <c r="J43" s="3">
        <v>13573.308764354762</v>
      </c>
    </row>
    <row r="44" spans="2:10" x14ac:dyDescent="0.25">
      <c r="B44" t="s">
        <v>137</v>
      </c>
      <c r="C44" t="s">
        <v>274</v>
      </c>
      <c r="D44" t="s">
        <v>335</v>
      </c>
      <c r="E44" t="s">
        <v>303</v>
      </c>
      <c r="F44" s="3"/>
      <c r="G44" s="3"/>
      <c r="H44" s="3">
        <v>9508.6358673464038</v>
      </c>
      <c r="I44" s="3">
        <v>4064.6728970083595</v>
      </c>
      <c r="J44" s="3">
        <v>13573.308764354762</v>
      </c>
    </row>
    <row r="45" spans="2:10" x14ac:dyDescent="0.25">
      <c r="B45" t="s">
        <v>137</v>
      </c>
      <c r="C45" t="s">
        <v>274</v>
      </c>
      <c r="D45" t="s">
        <v>335</v>
      </c>
      <c r="E45" t="s">
        <v>304</v>
      </c>
      <c r="F45" s="3"/>
      <c r="G45" s="3"/>
      <c r="H45" s="3">
        <v>9508.6358673464038</v>
      </c>
      <c r="I45" s="3">
        <v>4064.6728970083595</v>
      </c>
      <c r="J45" s="3">
        <v>13573.308764354762</v>
      </c>
    </row>
    <row r="46" spans="2:10" x14ac:dyDescent="0.25">
      <c r="B46" t="s">
        <v>137</v>
      </c>
      <c r="C46" t="s">
        <v>274</v>
      </c>
      <c r="D46" t="s">
        <v>335</v>
      </c>
      <c r="E46" t="s">
        <v>305</v>
      </c>
      <c r="F46" s="3"/>
      <c r="G46" s="3"/>
      <c r="H46" s="3">
        <v>9508.6358673464038</v>
      </c>
      <c r="I46" s="3">
        <v>4064.6728970083595</v>
      </c>
      <c r="J46" s="3">
        <v>13573.308764354762</v>
      </c>
    </row>
    <row r="47" spans="2:10" x14ac:dyDescent="0.25">
      <c r="B47" t="s">
        <v>137</v>
      </c>
      <c r="C47" t="s">
        <v>274</v>
      </c>
      <c r="D47" t="s">
        <v>335</v>
      </c>
      <c r="E47" t="s">
        <v>306</v>
      </c>
      <c r="F47" s="3"/>
      <c r="G47" s="3"/>
      <c r="H47" s="3">
        <v>9508.6358673464038</v>
      </c>
      <c r="I47" s="3">
        <v>4064.6728970083595</v>
      </c>
      <c r="J47" s="3">
        <v>13573.308764354762</v>
      </c>
    </row>
    <row r="48" spans="2:10" x14ac:dyDescent="0.25">
      <c r="B48" t="s">
        <v>137</v>
      </c>
      <c r="C48" t="s">
        <v>274</v>
      </c>
      <c r="D48" t="s">
        <v>335</v>
      </c>
      <c r="E48" t="s">
        <v>307</v>
      </c>
      <c r="F48" s="3"/>
      <c r="G48" s="3"/>
      <c r="H48" s="3">
        <v>9508.6358673464038</v>
      </c>
      <c r="I48" s="3">
        <v>4064.6728970083595</v>
      </c>
      <c r="J48" s="3">
        <v>13573.308764354762</v>
      </c>
    </row>
    <row r="49" spans="2:10" x14ac:dyDescent="0.25">
      <c r="B49" t="s">
        <v>137</v>
      </c>
      <c r="C49" t="s">
        <v>274</v>
      </c>
      <c r="D49" t="s">
        <v>335</v>
      </c>
      <c r="E49" t="s">
        <v>308</v>
      </c>
      <c r="F49" s="3"/>
      <c r="G49" s="3"/>
      <c r="H49" s="3">
        <v>9508.6358673464038</v>
      </c>
      <c r="I49" s="3">
        <v>4064.6728970083595</v>
      </c>
      <c r="J49" s="3">
        <v>13573.308764354762</v>
      </c>
    </row>
    <row r="50" spans="2:10" x14ac:dyDescent="0.25">
      <c r="B50" t="s">
        <v>137</v>
      </c>
      <c r="C50" t="s">
        <v>274</v>
      </c>
      <c r="D50" t="s">
        <v>335</v>
      </c>
      <c r="E50" t="s">
        <v>309</v>
      </c>
      <c r="F50" s="3"/>
      <c r="G50" s="3"/>
      <c r="H50" s="3">
        <v>9508.6358673464038</v>
      </c>
      <c r="I50" s="3">
        <v>4064.6728970083595</v>
      </c>
      <c r="J50" s="3">
        <v>13573.308764354762</v>
      </c>
    </row>
    <row r="51" spans="2:10" x14ac:dyDescent="0.25">
      <c r="B51" t="s">
        <v>137</v>
      </c>
      <c r="C51" t="s">
        <v>274</v>
      </c>
      <c r="D51" t="s">
        <v>335</v>
      </c>
      <c r="E51" t="s">
        <v>310</v>
      </c>
      <c r="F51" s="3"/>
      <c r="G51" s="3"/>
      <c r="H51" s="3">
        <v>9508.6358673464038</v>
      </c>
      <c r="I51" s="3">
        <v>4064.6728970083595</v>
      </c>
      <c r="J51" s="3">
        <v>13573.308764354762</v>
      </c>
    </row>
    <row r="52" spans="2:10" x14ac:dyDescent="0.25">
      <c r="B52" t="s">
        <v>137</v>
      </c>
      <c r="C52" t="s">
        <v>274</v>
      </c>
      <c r="D52" t="s">
        <v>335</v>
      </c>
      <c r="E52" t="s">
        <v>311</v>
      </c>
      <c r="F52" s="3"/>
      <c r="G52" s="3"/>
      <c r="H52" s="3">
        <v>9508.6358673464038</v>
      </c>
      <c r="I52" s="3">
        <v>4064.6728970083595</v>
      </c>
      <c r="J52" s="3">
        <v>13573.308764354762</v>
      </c>
    </row>
    <row r="53" spans="2:10" x14ac:dyDescent="0.25">
      <c r="B53" t="s">
        <v>137</v>
      </c>
      <c r="C53" t="s">
        <v>274</v>
      </c>
      <c r="D53" t="s">
        <v>335</v>
      </c>
      <c r="E53" t="s">
        <v>312</v>
      </c>
      <c r="F53" s="3"/>
      <c r="G53" s="3"/>
      <c r="H53" s="3">
        <v>9508.6358673464038</v>
      </c>
      <c r="I53" s="3">
        <v>4064.6728970083595</v>
      </c>
      <c r="J53" s="3">
        <v>13573.308764354762</v>
      </c>
    </row>
    <row r="54" spans="2:10" x14ac:dyDescent="0.25">
      <c r="B54" t="s">
        <v>137</v>
      </c>
      <c r="C54" t="s">
        <v>275</v>
      </c>
      <c r="D54" t="s">
        <v>336</v>
      </c>
      <c r="E54" t="s">
        <v>46</v>
      </c>
      <c r="F54" s="3"/>
      <c r="G54" s="3">
        <v>124</v>
      </c>
      <c r="H54" s="3"/>
      <c r="I54" s="3"/>
      <c r="J54" s="3">
        <v>124</v>
      </c>
    </row>
    <row r="55" spans="2:10" x14ac:dyDescent="0.25">
      <c r="B55" t="s">
        <v>137</v>
      </c>
      <c r="C55" t="s">
        <v>275</v>
      </c>
      <c r="D55" t="s">
        <v>336</v>
      </c>
      <c r="E55" t="s">
        <v>47</v>
      </c>
      <c r="F55" s="3"/>
      <c r="G55" s="3">
        <v>124</v>
      </c>
      <c r="H55" s="3"/>
      <c r="I55" s="3"/>
      <c r="J55" s="3">
        <v>124</v>
      </c>
    </row>
    <row r="56" spans="2:10" x14ac:dyDescent="0.25">
      <c r="B56" t="s">
        <v>137</v>
      </c>
      <c r="C56" t="s">
        <v>275</v>
      </c>
      <c r="D56" t="s">
        <v>336</v>
      </c>
      <c r="E56" t="s">
        <v>48</v>
      </c>
      <c r="F56" s="3"/>
      <c r="G56" s="3">
        <v>124</v>
      </c>
      <c r="H56" s="3"/>
      <c r="I56" s="3"/>
      <c r="J56" s="3">
        <v>124</v>
      </c>
    </row>
    <row r="57" spans="2:10" x14ac:dyDescent="0.25">
      <c r="B57" t="s">
        <v>137</v>
      </c>
      <c r="C57" t="s">
        <v>275</v>
      </c>
      <c r="D57" t="s">
        <v>336</v>
      </c>
      <c r="E57" t="s">
        <v>50</v>
      </c>
      <c r="F57" s="3"/>
      <c r="G57" s="3">
        <v>124</v>
      </c>
      <c r="H57" s="3"/>
      <c r="I57" s="3"/>
      <c r="J57" s="3">
        <v>124</v>
      </c>
    </row>
    <row r="58" spans="2:10" x14ac:dyDescent="0.25">
      <c r="B58" t="s">
        <v>137</v>
      </c>
      <c r="C58" t="s">
        <v>275</v>
      </c>
      <c r="D58" t="s">
        <v>336</v>
      </c>
      <c r="E58" t="s">
        <v>196</v>
      </c>
      <c r="F58" s="3"/>
      <c r="G58" s="3">
        <v>124</v>
      </c>
      <c r="H58" s="3"/>
      <c r="I58" s="3"/>
      <c r="J58" s="3">
        <v>124</v>
      </c>
    </row>
    <row r="59" spans="2:10" x14ac:dyDescent="0.25">
      <c r="B59" t="s">
        <v>137</v>
      </c>
      <c r="C59" t="s">
        <v>275</v>
      </c>
      <c r="D59" t="s">
        <v>336</v>
      </c>
      <c r="E59" t="s">
        <v>199</v>
      </c>
      <c r="F59" s="3"/>
      <c r="G59" s="3">
        <v>124</v>
      </c>
      <c r="H59" s="3"/>
      <c r="I59" s="3"/>
      <c r="J59" s="3">
        <v>124</v>
      </c>
    </row>
    <row r="60" spans="2:10" x14ac:dyDescent="0.25">
      <c r="B60" t="s">
        <v>137</v>
      </c>
      <c r="C60" t="s">
        <v>275</v>
      </c>
      <c r="D60" t="s">
        <v>336</v>
      </c>
      <c r="E60" t="s">
        <v>240</v>
      </c>
      <c r="F60" s="3"/>
      <c r="G60" s="3">
        <v>25.432108074022501</v>
      </c>
      <c r="H60" s="3"/>
      <c r="I60" s="3"/>
      <c r="J60" s="3">
        <v>25.432108074022501</v>
      </c>
    </row>
    <row r="61" spans="2:10" x14ac:dyDescent="0.25">
      <c r="B61" t="s">
        <v>137</v>
      </c>
      <c r="C61" t="s">
        <v>275</v>
      </c>
      <c r="D61" t="s">
        <v>336</v>
      </c>
      <c r="E61" t="s">
        <v>301</v>
      </c>
      <c r="F61" s="3"/>
      <c r="G61" s="3">
        <v>248</v>
      </c>
      <c r="H61" s="3"/>
      <c r="I61" s="3"/>
      <c r="J61" s="3">
        <v>248</v>
      </c>
    </row>
    <row r="62" spans="2:10" x14ac:dyDescent="0.25">
      <c r="B62" t="s">
        <v>137</v>
      </c>
      <c r="C62" t="s">
        <v>275</v>
      </c>
      <c r="D62" t="s">
        <v>336</v>
      </c>
      <c r="E62" t="s">
        <v>302</v>
      </c>
      <c r="F62" s="3"/>
      <c r="G62" s="3">
        <v>248</v>
      </c>
      <c r="H62" s="3"/>
      <c r="I62" s="3"/>
      <c r="J62" s="3">
        <v>248</v>
      </c>
    </row>
    <row r="63" spans="2:10" x14ac:dyDescent="0.25">
      <c r="B63" t="s">
        <v>137</v>
      </c>
      <c r="C63" t="s">
        <v>275</v>
      </c>
      <c r="D63" t="s">
        <v>336</v>
      </c>
      <c r="E63" t="s">
        <v>303</v>
      </c>
      <c r="F63" s="3"/>
      <c r="G63" s="3">
        <v>124</v>
      </c>
      <c r="H63" s="3"/>
      <c r="I63" s="3"/>
      <c r="J63" s="3">
        <v>124</v>
      </c>
    </row>
    <row r="64" spans="2:10" x14ac:dyDescent="0.25">
      <c r="B64" t="s">
        <v>137</v>
      </c>
      <c r="C64" t="s">
        <v>275</v>
      </c>
      <c r="D64" t="s">
        <v>336</v>
      </c>
      <c r="E64" t="s">
        <v>304</v>
      </c>
      <c r="F64" s="3"/>
      <c r="G64" s="3">
        <v>248</v>
      </c>
      <c r="H64" s="3"/>
      <c r="I64" s="3"/>
      <c r="J64" s="3">
        <v>248</v>
      </c>
    </row>
    <row r="65" spans="2:10" x14ac:dyDescent="0.25">
      <c r="B65" t="s">
        <v>137</v>
      </c>
      <c r="C65" t="s">
        <v>275</v>
      </c>
      <c r="D65" t="s">
        <v>336</v>
      </c>
      <c r="E65" t="s">
        <v>305</v>
      </c>
      <c r="F65" s="3"/>
      <c r="G65" s="3">
        <v>124</v>
      </c>
      <c r="H65" s="3"/>
      <c r="I65" s="3"/>
      <c r="J65" s="3">
        <v>124</v>
      </c>
    </row>
    <row r="66" spans="2:10" x14ac:dyDescent="0.25">
      <c r="B66" t="s">
        <v>137</v>
      </c>
      <c r="C66" t="s">
        <v>275</v>
      </c>
      <c r="D66" t="s">
        <v>336</v>
      </c>
      <c r="E66" t="s">
        <v>306</v>
      </c>
      <c r="F66" s="3"/>
      <c r="G66" s="3">
        <v>248</v>
      </c>
      <c r="H66" s="3"/>
      <c r="I66" s="3"/>
      <c r="J66" s="3">
        <v>248</v>
      </c>
    </row>
    <row r="67" spans="2:10" x14ac:dyDescent="0.25">
      <c r="B67" t="s">
        <v>137</v>
      </c>
      <c r="C67" t="s">
        <v>275</v>
      </c>
      <c r="D67" t="s">
        <v>336</v>
      </c>
      <c r="E67" t="s">
        <v>307</v>
      </c>
      <c r="F67" s="3"/>
      <c r="G67" s="3">
        <v>149.43210807402249</v>
      </c>
      <c r="H67" s="3"/>
      <c r="I67" s="3"/>
      <c r="J67" s="3">
        <v>149.43210807402249</v>
      </c>
    </row>
    <row r="68" spans="2:10" x14ac:dyDescent="0.25">
      <c r="B68" t="s">
        <v>137</v>
      </c>
      <c r="C68" t="s">
        <v>275</v>
      </c>
      <c r="D68" t="s">
        <v>336</v>
      </c>
      <c r="E68" t="s">
        <v>308</v>
      </c>
      <c r="F68" s="3"/>
      <c r="G68" s="3">
        <v>248</v>
      </c>
      <c r="H68" s="3"/>
      <c r="I68" s="3"/>
      <c r="J68" s="3">
        <v>248</v>
      </c>
    </row>
    <row r="69" spans="2:10" x14ac:dyDescent="0.25">
      <c r="B69" t="s">
        <v>137</v>
      </c>
      <c r="C69" t="s">
        <v>275</v>
      </c>
      <c r="D69" t="s">
        <v>336</v>
      </c>
      <c r="E69" t="s">
        <v>309</v>
      </c>
      <c r="F69" s="3"/>
      <c r="G69" s="3">
        <v>248</v>
      </c>
      <c r="H69" s="3"/>
      <c r="I69" s="3"/>
      <c r="J69" s="3">
        <v>248</v>
      </c>
    </row>
    <row r="70" spans="2:10" x14ac:dyDescent="0.25">
      <c r="B70" t="s">
        <v>137</v>
      </c>
      <c r="C70" t="s">
        <v>275</v>
      </c>
      <c r="D70" t="s">
        <v>336</v>
      </c>
      <c r="E70" t="s">
        <v>310</v>
      </c>
      <c r="F70" s="3"/>
      <c r="G70" s="3">
        <v>248</v>
      </c>
      <c r="H70" s="3"/>
      <c r="I70" s="3"/>
      <c r="J70" s="3">
        <v>248</v>
      </c>
    </row>
    <row r="71" spans="2:10" x14ac:dyDescent="0.25">
      <c r="B71" t="s">
        <v>137</v>
      </c>
      <c r="C71" t="s">
        <v>275</v>
      </c>
      <c r="D71" t="s">
        <v>336</v>
      </c>
      <c r="E71" t="s">
        <v>311</v>
      </c>
      <c r="F71" s="3"/>
      <c r="G71" s="3">
        <v>248</v>
      </c>
      <c r="H71" s="3"/>
      <c r="I71" s="3"/>
      <c r="J71" s="3">
        <v>248</v>
      </c>
    </row>
    <row r="72" spans="2:10" x14ac:dyDescent="0.25">
      <c r="B72" t="s">
        <v>137</v>
      </c>
      <c r="C72" t="s">
        <v>275</v>
      </c>
      <c r="D72" t="s">
        <v>336</v>
      </c>
      <c r="E72" t="s">
        <v>312</v>
      </c>
      <c r="F72" s="3"/>
      <c r="G72" s="3">
        <v>124</v>
      </c>
      <c r="H72" s="3"/>
      <c r="I72" s="3"/>
      <c r="J72" s="3">
        <v>124</v>
      </c>
    </row>
    <row r="73" spans="2:10" x14ac:dyDescent="0.25">
      <c r="B73" t="s">
        <v>137</v>
      </c>
      <c r="C73" t="s">
        <v>275</v>
      </c>
      <c r="D73" t="s">
        <v>337</v>
      </c>
      <c r="E73" t="s">
        <v>46</v>
      </c>
      <c r="F73" s="3"/>
      <c r="G73" s="3"/>
      <c r="H73" s="3">
        <v>9771.4001357198813</v>
      </c>
      <c r="I73" s="3">
        <v>2948.5744797677703</v>
      </c>
      <c r="J73" s="3">
        <v>12719.974615487652</v>
      </c>
    </row>
    <row r="74" spans="2:10" x14ac:dyDescent="0.25">
      <c r="B74" t="s">
        <v>137</v>
      </c>
      <c r="C74" t="s">
        <v>275</v>
      </c>
      <c r="D74" t="s">
        <v>337</v>
      </c>
      <c r="E74" t="s">
        <v>47</v>
      </c>
      <c r="F74" s="3"/>
      <c r="G74" s="3"/>
      <c r="H74" s="3">
        <v>6621.0365487027675</v>
      </c>
      <c r="I74" s="3">
        <v>5227.2559999692103</v>
      </c>
      <c r="J74" s="3">
        <v>11848.292548671978</v>
      </c>
    </row>
    <row r="75" spans="2:10" x14ac:dyDescent="0.25">
      <c r="B75" t="s">
        <v>137</v>
      </c>
      <c r="C75" t="s">
        <v>275</v>
      </c>
      <c r="D75" t="s">
        <v>337</v>
      </c>
      <c r="E75" t="s">
        <v>48</v>
      </c>
      <c r="F75" s="3"/>
      <c r="G75" s="3"/>
      <c r="H75" s="3">
        <v>7792.6714239133489</v>
      </c>
      <c r="I75" s="3">
        <v>2657.6694585903288</v>
      </c>
      <c r="J75" s="3">
        <v>10450.340882503679</v>
      </c>
    </row>
    <row r="76" spans="2:10" x14ac:dyDescent="0.25">
      <c r="B76" t="s">
        <v>137</v>
      </c>
      <c r="C76" t="s">
        <v>275</v>
      </c>
      <c r="D76" t="s">
        <v>337</v>
      </c>
      <c r="E76" t="s">
        <v>49</v>
      </c>
      <c r="F76" s="3"/>
      <c r="G76" s="3"/>
      <c r="H76" s="3">
        <v>7139.9396174375015</v>
      </c>
      <c r="I76" s="3">
        <v>4014.2789253042188</v>
      </c>
      <c r="J76" s="3">
        <v>11154.218542741721</v>
      </c>
    </row>
    <row r="77" spans="2:10" x14ac:dyDescent="0.25">
      <c r="B77" t="s">
        <v>137</v>
      </c>
      <c r="C77" t="s">
        <v>275</v>
      </c>
      <c r="D77" t="s">
        <v>337</v>
      </c>
      <c r="E77" t="s">
        <v>50</v>
      </c>
      <c r="F77" s="3"/>
      <c r="G77" s="3"/>
      <c r="H77" s="3">
        <v>6799.3392828485494</v>
      </c>
      <c r="I77" s="3">
        <v>4573.3653281472198</v>
      </c>
      <c r="J77" s="3">
        <v>11372.70461099577</v>
      </c>
    </row>
    <row r="78" spans="2:10" x14ac:dyDescent="0.25">
      <c r="B78" t="s">
        <v>137</v>
      </c>
      <c r="C78" t="s">
        <v>275</v>
      </c>
      <c r="D78" t="s">
        <v>337</v>
      </c>
      <c r="E78" t="s">
        <v>51</v>
      </c>
      <c r="F78" s="3"/>
      <c r="G78" s="3"/>
      <c r="H78" s="3">
        <v>7216.7563995625496</v>
      </c>
      <c r="I78" s="3">
        <v>5260.6069519086996</v>
      </c>
      <c r="J78" s="3">
        <v>12477.363351471249</v>
      </c>
    </row>
    <row r="79" spans="2:10" x14ac:dyDescent="0.25">
      <c r="B79" t="s">
        <v>137</v>
      </c>
      <c r="C79" t="s">
        <v>275</v>
      </c>
      <c r="D79" t="s">
        <v>337</v>
      </c>
      <c r="E79" t="s">
        <v>196</v>
      </c>
      <c r="F79" s="3"/>
      <c r="G79" s="3"/>
      <c r="H79" s="3">
        <v>8704.0414540760357</v>
      </c>
      <c r="I79" s="3">
        <v>7138.0420057752799</v>
      </c>
      <c r="J79" s="3">
        <v>15842.083459851316</v>
      </c>
    </row>
    <row r="80" spans="2:10" x14ac:dyDescent="0.25">
      <c r="B80" t="s">
        <v>137</v>
      </c>
      <c r="C80" t="s">
        <v>275</v>
      </c>
      <c r="D80" t="s">
        <v>337</v>
      </c>
      <c r="E80" t="s">
        <v>197</v>
      </c>
      <c r="F80" s="3"/>
      <c r="G80" s="3"/>
      <c r="H80" s="3">
        <v>11471.667277279579</v>
      </c>
      <c r="I80" s="3">
        <v>8380.789477759261</v>
      </c>
      <c r="J80" s="3">
        <v>19852.456755038838</v>
      </c>
    </row>
    <row r="81" spans="2:10" x14ac:dyDescent="0.25">
      <c r="B81" t="s">
        <v>137</v>
      </c>
      <c r="C81" t="s">
        <v>275</v>
      </c>
      <c r="D81" t="s">
        <v>337</v>
      </c>
      <c r="E81" t="s">
        <v>198</v>
      </c>
      <c r="F81" s="3"/>
      <c r="G81" s="3"/>
      <c r="H81" s="3">
        <v>12628.628597224031</v>
      </c>
      <c r="I81" s="3">
        <v>8211.0874722108583</v>
      </c>
      <c r="J81" s="3">
        <v>20839.71606943489</v>
      </c>
    </row>
    <row r="82" spans="2:10" x14ac:dyDescent="0.25">
      <c r="B82" t="s">
        <v>137</v>
      </c>
      <c r="C82" t="s">
        <v>275</v>
      </c>
      <c r="D82" t="s">
        <v>337</v>
      </c>
      <c r="E82" t="s">
        <v>199</v>
      </c>
      <c r="F82" s="3"/>
      <c r="G82" s="3"/>
      <c r="H82" s="3">
        <v>12533.138558998313</v>
      </c>
      <c r="I82" s="3">
        <v>8549.1104412510795</v>
      </c>
      <c r="J82" s="3">
        <v>21082.249000249394</v>
      </c>
    </row>
    <row r="83" spans="2:10" x14ac:dyDescent="0.25">
      <c r="B83" t="s">
        <v>137</v>
      </c>
      <c r="C83" t="s">
        <v>275</v>
      </c>
      <c r="D83" t="s">
        <v>337</v>
      </c>
      <c r="E83" t="s">
        <v>200</v>
      </c>
      <c r="F83" s="3"/>
      <c r="G83" s="3"/>
      <c r="H83" s="3">
        <v>12665.931528726771</v>
      </c>
      <c r="I83" s="3">
        <v>8465.0986369143302</v>
      </c>
      <c r="J83" s="3">
        <v>21131.030165641103</v>
      </c>
    </row>
    <row r="84" spans="2:10" x14ac:dyDescent="0.25">
      <c r="B84" t="s">
        <v>137</v>
      </c>
      <c r="C84" t="s">
        <v>275</v>
      </c>
      <c r="D84" t="s">
        <v>337</v>
      </c>
      <c r="E84" t="s">
        <v>240</v>
      </c>
      <c r="F84" s="3"/>
      <c r="G84" s="3"/>
      <c r="H84" s="3">
        <v>11477.140908442569</v>
      </c>
      <c r="I84" s="3">
        <v>9613.6841214224005</v>
      </c>
      <c r="J84" s="3">
        <v>21090.825029864969</v>
      </c>
    </row>
    <row r="85" spans="2:10" x14ac:dyDescent="0.25">
      <c r="B85" t="s">
        <v>137</v>
      </c>
      <c r="C85" t="s">
        <v>275</v>
      </c>
      <c r="D85" t="s">
        <v>337</v>
      </c>
      <c r="E85" t="s">
        <v>301</v>
      </c>
      <c r="F85" s="3"/>
      <c r="G85" s="3"/>
      <c r="H85" s="3">
        <v>10779.048075569979</v>
      </c>
      <c r="I85" s="3">
        <v>8989.039457537463</v>
      </c>
      <c r="J85" s="3">
        <v>19768.087533107442</v>
      </c>
    </row>
    <row r="86" spans="2:10" x14ac:dyDescent="0.25">
      <c r="B86" t="s">
        <v>137</v>
      </c>
      <c r="C86" t="s">
        <v>275</v>
      </c>
      <c r="D86" t="s">
        <v>337</v>
      </c>
      <c r="E86" t="s">
        <v>302</v>
      </c>
      <c r="F86" s="3"/>
      <c r="G86" s="3"/>
      <c r="H86" s="3">
        <v>9935.2577374754801</v>
      </c>
      <c r="I86" s="3">
        <v>9328.3710850010302</v>
      </c>
      <c r="J86" s="3">
        <v>19263.628822476509</v>
      </c>
    </row>
    <row r="87" spans="2:10" x14ac:dyDescent="0.25">
      <c r="B87" t="s">
        <v>137</v>
      </c>
      <c r="C87" t="s">
        <v>275</v>
      </c>
      <c r="D87" t="s">
        <v>337</v>
      </c>
      <c r="E87" t="s">
        <v>303</v>
      </c>
      <c r="F87" s="3"/>
      <c r="G87" s="3"/>
      <c r="H87" s="3">
        <v>10549.779578784808</v>
      </c>
      <c r="I87" s="3">
        <v>8230.8278882189588</v>
      </c>
      <c r="J87" s="3">
        <v>18780.607467003767</v>
      </c>
    </row>
    <row r="88" spans="2:10" x14ac:dyDescent="0.25">
      <c r="B88" t="s">
        <v>137</v>
      </c>
      <c r="C88" t="s">
        <v>275</v>
      </c>
      <c r="D88" t="s">
        <v>337</v>
      </c>
      <c r="E88" t="s">
        <v>304</v>
      </c>
      <c r="F88" s="3"/>
      <c r="G88" s="3"/>
      <c r="H88" s="3">
        <v>10595.760908202035</v>
      </c>
      <c r="I88" s="3">
        <v>8070.1439192561775</v>
      </c>
      <c r="J88" s="3">
        <v>18665.904827458213</v>
      </c>
    </row>
    <row r="89" spans="2:10" x14ac:dyDescent="0.25">
      <c r="B89" t="s">
        <v>137</v>
      </c>
      <c r="C89" t="s">
        <v>275</v>
      </c>
      <c r="D89" t="s">
        <v>337</v>
      </c>
      <c r="E89" t="s">
        <v>305</v>
      </c>
      <c r="F89" s="3"/>
      <c r="G89" s="3"/>
      <c r="H89" s="3">
        <v>10760.963355603093</v>
      </c>
      <c r="I89" s="3">
        <v>7660.32817956505</v>
      </c>
      <c r="J89" s="3">
        <v>18421.291535168144</v>
      </c>
    </row>
    <row r="90" spans="2:10" x14ac:dyDescent="0.25">
      <c r="B90" t="s">
        <v>137</v>
      </c>
      <c r="C90" t="s">
        <v>275</v>
      </c>
      <c r="D90" t="s">
        <v>337</v>
      </c>
      <c r="E90" t="s">
        <v>306</v>
      </c>
      <c r="F90" s="3"/>
      <c r="G90" s="3"/>
      <c r="H90" s="3">
        <v>11181.420030059564</v>
      </c>
      <c r="I90" s="3">
        <v>8260.0669869005251</v>
      </c>
      <c r="J90" s="3">
        <v>19441.487016960091</v>
      </c>
    </row>
    <row r="91" spans="2:10" x14ac:dyDescent="0.25">
      <c r="B91" t="s">
        <v>137</v>
      </c>
      <c r="C91" t="s">
        <v>275</v>
      </c>
      <c r="D91" t="s">
        <v>337</v>
      </c>
      <c r="E91" t="s">
        <v>307</v>
      </c>
      <c r="F91" s="3"/>
      <c r="G91" s="3"/>
      <c r="H91" s="3">
        <v>12448.590203479351</v>
      </c>
      <c r="I91" s="3">
        <v>8259.8048742039427</v>
      </c>
      <c r="J91" s="3">
        <v>20708.395077683293</v>
      </c>
    </row>
    <row r="92" spans="2:10" x14ac:dyDescent="0.25">
      <c r="B92" t="s">
        <v>137</v>
      </c>
      <c r="C92" t="s">
        <v>275</v>
      </c>
      <c r="D92" t="s">
        <v>337</v>
      </c>
      <c r="E92" t="s">
        <v>308</v>
      </c>
      <c r="F92" s="3"/>
      <c r="G92" s="3"/>
      <c r="H92" s="3">
        <v>12662.82101062931</v>
      </c>
      <c r="I92" s="3">
        <v>9036.9595921204746</v>
      </c>
      <c r="J92" s="3">
        <v>21699.780602749786</v>
      </c>
    </row>
    <row r="93" spans="2:10" x14ac:dyDescent="0.25">
      <c r="B93" t="s">
        <v>137</v>
      </c>
      <c r="C93" t="s">
        <v>275</v>
      </c>
      <c r="D93" t="s">
        <v>337</v>
      </c>
      <c r="E93" t="s">
        <v>309</v>
      </c>
      <c r="F93" s="3"/>
      <c r="G93" s="3"/>
      <c r="H93" s="3">
        <v>12549.885184893627</v>
      </c>
      <c r="I93" s="3">
        <v>8496.5415506710888</v>
      </c>
      <c r="J93" s="3">
        <v>21046.426735564717</v>
      </c>
    </row>
    <row r="94" spans="2:10" x14ac:dyDescent="0.25">
      <c r="B94" t="s">
        <v>137</v>
      </c>
      <c r="C94" t="s">
        <v>275</v>
      </c>
      <c r="D94" t="s">
        <v>337</v>
      </c>
      <c r="E94" t="s">
        <v>310</v>
      </c>
      <c r="F94" s="3"/>
      <c r="G94" s="3"/>
      <c r="H94" s="3">
        <v>11673.522483603478</v>
      </c>
      <c r="I94" s="3">
        <v>8623.9328528755996</v>
      </c>
      <c r="J94" s="3">
        <v>20297.455336479077</v>
      </c>
    </row>
    <row r="95" spans="2:10" x14ac:dyDescent="0.25">
      <c r="B95" t="s">
        <v>137</v>
      </c>
      <c r="C95" t="s">
        <v>275</v>
      </c>
      <c r="D95" t="s">
        <v>337</v>
      </c>
      <c r="E95" t="s">
        <v>311</v>
      </c>
      <c r="F95" s="3"/>
      <c r="G95" s="3"/>
      <c r="H95" s="3">
        <v>11199.521016219911</v>
      </c>
      <c r="I95" s="3">
        <v>6869.7090478378705</v>
      </c>
      <c r="J95" s="3">
        <v>18069.230064057781</v>
      </c>
    </row>
    <row r="96" spans="2:10" x14ac:dyDescent="0.25">
      <c r="B96" t="s">
        <v>137</v>
      </c>
      <c r="C96" t="s">
        <v>275</v>
      </c>
      <c r="D96" t="s">
        <v>337</v>
      </c>
      <c r="E96" t="s">
        <v>312</v>
      </c>
      <c r="F96" s="3"/>
      <c r="G96" s="3"/>
      <c r="H96" s="3">
        <v>9819.7218246459506</v>
      </c>
      <c r="I96" s="3">
        <v>5921.144044327737</v>
      </c>
      <c r="J96" s="3">
        <v>15740.865868973688</v>
      </c>
    </row>
    <row r="97" spans="2:10" x14ac:dyDescent="0.25">
      <c r="B97" t="s">
        <v>137</v>
      </c>
      <c r="C97" t="s">
        <v>276</v>
      </c>
      <c r="D97" t="s">
        <v>338</v>
      </c>
      <c r="E97" t="s">
        <v>46</v>
      </c>
      <c r="F97" s="3">
        <v>168.39834942411099</v>
      </c>
      <c r="G97" s="3"/>
      <c r="H97" s="3"/>
      <c r="I97" s="3"/>
      <c r="J97" s="3">
        <v>168.39834942411099</v>
      </c>
    </row>
    <row r="98" spans="2:10" x14ac:dyDescent="0.25">
      <c r="B98" t="s">
        <v>137</v>
      </c>
      <c r="C98" t="s">
        <v>276</v>
      </c>
      <c r="D98" t="s">
        <v>338</v>
      </c>
      <c r="E98" t="s">
        <v>47</v>
      </c>
      <c r="F98" s="3">
        <v>168.39834942411099</v>
      </c>
      <c r="G98" s="3"/>
      <c r="H98" s="3"/>
      <c r="I98" s="3"/>
      <c r="J98" s="3">
        <v>168.39834942411099</v>
      </c>
    </row>
    <row r="99" spans="2:10" x14ac:dyDescent="0.25">
      <c r="B99" t="s">
        <v>137</v>
      </c>
      <c r="C99" t="s">
        <v>276</v>
      </c>
      <c r="D99" t="s">
        <v>338</v>
      </c>
      <c r="E99" t="s">
        <v>48</v>
      </c>
      <c r="F99" s="3">
        <v>176.15064456092199</v>
      </c>
      <c r="G99" s="3"/>
      <c r="H99" s="3"/>
      <c r="I99" s="3"/>
      <c r="J99" s="3">
        <v>176.15064456092199</v>
      </c>
    </row>
    <row r="100" spans="2:10" x14ac:dyDescent="0.25">
      <c r="B100" t="s">
        <v>137</v>
      </c>
      <c r="C100" t="s">
        <v>276</v>
      </c>
      <c r="D100" t="s">
        <v>338</v>
      </c>
      <c r="E100" t="s">
        <v>49</v>
      </c>
      <c r="F100" s="3">
        <v>221.03235324771799</v>
      </c>
      <c r="G100" s="3"/>
      <c r="H100" s="3"/>
      <c r="I100" s="3"/>
      <c r="J100" s="3">
        <v>221.03235324771799</v>
      </c>
    </row>
    <row r="101" spans="2:10" x14ac:dyDescent="0.25">
      <c r="B101" t="s">
        <v>137</v>
      </c>
      <c r="C101" t="s">
        <v>276</v>
      </c>
      <c r="D101" t="s">
        <v>338</v>
      </c>
      <c r="E101" t="s">
        <v>50</v>
      </c>
      <c r="F101" s="3">
        <v>289.17094734494401</v>
      </c>
      <c r="G101" s="3"/>
      <c r="H101" s="3"/>
      <c r="I101" s="3"/>
      <c r="J101" s="3">
        <v>289.17094734494401</v>
      </c>
    </row>
    <row r="102" spans="2:10" x14ac:dyDescent="0.25">
      <c r="B102" t="s">
        <v>137</v>
      </c>
      <c r="C102" t="s">
        <v>276</v>
      </c>
      <c r="D102" t="s">
        <v>338</v>
      </c>
      <c r="E102" t="s">
        <v>51</v>
      </c>
      <c r="F102" s="3">
        <v>402.191250128967</v>
      </c>
      <c r="G102" s="3"/>
      <c r="H102" s="3"/>
      <c r="I102" s="3"/>
      <c r="J102" s="3">
        <v>402.191250128967</v>
      </c>
    </row>
    <row r="103" spans="2:10" x14ac:dyDescent="0.25">
      <c r="B103" t="s">
        <v>137</v>
      </c>
      <c r="C103" t="s">
        <v>276</v>
      </c>
      <c r="D103" t="s">
        <v>338</v>
      </c>
      <c r="E103" t="s">
        <v>196</v>
      </c>
      <c r="F103" s="3">
        <v>417.28782486907102</v>
      </c>
      <c r="G103" s="3"/>
      <c r="H103" s="3"/>
      <c r="I103" s="3"/>
      <c r="J103" s="3">
        <v>417.28782486907102</v>
      </c>
    </row>
    <row r="104" spans="2:10" x14ac:dyDescent="0.25">
      <c r="B104" t="s">
        <v>137</v>
      </c>
      <c r="C104" t="s">
        <v>276</v>
      </c>
      <c r="D104" t="s">
        <v>338</v>
      </c>
      <c r="E104" t="s">
        <v>197</v>
      </c>
      <c r="F104" s="3">
        <v>409.53552973226101</v>
      </c>
      <c r="G104" s="3"/>
      <c r="H104" s="3"/>
      <c r="I104" s="3"/>
      <c r="J104" s="3">
        <v>409.53552973226101</v>
      </c>
    </row>
    <row r="105" spans="2:10" x14ac:dyDescent="0.25">
      <c r="B105" t="s">
        <v>137</v>
      </c>
      <c r="C105" t="s">
        <v>276</v>
      </c>
      <c r="D105" t="s">
        <v>338</v>
      </c>
      <c r="E105" t="s">
        <v>198</v>
      </c>
      <c r="F105" s="3">
        <v>387.09467538886298</v>
      </c>
      <c r="G105" s="3"/>
      <c r="H105" s="3"/>
      <c r="I105" s="3"/>
      <c r="J105" s="3">
        <v>387.09467538886298</v>
      </c>
    </row>
    <row r="106" spans="2:10" x14ac:dyDescent="0.25">
      <c r="B106" t="s">
        <v>137</v>
      </c>
      <c r="C106" t="s">
        <v>276</v>
      </c>
      <c r="D106" t="s">
        <v>338</v>
      </c>
      <c r="E106" t="s">
        <v>199</v>
      </c>
      <c r="F106" s="3">
        <v>334.46067156525697</v>
      </c>
      <c r="G106" s="3"/>
      <c r="H106" s="3"/>
      <c r="I106" s="3"/>
      <c r="J106" s="3">
        <v>334.46067156525697</v>
      </c>
    </row>
    <row r="107" spans="2:10" x14ac:dyDescent="0.25">
      <c r="B107" t="s">
        <v>137</v>
      </c>
      <c r="C107" t="s">
        <v>276</v>
      </c>
      <c r="D107" t="s">
        <v>338</v>
      </c>
      <c r="E107" t="s">
        <v>200</v>
      </c>
      <c r="F107" s="3">
        <v>296.51522694823802</v>
      </c>
      <c r="G107" s="3"/>
      <c r="H107" s="3"/>
      <c r="I107" s="3"/>
      <c r="J107" s="3">
        <v>296.51522694823802</v>
      </c>
    </row>
    <row r="108" spans="2:10" x14ac:dyDescent="0.25">
      <c r="B108" t="s">
        <v>137</v>
      </c>
      <c r="C108" t="s">
        <v>276</v>
      </c>
      <c r="D108" t="s">
        <v>338</v>
      </c>
      <c r="E108" t="s">
        <v>240</v>
      </c>
      <c r="F108" s="3">
        <v>258.97779786473598</v>
      </c>
      <c r="G108" s="3"/>
      <c r="H108" s="3"/>
      <c r="I108" s="3"/>
      <c r="J108" s="3">
        <v>258.97779786473598</v>
      </c>
    </row>
    <row r="109" spans="2:10" x14ac:dyDescent="0.25">
      <c r="B109" t="s">
        <v>137</v>
      </c>
      <c r="C109" t="s">
        <v>276</v>
      </c>
      <c r="D109" t="s">
        <v>338</v>
      </c>
      <c r="E109" t="s">
        <v>301</v>
      </c>
      <c r="F109" s="3">
        <v>221.03235324771799</v>
      </c>
      <c r="G109" s="3"/>
      <c r="H109" s="3"/>
      <c r="I109" s="3"/>
      <c r="J109" s="3">
        <v>221.03235324771799</v>
      </c>
    </row>
    <row r="110" spans="2:10" x14ac:dyDescent="0.25">
      <c r="B110" t="s">
        <v>137</v>
      </c>
      <c r="C110" t="s">
        <v>276</v>
      </c>
      <c r="D110" t="s">
        <v>338</v>
      </c>
      <c r="E110" t="s">
        <v>302</v>
      </c>
      <c r="F110" s="3">
        <v>213.68807364442401</v>
      </c>
      <c r="G110" s="3"/>
      <c r="H110" s="3"/>
      <c r="I110" s="3"/>
      <c r="J110" s="3">
        <v>213.68807364442401</v>
      </c>
    </row>
    <row r="111" spans="2:10" x14ac:dyDescent="0.25">
      <c r="B111" t="s">
        <v>137</v>
      </c>
      <c r="C111" t="s">
        <v>276</v>
      </c>
      <c r="D111" t="s">
        <v>338</v>
      </c>
      <c r="E111" t="s">
        <v>303</v>
      </c>
      <c r="F111" s="3">
        <v>198.59149890431999</v>
      </c>
      <c r="G111" s="3"/>
      <c r="H111" s="3"/>
      <c r="I111" s="3"/>
      <c r="J111" s="3">
        <v>198.59149890431999</v>
      </c>
    </row>
    <row r="112" spans="2:10" x14ac:dyDescent="0.25">
      <c r="B112" t="s">
        <v>137</v>
      </c>
      <c r="C112" t="s">
        <v>276</v>
      </c>
      <c r="D112" t="s">
        <v>338</v>
      </c>
      <c r="E112" t="s">
        <v>304</v>
      </c>
      <c r="F112" s="3">
        <v>213.68807364442401</v>
      </c>
      <c r="G112" s="3"/>
      <c r="H112" s="3"/>
      <c r="I112" s="3"/>
      <c r="J112" s="3">
        <v>213.68807364442401</v>
      </c>
    </row>
    <row r="113" spans="2:10" x14ac:dyDescent="0.25">
      <c r="B113" t="s">
        <v>137</v>
      </c>
      <c r="C113" t="s">
        <v>276</v>
      </c>
      <c r="D113" t="s">
        <v>338</v>
      </c>
      <c r="E113" t="s">
        <v>305</v>
      </c>
      <c r="F113" s="3">
        <v>274.07437260483999</v>
      </c>
      <c r="G113" s="3"/>
      <c r="H113" s="3"/>
      <c r="I113" s="3"/>
      <c r="J113" s="3">
        <v>274.07437260483999</v>
      </c>
    </row>
    <row r="114" spans="2:10" x14ac:dyDescent="0.25">
      <c r="B114" t="s">
        <v>137</v>
      </c>
      <c r="C114" t="s">
        <v>276</v>
      </c>
      <c r="D114" t="s">
        <v>338</v>
      </c>
      <c r="E114" t="s">
        <v>306</v>
      </c>
      <c r="F114" s="3">
        <v>326.70837642844702</v>
      </c>
      <c r="G114" s="3"/>
      <c r="H114" s="3"/>
      <c r="I114" s="3"/>
      <c r="J114" s="3">
        <v>326.70837642844702</v>
      </c>
    </row>
    <row r="115" spans="2:10" x14ac:dyDescent="0.25">
      <c r="B115" t="s">
        <v>137</v>
      </c>
      <c r="C115" t="s">
        <v>276</v>
      </c>
      <c r="D115" t="s">
        <v>338</v>
      </c>
      <c r="E115" t="s">
        <v>307</v>
      </c>
      <c r="F115" s="3">
        <v>385.401525908655</v>
      </c>
      <c r="G115" s="3"/>
      <c r="H115" s="3"/>
      <c r="I115" s="3"/>
      <c r="J115" s="3">
        <v>385.401525908655</v>
      </c>
    </row>
    <row r="116" spans="2:10" x14ac:dyDescent="0.25">
      <c r="B116" t="s">
        <v>137</v>
      </c>
      <c r="C116" t="s">
        <v>276</v>
      </c>
      <c r="D116" t="s">
        <v>338</v>
      </c>
      <c r="E116" t="s">
        <v>308</v>
      </c>
      <c r="F116" s="3">
        <v>370.30495116855099</v>
      </c>
      <c r="G116" s="3"/>
      <c r="H116" s="3"/>
      <c r="I116" s="3"/>
      <c r="J116" s="3">
        <v>370.30495116855099</v>
      </c>
    </row>
    <row r="117" spans="2:10" x14ac:dyDescent="0.25">
      <c r="B117" t="s">
        <v>137</v>
      </c>
      <c r="C117" t="s">
        <v>276</v>
      </c>
      <c r="D117" t="s">
        <v>338</v>
      </c>
      <c r="E117" t="s">
        <v>309</v>
      </c>
      <c r="F117" s="3">
        <v>309.91865220813401</v>
      </c>
      <c r="G117" s="3"/>
      <c r="H117" s="3"/>
      <c r="I117" s="3"/>
      <c r="J117" s="3">
        <v>309.91865220813401</v>
      </c>
    </row>
    <row r="118" spans="2:10" x14ac:dyDescent="0.25">
      <c r="B118" t="s">
        <v>137</v>
      </c>
      <c r="C118" t="s">
        <v>276</v>
      </c>
      <c r="D118" t="s">
        <v>338</v>
      </c>
      <c r="E118" t="s">
        <v>310</v>
      </c>
      <c r="F118" s="3">
        <v>272.38122312463202</v>
      </c>
      <c r="G118" s="3"/>
      <c r="H118" s="3"/>
      <c r="I118" s="3"/>
      <c r="J118" s="3">
        <v>272.38122312463202</v>
      </c>
    </row>
    <row r="119" spans="2:10" x14ac:dyDescent="0.25">
      <c r="B119" t="s">
        <v>137</v>
      </c>
      <c r="C119" t="s">
        <v>276</v>
      </c>
      <c r="D119" t="s">
        <v>338</v>
      </c>
      <c r="E119" t="s">
        <v>311</v>
      </c>
      <c r="F119" s="3">
        <v>205.935778507614</v>
      </c>
      <c r="G119" s="3"/>
      <c r="H119" s="3"/>
      <c r="I119" s="3"/>
      <c r="J119" s="3">
        <v>205.935778507614</v>
      </c>
    </row>
    <row r="120" spans="2:10" x14ac:dyDescent="0.25">
      <c r="B120" t="s">
        <v>137</v>
      </c>
      <c r="C120" t="s">
        <v>276</v>
      </c>
      <c r="D120" t="s">
        <v>338</v>
      </c>
      <c r="E120" t="s">
        <v>312</v>
      </c>
      <c r="F120" s="3">
        <v>168.39834942411099</v>
      </c>
      <c r="G120" s="3"/>
      <c r="H120" s="3"/>
      <c r="I120" s="3"/>
      <c r="J120" s="3">
        <v>168.39834942411099</v>
      </c>
    </row>
    <row r="121" spans="2:10" x14ac:dyDescent="0.25">
      <c r="B121" t="s">
        <v>137</v>
      </c>
      <c r="C121" t="s">
        <v>276</v>
      </c>
      <c r="D121" t="s">
        <v>264</v>
      </c>
      <c r="E121" t="s">
        <v>46</v>
      </c>
      <c r="F121" s="3">
        <v>320.83333333333297</v>
      </c>
      <c r="G121" s="3"/>
      <c r="H121" s="3"/>
      <c r="I121" s="3"/>
      <c r="J121" s="3">
        <v>320.83333333333297</v>
      </c>
    </row>
    <row r="122" spans="2:10" x14ac:dyDescent="0.25">
      <c r="B122" t="s">
        <v>137</v>
      </c>
      <c r="C122" t="s">
        <v>276</v>
      </c>
      <c r="D122" t="s">
        <v>264</v>
      </c>
      <c r="E122" t="s">
        <v>47</v>
      </c>
      <c r="F122" s="3">
        <v>320.83333333333297</v>
      </c>
      <c r="G122" s="3"/>
      <c r="H122" s="3"/>
      <c r="I122" s="3"/>
      <c r="J122" s="3">
        <v>320.83333333333297</v>
      </c>
    </row>
    <row r="123" spans="2:10" x14ac:dyDescent="0.25">
      <c r="B123" t="s">
        <v>137</v>
      </c>
      <c r="C123" t="s">
        <v>276</v>
      </c>
      <c r="D123" t="s">
        <v>264</v>
      </c>
      <c r="E123" t="s">
        <v>48</v>
      </c>
      <c r="F123" s="3">
        <v>320.83333333333297</v>
      </c>
      <c r="G123" s="3"/>
      <c r="H123" s="3"/>
      <c r="I123" s="3"/>
      <c r="J123" s="3">
        <v>320.83333333333297</v>
      </c>
    </row>
    <row r="124" spans="2:10" x14ac:dyDescent="0.25">
      <c r="B124" t="s">
        <v>137</v>
      </c>
      <c r="C124" t="s">
        <v>276</v>
      </c>
      <c r="D124" t="s">
        <v>264</v>
      </c>
      <c r="E124" t="s">
        <v>49</v>
      </c>
      <c r="F124" s="3">
        <v>320.83333333333297</v>
      </c>
      <c r="G124" s="3"/>
      <c r="H124" s="3"/>
      <c r="I124" s="3"/>
      <c r="J124" s="3">
        <v>320.83333333333297</v>
      </c>
    </row>
    <row r="125" spans="2:10" x14ac:dyDescent="0.25">
      <c r="B125" t="s">
        <v>137</v>
      </c>
      <c r="C125" t="s">
        <v>276</v>
      </c>
      <c r="D125" t="s">
        <v>264</v>
      </c>
      <c r="E125" t="s">
        <v>50</v>
      </c>
      <c r="F125" s="3">
        <v>320.83333333333297</v>
      </c>
      <c r="G125" s="3"/>
      <c r="H125" s="3"/>
      <c r="I125" s="3"/>
      <c r="J125" s="3">
        <v>320.83333333333297</v>
      </c>
    </row>
    <row r="126" spans="2:10" x14ac:dyDescent="0.25">
      <c r="B126" t="s">
        <v>137</v>
      </c>
      <c r="C126" t="s">
        <v>276</v>
      </c>
      <c r="D126" t="s">
        <v>264</v>
      </c>
      <c r="E126" t="s">
        <v>51</v>
      </c>
      <c r="F126" s="3">
        <v>320.83333333333297</v>
      </c>
      <c r="G126" s="3"/>
      <c r="H126" s="3"/>
      <c r="I126" s="3"/>
      <c r="J126" s="3">
        <v>320.83333333333297</v>
      </c>
    </row>
    <row r="127" spans="2:10" x14ac:dyDescent="0.25">
      <c r="B127" t="s">
        <v>137</v>
      </c>
      <c r="C127" t="s">
        <v>276</v>
      </c>
      <c r="D127" t="s">
        <v>264</v>
      </c>
      <c r="E127" t="s">
        <v>196</v>
      </c>
      <c r="F127" s="3">
        <v>320.83333333333297</v>
      </c>
      <c r="G127" s="3"/>
      <c r="H127" s="3"/>
      <c r="I127" s="3"/>
      <c r="J127" s="3">
        <v>320.83333333333297</v>
      </c>
    </row>
    <row r="128" spans="2:10" x14ac:dyDescent="0.25">
      <c r="B128" t="s">
        <v>137</v>
      </c>
      <c r="C128" t="s">
        <v>276</v>
      </c>
      <c r="D128" t="s">
        <v>264</v>
      </c>
      <c r="E128" t="s">
        <v>197</v>
      </c>
      <c r="F128" s="3">
        <v>320.83333333333297</v>
      </c>
      <c r="G128" s="3"/>
      <c r="H128" s="3"/>
      <c r="I128" s="3"/>
      <c r="J128" s="3">
        <v>320.83333333333297</v>
      </c>
    </row>
    <row r="129" spans="2:10" x14ac:dyDescent="0.25">
      <c r="B129" t="s">
        <v>137</v>
      </c>
      <c r="C129" t="s">
        <v>276</v>
      </c>
      <c r="D129" t="s">
        <v>264</v>
      </c>
      <c r="E129" t="s">
        <v>198</v>
      </c>
      <c r="F129" s="3">
        <v>320.83333333333297</v>
      </c>
      <c r="G129" s="3"/>
      <c r="H129" s="3"/>
      <c r="I129" s="3"/>
      <c r="J129" s="3">
        <v>320.83333333333297</v>
      </c>
    </row>
    <row r="130" spans="2:10" x14ac:dyDescent="0.25">
      <c r="B130" t="s">
        <v>137</v>
      </c>
      <c r="C130" t="s">
        <v>276</v>
      </c>
      <c r="D130" t="s">
        <v>264</v>
      </c>
      <c r="E130" t="s">
        <v>199</v>
      </c>
      <c r="F130" s="3">
        <v>320.83333333333297</v>
      </c>
      <c r="G130" s="3"/>
      <c r="H130" s="3"/>
      <c r="I130" s="3"/>
      <c r="J130" s="3">
        <v>320.83333333333297</v>
      </c>
    </row>
    <row r="131" spans="2:10" x14ac:dyDescent="0.25">
      <c r="B131" t="s">
        <v>137</v>
      </c>
      <c r="C131" t="s">
        <v>276</v>
      </c>
      <c r="D131" t="s">
        <v>264</v>
      </c>
      <c r="E131" t="s">
        <v>200</v>
      </c>
      <c r="F131" s="3">
        <v>320.83333333333297</v>
      </c>
      <c r="G131" s="3"/>
      <c r="H131" s="3"/>
      <c r="I131" s="3"/>
      <c r="J131" s="3">
        <v>320.83333333333297</v>
      </c>
    </row>
    <row r="132" spans="2:10" x14ac:dyDescent="0.25">
      <c r="B132" t="s">
        <v>137</v>
      </c>
      <c r="C132" t="s">
        <v>276</v>
      </c>
      <c r="D132" t="s">
        <v>264</v>
      </c>
      <c r="E132" t="s">
        <v>240</v>
      </c>
      <c r="F132" s="3">
        <v>320.83333333333297</v>
      </c>
      <c r="G132" s="3"/>
      <c r="H132" s="3"/>
      <c r="I132" s="3"/>
      <c r="J132" s="3">
        <v>320.83333333333297</v>
      </c>
    </row>
    <row r="133" spans="2:10" x14ac:dyDescent="0.25">
      <c r="B133" t="s">
        <v>137</v>
      </c>
      <c r="C133" t="s">
        <v>276</v>
      </c>
      <c r="D133" t="s">
        <v>264</v>
      </c>
      <c r="E133" t="s">
        <v>301</v>
      </c>
      <c r="F133" s="3">
        <v>320.83333333333297</v>
      </c>
      <c r="G133" s="3"/>
      <c r="H133" s="3"/>
      <c r="I133" s="3"/>
      <c r="J133" s="3">
        <v>320.83333333333297</v>
      </c>
    </row>
    <row r="134" spans="2:10" x14ac:dyDescent="0.25">
      <c r="B134" t="s">
        <v>137</v>
      </c>
      <c r="C134" t="s">
        <v>276</v>
      </c>
      <c r="D134" t="s">
        <v>264</v>
      </c>
      <c r="E134" t="s">
        <v>302</v>
      </c>
      <c r="F134" s="3">
        <v>320.83333333333297</v>
      </c>
      <c r="G134" s="3"/>
      <c r="H134" s="3"/>
      <c r="I134" s="3"/>
      <c r="J134" s="3">
        <v>320.83333333333297</v>
      </c>
    </row>
    <row r="135" spans="2:10" x14ac:dyDescent="0.25">
      <c r="B135" t="s">
        <v>137</v>
      </c>
      <c r="C135" t="s">
        <v>276</v>
      </c>
      <c r="D135" t="s">
        <v>264</v>
      </c>
      <c r="E135" t="s">
        <v>303</v>
      </c>
      <c r="F135" s="3">
        <v>320.83333333333297</v>
      </c>
      <c r="G135" s="3"/>
      <c r="H135" s="3"/>
      <c r="I135" s="3"/>
      <c r="J135" s="3">
        <v>320.83333333333297</v>
      </c>
    </row>
    <row r="136" spans="2:10" x14ac:dyDescent="0.25">
      <c r="B136" t="s">
        <v>137</v>
      </c>
      <c r="C136" t="s">
        <v>276</v>
      </c>
      <c r="D136" t="s">
        <v>264</v>
      </c>
      <c r="E136" t="s">
        <v>304</v>
      </c>
      <c r="F136" s="3">
        <v>320.83333333333297</v>
      </c>
      <c r="G136" s="3"/>
      <c r="H136" s="3"/>
      <c r="I136" s="3"/>
      <c r="J136" s="3">
        <v>320.83333333333297</v>
      </c>
    </row>
    <row r="137" spans="2:10" x14ac:dyDescent="0.25">
      <c r="B137" t="s">
        <v>137</v>
      </c>
      <c r="C137" t="s">
        <v>276</v>
      </c>
      <c r="D137" t="s">
        <v>264</v>
      </c>
      <c r="E137" t="s">
        <v>305</v>
      </c>
      <c r="F137" s="3">
        <v>320.83333333333297</v>
      </c>
      <c r="G137" s="3"/>
      <c r="H137" s="3"/>
      <c r="I137" s="3"/>
      <c r="J137" s="3">
        <v>320.83333333333297</v>
      </c>
    </row>
    <row r="138" spans="2:10" x14ac:dyDescent="0.25">
      <c r="B138" t="s">
        <v>137</v>
      </c>
      <c r="C138" t="s">
        <v>276</v>
      </c>
      <c r="D138" t="s">
        <v>264</v>
      </c>
      <c r="E138" t="s">
        <v>306</v>
      </c>
      <c r="F138" s="3">
        <v>320.83333333333297</v>
      </c>
      <c r="G138" s="3"/>
      <c r="H138" s="3"/>
      <c r="I138" s="3"/>
      <c r="J138" s="3">
        <v>320.83333333333297</v>
      </c>
    </row>
    <row r="139" spans="2:10" x14ac:dyDescent="0.25">
      <c r="B139" t="s">
        <v>137</v>
      </c>
      <c r="C139" t="s">
        <v>276</v>
      </c>
      <c r="D139" t="s">
        <v>264</v>
      </c>
      <c r="E139" t="s">
        <v>307</v>
      </c>
      <c r="F139" s="3">
        <v>320.83333333333297</v>
      </c>
      <c r="G139" s="3"/>
      <c r="H139" s="3"/>
      <c r="I139" s="3"/>
      <c r="J139" s="3">
        <v>320.83333333333297</v>
      </c>
    </row>
    <row r="140" spans="2:10" x14ac:dyDescent="0.25">
      <c r="B140" t="s">
        <v>137</v>
      </c>
      <c r="C140" t="s">
        <v>276</v>
      </c>
      <c r="D140" t="s">
        <v>264</v>
      </c>
      <c r="E140" t="s">
        <v>308</v>
      </c>
      <c r="F140" s="3">
        <v>320.83333333333297</v>
      </c>
      <c r="G140" s="3"/>
      <c r="H140" s="3"/>
      <c r="I140" s="3"/>
      <c r="J140" s="3">
        <v>320.83333333333297</v>
      </c>
    </row>
    <row r="141" spans="2:10" x14ac:dyDescent="0.25">
      <c r="B141" t="s">
        <v>137</v>
      </c>
      <c r="C141" t="s">
        <v>276</v>
      </c>
      <c r="D141" t="s">
        <v>264</v>
      </c>
      <c r="E141" t="s">
        <v>309</v>
      </c>
      <c r="F141" s="3">
        <v>320.83333333333297</v>
      </c>
      <c r="G141" s="3"/>
      <c r="H141" s="3"/>
      <c r="I141" s="3"/>
      <c r="J141" s="3">
        <v>320.83333333333297</v>
      </c>
    </row>
    <row r="142" spans="2:10" x14ac:dyDescent="0.25">
      <c r="B142" t="s">
        <v>137</v>
      </c>
      <c r="C142" t="s">
        <v>276</v>
      </c>
      <c r="D142" t="s">
        <v>264</v>
      </c>
      <c r="E142" t="s">
        <v>310</v>
      </c>
      <c r="F142" s="3">
        <v>320.83333333333297</v>
      </c>
      <c r="G142" s="3"/>
      <c r="H142" s="3"/>
      <c r="I142" s="3"/>
      <c r="J142" s="3">
        <v>320.83333333333297</v>
      </c>
    </row>
    <row r="143" spans="2:10" x14ac:dyDescent="0.25">
      <c r="B143" t="s">
        <v>137</v>
      </c>
      <c r="C143" t="s">
        <v>276</v>
      </c>
      <c r="D143" t="s">
        <v>264</v>
      </c>
      <c r="E143" t="s">
        <v>311</v>
      </c>
      <c r="F143" s="3">
        <v>320.83333333333297</v>
      </c>
      <c r="G143" s="3"/>
      <c r="H143" s="3"/>
      <c r="I143" s="3"/>
      <c r="J143" s="3">
        <v>320.83333333333297</v>
      </c>
    </row>
    <row r="144" spans="2:10" x14ac:dyDescent="0.25">
      <c r="B144" t="s">
        <v>137</v>
      </c>
      <c r="C144" t="s">
        <v>276</v>
      </c>
      <c r="D144" t="s">
        <v>264</v>
      </c>
      <c r="E144" t="s">
        <v>312</v>
      </c>
      <c r="F144" s="3">
        <v>320.83333333333297</v>
      </c>
      <c r="G144" s="3"/>
      <c r="H144" s="3"/>
      <c r="I144" s="3"/>
      <c r="J144" s="3">
        <v>320.83333333333297</v>
      </c>
    </row>
    <row r="145" spans="2:10" x14ac:dyDescent="0.25">
      <c r="B145" t="s">
        <v>137</v>
      </c>
      <c r="C145" t="s">
        <v>276</v>
      </c>
      <c r="D145" t="s">
        <v>339</v>
      </c>
      <c r="E145" t="s">
        <v>46</v>
      </c>
      <c r="F145" s="3">
        <v>416.66666666666703</v>
      </c>
      <c r="G145" s="3"/>
      <c r="H145" s="3"/>
      <c r="I145" s="3"/>
      <c r="J145" s="3">
        <v>416.66666666666703</v>
      </c>
    </row>
    <row r="146" spans="2:10" x14ac:dyDescent="0.25">
      <c r="B146" t="s">
        <v>137</v>
      </c>
      <c r="C146" t="s">
        <v>276</v>
      </c>
      <c r="D146" t="s">
        <v>339</v>
      </c>
      <c r="E146" t="s">
        <v>47</v>
      </c>
      <c r="F146" s="3">
        <v>416.66666666666703</v>
      </c>
      <c r="G146" s="3"/>
      <c r="H146" s="3"/>
      <c r="I146" s="3"/>
      <c r="J146" s="3">
        <v>416.66666666666703</v>
      </c>
    </row>
    <row r="147" spans="2:10" x14ac:dyDescent="0.25">
      <c r="B147" t="s">
        <v>137</v>
      </c>
      <c r="C147" t="s">
        <v>276</v>
      </c>
      <c r="D147" t="s">
        <v>339</v>
      </c>
      <c r="E147" t="s">
        <v>48</v>
      </c>
      <c r="F147" s="3">
        <v>416.66666666666703</v>
      </c>
      <c r="G147" s="3"/>
      <c r="H147" s="3"/>
      <c r="I147" s="3"/>
      <c r="J147" s="3">
        <v>416.66666666666703</v>
      </c>
    </row>
    <row r="148" spans="2:10" x14ac:dyDescent="0.25">
      <c r="B148" t="s">
        <v>137</v>
      </c>
      <c r="C148" t="s">
        <v>276</v>
      </c>
      <c r="D148" t="s">
        <v>339</v>
      </c>
      <c r="E148" t="s">
        <v>49</v>
      </c>
      <c r="F148" s="3">
        <v>416.66666666666703</v>
      </c>
      <c r="G148" s="3"/>
      <c r="H148" s="3"/>
      <c r="I148" s="3"/>
      <c r="J148" s="3">
        <v>416.66666666666703</v>
      </c>
    </row>
    <row r="149" spans="2:10" x14ac:dyDescent="0.25">
      <c r="B149" t="s">
        <v>137</v>
      </c>
      <c r="C149" t="s">
        <v>276</v>
      </c>
      <c r="D149" t="s">
        <v>339</v>
      </c>
      <c r="E149" t="s">
        <v>50</v>
      </c>
      <c r="F149" s="3">
        <v>416.66666666666703</v>
      </c>
      <c r="G149" s="3"/>
      <c r="H149" s="3"/>
      <c r="I149" s="3"/>
      <c r="J149" s="3">
        <v>416.66666666666703</v>
      </c>
    </row>
    <row r="150" spans="2:10" x14ac:dyDescent="0.25">
      <c r="B150" t="s">
        <v>137</v>
      </c>
      <c r="C150" t="s">
        <v>276</v>
      </c>
      <c r="D150" t="s">
        <v>339</v>
      </c>
      <c r="E150" t="s">
        <v>51</v>
      </c>
      <c r="F150" s="3">
        <v>416.66666666666703</v>
      </c>
      <c r="G150" s="3"/>
      <c r="H150" s="3"/>
      <c r="I150" s="3"/>
      <c r="J150" s="3">
        <v>416.66666666666703</v>
      </c>
    </row>
    <row r="151" spans="2:10" x14ac:dyDescent="0.25">
      <c r="B151" t="s">
        <v>137</v>
      </c>
      <c r="C151" t="s">
        <v>276</v>
      </c>
      <c r="D151" t="s">
        <v>339</v>
      </c>
      <c r="E151" t="s">
        <v>196</v>
      </c>
      <c r="F151" s="3">
        <v>416.66666666666703</v>
      </c>
      <c r="G151" s="3"/>
      <c r="H151" s="3"/>
      <c r="I151" s="3"/>
      <c r="J151" s="3">
        <v>416.66666666666703</v>
      </c>
    </row>
    <row r="152" spans="2:10" x14ac:dyDescent="0.25">
      <c r="B152" t="s">
        <v>137</v>
      </c>
      <c r="C152" t="s">
        <v>276</v>
      </c>
      <c r="D152" t="s">
        <v>339</v>
      </c>
      <c r="E152" t="s">
        <v>197</v>
      </c>
      <c r="F152" s="3">
        <v>416.66666666666703</v>
      </c>
      <c r="G152" s="3"/>
      <c r="H152" s="3"/>
      <c r="I152" s="3"/>
      <c r="J152" s="3">
        <v>416.66666666666703</v>
      </c>
    </row>
    <row r="153" spans="2:10" x14ac:dyDescent="0.25">
      <c r="B153" t="s">
        <v>137</v>
      </c>
      <c r="C153" t="s">
        <v>276</v>
      </c>
      <c r="D153" t="s">
        <v>339</v>
      </c>
      <c r="E153" t="s">
        <v>198</v>
      </c>
      <c r="F153" s="3">
        <v>416.66666666666703</v>
      </c>
      <c r="G153" s="3"/>
      <c r="H153" s="3"/>
      <c r="I153" s="3"/>
      <c r="J153" s="3">
        <v>416.66666666666703</v>
      </c>
    </row>
    <row r="154" spans="2:10" x14ac:dyDescent="0.25">
      <c r="B154" t="s">
        <v>137</v>
      </c>
      <c r="C154" t="s">
        <v>276</v>
      </c>
      <c r="D154" t="s">
        <v>339</v>
      </c>
      <c r="E154" t="s">
        <v>199</v>
      </c>
      <c r="F154" s="3">
        <v>416.66666666666703</v>
      </c>
      <c r="G154" s="3"/>
      <c r="H154" s="3"/>
      <c r="I154" s="3"/>
      <c r="J154" s="3">
        <v>416.66666666666703</v>
      </c>
    </row>
    <row r="155" spans="2:10" x14ac:dyDescent="0.25">
      <c r="B155" t="s">
        <v>137</v>
      </c>
      <c r="C155" t="s">
        <v>276</v>
      </c>
      <c r="D155" t="s">
        <v>339</v>
      </c>
      <c r="E155" t="s">
        <v>200</v>
      </c>
      <c r="F155" s="3">
        <v>416.66666666666703</v>
      </c>
      <c r="G155" s="3"/>
      <c r="H155" s="3"/>
      <c r="I155" s="3"/>
      <c r="J155" s="3">
        <v>416.66666666666703</v>
      </c>
    </row>
    <row r="156" spans="2:10" x14ac:dyDescent="0.25">
      <c r="B156" t="s">
        <v>137</v>
      </c>
      <c r="C156" t="s">
        <v>276</v>
      </c>
      <c r="D156" t="s">
        <v>339</v>
      </c>
      <c r="E156" t="s">
        <v>240</v>
      </c>
      <c r="F156" s="3">
        <v>416.66666666666703</v>
      </c>
      <c r="G156" s="3"/>
      <c r="H156" s="3"/>
      <c r="I156" s="3"/>
      <c r="J156" s="3">
        <v>416.66666666666703</v>
      </c>
    </row>
    <row r="157" spans="2:10" x14ac:dyDescent="0.25">
      <c r="B157" t="s">
        <v>137</v>
      </c>
      <c r="C157" t="s">
        <v>276</v>
      </c>
      <c r="D157" t="s">
        <v>339</v>
      </c>
      <c r="E157" t="s">
        <v>301</v>
      </c>
      <c r="F157" s="3">
        <v>416.66666666666703</v>
      </c>
      <c r="G157" s="3"/>
      <c r="H157" s="3"/>
      <c r="I157" s="3"/>
      <c r="J157" s="3">
        <v>416.66666666666703</v>
      </c>
    </row>
    <row r="158" spans="2:10" x14ac:dyDescent="0.25">
      <c r="B158" t="s">
        <v>137</v>
      </c>
      <c r="C158" t="s">
        <v>276</v>
      </c>
      <c r="D158" t="s">
        <v>339</v>
      </c>
      <c r="E158" t="s">
        <v>302</v>
      </c>
      <c r="F158" s="3">
        <v>416.66666666666703</v>
      </c>
      <c r="G158" s="3"/>
      <c r="H158" s="3"/>
      <c r="I158" s="3"/>
      <c r="J158" s="3">
        <v>416.66666666666703</v>
      </c>
    </row>
    <row r="159" spans="2:10" x14ac:dyDescent="0.25">
      <c r="B159" t="s">
        <v>137</v>
      </c>
      <c r="C159" t="s">
        <v>276</v>
      </c>
      <c r="D159" t="s">
        <v>339</v>
      </c>
      <c r="E159" t="s">
        <v>303</v>
      </c>
      <c r="F159" s="3">
        <v>416.66666666666703</v>
      </c>
      <c r="G159" s="3"/>
      <c r="H159" s="3"/>
      <c r="I159" s="3"/>
      <c r="J159" s="3">
        <v>416.66666666666703</v>
      </c>
    </row>
    <row r="160" spans="2:10" x14ac:dyDescent="0.25">
      <c r="B160" t="s">
        <v>137</v>
      </c>
      <c r="C160" t="s">
        <v>276</v>
      </c>
      <c r="D160" t="s">
        <v>339</v>
      </c>
      <c r="E160" t="s">
        <v>304</v>
      </c>
      <c r="F160" s="3">
        <v>416.66666666666703</v>
      </c>
      <c r="G160" s="3"/>
      <c r="H160" s="3"/>
      <c r="I160" s="3"/>
      <c r="J160" s="3">
        <v>416.66666666666703</v>
      </c>
    </row>
    <row r="161" spans="2:10" x14ac:dyDescent="0.25">
      <c r="B161" t="s">
        <v>137</v>
      </c>
      <c r="C161" t="s">
        <v>276</v>
      </c>
      <c r="D161" t="s">
        <v>339</v>
      </c>
      <c r="E161" t="s">
        <v>305</v>
      </c>
      <c r="F161" s="3">
        <v>416.66666666666703</v>
      </c>
      <c r="G161" s="3"/>
      <c r="H161" s="3"/>
      <c r="I161" s="3"/>
      <c r="J161" s="3">
        <v>416.66666666666703</v>
      </c>
    </row>
    <row r="162" spans="2:10" x14ac:dyDescent="0.25">
      <c r="B162" t="s">
        <v>137</v>
      </c>
      <c r="C162" t="s">
        <v>276</v>
      </c>
      <c r="D162" t="s">
        <v>339</v>
      </c>
      <c r="E162" t="s">
        <v>306</v>
      </c>
      <c r="F162" s="3">
        <v>416.66666666666703</v>
      </c>
      <c r="G162" s="3"/>
      <c r="H162" s="3"/>
      <c r="I162" s="3"/>
      <c r="J162" s="3">
        <v>416.66666666666703</v>
      </c>
    </row>
    <row r="163" spans="2:10" x14ac:dyDescent="0.25">
      <c r="B163" t="s">
        <v>137</v>
      </c>
      <c r="C163" t="s">
        <v>276</v>
      </c>
      <c r="D163" t="s">
        <v>339</v>
      </c>
      <c r="E163" t="s">
        <v>307</v>
      </c>
      <c r="F163" s="3">
        <v>416.66666666666703</v>
      </c>
      <c r="G163" s="3"/>
      <c r="H163" s="3"/>
      <c r="I163" s="3"/>
      <c r="J163" s="3">
        <v>416.66666666666703</v>
      </c>
    </row>
    <row r="164" spans="2:10" x14ac:dyDescent="0.25">
      <c r="B164" t="s">
        <v>137</v>
      </c>
      <c r="C164" t="s">
        <v>276</v>
      </c>
      <c r="D164" t="s">
        <v>339</v>
      </c>
      <c r="E164" t="s">
        <v>308</v>
      </c>
      <c r="F164" s="3">
        <v>416.66666666666703</v>
      </c>
      <c r="G164" s="3"/>
      <c r="H164" s="3"/>
      <c r="I164" s="3"/>
      <c r="J164" s="3">
        <v>416.66666666666703</v>
      </c>
    </row>
    <row r="165" spans="2:10" x14ac:dyDescent="0.25">
      <c r="B165" t="s">
        <v>137</v>
      </c>
      <c r="C165" t="s">
        <v>276</v>
      </c>
      <c r="D165" t="s">
        <v>339</v>
      </c>
      <c r="E165" t="s">
        <v>309</v>
      </c>
      <c r="F165" s="3">
        <v>416.66666666666703</v>
      </c>
      <c r="G165" s="3"/>
      <c r="H165" s="3"/>
      <c r="I165" s="3"/>
      <c r="J165" s="3">
        <v>416.66666666666703</v>
      </c>
    </row>
    <row r="166" spans="2:10" x14ac:dyDescent="0.25">
      <c r="B166" t="s">
        <v>137</v>
      </c>
      <c r="C166" t="s">
        <v>276</v>
      </c>
      <c r="D166" t="s">
        <v>339</v>
      </c>
      <c r="E166" t="s">
        <v>310</v>
      </c>
      <c r="F166" s="3">
        <v>416.66666666666703</v>
      </c>
      <c r="G166" s="3"/>
      <c r="H166" s="3"/>
      <c r="I166" s="3"/>
      <c r="J166" s="3">
        <v>416.66666666666703</v>
      </c>
    </row>
    <row r="167" spans="2:10" x14ac:dyDescent="0.25">
      <c r="B167" t="s">
        <v>137</v>
      </c>
      <c r="C167" t="s">
        <v>276</v>
      </c>
      <c r="D167" t="s">
        <v>339</v>
      </c>
      <c r="E167" t="s">
        <v>311</v>
      </c>
      <c r="F167" s="3">
        <v>416.66666666666703</v>
      </c>
      <c r="G167" s="3"/>
      <c r="H167" s="3"/>
      <c r="I167" s="3"/>
      <c r="J167" s="3">
        <v>416.66666666666703</v>
      </c>
    </row>
    <row r="168" spans="2:10" x14ac:dyDescent="0.25">
      <c r="B168" t="s">
        <v>137</v>
      </c>
      <c r="C168" t="s">
        <v>276</v>
      </c>
      <c r="D168" t="s">
        <v>339</v>
      </c>
      <c r="E168" t="s">
        <v>312</v>
      </c>
      <c r="F168" s="3">
        <v>416.66666666666703</v>
      </c>
      <c r="G168" s="3"/>
      <c r="H168" s="3"/>
      <c r="I168" s="3"/>
      <c r="J168" s="3">
        <v>416.66666666666703</v>
      </c>
    </row>
    <row r="169" spans="2:10" x14ac:dyDescent="0.25">
      <c r="B169" t="s">
        <v>137</v>
      </c>
      <c r="C169" t="s">
        <v>276</v>
      </c>
      <c r="D169" t="s">
        <v>340</v>
      </c>
      <c r="E169" t="s">
        <v>46</v>
      </c>
      <c r="F169" s="3"/>
      <c r="G169" s="3"/>
      <c r="H169" s="3"/>
      <c r="I169" s="3">
        <v>27.723467600700499</v>
      </c>
      <c r="J169" s="3">
        <v>27.723467600700499</v>
      </c>
    </row>
    <row r="170" spans="2:10" x14ac:dyDescent="0.25">
      <c r="B170" t="s">
        <v>137</v>
      </c>
      <c r="C170" t="s">
        <v>276</v>
      </c>
      <c r="D170" t="s">
        <v>340</v>
      </c>
      <c r="E170" t="s">
        <v>47</v>
      </c>
      <c r="F170" s="3"/>
      <c r="G170" s="3"/>
      <c r="H170" s="3"/>
      <c r="I170" s="3">
        <v>27.723467600700499</v>
      </c>
      <c r="J170" s="3">
        <v>27.723467600700499</v>
      </c>
    </row>
    <row r="171" spans="2:10" x14ac:dyDescent="0.25">
      <c r="B171" t="s">
        <v>137</v>
      </c>
      <c r="C171" t="s">
        <v>276</v>
      </c>
      <c r="D171" t="s">
        <v>340</v>
      </c>
      <c r="E171" t="s">
        <v>48</v>
      </c>
      <c r="F171" s="3"/>
      <c r="G171" s="3"/>
      <c r="H171" s="3"/>
      <c r="I171" s="3">
        <v>27.723467600700499</v>
      </c>
      <c r="J171" s="3">
        <v>27.723467600700499</v>
      </c>
    </row>
    <row r="172" spans="2:10" x14ac:dyDescent="0.25">
      <c r="B172" t="s">
        <v>137</v>
      </c>
      <c r="C172" t="s">
        <v>276</v>
      </c>
      <c r="D172" t="s">
        <v>340</v>
      </c>
      <c r="E172" t="s">
        <v>49</v>
      </c>
      <c r="F172" s="3"/>
      <c r="G172" s="3"/>
      <c r="H172" s="3"/>
      <c r="I172" s="3">
        <v>27.723467600700499</v>
      </c>
      <c r="J172" s="3">
        <v>27.723467600700499</v>
      </c>
    </row>
    <row r="173" spans="2:10" x14ac:dyDescent="0.25">
      <c r="B173" t="s">
        <v>137</v>
      </c>
      <c r="C173" t="s">
        <v>276</v>
      </c>
      <c r="D173" t="s">
        <v>340</v>
      </c>
      <c r="E173" t="s">
        <v>50</v>
      </c>
      <c r="F173" s="3"/>
      <c r="G173" s="3"/>
      <c r="H173" s="3"/>
      <c r="I173" s="3">
        <v>27.723467600700499</v>
      </c>
      <c r="J173" s="3">
        <v>27.723467600700499</v>
      </c>
    </row>
    <row r="174" spans="2:10" x14ac:dyDescent="0.25">
      <c r="B174" t="s">
        <v>137</v>
      </c>
      <c r="C174" t="s">
        <v>276</v>
      </c>
      <c r="D174" t="s">
        <v>340</v>
      </c>
      <c r="E174" t="s">
        <v>51</v>
      </c>
      <c r="F174" s="3"/>
      <c r="G174" s="3"/>
      <c r="H174" s="3"/>
      <c r="I174" s="3">
        <v>32.755680602383435</v>
      </c>
      <c r="J174" s="3">
        <v>32.755680602383435</v>
      </c>
    </row>
    <row r="175" spans="2:10" x14ac:dyDescent="0.25">
      <c r="B175" t="s">
        <v>137</v>
      </c>
      <c r="C175" t="s">
        <v>276</v>
      </c>
      <c r="D175" t="s">
        <v>340</v>
      </c>
      <c r="E175" t="s">
        <v>196</v>
      </c>
      <c r="F175" s="3"/>
      <c r="G175" s="3"/>
      <c r="H175" s="3"/>
      <c r="I175" s="3">
        <v>41.5256610030616</v>
      </c>
      <c r="J175" s="3">
        <v>41.5256610030616</v>
      </c>
    </row>
    <row r="176" spans="2:10" x14ac:dyDescent="0.25">
      <c r="B176" t="s">
        <v>137</v>
      </c>
      <c r="C176" t="s">
        <v>276</v>
      </c>
      <c r="D176" t="s">
        <v>340</v>
      </c>
      <c r="E176" t="s">
        <v>197</v>
      </c>
      <c r="F176" s="3"/>
      <c r="G176" s="3"/>
      <c r="H176" s="3"/>
      <c r="I176" s="3">
        <v>38.386089913007297</v>
      </c>
      <c r="J176" s="3">
        <v>38.386089913007297</v>
      </c>
    </row>
    <row r="177" spans="2:10" x14ac:dyDescent="0.25">
      <c r="B177" t="s">
        <v>137</v>
      </c>
      <c r="C177" t="s">
        <v>276</v>
      </c>
      <c r="D177" t="s">
        <v>340</v>
      </c>
      <c r="E177" t="s">
        <v>198</v>
      </c>
      <c r="F177" s="3"/>
      <c r="G177" s="3"/>
      <c r="H177" s="3"/>
      <c r="I177" s="3">
        <v>39.8475442093102</v>
      </c>
      <c r="J177" s="3">
        <v>39.8475442093102</v>
      </c>
    </row>
    <row r="178" spans="2:10" x14ac:dyDescent="0.25">
      <c r="B178" t="s">
        <v>137</v>
      </c>
      <c r="C178" t="s">
        <v>276</v>
      </c>
      <c r="D178" t="s">
        <v>340</v>
      </c>
      <c r="E178" t="s">
        <v>199</v>
      </c>
      <c r="F178" s="3"/>
      <c r="G178" s="3"/>
      <c r="H178" s="3"/>
      <c r="I178" s="3">
        <v>42.2892477965718</v>
      </c>
      <c r="J178" s="3">
        <v>42.2892477965718</v>
      </c>
    </row>
    <row r="179" spans="2:10" x14ac:dyDescent="0.25">
      <c r="B179" t="s">
        <v>137</v>
      </c>
      <c r="C179" t="s">
        <v>276</v>
      </c>
      <c r="D179" t="s">
        <v>340</v>
      </c>
      <c r="E179" t="s">
        <v>200</v>
      </c>
      <c r="F179" s="3"/>
      <c r="G179" s="3"/>
      <c r="H179" s="3"/>
      <c r="I179" s="3">
        <v>40.597686656685397</v>
      </c>
      <c r="J179" s="3">
        <v>40.597686656685397</v>
      </c>
    </row>
    <row r="180" spans="2:10" x14ac:dyDescent="0.25">
      <c r="B180" t="s">
        <v>137</v>
      </c>
      <c r="C180" t="s">
        <v>276</v>
      </c>
      <c r="D180" t="s">
        <v>340</v>
      </c>
      <c r="E180" t="s">
        <v>240</v>
      </c>
      <c r="F180" s="3"/>
      <c r="G180" s="3"/>
      <c r="H180" s="3"/>
      <c r="I180" s="3">
        <v>39.263049984534398</v>
      </c>
      <c r="J180" s="3">
        <v>39.263049984534398</v>
      </c>
    </row>
    <row r="181" spans="2:10" x14ac:dyDescent="0.25">
      <c r="B181" t="s">
        <v>137</v>
      </c>
      <c r="C181" t="s">
        <v>276</v>
      </c>
      <c r="D181" t="s">
        <v>340</v>
      </c>
      <c r="E181" t="s">
        <v>301</v>
      </c>
      <c r="F181" s="3"/>
      <c r="G181" s="3"/>
      <c r="H181" s="3"/>
      <c r="I181" s="3">
        <v>35.888085478747399</v>
      </c>
      <c r="J181" s="3">
        <v>35.888085478747399</v>
      </c>
    </row>
    <row r="182" spans="2:10" x14ac:dyDescent="0.25">
      <c r="B182" t="s">
        <v>137</v>
      </c>
      <c r="C182" t="s">
        <v>276</v>
      </c>
      <c r="D182" t="s">
        <v>340</v>
      </c>
      <c r="E182" t="s">
        <v>302</v>
      </c>
      <c r="F182" s="3"/>
      <c r="G182" s="3"/>
      <c r="H182" s="3"/>
      <c r="I182" s="3">
        <v>33.786218451499401</v>
      </c>
      <c r="J182" s="3">
        <v>33.786218451499401</v>
      </c>
    </row>
    <row r="183" spans="2:10" x14ac:dyDescent="0.25">
      <c r="B183" t="s">
        <v>137</v>
      </c>
      <c r="C183" t="s">
        <v>276</v>
      </c>
      <c r="D183" t="s">
        <v>340</v>
      </c>
      <c r="E183" t="s">
        <v>303</v>
      </c>
      <c r="F183" s="3"/>
      <c r="G183" s="3"/>
      <c r="H183" s="3"/>
      <c r="I183" s="3">
        <v>31.00067688758358</v>
      </c>
      <c r="J183" s="3">
        <v>31.00067688758358</v>
      </c>
    </row>
    <row r="184" spans="2:10" x14ac:dyDescent="0.25">
      <c r="B184" t="s">
        <v>137</v>
      </c>
      <c r="C184" t="s">
        <v>276</v>
      </c>
      <c r="D184" t="s">
        <v>340</v>
      </c>
      <c r="E184" t="s">
        <v>304</v>
      </c>
      <c r="F184" s="3"/>
      <c r="G184" s="3"/>
      <c r="H184" s="3"/>
      <c r="I184" s="3">
        <v>27.723467600700499</v>
      </c>
      <c r="J184" s="3">
        <v>27.723467600700499</v>
      </c>
    </row>
    <row r="185" spans="2:10" x14ac:dyDescent="0.25">
      <c r="B185" t="s">
        <v>137</v>
      </c>
      <c r="C185" t="s">
        <v>276</v>
      </c>
      <c r="D185" t="s">
        <v>340</v>
      </c>
      <c r="E185" t="s">
        <v>305</v>
      </c>
      <c r="F185" s="3"/>
      <c r="G185" s="3"/>
      <c r="H185" s="3"/>
      <c r="I185" s="3">
        <v>27.723467600700499</v>
      </c>
      <c r="J185" s="3">
        <v>27.723467600700499</v>
      </c>
    </row>
    <row r="186" spans="2:10" x14ac:dyDescent="0.25">
      <c r="B186" t="s">
        <v>137</v>
      </c>
      <c r="C186" t="s">
        <v>276</v>
      </c>
      <c r="D186" t="s">
        <v>340</v>
      </c>
      <c r="E186" t="s">
        <v>306</v>
      </c>
      <c r="F186" s="3"/>
      <c r="G186" s="3"/>
      <c r="H186" s="3"/>
      <c r="I186" s="3">
        <v>27.723467600700499</v>
      </c>
      <c r="J186" s="3">
        <v>27.723467600700499</v>
      </c>
    </row>
    <row r="187" spans="2:10" x14ac:dyDescent="0.25">
      <c r="B187" t="s">
        <v>137</v>
      </c>
      <c r="C187" t="s">
        <v>276</v>
      </c>
      <c r="D187" t="s">
        <v>340</v>
      </c>
      <c r="E187" t="s">
        <v>307</v>
      </c>
      <c r="F187" s="3"/>
      <c r="G187" s="3"/>
      <c r="H187" s="3"/>
      <c r="I187" s="3">
        <v>27.723467600700499</v>
      </c>
      <c r="J187" s="3">
        <v>27.723467600700499</v>
      </c>
    </row>
    <row r="188" spans="2:10" x14ac:dyDescent="0.25">
      <c r="B188" t="s">
        <v>137</v>
      </c>
      <c r="C188" t="s">
        <v>276</v>
      </c>
      <c r="D188" t="s">
        <v>340</v>
      </c>
      <c r="E188" t="s">
        <v>308</v>
      </c>
      <c r="F188" s="3"/>
      <c r="G188" s="3"/>
      <c r="H188" s="3"/>
      <c r="I188" s="3">
        <v>27.723467600700499</v>
      </c>
      <c r="J188" s="3">
        <v>27.723467600700499</v>
      </c>
    </row>
    <row r="189" spans="2:10" x14ac:dyDescent="0.25">
      <c r="B189" t="s">
        <v>137</v>
      </c>
      <c r="C189" t="s">
        <v>276</v>
      </c>
      <c r="D189" t="s">
        <v>340</v>
      </c>
      <c r="E189" t="s">
        <v>309</v>
      </c>
      <c r="F189" s="3"/>
      <c r="G189" s="3"/>
      <c r="H189" s="3"/>
      <c r="I189" s="3">
        <v>27.723467600700499</v>
      </c>
      <c r="J189" s="3">
        <v>27.723467600700499</v>
      </c>
    </row>
    <row r="190" spans="2:10" x14ac:dyDescent="0.25">
      <c r="B190" t="s">
        <v>137</v>
      </c>
      <c r="C190" t="s">
        <v>276</v>
      </c>
      <c r="D190" t="s">
        <v>340</v>
      </c>
      <c r="E190" t="s">
        <v>310</v>
      </c>
      <c r="F190" s="3"/>
      <c r="G190" s="3"/>
      <c r="H190" s="3"/>
      <c r="I190" s="3">
        <v>27.723467600700499</v>
      </c>
      <c r="J190" s="3">
        <v>27.723467600700499</v>
      </c>
    </row>
    <row r="191" spans="2:10" x14ac:dyDescent="0.25">
      <c r="B191" t="s">
        <v>137</v>
      </c>
      <c r="C191" t="s">
        <v>276</v>
      </c>
      <c r="D191" t="s">
        <v>340</v>
      </c>
      <c r="E191" t="s">
        <v>311</v>
      </c>
      <c r="F191" s="3"/>
      <c r="G191" s="3"/>
      <c r="H191" s="3"/>
      <c r="I191" s="3">
        <v>27.723467600700499</v>
      </c>
      <c r="J191" s="3">
        <v>27.723467600700499</v>
      </c>
    </row>
    <row r="192" spans="2:10" x14ac:dyDescent="0.25">
      <c r="B192" t="s">
        <v>137</v>
      </c>
      <c r="C192" t="s">
        <v>276</v>
      </c>
      <c r="D192" t="s">
        <v>340</v>
      </c>
      <c r="E192" t="s">
        <v>312</v>
      </c>
      <c r="F192" s="3"/>
      <c r="G192" s="3"/>
      <c r="H192" s="3"/>
      <c r="I192" s="3">
        <v>27.723467600700499</v>
      </c>
      <c r="J192" s="3">
        <v>27.723467600700499</v>
      </c>
    </row>
    <row r="193" spans="2:10" x14ac:dyDescent="0.25">
      <c r="B193" t="s">
        <v>137</v>
      </c>
      <c r="C193" t="s">
        <v>276</v>
      </c>
      <c r="D193" t="s">
        <v>341</v>
      </c>
      <c r="E193" t="s">
        <v>46</v>
      </c>
      <c r="F193" s="3"/>
      <c r="G193" s="3"/>
      <c r="H193" s="3"/>
      <c r="I193" s="3">
        <v>5.3937412570715502</v>
      </c>
      <c r="J193" s="3">
        <v>5.3937412570715502</v>
      </c>
    </row>
    <row r="194" spans="2:10" x14ac:dyDescent="0.25">
      <c r="B194" t="s">
        <v>137</v>
      </c>
      <c r="C194" t="s">
        <v>276</v>
      </c>
      <c r="D194" t="s">
        <v>341</v>
      </c>
      <c r="E194" t="s">
        <v>47</v>
      </c>
      <c r="F194" s="3"/>
      <c r="G194" s="3"/>
      <c r="H194" s="3"/>
      <c r="I194" s="3">
        <v>6.7840092490952699</v>
      </c>
      <c r="J194" s="3">
        <v>6.7840092490952699</v>
      </c>
    </row>
    <row r="195" spans="2:10" x14ac:dyDescent="0.25">
      <c r="B195" t="s">
        <v>137</v>
      </c>
      <c r="C195" t="s">
        <v>276</v>
      </c>
      <c r="D195" t="s">
        <v>341</v>
      </c>
      <c r="E195" t="s">
        <v>48</v>
      </c>
      <c r="F195" s="3"/>
      <c r="G195" s="3"/>
      <c r="H195" s="3"/>
      <c r="I195" s="3">
        <v>6.7840092490952699</v>
      </c>
      <c r="J195" s="3">
        <v>6.7840092490952699</v>
      </c>
    </row>
    <row r="196" spans="2:10" x14ac:dyDescent="0.25">
      <c r="B196" t="s">
        <v>137</v>
      </c>
      <c r="C196" t="s">
        <v>276</v>
      </c>
      <c r="D196" t="s">
        <v>341</v>
      </c>
      <c r="E196" t="s">
        <v>49</v>
      </c>
      <c r="F196" s="3"/>
      <c r="G196" s="3"/>
      <c r="H196" s="3"/>
      <c r="I196" s="3">
        <v>6.7840092490952699</v>
      </c>
      <c r="J196" s="3">
        <v>6.7840092490952699</v>
      </c>
    </row>
    <row r="197" spans="2:10" x14ac:dyDescent="0.25">
      <c r="B197" t="s">
        <v>137</v>
      </c>
      <c r="C197" t="s">
        <v>276</v>
      </c>
      <c r="D197" t="s">
        <v>341</v>
      </c>
      <c r="E197" t="s">
        <v>50</v>
      </c>
      <c r="F197" s="3"/>
      <c r="G197" s="3"/>
      <c r="H197" s="3"/>
      <c r="I197" s="3">
        <v>6.7840092490952699</v>
      </c>
      <c r="J197" s="3">
        <v>6.7840092490952699</v>
      </c>
    </row>
    <row r="198" spans="2:10" x14ac:dyDescent="0.25">
      <c r="B198" t="s">
        <v>137</v>
      </c>
      <c r="C198" t="s">
        <v>276</v>
      </c>
      <c r="D198" t="s">
        <v>341</v>
      </c>
      <c r="E198" t="s">
        <v>51</v>
      </c>
      <c r="F198" s="3"/>
      <c r="G198" s="3"/>
      <c r="H198" s="3"/>
      <c r="I198" s="3">
        <v>6.7840092490952699</v>
      </c>
      <c r="J198" s="3">
        <v>6.7840092490952699</v>
      </c>
    </row>
    <row r="199" spans="2:10" x14ac:dyDescent="0.25">
      <c r="B199" t="s">
        <v>137</v>
      </c>
      <c r="C199" t="s">
        <v>276</v>
      </c>
      <c r="D199" t="s">
        <v>341</v>
      </c>
      <c r="E199" t="s">
        <v>196</v>
      </c>
      <c r="F199" s="3"/>
      <c r="G199" s="3"/>
      <c r="H199" s="3"/>
      <c r="I199" s="3">
        <v>6.7840092490952699</v>
      </c>
      <c r="J199" s="3">
        <v>6.7840092490952699</v>
      </c>
    </row>
    <row r="200" spans="2:10" x14ac:dyDescent="0.25">
      <c r="B200" t="s">
        <v>137</v>
      </c>
      <c r="C200" t="s">
        <v>276</v>
      </c>
      <c r="D200" t="s">
        <v>341</v>
      </c>
      <c r="E200" t="s">
        <v>197</v>
      </c>
      <c r="F200" s="3"/>
      <c r="G200" s="3"/>
      <c r="H200" s="3"/>
      <c r="I200" s="3">
        <v>6.7840092490952699</v>
      </c>
      <c r="J200" s="3">
        <v>6.7840092490952699</v>
      </c>
    </row>
    <row r="201" spans="2:10" x14ac:dyDescent="0.25">
      <c r="B201" t="s">
        <v>137</v>
      </c>
      <c r="C201" t="s">
        <v>276</v>
      </c>
      <c r="D201" t="s">
        <v>341</v>
      </c>
      <c r="E201" t="s">
        <v>198</v>
      </c>
      <c r="F201" s="3"/>
      <c r="G201" s="3"/>
      <c r="H201" s="3"/>
      <c r="I201" s="3">
        <v>6.7840092490952699</v>
      </c>
      <c r="J201" s="3">
        <v>6.7840092490952699</v>
      </c>
    </row>
    <row r="202" spans="2:10" x14ac:dyDescent="0.25">
      <c r="B202" t="s">
        <v>137</v>
      </c>
      <c r="C202" t="s">
        <v>276</v>
      </c>
      <c r="D202" t="s">
        <v>341</v>
      </c>
      <c r="E202" t="s">
        <v>199</v>
      </c>
      <c r="F202" s="3"/>
      <c r="G202" s="3"/>
      <c r="H202" s="3"/>
      <c r="I202" s="3">
        <v>6.7840092490952699</v>
      </c>
      <c r="J202" s="3">
        <v>6.7840092490952699</v>
      </c>
    </row>
    <row r="203" spans="2:10" x14ac:dyDescent="0.25">
      <c r="B203" t="s">
        <v>137</v>
      </c>
      <c r="C203" t="s">
        <v>276</v>
      </c>
      <c r="D203" t="s">
        <v>341</v>
      </c>
      <c r="E203" t="s">
        <v>200</v>
      </c>
      <c r="F203" s="3"/>
      <c r="G203" s="3"/>
      <c r="H203" s="3"/>
      <c r="I203" s="3">
        <v>6.7840092490952699</v>
      </c>
      <c r="J203" s="3">
        <v>6.7840092490952699</v>
      </c>
    </row>
    <row r="204" spans="2:10" x14ac:dyDescent="0.25">
      <c r="B204" t="s">
        <v>137</v>
      </c>
      <c r="C204" t="s">
        <v>276</v>
      </c>
      <c r="D204" t="s">
        <v>341</v>
      </c>
      <c r="E204" t="s">
        <v>240</v>
      </c>
      <c r="F204" s="3"/>
      <c r="G204" s="3"/>
      <c r="H204" s="3"/>
      <c r="I204" s="3">
        <v>6.7840092490952699</v>
      </c>
      <c r="J204" s="3">
        <v>6.7840092490952699</v>
      </c>
    </row>
    <row r="205" spans="2:10" x14ac:dyDescent="0.25">
      <c r="B205" t="s">
        <v>137</v>
      </c>
      <c r="C205" t="s">
        <v>276</v>
      </c>
      <c r="D205" t="s">
        <v>341</v>
      </c>
      <c r="E205" t="s">
        <v>301</v>
      </c>
      <c r="F205" s="3"/>
      <c r="G205" s="3"/>
      <c r="H205" s="3"/>
      <c r="I205" s="3">
        <v>6.7840092490952699</v>
      </c>
      <c r="J205" s="3">
        <v>6.7840092490952699</v>
      </c>
    </row>
    <row r="206" spans="2:10" x14ac:dyDescent="0.25">
      <c r="B206" t="s">
        <v>137</v>
      </c>
      <c r="C206" t="s">
        <v>276</v>
      </c>
      <c r="D206" t="s">
        <v>341</v>
      </c>
      <c r="E206" t="s">
        <v>302</v>
      </c>
      <c r="F206" s="3"/>
      <c r="G206" s="3"/>
      <c r="H206" s="3"/>
      <c r="I206" s="3">
        <v>6.7840092490952699</v>
      </c>
      <c r="J206" s="3">
        <v>6.7840092490952699</v>
      </c>
    </row>
    <row r="207" spans="2:10" x14ac:dyDescent="0.25">
      <c r="B207" t="s">
        <v>137</v>
      </c>
      <c r="C207" t="s">
        <v>276</v>
      </c>
      <c r="D207" t="s">
        <v>341</v>
      </c>
      <c r="E207" t="s">
        <v>303</v>
      </c>
      <c r="F207" s="3"/>
      <c r="G207" s="3"/>
      <c r="H207" s="3"/>
      <c r="I207" s="3">
        <v>6.7840092490952699</v>
      </c>
      <c r="J207" s="3">
        <v>6.7840092490952699</v>
      </c>
    </row>
    <row r="208" spans="2:10" x14ac:dyDescent="0.25">
      <c r="B208" t="s">
        <v>137</v>
      </c>
      <c r="C208" t="s">
        <v>276</v>
      </c>
      <c r="D208" t="s">
        <v>341</v>
      </c>
      <c r="E208" t="s">
        <v>304</v>
      </c>
      <c r="F208" s="3"/>
      <c r="G208" s="3"/>
      <c r="H208" s="3"/>
      <c r="I208" s="3">
        <v>6.7840092490952699</v>
      </c>
      <c r="J208" s="3">
        <v>6.7840092490952699</v>
      </c>
    </row>
    <row r="209" spans="2:10" x14ac:dyDescent="0.25">
      <c r="B209" t="s">
        <v>137</v>
      </c>
      <c r="C209" t="s">
        <v>276</v>
      </c>
      <c r="D209" t="s">
        <v>341</v>
      </c>
      <c r="E209" t="s">
        <v>305</v>
      </c>
      <c r="F209" s="3"/>
      <c r="G209" s="3"/>
      <c r="H209" s="3"/>
      <c r="I209" s="3">
        <v>6.7840092490952699</v>
      </c>
      <c r="J209" s="3">
        <v>6.7840092490952699</v>
      </c>
    </row>
    <row r="210" spans="2:10" x14ac:dyDescent="0.25">
      <c r="B210" t="s">
        <v>137</v>
      </c>
      <c r="C210" t="s">
        <v>276</v>
      </c>
      <c r="D210" t="s">
        <v>341</v>
      </c>
      <c r="E210" t="s">
        <v>306</v>
      </c>
      <c r="F210" s="3"/>
      <c r="G210" s="3"/>
      <c r="H210" s="3"/>
      <c r="I210" s="3">
        <v>6.7840092490952699</v>
      </c>
      <c r="J210" s="3">
        <v>6.7840092490952699</v>
      </c>
    </row>
    <row r="211" spans="2:10" x14ac:dyDescent="0.25">
      <c r="B211" t="s">
        <v>137</v>
      </c>
      <c r="C211" t="s">
        <v>276</v>
      </c>
      <c r="D211" t="s">
        <v>341</v>
      </c>
      <c r="E211" t="s">
        <v>307</v>
      </c>
      <c r="F211" s="3"/>
      <c r="G211" s="3"/>
      <c r="H211" s="3"/>
      <c r="I211" s="3">
        <v>6.7840092490952699</v>
      </c>
      <c r="J211" s="3">
        <v>6.7840092490952699</v>
      </c>
    </row>
    <row r="212" spans="2:10" x14ac:dyDescent="0.25">
      <c r="B212" t="s">
        <v>137</v>
      </c>
      <c r="C212" t="s">
        <v>276</v>
      </c>
      <c r="D212" t="s">
        <v>341</v>
      </c>
      <c r="E212" t="s">
        <v>308</v>
      </c>
      <c r="F212" s="3"/>
      <c r="G212" s="3"/>
      <c r="H212" s="3"/>
      <c r="I212" s="3">
        <v>6.7840092490952699</v>
      </c>
      <c r="J212" s="3">
        <v>6.7840092490952699</v>
      </c>
    </row>
    <row r="213" spans="2:10" x14ac:dyDescent="0.25">
      <c r="B213" t="s">
        <v>137</v>
      </c>
      <c r="C213" t="s">
        <v>276</v>
      </c>
      <c r="D213" t="s">
        <v>341</v>
      </c>
      <c r="E213" t="s">
        <v>309</v>
      </c>
      <c r="F213" s="3"/>
      <c r="G213" s="3"/>
      <c r="H213" s="3"/>
      <c r="I213" s="3">
        <v>6.7840092490952699</v>
      </c>
      <c r="J213" s="3">
        <v>6.7840092490952699</v>
      </c>
    </row>
    <row r="214" spans="2:10" x14ac:dyDescent="0.25">
      <c r="B214" t="s">
        <v>137</v>
      </c>
      <c r="C214" t="s">
        <v>276</v>
      </c>
      <c r="D214" t="s">
        <v>341</v>
      </c>
      <c r="E214" t="s">
        <v>310</v>
      </c>
      <c r="F214" s="3"/>
      <c r="G214" s="3"/>
      <c r="H214" s="3"/>
      <c r="I214" s="3">
        <v>6.7840092490952699</v>
      </c>
      <c r="J214" s="3">
        <v>6.7840092490952699</v>
      </c>
    </row>
    <row r="215" spans="2:10" x14ac:dyDescent="0.25">
      <c r="B215" t="s">
        <v>137</v>
      </c>
      <c r="C215" t="s">
        <v>276</v>
      </c>
      <c r="D215" t="s">
        <v>341</v>
      </c>
      <c r="E215" t="s">
        <v>311</v>
      </c>
      <c r="F215" s="3"/>
      <c r="G215" s="3"/>
      <c r="H215" s="3"/>
      <c r="I215" s="3">
        <v>6.7840092490952699</v>
      </c>
      <c r="J215" s="3">
        <v>6.7840092490952699</v>
      </c>
    </row>
    <row r="216" spans="2:10" x14ac:dyDescent="0.25">
      <c r="B216" t="s">
        <v>137</v>
      </c>
      <c r="C216" t="s">
        <v>276</v>
      </c>
      <c r="D216" t="s">
        <v>341</v>
      </c>
      <c r="E216" t="s">
        <v>312</v>
      </c>
      <c r="F216" s="3"/>
      <c r="G216" s="3"/>
      <c r="H216" s="3"/>
      <c r="I216" s="3">
        <v>6.7840092490952699</v>
      </c>
      <c r="J216" s="3">
        <v>6.7840092490952699</v>
      </c>
    </row>
    <row r="217" spans="2:10" x14ac:dyDescent="0.25">
      <c r="B217" t="s">
        <v>137</v>
      </c>
      <c r="C217" t="s">
        <v>276</v>
      </c>
      <c r="D217" t="s">
        <v>342</v>
      </c>
      <c r="E217" t="s">
        <v>47</v>
      </c>
      <c r="F217" s="3"/>
      <c r="G217" s="3"/>
      <c r="H217" s="3"/>
      <c r="I217" s="3">
        <v>4.58188389674359</v>
      </c>
      <c r="J217" s="3">
        <v>4.58188389674359</v>
      </c>
    </row>
    <row r="218" spans="2:10" x14ac:dyDescent="0.25">
      <c r="B218" t="s">
        <v>137</v>
      </c>
      <c r="C218" t="s">
        <v>276</v>
      </c>
      <c r="D218" t="s">
        <v>342</v>
      </c>
      <c r="E218" t="s">
        <v>48</v>
      </c>
      <c r="F218" s="3"/>
      <c r="G218" s="3"/>
      <c r="H218" s="3"/>
      <c r="I218" s="3">
        <v>7.5954672281743498</v>
      </c>
      <c r="J218" s="3">
        <v>7.5954672281743498</v>
      </c>
    </row>
    <row r="219" spans="2:10" x14ac:dyDescent="0.25">
      <c r="B219" t="s">
        <v>137</v>
      </c>
      <c r="C219" t="s">
        <v>276</v>
      </c>
      <c r="D219" t="s">
        <v>342</v>
      </c>
      <c r="E219" t="s">
        <v>49</v>
      </c>
      <c r="F219" s="3"/>
      <c r="G219" s="3"/>
      <c r="H219" s="3"/>
      <c r="I219" s="3">
        <v>20.476697565687399</v>
      </c>
      <c r="J219" s="3">
        <v>20.476697565687399</v>
      </c>
    </row>
    <row r="220" spans="2:10" x14ac:dyDescent="0.25">
      <c r="B220" t="s">
        <v>137</v>
      </c>
      <c r="C220" t="s">
        <v>276</v>
      </c>
      <c r="D220" t="s">
        <v>342</v>
      </c>
      <c r="E220" t="s">
        <v>50</v>
      </c>
      <c r="F220" s="3"/>
      <c r="G220" s="3"/>
      <c r="H220" s="3"/>
      <c r="I220" s="3">
        <v>33.401296930373697</v>
      </c>
      <c r="J220" s="3">
        <v>33.401296930373697</v>
      </c>
    </row>
    <row r="221" spans="2:10" x14ac:dyDescent="0.25">
      <c r="B221" t="s">
        <v>137</v>
      </c>
      <c r="C221" t="s">
        <v>276</v>
      </c>
      <c r="D221" t="s">
        <v>342</v>
      </c>
      <c r="E221" t="s">
        <v>51</v>
      </c>
      <c r="F221" s="3"/>
      <c r="G221" s="3"/>
      <c r="H221" s="3"/>
      <c r="I221" s="3">
        <v>39.693764579578698</v>
      </c>
      <c r="J221" s="3">
        <v>39.693764579578698</v>
      </c>
    </row>
    <row r="222" spans="2:10" x14ac:dyDescent="0.25">
      <c r="B222" t="s">
        <v>137</v>
      </c>
      <c r="C222" t="s">
        <v>276</v>
      </c>
      <c r="D222" t="s">
        <v>342</v>
      </c>
      <c r="E222" t="s">
        <v>196</v>
      </c>
      <c r="F222" s="3"/>
      <c r="G222" s="3"/>
      <c r="H222" s="3"/>
      <c r="I222" s="3">
        <v>39.693764579578698</v>
      </c>
      <c r="J222" s="3">
        <v>39.693764579578698</v>
      </c>
    </row>
    <row r="223" spans="2:10" x14ac:dyDescent="0.25">
      <c r="B223" t="s">
        <v>137</v>
      </c>
      <c r="C223" t="s">
        <v>276</v>
      </c>
      <c r="D223" t="s">
        <v>342</v>
      </c>
      <c r="E223" t="s">
        <v>197</v>
      </c>
      <c r="F223" s="3"/>
      <c r="G223" s="3"/>
      <c r="H223" s="3"/>
      <c r="I223" s="3">
        <v>39.693764579578698</v>
      </c>
      <c r="J223" s="3">
        <v>39.693764579578698</v>
      </c>
    </row>
    <row r="224" spans="2:10" x14ac:dyDescent="0.25">
      <c r="B224" t="s">
        <v>137</v>
      </c>
      <c r="C224" t="s">
        <v>276</v>
      </c>
      <c r="D224" t="s">
        <v>342</v>
      </c>
      <c r="E224" t="s">
        <v>198</v>
      </c>
      <c r="F224" s="3"/>
      <c r="G224" s="3"/>
      <c r="H224" s="3"/>
      <c r="I224" s="3">
        <v>39.693764579578698</v>
      </c>
      <c r="J224" s="3">
        <v>39.693764579578698</v>
      </c>
    </row>
    <row r="225" spans="2:10" x14ac:dyDescent="0.25">
      <c r="B225" t="s">
        <v>137</v>
      </c>
      <c r="C225" t="s">
        <v>276</v>
      </c>
      <c r="D225" t="s">
        <v>342</v>
      </c>
      <c r="E225" t="s">
        <v>199</v>
      </c>
      <c r="F225" s="3"/>
      <c r="G225" s="3"/>
      <c r="H225" s="3"/>
      <c r="I225" s="3">
        <v>39.693764579578698</v>
      </c>
      <c r="J225" s="3">
        <v>39.693764579578698</v>
      </c>
    </row>
    <row r="226" spans="2:10" x14ac:dyDescent="0.25">
      <c r="B226" t="s">
        <v>137</v>
      </c>
      <c r="C226" t="s">
        <v>276</v>
      </c>
      <c r="D226" t="s">
        <v>342</v>
      </c>
      <c r="E226" t="s">
        <v>200</v>
      </c>
      <c r="F226" s="3"/>
      <c r="G226" s="3"/>
      <c r="H226" s="3"/>
      <c r="I226" s="3">
        <v>39.693764579578698</v>
      </c>
      <c r="J226" s="3">
        <v>39.693764579578698</v>
      </c>
    </row>
    <row r="227" spans="2:10" x14ac:dyDescent="0.25">
      <c r="B227" t="s">
        <v>137</v>
      </c>
      <c r="C227" t="s">
        <v>276</v>
      </c>
      <c r="D227" t="s">
        <v>342</v>
      </c>
      <c r="E227" t="s">
        <v>240</v>
      </c>
      <c r="F227" s="3"/>
      <c r="G227" s="3"/>
      <c r="H227" s="3"/>
      <c r="I227" s="3">
        <v>39.693764579578698</v>
      </c>
      <c r="J227" s="3">
        <v>39.693764579578698</v>
      </c>
    </row>
    <row r="228" spans="2:10" x14ac:dyDescent="0.25">
      <c r="B228" t="s">
        <v>137</v>
      </c>
      <c r="C228" t="s">
        <v>276</v>
      </c>
      <c r="D228" t="s">
        <v>342</v>
      </c>
      <c r="E228" t="s">
        <v>301</v>
      </c>
      <c r="F228" s="3"/>
      <c r="G228" s="3"/>
      <c r="H228" s="3"/>
      <c r="I228" s="3">
        <v>39.693764579578698</v>
      </c>
      <c r="J228" s="3">
        <v>39.693764579578698</v>
      </c>
    </row>
    <row r="229" spans="2:10" x14ac:dyDescent="0.25">
      <c r="B229" t="s">
        <v>137</v>
      </c>
      <c r="C229" t="s">
        <v>276</v>
      </c>
      <c r="D229" t="s">
        <v>342</v>
      </c>
      <c r="E229" t="s">
        <v>302</v>
      </c>
      <c r="F229" s="3"/>
      <c r="G229" s="3"/>
      <c r="H229" s="3"/>
      <c r="I229" s="3">
        <v>39.693764579578698</v>
      </c>
      <c r="J229" s="3">
        <v>39.693764579578698</v>
      </c>
    </row>
    <row r="230" spans="2:10" x14ac:dyDescent="0.25">
      <c r="B230" t="s">
        <v>137</v>
      </c>
      <c r="C230" t="s">
        <v>276</v>
      </c>
      <c r="D230" t="s">
        <v>342</v>
      </c>
      <c r="E230" t="s">
        <v>303</v>
      </c>
      <c r="F230" s="3"/>
      <c r="G230" s="3"/>
      <c r="H230" s="3"/>
      <c r="I230" s="3">
        <v>39.693764579578698</v>
      </c>
      <c r="J230" s="3">
        <v>39.693764579578698</v>
      </c>
    </row>
    <row r="231" spans="2:10" x14ac:dyDescent="0.25">
      <c r="B231" t="s">
        <v>137</v>
      </c>
      <c r="C231" t="s">
        <v>276</v>
      </c>
      <c r="D231" t="s">
        <v>342</v>
      </c>
      <c r="E231" t="s">
        <v>304</v>
      </c>
      <c r="F231" s="3"/>
      <c r="G231" s="3"/>
      <c r="H231" s="3"/>
      <c r="I231" s="3">
        <v>39.693764579578698</v>
      </c>
      <c r="J231" s="3">
        <v>39.693764579578698</v>
      </c>
    </row>
    <row r="232" spans="2:10" x14ac:dyDescent="0.25">
      <c r="B232" t="s">
        <v>137</v>
      </c>
      <c r="C232" t="s">
        <v>276</v>
      </c>
      <c r="D232" t="s">
        <v>342</v>
      </c>
      <c r="E232" t="s">
        <v>305</v>
      </c>
      <c r="F232" s="3"/>
      <c r="G232" s="3"/>
      <c r="H232" s="3"/>
      <c r="I232" s="3">
        <v>39.693764579578698</v>
      </c>
      <c r="J232" s="3">
        <v>39.693764579578698</v>
      </c>
    </row>
    <row r="233" spans="2:10" x14ac:dyDescent="0.25">
      <c r="B233" t="s">
        <v>137</v>
      </c>
      <c r="C233" t="s">
        <v>276</v>
      </c>
      <c r="D233" t="s">
        <v>342</v>
      </c>
      <c r="E233" t="s">
        <v>306</v>
      </c>
      <c r="F233" s="3"/>
      <c r="G233" s="3"/>
      <c r="H233" s="3"/>
      <c r="I233" s="3">
        <v>39.693764579578698</v>
      </c>
      <c r="J233" s="3">
        <v>39.693764579578698</v>
      </c>
    </row>
    <row r="234" spans="2:10" x14ac:dyDescent="0.25">
      <c r="B234" t="s">
        <v>137</v>
      </c>
      <c r="C234" t="s">
        <v>276</v>
      </c>
      <c r="D234" t="s">
        <v>342</v>
      </c>
      <c r="E234" t="s">
        <v>307</v>
      </c>
      <c r="F234" s="3"/>
      <c r="G234" s="3"/>
      <c r="H234" s="3"/>
      <c r="I234" s="3">
        <v>39.693764579578698</v>
      </c>
      <c r="J234" s="3">
        <v>39.693764579578698</v>
      </c>
    </row>
    <row r="235" spans="2:10" x14ac:dyDescent="0.25">
      <c r="B235" t="s">
        <v>137</v>
      </c>
      <c r="C235" t="s">
        <v>276</v>
      </c>
      <c r="D235" t="s">
        <v>342</v>
      </c>
      <c r="E235" t="s">
        <v>308</v>
      </c>
      <c r="F235" s="3"/>
      <c r="G235" s="3"/>
      <c r="H235" s="3"/>
      <c r="I235" s="3">
        <v>39.693764579578698</v>
      </c>
      <c r="J235" s="3">
        <v>39.693764579578698</v>
      </c>
    </row>
    <row r="236" spans="2:10" x14ac:dyDescent="0.25">
      <c r="B236" t="s">
        <v>137</v>
      </c>
      <c r="C236" t="s">
        <v>276</v>
      </c>
      <c r="D236" t="s">
        <v>342</v>
      </c>
      <c r="E236" t="s">
        <v>309</v>
      </c>
      <c r="F236" s="3"/>
      <c r="G236" s="3"/>
      <c r="H236" s="3"/>
      <c r="I236" s="3">
        <v>39.693764579578698</v>
      </c>
      <c r="J236" s="3">
        <v>39.693764579578698</v>
      </c>
    </row>
    <row r="237" spans="2:10" x14ac:dyDescent="0.25">
      <c r="B237" t="s">
        <v>137</v>
      </c>
      <c r="C237" t="s">
        <v>276</v>
      </c>
      <c r="D237" t="s">
        <v>342</v>
      </c>
      <c r="E237" t="s">
        <v>310</v>
      </c>
      <c r="F237" s="3"/>
      <c r="G237" s="3"/>
      <c r="H237" s="3"/>
      <c r="I237" s="3">
        <v>39.693764579578698</v>
      </c>
      <c r="J237" s="3">
        <v>39.693764579578698</v>
      </c>
    </row>
    <row r="238" spans="2:10" x14ac:dyDescent="0.25">
      <c r="B238" t="s">
        <v>137</v>
      </c>
      <c r="C238" t="s">
        <v>276</v>
      </c>
      <c r="D238" t="s">
        <v>342</v>
      </c>
      <c r="E238" t="s">
        <v>311</v>
      </c>
      <c r="F238" s="3"/>
      <c r="G238" s="3"/>
      <c r="H238" s="3"/>
      <c r="I238" s="3">
        <v>39.693764579578698</v>
      </c>
      <c r="J238" s="3">
        <v>39.693764579578698</v>
      </c>
    </row>
    <row r="239" spans="2:10" x14ac:dyDescent="0.25">
      <c r="B239" t="s">
        <v>137</v>
      </c>
      <c r="C239" t="s">
        <v>276</v>
      </c>
      <c r="D239" t="s">
        <v>342</v>
      </c>
      <c r="E239" t="s">
        <v>312</v>
      </c>
      <c r="F239" s="3"/>
      <c r="G239" s="3"/>
      <c r="H239" s="3"/>
      <c r="I239" s="3">
        <v>24.576122855325099</v>
      </c>
      <c r="J239" s="3">
        <v>24.576122855325099</v>
      </c>
    </row>
    <row r="240" spans="2:10" x14ac:dyDescent="0.25">
      <c r="B240" t="s">
        <v>137</v>
      </c>
      <c r="C240" t="s">
        <v>276</v>
      </c>
      <c r="D240" t="s">
        <v>343</v>
      </c>
      <c r="E240" t="s">
        <v>46</v>
      </c>
      <c r="F240" s="3"/>
      <c r="G240" s="3"/>
      <c r="H240" s="3"/>
      <c r="I240" s="3">
        <v>91.782553471115193</v>
      </c>
      <c r="J240" s="3">
        <v>91.782553471115193</v>
      </c>
    </row>
    <row r="241" spans="2:10" x14ac:dyDescent="0.25">
      <c r="B241" t="s">
        <v>137</v>
      </c>
      <c r="C241" t="s">
        <v>276</v>
      </c>
      <c r="D241" t="s">
        <v>343</v>
      </c>
      <c r="E241" t="s">
        <v>47</v>
      </c>
      <c r="F241" s="3"/>
      <c r="G241" s="3"/>
      <c r="H241" s="3"/>
      <c r="I241" s="3">
        <v>90.510866472759602</v>
      </c>
      <c r="J241" s="3">
        <v>90.510866472759602</v>
      </c>
    </row>
    <row r="242" spans="2:10" x14ac:dyDescent="0.25">
      <c r="B242" t="s">
        <v>137</v>
      </c>
      <c r="C242" t="s">
        <v>276</v>
      </c>
      <c r="D242" t="s">
        <v>343</v>
      </c>
      <c r="E242" t="s">
        <v>48</v>
      </c>
      <c r="F242" s="3"/>
      <c r="G242" s="3"/>
      <c r="H242" s="3"/>
      <c r="I242" s="3">
        <v>90.374928297296705</v>
      </c>
      <c r="J242" s="3">
        <v>90.374928297296705</v>
      </c>
    </row>
    <row r="243" spans="2:10" x14ac:dyDescent="0.25">
      <c r="B243" t="s">
        <v>137</v>
      </c>
      <c r="C243" t="s">
        <v>276</v>
      </c>
      <c r="D243" t="s">
        <v>343</v>
      </c>
      <c r="E243" t="s">
        <v>49</v>
      </c>
      <c r="F243" s="3"/>
      <c r="G243" s="3"/>
      <c r="H243" s="3"/>
      <c r="I243" s="3">
        <v>87.2179941166617</v>
      </c>
      <c r="J243" s="3">
        <v>87.2179941166617</v>
      </c>
    </row>
    <row r="244" spans="2:10" x14ac:dyDescent="0.25">
      <c r="B244" t="s">
        <v>137</v>
      </c>
      <c r="C244" t="s">
        <v>276</v>
      </c>
      <c r="D244" t="s">
        <v>343</v>
      </c>
      <c r="E244" t="s">
        <v>50</v>
      </c>
      <c r="F244" s="3"/>
      <c r="G244" s="3"/>
      <c r="H244" s="3"/>
      <c r="I244" s="3">
        <v>83.618369224391103</v>
      </c>
      <c r="J244" s="3">
        <v>83.618369224391103</v>
      </c>
    </row>
    <row r="245" spans="2:10" x14ac:dyDescent="0.25">
      <c r="B245" t="s">
        <v>137</v>
      </c>
      <c r="C245" t="s">
        <v>276</v>
      </c>
      <c r="D245" t="s">
        <v>343</v>
      </c>
      <c r="E245" t="s">
        <v>51</v>
      </c>
      <c r="F245" s="3"/>
      <c r="G245" s="3"/>
      <c r="H245" s="3"/>
      <c r="I245" s="3">
        <v>74.647959444020799</v>
      </c>
      <c r="J245" s="3">
        <v>74.647959444020799</v>
      </c>
    </row>
    <row r="246" spans="2:10" x14ac:dyDescent="0.25">
      <c r="B246" t="s">
        <v>137</v>
      </c>
      <c r="C246" t="s">
        <v>276</v>
      </c>
      <c r="D246" t="s">
        <v>343</v>
      </c>
      <c r="E246" t="s">
        <v>196</v>
      </c>
      <c r="F246" s="3"/>
      <c r="G246" s="3"/>
      <c r="H246" s="3"/>
      <c r="I246" s="3">
        <v>67.583478341930203</v>
      </c>
      <c r="J246" s="3">
        <v>67.583478341930203</v>
      </c>
    </row>
    <row r="247" spans="2:10" x14ac:dyDescent="0.25">
      <c r="B247" t="s">
        <v>137</v>
      </c>
      <c r="C247" t="s">
        <v>276</v>
      </c>
      <c r="D247" t="s">
        <v>343</v>
      </c>
      <c r="E247" t="s">
        <v>197</v>
      </c>
      <c r="F247" s="3"/>
      <c r="G247" s="3"/>
      <c r="H247" s="3"/>
      <c r="I247" s="3">
        <v>71.089790843174498</v>
      </c>
      <c r="J247" s="3">
        <v>71.089790843174498</v>
      </c>
    </row>
    <row r="248" spans="2:10" x14ac:dyDescent="0.25">
      <c r="B248" t="s">
        <v>137</v>
      </c>
      <c r="C248" t="s">
        <v>276</v>
      </c>
      <c r="D248" t="s">
        <v>343</v>
      </c>
      <c r="E248" t="s">
        <v>198</v>
      </c>
      <c r="F248" s="3"/>
      <c r="G248" s="3"/>
      <c r="H248" s="3"/>
      <c r="I248" s="3">
        <v>70.729321337999579</v>
      </c>
      <c r="J248" s="3">
        <v>70.729321337999579</v>
      </c>
    </row>
    <row r="249" spans="2:10" x14ac:dyDescent="0.25">
      <c r="B249" t="s">
        <v>137</v>
      </c>
      <c r="C249" t="s">
        <v>276</v>
      </c>
      <c r="D249" t="s">
        <v>343</v>
      </c>
      <c r="E249" t="s">
        <v>199</v>
      </c>
      <c r="F249" s="3"/>
      <c r="G249" s="3"/>
      <c r="H249" s="3"/>
      <c r="I249" s="3">
        <v>69.554381308700769</v>
      </c>
      <c r="J249" s="3">
        <v>69.554381308700769</v>
      </c>
    </row>
    <row r="250" spans="2:10" x14ac:dyDescent="0.25">
      <c r="B250" t="s">
        <v>137</v>
      </c>
      <c r="C250" t="s">
        <v>276</v>
      </c>
      <c r="D250" t="s">
        <v>343</v>
      </c>
      <c r="E250" t="s">
        <v>200</v>
      </c>
      <c r="F250" s="3"/>
      <c r="G250" s="3"/>
      <c r="H250" s="3"/>
      <c r="I250" s="3">
        <v>71.237124286140016</v>
      </c>
      <c r="J250" s="3">
        <v>71.237124286140016</v>
      </c>
    </row>
    <row r="251" spans="2:10" x14ac:dyDescent="0.25">
      <c r="B251" t="s">
        <v>137</v>
      </c>
      <c r="C251" t="s">
        <v>276</v>
      </c>
      <c r="D251" t="s">
        <v>343</v>
      </c>
      <c r="E251" t="s">
        <v>240</v>
      </c>
      <c r="F251" s="3"/>
      <c r="G251" s="3"/>
      <c r="H251" s="3"/>
      <c r="I251" s="3">
        <v>76.167569820280917</v>
      </c>
      <c r="J251" s="3">
        <v>76.167569820280917</v>
      </c>
    </row>
    <row r="252" spans="2:10" x14ac:dyDescent="0.25">
      <c r="B252" t="s">
        <v>137</v>
      </c>
      <c r="C252" t="s">
        <v>276</v>
      </c>
      <c r="D252" t="s">
        <v>343</v>
      </c>
      <c r="E252" t="s">
        <v>301</v>
      </c>
      <c r="F252" s="3"/>
      <c r="G252" s="3"/>
      <c r="H252" s="3"/>
      <c r="I252" s="3">
        <v>74.991330783525441</v>
      </c>
      <c r="J252" s="3">
        <v>74.991330783525441</v>
      </c>
    </row>
    <row r="253" spans="2:10" x14ac:dyDescent="0.25">
      <c r="B253" t="s">
        <v>137</v>
      </c>
      <c r="C253" t="s">
        <v>276</v>
      </c>
      <c r="D253" t="s">
        <v>343</v>
      </c>
      <c r="E253" t="s">
        <v>302</v>
      </c>
      <c r="F253" s="3"/>
      <c r="G253" s="3"/>
      <c r="H253" s="3"/>
      <c r="I253" s="3">
        <v>73.43137333782154</v>
      </c>
      <c r="J253" s="3">
        <v>73.43137333782154</v>
      </c>
    </row>
    <row r="254" spans="2:10" x14ac:dyDescent="0.25">
      <c r="B254" t="s">
        <v>137</v>
      </c>
      <c r="C254" t="s">
        <v>276</v>
      </c>
      <c r="D254" t="s">
        <v>343</v>
      </c>
      <c r="E254" t="s">
        <v>303</v>
      </c>
      <c r="F254" s="3"/>
      <c r="G254" s="3"/>
      <c r="H254" s="3"/>
      <c r="I254" s="3">
        <v>70.887614234935555</v>
      </c>
      <c r="J254" s="3">
        <v>70.887614234935555</v>
      </c>
    </row>
    <row r="255" spans="2:10" x14ac:dyDescent="0.25">
      <c r="B255" t="s">
        <v>137</v>
      </c>
      <c r="C255" t="s">
        <v>276</v>
      </c>
      <c r="D255" t="s">
        <v>343</v>
      </c>
      <c r="E255" t="s">
        <v>304</v>
      </c>
      <c r="F255" s="3"/>
      <c r="G255" s="3"/>
      <c r="H255" s="3"/>
      <c r="I255" s="3">
        <v>68.724822935226527</v>
      </c>
      <c r="J255" s="3">
        <v>68.724822935226527</v>
      </c>
    </row>
    <row r="256" spans="2:10" x14ac:dyDescent="0.25">
      <c r="B256" t="s">
        <v>137</v>
      </c>
      <c r="C256" t="s">
        <v>276</v>
      </c>
      <c r="D256" t="s">
        <v>343</v>
      </c>
      <c r="E256" t="s">
        <v>305</v>
      </c>
      <c r="F256" s="3"/>
      <c r="G256" s="3"/>
      <c r="H256" s="3"/>
      <c r="I256" s="3">
        <v>67.583478341930203</v>
      </c>
      <c r="J256" s="3">
        <v>67.583478341930203</v>
      </c>
    </row>
    <row r="257" spans="2:10" x14ac:dyDescent="0.25">
      <c r="B257" t="s">
        <v>137</v>
      </c>
      <c r="C257" t="s">
        <v>276</v>
      </c>
      <c r="D257" t="s">
        <v>343</v>
      </c>
      <c r="E257" t="s">
        <v>306</v>
      </c>
      <c r="F257" s="3"/>
      <c r="G257" s="3"/>
      <c r="H257" s="3"/>
      <c r="I257" s="3">
        <v>67.583478341930203</v>
      </c>
      <c r="J257" s="3">
        <v>67.583478341930203</v>
      </c>
    </row>
    <row r="258" spans="2:10" x14ac:dyDescent="0.25">
      <c r="B258" t="s">
        <v>137</v>
      </c>
      <c r="C258" t="s">
        <v>276</v>
      </c>
      <c r="D258" t="s">
        <v>343</v>
      </c>
      <c r="E258" t="s">
        <v>307</v>
      </c>
      <c r="F258" s="3"/>
      <c r="G258" s="3"/>
      <c r="H258" s="3"/>
      <c r="I258" s="3">
        <v>67.583478341930203</v>
      </c>
      <c r="J258" s="3">
        <v>67.583478341930203</v>
      </c>
    </row>
    <row r="259" spans="2:10" x14ac:dyDescent="0.25">
      <c r="B259" t="s">
        <v>137</v>
      </c>
      <c r="C259" t="s">
        <v>276</v>
      </c>
      <c r="D259" t="s">
        <v>343</v>
      </c>
      <c r="E259" t="s">
        <v>308</v>
      </c>
      <c r="F259" s="3"/>
      <c r="G259" s="3"/>
      <c r="H259" s="3"/>
      <c r="I259" s="3">
        <v>67.583478341930203</v>
      </c>
      <c r="J259" s="3">
        <v>67.583478341930203</v>
      </c>
    </row>
    <row r="260" spans="2:10" x14ac:dyDescent="0.25">
      <c r="B260" t="s">
        <v>137</v>
      </c>
      <c r="C260" t="s">
        <v>276</v>
      </c>
      <c r="D260" t="s">
        <v>343</v>
      </c>
      <c r="E260" t="s">
        <v>309</v>
      </c>
      <c r="F260" s="3"/>
      <c r="G260" s="3"/>
      <c r="H260" s="3"/>
      <c r="I260" s="3">
        <v>67.583478341930203</v>
      </c>
      <c r="J260" s="3">
        <v>67.583478341930203</v>
      </c>
    </row>
    <row r="261" spans="2:10" x14ac:dyDescent="0.25">
      <c r="B261" t="s">
        <v>137</v>
      </c>
      <c r="C261" t="s">
        <v>276</v>
      </c>
      <c r="D261" t="s">
        <v>343</v>
      </c>
      <c r="E261" t="s">
        <v>310</v>
      </c>
      <c r="F261" s="3"/>
      <c r="G261" s="3"/>
      <c r="H261" s="3"/>
      <c r="I261" s="3">
        <v>67.583478341930203</v>
      </c>
      <c r="J261" s="3">
        <v>67.583478341930203</v>
      </c>
    </row>
    <row r="262" spans="2:10" x14ac:dyDescent="0.25">
      <c r="B262" t="s">
        <v>137</v>
      </c>
      <c r="C262" t="s">
        <v>276</v>
      </c>
      <c r="D262" t="s">
        <v>343</v>
      </c>
      <c r="E262" t="s">
        <v>311</v>
      </c>
      <c r="F262" s="3"/>
      <c r="G262" s="3"/>
      <c r="H262" s="3"/>
      <c r="I262" s="3">
        <v>67.583478341930203</v>
      </c>
      <c r="J262" s="3">
        <v>67.583478341930203</v>
      </c>
    </row>
    <row r="263" spans="2:10" x14ac:dyDescent="0.25">
      <c r="B263" t="s">
        <v>137</v>
      </c>
      <c r="C263" t="s">
        <v>276</v>
      </c>
      <c r="D263" t="s">
        <v>343</v>
      </c>
      <c r="E263" t="s">
        <v>312</v>
      </c>
      <c r="F263" s="3"/>
      <c r="G263" s="3"/>
      <c r="H263" s="3"/>
      <c r="I263" s="3">
        <v>70.990965207118293</v>
      </c>
      <c r="J263" s="3">
        <v>70.990965207118293</v>
      </c>
    </row>
    <row r="264" spans="2:10" x14ac:dyDescent="0.25">
      <c r="B264" t="s">
        <v>137</v>
      </c>
      <c r="C264" t="s">
        <v>344</v>
      </c>
      <c r="D264" t="s">
        <v>345</v>
      </c>
      <c r="E264" t="s">
        <v>46</v>
      </c>
      <c r="F264" s="3">
        <v>-14.450731334714201</v>
      </c>
      <c r="G264" s="3"/>
      <c r="H264" s="3"/>
      <c r="I264" s="3"/>
      <c r="J264" s="3">
        <v>-14.450731334714201</v>
      </c>
    </row>
    <row r="265" spans="2:10" x14ac:dyDescent="0.25">
      <c r="B265" t="s">
        <v>137</v>
      </c>
      <c r="C265" t="s">
        <v>344</v>
      </c>
      <c r="D265" t="s">
        <v>345</v>
      </c>
      <c r="E265" t="s">
        <v>47</v>
      </c>
      <c r="F265" s="3">
        <v>-10.41812862254665</v>
      </c>
      <c r="G265" s="3"/>
      <c r="H265" s="3"/>
      <c r="I265" s="3"/>
      <c r="J265" s="3">
        <v>-10.41812862254665</v>
      </c>
    </row>
    <row r="266" spans="2:10" x14ac:dyDescent="0.25">
      <c r="B266" t="s">
        <v>137</v>
      </c>
      <c r="C266" t="s">
        <v>344</v>
      </c>
      <c r="D266" t="s">
        <v>345</v>
      </c>
      <c r="E266" t="s">
        <v>48</v>
      </c>
      <c r="F266" s="3">
        <v>-7.4608866336237698</v>
      </c>
      <c r="G266" s="3"/>
      <c r="H266" s="3"/>
      <c r="I266" s="3"/>
      <c r="J266" s="3">
        <v>-7.4608866336237698</v>
      </c>
    </row>
    <row r="267" spans="2:10" x14ac:dyDescent="0.25">
      <c r="B267" t="s">
        <v>137</v>
      </c>
      <c r="C267" t="s">
        <v>344</v>
      </c>
      <c r="D267" t="s">
        <v>345</v>
      </c>
      <c r="E267" t="s">
        <v>49</v>
      </c>
      <c r="F267" s="3">
        <v>-9.6116080801131698</v>
      </c>
      <c r="G267" s="3"/>
      <c r="H267" s="3"/>
      <c r="I267" s="3"/>
      <c r="J267" s="3">
        <v>-9.6116080801131698</v>
      </c>
    </row>
    <row r="268" spans="2:10" x14ac:dyDescent="0.25">
      <c r="B268" t="s">
        <v>137</v>
      </c>
      <c r="C268" t="s">
        <v>344</v>
      </c>
      <c r="D268" t="s">
        <v>345</v>
      </c>
      <c r="E268" t="s">
        <v>50</v>
      </c>
      <c r="F268" s="3">
        <v>-78.570217439034906</v>
      </c>
      <c r="G268" s="3"/>
      <c r="H268" s="3"/>
      <c r="I268" s="3"/>
      <c r="J268" s="3">
        <v>-78.570217439034906</v>
      </c>
    </row>
    <row r="269" spans="2:10" x14ac:dyDescent="0.25">
      <c r="B269" t="s">
        <v>137</v>
      </c>
      <c r="C269" t="s">
        <v>344</v>
      </c>
      <c r="D269" t="s">
        <v>345</v>
      </c>
      <c r="E269" t="s">
        <v>51</v>
      </c>
      <c r="F269" s="3">
        <v>-130.84274037527271</v>
      </c>
      <c r="G269" s="3"/>
      <c r="H269" s="3"/>
      <c r="I269" s="3"/>
      <c r="J269" s="3">
        <v>-130.84274037527271</v>
      </c>
    </row>
    <row r="270" spans="2:10" x14ac:dyDescent="0.25">
      <c r="B270" t="s">
        <v>137</v>
      </c>
      <c r="C270" t="s">
        <v>344</v>
      </c>
      <c r="D270" t="s">
        <v>345</v>
      </c>
      <c r="E270" t="s">
        <v>196</v>
      </c>
      <c r="F270" s="3">
        <v>-133.94999999999999</v>
      </c>
      <c r="G270" s="3"/>
      <c r="H270" s="3"/>
      <c r="I270" s="3"/>
      <c r="J270" s="3">
        <v>-133.94999999999999</v>
      </c>
    </row>
    <row r="271" spans="2:10" x14ac:dyDescent="0.25">
      <c r="B271" t="s">
        <v>137</v>
      </c>
      <c r="C271" t="s">
        <v>344</v>
      </c>
      <c r="D271" t="s">
        <v>345</v>
      </c>
      <c r="E271" t="s">
        <v>197</v>
      </c>
      <c r="F271" s="3">
        <v>-133.94999999999999</v>
      </c>
      <c r="G271" s="3"/>
      <c r="H271" s="3"/>
      <c r="I271" s="3"/>
      <c r="J271" s="3">
        <v>-133.94999999999999</v>
      </c>
    </row>
    <row r="272" spans="2:10" x14ac:dyDescent="0.25">
      <c r="B272" t="s">
        <v>137</v>
      </c>
      <c r="C272" t="s">
        <v>344</v>
      </c>
      <c r="D272" t="s">
        <v>345</v>
      </c>
      <c r="E272" t="s">
        <v>198</v>
      </c>
      <c r="F272" s="3">
        <v>-145.46714323311929</v>
      </c>
      <c r="G272" s="3"/>
      <c r="H272" s="3"/>
      <c r="I272" s="3"/>
      <c r="J272" s="3">
        <v>-145.46714323311929</v>
      </c>
    </row>
    <row r="273" spans="2:10" x14ac:dyDescent="0.25">
      <c r="B273" t="s">
        <v>137</v>
      </c>
      <c r="C273" t="s">
        <v>344</v>
      </c>
      <c r="D273" t="s">
        <v>345</v>
      </c>
      <c r="E273" t="s">
        <v>199</v>
      </c>
      <c r="F273" s="3">
        <v>-149.256783205321</v>
      </c>
      <c r="G273" s="3"/>
      <c r="H273" s="3"/>
      <c r="I273" s="3"/>
      <c r="J273" s="3">
        <v>-149.256783205321</v>
      </c>
    </row>
    <row r="274" spans="2:10" x14ac:dyDescent="0.25">
      <c r="B274" t="s">
        <v>137</v>
      </c>
      <c r="C274" t="s">
        <v>344</v>
      </c>
      <c r="D274" t="s">
        <v>345</v>
      </c>
      <c r="E274" t="s">
        <v>200</v>
      </c>
      <c r="F274" s="3">
        <v>-101.61026218283851</v>
      </c>
      <c r="G274" s="3"/>
      <c r="H274" s="3"/>
      <c r="I274" s="3"/>
      <c r="J274" s="3">
        <v>-101.61026218283851</v>
      </c>
    </row>
    <row r="275" spans="2:10" x14ac:dyDescent="0.25">
      <c r="B275" t="s">
        <v>137</v>
      </c>
      <c r="C275" t="s">
        <v>344</v>
      </c>
      <c r="D275" t="s">
        <v>345</v>
      </c>
      <c r="E275" t="s">
        <v>240</v>
      </c>
      <c r="F275" s="3">
        <v>-62.120121615560677</v>
      </c>
      <c r="G275" s="3"/>
      <c r="H275" s="3"/>
      <c r="I275" s="3"/>
      <c r="J275" s="3">
        <v>-62.120121615560677</v>
      </c>
    </row>
    <row r="276" spans="2:10" x14ac:dyDescent="0.25">
      <c r="B276" t="s">
        <v>137</v>
      </c>
      <c r="C276" t="s">
        <v>344</v>
      </c>
      <c r="D276" t="s">
        <v>345</v>
      </c>
      <c r="E276" t="s">
        <v>301</v>
      </c>
      <c r="F276" s="3">
        <v>-51.92607025069259</v>
      </c>
      <c r="G276" s="3"/>
      <c r="H276" s="3"/>
      <c r="I276" s="3"/>
      <c r="J276" s="3">
        <v>-51.92607025069259</v>
      </c>
    </row>
    <row r="277" spans="2:10" x14ac:dyDescent="0.25">
      <c r="B277" t="s">
        <v>137</v>
      </c>
      <c r="C277" t="s">
        <v>344</v>
      </c>
      <c r="D277" t="s">
        <v>345</v>
      </c>
      <c r="E277" t="s">
        <v>302</v>
      </c>
      <c r="F277" s="3">
        <v>-31</v>
      </c>
      <c r="G277" s="3"/>
      <c r="H277" s="3"/>
      <c r="I277" s="3"/>
      <c r="J277" s="3">
        <v>-31</v>
      </c>
    </row>
    <row r="278" spans="2:10" x14ac:dyDescent="0.25">
      <c r="B278" t="s">
        <v>137</v>
      </c>
      <c r="C278" t="s">
        <v>344</v>
      </c>
      <c r="D278" t="s">
        <v>345</v>
      </c>
      <c r="E278" t="s">
        <v>303</v>
      </c>
      <c r="F278" s="3">
        <v>-31</v>
      </c>
      <c r="G278" s="3"/>
      <c r="H278" s="3"/>
      <c r="I278" s="3"/>
      <c r="J278" s="3">
        <v>-31</v>
      </c>
    </row>
    <row r="279" spans="2:10" x14ac:dyDescent="0.25">
      <c r="B279" t="s">
        <v>137</v>
      </c>
      <c r="C279" t="s">
        <v>344</v>
      </c>
      <c r="D279" t="s">
        <v>345</v>
      </c>
      <c r="E279" t="s">
        <v>304</v>
      </c>
      <c r="F279" s="3">
        <v>-33.559365162915363</v>
      </c>
      <c r="G279" s="3"/>
      <c r="H279" s="3"/>
      <c r="I279" s="3"/>
      <c r="J279" s="3">
        <v>-33.559365162915363</v>
      </c>
    </row>
    <row r="280" spans="2:10" x14ac:dyDescent="0.25">
      <c r="B280" t="s">
        <v>137</v>
      </c>
      <c r="C280" t="s">
        <v>344</v>
      </c>
      <c r="D280" t="s">
        <v>345</v>
      </c>
      <c r="E280" t="s">
        <v>305</v>
      </c>
      <c r="F280" s="3">
        <v>-54.869808103432433</v>
      </c>
      <c r="G280" s="3"/>
      <c r="H280" s="3"/>
      <c r="I280" s="3"/>
      <c r="J280" s="3">
        <v>-54.869808103432433</v>
      </c>
    </row>
    <row r="281" spans="2:10" x14ac:dyDescent="0.25">
      <c r="B281" t="s">
        <v>137</v>
      </c>
      <c r="C281" t="s">
        <v>344</v>
      </c>
      <c r="D281" t="s">
        <v>345</v>
      </c>
      <c r="E281" t="s">
        <v>306</v>
      </c>
      <c r="F281" s="3">
        <v>-35.462270301211504</v>
      </c>
      <c r="G281" s="3"/>
      <c r="H281" s="3"/>
      <c r="I281" s="3"/>
      <c r="J281" s="3">
        <v>-35.462270301211504</v>
      </c>
    </row>
    <row r="282" spans="2:10" x14ac:dyDescent="0.25">
      <c r="B282" t="s">
        <v>137</v>
      </c>
      <c r="C282" t="s">
        <v>344</v>
      </c>
      <c r="D282" t="s">
        <v>345</v>
      </c>
      <c r="E282" t="s">
        <v>307</v>
      </c>
      <c r="F282" s="3">
        <v>-21</v>
      </c>
      <c r="G282" s="3"/>
      <c r="H282" s="3"/>
      <c r="I282" s="3"/>
      <c r="J282" s="3">
        <v>-21</v>
      </c>
    </row>
    <row r="283" spans="2:10" x14ac:dyDescent="0.25">
      <c r="B283" t="s">
        <v>137</v>
      </c>
      <c r="C283" t="s">
        <v>344</v>
      </c>
      <c r="D283" t="s">
        <v>345</v>
      </c>
      <c r="E283" t="s">
        <v>308</v>
      </c>
      <c r="F283" s="3">
        <v>-21</v>
      </c>
      <c r="G283" s="3"/>
      <c r="H283" s="3"/>
      <c r="I283" s="3"/>
      <c r="J283" s="3">
        <v>-21</v>
      </c>
    </row>
    <row r="284" spans="2:10" x14ac:dyDescent="0.25">
      <c r="B284" t="s">
        <v>137</v>
      </c>
      <c r="C284" t="s">
        <v>344</v>
      </c>
      <c r="D284" t="s">
        <v>345</v>
      </c>
      <c r="E284" t="s">
        <v>309</v>
      </c>
      <c r="F284" s="3">
        <v>-5.4823056049673697</v>
      </c>
      <c r="G284" s="3"/>
      <c r="H284" s="3"/>
      <c r="I284" s="3"/>
      <c r="J284" s="3">
        <v>-5.4823056049673697</v>
      </c>
    </row>
    <row r="285" spans="2:10" x14ac:dyDescent="0.25">
      <c r="B285" t="s">
        <v>137</v>
      </c>
      <c r="C285" t="s">
        <v>344</v>
      </c>
      <c r="D285" t="s">
        <v>345</v>
      </c>
      <c r="E285" t="s">
        <v>310</v>
      </c>
      <c r="F285" s="3">
        <v>-1</v>
      </c>
      <c r="G285" s="3"/>
      <c r="H285" s="3"/>
      <c r="I285" s="3"/>
      <c r="J285" s="3">
        <v>-1</v>
      </c>
    </row>
    <row r="286" spans="2:10" x14ac:dyDescent="0.25">
      <c r="B286" t="s">
        <v>137</v>
      </c>
      <c r="C286" t="s">
        <v>344</v>
      </c>
      <c r="D286" t="s">
        <v>345</v>
      </c>
      <c r="E286" t="s">
        <v>311</v>
      </c>
      <c r="F286" s="3">
        <v>-31</v>
      </c>
      <c r="G286" s="3"/>
      <c r="H286" s="3"/>
      <c r="I286" s="3"/>
      <c r="J286" s="3">
        <v>-31</v>
      </c>
    </row>
    <row r="287" spans="2:10" x14ac:dyDescent="0.25">
      <c r="B287" t="s">
        <v>137</v>
      </c>
      <c r="C287" t="s">
        <v>344</v>
      </c>
      <c r="D287" t="s">
        <v>345</v>
      </c>
      <c r="E287" t="s">
        <v>312</v>
      </c>
      <c r="F287" s="3">
        <v>-31</v>
      </c>
      <c r="G287" s="3"/>
      <c r="H287" s="3"/>
      <c r="I287" s="3"/>
      <c r="J287" s="3">
        <v>-31</v>
      </c>
    </row>
    <row r="288" spans="2:10" x14ac:dyDescent="0.25">
      <c r="B288" t="s">
        <v>137</v>
      </c>
      <c r="C288" t="s">
        <v>344</v>
      </c>
      <c r="D288" t="s">
        <v>346</v>
      </c>
      <c r="E288" t="s">
        <v>46</v>
      </c>
      <c r="F288" s="3">
        <v>-0.61333333333333295</v>
      </c>
      <c r="G288" s="3"/>
      <c r="H288" s="3"/>
      <c r="I288" s="3"/>
      <c r="J288" s="3">
        <v>-0.61333333333333295</v>
      </c>
    </row>
    <row r="289" spans="2:10" x14ac:dyDescent="0.25">
      <c r="B289" t="s">
        <v>137</v>
      </c>
      <c r="C289" t="s">
        <v>344</v>
      </c>
      <c r="D289" t="s">
        <v>346</v>
      </c>
      <c r="E289" t="s">
        <v>47</v>
      </c>
      <c r="F289" s="3">
        <v>-0.61333333333333295</v>
      </c>
      <c r="G289" s="3"/>
      <c r="H289" s="3"/>
      <c r="I289" s="3"/>
      <c r="J289" s="3">
        <v>-0.61333333333333295</v>
      </c>
    </row>
    <row r="290" spans="2:10" x14ac:dyDescent="0.25">
      <c r="B290" t="s">
        <v>137</v>
      </c>
      <c r="C290" t="s">
        <v>344</v>
      </c>
      <c r="D290" t="s">
        <v>346</v>
      </c>
      <c r="E290" t="s">
        <v>48</v>
      </c>
      <c r="F290" s="3">
        <v>-0.61333333333333295</v>
      </c>
      <c r="G290" s="3"/>
      <c r="H290" s="3"/>
      <c r="I290" s="3"/>
      <c r="J290" s="3">
        <v>-0.61333333333333295</v>
      </c>
    </row>
    <row r="291" spans="2:10" x14ac:dyDescent="0.25">
      <c r="B291" t="s">
        <v>137</v>
      </c>
      <c r="C291" t="s">
        <v>344</v>
      </c>
      <c r="D291" t="s">
        <v>346</v>
      </c>
      <c r="E291" t="s">
        <v>49</v>
      </c>
      <c r="F291" s="3">
        <v>-0.61333333333333295</v>
      </c>
      <c r="G291" s="3"/>
      <c r="H291" s="3"/>
      <c r="I291" s="3"/>
      <c r="J291" s="3">
        <v>-0.61333333333333295</v>
      </c>
    </row>
    <row r="292" spans="2:10" x14ac:dyDescent="0.25">
      <c r="B292" t="s">
        <v>137</v>
      </c>
      <c r="C292" t="s">
        <v>344</v>
      </c>
      <c r="D292" t="s">
        <v>346</v>
      </c>
      <c r="E292" t="s">
        <v>50</v>
      </c>
      <c r="F292" s="3">
        <v>-0.72666666666666591</v>
      </c>
      <c r="G292" s="3"/>
      <c r="H292" s="3"/>
      <c r="I292" s="3"/>
      <c r="J292" s="3">
        <v>-0.72666666666666591</v>
      </c>
    </row>
    <row r="293" spans="2:10" x14ac:dyDescent="0.25">
      <c r="B293" t="s">
        <v>137</v>
      </c>
      <c r="C293" t="s">
        <v>344</v>
      </c>
      <c r="D293" t="s">
        <v>346</v>
      </c>
      <c r="E293" t="s">
        <v>51</v>
      </c>
      <c r="F293" s="3">
        <v>-0.72666666666666591</v>
      </c>
      <c r="G293" s="3"/>
      <c r="H293" s="3"/>
      <c r="I293" s="3"/>
      <c r="J293" s="3">
        <v>-0.72666666666666591</v>
      </c>
    </row>
    <row r="294" spans="2:10" x14ac:dyDescent="0.25">
      <c r="B294" t="s">
        <v>137</v>
      </c>
      <c r="C294" t="s">
        <v>344</v>
      </c>
      <c r="D294" t="s">
        <v>346</v>
      </c>
      <c r="E294" t="s">
        <v>196</v>
      </c>
      <c r="F294" s="3">
        <v>-0.72666666666666591</v>
      </c>
      <c r="G294" s="3"/>
      <c r="H294" s="3"/>
      <c r="I294" s="3"/>
      <c r="J294" s="3">
        <v>-0.72666666666666591</v>
      </c>
    </row>
    <row r="295" spans="2:10" x14ac:dyDescent="0.25">
      <c r="B295" t="s">
        <v>137</v>
      </c>
      <c r="C295" t="s">
        <v>344</v>
      </c>
      <c r="D295" t="s">
        <v>346</v>
      </c>
      <c r="E295" t="s">
        <v>197</v>
      </c>
      <c r="F295" s="3">
        <v>-0.72666666666666591</v>
      </c>
      <c r="G295" s="3"/>
      <c r="H295" s="3"/>
      <c r="I295" s="3"/>
      <c r="J295" s="3">
        <v>-0.72666666666666591</v>
      </c>
    </row>
    <row r="296" spans="2:10" x14ac:dyDescent="0.25">
      <c r="B296" t="s">
        <v>137</v>
      </c>
      <c r="C296" t="s">
        <v>344</v>
      </c>
      <c r="D296" t="s">
        <v>346</v>
      </c>
      <c r="E296" t="s">
        <v>198</v>
      </c>
      <c r="F296" s="3">
        <v>-1.2266666666666659</v>
      </c>
      <c r="G296" s="3"/>
      <c r="H296" s="3"/>
      <c r="I296" s="3"/>
      <c r="J296" s="3">
        <v>-1.2266666666666659</v>
      </c>
    </row>
    <row r="297" spans="2:10" x14ac:dyDescent="0.25">
      <c r="B297" t="s">
        <v>137</v>
      </c>
      <c r="C297" t="s">
        <v>344</v>
      </c>
      <c r="D297" t="s">
        <v>346</v>
      </c>
      <c r="E297" t="s">
        <v>199</v>
      </c>
      <c r="F297" s="3">
        <v>-1.2266666666666659</v>
      </c>
      <c r="G297" s="3"/>
      <c r="H297" s="3"/>
      <c r="I297" s="3"/>
      <c r="J297" s="3">
        <v>-1.2266666666666659</v>
      </c>
    </row>
    <row r="298" spans="2:10" x14ac:dyDescent="0.25">
      <c r="B298" t="s">
        <v>137</v>
      </c>
      <c r="C298" t="s">
        <v>344</v>
      </c>
      <c r="D298" t="s">
        <v>346</v>
      </c>
      <c r="E298" t="s">
        <v>200</v>
      </c>
      <c r="F298" s="3">
        <v>-1.2266666666666659</v>
      </c>
      <c r="G298" s="3"/>
      <c r="H298" s="3"/>
      <c r="I298" s="3"/>
      <c r="J298" s="3">
        <v>-1.2266666666666659</v>
      </c>
    </row>
    <row r="299" spans="2:10" x14ac:dyDescent="0.25">
      <c r="B299" t="s">
        <v>137</v>
      </c>
      <c r="C299" t="s">
        <v>344</v>
      </c>
      <c r="D299" t="s">
        <v>346</v>
      </c>
      <c r="E299" t="s">
        <v>240</v>
      </c>
      <c r="F299" s="3">
        <v>-1.1133333333333328</v>
      </c>
      <c r="G299" s="3"/>
      <c r="H299" s="3"/>
      <c r="I299" s="3"/>
      <c r="J299" s="3">
        <v>-1.1133333333333328</v>
      </c>
    </row>
    <row r="300" spans="2:10" x14ac:dyDescent="0.25">
      <c r="B300" t="s">
        <v>137</v>
      </c>
      <c r="C300" t="s">
        <v>344</v>
      </c>
      <c r="D300" t="s">
        <v>346</v>
      </c>
      <c r="E300" t="s">
        <v>301</v>
      </c>
      <c r="F300" s="3">
        <v>-1.1133333333333328</v>
      </c>
      <c r="G300" s="3"/>
      <c r="H300" s="3"/>
      <c r="I300" s="3"/>
      <c r="J300" s="3">
        <v>-1.1133333333333328</v>
      </c>
    </row>
    <row r="301" spans="2:10" x14ac:dyDescent="0.25">
      <c r="B301" t="s">
        <v>137</v>
      </c>
      <c r="C301" t="s">
        <v>344</v>
      </c>
      <c r="D301" t="s">
        <v>346</v>
      </c>
      <c r="E301" t="s">
        <v>302</v>
      </c>
      <c r="F301" s="3">
        <v>-0.61333333333333295</v>
      </c>
      <c r="G301" s="3"/>
      <c r="H301" s="3"/>
      <c r="I301" s="3"/>
      <c r="J301" s="3">
        <v>-0.61333333333333295</v>
      </c>
    </row>
    <row r="302" spans="2:10" x14ac:dyDescent="0.25">
      <c r="B302" t="s">
        <v>137</v>
      </c>
      <c r="C302" t="s">
        <v>344</v>
      </c>
      <c r="D302" t="s">
        <v>346</v>
      </c>
      <c r="E302" t="s">
        <v>303</v>
      </c>
      <c r="F302" s="3">
        <v>-0.61333333333333295</v>
      </c>
      <c r="G302" s="3"/>
      <c r="H302" s="3"/>
      <c r="I302" s="3"/>
      <c r="J302" s="3">
        <v>-0.61333333333333295</v>
      </c>
    </row>
    <row r="303" spans="2:10" x14ac:dyDescent="0.25">
      <c r="B303" t="s">
        <v>137</v>
      </c>
      <c r="C303" t="s">
        <v>344</v>
      </c>
      <c r="D303" t="s">
        <v>346</v>
      </c>
      <c r="E303" t="s">
        <v>304</v>
      </c>
      <c r="F303" s="3">
        <v>-1.1133333333333328</v>
      </c>
      <c r="G303" s="3"/>
      <c r="H303" s="3"/>
      <c r="I303" s="3"/>
      <c r="J303" s="3">
        <v>-1.1133333333333328</v>
      </c>
    </row>
    <row r="304" spans="2:10" x14ac:dyDescent="0.25">
      <c r="B304" t="s">
        <v>137</v>
      </c>
      <c r="C304" t="s">
        <v>344</v>
      </c>
      <c r="D304" t="s">
        <v>346</v>
      </c>
      <c r="E304" t="s">
        <v>305</v>
      </c>
      <c r="F304" s="3">
        <v>-1.2266666666666659</v>
      </c>
      <c r="G304" s="3"/>
      <c r="H304" s="3"/>
      <c r="I304" s="3"/>
      <c r="J304" s="3">
        <v>-1.2266666666666659</v>
      </c>
    </row>
    <row r="305" spans="2:10" x14ac:dyDescent="0.25">
      <c r="B305" t="s">
        <v>137</v>
      </c>
      <c r="C305" t="s">
        <v>344</v>
      </c>
      <c r="D305" t="s">
        <v>346</v>
      </c>
      <c r="E305" t="s">
        <v>306</v>
      </c>
      <c r="F305" s="3">
        <v>-1.2266666666666659</v>
      </c>
      <c r="G305" s="3"/>
      <c r="H305" s="3"/>
      <c r="I305" s="3"/>
      <c r="J305" s="3">
        <v>-1.2266666666666659</v>
      </c>
    </row>
    <row r="306" spans="2:10" x14ac:dyDescent="0.25">
      <c r="B306" t="s">
        <v>137</v>
      </c>
      <c r="C306" t="s">
        <v>344</v>
      </c>
      <c r="D306" t="s">
        <v>346</v>
      </c>
      <c r="E306" t="s">
        <v>307</v>
      </c>
      <c r="F306" s="3">
        <v>-1.2266666666666659</v>
      </c>
      <c r="G306" s="3"/>
      <c r="H306" s="3"/>
      <c r="I306" s="3"/>
      <c r="J306" s="3">
        <v>-1.2266666666666659</v>
      </c>
    </row>
    <row r="307" spans="2:10" x14ac:dyDescent="0.25">
      <c r="B307" t="s">
        <v>137</v>
      </c>
      <c r="C307" t="s">
        <v>344</v>
      </c>
      <c r="D307" t="s">
        <v>346</v>
      </c>
      <c r="E307" t="s">
        <v>308</v>
      </c>
      <c r="F307" s="3">
        <v>-1.2266666666666659</v>
      </c>
      <c r="G307" s="3"/>
      <c r="H307" s="3"/>
      <c r="I307" s="3"/>
      <c r="J307" s="3">
        <v>-1.2266666666666659</v>
      </c>
    </row>
    <row r="308" spans="2:10" x14ac:dyDescent="0.25">
      <c r="B308" t="s">
        <v>137</v>
      </c>
      <c r="C308" t="s">
        <v>344</v>
      </c>
      <c r="D308" t="s">
        <v>346</v>
      </c>
      <c r="E308" t="s">
        <v>309</v>
      </c>
      <c r="F308" s="3">
        <v>-1.2266666666666659</v>
      </c>
      <c r="G308" s="3"/>
      <c r="H308" s="3"/>
      <c r="I308" s="3"/>
      <c r="J308" s="3">
        <v>-1.2266666666666659</v>
      </c>
    </row>
    <row r="309" spans="2:10" x14ac:dyDescent="0.25">
      <c r="B309" t="s">
        <v>137</v>
      </c>
      <c r="C309" t="s">
        <v>344</v>
      </c>
      <c r="D309" t="s">
        <v>346</v>
      </c>
      <c r="E309" t="s">
        <v>310</v>
      </c>
      <c r="F309" s="3">
        <v>-0.61333333333333295</v>
      </c>
      <c r="G309" s="3"/>
      <c r="H309" s="3"/>
      <c r="I309" s="3"/>
      <c r="J309" s="3">
        <v>-0.61333333333333295</v>
      </c>
    </row>
    <row r="310" spans="2:10" x14ac:dyDescent="0.25">
      <c r="B310" t="s">
        <v>137</v>
      </c>
      <c r="C310" t="s">
        <v>344</v>
      </c>
      <c r="D310" t="s">
        <v>346</v>
      </c>
      <c r="E310" t="s">
        <v>311</v>
      </c>
      <c r="F310" s="3">
        <v>-0.61333333333333295</v>
      </c>
      <c r="G310" s="3"/>
      <c r="H310" s="3"/>
      <c r="I310" s="3"/>
      <c r="J310" s="3">
        <v>-0.61333333333333295</v>
      </c>
    </row>
    <row r="311" spans="2:10" x14ac:dyDescent="0.25">
      <c r="B311" t="s">
        <v>137</v>
      </c>
      <c r="C311" t="s">
        <v>344</v>
      </c>
      <c r="D311" t="s">
        <v>346</v>
      </c>
      <c r="E311" t="s">
        <v>312</v>
      </c>
      <c r="F311" s="3">
        <v>-0.61333333333333295</v>
      </c>
      <c r="G311" s="3"/>
      <c r="H311" s="3"/>
      <c r="I311" s="3"/>
      <c r="J311" s="3">
        <v>-0.61333333333333295</v>
      </c>
    </row>
    <row r="312" spans="2:10" x14ac:dyDescent="0.25">
      <c r="B312" t="s">
        <v>137</v>
      </c>
      <c r="C312" t="s">
        <v>344</v>
      </c>
      <c r="D312" t="s">
        <v>347</v>
      </c>
      <c r="E312" t="s">
        <v>46</v>
      </c>
      <c r="F312" s="3">
        <v>-0.625428571428571</v>
      </c>
      <c r="G312" s="3"/>
      <c r="H312" s="3"/>
      <c r="I312" s="3"/>
      <c r="J312" s="3">
        <v>-0.625428571428571</v>
      </c>
    </row>
    <row r="313" spans="2:10" x14ac:dyDescent="0.25">
      <c r="B313" t="s">
        <v>137</v>
      </c>
      <c r="C313" t="s">
        <v>344</v>
      </c>
      <c r="D313" t="s">
        <v>347</v>
      </c>
      <c r="E313" t="s">
        <v>47</v>
      </c>
      <c r="F313" s="3">
        <v>-0.625428571428571</v>
      </c>
      <c r="G313" s="3"/>
      <c r="H313" s="3"/>
      <c r="I313" s="3"/>
      <c r="J313" s="3">
        <v>-0.625428571428571</v>
      </c>
    </row>
    <row r="314" spans="2:10" x14ac:dyDescent="0.25">
      <c r="B314" t="s">
        <v>137</v>
      </c>
      <c r="C314" t="s">
        <v>344</v>
      </c>
      <c r="D314" t="s">
        <v>347</v>
      </c>
      <c r="E314" t="s">
        <v>48</v>
      </c>
      <c r="F314" s="3">
        <v>-0.625428571428571</v>
      </c>
      <c r="G314" s="3"/>
      <c r="H314" s="3"/>
      <c r="I314" s="3"/>
      <c r="J314" s="3">
        <v>-0.625428571428571</v>
      </c>
    </row>
    <row r="315" spans="2:10" x14ac:dyDescent="0.25">
      <c r="B315" t="s">
        <v>137</v>
      </c>
      <c r="C315" t="s">
        <v>344</v>
      </c>
      <c r="D315" t="s">
        <v>347</v>
      </c>
      <c r="E315" t="s">
        <v>49</v>
      </c>
      <c r="F315" s="3">
        <v>-0.625428571428571</v>
      </c>
      <c r="G315" s="3"/>
      <c r="H315" s="3"/>
      <c r="I315" s="3"/>
      <c r="J315" s="3">
        <v>-0.625428571428571</v>
      </c>
    </row>
    <row r="316" spans="2:10" x14ac:dyDescent="0.25">
      <c r="B316" t="s">
        <v>137</v>
      </c>
      <c r="C316" t="s">
        <v>344</v>
      </c>
      <c r="D316" t="s">
        <v>347</v>
      </c>
      <c r="E316" t="s">
        <v>50</v>
      </c>
      <c r="F316" s="3">
        <v>-0.625428571428571</v>
      </c>
      <c r="G316" s="3"/>
      <c r="H316" s="3"/>
      <c r="I316" s="3"/>
      <c r="J316" s="3">
        <v>-0.625428571428571</v>
      </c>
    </row>
    <row r="317" spans="2:10" x14ac:dyDescent="0.25">
      <c r="B317" t="s">
        <v>137</v>
      </c>
      <c r="C317" t="s">
        <v>344</v>
      </c>
      <c r="D317" t="s">
        <v>347</v>
      </c>
      <c r="E317" t="s">
        <v>51</v>
      </c>
      <c r="F317" s="3">
        <v>-0.625428571428571</v>
      </c>
      <c r="G317" s="3"/>
      <c r="H317" s="3"/>
      <c r="I317" s="3"/>
      <c r="J317" s="3">
        <v>-0.625428571428571</v>
      </c>
    </row>
    <row r="318" spans="2:10" x14ac:dyDescent="0.25">
      <c r="B318" t="s">
        <v>137</v>
      </c>
      <c r="C318" t="s">
        <v>344</v>
      </c>
      <c r="D318" t="s">
        <v>347</v>
      </c>
      <c r="E318" t="s">
        <v>196</v>
      </c>
      <c r="F318" s="3">
        <v>-0.625428571428571</v>
      </c>
      <c r="G318" s="3"/>
      <c r="H318" s="3"/>
      <c r="I318" s="3"/>
      <c r="J318" s="3">
        <v>-0.625428571428571</v>
      </c>
    </row>
    <row r="319" spans="2:10" x14ac:dyDescent="0.25">
      <c r="B319" t="s">
        <v>137</v>
      </c>
      <c r="C319" t="s">
        <v>344</v>
      </c>
      <c r="D319" t="s">
        <v>347</v>
      </c>
      <c r="E319" t="s">
        <v>197</v>
      </c>
      <c r="F319" s="3">
        <v>-1.250857142857142</v>
      </c>
      <c r="G319" s="3"/>
      <c r="H319" s="3"/>
      <c r="I319" s="3"/>
      <c r="J319" s="3">
        <v>-1.250857142857142</v>
      </c>
    </row>
    <row r="320" spans="2:10" x14ac:dyDescent="0.25">
      <c r="B320" t="s">
        <v>137</v>
      </c>
      <c r="C320" t="s">
        <v>344</v>
      </c>
      <c r="D320" t="s">
        <v>347</v>
      </c>
      <c r="E320" t="s">
        <v>198</v>
      </c>
      <c r="F320" s="3">
        <v>-1.250857142857142</v>
      </c>
      <c r="G320" s="3"/>
      <c r="H320" s="3"/>
      <c r="I320" s="3"/>
      <c r="J320" s="3">
        <v>-1.250857142857142</v>
      </c>
    </row>
    <row r="321" spans="2:10" x14ac:dyDescent="0.25">
      <c r="B321" t="s">
        <v>137</v>
      </c>
      <c r="C321" t="s">
        <v>344</v>
      </c>
      <c r="D321" t="s">
        <v>347</v>
      </c>
      <c r="E321" t="s">
        <v>199</v>
      </c>
      <c r="F321" s="3">
        <v>-1.250857142857142</v>
      </c>
      <c r="G321" s="3"/>
      <c r="H321" s="3"/>
      <c r="I321" s="3"/>
      <c r="J321" s="3">
        <v>-1.250857142857142</v>
      </c>
    </row>
    <row r="322" spans="2:10" x14ac:dyDescent="0.25">
      <c r="B322" t="s">
        <v>137</v>
      </c>
      <c r="C322" t="s">
        <v>344</v>
      </c>
      <c r="D322" t="s">
        <v>347</v>
      </c>
      <c r="E322" t="s">
        <v>200</v>
      </c>
      <c r="F322" s="3">
        <v>-1.250857142857142</v>
      </c>
      <c r="G322" s="3"/>
      <c r="H322" s="3"/>
      <c r="I322" s="3"/>
      <c r="J322" s="3">
        <v>-1.250857142857142</v>
      </c>
    </row>
    <row r="323" spans="2:10" x14ac:dyDescent="0.25">
      <c r="B323" t="s">
        <v>137</v>
      </c>
      <c r="C323" t="s">
        <v>344</v>
      </c>
      <c r="D323" t="s">
        <v>347</v>
      </c>
      <c r="E323" t="s">
        <v>240</v>
      </c>
      <c r="F323" s="3">
        <v>-1.250857142857142</v>
      </c>
      <c r="G323" s="3"/>
      <c r="H323" s="3"/>
      <c r="I323" s="3"/>
      <c r="J323" s="3">
        <v>-1.250857142857142</v>
      </c>
    </row>
    <row r="324" spans="2:10" x14ac:dyDescent="0.25">
      <c r="B324" t="s">
        <v>137</v>
      </c>
      <c r="C324" t="s">
        <v>344</v>
      </c>
      <c r="D324" t="s">
        <v>347</v>
      </c>
      <c r="E324" t="s">
        <v>301</v>
      </c>
      <c r="F324" s="3">
        <v>-1.250857142857142</v>
      </c>
      <c r="G324" s="3"/>
      <c r="H324" s="3"/>
      <c r="I324" s="3"/>
      <c r="J324" s="3">
        <v>-1.250857142857142</v>
      </c>
    </row>
    <row r="325" spans="2:10" x14ac:dyDescent="0.25">
      <c r="B325" t="s">
        <v>137</v>
      </c>
      <c r="C325" t="s">
        <v>344</v>
      </c>
      <c r="D325" t="s">
        <v>347</v>
      </c>
      <c r="E325" t="s">
        <v>302</v>
      </c>
      <c r="F325" s="3">
        <v>-0.625428571428571</v>
      </c>
      <c r="G325" s="3"/>
      <c r="H325" s="3"/>
      <c r="I325" s="3"/>
      <c r="J325" s="3">
        <v>-0.625428571428571</v>
      </c>
    </row>
    <row r="326" spans="2:10" x14ac:dyDescent="0.25">
      <c r="B326" t="s">
        <v>137</v>
      </c>
      <c r="C326" t="s">
        <v>344</v>
      </c>
      <c r="D326" t="s">
        <v>347</v>
      </c>
      <c r="E326" t="s">
        <v>303</v>
      </c>
      <c r="F326" s="3">
        <v>-0.83959704427457904</v>
      </c>
      <c r="G326" s="3"/>
      <c r="H326" s="3"/>
      <c r="I326" s="3"/>
      <c r="J326" s="3">
        <v>-0.83959704427457904</v>
      </c>
    </row>
    <row r="327" spans="2:10" x14ac:dyDescent="0.25">
      <c r="B327" t="s">
        <v>137</v>
      </c>
      <c r="C327" t="s">
        <v>344</v>
      </c>
      <c r="D327" t="s">
        <v>347</v>
      </c>
      <c r="E327" t="s">
        <v>304</v>
      </c>
      <c r="F327" s="3">
        <v>-1.250857142857142</v>
      </c>
      <c r="G327" s="3"/>
      <c r="H327" s="3"/>
      <c r="I327" s="3"/>
      <c r="J327" s="3">
        <v>-1.250857142857142</v>
      </c>
    </row>
    <row r="328" spans="2:10" x14ac:dyDescent="0.25">
      <c r="B328" t="s">
        <v>137</v>
      </c>
      <c r="C328" t="s">
        <v>344</v>
      </c>
      <c r="D328" t="s">
        <v>347</v>
      </c>
      <c r="E328" t="s">
        <v>305</v>
      </c>
      <c r="F328" s="3">
        <v>-1.250857142857142</v>
      </c>
      <c r="G328" s="3"/>
      <c r="H328" s="3"/>
      <c r="I328" s="3"/>
      <c r="J328" s="3">
        <v>-1.250857142857142</v>
      </c>
    </row>
    <row r="329" spans="2:10" x14ac:dyDescent="0.25">
      <c r="B329" t="s">
        <v>137</v>
      </c>
      <c r="C329" t="s">
        <v>344</v>
      </c>
      <c r="D329" t="s">
        <v>347</v>
      </c>
      <c r="E329" t="s">
        <v>306</v>
      </c>
      <c r="F329" s="3">
        <v>-1.250857142857142</v>
      </c>
      <c r="G329" s="3"/>
      <c r="H329" s="3"/>
      <c r="I329" s="3"/>
      <c r="J329" s="3">
        <v>-1.250857142857142</v>
      </c>
    </row>
    <row r="330" spans="2:10" x14ac:dyDescent="0.25">
      <c r="B330" t="s">
        <v>137</v>
      </c>
      <c r="C330" t="s">
        <v>344</v>
      </c>
      <c r="D330" t="s">
        <v>347</v>
      </c>
      <c r="E330" t="s">
        <v>307</v>
      </c>
      <c r="F330" s="3">
        <v>-1.250857142857142</v>
      </c>
      <c r="G330" s="3"/>
      <c r="H330" s="3"/>
      <c r="I330" s="3"/>
      <c r="J330" s="3">
        <v>-1.250857142857142</v>
      </c>
    </row>
    <row r="331" spans="2:10" x14ac:dyDescent="0.25">
      <c r="B331" t="s">
        <v>137</v>
      </c>
      <c r="C331" t="s">
        <v>344</v>
      </c>
      <c r="D331" t="s">
        <v>347</v>
      </c>
      <c r="E331" t="s">
        <v>308</v>
      </c>
      <c r="F331" s="3">
        <v>-1.250857142857142</v>
      </c>
      <c r="G331" s="3"/>
      <c r="H331" s="3"/>
      <c r="I331" s="3"/>
      <c r="J331" s="3">
        <v>-1.250857142857142</v>
      </c>
    </row>
    <row r="332" spans="2:10" x14ac:dyDescent="0.25">
      <c r="B332" t="s">
        <v>137</v>
      </c>
      <c r="C332" t="s">
        <v>344</v>
      </c>
      <c r="D332" t="s">
        <v>347</v>
      </c>
      <c r="E332" t="s">
        <v>309</v>
      </c>
      <c r="F332" s="3">
        <v>-1.250857142857142</v>
      </c>
      <c r="G332" s="3"/>
      <c r="H332" s="3"/>
      <c r="I332" s="3"/>
      <c r="J332" s="3">
        <v>-1.250857142857142</v>
      </c>
    </row>
    <row r="333" spans="2:10" x14ac:dyDescent="0.25">
      <c r="B333" t="s">
        <v>137</v>
      </c>
      <c r="C333" t="s">
        <v>344</v>
      </c>
      <c r="D333" t="s">
        <v>347</v>
      </c>
      <c r="E333" t="s">
        <v>310</v>
      </c>
      <c r="F333" s="3">
        <v>-0.625428571428571</v>
      </c>
      <c r="G333" s="3"/>
      <c r="H333" s="3"/>
      <c r="I333" s="3"/>
      <c r="J333" s="3">
        <v>-0.625428571428571</v>
      </c>
    </row>
    <row r="334" spans="2:10" x14ac:dyDescent="0.25">
      <c r="B334" t="s">
        <v>137</v>
      </c>
      <c r="C334" t="s">
        <v>344</v>
      </c>
      <c r="D334" t="s">
        <v>347</v>
      </c>
      <c r="E334" t="s">
        <v>311</v>
      </c>
      <c r="F334" s="3">
        <v>-0.625428571428571</v>
      </c>
      <c r="G334" s="3"/>
      <c r="H334" s="3"/>
      <c r="I334" s="3"/>
      <c r="J334" s="3">
        <v>-0.625428571428571</v>
      </c>
    </row>
    <row r="335" spans="2:10" x14ac:dyDescent="0.25">
      <c r="B335" t="s">
        <v>137</v>
      </c>
      <c r="C335" t="s">
        <v>344</v>
      </c>
      <c r="D335" t="s">
        <v>347</v>
      </c>
      <c r="E335" t="s">
        <v>312</v>
      </c>
      <c r="F335" s="3">
        <v>-0.625428571428571</v>
      </c>
      <c r="G335" s="3"/>
      <c r="H335" s="3"/>
      <c r="I335" s="3"/>
      <c r="J335" s="3">
        <v>-0.625428571428571</v>
      </c>
    </row>
    <row r="336" spans="2:10" x14ac:dyDescent="0.25">
      <c r="B336" t="s">
        <v>137</v>
      </c>
      <c r="C336" t="s">
        <v>344</v>
      </c>
      <c r="D336" t="s">
        <v>348</v>
      </c>
      <c r="E336" t="s">
        <v>46</v>
      </c>
      <c r="F336" s="3">
        <v>-0.91199999999999992</v>
      </c>
      <c r="G336" s="3"/>
      <c r="H336" s="3"/>
      <c r="I336" s="3"/>
      <c r="J336" s="3">
        <v>-0.91199999999999992</v>
      </c>
    </row>
    <row r="337" spans="2:10" x14ac:dyDescent="0.25">
      <c r="B337" t="s">
        <v>137</v>
      </c>
      <c r="C337" t="s">
        <v>344</v>
      </c>
      <c r="D337" t="s">
        <v>348</v>
      </c>
      <c r="E337" t="s">
        <v>47</v>
      </c>
      <c r="F337" s="3">
        <v>-0.91199999999999992</v>
      </c>
      <c r="G337" s="3"/>
      <c r="H337" s="3"/>
      <c r="I337" s="3"/>
      <c r="J337" s="3">
        <v>-0.91199999999999992</v>
      </c>
    </row>
    <row r="338" spans="2:10" x14ac:dyDescent="0.25">
      <c r="B338" t="s">
        <v>137</v>
      </c>
      <c r="C338" t="s">
        <v>344</v>
      </c>
      <c r="D338" t="s">
        <v>348</v>
      </c>
      <c r="E338" t="s">
        <v>48</v>
      </c>
      <c r="F338" s="3">
        <v>-0.91199999999999992</v>
      </c>
      <c r="G338" s="3"/>
      <c r="H338" s="3"/>
      <c r="I338" s="3"/>
      <c r="J338" s="3">
        <v>-0.91199999999999992</v>
      </c>
    </row>
    <row r="339" spans="2:10" x14ac:dyDescent="0.25">
      <c r="B339" t="s">
        <v>137</v>
      </c>
      <c r="C339" t="s">
        <v>344</v>
      </c>
      <c r="D339" t="s">
        <v>348</v>
      </c>
      <c r="E339" t="s">
        <v>49</v>
      </c>
      <c r="F339" s="3">
        <v>-0.91199999999999992</v>
      </c>
      <c r="G339" s="3"/>
      <c r="H339" s="3"/>
      <c r="I339" s="3"/>
      <c r="J339" s="3">
        <v>-0.91199999999999992</v>
      </c>
    </row>
    <row r="340" spans="2:10" x14ac:dyDescent="0.25">
      <c r="B340" t="s">
        <v>137</v>
      </c>
      <c r="C340" t="s">
        <v>344</v>
      </c>
      <c r="D340" t="s">
        <v>348</v>
      </c>
      <c r="E340" t="s">
        <v>50</v>
      </c>
      <c r="F340" s="3">
        <v>-0.91199999999999992</v>
      </c>
      <c r="G340" s="3"/>
      <c r="H340" s="3"/>
      <c r="I340" s="3"/>
      <c r="J340" s="3">
        <v>-0.91199999999999992</v>
      </c>
    </row>
    <row r="341" spans="2:10" x14ac:dyDescent="0.25">
      <c r="B341" t="s">
        <v>137</v>
      </c>
      <c r="C341" t="s">
        <v>344</v>
      </c>
      <c r="D341" t="s">
        <v>348</v>
      </c>
      <c r="E341" t="s">
        <v>51</v>
      </c>
      <c r="F341" s="3">
        <v>-0.91199999999999992</v>
      </c>
      <c r="G341" s="3"/>
      <c r="H341" s="3"/>
      <c r="I341" s="3"/>
      <c r="J341" s="3">
        <v>-0.91199999999999992</v>
      </c>
    </row>
    <row r="342" spans="2:10" x14ac:dyDescent="0.25">
      <c r="B342" t="s">
        <v>137</v>
      </c>
      <c r="C342" t="s">
        <v>344</v>
      </c>
      <c r="D342" t="s">
        <v>348</v>
      </c>
      <c r="E342" t="s">
        <v>196</v>
      </c>
      <c r="F342" s="3">
        <v>-0.91199999999999992</v>
      </c>
      <c r="G342" s="3"/>
      <c r="H342" s="3"/>
      <c r="I342" s="3"/>
      <c r="J342" s="3">
        <v>-0.91199999999999992</v>
      </c>
    </row>
    <row r="343" spans="2:10" x14ac:dyDescent="0.25">
      <c r="B343" t="s">
        <v>137</v>
      </c>
      <c r="C343" t="s">
        <v>344</v>
      </c>
      <c r="D343" t="s">
        <v>348</v>
      </c>
      <c r="E343" t="s">
        <v>197</v>
      </c>
      <c r="F343" s="3">
        <v>-1.4239999999999999</v>
      </c>
      <c r="G343" s="3"/>
      <c r="H343" s="3"/>
      <c r="I343" s="3"/>
      <c r="J343" s="3">
        <v>-1.4239999999999999</v>
      </c>
    </row>
    <row r="344" spans="2:10" x14ac:dyDescent="0.25">
      <c r="B344" t="s">
        <v>137</v>
      </c>
      <c r="C344" t="s">
        <v>344</v>
      </c>
      <c r="D344" t="s">
        <v>348</v>
      </c>
      <c r="E344" t="s">
        <v>198</v>
      </c>
      <c r="F344" s="3">
        <v>-1.8239999999999998</v>
      </c>
      <c r="G344" s="3"/>
      <c r="H344" s="3"/>
      <c r="I344" s="3"/>
      <c r="J344" s="3">
        <v>-1.8239999999999998</v>
      </c>
    </row>
    <row r="345" spans="2:10" x14ac:dyDescent="0.25">
      <c r="B345" t="s">
        <v>137</v>
      </c>
      <c r="C345" t="s">
        <v>344</v>
      </c>
      <c r="D345" t="s">
        <v>348</v>
      </c>
      <c r="E345" t="s">
        <v>199</v>
      </c>
      <c r="F345" s="3">
        <v>-1.8239999999999998</v>
      </c>
      <c r="G345" s="3"/>
      <c r="H345" s="3"/>
      <c r="I345" s="3"/>
      <c r="J345" s="3">
        <v>-1.8239999999999998</v>
      </c>
    </row>
    <row r="346" spans="2:10" x14ac:dyDescent="0.25">
      <c r="B346" t="s">
        <v>137</v>
      </c>
      <c r="C346" t="s">
        <v>344</v>
      </c>
      <c r="D346" t="s">
        <v>348</v>
      </c>
      <c r="E346" t="s">
        <v>200</v>
      </c>
      <c r="F346" s="3">
        <v>-1.8239999999999998</v>
      </c>
      <c r="G346" s="3"/>
      <c r="H346" s="3"/>
      <c r="I346" s="3"/>
      <c r="J346" s="3">
        <v>-1.8239999999999998</v>
      </c>
    </row>
    <row r="347" spans="2:10" x14ac:dyDescent="0.25">
      <c r="B347" t="s">
        <v>137</v>
      </c>
      <c r="C347" t="s">
        <v>344</v>
      </c>
      <c r="D347" t="s">
        <v>348</v>
      </c>
      <c r="E347" t="s">
        <v>240</v>
      </c>
      <c r="F347" s="3">
        <v>-1.8239999999999998</v>
      </c>
      <c r="G347" s="3"/>
      <c r="H347" s="3"/>
      <c r="I347" s="3"/>
      <c r="J347" s="3">
        <v>-1.8239999999999998</v>
      </c>
    </row>
    <row r="348" spans="2:10" x14ac:dyDescent="0.25">
      <c r="B348" t="s">
        <v>137</v>
      </c>
      <c r="C348" t="s">
        <v>344</v>
      </c>
      <c r="D348" t="s">
        <v>348</v>
      </c>
      <c r="E348" t="s">
        <v>301</v>
      </c>
      <c r="F348" s="3">
        <v>-1.8239999999999998</v>
      </c>
      <c r="G348" s="3"/>
      <c r="H348" s="3"/>
      <c r="I348" s="3"/>
      <c r="J348" s="3">
        <v>-1.8239999999999998</v>
      </c>
    </row>
    <row r="349" spans="2:10" x14ac:dyDescent="0.25">
      <c r="B349" t="s">
        <v>137</v>
      </c>
      <c r="C349" t="s">
        <v>344</v>
      </c>
      <c r="D349" t="s">
        <v>348</v>
      </c>
      <c r="E349" t="s">
        <v>302</v>
      </c>
      <c r="F349" s="3">
        <v>-0.91199999999999992</v>
      </c>
      <c r="G349" s="3"/>
      <c r="H349" s="3"/>
      <c r="I349" s="3"/>
      <c r="J349" s="3">
        <v>-0.91199999999999992</v>
      </c>
    </row>
    <row r="350" spans="2:10" x14ac:dyDescent="0.25">
      <c r="B350" t="s">
        <v>137</v>
      </c>
      <c r="C350" t="s">
        <v>344</v>
      </c>
      <c r="D350" t="s">
        <v>348</v>
      </c>
      <c r="E350" t="s">
        <v>303</v>
      </c>
      <c r="F350" s="3">
        <v>-1.4239999999999999</v>
      </c>
      <c r="G350" s="3"/>
      <c r="H350" s="3"/>
      <c r="I350" s="3"/>
      <c r="J350" s="3">
        <v>-1.4239999999999999</v>
      </c>
    </row>
    <row r="351" spans="2:10" x14ac:dyDescent="0.25">
      <c r="B351" t="s">
        <v>137</v>
      </c>
      <c r="C351" t="s">
        <v>344</v>
      </c>
      <c r="D351" t="s">
        <v>348</v>
      </c>
      <c r="E351" t="s">
        <v>304</v>
      </c>
      <c r="F351" s="3">
        <v>-1.690447898287168</v>
      </c>
      <c r="G351" s="3"/>
      <c r="H351" s="3"/>
      <c r="I351" s="3"/>
      <c r="J351" s="3">
        <v>-1.690447898287168</v>
      </c>
    </row>
    <row r="352" spans="2:10" x14ac:dyDescent="0.25">
      <c r="B352" t="s">
        <v>137</v>
      </c>
      <c r="C352" t="s">
        <v>344</v>
      </c>
      <c r="D352" t="s">
        <v>348</v>
      </c>
      <c r="E352" t="s">
        <v>305</v>
      </c>
      <c r="F352" s="3">
        <v>-1.8239999999999998</v>
      </c>
      <c r="G352" s="3"/>
      <c r="H352" s="3"/>
      <c r="I352" s="3"/>
      <c r="J352" s="3">
        <v>-1.8239999999999998</v>
      </c>
    </row>
    <row r="353" spans="2:10" x14ac:dyDescent="0.25">
      <c r="B353" t="s">
        <v>137</v>
      </c>
      <c r="C353" t="s">
        <v>344</v>
      </c>
      <c r="D353" t="s">
        <v>348</v>
      </c>
      <c r="E353" t="s">
        <v>306</v>
      </c>
      <c r="F353" s="3">
        <v>-1.8239999999999998</v>
      </c>
      <c r="G353" s="3"/>
      <c r="H353" s="3"/>
      <c r="I353" s="3"/>
      <c r="J353" s="3">
        <v>-1.8239999999999998</v>
      </c>
    </row>
    <row r="354" spans="2:10" x14ac:dyDescent="0.25">
      <c r="B354" t="s">
        <v>137</v>
      </c>
      <c r="C354" t="s">
        <v>344</v>
      </c>
      <c r="D354" t="s">
        <v>348</v>
      </c>
      <c r="E354" t="s">
        <v>307</v>
      </c>
      <c r="F354" s="3">
        <v>-1.8239999999999998</v>
      </c>
      <c r="G354" s="3"/>
      <c r="H354" s="3"/>
      <c r="I354" s="3"/>
      <c r="J354" s="3">
        <v>-1.8239999999999998</v>
      </c>
    </row>
    <row r="355" spans="2:10" x14ac:dyDescent="0.25">
      <c r="B355" t="s">
        <v>137</v>
      </c>
      <c r="C355" t="s">
        <v>344</v>
      </c>
      <c r="D355" t="s">
        <v>348</v>
      </c>
      <c r="E355" t="s">
        <v>308</v>
      </c>
      <c r="F355" s="3">
        <v>-1.8239999999999998</v>
      </c>
      <c r="G355" s="3"/>
      <c r="H355" s="3"/>
      <c r="I355" s="3"/>
      <c r="J355" s="3">
        <v>-1.8239999999999998</v>
      </c>
    </row>
    <row r="356" spans="2:10" x14ac:dyDescent="0.25">
      <c r="B356" t="s">
        <v>137</v>
      </c>
      <c r="C356" t="s">
        <v>344</v>
      </c>
      <c r="D356" t="s">
        <v>348</v>
      </c>
      <c r="E356" t="s">
        <v>309</v>
      </c>
      <c r="F356" s="3">
        <v>-1.4239999999999999</v>
      </c>
      <c r="G356" s="3"/>
      <c r="H356" s="3"/>
      <c r="I356" s="3"/>
      <c r="J356" s="3">
        <v>-1.4239999999999999</v>
      </c>
    </row>
    <row r="357" spans="2:10" x14ac:dyDescent="0.25">
      <c r="B357" t="s">
        <v>137</v>
      </c>
      <c r="C357" t="s">
        <v>344</v>
      </c>
      <c r="D357" t="s">
        <v>348</v>
      </c>
      <c r="E357" t="s">
        <v>310</v>
      </c>
      <c r="F357" s="3">
        <v>-0.91199999999999992</v>
      </c>
      <c r="G357" s="3"/>
      <c r="H357" s="3"/>
      <c r="I357" s="3"/>
      <c r="J357" s="3">
        <v>-0.91199999999999992</v>
      </c>
    </row>
    <row r="358" spans="2:10" x14ac:dyDescent="0.25">
      <c r="B358" t="s">
        <v>137</v>
      </c>
      <c r="C358" t="s">
        <v>344</v>
      </c>
      <c r="D358" t="s">
        <v>348</v>
      </c>
      <c r="E358" t="s">
        <v>311</v>
      </c>
      <c r="F358" s="3">
        <v>-0.91199999999999992</v>
      </c>
      <c r="G358" s="3"/>
      <c r="H358" s="3"/>
      <c r="I358" s="3"/>
      <c r="J358" s="3">
        <v>-0.91199999999999992</v>
      </c>
    </row>
    <row r="359" spans="2:10" x14ac:dyDescent="0.25">
      <c r="B359" t="s">
        <v>137</v>
      </c>
      <c r="C359" t="s">
        <v>344</v>
      </c>
      <c r="D359" t="s">
        <v>348</v>
      </c>
      <c r="E359" t="s">
        <v>312</v>
      </c>
      <c r="F359" s="3">
        <v>-0.91199999999999992</v>
      </c>
      <c r="G359" s="3"/>
      <c r="H359" s="3"/>
      <c r="I359" s="3"/>
      <c r="J359" s="3">
        <v>-0.91199999999999992</v>
      </c>
    </row>
    <row r="360" spans="2:10" x14ac:dyDescent="0.25">
      <c r="B360" t="s">
        <v>137</v>
      </c>
      <c r="C360" t="s">
        <v>344</v>
      </c>
      <c r="D360" t="s">
        <v>349</v>
      </c>
      <c r="E360" t="s">
        <v>46</v>
      </c>
      <c r="F360" s="3">
        <v>-0.30232558139534899</v>
      </c>
      <c r="G360" s="3"/>
      <c r="H360" s="3"/>
      <c r="I360" s="3"/>
      <c r="J360" s="3">
        <v>-0.30232558139534899</v>
      </c>
    </row>
    <row r="361" spans="2:10" x14ac:dyDescent="0.25">
      <c r="B361" t="s">
        <v>137</v>
      </c>
      <c r="C361" t="s">
        <v>344</v>
      </c>
      <c r="D361" t="s">
        <v>349</v>
      </c>
      <c r="E361" t="s">
        <v>47</v>
      </c>
      <c r="F361" s="3">
        <v>-0.30232558139534899</v>
      </c>
      <c r="G361" s="3"/>
      <c r="H361" s="3"/>
      <c r="I361" s="3"/>
      <c r="J361" s="3">
        <v>-0.30232558139534899</v>
      </c>
    </row>
    <row r="362" spans="2:10" x14ac:dyDescent="0.25">
      <c r="B362" t="s">
        <v>137</v>
      </c>
      <c r="C362" t="s">
        <v>344</v>
      </c>
      <c r="D362" t="s">
        <v>349</v>
      </c>
      <c r="E362" t="s">
        <v>48</v>
      </c>
      <c r="F362" s="3">
        <v>-0.30232558139534899</v>
      </c>
      <c r="G362" s="3"/>
      <c r="H362" s="3"/>
      <c r="I362" s="3"/>
      <c r="J362" s="3">
        <v>-0.30232558139534899</v>
      </c>
    </row>
    <row r="363" spans="2:10" x14ac:dyDescent="0.25">
      <c r="B363" t="s">
        <v>137</v>
      </c>
      <c r="C363" t="s">
        <v>344</v>
      </c>
      <c r="D363" t="s">
        <v>349</v>
      </c>
      <c r="E363" t="s">
        <v>49</v>
      </c>
      <c r="F363" s="3">
        <v>-0.30232558139534899</v>
      </c>
      <c r="G363" s="3"/>
      <c r="H363" s="3"/>
      <c r="I363" s="3"/>
      <c r="J363" s="3">
        <v>-0.30232558139534899</v>
      </c>
    </row>
    <row r="364" spans="2:10" x14ac:dyDescent="0.25">
      <c r="B364" t="s">
        <v>137</v>
      </c>
      <c r="C364" t="s">
        <v>344</v>
      </c>
      <c r="D364" t="s">
        <v>349</v>
      </c>
      <c r="E364" t="s">
        <v>50</v>
      </c>
      <c r="F364" s="3">
        <v>-0.30232558139534899</v>
      </c>
      <c r="G364" s="3"/>
      <c r="H364" s="3"/>
      <c r="I364" s="3"/>
      <c r="J364" s="3">
        <v>-0.30232558139534899</v>
      </c>
    </row>
    <row r="365" spans="2:10" x14ac:dyDescent="0.25">
      <c r="B365" t="s">
        <v>137</v>
      </c>
      <c r="C365" t="s">
        <v>344</v>
      </c>
      <c r="D365" t="s">
        <v>349</v>
      </c>
      <c r="E365" t="s">
        <v>51</v>
      </c>
      <c r="F365" s="3">
        <v>-0.30232558139534899</v>
      </c>
      <c r="G365" s="3"/>
      <c r="H365" s="3"/>
      <c r="I365" s="3"/>
      <c r="J365" s="3">
        <v>-0.30232558139534899</v>
      </c>
    </row>
    <row r="366" spans="2:10" x14ac:dyDescent="0.25">
      <c r="B366" t="s">
        <v>137</v>
      </c>
      <c r="C366" t="s">
        <v>344</v>
      </c>
      <c r="D366" t="s">
        <v>349</v>
      </c>
      <c r="E366" t="s">
        <v>196</v>
      </c>
      <c r="F366" s="3">
        <v>-0.30232558139534899</v>
      </c>
      <c r="G366" s="3"/>
      <c r="H366" s="3"/>
      <c r="I366" s="3"/>
      <c r="J366" s="3">
        <v>-0.30232558139534899</v>
      </c>
    </row>
    <row r="367" spans="2:10" x14ac:dyDescent="0.25">
      <c r="B367" t="s">
        <v>137</v>
      </c>
      <c r="C367" t="s">
        <v>344</v>
      </c>
      <c r="D367" t="s">
        <v>349</v>
      </c>
      <c r="E367" t="s">
        <v>197</v>
      </c>
      <c r="F367" s="3">
        <v>-0.60465116279069797</v>
      </c>
      <c r="G367" s="3"/>
      <c r="H367" s="3"/>
      <c r="I367" s="3"/>
      <c r="J367" s="3">
        <v>-0.60465116279069797</v>
      </c>
    </row>
    <row r="368" spans="2:10" x14ac:dyDescent="0.25">
      <c r="B368" t="s">
        <v>137</v>
      </c>
      <c r="C368" t="s">
        <v>344</v>
      </c>
      <c r="D368" t="s">
        <v>349</v>
      </c>
      <c r="E368" t="s">
        <v>198</v>
      </c>
      <c r="F368" s="3">
        <v>-0.60465116279069797</v>
      </c>
      <c r="G368" s="3"/>
      <c r="H368" s="3"/>
      <c r="I368" s="3"/>
      <c r="J368" s="3">
        <v>-0.60465116279069797</v>
      </c>
    </row>
    <row r="369" spans="2:10" x14ac:dyDescent="0.25">
      <c r="B369" t="s">
        <v>137</v>
      </c>
      <c r="C369" t="s">
        <v>344</v>
      </c>
      <c r="D369" t="s">
        <v>349</v>
      </c>
      <c r="E369" t="s">
        <v>199</v>
      </c>
      <c r="F369" s="3">
        <v>-0.60465116279069797</v>
      </c>
      <c r="G369" s="3"/>
      <c r="H369" s="3"/>
      <c r="I369" s="3"/>
      <c r="J369" s="3">
        <v>-0.60465116279069797</v>
      </c>
    </row>
    <row r="370" spans="2:10" x14ac:dyDescent="0.25">
      <c r="B370" t="s">
        <v>137</v>
      </c>
      <c r="C370" t="s">
        <v>344</v>
      </c>
      <c r="D370" t="s">
        <v>349</v>
      </c>
      <c r="E370" t="s">
        <v>200</v>
      </c>
      <c r="F370" s="3">
        <v>-0.60465116279069797</v>
      </c>
      <c r="G370" s="3"/>
      <c r="H370" s="3"/>
      <c r="I370" s="3"/>
      <c r="J370" s="3">
        <v>-0.60465116279069797</v>
      </c>
    </row>
    <row r="371" spans="2:10" x14ac:dyDescent="0.25">
      <c r="B371" t="s">
        <v>137</v>
      </c>
      <c r="C371" t="s">
        <v>344</v>
      </c>
      <c r="D371" t="s">
        <v>349</v>
      </c>
      <c r="E371" t="s">
        <v>240</v>
      </c>
      <c r="F371" s="3">
        <v>-0.60465116279069797</v>
      </c>
      <c r="G371" s="3"/>
      <c r="H371" s="3"/>
      <c r="I371" s="3"/>
      <c r="J371" s="3">
        <v>-0.60465116279069797</v>
      </c>
    </row>
    <row r="372" spans="2:10" x14ac:dyDescent="0.25">
      <c r="B372" t="s">
        <v>137</v>
      </c>
      <c r="C372" t="s">
        <v>344</v>
      </c>
      <c r="D372" t="s">
        <v>349</v>
      </c>
      <c r="E372" t="s">
        <v>301</v>
      </c>
      <c r="F372" s="3">
        <v>-0.60465116279069797</v>
      </c>
      <c r="G372" s="3"/>
      <c r="H372" s="3"/>
      <c r="I372" s="3"/>
      <c r="J372" s="3">
        <v>-0.60465116279069797</v>
      </c>
    </row>
    <row r="373" spans="2:10" x14ac:dyDescent="0.25">
      <c r="B373" t="s">
        <v>137</v>
      </c>
      <c r="C373" t="s">
        <v>344</v>
      </c>
      <c r="D373" t="s">
        <v>349</v>
      </c>
      <c r="E373" t="s">
        <v>302</v>
      </c>
      <c r="F373" s="3">
        <v>-0.60465116279069797</v>
      </c>
      <c r="G373" s="3"/>
      <c r="H373" s="3"/>
      <c r="I373" s="3"/>
      <c r="J373" s="3">
        <v>-0.60465116279069797</v>
      </c>
    </row>
    <row r="374" spans="2:10" x14ac:dyDescent="0.25">
      <c r="B374" t="s">
        <v>137</v>
      </c>
      <c r="C374" t="s">
        <v>344</v>
      </c>
      <c r="D374" t="s">
        <v>349</v>
      </c>
      <c r="E374" t="s">
        <v>303</v>
      </c>
      <c r="F374" s="3">
        <v>-0.60465116279069797</v>
      </c>
      <c r="G374" s="3"/>
      <c r="H374" s="3"/>
      <c r="I374" s="3"/>
      <c r="J374" s="3">
        <v>-0.60465116279069797</v>
      </c>
    </row>
    <row r="375" spans="2:10" x14ac:dyDescent="0.25">
      <c r="B375" t="s">
        <v>137</v>
      </c>
      <c r="C375" t="s">
        <v>344</v>
      </c>
      <c r="D375" t="s">
        <v>349</v>
      </c>
      <c r="E375" t="s">
        <v>304</v>
      </c>
      <c r="F375" s="3">
        <v>-0.60465116279069797</v>
      </c>
      <c r="G375" s="3"/>
      <c r="H375" s="3"/>
      <c r="I375" s="3"/>
      <c r="J375" s="3">
        <v>-0.60465116279069797</v>
      </c>
    </row>
    <row r="376" spans="2:10" x14ac:dyDescent="0.25">
      <c r="B376" t="s">
        <v>137</v>
      </c>
      <c r="C376" t="s">
        <v>344</v>
      </c>
      <c r="D376" t="s">
        <v>349</v>
      </c>
      <c r="E376" t="s">
        <v>305</v>
      </c>
      <c r="F376" s="3">
        <v>-0.60465116279069797</v>
      </c>
      <c r="G376" s="3"/>
      <c r="H376" s="3"/>
      <c r="I376" s="3"/>
      <c r="J376" s="3">
        <v>-0.60465116279069797</v>
      </c>
    </row>
    <row r="377" spans="2:10" x14ac:dyDescent="0.25">
      <c r="B377" t="s">
        <v>137</v>
      </c>
      <c r="C377" t="s">
        <v>344</v>
      </c>
      <c r="D377" t="s">
        <v>349</v>
      </c>
      <c r="E377" t="s">
        <v>306</v>
      </c>
      <c r="F377" s="3">
        <v>-0.60465116279069797</v>
      </c>
      <c r="G377" s="3"/>
      <c r="H377" s="3"/>
      <c r="I377" s="3"/>
      <c r="J377" s="3">
        <v>-0.60465116279069797</v>
      </c>
    </row>
    <row r="378" spans="2:10" x14ac:dyDescent="0.25">
      <c r="B378" t="s">
        <v>137</v>
      </c>
      <c r="C378" t="s">
        <v>344</v>
      </c>
      <c r="D378" t="s">
        <v>349</v>
      </c>
      <c r="E378" t="s">
        <v>307</v>
      </c>
      <c r="F378" s="3">
        <v>-0.60465116279069797</v>
      </c>
      <c r="G378" s="3"/>
      <c r="H378" s="3"/>
      <c r="I378" s="3"/>
      <c r="J378" s="3">
        <v>-0.60465116279069797</v>
      </c>
    </row>
    <row r="379" spans="2:10" x14ac:dyDescent="0.25">
      <c r="B379" t="s">
        <v>137</v>
      </c>
      <c r="C379" t="s">
        <v>344</v>
      </c>
      <c r="D379" t="s">
        <v>349</v>
      </c>
      <c r="E379" t="s">
        <v>308</v>
      </c>
      <c r="F379" s="3">
        <v>-0.60465116279069797</v>
      </c>
      <c r="G379" s="3"/>
      <c r="H379" s="3"/>
      <c r="I379" s="3"/>
      <c r="J379" s="3">
        <v>-0.60465116279069797</v>
      </c>
    </row>
    <row r="380" spans="2:10" x14ac:dyDescent="0.25">
      <c r="B380" t="s">
        <v>137</v>
      </c>
      <c r="C380" t="s">
        <v>344</v>
      </c>
      <c r="D380" t="s">
        <v>349</v>
      </c>
      <c r="E380" t="s">
        <v>309</v>
      </c>
      <c r="F380" s="3">
        <v>-0.60465116279069797</v>
      </c>
      <c r="G380" s="3"/>
      <c r="H380" s="3"/>
      <c r="I380" s="3"/>
      <c r="J380" s="3">
        <v>-0.60465116279069797</v>
      </c>
    </row>
    <row r="381" spans="2:10" x14ac:dyDescent="0.25">
      <c r="B381" t="s">
        <v>137</v>
      </c>
      <c r="C381" t="s">
        <v>344</v>
      </c>
      <c r="D381" t="s">
        <v>349</v>
      </c>
      <c r="E381" t="s">
        <v>310</v>
      </c>
      <c r="F381" s="3">
        <v>-0.30232558139534899</v>
      </c>
      <c r="G381" s="3"/>
      <c r="H381" s="3"/>
      <c r="I381" s="3"/>
      <c r="J381" s="3">
        <v>-0.30232558139534899</v>
      </c>
    </row>
    <row r="382" spans="2:10" x14ac:dyDescent="0.25">
      <c r="B382" t="s">
        <v>137</v>
      </c>
      <c r="C382" t="s">
        <v>344</v>
      </c>
      <c r="D382" t="s">
        <v>349</v>
      </c>
      <c r="E382" t="s">
        <v>311</v>
      </c>
      <c r="F382" s="3">
        <v>-0.30232558139534899</v>
      </c>
      <c r="G382" s="3"/>
      <c r="H382" s="3"/>
      <c r="I382" s="3"/>
      <c r="J382" s="3">
        <v>-0.30232558139534899</v>
      </c>
    </row>
    <row r="383" spans="2:10" x14ac:dyDescent="0.25">
      <c r="B383" t="s">
        <v>137</v>
      </c>
      <c r="C383" t="s">
        <v>344</v>
      </c>
      <c r="D383" t="s">
        <v>349</v>
      </c>
      <c r="E383" t="s">
        <v>312</v>
      </c>
      <c r="F383" s="3">
        <v>-0.30232558139534899</v>
      </c>
      <c r="G383" s="3"/>
      <c r="H383" s="3"/>
      <c r="I383" s="3"/>
      <c r="J383" s="3">
        <v>-0.30232558139534899</v>
      </c>
    </row>
    <row r="384" spans="2:10" x14ac:dyDescent="0.25">
      <c r="B384" t="s">
        <v>137</v>
      </c>
      <c r="C384" t="s">
        <v>344</v>
      </c>
      <c r="D384" t="s">
        <v>350</v>
      </c>
      <c r="E384" t="s">
        <v>46</v>
      </c>
      <c r="F384" s="3">
        <v>-0.12</v>
      </c>
      <c r="G384" s="3"/>
      <c r="H384" s="3"/>
      <c r="I384" s="3"/>
      <c r="J384" s="3">
        <v>-0.12</v>
      </c>
    </row>
    <row r="385" spans="2:10" x14ac:dyDescent="0.25">
      <c r="B385" t="s">
        <v>137</v>
      </c>
      <c r="C385" t="s">
        <v>344</v>
      </c>
      <c r="D385" t="s">
        <v>350</v>
      </c>
      <c r="E385" t="s">
        <v>47</v>
      </c>
      <c r="F385" s="3">
        <v>-0.12</v>
      </c>
      <c r="G385" s="3"/>
      <c r="H385" s="3"/>
      <c r="I385" s="3"/>
      <c r="J385" s="3">
        <v>-0.12</v>
      </c>
    </row>
    <row r="386" spans="2:10" x14ac:dyDescent="0.25">
      <c r="B386" t="s">
        <v>137</v>
      </c>
      <c r="C386" t="s">
        <v>344</v>
      </c>
      <c r="D386" t="s">
        <v>350</v>
      </c>
      <c r="E386" t="s">
        <v>48</v>
      </c>
      <c r="F386" s="3">
        <v>-0.12</v>
      </c>
      <c r="G386" s="3"/>
      <c r="H386" s="3"/>
      <c r="I386" s="3"/>
      <c r="J386" s="3">
        <v>-0.12</v>
      </c>
    </row>
    <row r="387" spans="2:10" x14ac:dyDescent="0.25">
      <c r="B387" t="s">
        <v>137</v>
      </c>
      <c r="C387" t="s">
        <v>344</v>
      </c>
      <c r="D387" t="s">
        <v>350</v>
      </c>
      <c r="E387" t="s">
        <v>49</v>
      </c>
      <c r="F387" s="3">
        <v>-0.12</v>
      </c>
      <c r="G387" s="3"/>
      <c r="H387" s="3"/>
      <c r="I387" s="3"/>
      <c r="J387" s="3">
        <v>-0.12</v>
      </c>
    </row>
    <row r="388" spans="2:10" x14ac:dyDescent="0.25">
      <c r="B388" t="s">
        <v>137</v>
      </c>
      <c r="C388" t="s">
        <v>344</v>
      </c>
      <c r="D388" t="s">
        <v>350</v>
      </c>
      <c r="E388" t="s">
        <v>50</v>
      </c>
      <c r="F388" s="3">
        <v>-0.12</v>
      </c>
      <c r="G388" s="3"/>
      <c r="H388" s="3"/>
      <c r="I388" s="3"/>
      <c r="J388" s="3">
        <v>-0.12</v>
      </c>
    </row>
    <row r="389" spans="2:10" x14ac:dyDescent="0.25">
      <c r="B389" t="s">
        <v>137</v>
      </c>
      <c r="C389" t="s">
        <v>344</v>
      </c>
      <c r="D389" t="s">
        <v>350</v>
      </c>
      <c r="E389" t="s">
        <v>51</v>
      </c>
      <c r="F389" s="3">
        <v>-0.12</v>
      </c>
      <c r="G389" s="3"/>
      <c r="H389" s="3"/>
      <c r="I389" s="3"/>
      <c r="J389" s="3">
        <v>-0.12</v>
      </c>
    </row>
    <row r="390" spans="2:10" x14ac:dyDescent="0.25">
      <c r="B390" t="s">
        <v>137</v>
      </c>
      <c r="C390" t="s">
        <v>344</v>
      </c>
      <c r="D390" t="s">
        <v>350</v>
      </c>
      <c r="E390" t="s">
        <v>196</v>
      </c>
      <c r="F390" s="3">
        <v>-0.12</v>
      </c>
      <c r="G390" s="3"/>
      <c r="H390" s="3"/>
      <c r="I390" s="3"/>
      <c r="J390" s="3">
        <v>-0.12</v>
      </c>
    </row>
    <row r="391" spans="2:10" x14ac:dyDescent="0.25">
      <c r="B391" t="s">
        <v>137</v>
      </c>
      <c r="C391" t="s">
        <v>344</v>
      </c>
      <c r="D391" t="s">
        <v>350</v>
      </c>
      <c r="E391" t="s">
        <v>197</v>
      </c>
      <c r="F391" s="3">
        <v>-0.24</v>
      </c>
      <c r="G391" s="3"/>
      <c r="H391" s="3"/>
      <c r="I391" s="3"/>
      <c r="J391" s="3">
        <v>-0.24</v>
      </c>
    </row>
    <row r="392" spans="2:10" x14ac:dyDescent="0.25">
      <c r="B392" t="s">
        <v>137</v>
      </c>
      <c r="C392" t="s">
        <v>344</v>
      </c>
      <c r="D392" t="s">
        <v>350</v>
      </c>
      <c r="E392" t="s">
        <v>198</v>
      </c>
      <c r="F392" s="3">
        <v>-0.24</v>
      </c>
      <c r="G392" s="3"/>
      <c r="H392" s="3"/>
      <c r="I392" s="3"/>
      <c r="J392" s="3">
        <v>-0.24</v>
      </c>
    </row>
    <row r="393" spans="2:10" x14ac:dyDescent="0.25">
      <c r="B393" t="s">
        <v>137</v>
      </c>
      <c r="C393" t="s">
        <v>344</v>
      </c>
      <c r="D393" t="s">
        <v>350</v>
      </c>
      <c r="E393" t="s">
        <v>199</v>
      </c>
      <c r="F393" s="3">
        <v>-0.24</v>
      </c>
      <c r="G393" s="3"/>
      <c r="H393" s="3"/>
      <c r="I393" s="3"/>
      <c r="J393" s="3">
        <v>-0.24</v>
      </c>
    </row>
    <row r="394" spans="2:10" x14ac:dyDescent="0.25">
      <c r="B394" t="s">
        <v>137</v>
      </c>
      <c r="C394" t="s">
        <v>344</v>
      </c>
      <c r="D394" t="s">
        <v>350</v>
      </c>
      <c r="E394" t="s">
        <v>200</v>
      </c>
      <c r="F394" s="3">
        <v>-0.24</v>
      </c>
      <c r="G394" s="3"/>
      <c r="H394" s="3"/>
      <c r="I394" s="3"/>
      <c r="J394" s="3">
        <v>-0.24</v>
      </c>
    </row>
    <row r="395" spans="2:10" x14ac:dyDescent="0.25">
      <c r="B395" t="s">
        <v>137</v>
      </c>
      <c r="C395" t="s">
        <v>344</v>
      </c>
      <c r="D395" t="s">
        <v>350</v>
      </c>
      <c r="E395" t="s">
        <v>240</v>
      </c>
      <c r="F395" s="3">
        <v>-0.24</v>
      </c>
      <c r="G395" s="3"/>
      <c r="H395" s="3"/>
      <c r="I395" s="3"/>
      <c r="J395" s="3">
        <v>-0.24</v>
      </c>
    </row>
    <row r="396" spans="2:10" x14ac:dyDescent="0.25">
      <c r="B396" t="s">
        <v>137</v>
      </c>
      <c r="C396" t="s">
        <v>344</v>
      </c>
      <c r="D396" t="s">
        <v>350</v>
      </c>
      <c r="E396" t="s">
        <v>301</v>
      </c>
      <c r="F396" s="3">
        <v>-0.24</v>
      </c>
      <c r="G396" s="3"/>
      <c r="H396" s="3"/>
      <c r="I396" s="3"/>
      <c r="J396" s="3">
        <v>-0.24</v>
      </c>
    </row>
    <row r="397" spans="2:10" x14ac:dyDescent="0.25">
      <c r="B397" t="s">
        <v>137</v>
      </c>
      <c r="C397" t="s">
        <v>344</v>
      </c>
      <c r="D397" t="s">
        <v>350</v>
      </c>
      <c r="E397" t="s">
        <v>302</v>
      </c>
      <c r="F397" s="3">
        <v>-0.24</v>
      </c>
      <c r="G397" s="3"/>
      <c r="H397" s="3"/>
      <c r="I397" s="3"/>
      <c r="J397" s="3">
        <v>-0.24</v>
      </c>
    </row>
    <row r="398" spans="2:10" x14ac:dyDescent="0.25">
      <c r="B398" t="s">
        <v>137</v>
      </c>
      <c r="C398" t="s">
        <v>344</v>
      </c>
      <c r="D398" t="s">
        <v>350</v>
      </c>
      <c r="E398" t="s">
        <v>303</v>
      </c>
      <c r="F398" s="3">
        <v>-0.24</v>
      </c>
      <c r="G398" s="3"/>
      <c r="H398" s="3"/>
      <c r="I398" s="3"/>
      <c r="J398" s="3">
        <v>-0.24</v>
      </c>
    </row>
    <row r="399" spans="2:10" x14ac:dyDescent="0.25">
      <c r="B399" t="s">
        <v>137</v>
      </c>
      <c r="C399" t="s">
        <v>344</v>
      </c>
      <c r="D399" t="s">
        <v>350</v>
      </c>
      <c r="E399" t="s">
        <v>304</v>
      </c>
      <c r="F399" s="3">
        <v>-0.24</v>
      </c>
      <c r="G399" s="3"/>
      <c r="H399" s="3"/>
      <c r="I399" s="3"/>
      <c r="J399" s="3">
        <v>-0.24</v>
      </c>
    </row>
    <row r="400" spans="2:10" x14ac:dyDescent="0.25">
      <c r="B400" t="s">
        <v>137</v>
      </c>
      <c r="C400" t="s">
        <v>344</v>
      </c>
      <c r="D400" t="s">
        <v>350</v>
      </c>
      <c r="E400" t="s">
        <v>305</v>
      </c>
      <c r="F400" s="3">
        <v>-0.24</v>
      </c>
      <c r="G400" s="3"/>
      <c r="H400" s="3"/>
      <c r="I400" s="3"/>
      <c r="J400" s="3">
        <v>-0.24</v>
      </c>
    </row>
    <row r="401" spans="2:10" x14ac:dyDescent="0.25">
      <c r="B401" t="s">
        <v>137</v>
      </c>
      <c r="C401" t="s">
        <v>344</v>
      </c>
      <c r="D401" t="s">
        <v>350</v>
      </c>
      <c r="E401" t="s">
        <v>306</v>
      </c>
      <c r="F401" s="3">
        <v>-0.24</v>
      </c>
      <c r="G401" s="3"/>
      <c r="H401" s="3"/>
      <c r="I401" s="3"/>
      <c r="J401" s="3">
        <v>-0.24</v>
      </c>
    </row>
    <row r="402" spans="2:10" x14ac:dyDescent="0.25">
      <c r="B402" t="s">
        <v>137</v>
      </c>
      <c r="C402" t="s">
        <v>344</v>
      </c>
      <c r="D402" t="s">
        <v>350</v>
      </c>
      <c r="E402" t="s">
        <v>307</v>
      </c>
      <c r="F402" s="3">
        <v>-0.24</v>
      </c>
      <c r="G402" s="3"/>
      <c r="H402" s="3"/>
      <c r="I402" s="3"/>
      <c r="J402" s="3">
        <v>-0.24</v>
      </c>
    </row>
    <row r="403" spans="2:10" x14ac:dyDescent="0.25">
      <c r="B403" t="s">
        <v>137</v>
      </c>
      <c r="C403" t="s">
        <v>344</v>
      </c>
      <c r="D403" t="s">
        <v>350</v>
      </c>
      <c r="E403" t="s">
        <v>308</v>
      </c>
      <c r="F403" s="3">
        <v>-0.24</v>
      </c>
      <c r="G403" s="3"/>
      <c r="H403" s="3"/>
      <c r="I403" s="3"/>
      <c r="J403" s="3">
        <v>-0.24</v>
      </c>
    </row>
    <row r="404" spans="2:10" x14ac:dyDescent="0.25">
      <c r="B404" t="s">
        <v>137</v>
      </c>
      <c r="C404" t="s">
        <v>344</v>
      </c>
      <c r="D404" t="s">
        <v>350</v>
      </c>
      <c r="E404" t="s">
        <v>309</v>
      </c>
      <c r="F404" s="3">
        <v>-0.24</v>
      </c>
      <c r="G404" s="3"/>
      <c r="H404" s="3"/>
      <c r="I404" s="3"/>
      <c r="J404" s="3">
        <v>-0.24</v>
      </c>
    </row>
    <row r="405" spans="2:10" x14ac:dyDescent="0.25">
      <c r="B405" t="s">
        <v>137</v>
      </c>
      <c r="C405" t="s">
        <v>344</v>
      </c>
      <c r="D405" t="s">
        <v>350</v>
      </c>
      <c r="E405" t="s">
        <v>310</v>
      </c>
      <c r="F405" s="3">
        <v>-0.12</v>
      </c>
      <c r="G405" s="3"/>
      <c r="H405" s="3"/>
      <c r="I405" s="3"/>
      <c r="J405" s="3">
        <v>-0.12</v>
      </c>
    </row>
    <row r="406" spans="2:10" x14ac:dyDescent="0.25">
      <c r="B406" t="s">
        <v>137</v>
      </c>
      <c r="C406" t="s">
        <v>344</v>
      </c>
      <c r="D406" t="s">
        <v>350</v>
      </c>
      <c r="E406" t="s">
        <v>311</v>
      </c>
      <c r="F406" s="3">
        <v>-0.12</v>
      </c>
      <c r="G406" s="3"/>
      <c r="H406" s="3"/>
      <c r="I406" s="3"/>
      <c r="J406" s="3">
        <v>-0.12</v>
      </c>
    </row>
    <row r="407" spans="2:10" x14ac:dyDescent="0.25">
      <c r="B407" t="s">
        <v>137</v>
      </c>
      <c r="C407" t="s">
        <v>344</v>
      </c>
      <c r="D407" t="s">
        <v>350</v>
      </c>
      <c r="E407" t="s">
        <v>312</v>
      </c>
      <c r="F407" s="3">
        <v>-0.12</v>
      </c>
      <c r="G407" s="3"/>
      <c r="H407" s="3"/>
      <c r="I407" s="3"/>
      <c r="J407" s="3">
        <v>-0.12</v>
      </c>
    </row>
    <row r="408" spans="2:10" x14ac:dyDescent="0.25">
      <c r="B408" t="s">
        <v>137</v>
      </c>
      <c r="C408" t="s">
        <v>344</v>
      </c>
      <c r="D408" t="s">
        <v>351</v>
      </c>
      <c r="E408" t="s">
        <v>46</v>
      </c>
      <c r="F408" s="3">
        <v>-0.78260869565217395</v>
      </c>
      <c r="G408" s="3"/>
      <c r="H408" s="3"/>
      <c r="I408" s="3"/>
      <c r="J408" s="3">
        <v>-0.78260869565217395</v>
      </c>
    </row>
    <row r="409" spans="2:10" x14ac:dyDescent="0.25">
      <c r="B409" t="s">
        <v>137</v>
      </c>
      <c r="C409" t="s">
        <v>344</v>
      </c>
      <c r="D409" t="s">
        <v>351</v>
      </c>
      <c r="E409" t="s">
        <v>47</v>
      </c>
      <c r="F409" s="3">
        <v>-0.78260869565217395</v>
      </c>
      <c r="G409" s="3"/>
      <c r="H409" s="3"/>
      <c r="I409" s="3"/>
      <c r="J409" s="3">
        <v>-0.78260869565217395</v>
      </c>
    </row>
    <row r="410" spans="2:10" x14ac:dyDescent="0.25">
      <c r="B410" t="s">
        <v>137</v>
      </c>
      <c r="C410" t="s">
        <v>344</v>
      </c>
      <c r="D410" t="s">
        <v>351</v>
      </c>
      <c r="E410" t="s">
        <v>48</v>
      </c>
      <c r="F410" s="3">
        <v>-0.78260869565217395</v>
      </c>
      <c r="G410" s="3"/>
      <c r="H410" s="3"/>
      <c r="I410" s="3"/>
      <c r="J410" s="3">
        <v>-0.78260869565217395</v>
      </c>
    </row>
    <row r="411" spans="2:10" x14ac:dyDescent="0.25">
      <c r="B411" t="s">
        <v>137</v>
      </c>
      <c r="C411" t="s">
        <v>344</v>
      </c>
      <c r="D411" t="s">
        <v>351</v>
      </c>
      <c r="E411" t="s">
        <v>49</v>
      </c>
      <c r="F411" s="3">
        <v>-0.78260869565217395</v>
      </c>
      <c r="G411" s="3"/>
      <c r="H411" s="3"/>
      <c r="I411" s="3"/>
      <c r="J411" s="3">
        <v>-0.78260869565217395</v>
      </c>
    </row>
    <row r="412" spans="2:10" x14ac:dyDescent="0.25">
      <c r="B412" t="s">
        <v>137</v>
      </c>
      <c r="C412" t="s">
        <v>344</v>
      </c>
      <c r="D412" t="s">
        <v>351</v>
      </c>
      <c r="E412" t="s">
        <v>50</v>
      </c>
      <c r="F412" s="3">
        <v>-0.78260869565217395</v>
      </c>
      <c r="G412" s="3"/>
      <c r="H412" s="3"/>
      <c r="I412" s="3"/>
      <c r="J412" s="3">
        <v>-0.78260869565217395</v>
      </c>
    </row>
    <row r="413" spans="2:10" x14ac:dyDescent="0.25">
      <c r="B413" t="s">
        <v>137</v>
      </c>
      <c r="C413" t="s">
        <v>344</v>
      </c>
      <c r="D413" t="s">
        <v>351</v>
      </c>
      <c r="E413" t="s">
        <v>51</v>
      </c>
      <c r="F413" s="3">
        <v>-0.78260869565217395</v>
      </c>
      <c r="G413" s="3"/>
      <c r="H413" s="3"/>
      <c r="I413" s="3"/>
      <c r="J413" s="3">
        <v>-0.78260869565217395</v>
      </c>
    </row>
    <row r="414" spans="2:10" x14ac:dyDescent="0.25">
      <c r="B414" t="s">
        <v>137</v>
      </c>
      <c r="C414" t="s">
        <v>344</v>
      </c>
      <c r="D414" t="s">
        <v>351</v>
      </c>
      <c r="E414" t="s">
        <v>196</v>
      </c>
      <c r="F414" s="3">
        <v>-0.78260869565217395</v>
      </c>
      <c r="G414" s="3"/>
      <c r="H414" s="3"/>
      <c r="I414" s="3"/>
      <c r="J414" s="3">
        <v>-0.78260869565217395</v>
      </c>
    </row>
    <row r="415" spans="2:10" x14ac:dyDescent="0.25">
      <c r="B415" t="s">
        <v>137</v>
      </c>
      <c r="C415" t="s">
        <v>344</v>
      </c>
      <c r="D415" t="s">
        <v>351</v>
      </c>
      <c r="E415" t="s">
        <v>197</v>
      </c>
      <c r="F415" s="3">
        <v>-1.5652173913043479</v>
      </c>
      <c r="G415" s="3"/>
      <c r="H415" s="3"/>
      <c r="I415" s="3"/>
      <c r="J415" s="3">
        <v>-1.5652173913043479</v>
      </c>
    </row>
    <row r="416" spans="2:10" x14ac:dyDescent="0.25">
      <c r="B416" t="s">
        <v>137</v>
      </c>
      <c r="C416" t="s">
        <v>344</v>
      </c>
      <c r="D416" t="s">
        <v>351</v>
      </c>
      <c r="E416" t="s">
        <v>198</v>
      </c>
      <c r="F416" s="3">
        <v>-1.5652173913043479</v>
      </c>
      <c r="G416" s="3"/>
      <c r="H416" s="3"/>
      <c r="I416" s="3"/>
      <c r="J416" s="3">
        <v>-1.5652173913043479</v>
      </c>
    </row>
    <row r="417" spans="2:10" x14ac:dyDescent="0.25">
      <c r="B417" t="s">
        <v>137</v>
      </c>
      <c r="C417" t="s">
        <v>344</v>
      </c>
      <c r="D417" t="s">
        <v>351</v>
      </c>
      <c r="E417" t="s">
        <v>199</v>
      </c>
      <c r="F417" s="3">
        <v>-1.5652173913043479</v>
      </c>
      <c r="G417" s="3"/>
      <c r="H417" s="3"/>
      <c r="I417" s="3"/>
      <c r="J417" s="3">
        <v>-1.5652173913043479</v>
      </c>
    </row>
    <row r="418" spans="2:10" x14ac:dyDescent="0.25">
      <c r="B418" t="s">
        <v>137</v>
      </c>
      <c r="C418" t="s">
        <v>344</v>
      </c>
      <c r="D418" t="s">
        <v>351</v>
      </c>
      <c r="E418" t="s">
        <v>200</v>
      </c>
      <c r="F418" s="3">
        <v>-1.5652173913043479</v>
      </c>
      <c r="G418" s="3"/>
      <c r="H418" s="3"/>
      <c r="I418" s="3"/>
      <c r="J418" s="3">
        <v>-1.5652173913043479</v>
      </c>
    </row>
    <row r="419" spans="2:10" x14ac:dyDescent="0.25">
      <c r="B419" t="s">
        <v>137</v>
      </c>
      <c r="C419" t="s">
        <v>344</v>
      </c>
      <c r="D419" t="s">
        <v>351</v>
      </c>
      <c r="E419" t="s">
        <v>240</v>
      </c>
      <c r="F419" s="3">
        <v>-1.5652173913043479</v>
      </c>
      <c r="G419" s="3"/>
      <c r="H419" s="3"/>
      <c r="I419" s="3"/>
      <c r="J419" s="3">
        <v>-1.5652173913043479</v>
      </c>
    </row>
    <row r="420" spans="2:10" x14ac:dyDescent="0.25">
      <c r="B420" t="s">
        <v>137</v>
      </c>
      <c r="C420" t="s">
        <v>344</v>
      </c>
      <c r="D420" t="s">
        <v>351</v>
      </c>
      <c r="E420" t="s">
        <v>301</v>
      </c>
      <c r="F420" s="3">
        <v>-1.5652173913043479</v>
      </c>
      <c r="G420" s="3"/>
      <c r="H420" s="3"/>
      <c r="I420" s="3"/>
      <c r="J420" s="3">
        <v>-1.5652173913043479</v>
      </c>
    </row>
    <row r="421" spans="2:10" x14ac:dyDescent="0.25">
      <c r="B421" t="s">
        <v>137</v>
      </c>
      <c r="C421" t="s">
        <v>344</v>
      </c>
      <c r="D421" t="s">
        <v>351</v>
      </c>
      <c r="E421" t="s">
        <v>302</v>
      </c>
      <c r="F421" s="3">
        <v>-1.5652173913043479</v>
      </c>
      <c r="G421" s="3"/>
      <c r="H421" s="3"/>
      <c r="I421" s="3"/>
      <c r="J421" s="3">
        <v>-1.5652173913043479</v>
      </c>
    </row>
    <row r="422" spans="2:10" x14ac:dyDescent="0.25">
      <c r="B422" t="s">
        <v>137</v>
      </c>
      <c r="C422" t="s">
        <v>344</v>
      </c>
      <c r="D422" t="s">
        <v>351</v>
      </c>
      <c r="E422" t="s">
        <v>303</v>
      </c>
      <c r="F422" s="3">
        <v>-1.5652173913043479</v>
      </c>
      <c r="G422" s="3"/>
      <c r="H422" s="3"/>
      <c r="I422" s="3"/>
      <c r="J422" s="3">
        <v>-1.5652173913043479</v>
      </c>
    </row>
    <row r="423" spans="2:10" x14ac:dyDescent="0.25">
      <c r="B423" t="s">
        <v>137</v>
      </c>
      <c r="C423" t="s">
        <v>344</v>
      </c>
      <c r="D423" t="s">
        <v>351</v>
      </c>
      <c r="E423" t="s">
        <v>304</v>
      </c>
      <c r="F423" s="3">
        <v>-1.5652173913043479</v>
      </c>
      <c r="G423" s="3"/>
      <c r="H423" s="3"/>
      <c r="I423" s="3"/>
      <c r="J423" s="3">
        <v>-1.5652173913043479</v>
      </c>
    </row>
    <row r="424" spans="2:10" x14ac:dyDescent="0.25">
      <c r="B424" t="s">
        <v>137</v>
      </c>
      <c r="C424" t="s">
        <v>344</v>
      </c>
      <c r="D424" t="s">
        <v>351</v>
      </c>
      <c r="E424" t="s">
        <v>305</v>
      </c>
      <c r="F424" s="3">
        <v>-1.5652173913043479</v>
      </c>
      <c r="G424" s="3"/>
      <c r="H424" s="3"/>
      <c r="I424" s="3"/>
      <c r="J424" s="3">
        <v>-1.5652173913043479</v>
      </c>
    </row>
    <row r="425" spans="2:10" x14ac:dyDescent="0.25">
      <c r="B425" t="s">
        <v>137</v>
      </c>
      <c r="C425" t="s">
        <v>344</v>
      </c>
      <c r="D425" t="s">
        <v>351</v>
      </c>
      <c r="E425" t="s">
        <v>306</v>
      </c>
      <c r="F425" s="3">
        <v>-1.5652173913043479</v>
      </c>
      <c r="G425" s="3"/>
      <c r="H425" s="3"/>
      <c r="I425" s="3"/>
      <c r="J425" s="3">
        <v>-1.5652173913043479</v>
      </c>
    </row>
    <row r="426" spans="2:10" x14ac:dyDescent="0.25">
      <c r="B426" t="s">
        <v>137</v>
      </c>
      <c r="C426" t="s">
        <v>344</v>
      </c>
      <c r="D426" t="s">
        <v>351</v>
      </c>
      <c r="E426" t="s">
        <v>307</v>
      </c>
      <c r="F426" s="3">
        <v>-1.5652173913043479</v>
      </c>
      <c r="G426" s="3"/>
      <c r="H426" s="3"/>
      <c r="I426" s="3"/>
      <c r="J426" s="3">
        <v>-1.5652173913043479</v>
      </c>
    </row>
    <row r="427" spans="2:10" x14ac:dyDescent="0.25">
      <c r="B427" t="s">
        <v>137</v>
      </c>
      <c r="C427" t="s">
        <v>344</v>
      </c>
      <c r="D427" t="s">
        <v>351</v>
      </c>
      <c r="E427" t="s">
        <v>308</v>
      </c>
      <c r="F427" s="3">
        <v>-1.5652173913043479</v>
      </c>
      <c r="G427" s="3"/>
      <c r="H427" s="3"/>
      <c r="I427" s="3"/>
      <c r="J427" s="3">
        <v>-1.5652173913043479</v>
      </c>
    </row>
    <row r="428" spans="2:10" x14ac:dyDescent="0.25">
      <c r="B428" t="s">
        <v>137</v>
      </c>
      <c r="C428" t="s">
        <v>344</v>
      </c>
      <c r="D428" t="s">
        <v>351</v>
      </c>
      <c r="E428" t="s">
        <v>309</v>
      </c>
      <c r="F428" s="3">
        <v>-1.5652173913043479</v>
      </c>
      <c r="G428" s="3"/>
      <c r="H428" s="3"/>
      <c r="I428" s="3"/>
      <c r="J428" s="3">
        <v>-1.5652173913043479</v>
      </c>
    </row>
    <row r="429" spans="2:10" x14ac:dyDescent="0.25">
      <c r="B429" t="s">
        <v>137</v>
      </c>
      <c r="C429" t="s">
        <v>344</v>
      </c>
      <c r="D429" t="s">
        <v>351</v>
      </c>
      <c r="E429" t="s">
        <v>310</v>
      </c>
      <c r="F429" s="3">
        <v>-0.78260869565217395</v>
      </c>
      <c r="G429" s="3"/>
      <c r="H429" s="3"/>
      <c r="I429" s="3"/>
      <c r="J429" s="3">
        <v>-0.78260869565217395</v>
      </c>
    </row>
    <row r="430" spans="2:10" x14ac:dyDescent="0.25">
      <c r="B430" t="s">
        <v>137</v>
      </c>
      <c r="C430" t="s">
        <v>344</v>
      </c>
      <c r="D430" t="s">
        <v>351</v>
      </c>
      <c r="E430" t="s">
        <v>311</v>
      </c>
      <c r="F430" s="3">
        <v>-0.78260869565217395</v>
      </c>
      <c r="G430" s="3"/>
      <c r="H430" s="3"/>
      <c r="I430" s="3"/>
      <c r="J430" s="3">
        <v>-0.78260869565217395</v>
      </c>
    </row>
    <row r="431" spans="2:10" x14ac:dyDescent="0.25">
      <c r="B431" t="s">
        <v>137</v>
      </c>
      <c r="C431" t="s">
        <v>344</v>
      </c>
      <c r="D431" t="s">
        <v>351</v>
      </c>
      <c r="E431" t="s">
        <v>312</v>
      </c>
      <c r="F431" s="3">
        <v>-0.78260869565217395</v>
      </c>
      <c r="G431" s="3"/>
      <c r="H431" s="3"/>
      <c r="I431" s="3"/>
      <c r="J431" s="3">
        <v>-0.78260869565217395</v>
      </c>
    </row>
    <row r="432" spans="2:10" x14ac:dyDescent="0.25">
      <c r="B432" t="s">
        <v>137</v>
      </c>
      <c r="C432" t="s">
        <v>344</v>
      </c>
      <c r="D432" t="s">
        <v>352</v>
      </c>
      <c r="E432" t="s">
        <v>46</v>
      </c>
      <c r="F432" s="3">
        <v>-0.20212765957446799</v>
      </c>
      <c r="G432" s="3"/>
      <c r="H432" s="3"/>
      <c r="I432" s="3"/>
      <c r="J432" s="3">
        <v>-0.20212765957446799</v>
      </c>
    </row>
    <row r="433" spans="2:10" x14ac:dyDescent="0.25">
      <c r="B433" t="s">
        <v>137</v>
      </c>
      <c r="C433" t="s">
        <v>344</v>
      </c>
      <c r="D433" t="s">
        <v>352</v>
      </c>
      <c r="E433" t="s">
        <v>47</v>
      </c>
      <c r="F433" s="3">
        <v>-0.20212765957446799</v>
      </c>
      <c r="G433" s="3"/>
      <c r="H433" s="3"/>
      <c r="I433" s="3"/>
      <c r="J433" s="3">
        <v>-0.20212765957446799</v>
      </c>
    </row>
    <row r="434" spans="2:10" x14ac:dyDescent="0.25">
      <c r="B434" t="s">
        <v>137</v>
      </c>
      <c r="C434" t="s">
        <v>344</v>
      </c>
      <c r="D434" t="s">
        <v>352</v>
      </c>
      <c r="E434" t="s">
        <v>48</v>
      </c>
      <c r="F434" s="3">
        <v>-0.20212765957446799</v>
      </c>
      <c r="G434" s="3"/>
      <c r="H434" s="3"/>
      <c r="I434" s="3"/>
      <c r="J434" s="3">
        <v>-0.20212765957446799</v>
      </c>
    </row>
    <row r="435" spans="2:10" x14ac:dyDescent="0.25">
      <c r="B435" t="s">
        <v>137</v>
      </c>
      <c r="C435" t="s">
        <v>344</v>
      </c>
      <c r="D435" t="s">
        <v>352</v>
      </c>
      <c r="E435" t="s">
        <v>49</v>
      </c>
      <c r="F435" s="3">
        <v>-0.20212765957446799</v>
      </c>
      <c r="G435" s="3"/>
      <c r="H435" s="3"/>
      <c r="I435" s="3"/>
      <c r="J435" s="3">
        <v>-0.20212765957446799</v>
      </c>
    </row>
    <row r="436" spans="2:10" x14ac:dyDescent="0.25">
      <c r="B436" t="s">
        <v>137</v>
      </c>
      <c r="C436" t="s">
        <v>344</v>
      </c>
      <c r="D436" t="s">
        <v>352</v>
      </c>
      <c r="E436" t="s">
        <v>50</v>
      </c>
      <c r="F436" s="3">
        <v>-0.20212765957446799</v>
      </c>
      <c r="G436" s="3"/>
      <c r="H436" s="3"/>
      <c r="I436" s="3"/>
      <c r="J436" s="3">
        <v>-0.20212765957446799</v>
      </c>
    </row>
    <row r="437" spans="2:10" x14ac:dyDescent="0.25">
      <c r="B437" t="s">
        <v>137</v>
      </c>
      <c r="C437" t="s">
        <v>344</v>
      </c>
      <c r="D437" t="s">
        <v>352</v>
      </c>
      <c r="E437" t="s">
        <v>51</v>
      </c>
      <c r="F437" s="3">
        <v>-0.20212765957446799</v>
      </c>
      <c r="G437" s="3"/>
      <c r="H437" s="3"/>
      <c r="I437" s="3"/>
      <c r="J437" s="3">
        <v>-0.20212765957446799</v>
      </c>
    </row>
    <row r="438" spans="2:10" x14ac:dyDescent="0.25">
      <c r="B438" t="s">
        <v>137</v>
      </c>
      <c r="C438" t="s">
        <v>344</v>
      </c>
      <c r="D438" t="s">
        <v>352</v>
      </c>
      <c r="E438" t="s">
        <v>196</v>
      </c>
      <c r="F438" s="3">
        <v>-0.20212765957446799</v>
      </c>
      <c r="G438" s="3"/>
      <c r="H438" s="3"/>
      <c r="I438" s="3"/>
      <c r="J438" s="3">
        <v>-0.20212765957446799</v>
      </c>
    </row>
    <row r="439" spans="2:10" x14ac:dyDescent="0.25">
      <c r="B439" t="s">
        <v>137</v>
      </c>
      <c r="C439" t="s">
        <v>344</v>
      </c>
      <c r="D439" t="s">
        <v>352</v>
      </c>
      <c r="E439" t="s">
        <v>197</v>
      </c>
      <c r="F439" s="3">
        <v>-0.40425531914893598</v>
      </c>
      <c r="G439" s="3"/>
      <c r="H439" s="3"/>
      <c r="I439" s="3"/>
      <c r="J439" s="3">
        <v>-0.40425531914893598</v>
      </c>
    </row>
    <row r="440" spans="2:10" x14ac:dyDescent="0.25">
      <c r="B440" t="s">
        <v>137</v>
      </c>
      <c r="C440" t="s">
        <v>344</v>
      </c>
      <c r="D440" t="s">
        <v>352</v>
      </c>
      <c r="E440" t="s">
        <v>198</v>
      </c>
      <c r="F440" s="3">
        <v>-0.40425531914893598</v>
      </c>
      <c r="G440" s="3"/>
      <c r="H440" s="3"/>
      <c r="I440" s="3"/>
      <c r="J440" s="3">
        <v>-0.40425531914893598</v>
      </c>
    </row>
    <row r="441" spans="2:10" x14ac:dyDescent="0.25">
      <c r="B441" t="s">
        <v>137</v>
      </c>
      <c r="C441" t="s">
        <v>344</v>
      </c>
      <c r="D441" t="s">
        <v>352</v>
      </c>
      <c r="E441" t="s">
        <v>199</v>
      </c>
      <c r="F441" s="3">
        <v>-0.40425531914893598</v>
      </c>
      <c r="G441" s="3"/>
      <c r="H441" s="3"/>
      <c r="I441" s="3"/>
      <c r="J441" s="3">
        <v>-0.40425531914893598</v>
      </c>
    </row>
    <row r="442" spans="2:10" x14ac:dyDescent="0.25">
      <c r="B442" t="s">
        <v>137</v>
      </c>
      <c r="C442" t="s">
        <v>344</v>
      </c>
      <c r="D442" t="s">
        <v>352</v>
      </c>
      <c r="E442" t="s">
        <v>200</v>
      </c>
      <c r="F442" s="3">
        <v>-0.40425531914893598</v>
      </c>
      <c r="G442" s="3"/>
      <c r="H442" s="3"/>
      <c r="I442" s="3"/>
      <c r="J442" s="3">
        <v>-0.40425531914893598</v>
      </c>
    </row>
    <row r="443" spans="2:10" x14ac:dyDescent="0.25">
      <c r="B443" t="s">
        <v>137</v>
      </c>
      <c r="C443" t="s">
        <v>344</v>
      </c>
      <c r="D443" t="s">
        <v>352</v>
      </c>
      <c r="E443" t="s">
        <v>240</v>
      </c>
      <c r="F443" s="3">
        <v>-0.40425531914893598</v>
      </c>
      <c r="G443" s="3"/>
      <c r="H443" s="3"/>
      <c r="I443" s="3"/>
      <c r="J443" s="3">
        <v>-0.40425531914893598</v>
      </c>
    </row>
    <row r="444" spans="2:10" x14ac:dyDescent="0.25">
      <c r="B444" t="s">
        <v>137</v>
      </c>
      <c r="C444" t="s">
        <v>344</v>
      </c>
      <c r="D444" t="s">
        <v>352</v>
      </c>
      <c r="E444" t="s">
        <v>301</v>
      </c>
      <c r="F444" s="3">
        <v>-0.40425531914893598</v>
      </c>
      <c r="G444" s="3"/>
      <c r="H444" s="3"/>
      <c r="I444" s="3"/>
      <c r="J444" s="3">
        <v>-0.40425531914893598</v>
      </c>
    </row>
    <row r="445" spans="2:10" x14ac:dyDescent="0.25">
      <c r="B445" t="s">
        <v>137</v>
      </c>
      <c r="C445" t="s">
        <v>344</v>
      </c>
      <c r="D445" t="s">
        <v>352</v>
      </c>
      <c r="E445" t="s">
        <v>302</v>
      </c>
      <c r="F445" s="3">
        <v>-0.40425531914893598</v>
      </c>
      <c r="G445" s="3"/>
      <c r="H445" s="3"/>
      <c r="I445" s="3"/>
      <c r="J445" s="3">
        <v>-0.40425531914893598</v>
      </c>
    </row>
    <row r="446" spans="2:10" x14ac:dyDescent="0.25">
      <c r="B446" t="s">
        <v>137</v>
      </c>
      <c r="C446" t="s">
        <v>344</v>
      </c>
      <c r="D446" t="s">
        <v>352</v>
      </c>
      <c r="E446" t="s">
        <v>303</v>
      </c>
      <c r="F446" s="3">
        <v>-0.40425531914893598</v>
      </c>
      <c r="G446" s="3"/>
      <c r="H446" s="3"/>
      <c r="I446" s="3"/>
      <c r="J446" s="3">
        <v>-0.40425531914893598</v>
      </c>
    </row>
    <row r="447" spans="2:10" x14ac:dyDescent="0.25">
      <c r="B447" t="s">
        <v>137</v>
      </c>
      <c r="C447" t="s">
        <v>344</v>
      </c>
      <c r="D447" t="s">
        <v>352</v>
      </c>
      <c r="E447" t="s">
        <v>304</v>
      </c>
      <c r="F447" s="3">
        <v>-0.40425531914893598</v>
      </c>
      <c r="G447" s="3"/>
      <c r="H447" s="3"/>
      <c r="I447" s="3"/>
      <c r="J447" s="3">
        <v>-0.40425531914893598</v>
      </c>
    </row>
    <row r="448" spans="2:10" x14ac:dyDescent="0.25">
      <c r="B448" t="s">
        <v>137</v>
      </c>
      <c r="C448" t="s">
        <v>344</v>
      </c>
      <c r="D448" t="s">
        <v>352</v>
      </c>
      <c r="E448" t="s">
        <v>305</v>
      </c>
      <c r="F448" s="3">
        <v>-0.40425531914893598</v>
      </c>
      <c r="G448" s="3"/>
      <c r="H448" s="3"/>
      <c r="I448" s="3"/>
      <c r="J448" s="3">
        <v>-0.40425531914893598</v>
      </c>
    </row>
    <row r="449" spans="2:10" x14ac:dyDescent="0.25">
      <c r="B449" t="s">
        <v>137</v>
      </c>
      <c r="C449" t="s">
        <v>344</v>
      </c>
      <c r="D449" t="s">
        <v>352</v>
      </c>
      <c r="E449" t="s">
        <v>306</v>
      </c>
      <c r="F449" s="3">
        <v>-0.40425531914893598</v>
      </c>
      <c r="G449" s="3"/>
      <c r="H449" s="3"/>
      <c r="I449" s="3"/>
      <c r="J449" s="3">
        <v>-0.40425531914893598</v>
      </c>
    </row>
    <row r="450" spans="2:10" x14ac:dyDescent="0.25">
      <c r="B450" t="s">
        <v>137</v>
      </c>
      <c r="C450" t="s">
        <v>344</v>
      </c>
      <c r="D450" t="s">
        <v>352</v>
      </c>
      <c r="E450" t="s">
        <v>307</v>
      </c>
      <c r="F450" s="3">
        <v>-0.40425531914893598</v>
      </c>
      <c r="G450" s="3"/>
      <c r="H450" s="3"/>
      <c r="I450" s="3"/>
      <c r="J450" s="3">
        <v>-0.40425531914893598</v>
      </c>
    </row>
    <row r="451" spans="2:10" x14ac:dyDescent="0.25">
      <c r="B451" t="s">
        <v>137</v>
      </c>
      <c r="C451" t="s">
        <v>344</v>
      </c>
      <c r="D451" t="s">
        <v>352</v>
      </c>
      <c r="E451" t="s">
        <v>308</v>
      </c>
      <c r="F451" s="3">
        <v>-0.40425531914893598</v>
      </c>
      <c r="G451" s="3"/>
      <c r="H451" s="3"/>
      <c r="I451" s="3"/>
      <c r="J451" s="3">
        <v>-0.40425531914893598</v>
      </c>
    </row>
    <row r="452" spans="2:10" x14ac:dyDescent="0.25">
      <c r="B452" t="s">
        <v>137</v>
      </c>
      <c r="C452" t="s">
        <v>344</v>
      </c>
      <c r="D452" t="s">
        <v>352</v>
      </c>
      <c r="E452" t="s">
        <v>309</v>
      </c>
      <c r="F452" s="3">
        <v>-0.40425531914893598</v>
      </c>
      <c r="G452" s="3"/>
      <c r="H452" s="3"/>
      <c r="I452" s="3"/>
      <c r="J452" s="3">
        <v>-0.40425531914893598</v>
      </c>
    </row>
    <row r="453" spans="2:10" x14ac:dyDescent="0.25">
      <c r="B453" t="s">
        <v>137</v>
      </c>
      <c r="C453" t="s">
        <v>344</v>
      </c>
      <c r="D453" t="s">
        <v>352</v>
      </c>
      <c r="E453" t="s">
        <v>310</v>
      </c>
      <c r="F453" s="3">
        <v>-0.20212765957446799</v>
      </c>
      <c r="G453" s="3"/>
      <c r="H453" s="3"/>
      <c r="I453" s="3"/>
      <c r="J453" s="3">
        <v>-0.20212765957446799</v>
      </c>
    </row>
    <row r="454" spans="2:10" x14ac:dyDescent="0.25">
      <c r="B454" t="s">
        <v>137</v>
      </c>
      <c r="C454" t="s">
        <v>344</v>
      </c>
      <c r="D454" t="s">
        <v>352</v>
      </c>
      <c r="E454" t="s">
        <v>311</v>
      </c>
      <c r="F454" s="3">
        <v>-0.20212765957446799</v>
      </c>
      <c r="G454" s="3"/>
      <c r="H454" s="3"/>
      <c r="I454" s="3"/>
      <c r="J454" s="3">
        <v>-0.20212765957446799</v>
      </c>
    </row>
    <row r="455" spans="2:10" x14ac:dyDescent="0.25">
      <c r="B455" t="s">
        <v>137</v>
      </c>
      <c r="C455" t="s">
        <v>344</v>
      </c>
      <c r="D455" t="s">
        <v>352</v>
      </c>
      <c r="E455" t="s">
        <v>312</v>
      </c>
      <c r="F455" s="3">
        <v>-0.20212765957446799</v>
      </c>
      <c r="G455" s="3"/>
      <c r="H455" s="3"/>
      <c r="I455" s="3"/>
      <c r="J455" s="3">
        <v>-0.20212765957446799</v>
      </c>
    </row>
    <row r="456" spans="2:10" x14ac:dyDescent="0.25">
      <c r="B456" t="s">
        <v>137</v>
      </c>
      <c r="C456" t="s">
        <v>344</v>
      </c>
      <c r="D456" t="s">
        <v>353</v>
      </c>
      <c r="E456" t="s">
        <v>46</v>
      </c>
      <c r="F456" s="3">
        <v>-0.1</v>
      </c>
      <c r="G456" s="3"/>
      <c r="H456" s="3"/>
      <c r="I456" s="3"/>
      <c r="J456" s="3">
        <v>-0.1</v>
      </c>
    </row>
    <row r="457" spans="2:10" x14ac:dyDescent="0.25">
      <c r="B457" t="s">
        <v>137</v>
      </c>
      <c r="C457" t="s">
        <v>344</v>
      </c>
      <c r="D457" t="s">
        <v>353</v>
      </c>
      <c r="E457" t="s">
        <v>47</v>
      </c>
      <c r="F457" s="3">
        <v>-0.1</v>
      </c>
      <c r="G457" s="3"/>
      <c r="H457" s="3"/>
      <c r="I457" s="3"/>
      <c r="J457" s="3">
        <v>-0.1</v>
      </c>
    </row>
    <row r="458" spans="2:10" x14ac:dyDescent="0.25">
      <c r="B458" t="s">
        <v>137</v>
      </c>
      <c r="C458" t="s">
        <v>344</v>
      </c>
      <c r="D458" t="s">
        <v>353</v>
      </c>
      <c r="E458" t="s">
        <v>48</v>
      </c>
      <c r="F458" s="3">
        <v>-0.1</v>
      </c>
      <c r="G458" s="3"/>
      <c r="H458" s="3"/>
      <c r="I458" s="3"/>
      <c r="J458" s="3">
        <v>-0.1</v>
      </c>
    </row>
    <row r="459" spans="2:10" x14ac:dyDescent="0.25">
      <c r="B459" t="s">
        <v>137</v>
      </c>
      <c r="C459" t="s">
        <v>344</v>
      </c>
      <c r="D459" t="s">
        <v>353</v>
      </c>
      <c r="E459" t="s">
        <v>49</v>
      </c>
      <c r="F459" s="3">
        <v>-0.1</v>
      </c>
      <c r="G459" s="3"/>
      <c r="H459" s="3"/>
      <c r="I459" s="3"/>
      <c r="J459" s="3">
        <v>-0.1</v>
      </c>
    </row>
    <row r="460" spans="2:10" x14ac:dyDescent="0.25">
      <c r="B460" t="s">
        <v>137</v>
      </c>
      <c r="C460" t="s">
        <v>344</v>
      </c>
      <c r="D460" t="s">
        <v>353</v>
      </c>
      <c r="E460" t="s">
        <v>50</v>
      </c>
      <c r="F460" s="3">
        <v>-0.1</v>
      </c>
      <c r="G460" s="3"/>
      <c r="H460" s="3"/>
      <c r="I460" s="3"/>
      <c r="J460" s="3">
        <v>-0.1</v>
      </c>
    </row>
    <row r="461" spans="2:10" x14ac:dyDescent="0.25">
      <c r="B461" t="s">
        <v>137</v>
      </c>
      <c r="C461" t="s">
        <v>344</v>
      </c>
      <c r="D461" t="s">
        <v>353</v>
      </c>
      <c r="E461" t="s">
        <v>51</v>
      </c>
      <c r="F461" s="3">
        <v>-0.1</v>
      </c>
      <c r="G461" s="3"/>
      <c r="H461" s="3"/>
      <c r="I461" s="3"/>
      <c r="J461" s="3">
        <v>-0.1</v>
      </c>
    </row>
    <row r="462" spans="2:10" x14ac:dyDescent="0.25">
      <c r="B462" t="s">
        <v>137</v>
      </c>
      <c r="C462" t="s">
        <v>344</v>
      </c>
      <c r="D462" t="s">
        <v>353</v>
      </c>
      <c r="E462" t="s">
        <v>196</v>
      </c>
      <c r="F462" s="3">
        <v>-0.1</v>
      </c>
      <c r="G462" s="3"/>
      <c r="H462" s="3"/>
      <c r="I462" s="3"/>
      <c r="J462" s="3">
        <v>-0.1</v>
      </c>
    </row>
    <row r="463" spans="2:10" x14ac:dyDescent="0.25">
      <c r="B463" t="s">
        <v>137</v>
      </c>
      <c r="C463" t="s">
        <v>344</v>
      </c>
      <c r="D463" t="s">
        <v>353</v>
      </c>
      <c r="E463" t="s">
        <v>197</v>
      </c>
      <c r="F463" s="3">
        <v>-0.2</v>
      </c>
      <c r="G463" s="3"/>
      <c r="H463" s="3"/>
      <c r="I463" s="3"/>
      <c r="J463" s="3">
        <v>-0.2</v>
      </c>
    </row>
    <row r="464" spans="2:10" x14ac:dyDescent="0.25">
      <c r="B464" t="s">
        <v>137</v>
      </c>
      <c r="C464" t="s">
        <v>344</v>
      </c>
      <c r="D464" t="s">
        <v>353</v>
      </c>
      <c r="E464" t="s">
        <v>198</v>
      </c>
      <c r="F464" s="3">
        <v>-0.2</v>
      </c>
      <c r="G464" s="3"/>
      <c r="H464" s="3"/>
      <c r="I464" s="3"/>
      <c r="J464" s="3">
        <v>-0.2</v>
      </c>
    </row>
    <row r="465" spans="2:10" x14ac:dyDescent="0.25">
      <c r="B465" t="s">
        <v>137</v>
      </c>
      <c r="C465" t="s">
        <v>344</v>
      </c>
      <c r="D465" t="s">
        <v>353</v>
      </c>
      <c r="E465" t="s">
        <v>199</v>
      </c>
      <c r="F465" s="3">
        <v>-0.2</v>
      </c>
      <c r="G465" s="3"/>
      <c r="H465" s="3"/>
      <c r="I465" s="3"/>
      <c r="J465" s="3">
        <v>-0.2</v>
      </c>
    </row>
    <row r="466" spans="2:10" x14ac:dyDescent="0.25">
      <c r="B466" t="s">
        <v>137</v>
      </c>
      <c r="C466" t="s">
        <v>344</v>
      </c>
      <c r="D466" t="s">
        <v>353</v>
      </c>
      <c r="E466" t="s">
        <v>200</v>
      </c>
      <c r="F466" s="3">
        <v>-0.2</v>
      </c>
      <c r="G466" s="3"/>
      <c r="H466" s="3"/>
      <c r="I466" s="3"/>
      <c r="J466" s="3">
        <v>-0.2</v>
      </c>
    </row>
    <row r="467" spans="2:10" x14ac:dyDescent="0.25">
      <c r="B467" t="s">
        <v>137</v>
      </c>
      <c r="C467" t="s">
        <v>344</v>
      </c>
      <c r="D467" t="s">
        <v>353</v>
      </c>
      <c r="E467" t="s">
        <v>240</v>
      </c>
      <c r="F467" s="3">
        <v>-0.2</v>
      </c>
      <c r="G467" s="3"/>
      <c r="H467" s="3"/>
      <c r="I467" s="3"/>
      <c r="J467" s="3">
        <v>-0.2</v>
      </c>
    </row>
    <row r="468" spans="2:10" x14ac:dyDescent="0.25">
      <c r="B468" t="s">
        <v>137</v>
      </c>
      <c r="C468" t="s">
        <v>344</v>
      </c>
      <c r="D468" t="s">
        <v>353</v>
      </c>
      <c r="E468" t="s">
        <v>301</v>
      </c>
      <c r="F468" s="3">
        <v>-0.2</v>
      </c>
      <c r="G468" s="3"/>
      <c r="H468" s="3"/>
      <c r="I468" s="3"/>
      <c r="J468" s="3">
        <v>-0.2</v>
      </c>
    </row>
    <row r="469" spans="2:10" x14ac:dyDescent="0.25">
      <c r="B469" t="s">
        <v>137</v>
      </c>
      <c r="C469" t="s">
        <v>344</v>
      </c>
      <c r="D469" t="s">
        <v>353</v>
      </c>
      <c r="E469" t="s">
        <v>302</v>
      </c>
      <c r="F469" s="3">
        <v>-0.2</v>
      </c>
      <c r="G469" s="3"/>
      <c r="H469" s="3"/>
      <c r="I469" s="3"/>
      <c r="J469" s="3">
        <v>-0.2</v>
      </c>
    </row>
    <row r="470" spans="2:10" x14ac:dyDescent="0.25">
      <c r="B470" t="s">
        <v>137</v>
      </c>
      <c r="C470" t="s">
        <v>344</v>
      </c>
      <c r="D470" t="s">
        <v>353</v>
      </c>
      <c r="E470" t="s">
        <v>303</v>
      </c>
      <c r="F470" s="3">
        <v>-0.2</v>
      </c>
      <c r="G470" s="3"/>
      <c r="H470" s="3"/>
      <c r="I470" s="3"/>
      <c r="J470" s="3">
        <v>-0.2</v>
      </c>
    </row>
    <row r="471" spans="2:10" x14ac:dyDescent="0.25">
      <c r="B471" t="s">
        <v>137</v>
      </c>
      <c r="C471" t="s">
        <v>344</v>
      </c>
      <c r="D471" t="s">
        <v>353</v>
      </c>
      <c r="E471" t="s">
        <v>304</v>
      </c>
      <c r="F471" s="3">
        <v>-0.2</v>
      </c>
      <c r="G471" s="3"/>
      <c r="H471" s="3"/>
      <c r="I471" s="3"/>
      <c r="J471" s="3">
        <v>-0.2</v>
      </c>
    </row>
    <row r="472" spans="2:10" x14ac:dyDescent="0.25">
      <c r="B472" t="s">
        <v>137</v>
      </c>
      <c r="C472" t="s">
        <v>344</v>
      </c>
      <c r="D472" t="s">
        <v>353</v>
      </c>
      <c r="E472" t="s">
        <v>305</v>
      </c>
      <c r="F472" s="3">
        <v>-0.2</v>
      </c>
      <c r="G472" s="3"/>
      <c r="H472" s="3"/>
      <c r="I472" s="3"/>
      <c r="J472" s="3">
        <v>-0.2</v>
      </c>
    </row>
    <row r="473" spans="2:10" x14ac:dyDescent="0.25">
      <c r="B473" t="s">
        <v>137</v>
      </c>
      <c r="C473" t="s">
        <v>344</v>
      </c>
      <c r="D473" t="s">
        <v>353</v>
      </c>
      <c r="E473" t="s">
        <v>306</v>
      </c>
      <c r="F473" s="3">
        <v>-0.2</v>
      </c>
      <c r="G473" s="3"/>
      <c r="H473" s="3"/>
      <c r="I473" s="3"/>
      <c r="J473" s="3">
        <v>-0.2</v>
      </c>
    </row>
    <row r="474" spans="2:10" x14ac:dyDescent="0.25">
      <c r="B474" t="s">
        <v>137</v>
      </c>
      <c r="C474" t="s">
        <v>344</v>
      </c>
      <c r="D474" t="s">
        <v>353</v>
      </c>
      <c r="E474" t="s">
        <v>307</v>
      </c>
      <c r="F474" s="3">
        <v>-0.2</v>
      </c>
      <c r="G474" s="3"/>
      <c r="H474" s="3"/>
      <c r="I474" s="3"/>
      <c r="J474" s="3">
        <v>-0.2</v>
      </c>
    </row>
    <row r="475" spans="2:10" x14ac:dyDescent="0.25">
      <c r="B475" t="s">
        <v>137</v>
      </c>
      <c r="C475" t="s">
        <v>344</v>
      </c>
      <c r="D475" t="s">
        <v>353</v>
      </c>
      <c r="E475" t="s">
        <v>308</v>
      </c>
      <c r="F475" s="3">
        <v>-0.2</v>
      </c>
      <c r="G475" s="3"/>
      <c r="H475" s="3"/>
      <c r="I475" s="3"/>
      <c r="J475" s="3">
        <v>-0.2</v>
      </c>
    </row>
    <row r="476" spans="2:10" x14ac:dyDescent="0.25">
      <c r="B476" t="s">
        <v>137</v>
      </c>
      <c r="C476" t="s">
        <v>344</v>
      </c>
      <c r="D476" t="s">
        <v>353</v>
      </c>
      <c r="E476" t="s">
        <v>309</v>
      </c>
      <c r="F476" s="3">
        <v>-0.2</v>
      </c>
      <c r="G476" s="3"/>
      <c r="H476" s="3"/>
      <c r="I476" s="3"/>
      <c r="J476" s="3">
        <v>-0.2</v>
      </c>
    </row>
    <row r="477" spans="2:10" x14ac:dyDescent="0.25">
      <c r="B477" t="s">
        <v>137</v>
      </c>
      <c r="C477" t="s">
        <v>344</v>
      </c>
      <c r="D477" t="s">
        <v>353</v>
      </c>
      <c r="E477" t="s">
        <v>310</v>
      </c>
      <c r="F477" s="3">
        <v>-0.1</v>
      </c>
      <c r="G477" s="3"/>
      <c r="H477" s="3"/>
      <c r="I477" s="3"/>
      <c r="J477" s="3">
        <v>-0.1</v>
      </c>
    </row>
    <row r="478" spans="2:10" x14ac:dyDescent="0.25">
      <c r="B478" t="s">
        <v>137</v>
      </c>
      <c r="C478" t="s">
        <v>344</v>
      </c>
      <c r="D478" t="s">
        <v>353</v>
      </c>
      <c r="E478" t="s">
        <v>311</v>
      </c>
      <c r="F478" s="3">
        <v>-0.1</v>
      </c>
      <c r="G478" s="3"/>
      <c r="H478" s="3"/>
      <c r="I478" s="3"/>
      <c r="J478" s="3">
        <v>-0.1</v>
      </c>
    </row>
    <row r="479" spans="2:10" x14ac:dyDescent="0.25">
      <c r="B479" t="s">
        <v>137</v>
      </c>
      <c r="C479" t="s">
        <v>344</v>
      </c>
      <c r="D479" t="s">
        <v>353</v>
      </c>
      <c r="E479" t="s">
        <v>312</v>
      </c>
      <c r="F479" s="3">
        <v>-0.1</v>
      </c>
      <c r="G479" s="3"/>
      <c r="H479" s="3"/>
      <c r="I479" s="3"/>
      <c r="J479" s="3">
        <v>-0.1</v>
      </c>
    </row>
    <row r="480" spans="2:10" x14ac:dyDescent="0.25">
      <c r="B480" t="s">
        <v>137</v>
      </c>
      <c r="C480" t="s">
        <v>344</v>
      </c>
      <c r="D480" t="s">
        <v>354</v>
      </c>
      <c r="E480" t="s">
        <v>46</v>
      </c>
      <c r="F480" s="3">
        <v>-0.25471698113207603</v>
      </c>
      <c r="G480" s="3"/>
      <c r="H480" s="3"/>
      <c r="I480" s="3"/>
      <c r="J480" s="3">
        <v>-0.25471698113207603</v>
      </c>
    </row>
    <row r="481" spans="2:10" x14ac:dyDescent="0.25">
      <c r="B481" t="s">
        <v>137</v>
      </c>
      <c r="C481" t="s">
        <v>344</v>
      </c>
      <c r="D481" t="s">
        <v>354</v>
      </c>
      <c r="E481" t="s">
        <v>47</v>
      </c>
      <c r="F481" s="3">
        <v>-0.25471698113207603</v>
      </c>
      <c r="G481" s="3"/>
      <c r="H481" s="3"/>
      <c r="I481" s="3"/>
      <c r="J481" s="3">
        <v>-0.25471698113207603</v>
      </c>
    </row>
    <row r="482" spans="2:10" x14ac:dyDescent="0.25">
      <c r="B482" t="s">
        <v>137</v>
      </c>
      <c r="C482" t="s">
        <v>344</v>
      </c>
      <c r="D482" t="s">
        <v>354</v>
      </c>
      <c r="E482" t="s">
        <v>48</v>
      </c>
      <c r="F482" s="3">
        <v>-0.25471698113207603</v>
      </c>
      <c r="G482" s="3"/>
      <c r="H482" s="3"/>
      <c r="I482" s="3"/>
      <c r="J482" s="3">
        <v>-0.25471698113207603</v>
      </c>
    </row>
    <row r="483" spans="2:10" x14ac:dyDescent="0.25">
      <c r="B483" t="s">
        <v>137</v>
      </c>
      <c r="C483" t="s">
        <v>344</v>
      </c>
      <c r="D483" t="s">
        <v>354</v>
      </c>
      <c r="E483" t="s">
        <v>49</v>
      </c>
      <c r="F483" s="3">
        <v>-0.25471698113207603</v>
      </c>
      <c r="G483" s="3"/>
      <c r="H483" s="3"/>
      <c r="I483" s="3"/>
      <c r="J483" s="3">
        <v>-0.25471698113207603</v>
      </c>
    </row>
    <row r="484" spans="2:10" x14ac:dyDescent="0.25">
      <c r="B484" t="s">
        <v>137</v>
      </c>
      <c r="C484" t="s">
        <v>344</v>
      </c>
      <c r="D484" t="s">
        <v>354</v>
      </c>
      <c r="E484" t="s">
        <v>50</v>
      </c>
      <c r="F484" s="3">
        <v>-0.25471698113207603</v>
      </c>
      <c r="G484" s="3"/>
      <c r="H484" s="3"/>
      <c r="I484" s="3"/>
      <c r="J484" s="3">
        <v>-0.25471698113207603</v>
      </c>
    </row>
    <row r="485" spans="2:10" x14ac:dyDescent="0.25">
      <c r="B485" t="s">
        <v>137</v>
      </c>
      <c r="C485" t="s">
        <v>344</v>
      </c>
      <c r="D485" t="s">
        <v>354</v>
      </c>
      <c r="E485" t="s">
        <v>51</v>
      </c>
      <c r="F485" s="3">
        <v>-0.25471698113207603</v>
      </c>
      <c r="G485" s="3"/>
      <c r="H485" s="3"/>
      <c r="I485" s="3"/>
      <c r="J485" s="3">
        <v>-0.25471698113207603</v>
      </c>
    </row>
    <row r="486" spans="2:10" x14ac:dyDescent="0.25">
      <c r="B486" t="s">
        <v>137</v>
      </c>
      <c r="C486" t="s">
        <v>344</v>
      </c>
      <c r="D486" t="s">
        <v>354</v>
      </c>
      <c r="E486" t="s">
        <v>196</v>
      </c>
      <c r="F486" s="3">
        <v>-0.25471698113207603</v>
      </c>
      <c r="G486" s="3"/>
      <c r="H486" s="3"/>
      <c r="I486" s="3"/>
      <c r="J486" s="3">
        <v>-0.25471698113207603</v>
      </c>
    </row>
    <row r="487" spans="2:10" x14ac:dyDescent="0.25">
      <c r="B487" t="s">
        <v>137</v>
      </c>
      <c r="C487" t="s">
        <v>344</v>
      </c>
      <c r="D487" t="s">
        <v>354</v>
      </c>
      <c r="E487" t="s">
        <v>197</v>
      </c>
      <c r="F487" s="3">
        <v>-0.50943396226415205</v>
      </c>
      <c r="G487" s="3"/>
      <c r="H487" s="3"/>
      <c r="I487" s="3"/>
      <c r="J487" s="3">
        <v>-0.50943396226415205</v>
      </c>
    </row>
    <row r="488" spans="2:10" x14ac:dyDescent="0.25">
      <c r="B488" t="s">
        <v>137</v>
      </c>
      <c r="C488" t="s">
        <v>344</v>
      </c>
      <c r="D488" t="s">
        <v>354</v>
      </c>
      <c r="E488" t="s">
        <v>198</v>
      </c>
      <c r="F488" s="3">
        <v>-0.50943396226415205</v>
      </c>
      <c r="G488" s="3"/>
      <c r="H488" s="3"/>
      <c r="I488" s="3"/>
      <c r="J488" s="3">
        <v>-0.50943396226415205</v>
      </c>
    </row>
    <row r="489" spans="2:10" x14ac:dyDescent="0.25">
      <c r="B489" t="s">
        <v>137</v>
      </c>
      <c r="C489" t="s">
        <v>344</v>
      </c>
      <c r="D489" t="s">
        <v>354</v>
      </c>
      <c r="E489" t="s">
        <v>199</v>
      </c>
      <c r="F489" s="3">
        <v>-0.50943396226415205</v>
      </c>
      <c r="G489" s="3"/>
      <c r="H489" s="3"/>
      <c r="I489" s="3"/>
      <c r="J489" s="3">
        <v>-0.50943396226415205</v>
      </c>
    </row>
    <row r="490" spans="2:10" x14ac:dyDescent="0.25">
      <c r="B490" t="s">
        <v>137</v>
      </c>
      <c r="C490" t="s">
        <v>344</v>
      </c>
      <c r="D490" t="s">
        <v>354</v>
      </c>
      <c r="E490" t="s">
        <v>200</v>
      </c>
      <c r="F490" s="3">
        <v>-0.50943396226415205</v>
      </c>
      <c r="G490" s="3"/>
      <c r="H490" s="3"/>
      <c r="I490" s="3"/>
      <c r="J490" s="3">
        <v>-0.50943396226415205</v>
      </c>
    </row>
    <row r="491" spans="2:10" x14ac:dyDescent="0.25">
      <c r="B491" t="s">
        <v>137</v>
      </c>
      <c r="C491" t="s">
        <v>344</v>
      </c>
      <c r="D491" t="s">
        <v>354</v>
      </c>
      <c r="E491" t="s">
        <v>240</v>
      </c>
      <c r="F491" s="3">
        <v>-0.50943396226415205</v>
      </c>
      <c r="G491" s="3"/>
      <c r="H491" s="3"/>
      <c r="I491" s="3"/>
      <c r="J491" s="3">
        <v>-0.50943396226415205</v>
      </c>
    </row>
    <row r="492" spans="2:10" x14ac:dyDescent="0.25">
      <c r="B492" t="s">
        <v>137</v>
      </c>
      <c r="C492" t="s">
        <v>344</v>
      </c>
      <c r="D492" t="s">
        <v>354</v>
      </c>
      <c r="E492" t="s">
        <v>301</v>
      </c>
      <c r="F492" s="3">
        <v>-0.50943396226415205</v>
      </c>
      <c r="G492" s="3"/>
      <c r="H492" s="3"/>
      <c r="I492" s="3"/>
      <c r="J492" s="3">
        <v>-0.50943396226415205</v>
      </c>
    </row>
    <row r="493" spans="2:10" x14ac:dyDescent="0.25">
      <c r="B493" t="s">
        <v>137</v>
      </c>
      <c r="C493" t="s">
        <v>344</v>
      </c>
      <c r="D493" t="s">
        <v>354</v>
      </c>
      <c r="E493" t="s">
        <v>302</v>
      </c>
      <c r="F493" s="3">
        <v>-0.50943396226415205</v>
      </c>
      <c r="G493" s="3"/>
      <c r="H493" s="3"/>
      <c r="I493" s="3"/>
      <c r="J493" s="3">
        <v>-0.50943396226415205</v>
      </c>
    </row>
    <row r="494" spans="2:10" x14ac:dyDescent="0.25">
      <c r="B494" t="s">
        <v>137</v>
      </c>
      <c r="C494" t="s">
        <v>344</v>
      </c>
      <c r="D494" t="s">
        <v>354</v>
      </c>
      <c r="E494" t="s">
        <v>303</v>
      </c>
      <c r="F494" s="3">
        <v>-0.50943396226415205</v>
      </c>
      <c r="G494" s="3"/>
      <c r="H494" s="3"/>
      <c r="I494" s="3"/>
      <c r="J494" s="3">
        <v>-0.50943396226415205</v>
      </c>
    </row>
    <row r="495" spans="2:10" x14ac:dyDescent="0.25">
      <c r="B495" t="s">
        <v>137</v>
      </c>
      <c r="C495" t="s">
        <v>344</v>
      </c>
      <c r="D495" t="s">
        <v>354</v>
      </c>
      <c r="E495" t="s">
        <v>304</v>
      </c>
      <c r="F495" s="3">
        <v>-0.50943396226415205</v>
      </c>
      <c r="G495" s="3"/>
      <c r="H495" s="3"/>
      <c r="I495" s="3"/>
      <c r="J495" s="3">
        <v>-0.50943396226415205</v>
      </c>
    </row>
    <row r="496" spans="2:10" x14ac:dyDescent="0.25">
      <c r="B496" t="s">
        <v>137</v>
      </c>
      <c r="C496" t="s">
        <v>344</v>
      </c>
      <c r="D496" t="s">
        <v>354</v>
      </c>
      <c r="E496" t="s">
        <v>305</v>
      </c>
      <c r="F496" s="3">
        <v>-0.50943396226415205</v>
      </c>
      <c r="G496" s="3"/>
      <c r="H496" s="3"/>
      <c r="I496" s="3"/>
      <c r="J496" s="3">
        <v>-0.50943396226415205</v>
      </c>
    </row>
    <row r="497" spans="2:10" x14ac:dyDescent="0.25">
      <c r="B497" t="s">
        <v>137</v>
      </c>
      <c r="C497" t="s">
        <v>344</v>
      </c>
      <c r="D497" t="s">
        <v>354</v>
      </c>
      <c r="E497" t="s">
        <v>306</v>
      </c>
      <c r="F497" s="3">
        <v>-0.50943396226415205</v>
      </c>
      <c r="G497" s="3"/>
      <c r="H497" s="3"/>
      <c r="I497" s="3"/>
      <c r="J497" s="3">
        <v>-0.50943396226415205</v>
      </c>
    </row>
    <row r="498" spans="2:10" x14ac:dyDescent="0.25">
      <c r="B498" t="s">
        <v>137</v>
      </c>
      <c r="C498" t="s">
        <v>344</v>
      </c>
      <c r="D498" t="s">
        <v>354</v>
      </c>
      <c r="E498" t="s">
        <v>307</v>
      </c>
      <c r="F498" s="3">
        <v>-0.50943396226415205</v>
      </c>
      <c r="G498" s="3"/>
      <c r="H498" s="3"/>
      <c r="I498" s="3"/>
      <c r="J498" s="3">
        <v>-0.50943396226415205</v>
      </c>
    </row>
    <row r="499" spans="2:10" x14ac:dyDescent="0.25">
      <c r="B499" t="s">
        <v>137</v>
      </c>
      <c r="C499" t="s">
        <v>344</v>
      </c>
      <c r="D499" t="s">
        <v>354</v>
      </c>
      <c r="E499" t="s">
        <v>308</v>
      </c>
      <c r="F499" s="3">
        <v>-0.50943396226415205</v>
      </c>
      <c r="G499" s="3"/>
      <c r="H499" s="3"/>
      <c r="I499" s="3"/>
      <c r="J499" s="3">
        <v>-0.50943396226415205</v>
      </c>
    </row>
    <row r="500" spans="2:10" x14ac:dyDescent="0.25">
      <c r="B500" t="s">
        <v>137</v>
      </c>
      <c r="C500" t="s">
        <v>344</v>
      </c>
      <c r="D500" t="s">
        <v>354</v>
      </c>
      <c r="E500" t="s">
        <v>309</v>
      </c>
      <c r="F500" s="3">
        <v>-0.50943396226415205</v>
      </c>
      <c r="G500" s="3"/>
      <c r="H500" s="3"/>
      <c r="I500" s="3"/>
      <c r="J500" s="3">
        <v>-0.50943396226415205</v>
      </c>
    </row>
    <row r="501" spans="2:10" x14ac:dyDescent="0.25">
      <c r="B501" t="s">
        <v>137</v>
      </c>
      <c r="C501" t="s">
        <v>344</v>
      </c>
      <c r="D501" t="s">
        <v>354</v>
      </c>
      <c r="E501" t="s">
        <v>310</v>
      </c>
      <c r="F501" s="3">
        <v>-0.25471698113207603</v>
      </c>
      <c r="G501" s="3"/>
      <c r="H501" s="3"/>
      <c r="I501" s="3"/>
      <c r="J501" s="3">
        <v>-0.25471698113207603</v>
      </c>
    </row>
    <row r="502" spans="2:10" x14ac:dyDescent="0.25">
      <c r="B502" t="s">
        <v>137</v>
      </c>
      <c r="C502" t="s">
        <v>344</v>
      </c>
      <c r="D502" t="s">
        <v>354</v>
      </c>
      <c r="E502" t="s">
        <v>311</v>
      </c>
      <c r="F502" s="3">
        <v>-0.25471698113207603</v>
      </c>
      <c r="G502" s="3"/>
      <c r="H502" s="3"/>
      <c r="I502" s="3"/>
      <c r="J502" s="3">
        <v>-0.25471698113207603</v>
      </c>
    </row>
    <row r="503" spans="2:10" x14ac:dyDescent="0.25">
      <c r="B503" t="s">
        <v>137</v>
      </c>
      <c r="C503" t="s">
        <v>344</v>
      </c>
      <c r="D503" t="s">
        <v>354</v>
      </c>
      <c r="E503" t="s">
        <v>312</v>
      </c>
      <c r="F503" s="3">
        <v>-0.25471698113207603</v>
      </c>
      <c r="G503" s="3"/>
      <c r="H503" s="3"/>
      <c r="I503" s="3"/>
      <c r="J503" s="3">
        <v>-0.25471698113207603</v>
      </c>
    </row>
    <row r="504" spans="2:10" x14ac:dyDescent="0.25">
      <c r="B504" t="s">
        <v>137</v>
      </c>
      <c r="C504" t="s">
        <v>344</v>
      </c>
      <c r="D504" t="s">
        <v>355</v>
      </c>
      <c r="E504" t="s">
        <v>46</v>
      </c>
      <c r="F504" s="3">
        <v>-0.05</v>
      </c>
      <c r="G504" s="3"/>
      <c r="H504" s="3"/>
      <c r="I504" s="3"/>
      <c r="J504" s="3">
        <v>-0.05</v>
      </c>
    </row>
    <row r="505" spans="2:10" x14ac:dyDescent="0.25">
      <c r="B505" t="s">
        <v>137</v>
      </c>
      <c r="C505" t="s">
        <v>344</v>
      </c>
      <c r="D505" t="s">
        <v>355</v>
      </c>
      <c r="E505" t="s">
        <v>47</v>
      </c>
      <c r="F505" s="3">
        <v>-0.05</v>
      </c>
      <c r="G505" s="3"/>
      <c r="H505" s="3"/>
      <c r="I505" s="3"/>
      <c r="J505" s="3">
        <v>-0.05</v>
      </c>
    </row>
    <row r="506" spans="2:10" x14ac:dyDescent="0.25">
      <c r="B506" t="s">
        <v>137</v>
      </c>
      <c r="C506" t="s">
        <v>344</v>
      </c>
      <c r="D506" t="s">
        <v>355</v>
      </c>
      <c r="E506" t="s">
        <v>48</v>
      </c>
      <c r="F506" s="3">
        <v>-0.05</v>
      </c>
      <c r="G506" s="3"/>
      <c r="H506" s="3"/>
      <c r="I506" s="3"/>
      <c r="J506" s="3">
        <v>-0.05</v>
      </c>
    </row>
    <row r="507" spans="2:10" x14ac:dyDescent="0.25">
      <c r="B507" t="s">
        <v>137</v>
      </c>
      <c r="C507" t="s">
        <v>344</v>
      </c>
      <c r="D507" t="s">
        <v>355</v>
      </c>
      <c r="E507" t="s">
        <v>49</v>
      </c>
      <c r="F507" s="3">
        <v>-0.05</v>
      </c>
      <c r="G507" s="3"/>
      <c r="H507" s="3"/>
      <c r="I507" s="3"/>
      <c r="J507" s="3">
        <v>-0.05</v>
      </c>
    </row>
    <row r="508" spans="2:10" x14ac:dyDescent="0.25">
      <c r="B508" t="s">
        <v>137</v>
      </c>
      <c r="C508" t="s">
        <v>344</v>
      </c>
      <c r="D508" t="s">
        <v>355</v>
      </c>
      <c r="E508" t="s">
        <v>50</v>
      </c>
      <c r="F508" s="3">
        <v>-0.05</v>
      </c>
      <c r="G508" s="3"/>
      <c r="H508" s="3"/>
      <c r="I508" s="3"/>
      <c r="J508" s="3">
        <v>-0.05</v>
      </c>
    </row>
    <row r="509" spans="2:10" x14ac:dyDescent="0.25">
      <c r="B509" t="s">
        <v>137</v>
      </c>
      <c r="C509" t="s">
        <v>344</v>
      </c>
      <c r="D509" t="s">
        <v>355</v>
      </c>
      <c r="E509" t="s">
        <v>51</v>
      </c>
      <c r="F509" s="3">
        <v>-0.05</v>
      </c>
      <c r="G509" s="3"/>
      <c r="H509" s="3"/>
      <c r="I509" s="3"/>
      <c r="J509" s="3">
        <v>-0.05</v>
      </c>
    </row>
    <row r="510" spans="2:10" x14ac:dyDescent="0.25">
      <c r="B510" t="s">
        <v>137</v>
      </c>
      <c r="C510" t="s">
        <v>344</v>
      </c>
      <c r="D510" t="s">
        <v>355</v>
      </c>
      <c r="E510" t="s">
        <v>196</v>
      </c>
      <c r="F510" s="3">
        <v>-0.05</v>
      </c>
      <c r="G510" s="3"/>
      <c r="H510" s="3"/>
      <c r="I510" s="3"/>
      <c r="J510" s="3">
        <v>-0.05</v>
      </c>
    </row>
    <row r="511" spans="2:10" x14ac:dyDescent="0.25">
      <c r="B511" t="s">
        <v>137</v>
      </c>
      <c r="C511" t="s">
        <v>344</v>
      </c>
      <c r="D511" t="s">
        <v>355</v>
      </c>
      <c r="E511" t="s">
        <v>197</v>
      </c>
      <c r="F511" s="3">
        <v>-0.1</v>
      </c>
      <c r="G511" s="3"/>
      <c r="H511" s="3"/>
      <c r="I511" s="3"/>
      <c r="J511" s="3">
        <v>-0.1</v>
      </c>
    </row>
    <row r="512" spans="2:10" x14ac:dyDescent="0.25">
      <c r="B512" t="s">
        <v>137</v>
      </c>
      <c r="C512" t="s">
        <v>344</v>
      </c>
      <c r="D512" t="s">
        <v>355</v>
      </c>
      <c r="E512" t="s">
        <v>198</v>
      </c>
      <c r="F512" s="3">
        <v>-0.1</v>
      </c>
      <c r="G512" s="3"/>
      <c r="H512" s="3"/>
      <c r="I512" s="3"/>
      <c r="J512" s="3">
        <v>-0.1</v>
      </c>
    </row>
    <row r="513" spans="2:10" x14ac:dyDescent="0.25">
      <c r="B513" t="s">
        <v>137</v>
      </c>
      <c r="C513" t="s">
        <v>344</v>
      </c>
      <c r="D513" t="s">
        <v>355</v>
      </c>
      <c r="E513" t="s">
        <v>199</v>
      </c>
      <c r="F513" s="3">
        <v>-0.1</v>
      </c>
      <c r="G513" s="3"/>
      <c r="H513" s="3"/>
      <c r="I513" s="3"/>
      <c r="J513" s="3">
        <v>-0.1</v>
      </c>
    </row>
    <row r="514" spans="2:10" x14ac:dyDescent="0.25">
      <c r="B514" t="s">
        <v>137</v>
      </c>
      <c r="C514" t="s">
        <v>344</v>
      </c>
      <c r="D514" t="s">
        <v>355</v>
      </c>
      <c r="E514" t="s">
        <v>200</v>
      </c>
      <c r="F514" s="3">
        <v>-0.1</v>
      </c>
      <c r="G514" s="3"/>
      <c r="H514" s="3"/>
      <c r="I514" s="3"/>
      <c r="J514" s="3">
        <v>-0.1</v>
      </c>
    </row>
    <row r="515" spans="2:10" x14ac:dyDescent="0.25">
      <c r="B515" t="s">
        <v>137</v>
      </c>
      <c r="C515" t="s">
        <v>344</v>
      </c>
      <c r="D515" t="s">
        <v>355</v>
      </c>
      <c r="E515" t="s">
        <v>240</v>
      </c>
      <c r="F515" s="3">
        <v>-0.1</v>
      </c>
      <c r="G515" s="3"/>
      <c r="H515" s="3"/>
      <c r="I515" s="3"/>
      <c r="J515" s="3">
        <v>-0.1</v>
      </c>
    </row>
    <row r="516" spans="2:10" x14ac:dyDescent="0.25">
      <c r="B516" t="s">
        <v>137</v>
      </c>
      <c r="C516" t="s">
        <v>344</v>
      </c>
      <c r="D516" t="s">
        <v>355</v>
      </c>
      <c r="E516" t="s">
        <v>301</v>
      </c>
      <c r="F516" s="3">
        <v>-0.1</v>
      </c>
      <c r="G516" s="3"/>
      <c r="H516" s="3"/>
      <c r="I516" s="3"/>
      <c r="J516" s="3">
        <v>-0.1</v>
      </c>
    </row>
    <row r="517" spans="2:10" x14ac:dyDescent="0.25">
      <c r="B517" t="s">
        <v>137</v>
      </c>
      <c r="C517" t="s">
        <v>344</v>
      </c>
      <c r="D517" t="s">
        <v>355</v>
      </c>
      <c r="E517" t="s">
        <v>302</v>
      </c>
      <c r="F517" s="3">
        <v>-0.1</v>
      </c>
      <c r="G517" s="3"/>
      <c r="H517" s="3"/>
      <c r="I517" s="3"/>
      <c r="J517" s="3">
        <v>-0.1</v>
      </c>
    </row>
    <row r="518" spans="2:10" x14ac:dyDescent="0.25">
      <c r="B518" t="s">
        <v>137</v>
      </c>
      <c r="C518" t="s">
        <v>344</v>
      </c>
      <c r="D518" t="s">
        <v>355</v>
      </c>
      <c r="E518" t="s">
        <v>303</v>
      </c>
      <c r="F518" s="3">
        <v>-0.1</v>
      </c>
      <c r="G518" s="3"/>
      <c r="H518" s="3"/>
      <c r="I518" s="3"/>
      <c r="J518" s="3">
        <v>-0.1</v>
      </c>
    </row>
    <row r="519" spans="2:10" x14ac:dyDescent="0.25">
      <c r="B519" t="s">
        <v>137</v>
      </c>
      <c r="C519" t="s">
        <v>344</v>
      </c>
      <c r="D519" t="s">
        <v>355</v>
      </c>
      <c r="E519" t="s">
        <v>304</v>
      </c>
      <c r="F519" s="3">
        <v>-0.1</v>
      </c>
      <c r="G519" s="3"/>
      <c r="H519" s="3"/>
      <c r="I519" s="3"/>
      <c r="J519" s="3">
        <v>-0.1</v>
      </c>
    </row>
    <row r="520" spans="2:10" x14ac:dyDescent="0.25">
      <c r="B520" t="s">
        <v>137</v>
      </c>
      <c r="C520" t="s">
        <v>344</v>
      </c>
      <c r="D520" t="s">
        <v>355</v>
      </c>
      <c r="E520" t="s">
        <v>305</v>
      </c>
      <c r="F520" s="3">
        <v>-0.1</v>
      </c>
      <c r="G520" s="3"/>
      <c r="H520" s="3"/>
      <c r="I520" s="3"/>
      <c r="J520" s="3">
        <v>-0.1</v>
      </c>
    </row>
    <row r="521" spans="2:10" x14ac:dyDescent="0.25">
      <c r="B521" t="s">
        <v>137</v>
      </c>
      <c r="C521" t="s">
        <v>344</v>
      </c>
      <c r="D521" t="s">
        <v>355</v>
      </c>
      <c r="E521" t="s">
        <v>306</v>
      </c>
      <c r="F521" s="3">
        <v>-0.1</v>
      </c>
      <c r="G521" s="3"/>
      <c r="H521" s="3"/>
      <c r="I521" s="3"/>
      <c r="J521" s="3">
        <v>-0.1</v>
      </c>
    </row>
    <row r="522" spans="2:10" x14ac:dyDescent="0.25">
      <c r="B522" t="s">
        <v>137</v>
      </c>
      <c r="C522" t="s">
        <v>344</v>
      </c>
      <c r="D522" t="s">
        <v>355</v>
      </c>
      <c r="E522" t="s">
        <v>307</v>
      </c>
      <c r="F522" s="3">
        <v>-0.1</v>
      </c>
      <c r="G522" s="3"/>
      <c r="H522" s="3"/>
      <c r="I522" s="3"/>
      <c r="J522" s="3">
        <v>-0.1</v>
      </c>
    </row>
    <row r="523" spans="2:10" x14ac:dyDescent="0.25">
      <c r="B523" t="s">
        <v>137</v>
      </c>
      <c r="C523" t="s">
        <v>344</v>
      </c>
      <c r="D523" t="s">
        <v>355</v>
      </c>
      <c r="E523" t="s">
        <v>308</v>
      </c>
      <c r="F523" s="3">
        <v>-0.1</v>
      </c>
      <c r="G523" s="3"/>
      <c r="H523" s="3"/>
      <c r="I523" s="3"/>
      <c r="J523" s="3">
        <v>-0.1</v>
      </c>
    </row>
    <row r="524" spans="2:10" x14ac:dyDescent="0.25">
      <c r="B524" t="s">
        <v>137</v>
      </c>
      <c r="C524" t="s">
        <v>344</v>
      </c>
      <c r="D524" t="s">
        <v>355</v>
      </c>
      <c r="E524" t="s">
        <v>309</v>
      </c>
      <c r="F524" s="3">
        <v>-0.1</v>
      </c>
      <c r="G524" s="3"/>
      <c r="H524" s="3"/>
      <c r="I524" s="3"/>
      <c r="J524" s="3">
        <v>-0.1</v>
      </c>
    </row>
    <row r="525" spans="2:10" x14ac:dyDescent="0.25">
      <c r="B525" t="s">
        <v>137</v>
      </c>
      <c r="C525" t="s">
        <v>344</v>
      </c>
      <c r="D525" t="s">
        <v>355</v>
      </c>
      <c r="E525" t="s">
        <v>310</v>
      </c>
      <c r="F525" s="3">
        <v>-0.05</v>
      </c>
      <c r="G525" s="3"/>
      <c r="H525" s="3"/>
      <c r="I525" s="3"/>
      <c r="J525" s="3">
        <v>-0.05</v>
      </c>
    </row>
    <row r="526" spans="2:10" x14ac:dyDescent="0.25">
      <c r="B526" t="s">
        <v>137</v>
      </c>
      <c r="C526" t="s">
        <v>344</v>
      </c>
      <c r="D526" t="s">
        <v>355</v>
      </c>
      <c r="E526" t="s">
        <v>311</v>
      </c>
      <c r="F526" s="3">
        <v>-0.05</v>
      </c>
      <c r="G526" s="3"/>
      <c r="H526" s="3"/>
      <c r="I526" s="3"/>
      <c r="J526" s="3">
        <v>-0.05</v>
      </c>
    </row>
    <row r="527" spans="2:10" x14ac:dyDescent="0.25">
      <c r="B527" t="s">
        <v>137</v>
      </c>
      <c r="C527" t="s">
        <v>344</v>
      </c>
      <c r="D527" t="s">
        <v>355</v>
      </c>
      <c r="E527" t="s">
        <v>312</v>
      </c>
      <c r="F527" s="3">
        <v>-0.05</v>
      </c>
      <c r="G527" s="3"/>
      <c r="H527" s="3"/>
      <c r="I527" s="3"/>
      <c r="J527" s="3">
        <v>-0.05</v>
      </c>
    </row>
    <row r="528" spans="2:10" x14ac:dyDescent="0.25">
      <c r="B528" t="s">
        <v>137</v>
      </c>
      <c r="C528" t="s">
        <v>344</v>
      </c>
      <c r="D528" t="s">
        <v>356</v>
      </c>
      <c r="E528" t="s">
        <v>46</v>
      </c>
      <c r="F528" s="3"/>
      <c r="G528" s="3"/>
      <c r="H528" s="3">
        <v>-11.48148148148147</v>
      </c>
      <c r="I528" s="3">
        <v>-2.4444444444444402</v>
      </c>
      <c r="J528" s="3">
        <v>-13.92592592592591</v>
      </c>
    </row>
    <row r="529" spans="2:10" x14ac:dyDescent="0.25">
      <c r="B529" t="s">
        <v>137</v>
      </c>
      <c r="C529" t="s">
        <v>344</v>
      </c>
      <c r="D529" t="s">
        <v>356</v>
      </c>
      <c r="E529" t="s">
        <v>47</v>
      </c>
      <c r="F529" s="3"/>
      <c r="G529" s="3"/>
      <c r="H529" s="3">
        <v>-11.48148148148147</v>
      </c>
      <c r="I529" s="3">
        <v>-2.4444444444444402</v>
      </c>
      <c r="J529" s="3">
        <v>-13.92592592592591</v>
      </c>
    </row>
    <row r="530" spans="2:10" x14ac:dyDescent="0.25">
      <c r="B530" t="s">
        <v>137</v>
      </c>
      <c r="C530" t="s">
        <v>344</v>
      </c>
      <c r="D530" t="s">
        <v>356</v>
      </c>
      <c r="E530" t="s">
        <v>48</v>
      </c>
      <c r="F530" s="3"/>
      <c r="G530" s="3"/>
      <c r="H530" s="3">
        <v>-11.48148148148147</v>
      </c>
      <c r="I530" s="3">
        <v>-2.4444444444444402</v>
      </c>
      <c r="J530" s="3">
        <v>-13.92592592592591</v>
      </c>
    </row>
    <row r="531" spans="2:10" x14ac:dyDescent="0.25">
      <c r="B531" t="s">
        <v>137</v>
      </c>
      <c r="C531" t="s">
        <v>344</v>
      </c>
      <c r="D531" t="s">
        <v>356</v>
      </c>
      <c r="E531" t="s">
        <v>49</v>
      </c>
      <c r="F531" s="3"/>
      <c r="G531" s="3"/>
      <c r="H531" s="3">
        <v>-9.0705316219645997</v>
      </c>
      <c r="I531" s="3">
        <v>-2.4444444444444402</v>
      </c>
      <c r="J531" s="3">
        <v>-11.514976066409041</v>
      </c>
    </row>
    <row r="532" spans="2:10" x14ac:dyDescent="0.25">
      <c r="B532" t="s">
        <v>137</v>
      </c>
      <c r="C532" t="s">
        <v>344</v>
      </c>
      <c r="D532" t="s">
        <v>356</v>
      </c>
      <c r="E532" t="s">
        <v>50</v>
      </c>
      <c r="F532" s="3"/>
      <c r="G532" s="3"/>
      <c r="H532" s="3">
        <v>-11.552309866932186</v>
      </c>
      <c r="I532" s="3">
        <v>-2.4444444444444402</v>
      </c>
      <c r="J532" s="3">
        <v>-13.996754311376627</v>
      </c>
    </row>
    <row r="533" spans="2:10" x14ac:dyDescent="0.25">
      <c r="B533" t="s">
        <v>137</v>
      </c>
      <c r="C533" t="s">
        <v>344</v>
      </c>
      <c r="D533" t="s">
        <v>356</v>
      </c>
      <c r="E533" t="s">
        <v>51</v>
      </c>
      <c r="F533" s="3"/>
      <c r="G533" s="3"/>
      <c r="H533" s="3">
        <v>-18.57308375375337</v>
      </c>
      <c r="I533" s="3">
        <v>-2.4444444444444402</v>
      </c>
      <c r="J533" s="3">
        <v>-21.017528198197809</v>
      </c>
    </row>
    <row r="534" spans="2:10" x14ac:dyDescent="0.25">
      <c r="B534" t="s">
        <v>137</v>
      </c>
      <c r="C534" t="s">
        <v>344</v>
      </c>
      <c r="D534" t="s">
        <v>356</v>
      </c>
      <c r="E534" t="s">
        <v>196</v>
      </c>
      <c r="F534" s="3"/>
      <c r="G534" s="3"/>
      <c r="H534" s="3">
        <v>-30.19937539625888</v>
      </c>
      <c r="I534" s="3">
        <v>-2.4444444444444402</v>
      </c>
      <c r="J534" s="3">
        <v>-32.643819840703323</v>
      </c>
    </row>
    <row r="535" spans="2:10" x14ac:dyDescent="0.25">
      <c r="B535" t="s">
        <v>137</v>
      </c>
      <c r="C535" t="s">
        <v>344</v>
      </c>
      <c r="D535" t="s">
        <v>356</v>
      </c>
      <c r="E535" t="s">
        <v>197</v>
      </c>
      <c r="F535" s="3"/>
      <c r="G535" s="3"/>
      <c r="H535" s="3">
        <v>-37.11879405706847</v>
      </c>
      <c r="I535" s="3">
        <v>-2.4444444444444402</v>
      </c>
      <c r="J535" s="3">
        <v>-39.563238501512913</v>
      </c>
    </row>
    <row r="536" spans="2:10" x14ac:dyDescent="0.25">
      <c r="B536" t="s">
        <v>137</v>
      </c>
      <c r="C536" t="s">
        <v>344</v>
      </c>
      <c r="D536" t="s">
        <v>356</v>
      </c>
      <c r="E536" t="s">
        <v>198</v>
      </c>
      <c r="F536" s="3"/>
      <c r="G536" s="3"/>
      <c r="H536" s="3">
        <v>-38.107201299529464</v>
      </c>
      <c r="I536" s="3">
        <v>-2.4444444444444402</v>
      </c>
      <c r="J536" s="3">
        <v>-40.551645743973907</v>
      </c>
    </row>
    <row r="537" spans="2:10" x14ac:dyDescent="0.25">
      <c r="B537" t="s">
        <v>137</v>
      </c>
      <c r="C537" t="s">
        <v>344</v>
      </c>
      <c r="D537" t="s">
        <v>356</v>
      </c>
      <c r="E537" t="s">
        <v>199</v>
      </c>
      <c r="F537" s="3"/>
      <c r="G537" s="3"/>
      <c r="H537" s="3">
        <v>-35.606284368434771</v>
      </c>
      <c r="I537" s="3">
        <v>-2.4444444444444402</v>
      </c>
      <c r="J537" s="3">
        <v>-38.050728812879214</v>
      </c>
    </row>
    <row r="538" spans="2:10" x14ac:dyDescent="0.25">
      <c r="B538" t="s">
        <v>137</v>
      </c>
      <c r="C538" t="s">
        <v>344</v>
      </c>
      <c r="D538" t="s">
        <v>356</v>
      </c>
      <c r="E538" t="s">
        <v>200</v>
      </c>
      <c r="F538" s="3"/>
      <c r="G538" s="3"/>
      <c r="H538" s="3">
        <v>-32.736977866384663</v>
      </c>
      <c r="I538" s="3">
        <v>-2.4444444444444402</v>
      </c>
      <c r="J538" s="3">
        <v>-35.181422310829106</v>
      </c>
    </row>
    <row r="539" spans="2:10" x14ac:dyDescent="0.25">
      <c r="B539" t="s">
        <v>137</v>
      </c>
      <c r="C539" t="s">
        <v>344</v>
      </c>
      <c r="D539" t="s">
        <v>356</v>
      </c>
      <c r="E539" t="s">
        <v>240</v>
      </c>
      <c r="F539" s="3"/>
      <c r="G539" s="3"/>
      <c r="H539" s="3">
        <v>-28.46190084958257</v>
      </c>
      <c r="I539" s="3">
        <v>-2.4444444444444402</v>
      </c>
      <c r="J539" s="3">
        <v>-30.906345294027009</v>
      </c>
    </row>
    <row r="540" spans="2:10" x14ac:dyDescent="0.25">
      <c r="B540" t="s">
        <v>137</v>
      </c>
      <c r="C540" t="s">
        <v>344</v>
      </c>
      <c r="D540" t="s">
        <v>356</v>
      </c>
      <c r="E540" t="s">
        <v>301</v>
      </c>
      <c r="F540" s="3"/>
      <c r="G540" s="3"/>
      <c r="H540" s="3">
        <v>-22.305097986071448</v>
      </c>
      <c r="I540" s="3">
        <v>-2.4444444444444402</v>
      </c>
      <c r="J540" s="3">
        <v>-24.749542430515888</v>
      </c>
    </row>
    <row r="541" spans="2:10" x14ac:dyDescent="0.25">
      <c r="B541" t="s">
        <v>137</v>
      </c>
      <c r="C541" t="s">
        <v>344</v>
      </c>
      <c r="D541" t="s">
        <v>356</v>
      </c>
      <c r="E541" t="s">
        <v>302</v>
      </c>
      <c r="F541" s="3"/>
      <c r="G541" s="3"/>
      <c r="H541" s="3">
        <v>-18.122996226438861</v>
      </c>
      <c r="I541" s="3">
        <v>-2.4444444444444402</v>
      </c>
      <c r="J541" s="3">
        <v>-20.5674406708833</v>
      </c>
    </row>
    <row r="542" spans="2:10" x14ac:dyDescent="0.25">
      <c r="B542" t="s">
        <v>137</v>
      </c>
      <c r="C542" t="s">
        <v>344</v>
      </c>
      <c r="D542" t="s">
        <v>356</v>
      </c>
      <c r="E542" t="s">
        <v>303</v>
      </c>
      <c r="F542" s="3"/>
      <c r="G542" s="3"/>
      <c r="H542" s="3">
        <v>-13.035006742712705</v>
      </c>
      <c r="I542" s="3">
        <v>-2.4444444444444402</v>
      </c>
      <c r="J542" s="3">
        <v>-15.479451187157146</v>
      </c>
    </row>
    <row r="543" spans="2:10" x14ac:dyDescent="0.25">
      <c r="B543" t="s">
        <v>137</v>
      </c>
      <c r="C543" t="s">
        <v>344</v>
      </c>
      <c r="D543" t="s">
        <v>356</v>
      </c>
      <c r="E543" t="s">
        <v>304</v>
      </c>
      <c r="F543" s="3"/>
      <c r="G543" s="3"/>
      <c r="H543" s="3">
        <v>-11.48148148148147</v>
      </c>
      <c r="I543" s="3">
        <v>-2.4444444444444402</v>
      </c>
      <c r="J543" s="3">
        <v>-13.92592592592591</v>
      </c>
    </row>
    <row r="544" spans="2:10" x14ac:dyDescent="0.25">
      <c r="B544" t="s">
        <v>137</v>
      </c>
      <c r="C544" t="s">
        <v>344</v>
      </c>
      <c r="D544" t="s">
        <v>356</v>
      </c>
      <c r="E544" t="s">
        <v>305</v>
      </c>
      <c r="F544" s="3"/>
      <c r="G544" s="3"/>
      <c r="H544" s="3">
        <v>-11.48148148148147</v>
      </c>
      <c r="I544" s="3">
        <v>-2.4444444444444402</v>
      </c>
      <c r="J544" s="3">
        <v>-13.92592592592591</v>
      </c>
    </row>
    <row r="545" spans="2:10" x14ac:dyDescent="0.25">
      <c r="B545" t="s">
        <v>137</v>
      </c>
      <c r="C545" t="s">
        <v>344</v>
      </c>
      <c r="D545" t="s">
        <v>356</v>
      </c>
      <c r="E545" t="s">
        <v>306</v>
      </c>
      <c r="F545" s="3"/>
      <c r="G545" s="3"/>
      <c r="H545" s="3">
        <v>-10.64855108835927</v>
      </c>
      <c r="I545" s="3">
        <v>-2.4444444444444402</v>
      </c>
      <c r="J545" s="3">
        <v>-13.092995532803709</v>
      </c>
    </row>
    <row r="546" spans="2:10" x14ac:dyDescent="0.25">
      <c r="B546" t="s">
        <v>137</v>
      </c>
      <c r="C546" t="s">
        <v>344</v>
      </c>
      <c r="D546" t="s">
        <v>356</v>
      </c>
      <c r="E546" t="s">
        <v>307</v>
      </c>
      <c r="F546" s="3"/>
      <c r="G546" s="3"/>
      <c r="H546" s="3">
        <v>-11.31429385251827</v>
      </c>
      <c r="I546" s="3">
        <v>-2.4444444444444402</v>
      </c>
      <c r="J546" s="3">
        <v>-13.758738296962711</v>
      </c>
    </row>
    <row r="547" spans="2:10" x14ac:dyDescent="0.25">
      <c r="B547" t="s">
        <v>137</v>
      </c>
      <c r="C547" t="s">
        <v>344</v>
      </c>
      <c r="D547" t="s">
        <v>356</v>
      </c>
      <c r="E547" t="s">
        <v>308</v>
      </c>
      <c r="F547" s="3"/>
      <c r="G547" s="3"/>
      <c r="H547" s="3">
        <v>-11.48148148148147</v>
      </c>
      <c r="I547" s="3">
        <v>-2.4444444444444402</v>
      </c>
      <c r="J547" s="3">
        <v>-13.92592592592591</v>
      </c>
    </row>
    <row r="548" spans="2:10" x14ac:dyDescent="0.25">
      <c r="B548" t="s">
        <v>137</v>
      </c>
      <c r="C548" t="s">
        <v>344</v>
      </c>
      <c r="D548" t="s">
        <v>356</v>
      </c>
      <c r="E548" t="s">
        <v>309</v>
      </c>
      <c r="F548" s="3"/>
      <c r="G548" s="3"/>
      <c r="H548" s="3">
        <v>-11.48148148148147</v>
      </c>
      <c r="I548" s="3">
        <v>-2.4444444444444402</v>
      </c>
      <c r="J548" s="3">
        <v>-13.92592592592591</v>
      </c>
    </row>
    <row r="549" spans="2:10" x14ac:dyDescent="0.25">
      <c r="B549" t="s">
        <v>137</v>
      </c>
      <c r="C549" t="s">
        <v>344</v>
      </c>
      <c r="D549" t="s">
        <v>356</v>
      </c>
      <c r="E549" t="s">
        <v>310</v>
      </c>
      <c r="F549" s="3"/>
      <c r="G549" s="3"/>
      <c r="H549" s="3">
        <v>-11.48148148148147</v>
      </c>
      <c r="I549" s="3">
        <v>-2.4444444444444402</v>
      </c>
      <c r="J549" s="3">
        <v>-13.92592592592591</v>
      </c>
    </row>
    <row r="550" spans="2:10" x14ac:dyDescent="0.25">
      <c r="B550" t="s">
        <v>137</v>
      </c>
      <c r="C550" t="s">
        <v>344</v>
      </c>
      <c r="D550" t="s">
        <v>356</v>
      </c>
      <c r="E550" t="s">
        <v>311</v>
      </c>
      <c r="F550" s="3"/>
      <c r="G550" s="3"/>
      <c r="H550" s="3">
        <v>-4.3597513994284602</v>
      </c>
      <c r="I550" s="3">
        <v>-2.4444444444444402</v>
      </c>
      <c r="J550" s="3">
        <v>-6.8041958438729004</v>
      </c>
    </row>
    <row r="551" spans="2:10" x14ac:dyDescent="0.25">
      <c r="B551" t="s">
        <v>137</v>
      </c>
      <c r="C551" t="s">
        <v>344</v>
      </c>
      <c r="D551" t="s">
        <v>356</v>
      </c>
      <c r="E551" t="s">
        <v>312</v>
      </c>
      <c r="F551" s="3"/>
      <c r="G551" s="3"/>
      <c r="H551" s="3">
        <v>-0.37037037037037002</v>
      </c>
      <c r="I551" s="3">
        <v>-2.4444444444444402</v>
      </c>
      <c r="J551" s="3">
        <v>-2.8148148148148104</v>
      </c>
    </row>
    <row r="552" spans="2:10" x14ac:dyDescent="0.25">
      <c r="B552" t="s">
        <v>137</v>
      </c>
      <c r="C552" t="s">
        <v>344</v>
      </c>
      <c r="D552" t="s">
        <v>357</v>
      </c>
      <c r="E552" t="s">
        <v>46</v>
      </c>
      <c r="F552" s="3"/>
      <c r="G552" s="3"/>
      <c r="H552" s="3">
        <v>-308.11517010990661</v>
      </c>
      <c r="I552" s="3">
        <v>-969.33452550049742</v>
      </c>
      <c r="J552" s="3">
        <v>-1277.449695610404</v>
      </c>
    </row>
    <row r="553" spans="2:10" x14ac:dyDescent="0.25">
      <c r="B553" t="s">
        <v>137</v>
      </c>
      <c r="C553" t="s">
        <v>344</v>
      </c>
      <c r="D553" t="s">
        <v>357</v>
      </c>
      <c r="E553" t="s">
        <v>47</v>
      </c>
      <c r="F553" s="3"/>
      <c r="G553" s="3"/>
      <c r="H553" s="3">
        <v>-311.13785285859359</v>
      </c>
      <c r="I553" s="3">
        <v>-1088.9030612244896</v>
      </c>
      <c r="J553" s="3">
        <v>-1400.0409140830832</v>
      </c>
    </row>
    <row r="554" spans="2:10" x14ac:dyDescent="0.25">
      <c r="B554" t="s">
        <v>137</v>
      </c>
      <c r="C554" t="s">
        <v>344</v>
      </c>
      <c r="D554" t="s">
        <v>357</v>
      </c>
      <c r="E554" t="s">
        <v>48</v>
      </c>
      <c r="F554" s="3"/>
      <c r="G554" s="3"/>
      <c r="H554" s="3">
        <v>-313.4906655094556</v>
      </c>
      <c r="I554" s="3">
        <v>-1047.4074018985984</v>
      </c>
      <c r="J554" s="3">
        <v>-1360.898067408054</v>
      </c>
    </row>
    <row r="555" spans="2:10" x14ac:dyDescent="0.25">
      <c r="B555" t="s">
        <v>137</v>
      </c>
      <c r="C555" t="s">
        <v>344</v>
      </c>
      <c r="D555" t="s">
        <v>357</v>
      </c>
      <c r="E555" t="s">
        <v>49</v>
      </c>
      <c r="F555" s="3"/>
      <c r="G555" s="3"/>
      <c r="H555" s="3">
        <v>-341.3265306122446</v>
      </c>
      <c r="I555" s="3">
        <v>-1051.3479617574924</v>
      </c>
      <c r="J555" s="3">
        <v>-1392.674492369737</v>
      </c>
    </row>
    <row r="556" spans="2:10" x14ac:dyDescent="0.25">
      <c r="B556" t="s">
        <v>137</v>
      </c>
      <c r="C556" t="s">
        <v>344</v>
      </c>
      <c r="D556" t="s">
        <v>357</v>
      </c>
      <c r="E556" t="s">
        <v>50</v>
      </c>
      <c r="F556" s="3"/>
      <c r="G556" s="3"/>
      <c r="H556" s="3">
        <v>-341.3265306122446</v>
      </c>
      <c r="I556" s="3">
        <v>-1056.5901629258185</v>
      </c>
      <c r="J556" s="3">
        <v>-1397.9166935380631</v>
      </c>
    </row>
    <row r="557" spans="2:10" x14ac:dyDescent="0.25">
      <c r="B557" t="s">
        <v>137</v>
      </c>
      <c r="C557" t="s">
        <v>344</v>
      </c>
      <c r="D557" t="s">
        <v>357</v>
      </c>
      <c r="E557" t="s">
        <v>51</v>
      </c>
      <c r="F557" s="3"/>
      <c r="G557" s="3"/>
      <c r="H557" s="3">
        <v>-341.3265306122446</v>
      </c>
      <c r="I557" s="3">
        <v>-1088.9030612244896</v>
      </c>
      <c r="J557" s="3">
        <v>-1430.2295918367342</v>
      </c>
    </row>
    <row r="558" spans="2:10" x14ac:dyDescent="0.25">
      <c r="B558" t="s">
        <v>137</v>
      </c>
      <c r="C558" t="s">
        <v>344</v>
      </c>
      <c r="D558" t="s">
        <v>357</v>
      </c>
      <c r="E558" t="s">
        <v>196</v>
      </c>
      <c r="F558" s="3"/>
      <c r="G558" s="3"/>
      <c r="H558" s="3">
        <v>-371.45738635153276</v>
      </c>
      <c r="I558" s="3">
        <v>-1088.9030612244896</v>
      </c>
      <c r="J558" s="3">
        <v>-1460.3604475760224</v>
      </c>
    </row>
    <row r="559" spans="2:10" x14ac:dyDescent="0.25">
      <c r="B559" t="s">
        <v>137</v>
      </c>
      <c r="C559" t="s">
        <v>344</v>
      </c>
      <c r="D559" t="s">
        <v>357</v>
      </c>
      <c r="E559" t="s">
        <v>197</v>
      </c>
      <c r="F559" s="3"/>
      <c r="G559" s="3"/>
      <c r="H559" s="3">
        <v>-395.03891982935966</v>
      </c>
      <c r="I559" s="3">
        <v>-1173.1251016475628</v>
      </c>
      <c r="J559" s="3">
        <v>-1568.1640214769225</v>
      </c>
    </row>
    <row r="560" spans="2:10" x14ac:dyDescent="0.25">
      <c r="B560" t="s">
        <v>137</v>
      </c>
      <c r="C560" t="s">
        <v>344</v>
      </c>
      <c r="D560" t="s">
        <v>357</v>
      </c>
      <c r="E560" t="s">
        <v>198</v>
      </c>
      <c r="F560" s="3"/>
      <c r="G560" s="3"/>
      <c r="H560" s="3">
        <v>-394.32309269829665</v>
      </c>
      <c r="I560" s="3">
        <v>-1141.7710406485255</v>
      </c>
      <c r="J560" s="3">
        <v>-1536.0941333468222</v>
      </c>
    </row>
    <row r="561" spans="2:10" x14ac:dyDescent="0.25">
      <c r="B561" t="s">
        <v>137</v>
      </c>
      <c r="C561" t="s">
        <v>344</v>
      </c>
      <c r="D561" t="s">
        <v>357</v>
      </c>
      <c r="E561" t="s">
        <v>199</v>
      </c>
      <c r="F561" s="3"/>
      <c r="G561" s="3"/>
      <c r="H561" s="3">
        <v>-380.7353578269985</v>
      </c>
      <c r="I561" s="3">
        <v>-1117.1199092497361</v>
      </c>
      <c r="J561" s="3">
        <v>-1497.8552670767347</v>
      </c>
    </row>
    <row r="562" spans="2:10" x14ac:dyDescent="0.25">
      <c r="B562" t="s">
        <v>137</v>
      </c>
      <c r="C562" t="s">
        <v>344</v>
      </c>
      <c r="D562" t="s">
        <v>357</v>
      </c>
      <c r="E562" t="s">
        <v>200</v>
      </c>
      <c r="F562" s="3"/>
      <c r="G562" s="3"/>
      <c r="H562" s="3">
        <v>-363.12184714838725</v>
      </c>
      <c r="I562" s="3">
        <v>-1133.0622245126128</v>
      </c>
      <c r="J562" s="3">
        <v>-1496.184071661</v>
      </c>
    </row>
    <row r="563" spans="2:10" x14ac:dyDescent="0.25">
      <c r="B563" t="s">
        <v>137</v>
      </c>
      <c r="C563" t="s">
        <v>344</v>
      </c>
      <c r="D563" t="s">
        <v>357</v>
      </c>
      <c r="E563" t="s">
        <v>240</v>
      </c>
      <c r="F563" s="3"/>
      <c r="G563" s="3"/>
      <c r="H563" s="3">
        <v>-345.43495208353141</v>
      </c>
      <c r="I563" s="3">
        <v>-1164.5583242739028</v>
      </c>
      <c r="J563" s="3">
        <v>-1509.9932763574343</v>
      </c>
    </row>
    <row r="564" spans="2:10" x14ac:dyDescent="0.25">
      <c r="B564" t="s">
        <v>137</v>
      </c>
      <c r="C564" t="s">
        <v>344</v>
      </c>
      <c r="D564" t="s">
        <v>357</v>
      </c>
      <c r="E564" t="s">
        <v>301</v>
      </c>
      <c r="F564" s="3"/>
      <c r="G564" s="3"/>
      <c r="H564" s="3">
        <v>-341.3265306122446</v>
      </c>
      <c r="I564" s="3">
        <v>-1153.7630934745603</v>
      </c>
      <c r="J564" s="3">
        <v>-1495.0896240868049</v>
      </c>
    </row>
    <row r="565" spans="2:10" x14ac:dyDescent="0.25">
      <c r="B565" t="s">
        <v>137</v>
      </c>
      <c r="C565" t="s">
        <v>344</v>
      </c>
      <c r="D565" t="s">
        <v>357</v>
      </c>
      <c r="E565" t="s">
        <v>302</v>
      </c>
      <c r="F565" s="3"/>
      <c r="G565" s="3"/>
      <c r="H565" s="3">
        <v>-341.3265306122446</v>
      </c>
      <c r="I565" s="3">
        <v>-1142.8273886358716</v>
      </c>
      <c r="J565" s="3">
        <v>-1484.1539192481162</v>
      </c>
    </row>
    <row r="566" spans="2:10" x14ac:dyDescent="0.25">
      <c r="B566" t="s">
        <v>137</v>
      </c>
      <c r="C566" t="s">
        <v>344</v>
      </c>
      <c r="D566" t="s">
        <v>357</v>
      </c>
      <c r="E566" t="s">
        <v>303</v>
      </c>
      <c r="F566" s="3"/>
      <c r="G566" s="3"/>
      <c r="H566" s="3">
        <v>-341.3265306122446</v>
      </c>
      <c r="I566" s="3">
        <v>-1130.5660764387167</v>
      </c>
      <c r="J566" s="3">
        <v>-1471.8926070509613</v>
      </c>
    </row>
    <row r="567" spans="2:10" x14ac:dyDescent="0.25">
      <c r="B567" t="s">
        <v>137</v>
      </c>
      <c r="C567" t="s">
        <v>344</v>
      </c>
      <c r="D567" t="s">
        <v>357</v>
      </c>
      <c r="E567" t="s">
        <v>304</v>
      </c>
      <c r="F567" s="3"/>
      <c r="G567" s="3"/>
      <c r="H567" s="3">
        <v>-341.3265306122446</v>
      </c>
      <c r="I567" s="3">
        <v>-1108.6873056414854</v>
      </c>
      <c r="J567" s="3">
        <v>-1450.01383625373</v>
      </c>
    </row>
    <row r="568" spans="2:10" x14ac:dyDescent="0.25">
      <c r="B568" t="s">
        <v>137</v>
      </c>
      <c r="C568" t="s">
        <v>344</v>
      </c>
      <c r="D568" t="s">
        <v>357</v>
      </c>
      <c r="E568" t="s">
        <v>305</v>
      </c>
      <c r="F568" s="3"/>
      <c r="G568" s="3"/>
      <c r="H568" s="3">
        <v>-341.3265306122446</v>
      </c>
      <c r="I568" s="3">
        <v>-1124.6347077036921</v>
      </c>
      <c r="J568" s="3">
        <v>-1465.9612383159367</v>
      </c>
    </row>
    <row r="569" spans="2:10" x14ac:dyDescent="0.25">
      <c r="B569" t="s">
        <v>137</v>
      </c>
      <c r="C569" t="s">
        <v>344</v>
      </c>
      <c r="D569" t="s">
        <v>357</v>
      </c>
      <c r="E569" t="s">
        <v>306</v>
      </c>
      <c r="F569" s="3"/>
      <c r="G569" s="3"/>
      <c r="H569" s="3">
        <v>-341.3265306122446</v>
      </c>
      <c r="I569" s="3">
        <v>-1126.3217954495749</v>
      </c>
      <c r="J569" s="3">
        <v>-1467.6483260618195</v>
      </c>
    </row>
    <row r="570" spans="2:10" x14ac:dyDescent="0.25">
      <c r="B570" t="s">
        <v>137</v>
      </c>
      <c r="C570" t="s">
        <v>344</v>
      </c>
      <c r="D570" t="s">
        <v>357</v>
      </c>
      <c r="E570" t="s">
        <v>307</v>
      </c>
      <c r="F570" s="3"/>
      <c r="G570" s="3"/>
      <c r="H570" s="3">
        <v>-341.3265306122446</v>
      </c>
      <c r="I570" s="3">
        <v>-1105.5319357865619</v>
      </c>
      <c r="J570" s="3">
        <v>-1446.8584663988065</v>
      </c>
    </row>
    <row r="571" spans="2:10" x14ac:dyDescent="0.25">
      <c r="B571" t="s">
        <v>137</v>
      </c>
      <c r="C571" t="s">
        <v>344</v>
      </c>
      <c r="D571" t="s">
        <v>357</v>
      </c>
      <c r="E571" t="s">
        <v>308</v>
      </c>
      <c r="F571" s="3"/>
      <c r="G571" s="3"/>
      <c r="H571" s="3">
        <v>-341.3265306122446</v>
      </c>
      <c r="I571" s="3">
        <v>-1106.1632133188853</v>
      </c>
      <c r="J571" s="3">
        <v>-1447.4897439311299</v>
      </c>
    </row>
    <row r="572" spans="2:10" x14ac:dyDescent="0.25">
      <c r="B572" t="s">
        <v>137</v>
      </c>
      <c r="C572" t="s">
        <v>344</v>
      </c>
      <c r="D572" t="s">
        <v>357</v>
      </c>
      <c r="E572" t="s">
        <v>309</v>
      </c>
      <c r="F572" s="3"/>
      <c r="G572" s="3"/>
      <c r="H572" s="3">
        <v>-338.6902108095976</v>
      </c>
      <c r="I572" s="3">
        <v>-1097.4937213650248</v>
      </c>
      <c r="J572" s="3">
        <v>-1436.1839321746224</v>
      </c>
    </row>
    <row r="573" spans="2:10" x14ac:dyDescent="0.25">
      <c r="B573" t="s">
        <v>137</v>
      </c>
      <c r="C573" t="s">
        <v>344</v>
      </c>
      <c r="D573" t="s">
        <v>357</v>
      </c>
      <c r="E573" t="s">
        <v>310</v>
      </c>
      <c r="F573" s="3"/>
      <c r="G573" s="3"/>
      <c r="H573" s="3">
        <v>-332.31922541957061</v>
      </c>
      <c r="I573" s="3">
        <v>-1088.9030612244896</v>
      </c>
      <c r="J573" s="3">
        <v>-1421.2222866440602</v>
      </c>
    </row>
    <row r="574" spans="2:10" x14ac:dyDescent="0.25">
      <c r="B574" t="s">
        <v>137</v>
      </c>
      <c r="C574" t="s">
        <v>344</v>
      </c>
      <c r="D574" t="s">
        <v>357</v>
      </c>
      <c r="E574" t="s">
        <v>311</v>
      </c>
      <c r="F574" s="3"/>
      <c r="G574" s="3"/>
      <c r="H574" s="3">
        <v>-340.7670023205809</v>
      </c>
      <c r="I574" s="3">
        <v>-1071.1486965551751</v>
      </c>
      <c r="J574" s="3">
        <v>-1411.9156988757559</v>
      </c>
    </row>
    <row r="575" spans="2:10" x14ac:dyDescent="0.25">
      <c r="B575" t="s">
        <v>137</v>
      </c>
      <c r="C575" t="s">
        <v>344</v>
      </c>
      <c r="D575" t="s">
        <v>357</v>
      </c>
      <c r="E575" t="s">
        <v>312</v>
      </c>
      <c r="F575" s="3"/>
      <c r="G575" s="3"/>
      <c r="H575" s="3">
        <v>-333.92806983041231</v>
      </c>
      <c r="I575" s="3">
        <v>-1064.4310697815006</v>
      </c>
      <c r="J575" s="3">
        <v>-1398.359139611913</v>
      </c>
    </row>
    <row r="576" spans="2:10" x14ac:dyDescent="0.25">
      <c r="B576" t="s">
        <v>137</v>
      </c>
      <c r="C576" t="s">
        <v>344</v>
      </c>
      <c r="D576" t="s">
        <v>358</v>
      </c>
      <c r="E576" t="s">
        <v>46</v>
      </c>
      <c r="F576" s="3"/>
      <c r="G576" s="3"/>
      <c r="H576" s="3"/>
      <c r="I576" s="3">
        <v>-231.34531581942977</v>
      </c>
      <c r="J576" s="3">
        <v>-231.34531581942977</v>
      </c>
    </row>
    <row r="577" spans="2:10" x14ac:dyDescent="0.25">
      <c r="B577" t="s">
        <v>137</v>
      </c>
      <c r="C577" t="s">
        <v>344</v>
      </c>
      <c r="D577" t="s">
        <v>358</v>
      </c>
      <c r="E577" t="s">
        <v>47</v>
      </c>
      <c r="F577" s="3"/>
      <c r="G577" s="3"/>
      <c r="H577" s="3"/>
      <c r="I577" s="3">
        <v>-204.14768157016496</v>
      </c>
      <c r="J577" s="3">
        <v>-204.14768157016496</v>
      </c>
    </row>
    <row r="578" spans="2:10" x14ac:dyDescent="0.25">
      <c r="B578" t="s">
        <v>137</v>
      </c>
      <c r="C578" t="s">
        <v>344</v>
      </c>
      <c r="D578" t="s">
        <v>358</v>
      </c>
      <c r="E578" t="s">
        <v>48</v>
      </c>
      <c r="F578" s="3"/>
      <c r="G578" s="3"/>
      <c r="H578" s="3"/>
      <c r="I578" s="3">
        <v>-203.11102046792124</v>
      </c>
      <c r="J578" s="3">
        <v>-203.11102046792124</v>
      </c>
    </row>
    <row r="579" spans="2:10" x14ac:dyDescent="0.25">
      <c r="B579" t="s">
        <v>137</v>
      </c>
      <c r="C579" t="s">
        <v>344</v>
      </c>
      <c r="D579" t="s">
        <v>358</v>
      </c>
      <c r="E579" t="s">
        <v>49</v>
      </c>
      <c r="F579" s="3"/>
      <c r="G579" s="3"/>
      <c r="H579" s="3"/>
      <c r="I579" s="3">
        <v>-218.40166935405466</v>
      </c>
      <c r="J579" s="3">
        <v>-218.40166935405466</v>
      </c>
    </row>
    <row r="580" spans="2:10" x14ac:dyDescent="0.25">
      <c r="B580" t="s">
        <v>137</v>
      </c>
      <c r="C580" t="s">
        <v>344</v>
      </c>
      <c r="D580" t="s">
        <v>358</v>
      </c>
      <c r="E580" t="s">
        <v>50</v>
      </c>
      <c r="F580" s="3"/>
      <c r="G580" s="3"/>
      <c r="H580" s="3"/>
      <c r="I580" s="3">
        <v>-236.67743237292379</v>
      </c>
      <c r="J580" s="3">
        <v>-236.67743237292379</v>
      </c>
    </row>
    <row r="581" spans="2:10" x14ac:dyDescent="0.25">
      <c r="B581" t="s">
        <v>137</v>
      </c>
      <c r="C581" t="s">
        <v>344</v>
      </c>
      <c r="D581" t="s">
        <v>358</v>
      </c>
      <c r="E581" t="s">
        <v>51</v>
      </c>
      <c r="F581" s="3"/>
      <c r="G581" s="3"/>
      <c r="H581" s="3"/>
      <c r="I581" s="3">
        <v>-299.14428196137817</v>
      </c>
      <c r="J581" s="3">
        <v>-299.14428196137817</v>
      </c>
    </row>
    <row r="582" spans="2:10" x14ac:dyDescent="0.25">
      <c r="B582" t="s">
        <v>137</v>
      </c>
      <c r="C582" t="s">
        <v>344</v>
      </c>
      <c r="D582" t="s">
        <v>358</v>
      </c>
      <c r="E582" t="s">
        <v>196</v>
      </c>
      <c r="F582" s="3"/>
      <c r="G582" s="3"/>
      <c r="H582" s="3"/>
      <c r="I582" s="3">
        <v>-335.96363636363691</v>
      </c>
      <c r="J582" s="3">
        <v>-335.96363636363691</v>
      </c>
    </row>
    <row r="583" spans="2:10" x14ac:dyDescent="0.25">
      <c r="B583" t="s">
        <v>137</v>
      </c>
      <c r="C583" t="s">
        <v>344</v>
      </c>
      <c r="D583" t="s">
        <v>358</v>
      </c>
      <c r="E583" t="s">
        <v>197</v>
      </c>
      <c r="F583" s="3"/>
      <c r="G583" s="3"/>
      <c r="H583" s="3"/>
      <c r="I583" s="3">
        <v>-335.96363636363691</v>
      </c>
      <c r="J583" s="3">
        <v>-335.96363636363691</v>
      </c>
    </row>
    <row r="584" spans="2:10" x14ac:dyDescent="0.25">
      <c r="B584" t="s">
        <v>137</v>
      </c>
      <c r="C584" t="s">
        <v>344</v>
      </c>
      <c r="D584" t="s">
        <v>358</v>
      </c>
      <c r="E584" t="s">
        <v>198</v>
      </c>
      <c r="F584" s="3"/>
      <c r="G584" s="3"/>
      <c r="H584" s="3"/>
      <c r="I584" s="3">
        <v>-335.96363636363691</v>
      </c>
      <c r="J584" s="3">
        <v>-335.96363636363691</v>
      </c>
    </row>
    <row r="585" spans="2:10" x14ac:dyDescent="0.25">
      <c r="B585" t="s">
        <v>137</v>
      </c>
      <c r="C585" t="s">
        <v>344</v>
      </c>
      <c r="D585" t="s">
        <v>358</v>
      </c>
      <c r="E585" t="s">
        <v>199</v>
      </c>
      <c r="F585" s="3"/>
      <c r="G585" s="3"/>
      <c r="H585" s="3"/>
      <c r="I585" s="3">
        <v>-335.96363636363691</v>
      </c>
      <c r="J585" s="3">
        <v>-335.96363636363691</v>
      </c>
    </row>
    <row r="586" spans="2:10" x14ac:dyDescent="0.25">
      <c r="B586" t="s">
        <v>137</v>
      </c>
      <c r="C586" t="s">
        <v>344</v>
      </c>
      <c r="D586" t="s">
        <v>358</v>
      </c>
      <c r="E586" t="s">
        <v>200</v>
      </c>
      <c r="F586" s="3"/>
      <c r="G586" s="3"/>
      <c r="H586" s="3"/>
      <c r="I586" s="3">
        <v>-335.96363636363691</v>
      </c>
      <c r="J586" s="3">
        <v>-335.96363636363691</v>
      </c>
    </row>
    <row r="587" spans="2:10" x14ac:dyDescent="0.25">
      <c r="B587" t="s">
        <v>137</v>
      </c>
      <c r="C587" t="s">
        <v>344</v>
      </c>
      <c r="D587" t="s">
        <v>358</v>
      </c>
      <c r="E587" t="s">
        <v>240</v>
      </c>
      <c r="F587" s="3"/>
      <c r="G587" s="3"/>
      <c r="H587" s="3"/>
      <c r="I587" s="3">
        <v>-332.25548671166615</v>
      </c>
      <c r="J587" s="3">
        <v>-332.25548671166615</v>
      </c>
    </row>
    <row r="588" spans="2:10" x14ac:dyDescent="0.25">
      <c r="B588" t="s">
        <v>137</v>
      </c>
      <c r="C588" t="s">
        <v>344</v>
      </c>
      <c r="D588" t="s">
        <v>358</v>
      </c>
      <c r="E588" t="s">
        <v>301</v>
      </c>
      <c r="F588" s="3"/>
      <c r="G588" s="3"/>
      <c r="H588" s="3"/>
      <c r="I588" s="3">
        <v>-326.58520441314766</v>
      </c>
      <c r="J588" s="3">
        <v>-326.58520441314766</v>
      </c>
    </row>
    <row r="589" spans="2:10" x14ac:dyDescent="0.25">
      <c r="B589" t="s">
        <v>137</v>
      </c>
      <c r="C589" t="s">
        <v>344</v>
      </c>
      <c r="D589" t="s">
        <v>358</v>
      </c>
      <c r="E589" t="s">
        <v>302</v>
      </c>
      <c r="F589" s="3"/>
      <c r="G589" s="3"/>
      <c r="H589" s="3"/>
      <c r="I589" s="3">
        <v>-325.00875488162393</v>
      </c>
      <c r="J589" s="3">
        <v>-325.00875488162393</v>
      </c>
    </row>
    <row r="590" spans="2:10" x14ac:dyDescent="0.25">
      <c r="B590" t="s">
        <v>137</v>
      </c>
      <c r="C590" t="s">
        <v>344</v>
      </c>
      <c r="D590" t="s">
        <v>358</v>
      </c>
      <c r="E590" t="s">
        <v>303</v>
      </c>
      <c r="F590" s="3"/>
      <c r="G590" s="3"/>
      <c r="H590" s="3"/>
      <c r="I590" s="3">
        <v>-322.89534160296256</v>
      </c>
      <c r="J590" s="3">
        <v>-322.89534160296256</v>
      </c>
    </row>
    <row r="591" spans="2:10" x14ac:dyDescent="0.25">
      <c r="B591" t="s">
        <v>137</v>
      </c>
      <c r="C591" t="s">
        <v>344</v>
      </c>
      <c r="D591" t="s">
        <v>358</v>
      </c>
      <c r="E591" t="s">
        <v>304</v>
      </c>
      <c r="F591" s="3"/>
      <c r="G591" s="3"/>
      <c r="H591" s="3"/>
      <c r="I591" s="3">
        <v>-321.99935381618957</v>
      </c>
      <c r="J591" s="3">
        <v>-321.99935381618957</v>
      </c>
    </row>
    <row r="592" spans="2:10" x14ac:dyDescent="0.25">
      <c r="B592" t="s">
        <v>137</v>
      </c>
      <c r="C592" t="s">
        <v>344</v>
      </c>
      <c r="D592" t="s">
        <v>358</v>
      </c>
      <c r="E592" t="s">
        <v>305</v>
      </c>
      <c r="F592" s="3"/>
      <c r="G592" s="3"/>
      <c r="H592" s="3"/>
      <c r="I592" s="3">
        <v>-323.99935604250919</v>
      </c>
      <c r="J592" s="3">
        <v>-323.99935604250919</v>
      </c>
    </row>
    <row r="593" spans="2:10" x14ac:dyDescent="0.25">
      <c r="B593" t="s">
        <v>137</v>
      </c>
      <c r="C593" t="s">
        <v>344</v>
      </c>
      <c r="D593" t="s">
        <v>358</v>
      </c>
      <c r="E593" t="s">
        <v>306</v>
      </c>
      <c r="F593" s="3"/>
      <c r="G593" s="3"/>
      <c r="H593" s="3"/>
      <c r="I593" s="3">
        <v>-324.22738509018694</v>
      </c>
      <c r="J593" s="3">
        <v>-324.22738509018694</v>
      </c>
    </row>
    <row r="594" spans="2:10" x14ac:dyDescent="0.25">
      <c r="B594" t="s">
        <v>137</v>
      </c>
      <c r="C594" t="s">
        <v>344</v>
      </c>
      <c r="D594" t="s">
        <v>358</v>
      </c>
      <c r="E594" t="s">
        <v>307</v>
      </c>
      <c r="F594" s="3"/>
      <c r="G594" s="3"/>
      <c r="H594" s="3"/>
      <c r="I594" s="3">
        <v>-325.46914945738257</v>
      </c>
      <c r="J594" s="3">
        <v>-325.46914945738257</v>
      </c>
    </row>
    <row r="595" spans="2:10" x14ac:dyDescent="0.25">
      <c r="B595" t="s">
        <v>137</v>
      </c>
      <c r="C595" t="s">
        <v>344</v>
      </c>
      <c r="D595" t="s">
        <v>358</v>
      </c>
      <c r="E595" t="s">
        <v>308</v>
      </c>
      <c r="F595" s="3"/>
      <c r="G595" s="3"/>
      <c r="H595" s="3"/>
      <c r="I595" s="3">
        <v>-327.29566423469504</v>
      </c>
      <c r="J595" s="3">
        <v>-327.29566423469504</v>
      </c>
    </row>
    <row r="596" spans="2:10" x14ac:dyDescent="0.25">
      <c r="B596" t="s">
        <v>137</v>
      </c>
      <c r="C596" t="s">
        <v>344</v>
      </c>
      <c r="D596" t="s">
        <v>358</v>
      </c>
      <c r="E596" t="s">
        <v>309</v>
      </c>
      <c r="F596" s="3"/>
      <c r="G596" s="3"/>
      <c r="H596" s="3"/>
      <c r="I596" s="3">
        <v>-326.00242671521715</v>
      </c>
      <c r="J596" s="3">
        <v>-326.00242671521715</v>
      </c>
    </row>
    <row r="597" spans="2:10" x14ac:dyDescent="0.25">
      <c r="B597" t="s">
        <v>137</v>
      </c>
      <c r="C597" t="s">
        <v>344</v>
      </c>
      <c r="D597" t="s">
        <v>358</v>
      </c>
      <c r="E597" t="s">
        <v>310</v>
      </c>
      <c r="F597" s="3"/>
      <c r="G597" s="3"/>
      <c r="H597" s="3"/>
      <c r="I597" s="3">
        <v>-322.84916241003799</v>
      </c>
      <c r="J597" s="3">
        <v>-322.84916241003799</v>
      </c>
    </row>
    <row r="598" spans="2:10" x14ac:dyDescent="0.25">
      <c r="B598" t="s">
        <v>137</v>
      </c>
      <c r="C598" t="s">
        <v>344</v>
      </c>
      <c r="D598" t="s">
        <v>358</v>
      </c>
      <c r="E598" t="s">
        <v>311</v>
      </c>
      <c r="F598" s="3"/>
      <c r="G598" s="3"/>
      <c r="H598" s="3"/>
      <c r="I598" s="3">
        <v>-317.49593261668008</v>
      </c>
      <c r="J598" s="3">
        <v>-317.49593261668008</v>
      </c>
    </row>
    <row r="599" spans="2:10" x14ac:dyDescent="0.25">
      <c r="B599" t="s">
        <v>137</v>
      </c>
      <c r="C599" t="s">
        <v>344</v>
      </c>
      <c r="D599" t="s">
        <v>358</v>
      </c>
      <c r="E599" t="s">
        <v>312</v>
      </c>
      <c r="F599" s="3"/>
      <c r="G599" s="3"/>
      <c r="H599" s="3"/>
      <c r="I599" s="3">
        <v>-304.02846849754388</v>
      </c>
      <c r="J599" s="3">
        <v>-304.02846849754388</v>
      </c>
    </row>
    <row r="600" spans="2:10" x14ac:dyDescent="0.25">
      <c r="B600" t="s">
        <v>137</v>
      </c>
      <c r="C600" t="s">
        <v>344</v>
      </c>
      <c r="D600" t="s">
        <v>359</v>
      </c>
      <c r="E600" t="s">
        <v>46</v>
      </c>
      <c r="F600" s="3"/>
      <c r="G600" s="3"/>
      <c r="H600" s="3"/>
      <c r="I600" s="3">
        <v>-58.285714285714299</v>
      </c>
      <c r="J600" s="3">
        <v>-58.285714285714299</v>
      </c>
    </row>
    <row r="601" spans="2:10" x14ac:dyDescent="0.25">
      <c r="B601" t="s">
        <v>137</v>
      </c>
      <c r="C601" t="s">
        <v>344</v>
      </c>
      <c r="D601" t="s">
        <v>359</v>
      </c>
      <c r="E601" t="s">
        <v>47</v>
      </c>
      <c r="F601" s="3"/>
      <c r="G601" s="3"/>
      <c r="H601" s="3"/>
      <c r="I601" s="3">
        <v>-58.285714285714299</v>
      </c>
      <c r="J601" s="3">
        <v>-58.285714285714299</v>
      </c>
    </row>
    <row r="602" spans="2:10" x14ac:dyDescent="0.25">
      <c r="B602" t="s">
        <v>137</v>
      </c>
      <c r="C602" t="s">
        <v>344</v>
      </c>
      <c r="D602" t="s">
        <v>359</v>
      </c>
      <c r="E602" t="s">
        <v>48</v>
      </c>
      <c r="F602" s="3"/>
      <c r="G602" s="3"/>
      <c r="H602" s="3"/>
      <c r="I602" s="3">
        <v>-58.285714285714299</v>
      </c>
      <c r="J602" s="3">
        <v>-58.285714285714299</v>
      </c>
    </row>
    <row r="603" spans="2:10" x14ac:dyDescent="0.25">
      <c r="B603" t="s">
        <v>137</v>
      </c>
      <c r="C603" t="s">
        <v>344</v>
      </c>
      <c r="D603" t="s">
        <v>359</v>
      </c>
      <c r="E603" t="s">
        <v>49</v>
      </c>
      <c r="F603" s="3"/>
      <c r="G603" s="3"/>
      <c r="H603" s="3"/>
      <c r="I603" s="3">
        <v>-58.285714285714299</v>
      </c>
      <c r="J603" s="3">
        <v>-58.285714285714299</v>
      </c>
    </row>
    <row r="604" spans="2:10" x14ac:dyDescent="0.25">
      <c r="B604" t="s">
        <v>137</v>
      </c>
      <c r="C604" t="s">
        <v>344</v>
      </c>
      <c r="D604" t="s">
        <v>359</v>
      </c>
      <c r="E604" t="s">
        <v>50</v>
      </c>
      <c r="F604" s="3"/>
      <c r="G604" s="3"/>
      <c r="H604" s="3"/>
      <c r="I604" s="3">
        <v>-58.285714285714299</v>
      </c>
      <c r="J604" s="3">
        <v>-58.285714285714299</v>
      </c>
    </row>
    <row r="605" spans="2:10" x14ac:dyDescent="0.25">
      <c r="B605" t="s">
        <v>137</v>
      </c>
      <c r="C605" t="s">
        <v>344</v>
      </c>
      <c r="D605" t="s">
        <v>359</v>
      </c>
      <c r="E605" t="s">
        <v>51</v>
      </c>
      <c r="F605" s="3"/>
      <c r="G605" s="3"/>
      <c r="H605" s="3"/>
      <c r="I605" s="3">
        <v>-58.285714285714299</v>
      </c>
      <c r="J605" s="3">
        <v>-58.285714285714299</v>
      </c>
    </row>
    <row r="606" spans="2:10" x14ac:dyDescent="0.25">
      <c r="B606" t="s">
        <v>137</v>
      </c>
      <c r="C606" t="s">
        <v>344</v>
      </c>
      <c r="D606" t="s">
        <v>359</v>
      </c>
      <c r="E606" t="s">
        <v>196</v>
      </c>
      <c r="F606" s="3"/>
      <c r="G606" s="3"/>
      <c r="H606" s="3"/>
      <c r="I606" s="3">
        <v>-76.289805235456896</v>
      </c>
      <c r="J606" s="3">
        <v>-76.289805235456896</v>
      </c>
    </row>
    <row r="607" spans="2:10" x14ac:dyDescent="0.25">
      <c r="B607" t="s">
        <v>137</v>
      </c>
      <c r="C607" t="s">
        <v>344</v>
      </c>
      <c r="D607" t="s">
        <v>359</v>
      </c>
      <c r="E607" t="s">
        <v>197</v>
      </c>
      <c r="F607" s="3"/>
      <c r="G607" s="3"/>
      <c r="H607" s="3"/>
      <c r="I607" s="3">
        <v>-88.9156679652002</v>
      </c>
      <c r="J607" s="3">
        <v>-88.9156679652002</v>
      </c>
    </row>
    <row r="608" spans="2:10" x14ac:dyDescent="0.25">
      <c r="B608" t="s">
        <v>137</v>
      </c>
      <c r="C608" t="s">
        <v>344</v>
      </c>
      <c r="D608" t="s">
        <v>359</v>
      </c>
      <c r="E608" t="s">
        <v>198</v>
      </c>
      <c r="F608" s="3"/>
      <c r="G608" s="3"/>
      <c r="H608" s="3"/>
      <c r="I608" s="3">
        <v>-88.451875577449101</v>
      </c>
      <c r="J608" s="3">
        <v>-88.451875577449101</v>
      </c>
    </row>
    <row r="609" spans="2:10" x14ac:dyDescent="0.25">
      <c r="B609" t="s">
        <v>137</v>
      </c>
      <c r="C609" t="s">
        <v>344</v>
      </c>
      <c r="D609" t="s">
        <v>359</v>
      </c>
      <c r="E609" t="s">
        <v>199</v>
      </c>
      <c r="F609" s="3"/>
      <c r="G609" s="3"/>
      <c r="H609" s="3"/>
      <c r="I609" s="3">
        <v>-86.9401575712659</v>
      </c>
      <c r="J609" s="3">
        <v>-86.9401575712659</v>
      </c>
    </row>
    <row r="610" spans="2:10" x14ac:dyDescent="0.25">
      <c r="B610" t="s">
        <v>137</v>
      </c>
      <c r="C610" t="s">
        <v>344</v>
      </c>
      <c r="D610" t="s">
        <v>359</v>
      </c>
      <c r="E610" t="s">
        <v>200</v>
      </c>
      <c r="F610" s="3"/>
      <c r="G610" s="3"/>
      <c r="H610" s="3"/>
      <c r="I610" s="3">
        <v>-89.105232209408399</v>
      </c>
      <c r="J610" s="3">
        <v>-89.105232209408399</v>
      </c>
    </row>
    <row r="611" spans="2:10" x14ac:dyDescent="0.25">
      <c r="B611" t="s">
        <v>137</v>
      </c>
      <c r="C611" t="s">
        <v>344</v>
      </c>
      <c r="D611" t="s">
        <v>359</v>
      </c>
      <c r="E611" t="s">
        <v>240</v>
      </c>
      <c r="F611" s="3"/>
      <c r="G611" s="3"/>
      <c r="H611" s="3"/>
      <c r="I611" s="3">
        <v>-95.448911977399803</v>
      </c>
      <c r="J611" s="3">
        <v>-95.448911977399803</v>
      </c>
    </row>
    <row r="612" spans="2:10" x14ac:dyDescent="0.25">
      <c r="B612" t="s">
        <v>137</v>
      </c>
      <c r="C612" t="s">
        <v>344</v>
      </c>
      <c r="D612" t="s">
        <v>359</v>
      </c>
      <c r="E612" t="s">
        <v>301</v>
      </c>
      <c r="F612" s="3"/>
      <c r="G612" s="3"/>
      <c r="H612" s="3"/>
      <c r="I612" s="3">
        <v>-93.935522623817207</v>
      </c>
      <c r="J612" s="3">
        <v>-93.935522623817207</v>
      </c>
    </row>
    <row r="613" spans="2:10" x14ac:dyDescent="0.25">
      <c r="B613" t="s">
        <v>137</v>
      </c>
      <c r="C613" t="s">
        <v>344</v>
      </c>
      <c r="D613" t="s">
        <v>359</v>
      </c>
      <c r="E613" t="s">
        <v>302</v>
      </c>
      <c r="F613" s="3"/>
      <c r="G613" s="3"/>
      <c r="H613" s="3"/>
      <c r="I613" s="3">
        <v>-91.928428048141399</v>
      </c>
      <c r="J613" s="3">
        <v>-91.928428048141399</v>
      </c>
    </row>
    <row r="614" spans="2:10" x14ac:dyDescent="0.25">
      <c r="B614" t="s">
        <v>137</v>
      </c>
      <c r="C614" t="s">
        <v>344</v>
      </c>
      <c r="D614" t="s">
        <v>359</v>
      </c>
      <c r="E614" t="s">
        <v>303</v>
      </c>
      <c r="F614" s="3"/>
      <c r="G614" s="3"/>
      <c r="H614" s="3"/>
      <c r="I614" s="3">
        <v>-88.655540629776795</v>
      </c>
      <c r="J614" s="3">
        <v>-88.655540629776795</v>
      </c>
    </row>
    <row r="615" spans="2:10" x14ac:dyDescent="0.25">
      <c r="B615" t="s">
        <v>137</v>
      </c>
      <c r="C615" t="s">
        <v>344</v>
      </c>
      <c r="D615" t="s">
        <v>359</v>
      </c>
      <c r="E615" t="s">
        <v>304</v>
      </c>
      <c r="F615" s="3"/>
      <c r="G615" s="3"/>
      <c r="H615" s="3"/>
      <c r="I615" s="3">
        <v>-85.872819410092404</v>
      </c>
      <c r="J615" s="3">
        <v>-85.872819410092404</v>
      </c>
    </row>
    <row r="616" spans="2:10" x14ac:dyDescent="0.25">
      <c r="B616" t="s">
        <v>137</v>
      </c>
      <c r="C616" t="s">
        <v>344</v>
      </c>
      <c r="D616" t="s">
        <v>359</v>
      </c>
      <c r="E616" t="s">
        <v>305</v>
      </c>
      <c r="F616" s="3"/>
      <c r="G616" s="3"/>
      <c r="H616" s="3"/>
      <c r="I616" s="3">
        <v>-84.404326440305994</v>
      </c>
      <c r="J616" s="3">
        <v>-84.404326440305994</v>
      </c>
    </row>
    <row r="617" spans="2:10" x14ac:dyDescent="0.25">
      <c r="B617" t="s">
        <v>137</v>
      </c>
      <c r="C617" t="s">
        <v>344</v>
      </c>
      <c r="D617" t="s">
        <v>359</v>
      </c>
      <c r="E617" t="s">
        <v>306</v>
      </c>
      <c r="F617" s="3"/>
      <c r="G617" s="3"/>
      <c r="H617" s="3"/>
      <c r="I617" s="3">
        <v>-81.845375130450691</v>
      </c>
      <c r="J617" s="3">
        <v>-81.845375130450691</v>
      </c>
    </row>
    <row r="618" spans="2:10" x14ac:dyDescent="0.25">
      <c r="B618" t="s">
        <v>137</v>
      </c>
      <c r="C618" t="s">
        <v>344</v>
      </c>
      <c r="D618" t="s">
        <v>359</v>
      </c>
      <c r="E618" t="s">
        <v>307</v>
      </c>
      <c r="F618" s="3"/>
      <c r="G618" s="3"/>
      <c r="H618" s="3"/>
      <c r="I618" s="3">
        <v>-80.149405702985604</v>
      </c>
      <c r="J618" s="3">
        <v>-80.149405702985604</v>
      </c>
    </row>
    <row r="619" spans="2:10" x14ac:dyDescent="0.25">
      <c r="B619" t="s">
        <v>137</v>
      </c>
      <c r="C619" t="s">
        <v>344</v>
      </c>
      <c r="D619" t="s">
        <v>359</v>
      </c>
      <c r="E619" t="s">
        <v>308</v>
      </c>
      <c r="F619" s="3"/>
      <c r="G619" s="3"/>
      <c r="H619" s="3"/>
      <c r="I619" s="3">
        <v>-80.185862601223704</v>
      </c>
      <c r="J619" s="3">
        <v>-80.185862601223704</v>
      </c>
    </row>
    <row r="620" spans="2:10" x14ac:dyDescent="0.25">
      <c r="B620" t="s">
        <v>137</v>
      </c>
      <c r="C620" t="s">
        <v>344</v>
      </c>
      <c r="D620" t="s">
        <v>359</v>
      </c>
      <c r="E620" t="s">
        <v>309</v>
      </c>
      <c r="F620" s="3"/>
      <c r="G620" s="3"/>
      <c r="H620" s="3"/>
      <c r="I620" s="3">
        <v>-76.571338463085297</v>
      </c>
      <c r="J620" s="3">
        <v>-76.571338463085297</v>
      </c>
    </row>
    <row r="621" spans="2:10" x14ac:dyDescent="0.25">
      <c r="B621" t="s">
        <v>137</v>
      </c>
      <c r="C621" t="s">
        <v>344</v>
      </c>
      <c r="D621" t="s">
        <v>359</v>
      </c>
      <c r="E621" t="s">
        <v>310</v>
      </c>
      <c r="F621" s="3"/>
      <c r="G621" s="3"/>
      <c r="H621" s="3"/>
      <c r="I621" s="3">
        <v>-71.794966489087898</v>
      </c>
      <c r="J621" s="3">
        <v>-71.794966489087898</v>
      </c>
    </row>
    <row r="622" spans="2:10" x14ac:dyDescent="0.25">
      <c r="B622" t="s">
        <v>137</v>
      </c>
      <c r="C622" t="s">
        <v>344</v>
      </c>
      <c r="D622" t="s">
        <v>359</v>
      </c>
      <c r="E622" t="s">
        <v>311</v>
      </c>
      <c r="F622" s="3"/>
      <c r="G622" s="3"/>
      <c r="H622" s="3"/>
      <c r="I622" s="3">
        <v>-65.065634822934314</v>
      </c>
      <c r="J622" s="3">
        <v>-65.065634822934314</v>
      </c>
    </row>
    <row r="623" spans="2:10" x14ac:dyDescent="0.25">
      <c r="B623" t="s">
        <v>137</v>
      </c>
      <c r="C623" t="s">
        <v>344</v>
      </c>
      <c r="D623" t="s">
        <v>359</v>
      </c>
      <c r="E623" t="s">
        <v>312</v>
      </c>
      <c r="F623" s="3"/>
      <c r="G623" s="3"/>
      <c r="H623" s="3"/>
      <c r="I623" s="3">
        <v>-58.285714285714299</v>
      </c>
      <c r="J623" s="3">
        <v>-58.285714285714299</v>
      </c>
    </row>
    <row r="624" spans="2:10" x14ac:dyDescent="0.25">
      <c r="B624" t="s">
        <v>137</v>
      </c>
      <c r="C624" t="s">
        <v>344</v>
      </c>
      <c r="D624" t="s">
        <v>360</v>
      </c>
      <c r="E624" t="s">
        <v>46</v>
      </c>
      <c r="F624" s="3"/>
      <c r="G624" s="3"/>
      <c r="H624" s="3"/>
      <c r="I624" s="3">
        <v>-31.977206213866101</v>
      </c>
      <c r="J624" s="3">
        <v>-31.977206213866101</v>
      </c>
    </row>
    <row r="625" spans="2:10" x14ac:dyDescent="0.25">
      <c r="B625" t="s">
        <v>137</v>
      </c>
      <c r="C625" t="s">
        <v>344</v>
      </c>
      <c r="D625" t="s">
        <v>360</v>
      </c>
      <c r="E625" t="s">
        <v>47</v>
      </c>
      <c r="F625" s="3"/>
      <c r="G625" s="3"/>
      <c r="H625" s="3"/>
      <c r="I625" s="3">
        <v>-32.030200586405691</v>
      </c>
      <c r="J625" s="3">
        <v>-32.030200586405691</v>
      </c>
    </row>
    <row r="626" spans="2:10" x14ac:dyDescent="0.25">
      <c r="B626" t="s">
        <v>137</v>
      </c>
      <c r="C626" t="s">
        <v>344</v>
      </c>
      <c r="D626" t="s">
        <v>360</v>
      </c>
      <c r="E626" t="s">
        <v>48</v>
      </c>
      <c r="F626" s="3"/>
      <c r="G626" s="3"/>
      <c r="H626" s="3"/>
      <c r="I626" s="3">
        <v>-44.561326193711736</v>
      </c>
      <c r="J626" s="3">
        <v>-44.561326193711736</v>
      </c>
    </row>
    <row r="627" spans="2:10" x14ac:dyDescent="0.25">
      <c r="B627" t="s">
        <v>137</v>
      </c>
      <c r="C627" t="s">
        <v>344</v>
      </c>
      <c r="D627" t="s">
        <v>360</v>
      </c>
      <c r="E627" t="s">
        <v>49</v>
      </c>
      <c r="F627" s="3"/>
      <c r="G627" s="3"/>
      <c r="H627" s="3"/>
      <c r="I627" s="3">
        <v>-44.670967741935542</v>
      </c>
      <c r="J627" s="3">
        <v>-44.670967741935542</v>
      </c>
    </row>
    <row r="628" spans="2:10" x14ac:dyDescent="0.25">
      <c r="B628" t="s">
        <v>137</v>
      </c>
      <c r="C628" t="s">
        <v>344</v>
      </c>
      <c r="D628" t="s">
        <v>360</v>
      </c>
      <c r="E628" t="s">
        <v>50</v>
      </c>
      <c r="F628" s="3"/>
      <c r="G628" s="3"/>
      <c r="H628" s="3"/>
      <c r="I628" s="3">
        <v>-44.670967741935542</v>
      </c>
      <c r="J628" s="3">
        <v>-44.670967741935542</v>
      </c>
    </row>
    <row r="629" spans="2:10" x14ac:dyDescent="0.25">
      <c r="B629" t="s">
        <v>137</v>
      </c>
      <c r="C629" t="s">
        <v>344</v>
      </c>
      <c r="D629" t="s">
        <v>360</v>
      </c>
      <c r="E629" t="s">
        <v>51</v>
      </c>
      <c r="F629" s="3"/>
      <c r="G629" s="3"/>
      <c r="H629" s="3"/>
      <c r="I629" s="3">
        <v>-38.795575143135025</v>
      </c>
      <c r="J629" s="3">
        <v>-38.795575143135025</v>
      </c>
    </row>
    <row r="630" spans="2:10" x14ac:dyDescent="0.25">
      <c r="B630" t="s">
        <v>137</v>
      </c>
      <c r="C630" t="s">
        <v>344</v>
      </c>
      <c r="D630" t="s">
        <v>360</v>
      </c>
      <c r="E630" t="s">
        <v>196</v>
      </c>
      <c r="F630" s="3"/>
      <c r="G630" s="3"/>
      <c r="H630" s="3"/>
      <c r="I630" s="3">
        <v>-44.670967741935542</v>
      </c>
      <c r="J630" s="3">
        <v>-44.670967741935542</v>
      </c>
    </row>
    <row r="631" spans="2:10" x14ac:dyDescent="0.25">
      <c r="B631" t="s">
        <v>137</v>
      </c>
      <c r="C631" t="s">
        <v>344</v>
      </c>
      <c r="D631" t="s">
        <v>360</v>
      </c>
      <c r="E631" t="s">
        <v>197</v>
      </c>
      <c r="F631" s="3"/>
      <c r="G631" s="3"/>
      <c r="H631" s="3"/>
      <c r="I631" s="3">
        <v>-44.670967741935542</v>
      </c>
      <c r="J631" s="3">
        <v>-44.670967741935542</v>
      </c>
    </row>
    <row r="632" spans="2:10" x14ac:dyDescent="0.25">
      <c r="B632" t="s">
        <v>137</v>
      </c>
      <c r="C632" t="s">
        <v>344</v>
      </c>
      <c r="D632" t="s">
        <v>360</v>
      </c>
      <c r="E632" t="s">
        <v>198</v>
      </c>
      <c r="F632" s="3"/>
      <c r="G632" s="3"/>
      <c r="H632" s="3"/>
      <c r="I632" s="3">
        <v>-44.670967741935542</v>
      </c>
      <c r="J632" s="3">
        <v>-44.670967741935542</v>
      </c>
    </row>
    <row r="633" spans="2:10" x14ac:dyDescent="0.25">
      <c r="B633" t="s">
        <v>137</v>
      </c>
      <c r="C633" t="s">
        <v>344</v>
      </c>
      <c r="D633" t="s">
        <v>360</v>
      </c>
      <c r="E633" t="s">
        <v>199</v>
      </c>
      <c r="F633" s="3"/>
      <c r="G633" s="3"/>
      <c r="H633" s="3"/>
      <c r="I633" s="3">
        <v>-44.670967741935542</v>
      </c>
      <c r="J633" s="3">
        <v>-44.670967741935542</v>
      </c>
    </row>
    <row r="634" spans="2:10" x14ac:dyDescent="0.25">
      <c r="B634" t="s">
        <v>137</v>
      </c>
      <c r="C634" t="s">
        <v>344</v>
      </c>
      <c r="D634" t="s">
        <v>360</v>
      </c>
      <c r="E634" t="s">
        <v>200</v>
      </c>
      <c r="F634" s="3"/>
      <c r="G634" s="3"/>
      <c r="H634" s="3"/>
      <c r="I634" s="3">
        <v>-44.670967741935542</v>
      </c>
      <c r="J634" s="3">
        <v>-44.670967741935542</v>
      </c>
    </row>
    <row r="635" spans="2:10" x14ac:dyDescent="0.25">
      <c r="B635" t="s">
        <v>137</v>
      </c>
      <c r="C635" t="s">
        <v>344</v>
      </c>
      <c r="D635" t="s">
        <v>360</v>
      </c>
      <c r="E635" t="s">
        <v>240</v>
      </c>
      <c r="F635" s="3"/>
      <c r="G635" s="3"/>
      <c r="H635" s="3"/>
      <c r="I635" s="3">
        <v>-44.670967741935542</v>
      </c>
      <c r="J635" s="3">
        <v>-44.670967741935542</v>
      </c>
    </row>
    <row r="636" spans="2:10" x14ac:dyDescent="0.25">
      <c r="B636" t="s">
        <v>137</v>
      </c>
      <c r="C636" t="s">
        <v>344</v>
      </c>
      <c r="D636" t="s">
        <v>360</v>
      </c>
      <c r="E636" t="s">
        <v>301</v>
      </c>
      <c r="F636" s="3"/>
      <c r="G636" s="3"/>
      <c r="H636" s="3"/>
      <c r="I636" s="3">
        <v>-44.021928503295143</v>
      </c>
      <c r="J636" s="3">
        <v>-44.021928503295143</v>
      </c>
    </row>
    <row r="637" spans="2:10" x14ac:dyDescent="0.25">
      <c r="B637" t="s">
        <v>137</v>
      </c>
      <c r="C637" t="s">
        <v>344</v>
      </c>
      <c r="D637" t="s">
        <v>360</v>
      </c>
      <c r="E637" t="s">
        <v>302</v>
      </c>
      <c r="F637" s="3"/>
      <c r="G637" s="3"/>
      <c r="H637" s="3"/>
      <c r="I637" s="3">
        <v>-42.749208495893839</v>
      </c>
      <c r="J637" s="3">
        <v>-42.749208495893839</v>
      </c>
    </row>
    <row r="638" spans="2:10" x14ac:dyDescent="0.25">
      <c r="B638" t="s">
        <v>137</v>
      </c>
      <c r="C638" t="s">
        <v>344</v>
      </c>
      <c r="D638" t="s">
        <v>360</v>
      </c>
      <c r="E638" t="s">
        <v>303</v>
      </c>
      <c r="F638" s="3"/>
      <c r="G638" s="3"/>
      <c r="H638" s="3"/>
      <c r="I638" s="3">
        <v>-41.214533764216938</v>
      </c>
      <c r="J638" s="3">
        <v>-41.214533764216938</v>
      </c>
    </row>
    <row r="639" spans="2:10" x14ac:dyDescent="0.25">
      <c r="B639" t="s">
        <v>137</v>
      </c>
      <c r="C639" t="s">
        <v>344</v>
      </c>
      <c r="D639" t="s">
        <v>360</v>
      </c>
      <c r="E639" t="s">
        <v>304</v>
      </c>
      <c r="F639" s="3"/>
      <c r="G639" s="3"/>
      <c r="H639" s="3"/>
      <c r="I639" s="3">
        <v>-44.670967741935542</v>
      </c>
      <c r="J639" s="3">
        <v>-44.670967741935542</v>
      </c>
    </row>
    <row r="640" spans="2:10" x14ac:dyDescent="0.25">
      <c r="B640" t="s">
        <v>137</v>
      </c>
      <c r="C640" t="s">
        <v>344</v>
      </c>
      <c r="D640" t="s">
        <v>360</v>
      </c>
      <c r="E640" t="s">
        <v>305</v>
      </c>
      <c r="F640" s="3"/>
      <c r="G640" s="3"/>
      <c r="H640" s="3"/>
      <c r="I640" s="3">
        <v>-40.472795336176077</v>
      </c>
      <c r="J640" s="3">
        <v>-40.472795336176077</v>
      </c>
    </row>
    <row r="641" spans="2:10" x14ac:dyDescent="0.25">
      <c r="B641" t="s">
        <v>137</v>
      </c>
      <c r="C641" t="s">
        <v>344</v>
      </c>
      <c r="D641" t="s">
        <v>360</v>
      </c>
      <c r="E641" t="s">
        <v>306</v>
      </c>
      <c r="F641" s="3"/>
      <c r="G641" s="3"/>
      <c r="H641" s="3"/>
      <c r="I641" s="3">
        <v>-40.288354205220955</v>
      </c>
      <c r="J641" s="3">
        <v>-40.288354205220955</v>
      </c>
    </row>
    <row r="642" spans="2:10" x14ac:dyDescent="0.25">
      <c r="B642" t="s">
        <v>137</v>
      </c>
      <c r="C642" t="s">
        <v>344</v>
      </c>
      <c r="D642" t="s">
        <v>360</v>
      </c>
      <c r="E642" t="s">
        <v>307</v>
      </c>
      <c r="F642" s="3"/>
      <c r="G642" s="3"/>
      <c r="H642" s="3"/>
      <c r="I642" s="3">
        <v>-44.670967741935542</v>
      </c>
      <c r="J642" s="3">
        <v>-44.670967741935542</v>
      </c>
    </row>
    <row r="643" spans="2:10" x14ac:dyDescent="0.25">
      <c r="B643" t="s">
        <v>137</v>
      </c>
      <c r="C643" t="s">
        <v>344</v>
      </c>
      <c r="D643" t="s">
        <v>360</v>
      </c>
      <c r="E643" t="s">
        <v>308</v>
      </c>
      <c r="F643" s="3"/>
      <c r="G643" s="3"/>
      <c r="H643" s="3"/>
      <c r="I643" s="3">
        <v>-44.670967741935542</v>
      </c>
      <c r="J643" s="3">
        <v>-44.670967741935542</v>
      </c>
    </row>
    <row r="644" spans="2:10" x14ac:dyDescent="0.25">
      <c r="B644" t="s">
        <v>137</v>
      </c>
      <c r="C644" t="s">
        <v>344</v>
      </c>
      <c r="D644" t="s">
        <v>360</v>
      </c>
      <c r="E644" t="s">
        <v>309</v>
      </c>
      <c r="F644" s="3"/>
      <c r="G644" s="3"/>
      <c r="H644" s="3"/>
      <c r="I644" s="3">
        <v>-40.801184330614745</v>
      </c>
      <c r="J644" s="3">
        <v>-40.801184330614745</v>
      </c>
    </row>
    <row r="645" spans="2:10" x14ac:dyDescent="0.25">
      <c r="B645" t="s">
        <v>137</v>
      </c>
      <c r="C645" t="s">
        <v>344</v>
      </c>
      <c r="D645" t="s">
        <v>360</v>
      </c>
      <c r="E645" t="s">
        <v>310</v>
      </c>
      <c r="F645" s="3"/>
      <c r="G645" s="3"/>
      <c r="H645" s="3"/>
      <c r="I645" s="3">
        <v>-40.228960540442074</v>
      </c>
      <c r="J645" s="3">
        <v>-40.228960540442074</v>
      </c>
    </row>
    <row r="646" spans="2:10" x14ac:dyDescent="0.25">
      <c r="B646" t="s">
        <v>137</v>
      </c>
      <c r="C646" t="s">
        <v>344</v>
      </c>
      <c r="D646" t="s">
        <v>360</v>
      </c>
      <c r="E646" t="s">
        <v>311</v>
      </c>
      <c r="F646" s="3"/>
      <c r="G646" s="3"/>
      <c r="H646" s="3"/>
      <c r="I646" s="3">
        <v>-44.670967741935542</v>
      </c>
      <c r="J646" s="3">
        <v>-44.670967741935542</v>
      </c>
    </row>
    <row r="647" spans="2:10" x14ac:dyDescent="0.25">
      <c r="B647" t="s">
        <v>137</v>
      </c>
      <c r="C647" t="s">
        <v>344</v>
      </c>
      <c r="D647" t="s">
        <v>360</v>
      </c>
      <c r="E647" t="s">
        <v>312</v>
      </c>
      <c r="F647" s="3"/>
      <c r="G647" s="3"/>
      <c r="H647" s="3"/>
      <c r="I647" s="3">
        <v>-44.670967741935542</v>
      </c>
      <c r="J647" s="3">
        <v>-44.670967741935542</v>
      </c>
    </row>
    <row r="648" spans="2:10" x14ac:dyDescent="0.25">
      <c r="B648" t="s">
        <v>137</v>
      </c>
      <c r="C648" t="s">
        <v>344</v>
      </c>
      <c r="D648" t="s">
        <v>361</v>
      </c>
      <c r="E648" t="s">
        <v>50</v>
      </c>
      <c r="F648" s="3">
        <v>-9.6592221538687699</v>
      </c>
      <c r="G648" s="3"/>
      <c r="H648" s="3"/>
      <c r="I648" s="3"/>
      <c r="J648" s="3">
        <v>-9.6592221538687699</v>
      </c>
    </row>
    <row r="649" spans="2:10" x14ac:dyDescent="0.25">
      <c r="B649" t="s">
        <v>137</v>
      </c>
      <c r="C649" t="s">
        <v>344</v>
      </c>
      <c r="D649" t="s">
        <v>361</v>
      </c>
      <c r="E649" t="s">
        <v>51</v>
      </c>
      <c r="F649" s="3">
        <v>-258.26015945523199</v>
      </c>
      <c r="G649" s="3"/>
      <c r="H649" s="3"/>
      <c r="I649" s="3"/>
      <c r="J649" s="3">
        <v>-258.26015945523199</v>
      </c>
    </row>
    <row r="650" spans="2:10" x14ac:dyDescent="0.25">
      <c r="B650" t="s">
        <v>137</v>
      </c>
      <c r="C650" t="s">
        <v>344</v>
      </c>
      <c r="D650" t="s">
        <v>361</v>
      </c>
      <c r="E650" t="s">
        <v>196</v>
      </c>
      <c r="F650" s="3">
        <v>-270.67561172487297</v>
      </c>
      <c r="G650" s="3"/>
      <c r="H650" s="3"/>
      <c r="I650" s="3"/>
      <c r="J650" s="3">
        <v>-270.67561172487297</v>
      </c>
    </row>
    <row r="651" spans="2:10" x14ac:dyDescent="0.25">
      <c r="B651" t="s">
        <v>137</v>
      </c>
      <c r="C651" t="s">
        <v>344</v>
      </c>
      <c r="D651" t="s">
        <v>361</v>
      </c>
      <c r="E651" t="s">
        <v>197</v>
      </c>
      <c r="F651" s="3">
        <v>-250.21585690320541</v>
      </c>
      <c r="G651" s="3"/>
      <c r="H651" s="3"/>
      <c r="I651" s="3"/>
      <c r="J651" s="3">
        <v>-250.21585690320541</v>
      </c>
    </row>
    <row r="652" spans="2:10" x14ac:dyDescent="0.25">
      <c r="B652" t="s">
        <v>137</v>
      </c>
      <c r="C652" t="s">
        <v>344</v>
      </c>
      <c r="D652" t="s">
        <v>361</v>
      </c>
      <c r="E652" t="s">
        <v>198</v>
      </c>
      <c r="F652" s="3">
        <v>-190.83784532532266</v>
      </c>
      <c r="G652" s="3"/>
      <c r="H652" s="3"/>
      <c r="I652" s="3"/>
      <c r="J652" s="3">
        <v>-190.83784532532266</v>
      </c>
    </row>
    <row r="653" spans="2:10" x14ac:dyDescent="0.25">
      <c r="B653" t="s">
        <v>137</v>
      </c>
      <c r="C653" t="s">
        <v>344</v>
      </c>
      <c r="D653" t="s">
        <v>361</v>
      </c>
      <c r="E653" t="s">
        <v>199</v>
      </c>
      <c r="F653" s="3">
        <v>-61.595138933267997</v>
      </c>
      <c r="G653" s="3"/>
      <c r="H653" s="3"/>
      <c r="I653" s="3"/>
      <c r="J653" s="3">
        <v>-61.595138933267997</v>
      </c>
    </row>
    <row r="654" spans="2:10" x14ac:dyDescent="0.25">
      <c r="B654" t="s">
        <v>137</v>
      </c>
      <c r="C654" t="s">
        <v>344</v>
      </c>
      <c r="D654" t="s">
        <v>361</v>
      </c>
      <c r="E654" t="s">
        <v>200</v>
      </c>
      <c r="F654" s="3">
        <v>-20.349636633756759</v>
      </c>
      <c r="G654" s="3"/>
      <c r="H654" s="3"/>
      <c r="I654" s="3"/>
      <c r="J654" s="3">
        <v>-20.349636633756759</v>
      </c>
    </row>
    <row r="655" spans="2:10" x14ac:dyDescent="0.25">
      <c r="B655" t="s">
        <v>137</v>
      </c>
      <c r="C655" t="s">
        <v>344</v>
      </c>
      <c r="D655" t="s">
        <v>361</v>
      </c>
      <c r="E655" t="s">
        <v>301</v>
      </c>
      <c r="F655" s="3">
        <v>-0.81029835244846005</v>
      </c>
      <c r="G655" s="3"/>
      <c r="H655" s="3"/>
      <c r="I655" s="3"/>
      <c r="J655" s="3">
        <v>-0.81029835244846005</v>
      </c>
    </row>
    <row r="656" spans="2:10" x14ac:dyDescent="0.25">
      <c r="B656" t="s">
        <v>137</v>
      </c>
      <c r="C656" t="s">
        <v>344</v>
      </c>
      <c r="D656" t="s">
        <v>361</v>
      </c>
      <c r="E656" t="s">
        <v>302</v>
      </c>
      <c r="F656" s="3">
        <v>-2.9710939589776499</v>
      </c>
      <c r="G656" s="3"/>
      <c r="H656" s="3"/>
      <c r="I656" s="3"/>
      <c r="J656" s="3">
        <v>-2.9710939589776499</v>
      </c>
    </row>
    <row r="657" spans="2:10" x14ac:dyDescent="0.25">
      <c r="B657" t="s">
        <v>137</v>
      </c>
      <c r="C657" t="s">
        <v>344</v>
      </c>
      <c r="D657" t="s">
        <v>361</v>
      </c>
      <c r="E657" t="s">
        <v>303</v>
      </c>
      <c r="F657" s="3">
        <v>-3.7813923114261101</v>
      </c>
      <c r="G657" s="3"/>
      <c r="H657" s="3"/>
      <c r="I657" s="3"/>
      <c r="J657" s="3">
        <v>-3.7813923114261101</v>
      </c>
    </row>
    <row r="658" spans="2:10" x14ac:dyDescent="0.25">
      <c r="B658" t="s">
        <v>137</v>
      </c>
      <c r="C658" t="s">
        <v>344</v>
      </c>
      <c r="D658" t="s">
        <v>361</v>
      </c>
      <c r="E658" t="s">
        <v>304</v>
      </c>
      <c r="F658" s="3">
        <v>-3.5112928606099398</v>
      </c>
      <c r="G658" s="3"/>
      <c r="H658" s="3"/>
      <c r="I658" s="3"/>
      <c r="J658" s="3">
        <v>-3.5112928606099398</v>
      </c>
    </row>
    <row r="659" spans="2:10" x14ac:dyDescent="0.25">
      <c r="B659" t="s">
        <v>137</v>
      </c>
      <c r="C659" t="s">
        <v>344</v>
      </c>
      <c r="D659" t="s">
        <v>361</v>
      </c>
      <c r="E659" t="s">
        <v>305</v>
      </c>
      <c r="F659" s="3">
        <v>-3.7813923114261101</v>
      </c>
      <c r="G659" s="3"/>
      <c r="H659" s="3"/>
      <c r="I659" s="3"/>
      <c r="J659" s="3">
        <v>-3.7813923114261101</v>
      </c>
    </row>
    <row r="660" spans="2:10" x14ac:dyDescent="0.25">
      <c r="B660" t="s">
        <v>137</v>
      </c>
      <c r="C660" t="s">
        <v>344</v>
      </c>
      <c r="D660" t="s">
        <v>361</v>
      </c>
      <c r="E660" t="s">
        <v>307</v>
      </c>
      <c r="F660" s="3">
        <v>-24.361851257222298</v>
      </c>
      <c r="G660" s="3"/>
      <c r="H660" s="3"/>
      <c r="I660" s="3"/>
      <c r="J660" s="3">
        <v>-24.361851257222298</v>
      </c>
    </row>
    <row r="661" spans="2:10" x14ac:dyDescent="0.25">
      <c r="B661" t="s">
        <v>137</v>
      </c>
      <c r="C661" t="s">
        <v>344</v>
      </c>
      <c r="D661" t="s">
        <v>361</v>
      </c>
      <c r="E661" t="s">
        <v>308</v>
      </c>
      <c r="F661" s="3">
        <v>-5.21912626030828</v>
      </c>
      <c r="G661" s="3"/>
      <c r="H661" s="3"/>
      <c r="I661" s="3"/>
      <c r="J661" s="3">
        <v>-5.21912626030828</v>
      </c>
    </row>
    <row r="662" spans="2:10" x14ac:dyDescent="0.25">
      <c r="B662" t="s">
        <v>137</v>
      </c>
      <c r="C662" t="s">
        <v>344</v>
      </c>
      <c r="D662" t="s">
        <v>362</v>
      </c>
      <c r="E662" t="s">
        <v>46</v>
      </c>
      <c r="F662" s="3">
        <v>-282.41530659223577</v>
      </c>
      <c r="G662" s="3"/>
      <c r="H662" s="3"/>
      <c r="I662" s="3"/>
      <c r="J662" s="3">
        <v>-282.41530659223577</v>
      </c>
    </row>
    <row r="663" spans="2:10" x14ac:dyDescent="0.25">
      <c r="B663" t="s">
        <v>137</v>
      </c>
      <c r="C663" t="s">
        <v>344</v>
      </c>
      <c r="D663" t="s">
        <v>362</v>
      </c>
      <c r="E663" t="s">
        <v>47</v>
      </c>
      <c r="F663" s="3">
        <v>-280.78811942746216</v>
      </c>
      <c r="G663" s="3"/>
      <c r="H663" s="3"/>
      <c r="I663" s="3"/>
      <c r="J663" s="3">
        <v>-280.78811942746216</v>
      </c>
    </row>
    <row r="664" spans="2:10" x14ac:dyDescent="0.25">
      <c r="B664" t="s">
        <v>137</v>
      </c>
      <c r="C664" t="s">
        <v>344</v>
      </c>
      <c r="D664" t="s">
        <v>362</v>
      </c>
      <c r="E664" t="s">
        <v>48</v>
      </c>
      <c r="F664" s="3">
        <v>-281.57988800864672</v>
      </c>
      <c r="G664" s="3"/>
      <c r="H664" s="3"/>
      <c r="I664" s="3"/>
      <c r="J664" s="3">
        <v>-281.57988800864672</v>
      </c>
    </row>
    <row r="665" spans="2:10" x14ac:dyDescent="0.25">
      <c r="B665" t="s">
        <v>137</v>
      </c>
      <c r="C665" t="s">
        <v>344</v>
      </c>
      <c r="D665" t="s">
        <v>362</v>
      </c>
      <c r="E665" t="s">
        <v>49</v>
      </c>
      <c r="F665" s="3">
        <v>-292.33317609681251</v>
      </c>
      <c r="G665" s="3"/>
      <c r="H665" s="3"/>
      <c r="I665" s="3"/>
      <c r="J665" s="3">
        <v>-292.33317609681251</v>
      </c>
    </row>
    <row r="666" spans="2:10" x14ac:dyDescent="0.25">
      <c r="B666" t="s">
        <v>137</v>
      </c>
      <c r="C666" t="s">
        <v>344</v>
      </c>
      <c r="D666" t="s">
        <v>362</v>
      </c>
      <c r="E666" t="s">
        <v>50</v>
      </c>
      <c r="F666" s="3">
        <v>-304.15689896075077</v>
      </c>
      <c r="G666" s="3"/>
      <c r="H666" s="3"/>
      <c r="I666" s="3"/>
      <c r="J666" s="3">
        <v>-304.15689896075077</v>
      </c>
    </row>
    <row r="667" spans="2:10" x14ac:dyDescent="0.25">
      <c r="B667" t="s">
        <v>137</v>
      </c>
      <c r="C667" t="s">
        <v>344</v>
      </c>
      <c r="D667" t="s">
        <v>362</v>
      </c>
      <c r="E667" t="s">
        <v>51</v>
      </c>
      <c r="F667" s="3">
        <v>-307.47363204862143</v>
      </c>
      <c r="G667" s="3"/>
      <c r="H667" s="3"/>
      <c r="I667" s="3"/>
      <c r="J667" s="3">
        <v>-307.47363204862143</v>
      </c>
    </row>
    <row r="668" spans="2:10" x14ac:dyDescent="0.25">
      <c r="B668" t="s">
        <v>137</v>
      </c>
      <c r="C668" t="s">
        <v>344</v>
      </c>
      <c r="D668" t="s">
        <v>362</v>
      </c>
      <c r="E668" t="s">
        <v>196</v>
      </c>
      <c r="F668" s="3">
        <v>-326.16658881485915</v>
      </c>
      <c r="G668" s="3"/>
      <c r="H668" s="3"/>
      <c r="I668" s="3"/>
      <c r="J668" s="3">
        <v>-326.16658881485915</v>
      </c>
    </row>
    <row r="669" spans="2:10" x14ac:dyDescent="0.25">
      <c r="B669" t="s">
        <v>137</v>
      </c>
      <c r="C669" t="s">
        <v>344</v>
      </c>
      <c r="D669" t="s">
        <v>362</v>
      </c>
      <c r="E669" t="s">
        <v>197</v>
      </c>
      <c r="F669" s="3">
        <v>-333.13025368223555</v>
      </c>
      <c r="G669" s="3"/>
      <c r="H669" s="3"/>
      <c r="I669" s="3"/>
      <c r="J669" s="3">
        <v>-333.13025368223555</v>
      </c>
    </row>
    <row r="670" spans="2:10" x14ac:dyDescent="0.25">
      <c r="B670" t="s">
        <v>137</v>
      </c>
      <c r="C670" t="s">
        <v>344</v>
      </c>
      <c r="D670" t="s">
        <v>362</v>
      </c>
      <c r="E670" t="s">
        <v>198</v>
      </c>
      <c r="F670" s="3">
        <v>-335.04358303749888</v>
      </c>
      <c r="G670" s="3"/>
      <c r="H670" s="3"/>
      <c r="I670" s="3"/>
      <c r="J670" s="3">
        <v>-335.04358303749888</v>
      </c>
    </row>
    <row r="671" spans="2:10" x14ac:dyDescent="0.25">
      <c r="B671" t="s">
        <v>137</v>
      </c>
      <c r="C671" t="s">
        <v>344</v>
      </c>
      <c r="D671" t="s">
        <v>362</v>
      </c>
      <c r="E671" t="s">
        <v>199</v>
      </c>
      <c r="F671" s="3">
        <v>-335.04358303749888</v>
      </c>
      <c r="G671" s="3"/>
      <c r="H671" s="3"/>
      <c r="I671" s="3"/>
      <c r="J671" s="3">
        <v>-335.04358303749888</v>
      </c>
    </row>
    <row r="672" spans="2:10" x14ac:dyDescent="0.25">
      <c r="B672" t="s">
        <v>137</v>
      </c>
      <c r="C672" t="s">
        <v>344</v>
      </c>
      <c r="D672" t="s">
        <v>362</v>
      </c>
      <c r="E672" t="s">
        <v>200</v>
      </c>
      <c r="F672" s="3">
        <v>-335.04358303749888</v>
      </c>
      <c r="G672" s="3"/>
      <c r="H672" s="3"/>
      <c r="I672" s="3"/>
      <c r="J672" s="3">
        <v>-335.04358303749888</v>
      </c>
    </row>
    <row r="673" spans="2:10" x14ac:dyDescent="0.25">
      <c r="B673" t="s">
        <v>137</v>
      </c>
      <c r="C673" t="s">
        <v>344</v>
      </c>
      <c r="D673" t="s">
        <v>362</v>
      </c>
      <c r="E673" t="s">
        <v>240</v>
      </c>
      <c r="F673" s="3">
        <v>-334.46605679147842</v>
      </c>
      <c r="G673" s="3"/>
      <c r="H673" s="3"/>
      <c r="I673" s="3"/>
      <c r="J673" s="3">
        <v>-334.46605679147842</v>
      </c>
    </row>
    <row r="674" spans="2:10" x14ac:dyDescent="0.25">
      <c r="B674" t="s">
        <v>137</v>
      </c>
      <c r="C674" t="s">
        <v>344</v>
      </c>
      <c r="D674" t="s">
        <v>362</v>
      </c>
      <c r="E674" t="s">
        <v>301</v>
      </c>
      <c r="F674" s="3">
        <v>-326.11828373725353</v>
      </c>
      <c r="G674" s="3"/>
      <c r="H674" s="3"/>
      <c r="I674" s="3"/>
      <c r="J674" s="3">
        <v>-326.11828373725353</v>
      </c>
    </row>
    <row r="675" spans="2:10" x14ac:dyDescent="0.25">
      <c r="B675" t="s">
        <v>137</v>
      </c>
      <c r="C675" t="s">
        <v>344</v>
      </c>
      <c r="D675" t="s">
        <v>362</v>
      </c>
      <c r="E675" t="s">
        <v>302</v>
      </c>
      <c r="F675" s="3">
        <v>-321.90512463919981</v>
      </c>
      <c r="G675" s="3"/>
      <c r="H675" s="3"/>
      <c r="I675" s="3"/>
      <c r="J675" s="3">
        <v>-321.90512463919981</v>
      </c>
    </row>
    <row r="676" spans="2:10" x14ac:dyDescent="0.25">
      <c r="B676" t="s">
        <v>137</v>
      </c>
      <c r="C676" t="s">
        <v>344</v>
      </c>
      <c r="D676" t="s">
        <v>362</v>
      </c>
      <c r="E676" t="s">
        <v>303</v>
      </c>
      <c r="F676" s="3">
        <v>-319.35043835376075</v>
      </c>
      <c r="G676" s="3"/>
      <c r="H676" s="3"/>
      <c r="I676" s="3"/>
      <c r="J676" s="3">
        <v>-319.35043835376075</v>
      </c>
    </row>
    <row r="677" spans="2:10" x14ac:dyDescent="0.25">
      <c r="B677" t="s">
        <v>137</v>
      </c>
      <c r="C677" t="s">
        <v>344</v>
      </c>
      <c r="D677" t="s">
        <v>362</v>
      </c>
      <c r="E677" t="s">
        <v>304</v>
      </c>
      <c r="F677" s="3">
        <v>-323.15890553598467</v>
      </c>
      <c r="G677" s="3"/>
      <c r="H677" s="3"/>
      <c r="I677" s="3"/>
      <c r="J677" s="3">
        <v>-323.15890553598467</v>
      </c>
    </row>
    <row r="678" spans="2:10" x14ac:dyDescent="0.25">
      <c r="B678" t="s">
        <v>137</v>
      </c>
      <c r="C678" t="s">
        <v>344</v>
      </c>
      <c r="D678" t="s">
        <v>362</v>
      </c>
      <c r="E678" t="s">
        <v>305</v>
      </c>
      <c r="F678" s="3">
        <v>-335.04358303749888</v>
      </c>
      <c r="G678" s="3"/>
      <c r="H678" s="3"/>
      <c r="I678" s="3"/>
      <c r="J678" s="3">
        <v>-335.04358303749888</v>
      </c>
    </row>
    <row r="679" spans="2:10" x14ac:dyDescent="0.25">
      <c r="B679" t="s">
        <v>137</v>
      </c>
      <c r="C679" t="s">
        <v>344</v>
      </c>
      <c r="D679" t="s">
        <v>362</v>
      </c>
      <c r="E679" t="s">
        <v>306</v>
      </c>
      <c r="F679" s="3">
        <v>-335.04358303749888</v>
      </c>
      <c r="G679" s="3"/>
      <c r="H679" s="3"/>
      <c r="I679" s="3"/>
      <c r="J679" s="3">
        <v>-335.04358303749888</v>
      </c>
    </row>
    <row r="680" spans="2:10" x14ac:dyDescent="0.25">
      <c r="B680" t="s">
        <v>137</v>
      </c>
      <c r="C680" t="s">
        <v>344</v>
      </c>
      <c r="D680" t="s">
        <v>362</v>
      </c>
      <c r="E680" t="s">
        <v>307</v>
      </c>
      <c r="F680" s="3">
        <v>-335.04358303749888</v>
      </c>
      <c r="G680" s="3"/>
      <c r="H680" s="3"/>
      <c r="I680" s="3"/>
      <c r="J680" s="3">
        <v>-335.04358303749888</v>
      </c>
    </row>
    <row r="681" spans="2:10" x14ac:dyDescent="0.25">
      <c r="B681" t="s">
        <v>137</v>
      </c>
      <c r="C681" t="s">
        <v>344</v>
      </c>
      <c r="D681" t="s">
        <v>362</v>
      </c>
      <c r="E681" t="s">
        <v>308</v>
      </c>
      <c r="F681" s="3">
        <v>-335.04358303749888</v>
      </c>
      <c r="G681" s="3"/>
      <c r="H681" s="3"/>
      <c r="I681" s="3"/>
      <c r="J681" s="3">
        <v>-335.04358303749888</v>
      </c>
    </row>
    <row r="682" spans="2:10" x14ac:dyDescent="0.25">
      <c r="B682" t="s">
        <v>137</v>
      </c>
      <c r="C682" t="s">
        <v>344</v>
      </c>
      <c r="D682" t="s">
        <v>362</v>
      </c>
      <c r="E682" t="s">
        <v>309</v>
      </c>
      <c r="F682" s="3">
        <v>-334.84623415153891</v>
      </c>
      <c r="G682" s="3"/>
      <c r="H682" s="3"/>
      <c r="I682" s="3"/>
      <c r="J682" s="3">
        <v>-334.84623415153891</v>
      </c>
    </row>
    <row r="683" spans="2:10" x14ac:dyDescent="0.25">
      <c r="B683" t="s">
        <v>137</v>
      </c>
      <c r="C683" t="s">
        <v>344</v>
      </c>
      <c r="D683" t="s">
        <v>362</v>
      </c>
      <c r="E683" t="s">
        <v>310</v>
      </c>
      <c r="F683" s="3">
        <v>-320.44946297683077</v>
      </c>
      <c r="G683" s="3"/>
      <c r="H683" s="3"/>
      <c r="I683" s="3"/>
      <c r="J683" s="3">
        <v>-320.44946297683077</v>
      </c>
    </row>
    <row r="684" spans="2:10" x14ac:dyDescent="0.25">
      <c r="B684" t="s">
        <v>137</v>
      </c>
      <c r="C684" t="s">
        <v>344</v>
      </c>
      <c r="D684" t="s">
        <v>362</v>
      </c>
      <c r="E684" t="s">
        <v>311</v>
      </c>
      <c r="F684" s="3">
        <v>-310.99356547923094</v>
      </c>
      <c r="G684" s="3"/>
      <c r="H684" s="3"/>
      <c r="I684" s="3"/>
      <c r="J684" s="3">
        <v>-310.99356547923094</v>
      </c>
    </row>
    <row r="685" spans="2:10" x14ac:dyDescent="0.25">
      <c r="B685" t="s">
        <v>137</v>
      </c>
      <c r="C685" t="s">
        <v>344</v>
      </c>
      <c r="D685" t="s">
        <v>362</v>
      </c>
      <c r="E685" t="s">
        <v>312</v>
      </c>
      <c r="F685" s="3">
        <v>-308.01499299551136</v>
      </c>
      <c r="G685" s="3"/>
      <c r="H685" s="3"/>
      <c r="I685" s="3"/>
      <c r="J685" s="3">
        <v>-308.01499299551136</v>
      </c>
    </row>
    <row r="686" spans="2:10" x14ac:dyDescent="0.25">
      <c r="B686" t="s">
        <v>137</v>
      </c>
      <c r="C686" t="s">
        <v>344</v>
      </c>
      <c r="D686" t="s">
        <v>363</v>
      </c>
      <c r="E686" t="s">
        <v>46</v>
      </c>
      <c r="F686" s="3"/>
      <c r="G686" s="3"/>
      <c r="H686" s="3"/>
      <c r="I686" s="3">
        <v>-1872.6927981715498</v>
      </c>
      <c r="J686" s="3">
        <v>-1872.6927981715498</v>
      </c>
    </row>
    <row r="687" spans="2:10" x14ac:dyDescent="0.25">
      <c r="B687" t="s">
        <v>137</v>
      </c>
      <c r="C687" t="s">
        <v>344</v>
      </c>
      <c r="D687" t="s">
        <v>363</v>
      </c>
      <c r="E687" t="s">
        <v>47</v>
      </c>
      <c r="F687" s="3"/>
      <c r="G687" s="3"/>
      <c r="H687" s="3"/>
      <c r="I687" s="3">
        <v>-1946.7983756675876</v>
      </c>
      <c r="J687" s="3">
        <v>-1946.7983756675876</v>
      </c>
    </row>
    <row r="688" spans="2:10" x14ac:dyDescent="0.25">
      <c r="B688" t="s">
        <v>137</v>
      </c>
      <c r="C688" t="s">
        <v>344</v>
      </c>
      <c r="D688" t="s">
        <v>363</v>
      </c>
      <c r="E688" t="s">
        <v>48</v>
      </c>
      <c r="F688" s="3"/>
      <c r="G688" s="3"/>
      <c r="H688" s="3"/>
      <c r="I688" s="3">
        <v>-1974.2921672065665</v>
      </c>
      <c r="J688" s="3">
        <v>-1974.2921672065665</v>
      </c>
    </row>
    <row r="689" spans="2:10" x14ac:dyDescent="0.25">
      <c r="B689" t="s">
        <v>137</v>
      </c>
      <c r="C689" t="s">
        <v>344</v>
      </c>
      <c r="D689" t="s">
        <v>363</v>
      </c>
      <c r="E689" t="s">
        <v>49</v>
      </c>
      <c r="F689" s="3"/>
      <c r="G689" s="3"/>
      <c r="H689" s="3"/>
      <c r="I689" s="3">
        <v>-2122.3211183366902</v>
      </c>
      <c r="J689" s="3">
        <v>-2122.3211183366902</v>
      </c>
    </row>
    <row r="690" spans="2:10" x14ac:dyDescent="0.25">
      <c r="B690" t="s">
        <v>137</v>
      </c>
      <c r="C690" t="s">
        <v>344</v>
      </c>
      <c r="D690" t="s">
        <v>363</v>
      </c>
      <c r="E690" t="s">
        <v>50</v>
      </c>
      <c r="F690" s="3"/>
      <c r="G690" s="3"/>
      <c r="H690" s="3"/>
      <c r="I690" s="3">
        <v>-2273.7102456728271</v>
      </c>
      <c r="J690" s="3">
        <v>-2273.7102456728271</v>
      </c>
    </row>
    <row r="691" spans="2:10" x14ac:dyDescent="0.25">
      <c r="B691" t="s">
        <v>137</v>
      </c>
      <c r="C691" t="s">
        <v>344</v>
      </c>
      <c r="D691" t="s">
        <v>363</v>
      </c>
      <c r="E691" t="s">
        <v>51</v>
      </c>
      <c r="F691" s="3"/>
      <c r="G691" s="3"/>
      <c r="H691" s="3">
        <v>-22.596753915547598</v>
      </c>
      <c r="I691" s="3">
        <v>-2567.0793417650848</v>
      </c>
      <c r="J691" s="3">
        <v>-2589.6760956806324</v>
      </c>
    </row>
    <row r="692" spans="2:10" x14ac:dyDescent="0.25">
      <c r="B692" t="s">
        <v>137</v>
      </c>
      <c r="C692" t="s">
        <v>344</v>
      </c>
      <c r="D692" t="s">
        <v>363</v>
      </c>
      <c r="E692" t="s">
        <v>196</v>
      </c>
      <c r="F692" s="3"/>
      <c r="G692" s="3"/>
      <c r="H692" s="3">
        <v>-73.541327782219099</v>
      </c>
      <c r="I692" s="3">
        <v>-2758.0038522314344</v>
      </c>
      <c r="J692" s="3">
        <v>-2831.5451800136534</v>
      </c>
    </row>
    <row r="693" spans="2:10" x14ac:dyDescent="0.25">
      <c r="B693" t="s">
        <v>137</v>
      </c>
      <c r="C693" t="s">
        <v>344</v>
      </c>
      <c r="D693" t="s">
        <v>363</v>
      </c>
      <c r="E693" t="s">
        <v>197</v>
      </c>
      <c r="F693" s="3"/>
      <c r="G693" s="3"/>
      <c r="H693" s="3">
        <v>-73.541327782219099</v>
      </c>
      <c r="I693" s="3">
        <v>-2821.0630085809125</v>
      </c>
      <c r="J693" s="3">
        <v>-2894.6043363631316</v>
      </c>
    </row>
    <row r="694" spans="2:10" x14ac:dyDescent="0.25">
      <c r="B694" t="s">
        <v>137</v>
      </c>
      <c r="C694" t="s">
        <v>344</v>
      </c>
      <c r="D694" t="s">
        <v>363</v>
      </c>
      <c r="E694" t="s">
        <v>198</v>
      </c>
      <c r="F694" s="3">
        <v>-0.97931248432916396</v>
      </c>
      <c r="G694" s="3"/>
      <c r="H694" s="3">
        <v>-73.541327782219099</v>
      </c>
      <c r="I694" s="3">
        <v>-2819.3547693170849</v>
      </c>
      <c r="J694" s="3">
        <v>-2893.875409583633</v>
      </c>
    </row>
    <row r="695" spans="2:10" x14ac:dyDescent="0.25">
      <c r="B695" t="s">
        <v>137</v>
      </c>
      <c r="C695" t="s">
        <v>344</v>
      </c>
      <c r="D695" t="s">
        <v>363</v>
      </c>
      <c r="E695" t="s">
        <v>199</v>
      </c>
      <c r="F695" s="3">
        <v>-1.899046393868504</v>
      </c>
      <c r="G695" s="3"/>
      <c r="H695" s="3">
        <v>-73.541327782219099</v>
      </c>
      <c r="I695" s="3">
        <v>-2814.1800700510698</v>
      </c>
      <c r="J695" s="3">
        <v>-2889.6204442271573</v>
      </c>
    </row>
    <row r="696" spans="2:10" x14ac:dyDescent="0.25">
      <c r="B696" t="s">
        <v>137</v>
      </c>
      <c r="C696" t="s">
        <v>344</v>
      </c>
      <c r="D696" t="s">
        <v>363</v>
      </c>
      <c r="E696" t="s">
        <v>200</v>
      </c>
      <c r="F696" s="3">
        <v>-1.8882389472533609</v>
      </c>
      <c r="G696" s="3"/>
      <c r="H696" s="3">
        <v>-73.541327782219099</v>
      </c>
      <c r="I696" s="3">
        <v>-2808.2287199838029</v>
      </c>
      <c r="J696" s="3">
        <v>-2883.6582867132752</v>
      </c>
    </row>
    <row r="697" spans="2:10" x14ac:dyDescent="0.25">
      <c r="B697" t="s">
        <v>137</v>
      </c>
      <c r="C697" t="s">
        <v>344</v>
      </c>
      <c r="D697" t="s">
        <v>363</v>
      </c>
      <c r="E697" t="s">
        <v>240</v>
      </c>
      <c r="F697" s="3">
        <v>-1.899046393868504</v>
      </c>
      <c r="G697" s="3"/>
      <c r="H697" s="3">
        <v>-47.064103903316997</v>
      </c>
      <c r="I697" s="3">
        <v>-2797.9446838437634</v>
      </c>
      <c r="J697" s="3">
        <v>-2846.907834140949</v>
      </c>
    </row>
    <row r="698" spans="2:10" x14ac:dyDescent="0.25">
      <c r="B698" t="s">
        <v>137</v>
      </c>
      <c r="C698" t="s">
        <v>344</v>
      </c>
      <c r="D698" t="s">
        <v>363</v>
      </c>
      <c r="E698" t="s">
        <v>301</v>
      </c>
      <c r="F698" s="3">
        <v>-1.320159907925734</v>
      </c>
      <c r="G698" s="3"/>
      <c r="H698" s="3">
        <v>-28.930181945545701</v>
      </c>
      <c r="I698" s="3">
        <v>-2786.6128518118499</v>
      </c>
      <c r="J698" s="3">
        <v>-2816.8631936653214</v>
      </c>
    </row>
    <row r="699" spans="2:10" x14ac:dyDescent="0.25">
      <c r="B699" t="s">
        <v>137</v>
      </c>
      <c r="C699" t="s">
        <v>344</v>
      </c>
      <c r="D699" t="s">
        <v>363</v>
      </c>
      <c r="E699" t="s">
        <v>302</v>
      </c>
      <c r="F699" s="3"/>
      <c r="G699" s="3"/>
      <c r="H699" s="3">
        <v>-16.0673886363032</v>
      </c>
      <c r="I699" s="3">
        <v>-2784.6025945742058</v>
      </c>
      <c r="J699" s="3">
        <v>-2800.6699832105091</v>
      </c>
    </row>
    <row r="700" spans="2:10" x14ac:dyDescent="0.25">
      <c r="B700" t="s">
        <v>137</v>
      </c>
      <c r="C700" t="s">
        <v>344</v>
      </c>
      <c r="D700" t="s">
        <v>363</v>
      </c>
      <c r="E700" t="s">
        <v>303</v>
      </c>
      <c r="F700" s="3"/>
      <c r="G700" s="3"/>
      <c r="H700" s="3"/>
      <c r="I700" s="3">
        <v>-2786.2708912640287</v>
      </c>
      <c r="J700" s="3">
        <v>-2786.2708912640287</v>
      </c>
    </row>
    <row r="701" spans="2:10" x14ac:dyDescent="0.25">
      <c r="B701" t="s">
        <v>137</v>
      </c>
      <c r="C701" t="s">
        <v>344</v>
      </c>
      <c r="D701" t="s">
        <v>363</v>
      </c>
      <c r="E701" t="s">
        <v>304</v>
      </c>
      <c r="F701" s="3">
        <v>-0.18400182927047901</v>
      </c>
      <c r="G701" s="3"/>
      <c r="H701" s="3"/>
      <c r="I701" s="3">
        <v>-2791.0682332180827</v>
      </c>
      <c r="J701" s="3">
        <v>-2791.2522350473532</v>
      </c>
    </row>
    <row r="702" spans="2:10" x14ac:dyDescent="0.25">
      <c r="B702" t="s">
        <v>137</v>
      </c>
      <c r="C702" t="s">
        <v>344</v>
      </c>
      <c r="D702" t="s">
        <v>363</v>
      </c>
      <c r="E702" t="s">
        <v>305</v>
      </c>
      <c r="F702" s="3">
        <v>-1.490583619724005</v>
      </c>
      <c r="G702" s="3"/>
      <c r="H702" s="3"/>
      <c r="I702" s="3">
        <v>-2798.1325962073565</v>
      </c>
      <c r="J702" s="3">
        <v>-2799.6231798270805</v>
      </c>
    </row>
    <row r="703" spans="2:10" x14ac:dyDescent="0.25">
      <c r="B703" t="s">
        <v>137</v>
      </c>
      <c r="C703" t="s">
        <v>344</v>
      </c>
      <c r="D703" t="s">
        <v>363</v>
      </c>
      <c r="E703" t="s">
        <v>306</v>
      </c>
      <c r="F703" s="3"/>
      <c r="G703" s="3"/>
      <c r="H703" s="3"/>
      <c r="I703" s="3">
        <v>-2783.1335516541021</v>
      </c>
      <c r="J703" s="3">
        <v>-2783.1335516541021</v>
      </c>
    </row>
    <row r="704" spans="2:10" x14ac:dyDescent="0.25">
      <c r="B704" t="s">
        <v>137</v>
      </c>
      <c r="C704" t="s">
        <v>344</v>
      </c>
      <c r="D704" t="s">
        <v>363</v>
      </c>
      <c r="E704" t="s">
        <v>307</v>
      </c>
      <c r="F704" s="3"/>
      <c r="G704" s="3"/>
      <c r="H704" s="3"/>
      <c r="I704" s="3">
        <v>-2784.0754960388404</v>
      </c>
      <c r="J704" s="3">
        <v>-2784.0754960388404</v>
      </c>
    </row>
    <row r="705" spans="2:10" x14ac:dyDescent="0.25">
      <c r="B705" t="s">
        <v>137</v>
      </c>
      <c r="C705" t="s">
        <v>344</v>
      </c>
      <c r="D705" t="s">
        <v>363</v>
      </c>
      <c r="E705" t="s">
        <v>308</v>
      </c>
      <c r="F705" s="3"/>
      <c r="G705" s="3"/>
      <c r="H705" s="3"/>
      <c r="I705" s="3">
        <v>-2796.0100263892518</v>
      </c>
      <c r="J705" s="3">
        <v>-2796.0100263892518</v>
      </c>
    </row>
    <row r="706" spans="2:10" x14ac:dyDescent="0.25">
      <c r="B706" t="s">
        <v>137</v>
      </c>
      <c r="C706" t="s">
        <v>344</v>
      </c>
      <c r="D706" t="s">
        <v>363</v>
      </c>
      <c r="E706" t="s">
        <v>309</v>
      </c>
      <c r="F706" s="3"/>
      <c r="G706" s="3"/>
      <c r="H706" s="3"/>
      <c r="I706" s="3">
        <v>-2766.8817474820116</v>
      </c>
      <c r="J706" s="3">
        <v>-2766.8817474820116</v>
      </c>
    </row>
    <row r="707" spans="2:10" x14ac:dyDescent="0.25">
      <c r="B707" t="s">
        <v>137</v>
      </c>
      <c r="C707" t="s">
        <v>344</v>
      </c>
      <c r="D707" t="s">
        <v>363</v>
      </c>
      <c r="E707" t="s">
        <v>310</v>
      </c>
      <c r="F707" s="3"/>
      <c r="G707" s="3"/>
      <c r="H707" s="3"/>
      <c r="I707" s="3">
        <v>-2688.4735362705446</v>
      </c>
      <c r="J707" s="3">
        <v>-2688.4735362705446</v>
      </c>
    </row>
    <row r="708" spans="2:10" x14ac:dyDescent="0.25">
      <c r="B708" t="s">
        <v>137</v>
      </c>
      <c r="C708" t="s">
        <v>344</v>
      </c>
      <c r="D708" t="s">
        <v>363</v>
      </c>
      <c r="E708" t="s">
        <v>311</v>
      </c>
      <c r="F708" s="3"/>
      <c r="G708" s="3"/>
      <c r="H708" s="3"/>
      <c r="I708" s="3">
        <v>-2547.9664778731481</v>
      </c>
      <c r="J708" s="3">
        <v>-2547.9664778731481</v>
      </c>
    </row>
    <row r="709" spans="2:10" x14ac:dyDescent="0.25">
      <c r="B709" t="s">
        <v>137</v>
      </c>
      <c r="C709" t="s">
        <v>344</v>
      </c>
      <c r="D709" t="s">
        <v>363</v>
      </c>
      <c r="E709" t="s">
        <v>312</v>
      </c>
      <c r="F709" s="3"/>
      <c r="G709" s="3"/>
      <c r="H709" s="3"/>
      <c r="I709" s="3">
        <v>-2229.9012944037431</v>
      </c>
      <c r="J709" s="3">
        <v>-2229.9012944037431</v>
      </c>
    </row>
    <row r="710" spans="2:10" x14ac:dyDescent="0.25">
      <c r="B710" t="s">
        <v>137</v>
      </c>
      <c r="C710" t="s">
        <v>364</v>
      </c>
      <c r="D710" t="s">
        <v>365</v>
      </c>
      <c r="E710" t="s">
        <v>46</v>
      </c>
      <c r="F710" s="3">
        <v>2.4</v>
      </c>
      <c r="G710" s="3"/>
      <c r="H710" s="3"/>
      <c r="I710" s="3"/>
      <c r="J710" s="3">
        <v>2.4</v>
      </c>
    </row>
    <row r="711" spans="2:10" x14ac:dyDescent="0.25">
      <c r="B711" t="s">
        <v>137</v>
      </c>
      <c r="C711" t="s">
        <v>364</v>
      </c>
      <c r="D711" t="s">
        <v>365</v>
      </c>
      <c r="E711" t="s">
        <v>47</v>
      </c>
      <c r="F711" s="3">
        <v>2.4</v>
      </c>
      <c r="G711" s="3"/>
      <c r="H711" s="3"/>
      <c r="I711" s="3"/>
      <c r="J711" s="3">
        <v>2.4</v>
      </c>
    </row>
    <row r="712" spans="2:10" x14ac:dyDescent="0.25">
      <c r="B712" t="s">
        <v>137</v>
      </c>
      <c r="C712" t="s">
        <v>364</v>
      </c>
      <c r="D712" t="s">
        <v>365</v>
      </c>
      <c r="E712" t="s">
        <v>48</v>
      </c>
      <c r="F712" s="3">
        <v>2.4</v>
      </c>
      <c r="G712" s="3"/>
      <c r="H712" s="3"/>
      <c r="I712" s="3"/>
      <c r="J712" s="3">
        <v>2.4</v>
      </c>
    </row>
    <row r="713" spans="2:10" x14ac:dyDescent="0.25">
      <c r="B713" t="s">
        <v>137</v>
      </c>
      <c r="C713" t="s">
        <v>364</v>
      </c>
      <c r="D713" t="s">
        <v>365</v>
      </c>
      <c r="E713" t="s">
        <v>49</v>
      </c>
      <c r="F713" s="3">
        <v>2.4</v>
      </c>
      <c r="G713" s="3"/>
      <c r="H713" s="3"/>
      <c r="I713" s="3"/>
      <c r="J713" s="3">
        <v>2.4</v>
      </c>
    </row>
    <row r="714" spans="2:10" x14ac:dyDescent="0.25">
      <c r="B714" t="s">
        <v>137</v>
      </c>
      <c r="C714" t="s">
        <v>364</v>
      </c>
      <c r="D714" t="s">
        <v>365</v>
      </c>
      <c r="E714" t="s">
        <v>50</v>
      </c>
      <c r="F714" s="3">
        <v>2.4</v>
      </c>
      <c r="G714" s="3"/>
      <c r="H714" s="3"/>
      <c r="I714" s="3"/>
      <c r="J714" s="3">
        <v>2.4</v>
      </c>
    </row>
    <row r="715" spans="2:10" x14ac:dyDescent="0.25">
      <c r="B715" t="s">
        <v>137</v>
      </c>
      <c r="C715" t="s">
        <v>364</v>
      </c>
      <c r="D715" t="s">
        <v>365</v>
      </c>
      <c r="E715" t="s">
        <v>51</v>
      </c>
      <c r="F715" s="3">
        <v>2.4</v>
      </c>
      <c r="G715" s="3"/>
      <c r="H715" s="3"/>
      <c r="I715" s="3"/>
      <c r="J715" s="3">
        <v>2.4</v>
      </c>
    </row>
    <row r="716" spans="2:10" x14ac:dyDescent="0.25">
      <c r="B716" t="s">
        <v>137</v>
      </c>
      <c r="C716" t="s">
        <v>364</v>
      </c>
      <c r="D716" t="s">
        <v>365</v>
      </c>
      <c r="E716" t="s">
        <v>196</v>
      </c>
      <c r="F716" s="3">
        <v>2.4</v>
      </c>
      <c r="G716" s="3"/>
      <c r="H716" s="3"/>
      <c r="I716" s="3"/>
      <c r="J716" s="3">
        <v>2.4</v>
      </c>
    </row>
    <row r="717" spans="2:10" x14ac:dyDescent="0.25">
      <c r="B717" t="s">
        <v>137</v>
      </c>
      <c r="C717" t="s">
        <v>364</v>
      </c>
      <c r="D717" t="s">
        <v>365</v>
      </c>
      <c r="E717" t="s">
        <v>197</v>
      </c>
      <c r="F717" s="3">
        <v>2.4</v>
      </c>
      <c r="G717" s="3"/>
      <c r="H717" s="3"/>
      <c r="I717" s="3"/>
      <c r="J717" s="3">
        <v>2.4</v>
      </c>
    </row>
    <row r="718" spans="2:10" x14ac:dyDescent="0.25">
      <c r="B718" t="s">
        <v>137</v>
      </c>
      <c r="C718" t="s">
        <v>364</v>
      </c>
      <c r="D718" t="s">
        <v>365</v>
      </c>
      <c r="E718" t="s">
        <v>198</v>
      </c>
      <c r="F718" s="3">
        <v>2.4</v>
      </c>
      <c r="G718" s="3"/>
      <c r="H718" s="3"/>
      <c r="I718" s="3"/>
      <c r="J718" s="3">
        <v>2.4</v>
      </c>
    </row>
    <row r="719" spans="2:10" x14ac:dyDescent="0.25">
      <c r="B719" t="s">
        <v>137</v>
      </c>
      <c r="C719" t="s">
        <v>364</v>
      </c>
      <c r="D719" t="s">
        <v>365</v>
      </c>
      <c r="E719" t="s">
        <v>199</v>
      </c>
      <c r="F719" s="3">
        <v>2.4</v>
      </c>
      <c r="G719" s="3"/>
      <c r="H719" s="3"/>
      <c r="I719" s="3"/>
      <c r="J719" s="3">
        <v>2.4</v>
      </c>
    </row>
    <row r="720" spans="2:10" x14ac:dyDescent="0.25">
      <c r="B720" t="s">
        <v>137</v>
      </c>
      <c r="C720" t="s">
        <v>364</v>
      </c>
      <c r="D720" t="s">
        <v>365</v>
      </c>
      <c r="E720" t="s">
        <v>200</v>
      </c>
      <c r="F720" s="3">
        <v>2.4</v>
      </c>
      <c r="G720" s="3"/>
      <c r="H720" s="3"/>
      <c r="I720" s="3"/>
      <c r="J720" s="3">
        <v>2.4</v>
      </c>
    </row>
    <row r="721" spans="2:10" x14ac:dyDescent="0.25">
      <c r="B721" t="s">
        <v>137</v>
      </c>
      <c r="C721" t="s">
        <v>364</v>
      </c>
      <c r="D721" t="s">
        <v>365</v>
      </c>
      <c r="E721" t="s">
        <v>240</v>
      </c>
      <c r="F721" s="3">
        <v>2.4</v>
      </c>
      <c r="G721" s="3"/>
      <c r="H721" s="3"/>
      <c r="I721" s="3"/>
      <c r="J721" s="3">
        <v>2.4</v>
      </c>
    </row>
    <row r="722" spans="2:10" x14ac:dyDescent="0.25">
      <c r="B722" t="s">
        <v>137</v>
      </c>
      <c r="C722" t="s">
        <v>364</v>
      </c>
      <c r="D722" t="s">
        <v>365</v>
      </c>
      <c r="E722" t="s">
        <v>301</v>
      </c>
      <c r="F722" s="3">
        <v>2.4</v>
      </c>
      <c r="G722" s="3"/>
      <c r="H722" s="3"/>
      <c r="I722" s="3"/>
      <c r="J722" s="3">
        <v>2.4</v>
      </c>
    </row>
    <row r="723" spans="2:10" x14ac:dyDescent="0.25">
      <c r="B723" t="s">
        <v>137</v>
      </c>
      <c r="C723" t="s">
        <v>364</v>
      </c>
      <c r="D723" t="s">
        <v>365</v>
      </c>
      <c r="E723" t="s">
        <v>302</v>
      </c>
      <c r="F723" s="3">
        <v>2.4</v>
      </c>
      <c r="G723" s="3"/>
      <c r="H723" s="3"/>
      <c r="I723" s="3"/>
      <c r="J723" s="3">
        <v>2.4</v>
      </c>
    </row>
    <row r="724" spans="2:10" x14ac:dyDescent="0.25">
      <c r="B724" t="s">
        <v>137</v>
      </c>
      <c r="C724" t="s">
        <v>364</v>
      </c>
      <c r="D724" t="s">
        <v>365</v>
      </c>
      <c r="E724" t="s">
        <v>303</v>
      </c>
      <c r="F724" s="3">
        <v>2.4</v>
      </c>
      <c r="G724" s="3"/>
      <c r="H724" s="3"/>
      <c r="I724" s="3"/>
      <c r="J724" s="3">
        <v>2.4</v>
      </c>
    </row>
    <row r="725" spans="2:10" x14ac:dyDescent="0.25">
      <c r="B725" t="s">
        <v>137</v>
      </c>
      <c r="C725" t="s">
        <v>364</v>
      </c>
      <c r="D725" t="s">
        <v>365</v>
      </c>
      <c r="E725" t="s">
        <v>304</v>
      </c>
      <c r="F725" s="3">
        <v>2.4</v>
      </c>
      <c r="G725" s="3"/>
      <c r="H725" s="3"/>
      <c r="I725" s="3"/>
      <c r="J725" s="3">
        <v>2.4</v>
      </c>
    </row>
    <row r="726" spans="2:10" x14ac:dyDescent="0.25">
      <c r="B726" t="s">
        <v>137</v>
      </c>
      <c r="C726" t="s">
        <v>364</v>
      </c>
      <c r="D726" t="s">
        <v>365</v>
      </c>
      <c r="E726" t="s">
        <v>305</v>
      </c>
      <c r="F726" s="3">
        <v>2.4</v>
      </c>
      <c r="G726" s="3"/>
      <c r="H726" s="3"/>
      <c r="I726" s="3"/>
      <c r="J726" s="3">
        <v>2.4</v>
      </c>
    </row>
    <row r="727" spans="2:10" x14ac:dyDescent="0.25">
      <c r="B727" t="s">
        <v>137</v>
      </c>
      <c r="C727" t="s">
        <v>364</v>
      </c>
      <c r="D727" t="s">
        <v>365</v>
      </c>
      <c r="E727" t="s">
        <v>306</v>
      </c>
      <c r="F727" s="3">
        <v>2.4</v>
      </c>
      <c r="G727" s="3"/>
      <c r="H727" s="3"/>
      <c r="I727" s="3"/>
      <c r="J727" s="3">
        <v>2.4</v>
      </c>
    </row>
    <row r="728" spans="2:10" x14ac:dyDescent="0.25">
      <c r="B728" t="s">
        <v>137</v>
      </c>
      <c r="C728" t="s">
        <v>364</v>
      </c>
      <c r="D728" t="s">
        <v>365</v>
      </c>
      <c r="E728" t="s">
        <v>307</v>
      </c>
      <c r="F728" s="3">
        <v>2.4</v>
      </c>
      <c r="G728" s="3"/>
      <c r="H728" s="3"/>
      <c r="I728" s="3"/>
      <c r="J728" s="3">
        <v>2.4</v>
      </c>
    </row>
    <row r="729" spans="2:10" x14ac:dyDescent="0.25">
      <c r="B729" t="s">
        <v>137</v>
      </c>
      <c r="C729" t="s">
        <v>364</v>
      </c>
      <c r="D729" t="s">
        <v>365</v>
      </c>
      <c r="E729" t="s">
        <v>308</v>
      </c>
      <c r="F729" s="3">
        <v>2.4</v>
      </c>
      <c r="G729" s="3"/>
      <c r="H729" s="3"/>
      <c r="I729" s="3"/>
      <c r="J729" s="3">
        <v>2.4</v>
      </c>
    </row>
    <row r="730" spans="2:10" x14ac:dyDescent="0.25">
      <c r="B730" t="s">
        <v>137</v>
      </c>
      <c r="C730" t="s">
        <v>364</v>
      </c>
      <c r="D730" t="s">
        <v>365</v>
      </c>
      <c r="E730" t="s">
        <v>309</v>
      </c>
      <c r="F730" s="3">
        <v>2.4</v>
      </c>
      <c r="G730" s="3"/>
      <c r="H730" s="3"/>
      <c r="I730" s="3"/>
      <c r="J730" s="3">
        <v>2.4</v>
      </c>
    </row>
    <row r="731" spans="2:10" x14ac:dyDescent="0.25">
      <c r="B731" t="s">
        <v>137</v>
      </c>
      <c r="C731" t="s">
        <v>364</v>
      </c>
      <c r="D731" t="s">
        <v>365</v>
      </c>
      <c r="E731" t="s">
        <v>310</v>
      </c>
      <c r="F731" s="3">
        <v>2.4</v>
      </c>
      <c r="G731" s="3"/>
      <c r="H731" s="3"/>
      <c r="I731" s="3"/>
      <c r="J731" s="3">
        <v>2.4</v>
      </c>
    </row>
    <row r="732" spans="2:10" x14ac:dyDescent="0.25">
      <c r="B732" t="s">
        <v>137</v>
      </c>
      <c r="C732" t="s">
        <v>364</v>
      </c>
      <c r="D732" t="s">
        <v>365</v>
      </c>
      <c r="E732" t="s">
        <v>311</v>
      </c>
      <c r="F732" s="3">
        <v>2.4</v>
      </c>
      <c r="G732" s="3"/>
      <c r="H732" s="3"/>
      <c r="I732" s="3"/>
      <c r="J732" s="3">
        <v>2.4</v>
      </c>
    </row>
    <row r="733" spans="2:10" x14ac:dyDescent="0.25">
      <c r="B733" t="s">
        <v>137</v>
      </c>
      <c r="C733" t="s">
        <v>364</v>
      </c>
      <c r="D733" t="s">
        <v>365</v>
      </c>
      <c r="E733" t="s">
        <v>312</v>
      </c>
      <c r="F733" s="3">
        <v>2.4</v>
      </c>
      <c r="G733" s="3"/>
      <c r="H733" s="3"/>
      <c r="I733" s="3"/>
      <c r="J733" s="3">
        <v>2.4</v>
      </c>
    </row>
    <row r="734" spans="2:10" x14ac:dyDescent="0.25">
      <c r="B734" t="s">
        <v>137</v>
      </c>
      <c r="C734" t="s">
        <v>364</v>
      </c>
      <c r="D734" t="s">
        <v>366</v>
      </c>
      <c r="E734" t="s">
        <v>46</v>
      </c>
      <c r="F734" s="3">
        <v>29.6580950221222</v>
      </c>
      <c r="G734" s="3"/>
      <c r="H734" s="3"/>
      <c r="I734" s="3"/>
      <c r="J734" s="3">
        <v>29.6580950221222</v>
      </c>
    </row>
    <row r="735" spans="2:10" x14ac:dyDescent="0.25">
      <c r="B735" t="s">
        <v>137</v>
      </c>
      <c r="C735" t="s">
        <v>364</v>
      </c>
      <c r="D735" t="s">
        <v>366</v>
      </c>
      <c r="E735" t="s">
        <v>47</v>
      </c>
      <c r="F735" s="3">
        <v>29.6580950221222</v>
      </c>
      <c r="G735" s="3"/>
      <c r="H735" s="3"/>
      <c r="I735" s="3"/>
      <c r="J735" s="3">
        <v>29.6580950221222</v>
      </c>
    </row>
    <row r="736" spans="2:10" x14ac:dyDescent="0.25">
      <c r="B736" t="s">
        <v>137</v>
      </c>
      <c r="C736" t="s">
        <v>364</v>
      </c>
      <c r="D736" t="s">
        <v>366</v>
      </c>
      <c r="E736" t="s">
        <v>48</v>
      </c>
      <c r="F736" s="3">
        <v>32.513059382409999</v>
      </c>
      <c r="G736" s="3"/>
      <c r="H736" s="3"/>
      <c r="I736" s="3"/>
      <c r="J736" s="3">
        <v>32.513059382409999</v>
      </c>
    </row>
    <row r="737" spans="2:10" x14ac:dyDescent="0.25">
      <c r="B737" t="s">
        <v>137</v>
      </c>
      <c r="C737" t="s">
        <v>364</v>
      </c>
      <c r="D737" t="s">
        <v>366</v>
      </c>
      <c r="E737" t="s">
        <v>49</v>
      </c>
      <c r="F737" s="3">
        <v>42.3</v>
      </c>
      <c r="G737" s="3"/>
      <c r="H737" s="3"/>
      <c r="I737" s="3"/>
      <c r="J737" s="3">
        <v>42.3</v>
      </c>
    </row>
    <row r="738" spans="2:10" x14ac:dyDescent="0.25">
      <c r="B738" t="s">
        <v>137</v>
      </c>
      <c r="C738" t="s">
        <v>364</v>
      </c>
      <c r="D738" t="s">
        <v>366</v>
      </c>
      <c r="E738" t="s">
        <v>50</v>
      </c>
      <c r="F738" s="3">
        <v>42.3</v>
      </c>
      <c r="G738" s="3"/>
      <c r="H738" s="3"/>
      <c r="I738" s="3"/>
      <c r="J738" s="3">
        <v>42.3</v>
      </c>
    </row>
    <row r="739" spans="2:10" x14ac:dyDescent="0.25">
      <c r="B739" t="s">
        <v>137</v>
      </c>
      <c r="C739" t="s">
        <v>364</v>
      </c>
      <c r="D739" t="s">
        <v>366</v>
      </c>
      <c r="E739" t="s">
        <v>51</v>
      </c>
      <c r="F739" s="3">
        <v>42.3</v>
      </c>
      <c r="G739" s="3"/>
      <c r="H739" s="3"/>
      <c r="I739" s="3"/>
      <c r="J739" s="3">
        <v>42.3</v>
      </c>
    </row>
    <row r="740" spans="2:10" x14ac:dyDescent="0.25">
      <c r="B740" t="s">
        <v>137</v>
      </c>
      <c r="C740" t="s">
        <v>364</v>
      </c>
      <c r="D740" t="s">
        <v>366</v>
      </c>
      <c r="E740" t="s">
        <v>196</v>
      </c>
      <c r="F740" s="3">
        <v>42.3</v>
      </c>
      <c r="G740" s="3"/>
      <c r="H740" s="3"/>
      <c r="I740" s="3"/>
      <c r="J740" s="3">
        <v>42.3</v>
      </c>
    </row>
    <row r="741" spans="2:10" x14ac:dyDescent="0.25">
      <c r="B741" t="s">
        <v>137</v>
      </c>
      <c r="C741" t="s">
        <v>364</v>
      </c>
      <c r="D741" t="s">
        <v>366</v>
      </c>
      <c r="E741" t="s">
        <v>197</v>
      </c>
      <c r="F741" s="3">
        <v>42.3</v>
      </c>
      <c r="G741" s="3"/>
      <c r="H741" s="3"/>
      <c r="I741" s="3"/>
      <c r="J741" s="3">
        <v>42.3</v>
      </c>
    </row>
    <row r="742" spans="2:10" x14ac:dyDescent="0.25">
      <c r="B742" t="s">
        <v>137</v>
      </c>
      <c r="C742" t="s">
        <v>364</v>
      </c>
      <c r="D742" t="s">
        <v>366</v>
      </c>
      <c r="E742" t="s">
        <v>198</v>
      </c>
      <c r="F742" s="3">
        <v>42.3</v>
      </c>
      <c r="G742" s="3"/>
      <c r="H742" s="3"/>
      <c r="I742" s="3"/>
      <c r="J742" s="3">
        <v>42.3</v>
      </c>
    </row>
    <row r="743" spans="2:10" x14ac:dyDescent="0.25">
      <c r="B743" t="s">
        <v>137</v>
      </c>
      <c r="C743" t="s">
        <v>364</v>
      </c>
      <c r="D743" t="s">
        <v>366</v>
      </c>
      <c r="E743" t="s">
        <v>199</v>
      </c>
      <c r="F743" s="3">
        <v>42.3</v>
      </c>
      <c r="G743" s="3"/>
      <c r="H743" s="3"/>
      <c r="I743" s="3"/>
      <c r="J743" s="3">
        <v>42.3</v>
      </c>
    </row>
    <row r="744" spans="2:10" x14ac:dyDescent="0.25">
      <c r="B744" t="s">
        <v>137</v>
      </c>
      <c r="C744" t="s">
        <v>364</v>
      </c>
      <c r="D744" t="s">
        <v>366</v>
      </c>
      <c r="E744" t="s">
        <v>200</v>
      </c>
      <c r="F744" s="3">
        <v>42.3</v>
      </c>
      <c r="G744" s="3"/>
      <c r="H744" s="3"/>
      <c r="I744" s="3"/>
      <c r="J744" s="3">
        <v>42.3</v>
      </c>
    </row>
    <row r="745" spans="2:10" x14ac:dyDescent="0.25">
      <c r="B745" t="s">
        <v>137</v>
      </c>
      <c r="C745" t="s">
        <v>364</v>
      </c>
      <c r="D745" t="s">
        <v>366</v>
      </c>
      <c r="E745" t="s">
        <v>240</v>
      </c>
      <c r="F745" s="3">
        <v>42.3</v>
      </c>
      <c r="G745" s="3"/>
      <c r="H745" s="3"/>
      <c r="I745" s="3"/>
      <c r="J745" s="3">
        <v>42.3</v>
      </c>
    </row>
    <row r="746" spans="2:10" x14ac:dyDescent="0.25">
      <c r="B746" t="s">
        <v>137</v>
      </c>
      <c r="C746" t="s">
        <v>364</v>
      </c>
      <c r="D746" t="s">
        <v>366</v>
      </c>
      <c r="E746" t="s">
        <v>301</v>
      </c>
      <c r="F746" s="3">
        <v>42.3</v>
      </c>
      <c r="G746" s="3"/>
      <c r="H746" s="3"/>
      <c r="I746" s="3"/>
      <c r="J746" s="3">
        <v>42.3</v>
      </c>
    </row>
    <row r="747" spans="2:10" x14ac:dyDescent="0.25">
      <c r="B747" t="s">
        <v>137</v>
      </c>
      <c r="C747" t="s">
        <v>364</v>
      </c>
      <c r="D747" t="s">
        <v>366</v>
      </c>
      <c r="E747" t="s">
        <v>302</v>
      </c>
      <c r="F747" s="3">
        <v>42.3</v>
      </c>
      <c r="G747" s="3"/>
      <c r="H747" s="3"/>
      <c r="I747" s="3"/>
      <c r="J747" s="3">
        <v>42.3</v>
      </c>
    </row>
    <row r="748" spans="2:10" x14ac:dyDescent="0.25">
      <c r="B748" t="s">
        <v>137</v>
      </c>
      <c r="C748" t="s">
        <v>364</v>
      </c>
      <c r="D748" t="s">
        <v>366</v>
      </c>
      <c r="E748" t="s">
        <v>303</v>
      </c>
      <c r="F748" s="3">
        <v>41.077952463273597</v>
      </c>
      <c r="G748" s="3"/>
      <c r="H748" s="3"/>
      <c r="I748" s="3"/>
      <c r="J748" s="3">
        <v>41.077952463273597</v>
      </c>
    </row>
    <row r="749" spans="2:10" x14ac:dyDescent="0.25">
      <c r="B749" t="s">
        <v>137</v>
      </c>
      <c r="C749" t="s">
        <v>364</v>
      </c>
      <c r="D749" t="s">
        <v>366</v>
      </c>
      <c r="E749" t="s">
        <v>304</v>
      </c>
      <c r="F749" s="3">
        <v>42.3</v>
      </c>
      <c r="G749" s="3"/>
      <c r="H749" s="3"/>
      <c r="I749" s="3"/>
      <c r="J749" s="3">
        <v>42.3</v>
      </c>
    </row>
    <row r="750" spans="2:10" x14ac:dyDescent="0.25">
      <c r="B750" t="s">
        <v>137</v>
      </c>
      <c r="C750" t="s">
        <v>364</v>
      </c>
      <c r="D750" t="s">
        <v>366</v>
      </c>
      <c r="E750" t="s">
        <v>305</v>
      </c>
      <c r="F750" s="3">
        <v>42.3</v>
      </c>
      <c r="G750" s="3"/>
      <c r="H750" s="3"/>
      <c r="I750" s="3"/>
      <c r="J750" s="3">
        <v>42.3</v>
      </c>
    </row>
    <row r="751" spans="2:10" x14ac:dyDescent="0.25">
      <c r="B751" t="s">
        <v>137</v>
      </c>
      <c r="C751" t="s">
        <v>364</v>
      </c>
      <c r="D751" t="s">
        <v>366</v>
      </c>
      <c r="E751" t="s">
        <v>306</v>
      </c>
      <c r="F751" s="3">
        <v>42.3</v>
      </c>
      <c r="G751" s="3"/>
      <c r="H751" s="3"/>
      <c r="I751" s="3"/>
      <c r="J751" s="3">
        <v>42.3</v>
      </c>
    </row>
    <row r="752" spans="2:10" x14ac:dyDescent="0.25">
      <c r="B752" t="s">
        <v>137</v>
      </c>
      <c r="C752" t="s">
        <v>364</v>
      </c>
      <c r="D752" t="s">
        <v>366</v>
      </c>
      <c r="E752" t="s">
        <v>307</v>
      </c>
      <c r="F752" s="3">
        <v>42.3</v>
      </c>
      <c r="G752" s="3"/>
      <c r="H752" s="3"/>
      <c r="I752" s="3"/>
      <c r="J752" s="3">
        <v>42.3</v>
      </c>
    </row>
    <row r="753" spans="2:10" x14ac:dyDescent="0.25">
      <c r="B753" t="s">
        <v>137</v>
      </c>
      <c r="C753" t="s">
        <v>364</v>
      </c>
      <c r="D753" t="s">
        <v>366</v>
      </c>
      <c r="E753" t="s">
        <v>308</v>
      </c>
      <c r="F753" s="3">
        <v>42.3</v>
      </c>
      <c r="G753" s="3"/>
      <c r="H753" s="3"/>
      <c r="I753" s="3"/>
      <c r="J753" s="3">
        <v>42.3</v>
      </c>
    </row>
    <row r="754" spans="2:10" x14ac:dyDescent="0.25">
      <c r="B754" t="s">
        <v>137</v>
      </c>
      <c r="C754" t="s">
        <v>364</v>
      </c>
      <c r="D754" t="s">
        <v>366</v>
      </c>
      <c r="E754" t="s">
        <v>309</v>
      </c>
      <c r="F754" s="3">
        <v>42.3</v>
      </c>
      <c r="G754" s="3"/>
      <c r="H754" s="3"/>
      <c r="I754" s="3"/>
      <c r="J754" s="3">
        <v>42.3</v>
      </c>
    </row>
    <row r="755" spans="2:10" x14ac:dyDescent="0.25">
      <c r="B755" t="s">
        <v>137</v>
      </c>
      <c r="C755" t="s">
        <v>364</v>
      </c>
      <c r="D755" t="s">
        <v>366</v>
      </c>
      <c r="E755" t="s">
        <v>310</v>
      </c>
      <c r="F755" s="3">
        <v>42.3</v>
      </c>
      <c r="G755" s="3"/>
      <c r="H755" s="3"/>
      <c r="I755" s="3"/>
      <c r="J755" s="3">
        <v>42.3</v>
      </c>
    </row>
    <row r="756" spans="2:10" x14ac:dyDescent="0.25">
      <c r="B756" t="s">
        <v>137</v>
      </c>
      <c r="C756" t="s">
        <v>364</v>
      </c>
      <c r="D756" t="s">
        <v>366</v>
      </c>
      <c r="E756" t="s">
        <v>311</v>
      </c>
      <c r="F756" s="3">
        <v>42.3</v>
      </c>
      <c r="G756" s="3"/>
      <c r="H756" s="3"/>
      <c r="I756" s="3"/>
      <c r="J756" s="3">
        <v>42.3</v>
      </c>
    </row>
    <row r="757" spans="2:10" x14ac:dyDescent="0.25">
      <c r="B757" t="s">
        <v>137</v>
      </c>
      <c r="C757" t="s">
        <v>364</v>
      </c>
      <c r="D757" t="s">
        <v>366</v>
      </c>
      <c r="E757" t="s">
        <v>312</v>
      </c>
      <c r="F757" s="3">
        <v>29.6580950221222</v>
      </c>
      <c r="G757" s="3"/>
      <c r="H757" s="3"/>
      <c r="I757" s="3"/>
      <c r="J757" s="3">
        <v>29.6580950221222</v>
      </c>
    </row>
    <row r="758" spans="2:10" x14ac:dyDescent="0.25">
      <c r="B758" t="s">
        <v>137</v>
      </c>
      <c r="C758" t="s">
        <v>364</v>
      </c>
      <c r="D758" t="s">
        <v>367</v>
      </c>
      <c r="E758" t="s">
        <v>46</v>
      </c>
      <c r="F758" s="3">
        <v>23.7</v>
      </c>
      <c r="G758" s="3"/>
      <c r="H758" s="3"/>
      <c r="I758" s="3"/>
      <c r="J758" s="3">
        <v>23.7</v>
      </c>
    </row>
    <row r="759" spans="2:10" x14ac:dyDescent="0.25">
      <c r="B759" t="s">
        <v>137</v>
      </c>
      <c r="C759" t="s">
        <v>364</v>
      </c>
      <c r="D759" t="s">
        <v>367</v>
      </c>
      <c r="E759" t="s">
        <v>47</v>
      </c>
      <c r="F759" s="3">
        <v>23.7</v>
      </c>
      <c r="G759" s="3"/>
      <c r="H759" s="3"/>
      <c r="I759" s="3"/>
      <c r="J759" s="3">
        <v>23.7</v>
      </c>
    </row>
    <row r="760" spans="2:10" x14ac:dyDescent="0.25">
      <c r="B760" t="s">
        <v>137</v>
      </c>
      <c r="C760" t="s">
        <v>364</v>
      </c>
      <c r="D760" t="s">
        <v>367</v>
      </c>
      <c r="E760" t="s">
        <v>48</v>
      </c>
      <c r="F760" s="3">
        <v>23.7</v>
      </c>
      <c r="G760" s="3"/>
      <c r="H760" s="3"/>
      <c r="I760" s="3"/>
      <c r="J760" s="3">
        <v>23.7</v>
      </c>
    </row>
    <row r="761" spans="2:10" x14ac:dyDescent="0.25">
      <c r="B761" t="s">
        <v>137</v>
      </c>
      <c r="C761" t="s">
        <v>364</v>
      </c>
      <c r="D761" t="s">
        <v>367</v>
      </c>
      <c r="E761" t="s">
        <v>49</v>
      </c>
      <c r="F761" s="3">
        <v>23.7</v>
      </c>
      <c r="G761" s="3"/>
      <c r="H761" s="3"/>
      <c r="I761" s="3"/>
      <c r="J761" s="3">
        <v>23.7</v>
      </c>
    </row>
    <row r="762" spans="2:10" x14ac:dyDescent="0.25">
      <c r="B762" t="s">
        <v>137</v>
      </c>
      <c r="C762" t="s">
        <v>364</v>
      </c>
      <c r="D762" t="s">
        <v>367</v>
      </c>
      <c r="E762" t="s">
        <v>50</v>
      </c>
      <c r="F762" s="3">
        <v>23.7</v>
      </c>
      <c r="G762" s="3"/>
      <c r="H762" s="3"/>
      <c r="I762" s="3"/>
      <c r="J762" s="3">
        <v>23.7</v>
      </c>
    </row>
    <row r="763" spans="2:10" x14ac:dyDescent="0.25">
      <c r="B763" t="s">
        <v>137</v>
      </c>
      <c r="C763" t="s">
        <v>364</v>
      </c>
      <c r="D763" t="s">
        <v>367</v>
      </c>
      <c r="E763" t="s">
        <v>51</v>
      </c>
      <c r="F763" s="3">
        <v>23.7</v>
      </c>
      <c r="G763" s="3"/>
      <c r="H763" s="3"/>
      <c r="I763" s="3"/>
      <c r="J763" s="3">
        <v>23.7</v>
      </c>
    </row>
    <row r="764" spans="2:10" x14ac:dyDescent="0.25">
      <c r="B764" t="s">
        <v>137</v>
      </c>
      <c r="C764" t="s">
        <v>364</v>
      </c>
      <c r="D764" t="s">
        <v>367</v>
      </c>
      <c r="E764" t="s">
        <v>196</v>
      </c>
      <c r="F764" s="3">
        <v>23.7</v>
      </c>
      <c r="G764" s="3"/>
      <c r="H764" s="3"/>
      <c r="I764" s="3"/>
      <c r="J764" s="3">
        <v>23.7</v>
      </c>
    </row>
    <row r="765" spans="2:10" x14ac:dyDescent="0.25">
      <c r="B765" t="s">
        <v>137</v>
      </c>
      <c r="C765" t="s">
        <v>364</v>
      </c>
      <c r="D765" t="s">
        <v>367</v>
      </c>
      <c r="E765" t="s">
        <v>197</v>
      </c>
      <c r="F765" s="3">
        <v>23.7</v>
      </c>
      <c r="G765" s="3"/>
      <c r="H765" s="3"/>
      <c r="I765" s="3"/>
      <c r="J765" s="3">
        <v>23.7</v>
      </c>
    </row>
    <row r="766" spans="2:10" x14ac:dyDescent="0.25">
      <c r="B766" t="s">
        <v>137</v>
      </c>
      <c r="C766" t="s">
        <v>364</v>
      </c>
      <c r="D766" t="s">
        <v>367</v>
      </c>
      <c r="E766" t="s">
        <v>198</v>
      </c>
      <c r="F766" s="3">
        <v>23.7</v>
      </c>
      <c r="G766" s="3"/>
      <c r="H766" s="3"/>
      <c r="I766" s="3"/>
      <c r="J766" s="3">
        <v>23.7</v>
      </c>
    </row>
    <row r="767" spans="2:10" x14ac:dyDescent="0.25">
      <c r="B767" t="s">
        <v>137</v>
      </c>
      <c r="C767" t="s">
        <v>364</v>
      </c>
      <c r="D767" t="s">
        <v>367</v>
      </c>
      <c r="E767" t="s">
        <v>199</v>
      </c>
      <c r="F767" s="3">
        <v>23.7</v>
      </c>
      <c r="G767" s="3"/>
      <c r="H767" s="3"/>
      <c r="I767" s="3"/>
      <c r="J767" s="3">
        <v>23.7</v>
      </c>
    </row>
    <row r="768" spans="2:10" x14ac:dyDescent="0.25">
      <c r="B768" t="s">
        <v>137</v>
      </c>
      <c r="C768" t="s">
        <v>364</v>
      </c>
      <c r="D768" t="s">
        <v>367</v>
      </c>
      <c r="E768" t="s">
        <v>200</v>
      </c>
      <c r="F768" s="3">
        <v>23.7</v>
      </c>
      <c r="G768" s="3"/>
      <c r="H768" s="3"/>
      <c r="I768" s="3"/>
      <c r="J768" s="3">
        <v>23.7</v>
      </c>
    </row>
    <row r="769" spans="2:10" x14ac:dyDescent="0.25">
      <c r="B769" t="s">
        <v>137</v>
      </c>
      <c r="C769" t="s">
        <v>364</v>
      </c>
      <c r="D769" t="s">
        <v>367</v>
      </c>
      <c r="E769" t="s">
        <v>240</v>
      </c>
      <c r="F769" s="3">
        <v>23.7</v>
      </c>
      <c r="G769" s="3"/>
      <c r="H769" s="3"/>
      <c r="I769" s="3"/>
      <c r="J769" s="3">
        <v>23.7</v>
      </c>
    </row>
    <row r="770" spans="2:10" x14ac:dyDescent="0.25">
      <c r="B770" t="s">
        <v>137</v>
      </c>
      <c r="C770" t="s">
        <v>364</v>
      </c>
      <c r="D770" t="s">
        <v>367</v>
      </c>
      <c r="E770" t="s">
        <v>301</v>
      </c>
      <c r="F770" s="3">
        <v>23.7</v>
      </c>
      <c r="G770" s="3"/>
      <c r="H770" s="3"/>
      <c r="I770" s="3"/>
      <c r="J770" s="3">
        <v>23.7</v>
      </c>
    </row>
    <row r="771" spans="2:10" x14ac:dyDescent="0.25">
      <c r="B771" t="s">
        <v>137</v>
      </c>
      <c r="C771" t="s">
        <v>364</v>
      </c>
      <c r="D771" t="s">
        <v>367</v>
      </c>
      <c r="E771" t="s">
        <v>302</v>
      </c>
      <c r="F771" s="3">
        <v>23.7</v>
      </c>
      <c r="G771" s="3"/>
      <c r="H771" s="3"/>
      <c r="I771" s="3"/>
      <c r="J771" s="3">
        <v>23.7</v>
      </c>
    </row>
    <row r="772" spans="2:10" x14ac:dyDescent="0.25">
      <c r="B772" t="s">
        <v>137</v>
      </c>
      <c r="C772" t="s">
        <v>364</v>
      </c>
      <c r="D772" t="s">
        <v>367</v>
      </c>
      <c r="E772" t="s">
        <v>303</v>
      </c>
      <c r="F772" s="3">
        <v>23.7</v>
      </c>
      <c r="G772" s="3"/>
      <c r="H772" s="3"/>
      <c r="I772" s="3"/>
      <c r="J772" s="3">
        <v>23.7</v>
      </c>
    </row>
    <row r="773" spans="2:10" x14ac:dyDescent="0.25">
      <c r="B773" t="s">
        <v>137</v>
      </c>
      <c r="C773" t="s">
        <v>364</v>
      </c>
      <c r="D773" t="s">
        <v>367</v>
      </c>
      <c r="E773" t="s">
        <v>304</v>
      </c>
      <c r="F773" s="3">
        <v>23.7</v>
      </c>
      <c r="G773" s="3"/>
      <c r="H773" s="3"/>
      <c r="I773" s="3"/>
      <c r="J773" s="3">
        <v>23.7</v>
      </c>
    </row>
    <row r="774" spans="2:10" x14ac:dyDescent="0.25">
      <c r="B774" t="s">
        <v>137</v>
      </c>
      <c r="C774" t="s">
        <v>364</v>
      </c>
      <c r="D774" t="s">
        <v>367</v>
      </c>
      <c r="E774" t="s">
        <v>305</v>
      </c>
      <c r="F774" s="3">
        <v>23.7</v>
      </c>
      <c r="G774" s="3"/>
      <c r="H774" s="3"/>
      <c r="I774" s="3"/>
      <c r="J774" s="3">
        <v>23.7</v>
      </c>
    </row>
    <row r="775" spans="2:10" x14ac:dyDescent="0.25">
      <c r="B775" t="s">
        <v>137</v>
      </c>
      <c r="C775" t="s">
        <v>364</v>
      </c>
      <c r="D775" t="s">
        <v>367</v>
      </c>
      <c r="E775" t="s">
        <v>306</v>
      </c>
      <c r="F775" s="3">
        <v>23.7</v>
      </c>
      <c r="G775" s="3"/>
      <c r="H775" s="3"/>
      <c r="I775" s="3"/>
      <c r="J775" s="3">
        <v>23.7</v>
      </c>
    </row>
    <row r="776" spans="2:10" x14ac:dyDescent="0.25">
      <c r="B776" t="s">
        <v>137</v>
      </c>
      <c r="C776" t="s">
        <v>364</v>
      </c>
      <c r="D776" t="s">
        <v>367</v>
      </c>
      <c r="E776" t="s">
        <v>307</v>
      </c>
      <c r="F776" s="3">
        <v>23.7</v>
      </c>
      <c r="G776" s="3"/>
      <c r="H776" s="3"/>
      <c r="I776" s="3"/>
      <c r="J776" s="3">
        <v>23.7</v>
      </c>
    </row>
    <row r="777" spans="2:10" x14ac:dyDescent="0.25">
      <c r="B777" t="s">
        <v>137</v>
      </c>
      <c r="C777" t="s">
        <v>364</v>
      </c>
      <c r="D777" t="s">
        <v>367</v>
      </c>
      <c r="E777" t="s">
        <v>308</v>
      </c>
      <c r="F777" s="3">
        <v>23.7</v>
      </c>
      <c r="G777" s="3"/>
      <c r="H777" s="3"/>
      <c r="I777" s="3"/>
      <c r="J777" s="3">
        <v>23.7</v>
      </c>
    </row>
    <row r="778" spans="2:10" x14ac:dyDescent="0.25">
      <c r="B778" t="s">
        <v>137</v>
      </c>
      <c r="C778" t="s">
        <v>364</v>
      </c>
      <c r="D778" t="s">
        <v>367</v>
      </c>
      <c r="E778" t="s">
        <v>309</v>
      </c>
      <c r="F778" s="3">
        <v>23.7</v>
      </c>
      <c r="G778" s="3"/>
      <c r="H778" s="3"/>
      <c r="I778" s="3"/>
      <c r="J778" s="3">
        <v>23.7</v>
      </c>
    </row>
    <row r="779" spans="2:10" x14ac:dyDescent="0.25">
      <c r="B779" t="s">
        <v>137</v>
      </c>
      <c r="C779" t="s">
        <v>364</v>
      </c>
      <c r="D779" t="s">
        <v>367</v>
      </c>
      <c r="E779" t="s">
        <v>310</v>
      </c>
      <c r="F779" s="3">
        <v>23.7</v>
      </c>
      <c r="G779" s="3"/>
      <c r="H779" s="3"/>
      <c r="I779" s="3"/>
      <c r="J779" s="3">
        <v>23.7</v>
      </c>
    </row>
    <row r="780" spans="2:10" x14ac:dyDescent="0.25">
      <c r="B780" t="s">
        <v>137</v>
      </c>
      <c r="C780" t="s">
        <v>364</v>
      </c>
      <c r="D780" t="s">
        <v>367</v>
      </c>
      <c r="E780" t="s">
        <v>311</v>
      </c>
      <c r="F780" s="3">
        <v>23.7</v>
      </c>
      <c r="G780" s="3"/>
      <c r="H780" s="3"/>
      <c r="I780" s="3"/>
      <c r="J780" s="3">
        <v>23.7</v>
      </c>
    </row>
    <row r="781" spans="2:10" x14ac:dyDescent="0.25">
      <c r="B781" t="s">
        <v>137</v>
      </c>
      <c r="C781" t="s">
        <v>364</v>
      </c>
      <c r="D781" t="s">
        <v>367</v>
      </c>
      <c r="E781" t="s">
        <v>312</v>
      </c>
      <c r="F781" s="3">
        <v>23.7</v>
      </c>
      <c r="G781" s="3"/>
      <c r="H781" s="3"/>
      <c r="I781" s="3"/>
      <c r="J781" s="3">
        <v>23.7</v>
      </c>
    </row>
    <row r="782" spans="2:10" x14ac:dyDescent="0.25">
      <c r="B782" t="s">
        <v>137</v>
      </c>
      <c r="C782" t="s">
        <v>364</v>
      </c>
      <c r="D782" t="s">
        <v>368</v>
      </c>
      <c r="E782" t="s">
        <v>46</v>
      </c>
      <c r="F782" s="3">
        <v>4.5</v>
      </c>
      <c r="G782" s="3"/>
      <c r="H782" s="3"/>
      <c r="I782" s="3"/>
      <c r="J782" s="3">
        <v>4.5</v>
      </c>
    </row>
    <row r="783" spans="2:10" x14ac:dyDescent="0.25">
      <c r="B783" t="s">
        <v>137</v>
      </c>
      <c r="C783" t="s">
        <v>364</v>
      </c>
      <c r="D783" t="s">
        <v>368</v>
      </c>
      <c r="E783" t="s">
        <v>47</v>
      </c>
      <c r="F783" s="3">
        <v>4.5</v>
      </c>
      <c r="G783" s="3"/>
      <c r="H783" s="3"/>
      <c r="I783" s="3"/>
      <c r="J783" s="3">
        <v>4.5</v>
      </c>
    </row>
    <row r="784" spans="2:10" x14ac:dyDescent="0.25">
      <c r="B784" t="s">
        <v>137</v>
      </c>
      <c r="C784" t="s">
        <v>364</v>
      </c>
      <c r="D784" t="s">
        <v>368</v>
      </c>
      <c r="E784" t="s">
        <v>48</v>
      </c>
      <c r="F784" s="3">
        <v>4.5</v>
      </c>
      <c r="G784" s="3"/>
      <c r="H784" s="3"/>
      <c r="I784" s="3"/>
      <c r="J784" s="3">
        <v>4.5</v>
      </c>
    </row>
    <row r="785" spans="2:10" x14ac:dyDescent="0.25">
      <c r="B785" t="s">
        <v>137</v>
      </c>
      <c r="C785" t="s">
        <v>364</v>
      </c>
      <c r="D785" t="s">
        <v>368</v>
      </c>
      <c r="E785" t="s">
        <v>49</v>
      </c>
      <c r="F785" s="3">
        <v>4.5</v>
      </c>
      <c r="G785" s="3"/>
      <c r="H785" s="3"/>
      <c r="I785" s="3"/>
      <c r="J785" s="3">
        <v>4.5</v>
      </c>
    </row>
    <row r="786" spans="2:10" x14ac:dyDescent="0.25">
      <c r="B786" t="s">
        <v>137</v>
      </c>
      <c r="C786" t="s">
        <v>364</v>
      </c>
      <c r="D786" t="s">
        <v>368</v>
      </c>
      <c r="E786" t="s">
        <v>50</v>
      </c>
      <c r="F786" s="3">
        <v>4.5</v>
      </c>
      <c r="G786" s="3"/>
      <c r="H786" s="3"/>
      <c r="I786" s="3"/>
      <c r="J786" s="3">
        <v>4.5</v>
      </c>
    </row>
    <row r="787" spans="2:10" x14ac:dyDescent="0.25">
      <c r="B787" t="s">
        <v>137</v>
      </c>
      <c r="C787" t="s">
        <v>364</v>
      </c>
      <c r="D787" t="s">
        <v>368</v>
      </c>
      <c r="E787" t="s">
        <v>51</v>
      </c>
      <c r="F787" s="3">
        <v>4.5</v>
      </c>
      <c r="G787" s="3"/>
      <c r="H787" s="3"/>
      <c r="I787" s="3"/>
      <c r="J787" s="3">
        <v>4.5</v>
      </c>
    </row>
    <row r="788" spans="2:10" x14ac:dyDescent="0.25">
      <c r="B788" t="s">
        <v>137</v>
      </c>
      <c r="C788" t="s">
        <v>364</v>
      </c>
      <c r="D788" t="s">
        <v>368</v>
      </c>
      <c r="E788" t="s">
        <v>196</v>
      </c>
      <c r="F788" s="3">
        <v>18.131757001586202</v>
      </c>
      <c r="G788" s="3"/>
      <c r="H788" s="3"/>
      <c r="I788" s="3"/>
      <c r="J788" s="3">
        <v>18.131757001586202</v>
      </c>
    </row>
    <row r="789" spans="2:10" x14ac:dyDescent="0.25">
      <c r="B789" t="s">
        <v>137</v>
      </c>
      <c r="C789" t="s">
        <v>364</v>
      </c>
      <c r="D789" t="s">
        <v>368</v>
      </c>
      <c r="E789" t="s">
        <v>197</v>
      </c>
      <c r="F789" s="3">
        <v>32.046420412467896</v>
      </c>
      <c r="G789" s="3"/>
      <c r="H789" s="3"/>
      <c r="I789" s="3"/>
      <c r="J789" s="3">
        <v>32.046420412467896</v>
      </c>
    </row>
    <row r="790" spans="2:10" x14ac:dyDescent="0.25">
      <c r="B790" t="s">
        <v>137</v>
      </c>
      <c r="C790" t="s">
        <v>364</v>
      </c>
      <c r="D790" t="s">
        <v>368</v>
      </c>
      <c r="E790" t="s">
        <v>198</v>
      </c>
      <c r="F790" s="3">
        <v>35.385939631079495</v>
      </c>
      <c r="G790" s="3"/>
      <c r="H790" s="3"/>
      <c r="I790" s="3"/>
      <c r="J790" s="3">
        <v>35.385939631079495</v>
      </c>
    </row>
    <row r="791" spans="2:10" x14ac:dyDescent="0.25">
      <c r="B791" t="s">
        <v>137</v>
      </c>
      <c r="C791" t="s">
        <v>364</v>
      </c>
      <c r="D791" t="s">
        <v>368</v>
      </c>
      <c r="E791" t="s">
        <v>199</v>
      </c>
      <c r="F791" s="3">
        <v>37.1352116027332</v>
      </c>
      <c r="G791" s="3"/>
      <c r="H791" s="3"/>
      <c r="I791" s="3"/>
      <c r="J791" s="3">
        <v>37.1352116027332</v>
      </c>
    </row>
    <row r="792" spans="2:10" x14ac:dyDescent="0.25">
      <c r="B792" t="s">
        <v>137</v>
      </c>
      <c r="C792" t="s">
        <v>364</v>
      </c>
      <c r="D792" t="s">
        <v>368</v>
      </c>
      <c r="E792" t="s">
        <v>200</v>
      </c>
      <c r="F792" s="3">
        <v>36.658137428645801</v>
      </c>
      <c r="G792" s="3"/>
      <c r="H792" s="3"/>
      <c r="I792" s="3"/>
      <c r="J792" s="3">
        <v>36.658137428645801</v>
      </c>
    </row>
    <row r="793" spans="2:10" x14ac:dyDescent="0.25">
      <c r="B793" t="s">
        <v>137</v>
      </c>
      <c r="C793" t="s">
        <v>364</v>
      </c>
      <c r="D793" t="s">
        <v>368</v>
      </c>
      <c r="E793" t="s">
        <v>240</v>
      </c>
      <c r="F793" s="3">
        <v>36.7376497909937</v>
      </c>
      <c r="G793" s="3"/>
      <c r="H793" s="3"/>
      <c r="I793" s="3"/>
      <c r="J793" s="3">
        <v>36.7376497909937</v>
      </c>
    </row>
    <row r="794" spans="2:10" x14ac:dyDescent="0.25">
      <c r="B794" t="s">
        <v>137</v>
      </c>
      <c r="C794" t="s">
        <v>364</v>
      </c>
      <c r="D794" t="s">
        <v>368</v>
      </c>
      <c r="E794" t="s">
        <v>301</v>
      </c>
      <c r="F794" s="3">
        <v>35.863013805166801</v>
      </c>
      <c r="G794" s="3"/>
      <c r="H794" s="3"/>
      <c r="I794" s="3"/>
      <c r="J794" s="3">
        <v>35.863013805166801</v>
      </c>
    </row>
    <row r="795" spans="2:10" x14ac:dyDescent="0.25">
      <c r="B795" t="s">
        <v>137</v>
      </c>
      <c r="C795" t="s">
        <v>364</v>
      </c>
      <c r="D795" t="s">
        <v>368</v>
      </c>
      <c r="E795" t="s">
        <v>302</v>
      </c>
      <c r="F795" s="3">
        <v>32.364469861859405</v>
      </c>
      <c r="G795" s="3"/>
      <c r="H795" s="3"/>
      <c r="I795" s="3"/>
      <c r="J795" s="3">
        <v>32.364469861859405</v>
      </c>
    </row>
    <row r="796" spans="2:10" x14ac:dyDescent="0.25">
      <c r="B796" t="s">
        <v>137</v>
      </c>
      <c r="C796" t="s">
        <v>364</v>
      </c>
      <c r="D796" t="s">
        <v>368</v>
      </c>
      <c r="E796" t="s">
        <v>303</v>
      </c>
      <c r="F796" s="3">
        <v>33.318618210034202</v>
      </c>
      <c r="G796" s="3"/>
      <c r="H796" s="3"/>
      <c r="I796" s="3"/>
      <c r="J796" s="3">
        <v>33.318618210034202</v>
      </c>
    </row>
    <row r="797" spans="2:10" x14ac:dyDescent="0.25">
      <c r="B797" t="s">
        <v>137</v>
      </c>
      <c r="C797" t="s">
        <v>364</v>
      </c>
      <c r="D797" t="s">
        <v>368</v>
      </c>
      <c r="E797" t="s">
        <v>304</v>
      </c>
      <c r="F797" s="3">
        <v>34.2727665582089</v>
      </c>
      <c r="G797" s="3"/>
      <c r="H797" s="3"/>
      <c r="I797" s="3"/>
      <c r="J797" s="3">
        <v>34.2727665582089</v>
      </c>
    </row>
    <row r="798" spans="2:10" x14ac:dyDescent="0.25">
      <c r="B798" t="s">
        <v>137</v>
      </c>
      <c r="C798" t="s">
        <v>364</v>
      </c>
      <c r="D798" t="s">
        <v>368</v>
      </c>
      <c r="E798" t="s">
        <v>305</v>
      </c>
      <c r="F798" s="3">
        <v>36.101550892210497</v>
      </c>
      <c r="G798" s="3"/>
      <c r="H798" s="3"/>
      <c r="I798" s="3"/>
      <c r="J798" s="3">
        <v>36.101550892210497</v>
      </c>
    </row>
    <row r="799" spans="2:10" x14ac:dyDescent="0.25">
      <c r="B799" t="s">
        <v>137</v>
      </c>
      <c r="C799" t="s">
        <v>364</v>
      </c>
      <c r="D799" t="s">
        <v>368</v>
      </c>
      <c r="E799" t="s">
        <v>306</v>
      </c>
      <c r="F799" s="3">
        <v>37.341831939623297</v>
      </c>
      <c r="G799" s="3"/>
      <c r="H799" s="3"/>
      <c r="I799" s="3"/>
      <c r="J799" s="3">
        <v>37.341831939623297</v>
      </c>
    </row>
    <row r="800" spans="2:10" x14ac:dyDescent="0.25">
      <c r="B800" t="s">
        <v>137</v>
      </c>
      <c r="C800" t="s">
        <v>364</v>
      </c>
      <c r="D800" t="s">
        <v>368</v>
      </c>
      <c r="E800" t="s">
        <v>307</v>
      </c>
      <c r="F800" s="3">
        <v>44.89485978463</v>
      </c>
      <c r="G800" s="3"/>
      <c r="H800" s="3"/>
      <c r="I800" s="3"/>
      <c r="J800" s="3">
        <v>44.89485978463</v>
      </c>
    </row>
    <row r="801" spans="2:10" x14ac:dyDescent="0.25">
      <c r="B801" t="s">
        <v>137</v>
      </c>
      <c r="C801" t="s">
        <v>364</v>
      </c>
      <c r="D801" t="s">
        <v>368</v>
      </c>
      <c r="E801" t="s">
        <v>308</v>
      </c>
      <c r="F801" s="3">
        <v>44.576810335238498</v>
      </c>
      <c r="G801" s="3"/>
      <c r="H801" s="3"/>
      <c r="I801" s="3"/>
      <c r="J801" s="3">
        <v>44.576810335238498</v>
      </c>
    </row>
    <row r="802" spans="2:10" x14ac:dyDescent="0.25">
      <c r="B802" t="s">
        <v>137</v>
      </c>
      <c r="C802" t="s">
        <v>364</v>
      </c>
      <c r="D802" t="s">
        <v>368</v>
      </c>
      <c r="E802" t="s">
        <v>309</v>
      </c>
      <c r="F802" s="3">
        <v>42.8275383635848</v>
      </c>
      <c r="G802" s="3"/>
      <c r="H802" s="3"/>
      <c r="I802" s="3"/>
      <c r="J802" s="3">
        <v>42.8275383635848</v>
      </c>
    </row>
    <row r="803" spans="2:10" x14ac:dyDescent="0.25">
      <c r="B803" t="s">
        <v>137</v>
      </c>
      <c r="C803" t="s">
        <v>364</v>
      </c>
      <c r="D803" t="s">
        <v>368</v>
      </c>
      <c r="E803" t="s">
        <v>310</v>
      </c>
      <c r="F803" s="3">
        <v>32.1728818089668</v>
      </c>
      <c r="G803" s="3"/>
      <c r="H803" s="3"/>
      <c r="I803" s="3"/>
      <c r="J803" s="3">
        <v>32.1728818089668</v>
      </c>
    </row>
    <row r="804" spans="2:10" x14ac:dyDescent="0.25">
      <c r="B804" t="s">
        <v>137</v>
      </c>
      <c r="C804" t="s">
        <v>364</v>
      </c>
      <c r="D804" t="s">
        <v>368</v>
      </c>
      <c r="E804" t="s">
        <v>311</v>
      </c>
      <c r="F804" s="3">
        <v>22.504936930720401</v>
      </c>
      <c r="G804" s="3"/>
      <c r="H804" s="3"/>
      <c r="I804" s="3"/>
      <c r="J804" s="3">
        <v>22.504936930720401</v>
      </c>
    </row>
    <row r="805" spans="2:10" x14ac:dyDescent="0.25">
      <c r="B805" t="s">
        <v>137</v>
      </c>
      <c r="C805" t="s">
        <v>364</v>
      </c>
      <c r="D805" t="s">
        <v>368</v>
      </c>
      <c r="E805" t="s">
        <v>312</v>
      </c>
      <c r="F805" s="3">
        <v>20.517127872023</v>
      </c>
      <c r="G805" s="3"/>
      <c r="H805" s="3"/>
      <c r="I805" s="3"/>
      <c r="J805" s="3">
        <v>20.517127872023</v>
      </c>
    </row>
    <row r="806" spans="2:10" x14ac:dyDescent="0.25">
      <c r="B806" t="s">
        <v>137</v>
      </c>
      <c r="C806" t="s">
        <v>364</v>
      </c>
      <c r="D806" t="s">
        <v>369</v>
      </c>
      <c r="E806" t="s">
        <v>46</v>
      </c>
      <c r="F806" s="3">
        <v>7</v>
      </c>
      <c r="G806" s="3"/>
      <c r="H806" s="3"/>
      <c r="I806" s="3"/>
      <c r="J806" s="3">
        <v>7</v>
      </c>
    </row>
    <row r="807" spans="2:10" x14ac:dyDescent="0.25">
      <c r="B807" t="s">
        <v>137</v>
      </c>
      <c r="C807" t="s">
        <v>364</v>
      </c>
      <c r="D807" t="s">
        <v>369</v>
      </c>
      <c r="E807" t="s">
        <v>47</v>
      </c>
      <c r="F807" s="3">
        <v>7</v>
      </c>
      <c r="G807" s="3"/>
      <c r="H807" s="3"/>
      <c r="I807" s="3"/>
      <c r="J807" s="3">
        <v>7</v>
      </c>
    </row>
    <row r="808" spans="2:10" x14ac:dyDescent="0.25">
      <c r="B808" t="s">
        <v>137</v>
      </c>
      <c r="C808" t="s">
        <v>364</v>
      </c>
      <c r="D808" t="s">
        <v>369</v>
      </c>
      <c r="E808" t="s">
        <v>48</v>
      </c>
      <c r="F808" s="3">
        <v>7</v>
      </c>
      <c r="G808" s="3"/>
      <c r="H808" s="3"/>
      <c r="I808" s="3"/>
      <c r="J808" s="3">
        <v>7</v>
      </c>
    </row>
    <row r="809" spans="2:10" x14ac:dyDescent="0.25">
      <c r="B809" t="s">
        <v>137</v>
      </c>
      <c r="C809" t="s">
        <v>364</v>
      </c>
      <c r="D809" t="s">
        <v>369</v>
      </c>
      <c r="E809" t="s">
        <v>49</v>
      </c>
      <c r="F809" s="3">
        <v>7</v>
      </c>
      <c r="G809" s="3"/>
      <c r="H809" s="3"/>
      <c r="I809" s="3"/>
      <c r="J809" s="3">
        <v>7</v>
      </c>
    </row>
    <row r="810" spans="2:10" x14ac:dyDescent="0.25">
      <c r="B810" t="s">
        <v>137</v>
      </c>
      <c r="C810" t="s">
        <v>364</v>
      </c>
      <c r="D810" t="s">
        <v>369</v>
      </c>
      <c r="E810" t="s">
        <v>50</v>
      </c>
      <c r="F810" s="3">
        <v>7</v>
      </c>
      <c r="G810" s="3"/>
      <c r="H810" s="3"/>
      <c r="I810" s="3"/>
      <c r="J810" s="3">
        <v>7</v>
      </c>
    </row>
    <row r="811" spans="2:10" x14ac:dyDescent="0.25">
      <c r="B811" t="s">
        <v>137</v>
      </c>
      <c r="C811" t="s">
        <v>364</v>
      </c>
      <c r="D811" t="s">
        <v>369</v>
      </c>
      <c r="E811" t="s">
        <v>51</v>
      </c>
      <c r="F811" s="3">
        <v>7</v>
      </c>
      <c r="G811" s="3"/>
      <c r="H811" s="3"/>
      <c r="I811" s="3"/>
      <c r="J811" s="3">
        <v>7</v>
      </c>
    </row>
    <row r="812" spans="2:10" x14ac:dyDescent="0.25">
      <c r="B812" t="s">
        <v>137</v>
      </c>
      <c r="C812" t="s">
        <v>364</v>
      </c>
      <c r="D812" t="s">
        <v>369</v>
      </c>
      <c r="E812" t="s">
        <v>196</v>
      </c>
      <c r="F812" s="3">
        <v>7</v>
      </c>
      <c r="G812" s="3"/>
      <c r="H812" s="3"/>
      <c r="I812" s="3"/>
      <c r="J812" s="3">
        <v>7</v>
      </c>
    </row>
    <row r="813" spans="2:10" x14ac:dyDescent="0.25">
      <c r="B813" t="s">
        <v>137</v>
      </c>
      <c r="C813" t="s">
        <v>364</v>
      </c>
      <c r="D813" t="s">
        <v>369</v>
      </c>
      <c r="E813" t="s">
        <v>197</v>
      </c>
      <c r="F813" s="3">
        <v>7</v>
      </c>
      <c r="G813" s="3"/>
      <c r="H813" s="3"/>
      <c r="I813" s="3"/>
      <c r="J813" s="3">
        <v>7</v>
      </c>
    </row>
    <row r="814" spans="2:10" x14ac:dyDescent="0.25">
      <c r="B814" t="s">
        <v>137</v>
      </c>
      <c r="C814" t="s">
        <v>364</v>
      </c>
      <c r="D814" t="s">
        <v>369</v>
      </c>
      <c r="E814" t="s">
        <v>198</v>
      </c>
      <c r="F814" s="3">
        <v>7</v>
      </c>
      <c r="G814" s="3"/>
      <c r="H814" s="3"/>
      <c r="I814" s="3"/>
      <c r="J814" s="3">
        <v>7</v>
      </c>
    </row>
    <row r="815" spans="2:10" x14ac:dyDescent="0.25">
      <c r="B815" t="s">
        <v>137</v>
      </c>
      <c r="C815" t="s">
        <v>364</v>
      </c>
      <c r="D815" t="s">
        <v>369</v>
      </c>
      <c r="E815" t="s">
        <v>199</v>
      </c>
      <c r="F815" s="3">
        <v>7</v>
      </c>
      <c r="G815" s="3"/>
      <c r="H815" s="3"/>
      <c r="I815" s="3"/>
      <c r="J815" s="3">
        <v>7</v>
      </c>
    </row>
    <row r="816" spans="2:10" x14ac:dyDescent="0.25">
      <c r="B816" t="s">
        <v>137</v>
      </c>
      <c r="C816" t="s">
        <v>364</v>
      </c>
      <c r="D816" t="s">
        <v>369</v>
      </c>
      <c r="E816" t="s">
        <v>200</v>
      </c>
      <c r="F816" s="3">
        <v>7</v>
      </c>
      <c r="G816" s="3"/>
      <c r="H816" s="3"/>
      <c r="I816" s="3"/>
      <c r="J816" s="3">
        <v>7</v>
      </c>
    </row>
    <row r="817" spans="2:10" x14ac:dyDescent="0.25">
      <c r="B817" t="s">
        <v>137</v>
      </c>
      <c r="C817" t="s">
        <v>364</v>
      </c>
      <c r="D817" t="s">
        <v>369</v>
      </c>
      <c r="E817" t="s">
        <v>240</v>
      </c>
      <c r="F817" s="3">
        <v>7</v>
      </c>
      <c r="G817" s="3"/>
      <c r="H817" s="3"/>
      <c r="I817" s="3"/>
      <c r="J817" s="3">
        <v>7</v>
      </c>
    </row>
    <row r="818" spans="2:10" x14ac:dyDescent="0.25">
      <c r="B818" t="s">
        <v>137</v>
      </c>
      <c r="C818" t="s">
        <v>364</v>
      </c>
      <c r="D818" t="s">
        <v>369</v>
      </c>
      <c r="E818" t="s">
        <v>301</v>
      </c>
      <c r="F818" s="3">
        <v>7</v>
      </c>
      <c r="G818" s="3"/>
      <c r="H818" s="3"/>
      <c r="I818" s="3"/>
      <c r="J818" s="3">
        <v>7</v>
      </c>
    </row>
    <row r="819" spans="2:10" x14ac:dyDescent="0.25">
      <c r="B819" t="s">
        <v>137</v>
      </c>
      <c r="C819" t="s">
        <v>364</v>
      </c>
      <c r="D819" t="s">
        <v>369</v>
      </c>
      <c r="E819" t="s">
        <v>302</v>
      </c>
      <c r="F819" s="3">
        <v>7</v>
      </c>
      <c r="G819" s="3"/>
      <c r="H819" s="3"/>
      <c r="I819" s="3"/>
      <c r="J819" s="3">
        <v>7</v>
      </c>
    </row>
    <row r="820" spans="2:10" x14ac:dyDescent="0.25">
      <c r="B820" t="s">
        <v>137</v>
      </c>
      <c r="C820" t="s">
        <v>364</v>
      </c>
      <c r="D820" t="s">
        <v>369</v>
      </c>
      <c r="E820" t="s">
        <v>303</v>
      </c>
      <c r="F820" s="3">
        <v>7</v>
      </c>
      <c r="G820" s="3"/>
      <c r="H820" s="3"/>
      <c r="I820" s="3"/>
      <c r="J820" s="3">
        <v>7</v>
      </c>
    </row>
    <row r="821" spans="2:10" x14ac:dyDescent="0.25">
      <c r="B821" t="s">
        <v>137</v>
      </c>
      <c r="C821" t="s">
        <v>364</v>
      </c>
      <c r="D821" t="s">
        <v>369</v>
      </c>
      <c r="E821" t="s">
        <v>304</v>
      </c>
      <c r="F821" s="3">
        <v>7</v>
      </c>
      <c r="G821" s="3"/>
      <c r="H821" s="3"/>
      <c r="I821" s="3"/>
      <c r="J821" s="3">
        <v>7</v>
      </c>
    </row>
    <row r="822" spans="2:10" x14ac:dyDescent="0.25">
      <c r="B822" t="s">
        <v>137</v>
      </c>
      <c r="C822" t="s">
        <v>364</v>
      </c>
      <c r="D822" t="s">
        <v>369</v>
      </c>
      <c r="E822" t="s">
        <v>305</v>
      </c>
      <c r="F822" s="3">
        <v>7</v>
      </c>
      <c r="G822" s="3"/>
      <c r="H822" s="3"/>
      <c r="I822" s="3"/>
      <c r="J822" s="3">
        <v>7</v>
      </c>
    </row>
    <row r="823" spans="2:10" x14ac:dyDescent="0.25">
      <c r="B823" t="s">
        <v>137</v>
      </c>
      <c r="C823" t="s">
        <v>364</v>
      </c>
      <c r="D823" t="s">
        <v>369</v>
      </c>
      <c r="E823" t="s">
        <v>306</v>
      </c>
      <c r="F823" s="3">
        <v>7</v>
      </c>
      <c r="G823" s="3"/>
      <c r="H823" s="3"/>
      <c r="I823" s="3"/>
      <c r="J823" s="3">
        <v>7</v>
      </c>
    </row>
    <row r="824" spans="2:10" x14ac:dyDescent="0.25">
      <c r="B824" t="s">
        <v>137</v>
      </c>
      <c r="C824" t="s">
        <v>364</v>
      </c>
      <c r="D824" t="s">
        <v>369</v>
      </c>
      <c r="E824" t="s">
        <v>307</v>
      </c>
      <c r="F824" s="3">
        <v>7</v>
      </c>
      <c r="G824" s="3"/>
      <c r="H824" s="3"/>
      <c r="I824" s="3"/>
      <c r="J824" s="3">
        <v>7</v>
      </c>
    </row>
    <row r="825" spans="2:10" x14ac:dyDescent="0.25">
      <c r="B825" t="s">
        <v>137</v>
      </c>
      <c r="C825" t="s">
        <v>364</v>
      </c>
      <c r="D825" t="s">
        <v>369</v>
      </c>
      <c r="E825" t="s">
        <v>308</v>
      </c>
      <c r="F825" s="3">
        <v>7</v>
      </c>
      <c r="G825" s="3"/>
      <c r="H825" s="3"/>
      <c r="I825" s="3"/>
      <c r="J825" s="3">
        <v>7</v>
      </c>
    </row>
    <row r="826" spans="2:10" x14ac:dyDescent="0.25">
      <c r="B826" t="s">
        <v>137</v>
      </c>
      <c r="C826" t="s">
        <v>364</v>
      </c>
      <c r="D826" t="s">
        <v>369</v>
      </c>
      <c r="E826" t="s">
        <v>309</v>
      </c>
      <c r="F826" s="3">
        <v>7</v>
      </c>
      <c r="G826" s="3"/>
      <c r="H826" s="3"/>
      <c r="I826" s="3"/>
      <c r="J826" s="3">
        <v>7</v>
      </c>
    </row>
    <row r="827" spans="2:10" x14ac:dyDescent="0.25">
      <c r="B827" t="s">
        <v>137</v>
      </c>
      <c r="C827" t="s">
        <v>364</v>
      </c>
      <c r="D827" t="s">
        <v>369</v>
      </c>
      <c r="E827" t="s">
        <v>310</v>
      </c>
      <c r="F827" s="3">
        <v>7</v>
      </c>
      <c r="G827" s="3"/>
      <c r="H827" s="3"/>
      <c r="I827" s="3"/>
      <c r="J827" s="3">
        <v>7</v>
      </c>
    </row>
    <row r="828" spans="2:10" x14ac:dyDescent="0.25">
      <c r="B828" t="s">
        <v>137</v>
      </c>
      <c r="C828" t="s">
        <v>364</v>
      </c>
      <c r="D828" t="s">
        <v>369</v>
      </c>
      <c r="E828" t="s">
        <v>311</v>
      </c>
      <c r="F828" s="3">
        <v>7</v>
      </c>
      <c r="G828" s="3"/>
      <c r="H828" s="3"/>
      <c r="I828" s="3"/>
      <c r="J828" s="3">
        <v>7</v>
      </c>
    </row>
    <row r="829" spans="2:10" x14ac:dyDescent="0.25">
      <c r="B829" t="s">
        <v>137</v>
      </c>
      <c r="C829" t="s">
        <v>364</v>
      </c>
      <c r="D829" t="s">
        <v>369</v>
      </c>
      <c r="E829" t="s">
        <v>312</v>
      </c>
      <c r="F829" s="3">
        <v>7</v>
      </c>
      <c r="G829" s="3"/>
      <c r="H829" s="3"/>
      <c r="I829" s="3"/>
      <c r="J829" s="3">
        <v>7</v>
      </c>
    </row>
    <row r="830" spans="2:10" x14ac:dyDescent="0.25">
      <c r="B830" t="s">
        <v>137</v>
      </c>
      <c r="C830" t="s">
        <v>364</v>
      </c>
      <c r="D830" t="s">
        <v>370</v>
      </c>
      <c r="E830" t="s">
        <v>46</v>
      </c>
      <c r="F830" s="3">
        <v>90.4</v>
      </c>
      <c r="G830" s="3"/>
      <c r="H830" s="3"/>
      <c r="I830" s="3"/>
      <c r="J830" s="3">
        <v>90.4</v>
      </c>
    </row>
    <row r="831" spans="2:10" x14ac:dyDescent="0.25">
      <c r="B831" t="s">
        <v>137</v>
      </c>
      <c r="C831" t="s">
        <v>364</v>
      </c>
      <c r="D831" t="s">
        <v>370</v>
      </c>
      <c r="E831" t="s">
        <v>47</v>
      </c>
      <c r="F831" s="3">
        <v>90.4</v>
      </c>
      <c r="G831" s="3"/>
      <c r="H831" s="3"/>
      <c r="I831" s="3"/>
      <c r="J831" s="3">
        <v>90.4</v>
      </c>
    </row>
    <row r="832" spans="2:10" x14ac:dyDescent="0.25">
      <c r="B832" t="s">
        <v>137</v>
      </c>
      <c r="C832" t="s">
        <v>364</v>
      </c>
      <c r="D832" t="s">
        <v>370</v>
      </c>
      <c r="E832" t="s">
        <v>48</v>
      </c>
      <c r="F832" s="3">
        <v>90.4</v>
      </c>
      <c r="G832" s="3"/>
      <c r="H832" s="3"/>
      <c r="I832" s="3"/>
      <c r="J832" s="3">
        <v>90.4</v>
      </c>
    </row>
    <row r="833" spans="2:10" x14ac:dyDescent="0.25">
      <c r="B833" t="s">
        <v>137</v>
      </c>
      <c r="C833" t="s">
        <v>364</v>
      </c>
      <c r="D833" t="s">
        <v>370</v>
      </c>
      <c r="E833" t="s">
        <v>49</v>
      </c>
      <c r="F833" s="3">
        <v>90.4</v>
      </c>
      <c r="G833" s="3"/>
      <c r="H833" s="3"/>
      <c r="I833" s="3"/>
      <c r="J833" s="3">
        <v>90.4</v>
      </c>
    </row>
    <row r="834" spans="2:10" x14ac:dyDescent="0.25">
      <c r="B834" t="s">
        <v>137</v>
      </c>
      <c r="C834" t="s">
        <v>364</v>
      </c>
      <c r="D834" t="s">
        <v>370</v>
      </c>
      <c r="E834" t="s">
        <v>50</v>
      </c>
      <c r="F834" s="3">
        <v>90.4</v>
      </c>
      <c r="G834" s="3"/>
      <c r="H834" s="3"/>
      <c r="I834" s="3"/>
      <c r="J834" s="3">
        <v>90.4</v>
      </c>
    </row>
    <row r="835" spans="2:10" x14ac:dyDescent="0.25">
      <c r="B835" t="s">
        <v>137</v>
      </c>
      <c r="C835" t="s">
        <v>364</v>
      </c>
      <c r="D835" t="s">
        <v>370</v>
      </c>
      <c r="E835" t="s">
        <v>51</v>
      </c>
      <c r="F835" s="3">
        <v>90.4</v>
      </c>
      <c r="G835" s="3"/>
      <c r="H835" s="3"/>
      <c r="I835" s="3"/>
      <c r="J835" s="3">
        <v>90.4</v>
      </c>
    </row>
    <row r="836" spans="2:10" x14ac:dyDescent="0.25">
      <c r="B836" t="s">
        <v>137</v>
      </c>
      <c r="C836" t="s">
        <v>364</v>
      </c>
      <c r="D836" t="s">
        <v>370</v>
      </c>
      <c r="E836" t="s">
        <v>196</v>
      </c>
      <c r="F836" s="3">
        <v>90.4</v>
      </c>
      <c r="G836" s="3"/>
      <c r="H836" s="3"/>
      <c r="I836" s="3"/>
      <c r="J836" s="3">
        <v>90.4</v>
      </c>
    </row>
    <row r="837" spans="2:10" x14ac:dyDescent="0.25">
      <c r="B837" t="s">
        <v>137</v>
      </c>
      <c r="C837" t="s">
        <v>364</v>
      </c>
      <c r="D837" t="s">
        <v>370</v>
      </c>
      <c r="E837" t="s">
        <v>197</v>
      </c>
      <c r="F837" s="3">
        <v>90.4</v>
      </c>
      <c r="G837" s="3"/>
      <c r="H837" s="3"/>
      <c r="I837" s="3"/>
      <c r="J837" s="3">
        <v>90.4</v>
      </c>
    </row>
    <row r="838" spans="2:10" x14ac:dyDescent="0.25">
      <c r="B838" t="s">
        <v>137</v>
      </c>
      <c r="C838" t="s">
        <v>364</v>
      </c>
      <c r="D838" t="s">
        <v>370</v>
      </c>
      <c r="E838" t="s">
        <v>198</v>
      </c>
      <c r="F838" s="3">
        <v>90.4</v>
      </c>
      <c r="G838" s="3"/>
      <c r="H838" s="3"/>
      <c r="I838" s="3"/>
      <c r="J838" s="3">
        <v>90.4</v>
      </c>
    </row>
    <row r="839" spans="2:10" x14ac:dyDescent="0.25">
      <c r="B839" t="s">
        <v>137</v>
      </c>
      <c r="C839" t="s">
        <v>364</v>
      </c>
      <c r="D839" t="s">
        <v>370</v>
      </c>
      <c r="E839" t="s">
        <v>199</v>
      </c>
      <c r="F839" s="3">
        <v>90.4</v>
      </c>
      <c r="G839" s="3"/>
      <c r="H839" s="3"/>
      <c r="I839" s="3"/>
      <c r="J839" s="3">
        <v>90.4</v>
      </c>
    </row>
    <row r="840" spans="2:10" x14ac:dyDescent="0.25">
      <c r="B840" t="s">
        <v>137</v>
      </c>
      <c r="C840" t="s">
        <v>364</v>
      </c>
      <c r="D840" t="s">
        <v>370</v>
      </c>
      <c r="E840" t="s">
        <v>200</v>
      </c>
      <c r="F840" s="3">
        <v>90.4</v>
      </c>
      <c r="G840" s="3"/>
      <c r="H840" s="3"/>
      <c r="I840" s="3"/>
      <c r="J840" s="3">
        <v>90.4</v>
      </c>
    </row>
    <row r="841" spans="2:10" x14ac:dyDescent="0.25">
      <c r="B841" t="s">
        <v>137</v>
      </c>
      <c r="C841" t="s">
        <v>364</v>
      </c>
      <c r="D841" t="s">
        <v>370</v>
      </c>
      <c r="E841" t="s">
        <v>240</v>
      </c>
      <c r="F841" s="3">
        <v>90.4</v>
      </c>
      <c r="G841" s="3"/>
      <c r="H841" s="3"/>
      <c r="I841" s="3"/>
      <c r="J841" s="3">
        <v>90.4</v>
      </c>
    </row>
    <row r="842" spans="2:10" x14ac:dyDescent="0.25">
      <c r="B842" t="s">
        <v>137</v>
      </c>
      <c r="C842" t="s">
        <v>364</v>
      </c>
      <c r="D842" t="s">
        <v>370</v>
      </c>
      <c r="E842" t="s">
        <v>301</v>
      </c>
      <c r="F842" s="3">
        <v>90.4</v>
      </c>
      <c r="G842" s="3"/>
      <c r="H842" s="3"/>
      <c r="I842" s="3"/>
      <c r="J842" s="3">
        <v>90.4</v>
      </c>
    </row>
    <row r="843" spans="2:10" x14ac:dyDescent="0.25">
      <c r="B843" t="s">
        <v>137</v>
      </c>
      <c r="C843" t="s">
        <v>364</v>
      </c>
      <c r="D843" t="s">
        <v>370</v>
      </c>
      <c r="E843" t="s">
        <v>302</v>
      </c>
      <c r="F843" s="3">
        <v>90.4</v>
      </c>
      <c r="G843" s="3"/>
      <c r="H843" s="3"/>
      <c r="I843" s="3"/>
      <c r="J843" s="3">
        <v>90.4</v>
      </c>
    </row>
    <row r="844" spans="2:10" x14ac:dyDescent="0.25">
      <c r="B844" t="s">
        <v>137</v>
      </c>
      <c r="C844" t="s">
        <v>364</v>
      </c>
      <c r="D844" t="s">
        <v>370</v>
      </c>
      <c r="E844" t="s">
        <v>303</v>
      </c>
      <c r="F844" s="3">
        <v>90.4</v>
      </c>
      <c r="G844" s="3"/>
      <c r="H844" s="3"/>
      <c r="I844" s="3"/>
      <c r="J844" s="3">
        <v>90.4</v>
      </c>
    </row>
    <row r="845" spans="2:10" x14ac:dyDescent="0.25">
      <c r="B845" t="s">
        <v>137</v>
      </c>
      <c r="C845" t="s">
        <v>364</v>
      </c>
      <c r="D845" t="s">
        <v>370</v>
      </c>
      <c r="E845" t="s">
        <v>304</v>
      </c>
      <c r="F845" s="3">
        <v>90.4</v>
      </c>
      <c r="G845" s="3"/>
      <c r="H845" s="3"/>
      <c r="I845" s="3"/>
      <c r="J845" s="3">
        <v>90.4</v>
      </c>
    </row>
    <row r="846" spans="2:10" x14ac:dyDescent="0.25">
      <c r="B846" t="s">
        <v>137</v>
      </c>
      <c r="C846" t="s">
        <v>364</v>
      </c>
      <c r="D846" t="s">
        <v>370</v>
      </c>
      <c r="E846" t="s">
        <v>305</v>
      </c>
      <c r="F846" s="3">
        <v>90.4</v>
      </c>
      <c r="G846" s="3"/>
      <c r="H846" s="3"/>
      <c r="I846" s="3"/>
      <c r="J846" s="3">
        <v>90.4</v>
      </c>
    </row>
    <row r="847" spans="2:10" x14ac:dyDescent="0.25">
      <c r="B847" t="s">
        <v>137</v>
      </c>
      <c r="C847" t="s">
        <v>364</v>
      </c>
      <c r="D847" t="s">
        <v>370</v>
      </c>
      <c r="E847" t="s">
        <v>306</v>
      </c>
      <c r="F847" s="3">
        <v>90.4</v>
      </c>
      <c r="G847" s="3"/>
      <c r="H847" s="3"/>
      <c r="I847" s="3"/>
      <c r="J847" s="3">
        <v>90.4</v>
      </c>
    </row>
    <row r="848" spans="2:10" x14ac:dyDescent="0.25">
      <c r="B848" t="s">
        <v>137</v>
      </c>
      <c r="C848" t="s">
        <v>364</v>
      </c>
      <c r="D848" t="s">
        <v>370</v>
      </c>
      <c r="E848" t="s">
        <v>307</v>
      </c>
      <c r="F848" s="3">
        <v>90.4</v>
      </c>
      <c r="G848" s="3"/>
      <c r="H848" s="3"/>
      <c r="I848" s="3"/>
      <c r="J848" s="3">
        <v>90.4</v>
      </c>
    </row>
    <row r="849" spans="2:10" x14ac:dyDescent="0.25">
      <c r="B849" t="s">
        <v>137</v>
      </c>
      <c r="C849" t="s">
        <v>364</v>
      </c>
      <c r="D849" t="s">
        <v>370</v>
      </c>
      <c r="E849" t="s">
        <v>308</v>
      </c>
      <c r="F849" s="3">
        <v>90.4</v>
      </c>
      <c r="G849" s="3"/>
      <c r="H849" s="3"/>
      <c r="I849" s="3"/>
      <c r="J849" s="3">
        <v>90.4</v>
      </c>
    </row>
    <row r="850" spans="2:10" x14ac:dyDescent="0.25">
      <c r="B850" t="s">
        <v>137</v>
      </c>
      <c r="C850" t="s">
        <v>364</v>
      </c>
      <c r="D850" t="s">
        <v>370</v>
      </c>
      <c r="E850" t="s">
        <v>309</v>
      </c>
      <c r="F850" s="3">
        <v>90.4</v>
      </c>
      <c r="G850" s="3"/>
      <c r="H850" s="3"/>
      <c r="I850" s="3"/>
      <c r="J850" s="3">
        <v>90.4</v>
      </c>
    </row>
    <row r="851" spans="2:10" x14ac:dyDescent="0.25">
      <c r="B851" t="s">
        <v>137</v>
      </c>
      <c r="C851" t="s">
        <v>364</v>
      </c>
      <c r="D851" t="s">
        <v>370</v>
      </c>
      <c r="E851" t="s">
        <v>310</v>
      </c>
      <c r="F851" s="3">
        <v>90.4</v>
      </c>
      <c r="G851" s="3"/>
      <c r="H851" s="3"/>
      <c r="I851" s="3"/>
      <c r="J851" s="3">
        <v>90.4</v>
      </c>
    </row>
    <row r="852" spans="2:10" x14ac:dyDescent="0.25">
      <c r="B852" t="s">
        <v>137</v>
      </c>
      <c r="C852" t="s">
        <v>364</v>
      </c>
      <c r="D852" t="s">
        <v>370</v>
      </c>
      <c r="E852" t="s">
        <v>311</v>
      </c>
      <c r="F852" s="3">
        <v>90.4</v>
      </c>
      <c r="G852" s="3"/>
      <c r="H852" s="3"/>
      <c r="I852" s="3"/>
      <c r="J852" s="3">
        <v>90.4</v>
      </c>
    </row>
    <row r="853" spans="2:10" x14ac:dyDescent="0.25">
      <c r="B853" t="s">
        <v>137</v>
      </c>
      <c r="C853" t="s">
        <v>364</v>
      </c>
      <c r="D853" t="s">
        <v>370</v>
      </c>
      <c r="E853" t="s">
        <v>312</v>
      </c>
      <c r="F853" s="3">
        <v>90.4</v>
      </c>
      <c r="G853" s="3"/>
      <c r="H853" s="3"/>
      <c r="I853" s="3"/>
      <c r="J853" s="3">
        <v>90.4</v>
      </c>
    </row>
    <row r="854" spans="2:10" x14ac:dyDescent="0.25">
      <c r="B854" t="s">
        <v>137</v>
      </c>
      <c r="C854" t="s">
        <v>364</v>
      </c>
      <c r="D854" t="s">
        <v>371</v>
      </c>
      <c r="E854" t="s">
        <v>197</v>
      </c>
      <c r="F854" s="3">
        <v>2.2999999999999998</v>
      </c>
      <c r="G854" s="3"/>
      <c r="H854" s="3"/>
      <c r="I854" s="3"/>
      <c r="J854" s="3">
        <v>2.2999999999999998</v>
      </c>
    </row>
    <row r="855" spans="2:10" x14ac:dyDescent="0.25">
      <c r="B855" t="s">
        <v>137</v>
      </c>
      <c r="C855" t="s">
        <v>364</v>
      </c>
      <c r="D855" t="s">
        <v>371</v>
      </c>
      <c r="E855" t="s">
        <v>198</v>
      </c>
      <c r="F855" s="3">
        <v>2.2999999999999998</v>
      </c>
      <c r="G855" s="3"/>
      <c r="H855" s="3"/>
      <c r="I855" s="3"/>
      <c r="J855" s="3">
        <v>2.2999999999999998</v>
      </c>
    </row>
    <row r="856" spans="2:10" x14ac:dyDescent="0.25">
      <c r="B856" t="s">
        <v>137</v>
      </c>
      <c r="C856" t="s">
        <v>364</v>
      </c>
      <c r="D856" t="s">
        <v>371</v>
      </c>
      <c r="E856" t="s">
        <v>199</v>
      </c>
      <c r="F856" s="3">
        <v>2.2999999999999998</v>
      </c>
      <c r="G856" s="3"/>
      <c r="H856" s="3"/>
      <c r="I856" s="3"/>
      <c r="J856" s="3">
        <v>2.2999999999999998</v>
      </c>
    </row>
    <row r="857" spans="2:10" x14ac:dyDescent="0.25">
      <c r="B857" t="s">
        <v>137</v>
      </c>
      <c r="C857" t="s">
        <v>364</v>
      </c>
      <c r="D857" t="s">
        <v>371</v>
      </c>
      <c r="E857" t="s">
        <v>200</v>
      </c>
      <c r="F857" s="3">
        <v>2.2999999999999998</v>
      </c>
      <c r="G857" s="3"/>
      <c r="H857" s="3"/>
      <c r="I857" s="3"/>
      <c r="J857" s="3">
        <v>2.2999999999999998</v>
      </c>
    </row>
    <row r="858" spans="2:10" x14ac:dyDescent="0.25">
      <c r="B858" t="s">
        <v>137</v>
      </c>
      <c r="C858" t="s">
        <v>364</v>
      </c>
      <c r="D858" t="s">
        <v>371</v>
      </c>
      <c r="E858" t="s">
        <v>240</v>
      </c>
      <c r="F858" s="3">
        <v>2.2999999999999998</v>
      </c>
      <c r="G858" s="3"/>
      <c r="H858" s="3"/>
      <c r="I858" s="3"/>
      <c r="J858" s="3">
        <v>2.2999999999999998</v>
      </c>
    </row>
    <row r="859" spans="2:10" x14ac:dyDescent="0.25">
      <c r="B859" t="s">
        <v>137</v>
      </c>
      <c r="C859" t="s">
        <v>364</v>
      </c>
      <c r="D859" t="s">
        <v>371</v>
      </c>
      <c r="E859" t="s">
        <v>301</v>
      </c>
      <c r="F859" s="3">
        <v>2.2999999999999998</v>
      </c>
      <c r="G859" s="3"/>
      <c r="H859" s="3"/>
      <c r="I859" s="3"/>
      <c r="J859" s="3">
        <v>2.2999999999999998</v>
      </c>
    </row>
    <row r="860" spans="2:10" x14ac:dyDescent="0.25">
      <c r="B860" t="s">
        <v>137</v>
      </c>
      <c r="C860" t="s">
        <v>364</v>
      </c>
      <c r="D860" t="s">
        <v>371</v>
      </c>
      <c r="E860" t="s">
        <v>302</v>
      </c>
      <c r="F860" s="3">
        <v>2.2999999999999998</v>
      </c>
      <c r="G860" s="3"/>
      <c r="H860" s="3"/>
      <c r="I860" s="3"/>
      <c r="J860" s="3">
        <v>2.2999999999999998</v>
      </c>
    </row>
    <row r="861" spans="2:10" x14ac:dyDescent="0.25">
      <c r="B861" t="s">
        <v>137</v>
      </c>
      <c r="C861" t="s">
        <v>364</v>
      </c>
      <c r="D861" t="s">
        <v>371</v>
      </c>
      <c r="E861" t="s">
        <v>303</v>
      </c>
      <c r="F861" s="3">
        <v>2.2999999999999998</v>
      </c>
      <c r="G861" s="3"/>
      <c r="H861" s="3"/>
      <c r="I861" s="3"/>
      <c r="J861" s="3">
        <v>2.2999999999999998</v>
      </c>
    </row>
    <row r="862" spans="2:10" x14ac:dyDescent="0.25">
      <c r="B862" t="s">
        <v>137</v>
      </c>
      <c r="C862" t="s">
        <v>364</v>
      </c>
      <c r="D862" t="s">
        <v>371</v>
      </c>
      <c r="E862" t="s">
        <v>304</v>
      </c>
      <c r="F862" s="3">
        <v>2.2999999999999998</v>
      </c>
      <c r="G862" s="3"/>
      <c r="H862" s="3"/>
      <c r="I862" s="3"/>
      <c r="J862" s="3">
        <v>2.2999999999999998</v>
      </c>
    </row>
    <row r="863" spans="2:10" x14ac:dyDescent="0.25">
      <c r="B863" t="s">
        <v>137</v>
      </c>
      <c r="C863" t="s">
        <v>364</v>
      </c>
      <c r="D863" t="s">
        <v>371</v>
      </c>
      <c r="E863" t="s">
        <v>305</v>
      </c>
      <c r="F863" s="3">
        <v>2.2999999999999998</v>
      </c>
      <c r="G863" s="3"/>
      <c r="H863" s="3"/>
      <c r="I863" s="3"/>
      <c r="J863" s="3">
        <v>2.2999999999999998</v>
      </c>
    </row>
    <row r="864" spans="2:10" x14ac:dyDescent="0.25">
      <c r="B864" t="s">
        <v>137</v>
      </c>
      <c r="C864" t="s">
        <v>364</v>
      </c>
      <c r="D864" t="s">
        <v>371</v>
      </c>
      <c r="E864" t="s">
        <v>306</v>
      </c>
      <c r="F864" s="3">
        <v>2.2999999999999998</v>
      </c>
      <c r="G864" s="3"/>
      <c r="H864" s="3"/>
      <c r="I864" s="3"/>
      <c r="J864" s="3">
        <v>2.2999999999999998</v>
      </c>
    </row>
    <row r="865" spans="2:10" x14ac:dyDescent="0.25">
      <c r="B865" t="s">
        <v>137</v>
      </c>
      <c r="C865" t="s">
        <v>364</v>
      </c>
      <c r="D865" t="s">
        <v>371</v>
      </c>
      <c r="E865" t="s">
        <v>307</v>
      </c>
      <c r="F865" s="3">
        <v>2.2999999999999998</v>
      </c>
      <c r="G865" s="3"/>
      <c r="H865" s="3"/>
      <c r="I865" s="3"/>
      <c r="J865" s="3">
        <v>2.2999999999999998</v>
      </c>
    </row>
    <row r="866" spans="2:10" x14ac:dyDescent="0.25">
      <c r="B866" t="s">
        <v>137</v>
      </c>
      <c r="C866" t="s">
        <v>364</v>
      </c>
      <c r="D866" t="s">
        <v>371</v>
      </c>
      <c r="E866" t="s">
        <v>308</v>
      </c>
      <c r="F866" s="3">
        <v>2.2999999999999998</v>
      </c>
      <c r="G866" s="3"/>
      <c r="H866" s="3"/>
      <c r="I866" s="3"/>
      <c r="J866" s="3">
        <v>2.2999999999999998</v>
      </c>
    </row>
    <row r="867" spans="2:10" x14ac:dyDescent="0.25">
      <c r="B867" t="s">
        <v>137</v>
      </c>
      <c r="C867" t="s">
        <v>364</v>
      </c>
      <c r="D867" t="s">
        <v>371</v>
      </c>
      <c r="E867" t="s">
        <v>309</v>
      </c>
      <c r="F867" s="3">
        <v>2.2999999999999998</v>
      </c>
      <c r="G867" s="3"/>
      <c r="H867" s="3"/>
      <c r="I867" s="3"/>
      <c r="J867" s="3">
        <v>2.2999999999999998</v>
      </c>
    </row>
    <row r="868" spans="2:10" x14ac:dyDescent="0.25">
      <c r="B868" t="s">
        <v>137</v>
      </c>
      <c r="C868" t="s">
        <v>364</v>
      </c>
      <c r="D868" t="s">
        <v>260</v>
      </c>
      <c r="E868" t="s">
        <v>46</v>
      </c>
      <c r="F868" s="3">
        <v>74</v>
      </c>
      <c r="G868" s="3"/>
      <c r="H868" s="3"/>
      <c r="I868" s="3"/>
      <c r="J868" s="3">
        <v>74</v>
      </c>
    </row>
    <row r="869" spans="2:10" x14ac:dyDescent="0.25">
      <c r="B869" t="s">
        <v>137</v>
      </c>
      <c r="C869" t="s">
        <v>364</v>
      </c>
      <c r="D869" t="s">
        <v>260</v>
      </c>
      <c r="E869" t="s">
        <v>47</v>
      </c>
      <c r="F869" s="3">
        <v>74</v>
      </c>
      <c r="G869" s="3"/>
      <c r="H869" s="3"/>
      <c r="I869" s="3"/>
      <c r="J869" s="3">
        <v>74</v>
      </c>
    </row>
    <row r="870" spans="2:10" x14ac:dyDescent="0.25">
      <c r="B870" t="s">
        <v>137</v>
      </c>
      <c r="C870" t="s">
        <v>364</v>
      </c>
      <c r="D870" t="s">
        <v>260</v>
      </c>
      <c r="E870" t="s">
        <v>48</v>
      </c>
      <c r="F870" s="3">
        <v>74</v>
      </c>
      <c r="G870" s="3"/>
      <c r="H870" s="3"/>
      <c r="I870" s="3"/>
      <c r="J870" s="3">
        <v>74</v>
      </c>
    </row>
    <row r="871" spans="2:10" x14ac:dyDescent="0.25">
      <c r="B871" t="s">
        <v>137</v>
      </c>
      <c r="C871" t="s">
        <v>364</v>
      </c>
      <c r="D871" t="s">
        <v>260</v>
      </c>
      <c r="E871" t="s">
        <v>49</v>
      </c>
      <c r="F871" s="3">
        <v>74</v>
      </c>
      <c r="G871" s="3"/>
      <c r="H871" s="3"/>
      <c r="I871" s="3"/>
      <c r="J871" s="3">
        <v>74</v>
      </c>
    </row>
    <row r="872" spans="2:10" x14ac:dyDescent="0.25">
      <c r="B872" t="s">
        <v>137</v>
      </c>
      <c r="C872" t="s">
        <v>364</v>
      </c>
      <c r="D872" t="s">
        <v>260</v>
      </c>
      <c r="E872" t="s">
        <v>50</v>
      </c>
      <c r="F872" s="3">
        <v>74</v>
      </c>
      <c r="G872" s="3"/>
      <c r="H872" s="3"/>
      <c r="I872" s="3"/>
      <c r="J872" s="3">
        <v>74</v>
      </c>
    </row>
    <row r="873" spans="2:10" x14ac:dyDescent="0.25">
      <c r="B873" t="s">
        <v>137</v>
      </c>
      <c r="C873" t="s">
        <v>364</v>
      </c>
      <c r="D873" t="s">
        <v>260</v>
      </c>
      <c r="E873" t="s">
        <v>51</v>
      </c>
      <c r="F873" s="3">
        <v>74</v>
      </c>
      <c r="G873" s="3"/>
      <c r="H873" s="3"/>
      <c r="I873" s="3"/>
      <c r="J873" s="3">
        <v>74</v>
      </c>
    </row>
    <row r="874" spans="2:10" x14ac:dyDescent="0.25">
      <c r="B874" t="s">
        <v>137</v>
      </c>
      <c r="C874" t="s">
        <v>364</v>
      </c>
      <c r="D874" t="s">
        <v>260</v>
      </c>
      <c r="E874" t="s">
        <v>196</v>
      </c>
      <c r="F874" s="3">
        <v>74</v>
      </c>
      <c r="G874" s="3"/>
      <c r="H874" s="3"/>
      <c r="I874" s="3"/>
      <c r="J874" s="3">
        <v>74</v>
      </c>
    </row>
    <row r="875" spans="2:10" x14ac:dyDescent="0.25">
      <c r="B875" t="s">
        <v>137</v>
      </c>
      <c r="C875" t="s">
        <v>364</v>
      </c>
      <c r="D875" t="s">
        <v>260</v>
      </c>
      <c r="E875" t="s">
        <v>197</v>
      </c>
      <c r="F875" s="3">
        <v>74</v>
      </c>
      <c r="G875" s="3"/>
      <c r="H875" s="3"/>
      <c r="I875" s="3"/>
      <c r="J875" s="3">
        <v>74</v>
      </c>
    </row>
    <row r="876" spans="2:10" x14ac:dyDescent="0.25">
      <c r="B876" t="s">
        <v>137</v>
      </c>
      <c r="C876" t="s">
        <v>364</v>
      </c>
      <c r="D876" t="s">
        <v>260</v>
      </c>
      <c r="E876" t="s">
        <v>198</v>
      </c>
      <c r="F876" s="3">
        <v>74</v>
      </c>
      <c r="G876" s="3"/>
      <c r="H876" s="3"/>
      <c r="I876" s="3"/>
      <c r="J876" s="3">
        <v>74</v>
      </c>
    </row>
    <row r="877" spans="2:10" x14ac:dyDescent="0.25">
      <c r="B877" t="s">
        <v>137</v>
      </c>
      <c r="C877" t="s">
        <v>364</v>
      </c>
      <c r="D877" t="s">
        <v>260</v>
      </c>
      <c r="E877" t="s">
        <v>199</v>
      </c>
      <c r="F877" s="3">
        <v>74</v>
      </c>
      <c r="G877" s="3"/>
      <c r="H877" s="3"/>
      <c r="I877" s="3"/>
      <c r="J877" s="3">
        <v>74</v>
      </c>
    </row>
    <row r="878" spans="2:10" x14ac:dyDescent="0.25">
      <c r="B878" t="s">
        <v>137</v>
      </c>
      <c r="C878" t="s">
        <v>364</v>
      </c>
      <c r="D878" t="s">
        <v>260</v>
      </c>
      <c r="E878" t="s">
        <v>200</v>
      </c>
      <c r="F878" s="3">
        <v>74</v>
      </c>
      <c r="G878" s="3"/>
      <c r="H878" s="3"/>
      <c r="I878" s="3"/>
      <c r="J878" s="3">
        <v>74</v>
      </c>
    </row>
    <row r="879" spans="2:10" x14ac:dyDescent="0.25">
      <c r="B879" t="s">
        <v>137</v>
      </c>
      <c r="C879" t="s">
        <v>364</v>
      </c>
      <c r="D879" t="s">
        <v>260</v>
      </c>
      <c r="E879" t="s">
        <v>240</v>
      </c>
      <c r="F879" s="3">
        <v>74</v>
      </c>
      <c r="G879" s="3"/>
      <c r="H879" s="3"/>
      <c r="I879" s="3"/>
      <c r="J879" s="3">
        <v>74</v>
      </c>
    </row>
    <row r="880" spans="2:10" x14ac:dyDescent="0.25">
      <c r="B880" t="s">
        <v>137</v>
      </c>
      <c r="C880" t="s">
        <v>364</v>
      </c>
      <c r="D880" t="s">
        <v>260</v>
      </c>
      <c r="E880" t="s">
        <v>301</v>
      </c>
      <c r="F880" s="3">
        <v>74</v>
      </c>
      <c r="G880" s="3"/>
      <c r="H880" s="3"/>
      <c r="I880" s="3"/>
      <c r="J880" s="3">
        <v>74</v>
      </c>
    </row>
    <row r="881" spans="2:10" x14ac:dyDescent="0.25">
      <c r="B881" t="s">
        <v>137</v>
      </c>
      <c r="C881" t="s">
        <v>364</v>
      </c>
      <c r="D881" t="s">
        <v>260</v>
      </c>
      <c r="E881" t="s">
        <v>302</v>
      </c>
      <c r="F881" s="3">
        <v>74</v>
      </c>
      <c r="G881" s="3"/>
      <c r="H881" s="3"/>
      <c r="I881" s="3"/>
      <c r="J881" s="3">
        <v>74</v>
      </c>
    </row>
    <row r="882" spans="2:10" x14ac:dyDescent="0.25">
      <c r="B882" t="s">
        <v>137</v>
      </c>
      <c r="C882" t="s">
        <v>364</v>
      </c>
      <c r="D882" t="s">
        <v>260</v>
      </c>
      <c r="E882" t="s">
        <v>303</v>
      </c>
      <c r="F882" s="3">
        <v>74</v>
      </c>
      <c r="G882" s="3"/>
      <c r="H882" s="3"/>
      <c r="I882" s="3"/>
      <c r="J882" s="3">
        <v>74</v>
      </c>
    </row>
    <row r="883" spans="2:10" x14ac:dyDescent="0.25">
      <c r="B883" t="s">
        <v>137</v>
      </c>
      <c r="C883" t="s">
        <v>364</v>
      </c>
      <c r="D883" t="s">
        <v>260</v>
      </c>
      <c r="E883" t="s">
        <v>304</v>
      </c>
      <c r="F883" s="3">
        <v>74</v>
      </c>
      <c r="G883" s="3"/>
      <c r="H883" s="3"/>
      <c r="I883" s="3"/>
      <c r="J883" s="3">
        <v>74</v>
      </c>
    </row>
    <row r="884" spans="2:10" x14ac:dyDescent="0.25">
      <c r="B884" t="s">
        <v>137</v>
      </c>
      <c r="C884" t="s">
        <v>364</v>
      </c>
      <c r="D884" t="s">
        <v>260</v>
      </c>
      <c r="E884" t="s">
        <v>305</v>
      </c>
      <c r="F884" s="3">
        <v>74</v>
      </c>
      <c r="G884" s="3"/>
      <c r="H884" s="3"/>
      <c r="I884" s="3"/>
      <c r="J884" s="3">
        <v>74</v>
      </c>
    </row>
    <row r="885" spans="2:10" x14ac:dyDescent="0.25">
      <c r="B885" t="s">
        <v>137</v>
      </c>
      <c r="C885" t="s">
        <v>364</v>
      </c>
      <c r="D885" t="s">
        <v>260</v>
      </c>
      <c r="E885" t="s">
        <v>306</v>
      </c>
      <c r="F885" s="3">
        <v>74</v>
      </c>
      <c r="G885" s="3"/>
      <c r="H885" s="3"/>
      <c r="I885" s="3"/>
      <c r="J885" s="3">
        <v>74</v>
      </c>
    </row>
    <row r="886" spans="2:10" x14ac:dyDescent="0.25">
      <c r="B886" t="s">
        <v>137</v>
      </c>
      <c r="C886" t="s">
        <v>364</v>
      </c>
      <c r="D886" t="s">
        <v>260</v>
      </c>
      <c r="E886" t="s">
        <v>307</v>
      </c>
      <c r="F886" s="3">
        <v>74</v>
      </c>
      <c r="G886" s="3"/>
      <c r="H886" s="3"/>
      <c r="I886" s="3"/>
      <c r="J886" s="3">
        <v>74</v>
      </c>
    </row>
    <row r="887" spans="2:10" x14ac:dyDescent="0.25">
      <c r="B887" t="s">
        <v>137</v>
      </c>
      <c r="C887" t="s">
        <v>364</v>
      </c>
      <c r="D887" t="s">
        <v>260</v>
      </c>
      <c r="E887" t="s">
        <v>308</v>
      </c>
      <c r="F887" s="3">
        <v>74</v>
      </c>
      <c r="G887" s="3"/>
      <c r="H887" s="3"/>
      <c r="I887" s="3"/>
      <c r="J887" s="3">
        <v>74</v>
      </c>
    </row>
    <row r="888" spans="2:10" x14ac:dyDescent="0.25">
      <c r="B888" t="s">
        <v>137</v>
      </c>
      <c r="C888" t="s">
        <v>364</v>
      </c>
      <c r="D888" t="s">
        <v>260</v>
      </c>
      <c r="E888" t="s">
        <v>309</v>
      </c>
      <c r="F888" s="3">
        <v>74</v>
      </c>
      <c r="G888" s="3"/>
      <c r="H888" s="3"/>
      <c r="I888" s="3"/>
      <c r="J888" s="3">
        <v>74</v>
      </c>
    </row>
    <row r="889" spans="2:10" x14ac:dyDescent="0.25">
      <c r="B889" t="s">
        <v>137</v>
      </c>
      <c r="C889" t="s">
        <v>364</v>
      </c>
      <c r="D889" t="s">
        <v>260</v>
      </c>
      <c r="E889" t="s">
        <v>310</v>
      </c>
      <c r="F889" s="3">
        <v>74</v>
      </c>
      <c r="G889" s="3"/>
      <c r="H889" s="3"/>
      <c r="I889" s="3"/>
      <c r="J889" s="3">
        <v>74</v>
      </c>
    </row>
    <row r="890" spans="2:10" x14ac:dyDescent="0.25">
      <c r="B890" t="s">
        <v>137</v>
      </c>
      <c r="C890" t="s">
        <v>364</v>
      </c>
      <c r="D890" t="s">
        <v>260</v>
      </c>
      <c r="E890" t="s">
        <v>311</v>
      </c>
      <c r="F890" s="3">
        <v>74</v>
      </c>
      <c r="G890" s="3"/>
      <c r="H890" s="3"/>
      <c r="I890" s="3"/>
      <c r="J890" s="3">
        <v>74</v>
      </c>
    </row>
    <row r="891" spans="2:10" x14ac:dyDescent="0.25">
      <c r="B891" t="s">
        <v>137</v>
      </c>
      <c r="C891" t="s">
        <v>364</v>
      </c>
      <c r="D891" t="s">
        <v>260</v>
      </c>
      <c r="E891" t="s">
        <v>312</v>
      </c>
      <c r="F891" s="3">
        <v>74</v>
      </c>
      <c r="G891" s="3"/>
      <c r="H891" s="3"/>
      <c r="I891" s="3"/>
      <c r="J891" s="3">
        <v>74</v>
      </c>
    </row>
    <row r="892" spans="2:10" x14ac:dyDescent="0.25">
      <c r="B892" t="s">
        <v>137</v>
      </c>
      <c r="C892" t="s">
        <v>364</v>
      </c>
      <c r="D892" t="s">
        <v>372</v>
      </c>
      <c r="E892" t="s">
        <v>307</v>
      </c>
      <c r="F892" s="3">
        <v>4.9539999999999997</v>
      </c>
      <c r="G892" s="3"/>
      <c r="H892" s="3"/>
      <c r="I892" s="3"/>
      <c r="J892" s="3">
        <v>4.9539999999999997</v>
      </c>
    </row>
    <row r="893" spans="2:10" x14ac:dyDescent="0.25">
      <c r="B893" t="s">
        <v>137</v>
      </c>
      <c r="C893" t="s">
        <v>364</v>
      </c>
      <c r="D893" t="s">
        <v>372</v>
      </c>
      <c r="E893" t="s">
        <v>308</v>
      </c>
      <c r="F893" s="3">
        <v>4.9539999999999997</v>
      </c>
      <c r="G893" s="3"/>
      <c r="H893" s="3"/>
      <c r="I893" s="3"/>
      <c r="J893" s="3">
        <v>4.9539999999999997</v>
      </c>
    </row>
    <row r="894" spans="2:10" x14ac:dyDescent="0.25">
      <c r="B894" t="s">
        <v>137</v>
      </c>
      <c r="C894" t="s">
        <v>364</v>
      </c>
      <c r="D894" t="s">
        <v>372</v>
      </c>
      <c r="E894" t="s">
        <v>309</v>
      </c>
      <c r="F894" s="3">
        <v>4.9539999999999997</v>
      </c>
      <c r="G894" s="3"/>
      <c r="H894" s="3"/>
      <c r="I894" s="3"/>
      <c r="J894" s="3">
        <v>4.9539999999999997</v>
      </c>
    </row>
    <row r="895" spans="2:10" x14ac:dyDescent="0.25">
      <c r="B895" t="s">
        <v>137</v>
      </c>
      <c r="C895" t="s">
        <v>364</v>
      </c>
      <c r="D895" t="s">
        <v>372</v>
      </c>
      <c r="E895" t="s">
        <v>310</v>
      </c>
      <c r="F895" s="3">
        <v>4.9539999999999997</v>
      </c>
      <c r="G895" s="3"/>
      <c r="H895" s="3"/>
      <c r="I895" s="3"/>
      <c r="J895" s="3">
        <v>4.9539999999999997</v>
      </c>
    </row>
    <row r="896" spans="2:10" x14ac:dyDescent="0.25">
      <c r="B896" t="s">
        <v>137</v>
      </c>
      <c r="C896" t="s">
        <v>364</v>
      </c>
      <c r="D896" t="s">
        <v>373</v>
      </c>
      <c r="E896" t="s">
        <v>46</v>
      </c>
      <c r="F896" s="3">
        <v>1</v>
      </c>
      <c r="G896" s="3"/>
      <c r="H896" s="3"/>
      <c r="I896" s="3"/>
      <c r="J896" s="3">
        <v>1</v>
      </c>
    </row>
    <row r="897" spans="2:10" x14ac:dyDescent="0.25">
      <c r="B897" t="s">
        <v>137</v>
      </c>
      <c r="C897" t="s">
        <v>364</v>
      </c>
      <c r="D897" t="s">
        <v>373</v>
      </c>
      <c r="E897" t="s">
        <v>47</v>
      </c>
      <c r="F897" s="3">
        <v>1</v>
      </c>
      <c r="G897" s="3"/>
      <c r="H897" s="3"/>
      <c r="I897" s="3"/>
      <c r="J897" s="3">
        <v>1</v>
      </c>
    </row>
    <row r="898" spans="2:10" x14ac:dyDescent="0.25">
      <c r="B898" t="s">
        <v>137</v>
      </c>
      <c r="C898" t="s">
        <v>364</v>
      </c>
      <c r="D898" t="s">
        <v>373</v>
      </c>
      <c r="E898" t="s">
        <v>48</v>
      </c>
      <c r="F898" s="3">
        <v>1</v>
      </c>
      <c r="G898" s="3"/>
      <c r="H898" s="3"/>
      <c r="I898" s="3"/>
      <c r="J898" s="3">
        <v>1</v>
      </c>
    </row>
    <row r="899" spans="2:10" x14ac:dyDescent="0.25">
      <c r="B899" t="s">
        <v>137</v>
      </c>
      <c r="C899" t="s">
        <v>364</v>
      </c>
      <c r="D899" t="s">
        <v>373</v>
      </c>
      <c r="E899" t="s">
        <v>49</v>
      </c>
      <c r="F899" s="3">
        <v>1</v>
      </c>
      <c r="G899" s="3"/>
      <c r="H899" s="3"/>
      <c r="I899" s="3"/>
      <c r="J899" s="3">
        <v>1</v>
      </c>
    </row>
    <row r="900" spans="2:10" x14ac:dyDescent="0.25">
      <c r="B900" t="s">
        <v>137</v>
      </c>
      <c r="C900" t="s">
        <v>364</v>
      </c>
      <c r="D900" t="s">
        <v>373</v>
      </c>
      <c r="E900" t="s">
        <v>50</v>
      </c>
      <c r="F900" s="3">
        <v>1</v>
      </c>
      <c r="G900" s="3"/>
      <c r="H900" s="3"/>
      <c r="I900" s="3"/>
      <c r="J900" s="3">
        <v>1</v>
      </c>
    </row>
    <row r="901" spans="2:10" x14ac:dyDescent="0.25">
      <c r="B901" t="s">
        <v>137</v>
      </c>
      <c r="C901" t="s">
        <v>364</v>
      </c>
      <c r="D901" t="s">
        <v>373</v>
      </c>
      <c r="E901" t="s">
        <v>51</v>
      </c>
      <c r="F901" s="3">
        <v>1</v>
      </c>
      <c r="G901" s="3"/>
      <c r="H901" s="3"/>
      <c r="I901" s="3"/>
      <c r="J901" s="3">
        <v>1</v>
      </c>
    </row>
    <row r="902" spans="2:10" x14ac:dyDescent="0.25">
      <c r="B902" t="s">
        <v>137</v>
      </c>
      <c r="C902" t="s">
        <v>364</v>
      </c>
      <c r="D902" t="s">
        <v>373</v>
      </c>
      <c r="E902" t="s">
        <v>196</v>
      </c>
      <c r="F902" s="3">
        <v>1</v>
      </c>
      <c r="G902" s="3"/>
      <c r="H902" s="3"/>
      <c r="I902" s="3"/>
      <c r="J902" s="3">
        <v>1</v>
      </c>
    </row>
    <row r="903" spans="2:10" x14ac:dyDescent="0.25">
      <c r="B903" t="s">
        <v>137</v>
      </c>
      <c r="C903" t="s">
        <v>364</v>
      </c>
      <c r="D903" t="s">
        <v>373</v>
      </c>
      <c r="E903" t="s">
        <v>197</v>
      </c>
      <c r="F903" s="3">
        <v>1</v>
      </c>
      <c r="G903" s="3"/>
      <c r="H903" s="3"/>
      <c r="I903" s="3"/>
      <c r="J903" s="3">
        <v>1</v>
      </c>
    </row>
    <row r="904" spans="2:10" x14ac:dyDescent="0.25">
      <c r="B904" t="s">
        <v>137</v>
      </c>
      <c r="C904" t="s">
        <v>364</v>
      </c>
      <c r="D904" t="s">
        <v>373</v>
      </c>
      <c r="E904" t="s">
        <v>198</v>
      </c>
      <c r="F904" s="3">
        <v>1</v>
      </c>
      <c r="G904" s="3"/>
      <c r="H904" s="3"/>
      <c r="I904" s="3"/>
      <c r="J904" s="3">
        <v>1</v>
      </c>
    </row>
    <row r="905" spans="2:10" x14ac:dyDescent="0.25">
      <c r="B905" t="s">
        <v>137</v>
      </c>
      <c r="C905" t="s">
        <v>364</v>
      </c>
      <c r="D905" t="s">
        <v>373</v>
      </c>
      <c r="E905" t="s">
        <v>199</v>
      </c>
      <c r="F905" s="3">
        <v>1</v>
      </c>
      <c r="G905" s="3"/>
      <c r="H905" s="3"/>
      <c r="I905" s="3"/>
      <c r="J905" s="3">
        <v>1</v>
      </c>
    </row>
    <row r="906" spans="2:10" x14ac:dyDescent="0.25">
      <c r="B906" t="s">
        <v>137</v>
      </c>
      <c r="C906" t="s">
        <v>364</v>
      </c>
      <c r="D906" t="s">
        <v>373</v>
      </c>
      <c r="E906" t="s">
        <v>200</v>
      </c>
      <c r="F906" s="3">
        <v>1</v>
      </c>
      <c r="G906" s="3"/>
      <c r="H906" s="3"/>
      <c r="I906" s="3"/>
      <c r="J906" s="3">
        <v>1</v>
      </c>
    </row>
    <row r="907" spans="2:10" x14ac:dyDescent="0.25">
      <c r="B907" t="s">
        <v>137</v>
      </c>
      <c r="C907" t="s">
        <v>364</v>
      </c>
      <c r="D907" t="s">
        <v>373</v>
      </c>
      <c r="E907" t="s">
        <v>240</v>
      </c>
      <c r="F907" s="3">
        <v>1</v>
      </c>
      <c r="G907" s="3"/>
      <c r="H907" s="3"/>
      <c r="I907" s="3"/>
      <c r="J907" s="3">
        <v>1</v>
      </c>
    </row>
    <row r="908" spans="2:10" x14ac:dyDescent="0.25">
      <c r="B908" t="s">
        <v>137</v>
      </c>
      <c r="C908" t="s">
        <v>364</v>
      </c>
      <c r="D908" t="s">
        <v>373</v>
      </c>
      <c r="E908" t="s">
        <v>301</v>
      </c>
      <c r="F908" s="3">
        <v>1</v>
      </c>
      <c r="G908" s="3"/>
      <c r="H908" s="3"/>
      <c r="I908" s="3"/>
      <c r="J908" s="3">
        <v>1</v>
      </c>
    </row>
    <row r="909" spans="2:10" x14ac:dyDescent="0.25">
      <c r="B909" t="s">
        <v>137</v>
      </c>
      <c r="C909" t="s">
        <v>364</v>
      </c>
      <c r="D909" t="s">
        <v>373</v>
      </c>
      <c r="E909" t="s">
        <v>302</v>
      </c>
      <c r="F909" s="3">
        <v>1</v>
      </c>
      <c r="G909" s="3"/>
      <c r="H909" s="3"/>
      <c r="I909" s="3"/>
      <c r="J909" s="3">
        <v>1</v>
      </c>
    </row>
    <row r="910" spans="2:10" x14ac:dyDescent="0.25">
      <c r="B910" t="s">
        <v>137</v>
      </c>
      <c r="C910" t="s">
        <v>364</v>
      </c>
      <c r="D910" t="s">
        <v>373</v>
      </c>
      <c r="E910" t="s">
        <v>303</v>
      </c>
      <c r="F910" s="3">
        <v>1</v>
      </c>
      <c r="G910" s="3"/>
      <c r="H910" s="3"/>
      <c r="I910" s="3"/>
      <c r="J910" s="3">
        <v>1</v>
      </c>
    </row>
    <row r="911" spans="2:10" x14ac:dyDescent="0.25">
      <c r="B911" t="s">
        <v>137</v>
      </c>
      <c r="C911" t="s">
        <v>364</v>
      </c>
      <c r="D911" t="s">
        <v>373</v>
      </c>
      <c r="E911" t="s">
        <v>304</v>
      </c>
      <c r="F911" s="3">
        <v>1</v>
      </c>
      <c r="G911" s="3"/>
      <c r="H911" s="3"/>
      <c r="I911" s="3"/>
      <c r="J911" s="3">
        <v>1</v>
      </c>
    </row>
    <row r="912" spans="2:10" x14ac:dyDescent="0.25">
      <c r="B912" t="s">
        <v>137</v>
      </c>
      <c r="C912" t="s">
        <v>364</v>
      </c>
      <c r="D912" t="s">
        <v>373</v>
      </c>
      <c r="E912" t="s">
        <v>305</v>
      </c>
      <c r="F912" s="3">
        <v>1</v>
      </c>
      <c r="G912" s="3"/>
      <c r="H912" s="3"/>
      <c r="I912" s="3"/>
      <c r="J912" s="3">
        <v>1</v>
      </c>
    </row>
    <row r="913" spans="2:10" x14ac:dyDescent="0.25">
      <c r="B913" t="s">
        <v>137</v>
      </c>
      <c r="C913" t="s">
        <v>364</v>
      </c>
      <c r="D913" t="s">
        <v>373</v>
      </c>
      <c r="E913" t="s">
        <v>306</v>
      </c>
      <c r="F913" s="3">
        <v>1</v>
      </c>
      <c r="G913" s="3"/>
      <c r="H913" s="3"/>
      <c r="I913" s="3"/>
      <c r="J913" s="3">
        <v>1</v>
      </c>
    </row>
    <row r="914" spans="2:10" x14ac:dyDescent="0.25">
      <c r="B914" t="s">
        <v>137</v>
      </c>
      <c r="C914" t="s">
        <v>364</v>
      </c>
      <c r="D914" t="s">
        <v>373</v>
      </c>
      <c r="E914" t="s">
        <v>307</v>
      </c>
      <c r="F914" s="3">
        <v>1</v>
      </c>
      <c r="G914" s="3"/>
      <c r="H914" s="3"/>
      <c r="I914" s="3"/>
      <c r="J914" s="3">
        <v>1</v>
      </c>
    </row>
    <row r="915" spans="2:10" x14ac:dyDescent="0.25">
      <c r="B915" t="s">
        <v>137</v>
      </c>
      <c r="C915" t="s">
        <v>364</v>
      </c>
      <c r="D915" t="s">
        <v>373</v>
      </c>
      <c r="E915" t="s">
        <v>308</v>
      </c>
      <c r="F915" s="3">
        <v>1</v>
      </c>
      <c r="G915" s="3"/>
      <c r="H915" s="3"/>
      <c r="I915" s="3"/>
      <c r="J915" s="3">
        <v>1</v>
      </c>
    </row>
    <row r="916" spans="2:10" x14ac:dyDescent="0.25">
      <c r="B916" t="s">
        <v>137</v>
      </c>
      <c r="C916" t="s">
        <v>364</v>
      </c>
      <c r="D916" t="s">
        <v>373</v>
      </c>
      <c r="E916" t="s">
        <v>309</v>
      </c>
      <c r="F916" s="3">
        <v>1</v>
      </c>
      <c r="G916" s="3"/>
      <c r="H916" s="3"/>
      <c r="I916" s="3"/>
      <c r="J916" s="3">
        <v>1</v>
      </c>
    </row>
    <row r="917" spans="2:10" x14ac:dyDescent="0.25">
      <c r="B917" t="s">
        <v>137</v>
      </c>
      <c r="C917" t="s">
        <v>364</v>
      </c>
      <c r="D917" t="s">
        <v>373</v>
      </c>
      <c r="E917" t="s">
        <v>310</v>
      </c>
      <c r="F917" s="3">
        <v>1</v>
      </c>
      <c r="G917" s="3"/>
      <c r="H917" s="3"/>
      <c r="I917" s="3"/>
      <c r="J917" s="3">
        <v>1</v>
      </c>
    </row>
    <row r="918" spans="2:10" x14ac:dyDescent="0.25">
      <c r="B918" t="s">
        <v>137</v>
      </c>
      <c r="C918" t="s">
        <v>364</v>
      </c>
      <c r="D918" t="s">
        <v>373</v>
      </c>
      <c r="E918" t="s">
        <v>311</v>
      </c>
      <c r="F918" s="3">
        <v>1</v>
      </c>
      <c r="G918" s="3"/>
      <c r="H918" s="3"/>
      <c r="I918" s="3"/>
      <c r="J918" s="3">
        <v>1</v>
      </c>
    </row>
    <row r="919" spans="2:10" x14ac:dyDescent="0.25">
      <c r="B919" t="s">
        <v>137</v>
      </c>
      <c r="C919" t="s">
        <v>364</v>
      </c>
      <c r="D919" t="s">
        <v>373</v>
      </c>
      <c r="E919" t="s">
        <v>312</v>
      </c>
      <c r="F919" s="3">
        <v>1</v>
      </c>
      <c r="G919" s="3"/>
      <c r="H919" s="3"/>
      <c r="I919" s="3"/>
      <c r="J919" s="3">
        <v>1</v>
      </c>
    </row>
    <row r="920" spans="2:10" x14ac:dyDescent="0.25">
      <c r="B920" t="s">
        <v>137</v>
      </c>
      <c r="C920" t="s">
        <v>364</v>
      </c>
      <c r="D920" t="s">
        <v>374</v>
      </c>
      <c r="E920" t="s">
        <v>46</v>
      </c>
      <c r="F920" s="3">
        <v>1.1000000000000001</v>
      </c>
      <c r="G920" s="3"/>
      <c r="H920" s="3"/>
      <c r="I920" s="3"/>
      <c r="J920" s="3">
        <v>1.1000000000000001</v>
      </c>
    </row>
    <row r="921" spans="2:10" x14ac:dyDescent="0.25">
      <c r="B921" t="s">
        <v>137</v>
      </c>
      <c r="C921" t="s">
        <v>364</v>
      </c>
      <c r="D921" t="s">
        <v>374</v>
      </c>
      <c r="E921" t="s">
        <v>47</v>
      </c>
      <c r="F921" s="3">
        <v>1.1000000000000001</v>
      </c>
      <c r="G921" s="3"/>
      <c r="H921" s="3"/>
      <c r="I921" s="3"/>
      <c r="J921" s="3">
        <v>1.1000000000000001</v>
      </c>
    </row>
    <row r="922" spans="2:10" x14ac:dyDescent="0.25">
      <c r="B922" t="s">
        <v>137</v>
      </c>
      <c r="C922" t="s">
        <v>364</v>
      </c>
      <c r="D922" t="s">
        <v>374</v>
      </c>
      <c r="E922" t="s">
        <v>48</v>
      </c>
      <c r="F922" s="3">
        <v>1.1000000000000001</v>
      </c>
      <c r="G922" s="3"/>
      <c r="H922" s="3"/>
      <c r="I922" s="3"/>
      <c r="J922" s="3">
        <v>1.1000000000000001</v>
      </c>
    </row>
    <row r="923" spans="2:10" x14ac:dyDescent="0.25">
      <c r="B923" t="s">
        <v>137</v>
      </c>
      <c r="C923" t="s">
        <v>364</v>
      </c>
      <c r="D923" t="s">
        <v>374</v>
      </c>
      <c r="E923" t="s">
        <v>49</v>
      </c>
      <c r="F923" s="3">
        <v>1.1000000000000001</v>
      </c>
      <c r="G923" s="3"/>
      <c r="H923" s="3"/>
      <c r="I923" s="3"/>
      <c r="J923" s="3">
        <v>1.1000000000000001</v>
      </c>
    </row>
    <row r="924" spans="2:10" x14ac:dyDescent="0.25">
      <c r="B924" t="s">
        <v>137</v>
      </c>
      <c r="C924" t="s">
        <v>364</v>
      </c>
      <c r="D924" t="s">
        <v>374</v>
      </c>
      <c r="E924" t="s">
        <v>50</v>
      </c>
      <c r="F924" s="3">
        <v>1.1000000000000001</v>
      </c>
      <c r="G924" s="3"/>
      <c r="H924" s="3"/>
      <c r="I924" s="3"/>
      <c r="J924" s="3">
        <v>1.1000000000000001</v>
      </c>
    </row>
    <row r="925" spans="2:10" x14ac:dyDescent="0.25">
      <c r="B925" t="s">
        <v>137</v>
      </c>
      <c r="C925" t="s">
        <v>364</v>
      </c>
      <c r="D925" t="s">
        <v>374</v>
      </c>
      <c r="E925" t="s">
        <v>51</v>
      </c>
      <c r="F925" s="3">
        <v>1.1000000000000001</v>
      </c>
      <c r="G925" s="3"/>
      <c r="H925" s="3"/>
      <c r="I925" s="3"/>
      <c r="J925" s="3">
        <v>1.1000000000000001</v>
      </c>
    </row>
    <row r="926" spans="2:10" x14ac:dyDescent="0.25">
      <c r="B926" t="s">
        <v>137</v>
      </c>
      <c r="C926" t="s">
        <v>364</v>
      </c>
      <c r="D926" t="s">
        <v>374</v>
      </c>
      <c r="E926" t="s">
        <v>196</v>
      </c>
      <c r="F926" s="3">
        <v>1.1000000000000001</v>
      </c>
      <c r="G926" s="3"/>
      <c r="H926" s="3"/>
      <c r="I926" s="3"/>
      <c r="J926" s="3">
        <v>1.1000000000000001</v>
      </c>
    </row>
    <row r="927" spans="2:10" x14ac:dyDescent="0.25">
      <c r="B927" t="s">
        <v>137</v>
      </c>
      <c r="C927" t="s">
        <v>364</v>
      </c>
      <c r="D927" t="s">
        <v>374</v>
      </c>
      <c r="E927" t="s">
        <v>197</v>
      </c>
      <c r="F927" s="3">
        <v>1.1000000000000001</v>
      </c>
      <c r="G927" s="3"/>
      <c r="H927" s="3"/>
      <c r="I927" s="3"/>
      <c r="J927" s="3">
        <v>1.1000000000000001</v>
      </c>
    </row>
    <row r="928" spans="2:10" x14ac:dyDescent="0.25">
      <c r="B928" t="s">
        <v>137</v>
      </c>
      <c r="C928" t="s">
        <v>364</v>
      </c>
      <c r="D928" t="s">
        <v>374</v>
      </c>
      <c r="E928" t="s">
        <v>198</v>
      </c>
      <c r="F928" s="3">
        <v>1.1000000000000001</v>
      </c>
      <c r="G928" s="3"/>
      <c r="H928" s="3"/>
      <c r="I928" s="3"/>
      <c r="J928" s="3">
        <v>1.1000000000000001</v>
      </c>
    </row>
    <row r="929" spans="2:10" x14ac:dyDescent="0.25">
      <c r="B929" t="s">
        <v>137</v>
      </c>
      <c r="C929" t="s">
        <v>364</v>
      </c>
      <c r="D929" t="s">
        <v>374</v>
      </c>
      <c r="E929" t="s">
        <v>199</v>
      </c>
      <c r="F929" s="3">
        <v>1.1000000000000001</v>
      </c>
      <c r="G929" s="3"/>
      <c r="H929" s="3"/>
      <c r="I929" s="3"/>
      <c r="J929" s="3">
        <v>1.1000000000000001</v>
      </c>
    </row>
    <row r="930" spans="2:10" x14ac:dyDescent="0.25">
      <c r="B930" t="s">
        <v>137</v>
      </c>
      <c r="C930" t="s">
        <v>364</v>
      </c>
      <c r="D930" t="s">
        <v>374</v>
      </c>
      <c r="E930" t="s">
        <v>200</v>
      </c>
      <c r="F930" s="3">
        <v>1.1000000000000001</v>
      </c>
      <c r="G930" s="3"/>
      <c r="H930" s="3"/>
      <c r="I930" s="3"/>
      <c r="J930" s="3">
        <v>1.1000000000000001</v>
      </c>
    </row>
    <row r="931" spans="2:10" x14ac:dyDescent="0.25">
      <c r="B931" t="s">
        <v>137</v>
      </c>
      <c r="C931" t="s">
        <v>364</v>
      </c>
      <c r="D931" t="s">
        <v>374</v>
      </c>
      <c r="E931" t="s">
        <v>240</v>
      </c>
      <c r="F931" s="3">
        <v>1.1000000000000001</v>
      </c>
      <c r="G931" s="3"/>
      <c r="H931" s="3"/>
      <c r="I931" s="3"/>
      <c r="J931" s="3">
        <v>1.1000000000000001</v>
      </c>
    </row>
    <row r="932" spans="2:10" x14ac:dyDescent="0.25">
      <c r="B932" t="s">
        <v>137</v>
      </c>
      <c r="C932" t="s">
        <v>364</v>
      </c>
      <c r="D932" t="s">
        <v>374</v>
      </c>
      <c r="E932" t="s">
        <v>301</v>
      </c>
      <c r="F932" s="3">
        <v>1.1000000000000001</v>
      </c>
      <c r="G932" s="3"/>
      <c r="H932" s="3"/>
      <c r="I932" s="3"/>
      <c r="J932" s="3">
        <v>1.1000000000000001</v>
      </c>
    </row>
    <row r="933" spans="2:10" x14ac:dyDescent="0.25">
      <c r="B933" t="s">
        <v>137</v>
      </c>
      <c r="C933" t="s">
        <v>364</v>
      </c>
      <c r="D933" t="s">
        <v>374</v>
      </c>
      <c r="E933" t="s">
        <v>302</v>
      </c>
      <c r="F933" s="3">
        <v>1.1000000000000001</v>
      </c>
      <c r="G933" s="3"/>
      <c r="H933" s="3"/>
      <c r="I933" s="3"/>
      <c r="J933" s="3">
        <v>1.1000000000000001</v>
      </c>
    </row>
    <row r="934" spans="2:10" x14ac:dyDescent="0.25">
      <c r="B934" t="s">
        <v>137</v>
      </c>
      <c r="C934" t="s">
        <v>364</v>
      </c>
      <c r="D934" t="s">
        <v>374</v>
      </c>
      <c r="E934" t="s">
        <v>303</v>
      </c>
      <c r="F934" s="3">
        <v>1.1000000000000001</v>
      </c>
      <c r="G934" s="3"/>
      <c r="H934" s="3"/>
      <c r="I934" s="3"/>
      <c r="J934" s="3">
        <v>1.1000000000000001</v>
      </c>
    </row>
    <row r="935" spans="2:10" x14ac:dyDescent="0.25">
      <c r="B935" t="s">
        <v>137</v>
      </c>
      <c r="C935" t="s">
        <v>364</v>
      </c>
      <c r="D935" t="s">
        <v>374</v>
      </c>
      <c r="E935" t="s">
        <v>304</v>
      </c>
      <c r="F935" s="3">
        <v>1.1000000000000001</v>
      </c>
      <c r="G935" s="3"/>
      <c r="H935" s="3"/>
      <c r="I935" s="3"/>
      <c r="J935" s="3">
        <v>1.1000000000000001</v>
      </c>
    </row>
    <row r="936" spans="2:10" x14ac:dyDescent="0.25">
      <c r="B936" t="s">
        <v>137</v>
      </c>
      <c r="C936" t="s">
        <v>364</v>
      </c>
      <c r="D936" t="s">
        <v>374</v>
      </c>
      <c r="E936" t="s">
        <v>305</v>
      </c>
      <c r="F936" s="3">
        <v>1.1000000000000001</v>
      </c>
      <c r="G936" s="3"/>
      <c r="H936" s="3"/>
      <c r="I936" s="3"/>
      <c r="J936" s="3">
        <v>1.1000000000000001</v>
      </c>
    </row>
    <row r="937" spans="2:10" x14ac:dyDescent="0.25">
      <c r="B937" t="s">
        <v>137</v>
      </c>
      <c r="C937" t="s">
        <v>364</v>
      </c>
      <c r="D937" t="s">
        <v>374</v>
      </c>
      <c r="E937" t="s">
        <v>306</v>
      </c>
      <c r="F937" s="3">
        <v>1.1000000000000001</v>
      </c>
      <c r="G937" s="3"/>
      <c r="H937" s="3"/>
      <c r="I937" s="3"/>
      <c r="J937" s="3">
        <v>1.1000000000000001</v>
      </c>
    </row>
    <row r="938" spans="2:10" x14ac:dyDescent="0.25">
      <c r="B938" t="s">
        <v>137</v>
      </c>
      <c r="C938" t="s">
        <v>364</v>
      </c>
      <c r="D938" t="s">
        <v>374</v>
      </c>
      <c r="E938" t="s">
        <v>307</v>
      </c>
      <c r="F938" s="3">
        <v>1.1000000000000001</v>
      </c>
      <c r="G938" s="3"/>
      <c r="H938" s="3"/>
      <c r="I938" s="3"/>
      <c r="J938" s="3">
        <v>1.1000000000000001</v>
      </c>
    </row>
    <row r="939" spans="2:10" x14ac:dyDescent="0.25">
      <c r="B939" t="s">
        <v>137</v>
      </c>
      <c r="C939" t="s">
        <v>364</v>
      </c>
      <c r="D939" t="s">
        <v>374</v>
      </c>
      <c r="E939" t="s">
        <v>308</v>
      </c>
      <c r="F939" s="3">
        <v>1.1000000000000001</v>
      </c>
      <c r="G939" s="3"/>
      <c r="H939" s="3"/>
      <c r="I939" s="3"/>
      <c r="J939" s="3">
        <v>1.1000000000000001</v>
      </c>
    </row>
    <row r="940" spans="2:10" x14ac:dyDescent="0.25">
      <c r="B940" t="s">
        <v>137</v>
      </c>
      <c r="C940" t="s">
        <v>364</v>
      </c>
      <c r="D940" t="s">
        <v>374</v>
      </c>
      <c r="E940" t="s">
        <v>309</v>
      </c>
      <c r="F940" s="3">
        <v>1.1000000000000001</v>
      </c>
      <c r="G940" s="3"/>
      <c r="H940" s="3"/>
      <c r="I940" s="3"/>
      <c r="J940" s="3">
        <v>1.1000000000000001</v>
      </c>
    </row>
    <row r="941" spans="2:10" x14ac:dyDescent="0.25">
      <c r="B941" t="s">
        <v>137</v>
      </c>
      <c r="C941" t="s">
        <v>364</v>
      </c>
      <c r="D941" t="s">
        <v>374</v>
      </c>
      <c r="E941" t="s">
        <v>310</v>
      </c>
      <c r="F941" s="3">
        <v>1.1000000000000001</v>
      </c>
      <c r="G941" s="3"/>
      <c r="H941" s="3"/>
      <c r="I941" s="3"/>
      <c r="J941" s="3">
        <v>1.1000000000000001</v>
      </c>
    </row>
    <row r="942" spans="2:10" x14ac:dyDescent="0.25">
      <c r="B942" t="s">
        <v>137</v>
      </c>
      <c r="C942" t="s">
        <v>364</v>
      </c>
      <c r="D942" t="s">
        <v>374</v>
      </c>
      <c r="E942" t="s">
        <v>311</v>
      </c>
      <c r="F942" s="3">
        <v>1.1000000000000001</v>
      </c>
      <c r="G942" s="3"/>
      <c r="H942" s="3"/>
      <c r="I942" s="3"/>
      <c r="J942" s="3">
        <v>1.1000000000000001</v>
      </c>
    </row>
    <row r="943" spans="2:10" x14ac:dyDescent="0.25">
      <c r="B943" t="s">
        <v>137</v>
      </c>
      <c r="C943" t="s">
        <v>364</v>
      </c>
      <c r="D943" t="s">
        <v>374</v>
      </c>
      <c r="E943" t="s">
        <v>312</v>
      </c>
      <c r="F943" s="3">
        <v>1.1000000000000001</v>
      </c>
      <c r="G943" s="3"/>
      <c r="H943" s="3"/>
      <c r="I943" s="3"/>
      <c r="J943" s="3">
        <v>1.1000000000000001</v>
      </c>
    </row>
    <row r="944" spans="2:10" x14ac:dyDescent="0.25">
      <c r="B944" t="s">
        <v>137</v>
      </c>
      <c r="C944" t="s">
        <v>364</v>
      </c>
      <c r="D944" t="s">
        <v>375</v>
      </c>
      <c r="E944" t="s">
        <v>46</v>
      </c>
      <c r="F944" s="3">
        <v>10</v>
      </c>
      <c r="G944" s="3"/>
      <c r="H944" s="3"/>
      <c r="I944" s="3"/>
      <c r="J944" s="3">
        <v>10</v>
      </c>
    </row>
    <row r="945" spans="2:10" x14ac:dyDescent="0.25">
      <c r="B945" t="s">
        <v>137</v>
      </c>
      <c r="C945" t="s">
        <v>364</v>
      </c>
      <c r="D945" t="s">
        <v>375</v>
      </c>
      <c r="E945" t="s">
        <v>47</v>
      </c>
      <c r="F945" s="3">
        <v>10</v>
      </c>
      <c r="G945" s="3"/>
      <c r="H945" s="3"/>
      <c r="I945" s="3"/>
      <c r="J945" s="3">
        <v>10</v>
      </c>
    </row>
    <row r="946" spans="2:10" x14ac:dyDescent="0.25">
      <c r="B946" t="s">
        <v>137</v>
      </c>
      <c r="C946" t="s">
        <v>364</v>
      </c>
      <c r="D946" t="s">
        <v>375</v>
      </c>
      <c r="E946" t="s">
        <v>48</v>
      </c>
      <c r="F946" s="3">
        <v>10</v>
      </c>
      <c r="G946" s="3"/>
      <c r="H946" s="3"/>
      <c r="I946" s="3"/>
      <c r="J946" s="3">
        <v>10</v>
      </c>
    </row>
    <row r="947" spans="2:10" x14ac:dyDescent="0.25">
      <c r="B947" t="s">
        <v>137</v>
      </c>
      <c r="C947" t="s">
        <v>364</v>
      </c>
      <c r="D947" t="s">
        <v>375</v>
      </c>
      <c r="E947" t="s">
        <v>49</v>
      </c>
      <c r="F947" s="3">
        <v>10</v>
      </c>
      <c r="G947" s="3"/>
      <c r="H947" s="3"/>
      <c r="I947" s="3"/>
      <c r="J947" s="3">
        <v>10</v>
      </c>
    </row>
    <row r="948" spans="2:10" x14ac:dyDescent="0.25">
      <c r="B948" t="s">
        <v>137</v>
      </c>
      <c r="C948" t="s">
        <v>364</v>
      </c>
      <c r="D948" t="s">
        <v>375</v>
      </c>
      <c r="E948" t="s">
        <v>50</v>
      </c>
      <c r="F948" s="3">
        <v>10</v>
      </c>
      <c r="G948" s="3"/>
      <c r="H948" s="3"/>
      <c r="I948" s="3"/>
      <c r="J948" s="3">
        <v>10</v>
      </c>
    </row>
    <row r="949" spans="2:10" x14ac:dyDescent="0.25">
      <c r="B949" t="s">
        <v>137</v>
      </c>
      <c r="C949" t="s">
        <v>364</v>
      </c>
      <c r="D949" t="s">
        <v>375</v>
      </c>
      <c r="E949" t="s">
        <v>51</v>
      </c>
      <c r="F949" s="3">
        <v>10</v>
      </c>
      <c r="G949" s="3"/>
      <c r="H949" s="3"/>
      <c r="I949" s="3"/>
      <c r="J949" s="3">
        <v>10</v>
      </c>
    </row>
    <row r="950" spans="2:10" x14ac:dyDescent="0.25">
      <c r="B950" t="s">
        <v>137</v>
      </c>
      <c r="C950" t="s">
        <v>364</v>
      </c>
      <c r="D950" t="s">
        <v>375</v>
      </c>
      <c r="E950" t="s">
        <v>196</v>
      </c>
      <c r="F950" s="3">
        <v>10</v>
      </c>
      <c r="G950" s="3"/>
      <c r="H950" s="3"/>
      <c r="I950" s="3"/>
      <c r="J950" s="3">
        <v>10</v>
      </c>
    </row>
    <row r="951" spans="2:10" x14ac:dyDescent="0.25">
      <c r="B951" t="s">
        <v>137</v>
      </c>
      <c r="C951" t="s">
        <v>364</v>
      </c>
      <c r="D951" t="s">
        <v>375</v>
      </c>
      <c r="E951" t="s">
        <v>197</v>
      </c>
      <c r="F951" s="3">
        <v>10</v>
      </c>
      <c r="G951" s="3"/>
      <c r="H951" s="3"/>
      <c r="I951" s="3"/>
      <c r="J951" s="3">
        <v>10</v>
      </c>
    </row>
    <row r="952" spans="2:10" x14ac:dyDescent="0.25">
      <c r="B952" t="s">
        <v>137</v>
      </c>
      <c r="C952" t="s">
        <v>364</v>
      </c>
      <c r="D952" t="s">
        <v>375</v>
      </c>
      <c r="E952" t="s">
        <v>198</v>
      </c>
      <c r="F952" s="3">
        <v>10</v>
      </c>
      <c r="G952" s="3"/>
      <c r="H952" s="3"/>
      <c r="I952" s="3"/>
      <c r="J952" s="3">
        <v>10</v>
      </c>
    </row>
    <row r="953" spans="2:10" x14ac:dyDescent="0.25">
      <c r="B953" t="s">
        <v>137</v>
      </c>
      <c r="C953" t="s">
        <v>364</v>
      </c>
      <c r="D953" t="s">
        <v>375</v>
      </c>
      <c r="E953" t="s">
        <v>199</v>
      </c>
      <c r="F953" s="3">
        <v>10</v>
      </c>
      <c r="G953" s="3"/>
      <c r="H953" s="3"/>
      <c r="I953" s="3"/>
      <c r="J953" s="3">
        <v>10</v>
      </c>
    </row>
    <row r="954" spans="2:10" x14ac:dyDescent="0.25">
      <c r="B954" t="s">
        <v>137</v>
      </c>
      <c r="C954" t="s">
        <v>364</v>
      </c>
      <c r="D954" t="s">
        <v>375</v>
      </c>
      <c r="E954" t="s">
        <v>200</v>
      </c>
      <c r="F954" s="3">
        <v>10</v>
      </c>
      <c r="G954" s="3"/>
      <c r="H954" s="3"/>
      <c r="I954" s="3"/>
      <c r="J954" s="3">
        <v>10</v>
      </c>
    </row>
    <row r="955" spans="2:10" x14ac:dyDescent="0.25">
      <c r="B955" t="s">
        <v>137</v>
      </c>
      <c r="C955" t="s">
        <v>364</v>
      </c>
      <c r="D955" t="s">
        <v>375</v>
      </c>
      <c r="E955" t="s">
        <v>240</v>
      </c>
      <c r="F955" s="3">
        <v>10</v>
      </c>
      <c r="G955" s="3"/>
      <c r="H955" s="3"/>
      <c r="I955" s="3"/>
      <c r="J955" s="3">
        <v>10</v>
      </c>
    </row>
    <row r="956" spans="2:10" x14ac:dyDescent="0.25">
      <c r="B956" t="s">
        <v>137</v>
      </c>
      <c r="C956" t="s">
        <v>364</v>
      </c>
      <c r="D956" t="s">
        <v>375</v>
      </c>
      <c r="E956" t="s">
        <v>301</v>
      </c>
      <c r="F956" s="3">
        <v>10</v>
      </c>
      <c r="G956" s="3"/>
      <c r="H956" s="3"/>
      <c r="I956" s="3"/>
      <c r="J956" s="3">
        <v>10</v>
      </c>
    </row>
    <row r="957" spans="2:10" x14ac:dyDescent="0.25">
      <c r="B957" t="s">
        <v>137</v>
      </c>
      <c r="C957" t="s">
        <v>364</v>
      </c>
      <c r="D957" t="s">
        <v>375</v>
      </c>
      <c r="E957" t="s">
        <v>302</v>
      </c>
      <c r="F957" s="3">
        <v>10</v>
      </c>
      <c r="G957" s="3"/>
      <c r="H957" s="3"/>
      <c r="I957" s="3"/>
      <c r="J957" s="3">
        <v>10</v>
      </c>
    </row>
    <row r="958" spans="2:10" x14ac:dyDescent="0.25">
      <c r="B958" t="s">
        <v>137</v>
      </c>
      <c r="C958" t="s">
        <v>364</v>
      </c>
      <c r="D958" t="s">
        <v>375</v>
      </c>
      <c r="E958" t="s">
        <v>303</v>
      </c>
      <c r="F958" s="3">
        <v>10</v>
      </c>
      <c r="G958" s="3"/>
      <c r="H958" s="3"/>
      <c r="I958" s="3"/>
      <c r="J958" s="3">
        <v>10</v>
      </c>
    </row>
    <row r="959" spans="2:10" x14ac:dyDescent="0.25">
      <c r="B959" t="s">
        <v>137</v>
      </c>
      <c r="C959" t="s">
        <v>364</v>
      </c>
      <c r="D959" t="s">
        <v>375</v>
      </c>
      <c r="E959" t="s">
        <v>304</v>
      </c>
      <c r="F959" s="3">
        <v>10</v>
      </c>
      <c r="G959" s="3"/>
      <c r="H959" s="3"/>
      <c r="I959" s="3"/>
      <c r="J959" s="3">
        <v>10</v>
      </c>
    </row>
    <row r="960" spans="2:10" x14ac:dyDescent="0.25">
      <c r="B960" t="s">
        <v>137</v>
      </c>
      <c r="C960" t="s">
        <v>364</v>
      </c>
      <c r="D960" t="s">
        <v>375</v>
      </c>
      <c r="E960" t="s">
        <v>305</v>
      </c>
      <c r="F960" s="3">
        <v>10</v>
      </c>
      <c r="G960" s="3"/>
      <c r="H960" s="3"/>
      <c r="I960" s="3"/>
      <c r="J960" s="3">
        <v>10</v>
      </c>
    </row>
    <row r="961" spans="2:10" x14ac:dyDescent="0.25">
      <c r="B961" t="s">
        <v>137</v>
      </c>
      <c r="C961" t="s">
        <v>364</v>
      </c>
      <c r="D961" t="s">
        <v>375</v>
      </c>
      <c r="E961" t="s">
        <v>306</v>
      </c>
      <c r="F961" s="3">
        <v>10</v>
      </c>
      <c r="G961" s="3"/>
      <c r="H961" s="3"/>
      <c r="I961" s="3"/>
      <c r="J961" s="3">
        <v>10</v>
      </c>
    </row>
    <row r="962" spans="2:10" x14ac:dyDescent="0.25">
      <c r="B962" t="s">
        <v>137</v>
      </c>
      <c r="C962" t="s">
        <v>364</v>
      </c>
      <c r="D962" t="s">
        <v>375</v>
      </c>
      <c r="E962" t="s">
        <v>307</v>
      </c>
      <c r="F962" s="3">
        <v>10</v>
      </c>
      <c r="G962" s="3"/>
      <c r="H962" s="3"/>
      <c r="I962" s="3"/>
      <c r="J962" s="3">
        <v>10</v>
      </c>
    </row>
    <row r="963" spans="2:10" x14ac:dyDescent="0.25">
      <c r="B963" t="s">
        <v>137</v>
      </c>
      <c r="C963" t="s">
        <v>364</v>
      </c>
      <c r="D963" t="s">
        <v>375</v>
      </c>
      <c r="E963" t="s">
        <v>308</v>
      </c>
      <c r="F963" s="3">
        <v>10</v>
      </c>
      <c r="G963" s="3"/>
      <c r="H963" s="3"/>
      <c r="I963" s="3"/>
      <c r="J963" s="3">
        <v>10</v>
      </c>
    </row>
    <row r="964" spans="2:10" x14ac:dyDescent="0.25">
      <c r="B964" t="s">
        <v>137</v>
      </c>
      <c r="C964" t="s">
        <v>364</v>
      </c>
      <c r="D964" t="s">
        <v>375</v>
      </c>
      <c r="E964" t="s">
        <v>309</v>
      </c>
      <c r="F964" s="3">
        <v>10</v>
      </c>
      <c r="G964" s="3"/>
      <c r="H964" s="3"/>
      <c r="I964" s="3"/>
      <c r="J964" s="3">
        <v>10</v>
      </c>
    </row>
    <row r="965" spans="2:10" x14ac:dyDescent="0.25">
      <c r="B965" t="s">
        <v>137</v>
      </c>
      <c r="C965" t="s">
        <v>364</v>
      </c>
      <c r="D965" t="s">
        <v>375</v>
      </c>
      <c r="E965" t="s">
        <v>310</v>
      </c>
      <c r="F965" s="3">
        <v>10</v>
      </c>
      <c r="G965" s="3"/>
      <c r="H965" s="3"/>
      <c r="I965" s="3"/>
      <c r="J965" s="3">
        <v>10</v>
      </c>
    </row>
    <row r="966" spans="2:10" x14ac:dyDescent="0.25">
      <c r="B966" t="s">
        <v>137</v>
      </c>
      <c r="C966" t="s">
        <v>364</v>
      </c>
      <c r="D966" t="s">
        <v>375</v>
      </c>
      <c r="E966" t="s">
        <v>311</v>
      </c>
      <c r="F966" s="3">
        <v>10</v>
      </c>
      <c r="G966" s="3"/>
      <c r="H966" s="3"/>
      <c r="I966" s="3"/>
      <c r="J966" s="3">
        <v>10</v>
      </c>
    </row>
    <row r="967" spans="2:10" x14ac:dyDescent="0.25">
      <c r="B967" t="s">
        <v>137</v>
      </c>
      <c r="C967" t="s">
        <v>364</v>
      </c>
      <c r="D967" t="s">
        <v>375</v>
      </c>
      <c r="E967" t="s">
        <v>312</v>
      </c>
      <c r="F967" s="3">
        <v>10</v>
      </c>
      <c r="G967" s="3"/>
      <c r="H967" s="3"/>
      <c r="I967" s="3"/>
      <c r="J967" s="3">
        <v>10</v>
      </c>
    </row>
    <row r="968" spans="2:10" x14ac:dyDescent="0.25">
      <c r="B968" t="s">
        <v>137</v>
      </c>
      <c r="C968" t="s">
        <v>364</v>
      </c>
      <c r="D968" t="s">
        <v>376</v>
      </c>
      <c r="E968" t="s">
        <v>46</v>
      </c>
      <c r="F968" s="3">
        <v>19.96</v>
      </c>
      <c r="G968" s="3"/>
      <c r="H968" s="3"/>
      <c r="I968" s="3"/>
      <c r="J968" s="3">
        <v>19.96</v>
      </c>
    </row>
    <row r="969" spans="2:10" x14ac:dyDescent="0.25">
      <c r="B969" t="s">
        <v>137</v>
      </c>
      <c r="C969" t="s">
        <v>364</v>
      </c>
      <c r="D969" t="s">
        <v>376</v>
      </c>
      <c r="E969" t="s">
        <v>47</v>
      </c>
      <c r="F969" s="3">
        <v>19.96</v>
      </c>
      <c r="G969" s="3"/>
      <c r="H969" s="3"/>
      <c r="I969" s="3"/>
      <c r="J969" s="3">
        <v>19.96</v>
      </c>
    </row>
    <row r="970" spans="2:10" x14ac:dyDescent="0.25">
      <c r="B970" t="s">
        <v>137</v>
      </c>
      <c r="C970" t="s">
        <v>364</v>
      </c>
      <c r="D970" t="s">
        <v>376</v>
      </c>
      <c r="E970" t="s">
        <v>48</v>
      </c>
      <c r="F970" s="3">
        <v>19.96</v>
      </c>
      <c r="G970" s="3"/>
      <c r="H970" s="3"/>
      <c r="I970" s="3"/>
      <c r="J970" s="3">
        <v>19.96</v>
      </c>
    </row>
    <row r="971" spans="2:10" x14ac:dyDescent="0.25">
      <c r="B971" t="s">
        <v>137</v>
      </c>
      <c r="C971" t="s">
        <v>364</v>
      </c>
      <c r="D971" t="s">
        <v>376</v>
      </c>
      <c r="E971" t="s">
        <v>49</v>
      </c>
      <c r="F971" s="3">
        <v>19.96</v>
      </c>
      <c r="G971" s="3"/>
      <c r="H971" s="3"/>
      <c r="I971" s="3"/>
      <c r="J971" s="3">
        <v>19.96</v>
      </c>
    </row>
    <row r="972" spans="2:10" x14ac:dyDescent="0.25">
      <c r="B972" t="s">
        <v>137</v>
      </c>
      <c r="C972" t="s">
        <v>364</v>
      </c>
      <c r="D972" t="s">
        <v>376</v>
      </c>
      <c r="E972" t="s">
        <v>50</v>
      </c>
      <c r="F972" s="3">
        <v>19.96</v>
      </c>
      <c r="G972" s="3"/>
      <c r="H972" s="3"/>
      <c r="I972" s="3"/>
      <c r="J972" s="3">
        <v>19.96</v>
      </c>
    </row>
    <row r="973" spans="2:10" x14ac:dyDescent="0.25">
      <c r="B973" t="s">
        <v>137</v>
      </c>
      <c r="C973" t="s">
        <v>364</v>
      </c>
      <c r="D973" t="s">
        <v>376</v>
      </c>
      <c r="E973" t="s">
        <v>51</v>
      </c>
      <c r="F973" s="3">
        <v>19.96</v>
      </c>
      <c r="G973" s="3"/>
      <c r="H973" s="3"/>
      <c r="I973" s="3"/>
      <c r="J973" s="3">
        <v>19.96</v>
      </c>
    </row>
    <row r="974" spans="2:10" x14ac:dyDescent="0.25">
      <c r="B974" t="s">
        <v>137</v>
      </c>
      <c r="C974" t="s">
        <v>364</v>
      </c>
      <c r="D974" t="s">
        <v>376</v>
      </c>
      <c r="E974" t="s">
        <v>196</v>
      </c>
      <c r="F974" s="3">
        <v>19.96</v>
      </c>
      <c r="G974" s="3"/>
      <c r="H974" s="3"/>
      <c r="I974" s="3"/>
      <c r="J974" s="3">
        <v>19.96</v>
      </c>
    </row>
    <row r="975" spans="2:10" x14ac:dyDescent="0.25">
      <c r="B975" t="s">
        <v>137</v>
      </c>
      <c r="C975" t="s">
        <v>364</v>
      </c>
      <c r="D975" t="s">
        <v>376</v>
      </c>
      <c r="E975" t="s">
        <v>197</v>
      </c>
      <c r="F975" s="3">
        <v>19.96</v>
      </c>
      <c r="G975" s="3"/>
      <c r="H975" s="3"/>
      <c r="I975" s="3"/>
      <c r="J975" s="3">
        <v>19.96</v>
      </c>
    </row>
    <row r="976" spans="2:10" x14ac:dyDescent="0.25">
      <c r="B976" t="s">
        <v>137</v>
      </c>
      <c r="C976" t="s">
        <v>364</v>
      </c>
      <c r="D976" t="s">
        <v>376</v>
      </c>
      <c r="E976" t="s">
        <v>198</v>
      </c>
      <c r="F976" s="3">
        <v>19.96</v>
      </c>
      <c r="G976" s="3"/>
      <c r="H976" s="3"/>
      <c r="I976" s="3"/>
      <c r="J976" s="3">
        <v>19.96</v>
      </c>
    </row>
    <row r="977" spans="2:10" x14ac:dyDescent="0.25">
      <c r="B977" t="s">
        <v>137</v>
      </c>
      <c r="C977" t="s">
        <v>364</v>
      </c>
      <c r="D977" t="s">
        <v>376</v>
      </c>
      <c r="E977" t="s">
        <v>199</v>
      </c>
      <c r="F977" s="3">
        <v>19.96</v>
      </c>
      <c r="G977" s="3"/>
      <c r="H977" s="3"/>
      <c r="I977" s="3"/>
      <c r="J977" s="3">
        <v>19.96</v>
      </c>
    </row>
    <row r="978" spans="2:10" x14ac:dyDescent="0.25">
      <c r="B978" t="s">
        <v>137</v>
      </c>
      <c r="C978" t="s">
        <v>364</v>
      </c>
      <c r="D978" t="s">
        <v>376</v>
      </c>
      <c r="E978" t="s">
        <v>200</v>
      </c>
      <c r="F978" s="3">
        <v>19.96</v>
      </c>
      <c r="G978" s="3"/>
      <c r="H978" s="3"/>
      <c r="I978" s="3"/>
      <c r="J978" s="3">
        <v>19.96</v>
      </c>
    </row>
    <row r="979" spans="2:10" x14ac:dyDescent="0.25">
      <c r="B979" t="s">
        <v>137</v>
      </c>
      <c r="C979" t="s">
        <v>364</v>
      </c>
      <c r="D979" t="s">
        <v>376</v>
      </c>
      <c r="E979" t="s">
        <v>240</v>
      </c>
      <c r="F979" s="3">
        <v>19.96</v>
      </c>
      <c r="G979" s="3"/>
      <c r="H979" s="3"/>
      <c r="I979" s="3"/>
      <c r="J979" s="3">
        <v>19.96</v>
      </c>
    </row>
    <row r="980" spans="2:10" x14ac:dyDescent="0.25">
      <c r="B980" t="s">
        <v>137</v>
      </c>
      <c r="C980" t="s">
        <v>364</v>
      </c>
      <c r="D980" t="s">
        <v>376</v>
      </c>
      <c r="E980" t="s">
        <v>301</v>
      </c>
      <c r="F980" s="3">
        <v>19.96</v>
      </c>
      <c r="G980" s="3"/>
      <c r="H980" s="3"/>
      <c r="I980" s="3"/>
      <c r="J980" s="3">
        <v>19.96</v>
      </c>
    </row>
    <row r="981" spans="2:10" x14ac:dyDescent="0.25">
      <c r="B981" t="s">
        <v>137</v>
      </c>
      <c r="C981" t="s">
        <v>364</v>
      </c>
      <c r="D981" t="s">
        <v>376</v>
      </c>
      <c r="E981" t="s">
        <v>302</v>
      </c>
      <c r="F981" s="3">
        <v>19.96</v>
      </c>
      <c r="G981" s="3"/>
      <c r="H981" s="3"/>
      <c r="I981" s="3"/>
      <c r="J981" s="3">
        <v>19.96</v>
      </c>
    </row>
    <row r="982" spans="2:10" x14ac:dyDescent="0.25">
      <c r="B982" t="s">
        <v>137</v>
      </c>
      <c r="C982" t="s">
        <v>364</v>
      </c>
      <c r="D982" t="s">
        <v>376</v>
      </c>
      <c r="E982" t="s">
        <v>303</v>
      </c>
      <c r="F982" s="3">
        <v>19.96</v>
      </c>
      <c r="G982" s="3"/>
      <c r="H982" s="3"/>
      <c r="I982" s="3"/>
      <c r="J982" s="3">
        <v>19.96</v>
      </c>
    </row>
    <row r="983" spans="2:10" x14ac:dyDescent="0.25">
      <c r="B983" t="s">
        <v>137</v>
      </c>
      <c r="C983" t="s">
        <v>364</v>
      </c>
      <c r="D983" t="s">
        <v>376</v>
      </c>
      <c r="E983" t="s">
        <v>304</v>
      </c>
      <c r="F983" s="3">
        <v>19.96</v>
      </c>
      <c r="G983" s="3"/>
      <c r="H983" s="3"/>
      <c r="I983" s="3"/>
      <c r="J983" s="3">
        <v>19.96</v>
      </c>
    </row>
    <row r="984" spans="2:10" x14ac:dyDescent="0.25">
      <c r="B984" t="s">
        <v>137</v>
      </c>
      <c r="C984" t="s">
        <v>364</v>
      </c>
      <c r="D984" t="s">
        <v>376</v>
      </c>
      <c r="E984" t="s">
        <v>305</v>
      </c>
      <c r="F984" s="3">
        <v>19.96</v>
      </c>
      <c r="G984" s="3"/>
      <c r="H984" s="3"/>
      <c r="I984" s="3"/>
      <c r="J984" s="3">
        <v>19.96</v>
      </c>
    </row>
    <row r="985" spans="2:10" x14ac:dyDescent="0.25">
      <c r="B985" t="s">
        <v>137</v>
      </c>
      <c r="C985" t="s">
        <v>364</v>
      </c>
      <c r="D985" t="s">
        <v>376</v>
      </c>
      <c r="E985" t="s">
        <v>306</v>
      </c>
      <c r="F985" s="3">
        <v>19.96</v>
      </c>
      <c r="G985" s="3"/>
      <c r="H985" s="3"/>
      <c r="I985" s="3"/>
      <c r="J985" s="3">
        <v>19.96</v>
      </c>
    </row>
    <row r="986" spans="2:10" x14ac:dyDescent="0.25">
      <c r="B986" t="s">
        <v>137</v>
      </c>
      <c r="C986" t="s">
        <v>364</v>
      </c>
      <c r="D986" t="s">
        <v>376</v>
      </c>
      <c r="E986" t="s">
        <v>307</v>
      </c>
      <c r="F986" s="3">
        <v>19.96</v>
      </c>
      <c r="G986" s="3"/>
      <c r="H986" s="3"/>
      <c r="I986" s="3"/>
      <c r="J986" s="3">
        <v>19.96</v>
      </c>
    </row>
    <row r="987" spans="2:10" x14ac:dyDescent="0.25">
      <c r="B987" t="s">
        <v>137</v>
      </c>
      <c r="C987" t="s">
        <v>364</v>
      </c>
      <c r="D987" t="s">
        <v>376</v>
      </c>
      <c r="E987" t="s">
        <v>308</v>
      </c>
      <c r="F987" s="3">
        <v>19.96</v>
      </c>
      <c r="G987" s="3"/>
      <c r="H987" s="3"/>
      <c r="I987" s="3"/>
      <c r="J987" s="3">
        <v>19.96</v>
      </c>
    </row>
    <row r="988" spans="2:10" x14ac:dyDescent="0.25">
      <c r="B988" t="s">
        <v>137</v>
      </c>
      <c r="C988" t="s">
        <v>364</v>
      </c>
      <c r="D988" t="s">
        <v>376</v>
      </c>
      <c r="E988" t="s">
        <v>309</v>
      </c>
      <c r="F988" s="3">
        <v>19.96</v>
      </c>
      <c r="G988" s="3"/>
      <c r="H988" s="3"/>
      <c r="I988" s="3"/>
      <c r="J988" s="3">
        <v>19.96</v>
      </c>
    </row>
    <row r="989" spans="2:10" x14ac:dyDescent="0.25">
      <c r="B989" t="s">
        <v>137</v>
      </c>
      <c r="C989" t="s">
        <v>364</v>
      </c>
      <c r="D989" t="s">
        <v>376</v>
      </c>
      <c r="E989" t="s">
        <v>310</v>
      </c>
      <c r="F989" s="3">
        <v>19.96</v>
      </c>
      <c r="G989" s="3"/>
      <c r="H989" s="3"/>
      <c r="I989" s="3"/>
      <c r="J989" s="3">
        <v>19.96</v>
      </c>
    </row>
    <row r="990" spans="2:10" x14ac:dyDescent="0.25">
      <c r="B990" t="s">
        <v>137</v>
      </c>
      <c r="C990" t="s">
        <v>364</v>
      </c>
      <c r="D990" t="s">
        <v>376</v>
      </c>
      <c r="E990" t="s">
        <v>311</v>
      </c>
      <c r="F990" s="3">
        <v>19.96</v>
      </c>
      <c r="G990" s="3"/>
      <c r="H990" s="3"/>
      <c r="I990" s="3"/>
      <c r="J990" s="3">
        <v>19.96</v>
      </c>
    </row>
    <row r="991" spans="2:10" x14ac:dyDescent="0.25">
      <c r="B991" t="s">
        <v>137</v>
      </c>
      <c r="C991" t="s">
        <v>364</v>
      </c>
      <c r="D991" t="s">
        <v>376</v>
      </c>
      <c r="E991" t="s">
        <v>312</v>
      </c>
      <c r="F991" s="3">
        <v>19.96</v>
      </c>
      <c r="G991" s="3"/>
      <c r="H991" s="3"/>
      <c r="I991" s="3"/>
      <c r="J991" s="3">
        <v>19.96</v>
      </c>
    </row>
    <row r="992" spans="2:10" x14ac:dyDescent="0.25">
      <c r="B992" t="s">
        <v>137</v>
      </c>
      <c r="C992" t="s">
        <v>364</v>
      </c>
      <c r="D992" t="s">
        <v>377</v>
      </c>
      <c r="E992" t="s">
        <v>46</v>
      </c>
      <c r="F992" s="3">
        <v>23</v>
      </c>
      <c r="G992" s="3"/>
      <c r="H992" s="3"/>
      <c r="I992" s="3"/>
      <c r="J992" s="3">
        <v>23</v>
      </c>
    </row>
    <row r="993" spans="2:10" x14ac:dyDescent="0.25">
      <c r="B993" t="s">
        <v>137</v>
      </c>
      <c r="C993" t="s">
        <v>364</v>
      </c>
      <c r="D993" t="s">
        <v>377</v>
      </c>
      <c r="E993" t="s">
        <v>47</v>
      </c>
      <c r="F993" s="3">
        <v>23</v>
      </c>
      <c r="G993" s="3"/>
      <c r="H993" s="3"/>
      <c r="I993" s="3"/>
      <c r="J993" s="3">
        <v>23</v>
      </c>
    </row>
    <row r="994" spans="2:10" x14ac:dyDescent="0.25">
      <c r="B994" t="s">
        <v>137</v>
      </c>
      <c r="C994" t="s">
        <v>364</v>
      </c>
      <c r="D994" t="s">
        <v>377</v>
      </c>
      <c r="E994" t="s">
        <v>48</v>
      </c>
      <c r="F994" s="3">
        <v>23</v>
      </c>
      <c r="G994" s="3"/>
      <c r="H994" s="3"/>
      <c r="I994" s="3"/>
      <c r="J994" s="3">
        <v>23</v>
      </c>
    </row>
    <row r="995" spans="2:10" x14ac:dyDescent="0.25">
      <c r="B995" t="s">
        <v>137</v>
      </c>
      <c r="C995" t="s">
        <v>364</v>
      </c>
      <c r="D995" t="s">
        <v>377</v>
      </c>
      <c r="E995" t="s">
        <v>49</v>
      </c>
      <c r="F995" s="3">
        <v>23</v>
      </c>
      <c r="G995" s="3"/>
      <c r="H995" s="3"/>
      <c r="I995" s="3"/>
      <c r="J995" s="3">
        <v>23</v>
      </c>
    </row>
    <row r="996" spans="2:10" x14ac:dyDescent="0.25">
      <c r="B996" t="s">
        <v>137</v>
      </c>
      <c r="C996" t="s">
        <v>364</v>
      </c>
      <c r="D996" t="s">
        <v>377</v>
      </c>
      <c r="E996" t="s">
        <v>50</v>
      </c>
      <c r="F996" s="3">
        <v>23</v>
      </c>
      <c r="G996" s="3"/>
      <c r="H996" s="3"/>
      <c r="I996" s="3"/>
      <c r="J996" s="3">
        <v>23</v>
      </c>
    </row>
    <row r="997" spans="2:10" x14ac:dyDescent="0.25">
      <c r="B997" t="s">
        <v>137</v>
      </c>
      <c r="C997" t="s">
        <v>364</v>
      </c>
      <c r="D997" t="s">
        <v>377</v>
      </c>
      <c r="E997" t="s">
        <v>51</v>
      </c>
      <c r="F997" s="3">
        <v>23</v>
      </c>
      <c r="G997" s="3"/>
      <c r="H997" s="3"/>
      <c r="I997" s="3"/>
      <c r="J997" s="3">
        <v>23</v>
      </c>
    </row>
    <row r="998" spans="2:10" x14ac:dyDescent="0.25">
      <c r="B998" t="s">
        <v>137</v>
      </c>
      <c r="C998" t="s">
        <v>364</v>
      </c>
      <c r="D998" t="s">
        <v>377</v>
      </c>
      <c r="E998" t="s">
        <v>196</v>
      </c>
      <c r="F998" s="3">
        <v>23</v>
      </c>
      <c r="G998" s="3"/>
      <c r="H998" s="3"/>
      <c r="I998" s="3"/>
      <c r="J998" s="3">
        <v>23</v>
      </c>
    </row>
    <row r="999" spans="2:10" x14ac:dyDescent="0.25">
      <c r="B999" t="s">
        <v>137</v>
      </c>
      <c r="C999" t="s">
        <v>364</v>
      </c>
      <c r="D999" t="s">
        <v>377</v>
      </c>
      <c r="E999" t="s">
        <v>197</v>
      </c>
      <c r="F999" s="3">
        <v>23</v>
      </c>
      <c r="G999" s="3"/>
      <c r="H999" s="3"/>
      <c r="I999" s="3"/>
      <c r="J999" s="3">
        <v>23</v>
      </c>
    </row>
    <row r="1000" spans="2:10" x14ac:dyDescent="0.25">
      <c r="B1000" t="s">
        <v>137</v>
      </c>
      <c r="C1000" t="s">
        <v>364</v>
      </c>
      <c r="D1000" t="s">
        <v>377</v>
      </c>
      <c r="E1000" t="s">
        <v>198</v>
      </c>
      <c r="F1000" s="3">
        <v>23</v>
      </c>
      <c r="G1000" s="3"/>
      <c r="H1000" s="3"/>
      <c r="I1000" s="3"/>
      <c r="J1000" s="3">
        <v>23</v>
      </c>
    </row>
    <row r="1001" spans="2:10" x14ac:dyDescent="0.25">
      <c r="B1001" t="s">
        <v>137</v>
      </c>
      <c r="C1001" t="s">
        <v>364</v>
      </c>
      <c r="D1001" t="s">
        <v>377</v>
      </c>
      <c r="E1001" t="s">
        <v>199</v>
      </c>
      <c r="F1001" s="3">
        <v>23</v>
      </c>
      <c r="G1001" s="3"/>
      <c r="H1001" s="3"/>
      <c r="I1001" s="3"/>
      <c r="J1001" s="3">
        <v>23</v>
      </c>
    </row>
    <row r="1002" spans="2:10" x14ac:dyDescent="0.25">
      <c r="B1002" t="s">
        <v>137</v>
      </c>
      <c r="C1002" t="s">
        <v>364</v>
      </c>
      <c r="D1002" t="s">
        <v>377</v>
      </c>
      <c r="E1002" t="s">
        <v>200</v>
      </c>
      <c r="F1002" s="3">
        <v>23</v>
      </c>
      <c r="G1002" s="3"/>
      <c r="H1002" s="3"/>
      <c r="I1002" s="3"/>
      <c r="J1002" s="3">
        <v>23</v>
      </c>
    </row>
    <row r="1003" spans="2:10" x14ac:dyDescent="0.25">
      <c r="B1003" t="s">
        <v>137</v>
      </c>
      <c r="C1003" t="s">
        <v>364</v>
      </c>
      <c r="D1003" t="s">
        <v>377</v>
      </c>
      <c r="E1003" t="s">
        <v>240</v>
      </c>
      <c r="F1003" s="3">
        <v>23</v>
      </c>
      <c r="G1003" s="3"/>
      <c r="H1003" s="3"/>
      <c r="I1003" s="3"/>
      <c r="J1003" s="3">
        <v>23</v>
      </c>
    </row>
    <row r="1004" spans="2:10" x14ac:dyDescent="0.25">
      <c r="B1004" t="s">
        <v>137</v>
      </c>
      <c r="C1004" t="s">
        <v>364</v>
      </c>
      <c r="D1004" t="s">
        <v>377</v>
      </c>
      <c r="E1004" t="s">
        <v>301</v>
      </c>
      <c r="F1004" s="3">
        <v>23</v>
      </c>
      <c r="G1004" s="3"/>
      <c r="H1004" s="3"/>
      <c r="I1004" s="3"/>
      <c r="J1004" s="3">
        <v>23</v>
      </c>
    </row>
    <row r="1005" spans="2:10" x14ac:dyDescent="0.25">
      <c r="B1005" t="s">
        <v>137</v>
      </c>
      <c r="C1005" t="s">
        <v>364</v>
      </c>
      <c r="D1005" t="s">
        <v>377</v>
      </c>
      <c r="E1005" t="s">
        <v>302</v>
      </c>
      <c r="F1005" s="3">
        <v>23</v>
      </c>
      <c r="G1005" s="3"/>
      <c r="H1005" s="3"/>
      <c r="I1005" s="3"/>
      <c r="J1005" s="3">
        <v>23</v>
      </c>
    </row>
    <row r="1006" spans="2:10" x14ac:dyDescent="0.25">
      <c r="B1006" t="s">
        <v>137</v>
      </c>
      <c r="C1006" t="s">
        <v>364</v>
      </c>
      <c r="D1006" t="s">
        <v>377</v>
      </c>
      <c r="E1006" t="s">
        <v>303</v>
      </c>
      <c r="F1006" s="3">
        <v>23</v>
      </c>
      <c r="G1006" s="3"/>
      <c r="H1006" s="3"/>
      <c r="I1006" s="3"/>
      <c r="J1006" s="3">
        <v>23</v>
      </c>
    </row>
    <row r="1007" spans="2:10" x14ac:dyDescent="0.25">
      <c r="B1007" t="s">
        <v>137</v>
      </c>
      <c r="C1007" t="s">
        <v>364</v>
      </c>
      <c r="D1007" t="s">
        <v>377</v>
      </c>
      <c r="E1007" t="s">
        <v>304</v>
      </c>
      <c r="F1007" s="3">
        <v>23</v>
      </c>
      <c r="G1007" s="3"/>
      <c r="H1007" s="3"/>
      <c r="I1007" s="3"/>
      <c r="J1007" s="3">
        <v>23</v>
      </c>
    </row>
    <row r="1008" spans="2:10" x14ac:dyDescent="0.25">
      <c r="B1008" t="s">
        <v>137</v>
      </c>
      <c r="C1008" t="s">
        <v>364</v>
      </c>
      <c r="D1008" t="s">
        <v>377</v>
      </c>
      <c r="E1008" t="s">
        <v>305</v>
      </c>
      <c r="F1008" s="3">
        <v>23</v>
      </c>
      <c r="G1008" s="3"/>
      <c r="H1008" s="3"/>
      <c r="I1008" s="3"/>
      <c r="J1008" s="3">
        <v>23</v>
      </c>
    </row>
    <row r="1009" spans="2:10" x14ac:dyDescent="0.25">
      <c r="B1009" t="s">
        <v>137</v>
      </c>
      <c r="C1009" t="s">
        <v>364</v>
      </c>
      <c r="D1009" t="s">
        <v>377</v>
      </c>
      <c r="E1009" t="s">
        <v>306</v>
      </c>
      <c r="F1009" s="3">
        <v>23</v>
      </c>
      <c r="G1009" s="3"/>
      <c r="H1009" s="3"/>
      <c r="I1009" s="3"/>
      <c r="J1009" s="3">
        <v>23</v>
      </c>
    </row>
    <row r="1010" spans="2:10" x14ac:dyDescent="0.25">
      <c r="B1010" t="s">
        <v>137</v>
      </c>
      <c r="C1010" t="s">
        <v>364</v>
      </c>
      <c r="D1010" t="s">
        <v>377</v>
      </c>
      <c r="E1010" t="s">
        <v>307</v>
      </c>
      <c r="F1010" s="3">
        <v>23</v>
      </c>
      <c r="G1010" s="3"/>
      <c r="H1010" s="3"/>
      <c r="I1010" s="3"/>
      <c r="J1010" s="3">
        <v>23</v>
      </c>
    </row>
    <row r="1011" spans="2:10" x14ac:dyDescent="0.25">
      <c r="B1011" t="s">
        <v>137</v>
      </c>
      <c r="C1011" t="s">
        <v>364</v>
      </c>
      <c r="D1011" t="s">
        <v>377</v>
      </c>
      <c r="E1011" t="s">
        <v>308</v>
      </c>
      <c r="F1011" s="3">
        <v>23</v>
      </c>
      <c r="G1011" s="3"/>
      <c r="H1011" s="3"/>
      <c r="I1011" s="3"/>
      <c r="J1011" s="3">
        <v>23</v>
      </c>
    </row>
    <row r="1012" spans="2:10" x14ac:dyDescent="0.25">
      <c r="B1012" t="s">
        <v>137</v>
      </c>
      <c r="C1012" t="s">
        <v>364</v>
      </c>
      <c r="D1012" t="s">
        <v>377</v>
      </c>
      <c r="E1012" t="s">
        <v>309</v>
      </c>
      <c r="F1012" s="3">
        <v>23</v>
      </c>
      <c r="G1012" s="3"/>
      <c r="H1012" s="3"/>
      <c r="I1012" s="3"/>
      <c r="J1012" s="3">
        <v>23</v>
      </c>
    </row>
    <row r="1013" spans="2:10" x14ac:dyDescent="0.25">
      <c r="B1013" t="s">
        <v>137</v>
      </c>
      <c r="C1013" t="s">
        <v>364</v>
      </c>
      <c r="D1013" t="s">
        <v>377</v>
      </c>
      <c r="E1013" t="s">
        <v>310</v>
      </c>
      <c r="F1013" s="3">
        <v>23</v>
      </c>
      <c r="G1013" s="3"/>
      <c r="H1013" s="3"/>
      <c r="I1013" s="3"/>
      <c r="J1013" s="3">
        <v>23</v>
      </c>
    </row>
    <row r="1014" spans="2:10" x14ac:dyDescent="0.25">
      <c r="B1014" t="s">
        <v>137</v>
      </c>
      <c r="C1014" t="s">
        <v>364</v>
      </c>
      <c r="D1014" t="s">
        <v>377</v>
      </c>
      <c r="E1014" t="s">
        <v>311</v>
      </c>
      <c r="F1014" s="3">
        <v>23</v>
      </c>
      <c r="G1014" s="3"/>
      <c r="H1014" s="3"/>
      <c r="I1014" s="3"/>
      <c r="J1014" s="3">
        <v>23</v>
      </c>
    </row>
    <row r="1015" spans="2:10" x14ac:dyDescent="0.25">
      <c r="B1015" t="s">
        <v>137</v>
      </c>
      <c r="C1015" t="s">
        <v>364</v>
      </c>
      <c r="D1015" t="s">
        <v>377</v>
      </c>
      <c r="E1015" t="s">
        <v>312</v>
      </c>
      <c r="F1015" s="3">
        <v>23</v>
      </c>
      <c r="G1015" s="3"/>
      <c r="H1015" s="3"/>
      <c r="I1015" s="3"/>
      <c r="J1015" s="3">
        <v>23</v>
      </c>
    </row>
    <row r="1016" spans="2:10" x14ac:dyDescent="0.25">
      <c r="B1016" t="s">
        <v>137</v>
      </c>
      <c r="C1016" t="s">
        <v>364</v>
      </c>
      <c r="D1016" t="s">
        <v>378</v>
      </c>
      <c r="E1016" t="s">
        <v>49</v>
      </c>
      <c r="F1016" s="3">
        <v>7.1644102716191203</v>
      </c>
      <c r="G1016" s="3"/>
      <c r="H1016" s="3"/>
      <c r="I1016" s="3"/>
      <c r="J1016" s="3">
        <v>7.1644102716191203</v>
      </c>
    </row>
    <row r="1017" spans="2:10" x14ac:dyDescent="0.25">
      <c r="B1017" t="s">
        <v>137</v>
      </c>
      <c r="C1017" t="s">
        <v>364</v>
      </c>
      <c r="D1017" t="s">
        <v>378</v>
      </c>
      <c r="E1017" t="s">
        <v>50</v>
      </c>
      <c r="F1017" s="3">
        <v>28.5</v>
      </c>
      <c r="G1017" s="3"/>
      <c r="H1017" s="3"/>
      <c r="I1017" s="3"/>
      <c r="J1017" s="3">
        <v>28.5</v>
      </c>
    </row>
    <row r="1018" spans="2:10" x14ac:dyDescent="0.25">
      <c r="B1018" t="s">
        <v>137</v>
      </c>
      <c r="C1018" t="s">
        <v>364</v>
      </c>
      <c r="D1018" t="s">
        <v>378</v>
      </c>
      <c r="E1018" t="s">
        <v>51</v>
      </c>
      <c r="F1018" s="3">
        <v>28.5</v>
      </c>
      <c r="G1018" s="3"/>
      <c r="H1018" s="3"/>
      <c r="I1018" s="3"/>
      <c r="J1018" s="3">
        <v>28.5</v>
      </c>
    </row>
    <row r="1019" spans="2:10" x14ac:dyDescent="0.25">
      <c r="B1019" t="s">
        <v>137</v>
      </c>
      <c r="C1019" t="s">
        <v>364</v>
      </c>
      <c r="D1019" t="s">
        <v>378</v>
      </c>
      <c r="E1019" t="s">
        <v>196</v>
      </c>
      <c r="F1019" s="3">
        <v>28.5</v>
      </c>
      <c r="G1019" s="3"/>
      <c r="H1019" s="3"/>
      <c r="I1019" s="3"/>
      <c r="J1019" s="3">
        <v>28.5</v>
      </c>
    </row>
    <row r="1020" spans="2:10" x14ac:dyDescent="0.25">
      <c r="B1020" t="s">
        <v>137</v>
      </c>
      <c r="C1020" t="s">
        <v>364</v>
      </c>
      <c r="D1020" t="s">
        <v>378</v>
      </c>
      <c r="E1020" t="s">
        <v>197</v>
      </c>
      <c r="F1020" s="3">
        <v>28.5</v>
      </c>
      <c r="G1020" s="3"/>
      <c r="H1020" s="3"/>
      <c r="I1020" s="3"/>
      <c r="J1020" s="3">
        <v>28.5</v>
      </c>
    </row>
    <row r="1021" spans="2:10" x14ac:dyDescent="0.25">
      <c r="B1021" t="s">
        <v>137</v>
      </c>
      <c r="C1021" t="s">
        <v>364</v>
      </c>
      <c r="D1021" t="s">
        <v>378</v>
      </c>
      <c r="E1021" t="s">
        <v>198</v>
      </c>
      <c r="F1021" s="3">
        <v>28.5</v>
      </c>
      <c r="G1021" s="3"/>
      <c r="H1021" s="3"/>
      <c r="I1021" s="3"/>
      <c r="J1021" s="3">
        <v>28.5</v>
      </c>
    </row>
    <row r="1022" spans="2:10" x14ac:dyDescent="0.25">
      <c r="B1022" t="s">
        <v>137</v>
      </c>
      <c r="C1022" t="s">
        <v>364</v>
      </c>
      <c r="D1022" t="s">
        <v>378</v>
      </c>
      <c r="E1022" t="s">
        <v>199</v>
      </c>
      <c r="F1022" s="3">
        <v>28.5</v>
      </c>
      <c r="G1022" s="3"/>
      <c r="H1022" s="3"/>
      <c r="I1022" s="3"/>
      <c r="J1022" s="3">
        <v>28.5</v>
      </c>
    </row>
    <row r="1023" spans="2:10" x14ac:dyDescent="0.25">
      <c r="B1023" t="s">
        <v>137</v>
      </c>
      <c r="C1023" t="s">
        <v>364</v>
      </c>
      <c r="D1023" t="s">
        <v>378</v>
      </c>
      <c r="E1023" t="s">
        <v>200</v>
      </c>
      <c r="F1023" s="3">
        <v>28.5</v>
      </c>
      <c r="G1023" s="3"/>
      <c r="H1023" s="3"/>
      <c r="I1023" s="3"/>
      <c r="J1023" s="3">
        <v>28.5</v>
      </c>
    </row>
    <row r="1024" spans="2:10" x14ac:dyDescent="0.25">
      <c r="B1024" t="s">
        <v>137</v>
      </c>
      <c r="C1024" t="s">
        <v>364</v>
      </c>
      <c r="D1024" t="s">
        <v>378</v>
      </c>
      <c r="E1024" t="s">
        <v>240</v>
      </c>
      <c r="F1024" s="3">
        <v>21.439232073058399</v>
      </c>
      <c r="G1024" s="3"/>
      <c r="H1024" s="3"/>
      <c r="I1024" s="3"/>
      <c r="J1024" s="3">
        <v>21.439232073058399</v>
      </c>
    </row>
    <row r="1025" spans="2:10" x14ac:dyDescent="0.25">
      <c r="B1025" t="s">
        <v>137</v>
      </c>
      <c r="C1025" t="s">
        <v>364</v>
      </c>
      <c r="D1025" t="s">
        <v>378</v>
      </c>
      <c r="E1025" t="s">
        <v>301</v>
      </c>
      <c r="F1025" s="3">
        <v>7.1644102716191203</v>
      </c>
      <c r="G1025" s="3"/>
      <c r="H1025" s="3"/>
      <c r="I1025" s="3"/>
      <c r="J1025" s="3">
        <v>7.1644102716191203</v>
      </c>
    </row>
    <row r="1026" spans="2:10" x14ac:dyDescent="0.25">
      <c r="B1026" t="s">
        <v>137</v>
      </c>
      <c r="C1026" t="s">
        <v>364</v>
      </c>
      <c r="D1026" t="s">
        <v>378</v>
      </c>
      <c r="E1026" t="s">
        <v>302</v>
      </c>
      <c r="F1026" s="3">
        <v>4.3094459113313004</v>
      </c>
      <c r="G1026" s="3"/>
      <c r="H1026" s="3"/>
      <c r="I1026" s="3"/>
      <c r="J1026" s="3">
        <v>4.3094459113313004</v>
      </c>
    </row>
    <row r="1027" spans="2:10" x14ac:dyDescent="0.25">
      <c r="B1027" t="s">
        <v>137</v>
      </c>
      <c r="C1027" t="s">
        <v>364</v>
      </c>
      <c r="D1027" t="s">
        <v>378</v>
      </c>
      <c r="E1027" t="s">
        <v>304</v>
      </c>
      <c r="F1027" s="3">
        <v>4.3094459113313004</v>
      </c>
      <c r="G1027" s="3"/>
      <c r="H1027" s="3"/>
      <c r="I1027" s="3"/>
      <c r="J1027" s="3">
        <v>4.3094459113313004</v>
      </c>
    </row>
    <row r="1028" spans="2:10" x14ac:dyDescent="0.25">
      <c r="B1028" t="s">
        <v>137</v>
      </c>
      <c r="C1028" t="s">
        <v>364</v>
      </c>
      <c r="D1028" t="s">
        <v>378</v>
      </c>
      <c r="E1028" t="s">
        <v>305</v>
      </c>
      <c r="F1028" s="3">
        <v>26.970725521116101</v>
      </c>
      <c r="G1028" s="3"/>
      <c r="H1028" s="3"/>
      <c r="I1028" s="3"/>
      <c r="J1028" s="3">
        <v>26.970725521116101</v>
      </c>
    </row>
    <row r="1029" spans="2:10" x14ac:dyDescent="0.25">
      <c r="B1029" t="s">
        <v>137</v>
      </c>
      <c r="C1029" t="s">
        <v>364</v>
      </c>
      <c r="D1029" t="s">
        <v>378</v>
      </c>
      <c r="E1029" t="s">
        <v>306</v>
      </c>
      <c r="F1029" s="3">
        <v>28.5</v>
      </c>
      <c r="G1029" s="3"/>
      <c r="H1029" s="3"/>
      <c r="I1029" s="3"/>
      <c r="J1029" s="3">
        <v>28.5</v>
      </c>
    </row>
    <row r="1030" spans="2:10" x14ac:dyDescent="0.25">
      <c r="B1030" t="s">
        <v>137</v>
      </c>
      <c r="C1030" t="s">
        <v>364</v>
      </c>
      <c r="D1030" t="s">
        <v>378</v>
      </c>
      <c r="E1030" t="s">
        <v>307</v>
      </c>
      <c r="F1030" s="3">
        <v>28.5</v>
      </c>
      <c r="G1030" s="3"/>
      <c r="H1030" s="3"/>
      <c r="I1030" s="3"/>
      <c r="J1030" s="3">
        <v>28.5</v>
      </c>
    </row>
    <row r="1031" spans="2:10" x14ac:dyDescent="0.25">
      <c r="B1031" t="s">
        <v>137</v>
      </c>
      <c r="C1031" t="s">
        <v>364</v>
      </c>
      <c r="D1031" t="s">
        <v>378</v>
      </c>
      <c r="E1031" t="s">
        <v>308</v>
      </c>
      <c r="F1031" s="3">
        <v>28.5</v>
      </c>
      <c r="G1031" s="3"/>
      <c r="H1031" s="3"/>
      <c r="I1031" s="3"/>
      <c r="J1031" s="3">
        <v>28.5</v>
      </c>
    </row>
    <row r="1032" spans="2:10" x14ac:dyDescent="0.25">
      <c r="B1032" t="s">
        <v>137</v>
      </c>
      <c r="C1032" t="s">
        <v>364</v>
      </c>
      <c r="D1032" t="s">
        <v>378</v>
      </c>
      <c r="E1032" t="s">
        <v>309</v>
      </c>
      <c r="F1032" s="3">
        <v>28.5</v>
      </c>
      <c r="G1032" s="3"/>
      <c r="H1032" s="3"/>
      <c r="I1032" s="3"/>
      <c r="J1032" s="3">
        <v>28.5</v>
      </c>
    </row>
    <row r="1033" spans="2:10" x14ac:dyDescent="0.25">
      <c r="B1033" t="s">
        <v>137</v>
      </c>
      <c r="C1033" t="s">
        <v>364</v>
      </c>
      <c r="D1033" t="s">
        <v>378</v>
      </c>
      <c r="E1033" t="s">
        <v>310</v>
      </c>
      <c r="F1033" s="3">
        <v>15.729303352482701</v>
      </c>
      <c r="G1033" s="3"/>
      <c r="H1033" s="3"/>
      <c r="I1033" s="3"/>
      <c r="J1033" s="3">
        <v>15.729303352482701</v>
      </c>
    </row>
    <row r="1034" spans="2:10" x14ac:dyDescent="0.25">
      <c r="B1034" t="s">
        <v>137</v>
      </c>
      <c r="C1034" t="s">
        <v>364</v>
      </c>
      <c r="D1034" t="s">
        <v>378</v>
      </c>
      <c r="E1034" t="s">
        <v>311</v>
      </c>
      <c r="F1034" s="3">
        <v>1.63291682356143</v>
      </c>
      <c r="G1034" s="3"/>
      <c r="H1034" s="3"/>
      <c r="I1034" s="3"/>
      <c r="J1034" s="3">
        <v>1.63291682356143</v>
      </c>
    </row>
    <row r="1035" spans="2:10" x14ac:dyDescent="0.25">
      <c r="B1035" t="s">
        <v>137</v>
      </c>
      <c r="C1035" t="s">
        <v>364</v>
      </c>
      <c r="D1035" t="s">
        <v>379</v>
      </c>
      <c r="E1035" t="s">
        <v>46</v>
      </c>
      <c r="F1035" s="3">
        <v>19.399999999999999</v>
      </c>
      <c r="G1035" s="3"/>
      <c r="H1035" s="3"/>
      <c r="I1035" s="3"/>
      <c r="J1035" s="3">
        <v>19.399999999999999</v>
      </c>
    </row>
    <row r="1036" spans="2:10" x14ac:dyDescent="0.25">
      <c r="B1036" t="s">
        <v>137</v>
      </c>
      <c r="C1036" t="s">
        <v>364</v>
      </c>
      <c r="D1036" t="s">
        <v>379</v>
      </c>
      <c r="E1036" t="s">
        <v>47</v>
      </c>
      <c r="F1036" s="3">
        <v>19.399999999999999</v>
      </c>
      <c r="G1036" s="3"/>
      <c r="H1036" s="3"/>
      <c r="I1036" s="3"/>
      <c r="J1036" s="3">
        <v>19.399999999999999</v>
      </c>
    </row>
    <row r="1037" spans="2:10" x14ac:dyDescent="0.25">
      <c r="B1037" t="s">
        <v>137</v>
      </c>
      <c r="C1037" t="s">
        <v>364</v>
      </c>
      <c r="D1037" t="s">
        <v>379</v>
      </c>
      <c r="E1037" t="s">
        <v>48</v>
      </c>
      <c r="F1037" s="3">
        <v>19.399999999999999</v>
      </c>
      <c r="G1037" s="3"/>
      <c r="H1037" s="3"/>
      <c r="I1037" s="3"/>
      <c r="J1037" s="3">
        <v>19.399999999999999</v>
      </c>
    </row>
    <row r="1038" spans="2:10" x14ac:dyDescent="0.25">
      <c r="B1038" t="s">
        <v>137</v>
      </c>
      <c r="C1038" t="s">
        <v>364</v>
      </c>
      <c r="D1038" t="s">
        <v>379</v>
      </c>
      <c r="E1038" t="s">
        <v>49</v>
      </c>
      <c r="F1038" s="3">
        <v>19.399999999999999</v>
      </c>
      <c r="G1038" s="3"/>
      <c r="H1038" s="3"/>
      <c r="I1038" s="3"/>
      <c r="J1038" s="3">
        <v>19.399999999999999</v>
      </c>
    </row>
    <row r="1039" spans="2:10" x14ac:dyDescent="0.25">
      <c r="B1039" t="s">
        <v>137</v>
      </c>
      <c r="C1039" t="s">
        <v>364</v>
      </c>
      <c r="D1039" t="s">
        <v>379</v>
      </c>
      <c r="E1039" t="s">
        <v>50</v>
      </c>
      <c r="F1039" s="3">
        <v>19.399999999999999</v>
      </c>
      <c r="G1039" s="3"/>
      <c r="H1039" s="3"/>
      <c r="I1039" s="3"/>
      <c r="J1039" s="3">
        <v>19.399999999999999</v>
      </c>
    </row>
    <row r="1040" spans="2:10" x14ac:dyDescent="0.25">
      <c r="B1040" t="s">
        <v>137</v>
      </c>
      <c r="C1040" t="s">
        <v>364</v>
      </c>
      <c r="D1040" t="s">
        <v>379</v>
      </c>
      <c r="E1040" t="s">
        <v>51</v>
      </c>
      <c r="F1040" s="3">
        <v>19.399999999999999</v>
      </c>
      <c r="G1040" s="3"/>
      <c r="H1040" s="3"/>
      <c r="I1040" s="3"/>
      <c r="J1040" s="3">
        <v>19.399999999999999</v>
      </c>
    </row>
    <row r="1041" spans="2:10" x14ac:dyDescent="0.25">
      <c r="B1041" t="s">
        <v>137</v>
      </c>
      <c r="C1041" t="s">
        <v>364</v>
      </c>
      <c r="D1041" t="s">
        <v>379</v>
      </c>
      <c r="E1041" t="s">
        <v>196</v>
      </c>
      <c r="F1041" s="3">
        <v>19.399999999999999</v>
      </c>
      <c r="G1041" s="3"/>
      <c r="H1041" s="3"/>
      <c r="I1041" s="3"/>
      <c r="J1041" s="3">
        <v>19.399999999999999</v>
      </c>
    </row>
    <row r="1042" spans="2:10" x14ac:dyDescent="0.25">
      <c r="B1042" t="s">
        <v>137</v>
      </c>
      <c r="C1042" t="s">
        <v>364</v>
      </c>
      <c r="D1042" t="s">
        <v>379</v>
      </c>
      <c r="E1042" t="s">
        <v>197</v>
      </c>
      <c r="F1042" s="3">
        <v>19.399999999999999</v>
      </c>
      <c r="G1042" s="3"/>
      <c r="H1042" s="3"/>
      <c r="I1042" s="3"/>
      <c r="J1042" s="3">
        <v>19.399999999999999</v>
      </c>
    </row>
    <row r="1043" spans="2:10" x14ac:dyDescent="0.25">
      <c r="B1043" t="s">
        <v>137</v>
      </c>
      <c r="C1043" t="s">
        <v>364</v>
      </c>
      <c r="D1043" t="s">
        <v>379</v>
      </c>
      <c r="E1043" t="s">
        <v>198</v>
      </c>
      <c r="F1043" s="3">
        <v>19.399999999999999</v>
      </c>
      <c r="G1043" s="3"/>
      <c r="H1043" s="3"/>
      <c r="I1043" s="3"/>
      <c r="J1043" s="3">
        <v>19.399999999999999</v>
      </c>
    </row>
    <row r="1044" spans="2:10" x14ac:dyDescent="0.25">
      <c r="B1044" t="s">
        <v>137</v>
      </c>
      <c r="C1044" t="s">
        <v>364</v>
      </c>
      <c r="D1044" t="s">
        <v>379</v>
      </c>
      <c r="E1044" t="s">
        <v>199</v>
      </c>
      <c r="F1044" s="3">
        <v>19.399999999999999</v>
      </c>
      <c r="G1044" s="3"/>
      <c r="H1044" s="3"/>
      <c r="I1044" s="3"/>
      <c r="J1044" s="3">
        <v>19.399999999999999</v>
      </c>
    </row>
    <row r="1045" spans="2:10" x14ac:dyDescent="0.25">
      <c r="B1045" t="s">
        <v>137</v>
      </c>
      <c r="C1045" t="s">
        <v>364</v>
      </c>
      <c r="D1045" t="s">
        <v>379</v>
      </c>
      <c r="E1045" t="s">
        <v>200</v>
      </c>
      <c r="F1045" s="3">
        <v>19.399999999999999</v>
      </c>
      <c r="G1045" s="3"/>
      <c r="H1045" s="3"/>
      <c r="I1045" s="3"/>
      <c r="J1045" s="3">
        <v>19.399999999999999</v>
      </c>
    </row>
    <row r="1046" spans="2:10" x14ac:dyDescent="0.25">
      <c r="B1046" t="s">
        <v>137</v>
      </c>
      <c r="C1046" t="s">
        <v>364</v>
      </c>
      <c r="D1046" t="s">
        <v>379</v>
      </c>
      <c r="E1046" t="s">
        <v>240</v>
      </c>
      <c r="F1046" s="3">
        <v>19.399999999999999</v>
      </c>
      <c r="G1046" s="3"/>
      <c r="H1046" s="3"/>
      <c r="I1046" s="3"/>
      <c r="J1046" s="3">
        <v>19.399999999999999</v>
      </c>
    </row>
    <row r="1047" spans="2:10" x14ac:dyDescent="0.25">
      <c r="B1047" t="s">
        <v>137</v>
      </c>
      <c r="C1047" t="s">
        <v>364</v>
      </c>
      <c r="D1047" t="s">
        <v>379</v>
      </c>
      <c r="E1047" t="s">
        <v>301</v>
      </c>
      <c r="F1047" s="3">
        <v>19.399999999999999</v>
      </c>
      <c r="G1047" s="3"/>
      <c r="H1047" s="3"/>
      <c r="I1047" s="3"/>
      <c r="J1047" s="3">
        <v>19.399999999999999</v>
      </c>
    </row>
    <row r="1048" spans="2:10" x14ac:dyDescent="0.25">
      <c r="B1048" t="s">
        <v>137</v>
      </c>
      <c r="C1048" t="s">
        <v>364</v>
      </c>
      <c r="D1048" t="s">
        <v>379</v>
      </c>
      <c r="E1048" t="s">
        <v>302</v>
      </c>
      <c r="F1048" s="3">
        <v>19.399999999999999</v>
      </c>
      <c r="G1048" s="3"/>
      <c r="H1048" s="3"/>
      <c r="I1048" s="3"/>
      <c r="J1048" s="3">
        <v>19.399999999999999</v>
      </c>
    </row>
    <row r="1049" spans="2:10" x14ac:dyDescent="0.25">
      <c r="B1049" t="s">
        <v>137</v>
      </c>
      <c r="C1049" t="s">
        <v>364</v>
      </c>
      <c r="D1049" t="s">
        <v>379</v>
      </c>
      <c r="E1049" t="s">
        <v>303</v>
      </c>
      <c r="F1049" s="3">
        <v>19.399999999999999</v>
      </c>
      <c r="G1049" s="3"/>
      <c r="H1049" s="3"/>
      <c r="I1049" s="3"/>
      <c r="J1049" s="3">
        <v>19.399999999999999</v>
      </c>
    </row>
    <row r="1050" spans="2:10" x14ac:dyDescent="0.25">
      <c r="B1050" t="s">
        <v>137</v>
      </c>
      <c r="C1050" t="s">
        <v>364</v>
      </c>
      <c r="D1050" t="s">
        <v>379</v>
      </c>
      <c r="E1050" t="s">
        <v>304</v>
      </c>
      <c r="F1050" s="3">
        <v>19.399999999999999</v>
      </c>
      <c r="G1050" s="3"/>
      <c r="H1050" s="3"/>
      <c r="I1050" s="3"/>
      <c r="J1050" s="3">
        <v>19.399999999999999</v>
      </c>
    </row>
    <row r="1051" spans="2:10" x14ac:dyDescent="0.25">
      <c r="B1051" t="s">
        <v>137</v>
      </c>
      <c r="C1051" t="s">
        <v>364</v>
      </c>
      <c r="D1051" t="s">
        <v>379</v>
      </c>
      <c r="E1051" t="s">
        <v>305</v>
      </c>
      <c r="F1051" s="3">
        <v>19.399999999999999</v>
      </c>
      <c r="G1051" s="3"/>
      <c r="H1051" s="3"/>
      <c r="I1051" s="3"/>
      <c r="J1051" s="3">
        <v>19.399999999999999</v>
      </c>
    </row>
    <row r="1052" spans="2:10" x14ac:dyDescent="0.25">
      <c r="B1052" t="s">
        <v>137</v>
      </c>
      <c r="C1052" t="s">
        <v>364</v>
      </c>
      <c r="D1052" t="s">
        <v>379</v>
      </c>
      <c r="E1052" t="s">
        <v>306</v>
      </c>
      <c r="F1052" s="3">
        <v>55.3999261518195</v>
      </c>
      <c r="G1052" s="3"/>
      <c r="H1052" s="3"/>
      <c r="I1052" s="3"/>
      <c r="J1052" s="3">
        <v>55.3999261518195</v>
      </c>
    </row>
    <row r="1053" spans="2:10" x14ac:dyDescent="0.25">
      <c r="B1053" t="s">
        <v>137</v>
      </c>
      <c r="C1053" t="s">
        <v>364</v>
      </c>
      <c r="D1053" t="s">
        <v>379</v>
      </c>
      <c r="E1053" t="s">
        <v>307</v>
      </c>
      <c r="F1053" s="3">
        <v>56.699999999999996</v>
      </c>
      <c r="G1053" s="3"/>
      <c r="H1053" s="3"/>
      <c r="I1053" s="3"/>
      <c r="J1053" s="3">
        <v>56.699999999999996</v>
      </c>
    </row>
    <row r="1054" spans="2:10" x14ac:dyDescent="0.25">
      <c r="B1054" t="s">
        <v>137</v>
      </c>
      <c r="C1054" t="s">
        <v>364</v>
      </c>
      <c r="D1054" t="s">
        <v>379</v>
      </c>
      <c r="E1054" t="s">
        <v>308</v>
      </c>
      <c r="F1054" s="3">
        <v>56.699999999999996</v>
      </c>
      <c r="G1054" s="3"/>
      <c r="H1054" s="3"/>
      <c r="I1054" s="3"/>
      <c r="J1054" s="3">
        <v>56.699999999999996</v>
      </c>
    </row>
    <row r="1055" spans="2:10" x14ac:dyDescent="0.25">
      <c r="B1055" t="s">
        <v>137</v>
      </c>
      <c r="C1055" t="s">
        <v>364</v>
      </c>
      <c r="D1055" t="s">
        <v>379</v>
      </c>
      <c r="E1055" t="s">
        <v>309</v>
      </c>
      <c r="F1055" s="3">
        <v>20.323162325820434</v>
      </c>
      <c r="G1055" s="3"/>
      <c r="H1055" s="3"/>
      <c r="I1055" s="3"/>
      <c r="J1055" s="3">
        <v>20.323162325820434</v>
      </c>
    </row>
    <row r="1056" spans="2:10" x14ac:dyDescent="0.25">
      <c r="B1056" t="s">
        <v>137</v>
      </c>
      <c r="C1056" t="s">
        <v>364</v>
      </c>
      <c r="D1056" t="s">
        <v>379</v>
      </c>
      <c r="E1056" t="s">
        <v>310</v>
      </c>
      <c r="F1056" s="3">
        <v>19.399999999999999</v>
      </c>
      <c r="G1056" s="3"/>
      <c r="H1056" s="3"/>
      <c r="I1056" s="3"/>
      <c r="J1056" s="3">
        <v>19.399999999999999</v>
      </c>
    </row>
    <row r="1057" spans="2:10" x14ac:dyDescent="0.25">
      <c r="B1057" t="s">
        <v>137</v>
      </c>
      <c r="C1057" t="s">
        <v>364</v>
      </c>
      <c r="D1057" t="s">
        <v>379</v>
      </c>
      <c r="E1057" t="s">
        <v>311</v>
      </c>
      <c r="F1057" s="3">
        <v>19.399999999999999</v>
      </c>
      <c r="G1057" s="3"/>
      <c r="H1057" s="3"/>
      <c r="I1057" s="3"/>
      <c r="J1057" s="3">
        <v>19.399999999999999</v>
      </c>
    </row>
    <row r="1058" spans="2:10" x14ac:dyDescent="0.25">
      <c r="B1058" t="s">
        <v>137</v>
      </c>
      <c r="C1058" t="s">
        <v>364</v>
      </c>
      <c r="D1058" t="s">
        <v>379</v>
      </c>
      <c r="E1058" t="s">
        <v>312</v>
      </c>
      <c r="F1058" s="3">
        <v>19.399999999999999</v>
      </c>
      <c r="G1058" s="3"/>
      <c r="H1058" s="3"/>
      <c r="I1058" s="3"/>
      <c r="J1058" s="3">
        <v>19.399999999999999</v>
      </c>
    </row>
    <row r="1059" spans="2:10" x14ac:dyDescent="0.25">
      <c r="B1059" t="s">
        <v>137</v>
      </c>
      <c r="C1059" t="s">
        <v>364</v>
      </c>
      <c r="D1059" t="s">
        <v>380</v>
      </c>
      <c r="E1059" t="s">
        <v>46</v>
      </c>
      <c r="F1059" s="3">
        <v>15</v>
      </c>
      <c r="G1059" s="3"/>
      <c r="H1059" s="3"/>
      <c r="I1059" s="3"/>
      <c r="J1059" s="3">
        <v>15</v>
      </c>
    </row>
    <row r="1060" spans="2:10" x14ac:dyDescent="0.25">
      <c r="B1060" t="s">
        <v>137</v>
      </c>
      <c r="C1060" t="s">
        <v>364</v>
      </c>
      <c r="D1060" t="s">
        <v>380</v>
      </c>
      <c r="E1060" t="s">
        <v>47</v>
      </c>
      <c r="F1060" s="3">
        <v>15</v>
      </c>
      <c r="G1060" s="3"/>
      <c r="H1060" s="3"/>
      <c r="I1060" s="3"/>
      <c r="J1060" s="3">
        <v>15</v>
      </c>
    </row>
    <row r="1061" spans="2:10" x14ac:dyDescent="0.25">
      <c r="B1061" t="s">
        <v>137</v>
      </c>
      <c r="C1061" t="s">
        <v>364</v>
      </c>
      <c r="D1061" t="s">
        <v>380</v>
      </c>
      <c r="E1061" t="s">
        <v>48</v>
      </c>
      <c r="F1061" s="3">
        <v>15</v>
      </c>
      <c r="G1061" s="3"/>
      <c r="H1061" s="3"/>
      <c r="I1061" s="3"/>
      <c r="J1061" s="3">
        <v>15</v>
      </c>
    </row>
    <row r="1062" spans="2:10" x14ac:dyDescent="0.25">
      <c r="B1062" t="s">
        <v>137</v>
      </c>
      <c r="C1062" t="s">
        <v>364</v>
      </c>
      <c r="D1062" t="s">
        <v>380</v>
      </c>
      <c r="E1062" t="s">
        <v>49</v>
      </c>
      <c r="F1062" s="3">
        <v>15</v>
      </c>
      <c r="G1062" s="3"/>
      <c r="H1062" s="3"/>
      <c r="I1062" s="3"/>
      <c r="J1062" s="3">
        <v>15</v>
      </c>
    </row>
    <row r="1063" spans="2:10" x14ac:dyDescent="0.25">
      <c r="B1063" t="s">
        <v>137</v>
      </c>
      <c r="C1063" t="s">
        <v>364</v>
      </c>
      <c r="D1063" t="s">
        <v>380</v>
      </c>
      <c r="E1063" t="s">
        <v>50</v>
      </c>
      <c r="F1063" s="3">
        <v>15</v>
      </c>
      <c r="G1063" s="3"/>
      <c r="H1063" s="3"/>
      <c r="I1063" s="3"/>
      <c r="J1063" s="3">
        <v>15</v>
      </c>
    </row>
    <row r="1064" spans="2:10" x14ac:dyDescent="0.25">
      <c r="B1064" t="s">
        <v>137</v>
      </c>
      <c r="C1064" t="s">
        <v>364</v>
      </c>
      <c r="D1064" t="s">
        <v>380</v>
      </c>
      <c r="E1064" t="s">
        <v>51</v>
      </c>
      <c r="F1064" s="3">
        <v>15</v>
      </c>
      <c r="G1064" s="3"/>
      <c r="H1064" s="3"/>
      <c r="I1064" s="3"/>
      <c r="J1064" s="3">
        <v>15</v>
      </c>
    </row>
    <row r="1065" spans="2:10" x14ac:dyDescent="0.25">
      <c r="B1065" t="s">
        <v>137</v>
      </c>
      <c r="C1065" t="s">
        <v>364</v>
      </c>
      <c r="D1065" t="s">
        <v>380</v>
      </c>
      <c r="E1065" t="s">
        <v>196</v>
      </c>
      <c r="F1065" s="3">
        <v>15</v>
      </c>
      <c r="G1065" s="3"/>
      <c r="H1065" s="3"/>
      <c r="I1065" s="3"/>
      <c r="J1065" s="3">
        <v>15</v>
      </c>
    </row>
    <row r="1066" spans="2:10" x14ac:dyDescent="0.25">
      <c r="B1066" t="s">
        <v>137</v>
      </c>
      <c r="C1066" t="s">
        <v>364</v>
      </c>
      <c r="D1066" t="s">
        <v>380</v>
      </c>
      <c r="E1066" t="s">
        <v>197</v>
      </c>
      <c r="F1066" s="3">
        <v>15</v>
      </c>
      <c r="G1066" s="3"/>
      <c r="H1066" s="3"/>
      <c r="I1066" s="3"/>
      <c r="J1066" s="3">
        <v>15</v>
      </c>
    </row>
    <row r="1067" spans="2:10" x14ac:dyDescent="0.25">
      <c r="B1067" t="s">
        <v>137</v>
      </c>
      <c r="C1067" t="s">
        <v>364</v>
      </c>
      <c r="D1067" t="s">
        <v>380</v>
      </c>
      <c r="E1067" t="s">
        <v>198</v>
      </c>
      <c r="F1067" s="3">
        <v>15</v>
      </c>
      <c r="G1067" s="3"/>
      <c r="H1067" s="3"/>
      <c r="I1067" s="3"/>
      <c r="J1067" s="3">
        <v>15</v>
      </c>
    </row>
    <row r="1068" spans="2:10" x14ac:dyDescent="0.25">
      <c r="B1068" t="s">
        <v>137</v>
      </c>
      <c r="C1068" t="s">
        <v>364</v>
      </c>
      <c r="D1068" t="s">
        <v>380</v>
      </c>
      <c r="E1068" t="s">
        <v>199</v>
      </c>
      <c r="F1068" s="3">
        <v>15</v>
      </c>
      <c r="G1068" s="3"/>
      <c r="H1068" s="3"/>
      <c r="I1068" s="3"/>
      <c r="J1068" s="3">
        <v>15</v>
      </c>
    </row>
    <row r="1069" spans="2:10" x14ac:dyDescent="0.25">
      <c r="B1069" t="s">
        <v>137</v>
      </c>
      <c r="C1069" t="s">
        <v>364</v>
      </c>
      <c r="D1069" t="s">
        <v>380</v>
      </c>
      <c r="E1069" t="s">
        <v>200</v>
      </c>
      <c r="F1069" s="3">
        <v>15</v>
      </c>
      <c r="G1069" s="3"/>
      <c r="H1069" s="3"/>
      <c r="I1069" s="3"/>
      <c r="J1069" s="3">
        <v>15</v>
      </c>
    </row>
    <row r="1070" spans="2:10" x14ac:dyDescent="0.25">
      <c r="B1070" t="s">
        <v>137</v>
      </c>
      <c r="C1070" t="s">
        <v>364</v>
      </c>
      <c r="D1070" t="s">
        <v>380</v>
      </c>
      <c r="E1070" t="s">
        <v>240</v>
      </c>
      <c r="F1070" s="3">
        <v>15</v>
      </c>
      <c r="G1070" s="3"/>
      <c r="H1070" s="3"/>
      <c r="I1070" s="3"/>
      <c r="J1070" s="3">
        <v>15</v>
      </c>
    </row>
    <row r="1071" spans="2:10" x14ac:dyDescent="0.25">
      <c r="B1071" t="s">
        <v>137</v>
      </c>
      <c r="C1071" t="s">
        <v>364</v>
      </c>
      <c r="D1071" t="s">
        <v>380</v>
      </c>
      <c r="E1071" t="s">
        <v>301</v>
      </c>
      <c r="F1071" s="3">
        <v>15</v>
      </c>
      <c r="G1071" s="3"/>
      <c r="H1071" s="3"/>
      <c r="I1071" s="3"/>
      <c r="J1071" s="3">
        <v>15</v>
      </c>
    </row>
    <row r="1072" spans="2:10" x14ac:dyDescent="0.25">
      <c r="B1072" t="s">
        <v>137</v>
      </c>
      <c r="C1072" t="s">
        <v>364</v>
      </c>
      <c r="D1072" t="s">
        <v>380</v>
      </c>
      <c r="E1072" t="s">
        <v>302</v>
      </c>
      <c r="F1072" s="3">
        <v>15</v>
      </c>
      <c r="G1072" s="3"/>
      <c r="H1072" s="3"/>
      <c r="I1072" s="3"/>
      <c r="J1072" s="3">
        <v>15</v>
      </c>
    </row>
    <row r="1073" spans="2:10" x14ac:dyDescent="0.25">
      <c r="B1073" t="s">
        <v>137</v>
      </c>
      <c r="C1073" t="s">
        <v>364</v>
      </c>
      <c r="D1073" t="s">
        <v>380</v>
      </c>
      <c r="E1073" t="s">
        <v>303</v>
      </c>
      <c r="F1073" s="3">
        <v>15</v>
      </c>
      <c r="G1073" s="3"/>
      <c r="H1073" s="3"/>
      <c r="I1073" s="3"/>
      <c r="J1073" s="3">
        <v>15</v>
      </c>
    </row>
    <row r="1074" spans="2:10" x14ac:dyDescent="0.25">
      <c r="B1074" t="s">
        <v>137</v>
      </c>
      <c r="C1074" t="s">
        <v>364</v>
      </c>
      <c r="D1074" t="s">
        <v>380</v>
      </c>
      <c r="E1074" t="s">
        <v>304</v>
      </c>
      <c r="F1074" s="3">
        <v>15</v>
      </c>
      <c r="G1074" s="3"/>
      <c r="H1074" s="3"/>
      <c r="I1074" s="3"/>
      <c r="J1074" s="3">
        <v>15</v>
      </c>
    </row>
    <row r="1075" spans="2:10" x14ac:dyDescent="0.25">
      <c r="B1075" t="s">
        <v>137</v>
      </c>
      <c r="C1075" t="s">
        <v>364</v>
      </c>
      <c r="D1075" t="s">
        <v>380</v>
      </c>
      <c r="E1075" t="s">
        <v>305</v>
      </c>
      <c r="F1075" s="3">
        <v>15</v>
      </c>
      <c r="G1075" s="3"/>
      <c r="H1075" s="3"/>
      <c r="I1075" s="3"/>
      <c r="J1075" s="3">
        <v>15</v>
      </c>
    </row>
    <row r="1076" spans="2:10" x14ac:dyDescent="0.25">
      <c r="B1076" t="s">
        <v>137</v>
      </c>
      <c r="C1076" t="s">
        <v>364</v>
      </c>
      <c r="D1076" t="s">
        <v>380</v>
      </c>
      <c r="E1076" t="s">
        <v>306</v>
      </c>
      <c r="F1076" s="3">
        <v>15</v>
      </c>
      <c r="G1076" s="3"/>
      <c r="H1076" s="3"/>
      <c r="I1076" s="3"/>
      <c r="J1076" s="3">
        <v>15</v>
      </c>
    </row>
    <row r="1077" spans="2:10" x14ac:dyDescent="0.25">
      <c r="B1077" t="s">
        <v>137</v>
      </c>
      <c r="C1077" t="s">
        <v>364</v>
      </c>
      <c r="D1077" t="s">
        <v>380</v>
      </c>
      <c r="E1077" t="s">
        <v>307</v>
      </c>
      <c r="F1077" s="3">
        <v>15</v>
      </c>
      <c r="G1077" s="3"/>
      <c r="H1077" s="3"/>
      <c r="I1077" s="3"/>
      <c r="J1077" s="3">
        <v>15</v>
      </c>
    </row>
    <row r="1078" spans="2:10" x14ac:dyDescent="0.25">
      <c r="B1078" t="s">
        <v>137</v>
      </c>
      <c r="C1078" t="s">
        <v>364</v>
      </c>
      <c r="D1078" t="s">
        <v>380</v>
      </c>
      <c r="E1078" t="s">
        <v>308</v>
      </c>
      <c r="F1078" s="3">
        <v>15</v>
      </c>
      <c r="G1078" s="3"/>
      <c r="H1078" s="3"/>
      <c r="I1078" s="3"/>
      <c r="J1078" s="3">
        <v>15</v>
      </c>
    </row>
    <row r="1079" spans="2:10" x14ac:dyDescent="0.25">
      <c r="B1079" t="s">
        <v>137</v>
      </c>
      <c r="C1079" t="s">
        <v>364</v>
      </c>
      <c r="D1079" t="s">
        <v>380</v>
      </c>
      <c r="E1079" t="s">
        <v>309</v>
      </c>
      <c r="F1079" s="3">
        <v>15</v>
      </c>
      <c r="G1079" s="3"/>
      <c r="H1079" s="3"/>
      <c r="I1079" s="3"/>
      <c r="J1079" s="3">
        <v>15</v>
      </c>
    </row>
    <row r="1080" spans="2:10" x14ac:dyDescent="0.25">
      <c r="B1080" t="s">
        <v>137</v>
      </c>
      <c r="C1080" t="s">
        <v>364</v>
      </c>
      <c r="D1080" t="s">
        <v>380</v>
      </c>
      <c r="E1080" t="s">
        <v>310</v>
      </c>
      <c r="F1080" s="3">
        <v>15</v>
      </c>
      <c r="G1080" s="3"/>
      <c r="H1080" s="3"/>
      <c r="I1080" s="3"/>
      <c r="J1080" s="3">
        <v>15</v>
      </c>
    </row>
    <row r="1081" spans="2:10" x14ac:dyDescent="0.25">
      <c r="B1081" t="s">
        <v>137</v>
      </c>
      <c r="C1081" t="s">
        <v>364</v>
      </c>
      <c r="D1081" t="s">
        <v>380</v>
      </c>
      <c r="E1081" t="s">
        <v>311</v>
      </c>
      <c r="F1081" s="3">
        <v>15</v>
      </c>
      <c r="G1081" s="3"/>
      <c r="H1081" s="3"/>
      <c r="I1081" s="3"/>
      <c r="J1081" s="3">
        <v>15</v>
      </c>
    </row>
    <row r="1082" spans="2:10" x14ac:dyDescent="0.25">
      <c r="B1082" t="s">
        <v>137</v>
      </c>
      <c r="C1082" t="s">
        <v>364</v>
      </c>
      <c r="D1082" t="s">
        <v>380</v>
      </c>
      <c r="E1082" t="s">
        <v>312</v>
      </c>
      <c r="F1082" s="3">
        <v>15</v>
      </c>
      <c r="G1082" s="3"/>
      <c r="H1082" s="3"/>
      <c r="I1082" s="3"/>
      <c r="J1082" s="3">
        <v>15</v>
      </c>
    </row>
    <row r="1083" spans="2:10" x14ac:dyDescent="0.25">
      <c r="B1083" t="s">
        <v>137</v>
      </c>
      <c r="C1083" t="s">
        <v>364</v>
      </c>
      <c r="D1083" t="s">
        <v>381</v>
      </c>
      <c r="E1083" t="s">
        <v>196</v>
      </c>
      <c r="F1083" s="3">
        <v>0.82794092591103896</v>
      </c>
      <c r="G1083" s="3"/>
      <c r="H1083" s="3"/>
      <c r="I1083" s="3"/>
      <c r="J1083" s="3">
        <v>0.82794092591103896</v>
      </c>
    </row>
    <row r="1084" spans="2:10" x14ac:dyDescent="0.25">
      <c r="B1084" t="s">
        <v>137</v>
      </c>
      <c r="C1084" t="s">
        <v>364</v>
      </c>
      <c r="D1084" t="s">
        <v>381</v>
      </c>
      <c r="E1084" t="s">
        <v>197</v>
      </c>
      <c r="F1084" s="3">
        <v>3.15409481571329</v>
      </c>
      <c r="G1084" s="3"/>
      <c r="H1084" s="3"/>
      <c r="I1084" s="3"/>
      <c r="J1084" s="3">
        <v>3.15409481571329</v>
      </c>
    </row>
    <row r="1085" spans="2:10" x14ac:dyDescent="0.25">
      <c r="B1085" t="s">
        <v>137</v>
      </c>
      <c r="C1085" t="s">
        <v>364</v>
      </c>
      <c r="D1085" t="s">
        <v>381</v>
      </c>
      <c r="E1085" t="s">
        <v>198</v>
      </c>
      <c r="F1085" s="3">
        <v>3.7123717492658299</v>
      </c>
      <c r="G1085" s="3"/>
      <c r="H1085" s="3"/>
      <c r="I1085" s="3"/>
      <c r="J1085" s="3">
        <v>3.7123717492658299</v>
      </c>
    </row>
    <row r="1086" spans="2:10" x14ac:dyDescent="0.25">
      <c r="B1086" t="s">
        <v>137</v>
      </c>
      <c r="C1086" t="s">
        <v>364</v>
      </c>
      <c r="D1086" t="s">
        <v>381</v>
      </c>
      <c r="E1086" t="s">
        <v>199</v>
      </c>
      <c r="F1086" s="3">
        <v>4.0048025239838303</v>
      </c>
      <c r="G1086" s="3"/>
      <c r="H1086" s="3"/>
      <c r="I1086" s="3"/>
      <c r="J1086" s="3">
        <v>4.0048025239838303</v>
      </c>
    </row>
    <row r="1087" spans="2:10" x14ac:dyDescent="0.25">
      <c r="B1087" t="s">
        <v>137</v>
      </c>
      <c r="C1087" t="s">
        <v>364</v>
      </c>
      <c r="D1087" t="s">
        <v>381</v>
      </c>
      <c r="E1087" t="s">
        <v>200</v>
      </c>
      <c r="F1087" s="3">
        <v>3.92504867633347</v>
      </c>
      <c r="G1087" s="3"/>
      <c r="H1087" s="3"/>
      <c r="I1087" s="3"/>
      <c r="J1087" s="3">
        <v>3.92504867633347</v>
      </c>
    </row>
    <row r="1088" spans="2:10" x14ac:dyDescent="0.25">
      <c r="B1088" t="s">
        <v>137</v>
      </c>
      <c r="C1088" t="s">
        <v>364</v>
      </c>
      <c r="D1088" t="s">
        <v>381</v>
      </c>
      <c r="E1088" t="s">
        <v>240</v>
      </c>
      <c r="F1088" s="3">
        <v>3.93834098427519</v>
      </c>
      <c r="G1088" s="3"/>
      <c r="H1088" s="3"/>
      <c r="I1088" s="3"/>
      <c r="J1088" s="3">
        <v>3.93834098427519</v>
      </c>
    </row>
    <row r="1089" spans="2:10" x14ac:dyDescent="0.25">
      <c r="B1089" t="s">
        <v>137</v>
      </c>
      <c r="C1089" t="s">
        <v>364</v>
      </c>
      <c r="D1089" t="s">
        <v>381</v>
      </c>
      <c r="E1089" t="s">
        <v>301</v>
      </c>
      <c r="F1089" s="3">
        <v>3.7921255969161898</v>
      </c>
      <c r="G1089" s="3"/>
      <c r="H1089" s="3"/>
      <c r="I1089" s="3"/>
      <c r="J1089" s="3">
        <v>3.7921255969161898</v>
      </c>
    </row>
    <row r="1090" spans="2:10" x14ac:dyDescent="0.25">
      <c r="B1090" t="s">
        <v>137</v>
      </c>
      <c r="C1090" t="s">
        <v>364</v>
      </c>
      <c r="D1090" t="s">
        <v>381</v>
      </c>
      <c r="E1090" t="s">
        <v>302</v>
      </c>
      <c r="F1090" s="3">
        <v>3.2072640474802001</v>
      </c>
      <c r="G1090" s="3"/>
      <c r="H1090" s="3"/>
      <c r="I1090" s="3"/>
      <c r="J1090" s="3">
        <v>3.2072640474802001</v>
      </c>
    </row>
    <row r="1091" spans="2:10" x14ac:dyDescent="0.25">
      <c r="B1091" t="s">
        <v>137</v>
      </c>
      <c r="C1091" t="s">
        <v>364</v>
      </c>
      <c r="D1091" t="s">
        <v>381</v>
      </c>
      <c r="E1091" t="s">
        <v>303</v>
      </c>
      <c r="F1091" s="3">
        <v>3.3667717427809198</v>
      </c>
      <c r="G1091" s="3"/>
      <c r="H1091" s="3"/>
      <c r="I1091" s="3"/>
      <c r="J1091" s="3">
        <v>3.3667717427809198</v>
      </c>
    </row>
    <row r="1092" spans="2:10" x14ac:dyDescent="0.25">
      <c r="B1092" t="s">
        <v>137</v>
      </c>
      <c r="C1092" t="s">
        <v>364</v>
      </c>
      <c r="D1092" t="s">
        <v>381</v>
      </c>
      <c r="E1092" t="s">
        <v>304</v>
      </c>
      <c r="F1092" s="3">
        <v>3.5262794380816498</v>
      </c>
      <c r="G1092" s="3"/>
      <c r="H1092" s="3"/>
      <c r="I1092" s="3"/>
      <c r="J1092" s="3">
        <v>3.5262794380816498</v>
      </c>
    </row>
    <row r="1093" spans="2:10" x14ac:dyDescent="0.25">
      <c r="B1093" t="s">
        <v>137</v>
      </c>
      <c r="C1093" t="s">
        <v>364</v>
      </c>
      <c r="D1093" t="s">
        <v>381</v>
      </c>
      <c r="E1093" t="s">
        <v>305</v>
      </c>
      <c r="F1093" s="3">
        <v>3.8320025207413799</v>
      </c>
      <c r="G1093" s="3"/>
      <c r="H1093" s="3"/>
      <c r="I1093" s="3"/>
      <c r="J1093" s="3">
        <v>3.8320025207413799</v>
      </c>
    </row>
    <row r="1094" spans="2:10" x14ac:dyDescent="0.25">
      <c r="B1094" t="s">
        <v>137</v>
      </c>
      <c r="C1094" t="s">
        <v>364</v>
      </c>
      <c r="D1094" t="s">
        <v>381</v>
      </c>
      <c r="E1094" t="s">
        <v>306</v>
      </c>
      <c r="F1094" s="3">
        <v>3.76554098103274</v>
      </c>
      <c r="G1094" s="3"/>
      <c r="H1094" s="3"/>
      <c r="I1094" s="3"/>
      <c r="J1094" s="3">
        <v>3.76554098103274</v>
      </c>
    </row>
    <row r="1095" spans="2:10" x14ac:dyDescent="0.25">
      <c r="B1095" t="s">
        <v>137</v>
      </c>
      <c r="C1095" t="s">
        <v>364</v>
      </c>
      <c r="D1095" t="s">
        <v>381</v>
      </c>
      <c r="E1095" t="s">
        <v>307</v>
      </c>
      <c r="F1095" s="3">
        <v>3.8187102127996502</v>
      </c>
      <c r="G1095" s="3"/>
      <c r="H1095" s="3"/>
      <c r="I1095" s="3"/>
      <c r="J1095" s="3">
        <v>3.8187102127996502</v>
      </c>
    </row>
    <row r="1096" spans="2:10" x14ac:dyDescent="0.25">
      <c r="B1096" t="s">
        <v>137</v>
      </c>
      <c r="C1096" t="s">
        <v>364</v>
      </c>
      <c r="D1096" t="s">
        <v>381</v>
      </c>
      <c r="E1096" t="s">
        <v>308</v>
      </c>
      <c r="F1096" s="3">
        <v>3.76554098103274</v>
      </c>
      <c r="G1096" s="3"/>
      <c r="H1096" s="3"/>
      <c r="I1096" s="3"/>
      <c r="J1096" s="3">
        <v>3.76554098103274</v>
      </c>
    </row>
    <row r="1097" spans="2:10" x14ac:dyDescent="0.25">
      <c r="B1097" t="s">
        <v>137</v>
      </c>
      <c r="C1097" t="s">
        <v>364</v>
      </c>
      <c r="D1097" t="s">
        <v>381</v>
      </c>
      <c r="E1097" t="s">
        <v>309</v>
      </c>
      <c r="F1097" s="3">
        <v>3.4731102063147401</v>
      </c>
      <c r="G1097" s="3"/>
      <c r="H1097" s="3"/>
      <c r="I1097" s="3"/>
      <c r="J1097" s="3">
        <v>3.4731102063147401</v>
      </c>
    </row>
    <row r="1098" spans="2:10" x14ac:dyDescent="0.25">
      <c r="B1098" t="s">
        <v>137</v>
      </c>
      <c r="C1098" t="s">
        <v>364</v>
      </c>
      <c r="D1098" t="s">
        <v>381</v>
      </c>
      <c r="E1098" t="s">
        <v>310</v>
      </c>
      <c r="F1098" s="3">
        <v>1.6919409421233</v>
      </c>
      <c r="G1098" s="3"/>
      <c r="H1098" s="3"/>
      <c r="I1098" s="3"/>
      <c r="J1098" s="3">
        <v>1.6919409421233</v>
      </c>
    </row>
    <row r="1099" spans="2:10" x14ac:dyDescent="0.25">
      <c r="B1099" t="s">
        <v>137</v>
      </c>
      <c r="C1099" t="s">
        <v>364</v>
      </c>
      <c r="D1099" t="s">
        <v>381</v>
      </c>
      <c r="E1099" t="s">
        <v>311</v>
      </c>
      <c r="F1099" s="3">
        <v>1.55901786270603</v>
      </c>
      <c r="G1099" s="3"/>
      <c r="H1099" s="3"/>
      <c r="I1099" s="3"/>
      <c r="J1099" s="3">
        <v>1.55901786270603</v>
      </c>
    </row>
    <row r="1100" spans="2:10" x14ac:dyDescent="0.25">
      <c r="B1100" t="s">
        <v>137</v>
      </c>
      <c r="C1100" t="s">
        <v>364</v>
      </c>
      <c r="D1100" t="s">
        <v>381</v>
      </c>
      <c r="E1100" t="s">
        <v>312</v>
      </c>
      <c r="F1100" s="3">
        <v>1.2267101641628499</v>
      </c>
      <c r="G1100" s="3"/>
      <c r="H1100" s="3"/>
      <c r="I1100" s="3"/>
      <c r="J1100" s="3">
        <v>1.2267101641628499</v>
      </c>
    </row>
    <row r="1101" spans="2:10" x14ac:dyDescent="0.25">
      <c r="B1101" t="s">
        <v>137</v>
      </c>
      <c r="C1101" t="s">
        <v>364</v>
      </c>
      <c r="D1101" t="s">
        <v>382</v>
      </c>
      <c r="E1101" t="s">
        <v>46</v>
      </c>
      <c r="F1101" s="3">
        <v>102.558561603429</v>
      </c>
      <c r="G1101" s="3"/>
      <c r="H1101" s="3"/>
      <c r="I1101" s="3"/>
      <c r="J1101" s="3">
        <v>102.558561603429</v>
      </c>
    </row>
    <row r="1102" spans="2:10" x14ac:dyDescent="0.25">
      <c r="B1102" t="s">
        <v>137</v>
      </c>
      <c r="C1102" t="s">
        <v>364</v>
      </c>
      <c r="D1102" t="s">
        <v>382</v>
      </c>
      <c r="E1102" t="s">
        <v>47</v>
      </c>
      <c r="F1102" s="3">
        <v>100.57939118231999</v>
      </c>
      <c r="G1102" s="3"/>
      <c r="H1102" s="3"/>
      <c r="I1102" s="3"/>
      <c r="J1102" s="3">
        <v>100.57939118231999</v>
      </c>
    </row>
    <row r="1103" spans="2:10" x14ac:dyDescent="0.25">
      <c r="B1103" t="s">
        <v>137</v>
      </c>
      <c r="C1103" t="s">
        <v>364</v>
      </c>
      <c r="D1103" t="s">
        <v>382</v>
      </c>
      <c r="E1103" t="s">
        <v>48</v>
      </c>
      <c r="F1103" s="3">
        <v>101.76689343498499</v>
      </c>
      <c r="G1103" s="3"/>
      <c r="H1103" s="3"/>
      <c r="I1103" s="3"/>
      <c r="J1103" s="3">
        <v>101.76689343498499</v>
      </c>
    </row>
    <row r="1104" spans="2:10" x14ac:dyDescent="0.25">
      <c r="B1104" t="s">
        <v>137</v>
      </c>
      <c r="C1104" t="s">
        <v>364</v>
      </c>
      <c r="D1104" t="s">
        <v>382</v>
      </c>
      <c r="E1104" t="s">
        <v>49</v>
      </c>
      <c r="F1104" s="3">
        <v>102.75647864554</v>
      </c>
      <c r="G1104" s="3"/>
      <c r="H1104" s="3"/>
      <c r="I1104" s="3"/>
      <c r="J1104" s="3">
        <v>102.75647864554</v>
      </c>
    </row>
    <row r="1105" spans="2:10" x14ac:dyDescent="0.25">
      <c r="B1105" t="s">
        <v>137</v>
      </c>
      <c r="C1105" t="s">
        <v>364</v>
      </c>
      <c r="D1105" t="s">
        <v>382</v>
      </c>
      <c r="E1105" t="s">
        <v>50</v>
      </c>
      <c r="F1105" s="3">
        <v>102.360644561318</v>
      </c>
      <c r="G1105" s="3"/>
      <c r="H1105" s="3"/>
      <c r="I1105" s="3"/>
      <c r="J1105" s="3">
        <v>102.360644561318</v>
      </c>
    </row>
    <row r="1106" spans="2:10" x14ac:dyDescent="0.25">
      <c r="B1106" t="s">
        <v>137</v>
      </c>
      <c r="C1106" t="s">
        <v>364</v>
      </c>
      <c r="D1106" t="s">
        <v>382</v>
      </c>
      <c r="E1106" t="s">
        <v>51</v>
      </c>
      <c r="F1106" s="3">
        <v>107.704404698313</v>
      </c>
      <c r="G1106" s="3"/>
      <c r="H1106" s="3"/>
      <c r="I1106" s="3"/>
      <c r="J1106" s="3">
        <v>107.704404698313</v>
      </c>
    </row>
    <row r="1107" spans="2:10" x14ac:dyDescent="0.25">
      <c r="B1107" t="s">
        <v>137</v>
      </c>
      <c r="C1107" t="s">
        <v>364</v>
      </c>
      <c r="D1107" t="s">
        <v>382</v>
      </c>
      <c r="E1107" t="s">
        <v>196</v>
      </c>
      <c r="F1107" s="3">
        <v>121.558597646076</v>
      </c>
      <c r="G1107" s="3"/>
      <c r="H1107" s="3"/>
      <c r="I1107" s="3"/>
      <c r="J1107" s="3">
        <v>121.558597646076</v>
      </c>
    </row>
    <row r="1108" spans="2:10" x14ac:dyDescent="0.25">
      <c r="B1108" t="s">
        <v>137</v>
      </c>
      <c r="C1108" t="s">
        <v>364</v>
      </c>
      <c r="D1108" t="s">
        <v>382</v>
      </c>
      <c r="E1108" t="s">
        <v>197</v>
      </c>
      <c r="F1108" s="3">
        <v>126.90235778307</v>
      </c>
      <c r="G1108" s="3"/>
      <c r="H1108" s="3"/>
      <c r="I1108" s="3"/>
      <c r="J1108" s="3">
        <v>126.90235778307</v>
      </c>
    </row>
    <row r="1109" spans="2:10" x14ac:dyDescent="0.25">
      <c r="B1109" t="s">
        <v>137</v>
      </c>
      <c r="C1109" t="s">
        <v>364</v>
      </c>
      <c r="D1109" t="s">
        <v>382</v>
      </c>
      <c r="E1109" t="s">
        <v>198</v>
      </c>
      <c r="F1109" s="3">
        <v>129.475279330512</v>
      </c>
      <c r="G1109" s="3"/>
      <c r="H1109" s="3"/>
      <c r="I1109" s="3"/>
      <c r="J1109" s="3">
        <v>129.475279330512</v>
      </c>
    </row>
    <row r="1110" spans="2:10" x14ac:dyDescent="0.25">
      <c r="B1110" t="s">
        <v>137</v>
      </c>
      <c r="C1110" t="s">
        <v>364</v>
      </c>
      <c r="D1110" t="s">
        <v>382</v>
      </c>
      <c r="E1110" t="s">
        <v>199</v>
      </c>
      <c r="F1110" s="3">
        <v>129.27736228840101</v>
      </c>
      <c r="G1110" s="3"/>
      <c r="H1110" s="3"/>
      <c r="I1110" s="3"/>
      <c r="J1110" s="3">
        <v>129.27736228840101</v>
      </c>
    </row>
    <row r="1111" spans="2:10" x14ac:dyDescent="0.25">
      <c r="B1111" t="s">
        <v>137</v>
      </c>
      <c r="C1111" t="s">
        <v>364</v>
      </c>
      <c r="D1111" t="s">
        <v>382</v>
      </c>
      <c r="E1111" t="s">
        <v>200</v>
      </c>
      <c r="F1111" s="3">
        <v>129.871113414734</v>
      </c>
      <c r="G1111" s="3"/>
      <c r="H1111" s="3"/>
      <c r="I1111" s="3"/>
      <c r="J1111" s="3">
        <v>129.871113414734</v>
      </c>
    </row>
    <row r="1112" spans="2:10" x14ac:dyDescent="0.25">
      <c r="B1112" t="s">
        <v>137</v>
      </c>
      <c r="C1112" t="s">
        <v>364</v>
      </c>
      <c r="D1112" t="s">
        <v>382</v>
      </c>
      <c r="E1112" t="s">
        <v>240</v>
      </c>
      <c r="F1112" s="3">
        <v>127.89194299362499</v>
      </c>
      <c r="G1112" s="3"/>
      <c r="H1112" s="3"/>
      <c r="I1112" s="3"/>
      <c r="J1112" s="3">
        <v>127.89194299362499</v>
      </c>
    </row>
    <row r="1113" spans="2:10" x14ac:dyDescent="0.25">
      <c r="B1113" t="s">
        <v>137</v>
      </c>
      <c r="C1113" t="s">
        <v>364</v>
      </c>
      <c r="D1113" t="s">
        <v>382</v>
      </c>
      <c r="E1113" t="s">
        <v>301</v>
      </c>
      <c r="F1113" s="3">
        <v>129.871113414734</v>
      </c>
      <c r="G1113" s="3"/>
      <c r="H1113" s="3"/>
      <c r="I1113" s="3"/>
      <c r="J1113" s="3">
        <v>129.871113414734</v>
      </c>
    </row>
    <row r="1114" spans="2:10" x14ac:dyDescent="0.25">
      <c r="B1114" t="s">
        <v>137</v>
      </c>
      <c r="C1114" t="s">
        <v>364</v>
      </c>
      <c r="D1114" t="s">
        <v>382</v>
      </c>
      <c r="E1114" t="s">
        <v>302</v>
      </c>
      <c r="F1114" s="3">
        <v>131.45444975162101</v>
      </c>
      <c r="G1114" s="3"/>
      <c r="H1114" s="3"/>
      <c r="I1114" s="3"/>
      <c r="J1114" s="3">
        <v>131.45444975162101</v>
      </c>
    </row>
    <row r="1115" spans="2:10" x14ac:dyDescent="0.25">
      <c r="B1115" t="s">
        <v>137</v>
      </c>
      <c r="C1115" t="s">
        <v>364</v>
      </c>
      <c r="D1115" t="s">
        <v>382</v>
      </c>
      <c r="E1115" t="s">
        <v>303</v>
      </c>
      <c r="F1115" s="3">
        <v>132.048200877954</v>
      </c>
      <c r="G1115" s="3"/>
      <c r="H1115" s="3"/>
      <c r="I1115" s="3"/>
      <c r="J1115" s="3">
        <v>132.048200877954</v>
      </c>
    </row>
    <row r="1116" spans="2:10" x14ac:dyDescent="0.25">
      <c r="B1116" t="s">
        <v>137</v>
      </c>
      <c r="C1116" t="s">
        <v>364</v>
      </c>
      <c r="D1116" t="s">
        <v>382</v>
      </c>
      <c r="E1116" t="s">
        <v>304</v>
      </c>
      <c r="F1116" s="3">
        <v>131.85028383584299</v>
      </c>
      <c r="G1116" s="3"/>
      <c r="H1116" s="3"/>
      <c r="I1116" s="3"/>
      <c r="J1116" s="3">
        <v>131.85028383584299</v>
      </c>
    </row>
    <row r="1117" spans="2:10" x14ac:dyDescent="0.25">
      <c r="B1117" t="s">
        <v>137</v>
      </c>
      <c r="C1117" t="s">
        <v>364</v>
      </c>
      <c r="D1117" t="s">
        <v>382</v>
      </c>
      <c r="E1117" t="s">
        <v>305</v>
      </c>
      <c r="F1117" s="3">
        <v>132.24611792006499</v>
      </c>
      <c r="G1117" s="3"/>
      <c r="H1117" s="3"/>
      <c r="I1117" s="3"/>
      <c r="J1117" s="3">
        <v>132.24611792006499</v>
      </c>
    </row>
    <row r="1118" spans="2:10" x14ac:dyDescent="0.25">
      <c r="B1118" t="s">
        <v>137</v>
      </c>
      <c r="C1118" t="s">
        <v>364</v>
      </c>
      <c r="D1118" t="s">
        <v>382</v>
      </c>
      <c r="E1118" t="s">
        <v>306</v>
      </c>
      <c r="F1118" s="3">
        <v>133.23570313061899</v>
      </c>
      <c r="G1118" s="3"/>
      <c r="H1118" s="3"/>
      <c r="I1118" s="3"/>
      <c r="J1118" s="3">
        <v>133.23570313061899</v>
      </c>
    </row>
    <row r="1119" spans="2:10" x14ac:dyDescent="0.25">
      <c r="B1119" t="s">
        <v>137</v>
      </c>
      <c r="C1119" t="s">
        <v>364</v>
      </c>
      <c r="D1119" t="s">
        <v>382</v>
      </c>
      <c r="E1119" t="s">
        <v>307</v>
      </c>
      <c r="F1119" s="3">
        <v>133.23570313061899</v>
      </c>
      <c r="G1119" s="3"/>
      <c r="H1119" s="3"/>
      <c r="I1119" s="3"/>
      <c r="J1119" s="3">
        <v>133.23570313061899</v>
      </c>
    </row>
    <row r="1120" spans="2:10" x14ac:dyDescent="0.25">
      <c r="B1120" t="s">
        <v>137</v>
      </c>
      <c r="C1120" t="s">
        <v>364</v>
      </c>
      <c r="D1120" t="s">
        <v>382</v>
      </c>
      <c r="E1120" t="s">
        <v>308</v>
      </c>
      <c r="F1120" s="3">
        <v>132.048200877954</v>
      </c>
      <c r="G1120" s="3"/>
      <c r="H1120" s="3"/>
      <c r="I1120" s="3"/>
      <c r="J1120" s="3">
        <v>132.048200877954</v>
      </c>
    </row>
    <row r="1121" spans="2:10" x14ac:dyDescent="0.25">
      <c r="B1121" t="s">
        <v>137</v>
      </c>
      <c r="C1121" t="s">
        <v>364</v>
      </c>
      <c r="D1121" t="s">
        <v>382</v>
      </c>
      <c r="E1121" t="s">
        <v>309</v>
      </c>
      <c r="F1121" s="3">
        <v>129.67319637262301</v>
      </c>
      <c r="G1121" s="3"/>
      <c r="H1121" s="3"/>
      <c r="I1121" s="3"/>
      <c r="J1121" s="3">
        <v>129.67319637262301</v>
      </c>
    </row>
    <row r="1122" spans="2:10" x14ac:dyDescent="0.25">
      <c r="B1122" t="s">
        <v>137</v>
      </c>
      <c r="C1122" t="s">
        <v>364</v>
      </c>
      <c r="D1122" t="s">
        <v>382</v>
      </c>
      <c r="E1122" t="s">
        <v>310</v>
      </c>
      <c r="F1122" s="3">
        <v>121.756514688187</v>
      </c>
      <c r="G1122" s="3"/>
      <c r="H1122" s="3"/>
      <c r="I1122" s="3"/>
      <c r="J1122" s="3">
        <v>121.756514688187</v>
      </c>
    </row>
    <row r="1123" spans="2:10" x14ac:dyDescent="0.25">
      <c r="B1123" t="s">
        <v>137</v>
      </c>
      <c r="C1123" t="s">
        <v>364</v>
      </c>
      <c r="D1123" t="s">
        <v>382</v>
      </c>
      <c r="E1123" t="s">
        <v>311</v>
      </c>
      <c r="F1123" s="3">
        <v>119.77734426707801</v>
      </c>
      <c r="G1123" s="3"/>
      <c r="H1123" s="3"/>
      <c r="I1123" s="3"/>
      <c r="J1123" s="3">
        <v>119.77734426707801</v>
      </c>
    </row>
    <row r="1124" spans="2:10" x14ac:dyDescent="0.25">
      <c r="B1124" t="s">
        <v>137</v>
      </c>
      <c r="C1124" t="s">
        <v>364</v>
      </c>
      <c r="D1124" t="s">
        <v>382</v>
      </c>
      <c r="E1124" t="s">
        <v>312</v>
      </c>
      <c r="F1124" s="3">
        <v>118.391924972301</v>
      </c>
      <c r="G1124" s="3"/>
      <c r="H1124" s="3"/>
      <c r="I1124" s="3"/>
      <c r="J1124" s="3">
        <v>118.391924972301</v>
      </c>
    </row>
    <row r="1125" spans="2:10" x14ac:dyDescent="0.25">
      <c r="B1125" t="s">
        <v>137</v>
      </c>
      <c r="C1125" t="s">
        <v>364</v>
      </c>
      <c r="D1125" t="s">
        <v>267</v>
      </c>
      <c r="E1125" t="s">
        <v>46</v>
      </c>
      <c r="F1125" s="3"/>
      <c r="G1125" s="3">
        <v>9321.4</v>
      </c>
      <c r="H1125" s="3"/>
      <c r="I1125" s="3"/>
      <c r="J1125" s="3">
        <v>9321.4</v>
      </c>
    </row>
    <row r="1126" spans="2:10" x14ac:dyDescent="0.25">
      <c r="B1126" t="s">
        <v>137</v>
      </c>
      <c r="C1126" t="s">
        <v>364</v>
      </c>
      <c r="D1126" t="s">
        <v>267</v>
      </c>
      <c r="E1126" t="s">
        <v>47</v>
      </c>
      <c r="F1126" s="3"/>
      <c r="G1126" s="3">
        <v>9321.4</v>
      </c>
      <c r="H1126" s="3"/>
      <c r="I1126" s="3"/>
      <c r="J1126" s="3">
        <v>9321.4</v>
      </c>
    </row>
    <row r="1127" spans="2:10" x14ac:dyDescent="0.25">
      <c r="B1127" t="s">
        <v>137</v>
      </c>
      <c r="C1127" t="s">
        <v>364</v>
      </c>
      <c r="D1127" t="s">
        <v>267</v>
      </c>
      <c r="E1127" t="s">
        <v>48</v>
      </c>
      <c r="F1127" s="3"/>
      <c r="G1127" s="3">
        <v>9321.4</v>
      </c>
      <c r="H1127" s="3"/>
      <c r="I1127" s="3"/>
      <c r="J1127" s="3">
        <v>9321.4</v>
      </c>
    </row>
    <row r="1128" spans="2:10" x14ac:dyDescent="0.25">
      <c r="B1128" t="s">
        <v>137</v>
      </c>
      <c r="C1128" t="s">
        <v>364</v>
      </c>
      <c r="D1128" t="s">
        <v>267</v>
      </c>
      <c r="E1128" t="s">
        <v>49</v>
      </c>
      <c r="F1128" s="3"/>
      <c r="G1128" s="3">
        <v>9321.4</v>
      </c>
      <c r="H1128" s="3"/>
      <c r="I1128" s="3"/>
      <c r="J1128" s="3">
        <v>9321.4</v>
      </c>
    </row>
    <row r="1129" spans="2:10" x14ac:dyDescent="0.25">
      <c r="B1129" t="s">
        <v>137</v>
      </c>
      <c r="C1129" t="s">
        <v>364</v>
      </c>
      <c r="D1129" t="s">
        <v>267</v>
      </c>
      <c r="E1129" t="s">
        <v>50</v>
      </c>
      <c r="F1129" s="3"/>
      <c r="G1129" s="3">
        <v>9321.4</v>
      </c>
      <c r="H1129" s="3"/>
      <c r="I1129" s="3"/>
      <c r="J1129" s="3">
        <v>9321.4</v>
      </c>
    </row>
    <row r="1130" spans="2:10" x14ac:dyDescent="0.25">
      <c r="B1130" t="s">
        <v>137</v>
      </c>
      <c r="C1130" t="s">
        <v>364</v>
      </c>
      <c r="D1130" t="s">
        <v>267</v>
      </c>
      <c r="E1130" t="s">
        <v>51</v>
      </c>
      <c r="F1130" s="3"/>
      <c r="G1130" s="3">
        <v>9321.4</v>
      </c>
      <c r="H1130" s="3"/>
      <c r="I1130" s="3"/>
      <c r="J1130" s="3">
        <v>9321.4</v>
      </c>
    </row>
    <row r="1131" spans="2:10" x14ac:dyDescent="0.25">
      <c r="B1131" t="s">
        <v>137</v>
      </c>
      <c r="C1131" t="s">
        <v>364</v>
      </c>
      <c r="D1131" t="s">
        <v>267</v>
      </c>
      <c r="E1131" t="s">
        <v>196</v>
      </c>
      <c r="F1131" s="3"/>
      <c r="G1131" s="3">
        <v>9321.4</v>
      </c>
      <c r="H1131" s="3"/>
      <c r="I1131" s="3"/>
      <c r="J1131" s="3">
        <v>9321.4</v>
      </c>
    </row>
    <row r="1132" spans="2:10" x14ac:dyDescent="0.25">
      <c r="B1132" t="s">
        <v>137</v>
      </c>
      <c r="C1132" t="s">
        <v>364</v>
      </c>
      <c r="D1132" t="s">
        <v>267</v>
      </c>
      <c r="E1132" t="s">
        <v>197</v>
      </c>
      <c r="F1132" s="3"/>
      <c r="G1132" s="3">
        <v>9321.4</v>
      </c>
      <c r="H1132" s="3"/>
      <c r="I1132" s="3"/>
      <c r="J1132" s="3">
        <v>9321.4</v>
      </c>
    </row>
    <row r="1133" spans="2:10" x14ac:dyDescent="0.25">
      <c r="B1133" t="s">
        <v>137</v>
      </c>
      <c r="C1133" t="s">
        <v>364</v>
      </c>
      <c r="D1133" t="s">
        <v>267</v>
      </c>
      <c r="E1133" t="s">
        <v>198</v>
      </c>
      <c r="F1133" s="3"/>
      <c r="G1133" s="3">
        <v>9321.4</v>
      </c>
      <c r="H1133" s="3"/>
      <c r="I1133" s="3"/>
      <c r="J1133" s="3">
        <v>9321.4</v>
      </c>
    </row>
    <row r="1134" spans="2:10" x14ac:dyDescent="0.25">
      <c r="B1134" t="s">
        <v>137</v>
      </c>
      <c r="C1134" t="s">
        <v>364</v>
      </c>
      <c r="D1134" t="s">
        <v>267</v>
      </c>
      <c r="E1134" t="s">
        <v>199</v>
      </c>
      <c r="F1134" s="3"/>
      <c r="G1134" s="3">
        <v>9321.4</v>
      </c>
      <c r="H1134" s="3"/>
      <c r="I1134" s="3"/>
      <c r="J1134" s="3">
        <v>9321.4</v>
      </c>
    </row>
    <row r="1135" spans="2:10" x14ac:dyDescent="0.25">
      <c r="B1135" t="s">
        <v>137</v>
      </c>
      <c r="C1135" t="s">
        <v>364</v>
      </c>
      <c r="D1135" t="s">
        <v>267</v>
      </c>
      <c r="E1135" t="s">
        <v>200</v>
      </c>
      <c r="F1135" s="3"/>
      <c r="G1135" s="3">
        <v>9321.4</v>
      </c>
      <c r="H1135" s="3"/>
      <c r="I1135" s="3"/>
      <c r="J1135" s="3">
        <v>9321.4</v>
      </c>
    </row>
    <row r="1136" spans="2:10" x14ac:dyDescent="0.25">
      <c r="B1136" t="s">
        <v>137</v>
      </c>
      <c r="C1136" t="s">
        <v>364</v>
      </c>
      <c r="D1136" t="s">
        <v>267</v>
      </c>
      <c r="E1136" t="s">
        <v>240</v>
      </c>
      <c r="F1136" s="3"/>
      <c r="G1136" s="3">
        <v>9321.4</v>
      </c>
      <c r="H1136" s="3"/>
      <c r="I1136" s="3"/>
      <c r="J1136" s="3">
        <v>9321.4</v>
      </c>
    </row>
    <row r="1137" spans="2:10" x14ac:dyDescent="0.25">
      <c r="B1137" t="s">
        <v>137</v>
      </c>
      <c r="C1137" t="s">
        <v>364</v>
      </c>
      <c r="D1137" t="s">
        <v>267</v>
      </c>
      <c r="E1137" t="s">
        <v>301</v>
      </c>
      <c r="F1137" s="3"/>
      <c r="G1137" s="3">
        <v>9321.4</v>
      </c>
      <c r="H1137" s="3"/>
      <c r="I1137" s="3"/>
      <c r="J1137" s="3">
        <v>9321.4</v>
      </c>
    </row>
    <row r="1138" spans="2:10" x14ac:dyDescent="0.25">
      <c r="B1138" t="s">
        <v>137</v>
      </c>
      <c r="C1138" t="s">
        <v>364</v>
      </c>
      <c r="D1138" t="s">
        <v>267</v>
      </c>
      <c r="E1138" t="s">
        <v>302</v>
      </c>
      <c r="F1138" s="3"/>
      <c r="G1138" s="3">
        <v>9321.4</v>
      </c>
      <c r="H1138" s="3"/>
      <c r="I1138" s="3"/>
      <c r="J1138" s="3">
        <v>9321.4</v>
      </c>
    </row>
    <row r="1139" spans="2:10" x14ac:dyDescent="0.25">
      <c r="B1139" t="s">
        <v>137</v>
      </c>
      <c r="C1139" t="s">
        <v>364</v>
      </c>
      <c r="D1139" t="s">
        <v>267</v>
      </c>
      <c r="E1139" t="s">
        <v>303</v>
      </c>
      <c r="F1139" s="3"/>
      <c r="G1139" s="3">
        <v>9321.4</v>
      </c>
      <c r="H1139" s="3"/>
      <c r="I1139" s="3"/>
      <c r="J1139" s="3">
        <v>9321.4</v>
      </c>
    </row>
    <row r="1140" spans="2:10" x14ac:dyDescent="0.25">
      <c r="B1140" t="s">
        <v>137</v>
      </c>
      <c r="C1140" t="s">
        <v>364</v>
      </c>
      <c r="D1140" t="s">
        <v>267</v>
      </c>
      <c r="E1140" t="s">
        <v>304</v>
      </c>
      <c r="F1140" s="3"/>
      <c r="G1140" s="3">
        <v>9321.4</v>
      </c>
      <c r="H1140" s="3"/>
      <c r="I1140" s="3"/>
      <c r="J1140" s="3">
        <v>9321.4</v>
      </c>
    </row>
    <row r="1141" spans="2:10" x14ac:dyDescent="0.25">
      <c r="B1141" t="s">
        <v>137</v>
      </c>
      <c r="C1141" t="s">
        <v>364</v>
      </c>
      <c r="D1141" t="s">
        <v>267</v>
      </c>
      <c r="E1141" t="s">
        <v>305</v>
      </c>
      <c r="F1141" s="3"/>
      <c r="G1141" s="3">
        <v>9321.4</v>
      </c>
      <c r="H1141" s="3"/>
      <c r="I1141" s="3"/>
      <c r="J1141" s="3">
        <v>9321.4</v>
      </c>
    </row>
    <row r="1142" spans="2:10" x14ac:dyDescent="0.25">
      <c r="B1142" t="s">
        <v>137</v>
      </c>
      <c r="C1142" t="s">
        <v>364</v>
      </c>
      <c r="D1142" t="s">
        <v>267</v>
      </c>
      <c r="E1142" t="s">
        <v>306</v>
      </c>
      <c r="F1142" s="3"/>
      <c r="G1142" s="3">
        <v>9321.4</v>
      </c>
      <c r="H1142" s="3"/>
      <c r="I1142" s="3"/>
      <c r="J1142" s="3">
        <v>9321.4</v>
      </c>
    </row>
    <row r="1143" spans="2:10" x14ac:dyDescent="0.25">
      <c r="B1143" t="s">
        <v>137</v>
      </c>
      <c r="C1143" t="s">
        <v>364</v>
      </c>
      <c r="D1143" t="s">
        <v>267</v>
      </c>
      <c r="E1143" t="s">
        <v>307</v>
      </c>
      <c r="F1143" s="3"/>
      <c r="G1143" s="3">
        <v>9321.4</v>
      </c>
      <c r="H1143" s="3"/>
      <c r="I1143" s="3"/>
      <c r="J1143" s="3">
        <v>9321.4</v>
      </c>
    </row>
    <row r="1144" spans="2:10" x14ac:dyDescent="0.25">
      <c r="B1144" t="s">
        <v>137</v>
      </c>
      <c r="C1144" t="s">
        <v>364</v>
      </c>
      <c r="D1144" t="s">
        <v>267</v>
      </c>
      <c r="E1144" t="s">
        <v>308</v>
      </c>
      <c r="F1144" s="3"/>
      <c r="G1144" s="3">
        <v>9321.4</v>
      </c>
      <c r="H1144" s="3"/>
      <c r="I1144" s="3"/>
      <c r="J1144" s="3">
        <v>9321.4</v>
      </c>
    </row>
    <row r="1145" spans="2:10" x14ac:dyDescent="0.25">
      <c r="B1145" t="s">
        <v>137</v>
      </c>
      <c r="C1145" t="s">
        <v>364</v>
      </c>
      <c r="D1145" t="s">
        <v>267</v>
      </c>
      <c r="E1145" t="s">
        <v>309</v>
      </c>
      <c r="F1145" s="3"/>
      <c r="G1145" s="3">
        <v>9321.4</v>
      </c>
      <c r="H1145" s="3"/>
      <c r="I1145" s="3"/>
      <c r="J1145" s="3">
        <v>9321.4</v>
      </c>
    </row>
    <row r="1146" spans="2:10" x14ac:dyDescent="0.25">
      <c r="B1146" t="s">
        <v>137</v>
      </c>
      <c r="C1146" t="s">
        <v>364</v>
      </c>
      <c r="D1146" t="s">
        <v>267</v>
      </c>
      <c r="E1146" t="s">
        <v>310</v>
      </c>
      <c r="F1146" s="3"/>
      <c r="G1146" s="3">
        <v>9321.4</v>
      </c>
      <c r="H1146" s="3"/>
      <c r="I1146" s="3"/>
      <c r="J1146" s="3">
        <v>9321.4</v>
      </c>
    </row>
    <row r="1147" spans="2:10" x14ac:dyDescent="0.25">
      <c r="B1147" t="s">
        <v>137</v>
      </c>
      <c r="C1147" t="s">
        <v>364</v>
      </c>
      <c r="D1147" t="s">
        <v>267</v>
      </c>
      <c r="E1147" t="s">
        <v>311</v>
      </c>
      <c r="F1147" s="3"/>
      <c r="G1147" s="3">
        <v>9321.4</v>
      </c>
      <c r="H1147" s="3"/>
      <c r="I1147" s="3"/>
      <c r="J1147" s="3">
        <v>9321.4</v>
      </c>
    </row>
    <row r="1148" spans="2:10" x14ac:dyDescent="0.25">
      <c r="B1148" t="s">
        <v>137</v>
      </c>
      <c r="C1148" t="s">
        <v>364</v>
      </c>
      <c r="D1148" t="s">
        <v>267</v>
      </c>
      <c r="E1148" t="s">
        <v>312</v>
      </c>
      <c r="F1148" s="3"/>
      <c r="G1148" s="3">
        <v>9321.4</v>
      </c>
      <c r="H1148" s="3"/>
      <c r="I1148" s="3"/>
      <c r="J1148" s="3">
        <v>9321.4</v>
      </c>
    </row>
    <row r="1149" spans="2:10" x14ac:dyDescent="0.25">
      <c r="B1149" t="s">
        <v>137</v>
      </c>
      <c r="C1149" t="s">
        <v>364</v>
      </c>
      <c r="D1149" t="s">
        <v>265</v>
      </c>
      <c r="E1149" t="s">
        <v>46</v>
      </c>
      <c r="F1149" s="3"/>
      <c r="G1149" s="3">
        <v>786.5</v>
      </c>
      <c r="H1149" s="3"/>
      <c r="I1149" s="3"/>
      <c r="J1149" s="3">
        <v>786.5</v>
      </c>
    </row>
    <row r="1150" spans="2:10" x14ac:dyDescent="0.25">
      <c r="B1150" t="s">
        <v>137</v>
      </c>
      <c r="C1150" t="s">
        <v>364</v>
      </c>
      <c r="D1150" t="s">
        <v>265</v>
      </c>
      <c r="E1150" t="s">
        <v>47</v>
      </c>
      <c r="F1150" s="3"/>
      <c r="G1150" s="3">
        <v>786.5</v>
      </c>
      <c r="H1150" s="3"/>
      <c r="I1150" s="3"/>
      <c r="J1150" s="3">
        <v>786.5</v>
      </c>
    </row>
    <row r="1151" spans="2:10" x14ac:dyDescent="0.25">
      <c r="B1151" t="s">
        <v>137</v>
      </c>
      <c r="C1151" t="s">
        <v>364</v>
      </c>
      <c r="D1151" t="s">
        <v>265</v>
      </c>
      <c r="E1151" t="s">
        <v>48</v>
      </c>
      <c r="F1151" s="3"/>
      <c r="G1151" s="3">
        <v>786.5</v>
      </c>
      <c r="H1151" s="3"/>
      <c r="I1151" s="3"/>
      <c r="J1151" s="3">
        <v>786.5</v>
      </c>
    </row>
    <row r="1152" spans="2:10" x14ac:dyDescent="0.25">
      <c r="B1152" t="s">
        <v>137</v>
      </c>
      <c r="C1152" t="s">
        <v>364</v>
      </c>
      <c r="D1152" t="s">
        <v>265</v>
      </c>
      <c r="E1152" t="s">
        <v>49</v>
      </c>
      <c r="F1152" s="3"/>
      <c r="G1152" s="3">
        <v>786.5</v>
      </c>
      <c r="H1152" s="3"/>
      <c r="I1152" s="3"/>
      <c r="J1152" s="3">
        <v>786.5</v>
      </c>
    </row>
    <row r="1153" spans="2:10" x14ac:dyDescent="0.25">
      <c r="B1153" t="s">
        <v>137</v>
      </c>
      <c r="C1153" t="s">
        <v>364</v>
      </c>
      <c r="D1153" t="s">
        <v>265</v>
      </c>
      <c r="E1153" t="s">
        <v>50</v>
      </c>
      <c r="F1153" s="3"/>
      <c r="G1153" s="3">
        <v>786.5</v>
      </c>
      <c r="H1153" s="3"/>
      <c r="I1153" s="3"/>
      <c r="J1153" s="3">
        <v>786.5</v>
      </c>
    </row>
    <row r="1154" spans="2:10" x14ac:dyDescent="0.25">
      <c r="B1154" t="s">
        <v>137</v>
      </c>
      <c r="C1154" t="s">
        <v>364</v>
      </c>
      <c r="D1154" t="s">
        <v>265</v>
      </c>
      <c r="E1154" t="s">
        <v>51</v>
      </c>
      <c r="F1154" s="3"/>
      <c r="G1154" s="3">
        <v>786.5</v>
      </c>
      <c r="H1154" s="3"/>
      <c r="I1154" s="3"/>
      <c r="J1154" s="3">
        <v>786.5</v>
      </c>
    </row>
    <row r="1155" spans="2:10" x14ac:dyDescent="0.25">
      <c r="B1155" t="s">
        <v>137</v>
      </c>
      <c r="C1155" t="s">
        <v>364</v>
      </c>
      <c r="D1155" t="s">
        <v>265</v>
      </c>
      <c r="E1155" t="s">
        <v>196</v>
      </c>
      <c r="F1155" s="3"/>
      <c r="G1155" s="3">
        <v>786.5</v>
      </c>
      <c r="H1155" s="3"/>
      <c r="I1155" s="3"/>
      <c r="J1155" s="3">
        <v>786.5</v>
      </c>
    </row>
    <row r="1156" spans="2:10" x14ac:dyDescent="0.25">
      <c r="B1156" t="s">
        <v>137</v>
      </c>
      <c r="C1156" t="s">
        <v>364</v>
      </c>
      <c r="D1156" t="s">
        <v>265</v>
      </c>
      <c r="E1156" t="s">
        <v>197</v>
      </c>
      <c r="F1156" s="3"/>
      <c r="G1156" s="3">
        <v>786.5</v>
      </c>
      <c r="H1156" s="3"/>
      <c r="I1156" s="3"/>
      <c r="J1156" s="3">
        <v>786.5</v>
      </c>
    </row>
    <row r="1157" spans="2:10" x14ac:dyDescent="0.25">
      <c r="B1157" t="s">
        <v>137</v>
      </c>
      <c r="C1157" t="s">
        <v>364</v>
      </c>
      <c r="D1157" t="s">
        <v>265</v>
      </c>
      <c r="E1157" t="s">
        <v>198</v>
      </c>
      <c r="F1157" s="3"/>
      <c r="G1157" s="3">
        <v>786.5</v>
      </c>
      <c r="H1157" s="3"/>
      <c r="I1157" s="3"/>
      <c r="J1157" s="3">
        <v>786.5</v>
      </c>
    </row>
    <row r="1158" spans="2:10" x14ac:dyDescent="0.25">
      <c r="B1158" t="s">
        <v>137</v>
      </c>
      <c r="C1158" t="s">
        <v>364</v>
      </c>
      <c r="D1158" t="s">
        <v>265</v>
      </c>
      <c r="E1158" t="s">
        <v>199</v>
      </c>
      <c r="F1158" s="3"/>
      <c r="G1158" s="3">
        <v>786.5</v>
      </c>
      <c r="H1158" s="3"/>
      <c r="I1158" s="3"/>
      <c r="J1158" s="3">
        <v>786.5</v>
      </c>
    </row>
    <row r="1159" spans="2:10" x14ac:dyDescent="0.25">
      <c r="B1159" t="s">
        <v>137</v>
      </c>
      <c r="C1159" t="s">
        <v>364</v>
      </c>
      <c r="D1159" t="s">
        <v>265</v>
      </c>
      <c r="E1159" t="s">
        <v>200</v>
      </c>
      <c r="F1159" s="3"/>
      <c r="G1159" s="3">
        <v>786.5</v>
      </c>
      <c r="H1159" s="3"/>
      <c r="I1159" s="3"/>
      <c r="J1159" s="3">
        <v>786.5</v>
      </c>
    </row>
    <row r="1160" spans="2:10" x14ac:dyDescent="0.25">
      <c r="B1160" t="s">
        <v>137</v>
      </c>
      <c r="C1160" t="s">
        <v>364</v>
      </c>
      <c r="D1160" t="s">
        <v>265</v>
      </c>
      <c r="E1160" t="s">
        <v>240</v>
      </c>
      <c r="F1160" s="3"/>
      <c r="G1160" s="3">
        <v>786.5</v>
      </c>
      <c r="H1160" s="3"/>
      <c r="I1160" s="3"/>
      <c r="J1160" s="3">
        <v>786.5</v>
      </c>
    </row>
    <row r="1161" spans="2:10" x14ac:dyDescent="0.25">
      <c r="B1161" t="s">
        <v>137</v>
      </c>
      <c r="C1161" t="s">
        <v>364</v>
      </c>
      <c r="D1161" t="s">
        <v>265</v>
      </c>
      <c r="E1161" t="s">
        <v>301</v>
      </c>
      <c r="F1161" s="3"/>
      <c r="G1161" s="3">
        <v>786.5</v>
      </c>
      <c r="H1161" s="3"/>
      <c r="I1161" s="3"/>
      <c r="J1161" s="3">
        <v>786.5</v>
      </c>
    </row>
    <row r="1162" spans="2:10" x14ac:dyDescent="0.25">
      <c r="B1162" t="s">
        <v>137</v>
      </c>
      <c r="C1162" t="s">
        <v>364</v>
      </c>
      <c r="D1162" t="s">
        <v>265</v>
      </c>
      <c r="E1162" t="s">
        <v>302</v>
      </c>
      <c r="F1162" s="3"/>
      <c r="G1162" s="3">
        <v>786.5</v>
      </c>
      <c r="H1162" s="3"/>
      <c r="I1162" s="3"/>
      <c r="J1162" s="3">
        <v>786.5</v>
      </c>
    </row>
    <row r="1163" spans="2:10" x14ac:dyDescent="0.25">
      <c r="B1163" t="s">
        <v>137</v>
      </c>
      <c r="C1163" t="s">
        <v>364</v>
      </c>
      <c r="D1163" t="s">
        <v>265</v>
      </c>
      <c r="E1163" t="s">
        <v>303</v>
      </c>
      <c r="F1163" s="3"/>
      <c r="G1163" s="3">
        <v>786.5</v>
      </c>
      <c r="H1163" s="3"/>
      <c r="I1163" s="3"/>
      <c r="J1163" s="3">
        <v>786.5</v>
      </c>
    </row>
    <row r="1164" spans="2:10" x14ac:dyDescent="0.25">
      <c r="B1164" t="s">
        <v>137</v>
      </c>
      <c r="C1164" t="s">
        <v>364</v>
      </c>
      <c r="D1164" t="s">
        <v>265</v>
      </c>
      <c r="E1164" t="s">
        <v>304</v>
      </c>
      <c r="F1164" s="3"/>
      <c r="G1164" s="3">
        <v>786.5</v>
      </c>
      <c r="H1164" s="3"/>
      <c r="I1164" s="3"/>
      <c r="J1164" s="3">
        <v>786.5</v>
      </c>
    </row>
    <row r="1165" spans="2:10" x14ac:dyDescent="0.25">
      <c r="B1165" t="s">
        <v>137</v>
      </c>
      <c r="C1165" t="s">
        <v>364</v>
      </c>
      <c r="D1165" t="s">
        <v>265</v>
      </c>
      <c r="E1165" t="s">
        <v>305</v>
      </c>
      <c r="F1165" s="3"/>
      <c r="G1165" s="3">
        <v>786.5</v>
      </c>
      <c r="H1165" s="3"/>
      <c r="I1165" s="3"/>
      <c r="J1165" s="3">
        <v>786.5</v>
      </c>
    </row>
    <row r="1166" spans="2:10" x14ac:dyDescent="0.25">
      <c r="B1166" t="s">
        <v>137</v>
      </c>
      <c r="C1166" t="s">
        <v>364</v>
      </c>
      <c r="D1166" t="s">
        <v>265</v>
      </c>
      <c r="E1166" t="s">
        <v>306</v>
      </c>
      <c r="F1166" s="3"/>
      <c r="G1166" s="3">
        <v>786.5</v>
      </c>
      <c r="H1166" s="3"/>
      <c r="I1166" s="3"/>
      <c r="J1166" s="3">
        <v>786.5</v>
      </c>
    </row>
    <row r="1167" spans="2:10" x14ac:dyDescent="0.25">
      <c r="B1167" t="s">
        <v>137</v>
      </c>
      <c r="C1167" t="s">
        <v>364</v>
      </c>
      <c r="D1167" t="s">
        <v>265</v>
      </c>
      <c r="E1167" t="s">
        <v>307</v>
      </c>
      <c r="F1167" s="3"/>
      <c r="G1167" s="3">
        <v>786.5</v>
      </c>
      <c r="H1167" s="3"/>
      <c r="I1167" s="3"/>
      <c r="J1167" s="3">
        <v>786.5</v>
      </c>
    </row>
    <row r="1168" spans="2:10" x14ac:dyDescent="0.25">
      <c r="B1168" t="s">
        <v>137</v>
      </c>
      <c r="C1168" t="s">
        <v>364</v>
      </c>
      <c r="D1168" t="s">
        <v>265</v>
      </c>
      <c r="E1168" t="s">
        <v>308</v>
      </c>
      <c r="F1168" s="3"/>
      <c r="G1168" s="3">
        <v>786.5</v>
      </c>
      <c r="H1168" s="3"/>
      <c r="I1168" s="3"/>
      <c r="J1168" s="3">
        <v>786.5</v>
      </c>
    </row>
    <row r="1169" spans="2:10" x14ac:dyDescent="0.25">
      <c r="B1169" t="s">
        <v>137</v>
      </c>
      <c r="C1169" t="s">
        <v>364</v>
      </c>
      <c r="D1169" t="s">
        <v>265</v>
      </c>
      <c r="E1169" t="s">
        <v>309</v>
      </c>
      <c r="F1169" s="3"/>
      <c r="G1169" s="3">
        <v>786.5</v>
      </c>
      <c r="H1169" s="3"/>
      <c r="I1169" s="3"/>
      <c r="J1169" s="3">
        <v>786.5</v>
      </c>
    </row>
    <row r="1170" spans="2:10" x14ac:dyDescent="0.25">
      <c r="B1170" t="s">
        <v>137</v>
      </c>
      <c r="C1170" t="s">
        <v>364</v>
      </c>
      <c r="D1170" t="s">
        <v>265</v>
      </c>
      <c r="E1170" t="s">
        <v>310</v>
      </c>
      <c r="F1170" s="3"/>
      <c r="G1170" s="3">
        <v>786.5</v>
      </c>
      <c r="H1170" s="3"/>
      <c r="I1170" s="3"/>
      <c r="J1170" s="3">
        <v>786.5</v>
      </c>
    </row>
    <row r="1171" spans="2:10" x14ac:dyDescent="0.25">
      <c r="B1171" t="s">
        <v>137</v>
      </c>
      <c r="C1171" t="s">
        <v>364</v>
      </c>
      <c r="D1171" t="s">
        <v>265</v>
      </c>
      <c r="E1171" t="s">
        <v>311</v>
      </c>
      <c r="F1171" s="3"/>
      <c r="G1171" s="3">
        <v>786.5</v>
      </c>
      <c r="H1171" s="3"/>
      <c r="I1171" s="3"/>
      <c r="J1171" s="3">
        <v>786.5</v>
      </c>
    </row>
    <row r="1172" spans="2:10" x14ac:dyDescent="0.25">
      <c r="B1172" t="s">
        <v>137</v>
      </c>
      <c r="C1172" t="s">
        <v>364</v>
      </c>
      <c r="D1172" t="s">
        <v>265</v>
      </c>
      <c r="E1172" t="s">
        <v>312</v>
      </c>
      <c r="F1172" s="3"/>
      <c r="G1172" s="3">
        <v>786.5</v>
      </c>
      <c r="H1172" s="3"/>
      <c r="I1172" s="3"/>
      <c r="J1172" s="3">
        <v>786.5</v>
      </c>
    </row>
    <row r="1173" spans="2:10" x14ac:dyDescent="0.25">
      <c r="B1173" t="s">
        <v>137</v>
      </c>
      <c r="C1173" t="s">
        <v>364</v>
      </c>
      <c r="D1173" t="s">
        <v>266</v>
      </c>
      <c r="E1173" t="s">
        <v>46</v>
      </c>
      <c r="F1173" s="3"/>
      <c r="G1173" s="3">
        <v>3286.7</v>
      </c>
      <c r="H1173" s="3"/>
      <c r="I1173" s="3"/>
      <c r="J1173" s="3">
        <v>3286.7</v>
      </c>
    </row>
    <row r="1174" spans="2:10" x14ac:dyDescent="0.25">
      <c r="B1174" t="s">
        <v>137</v>
      </c>
      <c r="C1174" t="s">
        <v>364</v>
      </c>
      <c r="D1174" t="s">
        <v>266</v>
      </c>
      <c r="E1174" t="s">
        <v>47</v>
      </c>
      <c r="F1174" s="3"/>
      <c r="G1174" s="3">
        <v>3286.7</v>
      </c>
      <c r="H1174" s="3"/>
      <c r="I1174" s="3"/>
      <c r="J1174" s="3">
        <v>3286.7</v>
      </c>
    </row>
    <row r="1175" spans="2:10" x14ac:dyDescent="0.25">
      <c r="B1175" t="s">
        <v>137</v>
      </c>
      <c r="C1175" t="s">
        <v>364</v>
      </c>
      <c r="D1175" t="s">
        <v>266</v>
      </c>
      <c r="E1175" t="s">
        <v>48</v>
      </c>
      <c r="F1175" s="3"/>
      <c r="G1175" s="3">
        <v>3286.7</v>
      </c>
      <c r="H1175" s="3"/>
      <c r="I1175" s="3"/>
      <c r="J1175" s="3">
        <v>3286.7</v>
      </c>
    </row>
    <row r="1176" spans="2:10" x14ac:dyDescent="0.25">
      <c r="B1176" t="s">
        <v>137</v>
      </c>
      <c r="C1176" t="s">
        <v>364</v>
      </c>
      <c r="D1176" t="s">
        <v>266</v>
      </c>
      <c r="E1176" t="s">
        <v>49</v>
      </c>
      <c r="F1176" s="3"/>
      <c r="G1176" s="3">
        <v>3286.7</v>
      </c>
      <c r="H1176" s="3"/>
      <c r="I1176" s="3"/>
      <c r="J1176" s="3">
        <v>3286.7</v>
      </c>
    </row>
    <row r="1177" spans="2:10" x14ac:dyDescent="0.25">
      <c r="B1177" t="s">
        <v>137</v>
      </c>
      <c r="C1177" t="s">
        <v>364</v>
      </c>
      <c r="D1177" t="s">
        <v>266</v>
      </c>
      <c r="E1177" t="s">
        <v>50</v>
      </c>
      <c r="F1177" s="3"/>
      <c r="G1177" s="3">
        <v>3286.7</v>
      </c>
      <c r="H1177" s="3"/>
      <c r="I1177" s="3"/>
      <c r="J1177" s="3">
        <v>3286.7</v>
      </c>
    </row>
    <row r="1178" spans="2:10" x14ac:dyDescent="0.25">
      <c r="B1178" t="s">
        <v>137</v>
      </c>
      <c r="C1178" t="s">
        <v>364</v>
      </c>
      <c r="D1178" t="s">
        <v>266</v>
      </c>
      <c r="E1178" t="s">
        <v>51</v>
      </c>
      <c r="F1178" s="3"/>
      <c r="G1178" s="3">
        <v>3286.7</v>
      </c>
      <c r="H1178" s="3"/>
      <c r="I1178" s="3"/>
      <c r="J1178" s="3">
        <v>3286.7</v>
      </c>
    </row>
    <row r="1179" spans="2:10" x14ac:dyDescent="0.25">
      <c r="B1179" t="s">
        <v>137</v>
      </c>
      <c r="C1179" t="s">
        <v>364</v>
      </c>
      <c r="D1179" t="s">
        <v>266</v>
      </c>
      <c r="E1179" t="s">
        <v>196</v>
      </c>
      <c r="F1179" s="3"/>
      <c r="G1179" s="3">
        <v>3286.7</v>
      </c>
      <c r="H1179" s="3"/>
      <c r="I1179" s="3"/>
      <c r="J1179" s="3">
        <v>3286.7</v>
      </c>
    </row>
    <row r="1180" spans="2:10" x14ac:dyDescent="0.25">
      <c r="B1180" t="s">
        <v>137</v>
      </c>
      <c r="C1180" t="s">
        <v>364</v>
      </c>
      <c r="D1180" t="s">
        <v>266</v>
      </c>
      <c r="E1180" t="s">
        <v>197</v>
      </c>
      <c r="F1180" s="3"/>
      <c r="G1180" s="3">
        <v>3286.7</v>
      </c>
      <c r="H1180" s="3"/>
      <c r="I1180" s="3"/>
      <c r="J1180" s="3">
        <v>3286.7</v>
      </c>
    </row>
    <row r="1181" spans="2:10" x14ac:dyDescent="0.25">
      <c r="B1181" t="s">
        <v>137</v>
      </c>
      <c r="C1181" t="s">
        <v>364</v>
      </c>
      <c r="D1181" t="s">
        <v>266</v>
      </c>
      <c r="E1181" t="s">
        <v>198</v>
      </c>
      <c r="F1181" s="3"/>
      <c r="G1181" s="3">
        <v>3286.7</v>
      </c>
      <c r="H1181" s="3"/>
      <c r="I1181" s="3"/>
      <c r="J1181" s="3">
        <v>3286.7</v>
      </c>
    </row>
    <row r="1182" spans="2:10" x14ac:dyDescent="0.25">
      <c r="B1182" t="s">
        <v>137</v>
      </c>
      <c r="C1182" t="s">
        <v>364</v>
      </c>
      <c r="D1182" t="s">
        <v>266</v>
      </c>
      <c r="E1182" t="s">
        <v>199</v>
      </c>
      <c r="F1182" s="3"/>
      <c r="G1182" s="3">
        <v>3286.7</v>
      </c>
      <c r="H1182" s="3"/>
      <c r="I1182" s="3"/>
      <c r="J1182" s="3">
        <v>3286.7</v>
      </c>
    </row>
    <row r="1183" spans="2:10" x14ac:dyDescent="0.25">
      <c r="B1183" t="s">
        <v>137</v>
      </c>
      <c r="C1183" t="s">
        <v>364</v>
      </c>
      <c r="D1183" t="s">
        <v>266</v>
      </c>
      <c r="E1183" t="s">
        <v>200</v>
      </c>
      <c r="F1183" s="3"/>
      <c r="G1183" s="3">
        <v>3286.7</v>
      </c>
      <c r="H1183" s="3"/>
      <c r="I1183" s="3"/>
      <c r="J1183" s="3">
        <v>3286.7</v>
      </c>
    </row>
    <row r="1184" spans="2:10" x14ac:dyDescent="0.25">
      <c r="B1184" t="s">
        <v>137</v>
      </c>
      <c r="C1184" t="s">
        <v>364</v>
      </c>
      <c r="D1184" t="s">
        <v>266</v>
      </c>
      <c r="E1184" t="s">
        <v>240</v>
      </c>
      <c r="F1184" s="3"/>
      <c r="G1184" s="3">
        <v>3286.7</v>
      </c>
      <c r="H1184" s="3"/>
      <c r="I1184" s="3"/>
      <c r="J1184" s="3">
        <v>3286.7</v>
      </c>
    </row>
    <row r="1185" spans="2:10" x14ac:dyDescent="0.25">
      <c r="B1185" t="s">
        <v>137</v>
      </c>
      <c r="C1185" t="s">
        <v>364</v>
      </c>
      <c r="D1185" t="s">
        <v>266</v>
      </c>
      <c r="E1185" t="s">
        <v>301</v>
      </c>
      <c r="F1185" s="3"/>
      <c r="G1185" s="3">
        <v>3286.7</v>
      </c>
      <c r="H1185" s="3"/>
      <c r="I1185" s="3"/>
      <c r="J1185" s="3">
        <v>3286.7</v>
      </c>
    </row>
    <row r="1186" spans="2:10" x14ac:dyDescent="0.25">
      <c r="B1186" t="s">
        <v>137</v>
      </c>
      <c r="C1186" t="s">
        <v>364</v>
      </c>
      <c r="D1186" t="s">
        <v>266</v>
      </c>
      <c r="E1186" t="s">
        <v>302</v>
      </c>
      <c r="F1186" s="3"/>
      <c r="G1186" s="3">
        <v>3286.7</v>
      </c>
      <c r="H1186" s="3"/>
      <c r="I1186" s="3"/>
      <c r="J1186" s="3">
        <v>3286.7</v>
      </c>
    </row>
    <row r="1187" spans="2:10" x14ac:dyDescent="0.25">
      <c r="B1187" t="s">
        <v>137</v>
      </c>
      <c r="C1187" t="s">
        <v>364</v>
      </c>
      <c r="D1187" t="s">
        <v>266</v>
      </c>
      <c r="E1187" t="s">
        <v>303</v>
      </c>
      <c r="F1187" s="3"/>
      <c r="G1187" s="3">
        <v>3286.7</v>
      </c>
      <c r="H1187" s="3"/>
      <c r="I1187" s="3"/>
      <c r="J1187" s="3">
        <v>3286.7</v>
      </c>
    </row>
    <row r="1188" spans="2:10" x14ac:dyDescent="0.25">
      <c r="B1188" t="s">
        <v>137</v>
      </c>
      <c r="C1188" t="s">
        <v>364</v>
      </c>
      <c r="D1188" t="s">
        <v>266</v>
      </c>
      <c r="E1188" t="s">
        <v>304</v>
      </c>
      <c r="F1188" s="3"/>
      <c r="G1188" s="3">
        <v>3286.7</v>
      </c>
      <c r="H1188" s="3"/>
      <c r="I1188" s="3"/>
      <c r="J1188" s="3">
        <v>3286.7</v>
      </c>
    </row>
    <row r="1189" spans="2:10" x14ac:dyDescent="0.25">
      <c r="B1189" t="s">
        <v>137</v>
      </c>
      <c r="C1189" t="s">
        <v>364</v>
      </c>
      <c r="D1189" t="s">
        <v>266</v>
      </c>
      <c r="E1189" t="s">
        <v>305</v>
      </c>
      <c r="F1189" s="3"/>
      <c r="G1189" s="3">
        <v>3286.7</v>
      </c>
      <c r="H1189" s="3"/>
      <c r="I1189" s="3"/>
      <c r="J1189" s="3">
        <v>3286.7</v>
      </c>
    </row>
    <row r="1190" spans="2:10" x14ac:dyDescent="0.25">
      <c r="B1190" t="s">
        <v>137</v>
      </c>
      <c r="C1190" t="s">
        <v>364</v>
      </c>
      <c r="D1190" t="s">
        <v>266</v>
      </c>
      <c r="E1190" t="s">
        <v>306</v>
      </c>
      <c r="F1190" s="3"/>
      <c r="G1190" s="3">
        <v>3286.7</v>
      </c>
      <c r="H1190" s="3"/>
      <c r="I1190" s="3"/>
      <c r="J1190" s="3">
        <v>3286.7</v>
      </c>
    </row>
    <row r="1191" spans="2:10" x14ac:dyDescent="0.25">
      <c r="B1191" t="s">
        <v>137</v>
      </c>
      <c r="C1191" t="s">
        <v>364</v>
      </c>
      <c r="D1191" t="s">
        <v>266</v>
      </c>
      <c r="E1191" t="s">
        <v>307</v>
      </c>
      <c r="F1191" s="3"/>
      <c r="G1191" s="3">
        <v>3286.7</v>
      </c>
      <c r="H1191" s="3"/>
      <c r="I1191" s="3"/>
      <c r="J1191" s="3">
        <v>3286.7</v>
      </c>
    </row>
    <row r="1192" spans="2:10" x14ac:dyDescent="0.25">
      <c r="B1192" t="s">
        <v>137</v>
      </c>
      <c r="C1192" t="s">
        <v>364</v>
      </c>
      <c r="D1192" t="s">
        <v>266</v>
      </c>
      <c r="E1192" t="s">
        <v>308</v>
      </c>
      <c r="F1192" s="3"/>
      <c r="G1192" s="3">
        <v>3286.7</v>
      </c>
      <c r="H1192" s="3"/>
      <c r="I1192" s="3"/>
      <c r="J1192" s="3">
        <v>3286.7</v>
      </c>
    </row>
    <row r="1193" spans="2:10" x14ac:dyDescent="0.25">
      <c r="B1193" t="s">
        <v>137</v>
      </c>
      <c r="C1193" t="s">
        <v>364</v>
      </c>
      <c r="D1193" t="s">
        <v>266</v>
      </c>
      <c r="E1193" t="s">
        <v>309</v>
      </c>
      <c r="F1193" s="3"/>
      <c r="G1193" s="3">
        <v>3286.7</v>
      </c>
      <c r="H1193" s="3"/>
      <c r="I1193" s="3"/>
      <c r="J1193" s="3">
        <v>3286.7</v>
      </c>
    </row>
    <row r="1194" spans="2:10" x14ac:dyDescent="0.25">
      <c r="B1194" t="s">
        <v>137</v>
      </c>
      <c r="C1194" t="s">
        <v>364</v>
      </c>
      <c r="D1194" t="s">
        <v>266</v>
      </c>
      <c r="E1194" t="s">
        <v>310</v>
      </c>
      <c r="F1194" s="3"/>
      <c r="G1194" s="3">
        <v>3286.7</v>
      </c>
      <c r="H1194" s="3"/>
      <c r="I1194" s="3"/>
      <c r="J1194" s="3">
        <v>3286.7</v>
      </c>
    </row>
    <row r="1195" spans="2:10" x14ac:dyDescent="0.25">
      <c r="B1195" t="s">
        <v>137</v>
      </c>
      <c r="C1195" t="s">
        <v>364</v>
      </c>
      <c r="D1195" t="s">
        <v>266</v>
      </c>
      <c r="E1195" t="s">
        <v>311</v>
      </c>
      <c r="F1195" s="3"/>
      <c r="G1195" s="3">
        <v>3286.7</v>
      </c>
      <c r="H1195" s="3"/>
      <c r="I1195" s="3"/>
      <c r="J1195" s="3">
        <v>3286.7</v>
      </c>
    </row>
    <row r="1196" spans="2:10" x14ac:dyDescent="0.25">
      <c r="B1196" t="s">
        <v>137</v>
      </c>
      <c r="C1196" t="s">
        <v>364</v>
      </c>
      <c r="D1196" t="s">
        <v>266</v>
      </c>
      <c r="E1196" t="s">
        <v>312</v>
      </c>
      <c r="F1196" s="3"/>
      <c r="G1196" s="3">
        <v>3286.7</v>
      </c>
      <c r="H1196" s="3"/>
      <c r="I1196" s="3"/>
      <c r="J1196" s="3">
        <v>3286.7</v>
      </c>
    </row>
    <row r="1197" spans="2:10" x14ac:dyDescent="0.25">
      <c r="B1197" t="s">
        <v>137</v>
      </c>
      <c r="C1197" t="s">
        <v>364</v>
      </c>
      <c r="D1197" t="s">
        <v>383</v>
      </c>
      <c r="E1197" t="s">
        <v>46</v>
      </c>
      <c r="F1197" s="3"/>
      <c r="G1197" s="3"/>
      <c r="H1197" s="3">
        <v>41.870898129975004</v>
      </c>
      <c r="I1197" s="3">
        <v>3.5591167074711301</v>
      </c>
      <c r="J1197" s="3">
        <v>45.430014837446137</v>
      </c>
    </row>
    <row r="1198" spans="2:10" x14ac:dyDescent="0.25">
      <c r="B1198" t="s">
        <v>137</v>
      </c>
      <c r="C1198" t="s">
        <v>364</v>
      </c>
      <c r="D1198" t="s">
        <v>383</v>
      </c>
      <c r="E1198" t="s">
        <v>47</v>
      </c>
      <c r="F1198" s="3"/>
      <c r="G1198" s="3"/>
      <c r="H1198" s="3">
        <v>42.119235744697498</v>
      </c>
      <c r="I1198" s="3">
        <v>3.5591167074711301</v>
      </c>
      <c r="J1198" s="3">
        <v>45.678352452168625</v>
      </c>
    </row>
    <row r="1199" spans="2:10" x14ac:dyDescent="0.25">
      <c r="B1199" t="s">
        <v>137</v>
      </c>
      <c r="C1199" t="s">
        <v>364</v>
      </c>
      <c r="D1199" t="s">
        <v>383</v>
      </c>
      <c r="E1199" t="s">
        <v>48</v>
      </c>
      <c r="F1199" s="3"/>
      <c r="G1199" s="3"/>
      <c r="H1199" s="3">
        <v>42.248407226526602</v>
      </c>
      <c r="I1199" s="3">
        <v>3.5591167074711301</v>
      </c>
      <c r="J1199" s="3">
        <v>45.807523933997729</v>
      </c>
    </row>
    <row r="1200" spans="2:10" x14ac:dyDescent="0.25">
      <c r="B1200" t="s">
        <v>137</v>
      </c>
      <c r="C1200" t="s">
        <v>364</v>
      </c>
      <c r="D1200" t="s">
        <v>383</v>
      </c>
      <c r="E1200" t="s">
        <v>49</v>
      </c>
      <c r="F1200" s="3"/>
      <c r="G1200" s="3"/>
      <c r="H1200" s="3">
        <v>42.519413333333205</v>
      </c>
      <c r="I1200" s="3">
        <v>3.5591167074711301</v>
      </c>
      <c r="J1200" s="3">
        <v>46.078530040804338</v>
      </c>
    </row>
    <row r="1201" spans="2:10" x14ac:dyDescent="0.25">
      <c r="B1201" t="s">
        <v>137</v>
      </c>
      <c r="C1201" t="s">
        <v>364</v>
      </c>
      <c r="D1201" t="s">
        <v>383</v>
      </c>
      <c r="E1201" t="s">
        <v>50</v>
      </c>
      <c r="F1201" s="3"/>
      <c r="G1201" s="3"/>
      <c r="H1201" s="3">
        <v>42.519413333333205</v>
      </c>
      <c r="I1201" s="3">
        <v>3.5591167074711301</v>
      </c>
      <c r="J1201" s="3">
        <v>46.078530040804338</v>
      </c>
    </row>
    <row r="1202" spans="2:10" x14ac:dyDescent="0.25">
      <c r="B1202" t="s">
        <v>137</v>
      </c>
      <c r="C1202" t="s">
        <v>364</v>
      </c>
      <c r="D1202" t="s">
        <v>383</v>
      </c>
      <c r="E1202" t="s">
        <v>51</v>
      </c>
      <c r="F1202" s="3"/>
      <c r="G1202" s="3"/>
      <c r="H1202" s="3">
        <v>42.519413333333205</v>
      </c>
      <c r="I1202" s="3">
        <v>3.5591167074711301</v>
      </c>
      <c r="J1202" s="3">
        <v>46.078530040804338</v>
      </c>
    </row>
    <row r="1203" spans="2:10" x14ac:dyDescent="0.25">
      <c r="B1203" t="s">
        <v>137</v>
      </c>
      <c r="C1203" t="s">
        <v>364</v>
      </c>
      <c r="D1203" t="s">
        <v>383</v>
      </c>
      <c r="E1203" t="s">
        <v>196</v>
      </c>
      <c r="F1203" s="3"/>
      <c r="G1203" s="3"/>
      <c r="H1203" s="3">
        <v>42.519413333333205</v>
      </c>
      <c r="I1203" s="3">
        <v>3.5591167074711301</v>
      </c>
      <c r="J1203" s="3">
        <v>46.078530040804338</v>
      </c>
    </row>
    <row r="1204" spans="2:10" x14ac:dyDescent="0.25">
      <c r="B1204" t="s">
        <v>137</v>
      </c>
      <c r="C1204" t="s">
        <v>364</v>
      </c>
      <c r="D1204" t="s">
        <v>383</v>
      </c>
      <c r="E1204" t="s">
        <v>197</v>
      </c>
      <c r="F1204" s="3"/>
      <c r="G1204" s="3"/>
      <c r="H1204" s="3">
        <v>53.612746666666403</v>
      </c>
      <c r="I1204" s="3">
        <v>3.5591167074711301</v>
      </c>
      <c r="J1204" s="3">
        <v>57.17186337413753</v>
      </c>
    </row>
    <row r="1205" spans="2:10" x14ac:dyDescent="0.25">
      <c r="B1205" t="s">
        <v>137</v>
      </c>
      <c r="C1205" t="s">
        <v>364</v>
      </c>
      <c r="D1205" t="s">
        <v>383</v>
      </c>
      <c r="E1205" t="s">
        <v>198</v>
      </c>
      <c r="F1205" s="3"/>
      <c r="G1205" s="3"/>
      <c r="H1205" s="3">
        <v>53.612746666666403</v>
      </c>
      <c r="I1205" s="3">
        <v>3.5591167074711301</v>
      </c>
      <c r="J1205" s="3">
        <v>57.17186337413753</v>
      </c>
    </row>
    <row r="1206" spans="2:10" x14ac:dyDescent="0.25">
      <c r="B1206" t="s">
        <v>137</v>
      </c>
      <c r="C1206" t="s">
        <v>364</v>
      </c>
      <c r="D1206" t="s">
        <v>383</v>
      </c>
      <c r="E1206" t="s">
        <v>199</v>
      </c>
      <c r="F1206" s="3"/>
      <c r="G1206" s="3"/>
      <c r="H1206" s="3">
        <v>46.892497861978207</v>
      </c>
      <c r="I1206" s="3">
        <v>3.5591167074711301</v>
      </c>
      <c r="J1206" s="3">
        <v>50.451614569449333</v>
      </c>
    </row>
    <row r="1207" spans="2:10" x14ac:dyDescent="0.25">
      <c r="B1207" t="s">
        <v>137</v>
      </c>
      <c r="C1207" t="s">
        <v>364</v>
      </c>
      <c r="D1207" t="s">
        <v>383</v>
      </c>
      <c r="E1207" t="s">
        <v>200</v>
      </c>
      <c r="F1207" s="3"/>
      <c r="G1207" s="3"/>
      <c r="H1207" s="3">
        <v>42.519413333333205</v>
      </c>
      <c r="I1207" s="3">
        <v>3.5591167074711301</v>
      </c>
      <c r="J1207" s="3">
        <v>46.078530040804338</v>
      </c>
    </row>
    <row r="1208" spans="2:10" x14ac:dyDescent="0.25">
      <c r="B1208" t="s">
        <v>137</v>
      </c>
      <c r="C1208" t="s">
        <v>364</v>
      </c>
      <c r="D1208" t="s">
        <v>383</v>
      </c>
      <c r="E1208" t="s">
        <v>240</v>
      </c>
      <c r="F1208" s="3"/>
      <c r="G1208" s="3"/>
      <c r="H1208" s="3">
        <v>42.519413333333205</v>
      </c>
      <c r="I1208" s="3">
        <v>3.5591167074711301</v>
      </c>
      <c r="J1208" s="3">
        <v>46.078530040804338</v>
      </c>
    </row>
    <row r="1209" spans="2:10" x14ac:dyDescent="0.25">
      <c r="B1209" t="s">
        <v>137</v>
      </c>
      <c r="C1209" t="s">
        <v>364</v>
      </c>
      <c r="D1209" t="s">
        <v>383</v>
      </c>
      <c r="E1209" t="s">
        <v>301</v>
      </c>
      <c r="F1209" s="3"/>
      <c r="G1209" s="3"/>
      <c r="H1209" s="3">
        <v>42.519413333333205</v>
      </c>
      <c r="I1209" s="3">
        <v>3.5591167074711301</v>
      </c>
      <c r="J1209" s="3">
        <v>46.078530040804338</v>
      </c>
    </row>
    <row r="1210" spans="2:10" x14ac:dyDescent="0.25">
      <c r="B1210" t="s">
        <v>137</v>
      </c>
      <c r="C1210" t="s">
        <v>364</v>
      </c>
      <c r="D1210" t="s">
        <v>383</v>
      </c>
      <c r="E1210" t="s">
        <v>302</v>
      </c>
      <c r="F1210" s="3"/>
      <c r="G1210" s="3"/>
      <c r="H1210" s="3">
        <v>42.519413333333205</v>
      </c>
      <c r="I1210" s="3">
        <v>3.5591167074711301</v>
      </c>
      <c r="J1210" s="3">
        <v>46.078530040804338</v>
      </c>
    </row>
    <row r="1211" spans="2:10" x14ac:dyDescent="0.25">
      <c r="B1211" t="s">
        <v>137</v>
      </c>
      <c r="C1211" t="s">
        <v>364</v>
      </c>
      <c r="D1211" t="s">
        <v>383</v>
      </c>
      <c r="E1211" t="s">
        <v>303</v>
      </c>
      <c r="F1211" s="3"/>
      <c r="G1211" s="3"/>
      <c r="H1211" s="3">
        <v>42.519413333333205</v>
      </c>
      <c r="I1211" s="3">
        <v>3.5591167074711301</v>
      </c>
      <c r="J1211" s="3">
        <v>46.078530040804338</v>
      </c>
    </row>
    <row r="1212" spans="2:10" x14ac:dyDescent="0.25">
      <c r="B1212" t="s">
        <v>137</v>
      </c>
      <c r="C1212" t="s">
        <v>364</v>
      </c>
      <c r="D1212" t="s">
        <v>383</v>
      </c>
      <c r="E1212" t="s">
        <v>304</v>
      </c>
      <c r="F1212" s="3"/>
      <c r="G1212" s="3"/>
      <c r="H1212" s="3">
        <v>42.519413333333205</v>
      </c>
      <c r="I1212" s="3">
        <v>3.5591167074711301</v>
      </c>
      <c r="J1212" s="3">
        <v>46.078530040804338</v>
      </c>
    </row>
    <row r="1213" spans="2:10" x14ac:dyDescent="0.25">
      <c r="B1213" t="s">
        <v>137</v>
      </c>
      <c r="C1213" t="s">
        <v>364</v>
      </c>
      <c r="D1213" t="s">
        <v>383</v>
      </c>
      <c r="E1213" t="s">
        <v>305</v>
      </c>
      <c r="F1213" s="3"/>
      <c r="G1213" s="3"/>
      <c r="H1213" s="3">
        <v>42.519413333333205</v>
      </c>
      <c r="I1213" s="3">
        <v>3.5591167074711301</v>
      </c>
      <c r="J1213" s="3">
        <v>46.078530040804338</v>
      </c>
    </row>
    <row r="1214" spans="2:10" x14ac:dyDescent="0.25">
      <c r="B1214" t="s">
        <v>137</v>
      </c>
      <c r="C1214" t="s">
        <v>364</v>
      </c>
      <c r="D1214" t="s">
        <v>383</v>
      </c>
      <c r="E1214" t="s">
        <v>306</v>
      </c>
      <c r="F1214" s="3"/>
      <c r="G1214" s="3"/>
      <c r="H1214" s="3">
        <v>42.519413333333205</v>
      </c>
      <c r="I1214" s="3">
        <v>3.5591167074711301</v>
      </c>
      <c r="J1214" s="3">
        <v>46.078530040804338</v>
      </c>
    </row>
    <row r="1215" spans="2:10" x14ac:dyDescent="0.25">
      <c r="B1215" t="s">
        <v>137</v>
      </c>
      <c r="C1215" t="s">
        <v>364</v>
      </c>
      <c r="D1215" t="s">
        <v>383</v>
      </c>
      <c r="E1215" t="s">
        <v>307</v>
      </c>
      <c r="F1215" s="3"/>
      <c r="G1215" s="3"/>
      <c r="H1215" s="3">
        <v>42.519413333333205</v>
      </c>
      <c r="I1215" s="3">
        <v>3.5591167074711301</v>
      </c>
      <c r="J1215" s="3">
        <v>46.078530040804338</v>
      </c>
    </row>
    <row r="1216" spans="2:10" x14ac:dyDescent="0.25">
      <c r="B1216" t="s">
        <v>137</v>
      </c>
      <c r="C1216" t="s">
        <v>364</v>
      </c>
      <c r="D1216" t="s">
        <v>383</v>
      </c>
      <c r="E1216" t="s">
        <v>308</v>
      </c>
      <c r="F1216" s="3"/>
      <c r="G1216" s="3"/>
      <c r="H1216" s="3">
        <v>42.519413333333205</v>
      </c>
      <c r="I1216" s="3">
        <v>3.5591167074711301</v>
      </c>
      <c r="J1216" s="3">
        <v>46.078530040804338</v>
      </c>
    </row>
    <row r="1217" spans="2:10" x14ac:dyDescent="0.25">
      <c r="B1217" t="s">
        <v>137</v>
      </c>
      <c r="C1217" t="s">
        <v>364</v>
      </c>
      <c r="D1217" t="s">
        <v>383</v>
      </c>
      <c r="E1217" t="s">
        <v>309</v>
      </c>
      <c r="F1217" s="3"/>
      <c r="G1217" s="3"/>
      <c r="H1217" s="3">
        <v>42.519413333333205</v>
      </c>
      <c r="I1217" s="3">
        <v>3.5591167074711301</v>
      </c>
      <c r="J1217" s="3">
        <v>46.078530040804338</v>
      </c>
    </row>
    <row r="1218" spans="2:10" x14ac:dyDescent="0.25">
      <c r="B1218" t="s">
        <v>137</v>
      </c>
      <c r="C1218" t="s">
        <v>364</v>
      </c>
      <c r="D1218" t="s">
        <v>383</v>
      </c>
      <c r="E1218" t="s">
        <v>310</v>
      </c>
      <c r="F1218" s="3"/>
      <c r="G1218" s="3"/>
      <c r="H1218" s="3">
        <v>42.519413333333205</v>
      </c>
      <c r="I1218" s="3">
        <v>3.5591167074711301</v>
      </c>
      <c r="J1218" s="3">
        <v>46.078530040804338</v>
      </c>
    </row>
    <row r="1219" spans="2:10" x14ac:dyDescent="0.25">
      <c r="B1219" t="s">
        <v>137</v>
      </c>
      <c r="C1219" t="s">
        <v>364</v>
      </c>
      <c r="D1219" t="s">
        <v>383</v>
      </c>
      <c r="E1219" t="s">
        <v>311</v>
      </c>
      <c r="F1219" s="3"/>
      <c r="G1219" s="3"/>
      <c r="H1219" s="3">
        <v>42.519413333333205</v>
      </c>
      <c r="I1219" s="3">
        <v>3.5591167074711301</v>
      </c>
      <c r="J1219" s="3">
        <v>46.078530040804338</v>
      </c>
    </row>
    <row r="1220" spans="2:10" x14ac:dyDescent="0.25">
      <c r="B1220" t="s">
        <v>137</v>
      </c>
      <c r="C1220" t="s">
        <v>364</v>
      </c>
      <c r="D1220" t="s">
        <v>383</v>
      </c>
      <c r="E1220" t="s">
        <v>312</v>
      </c>
      <c r="F1220" s="3"/>
      <c r="G1220" s="3"/>
      <c r="H1220" s="3">
        <v>42.469688618002202</v>
      </c>
      <c r="I1220" s="3">
        <v>3.5591167074711301</v>
      </c>
      <c r="J1220" s="3">
        <v>46.028805325473328</v>
      </c>
    </row>
    <row r="1221" spans="2:10" x14ac:dyDescent="0.25">
      <c r="B1221" t="s">
        <v>137</v>
      </c>
      <c r="C1221" t="s">
        <v>364</v>
      </c>
      <c r="D1221" t="s">
        <v>384</v>
      </c>
      <c r="E1221" t="s">
        <v>50</v>
      </c>
      <c r="F1221" s="3"/>
      <c r="G1221" s="3"/>
      <c r="H1221" s="3"/>
      <c r="I1221" s="3">
        <v>1.6466971309791101</v>
      </c>
      <c r="J1221" s="3">
        <v>1.6466971309791101</v>
      </c>
    </row>
    <row r="1222" spans="2:10" x14ac:dyDescent="0.25">
      <c r="B1222" t="s">
        <v>137</v>
      </c>
      <c r="C1222" t="s">
        <v>364</v>
      </c>
      <c r="D1222" t="s">
        <v>384</v>
      </c>
      <c r="E1222" t="s">
        <v>51</v>
      </c>
      <c r="F1222" s="3"/>
      <c r="G1222" s="3"/>
      <c r="H1222" s="3"/>
      <c r="I1222" s="3">
        <v>18.605334037660839</v>
      </c>
      <c r="J1222" s="3">
        <v>18.605334037660839</v>
      </c>
    </row>
    <row r="1223" spans="2:10" x14ac:dyDescent="0.25">
      <c r="B1223" t="s">
        <v>137</v>
      </c>
      <c r="C1223" t="s">
        <v>364</v>
      </c>
      <c r="D1223" t="s">
        <v>384</v>
      </c>
      <c r="E1223" t="s">
        <v>196</v>
      </c>
      <c r="F1223" s="3"/>
      <c r="G1223" s="3"/>
      <c r="H1223" s="3"/>
      <c r="I1223" s="3">
        <v>18.605334037660839</v>
      </c>
      <c r="J1223" s="3">
        <v>18.605334037660839</v>
      </c>
    </row>
    <row r="1224" spans="2:10" x14ac:dyDescent="0.25">
      <c r="B1224" t="s">
        <v>137</v>
      </c>
      <c r="C1224" t="s">
        <v>364</v>
      </c>
      <c r="D1224" t="s">
        <v>384</v>
      </c>
      <c r="E1224" t="s">
        <v>197</v>
      </c>
      <c r="F1224" s="3"/>
      <c r="G1224" s="3"/>
      <c r="H1224" s="3"/>
      <c r="I1224" s="3">
        <v>18.605334037660839</v>
      </c>
      <c r="J1224" s="3">
        <v>18.605334037660839</v>
      </c>
    </row>
    <row r="1225" spans="2:10" x14ac:dyDescent="0.25">
      <c r="B1225" t="s">
        <v>137</v>
      </c>
      <c r="C1225" t="s">
        <v>364</v>
      </c>
      <c r="D1225" t="s">
        <v>384</v>
      </c>
      <c r="E1225" t="s">
        <v>198</v>
      </c>
      <c r="F1225" s="3"/>
      <c r="G1225" s="3"/>
      <c r="H1225" s="3"/>
      <c r="I1225" s="3">
        <v>18.605334037660839</v>
      </c>
      <c r="J1225" s="3">
        <v>18.605334037660839</v>
      </c>
    </row>
    <row r="1226" spans="2:10" x14ac:dyDescent="0.25">
      <c r="B1226" t="s">
        <v>137</v>
      </c>
      <c r="C1226" t="s">
        <v>364</v>
      </c>
      <c r="D1226" t="s">
        <v>384</v>
      </c>
      <c r="E1226" t="s">
        <v>199</v>
      </c>
      <c r="F1226" s="3"/>
      <c r="G1226" s="3"/>
      <c r="H1226" s="3"/>
      <c r="I1226" s="3">
        <v>18.605334037660839</v>
      </c>
      <c r="J1226" s="3">
        <v>18.605334037660839</v>
      </c>
    </row>
    <row r="1227" spans="2:10" x14ac:dyDescent="0.25">
      <c r="B1227" t="s">
        <v>137</v>
      </c>
      <c r="C1227" t="s">
        <v>364</v>
      </c>
      <c r="D1227" t="s">
        <v>384</v>
      </c>
      <c r="E1227" t="s">
        <v>200</v>
      </c>
      <c r="F1227" s="3"/>
      <c r="G1227" s="3"/>
      <c r="H1227" s="3"/>
      <c r="I1227" s="3">
        <v>18.605334037660839</v>
      </c>
      <c r="J1227" s="3">
        <v>18.605334037660839</v>
      </c>
    </row>
    <row r="1228" spans="2:10" x14ac:dyDescent="0.25">
      <c r="B1228" t="s">
        <v>137</v>
      </c>
      <c r="C1228" t="s">
        <v>364</v>
      </c>
      <c r="D1228" t="s">
        <v>384</v>
      </c>
      <c r="E1228" t="s">
        <v>240</v>
      </c>
      <c r="F1228" s="3"/>
      <c r="G1228" s="3"/>
      <c r="H1228" s="3"/>
      <c r="I1228" s="3">
        <v>18.605334037660839</v>
      </c>
      <c r="J1228" s="3">
        <v>18.605334037660839</v>
      </c>
    </row>
    <row r="1229" spans="2:10" x14ac:dyDescent="0.25">
      <c r="B1229" t="s">
        <v>137</v>
      </c>
      <c r="C1229" t="s">
        <v>364</v>
      </c>
      <c r="D1229" t="s">
        <v>384</v>
      </c>
      <c r="E1229" t="s">
        <v>301</v>
      </c>
      <c r="F1229" s="3"/>
      <c r="G1229" s="3"/>
      <c r="H1229" s="3"/>
      <c r="I1229" s="3">
        <v>18.605334037660839</v>
      </c>
      <c r="J1229" s="3">
        <v>18.605334037660839</v>
      </c>
    </row>
    <row r="1230" spans="2:10" x14ac:dyDescent="0.25">
      <c r="B1230" t="s">
        <v>137</v>
      </c>
      <c r="C1230" t="s">
        <v>364</v>
      </c>
      <c r="D1230" t="s">
        <v>384</v>
      </c>
      <c r="E1230" t="s">
        <v>302</v>
      </c>
      <c r="F1230" s="3"/>
      <c r="G1230" s="3"/>
      <c r="H1230" s="3"/>
      <c r="I1230" s="3">
        <v>18.605334037660839</v>
      </c>
      <c r="J1230" s="3">
        <v>18.605334037660839</v>
      </c>
    </row>
    <row r="1231" spans="2:10" x14ac:dyDescent="0.25">
      <c r="B1231" t="s">
        <v>137</v>
      </c>
      <c r="C1231" t="s">
        <v>364</v>
      </c>
      <c r="D1231" t="s">
        <v>384</v>
      </c>
      <c r="E1231" t="s">
        <v>303</v>
      </c>
      <c r="F1231" s="3"/>
      <c r="G1231" s="3"/>
      <c r="H1231" s="3"/>
      <c r="I1231" s="3">
        <v>18.605334037660839</v>
      </c>
      <c r="J1231" s="3">
        <v>18.605334037660839</v>
      </c>
    </row>
    <row r="1232" spans="2:10" x14ac:dyDescent="0.25">
      <c r="B1232" t="s">
        <v>137</v>
      </c>
      <c r="C1232" t="s">
        <v>364</v>
      </c>
      <c r="D1232" t="s">
        <v>384</v>
      </c>
      <c r="E1232" t="s">
        <v>304</v>
      </c>
      <c r="F1232" s="3"/>
      <c r="G1232" s="3"/>
      <c r="H1232" s="3"/>
      <c r="I1232" s="3">
        <v>18.605334037660839</v>
      </c>
      <c r="J1232" s="3">
        <v>18.605334037660839</v>
      </c>
    </row>
    <row r="1233" spans="2:10" x14ac:dyDescent="0.25">
      <c r="B1233" t="s">
        <v>137</v>
      </c>
      <c r="C1233" t="s">
        <v>364</v>
      </c>
      <c r="D1233" t="s">
        <v>384</v>
      </c>
      <c r="E1233" t="s">
        <v>305</v>
      </c>
      <c r="F1233" s="3"/>
      <c r="G1233" s="3"/>
      <c r="H1233" s="3"/>
      <c r="I1233" s="3">
        <v>18.605334037660839</v>
      </c>
      <c r="J1233" s="3">
        <v>18.605334037660839</v>
      </c>
    </row>
    <row r="1234" spans="2:10" x14ac:dyDescent="0.25">
      <c r="B1234" t="s">
        <v>137</v>
      </c>
      <c r="C1234" t="s">
        <v>364</v>
      </c>
      <c r="D1234" t="s">
        <v>384</v>
      </c>
      <c r="E1234" t="s">
        <v>306</v>
      </c>
      <c r="F1234" s="3"/>
      <c r="G1234" s="3"/>
      <c r="H1234" s="3"/>
      <c r="I1234" s="3">
        <v>18.605334037660839</v>
      </c>
      <c r="J1234" s="3">
        <v>18.605334037660839</v>
      </c>
    </row>
    <row r="1235" spans="2:10" x14ac:dyDescent="0.25">
      <c r="B1235" t="s">
        <v>137</v>
      </c>
      <c r="C1235" t="s">
        <v>364</v>
      </c>
      <c r="D1235" t="s">
        <v>384</v>
      </c>
      <c r="E1235" t="s">
        <v>307</v>
      </c>
      <c r="F1235" s="3"/>
      <c r="G1235" s="3"/>
      <c r="H1235" s="3"/>
      <c r="I1235" s="3">
        <v>18.605334037660839</v>
      </c>
      <c r="J1235" s="3">
        <v>18.605334037660839</v>
      </c>
    </row>
    <row r="1236" spans="2:10" x14ac:dyDescent="0.25">
      <c r="B1236" t="s">
        <v>137</v>
      </c>
      <c r="C1236" t="s">
        <v>364</v>
      </c>
      <c r="D1236" t="s">
        <v>384</v>
      </c>
      <c r="E1236" t="s">
        <v>308</v>
      </c>
      <c r="F1236" s="3"/>
      <c r="G1236" s="3"/>
      <c r="H1236" s="3"/>
      <c r="I1236" s="3">
        <v>18.605334037660839</v>
      </c>
      <c r="J1236" s="3">
        <v>18.605334037660839</v>
      </c>
    </row>
    <row r="1237" spans="2:10" x14ac:dyDescent="0.25">
      <c r="B1237" t="s">
        <v>137</v>
      </c>
      <c r="C1237" t="s">
        <v>364</v>
      </c>
      <c r="D1237" t="s">
        <v>384</v>
      </c>
      <c r="E1237" t="s">
        <v>309</v>
      </c>
      <c r="F1237" s="3"/>
      <c r="G1237" s="3"/>
      <c r="H1237" s="3"/>
      <c r="I1237" s="3">
        <v>18.605334037660839</v>
      </c>
      <c r="J1237" s="3">
        <v>18.605334037660839</v>
      </c>
    </row>
    <row r="1238" spans="2:10" x14ac:dyDescent="0.25">
      <c r="B1238" t="s">
        <v>137</v>
      </c>
      <c r="C1238" t="s">
        <v>364</v>
      </c>
      <c r="D1238" t="s">
        <v>384</v>
      </c>
      <c r="E1238" t="s">
        <v>310</v>
      </c>
      <c r="F1238" s="3"/>
      <c r="G1238" s="3"/>
      <c r="H1238" s="3"/>
      <c r="I1238" s="3">
        <v>18.285707676771167</v>
      </c>
      <c r="J1238" s="3">
        <v>18.285707676771167</v>
      </c>
    </row>
    <row r="1239" spans="2:10" x14ac:dyDescent="0.25">
      <c r="B1239" t="s">
        <v>137</v>
      </c>
      <c r="C1239" t="s">
        <v>364</v>
      </c>
      <c r="D1239" t="s">
        <v>384</v>
      </c>
      <c r="E1239" t="s">
        <v>311</v>
      </c>
      <c r="F1239" s="3"/>
      <c r="G1239" s="3"/>
      <c r="H1239" s="3"/>
      <c r="I1239" s="3">
        <v>12.89183396251336</v>
      </c>
      <c r="J1239" s="3">
        <v>12.89183396251336</v>
      </c>
    </row>
    <row r="1240" spans="2:10" x14ac:dyDescent="0.25">
      <c r="B1240" t="s">
        <v>137</v>
      </c>
      <c r="C1240" t="s">
        <v>364</v>
      </c>
      <c r="D1240" t="s">
        <v>384</v>
      </c>
      <c r="E1240" t="s">
        <v>312</v>
      </c>
      <c r="F1240" s="3"/>
      <c r="G1240" s="3"/>
      <c r="H1240" s="3"/>
      <c r="I1240" s="3">
        <v>0.63997493435360198</v>
      </c>
      <c r="J1240" s="3">
        <v>0.63997493435360198</v>
      </c>
    </row>
    <row r="1241" spans="2:10" x14ac:dyDescent="0.25">
      <c r="B1241" t="s">
        <v>137</v>
      </c>
      <c r="C1241" t="s">
        <v>364</v>
      </c>
      <c r="D1241" t="s">
        <v>385</v>
      </c>
      <c r="E1241" t="s">
        <v>46</v>
      </c>
      <c r="F1241" s="3"/>
      <c r="G1241" s="3"/>
      <c r="H1241" s="3"/>
      <c r="I1241" s="3">
        <v>102.1035026269703</v>
      </c>
      <c r="J1241" s="3">
        <v>102.1035026269703</v>
      </c>
    </row>
    <row r="1242" spans="2:10" x14ac:dyDescent="0.25">
      <c r="B1242" t="s">
        <v>137</v>
      </c>
      <c r="C1242" t="s">
        <v>364</v>
      </c>
      <c r="D1242" t="s">
        <v>385</v>
      </c>
      <c r="E1242" t="s">
        <v>47</v>
      </c>
      <c r="F1242" s="3"/>
      <c r="G1242" s="3"/>
      <c r="H1242" s="3"/>
      <c r="I1242" s="3">
        <v>102.1035026269703</v>
      </c>
      <c r="J1242" s="3">
        <v>102.1035026269703</v>
      </c>
    </row>
    <row r="1243" spans="2:10" x14ac:dyDescent="0.25">
      <c r="B1243" t="s">
        <v>137</v>
      </c>
      <c r="C1243" t="s">
        <v>364</v>
      </c>
      <c r="D1243" t="s">
        <v>385</v>
      </c>
      <c r="E1243" t="s">
        <v>48</v>
      </c>
      <c r="F1243" s="3"/>
      <c r="G1243" s="3"/>
      <c r="H1243" s="3"/>
      <c r="I1243" s="3">
        <v>102.1035026269703</v>
      </c>
      <c r="J1243" s="3">
        <v>102.1035026269703</v>
      </c>
    </row>
    <row r="1244" spans="2:10" x14ac:dyDescent="0.25">
      <c r="B1244" t="s">
        <v>137</v>
      </c>
      <c r="C1244" t="s">
        <v>364</v>
      </c>
      <c r="D1244" t="s">
        <v>385</v>
      </c>
      <c r="E1244" t="s">
        <v>49</v>
      </c>
      <c r="F1244" s="3"/>
      <c r="G1244" s="3"/>
      <c r="H1244" s="3"/>
      <c r="I1244" s="3">
        <v>102.1035026269703</v>
      </c>
      <c r="J1244" s="3">
        <v>102.1035026269703</v>
      </c>
    </row>
    <row r="1245" spans="2:10" x14ac:dyDescent="0.25">
      <c r="B1245" t="s">
        <v>137</v>
      </c>
      <c r="C1245" t="s">
        <v>364</v>
      </c>
      <c r="D1245" t="s">
        <v>385</v>
      </c>
      <c r="E1245" t="s">
        <v>50</v>
      </c>
      <c r="F1245" s="3"/>
      <c r="G1245" s="3"/>
      <c r="H1245" s="3"/>
      <c r="I1245" s="3">
        <v>102.1035026269703</v>
      </c>
      <c r="J1245" s="3">
        <v>102.1035026269703</v>
      </c>
    </row>
    <row r="1246" spans="2:10" x14ac:dyDescent="0.25">
      <c r="B1246" t="s">
        <v>137</v>
      </c>
      <c r="C1246" t="s">
        <v>364</v>
      </c>
      <c r="D1246" t="s">
        <v>385</v>
      </c>
      <c r="E1246" t="s">
        <v>51</v>
      </c>
      <c r="F1246" s="3"/>
      <c r="G1246" s="3"/>
      <c r="H1246" s="3"/>
      <c r="I1246" s="3">
        <v>102.1035026269703</v>
      </c>
      <c r="J1246" s="3">
        <v>102.1035026269703</v>
      </c>
    </row>
    <row r="1247" spans="2:10" x14ac:dyDescent="0.25">
      <c r="B1247" t="s">
        <v>137</v>
      </c>
      <c r="C1247" t="s">
        <v>364</v>
      </c>
      <c r="D1247" t="s">
        <v>385</v>
      </c>
      <c r="E1247" t="s">
        <v>196</v>
      </c>
      <c r="F1247" s="3"/>
      <c r="G1247" s="3"/>
      <c r="H1247" s="3"/>
      <c r="I1247" s="3">
        <v>102.1035026269703</v>
      </c>
      <c r="J1247" s="3">
        <v>102.1035026269703</v>
      </c>
    </row>
    <row r="1248" spans="2:10" x14ac:dyDescent="0.25">
      <c r="B1248" t="s">
        <v>137</v>
      </c>
      <c r="C1248" t="s">
        <v>364</v>
      </c>
      <c r="D1248" t="s">
        <v>385</v>
      </c>
      <c r="E1248" t="s">
        <v>197</v>
      </c>
      <c r="F1248" s="3"/>
      <c r="G1248" s="3"/>
      <c r="H1248" s="3"/>
      <c r="I1248" s="3">
        <v>103.19891475987275</v>
      </c>
      <c r="J1248" s="3">
        <v>103.19891475987275</v>
      </c>
    </row>
    <row r="1249" spans="2:10" x14ac:dyDescent="0.25">
      <c r="B1249" t="s">
        <v>137</v>
      </c>
      <c r="C1249" t="s">
        <v>364</v>
      </c>
      <c r="D1249" t="s">
        <v>385</v>
      </c>
      <c r="E1249" t="s">
        <v>198</v>
      </c>
      <c r="F1249" s="3"/>
      <c r="G1249" s="3"/>
      <c r="H1249" s="3"/>
      <c r="I1249" s="3">
        <v>102.1035026269703</v>
      </c>
      <c r="J1249" s="3">
        <v>102.1035026269703</v>
      </c>
    </row>
    <row r="1250" spans="2:10" x14ac:dyDescent="0.25">
      <c r="B1250" t="s">
        <v>137</v>
      </c>
      <c r="C1250" t="s">
        <v>364</v>
      </c>
      <c r="D1250" t="s">
        <v>385</v>
      </c>
      <c r="E1250" t="s">
        <v>199</v>
      </c>
      <c r="F1250" s="3"/>
      <c r="G1250" s="3"/>
      <c r="H1250" s="3"/>
      <c r="I1250" s="3">
        <v>102.1035026269703</v>
      </c>
      <c r="J1250" s="3">
        <v>102.1035026269703</v>
      </c>
    </row>
    <row r="1251" spans="2:10" x14ac:dyDescent="0.25">
      <c r="B1251" t="s">
        <v>137</v>
      </c>
      <c r="C1251" t="s">
        <v>364</v>
      </c>
      <c r="D1251" t="s">
        <v>385</v>
      </c>
      <c r="E1251" t="s">
        <v>200</v>
      </c>
      <c r="F1251" s="3"/>
      <c r="G1251" s="3"/>
      <c r="H1251" s="3"/>
      <c r="I1251" s="3">
        <v>102.1035026269703</v>
      </c>
      <c r="J1251" s="3">
        <v>102.1035026269703</v>
      </c>
    </row>
    <row r="1252" spans="2:10" x14ac:dyDescent="0.25">
      <c r="B1252" t="s">
        <v>137</v>
      </c>
      <c r="C1252" t="s">
        <v>364</v>
      </c>
      <c r="D1252" t="s">
        <v>385</v>
      </c>
      <c r="E1252" t="s">
        <v>240</v>
      </c>
      <c r="F1252" s="3"/>
      <c r="G1252" s="3"/>
      <c r="H1252" s="3"/>
      <c r="I1252" s="3">
        <v>102.1035026269703</v>
      </c>
      <c r="J1252" s="3">
        <v>102.1035026269703</v>
      </c>
    </row>
    <row r="1253" spans="2:10" x14ac:dyDescent="0.25">
      <c r="B1253" t="s">
        <v>137</v>
      </c>
      <c r="C1253" t="s">
        <v>364</v>
      </c>
      <c r="D1253" t="s">
        <v>385</v>
      </c>
      <c r="E1253" t="s">
        <v>301</v>
      </c>
      <c r="F1253" s="3"/>
      <c r="G1253" s="3"/>
      <c r="H1253" s="3"/>
      <c r="I1253" s="3">
        <v>102.1035026269703</v>
      </c>
      <c r="J1253" s="3">
        <v>102.1035026269703</v>
      </c>
    </row>
    <row r="1254" spans="2:10" x14ac:dyDescent="0.25">
      <c r="B1254" t="s">
        <v>137</v>
      </c>
      <c r="C1254" t="s">
        <v>364</v>
      </c>
      <c r="D1254" t="s">
        <v>385</v>
      </c>
      <c r="E1254" t="s">
        <v>302</v>
      </c>
      <c r="F1254" s="3"/>
      <c r="G1254" s="3"/>
      <c r="H1254" s="3"/>
      <c r="I1254" s="3">
        <v>102.1035026269703</v>
      </c>
      <c r="J1254" s="3">
        <v>102.1035026269703</v>
      </c>
    </row>
    <row r="1255" spans="2:10" x14ac:dyDescent="0.25">
      <c r="B1255" t="s">
        <v>137</v>
      </c>
      <c r="C1255" t="s">
        <v>364</v>
      </c>
      <c r="D1255" t="s">
        <v>385</v>
      </c>
      <c r="E1255" t="s">
        <v>303</v>
      </c>
      <c r="F1255" s="3"/>
      <c r="G1255" s="3"/>
      <c r="H1255" s="3"/>
      <c r="I1255" s="3">
        <v>102.1035026269703</v>
      </c>
      <c r="J1255" s="3">
        <v>102.1035026269703</v>
      </c>
    </row>
    <row r="1256" spans="2:10" x14ac:dyDescent="0.25">
      <c r="B1256" t="s">
        <v>137</v>
      </c>
      <c r="C1256" t="s">
        <v>364</v>
      </c>
      <c r="D1256" t="s">
        <v>385</v>
      </c>
      <c r="E1256" t="s">
        <v>304</v>
      </c>
      <c r="F1256" s="3"/>
      <c r="G1256" s="3"/>
      <c r="H1256" s="3"/>
      <c r="I1256" s="3">
        <v>102.1035026269703</v>
      </c>
      <c r="J1256" s="3">
        <v>102.1035026269703</v>
      </c>
    </row>
    <row r="1257" spans="2:10" x14ac:dyDescent="0.25">
      <c r="B1257" t="s">
        <v>137</v>
      </c>
      <c r="C1257" t="s">
        <v>364</v>
      </c>
      <c r="D1257" t="s">
        <v>385</v>
      </c>
      <c r="E1257" t="s">
        <v>305</v>
      </c>
      <c r="F1257" s="3"/>
      <c r="G1257" s="3"/>
      <c r="H1257" s="3"/>
      <c r="I1257" s="3">
        <v>102.1035026269703</v>
      </c>
      <c r="J1257" s="3">
        <v>102.1035026269703</v>
      </c>
    </row>
    <row r="1258" spans="2:10" x14ac:dyDescent="0.25">
      <c r="B1258" t="s">
        <v>137</v>
      </c>
      <c r="C1258" t="s">
        <v>364</v>
      </c>
      <c r="D1258" t="s">
        <v>385</v>
      </c>
      <c r="E1258" t="s">
        <v>306</v>
      </c>
      <c r="F1258" s="3"/>
      <c r="G1258" s="3"/>
      <c r="H1258" s="3"/>
      <c r="I1258" s="3">
        <v>102.1035026269703</v>
      </c>
      <c r="J1258" s="3">
        <v>102.1035026269703</v>
      </c>
    </row>
    <row r="1259" spans="2:10" x14ac:dyDescent="0.25">
      <c r="B1259" t="s">
        <v>137</v>
      </c>
      <c r="C1259" t="s">
        <v>364</v>
      </c>
      <c r="D1259" t="s">
        <v>385</v>
      </c>
      <c r="E1259" t="s">
        <v>307</v>
      </c>
      <c r="F1259" s="3"/>
      <c r="G1259" s="3"/>
      <c r="H1259" s="3"/>
      <c r="I1259" s="3">
        <v>102.1035026269703</v>
      </c>
      <c r="J1259" s="3">
        <v>102.1035026269703</v>
      </c>
    </row>
    <row r="1260" spans="2:10" x14ac:dyDescent="0.25">
      <c r="B1260" t="s">
        <v>137</v>
      </c>
      <c r="C1260" t="s">
        <v>364</v>
      </c>
      <c r="D1260" t="s">
        <v>385</v>
      </c>
      <c r="E1260" t="s">
        <v>308</v>
      </c>
      <c r="F1260" s="3"/>
      <c r="G1260" s="3"/>
      <c r="H1260" s="3"/>
      <c r="I1260" s="3">
        <v>102.1035026269703</v>
      </c>
      <c r="J1260" s="3">
        <v>102.1035026269703</v>
      </c>
    </row>
    <row r="1261" spans="2:10" x14ac:dyDescent="0.25">
      <c r="B1261" t="s">
        <v>137</v>
      </c>
      <c r="C1261" t="s">
        <v>364</v>
      </c>
      <c r="D1261" t="s">
        <v>385</v>
      </c>
      <c r="E1261" t="s">
        <v>309</v>
      </c>
      <c r="F1261" s="3"/>
      <c r="G1261" s="3"/>
      <c r="H1261" s="3"/>
      <c r="I1261" s="3">
        <v>102.1035026269703</v>
      </c>
      <c r="J1261" s="3">
        <v>102.1035026269703</v>
      </c>
    </row>
    <row r="1262" spans="2:10" x14ac:dyDescent="0.25">
      <c r="B1262" t="s">
        <v>137</v>
      </c>
      <c r="C1262" t="s">
        <v>364</v>
      </c>
      <c r="D1262" t="s">
        <v>385</v>
      </c>
      <c r="E1262" t="s">
        <v>310</v>
      </c>
      <c r="F1262" s="3"/>
      <c r="G1262" s="3"/>
      <c r="H1262" s="3"/>
      <c r="I1262" s="3">
        <v>102.1035026269703</v>
      </c>
      <c r="J1262" s="3">
        <v>102.1035026269703</v>
      </c>
    </row>
    <row r="1263" spans="2:10" x14ac:dyDescent="0.25">
      <c r="B1263" t="s">
        <v>137</v>
      </c>
      <c r="C1263" t="s">
        <v>364</v>
      </c>
      <c r="D1263" t="s">
        <v>385</v>
      </c>
      <c r="E1263" t="s">
        <v>311</v>
      </c>
      <c r="F1263" s="3"/>
      <c r="G1263" s="3"/>
      <c r="H1263" s="3"/>
      <c r="I1263" s="3">
        <v>102.1035026269703</v>
      </c>
      <c r="J1263" s="3">
        <v>102.1035026269703</v>
      </c>
    </row>
    <row r="1264" spans="2:10" x14ac:dyDescent="0.25">
      <c r="B1264" t="s">
        <v>137</v>
      </c>
      <c r="C1264" t="s">
        <v>364</v>
      </c>
      <c r="D1264" t="s">
        <v>385</v>
      </c>
      <c r="E1264" t="s">
        <v>312</v>
      </c>
      <c r="F1264" s="3"/>
      <c r="G1264" s="3"/>
      <c r="H1264" s="3"/>
      <c r="I1264" s="3">
        <v>102.1035026269703</v>
      </c>
      <c r="J1264" s="3">
        <v>102.1035026269703</v>
      </c>
    </row>
    <row r="1265" spans="2:10" x14ac:dyDescent="0.25">
      <c r="B1265" t="s">
        <v>137</v>
      </c>
      <c r="C1265" t="s">
        <v>364</v>
      </c>
      <c r="D1265" t="s">
        <v>386</v>
      </c>
      <c r="E1265" t="s">
        <v>46</v>
      </c>
      <c r="F1265" s="3"/>
      <c r="G1265" s="3"/>
      <c r="H1265" s="3"/>
      <c r="I1265" s="3">
        <v>202.08497152324043</v>
      </c>
      <c r="J1265" s="3">
        <v>202.08497152324043</v>
      </c>
    </row>
    <row r="1266" spans="2:10" x14ac:dyDescent="0.25">
      <c r="B1266" t="s">
        <v>137</v>
      </c>
      <c r="C1266" t="s">
        <v>364</v>
      </c>
      <c r="D1266" t="s">
        <v>386</v>
      </c>
      <c r="E1266" t="s">
        <v>47</v>
      </c>
      <c r="F1266" s="3"/>
      <c r="G1266" s="3"/>
      <c r="H1266" s="3"/>
      <c r="I1266" s="3">
        <v>202.08497152324043</v>
      </c>
      <c r="J1266" s="3">
        <v>202.08497152324043</v>
      </c>
    </row>
    <row r="1267" spans="2:10" x14ac:dyDescent="0.25">
      <c r="B1267" t="s">
        <v>137</v>
      </c>
      <c r="C1267" t="s">
        <v>364</v>
      </c>
      <c r="D1267" t="s">
        <v>386</v>
      </c>
      <c r="E1267" t="s">
        <v>48</v>
      </c>
      <c r="F1267" s="3"/>
      <c r="G1267" s="3"/>
      <c r="H1267" s="3"/>
      <c r="I1267" s="3">
        <v>202.08497152324043</v>
      </c>
      <c r="J1267" s="3">
        <v>202.08497152324043</v>
      </c>
    </row>
    <row r="1268" spans="2:10" x14ac:dyDescent="0.25">
      <c r="B1268" t="s">
        <v>137</v>
      </c>
      <c r="C1268" t="s">
        <v>364</v>
      </c>
      <c r="D1268" t="s">
        <v>386</v>
      </c>
      <c r="E1268" t="s">
        <v>49</v>
      </c>
      <c r="F1268" s="3"/>
      <c r="G1268" s="3"/>
      <c r="H1268" s="3"/>
      <c r="I1268" s="3">
        <v>202.08497152324043</v>
      </c>
      <c r="J1268" s="3">
        <v>202.08497152324043</v>
      </c>
    </row>
    <row r="1269" spans="2:10" x14ac:dyDescent="0.25">
      <c r="B1269" t="s">
        <v>137</v>
      </c>
      <c r="C1269" t="s">
        <v>364</v>
      </c>
      <c r="D1269" t="s">
        <v>386</v>
      </c>
      <c r="E1269" t="s">
        <v>50</v>
      </c>
      <c r="F1269" s="3"/>
      <c r="G1269" s="3"/>
      <c r="H1269" s="3"/>
      <c r="I1269" s="3">
        <v>202.08497152324043</v>
      </c>
      <c r="J1269" s="3">
        <v>202.08497152324043</v>
      </c>
    </row>
    <row r="1270" spans="2:10" x14ac:dyDescent="0.25">
      <c r="B1270" t="s">
        <v>137</v>
      </c>
      <c r="C1270" t="s">
        <v>364</v>
      </c>
      <c r="D1270" t="s">
        <v>386</v>
      </c>
      <c r="E1270" t="s">
        <v>51</v>
      </c>
      <c r="F1270" s="3"/>
      <c r="G1270" s="3"/>
      <c r="H1270" s="3"/>
      <c r="I1270" s="3">
        <v>202.08497152324043</v>
      </c>
      <c r="J1270" s="3">
        <v>202.08497152324043</v>
      </c>
    </row>
    <row r="1271" spans="2:10" x14ac:dyDescent="0.25">
      <c r="B1271" t="s">
        <v>137</v>
      </c>
      <c r="C1271" t="s">
        <v>364</v>
      </c>
      <c r="D1271" t="s">
        <v>386</v>
      </c>
      <c r="E1271" t="s">
        <v>196</v>
      </c>
      <c r="F1271" s="3"/>
      <c r="G1271" s="3"/>
      <c r="H1271" s="3"/>
      <c r="I1271" s="3">
        <v>229.61067507567594</v>
      </c>
      <c r="J1271" s="3">
        <v>229.61067507567594</v>
      </c>
    </row>
    <row r="1272" spans="2:10" x14ac:dyDescent="0.25">
      <c r="B1272" t="s">
        <v>137</v>
      </c>
      <c r="C1272" t="s">
        <v>364</v>
      </c>
      <c r="D1272" t="s">
        <v>386</v>
      </c>
      <c r="E1272" t="s">
        <v>197</v>
      </c>
      <c r="F1272" s="3"/>
      <c r="G1272" s="3"/>
      <c r="H1272" s="3"/>
      <c r="I1272" s="3">
        <v>281.74049519570906</v>
      </c>
      <c r="J1272" s="3">
        <v>281.74049519570906</v>
      </c>
    </row>
    <row r="1273" spans="2:10" x14ac:dyDescent="0.25">
      <c r="B1273" t="s">
        <v>137</v>
      </c>
      <c r="C1273" t="s">
        <v>364</v>
      </c>
      <c r="D1273" t="s">
        <v>386</v>
      </c>
      <c r="E1273" t="s">
        <v>198</v>
      </c>
      <c r="F1273" s="3"/>
      <c r="G1273" s="3"/>
      <c r="H1273" s="3"/>
      <c r="I1273" s="3">
        <v>256.48350321988079</v>
      </c>
      <c r="J1273" s="3">
        <v>256.48350321988079</v>
      </c>
    </row>
    <row r="1274" spans="2:10" x14ac:dyDescent="0.25">
      <c r="B1274" t="s">
        <v>137</v>
      </c>
      <c r="C1274" t="s">
        <v>364</v>
      </c>
      <c r="D1274" t="s">
        <v>386</v>
      </c>
      <c r="E1274" t="s">
        <v>199</v>
      </c>
      <c r="F1274" s="3"/>
      <c r="G1274" s="3"/>
      <c r="H1274" s="3"/>
      <c r="I1274" s="3">
        <v>215.033755075512</v>
      </c>
      <c r="J1274" s="3">
        <v>215.033755075512</v>
      </c>
    </row>
    <row r="1275" spans="2:10" x14ac:dyDescent="0.25">
      <c r="B1275" t="s">
        <v>137</v>
      </c>
      <c r="C1275" t="s">
        <v>364</v>
      </c>
      <c r="D1275" t="s">
        <v>386</v>
      </c>
      <c r="E1275" t="s">
        <v>200</v>
      </c>
      <c r="F1275" s="3"/>
      <c r="G1275" s="3"/>
      <c r="H1275" s="3"/>
      <c r="I1275" s="3">
        <v>210.03646569781634</v>
      </c>
      <c r="J1275" s="3">
        <v>210.03646569781634</v>
      </c>
    </row>
    <row r="1276" spans="2:10" x14ac:dyDescent="0.25">
      <c r="B1276" t="s">
        <v>137</v>
      </c>
      <c r="C1276" t="s">
        <v>364</v>
      </c>
      <c r="D1276" t="s">
        <v>386</v>
      </c>
      <c r="E1276" t="s">
        <v>240</v>
      </c>
      <c r="F1276" s="3"/>
      <c r="G1276" s="3"/>
      <c r="H1276" s="3"/>
      <c r="I1276" s="3">
        <v>206.66727042716624</v>
      </c>
      <c r="J1276" s="3">
        <v>206.66727042716624</v>
      </c>
    </row>
    <row r="1277" spans="2:10" x14ac:dyDescent="0.25">
      <c r="B1277" t="s">
        <v>137</v>
      </c>
      <c r="C1277" t="s">
        <v>364</v>
      </c>
      <c r="D1277" t="s">
        <v>386</v>
      </c>
      <c r="E1277" t="s">
        <v>301</v>
      </c>
      <c r="F1277" s="3"/>
      <c r="G1277" s="3"/>
      <c r="H1277" s="3"/>
      <c r="I1277" s="3">
        <v>202.51203628960693</v>
      </c>
      <c r="J1277" s="3">
        <v>202.51203628960693</v>
      </c>
    </row>
    <row r="1278" spans="2:10" x14ac:dyDescent="0.25">
      <c r="B1278" t="s">
        <v>137</v>
      </c>
      <c r="C1278" t="s">
        <v>364</v>
      </c>
      <c r="D1278" t="s">
        <v>386</v>
      </c>
      <c r="E1278" t="s">
        <v>302</v>
      </c>
      <c r="F1278" s="3"/>
      <c r="G1278" s="3"/>
      <c r="H1278" s="3"/>
      <c r="I1278" s="3">
        <v>202.08497152324043</v>
      </c>
      <c r="J1278" s="3">
        <v>202.08497152324043</v>
      </c>
    </row>
    <row r="1279" spans="2:10" x14ac:dyDescent="0.25">
      <c r="B1279" t="s">
        <v>137</v>
      </c>
      <c r="C1279" t="s">
        <v>364</v>
      </c>
      <c r="D1279" t="s">
        <v>386</v>
      </c>
      <c r="E1279" t="s">
        <v>303</v>
      </c>
      <c r="F1279" s="3"/>
      <c r="G1279" s="3"/>
      <c r="H1279" s="3"/>
      <c r="I1279" s="3">
        <v>202.08497152324043</v>
      </c>
      <c r="J1279" s="3">
        <v>202.08497152324043</v>
      </c>
    </row>
    <row r="1280" spans="2:10" x14ac:dyDescent="0.25">
      <c r="B1280" t="s">
        <v>137</v>
      </c>
      <c r="C1280" t="s">
        <v>364</v>
      </c>
      <c r="D1280" t="s">
        <v>386</v>
      </c>
      <c r="E1280" t="s">
        <v>304</v>
      </c>
      <c r="F1280" s="3"/>
      <c r="G1280" s="3"/>
      <c r="H1280" s="3"/>
      <c r="I1280" s="3">
        <v>202.08497152324043</v>
      </c>
      <c r="J1280" s="3">
        <v>202.08497152324043</v>
      </c>
    </row>
    <row r="1281" spans="2:10" x14ac:dyDescent="0.25">
      <c r="B1281" t="s">
        <v>137</v>
      </c>
      <c r="C1281" t="s">
        <v>364</v>
      </c>
      <c r="D1281" t="s">
        <v>386</v>
      </c>
      <c r="E1281" t="s">
        <v>305</v>
      </c>
      <c r="F1281" s="3"/>
      <c r="G1281" s="3"/>
      <c r="H1281" s="3"/>
      <c r="I1281" s="3">
        <v>202.08497152324043</v>
      </c>
      <c r="J1281" s="3">
        <v>202.08497152324043</v>
      </c>
    </row>
    <row r="1282" spans="2:10" x14ac:dyDescent="0.25">
      <c r="B1282" t="s">
        <v>137</v>
      </c>
      <c r="C1282" t="s">
        <v>364</v>
      </c>
      <c r="D1282" t="s">
        <v>386</v>
      </c>
      <c r="E1282" t="s">
        <v>306</v>
      </c>
      <c r="F1282" s="3"/>
      <c r="G1282" s="3"/>
      <c r="H1282" s="3"/>
      <c r="I1282" s="3">
        <v>202.08497152324043</v>
      </c>
      <c r="J1282" s="3">
        <v>202.08497152324043</v>
      </c>
    </row>
    <row r="1283" spans="2:10" x14ac:dyDescent="0.25">
      <c r="B1283" t="s">
        <v>137</v>
      </c>
      <c r="C1283" t="s">
        <v>364</v>
      </c>
      <c r="D1283" t="s">
        <v>386</v>
      </c>
      <c r="E1283" t="s">
        <v>307</v>
      </c>
      <c r="F1283" s="3"/>
      <c r="G1283" s="3"/>
      <c r="H1283" s="3"/>
      <c r="I1283" s="3">
        <v>203.66225037639262</v>
      </c>
      <c r="J1283" s="3">
        <v>203.66225037639262</v>
      </c>
    </row>
    <row r="1284" spans="2:10" x14ac:dyDescent="0.25">
      <c r="B1284" t="s">
        <v>137</v>
      </c>
      <c r="C1284" t="s">
        <v>364</v>
      </c>
      <c r="D1284" t="s">
        <v>386</v>
      </c>
      <c r="E1284" t="s">
        <v>308</v>
      </c>
      <c r="F1284" s="3"/>
      <c r="G1284" s="3"/>
      <c r="H1284" s="3"/>
      <c r="I1284" s="3">
        <v>205.7411921627594</v>
      </c>
      <c r="J1284" s="3">
        <v>205.7411921627594</v>
      </c>
    </row>
    <row r="1285" spans="2:10" x14ac:dyDescent="0.25">
      <c r="B1285" t="s">
        <v>137</v>
      </c>
      <c r="C1285" t="s">
        <v>364</v>
      </c>
      <c r="D1285" t="s">
        <v>386</v>
      </c>
      <c r="E1285" t="s">
        <v>309</v>
      </c>
      <c r="F1285" s="3"/>
      <c r="G1285" s="3"/>
      <c r="H1285" s="3"/>
      <c r="I1285" s="3">
        <v>204.85888173659313</v>
      </c>
      <c r="J1285" s="3">
        <v>204.85888173659313</v>
      </c>
    </row>
    <row r="1286" spans="2:10" x14ac:dyDescent="0.25">
      <c r="B1286" t="s">
        <v>137</v>
      </c>
      <c r="C1286" t="s">
        <v>364</v>
      </c>
      <c r="D1286" t="s">
        <v>386</v>
      </c>
      <c r="E1286" t="s">
        <v>310</v>
      </c>
      <c r="F1286" s="3"/>
      <c r="G1286" s="3"/>
      <c r="H1286" s="3"/>
      <c r="I1286" s="3">
        <v>203.8389548049702</v>
      </c>
      <c r="J1286" s="3">
        <v>203.8389548049702</v>
      </c>
    </row>
    <row r="1287" spans="2:10" x14ac:dyDescent="0.25">
      <c r="B1287" t="s">
        <v>137</v>
      </c>
      <c r="C1287" t="s">
        <v>364</v>
      </c>
      <c r="D1287" t="s">
        <v>386</v>
      </c>
      <c r="E1287" t="s">
        <v>311</v>
      </c>
      <c r="F1287" s="3"/>
      <c r="G1287" s="3"/>
      <c r="H1287" s="3"/>
      <c r="I1287" s="3">
        <v>202.08497152324043</v>
      </c>
      <c r="J1287" s="3">
        <v>202.08497152324043</v>
      </c>
    </row>
    <row r="1288" spans="2:10" x14ac:dyDescent="0.25">
      <c r="B1288" t="s">
        <v>137</v>
      </c>
      <c r="C1288" t="s">
        <v>364</v>
      </c>
      <c r="D1288" t="s">
        <v>386</v>
      </c>
      <c r="E1288" t="s">
        <v>312</v>
      </c>
      <c r="F1288" s="3"/>
      <c r="G1288" s="3"/>
      <c r="H1288" s="3"/>
      <c r="I1288" s="3">
        <v>202.08497152324043</v>
      </c>
      <c r="J1288" s="3">
        <v>202.08497152324043</v>
      </c>
    </row>
    <row r="1289" spans="2:10" x14ac:dyDescent="0.25">
      <c r="B1289" t="s">
        <v>137</v>
      </c>
      <c r="C1289" t="s">
        <v>364</v>
      </c>
      <c r="D1289" t="s">
        <v>387</v>
      </c>
      <c r="E1289" t="s">
        <v>46</v>
      </c>
      <c r="F1289" s="3"/>
      <c r="G1289" s="3"/>
      <c r="H1289" s="3"/>
      <c r="I1289" s="3">
        <v>183.65061719096781</v>
      </c>
      <c r="J1289" s="3">
        <v>183.65061719096781</v>
      </c>
    </row>
    <row r="1290" spans="2:10" x14ac:dyDescent="0.25">
      <c r="B1290" t="s">
        <v>137</v>
      </c>
      <c r="C1290" t="s">
        <v>364</v>
      </c>
      <c r="D1290" t="s">
        <v>387</v>
      </c>
      <c r="E1290" t="s">
        <v>47</v>
      </c>
      <c r="F1290" s="3"/>
      <c r="G1290" s="3"/>
      <c r="H1290" s="3"/>
      <c r="I1290" s="3">
        <v>184.30281196875259</v>
      </c>
      <c r="J1290" s="3">
        <v>184.30281196875259</v>
      </c>
    </row>
    <row r="1291" spans="2:10" x14ac:dyDescent="0.25">
      <c r="B1291" t="s">
        <v>137</v>
      </c>
      <c r="C1291" t="s">
        <v>364</v>
      </c>
      <c r="D1291" t="s">
        <v>387</v>
      </c>
      <c r="E1291" t="s">
        <v>48</v>
      </c>
      <c r="F1291" s="3"/>
      <c r="G1291" s="3"/>
      <c r="H1291" s="3"/>
      <c r="I1291" s="3">
        <v>185.46750390532048</v>
      </c>
      <c r="J1291" s="3">
        <v>185.46750390532048</v>
      </c>
    </row>
    <row r="1292" spans="2:10" x14ac:dyDescent="0.25">
      <c r="B1292" t="s">
        <v>137</v>
      </c>
      <c r="C1292" t="s">
        <v>364</v>
      </c>
      <c r="D1292" t="s">
        <v>387</v>
      </c>
      <c r="E1292" t="s">
        <v>49</v>
      </c>
      <c r="F1292" s="3"/>
      <c r="G1292" s="3"/>
      <c r="H1292" s="3"/>
      <c r="I1292" s="3">
        <v>188.36696499376188</v>
      </c>
      <c r="J1292" s="3">
        <v>188.36696499376188</v>
      </c>
    </row>
    <row r="1293" spans="2:10" x14ac:dyDescent="0.25">
      <c r="B1293" t="s">
        <v>137</v>
      </c>
      <c r="C1293" t="s">
        <v>364</v>
      </c>
      <c r="D1293" t="s">
        <v>387</v>
      </c>
      <c r="E1293" t="s">
        <v>50</v>
      </c>
      <c r="F1293" s="3"/>
      <c r="G1293" s="3"/>
      <c r="H1293" s="3"/>
      <c r="I1293" s="3">
        <v>192.66501813062848</v>
      </c>
      <c r="J1293" s="3">
        <v>192.66501813062848</v>
      </c>
    </row>
    <row r="1294" spans="2:10" x14ac:dyDescent="0.25">
      <c r="B1294" t="s">
        <v>137</v>
      </c>
      <c r="C1294" t="s">
        <v>364</v>
      </c>
      <c r="D1294" t="s">
        <v>387</v>
      </c>
      <c r="E1294" t="s">
        <v>51</v>
      </c>
      <c r="F1294" s="3"/>
      <c r="G1294" s="3"/>
      <c r="H1294" s="3"/>
      <c r="I1294" s="3">
        <v>198.52131335638219</v>
      </c>
      <c r="J1294" s="3">
        <v>198.52131335638219</v>
      </c>
    </row>
    <row r="1295" spans="2:10" x14ac:dyDescent="0.25">
      <c r="B1295" t="s">
        <v>137</v>
      </c>
      <c r="C1295" t="s">
        <v>364</v>
      </c>
      <c r="D1295" t="s">
        <v>387</v>
      </c>
      <c r="E1295" t="s">
        <v>196</v>
      </c>
      <c r="F1295" s="3"/>
      <c r="G1295" s="3"/>
      <c r="H1295" s="3"/>
      <c r="I1295" s="3">
        <v>204.29874158210799</v>
      </c>
      <c r="J1295" s="3">
        <v>204.29874158210799</v>
      </c>
    </row>
    <row r="1296" spans="2:10" x14ac:dyDescent="0.25">
      <c r="B1296" t="s">
        <v>137</v>
      </c>
      <c r="C1296" t="s">
        <v>364</v>
      </c>
      <c r="D1296" t="s">
        <v>387</v>
      </c>
      <c r="E1296" t="s">
        <v>197</v>
      </c>
      <c r="F1296" s="3"/>
      <c r="G1296" s="3"/>
      <c r="H1296" s="3"/>
      <c r="I1296" s="3">
        <v>204.29874158210799</v>
      </c>
      <c r="J1296" s="3">
        <v>204.29874158210799</v>
      </c>
    </row>
    <row r="1297" spans="2:10" x14ac:dyDescent="0.25">
      <c r="B1297" t="s">
        <v>137</v>
      </c>
      <c r="C1297" t="s">
        <v>364</v>
      </c>
      <c r="D1297" t="s">
        <v>387</v>
      </c>
      <c r="E1297" t="s">
        <v>198</v>
      </c>
      <c r="F1297" s="3"/>
      <c r="G1297" s="3"/>
      <c r="H1297" s="3"/>
      <c r="I1297" s="3">
        <v>204.29874158210799</v>
      </c>
      <c r="J1297" s="3">
        <v>204.29874158210799</v>
      </c>
    </row>
    <row r="1298" spans="2:10" x14ac:dyDescent="0.25">
      <c r="B1298" t="s">
        <v>137</v>
      </c>
      <c r="C1298" t="s">
        <v>364</v>
      </c>
      <c r="D1298" t="s">
        <v>387</v>
      </c>
      <c r="E1298" t="s">
        <v>199</v>
      </c>
      <c r="F1298" s="3"/>
      <c r="G1298" s="3"/>
      <c r="H1298" s="3"/>
      <c r="I1298" s="3">
        <v>204.29874158210799</v>
      </c>
      <c r="J1298" s="3">
        <v>204.29874158210799</v>
      </c>
    </row>
    <row r="1299" spans="2:10" x14ac:dyDescent="0.25">
      <c r="B1299" t="s">
        <v>137</v>
      </c>
      <c r="C1299" t="s">
        <v>364</v>
      </c>
      <c r="D1299" t="s">
        <v>387</v>
      </c>
      <c r="E1299" t="s">
        <v>200</v>
      </c>
      <c r="F1299" s="3"/>
      <c r="G1299" s="3"/>
      <c r="H1299" s="3"/>
      <c r="I1299" s="3">
        <v>204.29874158210799</v>
      </c>
      <c r="J1299" s="3">
        <v>204.29874158210799</v>
      </c>
    </row>
    <row r="1300" spans="2:10" x14ac:dyDescent="0.25">
      <c r="B1300" t="s">
        <v>137</v>
      </c>
      <c r="C1300" t="s">
        <v>364</v>
      </c>
      <c r="D1300" t="s">
        <v>387</v>
      </c>
      <c r="E1300" t="s">
        <v>240</v>
      </c>
      <c r="F1300" s="3"/>
      <c r="G1300" s="3"/>
      <c r="H1300" s="3"/>
      <c r="I1300" s="3">
        <v>204.29874158210799</v>
      </c>
      <c r="J1300" s="3">
        <v>204.29874158210799</v>
      </c>
    </row>
    <row r="1301" spans="2:10" x14ac:dyDescent="0.25">
      <c r="B1301" t="s">
        <v>137</v>
      </c>
      <c r="C1301" t="s">
        <v>364</v>
      </c>
      <c r="D1301" t="s">
        <v>387</v>
      </c>
      <c r="E1301" t="s">
        <v>301</v>
      </c>
      <c r="F1301" s="3"/>
      <c r="G1301" s="3"/>
      <c r="H1301" s="3"/>
      <c r="I1301" s="3">
        <v>201.31733072651139</v>
      </c>
      <c r="J1301" s="3">
        <v>201.31733072651139</v>
      </c>
    </row>
    <row r="1302" spans="2:10" x14ac:dyDescent="0.25">
      <c r="B1302" t="s">
        <v>137</v>
      </c>
      <c r="C1302" t="s">
        <v>364</v>
      </c>
      <c r="D1302" t="s">
        <v>387</v>
      </c>
      <c r="E1302" t="s">
        <v>302</v>
      </c>
      <c r="F1302" s="3"/>
      <c r="G1302" s="3"/>
      <c r="H1302" s="3"/>
      <c r="I1302" s="3">
        <v>199.44118222405189</v>
      </c>
      <c r="J1302" s="3">
        <v>199.44118222405189</v>
      </c>
    </row>
    <row r="1303" spans="2:10" x14ac:dyDescent="0.25">
      <c r="B1303" t="s">
        <v>137</v>
      </c>
      <c r="C1303" t="s">
        <v>364</v>
      </c>
      <c r="D1303" t="s">
        <v>387</v>
      </c>
      <c r="E1303" t="s">
        <v>303</v>
      </c>
      <c r="F1303" s="3"/>
      <c r="G1303" s="3"/>
      <c r="H1303" s="3"/>
      <c r="I1303" s="3">
        <v>196.95477867619189</v>
      </c>
      <c r="J1303" s="3">
        <v>196.95477867619189</v>
      </c>
    </row>
    <row r="1304" spans="2:10" x14ac:dyDescent="0.25">
      <c r="B1304" t="s">
        <v>137</v>
      </c>
      <c r="C1304" t="s">
        <v>364</v>
      </c>
      <c r="D1304" t="s">
        <v>387</v>
      </c>
      <c r="E1304" t="s">
        <v>304</v>
      </c>
      <c r="F1304" s="3"/>
      <c r="G1304" s="3"/>
      <c r="H1304" s="3"/>
      <c r="I1304" s="3">
        <v>194.02950737399991</v>
      </c>
      <c r="J1304" s="3">
        <v>194.02950737399991</v>
      </c>
    </row>
    <row r="1305" spans="2:10" x14ac:dyDescent="0.25">
      <c r="B1305" t="s">
        <v>137</v>
      </c>
      <c r="C1305" t="s">
        <v>364</v>
      </c>
      <c r="D1305" t="s">
        <v>387</v>
      </c>
      <c r="E1305" t="s">
        <v>305</v>
      </c>
      <c r="F1305" s="3"/>
      <c r="G1305" s="3"/>
      <c r="H1305" s="3"/>
      <c r="I1305" s="3">
        <v>191.95190898825251</v>
      </c>
      <c r="J1305" s="3">
        <v>191.95190898825251</v>
      </c>
    </row>
    <row r="1306" spans="2:10" x14ac:dyDescent="0.25">
      <c r="B1306" t="s">
        <v>137</v>
      </c>
      <c r="C1306" t="s">
        <v>364</v>
      </c>
      <c r="D1306" t="s">
        <v>387</v>
      </c>
      <c r="E1306" t="s">
        <v>306</v>
      </c>
      <c r="F1306" s="3"/>
      <c r="G1306" s="3"/>
      <c r="H1306" s="3"/>
      <c r="I1306" s="3">
        <v>188.71056294158421</v>
      </c>
      <c r="J1306" s="3">
        <v>188.71056294158421</v>
      </c>
    </row>
    <row r="1307" spans="2:10" x14ac:dyDescent="0.25">
      <c r="B1307" t="s">
        <v>137</v>
      </c>
      <c r="C1307" t="s">
        <v>364</v>
      </c>
      <c r="D1307" t="s">
        <v>387</v>
      </c>
      <c r="E1307" t="s">
        <v>307</v>
      </c>
      <c r="F1307" s="3"/>
      <c r="G1307" s="3"/>
      <c r="H1307" s="3"/>
      <c r="I1307" s="3">
        <v>188.24839144969098</v>
      </c>
      <c r="J1307" s="3">
        <v>188.24839144969098</v>
      </c>
    </row>
    <row r="1308" spans="2:10" x14ac:dyDescent="0.25">
      <c r="B1308" t="s">
        <v>137</v>
      </c>
      <c r="C1308" t="s">
        <v>364</v>
      </c>
      <c r="D1308" t="s">
        <v>387</v>
      </c>
      <c r="E1308" t="s">
        <v>308</v>
      </c>
      <c r="F1308" s="3"/>
      <c r="G1308" s="3"/>
      <c r="H1308" s="3"/>
      <c r="I1308" s="3">
        <v>188.9632014380783</v>
      </c>
      <c r="J1308" s="3">
        <v>188.9632014380783</v>
      </c>
    </row>
    <row r="1309" spans="2:10" x14ac:dyDescent="0.25">
      <c r="B1309" t="s">
        <v>137</v>
      </c>
      <c r="C1309" t="s">
        <v>364</v>
      </c>
      <c r="D1309" t="s">
        <v>387</v>
      </c>
      <c r="E1309" t="s">
        <v>309</v>
      </c>
      <c r="F1309" s="3"/>
      <c r="G1309" s="3"/>
      <c r="H1309" s="3"/>
      <c r="I1309" s="3">
        <v>188.28963090242041</v>
      </c>
      <c r="J1309" s="3">
        <v>188.28963090242041</v>
      </c>
    </row>
    <row r="1310" spans="2:10" x14ac:dyDescent="0.25">
      <c r="B1310" t="s">
        <v>137</v>
      </c>
      <c r="C1310" t="s">
        <v>364</v>
      </c>
      <c r="D1310" t="s">
        <v>387</v>
      </c>
      <c r="E1310" t="s">
        <v>310</v>
      </c>
      <c r="F1310" s="3"/>
      <c r="G1310" s="3"/>
      <c r="H1310" s="3"/>
      <c r="I1310" s="3">
        <v>187.18758146503251</v>
      </c>
      <c r="J1310" s="3">
        <v>187.18758146503251</v>
      </c>
    </row>
    <row r="1311" spans="2:10" x14ac:dyDescent="0.25">
      <c r="B1311" t="s">
        <v>137</v>
      </c>
      <c r="C1311" t="s">
        <v>364</v>
      </c>
      <c r="D1311" t="s">
        <v>387</v>
      </c>
      <c r="E1311" t="s">
        <v>311</v>
      </c>
      <c r="F1311" s="3"/>
      <c r="G1311" s="3"/>
      <c r="H1311" s="3"/>
      <c r="I1311" s="3">
        <v>184.9282746857923</v>
      </c>
      <c r="J1311" s="3">
        <v>184.9282746857923</v>
      </c>
    </row>
    <row r="1312" spans="2:10" x14ac:dyDescent="0.25">
      <c r="B1312" t="s">
        <v>137</v>
      </c>
      <c r="C1312" t="s">
        <v>364</v>
      </c>
      <c r="D1312" t="s">
        <v>387</v>
      </c>
      <c r="E1312" t="s">
        <v>312</v>
      </c>
      <c r="F1312" s="3"/>
      <c r="G1312" s="3"/>
      <c r="H1312" s="3"/>
      <c r="I1312" s="3">
        <v>182.95803458968868</v>
      </c>
      <c r="J1312" s="3">
        <v>182.95803458968868</v>
      </c>
    </row>
    <row r="1313" spans="2:10" x14ac:dyDescent="0.25">
      <c r="B1313" t="s">
        <v>137</v>
      </c>
      <c r="C1313" t="s">
        <v>364</v>
      </c>
      <c r="D1313" t="s">
        <v>388</v>
      </c>
      <c r="E1313" t="s">
        <v>46</v>
      </c>
      <c r="F1313" s="3"/>
      <c r="G1313" s="3"/>
      <c r="H1313" s="3"/>
      <c r="I1313" s="3">
        <v>113.1713633193492</v>
      </c>
      <c r="J1313" s="3">
        <v>113.1713633193492</v>
      </c>
    </row>
    <row r="1314" spans="2:10" x14ac:dyDescent="0.25">
      <c r="B1314" t="s">
        <v>137</v>
      </c>
      <c r="C1314" t="s">
        <v>364</v>
      </c>
      <c r="D1314" t="s">
        <v>388</v>
      </c>
      <c r="E1314" t="s">
        <v>47</v>
      </c>
      <c r="F1314" s="3"/>
      <c r="G1314" s="3"/>
      <c r="H1314" s="3"/>
      <c r="I1314" s="3">
        <v>113.1713633193492</v>
      </c>
      <c r="J1314" s="3">
        <v>113.1713633193492</v>
      </c>
    </row>
    <row r="1315" spans="2:10" x14ac:dyDescent="0.25">
      <c r="B1315" t="s">
        <v>137</v>
      </c>
      <c r="C1315" t="s">
        <v>364</v>
      </c>
      <c r="D1315" t="s">
        <v>388</v>
      </c>
      <c r="E1315" t="s">
        <v>48</v>
      </c>
      <c r="F1315" s="3"/>
      <c r="G1315" s="3"/>
      <c r="H1315" s="3"/>
      <c r="I1315" s="3">
        <v>113.1713633193492</v>
      </c>
      <c r="J1315" s="3">
        <v>113.1713633193492</v>
      </c>
    </row>
    <row r="1316" spans="2:10" x14ac:dyDescent="0.25">
      <c r="B1316" t="s">
        <v>137</v>
      </c>
      <c r="C1316" t="s">
        <v>364</v>
      </c>
      <c r="D1316" t="s">
        <v>388</v>
      </c>
      <c r="E1316" t="s">
        <v>49</v>
      </c>
      <c r="F1316" s="3"/>
      <c r="G1316" s="3"/>
      <c r="H1316" s="3"/>
      <c r="I1316" s="3">
        <v>113.1713633193492</v>
      </c>
      <c r="J1316" s="3">
        <v>113.1713633193492</v>
      </c>
    </row>
    <row r="1317" spans="2:10" x14ac:dyDescent="0.25">
      <c r="B1317" t="s">
        <v>137</v>
      </c>
      <c r="C1317" t="s">
        <v>364</v>
      </c>
      <c r="D1317" t="s">
        <v>388</v>
      </c>
      <c r="E1317" t="s">
        <v>50</v>
      </c>
      <c r="F1317" s="3"/>
      <c r="G1317" s="3"/>
      <c r="H1317" s="3"/>
      <c r="I1317" s="3">
        <v>113.1713633193492</v>
      </c>
      <c r="J1317" s="3">
        <v>113.1713633193492</v>
      </c>
    </row>
    <row r="1318" spans="2:10" x14ac:dyDescent="0.25">
      <c r="B1318" t="s">
        <v>137</v>
      </c>
      <c r="C1318" t="s">
        <v>364</v>
      </c>
      <c r="D1318" t="s">
        <v>388</v>
      </c>
      <c r="E1318" t="s">
        <v>51</v>
      </c>
      <c r="F1318" s="3"/>
      <c r="G1318" s="3"/>
      <c r="H1318" s="3"/>
      <c r="I1318" s="3">
        <v>113.1713633193492</v>
      </c>
      <c r="J1318" s="3">
        <v>113.1713633193492</v>
      </c>
    </row>
    <row r="1319" spans="2:10" x14ac:dyDescent="0.25">
      <c r="B1319" t="s">
        <v>137</v>
      </c>
      <c r="C1319" t="s">
        <v>364</v>
      </c>
      <c r="D1319" t="s">
        <v>388</v>
      </c>
      <c r="E1319" t="s">
        <v>196</v>
      </c>
      <c r="F1319" s="3"/>
      <c r="G1319" s="3"/>
      <c r="H1319" s="3"/>
      <c r="I1319" s="3">
        <v>113.1713633193492</v>
      </c>
      <c r="J1319" s="3">
        <v>113.1713633193492</v>
      </c>
    </row>
    <row r="1320" spans="2:10" x14ac:dyDescent="0.25">
      <c r="B1320" t="s">
        <v>137</v>
      </c>
      <c r="C1320" t="s">
        <v>364</v>
      </c>
      <c r="D1320" t="s">
        <v>388</v>
      </c>
      <c r="E1320" t="s">
        <v>197</v>
      </c>
      <c r="F1320" s="3"/>
      <c r="G1320" s="3"/>
      <c r="H1320" s="3"/>
      <c r="I1320" s="3">
        <v>113.1713633193492</v>
      </c>
      <c r="J1320" s="3">
        <v>113.1713633193492</v>
      </c>
    </row>
    <row r="1321" spans="2:10" x14ac:dyDescent="0.25">
      <c r="B1321" t="s">
        <v>137</v>
      </c>
      <c r="C1321" t="s">
        <v>364</v>
      </c>
      <c r="D1321" t="s">
        <v>388</v>
      </c>
      <c r="E1321" t="s">
        <v>198</v>
      </c>
      <c r="F1321" s="3"/>
      <c r="G1321" s="3"/>
      <c r="H1321" s="3"/>
      <c r="I1321" s="3">
        <v>113.1713633193492</v>
      </c>
      <c r="J1321" s="3">
        <v>113.1713633193492</v>
      </c>
    </row>
    <row r="1322" spans="2:10" x14ac:dyDescent="0.25">
      <c r="B1322" t="s">
        <v>137</v>
      </c>
      <c r="C1322" t="s">
        <v>364</v>
      </c>
      <c r="D1322" t="s">
        <v>388</v>
      </c>
      <c r="E1322" t="s">
        <v>199</v>
      </c>
      <c r="F1322" s="3"/>
      <c r="G1322" s="3"/>
      <c r="H1322" s="3"/>
      <c r="I1322" s="3">
        <v>113.1713633193492</v>
      </c>
      <c r="J1322" s="3">
        <v>113.1713633193492</v>
      </c>
    </row>
    <row r="1323" spans="2:10" x14ac:dyDescent="0.25">
      <c r="B1323" t="s">
        <v>137</v>
      </c>
      <c r="C1323" t="s">
        <v>364</v>
      </c>
      <c r="D1323" t="s">
        <v>388</v>
      </c>
      <c r="E1323" t="s">
        <v>200</v>
      </c>
      <c r="F1323" s="3"/>
      <c r="G1323" s="3"/>
      <c r="H1323" s="3"/>
      <c r="I1323" s="3">
        <v>113.1713633193492</v>
      </c>
      <c r="J1323" s="3">
        <v>113.1713633193492</v>
      </c>
    </row>
    <row r="1324" spans="2:10" x14ac:dyDescent="0.25">
      <c r="B1324" t="s">
        <v>137</v>
      </c>
      <c r="C1324" t="s">
        <v>364</v>
      </c>
      <c r="D1324" t="s">
        <v>388</v>
      </c>
      <c r="E1324" t="s">
        <v>240</v>
      </c>
      <c r="F1324" s="3"/>
      <c r="G1324" s="3"/>
      <c r="H1324" s="3"/>
      <c r="I1324" s="3">
        <v>113.1713633193492</v>
      </c>
      <c r="J1324" s="3">
        <v>113.1713633193492</v>
      </c>
    </row>
    <row r="1325" spans="2:10" x14ac:dyDescent="0.25">
      <c r="B1325" t="s">
        <v>137</v>
      </c>
      <c r="C1325" t="s">
        <v>364</v>
      </c>
      <c r="D1325" t="s">
        <v>388</v>
      </c>
      <c r="E1325" t="s">
        <v>301</v>
      </c>
      <c r="F1325" s="3"/>
      <c r="G1325" s="3"/>
      <c r="H1325" s="3"/>
      <c r="I1325" s="3">
        <v>113.1713633193492</v>
      </c>
      <c r="J1325" s="3">
        <v>113.1713633193492</v>
      </c>
    </row>
    <row r="1326" spans="2:10" x14ac:dyDescent="0.25">
      <c r="B1326" t="s">
        <v>137</v>
      </c>
      <c r="C1326" t="s">
        <v>364</v>
      </c>
      <c r="D1326" t="s">
        <v>388</v>
      </c>
      <c r="E1326" t="s">
        <v>302</v>
      </c>
      <c r="F1326" s="3"/>
      <c r="G1326" s="3"/>
      <c r="H1326" s="3"/>
      <c r="I1326" s="3">
        <v>113.1713633193492</v>
      </c>
      <c r="J1326" s="3">
        <v>113.1713633193492</v>
      </c>
    </row>
    <row r="1327" spans="2:10" x14ac:dyDescent="0.25">
      <c r="B1327" t="s">
        <v>137</v>
      </c>
      <c r="C1327" t="s">
        <v>364</v>
      </c>
      <c r="D1327" t="s">
        <v>388</v>
      </c>
      <c r="E1327" t="s">
        <v>303</v>
      </c>
      <c r="F1327" s="3"/>
      <c r="G1327" s="3"/>
      <c r="H1327" s="3"/>
      <c r="I1327" s="3">
        <v>113.1713633193492</v>
      </c>
      <c r="J1327" s="3">
        <v>113.1713633193492</v>
      </c>
    </row>
    <row r="1328" spans="2:10" x14ac:dyDescent="0.25">
      <c r="B1328" t="s">
        <v>137</v>
      </c>
      <c r="C1328" t="s">
        <v>364</v>
      </c>
      <c r="D1328" t="s">
        <v>388</v>
      </c>
      <c r="E1328" t="s">
        <v>304</v>
      </c>
      <c r="F1328" s="3"/>
      <c r="G1328" s="3"/>
      <c r="H1328" s="3"/>
      <c r="I1328" s="3">
        <v>113.1713633193492</v>
      </c>
      <c r="J1328" s="3">
        <v>113.1713633193492</v>
      </c>
    </row>
    <row r="1329" spans="2:10" x14ac:dyDescent="0.25">
      <c r="B1329" t="s">
        <v>137</v>
      </c>
      <c r="C1329" t="s">
        <v>364</v>
      </c>
      <c r="D1329" t="s">
        <v>388</v>
      </c>
      <c r="E1329" t="s">
        <v>305</v>
      </c>
      <c r="F1329" s="3"/>
      <c r="G1329" s="3"/>
      <c r="H1329" s="3"/>
      <c r="I1329" s="3">
        <v>113.1713633193492</v>
      </c>
      <c r="J1329" s="3">
        <v>113.1713633193492</v>
      </c>
    </row>
    <row r="1330" spans="2:10" x14ac:dyDescent="0.25">
      <c r="B1330" t="s">
        <v>137</v>
      </c>
      <c r="C1330" t="s">
        <v>364</v>
      </c>
      <c r="D1330" t="s">
        <v>388</v>
      </c>
      <c r="E1330" t="s">
        <v>306</v>
      </c>
      <c r="F1330" s="3"/>
      <c r="G1330" s="3"/>
      <c r="H1330" s="3"/>
      <c r="I1330" s="3">
        <v>113.1713633193492</v>
      </c>
      <c r="J1330" s="3">
        <v>113.1713633193492</v>
      </c>
    </row>
    <row r="1331" spans="2:10" x14ac:dyDescent="0.25">
      <c r="B1331" t="s">
        <v>137</v>
      </c>
      <c r="C1331" t="s">
        <v>364</v>
      </c>
      <c r="D1331" t="s">
        <v>388</v>
      </c>
      <c r="E1331" t="s">
        <v>307</v>
      </c>
      <c r="F1331" s="3"/>
      <c r="G1331" s="3"/>
      <c r="H1331" s="3"/>
      <c r="I1331" s="3">
        <v>113.1713633193492</v>
      </c>
      <c r="J1331" s="3">
        <v>113.1713633193492</v>
      </c>
    </row>
    <row r="1332" spans="2:10" x14ac:dyDescent="0.25">
      <c r="B1332" t="s">
        <v>137</v>
      </c>
      <c r="C1332" t="s">
        <v>364</v>
      </c>
      <c r="D1332" t="s">
        <v>388</v>
      </c>
      <c r="E1332" t="s">
        <v>308</v>
      </c>
      <c r="F1332" s="3"/>
      <c r="G1332" s="3"/>
      <c r="H1332" s="3"/>
      <c r="I1332" s="3">
        <v>113.1713633193492</v>
      </c>
      <c r="J1332" s="3">
        <v>113.1713633193492</v>
      </c>
    </row>
    <row r="1333" spans="2:10" x14ac:dyDescent="0.25">
      <c r="B1333" t="s">
        <v>137</v>
      </c>
      <c r="C1333" t="s">
        <v>364</v>
      </c>
      <c r="D1333" t="s">
        <v>388</v>
      </c>
      <c r="E1333" t="s">
        <v>309</v>
      </c>
      <c r="F1333" s="3"/>
      <c r="G1333" s="3"/>
      <c r="H1333" s="3"/>
      <c r="I1333" s="3">
        <v>113.1713633193492</v>
      </c>
      <c r="J1333" s="3">
        <v>113.1713633193492</v>
      </c>
    </row>
    <row r="1334" spans="2:10" x14ac:dyDescent="0.25">
      <c r="B1334" t="s">
        <v>137</v>
      </c>
      <c r="C1334" t="s">
        <v>364</v>
      </c>
      <c r="D1334" t="s">
        <v>388</v>
      </c>
      <c r="E1334" t="s">
        <v>310</v>
      </c>
      <c r="F1334" s="3"/>
      <c r="G1334" s="3"/>
      <c r="H1334" s="3"/>
      <c r="I1334" s="3">
        <v>113.1713633193492</v>
      </c>
      <c r="J1334" s="3">
        <v>113.1713633193492</v>
      </c>
    </row>
    <row r="1335" spans="2:10" x14ac:dyDescent="0.25">
      <c r="B1335" t="s">
        <v>137</v>
      </c>
      <c r="C1335" t="s">
        <v>364</v>
      </c>
      <c r="D1335" t="s">
        <v>388</v>
      </c>
      <c r="E1335" t="s">
        <v>311</v>
      </c>
      <c r="F1335" s="3"/>
      <c r="G1335" s="3"/>
      <c r="H1335" s="3"/>
      <c r="I1335" s="3">
        <v>113.1713633193492</v>
      </c>
      <c r="J1335" s="3">
        <v>113.1713633193492</v>
      </c>
    </row>
    <row r="1336" spans="2:10" x14ac:dyDescent="0.25">
      <c r="B1336" t="s">
        <v>137</v>
      </c>
      <c r="C1336" t="s">
        <v>364</v>
      </c>
      <c r="D1336" t="s">
        <v>388</v>
      </c>
      <c r="E1336" t="s">
        <v>312</v>
      </c>
      <c r="F1336" s="3"/>
      <c r="G1336" s="3"/>
      <c r="H1336" s="3"/>
      <c r="I1336" s="3">
        <v>113.1713633193492</v>
      </c>
      <c r="J1336" s="3">
        <v>113.1713633193492</v>
      </c>
    </row>
    <row r="1337" spans="2:10" x14ac:dyDescent="0.25">
      <c r="B1337" t="s">
        <v>137</v>
      </c>
      <c r="C1337" t="s">
        <v>364</v>
      </c>
      <c r="D1337" t="s">
        <v>389</v>
      </c>
      <c r="E1337" t="s">
        <v>46</v>
      </c>
      <c r="F1337" s="3"/>
      <c r="G1337" s="3"/>
      <c r="H1337" s="3"/>
      <c r="I1337" s="3">
        <v>25.546548811403898</v>
      </c>
      <c r="J1337" s="3">
        <v>25.546548811403898</v>
      </c>
    </row>
    <row r="1338" spans="2:10" x14ac:dyDescent="0.25">
      <c r="B1338" t="s">
        <v>137</v>
      </c>
      <c r="C1338" t="s">
        <v>364</v>
      </c>
      <c r="D1338" t="s">
        <v>389</v>
      </c>
      <c r="E1338" t="s">
        <v>47</v>
      </c>
      <c r="F1338" s="3"/>
      <c r="G1338" s="3"/>
      <c r="H1338" s="3"/>
      <c r="I1338" s="3">
        <v>25.546548811403898</v>
      </c>
      <c r="J1338" s="3">
        <v>25.546548811403898</v>
      </c>
    </row>
    <row r="1339" spans="2:10" x14ac:dyDescent="0.25">
      <c r="B1339" t="s">
        <v>137</v>
      </c>
      <c r="C1339" t="s">
        <v>364</v>
      </c>
      <c r="D1339" t="s">
        <v>389</v>
      </c>
      <c r="E1339" t="s">
        <v>48</v>
      </c>
      <c r="F1339" s="3"/>
      <c r="G1339" s="3"/>
      <c r="H1339" s="3"/>
      <c r="I1339" s="3">
        <v>25.546548811403898</v>
      </c>
      <c r="J1339" s="3">
        <v>25.546548811403898</v>
      </c>
    </row>
    <row r="1340" spans="2:10" x14ac:dyDescent="0.25">
      <c r="B1340" t="s">
        <v>137</v>
      </c>
      <c r="C1340" t="s">
        <v>364</v>
      </c>
      <c r="D1340" t="s">
        <v>389</v>
      </c>
      <c r="E1340" t="s">
        <v>49</v>
      </c>
      <c r="F1340" s="3"/>
      <c r="G1340" s="3"/>
      <c r="H1340" s="3"/>
      <c r="I1340" s="3">
        <v>25.546548811403898</v>
      </c>
      <c r="J1340" s="3">
        <v>25.546548811403898</v>
      </c>
    </row>
    <row r="1341" spans="2:10" x14ac:dyDescent="0.25">
      <c r="B1341" t="s">
        <v>137</v>
      </c>
      <c r="C1341" t="s">
        <v>364</v>
      </c>
      <c r="D1341" t="s">
        <v>389</v>
      </c>
      <c r="E1341" t="s">
        <v>50</v>
      </c>
      <c r="F1341" s="3"/>
      <c r="G1341" s="3"/>
      <c r="H1341" s="3"/>
      <c r="I1341" s="3">
        <v>25.546548811403898</v>
      </c>
      <c r="J1341" s="3">
        <v>25.546548811403898</v>
      </c>
    </row>
    <row r="1342" spans="2:10" x14ac:dyDescent="0.25">
      <c r="B1342" t="s">
        <v>137</v>
      </c>
      <c r="C1342" t="s">
        <v>364</v>
      </c>
      <c r="D1342" t="s">
        <v>389</v>
      </c>
      <c r="E1342" t="s">
        <v>51</v>
      </c>
      <c r="F1342" s="3"/>
      <c r="G1342" s="3"/>
      <c r="H1342" s="3"/>
      <c r="I1342" s="3">
        <v>25.546548811403898</v>
      </c>
      <c r="J1342" s="3">
        <v>25.546548811403898</v>
      </c>
    </row>
    <row r="1343" spans="2:10" x14ac:dyDescent="0.25">
      <c r="B1343" t="s">
        <v>137</v>
      </c>
      <c r="C1343" t="s">
        <v>364</v>
      </c>
      <c r="D1343" t="s">
        <v>389</v>
      </c>
      <c r="E1343" t="s">
        <v>196</v>
      </c>
      <c r="F1343" s="3"/>
      <c r="G1343" s="3"/>
      <c r="H1343" s="3"/>
      <c r="I1343" s="3">
        <v>49.680470683883399</v>
      </c>
      <c r="J1343" s="3">
        <v>49.680470683883399</v>
      </c>
    </row>
    <row r="1344" spans="2:10" x14ac:dyDescent="0.25">
      <c r="B1344" t="s">
        <v>137</v>
      </c>
      <c r="C1344" t="s">
        <v>364</v>
      </c>
      <c r="D1344" t="s">
        <v>389</v>
      </c>
      <c r="E1344" t="s">
        <v>197</v>
      </c>
      <c r="F1344" s="3"/>
      <c r="G1344" s="3"/>
      <c r="H1344" s="3"/>
      <c r="I1344" s="3">
        <v>51.093097622807797</v>
      </c>
      <c r="J1344" s="3">
        <v>51.093097622807797</v>
      </c>
    </row>
    <row r="1345" spans="2:10" x14ac:dyDescent="0.25">
      <c r="B1345" t="s">
        <v>137</v>
      </c>
      <c r="C1345" t="s">
        <v>364</v>
      </c>
      <c r="D1345" t="s">
        <v>389</v>
      </c>
      <c r="E1345" t="s">
        <v>198</v>
      </c>
      <c r="F1345" s="3"/>
      <c r="G1345" s="3"/>
      <c r="H1345" s="3"/>
      <c r="I1345" s="3">
        <v>51.093097622807797</v>
      </c>
      <c r="J1345" s="3">
        <v>51.093097622807797</v>
      </c>
    </row>
    <row r="1346" spans="2:10" x14ac:dyDescent="0.25">
      <c r="B1346" t="s">
        <v>137</v>
      </c>
      <c r="C1346" t="s">
        <v>364</v>
      </c>
      <c r="D1346" t="s">
        <v>389</v>
      </c>
      <c r="E1346" t="s">
        <v>199</v>
      </c>
      <c r="F1346" s="3"/>
      <c r="G1346" s="3"/>
      <c r="H1346" s="3"/>
      <c r="I1346" s="3">
        <v>51.093097622807797</v>
      </c>
      <c r="J1346" s="3">
        <v>51.093097622807797</v>
      </c>
    </row>
    <row r="1347" spans="2:10" x14ac:dyDescent="0.25">
      <c r="B1347" t="s">
        <v>137</v>
      </c>
      <c r="C1347" t="s">
        <v>364</v>
      </c>
      <c r="D1347" t="s">
        <v>389</v>
      </c>
      <c r="E1347" t="s">
        <v>200</v>
      </c>
      <c r="F1347" s="3"/>
      <c r="G1347" s="3"/>
      <c r="H1347" s="3"/>
      <c r="I1347" s="3">
        <v>44.276874407354896</v>
      </c>
      <c r="J1347" s="3">
        <v>44.276874407354896</v>
      </c>
    </row>
    <row r="1348" spans="2:10" x14ac:dyDescent="0.25">
      <c r="B1348" t="s">
        <v>137</v>
      </c>
      <c r="C1348" t="s">
        <v>364</v>
      </c>
      <c r="D1348" t="s">
        <v>389</v>
      </c>
      <c r="E1348" t="s">
        <v>240</v>
      </c>
      <c r="F1348" s="3"/>
      <c r="G1348" s="3"/>
      <c r="H1348" s="3"/>
      <c r="I1348" s="3">
        <v>39.170291203278396</v>
      </c>
      <c r="J1348" s="3">
        <v>39.170291203278396</v>
      </c>
    </row>
    <row r="1349" spans="2:10" x14ac:dyDescent="0.25">
      <c r="B1349" t="s">
        <v>137</v>
      </c>
      <c r="C1349" t="s">
        <v>364</v>
      </c>
      <c r="D1349" t="s">
        <v>389</v>
      </c>
      <c r="E1349" t="s">
        <v>301</v>
      </c>
      <c r="F1349" s="3"/>
      <c r="G1349" s="3"/>
      <c r="H1349" s="3"/>
      <c r="I1349" s="3">
        <v>31.651642565608107</v>
      </c>
      <c r="J1349" s="3">
        <v>31.651642565608107</v>
      </c>
    </row>
    <row r="1350" spans="2:10" x14ac:dyDescent="0.25">
      <c r="B1350" t="s">
        <v>137</v>
      </c>
      <c r="C1350" t="s">
        <v>364</v>
      </c>
      <c r="D1350" t="s">
        <v>389</v>
      </c>
      <c r="E1350" t="s">
        <v>302</v>
      </c>
      <c r="F1350" s="3"/>
      <c r="G1350" s="3"/>
      <c r="H1350" s="3"/>
      <c r="I1350" s="3">
        <v>27.866744646915549</v>
      </c>
      <c r="J1350" s="3">
        <v>27.866744646915549</v>
      </c>
    </row>
    <row r="1351" spans="2:10" x14ac:dyDescent="0.25">
      <c r="B1351" t="s">
        <v>137</v>
      </c>
      <c r="C1351" t="s">
        <v>364</v>
      </c>
      <c r="D1351" t="s">
        <v>389</v>
      </c>
      <c r="E1351" t="s">
        <v>303</v>
      </c>
      <c r="F1351" s="3"/>
      <c r="G1351" s="3"/>
      <c r="H1351" s="3"/>
      <c r="I1351" s="3">
        <v>25.546548811403898</v>
      </c>
      <c r="J1351" s="3">
        <v>25.546548811403898</v>
      </c>
    </row>
    <row r="1352" spans="2:10" x14ac:dyDescent="0.25">
      <c r="B1352" t="s">
        <v>137</v>
      </c>
      <c r="C1352" t="s">
        <v>364</v>
      </c>
      <c r="D1352" t="s">
        <v>389</v>
      </c>
      <c r="E1352" t="s">
        <v>304</v>
      </c>
      <c r="F1352" s="3"/>
      <c r="G1352" s="3"/>
      <c r="H1352" s="3"/>
      <c r="I1352" s="3">
        <v>25.546548811403898</v>
      </c>
      <c r="J1352" s="3">
        <v>25.546548811403898</v>
      </c>
    </row>
    <row r="1353" spans="2:10" x14ac:dyDescent="0.25">
      <c r="B1353" t="s">
        <v>137</v>
      </c>
      <c r="C1353" t="s">
        <v>364</v>
      </c>
      <c r="D1353" t="s">
        <v>389</v>
      </c>
      <c r="E1353" t="s">
        <v>305</v>
      </c>
      <c r="F1353" s="3"/>
      <c r="G1353" s="3"/>
      <c r="H1353" s="3"/>
      <c r="I1353" s="3">
        <v>25.546548811403898</v>
      </c>
      <c r="J1353" s="3">
        <v>25.546548811403898</v>
      </c>
    </row>
    <row r="1354" spans="2:10" x14ac:dyDescent="0.25">
      <c r="B1354" t="s">
        <v>137</v>
      </c>
      <c r="C1354" t="s">
        <v>364</v>
      </c>
      <c r="D1354" t="s">
        <v>389</v>
      </c>
      <c r="E1354" t="s">
        <v>306</v>
      </c>
      <c r="F1354" s="3"/>
      <c r="G1354" s="3"/>
      <c r="H1354" s="3"/>
      <c r="I1354" s="3">
        <v>25.546548811403898</v>
      </c>
      <c r="J1354" s="3">
        <v>25.546548811403898</v>
      </c>
    </row>
    <row r="1355" spans="2:10" x14ac:dyDescent="0.25">
      <c r="B1355" t="s">
        <v>137</v>
      </c>
      <c r="C1355" t="s">
        <v>364</v>
      </c>
      <c r="D1355" t="s">
        <v>389</v>
      </c>
      <c r="E1355" t="s">
        <v>307</v>
      </c>
      <c r="F1355" s="3"/>
      <c r="G1355" s="3"/>
      <c r="H1355" s="3"/>
      <c r="I1355" s="3">
        <v>25.546548811403898</v>
      </c>
      <c r="J1355" s="3">
        <v>25.546548811403898</v>
      </c>
    </row>
    <row r="1356" spans="2:10" x14ac:dyDescent="0.25">
      <c r="B1356" t="s">
        <v>137</v>
      </c>
      <c r="C1356" t="s">
        <v>364</v>
      </c>
      <c r="D1356" t="s">
        <v>389</v>
      </c>
      <c r="E1356" t="s">
        <v>308</v>
      </c>
      <c r="F1356" s="3"/>
      <c r="G1356" s="3"/>
      <c r="H1356" s="3"/>
      <c r="I1356" s="3">
        <v>25.546548811403898</v>
      </c>
      <c r="J1356" s="3">
        <v>25.546548811403898</v>
      </c>
    </row>
    <row r="1357" spans="2:10" x14ac:dyDescent="0.25">
      <c r="B1357" t="s">
        <v>137</v>
      </c>
      <c r="C1357" t="s">
        <v>364</v>
      </c>
      <c r="D1357" t="s">
        <v>389</v>
      </c>
      <c r="E1357" t="s">
        <v>309</v>
      </c>
      <c r="F1357" s="3"/>
      <c r="G1357" s="3"/>
      <c r="H1357" s="3"/>
      <c r="I1357" s="3">
        <v>25.546548811403898</v>
      </c>
      <c r="J1357" s="3">
        <v>25.546548811403898</v>
      </c>
    </row>
    <row r="1358" spans="2:10" x14ac:dyDescent="0.25">
      <c r="B1358" t="s">
        <v>137</v>
      </c>
      <c r="C1358" t="s">
        <v>364</v>
      </c>
      <c r="D1358" t="s">
        <v>389</v>
      </c>
      <c r="E1358" t="s">
        <v>310</v>
      </c>
      <c r="F1358" s="3"/>
      <c r="G1358" s="3"/>
      <c r="H1358" s="3"/>
      <c r="I1358" s="3">
        <v>25.546548811403898</v>
      </c>
      <c r="J1358" s="3">
        <v>25.546548811403898</v>
      </c>
    </row>
    <row r="1359" spans="2:10" x14ac:dyDescent="0.25">
      <c r="B1359" t="s">
        <v>137</v>
      </c>
      <c r="C1359" t="s">
        <v>364</v>
      </c>
      <c r="D1359" t="s">
        <v>389</v>
      </c>
      <c r="E1359" t="s">
        <v>311</v>
      </c>
      <c r="F1359" s="3"/>
      <c r="G1359" s="3"/>
      <c r="H1359" s="3"/>
      <c r="I1359" s="3">
        <v>25.546548811403898</v>
      </c>
      <c r="J1359" s="3">
        <v>25.546548811403898</v>
      </c>
    </row>
    <row r="1360" spans="2:10" x14ac:dyDescent="0.25">
      <c r="B1360" t="s">
        <v>137</v>
      </c>
      <c r="C1360" t="s">
        <v>364</v>
      </c>
      <c r="D1360" t="s">
        <v>389</v>
      </c>
      <c r="E1360" t="s">
        <v>312</v>
      </c>
      <c r="F1360" s="3"/>
      <c r="G1360" s="3"/>
      <c r="H1360" s="3"/>
      <c r="I1360" s="3">
        <v>25.546548811403898</v>
      </c>
      <c r="J1360" s="3">
        <v>25.546548811403898</v>
      </c>
    </row>
    <row r="1361" spans="2:10" x14ac:dyDescent="0.25">
      <c r="B1361" t="s">
        <v>137</v>
      </c>
      <c r="C1361" t="s">
        <v>364</v>
      </c>
      <c r="D1361" t="s">
        <v>390</v>
      </c>
      <c r="E1361" t="s">
        <v>51</v>
      </c>
      <c r="F1361" s="3"/>
      <c r="G1361" s="3"/>
      <c r="H1361" s="3"/>
      <c r="I1361" s="3">
        <v>25.879090166851999</v>
      </c>
      <c r="J1361" s="3">
        <v>25.879090166851999</v>
      </c>
    </row>
    <row r="1362" spans="2:10" x14ac:dyDescent="0.25">
      <c r="B1362" t="s">
        <v>137</v>
      </c>
      <c r="C1362" t="s">
        <v>364</v>
      </c>
      <c r="D1362" t="s">
        <v>390</v>
      </c>
      <c r="E1362" t="s">
        <v>196</v>
      </c>
      <c r="F1362" s="3"/>
      <c r="G1362" s="3"/>
      <c r="H1362" s="3"/>
      <c r="I1362" s="3">
        <v>57.635500224831198</v>
      </c>
      <c r="J1362" s="3">
        <v>57.635500224831198</v>
      </c>
    </row>
    <row r="1363" spans="2:10" x14ac:dyDescent="0.25">
      <c r="B1363" t="s">
        <v>137</v>
      </c>
      <c r="C1363" t="s">
        <v>364</v>
      </c>
      <c r="D1363" t="s">
        <v>390</v>
      </c>
      <c r="E1363" t="s">
        <v>197</v>
      </c>
      <c r="F1363" s="3"/>
      <c r="G1363" s="3"/>
      <c r="H1363" s="3"/>
      <c r="I1363" s="3">
        <v>57.635500224831198</v>
      </c>
      <c r="J1363" s="3">
        <v>57.635500224831198</v>
      </c>
    </row>
    <row r="1364" spans="2:10" x14ac:dyDescent="0.25">
      <c r="B1364" t="s">
        <v>137</v>
      </c>
      <c r="C1364" t="s">
        <v>364</v>
      </c>
      <c r="D1364" t="s">
        <v>390</v>
      </c>
      <c r="E1364" t="s">
        <v>198</v>
      </c>
      <c r="F1364" s="3"/>
      <c r="G1364" s="3"/>
      <c r="H1364" s="3"/>
      <c r="I1364" s="3">
        <v>57.635500224831198</v>
      </c>
      <c r="J1364" s="3">
        <v>57.635500224831198</v>
      </c>
    </row>
    <row r="1365" spans="2:10" x14ac:dyDescent="0.25">
      <c r="B1365" t="s">
        <v>137</v>
      </c>
      <c r="C1365" t="s">
        <v>364</v>
      </c>
      <c r="D1365" t="s">
        <v>390</v>
      </c>
      <c r="E1365" t="s">
        <v>199</v>
      </c>
      <c r="F1365" s="3"/>
      <c r="G1365" s="3"/>
      <c r="H1365" s="3"/>
      <c r="I1365" s="3">
        <v>57.635500224831198</v>
      </c>
      <c r="J1365" s="3">
        <v>57.635500224831198</v>
      </c>
    </row>
    <row r="1366" spans="2:10" x14ac:dyDescent="0.25">
      <c r="B1366" t="s">
        <v>137</v>
      </c>
      <c r="C1366" t="s">
        <v>364</v>
      </c>
      <c r="D1366" t="s">
        <v>390</v>
      </c>
      <c r="E1366" t="s">
        <v>200</v>
      </c>
      <c r="F1366" s="3"/>
      <c r="G1366" s="3"/>
      <c r="H1366" s="3"/>
      <c r="I1366" s="3">
        <v>57.635500224831198</v>
      </c>
      <c r="J1366" s="3">
        <v>57.635500224831198</v>
      </c>
    </row>
    <row r="1367" spans="2:10" x14ac:dyDescent="0.25">
      <c r="B1367" t="s">
        <v>137</v>
      </c>
      <c r="C1367" t="s">
        <v>364</v>
      </c>
      <c r="D1367" t="s">
        <v>390</v>
      </c>
      <c r="E1367" t="s">
        <v>240</v>
      </c>
      <c r="F1367" s="3"/>
      <c r="G1367" s="3"/>
      <c r="H1367" s="3"/>
      <c r="I1367" s="3">
        <v>57.635500224831198</v>
      </c>
      <c r="J1367" s="3">
        <v>57.635500224831198</v>
      </c>
    </row>
    <row r="1368" spans="2:10" x14ac:dyDescent="0.25">
      <c r="B1368" t="s">
        <v>137</v>
      </c>
      <c r="C1368" t="s">
        <v>364</v>
      </c>
      <c r="D1368" t="s">
        <v>390</v>
      </c>
      <c r="E1368" t="s">
        <v>301</v>
      </c>
      <c r="F1368" s="3"/>
      <c r="G1368" s="3"/>
      <c r="H1368" s="3"/>
      <c r="I1368" s="3">
        <v>57.635500224831198</v>
      </c>
      <c r="J1368" s="3">
        <v>57.635500224831198</v>
      </c>
    </row>
    <row r="1369" spans="2:10" x14ac:dyDescent="0.25">
      <c r="B1369" t="s">
        <v>137</v>
      </c>
      <c r="C1369" t="s">
        <v>364</v>
      </c>
      <c r="D1369" t="s">
        <v>390</v>
      </c>
      <c r="E1369" t="s">
        <v>302</v>
      </c>
      <c r="F1369" s="3"/>
      <c r="G1369" s="3"/>
      <c r="H1369" s="3"/>
      <c r="I1369" s="3">
        <v>57.635500224831198</v>
      </c>
      <c r="J1369" s="3">
        <v>57.635500224831198</v>
      </c>
    </row>
    <row r="1370" spans="2:10" x14ac:dyDescent="0.25">
      <c r="B1370" t="s">
        <v>137</v>
      </c>
      <c r="C1370" t="s">
        <v>364</v>
      </c>
      <c r="D1370" t="s">
        <v>390</v>
      </c>
      <c r="E1370" t="s">
        <v>303</v>
      </c>
      <c r="F1370" s="3"/>
      <c r="G1370" s="3"/>
      <c r="H1370" s="3"/>
      <c r="I1370" s="3">
        <v>37.509400930962101</v>
      </c>
      <c r="J1370" s="3">
        <v>37.509400930962101</v>
      </c>
    </row>
    <row r="1371" spans="2:10" x14ac:dyDescent="0.25">
      <c r="B1371" t="s">
        <v>137</v>
      </c>
      <c r="C1371" t="s">
        <v>364</v>
      </c>
      <c r="D1371" t="s">
        <v>390</v>
      </c>
      <c r="E1371" t="s">
        <v>304</v>
      </c>
      <c r="F1371" s="3"/>
      <c r="G1371" s="3"/>
      <c r="H1371" s="3"/>
      <c r="I1371" s="3">
        <v>26.6407356200415</v>
      </c>
      <c r="J1371" s="3">
        <v>26.6407356200415</v>
      </c>
    </row>
    <row r="1372" spans="2:10" x14ac:dyDescent="0.25">
      <c r="B1372" t="s">
        <v>137</v>
      </c>
      <c r="C1372" t="s">
        <v>364</v>
      </c>
      <c r="D1372" t="s">
        <v>390</v>
      </c>
      <c r="E1372" t="s">
        <v>305</v>
      </c>
      <c r="F1372" s="3"/>
      <c r="G1372" s="3"/>
      <c r="H1372" s="3"/>
      <c r="I1372" s="3">
        <v>25.688922991606201</v>
      </c>
      <c r="J1372" s="3">
        <v>25.688922991606201</v>
      </c>
    </row>
    <row r="1373" spans="2:10" x14ac:dyDescent="0.25">
      <c r="B1373" t="s">
        <v>137</v>
      </c>
      <c r="C1373" t="s">
        <v>364</v>
      </c>
      <c r="D1373" t="s">
        <v>390</v>
      </c>
      <c r="E1373" t="s">
        <v>306</v>
      </c>
      <c r="F1373" s="3"/>
      <c r="G1373" s="3"/>
      <c r="H1373" s="3"/>
      <c r="I1373" s="3">
        <v>20.642250859262301</v>
      </c>
      <c r="J1373" s="3">
        <v>20.642250859262301</v>
      </c>
    </row>
    <row r="1374" spans="2:10" x14ac:dyDescent="0.25">
      <c r="B1374" t="s">
        <v>137</v>
      </c>
      <c r="C1374" t="s">
        <v>364</v>
      </c>
      <c r="D1374" t="s">
        <v>390</v>
      </c>
      <c r="E1374" t="s">
        <v>307</v>
      </c>
      <c r="F1374" s="3"/>
      <c r="G1374" s="3"/>
      <c r="H1374" s="3"/>
      <c r="I1374" s="3">
        <v>22.665416398032299</v>
      </c>
      <c r="J1374" s="3">
        <v>22.665416398032299</v>
      </c>
    </row>
    <row r="1375" spans="2:10" x14ac:dyDescent="0.25">
      <c r="B1375" t="s">
        <v>137</v>
      </c>
      <c r="C1375" t="s">
        <v>364</v>
      </c>
      <c r="D1375" t="s">
        <v>390</v>
      </c>
      <c r="E1375" t="s">
        <v>308</v>
      </c>
      <c r="F1375" s="3"/>
      <c r="G1375" s="3"/>
      <c r="H1375" s="3"/>
      <c r="I1375" s="3">
        <v>31.435489664927701</v>
      </c>
      <c r="J1375" s="3">
        <v>31.435489664927701</v>
      </c>
    </row>
    <row r="1376" spans="2:10" x14ac:dyDescent="0.25">
      <c r="B1376" t="s">
        <v>137</v>
      </c>
      <c r="C1376" t="s">
        <v>364</v>
      </c>
      <c r="D1376" t="s">
        <v>390</v>
      </c>
      <c r="E1376" t="s">
        <v>309</v>
      </c>
      <c r="F1376" s="3"/>
      <c r="G1376" s="3"/>
      <c r="H1376" s="3"/>
      <c r="I1376" s="3">
        <v>26.9044664026341</v>
      </c>
      <c r="J1376" s="3">
        <v>26.9044664026341</v>
      </c>
    </row>
    <row r="1377" spans="2:10" x14ac:dyDescent="0.25">
      <c r="B1377" t="s">
        <v>137</v>
      </c>
      <c r="C1377" t="s">
        <v>364</v>
      </c>
      <c r="D1377" t="s">
        <v>390</v>
      </c>
      <c r="E1377" t="s">
        <v>310</v>
      </c>
      <c r="F1377" s="3"/>
      <c r="G1377" s="3"/>
      <c r="H1377" s="3"/>
      <c r="I1377" s="3">
        <v>14.582266640568299</v>
      </c>
      <c r="J1377" s="3">
        <v>14.582266640568299</v>
      </c>
    </row>
    <row r="1378" spans="2:10" x14ac:dyDescent="0.25">
      <c r="B1378" t="s">
        <v>137</v>
      </c>
      <c r="C1378" t="s">
        <v>364</v>
      </c>
      <c r="D1378" t="s">
        <v>391</v>
      </c>
      <c r="E1378" t="s">
        <v>46</v>
      </c>
      <c r="F1378" s="3"/>
      <c r="G1378" s="3"/>
      <c r="H1378" s="3"/>
      <c r="I1378" s="3">
        <v>83.403992994746105</v>
      </c>
      <c r="J1378" s="3">
        <v>83.403992994746105</v>
      </c>
    </row>
    <row r="1379" spans="2:10" x14ac:dyDescent="0.25">
      <c r="B1379" t="s">
        <v>137</v>
      </c>
      <c r="C1379" t="s">
        <v>364</v>
      </c>
      <c r="D1379" t="s">
        <v>391</v>
      </c>
      <c r="E1379" t="s">
        <v>47</v>
      </c>
      <c r="F1379" s="3"/>
      <c r="G1379" s="3"/>
      <c r="H1379" s="3"/>
      <c r="I1379" s="3">
        <v>83.403992994746105</v>
      </c>
      <c r="J1379" s="3">
        <v>83.403992994746105</v>
      </c>
    </row>
    <row r="1380" spans="2:10" x14ac:dyDescent="0.25">
      <c r="B1380" t="s">
        <v>137</v>
      </c>
      <c r="C1380" t="s">
        <v>364</v>
      </c>
      <c r="D1380" t="s">
        <v>391</v>
      </c>
      <c r="E1380" t="s">
        <v>48</v>
      </c>
      <c r="F1380" s="3"/>
      <c r="G1380" s="3"/>
      <c r="H1380" s="3"/>
      <c r="I1380" s="3">
        <v>83.403992994746105</v>
      </c>
      <c r="J1380" s="3">
        <v>83.403992994746105</v>
      </c>
    </row>
    <row r="1381" spans="2:10" x14ac:dyDescent="0.25">
      <c r="B1381" t="s">
        <v>137</v>
      </c>
      <c r="C1381" t="s">
        <v>364</v>
      </c>
      <c r="D1381" t="s">
        <v>391</v>
      </c>
      <c r="E1381" t="s">
        <v>49</v>
      </c>
      <c r="F1381" s="3"/>
      <c r="G1381" s="3"/>
      <c r="H1381" s="3"/>
      <c r="I1381" s="3">
        <v>83.403992994746105</v>
      </c>
      <c r="J1381" s="3">
        <v>83.403992994746105</v>
      </c>
    </row>
    <row r="1382" spans="2:10" x14ac:dyDescent="0.25">
      <c r="B1382" t="s">
        <v>137</v>
      </c>
      <c r="C1382" t="s">
        <v>364</v>
      </c>
      <c r="D1382" t="s">
        <v>391</v>
      </c>
      <c r="E1382" t="s">
        <v>50</v>
      </c>
      <c r="F1382" s="3"/>
      <c r="G1382" s="3"/>
      <c r="H1382" s="3"/>
      <c r="I1382" s="3">
        <v>83.403992994746105</v>
      </c>
      <c r="J1382" s="3">
        <v>83.403992994746105</v>
      </c>
    </row>
    <row r="1383" spans="2:10" x14ac:dyDescent="0.25">
      <c r="B1383" t="s">
        <v>137</v>
      </c>
      <c r="C1383" t="s">
        <v>364</v>
      </c>
      <c r="D1383" t="s">
        <v>391</v>
      </c>
      <c r="E1383" t="s">
        <v>51</v>
      </c>
      <c r="F1383" s="3"/>
      <c r="G1383" s="3"/>
      <c r="H1383" s="3"/>
      <c r="I1383" s="3">
        <v>83.403992994746105</v>
      </c>
      <c r="J1383" s="3">
        <v>83.403992994746105</v>
      </c>
    </row>
    <row r="1384" spans="2:10" x14ac:dyDescent="0.25">
      <c r="B1384" t="s">
        <v>137</v>
      </c>
      <c r="C1384" t="s">
        <v>364</v>
      </c>
      <c r="D1384" t="s">
        <v>391</v>
      </c>
      <c r="E1384" t="s">
        <v>196</v>
      </c>
      <c r="F1384" s="3"/>
      <c r="G1384" s="3"/>
      <c r="H1384" s="3"/>
      <c r="I1384" s="3">
        <v>83.403992994746105</v>
      </c>
      <c r="J1384" s="3">
        <v>83.403992994746105</v>
      </c>
    </row>
    <row r="1385" spans="2:10" x14ac:dyDescent="0.25">
      <c r="B1385" t="s">
        <v>137</v>
      </c>
      <c r="C1385" t="s">
        <v>364</v>
      </c>
      <c r="D1385" t="s">
        <v>391</v>
      </c>
      <c r="E1385" t="s">
        <v>197</v>
      </c>
      <c r="F1385" s="3"/>
      <c r="G1385" s="3"/>
      <c r="H1385" s="3"/>
      <c r="I1385" s="3">
        <v>83.403992994746105</v>
      </c>
      <c r="J1385" s="3">
        <v>83.403992994746105</v>
      </c>
    </row>
    <row r="1386" spans="2:10" x14ac:dyDescent="0.25">
      <c r="B1386" t="s">
        <v>137</v>
      </c>
      <c r="C1386" t="s">
        <v>364</v>
      </c>
      <c r="D1386" t="s">
        <v>391</v>
      </c>
      <c r="E1386" t="s">
        <v>198</v>
      </c>
      <c r="F1386" s="3"/>
      <c r="G1386" s="3"/>
      <c r="H1386" s="3"/>
      <c r="I1386" s="3">
        <v>83.403992994746105</v>
      </c>
      <c r="J1386" s="3">
        <v>83.403992994746105</v>
      </c>
    </row>
    <row r="1387" spans="2:10" x14ac:dyDescent="0.25">
      <c r="B1387" t="s">
        <v>137</v>
      </c>
      <c r="C1387" t="s">
        <v>364</v>
      </c>
      <c r="D1387" t="s">
        <v>391</v>
      </c>
      <c r="E1387" t="s">
        <v>199</v>
      </c>
      <c r="F1387" s="3"/>
      <c r="G1387" s="3"/>
      <c r="H1387" s="3"/>
      <c r="I1387" s="3">
        <v>83.403992994746105</v>
      </c>
      <c r="J1387" s="3">
        <v>83.403992994746105</v>
      </c>
    </row>
    <row r="1388" spans="2:10" x14ac:dyDescent="0.25">
      <c r="B1388" t="s">
        <v>137</v>
      </c>
      <c r="C1388" t="s">
        <v>364</v>
      </c>
      <c r="D1388" t="s">
        <v>391</v>
      </c>
      <c r="E1388" t="s">
        <v>200</v>
      </c>
      <c r="F1388" s="3"/>
      <c r="G1388" s="3"/>
      <c r="H1388" s="3"/>
      <c r="I1388" s="3">
        <v>83.403992994746105</v>
      </c>
      <c r="J1388" s="3">
        <v>83.403992994746105</v>
      </c>
    </row>
    <row r="1389" spans="2:10" x14ac:dyDescent="0.25">
      <c r="B1389" t="s">
        <v>137</v>
      </c>
      <c r="C1389" t="s">
        <v>364</v>
      </c>
      <c r="D1389" t="s">
        <v>391</v>
      </c>
      <c r="E1389" t="s">
        <v>240</v>
      </c>
      <c r="F1389" s="3"/>
      <c r="G1389" s="3"/>
      <c r="H1389" s="3"/>
      <c r="I1389" s="3">
        <v>83.403992994746105</v>
      </c>
      <c r="J1389" s="3">
        <v>83.403992994746105</v>
      </c>
    </row>
    <row r="1390" spans="2:10" x14ac:dyDescent="0.25">
      <c r="B1390" t="s">
        <v>137</v>
      </c>
      <c r="C1390" t="s">
        <v>364</v>
      </c>
      <c r="D1390" t="s">
        <v>391</v>
      </c>
      <c r="E1390" t="s">
        <v>301</v>
      </c>
      <c r="F1390" s="3"/>
      <c r="G1390" s="3"/>
      <c r="H1390" s="3"/>
      <c r="I1390" s="3">
        <v>83.403992994746105</v>
      </c>
      <c r="J1390" s="3">
        <v>83.403992994746105</v>
      </c>
    </row>
    <row r="1391" spans="2:10" x14ac:dyDescent="0.25">
      <c r="B1391" t="s">
        <v>137</v>
      </c>
      <c r="C1391" t="s">
        <v>364</v>
      </c>
      <c r="D1391" t="s">
        <v>391</v>
      </c>
      <c r="E1391" t="s">
        <v>302</v>
      </c>
      <c r="F1391" s="3"/>
      <c r="G1391" s="3"/>
      <c r="H1391" s="3"/>
      <c r="I1391" s="3">
        <v>83.403992994746105</v>
      </c>
      <c r="J1391" s="3">
        <v>83.403992994746105</v>
      </c>
    </row>
    <row r="1392" spans="2:10" x14ac:dyDescent="0.25">
      <c r="B1392" t="s">
        <v>137</v>
      </c>
      <c r="C1392" t="s">
        <v>364</v>
      </c>
      <c r="D1392" t="s">
        <v>391</v>
      </c>
      <c r="E1392" t="s">
        <v>303</v>
      </c>
      <c r="F1392" s="3"/>
      <c r="G1392" s="3"/>
      <c r="H1392" s="3"/>
      <c r="I1392" s="3">
        <v>83.403992994746105</v>
      </c>
      <c r="J1392" s="3">
        <v>83.403992994746105</v>
      </c>
    </row>
    <row r="1393" spans="2:10" x14ac:dyDescent="0.25">
      <c r="B1393" t="s">
        <v>137</v>
      </c>
      <c r="C1393" t="s">
        <v>364</v>
      </c>
      <c r="D1393" t="s">
        <v>391</v>
      </c>
      <c r="E1393" t="s">
        <v>304</v>
      </c>
      <c r="F1393" s="3"/>
      <c r="G1393" s="3"/>
      <c r="H1393" s="3"/>
      <c r="I1393" s="3">
        <v>83.403992994746105</v>
      </c>
      <c r="J1393" s="3">
        <v>83.403992994746105</v>
      </c>
    </row>
    <row r="1394" spans="2:10" x14ac:dyDescent="0.25">
      <c r="B1394" t="s">
        <v>137</v>
      </c>
      <c r="C1394" t="s">
        <v>364</v>
      </c>
      <c r="D1394" t="s">
        <v>391</v>
      </c>
      <c r="E1394" t="s">
        <v>305</v>
      </c>
      <c r="F1394" s="3"/>
      <c r="G1394" s="3"/>
      <c r="H1394" s="3"/>
      <c r="I1394" s="3">
        <v>83.403992994746105</v>
      </c>
      <c r="J1394" s="3">
        <v>83.403992994746105</v>
      </c>
    </row>
    <row r="1395" spans="2:10" x14ac:dyDescent="0.25">
      <c r="B1395" t="s">
        <v>137</v>
      </c>
      <c r="C1395" t="s">
        <v>364</v>
      </c>
      <c r="D1395" t="s">
        <v>391</v>
      </c>
      <c r="E1395" t="s">
        <v>306</v>
      </c>
      <c r="F1395" s="3"/>
      <c r="G1395" s="3"/>
      <c r="H1395" s="3"/>
      <c r="I1395" s="3">
        <v>83.403992994746105</v>
      </c>
      <c r="J1395" s="3">
        <v>83.403992994746105</v>
      </c>
    </row>
    <row r="1396" spans="2:10" x14ac:dyDescent="0.25">
      <c r="B1396" t="s">
        <v>137</v>
      </c>
      <c r="C1396" t="s">
        <v>364</v>
      </c>
      <c r="D1396" t="s">
        <v>391</v>
      </c>
      <c r="E1396" t="s">
        <v>307</v>
      </c>
      <c r="F1396" s="3"/>
      <c r="G1396" s="3"/>
      <c r="H1396" s="3"/>
      <c r="I1396" s="3">
        <v>83.403992994746105</v>
      </c>
      <c r="J1396" s="3">
        <v>83.403992994746105</v>
      </c>
    </row>
    <row r="1397" spans="2:10" x14ac:dyDescent="0.25">
      <c r="B1397" t="s">
        <v>137</v>
      </c>
      <c r="C1397" t="s">
        <v>364</v>
      </c>
      <c r="D1397" t="s">
        <v>391</v>
      </c>
      <c r="E1397" t="s">
        <v>308</v>
      </c>
      <c r="F1397" s="3"/>
      <c r="G1397" s="3"/>
      <c r="H1397" s="3"/>
      <c r="I1397" s="3">
        <v>83.403992994746105</v>
      </c>
      <c r="J1397" s="3">
        <v>83.403992994746105</v>
      </c>
    </row>
    <row r="1398" spans="2:10" x14ac:dyDescent="0.25">
      <c r="B1398" t="s">
        <v>137</v>
      </c>
      <c r="C1398" t="s">
        <v>364</v>
      </c>
      <c r="D1398" t="s">
        <v>391</v>
      </c>
      <c r="E1398" t="s">
        <v>309</v>
      </c>
      <c r="F1398" s="3"/>
      <c r="G1398" s="3"/>
      <c r="H1398" s="3"/>
      <c r="I1398" s="3">
        <v>83.403992994746105</v>
      </c>
      <c r="J1398" s="3">
        <v>83.403992994746105</v>
      </c>
    </row>
    <row r="1399" spans="2:10" x14ac:dyDescent="0.25">
      <c r="B1399" t="s">
        <v>137</v>
      </c>
      <c r="C1399" t="s">
        <v>364</v>
      </c>
      <c r="D1399" t="s">
        <v>391</v>
      </c>
      <c r="E1399" t="s">
        <v>310</v>
      </c>
      <c r="F1399" s="3"/>
      <c r="G1399" s="3"/>
      <c r="H1399" s="3"/>
      <c r="I1399" s="3">
        <v>83.403992994746105</v>
      </c>
      <c r="J1399" s="3">
        <v>83.403992994746105</v>
      </c>
    </row>
    <row r="1400" spans="2:10" x14ac:dyDescent="0.25">
      <c r="B1400" t="s">
        <v>137</v>
      </c>
      <c r="C1400" t="s">
        <v>364</v>
      </c>
      <c r="D1400" t="s">
        <v>391</v>
      </c>
      <c r="E1400" t="s">
        <v>311</v>
      </c>
      <c r="F1400" s="3"/>
      <c r="G1400" s="3"/>
      <c r="H1400" s="3"/>
      <c r="I1400" s="3">
        <v>83.403992994746105</v>
      </c>
      <c r="J1400" s="3">
        <v>83.403992994746105</v>
      </c>
    </row>
    <row r="1401" spans="2:10" x14ac:dyDescent="0.25">
      <c r="B1401" t="s">
        <v>137</v>
      </c>
      <c r="C1401" t="s">
        <v>364</v>
      </c>
      <c r="D1401" t="s">
        <v>391</v>
      </c>
      <c r="E1401" t="s">
        <v>312</v>
      </c>
      <c r="F1401" s="3"/>
      <c r="G1401" s="3"/>
      <c r="H1401" s="3"/>
      <c r="I1401" s="3">
        <v>83.403992994746105</v>
      </c>
      <c r="J1401" s="3">
        <v>83.403992994746105</v>
      </c>
    </row>
    <row r="1402" spans="2:10" x14ac:dyDescent="0.25">
      <c r="B1402" t="s">
        <v>137</v>
      </c>
      <c r="C1402" t="s">
        <v>364</v>
      </c>
      <c r="D1402" t="s">
        <v>392</v>
      </c>
      <c r="E1402" t="s">
        <v>46</v>
      </c>
      <c r="F1402" s="3"/>
      <c r="G1402" s="3"/>
      <c r="H1402" s="3"/>
      <c r="I1402" s="3">
        <v>8.7903677758318803</v>
      </c>
      <c r="J1402" s="3">
        <v>8.7903677758318803</v>
      </c>
    </row>
    <row r="1403" spans="2:10" x14ac:dyDescent="0.25">
      <c r="B1403" t="s">
        <v>137</v>
      </c>
      <c r="C1403" t="s">
        <v>364</v>
      </c>
      <c r="D1403" t="s">
        <v>392</v>
      </c>
      <c r="E1403" t="s">
        <v>47</v>
      </c>
      <c r="F1403" s="3"/>
      <c r="G1403" s="3"/>
      <c r="H1403" s="3"/>
      <c r="I1403" s="3">
        <v>8.7903677758318803</v>
      </c>
      <c r="J1403" s="3">
        <v>8.7903677758318803</v>
      </c>
    </row>
    <row r="1404" spans="2:10" x14ac:dyDescent="0.25">
      <c r="B1404" t="s">
        <v>137</v>
      </c>
      <c r="C1404" t="s">
        <v>364</v>
      </c>
      <c r="D1404" t="s">
        <v>392</v>
      </c>
      <c r="E1404" t="s">
        <v>48</v>
      </c>
      <c r="F1404" s="3"/>
      <c r="G1404" s="3"/>
      <c r="H1404" s="3"/>
      <c r="I1404" s="3">
        <v>8.7903677758318803</v>
      </c>
      <c r="J1404" s="3">
        <v>8.7903677758318803</v>
      </c>
    </row>
    <row r="1405" spans="2:10" x14ac:dyDescent="0.25">
      <c r="B1405" t="s">
        <v>137</v>
      </c>
      <c r="C1405" t="s">
        <v>364</v>
      </c>
      <c r="D1405" t="s">
        <v>392</v>
      </c>
      <c r="E1405" t="s">
        <v>49</v>
      </c>
      <c r="F1405" s="3"/>
      <c r="G1405" s="3"/>
      <c r="H1405" s="3"/>
      <c r="I1405" s="3">
        <v>8.7903677758318803</v>
      </c>
      <c r="J1405" s="3">
        <v>8.7903677758318803</v>
      </c>
    </row>
    <row r="1406" spans="2:10" x14ac:dyDescent="0.25">
      <c r="B1406" t="s">
        <v>137</v>
      </c>
      <c r="C1406" t="s">
        <v>364</v>
      </c>
      <c r="D1406" t="s">
        <v>392</v>
      </c>
      <c r="E1406" t="s">
        <v>50</v>
      </c>
      <c r="F1406" s="3"/>
      <c r="G1406" s="3"/>
      <c r="H1406" s="3"/>
      <c r="I1406" s="3">
        <v>8.7903677758318803</v>
      </c>
      <c r="J1406" s="3">
        <v>8.7903677758318803</v>
      </c>
    </row>
    <row r="1407" spans="2:10" x14ac:dyDescent="0.25">
      <c r="B1407" t="s">
        <v>137</v>
      </c>
      <c r="C1407" t="s">
        <v>364</v>
      </c>
      <c r="D1407" t="s">
        <v>392</v>
      </c>
      <c r="E1407" t="s">
        <v>51</v>
      </c>
      <c r="F1407" s="3"/>
      <c r="G1407" s="3"/>
      <c r="H1407" s="3"/>
      <c r="I1407" s="3">
        <v>8.7903677758318803</v>
      </c>
      <c r="J1407" s="3">
        <v>8.7903677758318803</v>
      </c>
    </row>
    <row r="1408" spans="2:10" x14ac:dyDescent="0.25">
      <c r="B1408" t="s">
        <v>137</v>
      </c>
      <c r="C1408" t="s">
        <v>364</v>
      </c>
      <c r="D1408" t="s">
        <v>392</v>
      </c>
      <c r="E1408" t="s">
        <v>196</v>
      </c>
      <c r="F1408" s="3"/>
      <c r="G1408" s="3"/>
      <c r="H1408" s="3"/>
      <c r="I1408" s="3">
        <v>8.7903677758318803</v>
      </c>
      <c r="J1408" s="3">
        <v>8.7903677758318803</v>
      </c>
    </row>
    <row r="1409" spans="2:10" x14ac:dyDescent="0.25">
      <c r="B1409" t="s">
        <v>137</v>
      </c>
      <c r="C1409" t="s">
        <v>364</v>
      </c>
      <c r="D1409" t="s">
        <v>392</v>
      </c>
      <c r="E1409" t="s">
        <v>197</v>
      </c>
      <c r="F1409" s="3"/>
      <c r="G1409" s="3"/>
      <c r="H1409" s="3"/>
      <c r="I1409" s="3">
        <v>8.7903677758318803</v>
      </c>
      <c r="J1409" s="3">
        <v>8.7903677758318803</v>
      </c>
    </row>
    <row r="1410" spans="2:10" x14ac:dyDescent="0.25">
      <c r="B1410" t="s">
        <v>137</v>
      </c>
      <c r="C1410" t="s">
        <v>364</v>
      </c>
      <c r="D1410" t="s">
        <v>392</v>
      </c>
      <c r="E1410" t="s">
        <v>198</v>
      </c>
      <c r="F1410" s="3"/>
      <c r="G1410" s="3"/>
      <c r="H1410" s="3"/>
      <c r="I1410" s="3">
        <v>8.7903677758318803</v>
      </c>
      <c r="J1410" s="3">
        <v>8.7903677758318803</v>
      </c>
    </row>
    <row r="1411" spans="2:10" x14ac:dyDescent="0.25">
      <c r="B1411" t="s">
        <v>137</v>
      </c>
      <c r="C1411" t="s">
        <v>364</v>
      </c>
      <c r="D1411" t="s">
        <v>392</v>
      </c>
      <c r="E1411" t="s">
        <v>199</v>
      </c>
      <c r="F1411" s="3"/>
      <c r="G1411" s="3"/>
      <c r="H1411" s="3"/>
      <c r="I1411" s="3">
        <v>8.7903677758318803</v>
      </c>
      <c r="J1411" s="3">
        <v>8.7903677758318803</v>
      </c>
    </row>
    <row r="1412" spans="2:10" x14ac:dyDescent="0.25">
      <c r="B1412" t="s">
        <v>137</v>
      </c>
      <c r="C1412" t="s">
        <v>364</v>
      </c>
      <c r="D1412" t="s">
        <v>392</v>
      </c>
      <c r="E1412" t="s">
        <v>200</v>
      </c>
      <c r="F1412" s="3"/>
      <c r="G1412" s="3"/>
      <c r="H1412" s="3"/>
      <c r="I1412" s="3">
        <v>8.7903677758318803</v>
      </c>
      <c r="J1412" s="3">
        <v>8.7903677758318803</v>
      </c>
    </row>
    <row r="1413" spans="2:10" x14ac:dyDescent="0.25">
      <c r="B1413" t="s">
        <v>137</v>
      </c>
      <c r="C1413" t="s">
        <v>364</v>
      </c>
      <c r="D1413" t="s">
        <v>392</v>
      </c>
      <c r="E1413" t="s">
        <v>240</v>
      </c>
      <c r="F1413" s="3"/>
      <c r="G1413" s="3"/>
      <c r="H1413" s="3"/>
      <c r="I1413" s="3">
        <v>8.7903677758318803</v>
      </c>
      <c r="J1413" s="3">
        <v>8.7903677758318803</v>
      </c>
    </row>
    <row r="1414" spans="2:10" x14ac:dyDescent="0.25">
      <c r="B1414" t="s">
        <v>137</v>
      </c>
      <c r="C1414" t="s">
        <v>364</v>
      </c>
      <c r="D1414" t="s">
        <v>392</v>
      </c>
      <c r="E1414" t="s">
        <v>301</v>
      </c>
      <c r="F1414" s="3"/>
      <c r="G1414" s="3"/>
      <c r="H1414" s="3"/>
      <c r="I1414" s="3">
        <v>8.7903677758318803</v>
      </c>
      <c r="J1414" s="3">
        <v>8.7903677758318803</v>
      </c>
    </row>
    <row r="1415" spans="2:10" x14ac:dyDescent="0.25">
      <c r="B1415" t="s">
        <v>137</v>
      </c>
      <c r="C1415" t="s">
        <v>364</v>
      </c>
      <c r="D1415" t="s">
        <v>392</v>
      </c>
      <c r="E1415" t="s">
        <v>302</v>
      </c>
      <c r="F1415" s="3"/>
      <c r="G1415" s="3"/>
      <c r="H1415" s="3"/>
      <c r="I1415" s="3">
        <v>8.7903677758318803</v>
      </c>
      <c r="J1415" s="3">
        <v>8.7903677758318803</v>
      </c>
    </row>
    <row r="1416" spans="2:10" x14ac:dyDescent="0.25">
      <c r="B1416" t="s">
        <v>137</v>
      </c>
      <c r="C1416" t="s">
        <v>364</v>
      </c>
      <c r="D1416" t="s">
        <v>392</v>
      </c>
      <c r="E1416" t="s">
        <v>303</v>
      </c>
      <c r="F1416" s="3"/>
      <c r="G1416" s="3"/>
      <c r="H1416" s="3"/>
      <c r="I1416" s="3">
        <v>8.7903677758318803</v>
      </c>
      <c r="J1416" s="3">
        <v>8.7903677758318803</v>
      </c>
    </row>
    <row r="1417" spans="2:10" x14ac:dyDescent="0.25">
      <c r="B1417" t="s">
        <v>137</v>
      </c>
      <c r="C1417" t="s">
        <v>364</v>
      </c>
      <c r="D1417" t="s">
        <v>392</v>
      </c>
      <c r="E1417" t="s">
        <v>304</v>
      </c>
      <c r="F1417" s="3"/>
      <c r="G1417" s="3"/>
      <c r="H1417" s="3"/>
      <c r="I1417" s="3">
        <v>8.7903677758318803</v>
      </c>
      <c r="J1417" s="3">
        <v>8.7903677758318803</v>
      </c>
    </row>
    <row r="1418" spans="2:10" x14ac:dyDescent="0.25">
      <c r="B1418" t="s">
        <v>137</v>
      </c>
      <c r="C1418" t="s">
        <v>364</v>
      </c>
      <c r="D1418" t="s">
        <v>392</v>
      </c>
      <c r="E1418" t="s">
        <v>305</v>
      </c>
      <c r="F1418" s="3"/>
      <c r="G1418" s="3"/>
      <c r="H1418" s="3"/>
      <c r="I1418" s="3">
        <v>8.7903677758318803</v>
      </c>
      <c r="J1418" s="3">
        <v>8.7903677758318803</v>
      </c>
    </row>
    <row r="1419" spans="2:10" x14ac:dyDescent="0.25">
      <c r="B1419" t="s">
        <v>137</v>
      </c>
      <c r="C1419" t="s">
        <v>364</v>
      </c>
      <c r="D1419" t="s">
        <v>392</v>
      </c>
      <c r="E1419" t="s">
        <v>306</v>
      </c>
      <c r="F1419" s="3"/>
      <c r="G1419" s="3"/>
      <c r="H1419" s="3"/>
      <c r="I1419" s="3">
        <v>8.7903677758318803</v>
      </c>
      <c r="J1419" s="3">
        <v>8.7903677758318803</v>
      </c>
    </row>
    <row r="1420" spans="2:10" x14ac:dyDescent="0.25">
      <c r="B1420" t="s">
        <v>137</v>
      </c>
      <c r="C1420" t="s">
        <v>364</v>
      </c>
      <c r="D1420" t="s">
        <v>392</v>
      </c>
      <c r="E1420" t="s">
        <v>307</v>
      </c>
      <c r="F1420" s="3"/>
      <c r="G1420" s="3"/>
      <c r="H1420" s="3"/>
      <c r="I1420" s="3">
        <v>8.7903677758318803</v>
      </c>
      <c r="J1420" s="3">
        <v>8.7903677758318803</v>
      </c>
    </row>
    <row r="1421" spans="2:10" x14ac:dyDescent="0.25">
      <c r="B1421" t="s">
        <v>137</v>
      </c>
      <c r="C1421" t="s">
        <v>364</v>
      </c>
      <c r="D1421" t="s">
        <v>392</v>
      </c>
      <c r="E1421" t="s">
        <v>308</v>
      </c>
      <c r="F1421" s="3"/>
      <c r="G1421" s="3"/>
      <c r="H1421" s="3"/>
      <c r="I1421" s="3">
        <v>8.7903677758318803</v>
      </c>
      <c r="J1421" s="3">
        <v>8.7903677758318803</v>
      </c>
    </row>
    <row r="1422" spans="2:10" x14ac:dyDescent="0.25">
      <c r="B1422" t="s">
        <v>137</v>
      </c>
      <c r="C1422" t="s">
        <v>364</v>
      </c>
      <c r="D1422" t="s">
        <v>392</v>
      </c>
      <c r="E1422" t="s">
        <v>309</v>
      </c>
      <c r="F1422" s="3"/>
      <c r="G1422" s="3"/>
      <c r="H1422" s="3"/>
      <c r="I1422" s="3">
        <v>8.7903677758318803</v>
      </c>
      <c r="J1422" s="3">
        <v>8.7903677758318803</v>
      </c>
    </row>
    <row r="1423" spans="2:10" x14ac:dyDescent="0.25">
      <c r="B1423" t="s">
        <v>137</v>
      </c>
      <c r="C1423" t="s">
        <v>364</v>
      </c>
      <c r="D1423" t="s">
        <v>392</v>
      </c>
      <c r="E1423" t="s">
        <v>310</v>
      </c>
      <c r="F1423" s="3"/>
      <c r="G1423" s="3"/>
      <c r="H1423" s="3"/>
      <c r="I1423" s="3">
        <v>8.7903677758318803</v>
      </c>
      <c r="J1423" s="3">
        <v>8.7903677758318803</v>
      </c>
    </row>
    <row r="1424" spans="2:10" x14ac:dyDescent="0.25">
      <c r="B1424" t="s">
        <v>137</v>
      </c>
      <c r="C1424" t="s">
        <v>364</v>
      </c>
      <c r="D1424" t="s">
        <v>392</v>
      </c>
      <c r="E1424" t="s">
        <v>311</v>
      </c>
      <c r="F1424" s="3"/>
      <c r="G1424" s="3"/>
      <c r="H1424" s="3"/>
      <c r="I1424" s="3">
        <v>8.7903677758318803</v>
      </c>
      <c r="J1424" s="3">
        <v>8.7903677758318803</v>
      </c>
    </row>
    <row r="1425" spans="2:10" x14ac:dyDescent="0.25">
      <c r="B1425" t="s">
        <v>137</v>
      </c>
      <c r="C1425" t="s">
        <v>364</v>
      </c>
      <c r="D1425" t="s">
        <v>392</v>
      </c>
      <c r="E1425" t="s">
        <v>312</v>
      </c>
      <c r="F1425" s="3"/>
      <c r="G1425" s="3"/>
      <c r="H1425" s="3"/>
      <c r="I1425" s="3">
        <v>8.7903677758318803</v>
      </c>
      <c r="J1425" s="3">
        <v>8.7903677758318803</v>
      </c>
    </row>
    <row r="1426" spans="2:10" x14ac:dyDescent="0.25">
      <c r="B1426" t="s">
        <v>137</v>
      </c>
      <c r="C1426" t="s">
        <v>364</v>
      </c>
      <c r="D1426" t="s">
        <v>393</v>
      </c>
      <c r="E1426" t="s">
        <v>51</v>
      </c>
      <c r="F1426" s="3"/>
      <c r="G1426" s="3"/>
      <c r="H1426" s="3"/>
      <c r="I1426" s="3">
        <v>19.911618082563201</v>
      </c>
      <c r="J1426" s="3">
        <v>19.911618082563201</v>
      </c>
    </row>
    <row r="1427" spans="2:10" x14ac:dyDescent="0.25">
      <c r="B1427" t="s">
        <v>137</v>
      </c>
      <c r="C1427" t="s">
        <v>364</v>
      </c>
      <c r="D1427" t="s">
        <v>393</v>
      </c>
      <c r="E1427" t="s">
        <v>196</v>
      </c>
      <c r="F1427" s="3"/>
      <c r="G1427" s="3"/>
      <c r="H1427" s="3"/>
      <c r="I1427" s="3">
        <v>19.911618082563201</v>
      </c>
      <c r="J1427" s="3">
        <v>19.911618082563201</v>
      </c>
    </row>
    <row r="1428" spans="2:10" x14ac:dyDescent="0.25">
      <c r="B1428" t="s">
        <v>137</v>
      </c>
      <c r="C1428" t="s">
        <v>364</v>
      </c>
      <c r="D1428" t="s">
        <v>393</v>
      </c>
      <c r="E1428" t="s">
        <v>197</v>
      </c>
      <c r="F1428" s="3"/>
      <c r="G1428" s="3"/>
      <c r="H1428" s="3"/>
      <c r="I1428" s="3">
        <v>19.911618082563201</v>
      </c>
      <c r="J1428" s="3">
        <v>19.911618082563201</v>
      </c>
    </row>
    <row r="1429" spans="2:10" x14ac:dyDescent="0.25">
      <c r="B1429" t="s">
        <v>137</v>
      </c>
      <c r="C1429" t="s">
        <v>364</v>
      </c>
      <c r="D1429" t="s">
        <v>393</v>
      </c>
      <c r="E1429" t="s">
        <v>198</v>
      </c>
      <c r="F1429" s="3"/>
      <c r="G1429" s="3"/>
      <c r="H1429" s="3"/>
      <c r="I1429" s="3">
        <v>19.911618082563201</v>
      </c>
      <c r="J1429" s="3">
        <v>19.911618082563201</v>
      </c>
    </row>
    <row r="1430" spans="2:10" x14ac:dyDescent="0.25">
      <c r="B1430" t="s">
        <v>137</v>
      </c>
      <c r="C1430" t="s">
        <v>364</v>
      </c>
      <c r="D1430" t="s">
        <v>393</v>
      </c>
      <c r="E1430" t="s">
        <v>199</v>
      </c>
      <c r="F1430" s="3"/>
      <c r="G1430" s="3"/>
      <c r="H1430" s="3"/>
      <c r="I1430" s="3">
        <v>19.911618082563201</v>
      </c>
      <c r="J1430" s="3">
        <v>19.911618082563201</v>
      </c>
    </row>
    <row r="1431" spans="2:10" x14ac:dyDescent="0.25">
      <c r="B1431" t="s">
        <v>137</v>
      </c>
      <c r="C1431" t="s">
        <v>364</v>
      </c>
      <c r="D1431" t="s">
        <v>393</v>
      </c>
      <c r="E1431" t="s">
        <v>200</v>
      </c>
      <c r="F1431" s="3"/>
      <c r="G1431" s="3"/>
      <c r="H1431" s="3"/>
      <c r="I1431" s="3">
        <v>19.911618082563201</v>
      </c>
      <c r="J1431" s="3">
        <v>19.911618082563201</v>
      </c>
    </row>
    <row r="1432" spans="2:10" x14ac:dyDescent="0.25">
      <c r="B1432" t="s">
        <v>137</v>
      </c>
      <c r="C1432" t="s">
        <v>364</v>
      </c>
      <c r="D1432" t="s">
        <v>393</v>
      </c>
      <c r="E1432" t="s">
        <v>240</v>
      </c>
      <c r="F1432" s="3"/>
      <c r="G1432" s="3"/>
      <c r="H1432" s="3"/>
      <c r="I1432" s="3">
        <v>19.911618082563201</v>
      </c>
      <c r="J1432" s="3">
        <v>19.911618082563201</v>
      </c>
    </row>
    <row r="1433" spans="2:10" x14ac:dyDescent="0.25">
      <c r="B1433" t="s">
        <v>137</v>
      </c>
      <c r="C1433" t="s">
        <v>364</v>
      </c>
      <c r="D1433" t="s">
        <v>393</v>
      </c>
      <c r="E1433" t="s">
        <v>301</v>
      </c>
      <c r="F1433" s="3"/>
      <c r="G1433" s="3"/>
      <c r="H1433" s="3"/>
      <c r="I1433" s="3">
        <v>19.911618082563201</v>
      </c>
      <c r="J1433" s="3">
        <v>19.911618082563201</v>
      </c>
    </row>
    <row r="1434" spans="2:10" x14ac:dyDescent="0.25">
      <c r="B1434" t="s">
        <v>137</v>
      </c>
      <c r="C1434" t="s">
        <v>364</v>
      </c>
      <c r="D1434" t="s">
        <v>393</v>
      </c>
      <c r="E1434" t="s">
        <v>302</v>
      </c>
      <c r="F1434" s="3"/>
      <c r="G1434" s="3"/>
      <c r="H1434" s="3"/>
      <c r="I1434" s="3">
        <v>19.911618082563201</v>
      </c>
      <c r="J1434" s="3">
        <v>19.911618082563201</v>
      </c>
    </row>
    <row r="1435" spans="2:10" x14ac:dyDescent="0.25">
      <c r="B1435" t="s">
        <v>137</v>
      </c>
      <c r="C1435" t="s">
        <v>364</v>
      </c>
      <c r="D1435" t="s">
        <v>393</v>
      </c>
      <c r="E1435" t="s">
        <v>303</v>
      </c>
      <c r="F1435" s="3"/>
      <c r="G1435" s="3"/>
      <c r="H1435" s="3"/>
      <c r="I1435" s="3">
        <v>19.911618082563201</v>
      </c>
      <c r="J1435" s="3">
        <v>19.911618082563201</v>
      </c>
    </row>
    <row r="1436" spans="2:10" x14ac:dyDescent="0.25">
      <c r="B1436" t="s">
        <v>137</v>
      </c>
      <c r="C1436" t="s">
        <v>364</v>
      </c>
      <c r="D1436" t="s">
        <v>393</v>
      </c>
      <c r="E1436" t="s">
        <v>304</v>
      </c>
      <c r="F1436" s="3"/>
      <c r="G1436" s="3"/>
      <c r="H1436" s="3"/>
      <c r="I1436" s="3">
        <v>19.911618082563201</v>
      </c>
      <c r="J1436" s="3">
        <v>19.911618082563201</v>
      </c>
    </row>
    <row r="1437" spans="2:10" x14ac:dyDescent="0.25">
      <c r="B1437" t="s">
        <v>137</v>
      </c>
      <c r="C1437" t="s">
        <v>364</v>
      </c>
      <c r="D1437" t="s">
        <v>393</v>
      </c>
      <c r="E1437" t="s">
        <v>305</v>
      </c>
      <c r="F1437" s="3"/>
      <c r="G1437" s="3"/>
      <c r="H1437" s="3"/>
      <c r="I1437" s="3">
        <v>19.911618082563201</v>
      </c>
      <c r="J1437" s="3">
        <v>19.911618082563201</v>
      </c>
    </row>
    <row r="1438" spans="2:10" x14ac:dyDescent="0.25">
      <c r="B1438" t="s">
        <v>137</v>
      </c>
      <c r="C1438" t="s">
        <v>364</v>
      </c>
      <c r="D1438" t="s">
        <v>393</v>
      </c>
      <c r="E1438" t="s">
        <v>306</v>
      </c>
      <c r="F1438" s="3"/>
      <c r="G1438" s="3"/>
      <c r="H1438" s="3"/>
      <c r="I1438" s="3">
        <v>15.836746012891799</v>
      </c>
      <c r="J1438" s="3">
        <v>15.836746012891799</v>
      </c>
    </row>
    <row r="1439" spans="2:10" x14ac:dyDescent="0.25">
      <c r="B1439" t="s">
        <v>137</v>
      </c>
      <c r="C1439" t="s">
        <v>364</v>
      </c>
      <c r="D1439" t="s">
        <v>393</v>
      </c>
      <c r="E1439" t="s">
        <v>307</v>
      </c>
      <c r="F1439" s="3"/>
      <c r="G1439" s="3"/>
      <c r="H1439" s="3"/>
      <c r="I1439" s="3">
        <v>17.568782912311701</v>
      </c>
      <c r="J1439" s="3">
        <v>17.568782912311701</v>
      </c>
    </row>
    <row r="1440" spans="2:10" x14ac:dyDescent="0.25">
      <c r="B1440" t="s">
        <v>137</v>
      </c>
      <c r="C1440" t="s">
        <v>364</v>
      </c>
      <c r="D1440" t="s">
        <v>393</v>
      </c>
      <c r="E1440" t="s">
        <v>308</v>
      </c>
      <c r="F1440" s="3"/>
      <c r="G1440" s="3"/>
      <c r="H1440" s="3"/>
      <c r="I1440" s="3">
        <v>19.911618082563201</v>
      </c>
      <c r="J1440" s="3">
        <v>19.911618082563201</v>
      </c>
    </row>
    <row r="1441" spans="2:10" x14ac:dyDescent="0.25">
      <c r="B1441" t="s">
        <v>137</v>
      </c>
      <c r="C1441" t="s">
        <v>364</v>
      </c>
      <c r="D1441" t="s">
        <v>393</v>
      </c>
      <c r="E1441" t="s">
        <v>309</v>
      </c>
      <c r="F1441" s="3"/>
      <c r="G1441" s="3"/>
      <c r="H1441" s="3"/>
      <c r="I1441" s="3">
        <v>19.911618082563201</v>
      </c>
      <c r="J1441" s="3">
        <v>19.911618082563201</v>
      </c>
    </row>
    <row r="1442" spans="2:10" x14ac:dyDescent="0.25">
      <c r="B1442" t="s">
        <v>137</v>
      </c>
      <c r="C1442" t="s">
        <v>364</v>
      </c>
      <c r="D1442" t="s">
        <v>393</v>
      </c>
      <c r="E1442" t="s">
        <v>310</v>
      </c>
      <c r="F1442" s="3"/>
      <c r="G1442" s="3"/>
      <c r="H1442" s="3"/>
      <c r="I1442" s="3">
        <v>10.7289049202741</v>
      </c>
      <c r="J1442" s="3">
        <v>10.7289049202741</v>
      </c>
    </row>
    <row r="1443" spans="2:10" x14ac:dyDescent="0.25">
      <c r="B1443" t="s">
        <v>137</v>
      </c>
      <c r="C1443" t="s">
        <v>364</v>
      </c>
      <c r="D1443" t="s">
        <v>394</v>
      </c>
      <c r="E1443" t="s">
        <v>51</v>
      </c>
      <c r="F1443" s="3"/>
      <c r="G1443" s="3"/>
      <c r="H1443" s="3"/>
      <c r="I1443" s="3">
        <v>6.6405676697907703</v>
      </c>
      <c r="J1443" s="3">
        <v>6.6405676697907703</v>
      </c>
    </row>
    <row r="1444" spans="2:10" x14ac:dyDescent="0.25">
      <c r="B1444" t="s">
        <v>137</v>
      </c>
      <c r="C1444" t="s">
        <v>364</v>
      </c>
      <c r="D1444" t="s">
        <v>394</v>
      </c>
      <c r="E1444" t="s">
        <v>196</v>
      </c>
      <c r="F1444" s="3"/>
      <c r="G1444" s="3"/>
      <c r="H1444" s="3"/>
      <c r="I1444" s="3">
        <v>34.702379388107403</v>
      </c>
      <c r="J1444" s="3">
        <v>34.702379388107403</v>
      </c>
    </row>
    <row r="1445" spans="2:10" x14ac:dyDescent="0.25">
      <c r="B1445" t="s">
        <v>137</v>
      </c>
      <c r="C1445" t="s">
        <v>364</v>
      </c>
      <c r="D1445" t="s">
        <v>394</v>
      </c>
      <c r="E1445" t="s">
        <v>197</v>
      </c>
      <c r="F1445" s="3"/>
      <c r="G1445" s="3"/>
      <c r="H1445" s="3"/>
      <c r="I1445" s="3">
        <v>34.702379388107403</v>
      </c>
      <c r="J1445" s="3">
        <v>34.702379388107403</v>
      </c>
    </row>
    <row r="1446" spans="2:10" x14ac:dyDescent="0.25">
      <c r="B1446" t="s">
        <v>137</v>
      </c>
      <c r="C1446" t="s">
        <v>364</v>
      </c>
      <c r="D1446" t="s">
        <v>394</v>
      </c>
      <c r="E1446" t="s">
        <v>198</v>
      </c>
      <c r="F1446" s="3"/>
      <c r="G1446" s="3"/>
      <c r="H1446" s="3"/>
      <c r="I1446" s="3">
        <v>34.702379388107403</v>
      </c>
      <c r="J1446" s="3">
        <v>34.702379388107403</v>
      </c>
    </row>
    <row r="1447" spans="2:10" x14ac:dyDescent="0.25">
      <c r="B1447" t="s">
        <v>137</v>
      </c>
      <c r="C1447" t="s">
        <v>364</v>
      </c>
      <c r="D1447" t="s">
        <v>394</v>
      </c>
      <c r="E1447" t="s">
        <v>199</v>
      </c>
      <c r="F1447" s="3"/>
      <c r="G1447" s="3"/>
      <c r="H1447" s="3"/>
      <c r="I1447" s="3">
        <v>34.702379388107403</v>
      </c>
      <c r="J1447" s="3">
        <v>34.702379388107403</v>
      </c>
    </row>
    <row r="1448" spans="2:10" x14ac:dyDescent="0.25">
      <c r="B1448" t="s">
        <v>137</v>
      </c>
      <c r="C1448" t="s">
        <v>364</v>
      </c>
      <c r="D1448" t="s">
        <v>394</v>
      </c>
      <c r="E1448" t="s">
        <v>200</v>
      </c>
      <c r="F1448" s="3"/>
      <c r="G1448" s="3"/>
      <c r="H1448" s="3"/>
      <c r="I1448" s="3">
        <v>34.702379388107403</v>
      </c>
      <c r="J1448" s="3">
        <v>34.702379388107403</v>
      </c>
    </row>
    <row r="1449" spans="2:10" x14ac:dyDescent="0.25">
      <c r="B1449" t="s">
        <v>137</v>
      </c>
      <c r="C1449" t="s">
        <v>364</v>
      </c>
      <c r="D1449" t="s">
        <v>394</v>
      </c>
      <c r="E1449" t="s">
        <v>240</v>
      </c>
      <c r="F1449" s="3"/>
      <c r="G1449" s="3"/>
      <c r="H1449" s="3"/>
      <c r="I1449" s="3">
        <v>34.702379388107403</v>
      </c>
      <c r="J1449" s="3">
        <v>34.702379388107403</v>
      </c>
    </row>
    <row r="1450" spans="2:10" x14ac:dyDescent="0.25">
      <c r="B1450" t="s">
        <v>137</v>
      </c>
      <c r="C1450" t="s">
        <v>364</v>
      </c>
      <c r="D1450" t="s">
        <v>394</v>
      </c>
      <c r="E1450" t="s">
        <v>301</v>
      </c>
      <c r="F1450" s="3"/>
      <c r="G1450" s="3"/>
      <c r="H1450" s="3"/>
      <c r="I1450" s="3">
        <v>34.702379388107403</v>
      </c>
      <c r="J1450" s="3">
        <v>34.702379388107403</v>
      </c>
    </row>
    <row r="1451" spans="2:10" x14ac:dyDescent="0.25">
      <c r="B1451" t="s">
        <v>137</v>
      </c>
      <c r="C1451" t="s">
        <v>364</v>
      </c>
      <c r="D1451" t="s">
        <v>394</v>
      </c>
      <c r="E1451" t="s">
        <v>302</v>
      </c>
      <c r="F1451" s="3"/>
      <c r="G1451" s="3"/>
      <c r="H1451" s="3"/>
      <c r="I1451" s="3">
        <v>31.4049279416862</v>
      </c>
      <c r="J1451" s="3">
        <v>31.4049279416862</v>
      </c>
    </row>
    <row r="1452" spans="2:10" x14ac:dyDescent="0.25">
      <c r="B1452" t="s">
        <v>137</v>
      </c>
      <c r="C1452" t="s">
        <v>364</v>
      </c>
      <c r="D1452" t="s">
        <v>394</v>
      </c>
      <c r="E1452" t="s">
        <v>303</v>
      </c>
      <c r="F1452" s="3"/>
      <c r="G1452" s="3"/>
      <c r="H1452" s="3"/>
      <c r="I1452" s="3">
        <v>14.4142652880822</v>
      </c>
      <c r="J1452" s="3">
        <v>14.4142652880822</v>
      </c>
    </row>
    <row r="1453" spans="2:10" x14ac:dyDescent="0.25">
      <c r="B1453" t="s">
        <v>137</v>
      </c>
      <c r="C1453" t="s">
        <v>364</v>
      </c>
      <c r="D1453" t="s">
        <v>394</v>
      </c>
      <c r="E1453" t="s">
        <v>304</v>
      </c>
      <c r="F1453" s="3"/>
      <c r="G1453" s="3"/>
      <c r="H1453" s="3"/>
      <c r="I1453" s="3">
        <v>4.7907674669537403</v>
      </c>
      <c r="J1453" s="3">
        <v>4.7907674669537403</v>
      </c>
    </row>
    <row r="1454" spans="2:10" x14ac:dyDescent="0.25">
      <c r="B1454" t="s">
        <v>137</v>
      </c>
      <c r="C1454" t="s">
        <v>364</v>
      </c>
      <c r="D1454" t="s">
        <v>394</v>
      </c>
      <c r="E1454" t="s">
        <v>305</v>
      </c>
      <c r="F1454" s="3"/>
      <c r="G1454" s="3"/>
      <c r="H1454" s="3"/>
      <c r="I1454" s="3">
        <v>2.9049204821457502</v>
      </c>
      <c r="J1454" s="3">
        <v>2.9049204821457502</v>
      </c>
    </row>
    <row r="1455" spans="2:10" x14ac:dyDescent="0.25">
      <c r="B1455" t="s">
        <v>137</v>
      </c>
      <c r="C1455" t="s">
        <v>364</v>
      </c>
      <c r="D1455" t="s">
        <v>394</v>
      </c>
      <c r="E1455" t="s">
        <v>308</v>
      </c>
      <c r="F1455" s="3"/>
      <c r="G1455" s="3"/>
      <c r="H1455" s="3"/>
      <c r="I1455" s="3">
        <v>4.9724035074994903</v>
      </c>
      <c r="J1455" s="3">
        <v>4.9724035074994903</v>
      </c>
    </row>
    <row r="1456" spans="2:10" x14ac:dyDescent="0.25">
      <c r="B1456" t="s">
        <v>137</v>
      </c>
      <c r="C1456" t="s">
        <v>364</v>
      </c>
      <c r="D1456" t="s">
        <v>394</v>
      </c>
      <c r="E1456" t="s">
        <v>309</v>
      </c>
      <c r="F1456" s="3"/>
      <c r="G1456" s="3"/>
      <c r="H1456" s="3"/>
      <c r="I1456" s="3">
        <v>1.4606952930028101</v>
      </c>
      <c r="J1456" s="3">
        <v>1.4606952930028101</v>
      </c>
    </row>
    <row r="1457" spans="2:10" x14ac:dyDescent="0.25">
      <c r="B1457" t="s">
        <v>137</v>
      </c>
      <c r="C1457" t="s">
        <v>364</v>
      </c>
      <c r="D1457" t="s">
        <v>395</v>
      </c>
      <c r="E1457" t="s">
        <v>196</v>
      </c>
      <c r="F1457" s="3"/>
      <c r="G1457" s="3"/>
      <c r="H1457" s="3"/>
      <c r="I1457" s="3">
        <v>50.295665121193203</v>
      </c>
      <c r="J1457" s="3">
        <v>50.295665121193203</v>
      </c>
    </row>
    <row r="1458" spans="2:10" x14ac:dyDescent="0.25">
      <c r="B1458" t="s">
        <v>137</v>
      </c>
      <c r="C1458" t="s">
        <v>364</v>
      </c>
      <c r="D1458" t="s">
        <v>395</v>
      </c>
      <c r="E1458" t="s">
        <v>197</v>
      </c>
      <c r="F1458" s="3"/>
      <c r="G1458" s="3"/>
      <c r="H1458" s="3"/>
      <c r="I1458" s="3">
        <v>62.102590765023898</v>
      </c>
      <c r="J1458" s="3">
        <v>62.102590765023898</v>
      </c>
    </row>
    <row r="1459" spans="2:10" x14ac:dyDescent="0.25">
      <c r="B1459" t="s">
        <v>137</v>
      </c>
      <c r="C1459" t="s">
        <v>364</v>
      </c>
      <c r="D1459" t="s">
        <v>395</v>
      </c>
      <c r="E1459" t="s">
        <v>198</v>
      </c>
      <c r="F1459" s="3"/>
      <c r="G1459" s="3"/>
      <c r="H1459" s="3"/>
      <c r="I1459" s="3">
        <v>62.102590765023898</v>
      </c>
      <c r="J1459" s="3">
        <v>62.102590765023898</v>
      </c>
    </row>
    <row r="1460" spans="2:10" x14ac:dyDescent="0.25">
      <c r="B1460" t="s">
        <v>137</v>
      </c>
      <c r="C1460" t="s">
        <v>364</v>
      </c>
      <c r="D1460" t="s">
        <v>395</v>
      </c>
      <c r="E1460" t="s">
        <v>199</v>
      </c>
      <c r="F1460" s="3"/>
      <c r="G1460" s="3"/>
      <c r="H1460" s="3"/>
      <c r="I1460" s="3">
        <v>62.102590765023898</v>
      </c>
      <c r="J1460" s="3">
        <v>62.102590765023898</v>
      </c>
    </row>
    <row r="1461" spans="2:10" x14ac:dyDescent="0.25">
      <c r="B1461" t="s">
        <v>137</v>
      </c>
      <c r="C1461" t="s">
        <v>364</v>
      </c>
      <c r="D1461" t="s">
        <v>395</v>
      </c>
      <c r="E1461" t="s">
        <v>200</v>
      </c>
      <c r="F1461" s="3"/>
      <c r="G1461" s="3"/>
      <c r="H1461" s="3"/>
      <c r="I1461" s="3">
        <v>62.102590765023898</v>
      </c>
      <c r="J1461" s="3">
        <v>62.102590765023898</v>
      </c>
    </row>
    <row r="1462" spans="2:10" x14ac:dyDescent="0.25">
      <c r="B1462" t="s">
        <v>137</v>
      </c>
      <c r="C1462" t="s">
        <v>364</v>
      </c>
      <c r="D1462" t="s">
        <v>395</v>
      </c>
      <c r="E1462" t="s">
        <v>240</v>
      </c>
      <c r="F1462" s="3"/>
      <c r="G1462" s="3"/>
      <c r="H1462" s="3"/>
      <c r="I1462" s="3">
        <v>62.102590765023898</v>
      </c>
      <c r="J1462" s="3">
        <v>62.102590765023898</v>
      </c>
    </row>
    <row r="1463" spans="2:10" x14ac:dyDescent="0.25">
      <c r="B1463" t="s">
        <v>137</v>
      </c>
      <c r="C1463" t="s">
        <v>364</v>
      </c>
      <c r="D1463" t="s">
        <v>395</v>
      </c>
      <c r="E1463" t="s">
        <v>301</v>
      </c>
      <c r="F1463" s="3"/>
      <c r="G1463" s="3"/>
      <c r="H1463" s="3"/>
      <c r="I1463" s="3">
        <v>62.102590765023898</v>
      </c>
      <c r="J1463" s="3">
        <v>62.102590765023898</v>
      </c>
    </row>
    <row r="1464" spans="2:10" x14ac:dyDescent="0.25">
      <c r="B1464" t="s">
        <v>137</v>
      </c>
      <c r="C1464" t="s">
        <v>364</v>
      </c>
      <c r="D1464" t="s">
        <v>395</v>
      </c>
      <c r="E1464" t="s">
        <v>302</v>
      </c>
      <c r="F1464" s="3"/>
      <c r="G1464" s="3"/>
      <c r="H1464" s="3"/>
      <c r="I1464" s="3">
        <v>62.102590765023898</v>
      </c>
      <c r="J1464" s="3">
        <v>62.102590765023898</v>
      </c>
    </row>
    <row r="1465" spans="2:10" x14ac:dyDescent="0.25">
      <c r="B1465" t="s">
        <v>137</v>
      </c>
      <c r="C1465" t="s">
        <v>364</v>
      </c>
      <c r="D1465" t="s">
        <v>395</v>
      </c>
      <c r="E1465" t="s">
        <v>303</v>
      </c>
      <c r="F1465" s="3"/>
      <c r="G1465" s="3"/>
      <c r="H1465" s="3"/>
      <c r="I1465" s="3">
        <v>62.102590765023898</v>
      </c>
      <c r="J1465" s="3">
        <v>62.102590765023898</v>
      </c>
    </row>
    <row r="1466" spans="2:10" x14ac:dyDescent="0.25">
      <c r="B1466" t="s">
        <v>137</v>
      </c>
      <c r="C1466" t="s">
        <v>364</v>
      </c>
      <c r="D1466" t="s">
        <v>395</v>
      </c>
      <c r="E1466" t="s">
        <v>304</v>
      </c>
      <c r="F1466" s="3"/>
      <c r="G1466" s="3"/>
      <c r="H1466" s="3"/>
      <c r="I1466" s="3">
        <v>62.102590765023898</v>
      </c>
      <c r="J1466" s="3">
        <v>62.102590765023898</v>
      </c>
    </row>
    <row r="1467" spans="2:10" x14ac:dyDescent="0.25">
      <c r="B1467" t="s">
        <v>137</v>
      </c>
      <c r="C1467" t="s">
        <v>364</v>
      </c>
      <c r="D1467" t="s">
        <v>395</v>
      </c>
      <c r="E1467" t="s">
        <v>305</v>
      </c>
      <c r="F1467" s="3"/>
      <c r="G1467" s="3"/>
      <c r="H1467" s="3"/>
      <c r="I1467" s="3">
        <v>62.102590765023898</v>
      </c>
      <c r="J1467" s="3">
        <v>62.102590765023898</v>
      </c>
    </row>
    <row r="1468" spans="2:10" x14ac:dyDescent="0.25">
      <c r="B1468" t="s">
        <v>137</v>
      </c>
      <c r="C1468" t="s">
        <v>364</v>
      </c>
      <c r="D1468" t="s">
        <v>395</v>
      </c>
      <c r="E1468" t="s">
        <v>306</v>
      </c>
      <c r="F1468" s="3"/>
      <c r="G1468" s="3"/>
      <c r="H1468" s="3"/>
      <c r="I1468" s="3">
        <v>62.102590765023898</v>
      </c>
      <c r="J1468" s="3">
        <v>62.102590765023898</v>
      </c>
    </row>
    <row r="1469" spans="2:10" x14ac:dyDescent="0.25">
      <c r="B1469" t="s">
        <v>137</v>
      </c>
      <c r="C1469" t="s">
        <v>364</v>
      </c>
      <c r="D1469" t="s">
        <v>395</v>
      </c>
      <c r="E1469" t="s">
        <v>307</v>
      </c>
      <c r="F1469" s="3"/>
      <c r="G1469" s="3"/>
      <c r="H1469" s="3"/>
      <c r="I1469" s="3">
        <v>62.102590765023898</v>
      </c>
      <c r="J1469" s="3">
        <v>62.102590765023898</v>
      </c>
    </row>
    <row r="1470" spans="2:10" x14ac:dyDescent="0.25">
      <c r="B1470" t="s">
        <v>137</v>
      </c>
      <c r="C1470" t="s">
        <v>364</v>
      </c>
      <c r="D1470" t="s">
        <v>395</v>
      </c>
      <c r="E1470" t="s">
        <v>308</v>
      </c>
      <c r="F1470" s="3"/>
      <c r="G1470" s="3"/>
      <c r="H1470" s="3"/>
      <c r="I1470" s="3">
        <v>62.102590765023898</v>
      </c>
      <c r="J1470" s="3">
        <v>62.102590765023898</v>
      </c>
    </row>
    <row r="1471" spans="2:10" x14ac:dyDescent="0.25">
      <c r="B1471" t="s">
        <v>137</v>
      </c>
      <c r="C1471" t="s">
        <v>364</v>
      </c>
      <c r="D1471" t="s">
        <v>395</v>
      </c>
      <c r="E1471" t="s">
        <v>309</v>
      </c>
      <c r="F1471" s="3"/>
      <c r="G1471" s="3"/>
      <c r="H1471" s="3"/>
      <c r="I1471" s="3">
        <v>62.102590765023898</v>
      </c>
      <c r="J1471" s="3">
        <v>62.102590765023898</v>
      </c>
    </row>
    <row r="1472" spans="2:10" x14ac:dyDescent="0.25">
      <c r="B1472" t="s">
        <v>137</v>
      </c>
      <c r="C1472" t="s">
        <v>364</v>
      </c>
      <c r="D1472" t="s">
        <v>395</v>
      </c>
      <c r="E1472" t="s">
        <v>310</v>
      </c>
      <c r="F1472" s="3"/>
      <c r="G1472" s="3"/>
      <c r="H1472" s="3"/>
      <c r="I1472" s="3">
        <v>54.032843264565301</v>
      </c>
      <c r="J1472" s="3">
        <v>54.032843264565301</v>
      </c>
    </row>
    <row r="1473" spans="2:10" x14ac:dyDescent="0.25">
      <c r="B1473" t="s">
        <v>137</v>
      </c>
      <c r="C1473" t="s">
        <v>364</v>
      </c>
      <c r="D1473" t="s">
        <v>395</v>
      </c>
      <c r="E1473" t="s">
        <v>311</v>
      </c>
      <c r="F1473" s="3"/>
      <c r="G1473" s="3"/>
      <c r="H1473" s="3"/>
      <c r="I1473" s="3">
        <v>36.348653177848298</v>
      </c>
      <c r="J1473" s="3">
        <v>36.348653177848298</v>
      </c>
    </row>
    <row r="1474" spans="2:10" x14ac:dyDescent="0.25">
      <c r="B1474" t="s">
        <v>137</v>
      </c>
      <c r="C1474" t="s">
        <v>364</v>
      </c>
      <c r="D1474" t="s">
        <v>395</v>
      </c>
      <c r="E1474" t="s">
        <v>312</v>
      </c>
      <c r="F1474" s="3"/>
      <c r="G1474" s="3"/>
      <c r="H1474" s="3"/>
      <c r="I1474" s="3">
        <v>1.0166036271358201</v>
      </c>
      <c r="J1474" s="3">
        <v>1.0166036271358201</v>
      </c>
    </row>
    <row r="1475" spans="2:10" x14ac:dyDescent="0.25">
      <c r="B1475" t="s">
        <v>137</v>
      </c>
      <c r="C1475" t="s">
        <v>364</v>
      </c>
      <c r="D1475" t="s">
        <v>396</v>
      </c>
      <c r="E1475" t="s">
        <v>46</v>
      </c>
      <c r="F1475" s="3"/>
      <c r="G1475" s="3"/>
      <c r="H1475" s="3"/>
      <c r="I1475" s="3">
        <v>45.398510890853899</v>
      </c>
      <c r="J1475" s="3">
        <v>45.398510890853899</v>
      </c>
    </row>
    <row r="1476" spans="2:10" x14ac:dyDescent="0.25">
      <c r="B1476" t="s">
        <v>137</v>
      </c>
      <c r="C1476" t="s">
        <v>364</v>
      </c>
      <c r="D1476" t="s">
        <v>396</v>
      </c>
      <c r="E1476" t="s">
        <v>47</v>
      </c>
      <c r="F1476" s="3"/>
      <c r="G1476" s="3"/>
      <c r="H1476" s="3"/>
      <c r="I1476" s="3">
        <v>45.398510890853899</v>
      </c>
      <c r="J1476" s="3">
        <v>45.398510890853899</v>
      </c>
    </row>
    <row r="1477" spans="2:10" x14ac:dyDescent="0.25">
      <c r="B1477" t="s">
        <v>137</v>
      </c>
      <c r="C1477" t="s">
        <v>364</v>
      </c>
      <c r="D1477" t="s">
        <v>396</v>
      </c>
      <c r="E1477" t="s">
        <v>48</v>
      </c>
      <c r="F1477" s="3"/>
      <c r="G1477" s="3"/>
      <c r="H1477" s="3"/>
      <c r="I1477" s="3">
        <v>45.398510890853899</v>
      </c>
      <c r="J1477" s="3">
        <v>45.398510890853899</v>
      </c>
    </row>
    <row r="1478" spans="2:10" x14ac:dyDescent="0.25">
      <c r="B1478" t="s">
        <v>137</v>
      </c>
      <c r="C1478" t="s">
        <v>364</v>
      </c>
      <c r="D1478" t="s">
        <v>396</v>
      </c>
      <c r="E1478" t="s">
        <v>49</v>
      </c>
      <c r="F1478" s="3"/>
      <c r="G1478" s="3"/>
      <c r="H1478" s="3"/>
      <c r="I1478" s="3">
        <v>45.398510890853899</v>
      </c>
      <c r="J1478" s="3">
        <v>45.398510890853899</v>
      </c>
    </row>
    <row r="1479" spans="2:10" x14ac:dyDescent="0.25">
      <c r="B1479" t="s">
        <v>137</v>
      </c>
      <c r="C1479" t="s">
        <v>364</v>
      </c>
      <c r="D1479" t="s">
        <v>396</v>
      </c>
      <c r="E1479" t="s">
        <v>50</v>
      </c>
      <c r="F1479" s="3"/>
      <c r="G1479" s="3"/>
      <c r="H1479" s="3"/>
      <c r="I1479" s="3">
        <v>45.398510890853899</v>
      </c>
      <c r="J1479" s="3">
        <v>45.398510890853899</v>
      </c>
    </row>
    <row r="1480" spans="2:10" x14ac:dyDescent="0.25">
      <c r="B1480" t="s">
        <v>137</v>
      </c>
      <c r="C1480" t="s">
        <v>364</v>
      </c>
      <c r="D1480" t="s">
        <v>396</v>
      </c>
      <c r="E1480" t="s">
        <v>51</v>
      </c>
      <c r="F1480" s="3"/>
      <c r="G1480" s="3"/>
      <c r="H1480" s="3"/>
      <c r="I1480" s="3">
        <v>45.398510890853899</v>
      </c>
      <c r="J1480" s="3">
        <v>45.398510890853899</v>
      </c>
    </row>
    <row r="1481" spans="2:10" x14ac:dyDescent="0.25">
      <c r="B1481" t="s">
        <v>137</v>
      </c>
      <c r="C1481" t="s">
        <v>364</v>
      </c>
      <c r="D1481" t="s">
        <v>396</v>
      </c>
      <c r="E1481" t="s">
        <v>196</v>
      </c>
      <c r="F1481" s="3"/>
      <c r="G1481" s="3"/>
      <c r="H1481" s="3"/>
      <c r="I1481" s="3">
        <v>45.398510890853899</v>
      </c>
      <c r="J1481" s="3">
        <v>45.398510890853899</v>
      </c>
    </row>
    <row r="1482" spans="2:10" x14ac:dyDescent="0.25">
      <c r="B1482" t="s">
        <v>137</v>
      </c>
      <c r="C1482" t="s">
        <v>364</v>
      </c>
      <c r="D1482" t="s">
        <v>396</v>
      </c>
      <c r="E1482" t="s">
        <v>197</v>
      </c>
      <c r="F1482" s="3"/>
      <c r="G1482" s="3"/>
      <c r="H1482" s="3"/>
      <c r="I1482" s="3">
        <v>46.26970294165482</v>
      </c>
      <c r="J1482" s="3">
        <v>46.26970294165482</v>
      </c>
    </row>
    <row r="1483" spans="2:10" x14ac:dyDescent="0.25">
      <c r="B1483" t="s">
        <v>137</v>
      </c>
      <c r="C1483" t="s">
        <v>364</v>
      </c>
      <c r="D1483" t="s">
        <v>396</v>
      </c>
      <c r="E1483" t="s">
        <v>198</v>
      </c>
      <c r="F1483" s="3"/>
      <c r="G1483" s="3"/>
      <c r="H1483" s="3"/>
      <c r="I1483" s="3">
        <v>45.398510890853899</v>
      </c>
      <c r="J1483" s="3">
        <v>45.398510890853899</v>
      </c>
    </row>
    <row r="1484" spans="2:10" x14ac:dyDescent="0.25">
      <c r="B1484" t="s">
        <v>137</v>
      </c>
      <c r="C1484" t="s">
        <v>364</v>
      </c>
      <c r="D1484" t="s">
        <v>396</v>
      </c>
      <c r="E1484" t="s">
        <v>199</v>
      </c>
      <c r="F1484" s="3"/>
      <c r="G1484" s="3"/>
      <c r="H1484" s="3"/>
      <c r="I1484" s="3">
        <v>45.398510890853899</v>
      </c>
      <c r="J1484" s="3">
        <v>45.398510890853899</v>
      </c>
    </row>
    <row r="1485" spans="2:10" x14ac:dyDescent="0.25">
      <c r="B1485" t="s">
        <v>137</v>
      </c>
      <c r="C1485" t="s">
        <v>364</v>
      </c>
      <c r="D1485" t="s">
        <v>396</v>
      </c>
      <c r="E1485" t="s">
        <v>200</v>
      </c>
      <c r="F1485" s="3"/>
      <c r="G1485" s="3"/>
      <c r="H1485" s="3"/>
      <c r="I1485" s="3">
        <v>48.608035175002811</v>
      </c>
      <c r="J1485" s="3">
        <v>48.608035175002811</v>
      </c>
    </row>
    <row r="1486" spans="2:10" x14ac:dyDescent="0.25">
      <c r="B1486" t="s">
        <v>137</v>
      </c>
      <c r="C1486" t="s">
        <v>364</v>
      </c>
      <c r="D1486" t="s">
        <v>396</v>
      </c>
      <c r="E1486" t="s">
        <v>240</v>
      </c>
      <c r="F1486" s="3"/>
      <c r="G1486" s="3"/>
      <c r="H1486" s="3"/>
      <c r="I1486" s="3">
        <v>60.602967885529495</v>
      </c>
      <c r="J1486" s="3">
        <v>60.602967885529495</v>
      </c>
    </row>
    <row r="1487" spans="2:10" x14ac:dyDescent="0.25">
      <c r="B1487" t="s">
        <v>137</v>
      </c>
      <c r="C1487" t="s">
        <v>364</v>
      </c>
      <c r="D1487" t="s">
        <v>396</v>
      </c>
      <c r="E1487" t="s">
        <v>301</v>
      </c>
      <c r="F1487" s="3"/>
      <c r="G1487" s="3"/>
      <c r="H1487" s="3"/>
      <c r="I1487" s="3">
        <v>56.491726556789999</v>
      </c>
      <c r="J1487" s="3">
        <v>56.491726556789999</v>
      </c>
    </row>
    <row r="1488" spans="2:10" x14ac:dyDescent="0.25">
      <c r="B1488" t="s">
        <v>137</v>
      </c>
      <c r="C1488" t="s">
        <v>364</v>
      </c>
      <c r="D1488" t="s">
        <v>396</v>
      </c>
      <c r="E1488" t="s">
        <v>302</v>
      </c>
      <c r="F1488" s="3"/>
      <c r="G1488" s="3"/>
      <c r="H1488" s="3"/>
      <c r="I1488" s="3">
        <v>52.326987281882388</v>
      </c>
      <c r="J1488" s="3">
        <v>52.326987281882388</v>
      </c>
    </row>
    <row r="1489" spans="2:10" x14ac:dyDescent="0.25">
      <c r="B1489" t="s">
        <v>137</v>
      </c>
      <c r="C1489" t="s">
        <v>364</v>
      </c>
      <c r="D1489" t="s">
        <v>396</v>
      </c>
      <c r="E1489" t="s">
        <v>303</v>
      </c>
      <c r="F1489" s="3"/>
      <c r="G1489" s="3"/>
      <c r="H1489" s="3"/>
      <c r="I1489" s="3">
        <v>47.657405465012637</v>
      </c>
      <c r="J1489" s="3">
        <v>47.657405465012637</v>
      </c>
    </row>
    <row r="1490" spans="2:10" x14ac:dyDescent="0.25">
      <c r="B1490" t="s">
        <v>137</v>
      </c>
      <c r="C1490" t="s">
        <v>364</v>
      </c>
      <c r="D1490" t="s">
        <v>396</v>
      </c>
      <c r="E1490" t="s">
        <v>304</v>
      </c>
      <c r="F1490" s="3"/>
      <c r="G1490" s="3"/>
      <c r="H1490" s="3"/>
      <c r="I1490" s="3">
        <v>45.398510890853899</v>
      </c>
      <c r="J1490" s="3">
        <v>45.398510890853899</v>
      </c>
    </row>
    <row r="1491" spans="2:10" x14ac:dyDescent="0.25">
      <c r="B1491" t="s">
        <v>137</v>
      </c>
      <c r="C1491" t="s">
        <v>364</v>
      </c>
      <c r="D1491" t="s">
        <v>396</v>
      </c>
      <c r="E1491" t="s">
        <v>305</v>
      </c>
      <c r="F1491" s="3"/>
      <c r="G1491" s="3"/>
      <c r="H1491" s="3"/>
      <c r="I1491" s="3">
        <v>45.398510890853899</v>
      </c>
      <c r="J1491" s="3">
        <v>45.398510890853899</v>
      </c>
    </row>
    <row r="1492" spans="2:10" x14ac:dyDescent="0.25">
      <c r="B1492" t="s">
        <v>137</v>
      </c>
      <c r="C1492" t="s">
        <v>364</v>
      </c>
      <c r="D1492" t="s">
        <v>396</v>
      </c>
      <c r="E1492" t="s">
        <v>306</v>
      </c>
      <c r="F1492" s="3"/>
      <c r="G1492" s="3"/>
      <c r="H1492" s="3"/>
      <c r="I1492" s="3">
        <v>46.041019142414918</v>
      </c>
      <c r="J1492" s="3">
        <v>46.041019142414918</v>
      </c>
    </row>
    <row r="1493" spans="2:10" x14ac:dyDescent="0.25">
      <c r="B1493" t="s">
        <v>137</v>
      </c>
      <c r="C1493" t="s">
        <v>364</v>
      </c>
      <c r="D1493" t="s">
        <v>396</v>
      </c>
      <c r="E1493" t="s">
        <v>307</v>
      </c>
      <c r="F1493" s="3"/>
      <c r="G1493" s="3"/>
      <c r="H1493" s="3"/>
      <c r="I1493" s="3">
        <v>45.398510890853899</v>
      </c>
      <c r="J1493" s="3">
        <v>45.398510890853899</v>
      </c>
    </row>
    <row r="1494" spans="2:10" x14ac:dyDescent="0.25">
      <c r="B1494" t="s">
        <v>137</v>
      </c>
      <c r="C1494" t="s">
        <v>364</v>
      </c>
      <c r="D1494" t="s">
        <v>396</v>
      </c>
      <c r="E1494" t="s">
        <v>308</v>
      </c>
      <c r="F1494" s="3"/>
      <c r="G1494" s="3"/>
      <c r="H1494" s="3"/>
      <c r="I1494" s="3">
        <v>45.398510890853899</v>
      </c>
      <c r="J1494" s="3">
        <v>45.398510890853899</v>
      </c>
    </row>
    <row r="1495" spans="2:10" x14ac:dyDescent="0.25">
      <c r="B1495" t="s">
        <v>137</v>
      </c>
      <c r="C1495" t="s">
        <v>364</v>
      </c>
      <c r="D1495" t="s">
        <v>396</v>
      </c>
      <c r="E1495" t="s">
        <v>309</v>
      </c>
      <c r="F1495" s="3"/>
      <c r="G1495" s="3"/>
      <c r="H1495" s="3"/>
      <c r="I1495" s="3">
        <v>45.398510890853899</v>
      </c>
      <c r="J1495" s="3">
        <v>45.398510890853899</v>
      </c>
    </row>
    <row r="1496" spans="2:10" x14ac:dyDescent="0.25">
      <c r="B1496" t="s">
        <v>137</v>
      </c>
      <c r="C1496" t="s">
        <v>364</v>
      </c>
      <c r="D1496" t="s">
        <v>396</v>
      </c>
      <c r="E1496" t="s">
        <v>310</v>
      </c>
      <c r="F1496" s="3"/>
      <c r="G1496" s="3"/>
      <c r="H1496" s="3"/>
      <c r="I1496" s="3">
        <v>45.398510890853899</v>
      </c>
      <c r="J1496" s="3">
        <v>45.398510890853899</v>
      </c>
    </row>
    <row r="1497" spans="2:10" x14ac:dyDescent="0.25">
      <c r="B1497" t="s">
        <v>137</v>
      </c>
      <c r="C1497" t="s">
        <v>364</v>
      </c>
      <c r="D1497" t="s">
        <v>396</v>
      </c>
      <c r="E1497" t="s">
        <v>311</v>
      </c>
      <c r="F1497" s="3"/>
      <c r="G1497" s="3"/>
      <c r="H1497" s="3"/>
      <c r="I1497" s="3">
        <v>45.398510890853899</v>
      </c>
      <c r="J1497" s="3">
        <v>45.398510890853899</v>
      </c>
    </row>
    <row r="1498" spans="2:10" x14ac:dyDescent="0.25">
      <c r="B1498" t="s">
        <v>137</v>
      </c>
      <c r="C1498" t="s">
        <v>364</v>
      </c>
      <c r="D1498" t="s">
        <v>396</v>
      </c>
      <c r="E1498" t="s">
        <v>312</v>
      </c>
      <c r="F1498" s="3"/>
      <c r="G1498" s="3"/>
      <c r="H1498" s="3"/>
      <c r="I1498" s="3">
        <v>45.398510890853899</v>
      </c>
      <c r="J1498" s="3">
        <v>45.398510890853899</v>
      </c>
    </row>
    <row r="1499" spans="2:10" x14ac:dyDescent="0.25">
      <c r="B1499" t="s">
        <v>137</v>
      </c>
      <c r="C1499" t="s">
        <v>364</v>
      </c>
      <c r="D1499" t="s">
        <v>397</v>
      </c>
      <c r="E1499" t="s">
        <v>46</v>
      </c>
      <c r="F1499" s="3"/>
      <c r="G1499" s="3"/>
      <c r="H1499" s="3"/>
      <c r="I1499" s="3">
        <v>33.046865148861599</v>
      </c>
      <c r="J1499" s="3">
        <v>33.046865148861599</v>
      </c>
    </row>
    <row r="1500" spans="2:10" x14ac:dyDescent="0.25">
      <c r="B1500" t="s">
        <v>137</v>
      </c>
      <c r="C1500" t="s">
        <v>364</v>
      </c>
      <c r="D1500" t="s">
        <v>397</v>
      </c>
      <c r="E1500" t="s">
        <v>47</v>
      </c>
      <c r="F1500" s="3"/>
      <c r="G1500" s="3"/>
      <c r="H1500" s="3"/>
      <c r="I1500" s="3">
        <v>33.046865148861599</v>
      </c>
      <c r="J1500" s="3">
        <v>33.046865148861599</v>
      </c>
    </row>
    <row r="1501" spans="2:10" x14ac:dyDescent="0.25">
      <c r="B1501" t="s">
        <v>137</v>
      </c>
      <c r="C1501" t="s">
        <v>364</v>
      </c>
      <c r="D1501" t="s">
        <v>397</v>
      </c>
      <c r="E1501" t="s">
        <v>48</v>
      </c>
      <c r="F1501" s="3"/>
      <c r="G1501" s="3"/>
      <c r="H1501" s="3"/>
      <c r="I1501" s="3">
        <v>33.046865148861599</v>
      </c>
      <c r="J1501" s="3">
        <v>33.046865148861599</v>
      </c>
    </row>
    <row r="1502" spans="2:10" x14ac:dyDescent="0.25">
      <c r="B1502" t="s">
        <v>137</v>
      </c>
      <c r="C1502" t="s">
        <v>364</v>
      </c>
      <c r="D1502" t="s">
        <v>397</v>
      </c>
      <c r="E1502" t="s">
        <v>49</v>
      </c>
      <c r="F1502" s="3"/>
      <c r="G1502" s="3"/>
      <c r="H1502" s="3"/>
      <c r="I1502" s="3">
        <v>33.046865148861599</v>
      </c>
      <c r="J1502" s="3">
        <v>33.046865148861599</v>
      </c>
    </row>
    <row r="1503" spans="2:10" x14ac:dyDescent="0.25">
      <c r="B1503" t="s">
        <v>137</v>
      </c>
      <c r="C1503" t="s">
        <v>364</v>
      </c>
      <c r="D1503" t="s">
        <v>397</v>
      </c>
      <c r="E1503" t="s">
        <v>50</v>
      </c>
      <c r="F1503" s="3"/>
      <c r="G1503" s="3"/>
      <c r="H1503" s="3"/>
      <c r="I1503" s="3">
        <v>33.046865148861599</v>
      </c>
      <c r="J1503" s="3">
        <v>33.046865148861599</v>
      </c>
    </row>
    <row r="1504" spans="2:10" x14ac:dyDescent="0.25">
      <c r="B1504" t="s">
        <v>137</v>
      </c>
      <c r="C1504" t="s">
        <v>364</v>
      </c>
      <c r="D1504" t="s">
        <v>397</v>
      </c>
      <c r="E1504" t="s">
        <v>51</v>
      </c>
      <c r="F1504" s="3"/>
      <c r="G1504" s="3"/>
      <c r="H1504" s="3"/>
      <c r="I1504" s="3">
        <v>33.046865148861599</v>
      </c>
      <c r="J1504" s="3">
        <v>33.046865148861599</v>
      </c>
    </row>
    <row r="1505" spans="2:10" x14ac:dyDescent="0.25">
      <c r="B1505" t="s">
        <v>137</v>
      </c>
      <c r="C1505" t="s">
        <v>364</v>
      </c>
      <c r="D1505" t="s">
        <v>397</v>
      </c>
      <c r="E1505" t="s">
        <v>196</v>
      </c>
      <c r="F1505" s="3"/>
      <c r="G1505" s="3"/>
      <c r="H1505" s="3"/>
      <c r="I1505" s="3">
        <v>33.046865148861599</v>
      </c>
      <c r="J1505" s="3">
        <v>33.046865148861599</v>
      </c>
    </row>
    <row r="1506" spans="2:10" x14ac:dyDescent="0.25">
      <c r="B1506" t="s">
        <v>137</v>
      </c>
      <c r="C1506" t="s">
        <v>364</v>
      </c>
      <c r="D1506" t="s">
        <v>397</v>
      </c>
      <c r="E1506" t="s">
        <v>197</v>
      </c>
      <c r="F1506" s="3"/>
      <c r="G1506" s="3"/>
      <c r="H1506" s="3"/>
      <c r="I1506" s="3">
        <v>33.046865148861599</v>
      </c>
      <c r="J1506" s="3">
        <v>33.046865148861599</v>
      </c>
    </row>
    <row r="1507" spans="2:10" x14ac:dyDescent="0.25">
      <c r="B1507" t="s">
        <v>137</v>
      </c>
      <c r="C1507" t="s">
        <v>364</v>
      </c>
      <c r="D1507" t="s">
        <v>397</v>
      </c>
      <c r="E1507" t="s">
        <v>198</v>
      </c>
      <c r="F1507" s="3"/>
      <c r="G1507" s="3"/>
      <c r="H1507" s="3"/>
      <c r="I1507" s="3">
        <v>33.046865148861599</v>
      </c>
      <c r="J1507" s="3">
        <v>33.046865148861599</v>
      </c>
    </row>
    <row r="1508" spans="2:10" x14ac:dyDescent="0.25">
      <c r="B1508" t="s">
        <v>137</v>
      </c>
      <c r="C1508" t="s">
        <v>364</v>
      </c>
      <c r="D1508" t="s">
        <v>397</v>
      </c>
      <c r="E1508" t="s">
        <v>199</v>
      </c>
      <c r="F1508" s="3"/>
      <c r="G1508" s="3"/>
      <c r="H1508" s="3"/>
      <c r="I1508" s="3">
        <v>33.046865148861599</v>
      </c>
      <c r="J1508" s="3">
        <v>33.046865148861599</v>
      </c>
    </row>
    <row r="1509" spans="2:10" x14ac:dyDescent="0.25">
      <c r="B1509" t="s">
        <v>137</v>
      </c>
      <c r="C1509" t="s">
        <v>364</v>
      </c>
      <c r="D1509" t="s">
        <v>397</v>
      </c>
      <c r="E1509" t="s">
        <v>200</v>
      </c>
      <c r="F1509" s="3"/>
      <c r="G1509" s="3"/>
      <c r="H1509" s="3"/>
      <c r="I1509" s="3">
        <v>33.046865148861599</v>
      </c>
      <c r="J1509" s="3">
        <v>33.046865148861599</v>
      </c>
    </row>
    <row r="1510" spans="2:10" x14ac:dyDescent="0.25">
      <c r="B1510" t="s">
        <v>137</v>
      </c>
      <c r="C1510" t="s">
        <v>364</v>
      </c>
      <c r="D1510" t="s">
        <v>397</v>
      </c>
      <c r="E1510" t="s">
        <v>240</v>
      </c>
      <c r="F1510" s="3"/>
      <c r="G1510" s="3"/>
      <c r="H1510" s="3"/>
      <c r="I1510" s="3">
        <v>33.046865148861599</v>
      </c>
      <c r="J1510" s="3">
        <v>33.046865148861599</v>
      </c>
    </row>
    <row r="1511" spans="2:10" x14ac:dyDescent="0.25">
      <c r="B1511" t="s">
        <v>137</v>
      </c>
      <c r="C1511" t="s">
        <v>364</v>
      </c>
      <c r="D1511" t="s">
        <v>397</v>
      </c>
      <c r="E1511" t="s">
        <v>301</v>
      </c>
      <c r="F1511" s="3"/>
      <c r="G1511" s="3"/>
      <c r="H1511" s="3"/>
      <c r="I1511" s="3">
        <v>33.046865148861599</v>
      </c>
      <c r="J1511" s="3">
        <v>33.046865148861599</v>
      </c>
    </row>
    <row r="1512" spans="2:10" x14ac:dyDescent="0.25">
      <c r="B1512" t="s">
        <v>137</v>
      </c>
      <c r="C1512" t="s">
        <v>364</v>
      </c>
      <c r="D1512" t="s">
        <v>397</v>
      </c>
      <c r="E1512" t="s">
        <v>302</v>
      </c>
      <c r="F1512" s="3"/>
      <c r="G1512" s="3"/>
      <c r="H1512" s="3"/>
      <c r="I1512" s="3">
        <v>33.046865148861599</v>
      </c>
      <c r="J1512" s="3">
        <v>33.046865148861599</v>
      </c>
    </row>
    <row r="1513" spans="2:10" x14ac:dyDescent="0.25">
      <c r="B1513" t="s">
        <v>137</v>
      </c>
      <c r="C1513" t="s">
        <v>364</v>
      </c>
      <c r="D1513" t="s">
        <v>397</v>
      </c>
      <c r="E1513" t="s">
        <v>303</v>
      </c>
      <c r="F1513" s="3"/>
      <c r="G1513" s="3"/>
      <c r="H1513" s="3"/>
      <c r="I1513" s="3">
        <v>33.046865148861599</v>
      </c>
      <c r="J1513" s="3">
        <v>33.046865148861599</v>
      </c>
    </row>
    <row r="1514" spans="2:10" x14ac:dyDescent="0.25">
      <c r="B1514" t="s">
        <v>137</v>
      </c>
      <c r="C1514" t="s">
        <v>364</v>
      </c>
      <c r="D1514" t="s">
        <v>397</v>
      </c>
      <c r="E1514" t="s">
        <v>304</v>
      </c>
      <c r="F1514" s="3"/>
      <c r="G1514" s="3"/>
      <c r="H1514" s="3"/>
      <c r="I1514" s="3">
        <v>33.046865148861599</v>
      </c>
      <c r="J1514" s="3">
        <v>33.046865148861599</v>
      </c>
    </row>
    <row r="1515" spans="2:10" x14ac:dyDescent="0.25">
      <c r="B1515" t="s">
        <v>137</v>
      </c>
      <c r="C1515" t="s">
        <v>364</v>
      </c>
      <c r="D1515" t="s">
        <v>397</v>
      </c>
      <c r="E1515" t="s">
        <v>305</v>
      </c>
      <c r="F1515" s="3"/>
      <c r="G1515" s="3"/>
      <c r="H1515" s="3"/>
      <c r="I1515" s="3">
        <v>33.046865148861599</v>
      </c>
      <c r="J1515" s="3">
        <v>33.046865148861599</v>
      </c>
    </row>
    <row r="1516" spans="2:10" x14ac:dyDescent="0.25">
      <c r="B1516" t="s">
        <v>137</v>
      </c>
      <c r="C1516" t="s">
        <v>364</v>
      </c>
      <c r="D1516" t="s">
        <v>397</v>
      </c>
      <c r="E1516" t="s">
        <v>306</v>
      </c>
      <c r="F1516" s="3"/>
      <c r="G1516" s="3"/>
      <c r="H1516" s="3"/>
      <c r="I1516" s="3">
        <v>33.046865148861599</v>
      </c>
      <c r="J1516" s="3">
        <v>33.046865148861599</v>
      </c>
    </row>
    <row r="1517" spans="2:10" x14ac:dyDescent="0.25">
      <c r="B1517" t="s">
        <v>137</v>
      </c>
      <c r="C1517" t="s">
        <v>364</v>
      </c>
      <c r="D1517" t="s">
        <v>397</v>
      </c>
      <c r="E1517" t="s">
        <v>307</v>
      </c>
      <c r="F1517" s="3"/>
      <c r="G1517" s="3"/>
      <c r="H1517" s="3"/>
      <c r="I1517" s="3">
        <v>33.046865148861599</v>
      </c>
      <c r="J1517" s="3">
        <v>33.046865148861599</v>
      </c>
    </row>
    <row r="1518" spans="2:10" x14ac:dyDescent="0.25">
      <c r="B1518" t="s">
        <v>137</v>
      </c>
      <c r="C1518" t="s">
        <v>364</v>
      </c>
      <c r="D1518" t="s">
        <v>397</v>
      </c>
      <c r="E1518" t="s">
        <v>308</v>
      </c>
      <c r="F1518" s="3"/>
      <c r="G1518" s="3"/>
      <c r="H1518" s="3"/>
      <c r="I1518" s="3">
        <v>33.046865148861599</v>
      </c>
      <c r="J1518" s="3">
        <v>33.046865148861599</v>
      </c>
    </row>
    <row r="1519" spans="2:10" x14ac:dyDescent="0.25">
      <c r="B1519" t="s">
        <v>137</v>
      </c>
      <c r="C1519" t="s">
        <v>364</v>
      </c>
      <c r="D1519" t="s">
        <v>397</v>
      </c>
      <c r="E1519" t="s">
        <v>309</v>
      </c>
      <c r="F1519" s="3"/>
      <c r="G1519" s="3"/>
      <c r="H1519" s="3"/>
      <c r="I1519" s="3">
        <v>33.046865148861599</v>
      </c>
      <c r="J1519" s="3">
        <v>33.046865148861599</v>
      </c>
    </row>
    <row r="1520" spans="2:10" x14ac:dyDescent="0.25">
      <c r="B1520" t="s">
        <v>137</v>
      </c>
      <c r="C1520" t="s">
        <v>364</v>
      </c>
      <c r="D1520" t="s">
        <v>397</v>
      </c>
      <c r="E1520" t="s">
        <v>310</v>
      </c>
      <c r="F1520" s="3"/>
      <c r="G1520" s="3"/>
      <c r="H1520" s="3"/>
      <c r="I1520" s="3">
        <v>33.046865148861599</v>
      </c>
      <c r="J1520" s="3">
        <v>33.046865148861599</v>
      </c>
    </row>
    <row r="1521" spans="2:10" x14ac:dyDescent="0.25">
      <c r="B1521" t="s">
        <v>137</v>
      </c>
      <c r="C1521" t="s">
        <v>364</v>
      </c>
      <c r="D1521" t="s">
        <v>397</v>
      </c>
      <c r="E1521" t="s">
        <v>311</v>
      </c>
      <c r="F1521" s="3"/>
      <c r="G1521" s="3"/>
      <c r="H1521" s="3"/>
      <c r="I1521" s="3">
        <v>33.046865148861599</v>
      </c>
      <c r="J1521" s="3">
        <v>33.046865148861599</v>
      </c>
    </row>
    <row r="1522" spans="2:10" x14ac:dyDescent="0.25">
      <c r="B1522" t="s">
        <v>137</v>
      </c>
      <c r="C1522" t="s">
        <v>364</v>
      </c>
      <c r="D1522" t="s">
        <v>397</v>
      </c>
      <c r="E1522" t="s">
        <v>312</v>
      </c>
      <c r="F1522" s="3"/>
      <c r="G1522" s="3"/>
      <c r="H1522" s="3"/>
      <c r="I1522" s="3">
        <v>33.046865148861599</v>
      </c>
      <c r="J1522" s="3">
        <v>33.046865148861599</v>
      </c>
    </row>
    <row r="1523" spans="2:10" x14ac:dyDescent="0.25">
      <c r="B1523" t="s">
        <v>137</v>
      </c>
      <c r="C1523" t="s">
        <v>364</v>
      </c>
      <c r="D1523" t="s">
        <v>398</v>
      </c>
      <c r="E1523" t="s">
        <v>46</v>
      </c>
      <c r="F1523" s="3"/>
      <c r="G1523" s="3"/>
      <c r="H1523" s="3"/>
      <c r="I1523" s="3">
        <v>0.52773263852880603</v>
      </c>
      <c r="J1523" s="3">
        <v>0.52773263852880603</v>
      </c>
    </row>
    <row r="1524" spans="2:10" x14ac:dyDescent="0.25">
      <c r="B1524" t="s">
        <v>137</v>
      </c>
      <c r="C1524" t="s">
        <v>364</v>
      </c>
      <c r="D1524" t="s">
        <v>398</v>
      </c>
      <c r="E1524" t="s">
        <v>47</v>
      </c>
      <c r="F1524" s="3"/>
      <c r="G1524" s="3"/>
      <c r="H1524" s="3"/>
      <c r="I1524" s="3">
        <v>0.61437804765234605</v>
      </c>
      <c r="J1524" s="3">
        <v>0.61437804765234605</v>
      </c>
    </row>
    <row r="1525" spans="2:10" x14ac:dyDescent="0.25">
      <c r="B1525" t="s">
        <v>137</v>
      </c>
      <c r="C1525" t="s">
        <v>364</v>
      </c>
      <c r="D1525" t="s">
        <v>398</v>
      </c>
      <c r="E1525" t="s">
        <v>49</v>
      </c>
      <c r="F1525" s="3"/>
      <c r="G1525" s="3"/>
      <c r="H1525" s="3"/>
      <c r="I1525" s="3">
        <v>1.87088608642784</v>
      </c>
      <c r="J1525" s="3">
        <v>1.87088608642784</v>
      </c>
    </row>
    <row r="1526" spans="2:10" x14ac:dyDescent="0.25">
      <c r="B1526" t="s">
        <v>137</v>
      </c>
      <c r="C1526" t="s">
        <v>364</v>
      </c>
      <c r="D1526" t="s">
        <v>398</v>
      </c>
      <c r="E1526" t="s">
        <v>50</v>
      </c>
      <c r="F1526" s="3"/>
      <c r="G1526" s="3"/>
      <c r="H1526" s="3"/>
      <c r="I1526" s="3">
        <v>4.5804154821912304</v>
      </c>
      <c r="J1526" s="3">
        <v>4.5804154821912304</v>
      </c>
    </row>
    <row r="1527" spans="2:10" x14ac:dyDescent="0.25">
      <c r="B1527" t="s">
        <v>137</v>
      </c>
      <c r="C1527" t="s">
        <v>364</v>
      </c>
      <c r="D1527" t="s">
        <v>398</v>
      </c>
      <c r="E1527" t="s">
        <v>51</v>
      </c>
      <c r="F1527" s="3"/>
      <c r="G1527" s="3"/>
      <c r="H1527" s="3"/>
      <c r="I1527" s="3">
        <v>11.6757156623942</v>
      </c>
      <c r="J1527" s="3">
        <v>11.6757156623942</v>
      </c>
    </row>
    <row r="1528" spans="2:10" x14ac:dyDescent="0.25">
      <c r="B1528" t="s">
        <v>137</v>
      </c>
      <c r="C1528" t="s">
        <v>364</v>
      </c>
      <c r="D1528" t="s">
        <v>398</v>
      </c>
      <c r="E1528" t="s">
        <v>196</v>
      </c>
      <c r="F1528" s="3"/>
      <c r="G1528" s="3"/>
      <c r="H1528" s="3"/>
      <c r="I1528" s="3">
        <v>21.750157656768</v>
      </c>
      <c r="J1528" s="3">
        <v>21.750157656768</v>
      </c>
    </row>
    <row r="1529" spans="2:10" x14ac:dyDescent="0.25">
      <c r="B1529" t="s">
        <v>137</v>
      </c>
      <c r="C1529" t="s">
        <v>364</v>
      </c>
      <c r="D1529" t="s">
        <v>398</v>
      </c>
      <c r="E1529" t="s">
        <v>197</v>
      </c>
      <c r="F1529" s="3"/>
      <c r="G1529" s="3"/>
      <c r="H1529" s="3"/>
      <c r="I1529" s="3">
        <v>21.750157656768</v>
      </c>
      <c r="J1529" s="3">
        <v>21.750157656768</v>
      </c>
    </row>
    <row r="1530" spans="2:10" x14ac:dyDescent="0.25">
      <c r="B1530" t="s">
        <v>137</v>
      </c>
      <c r="C1530" t="s">
        <v>364</v>
      </c>
      <c r="D1530" t="s">
        <v>398</v>
      </c>
      <c r="E1530" t="s">
        <v>198</v>
      </c>
      <c r="F1530" s="3"/>
      <c r="G1530" s="3"/>
      <c r="H1530" s="3"/>
      <c r="I1530" s="3">
        <v>21.750157656768</v>
      </c>
      <c r="J1530" s="3">
        <v>21.750157656768</v>
      </c>
    </row>
    <row r="1531" spans="2:10" x14ac:dyDescent="0.25">
      <c r="B1531" t="s">
        <v>137</v>
      </c>
      <c r="C1531" t="s">
        <v>364</v>
      </c>
      <c r="D1531" t="s">
        <v>398</v>
      </c>
      <c r="E1531" t="s">
        <v>199</v>
      </c>
      <c r="F1531" s="3"/>
      <c r="G1531" s="3"/>
      <c r="H1531" s="3"/>
      <c r="I1531" s="3">
        <v>21.750157656768</v>
      </c>
      <c r="J1531" s="3">
        <v>21.750157656768</v>
      </c>
    </row>
    <row r="1532" spans="2:10" x14ac:dyDescent="0.25">
      <c r="B1532" t="s">
        <v>137</v>
      </c>
      <c r="C1532" t="s">
        <v>364</v>
      </c>
      <c r="D1532" t="s">
        <v>398</v>
      </c>
      <c r="E1532" t="s">
        <v>200</v>
      </c>
      <c r="F1532" s="3"/>
      <c r="G1532" s="3"/>
      <c r="H1532" s="3"/>
      <c r="I1532" s="3">
        <v>21.750157656768</v>
      </c>
      <c r="J1532" s="3">
        <v>21.750157656768</v>
      </c>
    </row>
    <row r="1533" spans="2:10" x14ac:dyDescent="0.25">
      <c r="B1533" t="s">
        <v>137</v>
      </c>
      <c r="C1533" t="s">
        <v>364</v>
      </c>
      <c r="D1533" t="s">
        <v>398</v>
      </c>
      <c r="E1533" t="s">
        <v>240</v>
      </c>
      <c r="F1533" s="3"/>
      <c r="G1533" s="3"/>
      <c r="H1533" s="3"/>
      <c r="I1533" s="3">
        <v>21.750157656768</v>
      </c>
      <c r="J1533" s="3">
        <v>21.750157656768</v>
      </c>
    </row>
    <row r="1534" spans="2:10" x14ac:dyDescent="0.25">
      <c r="B1534" t="s">
        <v>137</v>
      </c>
      <c r="C1534" t="s">
        <v>364</v>
      </c>
      <c r="D1534" t="s">
        <v>398</v>
      </c>
      <c r="E1534" t="s">
        <v>301</v>
      </c>
      <c r="F1534" s="3"/>
      <c r="G1534" s="3"/>
      <c r="H1534" s="3"/>
      <c r="I1534" s="3">
        <v>20.220764946202099</v>
      </c>
      <c r="J1534" s="3">
        <v>20.220764946202099</v>
      </c>
    </row>
    <row r="1535" spans="2:10" x14ac:dyDescent="0.25">
      <c r="B1535" t="s">
        <v>137</v>
      </c>
      <c r="C1535" t="s">
        <v>364</v>
      </c>
      <c r="D1535" t="s">
        <v>398</v>
      </c>
      <c r="E1535" t="s">
        <v>302</v>
      </c>
      <c r="F1535" s="3"/>
      <c r="G1535" s="3"/>
      <c r="H1535" s="3"/>
      <c r="I1535" s="3">
        <v>18.139877099881801</v>
      </c>
      <c r="J1535" s="3">
        <v>18.139877099881801</v>
      </c>
    </row>
    <row r="1536" spans="2:10" x14ac:dyDescent="0.25">
      <c r="B1536" t="s">
        <v>137</v>
      </c>
      <c r="C1536" t="s">
        <v>364</v>
      </c>
      <c r="D1536" t="s">
        <v>398</v>
      </c>
      <c r="E1536" t="s">
        <v>303</v>
      </c>
      <c r="F1536" s="3"/>
      <c r="G1536" s="3"/>
      <c r="H1536" s="3"/>
      <c r="I1536" s="3">
        <v>15.6306952070615</v>
      </c>
      <c r="J1536" s="3">
        <v>15.6306952070615</v>
      </c>
    </row>
    <row r="1537" spans="2:10" x14ac:dyDescent="0.25">
      <c r="B1537" t="s">
        <v>137</v>
      </c>
      <c r="C1537" t="s">
        <v>364</v>
      </c>
      <c r="D1537" t="s">
        <v>398</v>
      </c>
      <c r="E1537" t="s">
        <v>304</v>
      </c>
      <c r="F1537" s="3"/>
      <c r="G1537" s="3"/>
      <c r="H1537" s="3"/>
      <c r="I1537" s="3">
        <v>14.222562991422199</v>
      </c>
      <c r="J1537" s="3">
        <v>14.222562991422199</v>
      </c>
    </row>
    <row r="1538" spans="2:10" x14ac:dyDescent="0.25">
      <c r="B1538" t="s">
        <v>137</v>
      </c>
      <c r="C1538" t="s">
        <v>364</v>
      </c>
      <c r="D1538" t="s">
        <v>398</v>
      </c>
      <c r="E1538" t="s">
        <v>305</v>
      </c>
      <c r="F1538" s="3"/>
      <c r="G1538" s="3"/>
      <c r="H1538" s="3"/>
      <c r="I1538" s="3">
        <v>14.417958335571299</v>
      </c>
      <c r="J1538" s="3">
        <v>14.417958335571299</v>
      </c>
    </row>
    <row r="1539" spans="2:10" x14ac:dyDescent="0.25">
      <c r="B1539" t="s">
        <v>137</v>
      </c>
      <c r="C1539" t="s">
        <v>364</v>
      </c>
      <c r="D1539" t="s">
        <v>398</v>
      </c>
      <c r="E1539" t="s">
        <v>306</v>
      </c>
      <c r="F1539" s="3"/>
      <c r="G1539" s="3"/>
      <c r="H1539" s="3"/>
      <c r="I1539" s="3">
        <v>14.1163984437379</v>
      </c>
      <c r="J1539" s="3">
        <v>14.1163984437379</v>
      </c>
    </row>
    <row r="1540" spans="2:10" x14ac:dyDescent="0.25">
      <c r="B1540" t="s">
        <v>137</v>
      </c>
      <c r="C1540" t="s">
        <v>364</v>
      </c>
      <c r="D1540" t="s">
        <v>398</v>
      </c>
      <c r="E1540" t="s">
        <v>307</v>
      </c>
      <c r="F1540" s="3"/>
      <c r="G1540" s="3"/>
      <c r="H1540" s="3"/>
      <c r="I1540" s="3">
        <v>14.3547703714104</v>
      </c>
      <c r="J1540" s="3">
        <v>14.3547703714104</v>
      </c>
    </row>
    <row r="1541" spans="2:10" x14ac:dyDescent="0.25">
      <c r="B1541" t="s">
        <v>137</v>
      </c>
      <c r="C1541" t="s">
        <v>364</v>
      </c>
      <c r="D1541" t="s">
        <v>398</v>
      </c>
      <c r="E1541" t="s">
        <v>308</v>
      </c>
      <c r="F1541" s="3"/>
      <c r="G1541" s="3"/>
      <c r="H1541" s="3"/>
      <c r="I1541" s="3">
        <v>15.1842213627236</v>
      </c>
      <c r="J1541" s="3">
        <v>15.1842213627236</v>
      </c>
    </row>
    <row r="1542" spans="2:10" x14ac:dyDescent="0.25">
      <c r="B1542" t="s">
        <v>137</v>
      </c>
      <c r="C1542" t="s">
        <v>364</v>
      </c>
      <c r="D1542" t="s">
        <v>398</v>
      </c>
      <c r="E1542" t="s">
        <v>309</v>
      </c>
      <c r="F1542" s="3"/>
      <c r="G1542" s="3"/>
      <c r="H1542" s="3"/>
      <c r="I1542" s="3">
        <v>14.954871924906699</v>
      </c>
      <c r="J1542" s="3">
        <v>14.954871924906699</v>
      </c>
    </row>
    <row r="1543" spans="2:10" x14ac:dyDescent="0.25">
      <c r="B1543" t="s">
        <v>137</v>
      </c>
      <c r="C1543" t="s">
        <v>364</v>
      </c>
      <c r="D1543" t="s">
        <v>398</v>
      </c>
      <c r="E1543" t="s">
        <v>310</v>
      </c>
      <c r="F1543" s="3"/>
      <c r="G1543" s="3"/>
      <c r="H1543" s="3"/>
      <c r="I1543" s="3">
        <v>14.019290238894699</v>
      </c>
      <c r="J1543" s="3">
        <v>14.019290238894699</v>
      </c>
    </row>
    <row r="1544" spans="2:10" x14ac:dyDescent="0.25">
      <c r="B1544" t="s">
        <v>137</v>
      </c>
      <c r="C1544" t="s">
        <v>364</v>
      </c>
      <c r="D1544" t="s">
        <v>398</v>
      </c>
      <c r="E1544" t="s">
        <v>311</v>
      </c>
      <c r="F1544" s="3"/>
      <c r="G1544" s="3"/>
      <c r="H1544" s="3"/>
      <c r="I1544" s="3">
        <v>12.105264979820699</v>
      </c>
      <c r="J1544" s="3">
        <v>12.105264979820699</v>
      </c>
    </row>
    <row r="1545" spans="2:10" x14ac:dyDescent="0.25">
      <c r="B1545" t="s">
        <v>137</v>
      </c>
      <c r="C1545" t="s">
        <v>364</v>
      </c>
      <c r="D1545" t="s">
        <v>398</v>
      </c>
      <c r="E1545" t="s">
        <v>312</v>
      </c>
      <c r="F1545" s="3"/>
      <c r="G1545" s="3"/>
      <c r="H1545" s="3"/>
      <c r="I1545" s="3">
        <v>8.6331343559495792</v>
      </c>
      <c r="J1545" s="3">
        <v>8.6331343559495792</v>
      </c>
    </row>
    <row r="1546" spans="2:10" x14ac:dyDescent="0.25">
      <c r="B1546" t="s">
        <v>137</v>
      </c>
      <c r="C1546" t="s">
        <v>364</v>
      </c>
      <c r="D1546" t="s">
        <v>399</v>
      </c>
      <c r="E1546" t="s">
        <v>196</v>
      </c>
      <c r="F1546" s="3"/>
      <c r="G1546" s="3"/>
      <c r="H1546" s="3"/>
      <c r="I1546" s="3">
        <v>1.0979262308186299</v>
      </c>
      <c r="J1546" s="3">
        <v>1.0979262308186299</v>
      </c>
    </row>
    <row r="1547" spans="2:10" x14ac:dyDescent="0.25">
      <c r="B1547" t="s">
        <v>137</v>
      </c>
      <c r="C1547" t="s">
        <v>364</v>
      </c>
      <c r="D1547" t="s">
        <v>399</v>
      </c>
      <c r="E1547" t="s">
        <v>197</v>
      </c>
      <c r="F1547" s="3"/>
      <c r="G1547" s="3"/>
      <c r="H1547" s="3"/>
      <c r="I1547" s="3">
        <v>2.2597566396642099</v>
      </c>
      <c r="J1547" s="3">
        <v>2.2597566396642099</v>
      </c>
    </row>
    <row r="1548" spans="2:10" x14ac:dyDescent="0.25">
      <c r="B1548" t="s">
        <v>137</v>
      </c>
      <c r="C1548" t="s">
        <v>364</v>
      </c>
      <c r="D1548" t="s">
        <v>399</v>
      </c>
      <c r="E1548" t="s">
        <v>198</v>
      </c>
      <c r="F1548" s="3"/>
      <c r="G1548" s="3"/>
      <c r="H1548" s="3"/>
      <c r="I1548" s="3">
        <v>1.4031761727077099</v>
      </c>
      <c r="J1548" s="3">
        <v>1.4031761727077099</v>
      </c>
    </row>
    <row r="1549" spans="2:10" x14ac:dyDescent="0.25">
      <c r="B1549" t="s">
        <v>137</v>
      </c>
      <c r="C1549" t="s">
        <v>364</v>
      </c>
      <c r="D1549" t="s">
        <v>399</v>
      </c>
      <c r="E1549" t="s">
        <v>199</v>
      </c>
      <c r="F1549" s="3"/>
      <c r="G1549" s="3"/>
      <c r="H1549" s="3"/>
      <c r="I1549" s="3">
        <v>2.2597566396642099</v>
      </c>
      <c r="J1549" s="3">
        <v>2.2597566396642099</v>
      </c>
    </row>
    <row r="1550" spans="2:10" x14ac:dyDescent="0.25">
      <c r="B1550" t="s">
        <v>137</v>
      </c>
      <c r="C1550" t="s">
        <v>364</v>
      </c>
      <c r="D1550" t="s">
        <v>399</v>
      </c>
      <c r="E1550" t="s">
        <v>200</v>
      </c>
      <c r="F1550" s="3"/>
      <c r="G1550" s="3"/>
      <c r="H1550" s="3"/>
      <c r="I1550" s="3">
        <v>1.6231286116016701</v>
      </c>
      <c r="J1550" s="3">
        <v>1.6231286116016701</v>
      </c>
    </row>
    <row r="1551" spans="2:10" x14ac:dyDescent="0.25">
      <c r="B1551" t="s">
        <v>137</v>
      </c>
      <c r="C1551" t="s">
        <v>364</v>
      </c>
      <c r="D1551" t="s">
        <v>399</v>
      </c>
      <c r="E1551" t="s">
        <v>240</v>
      </c>
      <c r="F1551" s="3"/>
      <c r="G1551" s="3"/>
      <c r="H1551" s="3"/>
      <c r="I1551" s="3">
        <v>0.13656335544370299</v>
      </c>
      <c r="J1551" s="3">
        <v>0.13656335544370299</v>
      </c>
    </row>
    <row r="1552" spans="2:10" x14ac:dyDescent="0.25">
      <c r="B1552" t="s">
        <v>137</v>
      </c>
      <c r="C1552" t="s">
        <v>364</v>
      </c>
      <c r="D1552" t="s">
        <v>400</v>
      </c>
      <c r="E1552" t="s">
        <v>46</v>
      </c>
      <c r="F1552" s="3"/>
      <c r="G1552" s="3"/>
      <c r="H1552" s="3"/>
      <c r="I1552" s="3">
        <v>18</v>
      </c>
      <c r="J1552" s="3">
        <v>18</v>
      </c>
    </row>
    <row r="1553" spans="2:10" x14ac:dyDescent="0.25">
      <c r="B1553" t="s">
        <v>137</v>
      </c>
      <c r="C1553" t="s">
        <v>364</v>
      </c>
      <c r="D1553" t="s">
        <v>400</v>
      </c>
      <c r="E1553" t="s">
        <v>47</v>
      </c>
      <c r="F1553" s="3"/>
      <c r="G1553" s="3"/>
      <c r="H1553" s="3"/>
      <c r="I1553" s="3">
        <v>18</v>
      </c>
      <c r="J1553" s="3">
        <v>18</v>
      </c>
    </row>
    <row r="1554" spans="2:10" x14ac:dyDescent="0.25">
      <c r="B1554" t="s">
        <v>137</v>
      </c>
      <c r="C1554" t="s">
        <v>364</v>
      </c>
      <c r="D1554" t="s">
        <v>400</v>
      </c>
      <c r="E1554" t="s">
        <v>48</v>
      </c>
      <c r="F1554" s="3"/>
      <c r="G1554" s="3"/>
      <c r="H1554" s="3"/>
      <c r="I1554" s="3">
        <v>18</v>
      </c>
      <c r="J1554" s="3">
        <v>18</v>
      </c>
    </row>
    <row r="1555" spans="2:10" x14ac:dyDescent="0.25">
      <c r="B1555" t="s">
        <v>137</v>
      </c>
      <c r="C1555" t="s">
        <v>364</v>
      </c>
      <c r="D1555" t="s">
        <v>400</v>
      </c>
      <c r="E1555" t="s">
        <v>49</v>
      </c>
      <c r="F1555" s="3"/>
      <c r="G1555" s="3"/>
      <c r="H1555" s="3"/>
      <c r="I1555" s="3">
        <v>18</v>
      </c>
      <c r="J1555" s="3">
        <v>18</v>
      </c>
    </row>
    <row r="1556" spans="2:10" x14ac:dyDescent="0.25">
      <c r="B1556" t="s">
        <v>137</v>
      </c>
      <c r="C1556" t="s">
        <v>364</v>
      </c>
      <c r="D1556" t="s">
        <v>400</v>
      </c>
      <c r="E1556" t="s">
        <v>50</v>
      </c>
      <c r="F1556" s="3"/>
      <c r="G1556" s="3"/>
      <c r="H1556" s="3"/>
      <c r="I1556" s="3">
        <v>18</v>
      </c>
      <c r="J1556" s="3">
        <v>18</v>
      </c>
    </row>
    <row r="1557" spans="2:10" x14ac:dyDescent="0.25">
      <c r="B1557" t="s">
        <v>137</v>
      </c>
      <c r="C1557" t="s">
        <v>364</v>
      </c>
      <c r="D1557" t="s">
        <v>400</v>
      </c>
      <c r="E1557" t="s">
        <v>51</v>
      </c>
      <c r="F1557" s="3"/>
      <c r="G1557" s="3"/>
      <c r="H1557" s="3"/>
      <c r="I1557" s="3">
        <v>18</v>
      </c>
      <c r="J1557" s="3">
        <v>18</v>
      </c>
    </row>
    <row r="1558" spans="2:10" x14ac:dyDescent="0.25">
      <c r="B1558" t="s">
        <v>137</v>
      </c>
      <c r="C1558" t="s">
        <v>364</v>
      </c>
      <c r="D1558" t="s">
        <v>400</v>
      </c>
      <c r="E1558" t="s">
        <v>196</v>
      </c>
      <c r="F1558" s="3"/>
      <c r="G1558" s="3"/>
      <c r="H1558" s="3"/>
      <c r="I1558" s="3">
        <v>28.714982554682898</v>
      </c>
      <c r="J1558" s="3">
        <v>28.714982554682898</v>
      </c>
    </row>
    <row r="1559" spans="2:10" x14ac:dyDescent="0.25">
      <c r="B1559" t="s">
        <v>137</v>
      </c>
      <c r="C1559" t="s">
        <v>364</v>
      </c>
      <c r="D1559" t="s">
        <v>400</v>
      </c>
      <c r="E1559" t="s">
        <v>197</v>
      </c>
      <c r="F1559" s="3"/>
      <c r="G1559" s="3"/>
      <c r="H1559" s="3"/>
      <c r="I1559" s="3">
        <v>30.482101002957499</v>
      </c>
      <c r="J1559" s="3">
        <v>30.482101002957499</v>
      </c>
    </row>
    <row r="1560" spans="2:10" x14ac:dyDescent="0.25">
      <c r="B1560" t="s">
        <v>137</v>
      </c>
      <c r="C1560" t="s">
        <v>364</v>
      </c>
      <c r="D1560" t="s">
        <v>400</v>
      </c>
      <c r="E1560" t="s">
        <v>198</v>
      </c>
      <c r="F1560" s="3"/>
      <c r="G1560" s="3"/>
      <c r="H1560" s="3"/>
      <c r="I1560" s="3">
        <v>22.931390889463849</v>
      </c>
      <c r="J1560" s="3">
        <v>22.931390889463849</v>
      </c>
    </row>
    <row r="1561" spans="2:10" x14ac:dyDescent="0.25">
      <c r="B1561" t="s">
        <v>137</v>
      </c>
      <c r="C1561" t="s">
        <v>364</v>
      </c>
      <c r="D1561" t="s">
        <v>400</v>
      </c>
      <c r="E1561" t="s">
        <v>199</v>
      </c>
      <c r="F1561" s="3"/>
      <c r="G1561" s="3"/>
      <c r="H1561" s="3"/>
      <c r="I1561" s="3">
        <v>18</v>
      </c>
      <c r="J1561" s="3">
        <v>18</v>
      </c>
    </row>
    <row r="1562" spans="2:10" x14ac:dyDescent="0.25">
      <c r="B1562" t="s">
        <v>137</v>
      </c>
      <c r="C1562" t="s">
        <v>364</v>
      </c>
      <c r="D1562" t="s">
        <v>400</v>
      </c>
      <c r="E1562" t="s">
        <v>200</v>
      </c>
      <c r="F1562" s="3"/>
      <c r="G1562" s="3"/>
      <c r="H1562" s="3"/>
      <c r="I1562" s="3">
        <v>18</v>
      </c>
      <c r="J1562" s="3">
        <v>18</v>
      </c>
    </row>
    <row r="1563" spans="2:10" x14ac:dyDescent="0.25">
      <c r="B1563" t="s">
        <v>137</v>
      </c>
      <c r="C1563" t="s">
        <v>364</v>
      </c>
      <c r="D1563" t="s">
        <v>400</v>
      </c>
      <c r="E1563" t="s">
        <v>240</v>
      </c>
      <c r="F1563" s="3"/>
      <c r="G1563" s="3"/>
      <c r="H1563" s="3"/>
      <c r="I1563" s="3">
        <v>18</v>
      </c>
      <c r="J1563" s="3">
        <v>18</v>
      </c>
    </row>
    <row r="1564" spans="2:10" x14ac:dyDescent="0.25">
      <c r="B1564" t="s">
        <v>137</v>
      </c>
      <c r="C1564" t="s">
        <v>364</v>
      </c>
      <c r="D1564" t="s">
        <v>400</v>
      </c>
      <c r="E1564" t="s">
        <v>301</v>
      </c>
      <c r="F1564" s="3"/>
      <c r="G1564" s="3"/>
      <c r="H1564" s="3"/>
      <c r="I1564" s="3">
        <v>18</v>
      </c>
      <c r="J1564" s="3">
        <v>18</v>
      </c>
    </row>
    <row r="1565" spans="2:10" x14ac:dyDescent="0.25">
      <c r="B1565" t="s">
        <v>137</v>
      </c>
      <c r="C1565" t="s">
        <v>364</v>
      </c>
      <c r="D1565" t="s">
        <v>400</v>
      </c>
      <c r="E1565" t="s">
        <v>302</v>
      </c>
      <c r="F1565" s="3"/>
      <c r="G1565" s="3"/>
      <c r="H1565" s="3"/>
      <c r="I1565" s="3">
        <v>18</v>
      </c>
      <c r="J1565" s="3">
        <v>18</v>
      </c>
    </row>
    <row r="1566" spans="2:10" x14ac:dyDescent="0.25">
      <c r="B1566" t="s">
        <v>137</v>
      </c>
      <c r="C1566" t="s">
        <v>364</v>
      </c>
      <c r="D1566" t="s">
        <v>400</v>
      </c>
      <c r="E1566" t="s">
        <v>303</v>
      </c>
      <c r="F1566" s="3"/>
      <c r="G1566" s="3"/>
      <c r="H1566" s="3"/>
      <c r="I1566" s="3">
        <v>18</v>
      </c>
      <c r="J1566" s="3">
        <v>18</v>
      </c>
    </row>
    <row r="1567" spans="2:10" x14ac:dyDescent="0.25">
      <c r="B1567" t="s">
        <v>137</v>
      </c>
      <c r="C1567" t="s">
        <v>364</v>
      </c>
      <c r="D1567" t="s">
        <v>400</v>
      </c>
      <c r="E1567" t="s">
        <v>304</v>
      </c>
      <c r="F1567" s="3"/>
      <c r="G1567" s="3"/>
      <c r="H1567" s="3"/>
      <c r="I1567" s="3">
        <v>18</v>
      </c>
      <c r="J1567" s="3">
        <v>18</v>
      </c>
    </row>
    <row r="1568" spans="2:10" x14ac:dyDescent="0.25">
      <c r="B1568" t="s">
        <v>137</v>
      </c>
      <c r="C1568" t="s">
        <v>364</v>
      </c>
      <c r="D1568" t="s">
        <v>400</v>
      </c>
      <c r="E1568" t="s">
        <v>305</v>
      </c>
      <c r="F1568" s="3"/>
      <c r="G1568" s="3"/>
      <c r="H1568" s="3"/>
      <c r="I1568" s="3">
        <v>18</v>
      </c>
      <c r="J1568" s="3">
        <v>18</v>
      </c>
    </row>
    <row r="1569" spans="2:10" x14ac:dyDescent="0.25">
      <c r="B1569" t="s">
        <v>137</v>
      </c>
      <c r="C1569" t="s">
        <v>364</v>
      </c>
      <c r="D1569" t="s">
        <v>400</v>
      </c>
      <c r="E1569" t="s">
        <v>306</v>
      </c>
      <c r="F1569" s="3"/>
      <c r="G1569" s="3"/>
      <c r="H1569" s="3"/>
      <c r="I1569" s="3">
        <v>18</v>
      </c>
      <c r="J1569" s="3">
        <v>18</v>
      </c>
    </row>
    <row r="1570" spans="2:10" x14ac:dyDescent="0.25">
      <c r="B1570" t="s">
        <v>137</v>
      </c>
      <c r="C1570" t="s">
        <v>364</v>
      </c>
      <c r="D1570" t="s">
        <v>400</v>
      </c>
      <c r="E1570" t="s">
        <v>307</v>
      </c>
      <c r="F1570" s="3"/>
      <c r="G1570" s="3"/>
      <c r="H1570" s="3"/>
      <c r="I1570" s="3">
        <v>18</v>
      </c>
      <c r="J1570" s="3">
        <v>18</v>
      </c>
    </row>
    <row r="1571" spans="2:10" x14ac:dyDescent="0.25">
      <c r="B1571" t="s">
        <v>137</v>
      </c>
      <c r="C1571" t="s">
        <v>364</v>
      </c>
      <c r="D1571" t="s">
        <v>400</v>
      </c>
      <c r="E1571" t="s">
        <v>308</v>
      </c>
      <c r="F1571" s="3"/>
      <c r="G1571" s="3"/>
      <c r="H1571" s="3"/>
      <c r="I1571" s="3">
        <v>18</v>
      </c>
      <c r="J1571" s="3">
        <v>18</v>
      </c>
    </row>
    <row r="1572" spans="2:10" x14ac:dyDescent="0.25">
      <c r="B1572" t="s">
        <v>137</v>
      </c>
      <c r="C1572" t="s">
        <v>364</v>
      </c>
      <c r="D1572" t="s">
        <v>400</v>
      </c>
      <c r="E1572" t="s">
        <v>309</v>
      </c>
      <c r="F1572" s="3"/>
      <c r="G1572" s="3"/>
      <c r="H1572" s="3"/>
      <c r="I1572" s="3">
        <v>18</v>
      </c>
      <c r="J1572" s="3">
        <v>18</v>
      </c>
    </row>
    <row r="1573" spans="2:10" x14ac:dyDescent="0.25">
      <c r="B1573" t="s">
        <v>137</v>
      </c>
      <c r="C1573" t="s">
        <v>364</v>
      </c>
      <c r="D1573" t="s">
        <v>400</v>
      </c>
      <c r="E1573" t="s">
        <v>310</v>
      </c>
      <c r="F1573" s="3"/>
      <c r="G1573" s="3"/>
      <c r="H1573" s="3"/>
      <c r="I1573" s="3">
        <v>18</v>
      </c>
      <c r="J1573" s="3">
        <v>18</v>
      </c>
    </row>
    <row r="1574" spans="2:10" x14ac:dyDescent="0.25">
      <c r="B1574" t="s">
        <v>137</v>
      </c>
      <c r="C1574" t="s">
        <v>364</v>
      </c>
      <c r="D1574" t="s">
        <v>400</v>
      </c>
      <c r="E1574" t="s">
        <v>311</v>
      </c>
      <c r="F1574" s="3"/>
      <c r="G1574" s="3"/>
      <c r="H1574" s="3"/>
      <c r="I1574" s="3">
        <v>18</v>
      </c>
      <c r="J1574" s="3">
        <v>18</v>
      </c>
    </row>
    <row r="1575" spans="2:10" x14ac:dyDescent="0.25">
      <c r="B1575" t="s">
        <v>137</v>
      </c>
      <c r="C1575" t="s">
        <v>364</v>
      </c>
      <c r="D1575" t="s">
        <v>400</v>
      </c>
      <c r="E1575" t="s">
        <v>312</v>
      </c>
      <c r="F1575" s="3"/>
      <c r="G1575" s="3"/>
      <c r="H1575" s="3"/>
      <c r="I1575" s="3">
        <v>18</v>
      </c>
      <c r="J1575" s="3">
        <v>18</v>
      </c>
    </row>
    <row r="1576" spans="2:10" x14ac:dyDescent="0.25">
      <c r="B1576" t="s">
        <v>137</v>
      </c>
      <c r="C1576" t="s">
        <v>364</v>
      </c>
      <c r="D1576" t="s">
        <v>401</v>
      </c>
      <c r="E1576" t="s">
        <v>51</v>
      </c>
      <c r="F1576" s="3"/>
      <c r="G1576" s="3"/>
      <c r="H1576" s="3"/>
      <c r="I1576" s="3">
        <v>10.292280747301</v>
      </c>
      <c r="J1576" s="3">
        <v>10.292280747301</v>
      </c>
    </row>
    <row r="1577" spans="2:10" x14ac:dyDescent="0.25">
      <c r="B1577" t="s">
        <v>137</v>
      </c>
      <c r="C1577" t="s">
        <v>364</v>
      </c>
      <c r="D1577" t="s">
        <v>401</v>
      </c>
      <c r="E1577" t="s">
        <v>196</v>
      </c>
      <c r="F1577" s="3"/>
      <c r="G1577" s="3"/>
      <c r="H1577" s="3"/>
      <c r="I1577" s="3">
        <v>32.482093778951999</v>
      </c>
      <c r="J1577" s="3">
        <v>32.482093778951999</v>
      </c>
    </row>
    <row r="1578" spans="2:10" x14ac:dyDescent="0.25">
      <c r="B1578" t="s">
        <v>137</v>
      </c>
      <c r="C1578" t="s">
        <v>364</v>
      </c>
      <c r="D1578" t="s">
        <v>401</v>
      </c>
      <c r="E1578" t="s">
        <v>197</v>
      </c>
      <c r="F1578" s="3"/>
      <c r="G1578" s="3"/>
      <c r="H1578" s="3"/>
      <c r="I1578" s="3">
        <v>34.407736412165697</v>
      </c>
      <c r="J1578" s="3">
        <v>34.407736412165697</v>
      </c>
    </row>
    <row r="1579" spans="2:10" x14ac:dyDescent="0.25">
      <c r="B1579" t="s">
        <v>137</v>
      </c>
      <c r="C1579" t="s">
        <v>364</v>
      </c>
      <c r="D1579" t="s">
        <v>401</v>
      </c>
      <c r="E1579" t="s">
        <v>198</v>
      </c>
      <c r="F1579" s="3"/>
      <c r="G1579" s="3"/>
      <c r="H1579" s="3"/>
      <c r="I1579" s="3">
        <v>23.8962146334779</v>
      </c>
      <c r="J1579" s="3">
        <v>23.8962146334779</v>
      </c>
    </row>
    <row r="1580" spans="2:10" x14ac:dyDescent="0.25">
      <c r="B1580" t="s">
        <v>137</v>
      </c>
      <c r="C1580" t="s">
        <v>364</v>
      </c>
      <c r="D1580" t="s">
        <v>401</v>
      </c>
      <c r="E1580" t="s">
        <v>199</v>
      </c>
      <c r="F1580" s="3"/>
      <c r="G1580" s="3"/>
      <c r="H1580" s="3"/>
      <c r="I1580" s="3">
        <v>14.6138066891116</v>
      </c>
      <c r="J1580" s="3">
        <v>14.6138066891116</v>
      </c>
    </row>
    <row r="1581" spans="2:10" x14ac:dyDescent="0.25">
      <c r="B1581" t="s">
        <v>137</v>
      </c>
      <c r="C1581" t="s">
        <v>364</v>
      </c>
      <c r="D1581" t="s">
        <v>401</v>
      </c>
      <c r="E1581" t="s">
        <v>200</v>
      </c>
      <c r="F1581" s="3"/>
      <c r="G1581" s="3"/>
      <c r="H1581" s="3"/>
      <c r="I1581" s="3">
        <v>8.6341537860848199</v>
      </c>
      <c r="J1581" s="3">
        <v>8.6341537860848199</v>
      </c>
    </row>
    <row r="1582" spans="2:10" x14ac:dyDescent="0.25">
      <c r="B1582" t="s">
        <v>137</v>
      </c>
      <c r="C1582" t="s">
        <v>364</v>
      </c>
      <c r="D1582" t="s">
        <v>401</v>
      </c>
      <c r="E1582" t="s">
        <v>240</v>
      </c>
      <c r="F1582" s="3"/>
      <c r="G1582" s="3"/>
      <c r="H1582" s="3"/>
      <c r="I1582" s="3">
        <v>4.3351824561427801</v>
      </c>
      <c r="J1582" s="3">
        <v>4.3351824561427801</v>
      </c>
    </row>
    <row r="1583" spans="2:10" x14ac:dyDescent="0.25">
      <c r="B1583" t="s">
        <v>137</v>
      </c>
      <c r="C1583" t="s">
        <v>364</v>
      </c>
      <c r="D1583" t="s">
        <v>401</v>
      </c>
      <c r="E1583" t="s">
        <v>301</v>
      </c>
      <c r="F1583" s="3"/>
      <c r="G1583" s="3"/>
      <c r="H1583" s="3"/>
      <c r="I1583" s="3">
        <v>0.86806431511247295</v>
      </c>
      <c r="J1583" s="3">
        <v>0.86806431511247295</v>
      </c>
    </row>
    <row r="1584" spans="2:10" x14ac:dyDescent="0.25">
      <c r="B1584" t="s">
        <v>137</v>
      </c>
      <c r="C1584" t="s">
        <v>364</v>
      </c>
      <c r="D1584" t="s">
        <v>401</v>
      </c>
      <c r="E1584" t="s">
        <v>302</v>
      </c>
      <c r="F1584" s="3"/>
      <c r="G1584" s="3"/>
      <c r="H1584" s="3"/>
      <c r="I1584" s="3">
        <v>1.2280260319154099</v>
      </c>
      <c r="J1584" s="3">
        <v>1.2280260319154099</v>
      </c>
    </row>
    <row r="1585" spans="2:10" x14ac:dyDescent="0.25">
      <c r="B1585" t="s">
        <v>137</v>
      </c>
      <c r="C1585" t="s">
        <v>364</v>
      </c>
      <c r="D1585" t="s">
        <v>401</v>
      </c>
      <c r="E1585" t="s">
        <v>303</v>
      </c>
      <c r="F1585" s="3"/>
      <c r="G1585" s="3"/>
      <c r="H1585" s="3"/>
      <c r="I1585" s="3">
        <v>3.8836872447817199</v>
      </c>
      <c r="J1585" s="3">
        <v>3.8836872447817199</v>
      </c>
    </row>
    <row r="1586" spans="2:10" x14ac:dyDescent="0.25">
      <c r="B1586" t="s">
        <v>137</v>
      </c>
      <c r="C1586" t="s">
        <v>364</v>
      </c>
      <c r="D1586" t="s">
        <v>401</v>
      </c>
      <c r="E1586" t="s">
        <v>304</v>
      </c>
      <c r="F1586" s="3"/>
      <c r="G1586" s="3"/>
      <c r="H1586" s="3"/>
      <c r="I1586" s="3">
        <v>7.6275656113352204</v>
      </c>
      <c r="J1586" s="3">
        <v>7.6275656113352204</v>
      </c>
    </row>
    <row r="1587" spans="2:10" x14ac:dyDescent="0.25">
      <c r="B1587" t="s">
        <v>137</v>
      </c>
      <c r="C1587" t="s">
        <v>364</v>
      </c>
      <c r="D1587" t="s">
        <v>401</v>
      </c>
      <c r="E1587" t="s">
        <v>305</v>
      </c>
      <c r="F1587" s="3"/>
      <c r="G1587" s="3"/>
      <c r="H1587" s="3"/>
      <c r="I1587" s="3">
        <v>11.527507482268</v>
      </c>
      <c r="J1587" s="3">
        <v>11.527507482268</v>
      </c>
    </row>
    <row r="1588" spans="2:10" x14ac:dyDescent="0.25">
      <c r="B1588" t="s">
        <v>137</v>
      </c>
      <c r="C1588" t="s">
        <v>364</v>
      </c>
      <c r="D1588" t="s">
        <v>401</v>
      </c>
      <c r="E1588" t="s">
        <v>306</v>
      </c>
      <c r="F1588" s="3"/>
      <c r="G1588" s="3"/>
      <c r="H1588" s="3"/>
      <c r="I1588" s="3">
        <v>14.539015424264001</v>
      </c>
      <c r="J1588" s="3">
        <v>14.539015424264001</v>
      </c>
    </row>
    <row r="1589" spans="2:10" x14ac:dyDescent="0.25">
      <c r="B1589" t="s">
        <v>137</v>
      </c>
      <c r="C1589" t="s">
        <v>364</v>
      </c>
      <c r="D1589" t="s">
        <v>401</v>
      </c>
      <c r="E1589" t="s">
        <v>307</v>
      </c>
      <c r="F1589" s="3"/>
      <c r="G1589" s="3"/>
      <c r="H1589" s="3"/>
      <c r="I1589" s="3">
        <v>17.593232981287098</v>
      </c>
      <c r="J1589" s="3">
        <v>17.593232981287098</v>
      </c>
    </row>
    <row r="1590" spans="2:10" x14ac:dyDescent="0.25">
      <c r="B1590" t="s">
        <v>137</v>
      </c>
      <c r="C1590" t="s">
        <v>364</v>
      </c>
      <c r="D1590" t="s">
        <v>401</v>
      </c>
      <c r="E1590" t="s">
        <v>308</v>
      </c>
      <c r="F1590" s="3"/>
      <c r="G1590" s="3"/>
      <c r="H1590" s="3"/>
      <c r="I1590" s="3">
        <v>19.783758952627199</v>
      </c>
      <c r="J1590" s="3">
        <v>19.783758952627199</v>
      </c>
    </row>
    <row r="1591" spans="2:10" x14ac:dyDescent="0.25">
      <c r="B1591" t="s">
        <v>137</v>
      </c>
      <c r="C1591" t="s">
        <v>364</v>
      </c>
      <c r="D1591" t="s">
        <v>401</v>
      </c>
      <c r="E1591" t="s">
        <v>309</v>
      </c>
      <c r="F1591" s="3"/>
      <c r="G1591" s="3"/>
      <c r="H1591" s="3"/>
      <c r="I1591" s="3">
        <v>19.910370817950898</v>
      </c>
      <c r="J1591" s="3">
        <v>19.910370817950898</v>
      </c>
    </row>
    <row r="1592" spans="2:10" x14ac:dyDescent="0.25">
      <c r="B1592" t="s">
        <v>137</v>
      </c>
      <c r="C1592" t="s">
        <v>364</v>
      </c>
      <c r="D1592" t="s">
        <v>401</v>
      </c>
      <c r="E1592" t="s">
        <v>310</v>
      </c>
      <c r="F1592" s="3"/>
      <c r="G1592" s="3"/>
      <c r="H1592" s="3"/>
      <c r="I1592" s="3">
        <v>17.935400612005399</v>
      </c>
      <c r="J1592" s="3">
        <v>17.935400612005399</v>
      </c>
    </row>
    <row r="1593" spans="2:10" x14ac:dyDescent="0.25">
      <c r="B1593" t="s">
        <v>137</v>
      </c>
      <c r="C1593" t="s">
        <v>364</v>
      </c>
      <c r="D1593" t="s">
        <v>401</v>
      </c>
      <c r="E1593" t="s">
        <v>311</v>
      </c>
      <c r="F1593" s="3"/>
      <c r="G1593" s="3"/>
      <c r="H1593" s="3"/>
      <c r="I1593" s="3">
        <v>13.390034309400001</v>
      </c>
      <c r="J1593" s="3">
        <v>13.390034309400001</v>
      </c>
    </row>
    <row r="1594" spans="2:10" x14ac:dyDescent="0.25">
      <c r="B1594" t="s">
        <v>137</v>
      </c>
      <c r="C1594" t="s">
        <v>364</v>
      </c>
      <c r="D1594" t="s">
        <v>401</v>
      </c>
      <c r="E1594" t="s">
        <v>312</v>
      </c>
      <c r="F1594" s="3"/>
      <c r="G1594" s="3"/>
      <c r="H1594" s="3"/>
      <c r="I1594" s="3">
        <v>2.60430436774912</v>
      </c>
      <c r="J1594" s="3">
        <v>2.60430436774912</v>
      </c>
    </row>
    <row r="1595" spans="2:10" x14ac:dyDescent="0.25">
      <c r="B1595" t="s">
        <v>137</v>
      </c>
      <c r="C1595" t="s">
        <v>364</v>
      </c>
      <c r="D1595" t="s">
        <v>402</v>
      </c>
      <c r="E1595" t="s">
        <v>46</v>
      </c>
      <c r="F1595" s="3"/>
      <c r="G1595" s="3"/>
      <c r="H1595" s="3"/>
      <c r="I1595" s="3">
        <v>10.438636061945401</v>
      </c>
      <c r="J1595" s="3">
        <v>10.438636061945401</v>
      </c>
    </row>
    <row r="1596" spans="2:10" x14ac:dyDescent="0.25">
      <c r="B1596" t="s">
        <v>137</v>
      </c>
      <c r="C1596" t="s">
        <v>364</v>
      </c>
      <c r="D1596" t="s">
        <v>402</v>
      </c>
      <c r="E1596" t="s">
        <v>47</v>
      </c>
      <c r="F1596" s="3"/>
      <c r="G1596" s="3"/>
      <c r="H1596" s="3"/>
      <c r="I1596" s="3">
        <v>10.438636061945401</v>
      </c>
      <c r="J1596" s="3">
        <v>10.438636061945401</v>
      </c>
    </row>
    <row r="1597" spans="2:10" x14ac:dyDescent="0.25">
      <c r="B1597" t="s">
        <v>137</v>
      </c>
      <c r="C1597" t="s">
        <v>364</v>
      </c>
      <c r="D1597" t="s">
        <v>402</v>
      </c>
      <c r="E1597" t="s">
        <v>48</v>
      </c>
      <c r="F1597" s="3"/>
      <c r="G1597" s="3"/>
      <c r="H1597" s="3"/>
      <c r="I1597" s="3">
        <v>10.438636061945401</v>
      </c>
      <c r="J1597" s="3">
        <v>10.438636061945401</v>
      </c>
    </row>
    <row r="1598" spans="2:10" x14ac:dyDescent="0.25">
      <c r="B1598" t="s">
        <v>137</v>
      </c>
      <c r="C1598" t="s">
        <v>364</v>
      </c>
      <c r="D1598" t="s">
        <v>402</v>
      </c>
      <c r="E1598" t="s">
        <v>49</v>
      </c>
      <c r="F1598" s="3"/>
      <c r="G1598" s="3"/>
      <c r="H1598" s="3"/>
      <c r="I1598" s="3">
        <v>10.438636061945401</v>
      </c>
      <c r="J1598" s="3">
        <v>10.438636061945401</v>
      </c>
    </row>
    <row r="1599" spans="2:10" x14ac:dyDescent="0.25">
      <c r="B1599" t="s">
        <v>137</v>
      </c>
      <c r="C1599" t="s">
        <v>364</v>
      </c>
      <c r="D1599" t="s">
        <v>402</v>
      </c>
      <c r="E1599" t="s">
        <v>50</v>
      </c>
      <c r="F1599" s="3"/>
      <c r="G1599" s="3"/>
      <c r="H1599" s="3"/>
      <c r="I1599" s="3">
        <v>10.438636061945401</v>
      </c>
      <c r="J1599" s="3">
        <v>10.438636061945401</v>
      </c>
    </row>
    <row r="1600" spans="2:10" x14ac:dyDescent="0.25">
      <c r="B1600" t="s">
        <v>137</v>
      </c>
      <c r="C1600" t="s">
        <v>364</v>
      </c>
      <c r="D1600" t="s">
        <v>402</v>
      </c>
      <c r="E1600" t="s">
        <v>51</v>
      </c>
      <c r="F1600" s="3"/>
      <c r="G1600" s="3"/>
      <c r="H1600" s="3"/>
      <c r="I1600" s="3">
        <v>10.438636061945401</v>
      </c>
      <c r="J1600" s="3">
        <v>10.438636061945401</v>
      </c>
    </row>
    <row r="1601" spans="2:10" x14ac:dyDescent="0.25">
      <c r="B1601" t="s">
        <v>137</v>
      </c>
      <c r="C1601" t="s">
        <v>364</v>
      </c>
      <c r="D1601" t="s">
        <v>402</v>
      </c>
      <c r="E1601" t="s">
        <v>196</v>
      </c>
      <c r="F1601" s="3"/>
      <c r="G1601" s="3"/>
      <c r="H1601" s="3"/>
      <c r="I1601" s="3">
        <v>10.438636061945401</v>
      </c>
      <c r="J1601" s="3">
        <v>10.438636061945401</v>
      </c>
    </row>
    <row r="1602" spans="2:10" x14ac:dyDescent="0.25">
      <c r="B1602" t="s">
        <v>137</v>
      </c>
      <c r="C1602" t="s">
        <v>364</v>
      </c>
      <c r="D1602" t="s">
        <v>402</v>
      </c>
      <c r="E1602" t="s">
        <v>197</v>
      </c>
      <c r="F1602" s="3"/>
      <c r="G1602" s="3"/>
      <c r="H1602" s="3"/>
      <c r="I1602" s="3">
        <v>10.438636061945401</v>
      </c>
      <c r="J1602" s="3">
        <v>10.438636061945401</v>
      </c>
    </row>
    <row r="1603" spans="2:10" x14ac:dyDescent="0.25">
      <c r="B1603" t="s">
        <v>137</v>
      </c>
      <c r="C1603" t="s">
        <v>364</v>
      </c>
      <c r="D1603" t="s">
        <v>402</v>
      </c>
      <c r="E1603" t="s">
        <v>198</v>
      </c>
      <c r="F1603" s="3"/>
      <c r="G1603" s="3"/>
      <c r="H1603" s="3"/>
      <c r="I1603" s="3">
        <v>10.438636061945401</v>
      </c>
      <c r="J1603" s="3">
        <v>10.438636061945401</v>
      </c>
    </row>
    <row r="1604" spans="2:10" x14ac:dyDescent="0.25">
      <c r="B1604" t="s">
        <v>137</v>
      </c>
      <c r="C1604" t="s">
        <v>364</v>
      </c>
      <c r="D1604" t="s">
        <v>402</v>
      </c>
      <c r="E1604" t="s">
        <v>199</v>
      </c>
      <c r="F1604" s="3"/>
      <c r="G1604" s="3"/>
      <c r="H1604" s="3"/>
      <c r="I1604" s="3">
        <v>10.438636061945401</v>
      </c>
      <c r="J1604" s="3">
        <v>10.438636061945401</v>
      </c>
    </row>
    <row r="1605" spans="2:10" x14ac:dyDescent="0.25">
      <c r="B1605" t="s">
        <v>137</v>
      </c>
      <c r="C1605" t="s">
        <v>364</v>
      </c>
      <c r="D1605" t="s">
        <v>402</v>
      </c>
      <c r="E1605" t="s">
        <v>200</v>
      </c>
      <c r="F1605" s="3"/>
      <c r="G1605" s="3"/>
      <c r="H1605" s="3"/>
      <c r="I1605" s="3">
        <v>10.438636061945401</v>
      </c>
      <c r="J1605" s="3">
        <v>10.438636061945401</v>
      </c>
    </row>
    <row r="1606" spans="2:10" x14ac:dyDescent="0.25">
      <c r="B1606" t="s">
        <v>137</v>
      </c>
      <c r="C1606" t="s">
        <v>364</v>
      </c>
      <c r="D1606" t="s">
        <v>402</v>
      </c>
      <c r="E1606" t="s">
        <v>240</v>
      </c>
      <c r="F1606" s="3"/>
      <c r="G1606" s="3"/>
      <c r="H1606" s="3"/>
      <c r="I1606" s="3">
        <v>10.438636061945401</v>
      </c>
      <c r="J1606" s="3">
        <v>10.438636061945401</v>
      </c>
    </row>
    <row r="1607" spans="2:10" x14ac:dyDescent="0.25">
      <c r="B1607" t="s">
        <v>137</v>
      </c>
      <c r="C1607" t="s">
        <v>364</v>
      </c>
      <c r="D1607" t="s">
        <v>402</v>
      </c>
      <c r="E1607" t="s">
        <v>301</v>
      </c>
      <c r="F1607" s="3"/>
      <c r="G1607" s="3"/>
      <c r="H1607" s="3"/>
      <c r="I1607" s="3">
        <v>10.438636061945401</v>
      </c>
      <c r="J1607" s="3">
        <v>10.438636061945401</v>
      </c>
    </row>
    <row r="1608" spans="2:10" x14ac:dyDescent="0.25">
      <c r="B1608" t="s">
        <v>137</v>
      </c>
      <c r="C1608" t="s">
        <v>364</v>
      </c>
      <c r="D1608" t="s">
        <v>402</v>
      </c>
      <c r="E1608" t="s">
        <v>302</v>
      </c>
      <c r="F1608" s="3"/>
      <c r="G1608" s="3"/>
      <c r="H1608" s="3"/>
      <c r="I1608" s="3">
        <v>10.438636061945401</v>
      </c>
      <c r="J1608" s="3">
        <v>10.438636061945401</v>
      </c>
    </row>
    <row r="1609" spans="2:10" x14ac:dyDescent="0.25">
      <c r="B1609" t="s">
        <v>137</v>
      </c>
      <c r="C1609" t="s">
        <v>364</v>
      </c>
      <c r="D1609" t="s">
        <v>402</v>
      </c>
      <c r="E1609" t="s">
        <v>303</v>
      </c>
      <c r="F1609" s="3"/>
      <c r="G1609" s="3"/>
      <c r="H1609" s="3"/>
      <c r="I1609" s="3">
        <v>10.438636061945401</v>
      </c>
      <c r="J1609" s="3">
        <v>10.438636061945401</v>
      </c>
    </row>
    <row r="1610" spans="2:10" x14ac:dyDescent="0.25">
      <c r="B1610" t="s">
        <v>137</v>
      </c>
      <c r="C1610" t="s">
        <v>364</v>
      </c>
      <c r="D1610" t="s">
        <v>402</v>
      </c>
      <c r="E1610" t="s">
        <v>304</v>
      </c>
      <c r="F1610" s="3"/>
      <c r="G1610" s="3"/>
      <c r="H1610" s="3"/>
      <c r="I1610" s="3">
        <v>10.438636061945401</v>
      </c>
      <c r="J1610" s="3">
        <v>10.438636061945401</v>
      </c>
    </row>
    <row r="1611" spans="2:10" x14ac:dyDescent="0.25">
      <c r="B1611" t="s">
        <v>137</v>
      </c>
      <c r="C1611" t="s">
        <v>364</v>
      </c>
      <c r="D1611" t="s">
        <v>402</v>
      </c>
      <c r="E1611" t="s">
        <v>305</v>
      </c>
      <c r="F1611" s="3"/>
      <c r="G1611" s="3"/>
      <c r="H1611" s="3"/>
      <c r="I1611" s="3">
        <v>10.438636061945401</v>
      </c>
      <c r="J1611" s="3">
        <v>10.438636061945401</v>
      </c>
    </row>
    <row r="1612" spans="2:10" x14ac:dyDescent="0.25">
      <c r="B1612" t="s">
        <v>137</v>
      </c>
      <c r="C1612" t="s">
        <v>364</v>
      </c>
      <c r="D1612" t="s">
        <v>402</v>
      </c>
      <c r="E1612" t="s">
        <v>306</v>
      </c>
      <c r="F1612" s="3"/>
      <c r="G1612" s="3"/>
      <c r="H1612" s="3"/>
      <c r="I1612" s="3">
        <v>10.438636061945401</v>
      </c>
      <c r="J1612" s="3">
        <v>10.438636061945401</v>
      </c>
    </row>
    <row r="1613" spans="2:10" x14ac:dyDescent="0.25">
      <c r="B1613" t="s">
        <v>137</v>
      </c>
      <c r="C1613" t="s">
        <v>364</v>
      </c>
      <c r="D1613" t="s">
        <v>402</v>
      </c>
      <c r="E1613" t="s">
        <v>307</v>
      </c>
      <c r="F1613" s="3"/>
      <c r="G1613" s="3"/>
      <c r="H1613" s="3"/>
      <c r="I1613" s="3">
        <v>10.438636061945401</v>
      </c>
      <c r="J1613" s="3">
        <v>10.438636061945401</v>
      </c>
    </row>
    <row r="1614" spans="2:10" x14ac:dyDescent="0.25">
      <c r="B1614" t="s">
        <v>137</v>
      </c>
      <c r="C1614" t="s">
        <v>364</v>
      </c>
      <c r="D1614" t="s">
        <v>402</v>
      </c>
      <c r="E1614" t="s">
        <v>308</v>
      </c>
      <c r="F1614" s="3"/>
      <c r="G1614" s="3"/>
      <c r="H1614" s="3"/>
      <c r="I1614" s="3">
        <v>10.438636061945401</v>
      </c>
      <c r="J1614" s="3">
        <v>10.438636061945401</v>
      </c>
    </row>
    <row r="1615" spans="2:10" x14ac:dyDescent="0.25">
      <c r="B1615" t="s">
        <v>137</v>
      </c>
      <c r="C1615" t="s">
        <v>364</v>
      </c>
      <c r="D1615" t="s">
        <v>402</v>
      </c>
      <c r="E1615" t="s">
        <v>309</v>
      </c>
      <c r="F1615" s="3"/>
      <c r="G1615" s="3"/>
      <c r="H1615" s="3"/>
      <c r="I1615" s="3">
        <v>10.438636061945401</v>
      </c>
      <c r="J1615" s="3">
        <v>10.438636061945401</v>
      </c>
    </row>
    <row r="1616" spans="2:10" x14ac:dyDescent="0.25">
      <c r="B1616" t="s">
        <v>137</v>
      </c>
      <c r="C1616" t="s">
        <v>364</v>
      </c>
      <c r="D1616" t="s">
        <v>402</v>
      </c>
      <c r="E1616" t="s">
        <v>310</v>
      </c>
      <c r="F1616" s="3"/>
      <c r="G1616" s="3"/>
      <c r="H1616" s="3"/>
      <c r="I1616" s="3">
        <v>10.438636061945401</v>
      </c>
      <c r="J1616" s="3">
        <v>10.438636061945401</v>
      </c>
    </row>
    <row r="1617" spans="2:10" x14ac:dyDescent="0.25">
      <c r="B1617" t="s">
        <v>137</v>
      </c>
      <c r="C1617" t="s">
        <v>364</v>
      </c>
      <c r="D1617" t="s">
        <v>402</v>
      </c>
      <c r="E1617" t="s">
        <v>311</v>
      </c>
      <c r="F1617" s="3"/>
      <c r="G1617" s="3"/>
      <c r="H1617" s="3"/>
      <c r="I1617" s="3">
        <v>10.438636061945401</v>
      </c>
      <c r="J1617" s="3">
        <v>10.438636061945401</v>
      </c>
    </row>
    <row r="1618" spans="2:10" x14ac:dyDescent="0.25">
      <c r="B1618" t="s">
        <v>137</v>
      </c>
      <c r="C1618" t="s">
        <v>364</v>
      </c>
      <c r="D1618" t="s">
        <v>402</v>
      </c>
      <c r="E1618" t="s">
        <v>312</v>
      </c>
      <c r="F1618" s="3"/>
      <c r="G1618" s="3"/>
      <c r="H1618" s="3"/>
      <c r="I1618" s="3">
        <v>10.438636061945401</v>
      </c>
      <c r="J1618" s="3">
        <v>10.438636061945401</v>
      </c>
    </row>
    <row r="1619" spans="2:10" x14ac:dyDescent="0.25">
      <c r="B1619" t="s">
        <v>137</v>
      </c>
      <c r="C1619" t="s">
        <v>364</v>
      </c>
      <c r="D1619" t="s">
        <v>403</v>
      </c>
      <c r="E1619" t="s">
        <v>197</v>
      </c>
      <c r="F1619" s="3"/>
      <c r="G1619" s="3"/>
      <c r="H1619" s="3"/>
      <c r="I1619" s="3">
        <v>2.70079760113595</v>
      </c>
      <c r="J1619" s="3">
        <v>2.70079760113595</v>
      </c>
    </row>
    <row r="1620" spans="2:10" x14ac:dyDescent="0.25">
      <c r="B1620" t="s">
        <v>137</v>
      </c>
      <c r="C1620" t="s">
        <v>364</v>
      </c>
      <c r="D1620" t="s">
        <v>404</v>
      </c>
      <c r="E1620" t="s">
        <v>307</v>
      </c>
      <c r="F1620" s="3">
        <v>3.4034846124810301</v>
      </c>
      <c r="G1620" s="3"/>
      <c r="H1620" s="3"/>
      <c r="I1620" s="3"/>
      <c r="J1620" s="3">
        <v>3.4034846124810301</v>
      </c>
    </row>
    <row r="1621" spans="2:10" x14ac:dyDescent="0.25">
      <c r="B1621" t="s">
        <v>137</v>
      </c>
      <c r="C1621" t="s">
        <v>405</v>
      </c>
      <c r="D1621" t="s">
        <v>406</v>
      </c>
      <c r="E1621" t="s">
        <v>196</v>
      </c>
      <c r="F1621" s="3">
        <v>8.1060483680878299</v>
      </c>
      <c r="G1621" s="3">
        <v>432.80208176164416</v>
      </c>
      <c r="H1621" s="3"/>
      <c r="I1621" s="3"/>
      <c r="J1621" s="3">
        <v>440.908130129732</v>
      </c>
    </row>
    <row r="1622" spans="2:10" x14ac:dyDescent="0.25">
      <c r="B1622" t="s">
        <v>137</v>
      </c>
      <c r="C1622" t="s">
        <v>405</v>
      </c>
      <c r="D1622" t="s">
        <v>406</v>
      </c>
      <c r="E1622" t="s">
        <v>197</v>
      </c>
      <c r="F1622" s="3">
        <v>86.458766955796293</v>
      </c>
      <c r="G1622" s="3">
        <v>4616.2485869598368</v>
      </c>
      <c r="H1622" s="3"/>
      <c r="I1622" s="3"/>
      <c r="J1622" s="3">
        <v>4702.7073539156327</v>
      </c>
    </row>
    <row r="1623" spans="2:10" x14ac:dyDescent="0.25">
      <c r="B1623" t="s">
        <v>137</v>
      </c>
      <c r="C1623" t="s">
        <v>405</v>
      </c>
      <c r="D1623" t="s">
        <v>406</v>
      </c>
      <c r="E1623" t="s">
        <v>198</v>
      </c>
      <c r="F1623" s="3">
        <v>252.30506718458889</v>
      </c>
      <c r="G1623" s="3">
        <v>13471.19500870445</v>
      </c>
      <c r="H1623" s="3"/>
      <c r="I1623" s="3"/>
      <c r="J1623" s="3">
        <v>13723.500075889038</v>
      </c>
    </row>
    <row r="1624" spans="2:10" x14ac:dyDescent="0.25">
      <c r="B1624" t="s">
        <v>137</v>
      </c>
      <c r="C1624" t="s">
        <v>405</v>
      </c>
      <c r="D1624" t="s">
        <v>406</v>
      </c>
      <c r="E1624" t="s">
        <v>199</v>
      </c>
      <c r="F1624" s="3">
        <v>411.90798547881207</v>
      </c>
      <c r="G1624" s="3">
        <v>21992.791741943307</v>
      </c>
      <c r="H1624" s="3"/>
      <c r="I1624" s="3"/>
      <c r="J1624" s="3">
        <v>22404.699727422118</v>
      </c>
    </row>
    <row r="1625" spans="2:10" x14ac:dyDescent="0.25">
      <c r="B1625" t="s">
        <v>137</v>
      </c>
      <c r="C1625" t="s">
        <v>405</v>
      </c>
      <c r="D1625" t="s">
        <v>406</v>
      </c>
      <c r="E1625" t="s">
        <v>200</v>
      </c>
      <c r="F1625" s="3">
        <v>548.96919054518173</v>
      </c>
      <c r="G1625" s="3">
        <v>29310.830345687547</v>
      </c>
      <c r="H1625" s="3"/>
      <c r="I1625" s="3"/>
      <c r="J1625" s="3">
        <v>29859.799536232727</v>
      </c>
    </row>
    <row r="1626" spans="2:10" x14ac:dyDescent="0.25">
      <c r="B1626" t="s">
        <v>137</v>
      </c>
      <c r="C1626" t="s">
        <v>405</v>
      </c>
      <c r="D1626" t="s">
        <v>406</v>
      </c>
      <c r="E1626" t="s">
        <v>240</v>
      </c>
      <c r="F1626" s="3">
        <v>636.73872276901</v>
      </c>
      <c r="G1626" s="3">
        <v>33997.063950123716</v>
      </c>
      <c r="H1626" s="3"/>
      <c r="I1626" s="3"/>
      <c r="J1626" s="3">
        <v>34633.802672892729</v>
      </c>
    </row>
    <row r="1627" spans="2:10" x14ac:dyDescent="0.25">
      <c r="B1627" t="s">
        <v>137</v>
      </c>
      <c r="C1627" t="s">
        <v>405</v>
      </c>
      <c r="D1627" t="s">
        <v>406</v>
      </c>
      <c r="E1627" t="s">
        <v>301</v>
      </c>
      <c r="F1627" s="3">
        <v>673.47464409672602</v>
      </c>
      <c r="G1627" s="3">
        <v>35958.486150447781</v>
      </c>
      <c r="H1627" s="3"/>
      <c r="I1627" s="3"/>
      <c r="J1627" s="3">
        <v>36631.96079454451</v>
      </c>
    </row>
    <row r="1628" spans="2:10" x14ac:dyDescent="0.25">
      <c r="B1628" t="s">
        <v>137</v>
      </c>
      <c r="C1628" t="s">
        <v>405</v>
      </c>
      <c r="D1628" t="s">
        <v>406</v>
      </c>
      <c r="E1628" t="s">
        <v>302</v>
      </c>
      <c r="F1628" s="3">
        <v>677.303458432291</v>
      </c>
      <c r="G1628" s="3">
        <v>36162.916069918167</v>
      </c>
      <c r="H1628" s="3"/>
      <c r="I1628" s="3"/>
      <c r="J1628" s="3">
        <v>36840.219528350455</v>
      </c>
    </row>
    <row r="1629" spans="2:10" x14ac:dyDescent="0.25">
      <c r="B1629" t="s">
        <v>137</v>
      </c>
      <c r="C1629" t="s">
        <v>405</v>
      </c>
      <c r="D1629" t="s">
        <v>406</v>
      </c>
      <c r="E1629" t="s">
        <v>303</v>
      </c>
      <c r="F1629" s="3">
        <v>583.08358133683635</v>
      </c>
      <c r="G1629" s="3">
        <v>31132.282511058896</v>
      </c>
      <c r="H1629" s="3"/>
      <c r="I1629" s="3"/>
      <c r="J1629" s="3">
        <v>31715.366092395732</v>
      </c>
    </row>
    <row r="1630" spans="2:10" x14ac:dyDescent="0.25">
      <c r="B1630" t="s">
        <v>137</v>
      </c>
      <c r="C1630" t="s">
        <v>405</v>
      </c>
      <c r="D1630" t="s">
        <v>406</v>
      </c>
      <c r="E1630" t="s">
        <v>304</v>
      </c>
      <c r="F1630" s="3">
        <v>441.36571018667132</v>
      </c>
      <c r="G1630" s="3">
        <v>23565.612924174988</v>
      </c>
      <c r="H1630" s="3"/>
      <c r="I1630" s="3"/>
      <c r="J1630" s="3">
        <v>24006.978634361658</v>
      </c>
    </row>
    <row r="1631" spans="2:10" x14ac:dyDescent="0.25">
      <c r="B1631" t="s">
        <v>137</v>
      </c>
      <c r="C1631" t="s">
        <v>405</v>
      </c>
      <c r="D1631" t="s">
        <v>406</v>
      </c>
      <c r="E1631" t="s">
        <v>305</v>
      </c>
      <c r="F1631" s="3">
        <v>281.2281376383832</v>
      </c>
      <c r="G1631" s="3">
        <v>15015.469670649738</v>
      </c>
      <c r="H1631" s="3"/>
      <c r="I1631" s="3"/>
      <c r="J1631" s="3">
        <v>15296.697808288121</v>
      </c>
    </row>
    <row r="1632" spans="2:10" x14ac:dyDescent="0.25">
      <c r="B1632" t="s">
        <v>137</v>
      </c>
      <c r="C1632" t="s">
        <v>405</v>
      </c>
      <c r="D1632" t="s">
        <v>406</v>
      </c>
      <c r="E1632" t="s">
        <v>306</v>
      </c>
      <c r="F1632" s="3">
        <v>106.8101224331231</v>
      </c>
      <c r="G1632" s="3">
        <v>5702.8580688295042</v>
      </c>
      <c r="H1632" s="3"/>
      <c r="I1632" s="3"/>
      <c r="J1632" s="3">
        <v>5809.6681912626273</v>
      </c>
    </row>
    <row r="1633" spans="2:10" x14ac:dyDescent="0.25">
      <c r="B1633" t="s">
        <v>137</v>
      </c>
      <c r="C1633" t="s">
        <v>405</v>
      </c>
      <c r="D1633" t="s">
        <v>406</v>
      </c>
      <c r="E1633" t="s">
        <v>307</v>
      </c>
      <c r="F1633" s="3">
        <v>8.7441840906819799</v>
      </c>
      <c r="G1633" s="3">
        <v>466.87373500671032</v>
      </c>
      <c r="H1633" s="3"/>
      <c r="I1633" s="3"/>
      <c r="J1633" s="3">
        <v>475.6179190973923</v>
      </c>
    </row>
    <row r="1634" spans="2:10" x14ac:dyDescent="0.25">
      <c r="B1634" t="s">
        <v>137</v>
      </c>
      <c r="C1634" t="s">
        <v>405</v>
      </c>
      <c r="D1634" t="s">
        <v>407</v>
      </c>
      <c r="E1634" t="s">
        <v>196</v>
      </c>
      <c r="F1634" s="3"/>
      <c r="G1634" s="3">
        <v>31.3340556197811</v>
      </c>
      <c r="H1634" s="3"/>
      <c r="I1634" s="3"/>
      <c r="J1634" s="3">
        <v>31.3340556197811</v>
      </c>
    </row>
    <row r="1635" spans="2:10" x14ac:dyDescent="0.25">
      <c r="B1635" t="s">
        <v>137</v>
      </c>
      <c r="C1635" t="s">
        <v>405</v>
      </c>
      <c r="D1635" t="s">
        <v>407</v>
      </c>
      <c r="E1635" t="s">
        <v>197</v>
      </c>
      <c r="F1635" s="3"/>
      <c r="G1635" s="3">
        <v>334.20770387651601</v>
      </c>
      <c r="H1635" s="3"/>
      <c r="I1635" s="3"/>
      <c r="J1635" s="3">
        <v>334.20770387651601</v>
      </c>
    </row>
    <row r="1636" spans="2:10" x14ac:dyDescent="0.25">
      <c r="B1636" t="s">
        <v>137</v>
      </c>
      <c r="C1636" t="s">
        <v>405</v>
      </c>
      <c r="D1636" t="s">
        <v>407</v>
      </c>
      <c r="E1636" t="s">
        <v>198</v>
      </c>
      <c r="F1636" s="3"/>
      <c r="G1636" s="3">
        <v>975.28914821654803</v>
      </c>
      <c r="H1636" s="3"/>
      <c r="I1636" s="3"/>
      <c r="J1636" s="3">
        <v>975.28914821654803</v>
      </c>
    </row>
    <row r="1637" spans="2:10" x14ac:dyDescent="0.25">
      <c r="B1637" t="s">
        <v>137</v>
      </c>
      <c r="C1637" t="s">
        <v>405</v>
      </c>
      <c r="D1637" t="s">
        <v>407</v>
      </c>
      <c r="E1637" t="s">
        <v>199</v>
      </c>
      <c r="F1637" s="3"/>
      <c r="G1637" s="3">
        <v>1592.2367029090001</v>
      </c>
      <c r="H1637" s="3"/>
      <c r="I1637" s="3"/>
      <c r="J1637" s="3">
        <v>1592.2367029090001</v>
      </c>
    </row>
    <row r="1638" spans="2:10" x14ac:dyDescent="0.25">
      <c r="B1638" t="s">
        <v>137</v>
      </c>
      <c r="C1638" t="s">
        <v>405</v>
      </c>
      <c r="D1638" t="s">
        <v>407</v>
      </c>
      <c r="E1638" t="s">
        <v>200</v>
      </c>
      <c r="F1638" s="3"/>
      <c r="G1638" s="3">
        <v>2122.0489156970898</v>
      </c>
      <c r="H1638" s="3"/>
      <c r="I1638" s="3"/>
      <c r="J1638" s="3">
        <v>2122.0489156970898</v>
      </c>
    </row>
    <row r="1639" spans="2:10" x14ac:dyDescent="0.25">
      <c r="B1639" t="s">
        <v>137</v>
      </c>
      <c r="C1639" t="s">
        <v>405</v>
      </c>
      <c r="D1639" t="s">
        <v>407</v>
      </c>
      <c r="E1639" t="s">
        <v>240</v>
      </c>
      <c r="F1639" s="3"/>
      <c r="G1639" s="3">
        <v>2461.3234030355302</v>
      </c>
      <c r="H1639" s="3"/>
      <c r="I1639" s="3"/>
      <c r="J1639" s="3">
        <v>2461.3234030355302</v>
      </c>
    </row>
    <row r="1640" spans="2:10" x14ac:dyDescent="0.25">
      <c r="B1640" t="s">
        <v>137</v>
      </c>
      <c r="C1640" t="s">
        <v>405</v>
      </c>
      <c r="D1640" t="s">
        <v>407</v>
      </c>
      <c r="E1640" t="s">
        <v>301</v>
      </c>
      <c r="F1640" s="3"/>
      <c r="G1640" s="3">
        <v>2603.3266763762399</v>
      </c>
      <c r="H1640" s="3"/>
      <c r="I1640" s="3"/>
      <c r="J1640" s="3">
        <v>2603.3266763762399</v>
      </c>
    </row>
    <row r="1641" spans="2:10" x14ac:dyDescent="0.25">
      <c r="B1641" t="s">
        <v>137</v>
      </c>
      <c r="C1641" t="s">
        <v>405</v>
      </c>
      <c r="D1641" t="s">
        <v>407</v>
      </c>
      <c r="E1641" t="s">
        <v>302</v>
      </c>
      <c r="F1641" s="3"/>
      <c r="G1641" s="3">
        <v>2618.1270175413301</v>
      </c>
      <c r="H1641" s="3"/>
      <c r="I1641" s="3"/>
      <c r="J1641" s="3">
        <v>2618.1270175413301</v>
      </c>
    </row>
    <row r="1642" spans="2:10" x14ac:dyDescent="0.25">
      <c r="B1642" t="s">
        <v>137</v>
      </c>
      <c r="C1642" t="s">
        <v>405</v>
      </c>
      <c r="D1642" t="s">
        <v>407</v>
      </c>
      <c r="E1642" t="s">
        <v>303</v>
      </c>
      <c r="F1642" s="3"/>
      <c r="G1642" s="3">
        <v>2253.9186221139598</v>
      </c>
      <c r="H1642" s="3"/>
      <c r="I1642" s="3"/>
      <c r="J1642" s="3">
        <v>2253.9186221139598</v>
      </c>
    </row>
    <row r="1643" spans="2:10" x14ac:dyDescent="0.25">
      <c r="B1643" t="s">
        <v>137</v>
      </c>
      <c r="C1643" t="s">
        <v>405</v>
      </c>
      <c r="D1643" t="s">
        <v>407</v>
      </c>
      <c r="E1643" t="s">
        <v>304</v>
      </c>
      <c r="F1643" s="3"/>
      <c r="G1643" s="3">
        <v>1706.1059943953601</v>
      </c>
      <c r="H1643" s="3"/>
      <c r="I1643" s="3"/>
      <c r="J1643" s="3">
        <v>1706.1059943953601</v>
      </c>
    </row>
    <row r="1644" spans="2:10" x14ac:dyDescent="0.25">
      <c r="B1644" t="s">
        <v>137</v>
      </c>
      <c r="C1644" t="s">
        <v>405</v>
      </c>
      <c r="D1644" t="s">
        <v>407</v>
      </c>
      <c r="E1644" t="s">
        <v>305</v>
      </c>
      <c r="F1644" s="3"/>
      <c r="G1644" s="3">
        <v>1087.0917253960599</v>
      </c>
      <c r="H1644" s="3"/>
      <c r="I1644" s="3"/>
      <c r="J1644" s="3">
        <v>1087.0917253960599</v>
      </c>
    </row>
    <row r="1645" spans="2:10" x14ac:dyDescent="0.25">
      <c r="B1645" t="s">
        <v>137</v>
      </c>
      <c r="C1645" t="s">
        <v>405</v>
      </c>
      <c r="D1645" t="s">
        <v>407</v>
      </c>
      <c r="E1645" t="s">
        <v>306</v>
      </c>
      <c r="F1645" s="3"/>
      <c r="G1645" s="3">
        <v>412.876183943201</v>
      </c>
      <c r="H1645" s="3"/>
      <c r="I1645" s="3"/>
      <c r="J1645" s="3">
        <v>412.876183943201</v>
      </c>
    </row>
    <row r="1646" spans="2:10" x14ac:dyDescent="0.25">
      <c r="B1646" t="s">
        <v>137</v>
      </c>
      <c r="C1646" t="s">
        <v>405</v>
      </c>
      <c r="D1646" t="s">
        <v>407</v>
      </c>
      <c r="E1646" t="s">
        <v>307</v>
      </c>
      <c r="F1646" s="3"/>
      <c r="G1646" s="3">
        <v>33.800779147295799</v>
      </c>
      <c r="H1646" s="3"/>
      <c r="I1646" s="3"/>
      <c r="J1646" s="3">
        <v>33.800779147295799</v>
      </c>
    </row>
    <row r="1647" spans="2:10" x14ac:dyDescent="0.25">
      <c r="B1647" t="s">
        <v>137</v>
      </c>
      <c r="C1647" t="s">
        <v>405</v>
      </c>
      <c r="D1647" t="s">
        <v>408</v>
      </c>
      <c r="E1647" t="s">
        <v>46</v>
      </c>
      <c r="F1647" s="3"/>
      <c r="G1647" s="3"/>
      <c r="H1647" s="3">
        <v>11636.590997453543</v>
      </c>
      <c r="I1647" s="3">
        <v>50583.705699651779</v>
      </c>
      <c r="J1647" s="3">
        <v>62220.296697105325</v>
      </c>
    </row>
    <row r="1648" spans="2:10" x14ac:dyDescent="0.25">
      <c r="B1648" t="s">
        <v>137</v>
      </c>
      <c r="C1648" t="s">
        <v>405</v>
      </c>
      <c r="D1648" t="s">
        <v>408</v>
      </c>
      <c r="E1648" t="s">
        <v>47</v>
      </c>
      <c r="F1648" s="3"/>
      <c r="G1648" s="3"/>
      <c r="H1648" s="3">
        <v>10854.282070946407</v>
      </c>
      <c r="I1648" s="3">
        <v>50517.888769333127</v>
      </c>
      <c r="J1648" s="3">
        <v>61372.170840279534</v>
      </c>
    </row>
    <row r="1649" spans="2:10" x14ac:dyDescent="0.25">
      <c r="B1649" t="s">
        <v>137</v>
      </c>
      <c r="C1649" t="s">
        <v>405</v>
      </c>
      <c r="D1649" t="s">
        <v>408</v>
      </c>
      <c r="E1649" t="s">
        <v>48</v>
      </c>
      <c r="F1649" s="3"/>
      <c r="G1649" s="3"/>
      <c r="H1649" s="3">
        <v>10729.295879463745</v>
      </c>
      <c r="I1649" s="3">
        <v>49904.538684965373</v>
      </c>
      <c r="J1649" s="3">
        <v>60633.834564429118</v>
      </c>
    </row>
    <row r="1650" spans="2:10" x14ac:dyDescent="0.25">
      <c r="B1650" t="s">
        <v>137</v>
      </c>
      <c r="C1650" t="s">
        <v>405</v>
      </c>
      <c r="D1650" t="s">
        <v>408</v>
      </c>
      <c r="E1650" t="s">
        <v>49</v>
      </c>
      <c r="F1650" s="3"/>
      <c r="G1650" s="3"/>
      <c r="H1650" s="3">
        <v>10759.052441204782</v>
      </c>
      <c r="I1650" s="3">
        <v>50256.312970914565</v>
      </c>
      <c r="J1650" s="3">
        <v>61015.365412119347</v>
      </c>
    </row>
    <row r="1651" spans="2:10" x14ac:dyDescent="0.25">
      <c r="B1651" t="s">
        <v>137</v>
      </c>
      <c r="C1651" t="s">
        <v>405</v>
      </c>
      <c r="D1651" t="s">
        <v>408</v>
      </c>
      <c r="E1651" t="s">
        <v>50</v>
      </c>
      <c r="F1651" s="3"/>
      <c r="G1651" s="3"/>
      <c r="H1651" s="3">
        <v>11387.808386908071</v>
      </c>
      <c r="I1651" s="3">
        <v>50064.914773935358</v>
      </c>
      <c r="J1651" s="3">
        <v>61452.72316084343</v>
      </c>
    </row>
    <row r="1652" spans="2:10" x14ac:dyDescent="0.25">
      <c r="B1652" t="s">
        <v>137</v>
      </c>
      <c r="C1652" t="s">
        <v>405</v>
      </c>
      <c r="D1652" t="s">
        <v>408</v>
      </c>
      <c r="E1652" t="s">
        <v>51</v>
      </c>
      <c r="F1652" s="3"/>
      <c r="G1652" s="3"/>
      <c r="H1652" s="3">
        <v>11948.802417583391</v>
      </c>
      <c r="I1652" s="3">
        <v>51448.213853250498</v>
      </c>
      <c r="J1652" s="3">
        <v>63397.01627083389</v>
      </c>
    </row>
    <row r="1653" spans="2:10" x14ac:dyDescent="0.25">
      <c r="B1653" t="s">
        <v>137</v>
      </c>
      <c r="C1653" t="s">
        <v>405</v>
      </c>
      <c r="D1653" t="s">
        <v>408</v>
      </c>
      <c r="E1653" t="s">
        <v>196</v>
      </c>
      <c r="F1653" s="3"/>
      <c r="G1653" s="3"/>
      <c r="H1653" s="3">
        <v>13737.310100762941</v>
      </c>
      <c r="I1653" s="3">
        <v>53438.594791684169</v>
      </c>
      <c r="J1653" s="3">
        <v>67175.904892447114</v>
      </c>
    </row>
    <row r="1654" spans="2:10" x14ac:dyDescent="0.25">
      <c r="B1654" t="s">
        <v>137</v>
      </c>
      <c r="C1654" t="s">
        <v>405</v>
      </c>
      <c r="D1654" t="s">
        <v>408</v>
      </c>
      <c r="E1654" t="s">
        <v>197</v>
      </c>
      <c r="F1654" s="3"/>
      <c r="G1654" s="3"/>
      <c r="H1654" s="3">
        <v>15378.472767151179</v>
      </c>
      <c r="I1654" s="3">
        <v>55868.007146342992</v>
      </c>
      <c r="J1654" s="3">
        <v>71246.479913494171</v>
      </c>
    </row>
    <row r="1655" spans="2:10" x14ac:dyDescent="0.25">
      <c r="B1655" t="s">
        <v>137</v>
      </c>
      <c r="C1655" t="s">
        <v>405</v>
      </c>
      <c r="D1655" t="s">
        <v>408</v>
      </c>
      <c r="E1655" t="s">
        <v>198</v>
      </c>
      <c r="F1655" s="3"/>
      <c r="G1655" s="3"/>
      <c r="H1655" s="3">
        <v>15717.44796006298</v>
      </c>
      <c r="I1655" s="3">
        <v>56272.659399507866</v>
      </c>
      <c r="J1655" s="3">
        <v>71990.107359570844</v>
      </c>
    </row>
    <row r="1656" spans="2:10" x14ac:dyDescent="0.25">
      <c r="B1656" t="s">
        <v>137</v>
      </c>
      <c r="C1656" t="s">
        <v>405</v>
      </c>
      <c r="D1656" t="s">
        <v>408</v>
      </c>
      <c r="E1656" t="s">
        <v>199</v>
      </c>
      <c r="F1656" s="3"/>
      <c r="G1656" s="3"/>
      <c r="H1656" s="3">
        <v>15790.41495766548</v>
      </c>
      <c r="I1656" s="3">
        <v>56723.710279489766</v>
      </c>
      <c r="J1656" s="3">
        <v>72514.12523715524</v>
      </c>
    </row>
    <row r="1657" spans="2:10" x14ac:dyDescent="0.25">
      <c r="B1657" t="s">
        <v>137</v>
      </c>
      <c r="C1657" t="s">
        <v>405</v>
      </c>
      <c r="D1657" t="s">
        <v>408</v>
      </c>
      <c r="E1657" t="s">
        <v>200</v>
      </c>
      <c r="F1657" s="3"/>
      <c r="G1657" s="3"/>
      <c r="H1657" s="3">
        <v>15655.879184423091</v>
      </c>
      <c r="I1657" s="3">
        <v>56755.092853148606</v>
      </c>
      <c r="J1657" s="3">
        <v>72410.972037571701</v>
      </c>
    </row>
    <row r="1658" spans="2:10" x14ac:dyDescent="0.25">
      <c r="B1658" t="s">
        <v>137</v>
      </c>
      <c r="C1658" t="s">
        <v>405</v>
      </c>
      <c r="D1658" t="s">
        <v>408</v>
      </c>
      <c r="E1658" t="s">
        <v>240</v>
      </c>
      <c r="F1658" s="3"/>
      <c r="G1658" s="3"/>
      <c r="H1658" s="3">
        <v>15220.456197322341</v>
      </c>
      <c r="I1658" s="3">
        <v>56754.929465702691</v>
      </c>
      <c r="J1658" s="3">
        <v>71975.385663025038</v>
      </c>
    </row>
    <row r="1659" spans="2:10" x14ac:dyDescent="0.25">
      <c r="B1659" t="s">
        <v>137</v>
      </c>
      <c r="C1659" t="s">
        <v>405</v>
      </c>
      <c r="D1659" t="s">
        <v>408</v>
      </c>
      <c r="E1659" t="s">
        <v>301</v>
      </c>
      <c r="F1659" s="3"/>
      <c r="G1659" s="3"/>
      <c r="H1659" s="3">
        <v>14598.553111313342</v>
      </c>
      <c r="I1659" s="3">
        <v>56274.107256219322</v>
      </c>
      <c r="J1659" s="3">
        <v>70872.660367532662</v>
      </c>
    </row>
    <row r="1660" spans="2:10" x14ac:dyDescent="0.25">
      <c r="B1660" t="s">
        <v>137</v>
      </c>
      <c r="C1660" t="s">
        <v>405</v>
      </c>
      <c r="D1660" t="s">
        <v>408</v>
      </c>
      <c r="E1660" t="s">
        <v>302</v>
      </c>
      <c r="F1660" s="3"/>
      <c r="G1660" s="3"/>
      <c r="H1660" s="3">
        <v>14154.650106579829</v>
      </c>
      <c r="I1660" s="3">
        <v>55848.11469185201</v>
      </c>
      <c r="J1660" s="3">
        <v>70002.764798431832</v>
      </c>
    </row>
    <row r="1661" spans="2:10" x14ac:dyDescent="0.25">
      <c r="B1661" t="s">
        <v>137</v>
      </c>
      <c r="C1661" t="s">
        <v>405</v>
      </c>
      <c r="D1661" t="s">
        <v>408</v>
      </c>
      <c r="E1661" t="s">
        <v>303</v>
      </c>
      <c r="F1661" s="3"/>
      <c r="G1661" s="3"/>
      <c r="H1661" s="3">
        <v>13732.55850820542</v>
      </c>
      <c r="I1661" s="3">
        <v>55641.047469702811</v>
      </c>
      <c r="J1661" s="3">
        <v>69373.605977908228</v>
      </c>
    </row>
    <row r="1662" spans="2:10" x14ac:dyDescent="0.25">
      <c r="B1662" t="s">
        <v>137</v>
      </c>
      <c r="C1662" t="s">
        <v>405</v>
      </c>
      <c r="D1662" t="s">
        <v>408</v>
      </c>
      <c r="E1662" t="s">
        <v>304</v>
      </c>
      <c r="F1662" s="3"/>
      <c r="G1662" s="3"/>
      <c r="H1662" s="3">
        <v>13579.5889220791</v>
      </c>
      <c r="I1662" s="3">
        <v>55372.904611682403</v>
      </c>
      <c r="J1662" s="3">
        <v>68952.493533761502</v>
      </c>
    </row>
    <row r="1663" spans="2:10" x14ac:dyDescent="0.25">
      <c r="B1663" t="s">
        <v>137</v>
      </c>
      <c r="C1663" t="s">
        <v>405</v>
      </c>
      <c r="D1663" t="s">
        <v>408</v>
      </c>
      <c r="E1663" t="s">
        <v>305</v>
      </c>
      <c r="F1663" s="3"/>
      <c r="G1663" s="3"/>
      <c r="H1663" s="3">
        <v>13401.344946292553</v>
      </c>
      <c r="I1663" s="3">
        <v>55090.224047294701</v>
      </c>
      <c r="J1663" s="3">
        <v>68491.568993587251</v>
      </c>
    </row>
    <row r="1664" spans="2:10" x14ac:dyDescent="0.25">
      <c r="B1664" t="s">
        <v>137</v>
      </c>
      <c r="C1664" t="s">
        <v>405</v>
      </c>
      <c r="D1664" t="s">
        <v>408</v>
      </c>
      <c r="E1664" t="s">
        <v>306</v>
      </c>
      <c r="F1664" s="3"/>
      <c r="G1664" s="3"/>
      <c r="H1664" s="3">
        <v>13330.31477382909</v>
      </c>
      <c r="I1664" s="3">
        <v>55495.3928750173</v>
      </c>
      <c r="J1664" s="3">
        <v>68825.707648846394</v>
      </c>
    </row>
    <row r="1665" spans="2:10" x14ac:dyDescent="0.25">
      <c r="B1665" t="s">
        <v>137</v>
      </c>
      <c r="C1665" t="s">
        <v>405</v>
      </c>
      <c r="D1665" t="s">
        <v>408</v>
      </c>
      <c r="E1665" t="s">
        <v>307</v>
      </c>
      <c r="F1665" s="3"/>
      <c r="G1665" s="3"/>
      <c r="H1665" s="3">
        <v>13775.848513718369</v>
      </c>
      <c r="I1665" s="3">
        <v>56286.4847840652</v>
      </c>
      <c r="J1665" s="3">
        <v>70062.333297783567</v>
      </c>
    </row>
    <row r="1666" spans="2:10" x14ac:dyDescent="0.25">
      <c r="B1666" t="s">
        <v>137</v>
      </c>
      <c r="C1666" t="s">
        <v>405</v>
      </c>
      <c r="D1666" t="s">
        <v>408</v>
      </c>
      <c r="E1666" t="s">
        <v>308</v>
      </c>
      <c r="F1666" s="3"/>
      <c r="G1666" s="3"/>
      <c r="H1666" s="3">
        <v>14564.983583674841</v>
      </c>
      <c r="I1666" s="3">
        <v>56606.072365224609</v>
      </c>
      <c r="J1666" s="3">
        <v>71171.055948899448</v>
      </c>
    </row>
    <row r="1667" spans="2:10" x14ac:dyDescent="0.25">
      <c r="B1667" t="s">
        <v>137</v>
      </c>
      <c r="C1667" t="s">
        <v>405</v>
      </c>
      <c r="D1667" t="s">
        <v>408</v>
      </c>
      <c r="E1667" t="s">
        <v>309</v>
      </c>
      <c r="F1667" s="3"/>
      <c r="G1667" s="3"/>
      <c r="H1667" s="3">
        <v>14502.717385272728</v>
      </c>
      <c r="I1667" s="3">
        <v>56257.32788565036</v>
      </c>
      <c r="J1667" s="3">
        <v>70760.045270923089</v>
      </c>
    </row>
    <row r="1668" spans="2:10" x14ac:dyDescent="0.25">
      <c r="B1668" t="s">
        <v>137</v>
      </c>
      <c r="C1668" t="s">
        <v>405</v>
      </c>
      <c r="D1668" t="s">
        <v>408</v>
      </c>
      <c r="E1668" t="s">
        <v>310</v>
      </c>
      <c r="F1668" s="3"/>
      <c r="G1668" s="3"/>
      <c r="H1668" s="3">
        <v>14150.048305643089</v>
      </c>
      <c r="I1668" s="3">
        <v>55581.551471356586</v>
      </c>
      <c r="J1668" s="3">
        <v>69731.599776999676</v>
      </c>
    </row>
    <row r="1669" spans="2:10" x14ac:dyDescent="0.25">
      <c r="B1669" t="s">
        <v>137</v>
      </c>
      <c r="C1669" t="s">
        <v>405</v>
      </c>
      <c r="D1669" t="s">
        <v>408</v>
      </c>
      <c r="E1669" t="s">
        <v>311</v>
      </c>
      <c r="F1669" s="3"/>
      <c r="G1669" s="3"/>
      <c r="H1669" s="3">
        <v>13585.570444595858</v>
      </c>
      <c r="I1669" s="3">
        <v>54541.86369231256</v>
      </c>
      <c r="J1669" s="3">
        <v>68127.434136908414</v>
      </c>
    </row>
    <row r="1670" spans="2:10" x14ac:dyDescent="0.25">
      <c r="B1670" t="s">
        <v>137</v>
      </c>
      <c r="C1670" t="s">
        <v>405</v>
      </c>
      <c r="D1670" t="s">
        <v>408</v>
      </c>
      <c r="E1670" t="s">
        <v>312</v>
      </c>
      <c r="F1670" s="3"/>
      <c r="G1670" s="3"/>
      <c r="H1670" s="3">
        <v>12675.899564821348</v>
      </c>
      <c r="I1670" s="3">
        <v>53084.902647894007</v>
      </c>
      <c r="J1670" s="3">
        <v>65760.802212715353</v>
      </c>
    </row>
    <row r="1671" spans="2:10" x14ac:dyDescent="0.25">
      <c r="B1671" t="s">
        <v>137</v>
      </c>
      <c r="C1671" t="s">
        <v>409</v>
      </c>
      <c r="D1671" t="s">
        <v>410</v>
      </c>
      <c r="E1671" t="s">
        <v>46</v>
      </c>
      <c r="F1671" s="3">
        <v>1944.363872796248</v>
      </c>
      <c r="G1671" s="3">
        <v>30947.402141952265</v>
      </c>
      <c r="H1671" s="3">
        <v>1616.4767635900157</v>
      </c>
      <c r="I1671" s="3">
        <v>3146.429069107327</v>
      </c>
      <c r="J1671" s="3">
        <v>37654.671847445854</v>
      </c>
    </row>
    <row r="1672" spans="2:10" x14ac:dyDescent="0.25">
      <c r="B1672" t="s">
        <v>137</v>
      </c>
      <c r="C1672" t="s">
        <v>409</v>
      </c>
      <c r="D1672" t="s">
        <v>410</v>
      </c>
      <c r="E1672" t="s">
        <v>47</v>
      </c>
      <c r="F1672" s="3">
        <v>2104.8142677138658</v>
      </c>
      <c r="G1672" s="3">
        <v>28667.498263593028</v>
      </c>
      <c r="H1672" s="3">
        <v>1532.4663397528877</v>
      </c>
      <c r="I1672" s="3">
        <v>3448.8685000274863</v>
      </c>
      <c r="J1672" s="3">
        <v>35753.647371087274</v>
      </c>
    </row>
    <row r="1673" spans="2:10" x14ac:dyDescent="0.25">
      <c r="B1673" t="s">
        <v>137</v>
      </c>
      <c r="C1673" t="s">
        <v>409</v>
      </c>
      <c r="D1673" t="s">
        <v>410</v>
      </c>
      <c r="E1673" t="s">
        <v>48</v>
      </c>
      <c r="F1673" s="3">
        <v>2237.3555739754147</v>
      </c>
      <c r="G1673" s="3">
        <v>27186.871032244802</v>
      </c>
      <c r="H1673" s="3">
        <v>1670.8063806418063</v>
      </c>
      <c r="I1673" s="3">
        <v>4153.6520860019173</v>
      </c>
      <c r="J1673" s="3">
        <v>35248.68507286394</v>
      </c>
    </row>
    <row r="1674" spans="2:10" x14ac:dyDescent="0.25">
      <c r="B1674" t="s">
        <v>137</v>
      </c>
      <c r="C1674" t="s">
        <v>409</v>
      </c>
      <c r="D1674" t="s">
        <v>410</v>
      </c>
      <c r="E1674" t="s">
        <v>49</v>
      </c>
      <c r="F1674" s="3">
        <v>2481.1127787705636</v>
      </c>
      <c r="G1674" s="3">
        <v>24570.386516670918</v>
      </c>
      <c r="H1674" s="3">
        <v>1543.4263482607282</v>
      </c>
      <c r="I1674" s="3">
        <v>4411.1278530342051</v>
      </c>
      <c r="J1674" s="3">
        <v>33006.053496736415</v>
      </c>
    </row>
    <row r="1675" spans="2:10" x14ac:dyDescent="0.25">
      <c r="B1675" t="s">
        <v>137</v>
      </c>
      <c r="C1675" t="s">
        <v>409</v>
      </c>
      <c r="D1675" t="s">
        <v>410</v>
      </c>
      <c r="E1675" t="s">
        <v>50</v>
      </c>
      <c r="F1675" s="3">
        <v>2664.9710153366809</v>
      </c>
      <c r="G1675" s="3">
        <v>21905.58507264041</v>
      </c>
      <c r="H1675" s="3">
        <v>1584.7216687675052</v>
      </c>
      <c r="I1675" s="3">
        <v>4565.4106962613387</v>
      </c>
      <c r="J1675" s="3">
        <v>30720.688453005932</v>
      </c>
    </row>
    <row r="1676" spans="2:10" x14ac:dyDescent="0.25">
      <c r="B1676" t="s">
        <v>137</v>
      </c>
      <c r="C1676" t="s">
        <v>409</v>
      </c>
      <c r="D1676" t="s">
        <v>410</v>
      </c>
      <c r="E1676" t="s">
        <v>51</v>
      </c>
      <c r="F1676" s="3">
        <v>2830.1083479814679</v>
      </c>
      <c r="G1676" s="3">
        <v>20819.682578852931</v>
      </c>
      <c r="H1676" s="3">
        <v>1617.8244620456605</v>
      </c>
      <c r="I1676" s="3">
        <v>4439.4503373790676</v>
      </c>
      <c r="J1676" s="3">
        <v>29707.06572625913</v>
      </c>
    </row>
    <row r="1677" spans="2:10" x14ac:dyDescent="0.25">
      <c r="B1677" t="s">
        <v>137</v>
      </c>
      <c r="C1677" t="s">
        <v>409</v>
      </c>
      <c r="D1677" t="s">
        <v>410</v>
      </c>
      <c r="E1677" t="s">
        <v>196</v>
      </c>
      <c r="F1677" s="3">
        <v>2905.5899551916764</v>
      </c>
      <c r="G1677" s="3">
        <v>20477.36942470272</v>
      </c>
      <c r="H1677" s="3">
        <v>1320.0336454668636</v>
      </c>
      <c r="I1677" s="3">
        <v>4569.0722026144331</v>
      </c>
      <c r="J1677" s="3">
        <v>29272.065227975694</v>
      </c>
    </row>
    <row r="1678" spans="2:10" x14ac:dyDescent="0.25">
      <c r="B1678" t="s">
        <v>137</v>
      </c>
      <c r="C1678" t="s">
        <v>409</v>
      </c>
      <c r="D1678" t="s">
        <v>410</v>
      </c>
      <c r="E1678" t="s">
        <v>197</v>
      </c>
      <c r="F1678" s="3">
        <v>2904.246819657084</v>
      </c>
      <c r="G1678" s="3">
        <v>21053.896842218863</v>
      </c>
      <c r="H1678" s="3">
        <v>1244.2049124035459</v>
      </c>
      <c r="I1678" s="3">
        <v>4484.8589315694489</v>
      </c>
      <c r="J1678" s="3">
        <v>29687.207505848943</v>
      </c>
    </row>
    <row r="1679" spans="2:10" x14ac:dyDescent="0.25">
      <c r="B1679" t="s">
        <v>137</v>
      </c>
      <c r="C1679" t="s">
        <v>409</v>
      </c>
      <c r="D1679" t="s">
        <v>410</v>
      </c>
      <c r="E1679" t="s">
        <v>198</v>
      </c>
      <c r="F1679" s="3">
        <v>2719.4343658667649</v>
      </c>
      <c r="G1679" s="3">
        <v>25197.687655616002</v>
      </c>
      <c r="H1679" s="3">
        <v>1168.938859050696</v>
      </c>
      <c r="I1679" s="3">
        <v>4413.1840404025352</v>
      </c>
      <c r="J1679" s="3">
        <v>33499.244920935998</v>
      </c>
    </row>
    <row r="1680" spans="2:10" x14ac:dyDescent="0.25">
      <c r="B1680" t="s">
        <v>137</v>
      </c>
      <c r="C1680" t="s">
        <v>409</v>
      </c>
      <c r="D1680" t="s">
        <v>410</v>
      </c>
      <c r="E1680" t="s">
        <v>199</v>
      </c>
      <c r="F1680" s="3">
        <v>2588.1602735009642</v>
      </c>
      <c r="G1680" s="3">
        <v>28528.279995158748</v>
      </c>
      <c r="H1680" s="3">
        <v>586.76267423118611</v>
      </c>
      <c r="I1680" s="3">
        <v>4212.5634939880092</v>
      </c>
      <c r="J1680" s="3">
        <v>35915.766436878912</v>
      </c>
    </row>
    <row r="1681" spans="2:10" x14ac:dyDescent="0.25">
      <c r="B1681" t="s">
        <v>137</v>
      </c>
      <c r="C1681" t="s">
        <v>409</v>
      </c>
      <c r="D1681" t="s">
        <v>410</v>
      </c>
      <c r="E1681" t="s">
        <v>200</v>
      </c>
      <c r="F1681" s="3">
        <v>2346.1538142528125</v>
      </c>
      <c r="G1681" s="3">
        <v>27570.949666925277</v>
      </c>
      <c r="H1681" s="3">
        <v>457.43558365597346</v>
      </c>
      <c r="I1681" s="3">
        <v>4231.5726034785639</v>
      </c>
      <c r="J1681" s="3">
        <v>34606.111668312624</v>
      </c>
    </row>
    <row r="1682" spans="2:10" x14ac:dyDescent="0.25">
      <c r="B1682" t="s">
        <v>137</v>
      </c>
      <c r="C1682" t="s">
        <v>409</v>
      </c>
      <c r="D1682" t="s">
        <v>410</v>
      </c>
      <c r="E1682" t="s">
        <v>240</v>
      </c>
      <c r="F1682" s="3">
        <v>2155.6990506803049</v>
      </c>
      <c r="G1682" s="3">
        <v>25217.341999394961</v>
      </c>
      <c r="H1682" s="3">
        <v>485.89809830978959</v>
      </c>
      <c r="I1682" s="3">
        <v>4282.5198893709758</v>
      </c>
      <c r="J1682" s="3">
        <v>32141.459037756031</v>
      </c>
    </row>
    <row r="1683" spans="2:10" x14ac:dyDescent="0.25">
      <c r="B1683" t="s">
        <v>137</v>
      </c>
      <c r="C1683" t="s">
        <v>409</v>
      </c>
      <c r="D1683" t="s">
        <v>410</v>
      </c>
      <c r="E1683" t="s">
        <v>301</v>
      </c>
      <c r="F1683" s="3">
        <v>2078.599849498773</v>
      </c>
      <c r="G1683" s="3">
        <v>25635.81573568863</v>
      </c>
      <c r="H1683" s="3">
        <v>568.22115010615948</v>
      </c>
      <c r="I1683" s="3">
        <v>4466.6225665909242</v>
      </c>
      <c r="J1683" s="3">
        <v>32749.259301884485</v>
      </c>
    </row>
    <row r="1684" spans="2:10" x14ac:dyDescent="0.25">
      <c r="B1684" t="s">
        <v>137</v>
      </c>
      <c r="C1684" t="s">
        <v>409</v>
      </c>
      <c r="D1684" t="s">
        <v>410</v>
      </c>
      <c r="E1684" t="s">
        <v>302</v>
      </c>
      <c r="F1684" s="3">
        <v>2045.4303689163507</v>
      </c>
      <c r="G1684" s="3">
        <v>26001.877888571755</v>
      </c>
      <c r="H1684" s="3">
        <v>887.95687925593791</v>
      </c>
      <c r="I1684" s="3">
        <v>4785.6465997736304</v>
      </c>
      <c r="J1684" s="3">
        <v>33720.911736517672</v>
      </c>
    </row>
    <row r="1685" spans="2:10" x14ac:dyDescent="0.25">
      <c r="B1685" t="s">
        <v>137</v>
      </c>
      <c r="C1685" t="s">
        <v>409</v>
      </c>
      <c r="D1685" t="s">
        <v>410</v>
      </c>
      <c r="E1685" t="s">
        <v>303</v>
      </c>
      <c r="F1685" s="3">
        <v>2013.8784823052529</v>
      </c>
      <c r="G1685" s="3">
        <v>26131.268985116563</v>
      </c>
      <c r="H1685" s="3">
        <v>1309.934027154316</v>
      </c>
      <c r="I1685" s="3">
        <v>4928.7625659605037</v>
      </c>
      <c r="J1685" s="3">
        <v>34383.844060536634</v>
      </c>
    </row>
    <row r="1686" spans="2:10" x14ac:dyDescent="0.25">
      <c r="B1686" t="s">
        <v>137</v>
      </c>
      <c r="C1686" t="s">
        <v>409</v>
      </c>
      <c r="D1686" t="s">
        <v>410</v>
      </c>
      <c r="E1686" t="s">
        <v>304</v>
      </c>
      <c r="F1686" s="3">
        <v>1979.1883307540015</v>
      </c>
      <c r="G1686" s="3">
        <v>24447.546868052406</v>
      </c>
      <c r="H1686" s="3">
        <v>1475.9916655215127</v>
      </c>
      <c r="I1686" s="3">
        <v>5035.5607424487816</v>
      </c>
      <c r="J1686" s="3">
        <v>32938.287606776699</v>
      </c>
    </row>
    <row r="1687" spans="2:10" x14ac:dyDescent="0.25">
      <c r="B1687" t="s">
        <v>137</v>
      </c>
      <c r="C1687" t="s">
        <v>409</v>
      </c>
      <c r="D1687" t="s">
        <v>410</v>
      </c>
      <c r="E1687" t="s">
        <v>305</v>
      </c>
      <c r="F1687" s="3">
        <v>1904.1914100258493</v>
      </c>
      <c r="G1687" s="3">
        <v>22098.033855476049</v>
      </c>
      <c r="H1687" s="3">
        <v>1593.8834830897913</v>
      </c>
      <c r="I1687" s="3">
        <v>5207.6594259234007</v>
      </c>
      <c r="J1687" s="3">
        <v>30803.768174515091</v>
      </c>
    </row>
    <row r="1688" spans="2:10" x14ac:dyDescent="0.25">
      <c r="B1688" t="s">
        <v>137</v>
      </c>
      <c r="C1688" t="s">
        <v>409</v>
      </c>
      <c r="D1688" t="s">
        <v>410</v>
      </c>
      <c r="E1688" t="s">
        <v>306</v>
      </c>
      <c r="F1688" s="3">
        <v>1596.1087568021187</v>
      </c>
      <c r="G1688" s="3">
        <v>18309.659092081718</v>
      </c>
      <c r="H1688" s="3">
        <v>1791.5052837127369</v>
      </c>
      <c r="I1688" s="3">
        <v>5207.5470872876012</v>
      </c>
      <c r="J1688" s="3">
        <v>26904.820219884175</v>
      </c>
    </row>
    <row r="1689" spans="2:10" x14ac:dyDescent="0.25">
      <c r="B1689" t="s">
        <v>137</v>
      </c>
      <c r="C1689" t="s">
        <v>409</v>
      </c>
      <c r="D1689" t="s">
        <v>410</v>
      </c>
      <c r="E1689" t="s">
        <v>307</v>
      </c>
      <c r="F1689" s="3">
        <v>1196.714245937658</v>
      </c>
      <c r="G1689" s="3">
        <v>14067.596559789779</v>
      </c>
      <c r="H1689" s="3">
        <v>1840.0759028434559</v>
      </c>
      <c r="I1689" s="3">
        <v>4940.5783138955167</v>
      </c>
      <c r="J1689" s="3">
        <v>22044.965022466407</v>
      </c>
    </row>
    <row r="1690" spans="2:10" x14ac:dyDescent="0.25">
      <c r="B1690" t="s">
        <v>137</v>
      </c>
      <c r="C1690" t="s">
        <v>409</v>
      </c>
      <c r="D1690" t="s">
        <v>410</v>
      </c>
      <c r="E1690" t="s">
        <v>308</v>
      </c>
      <c r="F1690" s="3">
        <v>1051.3291109080553</v>
      </c>
      <c r="G1690" s="3">
        <v>14129.835315089818</v>
      </c>
      <c r="H1690" s="3">
        <v>1693.6844274528239</v>
      </c>
      <c r="I1690" s="3">
        <v>4547.6188403437454</v>
      </c>
      <c r="J1690" s="3">
        <v>21422.467693794442</v>
      </c>
    </row>
    <row r="1691" spans="2:10" x14ac:dyDescent="0.25">
      <c r="B1691" t="s">
        <v>137</v>
      </c>
      <c r="C1691" t="s">
        <v>409</v>
      </c>
      <c r="D1691" t="s">
        <v>410</v>
      </c>
      <c r="E1691" t="s">
        <v>309</v>
      </c>
      <c r="F1691" s="3">
        <v>1046.0944111382582</v>
      </c>
      <c r="G1691" s="3">
        <v>14850.494586984969</v>
      </c>
      <c r="H1691" s="3">
        <v>1544.2375687458311</v>
      </c>
      <c r="I1691" s="3">
        <v>4208.3231759996343</v>
      </c>
      <c r="J1691" s="3">
        <v>21649.149742868693</v>
      </c>
    </row>
    <row r="1692" spans="2:10" x14ac:dyDescent="0.25">
      <c r="B1692" t="s">
        <v>137</v>
      </c>
      <c r="C1692" t="s">
        <v>409</v>
      </c>
      <c r="D1692" t="s">
        <v>410</v>
      </c>
      <c r="E1692" t="s">
        <v>310</v>
      </c>
      <c r="F1692" s="3">
        <v>1147.1795989603693</v>
      </c>
      <c r="G1692" s="3">
        <v>16064.15031533569</v>
      </c>
      <c r="H1692" s="3">
        <v>1352.3317090469934</v>
      </c>
      <c r="I1692" s="3">
        <v>3997.5389623480901</v>
      </c>
      <c r="J1692" s="3">
        <v>22561.200585691146</v>
      </c>
    </row>
    <row r="1693" spans="2:10" x14ac:dyDescent="0.25">
      <c r="B1693" t="s">
        <v>137</v>
      </c>
      <c r="C1693" t="s">
        <v>409</v>
      </c>
      <c r="D1693" t="s">
        <v>410</v>
      </c>
      <c r="E1693" t="s">
        <v>311</v>
      </c>
      <c r="F1693" s="3">
        <v>1313.7686813896971</v>
      </c>
      <c r="G1693" s="3">
        <v>16774.163484350567</v>
      </c>
      <c r="H1693" s="3">
        <v>1195.1214358966765</v>
      </c>
      <c r="I1693" s="3">
        <v>3729.2155080103762</v>
      </c>
      <c r="J1693" s="3">
        <v>23012.269109647317</v>
      </c>
    </row>
    <row r="1694" spans="2:10" x14ac:dyDescent="0.25">
      <c r="B1694" t="s">
        <v>137</v>
      </c>
      <c r="C1694" t="s">
        <v>409</v>
      </c>
      <c r="D1694" t="s">
        <v>410</v>
      </c>
      <c r="E1694" t="s">
        <v>312</v>
      </c>
      <c r="F1694" s="3">
        <v>1606.3913107912942</v>
      </c>
      <c r="G1694" s="3">
        <v>16977.258370066487</v>
      </c>
      <c r="H1694" s="3">
        <v>1108.1018268875157</v>
      </c>
      <c r="I1694" s="3">
        <v>3385.7822890043863</v>
      </c>
      <c r="J1694" s="3">
        <v>23077.533796749685</v>
      </c>
    </row>
    <row r="1695" spans="2:10" x14ac:dyDescent="0.25">
      <c r="B1695" t="s">
        <v>137</v>
      </c>
      <c r="C1695" t="s">
        <v>409</v>
      </c>
      <c r="D1695" t="s">
        <v>411</v>
      </c>
      <c r="E1695" t="s">
        <v>46</v>
      </c>
      <c r="F1695" s="3">
        <v>1663.8618951619442</v>
      </c>
      <c r="G1695" s="3">
        <v>7549.1468767088681</v>
      </c>
      <c r="H1695" s="3"/>
      <c r="I1695" s="3"/>
      <c r="J1695" s="3">
        <v>9213.0087718708128</v>
      </c>
    </row>
    <row r="1696" spans="2:10" x14ac:dyDescent="0.25">
      <c r="B1696" t="s">
        <v>137</v>
      </c>
      <c r="C1696" t="s">
        <v>409</v>
      </c>
      <c r="D1696" t="s">
        <v>411</v>
      </c>
      <c r="E1696" t="s">
        <v>47</v>
      </c>
      <c r="F1696" s="3">
        <v>1777.3980822309618</v>
      </c>
      <c r="G1696" s="3">
        <v>6992.9990888084349</v>
      </c>
      <c r="H1696" s="3"/>
      <c r="I1696" s="3"/>
      <c r="J1696" s="3">
        <v>8770.3971710393962</v>
      </c>
    </row>
    <row r="1697" spans="2:10" x14ac:dyDescent="0.25">
      <c r="B1697" t="s">
        <v>137</v>
      </c>
      <c r="C1697" t="s">
        <v>409</v>
      </c>
      <c r="D1697" t="s">
        <v>411</v>
      </c>
      <c r="E1697" t="s">
        <v>48</v>
      </c>
      <c r="F1697" s="3">
        <v>1874.6732919344151</v>
      </c>
      <c r="G1697" s="3">
        <v>6631.8226518386073</v>
      </c>
      <c r="H1697" s="3"/>
      <c r="I1697" s="3"/>
      <c r="J1697" s="3">
        <v>8506.4959437730231</v>
      </c>
    </row>
    <row r="1698" spans="2:10" x14ac:dyDescent="0.25">
      <c r="B1698" t="s">
        <v>137</v>
      </c>
      <c r="C1698" t="s">
        <v>409</v>
      </c>
      <c r="D1698" t="s">
        <v>411</v>
      </c>
      <c r="E1698" t="s">
        <v>49</v>
      </c>
      <c r="F1698" s="3">
        <v>2016.830069661095</v>
      </c>
      <c r="G1698" s="3">
        <v>5993.5711495606229</v>
      </c>
      <c r="H1698" s="3"/>
      <c r="I1698" s="3"/>
      <c r="J1698" s="3">
        <v>8010.4012192217178</v>
      </c>
    </row>
    <row r="1699" spans="2:10" x14ac:dyDescent="0.25">
      <c r="B1699" t="s">
        <v>137</v>
      </c>
      <c r="C1699" t="s">
        <v>409</v>
      </c>
      <c r="D1699" t="s">
        <v>411</v>
      </c>
      <c r="E1699" t="s">
        <v>50</v>
      </c>
      <c r="F1699" s="3">
        <v>2207.9864862062673</v>
      </c>
      <c r="G1699" s="3">
        <v>5343.5334693063069</v>
      </c>
      <c r="H1699" s="3"/>
      <c r="I1699" s="3"/>
      <c r="J1699" s="3">
        <v>7551.5199555125746</v>
      </c>
    </row>
    <row r="1700" spans="2:10" x14ac:dyDescent="0.25">
      <c r="B1700" t="s">
        <v>137</v>
      </c>
      <c r="C1700" t="s">
        <v>409</v>
      </c>
      <c r="D1700" t="s">
        <v>411</v>
      </c>
      <c r="E1700" t="s">
        <v>51</v>
      </c>
      <c r="F1700" s="3">
        <v>2365.025180940534</v>
      </c>
      <c r="G1700" s="3">
        <v>5078.6441134313163</v>
      </c>
      <c r="H1700" s="3"/>
      <c r="I1700" s="3"/>
      <c r="J1700" s="3">
        <v>7443.6692943718499</v>
      </c>
    </row>
    <row r="1701" spans="2:10" x14ac:dyDescent="0.25">
      <c r="B1701" t="s">
        <v>137</v>
      </c>
      <c r="C1701" t="s">
        <v>409</v>
      </c>
      <c r="D1701" t="s">
        <v>411</v>
      </c>
      <c r="E1701" t="s">
        <v>196</v>
      </c>
      <c r="F1701" s="3">
        <v>2444.8765309950049</v>
      </c>
      <c r="G1701" s="3">
        <v>4995.1420389548912</v>
      </c>
      <c r="H1701" s="3"/>
      <c r="I1701" s="3"/>
      <c r="J1701" s="3">
        <v>7440.0185699498961</v>
      </c>
    </row>
    <row r="1702" spans="2:10" x14ac:dyDescent="0.25">
      <c r="B1702" t="s">
        <v>137</v>
      </c>
      <c r="C1702" t="s">
        <v>409</v>
      </c>
      <c r="D1702" t="s">
        <v>411</v>
      </c>
      <c r="E1702" t="s">
        <v>197</v>
      </c>
      <c r="F1702" s="3">
        <v>2487.0876354428019</v>
      </c>
      <c r="G1702" s="3">
        <v>5135.7771117572993</v>
      </c>
      <c r="H1702" s="3"/>
      <c r="I1702" s="3"/>
      <c r="J1702" s="3">
        <v>7622.8647472001012</v>
      </c>
    </row>
    <row r="1703" spans="2:10" x14ac:dyDescent="0.25">
      <c r="B1703" t="s">
        <v>137</v>
      </c>
      <c r="C1703" t="s">
        <v>409</v>
      </c>
      <c r="D1703" t="s">
        <v>411</v>
      </c>
      <c r="E1703" t="s">
        <v>198</v>
      </c>
      <c r="F1703" s="3">
        <v>2388.7780643899609</v>
      </c>
      <c r="G1703" s="3">
        <v>6146.5916975246118</v>
      </c>
      <c r="H1703" s="3"/>
      <c r="I1703" s="3"/>
      <c r="J1703" s="3">
        <v>8535.3697619145732</v>
      </c>
    </row>
    <row r="1704" spans="2:10" x14ac:dyDescent="0.25">
      <c r="B1704" t="s">
        <v>137</v>
      </c>
      <c r="C1704" t="s">
        <v>409</v>
      </c>
      <c r="D1704" t="s">
        <v>411</v>
      </c>
      <c r="E1704" t="s">
        <v>199</v>
      </c>
      <c r="F1704" s="3">
        <v>2298.9606195012479</v>
      </c>
      <c r="G1704" s="3">
        <v>6959.0389149782932</v>
      </c>
      <c r="H1704" s="3"/>
      <c r="I1704" s="3"/>
      <c r="J1704" s="3">
        <v>9257.9995344795407</v>
      </c>
    </row>
    <row r="1705" spans="2:10" x14ac:dyDescent="0.25">
      <c r="B1705" t="s">
        <v>137</v>
      </c>
      <c r="C1705" t="s">
        <v>409</v>
      </c>
      <c r="D1705" t="s">
        <v>411</v>
      </c>
      <c r="E1705" t="s">
        <v>200</v>
      </c>
      <c r="F1705" s="3">
        <v>2123.4771488173628</v>
      </c>
      <c r="G1705" s="3">
        <v>6725.5127784640772</v>
      </c>
      <c r="H1705" s="3"/>
      <c r="I1705" s="3"/>
      <c r="J1705" s="3">
        <v>8848.98992728144</v>
      </c>
    </row>
    <row r="1706" spans="2:10" x14ac:dyDescent="0.25">
      <c r="B1706" t="s">
        <v>137</v>
      </c>
      <c r="C1706" t="s">
        <v>409</v>
      </c>
      <c r="D1706" t="s">
        <v>411</v>
      </c>
      <c r="E1706" t="s">
        <v>240</v>
      </c>
      <c r="F1706" s="3">
        <v>1957.175466638402</v>
      </c>
      <c r="G1706" s="3">
        <v>6151.3860750065069</v>
      </c>
      <c r="H1706" s="3"/>
      <c r="I1706" s="3"/>
      <c r="J1706" s="3">
        <v>8108.5615416449091</v>
      </c>
    </row>
    <row r="1707" spans="2:10" x14ac:dyDescent="0.25">
      <c r="B1707" t="s">
        <v>137</v>
      </c>
      <c r="C1707" t="s">
        <v>409</v>
      </c>
      <c r="D1707" t="s">
        <v>411</v>
      </c>
      <c r="E1707" t="s">
        <v>301</v>
      </c>
      <c r="F1707" s="3">
        <v>1853.0644005699969</v>
      </c>
      <c r="G1707" s="3">
        <v>6253.4663622253065</v>
      </c>
      <c r="H1707" s="3"/>
      <c r="I1707" s="3"/>
      <c r="J1707" s="3">
        <v>8106.5307627953034</v>
      </c>
    </row>
    <row r="1708" spans="2:10" x14ac:dyDescent="0.25">
      <c r="B1708" t="s">
        <v>137</v>
      </c>
      <c r="C1708" t="s">
        <v>409</v>
      </c>
      <c r="D1708" t="s">
        <v>411</v>
      </c>
      <c r="E1708" t="s">
        <v>302</v>
      </c>
      <c r="F1708" s="3">
        <v>1755.1398636720191</v>
      </c>
      <c r="G1708" s="3">
        <v>6342.7616428256961</v>
      </c>
      <c r="H1708" s="3"/>
      <c r="I1708" s="3"/>
      <c r="J1708" s="3">
        <v>8097.9015064977157</v>
      </c>
    </row>
    <row r="1709" spans="2:10" x14ac:dyDescent="0.25">
      <c r="B1709" t="s">
        <v>137</v>
      </c>
      <c r="C1709" t="s">
        <v>409</v>
      </c>
      <c r="D1709" t="s">
        <v>411</v>
      </c>
      <c r="E1709" t="s">
        <v>303</v>
      </c>
      <c r="F1709" s="3">
        <v>1681.4750427879781</v>
      </c>
      <c r="G1709" s="3">
        <v>6374.3246279148698</v>
      </c>
      <c r="H1709" s="3"/>
      <c r="I1709" s="3"/>
      <c r="J1709" s="3">
        <v>8055.7996707028478</v>
      </c>
    </row>
    <row r="1710" spans="2:10" x14ac:dyDescent="0.25">
      <c r="B1710" t="s">
        <v>137</v>
      </c>
      <c r="C1710" t="s">
        <v>409</v>
      </c>
      <c r="D1710" t="s">
        <v>411</v>
      </c>
      <c r="E1710" t="s">
        <v>304</v>
      </c>
      <c r="F1710" s="3">
        <v>1702.5434889659898</v>
      </c>
      <c r="G1710" s="3">
        <v>5963.6062902987514</v>
      </c>
      <c r="H1710" s="3"/>
      <c r="I1710" s="3"/>
      <c r="J1710" s="3">
        <v>7666.1497792647415</v>
      </c>
    </row>
    <row r="1711" spans="2:10" x14ac:dyDescent="0.25">
      <c r="B1711" t="s">
        <v>137</v>
      </c>
      <c r="C1711" t="s">
        <v>409</v>
      </c>
      <c r="D1711" t="s">
        <v>411</v>
      </c>
      <c r="E1711" t="s">
        <v>305</v>
      </c>
      <c r="F1711" s="3">
        <v>1699.2441300927831</v>
      </c>
      <c r="G1711" s="3">
        <v>5390.4784154832505</v>
      </c>
      <c r="H1711" s="3"/>
      <c r="I1711" s="3"/>
      <c r="J1711" s="3">
        <v>7089.7225455760336</v>
      </c>
    </row>
    <row r="1712" spans="2:10" x14ac:dyDescent="0.25">
      <c r="B1712" t="s">
        <v>137</v>
      </c>
      <c r="C1712" t="s">
        <v>409</v>
      </c>
      <c r="D1712" t="s">
        <v>411</v>
      </c>
      <c r="E1712" t="s">
        <v>306</v>
      </c>
      <c r="F1712" s="3">
        <v>1500.4409250794381</v>
      </c>
      <c r="G1712" s="3">
        <v>4466.362155846964</v>
      </c>
      <c r="H1712" s="3"/>
      <c r="I1712" s="3"/>
      <c r="J1712" s="3">
        <v>5966.8030809264019</v>
      </c>
    </row>
    <row r="1713" spans="2:10" x14ac:dyDescent="0.25">
      <c r="B1713" t="s">
        <v>137</v>
      </c>
      <c r="C1713" t="s">
        <v>409</v>
      </c>
      <c r="D1713" t="s">
        <v>411</v>
      </c>
      <c r="E1713" t="s">
        <v>307</v>
      </c>
      <c r="F1713" s="3">
        <v>1166.356869527021</v>
      </c>
      <c r="G1713" s="3">
        <v>3431.5756826701477</v>
      </c>
      <c r="H1713" s="3"/>
      <c r="I1713" s="3"/>
      <c r="J1713" s="3">
        <v>4597.9325521971687</v>
      </c>
    </row>
    <row r="1714" spans="2:10" x14ac:dyDescent="0.25">
      <c r="B1714" t="s">
        <v>137</v>
      </c>
      <c r="C1714" t="s">
        <v>409</v>
      </c>
      <c r="D1714" t="s">
        <v>411</v>
      </c>
      <c r="E1714" t="s">
        <v>308</v>
      </c>
      <c r="F1714" s="3">
        <v>1018.256630801989</v>
      </c>
      <c r="G1714" s="3">
        <v>3446.7578780294953</v>
      </c>
      <c r="H1714" s="3"/>
      <c r="I1714" s="3"/>
      <c r="J1714" s="3">
        <v>4465.0145088314839</v>
      </c>
    </row>
    <row r="1715" spans="2:10" x14ac:dyDescent="0.25">
      <c r="B1715" t="s">
        <v>137</v>
      </c>
      <c r="C1715" t="s">
        <v>409</v>
      </c>
      <c r="D1715" t="s">
        <v>411</v>
      </c>
      <c r="E1715" t="s">
        <v>309</v>
      </c>
      <c r="F1715" s="3">
        <v>959.14893116646408</v>
      </c>
      <c r="G1715" s="3">
        <v>3622.5517190325108</v>
      </c>
      <c r="H1715" s="3"/>
      <c r="I1715" s="3"/>
      <c r="J1715" s="3">
        <v>4581.7006501989745</v>
      </c>
    </row>
    <row r="1716" spans="2:10" x14ac:dyDescent="0.25">
      <c r="B1716" t="s">
        <v>137</v>
      </c>
      <c r="C1716" t="s">
        <v>409</v>
      </c>
      <c r="D1716" t="s">
        <v>411</v>
      </c>
      <c r="E1716" t="s">
        <v>310</v>
      </c>
      <c r="F1716" s="3">
        <v>1008.6755701226029</v>
      </c>
      <c r="G1716" s="3">
        <v>3918.6045285398554</v>
      </c>
      <c r="H1716" s="3"/>
      <c r="I1716" s="3"/>
      <c r="J1716" s="3">
        <v>4927.2800986624588</v>
      </c>
    </row>
    <row r="1717" spans="2:10" x14ac:dyDescent="0.25">
      <c r="B1717" t="s">
        <v>137</v>
      </c>
      <c r="C1717" t="s">
        <v>409</v>
      </c>
      <c r="D1717" t="s">
        <v>411</v>
      </c>
      <c r="E1717" t="s">
        <v>311</v>
      </c>
      <c r="F1717" s="3">
        <v>1160.6973404942421</v>
      </c>
      <c r="G1717" s="3">
        <v>4091.801415073498</v>
      </c>
      <c r="H1717" s="3"/>
      <c r="I1717" s="3"/>
      <c r="J1717" s="3">
        <v>5252.4987555677399</v>
      </c>
    </row>
    <row r="1718" spans="2:10" x14ac:dyDescent="0.25">
      <c r="B1718" t="s">
        <v>137</v>
      </c>
      <c r="C1718" t="s">
        <v>409</v>
      </c>
      <c r="D1718" t="s">
        <v>411</v>
      </c>
      <c r="E1718" t="s">
        <v>312</v>
      </c>
      <c r="F1718" s="3">
        <v>1396.458115621449</v>
      </c>
      <c r="G1718" s="3">
        <v>4141.3433157198015</v>
      </c>
      <c r="H1718" s="3"/>
      <c r="I1718" s="3"/>
      <c r="J1718" s="3">
        <v>5537.8014313412505</v>
      </c>
    </row>
    <row r="1719" spans="2:10" x14ac:dyDescent="0.25">
      <c r="B1719" t="s">
        <v>137</v>
      </c>
      <c r="C1719" t="s">
        <v>412</v>
      </c>
      <c r="D1719" t="s">
        <v>413</v>
      </c>
      <c r="E1719" t="s">
        <v>46</v>
      </c>
      <c r="F1719" s="3"/>
      <c r="G1719" s="3">
        <v>-38640</v>
      </c>
      <c r="H1719" s="3"/>
      <c r="I1719" s="3"/>
      <c r="J1719" s="3">
        <v>-38640</v>
      </c>
    </row>
    <row r="1720" spans="2:10" x14ac:dyDescent="0.25">
      <c r="B1720" t="s">
        <v>137</v>
      </c>
      <c r="C1720" t="s">
        <v>412</v>
      </c>
      <c r="D1720" t="s">
        <v>413</v>
      </c>
      <c r="E1720" t="s">
        <v>47</v>
      </c>
      <c r="F1720" s="3"/>
      <c r="G1720" s="3">
        <v>-38640</v>
      </c>
      <c r="H1720" s="3"/>
      <c r="I1720" s="3"/>
      <c r="J1720" s="3">
        <v>-38640</v>
      </c>
    </row>
    <row r="1721" spans="2:10" x14ac:dyDescent="0.25">
      <c r="B1721" t="s">
        <v>137</v>
      </c>
      <c r="C1721" t="s">
        <v>412</v>
      </c>
      <c r="D1721" t="s">
        <v>413</v>
      </c>
      <c r="E1721" t="s">
        <v>48</v>
      </c>
      <c r="F1721" s="3"/>
      <c r="G1721" s="3">
        <v>-38640</v>
      </c>
      <c r="H1721" s="3"/>
      <c r="I1721" s="3"/>
      <c r="J1721" s="3">
        <v>-38640</v>
      </c>
    </row>
    <row r="1722" spans="2:10" x14ac:dyDescent="0.25">
      <c r="B1722" t="s">
        <v>137</v>
      </c>
      <c r="C1722" t="s">
        <v>412</v>
      </c>
      <c r="D1722" t="s">
        <v>413</v>
      </c>
      <c r="E1722" t="s">
        <v>49</v>
      </c>
      <c r="F1722" s="3"/>
      <c r="G1722" s="3">
        <v>-38640</v>
      </c>
      <c r="H1722" s="3"/>
      <c r="I1722" s="3"/>
      <c r="J1722" s="3">
        <v>-38640</v>
      </c>
    </row>
    <row r="1723" spans="2:10" x14ac:dyDescent="0.25">
      <c r="B1723" t="s">
        <v>137</v>
      </c>
      <c r="C1723" t="s">
        <v>412</v>
      </c>
      <c r="D1723" t="s">
        <v>413</v>
      </c>
      <c r="E1723" t="s">
        <v>50</v>
      </c>
      <c r="F1723" s="3"/>
      <c r="G1723" s="3">
        <v>-38640</v>
      </c>
      <c r="H1723" s="3"/>
      <c r="I1723" s="3"/>
      <c r="J1723" s="3">
        <v>-38640</v>
      </c>
    </row>
    <row r="1724" spans="2:10" x14ac:dyDescent="0.25">
      <c r="B1724" t="s">
        <v>137</v>
      </c>
      <c r="C1724" t="s">
        <v>412</v>
      </c>
      <c r="D1724" t="s">
        <v>413</v>
      </c>
      <c r="E1724" t="s">
        <v>51</v>
      </c>
      <c r="F1724" s="3"/>
      <c r="G1724" s="3">
        <v>-38640</v>
      </c>
      <c r="H1724" s="3"/>
      <c r="I1724" s="3"/>
      <c r="J1724" s="3">
        <v>-38640</v>
      </c>
    </row>
    <row r="1725" spans="2:10" x14ac:dyDescent="0.25">
      <c r="B1725" t="s">
        <v>137</v>
      </c>
      <c r="C1725" t="s">
        <v>412</v>
      </c>
      <c r="D1725" t="s">
        <v>413</v>
      </c>
      <c r="E1725" t="s">
        <v>196</v>
      </c>
      <c r="F1725" s="3"/>
      <c r="G1725" s="3">
        <v>-38640</v>
      </c>
      <c r="H1725" s="3"/>
      <c r="I1725" s="3"/>
      <c r="J1725" s="3">
        <v>-38640</v>
      </c>
    </row>
    <row r="1726" spans="2:10" x14ac:dyDescent="0.25">
      <c r="B1726" t="s">
        <v>137</v>
      </c>
      <c r="C1726" t="s">
        <v>412</v>
      </c>
      <c r="D1726" t="s">
        <v>413</v>
      </c>
      <c r="E1726" t="s">
        <v>197</v>
      </c>
      <c r="F1726" s="3"/>
      <c r="G1726" s="3">
        <v>-38640</v>
      </c>
      <c r="H1726" s="3"/>
      <c r="I1726" s="3"/>
      <c r="J1726" s="3">
        <v>-38640</v>
      </c>
    </row>
    <row r="1727" spans="2:10" x14ac:dyDescent="0.25">
      <c r="B1727" t="s">
        <v>137</v>
      </c>
      <c r="C1727" t="s">
        <v>412</v>
      </c>
      <c r="D1727" t="s">
        <v>413</v>
      </c>
      <c r="E1727" t="s">
        <v>198</v>
      </c>
      <c r="F1727" s="3"/>
      <c r="G1727" s="3">
        <v>-38640</v>
      </c>
      <c r="H1727" s="3"/>
      <c r="I1727" s="3"/>
      <c r="J1727" s="3">
        <v>-38640</v>
      </c>
    </row>
    <row r="1728" spans="2:10" x14ac:dyDescent="0.25">
      <c r="B1728" t="s">
        <v>137</v>
      </c>
      <c r="C1728" t="s">
        <v>412</v>
      </c>
      <c r="D1728" t="s">
        <v>413</v>
      </c>
      <c r="E1728" t="s">
        <v>199</v>
      </c>
      <c r="F1728" s="3"/>
      <c r="G1728" s="3">
        <v>-38640</v>
      </c>
      <c r="H1728" s="3"/>
      <c r="I1728" s="3"/>
      <c r="J1728" s="3">
        <v>-38640</v>
      </c>
    </row>
    <row r="1729" spans="2:10" x14ac:dyDescent="0.25">
      <c r="B1729" t="s">
        <v>137</v>
      </c>
      <c r="C1729" t="s">
        <v>412</v>
      </c>
      <c r="D1729" t="s">
        <v>413</v>
      </c>
      <c r="E1729" t="s">
        <v>200</v>
      </c>
      <c r="F1729" s="3"/>
      <c r="G1729" s="3">
        <v>-38640</v>
      </c>
      <c r="H1729" s="3"/>
      <c r="I1729" s="3"/>
      <c r="J1729" s="3">
        <v>-38640</v>
      </c>
    </row>
    <row r="1730" spans="2:10" x14ac:dyDescent="0.25">
      <c r="B1730" t="s">
        <v>137</v>
      </c>
      <c r="C1730" t="s">
        <v>412</v>
      </c>
      <c r="D1730" t="s">
        <v>413</v>
      </c>
      <c r="E1730" t="s">
        <v>240</v>
      </c>
      <c r="F1730" s="3"/>
      <c r="G1730" s="3">
        <v>-38640</v>
      </c>
      <c r="H1730" s="3"/>
      <c r="I1730" s="3"/>
      <c r="J1730" s="3">
        <v>-38640</v>
      </c>
    </row>
    <row r="1731" spans="2:10" x14ac:dyDescent="0.25">
      <c r="B1731" t="s">
        <v>137</v>
      </c>
      <c r="C1731" t="s">
        <v>412</v>
      </c>
      <c r="D1731" t="s">
        <v>413</v>
      </c>
      <c r="E1731" t="s">
        <v>301</v>
      </c>
      <c r="F1731" s="3"/>
      <c r="G1731" s="3">
        <v>-38640</v>
      </c>
      <c r="H1731" s="3"/>
      <c r="I1731" s="3"/>
      <c r="J1731" s="3">
        <v>-38640</v>
      </c>
    </row>
    <row r="1732" spans="2:10" x14ac:dyDescent="0.25">
      <c r="B1732" t="s">
        <v>137</v>
      </c>
      <c r="C1732" t="s">
        <v>412</v>
      </c>
      <c r="D1732" t="s">
        <v>413</v>
      </c>
      <c r="E1732" t="s">
        <v>302</v>
      </c>
      <c r="F1732" s="3"/>
      <c r="G1732" s="3">
        <v>-38640</v>
      </c>
      <c r="H1732" s="3"/>
      <c r="I1732" s="3"/>
      <c r="J1732" s="3">
        <v>-38640</v>
      </c>
    </row>
    <row r="1733" spans="2:10" x14ac:dyDescent="0.25">
      <c r="B1733" t="s">
        <v>137</v>
      </c>
      <c r="C1733" t="s">
        <v>412</v>
      </c>
      <c r="D1733" t="s">
        <v>413</v>
      </c>
      <c r="E1733" t="s">
        <v>303</v>
      </c>
      <c r="F1733" s="3"/>
      <c r="G1733" s="3">
        <v>-38640</v>
      </c>
      <c r="H1733" s="3"/>
      <c r="I1733" s="3"/>
      <c r="J1733" s="3">
        <v>-38640</v>
      </c>
    </row>
    <row r="1734" spans="2:10" x14ac:dyDescent="0.25">
      <c r="B1734" t="s">
        <v>137</v>
      </c>
      <c r="C1734" t="s">
        <v>412</v>
      </c>
      <c r="D1734" t="s">
        <v>413</v>
      </c>
      <c r="E1734" t="s">
        <v>304</v>
      </c>
      <c r="F1734" s="3"/>
      <c r="G1734" s="3">
        <v>-38640</v>
      </c>
      <c r="H1734" s="3"/>
      <c r="I1734" s="3"/>
      <c r="J1734" s="3">
        <v>-38640</v>
      </c>
    </row>
    <row r="1735" spans="2:10" x14ac:dyDescent="0.25">
      <c r="B1735" t="s">
        <v>137</v>
      </c>
      <c r="C1735" t="s">
        <v>412</v>
      </c>
      <c r="D1735" t="s">
        <v>413</v>
      </c>
      <c r="E1735" t="s">
        <v>305</v>
      </c>
      <c r="F1735" s="3"/>
      <c r="G1735" s="3">
        <v>-38640</v>
      </c>
      <c r="H1735" s="3"/>
      <c r="I1735" s="3"/>
      <c r="J1735" s="3">
        <v>-38640</v>
      </c>
    </row>
    <row r="1736" spans="2:10" x14ac:dyDescent="0.25">
      <c r="B1736" t="s">
        <v>137</v>
      </c>
      <c r="C1736" t="s">
        <v>412</v>
      </c>
      <c r="D1736" t="s">
        <v>413</v>
      </c>
      <c r="E1736" t="s">
        <v>306</v>
      </c>
      <c r="F1736" s="3"/>
      <c r="G1736" s="3">
        <v>-38640</v>
      </c>
      <c r="H1736" s="3"/>
      <c r="I1736" s="3"/>
      <c r="J1736" s="3">
        <v>-38640</v>
      </c>
    </row>
    <row r="1737" spans="2:10" x14ac:dyDescent="0.25">
      <c r="B1737" t="s">
        <v>137</v>
      </c>
      <c r="C1737" t="s">
        <v>412</v>
      </c>
      <c r="D1737" t="s">
        <v>413</v>
      </c>
      <c r="E1737" t="s">
        <v>307</v>
      </c>
      <c r="F1737" s="3"/>
      <c r="G1737" s="3">
        <v>-38640</v>
      </c>
      <c r="H1737" s="3"/>
      <c r="I1737" s="3"/>
      <c r="J1737" s="3">
        <v>-38640</v>
      </c>
    </row>
    <row r="1738" spans="2:10" x14ac:dyDescent="0.25">
      <c r="B1738" t="s">
        <v>137</v>
      </c>
      <c r="C1738" t="s">
        <v>412</v>
      </c>
      <c r="D1738" t="s">
        <v>413</v>
      </c>
      <c r="E1738" t="s">
        <v>308</v>
      </c>
      <c r="F1738" s="3"/>
      <c r="G1738" s="3">
        <v>-38640</v>
      </c>
      <c r="H1738" s="3"/>
      <c r="I1738" s="3"/>
      <c r="J1738" s="3">
        <v>-38640</v>
      </c>
    </row>
    <row r="1739" spans="2:10" x14ac:dyDescent="0.25">
      <c r="B1739" t="s">
        <v>137</v>
      </c>
      <c r="C1739" t="s">
        <v>412</v>
      </c>
      <c r="D1739" t="s">
        <v>413</v>
      </c>
      <c r="E1739" t="s">
        <v>309</v>
      </c>
      <c r="F1739" s="3"/>
      <c r="G1739" s="3">
        <v>-38640</v>
      </c>
      <c r="H1739" s="3"/>
      <c r="I1739" s="3"/>
      <c r="J1739" s="3">
        <v>-38640</v>
      </c>
    </row>
    <row r="1740" spans="2:10" x14ac:dyDescent="0.25">
      <c r="B1740" t="s">
        <v>137</v>
      </c>
      <c r="C1740" t="s">
        <v>412</v>
      </c>
      <c r="D1740" t="s">
        <v>413</v>
      </c>
      <c r="E1740" t="s">
        <v>310</v>
      </c>
      <c r="F1740" s="3"/>
      <c r="G1740" s="3">
        <v>-38640</v>
      </c>
      <c r="H1740" s="3"/>
      <c r="I1740" s="3"/>
      <c r="J1740" s="3">
        <v>-38640</v>
      </c>
    </row>
    <row r="1741" spans="2:10" x14ac:dyDescent="0.25">
      <c r="B1741" t="s">
        <v>137</v>
      </c>
      <c r="C1741" t="s">
        <v>412</v>
      </c>
      <c r="D1741" t="s">
        <v>413</v>
      </c>
      <c r="E1741" t="s">
        <v>311</v>
      </c>
      <c r="F1741" s="3"/>
      <c r="G1741" s="3">
        <v>-38640</v>
      </c>
      <c r="H1741" s="3"/>
      <c r="I1741" s="3"/>
      <c r="J1741" s="3">
        <v>-38640</v>
      </c>
    </row>
    <row r="1742" spans="2:10" x14ac:dyDescent="0.25">
      <c r="B1742" t="s">
        <v>137</v>
      </c>
      <c r="C1742" t="s">
        <v>412</v>
      </c>
      <c r="D1742" t="s">
        <v>413</v>
      </c>
      <c r="E1742" t="s">
        <v>312</v>
      </c>
      <c r="F1742" s="3"/>
      <c r="G1742" s="3">
        <v>-38640</v>
      </c>
      <c r="H1742" s="3"/>
      <c r="I1742" s="3"/>
      <c r="J1742" s="3">
        <v>-38640</v>
      </c>
    </row>
    <row r="1743" spans="2:10" x14ac:dyDescent="0.25">
      <c r="B1743" t="s">
        <v>137</v>
      </c>
      <c r="C1743" t="s">
        <v>412</v>
      </c>
      <c r="D1743" t="s">
        <v>414</v>
      </c>
      <c r="E1743" t="s">
        <v>46</v>
      </c>
      <c r="F1743" s="3"/>
      <c r="G1743" s="3">
        <v>-1905.6</v>
      </c>
      <c r="H1743" s="3"/>
      <c r="I1743" s="3"/>
      <c r="J1743" s="3">
        <v>-1905.6</v>
      </c>
    </row>
    <row r="1744" spans="2:10" x14ac:dyDescent="0.25">
      <c r="B1744" t="s">
        <v>137</v>
      </c>
      <c r="C1744" t="s">
        <v>412</v>
      </c>
      <c r="D1744" t="s">
        <v>414</v>
      </c>
      <c r="E1744" t="s">
        <v>47</v>
      </c>
      <c r="F1744" s="3"/>
      <c r="G1744" s="3">
        <v>-1905.6</v>
      </c>
      <c r="H1744" s="3"/>
      <c r="I1744" s="3"/>
      <c r="J1744" s="3">
        <v>-1905.6</v>
      </c>
    </row>
    <row r="1745" spans="2:10" x14ac:dyDescent="0.25">
      <c r="B1745" t="s">
        <v>137</v>
      </c>
      <c r="C1745" t="s">
        <v>412</v>
      </c>
      <c r="D1745" t="s">
        <v>414</v>
      </c>
      <c r="E1745" t="s">
        <v>48</v>
      </c>
      <c r="F1745" s="3"/>
      <c r="G1745" s="3">
        <v>-1905.6</v>
      </c>
      <c r="H1745" s="3"/>
      <c r="I1745" s="3"/>
      <c r="J1745" s="3">
        <v>-1905.6</v>
      </c>
    </row>
    <row r="1746" spans="2:10" x14ac:dyDescent="0.25">
      <c r="B1746" t="s">
        <v>137</v>
      </c>
      <c r="C1746" t="s">
        <v>412</v>
      </c>
      <c r="D1746" t="s">
        <v>414</v>
      </c>
      <c r="E1746" t="s">
        <v>49</v>
      </c>
      <c r="F1746" s="3"/>
      <c r="G1746" s="3">
        <v>-1905.6</v>
      </c>
      <c r="H1746" s="3"/>
      <c r="I1746" s="3"/>
      <c r="J1746" s="3">
        <v>-1905.6</v>
      </c>
    </row>
    <row r="1747" spans="2:10" x14ac:dyDescent="0.25">
      <c r="B1747" t="s">
        <v>137</v>
      </c>
      <c r="C1747" t="s">
        <v>412</v>
      </c>
      <c r="D1747" t="s">
        <v>414</v>
      </c>
      <c r="E1747" t="s">
        <v>50</v>
      </c>
      <c r="F1747" s="3"/>
      <c r="G1747" s="3">
        <v>-1905.6</v>
      </c>
      <c r="H1747" s="3"/>
      <c r="I1747" s="3"/>
      <c r="J1747" s="3">
        <v>-1905.6</v>
      </c>
    </row>
    <row r="1748" spans="2:10" x14ac:dyDescent="0.25">
      <c r="B1748" t="s">
        <v>137</v>
      </c>
      <c r="C1748" t="s">
        <v>412</v>
      </c>
      <c r="D1748" t="s">
        <v>414</v>
      </c>
      <c r="E1748" t="s">
        <v>51</v>
      </c>
      <c r="F1748" s="3"/>
      <c r="G1748" s="3">
        <v>-1905.6</v>
      </c>
      <c r="H1748" s="3"/>
      <c r="I1748" s="3"/>
      <c r="J1748" s="3">
        <v>-1905.6</v>
      </c>
    </row>
    <row r="1749" spans="2:10" x14ac:dyDescent="0.25">
      <c r="B1749" t="s">
        <v>137</v>
      </c>
      <c r="C1749" t="s">
        <v>412</v>
      </c>
      <c r="D1749" t="s">
        <v>414</v>
      </c>
      <c r="E1749" t="s">
        <v>196</v>
      </c>
      <c r="F1749" s="3"/>
      <c r="G1749" s="3">
        <v>-1905.6</v>
      </c>
      <c r="H1749" s="3"/>
      <c r="I1749" s="3"/>
      <c r="J1749" s="3">
        <v>-1905.6</v>
      </c>
    </row>
    <row r="1750" spans="2:10" x14ac:dyDescent="0.25">
      <c r="B1750" t="s">
        <v>137</v>
      </c>
      <c r="C1750" t="s">
        <v>412</v>
      </c>
      <c r="D1750" t="s">
        <v>414</v>
      </c>
      <c r="E1750" t="s">
        <v>197</v>
      </c>
      <c r="F1750" s="3"/>
      <c r="G1750" s="3">
        <v>-1905.6</v>
      </c>
      <c r="H1750" s="3"/>
      <c r="I1750" s="3"/>
      <c r="J1750" s="3">
        <v>-1905.6</v>
      </c>
    </row>
    <row r="1751" spans="2:10" x14ac:dyDescent="0.25">
      <c r="B1751" t="s">
        <v>137</v>
      </c>
      <c r="C1751" t="s">
        <v>412</v>
      </c>
      <c r="D1751" t="s">
        <v>414</v>
      </c>
      <c r="E1751" t="s">
        <v>198</v>
      </c>
      <c r="F1751" s="3"/>
      <c r="G1751" s="3">
        <v>-1905.6</v>
      </c>
      <c r="H1751" s="3"/>
      <c r="I1751" s="3"/>
      <c r="J1751" s="3">
        <v>-1905.6</v>
      </c>
    </row>
    <row r="1752" spans="2:10" x14ac:dyDescent="0.25">
      <c r="B1752" t="s">
        <v>137</v>
      </c>
      <c r="C1752" t="s">
        <v>412</v>
      </c>
      <c r="D1752" t="s">
        <v>414</v>
      </c>
      <c r="E1752" t="s">
        <v>199</v>
      </c>
      <c r="F1752" s="3"/>
      <c r="G1752" s="3">
        <v>-1905.6</v>
      </c>
      <c r="H1752" s="3"/>
      <c r="I1752" s="3"/>
      <c r="J1752" s="3">
        <v>-1905.6</v>
      </c>
    </row>
    <row r="1753" spans="2:10" x14ac:dyDescent="0.25">
      <c r="B1753" t="s">
        <v>137</v>
      </c>
      <c r="C1753" t="s">
        <v>412</v>
      </c>
      <c r="D1753" t="s">
        <v>414</v>
      </c>
      <c r="E1753" t="s">
        <v>200</v>
      </c>
      <c r="F1753" s="3"/>
      <c r="G1753" s="3">
        <v>-1905.6</v>
      </c>
      <c r="H1753" s="3"/>
      <c r="I1753" s="3"/>
      <c r="J1753" s="3">
        <v>-1905.6</v>
      </c>
    </row>
    <row r="1754" spans="2:10" x14ac:dyDescent="0.25">
      <c r="B1754" t="s">
        <v>137</v>
      </c>
      <c r="C1754" t="s">
        <v>412</v>
      </c>
      <c r="D1754" t="s">
        <v>414</v>
      </c>
      <c r="E1754" t="s">
        <v>240</v>
      </c>
      <c r="F1754" s="3"/>
      <c r="G1754" s="3">
        <v>-1905.6</v>
      </c>
      <c r="H1754" s="3"/>
      <c r="I1754" s="3"/>
      <c r="J1754" s="3">
        <v>-1905.6</v>
      </c>
    </row>
    <row r="1755" spans="2:10" x14ac:dyDescent="0.25">
      <c r="B1755" t="s">
        <v>137</v>
      </c>
      <c r="C1755" t="s">
        <v>412</v>
      </c>
      <c r="D1755" t="s">
        <v>414</v>
      </c>
      <c r="E1755" t="s">
        <v>301</v>
      </c>
      <c r="F1755" s="3"/>
      <c r="G1755" s="3">
        <v>-1905.6</v>
      </c>
      <c r="H1755" s="3"/>
      <c r="I1755" s="3"/>
      <c r="J1755" s="3">
        <v>-1905.6</v>
      </c>
    </row>
    <row r="1756" spans="2:10" x14ac:dyDescent="0.25">
      <c r="B1756" t="s">
        <v>137</v>
      </c>
      <c r="C1756" t="s">
        <v>412</v>
      </c>
      <c r="D1756" t="s">
        <v>414</v>
      </c>
      <c r="E1756" t="s">
        <v>302</v>
      </c>
      <c r="F1756" s="3"/>
      <c r="G1756" s="3">
        <v>-1905.6</v>
      </c>
      <c r="H1756" s="3"/>
      <c r="I1756" s="3"/>
      <c r="J1756" s="3">
        <v>-1905.6</v>
      </c>
    </row>
    <row r="1757" spans="2:10" x14ac:dyDescent="0.25">
      <c r="B1757" t="s">
        <v>137</v>
      </c>
      <c r="C1757" t="s">
        <v>412</v>
      </c>
      <c r="D1757" t="s">
        <v>414</v>
      </c>
      <c r="E1757" t="s">
        <v>303</v>
      </c>
      <c r="F1757" s="3"/>
      <c r="G1757" s="3">
        <v>-1905.6</v>
      </c>
      <c r="H1757" s="3"/>
      <c r="I1757" s="3"/>
      <c r="J1757" s="3">
        <v>-1905.6</v>
      </c>
    </row>
    <row r="1758" spans="2:10" x14ac:dyDescent="0.25">
      <c r="B1758" t="s">
        <v>137</v>
      </c>
      <c r="C1758" t="s">
        <v>412</v>
      </c>
      <c r="D1758" t="s">
        <v>414</v>
      </c>
      <c r="E1758" t="s">
        <v>304</v>
      </c>
      <c r="F1758" s="3"/>
      <c r="G1758" s="3">
        <v>-1905.6</v>
      </c>
      <c r="H1758" s="3"/>
      <c r="I1758" s="3"/>
      <c r="J1758" s="3">
        <v>-1905.6</v>
      </c>
    </row>
    <row r="1759" spans="2:10" x14ac:dyDescent="0.25">
      <c r="B1759" t="s">
        <v>137</v>
      </c>
      <c r="C1759" t="s">
        <v>412</v>
      </c>
      <c r="D1759" t="s">
        <v>414</v>
      </c>
      <c r="E1759" t="s">
        <v>305</v>
      </c>
      <c r="F1759" s="3"/>
      <c r="G1759" s="3">
        <v>-1905.6</v>
      </c>
      <c r="H1759" s="3"/>
      <c r="I1759" s="3"/>
      <c r="J1759" s="3">
        <v>-1905.6</v>
      </c>
    </row>
    <row r="1760" spans="2:10" x14ac:dyDescent="0.25">
      <c r="B1760" t="s">
        <v>137</v>
      </c>
      <c r="C1760" t="s">
        <v>412</v>
      </c>
      <c r="D1760" t="s">
        <v>414</v>
      </c>
      <c r="E1760" t="s">
        <v>306</v>
      </c>
      <c r="F1760" s="3"/>
      <c r="G1760" s="3">
        <v>-1905.6</v>
      </c>
      <c r="H1760" s="3"/>
      <c r="I1760" s="3"/>
      <c r="J1760" s="3">
        <v>-1905.6</v>
      </c>
    </row>
    <row r="1761" spans="2:10" x14ac:dyDescent="0.25">
      <c r="B1761" t="s">
        <v>137</v>
      </c>
      <c r="C1761" t="s">
        <v>412</v>
      </c>
      <c r="D1761" t="s">
        <v>414</v>
      </c>
      <c r="E1761" t="s">
        <v>307</v>
      </c>
      <c r="F1761" s="3"/>
      <c r="G1761" s="3">
        <v>-1905.6</v>
      </c>
      <c r="H1761" s="3"/>
      <c r="I1761" s="3"/>
      <c r="J1761" s="3">
        <v>-1905.6</v>
      </c>
    </row>
    <row r="1762" spans="2:10" x14ac:dyDescent="0.25">
      <c r="B1762" t="s">
        <v>137</v>
      </c>
      <c r="C1762" t="s">
        <v>412</v>
      </c>
      <c r="D1762" t="s">
        <v>414</v>
      </c>
      <c r="E1762" t="s">
        <v>308</v>
      </c>
      <c r="F1762" s="3"/>
      <c r="G1762" s="3">
        <v>-1905.6</v>
      </c>
      <c r="H1762" s="3"/>
      <c r="I1762" s="3"/>
      <c r="J1762" s="3">
        <v>-1905.6</v>
      </c>
    </row>
    <row r="1763" spans="2:10" x14ac:dyDescent="0.25">
      <c r="B1763" t="s">
        <v>137</v>
      </c>
      <c r="C1763" t="s">
        <v>412</v>
      </c>
      <c r="D1763" t="s">
        <v>414</v>
      </c>
      <c r="E1763" t="s">
        <v>309</v>
      </c>
      <c r="F1763" s="3"/>
      <c r="G1763" s="3">
        <v>-1905.6</v>
      </c>
      <c r="H1763" s="3"/>
      <c r="I1763" s="3"/>
      <c r="J1763" s="3">
        <v>-1905.6</v>
      </c>
    </row>
    <row r="1764" spans="2:10" x14ac:dyDescent="0.25">
      <c r="B1764" t="s">
        <v>137</v>
      </c>
      <c r="C1764" t="s">
        <v>412</v>
      </c>
      <c r="D1764" t="s">
        <v>414</v>
      </c>
      <c r="E1764" t="s">
        <v>310</v>
      </c>
      <c r="F1764" s="3"/>
      <c r="G1764" s="3">
        <v>-1905.6</v>
      </c>
      <c r="H1764" s="3"/>
      <c r="I1764" s="3"/>
      <c r="J1764" s="3">
        <v>-1905.6</v>
      </c>
    </row>
    <row r="1765" spans="2:10" x14ac:dyDescent="0.25">
      <c r="B1765" t="s">
        <v>137</v>
      </c>
      <c r="C1765" t="s">
        <v>412</v>
      </c>
      <c r="D1765" t="s">
        <v>414</v>
      </c>
      <c r="E1765" t="s">
        <v>311</v>
      </c>
      <c r="F1765" s="3"/>
      <c r="G1765" s="3">
        <v>-1905.6</v>
      </c>
      <c r="H1765" s="3"/>
      <c r="I1765" s="3"/>
      <c r="J1765" s="3">
        <v>-1905.6</v>
      </c>
    </row>
    <row r="1766" spans="2:10" x14ac:dyDescent="0.25">
      <c r="B1766" t="s">
        <v>137</v>
      </c>
      <c r="C1766" t="s">
        <v>412</v>
      </c>
      <c r="D1766" t="s">
        <v>414</v>
      </c>
      <c r="E1766" t="s">
        <v>312</v>
      </c>
      <c r="F1766" s="3"/>
      <c r="G1766" s="3">
        <v>-1905.6</v>
      </c>
      <c r="H1766" s="3"/>
      <c r="I1766" s="3"/>
      <c r="J1766" s="3">
        <v>-1905.6</v>
      </c>
    </row>
    <row r="1767" spans="2:10" x14ac:dyDescent="0.25">
      <c r="B1767" t="s">
        <v>137</v>
      </c>
      <c r="C1767" t="s">
        <v>412</v>
      </c>
      <c r="D1767" t="s">
        <v>415</v>
      </c>
      <c r="E1767" t="s">
        <v>46</v>
      </c>
      <c r="F1767" s="3"/>
      <c r="G1767" s="3">
        <v>-34608</v>
      </c>
      <c r="H1767" s="3"/>
      <c r="I1767" s="3"/>
      <c r="J1767" s="3">
        <v>-34608</v>
      </c>
    </row>
    <row r="1768" spans="2:10" x14ac:dyDescent="0.25">
      <c r="B1768" t="s">
        <v>137</v>
      </c>
      <c r="C1768" t="s">
        <v>412</v>
      </c>
      <c r="D1768" t="s">
        <v>415</v>
      </c>
      <c r="E1768" t="s">
        <v>47</v>
      </c>
      <c r="F1768" s="3"/>
      <c r="G1768" s="3">
        <v>-34608</v>
      </c>
      <c r="H1768" s="3"/>
      <c r="I1768" s="3"/>
      <c r="J1768" s="3">
        <v>-34608</v>
      </c>
    </row>
    <row r="1769" spans="2:10" x14ac:dyDescent="0.25">
      <c r="B1769" t="s">
        <v>137</v>
      </c>
      <c r="C1769" t="s">
        <v>412</v>
      </c>
      <c r="D1769" t="s">
        <v>415</v>
      </c>
      <c r="E1769" t="s">
        <v>48</v>
      </c>
      <c r="F1769" s="3"/>
      <c r="G1769" s="3">
        <v>-34608</v>
      </c>
      <c r="H1769" s="3"/>
      <c r="I1769" s="3"/>
      <c r="J1769" s="3">
        <v>-34608</v>
      </c>
    </row>
    <row r="1770" spans="2:10" x14ac:dyDescent="0.25">
      <c r="B1770" t="s">
        <v>137</v>
      </c>
      <c r="C1770" t="s">
        <v>412</v>
      </c>
      <c r="D1770" t="s">
        <v>415</v>
      </c>
      <c r="E1770" t="s">
        <v>49</v>
      </c>
      <c r="F1770" s="3"/>
      <c r="G1770" s="3">
        <v>-34608</v>
      </c>
      <c r="H1770" s="3"/>
      <c r="I1770" s="3"/>
      <c r="J1770" s="3">
        <v>-34608</v>
      </c>
    </row>
    <row r="1771" spans="2:10" x14ac:dyDescent="0.25">
      <c r="B1771" t="s">
        <v>137</v>
      </c>
      <c r="C1771" t="s">
        <v>412</v>
      </c>
      <c r="D1771" t="s">
        <v>415</v>
      </c>
      <c r="E1771" t="s">
        <v>50</v>
      </c>
      <c r="F1771" s="3"/>
      <c r="G1771" s="3">
        <v>-34608</v>
      </c>
      <c r="H1771" s="3"/>
      <c r="I1771" s="3"/>
      <c r="J1771" s="3">
        <v>-34608</v>
      </c>
    </row>
    <row r="1772" spans="2:10" x14ac:dyDescent="0.25">
      <c r="B1772" t="s">
        <v>137</v>
      </c>
      <c r="C1772" t="s">
        <v>412</v>
      </c>
      <c r="D1772" t="s">
        <v>415</v>
      </c>
      <c r="E1772" t="s">
        <v>51</v>
      </c>
      <c r="F1772" s="3"/>
      <c r="G1772" s="3">
        <v>-34608</v>
      </c>
      <c r="H1772" s="3"/>
      <c r="I1772" s="3"/>
      <c r="J1772" s="3">
        <v>-34608</v>
      </c>
    </row>
    <row r="1773" spans="2:10" x14ac:dyDescent="0.25">
      <c r="B1773" t="s">
        <v>137</v>
      </c>
      <c r="C1773" t="s">
        <v>412</v>
      </c>
      <c r="D1773" t="s">
        <v>415</v>
      </c>
      <c r="E1773" t="s">
        <v>196</v>
      </c>
      <c r="F1773" s="3"/>
      <c r="G1773" s="3">
        <v>-34608</v>
      </c>
      <c r="H1773" s="3"/>
      <c r="I1773" s="3"/>
      <c r="J1773" s="3">
        <v>-34608</v>
      </c>
    </row>
    <row r="1774" spans="2:10" x14ac:dyDescent="0.25">
      <c r="B1774" t="s">
        <v>137</v>
      </c>
      <c r="C1774" t="s">
        <v>412</v>
      </c>
      <c r="D1774" t="s">
        <v>415</v>
      </c>
      <c r="E1774" t="s">
        <v>197</v>
      </c>
      <c r="F1774" s="3"/>
      <c r="G1774" s="3">
        <v>-34608</v>
      </c>
      <c r="H1774" s="3"/>
      <c r="I1774" s="3"/>
      <c r="J1774" s="3">
        <v>-34608</v>
      </c>
    </row>
    <row r="1775" spans="2:10" x14ac:dyDescent="0.25">
      <c r="B1775" t="s">
        <v>137</v>
      </c>
      <c r="C1775" t="s">
        <v>412</v>
      </c>
      <c r="D1775" t="s">
        <v>415</v>
      </c>
      <c r="E1775" t="s">
        <v>198</v>
      </c>
      <c r="F1775" s="3"/>
      <c r="G1775" s="3">
        <v>-34608</v>
      </c>
      <c r="H1775" s="3"/>
      <c r="I1775" s="3"/>
      <c r="J1775" s="3">
        <v>-34608</v>
      </c>
    </row>
    <row r="1776" spans="2:10" x14ac:dyDescent="0.25">
      <c r="B1776" t="s">
        <v>137</v>
      </c>
      <c r="C1776" t="s">
        <v>412</v>
      </c>
      <c r="D1776" t="s">
        <v>415</v>
      </c>
      <c r="E1776" t="s">
        <v>199</v>
      </c>
      <c r="F1776" s="3"/>
      <c r="G1776" s="3">
        <v>-34608</v>
      </c>
      <c r="H1776" s="3"/>
      <c r="I1776" s="3"/>
      <c r="J1776" s="3">
        <v>-34608</v>
      </c>
    </row>
    <row r="1777" spans="2:10" x14ac:dyDescent="0.25">
      <c r="B1777" t="s">
        <v>137</v>
      </c>
      <c r="C1777" t="s">
        <v>412</v>
      </c>
      <c r="D1777" t="s">
        <v>415</v>
      </c>
      <c r="E1777" t="s">
        <v>200</v>
      </c>
      <c r="F1777" s="3"/>
      <c r="G1777" s="3">
        <v>-34608</v>
      </c>
      <c r="H1777" s="3"/>
      <c r="I1777" s="3"/>
      <c r="J1777" s="3">
        <v>-34608</v>
      </c>
    </row>
    <row r="1778" spans="2:10" x14ac:dyDescent="0.25">
      <c r="B1778" t="s">
        <v>137</v>
      </c>
      <c r="C1778" t="s">
        <v>412</v>
      </c>
      <c r="D1778" t="s">
        <v>415</v>
      </c>
      <c r="E1778" t="s">
        <v>240</v>
      </c>
      <c r="F1778" s="3"/>
      <c r="G1778" s="3">
        <v>-34608</v>
      </c>
      <c r="H1778" s="3"/>
      <c r="I1778" s="3"/>
      <c r="J1778" s="3">
        <v>-34608</v>
      </c>
    </row>
    <row r="1779" spans="2:10" x14ac:dyDescent="0.25">
      <c r="B1779" t="s">
        <v>137</v>
      </c>
      <c r="C1779" t="s">
        <v>412</v>
      </c>
      <c r="D1779" t="s">
        <v>415</v>
      </c>
      <c r="E1779" t="s">
        <v>301</v>
      </c>
      <c r="F1779" s="3"/>
      <c r="G1779" s="3">
        <v>-34608</v>
      </c>
      <c r="H1779" s="3"/>
      <c r="I1779" s="3"/>
      <c r="J1779" s="3">
        <v>-34608</v>
      </c>
    </row>
    <row r="1780" spans="2:10" x14ac:dyDescent="0.25">
      <c r="B1780" t="s">
        <v>137</v>
      </c>
      <c r="C1780" t="s">
        <v>412</v>
      </c>
      <c r="D1780" t="s">
        <v>415</v>
      </c>
      <c r="E1780" t="s">
        <v>302</v>
      </c>
      <c r="F1780" s="3"/>
      <c r="G1780" s="3">
        <v>-34608</v>
      </c>
      <c r="H1780" s="3"/>
      <c r="I1780" s="3"/>
      <c r="J1780" s="3">
        <v>-34608</v>
      </c>
    </row>
    <row r="1781" spans="2:10" x14ac:dyDescent="0.25">
      <c r="B1781" t="s">
        <v>137</v>
      </c>
      <c r="C1781" t="s">
        <v>412</v>
      </c>
      <c r="D1781" t="s">
        <v>415</v>
      </c>
      <c r="E1781" t="s">
        <v>303</v>
      </c>
      <c r="F1781" s="3"/>
      <c r="G1781" s="3">
        <v>-34608</v>
      </c>
      <c r="H1781" s="3"/>
      <c r="I1781" s="3"/>
      <c r="J1781" s="3">
        <v>-34608</v>
      </c>
    </row>
    <row r="1782" spans="2:10" x14ac:dyDescent="0.25">
      <c r="B1782" t="s">
        <v>137</v>
      </c>
      <c r="C1782" t="s">
        <v>412</v>
      </c>
      <c r="D1782" t="s">
        <v>415</v>
      </c>
      <c r="E1782" t="s">
        <v>304</v>
      </c>
      <c r="F1782" s="3"/>
      <c r="G1782" s="3">
        <v>-34608</v>
      </c>
      <c r="H1782" s="3"/>
      <c r="I1782" s="3"/>
      <c r="J1782" s="3">
        <v>-34608</v>
      </c>
    </row>
    <row r="1783" spans="2:10" x14ac:dyDescent="0.25">
      <c r="B1783" t="s">
        <v>137</v>
      </c>
      <c r="C1783" t="s">
        <v>412</v>
      </c>
      <c r="D1783" t="s">
        <v>415</v>
      </c>
      <c r="E1783" t="s">
        <v>305</v>
      </c>
      <c r="F1783" s="3"/>
      <c r="G1783" s="3">
        <v>-34608</v>
      </c>
      <c r="H1783" s="3"/>
      <c r="I1783" s="3"/>
      <c r="J1783" s="3">
        <v>-34608</v>
      </c>
    </row>
    <row r="1784" spans="2:10" x14ac:dyDescent="0.25">
      <c r="B1784" t="s">
        <v>137</v>
      </c>
      <c r="C1784" t="s">
        <v>412</v>
      </c>
      <c r="D1784" t="s">
        <v>415</v>
      </c>
      <c r="E1784" t="s">
        <v>306</v>
      </c>
      <c r="F1784" s="3"/>
      <c r="G1784" s="3">
        <v>-34608</v>
      </c>
      <c r="H1784" s="3"/>
      <c r="I1784" s="3"/>
      <c r="J1784" s="3">
        <v>-34608</v>
      </c>
    </row>
    <row r="1785" spans="2:10" x14ac:dyDescent="0.25">
      <c r="B1785" t="s">
        <v>137</v>
      </c>
      <c r="C1785" t="s">
        <v>412</v>
      </c>
      <c r="D1785" t="s">
        <v>415</v>
      </c>
      <c r="E1785" t="s">
        <v>307</v>
      </c>
      <c r="F1785" s="3"/>
      <c r="G1785" s="3">
        <v>-34608</v>
      </c>
      <c r="H1785" s="3"/>
      <c r="I1785" s="3"/>
      <c r="J1785" s="3">
        <v>-34608</v>
      </c>
    </row>
    <row r="1786" spans="2:10" x14ac:dyDescent="0.25">
      <c r="B1786" t="s">
        <v>137</v>
      </c>
      <c r="C1786" t="s">
        <v>412</v>
      </c>
      <c r="D1786" t="s">
        <v>415</v>
      </c>
      <c r="E1786" t="s">
        <v>308</v>
      </c>
      <c r="F1786" s="3"/>
      <c r="G1786" s="3">
        <v>-34608</v>
      </c>
      <c r="H1786" s="3"/>
      <c r="I1786" s="3"/>
      <c r="J1786" s="3">
        <v>-34608</v>
      </c>
    </row>
    <row r="1787" spans="2:10" x14ac:dyDescent="0.25">
      <c r="B1787" t="s">
        <v>137</v>
      </c>
      <c r="C1787" t="s">
        <v>412</v>
      </c>
      <c r="D1787" t="s">
        <v>415</v>
      </c>
      <c r="E1787" t="s">
        <v>309</v>
      </c>
      <c r="F1787" s="3"/>
      <c r="G1787" s="3">
        <v>-34608</v>
      </c>
      <c r="H1787" s="3"/>
      <c r="I1787" s="3"/>
      <c r="J1787" s="3">
        <v>-34608</v>
      </c>
    </row>
    <row r="1788" spans="2:10" x14ac:dyDescent="0.25">
      <c r="B1788" t="s">
        <v>137</v>
      </c>
      <c r="C1788" t="s">
        <v>412</v>
      </c>
      <c r="D1788" t="s">
        <v>415</v>
      </c>
      <c r="E1788" t="s">
        <v>310</v>
      </c>
      <c r="F1788" s="3"/>
      <c r="G1788" s="3">
        <v>-34608</v>
      </c>
      <c r="H1788" s="3"/>
      <c r="I1788" s="3"/>
      <c r="J1788" s="3">
        <v>-34608</v>
      </c>
    </row>
    <row r="1789" spans="2:10" x14ac:dyDescent="0.25">
      <c r="B1789" t="s">
        <v>137</v>
      </c>
      <c r="C1789" t="s">
        <v>412</v>
      </c>
      <c r="D1789" t="s">
        <v>415</v>
      </c>
      <c r="E1789" t="s">
        <v>311</v>
      </c>
      <c r="F1789" s="3"/>
      <c r="G1789" s="3">
        <v>-34608</v>
      </c>
      <c r="H1789" s="3"/>
      <c r="I1789" s="3"/>
      <c r="J1789" s="3">
        <v>-34608</v>
      </c>
    </row>
    <row r="1790" spans="2:10" x14ac:dyDescent="0.25">
      <c r="B1790" t="s">
        <v>137</v>
      </c>
      <c r="C1790" t="s">
        <v>412</v>
      </c>
      <c r="D1790" t="s">
        <v>415</v>
      </c>
      <c r="E1790" t="s">
        <v>312</v>
      </c>
      <c r="F1790" s="3"/>
      <c r="G1790" s="3">
        <v>-34608</v>
      </c>
      <c r="H1790" s="3"/>
      <c r="I1790" s="3"/>
      <c r="J1790" s="3">
        <v>-34608</v>
      </c>
    </row>
    <row r="1791" spans="2:10" x14ac:dyDescent="0.25">
      <c r="B1791" t="s">
        <v>137</v>
      </c>
      <c r="C1791" t="s">
        <v>412</v>
      </c>
      <c r="D1791" t="s">
        <v>416</v>
      </c>
      <c r="E1791" t="s">
        <v>46</v>
      </c>
      <c r="F1791" s="3"/>
      <c r="G1791" s="3">
        <v>-18336</v>
      </c>
      <c r="H1791" s="3"/>
      <c r="I1791" s="3"/>
      <c r="J1791" s="3">
        <v>-18336</v>
      </c>
    </row>
    <row r="1792" spans="2:10" x14ac:dyDescent="0.25">
      <c r="B1792" t="s">
        <v>137</v>
      </c>
      <c r="C1792" t="s">
        <v>412</v>
      </c>
      <c r="D1792" t="s">
        <v>416</v>
      </c>
      <c r="E1792" t="s">
        <v>47</v>
      </c>
      <c r="F1792" s="3"/>
      <c r="G1792" s="3">
        <v>-18336</v>
      </c>
      <c r="H1792" s="3"/>
      <c r="I1792" s="3"/>
      <c r="J1792" s="3">
        <v>-18336</v>
      </c>
    </row>
    <row r="1793" spans="2:10" x14ac:dyDescent="0.25">
      <c r="B1793" t="s">
        <v>137</v>
      </c>
      <c r="C1793" t="s">
        <v>412</v>
      </c>
      <c r="D1793" t="s">
        <v>416</v>
      </c>
      <c r="E1793" t="s">
        <v>48</v>
      </c>
      <c r="F1793" s="3"/>
      <c r="G1793" s="3">
        <v>-18336</v>
      </c>
      <c r="H1793" s="3"/>
      <c r="I1793" s="3"/>
      <c r="J1793" s="3">
        <v>-18336</v>
      </c>
    </row>
    <row r="1794" spans="2:10" x14ac:dyDescent="0.25">
      <c r="B1794" t="s">
        <v>137</v>
      </c>
      <c r="C1794" t="s">
        <v>412</v>
      </c>
      <c r="D1794" t="s">
        <v>416</v>
      </c>
      <c r="E1794" t="s">
        <v>49</v>
      </c>
      <c r="F1794" s="3"/>
      <c r="G1794" s="3">
        <v>-18336</v>
      </c>
      <c r="H1794" s="3"/>
      <c r="I1794" s="3"/>
      <c r="J1794" s="3">
        <v>-18336</v>
      </c>
    </row>
    <row r="1795" spans="2:10" x14ac:dyDescent="0.25">
      <c r="B1795" t="s">
        <v>137</v>
      </c>
      <c r="C1795" t="s">
        <v>412</v>
      </c>
      <c r="D1795" t="s">
        <v>416</v>
      </c>
      <c r="E1795" t="s">
        <v>50</v>
      </c>
      <c r="F1795" s="3"/>
      <c r="G1795" s="3">
        <v>-18336</v>
      </c>
      <c r="H1795" s="3"/>
      <c r="I1795" s="3"/>
      <c r="J1795" s="3">
        <v>-18336</v>
      </c>
    </row>
    <row r="1796" spans="2:10" x14ac:dyDescent="0.25">
      <c r="B1796" t="s">
        <v>137</v>
      </c>
      <c r="C1796" t="s">
        <v>412</v>
      </c>
      <c r="D1796" t="s">
        <v>416</v>
      </c>
      <c r="E1796" t="s">
        <v>51</v>
      </c>
      <c r="F1796" s="3"/>
      <c r="G1796" s="3">
        <v>-18336</v>
      </c>
      <c r="H1796" s="3"/>
      <c r="I1796" s="3"/>
      <c r="J1796" s="3">
        <v>-18336</v>
      </c>
    </row>
    <row r="1797" spans="2:10" x14ac:dyDescent="0.25">
      <c r="B1797" t="s">
        <v>137</v>
      </c>
      <c r="C1797" t="s">
        <v>412</v>
      </c>
      <c r="D1797" t="s">
        <v>416</v>
      </c>
      <c r="E1797" t="s">
        <v>196</v>
      </c>
      <c r="F1797" s="3"/>
      <c r="G1797" s="3">
        <v>-18336</v>
      </c>
      <c r="H1797" s="3"/>
      <c r="I1797" s="3"/>
      <c r="J1797" s="3">
        <v>-18336</v>
      </c>
    </row>
    <row r="1798" spans="2:10" x14ac:dyDescent="0.25">
      <c r="B1798" t="s">
        <v>137</v>
      </c>
      <c r="C1798" t="s">
        <v>412</v>
      </c>
      <c r="D1798" t="s">
        <v>416</v>
      </c>
      <c r="E1798" t="s">
        <v>197</v>
      </c>
      <c r="F1798" s="3"/>
      <c r="G1798" s="3">
        <v>-18336</v>
      </c>
      <c r="H1798" s="3"/>
      <c r="I1798" s="3"/>
      <c r="J1798" s="3">
        <v>-18336</v>
      </c>
    </row>
    <row r="1799" spans="2:10" x14ac:dyDescent="0.25">
      <c r="B1799" t="s">
        <v>137</v>
      </c>
      <c r="C1799" t="s">
        <v>412</v>
      </c>
      <c r="D1799" t="s">
        <v>416</v>
      </c>
      <c r="E1799" t="s">
        <v>198</v>
      </c>
      <c r="F1799" s="3"/>
      <c r="G1799" s="3">
        <v>-18336</v>
      </c>
      <c r="H1799" s="3"/>
      <c r="I1799" s="3"/>
      <c r="J1799" s="3">
        <v>-18336</v>
      </c>
    </row>
    <row r="1800" spans="2:10" x14ac:dyDescent="0.25">
      <c r="B1800" t="s">
        <v>137</v>
      </c>
      <c r="C1800" t="s">
        <v>412</v>
      </c>
      <c r="D1800" t="s">
        <v>416</v>
      </c>
      <c r="E1800" t="s">
        <v>199</v>
      </c>
      <c r="F1800" s="3"/>
      <c r="G1800" s="3">
        <v>-18336</v>
      </c>
      <c r="H1800" s="3"/>
      <c r="I1800" s="3"/>
      <c r="J1800" s="3">
        <v>-18336</v>
      </c>
    </row>
    <row r="1801" spans="2:10" x14ac:dyDescent="0.25">
      <c r="B1801" t="s">
        <v>137</v>
      </c>
      <c r="C1801" t="s">
        <v>412</v>
      </c>
      <c r="D1801" t="s">
        <v>416</v>
      </c>
      <c r="E1801" t="s">
        <v>200</v>
      </c>
      <c r="F1801" s="3"/>
      <c r="G1801" s="3">
        <v>-18336</v>
      </c>
      <c r="H1801" s="3"/>
      <c r="I1801" s="3"/>
      <c r="J1801" s="3">
        <v>-18336</v>
      </c>
    </row>
    <row r="1802" spans="2:10" x14ac:dyDescent="0.25">
      <c r="B1802" t="s">
        <v>137</v>
      </c>
      <c r="C1802" t="s">
        <v>412</v>
      </c>
      <c r="D1802" t="s">
        <v>416</v>
      </c>
      <c r="E1802" t="s">
        <v>240</v>
      </c>
      <c r="F1802" s="3"/>
      <c r="G1802" s="3">
        <v>-18336</v>
      </c>
      <c r="H1802" s="3"/>
      <c r="I1802" s="3"/>
      <c r="J1802" s="3">
        <v>-18336</v>
      </c>
    </row>
    <row r="1803" spans="2:10" x14ac:dyDescent="0.25">
      <c r="B1803" t="s">
        <v>137</v>
      </c>
      <c r="C1803" t="s">
        <v>412</v>
      </c>
      <c r="D1803" t="s">
        <v>416</v>
      </c>
      <c r="E1803" t="s">
        <v>301</v>
      </c>
      <c r="F1803" s="3"/>
      <c r="G1803" s="3">
        <v>-18336</v>
      </c>
      <c r="H1803" s="3"/>
      <c r="I1803" s="3"/>
      <c r="J1803" s="3">
        <v>-18336</v>
      </c>
    </row>
    <row r="1804" spans="2:10" x14ac:dyDescent="0.25">
      <c r="B1804" t="s">
        <v>137</v>
      </c>
      <c r="C1804" t="s">
        <v>412</v>
      </c>
      <c r="D1804" t="s">
        <v>416</v>
      </c>
      <c r="E1804" t="s">
        <v>302</v>
      </c>
      <c r="F1804" s="3"/>
      <c r="G1804" s="3">
        <v>-18336</v>
      </c>
      <c r="H1804" s="3"/>
      <c r="I1804" s="3"/>
      <c r="J1804" s="3">
        <v>-18336</v>
      </c>
    </row>
    <row r="1805" spans="2:10" x14ac:dyDescent="0.25">
      <c r="B1805" t="s">
        <v>137</v>
      </c>
      <c r="C1805" t="s">
        <v>412</v>
      </c>
      <c r="D1805" t="s">
        <v>416</v>
      </c>
      <c r="E1805" t="s">
        <v>303</v>
      </c>
      <c r="F1805" s="3"/>
      <c r="G1805" s="3">
        <v>-18336</v>
      </c>
      <c r="H1805" s="3"/>
      <c r="I1805" s="3"/>
      <c r="J1805" s="3">
        <v>-18336</v>
      </c>
    </row>
    <row r="1806" spans="2:10" x14ac:dyDescent="0.25">
      <c r="B1806" t="s">
        <v>137</v>
      </c>
      <c r="C1806" t="s">
        <v>412</v>
      </c>
      <c r="D1806" t="s">
        <v>416</v>
      </c>
      <c r="E1806" t="s">
        <v>304</v>
      </c>
      <c r="F1806" s="3"/>
      <c r="G1806" s="3">
        <v>-18336</v>
      </c>
      <c r="H1806" s="3"/>
      <c r="I1806" s="3"/>
      <c r="J1806" s="3">
        <v>-18336</v>
      </c>
    </row>
    <row r="1807" spans="2:10" x14ac:dyDescent="0.25">
      <c r="B1807" t="s">
        <v>137</v>
      </c>
      <c r="C1807" t="s">
        <v>412</v>
      </c>
      <c r="D1807" t="s">
        <v>416</v>
      </c>
      <c r="E1807" t="s">
        <v>305</v>
      </c>
      <c r="F1807" s="3"/>
      <c r="G1807" s="3">
        <v>-18336</v>
      </c>
      <c r="H1807" s="3"/>
      <c r="I1807" s="3"/>
      <c r="J1807" s="3">
        <v>-18336</v>
      </c>
    </row>
    <row r="1808" spans="2:10" x14ac:dyDescent="0.25">
      <c r="B1808" t="s">
        <v>137</v>
      </c>
      <c r="C1808" t="s">
        <v>412</v>
      </c>
      <c r="D1808" t="s">
        <v>416</v>
      </c>
      <c r="E1808" t="s">
        <v>306</v>
      </c>
      <c r="F1808" s="3"/>
      <c r="G1808" s="3">
        <v>-18336</v>
      </c>
      <c r="H1808" s="3"/>
      <c r="I1808" s="3"/>
      <c r="J1808" s="3">
        <v>-18336</v>
      </c>
    </row>
    <row r="1809" spans="2:10" x14ac:dyDescent="0.25">
      <c r="B1809" t="s">
        <v>137</v>
      </c>
      <c r="C1809" t="s">
        <v>412</v>
      </c>
      <c r="D1809" t="s">
        <v>416</v>
      </c>
      <c r="E1809" t="s">
        <v>307</v>
      </c>
      <c r="F1809" s="3"/>
      <c r="G1809" s="3">
        <v>-18336</v>
      </c>
      <c r="H1809" s="3"/>
      <c r="I1809" s="3"/>
      <c r="J1809" s="3">
        <v>-18336</v>
      </c>
    </row>
    <row r="1810" spans="2:10" x14ac:dyDescent="0.25">
      <c r="B1810" t="s">
        <v>137</v>
      </c>
      <c r="C1810" t="s">
        <v>412</v>
      </c>
      <c r="D1810" t="s">
        <v>416</v>
      </c>
      <c r="E1810" t="s">
        <v>308</v>
      </c>
      <c r="F1810" s="3"/>
      <c r="G1810" s="3">
        <v>-18336</v>
      </c>
      <c r="H1810" s="3"/>
      <c r="I1810" s="3"/>
      <c r="J1810" s="3">
        <v>-18336</v>
      </c>
    </row>
    <row r="1811" spans="2:10" x14ac:dyDescent="0.25">
      <c r="B1811" t="s">
        <v>137</v>
      </c>
      <c r="C1811" t="s">
        <v>412</v>
      </c>
      <c r="D1811" t="s">
        <v>416</v>
      </c>
      <c r="E1811" t="s">
        <v>309</v>
      </c>
      <c r="F1811" s="3"/>
      <c r="G1811" s="3">
        <v>-18336</v>
      </c>
      <c r="H1811" s="3"/>
      <c r="I1811" s="3"/>
      <c r="J1811" s="3">
        <v>-18336</v>
      </c>
    </row>
    <row r="1812" spans="2:10" x14ac:dyDescent="0.25">
      <c r="B1812" t="s">
        <v>137</v>
      </c>
      <c r="C1812" t="s">
        <v>412</v>
      </c>
      <c r="D1812" t="s">
        <v>416</v>
      </c>
      <c r="E1812" t="s">
        <v>310</v>
      </c>
      <c r="F1812" s="3"/>
      <c r="G1812" s="3">
        <v>-18336</v>
      </c>
      <c r="H1812" s="3"/>
      <c r="I1812" s="3"/>
      <c r="J1812" s="3">
        <v>-18336</v>
      </c>
    </row>
    <row r="1813" spans="2:10" x14ac:dyDescent="0.25">
      <c r="B1813" t="s">
        <v>137</v>
      </c>
      <c r="C1813" t="s">
        <v>412</v>
      </c>
      <c r="D1813" t="s">
        <v>416</v>
      </c>
      <c r="E1813" t="s">
        <v>311</v>
      </c>
      <c r="F1813" s="3"/>
      <c r="G1813" s="3">
        <v>-18336</v>
      </c>
      <c r="H1813" s="3"/>
      <c r="I1813" s="3"/>
      <c r="J1813" s="3">
        <v>-18336</v>
      </c>
    </row>
    <row r="1814" spans="2:10" x14ac:dyDescent="0.25">
      <c r="B1814" t="s">
        <v>137</v>
      </c>
      <c r="C1814" t="s">
        <v>412</v>
      </c>
      <c r="D1814" t="s">
        <v>416</v>
      </c>
      <c r="E1814" t="s">
        <v>312</v>
      </c>
      <c r="F1814" s="3"/>
      <c r="G1814" s="3">
        <v>-18336</v>
      </c>
      <c r="H1814" s="3"/>
      <c r="I1814" s="3"/>
      <c r="J1814" s="3">
        <v>-18336</v>
      </c>
    </row>
    <row r="1815" spans="2:10" x14ac:dyDescent="0.25">
      <c r="B1815" t="s">
        <v>137</v>
      </c>
      <c r="C1815" t="s">
        <v>417</v>
      </c>
      <c r="D1815" t="s">
        <v>270</v>
      </c>
      <c r="E1815" t="s">
        <v>46</v>
      </c>
      <c r="F1815" s="3"/>
      <c r="G1815" s="3">
        <v>640</v>
      </c>
      <c r="H1815" s="3"/>
      <c r="I1815" s="3"/>
      <c r="J1815" s="3">
        <v>640</v>
      </c>
    </row>
    <row r="1816" spans="2:10" x14ac:dyDescent="0.25">
      <c r="B1816" t="s">
        <v>137</v>
      </c>
      <c r="C1816" t="s">
        <v>417</v>
      </c>
      <c r="D1816" t="s">
        <v>270</v>
      </c>
      <c r="E1816" t="s">
        <v>47</v>
      </c>
      <c r="F1816" s="3"/>
      <c r="G1816" s="3">
        <v>640</v>
      </c>
      <c r="H1816" s="3"/>
      <c r="I1816" s="3"/>
      <c r="J1816" s="3">
        <v>640</v>
      </c>
    </row>
    <row r="1817" spans="2:10" x14ac:dyDescent="0.25">
      <c r="B1817" t="s">
        <v>137</v>
      </c>
      <c r="C1817" t="s">
        <v>417</v>
      </c>
      <c r="D1817" t="s">
        <v>270</v>
      </c>
      <c r="E1817" t="s">
        <v>48</v>
      </c>
      <c r="F1817" s="3"/>
      <c r="G1817" s="3">
        <v>640</v>
      </c>
      <c r="H1817" s="3"/>
      <c r="I1817" s="3"/>
      <c r="J1817" s="3">
        <v>640</v>
      </c>
    </row>
    <row r="1818" spans="2:10" x14ac:dyDescent="0.25">
      <c r="B1818" t="s">
        <v>137</v>
      </c>
      <c r="C1818" t="s">
        <v>417</v>
      </c>
      <c r="D1818" t="s">
        <v>270</v>
      </c>
      <c r="E1818" t="s">
        <v>49</v>
      </c>
      <c r="F1818" s="3"/>
      <c r="G1818" s="3">
        <v>640</v>
      </c>
      <c r="H1818" s="3"/>
      <c r="I1818" s="3"/>
      <c r="J1818" s="3">
        <v>640</v>
      </c>
    </row>
    <row r="1819" spans="2:10" x14ac:dyDescent="0.25">
      <c r="B1819" t="s">
        <v>137</v>
      </c>
      <c r="C1819" t="s">
        <v>417</v>
      </c>
      <c r="D1819" t="s">
        <v>270</v>
      </c>
      <c r="E1819" t="s">
        <v>50</v>
      </c>
      <c r="F1819" s="3"/>
      <c r="G1819" s="3">
        <v>640</v>
      </c>
      <c r="H1819" s="3"/>
      <c r="I1819" s="3"/>
      <c r="J1819" s="3">
        <v>640</v>
      </c>
    </row>
    <row r="1820" spans="2:10" x14ac:dyDescent="0.25">
      <c r="B1820" t="s">
        <v>137</v>
      </c>
      <c r="C1820" t="s">
        <v>417</v>
      </c>
      <c r="D1820" t="s">
        <v>270</v>
      </c>
      <c r="E1820" t="s">
        <v>51</v>
      </c>
      <c r="F1820" s="3"/>
      <c r="G1820" s="3">
        <v>640</v>
      </c>
      <c r="H1820" s="3"/>
      <c r="I1820" s="3"/>
      <c r="J1820" s="3">
        <v>640</v>
      </c>
    </row>
    <row r="1821" spans="2:10" x14ac:dyDescent="0.25">
      <c r="B1821" t="s">
        <v>137</v>
      </c>
      <c r="C1821" t="s">
        <v>417</v>
      </c>
      <c r="D1821" t="s">
        <v>270</v>
      </c>
      <c r="E1821" t="s">
        <v>196</v>
      </c>
      <c r="F1821" s="3"/>
      <c r="G1821" s="3">
        <v>640</v>
      </c>
      <c r="H1821" s="3"/>
      <c r="I1821" s="3"/>
      <c r="J1821" s="3">
        <v>640</v>
      </c>
    </row>
    <row r="1822" spans="2:10" x14ac:dyDescent="0.25">
      <c r="B1822" t="s">
        <v>137</v>
      </c>
      <c r="C1822" t="s">
        <v>417</v>
      </c>
      <c r="D1822" t="s">
        <v>270</v>
      </c>
      <c r="E1822" t="s">
        <v>197</v>
      </c>
      <c r="F1822" s="3"/>
      <c r="G1822" s="3">
        <v>640</v>
      </c>
      <c r="H1822" s="3"/>
      <c r="I1822" s="3"/>
      <c r="J1822" s="3">
        <v>640</v>
      </c>
    </row>
    <row r="1823" spans="2:10" x14ac:dyDescent="0.25">
      <c r="B1823" t="s">
        <v>137</v>
      </c>
      <c r="C1823" t="s">
        <v>417</v>
      </c>
      <c r="D1823" t="s">
        <v>270</v>
      </c>
      <c r="E1823" t="s">
        <v>198</v>
      </c>
      <c r="F1823" s="3"/>
      <c r="G1823" s="3">
        <v>640</v>
      </c>
      <c r="H1823" s="3"/>
      <c r="I1823" s="3"/>
      <c r="J1823" s="3">
        <v>640</v>
      </c>
    </row>
    <row r="1824" spans="2:10" x14ac:dyDescent="0.25">
      <c r="B1824" t="s">
        <v>137</v>
      </c>
      <c r="C1824" t="s">
        <v>417</v>
      </c>
      <c r="D1824" t="s">
        <v>270</v>
      </c>
      <c r="E1824" t="s">
        <v>199</v>
      </c>
      <c r="F1824" s="3"/>
      <c r="G1824" s="3">
        <v>640</v>
      </c>
      <c r="H1824" s="3"/>
      <c r="I1824" s="3"/>
      <c r="J1824" s="3">
        <v>640</v>
      </c>
    </row>
    <row r="1825" spans="2:10" x14ac:dyDescent="0.25">
      <c r="B1825" t="s">
        <v>137</v>
      </c>
      <c r="C1825" t="s">
        <v>417</v>
      </c>
      <c r="D1825" t="s">
        <v>270</v>
      </c>
      <c r="E1825" t="s">
        <v>200</v>
      </c>
      <c r="F1825" s="3"/>
      <c r="G1825" s="3">
        <v>640</v>
      </c>
      <c r="H1825" s="3"/>
      <c r="I1825" s="3"/>
      <c r="J1825" s="3">
        <v>640</v>
      </c>
    </row>
    <row r="1826" spans="2:10" x14ac:dyDescent="0.25">
      <c r="B1826" t="s">
        <v>137</v>
      </c>
      <c r="C1826" t="s">
        <v>417</v>
      </c>
      <c r="D1826" t="s">
        <v>270</v>
      </c>
      <c r="E1826" t="s">
        <v>240</v>
      </c>
      <c r="F1826" s="3"/>
      <c r="G1826" s="3">
        <v>640</v>
      </c>
      <c r="H1826" s="3"/>
      <c r="I1826" s="3"/>
      <c r="J1826" s="3">
        <v>640</v>
      </c>
    </row>
    <row r="1827" spans="2:10" x14ac:dyDescent="0.25">
      <c r="B1827" t="s">
        <v>137</v>
      </c>
      <c r="C1827" t="s">
        <v>417</v>
      </c>
      <c r="D1827" t="s">
        <v>270</v>
      </c>
      <c r="E1827" t="s">
        <v>301</v>
      </c>
      <c r="F1827" s="3"/>
      <c r="G1827" s="3">
        <v>640</v>
      </c>
      <c r="H1827" s="3"/>
      <c r="I1827" s="3"/>
      <c r="J1827" s="3">
        <v>640</v>
      </c>
    </row>
    <row r="1828" spans="2:10" x14ac:dyDescent="0.25">
      <c r="B1828" t="s">
        <v>137</v>
      </c>
      <c r="C1828" t="s">
        <v>417</v>
      </c>
      <c r="D1828" t="s">
        <v>270</v>
      </c>
      <c r="E1828" t="s">
        <v>302</v>
      </c>
      <c r="F1828" s="3"/>
      <c r="G1828" s="3">
        <v>640</v>
      </c>
      <c r="H1828" s="3"/>
      <c r="I1828" s="3"/>
      <c r="J1828" s="3">
        <v>640</v>
      </c>
    </row>
    <row r="1829" spans="2:10" x14ac:dyDescent="0.25">
      <c r="B1829" t="s">
        <v>137</v>
      </c>
      <c r="C1829" t="s">
        <v>417</v>
      </c>
      <c r="D1829" t="s">
        <v>270</v>
      </c>
      <c r="E1829" t="s">
        <v>303</v>
      </c>
      <c r="F1829" s="3"/>
      <c r="G1829" s="3">
        <v>640</v>
      </c>
      <c r="H1829" s="3"/>
      <c r="I1829" s="3"/>
      <c r="J1829" s="3">
        <v>640</v>
      </c>
    </row>
    <row r="1830" spans="2:10" x14ac:dyDescent="0.25">
      <c r="B1830" t="s">
        <v>137</v>
      </c>
      <c r="C1830" t="s">
        <v>417</v>
      </c>
      <c r="D1830" t="s">
        <v>270</v>
      </c>
      <c r="E1830" t="s">
        <v>304</v>
      </c>
      <c r="F1830" s="3"/>
      <c r="G1830" s="3">
        <v>640</v>
      </c>
      <c r="H1830" s="3"/>
      <c r="I1830" s="3"/>
      <c r="J1830" s="3">
        <v>640</v>
      </c>
    </row>
    <row r="1831" spans="2:10" x14ac:dyDescent="0.25">
      <c r="B1831" t="s">
        <v>137</v>
      </c>
      <c r="C1831" t="s">
        <v>417</v>
      </c>
      <c r="D1831" t="s">
        <v>270</v>
      </c>
      <c r="E1831" t="s">
        <v>305</v>
      </c>
      <c r="F1831" s="3"/>
      <c r="G1831" s="3">
        <v>640</v>
      </c>
      <c r="H1831" s="3"/>
      <c r="I1831" s="3"/>
      <c r="J1831" s="3">
        <v>640</v>
      </c>
    </row>
    <row r="1832" spans="2:10" x14ac:dyDescent="0.25">
      <c r="B1832" t="s">
        <v>137</v>
      </c>
      <c r="C1832" t="s">
        <v>417</v>
      </c>
      <c r="D1832" t="s">
        <v>270</v>
      </c>
      <c r="E1832" t="s">
        <v>306</v>
      </c>
      <c r="F1832" s="3"/>
      <c r="G1832" s="3">
        <v>640</v>
      </c>
      <c r="H1832" s="3"/>
      <c r="I1832" s="3"/>
      <c r="J1832" s="3">
        <v>640</v>
      </c>
    </row>
    <row r="1833" spans="2:10" x14ac:dyDescent="0.25">
      <c r="B1833" t="s">
        <v>137</v>
      </c>
      <c r="C1833" t="s">
        <v>417</v>
      </c>
      <c r="D1833" t="s">
        <v>270</v>
      </c>
      <c r="E1833" t="s">
        <v>307</v>
      </c>
      <c r="F1833" s="3"/>
      <c r="G1833" s="3">
        <v>640</v>
      </c>
      <c r="H1833" s="3"/>
      <c r="I1833" s="3"/>
      <c r="J1833" s="3">
        <v>640</v>
      </c>
    </row>
    <row r="1834" spans="2:10" x14ac:dyDescent="0.25">
      <c r="B1834" t="s">
        <v>137</v>
      </c>
      <c r="C1834" t="s">
        <v>417</v>
      </c>
      <c r="D1834" t="s">
        <v>270</v>
      </c>
      <c r="E1834" t="s">
        <v>308</v>
      </c>
      <c r="F1834" s="3"/>
      <c r="G1834" s="3">
        <v>640</v>
      </c>
      <c r="H1834" s="3"/>
      <c r="I1834" s="3"/>
      <c r="J1834" s="3">
        <v>640</v>
      </c>
    </row>
    <row r="1835" spans="2:10" x14ac:dyDescent="0.25">
      <c r="B1835" t="s">
        <v>137</v>
      </c>
      <c r="C1835" t="s">
        <v>417</v>
      </c>
      <c r="D1835" t="s">
        <v>270</v>
      </c>
      <c r="E1835" t="s">
        <v>309</v>
      </c>
      <c r="F1835" s="3"/>
      <c r="G1835" s="3">
        <v>640</v>
      </c>
      <c r="H1835" s="3"/>
      <c r="I1835" s="3"/>
      <c r="J1835" s="3">
        <v>640</v>
      </c>
    </row>
    <row r="1836" spans="2:10" x14ac:dyDescent="0.25">
      <c r="B1836" t="s">
        <v>137</v>
      </c>
      <c r="C1836" t="s">
        <v>417</v>
      </c>
      <c r="D1836" t="s">
        <v>270</v>
      </c>
      <c r="E1836" t="s">
        <v>310</v>
      </c>
      <c r="F1836" s="3"/>
      <c r="G1836" s="3">
        <v>640</v>
      </c>
      <c r="H1836" s="3"/>
      <c r="I1836" s="3"/>
      <c r="J1836" s="3">
        <v>640</v>
      </c>
    </row>
    <row r="1837" spans="2:10" x14ac:dyDescent="0.25">
      <c r="B1837" t="s">
        <v>137</v>
      </c>
      <c r="C1837" t="s">
        <v>417</v>
      </c>
      <c r="D1837" t="s">
        <v>270</v>
      </c>
      <c r="E1837" t="s">
        <v>311</v>
      </c>
      <c r="F1837" s="3"/>
      <c r="G1837" s="3">
        <v>640</v>
      </c>
      <c r="H1837" s="3"/>
      <c r="I1837" s="3"/>
      <c r="J1837" s="3">
        <v>640</v>
      </c>
    </row>
    <row r="1838" spans="2:10" x14ac:dyDescent="0.25">
      <c r="B1838" t="s">
        <v>137</v>
      </c>
      <c r="C1838" t="s">
        <v>417</v>
      </c>
      <c r="D1838" t="s">
        <v>270</v>
      </c>
      <c r="E1838" t="s">
        <v>312</v>
      </c>
      <c r="F1838" s="3"/>
      <c r="G1838" s="3">
        <v>640</v>
      </c>
      <c r="H1838" s="3"/>
      <c r="I1838" s="3"/>
      <c r="J1838" s="3">
        <v>640</v>
      </c>
    </row>
    <row r="1839" spans="2:10" x14ac:dyDescent="0.25">
      <c r="B1839" t="s">
        <v>137</v>
      </c>
      <c r="C1839" t="s">
        <v>417</v>
      </c>
      <c r="D1839" t="s">
        <v>418</v>
      </c>
      <c r="E1839" t="s">
        <v>46</v>
      </c>
      <c r="F1839" s="3"/>
      <c r="G1839" s="3">
        <v>421.79999999999995</v>
      </c>
      <c r="H1839" s="3"/>
      <c r="I1839" s="3"/>
      <c r="J1839" s="3">
        <v>421.79999999999995</v>
      </c>
    </row>
    <row r="1840" spans="2:10" x14ac:dyDescent="0.25">
      <c r="B1840" t="s">
        <v>137</v>
      </c>
      <c r="C1840" t="s">
        <v>417</v>
      </c>
      <c r="D1840" t="s">
        <v>418</v>
      </c>
      <c r="E1840" t="s">
        <v>47</v>
      </c>
      <c r="F1840" s="3"/>
      <c r="G1840" s="3">
        <v>421.79999999999995</v>
      </c>
      <c r="H1840" s="3"/>
      <c r="I1840" s="3"/>
      <c r="J1840" s="3">
        <v>421.79999999999995</v>
      </c>
    </row>
    <row r="1841" spans="2:10" x14ac:dyDescent="0.25">
      <c r="B1841" t="s">
        <v>137</v>
      </c>
      <c r="C1841" t="s">
        <v>417</v>
      </c>
      <c r="D1841" t="s">
        <v>418</v>
      </c>
      <c r="E1841" t="s">
        <v>48</v>
      </c>
      <c r="F1841" s="3"/>
      <c r="G1841" s="3">
        <v>421.79999999999995</v>
      </c>
      <c r="H1841" s="3"/>
      <c r="I1841" s="3"/>
      <c r="J1841" s="3">
        <v>421.79999999999995</v>
      </c>
    </row>
    <row r="1842" spans="2:10" x14ac:dyDescent="0.25">
      <c r="B1842" t="s">
        <v>137</v>
      </c>
      <c r="C1842" t="s">
        <v>417</v>
      </c>
      <c r="D1842" t="s">
        <v>418</v>
      </c>
      <c r="E1842" t="s">
        <v>49</v>
      </c>
      <c r="F1842" s="3"/>
      <c r="G1842" s="3">
        <v>421.79999999999995</v>
      </c>
      <c r="H1842" s="3"/>
      <c r="I1842" s="3"/>
      <c r="J1842" s="3">
        <v>421.79999999999995</v>
      </c>
    </row>
    <row r="1843" spans="2:10" x14ac:dyDescent="0.25">
      <c r="B1843" t="s">
        <v>137</v>
      </c>
      <c r="C1843" t="s">
        <v>417</v>
      </c>
      <c r="D1843" t="s">
        <v>418</v>
      </c>
      <c r="E1843" t="s">
        <v>50</v>
      </c>
      <c r="F1843" s="3"/>
      <c r="G1843" s="3">
        <v>421.79999999999995</v>
      </c>
      <c r="H1843" s="3"/>
      <c r="I1843" s="3"/>
      <c r="J1843" s="3">
        <v>421.79999999999995</v>
      </c>
    </row>
    <row r="1844" spans="2:10" x14ac:dyDescent="0.25">
      <c r="B1844" t="s">
        <v>137</v>
      </c>
      <c r="C1844" t="s">
        <v>417</v>
      </c>
      <c r="D1844" t="s">
        <v>418</v>
      </c>
      <c r="E1844" t="s">
        <v>51</v>
      </c>
      <c r="F1844" s="3"/>
      <c r="G1844" s="3">
        <v>421.79999999999995</v>
      </c>
      <c r="H1844" s="3"/>
      <c r="I1844" s="3"/>
      <c r="J1844" s="3">
        <v>421.79999999999995</v>
      </c>
    </row>
    <row r="1845" spans="2:10" x14ac:dyDescent="0.25">
      <c r="B1845" t="s">
        <v>137</v>
      </c>
      <c r="C1845" t="s">
        <v>417</v>
      </c>
      <c r="D1845" t="s">
        <v>418</v>
      </c>
      <c r="E1845" t="s">
        <v>196</v>
      </c>
      <c r="F1845" s="3"/>
      <c r="G1845" s="3">
        <v>421.79999999999995</v>
      </c>
      <c r="H1845" s="3"/>
      <c r="I1845" s="3"/>
      <c r="J1845" s="3">
        <v>421.79999999999995</v>
      </c>
    </row>
    <row r="1846" spans="2:10" x14ac:dyDescent="0.25">
      <c r="B1846" t="s">
        <v>137</v>
      </c>
      <c r="C1846" t="s">
        <v>417</v>
      </c>
      <c r="D1846" t="s">
        <v>418</v>
      </c>
      <c r="E1846" t="s">
        <v>197</v>
      </c>
      <c r="F1846" s="3"/>
      <c r="G1846" s="3">
        <v>421.79999999999995</v>
      </c>
      <c r="H1846" s="3"/>
      <c r="I1846" s="3"/>
      <c r="J1846" s="3">
        <v>421.79999999999995</v>
      </c>
    </row>
    <row r="1847" spans="2:10" x14ac:dyDescent="0.25">
      <c r="B1847" t="s">
        <v>137</v>
      </c>
      <c r="C1847" t="s">
        <v>417</v>
      </c>
      <c r="D1847" t="s">
        <v>418</v>
      </c>
      <c r="E1847" t="s">
        <v>198</v>
      </c>
      <c r="F1847" s="3"/>
      <c r="G1847" s="3">
        <v>421.79999999999995</v>
      </c>
      <c r="H1847" s="3"/>
      <c r="I1847" s="3"/>
      <c r="J1847" s="3">
        <v>421.79999999999995</v>
      </c>
    </row>
    <row r="1848" spans="2:10" x14ac:dyDescent="0.25">
      <c r="B1848" t="s">
        <v>137</v>
      </c>
      <c r="C1848" t="s">
        <v>417</v>
      </c>
      <c r="D1848" t="s">
        <v>418</v>
      </c>
      <c r="E1848" t="s">
        <v>199</v>
      </c>
      <c r="F1848" s="3"/>
      <c r="G1848" s="3">
        <v>421.79999999999995</v>
      </c>
      <c r="H1848" s="3"/>
      <c r="I1848" s="3"/>
      <c r="J1848" s="3">
        <v>421.79999999999995</v>
      </c>
    </row>
    <row r="1849" spans="2:10" x14ac:dyDescent="0.25">
      <c r="B1849" t="s">
        <v>137</v>
      </c>
      <c r="C1849" t="s">
        <v>417</v>
      </c>
      <c r="D1849" t="s">
        <v>418</v>
      </c>
      <c r="E1849" t="s">
        <v>200</v>
      </c>
      <c r="F1849" s="3"/>
      <c r="G1849" s="3">
        <v>421.79999999999995</v>
      </c>
      <c r="H1849" s="3"/>
      <c r="I1849" s="3"/>
      <c r="J1849" s="3">
        <v>421.79999999999995</v>
      </c>
    </row>
    <row r="1850" spans="2:10" x14ac:dyDescent="0.25">
      <c r="B1850" t="s">
        <v>137</v>
      </c>
      <c r="C1850" t="s">
        <v>417</v>
      </c>
      <c r="D1850" t="s">
        <v>418</v>
      </c>
      <c r="E1850" t="s">
        <v>240</v>
      </c>
      <c r="F1850" s="3"/>
      <c r="G1850" s="3">
        <v>421.79999999999995</v>
      </c>
      <c r="H1850" s="3"/>
      <c r="I1850" s="3"/>
      <c r="J1850" s="3">
        <v>421.79999999999995</v>
      </c>
    </row>
    <row r="1851" spans="2:10" x14ac:dyDescent="0.25">
      <c r="B1851" t="s">
        <v>137</v>
      </c>
      <c r="C1851" t="s">
        <v>417</v>
      </c>
      <c r="D1851" t="s">
        <v>418</v>
      </c>
      <c r="E1851" t="s">
        <v>301</v>
      </c>
      <c r="F1851" s="3"/>
      <c r="G1851" s="3">
        <v>421.79999999999995</v>
      </c>
      <c r="H1851" s="3"/>
      <c r="I1851" s="3"/>
      <c r="J1851" s="3">
        <v>421.79999999999995</v>
      </c>
    </row>
    <row r="1852" spans="2:10" x14ac:dyDescent="0.25">
      <c r="B1852" t="s">
        <v>137</v>
      </c>
      <c r="C1852" t="s">
        <v>417</v>
      </c>
      <c r="D1852" t="s">
        <v>418</v>
      </c>
      <c r="E1852" t="s">
        <v>302</v>
      </c>
      <c r="F1852" s="3"/>
      <c r="G1852" s="3">
        <v>421.79999999999995</v>
      </c>
      <c r="H1852" s="3"/>
      <c r="I1852" s="3"/>
      <c r="J1852" s="3">
        <v>421.79999999999995</v>
      </c>
    </row>
    <row r="1853" spans="2:10" x14ac:dyDescent="0.25">
      <c r="B1853" t="s">
        <v>137</v>
      </c>
      <c r="C1853" t="s">
        <v>417</v>
      </c>
      <c r="D1853" t="s">
        <v>418</v>
      </c>
      <c r="E1853" t="s">
        <v>303</v>
      </c>
      <c r="F1853" s="3"/>
      <c r="G1853" s="3">
        <v>421.79999999999995</v>
      </c>
      <c r="H1853" s="3"/>
      <c r="I1853" s="3"/>
      <c r="J1853" s="3">
        <v>421.79999999999995</v>
      </c>
    </row>
    <row r="1854" spans="2:10" x14ac:dyDescent="0.25">
      <c r="B1854" t="s">
        <v>137</v>
      </c>
      <c r="C1854" t="s">
        <v>417</v>
      </c>
      <c r="D1854" t="s">
        <v>418</v>
      </c>
      <c r="E1854" t="s">
        <v>304</v>
      </c>
      <c r="F1854" s="3"/>
      <c r="G1854" s="3">
        <v>421.79999999999995</v>
      </c>
      <c r="H1854" s="3"/>
      <c r="I1854" s="3"/>
      <c r="J1854" s="3">
        <v>421.79999999999995</v>
      </c>
    </row>
    <row r="1855" spans="2:10" x14ac:dyDescent="0.25">
      <c r="B1855" t="s">
        <v>137</v>
      </c>
      <c r="C1855" t="s">
        <v>417</v>
      </c>
      <c r="D1855" t="s">
        <v>418</v>
      </c>
      <c r="E1855" t="s">
        <v>305</v>
      </c>
      <c r="F1855" s="3"/>
      <c r="G1855" s="3">
        <v>421.79999999999995</v>
      </c>
      <c r="H1855" s="3"/>
      <c r="I1855" s="3"/>
      <c r="J1855" s="3">
        <v>421.79999999999995</v>
      </c>
    </row>
    <row r="1856" spans="2:10" x14ac:dyDescent="0.25">
      <c r="B1856" t="s">
        <v>137</v>
      </c>
      <c r="C1856" t="s">
        <v>417</v>
      </c>
      <c r="D1856" t="s">
        <v>418</v>
      </c>
      <c r="E1856" t="s">
        <v>306</v>
      </c>
      <c r="F1856" s="3"/>
      <c r="G1856" s="3">
        <v>421.79999999999995</v>
      </c>
      <c r="H1856" s="3"/>
      <c r="I1856" s="3"/>
      <c r="J1856" s="3">
        <v>421.79999999999995</v>
      </c>
    </row>
    <row r="1857" spans="2:10" x14ac:dyDescent="0.25">
      <c r="B1857" t="s">
        <v>137</v>
      </c>
      <c r="C1857" t="s">
        <v>417</v>
      </c>
      <c r="D1857" t="s">
        <v>418</v>
      </c>
      <c r="E1857" t="s">
        <v>307</v>
      </c>
      <c r="F1857" s="3"/>
      <c r="G1857" s="3">
        <v>421.79999999999995</v>
      </c>
      <c r="H1857" s="3"/>
      <c r="I1857" s="3"/>
      <c r="J1857" s="3">
        <v>421.79999999999995</v>
      </c>
    </row>
    <row r="1858" spans="2:10" x14ac:dyDescent="0.25">
      <c r="B1858" t="s">
        <v>137</v>
      </c>
      <c r="C1858" t="s">
        <v>417</v>
      </c>
      <c r="D1858" t="s">
        <v>418</v>
      </c>
      <c r="E1858" t="s">
        <v>308</v>
      </c>
      <c r="F1858" s="3"/>
      <c r="G1858" s="3">
        <v>421.79999999999995</v>
      </c>
      <c r="H1858" s="3"/>
      <c r="I1858" s="3"/>
      <c r="J1858" s="3">
        <v>421.79999999999995</v>
      </c>
    </row>
    <row r="1859" spans="2:10" x14ac:dyDescent="0.25">
      <c r="B1859" t="s">
        <v>137</v>
      </c>
      <c r="C1859" t="s">
        <v>417</v>
      </c>
      <c r="D1859" t="s">
        <v>418</v>
      </c>
      <c r="E1859" t="s">
        <v>309</v>
      </c>
      <c r="F1859" s="3"/>
      <c r="G1859" s="3">
        <v>421.79999999999995</v>
      </c>
      <c r="H1859" s="3"/>
      <c r="I1859" s="3"/>
      <c r="J1859" s="3">
        <v>421.79999999999995</v>
      </c>
    </row>
    <row r="1860" spans="2:10" x14ac:dyDescent="0.25">
      <c r="B1860" t="s">
        <v>137</v>
      </c>
      <c r="C1860" t="s">
        <v>417</v>
      </c>
      <c r="D1860" t="s">
        <v>418</v>
      </c>
      <c r="E1860" t="s">
        <v>310</v>
      </c>
      <c r="F1860" s="3"/>
      <c r="G1860" s="3">
        <v>421.79999999999995</v>
      </c>
      <c r="H1860" s="3"/>
      <c r="I1860" s="3"/>
      <c r="J1860" s="3">
        <v>421.79999999999995</v>
      </c>
    </row>
    <row r="1861" spans="2:10" x14ac:dyDescent="0.25">
      <c r="B1861" t="s">
        <v>137</v>
      </c>
      <c r="C1861" t="s">
        <v>417</v>
      </c>
      <c r="D1861" t="s">
        <v>418</v>
      </c>
      <c r="E1861" t="s">
        <v>311</v>
      </c>
      <c r="F1861" s="3"/>
      <c r="G1861" s="3">
        <v>421.79999999999995</v>
      </c>
      <c r="H1861" s="3"/>
      <c r="I1861" s="3"/>
      <c r="J1861" s="3">
        <v>421.79999999999995</v>
      </c>
    </row>
    <row r="1862" spans="2:10" x14ac:dyDescent="0.25">
      <c r="B1862" t="s">
        <v>137</v>
      </c>
      <c r="C1862" t="s">
        <v>417</v>
      </c>
      <c r="D1862" t="s">
        <v>418</v>
      </c>
      <c r="E1862" t="s">
        <v>312</v>
      </c>
      <c r="F1862" s="3"/>
      <c r="G1862" s="3">
        <v>421.79999999999995</v>
      </c>
      <c r="H1862" s="3"/>
      <c r="I1862" s="3"/>
      <c r="J1862" s="3">
        <v>421.79999999999995</v>
      </c>
    </row>
    <row r="1863" spans="2:10" x14ac:dyDescent="0.25">
      <c r="B1863" t="s">
        <v>137</v>
      </c>
      <c r="C1863" t="s">
        <v>417</v>
      </c>
      <c r="D1863" t="s">
        <v>419</v>
      </c>
      <c r="E1863" t="s">
        <v>46</v>
      </c>
      <c r="F1863" s="3"/>
      <c r="G1863" s="3">
        <v>89.75</v>
      </c>
      <c r="H1863" s="3"/>
      <c r="I1863" s="3"/>
      <c r="J1863" s="3">
        <v>89.75</v>
      </c>
    </row>
    <row r="1864" spans="2:10" x14ac:dyDescent="0.25">
      <c r="B1864" t="s">
        <v>137</v>
      </c>
      <c r="C1864" t="s">
        <v>417</v>
      </c>
      <c r="D1864" t="s">
        <v>419</v>
      </c>
      <c r="E1864" t="s">
        <v>47</v>
      </c>
      <c r="F1864" s="3"/>
      <c r="G1864" s="3">
        <v>89.75</v>
      </c>
      <c r="H1864" s="3"/>
      <c r="I1864" s="3"/>
      <c r="J1864" s="3">
        <v>89.75</v>
      </c>
    </row>
    <row r="1865" spans="2:10" x14ac:dyDescent="0.25">
      <c r="B1865" t="s">
        <v>137</v>
      </c>
      <c r="C1865" t="s">
        <v>417</v>
      </c>
      <c r="D1865" t="s">
        <v>419</v>
      </c>
      <c r="E1865" t="s">
        <v>48</v>
      </c>
      <c r="F1865" s="3"/>
      <c r="G1865" s="3">
        <v>89.75</v>
      </c>
      <c r="H1865" s="3"/>
      <c r="I1865" s="3"/>
      <c r="J1865" s="3">
        <v>89.75</v>
      </c>
    </row>
    <row r="1866" spans="2:10" x14ac:dyDescent="0.25">
      <c r="B1866" t="s">
        <v>137</v>
      </c>
      <c r="C1866" t="s">
        <v>417</v>
      </c>
      <c r="D1866" t="s">
        <v>419</v>
      </c>
      <c r="E1866" t="s">
        <v>49</v>
      </c>
      <c r="F1866" s="3"/>
      <c r="G1866" s="3">
        <v>89.75</v>
      </c>
      <c r="H1866" s="3"/>
      <c r="I1866" s="3"/>
      <c r="J1866" s="3">
        <v>89.75</v>
      </c>
    </row>
    <row r="1867" spans="2:10" x14ac:dyDescent="0.25">
      <c r="B1867" t="s">
        <v>137</v>
      </c>
      <c r="C1867" t="s">
        <v>417</v>
      </c>
      <c r="D1867" t="s">
        <v>419</v>
      </c>
      <c r="E1867" t="s">
        <v>50</v>
      </c>
      <c r="F1867" s="3"/>
      <c r="G1867" s="3">
        <v>89.75</v>
      </c>
      <c r="H1867" s="3"/>
      <c r="I1867" s="3"/>
      <c r="J1867" s="3">
        <v>89.75</v>
      </c>
    </row>
    <row r="1868" spans="2:10" x14ac:dyDescent="0.25">
      <c r="B1868" t="s">
        <v>137</v>
      </c>
      <c r="C1868" t="s">
        <v>417</v>
      </c>
      <c r="D1868" t="s">
        <v>419</v>
      </c>
      <c r="E1868" t="s">
        <v>51</v>
      </c>
      <c r="F1868" s="3"/>
      <c r="G1868" s="3">
        <v>89.75</v>
      </c>
      <c r="H1868" s="3"/>
      <c r="I1868" s="3"/>
      <c r="J1868" s="3">
        <v>89.75</v>
      </c>
    </row>
    <row r="1869" spans="2:10" x14ac:dyDescent="0.25">
      <c r="B1869" t="s">
        <v>137</v>
      </c>
      <c r="C1869" t="s">
        <v>417</v>
      </c>
      <c r="D1869" t="s">
        <v>419</v>
      </c>
      <c r="E1869" t="s">
        <v>196</v>
      </c>
      <c r="F1869" s="3"/>
      <c r="G1869" s="3">
        <v>89.75</v>
      </c>
      <c r="H1869" s="3"/>
      <c r="I1869" s="3"/>
      <c r="J1869" s="3">
        <v>89.75</v>
      </c>
    </row>
    <row r="1870" spans="2:10" x14ac:dyDescent="0.25">
      <c r="B1870" t="s">
        <v>137</v>
      </c>
      <c r="C1870" t="s">
        <v>417</v>
      </c>
      <c r="D1870" t="s">
        <v>419</v>
      </c>
      <c r="E1870" t="s">
        <v>197</v>
      </c>
      <c r="F1870" s="3"/>
      <c r="G1870" s="3">
        <v>89.75</v>
      </c>
      <c r="H1870" s="3"/>
      <c r="I1870" s="3"/>
      <c r="J1870" s="3">
        <v>89.75</v>
      </c>
    </row>
    <row r="1871" spans="2:10" x14ac:dyDescent="0.25">
      <c r="B1871" t="s">
        <v>137</v>
      </c>
      <c r="C1871" t="s">
        <v>417</v>
      </c>
      <c r="D1871" t="s">
        <v>419</v>
      </c>
      <c r="E1871" t="s">
        <v>198</v>
      </c>
      <c r="F1871" s="3"/>
      <c r="G1871" s="3">
        <v>89.75</v>
      </c>
      <c r="H1871" s="3"/>
      <c r="I1871" s="3"/>
      <c r="J1871" s="3">
        <v>89.75</v>
      </c>
    </row>
    <row r="1872" spans="2:10" x14ac:dyDescent="0.25">
      <c r="B1872" t="s">
        <v>137</v>
      </c>
      <c r="C1872" t="s">
        <v>417</v>
      </c>
      <c r="D1872" t="s">
        <v>419</v>
      </c>
      <c r="E1872" t="s">
        <v>199</v>
      </c>
      <c r="F1872" s="3"/>
      <c r="G1872" s="3">
        <v>89.75</v>
      </c>
      <c r="H1872" s="3"/>
      <c r="I1872" s="3"/>
      <c r="J1872" s="3">
        <v>89.75</v>
      </c>
    </row>
    <row r="1873" spans="2:10" x14ac:dyDescent="0.25">
      <c r="B1873" t="s">
        <v>137</v>
      </c>
      <c r="C1873" t="s">
        <v>417</v>
      </c>
      <c r="D1873" t="s">
        <v>419</v>
      </c>
      <c r="E1873" t="s">
        <v>200</v>
      </c>
      <c r="F1873" s="3"/>
      <c r="G1873" s="3">
        <v>89.75</v>
      </c>
      <c r="H1873" s="3"/>
      <c r="I1873" s="3"/>
      <c r="J1873" s="3">
        <v>89.75</v>
      </c>
    </row>
    <row r="1874" spans="2:10" x14ac:dyDescent="0.25">
      <c r="B1874" t="s">
        <v>137</v>
      </c>
      <c r="C1874" t="s">
        <v>417</v>
      </c>
      <c r="D1874" t="s">
        <v>419</v>
      </c>
      <c r="E1874" t="s">
        <v>240</v>
      </c>
      <c r="F1874" s="3"/>
      <c r="G1874" s="3">
        <v>89.75</v>
      </c>
      <c r="H1874" s="3"/>
      <c r="I1874" s="3"/>
      <c r="J1874" s="3">
        <v>89.75</v>
      </c>
    </row>
    <row r="1875" spans="2:10" x14ac:dyDescent="0.25">
      <c r="B1875" t="s">
        <v>137</v>
      </c>
      <c r="C1875" t="s">
        <v>417</v>
      </c>
      <c r="D1875" t="s">
        <v>419</v>
      </c>
      <c r="E1875" t="s">
        <v>301</v>
      </c>
      <c r="F1875" s="3"/>
      <c r="G1875" s="3">
        <v>89.75</v>
      </c>
      <c r="H1875" s="3"/>
      <c r="I1875" s="3"/>
      <c r="J1875" s="3">
        <v>89.75</v>
      </c>
    </row>
    <row r="1876" spans="2:10" x14ac:dyDescent="0.25">
      <c r="B1876" t="s">
        <v>137</v>
      </c>
      <c r="C1876" t="s">
        <v>417</v>
      </c>
      <c r="D1876" t="s">
        <v>419</v>
      </c>
      <c r="E1876" t="s">
        <v>302</v>
      </c>
      <c r="F1876" s="3"/>
      <c r="G1876" s="3">
        <v>89.75</v>
      </c>
      <c r="H1876" s="3"/>
      <c r="I1876" s="3"/>
      <c r="J1876" s="3">
        <v>89.75</v>
      </c>
    </row>
    <row r="1877" spans="2:10" x14ac:dyDescent="0.25">
      <c r="B1877" t="s">
        <v>137</v>
      </c>
      <c r="C1877" t="s">
        <v>417</v>
      </c>
      <c r="D1877" t="s">
        <v>419</v>
      </c>
      <c r="E1877" t="s">
        <v>303</v>
      </c>
      <c r="F1877" s="3"/>
      <c r="G1877" s="3">
        <v>89.75</v>
      </c>
      <c r="H1877" s="3"/>
      <c r="I1877" s="3"/>
      <c r="J1877" s="3">
        <v>89.75</v>
      </c>
    </row>
    <row r="1878" spans="2:10" x14ac:dyDescent="0.25">
      <c r="B1878" t="s">
        <v>137</v>
      </c>
      <c r="C1878" t="s">
        <v>417</v>
      </c>
      <c r="D1878" t="s">
        <v>419</v>
      </c>
      <c r="E1878" t="s">
        <v>304</v>
      </c>
      <c r="F1878" s="3"/>
      <c r="G1878" s="3">
        <v>89.75</v>
      </c>
      <c r="H1878" s="3"/>
      <c r="I1878" s="3"/>
      <c r="J1878" s="3">
        <v>89.75</v>
      </c>
    </row>
    <row r="1879" spans="2:10" x14ac:dyDescent="0.25">
      <c r="B1879" t="s">
        <v>137</v>
      </c>
      <c r="C1879" t="s">
        <v>417</v>
      </c>
      <c r="D1879" t="s">
        <v>419</v>
      </c>
      <c r="E1879" t="s">
        <v>305</v>
      </c>
      <c r="F1879" s="3"/>
      <c r="G1879" s="3">
        <v>89.75</v>
      </c>
      <c r="H1879" s="3"/>
      <c r="I1879" s="3"/>
      <c r="J1879" s="3">
        <v>89.75</v>
      </c>
    </row>
    <row r="1880" spans="2:10" x14ac:dyDescent="0.25">
      <c r="B1880" t="s">
        <v>137</v>
      </c>
      <c r="C1880" t="s">
        <v>417</v>
      </c>
      <c r="D1880" t="s">
        <v>419</v>
      </c>
      <c r="E1880" t="s">
        <v>306</v>
      </c>
      <c r="F1880" s="3"/>
      <c r="G1880" s="3">
        <v>89.75</v>
      </c>
      <c r="H1880" s="3"/>
      <c r="I1880" s="3"/>
      <c r="J1880" s="3">
        <v>89.75</v>
      </c>
    </row>
    <row r="1881" spans="2:10" x14ac:dyDescent="0.25">
      <c r="B1881" t="s">
        <v>137</v>
      </c>
      <c r="C1881" t="s">
        <v>417</v>
      </c>
      <c r="D1881" t="s">
        <v>419</v>
      </c>
      <c r="E1881" t="s">
        <v>307</v>
      </c>
      <c r="F1881" s="3"/>
      <c r="G1881" s="3">
        <v>89.75</v>
      </c>
      <c r="H1881" s="3"/>
      <c r="I1881" s="3"/>
      <c r="J1881" s="3">
        <v>89.75</v>
      </c>
    </row>
    <row r="1882" spans="2:10" x14ac:dyDescent="0.25">
      <c r="B1882" t="s">
        <v>137</v>
      </c>
      <c r="C1882" t="s">
        <v>417</v>
      </c>
      <c r="D1882" t="s">
        <v>419</v>
      </c>
      <c r="E1882" t="s">
        <v>308</v>
      </c>
      <c r="F1882" s="3"/>
      <c r="G1882" s="3">
        <v>89.75</v>
      </c>
      <c r="H1882" s="3"/>
      <c r="I1882" s="3"/>
      <c r="J1882" s="3">
        <v>89.75</v>
      </c>
    </row>
    <row r="1883" spans="2:10" x14ac:dyDescent="0.25">
      <c r="B1883" t="s">
        <v>137</v>
      </c>
      <c r="C1883" t="s">
        <v>417</v>
      </c>
      <c r="D1883" t="s">
        <v>419</v>
      </c>
      <c r="E1883" t="s">
        <v>309</v>
      </c>
      <c r="F1883" s="3"/>
      <c r="G1883" s="3">
        <v>89.75</v>
      </c>
      <c r="H1883" s="3"/>
      <c r="I1883" s="3"/>
      <c r="J1883" s="3">
        <v>89.75</v>
      </c>
    </row>
    <row r="1884" spans="2:10" x14ac:dyDescent="0.25">
      <c r="B1884" t="s">
        <v>137</v>
      </c>
      <c r="C1884" t="s">
        <v>417</v>
      </c>
      <c r="D1884" t="s">
        <v>419</v>
      </c>
      <c r="E1884" t="s">
        <v>310</v>
      </c>
      <c r="F1884" s="3"/>
      <c r="G1884" s="3">
        <v>89.75</v>
      </c>
      <c r="H1884" s="3"/>
      <c r="I1884" s="3"/>
      <c r="J1884" s="3">
        <v>89.75</v>
      </c>
    </row>
    <row r="1885" spans="2:10" x14ac:dyDescent="0.25">
      <c r="B1885" t="s">
        <v>137</v>
      </c>
      <c r="C1885" t="s">
        <v>417</v>
      </c>
      <c r="D1885" t="s">
        <v>419</v>
      </c>
      <c r="E1885" t="s">
        <v>311</v>
      </c>
      <c r="F1885" s="3"/>
      <c r="G1885" s="3">
        <v>89.75</v>
      </c>
      <c r="H1885" s="3"/>
      <c r="I1885" s="3"/>
      <c r="J1885" s="3">
        <v>89.75</v>
      </c>
    </row>
    <row r="1886" spans="2:10" x14ac:dyDescent="0.25">
      <c r="B1886" t="s">
        <v>137</v>
      </c>
      <c r="C1886" t="s">
        <v>417</v>
      </c>
      <c r="D1886" t="s">
        <v>419</v>
      </c>
      <c r="E1886" t="s">
        <v>312</v>
      </c>
      <c r="F1886" s="3"/>
      <c r="G1886" s="3">
        <v>89.75</v>
      </c>
      <c r="H1886" s="3"/>
      <c r="I1886" s="3"/>
      <c r="J1886" s="3">
        <v>89.75</v>
      </c>
    </row>
    <row r="1887" spans="2:10" x14ac:dyDescent="0.25">
      <c r="B1887" t="s">
        <v>137</v>
      </c>
      <c r="C1887" t="s">
        <v>417</v>
      </c>
      <c r="D1887" t="s">
        <v>263</v>
      </c>
      <c r="E1887" t="s">
        <v>306</v>
      </c>
      <c r="F1887" s="3"/>
      <c r="G1887" s="3">
        <v>820.53813758375702</v>
      </c>
      <c r="H1887" s="3"/>
      <c r="I1887" s="3"/>
      <c r="J1887" s="3">
        <v>820.53813758375702</v>
      </c>
    </row>
    <row r="1888" spans="2:10" x14ac:dyDescent="0.25">
      <c r="B1888" t="s">
        <v>137</v>
      </c>
      <c r="C1888" t="s">
        <v>417</v>
      </c>
      <c r="D1888" t="s">
        <v>263</v>
      </c>
      <c r="E1888" t="s">
        <v>308</v>
      </c>
      <c r="F1888" s="3"/>
      <c r="G1888" s="3">
        <v>1600</v>
      </c>
      <c r="H1888" s="3"/>
      <c r="I1888" s="3"/>
      <c r="J1888" s="3">
        <v>1600</v>
      </c>
    </row>
    <row r="1889" spans="2:10" x14ac:dyDescent="0.25">
      <c r="B1889" t="s">
        <v>137</v>
      </c>
      <c r="C1889" t="s">
        <v>417</v>
      </c>
      <c r="D1889" t="s">
        <v>263</v>
      </c>
      <c r="E1889" t="s">
        <v>309</v>
      </c>
      <c r="F1889" s="3"/>
      <c r="G1889" s="3">
        <v>1600</v>
      </c>
      <c r="H1889" s="3"/>
      <c r="I1889" s="3"/>
      <c r="J1889" s="3">
        <v>1600</v>
      </c>
    </row>
    <row r="1890" spans="2:10" x14ac:dyDescent="0.25">
      <c r="B1890" t="s">
        <v>137</v>
      </c>
      <c r="C1890" t="s">
        <v>417</v>
      </c>
      <c r="D1890" t="s">
        <v>263</v>
      </c>
      <c r="E1890" t="s">
        <v>310</v>
      </c>
      <c r="F1890" s="3"/>
      <c r="G1890" s="3">
        <v>790.60568527998896</v>
      </c>
      <c r="H1890" s="3"/>
      <c r="I1890" s="3"/>
      <c r="J1890" s="3">
        <v>790.60568527998896</v>
      </c>
    </row>
    <row r="1891" spans="2:10" x14ac:dyDescent="0.25">
      <c r="B1891" t="s">
        <v>137</v>
      </c>
      <c r="C1891" t="s">
        <v>417</v>
      </c>
      <c r="D1891" t="s">
        <v>420</v>
      </c>
      <c r="E1891" t="s">
        <v>46</v>
      </c>
      <c r="F1891" s="3"/>
      <c r="G1891" s="3">
        <v>10800</v>
      </c>
      <c r="H1891" s="3"/>
      <c r="I1891" s="3"/>
      <c r="J1891" s="3">
        <v>10800</v>
      </c>
    </row>
    <row r="1892" spans="2:10" x14ac:dyDescent="0.25">
      <c r="B1892" t="s">
        <v>137</v>
      </c>
      <c r="C1892" t="s">
        <v>417</v>
      </c>
      <c r="D1892" t="s">
        <v>420</v>
      </c>
      <c r="E1892" t="s">
        <v>47</v>
      </c>
      <c r="F1892" s="3"/>
      <c r="G1892" s="3">
        <v>10800</v>
      </c>
      <c r="H1892" s="3"/>
      <c r="I1892" s="3"/>
      <c r="J1892" s="3">
        <v>10800</v>
      </c>
    </row>
    <row r="1893" spans="2:10" x14ac:dyDescent="0.25">
      <c r="B1893" t="s">
        <v>137</v>
      </c>
      <c r="C1893" t="s">
        <v>417</v>
      </c>
      <c r="D1893" t="s">
        <v>420</v>
      </c>
      <c r="E1893" t="s">
        <v>48</v>
      </c>
      <c r="F1893" s="3"/>
      <c r="G1893" s="3">
        <v>10800</v>
      </c>
      <c r="H1893" s="3"/>
      <c r="I1893" s="3"/>
      <c r="J1893" s="3">
        <v>10800</v>
      </c>
    </row>
    <row r="1894" spans="2:10" x14ac:dyDescent="0.25">
      <c r="B1894" t="s">
        <v>137</v>
      </c>
      <c r="C1894" t="s">
        <v>417</v>
      </c>
      <c r="D1894" t="s">
        <v>420</v>
      </c>
      <c r="E1894" t="s">
        <v>49</v>
      </c>
      <c r="F1894" s="3"/>
      <c r="G1894" s="3">
        <v>10800</v>
      </c>
      <c r="H1894" s="3"/>
      <c r="I1894" s="3"/>
      <c r="J1894" s="3">
        <v>10800</v>
      </c>
    </row>
    <row r="1895" spans="2:10" x14ac:dyDescent="0.25">
      <c r="B1895" t="s">
        <v>137</v>
      </c>
      <c r="C1895" t="s">
        <v>417</v>
      </c>
      <c r="D1895" t="s">
        <v>420</v>
      </c>
      <c r="E1895" t="s">
        <v>50</v>
      </c>
      <c r="F1895" s="3"/>
      <c r="G1895" s="3">
        <v>10800</v>
      </c>
      <c r="H1895" s="3"/>
      <c r="I1895" s="3"/>
      <c r="J1895" s="3">
        <v>10800</v>
      </c>
    </row>
    <row r="1896" spans="2:10" x14ac:dyDescent="0.25">
      <c r="B1896" t="s">
        <v>137</v>
      </c>
      <c r="C1896" t="s">
        <v>417</v>
      </c>
      <c r="D1896" t="s">
        <v>420</v>
      </c>
      <c r="E1896" t="s">
        <v>51</v>
      </c>
      <c r="F1896" s="3"/>
      <c r="G1896" s="3">
        <v>10800</v>
      </c>
      <c r="H1896" s="3"/>
      <c r="I1896" s="3"/>
      <c r="J1896" s="3">
        <v>10800</v>
      </c>
    </row>
    <row r="1897" spans="2:10" x14ac:dyDescent="0.25">
      <c r="B1897" t="s">
        <v>137</v>
      </c>
      <c r="C1897" t="s">
        <v>417</v>
      </c>
      <c r="D1897" t="s">
        <v>420</v>
      </c>
      <c r="E1897" t="s">
        <v>196</v>
      </c>
      <c r="F1897" s="3"/>
      <c r="G1897" s="3">
        <v>10800</v>
      </c>
      <c r="H1897" s="3"/>
      <c r="I1897" s="3"/>
      <c r="J1897" s="3">
        <v>10800</v>
      </c>
    </row>
    <row r="1898" spans="2:10" x14ac:dyDescent="0.25">
      <c r="B1898" t="s">
        <v>137</v>
      </c>
      <c r="C1898" t="s">
        <v>417</v>
      </c>
      <c r="D1898" t="s">
        <v>420</v>
      </c>
      <c r="E1898" t="s">
        <v>197</v>
      </c>
      <c r="F1898" s="3"/>
      <c r="G1898" s="3">
        <v>10800</v>
      </c>
      <c r="H1898" s="3"/>
      <c r="I1898" s="3"/>
      <c r="J1898" s="3">
        <v>10800</v>
      </c>
    </row>
    <row r="1899" spans="2:10" x14ac:dyDescent="0.25">
      <c r="B1899" t="s">
        <v>137</v>
      </c>
      <c r="C1899" t="s">
        <v>417</v>
      </c>
      <c r="D1899" t="s">
        <v>420</v>
      </c>
      <c r="E1899" t="s">
        <v>198</v>
      </c>
      <c r="F1899" s="3"/>
      <c r="G1899" s="3">
        <v>10800</v>
      </c>
      <c r="H1899" s="3"/>
      <c r="I1899" s="3"/>
      <c r="J1899" s="3">
        <v>10800</v>
      </c>
    </row>
    <row r="1900" spans="2:10" x14ac:dyDescent="0.25">
      <c r="B1900" t="s">
        <v>137</v>
      </c>
      <c r="C1900" t="s">
        <v>417</v>
      </c>
      <c r="D1900" t="s">
        <v>420</v>
      </c>
      <c r="E1900" t="s">
        <v>199</v>
      </c>
      <c r="F1900" s="3"/>
      <c r="G1900" s="3">
        <v>10800</v>
      </c>
      <c r="H1900" s="3"/>
      <c r="I1900" s="3"/>
      <c r="J1900" s="3">
        <v>10800</v>
      </c>
    </row>
    <row r="1901" spans="2:10" x14ac:dyDescent="0.25">
      <c r="B1901" t="s">
        <v>137</v>
      </c>
      <c r="C1901" t="s">
        <v>417</v>
      </c>
      <c r="D1901" t="s">
        <v>420</v>
      </c>
      <c r="E1901" t="s">
        <v>200</v>
      </c>
      <c r="F1901" s="3"/>
      <c r="G1901" s="3">
        <v>10800</v>
      </c>
      <c r="H1901" s="3"/>
      <c r="I1901" s="3"/>
      <c r="J1901" s="3">
        <v>10800</v>
      </c>
    </row>
    <row r="1902" spans="2:10" x14ac:dyDescent="0.25">
      <c r="B1902" t="s">
        <v>137</v>
      </c>
      <c r="C1902" t="s">
        <v>417</v>
      </c>
      <c r="D1902" t="s">
        <v>420</v>
      </c>
      <c r="E1902" t="s">
        <v>240</v>
      </c>
      <c r="F1902" s="3"/>
      <c r="G1902" s="3">
        <v>10800</v>
      </c>
      <c r="H1902" s="3"/>
      <c r="I1902" s="3"/>
      <c r="J1902" s="3">
        <v>10800</v>
      </c>
    </row>
    <row r="1903" spans="2:10" x14ac:dyDescent="0.25">
      <c r="B1903" t="s">
        <v>137</v>
      </c>
      <c r="C1903" t="s">
        <v>417</v>
      </c>
      <c r="D1903" t="s">
        <v>420</v>
      </c>
      <c r="E1903" t="s">
        <v>301</v>
      </c>
      <c r="F1903" s="3"/>
      <c r="G1903" s="3">
        <v>10800</v>
      </c>
      <c r="H1903" s="3"/>
      <c r="I1903" s="3"/>
      <c r="J1903" s="3">
        <v>10800</v>
      </c>
    </row>
    <row r="1904" spans="2:10" x14ac:dyDescent="0.25">
      <c r="B1904" t="s">
        <v>137</v>
      </c>
      <c r="C1904" t="s">
        <v>417</v>
      </c>
      <c r="D1904" t="s">
        <v>420</v>
      </c>
      <c r="E1904" t="s">
        <v>302</v>
      </c>
      <c r="F1904" s="3"/>
      <c r="G1904" s="3">
        <v>10800</v>
      </c>
      <c r="H1904" s="3"/>
      <c r="I1904" s="3"/>
      <c r="J1904" s="3">
        <v>10800</v>
      </c>
    </row>
    <row r="1905" spans="2:10" x14ac:dyDescent="0.25">
      <c r="B1905" t="s">
        <v>137</v>
      </c>
      <c r="C1905" t="s">
        <v>417</v>
      </c>
      <c r="D1905" t="s">
        <v>420</v>
      </c>
      <c r="E1905" t="s">
        <v>303</v>
      </c>
      <c r="F1905" s="3"/>
      <c r="G1905" s="3">
        <v>10800</v>
      </c>
      <c r="H1905" s="3"/>
      <c r="I1905" s="3"/>
      <c r="J1905" s="3">
        <v>10800</v>
      </c>
    </row>
    <row r="1906" spans="2:10" x14ac:dyDescent="0.25">
      <c r="B1906" t="s">
        <v>137</v>
      </c>
      <c r="C1906" t="s">
        <v>417</v>
      </c>
      <c r="D1906" t="s">
        <v>420</v>
      </c>
      <c r="E1906" t="s">
        <v>304</v>
      </c>
      <c r="F1906" s="3"/>
      <c r="G1906" s="3">
        <v>10800</v>
      </c>
      <c r="H1906" s="3"/>
      <c r="I1906" s="3"/>
      <c r="J1906" s="3">
        <v>10800</v>
      </c>
    </row>
    <row r="1907" spans="2:10" x14ac:dyDescent="0.25">
      <c r="B1907" t="s">
        <v>137</v>
      </c>
      <c r="C1907" t="s">
        <v>417</v>
      </c>
      <c r="D1907" t="s">
        <v>420</v>
      </c>
      <c r="E1907" t="s">
        <v>305</v>
      </c>
      <c r="F1907" s="3"/>
      <c r="G1907" s="3">
        <v>10800</v>
      </c>
      <c r="H1907" s="3"/>
      <c r="I1907" s="3"/>
      <c r="J1907" s="3">
        <v>10800</v>
      </c>
    </row>
    <row r="1908" spans="2:10" x14ac:dyDescent="0.25">
      <c r="B1908" t="s">
        <v>137</v>
      </c>
      <c r="C1908" t="s">
        <v>417</v>
      </c>
      <c r="D1908" t="s">
        <v>420</v>
      </c>
      <c r="E1908" t="s">
        <v>306</v>
      </c>
      <c r="F1908" s="3"/>
      <c r="G1908" s="3">
        <v>10800</v>
      </c>
      <c r="H1908" s="3"/>
      <c r="I1908" s="3"/>
      <c r="J1908" s="3">
        <v>10800</v>
      </c>
    </row>
    <row r="1909" spans="2:10" x14ac:dyDescent="0.25">
      <c r="B1909" t="s">
        <v>137</v>
      </c>
      <c r="C1909" t="s">
        <v>417</v>
      </c>
      <c r="D1909" t="s">
        <v>420</v>
      </c>
      <c r="E1909" t="s">
        <v>307</v>
      </c>
      <c r="F1909" s="3"/>
      <c r="G1909" s="3">
        <v>10800</v>
      </c>
      <c r="H1909" s="3"/>
      <c r="I1909" s="3"/>
      <c r="J1909" s="3">
        <v>10800</v>
      </c>
    </row>
    <row r="1910" spans="2:10" x14ac:dyDescent="0.25">
      <c r="B1910" t="s">
        <v>137</v>
      </c>
      <c r="C1910" t="s">
        <v>417</v>
      </c>
      <c r="D1910" t="s">
        <v>420</v>
      </c>
      <c r="E1910" t="s">
        <v>308</v>
      </c>
      <c r="F1910" s="3"/>
      <c r="G1910" s="3">
        <v>10800</v>
      </c>
      <c r="H1910" s="3"/>
      <c r="I1910" s="3"/>
      <c r="J1910" s="3">
        <v>10800</v>
      </c>
    </row>
    <row r="1911" spans="2:10" x14ac:dyDescent="0.25">
      <c r="B1911" t="s">
        <v>137</v>
      </c>
      <c r="C1911" t="s">
        <v>417</v>
      </c>
      <c r="D1911" t="s">
        <v>420</v>
      </c>
      <c r="E1911" t="s">
        <v>309</v>
      </c>
      <c r="F1911" s="3"/>
      <c r="G1911" s="3">
        <v>10800</v>
      </c>
      <c r="H1911" s="3"/>
      <c r="I1911" s="3"/>
      <c r="J1911" s="3">
        <v>10800</v>
      </c>
    </row>
    <row r="1912" spans="2:10" x14ac:dyDescent="0.25">
      <c r="B1912" t="s">
        <v>137</v>
      </c>
      <c r="C1912" t="s">
        <v>417</v>
      </c>
      <c r="D1912" t="s">
        <v>420</v>
      </c>
      <c r="E1912" t="s">
        <v>310</v>
      </c>
      <c r="F1912" s="3"/>
      <c r="G1912" s="3">
        <v>10800</v>
      </c>
      <c r="H1912" s="3"/>
      <c r="I1912" s="3"/>
      <c r="J1912" s="3">
        <v>10800</v>
      </c>
    </row>
    <row r="1913" spans="2:10" x14ac:dyDescent="0.25">
      <c r="B1913" t="s">
        <v>137</v>
      </c>
      <c r="C1913" t="s">
        <v>417</v>
      </c>
      <c r="D1913" t="s">
        <v>420</v>
      </c>
      <c r="E1913" t="s">
        <v>311</v>
      </c>
      <c r="F1913" s="3"/>
      <c r="G1913" s="3">
        <v>10800</v>
      </c>
      <c r="H1913" s="3"/>
      <c r="I1913" s="3"/>
      <c r="J1913" s="3">
        <v>10800</v>
      </c>
    </row>
    <row r="1914" spans="2:10" x14ac:dyDescent="0.25">
      <c r="B1914" t="s">
        <v>137</v>
      </c>
      <c r="C1914" t="s">
        <v>417</v>
      </c>
      <c r="D1914" t="s">
        <v>420</v>
      </c>
      <c r="E1914" t="s">
        <v>312</v>
      </c>
      <c r="F1914" s="3"/>
      <c r="G1914" s="3">
        <v>10800</v>
      </c>
      <c r="H1914" s="3"/>
      <c r="I1914" s="3"/>
      <c r="J1914" s="3">
        <v>10800</v>
      </c>
    </row>
    <row r="1915" spans="2:10" x14ac:dyDescent="0.25">
      <c r="B1915" t="s">
        <v>137</v>
      </c>
      <c r="C1915" t="s">
        <v>417</v>
      </c>
      <c r="D1915" t="s">
        <v>261</v>
      </c>
      <c r="E1915" t="s">
        <v>46</v>
      </c>
      <c r="F1915" s="3"/>
      <c r="G1915" s="3">
        <v>527</v>
      </c>
      <c r="H1915" s="3"/>
      <c r="I1915" s="3"/>
      <c r="J1915" s="3">
        <v>527</v>
      </c>
    </row>
    <row r="1916" spans="2:10" x14ac:dyDescent="0.25">
      <c r="B1916" t="s">
        <v>137</v>
      </c>
      <c r="C1916" t="s">
        <v>417</v>
      </c>
      <c r="D1916" t="s">
        <v>261</v>
      </c>
      <c r="E1916" t="s">
        <v>47</v>
      </c>
      <c r="F1916" s="3"/>
      <c r="G1916" s="3">
        <v>527</v>
      </c>
      <c r="H1916" s="3"/>
      <c r="I1916" s="3"/>
      <c r="J1916" s="3">
        <v>527</v>
      </c>
    </row>
    <row r="1917" spans="2:10" x14ac:dyDescent="0.25">
      <c r="B1917" t="s">
        <v>137</v>
      </c>
      <c r="C1917" t="s">
        <v>417</v>
      </c>
      <c r="D1917" t="s">
        <v>261</v>
      </c>
      <c r="E1917" t="s">
        <v>48</v>
      </c>
      <c r="F1917" s="3"/>
      <c r="G1917" s="3">
        <v>527</v>
      </c>
      <c r="H1917" s="3"/>
      <c r="I1917" s="3"/>
      <c r="J1917" s="3">
        <v>527</v>
      </c>
    </row>
    <row r="1918" spans="2:10" x14ac:dyDescent="0.25">
      <c r="B1918" t="s">
        <v>137</v>
      </c>
      <c r="C1918" t="s">
        <v>417</v>
      </c>
      <c r="D1918" t="s">
        <v>261</v>
      </c>
      <c r="E1918" t="s">
        <v>49</v>
      </c>
      <c r="F1918" s="3"/>
      <c r="G1918" s="3">
        <v>527</v>
      </c>
      <c r="H1918" s="3"/>
      <c r="I1918" s="3"/>
      <c r="J1918" s="3">
        <v>527</v>
      </c>
    </row>
    <row r="1919" spans="2:10" x14ac:dyDescent="0.25">
      <c r="B1919" t="s">
        <v>137</v>
      </c>
      <c r="C1919" t="s">
        <v>417</v>
      </c>
      <c r="D1919" t="s">
        <v>261</v>
      </c>
      <c r="E1919" t="s">
        <v>50</v>
      </c>
      <c r="F1919" s="3"/>
      <c r="G1919" s="3">
        <v>527</v>
      </c>
      <c r="H1919" s="3"/>
      <c r="I1919" s="3"/>
      <c r="J1919" s="3">
        <v>527</v>
      </c>
    </row>
    <row r="1920" spans="2:10" x14ac:dyDescent="0.25">
      <c r="B1920" t="s">
        <v>137</v>
      </c>
      <c r="C1920" t="s">
        <v>417</v>
      </c>
      <c r="D1920" t="s">
        <v>261</v>
      </c>
      <c r="E1920" t="s">
        <v>51</v>
      </c>
      <c r="F1920" s="3"/>
      <c r="G1920" s="3">
        <v>527</v>
      </c>
      <c r="H1920" s="3"/>
      <c r="I1920" s="3"/>
      <c r="J1920" s="3">
        <v>527</v>
      </c>
    </row>
    <row r="1921" spans="2:10" x14ac:dyDescent="0.25">
      <c r="B1921" t="s">
        <v>137</v>
      </c>
      <c r="C1921" t="s">
        <v>417</v>
      </c>
      <c r="D1921" t="s">
        <v>261</v>
      </c>
      <c r="E1921" t="s">
        <v>196</v>
      </c>
      <c r="F1921" s="3"/>
      <c r="G1921" s="3">
        <v>527</v>
      </c>
      <c r="H1921" s="3"/>
      <c r="I1921" s="3"/>
      <c r="J1921" s="3">
        <v>527</v>
      </c>
    </row>
    <row r="1922" spans="2:10" x14ac:dyDescent="0.25">
      <c r="B1922" t="s">
        <v>137</v>
      </c>
      <c r="C1922" t="s">
        <v>417</v>
      </c>
      <c r="D1922" t="s">
        <v>261</v>
      </c>
      <c r="E1922" t="s">
        <v>197</v>
      </c>
      <c r="F1922" s="3"/>
      <c r="G1922" s="3">
        <v>527</v>
      </c>
      <c r="H1922" s="3"/>
      <c r="I1922" s="3"/>
      <c r="J1922" s="3">
        <v>527</v>
      </c>
    </row>
    <row r="1923" spans="2:10" x14ac:dyDescent="0.25">
      <c r="B1923" t="s">
        <v>137</v>
      </c>
      <c r="C1923" t="s">
        <v>417</v>
      </c>
      <c r="D1923" t="s">
        <v>261</v>
      </c>
      <c r="E1923" t="s">
        <v>198</v>
      </c>
      <c r="F1923" s="3"/>
      <c r="G1923" s="3">
        <v>527</v>
      </c>
      <c r="H1923" s="3"/>
      <c r="I1923" s="3"/>
      <c r="J1923" s="3">
        <v>527</v>
      </c>
    </row>
    <row r="1924" spans="2:10" x14ac:dyDescent="0.25">
      <c r="B1924" t="s">
        <v>137</v>
      </c>
      <c r="C1924" t="s">
        <v>417</v>
      </c>
      <c r="D1924" t="s">
        <v>261</v>
      </c>
      <c r="E1924" t="s">
        <v>199</v>
      </c>
      <c r="F1924" s="3"/>
      <c r="G1924" s="3">
        <v>527</v>
      </c>
      <c r="H1924" s="3"/>
      <c r="I1924" s="3"/>
      <c r="J1924" s="3">
        <v>527</v>
      </c>
    </row>
    <row r="1925" spans="2:10" x14ac:dyDescent="0.25">
      <c r="B1925" t="s">
        <v>137</v>
      </c>
      <c r="C1925" t="s">
        <v>417</v>
      </c>
      <c r="D1925" t="s">
        <v>261</v>
      </c>
      <c r="E1925" t="s">
        <v>200</v>
      </c>
      <c r="F1925" s="3"/>
      <c r="G1925" s="3">
        <v>527</v>
      </c>
      <c r="H1925" s="3"/>
      <c r="I1925" s="3"/>
      <c r="J1925" s="3">
        <v>527</v>
      </c>
    </row>
    <row r="1926" spans="2:10" x14ac:dyDescent="0.25">
      <c r="B1926" t="s">
        <v>137</v>
      </c>
      <c r="C1926" t="s">
        <v>417</v>
      </c>
      <c r="D1926" t="s">
        <v>261</v>
      </c>
      <c r="E1926" t="s">
        <v>240</v>
      </c>
      <c r="F1926" s="3"/>
      <c r="G1926" s="3">
        <v>527</v>
      </c>
      <c r="H1926" s="3"/>
      <c r="I1926" s="3"/>
      <c r="J1926" s="3">
        <v>527</v>
      </c>
    </row>
    <row r="1927" spans="2:10" x14ac:dyDescent="0.25">
      <c r="B1927" t="s">
        <v>137</v>
      </c>
      <c r="C1927" t="s">
        <v>417</v>
      </c>
      <c r="D1927" t="s">
        <v>261</v>
      </c>
      <c r="E1927" t="s">
        <v>301</v>
      </c>
      <c r="F1927" s="3"/>
      <c r="G1927" s="3">
        <v>527</v>
      </c>
      <c r="H1927" s="3"/>
      <c r="I1927" s="3"/>
      <c r="J1927" s="3">
        <v>527</v>
      </c>
    </row>
    <row r="1928" spans="2:10" x14ac:dyDescent="0.25">
      <c r="B1928" t="s">
        <v>137</v>
      </c>
      <c r="C1928" t="s">
        <v>417</v>
      </c>
      <c r="D1928" t="s">
        <v>261</v>
      </c>
      <c r="E1928" t="s">
        <v>302</v>
      </c>
      <c r="F1928" s="3"/>
      <c r="G1928" s="3">
        <v>527</v>
      </c>
      <c r="H1928" s="3"/>
      <c r="I1928" s="3"/>
      <c r="J1928" s="3">
        <v>527</v>
      </c>
    </row>
    <row r="1929" spans="2:10" x14ac:dyDescent="0.25">
      <c r="B1929" t="s">
        <v>137</v>
      </c>
      <c r="C1929" t="s">
        <v>417</v>
      </c>
      <c r="D1929" t="s">
        <v>261</v>
      </c>
      <c r="E1929" t="s">
        <v>303</v>
      </c>
      <c r="F1929" s="3"/>
      <c r="G1929" s="3">
        <v>527</v>
      </c>
      <c r="H1929" s="3"/>
      <c r="I1929" s="3"/>
      <c r="J1929" s="3">
        <v>527</v>
      </c>
    </row>
    <row r="1930" spans="2:10" x14ac:dyDescent="0.25">
      <c r="B1930" t="s">
        <v>137</v>
      </c>
      <c r="C1930" t="s">
        <v>417</v>
      </c>
      <c r="D1930" t="s">
        <v>261</v>
      </c>
      <c r="E1930" t="s">
        <v>304</v>
      </c>
      <c r="F1930" s="3"/>
      <c r="G1930" s="3">
        <v>527</v>
      </c>
      <c r="H1930" s="3"/>
      <c r="I1930" s="3"/>
      <c r="J1930" s="3">
        <v>527</v>
      </c>
    </row>
    <row r="1931" spans="2:10" x14ac:dyDescent="0.25">
      <c r="B1931" t="s">
        <v>137</v>
      </c>
      <c r="C1931" t="s">
        <v>417</v>
      </c>
      <c r="D1931" t="s">
        <v>261</v>
      </c>
      <c r="E1931" t="s">
        <v>305</v>
      </c>
      <c r="F1931" s="3"/>
      <c r="G1931" s="3">
        <v>527</v>
      </c>
      <c r="H1931" s="3"/>
      <c r="I1931" s="3"/>
      <c r="J1931" s="3">
        <v>527</v>
      </c>
    </row>
    <row r="1932" spans="2:10" x14ac:dyDescent="0.25">
      <c r="B1932" t="s">
        <v>137</v>
      </c>
      <c r="C1932" t="s">
        <v>417</v>
      </c>
      <c r="D1932" t="s">
        <v>261</v>
      </c>
      <c r="E1932" t="s">
        <v>306</v>
      </c>
      <c r="F1932" s="3"/>
      <c r="G1932" s="3">
        <v>527</v>
      </c>
      <c r="H1932" s="3"/>
      <c r="I1932" s="3"/>
      <c r="J1932" s="3">
        <v>527</v>
      </c>
    </row>
    <row r="1933" spans="2:10" x14ac:dyDescent="0.25">
      <c r="B1933" t="s">
        <v>137</v>
      </c>
      <c r="C1933" t="s">
        <v>417</v>
      </c>
      <c r="D1933" t="s">
        <v>261</v>
      </c>
      <c r="E1933" t="s">
        <v>307</v>
      </c>
      <c r="F1933" s="3"/>
      <c r="G1933" s="3">
        <v>527</v>
      </c>
      <c r="H1933" s="3"/>
      <c r="I1933" s="3"/>
      <c r="J1933" s="3">
        <v>527</v>
      </c>
    </row>
    <row r="1934" spans="2:10" x14ac:dyDescent="0.25">
      <c r="B1934" t="s">
        <v>137</v>
      </c>
      <c r="C1934" t="s">
        <v>417</v>
      </c>
      <c r="D1934" t="s">
        <v>261</v>
      </c>
      <c r="E1934" t="s">
        <v>308</v>
      </c>
      <c r="F1934" s="3"/>
      <c r="G1934" s="3">
        <v>527</v>
      </c>
      <c r="H1934" s="3"/>
      <c r="I1934" s="3"/>
      <c r="J1934" s="3">
        <v>527</v>
      </c>
    </row>
    <row r="1935" spans="2:10" x14ac:dyDescent="0.25">
      <c r="B1935" t="s">
        <v>137</v>
      </c>
      <c r="C1935" t="s">
        <v>417</v>
      </c>
      <c r="D1935" t="s">
        <v>261</v>
      </c>
      <c r="E1935" t="s">
        <v>309</v>
      </c>
      <c r="F1935" s="3"/>
      <c r="G1935" s="3">
        <v>527</v>
      </c>
      <c r="H1935" s="3"/>
      <c r="I1935" s="3"/>
      <c r="J1935" s="3">
        <v>527</v>
      </c>
    </row>
    <row r="1936" spans="2:10" x14ac:dyDescent="0.25">
      <c r="B1936" t="s">
        <v>137</v>
      </c>
      <c r="C1936" t="s">
        <v>417</v>
      </c>
      <c r="D1936" t="s">
        <v>261</v>
      </c>
      <c r="E1936" t="s">
        <v>310</v>
      </c>
      <c r="F1936" s="3"/>
      <c r="G1936" s="3">
        <v>527</v>
      </c>
      <c r="H1936" s="3"/>
      <c r="I1936" s="3"/>
      <c r="J1936" s="3">
        <v>527</v>
      </c>
    </row>
    <row r="1937" spans="2:10" x14ac:dyDescent="0.25">
      <c r="B1937" t="s">
        <v>137</v>
      </c>
      <c r="C1937" t="s">
        <v>417</v>
      </c>
      <c r="D1937" t="s">
        <v>261</v>
      </c>
      <c r="E1937" t="s">
        <v>311</v>
      </c>
      <c r="F1937" s="3"/>
      <c r="G1937" s="3">
        <v>527</v>
      </c>
      <c r="H1937" s="3"/>
      <c r="I1937" s="3"/>
      <c r="J1937" s="3">
        <v>527</v>
      </c>
    </row>
    <row r="1938" spans="2:10" x14ac:dyDescent="0.25">
      <c r="B1938" t="s">
        <v>137</v>
      </c>
      <c r="C1938" t="s">
        <v>417</v>
      </c>
      <c r="D1938" t="s">
        <v>261</v>
      </c>
      <c r="E1938" t="s">
        <v>312</v>
      </c>
      <c r="F1938" s="3"/>
      <c r="G1938" s="3">
        <v>527</v>
      </c>
      <c r="H1938" s="3"/>
      <c r="I1938" s="3"/>
      <c r="J1938" s="3">
        <v>527</v>
      </c>
    </row>
    <row r="1939" spans="2:10" x14ac:dyDescent="0.25">
      <c r="B1939" t="s">
        <v>137</v>
      </c>
      <c r="C1939" t="s">
        <v>417</v>
      </c>
      <c r="D1939" t="s">
        <v>262</v>
      </c>
      <c r="E1939" t="s">
        <v>46</v>
      </c>
      <c r="F1939" s="3"/>
      <c r="G1939" s="3">
        <v>3449</v>
      </c>
      <c r="H1939" s="3"/>
      <c r="I1939" s="3"/>
      <c r="J1939" s="3">
        <v>3449</v>
      </c>
    </row>
    <row r="1940" spans="2:10" x14ac:dyDescent="0.25">
      <c r="B1940" t="s">
        <v>137</v>
      </c>
      <c r="C1940" t="s">
        <v>417</v>
      </c>
      <c r="D1940" t="s">
        <v>262</v>
      </c>
      <c r="E1940" t="s">
        <v>47</v>
      </c>
      <c r="F1940" s="3"/>
      <c r="G1940" s="3">
        <v>3449</v>
      </c>
      <c r="H1940" s="3"/>
      <c r="I1940" s="3"/>
      <c r="J1940" s="3">
        <v>3449</v>
      </c>
    </row>
    <row r="1941" spans="2:10" x14ac:dyDescent="0.25">
      <c r="B1941" t="s">
        <v>137</v>
      </c>
      <c r="C1941" t="s">
        <v>417</v>
      </c>
      <c r="D1941" t="s">
        <v>262</v>
      </c>
      <c r="E1941" t="s">
        <v>48</v>
      </c>
      <c r="F1941" s="3"/>
      <c r="G1941" s="3">
        <v>3449</v>
      </c>
      <c r="H1941" s="3"/>
      <c r="I1941" s="3"/>
      <c r="J1941" s="3">
        <v>3449</v>
      </c>
    </row>
    <row r="1942" spans="2:10" x14ac:dyDescent="0.25">
      <c r="B1942" t="s">
        <v>137</v>
      </c>
      <c r="C1942" t="s">
        <v>417</v>
      </c>
      <c r="D1942" t="s">
        <v>262</v>
      </c>
      <c r="E1942" t="s">
        <v>49</v>
      </c>
      <c r="F1942" s="3"/>
      <c r="G1942" s="3">
        <v>3449</v>
      </c>
      <c r="H1942" s="3"/>
      <c r="I1942" s="3"/>
      <c r="J1942" s="3">
        <v>3449</v>
      </c>
    </row>
    <row r="1943" spans="2:10" x14ac:dyDescent="0.25">
      <c r="B1943" t="s">
        <v>137</v>
      </c>
      <c r="C1943" t="s">
        <v>417</v>
      </c>
      <c r="D1943" t="s">
        <v>262</v>
      </c>
      <c r="E1943" t="s">
        <v>50</v>
      </c>
      <c r="F1943" s="3"/>
      <c r="G1943" s="3">
        <v>3449</v>
      </c>
      <c r="H1943" s="3"/>
      <c r="I1943" s="3"/>
      <c r="J1943" s="3">
        <v>3449</v>
      </c>
    </row>
    <row r="1944" spans="2:10" x14ac:dyDescent="0.25">
      <c r="B1944" t="s">
        <v>137</v>
      </c>
      <c r="C1944" t="s">
        <v>417</v>
      </c>
      <c r="D1944" t="s">
        <v>262</v>
      </c>
      <c r="E1944" t="s">
        <v>51</v>
      </c>
      <c r="F1944" s="3"/>
      <c r="G1944" s="3">
        <v>3449</v>
      </c>
      <c r="H1944" s="3"/>
      <c r="I1944" s="3"/>
      <c r="J1944" s="3">
        <v>3449</v>
      </c>
    </row>
    <row r="1945" spans="2:10" x14ac:dyDescent="0.25">
      <c r="B1945" t="s">
        <v>137</v>
      </c>
      <c r="C1945" t="s">
        <v>417</v>
      </c>
      <c r="D1945" t="s">
        <v>262</v>
      </c>
      <c r="E1945" t="s">
        <v>196</v>
      </c>
      <c r="F1945" s="3"/>
      <c r="G1945" s="3">
        <v>3449</v>
      </c>
      <c r="H1945" s="3"/>
      <c r="I1945" s="3"/>
      <c r="J1945" s="3">
        <v>3449</v>
      </c>
    </row>
    <row r="1946" spans="2:10" x14ac:dyDescent="0.25">
      <c r="B1946" t="s">
        <v>137</v>
      </c>
      <c r="C1946" t="s">
        <v>417</v>
      </c>
      <c r="D1946" t="s">
        <v>262</v>
      </c>
      <c r="E1946" t="s">
        <v>197</v>
      </c>
      <c r="F1946" s="3"/>
      <c r="G1946" s="3">
        <v>3449</v>
      </c>
      <c r="H1946" s="3"/>
      <c r="I1946" s="3"/>
      <c r="J1946" s="3">
        <v>3449</v>
      </c>
    </row>
    <row r="1947" spans="2:10" x14ac:dyDescent="0.25">
      <c r="B1947" t="s">
        <v>137</v>
      </c>
      <c r="C1947" t="s">
        <v>417</v>
      </c>
      <c r="D1947" t="s">
        <v>262</v>
      </c>
      <c r="E1947" t="s">
        <v>198</v>
      </c>
      <c r="F1947" s="3"/>
      <c r="G1947" s="3">
        <v>3449</v>
      </c>
      <c r="H1947" s="3"/>
      <c r="I1947" s="3"/>
      <c r="J1947" s="3">
        <v>3449</v>
      </c>
    </row>
    <row r="1948" spans="2:10" x14ac:dyDescent="0.25">
      <c r="B1948" t="s">
        <v>137</v>
      </c>
      <c r="C1948" t="s">
        <v>417</v>
      </c>
      <c r="D1948" t="s">
        <v>262</v>
      </c>
      <c r="E1948" t="s">
        <v>199</v>
      </c>
      <c r="F1948" s="3"/>
      <c r="G1948" s="3">
        <v>3449</v>
      </c>
      <c r="H1948" s="3"/>
      <c r="I1948" s="3"/>
      <c r="J1948" s="3">
        <v>3449</v>
      </c>
    </row>
    <row r="1949" spans="2:10" x14ac:dyDescent="0.25">
      <c r="B1949" t="s">
        <v>137</v>
      </c>
      <c r="C1949" t="s">
        <v>417</v>
      </c>
      <c r="D1949" t="s">
        <v>262</v>
      </c>
      <c r="E1949" t="s">
        <v>200</v>
      </c>
      <c r="F1949" s="3"/>
      <c r="G1949" s="3">
        <v>3449</v>
      </c>
      <c r="H1949" s="3"/>
      <c r="I1949" s="3"/>
      <c r="J1949" s="3">
        <v>3449</v>
      </c>
    </row>
    <row r="1950" spans="2:10" x14ac:dyDescent="0.25">
      <c r="B1950" t="s">
        <v>137</v>
      </c>
      <c r="C1950" t="s">
        <v>417</v>
      </c>
      <c r="D1950" t="s">
        <v>262</v>
      </c>
      <c r="E1950" t="s">
        <v>240</v>
      </c>
      <c r="F1950" s="3"/>
      <c r="G1950" s="3">
        <v>3449</v>
      </c>
      <c r="H1950" s="3"/>
      <c r="I1950" s="3"/>
      <c r="J1950" s="3">
        <v>3449</v>
      </c>
    </row>
    <row r="1951" spans="2:10" x14ac:dyDescent="0.25">
      <c r="B1951" t="s">
        <v>137</v>
      </c>
      <c r="C1951" t="s">
        <v>417</v>
      </c>
      <c r="D1951" t="s">
        <v>262</v>
      </c>
      <c r="E1951" t="s">
        <v>301</v>
      </c>
      <c r="F1951" s="3"/>
      <c r="G1951" s="3">
        <v>3449</v>
      </c>
      <c r="H1951" s="3"/>
      <c r="I1951" s="3"/>
      <c r="J1951" s="3">
        <v>3449</v>
      </c>
    </row>
    <row r="1952" spans="2:10" x14ac:dyDescent="0.25">
      <c r="B1952" t="s">
        <v>137</v>
      </c>
      <c r="C1952" t="s">
        <v>417</v>
      </c>
      <c r="D1952" t="s">
        <v>262</v>
      </c>
      <c r="E1952" t="s">
        <v>302</v>
      </c>
      <c r="F1952" s="3"/>
      <c r="G1952" s="3">
        <v>3449</v>
      </c>
      <c r="H1952" s="3"/>
      <c r="I1952" s="3"/>
      <c r="J1952" s="3">
        <v>3449</v>
      </c>
    </row>
    <row r="1953" spans="2:10" x14ac:dyDescent="0.25">
      <c r="B1953" t="s">
        <v>137</v>
      </c>
      <c r="C1953" t="s">
        <v>417</v>
      </c>
      <c r="D1953" t="s">
        <v>262</v>
      </c>
      <c r="E1953" t="s">
        <v>303</v>
      </c>
      <c r="F1953" s="3"/>
      <c r="G1953" s="3">
        <v>3449</v>
      </c>
      <c r="H1953" s="3"/>
      <c r="I1953" s="3"/>
      <c r="J1953" s="3">
        <v>3449</v>
      </c>
    </row>
    <row r="1954" spans="2:10" x14ac:dyDescent="0.25">
      <c r="B1954" t="s">
        <v>137</v>
      </c>
      <c r="C1954" t="s">
        <v>417</v>
      </c>
      <c r="D1954" t="s">
        <v>262</v>
      </c>
      <c r="E1954" t="s">
        <v>304</v>
      </c>
      <c r="F1954" s="3"/>
      <c r="G1954" s="3">
        <v>3449</v>
      </c>
      <c r="H1954" s="3"/>
      <c r="I1954" s="3"/>
      <c r="J1954" s="3">
        <v>3449</v>
      </c>
    </row>
    <row r="1955" spans="2:10" x14ac:dyDescent="0.25">
      <c r="B1955" t="s">
        <v>137</v>
      </c>
      <c r="C1955" t="s">
        <v>417</v>
      </c>
      <c r="D1955" t="s">
        <v>262</v>
      </c>
      <c r="E1955" t="s">
        <v>305</v>
      </c>
      <c r="F1955" s="3"/>
      <c r="G1955" s="3">
        <v>3449</v>
      </c>
      <c r="H1955" s="3"/>
      <c r="I1955" s="3"/>
      <c r="J1955" s="3">
        <v>3449</v>
      </c>
    </row>
    <row r="1956" spans="2:10" x14ac:dyDescent="0.25">
      <c r="B1956" t="s">
        <v>137</v>
      </c>
      <c r="C1956" t="s">
        <v>417</v>
      </c>
      <c r="D1956" t="s">
        <v>262</v>
      </c>
      <c r="E1956" t="s">
        <v>306</v>
      </c>
      <c r="F1956" s="3"/>
      <c r="G1956" s="3">
        <v>3449</v>
      </c>
      <c r="H1956" s="3"/>
      <c r="I1956" s="3"/>
      <c r="J1956" s="3">
        <v>3449</v>
      </c>
    </row>
    <row r="1957" spans="2:10" x14ac:dyDescent="0.25">
      <c r="B1957" t="s">
        <v>137</v>
      </c>
      <c r="C1957" t="s">
        <v>417</v>
      </c>
      <c r="D1957" t="s">
        <v>262</v>
      </c>
      <c r="E1957" t="s">
        <v>307</v>
      </c>
      <c r="F1957" s="3"/>
      <c r="G1957" s="3">
        <v>3449</v>
      </c>
      <c r="H1957" s="3"/>
      <c r="I1957" s="3"/>
      <c r="J1957" s="3">
        <v>3449</v>
      </c>
    </row>
    <row r="1958" spans="2:10" x14ac:dyDescent="0.25">
      <c r="B1958" t="s">
        <v>137</v>
      </c>
      <c r="C1958" t="s">
        <v>417</v>
      </c>
      <c r="D1958" t="s">
        <v>262</v>
      </c>
      <c r="E1958" t="s">
        <v>308</v>
      </c>
      <c r="F1958" s="3"/>
      <c r="G1958" s="3">
        <v>3449</v>
      </c>
      <c r="H1958" s="3"/>
      <c r="I1958" s="3"/>
      <c r="J1958" s="3">
        <v>3449</v>
      </c>
    </row>
    <row r="1959" spans="2:10" x14ac:dyDescent="0.25">
      <c r="B1959" t="s">
        <v>137</v>
      </c>
      <c r="C1959" t="s">
        <v>417</v>
      </c>
      <c r="D1959" t="s">
        <v>262</v>
      </c>
      <c r="E1959" t="s">
        <v>309</v>
      </c>
      <c r="F1959" s="3"/>
      <c r="G1959" s="3">
        <v>3449</v>
      </c>
      <c r="H1959" s="3"/>
      <c r="I1959" s="3"/>
      <c r="J1959" s="3">
        <v>3449</v>
      </c>
    </row>
    <row r="1960" spans="2:10" x14ac:dyDescent="0.25">
      <c r="B1960" t="s">
        <v>137</v>
      </c>
      <c r="C1960" t="s">
        <v>417</v>
      </c>
      <c r="D1960" t="s">
        <v>262</v>
      </c>
      <c r="E1960" t="s">
        <v>310</v>
      </c>
      <c r="F1960" s="3"/>
      <c r="G1960" s="3">
        <v>3449</v>
      </c>
      <c r="H1960" s="3"/>
      <c r="I1960" s="3"/>
      <c r="J1960" s="3">
        <v>3449</v>
      </c>
    </row>
    <row r="1961" spans="2:10" x14ac:dyDescent="0.25">
      <c r="B1961" t="s">
        <v>137</v>
      </c>
      <c r="C1961" t="s">
        <v>417</v>
      </c>
      <c r="D1961" t="s">
        <v>262</v>
      </c>
      <c r="E1961" t="s">
        <v>311</v>
      </c>
      <c r="F1961" s="3"/>
      <c r="G1961" s="3">
        <v>3449</v>
      </c>
      <c r="H1961" s="3"/>
      <c r="I1961" s="3"/>
      <c r="J1961" s="3">
        <v>3449</v>
      </c>
    </row>
    <row r="1962" spans="2:10" x14ac:dyDescent="0.25">
      <c r="B1962" t="s">
        <v>137</v>
      </c>
      <c r="C1962" t="s">
        <v>417</v>
      </c>
      <c r="D1962" t="s">
        <v>262</v>
      </c>
      <c r="E1962" t="s">
        <v>312</v>
      </c>
      <c r="F1962" s="3"/>
      <c r="G1962" s="3">
        <v>3449</v>
      </c>
      <c r="H1962" s="3"/>
      <c r="I1962" s="3"/>
      <c r="J1962" s="3">
        <v>3449</v>
      </c>
    </row>
    <row r="1963" spans="2:10" x14ac:dyDescent="0.25">
      <c r="B1963" t="s">
        <v>137</v>
      </c>
      <c r="C1963" t="s">
        <v>417</v>
      </c>
      <c r="D1963" t="s">
        <v>268</v>
      </c>
      <c r="E1963" t="s">
        <v>46</v>
      </c>
      <c r="F1963" s="3"/>
      <c r="G1963" s="3">
        <v>4539</v>
      </c>
      <c r="H1963" s="3"/>
      <c r="I1963" s="3"/>
      <c r="J1963" s="3">
        <v>4539</v>
      </c>
    </row>
    <row r="1964" spans="2:10" x14ac:dyDescent="0.25">
      <c r="B1964" t="s">
        <v>137</v>
      </c>
      <c r="C1964" t="s">
        <v>417</v>
      </c>
      <c r="D1964" t="s">
        <v>268</v>
      </c>
      <c r="E1964" t="s">
        <v>47</v>
      </c>
      <c r="F1964" s="3"/>
      <c r="G1964" s="3">
        <v>4539</v>
      </c>
      <c r="H1964" s="3"/>
      <c r="I1964" s="3"/>
      <c r="J1964" s="3">
        <v>4539</v>
      </c>
    </row>
    <row r="1965" spans="2:10" x14ac:dyDescent="0.25">
      <c r="B1965" t="s">
        <v>137</v>
      </c>
      <c r="C1965" t="s">
        <v>417</v>
      </c>
      <c r="D1965" t="s">
        <v>268</v>
      </c>
      <c r="E1965" t="s">
        <v>48</v>
      </c>
      <c r="F1965" s="3"/>
      <c r="G1965" s="3">
        <v>4539</v>
      </c>
      <c r="H1965" s="3"/>
      <c r="I1965" s="3"/>
      <c r="J1965" s="3">
        <v>4539</v>
      </c>
    </row>
    <row r="1966" spans="2:10" x14ac:dyDescent="0.25">
      <c r="B1966" t="s">
        <v>137</v>
      </c>
      <c r="C1966" t="s">
        <v>417</v>
      </c>
      <c r="D1966" t="s">
        <v>268</v>
      </c>
      <c r="E1966" t="s">
        <v>49</v>
      </c>
      <c r="F1966" s="3"/>
      <c r="G1966" s="3">
        <v>4539</v>
      </c>
      <c r="H1966" s="3"/>
      <c r="I1966" s="3"/>
      <c r="J1966" s="3">
        <v>4539</v>
      </c>
    </row>
    <row r="1967" spans="2:10" x14ac:dyDescent="0.25">
      <c r="B1967" t="s">
        <v>137</v>
      </c>
      <c r="C1967" t="s">
        <v>417</v>
      </c>
      <c r="D1967" t="s">
        <v>268</v>
      </c>
      <c r="E1967" t="s">
        <v>50</v>
      </c>
      <c r="F1967" s="3"/>
      <c r="G1967" s="3">
        <v>4539</v>
      </c>
      <c r="H1967" s="3"/>
      <c r="I1967" s="3"/>
      <c r="J1967" s="3">
        <v>4539</v>
      </c>
    </row>
    <row r="1968" spans="2:10" x14ac:dyDescent="0.25">
      <c r="B1968" t="s">
        <v>137</v>
      </c>
      <c r="C1968" t="s">
        <v>417</v>
      </c>
      <c r="D1968" t="s">
        <v>268</v>
      </c>
      <c r="E1968" t="s">
        <v>51</v>
      </c>
      <c r="F1968" s="3"/>
      <c r="G1968" s="3">
        <v>4539</v>
      </c>
      <c r="H1968" s="3"/>
      <c r="I1968" s="3"/>
      <c r="J1968" s="3">
        <v>4539</v>
      </c>
    </row>
    <row r="1969" spans="2:10" x14ac:dyDescent="0.25">
      <c r="B1969" t="s">
        <v>137</v>
      </c>
      <c r="C1969" t="s">
        <v>417</v>
      </c>
      <c r="D1969" t="s">
        <v>268</v>
      </c>
      <c r="E1969" t="s">
        <v>196</v>
      </c>
      <c r="F1969" s="3"/>
      <c r="G1969" s="3">
        <v>4539</v>
      </c>
      <c r="H1969" s="3"/>
      <c r="I1969" s="3"/>
      <c r="J1969" s="3">
        <v>4539</v>
      </c>
    </row>
    <row r="1970" spans="2:10" x14ac:dyDescent="0.25">
      <c r="B1970" t="s">
        <v>137</v>
      </c>
      <c r="C1970" t="s">
        <v>417</v>
      </c>
      <c r="D1970" t="s">
        <v>268</v>
      </c>
      <c r="E1970" t="s">
        <v>197</v>
      </c>
      <c r="F1970" s="3"/>
      <c r="G1970" s="3">
        <v>4539</v>
      </c>
      <c r="H1970" s="3"/>
      <c r="I1970" s="3"/>
      <c r="J1970" s="3">
        <v>4539</v>
      </c>
    </row>
    <row r="1971" spans="2:10" x14ac:dyDescent="0.25">
      <c r="B1971" t="s">
        <v>137</v>
      </c>
      <c r="C1971" t="s">
        <v>417</v>
      </c>
      <c r="D1971" t="s">
        <v>268</v>
      </c>
      <c r="E1971" t="s">
        <v>198</v>
      </c>
      <c r="F1971" s="3"/>
      <c r="G1971" s="3">
        <v>4539</v>
      </c>
      <c r="H1971" s="3"/>
      <c r="I1971" s="3"/>
      <c r="J1971" s="3">
        <v>4539</v>
      </c>
    </row>
    <row r="1972" spans="2:10" x14ac:dyDescent="0.25">
      <c r="B1972" t="s">
        <v>137</v>
      </c>
      <c r="C1972" t="s">
        <v>417</v>
      </c>
      <c r="D1972" t="s">
        <v>268</v>
      </c>
      <c r="E1972" t="s">
        <v>199</v>
      </c>
      <c r="F1972" s="3"/>
      <c r="G1972" s="3">
        <v>4539</v>
      </c>
      <c r="H1972" s="3"/>
      <c r="I1972" s="3"/>
      <c r="J1972" s="3">
        <v>4539</v>
      </c>
    </row>
    <row r="1973" spans="2:10" x14ac:dyDescent="0.25">
      <c r="B1973" t="s">
        <v>137</v>
      </c>
      <c r="C1973" t="s">
        <v>417</v>
      </c>
      <c r="D1973" t="s">
        <v>268</v>
      </c>
      <c r="E1973" t="s">
        <v>200</v>
      </c>
      <c r="F1973" s="3"/>
      <c r="G1973" s="3">
        <v>4539</v>
      </c>
      <c r="H1973" s="3"/>
      <c r="I1973" s="3"/>
      <c r="J1973" s="3">
        <v>4539</v>
      </c>
    </row>
    <row r="1974" spans="2:10" x14ac:dyDescent="0.25">
      <c r="B1974" t="s">
        <v>137</v>
      </c>
      <c r="C1974" t="s">
        <v>417</v>
      </c>
      <c r="D1974" t="s">
        <v>268</v>
      </c>
      <c r="E1974" t="s">
        <v>240</v>
      </c>
      <c r="F1974" s="3"/>
      <c r="G1974" s="3">
        <v>4539</v>
      </c>
      <c r="H1974" s="3"/>
      <c r="I1974" s="3"/>
      <c r="J1974" s="3">
        <v>4539</v>
      </c>
    </row>
    <row r="1975" spans="2:10" x14ac:dyDescent="0.25">
      <c r="B1975" t="s">
        <v>137</v>
      </c>
      <c r="C1975" t="s">
        <v>417</v>
      </c>
      <c r="D1975" t="s">
        <v>268</v>
      </c>
      <c r="E1975" t="s">
        <v>301</v>
      </c>
      <c r="F1975" s="3"/>
      <c r="G1975" s="3">
        <v>4539</v>
      </c>
      <c r="H1975" s="3"/>
      <c r="I1975" s="3"/>
      <c r="J1975" s="3">
        <v>4539</v>
      </c>
    </row>
    <row r="1976" spans="2:10" x14ac:dyDescent="0.25">
      <c r="B1976" t="s">
        <v>137</v>
      </c>
      <c r="C1976" t="s">
        <v>417</v>
      </c>
      <c r="D1976" t="s">
        <v>268</v>
      </c>
      <c r="E1976" t="s">
        <v>302</v>
      </c>
      <c r="F1976" s="3"/>
      <c r="G1976" s="3">
        <v>4539</v>
      </c>
      <c r="H1976" s="3"/>
      <c r="I1976" s="3"/>
      <c r="J1976" s="3">
        <v>4539</v>
      </c>
    </row>
    <row r="1977" spans="2:10" x14ac:dyDescent="0.25">
      <c r="B1977" t="s">
        <v>137</v>
      </c>
      <c r="C1977" t="s">
        <v>417</v>
      </c>
      <c r="D1977" t="s">
        <v>268</v>
      </c>
      <c r="E1977" t="s">
        <v>303</v>
      </c>
      <c r="F1977" s="3"/>
      <c r="G1977" s="3">
        <v>4539</v>
      </c>
      <c r="H1977" s="3"/>
      <c r="I1977" s="3"/>
      <c r="J1977" s="3">
        <v>4539</v>
      </c>
    </row>
    <row r="1978" spans="2:10" x14ac:dyDescent="0.25">
      <c r="B1978" t="s">
        <v>137</v>
      </c>
      <c r="C1978" t="s">
        <v>417</v>
      </c>
      <c r="D1978" t="s">
        <v>268</v>
      </c>
      <c r="E1978" t="s">
        <v>304</v>
      </c>
      <c r="F1978" s="3"/>
      <c r="G1978" s="3">
        <v>4539</v>
      </c>
      <c r="H1978" s="3"/>
      <c r="I1978" s="3"/>
      <c r="J1978" s="3">
        <v>4539</v>
      </c>
    </row>
    <row r="1979" spans="2:10" x14ac:dyDescent="0.25">
      <c r="B1979" t="s">
        <v>137</v>
      </c>
      <c r="C1979" t="s">
        <v>417</v>
      </c>
      <c r="D1979" t="s">
        <v>268</v>
      </c>
      <c r="E1979" t="s">
        <v>305</v>
      </c>
      <c r="F1979" s="3"/>
      <c r="G1979" s="3">
        <v>4539</v>
      </c>
      <c r="H1979" s="3"/>
      <c r="I1979" s="3"/>
      <c r="J1979" s="3">
        <v>4539</v>
      </c>
    </row>
    <row r="1980" spans="2:10" x14ac:dyDescent="0.25">
      <c r="B1980" t="s">
        <v>137</v>
      </c>
      <c r="C1980" t="s">
        <v>417</v>
      </c>
      <c r="D1980" t="s">
        <v>268</v>
      </c>
      <c r="E1980" t="s">
        <v>306</v>
      </c>
      <c r="F1980" s="3"/>
      <c r="G1980" s="3">
        <v>4539</v>
      </c>
      <c r="H1980" s="3"/>
      <c r="I1980" s="3"/>
      <c r="J1980" s="3">
        <v>4539</v>
      </c>
    </row>
    <row r="1981" spans="2:10" x14ac:dyDescent="0.25">
      <c r="B1981" t="s">
        <v>137</v>
      </c>
      <c r="C1981" t="s">
        <v>417</v>
      </c>
      <c r="D1981" t="s">
        <v>268</v>
      </c>
      <c r="E1981" t="s">
        <v>307</v>
      </c>
      <c r="F1981" s="3"/>
      <c r="G1981" s="3">
        <v>4539</v>
      </c>
      <c r="H1981" s="3"/>
      <c r="I1981" s="3"/>
      <c r="J1981" s="3">
        <v>4539</v>
      </c>
    </row>
    <row r="1982" spans="2:10" x14ac:dyDescent="0.25">
      <c r="B1982" t="s">
        <v>137</v>
      </c>
      <c r="C1982" t="s">
        <v>417</v>
      </c>
      <c r="D1982" t="s">
        <v>268</v>
      </c>
      <c r="E1982" t="s">
        <v>308</v>
      </c>
      <c r="F1982" s="3"/>
      <c r="G1982" s="3">
        <v>4539</v>
      </c>
      <c r="H1982" s="3"/>
      <c r="I1982" s="3"/>
      <c r="J1982" s="3">
        <v>4539</v>
      </c>
    </row>
    <row r="1983" spans="2:10" x14ac:dyDescent="0.25">
      <c r="B1983" t="s">
        <v>137</v>
      </c>
      <c r="C1983" t="s">
        <v>417</v>
      </c>
      <c r="D1983" t="s">
        <v>268</v>
      </c>
      <c r="E1983" t="s">
        <v>309</v>
      </c>
      <c r="F1983" s="3"/>
      <c r="G1983" s="3">
        <v>4539</v>
      </c>
      <c r="H1983" s="3"/>
      <c r="I1983" s="3"/>
      <c r="J1983" s="3">
        <v>4539</v>
      </c>
    </row>
    <row r="1984" spans="2:10" x14ac:dyDescent="0.25">
      <c r="B1984" t="s">
        <v>137</v>
      </c>
      <c r="C1984" t="s">
        <v>417</v>
      </c>
      <c r="D1984" t="s">
        <v>268</v>
      </c>
      <c r="E1984" t="s">
        <v>310</v>
      </c>
      <c r="F1984" s="3"/>
      <c r="G1984" s="3">
        <v>4539</v>
      </c>
      <c r="H1984" s="3"/>
      <c r="I1984" s="3"/>
      <c r="J1984" s="3">
        <v>4539</v>
      </c>
    </row>
    <row r="1985" spans="2:10" x14ac:dyDescent="0.25">
      <c r="B1985" t="s">
        <v>137</v>
      </c>
      <c r="C1985" t="s">
        <v>417</v>
      </c>
      <c r="D1985" t="s">
        <v>268</v>
      </c>
      <c r="E1985" t="s">
        <v>311</v>
      </c>
      <c r="F1985" s="3"/>
      <c r="G1985" s="3">
        <v>4539</v>
      </c>
      <c r="H1985" s="3"/>
      <c r="I1985" s="3"/>
      <c r="J1985" s="3">
        <v>4539</v>
      </c>
    </row>
    <row r="1986" spans="2:10" x14ac:dyDescent="0.25">
      <c r="B1986" t="s">
        <v>137</v>
      </c>
      <c r="C1986" t="s">
        <v>417</v>
      </c>
      <c r="D1986" t="s">
        <v>268</v>
      </c>
      <c r="E1986" t="s">
        <v>312</v>
      </c>
      <c r="F1986" s="3"/>
      <c r="G1986" s="3">
        <v>4539</v>
      </c>
      <c r="H1986" s="3"/>
      <c r="I1986" s="3"/>
      <c r="J1986" s="3">
        <v>4539</v>
      </c>
    </row>
    <row r="1987" spans="2:10" x14ac:dyDescent="0.25">
      <c r="B1987" t="s">
        <v>137</v>
      </c>
      <c r="C1987" t="s">
        <v>417</v>
      </c>
      <c r="D1987" t="s">
        <v>269</v>
      </c>
      <c r="E1987" t="s">
        <v>46</v>
      </c>
      <c r="F1987" s="3"/>
      <c r="G1987" s="3">
        <v>4030</v>
      </c>
      <c r="H1987" s="3"/>
      <c r="I1987" s="3"/>
      <c r="J1987" s="3">
        <v>4030</v>
      </c>
    </row>
    <row r="1988" spans="2:10" x14ac:dyDescent="0.25">
      <c r="B1988" t="s">
        <v>137</v>
      </c>
      <c r="C1988" t="s">
        <v>417</v>
      </c>
      <c r="D1988" t="s">
        <v>269</v>
      </c>
      <c r="E1988" t="s">
        <v>47</v>
      </c>
      <c r="F1988" s="3"/>
      <c r="G1988" s="3">
        <v>4030</v>
      </c>
      <c r="H1988" s="3"/>
      <c r="I1988" s="3"/>
      <c r="J1988" s="3">
        <v>4030</v>
      </c>
    </row>
    <row r="1989" spans="2:10" x14ac:dyDescent="0.25">
      <c r="B1989" t="s">
        <v>137</v>
      </c>
      <c r="C1989" t="s">
        <v>417</v>
      </c>
      <c r="D1989" t="s">
        <v>269</v>
      </c>
      <c r="E1989" t="s">
        <v>48</v>
      </c>
      <c r="F1989" s="3"/>
      <c r="G1989" s="3">
        <v>4030</v>
      </c>
      <c r="H1989" s="3"/>
      <c r="I1989" s="3"/>
      <c r="J1989" s="3">
        <v>4030</v>
      </c>
    </row>
    <row r="1990" spans="2:10" x14ac:dyDescent="0.25">
      <c r="B1990" t="s">
        <v>137</v>
      </c>
      <c r="C1990" t="s">
        <v>417</v>
      </c>
      <c r="D1990" t="s">
        <v>269</v>
      </c>
      <c r="E1990" t="s">
        <v>49</v>
      </c>
      <c r="F1990" s="3"/>
      <c r="G1990" s="3">
        <v>4030</v>
      </c>
      <c r="H1990" s="3"/>
      <c r="I1990" s="3"/>
      <c r="J1990" s="3">
        <v>4030</v>
      </c>
    </row>
    <row r="1991" spans="2:10" x14ac:dyDescent="0.25">
      <c r="B1991" t="s">
        <v>137</v>
      </c>
      <c r="C1991" t="s">
        <v>417</v>
      </c>
      <c r="D1991" t="s">
        <v>269</v>
      </c>
      <c r="E1991" t="s">
        <v>50</v>
      </c>
      <c r="F1991" s="3"/>
      <c r="G1991" s="3">
        <v>4030</v>
      </c>
      <c r="H1991" s="3"/>
      <c r="I1991" s="3"/>
      <c r="J1991" s="3">
        <v>4030</v>
      </c>
    </row>
    <row r="1992" spans="2:10" x14ac:dyDescent="0.25">
      <c r="B1992" t="s">
        <v>137</v>
      </c>
      <c r="C1992" t="s">
        <v>417</v>
      </c>
      <c r="D1992" t="s">
        <v>269</v>
      </c>
      <c r="E1992" t="s">
        <v>51</v>
      </c>
      <c r="F1992" s="3"/>
      <c r="G1992" s="3">
        <v>4030</v>
      </c>
      <c r="H1992" s="3"/>
      <c r="I1992" s="3"/>
      <c r="J1992" s="3">
        <v>4030</v>
      </c>
    </row>
    <row r="1993" spans="2:10" x14ac:dyDescent="0.25">
      <c r="B1993" t="s">
        <v>137</v>
      </c>
      <c r="C1993" t="s">
        <v>417</v>
      </c>
      <c r="D1993" t="s">
        <v>269</v>
      </c>
      <c r="E1993" t="s">
        <v>196</v>
      </c>
      <c r="F1993" s="3"/>
      <c r="G1993" s="3">
        <v>4030</v>
      </c>
      <c r="H1993" s="3"/>
      <c r="I1993" s="3"/>
      <c r="J1993" s="3">
        <v>4030</v>
      </c>
    </row>
    <row r="1994" spans="2:10" x14ac:dyDescent="0.25">
      <c r="B1994" t="s">
        <v>137</v>
      </c>
      <c r="C1994" t="s">
        <v>417</v>
      </c>
      <c r="D1994" t="s">
        <v>269</v>
      </c>
      <c r="E1994" t="s">
        <v>197</v>
      </c>
      <c r="F1994" s="3"/>
      <c r="G1994" s="3">
        <v>4030</v>
      </c>
      <c r="H1994" s="3"/>
      <c r="I1994" s="3"/>
      <c r="J1994" s="3">
        <v>4030</v>
      </c>
    </row>
    <row r="1995" spans="2:10" x14ac:dyDescent="0.25">
      <c r="B1995" t="s">
        <v>137</v>
      </c>
      <c r="C1995" t="s">
        <v>417</v>
      </c>
      <c r="D1995" t="s">
        <v>269</v>
      </c>
      <c r="E1995" t="s">
        <v>198</v>
      </c>
      <c r="F1995" s="3"/>
      <c r="G1995" s="3">
        <v>4030</v>
      </c>
      <c r="H1995" s="3"/>
      <c r="I1995" s="3"/>
      <c r="J1995" s="3">
        <v>4030</v>
      </c>
    </row>
    <row r="1996" spans="2:10" x14ac:dyDescent="0.25">
      <c r="B1996" t="s">
        <v>137</v>
      </c>
      <c r="C1996" t="s">
        <v>417</v>
      </c>
      <c r="D1996" t="s">
        <v>269</v>
      </c>
      <c r="E1996" t="s">
        <v>199</v>
      </c>
      <c r="F1996" s="3"/>
      <c r="G1996" s="3">
        <v>4030</v>
      </c>
      <c r="H1996" s="3"/>
      <c r="I1996" s="3"/>
      <c r="J1996" s="3">
        <v>4030</v>
      </c>
    </row>
    <row r="1997" spans="2:10" x14ac:dyDescent="0.25">
      <c r="B1997" t="s">
        <v>137</v>
      </c>
      <c r="C1997" t="s">
        <v>417</v>
      </c>
      <c r="D1997" t="s">
        <v>269</v>
      </c>
      <c r="E1997" t="s">
        <v>200</v>
      </c>
      <c r="F1997" s="3"/>
      <c r="G1997" s="3">
        <v>4030</v>
      </c>
      <c r="H1997" s="3"/>
      <c r="I1997" s="3"/>
      <c r="J1997" s="3">
        <v>4030</v>
      </c>
    </row>
    <row r="1998" spans="2:10" x14ac:dyDescent="0.25">
      <c r="B1998" t="s">
        <v>137</v>
      </c>
      <c r="C1998" t="s">
        <v>417</v>
      </c>
      <c r="D1998" t="s">
        <v>269</v>
      </c>
      <c r="E1998" t="s">
        <v>240</v>
      </c>
      <c r="F1998" s="3"/>
      <c r="G1998" s="3">
        <v>4030</v>
      </c>
      <c r="H1998" s="3"/>
      <c r="I1998" s="3"/>
      <c r="J1998" s="3">
        <v>4030</v>
      </c>
    </row>
    <row r="1999" spans="2:10" x14ac:dyDescent="0.25">
      <c r="B1999" t="s">
        <v>137</v>
      </c>
      <c r="C1999" t="s">
        <v>417</v>
      </c>
      <c r="D1999" t="s">
        <v>269</v>
      </c>
      <c r="E1999" t="s">
        <v>301</v>
      </c>
      <c r="F1999" s="3"/>
      <c r="G1999" s="3">
        <v>4030</v>
      </c>
      <c r="H1999" s="3"/>
      <c r="I1999" s="3"/>
      <c r="J1999" s="3">
        <v>4030</v>
      </c>
    </row>
    <row r="2000" spans="2:10" x14ac:dyDescent="0.25">
      <c r="B2000" t="s">
        <v>137</v>
      </c>
      <c r="C2000" t="s">
        <v>417</v>
      </c>
      <c r="D2000" t="s">
        <v>269</v>
      </c>
      <c r="E2000" t="s">
        <v>302</v>
      </c>
      <c r="F2000" s="3"/>
      <c r="G2000" s="3">
        <v>4030</v>
      </c>
      <c r="H2000" s="3"/>
      <c r="I2000" s="3"/>
      <c r="J2000" s="3">
        <v>4030</v>
      </c>
    </row>
    <row r="2001" spans="2:10" x14ac:dyDescent="0.25">
      <c r="B2001" t="s">
        <v>137</v>
      </c>
      <c r="C2001" t="s">
        <v>417</v>
      </c>
      <c r="D2001" t="s">
        <v>269</v>
      </c>
      <c r="E2001" t="s">
        <v>303</v>
      </c>
      <c r="F2001" s="3"/>
      <c r="G2001" s="3">
        <v>4030</v>
      </c>
      <c r="H2001" s="3"/>
      <c r="I2001" s="3"/>
      <c r="J2001" s="3">
        <v>4030</v>
      </c>
    </row>
    <row r="2002" spans="2:10" x14ac:dyDescent="0.25">
      <c r="B2002" t="s">
        <v>137</v>
      </c>
      <c r="C2002" t="s">
        <v>417</v>
      </c>
      <c r="D2002" t="s">
        <v>269</v>
      </c>
      <c r="E2002" t="s">
        <v>304</v>
      </c>
      <c r="F2002" s="3"/>
      <c r="G2002" s="3">
        <v>4030</v>
      </c>
      <c r="H2002" s="3"/>
      <c r="I2002" s="3"/>
      <c r="J2002" s="3">
        <v>4030</v>
      </c>
    </row>
    <row r="2003" spans="2:10" x14ac:dyDescent="0.25">
      <c r="B2003" t="s">
        <v>137</v>
      </c>
      <c r="C2003" t="s">
        <v>417</v>
      </c>
      <c r="D2003" t="s">
        <v>269</v>
      </c>
      <c r="E2003" t="s">
        <v>305</v>
      </c>
      <c r="F2003" s="3"/>
      <c r="G2003" s="3">
        <v>4030</v>
      </c>
      <c r="H2003" s="3"/>
      <c r="I2003" s="3"/>
      <c r="J2003" s="3">
        <v>4030</v>
      </c>
    </row>
    <row r="2004" spans="2:10" x14ac:dyDescent="0.25">
      <c r="B2004" t="s">
        <v>137</v>
      </c>
      <c r="C2004" t="s">
        <v>417</v>
      </c>
      <c r="D2004" t="s">
        <v>269</v>
      </c>
      <c r="E2004" t="s">
        <v>306</v>
      </c>
      <c r="F2004" s="3"/>
      <c r="G2004" s="3">
        <v>4030</v>
      </c>
      <c r="H2004" s="3"/>
      <c r="I2004" s="3"/>
      <c r="J2004" s="3">
        <v>4030</v>
      </c>
    </row>
    <row r="2005" spans="2:10" x14ac:dyDescent="0.25">
      <c r="B2005" t="s">
        <v>137</v>
      </c>
      <c r="C2005" t="s">
        <v>417</v>
      </c>
      <c r="D2005" t="s">
        <v>269</v>
      </c>
      <c r="E2005" t="s">
        <v>307</v>
      </c>
      <c r="F2005" s="3"/>
      <c r="G2005" s="3">
        <v>4030</v>
      </c>
      <c r="H2005" s="3"/>
      <c r="I2005" s="3"/>
      <c r="J2005" s="3">
        <v>4030</v>
      </c>
    </row>
    <row r="2006" spans="2:10" x14ac:dyDescent="0.25">
      <c r="B2006" t="s">
        <v>137</v>
      </c>
      <c r="C2006" t="s">
        <v>417</v>
      </c>
      <c r="D2006" t="s">
        <v>269</v>
      </c>
      <c r="E2006" t="s">
        <v>308</v>
      </c>
      <c r="F2006" s="3"/>
      <c r="G2006" s="3">
        <v>4030</v>
      </c>
      <c r="H2006" s="3"/>
      <c r="I2006" s="3"/>
      <c r="J2006" s="3">
        <v>4030</v>
      </c>
    </row>
    <row r="2007" spans="2:10" x14ac:dyDescent="0.25">
      <c r="B2007" t="s">
        <v>137</v>
      </c>
      <c r="C2007" t="s">
        <v>417</v>
      </c>
      <c r="D2007" t="s">
        <v>269</v>
      </c>
      <c r="E2007" t="s">
        <v>309</v>
      </c>
      <c r="F2007" s="3"/>
      <c r="G2007" s="3">
        <v>4030</v>
      </c>
      <c r="H2007" s="3"/>
      <c r="I2007" s="3"/>
      <c r="J2007" s="3">
        <v>4030</v>
      </c>
    </row>
    <row r="2008" spans="2:10" x14ac:dyDescent="0.25">
      <c r="B2008" t="s">
        <v>137</v>
      </c>
      <c r="C2008" t="s">
        <v>417</v>
      </c>
      <c r="D2008" t="s">
        <v>269</v>
      </c>
      <c r="E2008" t="s">
        <v>310</v>
      </c>
      <c r="F2008" s="3"/>
      <c r="G2008" s="3">
        <v>4030</v>
      </c>
      <c r="H2008" s="3"/>
      <c r="I2008" s="3"/>
      <c r="J2008" s="3">
        <v>4030</v>
      </c>
    </row>
    <row r="2009" spans="2:10" x14ac:dyDescent="0.25">
      <c r="B2009" t="s">
        <v>137</v>
      </c>
      <c r="C2009" t="s">
        <v>417</v>
      </c>
      <c r="D2009" t="s">
        <v>269</v>
      </c>
      <c r="E2009" t="s">
        <v>311</v>
      </c>
      <c r="F2009" s="3"/>
      <c r="G2009" s="3">
        <v>4030</v>
      </c>
      <c r="H2009" s="3"/>
      <c r="I2009" s="3"/>
      <c r="J2009" s="3">
        <v>4030</v>
      </c>
    </row>
    <row r="2010" spans="2:10" x14ac:dyDescent="0.25">
      <c r="B2010" t="s">
        <v>137</v>
      </c>
      <c r="C2010" t="s">
        <v>417</v>
      </c>
      <c r="D2010" t="s">
        <v>269</v>
      </c>
      <c r="E2010" t="s">
        <v>312</v>
      </c>
      <c r="F2010" s="3"/>
      <c r="G2010" s="3">
        <v>4030</v>
      </c>
      <c r="H2010" s="3"/>
      <c r="I2010" s="3"/>
      <c r="J2010" s="3">
        <v>4030</v>
      </c>
    </row>
    <row r="2011" spans="2:10" x14ac:dyDescent="0.25">
      <c r="B2011" t="s">
        <v>137</v>
      </c>
      <c r="C2011" t="s">
        <v>417</v>
      </c>
      <c r="D2011" t="s">
        <v>421</v>
      </c>
      <c r="E2011" t="s">
        <v>46</v>
      </c>
      <c r="F2011" s="3"/>
      <c r="G2011" s="3"/>
      <c r="H2011" s="3"/>
      <c r="I2011" s="3">
        <v>6991.0634705655502</v>
      </c>
      <c r="J2011" s="3">
        <v>6991.0634705655502</v>
      </c>
    </row>
    <row r="2012" spans="2:10" x14ac:dyDescent="0.25">
      <c r="B2012" t="s">
        <v>137</v>
      </c>
      <c r="C2012" t="s">
        <v>417</v>
      </c>
      <c r="D2012" t="s">
        <v>421</v>
      </c>
      <c r="E2012" t="s">
        <v>47</v>
      </c>
      <c r="F2012" s="3"/>
      <c r="G2012" s="3"/>
      <c r="H2012" s="3"/>
      <c r="I2012" s="3">
        <v>6991.0634705655502</v>
      </c>
      <c r="J2012" s="3">
        <v>6991.0634705655502</v>
      </c>
    </row>
    <row r="2013" spans="2:10" x14ac:dyDescent="0.25">
      <c r="B2013" t="s">
        <v>137</v>
      </c>
      <c r="C2013" t="s">
        <v>417</v>
      </c>
      <c r="D2013" t="s">
        <v>421</v>
      </c>
      <c r="E2013" t="s">
        <v>48</v>
      </c>
      <c r="F2013" s="3"/>
      <c r="G2013" s="3"/>
      <c r="H2013" s="3"/>
      <c r="I2013" s="3">
        <v>6991.0634705655502</v>
      </c>
      <c r="J2013" s="3">
        <v>6991.0634705655502</v>
      </c>
    </row>
    <row r="2014" spans="2:10" x14ac:dyDescent="0.25">
      <c r="B2014" t="s">
        <v>137</v>
      </c>
      <c r="C2014" t="s">
        <v>417</v>
      </c>
      <c r="D2014" t="s">
        <v>421</v>
      </c>
      <c r="E2014" t="s">
        <v>49</v>
      </c>
      <c r="F2014" s="3"/>
      <c r="G2014" s="3"/>
      <c r="H2014" s="3"/>
      <c r="I2014" s="3">
        <v>6991.0634705655502</v>
      </c>
      <c r="J2014" s="3">
        <v>6991.0634705655502</v>
      </c>
    </row>
    <row r="2015" spans="2:10" x14ac:dyDescent="0.25">
      <c r="B2015" t="s">
        <v>137</v>
      </c>
      <c r="C2015" t="s">
        <v>417</v>
      </c>
      <c r="D2015" t="s">
        <v>421</v>
      </c>
      <c r="E2015" t="s">
        <v>50</v>
      </c>
      <c r="F2015" s="3"/>
      <c r="G2015" s="3"/>
      <c r="H2015" s="3"/>
      <c r="I2015" s="3">
        <v>6991.0634705655502</v>
      </c>
      <c r="J2015" s="3">
        <v>6991.0634705655502</v>
      </c>
    </row>
    <row r="2016" spans="2:10" x14ac:dyDescent="0.25">
      <c r="B2016" t="s">
        <v>137</v>
      </c>
      <c r="C2016" t="s">
        <v>417</v>
      </c>
      <c r="D2016" t="s">
        <v>421</v>
      </c>
      <c r="E2016" t="s">
        <v>51</v>
      </c>
      <c r="F2016" s="3"/>
      <c r="G2016" s="3"/>
      <c r="H2016" s="3"/>
      <c r="I2016" s="3">
        <v>6991.0634705655502</v>
      </c>
      <c r="J2016" s="3">
        <v>6991.0634705655502</v>
      </c>
    </row>
    <row r="2017" spans="2:10" x14ac:dyDescent="0.25">
      <c r="B2017" t="s">
        <v>137</v>
      </c>
      <c r="C2017" t="s">
        <v>417</v>
      </c>
      <c r="D2017" t="s">
        <v>421</v>
      </c>
      <c r="E2017" t="s">
        <v>196</v>
      </c>
      <c r="F2017" s="3"/>
      <c r="G2017" s="3"/>
      <c r="H2017" s="3"/>
      <c r="I2017" s="3">
        <v>6991.0634705655502</v>
      </c>
      <c r="J2017" s="3">
        <v>6991.0634705655502</v>
      </c>
    </row>
    <row r="2018" spans="2:10" x14ac:dyDescent="0.25">
      <c r="B2018" t="s">
        <v>137</v>
      </c>
      <c r="C2018" t="s">
        <v>417</v>
      </c>
      <c r="D2018" t="s">
        <v>421</v>
      </c>
      <c r="E2018" t="s">
        <v>197</v>
      </c>
      <c r="F2018" s="3"/>
      <c r="G2018" s="3"/>
      <c r="H2018" s="3"/>
      <c r="I2018" s="3">
        <v>6991.0634705655502</v>
      </c>
      <c r="J2018" s="3">
        <v>6991.0634705655502</v>
      </c>
    </row>
    <row r="2019" spans="2:10" x14ac:dyDescent="0.25">
      <c r="B2019" t="s">
        <v>137</v>
      </c>
      <c r="C2019" t="s">
        <v>417</v>
      </c>
      <c r="D2019" t="s">
        <v>421</v>
      </c>
      <c r="E2019" t="s">
        <v>198</v>
      </c>
      <c r="F2019" s="3"/>
      <c r="G2019" s="3"/>
      <c r="H2019" s="3"/>
      <c r="I2019" s="3">
        <v>6991.0634705655502</v>
      </c>
      <c r="J2019" s="3">
        <v>6991.0634705655502</v>
      </c>
    </row>
    <row r="2020" spans="2:10" x14ac:dyDescent="0.25">
      <c r="B2020" t="s">
        <v>137</v>
      </c>
      <c r="C2020" t="s">
        <v>417</v>
      </c>
      <c r="D2020" t="s">
        <v>421</v>
      </c>
      <c r="E2020" t="s">
        <v>199</v>
      </c>
      <c r="F2020" s="3"/>
      <c r="G2020" s="3"/>
      <c r="H2020" s="3"/>
      <c r="I2020" s="3">
        <v>6991.0634705655502</v>
      </c>
      <c r="J2020" s="3">
        <v>6991.0634705655502</v>
      </c>
    </row>
    <row r="2021" spans="2:10" x14ac:dyDescent="0.25">
      <c r="B2021" t="s">
        <v>137</v>
      </c>
      <c r="C2021" t="s">
        <v>417</v>
      </c>
      <c r="D2021" t="s">
        <v>421</v>
      </c>
      <c r="E2021" t="s">
        <v>200</v>
      </c>
      <c r="F2021" s="3"/>
      <c r="G2021" s="3"/>
      <c r="H2021" s="3"/>
      <c r="I2021" s="3">
        <v>6991.0634705655502</v>
      </c>
      <c r="J2021" s="3">
        <v>6991.0634705655502</v>
      </c>
    </row>
    <row r="2022" spans="2:10" x14ac:dyDescent="0.25">
      <c r="B2022" t="s">
        <v>137</v>
      </c>
      <c r="C2022" t="s">
        <v>417</v>
      </c>
      <c r="D2022" t="s">
        <v>421</v>
      </c>
      <c r="E2022" t="s">
        <v>240</v>
      </c>
      <c r="F2022" s="3"/>
      <c r="G2022" s="3"/>
      <c r="H2022" s="3"/>
      <c r="I2022" s="3">
        <v>6991.0634705655502</v>
      </c>
      <c r="J2022" s="3">
        <v>6991.0634705655502</v>
      </c>
    </row>
    <row r="2023" spans="2:10" x14ac:dyDescent="0.25">
      <c r="B2023" t="s">
        <v>137</v>
      </c>
      <c r="C2023" t="s">
        <v>417</v>
      </c>
      <c r="D2023" t="s">
        <v>421</v>
      </c>
      <c r="E2023" t="s">
        <v>301</v>
      </c>
      <c r="F2023" s="3"/>
      <c r="G2023" s="3"/>
      <c r="H2023" s="3"/>
      <c r="I2023" s="3">
        <v>6991.0634705655502</v>
      </c>
      <c r="J2023" s="3">
        <v>6991.0634705655502</v>
      </c>
    </row>
    <row r="2024" spans="2:10" x14ac:dyDescent="0.25">
      <c r="B2024" t="s">
        <v>137</v>
      </c>
      <c r="C2024" t="s">
        <v>417</v>
      </c>
      <c r="D2024" t="s">
        <v>421</v>
      </c>
      <c r="E2024" t="s">
        <v>302</v>
      </c>
      <c r="F2024" s="3"/>
      <c r="G2024" s="3"/>
      <c r="H2024" s="3"/>
      <c r="I2024" s="3">
        <v>6991.0634705655502</v>
      </c>
      <c r="J2024" s="3">
        <v>6991.0634705655502</v>
      </c>
    </row>
    <row r="2025" spans="2:10" x14ac:dyDescent="0.25">
      <c r="B2025" t="s">
        <v>137</v>
      </c>
      <c r="C2025" t="s">
        <v>417</v>
      </c>
      <c r="D2025" t="s">
        <v>421</v>
      </c>
      <c r="E2025" t="s">
        <v>303</v>
      </c>
      <c r="F2025" s="3"/>
      <c r="G2025" s="3"/>
      <c r="H2025" s="3"/>
      <c r="I2025" s="3">
        <v>6991.0634705655502</v>
      </c>
      <c r="J2025" s="3">
        <v>6991.0634705655502</v>
      </c>
    </row>
    <row r="2026" spans="2:10" x14ac:dyDescent="0.25">
      <c r="B2026" t="s">
        <v>137</v>
      </c>
      <c r="C2026" t="s">
        <v>417</v>
      </c>
      <c r="D2026" t="s">
        <v>421</v>
      </c>
      <c r="E2026" t="s">
        <v>304</v>
      </c>
      <c r="F2026" s="3"/>
      <c r="G2026" s="3"/>
      <c r="H2026" s="3"/>
      <c r="I2026" s="3">
        <v>6991.0634705655502</v>
      </c>
      <c r="J2026" s="3">
        <v>6991.0634705655502</v>
      </c>
    </row>
    <row r="2027" spans="2:10" x14ac:dyDescent="0.25">
      <c r="B2027" t="s">
        <v>137</v>
      </c>
      <c r="C2027" t="s">
        <v>417</v>
      </c>
      <c r="D2027" t="s">
        <v>421</v>
      </c>
      <c r="E2027" t="s">
        <v>305</v>
      </c>
      <c r="F2027" s="3"/>
      <c r="G2027" s="3"/>
      <c r="H2027" s="3"/>
      <c r="I2027" s="3">
        <v>6991.0634705655502</v>
      </c>
      <c r="J2027" s="3">
        <v>6991.0634705655502</v>
      </c>
    </row>
    <row r="2028" spans="2:10" x14ac:dyDescent="0.25">
      <c r="B2028" t="s">
        <v>137</v>
      </c>
      <c r="C2028" t="s">
        <v>417</v>
      </c>
      <c r="D2028" t="s">
        <v>421</v>
      </c>
      <c r="E2028" t="s">
        <v>306</v>
      </c>
      <c r="F2028" s="3"/>
      <c r="G2028" s="3"/>
      <c r="H2028" s="3"/>
      <c r="I2028" s="3">
        <v>6991.0634705655502</v>
      </c>
      <c r="J2028" s="3">
        <v>6991.0634705655502</v>
      </c>
    </row>
    <row r="2029" spans="2:10" x14ac:dyDescent="0.25">
      <c r="B2029" t="s">
        <v>137</v>
      </c>
      <c r="C2029" t="s">
        <v>417</v>
      </c>
      <c r="D2029" t="s">
        <v>421</v>
      </c>
      <c r="E2029" t="s">
        <v>307</v>
      </c>
      <c r="F2029" s="3"/>
      <c r="G2029" s="3"/>
      <c r="H2029" s="3"/>
      <c r="I2029" s="3">
        <v>6991.0634705655502</v>
      </c>
      <c r="J2029" s="3">
        <v>6991.0634705655502</v>
      </c>
    </row>
    <row r="2030" spans="2:10" x14ac:dyDescent="0.25">
      <c r="B2030" t="s">
        <v>137</v>
      </c>
      <c r="C2030" t="s">
        <v>417</v>
      </c>
      <c r="D2030" t="s">
        <v>421</v>
      </c>
      <c r="E2030" t="s">
        <v>308</v>
      </c>
      <c r="F2030" s="3"/>
      <c r="G2030" s="3"/>
      <c r="H2030" s="3"/>
      <c r="I2030" s="3">
        <v>6991.0634705655502</v>
      </c>
      <c r="J2030" s="3">
        <v>6991.0634705655502</v>
      </c>
    </row>
    <row r="2031" spans="2:10" x14ac:dyDescent="0.25">
      <c r="B2031" t="s">
        <v>137</v>
      </c>
      <c r="C2031" t="s">
        <v>417</v>
      </c>
      <c r="D2031" t="s">
        <v>421</v>
      </c>
      <c r="E2031" t="s">
        <v>309</v>
      </c>
      <c r="F2031" s="3"/>
      <c r="G2031" s="3"/>
      <c r="H2031" s="3"/>
      <c r="I2031" s="3">
        <v>6991.0634705655502</v>
      </c>
      <c r="J2031" s="3">
        <v>6991.0634705655502</v>
      </c>
    </row>
    <row r="2032" spans="2:10" x14ac:dyDescent="0.25">
      <c r="B2032" t="s">
        <v>137</v>
      </c>
      <c r="C2032" t="s">
        <v>417</v>
      </c>
      <c r="D2032" t="s">
        <v>421</v>
      </c>
      <c r="E2032" t="s">
        <v>310</v>
      </c>
      <c r="F2032" s="3"/>
      <c r="G2032" s="3"/>
      <c r="H2032" s="3"/>
      <c r="I2032" s="3">
        <v>6991.0634705655502</v>
      </c>
      <c r="J2032" s="3">
        <v>6991.0634705655502</v>
      </c>
    </row>
    <row r="2033" spans="2:10" x14ac:dyDescent="0.25">
      <c r="B2033" t="s">
        <v>137</v>
      </c>
      <c r="C2033" t="s">
        <v>417</v>
      </c>
      <c r="D2033" t="s">
        <v>421</v>
      </c>
      <c r="E2033" t="s">
        <v>311</v>
      </c>
      <c r="F2033" s="3"/>
      <c r="G2033" s="3"/>
      <c r="H2033" s="3"/>
      <c r="I2033" s="3">
        <v>6991.0634705655502</v>
      </c>
      <c r="J2033" s="3">
        <v>6991.0634705655502</v>
      </c>
    </row>
    <row r="2034" spans="2:10" x14ac:dyDescent="0.25">
      <c r="B2034" t="s">
        <v>137</v>
      </c>
      <c r="C2034" t="s">
        <v>417</v>
      </c>
      <c r="D2034" t="s">
        <v>421</v>
      </c>
      <c r="E2034" t="s">
        <v>312</v>
      </c>
      <c r="F2034" s="3"/>
      <c r="G2034" s="3"/>
      <c r="H2034" s="3"/>
      <c r="I2034" s="3">
        <v>6991.0634705655502</v>
      </c>
      <c r="J2034" s="3">
        <v>6991.0634705655502</v>
      </c>
    </row>
    <row r="2035" spans="2:10" x14ac:dyDescent="0.25">
      <c r="B2035" t="s">
        <v>137</v>
      </c>
      <c r="C2035" t="s">
        <v>422</v>
      </c>
      <c r="D2035" t="s">
        <v>423</v>
      </c>
      <c r="E2035" t="s">
        <v>308</v>
      </c>
      <c r="F2035" s="3"/>
      <c r="G2035" s="3">
        <v>-5.8410958904109604E-4</v>
      </c>
      <c r="H2035" s="3"/>
      <c r="I2035" s="3"/>
      <c r="J2035" s="3">
        <v>-5.8410958904109604E-4</v>
      </c>
    </row>
    <row r="2036" spans="2:10" x14ac:dyDescent="0.25">
      <c r="B2036" t="s">
        <v>0</v>
      </c>
      <c r="F2036" s="3">
        <v>122373.80079839817</v>
      </c>
      <c r="G2036" s="3">
        <v>-153875.21490269681</v>
      </c>
      <c r="H2036" s="3">
        <v>825109.8817934175</v>
      </c>
      <c r="I2036" s="3">
        <v>1776173.2806308274</v>
      </c>
      <c r="J2036" s="3">
        <v>2569781.7483199402</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C33"/>
  <sheetViews>
    <sheetView workbookViewId="0">
      <selection activeCell="B2" sqref="B2"/>
    </sheetView>
  </sheetViews>
  <sheetFormatPr defaultRowHeight="15" x14ac:dyDescent="0.25"/>
  <cols>
    <col min="2" max="2" width="19.42578125" bestFit="1" customWidth="1"/>
    <col min="3" max="8" width="12" bestFit="1" customWidth="1"/>
    <col min="9" max="9" width="12.5703125" customWidth="1"/>
    <col min="10" max="10" width="13.5703125" bestFit="1" customWidth="1"/>
    <col min="11" max="11" width="12" customWidth="1"/>
    <col min="12" max="13" width="12" bestFit="1" customWidth="1"/>
    <col min="14" max="14" width="15.140625" bestFit="1" customWidth="1"/>
    <col min="15" max="15" width="14.5703125" bestFit="1" customWidth="1"/>
    <col min="16" max="18" width="12" bestFit="1" customWidth="1"/>
    <col min="19" max="19" width="12" customWidth="1"/>
    <col min="20" max="22" width="12" bestFit="1" customWidth="1"/>
    <col min="23" max="23" width="14.140625" bestFit="1" customWidth="1"/>
    <col min="24" max="25" width="12" bestFit="1" customWidth="1"/>
    <col min="26" max="26" width="16" bestFit="1" customWidth="1"/>
    <col min="27" max="27" width="14.28515625" bestFit="1" customWidth="1"/>
    <col min="28" max="28" width="16" bestFit="1" customWidth="1"/>
    <col min="29" max="29" width="12" bestFit="1" customWidth="1"/>
  </cols>
  <sheetData>
    <row r="2" spans="2:3" x14ac:dyDescent="0.25">
      <c r="B2" s="1" t="s">
        <v>45</v>
      </c>
      <c r="C2" t="s">
        <v>13</v>
      </c>
    </row>
    <row r="3" spans="2:3" x14ac:dyDescent="0.25">
      <c r="B3" s="2" t="s">
        <v>6</v>
      </c>
      <c r="C3" s="3">
        <v>70.270919000000021</v>
      </c>
    </row>
    <row r="4" spans="2:3" x14ac:dyDescent="0.25">
      <c r="B4" s="4" t="s">
        <v>16</v>
      </c>
      <c r="C4" s="3">
        <v>14.246499266666669</v>
      </c>
    </row>
    <row r="5" spans="2:3" x14ac:dyDescent="0.25">
      <c r="B5" s="4" t="s">
        <v>226</v>
      </c>
      <c r="C5" s="3">
        <v>34.624199790191497</v>
      </c>
    </row>
    <row r="6" spans="2:3" x14ac:dyDescent="0.25">
      <c r="B6" s="4" t="s">
        <v>228</v>
      </c>
      <c r="C6" s="3">
        <v>4.4755519274725968</v>
      </c>
    </row>
    <row r="7" spans="2:3" x14ac:dyDescent="0.25">
      <c r="B7" s="4" t="s">
        <v>230</v>
      </c>
      <c r="C7" s="3">
        <v>0.95692020480661544</v>
      </c>
    </row>
    <row r="8" spans="2:3" x14ac:dyDescent="0.25">
      <c r="B8" s="4" t="s">
        <v>235</v>
      </c>
      <c r="C8" s="3">
        <v>5.5238668944679805</v>
      </c>
    </row>
    <row r="9" spans="2:3" x14ac:dyDescent="0.25">
      <c r="B9" s="4" t="s">
        <v>233</v>
      </c>
      <c r="C9" s="3">
        <v>0.95771912816451255</v>
      </c>
    </row>
    <row r="10" spans="2:3" x14ac:dyDescent="0.25">
      <c r="B10" s="4" t="s">
        <v>333</v>
      </c>
      <c r="C10" s="3">
        <v>3.7486449610524168</v>
      </c>
    </row>
    <row r="11" spans="2:3" x14ac:dyDescent="0.25">
      <c r="B11" s="4" t="s">
        <v>232</v>
      </c>
      <c r="C11" s="3">
        <v>5.7375168271777355</v>
      </c>
    </row>
    <row r="12" spans="2:3" x14ac:dyDescent="0.25">
      <c r="B12" s="2" t="s">
        <v>19</v>
      </c>
      <c r="C12" s="3">
        <v>156.448928</v>
      </c>
    </row>
    <row r="13" spans="2:3" x14ac:dyDescent="0.25">
      <c r="B13" s="4" t="s">
        <v>159</v>
      </c>
      <c r="C13" s="3">
        <v>156.448928</v>
      </c>
    </row>
    <row r="14" spans="2:3" x14ac:dyDescent="0.25">
      <c r="B14" s="2" t="s">
        <v>7</v>
      </c>
      <c r="C14" s="3">
        <v>12.493187000000004</v>
      </c>
    </row>
    <row r="15" spans="2:3" x14ac:dyDescent="0.25">
      <c r="B15" s="4" t="s">
        <v>226</v>
      </c>
      <c r="C15" s="3">
        <v>3.5446255207563282</v>
      </c>
    </row>
    <row r="16" spans="2:3" x14ac:dyDescent="0.25">
      <c r="B16" s="4" t="s">
        <v>235</v>
      </c>
      <c r="C16" s="3">
        <v>2.6383531417181949</v>
      </c>
    </row>
    <row r="17" spans="2:3" x14ac:dyDescent="0.25">
      <c r="B17" s="4" t="s">
        <v>233</v>
      </c>
      <c r="C17" s="3">
        <v>0.4446769045414149</v>
      </c>
    </row>
    <row r="18" spans="2:3" x14ac:dyDescent="0.25">
      <c r="B18" s="4" t="s">
        <v>333</v>
      </c>
      <c r="C18" s="3">
        <v>0.19036229751415568</v>
      </c>
    </row>
    <row r="19" spans="2:3" x14ac:dyDescent="0.25">
      <c r="B19" s="4" t="s">
        <v>424</v>
      </c>
      <c r="C19" s="3">
        <v>1.6714551354699101</v>
      </c>
    </row>
    <row r="20" spans="2:3" x14ac:dyDescent="0.25">
      <c r="B20" s="4" t="s">
        <v>9</v>
      </c>
      <c r="C20" s="3">
        <v>4.0037140000000004</v>
      </c>
    </row>
    <row r="21" spans="2:3" x14ac:dyDescent="0.25">
      <c r="B21" s="2" t="s">
        <v>8</v>
      </c>
      <c r="C21" s="3">
        <v>102.96482900000004</v>
      </c>
    </row>
    <row r="22" spans="2:3" x14ac:dyDescent="0.25">
      <c r="B22" s="4" t="s">
        <v>16</v>
      </c>
      <c r="C22" s="3">
        <v>1.3308450267983241</v>
      </c>
    </row>
    <row r="23" spans="2:3" x14ac:dyDescent="0.25">
      <c r="B23" s="4" t="s">
        <v>226</v>
      </c>
      <c r="C23" s="3">
        <v>43.748215910894501</v>
      </c>
    </row>
    <row r="24" spans="2:3" x14ac:dyDescent="0.25">
      <c r="B24" s="4" t="s">
        <v>228</v>
      </c>
      <c r="C24" s="3">
        <v>6.9235760038715713E-3</v>
      </c>
    </row>
    <row r="25" spans="2:3" x14ac:dyDescent="0.25">
      <c r="B25" s="4" t="s">
        <v>230</v>
      </c>
      <c r="C25" s="3">
        <v>0.48618150051056486</v>
      </c>
    </row>
    <row r="26" spans="2:3" x14ac:dyDescent="0.25">
      <c r="B26" s="4" t="s">
        <v>235</v>
      </c>
      <c r="C26" s="3">
        <v>18.598062497214258</v>
      </c>
    </row>
    <row r="27" spans="2:3" x14ac:dyDescent="0.25">
      <c r="B27" s="4" t="s">
        <v>233</v>
      </c>
      <c r="C27" s="3">
        <v>24.083796806769026</v>
      </c>
    </row>
    <row r="28" spans="2:3" x14ac:dyDescent="0.25">
      <c r="B28" s="4" t="s">
        <v>333</v>
      </c>
      <c r="C28" s="3">
        <v>9.5481567803797969</v>
      </c>
    </row>
    <row r="29" spans="2:3" x14ac:dyDescent="0.25">
      <c r="B29" s="4" t="s">
        <v>232</v>
      </c>
      <c r="C29" s="3">
        <v>1.2757324621502786</v>
      </c>
    </row>
    <row r="30" spans="2:3" x14ac:dyDescent="0.25">
      <c r="B30" s="4" t="s">
        <v>231</v>
      </c>
      <c r="C30" s="3">
        <v>1.5400242954923176</v>
      </c>
    </row>
    <row r="31" spans="2:3" x14ac:dyDescent="0.25">
      <c r="B31" s="4" t="s">
        <v>236</v>
      </c>
      <c r="C31" s="3">
        <v>2.1716901437870932</v>
      </c>
    </row>
    <row r="32" spans="2:3" x14ac:dyDescent="0.25">
      <c r="B32" s="4" t="s">
        <v>425</v>
      </c>
      <c r="C32" s="3">
        <v>0.17519999999999999</v>
      </c>
    </row>
    <row r="33" spans="2:3" x14ac:dyDescent="0.25">
      <c r="B33" s="2" t="s">
        <v>0</v>
      </c>
      <c r="C33" s="3">
        <v>342.17786300000012</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R29"/>
  <sheetViews>
    <sheetView zoomScale="85" zoomScaleNormal="85" workbookViewId="0">
      <selection activeCell="C4" sqref="C4"/>
    </sheetView>
  </sheetViews>
  <sheetFormatPr defaultRowHeight="15" x14ac:dyDescent="0.25"/>
  <cols>
    <col min="2" max="2" width="13.28515625" bestFit="1" customWidth="1"/>
    <col min="3" max="3" width="8.140625" customWidth="1"/>
    <col min="4" max="8" width="16" customWidth="1"/>
    <col min="9" max="13" width="16" bestFit="1" customWidth="1"/>
    <col min="14" max="17" width="16" customWidth="1"/>
    <col min="18" max="18" width="12.28515625" customWidth="1"/>
    <col min="19" max="21" width="15.140625" customWidth="1"/>
    <col min="22" max="22" width="12.28515625" customWidth="1"/>
    <col min="23" max="24" width="16" bestFit="1" customWidth="1"/>
    <col min="25" max="29" width="16" customWidth="1"/>
    <col min="30" max="30" width="12.28515625" customWidth="1"/>
    <col min="31" max="31" width="19.85546875" customWidth="1"/>
    <col min="32" max="32" width="28.42578125" bestFit="1" customWidth="1"/>
    <col min="33" max="33" width="12.28515625" customWidth="1"/>
    <col min="34" max="34" width="16.42578125" customWidth="1"/>
    <col min="35" max="35" width="25.7109375" bestFit="1" customWidth="1"/>
    <col min="36" max="36" width="17.5703125" customWidth="1"/>
    <col min="37" max="37" width="12.7109375" customWidth="1"/>
    <col min="38" max="38" width="18.85546875" customWidth="1"/>
    <col min="39" max="39" width="15.7109375" customWidth="1"/>
    <col min="40" max="41" width="12.28515625" customWidth="1"/>
    <col min="42" max="42" width="27.28515625" bestFit="1" customWidth="1"/>
    <col min="43" max="43" width="29.7109375" bestFit="1" customWidth="1"/>
    <col min="44" max="44" width="29.42578125" bestFit="1" customWidth="1"/>
    <col min="45" max="45" width="15.28515625" bestFit="1" customWidth="1"/>
    <col min="46" max="46" width="17.85546875" bestFit="1" customWidth="1"/>
    <col min="47" max="47" width="18" bestFit="1" customWidth="1"/>
    <col min="48" max="48" width="19.140625" bestFit="1" customWidth="1"/>
    <col min="49" max="49" width="19.85546875" bestFit="1" customWidth="1"/>
    <col min="50" max="50" width="28.42578125" bestFit="1" customWidth="1"/>
    <col min="51" max="51" width="12.28515625" bestFit="1" customWidth="1"/>
    <col min="52" max="52" width="16.42578125" bestFit="1" customWidth="1"/>
    <col min="53" max="53" width="25.7109375" bestFit="1" customWidth="1"/>
    <col min="54" max="54" width="17.5703125" bestFit="1" customWidth="1"/>
    <col min="55" max="55" width="12.7109375" bestFit="1" customWidth="1"/>
    <col min="56" max="56" width="18.85546875" bestFit="1" customWidth="1"/>
    <col min="57" max="57" width="15.7109375" bestFit="1" customWidth="1"/>
    <col min="58" max="59" width="12.28515625" bestFit="1" customWidth="1"/>
  </cols>
  <sheetData>
    <row r="3" spans="2:18" x14ac:dyDescent="0.25">
      <c r="B3" s="1" t="s">
        <v>14</v>
      </c>
      <c r="D3" s="1" t="s">
        <v>12</v>
      </c>
    </row>
    <row r="4" spans="2:18" x14ac:dyDescent="0.25">
      <c r="B4" s="1" t="s">
        <v>15</v>
      </c>
      <c r="C4" s="1" t="s">
        <v>88</v>
      </c>
      <c r="D4" t="s">
        <v>16</v>
      </c>
      <c r="E4" t="s">
        <v>226</v>
      </c>
      <c r="F4" t="s">
        <v>235</v>
      </c>
      <c r="G4" t="s">
        <v>230</v>
      </c>
      <c r="H4" t="s">
        <v>228</v>
      </c>
      <c r="I4" t="s">
        <v>233</v>
      </c>
      <c r="J4" t="s">
        <v>333</v>
      </c>
      <c r="K4" t="s">
        <v>232</v>
      </c>
      <c r="L4" t="s">
        <v>159</v>
      </c>
      <c r="M4" t="s">
        <v>424</v>
      </c>
      <c r="N4" t="s">
        <v>231</v>
      </c>
      <c r="O4" t="s">
        <v>236</v>
      </c>
      <c r="P4" t="s">
        <v>425</v>
      </c>
      <c r="Q4" t="s">
        <v>9</v>
      </c>
      <c r="R4" t="s">
        <v>0</v>
      </c>
    </row>
    <row r="5" spans="2:18" x14ac:dyDescent="0.25">
      <c r="B5" t="s">
        <v>137</v>
      </c>
      <c r="C5" t="s">
        <v>46</v>
      </c>
      <c r="D5" s="3">
        <v>1473.2527008406898</v>
      </c>
      <c r="E5" s="3">
        <v>7588.8868637966752</v>
      </c>
      <c r="F5" s="3">
        <v>2634.1550343430117</v>
      </c>
      <c r="G5" s="3">
        <v>31.659043634592337</v>
      </c>
      <c r="H5" s="3">
        <v>427.81717749519629</v>
      </c>
      <c r="I5" s="3">
        <v>2228.7758618812468</v>
      </c>
      <c r="J5" s="3">
        <v>1415.3406815194232</v>
      </c>
      <c r="K5" s="3">
        <v>591.67423227152449</v>
      </c>
      <c r="L5" s="3">
        <v>17859.466666666638</v>
      </c>
      <c r="M5" s="3">
        <v>151.24833739346872</v>
      </c>
      <c r="N5" s="3"/>
      <c r="O5" s="3">
        <v>1.0814193412475499</v>
      </c>
      <c r="P5" s="3">
        <v>20</v>
      </c>
      <c r="Q5" s="3">
        <v>352.15296600361376</v>
      </c>
      <c r="R5" s="3">
        <v>34775.51098518732</v>
      </c>
    </row>
    <row r="6" spans="2:18" x14ac:dyDescent="0.25">
      <c r="B6" t="s">
        <v>137</v>
      </c>
      <c r="C6" t="s">
        <v>47</v>
      </c>
      <c r="D6" s="3">
        <v>1475.7629476570767</v>
      </c>
      <c r="E6" s="3">
        <v>7669.2440204638269</v>
      </c>
      <c r="F6" s="3">
        <v>2639.1360698875255</v>
      </c>
      <c r="G6" s="3">
        <v>31.715625144974442</v>
      </c>
      <c r="H6" s="3">
        <v>423.87290831501286</v>
      </c>
      <c r="I6" s="3">
        <v>2278.5488028231125</v>
      </c>
      <c r="J6" s="3">
        <v>1417.6406273444022</v>
      </c>
      <c r="K6" s="3">
        <v>589.6426296947518</v>
      </c>
      <c r="L6" s="3">
        <v>17859.466666666638</v>
      </c>
      <c r="M6" s="3">
        <v>154.35473603384182</v>
      </c>
      <c r="N6" s="3">
        <v>15.2729463224786</v>
      </c>
      <c r="O6" s="3">
        <v>1.2589714091236599</v>
      </c>
      <c r="P6" s="3">
        <v>20</v>
      </c>
      <c r="Q6" s="3">
        <v>360.10349643892039</v>
      </c>
      <c r="R6" s="3">
        <v>34936.020448201678</v>
      </c>
    </row>
    <row r="7" spans="2:18" x14ac:dyDescent="0.25">
      <c r="B7" t="s">
        <v>137</v>
      </c>
      <c r="C7" t="s">
        <v>48</v>
      </c>
      <c r="D7" s="3">
        <v>1487.6826775097106</v>
      </c>
      <c r="E7" s="3">
        <v>7700.0723730764221</v>
      </c>
      <c r="F7" s="3">
        <v>2653.7475857050376</v>
      </c>
      <c r="G7" s="3">
        <v>29.766041896907453</v>
      </c>
      <c r="H7" s="3">
        <v>420.98044424954486</v>
      </c>
      <c r="I7" s="3">
        <v>2303.8268270099525</v>
      </c>
      <c r="J7" s="3">
        <v>1424.606488537298</v>
      </c>
      <c r="K7" s="3">
        <v>584.02485980938604</v>
      </c>
      <c r="L7" s="3">
        <v>17859.466666666638</v>
      </c>
      <c r="M7" s="3">
        <v>157.01088500570737</v>
      </c>
      <c r="N7" s="3">
        <v>25.318224093914498</v>
      </c>
      <c r="O7" s="3"/>
      <c r="P7" s="3">
        <v>20</v>
      </c>
      <c r="Q7" s="3">
        <v>366.68316209689448</v>
      </c>
      <c r="R7" s="3">
        <v>35033.186235657413</v>
      </c>
    </row>
    <row r="8" spans="2:18" x14ac:dyDescent="0.25">
      <c r="B8" t="s">
        <v>137</v>
      </c>
      <c r="C8" t="s">
        <v>49</v>
      </c>
      <c r="D8" s="3">
        <v>1548.8444027061778</v>
      </c>
      <c r="E8" s="3">
        <v>8053.2415751652143</v>
      </c>
      <c r="F8" s="3">
        <v>2719.1879186967299</v>
      </c>
      <c r="G8" s="3">
        <v>33.75730747142731</v>
      </c>
      <c r="H8" s="3">
        <v>423.08405447897604</v>
      </c>
      <c r="I8" s="3">
        <v>2435.6019344022216</v>
      </c>
      <c r="J8" s="3">
        <v>1435.7944115864223</v>
      </c>
      <c r="K8" s="3">
        <v>590.11639866169651</v>
      </c>
      <c r="L8" s="3">
        <v>17859.466666666638</v>
      </c>
      <c r="M8" s="3">
        <v>171.95346171989038</v>
      </c>
      <c r="N8" s="3">
        <v>68.255658552291194</v>
      </c>
      <c r="O8" s="3">
        <v>8.4003369800585688</v>
      </c>
      <c r="P8" s="3">
        <v>20</v>
      </c>
      <c r="Q8" s="3">
        <v>384.87693377539767</v>
      </c>
      <c r="R8" s="3">
        <v>35752.581060863136</v>
      </c>
    </row>
    <row r="9" spans="2:18" x14ac:dyDescent="0.25">
      <c r="B9" t="s">
        <v>137</v>
      </c>
      <c r="C9" t="s">
        <v>50</v>
      </c>
      <c r="D9" s="3">
        <v>1639.1680827235189</v>
      </c>
      <c r="E9" s="3">
        <v>8496.0109012551457</v>
      </c>
      <c r="F9" s="3">
        <v>2829.4257131864128</v>
      </c>
      <c r="G9" s="3">
        <v>46.473315964625058</v>
      </c>
      <c r="H9" s="3">
        <v>433.3391543474533</v>
      </c>
      <c r="I9" s="3">
        <v>2567.4515606888667</v>
      </c>
      <c r="J9" s="3">
        <v>1475.7595254142007</v>
      </c>
      <c r="K9" s="3">
        <v>610.65275343545045</v>
      </c>
      <c r="L9" s="3">
        <v>17859.466666666638</v>
      </c>
      <c r="M9" s="3">
        <v>178.13968739923538</v>
      </c>
      <c r="N9" s="3">
        <v>115.67106993715561</v>
      </c>
      <c r="O9" s="3">
        <v>49.87738028146439</v>
      </c>
      <c r="P9" s="3">
        <v>20</v>
      </c>
      <c r="Q9" s="3">
        <v>412.10840375963511</v>
      </c>
      <c r="R9" s="3">
        <v>36733.544215059803</v>
      </c>
    </row>
    <row r="10" spans="2:18" x14ac:dyDescent="0.25">
      <c r="B10" t="s">
        <v>137</v>
      </c>
      <c r="C10" t="s">
        <v>51</v>
      </c>
      <c r="D10" s="3">
        <v>1852.296883514216</v>
      </c>
      <c r="E10" s="3">
        <v>9385.554957094635</v>
      </c>
      <c r="F10" s="3">
        <v>2878.3670897305551</v>
      </c>
      <c r="G10" s="3">
        <v>231.84875579696649</v>
      </c>
      <c r="H10" s="3">
        <v>440.9647414291415</v>
      </c>
      <c r="I10" s="3">
        <v>2830.0314446593266</v>
      </c>
      <c r="J10" s="3">
        <v>1495.0400841381052</v>
      </c>
      <c r="K10" s="3">
        <v>657.43520317633943</v>
      </c>
      <c r="L10" s="3">
        <v>17859.466666666638</v>
      </c>
      <c r="M10" s="3">
        <v>191.32000889454253</v>
      </c>
      <c r="N10" s="3">
        <v>181.28233829507349</v>
      </c>
      <c r="O10" s="3">
        <v>223.2059742423364</v>
      </c>
      <c r="P10" s="3">
        <v>20</v>
      </c>
      <c r="Q10" s="3">
        <v>457.74173391006121</v>
      </c>
      <c r="R10" s="3">
        <v>38704.555881547945</v>
      </c>
    </row>
    <row r="11" spans="2:18" x14ac:dyDescent="0.25">
      <c r="B11" t="s">
        <v>137</v>
      </c>
      <c r="C11" t="s">
        <v>196</v>
      </c>
      <c r="D11" s="3">
        <v>1997.9099605473866</v>
      </c>
      <c r="E11" s="3">
        <v>10115.767656453136</v>
      </c>
      <c r="F11" s="3">
        <v>3352.4333229132931</v>
      </c>
      <c r="G11" s="3">
        <v>396.7126692905195</v>
      </c>
      <c r="H11" s="3">
        <v>491.42232542738049</v>
      </c>
      <c r="I11" s="3">
        <v>3487.6685153571125</v>
      </c>
      <c r="J11" s="3">
        <v>1548.3604979281688</v>
      </c>
      <c r="K11" s="3">
        <v>1015.0969156385696</v>
      </c>
      <c r="L11" s="3">
        <v>17859.466666666638</v>
      </c>
      <c r="M11" s="3">
        <v>227.63498442332312</v>
      </c>
      <c r="N11" s="3">
        <v>274.05453501048891</v>
      </c>
      <c r="O11" s="3">
        <v>497.12224631576123</v>
      </c>
      <c r="P11" s="3">
        <v>20</v>
      </c>
      <c r="Q11" s="3">
        <v>545.34516639014737</v>
      </c>
      <c r="R11" s="3">
        <v>41828.995462361927</v>
      </c>
    </row>
    <row r="12" spans="2:18" x14ac:dyDescent="0.25">
      <c r="B12" t="s">
        <v>137</v>
      </c>
      <c r="C12" t="s">
        <v>197</v>
      </c>
      <c r="D12" s="3">
        <v>2019.8196989387611</v>
      </c>
      <c r="E12" s="3">
        <v>10413.964390824533</v>
      </c>
      <c r="F12" s="3">
        <v>3696.4233032906436</v>
      </c>
      <c r="G12" s="3">
        <v>445.97848368460575</v>
      </c>
      <c r="H12" s="3">
        <v>545.11133154960908</v>
      </c>
      <c r="I12" s="3">
        <v>3634.6638513917219</v>
      </c>
      <c r="J12" s="3">
        <v>1646.0767709466124</v>
      </c>
      <c r="K12" s="3">
        <v>1202.8158563511122</v>
      </c>
      <c r="L12" s="3">
        <v>17859.466666666638</v>
      </c>
      <c r="M12" s="3">
        <v>255.76701410287251</v>
      </c>
      <c r="N12" s="3">
        <v>331.98725369592051</v>
      </c>
      <c r="O12" s="3">
        <v>500.60808612627903</v>
      </c>
      <c r="P12" s="3">
        <v>20</v>
      </c>
      <c r="Q12" s="3">
        <v>603.39681503248823</v>
      </c>
      <c r="R12" s="3">
        <v>43176.079522601794</v>
      </c>
    </row>
    <row r="13" spans="2:18" x14ac:dyDescent="0.25">
      <c r="B13" t="s">
        <v>137</v>
      </c>
      <c r="C13" t="s">
        <v>198</v>
      </c>
      <c r="D13" s="3">
        <v>1993.3291218774859</v>
      </c>
      <c r="E13" s="3">
        <v>10361.977207848448</v>
      </c>
      <c r="F13" s="3">
        <v>3596.6703686393498</v>
      </c>
      <c r="G13" s="3">
        <v>363.93475497035553</v>
      </c>
      <c r="H13" s="3">
        <v>553.65528525412287</v>
      </c>
      <c r="I13" s="3">
        <v>3578.5204093231059</v>
      </c>
      <c r="J13" s="3">
        <v>1630.9902684586195</v>
      </c>
      <c r="K13" s="3">
        <v>1135.9297449033077</v>
      </c>
      <c r="L13" s="3">
        <v>17859.466666666638</v>
      </c>
      <c r="M13" s="3">
        <v>258.67623859381263</v>
      </c>
      <c r="N13" s="3">
        <v>329.56124220911147</v>
      </c>
      <c r="O13" s="3">
        <v>498.03808772556948</v>
      </c>
      <c r="P13" s="3">
        <v>20</v>
      </c>
      <c r="Q13" s="3">
        <v>609.28836441962153</v>
      </c>
      <c r="R13" s="3">
        <v>42790.037760889543</v>
      </c>
    </row>
    <row r="14" spans="2:18" x14ac:dyDescent="0.25">
      <c r="B14" t="s">
        <v>137</v>
      </c>
      <c r="C14" t="s">
        <v>199</v>
      </c>
      <c r="D14" s="3">
        <v>1922.8865607231969</v>
      </c>
      <c r="E14" s="3">
        <v>10185.144777713649</v>
      </c>
      <c r="F14" s="3">
        <v>3395.8888351791775</v>
      </c>
      <c r="G14" s="3">
        <v>241.35791967468688</v>
      </c>
      <c r="H14" s="3">
        <v>559.59991162627375</v>
      </c>
      <c r="I14" s="3">
        <v>3494.4740639138213</v>
      </c>
      <c r="J14" s="3">
        <v>1619.8788804361914</v>
      </c>
      <c r="K14" s="3">
        <v>1033.8726930745468</v>
      </c>
      <c r="L14" s="3">
        <v>17859.466666666638</v>
      </c>
      <c r="M14" s="3">
        <v>245.63229371774338</v>
      </c>
      <c r="N14" s="3">
        <v>288.0800135981234</v>
      </c>
      <c r="O14" s="3">
        <v>500.60808612627903</v>
      </c>
      <c r="P14" s="3">
        <v>20</v>
      </c>
      <c r="Q14" s="3">
        <v>583.22137449386207</v>
      </c>
      <c r="R14" s="3">
        <v>41950.112076944199</v>
      </c>
    </row>
    <row r="15" spans="2:18" x14ac:dyDescent="0.25">
      <c r="B15" t="s">
        <v>137</v>
      </c>
      <c r="C15" t="s">
        <v>200</v>
      </c>
      <c r="D15" s="3">
        <v>1873.0843027356148</v>
      </c>
      <c r="E15" s="3">
        <v>10087.439983399749</v>
      </c>
      <c r="F15" s="3">
        <v>3311.6884897093328</v>
      </c>
      <c r="G15" s="3">
        <v>152.21690023379844</v>
      </c>
      <c r="H15" s="3">
        <v>557.86250571298524</v>
      </c>
      <c r="I15" s="3">
        <v>3339.3191541074666</v>
      </c>
      <c r="J15" s="3">
        <v>1610.3355167093748</v>
      </c>
      <c r="K15" s="3">
        <v>923.68333838500405</v>
      </c>
      <c r="L15" s="3">
        <v>17859.466666666638</v>
      </c>
      <c r="M15" s="3">
        <v>229.41687016176641</v>
      </c>
      <c r="N15" s="3">
        <v>233.69752075776711</v>
      </c>
      <c r="O15" s="3">
        <v>498.69801103458224</v>
      </c>
      <c r="P15" s="3">
        <v>20</v>
      </c>
      <c r="Q15" s="3">
        <v>553.61165138505169</v>
      </c>
      <c r="R15" s="3">
        <v>41250.520910999134</v>
      </c>
    </row>
    <row r="16" spans="2:18" x14ac:dyDescent="0.25">
      <c r="B16" t="s">
        <v>137</v>
      </c>
      <c r="C16" t="s">
        <v>240</v>
      </c>
      <c r="D16" s="3">
        <v>1820.3955033961336</v>
      </c>
      <c r="E16" s="3">
        <v>9991.6661617222144</v>
      </c>
      <c r="F16" s="3">
        <v>3232.5799258930565</v>
      </c>
      <c r="G16" s="3">
        <v>120.64247316039524</v>
      </c>
      <c r="H16" s="3">
        <v>558.12545699166424</v>
      </c>
      <c r="I16" s="3">
        <v>3262.1288900275622</v>
      </c>
      <c r="J16" s="3">
        <v>1587.9183288948007</v>
      </c>
      <c r="K16" s="3">
        <v>860.72399258803512</v>
      </c>
      <c r="L16" s="3">
        <v>17859.466666666638</v>
      </c>
      <c r="M16" s="3">
        <v>217.5133583896486</v>
      </c>
      <c r="N16" s="3">
        <v>200.53769362386572</v>
      </c>
      <c r="O16" s="3">
        <v>489.51917591956783</v>
      </c>
      <c r="P16" s="3">
        <v>20</v>
      </c>
      <c r="Q16" s="3">
        <v>523.49911107079129</v>
      </c>
      <c r="R16" s="3">
        <v>40744.716738344367</v>
      </c>
    </row>
    <row r="17" spans="2:18" x14ac:dyDescent="0.25">
      <c r="B17" t="s">
        <v>137</v>
      </c>
      <c r="C17" t="s">
        <v>301</v>
      </c>
      <c r="D17" s="3">
        <v>1772.4404711349209</v>
      </c>
      <c r="E17" s="3">
        <v>9796.1664446330797</v>
      </c>
      <c r="F17" s="3">
        <v>3097.2827016244169</v>
      </c>
      <c r="G17" s="3">
        <v>106.99923757215674</v>
      </c>
      <c r="H17" s="3">
        <v>555.23299292619618</v>
      </c>
      <c r="I17" s="3">
        <v>3139.76912408099</v>
      </c>
      <c r="J17" s="3">
        <v>1576.7073710317979</v>
      </c>
      <c r="K17" s="3">
        <v>791.71571477301086</v>
      </c>
      <c r="L17" s="3">
        <v>17859.466666666638</v>
      </c>
      <c r="M17" s="3">
        <v>207.64144109110012</v>
      </c>
      <c r="N17" s="3">
        <v>197.12738045083401</v>
      </c>
      <c r="O17" s="3">
        <v>411.49339395196921</v>
      </c>
      <c r="P17" s="3">
        <v>20</v>
      </c>
      <c r="Q17" s="3">
        <v>497.77256082211215</v>
      </c>
      <c r="R17" s="3">
        <v>40029.815500759221</v>
      </c>
    </row>
    <row r="18" spans="2:18" x14ac:dyDescent="0.25">
      <c r="B18" t="s">
        <v>137</v>
      </c>
      <c r="C18" t="s">
        <v>302</v>
      </c>
      <c r="D18" s="3">
        <v>1764.7592134463789</v>
      </c>
      <c r="E18" s="3">
        <v>9666.67712872415</v>
      </c>
      <c r="F18" s="3">
        <v>3031.777324731614</v>
      </c>
      <c r="G18" s="3">
        <v>102.05316233312926</v>
      </c>
      <c r="H18" s="3">
        <v>541.32563666432463</v>
      </c>
      <c r="I18" s="3">
        <v>3078.7984290476747</v>
      </c>
      <c r="J18" s="3">
        <v>1586.2802538737221</v>
      </c>
      <c r="K18" s="3">
        <v>756.99224370087995</v>
      </c>
      <c r="L18" s="3">
        <v>17859.466666666638</v>
      </c>
      <c r="M18" s="3">
        <v>201.20540658956898</v>
      </c>
      <c r="N18" s="3">
        <v>195.95642102016052</v>
      </c>
      <c r="O18" s="3">
        <v>369.94126456160279</v>
      </c>
      <c r="P18" s="3">
        <v>20</v>
      </c>
      <c r="Q18" s="3">
        <v>485.3846925992118</v>
      </c>
      <c r="R18" s="3">
        <v>39660.617843959059</v>
      </c>
    </row>
    <row r="19" spans="2:18" x14ac:dyDescent="0.25">
      <c r="B19" t="s">
        <v>137</v>
      </c>
      <c r="C19" t="s">
        <v>303</v>
      </c>
      <c r="D19" s="3">
        <v>1745.4221152946836</v>
      </c>
      <c r="E19" s="3">
        <v>9578.7160794772808</v>
      </c>
      <c r="F19" s="3">
        <v>2989.0783851830442</v>
      </c>
      <c r="G19" s="3">
        <v>112.46906910102776</v>
      </c>
      <c r="H19" s="3">
        <v>544.48105200847147</v>
      </c>
      <c r="I19" s="3">
        <v>2984.1512475940031</v>
      </c>
      <c r="J19" s="3">
        <v>1582.6565749986194</v>
      </c>
      <c r="K19" s="3">
        <v>761.34349799052939</v>
      </c>
      <c r="L19" s="3">
        <v>17859.466666666638</v>
      </c>
      <c r="M19" s="3">
        <v>198.37532845078198</v>
      </c>
      <c r="N19" s="3">
        <v>196.29633909258501</v>
      </c>
      <c r="O19" s="3">
        <v>274.41492896045793</v>
      </c>
      <c r="P19" s="3">
        <v>20</v>
      </c>
      <c r="Q19" s="3">
        <v>475.87141237064253</v>
      </c>
      <c r="R19" s="3">
        <v>39322.742697188769</v>
      </c>
    </row>
    <row r="20" spans="2:18" x14ac:dyDescent="0.25">
      <c r="B20" t="s">
        <v>137</v>
      </c>
      <c r="C20" t="s">
        <v>304</v>
      </c>
      <c r="D20" s="3">
        <v>1765.286992225341</v>
      </c>
      <c r="E20" s="3">
        <v>9609.9772372871012</v>
      </c>
      <c r="F20" s="3">
        <v>2987.0600626511145</v>
      </c>
      <c r="G20" s="3">
        <v>126.99168421091709</v>
      </c>
      <c r="H20" s="3">
        <v>547.6364673526183</v>
      </c>
      <c r="I20" s="3">
        <v>2912.5377419882984</v>
      </c>
      <c r="J20" s="3">
        <v>1576.3630590391697</v>
      </c>
      <c r="K20" s="3">
        <v>773.99674342438936</v>
      </c>
      <c r="L20" s="3">
        <v>17859.466666666638</v>
      </c>
      <c r="M20" s="3">
        <v>187.52012788769184</v>
      </c>
      <c r="N20" s="3">
        <v>195.62560898837631</v>
      </c>
      <c r="O20" s="3">
        <v>224.05101289382711</v>
      </c>
      <c r="P20" s="3">
        <v>20</v>
      </c>
      <c r="Q20" s="3">
        <v>460.80028653040591</v>
      </c>
      <c r="R20" s="3">
        <v>39247.313691145893</v>
      </c>
    </row>
    <row r="21" spans="2:18" x14ac:dyDescent="0.25">
      <c r="B21" t="s">
        <v>137</v>
      </c>
      <c r="C21" t="s">
        <v>305</v>
      </c>
      <c r="D21" s="3">
        <v>1846.32983628486</v>
      </c>
      <c r="E21" s="3">
        <v>9788.4349990354422</v>
      </c>
      <c r="F21" s="3">
        <v>3072.034402638365</v>
      </c>
      <c r="G21" s="3">
        <v>143.19990001189052</v>
      </c>
      <c r="H21" s="3">
        <v>553.68434676223308</v>
      </c>
      <c r="I21" s="3">
        <v>2891.8996849832988</v>
      </c>
      <c r="J21" s="3">
        <v>1570.3679411889768</v>
      </c>
      <c r="K21" s="3">
        <v>793.30256498062045</v>
      </c>
      <c r="L21" s="3">
        <v>17859.466666666638</v>
      </c>
      <c r="M21" s="3">
        <v>177.8558967665904</v>
      </c>
      <c r="N21" s="3">
        <v>192.7694930713607</v>
      </c>
      <c r="O21" s="3">
        <v>216.28028377981127</v>
      </c>
      <c r="P21" s="3">
        <v>20</v>
      </c>
      <c r="Q21" s="3">
        <v>444.25283564493611</v>
      </c>
      <c r="R21" s="3">
        <v>39569.878851815018</v>
      </c>
    </row>
    <row r="22" spans="2:18" x14ac:dyDescent="0.25">
      <c r="B22" t="s">
        <v>137</v>
      </c>
      <c r="C22" t="s">
        <v>306</v>
      </c>
      <c r="D22" s="3">
        <v>1906.5088659146531</v>
      </c>
      <c r="E22" s="3">
        <v>9741.379249566975</v>
      </c>
      <c r="F22" s="3">
        <v>3198.8947356890385</v>
      </c>
      <c r="G22" s="3">
        <v>203.36453312207968</v>
      </c>
      <c r="H22" s="3">
        <v>552.56217906752022</v>
      </c>
      <c r="I22" s="3">
        <v>2843.6236659392234</v>
      </c>
      <c r="J22" s="3">
        <v>1561.2297969578522</v>
      </c>
      <c r="K22" s="3">
        <v>816.72740182253006</v>
      </c>
      <c r="L22" s="3">
        <v>17859.466666666638</v>
      </c>
      <c r="M22" s="3">
        <v>175.04892075084879</v>
      </c>
      <c r="N22" s="3">
        <v>188.91304510889168</v>
      </c>
      <c r="O22" s="3">
        <v>195.38557235655779</v>
      </c>
      <c r="P22" s="3">
        <v>20</v>
      </c>
      <c r="Q22" s="3">
        <v>432.85964699368935</v>
      </c>
      <c r="R22" s="3">
        <v>39695.964279956497</v>
      </c>
    </row>
    <row r="23" spans="2:18" x14ac:dyDescent="0.25">
      <c r="B23" t="s">
        <v>137</v>
      </c>
      <c r="C23" t="s">
        <v>307</v>
      </c>
      <c r="D23" s="3">
        <v>1989.577612164431</v>
      </c>
      <c r="E23" s="3">
        <v>9746.3263899234407</v>
      </c>
      <c r="F23" s="3">
        <v>3189.5197637823148</v>
      </c>
      <c r="G23" s="3">
        <v>258.07052692057999</v>
      </c>
      <c r="H23" s="3">
        <v>559.60233722638736</v>
      </c>
      <c r="I23" s="3">
        <v>2849.1717817690796</v>
      </c>
      <c r="J23" s="3">
        <v>1558.4027599205956</v>
      </c>
      <c r="K23" s="3">
        <v>865.56390034333469</v>
      </c>
      <c r="L23" s="3">
        <v>17859.466666666638</v>
      </c>
      <c r="M23" s="3">
        <v>174.50250810594045</v>
      </c>
      <c r="N23" s="3">
        <v>187.32185634961994</v>
      </c>
      <c r="O23" s="3">
        <v>200.21932623153359</v>
      </c>
      <c r="P23" s="3">
        <v>20</v>
      </c>
      <c r="Q23" s="3">
        <v>427.40150716493861</v>
      </c>
      <c r="R23" s="3">
        <v>39885.146936568839</v>
      </c>
    </row>
    <row r="24" spans="2:18" x14ac:dyDescent="0.25">
      <c r="B24" t="s">
        <v>137</v>
      </c>
      <c r="C24" t="s">
        <v>308</v>
      </c>
      <c r="D24" s="3">
        <v>1974.3733849803259</v>
      </c>
      <c r="E24" s="3">
        <v>9746.3899138834768</v>
      </c>
      <c r="F24" s="3">
        <v>3196.4880527851974</v>
      </c>
      <c r="G24" s="3">
        <v>246.5124336895409</v>
      </c>
      <c r="H24" s="3">
        <v>548.12155372702034</v>
      </c>
      <c r="I24" s="3">
        <v>2896.1138346615248</v>
      </c>
      <c r="J24" s="3">
        <v>1560.1253872260327</v>
      </c>
      <c r="K24" s="3">
        <v>860.30471862190427</v>
      </c>
      <c r="L24" s="3">
        <v>17859.466666666638</v>
      </c>
      <c r="M24" s="3">
        <v>174.84574212040781</v>
      </c>
      <c r="N24" s="3">
        <v>187.15485623127196</v>
      </c>
      <c r="O24" s="3">
        <v>236.90974616828441</v>
      </c>
      <c r="P24" s="3">
        <v>20</v>
      </c>
      <c r="Q24" s="3">
        <v>427.41098425614928</v>
      </c>
      <c r="R24" s="3">
        <v>39934.217275017778</v>
      </c>
    </row>
    <row r="25" spans="2:18" x14ac:dyDescent="0.25">
      <c r="B25" t="s">
        <v>137</v>
      </c>
      <c r="C25" t="s">
        <v>309</v>
      </c>
      <c r="D25" s="3">
        <v>1890.691647025996</v>
      </c>
      <c r="E25" s="3">
        <v>9655.4357262435133</v>
      </c>
      <c r="F25" s="3">
        <v>3054.9289510207473</v>
      </c>
      <c r="G25" s="3">
        <v>172.7498233378634</v>
      </c>
      <c r="H25" s="3">
        <v>541.08021779345825</v>
      </c>
      <c r="I25" s="3">
        <v>2854.511001683773</v>
      </c>
      <c r="J25" s="3">
        <v>1555.855130358545</v>
      </c>
      <c r="K25" s="3">
        <v>810.03207792952344</v>
      </c>
      <c r="L25" s="3">
        <v>17859.466666666638</v>
      </c>
      <c r="M25" s="3">
        <v>172.96916402455537</v>
      </c>
      <c r="N25" s="3">
        <v>184.08533528747498</v>
      </c>
      <c r="O25" s="3">
        <v>215.2991301138795</v>
      </c>
      <c r="P25" s="3">
        <v>20</v>
      </c>
      <c r="Q25" s="3">
        <v>418.54107404779597</v>
      </c>
      <c r="R25" s="3">
        <v>39405.645945533768</v>
      </c>
    </row>
    <row r="26" spans="2:18" x14ac:dyDescent="0.25">
      <c r="B26" t="s">
        <v>137</v>
      </c>
      <c r="C26" t="s">
        <v>310</v>
      </c>
      <c r="D26" s="3">
        <v>1787.4089539072738</v>
      </c>
      <c r="E26" s="3">
        <v>9345.7351173389306</v>
      </c>
      <c r="F26" s="3">
        <v>2921.2637970515516</v>
      </c>
      <c r="G26" s="3">
        <v>147.4272530036381</v>
      </c>
      <c r="H26" s="3">
        <v>500.67221409706468</v>
      </c>
      <c r="I26" s="3">
        <v>2751.0527888833008</v>
      </c>
      <c r="J26" s="3">
        <v>1550.4468346981316</v>
      </c>
      <c r="K26" s="3">
        <v>753.94653761905465</v>
      </c>
      <c r="L26" s="3">
        <v>17859.466666666638</v>
      </c>
      <c r="M26" s="3">
        <v>166.81550825762579</v>
      </c>
      <c r="N26" s="3">
        <v>180.43283195852001</v>
      </c>
      <c r="O26" s="3">
        <v>182.17115011055012</v>
      </c>
      <c r="P26" s="3">
        <v>20</v>
      </c>
      <c r="Q26" s="3">
        <v>402.84666079655699</v>
      </c>
      <c r="R26" s="3">
        <v>38569.68631438884</v>
      </c>
    </row>
    <row r="27" spans="2:18" x14ac:dyDescent="0.25">
      <c r="B27" t="s">
        <v>137</v>
      </c>
      <c r="C27" t="s">
        <v>311</v>
      </c>
      <c r="D27" s="3">
        <v>1628.7476838342914</v>
      </c>
      <c r="E27" s="3">
        <v>9072.0756676611436</v>
      </c>
      <c r="F27" s="3">
        <v>2861.384700951804</v>
      </c>
      <c r="G27" s="3">
        <v>124.76570605570859</v>
      </c>
      <c r="H27" s="3">
        <v>503.54714575472008</v>
      </c>
      <c r="I27" s="3">
        <v>2666.579254135916</v>
      </c>
      <c r="J27" s="3">
        <v>1539.1108742402964</v>
      </c>
      <c r="K27" s="3">
        <v>726.65089344395369</v>
      </c>
      <c r="L27" s="3">
        <v>17859.466666666638</v>
      </c>
      <c r="M27" s="3">
        <v>157.42812940577284</v>
      </c>
      <c r="N27" s="3">
        <v>166.23842744731533</v>
      </c>
      <c r="O27" s="3">
        <v>130.39268029148499</v>
      </c>
      <c r="P27" s="3">
        <v>20</v>
      </c>
      <c r="Q27" s="3">
        <v>382.7041185043405</v>
      </c>
      <c r="R27" s="3">
        <v>37839.09194839339</v>
      </c>
    </row>
    <row r="28" spans="2:18" x14ac:dyDescent="0.25">
      <c r="B28" t="s">
        <v>137</v>
      </c>
      <c r="C28" t="s">
        <v>312</v>
      </c>
      <c r="D28" s="3">
        <v>1501.6759791510992</v>
      </c>
      <c r="E28" s="3">
        <v>8633.9651002674163</v>
      </c>
      <c r="F28" s="3">
        <v>2776.4260219780886</v>
      </c>
      <c r="G28" s="3">
        <v>83.036681956463681</v>
      </c>
      <c r="H28" s="3">
        <v>496.97336378774747</v>
      </c>
      <c r="I28" s="3">
        <v>2515.965991222623</v>
      </c>
      <c r="J28" s="3">
        <v>1425.8462878303244</v>
      </c>
      <c r="K28" s="3">
        <v>708.13670195782265</v>
      </c>
      <c r="L28" s="3">
        <v>17859.466666666638</v>
      </c>
      <c r="M28" s="3">
        <v>146.45308898698966</v>
      </c>
      <c r="N28" s="3">
        <v>83.604554081838629</v>
      </c>
      <c r="O28" s="3">
        <v>24.859745453371378</v>
      </c>
      <c r="P28" s="3">
        <v>20</v>
      </c>
      <c r="Q28" s="3">
        <v>361.20449354753049</v>
      </c>
      <c r="R28" s="3">
        <v>36637.614676887955</v>
      </c>
    </row>
    <row r="29" spans="2:18" x14ac:dyDescent="0.25">
      <c r="B29" t="s">
        <v>0</v>
      </c>
      <c r="D29" s="3">
        <v>42677.65559853422</v>
      </c>
      <c r="E29" s="3">
        <v>224430.24992285552</v>
      </c>
      <c r="F29" s="3">
        <v>73315.842557261436</v>
      </c>
      <c r="G29" s="3">
        <v>3953.70330223885</v>
      </c>
      <c r="H29" s="3">
        <v>12280.754804045122</v>
      </c>
      <c r="I29" s="3">
        <v>69825.185861575213</v>
      </c>
      <c r="J29" s="3">
        <v>36951.134353277674</v>
      </c>
      <c r="K29" s="3">
        <v>19214.381614597278</v>
      </c>
      <c r="L29" s="3">
        <v>428627.1999999992</v>
      </c>
      <c r="M29" s="3">
        <v>4579.3291382737261</v>
      </c>
      <c r="N29" s="3">
        <v>4219.2446451844398</v>
      </c>
      <c r="O29" s="3">
        <v>5949.8360103755967</v>
      </c>
      <c r="P29" s="3">
        <v>480</v>
      </c>
      <c r="Q29" s="3">
        <v>10969.079452054793</v>
      </c>
      <c r="R29" s="3">
        <v>937473.59726027329</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3:G22"/>
  <sheetViews>
    <sheetView workbookViewId="0">
      <selection activeCell="C6" sqref="C6"/>
    </sheetView>
  </sheetViews>
  <sheetFormatPr defaultRowHeight="15" x14ac:dyDescent="0.25"/>
  <cols>
    <col min="2" max="2" width="15.7109375" bestFit="1" customWidth="1"/>
    <col min="3" max="3" width="16.28515625" bestFit="1" customWidth="1"/>
    <col min="4" max="7" width="12" bestFit="1" customWidth="1"/>
  </cols>
  <sheetData>
    <row r="3" spans="2:7" x14ac:dyDescent="0.25">
      <c r="B3" s="1" t="s">
        <v>201</v>
      </c>
      <c r="C3" s="1" t="s">
        <v>44</v>
      </c>
    </row>
    <row r="4" spans="2:7" x14ac:dyDescent="0.25">
      <c r="B4" s="1" t="s">
        <v>45</v>
      </c>
      <c r="C4" t="s">
        <v>6</v>
      </c>
      <c r="D4" t="s">
        <v>19</v>
      </c>
      <c r="E4" t="s">
        <v>7</v>
      </c>
      <c r="F4" t="s">
        <v>8</v>
      </c>
      <c r="G4" t="s">
        <v>0</v>
      </c>
    </row>
    <row r="5" spans="2:7" x14ac:dyDescent="0.25">
      <c r="B5" s="2" t="s">
        <v>9</v>
      </c>
      <c r="C5" s="3">
        <v>6197475.2440442732</v>
      </c>
      <c r="D5" s="3">
        <v>354855052.7544238</v>
      </c>
      <c r="E5" s="3">
        <v>426876409.4664433</v>
      </c>
      <c r="F5" s="3">
        <v>1714334491.1068652</v>
      </c>
      <c r="G5" s="3">
        <v>2502263428.5717764</v>
      </c>
    </row>
    <row r="6" spans="2:7" x14ac:dyDescent="0.25">
      <c r="B6" s="2" t="s">
        <v>16</v>
      </c>
      <c r="C6" s="3">
        <v>105045066.27034892</v>
      </c>
      <c r="D6" s="3">
        <v>293220584.19282079</v>
      </c>
      <c r="E6" s="3"/>
      <c r="F6" s="3">
        <v>7304212.0281383796</v>
      </c>
      <c r="G6" s="3">
        <v>405569862.49130809</v>
      </c>
    </row>
    <row r="7" spans="2:7" x14ac:dyDescent="0.25">
      <c r="B7" s="2" t="s">
        <v>226</v>
      </c>
      <c r="C7" s="3"/>
      <c r="D7" s="3">
        <v>2948288026.3675222</v>
      </c>
      <c r="E7" s="3"/>
      <c r="F7" s="3"/>
      <c r="G7" s="3">
        <v>2948288026.3675222</v>
      </c>
    </row>
    <row r="8" spans="2:7" x14ac:dyDescent="0.25">
      <c r="B8" s="2" t="s">
        <v>235</v>
      </c>
      <c r="C8" s="3">
        <v>25800502.056827385</v>
      </c>
      <c r="D8" s="3">
        <v>40308741.818181753</v>
      </c>
      <c r="E8" s="3">
        <v>12411171.214766741</v>
      </c>
      <c r="F8" s="3">
        <v>87381990.55371508</v>
      </c>
      <c r="G8" s="3">
        <v>165902405.64349097</v>
      </c>
    </row>
    <row r="9" spans="2:7" x14ac:dyDescent="0.25">
      <c r="B9" s="2" t="s">
        <v>230</v>
      </c>
      <c r="C9" s="3">
        <v>3499616.9981514998</v>
      </c>
      <c r="D9" s="3"/>
      <c r="E9" s="3"/>
      <c r="F9" s="3">
        <v>2414870.0419633389</v>
      </c>
      <c r="G9" s="3">
        <v>5914487.0401148386</v>
      </c>
    </row>
    <row r="10" spans="2:7" x14ac:dyDescent="0.25">
      <c r="B10" s="2" t="s">
        <v>228</v>
      </c>
      <c r="C10" s="3">
        <v>18464460.356969461</v>
      </c>
      <c r="D10" s="3"/>
      <c r="E10" s="3"/>
      <c r="F10" s="3">
        <v>29323.380722279595</v>
      </c>
      <c r="G10" s="3">
        <v>18493783.737691741</v>
      </c>
    </row>
    <row r="11" spans="2:7" x14ac:dyDescent="0.25">
      <c r="B11" s="2" t="s">
        <v>229</v>
      </c>
      <c r="C11" s="3">
        <v>120058230.64680113</v>
      </c>
      <c r="D11" s="3">
        <v>878773572.25200009</v>
      </c>
      <c r="E11" s="3">
        <v>40983713.999999993</v>
      </c>
      <c r="F11" s="3">
        <v>137706629.43599999</v>
      </c>
      <c r="G11" s="3">
        <v>1177522146.3348012</v>
      </c>
    </row>
    <row r="12" spans="2:7" x14ac:dyDescent="0.25">
      <c r="B12" s="2" t="s">
        <v>233</v>
      </c>
      <c r="C12" s="3">
        <v>3606862.0147716245</v>
      </c>
      <c r="D12" s="3"/>
      <c r="E12" s="3">
        <v>1883337.4780577559</v>
      </c>
      <c r="F12" s="3">
        <v>124508200.00269383</v>
      </c>
      <c r="G12" s="3">
        <v>129998399.49552321</v>
      </c>
    </row>
    <row r="13" spans="2:7" x14ac:dyDescent="0.25">
      <c r="B13" s="2" t="s">
        <v>333</v>
      </c>
      <c r="C13" s="3">
        <v>13495121.859788712</v>
      </c>
      <c r="D13" s="3">
        <v>2830355.9999999977</v>
      </c>
      <c r="E13" s="3">
        <v>685304.27105096052</v>
      </c>
      <c r="F13" s="3">
        <v>34373364.409367293</v>
      </c>
      <c r="G13" s="3">
        <v>51384146.540206969</v>
      </c>
    </row>
    <row r="14" spans="2:7" x14ac:dyDescent="0.25">
      <c r="B14" s="2" t="s">
        <v>232</v>
      </c>
      <c r="C14" s="3">
        <v>21267370.069263708</v>
      </c>
      <c r="D14" s="3"/>
      <c r="E14" s="3"/>
      <c r="F14" s="3">
        <v>5107321.0999735026</v>
      </c>
      <c r="G14" s="3">
        <v>26374691.169237211</v>
      </c>
    </row>
    <row r="15" spans="2:7" x14ac:dyDescent="0.25">
      <c r="B15" s="2" t="s">
        <v>10</v>
      </c>
      <c r="C15" s="3">
        <v>134570.50908839368</v>
      </c>
      <c r="D15" s="3">
        <v>345311002.70856065</v>
      </c>
      <c r="E15" s="3">
        <v>627021410.56135213</v>
      </c>
      <c r="F15" s="3">
        <v>355224897.14973879</v>
      </c>
      <c r="G15" s="3">
        <v>1327691880.92874</v>
      </c>
    </row>
    <row r="16" spans="2:7" x14ac:dyDescent="0.25">
      <c r="B16" s="2" t="s">
        <v>159</v>
      </c>
      <c r="C16" s="3"/>
      <c r="D16" s="3">
        <v>1913268537.4946899</v>
      </c>
      <c r="E16" s="3"/>
      <c r="F16" s="3"/>
      <c r="G16" s="3">
        <v>1913268537.4946899</v>
      </c>
    </row>
    <row r="17" spans="2:7" x14ac:dyDescent="0.25">
      <c r="B17" s="2" t="s">
        <v>227</v>
      </c>
      <c r="C17" s="3"/>
      <c r="D17" s="3">
        <v>1032087272.7272707</v>
      </c>
      <c r="E17" s="3"/>
      <c r="F17" s="3">
        <v>629914793.16501343</v>
      </c>
      <c r="G17" s="3">
        <v>1662002065.8922842</v>
      </c>
    </row>
    <row r="18" spans="2:7" x14ac:dyDescent="0.25">
      <c r="B18" s="2" t="s">
        <v>424</v>
      </c>
      <c r="C18" s="3"/>
      <c r="D18" s="3"/>
      <c r="E18" s="3">
        <v>7079104.1031666799</v>
      </c>
      <c r="F18" s="3"/>
      <c r="G18" s="3">
        <v>7079104.1031666799</v>
      </c>
    </row>
    <row r="19" spans="2:7" x14ac:dyDescent="0.25">
      <c r="B19" s="2" t="s">
        <v>231</v>
      </c>
      <c r="C19" s="3"/>
      <c r="D19" s="3"/>
      <c r="E19" s="3"/>
      <c r="F19" s="3">
        <v>8042013.334583845</v>
      </c>
      <c r="G19" s="3">
        <v>8042013.334583845</v>
      </c>
    </row>
    <row r="20" spans="2:7" x14ac:dyDescent="0.25">
      <c r="B20" s="2" t="s">
        <v>236</v>
      </c>
      <c r="C20" s="3"/>
      <c r="D20" s="3"/>
      <c r="E20" s="3"/>
      <c r="F20" s="3">
        <v>11027943.680929245</v>
      </c>
      <c r="G20" s="3">
        <v>11027943.680929245</v>
      </c>
    </row>
    <row r="21" spans="2:7" x14ac:dyDescent="0.25">
      <c r="B21" s="2" t="s">
        <v>425</v>
      </c>
      <c r="C21" s="3"/>
      <c r="D21" s="3"/>
      <c r="E21" s="3"/>
      <c r="F21" s="3">
        <v>742023.529411764</v>
      </c>
      <c r="G21" s="3">
        <v>742023.529411764</v>
      </c>
    </row>
    <row r="22" spans="2:7" x14ac:dyDescent="0.25">
      <c r="B22" s="2" t="s">
        <v>0</v>
      </c>
      <c r="C22" s="3">
        <v>317569276.0260551</v>
      </c>
      <c r="D22" s="3">
        <v>7808943146.3154707</v>
      </c>
      <c r="E22" s="3">
        <v>1116940451.0948374</v>
      </c>
      <c r="F22" s="3">
        <v>3118112072.919116</v>
      </c>
      <c r="G22" s="3">
        <v>12361564946.355476</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T9"/>
  <sheetViews>
    <sheetView workbookViewId="0">
      <selection activeCell="C5" sqref="C5"/>
    </sheetView>
  </sheetViews>
  <sheetFormatPr defaultRowHeight="15" x14ac:dyDescent="0.25"/>
  <cols>
    <col min="2" max="2" width="13.140625" customWidth="1"/>
    <col min="3" max="3" width="16.28515625" bestFit="1" customWidth="1"/>
    <col min="4" max="8" width="12" bestFit="1" customWidth="1"/>
    <col min="9" max="9" width="12.5703125" bestFit="1" customWidth="1"/>
    <col min="10" max="10" width="13.5703125" bestFit="1" customWidth="1"/>
    <col min="11" max="11" width="12" bestFit="1" customWidth="1"/>
    <col min="12" max="12" width="12.28515625" bestFit="1" customWidth="1"/>
    <col min="13" max="14" width="12" bestFit="1" customWidth="1"/>
    <col min="15" max="15" width="12" customWidth="1"/>
    <col min="16" max="17" width="12" bestFit="1" customWidth="1"/>
    <col min="18" max="18" width="16" bestFit="1" customWidth="1"/>
    <col min="19" max="23" width="12" bestFit="1" customWidth="1"/>
    <col min="24" max="24" width="11" bestFit="1" customWidth="1"/>
    <col min="25" max="28" width="12" bestFit="1" customWidth="1"/>
    <col min="29" max="29" width="16" bestFit="1" customWidth="1"/>
    <col min="30" max="30" width="14.28515625" bestFit="1" customWidth="1"/>
    <col min="31" max="31" width="16" bestFit="1" customWidth="1"/>
    <col min="32" max="32" width="12" bestFit="1" customWidth="1"/>
  </cols>
  <sheetData>
    <row r="3" spans="2:20" x14ac:dyDescent="0.25">
      <c r="B3" s="1" t="s">
        <v>13</v>
      </c>
      <c r="C3" s="1" t="s">
        <v>44</v>
      </c>
    </row>
    <row r="4" spans="2:20" x14ac:dyDescent="0.25">
      <c r="B4" s="1" t="s">
        <v>45</v>
      </c>
      <c r="C4" t="s">
        <v>9</v>
      </c>
      <c r="D4" t="s">
        <v>16</v>
      </c>
      <c r="E4" t="s">
        <v>226</v>
      </c>
      <c r="F4" t="s">
        <v>228</v>
      </c>
      <c r="G4" t="s">
        <v>229</v>
      </c>
      <c r="H4" t="s">
        <v>230</v>
      </c>
      <c r="I4" t="s">
        <v>235</v>
      </c>
      <c r="J4" t="s">
        <v>233</v>
      </c>
      <c r="K4" t="s">
        <v>333</v>
      </c>
      <c r="L4" t="s">
        <v>232</v>
      </c>
      <c r="M4" t="s">
        <v>10</v>
      </c>
      <c r="N4" t="s">
        <v>159</v>
      </c>
      <c r="O4" t="s">
        <v>227</v>
      </c>
      <c r="P4" t="s">
        <v>424</v>
      </c>
      <c r="Q4" t="s">
        <v>231</v>
      </c>
      <c r="R4" t="s">
        <v>236</v>
      </c>
      <c r="S4" t="s">
        <v>425</v>
      </c>
      <c r="T4" t="s">
        <v>0</v>
      </c>
    </row>
    <row r="5" spans="2:20" x14ac:dyDescent="0.25">
      <c r="B5" s="2" t="s">
        <v>6</v>
      </c>
      <c r="C5" s="3">
        <v>1.7215209011234092</v>
      </c>
      <c r="D5" s="3">
        <v>29.179185075096921</v>
      </c>
      <c r="E5" s="3"/>
      <c r="F5" s="3">
        <v>5.1290167658248338</v>
      </c>
      <c r="G5" s="3">
        <v>33.349508513000302</v>
      </c>
      <c r="H5" s="3">
        <v>0.9721158328198608</v>
      </c>
      <c r="I5" s="3">
        <v>7.1668061268964998</v>
      </c>
      <c r="J5" s="3">
        <v>1.0019061152143349</v>
      </c>
      <c r="K5" s="3">
        <v>3.7486449610524168</v>
      </c>
      <c r="L5" s="3">
        <v>5.9076027970176987</v>
      </c>
      <c r="M5" s="3">
        <v>3.7380696968998137E-2</v>
      </c>
      <c r="N5" s="3"/>
      <c r="O5" s="3"/>
      <c r="P5" s="3"/>
      <c r="Q5" s="3"/>
      <c r="R5" s="3"/>
      <c r="S5" s="3"/>
      <c r="T5" s="3">
        <v>88.213687785015296</v>
      </c>
    </row>
    <row r="6" spans="2:20" x14ac:dyDescent="0.25">
      <c r="B6" s="2" t="s">
        <v>19</v>
      </c>
      <c r="C6" s="3">
        <v>98.570847987340073</v>
      </c>
      <c r="D6" s="3">
        <v>81.45016227578347</v>
      </c>
      <c r="E6" s="3">
        <v>818.96889621320008</v>
      </c>
      <c r="F6" s="3"/>
      <c r="G6" s="3">
        <v>244.10377007</v>
      </c>
      <c r="H6" s="3"/>
      <c r="I6" s="3">
        <v>11.196872727272726</v>
      </c>
      <c r="J6" s="3"/>
      <c r="K6" s="3">
        <v>0.78621000000000008</v>
      </c>
      <c r="L6" s="3"/>
      <c r="M6" s="3">
        <v>95.919722974600376</v>
      </c>
      <c r="N6" s="3">
        <v>531.46348263741447</v>
      </c>
      <c r="O6" s="3">
        <v>286.69090909090932</v>
      </c>
      <c r="P6" s="3"/>
      <c r="Q6" s="3"/>
      <c r="R6" s="3"/>
      <c r="S6" s="3"/>
      <c r="T6" s="3">
        <v>2169.1508739765204</v>
      </c>
    </row>
    <row r="7" spans="2:20" x14ac:dyDescent="0.25">
      <c r="B7" s="2" t="s">
        <v>7</v>
      </c>
      <c r="C7" s="3">
        <v>118.57678040734537</v>
      </c>
      <c r="D7" s="3"/>
      <c r="E7" s="3"/>
      <c r="F7" s="3"/>
      <c r="G7" s="3">
        <v>11.384365000000001</v>
      </c>
      <c r="H7" s="3"/>
      <c r="I7" s="3">
        <v>3.4475475596574237</v>
      </c>
      <c r="J7" s="3">
        <v>0.52314929946048816</v>
      </c>
      <c r="K7" s="3">
        <v>0.19036229751415568</v>
      </c>
      <c r="L7" s="3"/>
      <c r="M7" s="3">
        <v>174.17261404482053</v>
      </c>
      <c r="N7" s="3"/>
      <c r="O7" s="3"/>
      <c r="P7" s="3">
        <v>1.9664178064351892</v>
      </c>
      <c r="Q7" s="3"/>
      <c r="R7" s="3"/>
      <c r="S7" s="3"/>
      <c r="T7" s="3">
        <v>310.26123641523316</v>
      </c>
    </row>
    <row r="8" spans="2:20" x14ac:dyDescent="0.25">
      <c r="B8" s="2" t="s">
        <v>8</v>
      </c>
      <c r="C8" s="3">
        <v>476.20402530746196</v>
      </c>
      <c r="D8" s="3">
        <v>2.0289477855939952</v>
      </c>
      <c r="E8" s="3"/>
      <c r="F8" s="3">
        <v>8.1453835339665506E-3</v>
      </c>
      <c r="G8" s="3">
        <v>38.251841509999998</v>
      </c>
      <c r="H8" s="3">
        <v>0.67079723387870582</v>
      </c>
      <c r="I8" s="3">
        <v>24.272775153810009</v>
      </c>
      <c r="J8" s="3">
        <v>34.585611111859315</v>
      </c>
      <c r="K8" s="3">
        <v>9.5481567803797969</v>
      </c>
      <c r="L8" s="3">
        <v>1.418700305548195</v>
      </c>
      <c r="M8" s="3">
        <v>98.673582541594044</v>
      </c>
      <c r="N8" s="3"/>
      <c r="O8" s="3">
        <v>174.97633143472601</v>
      </c>
      <c r="P8" s="3"/>
      <c r="Q8" s="3">
        <v>2.2338925929399545</v>
      </c>
      <c r="R8" s="3">
        <v>3.063317689147012</v>
      </c>
      <c r="S8" s="3">
        <v>0.20611764705882399</v>
      </c>
      <c r="T8" s="3">
        <v>866.14224247753179</v>
      </c>
    </row>
    <row r="9" spans="2:20" x14ac:dyDescent="0.25">
      <c r="B9" s="2" t="s">
        <v>0</v>
      </c>
      <c r="C9" s="3">
        <v>695.07317460327079</v>
      </c>
      <c r="D9" s="3">
        <v>112.65829513647439</v>
      </c>
      <c r="E9" s="3">
        <v>818.96889621320008</v>
      </c>
      <c r="F9" s="3">
        <v>5.1371621493588</v>
      </c>
      <c r="G9" s="3">
        <v>327.08948509300029</v>
      </c>
      <c r="H9" s="3">
        <v>1.6429130666985667</v>
      </c>
      <c r="I9" s="3">
        <v>46.084001567636662</v>
      </c>
      <c r="J9" s="3">
        <v>36.110666526534139</v>
      </c>
      <c r="K9" s="3">
        <v>14.27337403894637</v>
      </c>
      <c r="L9" s="3">
        <v>7.3263031025658938</v>
      </c>
      <c r="M9" s="3">
        <v>368.80330025798395</v>
      </c>
      <c r="N9" s="3">
        <v>531.46348263741447</v>
      </c>
      <c r="O9" s="3">
        <v>461.66724052563529</v>
      </c>
      <c r="P9" s="3">
        <v>1.9664178064351892</v>
      </c>
      <c r="Q9" s="3">
        <v>2.2338925929399545</v>
      </c>
      <c r="R9" s="3">
        <v>3.063317689147012</v>
      </c>
      <c r="S9" s="3">
        <v>0.20611764705882399</v>
      </c>
      <c r="T9" s="3">
        <v>3433.7680406543009</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F36"/>
  <sheetViews>
    <sheetView workbookViewId="0">
      <selection activeCell="B12" sqref="B12"/>
    </sheetView>
  </sheetViews>
  <sheetFormatPr defaultRowHeight="15" x14ac:dyDescent="0.25"/>
  <cols>
    <col min="2" max="2" width="35" bestFit="1" customWidth="1"/>
    <col min="3" max="3" width="20.5703125" bestFit="1" customWidth="1"/>
    <col min="4" max="4" width="18.85546875" bestFit="1" customWidth="1"/>
    <col min="5" max="5" width="19.28515625" bestFit="1" customWidth="1"/>
    <col min="6" max="6" width="23" customWidth="1"/>
    <col min="7" max="7" width="22.140625" customWidth="1"/>
    <col min="8" max="8" width="23" bestFit="1" customWidth="1"/>
    <col min="9" max="9" width="25.7109375" bestFit="1" customWidth="1"/>
    <col min="10" max="10" width="23.85546875" bestFit="1" customWidth="1"/>
    <col min="11" max="11" width="24.28515625" bestFit="1" customWidth="1"/>
    <col min="12" max="14" width="23.28515625" bestFit="1" customWidth="1"/>
    <col min="15" max="16" width="22.140625" bestFit="1" customWidth="1"/>
    <col min="17" max="19" width="23.7109375" bestFit="1" customWidth="1"/>
    <col min="20" max="20" width="23" bestFit="1" customWidth="1"/>
    <col min="21" max="23" width="21.7109375" bestFit="1" customWidth="1"/>
    <col min="24" max="26" width="23.28515625" bestFit="1" customWidth="1"/>
    <col min="27" max="28" width="22.140625" bestFit="1" customWidth="1"/>
    <col min="29" max="31" width="23.7109375" bestFit="1" customWidth="1"/>
    <col min="32" max="32" width="23" bestFit="1" customWidth="1"/>
    <col min="33" max="35" width="21.7109375" bestFit="1" customWidth="1"/>
    <col min="36" max="38" width="23.28515625" bestFit="1" customWidth="1"/>
    <col min="39" max="39" width="25.7109375" bestFit="1" customWidth="1"/>
    <col min="40" max="40" width="23.85546875" bestFit="1" customWidth="1"/>
    <col min="41" max="41" width="24.28515625" bestFit="1"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3" spans="2:6" x14ac:dyDescent="0.25">
      <c r="B3" s="1" t="s">
        <v>45</v>
      </c>
      <c r="C3" t="s">
        <v>71</v>
      </c>
      <c r="D3" t="s">
        <v>112</v>
      </c>
      <c r="E3" t="s">
        <v>113</v>
      </c>
    </row>
    <row r="4" spans="2:6" x14ac:dyDescent="0.25">
      <c r="B4" s="2" t="s">
        <v>251</v>
      </c>
      <c r="C4" s="3">
        <v>251.79153893413832</v>
      </c>
      <c r="D4" s="3">
        <v>-3064.4825651999604</v>
      </c>
      <c r="E4" s="3">
        <v>6.9806412399617441</v>
      </c>
    </row>
    <row r="5" spans="2:6" x14ac:dyDescent="0.25">
      <c r="B5" s="4" t="s">
        <v>259</v>
      </c>
      <c r="C5" s="3">
        <v>251.79153893413832</v>
      </c>
      <c r="D5" s="3">
        <v>-3064.4825651999604</v>
      </c>
      <c r="E5" s="3">
        <v>6.9806412399617441</v>
      </c>
    </row>
    <row r="6" spans="2:6" x14ac:dyDescent="0.25">
      <c r="B6" s="27" t="s">
        <v>259</v>
      </c>
      <c r="C6" s="3"/>
      <c r="D6" s="3"/>
      <c r="E6" s="3"/>
    </row>
    <row r="7" spans="2:6" x14ac:dyDescent="0.25">
      <c r="B7" s="28" t="s">
        <v>6</v>
      </c>
      <c r="C7" s="3">
        <v>9.9372632691750287</v>
      </c>
      <c r="D7" s="3">
        <v>-6013.1348244444425</v>
      </c>
      <c r="E7" s="3">
        <v>0.31513519881104679</v>
      </c>
    </row>
    <row r="8" spans="2:6" x14ac:dyDescent="0.25">
      <c r="B8" s="29" t="s">
        <v>16</v>
      </c>
      <c r="C8" s="3">
        <v>9.9372632691750287</v>
      </c>
      <c r="D8" s="3">
        <v>-6013.1348244444425</v>
      </c>
      <c r="E8" s="3">
        <v>0.31513519881104679</v>
      </c>
    </row>
    <row r="9" spans="2:6" x14ac:dyDescent="0.25">
      <c r="B9" s="30" t="s">
        <v>260</v>
      </c>
      <c r="C9" s="3">
        <v>0.63075604114285599</v>
      </c>
      <c r="D9" s="3">
        <v>4.76067456</v>
      </c>
      <c r="E9" s="3">
        <v>2.0002834285714199E-2</v>
      </c>
      <c r="F9" s="31">
        <f>C7-C9/2</f>
        <v>9.6218852486036006</v>
      </c>
    </row>
    <row r="10" spans="2:6" x14ac:dyDescent="0.25">
      <c r="B10" s="30" t="s">
        <v>264</v>
      </c>
      <c r="C10" s="3">
        <v>2.44377160851064</v>
      </c>
      <c r="D10" s="3">
        <v>-1770.6752762553199</v>
      </c>
      <c r="E10" s="3">
        <v>7.7498042553191496E-2</v>
      </c>
    </row>
    <row r="11" spans="2:6" x14ac:dyDescent="0.25">
      <c r="B11" s="30" t="s">
        <v>338</v>
      </c>
      <c r="C11" s="3">
        <v>2.3205041956799999</v>
      </c>
      <c r="D11" s="3">
        <v>-1681.35982651892</v>
      </c>
      <c r="E11" s="3">
        <v>7.3588927981395394E-2</v>
      </c>
    </row>
    <row r="12" spans="2:6" x14ac:dyDescent="0.25">
      <c r="B12" s="30" t="s">
        <v>426</v>
      </c>
      <c r="C12" s="3">
        <v>3.2783578021978003E-2</v>
      </c>
      <c r="D12" s="3">
        <v>0.24743630769230801</v>
      </c>
      <c r="E12" s="3">
        <v>1.03964835164835E-3</v>
      </c>
    </row>
    <row r="13" spans="2:6" x14ac:dyDescent="0.25">
      <c r="B13" s="30" t="s">
        <v>339</v>
      </c>
      <c r="C13" s="3">
        <v>3.5515542857142899</v>
      </c>
      <c r="D13" s="3">
        <v>-2573.3375999999998</v>
      </c>
      <c r="E13" s="3">
        <v>0.11262857142857099</v>
      </c>
    </row>
    <row r="14" spans="2:6" x14ac:dyDescent="0.25">
      <c r="B14" s="30" t="s">
        <v>382</v>
      </c>
      <c r="C14" s="3">
        <v>0.95789356010526305</v>
      </c>
      <c r="D14" s="3">
        <v>7.2297674621052597</v>
      </c>
      <c r="E14" s="3">
        <v>3.0377174210526301E-2</v>
      </c>
    </row>
    <row r="15" spans="2:6" x14ac:dyDescent="0.25">
      <c r="B15" s="28" t="s">
        <v>19</v>
      </c>
      <c r="C15" s="3">
        <v>240.30280178030094</v>
      </c>
      <c r="D15" s="3">
        <v>2941.5069686560923</v>
      </c>
      <c r="E15" s="3">
        <v>6.6194673650625306</v>
      </c>
    </row>
    <row r="16" spans="2:6" x14ac:dyDescent="0.25">
      <c r="B16" s="29" t="s">
        <v>16</v>
      </c>
      <c r="C16" s="3">
        <v>27.738667264640842</v>
      </c>
      <c r="D16" s="3">
        <v>209.359497113674</v>
      </c>
      <c r="E16" s="3">
        <v>0.87966175257846213</v>
      </c>
    </row>
    <row r="17" spans="2:5" x14ac:dyDescent="0.25">
      <c r="B17" s="30" t="s">
        <v>261</v>
      </c>
      <c r="C17" s="3">
        <v>3.5731864799999999</v>
      </c>
      <c r="D17" s="3">
        <v>26.9688704727273</v>
      </c>
      <c r="E17" s="3">
        <v>0.11331458181818201</v>
      </c>
    </row>
    <row r="18" spans="2:5" x14ac:dyDescent="0.25">
      <c r="B18" s="30" t="s">
        <v>262</v>
      </c>
      <c r="C18" s="3">
        <v>22.865380032000001</v>
      </c>
      <c r="D18" s="3">
        <v>172.57802688000001</v>
      </c>
      <c r="E18" s="3">
        <v>0.72511775999999994</v>
      </c>
    </row>
    <row r="19" spans="2:5" x14ac:dyDescent="0.25">
      <c r="B19" s="30" t="s">
        <v>263</v>
      </c>
      <c r="C19" s="3">
        <v>1.3001007526408399</v>
      </c>
      <c r="D19" s="3">
        <v>9.8125997609466804</v>
      </c>
      <c r="E19" s="3">
        <v>4.1229410760280201E-2</v>
      </c>
    </row>
    <row r="20" spans="2:5" x14ac:dyDescent="0.25">
      <c r="B20" s="29" t="s">
        <v>159</v>
      </c>
      <c r="C20" s="3">
        <v>212.56413451566007</v>
      </c>
      <c r="D20" s="3">
        <v>2732.1474715424183</v>
      </c>
      <c r="E20" s="3">
        <v>5.7398056124840684</v>
      </c>
    </row>
    <row r="21" spans="2:5" x14ac:dyDescent="0.25">
      <c r="B21" s="30" t="s">
        <v>265</v>
      </c>
      <c r="C21" s="3">
        <v>8.3503648800000008</v>
      </c>
      <c r="D21" s="3">
        <v>107.32962240000001</v>
      </c>
      <c r="E21" s="3">
        <v>0.2254824</v>
      </c>
    </row>
    <row r="22" spans="2:5" x14ac:dyDescent="0.25">
      <c r="B22" s="30" t="s">
        <v>266</v>
      </c>
      <c r="C22" s="3">
        <v>31.122824703567598</v>
      </c>
      <c r="D22" s="3">
        <v>400.03054614486501</v>
      </c>
      <c r="E22" s="3">
        <v>0.84040030702702795</v>
      </c>
    </row>
    <row r="23" spans="2:5" x14ac:dyDescent="0.25">
      <c r="B23" s="30" t="s">
        <v>267</v>
      </c>
      <c r="C23" s="3">
        <v>83.740818926769194</v>
      </c>
      <c r="D23" s="3">
        <v>1076.3446393107699</v>
      </c>
      <c r="E23" s="3">
        <v>2.26122823384615</v>
      </c>
    </row>
    <row r="24" spans="2:5" x14ac:dyDescent="0.25">
      <c r="B24" s="30" t="s">
        <v>268</v>
      </c>
      <c r="C24" s="3">
        <v>49.697079795000001</v>
      </c>
      <c r="D24" s="3">
        <v>638.77074660000005</v>
      </c>
      <c r="E24" s="3">
        <v>1.3419553500000001</v>
      </c>
    </row>
    <row r="25" spans="2:5" x14ac:dyDescent="0.25">
      <c r="B25" s="30" t="s">
        <v>269</v>
      </c>
      <c r="C25" s="3">
        <v>34.438311921951197</v>
      </c>
      <c r="D25" s="3">
        <v>442.64544936585298</v>
      </c>
      <c r="E25" s="3">
        <v>0.92992741463414696</v>
      </c>
    </row>
    <row r="26" spans="2:5" x14ac:dyDescent="0.25">
      <c r="B26" s="30" t="s">
        <v>270</v>
      </c>
      <c r="C26" s="3">
        <v>5.2147342883720897</v>
      </c>
      <c r="D26" s="3">
        <v>67.026467720930199</v>
      </c>
      <c r="E26" s="3">
        <v>0.14081190697674401</v>
      </c>
    </row>
    <row r="27" spans="2:5" x14ac:dyDescent="0.25">
      <c r="B27" s="28" t="s">
        <v>8</v>
      </c>
      <c r="C27" s="3">
        <v>1.5514738846623621</v>
      </c>
      <c r="D27" s="3">
        <v>7.1452905883909121</v>
      </c>
      <c r="E27" s="3">
        <v>4.60386760881666E-2</v>
      </c>
    </row>
    <row r="28" spans="2:5" x14ac:dyDescent="0.25">
      <c r="B28" s="29" t="s">
        <v>16</v>
      </c>
      <c r="C28" s="3">
        <v>0.69097845786188983</v>
      </c>
      <c r="D28" s="3">
        <v>5.2152073880907901</v>
      </c>
      <c r="E28" s="3">
        <v>2.1912636084415099E-2</v>
      </c>
    </row>
    <row r="29" spans="2:5" x14ac:dyDescent="0.25">
      <c r="B29" s="30" t="s">
        <v>341</v>
      </c>
      <c r="C29" s="3">
        <v>8.8619010387996799E-2</v>
      </c>
      <c r="D29" s="3">
        <v>0.66885806994746</v>
      </c>
      <c r="E29" s="3">
        <v>2.81032802498933E-3</v>
      </c>
    </row>
    <row r="30" spans="2:5" x14ac:dyDescent="0.25">
      <c r="B30" s="30" t="s">
        <v>393</v>
      </c>
      <c r="C30" s="3">
        <v>0.17037153239567701</v>
      </c>
      <c r="D30" s="3">
        <v>1.2858908470455901</v>
      </c>
      <c r="E30" s="3">
        <v>5.4029027186789699E-3</v>
      </c>
    </row>
    <row r="31" spans="2:5" x14ac:dyDescent="0.25">
      <c r="B31" s="30" t="s">
        <v>395</v>
      </c>
      <c r="C31" s="3">
        <v>0.43198791507821599</v>
      </c>
      <c r="D31" s="3">
        <v>3.2604584710977398</v>
      </c>
      <c r="E31" s="3">
        <v>1.36994053407468E-2</v>
      </c>
    </row>
    <row r="32" spans="2:5" x14ac:dyDescent="0.25">
      <c r="B32" s="29" t="s">
        <v>231</v>
      </c>
      <c r="C32" s="3">
        <v>0.8604954268004722</v>
      </c>
      <c r="D32" s="3">
        <v>1.9300832003001216</v>
      </c>
      <c r="E32" s="3">
        <v>2.41260400037515E-2</v>
      </c>
    </row>
    <row r="33" spans="2:5" x14ac:dyDescent="0.25">
      <c r="B33" s="30" t="s">
        <v>384</v>
      </c>
      <c r="C33" s="3">
        <v>0.1921392719092305</v>
      </c>
      <c r="D33" s="3">
        <v>0.43096659119827296</v>
      </c>
      <c r="E33" s="3">
        <v>5.3870823899784199E-3</v>
      </c>
    </row>
    <row r="34" spans="2:5" x14ac:dyDescent="0.25">
      <c r="B34" s="30" t="s">
        <v>427</v>
      </c>
      <c r="C34" s="3">
        <v>0.1167082327308897</v>
      </c>
      <c r="D34" s="3">
        <v>0.26177547528423872</v>
      </c>
      <c r="E34" s="3">
        <v>3.2721934410529802E-3</v>
      </c>
    </row>
    <row r="35" spans="2:5" x14ac:dyDescent="0.25">
      <c r="B35" s="30" t="s">
        <v>342</v>
      </c>
      <c r="C35" s="3">
        <v>0.55164792216035197</v>
      </c>
      <c r="D35" s="3">
        <v>1.2373411338176099</v>
      </c>
      <c r="E35" s="3">
        <v>1.54667641727201E-2</v>
      </c>
    </row>
    <row r="36" spans="2:5" x14ac:dyDescent="0.25">
      <c r="B36" s="2" t="s">
        <v>0</v>
      </c>
      <c r="C36" s="3">
        <v>251.79153893413832</v>
      </c>
      <c r="D36" s="3">
        <v>-3064.4825651999604</v>
      </c>
      <c r="E36" s="3">
        <v>6.9806412399617441</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E30"/>
  <sheetViews>
    <sheetView workbookViewId="0">
      <selection activeCell="D10" sqref="D10"/>
    </sheetView>
  </sheetViews>
  <sheetFormatPr defaultRowHeight="15" x14ac:dyDescent="0.25"/>
  <cols>
    <col min="3" max="3" width="13.140625" bestFit="1" customWidth="1"/>
    <col min="4" max="4" width="7.85546875" bestFit="1" customWidth="1"/>
    <col min="5" max="5" width="12.5703125" bestFit="1" customWidth="1"/>
    <col min="6" max="24" width="12" bestFit="1" customWidth="1"/>
  </cols>
  <sheetData>
    <row r="5" spans="3:5" x14ac:dyDescent="0.25">
      <c r="C5" s="1" t="s">
        <v>15</v>
      </c>
      <c r="D5" s="1" t="s">
        <v>88</v>
      </c>
      <c r="E5" t="s">
        <v>111</v>
      </c>
    </row>
    <row r="6" spans="3:5" x14ac:dyDescent="0.25">
      <c r="C6" t="s">
        <v>137</v>
      </c>
      <c r="D6" t="s">
        <v>46</v>
      </c>
      <c r="E6" s="3">
        <v>0</v>
      </c>
    </row>
    <row r="7" spans="3:5" x14ac:dyDescent="0.25">
      <c r="C7" t="s">
        <v>137</v>
      </c>
      <c r="D7" t="s">
        <v>47</v>
      </c>
      <c r="E7" s="3">
        <v>0</v>
      </c>
    </row>
    <row r="8" spans="3:5" x14ac:dyDescent="0.25">
      <c r="C8" t="s">
        <v>137</v>
      </c>
      <c r="D8" t="s">
        <v>48</v>
      </c>
      <c r="E8" s="3">
        <v>0</v>
      </c>
    </row>
    <row r="9" spans="3:5" x14ac:dyDescent="0.25">
      <c r="C9" t="s">
        <v>137</v>
      </c>
      <c r="D9" t="s">
        <v>49</v>
      </c>
      <c r="E9" s="3">
        <v>0</v>
      </c>
    </row>
    <row r="10" spans="3:5" x14ac:dyDescent="0.25">
      <c r="C10" t="s">
        <v>137</v>
      </c>
      <c r="D10" t="s">
        <v>50</v>
      </c>
      <c r="E10" s="3">
        <v>0</v>
      </c>
    </row>
    <row r="11" spans="3:5" x14ac:dyDescent="0.25">
      <c r="C11" t="s">
        <v>137</v>
      </c>
      <c r="D11" t="s">
        <v>51</v>
      </c>
      <c r="E11" s="3">
        <v>0</v>
      </c>
    </row>
    <row r="12" spans="3:5" x14ac:dyDescent="0.25">
      <c r="C12" t="s">
        <v>137</v>
      </c>
      <c r="D12" t="s">
        <v>196</v>
      </c>
      <c r="E12" s="3">
        <v>0</v>
      </c>
    </row>
    <row r="13" spans="3:5" x14ac:dyDescent="0.25">
      <c r="C13" t="s">
        <v>137</v>
      </c>
      <c r="D13" t="s">
        <v>197</v>
      </c>
      <c r="E13" s="3">
        <v>0</v>
      </c>
    </row>
    <row r="14" spans="3:5" x14ac:dyDescent="0.25">
      <c r="C14" t="s">
        <v>137</v>
      </c>
      <c r="D14" t="s">
        <v>198</v>
      </c>
      <c r="E14" s="3">
        <v>0</v>
      </c>
    </row>
    <row r="15" spans="3:5" x14ac:dyDescent="0.25">
      <c r="C15" t="s">
        <v>137</v>
      </c>
      <c r="D15" t="s">
        <v>199</v>
      </c>
      <c r="E15" s="3">
        <v>0</v>
      </c>
    </row>
    <row r="16" spans="3:5" x14ac:dyDescent="0.25">
      <c r="C16" t="s">
        <v>137</v>
      </c>
      <c r="D16" t="s">
        <v>200</v>
      </c>
      <c r="E16" s="3">
        <v>0</v>
      </c>
    </row>
    <row r="17" spans="3:5" x14ac:dyDescent="0.25">
      <c r="C17" t="s">
        <v>137</v>
      </c>
      <c r="D17" t="s">
        <v>240</v>
      </c>
      <c r="E17" s="3">
        <v>0</v>
      </c>
    </row>
    <row r="18" spans="3:5" x14ac:dyDescent="0.25">
      <c r="C18" t="s">
        <v>137</v>
      </c>
      <c r="D18" t="s">
        <v>301</v>
      </c>
      <c r="E18" s="3">
        <v>0</v>
      </c>
    </row>
    <row r="19" spans="3:5" x14ac:dyDescent="0.25">
      <c r="C19" t="s">
        <v>137</v>
      </c>
      <c r="D19" t="s">
        <v>302</v>
      </c>
      <c r="E19" s="3">
        <v>0</v>
      </c>
    </row>
    <row r="20" spans="3:5" x14ac:dyDescent="0.25">
      <c r="C20" t="s">
        <v>137</v>
      </c>
      <c r="D20" t="s">
        <v>303</v>
      </c>
      <c r="E20" s="3">
        <v>0</v>
      </c>
    </row>
    <row r="21" spans="3:5" x14ac:dyDescent="0.25">
      <c r="C21" t="s">
        <v>137</v>
      </c>
      <c r="D21" t="s">
        <v>304</v>
      </c>
      <c r="E21" s="3">
        <v>0</v>
      </c>
    </row>
    <row r="22" spans="3:5" x14ac:dyDescent="0.25">
      <c r="C22" t="s">
        <v>137</v>
      </c>
      <c r="D22" t="s">
        <v>305</v>
      </c>
      <c r="E22" s="3">
        <v>0</v>
      </c>
    </row>
    <row r="23" spans="3:5" x14ac:dyDescent="0.25">
      <c r="C23" t="s">
        <v>137</v>
      </c>
      <c r="D23" t="s">
        <v>306</v>
      </c>
      <c r="E23" s="3">
        <v>0</v>
      </c>
    </row>
    <row r="24" spans="3:5" x14ac:dyDescent="0.25">
      <c r="C24" t="s">
        <v>137</v>
      </c>
      <c r="D24" t="s">
        <v>307</v>
      </c>
      <c r="E24" s="3">
        <v>0</v>
      </c>
    </row>
    <row r="25" spans="3:5" x14ac:dyDescent="0.25">
      <c r="C25" t="s">
        <v>137</v>
      </c>
      <c r="D25" t="s">
        <v>308</v>
      </c>
      <c r="E25" s="3">
        <v>0</v>
      </c>
    </row>
    <row r="26" spans="3:5" x14ac:dyDescent="0.25">
      <c r="C26" t="s">
        <v>137</v>
      </c>
      <c r="D26" t="s">
        <v>309</v>
      </c>
      <c r="E26" s="3">
        <v>0</v>
      </c>
    </row>
    <row r="27" spans="3:5" x14ac:dyDescent="0.25">
      <c r="C27" t="s">
        <v>137</v>
      </c>
      <c r="D27" t="s">
        <v>310</v>
      </c>
      <c r="E27" s="3">
        <v>0</v>
      </c>
    </row>
    <row r="28" spans="3:5" x14ac:dyDescent="0.25">
      <c r="C28" t="s">
        <v>137</v>
      </c>
      <c r="D28" t="s">
        <v>311</v>
      </c>
      <c r="E28" s="3">
        <v>0</v>
      </c>
    </row>
    <row r="29" spans="3:5" x14ac:dyDescent="0.25">
      <c r="C29" t="s">
        <v>137</v>
      </c>
      <c r="D29" t="s">
        <v>312</v>
      </c>
      <c r="E29" s="3">
        <v>0</v>
      </c>
    </row>
    <row r="30" spans="3:5" x14ac:dyDescent="0.25">
      <c r="C30" t="s">
        <v>0</v>
      </c>
      <c r="E30" s="3">
        <v>0</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G7"/>
  <sheetViews>
    <sheetView zoomScale="70" zoomScaleNormal="70" workbookViewId="0">
      <selection activeCell="F35" sqref="F35"/>
    </sheetView>
  </sheetViews>
  <sheetFormatPr defaultRowHeight="15" x14ac:dyDescent="0.25"/>
  <cols>
    <col min="3" max="3" width="13.85546875" customWidth="1"/>
    <col min="4" max="4" width="16.28515625" bestFit="1" customWidth="1"/>
    <col min="5" max="5" width="8.85546875" bestFit="1" customWidth="1"/>
    <col min="6" max="6" width="9.5703125" bestFit="1" customWidth="1"/>
    <col min="7" max="7" width="11.28515625" bestFit="1" customWidth="1"/>
    <col min="8" max="8" width="12.5703125" bestFit="1" customWidth="1"/>
    <col min="9" max="9" width="12.5703125" customWidth="1"/>
    <col min="10" max="10" width="12.5703125" bestFit="1" customWidth="1"/>
    <col min="11" max="11" width="15.28515625" bestFit="1" customWidth="1"/>
    <col min="12" max="12" width="14" bestFit="1" customWidth="1"/>
    <col min="13" max="14" width="12.5703125" bestFit="1" customWidth="1"/>
  </cols>
  <sheetData>
    <row r="4" spans="3:7" x14ac:dyDescent="0.25">
      <c r="C4" s="1" t="s">
        <v>111</v>
      </c>
      <c r="D4" s="1" t="s">
        <v>44</v>
      </c>
    </row>
    <row r="5" spans="3:7" x14ac:dyDescent="0.25">
      <c r="C5" s="1" t="s">
        <v>45</v>
      </c>
      <c r="D5" t="s">
        <v>19</v>
      </c>
      <c r="E5" t="s">
        <v>8</v>
      </c>
      <c r="F5" t="s">
        <v>7</v>
      </c>
      <c r="G5" t="s">
        <v>0</v>
      </c>
    </row>
    <row r="6" spans="3:7" x14ac:dyDescent="0.25">
      <c r="C6" s="2" t="s">
        <v>137</v>
      </c>
      <c r="D6" s="3">
        <v>0</v>
      </c>
      <c r="E6" s="3">
        <v>0</v>
      </c>
      <c r="F6" s="3">
        <v>0</v>
      </c>
      <c r="G6" s="3">
        <v>0</v>
      </c>
    </row>
    <row r="7" spans="3:7" x14ac:dyDescent="0.25">
      <c r="C7" s="2" t="s">
        <v>0</v>
      </c>
      <c r="D7" s="3">
        <v>0</v>
      </c>
      <c r="E7" s="3">
        <v>0</v>
      </c>
      <c r="F7" s="3">
        <v>0</v>
      </c>
      <c r="G7" s="3">
        <v>0</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J31"/>
  <sheetViews>
    <sheetView workbookViewId="0">
      <selection activeCell="F15" sqref="F15"/>
    </sheetView>
  </sheetViews>
  <sheetFormatPr defaultRowHeight="15" x14ac:dyDescent="0.25"/>
  <cols>
    <col min="3" max="3" width="13.140625" customWidth="1"/>
    <col min="4" max="4" width="7.85546875" bestFit="1" customWidth="1"/>
    <col min="5" max="7" width="13.5703125" bestFit="1" customWidth="1"/>
    <col min="8" max="9" width="13.5703125" customWidth="1"/>
    <col min="10" max="10" width="12.7109375" bestFit="1" customWidth="1"/>
    <col min="11" max="20" width="12.7109375" customWidth="1"/>
    <col min="21" max="31" width="12.7109375" bestFit="1" customWidth="1"/>
    <col min="32" max="32" width="6.7109375" bestFit="1" customWidth="1"/>
    <col min="33" max="33" width="3.5703125" bestFit="1" customWidth="1"/>
    <col min="34" max="34" width="8.28515625" bestFit="1" customWidth="1"/>
    <col min="35" max="35" width="12.7109375" bestFit="1" customWidth="1"/>
    <col min="36" max="36" width="12" bestFit="1" customWidth="1"/>
    <col min="37" max="37" width="7" bestFit="1" customWidth="1"/>
    <col min="38" max="38" width="12.7109375" bestFit="1" customWidth="1"/>
    <col min="39" max="39" width="6.7109375" bestFit="1" customWidth="1"/>
    <col min="40" max="40" width="6" bestFit="1" customWidth="1"/>
    <col min="41" max="41" width="12.7109375" bestFit="1" customWidth="1"/>
    <col min="42" max="42" width="12" bestFit="1" customWidth="1"/>
    <col min="43" max="46" width="12.7109375" bestFit="1" customWidth="1"/>
    <col min="47" max="47" width="5" bestFit="1" customWidth="1"/>
    <col min="48" max="54" width="12.7109375" bestFit="1" customWidth="1"/>
    <col min="55" max="55" width="4.85546875" bestFit="1" customWidth="1"/>
    <col min="56" max="56" width="7.85546875" bestFit="1" customWidth="1"/>
    <col min="57" max="57" width="6" bestFit="1" customWidth="1"/>
    <col min="58" max="59" width="12" bestFit="1" customWidth="1"/>
    <col min="60" max="60" width="5.85546875" bestFit="1" customWidth="1"/>
    <col min="61" max="62" width="12.7109375" bestFit="1" customWidth="1"/>
    <col min="63" max="66" width="12" bestFit="1" customWidth="1"/>
    <col min="67" max="67" width="7.7109375" bestFit="1" customWidth="1"/>
    <col min="68" max="68" width="12.7109375" bestFit="1" customWidth="1"/>
    <col min="69" max="69" width="12" bestFit="1" customWidth="1"/>
    <col min="70" max="70" width="12.7109375" bestFit="1" customWidth="1"/>
    <col min="71" max="71" width="12" bestFit="1" customWidth="1"/>
    <col min="72" max="72" width="6" bestFit="1" customWidth="1"/>
    <col min="73" max="74" width="12.7109375" bestFit="1" customWidth="1"/>
    <col min="75" max="75" width="5.42578125" bestFit="1" customWidth="1"/>
    <col min="76" max="76" width="8.42578125" bestFit="1" customWidth="1"/>
    <col min="77" max="77" width="12.7109375" bestFit="1" customWidth="1"/>
  </cols>
  <sheetData>
    <row r="4" spans="3:10" x14ac:dyDescent="0.25">
      <c r="C4" s="1" t="s">
        <v>153</v>
      </c>
      <c r="E4" s="1" t="s">
        <v>154</v>
      </c>
      <c r="F4" s="1" t="s">
        <v>163</v>
      </c>
    </row>
    <row r="5" spans="3:10" x14ac:dyDescent="0.25">
      <c r="E5" t="s">
        <v>225</v>
      </c>
      <c r="F5" t="s">
        <v>225</v>
      </c>
      <c r="G5" t="s">
        <v>225</v>
      </c>
      <c r="H5" t="s">
        <v>225</v>
      </c>
      <c r="I5" t="s">
        <v>225</v>
      </c>
      <c r="J5" t="s">
        <v>0</v>
      </c>
    </row>
    <row r="6" spans="3:10" x14ac:dyDescent="0.25">
      <c r="C6" s="1" t="s">
        <v>15</v>
      </c>
      <c r="D6" s="1" t="s">
        <v>88</v>
      </c>
      <c r="E6" t="s">
        <v>224</v>
      </c>
      <c r="F6" t="s">
        <v>289</v>
      </c>
      <c r="G6" t="s">
        <v>291</v>
      </c>
      <c r="H6" t="s">
        <v>288</v>
      </c>
      <c r="I6" t="s">
        <v>300</v>
      </c>
    </row>
    <row r="7" spans="3:10" x14ac:dyDescent="0.25">
      <c r="C7" t="s">
        <v>137</v>
      </c>
      <c r="D7" t="s">
        <v>46</v>
      </c>
      <c r="E7" s="3">
        <v>-0.54</v>
      </c>
      <c r="F7" s="3">
        <v>0</v>
      </c>
      <c r="G7" s="3">
        <v>0.36</v>
      </c>
      <c r="H7" s="3">
        <v>0.98285338059677696</v>
      </c>
      <c r="I7" s="3">
        <v>-1.71159345286099</v>
      </c>
      <c r="J7" s="3">
        <v>-0.90874007226421305</v>
      </c>
    </row>
    <row r="8" spans="3:10" x14ac:dyDescent="0.25">
      <c r="C8" t="s">
        <v>137</v>
      </c>
      <c r="D8" t="s">
        <v>47</v>
      </c>
      <c r="E8" s="3">
        <v>0</v>
      </c>
      <c r="F8" s="3">
        <v>0</v>
      </c>
      <c r="G8" s="3">
        <v>0.36</v>
      </c>
      <c r="H8" s="3">
        <v>1.0529999999999999</v>
      </c>
      <c r="I8" s="3">
        <v>-2.2198131890210808</v>
      </c>
      <c r="J8" s="3">
        <v>-0.80681318902108101</v>
      </c>
    </row>
    <row r="9" spans="3:10" x14ac:dyDescent="0.25">
      <c r="C9" t="s">
        <v>137</v>
      </c>
      <c r="D9" t="s">
        <v>48</v>
      </c>
      <c r="E9" s="3">
        <v>0</v>
      </c>
      <c r="F9" s="3">
        <v>0</v>
      </c>
      <c r="G9" s="3">
        <v>0.36</v>
      </c>
      <c r="H9" s="3">
        <v>0.58585029131550126</v>
      </c>
      <c r="I9" s="3">
        <v>-1.6788981769355642</v>
      </c>
      <c r="J9" s="3">
        <v>-0.73304788562006296</v>
      </c>
    </row>
    <row r="10" spans="3:10" x14ac:dyDescent="0.25">
      <c r="C10" t="s">
        <v>137</v>
      </c>
      <c r="D10" t="s">
        <v>49</v>
      </c>
      <c r="E10" s="3">
        <v>-0.211321588546031</v>
      </c>
      <c r="F10" s="3">
        <v>0</v>
      </c>
      <c r="G10" s="3">
        <v>0.36</v>
      </c>
      <c r="H10" s="3">
        <v>1.0529999999999999</v>
      </c>
      <c r="I10" s="3">
        <v>-1.9546732101784201</v>
      </c>
      <c r="J10" s="3">
        <v>-0.75299479872445119</v>
      </c>
    </row>
    <row r="11" spans="3:10" x14ac:dyDescent="0.25">
      <c r="C11" t="s">
        <v>137</v>
      </c>
      <c r="D11" t="s">
        <v>50</v>
      </c>
      <c r="E11" s="3">
        <v>0</v>
      </c>
      <c r="F11" s="3">
        <v>0</v>
      </c>
      <c r="G11" s="3">
        <v>0.36</v>
      </c>
      <c r="H11" s="3">
        <v>1.0529999999999999</v>
      </c>
      <c r="I11" s="3">
        <v>-2.2115674871782387</v>
      </c>
      <c r="J11" s="3">
        <v>-0.79856748717823889</v>
      </c>
    </row>
    <row r="12" spans="3:10" x14ac:dyDescent="0.25">
      <c r="C12" t="s">
        <v>137</v>
      </c>
      <c r="D12" t="s">
        <v>51</v>
      </c>
      <c r="E12" s="3">
        <v>-0.41704356956828598</v>
      </c>
      <c r="F12" s="3">
        <v>0</v>
      </c>
      <c r="G12" s="3">
        <v>0.36</v>
      </c>
      <c r="H12" s="3">
        <v>1.0529999999999999</v>
      </c>
      <c r="I12" s="3">
        <v>-2.1536935993889608</v>
      </c>
      <c r="J12" s="3">
        <v>-1.1577371689572469</v>
      </c>
    </row>
    <row r="13" spans="3:10" x14ac:dyDescent="0.25">
      <c r="C13" t="s">
        <v>137</v>
      </c>
      <c r="D13" t="s">
        <v>196</v>
      </c>
      <c r="E13" s="3">
        <v>-7.9328453129123094E-2</v>
      </c>
      <c r="F13" s="3">
        <v>0</v>
      </c>
      <c r="G13" s="3">
        <v>0.36</v>
      </c>
      <c r="H13" s="3">
        <v>1.0529999999999999</v>
      </c>
      <c r="I13" s="3">
        <v>-2.6759163992796253</v>
      </c>
      <c r="J13" s="3">
        <v>-1.3422448524087485</v>
      </c>
    </row>
    <row r="14" spans="3:10" x14ac:dyDescent="0.25">
      <c r="C14" t="s">
        <v>137</v>
      </c>
      <c r="D14" t="s">
        <v>197</v>
      </c>
      <c r="E14" s="3">
        <v>0.440359941024979</v>
      </c>
      <c r="F14" s="3">
        <v>0</v>
      </c>
      <c r="G14" s="3">
        <v>0.36</v>
      </c>
      <c r="H14" s="3">
        <v>1.0529999999999999</v>
      </c>
      <c r="I14" s="3">
        <v>-3.5930107004168348</v>
      </c>
      <c r="J14" s="3">
        <v>-1.7396507593918558</v>
      </c>
    </row>
    <row r="15" spans="3:10" x14ac:dyDescent="0.25">
      <c r="C15" t="s">
        <v>137</v>
      </c>
      <c r="D15" t="s">
        <v>198</v>
      </c>
      <c r="E15" s="3">
        <v>0.43367146880921098</v>
      </c>
      <c r="F15" s="3">
        <v>0</v>
      </c>
      <c r="G15" s="3">
        <v>0.36</v>
      </c>
      <c r="H15" s="3">
        <v>1.0529999999999999</v>
      </c>
      <c r="I15" s="3">
        <v>-3.628918382656416</v>
      </c>
      <c r="J15" s="3">
        <v>-1.782246913847205</v>
      </c>
    </row>
    <row r="16" spans="3:10" x14ac:dyDescent="0.25">
      <c r="C16" t="s">
        <v>137</v>
      </c>
      <c r="D16" t="s">
        <v>199</v>
      </c>
      <c r="E16" s="3">
        <v>0.51851425566581699</v>
      </c>
      <c r="F16" s="3">
        <v>0</v>
      </c>
      <c r="G16" s="3">
        <v>0.36</v>
      </c>
      <c r="H16" s="3">
        <v>1.0529999999999999</v>
      </c>
      <c r="I16" s="3">
        <v>-3.6102901168788737</v>
      </c>
      <c r="J16" s="3">
        <v>-1.6787758612130568</v>
      </c>
    </row>
    <row r="17" spans="3:10" x14ac:dyDescent="0.25">
      <c r="C17" t="s">
        <v>137</v>
      </c>
      <c r="D17" t="s">
        <v>200</v>
      </c>
      <c r="E17" s="3">
        <v>0.52264432315884113</v>
      </c>
      <c r="F17" s="3">
        <v>0</v>
      </c>
      <c r="G17" s="3">
        <v>0.36</v>
      </c>
      <c r="H17" s="3">
        <v>1.0529999999999999</v>
      </c>
      <c r="I17" s="3">
        <v>-3.5828387002805799</v>
      </c>
      <c r="J17" s="3">
        <v>-1.647194377121739</v>
      </c>
    </row>
    <row r="18" spans="3:10" x14ac:dyDescent="0.25">
      <c r="C18" t="s">
        <v>137</v>
      </c>
      <c r="D18" t="s">
        <v>240</v>
      </c>
      <c r="E18" s="3">
        <v>0.54</v>
      </c>
      <c r="F18" s="3">
        <v>0</v>
      </c>
      <c r="G18" s="3">
        <v>0.36</v>
      </c>
      <c r="H18" s="3">
        <v>1.0529999999999999</v>
      </c>
      <c r="I18" s="3">
        <v>-3.5876592258152149</v>
      </c>
      <c r="J18" s="3">
        <v>-1.6346592258152151</v>
      </c>
    </row>
    <row r="19" spans="3:10" x14ac:dyDescent="0.25">
      <c r="C19" t="s">
        <v>137</v>
      </c>
      <c r="D19" t="s">
        <v>301</v>
      </c>
      <c r="E19" s="3">
        <v>0.54</v>
      </c>
      <c r="F19" s="3">
        <v>0</v>
      </c>
      <c r="G19" s="3">
        <v>0.36</v>
      </c>
      <c r="H19" s="3">
        <v>1.0529999999999999</v>
      </c>
      <c r="I19" s="3">
        <v>-3.6494152415651957</v>
      </c>
      <c r="J19" s="3">
        <v>-1.6964152415651959</v>
      </c>
    </row>
    <row r="20" spans="3:10" x14ac:dyDescent="0.25">
      <c r="C20" t="s">
        <v>137</v>
      </c>
      <c r="D20" t="s">
        <v>302</v>
      </c>
      <c r="E20" s="3">
        <v>0.49199044834440903</v>
      </c>
      <c r="F20" s="3">
        <v>0</v>
      </c>
      <c r="G20" s="3">
        <v>0.36</v>
      </c>
      <c r="H20" s="3">
        <v>1.0529999999999999</v>
      </c>
      <c r="I20" s="3">
        <v>-3.6970473485522701</v>
      </c>
      <c r="J20" s="3">
        <v>-1.7920569002078612</v>
      </c>
    </row>
    <row r="21" spans="3:10" x14ac:dyDescent="0.25">
      <c r="C21" t="s">
        <v>137</v>
      </c>
      <c r="D21" t="s">
        <v>303</v>
      </c>
      <c r="E21" s="3">
        <v>0.45820623845149799</v>
      </c>
      <c r="F21" s="3">
        <v>0</v>
      </c>
      <c r="G21" s="3">
        <v>0.36</v>
      </c>
      <c r="H21" s="3">
        <v>1.0529999999999999</v>
      </c>
      <c r="I21" s="3">
        <v>-3.7280994028821901</v>
      </c>
      <c r="J21" s="3">
        <v>-1.8568931644306921</v>
      </c>
    </row>
    <row r="22" spans="3:10" x14ac:dyDescent="0.25">
      <c r="C22" t="s">
        <v>137</v>
      </c>
      <c r="D22" t="s">
        <v>304</v>
      </c>
      <c r="E22" s="3">
        <v>0.53875757699543203</v>
      </c>
      <c r="F22" s="3">
        <v>0</v>
      </c>
      <c r="G22" s="3">
        <v>0.36</v>
      </c>
      <c r="H22" s="3">
        <v>1.0529999999999999</v>
      </c>
      <c r="I22" s="3">
        <v>-3.6446735712730547</v>
      </c>
      <c r="J22" s="3">
        <v>-1.6929159942776226</v>
      </c>
    </row>
    <row r="23" spans="3:10" x14ac:dyDescent="0.25">
      <c r="C23" t="s">
        <v>137</v>
      </c>
      <c r="D23" t="s">
        <v>305</v>
      </c>
      <c r="E23" s="3">
        <v>0.54</v>
      </c>
      <c r="F23" s="3">
        <v>0</v>
      </c>
      <c r="G23" s="3">
        <v>0.36</v>
      </c>
      <c r="H23" s="3">
        <v>1.0529999999999999</v>
      </c>
      <c r="I23" s="3">
        <v>-3.6161174154390707</v>
      </c>
      <c r="J23" s="3">
        <v>-1.6631174154390709</v>
      </c>
    </row>
    <row r="24" spans="3:10" x14ac:dyDescent="0.25">
      <c r="C24" t="s">
        <v>137</v>
      </c>
      <c r="D24" t="s">
        <v>306</v>
      </c>
      <c r="E24" s="3">
        <v>0.42525108289393998</v>
      </c>
      <c r="F24" s="3">
        <v>0</v>
      </c>
      <c r="G24" s="3">
        <v>0.36</v>
      </c>
      <c r="H24" s="3">
        <v>1.0529999999999999</v>
      </c>
      <c r="I24" s="3">
        <v>-3.7716917033054997</v>
      </c>
      <c r="J24" s="3">
        <v>-1.93344062041156</v>
      </c>
    </row>
    <row r="25" spans="3:10" x14ac:dyDescent="0.25">
      <c r="C25" t="s">
        <v>137</v>
      </c>
      <c r="D25" t="s">
        <v>307</v>
      </c>
      <c r="E25" s="3">
        <v>0.22200456416397399</v>
      </c>
      <c r="F25" s="3">
        <v>0</v>
      </c>
      <c r="G25" s="3">
        <v>0.36</v>
      </c>
      <c r="H25" s="3">
        <v>0.97856698223467198</v>
      </c>
      <c r="I25" s="3">
        <v>-3.8554977848581098</v>
      </c>
      <c r="J25" s="3">
        <v>-2.294926238459464</v>
      </c>
    </row>
    <row r="26" spans="3:10" x14ac:dyDescent="0.25">
      <c r="C26" t="s">
        <v>137</v>
      </c>
      <c r="D26" t="s">
        <v>308</v>
      </c>
      <c r="E26" s="3">
        <v>0.18123200010586701</v>
      </c>
      <c r="F26" s="3">
        <v>0</v>
      </c>
      <c r="G26" s="3">
        <v>0.36</v>
      </c>
      <c r="H26" s="3">
        <v>0.92685521204001897</v>
      </c>
      <c r="I26" s="3">
        <v>-3.8554977848581098</v>
      </c>
      <c r="J26" s="3">
        <v>-2.3874105727122239</v>
      </c>
    </row>
    <row r="27" spans="3:10" x14ac:dyDescent="0.25">
      <c r="C27" t="s">
        <v>137</v>
      </c>
      <c r="D27" t="s">
        <v>309</v>
      </c>
      <c r="E27" s="3">
        <v>0.236557541855273</v>
      </c>
      <c r="F27" s="3">
        <v>0</v>
      </c>
      <c r="G27" s="3">
        <v>0.36</v>
      </c>
      <c r="H27" s="3">
        <v>0.99800693935475793</v>
      </c>
      <c r="I27" s="3">
        <v>-3.8554977848581098</v>
      </c>
      <c r="J27" s="3">
        <v>-2.2609333036480788</v>
      </c>
    </row>
    <row r="28" spans="3:10" x14ac:dyDescent="0.25">
      <c r="C28" t="s">
        <v>137</v>
      </c>
      <c r="D28" t="s">
        <v>310</v>
      </c>
      <c r="E28" s="3">
        <v>0.34954409664470898</v>
      </c>
      <c r="F28" s="3">
        <v>0</v>
      </c>
      <c r="G28" s="3">
        <v>0.36</v>
      </c>
      <c r="H28" s="3">
        <v>1.0529999999999999</v>
      </c>
      <c r="I28" s="3">
        <v>-3.8162218025240198</v>
      </c>
      <c r="J28" s="3">
        <v>-2.053677705879311</v>
      </c>
    </row>
    <row r="29" spans="3:10" x14ac:dyDescent="0.25">
      <c r="C29" t="s">
        <v>137</v>
      </c>
      <c r="D29" t="s">
        <v>311</v>
      </c>
      <c r="E29" s="3">
        <v>0.53845079848664001</v>
      </c>
      <c r="F29" s="3">
        <v>0</v>
      </c>
      <c r="G29" s="3">
        <v>0.36</v>
      </c>
      <c r="H29" s="3">
        <v>1.0529999999999999</v>
      </c>
      <c r="I29" s="3">
        <v>-3.6511504760936369</v>
      </c>
      <c r="J29" s="3">
        <v>-1.699699677606997</v>
      </c>
    </row>
    <row r="30" spans="3:10" x14ac:dyDescent="0.25">
      <c r="C30" t="s">
        <v>137</v>
      </c>
      <c r="D30" t="s">
        <v>312</v>
      </c>
      <c r="E30" s="3">
        <v>0.30985454424145398</v>
      </c>
      <c r="F30" s="3">
        <v>0</v>
      </c>
      <c r="G30" s="3">
        <v>0.36</v>
      </c>
      <c r="H30" s="3">
        <v>1.0529999999999999</v>
      </c>
      <c r="I30" s="3">
        <v>-3.0528061973428549</v>
      </c>
      <c r="J30" s="3">
        <v>-1.3299516531014008</v>
      </c>
    </row>
    <row r="31" spans="3:10" x14ac:dyDescent="0.25">
      <c r="C31" t="s">
        <v>0</v>
      </c>
      <c r="E31" s="3">
        <v>6.0393452695986047</v>
      </c>
      <c r="F31" s="3">
        <v>0</v>
      </c>
      <c r="G31" s="3">
        <v>8.6400000000000023</v>
      </c>
      <c r="H31" s="3">
        <v>24.479132805541735</v>
      </c>
      <c r="I31" s="3">
        <v>-76.802589154442913</v>
      </c>
      <c r="J31" s="3">
        <v>-37.64411107930259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5:H11"/>
  <sheetViews>
    <sheetView topLeftCell="A51" workbookViewId="0">
      <selection activeCell="H13" sqref="H13"/>
    </sheetView>
  </sheetViews>
  <sheetFormatPr defaultRowHeight="15" x14ac:dyDescent="0.25"/>
  <cols>
    <col min="3" max="3" width="13.140625" customWidth="1"/>
    <col min="4" max="4" width="16.28515625" customWidth="1"/>
    <col min="5" max="5" width="10.28515625" bestFit="1" customWidth="1"/>
    <col min="6" max="6" width="12" customWidth="1"/>
    <col min="7" max="7" width="12" bestFit="1" customWidth="1"/>
    <col min="8" max="8" width="12" customWidth="1"/>
    <col min="9" max="9" width="12" bestFit="1" customWidth="1"/>
    <col min="10" max="10" width="13.85546875" bestFit="1" customWidth="1"/>
    <col min="11" max="11" width="12" customWidth="1"/>
    <col min="12" max="13" width="12" bestFit="1" customWidth="1"/>
    <col min="14" max="14" width="12" customWidth="1"/>
    <col min="15" max="17" width="12" bestFit="1" customWidth="1"/>
    <col min="18" max="18" width="14.85546875" bestFit="1" customWidth="1"/>
    <col min="19" max="20" width="12" bestFit="1" customWidth="1"/>
    <col min="21" max="21" width="12.42578125" bestFit="1" customWidth="1"/>
    <col min="22" max="22" width="19.42578125" bestFit="1" customWidth="1"/>
    <col min="23" max="23" width="12" bestFit="1" customWidth="1"/>
    <col min="24" max="24" width="13.7109375" bestFit="1" customWidth="1"/>
    <col min="25" max="25" width="12" bestFit="1" customWidth="1"/>
    <col min="26" max="26" width="15.7109375" customWidth="1"/>
    <col min="27" max="27" width="9.42578125" customWidth="1"/>
    <col min="28" max="28" width="18.140625" customWidth="1"/>
    <col min="29" max="29" width="18.85546875" bestFit="1" customWidth="1"/>
    <col min="30" max="30" width="11.28515625" customWidth="1"/>
    <col min="31" max="31" width="13.85546875" bestFit="1" customWidth="1"/>
    <col min="32" max="32" width="12" customWidth="1"/>
    <col min="33" max="33" width="8.7109375" customWidth="1"/>
    <col min="34" max="34" width="14.42578125" bestFit="1" customWidth="1"/>
    <col min="35" max="35" width="10.28515625" customWidth="1"/>
    <col min="36" max="36" width="13.42578125" bestFit="1" customWidth="1"/>
    <col min="37" max="38" width="12" bestFit="1" customWidth="1"/>
    <col min="39" max="39" width="10.28515625" customWidth="1"/>
    <col min="40" max="40" width="12" bestFit="1" customWidth="1"/>
    <col min="41" max="41" width="12" customWidth="1"/>
    <col min="42" max="42" width="13.7109375" customWidth="1"/>
    <col min="43" max="43" width="20" customWidth="1"/>
    <col min="44" max="44" width="23.140625" bestFit="1" customWidth="1"/>
    <col min="45" max="45" width="12" bestFit="1" customWidth="1"/>
  </cols>
  <sheetData>
    <row r="5" spans="3:8" x14ac:dyDescent="0.25">
      <c r="C5" s="1" t="s">
        <v>155</v>
      </c>
      <c r="D5" s="1" t="s">
        <v>44</v>
      </c>
    </row>
    <row r="6" spans="3:8" x14ac:dyDescent="0.25">
      <c r="C6" s="1" t="s">
        <v>45</v>
      </c>
      <c r="D6" t="s">
        <v>6</v>
      </c>
      <c r="E6" t="s">
        <v>19</v>
      </c>
      <c r="F6" t="s">
        <v>7</v>
      </c>
      <c r="G6" t="s">
        <v>8</v>
      </c>
      <c r="H6" t="s">
        <v>0</v>
      </c>
    </row>
    <row r="7" spans="3:8" x14ac:dyDescent="0.25">
      <c r="C7" s="2" t="s">
        <v>6</v>
      </c>
      <c r="D7" s="3">
        <v>3154.9528157620653</v>
      </c>
      <c r="E7" s="3">
        <v>0</v>
      </c>
      <c r="F7" s="3">
        <v>32640.176598535731</v>
      </c>
      <c r="G7" s="3">
        <v>37533.201157476971</v>
      </c>
      <c r="H7" s="3">
        <v>73328.330571774772</v>
      </c>
    </row>
    <row r="8" spans="3:8" x14ac:dyDescent="0.25">
      <c r="C8" s="2" t="s">
        <v>19</v>
      </c>
      <c r="D8" s="3">
        <v>47164.472910370932</v>
      </c>
      <c r="E8" s="3">
        <v>629754.23004543805</v>
      </c>
      <c r="F8" s="3">
        <v>11037.6</v>
      </c>
      <c r="G8" s="3">
        <v>325021.68247646501</v>
      </c>
      <c r="H8" s="3">
        <v>1012977.9854322739</v>
      </c>
    </row>
    <row r="9" spans="3:8" x14ac:dyDescent="0.25">
      <c r="C9" s="2" t="s">
        <v>7</v>
      </c>
      <c r="D9" s="3">
        <v>0</v>
      </c>
      <c r="E9" s="3">
        <v>0</v>
      </c>
      <c r="F9" s="3">
        <v>8282.0999285811631</v>
      </c>
      <c r="G9" s="3">
        <v>6047.5563433154239</v>
      </c>
      <c r="H9" s="3">
        <v>14329.656271896587</v>
      </c>
    </row>
    <row r="10" spans="3:8" x14ac:dyDescent="0.25">
      <c r="C10" s="2" t="s">
        <v>8</v>
      </c>
      <c r="D10" s="3">
        <v>0</v>
      </c>
      <c r="E10" s="3">
        <v>0</v>
      </c>
      <c r="F10" s="3">
        <v>96.028936669661704</v>
      </c>
      <c r="G10" s="3">
        <v>89115.056876585237</v>
      </c>
      <c r="H10" s="3">
        <v>89211.085813254904</v>
      </c>
    </row>
    <row r="11" spans="3:8" x14ac:dyDescent="0.25">
      <c r="C11" s="2" t="s">
        <v>0</v>
      </c>
      <c r="D11" s="3">
        <v>50319.425726132999</v>
      </c>
      <c r="E11" s="3">
        <v>629754.23004543805</v>
      </c>
      <c r="F11" s="3">
        <v>52055.905463786556</v>
      </c>
      <c r="G11" s="3">
        <v>457717.49685384263</v>
      </c>
      <c r="H11" s="3">
        <v>1189847.0580892002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I29"/>
  <sheetViews>
    <sheetView workbookViewId="0">
      <selection activeCell="C5" sqref="C5"/>
    </sheetView>
  </sheetViews>
  <sheetFormatPr defaultRowHeight="15" x14ac:dyDescent="0.25"/>
  <cols>
    <col min="2" max="2" width="12.5703125" customWidth="1"/>
    <col min="3" max="3" width="7.85546875" customWidth="1"/>
    <col min="4" max="4" width="7.85546875" bestFit="1" customWidth="1"/>
    <col min="5" max="6" width="12" bestFit="1" customWidth="1"/>
    <col min="7" max="9" width="12" customWidth="1"/>
    <col min="10" max="13" width="13.5703125" customWidth="1"/>
    <col min="14" max="15" width="12" customWidth="1"/>
    <col min="16" max="16" width="15.140625" bestFit="1" customWidth="1"/>
    <col min="17" max="17" width="12" bestFit="1" customWidth="1"/>
  </cols>
  <sheetData>
    <row r="3" spans="2:9" x14ac:dyDescent="0.25">
      <c r="B3" s="1" t="s">
        <v>14</v>
      </c>
      <c r="E3" s="1" t="s">
        <v>11</v>
      </c>
    </row>
    <row r="4" spans="2:9" x14ac:dyDescent="0.25">
      <c r="B4" s="1" t="s">
        <v>195</v>
      </c>
      <c r="C4" s="1" t="s">
        <v>15</v>
      </c>
      <c r="D4" s="1" t="s">
        <v>88</v>
      </c>
      <c r="E4" t="s">
        <v>6</v>
      </c>
      <c r="F4" t="s">
        <v>19</v>
      </c>
      <c r="G4" t="s">
        <v>7</v>
      </c>
      <c r="H4" t="s">
        <v>8</v>
      </c>
      <c r="I4" t="s">
        <v>0</v>
      </c>
    </row>
    <row r="5" spans="2:9" x14ac:dyDescent="0.25">
      <c r="B5" t="s">
        <v>251</v>
      </c>
      <c r="C5" t="s">
        <v>137</v>
      </c>
      <c r="D5" t="s">
        <v>46</v>
      </c>
      <c r="E5" s="3">
        <v>5078.5503382831394</v>
      </c>
      <c r="F5" s="3">
        <v>86784.18500048267</v>
      </c>
      <c r="G5" s="3">
        <v>25166.014641125857</v>
      </c>
      <c r="H5" s="3">
        <v>24593.591722451914</v>
      </c>
      <c r="I5" s="3">
        <v>141622.34170234358</v>
      </c>
    </row>
    <row r="6" spans="2:9" x14ac:dyDescent="0.25">
      <c r="B6" t="s">
        <v>251</v>
      </c>
      <c r="C6" t="s">
        <v>137</v>
      </c>
      <c r="D6" t="s">
        <v>47</v>
      </c>
      <c r="E6" s="3">
        <v>4919.9305576820207</v>
      </c>
      <c r="F6" s="3">
        <v>82606.763442089825</v>
      </c>
      <c r="G6" s="3">
        <v>24538.749858426643</v>
      </c>
      <c r="H6" s="3">
        <v>23843.927032018488</v>
      </c>
      <c r="I6" s="3">
        <v>135909.37089021696</v>
      </c>
    </row>
    <row r="7" spans="2:9" x14ac:dyDescent="0.25">
      <c r="B7" t="s">
        <v>251</v>
      </c>
      <c r="C7" t="s">
        <v>137</v>
      </c>
      <c r="D7" t="s">
        <v>48</v>
      </c>
      <c r="E7" s="3">
        <v>4875.5886225650402</v>
      </c>
      <c r="F7" s="3">
        <v>81907.613390476021</v>
      </c>
      <c r="G7" s="3">
        <v>24488.599821662199</v>
      </c>
      <c r="H7" s="3">
        <v>23767.37263698981</v>
      </c>
      <c r="I7" s="3">
        <v>135039.17447169308</v>
      </c>
    </row>
    <row r="8" spans="2:9" x14ac:dyDescent="0.25">
      <c r="B8" t="s">
        <v>251</v>
      </c>
      <c r="C8" t="s">
        <v>137</v>
      </c>
      <c r="D8" t="s">
        <v>49</v>
      </c>
      <c r="E8" s="3">
        <v>4952.4844928502243</v>
      </c>
      <c r="F8" s="3">
        <v>84103.381521325733</v>
      </c>
      <c r="G8" s="3">
        <v>24852.364170004541</v>
      </c>
      <c r="H8" s="3">
        <v>24098.092411434973</v>
      </c>
      <c r="I8" s="3">
        <v>138006.32259561546</v>
      </c>
    </row>
    <row r="9" spans="2:9" x14ac:dyDescent="0.25">
      <c r="B9" t="s">
        <v>251</v>
      </c>
      <c r="C9" t="s">
        <v>137</v>
      </c>
      <c r="D9" t="s">
        <v>50</v>
      </c>
      <c r="E9" s="3">
        <v>5201.3857029965402</v>
      </c>
      <c r="F9" s="3">
        <v>89132.892205123018</v>
      </c>
      <c r="G9" s="3">
        <v>25159.141415575639</v>
      </c>
      <c r="H9" s="3">
        <v>24431.138088607142</v>
      </c>
      <c r="I9" s="3">
        <v>143924.55741230235</v>
      </c>
    </row>
    <row r="10" spans="2:9" x14ac:dyDescent="0.25">
      <c r="B10" t="s">
        <v>251</v>
      </c>
      <c r="C10" t="s">
        <v>137</v>
      </c>
      <c r="D10" t="s">
        <v>51</v>
      </c>
      <c r="E10" s="3">
        <v>5813.7252908175406</v>
      </c>
      <c r="F10" s="3">
        <v>98049.240207111201</v>
      </c>
      <c r="G10" s="3">
        <v>25942.788208819162</v>
      </c>
      <c r="H10" s="3">
        <v>25575.510056264273</v>
      </c>
      <c r="I10" s="3">
        <v>155381.26376301216</v>
      </c>
    </row>
    <row r="11" spans="2:9" x14ac:dyDescent="0.25">
      <c r="B11" t="s">
        <v>251</v>
      </c>
      <c r="C11" t="s">
        <v>137</v>
      </c>
      <c r="D11" t="s">
        <v>196</v>
      </c>
      <c r="E11" s="3">
        <v>6772.8479251148801</v>
      </c>
      <c r="F11" s="3">
        <v>115053.88036870747</v>
      </c>
      <c r="G11" s="3">
        <v>28601.348989614598</v>
      </c>
      <c r="H11" s="3">
        <v>28568.54163854022</v>
      </c>
      <c r="I11" s="3">
        <v>178996.61892197718</v>
      </c>
    </row>
    <row r="12" spans="2:9" x14ac:dyDescent="0.25">
      <c r="B12" t="s">
        <v>251</v>
      </c>
      <c r="C12" t="s">
        <v>137</v>
      </c>
      <c r="D12" t="s">
        <v>197</v>
      </c>
      <c r="E12" s="3">
        <v>8002.9052178511602</v>
      </c>
      <c r="F12" s="3">
        <v>127972.86241618497</v>
      </c>
      <c r="G12" s="3">
        <v>31585.520210518214</v>
      </c>
      <c r="H12" s="3">
        <v>31924.368901141319</v>
      </c>
      <c r="I12" s="3">
        <v>199485.65674569565</v>
      </c>
    </row>
    <row r="13" spans="2:9" x14ac:dyDescent="0.25">
      <c r="B13" t="s">
        <v>251</v>
      </c>
      <c r="C13" t="s">
        <v>137</v>
      </c>
      <c r="D13" t="s">
        <v>198</v>
      </c>
      <c r="E13" s="3">
        <v>8361.1069268193387</v>
      </c>
      <c r="F13" s="3">
        <v>133454.63578961973</v>
      </c>
      <c r="G13" s="3">
        <v>32129.665791412976</v>
      </c>
      <c r="H13" s="3">
        <v>32499.9928079944</v>
      </c>
      <c r="I13" s="3">
        <v>206445.40131584645</v>
      </c>
    </row>
    <row r="14" spans="2:9" x14ac:dyDescent="0.25">
      <c r="B14" t="s">
        <v>251</v>
      </c>
      <c r="C14" t="s">
        <v>137</v>
      </c>
      <c r="D14" t="s">
        <v>199</v>
      </c>
      <c r="E14" s="3">
        <v>8386.6969729476405</v>
      </c>
      <c r="F14" s="3">
        <v>134981.84168361378</v>
      </c>
      <c r="G14" s="3">
        <v>31469.404523154979</v>
      </c>
      <c r="H14" s="3">
        <v>33002.808751475641</v>
      </c>
      <c r="I14" s="3">
        <v>207840.75193119203</v>
      </c>
    </row>
    <row r="15" spans="2:9" x14ac:dyDescent="0.25">
      <c r="B15" t="s">
        <v>251</v>
      </c>
      <c r="C15" t="s">
        <v>137</v>
      </c>
      <c r="D15" t="s">
        <v>200</v>
      </c>
      <c r="E15" s="3">
        <v>8419.105530606219</v>
      </c>
      <c r="F15" s="3">
        <v>138350.87099482826</v>
      </c>
      <c r="G15" s="3">
        <v>31038.565453603573</v>
      </c>
      <c r="H15" s="3">
        <v>33064.40061754518</v>
      </c>
      <c r="I15" s="3">
        <v>210872.94259658322</v>
      </c>
    </row>
    <row r="16" spans="2:9" x14ac:dyDescent="0.25">
      <c r="B16" t="s">
        <v>251</v>
      </c>
      <c r="C16" t="s">
        <v>137</v>
      </c>
      <c r="D16" t="s">
        <v>240</v>
      </c>
      <c r="E16" s="3">
        <v>8337.2323136587602</v>
      </c>
      <c r="F16" s="3">
        <v>140218.91253898409</v>
      </c>
      <c r="G16" s="3">
        <v>30300.66366101526</v>
      </c>
      <c r="H16" s="3">
        <v>33167.8868279038</v>
      </c>
      <c r="I16" s="3">
        <v>212024.69534156189</v>
      </c>
    </row>
    <row r="17" spans="2:9" x14ac:dyDescent="0.25">
      <c r="B17" t="s">
        <v>251</v>
      </c>
      <c r="C17" t="s">
        <v>137</v>
      </c>
      <c r="D17" t="s">
        <v>301</v>
      </c>
      <c r="E17" s="3">
        <v>8118.77669352468</v>
      </c>
      <c r="F17" s="3">
        <v>138765.99133797374</v>
      </c>
      <c r="G17" s="3">
        <v>29259.480788338755</v>
      </c>
      <c r="H17" s="3">
        <v>32399.592625323559</v>
      </c>
      <c r="I17" s="3">
        <v>208543.84144516074</v>
      </c>
    </row>
    <row r="18" spans="2:9" x14ac:dyDescent="0.25">
      <c r="B18" t="s">
        <v>251</v>
      </c>
      <c r="C18" t="s">
        <v>137</v>
      </c>
      <c r="D18" t="s">
        <v>302</v>
      </c>
      <c r="E18" s="3">
        <v>8062.576034265081</v>
      </c>
      <c r="F18" s="3">
        <v>137684.49360188365</v>
      </c>
      <c r="G18" s="3">
        <v>28863.570437976377</v>
      </c>
      <c r="H18" s="3">
        <v>31966.675984895599</v>
      </c>
      <c r="I18" s="3">
        <v>206577.3160590207</v>
      </c>
    </row>
    <row r="19" spans="2:9" x14ac:dyDescent="0.25">
      <c r="B19" t="s">
        <v>251</v>
      </c>
      <c r="C19" t="s">
        <v>137</v>
      </c>
      <c r="D19" t="s">
        <v>303</v>
      </c>
      <c r="E19" s="3">
        <v>7874.9353416001795</v>
      </c>
      <c r="F19" s="3">
        <v>135886.3670628893</v>
      </c>
      <c r="G19" s="3">
        <v>28662.308096177563</v>
      </c>
      <c r="H19" s="3">
        <v>31752.278638630578</v>
      </c>
      <c r="I19" s="3">
        <v>204175.88913929762</v>
      </c>
    </row>
    <row r="20" spans="2:9" x14ac:dyDescent="0.25">
      <c r="B20" t="s">
        <v>251</v>
      </c>
      <c r="C20" t="s">
        <v>137</v>
      </c>
      <c r="D20" t="s">
        <v>304</v>
      </c>
      <c r="E20" s="3">
        <v>7530.2488529141392</v>
      </c>
      <c r="F20" s="3">
        <v>133559.50829736187</v>
      </c>
      <c r="G20" s="3">
        <v>28729.586333376585</v>
      </c>
      <c r="H20" s="3">
        <v>31302.933466552498</v>
      </c>
      <c r="I20" s="3">
        <v>201122.27695020509</v>
      </c>
    </row>
    <row r="21" spans="2:9" x14ac:dyDescent="0.25">
      <c r="B21" t="s">
        <v>251</v>
      </c>
      <c r="C21" t="s">
        <v>137</v>
      </c>
      <c r="D21" t="s">
        <v>305</v>
      </c>
      <c r="E21" s="3">
        <v>7583.1208034072206</v>
      </c>
      <c r="F21" s="3">
        <v>129672.67097917099</v>
      </c>
      <c r="G21" s="3">
        <v>28905.121980081643</v>
      </c>
      <c r="H21" s="3">
        <v>30628.797774441522</v>
      </c>
      <c r="I21" s="3">
        <v>196789.71153710136</v>
      </c>
    </row>
    <row r="22" spans="2:9" x14ac:dyDescent="0.25">
      <c r="B22" t="s">
        <v>251</v>
      </c>
      <c r="C22" t="s">
        <v>137</v>
      </c>
      <c r="D22" t="s">
        <v>306</v>
      </c>
      <c r="E22" s="3">
        <v>8096.5939386005593</v>
      </c>
      <c r="F22" s="3">
        <v>129349.31408029959</v>
      </c>
      <c r="G22" s="3">
        <v>29116.981135362937</v>
      </c>
      <c r="H22" s="3">
        <v>31399.653959770003</v>
      </c>
      <c r="I22" s="3">
        <v>197962.54311403306</v>
      </c>
    </row>
    <row r="23" spans="2:9" x14ac:dyDescent="0.25">
      <c r="B23" t="s">
        <v>251</v>
      </c>
      <c r="C23" t="s">
        <v>137</v>
      </c>
      <c r="D23" t="s">
        <v>307</v>
      </c>
      <c r="E23" s="3">
        <v>8224.3595005136794</v>
      </c>
      <c r="F23" s="3">
        <v>134879.15401978302</v>
      </c>
      <c r="G23" s="3">
        <v>29996.97108023394</v>
      </c>
      <c r="H23" s="3">
        <v>32695.432783212222</v>
      </c>
      <c r="I23" s="3">
        <v>205795.91738374287</v>
      </c>
    </row>
    <row r="24" spans="2:9" x14ac:dyDescent="0.25">
      <c r="B24" t="s">
        <v>251</v>
      </c>
      <c r="C24" t="s">
        <v>137</v>
      </c>
      <c r="D24" t="s">
        <v>308</v>
      </c>
      <c r="E24" s="3">
        <v>8197.0540214175999</v>
      </c>
      <c r="F24" s="3">
        <v>141394.35856325983</v>
      </c>
      <c r="G24" s="3">
        <v>30767.926246019182</v>
      </c>
      <c r="H24" s="3">
        <v>33375.617814599318</v>
      </c>
      <c r="I24" s="3">
        <v>213734.9566452959</v>
      </c>
    </row>
    <row r="25" spans="2:9" x14ac:dyDescent="0.25">
      <c r="B25" t="s">
        <v>251</v>
      </c>
      <c r="C25" t="s">
        <v>137</v>
      </c>
      <c r="D25" t="s">
        <v>309</v>
      </c>
      <c r="E25" s="3">
        <v>7704.1110741307803</v>
      </c>
      <c r="F25" s="3">
        <v>133417.49344312772</v>
      </c>
      <c r="G25" s="3">
        <v>30514.398742581059</v>
      </c>
      <c r="H25" s="3">
        <v>32301.312901800658</v>
      </c>
      <c r="I25" s="3">
        <v>203937.31616164022</v>
      </c>
    </row>
    <row r="26" spans="2:9" x14ac:dyDescent="0.25">
      <c r="B26" t="s">
        <v>251</v>
      </c>
      <c r="C26" t="s">
        <v>137</v>
      </c>
      <c r="D26" t="s">
        <v>310</v>
      </c>
      <c r="E26" s="3">
        <v>7067.7475665176808</v>
      </c>
      <c r="F26" s="3">
        <v>124824.50234001105</v>
      </c>
      <c r="G26" s="3">
        <v>29544.452568482578</v>
      </c>
      <c r="H26" s="3">
        <v>31023.215219732359</v>
      </c>
      <c r="I26" s="3">
        <v>192459.91769474366</v>
      </c>
    </row>
    <row r="27" spans="2:9" x14ac:dyDescent="0.25">
      <c r="B27" t="s">
        <v>251</v>
      </c>
      <c r="C27" t="s">
        <v>137</v>
      </c>
      <c r="D27" t="s">
        <v>311</v>
      </c>
      <c r="E27" s="3">
        <v>6383.6033996083788</v>
      </c>
      <c r="F27" s="3">
        <v>118075.51949802585</v>
      </c>
      <c r="G27" s="3">
        <v>28256.094644277859</v>
      </c>
      <c r="H27" s="3">
        <v>29004.278479710581</v>
      </c>
      <c r="I27" s="3">
        <v>181719.49602162265</v>
      </c>
    </row>
    <row r="28" spans="2:9" x14ac:dyDescent="0.25">
      <c r="B28" t="s">
        <v>251</v>
      </c>
      <c r="C28" t="s">
        <v>137</v>
      </c>
      <c r="D28" t="s">
        <v>312</v>
      </c>
      <c r="E28" s="3">
        <v>5743.84438815674</v>
      </c>
      <c r="F28" s="3">
        <v>107133.82119026889</v>
      </c>
      <c r="G28" s="3">
        <v>26426.801750103019</v>
      </c>
      <c r="H28" s="3">
        <v>27309.159680881821</v>
      </c>
      <c r="I28" s="3">
        <v>166613.62700941047</v>
      </c>
    </row>
    <row r="29" spans="2:9" x14ac:dyDescent="0.25">
      <c r="B29" t="s">
        <v>0</v>
      </c>
      <c r="E29" s="3">
        <v>169708.53150684922</v>
      </c>
      <c r="F29" s="3">
        <v>2877260.2739726016</v>
      </c>
      <c r="G29" s="3">
        <v>684316.52054794517</v>
      </c>
      <c r="H29" s="3">
        <v>713696.58082191786</v>
      </c>
      <c r="I29" s="3">
        <v>4444981.9068493145</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4:F38"/>
  <sheetViews>
    <sheetView workbookViewId="0">
      <selection activeCell="C11" sqref="C11"/>
    </sheetView>
  </sheetViews>
  <sheetFormatPr defaultRowHeight="15" x14ac:dyDescent="0.25"/>
  <cols>
    <col min="3" max="3" width="13.140625" customWidth="1"/>
    <col min="4" max="4" width="12" customWidth="1"/>
  </cols>
  <sheetData>
    <row r="4" spans="3:4" x14ac:dyDescent="0.25">
      <c r="C4" s="1" t="s">
        <v>45</v>
      </c>
      <c r="D4" t="s">
        <v>13</v>
      </c>
    </row>
    <row r="5" spans="3:4" x14ac:dyDescent="0.25">
      <c r="C5" s="2" t="s">
        <v>6</v>
      </c>
      <c r="D5" s="3">
        <v>61.943613999999997</v>
      </c>
    </row>
    <row r="6" spans="3:4" x14ac:dyDescent="0.25">
      <c r="C6" s="2" t="s">
        <v>19</v>
      </c>
      <c r="D6" s="3">
        <v>1050.2</v>
      </c>
    </row>
    <row r="7" spans="3:4" x14ac:dyDescent="0.25">
      <c r="C7" s="2" t="s">
        <v>7</v>
      </c>
      <c r="D7" s="3">
        <v>249.77553</v>
      </c>
    </row>
    <row r="8" spans="3:4" x14ac:dyDescent="0.25">
      <c r="C8" s="2" t="s">
        <v>8</v>
      </c>
      <c r="D8" s="3">
        <v>260.49925200000001</v>
      </c>
    </row>
    <row r="9" spans="3:4" x14ac:dyDescent="0.25">
      <c r="C9" s="2" t="s">
        <v>0</v>
      </c>
      <c r="D9" s="3">
        <v>1622.418396</v>
      </c>
    </row>
    <row r="26" spans="5:6" x14ac:dyDescent="0.25">
      <c r="E26" s="2"/>
      <c r="F26" s="7"/>
    </row>
    <row r="27" spans="5:6" x14ac:dyDescent="0.25">
      <c r="E27" s="2"/>
      <c r="F27" s="7"/>
    </row>
    <row r="28" spans="5:6" x14ac:dyDescent="0.25">
      <c r="E28" s="2"/>
      <c r="F28" s="7"/>
    </row>
    <row r="29" spans="5:6" x14ac:dyDescent="0.25">
      <c r="E29" s="2"/>
      <c r="F29" s="7"/>
    </row>
    <row r="30" spans="5:6" x14ac:dyDescent="0.25">
      <c r="E30" s="2"/>
      <c r="F30" s="7"/>
    </row>
    <row r="31" spans="5:6" x14ac:dyDescent="0.25">
      <c r="E31" s="2"/>
      <c r="F31" s="7"/>
    </row>
    <row r="32" spans="5:6"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4:Z39"/>
  <sheetViews>
    <sheetView workbookViewId="0">
      <selection activeCell="E8" sqref="E8"/>
    </sheetView>
  </sheetViews>
  <sheetFormatPr defaultRowHeight="15" x14ac:dyDescent="0.25"/>
  <cols>
    <col min="2" max="2" width="20" customWidth="1"/>
    <col min="3" max="3" width="16.28515625" customWidth="1"/>
    <col min="4" max="4" width="10" customWidth="1"/>
    <col min="5" max="5" width="12" bestFit="1" customWidth="1"/>
    <col min="6" max="6" width="11" bestFit="1" customWidth="1"/>
    <col min="7" max="7" width="9" bestFit="1" customWidth="1"/>
    <col min="8" max="8" width="8" customWidth="1"/>
    <col min="9" max="9" width="9.28515625" customWidth="1"/>
    <col min="10" max="10" width="8" bestFit="1" customWidth="1"/>
    <col min="11" max="16" width="12" bestFit="1" customWidth="1"/>
    <col min="17" max="17" width="12.28515625" bestFit="1" customWidth="1"/>
    <col min="18" max="18" width="13.5703125" bestFit="1" customWidth="1"/>
    <col min="19" max="19" width="7" customWidth="1"/>
    <col min="20" max="20" width="12.5703125" bestFit="1" customWidth="1"/>
    <col min="21" max="21" width="16" bestFit="1" customWidth="1"/>
    <col min="22" max="22" width="14.140625" bestFit="1" customWidth="1"/>
    <col min="23" max="23" width="14.28515625" bestFit="1" customWidth="1"/>
    <col min="24" max="24" width="6.42578125" customWidth="1"/>
    <col min="25" max="25" width="11.85546875" bestFit="1" customWidth="1"/>
    <col min="26" max="28" width="12" bestFit="1" customWidth="1"/>
    <col min="29" max="29" width="11.42578125" bestFit="1" customWidth="1"/>
    <col min="30" max="30" width="11" bestFit="1" customWidth="1"/>
    <col min="31" max="31" width="12.28515625" bestFit="1" customWidth="1"/>
    <col min="32" max="32" width="12" bestFit="1" customWidth="1"/>
    <col min="33" max="33" width="13.5703125" bestFit="1" customWidth="1"/>
    <col min="34" max="34" width="12" bestFit="1" customWidth="1"/>
    <col min="35" max="35" width="11.42578125" bestFit="1" customWidth="1"/>
    <col min="36" max="36" width="11" bestFit="1" customWidth="1"/>
    <col min="37" max="37" width="12.5703125" bestFit="1" customWidth="1"/>
    <col min="38" max="38" width="12" bestFit="1" customWidth="1"/>
    <col min="39" max="39" width="16" bestFit="1" customWidth="1"/>
    <col min="40" max="40" width="12" bestFit="1" customWidth="1"/>
    <col min="41" max="41" width="14.140625" bestFit="1" customWidth="1"/>
    <col min="42" max="42" width="11" bestFit="1" customWidth="1"/>
    <col min="43" max="43" width="14.28515625" bestFit="1" customWidth="1"/>
    <col min="44" max="44" width="11" bestFit="1" customWidth="1"/>
    <col min="45" max="45" width="11.42578125" bestFit="1" customWidth="1"/>
    <col min="46" max="46" width="11" bestFit="1" customWidth="1"/>
    <col min="47" max="47" width="11.42578125" bestFit="1" customWidth="1"/>
    <col min="48" max="48" width="11" bestFit="1" customWidth="1"/>
    <col min="49" max="49" width="16.42578125" bestFit="1" customWidth="1"/>
    <col min="50" max="50" width="16" bestFit="1" customWidth="1"/>
  </cols>
  <sheetData>
    <row r="4" spans="2:26" x14ac:dyDescent="0.25">
      <c r="B4" s="1" t="s">
        <v>153</v>
      </c>
      <c r="C4" s="1" t="s">
        <v>44</v>
      </c>
    </row>
    <row r="5" spans="2:26" x14ac:dyDescent="0.25">
      <c r="B5" s="1" t="s">
        <v>45</v>
      </c>
      <c r="C5" t="s">
        <v>9</v>
      </c>
      <c r="D5" t="s">
        <v>156</v>
      </c>
      <c r="E5" t="s">
        <v>16</v>
      </c>
      <c r="F5" t="s">
        <v>226</v>
      </c>
      <c r="G5" t="s">
        <v>158</v>
      </c>
      <c r="H5" t="s">
        <v>159</v>
      </c>
      <c r="I5" t="s">
        <v>227</v>
      </c>
      <c r="J5" t="s">
        <v>228</v>
      </c>
      <c r="K5" t="s">
        <v>10</v>
      </c>
      <c r="L5" t="s">
        <v>229</v>
      </c>
      <c r="M5" t="s">
        <v>157</v>
      </c>
      <c r="N5" t="s">
        <v>187</v>
      </c>
      <c r="O5" t="s">
        <v>230</v>
      </c>
      <c r="P5" t="s">
        <v>231</v>
      </c>
      <c r="Q5" t="s">
        <v>232</v>
      </c>
      <c r="R5" t="s">
        <v>233</v>
      </c>
      <c r="S5" t="s">
        <v>234</v>
      </c>
      <c r="T5" t="s">
        <v>235</v>
      </c>
      <c r="U5" t="s">
        <v>236</v>
      </c>
      <c r="V5" t="s">
        <v>237</v>
      </c>
      <c r="W5" t="s">
        <v>238</v>
      </c>
      <c r="X5" t="s">
        <v>186</v>
      </c>
      <c r="Y5" t="s">
        <v>333</v>
      </c>
      <c r="Z5" t="s">
        <v>0</v>
      </c>
    </row>
    <row r="6" spans="2:26" x14ac:dyDescent="0.25">
      <c r="B6" s="2" t="s">
        <v>6</v>
      </c>
      <c r="C6" s="3">
        <v>1.5668625119994779</v>
      </c>
      <c r="D6" s="3">
        <v>0.21105600000000005</v>
      </c>
      <c r="E6" s="3">
        <v>3.524</v>
      </c>
      <c r="F6" s="3">
        <v>1.006254</v>
      </c>
      <c r="G6" s="3">
        <v>1.1055680000000001</v>
      </c>
      <c r="H6" s="3"/>
      <c r="I6" s="3"/>
      <c r="J6" s="3">
        <v>0.13475999999999999</v>
      </c>
      <c r="K6" s="3">
        <v>6.9800000000000001E-3</v>
      </c>
      <c r="L6" s="3">
        <v>9.1422470000001006</v>
      </c>
      <c r="M6" s="3"/>
      <c r="N6" s="3">
        <v>7.8079999999999997E-2</v>
      </c>
      <c r="O6" s="3">
        <v>2.3832429999999993</v>
      </c>
      <c r="P6" s="3"/>
      <c r="Q6" s="3">
        <v>0.28286</v>
      </c>
      <c r="R6" s="3"/>
      <c r="S6" s="3"/>
      <c r="T6" s="3">
        <v>0.41528999999999999</v>
      </c>
      <c r="U6" s="3"/>
      <c r="V6" s="3">
        <v>0.63390999999999997</v>
      </c>
      <c r="W6" s="3"/>
      <c r="X6" s="3"/>
      <c r="Y6" s="3"/>
      <c r="Z6" s="3">
        <v>20.491110511999576</v>
      </c>
    </row>
    <row r="7" spans="2:26" x14ac:dyDescent="0.25">
      <c r="B7" s="4" t="s">
        <v>188</v>
      </c>
      <c r="C7" s="3">
        <v>0.78287415599973897</v>
      </c>
      <c r="D7" s="3">
        <v>8.800100000000001E-2</v>
      </c>
      <c r="E7" s="3">
        <v>0.32400000000000001</v>
      </c>
      <c r="F7" s="3">
        <v>0.40862700000000007</v>
      </c>
      <c r="G7" s="3">
        <v>0.16160600000000003</v>
      </c>
      <c r="H7" s="3"/>
      <c r="I7" s="3"/>
      <c r="J7" s="3">
        <v>3.1E-2</v>
      </c>
      <c r="K7" s="3">
        <v>2.5000000000000001E-5</v>
      </c>
      <c r="L7" s="3">
        <v>3.9843029999999988</v>
      </c>
      <c r="M7" s="3"/>
      <c r="N7" s="3">
        <v>4.0000000000000002E-4</v>
      </c>
      <c r="O7" s="3">
        <v>0.243395</v>
      </c>
      <c r="P7" s="3"/>
      <c r="Q7" s="3">
        <v>0.10058</v>
      </c>
      <c r="R7" s="3"/>
      <c r="S7" s="3"/>
      <c r="T7" s="3">
        <v>4.53E-2</v>
      </c>
      <c r="U7" s="3"/>
      <c r="V7" s="3"/>
      <c r="W7" s="3"/>
      <c r="X7" s="3"/>
      <c r="Y7" s="3"/>
      <c r="Z7" s="3">
        <v>6.170111155999737</v>
      </c>
    </row>
    <row r="8" spans="2:26" x14ac:dyDescent="0.25">
      <c r="B8" s="4" t="s">
        <v>259</v>
      </c>
      <c r="C8" s="3">
        <v>0.78398835599973893</v>
      </c>
      <c r="D8" s="3">
        <v>0.12305500000000004</v>
      </c>
      <c r="E8" s="3">
        <v>3.2</v>
      </c>
      <c r="F8" s="3">
        <v>0.59762699999999991</v>
      </c>
      <c r="G8" s="3">
        <v>0.94396200000000008</v>
      </c>
      <c r="H8" s="3"/>
      <c r="I8" s="3"/>
      <c r="J8" s="3">
        <v>0.10376000000000001</v>
      </c>
      <c r="K8" s="3">
        <v>6.9550000000000002E-3</v>
      </c>
      <c r="L8" s="3">
        <v>5.1579440000001018</v>
      </c>
      <c r="M8" s="3"/>
      <c r="N8" s="3">
        <v>7.7679999999999999E-2</v>
      </c>
      <c r="O8" s="3">
        <v>2.1398479999999993</v>
      </c>
      <c r="P8" s="3"/>
      <c r="Q8" s="3">
        <v>0.18228</v>
      </c>
      <c r="R8" s="3"/>
      <c r="S8" s="3"/>
      <c r="T8" s="3">
        <v>0.36998999999999999</v>
      </c>
      <c r="U8" s="3"/>
      <c r="V8" s="3">
        <v>0.63390999999999997</v>
      </c>
      <c r="W8" s="3"/>
      <c r="X8" s="3"/>
      <c r="Y8" s="3"/>
      <c r="Z8" s="3">
        <v>14.32099935599984</v>
      </c>
    </row>
    <row r="9" spans="2:26" x14ac:dyDescent="0.25">
      <c r="B9" s="2" t="s">
        <v>17</v>
      </c>
      <c r="C9" s="3"/>
      <c r="D9" s="3">
        <v>1.14E-2</v>
      </c>
      <c r="E9" s="3"/>
      <c r="F9" s="3"/>
      <c r="G9" s="3"/>
      <c r="H9" s="3"/>
      <c r="I9" s="3"/>
      <c r="J9" s="3"/>
      <c r="K9" s="3"/>
      <c r="L9" s="3">
        <v>0.496</v>
      </c>
      <c r="M9" s="3"/>
      <c r="N9" s="3"/>
      <c r="O9" s="3">
        <v>0.15259999999999999</v>
      </c>
      <c r="P9" s="3"/>
      <c r="Q9" s="3">
        <v>0.153</v>
      </c>
      <c r="R9" s="3"/>
      <c r="S9" s="3"/>
      <c r="T9" s="3">
        <v>3.4000000000000002E-2</v>
      </c>
      <c r="U9" s="3"/>
      <c r="V9" s="3"/>
      <c r="W9" s="3"/>
      <c r="X9" s="3">
        <v>2.899</v>
      </c>
      <c r="Y9" s="3"/>
      <c r="Z9" s="3">
        <v>3.746</v>
      </c>
    </row>
    <row r="10" spans="2:26" x14ac:dyDescent="0.25">
      <c r="B10" s="4" t="s">
        <v>188</v>
      </c>
      <c r="C10" s="3"/>
      <c r="D10" s="3">
        <v>5.7000000000000002E-3</v>
      </c>
      <c r="E10" s="3"/>
      <c r="F10" s="3"/>
      <c r="G10" s="3"/>
      <c r="H10" s="3"/>
      <c r="I10" s="3"/>
      <c r="J10" s="3"/>
      <c r="K10" s="3"/>
      <c r="L10" s="3">
        <v>0.183</v>
      </c>
      <c r="M10" s="3"/>
      <c r="N10" s="3"/>
      <c r="O10" s="3">
        <v>2.93E-2</v>
      </c>
      <c r="P10" s="3"/>
      <c r="Q10" s="3">
        <v>7.6499999999999999E-2</v>
      </c>
      <c r="R10" s="3"/>
      <c r="S10" s="3"/>
      <c r="T10" s="3">
        <v>1.7000000000000001E-2</v>
      </c>
      <c r="U10" s="3"/>
      <c r="V10" s="3"/>
      <c r="W10" s="3"/>
      <c r="X10" s="3">
        <v>0.8620000000000001</v>
      </c>
      <c r="Y10" s="3"/>
      <c r="Z10" s="3">
        <v>1.1735000000000002</v>
      </c>
    </row>
    <row r="11" spans="2:26" x14ac:dyDescent="0.25">
      <c r="B11" s="4" t="s">
        <v>259</v>
      </c>
      <c r="C11" s="3"/>
      <c r="D11" s="3">
        <v>5.7000000000000002E-3</v>
      </c>
      <c r="E11" s="3"/>
      <c r="F11" s="3"/>
      <c r="G11" s="3"/>
      <c r="H11" s="3"/>
      <c r="I11" s="3"/>
      <c r="J11" s="3"/>
      <c r="K11" s="3"/>
      <c r="L11" s="3">
        <v>0.313</v>
      </c>
      <c r="M11" s="3"/>
      <c r="N11" s="3"/>
      <c r="O11" s="3">
        <v>0.12329999999999999</v>
      </c>
      <c r="P11" s="3"/>
      <c r="Q11" s="3">
        <v>7.6499999999999999E-2</v>
      </c>
      <c r="R11" s="3"/>
      <c r="S11" s="3"/>
      <c r="T11" s="3">
        <v>1.7000000000000001E-2</v>
      </c>
      <c r="U11" s="3"/>
      <c r="V11" s="3"/>
      <c r="W11" s="3"/>
      <c r="X11" s="3">
        <v>2.0369999999999999</v>
      </c>
      <c r="Y11" s="3"/>
      <c r="Z11" s="3">
        <v>2.5724999999999998</v>
      </c>
    </row>
    <row r="12" spans="2:26" x14ac:dyDescent="0.25">
      <c r="B12" s="2" t="s">
        <v>18</v>
      </c>
      <c r="C12" s="3"/>
      <c r="D12" s="3"/>
      <c r="E12" s="3">
        <v>2.1776</v>
      </c>
      <c r="F12" s="3">
        <v>0.51960000000000006</v>
      </c>
      <c r="G12" s="3"/>
      <c r="H12" s="3"/>
      <c r="I12" s="3">
        <v>7.2619999999999996</v>
      </c>
      <c r="J12" s="3"/>
      <c r="K12" s="3">
        <v>6.6687999999999992</v>
      </c>
      <c r="L12" s="3">
        <v>4.6858050000000002</v>
      </c>
      <c r="M12" s="3">
        <v>4.94475</v>
      </c>
      <c r="N12" s="3">
        <v>202.59786222760292</v>
      </c>
      <c r="O12" s="3">
        <v>4.4485995206710598</v>
      </c>
      <c r="P12" s="3">
        <v>3.4573060606060606</v>
      </c>
      <c r="Q12" s="3">
        <v>0.52750606060606064</v>
      </c>
      <c r="R12" s="3">
        <v>0.36819999999999997</v>
      </c>
      <c r="S12" s="3"/>
      <c r="T12" s="3"/>
      <c r="U12" s="3"/>
      <c r="V12" s="3">
        <v>2.2000000000000001E-3</v>
      </c>
      <c r="W12" s="3">
        <v>0.1036</v>
      </c>
      <c r="X12" s="3"/>
      <c r="Y12" s="3"/>
      <c r="Z12" s="3">
        <v>237.76382886948608</v>
      </c>
    </row>
    <row r="13" spans="2:26" x14ac:dyDescent="0.25">
      <c r="B13" s="4" t="s">
        <v>188</v>
      </c>
      <c r="C13" s="3"/>
      <c r="D13" s="3"/>
      <c r="E13" s="3">
        <v>0.80630000000000002</v>
      </c>
      <c r="F13" s="3">
        <v>0.25980000000000003</v>
      </c>
      <c r="G13" s="3"/>
      <c r="H13" s="3"/>
      <c r="I13" s="3">
        <v>4.51</v>
      </c>
      <c r="J13" s="3"/>
      <c r="K13" s="3">
        <v>3.4261999999999997</v>
      </c>
      <c r="L13" s="3">
        <v>3.1535500000000001</v>
      </c>
      <c r="M13" s="3">
        <v>2.472375</v>
      </c>
      <c r="N13" s="3">
        <v>101.19756634382567</v>
      </c>
      <c r="O13" s="3">
        <v>2.2211797483523066</v>
      </c>
      <c r="P13" s="3">
        <v>1.7287076280041798</v>
      </c>
      <c r="Q13" s="3">
        <v>0.26380762800417973</v>
      </c>
      <c r="R13" s="3">
        <v>0.18409999999999999</v>
      </c>
      <c r="S13" s="3"/>
      <c r="T13" s="3"/>
      <c r="U13" s="3"/>
      <c r="V13" s="3">
        <v>1.1000000000000001E-3</v>
      </c>
      <c r="W13" s="3">
        <v>5.1799999999999999E-2</v>
      </c>
      <c r="X13" s="3"/>
      <c r="Y13" s="3"/>
      <c r="Z13" s="3">
        <v>120.27648634818632</v>
      </c>
    </row>
    <row r="14" spans="2:26" x14ac:dyDescent="0.25">
      <c r="B14" s="4" t="s">
        <v>259</v>
      </c>
      <c r="C14" s="3"/>
      <c r="D14" s="3"/>
      <c r="E14" s="3">
        <v>1.3713000000000002</v>
      </c>
      <c r="F14" s="3">
        <v>0.25980000000000003</v>
      </c>
      <c r="G14" s="3"/>
      <c r="H14" s="3"/>
      <c r="I14" s="3">
        <v>2.7519999999999998</v>
      </c>
      <c r="J14" s="3"/>
      <c r="K14" s="3">
        <v>3.2425999999999999</v>
      </c>
      <c r="L14" s="3">
        <v>1.5322549999999999</v>
      </c>
      <c r="M14" s="3">
        <v>2.472375</v>
      </c>
      <c r="N14" s="3">
        <v>101.40029588377725</v>
      </c>
      <c r="O14" s="3">
        <v>2.2274197723187532</v>
      </c>
      <c r="P14" s="3">
        <v>1.7285984326018808</v>
      </c>
      <c r="Q14" s="3">
        <v>0.26369843260188086</v>
      </c>
      <c r="R14" s="3">
        <v>0.18409999999999999</v>
      </c>
      <c r="S14" s="3"/>
      <c r="T14" s="3"/>
      <c r="U14" s="3"/>
      <c r="V14" s="3">
        <v>1.1000000000000001E-3</v>
      </c>
      <c r="W14" s="3">
        <v>5.1799999999999999E-2</v>
      </c>
      <c r="X14" s="3"/>
      <c r="Y14" s="3"/>
      <c r="Z14" s="3">
        <v>117.48734252129977</v>
      </c>
    </row>
    <row r="15" spans="2:26" x14ac:dyDescent="0.25">
      <c r="B15" s="2" t="s">
        <v>19</v>
      </c>
      <c r="C15" s="3">
        <v>83.648009999999999</v>
      </c>
      <c r="D15" s="3">
        <v>14.239709999999999</v>
      </c>
      <c r="E15" s="3">
        <v>43.371899999999997</v>
      </c>
      <c r="F15" s="3">
        <v>93.742900000000006</v>
      </c>
      <c r="G15" s="3"/>
      <c r="H15" s="3">
        <v>31.798600000000004</v>
      </c>
      <c r="I15" s="3">
        <v>10.799999999999999</v>
      </c>
      <c r="J15" s="3"/>
      <c r="K15" s="3">
        <v>17.93516</v>
      </c>
      <c r="L15" s="3">
        <v>99.897670000000005</v>
      </c>
      <c r="M15" s="3"/>
      <c r="N15" s="3">
        <v>3.9983999999999993</v>
      </c>
      <c r="O15" s="3">
        <v>39.587099999999985</v>
      </c>
      <c r="P15" s="3"/>
      <c r="Q15" s="3"/>
      <c r="R15" s="3"/>
      <c r="S15" s="3"/>
      <c r="T15" s="3">
        <v>2.3086000000000002</v>
      </c>
      <c r="U15" s="3"/>
      <c r="V15" s="3"/>
      <c r="W15" s="3"/>
      <c r="X15" s="3"/>
      <c r="Y15" s="3">
        <v>8.9749999999999996E-2</v>
      </c>
      <c r="Z15" s="3">
        <v>441.4178</v>
      </c>
    </row>
    <row r="16" spans="2:26" x14ac:dyDescent="0.25">
      <c r="B16" s="4" t="s">
        <v>188</v>
      </c>
      <c r="C16" s="3">
        <v>42.278529999999996</v>
      </c>
      <c r="D16" s="3">
        <v>5.9036699999999982</v>
      </c>
      <c r="E16" s="3">
        <v>10.2996</v>
      </c>
      <c r="F16" s="3">
        <v>46.85192</v>
      </c>
      <c r="G16" s="3"/>
      <c r="H16" s="3">
        <v>9.0680000000000014</v>
      </c>
      <c r="I16" s="3"/>
      <c r="J16" s="3"/>
      <c r="K16" s="3">
        <v>8.9675799999999999</v>
      </c>
      <c r="L16" s="3">
        <v>48.837870000000002</v>
      </c>
      <c r="M16" s="3"/>
      <c r="N16" s="3">
        <v>8.3799999999999999E-2</v>
      </c>
      <c r="O16" s="3">
        <v>11.334899999999998</v>
      </c>
      <c r="P16" s="3"/>
      <c r="Q16" s="3"/>
      <c r="R16" s="3"/>
      <c r="S16" s="3"/>
      <c r="T16" s="3">
        <v>0.69180000000000008</v>
      </c>
      <c r="U16" s="3"/>
      <c r="V16" s="3"/>
      <c r="W16" s="3"/>
      <c r="X16" s="3"/>
      <c r="Y16" s="3">
        <v>4.4770000000000004E-2</v>
      </c>
      <c r="Z16" s="3">
        <v>184.36243999999999</v>
      </c>
    </row>
    <row r="17" spans="2:26" x14ac:dyDescent="0.25">
      <c r="B17" s="4" t="s">
        <v>259</v>
      </c>
      <c r="C17" s="3">
        <v>41.369479999999996</v>
      </c>
      <c r="D17" s="3">
        <v>8.3360400000000006</v>
      </c>
      <c r="E17" s="3">
        <v>33.072299999999998</v>
      </c>
      <c r="F17" s="3">
        <v>46.890980000000006</v>
      </c>
      <c r="G17" s="3"/>
      <c r="H17" s="3">
        <v>22.730600000000003</v>
      </c>
      <c r="I17" s="3">
        <v>10.799999999999999</v>
      </c>
      <c r="J17" s="3"/>
      <c r="K17" s="3">
        <v>8.9675799999999999</v>
      </c>
      <c r="L17" s="3">
        <v>51.059799999999996</v>
      </c>
      <c r="M17" s="3"/>
      <c r="N17" s="3">
        <v>3.9145999999999992</v>
      </c>
      <c r="O17" s="3">
        <v>28.252199999999988</v>
      </c>
      <c r="P17" s="3"/>
      <c r="Q17" s="3"/>
      <c r="R17" s="3"/>
      <c r="S17" s="3"/>
      <c r="T17" s="3">
        <v>1.6168</v>
      </c>
      <c r="U17" s="3"/>
      <c r="V17" s="3"/>
      <c r="W17" s="3"/>
      <c r="X17" s="3"/>
      <c r="Y17" s="3">
        <v>4.4979999999999999E-2</v>
      </c>
      <c r="Z17" s="3">
        <v>257.05536000000001</v>
      </c>
    </row>
    <row r="18" spans="2:26" x14ac:dyDescent="0.25">
      <c r="B18" s="2" t="s">
        <v>20</v>
      </c>
      <c r="C18" s="3"/>
      <c r="D18" s="3"/>
      <c r="E18" s="3"/>
      <c r="F18" s="3"/>
      <c r="G18" s="3"/>
      <c r="H18" s="3"/>
      <c r="I18" s="3"/>
      <c r="J18" s="3"/>
      <c r="K18" s="3">
        <v>3.12</v>
      </c>
      <c r="L18" s="3">
        <v>0.23600000000000002</v>
      </c>
      <c r="M18" s="3">
        <v>8.4999999999999992E-2</v>
      </c>
      <c r="N18" s="3"/>
      <c r="O18" s="3">
        <v>1.242</v>
      </c>
      <c r="P18" s="3"/>
      <c r="Q18" s="3"/>
      <c r="R18" s="3"/>
      <c r="S18" s="3"/>
      <c r="T18" s="3">
        <v>0.15</v>
      </c>
      <c r="U18" s="3"/>
      <c r="V18" s="3"/>
      <c r="W18" s="3"/>
      <c r="X18" s="3"/>
      <c r="Y18" s="3"/>
      <c r="Z18" s="3">
        <v>4.8330000000000002</v>
      </c>
    </row>
    <row r="19" spans="2:26" x14ac:dyDescent="0.25">
      <c r="B19" s="4" t="s">
        <v>188</v>
      </c>
      <c r="C19" s="3"/>
      <c r="D19" s="3"/>
      <c r="E19" s="3"/>
      <c r="F19" s="3"/>
      <c r="G19" s="3"/>
      <c r="H19" s="3"/>
      <c r="I19" s="3"/>
      <c r="J19" s="3"/>
      <c r="K19" s="3">
        <v>1.56</v>
      </c>
      <c r="L19" s="3">
        <v>0.11800000000000001</v>
      </c>
      <c r="M19" s="3">
        <v>0.04</v>
      </c>
      <c r="N19" s="3"/>
      <c r="O19" s="3">
        <v>0.60899999999999999</v>
      </c>
      <c r="P19" s="3"/>
      <c r="Q19" s="3"/>
      <c r="R19" s="3"/>
      <c r="S19" s="3"/>
      <c r="T19" s="3">
        <v>7.4999999999999997E-2</v>
      </c>
      <c r="U19" s="3"/>
      <c r="V19" s="3"/>
      <c r="W19" s="3"/>
      <c r="X19" s="3"/>
      <c r="Y19" s="3"/>
      <c r="Z19" s="3">
        <v>2.4020000000000001</v>
      </c>
    </row>
    <row r="20" spans="2:26" x14ac:dyDescent="0.25">
      <c r="B20" s="4" t="s">
        <v>259</v>
      </c>
      <c r="C20" s="3"/>
      <c r="D20" s="3"/>
      <c r="E20" s="3"/>
      <c r="F20" s="3"/>
      <c r="G20" s="3"/>
      <c r="H20" s="3"/>
      <c r="I20" s="3"/>
      <c r="J20" s="3"/>
      <c r="K20" s="3">
        <v>1.56</v>
      </c>
      <c r="L20" s="3">
        <v>0.11800000000000001</v>
      </c>
      <c r="M20" s="3">
        <v>4.4999999999999998E-2</v>
      </c>
      <c r="N20" s="3"/>
      <c r="O20" s="3">
        <v>0.63300000000000001</v>
      </c>
      <c r="P20" s="3"/>
      <c r="Q20" s="3"/>
      <c r="R20" s="3"/>
      <c r="S20" s="3"/>
      <c r="T20" s="3">
        <v>7.4999999999999997E-2</v>
      </c>
      <c r="U20" s="3"/>
      <c r="V20" s="3"/>
      <c r="W20" s="3"/>
      <c r="X20" s="3"/>
      <c r="Y20" s="3"/>
      <c r="Z20" s="3">
        <v>2.431</v>
      </c>
    </row>
    <row r="21" spans="2:26" x14ac:dyDescent="0.25">
      <c r="B21" s="2" t="s">
        <v>21</v>
      </c>
      <c r="C21" s="3">
        <v>0.02</v>
      </c>
      <c r="D21" s="3"/>
      <c r="E21" s="3"/>
      <c r="F21" s="3"/>
      <c r="G21" s="3"/>
      <c r="H21" s="3"/>
      <c r="I21" s="3"/>
      <c r="J21" s="3"/>
      <c r="K21" s="3">
        <v>18.202000000000002</v>
      </c>
      <c r="L21" s="3">
        <v>1</v>
      </c>
      <c r="M21" s="3"/>
      <c r="N21" s="3"/>
      <c r="O21" s="3">
        <v>3.91</v>
      </c>
      <c r="P21" s="3"/>
      <c r="Q21" s="3"/>
      <c r="R21" s="3"/>
      <c r="S21" s="3"/>
      <c r="T21" s="3"/>
      <c r="U21" s="3"/>
      <c r="V21" s="3"/>
      <c r="W21" s="3"/>
      <c r="X21" s="3"/>
      <c r="Y21" s="3"/>
      <c r="Z21" s="3">
        <v>23.132000000000001</v>
      </c>
    </row>
    <row r="22" spans="2:26" x14ac:dyDescent="0.25">
      <c r="B22" s="4" t="s">
        <v>188</v>
      </c>
      <c r="C22" s="3">
        <v>0.01</v>
      </c>
      <c r="D22" s="3"/>
      <c r="E22" s="3"/>
      <c r="F22" s="3"/>
      <c r="G22" s="3"/>
      <c r="H22" s="3"/>
      <c r="I22" s="3"/>
      <c r="J22" s="3"/>
      <c r="K22" s="3">
        <v>9.1010000000000009</v>
      </c>
      <c r="L22" s="3">
        <v>0.5</v>
      </c>
      <c r="M22" s="3"/>
      <c r="N22" s="3"/>
      <c r="O22" s="3">
        <v>1.9550000000000001</v>
      </c>
      <c r="P22" s="3"/>
      <c r="Q22" s="3"/>
      <c r="R22" s="3"/>
      <c r="S22" s="3"/>
      <c r="T22" s="3"/>
      <c r="U22" s="3"/>
      <c r="V22" s="3"/>
      <c r="W22" s="3"/>
      <c r="X22" s="3"/>
      <c r="Y22" s="3"/>
      <c r="Z22" s="3">
        <v>11.566000000000001</v>
      </c>
    </row>
    <row r="23" spans="2:26" x14ac:dyDescent="0.25">
      <c r="B23" s="4" t="s">
        <v>259</v>
      </c>
      <c r="C23" s="3">
        <v>0.01</v>
      </c>
      <c r="D23" s="3"/>
      <c r="E23" s="3"/>
      <c r="F23" s="3"/>
      <c r="G23" s="3"/>
      <c r="H23" s="3"/>
      <c r="I23" s="3"/>
      <c r="J23" s="3"/>
      <c r="K23" s="3">
        <v>9.1010000000000009</v>
      </c>
      <c r="L23" s="3">
        <v>0.5</v>
      </c>
      <c r="M23" s="3"/>
      <c r="N23" s="3"/>
      <c r="O23" s="3">
        <v>1.9550000000000001</v>
      </c>
      <c r="P23" s="3"/>
      <c r="Q23" s="3"/>
      <c r="R23" s="3"/>
      <c r="S23" s="3"/>
      <c r="T23" s="3"/>
      <c r="U23" s="3"/>
      <c r="V23" s="3"/>
      <c r="W23" s="3"/>
      <c r="X23" s="3"/>
      <c r="Y23" s="3"/>
      <c r="Z23" s="3">
        <v>11.566000000000001</v>
      </c>
    </row>
    <row r="24" spans="2:26" x14ac:dyDescent="0.25">
      <c r="B24" s="2" t="s">
        <v>7</v>
      </c>
      <c r="C24" s="3"/>
      <c r="D24" s="3"/>
      <c r="E24" s="3"/>
      <c r="F24" s="3">
        <v>1.5549140000000001</v>
      </c>
      <c r="G24" s="3"/>
      <c r="H24" s="3"/>
      <c r="I24" s="3"/>
      <c r="J24" s="3"/>
      <c r="K24" s="3">
        <v>62.576025483278087</v>
      </c>
      <c r="L24" s="3">
        <v>3.9664000000000001</v>
      </c>
      <c r="M24" s="3"/>
      <c r="N24" s="3"/>
      <c r="O24" s="3">
        <v>0.6</v>
      </c>
      <c r="P24" s="3"/>
      <c r="Q24" s="3"/>
      <c r="R24" s="3"/>
      <c r="S24" s="3"/>
      <c r="T24" s="3">
        <v>8.510266666666641E-2</v>
      </c>
      <c r="U24" s="3"/>
      <c r="V24" s="3"/>
      <c r="W24" s="3"/>
      <c r="X24" s="3"/>
      <c r="Y24" s="3"/>
      <c r="Z24" s="3">
        <v>68.782442149944757</v>
      </c>
    </row>
    <row r="25" spans="2:26" x14ac:dyDescent="0.25">
      <c r="B25" s="4" t="s">
        <v>188</v>
      </c>
      <c r="C25" s="3"/>
      <c r="D25" s="3"/>
      <c r="E25" s="3"/>
      <c r="F25" s="3">
        <v>0.77745700000000006</v>
      </c>
      <c r="G25" s="3"/>
      <c r="H25" s="3"/>
      <c r="I25" s="3"/>
      <c r="J25" s="3"/>
      <c r="K25" s="3">
        <v>31.644599656957059</v>
      </c>
      <c r="L25" s="3">
        <v>2.8069999999999999</v>
      </c>
      <c r="M25" s="3"/>
      <c r="N25" s="3"/>
      <c r="O25" s="3">
        <v>0.3</v>
      </c>
      <c r="P25" s="3"/>
      <c r="Q25" s="3"/>
      <c r="R25" s="3"/>
      <c r="S25" s="3"/>
      <c r="T25" s="3">
        <v>4.2551333333333205E-2</v>
      </c>
      <c r="U25" s="3"/>
      <c r="V25" s="3"/>
      <c r="W25" s="3"/>
      <c r="X25" s="3"/>
      <c r="Y25" s="3"/>
      <c r="Z25" s="3">
        <v>35.571607990290396</v>
      </c>
    </row>
    <row r="26" spans="2:26" x14ac:dyDescent="0.25">
      <c r="B26" s="4" t="s">
        <v>259</v>
      </c>
      <c r="C26" s="3"/>
      <c r="D26" s="3"/>
      <c r="E26" s="3"/>
      <c r="F26" s="3">
        <v>0.77745700000000006</v>
      </c>
      <c r="G26" s="3"/>
      <c r="H26" s="3"/>
      <c r="I26" s="3"/>
      <c r="J26" s="3"/>
      <c r="K26" s="3">
        <v>30.931425826321028</v>
      </c>
      <c r="L26" s="3">
        <v>1.1594</v>
      </c>
      <c r="M26" s="3"/>
      <c r="N26" s="3"/>
      <c r="O26" s="3">
        <v>0.3</v>
      </c>
      <c r="P26" s="3"/>
      <c r="Q26" s="3"/>
      <c r="R26" s="3"/>
      <c r="S26" s="3"/>
      <c r="T26" s="3">
        <v>4.2551333333333205E-2</v>
      </c>
      <c r="U26" s="3"/>
      <c r="V26" s="3"/>
      <c r="W26" s="3"/>
      <c r="X26" s="3"/>
      <c r="Y26" s="3"/>
      <c r="Z26" s="3">
        <v>33.210834159654361</v>
      </c>
    </row>
    <row r="27" spans="2:26" x14ac:dyDescent="0.25">
      <c r="B27" s="2" t="s">
        <v>22</v>
      </c>
      <c r="C27" s="3"/>
      <c r="D27" s="3">
        <v>7.0000000000000007E-2</v>
      </c>
      <c r="E27" s="3">
        <v>27.821000000000005</v>
      </c>
      <c r="F27" s="3"/>
      <c r="G27" s="3"/>
      <c r="H27" s="3">
        <v>1.3380000000000001</v>
      </c>
      <c r="I27" s="3"/>
      <c r="J27" s="3">
        <v>0.49999999999999994</v>
      </c>
      <c r="K27" s="3">
        <v>1.9059999999999999</v>
      </c>
      <c r="L27" s="3">
        <v>2.2000000000000002</v>
      </c>
      <c r="M27" s="3"/>
      <c r="N27" s="3">
        <v>0.44</v>
      </c>
      <c r="O27" s="3">
        <v>5.7480000000000002</v>
      </c>
      <c r="P27" s="3"/>
      <c r="Q27" s="3"/>
      <c r="R27" s="3">
        <v>0.90399999999999991</v>
      </c>
      <c r="S27" s="3"/>
      <c r="T27" s="3">
        <v>6.8000000000000005E-2</v>
      </c>
      <c r="U27" s="3"/>
      <c r="V27" s="3"/>
      <c r="W27" s="3"/>
      <c r="X27" s="3"/>
      <c r="Y27" s="3"/>
      <c r="Z27" s="3">
        <v>40.995000000000005</v>
      </c>
    </row>
    <row r="28" spans="2:26" x14ac:dyDescent="0.25">
      <c r="B28" s="4" t="s">
        <v>188</v>
      </c>
      <c r="C28" s="3"/>
      <c r="D28" s="3"/>
      <c r="E28" s="3">
        <v>7.7890000000000006</v>
      </c>
      <c r="F28" s="3"/>
      <c r="G28" s="3"/>
      <c r="H28" s="3">
        <v>0.498</v>
      </c>
      <c r="I28" s="3"/>
      <c r="J28" s="3">
        <v>8.2000000000000003E-2</v>
      </c>
      <c r="K28" s="3">
        <v>0.95299999999999996</v>
      </c>
      <c r="L28" s="3">
        <v>1.1000000000000001</v>
      </c>
      <c r="M28" s="3"/>
      <c r="N28" s="3">
        <v>0.22</v>
      </c>
      <c r="O28" s="3">
        <v>2.504</v>
      </c>
      <c r="P28" s="3"/>
      <c r="Q28" s="3"/>
      <c r="R28" s="3">
        <v>0.21299999999999999</v>
      </c>
      <c r="S28" s="3"/>
      <c r="T28" s="3">
        <v>3.4000000000000002E-2</v>
      </c>
      <c r="U28" s="3"/>
      <c r="V28" s="3"/>
      <c r="W28" s="3"/>
      <c r="X28" s="3"/>
      <c r="Y28" s="3"/>
      <c r="Z28" s="3">
        <v>13.393000000000001</v>
      </c>
    </row>
    <row r="29" spans="2:26" x14ac:dyDescent="0.25">
      <c r="B29" s="4" t="s">
        <v>259</v>
      </c>
      <c r="C29" s="3"/>
      <c r="D29" s="3">
        <v>7.0000000000000007E-2</v>
      </c>
      <c r="E29" s="3">
        <v>20.032000000000004</v>
      </c>
      <c r="F29" s="3"/>
      <c r="G29" s="3"/>
      <c r="H29" s="3">
        <v>0.84000000000000008</v>
      </c>
      <c r="I29" s="3"/>
      <c r="J29" s="3">
        <v>0.41799999999999993</v>
      </c>
      <c r="K29" s="3">
        <v>0.95299999999999996</v>
      </c>
      <c r="L29" s="3">
        <v>1.1000000000000001</v>
      </c>
      <c r="M29" s="3"/>
      <c r="N29" s="3">
        <v>0.22</v>
      </c>
      <c r="O29" s="3">
        <v>3.2440000000000002</v>
      </c>
      <c r="P29" s="3"/>
      <c r="Q29" s="3"/>
      <c r="R29" s="3">
        <v>0.69099999999999995</v>
      </c>
      <c r="S29" s="3"/>
      <c r="T29" s="3">
        <v>3.4000000000000002E-2</v>
      </c>
      <c r="U29" s="3"/>
      <c r="V29" s="3"/>
      <c r="W29" s="3"/>
      <c r="X29" s="3"/>
      <c r="Y29" s="3"/>
      <c r="Z29" s="3">
        <v>27.602</v>
      </c>
    </row>
    <row r="30" spans="2:26" x14ac:dyDescent="0.25">
      <c r="B30" s="2" t="s">
        <v>8</v>
      </c>
      <c r="C30" s="3"/>
      <c r="D30" s="3"/>
      <c r="E30" s="3">
        <v>0.33426111587982843</v>
      </c>
      <c r="F30" s="3">
        <v>4.3703500000000002</v>
      </c>
      <c r="G30" s="3"/>
      <c r="H30" s="3"/>
      <c r="I30" s="3">
        <v>15.563000000000001</v>
      </c>
      <c r="J30" s="3"/>
      <c r="K30" s="3">
        <v>33.244679447258463</v>
      </c>
      <c r="L30" s="3">
        <v>16.319745000000001</v>
      </c>
      <c r="M30" s="3">
        <v>2.6408000000000005</v>
      </c>
      <c r="N30" s="3">
        <v>804.65125095828625</v>
      </c>
      <c r="O30" s="3">
        <v>1.8774678260000002</v>
      </c>
      <c r="P30" s="3">
        <v>0.28427999999999998</v>
      </c>
      <c r="Q30" s="3">
        <v>0.29325459441705476</v>
      </c>
      <c r="R30" s="3">
        <v>2.0745122725450389</v>
      </c>
      <c r="S30" s="3">
        <v>0.38</v>
      </c>
      <c r="T30" s="3">
        <v>0.99017956882064151</v>
      </c>
      <c r="U30" s="3">
        <v>0.41189495140205784</v>
      </c>
      <c r="V30" s="3">
        <v>0.28800000000000003</v>
      </c>
      <c r="W30" s="3"/>
      <c r="X30" s="3"/>
      <c r="Y30" s="3"/>
      <c r="Z30" s="3">
        <v>883.72367573460929</v>
      </c>
    </row>
    <row r="31" spans="2:26" x14ac:dyDescent="0.25">
      <c r="B31" s="4" t="s">
        <v>188</v>
      </c>
      <c r="C31" s="3"/>
      <c r="D31" s="3"/>
      <c r="E31" s="3">
        <v>0.16713055793991421</v>
      </c>
      <c r="F31" s="3">
        <v>2.1851750000000001</v>
      </c>
      <c r="G31" s="3"/>
      <c r="H31" s="3"/>
      <c r="I31" s="3">
        <v>6.673</v>
      </c>
      <c r="J31" s="3"/>
      <c r="K31" s="3">
        <v>16.92111963150564</v>
      </c>
      <c r="L31" s="3">
        <v>9.9714950000000009</v>
      </c>
      <c r="M31" s="3">
        <v>1.3204000000000002</v>
      </c>
      <c r="N31" s="3">
        <v>401.58092547914316</v>
      </c>
      <c r="O31" s="3">
        <v>0.93873391300000009</v>
      </c>
      <c r="P31" s="3">
        <v>0.14213999999999999</v>
      </c>
      <c r="Q31" s="3">
        <v>0.14662729720852738</v>
      </c>
      <c r="R31" s="3">
        <v>1.0372561362725194</v>
      </c>
      <c r="S31" s="3">
        <v>0.19</v>
      </c>
      <c r="T31" s="3">
        <v>0.49508978441032075</v>
      </c>
      <c r="U31" s="3">
        <v>0.20594747570102892</v>
      </c>
      <c r="V31" s="3">
        <v>0.14400000000000002</v>
      </c>
      <c r="W31" s="3"/>
      <c r="X31" s="3"/>
      <c r="Y31" s="3"/>
      <c r="Z31" s="3">
        <v>442.11904027518108</v>
      </c>
    </row>
    <row r="32" spans="2:26" x14ac:dyDescent="0.25">
      <c r="B32" s="4" t="s">
        <v>259</v>
      </c>
      <c r="C32" s="3"/>
      <c r="D32" s="3"/>
      <c r="E32" s="3">
        <v>0.16713055793991421</v>
      </c>
      <c r="F32" s="3">
        <v>2.1851750000000001</v>
      </c>
      <c r="G32" s="3"/>
      <c r="H32" s="3"/>
      <c r="I32" s="3">
        <v>8.89</v>
      </c>
      <c r="J32" s="3"/>
      <c r="K32" s="3">
        <v>16.323559815752823</v>
      </c>
      <c r="L32" s="3">
        <v>6.3482499999999993</v>
      </c>
      <c r="M32" s="3">
        <v>1.3204000000000002</v>
      </c>
      <c r="N32" s="3">
        <v>403.07032547914315</v>
      </c>
      <c r="O32" s="3">
        <v>0.93873391300000009</v>
      </c>
      <c r="P32" s="3">
        <v>0.14213999999999999</v>
      </c>
      <c r="Q32" s="3">
        <v>0.14662729720852738</v>
      </c>
      <c r="R32" s="3">
        <v>1.0372561362725194</v>
      </c>
      <c r="S32" s="3">
        <v>0.19</v>
      </c>
      <c r="T32" s="3">
        <v>0.49508978441032075</v>
      </c>
      <c r="U32" s="3">
        <v>0.20594747570102892</v>
      </c>
      <c r="V32" s="3">
        <v>0.14400000000000002</v>
      </c>
      <c r="W32" s="3"/>
      <c r="X32" s="3"/>
      <c r="Y32" s="3"/>
      <c r="Z32" s="3">
        <v>441.60463545942821</v>
      </c>
    </row>
    <row r="33" spans="2:26" x14ac:dyDescent="0.25">
      <c r="B33" s="2" t="s">
        <v>202</v>
      </c>
      <c r="C33" s="3">
        <v>2.427</v>
      </c>
      <c r="D33" s="3"/>
      <c r="E33" s="3">
        <v>12.130648939704667</v>
      </c>
      <c r="F33" s="3"/>
      <c r="G33" s="3"/>
      <c r="H33" s="3"/>
      <c r="I33" s="3">
        <v>1.1200000000000001</v>
      </c>
      <c r="J33" s="3"/>
      <c r="K33" s="3">
        <v>7.3999999999999996E-2</v>
      </c>
      <c r="L33" s="3">
        <v>16.548071428571426</v>
      </c>
      <c r="M33" s="3">
        <v>4.1879769366563782</v>
      </c>
      <c r="N33" s="3">
        <v>202.59453603284925</v>
      </c>
      <c r="O33" s="3">
        <v>36.327517237261276</v>
      </c>
      <c r="P33" s="3"/>
      <c r="Q33" s="3"/>
      <c r="R33" s="3"/>
      <c r="S33" s="3"/>
      <c r="T33" s="3"/>
      <c r="U33" s="3"/>
      <c r="V33" s="3"/>
      <c r="W33" s="3"/>
      <c r="X33" s="3"/>
      <c r="Y33" s="3"/>
      <c r="Z33" s="3">
        <v>275.40975057504295</v>
      </c>
    </row>
    <row r="34" spans="2:26" x14ac:dyDescent="0.25">
      <c r="B34" s="4" t="s">
        <v>188</v>
      </c>
      <c r="C34" s="3">
        <v>1.478</v>
      </c>
      <c r="D34" s="3"/>
      <c r="E34" s="3">
        <v>6.2320244698523357</v>
      </c>
      <c r="F34" s="3"/>
      <c r="G34" s="3"/>
      <c r="H34" s="3"/>
      <c r="I34" s="3">
        <v>0.61</v>
      </c>
      <c r="J34" s="3"/>
      <c r="K34" s="3">
        <v>3.6999999999999998E-2</v>
      </c>
      <c r="L34" s="3">
        <v>12.6835</v>
      </c>
      <c r="M34" s="3">
        <v>2.2888884683281887</v>
      </c>
      <c r="N34" s="3">
        <v>101.44766801642461</v>
      </c>
      <c r="O34" s="3">
        <v>18.092558618630648</v>
      </c>
      <c r="P34" s="3"/>
      <c r="Q34" s="3"/>
      <c r="R34" s="3"/>
      <c r="S34" s="3"/>
      <c r="T34" s="3"/>
      <c r="U34" s="3"/>
      <c r="V34" s="3"/>
      <c r="W34" s="3"/>
      <c r="X34" s="3"/>
      <c r="Y34" s="3"/>
      <c r="Z34" s="3">
        <v>142.86963957323579</v>
      </c>
    </row>
    <row r="35" spans="2:26" x14ac:dyDescent="0.25">
      <c r="B35" s="4" t="s">
        <v>259</v>
      </c>
      <c r="C35" s="3">
        <v>0.94899999999999995</v>
      </c>
      <c r="D35" s="3"/>
      <c r="E35" s="3">
        <v>5.8986244698523311</v>
      </c>
      <c r="F35" s="3"/>
      <c r="G35" s="3"/>
      <c r="H35" s="3"/>
      <c r="I35" s="3">
        <v>0.51</v>
      </c>
      <c r="J35" s="3"/>
      <c r="K35" s="3">
        <v>3.6999999999999998E-2</v>
      </c>
      <c r="L35" s="3">
        <v>3.8645714285714239</v>
      </c>
      <c r="M35" s="3">
        <v>1.8990884683281899</v>
      </c>
      <c r="N35" s="3">
        <v>101.14686801642462</v>
      </c>
      <c r="O35" s="3">
        <v>18.234958618630628</v>
      </c>
      <c r="P35" s="3"/>
      <c r="Q35" s="3"/>
      <c r="R35" s="3"/>
      <c r="S35" s="3"/>
      <c r="T35" s="3"/>
      <c r="U35" s="3"/>
      <c r="V35" s="3"/>
      <c r="W35" s="3"/>
      <c r="X35" s="3"/>
      <c r="Y35" s="3"/>
      <c r="Z35" s="3">
        <v>132.54011100180719</v>
      </c>
    </row>
    <row r="36" spans="2:26" x14ac:dyDescent="0.25">
      <c r="B36" s="2" t="s">
        <v>239</v>
      </c>
      <c r="C36" s="3">
        <v>31.762799999999999</v>
      </c>
      <c r="D36" s="3"/>
      <c r="E36" s="3">
        <v>22.730200000000028</v>
      </c>
      <c r="F36" s="3"/>
      <c r="G36" s="3"/>
      <c r="H36" s="3"/>
      <c r="I36" s="3">
        <v>17.350999999999999</v>
      </c>
      <c r="J36" s="3"/>
      <c r="K36" s="3">
        <v>8.9556000000000004</v>
      </c>
      <c r="L36" s="3">
        <v>75.193912630076397</v>
      </c>
      <c r="M36" s="3">
        <v>10.325800000000001</v>
      </c>
      <c r="N36" s="3">
        <v>205.15574210764359</v>
      </c>
      <c r="O36" s="3">
        <v>81.337599999999981</v>
      </c>
      <c r="P36" s="3"/>
      <c r="Q36" s="3"/>
      <c r="R36" s="3"/>
      <c r="S36" s="3"/>
      <c r="T36" s="3"/>
      <c r="U36" s="3"/>
      <c r="V36" s="3"/>
      <c r="W36" s="3"/>
      <c r="X36" s="3"/>
      <c r="Y36" s="3"/>
      <c r="Z36" s="3">
        <v>452.81265473771998</v>
      </c>
    </row>
    <row r="37" spans="2:26" x14ac:dyDescent="0.25">
      <c r="B37" s="4" t="s">
        <v>188</v>
      </c>
      <c r="C37" s="3">
        <v>23.3</v>
      </c>
      <c r="D37" s="3"/>
      <c r="E37" s="3">
        <v>6.1424000000000056</v>
      </c>
      <c r="F37" s="3"/>
      <c r="G37" s="3"/>
      <c r="H37" s="3"/>
      <c r="I37" s="3">
        <v>8.4329999999999998</v>
      </c>
      <c r="J37" s="3"/>
      <c r="K37" s="3">
        <v>4.4832000000000001</v>
      </c>
      <c r="L37" s="3">
        <v>51.343892469259302</v>
      </c>
      <c r="M37" s="3">
        <v>5.6655999999999969</v>
      </c>
      <c r="N37" s="3">
        <v>102.26957105382179</v>
      </c>
      <c r="O37" s="3">
        <v>41.767199999999974</v>
      </c>
      <c r="P37" s="3"/>
      <c r="Q37" s="3"/>
      <c r="R37" s="3"/>
      <c r="S37" s="3"/>
      <c r="T37" s="3"/>
      <c r="U37" s="3"/>
      <c r="V37" s="3"/>
      <c r="W37" s="3"/>
      <c r="X37" s="3"/>
      <c r="Y37" s="3"/>
      <c r="Z37" s="3">
        <v>243.40486352308108</v>
      </c>
    </row>
    <row r="38" spans="2:26" x14ac:dyDescent="0.25">
      <c r="B38" s="4" t="s">
        <v>259</v>
      </c>
      <c r="C38" s="3">
        <v>8.4627999999999997</v>
      </c>
      <c r="D38" s="3"/>
      <c r="E38" s="3">
        <v>16.587800000000023</v>
      </c>
      <c r="F38" s="3"/>
      <c r="G38" s="3"/>
      <c r="H38" s="3"/>
      <c r="I38" s="3">
        <v>8.9179999999999993</v>
      </c>
      <c r="J38" s="3"/>
      <c r="K38" s="3">
        <v>4.4724000000000004</v>
      </c>
      <c r="L38" s="3">
        <v>23.850020160817103</v>
      </c>
      <c r="M38" s="3">
        <v>4.6602000000000041</v>
      </c>
      <c r="N38" s="3">
        <v>102.8861710538218</v>
      </c>
      <c r="O38" s="3">
        <v>39.570399999999999</v>
      </c>
      <c r="P38" s="3"/>
      <c r="Q38" s="3"/>
      <c r="R38" s="3"/>
      <c r="S38" s="3"/>
      <c r="T38" s="3"/>
      <c r="U38" s="3"/>
      <c r="V38" s="3"/>
      <c r="W38" s="3"/>
      <c r="X38" s="3"/>
      <c r="Y38" s="3"/>
      <c r="Z38" s="3">
        <v>209.40779121463893</v>
      </c>
    </row>
    <row r="39" spans="2:26" x14ac:dyDescent="0.25">
      <c r="B39" s="2" t="s">
        <v>0</v>
      </c>
      <c r="C39" s="3">
        <v>119.42467251199947</v>
      </c>
      <c r="D39" s="3">
        <v>14.532166</v>
      </c>
      <c r="E39" s="3">
        <v>112.08961005558453</v>
      </c>
      <c r="F39" s="3">
        <v>101.194018</v>
      </c>
      <c r="G39" s="3">
        <v>1.1055680000000001</v>
      </c>
      <c r="H39" s="3">
        <v>33.136600000000008</v>
      </c>
      <c r="I39" s="3">
        <v>52.095999999999997</v>
      </c>
      <c r="J39" s="3">
        <v>0.63475999999999999</v>
      </c>
      <c r="K39" s="3">
        <v>152.68924493053657</v>
      </c>
      <c r="L39" s="3">
        <v>229.68585105864793</v>
      </c>
      <c r="M39" s="3">
        <v>22.18432693665638</v>
      </c>
      <c r="N39" s="3">
        <v>1419.515871326382</v>
      </c>
      <c r="O39" s="3">
        <v>177.61412758393229</v>
      </c>
      <c r="P39" s="3">
        <v>3.7415860606060605</v>
      </c>
      <c r="Q39" s="3">
        <v>1.2566206550231154</v>
      </c>
      <c r="R39" s="3">
        <v>3.3467122725450391</v>
      </c>
      <c r="S39" s="3">
        <v>0.38</v>
      </c>
      <c r="T39" s="3">
        <v>4.0511722354873081</v>
      </c>
      <c r="U39" s="3">
        <v>0.41189495140205784</v>
      </c>
      <c r="V39" s="3">
        <v>0.92410999999999999</v>
      </c>
      <c r="W39" s="3">
        <v>0.1036</v>
      </c>
      <c r="X39" s="3">
        <v>2.899</v>
      </c>
      <c r="Y39" s="3">
        <v>8.9749999999999996E-2</v>
      </c>
      <c r="Z39" s="3">
        <v>2453.1072625788033</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3:E10"/>
  <sheetViews>
    <sheetView topLeftCell="A7" workbookViewId="0">
      <selection activeCell="C4" sqref="C4"/>
    </sheetView>
  </sheetViews>
  <sheetFormatPr defaultRowHeight="15" x14ac:dyDescent="0.25"/>
  <cols>
    <col min="2" max="2" width="13.7109375" bestFit="1" customWidth="1"/>
    <col min="3" max="3" width="16.28515625" customWidth="1"/>
    <col min="4" max="5" width="12" bestFit="1" customWidth="1"/>
  </cols>
  <sheetData>
    <row r="3" spans="2:5" x14ac:dyDescent="0.25">
      <c r="B3" s="1" t="s">
        <v>14</v>
      </c>
      <c r="C3" s="1" t="s">
        <v>44</v>
      </c>
    </row>
    <row r="4" spans="2:5" x14ac:dyDescent="0.25">
      <c r="B4" s="1" t="s">
        <v>45</v>
      </c>
      <c r="C4" t="s">
        <v>226</v>
      </c>
      <c r="D4" t="s">
        <v>9</v>
      </c>
      <c r="E4" t="s">
        <v>0</v>
      </c>
    </row>
    <row r="5" spans="2:5" x14ac:dyDescent="0.25">
      <c r="B5" s="2" t="s">
        <v>259</v>
      </c>
      <c r="C5" s="3"/>
      <c r="D5" s="3"/>
      <c r="E5" s="3"/>
    </row>
    <row r="6" spans="2:5" x14ac:dyDescent="0.25">
      <c r="B6" s="4" t="s">
        <v>6</v>
      </c>
      <c r="C6" s="3">
        <v>4294.1154863758529</v>
      </c>
      <c r="D6" s="3"/>
      <c r="E6" s="3">
        <v>4294.1154863758529</v>
      </c>
    </row>
    <row r="7" spans="2:5" x14ac:dyDescent="0.25">
      <c r="B7" s="4" t="s">
        <v>19</v>
      </c>
      <c r="C7" s="3"/>
      <c r="D7" s="3">
        <v>5949.3464173623097</v>
      </c>
      <c r="E7" s="3">
        <v>5949.3464173623097</v>
      </c>
    </row>
    <row r="8" spans="2:5" x14ac:dyDescent="0.25">
      <c r="B8" s="4" t="s">
        <v>7</v>
      </c>
      <c r="C8" s="3">
        <v>72.805914504396895</v>
      </c>
      <c r="D8" s="3"/>
      <c r="E8" s="3">
        <v>72.805914504396895</v>
      </c>
    </row>
    <row r="9" spans="2:5" x14ac:dyDescent="0.25">
      <c r="B9" s="4" t="s">
        <v>8</v>
      </c>
      <c r="C9" s="3">
        <v>2792.8523784951039</v>
      </c>
      <c r="D9" s="3"/>
      <c r="E9" s="3">
        <v>2792.8523784951039</v>
      </c>
    </row>
    <row r="10" spans="2:5" x14ac:dyDescent="0.25">
      <c r="B10" s="2" t="s">
        <v>0</v>
      </c>
      <c r="C10" s="3">
        <v>7159.773779375354</v>
      </c>
      <c r="D10" s="3">
        <v>5949.3464173623097</v>
      </c>
      <c r="E10" s="3">
        <v>13109.120196737666</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13</vt:i4>
      </vt:variant>
    </vt:vector>
  </HeadingPairs>
  <TitlesOfParts>
    <vt:vector size="33" baseType="lpstr">
      <vt:lpstr>Control</vt:lpstr>
      <vt:lpstr>Queries_BB3</vt:lpstr>
      <vt:lpstr>Queries_BB4</vt:lpstr>
      <vt:lpstr>EL Prices</vt:lpstr>
      <vt:lpstr>HE Prices</vt:lpstr>
      <vt:lpstr>EL GEN - Annual</vt:lpstr>
      <vt:lpstr>EL GEN - Time</vt:lpstr>
      <vt:lpstr>HE GEN - Annual</vt:lpstr>
      <vt:lpstr>HE GEN - Time</vt:lpstr>
      <vt:lpstr>Fuel CON - Time</vt:lpstr>
      <vt:lpstr>Fuel CON - Annual</vt:lpstr>
      <vt:lpstr>Emissions - Annual</vt:lpstr>
      <vt:lpstr>HE STO - Time</vt:lpstr>
      <vt:lpstr>HY STO - Time</vt:lpstr>
      <vt:lpstr>EL TRAN - Time</vt:lpstr>
      <vt:lpstr>EL TRAN - Annual</vt:lpstr>
      <vt:lpstr>EL DEM - Time</vt:lpstr>
      <vt:lpstr>EL DEM - Annual</vt:lpstr>
      <vt:lpstr>EL GEN CAP Exo</vt:lpstr>
      <vt:lpstr>EL GEN CAP ENDO</vt:lpstr>
      <vt:lpstr>C_filter</vt:lpstr>
      <vt:lpstr>CountryCB</vt:lpstr>
      <vt:lpstr>DE</vt:lpstr>
      <vt:lpstr>IGK</vt:lpstr>
      <vt:lpstr>O_Model</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2018-03-07T13:00:08Z</dcterms:modified>
</cp:coreProperties>
</file>